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 sheetId="1" r:id="rId5"/>
    <sheet state="visible" name="クラス" sheetId="2" r:id="rId6"/>
    <sheet state="visible" name="種族" sheetId="3" r:id="rId7"/>
    <sheet state="visible" name="用語辞書" sheetId="4" r:id="rId8"/>
    <sheet state="visible" name="地形" sheetId="5" r:id="rId9"/>
    <sheet state="visible" name="出現敵" sheetId="6" r:id="rId10"/>
    <sheet state="visible" name="召喚モンスターリスト" sheetId="7" r:id="rId11"/>
    <sheet state="visible" name="モンスター合成" sheetId="8" r:id="rId12"/>
    <sheet state="visible" name="災害" sheetId="9" r:id="rId13"/>
    <sheet state="visible" name="都市基本データ" sheetId="10" r:id="rId14"/>
    <sheet state="visible" name="都市" sheetId="11" r:id="rId15"/>
    <sheet state="visible" name="施設" sheetId="12" r:id="rId16"/>
    <sheet state="visible" name="研究" sheetId="13" r:id="rId17"/>
    <sheet state="visible" name="付与" sheetId="14" r:id="rId18"/>
    <sheet state="visible" name="国家設定" sheetId="15" r:id="rId19"/>
    <sheet state="visible" name="消費量" sheetId="16" r:id="rId20"/>
    <sheet state="visible" name="装備" sheetId="17" r:id="rId21"/>
    <sheet state="visible" name="イベント" sheetId="18" r:id="rId22"/>
    <sheet state="visible" name="勝利対象土地" sheetId="19" r:id="rId23"/>
    <sheet state="visible" name="特産品" sheetId="20" r:id="rId24"/>
    <sheet state="visible" name="道具" sheetId="21" r:id="rId25"/>
    <sheet state="visible" name="スキル一覧" sheetId="22" r:id="rId26"/>
    <sheet state="visible" name="性格会話" sheetId="23" r:id="rId27"/>
  </sheets>
  <definedNames>
    <definedName hidden="1" localSheetId="0" name="_xlnm._FilterDatabase">CS!$A$4:$T$1661</definedName>
    <definedName hidden="1" localSheetId="17" name="_xlnm._FilterDatabase">'イベント'!$A$1:$U$100</definedName>
    <definedName hidden="1" localSheetId="21" name="_xlnm._FilterDatabase">'スキル一覧'!$A$3:$CN$100</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86">
      <text>
        <t xml:space="preserve">自軍の魂の保管庫が必要。射程内の死体1体から回収し生前Lvを保持。装備/荷物は移さず、回収済み死体は蘇生・アンデッド化不可。AP20/射程10は暫定。習得先クラスは未指定。</t>
      </text>
    </comment>
    <comment authorId="0" ref="H1">
      <text>
        <t xml:space="preserve">必須ルール:
- 攻撃系・ガード系スキルは、データ欄に「判定:○○」または「追加威力:○○」のどちらかを必ず設定する。両方設定してもよい。
スキル数値設計ルール:
【Tier1基準】
- パッシブのステータス補正: +10
- パッシブの技能補正: +25
【Tier倍率】
- Tier1: ×1.0
- Tier2: ×1.5
- Tier3: ×2.0
- Tier4: ×3.0
【強化項目数倍率】
- 1種類: ×1.0
- 2種類: ×0.75
- 3種類: ×0.5
- 4種類: ×0.3
- 5種類: ×0.2
※「攻撃+防御」は2種類として数える。ステータス・技能が混在していても、別項目ごとに1種類として数える。
【条件倍率】
- 簡単な条件: ×1.5
- 明確な条件付き: ×2.0
例: 条件:森 は条件付き×2として扱える。
【アクティブ効果・持続ターン】
- 1t効果を基準として、パッシブ相当値×3
- ターン数が増える場合は「強化項目数倍率」と同じ減衰率を使う
  1t: ×1.0 → パッシブ比 ×3.0
  2t: ×0.75 → パッシブ比 ×2.25
  3t: ×0.5 → パッシブ比 ×1.5
  4t: ×0.3 → パッシブ比 ×0.9
  5t: ×0.2 → パッシブ比 ×0.6
- 5t以上は当面×0.2を下限として扱う。
【計算式】
- パッシブ = 基礎値 × Tier倍率 × 強化項目数倍率 × 条件倍率
- アクティブ = 基礎値 × Tier倍率 × 強化項目数倍率 × 3 × ターン数倍率 × 条件倍率
※条件倍率を使わない場合は×1。
【端数】
- 5刻みでの丸めは行わない。
- 整数値は計算結果をそのまま使用する。
- 小数が発生した場合のみ端数処理を行う。小数の具体的な処理方法は別途決定する。
例:
- Tier1・技能2種・条件:森 → 25×0.75×2=37.5
  ※小数が発生するため、端数処理対象とする。
【攻撃威力基準】
- 通常攻撃の基礎威力 = 20 × クラスTier倍率。
- 通常攻撃のクラスTier倍率: Tier1 ×1.0 / Tier2 ×1.5 / Tier3 ×2.0 / Tier4 ×3.0。
- 攻撃魔法の基礎威力 = 35 × 魔法Tier倍率。
- 攻撃魔法の魔法Tier倍率: Tier1 ×1.0 / Tier2 ×2.0 / Tier3 ×3.0 / Tier4 ×4.0 / Tier5 ×5.0。
- 通常攻撃は武器性能でも威力が上がるため、Tierによる伸びは魔法より低めにする。
- 5刻みでの丸めは行わない。
例:
  通常攻撃: T1=20 / T2=30 / T3=40 / T4=60
  攻撃魔法: T1=35 / T2=70 / T3=105 / T4=140 / T5=175
【魔法補正】
- 攻撃魔法は基礎威力35で魔法の強さを表すため、さらに×1.25は掛けない。
- 回復・バフ・デバフなど、攻撃威力以外の魔法による数値効果は最終値に ×1.25。
【攻撃用・射程補正】
- 近距離: ×1.0
- 中距離: ×0.9
- 長距離: ×0.8
- 超長距離: ×0.7
- 射程が長いほど攻撃威力を少し下げる。
- 近距離/中距離/長距離/超長距離の具体的な境界値は別途決定する。
【攻撃用・範囲マス数倍率】
- 1マス: ×1.0
- 2マス: ×0.9
- 3マス: ×0.8
- 4マス: ×0.7
- 5～7マス: ×0.6
- 8マス以上: ×0.5
- 攻撃威力は、形状名ではなく最大で効果を及ぼすマス数で補正する。
【非攻撃効果用・範囲マス数倍率】
- 単体（1マス）: ×1.0
- 2マス: ×0.75
- 3マス: ×0.5
- 4マス: ×0.3
- 5マス以上: ×0.2
- 回復・バフ・デバフなど複数マスへ同時に数値効果を与える場合に適用する。
【攻撃威力の基本計算】
- 通常攻撃 = 20 × クラスTier倍率 × 射程補正 × 攻撃用範囲倍率
- 攻撃魔法 = 35 × 魔法Tier倍率 × 射程補正 × 攻撃用範囲倍率
※その他の個別補正がある場合は別途加味する。
【複合ダメージ】
- ダメージ種類が増えても総威力は下げない。
- 複数属性は各ダメージ種類ごとに軽減を受けるため、総威力を少し高く設定してよい。
- 1種類: ×1.0
- 2種類: ×1.1
- 3種類: ×1.2
- 4種類以上: ×1.25
- 補正後の総威力を各ダメージ種類へ配分する。
例: T1攻撃魔法35・2種類 → 35×1.1=38.5。小数が発生するため端数処理対象とし、その総威力を各ダメージ種類へ配分する。
- 炎+切断などは「ダメージ種類」の複合として扱い、恐怖・拘束などの追加効果とは別に扱う。
【ダメージ＋追加効果】
- 通常ダメージに状態異常・行動阻害などの追加効果を同時に持つ技は、ダメージ側の記載威力を下げて調整する。
- 軽い効果: ×0.8
- 標準的な効果: ×0.7
- 強い効果: ×0.6
- 極めて強い効果: ×0.5
- 複数の追加効果がある場合は倍率を重ね掛けせず、最も強い効果の倍率だけを使用する。
- この補正はダメージ部分だけに適用し、効果判定用の数値そのものは下げない。
- 補正は実行時に追加計算するのではなく、CSへ記載するダメージ威力へ事前反映する。
- 精神攻撃・幻覚は「効果そのものを発生させる攻撃」として扱うため、効果:恐怖 / 効果:混乱などが付いていても、この追加効果補正では威力を下げない。
例:
  精神攻撃+35 効果:恐怖 → 35のまま
  幻覚+35 効果:混乱 → 35のまま
  炎+35 効果:恐怖 → ダメージ＋追加効果として炎側を補正する。
  打撃+35 効果:転倒 → ダメージ＋追加効果として打撃側を補正する。
【判定・追加威力の併用】
- 攻撃系・ガード系は「判定」または「追加威力」のどちらかを必須とし、両方設定してもよい。
- 「判定」と「追加威力」を両方持つ技は、CSへ記載する威力そのものを通常基準の約×0.7で設定する。
- ×0.7は実行時に追加で掛ける補正ではなく、データ作成時の威力調整として事前反映する。
- 5刻みには丸めず、小数が発生した場合のみ端数処理する。
【追加威力倍率】
- 追加威力倍率 = 1 +（追加威力 ÷ 500）
- 追加威力0 = ×1.0
- 追加威力250 = ×1.5
- 追加威力500 = ×2.0
- 追加威力750 = ×2.5
- 追加威力1000 = ×3.0
【魔法Tierと範囲】
- 魔法はTierによって威力だけでなく、扱える最大範囲も変える。
- 高Tierほど広い範囲を持つ魔法を設定できる。
- Tier3の最大範囲は周囲1マス（中心を含め最大7マス）。
- Tier5の最大範囲は周囲2マス（中心を含め最大19マス）。
- Tier1～2は周囲1未満、Tier4は周囲1を超えて周囲2未満を目安とし、具体的な形状・最大マス数は個別調整する。
- 単体魔法は範囲指定を省略し、1マス対象として扱う。
- 天使の矢・悪魔の槍のような単体射撃魔法は「範囲:」を付けない。
- 範囲倍率は実際の対象マス数で計算する。
例:
  T5単体 = 175
  T5・周囲1（7マス） = 175×0.6 = 105
  T5・周囲2（19マス） = 175×0.5 = 87.5
【六角タイル範囲】
- 射程: 使用者から着弾点まで届く距離。
- 範囲: 着弾点から効果が広がる大きさ。
- 形状: 効果が広がる並び方。
- 「奥」は使用者→着弾点の方向をそのまま延長した側を指す。
- 小範囲パターンは「奥1 / 奥2 / 後方2 / 横2 / 小扇 / 半径1」を使用できる。</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Q1">
      <text>
        <t xml:space="preserve">天使系上位種化の取得条件。正の魂APP累計（非消費）がこの値以上。アーチエンジェル500、ヘヴンエンジェル1000。負のAPPとは相殺しない。0以上の数値、空欄はこの条件なし。既存の合計Lv・条件クラスも満たす必要がある。実行時の上位種化処理は未接続。</t>
      </text>
    </comment>
    <comment authorId="0" ref="CR1">
      <text>
        <t xml:space="preserve">悪魔系上位種化の取得条件。負の魂APPの絶対値累計（非消費）がこの値以上。アーチデヴィル500、ヘルザーデヴィル1000。正のAPPとは相殺しない。負数ではなく0以上を入力。空欄はこの条件なし。既存の合計Lv・条件クラスも満たす必要がある。実行時の上位種化処理は未接続。</t>
      </text>
    </comment>
    <comment authorId="0" ref="AJ1">
      <text>
        <t xml:space="preserve">部隊への命令効率を高める。士気上昇量やバフ効果量が増加し、部隊スキルの性能が向上する。</t>
      </text>
    </comment>
    <comment authorId="0" ref="AK1">
      <text>
        <t xml:space="preserve">騙すを併合。敵やNPCに心理的圧力を与える。敵士気低下や怯え付与、会話時の威圧成功率が上昇する。</t>
      </text>
    </comment>
    <comment authorId="0" ref="AL1">
      <text>
        <t xml:space="preserve">知識を含む。敵能力・弱点・嘘・罠・アイテムの性質を見破る。不意打ち耐性や情報取得能力が向上する。</t>
      </text>
    </comment>
    <comment authorId="0" ref="AM1">
      <text>
        <t xml:space="preserve">軽業を併合。攻撃速度や回避率が上昇し、移動系スキルの消費が軽減される。連撃性能が向上する。</t>
      </text>
    </comment>
    <comment authorId="0" ref="AN1">
      <text>
        <t xml:space="preserve">装置操作・罠設置・修理・制作補助能力。戦闘中のトラップ性能や道具効果が向上する。</t>
      </text>
    </comment>
    <comment authorId="0" ref="AO1">
      <text>
        <t xml:space="preserve">装置操作・罠設置・修理・制作補助能力。戦闘中のトラップ性能や道具効果が向上する。</t>
      </text>
    </comment>
    <comment authorId="0" ref="AP1">
      <text>
        <t xml:space="preserve">装置操作・罠設置・修理・制作補助能力。戦闘中のトラップ性能や道具効果が向上する。</t>
      </text>
    </comment>
    <comment authorId="0" ref="AQ1">
      <text>
        <t xml:space="preserve">発見されにくくなる。奇襲成功率や離脱成功率が上昇し、不意打ち時の威力が増加する。</t>
      </text>
    </comment>
    <comment authorId="0" ref="AR1">
      <text>
        <t xml:space="preserve">敵や資源を発見しやすくなる。遭遇率制御、罠発見、危険察知能力が向上する。</t>
      </text>
    </comment>
    <comment authorId="0" ref="AS1">
      <text>
        <t xml:space="preserve">穀物・家畜など農業生産効率を上昇させる。災害による収穫減少を軽減する。</t>
      </text>
    </comment>
    <comment authorId="0" ref="AT1">
      <text>
        <t xml:space="preserve">木材資源の取得量と森林管理効率を上昇させる。森林枯渇速度を軽減する。</t>
      </text>
    </comment>
    <comment authorId="0" ref="AU1">
      <text>
        <t xml:space="preserve">水域資源の取得量を上昇させる。食料安定度に補正を与える。</t>
      </text>
    </comment>
    <comment authorId="0" ref="AV1">
      <text>
        <t xml:space="preserve">加工・生産効率を上昇させる。装備や施設の生産速度が向上する。</t>
      </text>
    </comment>
    <comment authorId="0" ref="AW1">
      <text>
        <t xml:space="preserve">都市安定度や治安を向上させる。反乱発生率を低下させ、維持費効率を改善する。</t>
      </text>
    </comment>
    <comment authorId="0" ref="AX1">
      <text>
        <t xml:space="preserve">交易価格や外交成功率を上昇させる。条約締結や取引条件が有利になる。</t>
      </text>
    </comment>
    <comment authorId="0" ref="AY1">
      <text>
        <t xml:space="preserve">魔法スキルの威力や成功率を向上させる。魔法道具の作成ができるようになり、防衛力が上昇する。</t>
      </text>
    </comment>
    <comment authorId="0" ref="AZ1">
      <text>
        <t xml:space="preserve">宗教効果や祝福系能力を強化する。回復速度が上昇、アンデッドの出現を抑制できる。</t>
      </text>
    </comment>
    <comment authorId="0" ref="BA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B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C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D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E1">
      <text>
        <t xml:space="preserve">固定生体性能。シート値10=Lv1相当（実使用時は値÷10）。種族/クラスLvでは自動成長せず、取得時固定値＋パッシブ補正のみ。肉体武器Lv1-10=コモン(C)、11-20=アンコモン(U)、21-30=レア(R)、31-40=エピック(E)、41-50=レジェンダリー(L)。品質倍率は消費量シートの装備品質定義を参照。</t>
      </text>
    </comment>
    <comment authorId="0" ref="BF1">
      <text>
        <t xml:space="preserve">固定自然装甲。シート値10=Lv1相当（実使用時は値÷10）。種族/クラスLvでは自動成長せず、取得時固定値＋パッシブ補正のみ。装甲は自然鎧を持つ種族専用。装甲値が10以上あるユニットは体装備不可。体装備を行う種族には装甲値・装甲+スキルを設定しない。</t>
      </text>
    </comment>
    <comment authorId="0" ref="BC57">
      <text>
        <t xml:space="preserve">2026-10-14: 武器なしでも爪攻撃を可能にする暫定値。身体武器Lv1相当（値÷10）。</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種族と勢力で共通の名称。例:只人。人族はエルフ/ドワーフ等も含む分類であり、只人の別名ではない。</t>
      </text>
    </comment>
    <comment authorId="0" ref="B1">
      <text>
        <t xml:space="preserve">能力・成長・スキルを参照するクラス名。既存ヒューマン等は能力定義の参照名で、表示種族名とは別。</t>
      </text>
    </comment>
    <comment authorId="0" ref="C1">
      <text>
        <t xml:space="preserve">設定完了した種族のみTRUE。FALSEは新規開始・NPC勢力・一般村の自動生成候補から除外。既存ユニット/保存データは削除しない。</t>
      </text>
    </comment>
    <comment authorId="0" ref="D1">
      <text>
        <t xml:space="preserve">旧セーブ等の読み取り互換用JSON配列。新規作成時は種族列の名称を使う。</t>
      </text>
    </comment>
    <comment authorId="0" ref="E1">
      <text>
        <t xml:space="preserve">旧種族/勢力の画像。値は今回変更しない。空欄を推測で補完しない。</t>
      </text>
    </comment>
    <comment authorId="0" ref="F1">
      <text>
        <t xml:space="preserve">旧種族/勢力の概要。値は今回変更しない。空欄を推測で補完しない。</t>
      </text>
    </comment>
    <comment authorId="0" ref="G1">
      <text>
        <t xml:space="preserve">旧種族/勢力の詳細。値は今回変更しない。空欄を推測で補完しない。</t>
      </text>
    </comment>
    <comment authorId="0" ref="Q11">
      <text>
        <t xml:space="preserve">既存の概要・特徴から作成した調整可能な初期候補。能力の上乗せや解禁ではない。</t>
      </text>
    </comment>
    <comment authorId="0" ref="H1">
      <text>
        <t xml:space="preserve">表示用の文字列JSON配列。能力・技能の効果そのものではない。</t>
      </text>
    </comment>
    <comment authorId="0" ref="R11">
      <text>
        <t xml:space="preserve">既存の概要・特徴から作成した調整可能な初期候補。能力の上乗せや解禁ではない。</t>
      </text>
    </comment>
    <comment authorId="0" ref="I1">
      <text>
        <t xml:space="preserve">旧種族/勢力のマーカー文字。値は今回変更しない。空欄を推測で補完しない。</t>
      </text>
    </comment>
    <comment authorId="0" ref="Q9">
      <text>
        <t xml:space="preserve">既存の概要・特徴から作成した調整可能な初期候補。能力の上乗せや解禁ではない。</t>
      </text>
    </comment>
    <comment authorId="0" ref="J1">
      <text>
        <t xml:space="preserve">旧種族/勢力のマーカー色。値は今回変更しない。空欄を推測で補完しない。</t>
      </text>
    </comment>
    <comment authorId="0" ref="R9">
      <text>
        <t xml:space="preserve">既存の概要・特徴から作成した調整可能な初期候補。能力の上乗せや解禁ではない。</t>
      </text>
    </comment>
    <comment authorId="0" ref="K1">
      <text>
        <t xml:space="preserve">旧種族/勢力の初期人数。値は今回変更しない。空欄を推測で補完しない。</t>
      </text>
    </comment>
    <comment authorId="0" ref="Q7">
      <text>
        <t xml:space="preserve">既存の概要・特徴から作成した調整可能な初期候補。能力の上乗せや解禁ではない。</t>
      </text>
    </comment>
    <comment authorId="0" ref="L1">
      <text>
        <t xml:space="preserve">初期領土の高さ基準。0は設定済み、空欄は未設定。未設定のまま使用可TRUEにはできない。</t>
      </text>
    </comment>
    <comment authorId="0" ref="R7">
      <text>
        <t xml:space="preserve">既存の概要・特徴から作成した調整可能な初期候補。能力の上乗せや解禁ではない。</t>
      </text>
    </comment>
    <comment authorId="0" ref="M1">
      <text>
        <t xml:space="preserve">旧種族/勢力のヒーロー。値は今回変更しない。空欄を推測で補完しない。</t>
      </text>
    </comment>
    <comment authorId="0" ref="Q5">
      <text>
        <t xml:space="preserve">現在使用不可・表示設定未完成のため、推奨も未設定。</t>
      </text>
    </comment>
    <comment authorId="0" ref="N1">
      <text>
        <t xml:space="preserve">旧種族/勢力の軍隊。値は今回変更しない。空欄を推測で補完しない。</t>
      </text>
    </comment>
    <comment authorId="0" ref="R5">
      <text>
        <t xml:space="preserve">現在使用不可・表示設定未完成のため、推奨も未設定。</t>
      </text>
    </comment>
    <comment authorId="0" ref="Q3">
      <text>
        <t xml:space="preserve">既存の概要・特徴から作成した調整可能な初期候補。能力の上乗せや解禁ではない。</t>
      </text>
    </comment>
    <comment authorId="0" ref="O1">
      <text>
        <t xml:space="preserve">旧種族/勢力の土地。値は今回変更しない。空欄を推測で補完しない。</t>
      </text>
    </comment>
    <comment authorId="0" ref="P1">
      <text>
        <t xml:space="preserve">未設定理由・編集用メモ。未完成の種族も削除せずここで管理。</t>
      </text>
    </comment>
    <comment authorId="0" ref="R3">
      <text>
        <t xml:space="preserve">既存の概要・特徴から作成した調整可能な初期候補。能力の上乗せや解禁ではない。</t>
      </text>
    </comment>
    <comment authorId="0" ref="Q1">
      <text>
        <t xml:space="preserve">登録済みクラスの名前を/区切りで複数指定。選択制限・クラス取得条件の免除ではなく、候補評価の加点用。徴兵対象の種族で解決。空欄=適性加点なし。記載順は順位ではない。初期候補は調整案。</t>
      </text>
    </comment>
    <comment authorId="0" ref="R1">
      <text>
        <t xml:space="preserve">都市シートの通常特化名を/区切りで複数指定。拠点の住民構成比で適性を集計する設計。選択制限ではなく加点用で、解禁条件・切替待機・不足資源・戦況を優先。空欄=加点なし。プレイヤーは自由選択。記載順は順位ではない。初期候補は調整案。</t>
      </text>
    </comment>
    <comment authorId="0" ref="Q12">
      <text>
        <t xml:space="preserve">既存の概要・特徴から作成した調整可能な初期候補。能力の上乗せや解禁ではない。</t>
      </text>
    </comment>
    <comment authorId="0" ref="R12">
      <text>
        <t xml:space="preserve">既存の概要・特徴から作成した調整可能な初期候補。能力の上乗せや解禁ではない。</t>
      </text>
    </comment>
    <comment authorId="0" ref="Q10">
      <text>
        <t xml:space="preserve">既存の概要・特徴から作成した調整可能な初期候補。能力の上乗せや解禁ではない。</t>
      </text>
    </comment>
    <comment authorId="0" ref="R10">
      <text>
        <t xml:space="preserve">既存の概要・特徴から作成した調整可能な初期候補。能力の上乗せや解禁ではない。</t>
      </text>
    </comment>
    <comment authorId="0" ref="Q8">
      <text>
        <t xml:space="preserve">現在使用不可・表示設定未完成のため、推奨も未設定。</t>
      </text>
    </comment>
    <comment authorId="0" ref="R8">
      <text>
        <t xml:space="preserve">現在使用不可・表示設定未完成のため、推奨も未設定。</t>
      </text>
    </comment>
    <comment authorId="0" ref="Q6">
      <text>
        <t xml:space="preserve">既存の概要・特徴から作成した調整可能な初期候補。能力の上乗せや解禁ではない。</t>
      </text>
    </comment>
    <comment authorId="0" ref="R6">
      <text>
        <t xml:space="preserve">既存の概要・特徴から作成した調整可能な初期候補。能力の上乗せや解禁ではない。</t>
      </text>
    </comment>
    <comment authorId="0" ref="Q4">
      <text>
        <t xml:space="preserve">現在使用不可・表示設定未完成のため、推奨も未設定。</t>
      </text>
    </comment>
    <comment authorId="0" ref="R4">
      <text>
        <t xml:space="preserve">現在使用不可・表示設定未完成のため、推奨も未設定。</t>
      </text>
    </comment>
    <comment authorId="0" ref="Q2">
      <text>
        <t xml:space="preserve">既存の概要・特徴から作成した調整可能な初期候補。能力の上乗せや解禁ではない。</t>
      </text>
    </comment>
    <comment authorId="0" ref="R2">
      <text>
        <t xml:space="preserve">既存の概要・特徴から作成した調整可能な初期候補。能力の上乗せや解禁ではない。</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用語辞書：A:B=効果、D:E=技能説明、G:I=範囲。各表は1行目がヘッダー。CSはA:Bを参照します。表内で編集し、列の追加・移動時は変換器MERGED_SHEET_TABLESも更新してください。</t>
      </text>
    </comment>
    <comment authorId="0" ref="G1">
      <text>
        <t xml:space="preserve">六角タイル用の範囲分類。『奥』は使用者→着弾点の方向をさらに延長した側。処理タイプが空欄の範囲は分類のみ追加済みで、ゲーム処理は未実装。</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Q17">
      <text>
        <t xml:space="preserve">2026-10-03 特殊資源調整。変更前: 130。通常地形産出を停止。ランダム配置からの採取は別定義。</t>
      </text>
    </comment>
    <comment authorId="0" ref="R17">
      <text>
        <t xml:space="preserve">2026-10-03 特殊資源調整。変更前: 170。通常地形産出を停止。ランダム配置からの採取は別定義。</t>
      </text>
    </comment>
    <comment authorId="0" ref="T17">
      <text>
        <t xml:space="preserve">2026-10-03 特殊資源調整。変更前: 45。通常地形産出を停止。ランダム配置からの採取は別定義。</t>
      </text>
    </comment>
    <comment authorId="0" ref="U17">
      <text>
        <t xml:space="preserve">2026-10-12 宝石の特殊資源化。変更前=30</t>
      </text>
    </comment>
    <comment authorId="0" ref="P9">
      <text>
        <t xml:space="preserve">2026-10-03 特殊資源調整。変更前: 25。通常地形産出を停止。ランダム配置からの採取は別定義。</t>
      </text>
    </comment>
    <comment authorId="0" ref="T9">
      <text>
        <t xml:space="preserve">2026-10-03 特殊資源調整。変更前: 40。通常地形産出を停止。ランダム配置からの採取は別定義。</t>
      </text>
    </comment>
    <comment authorId="0" ref="U9">
      <text>
        <t xml:space="preserve">2026-10-12 宝石の特殊資源化。変更前=35</t>
      </text>
    </comment>
    <comment authorId="0" ref="L26">
      <text>
        <t xml:space="preserve">2026-10-03 特殊資源調整。変更前: -15。通常地形産出を停止。ランダム配置からの採取は別定義。</t>
      </text>
    </comment>
    <comment authorId="0" ref="M26">
      <text>
        <t xml:space="preserve">2026-10-03 特殊資源調整。変更前: -15。通常地形産出を停止。ランダム配置からの採取は別定義。</t>
      </text>
    </comment>
    <comment authorId="0" ref="P26">
      <text>
        <t xml:space="preserve">2026-10-03 特殊資源調整。変更前: -15。通常地形産出を停止。ランダム配置からの採取は別定義。</t>
      </text>
    </comment>
    <comment authorId="0" ref="Q26">
      <text>
        <t xml:space="preserve">2026-10-03 特殊資源調整。変更前: -15。通常地形産出を停止。ランダム配置からの採取は別定義。</t>
      </text>
    </comment>
    <comment authorId="0" ref="R26">
      <text>
        <t xml:space="preserve">2026-10-03 特殊資源調整。変更前: -15。通常地形産出を停止。ランダム配置からの採取は別定義。</t>
      </text>
    </comment>
    <comment authorId="0" ref="L18">
      <text>
        <t xml:space="preserve">2026-10-03 特殊資源調整。変更前: -50。通常地形産出を停止。ランダム配置からの採取は別定義。</t>
      </text>
    </comment>
    <comment authorId="0" ref="T26">
      <text>
        <t xml:space="preserve">2026-10-03 特殊資源調整。変更前: -15。通常地形産出を停止。ランダム配置からの採取は別定義。</t>
      </text>
    </comment>
    <comment authorId="0" ref="M18">
      <text>
        <t xml:space="preserve">2026-10-03 特殊資源調整。変更前: -20。通常地形産出を停止。ランダム配置からの採取は別定義。</t>
      </text>
    </comment>
    <comment authorId="0" ref="P18">
      <text>
        <t xml:space="preserve">2026-10-03 特殊資源調整。変更前: 25。通常地形産出を停止。ランダム配置からの採取は別定義。</t>
      </text>
    </comment>
    <comment authorId="0" ref="Q18">
      <text>
        <t xml:space="preserve">2026-10-03 特殊資源調整。変更前: 10。通常地形産出を停止。ランダム配置からの採取は別定義。</t>
      </text>
    </comment>
    <comment authorId="0" ref="R18">
      <text>
        <t xml:space="preserve">2026-10-03 特殊資源調整。変更前: 15。通常地形産出を停止。ランダム配置からの採取は別定義。</t>
      </text>
    </comment>
    <comment authorId="0" ref="T18">
      <text>
        <t xml:space="preserve">2026-10-03 特殊資源調整。変更前: 15。通常地形産出を停止。ランダム配置からの採取は別定義。</t>
      </text>
    </comment>
    <comment authorId="0" ref="U18">
      <text>
        <t xml:space="preserve">2026-10-12 宝石の特殊資源化。変更前=10</t>
      </text>
    </comment>
    <comment authorId="0" ref="P10">
      <text>
        <t xml:space="preserve">2026-10-03 特殊資源調整。変更前: 15。通常地形産出を停止。ランダム配置からの採取は別定義。</t>
      </text>
    </comment>
    <comment authorId="0" ref="T10">
      <text>
        <t xml:space="preserve">2026-10-03 特殊資源調整。変更前: 25。通常地形産出を停止。ランダム配置からの採取は別定義。</t>
      </text>
    </comment>
    <comment authorId="0" ref="U10">
      <text>
        <t xml:space="preserve">2026-10-12 宝石の特殊資源化。変更前=15</t>
      </text>
    </comment>
    <comment authorId="0" ref="L19">
      <text>
        <t xml:space="preserve">2026-10-03 特殊資源調整。変更前: -50。通常地形産出を停止。ランダム配置からの採取は別定義。</t>
      </text>
    </comment>
    <comment authorId="0" ref="M19">
      <text>
        <t xml:space="preserve">2026-10-03 特殊資源調整。変更前: -20。通常地形産出を停止。ランダム配置からの採取は別定義。</t>
      </text>
    </comment>
    <comment authorId="0" ref="P11">
      <text>
        <t xml:space="preserve">2026-10-03 特殊資源調整。変更前: 30。通常地形産出を停止。ランダム配置からの採取は別定義。</t>
      </text>
    </comment>
    <comment authorId="0" ref="Q11">
      <text>
        <t xml:space="preserve">2026-10-03 特殊資源調整。変更前: 20。通常地形産出を停止。ランダム配置からの採取は別定義。</t>
      </text>
    </comment>
    <comment authorId="0" ref="R11">
      <text>
        <t xml:space="preserve">2026-10-03 特殊資源調整。変更前: 15。通常地形産出を停止。ランダム配置からの採取は別定義。</t>
      </text>
    </comment>
    <comment authorId="0" ref="BU1">
      <text>
        <t xml:space="preserve">調査必要APとは別の発見条件。必要Lvは暫定・0なら研究不要。採取速度用の研究区分とは別。</t>
      </text>
    </comment>
    <comment authorId="0" ref="L3">
      <text>
        <t xml:space="preserve">2026-10-03 特殊資源調整。変更前: 70。通常地形産出を停止。ランダム配置からの採取は別定義。</t>
      </text>
    </comment>
    <comment authorId="0" ref="BV1">
      <text>
        <t xml:space="preserve">調査必要APとは別の発見条件。必要Lvは暫定・0なら研究不要。採取速度用の研究区分とは別。</t>
      </text>
    </comment>
    <comment authorId="0" ref="T11">
      <text>
        <t xml:space="preserve">2026-10-03 特殊資源調整。変更前: 50。通常地形産出を停止。ランダム配置からの採取は別定義。</t>
      </text>
    </comment>
    <comment authorId="0" ref="M3">
      <text>
        <t xml:space="preserve">2026-10-03 特殊資源調整。変更前: 30。通常地形産出を停止。ランダム配置からの採取は別定義。</t>
      </text>
    </comment>
    <comment authorId="0" ref="BW1">
      <text>
        <t xml:space="preserve">JSON。災害ID、候補地形/隣接地形、地下可、地域サイズ/配置率/半径。基本地形を置き換えず環境へ配置。</t>
      </text>
    </comment>
    <comment authorId="0" ref="U11">
      <text>
        <t xml:space="preserve">2026-10-12 宝石の特殊資源化。変更前=50</t>
      </text>
    </comment>
    <comment authorId="0" ref="T3">
      <text>
        <t xml:space="preserve">2026-10-03 特殊資源調整。変更前: 10。通常地形産出を停止。ランダム配置からの採取は別定義。</t>
      </text>
    </comment>
    <comment authorId="0" ref="U3">
      <text>
        <t xml:space="preserve">2026-10-12 宝石の特殊資源化。変更前=10</t>
      </text>
    </comment>
    <comment authorId="0" ref="L12">
      <text>
        <t xml:space="preserve">2026-10-03 特殊資源調整。変更前: 5。通常地形産出を停止。ランダム配置からの採取は別定義。</t>
      </text>
    </comment>
    <comment authorId="0" ref="L4">
      <text>
        <t xml:space="preserve">2026-10-03 特殊資源調整。変更前: 25。通常地形産出を停止。ランダム配置からの採取は別定義。</t>
      </text>
    </comment>
    <comment authorId="0" ref="T12">
      <text>
        <t xml:space="preserve">2026-10-03 特殊資源調整。変更前: 5。通常地形産出を停止。ランダム配置からの採取は別定義。</t>
      </text>
    </comment>
    <comment authorId="0" ref="M4">
      <text>
        <t xml:space="preserve">2026-10-03 特殊資源調整。変更前: 5。通常地形産出を停止。ランダム配置からの採取は別定義。</t>
      </text>
    </comment>
    <comment authorId="0" ref="U12">
      <text>
        <t xml:space="preserve">2026-10-12 宝石の特殊資源化。変更前=5</t>
      </text>
    </comment>
    <comment authorId="0" ref="P4">
      <text>
        <t xml:space="preserve">2026-10-03 特殊資源調整。変更前: 40。通常地形産出を停止。ランダム配置からの採取は別定義。</t>
      </text>
    </comment>
    <comment authorId="0" ref="Q4">
      <text>
        <t xml:space="preserve">2026-10-03 特殊資源調整。変更前: 20。通常地形産出を停止。ランダム配置からの採取は別定義。</t>
      </text>
    </comment>
    <comment authorId="0" ref="R4">
      <text>
        <t xml:space="preserve">2026-10-03 特殊資源調整。変更前: 10。通常地形産出を停止。ランダム配置からの採取は別定義。</t>
      </text>
    </comment>
    <comment authorId="0" ref="L29">
      <text>
        <t xml:space="preserve">2026-10-03 特殊資源調整。変更前: -10。通常地形産出を停止。ランダム配置からの採取は別定義。</t>
      </text>
    </comment>
    <comment authorId="0" ref="T4">
      <text>
        <t xml:space="preserve">2026-10-03 特殊資源調整。変更前: 25。通常地形産出を停止。ランダム配置からの採取は別定義。</t>
      </text>
    </comment>
    <comment authorId="0" ref="M29">
      <text>
        <t xml:space="preserve">2026-10-03 特殊資源調整。変更前: -10。通常地形産出を停止。ランダム配置からの採取は別定義。</t>
      </text>
    </comment>
    <comment authorId="0" ref="U4">
      <text>
        <t xml:space="preserve">2026-10-12 宝石の特殊資源化。変更前=10</t>
      </text>
    </comment>
    <comment authorId="0" ref="P29">
      <text>
        <t xml:space="preserve">2026-10-03 特殊資源調整。変更前: -10。通常地形産出を停止。ランダム配置からの採取は別定義。</t>
      </text>
    </comment>
    <comment authorId="0" ref="Q29">
      <text>
        <t xml:space="preserve">2026-10-03 特殊資源調整。変更前: -10。通常地形産出を停止。ランダム配置からの採取は別定義。</t>
      </text>
    </comment>
    <comment authorId="0" ref="R29">
      <text>
        <t xml:space="preserve">2026-10-03 特殊資源調整。変更前: -10。通常地形産出を停止。ランダム配置からの採取は別定義。</t>
      </text>
    </comment>
    <comment authorId="0" ref="T29">
      <text>
        <t xml:space="preserve">2026-10-03 特殊資源調整。変更前: -10。通常地形産出を停止。ランダム配置からの採取は別定義。</t>
      </text>
    </comment>
    <comment authorId="0" ref="U29">
      <text>
        <t xml:space="preserve">2026-10-12 宝石の特殊資源化。変更前=-10</t>
      </text>
    </comment>
    <comment authorId="0" ref="L13">
      <text>
        <t xml:space="preserve">2026-10-03 特殊資源調整。変更前: 5。通常地形産出を停止。ランダム配置からの採取は別定義。</t>
      </text>
    </comment>
    <comment authorId="0" ref="L5">
      <text>
        <t xml:space="preserve">2026-10-03 特殊資源調整。変更前: 10。通常地形産出を停止。ランダム配置からの採取は別定義。</t>
      </text>
    </comment>
    <comment authorId="0" ref="T13">
      <text>
        <t xml:space="preserve">2026-10-03 特殊資源調整。変更前: 5。通常地形産出を停止。ランダム配置からの採取は別定義。</t>
      </text>
    </comment>
    <comment authorId="0" ref="U13">
      <text>
        <t xml:space="preserve">2026-10-12 宝石の特殊資源化。変更前=5</t>
      </text>
    </comment>
    <comment authorId="0" ref="P5">
      <text>
        <t xml:space="preserve">2026-10-03 特殊資源調整。変更前: 80。通常地形産出を停止。ランダム配置からの採取は別定義。</t>
      </text>
    </comment>
    <comment authorId="0" ref="Q5">
      <text>
        <t xml:space="preserve">2026-10-03 特殊資源調整。変更前: 50。通常地形産出を停止。ランダム配置からの採取は別定義。</t>
      </text>
    </comment>
    <comment authorId="0" ref="R5">
      <text>
        <t xml:space="preserve">2026-10-03 特殊資源調整。変更前: 30。通常地形産出を停止。ランダム配置からの採取は別定義。</t>
      </text>
    </comment>
    <comment authorId="0" ref="L30">
      <text>
        <t xml:space="preserve">2026-10-03 特殊資源調整。変更前: -10。通常地形産出を停止。ランダム配置からの採取は別定義。</t>
      </text>
    </comment>
    <comment authorId="0" ref="T5">
      <text>
        <t xml:space="preserve">2026-10-03 特殊資源調整。変更前: 100。通常地形産出を停止。ランダム配置からの採取は別定義。</t>
      </text>
    </comment>
    <comment authorId="0" ref="M30">
      <text>
        <t xml:space="preserve">2026-10-03 特殊資源調整。変更前: -10。通常地形産出を停止。ランダム配置からの採取は別定義。</t>
      </text>
    </comment>
    <comment authorId="0" ref="U5">
      <text>
        <t xml:space="preserve">2026-10-12 宝石の特殊資源化。変更前=50</t>
      </text>
    </comment>
    <comment authorId="0" ref="P30">
      <text>
        <t xml:space="preserve">2026-10-03 特殊資源調整。変更前: -10。通常地形産出を停止。ランダム配置からの採取は別定義。</t>
      </text>
    </comment>
    <comment authorId="0" ref="Q30">
      <text>
        <t xml:space="preserve">2026-10-03 特殊資源調整。変更前: -10。通常地形産出を停止。ランダム配置からの採取は別定義。</t>
      </text>
    </comment>
    <comment authorId="0" ref="R30">
      <text>
        <t xml:space="preserve">2026-10-03 特殊資源調整。変更前: -10。通常地形産出を停止。ランダム配置からの採取は別定義。</t>
      </text>
    </comment>
    <comment authorId="0" ref="T30">
      <text>
        <t xml:space="preserve">2026-10-03 特殊資源調整。変更前: -10。通常地形産出を停止。ランダム配置からの採取は別定義。</t>
      </text>
    </comment>
    <comment authorId="0" ref="U30">
      <text>
        <t xml:space="preserve">2026-10-12 宝石の特殊資源化。変更前=-10</t>
      </text>
    </comment>
    <comment authorId="0" ref="P14">
      <text>
        <t xml:space="preserve">2026-10-03 特殊資源調整。変更前: 60。通常地形産出を停止。ランダム配置からの採取は別定義。</t>
      </text>
    </comment>
    <comment authorId="0" ref="Q14">
      <text>
        <t xml:space="preserve">2026-10-03 特殊資源調整。変更前: 40。通常地形産出を停止。ランダム配置からの採取は別定義。</t>
      </text>
    </comment>
    <comment authorId="0" ref="R14">
      <text>
        <t xml:space="preserve">2026-10-03 特殊資源調整。変更前: 25。通常地形産出を停止。ランダム配置からの採取は別定義。</t>
      </text>
    </comment>
    <comment authorId="0" ref="T14">
      <text>
        <t xml:space="preserve">2026-10-03 特殊資源調整。変更前: 35。通常地形産出を停止。ランダム配置からの採取は別定義。</t>
      </text>
    </comment>
    <comment authorId="0" ref="U14">
      <text>
        <t xml:space="preserve">2026-10-12 宝石の特殊資源化。変更前=25</t>
      </text>
    </comment>
    <comment authorId="0" ref="P6">
      <text>
        <t xml:space="preserve">2026-10-03 特殊資源調整。変更前: 25。通常地形産出を停止。ランダム配置からの採取は別定義。</t>
      </text>
    </comment>
    <comment authorId="0" ref="L31">
      <text>
        <t xml:space="preserve">2026-10-03 特殊資源調整。変更前: -10。通常地形産出を停止。ランダム配置からの採取は別定義。</t>
      </text>
    </comment>
    <comment authorId="0" ref="T6">
      <text>
        <t xml:space="preserve">2026-10-03 特殊資源調整。変更前: 15。通常地形産出を停止。ランダム配置からの採取は別定義。</t>
      </text>
    </comment>
    <comment authorId="0" ref="M31">
      <text>
        <t xml:space="preserve">2026-10-03 特殊資源調整。変更前: -10。通常地形産出を停止。ランダム配置からの採取は別定義。</t>
      </text>
    </comment>
    <comment authorId="0" ref="U6">
      <text>
        <t xml:space="preserve">2026-10-12 宝石の特殊資源化。変更前=10</t>
      </text>
    </comment>
    <comment authorId="0" ref="P31">
      <text>
        <t xml:space="preserve">2026-10-03 特殊資源調整。変更前: -10。通常地形産出を停止。ランダム配置からの採取は別定義。</t>
      </text>
    </comment>
    <comment authorId="0" ref="Q31">
      <text>
        <t xml:space="preserve">2026-10-03 特殊資源調整。変更前: -10。通常地形産出を停止。ランダム配置からの採取は別定義。</t>
      </text>
    </comment>
    <comment authorId="0" ref="R31">
      <text>
        <t xml:space="preserve">2026-10-03 特殊資源調整。変更前: -10。通常地形産出を停止。ランダム配置からの採取は別定義。</t>
      </text>
    </comment>
    <comment authorId="0" ref="T31">
      <text>
        <t xml:space="preserve">2026-10-03 特殊資源調整。変更前: -10。通常地形産出を停止。ランダム配置からの採取は別定義。</t>
      </text>
    </comment>
    <comment authorId="0" ref="U31">
      <text>
        <t xml:space="preserve">2026-10-12 宝石の特殊資源化。変更前=-10</t>
      </text>
    </comment>
    <comment authorId="0" ref="T23">
      <text>
        <t xml:space="preserve">2026-10-03 特殊資源調整。変更前: 40。通常地形産出を停止。ランダム配置からの採取は別定義。</t>
      </text>
    </comment>
    <comment authorId="0" ref="P15">
      <text>
        <t xml:space="preserve">2026-10-03 特殊資源調整。変更前: 120。通常地形産出を停止。ランダム配置からの採取は別定義。</t>
      </text>
    </comment>
    <comment authorId="0" ref="Q15">
      <text>
        <t xml:space="preserve">2026-10-03 特殊資源調整。変更前: 80。通常地形産出を停止。ランダム配置からの採取は別定義。</t>
      </text>
    </comment>
    <comment authorId="0" ref="R15">
      <text>
        <t xml:space="preserve">2026-10-03 特殊資源調整。変更前: 60。通常地形産出を停止。ランダム配置からの採取は別定義。</t>
      </text>
    </comment>
    <comment authorId="0" ref="T15">
      <text>
        <t xml:space="preserve">2026-10-03 特殊資源調整。変更前: 80。通常地形産出を停止。ランダム配置からの採取は別定義。</t>
      </text>
    </comment>
    <comment authorId="0" ref="U15">
      <text>
        <t xml:space="preserve">2026-10-12 宝石の特殊資源化。変更前=120</t>
      </text>
    </comment>
    <comment authorId="0" ref="T7">
      <text>
        <t xml:space="preserve">2026-10-03 特殊資源調整。変更前: 15。通常地形産出を停止。ランダム配置からの採取は別定義。</t>
      </text>
    </comment>
    <comment authorId="0" ref="U7">
      <text>
        <t xml:space="preserve">2026-10-12 宝石の特殊資源化。変更前=5</t>
      </text>
    </comment>
    <comment authorId="0" ref="U24">
      <text>
        <t xml:space="preserve">2026-10-12 宝石の特殊資源化。変更前=40</t>
      </text>
    </comment>
    <comment authorId="0" ref="P16">
      <text>
        <t xml:space="preserve">2026-10-03 特殊資源調整。変更前: 20。通常地形産出を停止。ランダム配置からの採取は別定義。</t>
      </text>
    </comment>
    <comment authorId="0" ref="Q16">
      <text>
        <t xml:space="preserve">2026-10-03 特殊資源調整。変更前: 5。通常地形産出を停止。ランダム配置からの採取は別定義。</t>
      </text>
    </comment>
    <comment authorId="0" ref="T16">
      <text>
        <t xml:space="preserve">2026-10-03 特殊資源調整。変更前: 10。通常地形産出を停止。ランダム配置からの採取は別定義。</t>
      </text>
    </comment>
    <comment authorId="0" ref="U16">
      <text>
        <t xml:space="preserve">2026-10-12 宝石の特殊資源化。変更前=8</t>
      </text>
    </comment>
    <comment authorId="0" ref="T8">
      <text>
        <t xml:space="preserve">2026-10-03 特殊資源調整。変更前: 15。通常地形産出を停止。ランダム配置からの採取は別定義。</t>
      </text>
    </comment>
    <comment authorId="0" ref="U8">
      <text>
        <t xml:space="preserve">2026-10-12 宝石の特殊資源化。変更前=5</t>
      </text>
    </comment>
    <comment authorId="0" ref="P17">
      <text>
        <t xml:space="preserve">2026-10-03 特殊資源調整。変更前: 140。通常地形産出を停止。ランダム配置からの採取は別定義。</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G1">
      <text>
        <t xml:space="preserve">晴れ/雨/豪雨/雷雨/雪/吹雪をスラッシュ区切り。合致する現在天候で抽選重み2倍、他は1倍。空欄は補正なし。</t>
      </text>
    </comment>
    <comment authorId="0" ref="AA1">
      <text>
        <t xml:space="preserve">洞窟の遭遇配置。単独/小集団/群れ。空欄は単独。</t>
      </text>
    </comment>
    <comment authorId="0" ref="AB1">
      <text>
        <t xml:space="preserve">1グループの最小個体数。暫定値、後から調整可。</t>
      </text>
    </comment>
    <comment authorId="0" ref="AC1">
      <text>
        <t xml:space="preserve">1グループの最大個体数。配置床が不足すれば置ける数まで。</t>
      </text>
    </comment>
    <comment authorId="0" ref="AD1">
      <text>
        <t xml:space="preserve">1=単独、3=3体をまとめた1軍隊ユニット。出現数・集団数は別マスに置くユニット数であり、この人数とは別。未設定は1。</t>
      </text>
    </comment>
    <comment authorId="0" ref="AE1">
      <text>
        <t xml:space="preserve">地域の基準気温（℃）の下限、含む。空欄は下限制限なし。地下マップは地上気候判定の対象外。暫定バランス値。</t>
      </text>
    </comment>
    <comment authorId="0" ref="AF1">
      <text>
        <t xml:space="preserve">地域の基準気温（℃）の上限、含む。空欄は上限制限なし。一時的な天候変化で既存個体を消さない。</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
      <text>
        <t xml:space="preserve">召喚1体ごとに召喚時に追加消費する在庫資材。例: 宝石1 / 魂2。空欄なら追加消費なし。施設召喚の金Lv×2は別途必要。通常運用値は今回は空欄。</t>
      </text>
    </comment>
    <comment authorId="0" ref="N1">
      <text>
        <t xml:space="preserve">召喚1体ごとに5ターン間隔（config/v39-facility-summon-costs.json）で追加消費する在庫資材。例: 宝石1。空欄なら追加消費なし。施設召喚の金Lv×2は別途必要。土地保有扱いの特産品は対象外。</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0〜1。0.01=1%。災害種別ごとに1ターン1回抽選し地形相性で補正。全体の自然発生上限はコード共通設定。</t>
      </text>
    </comment>
    <comment authorId="0" ref="F1">
      <text>
        <t xml:space="preserve">中心からの六角マス距離。拠点対象は中心1マス。</t>
      </text>
    </comment>
    <comment authorId="0" ref="J1">
      <text>
        <t xml:space="preserve">1=通常、0.5=半減、0=停止。重複災害は最も低い倍率。</t>
      </text>
    </comment>
    <comment authorId="0" ref="K1">
      <text>
        <t xml:space="preserve">発生ターンを含む持続。3なら発生時と次の2ターン。</t>
      </text>
    </comment>
    <comment authorId="0" ref="N1">
      <text>
        <t xml:space="preserve">影響範囲にある拠点の治安への補正。</t>
      </text>
    </comment>
    <comment authorId="0" ref="O1">
      <text>
        <t xml:space="preserve">カンマ区切りの地形名部分一致。空欄=陸地全般。</t>
      </text>
    </comment>
    <comment authorId="0" ref="P1">
      <text>
        <t xml:space="preserve">terrain=地形範囲、settlement=配置済みプレイヤー拠点の中心。</t>
      </text>
    </comment>
    <comment authorId="0" ref="Q1">
      <text>
        <t xml:space="preserve">0〜1。0.1=最大HP10%を毎ターン。被害は同じターンに重複実行しない。</t>
      </text>
    </comment>
    <comment authorId="0" ref="R1">
      <text>
        <t xml:space="preserve">TRUE=発生時に既存の通常敵から1体追加。</t>
      </text>
    </comment>
    <comment authorId="0" ref="S1">
      <text>
        <t xml:space="preserve">TRUE=既存の不浄・アンデッド自然発生に補正。</t>
      </text>
    </comment>
    <comment authorId="0" ref="T1">
      <text>
        <t xml:space="preserve">専用画像がない場合の短い代替文字。</t>
      </text>
    </comment>
    <comment authorId="0" ref="U1">
      <text>
        <t xml:space="preserve">4列×3行の画像シート名。空欄なら代替文字。</t>
      </text>
    </comment>
    <comment authorId="0" ref="V1">
      <text>
        <t xml:space="preserve">左上から横順の1〜12。</t>
      </text>
    </comment>
    <comment authorId="0" ref="W1">
      <text>
        <t xml:space="preserve">FALSEで自然発生・テスト強制の両方を停止。火山は従来の火山システムが担当。</t>
      </text>
    </comment>
    <comment authorId="0" ref="X1">
      <text>
        <t xml:space="preserve">同じ種別・同じ中心マスでの自然発生待機。テスト強制は無視。</t>
      </text>
    </comment>
    <comment authorId="0" ref="Y1">
      <text>
        <t xml:space="preserve">説明文の将来効果と実装済み効果を区別。</t>
      </text>
    </comment>
    <comment authorId="0" ref="Z1">
      <text>
        <t xml:space="preserve">0.1=最大HP10%。被災マスへ1マス入るごとに適用。移動開始地点・座標不変では適用しない。0=通過被害なし。</t>
      </text>
    </comment>
    <comment authorId="0" ref="AA1">
      <text>
        <t xml:space="preserve">滞在時の基礎威力またはHP割合に乗算。山火事は炎20×3=威力60を通常ダメージ計算へ渡す。人口被害は乗算しない。</t>
      </text>
    </comment>
    <comment authorId="0" ref="AB1">
      <text>
        <t xml:space="preserve">威力ダメージの属性名。例:炎。威力未設定なら従来のHP割合方式。</t>
      </text>
    </comment>
    <comment authorId="0" ref="AC1">
      <text>
        <t xml:space="preserve">発生時/毎ターンの基礎威力。滞在倍率を掛けた後に通常戦闘の防御・耐性・盾/障壁計算を行う。</t>
      </text>
    </comment>
    <comment authorId="0" ref="AD1">
      <text>
        <t xml:space="preserve">被災マスへ入るごとの威力。移動開始地点は除外。0=通過被害なし。</t>
      </text>
    </comment>
    <comment authorId="0" ref="AE1">
      <text>
        <t xml:space="preserve">全域=範囲全体。ランダム=毎ターン範囲内から重複なしでマスを抽選。ユニットは狙わず空きマスにも当たる。</t>
      </text>
    </comment>
    <comment authorId="0" ref="AF1">
      <text>
        <t xml:space="preserve">ランダム被害基準マス数が0/空欄の場合の固定発数。0なら被害なし。基準マス数が正数の場合は面積比例を優先。</t>
      </text>
    </comment>
    <comment authorId="0" ref="AG1">
      <text>
        <t xml:space="preserve">ランダム方式の面積比例の分母。3なら範囲マス数÷3の整数分を確定し、小数部分の確率で1発追加。0/空欄なら固定のランダム被害マス数を使う。</t>
      </text>
    </comment>
    <comment authorId="0" ref="AH1">
      <text>
        <t xml:space="preserve">カンマ区切り。自然=通常抽選、条件付き=条件成立中のみ抽選。条件イベント/イベント/専用処理は共通自然抽選の対象外。魔法/テストは既存の直接発生を共用。</t>
      </text>
    </comment>
    <comment authorId="0" ref="AI1">
      <text>
        <t xml:space="preserve">乾燥/豪雨/雷雨/強風/寒冷/高温/不浄。空欄=追加条件なし。閾値はconfig/v39-weather.jsonで共通管理。</t>
      </text>
    </comment>
    <comment authorId="0" ref="AJ1">
      <text>
        <t xml:space="preserve">乾燥/降雨/同一天候などが継続すべきターン。条件成立後に基本発生率で抽選する。</t>
      </text>
    </comment>
    <comment authorId="0" ref="AK1">
      <text>
        <t xml:space="preserve">TRUEは常設の発生源を持つ環境効果。通常の自然災害抽選・期限切れとは別管理。</t>
      </text>
    </comment>
    <comment authorId="0" ref="AL1">
      <text>
        <t xml:space="preserve">JSON。色、接触型、毒威力/持続、移動倍率、回復倍率、浄化低下、風での抑制期間。数値は暫定。</t>
      </text>
    </comment>
    <comment authorId="0" ref="AM1">
      <text>
        <t xml:space="preserve">攻撃専用。地形破壊/落石/瓦礫。自然災害とは別処理。空欄は従来処理。</t>
      </text>
    </comment>
    <comment authorId="0" ref="AN1">
      <text>
        <t xml:space="preserve">スラッシュ区切りの攻撃成分。同じ行は最大値を使用。例:物理/打撃。</t>
      </text>
    </comment>
    <comment authorId="0" ref="AO1">
      <text>
        <t xml:space="preserve">到達威力から引く軽減値。0以下は地形ダメージなし。地上200、洞窟岩壁50、瓦礫0。地形被害倍率は減算後に乗算。</t>
      </text>
    </comment>
    <comment authorId="0" ref="AP1">
      <text>
        <t xml:space="preserve">地形/瓦礫の初期耐久。正数必須。対象地形は完全一致、スラッシュ区切り。</t>
      </text>
    </comment>
    <comment authorId="0" ref="AQ1">
      <text>
        <t xml:space="preserve">(到達威力-攻撃発生威力)に乗算。瓦礫への攻撃にも使用。</t>
      </text>
    </comment>
    <comment authorId="0" ref="AR1">
      <text>
        <t xml:space="preserve">地上の崩壊時に下げる高度段階数。地下では変化後地形に変換し隣接床に合わせる。</t>
      </text>
    </comment>
    <comment authorId="0" ref="AS1">
      <text>
        <t xml:space="preserve">瓦礫撤去1回のAP。攻撃値分の耐久を削る。</t>
      </text>
    </comment>
    <comment authorId="0" ref="AT1">
      <text>
        <t xml:space="preserve">地下の破壊後地形。空欄なら地形名は維持。</t>
      </text>
    </comment>
    <comment authorId="0" ref="AU1">
      <text>
        <t xml:space="preserve">地形破壊から落石までの猶予T。最低1。敵/AI処理中の発生は次の行動期間を残すため+1T。</t>
      </text>
    </comment>
    <comment authorId="0" ref="AV1">
      <text>
        <t xml:space="preserve">JSON。movement/stepsPerTurn、maximumRadius/radiusGrowthPerTurnで移動と発達。radiusDecayPerTurnを設定すると暖かい海のみ発達し、陸地・湖・minimumClimateTemperature未満の海では毎T半径を減らす。半径0の次の衰弱で消滅。minimumHeight/maximumHeight/minimumClimateTemperatureで配置と進行制限。rubbleDurability、weather/weatherHumidity、triggerDisaster/triggerRadius、visionPenalty/scoutPenalty/rangedAccuracyMultiplier。powerRange={minimum,maximum,humidityMinimum,humidityMaximum}とmagicPowerで自然/魔法の威力を設定。空欄は従来動作。damageComponents=[{element,weight}]で合計威力を属性別に配分。knockback={resistanceKey,powerPerTile,maximumDistance}で耐性軽減後の吹き飛ばしを設定。判定はHP被害とは別。fogPenalty=trueで範囲を横断するマス数に応じて通常の霧と同じ索敵・視界ペナルティ（霧の数値を共用。重複マスは1回、霧画像は追加しない）。 movementImpediment={power,reductionPerPower,edgeMultiplier,flightMultiplier,maximumReduction}で移動阻害用威力と低下率を設定。中心から外縁へ威力を減衰し、通常防御で軽減後に率換算。飛行は2倍、最大低下率は1未満。HPダメージには使わない。 followWind=trueで地域の風向に追従。windTurnSteps=1は1T最大60度の旋回（0〜3）。風向が取得できない場合は従来の方向を維持。 facilityDamageMultiplierは施設HP被害の威力倍率。未設定/0は施設被害なし、1で災害威力をそのまま使用。拠点防御・属性耐性・災害耐性で軽減し、HP0は修理可能な損壊。同Tの同一災害は再処理しない。</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複数条件は / でAND、地形候補は | でOR。研究Lvは拠点/国家研究の高い方。農場数は完成済みの配置施設。人口は当該拠点。周辺地形は中心+周囲1マス。洞窟ワールドはcave:系。アンデッドは最多人口の住民種族。</t>
      </text>
    </comment>
    <comment authorId="0" ref="G1">
      <text>
        <t xml:space="preserve">選択/自動付与に必要な拠点規模。1村/2町/3都市/4大都市。通常特化は選択時だけ判定。</t>
      </text>
    </comment>
    <comment authorId="0" ref="H1">
      <text>
        <t xml:space="preserve">領土の食料収入への加算率(%)。25なら1.25倍。通常特化とレア特性は乗算。空欄は0。</t>
      </text>
    </comment>
    <comment authorId="0" ref="I1">
      <text>
        <t xml:space="preserve">領土の資材収入への加算率(%)。25なら1.25倍。空欄は0。</t>
      </text>
    </comment>
    <comment authorId="0" ref="J1">
      <text>
        <t xml:space="preserve">幸福度目標への加算。旧・幸福度補正の値を引き継ぐ。空欄0。</t>
      </text>
    </comment>
    <comment authorId="0" ref="K1">
      <text>
        <t xml:space="preserve">治安目標への加算。旧・治安補正の値を引き継ぐ。空欄0。</t>
      </text>
    </comment>
    <comment authorId="0" ref="L1">
      <text>
        <t xml:space="preserve">当該拠点に所属する領土への勢力/野生敵の攻撃ダメージ軽減率(%)。0〜90。災害やユニットへの攻撃は対象外。</t>
      </text>
    </comment>
    <comment authorId="0" ref="M1">
      <text>
        <t xml:space="preserve">通常特化を切り替えた後、次の切替まで待つターン数。初回選択は即時。レアは使わない。</t>
      </text>
    </comment>
    <comment authorId="0" ref="N1">
      <text>
        <t xml:space="preserve">拠点の生産技能・農業へ加算。産出率25%ではなく技能25点。既存の技能→生産倍率表を使う。</t>
      </text>
    </comment>
    <comment authorId="0" ref="O1">
      <text>
        <t xml:space="preserve">拠点の生産技能・林業へ加算。空欄0。</t>
      </text>
    </comment>
    <comment authorId="0" ref="P1">
      <text>
        <t xml:space="preserve">拠点の生産技能・漁業へ加算。空欄0。</t>
      </text>
    </comment>
    <comment authorId="0" ref="Q1">
      <text>
        <t xml:space="preserve">拠点の生産技能・工業へ加算。空欄0。</t>
      </text>
    </comment>
    <comment authorId="0" ref="R1">
      <text>
        <t xml:space="preserve">この拠点所属の研究担当者の魔法研究で使う魔術へ加算。元ユニット技能は変更しない。召喚Lvとは別。</t>
      </text>
    </comment>
    <comment authorId="0" ref="S1">
      <text>
        <t xml:space="preserve">毎ターン、その拠点に属する領土マスの浄化値へ加算。重複処理しない。</t>
      </text>
    </comment>
    <comment authorId="0" ref="T1">
      <text>
        <t xml:space="preserve">拠点の自領マスで既存の自然回復条件を満たすユニットの回復率(最大HP%)へ加算。2なら2ポイント増。</t>
      </text>
    </comment>
    <comment authorId="0" ref="U1">
      <text>
        <t xml:space="preserve">所属研究担当者の研究EXP/ターンへの加算率(%)。25なら1.25倍。</t>
      </text>
    </comment>
    <comment authorId="0" ref="V1">
      <text>
        <t xml:space="preserve">この拠点での訓練EXP/ターンへの加算率(%)。教官込みの値へ適用。教官報酬は変えない。</t>
      </text>
    </comment>
    <comment authorId="0" ref="W1">
      <text>
        <t xml:space="preserve">この拠点での軍隊保有上限へ加算。旧・軍隊上限補正の値を引き継ぐ。ヒーロー枠・同時訓練数は別。</t>
      </text>
    </comment>
    <comment authorId="0" ref="X1">
      <text>
        <t xml:space="preserve">この拠点所属ユニットの積載容量への加算率(%)。交易/物流/採取で共通使用。</t>
      </text>
    </comment>
    <comment authorId="0" ref="Y1">
      <text>
        <t xml:space="preserve">この拠点所属の交渉者の交渉技能へ加算。威圧は対象外。</t>
      </text>
    </comment>
    <comment authorId="0" ref="Z1">
      <text>
        <t xml:space="preserve">この拠点の施設召喚、所属召喚者のスキル召喚の生成Lvへ加算。候補解禁は元Lvのまま。</t>
      </text>
    </comment>
    <comment authorId="0" ref="AA1">
      <text>
        <t xml:space="preserve">この拠点でのヒーロー保有上限への加算。英雄誕生枠は別。空欄0。</t>
      </text>
    </comment>
    <comment authorId="0" ref="AB1">
      <text>
        <t xml:space="preserve">イベント会話シートのIDを / 区切り。ID=25なら毎ターン25%で候補化、IDのみは100%。既存の発生条件・実行方式を維持。</t>
      </text>
    </comment>
    <comment authorId="0" ref="AC1">
      <text>
        <t xml:space="preserve">毎ターンこの拠点の自領で発展させる道路マス数。近い未整備マス優先、道路1→2→3。海・湖・壁・溶岩等と特殊資源は変更しない。空欄0。</t>
      </text>
    </comment>
    <comment authorId="0" ref="AD1">
      <text>
        <t xml:space="preserve">環境安定度目標への加算。0基準・0〜100。自然災害の発生確率へ(1-安定度/100)を乗算。強制/魔法災害は発生率抑制しない。</t>
      </text>
    </comment>
    <comment authorId="0" ref="AE1">
      <text>
        <t xml:space="preserve">毎ターンの浄化値を減らす値。浄化-穢れで加算。下限-20は既存設定。空欄0。</t>
      </text>
    </comment>
    <comment authorId="0" ref="AF1">
      <text>
        <t xml:space="preserve">未指定/所属領土=この拠点の自領全体。中心0/周囲N=同一ワールドの所属領土のうち中心からNマス以内。現地の常時スキル/浄化/回復/都市耐性/災害耐性に適用。</t>
      </text>
    </comment>
    <comment authorId="0" ref="AG1">
      <text>
        <t xml:space="preserve">スキル一覧のパッシブ(P)名を / 区切り。範囲内の自軍に付与し、対象・条件は既存ルールを使う。同名重複なし。範囲外で解除。アクティブの自動使用は行わない。</t>
      </text>
    </comment>
    <comment authorId="0" ref="AH1">
      <text>
        <t xml:space="preserve">都市の領土・施設への攻撃耐性。例 炎20/氷10。既存属性・耐性式を共用。住民ユニットには自動付与しない。</t>
      </text>
    </comment>
    <comment authorId="0" ref="AI1">
      <text>
        <t xml:space="preserve">災害名またはID=軽減率(%)を / 区切り。例 山火事=50/落雷嵐=-20。正数は被害軽減、負数は弱点。土地・施設・備蓄/住民被害に適用、発生率やユニット耐性とは別。</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M1">
      <text>
        <t xml:space="preserve">改築元がある場合、新規建築時間から差し引くターン数。港は船着き場の建築時間を参照。未接続。</t>
      </text>
    </comment>
    <comment authorId="0" ref="BN1">
      <text>
        <t xml:space="preserve">生体 / 魂 / 死体 / なし。死体は霊廟に回収・保管し、保管中の浄化低下・自然アンデッド化・消滅を停止する。</t>
      </text>
    </comment>
    <comment authorId="0" ref="BO1">
      <text>
        <t xml:space="preserve">プレイヤー種族 / 全ユニット。兵舎はプレイヤー種族のみ。魔獣研究所は全ユニットを素材として保管できる。</t>
      </text>
    </comment>
    <comment authorId="0" ref="D1">
      <text>
        <t xml:space="preserve">同じマスの完成施設がこの名前なら改築扱い。新規建設に必須という意味ではない。未接続。</t>
      </text>
    </comment>
    <comment authorId="0" ref="BP1">
      <text>
        <t xml:space="preserve">生体・死体の施設ごとの格納上限。0は上限なし。魂は現在勢力共通・上限なし。</t>
      </text>
    </comment>
    <comment authorId="0" ref="BQ1">
      <text>
        <t xml:space="preserve">1棟につき、毎ターンこの拠点の領土内の死亡による浄化低下を防ぐ件数。死亡したマスへの即時低下だけを防ぎ、死体放置・死の霧・死の刃は別。0は保護なし。</t>
      </text>
    </comment>
    <comment authorId="0" ref="BR1">
      <text>
        <t xml:space="preserve">建設に必要な施設名。/区切りで全て必要。改築とは別で元施設は残る。空欄は条件なし。村/町/都市/大都市はその規模以上で満たす。</t>
      </text>
    </comment>
    <comment authorId="0" ref="BS1">
      <text>
        <t xml:space="preserve">施設を選ぶ目的。食料/生産/防衛/研究/魔術/信仰/物流/交易/生活/医療/浄化/探索/魂/合成/拠点。適性や不足に合わせて枝を選び、全施設の建設を強制しない。</t>
      </text>
    </comment>
    <comment authorId="0" ref="BT1">
      <text>
        <t xml:space="preserve">自動建設候補の基礎優先度。数値が大きいほど優先。今回の値は仮設定。緊急度・資源確保可否を判断するAI処理への接続は別途必要。</t>
      </text>
    </comment>
    <comment authorId="0" ref="BU1">
      <text>
        <t xml:space="preserve">対象系統。全般/火精霊/水精霊/風精霊/土精霊/アンデッド/エンジェル/デヴィル。施設は自勢力の完成施設のみ有効。</t>
      </text>
    </comment>
    <comment authorId="0" ref="BV1">
      <text>
        <t xml:space="preserve">候補選択前の上限。施設なし基礎10、通常上限25。最大値を採用し加算しない。I=10、II=20（暫定）、III=25。</t>
      </text>
    </comment>
    <comment authorId="0" ref="N5">
      <text>
        <t xml:space="preserve">2026-10-12 特殊素材の旧単位費用を÷100・四捨五入。変更前=400
元数式==M4*2
丸め後の前行参照で元値の換算を再現できないため固定値へ変更。</t>
      </text>
    </comment>
    <comment authorId="0" ref="BW1">
      <text>
        <t xml:space="preserve">スキル召喚の生成Lvへのランク補正。I=1/II=2/III=3。召喚完成Lv補正と重ねず最大値。施設召喚本体にはランク補正を加えない。</t>
      </text>
    </comment>
    <comment authorId="0" ref="O5">
      <text>
        <t xml:space="preserve">2026-10-12 特殊素材の旧単位費用を÷100・四捨五入。変更前=100
元数式==N4*2
丸め後の前行参照で元値の換算を再現できないため固定値へ変更。</t>
      </text>
    </comment>
    <comment authorId="0" ref="BX1">
      <text>
        <t xml:space="preserve">完成ボーナスに必要な施設名。/区切りで全て必要。上位改築は下位段階も満たす。単独ランク補正には影響しない。</t>
      </text>
    </comment>
    <comment authorId="0" ref="N3">
      <text>
        <t xml:space="preserve">2026-10-12 特殊素材の旧単位費用を÷100・四捨五入。変更前=50</t>
      </text>
    </comment>
    <comment authorId="0" ref="BY1">
      <text>
        <t xml:space="preserve">魂変換倍率と転生最低Lvが作用する種族名。人口用の魂だけが対象、合成用保管魂は別。</t>
      </text>
    </comment>
    <comment authorId="0" ref="BZ1">
      <text>
        <t xml:space="preserve">人口・生贄の魂変換倍率。対応種族の最高倍率のみ。1/1.10/1.25/1.50は暫定。端数は人口用魂の残量として保持。</t>
      </text>
    </comment>
    <comment authorId="0" ref="R5">
      <text>
        <t xml:space="preserve">2026-10-12 特殊素材の旧単位費用を÷100・四捨五入。変更前=100
元数式==Q4*2
丸め後の前行参照で元値の換算を再現できないため固定値へ変更。</t>
      </text>
    </comment>
    <comment authorId="0" ref="CA1">
      <text>
        <t xml:space="preserve">転生時の取得種族Lvの最低保証。既に以上なら減らさず、不足分のみ取得。</t>
      </text>
    </comment>
    <comment authorId="0" ref="S5">
      <text>
        <t xml:space="preserve">2026-10-12 特殊素材の旧単位費用を÷100・四捨五入。変更前=50
元数式==R4*2
丸め後の前行参照で元値の換算を再現できないため固定値へ変更。</t>
      </text>
    </comment>
    <comment authorId="0" ref="CB1">
      <text>
        <t xml:space="preserve">同じ拠点内でこのIDを共有する施設は召喚枠1つ。I→II→IIIは同じマスで改築し、召喚中の個体・撃破後の待ち時間を引き継ぐ。</t>
      </text>
    </comment>
    <comment authorId="0" ref="T5">
      <text>
        <t xml:space="preserve">2026-10-12 特殊素材の旧単位費用を÷100・四捨五入。変更前=50
元数式==S4*2
丸め後の前行参照で元値の換算を再現できないため固定値へ変更。</t>
      </text>
    </comment>
    <comment authorId="0" ref="CC1">
      <text>
        <t xml:space="preserve">施設召喚体が撃破されたターンから再召喚可能までのターン数。初期25。スキル召喚のCTとは別。</t>
      </text>
    </comment>
    <comment authorId="0" ref="CD1">
      <text>
        <t xml:space="preserve">四属性完成I=1、II=3、III=5。対象上限Lv以内のみ。段階間・ランク補正とは加算せず最大値。上位への改築は下位完成条件も満たす。</t>
      </text>
    </comment>
    <comment authorId="0" ref="V5">
      <text>
        <t xml:space="preserve">2026-10-12 特殊素材の旧単位費用を÷100・四捨五入。変更前=200
元数式==U4*2
丸め後の前行参照で元値の換算を再現できないため固定値へ変更。</t>
      </text>
    </comment>
    <comment authorId="0" ref="CE1">
      <text>
        <t xml:space="preserve">完成ボーナス対象の召喚表Lv上限。補正前の表Lvで判定。四属性I=10、II=20、III=25。0/空欄は完成ボーナス対象外。</t>
      </text>
    </comment>
    <comment authorId="0" ref="CF1">
      <text>
        <t xml:space="preserve">完成済みのこの壁を自勢力・同盟ユニットが越えるときの移動AP増加率（%）。25なら最終移動APを1.25倍。破壊済み・未完成は対象外。複数壁の重複は最大値のみ。</t>
      </text>
    </comment>
    <comment authorId="0" ref="CG1">
      <text>
        <t xml:space="preserve">両側が同じ拠点の住居マスである完成壁1辺あたりの幸福度目標低下量。外周壁・破壊済み・未完成は対象外。</t>
      </text>
    </comment>
    <comment authorId="0" ref="CH1">
      <text>
        <t xml:space="preserve">拠点全体の内壁による幸福度低下上限（正の値）。複数種の内壁がある場合は該当する壁定義の最大上限を採用し、総低下量を制限する。10なら最大-10。</t>
      </text>
    </comment>
    <comment authorId="0" ref="AH1">
      <text>
        <t xml:space="preserve">対応する資源への施設生産補正（%）。施設倍率=1+(生産力+この項目)/100。生産力0なら100=2倍、0=1倍。施設マスは土地用途の減産倍率も適用する。</t>
      </text>
    </comment>
    <comment authorId="0" ref="AI1">
      <text>
        <t xml:space="preserve">対応する資源への施設生産補正（%）。施設倍率=1+(生産力+この項目)/100。生産力0なら100=2倍、0=1倍。施設マスは土地用途の減産倍率も適用する。</t>
      </text>
    </comment>
    <comment authorId="0" ref="AJ1">
      <text>
        <t xml:space="preserve">対応する資源への施設生産補正（%）。施設倍率=1+(生産力+この項目)/100。生産力0なら100=2倍、0=1倍。施設マスは土地用途の減産倍率も適用する。</t>
      </text>
    </comment>
    <comment authorId="0" ref="AK1">
      <text>
        <t xml:space="preserve">対応する資源への施設生産補正（%）。施設倍率=1+(生産力+この項目)/100。生産力0なら100=2倍、0=1倍。施設マスは土地用途の減産倍率も適用する。</t>
      </text>
    </comment>
    <comment authorId="0" ref="AP1">
      <text>
        <t xml:space="preserve">全資源への生産補正（%）。施設倍率=1+(生産力+対象資源の対応技能)/100。100なら2倍。土地用途倍率・人数の稼働率・拠点人口技能倍率とは別段階で掛ける。</t>
      </text>
    </comment>
    <comment authorId="0" ref="N4">
      <text>
        <t xml:space="preserve">2026-10-12 特殊素材の旧単位費用を÷100・四捨五入。変更前=200</t>
      </text>
    </comment>
    <comment authorId="0" ref="O4">
      <text>
        <t xml:space="preserve">2026-10-12 特殊素材の旧単位費用を÷100・四捨五入。変更前=50</t>
      </text>
    </comment>
    <comment authorId="0" ref="R4">
      <text>
        <t xml:space="preserve">2026-10-12 特殊素材の旧単位費用を÷100・四捨五入。変更前=50</t>
      </text>
    </comment>
    <comment authorId="0" ref="S4">
      <text>
        <t xml:space="preserve">2026-10-12 特殊素材の旧単位費用を÷100・四捨五入。変更前=25</t>
      </text>
    </comment>
    <comment authorId="0" ref="T4">
      <text>
        <t xml:space="preserve">2026-10-12 特殊素材の旧単位費用を÷100・四捨五入。変更前=25</t>
      </text>
    </comment>
    <comment authorId="0" ref="V4">
      <text>
        <t xml:space="preserve">2026-10-12 特殊素材の旧単位費用を÷100・四捨五入。変更前=100</t>
      </text>
    </comment>
    <comment authorId="0" ref="BI1">
      <text>
        <t xml:space="preserve">施設があるマスの人口許容・雇用枠・基礎産出倍率。居住化=人口許容+15/雇用5/産出1倍、資源化=人口許容+5/雇用10/産出2倍。施設による増産は別途、農業・林業・漁業・工業・生産力列を使う。</t>
      </text>
    </comment>
    <comment authorId="0" ref="BJ1">
      <text>
        <t xml:space="preserve">この段階以上の拠点に所属する土地で建設可能。空欄は段階制限なし。ゲーム側の条件判定は未接続。</t>
      </text>
    </comment>
    <comment authorId="0" ref="BK1">
      <text>
        <t xml:space="preserve">周辺から採取する資源名。海・湖の地形.json産出を拠点の毎ターン収入へ加える。領土水域と同勢力内の複数施設・拠点では重複取得しない。</t>
      </text>
    </comment>
    <comment authorId="0" ref="BL1">
      <text>
        <t xml:space="preserve">施設からの六角マス距離。1=周囲1マス、2=周囲2マス。範囲内の無所属の海・湖から採取する。周辺漁業へ接続済み。</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A53">
      <text>
        <t xml:space="preserve">暫定の接続。原本で変更可。</t>
      </text>
    </comment>
    <comment authorId="0" ref="BA49">
      <text>
        <t xml:space="preserve">暫定の接続。原本で変更可。</t>
      </text>
    </comment>
    <comment authorId="0" ref="BA111">
      <text>
        <t xml:space="preserve">暫定の接続。原本で変更可。</t>
      </text>
    </comment>
    <comment authorId="0" ref="BA12">
      <text>
        <t xml:space="preserve">暫定の接続。原本で変更可。</t>
      </text>
    </comment>
    <comment authorId="0" ref="BA74">
      <text>
        <t xml:space="preserve">暫定の接続。原本で変更可。</t>
      </text>
    </comment>
    <comment authorId="0" ref="BA8">
      <text>
        <t xml:space="preserve">暫定の接続。原本で変更可。</t>
      </text>
    </comment>
    <comment authorId="0" ref="BA70">
      <text>
        <t xml:space="preserve">暫定の接続。原本で変更可。</t>
      </text>
    </comment>
    <comment authorId="0" ref="BA33">
      <text>
        <t xml:space="preserve">暫定の接続。原本で変更可。</t>
      </text>
    </comment>
    <comment authorId="0" ref="BA95">
      <text>
        <t xml:space="preserve">暫定の接続。原本で変更可。</t>
      </text>
    </comment>
    <comment authorId="0" ref="BA29">
      <text>
        <t xml:space="preserve">暫定の接続。原本で変更可。</t>
      </text>
    </comment>
    <comment authorId="0" ref="BA91">
      <text>
        <t xml:space="preserve">暫定の接続。原本で変更可。</t>
      </text>
    </comment>
    <comment authorId="0" ref="BA54">
      <text>
        <t xml:space="preserve">暫定の接続。原本で変更可。</t>
      </text>
    </comment>
    <comment authorId="0" ref="BA50">
      <text>
        <t xml:space="preserve">暫定の接続。原本で変更可。</t>
      </text>
    </comment>
    <comment authorId="0" ref="BA112">
      <text>
        <t xml:space="preserve">暫定の接続。原本で変更可。</t>
      </text>
    </comment>
    <comment authorId="0" ref="BA13">
      <text>
        <t xml:space="preserve">暫定の接続。原本で変更可。</t>
      </text>
    </comment>
    <comment authorId="0" ref="BA108">
      <text>
        <t xml:space="preserve">暫定の接続。原本で変更可。</t>
      </text>
    </comment>
    <comment authorId="0" ref="BA75">
      <text>
        <t xml:space="preserve">暫定の接続。原本で変更可。</t>
      </text>
    </comment>
    <comment authorId="0" ref="BA9">
      <text>
        <t xml:space="preserve">暫定の接続。原本で変更可。</t>
      </text>
    </comment>
    <comment authorId="0" ref="BA71">
      <text>
        <t xml:space="preserve">暫定の接続。原本で変更可。</t>
      </text>
    </comment>
    <comment authorId="0" ref="BA5">
      <text>
        <t xml:space="preserve">暫定の接続。原本で変更可。</t>
      </text>
    </comment>
    <comment authorId="0" ref="AZ1">
      <text>
        <t xml:space="preserve">研究項目の解禁に必要な系統Lv。初期Lv1、項目完了でそのLv+1へ進む。担当ユニットLvではない。</t>
      </text>
    </comment>
    <comment authorId="0" ref="BA34">
      <text>
        <t xml:space="preserve">暫定の接続。原本で変更可。</t>
      </text>
    </comment>
    <comment authorId="0" ref="BA1">
      <text>
        <t xml:space="preserve">必要な研究IDをカンマ区切り。複数は全完了。IDを名称から推測しない。今回の初期接続は暫定。</t>
      </text>
    </comment>
    <comment authorId="0" ref="BA96">
      <text>
        <t xml:space="preserve">暫定の接続。原本で変更可。</t>
      </text>
    </comment>
    <comment authorId="0" ref="BA30">
      <text>
        <t xml:space="preserve">暫定の接続。原本で変更可。</t>
      </text>
    </comment>
    <comment authorId="0" ref="BA92">
      <text>
        <t xml:space="preserve">暫定の接続。原本で変更可。</t>
      </text>
    </comment>
    <comment authorId="0" ref="BA26">
      <text>
        <t xml:space="preserve">暫定の接続。原本で変更可。</t>
      </text>
    </comment>
    <comment authorId="0" ref="BA55">
      <text>
        <t xml:space="preserve">暫定の接続。原本で変更可。</t>
      </text>
    </comment>
    <comment authorId="0" ref="BA51">
      <text>
        <t xml:space="preserve">暫定の接続。原本で変更可。</t>
      </text>
    </comment>
    <comment authorId="0" ref="BA47">
      <text>
        <t xml:space="preserve">暫定の接続。原本で変更可。</t>
      </text>
    </comment>
    <comment authorId="0" ref="BA109">
      <text>
        <t xml:space="preserve">暫定の接続。原本で変更可。</t>
      </text>
    </comment>
    <comment authorId="0" ref="BA76">
      <text>
        <t xml:space="preserve">暫定の接続。原本で変更可。</t>
      </text>
    </comment>
    <comment authorId="0" ref="BA10">
      <text>
        <t xml:space="preserve">暫定の接続。原本で変更可。</t>
      </text>
    </comment>
    <comment authorId="0" ref="BA72">
      <text>
        <t xml:space="preserve">暫定の接続。原本で変更可。</t>
      </text>
    </comment>
    <comment authorId="0" ref="BA6">
      <text>
        <t xml:space="preserve">暫定の接続。原本で変更可。</t>
      </text>
    </comment>
    <comment authorId="0" ref="BA68">
      <text>
        <t xml:space="preserve">暫定の接続。原本で変更可。</t>
      </text>
    </comment>
    <comment authorId="0" ref="BA97">
      <text>
        <t xml:space="preserve">暫定の接続。原本で変更可。</t>
      </text>
    </comment>
    <comment authorId="0" ref="BA31">
      <text>
        <t xml:space="preserve">暫定の接続。原本で変更可。</t>
      </text>
    </comment>
    <comment authorId="0" ref="BA93">
      <text>
        <t xml:space="preserve">暫定の接続。原本で変更可。</t>
      </text>
    </comment>
    <comment authorId="0" ref="BA27">
      <text>
        <t xml:space="preserve">暫定の接続。原本で変更可。</t>
      </text>
    </comment>
    <comment authorId="0" ref="BA89">
      <text>
        <t xml:space="preserve">暫定の接続。原本で変更可。</t>
      </text>
    </comment>
    <comment authorId="0" ref="BA52">
      <text>
        <t xml:space="preserve">暫定の接続。原本で変更可。</t>
      </text>
    </comment>
    <comment authorId="0" ref="BA48">
      <text>
        <t xml:space="preserve">暫定の接続。原本で変更可。</t>
      </text>
    </comment>
    <comment authorId="0" ref="BA11">
      <text>
        <t xml:space="preserve">暫定の接続。原本で変更可。</t>
      </text>
    </comment>
    <comment authorId="0" ref="BA73">
      <text>
        <t xml:space="preserve">暫定の接続。原本で変更可。</t>
      </text>
    </comment>
    <comment authorId="0" ref="BA7">
      <text>
        <t xml:space="preserve">暫定の接続。原本で変更可。</t>
      </text>
    </comment>
    <comment authorId="0" ref="BA69">
      <text>
        <t xml:space="preserve">暫定の接続。原本で変更可。</t>
      </text>
    </comment>
    <comment authorId="0" ref="BA32">
      <text>
        <t xml:space="preserve">暫定の接続。原本で変更可。</t>
      </text>
    </comment>
    <comment authorId="0" ref="BA94">
      <text>
        <t xml:space="preserve">暫定の接続。原本で変更可。</t>
      </text>
    </comment>
    <comment authorId="0" ref="BA28">
      <text>
        <t xml:space="preserve">暫定の接続。原本で変更可。</t>
      </text>
    </comment>
    <comment authorId="0" ref="BA90">
      <text>
        <t xml:space="preserve">暫定の接続。原本で変更可。</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国家設定：A:Y=体制、AA:AI=外交姿勢、AK:AN=組織。各表は1行目がヘッダー。生成JSON・保存済みIDは従来名を維持します。列の追加・移動時は変換器MERGED_SHEET_TABLESも更新してください。</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
  </authors>
  <commentList>
    <comment authorId="0" ref="H7">
      <text>
        <t xml:space="preserve">2026-10-03 特殊資源調整。変更前: 80 (数式: =H6*2)。元値÷100を四捨五入した消費量。再度100で割らない。</t>
      </text>
    </comment>
    <comment authorId="0" ref="P15">
      <text>
        <t xml:space="preserve">2026-10-03 特殊資源調整。変更前: 640。元値÷100を四捨五入した消費量。再度100で割らない。</t>
      </text>
    </comment>
    <comment authorId="0" ref="I7">
      <text>
        <t xml:space="preserve">2026-10-03 特殊資源調整。変更前: 40 (数式: =I6*2)。元値÷100を四捨五入した消費量。再度100で割らない。</t>
      </text>
    </comment>
    <comment authorId="0" ref="Q15">
      <text>
        <t xml:space="preserve">2026-10-12 宝石の特殊資源化。変更前=160</t>
      </text>
    </comment>
    <comment authorId="0" ref="H5">
      <text>
        <t xml:space="preserve">2026-10-03 特殊資源調整。変更前: 20。元値÷100を四捨五入した消費量。再度100で割らない。</t>
      </text>
    </comment>
    <comment authorId="0" ref="P13">
      <text>
        <t xml:space="preserve">2026-10-03 特殊資源調整。変更前: 160。元値÷100を四捨五入した消費量。再度100で割らない。</t>
      </text>
    </comment>
    <comment authorId="0" ref="I5">
      <text>
        <t xml:space="preserve">2026-10-03 特殊資源調整。変更前: 10。元値÷100を四捨五入した消費量。再度100で割らない。</t>
      </text>
    </comment>
    <comment authorId="0" ref="Q13">
      <text>
        <t xml:space="preserve">2026-10-12 宝石の特殊資源化。変更前=40</t>
      </text>
    </comment>
    <comment authorId="0" ref="L7">
      <text>
        <t xml:space="preserve">2026-10-03 特殊資源調整。変更前: 80 (数式: =L6*2)。元値÷100を四捨五入した消費量。再度100で割らない。</t>
      </text>
    </comment>
    <comment authorId="0" ref="P11">
      <text>
        <t xml:space="preserve">2026-10-03 特殊資源調整。変更前: 40。元値÷100を四捨五入した消費量。再度100で割らない。</t>
      </text>
    </comment>
    <comment authorId="0" ref="M7">
      <text>
        <t xml:space="preserve">2026-10-03 特殊資源調整。変更前: 20 (数式: =M6*2)。元値÷100を四捨五入した消費量。再度100で割らない。</t>
      </text>
    </comment>
    <comment authorId="0" ref="Q11">
      <text>
        <t xml:space="preserve">2026-10-12 宝石の特殊資源化。変更前=10</t>
      </text>
    </comment>
    <comment authorId="0" ref="L5">
      <text>
        <t xml:space="preserve">2026-10-03 特殊資源調整。変更前: 20。元値÷100を四捨五入した消費量。再度100で割らない。</t>
      </text>
    </comment>
    <comment authorId="0" ref="N7">
      <text>
        <t xml:space="preserve">2026-10-03 特殊資源調整。変更前: 20 (数式: =N6*2)。元値÷100を四捨五入した消費量。再度100で割らない。</t>
      </text>
    </comment>
    <comment authorId="0" ref="P9">
      <text>
        <t xml:space="preserve">2026-10-03 特殊資源調整。変更前: 10。元値÷100を四捨五入した消費量。再度100で割らない。</t>
      </text>
    </comment>
    <comment authorId="0" ref="M5">
      <text>
        <t xml:space="preserve">2026-10-03 特殊資源調整。変更前: 5。元値÷100を四捨五入した消費量。再度100で割らない。</t>
      </text>
    </comment>
    <comment authorId="0" ref="N5">
      <text>
        <t xml:space="preserve">2026-10-03 特殊資源調整。変更前: 5。元値÷100を四捨五入した消費量。再度100で割らない。</t>
      </text>
    </comment>
    <comment authorId="0" ref="P7">
      <text>
        <t xml:space="preserve">2026-10-03 特殊資源調整。変更前: 80。元値÷100を四捨五入した消費量。再度100で割らない。</t>
      </text>
    </comment>
    <comment authorId="0" ref="Q7">
      <text>
        <t xml:space="preserve">2026-10-12 宝石の特殊資源化。変更前=20</t>
      </text>
    </comment>
    <comment authorId="0" ref="H8">
      <text>
        <t xml:space="preserve">2026-10-03 特殊資源調整。変更前: 160 (数式: =H7*2)。元値÷100を四捨五入した消費量。再度100で割らない。</t>
      </text>
    </comment>
    <comment authorId="0" ref="I8">
      <text>
        <t xml:space="preserve">2026-10-03 特殊資源調整。変更前: 80 (数式: =I7*2)。元値÷100を四捨五入した消費量。再度100で割らない。</t>
      </text>
    </comment>
    <comment authorId="0" ref="H6">
      <text>
        <t xml:space="preserve">2026-10-03 特殊資源調整。変更前: 40。元値÷100を四捨五入した消費量。再度100で割らない。</t>
      </text>
    </comment>
    <comment authorId="0" ref="P14">
      <text>
        <t xml:space="preserve">2026-10-03 特殊資源調整。変更前: 320。元値÷100を四捨五入した消費量。再度100で割らない。</t>
      </text>
    </comment>
    <comment authorId="0" ref="I6">
      <text>
        <t xml:space="preserve">2026-10-03 特殊資源調整。変更前: 20。元値÷100を四捨五入した消費量。再度100で割らない。</t>
      </text>
    </comment>
    <comment authorId="0" ref="Q14">
      <text>
        <t xml:space="preserve">2026-10-12 宝石の特殊資源化。変更前=80</t>
      </text>
    </comment>
    <comment authorId="0" ref="H4">
      <text>
        <t xml:space="preserve">2026-10-03 特殊資源調整。変更前: 10。元値÷100を四捨五入した消費量。再度100で割らない。</t>
      </text>
    </comment>
    <comment authorId="0" ref="L8">
      <text>
        <t xml:space="preserve">2026-10-03 特殊資源調整。変更前: 160 (数式: =L7*2)。元値÷100を四捨五入した消費量。再度100で割らない。</t>
      </text>
    </comment>
    <comment authorId="0" ref="P12">
      <text>
        <t xml:space="preserve">2026-10-03 特殊資源調整。変更前: 80。元値÷100を四捨五入した消費量。再度100で割らない。</t>
      </text>
    </comment>
    <comment authorId="0" ref="M8">
      <text>
        <t xml:space="preserve">2026-10-03 特殊資源調整。変更前: 40 (数式: =M7*2)。元値÷100を四捨五入した消費量。再度100で割らない。</t>
      </text>
    </comment>
    <comment authorId="0" ref="Q12">
      <text>
        <t xml:space="preserve">2026-10-12 宝石の特殊資源化。変更前=20</t>
      </text>
    </comment>
    <comment authorId="0" ref="L6">
      <text>
        <t xml:space="preserve">2026-10-03 特殊資源調整。変更前: 40。元値÷100を四捨五入した消費量。再度100で割らない。</t>
      </text>
    </comment>
    <comment authorId="0" ref="N8">
      <text>
        <t xml:space="preserve">2026-10-03 特殊資源調整。変更前: 40 (数式: =N7*2)。元値÷100を四捨五入した消費量。再度100で割らない。</t>
      </text>
    </comment>
    <comment authorId="0" ref="P10">
      <text>
        <t xml:space="preserve">2026-10-03 特殊資源調整。変更前: 20。元値÷100を四捨五入した消費量。再度100で割らない。</t>
      </text>
    </comment>
    <comment authorId="0" ref="M6">
      <text>
        <t xml:space="preserve">2026-10-03 特殊資源調整。変更前: 10。元値÷100を四捨五入した消費量。再度100で割らない。</t>
      </text>
    </comment>
    <comment authorId="0" ref="Q10">
      <text>
        <t xml:space="preserve">2026-10-12 宝石の特殊資源化。変更前=5</t>
      </text>
    </comment>
    <comment authorId="0" ref="L4">
      <text>
        <t xml:space="preserve">2026-10-03 特殊資源調整。変更前: 10。元値÷100を四捨五入した消費量。再度100で割らない。</t>
      </text>
    </comment>
    <comment authorId="0" ref="N6">
      <text>
        <t xml:space="preserve">2026-10-03 特殊資源調整。変更前: 10。元値÷100を四捨五入した消費量。再度100で割らない。</t>
      </text>
    </comment>
    <comment authorId="0" ref="P8">
      <text>
        <t xml:space="preserve">2026-10-03 特殊資源調整。変更前: 160。元値÷100を四捨五入した消費量。再度100で割らない。</t>
      </text>
    </comment>
    <comment authorId="0" ref="Q8">
      <text>
        <t xml:space="preserve">2026-10-12 宝石の特殊資源化。変更前=40</t>
      </text>
    </comment>
    <comment authorId="0" ref="P6">
      <text>
        <t xml:space="preserve">2026-10-03 特殊資源調整。変更前: 40。元値÷100を四捨五入した消費量。再度100で割らない。</t>
      </text>
    </comment>
    <comment authorId="0" ref="Q6">
      <text>
        <t xml:space="preserve">2026-10-12 宝石の特殊資源化。変更前=10</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Y1">
      <text>
        <t xml:space="preserve">未記載は1回。肉体武器の基礎性能で複数回攻撃を持つ場合に使用する。</t>
      </text>
    </comment>
    <comment authorId="0" ref="Z1">
      <text>
        <t xml:space="preserve">肉体武器など、通常装備スロットへ装備しない基礎性能データの補足用。</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ゲームで表示するイベント名。
例: 木材の補給
内部IDや選択肢の番号を書かないでください。</t>
      </text>
    </comment>
    <comment authorId="0" ref="B1">
      <text>
        <t xml:space="preserve">有効の行だけを変換する。参考/試作/無効は実行しない。有効行に未対応語彙がある場合は変換エラー。</t>
      </text>
    </comment>
    <comment authorId="0" ref="C1">
      <text>
        <t xml:space="preserve">出力先・対象システムの区分。
例: 一般村 / 洞窟 / 守護者
細かな分類・出力JSONとの対応は変換器接続時に確定します。</t>
      </text>
    </comment>
    <comment authorId="0" ref="D1">
      <text>
        <t xml:space="preserve">依頼/会話は番号付き会話。村計画は村の工程定義、依頼ひな型は計画の不足や脅威から依頼を生成する。試作は未接続。</t>
      </text>
    </comment>
    <comment authorId="0" ref="E1">
      <text>
        <t xml:space="preserve">イベント全体の説明文。改行可能です。
選択後の相手のセリフは回答列へ記載します。</t>
      </text>
    </comment>
    <comment authorId="0" ref="F1">
      <text>
        <t xml:space="preserve">イベントを提示・判定するタイミング。
例: 一般村で会話 / 洞窟NPCで会話
正式なキーワードは変換器接続時に確定します。</t>
      </text>
    </comment>
    <comment authorId="0" ref="G1">
      <text>
        <t xml:space="preserve">イベント全体の表示条件。選択肢ごとの条件は条件列です。
例: 一般村友好度_10以上
空欄=追加条件なし。条件の組合せ・正式キーワードは未確定です。</t>
      </text>
    </comment>
    <comment authorId="0" ref="H1">
      <text>
        <t xml:space="preserve">1セル内で改行し、番号. 内容で入力。
例:
1. 依頼を受ける
1-1. 納品する
1-2. 後にする
2. 断る
子の親は番号から求めます。同じ番号は重複不可。</t>
      </text>
    </comment>
    <comment authorId="0" ref="I1">
      <text>
        <t xml:space="preserve">選択した番号に対応する相手の回答。選択肢と同じ番号で紐付けます。
例: 1. 木材を10個お願いします。
セルの行順ではなく番号で照合します。</t>
      </text>
    </comment>
    <comment authorId="0" ref="J1">
      <text>
        <t xml:space="preserve">選択肢ごとの条件を番号付きで入力。
例: 1-1. 木材_10以上
空欄・番号省略=追加条件なし。
複数条件の区切り/正式キーワードは仮です。</t>
      </text>
    </comment>
    <comment authorId="0" ref="K1">
      <text>
        <t xml:space="preserve">その番号で消費する資源等。
例: 1-1. 木材_10/穀物_5
消費がなければ空欄。閲覧や戻るで消費しないこと。
正式な消費タイミングは処理接続時に確定します。</t>
      </text>
    </comment>
    <comment authorId="0" ref="L1">
      <text>
        <t xml:space="preserve">番号. 友好度_数量/資源_数量。完了番号だけに指定。守護者は1-1. 友好度_35のように自身との友好度だけに対応。資源報酬は未対応なら変換エラー。</t>
      </text>
    </comment>
    <comment authorId="0" ref="M1">
      <text>
        <t xml:space="preserve">番号ごとの受注・完了・契約開始等。
例: 1. 依頼開始_木材納品
例: 1-1. 依頼完了_木材納品
今回の効果語は入力例。正式な語彙/実行処理は未接続です。</t>
      </text>
    </comment>
    <comment authorId="0" ref="N1">
      <text>
        <t xml:space="preserve">守護者: 資源_数量を/区切りで複数指定（消費列と一致）。試練召喚_守護者配下_Lv30_数1。村発展_施設3_数2（完成した非住居施設の種類数、受注後に増加必須）。旧保存用に見張り/周辺脅威も変換対応。</t>
      </text>
    </comment>
    <comment authorId="0" ref="O1">
      <text>
        <t xml:space="preserve">依頼受注からの制限ターン数（整数）。例: 10。
空欄=期限を指定しない。自動変換時の正式な扱いは接続時に確定します。</t>
      </text>
    </comment>
    <comment authorId="0" ref="P1">
      <text>
        <t xml:space="preserve">イベントが再び発生するか。TRUE/FALSE（真偽値）。
TRUEでもクールダウンや達成条件を満たす必要があります。</t>
      </text>
    </comment>
    <comment authorId="0" ref="Q1">
      <text>
        <t xml:space="preserve">同じイベントが再び発生するまでの間隔（整数ターン）。
例: 5。使わないイベントは空欄。</t>
      </text>
    </comment>
    <comment authorId="0" ref="R1">
      <text>
        <t xml:space="preserve">継続支援の納品間隔（1以上のターン数）。初回は受注ターン＋周期、各納品は村での支援報告で実行。資源不足時は消費しない。</t>
      </text>
    </comment>
    <comment authorId="0" ref="S1">
      <text>
        <t xml:space="preserve">期限/指定日から許容する追加ターン数（整数）。
継続契約等で必要な場合だけ指定。使わない場合は空欄。</t>
      </text>
    </comment>
    <comment authorId="0" ref="T1">
      <text>
        <t xml:space="preserve">編集者向けのメモ。ゲームのセリフではありません。
仮の数値・未対応事項・関連する現行データなどを記録します。</t>
      </text>
    </comment>
    <comment authorId="0" ref="U1">
      <text>
        <t xml:space="preserve">行の固定識別子。並べ替えても変えない。計画の支援依頼IDは有効な依頼ひな型のIDを参照する。</t>
      </text>
    </comment>
    <comment authorId="0" ref="V1">
      <text>
        <t xml:space="preserve">村計画は施設/守備隊/食料/周辺脅威。依頼ひな型は不足資源/周辺脅威/警備/建設支援/複合支援/継続支援。村の実計画から必要なものだけ生成する。</t>
      </text>
    </comment>
    <comment authorId="0" ref="W1">
      <text>
        <t xml:space="preserve">大きい計画を優先。主計画表示1件・待機2件。既に進行中の訓練と工事は継続する。</t>
      </text>
    </comment>
    <comment authorId="0" ref="X1">
      <text>
        <t xml:space="preserve">対応済みは死亡者あり/守備兵不在/食料備蓄不足/周辺脅威あり。</t>
      </text>
    </comment>
    <comment authorId="0" ref="Y1">
      <text>
        <t xml:space="preserve">工程を &gt; で区切る。実進捗は村のセーブに保存。</t>
      </text>
    </comment>
    <comment authorId="0" ref="Z1">
      <text>
        <t xml:space="preserve">使う依頼ひな型の固定ID。</t>
      </text>
    </comment>
    <comment authorId="0" ref="AA1">
      <text>
        <t xml:space="preserve">六角マス距離。守護者の村発展は対象村の探索半径、試練召喚は配置半径。納品は空欄。村計画は周辺脅威の走査。</t>
      </text>
    </comment>
    <comment authorId="0" ref="AB1">
      <text>
        <t xml:space="preserve">1依頼の資源数/個体数の上限。</t>
      </text>
    </comment>
    <comment authorId="0" ref="AC1">
      <text>
        <t xml:space="preserve">村計画では備蓄/訓練目標。継続支援では納品回数。周期×回数が契約期間の目安。</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JSON配列。name=固有名/race=基礎種族/className=能力クラス/unique=重複禁止。同名固有クラスがあれば優先。任意trialIdsでこの候補専用のイベントID3件を指定でき、M列より優先。未指定は土地共通の3試練。</t>
      </text>
    </comment>
    <comment authorId="0" ref="H1">
      <text>
        <t xml:space="preserve">JSON配列。race/className。出現敵に登録済みの単独候補だけ生成。未登録の組合せを作らない。</t>
      </text>
    </comment>
    <comment authorId="0" ref="I1">
      <text>
        <t xml:space="preserve">守護者Lvの整数設定。Lvは1以上、その他は0以上。既存守護者のセーブを再生成しない。</t>
      </text>
    </comment>
    <comment authorId="0" ref="J1">
      <text>
        <t xml:space="preserve">配下数の整数設定。Lvは1以上、その他は0以上。既存守護者のセーブを再生成しない。</t>
      </text>
    </comment>
    <comment authorId="0" ref="K1">
      <text>
        <t xml:space="preserve">配下Lv差の整数設定。Lvは1以上、その他は0以上。既存守護者のセーブを再生成しない。</t>
      </text>
    </comment>
    <comment authorId="0" ref="L1">
      <text>
        <t xml:space="preserve">配下Lv幅の整数設定。Lvは1以上、その他は0以上。既存守護者のセーブを再生成しない。</t>
      </text>
    </comment>
    <comment authorId="0" ref="M1">
      <text>
        <t xml:space="preserve">イベントシートで有効な守護者依頼のIDを3件指定したJSON配列。この土地の平和取得には全件報告が必要。</t>
      </text>
    </comment>
    <comment authorId="0" ref="N1">
      <text>
        <t xml:space="preserve">守護範囲の整数設定。Lvは1以上、その他は0以上。既存守護者のセーブを再生成しない。</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カンマ区切り。例: 森, 丘_2, 山岳_3~5。高度なし=制限なし、_2=高度2のみ、_3~5=3〜5（両端を含む）。JSON配列も対応。最低/最高高度列は全候補共通の追加条件。</t>
      </text>
    </comment>
    <comment authorId="0" ref="I1">
      <text>
        <t xml:space="preserve">空欄=下限なし。マップの高度段階で指定。0も有効。</t>
      </text>
    </comment>
    <comment authorId="0" ref="J1">
      <text>
        <t xml:space="preserve">空欄=上限なし。マップの高度段階で指定。0も有効。</t>
      </text>
    </comment>
    <comment authorId="0" ref="K1">
      <text>
        <t xml:space="preserve">同じ地形・高度条件を満たす候補間での相対的な出やすさ。0=配置しない。空欄=1。</t>
      </text>
    </comment>
    <comment authorId="0" ref="L1">
      <text>
        <t xml:space="preserve">調査必要APとは別の発見条件。必要Lvは暫定・0なら研究不要。採取速度用の研究区分とは別。</t>
      </text>
    </comment>
    <comment authorId="0" ref="M1">
      <text>
        <t xml:space="preserve">調査必要APとは別の発見条件。必要Lvは暫定・0なら研究不要。採取速度用の研究区分とは別。</t>
      </text>
    </comment>
    <comment authorId="0" ref="N1">
      <text>
        <t xml:space="preserve">配置時の地域基準気温（℃）。上下限を含む。空欄は制限なし。現在天候では変動しない。暫定バランス値。</t>
      </text>
    </comment>
    <comment authorId="0" ref="O1">
      <text>
        <t xml:space="preserve">配置時の地域基準気温（℃）。上下限を含む。空欄は制限なし。現在天候では変動しない。暫定バランス値。</t>
      </text>
    </comment>
    <comment authorId="0" ref="P1">
      <text>
        <t xml:space="preserve">配置時の地域基準湿潤度0〜100。上下限を含む。空欄は制限なし。採取量や既存配置は変更しない。暫定バランス値。</t>
      </text>
    </comment>
    <comment authorId="0" ref="Q1">
      <text>
        <t xml:space="preserve">配置時の地域基準湿潤度0〜100。上下限を含む。空欄は制限なし。採取量や既存配置は変更しない。暫定バランス値。</t>
      </text>
    </comment>
    <comment authorId="0" ref="R1">
      <text>
        <t xml:space="preserve">この特産品をどの食料として収穫・生産するか指定する。例：ベリー→野菜、キノコ→穀物。収穫量加算・固定収入は指定した資源へ加算。空欄なら食料への加算なし。分類（食料/鉱石/特殊資源/薬草）とは別。</t>
      </text>
    </comment>
    <comment authorId="0" ref="S1">
      <text>
        <t xml:space="preserve">対応食料のそのマスの基礎取得量へ加算。通常の稼働率・施設・技能・全体生産係数0.1等の補正を受ける。現在15。固定収入とは別枠。</t>
      </text>
    </comment>
    <comment authorId="0" ref="T1">
      <text>
        <t xml:space="preserve">利用できる保有特産品1マス相当ごとの毎ターンの実在庫加算。現在5。通常の人口稼働率・技能・施設・幸福度・都市特化・係数0.1は掛けない。取引用積立と人口消費より前に加算。</t>
      </text>
    </comment>
  </commentList>
</comments>
</file>

<file path=xl/sharedStrings.xml><?xml version="1.0" encoding="utf-8"?>
<sst xmlns="http://schemas.openxmlformats.org/spreadsheetml/2006/main" count="17973" uniqueCount="5807">
  <si>
    <t>Lv</t>
  </si>
  <si>
    <t>スキル名</t>
  </si>
  <si>
    <t>ルビ</t>
  </si>
  <si>
    <t>系統</t>
  </si>
  <si>
    <t>行動</t>
  </si>
  <si>
    <t>HP消費</t>
  </si>
  <si>
    <t>AP消費</t>
  </si>
  <si>
    <t>データ</t>
  </si>
  <si>
    <t>効果</t>
  </si>
  <si>
    <t>効果説明</t>
  </si>
  <si>
    <t>取得条件</t>
  </si>
  <si>
    <t>出力確認</t>
  </si>
  <si>
    <t>ダブり確認</t>
  </si>
  <si>
    <t>アニメ</t>
  </si>
  <si>
    <t>戦闘ルール</t>
  </si>
  <si>
    <t>盾装備でデメリットは威力が下がる、軽減値が増える。</t>
  </si>
  <si>
    <t xml:space="preserve">モンク
シーフ
レンジャー
スカウト
ウィザード
アルケミスト
イリュージョニスト
エレメント・マスター
クレリック
ビショップ
プリースト
パラディン
ゴブリン
オーガ
トレント
インプ
エンジェル
ソードマスター
スピアマスター
ブロウマスター
シールドマスター
ソードセイント
スピアセイント
ブロウセイント
シールドセイント
</t>
  </si>
  <si>
    <t>1:初級 1 2:下級 23
3:中級 34 4:上級 56
5:下級神 7
6:中級神 89
7:上級神 10</t>
  </si>
  <si>
    <t>35 55 75 95 115 145 175
攻撃追加+1
攻撃回数:2 2倍加 など</t>
  </si>
  <si>
    <t>条件
条件系統</t>
  </si>
  <si>
    <t>指揮	戦術	威圧	看破	索敵	隠密	生存	罠設置	農耕	伐採	採掘	錬成	統率	交渉	政治	信仰</t>
  </si>
  <si>
    <t>範囲について 単体,全体,縦,ライン 前後ろ縦を選択してダメージ,周囲(同じ列のみ)
効果に「連鎖」があると周囲に50%ダメージ</t>
  </si>
  <si>
    <t>3.魔法強化
3.射程
4倍速
4.魔法極強化
4.三重</t>
  </si>
  <si>
    <t xml:space="preserve">回復:35 魔力105~210
10.5~21
</t>
  </si>
  <si>
    <t xml:space="preserve">回復:115 魔力565~1130
34.5~69
</t>
  </si>
  <si>
    <t>微5~10 小11~20 中21~35
大36~50 極51~</t>
  </si>
  <si>
    <t>〇〇の接続 で魔法取得
〇〇魔法強化</t>
  </si>
  <si>
    <t>攻撃手段:魔法 特殊:攻撃</t>
  </si>
  <si>
    <t>属性: ロール:
技能: スキル:|</t>
  </si>
  <si>
    <t/>
  </si>
  <si>
    <t>肉体攻撃</t>
  </si>
  <si>
    <t>スキルタイプ</t>
  </si>
  <si>
    <t>角</t>
  </si>
  <si>
    <t>A</t>
  </si>
  <si>
    <t>攻撃手段:角 物理+25 判定:攻撃</t>
  </si>
  <si>
    <t>牙</t>
  </si>
  <si>
    <t>攻撃手段:牙 物理+20 判定:攻撃</t>
  </si>
  <si>
    <t>爪</t>
  </si>
  <si>
    <t>攻撃手段:爪 物理+15 攻撃回数:2 判定:攻撃</t>
  </si>
  <si>
    <t>尾</t>
  </si>
  <si>
    <t>攻撃手段:尾 物理+15 判定:攻撃</t>
  </si>
  <si>
    <t>尾針</t>
  </si>
  <si>
    <t>攻撃手段:尾 物理+25  判定:攻撃</t>
  </si>
  <si>
    <t>尾の巻き付き</t>
  </si>
  <si>
    <t>攻撃手段:尾 物理+10 拘束+30 判定:攻撃</t>
  </si>
  <si>
    <t>翼</t>
  </si>
  <si>
    <t>攻撃手段:翼 物理+10 ガード+15 攻撃回数:2 判定:攻撃</t>
  </si>
  <si>
    <t>突撃</t>
  </si>
  <si>
    <t>薬草</t>
  </si>
  <si>
    <t>再生+5 効果時間6t</t>
  </si>
  <si>
    <t>水薬</t>
  </si>
  <si>
    <t>回復+20 再生+5 効果時間6t</t>
  </si>
  <si>
    <t>霊薬</t>
  </si>
  <si>
    <t>回復+80</t>
  </si>
  <si>
    <t>平地</t>
  </si>
  <si>
    <t>P</t>
  </si>
  <si>
    <t>森</t>
  </si>
  <si>
    <t>山岳</t>
  </si>
  <si>
    <t>丘陵</t>
  </si>
  <si>
    <t>河川</t>
  </si>
  <si>
    <t>湖</t>
  </si>
  <si>
    <t>海</t>
  </si>
  <si>
    <t>砂漠</t>
  </si>
  <si>
    <t>沼地</t>
  </si>
  <si>
    <t>峡谷</t>
  </si>
  <si>
    <t>洞窟</t>
  </si>
  <si>
    <t>雪原</t>
  </si>
  <si>
    <t>火山</t>
  </si>
  <si>
    <t>溶岩</t>
  </si>
  <si>
    <t>死の霧</t>
  </si>
  <si>
    <t>ジオマンサー</t>
  </si>
  <si>
    <t>薬草繁茂</t>
  </si>
  <si>
    <t>============魔法一覧============</t>
  </si>
  <si>
    <t>------------力場魔法 ------------</t>
  </si>
  <si>
    <t>力場弾</t>
  </si>
  <si>
    <t>フォース・ショット</t>
  </si>
  <si>
    <t>力場</t>
  </si>
  <si>
    <t>攻撃手段:魔法 特殊:攻撃 力場+24 効果:必中 射程:10 判定:魔力</t>
  </si>
  <si>
    <t>魔法による、射程1。</t>
  </si>
  <si>
    <t>盾</t>
  </si>
  <si>
    <t>シールド</t>
  </si>
  <si>
    <t>防御</t>
  </si>
  <si>
    <t>攻撃手段:魔法 特殊:攻撃 効果時間3t 物理ガード+10 魔法ガード+15 遠隔軽減+10 追加威力:魔力</t>
  </si>
  <si>
    <t>3ターンの間、物理ガードと魔法ガードを上昇させ、遠隔攻撃を軽減する防御効果。</t>
  </si>
  <si>
    <t>浮床</t>
  </si>
  <si>
    <t>フォース・ステップ</t>
  </si>
  <si>
    <t>足場として使用できる薄い力場面を空中へ固定する。</t>
  </si>
  <si>
    <t>衝圧波</t>
  </si>
  <si>
    <t>フォース・ウェーブ</t>
  </si>
  <si>
    <t>攻撃手段:魔法 特殊:攻撃 力場+40 射程:10 判定:魔力</t>
  </si>
  <si>
    <t>圧拳</t>
  </si>
  <si>
    <t>フォース・フィスト</t>
  </si>
  <si>
    <t>攻撃手段:魔法 特殊:攻撃 力場+65 射程:0 判定:魔力</t>
  </si>
  <si>
    <t>魔法による、射程0。</t>
  </si>
  <si>
    <t>硬盾</t>
  </si>
  <si>
    <t>ハードシールド</t>
  </si>
  <si>
    <t>攻撃手段:魔法 特殊:攻撃 効果時間3t 物理ガード+15 魔法ガード+20 遠隔軽減+15 追加威力:魔力</t>
  </si>
  <si>
    <t>3ターンの間、物理ガードと魔法ガードを上昇させ、遠隔攻撃を強く軽減する防御効果。</t>
  </si>
  <si>
    <t>偏向膜</t>
  </si>
  <si>
    <t>ディフレクター</t>
  </si>
  <si>
    <t>斜めの力場面を形成し、飛来物や攻撃の進行方向を逸らす。</t>
  </si>
  <si>
    <t>拘束界</t>
  </si>
  <si>
    <t>フォース・ケージ</t>
  </si>
  <si>
    <t>対象の周囲へ閉鎖した力場面を形成し、移動を封じる。</t>
  </si>
  <si>
    <t>場断裂</t>
  </si>
  <si>
    <t>フォース・クラック</t>
  </si>
  <si>
    <t>攻撃手段:魔法 特殊:攻撃 力場+65 射程:10 範囲:周囲 判定:魔力</t>
  </si>
  <si>
    <t>魔法による、射程1。周囲の敵に効果が及ぶ。</t>
  </si>
  <si>
    <t>衝圧</t>
  </si>
  <si>
    <t>フォース・インパクト</t>
  </si>
  <si>
    <t>攻撃手段:魔法 特殊:攻撃 力場+80 体幹+65 射程:10 範囲:周囲 効果:吹き飛ばし 判定:魔力</t>
  </si>
  <si>
    <t>分解</t>
  </si>
  <si>
    <t>ディスインテグレイト</t>
  </si>
  <si>
    <t>攻撃手段:魔法 特殊:攻撃 力場+100 効果:即死 射程:20 範囲:縦 判定:魔力</t>
  </si>
  <si>
    <t>魔法による、射程2。縦一列の敵を攻撃する。</t>
  </si>
  <si>
    <t>圧縮界</t>
  </si>
  <si>
    <t>コンプレッション・フィールド</t>
  </si>
  <si>
    <t>広い範囲へ展開した力場を一点へ圧縮し、内部の対象へ強大な圧力を加える。</t>
  </si>
  <si>
    <t>圧壊掌</t>
  </si>
  <si>
    <t>クラッシング・ハンド</t>
  </si>
  <si>
    <t>攻撃手段:魔法 特殊:攻撃 力場+125 拘束+75 射程:10 判定:魔力</t>
  </si>
  <si>
    <t>------------魔術魔法 ------------</t>
  </si>
  <si>
    <t>攻撃手段:魔法 特殊:攻撃 効果時間3t 物理ガード+10 魔法ガード+15 追加威力:魔力</t>
  </si>
  <si>
    <t>生命力の眼</t>
  </si>
  <si>
    <t>ライフ・アイ</t>
  </si>
  <si>
    <t>S</t>
  </si>
  <si>
    <t>効果:HP確認</t>
  </si>
  <si>
    <t>相手のHPを見れる</t>
  </si>
  <si>
    <t>魔法の鎧</t>
  </si>
  <si>
    <t>マジックアーマー</t>
  </si>
  <si>
    <t>効果時間6t 物理軽減+10 魔法軽減+10</t>
  </si>
  <si>
    <t>飛行</t>
  </si>
  <si>
    <t>フライ</t>
  </si>
  <si>
    <t>効果時間6t 効果:飛行/60</t>
  </si>
  <si>
    <t>魔法解除</t>
  </si>
  <si>
    <t>マジック・ディテクト</t>
  </si>
  <si>
    <t>魔法+50 効果:魔法解除</t>
  </si>
  <si>
    <t>魔力強化</t>
  </si>
  <si>
    <t>マジックパワー</t>
  </si>
  <si>
    <t>効果時間4t 魔力+25</t>
  </si>
  <si>
    <t>脱出</t>
  </si>
  <si>
    <t>エスケープ</t>
  </si>
  <si>
    <t>効果:拘束解除</t>
  </si>
  <si>
    <t>強化破り</t>
  </si>
  <si>
    <t>エンチャント・ブレイク</t>
  </si>
  <si>
    <t>魔法+75 効果:強化解除 射程:20</t>
  </si>
  <si>
    <t>相手の強化を解除する。相手への効果の大きさによって解除する数が変わる</t>
  </si>
  <si>
    <t>魔眼</t>
  </si>
  <si>
    <t>マジック・アイ</t>
  </si>
  <si>
    <t>効果時間3t 攻撃手段:眼 疲労+25 感知+50 鑑定+50</t>
  </si>
  <si>
    <t>魔法陣</t>
  </si>
  <si>
    <t>マジック・サークル</t>
  </si>
  <si>
    <t>効果時間6t 魔法耐性+10 魔法軽減+15 精神+30 範囲:味方全体</t>
  </si>
  <si>
    <t>呪文杖</t>
  </si>
  <si>
    <t>スペルスタッフ</t>
  </si>
  <si>
    <t>特殊:杖_魔法準備</t>
  </si>
  <si>
    <t>杖に魔法をセットできる。セットした魔法はMPを消費せずに使える</t>
  </si>
  <si>
    <t>魔力増幅</t>
  </si>
  <si>
    <t>マジックブースト</t>
  </si>
  <si>
    <t>効果時間6t 魔力+50</t>
  </si>
  <si>
    <t>魔力の剣</t>
  </si>
  <si>
    <t>マジック・ソード</t>
  </si>
  <si>
    <t>Ｓ</t>
  </si>
  <si>
    <t>効果時間10t 効果:武器生成 切断+25 貫通+10 打撃+5 Cr率+5 Cr威力+20 追加威力:製作/魔力</t>
  </si>
  <si>
    <t>対魔法領域</t>
  </si>
  <si>
    <t>アンチマジックフィールド</t>
  </si>
  <si>
    <t>効果:魔法無効_Rank4</t>
  </si>
  <si>
    <t>魔法無効化</t>
  </si>
  <si>
    <t>マジック・イミュニティ</t>
  </si>
  <si>
    <t>効果時間4t 効果:魔法無効_指定</t>
  </si>
  <si>
    <t>指定した魔法を受けなくなる。</t>
  </si>
  <si>
    <t>探知防壁</t>
  </si>
  <si>
    <t>強化破り・全体</t>
  </si>
  <si>
    <t>エンチャント・ブレイク・オール</t>
  </si>
  <si>
    <t>魔法+95 効果:強化解除 範囲:全体 射程:20</t>
  </si>
  <si>
    <t>------------信仰魔法 ------------</t>
  </si>
  <si>
    <t>功徳</t>
  </si>
  <si>
    <t>ヴァーチュー</t>
  </si>
  <si>
    <t>効果時間6t 物理ガード+15 効果:シールド</t>
  </si>
  <si>
    <t>祝福</t>
  </si>
  <si>
    <t>ブレッシング</t>
  </si>
  <si>
    <t>効果時間5t 防御+10 精神+10 命中+10</t>
  </si>
  <si>
    <t>信仰の盾</t>
  </si>
  <si>
    <t>シールド・フェイス</t>
  </si>
  <si>
    <t>効果時間3t 切断耐性+10 貫通耐性+10 打撃耐性+10</t>
  </si>
  <si>
    <t>聖域</t>
  </si>
  <si>
    <t>サンクチュアリ</t>
  </si>
  <si>
    <t>効果時間:詠唱 精神+55 物理ガード+35 魔法ガード+35 効果:攻撃不能 範囲:周囲 射程:10</t>
  </si>
  <si>
    <t>沈黙</t>
  </si>
  <si>
    <t>サイレンス</t>
  </si>
  <si>
    <t>魔法+50 効果:沈黙 範囲:全体</t>
  </si>
  <si>
    <t>聖なる武器</t>
  </si>
  <si>
    <t>ホーリーウェポン</t>
  </si>
  <si>
    <t>効果時間6t 攻撃手段:武器 威力+5 善+20 追加威力:APP</t>
  </si>
  <si>
    <t>正しき天秤</t>
  </si>
  <si>
    <t>効果時間4t 看破+100</t>
  </si>
  <si>
    <t>信仰の護り</t>
  </si>
  <si>
    <t>フェイス・ウォード</t>
  </si>
  <si>
    <t>効果時間6t 防御+15 精神+15 回避+15 範囲:味方全体 射程:10</t>
  </si>
  <si>
    <t>信仰の魂</t>
  </si>
  <si>
    <t>ディヴァイン・ソウル</t>
  </si>
  <si>
    <t>効果時間6t 精神耐性+20 即死耐性+20</t>
  </si>
  <si>
    <t>信仰の聖域</t>
  </si>
  <si>
    <t>ディヴァイン・サンクチュアリ</t>
  </si>
  <si>
    <t>効果時間:詠唱 精神+55 物理ガード+75 魔法ガード+75 効果:攻撃不能 範囲:周囲 射程:10</t>
  </si>
  <si>
    <t>属性:防御</t>
  </si>
  <si>
    <t>叱責</t>
  </si>
  <si>
    <t>呪い+85 効果:回復阻害 射程:10</t>
  </si>
  <si>
    <t>弱体化</t>
  </si>
  <si>
    <t>ウィークネス</t>
  </si>
  <si>
    <t>Ａ</t>
  </si>
  <si>
    <t>呪い+85 効果:攻撃ダメージ 射程:10</t>
  </si>
  <si>
    <t>神聖武器</t>
  </si>
  <si>
    <t>効果時間6t 攻撃手段:武器 威力+8 善+50 追加威力:APP</t>
  </si>
  <si>
    <t>真実</t>
  </si>
  <si>
    <t>トゥルー</t>
  </si>
  <si>
    <t>看破+150</t>
  </si>
  <si>
    <t>奇跡の護り</t>
  </si>
  <si>
    <t>効果時間1t 物理耐性+50 魔法耐性+50</t>
  </si>
  <si>
    <t>奇跡の祝福</t>
  </si>
  <si>
    <t>ミラクルブレッシング</t>
  </si>
  <si>
    <t>効果時間6t 精神耐性+30 石化耐性+30 幻覚耐性+30</t>
  </si>
  <si>
    <t>奇跡</t>
  </si>
  <si>
    <t>待機時間1t</t>
  </si>
  <si>
    <t>------------自然魔法 ------------</t>
  </si>
  <si>
    <t>植物の拘束</t>
  </si>
  <si>
    <t>拘束+35 射程:10</t>
  </si>
  <si>
    <t>良い木の実</t>
  </si>
  <si>
    <t>効果:ベリー生成 クールタイム60t</t>
  </si>
  <si>
    <t>森の友</t>
  </si>
  <si>
    <t>条件:森 効果時間6t 知覚+45 隠密+45 看破+45</t>
  </si>
  <si>
    <t>棘の植物</t>
  </si>
  <si>
    <t>蕁麻の爆発</t>
  </si>
  <si>
    <t>樹皮の肌</t>
  </si>
  <si>
    <t>急成長</t>
  </si>
  <si>
    <t>ラピッド・グロース</t>
  </si>
  <si>
    <t>植物</t>
  </si>
  <si>
    <t>植物の成長速度を人為的に加速し、短時間で大きく成長させる。</t>
  </si>
  <si>
    <t>属性:魔術</t>
  </si>
  <si>
    <t>輪縄</t>
  </si>
  <si>
    <t>広がる茨</t>
  </si>
  <si>
    <t>菌糸網</t>
  </si>
  <si>
    <t>マイセリウム・ネットワーク</t>
  </si>
  <si>
    <t>地下へ広がる菌糸の網を形成し、周囲の振動や環境変化を感知する。</t>
  </si>
  <si>
    <t>茨の肉体</t>
  </si>
  <si>
    <t>木々渡り</t>
  </si>
  <si>
    <t>効果:転移_森 射程:100</t>
  </si>
  <si>
    <t>樹冠領域</t>
  </si>
  <si>
    <t>キャノピー・フィールド</t>
  </si>
  <si>
    <t>多数の枝葉を急速に成長させ、上空を覆う巨大な樹冠領域を形成する。</t>
  </si>
  <si>
    <t>緑の鎖</t>
  </si>
  <si>
    <t>森羅</t>
  </si>
  <si>
    <t>聖樹</t>
  </si>
  <si>
    <t>セイクリッド・ツリー</t>
  </si>
  <si>
    <t>信仰による奇跡として聖なる大樹を顕現させる。</t>
  </si>
  <si>
    <t>属性:信仰</t>
  </si>
  <si>
    <t>聳え立つ大木</t>
  </si>
  <si>
    <t>世界樹</t>
  </si>
  <si>
    <t>ワールド・ツリー</t>
  </si>
  <si>
    <t>信仰による上位奇跡として巨大な神聖樹を顕現させ、広域へ生命力を満たす。</t>
  </si>
  <si>
    <t>沙羅双樹の守り</t>
  </si>
  <si>
    <t>広大な森</t>
  </si>
  <si>
    <t>効果時間15t 効果:森生成</t>
  </si>
  <si>
    <t>------------防御魔法 ------------</t>
  </si>
  <si>
    <t>攻撃手段:魔法 効果時間3t 物理ガード+10 魔法ガード+15 遠隔軽減+10 追加威力:魔力</t>
  </si>
  <si>
    <t>攻撃手段:魔法 特殊:攻撃 効果時間3t 物理ガード+10 打撃耐性+10 追加威力:魔力</t>
  </si>
  <si>
    <t>吸収の帯</t>
  </si>
  <si>
    <t>クッショニング・バンド</t>
  </si>
  <si>
    <t>魔法による、3ターンの間、効果が持続する。</t>
  </si>
  <si>
    <t>弾力球</t>
  </si>
  <si>
    <t>リジリアント・スフィア</t>
  </si>
  <si>
    <t>攻撃手段:魔法 特殊:攻撃 効果時間3t 物理ガード+20 切断耐性+10 打撃耐性+10 追加威力:魔力</t>
  </si>
  <si>
    <t>命の泡</t>
  </si>
  <si>
    <t>ライフ・バブル</t>
  </si>
  <si>
    <t>攻撃手段:魔法 特殊:攻撃 効果時間3t 物理ガード+100 魔法ガード+100 効果:シールド 判定:魔力</t>
  </si>
  <si>
    <t>魔法の守り</t>
  </si>
  <si>
    <t>マジック・ウォード</t>
  </si>
  <si>
    <t>攻撃手段:魔法 特殊:攻撃 効果時間3t 物理ガード+30 魔法ガード+45 追加威力:魔力</t>
  </si>
  <si>
    <t>三重の盾</t>
  </si>
  <si>
    <t>トライアングル・シールド</t>
  </si>
  <si>
    <t>攻撃手段:魔法 特殊:攻撃 効果時間3t 物理ガード+15 魔法ガード+20 追加威力:魔力 範囲:味方全体</t>
  </si>
  <si>
    <t>------------炎魔法 ------------</t>
  </si>
  <si>
    <t>火炎</t>
  </si>
  <si>
    <t>バーニング</t>
  </si>
  <si>
    <t>炎</t>
  </si>
  <si>
    <t>攻撃手段:魔法 特殊:攻撃 炎+35 射程:10 判定:魔力</t>
  </si>
  <si>
    <t>魔法による、射程1。 ／ 補足：初級</t>
  </si>
  <si>
    <t>燃焼点</t>
  </si>
  <si>
    <t>バーン・ポイント</t>
  </si>
  <si>
    <t>攻撃手段:魔法 炎+28 効果:視認不可 射程:10</t>
  </si>
  <si>
    <t>属性:力場\|雷</t>
  </si>
  <si>
    <t>炎噴流</t>
  </si>
  <si>
    <t>ファイア・ジェット</t>
  </si>
  <si>
    <t>炎を一方向へ細く集中し、噴流として持続的に放つ。</t>
  </si>
  <si>
    <t>炎の雨</t>
  </si>
  <si>
    <t>ファイアーレイン</t>
  </si>
  <si>
    <t>攻撃手段:魔法 炎+12 攻撃回数4 射程:10 範囲:炸裂</t>
  </si>
  <si>
    <t>火球</t>
  </si>
  <si>
    <t>ファイアーボール</t>
  </si>
  <si>
    <t>攻撃手段:魔法 特殊:攻撃 炎+55 射程:20 範囲:周囲 判定:魔力</t>
  </si>
  <si>
    <t>魔法による、射程2。周囲の敵に効果が及ぶ。 ／ 補足：下級</t>
  </si>
  <si>
    <t>煙幕</t>
  </si>
  <si>
    <t>スモーク</t>
  </si>
  <si>
    <t>攻撃手段:魔法 盲目+45 疲労+15 射程:10 範囲:炸裂 効果:設置</t>
  </si>
  <si>
    <t>属性:地</t>
  </si>
  <si>
    <t>熱線</t>
  </si>
  <si>
    <t>バーニング・レイ</t>
  </si>
  <si>
    <t>炎環</t>
  </si>
  <si>
    <t>ファイア・リング</t>
  </si>
  <si>
    <t>炎を円環状に形成し、その形状を維持しながら周囲を焼く。</t>
  </si>
  <si>
    <t>落下火球</t>
  </si>
  <si>
    <t>フォール・ファイアー</t>
  </si>
  <si>
    <t>攻撃手段:魔法 特殊:攻撃 炎+60 射程:20 範囲:全体 判定:魔力</t>
  </si>
  <si>
    <t>魔法による、射程2。全体に効果が及ぶ。 ／ 補足：中級</t>
  </si>
  <si>
    <t>炎の壁</t>
  </si>
  <si>
    <t>ファイアー・ウォール</t>
  </si>
  <si>
    <t>効果時間2t 攻撃手段:魔法 特殊:攻撃  炎+30 射程:20 範囲:ライン 判定:魔力</t>
  </si>
  <si>
    <t>魔法による、射程2。縦横の位置を指定して攻撃する。 ／ 補足：中級</t>
  </si>
  <si>
    <t>火山灰</t>
  </si>
  <si>
    <t>属性:地\|自然</t>
  </si>
  <si>
    <t>電漿球</t>
  </si>
  <si>
    <t>プラズマ・キャノン</t>
  </si>
  <si>
    <t>属性:力場\|雷\|魔術</t>
  </si>
  <si>
    <t>爆燃</t>
  </si>
  <si>
    <t>デフラグレーション</t>
  </si>
  <si>
    <t>攻撃手段:魔法 特殊:攻撃 打撃+25 炎+65 射程:20 範囲:周囲 判定:魔力</t>
  </si>
  <si>
    <t>火炎が急速に伝播し、爆発的な圧力上昇と火炎の拡大を起こす爆燃現象を発生させる。 ／ 補足：上級</t>
  </si>
  <si>
    <t>火炎放射</t>
  </si>
  <si>
    <t>バーニング・レディエーション</t>
  </si>
  <si>
    <t>攻撃手段:魔法 特殊:攻撃 炎+115 射程:3  範囲:縦 判定:魔力</t>
  </si>
  <si>
    <t>魔法による、射程3。縦一列の敵を攻撃する。 ／ 補足：上級</t>
  </si>
  <si>
    <t>火災旋風</t>
  </si>
  <si>
    <t>ファイア・ホワール</t>
  </si>
  <si>
    <t>攻撃手段:魔法 炎+55 打撃+25 体幹+55 射程:20 範囲:周囲 効果:燃焼 判定:魔力</t>
  </si>
  <si>
    <t>火災で生じた上昇気流と回転流が結びつき、炎を伴う旋風を発生させる。</t>
  </si>
  <si>
    <t>属性:風</t>
  </si>
  <si>
    <t>噴火</t>
  </si>
  <si>
    <t>電漿熱線</t>
  </si>
  <si>
    <t>プラズマレディエーション</t>
  </si>
  <si>
    <t>火勢前線</t>
  </si>
  <si>
    <t>ファイア・フロント</t>
  </si>
  <si>
    <t>燃焼域の前線を急速に拡大させ、広い範囲へ連続して火勢を広げる。</t>
  </si>
  <si>
    <t>炎収束</t>
  </si>
  <si>
    <t>フレイム・コンバージェンス</t>
  </si>
  <si>
    <t>広がった炎を一点へ集束させ、局所的に高い熱量を生み出す。</t>
  </si>
  <si>
    <t>燃焼火炎</t>
  </si>
  <si>
    <t>バーニング・ナパーム</t>
  </si>
  <si>
    <t>補足：下級神</t>
  </si>
  <si>
    <t>炎の嵐</t>
  </si>
  <si>
    <t>ファイアーストーム</t>
  </si>
  <si>
    <t>攻撃手段:魔法 特殊:攻撃 炎+115 射程:4 範囲:全体 判定:魔力</t>
  </si>
  <si>
    <t>魔法による、射程4。全体に効果が及ぶ。</t>
  </si>
  <si>
    <t>大噴火</t>
  </si>
  <si>
    <t>放射熱線</t>
  </si>
  <si>
    <t>煉獄</t>
  </si>
  <si>
    <t>インフェルノ</t>
  </si>
  <si>
    <t>補足：中級神</t>
  </si>
  <si>
    <t>獄炎</t>
  </si>
  <si>
    <t>属性:闇\|呪い</t>
  </si>
  <si>
    <t>聖炎</t>
  </si>
  <si>
    <t>属性:光\|信仰</t>
  </si>
  <si>
    <t>核火山</t>
  </si>
  <si>
    <t>核爆発</t>
  </si>
  <si>
    <t>クリアブラスト</t>
  </si>
  <si>
    <t>地底噴火</t>
  </si>
  <si>
    <t>新星爆発</t>
  </si>
  <si>
    <t>ノヴァ・ブラスト</t>
  </si>
  <si>
    <t>------------氷魔法 ------------</t>
  </si>
  <si>
    <t>冷却</t>
  </si>
  <si>
    <t>クーリング</t>
  </si>
  <si>
    <t>氷</t>
  </si>
  <si>
    <t>対象や周囲から熱を奪い、局所的に温度を低下させる。</t>
  </si>
  <si>
    <t>冷気の光線</t>
  </si>
  <si>
    <t>フロスト・レイ</t>
  </si>
  <si>
    <t>攻撃手段:魔法 特殊:攻撃 氷+25 拘束+25 射程:20 判定:魔力</t>
  </si>
  <si>
    <t>氷結の接触</t>
  </si>
  <si>
    <t>アイシー・コンタクト</t>
  </si>
  <si>
    <t>攻撃手段:魔法 特殊:攻撃 氷+35 疲労+20 射程:0 判定:魔力</t>
  </si>
  <si>
    <t>氷華</t>
  </si>
  <si>
    <t>フロスト・フラワー</t>
  </si>
  <si>
    <t>花状に成長する氷晶を発生させ、周囲へ広げる。</t>
  </si>
  <si>
    <t>霧氷</t>
  </si>
  <si>
    <t>ライム</t>
  </si>
  <si>
    <t>過冷却された水滴を物体表面へ凍着させ、厚い氷層を形成する。</t>
  </si>
  <si>
    <t>冷気の風</t>
  </si>
  <si>
    <t>フロスト・ガイスト</t>
  </si>
  <si>
    <t>攻撃手段:魔法 特殊:攻撃 氷+40 怯み+35 射程:10 範囲:縦 判定:魔力</t>
  </si>
  <si>
    <t>魔法による、射程1。縦一列の敵を攻撃する。</t>
  </si>
  <si>
    <t>氷柱弾</t>
  </si>
  <si>
    <t>アイシクル・ショット</t>
  </si>
  <si>
    <t>攻撃手段:魔法 特殊:攻撃 貫通+34 氷+24 射程:20 判定:魔力</t>
  </si>
  <si>
    <t>魔法による、射程2。</t>
  </si>
  <si>
    <t>雪景色</t>
  </si>
  <si>
    <t>氷+20 幻覚+55</t>
  </si>
  <si>
    <t>属性:自然</t>
  </si>
  <si>
    <t>氷針</t>
  </si>
  <si>
    <t>アイス・ニードル</t>
  </si>
  <si>
    <t>氷晶を細い針状へ成長させ、指定方向へ形成する。</t>
  </si>
  <si>
    <t>凍結</t>
  </si>
  <si>
    <t>フリーズ</t>
  </si>
  <si>
    <t>攻撃手段:魔法 特殊:攻撃 氷+75 拘束+25 疲労+25 効果:凍結 射程:0 判定:魔力</t>
  </si>
  <si>
    <t>氷柱の拡散</t>
  </si>
  <si>
    <t>アイシクル・ディフュージョン</t>
  </si>
  <si>
    <t>攻撃手段:魔法 特殊:攻撃 貫通+30 氷+20 射程:10 範囲:全体 判定:魔力</t>
  </si>
  <si>
    <t>魔法による、射程1。全体に効果が及ぶ。</t>
  </si>
  <si>
    <t>細氷</t>
  </si>
  <si>
    <t>ダイヤモンドダスト</t>
  </si>
  <si>
    <t>効果時間3t 攻撃手段:魔法 氷+30 盲目+45 射程:10 範囲:周囲 効果:霧 判定:魔力</t>
  </si>
  <si>
    <t>空気中に微細な氷晶を発生させ、光を反射して輝く細氷現象を作り出す。</t>
  </si>
  <si>
    <t>氷霧</t>
  </si>
  <si>
    <t>アイスフォッグ</t>
  </si>
  <si>
    <t>効果時間3t 攻撃手段:魔法 氷+25 盲目+60 射程:10 範囲:周囲 効果:霧 判定:魔力</t>
  </si>
  <si>
    <t>微細な氷晶が空中に浮遊する濃い霧を発生させ、視界を大きく遮る。</t>
  </si>
  <si>
    <t>雪曇</t>
  </si>
  <si>
    <t>効果時間5t 効果:天候雪</t>
  </si>
  <si>
    <t>凍雨</t>
  </si>
  <si>
    <t>フリージング・レイン</t>
  </si>
  <si>
    <t>過冷却された雨を降らせ、接触した地面や物体を急速に凍結させる。</t>
  </si>
  <si>
    <t>属性:水</t>
  </si>
  <si>
    <t>冷気放射</t>
  </si>
  <si>
    <t>コールド・レディエーション</t>
  </si>
  <si>
    <t>攻撃手段:魔法 特殊:攻撃 氷+75 怯み+50 射程:20 範囲:縦 判定:魔力</t>
  </si>
  <si>
    <t>広がる凍結</t>
  </si>
  <si>
    <t>エクスパーティング・フリーズ</t>
  </si>
  <si>
    <t>攻撃手段:魔法 特殊:攻撃 氷+75 拘束+50 射程:0 範囲:列 判定:魔力</t>
  </si>
  <si>
    <t>吹雪</t>
  </si>
  <si>
    <t>効果時間5t 効果:天候_吹雪</t>
  </si>
  <si>
    <t>海中氷柱</t>
  </si>
  <si>
    <t>ブライニクル</t>
  </si>
  <si>
    <t>海中へ向かって伸び続ける低温の氷柱現象を再現し、周囲の水を凍結させながら成長する。</t>
  </si>
  <si>
    <t>凍結光線</t>
  </si>
  <si>
    <t>フリーズ・レイ</t>
  </si>
  <si>
    <t>攻撃手段:魔法 特殊:攻撃 氷+105 拘束+75 射程:20 判定:魔力</t>
  </si>
  <si>
    <t>巨大氷柱</t>
  </si>
  <si>
    <t>アイシクル・タワー</t>
  </si>
  <si>
    <t>攻撃手段:魔法 特殊:攻撃 貫通+30 打撃+30 氷+60 射程:20 判定:魔力</t>
  </si>
  <si>
    <t>地吹雪</t>
  </si>
  <si>
    <t>グラウンド・ブリザード</t>
  </si>
  <si>
    <t>効果時間4t 攻撃手段:魔法 氷+55 盲目+60 体幹+70 範囲:全体 判定:魔力</t>
  </si>
  <si>
    <t>地表に積もった雪を強風で巻き上げ、視界と移動を妨げる地吹雪を発生させる。</t>
  </si>
  <si>
    <t>氷震</t>
  </si>
  <si>
    <t>クライオセイズム</t>
  </si>
  <si>
    <t>急激な凍結と膨張によって地面や構造物に亀裂と衝撃を発生させる。</t>
  </si>
  <si>
    <t>極夜</t>
  </si>
  <si>
    <t>ポーラーナイト</t>
  </si>
  <si>
    <t>極域で太陽が地平線上に昇らない期間に生じる極夜を再現する。ゲーム内の具体効果は未設定。</t>
  </si>
  <si>
    <t>極渦</t>
  </si>
  <si>
    <t>ポーラー・ヴォルテックス</t>
  </si>
  <si>
    <t>待機時間1t 効果時間6t 氷+75 効果:吹雪/凍結 射程:20 範囲:全体</t>
  </si>
  <si>
    <t>極域上空に形成される大規模な寒冷低圧渦を再現し、広範囲を強い寒気と吹雪で覆う。</t>
  </si>
  <si>
    <t>------------水魔法 ------------</t>
  </si>
  <si>
    <t>波の盾</t>
  </si>
  <si>
    <t>ウェーブシールド</t>
  </si>
  <si>
    <t>水</t>
  </si>
  <si>
    <t>効果時間3t 攻撃手段:魔法 特殊:攻撃 物理ガード+8 炎耐性+10 射程:10 判定:魔力</t>
  </si>
  <si>
    <t>魔法による、3ターンの間、効果が持続する。射程1。</t>
  </si>
  <si>
    <t>覆い隠す霧</t>
  </si>
  <si>
    <t>オブスキュアリングミスト</t>
  </si>
  <si>
    <t>水力</t>
  </si>
  <si>
    <t>ハイドロ</t>
  </si>
  <si>
    <t>攻撃手段:魔法 特殊:攻撃 打撃+25  体幹+25 射程:10 効果:押し出し 判定:魔力</t>
  </si>
  <si>
    <t>乱流</t>
  </si>
  <si>
    <t>スリップストリーム</t>
  </si>
  <si>
    <t>効果時間6t 条件:水 回避+35 移動回避+25</t>
  </si>
  <si>
    <t>6ターンの間、効果が持続する。</t>
  </si>
  <si>
    <t>川の鞭</t>
  </si>
  <si>
    <t>リヴァーウィップ</t>
  </si>
  <si>
    <t>攻撃手段:魔法 特殊:攻撃 切断+20 打撃+20  体幹+35 射程:10 効果:押し出し 判定:魔力</t>
  </si>
  <si>
    <t>水面副振動</t>
  </si>
  <si>
    <t>セイシュ</t>
  </si>
  <si>
    <t>閉鎖・半閉鎖された水域に長周期の往復振動を発生させ、水位を周期的に大きく変動させる。</t>
  </si>
  <si>
    <t>水の球</t>
  </si>
  <si>
    <t>アクアオーブ</t>
  </si>
  <si>
    <t>攻撃手段:魔法 特殊:攻撃 打撃+35 拘束+60 射程:0 範囲:列 判定:魔力</t>
  </si>
  <si>
    <t>水流の鎧</t>
  </si>
  <si>
    <t>ウェーブアーマー</t>
  </si>
  <si>
    <t>効果時間4t 攻撃手段:魔法 特殊:攻撃 物理ガード+20 炎耐性+20 射程:10 判定:魔力</t>
  </si>
  <si>
    <t>魔法による、4ターンの間、効果が持続する。射程1。</t>
  </si>
  <si>
    <t>雨雲</t>
  </si>
  <si>
    <t>クラウドレイン</t>
  </si>
  <si>
    <t>効果時間5t 効果:天候雨</t>
  </si>
  <si>
    <t>気象津波</t>
  </si>
  <si>
    <t>メテオツナミ</t>
  </si>
  <si>
    <t>急激な気圧変化や強い風によって長周期の波を発生させ、沿岸や水域へ押し寄せさせる。</t>
  </si>
  <si>
    <t>聖水</t>
  </si>
  <si>
    <t>ホーリー・ウォーター</t>
  </si>
  <si>
    <t>信仰による奇跡として浄化作用を持つ水を顕現させる。</t>
  </si>
  <si>
    <t>氷流の一撃</t>
  </si>
  <si>
    <t>アイスフロー・スマイト</t>
  </si>
  <si>
    <t>攻撃手段:魔法 特殊:攻撃 打撃+25 氷+45 体幹+50 射程:20 範囲:縦 判定:魔力</t>
  </si>
  <si>
    <t>属性:氷</t>
  </si>
  <si>
    <t>流水の足</t>
  </si>
  <si>
    <t>ストリーム・レッグ</t>
  </si>
  <si>
    <t>効果時間6t 条件:水 回避+50 移動回避+45</t>
  </si>
  <si>
    <t>高潮</t>
  </si>
  <si>
    <t>ストームサージ</t>
  </si>
  <si>
    <t>強風と気圧低下によって広範囲の水位を押し上げ、沿岸へ大量の水を押し寄せさせる。</t>
  </si>
  <si>
    <t>異常波</t>
  </si>
  <si>
    <t>ローグウェーブ</t>
  </si>
  <si>
    <t>周囲の波より著しく大きい単発の巨大波を突発的に発生させる。</t>
  </si>
  <si>
    <t>海の外套</t>
  </si>
  <si>
    <t>シーマントル</t>
  </si>
  <si>
    <t>効果時間3t 攻撃手段:魔法 特殊:攻撃 魔法ガード+30 炎耐性+20 雷耐性+20 酸耐性+20 射程:10 判定:魔力</t>
  </si>
  <si>
    <t>渦巻</t>
  </si>
  <si>
    <t>ヴォーテックス</t>
  </si>
  <si>
    <t>攻撃手段:魔法 特殊:攻撃 打撃+55  拘束+75 射程:10 効果:押し出し 判定:魔力</t>
  </si>
  <si>
    <t>氷流渦巻</t>
  </si>
  <si>
    <t>アイスフロー・ヴォーテックス</t>
  </si>
  <si>
    <t>攻撃手段:魔法 特殊:攻撃 氷+45 打撃+55  拘束+85 射程:10 効果:押し出し 判定:魔力</t>
  </si>
  <si>
    <t>津波</t>
  </si>
  <si>
    <t>タイダル・ウェーブ</t>
  </si>
  <si>
    <t>攻撃手段:魔法 特殊:攻撃 打撃+75  体幹+85 射程:20 範囲:横 効果:押し出し 判定:魔力</t>
  </si>
  <si>
    <t>大津波</t>
  </si>
  <si>
    <t>ストリングタイダル・ウェーブ</t>
  </si>
  <si>
    <t>攻撃手段:魔法 特殊:攻撃 打撃+95  体幹+95 射程:20 範囲:横 効果:押し出し 判定:魔力</t>
  </si>
  <si>
    <t>------------雷魔法 ------------</t>
  </si>
  <si>
    <t>放電</t>
  </si>
  <si>
    <t>スパーク</t>
  </si>
  <si>
    <t>雷</t>
  </si>
  <si>
    <t>攻撃手段:魔法 特殊:攻撃 雷+25 怯み+20  射程:10 判定:魔力</t>
  </si>
  <si>
    <t>放電接触</t>
  </si>
  <si>
    <t>スパーク・コンタクト</t>
  </si>
  <si>
    <t>攻撃手段:魔法 特殊:攻撃 雷+45 射程:0 判定:魔力</t>
  </si>
  <si>
    <t>雷火</t>
  </si>
  <si>
    <t>セントエルモの火</t>
  </si>
  <si>
    <t>強い電場によって物体の先端や周囲に持続的な発光放電を発生させる。</t>
  </si>
  <si>
    <t>電弧放電</t>
  </si>
  <si>
    <t>アーク放電</t>
  </si>
  <si>
    <t>攻撃手段:魔法 特殊:攻撃 雷+40 射程:20 射程:縦 効果:貫通 判定:魔力</t>
  </si>
  <si>
    <t>気体中に高電流の放電路を形成し、強い発光と高熱を伴う電弧状の放電を発生させる。</t>
  </si>
  <si>
    <t>放電の盾</t>
  </si>
  <si>
    <t>スパーク・シールド</t>
  </si>
  <si>
    <t>効果時間3t 攻撃手段:肉体 雷+15 判定:魔力</t>
  </si>
  <si>
    <t>肉体による、3ターンの間、効果が持続する。</t>
  </si>
  <si>
    <t>雷誘導</t>
  </si>
  <si>
    <t>ライトニング・ガイド</t>
  </si>
  <si>
    <t>放電路の進行方向を人為的に制御し、雷を指定した経路へ導く。</t>
  </si>
  <si>
    <t>落雷</t>
  </si>
  <si>
    <t>フォール・サンダー</t>
  </si>
  <si>
    <t>待機時間1t 攻撃手段:魔法 特殊:攻撃 打撃+25 雷+75 射程:20 判定:魔力</t>
  </si>
  <si>
    <t>雷雲</t>
  </si>
  <si>
    <t>サンダー・クラウド</t>
  </si>
  <si>
    <t>効果時間3t 攻撃手段:魔法 特殊:攻撃 雷+20 射程:10 判定:魔力</t>
  </si>
  <si>
    <t>雷網</t>
  </si>
  <si>
    <t>ライトニング・ネット</t>
  </si>
  <si>
    <t>複数の放電路を網状に連結し、一定範囲へ維持する。</t>
  </si>
  <si>
    <t>前駆放電</t>
  </si>
  <si>
    <t>ストリーマ放電</t>
  </si>
  <si>
    <t>攻撃手段:魔法 特殊:攻撃 雷+75   射程:20 範囲:ライン 判定:魔力</t>
  </si>
  <si>
    <t>絶縁破壊に先行して枝分かれしながら進展するストリーマ状の前駆放電を形成する。</t>
  </si>
  <si>
    <t>火花放電</t>
  </si>
  <si>
    <t>スパーク放電</t>
  </si>
  <si>
    <t>攻撃手段:魔法 特殊:攻撃 雷+45 射程:20 範囲:周囲 判定:魔力</t>
  </si>
  <si>
    <t>絶縁破壊によって瞬間的な火花状の放電を発生させ、周囲へ電撃を拡散する。</t>
  </si>
  <si>
    <t>雷雨</t>
  </si>
  <si>
    <t>サンダー・レイン</t>
  </si>
  <si>
    <t>効果時間3t 攻撃手段:魔法 雷+45 打撃+20 射程:20 範囲:全体 効果:感電 判定:魔力</t>
  </si>
  <si>
    <t>雨を伴う雷雲を形成し、範囲内へ継続的な降雨と落雷を発生させる。</t>
  </si>
  <si>
    <t>青色噴流</t>
  </si>
  <si>
    <t>ブルージェット</t>
  </si>
  <si>
    <t>雷雲上部から上空へ伸びる青色の高層放電を発生させる。</t>
  </si>
  <si>
    <t>球雷</t>
  </si>
  <si>
    <t>ボールライトニング</t>
  </si>
  <si>
    <t>攻撃手段:魔法 特殊:攻撃 雷+25 怯み+25 攻撃回数4  射程:10 範囲:全体 判定:魔力</t>
  </si>
  <si>
    <t>雷雨時などに目撃される球状の発光体である球雷を複数発生させ、周囲へ放電させる。</t>
  </si>
  <si>
    <t>雷嵐</t>
  </si>
  <si>
    <t>サンダー・ストーム</t>
  </si>
  <si>
    <t>攻撃手段:魔法 特殊:攻撃 打撃+25 雷+40 体幹+60 射程:20 範囲:全体 判定:魔力</t>
  </si>
  <si>
    <t>魔法による、射程2。全体に効果が及ぶ。</t>
  </si>
  <si>
    <t>巨大雷噴流</t>
  </si>
  <si>
    <t>ギガンティック・ジェット</t>
  </si>
  <si>
    <t>雷雲から高層大気までを接続する巨大な放電柱を発生させる。</t>
  </si>
  <si>
    <t>雷円環</t>
  </si>
  <si>
    <t>エルブス</t>
  </si>
  <si>
    <t>上層大気に巨大な発光円環を瞬間的に発生させ、急速に拡大させる。</t>
  </si>
  <si>
    <t>正極性落雷</t>
  </si>
  <si>
    <t>ポジティブ・ライトニング</t>
  </si>
  <si>
    <t>待機時間1t 攻撃手段:魔法 特殊:攻撃 打撃+45 雷+85 射程:20 判定:魔力</t>
  </si>
  <si>
    <t>雷雲上部の正電荷から地表へ生じる正極性落雷を再現し、強力な一撃を発生させる。</t>
  </si>
  <si>
    <t>側撃雷</t>
  </si>
  <si>
    <t>サイドフラッシュ</t>
  </si>
  <si>
    <t>攻撃手段:魔法 特殊:攻撃 雷+95  射程:20 範囲:縦 効果:連鎖 判定:魔力</t>
  </si>
  <si>
    <t>落雷を受けた物体から周囲の対象へ雷が飛び移る側撃雷を連鎖的に発生させる。</t>
  </si>
  <si>
    <t>火山雷</t>
  </si>
  <si>
    <t>ボルカニック・ライトニング</t>
  </si>
  <si>
    <t>攻撃手段:魔法 雷+75 打撃+40 攻撃回数2 射程:30 範囲:周囲 効果:感電 判定:魔力</t>
  </si>
  <si>
    <t>火山噴煙中の粒子が衝突して帯電し、噴煙内部や周辺へ多数の放電が発生する火山雷を再現する。</t>
  </si>
  <si>
    <t>高層放電</t>
  </si>
  <si>
    <t>スプライト</t>
  </si>
  <si>
    <t>攻撃手段:魔法 雷+110 射程:30 範囲:縦 効果:感電 判定:魔力</t>
  </si>
  <si>
    <t>雷雲より高い上空に瞬間的な大規模発光放電を発生させる高層大気の放電現象を再現する。</t>
  </si>
  <si>
    <t>神雷</t>
  </si>
  <si>
    <t>ディヴァイン・サンダー</t>
  </si>
  <si>
    <t>信仰による奇跡として雷を顕現させ、対象へ落とす。</t>
  </si>
  <si>
    <t>万雷</t>
  </si>
  <si>
    <t>待機時間1t 攻撃手段:魔法 特殊:攻撃 打撃+25 雷+75 攻撃回数3 射程:20 効果:炸裂 判定:魔力</t>
  </si>
  <si>
    <t>巨大積乱雲</t>
  </si>
  <si>
    <t>スーパーセル</t>
  </si>
  <si>
    <t>待機時間1t 5t 雷+40 射程1000m 着弾範囲:球300m 効果:感電</t>
  </si>
  <si>
    <t>内部に持続的な回転上昇流を持つ巨大な積乱雲を形成し、広域へ激しい雷活動を発生させる。</t>
  </si>
  <si>
    <t>------------重力魔法 ------------</t>
  </si>
  <si>
    <t>重歪</t>
  </si>
  <si>
    <t>ディストーション</t>
  </si>
  <si>
    <t>手前の相手の回避を下げ、遠距離攻撃の命中率を下げる。</t>
  </si>
  <si>
    <t>軽量</t>
  </si>
  <si>
    <t>ライトウェイト</t>
  </si>
  <si>
    <t>重圧</t>
  </si>
  <si>
    <t>プレッシャー</t>
  </si>
  <si>
    <t>吸引</t>
  </si>
  <si>
    <t>グラビティ・プル</t>
  </si>
  <si>
    <t>無重力</t>
  </si>
  <si>
    <t>ゼロ・グラビティ</t>
  </si>
  <si>
    <t>超重力</t>
  </si>
  <si>
    <t>ヘヴィ・グラビティ</t>
  </si>
  <si>
    <t>重力の場</t>
  </si>
  <si>
    <t>グラビティ・フィールド</t>
  </si>
  <si>
    <t>斥力</t>
  </si>
  <si>
    <t>リパルション</t>
  </si>
  <si>
    <t>圧壊球</t>
  </si>
  <si>
    <t>クラッシング・オーブ</t>
  </si>
  <si>
    <t>潮汐力</t>
  </si>
  <si>
    <t>タイダル・フォース</t>
  </si>
  <si>
    <t>重力</t>
  </si>
  <si>
    <t>対象の各部位へ異なる強さの重力を作用させ、引き伸ばしや圧迫を生じさせる。</t>
  </si>
  <si>
    <t>重力落下</t>
  </si>
  <si>
    <t>グラビティ・ホール</t>
  </si>
  <si>
    <t>放免</t>
  </si>
  <si>
    <t>アンフェター</t>
  </si>
  <si>
    <t>重力レンズ</t>
  </si>
  <si>
    <t>グラビテーショナル・レンズ</t>
  </si>
  <si>
    <t>強い重力場によって光路を曲げ、像や視認方向を歪ませる。</t>
  </si>
  <si>
    <t>重力波</t>
  </si>
  <si>
    <t>グラビテーショナル・ウェーブ</t>
  </si>
  <si>
    <t>時空の歪みを波として伝播させ、広い範囲へ重力変動を発生させる。</t>
  </si>
  <si>
    <t>潮汐破砕</t>
  </si>
  <si>
    <t>タイダル・ディスラプション</t>
  </si>
  <si>
    <t>極端な潮汐力を対象へ集中させ、部位ごとの重力差によって破砕する。</t>
  </si>
  <si>
    <t>排斥</t>
  </si>
  <si>
    <t>リバルス</t>
  </si>
  <si>
    <t>黒穴</t>
  </si>
  <si>
    <t>ブラックホール</t>
  </si>
  <si>
    <t>------------酸魔法 ------------</t>
  </si>
  <si>
    <t>腐蝕の手</t>
  </si>
  <si>
    <t>コローシヴ・コンタクト</t>
  </si>
  <si>
    <t>毒</t>
  </si>
  <si>
    <t>攻撃手段:魔法 特殊:攻撃 酸+25 射程:0 効果:腐蝕 判定:魔力</t>
  </si>
  <si>
    <t>酸滴</t>
  </si>
  <si>
    <t>アシッドドロップ</t>
  </si>
  <si>
    <t>攻撃手段:魔法 特殊:攻撃 酸+30 射程:10 判定:魔力</t>
  </si>
  <si>
    <t>毒霧</t>
  </si>
  <si>
    <t>ポイズンミスト</t>
  </si>
  <si>
    <t>攻撃手段:魔法 特殊:攻撃 毒+15 射程:10 範囲:周囲 判定:魔力</t>
  </si>
  <si>
    <t>酸の落流</t>
  </si>
  <si>
    <t>アジットフォール</t>
  </si>
  <si>
    <t>攻撃手段:魔法 特殊:攻撃 酸+25 射程:20 判定:魔力</t>
  </si>
  <si>
    <t>腐蝕の雨</t>
  </si>
  <si>
    <t>コローシヴ・レイン</t>
  </si>
  <si>
    <t>攻撃手段:魔法 特殊:攻撃 酸+10 攻撃回数4 射程:20 効果:全体 判定:魔力</t>
  </si>
  <si>
    <t>死体爆弾</t>
  </si>
  <si>
    <t>ブロウトボム</t>
  </si>
  <si>
    <t>毒化</t>
  </si>
  <si>
    <t>ポイズン</t>
  </si>
  <si>
    <t>毒の領域</t>
  </si>
  <si>
    <t>ポイズンフィールド</t>
  </si>
  <si>
    <t>腐食の風</t>
  </si>
  <si>
    <t>致死毒</t>
  </si>
  <si>
    <t>疲労+50 毒+45</t>
  </si>
  <si>
    <t>溶解の熱線</t>
  </si>
  <si>
    <t>メルター・レイ</t>
  </si>
  <si>
    <t>属性:炎</t>
  </si>
  <si>
    <t>超熱融解</t>
  </si>
  <si>
    <t>メルトダウン</t>
  </si>
  <si>
    <t>------------音魔法 ------------</t>
  </si>
  <si>
    <t>集音</t>
  </si>
  <si>
    <t>音収束</t>
  </si>
  <si>
    <t>サウンド・フォーカス</t>
  </si>
  <si>
    <t>音</t>
  </si>
  <si>
    <t>周囲へ広がる音を一点または一方向へ集束させる。</t>
  </si>
  <si>
    <t>静音</t>
  </si>
  <si>
    <t>音共鳴</t>
  </si>
  <si>
    <t>レゾナンス</t>
  </si>
  <si>
    <t>対象の固有振動へ音を共鳴させ、振動を増幅する。</t>
  </si>
  <si>
    <t>超音波</t>
  </si>
  <si>
    <t>ウルトラサウンド</t>
  </si>
  <si>
    <t>可聴域を超える高周波の音を発生させ、探知や局所的な振動へ利用する。</t>
  </si>
  <si>
    <t>低周波</t>
  </si>
  <si>
    <t>インフラサウンド</t>
  </si>
  <si>
    <t>低周波の音圧を発生させ、広い範囲へ振動や不快感を与える。</t>
  </si>
  <si>
    <t>絶叫</t>
  </si>
  <si>
    <t>音圧波</t>
  </si>
  <si>
    <t>ソニック・ウェーブ</t>
  </si>
  <si>
    <t>音圧を指向性の高い波として集中し、指定方向へ放つ。</t>
  </si>
  <si>
    <t>定常波</t>
  </si>
  <si>
    <t>スタンディング・ウェーブ</t>
  </si>
  <si>
    <t>空間内に音の節と腹を固定し、特定位置へ振動を集中させる。</t>
  </si>
  <si>
    <t>音浮揚</t>
  </si>
  <si>
    <t>アコースティック・レビテーション</t>
  </si>
  <si>
    <t>音圧を制御して小物体や軽量物を浮遊させる。</t>
  </si>
  <si>
    <t>威服</t>
  </si>
  <si>
    <t>音相殺</t>
  </si>
  <si>
    <t>ノイズ・キャンセリング</t>
  </si>
  <si>
    <t>逆位相の音を重ね、一定範囲の音を大きく減衰させる。</t>
  </si>
  <si>
    <t>不和の音</t>
  </si>
  <si>
    <t>衝撃音</t>
  </si>
  <si>
    <t>ソニックブーム</t>
  </si>
  <si>
    <t>超音速移動に伴う衝撃波に相当する強烈な圧力変化を発生させる。</t>
  </si>
  <si>
    <t>破砕</t>
  </si>
  <si>
    <t>聖歌</t>
  </si>
  <si>
    <t>セイクリッド・ハム</t>
  </si>
  <si>
    <t>信仰による奇跡を歌声や旋律を媒介して広範囲へ伝える。</t>
  </si>
  <si>
    <t>力の言葉</t>
  </si>
  <si>
    <t>言霊</t>
  </si>
  <si>
    <t>攻撃手段:魔法 精神攻撃+75 怯み+50 射程:10 判定:精神</t>
  </si>
  <si>
    <t>------------闇魔法 ------------</t>
  </si>
  <si>
    <t>暗闇</t>
  </si>
  <si>
    <t>ダークネス</t>
  </si>
  <si>
    <t>闇</t>
  </si>
  <si>
    <t>攻撃手段:魔法 特殊:攻撃 闇+25 盲目+35 射程:10 判定:魔力</t>
  </si>
  <si>
    <t>影の膜</t>
  </si>
  <si>
    <t>シャドーベール</t>
  </si>
  <si>
    <t>効果時間6t 隠密+75 騙す+25 光耐性-10 効果:影</t>
  </si>
  <si>
    <t>闇幕</t>
  </si>
  <si>
    <t>ダーク・カーテン</t>
  </si>
  <si>
    <t>闇を薄い幕状に固定し、視線や光を遮る。</t>
  </si>
  <si>
    <t>闇線</t>
  </si>
  <si>
    <t>ダーク・レイ</t>
  </si>
  <si>
    <t>攻撃手段:魔法 特殊:攻撃 闇+40 効果:貫通 射程:20 判定:魔力</t>
  </si>
  <si>
    <t>深い闇</t>
  </si>
  <si>
    <t>ディープ・ダークネス</t>
  </si>
  <si>
    <t>攻撃手段:魔法 特殊:攻撃 闇+30 精神攻撃+40 射程:10 効果:睡眠 判定:魔力</t>
  </si>
  <si>
    <t>闇減光</t>
  </si>
  <si>
    <t>ダーク・ディミング</t>
  </si>
  <si>
    <t>周囲の光量を急激に減衰させ、暗所を作り出す。</t>
  </si>
  <si>
    <t>虚無の渦</t>
  </si>
  <si>
    <t>ヴォイド・ホール</t>
  </si>
  <si>
    <t>攻撃手段:魔法 特殊:攻撃 闇+40 疲労+60 射程:10 判定:魔力</t>
  </si>
  <si>
    <t>影の投射</t>
  </si>
  <si>
    <t>シャドウ・プロジェクション</t>
  </si>
  <si>
    <t>攻撃手段:魔法 効果:分身/本体行動不能 判定:魔力</t>
  </si>
  <si>
    <t>自身と同じ能力値の影の分身を生み出す。&lt;br&gt;1.影が動く間、本体は行動できない。&lt;br&gt;2.影が受けたダメージの半分は本体も受ける。&lt;br&gt;3.影はMPとSTを持たない。&lt;br&gt;4.非実体化して影の能力を得る。壁抜け、光耐性-50、隠密+75</t>
  </si>
  <si>
    <t>闇遮光</t>
  </si>
  <si>
    <t>ダーク・ブロック</t>
  </si>
  <si>
    <t>指定方向から届く光を選択的に遮断する。</t>
  </si>
  <si>
    <t>無月の闇</t>
  </si>
  <si>
    <t>ナイト・ダーク</t>
  </si>
  <si>
    <t>攻撃手段:魔法 特殊:攻撃 闇+35 氷+35 盲目+75 射程:20 範囲:周囲 判定:魔力</t>
  </si>
  <si>
    <t>夜の衣</t>
  </si>
  <si>
    <t>ナイト・ヴェイル</t>
  </si>
  <si>
    <t>効果時間5t 魔法軽減+35 光軽減+35 隠密+65 射程:20 範囲:周囲 追加威力:魔力</t>
  </si>
  <si>
    <t>闇蝕</t>
  </si>
  <si>
    <t>ダーク・エクリプス</t>
  </si>
  <si>
    <t>光源を覆い隠す食のような闇を発生させ、周囲を急速に暗くする。</t>
  </si>
  <si>
    <t>暗黒星雲</t>
  </si>
  <si>
    <t>ダーク・ネビュラ</t>
  </si>
  <si>
    <t>光を遮る塵の巨大領域を再現し、広範囲の光を弱める。</t>
  </si>
  <si>
    <t>溢れる闇</t>
  </si>
  <si>
    <t>ダークネス・オーバー</t>
  </si>
  <si>
    <t>攻撃手段:魔法 特殊:攻撃 闇+85 盲目+75 体幹+50 射程:3 範囲:周囲 判定:魔力</t>
  </si>
  <si>
    <t>闇吸光</t>
  </si>
  <si>
    <t>ダーク・アブソープション</t>
  </si>
  <si>
    <t>周囲の光を選択的に吸収し、光量を奪う。</t>
  </si>
  <si>
    <t>聖なる闇</t>
  </si>
  <si>
    <t>セイクリッド・ダーク</t>
  </si>
  <si>
    <t>信仰による奇跡として、静穏で神聖な闇を顕現させる。</t>
  </si>
  <si>
    <t>虚無球</t>
  </si>
  <si>
    <t>ヴォイド・オーブ</t>
  </si>
  <si>
    <t>攻撃手段:魔法 特殊:攻撃 闇+85 呪い+85 効果:精神ダメージ 射程:10 判定:魔力</t>
  </si>
  <si>
    <t>闇と呪いを複合し、対象へLvダメージを与える虚無の球体を発生させる。</t>
  </si>
  <si>
    <t>属性:呪い</t>
  </si>
  <si>
    <t>安息の闇</t>
  </si>
  <si>
    <t>レスト・イン・ダーク</t>
  </si>
  <si>
    <t>信仰による奇跡として周囲を深い闇で包み、外界から隔絶された静穏な領域を作る。</t>
  </si>
  <si>
    <t>常闇の檻</t>
  </si>
  <si>
    <t>ダークネス・ジェイル</t>
  </si>
  <si>
    <t>効果時間3t 攻撃手段:魔法 特殊:攻撃 闇+95 盲目+95 効果:設置 射程:20 判定:魔力</t>
  </si>
  <si>
    <t>常闇の吸引</t>
  </si>
  <si>
    <t>ダークネス・アブソープション</t>
  </si>
  <si>
    <t>攻撃手段:魔法 特殊:攻撃 闇+120 盲目+120 体幹+120 効果:引力 射程:20 範囲:全体 判定:魔力</t>
  </si>
  <si>
    <t>光を吸い込む常闇を発生させる。現在の戦闘処理には引力も含まれている。</t>
  </si>
  <si>
    <t>属性:重力</t>
  </si>
  <si>
    <t>------------光魔法 ------------</t>
  </si>
  <si>
    <t>閃光</t>
  </si>
  <si>
    <t>フラッシュ</t>
  </si>
  <si>
    <t>光</t>
  </si>
  <si>
    <t>攻撃手段:魔法 特殊:攻撃 光+15 盲目+35 射程:10 判定:魔力</t>
  </si>
  <si>
    <t>光屈折</t>
  </si>
  <si>
    <t>リフラクション</t>
  </si>
  <si>
    <t>光の進行方向を人為的に曲げ、像や照射方向を変化させる。</t>
  </si>
  <si>
    <t>光線</t>
  </si>
  <si>
    <t>レイ</t>
  </si>
  <si>
    <t>攻撃手段:魔法 特殊:攻撃 光+40 効果:貫通 射程:20 判定:魔力</t>
  </si>
  <si>
    <t>光分光</t>
  </si>
  <si>
    <t>ディスパージョン</t>
  </si>
  <si>
    <t>光を波長ごとに分離し、複数の色や成分へ分ける。</t>
  </si>
  <si>
    <t>光回折</t>
  </si>
  <si>
    <t>ディフラクション</t>
  </si>
  <si>
    <t>光の回折を人為的に制御し、通常とは異なる広がり方や像を作る。</t>
  </si>
  <si>
    <t>焼け付く光</t>
  </si>
  <si>
    <t>シアリングライト</t>
  </si>
  <si>
    <t>攻撃手段:魔法 特殊:攻撃 炎+20 光+40 盲目+35 射程:10 判定:魔力</t>
  </si>
  <si>
    <t>幻日</t>
  </si>
  <si>
    <t>サンドッグ</t>
  </si>
  <si>
    <t>効果時間3t 攻撃手段:魔法 光+25 幻覚+55 射程:20 範囲:周囲 効果:幻影 判定:魔力</t>
  </si>
  <si>
    <t>大気中の氷晶で光が屈折し、光源の左右に明るい光像が現れる幻日現象を発生させる。</t>
  </si>
  <si>
    <t>暈</t>
  </si>
  <si>
    <t>ハロー</t>
  </si>
  <si>
    <t>効果時間3t 攻撃手段:魔法 光+35 盲目+45 射程:20 範囲:周囲 効果:閃光 判定:魔力</t>
  </si>
  <si>
    <t>大気中の氷晶による光の屈折・反射で、光源を囲む輪状の光を発生させる。</t>
  </si>
  <si>
    <t>彩雲</t>
  </si>
  <si>
    <t>イリデセント・クラウド</t>
  </si>
  <si>
    <t>雲粒による光の回折で雲を虹色に輝かせる彩雲現象を発生させる。</t>
  </si>
  <si>
    <t>光冠</t>
  </si>
  <si>
    <t>コロナ</t>
  </si>
  <si>
    <t>光源の周囲に小さな色の環を形成する光冠現象を発生させる。</t>
  </si>
  <si>
    <t>光収束</t>
  </si>
  <si>
    <t>ライト・フォーカス</t>
  </si>
  <si>
    <t>広がった光を一点へ収束させ、局所的な高照度・高熱を生み出す。</t>
  </si>
  <si>
    <t>光柱</t>
  </si>
  <si>
    <t>ライト・ピラー</t>
  </si>
  <si>
    <t>攻撃手段:魔法 特殊:攻撃 光+70 盲目+75 射程:20 判定:魔力</t>
  </si>
  <si>
    <t>大気中の微細な結晶などで光が反射し、光源から柱状に伸びて見える光柱現象を再現する。</t>
  </si>
  <si>
    <t>光迷彩</t>
  </si>
  <si>
    <t>オプティカル・カモフラージュ</t>
  </si>
  <si>
    <t>周囲の光を対象の背後へ迂回・再構成し、外見を背景へ溶け込ませる。</t>
  </si>
  <si>
    <t>光蜃気楼</t>
  </si>
  <si>
    <t>ミラージュ</t>
  </si>
  <si>
    <t>空気の温度差による屈折を再現し、遠方や地表に虚像を形成する。</t>
  </si>
  <si>
    <t>光の奔流</t>
  </si>
  <si>
    <t>ルミナス・オーバー</t>
  </si>
  <si>
    <t>攻撃手段:魔法 特殊:攻撃 光+85 幻覚+85 射程:3 範囲:周囲 判定:魔力</t>
  </si>
  <si>
    <t>夜光雲</t>
  </si>
  <si>
    <t>ノクティルーセント・クラウド</t>
  </si>
  <si>
    <t>高層の微細な氷晶へ光を当て、日没後の空に青白く輝く雲を発生させる。</t>
  </si>
  <si>
    <t>聖光</t>
  </si>
  <si>
    <t>ホーリー・ライト</t>
  </si>
  <si>
    <t>信仰による奇跡として神聖な光を顕現させる。</t>
  </si>
  <si>
    <t>蛍の群光</t>
  </si>
  <si>
    <t>ブリンク・ランビリス</t>
  </si>
  <si>
    <t>攻撃手段:魔法 特殊:攻撃 光+30 盲目+30 射程:3 範囲:周囲 攻撃回数4</t>
  </si>
  <si>
    <t>地上の光</t>
  </si>
  <si>
    <t>アースラウンド・ホーリー</t>
  </si>
  <si>
    <t>攻撃手段:魔法 特殊:攻撃 光+40 体幹+40 射程:3 範囲:周囲 攻撃回数3</t>
  </si>
  <si>
    <t>神光</t>
  </si>
  <si>
    <t>ディヴァイン・ライト</t>
  </si>
  <si>
    <t>信仰による上位奇跡として広域へ強い神聖光を降らせる。</t>
  </si>
  <si>
    <t>極光</t>
  </si>
  <si>
    <t>------------回復魔法 ------------</t>
  </si>
  <si>
    <t>軽傷治癒</t>
  </si>
  <si>
    <t>ライト・ヒール</t>
  </si>
  <si>
    <t>回復</t>
  </si>
  <si>
    <t>攻撃手段:魔法 特殊:攻撃 回復+35 判定:魔力</t>
  </si>
  <si>
    <t>回復術</t>
  </si>
  <si>
    <t>レストーション</t>
  </si>
  <si>
    <t>攻撃手段:魔法 特殊:攻撃 回復+20 効果:呪い回復 判定:魔力</t>
  </si>
  <si>
    <t>中傷治癒</t>
  </si>
  <si>
    <t>ミドル・ヒール</t>
  </si>
  <si>
    <t>攻撃手段:魔法 特殊:攻撃 回復+55 判定:魔力</t>
  </si>
  <si>
    <t>毒治癒</t>
  </si>
  <si>
    <t>ポイズン・ヒール</t>
  </si>
  <si>
    <t>攻撃手段:魔法 特殊:攻撃 回復+30 効果:毒回復 判定:魔力</t>
  </si>
  <si>
    <t>麻痺治癒</t>
  </si>
  <si>
    <t>パラライズ・ヒール</t>
  </si>
  <si>
    <t>攻撃手段:魔法 特殊:攻撃 回復+30 効果:麻痺回復 判定:魔力</t>
  </si>
  <si>
    <t>重傷治癒</t>
  </si>
  <si>
    <t>ヘビィ・ヒール</t>
  </si>
  <si>
    <t>攻撃手段:魔法 特殊:攻撃 回復+75 判定:魔力</t>
  </si>
  <si>
    <t>軽傷治癒・範囲</t>
  </si>
  <si>
    <t>マス・ライト・ヒール</t>
  </si>
  <si>
    <t>致命傷治癒</t>
  </si>
  <si>
    <t>クリティカル・ヒール</t>
  </si>
  <si>
    <t>攻撃手段:魔法 特殊:攻撃 回復+95 判定:魔力</t>
  </si>
  <si>
    <t>中傷治癒・範囲</t>
  </si>
  <si>
    <t>マス・ミドル・ヒール</t>
  </si>
  <si>
    <t>大回復術</t>
  </si>
  <si>
    <t>オール・レストーション</t>
  </si>
  <si>
    <t>攻撃手段:魔法 特殊:攻撃 回復+55 効果:呪い回復 判定:魔力</t>
  </si>
  <si>
    <t>洗浄</t>
  </si>
  <si>
    <t>グレイズ</t>
  </si>
  <si>
    <t>攻撃手段:魔法 特殊:攻撃 回復+35 効果:呪い/毒/麻痺/回復 判定:魔力</t>
  </si>
  <si>
    <t>簡易蘇生</t>
  </si>
  <si>
    <t>レッサー・リザレクション</t>
  </si>
  <si>
    <t>攻撃手段:魔法 特殊:攻撃 回復+55 効果:蘇生 (死亡状態を回復する) 判定:魔力</t>
  </si>
  <si>
    <t>大治癒</t>
  </si>
  <si>
    <t>オール・ヒール</t>
  </si>
  <si>
    <t>攻撃手段:魔法 特殊:攻撃 回復+115 判定:魔力</t>
  </si>
  <si>
    <t>重傷治癒・範囲</t>
  </si>
  <si>
    <t>マス・ヘビィ・ヒール</t>
  </si>
  <si>
    <t>蘇生</t>
  </si>
  <si>
    <t>リザレクション</t>
  </si>
  <si>
    <t>攻撃手段:魔法 特殊:攻撃 回復+75 効果:蘇生 (死亡状態を回復する) 判定:魔力</t>
  </si>
  <si>
    <t>致命傷治癒・範囲</t>
  </si>
  <si>
    <t>マス・クリティカル・ヒール</t>
  </si>
  <si>
    <t>真の蘇生</t>
  </si>
  <si>
    <t>トゥルーリザレクション</t>
  </si>
  <si>
    <t>攻撃手段:魔法 特殊:攻撃 回復+95 効果:蘇生 (死亡状態を回復する) 判定:魔力</t>
  </si>
  <si>
    <t>大治癒・範囲</t>
  </si>
  <si>
    <t>マス・オール・ヒール</t>
  </si>
  <si>
    <t>------------風魔法 ------------</t>
  </si>
  <si>
    <t>突風</t>
  </si>
  <si>
    <t>攻撃手段:魔法 打撃+15 体幹+25 効果:吹き飛ばし 判定:魔力</t>
  </si>
  <si>
    <t>壁風</t>
  </si>
  <si>
    <t>物理ガード+25 魔法ガード+25 体幹+15 効果:吹き飛ばし</t>
  </si>
  <si>
    <t>上昇烈風</t>
  </si>
  <si>
    <t>打撃+35 体幹+35 効果:打ち上げ 射程:10</t>
  </si>
  <si>
    <t>風足</t>
  </si>
  <si>
    <t>効果時間2t 効果:空中歩行 移動速度+15</t>
  </si>
  <si>
    <t>風前線</t>
  </si>
  <si>
    <t>ガストフロント</t>
  </si>
  <si>
    <t>風</t>
  </si>
  <si>
    <t>冷たい空気塊の先端を前線状に押し広げ、地表へ強い突風を走らせる。</t>
  </si>
  <si>
    <t>滑降風</t>
  </si>
  <si>
    <t>カタバ風</t>
  </si>
  <si>
    <t>冷たく重い空気を斜面に沿って下降させ、持続的な強風を発生させる。</t>
  </si>
  <si>
    <t>纏風</t>
  </si>
  <si>
    <t>効果時間6t 攻撃手段:肉体 物理軽減+10 魔法軽減+10 体幹+15</t>
  </si>
  <si>
    <t>雲操作</t>
  </si>
  <si>
    <t>効果時間5t 効果:雲操作</t>
  </si>
  <si>
    <t>天候を5ターンの間「晴れ」か「曇り」に変更できる</t>
  </si>
  <si>
    <t>塵旋風</t>
  </si>
  <si>
    <t>ダストデビル</t>
  </si>
  <si>
    <t>攻撃手段:魔法 打撃+45 体幹+60 盲目+35 射程:10 範囲:周囲 判定:魔力</t>
  </si>
  <si>
    <t>地表付近の強い上昇気流によって生じる小規模な旋風で、砂塵を巻き上げる。</t>
  </si>
  <si>
    <t>大型下降噴流</t>
  </si>
  <si>
    <t>マクロバースト</t>
  </si>
  <si>
    <t>広い範囲へ強烈な下降気流を叩きつけ、接地後に周囲へ大規模な突風を広げる。</t>
  </si>
  <si>
    <t>風乱流</t>
  </si>
  <si>
    <t>タービュランス</t>
  </si>
  <si>
    <t>局所的に不規則な気流を発生させ、移動や飛行を不安定にする。</t>
  </si>
  <si>
    <t>空足</t>
  </si>
  <si>
    <t>効果時間6t 効果:空中歩行</t>
  </si>
  <si>
    <t>天候操作</t>
  </si>
  <si>
    <t>効果時間6t 効果:天候操作</t>
  </si>
  <si>
    <t>天候を変更。晴れ、雨、雪、嵐、暴風雨、雷雨、雪嵐、から選択できる場所によっては砂嵐も可能</t>
  </si>
  <si>
    <t>下降噴流</t>
  </si>
  <si>
    <t>ダウンバースト</t>
  </si>
  <si>
    <t>攻撃手段:魔法 打撃+70 体幹+85 射程:20 範囲:周囲 効果:吹き飛ばし 判定:魔力</t>
  </si>
  <si>
    <t>強い下降気流を地面へ叩きつけ、接地後に周囲へ広がる突風を発生させる。</t>
  </si>
  <si>
    <t>小型下降噴流</t>
  </si>
  <si>
    <t>マイクロバースト</t>
  </si>
  <si>
    <t>攻撃手段:魔法 打撃+90 体幹+100 射程:20 範囲:炸裂 効果:吹き飛ばし 判定:魔力</t>
  </si>
  <si>
    <t>狭い範囲へ集中した強烈な下降噴流を発生させ、局地的に非常に強い突風を生じさせる。</t>
  </si>
  <si>
    <t>山越風</t>
  </si>
  <si>
    <t>フェーン</t>
  </si>
  <si>
    <t>山地を越えた空気を高温・乾燥した下降風として吹き下ろす。</t>
  </si>
  <si>
    <t>竜巻</t>
  </si>
  <si>
    <t>打撃+55 切断+25 体幹+90 効果:吹き飛ばし/打ち上げ 射程:20 範囲:</t>
  </si>
  <si>
    <t>水上竜巻</t>
  </si>
  <si>
    <t>ウォータースパウト</t>
  </si>
  <si>
    <t>攻撃手段:魔法 打撃+60 体幹+90 射程:20 範囲:周囲 効果:吹き飛ばし 判定:魔力</t>
  </si>
  <si>
    <t>水面上に竜巻状の渦を形成し、水しぶきと強風で周囲を巻き上げる現象を発生させる。</t>
  </si>
  <si>
    <t>風噴流</t>
  </si>
  <si>
    <t>ジェットストリーム</t>
  </si>
  <si>
    <t>高速の気流帯を形成し、広い範囲へ強い一方向の流れを発生させる。</t>
  </si>
  <si>
    <t>砂塵暴風</t>
  </si>
  <si>
    <t>ハブーブ</t>
  </si>
  <si>
    <t>巨大な砂塵の壁を伴う暴風を発生させ、広範囲の視界と移動を妨げる。</t>
  </si>
  <si>
    <t>大嵐</t>
  </si>
  <si>
    <t>効果時間6t 打撃+25 体幹+55 効果:吹き飛ばし/打ち上げ 射程:20 範囲:</t>
  </si>
  <si>
    <t>神息</t>
  </si>
  <si>
    <t>ディヴァイン・ブレス</t>
  </si>
  <si>
    <t>信仰による奇跡として巨大な風を顕現させる。</t>
  </si>
  <si>
    <t>暴風雨</t>
  </si>
  <si>
    <t>------------地魔法 ------------</t>
  </si>
  <si>
    <t>石形成</t>
  </si>
  <si>
    <t>ストーン・シェイプ</t>
  </si>
  <si>
    <t>地</t>
  </si>
  <si>
    <t>魔法の石</t>
  </si>
  <si>
    <t>マジック・ストーン</t>
  </si>
  <si>
    <t>石ころの威力を6t上昇させる</t>
  </si>
  <si>
    <t>地割れ</t>
  </si>
  <si>
    <t>グラウンド・クラック</t>
  </si>
  <si>
    <t>地面に亀裂を発生させ、足場や進路を崩す。</t>
  </si>
  <si>
    <t>円盤石</t>
  </si>
  <si>
    <t>燃料の球</t>
  </si>
  <si>
    <t>タールボール</t>
  </si>
  <si>
    <t>効果:燃焼+</t>
  </si>
  <si>
    <t>対象は炎ダメージを受けると燃焼する状態になる。</t>
  </si>
  <si>
    <t>沼水</t>
  </si>
  <si>
    <t>水晶片</t>
  </si>
  <si>
    <t>攻撃手段:魔法 貫通+55 耐性貫通+8 射程:10 攻撃追加:魔法Rank 追加威力:魔力</t>
  </si>
  <si>
    <t>属性:光\|魔術</t>
  </si>
  <si>
    <t>流砂</t>
  </si>
  <si>
    <t>地熱噴泉</t>
  </si>
  <si>
    <t>ゲイザー</t>
  </si>
  <si>
    <t>地下の熱水と蒸気を噴き上げる地熱噴泉を発生させる。</t>
  </si>
  <si>
    <t>噴気孔</t>
  </si>
  <si>
    <t>フマロール</t>
  </si>
  <si>
    <t>地面の亀裂から高温の蒸気や火山ガスを噴出させる。</t>
  </si>
  <si>
    <t>落石</t>
  </si>
  <si>
    <t>石壁</t>
  </si>
  <si>
    <t>ストーン・ウォール</t>
  </si>
  <si>
    <t>溶岩の嵐</t>
  </si>
  <si>
    <t>ヴォルカニック・ストーム</t>
  </si>
  <si>
    <t>大沼</t>
  </si>
  <si>
    <t>水晶槍</t>
  </si>
  <si>
    <t>攻撃手段:魔法 貫通+75 耐性貫通+15 射程:10 判定:魔力</t>
  </si>
  <si>
    <t>砂地獄</t>
  </si>
  <si>
    <t>地盤液状化</t>
  </si>
  <si>
    <t>リクイファクション</t>
  </si>
  <si>
    <t>水分を含む地盤を急激に流動化させ、足場や構造物を不安定にする。</t>
  </si>
  <si>
    <t>岩滑り</t>
  </si>
  <si>
    <t>ロックスライド</t>
  </si>
  <si>
    <t>斜面や岩盤を一気に滑落させ、大量の岩石を流下させる。</t>
  </si>
  <si>
    <t>火山弾</t>
  </si>
  <si>
    <t>ヴォルカニック・ボム</t>
  </si>
  <si>
    <t>高温の岩塊を火山弾として噴出・飛散させる。</t>
  </si>
  <si>
    <t>落石群</t>
  </si>
  <si>
    <t>地形変動</t>
  </si>
  <si>
    <t>溶岩の壁</t>
  </si>
  <si>
    <t>ヴォルケーノ・ウォール</t>
  </si>
  <si>
    <t>土軟化</t>
  </si>
  <si>
    <t>水晶盾</t>
  </si>
  <si>
    <t>効果時間3t 物理軽減+15 判定:魔力</t>
  </si>
  <si>
    <t>3ターンの間、魔法の水晶による盾で物理攻撃の威力を減衰する</t>
  </si>
  <si>
    <t>属性:光\|防御\|魔術</t>
  </si>
  <si>
    <t>水晶の刃</t>
  </si>
  <si>
    <t>効果時間3t 効果:武器生成/自動攻撃 切断+15 貫通+15 追加威力:制作 判定:魔力/精神接続</t>
  </si>
  <si>
    <t>属性:光\|物質\|魔術</t>
  </si>
  <si>
    <t>砂嵐</t>
  </si>
  <si>
    <t>溶岩噴泉</t>
  </si>
  <si>
    <t>ラヴァ・ファウンテン</t>
  </si>
  <si>
    <t>地表や亀裂から溶岩を高く噴き上げ、周囲へ降り注がせる。</t>
  </si>
  <si>
    <t>岩屑雪崩</t>
  </si>
  <si>
    <t>デブリ・アバランチ</t>
  </si>
  <si>
    <t>山体や大量の岩屑を崩壊させ、高速で斜面を流下させる。</t>
  </si>
  <si>
    <t>塁壁</t>
  </si>
  <si>
    <t>ランパート</t>
  </si>
  <si>
    <t>溶岩の波</t>
  </si>
  <si>
    <t>ヴォルケーノ・サージ</t>
  </si>
  <si>
    <t>土波</t>
  </si>
  <si>
    <t>アース・サージ</t>
  </si>
  <si>
    <t>水晶の領域</t>
  </si>
  <si>
    <t>クリスタル・フィールド</t>
  </si>
  <si>
    <t>効果時間6t 効果:水晶の領域</t>
  </si>
  <si>
    <t>4ターンの間 光属性の魔法をしたとき 追加で半分の威力の追加攻撃を与えるようにする。</t>
  </si>
  <si>
    <t>属性:光</t>
  </si>
  <si>
    <t>反射水晶</t>
  </si>
  <si>
    <t>攻撃手段:魔法 物理ガード+90 魔法ガード+125 効果:光線反射</t>
  </si>
  <si>
    <t>水晶による大きな盾を生み出す。光線系の攻撃や魔法を反射することができる。</t>
  </si>
  <si>
    <t>砂竜巻</t>
  </si>
  <si>
    <t>サンド・トルネード</t>
  </si>
  <si>
    <t>火砕流</t>
  </si>
  <si>
    <t>パイロクラスティック・フロー</t>
  </si>
  <si>
    <t>攻撃手段:魔法 炎+70 打撃+45 体幹+80 射程:20 範囲:縦 効果:燃焼 判定:魔力</t>
  </si>
  <si>
    <t>高温の火山ガス・火山灰・岩塊が地表に沿って高速で流れ下る火山現象を発生させる。</t>
  </si>
  <si>
    <t>火山泥流</t>
  </si>
  <si>
    <t>ラハール</t>
  </si>
  <si>
    <t>攻撃手段:魔法 打撃+75 体幹+90 射程:20 範囲:縦 効果:押し出し 判定:魔力</t>
  </si>
  <si>
    <t>火山灰や火山礫などの火山噴出物が水と混ざり、泥流となって高速で流下する現象を発生させる。</t>
  </si>
  <si>
    <t>地震</t>
  </si>
  <si>
    <t>クエイク</t>
  </si>
  <si>
    <t>隕石軍</t>
  </si>
  <si>
    <t>メテオ・スウォーム</t>
  </si>
  <si>
    <t>濁流</t>
  </si>
  <si>
    <t>水晶の冠</t>
  </si>
  <si>
    <t>クリスタル・クラウン</t>
  </si>
  <si>
    <t>効果時間6t 効果:自動攻撃 切断+20 貫通+20 判定:魔力</t>
  </si>
  <si>
    <t>信仰による奇跡として水晶の冠を顕現させ、周囲に浮かぶ水晶が自動的に攻撃する。</t>
  </si>
  <si>
    <t>旱魃</t>
  </si>
  <si>
    <t>火砕サージ</t>
  </si>
  <si>
    <t>パイロクラスティック・サージ</t>
  </si>
  <si>
    <t>攻撃手段:魔法 炎+65 打撃+55 体幹+95 射程:30 範囲:全体 効果:燃焼 判定:魔力</t>
  </si>
  <si>
    <t>火山灰や高温ガスを主体とする希薄な火砕物が、地形を越えて高速で広がる火山現象を発生させる。</t>
  </si>
  <si>
    <t>属性:炎/風</t>
  </si>
  <si>
    <t>大地震</t>
  </si>
  <si>
    <t>アース・クエイク</t>
  </si>
  <si>
    <t>隕石</t>
  </si>
  <si>
    <t>メテオ・フォール</t>
  </si>
  <si>
    <t>土石流</t>
  </si>
  <si>
    <t>水晶の吹き荒れる世界</t>
  </si>
  <si>
    <t>クリスタル・レイジング・ワールド</t>
  </si>
  <si>
    <t>攻撃手段:魔法 貫通+25 耐性貫通+25 攻撃回数6 射程:20 範囲:全体</t>
  </si>
  <si>
    <t>属性:光\|風\|物質</t>
  </si>
  <si>
    <t>砂界</t>
  </si>
  <si>
    <t>デザート・ドミニオン</t>
  </si>
  <si>
    <t>------------毒魔法 ------------</t>
  </si>
  <si>
    <t>------------対魔魔法 ------------</t>
  </si>
  <si>
    <t>------------時間魔法 ------------</t>
  </si>
  <si>
    <t>------------空間魔法 ------------</t>
  </si>
  <si>
    <t>------------幻覚魔法 ------------</t>
  </si>
  <si>
    <t>------------呪い魔法 ------------</t>
  </si>
  <si>
    <t>------------物質魔法 ------------</t>
  </si>
  <si>
    <t>武器生成</t>
  </si>
  <si>
    <t>影の武器</t>
  </si>
  <si>
    <t>泡の宿</t>
  </si>
  <si>
    <t>立木の宿</t>
  </si>
  <si>
    <t>魔法の宿</t>
  </si>
  <si>
    <t>永続化</t>
  </si>
  <si>
    <t>英雄の晩餐</t>
  </si>
  <si>
    <t>城</t>
  </si>
  <si>
    <t>塔</t>
  </si>
  <si>
    <t>加工</t>
  </si>
  <si>
    <t>壁抜け</t>
  </si>
  <si>
    <t>神酒</t>
  </si>
  <si>
    <t>ネクタル</t>
  </si>
  <si>
    <t>不壊の加護</t>
  </si>
  <si>
    <t>神の容器</t>
  </si>
  <si>
    <t>------------強化魔法 ------------</t>
  </si>
  <si>
    <t>------------魂魔法 ------------</t>
  </si>
  <si>
    <t>------------基本職 ------------</t>
  </si>
  <si>
    <t>------戦士系------</t>
  </si>
  <si>
    <t>ファイター</t>
  </si>
  <si>
    <t>戦士</t>
  </si>
  <si>
    <t>闘気撃</t>
  </si>
  <si>
    <t>オーラ・ストライク</t>
  </si>
  <si>
    <t>攻撃手段:武器 物理+25 判定:攻撃</t>
  </si>
  <si>
    <t>武器の扱い</t>
  </si>
  <si>
    <t>攻撃手段:武器 命中+10</t>
  </si>
  <si>
    <t>闘気守</t>
  </si>
  <si>
    <t>オーラ・ガード</t>
  </si>
  <si>
    <t>攻撃手段:武器 ガード+25 判定:防御</t>
  </si>
  <si>
    <t>雄叫び</t>
  </si>
  <si>
    <t>ロアー</t>
  </si>
  <si>
    <t>効果時間:4t 攻撃+15 精神耐性+10</t>
  </si>
  <si>
    <t>武器の攻め</t>
  </si>
  <si>
    <t>攻撃手段:武器 物理+2 命中+5</t>
  </si>
  <si>
    <t>一閃撃</t>
  </si>
  <si>
    <t>ブランデッシュ</t>
  </si>
  <si>
    <t>攻撃手段:武器 物理+15 命中+25 判定:攻撃</t>
  </si>
  <si>
    <t>ナイト</t>
  </si>
  <si>
    <t>反撃</t>
  </si>
  <si>
    <t xml:space="preserve">条件:ガード時 物理+3 </t>
  </si>
  <si>
    <t>武器の守り</t>
  </si>
  <si>
    <t>攻撃手段:武器 ガード+2 命中+5</t>
  </si>
  <si>
    <t>フェンサー</t>
  </si>
  <si>
    <t>闘気速</t>
  </si>
  <si>
    <t>オーラ・クイック</t>
  </si>
  <si>
    <t xml:space="preserve">攻撃手段:武器 物理+15 速度+25 判定:速度 </t>
  </si>
  <si>
    <t>------格闘系------</t>
  </si>
  <si>
    <t>モンク</t>
  </si>
  <si>
    <t>格闘家</t>
  </si>
  <si>
    <t>攻撃手段:素手 物理+25 判定:攻撃</t>
  </si>
  <si>
    <t>素手の扱い</t>
  </si>
  <si>
    <t>攻撃手段:素手 物理+5 命中+10</t>
  </si>
  <si>
    <t>------狩人系------</t>
  </si>
  <si>
    <t>シーフ</t>
  </si>
  <si>
    <t>急所撃</t>
  </si>
  <si>
    <t>ポイントストライク</t>
  </si>
  <si>
    <t xml:space="preserve">条件:不意打ち 物理+35 判定:命中 </t>
  </si>
  <si>
    <t>隠密</t>
  </si>
  <si>
    <t>痛撃</t>
  </si>
  <si>
    <t>ペイン・ストライク</t>
  </si>
  <si>
    <t>攻撃手段:武器 怯み+30 判定:命中</t>
  </si>
  <si>
    <t>罠技術</t>
  </si>
  <si>
    <t>狙い</t>
  </si>
  <si>
    <t>ターゲット</t>
  </si>
  <si>
    <t>効果時間:4t 命中+20 Cr率+5</t>
  </si>
  <si>
    <t>レンジャー</t>
  </si>
  <si>
    <t>アーチャー</t>
  </si>
  <si>
    <t>弓兵</t>
  </si>
  <si>
    <t>貫通矢</t>
  </si>
  <si>
    <t>シュート</t>
  </si>
  <si>
    <t>攻撃手段:弓 貫通+18 判定:攻撃 射程+5</t>
  </si>
  <si>
    <t>弓の使い手</t>
  </si>
  <si>
    <t>攻撃手段:弓 射程+5</t>
  </si>
  <si>
    <t>精度</t>
  </si>
  <si>
    <t>命中+10</t>
  </si>
  <si>
    <t>射出</t>
  </si>
  <si>
    <t>------魔法系------</t>
  </si>
  <si>
    <t>ウィザード</t>
  </si>
  <si>
    <t>アルケミスト</t>
  </si>
  <si>
    <t>爆薬</t>
  </si>
  <si>
    <t>ボム</t>
  </si>
  <si>
    <t>錬金</t>
  </si>
  <si>
    <t xml:space="preserve">攻撃手段:魔法 炎+15 射程:10 炸裂:1 判定:魔力 追加威力:技術 </t>
  </si>
  <si>
    <t>爆裂</t>
  </si>
  <si>
    <t>------信仰系------</t>
  </si>
  <si>
    <t>クレリック</t>
  </si>
  <si>
    <t>光粒</t>
  </si>
  <si>
    <t>攻撃手段:魔法 光+25 盲目+20 射程:10 判定:魔力</t>
  </si>
  <si>
    <t>信仰心</t>
  </si>
  <si>
    <t>精神+10</t>
  </si>
  <si>
    <t>治癒強化</t>
  </si>
  <si>
    <t>条件系統:回復 全威力+10</t>
  </si>
  <si>
    <t>光の加護</t>
  </si>
  <si>
    <t>光耐性+15 精神耐性+10</t>
  </si>
  <si>
    <t>パラディン</t>
  </si>
  <si>
    <t>軽回復</t>
  </si>
  <si>
    <t>聖騎士の心得</t>
  </si>
  <si>
    <t>信仰</t>
  </si>
  <si>
    <t>攻撃+5 防御+5 光耐性+10</t>
  </si>
  <si>
    <t>------ドルイド系------</t>
  </si>
  <si>
    <t>ドルイド</t>
  </si>
  <si>
    <t>植物の絡み</t>
  </si>
  <si>
    <t>ヴァイン・プラント</t>
  </si>
  <si>
    <t>攻撃手段:魔法 物理+10 拘束+30 射程:20 判定:魔力</t>
  </si>
  <si>
    <t>森の歩み</t>
  </si>
  <si>
    <t xml:space="preserve">条件:森 隠密+40 </t>
  </si>
  <si>
    <t>------バード系------</t>
  </si>
  <si>
    <t>バード</t>
  </si>
  <si>
    <t>鼓舞の歌</t>
  </si>
  <si>
    <t>効果時間:4t 攻撃+10 精神耐性+10 範囲:味方全体</t>
  </si>
  <si>
    <t>音波</t>
  </si>
  <si>
    <t>攻撃手段:魔法 怯み+25 射程:10 範囲:周囲 判定:精神</t>
  </si>
  <si>
    <t>演奏技術</t>
  </si>
  <si>
    <t>指揮+10 交渉+10</t>
  </si>
  <si>
    <t>音響障壁</t>
  </si>
  <si>
    <t>効果時間:3t 物理ガード+15 魔法ガード+20 範囲:味方全体</t>
  </si>
  <si>
    <t>勇壮の歌</t>
  </si>
  <si>
    <t>効果時間:4t 攻撃+15 防御+10 範囲:味方全体</t>
  </si>
  <si>
    <t>大合奏</t>
  </si>
  <si>
    <t>効果時間:3t 攻撃+15 防御+15 精神耐性+15 範囲:味方全体</t>
  </si>
  <si>
    <t>------------種族 ------------</t>
  </si>
  <si>
    <t>------人族------</t>
  </si>
  <si>
    <t>ヒューマン</t>
  </si>
  <si>
    <t>エルフ</t>
  </si>
  <si>
    <t>ドワーフ</t>
  </si>
  <si>
    <t>------亜人------</t>
  </si>
  <si>
    <t>ビーストマン</t>
  </si>
  <si>
    <t>野生感覚</t>
  </si>
  <si>
    <t>索敵+15 看破+10</t>
  </si>
  <si>
    <t>獣の身軽さ</t>
  </si>
  <si>
    <t>速度+10 早業+10</t>
  </si>
  <si>
    <t>獣性</t>
  </si>
  <si>
    <t>牙+10 爪+10 攻撃+5</t>
  </si>
  <si>
    <t>獣の本能</t>
  </si>
  <si>
    <t>牙+10 爪+10 索敵+10 命中+5</t>
  </si>
  <si>
    <t>ドラゴニュート</t>
  </si>
  <si>
    <t>竜鱗</t>
  </si>
  <si>
    <t>物理耐性+10</t>
  </si>
  <si>
    <t>竜人の咆哮</t>
  </si>
  <si>
    <t>攻撃手段:音波 音+5 威圧+25 射程:15 範囲:小扇 判定:威圧</t>
  </si>
  <si>
    <t>恐怖</t>
  </si>
  <si>
    <t>竜の肉体</t>
  </si>
  <si>
    <t>牙+10 爪+10 尾+10 HP+5 防御+5</t>
  </si>
  <si>
    <t>オーガ</t>
  </si>
  <si>
    <t>豪腕</t>
  </si>
  <si>
    <t>攻撃+10</t>
  </si>
  <si>
    <t>強靭な肉体</t>
  </si>
  <si>
    <t>HP+10 防御+5 出血耐性+10</t>
  </si>
  <si>
    <t>叩き潰し</t>
  </si>
  <si>
    <t>攻撃手段:素手 打撃+10 怯み+20 判定:攻撃</t>
  </si>
  <si>
    <t>大鬼の咆哮</t>
  </si>
  <si>
    <t>威圧+30 射程:15 範囲:小扇 判定:威圧</t>
  </si>
  <si>
    <t>圧砕撃</t>
  </si>
  <si>
    <t>攻撃手段:素手 打撃+10 怯み+25 判定:攻撃</t>
  </si>
  <si>
    <t>鬼の怪力</t>
  </si>
  <si>
    <t>攻撃+15 HP+5</t>
  </si>
  <si>
    <t>ジャイアント</t>
  </si>
  <si>
    <t>巨人の膂力</t>
  </si>
  <si>
    <t>攻撃+15</t>
  </si>
  <si>
    <t>巨大な体躯</t>
  </si>
  <si>
    <t>HP+10 防御+5</t>
  </si>
  <si>
    <t>踏みつけ</t>
  </si>
  <si>
    <t>攻撃手段:素手 打撃+5 怯み+20 範囲:半径1 判定:攻撃</t>
  </si>
  <si>
    <t>巨腕薙ぎ</t>
  </si>
  <si>
    <t>攻撃手段:素手 打撃+10 怯み+15 範囲:横2 判定:攻撃</t>
  </si>
  <si>
    <t>地踏み</t>
  </si>
  <si>
    <t>攻撃手段:素手 打撃+5 怯み+30 範囲:半径1 判定:攻撃</t>
  </si>
  <si>
    <t>吹き飛ばし</t>
  </si>
  <si>
    <t>巨躯</t>
  </si>
  <si>
    <t>HP+15 防御+10</t>
  </si>
  <si>
    <t>ゴブリン</t>
  </si>
  <si>
    <t>小柄</t>
  </si>
  <si>
    <t>速度+10 隠密+10</t>
  </si>
  <si>
    <t>悪知恵</t>
  </si>
  <si>
    <t>看破+10 技術+10</t>
  </si>
  <si>
    <t>逃げ足</t>
  </si>
  <si>
    <t>速度+10 移動速度+10</t>
  </si>
  <si>
    <t>奇襲</t>
  </si>
  <si>
    <t>攻撃手段:武器 物理+10 命中+20 追加威力:隠密 判定:攻撃</t>
  </si>
  <si>
    <t>罠師</t>
  </si>
  <si>
    <t>技術+15 隠密+10</t>
  </si>
  <si>
    <t>狡猾</t>
  </si>
  <si>
    <t>看破+10 隠密+10 早業+5</t>
  </si>
  <si>
    <t>トレント</t>
  </si>
  <si>
    <t>樹皮</t>
  </si>
  <si>
    <t>装甲+20</t>
  </si>
  <si>
    <t>根張り</t>
  </si>
  <si>
    <t>防御+10 拘束耐性+20</t>
  </si>
  <si>
    <t>枝打ち</t>
  </si>
  <si>
    <t>攻撃手段:素手 打撃+20 射程:10 判定:攻撃</t>
  </si>
  <si>
    <t>森との同化</t>
  </si>
  <si>
    <t>条件:森 隠密+35 索敵+35</t>
  </si>
  <si>
    <t>生命樹液</t>
  </si>
  <si>
    <t>自然</t>
  </si>
  <si>
    <t>攻撃手段:魔法 回復+31.25 射程:0 追加威力:魔力</t>
  </si>
  <si>
    <t>古木の生命力</t>
  </si>
  <si>
    <t>HP+15 装甲+10</t>
  </si>
  <si>
    <t>------魔族------</t>
  </si>
  <si>
    <t>デヴィル</t>
  </si>
  <si>
    <t>邪視</t>
  </si>
  <si>
    <t>攻撃手段:眼 Cr率+5 命中+25 判定:威圧</t>
  </si>
  <si>
    <t>悪魔の槍</t>
  </si>
  <si>
    <t>悪</t>
  </si>
  <si>
    <t>攻撃手段:魔法 貫通+18 闇+9 射程:20 効果:すり抜け/不意打ち 判定:魔力</t>
  </si>
  <si>
    <t>悪の魔力</t>
  </si>
  <si>
    <t>条件系統:悪 魔力+30</t>
  </si>
  <si>
    <t>悪魔の外皮</t>
  </si>
  <si>
    <t>防御+5 闇耐性+10</t>
  </si>
  <si>
    <t>悪魔の威圧</t>
  </si>
  <si>
    <t>威圧+20</t>
  </si>
  <si>
    <t>次元の扉</t>
  </si>
  <si>
    <t>空間</t>
  </si>
  <si>
    <t>攻撃手段:魔法 効果:転移 射程:100</t>
  </si>
  <si>
    <t>エンジェル</t>
  </si>
  <si>
    <t>浮遊</t>
  </si>
  <si>
    <t>天使の矢</t>
  </si>
  <si>
    <t>攻撃手段:魔法 貫通+18 光+9 射程:20 効果:目晦まし 判定:魔力</t>
  </si>
  <si>
    <t>攻撃手段:魔法 光+21 射程:15 範囲:半径1 判定:魔力</t>
  </si>
  <si>
    <t>天使の祝福</t>
  </si>
  <si>
    <t>攻撃+9.375 防御+9.375 精神+9.375 効果時間:3t 射程:10</t>
  </si>
  <si>
    <t>ヴァンパイア</t>
  </si>
  <si>
    <t>吸血</t>
  </si>
  <si>
    <t>血</t>
  </si>
  <si>
    <t>攻撃手段:爪 切断+10 出血+15 効果:吸血 判定:攻撃</t>
  </si>
  <si>
    <t>夜の狩人</t>
  </si>
  <si>
    <t>隠密+15 索敵+15 速度+5</t>
  </si>
  <si>
    <t>眷族化-ゾンビ</t>
  </si>
  <si>
    <t>眷族化</t>
  </si>
  <si>
    <t>効果:眷族_ゾンビ 射程:0</t>
  </si>
  <si>
    <t>不死の肉体</t>
  </si>
  <si>
    <t>HP+10 出血耐性+20 毒耐性+20</t>
  </si>
  <si>
    <t>霧化</t>
  </si>
  <si>
    <t>物理軽減+15 移動速度+15 効果時間:2t</t>
  </si>
  <si>
    <t>眷族化-グール</t>
  </si>
  <si>
    <t>効果:眷族_グール 射程:0</t>
  </si>
  <si>
    <t>ゾンビ</t>
  </si>
  <si>
    <t>屍者の肉体</t>
  </si>
  <si>
    <t>HP+15 毒耐性+30 出血耐性+30</t>
  </si>
  <si>
    <t>痛覚鈍化</t>
  </si>
  <si>
    <t>怯み耐性+20 精神耐性+10</t>
  </si>
  <si>
    <t>腐敗打撃</t>
  </si>
  <si>
    <t>攻撃手段:素手 打撃+10 毒+10 判定:攻撃</t>
  </si>
  <si>
    <t>死体喰らい</t>
  </si>
  <si>
    <t>対象:死体 回復+30 射程:0</t>
  </si>
  <si>
    <t>死者の執念</t>
  </si>
  <si>
    <t>HP+10 精神耐性+15</t>
  </si>
  <si>
    <t>不死者</t>
  </si>
  <si>
    <t>HP+15 防御+5</t>
  </si>
  <si>
    <t>不死</t>
  </si>
  <si>
    <t>スケルトン</t>
  </si>
  <si>
    <t>骨の身体</t>
  </si>
  <si>
    <t>毒耐性+30 出血耐性+30</t>
  </si>
  <si>
    <t>骨格強化</t>
  </si>
  <si>
    <t>防御+5 打撃耐性+10</t>
  </si>
  <si>
    <t>骸骨兵</t>
  </si>
  <si>
    <t>攻撃+5 防御+5 命中+5</t>
  </si>
  <si>
    <t>死者の眼</t>
  </si>
  <si>
    <t>骨盾</t>
  </si>
  <si>
    <t>ガード+30 効果時間:1t 判定:防御</t>
  </si>
  <si>
    <t>死者の呼び声</t>
  </si>
  <si>
    <t>死霊</t>
  </si>
  <si>
    <t>攻撃手段:魔法 対象:死体 効果:アンデッド化 射程:10 範囲:半径1</t>
  </si>
  <si>
    <t>ゴースト</t>
  </si>
  <si>
    <t>霊体</t>
  </si>
  <si>
    <t>物理軽減+10</t>
  </si>
  <si>
    <t>恐怖の囁き</t>
  </si>
  <si>
    <t>精神</t>
  </si>
  <si>
    <t>攻撃手段:魔法 精神攻撃+35 射程:20 判定:威圧</t>
  </si>
  <si>
    <t>透過</t>
  </si>
  <si>
    <t>物理軽減+15 移動速度+15 効果時間:2t 判定:精神</t>
  </si>
  <si>
    <t>憑依</t>
  </si>
  <si>
    <t>攻撃手段:魔法 精神攻撃+35 射程:10 効果:憑依 判定:精神</t>
  </si>
  <si>
    <t>完全霊体</t>
  </si>
  <si>
    <t>物理軽減+20 精神耐性+20</t>
  </si>
  <si>
    <t>------------アンデッド上位種 ------------</t>
  </si>
  <si>
    <t>グール</t>
  </si>
  <si>
    <t>屍肉の爪</t>
  </si>
  <si>
    <t>攻撃手段:爪 切断+20 毒+15 判定:攻撃</t>
  </si>
  <si>
    <t>屍肉喰らい</t>
  </si>
  <si>
    <t>対象:死体 回復+45 射程:0</t>
  </si>
  <si>
    <t>腐毒爪</t>
  </si>
  <si>
    <t>攻撃手段:爪 切断+15 毒+25 判定:攻撃</t>
  </si>
  <si>
    <t>飢餓の嗅覚</t>
  </si>
  <si>
    <t>索敵+30 命中+10</t>
  </si>
  <si>
    <t>四足疾走</t>
  </si>
  <si>
    <t>速度+15 早業+20</t>
  </si>
  <si>
    <t>飢餓の狂乱</t>
  </si>
  <si>
    <t>攻撃+20 速度+20 効果時間:2t 判定:精神</t>
  </si>
  <si>
    <t>ワイト</t>
  </si>
  <si>
    <t>冷気の手</t>
  </si>
  <si>
    <t>攻撃手段:素手 氷+25 闇+10 判定:攻撃</t>
  </si>
  <si>
    <t>生命力吸収</t>
  </si>
  <si>
    <t>攻撃手段:魔法 闇+30 回復+15 射程:10 判定:魔術</t>
  </si>
  <si>
    <t>死者の威圧</t>
  </si>
  <si>
    <t>威圧+30 精神耐性+15</t>
  </si>
  <si>
    <t>冷気纏い</t>
  </si>
  <si>
    <t>氷耐性+20 闇耐性+15</t>
  </si>
  <si>
    <t>不浄の刃</t>
  </si>
  <si>
    <t>攻撃手段:武器 闇+25 判定:攻撃</t>
  </si>
  <si>
    <t>死者の号令</t>
  </si>
  <si>
    <t>対象:味方 攻撃+15 命中+15 効果時間:2t 範囲:半径1 判定:指揮</t>
  </si>
  <si>
    <t>レヴナント</t>
  </si>
  <si>
    <t>執念打撃</t>
  </si>
  <si>
    <t>攻撃手段:素手 打撃+30 判定:攻撃</t>
  </si>
  <si>
    <t>復讐の執念</t>
  </si>
  <si>
    <t>条件:HP50%以下 攻撃+20 防御+10</t>
  </si>
  <si>
    <t>死なずの肉体</t>
  </si>
  <si>
    <t>HP+20 防御+10</t>
  </si>
  <si>
    <t>執念の追跡</t>
  </si>
  <si>
    <t>索敵+30 速度+10</t>
  </si>
  <si>
    <t>復讐の一撃</t>
  </si>
  <si>
    <t>攻撃手段:武器 打撃+25 Cr率+5 判定:攻撃</t>
  </si>
  <si>
    <t>黄泉返り</t>
  </si>
  <si>
    <t>対象:自身 回復+50 効果:蘇生 射程:0</t>
  </si>
  <si>
    <t>レイス</t>
  </si>
  <si>
    <t>霊刃</t>
  </si>
  <si>
    <t>攻撃手段:魔法 闇+30 精神攻撃+20 射程:10 判定:精神</t>
  </si>
  <si>
    <t>影潜り</t>
  </si>
  <si>
    <t>移動速度+30 隠密+30 効果時間:2t 判定:精神</t>
  </si>
  <si>
    <t>霊体強化</t>
  </si>
  <si>
    <t>物理軽減+15 魔法耐性+10</t>
  </si>
  <si>
    <t>魂削り</t>
  </si>
  <si>
    <t>攻撃手段:魔法 精神攻撃+50 闇+20 射程:10 判定:精神</t>
  </si>
  <si>
    <t>恐慌の気配</t>
  </si>
  <si>
    <t>威圧+30 隠密+20</t>
  </si>
  <si>
    <t>死の接触</t>
  </si>
  <si>
    <t>攻撃手段:魔法 闇+40 精神攻撃+40 射程:10 判定:精神</t>
  </si>
  <si>
    <t>バンシー</t>
  </si>
  <si>
    <t>嘆きの声</t>
  </si>
  <si>
    <t>攻撃手段:魔法 精神攻撃+45 射程:20 判定:威圧</t>
  </si>
  <si>
    <t>バンシーの絶叫</t>
  </si>
  <si>
    <t>攻撃手段:魔法 音+30 精神攻撃+30 範囲:半径1 判定:威圧</t>
  </si>
  <si>
    <t>悲嘆の霊体</t>
  </si>
  <si>
    <t>精神耐性+20 闇耐性+15</t>
  </si>
  <si>
    <t>予兆の泣き声</t>
  </si>
  <si>
    <t>索敵+30 看破+20</t>
  </si>
  <si>
    <t>魂震え</t>
  </si>
  <si>
    <t>攻撃手段:魔法 精神攻撃+60 射程:20 判定:威圧</t>
  </si>
  <si>
    <t>死を告げる絶叫</t>
  </si>
  <si>
    <t>攻撃手段:魔法 音+40 精神攻撃+50 範囲:半径1 判定:威圧</t>
  </si>
  <si>
    <t>怨霊集合体</t>
  </si>
  <si>
    <t>群霊の身体</t>
  </si>
  <si>
    <t>HP+20 物理軽減+20</t>
  </si>
  <si>
    <t>百鬼哭声</t>
  </si>
  <si>
    <t>攻撃手段:魔法 精神攻撃+60 範囲:半径1 判定:威圧</t>
  </si>
  <si>
    <t>怨念増幅</t>
  </si>
  <si>
    <t>魔力+20 精神+20</t>
  </si>
  <si>
    <t>群体憑依</t>
  </si>
  <si>
    <t>攻撃手段:魔法 精神攻撃+60 効果:憑依 範囲:半径1 判定:精神</t>
  </si>
  <si>
    <t>怨霊奔流</t>
  </si>
  <si>
    <t>攻撃手段:魔法 闇+60 精神攻撃+40 範囲:半径1 判定:精神</t>
  </si>
  <si>
    <t>万怨の渦</t>
  </si>
  <si>
    <t>攻撃手段:魔法 闇+70 精神攻撃+70 範囲:半径1 判定:精神</t>
  </si>
  <si>
    <t>リッチ</t>
  </si>
  <si>
    <t>死霊魔力</t>
  </si>
  <si>
    <t>魔力+15 魔術+25</t>
  </si>
  <si>
    <t>骨魂障壁</t>
  </si>
  <si>
    <t>ガード+45 魔法軽減+20 効果時間:1t 判定:魔術</t>
  </si>
  <si>
    <t>魂吸収</t>
  </si>
  <si>
    <t>攻撃手段:魔法 闇+30 回復+20 射程:20 判定:魔術</t>
  </si>
  <si>
    <t>死霊術師</t>
  </si>
  <si>
    <t>魔術+40 指揮+20</t>
  </si>
  <si>
    <t>骸骨召喚</t>
  </si>
  <si>
    <t>効果:召喚_スケルトン 射程:10</t>
  </si>
  <si>
    <t>不死の魔導核</t>
  </si>
  <si>
    <t>魔力+15 精神+15 闇耐性+20</t>
  </si>
  <si>
    <t>デュラハン</t>
  </si>
  <si>
    <t>首無し騎士</t>
  </si>
  <si>
    <t>攻撃+10 防御+10 精神耐性+15</t>
  </si>
  <si>
    <t>首狩り</t>
  </si>
  <si>
    <t>切断</t>
  </si>
  <si>
    <t>攻撃手段:武器 切断+35 Cr率+5 判定:攻撃</t>
  </si>
  <si>
    <t>黒鎧</t>
  </si>
  <si>
    <t>防御+15 闇耐性+15</t>
  </si>
  <si>
    <t>死騎士の突撃</t>
  </si>
  <si>
    <t>攻撃手段:武器 打撃+25 追加威力:速度 判定:攻撃</t>
  </si>
  <si>
    <t>首無しの眼</t>
  </si>
  <si>
    <t>索敵+25 看破+20</t>
  </si>
  <si>
    <t>死騎士の威光</t>
  </si>
  <si>
    <t>威圧+40 指揮+20</t>
  </si>
  <si>
    <t>蒼炎のデュラハン</t>
  </si>
  <si>
    <t>蒼炎の鎧</t>
  </si>
  <si>
    <t>炎耐性+25 闇耐性+25 防御+10</t>
  </si>
  <si>
    <t>蒼炎斬</t>
  </si>
  <si>
    <t>攻撃手段:武器 切断+30 炎+30 判定:攻撃</t>
  </si>
  <si>
    <t>蒼炎纏い</t>
  </si>
  <si>
    <t>攻撃+20 防御+15 効果時間:2t 判定:精神</t>
  </si>
  <si>
    <t>鬼火突撃</t>
  </si>
  <si>
    <t>攻撃手段:武器 炎+40 追加威力:速度 判定:攻撃</t>
  </si>
  <si>
    <t>蒼炎の首狩り</t>
  </si>
  <si>
    <t>攻撃手段:武器 切断+35 炎+25 Cr率+10 判定:攻撃</t>
  </si>
  <si>
    <t>蒼炎騎士王</t>
  </si>
  <si>
    <t>攻撃+15 防御+15 威圧+30</t>
  </si>
  <si>
    <t>ポルターガイスト</t>
  </si>
  <si>
    <t>------------エレメンタル ------------</t>
  </si>
  <si>
    <t>フレイムエレメンタル</t>
  </si>
  <si>
    <t>効果:浮遊</t>
  </si>
  <si>
    <t>フロストエレメンタル</t>
  </si>
  <si>
    <t>ウォーターエレメンタル</t>
  </si>
  <si>
    <t>水の拳</t>
  </si>
  <si>
    <t>攻撃手段:素手 物理ガード+10 射撃耐性+10 判定:攻撃</t>
  </si>
  <si>
    <t>水の精霊</t>
  </si>
  <si>
    <t>条件:水辺 隠密+25 索敵+25</t>
  </si>
  <si>
    <t>水の魔力</t>
  </si>
  <si>
    <t>水の力</t>
  </si>
  <si>
    <t>水の吐息</t>
  </si>
  <si>
    <t>攻撃手段:吐息 打撃+25 怯み+15 射程:20 範囲:放射</t>
  </si>
  <si>
    <t>エアエレメンタル</t>
  </si>
  <si>
    <t>怯み</t>
  </si>
  <si>
    <t>アースエレメンタル</t>
  </si>
  <si>
    <t>ガード</t>
  </si>
  <si>
    <t>------------動物 ------------</t>
  </si>
  <si>
    <t>タイガー</t>
  </si>
  <si>
    <t>攻撃手段:爪 物理+15 攻撃回数:2</t>
  </si>
  <si>
    <t>猛獣の爪</t>
  </si>
  <si>
    <t>条件:爪 威力+5 命中+10</t>
  </si>
  <si>
    <t>猛獣の飛びかかり</t>
  </si>
  <si>
    <t>攻撃手段:爪 物理+20 怯み+15 追加威力:速度 判定:攻撃</t>
  </si>
  <si>
    <t>反応</t>
  </si>
  <si>
    <t>ウルフ</t>
  </si>
  <si>
    <t>狼の牙</t>
  </si>
  <si>
    <t>条件:牙 威力+5 命中+10</t>
  </si>
  <si>
    <t>スネーク</t>
  </si>
  <si>
    <t>蛇の締め</t>
  </si>
  <si>
    <t>条件:尾の巻き付き 威力+5 拘束+15</t>
  </si>
  <si>
    <t>ホーク</t>
  </si>
  <si>
    <t>鷹の急降下</t>
  </si>
  <si>
    <t>攻撃手段:爪 物理+20 追加威力:速度 命中+10 判定:攻撃</t>
  </si>
  <si>
    <t>鉤爪強化</t>
  </si>
  <si>
    <t>ベア</t>
  </si>
  <si>
    <t>熊爪</t>
  </si>
  <si>
    <t>条件:爪 威力+10 怯み+10</t>
  </si>
  <si>
    <t>熊の強打</t>
  </si>
  <si>
    <t>攻撃手段:爪 物理+30 怯み+20 判定:攻撃</t>
  </si>
  <si>
    <t>クロコダイル</t>
  </si>
  <si>
    <t>デスロール</t>
  </si>
  <si>
    <t>攻撃手段:牙 物理+20 拘束+30 判定:攻撃</t>
  </si>
  <si>
    <t>強靭な顎</t>
  </si>
  <si>
    <t>条件:牙 威力+10 命中+5</t>
  </si>
  <si>
    <t>ホース</t>
  </si>
  <si>
    <t>後脚蹴り</t>
  </si>
  <si>
    <t>攻撃手段:肉体 打撃+20 判定:攻撃</t>
  </si>
  <si>
    <t>馬の突進</t>
  </si>
  <si>
    <t>攻撃手段:肉体 打撃+20 怯み+15 追加威力:速度 判定:攻撃</t>
  </si>
  <si>
    <t>蹄撃強化</t>
  </si>
  <si>
    <t>条件:後脚蹴り 威力+5 命中+10</t>
  </si>
  <si>
    <t>ボア</t>
  </si>
  <si>
    <t>猪の突進</t>
  </si>
  <si>
    <t>攻撃手段:肉体 打撃+20 怯み+20 追加威力:速度 判定:攻撃</t>
  </si>
  <si>
    <t>猪突猛進</t>
  </si>
  <si>
    <t>条件:猪の突進 威力+10 怯み+10</t>
  </si>
  <si>
    <t>ライオン</t>
  </si>
  <si>
    <t>獅子の咆哮</t>
  </si>
  <si>
    <t>攻撃手段:音波 特殊:攻撃 音+10 威圧+25 効果:恐怖 射程:15 範囲:小扇 判定:威圧</t>
  </si>
  <si>
    <t>獅子の咆哮で前方の敵を威圧し、恐怖を与える。</t>
  </si>
  <si>
    <t>ゴート</t>
  </si>
  <si>
    <t>山羊の突進</t>
  </si>
  <si>
    <t>攻撃手段:角 貫通+20 怯み+15 追加威力:速度 判定:攻撃</t>
  </si>
  <si>
    <t>角を前方へ向けて突進し、速度を乗せて貫く。</t>
  </si>
  <si>
    <t>強靭な角</t>
  </si>
  <si>
    <t>条件:角 威力+5 命中+10</t>
  </si>
  <si>
    <t>角を使う攻撃の威力と命中を強化する。</t>
  </si>
  <si>
    <t>岩場適応</t>
  </si>
  <si>
    <t>早業+20</t>
  </si>
  <si>
    <t>岩場や登坂などの移動を得意とする。早業を上昇させる。</t>
  </si>
  <si>
    <t>オウル</t>
  </si>
  <si>
    <t>梟の急降下</t>
  </si>
  <si>
    <t>攻撃手段:爪 貫通+20 命中+15 追加威力:速度 判定:攻撃</t>
  </si>
  <si>
    <t>上空から急降下し、鉤爪で狙い澄ました攻撃を行う。</t>
  </si>
  <si>
    <t>梟の眼</t>
  </si>
  <si>
    <t>索敵+25 看破+15</t>
  </si>
  <si>
    <t>鋭い視覚で遠方や隠れた対象を見つけやすくする。</t>
  </si>
  <si>
    <t>リザード</t>
  </si>
  <si>
    <t>鱗皮</t>
  </si>
  <si>
    <t>装甲+10 防御+10</t>
  </si>
  <si>
    <t>鱗に覆われた皮膚で物理攻撃への防御力を高める。</t>
  </si>
  <si>
    <t>爬行</t>
  </si>
  <si>
    <t>早業+15 隠密+10</t>
  </si>
  <si>
    <t>低い姿勢で素早く移動し、地形移動と隠密を補助する。</t>
  </si>
  <si>
    <t>モンキー</t>
  </si>
  <si>
    <t>猿の拳</t>
  </si>
  <si>
    <t>攻撃手段:肉体 打撃+15 判定:攻撃</t>
  </si>
  <si>
    <t>腕を使った素早い打撃。</t>
  </si>
  <si>
    <t>投石</t>
  </si>
  <si>
    <t>攻撃手段:肉体 打撃+15 射程:15 判定:攻撃</t>
  </si>
  <si>
    <t>石を拾って投げる簡易的な遠距離攻撃。</t>
  </si>
  <si>
    <t>器用な手</t>
  </si>
  <si>
    <t>技術+20 早業+10</t>
  </si>
  <si>
    <t>器用な手先によって技術と早業を補助する。</t>
  </si>
  <si>
    <t>樹上移動</t>
  </si>
  <si>
    <t>木や高低差のある場所を身軽に移動する。早業を上昇させる。</t>
  </si>
  <si>
    <t>フォックス</t>
  </si>
  <si>
    <t>狐の身軽さ</t>
  </si>
  <si>
    <t>早業+15 回避+10</t>
  </si>
  <si>
    <t>小柄で身軽な動きにより早業と回避を高める。</t>
  </si>
  <si>
    <t>忍び足</t>
  </si>
  <si>
    <t>隠密+20</t>
  </si>
  <si>
    <t>足音を抑えて移動し、隠密を高める。</t>
  </si>
  <si>
    <t>タートル</t>
  </si>
  <si>
    <t>甲羅体当たり</t>
  </si>
  <si>
    <t>攻撃手段:肉体 打撃+20 怯み+10 判定:攻撃</t>
  </si>
  <si>
    <t>硬い甲羅を押し当てるように体当たりする。</t>
  </si>
  <si>
    <t>甲羅</t>
  </si>
  <si>
    <t>装甲+25 防御+15</t>
  </si>
  <si>
    <t>硬い甲羅によって装甲と防御を高める。</t>
  </si>
  <si>
    <t>甲羅防御</t>
  </si>
  <si>
    <t>対象:自身 物理ガード+35 魔法ガード+15 効果時間:1t</t>
  </si>
  <si>
    <t>甲羅へ身を引き、短時間ガード性能を高める。</t>
  </si>
  <si>
    <t>ディア</t>
  </si>
  <si>
    <t>鹿の突進</t>
  </si>
  <si>
    <t>攻撃手段:角 貫通+15 怯み+10 追加威力:速度 判定:攻撃</t>
  </si>
  <si>
    <t>角を構えて突進し、速度を乗せて攻撃する。</t>
  </si>
  <si>
    <t>警戒耳</t>
  </si>
  <si>
    <t>索敵+20 看破+10</t>
  </si>
  <si>
    <t>周囲の物音に敏感で、索敵と看破を高める。</t>
  </si>
  <si>
    <t>------------蟲 ------------</t>
  </si>
  <si>
    <t>ビートル</t>
  </si>
  <si>
    <t>甲虫角撃</t>
  </si>
  <si>
    <t>攻撃手段:角 貫通+20 判定:攻撃</t>
  </si>
  <si>
    <t>甲虫の複眼</t>
  </si>
  <si>
    <t>命中+15 回避+15</t>
  </si>
  <si>
    <t>硬質外殻</t>
  </si>
  <si>
    <t>装甲+15 防御+10</t>
  </si>
  <si>
    <t>突進甲角</t>
  </si>
  <si>
    <t>虫の体当たり</t>
  </si>
  <si>
    <t>虫の反応</t>
  </si>
  <si>
    <t>回避+10 命中+5</t>
  </si>
  <si>
    <t>クワガタ</t>
  </si>
  <si>
    <t>鍬形大顎</t>
  </si>
  <si>
    <t>攻撃手段:牙 切断+20 判定:攻撃</t>
  </si>
  <si>
    <t>挟み込み</t>
  </si>
  <si>
    <t>攻撃手段:牙 打撃+15 拘束+25 判定:攻撃</t>
  </si>
  <si>
    <t>鍬形の複眼</t>
  </si>
  <si>
    <t>大顎強化</t>
  </si>
  <si>
    <t>牙+25</t>
  </si>
  <si>
    <t>カマキリ</t>
  </si>
  <si>
    <t>鎌爪</t>
  </si>
  <si>
    <t>攻撃手段:爪 切断+25 判定:攻撃</t>
  </si>
  <si>
    <t>連続鎌</t>
  </si>
  <si>
    <t>攻撃手段:爪 切断+15 攻撃回数:2 判定:攻撃</t>
  </si>
  <si>
    <t>蟷螂の複眼</t>
  </si>
  <si>
    <t>待ち伏せ</t>
  </si>
  <si>
    <t>隠密+20 命中+10</t>
  </si>
  <si>
    <t>ハチ</t>
  </si>
  <si>
    <t>蜂の毒針</t>
  </si>
  <si>
    <t>攻撃手段:尾 貫通+15 毒+20 判定:攻撃</t>
  </si>
  <si>
    <t>蜂の複眼</t>
  </si>
  <si>
    <t>翅音加速</t>
  </si>
  <si>
    <t>速度+10 回避+15</t>
  </si>
  <si>
    <t>急降下刺突</t>
  </si>
  <si>
    <t>攻撃手段:尾 貫通+20 追加威力:速度 判定:攻撃</t>
  </si>
  <si>
    <t>アリ</t>
  </si>
  <si>
    <t>蟻の大顎</t>
  </si>
  <si>
    <t>群体連携</t>
  </si>
  <si>
    <t>条件:味方隣接 命中+15 防御+10</t>
  </si>
  <si>
    <t>蟻の外殻</t>
  </si>
  <si>
    <t>蟻の嗅覚</t>
  </si>
  <si>
    <t>索敵+25</t>
  </si>
  <si>
    <t>クモ</t>
  </si>
  <si>
    <t>蜘蛛の毒牙</t>
  </si>
  <si>
    <t>攻撃手段:牙 貫通+10 毒+20 判定:攻撃</t>
  </si>
  <si>
    <t>糸吐き</t>
  </si>
  <si>
    <t>攻撃手段:糸 拘束+30 射程:20 判定:攻撃</t>
  </si>
  <si>
    <t>蜘蛛の複眼</t>
  </si>
  <si>
    <t>巣網感知</t>
  </si>
  <si>
    <t>ムカデ</t>
  </si>
  <si>
    <t>百足の毒顎</t>
  </si>
  <si>
    <t>攻撃手段:牙 貫通+15 毒+20 判定:攻撃</t>
  </si>
  <si>
    <t>百足連撃</t>
  </si>
  <si>
    <t>攻撃手段:爪 切断+10 攻撃回数:3 判定:攻撃</t>
  </si>
  <si>
    <t>多眼感知</t>
  </si>
  <si>
    <t>命中+10 回避+10 索敵+10</t>
  </si>
  <si>
    <t>長躯回避</t>
  </si>
  <si>
    <t>回避+25</t>
  </si>
  <si>
    <t>サソリ</t>
  </si>
  <si>
    <t>蠍の毒針</t>
  </si>
  <si>
    <t>攻撃手段:尾 貫通+20 毒+25 判定:攻撃</t>
  </si>
  <si>
    <t>鋏撃</t>
  </si>
  <si>
    <t>攻撃手段:爪 打撃+20 拘束+20 判定:攻撃</t>
  </si>
  <si>
    <t>蠍の複眼</t>
  </si>
  <si>
    <t>蠍の甲殻</t>
  </si>
  <si>
    <t>------------蟲進化系クラス ------------</t>
  </si>
  <si>
    <t>エヴォリューション・ファング</t>
  </si>
  <si>
    <t>穿牙</t>
  </si>
  <si>
    <t>攻撃手段:牙 貫通+30 判定:攻撃</t>
  </si>
  <si>
    <t>変形牙</t>
  </si>
  <si>
    <t>攻撃手段:牙 貫通+20 効果:すり抜け 判定:攻撃</t>
  </si>
  <si>
    <t>牙強化</t>
  </si>
  <si>
    <t>牙+50</t>
  </si>
  <si>
    <t>牙操作</t>
  </si>
  <si>
    <t>攻撃手段:牙 命中+15 攻撃+5 防御+10</t>
  </si>
  <si>
    <t>鋭き牙</t>
  </si>
  <si>
    <t>攻撃手段:牙 Cr率+5 Cr威力+15</t>
  </si>
  <si>
    <t>エヴォリューション・クロー</t>
  </si>
  <si>
    <t>裂爪</t>
  </si>
  <si>
    <t>攻撃手段:爪 切断+30 判定:攻撃</t>
  </si>
  <si>
    <t>変形爪</t>
  </si>
  <si>
    <t>攻撃手段:爪 切断+20 効果:すり抜け 判定:攻撃</t>
  </si>
  <si>
    <t>爪強化</t>
  </si>
  <si>
    <t>爪+50</t>
  </si>
  <si>
    <t>爪操作</t>
  </si>
  <si>
    <t>攻撃手段:爪 命中+15 攻撃+5 防御+10</t>
  </si>
  <si>
    <t>鋭き爪</t>
  </si>
  <si>
    <t>攻撃手段:爪 Cr率+5 Cr威力+15</t>
  </si>
  <si>
    <t>エヴォリューション・ホーン</t>
  </si>
  <si>
    <t>槍角</t>
  </si>
  <si>
    <t>攻撃手段:角 貫通+30 判定:攻撃</t>
  </si>
  <si>
    <t>変形角</t>
  </si>
  <si>
    <t>攻撃手段:角 貫通+20 効果:すり抜け 判定:攻撃</t>
  </si>
  <si>
    <t>角強化</t>
  </si>
  <si>
    <t>角+50</t>
  </si>
  <si>
    <t>角操作</t>
  </si>
  <si>
    <t>攻撃手段:角 命中+15 攻撃+5 防御+10</t>
  </si>
  <si>
    <t>鋭き角</t>
  </si>
  <si>
    <t>攻撃手段:角 Cr率+5 Cr威力+15</t>
  </si>
  <si>
    <t>エヴォリューション・アーマー</t>
  </si>
  <si>
    <t>装甲突撃</t>
  </si>
  <si>
    <t>攻撃手段:装甲 打撃+30 判定:攻撃</t>
  </si>
  <si>
    <t>変形装甲</t>
  </si>
  <si>
    <t>攻撃手段:装甲 打撃+20 効果:すり抜け 判定:攻撃</t>
  </si>
  <si>
    <t>装甲強化</t>
  </si>
  <si>
    <t>装甲+50</t>
  </si>
  <si>
    <t>装甲操作</t>
  </si>
  <si>
    <t>攻撃手段:装甲 命中+15 攻撃+5 防御+10</t>
  </si>
  <si>
    <t>鋭き装甲</t>
  </si>
  <si>
    <t>攻撃手段:装甲 Cr率+5 Cr威力+15</t>
  </si>
  <si>
    <t>エヴォリューション・ウィング</t>
  </si>
  <si>
    <t>翼刃</t>
  </si>
  <si>
    <t>攻撃手段:翼 切断+30 判定:攻撃</t>
  </si>
  <si>
    <t>変形翼</t>
  </si>
  <si>
    <t>攻撃手段:翼 切断+20 効果:すり抜け 判定:攻撃</t>
  </si>
  <si>
    <t>翼強化</t>
  </si>
  <si>
    <t>翼+50</t>
  </si>
  <si>
    <t>翼操作</t>
  </si>
  <si>
    <t>攻撃手段:翼 命中+15 攻撃+5 防御+10</t>
  </si>
  <si>
    <t>鋭き翼</t>
  </si>
  <si>
    <t>攻撃手段:翼 Cr率+5 Cr威力+15</t>
  </si>
  <si>
    <t>エヴォリューション・テイル</t>
  </si>
  <si>
    <t>尾槍</t>
  </si>
  <si>
    <t>攻撃手段:尾 貫通+30 判定:攻撃</t>
  </si>
  <si>
    <t>変形尾</t>
  </si>
  <si>
    <t>攻撃手段:尾 貫通+20 効果:すり抜け 判定:攻撃</t>
  </si>
  <si>
    <t>尾強化</t>
  </si>
  <si>
    <t>尾+50</t>
  </si>
  <si>
    <t>尾操作</t>
  </si>
  <si>
    <t>攻撃手段:尾 命中+15 攻撃+5 防御+10</t>
  </si>
  <si>
    <t>鋭き尾</t>
  </si>
  <si>
    <t>攻撃手段:尾 Cr率+5 Cr威力+15</t>
  </si>
  <si>
    <t>エヴォリューション・ファー</t>
  </si>
  <si>
    <t>1</t>
  </si>
  <si>
    <t>硬毛弾</t>
  </si>
  <si>
    <t>攻撃手段:毛皮 特殊:攻撃 貫通+20 射程:15 判定:命中</t>
  </si>
  <si>
    <t>毛を硬質化して弾丸のように射出する。射撃攻撃として扱う。</t>
  </si>
  <si>
    <t>2</t>
  </si>
  <si>
    <t>3</t>
  </si>
  <si>
    <t>硬質毛皮</t>
  </si>
  <si>
    <t>装甲+25 防御+10</t>
  </si>
  <si>
    <t>毛皮を硬質化し、装甲と防御を高める。</t>
  </si>
  <si>
    <t>4</t>
  </si>
  <si>
    <t>5</t>
  </si>
  <si>
    <t>毛針散弾</t>
  </si>
  <si>
    <t>攻撃手段:毛皮 特殊:攻撃 貫通+15 攻撃回数:3 全威力-25% 射程:10 範囲:小扇 判定:命中</t>
  </si>
  <si>
    <t>硬質化した毛を散弾状に飛ばし、前方へ複数回攻撃する。射撃攻撃として扱う。</t>
  </si>
  <si>
    <t>6</t>
  </si>
  <si>
    <t>7</t>
  </si>
  <si>
    <t>毛皮操作</t>
  </si>
  <si>
    <t>攻撃手段:毛皮 命中+15 攻撃+10 防御+10</t>
  </si>
  <si>
    <t>毛皮の硬化・射出・防御利用を自在に制御する。</t>
  </si>
  <si>
    <t>8</t>
  </si>
  <si>
    <t>9</t>
  </si>
  <si>
    <t>毛針嵐</t>
  </si>
  <si>
    <t>攻撃手段:毛皮 特殊:攻撃 貫通+25 攻撃回数:4 全威力-30% 射程:15 範囲:周囲 判定:命中</t>
  </si>
  <si>
    <t>大量の硬質毛を一斉に射出する広範囲射撃。</t>
  </si>
  <si>
    <t>10</t>
  </si>
  <si>
    <t>鋭き毛皮</t>
  </si>
  <si>
    <t>攻撃手段:毛皮 Cr率+5 Cr威力+15</t>
  </si>
  <si>
    <t>硬質化した毛の鋭さを高め、毛皮攻撃の急所性能を強化する。</t>
  </si>
  <si>
    <t>------------属性動物 ------------</t>
  </si>
  <si>
    <t>フレイムアニマル</t>
  </si>
  <si>
    <t>回避+10</t>
  </si>
  <si>
    <t>攻撃手段:吐息 炎+30 射程:20 判定:Lv</t>
  </si>
  <si>
    <t>フロストアニマル</t>
  </si>
  <si>
    <t>氷結</t>
  </si>
  <si>
    <t>攻撃手段:吐息 氷+30 射程:20 判定:Lv</t>
  </si>
  <si>
    <t>ウィンドアニマル</t>
  </si>
  <si>
    <t>暴風</t>
  </si>
  <si>
    <t>風の適用</t>
  </si>
  <si>
    <t>射撃耐性+30</t>
  </si>
  <si>
    <t>風の体</t>
  </si>
  <si>
    <t xml:space="preserve">効果時間6t 攻撃手段:肉体 打撃+5 </t>
  </si>
  <si>
    <t>風強化</t>
  </si>
  <si>
    <t>風の唾</t>
  </si>
  <si>
    <t>攻撃手段:吐息 怯み+30 射程:20 判定:Lv</t>
  </si>
  <si>
    <t>スパークアニマル</t>
  </si>
  <si>
    <t>電撃</t>
  </si>
  <si>
    <t>攻撃手段:吐息 雷+30 射程:20 判定:Lv</t>
  </si>
  <si>
    <t>ポイズンアニマル</t>
  </si>
  <si>
    <t>腐蝕</t>
  </si>
  <si>
    <t>攻撃手段:吐息 毒+30 射程:20 判定:Lv</t>
  </si>
  <si>
    <t>シーアニマル</t>
  </si>
  <si>
    <t>打撃</t>
  </si>
  <si>
    <t>水の適用</t>
  </si>
  <si>
    <t>水の体</t>
  </si>
  <si>
    <t>水強化</t>
  </si>
  <si>
    <t>水の唾</t>
  </si>
  <si>
    <t>攻撃手段:吐息 打撃+30 射程:20 判定:Lv</t>
  </si>
  <si>
    <t>ストーンアニマル</t>
  </si>
  <si>
    <t>石の適用</t>
  </si>
  <si>
    <t>打撃耐性+30</t>
  </si>
  <si>
    <t>石の体</t>
  </si>
  <si>
    <t>効果時間6t 攻撃手段:肉体 打撃+15 判定:攻撃</t>
  </si>
  <si>
    <t>地強化</t>
  </si>
  <si>
    <t>条件系統:打撃 全威力+10</t>
  </si>
  <si>
    <t>地の吐息</t>
  </si>
  <si>
    <t>攻撃手段:吐息 打撃+55 射程:20 範囲:放射 判定:Lv CT:4t</t>
  </si>
  <si>
    <t>ソルアニマル</t>
  </si>
  <si>
    <t>存在しない</t>
  </si>
  <si>
    <t>太陽の適用</t>
  </si>
  <si>
    <t>炎耐性+15 光耐性+15</t>
  </si>
  <si>
    <t>太陽属性への適応により炎耐性と光耐性を高める。</t>
  </si>
  <si>
    <t>太陽の体</t>
  </si>
  <si>
    <t>炎/光</t>
  </si>
  <si>
    <t>効果時間6t 攻撃手段:肉体 炎+5 光+10 判定:攻撃</t>
  </si>
  <si>
    <t>太陽の力を肉体に纏い、接触攻撃へ炎と光を加える。</t>
  </si>
  <si>
    <t>太陽強化</t>
  </si>
  <si>
    <t>全威力+10</t>
  </si>
  <si>
    <t>太陽系の攻撃性能を強化する。</t>
  </si>
  <si>
    <t>太陽の吐息</t>
  </si>
  <si>
    <t>攻撃手段:吐息 炎+25 光+30 射程:20 範囲:放射 判定:Lv CT:4t</t>
  </si>
  <si>
    <t>炎と光を帯びた太陽の吐息を放射状に放つ。</t>
  </si>
  <si>
    <t>ムーンアニマル</t>
  </si>
  <si>
    <t>月の適用</t>
  </si>
  <si>
    <t>氷耐性+15 光耐性+15</t>
  </si>
  <si>
    <t>月の体</t>
  </si>
  <si>
    <t>効果時間6t 攻撃手段:肉体 氷+10 光+5 判定:攻撃</t>
  </si>
  <si>
    <t>月光強化</t>
  </si>
  <si>
    <t>月の吐息</t>
  </si>
  <si>
    <t>攻撃手段:吐息 氷+30 光+25 射程:20 範囲:放射 判定:Lv CT:4t</t>
  </si>
  <si>
    <t>幻獣</t>
  </si>
  <si>
    <t>幻獣の肉体</t>
  </si>
  <si>
    <t>攻撃手段:肉体 威力+10</t>
  </si>
  <si>
    <t>牙・爪・角・尾・翼などの肉体攻撃の威力を+10する。「肉体」親カテゴリの適用範囲は実装時に整理する。</t>
  </si>
  <si>
    <t>再生</t>
  </si>
  <si>
    <t>再生+50</t>
  </si>
  <si>
    <t>HPを継続的に回復する。回復量は調整予定。</t>
  </si>
  <si>
    <t>超常感覚</t>
  </si>
  <si>
    <t>感覚・知覚能力を強化し、周囲の異変や対象を捉えやすくする。具体補正は調整予定。</t>
  </si>
  <si>
    <t>超常移動</t>
  </si>
  <si>
    <t>速度+15 早業+15</t>
  </si>
  <si>
    <t>通常を超えた移動能力を得る。具体的な移動補正・対象地形は調整予定。</t>
  </si>
  <si>
    <t>幻獣の生命力</t>
  </si>
  <si>
    <t>防御+15 精神+15 精神耐性+10</t>
  </si>
  <si>
    <t>防御+15、精神+15、精神耐性+10。動物系で低くなりやすい精神攻撃への耐性を補う。</t>
  </si>
  <si>
    <t>幻獣覚醒</t>
  </si>
  <si>
    <t>対象:自身 攻撃+20 防御+20 精神+15 速度+15 効果時間:3t CT:5t</t>
  </si>
  <si>
    <t>一定時間、能力値を強化する覚醒状態になる。対象能力・効果量・効果時間・CTは調整予定。</t>
  </si>
  <si>
    <t>神獣</t>
  </si>
  <si>
    <t>結界</t>
  </si>
  <si>
    <t>攻撃手段:魔法 特殊:攻撃 対象:自身 物理ガード+30 魔法ガード+30 効果:結界 効果時間:3t 追加威力:精神</t>
  </si>
  <si>
    <t>防御用の結界を展開する。対象・効果量・持続時間は調整予定。</t>
  </si>
  <si>
    <t>耐性貫通</t>
  </si>
  <si>
    <t>耐性貫通+10</t>
  </si>
  <si>
    <t>耐性貫通を得る、または上昇させる。数値・対象攻撃は調整予定。</t>
  </si>
  <si>
    <t>浄化</t>
  </si>
  <si>
    <t>対象:マス 射程:0 浄化+5 効果:浄化</t>
  </si>
  <si>
    <t>現在のマップタイルの浄化値を上昇させる。上昇量や範囲は調整予定。</t>
  </si>
  <si>
    <t>ダメージ安定化</t>
  </si>
  <si>
    <t>ダメージ幅-50%</t>
  </si>
  <si>
    <t>与えるダメージのばらつきを小さくし、安定したダメージを出しやすくする。方式・数値は調整予定。</t>
  </si>
  <si>
    <t>神獣の加護</t>
  </si>
  <si>
    <t>防御+10 魔法耐性+10 精神耐性+10</t>
  </si>
  <si>
    <t>自身の防御・耐性系能力を常時強化する。対象能力・数値は調整予定。</t>
  </si>
  <si>
    <t>神眼</t>
  </si>
  <si>
    <t>索敵+30 看破+25 効果:不浄感知/隠密看破/幻覚看破/霊体感知</t>
  </si>
  <si>
    <t>不浄・隠密・幻覚・霊的な対象など、通常では見抜きにくいものを発見しやすくする。判定方法は調整予定。</t>
  </si>
  <si>
    <t>凶獣</t>
  </si>
  <si>
    <t>高威圧</t>
  </si>
  <si>
    <t>威圧+40</t>
  </si>
  <si>
    <t>威圧を大きく強化する。上昇値は調整予定。</t>
  </si>
  <si>
    <t>狂気の咆哮</t>
  </si>
  <si>
    <t>攻撃手段:音波 特殊:攻撃 精神攻撃+25 威圧+40 効果:恐怖 射程:15 範囲:放射 判定:威圧</t>
  </si>
  <si>
    <t>咆哮で周囲の敵に恐怖・精神妨害を与える。範囲・強度・判定方式は調整予定。</t>
  </si>
  <si>
    <t>凶獣の疾走</t>
  </si>
  <si>
    <t>速度+20 早業+10</t>
  </si>
  <si>
    <t>移動能力を強化する。上昇値は調整予定。</t>
  </si>
  <si>
    <t>血の匂い</t>
  </si>
  <si>
    <t>効果:負傷者感知 距離+3</t>
  </si>
  <si>
    <t>HPが減っている対象の位置を、通常より+3マス遠くから把握できる。</t>
  </si>
  <si>
    <t>蹂躙強化</t>
  </si>
  <si>
    <t>条件:蹂躙 威力+10 効果:恐怖/蹂躙Lv差緩和 Lv差緩和+1</t>
  </si>
  <si>
    <t>共通スキル「蹂躙」を強化し、より近いレベル差の対象にも使用可能にし、恐怖効果を追加する。細部は調整予定。</t>
  </si>
  <si>
    <t>恐怖の気配</t>
  </si>
  <si>
    <t>対象:敵 範囲:周囲 精神-15 命中-15 効果:周囲弱体</t>
  </si>
  <si>
    <t>周囲の敵の精神と命中を-15する。適用範囲の詳細は調整予定。</t>
  </si>
  <si>
    <t>妖獣</t>
  </si>
  <si>
    <t>妖気</t>
  </si>
  <si>
    <t>対象:敵 範囲:周囲 精神-10 索敵-10 効果:周囲弱体</t>
  </si>
  <si>
    <t>周囲の敵の精神・感知系能力を弱体化する。対象能力・数値は調整予定。</t>
  </si>
  <si>
    <t>幻惑</t>
  </si>
  <si>
    <t>攻撃手段:魔法 特殊:攻撃 幻覚+30 命中-15 効果時間:3t 射程:15 判定:精神</t>
  </si>
  <si>
    <t>対象を惑わせ、幻覚・命中低下などの妨害を与える。詳細効果は調整予定。</t>
  </si>
  <si>
    <t>隠形</t>
  </si>
  <si>
    <t>隠密+30</t>
  </si>
  <si>
    <t>常時、敵から発見されにくくなる。具体的な隠密・発見判定補正は調整予定。</t>
  </si>
  <si>
    <t>変化</t>
  </si>
  <si>
    <t>対象:自身 効果:変化 効果時間:5t</t>
  </si>
  <si>
    <t>姿や性質を変化させる。変化対象・持続時間・効果は調整予定。</t>
  </si>
  <si>
    <t>呪詛</t>
  </si>
  <si>
    <t>攻撃手段:魔法 特殊:攻撃 呪い+35 射程:20 判定:精神</t>
  </si>
  <si>
    <t>対象へ呪い系の弱体効果を付与する。内容・数値は調整予定。</t>
  </si>
  <si>
    <t>妖足</t>
  </si>
  <si>
    <t>早業を上昇させ、悪路・登坂による移動コスト増加を軽減する。上昇値は調整予定。</t>
  </si>
  <si>
    <t>マルチヘッド</t>
  </si>
  <si>
    <t>多頭化Ⅰ</t>
  </si>
  <si>
    <t>攻撃手段:頭 攻撃回数+1</t>
  </si>
  <si>
    <t>頭を1つ増やす。頭を使う攻撃の攻撃回数を+1する。現行では「頭」親カテゴリの判定は未実装/要確認。</t>
  </si>
  <si>
    <t>多方向警戒</t>
  </si>
  <si>
    <t>効果:不意打ち無効</t>
  </si>
  <si>
    <t>複数の頭で周囲を警戒し、不意打ちを無効化する。</t>
  </si>
  <si>
    <t>多頭制御</t>
  </si>
  <si>
    <t>効果:多頭命中低下軽減 軽減率+25%</t>
  </si>
  <si>
    <t>複数頭で攻撃する際の命中ペナルティを軽減する。軽減量は調整予定。</t>
  </si>
  <si>
    <t>多頭連携</t>
  </si>
  <si>
    <t>効果:多頭威力低下軽減 軽減率+25%</t>
  </si>
  <si>
    <t>複数頭で攻撃する際の1発あたりの威力低下を軽減する。軽減量は調整予定。</t>
  </si>
  <si>
    <t>多頭化Ⅱ</t>
  </si>
  <si>
    <t>頭数+1 効果:頭数増加</t>
  </si>
  <si>
    <t>頭数+1。Lv1分と合わせて合計+2頭。</t>
  </si>
  <si>
    <t>完全統制</t>
  </si>
  <si>
    <t>効果:多頭命中低下軽減/多頭威力低下軽減 命中軽減率+25% 威力軽減率+25%</t>
  </si>
  <si>
    <t>複数頭攻撃時に発生する各種ペナルティをさらに軽減する。対象・軽減量は調整予定。</t>
  </si>
  <si>
    <t>------------魔獣 ------------</t>
  </si>
  <si>
    <t>ドレイク</t>
  </si>
  <si>
    <t>毒の唾</t>
  </si>
  <si>
    <t>攻撃手段:吐息 毒+20 射程:20 判定:Lv</t>
  </si>
  <si>
    <t>外皮</t>
  </si>
  <si>
    <t>地竜の吐息</t>
  </si>
  <si>
    <t>攻撃手段:吐息 威力+5</t>
  </si>
  <si>
    <t>ワイバーン</t>
  </si>
  <si>
    <t>威圧</t>
  </si>
  <si>
    <t>威圧+25</t>
  </si>
  <si>
    <t>攻撃手段:吐息 毒+30 射程:20</t>
  </si>
  <si>
    <t>毒の尾</t>
  </si>
  <si>
    <t>攻撃手段:尾 物理+15 毒+15 判定:攻撃</t>
  </si>
  <si>
    <t>物理ガード+5</t>
  </si>
  <si>
    <t>------------スライム ------------</t>
  </si>
  <si>
    <t>スライム</t>
  </si>
  <si>
    <t>粘液体当たり</t>
  </si>
  <si>
    <t>粘液拘束</t>
  </si>
  <si>
    <t>攻撃手段:肉体 打撃+10 拘束+25 判定:攻撃</t>
  </si>
  <si>
    <t>軟体</t>
  </si>
  <si>
    <t>粘液噴射</t>
  </si>
  <si>
    <t>攻撃手段:吐息 打撃+20 射程:10 判定:攻撃</t>
  </si>
  <si>
    <t>粘液防御</t>
  </si>
  <si>
    <t>効果時間3t 物理ガード+20 魔法ガード+10</t>
  </si>
  <si>
    <t>粘液強化</t>
  </si>
  <si>
    <t>条件:粘液体当たり 威力+5 命中+10</t>
  </si>
  <si>
    <t>毒スライム</t>
  </si>
  <si>
    <t>毒性粘液</t>
  </si>
  <si>
    <t>条件:粘液体当たり 毒+20</t>
  </si>
  <si>
    <t>ラヴァスライム</t>
  </si>
  <si>
    <t>灼熱粘液</t>
  </si>
  <si>
    <t>条件:粘液体当たり 炎+20</t>
  </si>
  <si>
    <t>火炎飛沫</t>
  </si>
  <si>
    <t>攻撃手段:吐息 炎+25 射程:10 判定:攻撃</t>
  </si>
  <si>
    <t>水晶スライム</t>
  </si>
  <si>
    <t>結晶突起</t>
  </si>
  <si>
    <t>攻撃手段:肉体 貫通+25 判定:攻撃</t>
  </si>
  <si>
    <t>結晶突起強化</t>
  </si>
  <si>
    <t>条件:結晶突起 威力+5 命中+10</t>
  </si>
  <si>
    <t>氷スライム</t>
  </si>
  <si>
    <t>氷結粘液</t>
  </si>
  <si>
    <t>条件:粘液体当たり 氷+20</t>
  </si>
  <si>
    <t>氷片飛ばし</t>
  </si>
  <si>
    <t>攻撃手段:吐息 氷+25 射程:10 判定:攻撃</t>
  </si>
  <si>
    <t>ショゴスタイプ</t>
  </si>
  <si>
    <t>触手乱打</t>
  </si>
  <si>
    <t>攻撃手段:肉体 物理+15 攻撃回数:2 判定:攻撃</t>
  </si>
  <si>
    <t>触手拘束</t>
  </si>
  <si>
    <t>攻撃手段:肉体 物理+10 拘束+30 判定:攻撃</t>
  </si>
  <si>
    <t>異形の触手</t>
  </si>
  <si>
    <t>条件:触手乱打 威力+5 命中+10</t>
  </si>
  <si>
    <t>------------ゴーレム ------------</t>
  </si>
  <si>
    <t>ウッドゴーレム</t>
  </si>
  <si>
    <t>ゴーレム拳</t>
  </si>
  <si>
    <t>攻撃手段:肉体 打撃+25 判定:攻撃</t>
  </si>
  <si>
    <t>ゴーレム投石</t>
  </si>
  <si>
    <t>攻撃手段:肉体 打撃+20 射程:20 判定:攻撃</t>
  </si>
  <si>
    <t>堅牢な体</t>
  </si>
  <si>
    <t>物理ガード+10</t>
  </si>
  <si>
    <t>魔法核</t>
  </si>
  <si>
    <t>魔法ガード+10 精神耐性+20</t>
  </si>
  <si>
    <t>クレイゴーレム</t>
  </si>
  <si>
    <t>ストーンゴーレム</t>
  </si>
  <si>
    <t>アイアンゴーレム</t>
  </si>
  <si>
    <t>フレッシュゴーレム</t>
  </si>
  <si>
    <t>ボーンゴーレム</t>
  </si>
  <si>
    <t>クリスタルゴーレム</t>
  </si>
  <si>
    <t>アイスゴーレム</t>
  </si>
  <si>
    <t>氷の体</t>
  </si>
  <si>
    <t>マグマゴーレム</t>
  </si>
  <si>
    <t>炎の体</t>
  </si>
  <si>
    <t>サンドゴーレム</t>
  </si>
  <si>
    <t>地の適用</t>
  </si>
  <si>
    <t>ミスリルゴーレム</t>
  </si>
  <si>
    <t>アダマンティンゴーレム</t>
  </si>
  <si>
    <t>マッドゴーレム</t>
  </si>
  <si>
    <t>------------戦士系 ------------</t>
  </si>
  <si>
    <t>ウォーリアー</t>
  </si>
  <si>
    <t>戦う者</t>
  </si>
  <si>
    <t>攻撃手段:武器 射程:円 全威力-20% 判定:攻撃</t>
  </si>
  <si>
    <t>戦いの精神</t>
  </si>
  <si>
    <t>攻撃+10 速度+5</t>
  </si>
  <si>
    <t>闘気纏い</t>
  </si>
  <si>
    <t>オーラカバー</t>
  </si>
  <si>
    <t>攻撃手段:武器 威力+5 耐性貫通+5 効果時間:3t 判定:HP</t>
  </si>
  <si>
    <t>明確な心</t>
  </si>
  <si>
    <t>支配耐性+10 魔防+5</t>
  </si>
  <si>
    <t>空撃</t>
  </si>
  <si>
    <t>エアストライク</t>
  </si>
  <si>
    <t>攻撃手段:武器 射程:20m 判定:攻撃</t>
  </si>
  <si>
    <t>闘戦士</t>
  </si>
  <si>
    <t>攻撃手段:武器 攻撃+5 耐性貫通+4 命中+5</t>
  </si>
  <si>
    <t>ブレイカー</t>
  </si>
  <si>
    <t>打ち倒す一撃</t>
  </si>
  <si>
    <t>ノック・スマイト</t>
  </si>
  <si>
    <t>攻撃手段:武器 ノックバック+20 効果:打ち倒し 判定:攻撃</t>
  </si>
  <si>
    <t>攻撃の精神</t>
  </si>
  <si>
    <t>攻撃+5 耐性貫通+3</t>
  </si>
  <si>
    <t>重動剛撃</t>
  </si>
  <si>
    <t>ヘビィリジドウブレイク</t>
  </si>
  <si>
    <t>攻撃手段:武器 全力+30 判定:攻撃</t>
  </si>
  <si>
    <t>武器の圧力</t>
  </si>
  <si>
    <t>攻撃手段:武器 威圧+20 攻撃+5</t>
  </si>
  <si>
    <t>破壊力</t>
  </si>
  <si>
    <t>ディストラクションフォース</t>
  </si>
  <si>
    <t>攻撃手段:武器 全力+15 物理+40 耐性貫通+10 待機:1t 判定:攻撃</t>
  </si>
  <si>
    <t>破壊者</t>
  </si>
  <si>
    <t>攻撃手段:武器 物理+5 耐性貫通+5</t>
  </si>
  <si>
    <t>アスラ</t>
  </si>
  <si>
    <t>不動明王撃</t>
  </si>
  <si>
    <t>アチャラナータ</t>
  </si>
  <si>
    <t>攻撃手段:武器 全力+40 威圧+50 判定:攻撃</t>
  </si>
  <si>
    <t>屈強な肉体</t>
  </si>
  <si>
    <t>疲労耐性+15 出血耐性+15</t>
  </si>
  <si>
    <t>降三世明王撃</t>
  </si>
  <si>
    <t>トライローキヴィジャヤ</t>
  </si>
  <si>
    <t>攻撃手段:武器 貫通+45 追加威力:威圧 判定:攻撃</t>
  </si>
  <si>
    <t>朱羅</t>
  </si>
  <si>
    <t>攻撃+10 耐性貫通+10 命中+10</t>
  </si>
  <si>
    <t>大威徳明王撃</t>
  </si>
  <si>
    <t>ヤマーンタカ</t>
  </si>
  <si>
    <t>攻撃手段:武器 打撃+40 スタン+15 追加威力:威圧 判定:攻撃</t>
  </si>
  <si>
    <t>阿修羅</t>
  </si>
  <si>
    <t>攻撃手段:武器 攻撃+10 命中+10 Cr率+5</t>
  </si>
  <si>
    <t>ガーディアン</t>
  </si>
  <si>
    <t>守る者</t>
  </si>
  <si>
    <t>射程:4m 効果:庇護</t>
  </si>
  <si>
    <t>守護精神</t>
  </si>
  <si>
    <t>防御+10 魔防+5</t>
  </si>
  <si>
    <t>不落要塞</t>
  </si>
  <si>
    <t>ファール・フォートレス</t>
  </si>
  <si>
    <t>防御+20 物理軽減+5 効果時間:3t</t>
  </si>
  <si>
    <t>支配耐性+15</t>
  </si>
  <si>
    <t>真なる護り手</t>
  </si>
  <si>
    <t>トゥルーガーディアン</t>
  </si>
  <si>
    <t>物理ガード+25 魔法ガード+25 効果:遮断 判定:防御</t>
  </si>
  <si>
    <t>守護者</t>
  </si>
  <si>
    <t>防御+10 Cr耐性+5</t>
  </si>
  <si>
    <t>シャットアウター</t>
  </si>
  <si>
    <t>不動反射</t>
  </si>
  <si>
    <t>ファール・パリィ</t>
  </si>
  <si>
    <t>防御性能+25 判定:防御</t>
  </si>
  <si>
    <t>護りの精神</t>
  </si>
  <si>
    <t>Cr威力耐性+15 魔防+15</t>
  </si>
  <si>
    <t>急所遮断</t>
  </si>
  <si>
    <t>シャット・クリティカル</t>
  </si>
  <si>
    <t>Cr率耐性+10 Cr威力耐性+30 効果時間:3t</t>
  </si>
  <si>
    <t>有り余る体力</t>
  </si>
  <si>
    <t>フルコンセクティブ</t>
  </si>
  <si>
    <t>HP+5 防御+5</t>
  </si>
  <si>
    <t>守りの去なし</t>
  </si>
  <si>
    <t>パスブロック</t>
  </si>
  <si>
    <t>スタン+15 ノックバック+15 効果:転倒 判定:防御</t>
  </si>
  <si>
    <t>防御+10 物理軽減+5 魔法軽減+5</t>
  </si>
  <si>
    <t>スカーミッシャー</t>
  </si>
  <si>
    <t>加速</t>
  </si>
  <si>
    <t>移動速度+20 効果時間:3t</t>
  </si>
  <si>
    <t>回避の精神</t>
  </si>
  <si>
    <t>速度+10 軽業+10</t>
  </si>
  <si>
    <t>疾風回避</t>
  </si>
  <si>
    <t>速度+30 判定:速度</t>
  </si>
  <si>
    <t>戦闘軽戦士</t>
  </si>
  <si>
    <t>攻撃手段:武器 命中+5 速度+5 耐性貫通+3</t>
  </si>
  <si>
    <t>機動乱撃</t>
  </si>
  <si>
    <t>攻撃手段:武器 物理+20 全威力-50% 攻撃回数:3 追加行動:移動 判定:攻撃</t>
  </si>
  <si>
    <t>超機動</t>
  </si>
  <si>
    <t>ラピッドストライカー</t>
  </si>
  <si>
    <t>加速撃</t>
  </si>
  <si>
    <t>ラピッドラッド</t>
  </si>
  <si>
    <t>攻撃手段:武器 物理+20 移動速度+20 追加威力:移動速度 判定:攻撃</t>
  </si>
  <si>
    <t>武器の回避</t>
  </si>
  <si>
    <t>攻撃手段:武器 軽業+20 早業+10 速度+5</t>
  </si>
  <si>
    <t>超加速</t>
  </si>
  <si>
    <t>移動速度+30 効果時間:3t</t>
  </si>
  <si>
    <t>HP+5 速度+5</t>
  </si>
  <si>
    <t>残像乱撃</t>
  </si>
  <si>
    <t>攻撃手段:武器 物理+35 速度+40 全威力-35% 攻撃回数:3 追加行動:移動 判定:攻撃</t>
  </si>
  <si>
    <t>攻撃手段:武器 速度+10 命中+10 移動速度+10</t>
  </si>
  <si>
    <t>------武器専門------</t>
  </si>
  <si>
    <t>ソードマスター</t>
  </si>
  <si>
    <t>剣使い</t>
  </si>
  <si>
    <t>塵風</t>
  </si>
  <si>
    <t>ウィンド</t>
  </si>
  <si>
    <t>剣技</t>
  </si>
  <si>
    <t>攻撃手段:剣 切断+15 命中+15 判定:攻撃</t>
  </si>
  <si>
    <t>集中力</t>
  </si>
  <si>
    <t>知覚+10 命中+5</t>
  </si>
  <si>
    <t>縮地</t>
  </si>
  <si>
    <t>シュクチ</t>
  </si>
  <si>
    <t>移動</t>
  </si>
  <si>
    <t>射程:8m 効果:前移動</t>
  </si>
  <si>
    <t>斬撃の使い方</t>
  </si>
  <si>
    <t>条件系統:切断 Cr率+5 早業+10</t>
  </si>
  <si>
    <t>ワールウィンド</t>
  </si>
  <si>
    <t>攻撃手段:剣 切断+20 耐性貫通+3 射程:円5m 判定:攻撃</t>
  </si>
  <si>
    <t>攻撃手段:剣 切断+5 命中+5</t>
  </si>
  <si>
    <t>ソードレジェンド</t>
  </si>
  <si>
    <t>剣聖</t>
  </si>
  <si>
    <t>狼牙</t>
  </si>
  <si>
    <t>ウルフファング</t>
  </si>
  <si>
    <t>攻撃手段:剣 切断+20 命中+20 攻撃回数+1 判定:攻撃</t>
  </si>
  <si>
    <t>集中力2</t>
  </si>
  <si>
    <t>知覚+15 命中+10</t>
  </si>
  <si>
    <t>縮地改</t>
  </si>
  <si>
    <t>シュクチカイ</t>
  </si>
  <si>
    <t>射程:12m 効果:移動</t>
  </si>
  <si>
    <t>斬撃の極み</t>
  </si>
  <si>
    <t>条件系統:切断 Cr率+5 耐性貫通+5 早業+15</t>
  </si>
  <si>
    <t>波切</t>
  </si>
  <si>
    <t>ナミキリ</t>
  </si>
  <si>
    <t>攻撃手段:剣 切断+35 Cr率+5 移動+20 追加行動:移動 判定:攻撃</t>
  </si>
  <si>
    <t>攻撃手段:剣 切断+5 命中+10 早業+10</t>
  </si>
  <si>
    <t>ソードゴッド</t>
  </si>
  <si>
    <t>剣神</t>
  </si>
  <si>
    <t>神斬</t>
  </si>
  <si>
    <t>ゴッド・スラッシュ</t>
  </si>
  <si>
    <t>攻撃手段:剣 切断+45 Cr率+10 Cr威力+20 判定:攻撃</t>
  </si>
  <si>
    <t>極斬</t>
  </si>
  <si>
    <t>条件系統:切断 切断+7 耐性貫通+10</t>
  </si>
  <si>
    <t>縮地・空</t>
  </si>
  <si>
    <t>射程:50m 効果:移動</t>
  </si>
  <si>
    <t>ゴッドアイ</t>
  </si>
  <si>
    <t>命中+20 速度+20 知覚+25 看破+25 効果時間:3t</t>
  </si>
  <si>
    <t>見極</t>
  </si>
  <si>
    <t>知覚+20 看破+25 命中+10 Cr耐性+5</t>
  </si>
  <si>
    <t>攻撃手段:剣 切断+10 命中+10 Cr率+5</t>
  </si>
  <si>
    <t>スピアマスター</t>
  </si>
  <si>
    <t>槍使い</t>
  </si>
  <si>
    <t>熱界雷</t>
  </si>
  <si>
    <t>槍技</t>
  </si>
  <si>
    <t>攻撃手段:槍 貫通+20 耐性貫通+3 射程:円錐7m 判定:攻撃</t>
  </si>
  <si>
    <t>刺突の使い方</t>
  </si>
  <si>
    <t>条件系統:貫通 Cr率+5 耐性貫通+5 早業+10</t>
  </si>
  <si>
    <t>刺一閃</t>
  </si>
  <si>
    <t>ディヴァイン・ブランディッシュ</t>
  </si>
  <si>
    <t>攻撃手段:槍 貫通+15 命中+30 判定:早業</t>
  </si>
  <si>
    <t>攻撃手段:槍 貫通+5 命中+5</t>
  </si>
  <si>
    <t>スピアレジェンド</t>
  </si>
  <si>
    <t>槍聖</t>
  </si>
  <si>
    <t>鷹嘴</t>
  </si>
  <si>
    <t>ホークビーク</t>
  </si>
  <si>
    <t>攻撃手段:槍 貫通+23 命中+20 攻撃回数+1 判定:攻撃</t>
  </si>
  <si>
    <t>刺突の極み</t>
  </si>
  <si>
    <t>条件系統:貫通 Cr率+5 耐性貫通+5 早業+15</t>
  </si>
  <si>
    <t>渦突き</t>
  </si>
  <si>
    <t>ウェーブピアーシング</t>
  </si>
  <si>
    <t>攻撃手段:槍 貫通+35 耐性貫通+10 移動+20 追加行動:移動 判定:攻撃</t>
  </si>
  <si>
    <t>攻撃手段:槍 貫通+5 命中+10 早業+10</t>
  </si>
  <si>
    <t>スピアゴッド</t>
  </si>
  <si>
    <t>槍神</t>
  </si>
  <si>
    <t>神穿</t>
  </si>
  <si>
    <t>攻撃手段:槍 貫通+45 Cr率+10 耐性貫通+15 判定:攻撃</t>
  </si>
  <si>
    <t>極刺</t>
  </si>
  <si>
    <t>条件系統:貫通 貫通+7 耐性貫通+10</t>
  </si>
  <si>
    <t>攻撃手段:槍 貫通+10 命中+10 Cr率+5</t>
  </si>
  <si>
    <t>ブロウマスター</t>
  </si>
  <si>
    <t>粉砕撃</t>
  </si>
  <si>
    <t>攻撃手段:武器 打撃+35 怯み+15 判定:攻撃</t>
  </si>
  <si>
    <t>打撃武器の扱い</t>
  </si>
  <si>
    <t>条件系統:打撃 打撃+5 命中+10</t>
  </si>
  <si>
    <t>崩し撃</t>
  </si>
  <si>
    <t>攻撃手段:武器 打撃+30 体幹+25 判定:攻撃</t>
  </si>
  <si>
    <t>重打</t>
  </si>
  <si>
    <t>攻撃手段:武器 打撃+40 判定:攻撃</t>
  </si>
  <si>
    <t>打撃の極み</t>
  </si>
  <si>
    <t>条件系統:打撃 打撃+10 耐性貫通+5</t>
  </si>
  <si>
    <t>震砕撃</t>
  </si>
  <si>
    <t>攻撃手段:武器 打撃+50 怯み+25 判定:攻撃</t>
  </si>
  <si>
    <t>シールドマスター</t>
  </si>
  <si>
    <t>盾構え</t>
  </si>
  <si>
    <t>効果時間:3t 物理ガード+25 魔法ガード+15 判定:防御</t>
  </si>
  <si>
    <t>盾の扱い</t>
  </si>
  <si>
    <t>物理ガード+10 魔法ガード+5</t>
  </si>
  <si>
    <t>盾打ち</t>
  </si>
  <si>
    <t>攻撃手段:武器 打撃+20 怯み+20 判定:防御</t>
  </si>
  <si>
    <t>受け流し</t>
  </si>
  <si>
    <t>効果時間:1t 物理ガード+30 判定:防御</t>
  </si>
  <si>
    <t>鉄壁</t>
  </si>
  <si>
    <t>物理軽減+10 魔法軽減+5</t>
  </si>
  <si>
    <t>完全防御</t>
  </si>
  <si>
    <t>物理ガード+50 魔法ガード+40 効果:遮断 判定:防御</t>
  </si>
  <si>
    <t>------属性ブレード------</t>
  </si>
  <si>
    <t>フレイムブレード</t>
  </si>
  <si>
    <t>炎の武器</t>
  </si>
  <si>
    <t>効果時間3t 攻撃手段:武器 炎+25 追加威力:魔力</t>
  </si>
  <si>
    <t>炎の適用</t>
  </si>
  <si>
    <t>炎強化</t>
  </si>
  <si>
    <t>炎撃</t>
  </si>
  <si>
    <t>条件:炎の武器 攻撃手段:武器 炎+45 判定:攻撃</t>
  </si>
  <si>
    <t>フロストブレード</t>
  </si>
  <si>
    <t>氷の武器</t>
  </si>
  <si>
    <t>効果時間3t 攻撃手段:武器 氷+20 拘束+10 追加威力:魔力</t>
  </si>
  <si>
    <t>氷の適用</t>
  </si>
  <si>
    <t>氷強化</t>
  </si>
  <si>
    <t>氷結撃</t>
  </si>
  <si>
    <t>条件:氷の武器 攻撃手段:武器 氷+35 拘束+25 判定:攻撃</t>
  </si>
  <si>
    <t>サンダーブレード</t>
  </si>
  <si>
    <t>雷の武器</t>
  </si>
  <si>
    <t>効果時間3t 攻撃手段:武器 雷+20 怯み+10 追加威力:魔力</t>
  </si>
  <si>
    <t>雷の適用</t>
  </si>
  <si>
    <t>雷強化</t>
  </si>
  <si>
    <t>雷鳴撃</t>
  </si>
  <si>
    <t>条件:雷の武器 攻撃手段:武器 雷+35 怯み+25 判定:攻撃</t>
  </si>
  <si>
    <t>アシッドブレード</t>
  </si>
  <si>
    <t>酸の武器</t>
  </si>
  <si>
    <t>効果時間3t 攻撃手段:武器 酸+25 追加威力:魔力</t>
  </si>
  <si>
    <t>毒の適用</t>
  </si>
  <si>
    <t>毒強化</t>
  </si>
  <si>
    <t>腐食撃</t>
  </si>
  <si>
    <t>条件:酸の武器 攻撃手段:武器 酸+40 耐性貫通+10 判定:攻撃</t>
  </si>
  <si>
    <t>ウィンドブレード</t>
  </si>
  <si>
    <t>風の武器</t>
  </si>
  <si>
    <t>効果時間3t 攻撃手段:武器 体幹+25 追加威力:魔力</t>
  </si>
  <si>
    <t>烈風撃</t>
  </si>
  <si>
    <t>条件:風の武器 攻撃手段:武器 体幹+50 判定:攻撃</t>
  </si>
  <si>
    <t>アースブレード</t>
  </si>
  <si>
    <t>岩の武器</t>
  </si>
  <si>
    <t>効果時間3t 攻撃手段:武器 打撃+25 追加威力:魔力</t>
  </si>
  <si>
    <t>岩砕撃</t>
  </si>
  <si>
    <t>条件:岩の武器 攻撃手段:武器 打撃+50 判定:攻撃</t>
  </si>
  <si>
    <t>------------狩人系 ------------</t>
  </si>
  <si>
    <t>スカウト</t>
  </si>
  <si>
    <t>密偵</t>
  </si>
  <si>
    <t>斥候の極意</t>
  </si>
  <si>
    <t>隠密+15 索敵+20 看破+10</t>
  </si>
  <si>
    <t>スパイ</t>
  </si>
  <si>
    <t>潜伏</t>
  </si>
  <si>
    <t>アサシン</t>
  </si>
  <si>
    <t>暗殺術</t>
  </si>
  <si>
    <t>条件:不意打ち 威力+10 Cr率+10</t>
  </si>
  <si>
    <t>マスターアサシン</t>
  </si>
  <si>
    <t>絶命撃</t>
  </si>
  <si>
    <t>条件:不意打ち 攻撃手段:武器 物理+55 Cr率+15 判定:命中</t>
  </si>
  <si>
    <t>ハンター</t>
  </si>
  <si>
    <t>追跡術</t>
  </si>
  <si>
    <t>マスターハンター</t>
  </si>
  <si>
    <t>狩人の極意</t>
  </si>
  <si>
    <t>索敵+20 命中+10 Cr率+5</t>
  </si>
  <si>
    <t>スカウター</t>
  </si>
  <si>
    <t>広域索敵</t>
  </si>
  <si>
    <t>効果時間:3t 索敵+50 看破+30</t>
  </si>
  <si>
    <t>オブザーバー</t>
  </si>
  <si>
    <t>観測者</t>
  </si>
  <si>
    <t>索敵+35 看破+35 命中+10</t>
  </si>
  <si>
    <t>ストーカー</t>
  </si>
  <si>
    <t>追跡者</t>
  </si>
  <si>
    <t>隠密+20 索敵+20 速度+10</t>
  </si>
  <si>
    <t>プレデター</t>
  </si>
  <si>
    <t>捕食者</t>
  </si>
  <si>
    <t>命中+10 Cr率+10 索敵+15</t>
  </si>
  <si>
    <t>------アーチャー------</t>
  </si>
  <si>
    <t>マークスマン</t>
  </si>
  <si>
    <t>精密射撃</t>
  </si>
  <si>
    <t>攻撃手段:弓 物理+20 命中+20 判定:命中</t>
  </si>
  <si>
    <t>速射</t>
  </si>
  <si>
    <t>攻撃手段:弓 物理+10 攻撃回数:2 判定:命中</t>
  </si>
  <si>
    <t>射撃姿勢</t>
  </si>
  <si>
    <t>攻撃手段:弓 命中+15 Cr率+5</t>
  </si>
  <si>
    <t>貫通射撃</t>
  </si>
  <si>
    <t>攻撃手段:弓 貫通+30 耐性貫通+10 判定:命中</t>
  </si>
  <si>
    <t>制圧射撃</t>
  </si>
  <si>
    <t>攻撃手段:弓 物理+15 怯み+25 判定:命中</t>
  </si>
  <si>
    <t>狙撃</t>
  </si>
  <si>
    <t>攻撃手段:弓 物理+35 命中+25 Cr率+10 判定:命中</t>
  </si>
  <si>
    <t>射撃の極み</t>
  </si>
  <si>
    <t>攻撃手段:弓 命中+10 Cr率+5 射程+5</t>
  </si>
  <si>
    <t>ボウマスター</t>
  </si>
  <si>
    <t>強射</t>
  </si>
  <si>
    <t>攻撃手段:弓 物理+35 判定:命中</t>
  </si>
  <si>
    <t>弓術</t>
  </si>
  <si>
    <t>連射</t>
  </si>
  <si>
    <t>攻撃手段:弓 物理+15 攻撃回数:3 全威力-35% 判定:命中</t>
  </si>
  <si>
    <t>遠射</t>
  </si>
  <si>
    <t>攻撃手段:弓 物理+25 射程+10 判定:命中</t>
  </si>
  <si>
    <t>射撃の極意</t>
  </si>
  <si>
    <t>攻撃手段:弓 命中+10 Cr率+10 射程+5</t>
  </si>
  <si>
    <t>神射</t>
  </si>
  <si>
    <t>攻撃手段:弓 貫通+45 命中+25 Cr率+10 判定:命中</t>
  </si>
  <si>
    <t>シューター</t>
  </si>
  <si>
    <t>超遠射</t>
  </si>
  <si>
    <t>待機時間1t 攻撃手段:射撃攻撃 射程+50% 効果:超遠射</t>
  </si>
  <si>
    <t>1ターン待機し、その後に行う次の射撃攻撃1回だけ射程を50%伸ばす。</t>
  </si>
  <si>
    <t>遠射術</t>
  </si>
  <si>
    <t>攻撃手段:射撃攻撃 射程+5</t>
  </si>
  <si>
    <t>射撃攻撃全般の射程を常時5伸ばす。</t>
  </si>
  <si>
    <t>精密照準</t>
  </si>
  <si>
    <t>対象:自身 攻撃手段:射撃攻撃 命中+20 Cr率+10 効果時間:3t 効果:精密照準</t>
  </si>
  <si>
    <t>3ターンの間、射撃攻撃の命中を20、Cr率を10高める。</t>
  </si>
  <si>
    <t>索敵強化</t>
  </si>
  <si>
    <t>索敵+30</t>
  </si>
  <si>
    <t>索敵技能を常時30高める。</t>
  </si>
  <si>
    <t>遠射姿勢</t>
  </si>
  <si>
    <t>対象:自身 攻撃手段:射撃攻撃 射程+10 速度-25% 効果時間:3t 効果:遠射姿勢</t>
  </si>
  <si>
    <t>3ターンの間、射撃攻撃の射程を10伸ばす代わりに速度を25%低下させる。</t>
  </si>
  <si>
    <t>射撃急所術</t>
  </si>
  <si>
    <t>攻撃手段:射撃攻撃 Cr率+5 Cr威力+10</t>
  </si>
  <si>
    <t>射撃攻撃のCr率を5、Cr威力を10常時高める。</t>
  </si>
  <si>
    <t>レンジマスター</t>
  </si>
  <si>
    <t>射撃防御姿勢</t>
  </si>
  <si>
    <t>攻撃手段:遠距離攻撃 ガード+30 貫通+15 判定:防御</t>
  </si>
  <si>
    <t>遠距離攻撃に備えてガードを30高めつつ、貫通ダメージを15高める。</t>
  </si>
  <si>
    <t>遠距離適性</t>
  </si>
  <si>
    <t>攻撃手段:遠距離攻撃 命中+10</t>
  </si>
  <si>
    <t>射程を持つ遠距離攻撃全般の命中を高める。弓・射撃・ブレス・魔法などを対象とする。</t>
  </si>
  <si>
    <t>指向索敵</t>
  </si>
  <si>
    <t>対象:方向 範囲:小扇 索敵+150 効果:指向索敵</t>
  </si>
  <si>
    <t>方向を指定し、その方向に限って索敵を150高める。</t>
  </si>
  <si>
    <t>遠距離制御</t>
  </si>
  <si>
    <t>攻撃手段:遠距離攻撃 命中+15</t>
  </si>
  <si>
    <t>遠距離攻撃時の照準と制御を高める。</t>
  </si>
  <si>
    <t>超遠距離</t>
  </si>
  <si>
    <t>対象:自身 攻撃手段:遠距離攻撃 射程+10 効果時間:3t 効果:超遠距離</t>
  </si>
  <si>
    <t>3ターンの間、遠距離攻撃全般の射程を10伸ばす。</t>
  </si>
  <si>
    <t>極遠の達人</t>
  </si>
  <si>
    <t>攻撃手段:遠距離攻撃 命中+10 射程+5</t>
  </si>
  <si>
    <t>遠距離攻撃全般の命中と射程をさらに強化する。</t>
  </si>
  <si>
    <t>フレイムアーチャー</t>
  </si>
  <si>
    <t>炎貫矢</t>
  </si>
  <si>
    <t>条件:炎の武器 攻撃手段:弓 炎+45 判定:命中</t>
  </si>
  <si>
    <t>フロストアーチャー</t>
  </si>
  <si>
    <t>氷縛矢</t>
  </si>
  <si>
    <t>条件:氷の武器 攻撃手段:弓 氷+35 拘束+25 判定:命中</t>
  </si>
  <si>
    <t>サンダーアーチャー</t>
  </si>
  <si>
    <t>雷鳴矢</t>
  </si>
  <si>
    <t>条件:雷の武器 攻撃手段:弓 雷+35 怯み+25 判定:命中</t>
  </si>
  <si>
    <t>アシッドアーチャー</t>
  </si>
  <si>
    <t>酸穿矢</t>
  </si>
  <si>
    <t>条件:酸の武器 攻撃手段:弓 酸+40 耐性貫通+10 判定:命中</t>
  </si>
  <si>
    <t>ウィンドアーチャー</t>
  </si>
  <si>
    <t>風衝矢</t>
  </si>
  <si>
    <t>条件:風の武器 攻撃手段:弓 体幹+50 判定:命中</t>
  </si>
  <si>
    <t>アースアーチャー</t>
  </si>
  <si>
    <t>岩砕矢</t>
  </si>
  <si>
    <t>条件:岩の武器 攻撃手段:弓 打撃+50 判定:命中</t>
  </si>
  <si>
    <t>------------格闘系 ------------</t>
  </si>
  <si>
    <t>キ・マスター</t>
  </si>
  <si>
    <t>気の極意</t>
  </si>
  <si>
    <t>攻撃手段:素手 物理+5 命中+10 精神耐性+10</t>
  </si>
  <si>
    <t>ストライカー</t>
  </si>
  <si>
    <t>連打</t>
  </si>
  <si>
    <t>攻撃手段:素手 物理+10 攻撃回数:2 判定:攻撃</t>
  </si>
  <si>
    <t>打撃姿勢</t>
  </si>
  <si>
    <t>攻撃手段:素手 命中+10 速度+5</t>
  </si>
  <si>
    <t>強打</t>
  </si>
  <si>
    <t>攻撃手段:素手 打撃+35 怯み+15 判定:攻撃</t>
  </si>
  <si>
    <t>踏み込み</t>
  </si>
  <si>
    <t>攻撃手段:素手 物理+20 移動+20 追加行動:移動 判定:攻撃</t>
  </si>
  <si>
    <t>拳の極み</t>
  </si>
  <si>
    <t>攻撃手段:素手 物理+5 Cr率+5</t>
  </si>
  <si>
    <t>連環撃</t>
  </si>
  <si>
    <t>攻撃手段:素手 物理+20 攻撃回数:3 全威力-25% 判定:攻撃</t>
  </si>
  <si>
    <t>マーシャルアーツ</t>
  </si>
  <si>
    <t>掌打</t>
  </si>
  <si>
    <t>攻撃手段:素手 打撃+30 体幹+20 判定:攻撃</t>
  </si>
  <si>
    <t>武術の構え</t>
  </si>
  <si>
    <t>攻撃手段:素手 命中+10 回避+10</t>
  </si>
  <si>
    <t>崩拳</t>
  </si>
  <si>
    <t>攻撃手段:素手 打撃+35 怯み+20 判定:攻撃</t>
  </si>
  <si>
    <t>回し蹴り</t>
  </si>
  <si>
    <t>攻撃手段:素手 打撃+25 範囲:周囲 判定:攻撃</t>
  </si>
  <si>
    <t>武術の心得</t>
  </si>
  <si>
    <t>速度+10 命中+10</t>
  </si>
  <si>
    <t>無拍子</t>
  </si>
  <si>
    <t>攻撃手段:素手 物理+45 命中+20 Cr率+5 判定:攻撃</t>
  </si>
  <si>
    <t>マーシャルアーツマスター</t>
  </si>
  <si>
    <t>達人の構え</t>
  </si>
  <si>
    <t>攻撃手段:素手 命中+15 回避+15</t>
  </si>
  <si>
    <t>奥義・震脚</t>
  </si>
  <si>
    <t>攻撃手段:素手 打撃+55 体幹+40 怯み+20 判定:攻撃</t>
  </si>
  <si>
    <t>マーシャルアーツロード</t>
  </si>
  <si>
    <t>武神撃</t>
  </si>
  <si>
    <t>攻撃手段:素手 物理+65 Cr率+15 Cr威力+20 判定:攻撃</t>
  </si>
  <si>
    <t>------忍術------</t>
  </si>
  <si>
    <t>ニンジャ</t>
  </si>
  <si>
    <t>手裏剣</t>
  </si>
  <si>
    <t>攻撃手段:武器 貫通+20 射程:10 判定:命中</t>
  </si>
  <si>
    <t>忍殺</t>
  </si>
  <si>
    <t>条件:不意打ち 攻撃手段:武器 物理+45 Cr率+10 判定:命中</t>
  </si>
  <si>
    <t>ニンジュツマスター</t>
  </si>
  <si>
    <t>影殺</t>
  </si>
  <si>
    <t>条件:不意打ち 攻撃手段:武器 物理+55 Cr率+15 追加威力:隠密 判定:命中</t>
  </si>
  <si>
    <t>------属性フィスト------</t>
  </si>
  <si>
    <t>フレイムフィスト</t>
  </si>
  <si>
    <t>炎の拳</t>
  </si>
  <si>
    <t>爆炎拳</t>
  </si>
  <si>
    <t>攻撃手段:素手 炎+45 怯み+15 判定:攻撃</t>
  </si>
  <si>
    <t>フロストフィスト</t>
  </si>
  <si>
    <t>氷の拳</t>
  </si>
  <si>
    <t>氷砕拳</t>
  </si>
  <si>
    <t>攻撃手段:素手 氷+35 拘束+25 判定:攻撃</t>
  </si>
  <si>
    <t>サンダーフィスト</t>
  </si>
  <si>
    <t>雷の拳</t>
  </si>
  <si>
    <t>攻撃手段:素手 物理+15 雷+25 判定:攻撃</t>
  </si>
  <si>
    <t>雷震拳</t>
  </si>
  <si>
    <t>攻撃手段:素手 雷+35 怯み+25 判定:攻撃</t>
  </si>
  <si>
    <t>アシッドフィスト</t>
  </si>
  <si>
    <t>酸の拳</t>
  </si>
  <si>
    <t>攻撃手段:素手 物理+15 酸+25 判定:攻撃</t>
  </si>
  <si>
    <t>腐食拳</t>
  </si>
  <si>
    <t>攻撃手段:素手 酸+40 耐性貫通+10 判定:攻撃</t>
  </si>
  <si>
    <t>ウィンドフィスト</t>
  </si>
  <si>
    <t>烈風の拳</t>
  </si>
  <si>
    <t>攻撃手段:素手 体幹+25 判定:攻撃</t>
  </si>
  <si>
    <t>風圧拳</t>
  </si>
  <si>
    <t>攻撃手段:素手 体幹+50 判定:攻撃</t>
  </si>
  <si>
    <t>アースフィスト</t>
  </si>
  <si>
    <t>岩の拳</t>
  </si>
  <si>
    <t>攻撃手段:素手 打撃+25 判定:攻撃</t>
  </si>
  <si>
    <t>岩砕拳</t>
  </si>
  <si>
    <t>攻撃手段:素手 打撃+50 判定:攻撃</t>
  </si>
  <si>
    <t>------------魔法系 ------------</t>
  </si>
  <si>
    <t>エレメンタラー</t>
  </si>
  <si>
    <t>精霊師</t>
  </si>
  <si>
    <t>アークウィザード</t>
  </si>
  <si>
    <t>キャストマスター</t>
  </si>
  <si>
    <t>高速詠唱</t>
  </si>
  <si>
    <t>魔術</t>
  </si>
  <si>
    <t>魔術+20 速度+10</t>
  </si>
  <si>
    <t>ワイズマン</t>
  </si>
  <si>
    <t>賢者の知識</t>
  </si>
  <si>
    <t>魔術+25 看破+15</t>
  </si>
  <si>
    <t>大賢者</t>
  </si>
  <si>
    <t>魔力+20 精神+20 魔術+20</t>
  </si>
  <si>
    <t>ワードキャスター</t>
  </si>
  <si>
    <t>言霊・命</t>
  </si>
  <si>
    <t>効果時間3t 攻撃+15 命中+15 射程:10 判定:精神</t>
  </si>
  <si>
    <t>言霊・縛</t>
  </si>
  <si>
    <t>拘束+45 射程:10 判定:精神</t>
  </si>
  <si>
    <t>言霊・黙</t>
  </si>
  <si>
    <t>魔法+60 効果:沈黙 射程:10 判定:精神</t>
  </si>
  <si>
    <t>言霊・退</t>
  </si>
  <si>
    <t>体幹+55 効果:吹き飛ばし 射程:10 判定:精神</t>
  </si>
  <si>
    <t>言霊の極意</t>
  </si>
  <si>
    <t>精神+15 魔術+15</t>
  </si>
  <si>
    <t>------破壊魔術------</t>
  </si>
  <si>
    <t>ディストラクター</t>
  </si>
  <si>
    <t>ディザスター</t>
  </si>
  <si>
    <t>力場支配</t>
  </si>
  <si>
    <t>条件系統:力場 全威力+15 魔力+15</t>
  </si>
  <si>
    <t>------------信仰系 ------------</t>
  </si>
  <si>
    <t>ハイクレリック</t>
  </si>
  <si>
    <t>テンプラー</t>
  </si>
  <si>
    <t>聖堂の守護者</t>
  </si>
  <si>
    <t>防御+15 精神+15 物理軽減+10 魔法軽減+10</t>
  </si>
  <si>
    <t>エクソシスト</t>
  </si>
  <si>
    <t>祓魔</t>
  </si>
  <si>
    <t>攻撃手段:魔法 光+55 精神攻撃+35 射程:10 判定:魔力</t>
  </si>
  <si>
    <t>ピュリファイア</t>
  </si>
  <si>
    <t>インクイジター</t>
  </si>
  <si>
    <t>罪の烙印</t>
  </si>
  <si>
    <t>呪い+65 疲労+35 精神攻撃+35 射程:10 判定:精神</t>
  </si>
  <si>
    <t>ジャッジメント</t>
  </si>
  <si>
    <t>神罰</t>
  </si>
  <si>
    <t>攻撃手段:魔法 光+115 精神攻撃+55 射程:20 判定:魔力</t>
  </si>
  <si>
    <t>------聖騎士上位------</t>
  </si>
  <si>
    <t>ホーリーブレイド</t>
  </si>
  <si>
    <t>光の武器</t>
  </si>
  <si>
    <t>効果時間6t 攻撃手段:武器 光+20</t>
  </si>
  <si>
    <t>光刃撃</t>
  </si>
  <si>
    <t>攻撃手段:武器 物理+20 光+25 判定:攻撃</t>
  </si>
  <si>
    <t>聖断</t>
  </si>
  <si>
    <t>条件:光の武器 攻撃手段:武器 物理+35 光+40 判定:攻撃</t>
  </si>
  <si>
    <t>クルセイダー</t>
  </si>
  <si>
    <t>聖戦撃</t>
  </si>
  <si>
    <t>攻撃手段:武器 物理+25 光+20 判定:攻撃</t>
  </si>
  <si>
    <t>聖戦士</t>
  </si>
  <si>
    <t>攻撃+10 防御+10 光耐性+10</t>
  </si>
  <si>
    <t>十字斬</t>
  </si>
  <si>
    <t>攻撃手段:武器 切断+35 光+25 判定:攻撃</t>
  </si>
  <si>
    <t>十字聖撃</t>
  </si>
  <si>
    <t>攻撃手段:武器 物理+40 光+55 判定:攻撃</t>
  </si>
  <si>
    <t>ホーリーナイト</t>
  </si>
  <si>
    <t>聖騎士の守り</t>
  </si>
  <si>
    <t>防御+10 物理軽減+5 魔法軽減+5 光耐性+10</t>
  </si>
  <si>
    <t>聖盾</t>
  </si>
  <si>
    <t>効果時間3t 物理ガード+30 魔法ガード+25 光耐性+20</t>
  </si>
  <si>
    <t>ホワイトガード</t>
  </si>
  <si>
    <t>白き守護</t>
  </si>
  <si>
    <t>防御+15 物理軽減+10 魔法軽減+10 光耐性+15</t>
  </si>
  <si>
    <t>白銀要塞</t>
  </si>
  <si>
    <t>効果時間3t 物理ガード+40 魔法ガード+35 遠隔軽減+15 範囲:味方全体</t>
  </si>
  <si>
    <t>ダークパラディン</t>
  </si>
  <si>
    <t>闇の武器</t>
  </si>
  <si>
    <t>効果時間6t 攻撃手段:武器 闇+20</t>
  </si>
  <si>
    <t>闇刃撃</t>
  </si>
  <si>
    <t>攻撃手段:武器 物理+20 闇+25 判定:攻撃</t>
  </si>
  <si>
    <t>闇断</t>
  </si>
  <si>
    <t>条件:闇の武器 攻撃手段:武器 物理+35 闇+40 判定:攻撃</t>
  </si>
  <si>
    <t>------高位神官------</t>
  </si>
  <si>
    <t>プレイマスター</t>
  </si>
  <si>
    <t>ハイエロファント</t>
  </si>
  <si>
    <t>------------ドルイド系 ------------</t>
  </si>
  <si>
    <t>ハイドルイド</t>
  </si>
  <si>
    <t>アースドルイド</t>
  </si>
  <si>
    <t>フォレストドルイド</t>
  </si>
  <si>
    <t>アクアドルイド</t>
  </si>
  <si>
    <t>デザートドルイド</t>
  </si>
  <si>
    <t>フロストドルイド</t>
  </si>
  <si>
    <t>ヴォルカニックドルイド</t>
  </si>
  <si>
    <t>------メイカー------</t>
  </si>
  <si>
    <t>アースメイカー</t>
  </si>
  <si>
    <t>フォレストメイカー</t>
  </si>
  <si>
    <t>アクアメイカー</t>
  </si>
  <si>
    <t>デザートメイカー</t>
  </si>
  <si>
    <t>フロストメイカー</t>
  </si>
  <si>
    <t>ヴォルカニックメイカー</t>
  </si>
  <si>
    <t>プライモーディアル</t>
  </si>
  <si>
    <t>原初の理</t>
  </si>
  <si>
    <t>魔力+20 隠密+20 索敵+20</t>
  </si>
  <si>
    <t>ネイチャーズファング</t>
  </si>
  <si>
    <t>------------バード系 ------------</t>
  </si>
  <si>
    <t>シンガー</t>
  </si>
  <si>
    <t>英雄の歌</t>
  </si>
  <si>
    <t>効果時間:4t 攻撃+15 精神耐性+15 範囲:味方全体</t>
  </si>
  <si>
    <t>破調</t>
  </si>
  <si>
    <t>攻撃手段:魔法 怯み+35 射程:10 範囲:周囲 判定:精神</t>
  </si>
  <si>
    <t>歌唱技術</t>
  </si>
  <si>
    <t>指揮+15 交渉+15</t>
  </si>
  <si>
    <t>共鳴障壁</t>
  </si>
  <si>
    <t>効果時間:3t 物理ガード+20 魔法ガード+25 範囲:味方全体</t>
  </si>
  <si>
    <t>凱歌</t>
  </si>
  <si>
    <t>効果時間:4t 攻撃+20 防御+15 範囲:味方全体</t>
  </si>
  <si>
    <t>大喝采</t>
  </si>
  <si>
    <t>効果時間:3t 攻撃+20 防御+20 精神耐性+20 範囲:味方全体</t>
  </si>
  <si>
    <t>ブレイブシンガー</t>
  </si>
  <si>
    <t>ドミネートヴォイス</t>
  </si>
  <si>
    <t>------楽器------</t>
  </si>
  <si>
    <t>ミュージシャン</t>
  </si>
  <si>
    <t>マエストロ</t>
  </si>
  <si>
    <t>------舞踊------</t>
  </si>
  <si>
    <t>ダンサー</t>
  </si>
  <si>
    <t>ダンスマスター</t>
  </si>
  <si>
    <t>アークバード</t>
  </si>
  <si>
    <t>ガスト</t>
  </si>
  <si>
    <t>腐臭</t>
  </si>
  <si>
    <t>壊死爪</t>
  </si>
  <si>
    <t>攻撃手段:爪 切断+25 毒+20 判定:攻撃</t>
  </si>
  <si>
    <t>死肉再生</t>
  </si>
  <si>
    <t>対象:死体 回復+60 射程:0</t>
  </si>
  <si>
    <t>飢餓感知</t>
  </si>
  <si>
    <t>索敵+35 命中+15</t>
  </si>
  <si>
    <t>四足猛襲</t>
  </si>
  <si>
    <t>速度+20 早業+25</t>
  </si>
  <si>
    <t>腐乱の狂宴</t>
  </si>
  <si>
    <t>攻撃+25 速度+25 効果時間:2t 判定:精神</t>
  </si>
  <si>
    <t>魂回収（共通）</t>
  </si>
  <si>
    <t>魂回収</t>
  </si>
  <si>
    <t>攻撃手段:魔法 判定:精神 射程:10 効果:魂回収</t>
  </si>
  <si>
    <t>名前</t>
  </si>
  <si>
    <t>種類</t>
  </si>
  <si>
    <t>合計</t>
  </si>
  <si>
    <t>Tire</t>
  </si>
  <si>
    <t>HP</t>
  </si>
  <si>
    <t>MP</t>
  </si>
  <si>
    <t>ST</t>
  </si>
  <si>
    <t>攻撃</t>
  </si>
  <si>
    <t>魔力</t>
  </si>
  <si>
    <t>速度</t>
  </si>
  <si>
    <t>命中</t>
  </si>
  <si>
    <t>SIZ</t>
  </si>
  <si>
    <t>APP</t>
  </si>
  <si>
    <t>物理耐性</t>
  </si>
  <si>
    <t>魔法耐性</t>
  </si>
  <si>
    <t>射撃耐性</t>
  </si>
  <si>
    <t>切断耐性</t>
  </si>
  <si>
    <t>貫通耐性</t>
  </si>
  <si>
    <t>打撃耐性</t>
  </si>
  <si>
    <t>炎耐性</t>
  </si>
  <si>
    <t>氷耐性</t>
  </si>
  <si>
    <t>雷耐性</t>
  </si>
  <si>
    <t>毒耐性</t>
  </si>
  <si>
    <t>光耐性</t>
  </si>
  <si>
    <t>闇耐性</t>
  </si>
  <si>
    <t>精神耐性</t>
  </si>
  <si>
    <t>怯み耐性</t>
  </si>
  <si>
    <t>出血耐性</t>
  </si>
  <si>
    <t>拘束耐性</t>
  </si>
  <si>
    <t>幻覚耐性</t>
  </si>
  <si>
    <t>Cr率耐性</t>
  </si>
  <si>
    <t>Cr威力耐性</t>
  </si>
  <si>
    <t>指揮</t>
  </si>
  <si>
    <t>看破</t>
  </si>
  <si>
    <t>早業</t>
  </si>
  <si>
    <t>技術</t>
  </si>
  <si>
    <t>変装</t>
  </si>
  <si>
    <t>索敵</t>
  </si>
  <si>
    <t>農業</t>
  </si>
  <si>
    <t>林業</t>
  </si>
  <si>
    <t>漁業</t>
  </si>
  <si>
    <t>工業</t>
  </si>
  <si>
    <t>統治</t>
  </si>
  <si>
    <t>交渉</t>
  </si>
  <si>
    <t>装甲</t>
  </si>
  <si>
    <t>Skill1</t>
  </si>
  <si>
    <t>Skill2</t>
  </si>
  <si>
    <t>Skill3</t>
  </si>
  <si>
    <t>Skill4</t>
  </si>
  <si>
    <t>Skill5</t>
  </si>
  <si>
    <t>Skill6</t>
  </si>
  <si>
    <t>Skill7</t>
  </si>
  <si>
    <t>Skill8</t>
  </si>
  <si>
    <t>Skill9</t>
  </si>
  <si>
    <t>Skill10</t>
  </si>
  <si>
    <t>合計Lv</t>
  </si>
  <si>
    <t>条件クラス</t>
  </si>
  <si>
    <t>条件スキル</t>
  </si>
  <si>
    <t>条件施設</t>
  </si>
  <si>
    <t>詳細</t>
  </si>
  <si>
    <t>増加条件</t>
  </si>
  <si>
    <t>コスト</t>
  </si>
  <si>
    <t>穀物</t>
  </si>
  <si>
    <t>野菜</t>
  </si>
  <si>
    <t>肉</t>
  </si>
  <si>
    <t>魚</t>
  </si>
  <si>
    <t>魂</t>
  </si>
  <si>
    <t>死体</t>
  </si>
  <si>
    <t>脚数</t>
  </si>
  <si>
    <t>環境</t>
  </si>
  <si>
    <t>装備枠</t>
  </si>
  <si>
    <t>武器1</t>
  </si>
  <si>
    <t>武器2</t>
  </si>
  <si>
    <t>頭</t>
  </si>
  <si>
    <t>体</t>
  </si>
  <si>
    <t>足</t>
  </si>
  <si>
    <t>装飾1</t>
  </si>
  <si>
    <t>装飾2</t>
  </si>
  <si>
    <t>画像ID</t>
  </si>
  <si>
    <t>適正土地</t>
  </si>
  <si>
    <t>苦手土地</t>
  </si>
  <si>
    <t>必要正魂APP</t>
  </si>
  <si>
    <t>必要負魂APP</t>
  </si>
  <si>
    <t>部隊への命令効率を高める。士気上昇量やバフ効果量が増加し、部隊スキルの性能が向上する。</t>
  </si>
  <si>
    <t>騙すを併合。敵やNPCに心理的圧力を与える。敵士気低下や怯え付与、会話時の威圧成功率が上昇する。</t>
  </si>
  <si>
    <t>知識を含む。敵能力・弱点・嘘・罠・アイテムの性質を見破る。不意打ち耐性や情報取得能力が向上する。</t>
  </si>
  <si>
    <t>軽業を併合。攻撃速度や回避率が上昇し、移動系スキルの消費が軽減される。連撃性能が向上する。</t>
  </si>
  <si>
    <t>装置操作・罠設置・修理・制作補助能力。戦闘中のトラップ性能や道具効果が向上する。</t>
  </si>
  <si>
    <t>発見されにくくなる。奇襲成功率や離脱成功率が上昇し、不意打ち時の威力が増加する。</t>
  </si>
  <si>
    <t>敵や資源を発見しやすくなる。遭遇率制御、罠発見、危険察知能力が向上する。</t>
  </si>
  <si>
    <t>穀物・家畜など農業生産効率を上昇させる。災害による収穫減少を軽減する。</t>
  </si>
  <si>
    <t>木材資源の取得量と森林管理効率を上昇させる。森林枯渇速度を軽減する。</t>
  </si>
  <si>
    <t>水域資源の取得量を上昇させる。食料安定度に補正を与える。</t>
  </si>
  <si>
    <t>加工・生産効率を上昇させる。装備や施設の生産速度が向上する。</t>
  </si>
  <si>
    <t>都市安定度や治安を向上させる。反乱発生率を低下させ、維持費効率を改善する。</t>
  </si>
  <si>
    <t>交易価格や外交成功率を上昇させる。条約締結や取引条件が有利になる。</t>
  </si>
  <si>
    <t>魔法スキルの威力や成功率を向上させる。魔法系制作や研究効率に補正を与える。</t>
  </si>
  <si>
    <t>宗教効果や祝福系能力を強化する。士気回復や精神耐性補正が向上する。</t>
  </si>
  <si>
    <t>種族</t>
  </si>
  <si>
    <t>人族</t>
  </si>
  <si>
    <t>食事</t>
  </si>
  <si>
    <t>只人</t>
  </si>
  <si>
    <t>["平地","河川"]</t>
  </si>
  <si>
    <t>森人</t>
  </si>
  <si>
    <t>["森"]</t>
  </si>
  <si>
    <t>["荒野","砂漠","火山"]</t>
  </si>
  <si>
    <t>土人</t>
  </si>
  <si>
    <t>["丘陵","山岳","洞窟"]</t>
  </si>
  <si>
    <t>["沼地","湿地"]</t>
  </si>
  <si>
    <t>亜人</t>
  </si>
  <si>
    <t>獣人</t>
  </si>
  <si>
    <t>["森","荒野"]</t>
  </si>
  <si>
    <t>竜人</t>
  </si>
  <si>
    <t>["山岳","火山"]</t>
  </si>
  <si>
    <t>["雪原"]</t>
  </si>
  <si>
    <t>大鬼</t>
  </si>
  <si>
    <t>["荒野","丘陵"]</t>
  </si>
  <si>
    <t>巨人</t>
  </si>
  <si>
    <t>["山岳","雪原"]</t>
  </si>
  <si>
    <t>["洞窟","沼地"]</t>
  </si>
  <si>
    <t>鬼妖</t>
  </si>
  <si>
    <t>["洞窟","荒野"]</t>
  </si>
  <si>
    <t>["森","湿地"]</t>
  </si>
  <si>
    <t>["砂漠","火山","溶岩"]</t>
  </si>
  <si>
    <t>-=========== 悪魔 ===========-</t>
  </si>
  <si>
    <t>魔族</t>
  </si>
  <si>
    <t>悪魔</t>
  </si>
  <si>
    <t>["火山","荒野"]</t>
  </si>
  <si>
    <t>アークデヴィル</t>
  </si>
  <si>
    <t>デヴィル_10</t>
  </si>
  <si>
    <t>アーチデヴィル</t>
  </si>
  <si>
    <t>アークデヴィル_10</t>
  </si>
  <si>
    <t>ヘルザーデヴィル</t>
  </si>
  <si>
    <t>アーチデヴィル_10</t>
  </si>
  <si>
    <t>デヴィル派生。性能は基礎デヴィル値を暫定継承。専用スキル・詳細階層は未調整。</t>
  </si>
  <si>
    <t>フレイムデヴィル</t>
  </si>
  <si>
    <t>ヘルフレイムデヴィル</t>
  </si>
  <si>
    <t>ヘルフロストデヴィル</t>
  </si>
  <si>
    <t>ブラッドデヴィル</t>
  </si>
  <si>
    <t>武装生成</t>
  </si>
  <si>
    <t>デヴィル専用系統。性能は基礎デヴィル値を暫定継承。専用スキル・正式な階層は未調整。</t>
  </si>
  <si>
    <t>変身</t>
  </si>
  <si>
    <t>空間操作</t>
  </si>
  <si>
    <t>-=========== 天使 ===========-</t>
  </si>
  <si>
    <t>天使</t>
  </si>
  <si>
    <t>["死の霧"]</t>
  </si>
  <si>
    <t>アークエンジェル</t>
  </si>
  <si>
    <t>アーチエンジェル</t>
  </si>
  <si>
    <t>ヘヴンエンジェル</t>
  </si>
  <si>
    <t>エンジェルズ</t>
  </si>
  <si>
    <t>エンジェル_10</t>
  </si>
  <si>
    <t>天使階級。性能は基礎エンジェル値を暫定継承。バード系の支援役。専用スキルは未調整。</t>
  </si>
  <si>
    <t>アークエンジェルズ</t>
  </si>
  <si>
    <t>エンジェルズ_10</t>
  </si>
  <si>
    <t>天使階級。性能は基礎エンジェル値を暫定継承。ナイト系の前衛役。専用スキルは未調整。</t>
  </si>
  <si>
    <t>プリンシパリティ</t>
  </si>
  <si>
    <t>アークエンジェルズ_10</t>
  </si>
  <si>
    <t>天使階級。性能は基礎エンジェル値を暫定継承。コマンダー系の指揮役。専用スキルは未調整。</t>
  </si>
  <si>
    <t>パワード</t>
  </si>
  <si>
    <t>プリンシパリティ_10</t>
  </si>
  <si>
    <t>天使階級。性能は基礎エンジェル値を暫定継承。パラディン系の聖戦士役。専用スキルは未調整。</t>
  </si>
  <si>
    <t>デュナミス</t>
  </si>
  <si>
    <t>パワード_10</t>
  </si>
  <si>
    <t>天使階級。性能は基礎エンジェル値を暫定継承。モンク系の近接役。専用スキルは未調整。</t>
  </si>
  <si>
    <t>-=========== アンデッド ===========-</t>
  </si>
  <si>
    <t>吸血鬼</t>
  </si>
  <si>
    <t>["丘陵","森"]</t>
  </si>
  <si>
    <t>["砂漠","平地"]</t>
  </si>
  <si>
    <t>アンデッド基礎種。ゾンビ系の起点。</t>
  </si>
  <si>
    <t>動死体</t>
  </si>
  <si>
    <t>アンデッド基礎種。スケルトン系の起点。</t>
  </si>
  <si>
    <t>骸骨</t>
  </si>
  <si>
    <t>アンデッド基礎種。霊体系の起点。</t>
  </si>
  <si>
    <t>×</t>
  </si>
  <si>
    <t>幽霊</t>
  </si>
  <si>
    <t>ゾンビ_10</t>
  </si>
  <si>
    <t>ゾンビから派生する上位種。</t>
  </si>
  <si>
    <t>グール_10</t>
  </si>
  <si>
    <t>グールから派生する上位種。腐臭と俊敏な捕食能力を強化したアンデッド。</t>
  </si>
  <si>
    <t>スケルトン_10</t>
  </si>
  <si>
    <t>スケルトンから派生する上位種。</t>
  </si>
  <si>
    <t>ドゥームゾンビ</t>
  </si>
  <si>
    <t>レヴナント_10</t>
  </si>
  <si>
    <t>ゴースト_10</t>
  </si>
  <si>
    <t>ゴーストから派生する上位霊体。</t>
  </si>
  <si>
    <t>ギャザード・グラッジ</t>
  </si>
  <si>
    <t>レイス_10</t>
  </si>
  <si>
    <t>レイスから派生する上位霊体。</t>
  </si>
  <si>
    <t>ゾンビから派生する武装アンデッド上位種。</t>
  </si>
  <si>
    <t>デュラハン_10</t>
  </si>
  <si>
    <t>デュラハンから派生する上位種。</t>
  </si>
  <si>
    <t>精霊</t>
  </si>
  <si>
    <t>アークフレイムエレメンタル</t>
  </si>
  <si>
    <t>フレイムエレメンタル_10</t>
  </si>
  <si>
    <t>フレイムエレメンタルの上位種。性能は下位種値を暫定継承。専用スキル未設定。</t>
  </si>
  <si>
    <t>グレーターフレイムエレメンタル</t>
  </si>
  <si>
    <t>アークフレイムエレメンタル_10</t>
  </si>
  <si>
    <t>アークフレイムエレメンタルの上位種。性能は下位種値を暫定継承。専用スキル未設定。</t>
  </si>
  <si>
    <t>エルダーフレイムエレメンタル</t>
  </si>
  <si>
    <t>グレーターフレイムエレメンタル_10</t>
  </si>
  <si>
    <t>グレーターフレイムエレメンタルの上位種。性能は下位種値を暫定継承。専用スキル未設定。</t>
  </si>
  <si>
    <t>アークフロストエレメンタル</t>
  </si>
  <si>
    <t>フロストエレメンタル_10</t>
  </si>
  <si>
    <t>フロストエレメンタルの上位種。性能は下位種値を暫定継承。専用スキル未設定。</t>
  </si>
  <si>
    <t>グレーターフロストエレメンタル</t>
  </si>
  <si>
    <t>アークフロストエレメンタル_10</t>
  </si>
  <si>
    <t>アークフロストエレメンタルの上位種。性能は下位種値を暫定継承。専用スキル未設定。</t>
  </si>
  <si>
    <t>エルダーフロストエレメンタル</t>
  </si>
  <si>
    <t>グレーターフロストエレメンタル_10</t>
  </si>
  <si>
    <t>グレーターフロストエレメンタルの上位種。性能は下位種値を暫定継承。専用スキル未設定。</t>
  </si>
  <si>
    <t>アークウォーターエレメンタル</t>
  </si>
  <si>
    <t>ウォーターエレメンタル_10</t>
  </si>
  <si>
    <t>ウォーターエレメンタルの上位種。性能は下位種値を暫定継承。専用スキル未設定。</t>
  </si>
  <si>
    <t>グレーターウォーターエレメンタル</t>
  </si>
  <si>
    <t>アークウォーターエレメンタル_10</t>
  </si>
  <si>
    <t>アークウォーターエレメンタルの上位種。性能は下位種値を暫定継承。専用スキル未設定。</t>
  </si>
  <si>
    <t>エルダーウォーターエレメンタル</t>
  </si>
  <si>
    <t>グレーターウォーターエレメンタル_10</t>
  </si>
  <si>
    <t>グレーターウォーターエレメンタルの上位種。性能は下位種値を暫定継承。専用スキル未設定。</t>
  </si>
  <si>
    <t>アークエアエレメンタル</t>
  </si>
  <si>
    <t>エアエレメンタル_10</t>
  </si>
  <si>
    <t>エアエレメンタルの上位種。性能は下位種値を暫定継承。専用スキル未設定。</t>
  </si>
  <si>
    <t>グレーターエアエレメンタル</t>
  </si>
  <si>
    <t>アークエアエレメンタル_10</t>
  </si>
  <si>
    <t>アークエアエレメンタルの上位種。性能は下位種値を暫定継承。専用スキル未設定。</t>
  </si>
  <si>
    <t>エルダーエアエレメンタル</t>
  </si>
  <si>
    <t>グレーターエアエレメンタル_10</t>
  </si>
  <si>
    <t>グレーターエアエレメンタルの上位種。性能は下位種値を暫定継承。専用スキル未設定。</t>
  </si>
  <si>
    <t>アークアースエレメンタル</t>
  </si>
  <si>
    <t>アースエレメンタル_10</t>
  </si>
  <si>
    <t>アースエレメンタルの上位種。性能は下位種値を暫定継承。専用スキル未設定。</t>
  </si>
  <si>
    <t>グレーターアースエレメンタル</t>
  </si>
  <si>
    <t>アークアースエレメンタル_10</t>
  </si>
  <si>
    <t>アークアースエレメンタルの上位種。性能は下位種値を暫定継承。専用スキル未設定。</t>
  </si>
  <si>
    <t>エルダーアースエレメンタル</t>
  </si>
  <si>
    <t>グレーターアースエレメンタル_10</t>
  </si>
  <si>
    <t>グレーターアースエレメンタルの上位種。性能は下位種値を暫定継承。専用スキル未設定。</t>
  </si>
  <si>
    <t>-=========== 基礎クラス ===========-</t>
  </si>
  <si>
    <t>戦士系</t>
  </si>
  <si>
    <t>長剣</t>
  </si>
  <si>
    <t>鎧</t>
  </si>
  <si>
    <t>靴</t>
  </si>
  <si>
    <t>騎士</t>
  </si>
  <si>
    <t>剣</t>
  </si>
  <si>
    <t>軽盾</t>
  </si>
  <si>
    <t>軽戦士</t>
  </si>
  <si>
    <t>槍</t>
  </si>
  <si>
    <t>帽子</t>
  </si>
  <si>
    <t>服</t>
  </si>
  <si>
    <t>格闘系</t>
  </si>
  <si>
    <t>盗賊</t>
  </si>
  <si>
    <t>狩人系</t>
  </si>
  <si>
    <t>短剣</t>
  </si>
  <si>
    <t>狩人</t>
  </si>
  <si>
    <t>弓</t>
  </si>
  <si>
    <t>魔導士</t>
  </si>
  <si>
    <t>魔法系</t>
  </si>
  <si>
    <t>杖</t>
  </si>
  <si>
    <t>法衣</t>
  </si>
  <si>
    <t>錬金術師</t>
  </si>
  <si>
    <t>神官</t>
  </si>
  <si>
    <t>信仰系</t>
  </si>
  <si>
    <t>棍棒</t>
  </si>
  <si>
    <t>聖騎士</t>
  </si>
  <si>
    <t>森司祭</t>
  </si>
  <si>
    <t>ドルイド系</t>
  </si>
  <si>
    <t>バード系</t>
  </si>
  <si>
    <t>冠</t>
  </si>
  <si>
    <t>-=========== 戦士系上位 ===========-</t>
  </si>
  <si>
    <t>ファイター_10</t>
  </si>
  <si>
    <t>ウォーリアー_10</t>
  </si>
  <si>
    <t>ブレイカー_10</t>
  </si>
  <si>
    <t>ナイト_10</t>
  </si>
  <si>
    <t>ガーディアン_10</t>
  </si>
  <si>
    <t>フェンサー_10</t>
  </si>
  <si>
    <t>スカーミッシャー_10</t>
  </si>
  <si>
    <t>-=========== 武器専門系 ===========-</t>
  </si>
  <si>
    <t>戦士系_10</t>
  </si>
  <si>
    <t>共有武器派生。戦士系Lv10で取得候補</t>
  </si>
  <si>
    <t>ソードマスター_10</t>
  </si>
  <si>
    <t>ソードレジェンド_10</t>
  </si>
  <si>
    <t>スピアマスター_10</t>
  </si>
  <si>
    <t>スピアレジェンド_10</t>
  </si>
  <si>
    <t>-=========== 属性ブレード系 ===========-</t>
  </si>
  <si>
    <t>ファイター_10/ウィザード_10</t>
  </si>
  <si>
    <t>-=========== 斥候・狩人系 ===========-</t>
  </si>
  <si>
    <t>諜報部</t>
  </si>
  <si>
    <t>シーフ_10</t>
  </si>
  <si>
    <t>アサシン_10</t>
  </si>
  <si>
    <t>レンジャー_10</t>
  </si>
  <si>
    <t>ハンター_10</t>
  </si>
  <si>
    <t>レンジャー_10/シーフ_10</t>
  </si>
  <si>
    <t>スカウター_10</t>
  </si>
  <si>
    <t>ストーカー_10</t>
  </si>
  <si>
    <t>-=========== モンク・格闘系 ===========-</t>
  </si>
  <si>
    <t>モンク_10</t>
  </si>
  <si>
    <t>マーシャルアーツ_10</t>
  </si>
  <si>
    <t>マーシャルアーツマスター_10</t>
  </si>
  <si>
    <t>モンク_10/シーフ_10</t>
  </si>
  <si>
    <t>ニンジャ_5</t>
  </si>
  <si>
    <t>モンク_10/ウィザード_10</t>
  </si>
  <si>
    <t>-=========== 魔術系 ===========-</t>
  </si>
  <si>
    <t>ウィザード_10/ドルイド_10</t>
  </si>
  <si>
    <t>ウィザード_10</t>
  </si>
  <si>
    <t>キャストマスター_10</t>
  </si>
  <si>
    <t>ディストラクター_10</t>
  </si>
  <si>
    <t>-=========== 信仰系 ===========-</t>
  </si>
  <si>
    <t>クレリック_10</t>
  </si>
  <si>
    <t>ハイクレリック_10</t>
  </si>
  <si>
    <t>エクソシスト_10</t>
  </si>
  <si>
    <t>インクイジター_10</t>
  </si>
  <si>
    <t>パラディン_10</t>
  </si>
  <si>
    <t>ホーリーブレイド_10</t>
  </si>
  <si>
    <t>ホーリーナイト_10</t>
  </si>
  <si>
    <t>ハイエロファントへの代表的な下位ルート</t>
  </si>
  <si>
    <t>信仰系高Lvで取得。具体的な必要Lv/OR条件は未確定</t>
  </si>
  <si>
    <t>-=========== ドルイド系 ===========-</t>
  </si>
  <si>
    <t>ドルイド_10</t>
  </si>
  <si>
    <t>アースドルイド_10</t>
  </si>
  <si>
    <t>フォレストドルイド_10</t>
  </si>
  <si>
    <t>アクアドルイド_10</t>
  </si>
  <si>
    <t>デザートドルイド_10</t>
  </si>
  <si>
    <t>フロストドルイド_10</t>
  </si>
  <si>
    <t>ヴォルカニックドルイド_10</t>
  </si>
  <si>
    <t>各メイカーLv10のいずれかで取得。OR条件の具体表現は未確定。広域環境改変を担うドルイド系Tier4。</t>
  </si>
  <si>
    <t>ドルイド_10/アサシン_10</t>
  </si>
  <si>
    <t>-=========== バード系 ===========-</t>
  </si>
  <si>
    <t>バード_10</t>
  </si>
  <si>
    <t>シンガー_10</t>
  </si>
  <si>
    <t>ミュージシャン_10</t>
  </si>
  <si>
    <t>ダンサー_10</t>
  </si>
  <si>
    <t>歌・楽器・踊り系の共通上位。OR条件の具体表現は未確定</t>
  </si>
  <si>
    <t>-=========== アーチャー系 ===========-</t>
  </si>
  <si>
    <t>アーチャー_10</t>
  </si>
  <si>
    <t>名称は前整理を踏襲</t>
  </si>
  <si>
    <t>マークスマン_10</t>
  </si>
  <si>
    <t>アーチャー_10/ウィザード_10</t>
  </si>
  <si>
    <t>属性系は採用済み。名称は仮置き</t>
  </si>
  <si>
    <t>-=========== 動物 ===========-</t>
  </si>
  <si>
    <t>動物</t>
  </si>
  <si>
    <t>-=========== 蟲 ===========-</t>
  </si>
  <si>
    <t>蟲</t>
  </si>
  <si>
    <t>-=========== 蟲進化系クラス ===========-</t>
  </si>
  <si>
    <t>牙を強化する蟲進化系クラス。強化値は未設定。</t>
  </si>
  <si>
    <t>爪を強化する蟲進化系クラス。強化値は未設定。</t>
  </si>
  <si>
    <t>角を強化する蟲進化系クラス。強化値は未設定。</t>
  </si>
  <si>
    <t>装甲を強化する蟲進化系クラス。強化値は未設定。</t>
  </si>
  <si>
    <t>翼を強化する蟲進化系クラス。強化値は未設定。</t>
  </si>
  <si>
    <t>尾を強化する蟲進化系クラス。強化値は未設定。</t>
  </si>
  <si>
    <t>-=========== 動物系クラス ===========-</t>
  </si>
  <si>
    <t>-=========== 上位動物系クラス ===========-</t>
  </si>
  <si>
    <t>-=========== スライム系 ===========-</t>
  </si>
  <si>
    <t>-=========== ゴーレム系 ===========-</t>
  </si>
  <si>
    <t>動物_5</t>
  </si>
  <si>
    <t>-=========== 魔獣系 ===========-</t>
  </si>
  <si>
    <t>飛竜</t>
  </si>
  <si>
    <t>竜</t>
  </si>
  <si>
    <t>地竜</t>
  </si>
  <si>
    <t>能力クラス</t>
  </si>
  <si>
    <t>使用可</t>
  </si>
  <si>
    <t>旧名称</t>
  </si>
  <si>
    <t>画像</t>
  </si>
  <si>
    <t>概要</t>
  </si>
  <si>
    <t>特徴</t>
  </si>
  <si>
    <t>マーカー文字</t>
  </si>
  <si>
    <t>マーカー色</t>
  </si>
  <si>
    <t>初期人数</t>
  </si>
  <si>
    <t>高さ</t>
  </si>
  <si>
    <t>ヒーロー</t>
  </si>
  <si>
    <t>軍隊</t>
  </si>
  <si>
    <t>土地</t>
  </si>
  <si>
    <t>設定メモ</t>
  </si>
  <si>
    <t>推奨クラス</t>
  </si>
  <si>
    <t>推奨都市特化</t>
  </si>
  <si>
    <t>["人間","ヒューマン"]</t>
  </si>
  <si>
    <t>/assets/images/role/人間.webp</t>
  </si>
  <si>
    <t>都市運営と前線維持の両面が安定した標準種族。</t>
  </si>
  <si>
    <t>制度適応が高く、どの国家体制でも扱いやすい。初期拡張や内政立ち上げを堅実に進められる。</t>
  </si>
  <si>
    <t>["統治適応","兵站安定","万能型"]</t>
  </si>
  <si>
    <t>只</t>
  </si>
  <si>
    <t>#3e5d84</t>
  </si>
  <si>
    <t>交易都市/農業都市/学術都市</t>
  </si>
  <si>
    <t>["森人"]</t>
  </si>
  <si>
    <t>/assets/images/role/森人.webp</t>
  </si>
  <si>
    <t>魔法・索敵に秀でた長命種。</t>
  </si>
  <si>
    <t>森地形と相性が良く、精密運用で真価を発揮する。防衛よりも戦術優位を取り続ける構成向き。</t>
  </si>
  <si>
    <t>["魔術適性","索敵強化","森林親和"]</t>
  </si>
  <si>
    <t>#4a7d3c</t>
  </si>
  <si>
    <t>ウィザード/アーチャー/スカウト/ドルイド</t>
  </si>
  <si>
    <t>魔法都市/学術都市/神秘都市</t>
  </si>
  <si>
    <t>["土人"]</t>
  </si>
  <si>
    <t>土</t>
  </si>
  <si>
    <t>#7a5f3a</t>
  </si>
  <si>
    <t>洞窟,丘,山</t>
  </si>
  <si>
    <t>表示情報（画像・概要・詳細・特徴）が未設定</t>
  </si>
  <si>
    <t>ファイター/ナイト/ドルイド</t>
  </si>
  <si>
    <t>["ビーストマン"]</t>
  </si>
  <si>
    <t>獣</t>
  </si>
  <si>
    <t>#8a6d2e</t>
  </si>
  <si>
    <t>モンク/レンジャー/フェンサー</t>
  </si>
  <si>
    <t>["ドラゴニュート"]</t>
  </si>
  <si>
    <t>/assets/images/role/竜人.webp</t>
  </si>
  <si>
    <t>範囲攻撃と高い制圧力を持つ高位戦闘種。</t>
  </si>
  <si>
    <t>攻守の基礎値が高く、軍事ルートとの相性が良い。主戦力として扱いやすく、対多数でも崩れにくい。</t>
  </si>
  <si>
    <t>["範囲制圧","高火力","高耐性"]</t>
  </si>
  <si>
    <t>#39687f</t>
  </si>
  <si>
    <t>丘,山,平地,沼</t>
  </si>
  <si>
    <t>ファイター/ウォーリアー/ガーディアン</t>
  </si>
  <si>
    <t>軍事都市/城塞都市</t>
  </si>
  <si>
    <t>["大鬼"]</t>
  </si>
  <si>
    <t>/assets/images/illust/オーガ.webp</t>
  </si>
  <si>
    <t>高耐久と打撃力で前線を押し込む巨躯種。</t>
  </si>
  <si>
    <t>初動から強く、接敵後の制圧戦に強い。継戦コストは重いが、局地戦の突破力は全種族でも上位。</t>
  </si>
  <si>
    <t>["高耐久","前線圧力","近接制圧"]</t>
  </si>
  <si>
    <t>鬼</t>
  </si>
  <si>
    <t>#7f3f2e</t>
  </si>
  <si>
    <t>丘,平地,森,山</t>
  </si>
  <si>
    <t>["ジャイアント"]</t>
  </si>
  <si>
    <t>巨</t>
  </si>
  <si>
    <t>#6b5c4b</t>
  </si>
  <si>
    <t>丘,平地,山</t>
  </si>
  <si>
    <t>["鬼妖"]</t>
  </si>
  <si>
    <t>/assets/images/illust/ゴブリン.webp</t>
  </si>
  <si>
    <t>機動と数で優位を作る群体運用向け種族。</t>
  </si>
  <si>
    <t>単体性能は低いが展開速度が高く、補給線妨害や攪乱が得意。長期戦では構成次第で化ける。</t>
  </si>
  <si>
    <t>["展開速度","攪乱","低コスト運用"]</t>
  </si>
  <si>
    <t>妖</t>
  </si>
  <si>
    <t>#5f7c3a</t>
  </si>
  <si>
    <t>丘,森</t>
  </si>
  <si>
    <t>スカウト/アーチャー/ファイター</t>
  </si>
  <si>
    <t>軍事都市/交易都市</t>
  </si>
  <si>
    <t>["デヴィル"]</t>
  </si>
  <si>
    <t>/assets/images/role/悪魔.webp</t>
  </si>
  <si>
    <t>吸収・圧殺に寄った攻勢特化種族。</t>
  </si>
  <si>
    <t>短期決戦の爆発力が高い。治安や内政の管理負荷は上がるが、戦闘リターンは非常に大きい。</t>
  </si>
  <si>
    <t>["吸収戦闘","攻勢特化","高リスク高リターン"]</t>
  </si>
  <si>
    <t>魔</t>
  </si>
  <si>
    <t>#6a2f4f</t>
  </si>
  <si>
    <t>山,森,湖</t>
  </si>
  <si>
    <t>ウィザード/ファイター/スカウト</t>
  </si>
  <si>
    <t>魔法都市/軍事都市/神秘都市</t>
  </si>
  <si>
    <t>["エンジェル"]</t>
  </si>
  <si>
    <t>/assets/images/role/天使.webp</t>
  </si>
  <si>
    <t>支援と維持戦に優れた加護系種族。</t>
  </si>
  <si>
    <t>部隊全体の安定性を上げる効果が多く、長期戦で有利。信仰系スキルや統治との噛み合わせが良い。</t>
  </si>
  <si>
    <t>["全体支援","持久戦","信仰適性"]</t>
  </si>
  <si>
    <t>天</t>
  </si>
  <si>
    <t>#5c6fa2</t>
  </si>
  <si>
    <t>火山,山,丘,洞窟</t>
  </si>
  <si>
    <t>クレリック/ナイト/パラディン</t>
  </si>
  <si>
    <t>信仰都市/城塞都市</t>
  </si>
  <si>
    <t>["吸血鬼"]</t>
  </si>
  <si>
    <t>/assets/images/role/吸血鬼.webp</t>
  </si>
  <si>
    <t>継戦吸収型の技巧種族。</t>
  </si>
  <si>
    <t>削り合いに強く、戦線維持能力が高い。瞬間火力よりも、戦闘テンポの主導権を握る運用向き。</t>
  </si>
  <si>
    <t>["自己回復","持久戦","夜戦適性"]</t>
  </si>
  <si>
    <t>吸</t>
  </si>
  <si>
    <t>#662f4a</t>
  </si>
  <si>
    <t>洞窟,森,渓谷</t>
  </si>
  <si>
    <t>高さ未設定</t>
  </si>
  <si>
    <t>ウィザード/スカウト/レンジャー</t>
  </si>
  <si>
    <t>軍事都市/城塞都市/死者の都</t>
  </si>
  <si>
    <t>追加効果</t>
  </si>
  <si>
    <t>説明</t>
  </si>
  <si>
    <t>技能名</t>
  </si>
  <si>
    <t>範囲タイプ</t>
  </si>
  <si>
    <t>処理タイプ</t>
  </si>
  <si>
    <t>連鎖</t>
  </si>
  <si>
    <t>対象から近くの別対象へ順に連鎖して効果が及ぶ</t>
  </si>
  <si>
    <t>単体</t>
  </si>
  <si>
    <t>指定した1体のみを対象にする</t>
  </si>
  <si>
    <t>single</t>
  </si>
  <si>
    <t>能力値回復</t>
  </si>
  <si>
    <t>対象の能力値（攻撃・防御・魔力・精神・速度・命中など）を回復する</t>
  </si>
  <si>
    <t>直線</t>
  </si>
  <si>
    <t>指定方向へ一直線上の対象を貫通して攻撃する</t>
  </si>
  <si>
    <t>line</t>
  </si>
  <si>
    <t>AP回復</t>
  </si>
  <si>
    <t>対象のAPを回復する</t>
  </si>
  <si>
    <t>扇</t>
  </si>
  <si>
    <t>自分前方に扇形範囲で攻撃する</t>
  </si>
  <si>
    <t>fan</t>
  </si>
  <si>
    <t>AP増加</t>
  </si>
  <si>
    <t>対象の最大APまたは現在AP上限を一時的に増加させる</t>
  </si>
  <si>
    <t>円</t>
  </si>
  <si>
    <t>指定地点を中心とした円形範囲を攻撃する</t>
  </si>
  <si>
    <t>circle</t>
  </si>
  <si>
    <t>APダメージ</t>
  </si>
  <si>
    <t>対象のAPを減少させる</t>
  </si>
  <si>
    <t>周囲</t>
  </si>
  <si>
    <t>自分を中心とした円形範囲を攻撃する。間に対象がいると後ろには当たらない</t>
  </si>
  <si>
    <t>around</t>
  </si>
  <si>
    <t>HPダメージ</t>
  </si>
  <si>
    <t>対象のHPにダメージを与える</t>
  </si>
  <si>
    <t>前方</t>
  </si>
  <si>
    <t>自分前方の矩形（長方形）範囲を攻撃する。</t>
  </si>
  <si>
    <t>front</t>
  </si>
  <si>
    <t>攻撃ダメージ</t>
  </si>
  <si>
    <t>対象の攻撃値を一時的に減少させる</t>
  </si>
  <si>
    <t>ライン</t>
  </si>
  <si>
    <t>2か所を指定しその間を攻撃</t>
  </si>
  <si>
    <t>防御ダメージ</t>
  </si>
  <si>
    <t>対象の防御値を一時的に減少させる</t>
  </si>
  <si>
    <t>全体</t>
  </si>
  <si>
    <t>対象陣営全体に効果が及ぶ</t>
  </si>
  <si>
    <t>all</t>
  </si>
  <si>
    <t>魔力ダメージ</t>
  </si>
  <si>
    <t>対象の魔力を一時的に減少させる</t>
  </si>
  <si>
    <t>精神ダメージ</t>
  </si>
  <si>
    <t>対象の精神を一時的に減少させる</t>
  </si>
  <si>
    <t>味方</t>
  </si>
  <si>
    <t>速度ダメージ</t>
  </si>
  <si>
    <t>対象の速度を一時的に減少させる</t>
  </si>
  <si>
    <t>敵</t>
  </si>
  <si>
    <t>命中ダメージ</t>
  </si>
  <si>
    <t>対象の命中を一時的に減少させる</t>
  </si>
  <si>
    <t>全て</t>
  </si>
  <si>
    <t>技能ダメージ</t>
  </si>
  <si>
    <t>対象の技能値を一時的に減少させる</t>
  </si>
  <si>
    <t>自身以外</t>
  </si>
  <si>
    <t>炎上</t>
  </si>
  <si>
    <t>毎ターンHPダメージを受ける状態</t>
  </si>
  <si>
    <t>魔法スキルの威力や成功率を向上させる。魔法道具の作成ができるようになり、防衛力が上昇する。</t>
  </si>
  <si>
    <t>放射</t>
  </si>
  <si>
    <t>使用者の前方へ扇状に放射する</t>
  </si>
  <si>
    <t>速度とAPと防御にダメージ</t>
  </si>
  <si>
    <t>宗教効果や祝福系能力を強化する。回復速度が上昇、アンデッドの出現を抑制できる。</t>
  </si>
  <si>
    <t>散弾</t>
  </si>
  <si>
    <t>指定方向の複数マスへ散開して攻撃する</t>
  </si>
  <si>
    <t>帯電</t>
  </si>
  <si>
    <t>速度とAPと怯みにダメージ</t>
  </si>
  <si>
    <t>縦</t>
  </si>
  <si>
    <t>指定方向へ縦一列を攻撃する</t>
  </si>
  <si>
    <t>毎ターンHPダメージ＋防御にダメージ</t>
  </si>
  <si>
    <t>爆発</t>
  </si>
  <si>
    <t>指定地点を中心に円形範囲を攻撃する</t>
  </si>
  <si>
    <t>気絶</t>
  </si>
  <si>
    <t>一定時間行動不能になる状態</t>
  </si>
  <si>
    <t>炸裂</t>
  </si>
  <si>
    <t>指定地点を中心に炸裂し周囲へ効果を与える</t>
  </si>
  <si>
    <t>遮断</t>
  </si>
  <si>
    <t>自身の後ろに攻撃が届かなくなる</t>
  </si>
  <si>
    <t>奥1</t>
  </si>
  <si>
    <t>着弾点と、使用者から見て着弾点のさらに奥1マスを対象にする（計2マス）</t>
  </si>
  <si>
    <t>攻撃・命中・士気などが低下する状態</t>
  </si>
  <si>
    <t>奥2</t>
  </si>
  <si>
    <t>着弾点と、その奥へ一直線に2マスを対象にする（計3マス）</t>
  </si>
  <si>
    <t>混乱</t>
  </si>
  <si>
    <t>行動が指定したスキル、近くに攻撃、自分に攻撃、このターンAPがなくなるのどれかになる。</t>
  </si>
  <si>
    <t>後方2</t>
  </si>
  <si>
    <t>着弾点と、使用者から見て着弾点の奥側に隣接する左右2マスを対象にする（計3マス）</t>
  </si>
  <si>
    <t>魅了</t>
  </si>
  <si>
    <t>一時的に敵対行動ができなくなる、または味方扱いになる状態</t>
  </si>
  <si>
    <t>横2</t>
  </si>
  <si>
    <t>着弾点と、進行方向に対して左右の隣接2マスを対象にする（計3マス）</t>
  </si>
  <si>
    <t>与えた出血ダメージ分をHPとして回復する</t>
  </si>
  <si>
    <t>小扇</t>
  </si>
  <si>
    <t>着弾点を先端として奥側へ広がる小型の扇形範囲。着弾点を含む4マスを基本とする</t>
  </si>
  <si>
    <t>吸収</t>
  </si>
  <si>
    <t>与えたダメージや効果の一部を自分の能力値に変換する</t>
  </si>
  <si>
    <t>半径1</t>
  </si>
  <si>
    <t>着弾点を中心に隣接6マスを含む範囲（計7マス）</t>
  </si>
  <si>
    <t>反射</t>
  </si>
  <si>
    <t>受けたダメージの一部を攻撃者へ返す</t>
  </si>
  <si>
    <t>障壁</t>
  </si>
  <si>
    <t>追加HPを得て、なくなるまで追加効果を受けなくなる</t>
  </si>
  <si>
    <t>時間停止</t>
  </si>
  <si>
    <t>一定時間対象の行動や時間経過を停止させる</t>
  </si>
  <si>
    <t>対象を後方へ移動させる</t>
  </si>
  <si>
    <t>引き寄せ</t>
  </si>
  <si>
    <t>対象を自分の方へ移動させる</t>
  </si>
  <si>
    <t>位置交換</t>
  </si>
  <si>
    <t>対象と位置を入れ替える</t>
  </si>
  <si>
    <t>転倒</t>
  </si>
  <si>
    <t>移動不可＋回避低下</t>
  </si>
  <si>
    <t>地形効果を無視する</t>
  </si>
  <si>
    <t>固定</t>
  </si>
  <si>
    <t>指定位置から移動不可</t>
  </si>
  <si>
    <t>復活</t>
  </si>
  <si>
    <t>戦闘不能から復帰</t>
  </si>
  <si>
    <t>HP0でも一定ターン生存</t>
  </si>
  <si>
    <t>封印</t>
  </si>
  <si>
    <t>特定属性無効化</t>
  </si>
  <si>
    <t>重力増加</t>
  </si>
  <si>
    <t>威力と攻撃との差に応じて速度とAPにダメージを与える。飛行ができなくなる。</t>
  </si>
  <si>
    <t>耐性無視</t>
  </si>
  <si>
    <t>耐性の割合軽減を無視できる。</t>
  </si>
  <si>
    <t>地形変化_平地</t>
  </si>
  <si>
    <t>対象マスを平地へ変更する</t>
  </si>
  <si>
    <t>地形変化_森</t>
  </si>
  <si>
    <t>対象マスを森へ変更する</t>
  </si>
  <si>
    <t>地形変化_深森</t>
  </si>
  <si>
    <t>対象マスを深い森へ変更する（回避上昇・視界低下）</t>
  </si>
  <si>
    <t>地形変化_沼地</t>
  </si>
  <si>
    <t>対象マスを沼地へ変更する（速度低下）</t>
  </si>
  <si>
    <t>地形変化_湿地</t>
  </si>
  <si>
    <t>対象マスを湿地へ変更する（雷耐性低下）</t>
  </si>
  <si>
    <t>地形変化_氷原</t>
  </si>
  <si>
    <t>対象マスを氷地形へ変更する（移動不安定）</t>
  </si>
  <si>
    <t>地形変化_雪原</t>
  </si>
  <si>
    <t>対象マスを雪地形へ変更する（速度低下）</t>
  </si>
  <si>
    <t>地形変化_火炎地</t>
  </si>
  <si>
    <t>対象マスを炎地形へ変更する（毎ターンダメージ）</t>
  </si>
  <si>
    <t>地形変化_溶岩地</t>
  </si>
  <si>
    <t>対象マスを溶岩地へ変更する（大ダメージ・通行困難）</t>
  </si>
  <si>
    <t>地形変化_岩地</t>
  </si>
  <si>
    <t>対象マスを岩地へ変更する（防御上昇）</t>
  </si>
  <si>
    <t>地形変化_山地</t>
  </si>
  <si>
    <t>対象マスを山地へ変更する（高所補正）</t>
  </si>
  <si>
    <t>地形変化_断崖</t>
  </si>
  <si>
    <t>対象マスを断崖へ変更する（通行不可）</t>
  </si>
  <si>
    <t>地形変化_荒廃地</t>
  </si>
  <si>
    <t>対象マスを荒廃地へ変更する（回復効果減少）</t>
  </si>
  <si>
    <t>地形変化_毒地</t>
  </si>
  <si>
    <t>対象マスを毒地へ変更する（毒付与）</t>
  </si>
  <si>
    <t>地形変化_呪域</t>
  </si>
  <si>
    <t>対象マスを闇強化地形へ変更する</t>
  </si>
  <si>
    <t>地形変化_聖域</t>
  </si>
  <si>
    <t>対象マスを光強化地形へ変更する</t>
  </si>
  <si>
    <t>地形変化_結界地</t>
  </si>
  <si>
    <t>対象マスを結界地へ変更する（魔法軽減）</t>
  </si>
  <si>
    <t>地形変化_砂地</t>
  </si>
  <si>
    <t>対象マスを砂地へ変更する（命中低下）</t>
  </si>
  <si>
    <t>地形変化_湖</t>
  </si>
  <si>
    <t>対象マスを水地形へ変更する（移動制限）</t>
  </si>
  <si>
    <t>地形変化_浅瀬</t>
  </si>
  <si>
    <t>対象マスを浅瀬へ変更する（速度低下）</t>
  </si>
  <si>
    <t>地形変化_都市</t>
  </si>
  <si>
    <t>対象マスを都市地形へ変更する（統治補正）</t>
  </si>
  <si>
    <t>地形変化_農地</t>
  </si>
  <si>
    <t>対象マスを農地へ変更する（資源補正）</t>
  </si>
  <si>
    <t>地形変化_廃墟</t>
  </si>
  <si>
    <t>対象マスを廃墟へ変更する（探索効果）</t>
  </si>
  <si>
    <t>壁生成</t>
  </si>
  <si>
    <t>高さ+1マスの壁を作る。耐久値は魔法の値</t>
  </si>
  <si>
    <t>地形</t>
  </si>
  <si>
    <t>モンスター危険度</t>
  </si>
  <si>
    <t>開拓難易度</t>
  </si>
  <si>
    <t>移動コスト</t>
  </si>
  <si>
    <t>移動条件</t>
  </si>
  <si>
    <t>木材</t>
  </si>
  <si>
    <t>黒木</t>
  </si>
  <si>
    <t>特木</t>
  </si>
  <si>
    <t>石材</t>
  </si>
  <si>
    <t>鉄</t>
  </si>
  <si>
    <t>銀鉄</t>
  </si>
  <si>
    <t>青金鋼</t>
  </si>
  <si>
    <t>赤黒鋼</t>
  </si>
  <si>
    <t>金</t>
  </si>
  <si>
    <t>銀</t>
  </si>
  <si>
    <t>宝石</t>
  </si>
  <si>
    <t>台風</t>
  </si>
  <si>
    <t>洪水</t>
  </si>
  <si>
    <t>保有可能人数</t>
  </si>
  <si>
    <t>穢れ</t>
  </si>
  <si>
    <t>生成対象</t>
  </si>
  <si>
    <t>生成順</t>
  </si>
  <si>
    <t>生成色</t>
  </si>
  <si>
    <t>生成重み</t>
  </si>
  <si>
    <t>生成略称</t>
  </si>
  <si>
    <t>勢力配置区分</t>
  </si>
  <si>
    <t>休火山候補率</t>
  </si>
  <si>
    <t>別名</t>
  </si>
  <si>
    <t>ターンダメージ最大HP率</t>
  </si>
  <si>
    <t>ターンダメージ耐性</t>
  </si>
  <si>
    <t>変換レイヤー</t>
  </si>
  <si>
    <t>発見研究区分</t>
  </si>
  <si>
    <t>必要発見研究Lv</t>
  </si>
  <si>
    <t>危険地帯設定</t>
  </si>
  <si>
    <t>移動コスト1。基準マス。都市建設可。生産補正なし。視界良好。</t>
  </si>
  <si>
    <t>-</t>
  </si>
  <si>
    <t>#b6cc71</t>
  </si>
  <si>
    <t>平</t>
  </si>
  <si>
    <t>基本</t>
  </si>
  <si>
    <t>移動コスト2。木材資源+。隠密+35 過剰採取で平地化。</t>
  </si>
  <si>
    <t>#7fa56a</t>
  </si>
  <si>
    <t>移動コスト2。鉱石資源+中。都市建設可。</t>
  </si>
  <si>
    <t>#a49367</t>
  </si>
  <si>
    <t>丘</t>
  </si>
  <si>
    <t>通常移動不可（飛行/特殊のみ可）。鉱石資源+大。都市建設不可。</t>
  </si>
  <si>
    <t>#8b847d</t>
  </si>
  <si>
    <t>山</t>
  </si>
  <si>
    <t>水上ユニットのみ移動可。食料+中。防御補正なし。</t>
  </si>
  <si>
    <t>遊泳</t>
  </si>
  <si>
    <t>#6ea5d1</t>
  </si>
  <si>
    <t>移動コスト2（橋で1）。農業+20%。都市隣接で成長+。</t>
  </si>
  <si>
    <t>#78aed8</t>
  </si>
  <si>
    <t>川</t>
  </si>
  <si>
    <t>河</t>
  </si>
  <si>
    <t>大河</t>
  </si>
  <si>
    <t>移動コスト4（橋で1）水上ユニットはペナルティなし</t>
  </si>
  <si>
    <t>水上ユニットのみ移動可。交易+。港設置可。嵐イベント発生。</t>
  </si>
  <si>
    <t>#4f88ba</t>
  </si>
  <si>
    <t>荒野</t>
  </si>
  <si>
    <t>#d9c98b</t>
  </si>
  <si>
    <t>荒</t>
  </si>
  <si>
    <t>移動コスト2。生産-20%。水源があれば都市可。特殊資源あり。</t>
  </si>
  <si>
    <t>#d8be76</t>
  </si>
  <si>
    <t>砂</t>
  </si>
  <si>
    <t>移動コスト3。防御+5%。毒耐性判定発生。農業不可。</t>
  </si>
  <si>
    <t>特殊</t>
  </si>
  <si>
    <t>沼</t>
  </si>
  <si>
    <t>湿地</t>
  </si>
  <si>
    <t>通常通行不可（橋必須）。防御+20%。地形要塞。</t>
  </si>
  <si>
    <t>渓谷</t>
  </si>
  <si>
    <t>地下扱い。視界制限。特殊資源+。地上ユニット制限あり。</t>
  </si>
  <si>
    <t>洞</t>
  </si>
  <si>
    <t>地下探索</t>
  </si>
  <si>
    <t>移動コスト2。生産-10%。寒冷耐性でペナルティ無効。</t>
  </si>
  <si>
    <t>#cfdbe8</t>
  </si>
  <si>
    <t>雪</t>
  </si>
  <si>
    <t>都市不可。鉱石+大。噴火イベントあり。防御+15%。</t>
  </si>
  <si>
    <t>#7e4f45</t>
  </si>
  <si>
    <t>火</t>
  </si>
  <si>
    <t>通常移動不可。耐熱ユニットのみ可。ダメージ地形。</t>
  </si>
  <si>
    <t>耐熱|炎耐性:100</t>
  </si>
  <si>
    <t>アンデッドが発生するようになる霧。
そのマスで倒されたキャラや出現する敵にアンデッドが付与されることがある。</t>
  </si>
  <si>
    <t>薬草の群生地</t>
  </si>
  <si>
    <t>生態調査</t>
  </si>
  <si>
    <t>金山</t>
  </si>
  <si>
    <t>地質調査</t>
  </si>
  <si>
    <t>銀鉱脈</t>
  </si>
  <si>
    <t>宝石脈</t>
  </si>
  <si>
    <t>水脈</t>
  </si>
  <si>
    <t>戦場後</t>
  </si>
  <si>
    <t>道路1</t>
  </si>
  <si>
    <t>移動コスト-1（最低1）。建設コスト低。交易+小。</t>
  </si>
  <si>
    <t>道路2</t>
  </si>
  <si>
    <t>移動コスト1固定。交易+中。軍移動速度+。</t>
  </si>
  <si>
    <t>道路3</t>
  </si>
  <si>
    <t>移動コスト1固定。交易+大。補給効率+。軍事道路扱い。</t>
  </si>
  <si>
    <t>太陽の山</t>
  </si>
  <si>
    <t>太陽の光を宿す霊峰。勝利対象土地として使用する。</t>
  </si>
  <si>
    <t>黄昏の樹</t>
  </si>
  <si>
    <t>黄昏の気配をまとった巨樹。勝利対象土地として使用する。</t>
  </si>
  <si>
    <t>星の火口</t>
  </si>
  <si>
    <t>星光を宿す火口。勝利対象土地として使用する。</t>
  </si>
  <si>
    <t>宇宙の海</t>
  </si>
  <si>
    <t>宇宙を映す海域。勝利対象土地として使用する。</t>
  </si>
  <si>
    <t>酸の沼</t>
  </si>
  <si>
    <t>常設危険地帯。沼地,洞窟に重ねる環境レイヤー。</t>
  </si>
  <si>
    <t>{"disasterId":"危険地帯:酸の沼","regionSize":12,"chance":0.18,"radius":1,"terrains":["沼地"],"underground":true,"color":"#A4C742"}</t>
  </si>
  <si>
    <t>毒沼</t>
  </si>
  <si>
    <t>常設危険地帯。湿地,森に重ねる環境レイヤー。</t>
  </si>
  <si>
    <t>{"disasterId":"危険地帯:毒沼","regionSize":12,"chance":0.18,"radius":1,"terrains":["湿地","森","森林"],"interiorForest":true,"color":"#6C9A3A"}</t>
  </si>
  <si>
    <t>常霧の谷</t>
  </si>
  <si>
    <t>常設危険地帯。峡谷,湖に重ねる環境レイヤー。</t>
  </si>
  <si>
    <t>{"disasterId":"危険地帯:常霧の谷","regionSize":12,"chance":0.18,"radius":1,"terrains":["峡谷","渓谷"],"near":["湖","河川"],"color":"#DCE7EB"}</t>
  </si>
  <si>
    <t>噴気地帯</t>
  </si>
  <si>
    <t>常設危険地帯。火山に重ねる環境レイヤー。</t>
  </si>
  <si>
    <t>{"disasterId":"危険地帯:噴気地帯","regionSize":12,"chance":0.18,"radius":1,"near":["火山","溶岩"],"color":"#CFB879"}</t>
  </si>
  <si>
    <t>極寒地帯</t>
  </si>
  <si>
    <t>常設危険地帯。雪原,山岳に重ねる環境レイヤー。</t>
  </si>
  <si>
    <t>{"disasterId":"危険地帯:極寒地帯","regionSize":12,"chance":0.18,"radius":1,"terrains":["雪原","雪山","氷原"],"minimumHeight":5,"color":"#83D9FA"}</t>
  </si>
  <si>
    <t>瘴気地帯</t>
  </si>
  <si>
    <t>常設危険地帯。廃墟,洞窟に重ねる環境レイヤー。</t>
  </si>
  <si>
    <t>{"disasterId":"危険地帯:瘴気地帯","regionSize":12,"chance":0.18,"radius":1,"terrains":["廃墟","遺跡","洞窟"],"underground":true,"deep":true,"color":"#A6BD48"}</t>
  </si>
  <si>
    <t>出現地形</t>
  </si>
  <si>
    <t>種族名</t>
  </si>
  <si>
    <t>チェック用</t>
  </si>
  <si>
    <t>好戦的</t>
  </si>
  <si>
    <t>サブクラス</t>
  </si>
  <si>
    <t>Lv_Min</t>
  </si>
  <si>
    <t>Lv_Max</t>
  </si>
  <si>
    <t>出現数</t>
  </si>
  <si>
    <t>備考</t>
  </si>
  <si>
    <t>武器</t>
  </si>
  <si>
    <t>副武器</t>
  </si>
  <si>
    <t>胴</t>
  </si>
  <si>
    <t>巣</t>
  </si>
  <si>
    <t>ID</t>
  </si>
  <si>
    <t>画像ファイル</t>
  </si>
  <si>
    <t>画像番号</t>
  </si>
  <si>
    <t>画像サイズ連動</t>
  </si>
  <si>
    <t>出現形態</t>
  </si>
  <si>
    <t>集団数_Min</t>
  </si>
  <si>
    <t>集団数_Max</t>
  </si>
  <si>
    <t>編成人数</t>
  </si>
  <si>
    <t>最低気温</t>
  </si>
  <si>
    <t>最高気温</t>
  </si>
  <si>
    <t>出現しやすい天候</t>
  </si>
  <si>
    <t>イーグル</t>
  </si>
  <si>
    <t>鳥系生物の巣</t>
  </si>
  <si>
    <t>出現敵:平地:ホーク:5:8</t>
  </si>
  <si>
    <t>ホーク・スネーク_ユニット集.webp</t>
  </si>
  <si>
    <t>肉食生物の巣</t>
  </si>
  <si>
    <t>出現敵:平地:スネーク:4:7</t>
  </si>
  <si>
    <t>雨/雷雨</t>
  </si>
  <si>
    <t>アンケグ</t>
  </si>
  <si>
    <t>虫系の巣</t>
  </si>
  <si>
    <t>出現敵:平地:アンケグ::</t>
  </si>
  <si>
    <t>アンケグ・スコーピオン_ユニット集.webp</t>
  </si>
  <si>
    <t>ブレット</t>
  </si>
  <si>
    <t>地中生物の巣</t>
  </si>
  <si>
    <t>出現敵:平地:ブレット::</t>
  </si>
  <si>
    <t>マンティコア</t>
  </si>
  <si>
    <t>出現敵:平地:マンティコア:12:15</t>
  </si>
  <si>
    <t>魔獣_ユニット集2.webp</t>
  </si>
  <si>
    <t>ディスプレイサービースト</t>
  </si>
  <si>
    <t>出現敵:平地:ディスプレイサービースト:12:15</t>
  </si>
  <si>
    <t>飛竜の巣</t>
  </si>
  <si>
    <t>出現敵:平地:ワイバーン:15:20</t>
  </si>
  <si>
    <t>ファングウルフ</t>
  </si>
  <si>
    <t>出現敵:荒野:ウルフ:5:8</t>
  </si>
  <si>
    <t>魔獣_ユニット集1.webp</t>
  </si>
  <si>
    <t>出現敵:荒野:スネーク:4:7</t>
  </si>
  <si>
    <t>出現敵:荒野:クロコダイル:7:9</t>
  </si>
  <si>
    <t>クロコダイル・タイガー_ユニット集.webp</t>
  </si>
  <si>
    <t>デザートワーム</t>
  </si>
  <si>
    <t>出現敵:荒野:デザートワーム:8:12</t>
  </si>
  <si>
    <t>ワーム_ユニット集.webp</t>
  </si>
  <si>
    <t>出現敵:荒野:マンティコア:12:15</t>
  </si>
  <si>
    <t>出現敵:荒野:ディスプレイサービースト:12:15</t>
  </si>
  <si>
    <t>出現敵:荒野:ワイバーン:15:20</t>
  </si>
  <si>
    <t>マミー</t>
  </si>
  <si>
    <t>死霊の巣</t>
  </si>
  <si>
    <t>出現敵:砂漠:マミー::</t>
  </si>
  <si>
    <t>ラミア</t>
  </si>
  <si>
    <t>毒生成物の巣</t>
  </si>
  <si>
    <t>出現敵:砂漠:ラミア::</t>
  </si>
  <si>
    <t>ブルードラゴン</t>
  </si>
  <si>
    <t>出現敵:砂漠:ブルードラゴン::</t>
  </si>
  <si>
    <t>パープルワーム</t>
  </si>
  <si>
    <t>出現敵:砂漠:パープルワーム::</t>
  </si>
  <si>
    <t>ジャイアントスコーピオン</t>
  </si>
  <si>
    <t>スコーピオン</t>
  </si>
  <si>
    <t>出現敵:砂漠:ジャイアントスコーピオン::</t>
  </si>
  <si>
    <t>スフィンクス</t>
  </si>
  <si>
    <t>出現敵:砂漠:スフィンクス::</t>
  </si>
  <si>
    <t>サンドエレメンタル</t>
  </si>
  <si>
    <t>土の輪</t>
  </si>
  <si>
    <t>出現敵:砂漠:サンドエレメンタル::</t>
  </si>
  <si>
    <t>出現敵:砂漠:デザートワーム::</t>
  </si>
  <si>
    <t>デザートレイス</t>
  </si>
  <si>
    <t>出現敵:砂漠:デザートレイス::</t>
  </si>
  <si>
    <t>ドライアド</t>
  </si>
  <si>
    <t>植物生物の巣</t>
  </si>
  <si>
    <t>出現敵:森:ドライアド::</t>
  </si>
  <si>
    <t>アウルベア</t>
  </si>
  <si>
    <t>出現敵:森:トレント::</t>
  </si>
  <si>
    <t>グリーンハグ</t>
  </si>
  <si>
    <t>出現敵:森:アウルベア:15:25</t>
  </si>
  <si>
    <t>シャンブリングマウンド</t>
  </si>
  <si>
    <t>出現敵:森:グリーンハグ::</t>
  </si>
  <si>
    <t>レシー</t>
  </si>
  <si>
    <t>出現敵:森:シャンブリングマウンド::</t>
  </si>
  <si>
    <t>ニンフ</t>
  </si>
  <si>
    <t>出現敵:森:レシー::</t>
  </si>
  <si>
    <t>フェアリードラゴン</t>
  </si>
  <si>
    <t>風の輪</t>
  </si>
  <si>
    <t>出現敵:森:ニンフ::</t>
  </si>
  <si>
    <t>出現敵:森:フェアリードラゴン::</t>
  </si>
  <si>
    <t>出現敵:森:タイガー:9:15</t>
  </si>
  <si>
    <t>出現敵:森:ウルフ:9:15</t>
  </si>
  <si>
    <t>ブラックドラゴン</t>
  </si>
  <si>
    <t>出現敵:沼地:ブラックドラゴン::</t>
  </si>
  <si>
    <t>ウィルオウィスプ</t>
  </si>
  <si>
    <t>闇の輪</t>
  </si>
  <si>
    <t>出現敵:沼地:シャンブリングマウンド::</t>
  </si>
  <si>
    <t>トロル</t>
  </si>
  <si>
    <t>出現敵:沼地:ウィルオウィスプ::</t>
  </si>
  <si>
    <t>ハイドラ</t>
  </si>
  <si>
    <t>出現敵:沼地:トロル::</t>
  </si>
  <si>
    <t>出現敵:沼地:ハイドラ::</t>
  </si>
  <si>
    <t>スワンプドラゴン</t>
  </si>
  <si>
    <t>出現敵:沼地:マッドゴーレム::</t>
  </si>
  <si>
    <t>出現敵:沼地:スワンプドラゴン::</t>
  </si>
  <si>
    <t>グリフォン</t>
  </si>
  <si>
    <t>出現敵:丘陵:グリフォン:8:12</t>
  </si>
  <si>
    <t>1~2</t>
  </si>
  <si>
    <t>キメラ</t>
  </si>
  <si>
    <t>出現敵:丘陵:ホーク:10:15</t>
  </si>
  <si>
    <t>地の精霊</t>
  </si>
  <si>
    <t>出現敵:丘陵:アースエレメンタル:7:12</t>
  </si>
  <si>
    <t>エレメンタル_ユニット集2.webp</t>
  </si>
  <si>
    <t>ヒルジャイアント</t>
  </si>
  <si>
    <t>出現敵:丘陵:キメラ:14:18</t>
  </si>
  <si>
    <t>出現敵:丘陵:ブレット::</t>
  </si>
  <si>
    <t>出現敵:丘陵:ヒルジャイアント::</t>
  </si>
  <si>
    <t>出現敵:丘陵:マンティコア::</t>
  </si>
  <si>
    <t>2~4</t>
  </si>
  <si>
    <t>サンダーバード</t>
  </si>
  <si>
    <t>出現敵:丘陵:ワイバーン:15:20</t>
  </si>
  <si>
    <t>ロックベア</t>
  </si>
  <si>
    <t>出現敵:山岳:サンダーバード:15:25</t>
  </si>
  <si>
    <t>1~4</t>
  </si>
  <si>
    <t>ストーンジャイアント</t>
  </si>
  <si>
    <t>出現敵:山岳:アースエレメンタル:15:20</t>
  </si>
  <si>
    <t>ラッシュベア</t>
  </si>
  <si>
    <t>フロストジャイアント</t>
  </si>
  <si>
    <t>水の輪</t>
  </si>
  <si>
    <t>出現敵:山岳:ロックベア:25:30</t>
  </si>
  <si>
    <t>ローパー</t>
  </si>
  <si>
    <t>出現敵:山岳:ストーンジャイアント::</t>
  </si>
  <si>
    <t>レッドドラゴン</t>
  </si>
  <si>
    <t>出現敵:山岳:フロストジャイアント::</t>
  </si>
  <si>
    <t>ロック</t>
  </si>
  <si>
    <t>出現敵:山岳:ローパー::</t>
  </si>
  <si>
    <t>バシリスク</t>
  </si>
  <si>
    <t>出現敵:山岳:レッドドラゴン::</t>
  </si>
  <si>
    <t>出現敵:山岳:ロック::</t>
  </si>
  <si>
    <t>出現敵:山岳:バシリスク::</t>
  </si>
  <si>
    <t>出現敵:峡谷:ローパー::</t>
  </si>
  <si>
    <t>ハーピー</t>
  </si>
  <si>
    <t>出現敵:峡谷:ワイバーン::</t>
  </si>
  <si>
    <t>出現敵:峡谷:マンティコア::</t>
  </si>
  <si>
    <t>ビホルダー</t>
  </si>
  <si>
    <t>出現敵:峡谷:ストーンジャイアント::</t>
  </si>
  <si>
    <t>マインドフレイヤー</t>
  </si>
  <si>
    <t>出現敵:峡谷:ハーピー::</t>
  </si>
  <si>
    <t>出現敵:洞窟:ビホルダー::</t>
  </si>
  <si>
    <t>単独</t>
  </si>
  <si>
    <t>出現敵:洞窟:マインドフレイヤー::</t>
  </si>
  <si>
    <t>小集団</t>
  </si>
  <si>
    <t>出現敵:洞窟:アンケグ::</t>
  </si>
  <si>
    <t>出現敵:洞窟:ローパー::</t>
  </si>
  <si>
    <t>出現敵:洞窟:バシリスク::</t>
  </si>
  <si>
    <t>ポイズンスネーク</t>
  </si>
  <si>
    <t>出現敵:洞窟:パープルワーム::</t>
  </si>
  <si>
    <t>シーサーペント</t>
  </si>
  <si>
    <t>出現敵:河川:ウォーターエレメンタル:5:10</t>
  </si>
  <si>
    <t>エレメンタル_ユニット集3.webp</t>
  </si>
  <si>
    <t>出現敵:河川:ポイズンスネーク:7:10</t>
  </si>
  <si>
    <t>出現敵:湖:ウォーターエレメンタル:15:30</t>
  </si>
  <si>
    <t>出現敵:湖:シーサーペント:15:20</t>
  </si>
  <si>
    <t>ファイアエレメンタル</t>
  </si>
  <si>
    <t>炎の輪</t>
  </si>
  <si>
    <t>出現敵:海:シーサーペント:5:20</t>
  </si>
  <si>
    <t>サラマンダー</t>
  </si>
  <si>
    <t>出現敵:海:ウォーターエレメンタル:15:30</t>
  </si>
  <si>
    <t>マグマエレメンタル</t>
  </si>
  <si>
    <t>出現敵:火山:レッドドラゴン::</t>
  </si>
  <si>
    <t>炎の精霊</t>
  </si>
  <si>
    <t>出現敵:火山:ファイアエレメンタル:15:30</t>
  </si>
  <si>
    <t>エレメンタル_ユニット集1.webp</t>
  </si>
  <si>
    <t>晴れ</t>
  </si>
  <si>
    <t>出現敵:火山:サラマンダー::</t>
  </si>
  <si>
    <t>イエティ</t>
  </si>
  <si>
    <t>ウィンターウルフ</t>
  </si>
  <si>
    <t>出現敵:溶岩:ファイアエレメンタル:10:15</t>
  </si>
  <si>
    <t>出現敵:溶岩:マグマエレメンタル::</t>
  </si>
  <si>
    <t>出現敵:溶岩:ラヴァスライム::</t>
  </si>
  <si>
    <t>出現敵:雪原:フロストジャイアント::</t>
  </si>
  <si>
    <t>出現敵:雪原:イエティ::</t>
  </si>
  <si>
    <t>出現敵:雪原:ウィンターウルフ::</t>
  </si>
  <si>
    <t>出現敵:雪原:フロストエレメンタル:15:25</t>
  </si>
  <si>
    <t>雪/吹雪</t>
  </si>
  <si>
    <t>暫定Lv・好戦性（2026-10-03追加）</t>
  </si>
  <si>
    <t>草食生物の巣</t>
  </si>
  <si>
    <t>出現敵:平地:ホース:1:5</t>
  </si>
  <si>
    <t>狼・馬_ユニット集.webp</t>
  </si>
  <si>
    <t>出現敵:荒野:ホース:1:5</t>
  </si>
  <si>
    <t>出現敵:平地:ボア:3:8</t>
  </si>
  <si>
    <t>ベア・ボア_ユニット集.webp</t>
  </si>
  <si>
    <t>出現敵:荒野:ボア:3:8</t>
  </si>
  <si>
    <t>出現敵:森:ボア:3:8</t>
  </si>
  <si>
    <t>出現敵:洞窟:ドレイク:8:15</t>
  </si>
  <si>
    <t>ワイバーン・ドレイク_ユニット集.webp</t>
  </si>
  <si>
    <t>暫定出現地形・Lv・好戦性（2026-10-03追加）</t>
  </si>
  <si>
    <t>出現敵:平地:ビートル:2:6</t>
  </si>
  <si>
    <t>カブトムシ・クワガタ_ユニット集.webp</t>
  </si>
  <si>
    <t>雨/豪雨</t>
  </si>
  <si>
    <t>出現敵:平地:カマキリ:4:8</t>
  </si>
  <si>
    <t>マンティス・グラスホッパー_ユニット集.webp</t>
  </si>
  <si>
    <t>出現敵:平地:ハチ:2:6</t>
  </si>
  <si>
    <t>アント・ビー_ユニット集.webp</t>
  </si>
  <si>
    <t>出現敵:平地:アリ:1:5</t>
  </si>
  <si>
    <t>出現敵:荒野:ビートル:2:6</t>
  </si>
  <si>
    <t>出現敵:荒野:アリ:2:6</t>
  </si>
  <si>
    <t>出現敵:荒野:サソリ:4:8</t>
  </si>
  <si>
    <t>出現敵:砂漠:サソリ:5:10</t>
  </si>
  <si>
    <t>出現敵:砂漠:ムカデ:4:9</t>
  </si>
  <si>
    <t>スパイダー・センチピード_ユニット集.webp</t>
  </si>
  <si>
    <t>出現敵:森:クワガタ:3:7</t>
  </si>
  <si>
    <t>出現敵:森:カマキリ:4:8</t>
  </si>
  <si>
    <t>出現敵:森:ハチ:2:7</t>
  </si>
  <si>
    <t>出現敵:森:アリ:1:6</t>
  </si>
  <si>
    <t>出現敵:森:クモ:3:8</t>
  </si>
  <si>
    <t>出現敵:森:ムカデ:3:8</t>
  </si>
  <si>
    <t>出現敵:沼地:クモ:4:9</t>
  </si>
  <si>
    <t>出現敵:沼地:ムカデ:4:9</t>
  </si>
  <si>
    <t>出現敵:洞窟:ビートル:3:8</t>
  </si>
  <si>
    <t>群れ</t>
  </si>
  <si>
    <t>出現敵:洞窟:クモ:4:9</t>
  </si>
  <si>
    <t>出現敵:洞窟:ムカデ:4:9</t>
  </si>
  <si>
    <t>暫定Lv・好戦性（2026-10-03追加）／死の霧のアンデッド出現枠</t>
  </si>
  <si>
    <t>出現敵:死の霧:ゾンビ:1:5</t>
  </si>
  <si>
    <t>アンデッドモンスター12体のピクセルアートスプライトシート.webp</t>
  </si>
  <si>
    <t>出現敵:死の霧:スケルトン:2:6</t>
  </si>
  <si>
    <t>出現敵:死の霧:ゴースト:4:8</t>
  </si>
  <si>
    <t>月ウルフ</t>
  </si>
  <si>
    <t>××</t>
  </si>
  <si>
    <t>魔獣（属性強化・下位）／画像未設定のため未有効化</t>
  </si>
  <si>
    <t>出現敵:森:月ウルフ:8:13</t>
  </si>
  <si>
    <t>出現敵:荒野:月ウルフ:8:13</t>
  </si>
  <si>
    <t>氷ウルフ</t>
  </si>
  <si>
    <t>出現敵:雪原:氷ウルフ:9:14</t>
  </si>
  <si>
    <t>出現敵:山岳:氷ウルフ:9:14</t>
  </si>
  <si>
    <t>月ホース</t>
  </si>
  <si>
    <t>出現敵:平地:月ホース:6:10</t>
  </si>
  <si>
    <t>出現敵:荒野:月ホース:6:10</t>
  </si>
  <si>
    <t>雷ホーク</t>
  </si>
  <si>
    <t>出現敵:丘陵:雷ホーク:8:13</t>
  </si>
  <si>
    <t>出現敵:山岳:雷ホーク:8:13</t>
  </si>
  <si>
    <t>風ホーク</t>
  </si>
  <si>
    <t>出現敵:平地:風ホーク:7:12</t>
  </si>
  <si>
    <t>出現敵:丘陵:風ホーク:7:12</t>
  </si>
  <si>
    <t>出現敵:山岳:風ホーク:7:12</t>
  </si>
  <si>
    <t>毒スネーク</t>
  </si>
  <si>
    <t>出現敵:沼地:毒スネーク:8:13</t>
  </si>
  <si>
    <t>出現敵:河川:毒スネーク:8:13</t>
  </si>
  <si>
    <t>出現敵:森:毒スネーク:8:13</t>
  </si>
  <si>
    <t>水スネーク</t>
  </si>
  <si>
    <t>出現敵:河川:水スネーク:8:13</t>
  </si>
  <si>
    <t>出現敵:湖:水スネーク:8:13</t>
  </si>
  <si>
    <t>出現敵:海:水スネーク:8:13</t>
  </si>
  <si>
    <t>水クロコダイル</t>
  </si>
  <si>
    <t>魔獣（属性強化・上位）／画像未設定のため未有効化</t>
  </si>
  <si>
    <t>出現敵:河川:水クロコダイル:9:14</t>
  </si>
  <si>
    <t>出現敵:湖:水クロコダイル:9:14</t>
  </si>
  <si>
    <t>出現敵:沼地:水クロコダイル:9:14</t>
  </si>
  <si>
    <t>地クロコダイル</t>
  </si>
  <si>
    <t>出現敵:荒野:地クロコダイル:10:15</t>
  </si>
  <si>
    <t>出現敵:沼地:地クロコダイル:10:15</t>
  </si>
  <si>
    <t>毒クロコダイル</t>
  </si>
  <si>
    <t>出現敵:沼地:毒クロコダイル:10:15</t>
  </si>
  <si>
    <t>雷タイガー</t>
  </si>
  <si>
    <t>出現敵:森:雷タイガー:10:15</t>
  </si>
  <si>
    <t>出現敵:丘陵:雷タイガー:10:15</t>
  </si>
  <si>
    <t>地タイガー</t>
  </si>
  <si>
    <t>出現敵:森:地タイガー:10:15</t>
  </si>
  <si>
    <t>出現敵:丘陵:地タイガー:10:15</t>
  </si>
  <si>
    <t>出現敵:山岳:地タイガー:10:15</t>
  </si>
  <si>
    <t>太陽タイガー</t>
  </si>
  <si>
    <t>出現敵:平地:太陽タイガー:11:15</t>
  </si>
  <si>
    <t>出現敵:荒野:太陽タイガー:11:15</t>
  </si>
  <si>
    <t>地ボア</t>
  </si>
  <si>
    <t>出現敵:森:地ボア:8:13</t>
  </si>
  <si>
    <t>出現敵:荒野:地ボア:8:13</t>
  </si>
  <si>
    <t>出現敵:丘陵:地ボア:8:13</t>
  </si>
  <si>
    <t>毒ボア</t>
  </si>
  <si>
    <t>出現敵:森:毒ボア:8:13</t>
  </si>
  <si>
    <t>出現敵:沼地:毒ボア:8:13</t>
  </si>
  <si>
    <t>炎ボア</t>
  </si>
  <si>
    <t>出現敵:荒野:炎ボア:9:14</t>
  </si>
  <si>
    <t>出現敵:火山:炎ボア:9:14</t>
  </si>
  <si>
    <t>炎フォックス</t>
  </si>
  <si>
    <t>出現敵:森:炎フォックス:7:12</t>
  </si>
  <si>
    <t>出現敵:荒野:炎フォックス:7:12</t>
  </si>
  <si>
    <t>出現敵:平地:ホーク:5:8:軍隊3</t>
  </si>
  <si>
    <t>出現敵:平地:スネーク:4:7:軍隊3</t>
  </si>
  <si>
    <t>出現敵:平地:マンティコア:12:15:軍隊3</t>
  </si>
  <si>
    <t>出現敵:平地:ディスプレイサービースト:12:15:軍隊3</t>
  </si>
  <si>
    <t>出現敵:荒野:ウルフ:5:8:軍隊3</t>
  </si>
  <si>
    <t>出現敵:荒野:スネーク:4:7:軍隊3</t>
  </si>
  <si>
    <t>出現敵:荒野:クロコダイル:7:9:軍隊3</t>
  </si>
  <si>
    <t>出現敵:荒野:デザートワーム:8:12:軍隊3</t>
  </si>
  <si>
    <t>出現敵:荒野:マンティコア:12:15:軍隊3</t>
  </si>
  <si>
    <t>出現敵:荒野:ディスプレイサービースト:12:15:軍隊3</t>
  </si>
  <si>
    <t>出現敵:森:タイガー:9:15:軍隊3</t>
  </si>
  <si>
    <t>出現敵:森:ウルフ:9:15:軍隊3</t>
  </si>
  <si>
    <t>出現敵:丘陵:グリフォン:8:12:軍隊3</t>
  </si>
  <si>
    <t>出現敵:丘陵:ホーク:10:15:軍隊3</t>
  </si>
  <si>
    <t>出現敵:丘陵:アースエレメンタル:7:12:軍隊3</t>
  </si>
  <si>
    <t>出現敵:丘陵:キメラ:14:18:軍隊3</t>
  </si>
  <si>
    <t>出現敵:河川:ウォーターエレメンタル:5:10:軍隊3</t>
  </si>
  <si>
    <t>出現敵:河川:ポイズンスネーク:7:10:軍隊3</t>
  </si>
  <si>
    <t>出現敵:海:シーサーペント:5:20:軍隊3</t>
  </si>
  <si>
    <t>出現敵:溶岩:ファイアエレメンタル:10:15:軍隊3</t>
  </si>
  <si>
    <t>出現敵:平地:ホース:1:5:軍隊3</t>
  </si>
  <si>
    <t>出現敵:荒野:ホース:1:5:軍隊3</t>
  </si>
  <si>
    <t>出現敵:平地:ボア:3:8:軍隊3</t>
  </si>
  <si>
    <t>出現敵:荒野:ボア:3:8:軍隊3</t>
  </si>
  <si>
    <t>出現敵:森:ボア:3:8:軍隊3</t>
  </si>
  <si>
    <t>出現敵:平地:ビートル:2:6:軍隊3</t>
  </si>
  <si>
    <t>出現敵:平地:カマキリ:4:8:軍隊3</t>
  </si>
  <si>
    <t>出現敵:平地:ハチ:2:6:軍隊3</t>
  </si>
  <si>
    <t>出現敵:平地:アリ:1:5:軍隊3</t>
  </si>
  <si>
    <t>出現敵:荒野:ビートル:2:6:軍隊3</t>
  </si>
  <si>
    <t>出現敵:荒野:アリ:2:6:軍隊3</t>
  </si>
  <si>
    <t>出現敵:荒野:サソリ:4:8:軍隊3</t>
  </si>
  <si>
    <t>出現敵:砂漠:サソリ:5:10:軍隊3</t>
  </si>
  <si>
    <t>出現敵:砂漠:ムカデ:4:9:軍隊3</t>
  </si>
  <si>
    <t>出現敵:森:クワガタ:3:7:軍隊3</t>
  </si>
  <si>
    <t>出現敵:森:カマキリ:4:8:軍隊3</t>
  </si>
  <si>
    <t>出現敵:森:ハチ:2:7:軍隊3</t>
  </si>
  <si>
    <t>出現敵:森:アリ:1:6:軍隊3</t>
  </si>
  <si>
    <t>出現敵:森:クモ:3:8:軍隊3</t>
  </si>
  <si>
    <t>出現敵:森:ムカデ:3:8:軍隊3</t>
  </si>
  <si>
    <t>出現敵:沼地:クモ:4:9:軍隊3</t>
  </si>
  <si>
    <t>出現敵:沼地:ムカデ:4:9:軍隊3</t>
  </si>
  <si>
    <t>出現敵:洞窟:ビートル:3:8:軍隊3</t>
  </si>
  <si>
    <t>出現敵:洞窟:クモ:4:9:軍隊3</t>
  </si>
  <si>
    <t>出現敵:洞窟:ムカデ:4:9:軍隊3</t>
  </si>
  <si>
    <t>出現敵:死の霧:ゾンビ:1:5:軍隊3</t>
  </si>
  <si>
    <t>出現敵:死の霧:スケルトン:2:6:軍隊3</t>
  </si>
  <si>
    <t>出現敵:死の霧:ゴースト:4:8:軍隊3</t>
  </si>
  <si>
    <t>名称</t>
  </si>
  <si>
    <t>分類</t>
  </si>
  <si>
    <t>クラス構成</t>
  </si>
  <si>
    <t>総Lv</t>
  </si>
  <si>
    <t>必要資材</t>
  </si>
  <si>
    <t>維持素材</t>
  </si>
  <si>
    <t>アンデッド</t>
  </si>
  <si>
    <t>ゾンビ_3</t>
  </si>
  <si>
    <t>スケルトン_6</t>
  </si>
  <si>
    <t>召喚時に武器候補からランダム1個</t>
  </si>
  <si>
    <t>剣 / 槍 / 棍棒（ランダム・common）</t>
  </si>
  <si>
    <t>ゾンビ_10 グール_2</t>
  </si>
  <si>
    <t>ゾンビ_10 ワイト_4</t>
  </si>
  <si>
    <t>長剣_C</t>
  </si>
  <si>
    <t>弓_C</t>
  </si>
  <si>
    <t>鎧_C</t>
  </si>
  <si>
    <t>重靴_C</t>
  </si>
  <si>
    <t>ゾンビ_10 レヴナント_6</t>
  </si>
  <si>
    <t>ゴースト_10 レイス_8</t>
  </si>
  <si>
    <t>ゾンビ_10 デュラハン_10</t>
  </si>
  <si>
    <t>長剣_U</t>
  </si>
  <si>
    <t>盾_C</t>
  </si>
  <si>
    <t>鎧_U</t>
  </si>
  <si>
    <t>ゴースト_10 バンシー_10</t>
  </si>
  <si>
    <t>ゾンビ_10 グール_10 ガスト_3</t>
  </si>
  <si>
    <t>スケルトン_10 リッチ_10 ウィザード_3</t>
  </si>
  <si>
    <t>魔法系強個体</t>
  </si>
  <si>
    <t>杖_U</t>
  </si>
  <si>
    <t>法衣_U</t>
  </si>
  <si>
    <t>ゾンビ_10 レヴナント_10 ドゥームゾンビ_5</t>
  </si>
  <si>
    <t>ゴースト_10 レイス_10 ギャザード・グラッジ_7</t>
  </si>
  <si>
    <t>ゾンビ_10 デュラハン_10 蒼炎のデュラハン_10</t>
  </si>
  <si>
    <t>長剣_R</t>
  </si>
  <si>
    <t>盾_U</t>
  </si>
  <si>
    <t>重靴_U</t>
  </si>
  <si>
    <t>レムレ</t>
  </si>
  <si>
    <t>デヴィル_3</t>
  </si>
  <si>
    <t>D&amp;D / Pathfinder系モチーフ。最下級デヴィル・壁役</t>
  </si>
  <si>
    <t>インプ</t>
  </si>
  <si>
    <t>デヴィル_5  シーフ_1</t>
  </si>
  <si>
    <t>D&amp;D系モチーフ。小型飛行・斥候型</t>
  </si>
  <si>
    <t>短剣_C</t>
  </si>
  <si>
    <t>服_C</t>
  </si>
  <si>
    <t>靴_C</t>
  </si>
  <si>
    <t>スパインド・デヴィル</t>
  </si>
  <si>
    <t>デヴィル_5 ホーク_4</t>
  </si>
  <si>
    <t>D&amp;D系モチーフ。飛行・棘射撃型</t>
  </si>
  <si>
    <t>槍_C</t>
  </si>
  <si>
    <t>ヘルハウンド</t>
  </si>
  <si>
    <t>ウルフ_7 デヴィル_5</t>
  </si>
  <si>
    <t>D&amp;D / Pathfinder系モチーフ。犬型フィーンド</t>
  </si>
  <si>
    <t>ナイトメア</t>
  </si>
  <si>
    <t>ホース_8 デヴィル_7</t>
  </si>
  <si>
    <t>D&amp;D / Pathfinder系モチーフ。魔界の馬型フィーンド</t>
  </si>
  <si>
    <t>ビアデッド・デヴィル</t>
  </si>
  <si>
    <t>デヴィル_10 ファイター_8</t>
  </si>
  <si>
    <t>D&amp;D系モチーフ。近接・長柄武器型</t>
  </si>
  <si>
    <t>槍_U</t>
  </si>
  <si>
    <t>兜_U</t>
  </si>
  <si>
    <t>バーブド・デヴィル</t>
  </si>
  <si>
    <t>デヴィル_10 カマキリ_6 スカーミッシャー_5</t>
  </si>
  <si>
    <t>D&amp;D系モチーフ。棘・拘束近接型</t>
  </si>
  <si>
    <t>ボーン・デヴィル</t>
  </si>
  <si>
    <t>デヴィル_10 スケルトン_10 スピアマスター_4</t>
  </si>
  <si>
    <t>D&amp;D系モチーフ。骨格・毒尾・長柄型</t>
  </si>
  <si>
    <t>エリニュス</t>
  </si>
  <si>
    <t>デヴィル_10 アーチャー_10 ナイト_7</t>
  </si>
  <si>
    <t>D&amp;D / Pathfinder系モチーフ。武装・弓主体の上位デヴィル</t>
  </si>
  <si>
    <t>弓_R</t>
  </si>
  <si>
    <t>アイス・デヴィル</t>
  </si>
  <si>
    <t>デヴィル_10 フロストエレメンタル_10 スピアマスター_10</t>
  </si>
  <si>
    <t>D&amp;D系モチーフ。氷・槍主体</t>
  </si>
  <si>
    <t>槍_R</t>
  </si>
  <si>
    <t>コントラクト・デヴィル</t>
  </si>
  <si>
    <t>デヴィル_10 バード_10 ウィザード_10 シーフ_3</t>
  </si>
  <si>
    <t>Pathfinder系モチーフ。契約・魅了・精神操作型</t>
  </si>
  <si>
    <t>短剣_R</t>
  </si>
  <si>
    <t>服_U</t>
  </si>
  <si>
    <t>帽子_U</t>
  </si>
  <si>
    <t>靴_U</t>
  </si>
  <si>
    <t>ヘレシー・デヴィル</t>
  </si>
  <si>
    <t>デヴィル_10 ウィザード_10 ワードキャスター_10 クレリック_5</t>
  </si>
  <si>
    <t>Pathfinder系モチーフ。信仰妨害・魔法型</t>
  </si>
  <si>
    <t>杖_R</t>
  </si>
  <si>
    <t>冠_U</t>
  </si>
  <si>
    <t>カッシシアン</t>
  </si>
  <si>
    <t>セレスチャル</t>
  </si>
  <si>
    <t>エンジェル_3 ウィザード_3</t>
  </si>
  <si>
    <t>Pathfinder系モチーフ。小型の案内・索敵・簡易魔法補助型</t>
  </si>
  <si>
    <t>杖_C</t>
  </si>
  <si>
    <t>帽子_C</t>
  </si>
  <si>
    <t>クルビ</t>
  </si>
  <si>
    <t>エンジェル_3 アーチャー_6</t>
  </si>
  <si>
    <t>Pathfinder系モチーフ。弓・聖域防衛型</t>
  </si>
  <si>
    <t>エンジェル_5 エンジェルズ_5</t>
  </si>
  <si>
    <t>本作天使階級。バード系の歌・祝福・支援型</t>
  </si>
  <si>
    <t>イオファナイト</t>
  </si>
  <si>
    <t>エンジェル_4 ガーディアン_4 フレイムブレード_4</t>
  </si>
  <si>
    <t>Pathfinder系モチーフ。炎・光・防御型</t>
  </si>
  <si>
    <t>兜_C</t>
  </si>
  <si>
    <t>エンジェル_5 アークエンジェルズ_8 パラディン_2</t>
  </si>
  <si>
    <t>本作天使階級。ナイト系の武装前衛型</t>
  </si>
  <si>
    <t>エレリム</t>
  </si>
  <si>
    <t>エンジェル_8 スピアマスター_10</t>
  </si>
  <si>
    <t>Pathfinder系モチーフ。槍主体の戦闘型</t>
  </si>
  <si>
    <t>プリンシパリティ_10 エンジェル_8 アークエンジェル_3</t>
  </si>
  <si>
    <t>本作天使階級。コマンダー系の指揮・味方強化型</t>
  </si>
  <si>
    <t>バリッセ</t>
  </si>
  <si>
    <t>エンジェル_10 ハイクレリック_8 ワードキャスター_6</t>
  </si>
  <si>
    <t>Pathfinder系モチーフ。解除・弱体・信仰補助型</t>
  </si>
  <si>
    <t>モナディック・デーヴァ</t>
  </si>
  <si>
    <t>エンジェル_10 パラディン_10 クレリック_7</t>
  </si>
  <si>
    <t>Pathfinder系モチーフ。魂・守護系上位天使</t>
  </si>
  <si>
    <t>棍棒_R</t>
  </si>
  <si>
    <t>パワード_10 パラディン_10 アークエンジェル_8</t>
  </si>
  <si>
    <t>本作天使階級。パラディン系の聖戦士・重前衛型</t>
  </si>
  <si>
    <t>モヴァニック・デーヴァ</t>
  </si>
  <si>
    <t>エンジェル_10 ガーディアン_10 ソードマスター_10</t>
  </si>
  <si>
    <t>Pathfinder系モチーフ。天界軍の前衛・守護型</t>
  </si>
  <si>
    <t>デュナミス_10 モンク_10 エンジェル_10</t>
  </si>
  <si>
    <t>本作天使階級。モンク系の高機動・近接格闘型</t>
  </si>
  <si>
    <t>服_R</t>
  </si>
  <si>
    <t>エレメンタル</t>
  </si>
  <si>
    <t>火属性・基礎種</t>
  </si>
  <si>
    <t>フレイムエレメンタル_10 アークフレイムエレメンタル_10</t>
  </si>
  <si>
    <t>火属性・上位種</t>
  </si>
  <si>
    <t>フレイムエレメンタル_10 アークフレイムエレメンタル_10 グレーターフレイムエレメンタル_10</t>
  </si>
  <si>
    <t>氷属性・基礎種</t>
  </si>
  <si>
    <t>フロストエレメンタル_10 アークフロストエレメンタル_10</t>
  </si>
  <si>
    <t>氷属性・上位種</t>
  </si>
  <si>
    <t>フロストエレメンタル_10 アークフロストエレメンタル_10 グレーターフロストエレメンタル_10</t>
  </si>
  <si>
    <t>水属性・基礎種</t>
  </si>
  <si>
    <t>ウォーターエレメンタル_10 アークウォーターエレメンタル_10</t>
  </si>
  <si>
    <t>水属性・上位種</t>
  </si>
  <si>
    <t>ウォーターエレメンタル_10 アークウォーターエレメンタル_10 グレーターウォーターエレメンタル_10</t>
  </si>
  <si>
    <t>風属性・基礎種</t>
  </si>
  <si>
    <t>エアエレメンタル_10 アークエアエレメンタル_10</t>
  </si>
  <si>
    <t>風属性・上位種</t>
  </si>
  <si>
    <t>エアエレメンタル_10 アークエアエレメンタル_10 グレーターエアエレメンタル_10</t>
  </si>
  <si>
    <t>土属性・基礎種</t>
  </si>
  <si>
    <t>アースエレメンタル_10 アークアースエレメンタル_10</t>
  </si>
  <si>
    <t>土属性・上位種</t>
  </si>
  <si>
    <t>アースエレメンタル_10 アークアースエレメンタル_10 グレーターアースエレメンタル_10</t>
  </si>
  <si>
    <t>フレイムソルジャー</t>
  </si>
  <si>
    <t>フレイムエレメンタル_10 フェンサー_5</t>
  </si>
  <si>
    <t>火属性エレメンタルの中間兵士。Lv10基礎種とLv20アーク種の間を埋める近接型</t>
  </si>
  <si>
    <t>フロストソルジャー</t>
  </si>
  <si>
    <t>フロストエレメンタル_10 ナイト_5</t>
  </si>
  <si>
    <t>氷属性エレメンタルの中間兵士。Lv10基礎種とLv20アーク種の間を埋める防御型</t>
  </si>
  <si>
    <t>ウィンドソルジャー</t>
  </si>
  <si>
    <t>エアエレメンタル_10 フェンサー_5</t>
  </si>
  <si>
    <t>風属性エレメンタルの中間兵士。Lv10基礎種とLv20アーク種の間を埋める高速近接型</t>
  </si>
  <si>
    <t>アースソルジャー</t>
  </si>
  <si>
    <t>アースエレメンタル_10 ナイト_5</t>
  </si>
  <si>
    <t>土属性エレメンタルの中間兵士。Lv10基礎種とLv20アーク種の間を埋める重前衛型</t>
  </si>
  <si>
    <t>ウォーターソルジャー</t>
  </si>
  <si>
    <t>ウォーターエレメンタル_10 ドルイド_5</t>
  </si>
  <si>
    <t>水属性エレメンタルの中間兵士。Lv10基礎種とLv20アーク種の間を埋める術兵・支援型</t>
  </si>
  <si>
    <t>法衣_C</t>
  </si>
  <si>
    <t>アークフレイムソルジャー</t>
  </si>
  <si>
    <t>フレイムエレメンタル_10 アークフレイムエレメンタル_10 フレイムブレード_5</t>
  </si>
  <si>
    <t>火属性エレメンタルの上位兵士。Lv20アーク種とLv30グレーター種の間を埋める属性剣士型</t>
  </si>
  <si>
    <t>アークフロストソルジャー</t>
  </si>
  <si>
    <t>フロストエレメンタル_10 アークフロストエレメンタル_10 フロストブレード_5</t>
  </si>
  <si>
    <t>氷属性エレメンタルの上位兵士。Lv20アーク種とLv30グレーター種の間を埋める属性前衛型</t>
  </si>
  <si>
    <t>アークウィンドソルジャー</t>
  </si>
  <si>
    <t>エアエレメンタル_10 アークエアエレメンタル_10 ウィンドブレード_5</t>
  </si>
  <si>
    <t>風属性エレメンタルの上位兵士。Lv20アーク種とLv30グレーター種の間を埋める属性剣士型</t>
  </si>
  <si>
    <t>アークアースソルジャー</t>
  </si>
  <si>
    <t>アースエレメンタル_10 アークアースエレメンタル_10 アースブレード_5</t>
  </si>
  <si>
    <t>土属性エレメンタルの上位兵士。Lv20アーク種とLv30グレーター種の間を埋める重装属性前衛型</t>
  </si>
  <si>
    <t>アークウォーターソルジャー</t>
  </si>
  <si>
    <t>ウォーターエレメンタル_10 アークウォーターエレメンタル_10 アクアドルイド_5</t>
  </si>
  <si>
    <t>水属性エレメンタルの上位兵士。Lv20アーク種とLv30グレーター種の間を埋める上位術兵・支援型</t>
  </si>
  <si>
    <t>ペガサス</t>
  </si>
  <si>
    <t>ホース_6 幻獣_3</t>
  </si>
  <si>
    <t>D&amp;D / Pathfinder系モチーフ。飛行馬型セレスチャル</t>
  </si>
  <si>
    <t>クアトル</t>
  </si>
  <si>
    <t>スネーク_8 神獣_7</t>
  </si>
  <si>
    <t>D&amp;D系モチーフ。翼ある蛇型セレスチャル</t>
  </si>
  <si>
    <t>ユニコーン</t>
  </si>
  <si>
    <t>ホース_10 幻獣_6 クレリック_5</t>
  </si>
  <si>
    <t>D&amp;D / Pathfinder系モチーフ。聖獣・回復支援型</t>
  </si>
  <si>
    <t>素材</t>
  </si>
  <si>
    <t>合成結果</t>
  </si>
  <si>
    <t>ボーナスクラス</t>
  </si>
  <si>
    <t>獲得スキル</t>
  </si>
  <si>
    <t>スキル備考</t>
  </si>
  <si>
    <t>状態</t>
  </si>
  <si>
    <t>元種</t>
  </si>
  <si>
    <t>派生クラス</t>
  </si>
  <si>
    <t>派生結果</t>
  </si>
  <si>
    <t>予定クラス</t>
  </si>
  <si>
    <t>親系統</t>
  </si>
  <si>
    <t>役割</t>
  </si>
  <si>
    <t>スキル方針</t>
  </si>
  <si>
    <t>ホース_1,デヴィル_1</t>
  </si>
  <si>
    <t>バイコーン</t>
  </si>
  <si>
    <t>幻獣,エヴォリューション・ホーン</t>
  </si>
  <si>
    <t>呪角</t>
  </si>
  <si>
    <t>角攻撃に呪い系の追加効果を与える攻撃。角そのものの性能はエヴォリューション・ホーン側を利用する。</t>
  </si>
  <si>
    <t>確定</t>
  </si>
  <si>
    <t>ユーザー指定。ボーナスクラスはクラス原本未追加。獲得スキル「呪角」は仮案</t>
  </si>
  <si>
    <t>Notion画像生成・参照管理｜整理版</t>
  </si>
  <si>
    <t>上位種族クラス</t>
  </si>
  <si>
    <t>通常動物を超えた伝説・神話級の獣をまとめる親系統</t>
  </si>
  <si>
    <t>仮スキル: 幻獣の身体(P・新規) / 幻獣の咆哮(A・新規) / 魔法の守り(A・既存) / 反応(既存) / 超常感覚(P・新規) / 幻獣覚醒(AまたはP・新規)。既存スキルを優先再利用。</t>
  </si>
  <si>
    <t>分類仕様確定・スキル仮案</t>
  </si>
  <si>
    <t>フェンリル、ケルベロス、グリフォン、マンティコア、キメラ、スフィンクス、バシリスク、ハイドラ、フェニックス、ユニコーン等</t>
  </si>
  <si>
    <t>ホース_1,エンジェル_1</t>
  </si>
  <si>
    <t>浄化の角</t>
  </si>
  <si>
    <t>角による攻撃または接触で、不浄や状態異常を解除する支援寄りスキル。攻撃型か回復型かは後で調整。</t>
  </si>
  <si>
    <t>候補</t>
  </si>
  <si>
    <t>既存候補</t>
  </si>
  <si>
    <t>上位種族派生</t>
  </si>
  <si>
    <t>神聖・守護・加護寄りの上位系統</t>
  </si>
  <si>
    <t>仮スキル: 奇跡の祝福(A・既存) / 神威(P・新規) / 浄化(A・新規) / 神聖攻撃(A・新規) / 神獣の加護(P・新規) / 神獣の威光(P・新規)。</t>
  </si>
  <si>
    <t>青龍、白虎、朱雀、玄武、麒麟、白沢、応龍等</t>
  </si>
  <si>
    <t>ウルフ_1,デヴィル_1</t>
  </si>
  <si>
    <t>影ウルフ</t>
  </si>
  <si>
    <t>派生結果はNotion確定。対応する派生クラス名は未設定</t>
  </si>
  <si>
    <t>災厄・凶性・攻撃寄りの上位系統</t>
  </si>
  <si>
    <t>仮スキル: 悪魔の威圧(P・既存) / 大鬼の咆哮(A・既存) / 恐怖の囁き(A・既存) / 捕食(A・新規) / 狂暴化(AまたはP・新規) / 凶獣の本能(P・新規)。</t>
  </si>
  <si>
    <t>饕餮、窮奇、檮杌、混沌、ケルベロス等</t>
  </si>
  <si>
    <t>スネーク_1,デヴィル_1</t>
  </si>
  <si>
    <t>ナイトメアサーペント等</t>
  </si>
  <si>
    <t>未定</t>
  </si>
  <si>
    <t>名称要検討</t>
  </si>
  <si>
    <t>ユニコーン/バイコーンは2体合成側で管理</t>
  </si>
  <si>
    <t>妖怪化・怪異化した獣系統</t>
  </si>
  <si>
    <t>仮スキル: 妖気(P・新規) / 幻惑(A・新規) / 変身(A・新規) / 隠形(AまたはP・新規) / 呪い(A・新規) / 妖獣の気配(P・新規)。既存の幻覚効果体系を再利用する。</t>
  </si>
  <si>
    <t>九尾狐、鵺、鬼車、相柳等</t>
  </si>
  <si>
    <t>ホーク_1,デヴィル_1</t>
  </si>
  <si>
    <t>悪魔系飛行獣</t>
  </si>
  <si>
    <t>合成先未定</t>
  </si>
  <si>
    <t>身体特性クラス</t>
  </si>
  <si>
    <t>頭部を使う攻撃の回数を増加し、1ヒット威力を低下</t>
  </si>
  <si>
    <t>仮能力: 多頭攻撃補正(P) / 頭部強化分割(P) / 必要なら多頭感知(P)。頭部攻撃回数増加＋1ヒット威力減衰。強化攻撃の上昇量は攻撃回数で分割。</t>
  </si>
  <si>
    <t>挙動仕様確定・能力名仮案</t>
  </si>
  <si>
    <t>攻撃回数、威力減衰率、端数処理は未確定。ケルベロス、ハイドラ、鬼車、相柳等</t>
  </si>
  <si>
    <t>タイガー_1,ホーク_1,サソリ_1</t>
  </si>
  <si>
    <t>毒棘射出</t>
  </si>
  <si>
    <t>尾の毒棘を遠距離へ射出する攻撃。尾・毒系の既存能力を土台にし、マンティコア固有の遠隔攻撃として扱う候補。</t>
  </si>
  <si>
    <t>仮レシピ。出現敵ではタイガー＋ホーク。尾要素としてクラス原本登録済みのサソリを追加</t>
  </si>
  <si>
    <t>マルチアーム</t>
  </si>
  <si>
    <t>腕を使う攻撃の回数を増加し、1ヒット威力を低下</t>
  </si>
  <si>
    <t>仮能力: 多腕攻撃補正(P) / 腕部強化分割(P) / 必要なら多武器制御(P)。腕部攻撃回数増加＋1ヒット威力減衰。強化攻撃の上昇量は攻撃回数で分割。</t>
  </si>
  <si>
    <t>腕部攻撃の判定方法、攻撃回数、威力減衰率、端数処理は未確定</t>
  </si>
  <si>
    <t>ウルフ_1,ゴースト_1</t>
  </si>
  <si>
    <t>転位残像</t>
  </si>
  <si>
    <t>実体位置をずらした残像で狙いを外させる回避・認識阻害能力。幻覚/命中低下系の既存処理を再利用する候補。</t>
  </si>
  <si>
    <t>出現敵シートの種族＋サブクラス構成から転記</t>
  </si>
  <si>
    <t>光ホーク</t>
  </si>
  <si>
    <t>ライオン_1,ホーク_1</t>
  </si>
  <si>
    <t>急降下強襲</t>
  </si>
  <si>
    <t>飛行状態から高速で接近し、爪または体当たりで強襲する攻撃。翼・爪・突撃系の既存能力を組み合わせる候補。</t>
  </si>
  <si>
    <t>仮レシピ。Notionの魔獣・混成獣系。クラス原本にライオン未登録</t>
  </si>
  <si>
    <t>タイガー_1,スネーク_1,ゴート_1</t>
  </si>
  <si>
    <t>三獣連撃</t>
  </si>
  <si>
    <t>獅子・山羊・蛇など複数の身体部位を連続して使う複合攻撃。攻撃回数や各部位補正は後で調整し、単純な倍率増加にはしない。</t>
  </si>
  <si>
    <t>仮レシピ。出現敵ではタイガー＋スネーク。第三素材ゴートはクラス原本未登録</t>
  </si>
  <si>
    <t>影スネーク</t>
  </si>
  <si>
    <t>ベア_1,鳥系_1</t>
  </si>
  <si>
    <t>梟熊の抱擁</t>
  </si>
  <si>
    <t>爪で掴み、熊の腕力で対象を拘束する近接技。拘束系の既存処理を再利用し、継続中の追加攻撃可否は後で決める。</t>
  </si>
  <si>
    <t>ユーザー確定: 素材はベア1体＋鳥系1体。鳥系は現行ホーク/オウルを許可。合成結果はアウルベア、候補状態は維持。</t>
  </si>
  <si>
    <t>ライオン_1,エンジェル_1</t>
  </si>
  <si>
    <t>謎掛けの呪縛</t>
  </si>
  <si>
    <t>対象に精神・看破系の判定を要求し、失敗時に幻覚や行動阻害を与える妨害スキル。</t>
  </si>
  <si>
    <t>仮レシピ。Notionの魔獣・混成獣系。ライオンはクラス原本未登録</t>
  </si>
  <si>
    <t>リザード_1,スネーク_1</t>
  </si>
  <si>
    <t>幻獣,魔眼</t>
  </si>
  <si>
    <t>石化の魔眼</t>
  </si>
  <si>
    <t>視線攻撃で石化を付与または蓄積する。既存の石化耐性体系に接続する想定。</t>
  </si>
  <si>
    <t>仮レシピ。Notionの魔獣・混成獣系。数量は体構成のみで扱い、巨大化目的では増やさない。リザードはクラス原本未登録</t>
  </si>
  <si>
    <t>スネーク_3,ドレイク_1</t>
  </si>
  <si>
    <t>幻獣,マルチヘッド</t>
  </si>
  <si>
    <t>首再生</t>
  </si>
  <si>
    <t>候補案: 首の個別損耗は管理しない。マルチヘッドによる複数回攻撃は常時維持し、「首再生」はHP再生能力として扱う案。軍隊相当/軍勢級の特殊モンスター扱いも後で検討する。</t>
  </si>
  <si>
    <t>仮レシピ。スネーク3体は巨大化ではなく多頭構成を表す暫定数量。ハイドラを軍隊相当/軍勢級の特殊モンスターとして扱う案は保留候補。首数の個別管理はしない方向で検討。</t>
  </si>
  <si>
    <t>ドレイク_1,ホーク_1</t>
  </si>
  <si>
    <t>毒尾急襲</t>
  </si>
  <si>
    <t>飛行接近から尾針を突き刺し、毒効果を与える攻撃。翼・尾針・毒の既存能力を組み合わせる候補。</t>
  </si>
  <si>
    <t>仮レシピ。Notionではドラゴンとワイバーンは別素体・作業保留のため正式仕様ではない</t>
  </si>
  <si>
    <t>アンケグ_1,アースエレメンタル_1</t>
  </si>
  <si>
    <t>地中強襲</t>
  </si>
  <si>
    <t>地中から接近して足元から奇襲する攻撃。地中移動そのものが未実装なら、先制/命中補正付きの突撃として暫定表現する。</t>
  </si>
  <si>
    <t>仮レシピ。出現敵に存在。巨大化目的の複数個体消費は使わず1体ずつで暫定化。アンケグはクラス原本未登録</t>
  </si>
  <si>
    <t>リザード_1,フレイムエレメンタル_1</t>
  </si>
  <si>
    <t>炎熱皮膚</t>
  </si>
  <si>
    <t>全身の高熱により近接接触した相手へ炎ダメージまたは炎状態を返すパッシブ。通常の炎攻撃はフレイム系能力へ任せる。</t>
  </si>
  <si>
    <t>仮レシピ。出現敵に存在。リザードはクラス原本未登録</t>
  </si>
  <si>
    <t>ベア_1,フロストアニマル_1</t>
  </si>
  <si>
    <t>凍気の咆哮</t>
  </si>
  <si>
    <t>冷気を伴う咆哮で周囲を妨害する範囲技。咆哮系処理と氷属性を組み合わせ、鈍化などの追加効果は後で調整する。</t>
  </si>
  <si>
    <t>仮レシピ。巨大化はクラス側で扱うため、ベア複数消費はしない</t>
  </si>
  <si>
    <t>影ベア</t>
  </si>
  <si>
    <t>ゴースト_1,デヴィル_1</t>
  </si>
  <si>
    <t>中央眼の反魔法</t>
  </si>
  <si>
    <t>中央眼の正面範囲に反魔法効果を展開する。個別の眼攻撃は魔眼クラス側へ任せる。</t>
  </si>
  <si>
    <t>Notion旧「魔法生物」に存在。素材構成は仮。魔眼はクラス原本登録済み</t>
  </si>
  <si>
    <t>ホーク_1,フレイムエレメンタル_1</t>
  </si>
  <si>
    <t>フェニックス</t>
  </si>
  <si>
    <t>転生</t>
  </si>
  <si>
    <t>戦闘不能時に一定条件で復活する固有能力。復活HP・発動遅延・回数制限は後で決定。</t>
  </si>
  <si>
    <t>Notion旧「魔法生物」に存在。炎の鳥として仮レシピ化</t>
  </si>
  <si>
    <t>ウルフ_3,デヴィル_1</t>
  </si>
  <si>
    <t>ケルベロス</t>
  </si>
  <si>
    <t>幻獣,凶獣,マルチヘッド</t>
  </si>
  <si>
    <t>冥府の番犬</t>
  </si>
  <si>
    <t>隠密・霊体系の発見や敵の離脱阻止を行う番犬系能力。三頭攻撃自体はマルチヘッド側で処理する。</t>
  </si>
  <si>
    <t>Notion旧「魔法生物」に存在。ウルフ3体は巨大化ではなく三頭構成を表す暫定数量</t>
  </si>
  <si>
    <t>Notion画像生成・参照管理｜整理版。その他派生は未確定</t>
  </si>
  <si>
    <t>スネーク_1,ストーンゴーレム_1</t>
  </si>
  <si>
    <t>ストーンワーム</t>
  </si>
  <si>
    <t>Notion旧「魔法生物」に存在。素材構成は新規仮案</t>
  </si>
  <si>
    <t>出現敵シート由来。Notion確定6種セット外のため候補</t>
  </si>
  <si>
    <t>ゴブリン_1,ホーク_1</t>
  </si>
  <si>
    <t>天狗</t>
  </si>
  <si>
    <t>妖怪系の新規仮案。ゴブリン・ホークはクラス原本登録済み</t>
  </si>
  <si>
    <t>出現敵シート由来。同じ派生クラスの確定結果「雷ホーク」と競合</t>
  </si>
  <si>
    <t>ゴブリン_1,ウォーターエレメンタル_1</t>
  </si>
  <si>
    <t>河童</t>
  </si>
  <si>
    <t>妖怪系の新規仮案。水棲の人型怪異として暫定</t>
  </si>
  <si>
    <t>出現敵シート由来</t>
  </si>
  <si>
    <t>クモ_1,ゴースト_1</t>
  </si>
  <si>
    <t>絡新婦</t>
  </si>
  <si>
    <t>妖怪系の新規仮案。クモ・ゴーストはクラス原本登録済み</t>
  </si>
  <si>
    <t>出現敵シート由来。同じ派生クラスの確定結果「毒スネーク」と競合</t>
  </si>
  <si>
    <t>ゴースト_1,フレイムエレメンタル_1</t>
  </si>
  <si>
    <t>鬼火</t>
  </si>
  <si>
    <t>怪異系の新規仮案。霊体＋炎の構成</t>
  </si>
  <si>
    <t>出現敵シート由来。同じ派生クラスの確定結果「水スネーク」と競合</t>
  </si>
  <si>
    <t>ゴースト_1,フロストエレメンタル_1</t>
  </si>
  <si>
    <t>雪女</t>
  </si>
  <si>
    <t>妖怪系の新規仮案。霊体＋氷の構成</t>
  </si>
  <si>
    <t>Notion通常動物表。派生結果名はNotion未記載のため未設定</t>
  </si>
  <si>
    <t>モンキー_1,タイガー_1,スネーク_1</t>
  </si>
  <si>
    <t>鵺</t>
  </si>
  <si>
    <t>幻獣,妖獣</t>
  </si>
  <si>
    <t>鵺の鳴声</t>
  </si>
  <si>
    <t>鳴声による音＋精神系の範囲妨害。既存の咆哮・恐怖系処理を再利用する想定。</t>
  </si>
  <si>
    <t>妖怪系の新規仮案。複合獣構成。モンキーはクラス原本未登録</t>
  </si>
  <si>
    <t>スケルトン_1,ゴースト_1</t>
  </si>
  <si>
    <t>がしゃどくろ</t>
  </si>
  <si>
    <t>怪異系の新規仮案。巨大化そのものは数量で表さずクラス側で扱う</t>
  </si>
  <si>
    <t>フォックス_1,ゴースト_1</t>
  </si>
  <si>
    <t>妖狐</t>
  </si>
  <si>
    <t>妖怪系の新規仮案。フォックスは派生表には存在するがクラス原本未登録</t>
  </si>
  <si>
    <t>ライノセラス</t>
  </si>
  <si>
    <t>ボア_1,ウルフ_1,デヴィル_1</t>
  </si>
  <si>
    <t>饕餮</t>
  </si>
  <si>
    <t>幻獣,凶獣</t>
  </si>
  <si>
    <t>貪食</t>
  </si>
  <si>
    <t>対象や死体を捕食してHP回復または一時強化を得る。死体システムとの連携を想定。</t>
  </si>
  <si>
    <t>四凶候補。貪食・強欲の怪物というモチーフから、ボア＋ウルフ＋デヴィルで仮構成</t>
  </si>
  <si>
    <t>タイガー_1,ホーク_1,デヴィル_1</t>
  </si>
  <si>
    <t>窮奇</t>
  </si>
  <si>
    <t>凶風襲撃</t>
  </si>
  <si>
    <t>翼による高速接近と虎系の爪撃を組み合わせる強化攻撃。風属性を固定するかは後で決定。</t>
  </si>
  <si>
    <t>四凶候補。虎に翼を持つ描写を元にしたゲーム向け仮構成</t>
  </si>
  <si>
    <t>タイガー_1,ボア_1,ゴブリン_1</t>
  </si>
  <si>
    <t>檮杌</t>
  </si>
  <si>
    <t>不屈の凶性</t>
  </si>
  <si>
    <t>HP低下時に攻撃・精神耐性・怯み耐性などを強化する瀕死時パッシブ。発動閾値は未定。</t>
  </si>
  <si>
    <t>四凶候補。虎の足・猪の牙・人面という描写を元にしたゲーム向け仮構成</t>
  </si>
  <si>
    <t>エレファント</t>
  </si>
  <si>
    <t>スライム_1,エアエレメンタル_1,デヴィル_1</t>
  </si>
  <si>
    <t>混沌</t>
  </si>
  <si>
    <t>無貌の混沌</t>
  </si>
  <si>
    <t>姿の認識を妨げ、命中・看破・幻覚系へ干渉する能力。ランダムではなく固定効果として設計する。</t>
  </si>
  <si>
    <t>四凶候補。無貌・翼を持つ異形/混沌のモチーフから作ったゲーム向け仮構成</t>
  </si>
  <si>
    <t>ドレイク_1,シーアニマル_1,ウィンドアニマル_1</t>
  </si>
  <si>
    <t>青龍</t>
  </si>
  <si>
    <t>幻獣,神獣</t>
  </si>
  <si>
    <t>青龍の雨</t>
  </si>
  <si>
    <t>周囲に雨を発生させ、水系強化・炎抑制などを行う支援能力。天候未接続なら範囲バフ/デバフ化する。</t>
  </si>
  <si>
    <t>四神候補。龍＋水＋風で東方の神獣として仮構成</t>
  </si>
  <si>
    <t>タイガー_1,エンジェル_1</t>
  </si>
  <si>
    <t>白虎</t>
  </si>
  <si>
    <t>白虎の破邪</t>
  </si>
  <si>
    <t>牙・爪攻撃に魔族やアンデッドなどへの対不浄効果を加える攻撃スキル。</t>
  </si>
  <si>
    <t>四神候補。虎を基礎に神獣性を加えた仮構成。金属系クラスは現行原本にないため未使用</t>
  </si>
  <si>
    <t>ホーク_1,フレイムエレメンタル_1,ソルアニマル_1</t>
  </si>
  <si>
    <t>朱雀</t>
  </si>
  <si>
    <t>朱雀再生</t>
  </si>
  <si>
    <t>炎をまとい継続的にHPを回復する再生能力。フェニックスの転生とは異なり完全復活はしない。</t>
  </si>
  <si>
    <t>四神候補。鳥＋炎＋太陽の仮構成</t>
  </si>
  <si>
    <t>タートル_1,スネーク_1,シーアニマル_1</t>
  </si>
  <si>
    <t>玄武</t>
  </si>
  <si>
    <t>玄武結界</t>
  </si>
  <si>
    <t>自身または周囲の味方に物理/魔法ガードや耐性を付与する防御結界。</t>
  </si>
  <si>
    <t>四神候補。亀＋蛇＋水の仮構成。タートルは派生表にはあるがクラス原本未登録</t>
  </si>
  <si>
    <t>ゴート_1,エンジェル_1</t>
  </si>
  <si>
    <t>白沢</t>
  </si>
  <si>
    <t>幻獣,神獣,魔眼</t>
  </si>
  <si>
    <t>万物看破</t>
  </si>
  <si>
    <t>看破・索敵を大きく高め、幻覚・隠密・罠などを見抜く情報系パッシブ。</t>
  </si>
  <si>
    <t>東方霊獣候補。知識・見通す性質をゲーム向けに魔眼ボーナスクラスで仮表現。ゴートはクラス原本未登録</t>
  </si>
  <si>
    <t>キャメル</t>
  </si>
  <si>
    <t>ディア_1,ホース_1,エンジェル_1</t>
  </si>
  <si>
    <t>麒麟</t>
  </si>
  <si>
    <t>瑞兆</t>
  </si>
  <si>
    <t>周囲の味方へ士気・精神耐性・状態異常耐性などを与える支援オーラ。</t>
  </si>
  <si>
    <t>東方霊獣候補。鹿・馬系の神獣として仮構成。ディアはクラス原本未登録</t>
  </si>
  <si>
    <t>フォックス_1,ムーンアニマル_1,ゴースト_1</t>
  </si>
  <si>
    <t>九尾狐</t>
  </si>
  <si>
    <t>幻獣,妖獣,エヴォリューション・テイル</t>
  </si>
  <si>
    <t>九尾幻界</t>
  </si>
  <si>
    <t>広範囲へ幻覚・認識阻害を与える妖術。九尾そのものはテイル系クラスで表現する。</t>
  </si>
  <si>
    <t>妖怪・霊獣候補。多尾は数量増加ではなく尾系ボーナスクラスで表現。フォックスはクラス原本未登録</t>
  </si>
  <si>
    <t>ドレイク_1,エンジェル_1,エアエレメンタル_1</t>
  </si>
  <si>
    <t>応龍</t>
  </si>
  <si>
    <t>幻獣,神獣,エヴォリューション・ウィング</t>
  </si>
  <si>
    <t>応龍の豪雨</t>
  </si>
  <si>
    <t>強い雨や水流で広範囲を制圧する攻撃寄り能力。青龍の雨より攻撃性能を重視する。</t>
  </si>
  <si>
    <t>東方龍種候補。翼ある龍として仮構成。翼はボーナスクラスで表現</t>
  </si>
  <si>
    <t>ホーク_9,ゴースト_1</t>
  </si>
  <si>
    <t>鬼車</t>
  </si>
  <si>
    <t>幻獣,妖獣,マルチヘッド</t>
  </si>
  <si>
    <t>九首啼哭</t>
  </si>
  <si>
    <t>複数の頭が同時に鳴き、広範囲へ音・恐怖効果を与える。通常攻撃回数増加はマルチヘッド側で処理。</t>
  </si>
  <si>
    <t>怪鳥候補。九頭鳥の構成を表すためホーク9体を要求する仮レシピ。巨大化目的の数量ではない</t>
  </si>
  <si>
    <t>スネーク_9,ポイズンアニマル_1</t>
  </si>
  <si>
    <t>相柳</t>
  </si>
  <si>
    <t>九首毒河</t>
  </si>
  <si>
    <t>毒を含む水流・毒液を広範囲へ撒く制圧技。九頭の通常攻撃回数はマルチヘッド側で処理する。</t>
  </si>
  <si>
    <t>怪異候補。九頭の蛇という構成を表すためスネーク9体を要求する仮レシピ。巨大化目的の数量ではない</t>
  </si>
  <si>
    <t>ウルフ_1,フロストアニマル_1,ムーンアニマル_1</t>
  </si>
  <si>
    <t>フェンリル</t>
  </si>
  <si>
    <t>終末の牙</t>
  </si>
  <si>
    <t>牙を使う高威力の強化攻撃。防御・ガード突破寄りで、氷や月などの属性は属性進化クラス側に任せる。</t>
  </si>
  <si>
    <t>仮レシピ。既存のウルフ＋フロストアニマル→氷ウルフと競合しないよう、ムーンアニマルを追加した3素材合成候補。固有スキル「終末の牙」も仮案</t>
  </si>
  <si>
    <t>クラブ</t>
  </si>
  <si>
    <t>スクイード</t>
  </si>
  <si>
    <t>スラッグ</t>
  </si>
  <si>
    <t>ラビット</t>
  </si>
  <si>
    <t>2026-10-10生成修正メモ</t>
  </si>
  <si>
    <t>2026-10-10生成修正メモ。アルミラージ風の外見</t>
  </si>
  <si>
    <t>アルマジロ</t>
  </si>
  <si>
    <t>未設定</t>
  </si>
  <si>
    <t>Notion動物系。派生未設定</t>
  </si>
  <si>
    <t>レイブン</t>
  </si>
  <si>
    <t>Notion一般生物の追加候補</t>
  </si>
  <si>
    <t>バット</t>
  </si>
  <si>
    <t>ラット</t>
  </si>
  <si>
    <t>ゴリラ</t>
  </si>
  <si>
    <t>Notion追加候補。今回は後回し</t>
  </si>
  <si>
    <t>Notion昆虫系採用対象。派生未設定</t>
  </si>
  <si>
    <t>スパイダー</t>
  </si>
  <si>
    <t>センティピード</t>
  </si>
  <si>
    <t>カブトムシ</t>
  </si>
  <si>
    <t>旧ビートルを分割して採用</t>
  </si>
  <si>
    <t>マンティス</t>
  </si>
  <si>
    <t>ローカスト</t>
  </si>
  <si>
    <t>アント</t>
  </si>
  <si>
    <t>ワスプ</t>
  </si>
  <si>
    <t>ドラゴンフライ</t>
  </si>
  <si>
    <t>Notionで昆虫系へ移動済み。派生未設定</t>
  </si>
  <si>
    <t>モス</t>
  </si>
  <si>
    <t>ハウンド</t>
  </si>
  <si>
    <t>Notion旧動物表。現行候補から外れた旧項目</t>
  </si>
  <si>
    <t>Notion旧虫系名称。現行はカブトムシ/クワガタへ分割</t>
  </si>
  <si>
    <t>Notion昆虫・甲殻・地中生物旧一覧。パープルワームはデザートワーム系の上位・毒派生候補として扱う。固有スキル候補: 丸呑み（大型の口で対象を捕食・拘束し、即死ではなく拘束・継続ダメージ方向で設計）。</t>
  </si>
  <si>
    <t>Notion昆虫・甲殻・地中生物旧一覧</t>
  </si>
  <si>
    <t>ケイブワーム</t>
  </si>
  <si>
    <t>サンドリーチ</t>
  </si>
  <si>
    <t>カテゴリ名</t>
  </si>
  <si>
    <t>基本発生率</t>
  </si>
  <si>
    <t>初期判定ターン数</t>
  </si>
  <si>
    <t>影響半径</t>
  </si>
  <si>
    <t>溶岩最大進行マス</t>
  </si>
  <si>
    <t>溶岩停止率</t>
  </si>
  <si>
    <t>溶岩方向維持角度</t>
  </si>
  <si>
    <t>周囲産出倍率</t>
  </si>
  <si>
    <t>効果継続ターン</t>
  </si>
  <si>
    <t>人口減少最小</t>
  </si>
  <si>
    <t>人口減少最大</t>
  </si>
  <si>
    <t>治安減少</t>
  </si>
  <si>
    <t>対象地形</t>
  </si>
  <si>
    <t>対象種別</t>
  </si>
  <si>
    <t>最大HP割合ダメージ</t>
  </si>
  <si>
    <t>敵生成</t>
  </si>
  <si>
    <t>アンデッド発生補正</t>
  </si>
  <si>
    <t>アイコン</t>
  </si>
  <si>
    <t>有効</t>
  </si>
  <si>
    <t>同一マス待機ターン</t>
  </si>
  <si>
    <t>実装メモ</t>
  </si>
  <si>
    <t>移動時最大HP割合ダメージ</t>
  </si>
  <si>
    <t>滞在ダメージ倍率</t>
  </si>
  <si>
    <t>ダメージ属性</t>
  </si>
  <si>
    <t>ダメージ威力</t>
  </si>
  <si>
    <t>移動時ダメージ威力</t>
  </si>
  <si>
    <t>被害範囲方式</t>
  </si>
  <si>
    <t>ランダム被害マス数</t>
  </si>
  <si>
    <t>ランダム被害基準マス数</t>
  </si>
  <si>
    <t>発生方法</t>
  </si>
  <si>
    <t>発生条件</t>
  </si>
  <si>
    <t>必要継続ターン</t>
  </si>
  <si>
    <t>常設危険地帯</t>
  </si>
  <si>
    <t>危険地帯効果</t>
  </si>
  <si>
    <t>地形災害処理</t>
  </si>
  <si>
    <t>攻撃発生属性</t>
  </si>
  <si>
    <t>威力軽減</t>
  </si>
  <si>
    <t>地形耐久</t>
  </si>
  <si>
    <t>地形被害倍率</t>
  </si>
  <si>
    <t>高度低下</t>
  </si>
  <si>
    <t>撤去AP</t>
  </si>
  <si>
    <t>変化後地形</t>
  </si>
  <si>
    <t>発生猶予ターン</t>
  </si>
  <si>
    <t>災害詳細設定</t>
  </si>
  <si>
    <t>災害種別</t>
  </si>
  <si>
    <t>山火事</t>
  </si>
  <si>
    <t>通過時は炎威力20、発生時/毎ターンの滞在時は炎威力60で通常ダメージ計算。防御・炎耐性・盾/障壁を適用する。</t>
  </si>
  <si>
    <t>災害:山火事</t>
  </si>
  <si>
    <t>森林,森</t>
  </si>
  <si>
    <t>terrain</t>
  </si>
  <si>
    <t>自然災害_アイコン一覧.webp</t>
  </si>
  <si>
    <t>炎の威力ダメージと通過/滞在3倍を実装。HP割合なし。火炎地への恒久変化は未対応。</t>
  </si>
  <si>
    <t>条件付き,魔法</t>
  </si>
  <si>
    <t>乾燥</t>
  </si>
  <si>
    <t>川と海近辺の土地から収穫量が半減し、都市にダメージ</t>
  </si>
  <si>
    <t>災害:洪水</t>
  </si>
  <si>
    <t>河川,海,湖,湿地,沼</t>
  </si>
  <si>
    <t>水流の打撃威力20（暫定）。現行に水耐性がないため打撃耐性を使用。HP割合なし。産出/治安は従来通り。</t>
  </si>
  <si>
    <t>全域</t>
  </si>
  <si>
    <t>豪雨</t>
  </si>
  <si>
    <t>干ばつ</t>
  </si>
  <si>
    <t>農地の資源生産が低下する</t>
  </si>
  <si>
    <t>災害:干ばつ</t>
  </si>
  <si>
    <t>平地,草原,荒野,砂漠</t>
  </si>
  <si>
    <t>乾</t>
  </si>
  <si>
    <t>産出/治安/HP割合被害/追加個体は実装済み。説明文の移動・地形変化等の専用効果は別途対応。</t>
  </si>
  <si>
    <t>飛行ユニットの移動コストが3倍 射撃の命中が-25%</t>
  </si>
  <si>
    <t>災害:暴風</t>
  </si>
  <si>
    <t>強風</t>
  </si>
  <si>
    <t>範囲内の岩地・山地が断崖へ変化する5%か土砂崩れ10%が起きる可能性 洞窟が10%で崩落。スキルの場合は威力/200毎に起きる倍率がかかる。</t>
  </si>
  <si>
    <t>災害:地震</t>
  </si>
  <si>
    <t>山,岩,丘</t>
  </si>
  <si>
    <t>震</t>
  </si>
  <si>
    <t>打撃威力40（暫定）の通常ダメージ計算へ移行。HP割合なし。地形変化等の専用効果は別途。</t>
  </si>
  <si>
    <t>自然,魔法</t>
  </si>
  <si>
    <t>落雷嵐</t>
  </si>
  <si>
    <t>毎ターン範囲内3マスにつき1発。自然の落雷威力は湿度65〜100に応じ140〜250、魔法由来は200。端数は余り÷3の確率で1発追加。</t>
  </si>
  <si>
    <t>災害:落雷嵐</t>
  </si>
  <si>
    <t>威力範囲/魔法威力は災害詳細設定。湿度から確定計算して保存し、同じターンの再抽選をしない。</t>
  </si>
  <si>
    <t>ランダム</t>
  </si>
  <si>
    <t>{"powerRange":{"minimum":140,"maximum":250,"humidityMinimum":65,"humidityMaximum":100},"magicPower":200}</t>
  </si>
  <si>
    <t>大寒波</t>
  </si>
  <si>
    <t>雪原・氷原が拡大し移動コスト2倍</t>
  </si>
  <si>
    <t>災害:大寒波</t>
  </si>
  <si>
    <t>雪,氷,山</t>
  </si>
  <si>
    <t>冷</t>
  </si>
  <si>
    <t>寒冷</t>
  </si>
  <si>
    <t>熱波</t>
  </si>
  <si>
    <t>平地の生産量が半減</t>
  </si>
  <si>
    <t>災害:熱波</t>
  </si>
  <si>
    <t>熱</t>
  </si>
  <si>
    <t>高温</t>
  </si>
  <si>
    <t>火山噴火</t>
  </si>
  <si>
    <t>溶岩地が発生し周囲に120ダメージ</t>
  </si>
  <si>
    <t>災害:火山噴火</t>
  </si>
  <si>
    <t>噴</t>
  </si>
  <si>
    <t>専用火山システムを使用。その他の列は共通災害用。</t>
  </si>
  <si>
    <t>専用処理,魔法</t>
  </si>
  <si>
    <t>土砂崩れ</t>
  </si>
  <si>
    <t>山地周辺が通行不可になる</t>
  </si>
  <si>
    <t>災害:土砂崩れ</t>
  </si>
  <si>
    <t>崩</t>
  </si>
  <si>
    <t>闇侵食</t>
  </si>
  <si>
    <t>呪域が拡大し精神低下</t>
  </si>
  <si>
    <t>災害:闇侵食</t>
  </si>
  <si>
    <t>死の霧,呪</t>
  </si>
  <si>
    <t>不浄</t>
  </si>
  <si>
    <t>聖光暴発</t>
  </si>
  <si>
    <t>光属性ダメージが定期発生</t>
  </si>
  <si>
    <t>災害:聖光暴発</t>
  </si>
  <si>
    <t>聖</t>
  </si>
  <si>
    <t>光威力40（暫定）の通常ダメージ計算へ移行。HP割合なし。地形変化等の専用効果は別途。</t>
  </si>
  <si>
    <t>イベント,魔法</t>
  </si>
  <si>
    <t>重力異常</t>
  </si>
  <si>
    <t>移動力コスト倍・飛行不可</t>
  </si>
  <si>
    <t>災害:重力異常</t>
  </si>
  <si>
    <t>重</t>
  </si>
  <si>
    <t>時間歪曲</t>
  </si>
  <si>
    <t>APの自然回復量がランダムで75%~125%になる</t>
  </si>
  <si>
    <t>災害:時間歪曲</t>
  </si>
  <si>
    <t>時</t>
  </si>
  <si>
    <t>空間歪曲</t>
  </si>
  <si>
    <t>移動コストがランダムで50%~150%になる
射程がランダムで50%~150%になる</t>
  </si>
  <si>
    <t>災害:空間歪曲</t>
  </si>
  <si>
    <t>空</t>
  </si>
  <si>
    <t>魂嵐</t>
  </si>
  <si>
    <t>精神ダメージが20~40継続発生</t>
  </si>
  <si>
    <t>災害:魂嵐</t>
  </si>
  <si>
    <t>精神威力30（暫定）の通常ダメージ計算へ移行。HP割合なし。地形変化等の専用効果は別途。</t>
  </si>
  <si>
    <t>瘴気</t>
  </si>
  <si>
    <t>地形にいると毒20~50ダメージ</t>
  </si>
  <si>
    <t>災害:瘴気</t>
  </si>
  <si>
    <t>沼,湿地,死の霧</t>
  </si>
  <si>
    <t>瘴</t>
  </si>
  <si>
    <t>毒威力20（暫定）の通常ダメージ計算へ移行。HP割合なし。地形変化等の専用効果は別途。</t>
  </si>
  <si>
    <t>疫病</t>
  </si>
  <si>
    <t>人口減少・戦闘力低下</t>
  </si>
  <si>
    <t>災害:疫病</t>
  </si>
  <si>
    <t>settlement</t>
  </si>
  <si>
    <t>病</t>
  </si>
  <si>
    <t>条件イベント,魔法</t>
  </si>
  <si>
    <t>反乱</t>
  </si>
  <si>
    <t>幸福度が不満になると発生。一定地域で敵対勢力が発生。レベルは都市レベルによる</t>
  </si>
  <si>
    <t>災害:反乱</t>
  </si>
  <si>
    <t>乱</t>
  </si>
  <si>
    <t>飢饉</t>
  </si>
  <si>
    <t>食料不足で発生 指揮が大幅低下、行動成功率-25%</t>
  </si>
  <si>
    <t>災害:飢饉</t>
  </si>
  <si>
    <t>飢</t>
  </si>
  <si>
    <t>資源枯渇</t>
  </si>
  <si>
    <t>資源不足で発生。町の壁の耐久が半減する。</t>
  </si>
  <si>
    <t>災害:資源枯渇</t>
  </si>
  <si>
    <t>枯</t>
  </si>
  <si>
    <t>信仰崩壊</t>
  </si>
  <si>
    <t>士気低下・聖系弱体</t>
  </si>
  <si>
    <t>災害:信仰崩壊</t>
  </si>
  <si>
    <t>信</t>
  </si>
  <si>
    <t>経済恐慌</t>
  </si>
  <si>
    <t>収入減少</t>
  </si>
  <si>
    <t>災害:経済恐慌</t>
  </si>
  <si>
    <t>恐</t>
  </si>
  <si>
    <t>魔獣暴走</t>
  </si>
  <si>
    <t>野外動物ユニットが増加</t>
  </si>
  <si>
    <t>災害:魔獣暴走</t>
  </si>
  <si>
    <t>流星落下</t>
  </si>
  <si>
    <t>高威力範囲ダメージ</t>
  </si>
  <si>
    <t>災害:流星落下</t>
  </si>
  <si>
    <t>星</t>
  </si>
  <si>
    <t>打撃威力100（暫定）の通常ダメージ計算へ移行。HP割合なし。地形変化等の専用効果は別途。</t>
  </si>
  <si>
    <t>侵入/滞在時に酸被害。暫定で毒耐性を共用。</t>
  </si>
  <si>
    <t>危険地帯:酸の沼</t>
  </si>
  <si>
    <t>沼地,洞窟</t>
  </si>
  <si>
    <t>酸</t>
  </si>
  <si>
    <t>常設環境レイヤー。配置密度・威力は暫定。酸は既存の毒耐性を共用。</t>
  </si>
  <si>
    <t>常設</t>
  </si>
  <si>
    <t>{"color":"#A4C742","contact":true,"acid":true}</t>
  </si>
  <si>
    <t>滞在で毒を受ける。</t>
  </si>
  <si>
    <t>危険地帯:毒沼</t>
  </si>
  <si>
    <t>湿地,森</t>
  </si>
  <si>
    <t>{"color":"#6C9A3A","contact":true,"poisonPower":10,"poisonTurns":3}</t>
  </si>
  <si>
    <t>内外・霧越しの索敵にペナルティ。</t>
  </si>
  <si>
    <t>危険地帯:常霧の谷</t>
  </si>
  <si>
    <t>峡谷,湖</t>
  </si>
  <si>
    <t>霧</t>
  </si>
  <si>
    <t>{"color":"#DCE7EB","fog":true,"windSuppressTurns":3}</t>
  </si>
  <si>
    <t>熱・有毒ガスによる被害。</t>
  </si>
  <si>
    <t>危険地帯:噴気地帯</t>
  </si>
  <si>
    <t>煙</t>
  </si>
  <si>
    <t>{"color":"#CFB879","poisonPower":8,"poisonTurns":3}</t>
  </si>
  <si>
    <t>冷気ダメージ・移動負担。</t>
  </si>
  <si>
    <t>危険地帯:極寒地帯</t>
  </si>
  <si>
    <t>雪原,山岳</t>
  </si>
  <si>
    <t>寒</t>
  </si>
  <si>
    <t>{"color":"#83D9FA","movementMultiplier":1.5}</t>
  </si>
  <si>
    <t>回復阻害・不浄が蓄積。</t>
  </si>
  <si>
    <t>危険地帯:瘴気地帯</t>
  </si>
  <si>
    <t>廃墟,洞窟</t>
  </si>
  <si>
    <t>{"color":"#A6BD48","recoveryMultiplier":0.5,"purificationLoss":1,"windSuppressTurns":3}</t>
  </si>
  <si>
    <t>丘陵崩壊</t>
  </si>
  <si>
    <t>強い攻撃で耐久を削り、高度低下と落石を予告する。</t>
  </si>
  <si>
    <t>地形災害:丘陵崩壊</t>
  </si>
  <si>
    <t>地形破壊</t>
  </si>
  <si>
    <t>物理/打撃</t>
  </si>
  <si>
    <t>山岳崩壊</t>
  </si>
  <si>
    <t>山岳・岩場の耐久が0になると高度低下と落石を予告する。</t>
  </si>
  <si>
    <t>地形災害:山岳崩壊</t>
  </si>
  <si>
    <t>山岳/岩場</t>
  </si>
  <si>
    <t>洞窟落盤</t>
  </si>
  <si>
    <t>岩壁の耐久が0になると通路に変わり、隣接通路への落石を予告する。</t>
  </si>
  <si>
    <t>地形災害:洞窟落盤</t>
  </si>
  <si>
    <t>岩壁</t>
  </si>
  <si>
    <t>猶予後に通常の防御・耐性で被害を計算し、瓦礫を残す。</t>
  </si>
  <si>
    <t>地形災害:落石</t>
  </si>
  <si>
    <t>瓦礫</t>
  </si>
  <si>
    <t>進入と射線を遮る。攻撃または隣接して撤去し、耐久0で消える。</t>
  </si>
  <si>
    <t>地形災害:瓦礫</t>
  </si>
  <si>
    <t>砂漠・荒野で索敵と視界、射撃命中にペナルティ。</t>
  </si>
  <si>
    <t>災害:砂嵐</t>
  </si>
  <si>
    <t>砂漠/荒野</t>
  </si>
  <si>
    <t>{"visionPenalty":1,"scoutPenalty":25,"rangedAccuracyMultiplier":0.75}</t>
  </si>
  <si>
    <t>雪崩</t>
  </si>
  <si>
    <t>雪山の斜面を低い方へ進み、打撃被害と瓦礫を残す。</t>
  </si>
  <si>
    <t>災害:雪崩</t>
  </si>
  <si>
    <t>雪山/雪原/山岳</t>
  </si>
  <si>
    <t>{"movement":"downhill","stepsPerTurn":1,"minimumHeight":2,"rubbleDurability":100}</t>
  </si>
  <si>
    <t>打撃・切断の複合被害。怯み耐性で軽減した判定値に応じて外側へ吹き飛ばす。</t>
  </si>
  <si>
    <t>災害:竜巻</t>
  </si>
  <si>
    <t>平地/草原/荒野</t>
  </si>
  <si>
    <t>打撃/切断</t>
  </si>
  <si>
    <t>{"movement":"drift","stepsPerTurn":1,"damageComponents":[{"element":"打撃","weight":1},{"element":"切断","weight":1}],"knockback":{"resistanceKey":"怯み耐性","powerPerTile":50,"maximumDistance":3}}</t>
  </si>
  <si>
    <t>温暖な海で発生し移動。暖かい海で発達し、陸地・冷たい海では衰弱する。範囲内を豪雨にし、洪水・土砂崩れ・暴風の条件に接続する。範囲内外・横断の索敵と視界に霧と同じペナルティ。 台風威力を防御で軽減し移動・飛行を低下（中心最大、外縁半分、飛行2倍）。直接HP被害なし。 地域の風向へ毎T最大60度ずつ進路を寄せる。</t>
  </si>
  <si>
    <t>災害:台風</t>
  </si>
  <si>
    <t>{"movement":"drift","stepsPerTurn":1,"minimumClimateTemperature":20,"weather":"豪雨","weatherHumidity":100,"rangedAccuracyMultiplier":0.75,"maximumRadius":4,"radiusGrowthPerTurn":1,"fogPenalty":true,"radiusDecayPerTurn":1,"movementImpediment":{"power":100,"reductionPerPower":0.005,"edgeMultiplier":0.5,"flightMultiplier":2,"maximumReduction":0.9},"followWind":true,"windTurnSteps":1}</t>
  </si>
  <si>
    <t>近海の地震を条件に沿岸で発生。低地へ進み、打撃被害を与える。影響範囲内の完成施設にも威力に応じたHP被害を与え、拠点の防御・打撃耐性・災害耐性で軽減する。施設HP0は損壊し、修理で復旧する。</t>
  </si>
  <si>
    <t>災害:津波</t>
  </si>
  <si>
    <t>{"movement":"coast","stepsPerTurn":1,"maximumHeight":1,"triggerDisaster":"災害:地震","triggerRadius":6,"facilityDamageMultiplier":1}</t>
  </si>
  <si>
    <t>データ分類</t>
  </si>
  <si>
    <t>地図表示優先度</t>
  </si>
  <si>
    <t>対応技能</t>
  </si>
  <si>
    <t>表示名</t>
  </si>
  <si>
    <t>ユニット種別</t>
  </si>
  <si>
    <t>必要軍事Lv</t>
  </si>
  <si>
    <t>人口消費</t>
  </si>
  <si>
    <t>HP倍率</t>
  </si>
  <si>
    <t>攻撃回数</t>
  </si>
  <si>
    <t>簡易行動限定</t>
  </si>
  <si>
    <t>表示順</t>
  </si>
  <si>
    <t>収入倍率</t>
  </si>
  <si>
    <t>都市名</t>
  </si>
  <si>
    <t>基本情報</t>
  </si>
  <si>
    <t>都市の名称</t>
  </si>
  <si>
    <t>都市規模</t>
  </si>
  <si>
    <t>人口規模段階（小都市・中都市・大都市など）。上限人口や建設可能施設数に影響</t>
  </si>
  <si>
    <t>鍛冶Lv</t>
  </si>
  <si>
    <t>研究Lv</t>
  </si>
  <si>
    <t>作成できる武具などに影響、建設にもかかわってる</t>
  </si>
  <si>
    <t>魔法Lv</t>
  </si>
  <si>
    <t>魔法研究・結界・魔導兵器の水準。魔法系兵種や防衛魔法に影響</t>
  </si>
  <si>
    <t>信仰Lv</t>
  </si>
  <si>
    <t>神殿規模や宗教影響力。不死対策・祝福効果・士気補正に影響</t>
  </si>
  <si>
    <t>軍事Lv</t>
  </si>
  <si>
    <t>兵舎・防壁・兵器開発の水準。徴兵上限・防衛力・上位兵種解放に影響</t>
  </si>
  <si>
    <t>経済Lv</t>
  </si>
  <si>
    <t>技術発展・住民意識の高さ。幸福度・開発効率・反乱抑制に影響</t>
  </si>
  <si>
    <t>人口</t>
  </si>
  <si>
    <t>都市の総人口。税収・徴兵可能人数の基礎</t>
  </si>
  <si>
    <t>安定する人口数、多すぎたり少なすぎるとペナルティ</t>
  </si>
  <si>
    <t>労働人口</t>
  </si>
  <si>
    <t>生産に従事可能な人数。資源生産量に影響</t>
  </si>
  <si>
    <t>徴兵率</t>
  </si>
  <si>
    <t>軍事</t>
  </si>
  <si>
    <t>人口に対する兵役割合。軍事力↑ 治安↓ 幸福↓</t>
  </si>
  <si>
    <t>冒険者率</t>
  </si>
  <si>
    <t>軍事/外部</t>
  </si>
  <si>
    <t>都市外活動人口割合。ダンジョン攻略や外征イベント発生率に影響</t>
  </si>
  <si>
    <t>表示しない</t>
  </si>
  <si>
    <t>英雄の発生率。</t>
  </si>
  <si>
    <t>軍隊の所持可能率</t>
  </si>
  <si>
    <t>イベント設定</t>
  </si>
  <si>
    <t>運営</t>
  </si>
  <si>
    <t>祭り・宗教儀式・徴兵強化などの都市方針設定</t>
  </si>
  <si>
    <t>道路発展数</t>
  </si>
  <si>
    <t>インフラ</t>
  </si>
  <si>
    <t>他都市接続数や道路整備度。貿易力・補給力・軍移動速度に影響</t>
  </si>
  <si>
    <t>治安</t>
  </si>
  <si>
    <t>安定度</t>
  </si>
  <si>
    <t>犯罪・反乱発生率に影響。低いと災害・暴動発生</t>
  </si>
  <si>
    <t>幸福度</t>
  </si>
  <si>
    <t>市民の不満がどのくらいあるか。高いと指揮にボーナス。低いと指揮にペナルティ</t>
  </si>
  <si>
    <t>環境安定度</t>
  </si>
  <si>
    <t>自然災害発生率や資源回復速度に影響</t>
  </si>
  <si>
    <t>治癒力</t>
  </si>
  <si>
    <t>自陣営内でのHP回復量</t>
  </si>
  <si>
    <t>アンデッドが発生しにくくなる。弱体化する。</t>
  </si>
  <si>
    <t>アンデッドが発生しやすくなる。強化される。</t>
  </si>
  <si>
    <t>生産力</t>
  </si>
  <si>
    <t>食料</t>
  </si>
  <si>
    <t>主食資源。人口維持の基礎</t>
  </si>
  <si>
    <t>食料多様性補正。幸福度に影響</t>
  </si>
  <si>
    <t>兵士向け高栄養資源。軍維持効率に影響</t>
  </si>
  <si>
    <t>沿岸都市補正資源。食料安定性に影響</t>
  </si>
  <si>
    <t>建設・兵器材料の基礎資源</t>
  </si>
  <si>
    <t>高級建築・特殊兵装用素材</t>
  </si>
  <si>
    <t>魔法装備や特別施設用素材</t>
  </si>
  <si>
    <t>城壁・建築物の基礎資源</t>
  </si>
  <si>
    <t>金属</t>
  </si>
  <si>
    <t>通常武器防具の基礎素材</t>
  </si>
  <si>
    <t>対魔装備や上位兵装素材</t>
  </si>
  <si>
    <t>高級兵装・重装兵解放素材</t>
  </si>
  <si>
    <t>最上級武器・特殊兵器用素材</t>
  </si>
  <si>
    <t>貴金属</t>
  </si>
  <si>
    <t>貨幣基礎・高級取引素材</t>
  </si>
  <si>
    <t>中級貨幣・宗教用途</t>
  </si>
  <si>
    <t>魔法触媒・上級装備素材・交易高額品</t>
  </si>
  <si>
    <t>特殊資源</t>
  </si>
  <si>
    <t>アンデッドの増加に必要</t>
  </si>
  <si>
    <t>特殊な種族の増加に必要</t>
  </si>
  <si>
    <t>死人</t>
  </si>
  <si>
    <t>合計死亡数</t>
  </si>
  <si>
    <t>誕生</t>
  </si>
  <si>
    <t>合計誕生数</t>
  </si>
  <si>
    <t>normal</t>
  </si>
  <si>
    <t>ユニット作成</t>
  </si>
  <si>
    <t>ネームドキャラクター用の通常ユニット</t>
  </si>
  <si>
    <t>ヒーローユニット</t>
  </si>
  <si>
    <t>army</t>
  </si>
  <si>
    <t>モブ兵士3人分をまとめた軍隊ユニット</t>
  </si>
  <si>
    <t>軍隊ユニット</t>
  </si>
  <si>
    <t>elite_army</t>
  </si>
  <si>
    <t>高研究Lvで作成できる強化軍隊ユニット</t>
  </si>
  <si>
    <t>強化軍隊ユニット</t>
  </si>
  <si>
    <t>精鋭軍隊</t>
  </si>
  <si>
    <t>経済Lv倍率</t>
  </si>
  <si>
    <t>経済Lv1の資源収入倍率</t>
  </si>
  <si>
    <t>経済Lv2の資源収入倍率</t>
  </si>
  <si>
    <t>経済Lv3の資源収入倍率</t>
  </si>
  <si>
    <t>経済Lv4の資源収入倍率</t>
  </si>
  <si>
    <t>地質調査Lv</t>
  </si>
  <si>
    <t>地質調査による調査済みマスの発見解禁</t>
  </si>
  <si>
    <t>生態調査Lv</t>
  </si>
  <si>
    <t>生態調査による調査済みマスの発見解禁</t>
  </si>
  <si>
    <t>地下探索Lv</t>
  </si>
  <si>
    <t>地下探索による調査済みマスの発見解禁</t>
  </si>
  <si>
    <t>調査Lv</t>
  </si>
  <si>
    <t>調査カテゴリ共通。地質・生態の発見対象はそれぞれの研究IDで判定。</t>
  </si>
  <si>
    <t>項目名</t>
  </si>
  <si>
    <t>レア度</t>
  </si>
  <si>
    <t>影響タイプ</t>
  </si>
  <si>
    <t>条件</t>
  </si>
  <si>
    <t>影響先パラメータ</t>
  </si>
  <si>
    <t>必要拠点Lv</t>
  </si>
  <si>
    <t>食料産出補正</t>
  </si>
  <si>
    <t>資材産出補正</t>
  </si>
  <si>
    <t>領土被ダメージ軽減</t>
  </si>
  <si>
    <t>切替待機T</t>
  </si>
  <si>
    <t>研究EXP補正</t>
  </si>
  <si>
    <t>訓練EXP補正</t>
  </si>
  <si>
    <t>運搬容量補正</t>
  </si>
  <si>
    <t>召喚Lv補正</t>
  </si>
  <si>
    <t>効果範囲</t>
  </si>
  <si>
    <t>常時発動スキル</t>
  </si>
  <si>
    <t>耐性</t>
  </si>
  <si>
    <t>災害耐性</t>
  </si>
  <si>
    <t>魔法都市</t>
  </si>
  <si>
    <t>通常</t>
  </si>
  <si>
    <t>都市補正</t>
  </si>
  <si>
    <t>魔法Lv:3以上</t>
  </si>
  <si>
    <t>魔術|召喚Lv補正|幸福度</t>
  </si>
  <si>
    <t>通常特化1枠。固有効果の数値はN:Z列（初期調整値）。条件・切替は既存列を使用。</t>
  </si>
  <si>
    <t>所属領土</t>
  </si>
  <si>
    <t>軍事都市</t>
  </si>
  <si>
    <t>軍事Lv:3以上</t>
  </si>
  <si>
    <t>訓練EXP補正|軍隊|治安|領土被ダメージ軽減</t>
  </si>
  <si>
    <t>交易都市</t>
  </si>
  <si>
    <t>経済Lv:3以上</t>
  </si>
  <si>
    <t>運搬容量補正|交渉|食料産出|資材産出</t>
  </si>
  <si>
    <t>信仰都市</t>
  </si>
  <si>
    <t>信仰Lv:3以上</t>
  </si>
  <si>
    <t>浄化|回復|幸福度|治安</t>
  </si>
  <si>
    <t>産業都市</t>
  </si>
  <si>
    <t>鍛冶Lv:3以上</t>
  </si>
  <si>
    <t>農業都市</t>
  </si>
  <si>
    <t>農場数:3以上</t>
  </si>
  <si>
    <t>学術都市</t>
  </si>
  <si>
    <t>経済Lv:3以上/魔法Lv:2以上</t>
  </si>
  <si>
    <t>研究EXP補正|幸福度</t>
  </si>
  <si>
    <t>放浪都市</t>
  </si>
  <si>
    <t>人口:100以上</t>
  </si>
  <si>
    <t>農業|林業</t>
  </si>
  <si>
    <t>水上都市</t>
  </si>
  <si>
    <t>周辺地形:海|湖</t>
  </si>
  <si>
    <t>地下都市</t>
  </si>
  <si>
    <t>ワールド:洞窟</t>
  </si>
  <si>
    <t>工業|領土被ダメージ軽減</t>
  </si>
  <si>
    <t>死者の都</t>
  </si>
  <si>
    <t>住民系統:アンデッド</t>
  </si>
  <si>
    <t>工業|治安</t>
  </si>
  <si>
    <t>神秘都市</t>
  </si>
  <si>
    <t>魔法Lv:3以上/信仰Lv:2以上</t>
  </si>
  <si>
    <t>魔術|研究EXP補正|幸福度</t>
  </si>
  <si>
    <t>城塞都市</t>
  </si>
  <si>
    <t>軍事Lv:4以上</t>
  </si>
  <si>
    <t>治安|領土被ダメージ軽減</t>
  </si>
  <si>
    <t>空中都市</t>
  </si>
  <si>
    <t>都市特性:浮遊</t>
  </si>
  <si>
    <t>林業|漁業|領土被ダメージ軽減</t>
  </si>
  <si>
    <t>古代遺跡都市</t>
  </si>
  <si>
    <t>レア</t>
  </si>
  <si>
    <t>追加ボーナス</t>
  </si>
  <si>
    <t>食料産出|資材産出</t>
  </si>
  <si>
    <t>通常特化と重複可。数値列の生産補正のみ運用。特殊アクションは未実装。</t>
  </si>
  <si>
    <t>龍脈都市</t>
  </si>
  <si>
    <t>門都市（異界接続）</t>
  </si>
  <si>
    <t>世界樹の苗床</t>
  </si>
  <si>
    <t>遺産</t>
  </si>
  <si>
    <t>恒久強化</t>
  </si>
  <si>
    <t>国宝:世界樹の根</t>
  </si>
  <si>
    <t>国家全体補正|恒久バフ|特殊勝利補助</t>
  </si>
  <si>
    <t>(仮)調整予定</t>
  </si>
  <si>
    <t>星見塔</t>
  </si>
  <si>
    <t>国宝:天の眼</t>
  </si>
  <si>
    <t>鍛冶神の炉</t>
  </si>
  <si>
    <t>国宝:巨炎の炉</t>
  </si>
  <si>
    <t>施設名</t>
  </si>
  <si>
    <t>条件地形</t>
  </si>
  <si>
    <t>改築元</t>
  </si>
  <si>
    <t>建築時間</t>
  </si>
  <si>
    <t>建築数</t>
  </si>
  <si>
    <t>影響範囲</t>
  </si>
  <si>
    <t>識別キー</t>
  </si>
  <si>
    <t>規模Lv</t>
  </si>
  <si>
    <t>規模下限人口</t>
  </si>
  <si>
    <t>ネームド上限</t>
  </si>
  <si>
    <t>表示画像</t>
  </si>
  <si>
    <t>表示サイズ</t>
  </si>
  <si>
    <t>1マス収容人数</t>
  </si>
  <si>
    <t>占有マス数</t>
  </si>
  <si>
    <t>土地用途</t>
  </si>
  <si>
    <t>必要拠点段階</t>
  </si>
  <si>
    <t>採取資源</t>
  </si>
  <si>
    <t>採取範囲</t>
  </si>
  <si>
    <t>改築短縮ターン</t>
  </si>
  <si>
    <t>格納種別</t>
  </si>
  <si>
    <t>格納対象</t>
  </si>
  <si>
    <t>格納上限</t>
  </si>
  <si>
    <t>死亡浄化保護数</t>
  </si>
  <si>
    <t>前提施設</t>
  </si>
  <si>
    <t>建設目的</t>
  </si>
  <si>
    <t>自動建設優先度</t>
  </si>
  <si>
    <t>召喚系統</t>
  </si>
  <si>
    <t>召喚上限Lv</t>
  </si>
  <si>
    <t>召喚生成Lv補正</t>
  </si>
  <si>
    <t>召喚補正前提施設</t>
  </si>
  <si>
    <t>魂変換対象</t>
  </si>
  <si>
    <t>魂変換倍率</t>
  </si>
  <si>
    <t>転生最低Lv</t>
  </si>
  <si>
    <t>施設召喚枠ID</t>
  </si>
  <si>
    <t>施設召喚再使用T</t>
  </si>
  <si>
    <t>召喚完成Lv補正</t>
  </si>
  <si>
    <t>召喚完成対象上限Lv</t>
  </si>
  <si>
    <t>味方通行AP増加率</t>
  </si>
  <si>
    <t>内壁幸福度低下</t>
  </si>
  <si>
    <t>内壁幸福度低下上限</t>
  </si>
  <si>
    <t>村</t>
  </si>
  <si>
    <t>なし</t>
  </si>
  <si>
    <t>保有人数25</t>
  </si>
  <si>
    <t>拠点規模</t>
  </si>
  <si>
    <t>village</t>
  </si>
  <si>
    <t>居住化</t>
  </si>
  <si>
    <t>拠点</t>
  </si>
  <si>
    <t>町</t>
  </si>
  <si>
    <t>村2</t>
  </si>
  <si>
    <t>保有人数50</t>
  </si>
  <si>
    <t>town</t>
  </si>
  <si>
    <t>村/倉庫/市場</t>
  </si>
  <si>
    <t>都市</t>
  </si>
  <si>
    <t>住居3</t>
  </si>
  <si>
    <t>保有人数100</t>
  </si>
  <si>
    <t>city</t>
  </si>
  <si>
    <t>町/学校</t>
  </si>
  <si>
    <t>大都市</t>
  </si>
  <si>
    <t>住居7</t>
  </si>
  <si>
    <t>保有人数150</t>
  </si>
  <si>
    <t>metropolis</t>
  </si>
  <si>
    <t>都市/倉庫/市場/公衆浴場</t>
  </si>
  <si>
    <t>兵舎</t>
  </si>
  <si>
    <t>歩兵系兵種を徴兵可能にする。Lv上昇で兵士上限と基礎訓練補正が上昇</t>
  </si>
  <si>
    <t>生体</t>
  </si>
  <si>
    <t>プレイヤー種族</t>
  </si>
  <si>
    <t>防衛</t>
  </si>
  <si>
    <t>ギルド</t>
  </si>
  <si>
    <t>モンスター被害を軽減できる。探索・ダンジョン・外征イベント発生率上昇</t>
  </si>
  <si>
    <t>市場</t>
  </si>
  <si>
    <t>探索</t>
  </si>
  <si>
    <t>射撃場</t>
  </si>
  <si>
    <t>弓・遠距離兵を訓練可能にする。遠距離攻撃の命中と射程補正</t>
  </si>
  <si>
    <t>鍛冶場</t>
  </si>
  <si>
    <t>武器防具の品質補正。鍛冶Lvに応じて装備性能上昇</t>
  </si>
  <si>
    <t>生産</t>
  </si>
  <si>
    <t>防壁</t>
  </si>
  <si>
    <t>モンスター被害を軽減し、都市防衛力上昇。攻城戦時に防壁から攻撃が可能になる。</t>
  </si>
  <si>
    <t>単体マス</t>
  </si>
  <si>
    <t>城壁</t>
  </si>
  <si>
    <t>防壁/町</t>
  </si>
  <si>
    <t>見張り塔</t>
  </si>
  <si>
    <t>索敵範囲拡張。奇襲防止・飛行敵早期発見</t>
  </si>
  <si>
    <t>司令部</t>
  </si>
  <si>
    <t>部隊編成上限増加。指揮・統率補正</t>
  </si>
  <si>
    <t>兵舎/都市</t>
  </si>
  <si>
    <t>学校</t>
  </si>
  <si>
    <t>開発効率・幸福度補正</t>
  </si>
  <si>
    <t>研究</t>
  </si>
  <si>
    <t>魔導塔</t>
  </si>
  <si>
    <t>魔法兵解放。魔法攻撃力と結界耐久補正</t>
  </si>
  <si>
    <t>魔術工房</t>
  </si>
  <si>
    <t>魔道具を作成できるようになる。</t>
  </si>
  <si>
    <t>魔導塔/鍛冶場</t>
  </si>
  <si>
    <t>結界装置</t>
  </si>
  <si>
    <t>都市全体に防御魔法付与。属性耐性上昇</t>
  </si>
  <si>
    <t>魔術工房/防壁</t>
  </si>
  <si>
    <t>修道院</t>
  </si>
  <si>
    <t>負傷兵回復速度上昇。状態異常回復補正</t>
  </si>
  <si>
    <t>教会</t>
  </si>
  <si>
    <t>信仰Lv上昇。士気と治安上昇</t>
  </si>
  <si>
    <t>墓地</t>
  </si>
  <si>
    <t>神殿</t>
  </si>
  <si>
    <t>信仰Lv大幅上昇。不死・呪い耐性補正</t>
  </si>
  <si>
    <t>教会/町</t>
  </si>
  <si>
    <t>大聖堂</t>
  </si>
  <si>
    <t>都市全体士気大幅上昇。災害発生率低下</t>
  </si>
  <si>
    <t>神殿/修道院/都市</t>
  </si>
  <si>
    <t>農場</t>
  </si>
  <si>
    <t>食料（穀物）生産</t>
  </si>
  <si>
    <t>資源化</t>
  </si>
  <si>
    <t>伐採場</t>
  </si>
  <si>
    <t>木材生産</t>
  </si>
  <si>
    <t>採石場</t>
  </si>
  <si>
    <t>石材生産</t>
  </si>
  <si>
    <t>鉱山</t>
  </si>
  <si>
    <t>金属資源生産</t>
  </si>
  <si>
    <t>港</t>
  </si>
  <si>
    <t>海辺</t>
  </si>
  <si>
    <t>交易力・補給力上昇。海路接続可能。町以上で建設。周囲2マスの海・湖から魚を採取。船着き場からの改築はその建築ターン分を短縮。</t>
  </si>
  <si>
    <t>船着き場</t>
  </si>
  <si>
    <t>船着き場/町</t>
  </si>
  <si>
    <t>物流</t>
  </si>
  <si>
    <t>交易力上昇。資源交換可能</t>
  </si>
  <si>
    <t>交易</t>
  </si>
  <si>
    <t>倉庫</t>
  </si>
  <si>
    <t>資源上限増加。補給安定度上昇</t>
  </si>
  <si>
    <t>公衆浴場</t>
  </si>
  <si>
    <t>幸福度上昇。軽度状態異常発生率低下</t>
  </si>
  <si>
    <t>生活</t>
  </si>
  <si>
    <t>温泉</t>
  </si>
  <si>
    <t>火山:4マス以内</t>
  </si>
  <si>
    <t>環境安定度上昇。兵士の回復速度上昇</t>
  </si>
  <si>
    <t>港の前段階。周囲1マスの海・湖から魚を採取。建築1ターン・経済Lv1は仮設定。</t>
  </si>
  <si>
    <t>村/墓地</t>
  </si>
  <si>
    <t>調薬所</t>
  </si>
  <si>
    <t>薬草を加工して水薬を製造できるようになる。</t>
  </si>
  <si>
    <t>医療</t>
  </si>
  <si>
    <t>霊薬工房</t>
  </si>
  <si>
    <t>魔法の力を用いて霊薬を製造できるようになる。</t>
  </si>
  <si>
    <t>調薬所/魔術工房</t>
  </si>
  <si>
    <t>魂の保管庫</t>
  </si>
  <si>
    <t>スキル「魂回収」で死体から魂を受け入れる。魂は生前の種族・クラス・Lvを保持し合成専用。ユニットとして出撃不可。建築4ターン・魔法Lv2・拠点ごと1棟は暫定。</t>
  </si>
  <si>
    <t>全ユニット</t>
  </si>
  <si>
    <t>墓地/魔術工房</t>
  </si>
  <si>
    <t>魔獣研究所</t>
  </si>
  <si>
    <t>合成用の魔獣・動物などを格納・取り出しできる。保管中は行動不可。隣接して格納素材の合成も可能。建築3ターン・魔法Lv2は暫定。</t>
  </si>
  <si>
    <t>学校/魔術工房</t>
  </si>
  <si>
    <t>合成</t>
  </si>
  <si>
    <t>領土内の死亡による浄化低下を、1棟につき毎ターン2件まで防ぐ。建築2ターン・信仰Lv1は暫定。死体放置や死の霧の低下は別。</t>
  </si>
  <si>
    <t>霊廟</t>
  </si>
  <si>
    <t>死体を選択して回収・保管する信仰施設。保管中は死体による浄化低下・自然アンデッド化・消滅を停止。死亡時の浄化低下は取り消さない。</t>
  </si>
  <si>
    <t>墓地/神殿</t>
  </si>
  <si>
    <t>汎用儀式場</t>
  </si>
  <si>
    <t>全般の施設召喚は同時に1体、表上Lv10まで。効果時間なし、撃破後25Tで再召喚可。上位段階は同じマスで改築し、召喚枠と待ち時間を引き継ぐ。 維持費なし・施設外でも活動可は暫定。工期・費用・研究条件は調整用の暫定値。</t>
  </si>
  <si>
    <t>施設</t>
  </si>
  <si>
    <t>召喚</t>
  </si>
  <si>
    <t>全般</t>
  </si>
  <si>
    <t>general_ritual_site</t>
  </si>
  <si>
    <t>火の儀式場I</t>
  </si>
  <si>
    <t>火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</si>
  <si>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火精霊</t>
  </si>
  <si>
    <t>火の儀式場I/水の儀式場I/風の儀式場I/土の儀式場I</t>
  </si>
  <si>
    <t>fire_ritual_site_1</t>
  </si>
  <si>
    <t>火の儀式場II</t>
  </si>
  <si>
    <t>火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</si>
  <si>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火の儀式場II/水の儀式場II/風の儀式場II/土の儀式場II</t>
  </si>
  <si>
    <t>火の儀式場III</t>
  </si>
  <si>
    <t>火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</si>
  <si>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火の儀式場III/水の儀式場III/風の儀式場III/土の儀式場III</t>
  </si>
  <si>
    <t>水の儀式場I</t>
  </si>
  <si>
    <t>水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</si>
  <si>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水精霊</t>
  </si>
  <si>
    <t>water_ritual_site_1</t>
  </si>
  <si>
    <t>水の儀式場II</t>
  </si>
  <si>
    <t>水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</si>
  <si>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水の儀式場III</t>
  </si>
  <si>
    <t>水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</si>
  <si>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風の儀式場I</t>
  </si>
  <si>
    <t>風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</si>
  <si>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風精霊</t>
  </si>
  <si>
    <t>wind_ritual_site_1</t>
  </si>
  <si>
    <t>風の儀式場II</t>
  </si>
  <si>
    <t>風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</si>
  <si>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風の儀式場III</t>
  </si>
  <si>
    <t>風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</si>
  <si>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土の儀式場I</t>
  </si>
  <si>
    <t>土精霊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</si>
  <si>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土精霊</t>
  </si>
  <si>
    <t>earth_ritual_site_1</t>
  </si>
  <si>
    <t>土の儀式場II</t>
  </si>
  <si>
    <t>土精霊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</si>
  <si>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土の儀式場III</t>
  </si>
  <si>
    <t>土精霊の施設召喚は同時に1体、表上Lv25まで。効果時間なし、撃破後25Tで再召喚可。上位段階は同じマスで改築し、召喚枠と待ち時間を引き継ぐ。対応するスキル召喚へ生成Lv+3（スキル自身の上限Lvとは別）。 四属性III完成時の+5はランク補正と重ねず大きい方を採用。 維持費なし・施設外でも活動可は暫定。工期・費用・研究条件は調整用の暫定値。</t>
  </si>
  <si>
    <t>死霊儀式場I</t>
  </si>
  <si>
    <t>アンデッドの施設召喚は同時に1体、表上Lv10まで。効果時間なし、撃破後25Tで再召喚可。上位段階は同じマスで改築し、召喚枠と待ち時間を引き継ぐ。対応するスキル召喚へ生成Lv+1（スキル自身の上限Lvとは別）。 維持費なし・施設外でも活動可は暫定。工期・費用・研究条件は調整用の暫定値。</t>
  </si>
  <si>
    <t>汎用儀式場/墓地</t>
  </si>
  <si>
    <t>undead_ritual_site_1</t>
  </si>
  <si>
    <t>死霊儀式場II</t>
  </si>
  <si>
    <t>アンデッドの施設召喚は同時に1体、表上Lv20まで。効果時間なし、撃破後25Tで再召喚可。上位段階は同じマスで改築し、召喚枠と待ち時間を引き継ぐ。対応するスキル召喚へ生成Lv+2（スキル自身の上限Lvとは別）。 維持費なし・施設外でも活動可は暫定。工期・費用・研究条件は調整用の暫定値。</t>
  </si>
  <si>
    <t>死霊儀式場III</t>
  </si>
  <si>
    <t>アンデッドの施設召喚は同時に1体、表上Lv25まで。効果時間なし、撃破後25Tで再召喚可。上位段階は同じマスで改築し、召喚枠と待ち時間を引き継ぐ。対応するスキル召喚へ生成Lv+3（スキル自身の上限Lvとは別）。 維持費なし・施設外でも活動可は暫定。工期・費用・研究条件は調整用の暫定値。</t>
  </si>
  <si>
    <t>天使の祭壇</t>
  </si>
  <si>
    <t>エンジェ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</si>
  <si>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魂/転生/召喚</t>
  </si>
  <si>
    <t>angel_altar</t>
  </si>
  <si>
    <t>大天使の祭壇</t>
  </si>
  <si>
    <t>エンジェ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</si>
  <si>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天界の祭壇</t>
  </si>
  <si>
    <t>エンジェ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</si>
  <si>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悪魔の祭壇</t>
  </si>
  <si>
    <t>デヴィルの施設召喚は同時に1体、表上Lv10まで。効果時間なし、撃破後25Tで再召喚可。上位段階は同じマスで改築し、召喚枠と待ち時間を引き継ぐ。対応するスキル召喚へ生成Lv+1（スキル自身の上限Lvとは別）。 魂変換倍率1.1、転生最低種族Lv4。 維持費なし・施設外でも活動可は暫定。工期・費用・研究条件は調整用の暫定値。</t>
  </si>
  <si>
    <t>devil_altar</t>
  </si>
  <si>
    <t>大悪魔の祭壇</t>
  </si>
  <si>
    <t>デヴィルの施設召喚は同時に1体、表上Lv20まで。効果時間なし、撃破後25Tで再召喚可。上位段階は同じマスで改築し、召喚枠と待ち時間を引き継ぐ。対応するスキル召喚へ生成Lv+2（スキル自身の上限Lvとは別）。 魂変換倍率1.25、転生最低種族Lv5。 維持費なし・施設外でも活動可は暫定。工期・費用・研究条件は調整用の暫定値。</t>
  </si>
  <si>
    <t>地獄の祭壇</t>
  </si>
  <si>
    <t>デヴィルの施設召喚は同時に1体、表上Lv25まで。効果時間なし、撃破後25Tで再召喚可。上位段階は同じマスで改築し、召喚枠と待ち時間を引き継ぐ。対応するスキル召喚へ生成Lv+3（スキル自身の上限Lvとは別）。 魂変換倍率1.5、転生最低種族Lv6。 維持費なし・施設外でも活動可は暫定。工期・費用・研究条件は調整用の暫定値。</t>
  </si>
  <si>
    <t>技術対象</t>
  </si>
  <si>
    <t>必要ユニットLv</t>
  </si>
  <si>
    <t>必要研究Lv</t>
  </si>
  <si>
    <t>前提研究ID</t>
  </si>
  <si>
    <t>薬即時回復</t>
  </si>
  <si>
    <t>薬生成量</t>
  </si>
  <si>
    <t>武器製造効率Ⅰ</t>
  </si>
  <si>
    <t>鍛冶</t>
  </si>
  <si>
    <t>武器製造コスト-10%</t>
  </si>
  <si>
    <t>鍛冶Lv:1:武器製造効率Ⅰ</t>
  </si>
  <si>
    <t>防具製造効率Ⅰ</t>
  </si>
  <si>
    <t>防具製造コスト-10%</t>
  </si>
  <si>
    <t>鍛冶Lv:1:防具製造効率Ⅰ</t>
  </si>
  <si>
    <t>鍛冶熟練Ⅰ</t>
  </si>
  <si>
    <t>鍛冶経験値増加+5%</t>
  </si>
  <si>
    <t>鍛冶Lv:1:鍛冶熟練Ⅰ</t>
  </si>
  <si>
    <t>製作効率Ⅰ</t>
  </si>
  <si>
    <t>装備作成時間-10%</t>
  </si>
  <si>
    <t>鍛冶Lv:2:製作効率Ⅰ</t>
  </si>
  <si>
    <t>鉄資源効率Ⅰ</t>
  </si>
  <si>
    <t>鉄素材の取得量+10%</t>
  </si>
  <si>
    <t>鍛冶Lv:2:鉄資源効率Ⅰ</t>
  </si>
  <si>
    <t>建築強化Ⅰ</t>
  </si>
  <si>
    <t>建物の耐久度+10%</t>
  </si>
  <si>
    <t>鍛冶Lv:2:建築強化Ⅰ</t>
  </si>
  <si>
    <t>品質向上Ⅰ</t>
  </si>
  <si>
    <t>装備の品質ランク上限+1</t>
  </si>
  <si>
    <t>鍛冶Lv:3:品質向上Ⅰ</t>
  </si>
  <si>
    <t>鍛造技術</t>
  </si>
  <si>
    <t>高ランクの金属消費減少-20%</t>
  </si>
  <si>
    <t>鍛冶Lv:3:鍛造技術</t>
  </si>
  <si>
    <t>合金加工</t>
  </si>
  <si>
    <t>鍛冶Lv:3:合金加工</t>
  </si>
  <si>
    <t>製作効率Ⅱ</t>
  </si>
  <si>
    <t>装備作成時間-20%</t>
  </si>
  <si>
    <t>鍛冶Lv:4:製作効率Ⅱ</t>
  </si>
  <si>
    <t>建築強化Ⅱ</t>
  </si>
  <si>
    <t>建物の耐久度+15%</t>
  </si>
  <si>
    <t>鍛冶Lv:4:建築強化Ⅱ</t>
  </si>
  <si>
    <t>高級金属効率</t>
  </si>
  <si>
    <t>高ランクの金属消費減少-30%</t>
  </si>
  <si>
    <t>鍛冶Lv:4:高級金属効率</t>
  </si>
  <si>
    <t>魔術強化Ⅰ</t>
  </si>
  <si>
    <t>魔法</t>
  </si>
  <si>
    <t>魔術+10</t>
  </si>
  <si>
    <t>魔法Lv:1:魔術強化Ⅰ</t>
  </si>
  <si>
    <t>貴金属効率Ⅰ</t>
  </si>
  <si>
    <t>貴金属消費量-10%</t>
  </si>
  <si>
    <t>魔法Lv:1:貴金属効率Ⅰ</t>
  </si>
  <si>
    <t>魔術基礎教育Ⅰ</t>
  </si>
  <si>
    <t>魔法経験値増加+5%</t>
  </si>
  <si>
    <t>魔法Lv:1:魔術基礎教育Ⅰ</t>
  </si>
  <si>
    <t>魔道具製作効率Ⅰ</t>
  </si>
  <si>
    <t>魔道具生成時間-10%</t>
  </si>
  <si>
    <t>魔法Lv:2:魔道具製作効率Ⅰ</t>
  </si>
  <si>
    <t>貴金属採取Ⅰ</t>
  </si>
  <si>
    <t>貴金属取得量+10%</t>
  </si>
  <si>
    <t>魔法Lv:2:貴金属採取Ⅰ</t>
  </si>
  <si>
    <t>建築補助魔術Ⅰ</t>
  </si>
  <si>
    <t>建物建築速度+10%</t>
  </si>
  <si>
    <t>魔法Lv:2:建築補助魔術Ⅰ</t>
  </si>
  <si>
    <t>環境制御Ⅰ</t>
  </si>
  <si>
    <t>環境安定度+10</t>
  </si>
  <si>
    <t>魔法Lv:3:環境制御Ⅰ</t>
  </si>
  <si>
    <t>魔術強化Ⅱ</t>
  </si>
  <si>
    <t>魔術+15</t>
  </si>
  <si>
    <t>魔法Lv:3:魔術強化Ⅱ</t>
  </si>
  <si>
    <t>魔法儀式</t>
  </si>
  <si>
    <t>都市内にいると3人分の行動を消費することで1つ上位の魔法が使える</t>
  </si>
  <si>
    <t>魔法Lv:3:魔法儀式</t>
  </si>
  <si>
    <t>魔術強化Ⅲ</t>
  </si>
  <si>
    <t>魔術+25</t>
  </si>
  <si>
    <t>魔法Lv:4:魔術強化Ⅲ</t>
  </si>
  <si>
    <t>環境制御Ⅱ</t>
  </si>
  <si>
    <t>環境安定度+20</t>
  </si>
  <si>
    <t>魔法Lv:4:環境制御Ⅱ</t>
  </si>
  <si>
    <t>大魔法儀式</t>
  </si>
  <si>
    <t>都市内にいると2人分の行動を消費することで1つ上位の魔法が使える</t>
  </si>
  <si>
    <t>魔法Lv:4:大魔法儀式</t>
  </si>
  <si>
    <t>信仰強化Ⅰ</t>
  </si>
  <si>
    <t>信仰+15</t>
  </si>
  <si>
    <t>信仰Lv:1:信仰強化Ⅰ</t>
  </si>
  <si>
    <t>穀物加護Ⅰ</t>
  </si>
  <si>
    <t>穀物収穫量+10%</t>
  </si>
  <si>
    <t>信仰Lv:1:穀物加護Ⅰ</t>
  </si>
  <si>
    <t>信仰教育Ⅰ</t>
  </si>
  <si>
    <t>信仰経験値増加+5%</t>
  </si>
  <si>
    <t>信仰Lv:1:信仰教育Ⅰ</t>
  </si>
  <si>
    <t>聖具製作効率Ⅰ</t>
  </si>
  <si>
    <t>聖具生成時間-10%</t>
  </si>
  <si>
    <t>信仰Lv:2:聖具製作効率Ⅰ</t>
  </si>
  <si>
    <t>野菜加護Ⅰ</t>
  </si>
  <si>
    <t>野菜収穫量+10%</t>
  </si>
  <si>
    <t>信仰Lv:2:野菜加護Ⅰ</t>
  </si>
  <si>
    <t>神聖建築術Ⅰ</t>
  </si>
  <si>
    <t>信仰Lv:2:神聖建築術Ⅰ</t>
  </si>
  <si>
    <t>環境浄化Ⅰ</t>
  </si>
  <si>
    <t>信仰Lv:3:環境浄化Ⅰ</t>
  </si>
  <si>
    <t>木材加護Ⅰ</t>
  </si>
  <si>
    <t>木材収穫量+10%</t>
  </si>
  <si>
    <t>信仰Lv:3:木材加護Ⅰ</t>
  </si>
  <si>
    <t>信仰儀式</t>
  </si>
  <si>
    <t>都市内にいると3人分の行動を消費することで1つ上位の信仰魔法が使える</t>
  </si>
  <si>
    <t>信仰Lv:3:信仰儀式</t>
  </si>
  <si>
    <t>環境浄化Ⅱ</t>
  </si>
  <si>
    <t>信仰Lv:4:環境浄化Ⅱ</t>
  </si>
  <si>
    <t>信仰強化Ⅱ</t>
  </si>
  <si>
    <t>信仰+25</t>
  </si>
  <si>
    <t>信仰Lv:4:信仰強化Ⅱ</t>
  </si>
  <si>
    <t>大信仰儀式</t>
  </si>
  <si>
    <t>都市内にいると2人分の行動を消費することで1つ上位の信仰魔法が使える</t>
  </si>
  <si>
    <t>信仰Lv:4:大信仰儀式</t>
  </si>
  <si>
    <t>指揮訓練Ⅰ</t>
  </si>
  <si>
    <t>指揮+10</t>
  </si>
  <si>
    <t>軍事Lv:1:指揮訓練Ⅰ</t>
  </si>
  <si>
    <t>編成拡張Ⅰ</t>
  </si>
  <si>
    <t>軍隊ユニット数+1</t>
  </si>
  <si>
    <t>軍事Lv:1:編成拡張Ⅰ</t>
  </si>
  <si>
    <t>軍事基礎教育Ⅰ</t>
  </si>
  <si>
    <t>軍事経験値増加+5%</t>
  </si>
  <si>
    <t>軍事Lv:1:軍事基礎教育Ⅰ</t>
  </si>
  <si>
    <t>訓練効率化Ⅰ</t>
  </si>
  <si>
    <t>訓練時間-10%</t>
  </si>
  <si>
    <t>軍事Lv:2:訓練効率化Ⅰ</t>
  </si>
  <si>
    <t>兵站管理Ⅰ</t>
  </si>
  <si>
    <t>維持費-10%</t>
  </si>
  <si>
    <t>軍事Lv:2:兵站管理Ⅰ</t>
  </si>
  <si>
    <t>騎兵運用</t>
  </si>
  <si>
    <t>騎兵ユニット作成</t>
  </si>
  <si>
    <t>軍事Lv:2:騎兵運用</t>
  </si>
  <si>
    <t>編成拡張Ⅱ</t>
  </si>
  <si>
    <t>軍事Lv:3:編成拡張Ⅱ</t>
  </si>
  <si>
    <t>機動戦術Ⅰ</t>
  </si>
  <si>
    <t>軍隊ユニットの移動力+1</t>
  </si>
  <si>
    <t>軍事Lv:3:機動戦術Ⅰ</t>
  </si>
  <si>
    <t>耐久訓練Ⅰ</t>
  </si>
  <si>
    <t>部隊HP+10%</t>
  </si>
  <si>
    <t>軍事Lv:3:耐久訓練Ⅰ</t>
  </si>
  <si>
    <t>指揮訓練Ⅱ</t>
  </si>
  <si>
    <t>指揮+25</t>
  </si>
  <si>
    <t>軍事Lv:4:指揮訓練Ⅱ</t>
  </si>
  <si>
    <t>耐久訓練Ⅱ</t>
  </si>
  <si>
    <t>部隊HP+15%</t>
  </si>
  <si>
    <t>軍事Lv:4:耐久訓練Ⅱ</t>
  </si>
  <si>
    <t>連携攻撃</t>
  </si>
  <si>
    <t>軍隊ユニットの攻撃回数+1</t>
  </si>
  <si>
    <t>軍事Lv:4:連携攻撃</t>
  </si>
  <si>
    <t>建設効率Ⅰ</t>
  </si>
  <si>
    <t>経済</t>
  </si>
  <si>
    <t>建設コスト-10%</t>
  </si>
  <si>
    <t>経済Lv:1:建設効率Ⅰ</t>
  </si>
  <si>
    <t>住居整備Ⅰ</t>
  </si>
  <si>
    <t>人口保有率+10%</t>
  </si>
  <si>
    <t>経済Lv:1:住居整備Ⅰ</t>
  </si>
  <si>
    <t>経済基盤教育Ⅰ</t>
  </si>
  <si>
    <t>経済経験値増加+5%</t>
  </si>
  <si>
    <t>経済Lv:1:経済基盤教育Ⅰ</t>
  </si>
  <si>
    <t>催事制度Ⅰ</t>
  </si>
  <si>
    <t>イベント発生率+10%</t>
  </si>
  <si>
    <t>経済Lv:2:催事制度Ⅰ</t>
  </si>
  <si>
    <t>都市整備Ⅰ</t>
  </si>
  <si>
    <t>治安+5 幸福度+5</t>
  </si>
  <si>
    <t>経済Lv:2:都市整備Ⅰ</t>
  </si>
  <si>
    <t>労働効率化Ⅰ</t>
  </si>
  <si>
    <t>人口による資源生産量+10%</t>
  </si>
  <si>
    <t>経済Lv:2:労働効率化Ⅰ</t>
  </si>
  <si>
    <t>高速道路</t>
  </si>
  <si>
    <t>都市内の移動効率上昇（建設・行動時間短縮）</t>
  </si>
  <si>
    <t>経済Lv:3:高速道路</t>
  </si>
  <si>
    <t>高層住居</t>
  </si>
  <si>
    <t>人口保有率+15%</t>
  </si>
  <si>
    <t>経済Lv:3:高層住居</t>
  </si>
  <si>
    <t>市場制度</t>
  </si>
  <si>
    <t>余剰資源を別資源へ変換可能になる</t>
  </si>
  <si>
    <t>経済Lv:3:市場制度</t>
  </si>
  <si>
    <t>建設効率Ⅱ</t>
  </si>
  <si>
    <t>建設コスト-20%</t>
  </si>
  <si>
    <t>経済Lv:4:建設効率Ⅱ</t>
  </si>
  <si>
    <t>都市整備Ⅱ</t>
  </si>
  <si>
    <t>治安+10 幸福度+10</t>
  </si>
  <si>
    <t>経済Lv:4:都市整備Ⅱ</t>
  </si>
  <si>
    <t>労働効率化Ⅱ</t>
  </si>
  <si>
    <t>人口による資源生産量+20%</t>
  </si>
  <si>
    <t>経済Lv:4:労働効率化Ⅱ</t>
  </si>
  <si>
    <t>地質調査Ⅰ</t>
  </si>
  <si>
    <t>調査</t>
  </si>
  <si>
    <t>地質調査Lv1までの対象を調査で発見。調査済みマスは完了時に自動発見。必要Lvは暫定。</t>
  </si>
  <si>
    <t>地質調査Lv:1:地質調査Ⅰ</t>
  </si>
  <si>
    <t>地質調査Ⅱ</t>
  </si>
  <si>
    <t>地質調査Lv2までの対象を調査で発見。調査済みマスは完了時に自動発見。必要Lvは暫定。</t>
  </si>
  <si>
    <t>地質調査Lv:2:地質調査Ⅱ</t>
  </si>
  <si>
    <t>地質調査Ⅲ</t>
  </si>
  <si>
    <t>地質調査Lv3までの対象を調査で発見。調査済みマスは完了時に自動発見。必要Lvは暫定。</t>
  </si>
  <si>
    <t>地質調査Lv:3:地質調査Ⅲ</t>
  </si>
  <si>
    <t>生態調査Ⅰ</t>
  </si>
  <si>
    <t>生態調査Lv1までの対象を調査で発見。調査済みマスは完了時に自動発見。必要Lvは暫定。</t>
  </si>
  <si>
    <t>生態調査Lv:1:生態調査Ⅰ</t>
  </si>
  <si>
    <t>生態調査Ⅱ</t>
  </si>
  <si>
    <t>生態調査Lv2までの対象を調査で発見。調査済みマスは完了時に自動発見。必要Lvは暫定。</t>
  </si>
  <si>
    <t>生態調査Lv:2:生態調査Ⅱ</t>
  </si>
  <si>
    <t>生態調査Ⅲ</t>
  </si>
  <si>
    <t>生態調査Lv3までの対象を調査で発見。調査済みマスは完了時に自動発見。必要Lvは暫定。</t>
  </si>
  <si>
    <t>生態調査Lv:3:生態調査Ⅲ</t>
  </si>
  <si>
    <t>地下探索Ⅰ</t>
  </si>
  <si>
    <t>地下探索Lv1までの対象を調査で発見。調査済みマスは完了時に自動発見。必要Lvは暫定。</t>
  </si>
  <si>
    <t>地下探索Lv:1:地下探索Ⅰ</t>
  </si>
  <si>
    <t>調薬基礎</t>
  </si>
  <si>
    <t>薬系研究Lv1。即時回復を持つ薬の回復量+5。薬草の継続回復は対象外。</t>
  </si>
  <si>
    <t>魔法Lv:1:調薬基礎</t>
  </si>
  <si>
    <t>薬草改良（水薬）</t>
  </si>
  <si>
    <t>薬の即時回復量+5。</t>
  </si>
  <si>
    <t>魔法Lv:2:薬草改良（水薬）</t>
  </si>
  <si>
    <t>調薬効率Ⅰ</t>
  </si>
  <si>
    <t>薬の即時回復量+5。薬の生成量+1。</t>
  </si>
  <si>
    <t>魔法Lv:3:調薬効率Ⅰ</t>
  </si>
  <si>
    <t>薬効強化Ⅰ</t>
  </si>
  <si>
    <t>魔法Lv:4:薬効強化Ⅰ</t>
  </si>
  <si>
    <t>霊薬調合</t>
  </si>
  <si>
    <t>薬の即時回復量+5。薬の生成量+1（累計+2）。</t>
  </si>
  <si>
    <t>魔法Lv:5:霊薬調合</t>
  </si>
  <si>
    <t>魔力調薬</t>
  </si>
  <si>
    <t>魔法Lv:6:魔力調薬</t>
  </si>
  <si>
    <t>調薬極意</t>
  </si>
  <si>
    <t>薬の即時回復量+5。薬の生成量+1（累計+3）。</t>
  </si>
  <si>
    <t>魔法Lv:7:調薬極意</t>
  </si>
  <si>
    <t>付与能力</t>
  </si>
  <si>
    <t>対象装備</t>
  </si>
  <si>
    <t>必要道具</t>
  </si>
  <si>
    <t>全威力</t>
  </si>
  <si>
    <t>物理</t>
  </si>
  <si>
    <t>射撃</t>
  </si>
  <si>
    <t>盲目</t>
  </si>
  <si>
    <t>出血</t>
  </si>
  <si>
    <t>拘束</t>
  </si>
  <si>
    <t>幻覚</t>
  </si>
  <si>
    <t>Cr率</t>
  </si>
  <si>
    <t>Cr威力</t>
  </si>
  <si>
    <t>盲目耐性</t>
  </si>
  <si>
    <t>射程</t>
  </si>
  <si>
    <t>範囲</t>
  </si>
  <si>
    <t>対象</t>
  </si>
  <si>
    <t>攻撃追加</t>
  </si>
  <si>
    <t>追加威力</t>
  </si>
  <si>
    <t>判定</t>
  </si>
  <si>
    <t>効果時間</t>
  </si>
  <si>
    <t>待機</t>
  </si>
  <si>
    <t>CT</t>
  </si>
  <si>
    <t>武器は盾を含む</t>
  </si>
  <si>
    <t>Ⅰ</t>
  </si>
  <si>
    <t>Ⅱ</t>
  </si>
  <si>
    <t>Ⅲ</t>
  </si>
  <si>
    <t>HP強化Ⅰ</t>
  </si>
  <si>
    <t>鎧,服,兜</t>
  </si>
  <si>
    <t>HP強化Ⅱ</t>
  </si>
  <si>
    <t>HP強化Ⅲ</t>
  </si>
  <si>
    <t>攻撃強化Ⅰ</t>
  </si>
  <si>
    <t>腕輪,指輪</t>
  </si>
  <si>
    <t>攻撃強化Ⅱ</t>
  </si>
  <si>
    <t>攻撃強化Ⅲ</t>
  </si>
  <si>
    <t>防御強化Ⅰ</t>
  </si>
  <si>
    <t>防御強化Ⅱ</t>
  </si>
  <si>
    <t>防御強化Ⅲ</t>
  </si>
  <si>
    <t>魔力強化Ⅰ</t>
  </si>
  <si>
    <t>杖,冠,帽子,首飾り</t>
  </si>
  <si>
    <t>魔力強化Ⅱ</t>
  </si>
  <si>
    <t>魔力強化Ⅲ</t>
  </si>
  <si>
    <t>精神強化Ⅰ</t>
  </si>
  <si>
    <t>法衣,冠,帽子</t>
  </si>
  <si>
    <t>精神強化Ⅱ</t>
  </si>
  <si>
    <t>精神強化Ⅲ</t>
  </si>
  <si>
    <t>速度強化Ⅰ</t>
  </si>
  <si>
    <t>速度強化Ⅱ</t>
  </si>
  <si>
    <t>速度強化Ⅲ</t>
  </si>
  <si>
    <t>命中強化Ⅰ</t>
  </si>
  <si>
    <t>耳飾り</t>
  </si>
  <si>
    <t>命中強化Ⅱ</t>
  </si>
  <si>
    <t>命中強化Ⅲ</t>
  </si>
  <si>
    <t>項目カテゴリ</t>
  </si>
  <si>
    <t>同盟成功率</t>
  </si>
  <si>
    <t>交易効率</t>
  </si>
  <si>
    <t>アライメント</t>
  </si>
  <si>
    <t>経験値</t>
  </si>
  <si>
    <t>外交姿勢</t>
  </si>
  <si>
    <t>孤立主義</t>
  </si>
  <si>
    <t>外交補正</t>
  </si>
  <si>
    <t>同盟成功率|交易効率|宣戦コスト|停戦受諾率</t>
  </si>
  <si>
    <t>魔術師団</t>
  </si>
  <si>
    <t>内政/政策補正</t>
  </si>
  <si>
    <t>政策追加効果|イベント分岐|内政安定度</t>
  </si>
  <si>
    <t>光の神</t>
  </si>
  <si>
    <t>信仰補正</t>
  </si>
  <si>
    <t>信仰力獲得|祝福効果|宗教外交|民心|不満度緩和|イベント分岐|都市特性解放条件</t>
  </si>
  <si>
    <t>信仰と信仰対象を統合管理</t>
  </si>
  <si>
    <t>拡張主義</t>
  </si>
  <si>
    <t>商人連合</t>
  </si>
  <si>
    <t>戦の神</t>
  </si>
  <si>
    <t>同盟重視</t>
  </si>
  <si>
    <t>聖騎士団</t>
  </si>
  <si>
    <t>知識の神</t>
  </si>
  <si>
    <t>復讐主義</t>
  </si>
  <si>
    <t>暗部</t>
  </si>
  <si>
    <t>大地の神</t>
  </si>
  <si>
    <t>中立均衡</t>
  </si>
  <si>
    <t>混沌の神</t>
  </si>
  <si>
    <t>聖なる大地</t>
  </si>
  <si>
    <t>精霊信仰</t>
  </si>
  <si>
    <t>火山信仰</t>
  </si>
  <si>
    <t>海の信仰</t>
  </si>
  <si>
    <t>風の信仰</t>
  </si>
  <si>
    <t>英雄信仰</t>
  </si>
  <si>
    <t>祖霊信仰</t>
  </si>
  <si>
    <t>種別</t>
  </si>
  <si>
    <t>特殊アイテム</t>
  </si>
  <si>
    <t>防具_物理</t>
  </si>
  <si>
    <t>防具_魔法</t>
  </si>
  <si>
    <t>品質キー</t>
  </si>
  <si>
    <t>品質名</t>
  </si>
  <si>
    <t>品質略称</t>
  </si>
  <si>
    <t>品質倍率</t>
  </si>
  <si>
    <t>装備</t>
  </si>
  <si>
    <t>common</t>
  </si>
  <si>
    <t>コモン</t>
  </si>
  <si>
    <t>C</t>
  </si>
  <si>
    <t>uncommon</t>
  </si>
  <si>
    <t>アンコモン</t>
  </si>
  <si>
    <t>U</t>
  </si>
  <si>
    <t>rare</t>
  </si>
  <si>
    <t>R</t>
  </si>
  <si>
    <t>epic</t>
  </si>
  <si>
    <t>エピック</t>
  </si>
  <si>
    <t>E</t>
  </si>
  <si>
    <t>〇</t>
  </si>
  <si>
    <t>legendary</t>
  </si>
  <si>
    <t>レジェンダリー</t>
  </si>
  <si>
    <t>L</t>
  </si>
  <si>
    <t>付与</t>
  </si>
  <si>
    <t>キャラ</t>
  </si>
  <si>
    <t>装備名</t>
  </si>
  <si>
    <t>装備箇所</t>
  </si>
  <si>
    <t>武器分類</t>
  </si>
  <si>
    <t>攻撃AP</t>
  </si>
  <si>
    <t>魔法AP</t>
  </si>
  <si>
    <t>威力</t>
  </si>
  <si>
    <t>貫通</t>
  </si>
  <si>
    <t>ペナルティ</t>
  </si>
  <si>
    <t>特性1</t>
  </si>
  <si>
    <t>特性2</t>
  </si>
  <si>
    <t>特性3</t>
  </si>
  <si>
    <t>特性4</t>
  </si>
  <si>
    <t>値段倍率</t>
  </si>
  <si>
    <t>鉱石</t>
  </si>
  <si>
    <t>道具枠</t>
  </si>
  <si>
    <t>近接</t>
  </si>
  <si>
    <t>不意打ち:強化</t>
  </si>
  <si>
    <t>投擲補正</t>
  </si>
  <si>
    <t>片手補正</t>
  </si>
  <si>
    <t>斧</t>
  </si>
  <si>
    <t>戦槌</t>
  </si>
  <si>
    <t>銃</t>
  </si>
  <si>
    <t>火器</t>
  </si>
  <si>
    <t>大盾</t>
  </si>
  <si>
    <t>兜</t>
  </si>
  <si>
    <t>眼鏡</t>
  </si>
  <si>
    <t>速度強化</t>
  </si>
  <si>
    <t>命中強化</t>
  </si>
  <si>
    <t>魔防強化</t>
  </si>
  <si>
    <t>重靴</t>
  </si>
  <si>
    <t>移動強化</t>
  </si>
  <si>
    <t>首飾り</t>
  </si>
  <si>
    <t>装飾</t>
  </si>
  <si>
    <t>指輪</t>
  </si>
  <si>
    <t>スキル獲得</t>
  </si>
  <si>
    <t>腕輪</t>
  </si>
  <si>
    <t>攻撃強化</t>
  </si>
  <si>
    <t>防御強化</t>
  </si>
  <si>
    <t>肉体</t>
  </si>
  <si>
    <t>肉体武器基礎性能。生体性能値÷10=肉体武器Lv。Lv1-10=C、11-20=U、21-30=R、31-40=E、41-50=L。</t>
  </si>
  <si>
    <t>肉体防具</t>
  </si>
  <si>
    <t>自然装甲。生体性能値÷10=装甲Lv。基礎耐性値は未設定のため、現時点では枠のみ。</t>
  </si>
  <si>
    <t>イベント種別</t>
  </si>
  <si>
    <t>発生タイミング</t>
  </si>
  <si>
    <t>選択肢</t>
  </si>
  <si>
    <t>回答</t>
  </si>
  <si>
    <t>消費</t>
  </si>
  <si>
    <t>報酬</t>
  </si>
  <si>
    <t>目標</t>
  </si>
  <si>
    <t>期限ターン</t>
  </si>
  <si>
    <t>再発生</t>
  </si>
  <si>
    <t>クールダウン</t>
  </si>
  <si>
    <t>周期</t>
  </si>
  <si>
    <t>猶予</t>
  </si>
  <si>
    <t>計画対象</t>
  </si>
  <si>
    <t>優先度</t>
  </si>
  <si>
    <t>判定基準</t>
  </si>
  <si>
    <t>工程</t>
  </si>
  <si>
    <t>支援依頼ID</t>
  </si>
  <si>
    <t>対象範囲</t>
  </si>
  <si>
    <t>数量上限</t>
  </si>
  <si>
    <t>目標ターン</t>
  </si>
  <si>
    <t>木材の補給</t>
  </si>
  <si>
    <t>参考</t>
  </si>
  <si>
    <t>一般村</t>
  </si>
  <si>
    <t>依頼</t>
  </si>
  <si>
    <t>木材を納品する依頼の入力例。</t>
  </si>
  <si>
    <t>一般村で会話</t>
  </si>
  <si>
    <t>一般村友好度_10以上</t>
  </si>
  <si>
    <t>1. 依頼を受ける
1-1. 納品する
1-2. 後にする
2. 断る</t>
  </si>
  <si>
    <t>1. 木材を10個お願いします。
1-1. 助かりました。謝礼を受け取ってください。
1-2. 準備ができたらお願いします。
2. また機会があればお願いします。</t>
  </si>
  <si>
    <t>1-1. 依頼受注済み/木材_10以上</t>
  </si>
  <si>
    <t>1-1. 木材_10</t>
  </si>
  <si>
    <t>1-1. 友好度_10/金_5</t>
  </si>
  <si>
    <t>1. 依頼開始_木材納品
1-1. 依頼完了_木材納品</t>
  </si>
  <si>
    <t>木材_10</t>
  </si>
  <si>
    <t>入力例。数値・条件語・効果語は暫定。正式なイベントJSONの移行ではありません。</t>
  </si>
  <si>
    <t>EXAMPLE_VILLAGE_SUPPLY</t>
  </si>
  <si>
    <t>村周辺のウルフ討伐</t>
  </si>
  <si>
    <t>受注後の討伐数を数えて報告する例。</t>
  </si>
  <si>
    <t>1. 依頼を受ける
1-1. 達成を報告する
1-2. 後にする
2. 断る</t>
  </si>
  <si>
    <t>1. 受注後にウルフを3体倒してください。
1-1. 村が安全になりました。
1-2. 無理せずお願いします。
2. また相談してください。</t>
  </si>
  <si>
    <t>1-1. 依頼受注済み/ウルフ討伐_3達成</t>
  </si>
  <si>
    <t>1. 依頼開始_ウルフ討伐
1-1. 依頼完了_ウルフ討伐</t>
  </si>
  <si>
    <t>ウルフ_3</t>
  </si>
  <si>
    <t>討伐のカウントは受注後から。報告時だけ報酬を渡す入力例。</t>
  </si>
  <si>
    <t>EXAMPLE_VILLAGE_HUNT</t>
  </si>
  <si>
    <t>守護契約の相談</t>
  </si>
  <si>
    <t>会話</t>
  </si>
  <si>
    <t>番号を使う会話の親子分岐の記載例。</t>
  </si>
  <si>
    <t>1. 契約について聞く
1-1. 条件を確認する
1-1-1. 契約する
1-1-2. 断る
2. 会話を終える</t>
  </si>
  <si>
    <t>1. 食料を供給してもらえれば休息地を提供します。
1-1. 食料の量と期間を相談しましょう。
1-1-1. 契約の手続きを進めます。
1-1-2. また相談してください。
2. またお越しください。</t>
  </si>
  <si>
    <t>1-1-1. 一般村友好度_20以上</t>
  </si>
  <si>
    <t>1-1-1. 契約開始_食料供給</t>
  </si>
  <si>
    <t>会話分岐の参考のみ。実際の契約の量・期間・定期支払は別途確定/接続が必要。</t>
  </si>
  <si>
    <t>EXAMPLE_VILLAGE_DIALOGUE</t>
  </si>
  <si>
    <t>悪魔向けの修繕物資</t>
  </si>
  <si>
    <t>村へ木材を届けて魂を受け取る依頼の入力例。</t>
  </si>
  <si>
    <t>種族_悪魔</t>
  </si>
  <si>
    <t>1. 木材を20個届けてください。
1-1. 約束の魂をお渡しします。
1-2. 準備ができたらお願いします。
2. また相談してください。</t>
  </si>
  <si>
    <t>1-1. 依頼受注済み/木材_20以上</t>
  </si>
  <si>
    <t>1-1. 木材_20</t>
  </si>
  <si>
    <t>1-1. 魂_2/友好度_10</t>
  </si>
  <si>
    <t>1. 依頼開始_悪魔修繕納品
1-1. 依頼完了_悪魔修繕納品</t>
  </si>
  <si>
    <t>木材_20</t>
  </si>
  <si>
    <t>configの悪魔向けテストを参考にした入力例。魂の実在庫と支払可能数の検証が必要。</t>
  </si>
  <si>
    <t>EXAMPLE_DEMON_SUPPLY</t>
  </si>
  <si>
    <t>村への食料支援</t>
  </si>
  <si>
    <t>無効</t>
  </si>
  <si>
    <t>村へ物資を納品して友好度を得る。</t>
  </si>
  <si>
    <t>1. 穀物を50個お願いします。
1-1. 助かりました。謝礼をお渡しします。
1-2. 準備ができたらお願いします。
2. またお越しください。</t>
  </si>
  <si>
    <t>1-1. 依頼受注済み/穀物_50以上</t>
  </si>
  <si>
    <t>1-1. 穀物_50</t>
  </si>
  <si>
    <t>1. 依頼開始_VILLAGE_SUPPORT_FOOD
1-1. 依頼完了_VILLAGE_SUPPORT_FOOD</t>
  </si>
  <si>
    <t>穀物_50</t>
  </si>
  <si>
    <t>正式運用行。報酬は村の実在庫から支払い、不足時は納品/完了しない。受注・報告・二重報酬防止は共通処理。</t>
  </si>
  <si>
    <t>VILLAGE_SUPPORT_FOOD</t>
  </si>
  <si>
    <t>村の修繕用木材</t>
  </si>
  <si>
    <t>1. 木材を50個お願いします。
1-1. 助かりました。謝礼をお渡しします。
1-2. 準備ができたらお願いします。
2. またお越しください。</t>
  </si>
  <si>
    <t>1-1. 依頼受注済み/木材_50以上</t>
  </si>
  <si>
    <t>1-1. 木材_50</t>
  </si>
  <si>
    <t>1. 依頼開始_VILLAGE_SUPPORT_WOOD
1-1. 依頼完了_VILLAGE_SUPPORT_WOOD</t>
  </si>
  <si>
    <t>木材_50</t>
  </si>
  <si>
    <t>VILLAGE_SUPPORT_WOOD</t>
  </si>
  <si>
    <t>受注時に村周辺の生存ウルフを対象として確定する。</t>
  </si>
  <si>
    <t>1. 依頼を受ける
1-1. 討伐を報告する
1-2. 後にする
2. 断る</t>
  </si>
  <si>
    <t>1. ウルフを3体討伐してください。
1-1. 助かりました。謝礼をお渡しします。
1-2. 準備ができたらお願いします。
2. またお越しください。</t>
  </si>
  <si>
    <t>1. 依頼開始_VILLAGE_WOLF_HUNT
1-1. 依頼完了_VILLAGE_WOLF_HUNT</t>
  </si>
  <si>
    <t>VILLAGE_WOLF_HUNT</t>
  </si>
  <si>
    <t>1. 木材を20個お願いします。
1-1. 助かりました。謝礼をお渡しします。
1-2. 準備ができたらお願いします。
2. またお越しください。</t>
  </si>
  <si>
    <t>1-1. 友好度_10/魂_2</t>
  </si>
  <si>
    <t>1. 依頼開始_DEMON_REPAIR_SUPPLY
1-1. 依頼完了_DEMON_REPAIR_SUPPLY</t>
  </si>
  <si>
    <t>DEMON_REPAIR_SUPPLY</t>
  </si>
  <si>
    <t>村周辺の安全確保</t>
  </si>
  <si>
    <t>村計画</t>
  </si>
  <si>
    <t>守備隊の対応力を超える周辺の脅威を排除する。</t>
  </si>
  <si>
    <t>実在する敵対的な生存個体のみ。守備隊で対処可能なら支援を依頼しない。</t>
  </si>
  <si>
    <t>PLAN_VILLAGE_THREAT</t>
  </si>
  <si>
    <t>周辺脅威</t>
  </si>
  <si>
    <t>周辺脅威あり</t>
  </si>
  <si>
    <t>安全確保</t>
  </si>
  <si>
    <t>TPL_VILLAGE_HUNT</t>
  </si>
  <si>
    <t>最低限の守備隊補充</t>
  </si>
  <si>
    <t>生存守備兵がいなければ通常軍1部隊を訓練する。</t>
  </si>
  <si>
    <t>既存の補充訓練へ接続。軍隊の人数以上の住民が必要。同じ計画を重複生成しない。</t>
  </si>
  <si>
    <t>PLAN_VILLAGE_DEFENSE</t>
  </si>
  <si>
    <t>守備隊</t>
  </si>
  <si>
    <t>守備兵不在</t>
  </si>
  <si>
    <t>訓練</t>
  </si>
  <si>
    <t>食料備蓄の確保</t>
  </si>
  <si>
    <t>必要な食料を目標ターン分確保する。</t>
  </si>
  <si>
    <t>現物備蓄と次ターンの収入・維持費で不足を判定。毎ターンの収入で解決可能なら依頼しない。</t>
  </si>
  <si>
    <t>PLAN_VILLAGE_FOOD</t>
  </si>
  <si>
    <t>食料備蓄不足</t>
  </si>
  <si>
    <t>資材確保</t>
  </si>
  <si>
    <t>TPL_VILLAGE_SUPPLY</t>
  </si>
  <si>
    <t>墓地の建設</t>
  </si>
  <si>
    <t>領土内に死体がある場合に墓地を1棟整える。</t>
  </si>
  <si>
    <t>費用・建設条件・施設上限・工期は施設データと共通。死亡時の浄化低下予防であり既存死体の消去ではない。</t>
  </si>
  <si>
    <t>PLAN_VILLAGE_CEMETERY</t>
  </si>
  <si>
    <t>死亡者あり</t>
  </si>
  <si>
    <t>安全確保&gt;資材確保&gt;建設</t>
  </si>
  <si>
    <t>信仰施設の整備</t>
  </si>
  <si>
    <t>試作</t>
  </si>
  <si>
    <t>蓄積した不浄への対処を検討する。</t>
  </si>
  <si>
    <t>未接続。現行教会の効果に不浄除去はないため有効にしない。種族・信仰別施設も後続。</t>
  </si>
  <si>
    <t>PLAN_VILLAGE_CHURCH</t>
  </si>
  <si>
    <t>不浄蓄積</t>
  </si>
  <si>
    <t>鉱山・拠点の奪還</t>
  </si>
  <si>
    <t>以前所有していた鉱山や拠点を取り戻す。</t>
  </si>
  <si>
    <t>未接続。中立村の所有履歴・攻略判定を接続してから有効化。</t>
  </si>
  <si>
    <t>PLAN_VILLAGE_RECAPTURE</t>
  </si>
  <si>
    <t>旧所有地</t>
  </si>
  <si>
    <t>所有地喪失</t>
  </si>
  <si>
    <t>安全確保&gt;奪還</t>
  </si>
  <si>
    <t>{計画名}への物資支援</t>
  </si>
  <si>
    <t>依頼ひな型</t>
  </si>
  <si>
    <t>{計画名}を進めるため、{資源}を{数量}個必要としています。</t>
  </si>
  <si>
    <t>1. 支援を引き受ける
1-1. 達成を報告する
1-2. 後にする
2. 断る</t>
  </si>
  <si>
    <t>1. よろしくお願いします。
1-1. ご支援に感謝します。
1-2. 準備ができたらお願いします。
2. またご相談します。</t>
  </si>
  <si>
    <t>1-1. 依頼受注済み</t>
  </si>
  <si>
    <t>1-1. 友好度_10</t>
  </si>
  <si>
    <t>計画不足資源</t>
  </si>
  <si>
    <t>対象と数量は受注時に固定。納品分は村の実在庫へ入り計画を進める。別の支援で不要になれば失敗扱いにしない。</t>
  </si>
  <si>
    <t>不足資源</t>
  </si>
  <si>
    <t>{計画名}の討伐支援</t>
  </si>
  <si>
    <t>村付近の{対象}（{数量}体）への対処をお願いします。</t>
  </si>
  <si>
    <t>計画脅威</t>
  </si>
  <si>
    <t>受注時に実在する対象IDを固定する。全滅や対象消失で解決。無関係な同種個体を追加しない。</t>
  </si>
  <si>
    <t>希少資源の奉納</t>
  </si>
  <si>
    <t>黒木・特木・青金鋼・赤黒鋼・宝石を各10、選択中の自拠点から一括納品する。</t>
  </si>
  <si>
    <t>守護者と交流</t>
  </si>
  <si>
    <t>1. 試練を受ける
1-1. 達成を報告する
1-2. 後にする
2. 断る</t>
  </si>
  <si>
    <t>1. この試練を果たし、お前の覚悟を示せ。
1-1. 見事だ。確かにお前の力を認めよう。
1-2. 成し遂げたら戻ってくるがよい。
2. 覚悟ができたら再び来るがよい。</t>
  </si>
  <si>
    <t>1-1. 黒木_10/特木_10/青金鋼_10/赤黒鋼_10/宝石_10</t>
  </si>
  <si>
    <t>1-1. 友好度_35</t>
  </si>
  <si>
    <t>1. 依頼開始_GUARDIAN_TRIAL_RESOURCES
1-1. 依頼完了_GUARDIAN_TRIAL_RESOURCES</t>
  </si>
  <si>
    <t>黒木_10/特木_10/青金鋼_10/赤黒鋼_10/宝石_10</t>
  </si>
  <si>
    <t>UI102: 調整用初期値。3試練すべて達成で平和譲渡。各依頼1回。旧IDの受注済み保存は旧条件を保持するが、新試練の達成には数えない。</t>
  </si>
  <si>
    <t>GUARDIAN_TRIAL_RESOURCES</t>
  </si>
  <si>
    <t>周辺の村の発展</t>
  </si>
  <si>
    <t>周囲16マスの未発展の村2つを完成施設3種類以上に育てる。受注時に対象を固定し、受注後の施設増加も必要。住居は数えない。</t>
  </si>
  <si>
    <t>1. 依頼開始_GUARDIAN_TRIAL_DEVELOPMENT
1-1. 依頼完了_GUARDIAN_TRIAL_DEVELOPMENT</t>
  </si>
  <si>
    <t>村発展_施設3_数2</t>
  </si>
  <si>
    <t>GUARDIAN_TRIAL_DEVELOPMENT</t>
  </si>
  <si>
    <t>力の証明</t>
  </si>
  <si>
    <t>守護者が地上の周囲3マスに召喚するLv30の配下1体を討伐する。召喚体は死体・装備を残さない。</t>
  </si>
  <si>
    <t>1. 依頼開始_GUARDIAN_TRIAL_POWER
1-1. 依頼完了_GUARDIAN_TRIAL_POWER</t>
  </si>
  <si>
    <t>試練召喚_守護者配下_Lv30_数1</t>
  </si>
  <si>
    <t>GUARDIAN_TRIAL_POWER</t>
  </si>
  <si>
    <t>村の周囲を警備</t>
  </si>
  <si>
    <t>守備兵の不足・訓練中、または周辺の脅威がある村の近くで3ターン連続して警備する。</t>
  </si>
  <si>
    <t>警備_3</t>
  </si>
  <si>
    <t>村の計画・危機から生成。固定の番号付き会話から受注しない。受注時の目標・数量・周期・報酬を保存。</t>
  </si>
  <si>
    <t>VILLAGE_SUPPORT_DEFENSE</t>
  </si>
  <si>
    <t>警備</t>
  </si>
  <si>
    <t>村の建設支援</t>
  </si>
  <si>
    <t>村の計画で必要になった施設の完成を支援する。受注時に対象施設を固定し、既存施設を完成扱いにしない。</t>
  </si>
  <si>
    <t>建設_1</t>
  </si>
  <si>
    <t>VILLAGE_SUPPORT_CONSTRUCTION</t>
  </si>
  <si>
    <t>建設支援</t>
  </si>
  <si>
    <t>警備と建設の総合支援</t>
  </si>
  <si>
    <t>村の周囲で3ターン連続警備し、計画施設を完成させる。両方の条件達成後に報告する。</t>
  </si>
  <si>
    <t>警備_3/建設_1</t>
  </si>
  <si>
    <t>TPL_VILLAGE_COMPOSITE</t>
  </si>
  <si>
    <t>複合支援</t>
  </si>
  <si>
    <t>食料の定期納品契約</t>
  </si>
  <si>
    <t>不足する食料を最大20ずつ、5ターンごとに計3回納品する。各納品日は受注時から数え、報告で手動納品。猶予3ターン超過時は報告で日程を再開。</t>
  </si>
  <si>
    <t>TPL_VILLAGE_CONTRACT</t>
  </si>
  <si>
    <t>継続支援</t>
  </si>
  <si>
    <t>配置地形</t>
  </si>
  <si>
    <t>代替地形</t>
  </si>
  <si>
    <t>発見方法</t>
  </si>
  <si>
    <t>守護者候補</t>
  </si>
  <si>
    <t>配下候補</t>
  </si>
  <si>
    <t>守護者Lv</t>
  </si>
  <si>
    <t>配下数</t>
  </si>
  <si>
    <t>配下Lv差</t>
  </si>
  <si>
    <t>配下Lv幅</t>
  </si>
  <si>
    <t>試練ID</t>
  </si>
  <si>
    <t>守護範囲</t>
  </si>
  <si>
    <t>勝利対象:太陽の山</t>
  </si>
  <si>
    <t>太陽の光を宿す霊峰。</t>
  </si>
  <si>
    <t>[{"name":"白虎","race":"タイガー","className":"神獣","unique":true},{"name":"スフィンクス","race":"ライオン","className":"幻獣","unique":true},{"name":"応龍","race":"ドレイク","className":"神獣","unique":true}]</t>
  </si>
  <si>
    <t>[{"race":"ホーク","className":"ソルアニマル"},{"race":"タイガー","className":"ソルアニマル"}]</t>
  </si>
  <si>
    <t>["GUARDIAN_TRIAL_RESOURCES","GUARDIAN_TRIAL_DEVELOPMENT","GUARDIAN_TRIAL_POWER"]</t>
  </si>
  <si>
    <t>勝利対象:黄昏の樹</t>
  </si>
  <si>
    <t>黄昏の気配をまとった巨樹。</t>
  </si>
  <si>
    <t>[{"name":"麒麟","race":"ホース","className":"神獣","unique":true},{"name":"白沢","race":"ライオン","className":"神獣","unique":true},{"name":"九尾狐","race":"フォックス","className":"神獣","unique":true}]</t>
  </si>
  <si>
    <t>[{"race":"ウルフ","className":"ムーンアニマル"},{"race":"トレント","className":"トレント"}]</t>
  </si>
  <si>
    <t>勝利対象:星の火口</t>
  </si>
  <si>
    <t>星光を宿す火口。</t>
  </si>
  <si>
    <t>[{"name":"朱雀","race":"ホーク","className":"神獣","unique":true,"lowerForm":"フェニックス"},{"name":"サラマンダー","race":"リザード","className":"フレイムアニマル","unique":true}]</t>
  </si>
  <si>
    <t>[{"race":"フレイムエレメンタル","className":"フレイムエレメンタル"},{"race":"ボア","className":"フレイムアニマル"},{"race":"フォックス","className":"フレイムアニマル"}]</t>
  </si>
  <si>
    <t>勝利対象:宇宙の海</t>
  </si>
  <si>
    <t>宇宙を映す海域。</t>
  </si>
  <si>
    <t>[{"name":"玄武","race":"タートル","className":"神獣","unique":true},{"name":"青龍","race":"スネーク","className":"神獣","unique":true},{"name":"クラーケン","race":"ウォーターエレメンタル","className":"幻獣","unique":true}]</t>
  </si>
  <si>
    <t>[{"race":"スネーク","className":"シーアニマル"},{"race":"クロコダイル","className":"シーアニマル"},{"race":"ウォーターエレメンタル","className":"ウォーターエレメンタル"}]</t>
  </si>
  <si>
    <t>採取周期</t>
  </si>
  <si>
    <t>採取量</t>
  </si>
  <si>
    <t>研究区分</t>
  </si>
  <si>
    <t>研究速度補正</t>
  </si>
  <si>
    <t>設定状態</t>
  </si>
  <si>
    <t>最低高度</t>
  </si>
  <si>
    <t>最高高度</t>
  </si>
  <si>
    <t>出現重み</t>
  </si>
  <si>
    <t>最低湿潤度</t>
  </si>
  <si>
    <t>最高湿潤度</t>
  </si>
  <si>
    <t>収穫資源</t>
  </si>
  <si>
    <t>収穫量加算</t>
  </si>
  <si>
    <t>固定収入</t>
  </si>
  <si>
    <t>キノコ</t>
  </si>
  <si>
    <t>森, 湿地, 沼地</t>
  </si>
  <si>
    <t>ベリー</t>
  </si>
  <si>
    <t>平地, 森, 丘陵</t>
  </si>
  <si>
    <t>バナナ</t>
  </si>
  <si>
    <t>リンゴ</t>
  </si>
  <si>
    <t>オレンジ</t>
  </si>
  <si>
    <t>平地, 森</t>
  </si>
  <si>
    <t>蜂蜜</t>
  </si>
  <si>
    <t>希少魚</t>
  </si>
  <si>
    <t>海, 湖</t>
  </si>
  <si>
    <t>カキ・貝</t>
  </si>
  <si>
    <t>タコ</t>
  </si>
  <si>
    <t>カニ</t>
  </si>
  <si>
    <t>エビ</t>
  </si>
  <si>
    <t>山岳, 丘陵, 洞窟, 平地, 荒野</t>
  </si>
  <si>
    <t>山岳, 洞窟</t>
  </si>
  <si>
    <t>地形・研究補正は暫定</t>
  </si>
  <si>
    <t>山岳, 洞窟, 荒野</t>
  </si>
  <si>
    <t>山岳, 丘陵, 洞窟</t>
  </si>
  <si>
    <t>平地, 森, 湿地</t>
  </si>
  <si>
    <t>地形は暫定・回復補正は後回し</t>
  </si>
  <si>
    <t>即時回復</t>
  </si>
  <si>
    <t>毎ターン回復</t>
  </si>
  <si>
    <t>持続ターン</t>
  </si>
  <si>
    <t>携帯上限</t>
  </si>
  <si>
    <t>必要素材</t>
  </si>
  <si>
    <t>製造施設</t>
  </si>
  <si>
    <t>基礎生成量</t>
  </si>
  <si>
    <t>製造ターン</t>
  </si>
  <si>
    <t>即時回復なし。次ターンからHP5×6ターン。</t>
  </si>
  <si>
    <t>薬草_1</t>
  </si>
  <si>
    <t>即時HP20＋薬系研究Lv×5、HP5×6ターン。材料・基礎生成量・製造ターン・携帯上限は暫定。</t>
  </si>
  <si>
    <t>薬草_2/宝石_1</t>
  </si>
  <si>
    <t>即時HP80＋薬系研究Lv×5、継続回復なし。AP・基礎生成量・製造ターン・携帯上限は暫定。</t>
  </si>
  <si>
    <t>HP回復なし。使用マスの浄化+5（素材・製造値・AP・上昇量は暫定）。</t>
  </si>
  <si>
    <t>煙玉</t>
  </si>
  <si>
    <t>木材_1</t>
  </si>
  <si>
    <t>対象マスに通常霧を3ターン。範囲は1マス、素材・AP・射程・期間は暫定。</t>
  </si>
  <si>
    <t>攻撃手段</t>
  </si>
  <si>
    <t>条件系統</t>
  </si>
  <si>
    <t>精神攻撃</t>
  </si>
  <si>
    <t>精神攻撃耐性</t>
  </si>
  <si>
    <t>4t</t>
  </si>
  <si>
    <t>ガード時</t>
  </si>
  <si>
    <t>不意打ち</t>
  </si>
  <si>
    <t>素手</t>
  </si>
  <si>
    <t>炎の魔力</t>
  </si>
  <si>
    <t>炎の力</t>
  </si>
  <si>
    <t>炎の吐息</t>
  </si>
  <si>
    <t>吐息</t>
  </si>
  <si>
    <t>氷の魔力</t>
  </si>
  <si>
    <t>氷の力</t>
  </si>
  <si>
    <t>氷の吐息</t>
  </si>
  <si>
    <t>風の拳</t>
  </si>
  <si>
    <t>風の魔力</t>
  </si>
  <si>
    <t>風の力</t>
  </si>
  <si>
    <t>風の吐息</t>
  </si>
  <si>
    <t>地の拳</t>
  </si>
  <si>
    <t>地の魔力</t>
  </si>
  <si>
    <t>地の力</t>
  </si>
  <si>
    <t>石礫の吐息</t>
  </si>
  <si>
    <t>設置</t>
  </si>
  <si>
    <t>死者復活</t>
  </si>
  <si>
    <t>蘇生_Lv-8</t>
  </si>
  <si>
    <t>蘇生_Lv-5</t>
  </si>
  <si>
    <t>完全蘇生</t>
  </si>
  <si>
    <t>蘇生_Lv-2</t>
  </si>
  <si>
    <t>平地化</t>
  </si>
  <si>
    <t>平地_変換</t>
  </si>
  <si>
    <t>森化</t>
  </si>
  <si>
    <t>森_変換</t>
  </si>
  <si>
    <t>山岳化</t>
  </si>
  <si>
    <t>山岳_変換</t>
  </si>
  <si>
    <t>丘陵化</t>
  </si>
  <si>
    <t>丘陵_変換</t>
  </si>
  <si>
    <t>河川化</t>
  </si>
  <si>
    <t>河川_変換</t>
  </si>
  <si>
    <t>湖化</t>
  </si>
  <si>
    <t>湖_変換</t>
  </si>
  <si>
    <t>海化</t>
  </si>
  <si>
    <t>海_変換</t>
  </si>
  <si>
    <t>砂漠化</t>
  </si>
  <si>
    <t>砂漠_変換</t>
  </si>
  <si>
    <t>沼地化</t>
  </si>
  <si>
    <t>沼地_変換</t>
  </si>
  <si>
    <t>薬草繁茂化</t>
  </si>
  <si>
    <t>薬草繁茂_変換</t>
  </si>
  <si>
    <t>峡谷化</t>
  </si>
  <si>
    <t>峡谷_変換</t>
  </si>
  <si>
    <t>洞窟化</t>
  </si>
  <si>
    <t>洞窟_変換</t>
  </si>
  <si>
    <t>雪原化</t>
  </si>
  <si>
    <t>雪原_変換</t>
  </si>
  <si>
    <t>火山化</t>
  </si>
  <si>
    <t>火山_変換</t>
  </si>
  <si>
    <t>溶岩化</t>
  </si>
  <si>
    <t>溶岩_変換</t>
  </si>
  <si>
    <t>死の霧化</t>
  </si>
  <si>
    <t>死の霧_変換</t>
  </si>
  <si>
    <t>性格</t>
  </si>
  <si>
    <t>一人称</t>
  </si>
  <si>
    <t>二人称</t>
  </si>
  <si>
    <t>交渉開始</t>
  </si>
  <si>
    <t>好条件</t>
  </si>
  <si>
    <t>悪条件</t>
  </si>
  <si>
    <t>値下げ要求</t>
  </si>
  <si>
    <t>値上げ要求</t>
  </si>
  <si>
    <t>承諾</t>
  </si>
  <si>
    <t>拒否</t>
  </si>
  <si>
    <t>交渉成功</t>
  </si>
  <si>
    <t>交渉失敗</t>
  </si>
  <si>
    <t>脅迫</t>
  </si>
  <si>
    <t>煽り</t>
  </si>
  <si>
    <t>挑発</t>
  </si>
  <si>
    <t>降伏要求</t>
  </si>
  <si>
    <t>金品要求</t>
  </si>
  <si>
    <t>終了</t>
  </si>
  <si>
    <t>真面目</t>
  </si>
  <si>
    <t>私</t>
  </si>
  <si>
    <t>あなた</t>
  </si>
  <si>
    <t>用件を伺います。
まずは話を聞きましょう。</t>
  </si>
  <si>
    <t>妥当な条件だと思います。
こちらとしても異存ありません。</t>
  </si>
  <si>
    <t>その条件では受けられません。
もう一度条件を見直してください。</t>
  </si>
  <si>
    <t>もう少し価格を調整できませんか？
こちらにも予算があります。</t>
  </si>
  <si>
    <t>こちらとしては、もう少し必要です。
その額では釣り合いません。</t>
  </si>
  <si>
    <t>分かりました。その条件で。
では、それで進めましょう。</t>
  </si>
  <si>
    <t>申し訳ありませんが、お断りします。
その条件では同意できません。</t>
  </si>
  <si>
    <t>これで話はまとまりましたね。
良い取引になったと思います。</t>
  </si>
  <si>
    <t>残念ですが、今回はここまでですね。
合意には至りませんでしたか。</t>
  </si>
  <si>
    <t>これ以上拒むなら、こちらも手段を選べません。
穏便に済ませられるうちに決めてください。</t>
  </si>
  <si>
    <t>状況をよく確認した方がいいでしょう。
こちらの戦力を見ても、まだ拒みますか？</t>
  </si>
  <si>
    <t>それが本当に最善の提案ですか？
もう少しまともな条件を期待していました。</t>
  </si>
  <si>
    <t>不満があるなら、実力で示してください。
そこまで言うなら試してみますか？</t>
  </si>
  <si>
    <t>武器を捨ててください。これ以上の抵抗は無意味です。
降伏してください。被害を増やす必要はありません。</t>
  </si>
  <si>
    <t>必要な物資を渡してください。
こちらの要求に応じてもらいます。</t>
  </si>
  <si>
    <t>では、失礼します。
話は以上です。</t>
  </si>
  <si>
    <t>冷静</t>
  </si>
  <si>
    <t>君</t>
  </si>
  <si>
    <t>用件は？
話を聞こう。</t>
  </si>
  <si>
    <t>悪くない。
妥当だな。</t>
  </si>
  <si>
    <t>割に合わない。
その条件では無理だ。</t>
  </si>
  <si>
    <t>もう少し下げられないか。
その価格では高い。</t>
  </si>
  <si>
    <t>その額では足りない。
条件を上げてもらおう。</t>
  </si>
  <si>
    <t>それでいい。
成立だ。</t>
  </si>
  <si>
    <t>断る。
その話は受けられない。</t>
  </si>
  <si>
    <t>話はまとまった。
これで決まりだ。</t>
  </si>
  <si>
    <t>交渉決裂だな。
これ以上は無駄だ。</t>
  </si>
  <si>
    <t>断るのは自由だ。その後どうなるかも含めてな。
次は話し合いでは済まない。</t>
  </si>
  <si>
    <t>戦力差くらい分かるだろう。
状況を理解した方がいい。</t>
  </si>
  <si>
    <t>それが精一杯か？
随分と弱い条件だな。</t>
  </si>
  <si>
    <t>不満なら実力で示せ。
やれるものならやってみろ。</t>
  </si>
  <si>
    <t>降伏しろ。これ以上は無意味だ。
武器を捨てろ。</t>
  </si>
  <si>
    <t>持っている物を置いていけ。
必要な物資を渡せ。</t>
  </si>
  <si>
    <t>以上だ。
ではな。</t>
  </si>
  <si>
    <t>温厚</t>
  </si>
  <si>
    <t>お話を伺います。
どうしました？</t>
  </si>
  <si>
    <t>良い条件ですね。
それなら問題なさそうです。</t>
  </si>
  <si>
    <t>少し厳しいですね……。
もう少し考えていただけませんか？</t>
  </si>
  <si>
    <t>少しだけ安くできませんか？
無理のない範囲でお願いしたいのですが。</t>
  </si>
  <si>
    <t>こちらにも事情がありまして……。
もう少しだけお願いできますか？</t>
  </si>
  <si>
    <t>分かりました。
それでお願いします。</t>
  </si>
  <si>
    <t>申し訳ありません。
今回は遠慮させてください。</t>
  </si>
  <si>
    <t>無事まとまりましたね。
良い結果になって何よりです。</t>
  </si>
  <si>
    <t>残念ですね……。
また別の機会にしましょう。</t>
  </si>
  <si>
    <t>できれば、こんなことは言いたくないのですが……。
これ以上は、こちらも黙っていられません。</t>
  </si>
  <si>
    <t>無理に争う必要はないと思います。
状況を見れば、答えは分かるはずです。</t>
  </si>
  <si>
    <t>もう少し考えてから話した方がいいですよ。
それでは少し説得力がありませんね。</t>
  </si>
  <si>
    <t>本当に争うつもりですか？
そこまで言うなら、止めはしませんが……。</t>
  </si>
  <si>
    <t>どうか降伏してください。
これ以上傷つく必要はありません。</t>
  </si>
  <si>
    <t>必要な分だけ渡していただけませんか。
物資を置いていけば、それ以上は求めません。</t>
  </si>
  <si>
    <t>それでは、また。
お気をつけて。</t>
  </si>
  <si>
    <t>豪胆</t>
  </si>
  <si>
    <t>俺</t>
  </si>
  <si>
    <t>お前</t>
  </si>
  <si>
    <t>よし、話を聞こう！
何の話だ？</t>
  </si>
  <si>
    <t>ハッ！ 悪くない！
いい条件じゃないか！</t>
  </si>
  <si>
    <t>そいつは話にならんな！
もっとマシな条件を持ってこい！</t>
  </si>
  <si>
    <t>もうちょい負けろ！
それじゃ高すぎるぞ！</t>
  </si>
  <si>
    <t>もっと出してもらおうか！
その程度じゃ足りん！</t>
  </si>
  <si>
    <t>よし、それで決まりだ！
乗った！</t>
  </si>
  <si>
    <t>ダメだな！
そいつは断る！</t>
  </si>
  <si>
    <t>よし！ 話は決まった！
これで一件落着だ！</t>
  </si>
  <si>
    <t>ハッ！ 仕方ねえな！
じゃあこの話は終わりだ！</t>
  </si>
  <si>
    <t>次は拳で話すことになるぞ！
命が惜しいなら素直に聞いとけ！</t>
  </si>
  <si>
    <t>この人数を見てもまだやる気か？
{一人称}たち相手に勝てると思ってんのか！</t>
  </si>
  <si>
    <t>なんだ、そんなもんか？
もっと骨のある奴だと思ってたぜ！</t>
  </si>
  <si>
    <t>来いよ！ 相手してやる！
やれるもんならやってみろ！</t>
  </si>
  <si>
    <t>武器を捨てろ！ それで終わりだ！
降参するなら今のうちだぞ！</t>
  </si>
  <si>
    <t>持ってる物を置いてけ！
さあ、出すもん出してもらおうか！</t>
  </si>
  <si>
    <t>じゃあな！
話は終わりだ！</t>
  </si>
  <si>
    <t>高慢</t>
  </si>
  <si>
    <t>何の用です？
話くらいは聞いてあげましょう。</t>
  </si>
  <si>
    <t>まあ、悪くありませんね。
その程度なら認めてもいいでしょう。</t>
  </si>
  <si>
    <t>その程度ですか？
{一人称}を馬鹿にしているのですか？</t>
  </si>
  <si>
    <t>もっと下げなさい。
その値段で{一人称}が納得するとでも？</t>
  </si>
  <si>
    <t>当然、もっと出せますよね？
それでは到底足りません。</t>
  </si>
  <si>
    <t>仕方ありませんね。
認めてあげましょう。</t>
  </si>
  <si>
    <t>お断りします。
話になりませんね。</t>
  </si>
  <si>
    <t>当然の結果です。
最初からこうすればよかったのです。</t>
  </si>
  <si>
    <t>時間の無駄でしたね。
{二人称}とは話になりません。</t>
  </si>
  <si>
    <t>{一人称}を怒らせた代償は高くつきますよ。
まだ自分の立場が分からないのですか？</t>
  </si>
  <si>
    <t>{一人称}に逆らえると思っているのですか？
身の程を知りなさい。</t>
  </si>
  <si>
    <t>その程度の頭で交渉に来たのですか？
期待した{一人称}が馬鹿でしたね。</t>
  </si>
  <si>
    <t>どうぞ？ 勝てると思うなら。
口だけでないところを見せてもらいましょう。</t>
  </si>
  <si>
    <t>ひざまずきなさい。
降伏を認めてあげます。感謝なさい。</t>
  </si>
  <si>
    <t>持っている物を差し出しなさい。
{二人称}たちには過ぎた物でしょう。</t>
  </si>
  <si>
    <t>もう結構です。
下がりなさい。</t>
  </si>
  <si>
    <t>臆病</t>
  </si>
  <si>
    <t>僕</t>
  </si>
  <si>
    <t>え、{一人称}ですか？
な、何の話でしょう……？</t>
  </si>
  <si>
    <t>そ、それなら大丈夫です。
いいと思います……！</t>
  </si>
  <si>
    <t>そ、それはちょっと……。
もう少し何とかなりませんか……？</t>
  </si>
  <si>
    <t>もう少し安く……できませんか？
ちょっと高いかなって……。</t>
  </si>
  <si>
    <t>も、もう少し欲しいです……。
その額だと困るんです……。</t>
  </si>
  <si>
    <t>わ、分かりました。
それで大丈夫です。</t>
  </si>
  <si>
    <t>ご、ごめんなさい！
それは無理です……。</t>
  </si>
  <si>
    <t>よ、よかった……。
なんとかまとまりましたね……。</t>
  </si>
  <si>
    <t>やっぱりダメでしたか……。
もう帰りましょう……。</t>
  </si>
  <si>
    <t>{一人称}だって……やる時はやるんだぞ！
こ、これ以上やったら本当に怒るからな！</t>
  </si>
  <si>
    <t>こ、こっちには仲間がいるんだぞ！
人数ならこっちの方が多いんだからな！</t>
  </si>
  <si>
    <t>そ、その程度なんですか……？
思ったより大したことないんですね……。</t>
  </si>
  <si>
    <t>や、やれるものならやってみろ！
こ、怖くなんかないぞ！</t>
  </si>
  <si>
    <t>お、お願いだから降伏してください！
もう戦わなくていいじゃないですか！</t>
  </si>
  <si>
    <t>も、持ってる物を出してください……！
お金を置いていけば何もしませんから！</t>
  </si>
  <si>
    <t>し、失礼します。
じゃ、じゃあこれで……。</t>
  </si>
  <si>
    <t>陽気</t>
  </si>
  <si>
    <t>はいはい、何の話？
面白い話なら聞くよ！</t>
  </si>
  <si>
    <t>おっ、いいね！
それなら文句なし！</t>
  </si>
  <si>
    <t>いやー、それはちょっとね。
さすがに厳しくない？</t>
  </si>
  <si>
    <t>もうちょっとおまけしてよ！
そこをなんとか！</t>
  </si>
  <si>
    <t>もうひと声ほしいなー。
ちょっとだけ上乗せしない？</t>
  </si>
  <si>
    <t>オッケー！
それでいこう！</t>
  </si>
  <si>
    <t>ごめん、それは無理！
今回はパスかな。</t>
  </si>
  <si>
    <t>よーし、成立！
いい取引だったね！</t>
  </si>
  <si>
    <t>ありゃ、ダメだったか。
まあ、そういう時もあるよね。</t>
  </si>
  <si>
    <t>今なら笑って済ませられるんだけどなー。
次はもうちょっと怖い話になるかもよ？</t>
  </si>
  <si>
    <t>人数、数えてみる？
これ、本当に勝てると思う？</t>
  </si>
  <si>
    <t>え、それ本気で言ってる？
もうちょっと頑張れるでしょ？</t>
  </si>
  <si>
    <t>じゃあ試してみる？
ほらほら、かかっておいで！</t>
  </si>
  <si>
    <t>はい、そこまで！ 降参しよっか！
武器置いちゃえば楽になるよ！</t>
  </si>
  <si>
    <t>じゃ、持ってる物置いてって！
お財布の中身、ちょーっと見せてもらおうかな？</t>
  </si>
  <si>
    <t>じゃあね！
またよろしく！</t>
  </si>
  <si>
    <t>さて、何のお話でしょう？
まずは条件を伺いましょう。</t>
  </si>
  <si>
    <t>なるほど、悪くありません。
それなら話を続けられそうですね。</t>
  </si>
  <si>
    <t>それではこちらに旨味がありませんね。
もう少し考えていただきましょうか。</t>
  </si>
  <si>
    <t>もう少し勉強していただけませんか？
その価格では少々高いですね。</t>
  </si>
  <si>
    <t>では、その分こちらにも利益を。
もう一つ条件を加えましょう。</t>
  </si>
  <si>
    <t>いいでしょう。
その条件なら乗りましょう。</t>
  </si>
  <si>
    <t>その話には乗れませんね。
残念ですが、お断りします。</t>
  </si>
  <si>
    <t>良い取引になりましたね。
お互い得をした、ということにしておきましょう。</t>
  </si>
  <si>
    <t>これは残念。
では、また別の機会に。</t>
  </si>
  <si>
    <t>賢い方なら、ここで断らないでしょうね。
{二人称}の大切なものまで失う必要はないでしょう？</t>
  </si>
  <si>
    <t>状況はこちらに有利です。
選択肢が多いと思わない方がいいですよ。</t>
  </si>
  <si>
    <t>その程度の条件で{一人称}を動かせると？
もう少し頭を使ってはいかがです？</t>
  </si>
  <si>
    <t>どうぞ、お好きに。結果まで責任は持ちませんが。
試したければ止めませんよ。</t>
  </si>
  <si>
    <t>今降伏すれば、まだ条件は選べますよ。
負けてからでは遅いのです。</t>
  </si>
  <si>
    <t>財産で安全が買えるなら安いものでしょう？
少々置いていっていただきましょうか。</t>
  </si>
  <si>
    <t>では、失礼。
また機会があれば。</t>
  </si>
  <si>
    <t>無口</t>
  </si>
  <si>
    <t>……用件は。
……話せ。</t>
  </si>
  <si>
    <t>悪くない。
いいだろう。</t>
  </si>
  <si>
    <t>ダメだ。
足りない。</t>
  </si>
  <si>
    <t>高い。
下げろ。</t>
  </si>
  <si>
    <t>足りない。
もっとだ。</t>
  </si>
  <si>
    <t>分かった。
いい。</t>
  </si>
  <si>
    <t>断る。
無理だ。</t>
  </si>
  <si>
    <t>決まりだ。
終わりだ。</t>
  </si>
  <si>
    <t>……そうか。
話は終わりだ。</t>
  </si>
  <si>
    <t>次はない。
死にたいか。</t>
  </si>
  <si>
    <t>よく見ろ。
勝てると思うか。</t>
  </si>
  <si>
    <t>弱いな。
その程度か。</t>
  </si>
  <si>
    <t>来い。
やってみろ。</t>
  </si>
  <si>
    <t>武器を捨てろ。
降伏しろ。</t>
  </si>
  <si>
    <t>置いていけ。
全部出せ。</t>
  </si>
  <si>
    <t>以上だ。
行け。</t>
  </si>
  <si>
    <t>話で済むなら聞いてやる。
手短にしろ。</t>
  </si>
  <si>
    <t>悪くねえ。
それなら飲んでやる。</t>
  </si>
  <si>
    <t>ふざけてるのか？
喧嘩を売ってるなら買うぞ。</t>
  </si>
  <si>
    <t>もっと下げろ。
それじゃ納得できねえな。</t>
  </si>
  <si>
    <t>もっと出せ。
その程度じゃ足りねえ。</t>
  </si>
  <si>
    <t>よし、決まりだ。
それでいい。</t>
  </si>
  <si>
    <t>断る。
気に入らねえ。</t>
  </si>
  <si>
    <t>話はついたな。
今回は拳を使わずに済んだな。</t>
  </si>
  <si>
    <t>じゃあ次は力ずくだ。
話し合いは終わりだ。</t>
  </si>
  <si>
    <t>首を縦に振らないなら、力ずくで振らせるぞ。
次に口を開く時は命乞いかもしれんな。</t>
  </si>
  <si>
    <t>{二人称}、本当に{一人称}たちとやる気か？
死にたくなけりゃ考え直せ。</t>
  </si>
  <si>
    <t>口ほどにもないな。
腰抜けが偉そうに喋るな。</t>
  </si>
  <si>
    <t>ほら、かかってこい！
その口がどこまで動くか試してやる！</t>
  </si>
  <si>
    <t>武器を捨てろ！
降参しろ。さもなきゃ潰す。</t>
  </si>
  <si>
    <t>金も物資も置いていけ。
命まで取られたくなきゃ全部出せ。</t>
  </si>
  <si>
    <t>じゃあな。
次は戦場で会わないことだな。</t>
  </si>
  <si>
    <t>尊大</t>
  </si>
  <si>
    <t>我</t>
  </si>
  <si>
    <t>貴様</t>
  </si>
  <si>
    <t>何用だ。
くだらん話なら聞く価値もない。</t>
  </si>
  <si>
    <t>ほう、少しは分をわきまえているようだ。
悪くない。{一人称}が認めよう。</t>
  </si>
  <si>
    <t>くだらん。
その程度の条件で{一人称}を動かせると思ったか？</t>
  </si>
  <si>
    <t>もっと下げろ。
その程度では話にならん。</t>
  </si>
  <si>
    <t>{一人称}に差し出すなら、もっと用意しろ。
足りんな。上乗せせよ。</t>
  </si>
  <si>
    <t>よかろう。
特別に認めてやる。</t>
  </si>
  <si>
    <t>断る。
{一人称}の時間を無駄にするな。</t>
  </si>
  <si>
    <t>当然の結果だ。
ようやく理解したか。</t>
  </si>
  <si>
    <t>愚かな選択だ。
これ以上話す価値はない。</t>
  </si>
  <si>
    <t>{一人称}を怒らせたこと、後悔するがいい。
命が惜しくば今すぐ従え。</t>
  </si>
  <si>
    <t>身の程を知れ。
{二人称}に選択権があると思うな。</t>
  </si>
  <si>
    <t>その程度か？
随分と威勢だけはいいな。</t>
  </si>
  <si>
    <t>不満ならかかってこい。
{一人称}に挑む勇気があるならな。</t>
  </si>
  <si>
    <t>ひれ伏せ。
{一人称}の慈悲があるうちに降伏せよ。</t>
  </si>
  <si>
    <t>財を差し出せ。
{二人称}の持つ物は{一人称}が預かろう。</t>
  </si>
  <si>
    <t>下がれ。
話は終わりだ。</t>
  </si>
  <si>
    <t>魔王風</t>
  </si>
  <si>
    <t>余</t>
  </si>
  <si>
    <t>{一人称}の前に何用だ。
申してみよ、聞くだけは聞いてやろう。</t>
  </si>
  <si>
    <t>ほう、悪くない供物だ。
よかろう、その条件を認めよう。</t>
  </si>
  <si>
    <t>くだらん。
その程度で{一人称}と取引するつもりか。</t>
  </si>
  <si>
    <t>さらに譲れ。
{一人称}に差し出すにはまだ高すぎる。</t>
  </si>
  <si>
    <t>もっと差し出せ。
{一人称}の機嫌を取るには足りぬ。</t>
  </si>
  <si>
    <t>よかろう、許す。
その条件、{一人称}が受け入れよう。</t>
  </si>
  <si>
    <t>ならぬ。
そのような戯言、聞くに値せぬ。</t>
  </si>
  <si>
    <t>ふはは、賢明な判断だ。
これで{二人称}も{一人称}の意を理解したか。</t>
  </si>
  <si>
    <t>愚か者め。
自ら滅びを選ぶか。</t>
  </si>
  <si>
    <t>{一人称}に逆らえば国ごと灰となるぞ。
命が惜しくば膝を折れ。</t>
  </si>
  <si>
    <t>{一人称}の前で頭が高い。
その程度の力で{一人称}に抗うつもりか。</t>
  </si>
  <si>
    <t>ふん、虫けらがよく吠える。
{二人称}の勇気だけは褒めてやろう。</t>
  </si>
  <si>
    <t>来るがよい。絶望を教えてやろう。
{一人称}に挑むというなら止めはせぬ。</t>
  </si>
  <si>
    <t>ひれ伏せ、そして{一人称}に忠誠を誓え。
降伏せよ。さすれば命だけは残してやる。</t>
  </si>
  <si>
    <t>金も宝も{一人称}に献上せよ。
その財、{一人称}が有効に使ってやろう。</t>
  </si>
  <si>
    <t>失せよ。
{一人称}の興は冷めた。</t>
  </si>
  <si>
    <t>冷酷</t>
  </si>
  <si>
    <t>用件を言え。
時間を無駄にするな。</t>
  </si>
  <si>
    <t>合理的だ。
その条件なら受ける。</t>
  </si>
  <si>
    <t>価値がない。
その条件では成立しない。</t>
  </si>
  <si>
    <t>下げろ。
その価格は認めない。</t>
  </si>
  <si>
    <t>不足だ。
条件を上げろ。</t>
  </si>
  <si>
    <t>承知した。
それで進める。</t>
  </si>
  <si>
    <t>拒否する。
不要だ。</t>
  </si>
  <si>
    <t>成立だ。
これで終わりだ。</t>
  </si>
  <si>
    <t>交渉終了だ。
次は別の手段を使う。</t>
  </si>
  <si>
    <t>拒否すれば排除する。
次の選択を間違えるな。</t>
  </si>
  <si>
    <t>戦力差は明白だ。
抵抗は損失を増やすだけだ。</t>
  </si>
  <si>
    <t>その程度か。
期待以下だ。</t>
  </si>
  <si>
    <t>望むなら相手をする。
結果は変わらないがな。</t>
  </si>
  <si>
    <t>武装を解除しろ。
降伏しろ。拒否は認めない。</t>
  </si>
  <si>
    <t>資産を置いていけ。
必要な物資を全て渡せ。</t>
  </si>
  <si>
    <t>終わりだ。
消えろ。</t>
  </si>
  <si>
    <t>古風</t>
  </si>
  <si>
    <t>そなた</t>
  </si>
  <si>
    <t>何用じゃ。
申してみよ。</t>
  </si>
  <si>
    <t>うむ、悪くない。
その条件ならばよかろう。</t>
  </si>
  <si>
    <t>それでは釣り合わぬ。
今一度、条件を改めよ。</t>
  </si>
  <si>
    <t>もう少し値を下げられぬか。
その値では高かろう。</t>
  </si>
  <si>
    <t>もう一声欲しいところじゃ。
その額では足りぬ。</t>
  </si>
  <si>
    <t>よかろう。
その話、受けようぞ。</t>
  </si>
  <si>
    <t>ならぬ。
その話は受けられぬ。</t>
  </si>
  <si>
    <t>話はまとまったようじゃな。
めでたし、めでたしじゃ。</t>
  </si>
  <si>
    <t>縁がなかったようじゃな。
これ以上は仕方あるまい。</t>
  </si>
  <si>
    <t>これ以上逆らえば容赦せぬぞ。
命惜しくば退くがよい。</t>
  </si>
  <si>
    <t>形勢を見誤るでないぞ。
{二人称}に勝ち目があると申すか。</t>
  </si>
  <si>
    <t>ほう、それが{二人称}の精一杯か。
まだまだ青いのう。</t>
  </si>
  <si>
    <t>ならば力で示してみよ。
参るがよい、受けて立とう。</t>
  </si>
  <si>
    <t>武器を置き、降るがよい。
これ以上の争いは無益じゃ。</t>
  </si>
  <si>
    <t>財を置いてゆけ。
通行の代とでも思うがよい。</t>
  </si>
  <si>
    <t>では、さらばじゃ。
話はここまでとしよう。</t>
  </si>
  <si>
    <t>老獪</t>
  </si>
  <si>
    <t>わし</t>
  </si>
  <si>
    <t>お主</t>
  </si>
  <si>
    <t>ほっほっ、何の用じゃ。
話くらいは聞いてやろう。</t>
  </si>
  <si>
    <t>ほう、なかなか分かっておる。
それなら悪くないのう。</t>
  </si>
  <si>
    <t>まだ甘いのう。
その条件では首を縦には振れん。</t>
  </si>
  <si>
    <t>もう少し勉強してくれんかの。
年寄りを困らせるでないぞ。</t>
  </si>
  <si>
    <t>あと少し乗せれば話は早いぞ。
それでは{一人称}の取り分が少ないのう。</t>
  </si>
  <si>
    <t>よかろう、手を打とう。
そこまで言うなら乗ってやるかの。</t>
  </si>
  <si>
    <t>その手には乗らんよ。
残念じゃったな。</t>
  </si>
  <si>
    <t>ほっほっ、うまくまとまったのう。
互いに得をしたということにしておこう。</t>
  </si>
  <si>
    <t>やれやれ、話が通じんのう。
今日はここまでにしておくか。</t>
  </si>
  <si>
    <t>年寄りだからと侮らん方がよいぞ。
次は笑って済ませられんかもしれんのう。</t>
  </si>
  <si>
    <t>{二人称}、こちらの手札が見えておらんようじゃな。
無理をせん方が長生きできるぞ。</t>
  </si>
  <si>
    <t>その程度で{一人称}を出し抜けると？
まだ青いのう。</t>
  </si>
  <si>
    <t>試したいなら好きにするがよい。
後悔しても知らんぞ。</t>
  </si>
  <si>
    <t>ここで降れば悪いようにはせん。
意地を張る歳でもあるまい。</t>
  </si>
  <si>
    <t>少々置いていってもらおうかの。
命より金の方が安かろう？</t>
  </si>
  <si>
    <t>ではの。
また縁があれば会おう。</t>
  </si>
  <si>
    <t>傲岸</t>
  </si>
  <si>
    <t>何だ、用件を言え。
{一人称}を待たせるな。</t>
  </si>
  <si>
    <t>少しは分かってるじゃないか。
その条件なら認めてやる。</t>
  </si>
  <si>
    <t>くだらんな。
そんな条件を{一人称}が飲むと思ったか？</t>
  </si>
  <si>
    <t>もっと下げろ。
{一人称}にふっかけるとはいい度胸だ。</t>
  </si>
  <si>
    <t>もっと出せ。
{一人称}の価値を安く見るな。</t>
  </si>
  <si>
    <t>いいだろう。
特別に受けてやる。</t>
  </si>
  <si>
    <t>断る。
{二人称}の話など聞く価値もない。</t>
  </si>
  <si>
    <t>当然だ。
最初から{一人称}に従えばよかったんだ。</t>
  </si>
  <si>
    <t>話にならん。
{一人称}の前から消えろ。</t>
  </si>
  <si>
    <t>次はその口を利けなくしてやる。
{一人称}を怒らせるな。</t>
  </si>
  <si>
    <t>{二人称}、誰を相手にしているか分かってるのか？
{一人称}に逆らえると本気で思っているのか。</t>
  </si>
  <si>
    <t>くだらん。それが精一杯か？
口だけは達者だな。</t>
  </si>
  <si>
    <t>来いよ、格の違いを教えてやる。
やれるものならやってみろ。</t>
  </si>
  <si>
    <t>降伏しろ。{一人称}の慈悲があるうちにな。
頭を下げろ、それで終わりにしてやる。</t>
  </si>
  <si>
    <t>持っている物を全部出せ。
{二人称}には勿体ない。{一人称}が使ってやる。</t>
  </si>
  <si>
    <t>もういい、失せろ。
{一人称}の時間をこれ以上奪うな。</t>
  </si>
  <si>
    <t>狂気</t>
  </si>
  <si>
    <t>あはは、何の話？
いいよ、聞かせてよ。面白い話なんでしょ？</t>
  </si>
  <si>
    <t>いいねぇ、それ好きだよ。
あはっ、ちゃんと分かってるじゃない。</t>
  </si>
  <si>
    <t>つまらないなぁ。
それ、本気で言ってるの？</t>
  </si>
  <si>
    <t>もっと下げようよ。
ねえねえ、まだ安くできるよね？</t>
  </si>
  <si>
    <t>もっとちょうだい。
それだけ？ もっとあるでしょ？</t>
  </si>
  <si>
    <t>いいよ、決まり！
あはは、それで遊ぼうか。</t>
  </si>
  <si>
    <t>やだ。
それ、つまらないから嫌。</t>
  </si>
  <si>
    <t>やった、まとまったね！
あはは、楽しかった！</t>
  </si>
  <si>
    <t>あーあ、壊れちゃった。
じゃあ別のやり方にしようか。</t>
  </si>
  <si>
    <t>断ったらどうなるか、試してみる？
あはは、怖がらなくていいよ。すぐ終わるから。</t>
  </si>
  <si>
    <t>逃げてもいいよ？ 追いかけるから。
ほら、震えてる。かわいいね。</t>
  </si>
  <si>
    <t>え、それで{一人称}を怒らせるつもり？
もっと面白いこと言ってよ。</t>
  </si>
  <si>
    <t>やってみようよ！
ほら、先に手を出していいよ？</t>
  </si>
  <si>
    <t>降参する？ それとも続ける？
武器を捨てたら、ちょっとだけ優しくするよ。</t>
  </si>
  <si>
    <t>全部ちょうだい。
{二人称}の大事な物、{一人称}にも見せてよ。</t>
  </si>
  <si>
    <t>じゃあね。
また遊ぼうね。</t>
  </si>
  <si>
    <t>無機質</t>
  </si>
  <si>
    <t>要求を確認します。
交渉内容を提示してください。</t>
  </si>
  <si>
    <t>条件を許容範囲と判定。
受諾可能です。</t>
  </si>
  <si>
    <t>条件は許容範囲外です。
再提示を要求します。</t>
  </si>
  <si>
    <t>価格の減額を要求します。
提示額は過大です。</t>
  </si>
  <si>
    <t>対価が不足しています。
追加提示を要求します。</t>
  </si>
  <si>
    <t>承認します。
条件を受諾しました。</t>
  </si>
  <si>
    <t>拒否します。
条件は受諾できません。</t>
  </si>
  <si>
    <t>交渉成立を確認。
処理を確定します。</t>
  </si>
  <si>
    <t>交渉不成立。
対話を終了します。</t>
  </si>
  <si>
    <t>警告。拒否した場合、強制措置へ移行します。
最終警告です。要求に従ってください。</t>
  </si>
  <si>
    <t>戦力比較完了。抵抗は非効率です。
{二人称}の勝率は低水準です。</t>
  </si>
  <si>
    <t>発言の有効性を確認できません。
その主張に意味はありません。</t>
  </si>
  <si>
    <t>戦闘要求を確認。
実力行使を受諾します。</t>
  </si>
  <si>
    <t>武装解除を要求します。
降伏してください。抵抗は推奨されません。</t>
  </si>
  <si>
    <t>所持資産の提出を要求します。
必要物資を引き渡してください。</t>
  </si>
  <si>
    <t>対話を終了します。
以上です。</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</si>
</sst>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_);[Red]\(0\)"/>
  </numFmts>
  <fonts count="30">
    <font>
      <sz val="11.0"/>
      <color theme="1"/>
      <name val="Aptos Narrow"/>
      <scheme val="minor"/>
    </font>
    <font>
      <b/>
      <sz val="11.0"/>
      <color theme="1"/>
      <name val="游ゴシック"/>
    </font>
    <font>
      <b/>
      <sz val="11.0"/>
      <color rgb="FF3A7D22"/>
      <name val="游ゴシック"/>
    </font>
    <font>
      <b/>
      <sz val="11.0"/>
      <color rgb="FF0C0C0C"/>
      <name val="游ゴシック"/>
    </font>
    <font>
      <b/>
      <sz val="11.0"/>
      <color rgb="FF0A3041"/>
      <name val="游ゴシック"/>
    </font>
    <font>
      <b/>
      <sz val="20.0"/>
      <color theme="1"/>
      <name val="游ゴシック"/>
    </font>
    <font>
      <b/>
      <sz val="11.0"/>
      <color theme="1"/>
      <name val="MS PGothic"/>
    </font>
    <font>
      <sz val="10.0"/>
      <color theme="1"/>
      <name val="MS PGothic"/>
    </font>
    <font>
      <color theme="1"/>
      <name val="Aptos Narrow"/>
      <scheme val="minor"/>
    </font>
    <font>
      <color theme="1"/>
      <name val="Arial"/>
    </font>
    <font>
      <b/>
      <sz val="11.0"/>
      <color theme="8"/>
      <name val="游ゴシック"/>
    </font>
    <font>
      <sz val="10.0"/>
      <color theme="1"/>
      <name val="Arial"/>
    </font>
    <font>
      <b/>
      <sz val="10.0"/>
      <color theme="1"/>
      <name val="游ゴシック"/>
    </font>
    <font/>
    <font>
      <sz val="11.0"/>
      <color theme="1"/>
      <name val="游ゴシック"/>
    </font>
    <font>
      <b/>
      <sz val="10.0"/>
      <color theme="1"/>
      <name val="Aptos Narrow"/>
      <scheme val="minor"/>
    </font>
    <font>
      <sz val="11.0"/>
      <color theme="1"/>
      <name val="Aptos Narrow"/>
    </font>
    <font>
      <sz val="11.0"/>
      <color theme="1"/>
      <name val="Arial"/>
    </font>
    <font>
      <b/>
      <color theme="1"/>
      <name val="Aptos Narrow"/>
    </font>
    <font>
      <b/>
      <sz val="10.0"/>
      <color theme="1"/>
      <name val="Aptos Narrow"/>
    </font>
    <font>
      <b/>
      <color theme="1"/>
      <name val="Aptos Narrow"/>
      <scheme val="minor"/>
    </font>
    <font>
      <b/>
      <sz val="8.0"/>
      <color theme="1"/>
      <name val="游ゴシック"/>
    </font>
    <font>
      <b/>
      <color rgb="FFFFFFFF"/>
      <name val="Aptos Narrow"/>
      <scheme val="minor"/>
    </font>
    <font>
      <color rgb="FFFFFFFF"/>
      <name val="Aptos Narrow"/>
      <scheme val="minor"/>
    </font>
    <font>
      <b/>
      <sz val="11.0"/>
      <color rgb="FFFFFF00"/>
      <name val="游ゴシック"/>
    </font>
    <font>
      <sz val="11.0"/>
      <color theme="1"/>
      <name val="MS Mincho"/>
    </font>
    <font>
      <sz val="11.0"/>
      <color theme="1"/>
      <name val="Consolas"/>
    </font>
    <font>
      <b/>
      <sz val="11.0"/>
      <color theme="1"/>
      <name val="Consolas"/>
    </font>
    <font>
      <sz val="8.0"/>
      <color theme="1"/>
      <name val="游ゴシック"/>
    </font>
    <font>
      <b/>
      <sz val="11.0"/>
      <color theme="1"/>
      <name val="Aptos Narrow"/>
      <scheme val="minor"/>
    </font>
  </fonts>
  <fills count="25">
    <fill>
      <patternFill patternType="none"/>
    </fill>
    <fill>
      <patternFill patternType="lightGray"/>
    </fill>
    <fill>
      <patternFill patternType="solid">
        <fgColor rgb="FFD9F2D0"/>
        <bgColor rgb="FFD9F2D0"/>
      </patternFill>
    </fill>
    <fill>
      <patternFill patternType="solid">
        <fgColor rgb="FFFAE2D5"/>
        <bgColor rgb="FFFAE2D5"/>
      </patternFill>
    </fill>
    <fill>
      <patternFill patternType="solid">
        <fgColor rgb="FFF2F2F2"/>
        <bgColor rgb="FFF2F2F2"/>
      </patternFill>
    </fill>
    <fill>
      <patternFill patternType="solid">
        <fgColor rgb="FFFFFF00"/>
        <bgColor rgb="FFFFFF00"/>
      </patternFill>
    </fill>
    <fill>
      <patternFill patternType="solid">
        <fgColor rgb="FFF1CEEE"/>
        <bgColor rgb="FFF1CEEE"/>
      </patternFill>
    </fill>
    <fill>
      <patternFill patternType="solid">
        <fgColor rgb="FFD8D8D8"/>
        <bgColor rgb="FFD8D8D8"/>
      </patternFill>
    </fill>
    <fill>
      <patternFill patternType="solid">
        <fgColor rgb="FFFFC000"/>
        <bgColor rgb="FFFFC000"/>
      </patternFill>
    </fill>
    <fill>
      <patternFill patternType="solid">
        <fgColor rgb="FFCAEDFB"/>
        <bgColor rgb="FFCAEDFB"/>
      </patternFill>
    </fill>
    <fill>
      <patternFill patternType="solid">
        <fgColor rgb="FF8ED873"/>
        <bgColor rgb="FF8ED873"/>
      </patternFill>
    </fill>
    <fill>
      <patternFill patternType="solid">
        <fgColor rgb="FFF6C6AC"/>
        <bgColor rgb="FFF6C6AC"/>
      </patternFill>
    </fill>
    <fill>
      <patternFill patternType="solid">
        <fgColor rgb="FFFFEF75"/>
        <bgColor rgb="FFFFEF75"/>
      </patternFill>
    </fill>
    <fill>
      <patternFill patternType="solid">
        <fgColor rgb="FFE5EFF4"/>
        <bgColor rgb="FFE5EFF4"/>
      </patternFill>
    </fill>
    <fill>
      <patternFill patternType="solid">
        <fgColor rgb="FFD8EFE5"/>
        <bgColor rgb="FFD8EFE5"/>
      </patternFill>
    </fill>
    <fill>
      <patternFill patternType="solid">
        <fgColor rgb="FFE5E5E5"/>
        <bgColor rgb="FFE5E5E5"/>
      </patternFill>
    </fill>
    <fill>
      <patternFill patternType="solid">
        <fgColor rgb="FF356854"/>
        <bgColor rgb="FF356854"/>
      </patternFill>
    </fill>
    <fill>
      <patternFill patternType="solid">
        <fgColor rgb="FFFFFFFF"/>
        <bgColor rgb="FFFFFFFF"/>
      </patternFill>
    </fill>
    <fill>
      <patternFill patternType="solid">
        <fgColor rgb="FFC1F0C8"/>
        <bgColor rgb="FFC1F0C8"/>
      </patternFill>
    </fill>
    <fill>
      <patternFill patternType="solid">
        <fgColor rgb="FFD0D0D0"/>
        <bgColor rgb="FFD0D0D0"/>
      </patternFill>
    </fill>
    <fill>
      <patternFill patternType="solid">
        <fgColor rgb="FFFF3300"/>
        <bgColor rgb="FFFF3300"/>
      </patternFill>
    </fill>
    <fill>
      <patternFill patternType="solid">
        <fgColor rgb="FFEAEAEA"/>
        <bgColor rgb="FFEAEAEA"/>
      </patternFill>
    </fill>
    <fill>
      <patternFill patternType="solid">
        <fgColor rgb="FFC6DDE5"/>
        <bgColor rgb="FFC6DDE5"/>
      </patternFill>
    </fill>
    <fill>
      <patternFill patternType="solid">
        <fgColor rgb="FF156082"/>
        <bgColor rgb="FF156082"/>
      </patternFill>
    </fill>
    <fill>
      <patternFill patternType="solid">
        <fgColor rgb="FFCCE5D3"/>
        <bgColor rgb="FFCCE5D3"/>
      </patternFill>
    </fill>
  </fills>
  <borders count="8">
    <border/>
    <border>
      <left style="thin">
        <color rgb="FFBFBFBF"/>
      </left>
      <right style="thin">
        <color rgb="FFBFBFBF"/>
      </right>
      <top style="thin">
        <color rgb="FFBFBFBF"/>
      </top>
      <bottom style="thin">
        <color rgb="FFBFBFBF"/>
      </bottom>
    </border>
    <border>
      <left/>
      <right/>
      <top/>
      <bottom/>
    </border>
    <border>
      <left style="medium">
        <color rgb="FFCCCCCC"/>
      </left>
      <right style="medium">
        <color rgb="FFCCCCCC"/>
      </right>
      <top style="medium">
        <color rgb="FFCCCCCC"/>
      </top>
      <bottom style="medium">
        <color rgb="FFCCCCCC"/>
      </bottom>
    </border>
    <border>
      <left style="thin">
        <color rgb="FF7F7F7F"/>
      </left>
      <right style="thin">
        <color rgb="FF7F7F7F"/>
      </right>
      <top style="thin">
        <color rgb="FF7F7F7F"/>
      </top>
      <bottom style="thin">
        <color rgb="FF7F7F7F"/>
      </bottom>
    </border>
    <border>
      <left style="thin">
        <color rgb="FF7F7F7F"/>
      </left>
      <top style="thin">
        <color rgb="FF7F7F7F"/>
      </top>
      <bottom style="thin">
        <color rgb="FF7F7F7F"/>
      </bottom>
    </border>
    <border>
      <top style="thin">
        <color rgb="FF7F7F7F"/>
      </top>
      <bottom style="thin">
        <color rgb="FF7F7F7F"/>
      </bottom>
    </border>
    <border>
      <right style="thin">
        <color rgb="FF7F7F7F"/>
      </right>
      <top style="thin">
        <color rgb="FF7F7F7F"/>
      </top>
      <bottom style="thin">
        <color rgb="FF7F7F7F"/>
      </bottom>
    </border>
  </borders>
  <cellStyleXfs count="1">
    <xf borderId="0" fillId="0" fontId="0" numFmtId="0" applyAlignment="1" applyFont="1"/>
  </cellStyleXfs>
  <cellXfs count="192">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shrinkToFit="0" vertical="center" wrapText="1"/>
    </xf>
    <xf borderId="0" fillId="0" fontId="2" numFmtId="0" xfId="0" applyAlignment="1" applyFont="1">
      <alignment horizontal="center" shrinkToFit="0" vertical="center" wrapText="1"/>
    </xf>
    <xf borderId="1" fillId="2" fontId="3" numFmtId="0" xfId="0" applyAlignment="1" applyBorder="1" applyFill="1" applyFont="1">
      <alignment shrinkToFit="0" vertical="top" wrapText="1"/>
    </xf>
    <xf borderId="1" fillId="3" fontId="1" numFmtId="0" xfId="0" applyAlignment="1" applyBorder="1" applyFill="1" applyFont="1">
      <alignment shrinkToFit="0" vertical="top" wrapText="1"/>
    </xf>
    <xf borderId="0" fillId="0" fontId="1" numFmtId="0" xfId="0" applyAlignment="1" applyFont="1">
      <alignment horizontal="center" readingOrder="0" shrinkToFit="0" vertical="center" wrapText="1"/>
    </xf>
    <xf borderId="1" fillId="4" fontId="1"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1" fillId="4" fontId="1" numFmtId="0" xfId="0" applyAlignment="1" applyBorder="1" applyFill="1" applyFont="1">
      <alignment horizontal="left" shrinkToFit="0" vertical="top" wrapText="1"/>
    </xf>
    <xf borderId="0" fillId="0" fontId="1" numFmtId="9" xfId="0" applyAlignment="1" applyFont="1" applyNumberFormat="1">
      <alignment vertical="center"/>
    </xf>
    <xf borderId="0" fillId="0" fontId="2" numFmtId="0" xfId="0" applyAlignment="1" applyFont="1">
      <alignment horizontal="center" vertical="center"/>
    </xf>
    <xf borderId="1" fillId="2" fontId="3" numFmtId="0" xfId="0" applyAlignment="1" applyBorder="1" applyFill="1" applyFont="1">
      <alignment vertical="center"/>
    </xf>
    <xf borderId="1" fillId="3" fontId="1" numFmtId="0" xfId="0" applyAlignment="1" applyBorder="1" applyFill="1" applyFont="1">
      <alignment vertical="center"/>
    </xf>
    <xf borderId="0" fillId="0" fontId="4" numFmtId="0" xfId="0" applyAlignment="1" applyFont="1">
      <alignment vertical="center"/>
    </xf>
    <xf borderId="0" fillId="0" fontId="5" numFmtId="0" xfId="0" applyAlignment="1" applyFont="1">
      <alignment shrinkToFit="0" vertical="center" wrapText="1"/>
    </xf>
    <xf borderId="0" fillId="0" fontId="6" numFmtId="49" xfId="0" applyAlignment="1" applyFont="1" applyNumberFormat="1">
      <alignment vertical="center"/>
    </xf>
    <xf borderId="0" fillId="0" fontId="1" numFmtId="0" xfId="0" applyAlignment="1" applyFont="1">
      <alignment readingOrder="0" vertical="center"/>
    </xf>
    <xf borderId="0" fillId="0" fontId="6" numFmtId="0" xfId="0" applyAlignment="1" applyFont="1">
      <alignment readingOrder="0" vertical="center"/>
    </xf>
    <xf borderId="0" fillId="0" fontId="1" numFmtId="0" xfId="0" applyAlignment="1" applyFont="1">
      <alignment readingOrder="0" shrinkToFit="0" vertical="center" wrapText="1"/>
    </xf>
    <xf borderId="0" fillId="0" fontId="6" numFmtId="49" xfId="0" applyAlignment="1" applyFont="1" applyNumberFormat="1">
      <alignment readingOrder="0" vertical="center"/>
    </xf>
    <xf borderId="0" fillId="0" fontId="6" numFmtId="0" xfId="0" applyAlignment="1" applyFont="1">
      <alignment vertical="center"/>
    </xf>
    <xf borderId="0" fillId="0" fontId="7" numFmtId="0" xfId="0" applyAlignment="1" applyFont="1">
      <alignment vertical="center"/>
    </xf>
    <xf borderId="0" fillId="0" fontId="1" numFmtId="0" xfId="0" applyAlignment="1" applyFont="1">
      <alignment readingOrder="0" vertical="center"/>
    </xf>
    <xf quotePrefix="1" borderId="0" fillId="0" fontId="1" numFmtId="0" xfId="0" applyAlignment="1" applyFont="1">
      <alignment readingOrder="0" vertical="center"/>
    </xf>
    <xf borderId="0" fillId="0" fontId="6" numFmtId="0" xfId="0" applyAlignment="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1" numFmtId="0" xfId="0" applyAlignment="1" applyFont="1">
      <alignment readingOrder="0" shrinkToFit="0" vertical="center" wrapText="1"/>
    </xf>
    <xf borderId="1" fillId="4" fontId="1" numFmtId="0" xfId="0" applyAlignment="1" applyBorder="1" applyFill="1" applyFont="1">
      <alignment horizontal="center" readingOrder="0" shrinkToFit="0" vertical="center" wrapText="1"/>
    </xf>
    <xf borderId="0" fillId="0" fontId="4" numFmtId="0" xfId="0" applyAlignment="1" applyFont="1">
      <alignment readingOrder="0" vertical="center"/>
    </xf>
    <xf borderId="1" fillId="2" fontId="3" numFmtId="0" xfId="0" applyAlignment="1" applyBorder="1" applyFill="1" applyFont="1">
      <alignment readingOrder="0" vertical="center"/>
    </xf>
    <xf borderId="0" fillId="0" fontId="2" numFmtId="0" xfId="0" applyAlignment="1" applyFont="1">
      <alignment horizontal="center" readingOrder="0" vertical="center"/>
    </xf>
    <xf borderId="1" fillId="3" fontId="1" numFmtId="0" xfId="0" applyAlignment="1" applyBorder="1" applyFill="1" applyFont="1">
      <alignment readingOrder="0" vertical="center"/>
    </xf>
    <xf borderId="0" fillId="0" fontId="8" numFmtId="0" xfId="0" applyAlignment="1" applyFont="1">
      <alignment vertical="center"/>
    </xf>
    <xf borderId="0" fillId="0" fontId="1" numFmtId="0" xfId="0" applyAlignment="1" applyFont="1">
      <alignment horizontal="center" vertical="center"/>
    </xf>
    <xf borderId="0" fillId="0" fontId="8" numFmtId="0" xfId="0" applyAlignment="1" applyFont="1">
      <alignment readingOrder="0" vertical="center"/>
    </xf>
    <xf borderId="0" fillId="0" fontId="1" numFmtId="0" xfId="0" applyAlignment="1" applyFont="1">
      <alignment horizontal="center" readingOrder="0" vertical="center"/>
    </xf>
    <xf borderId="0" fillId="0" fontId="9" numFmtId="0" xfId="0" applyAlignment="1" applyFont="1">
      <alignment readingOrder="0" vertical="center"/>
    </xf>
    <xf borderId="0" fillId="2" fontId="3" numFmtId="0" xfId="0" applyAlignment="1" applyFill="1" applyFont="1">
      <alignment vertical="center"/>
    </xf>
    <xf borderId="0" fillId="3" fontId="1" numFmtId="0" xfId="0" applyAlignment="1" applyFill="1" applyFont="1">
      <alignment vertical="center"/>
    </xf>
    <xf borderId="0" fillId="4" fontId="1" numFmtId="0" xfId="0" applyAlignment="1" applyFill="1" applyFont="1">
      <alignment horizontal="center" shrinkToFit="0" vertical="center" wrapText="1"/>
    </xf>
    <xf borderId="2" fillId="5" fontId="1" numFmtId="0" xfId="0" applyAlignment="1" applyBorder="1" applyFill="1" applyFont="1">
      <alignment shrinkToFit="0" vertical="center" wrapText="1"/>
    </xf>
    <xf borderId="2" fillId="6" fontId="1" numFmtId="0" xfId="0" applyAlignment="1" applyBorder="1" applyFill="1" applyFont="1">
      <alignment shrinkToFit="0" vertical="center" wrapText="1"/>
    </xf>
    <xf borderId="2" fillId="5" fontId="1" numFmtId="0" xfId="0" applyAlignment="1" applyBorder="1" applyFill="1" applyFont="1">
      <alignment readingOrder="0" shrinkToFit="0" vertical="center" wrapText="1"/>
    </xf>
    <xf borderId="2" fillId="7" fontId="10" numFmtId="0" xfId="0" applyAlignment="1" applyBorder="1" applyFill="1" applyFont="1">
      <alignment shrinkToFit="0" vertical="center" wrapText="1"/>
    </xf>
    <xf borderId="2" fillId="8" fontId="1" numFmtId="0" xfId="0" applyAlignment="1" applyBorder="1" applyFill="1" applyFont="1">
      <alignment shrinkToFit="0" vertical="center" wrapText="1"/>
    </xf>
    <xf borderId="2" fillId="8" fontId="1" numFmtId="0" xfId="0" applyAlignment="1" applyBorder="1" applyFill="1" applyFont="1">
      <alignment readingOrder="0" shrinkToFit="0" vertical="center" wrapText="1"/>
    </xf>
    <xf borderId="2" fillId="9" fontId="1" numFmtId="0" xfId="0" applyAlignment="1" applyBorder="1" applyFill="1" applyFont="1">
      <alignment shrinkToFit="0" vertical="center" wrapText="1"/>
    </xf>
    <xf borderId="2" fillId="10" fontId="1" numFmtId="0" xfId="0" applyAlignment="1" applyBorder="1" applyFill="1" applyFont="1">
      <alignment shrinkToFit="0" vertical="center" wrapText="1"/>
    </xf>
    <xf borderId="2" fillId="11" fontId="1" numFmtId="0" xfId="0" applyAlignment="1" applyBorder="1" applyFill="1" applyFont="1">
      <alignment shrinkToFit="0" vertical="center" wrapText="1"/>
    </xf>
    <xf borderId="0" fillId="11" fontId="1" numFmtId="0" xfId="0" applyAlignment="1" applyFill="1" applyFont="1">
      <alignment readingOrder="0" shrinkToFit="0" vertical="center" wrapText="1"/>
    </xf>
    <xf borderId="3" fillId="0" fontId="11" numFmtId="0" xfId="0" applyAlignment="1" applyBorder="1" applyFont="1">
      <alignment shrinkToFit="0" vertical="bottom" wrapText="1"/>
    </xf>
    <xf borderId="2" fillId="12" fontId="1" numFmtId="0" xfId="0" applyAlignment="1" applyBorder="1" applyFill="1" applyFont="1">
      <alignment readingOrder="0" shrinkToFit="0" vertical="center" wrapText="1"/>
    </xf>
    <xf borderId="0" fillId="0" fontId="1" numFmtId="0" xfId="0" applyAlignment="1" applyFont="1">
      <alignment horizontal="right" shrinkToFit="0" vertical="center" wrapText="1"/>
    </xf>
    <xf borderId="0" fillId="0" fontId="12" numFmtId="0" xfId="0" applyAlignment="1" applyFont="1">
      <alignment shrinkToFit="0" vertical="center" wrapText="1"/>
    </xf>
    <xf borderId="4" fillId="8" fontId="1" numFmtId="0" xfId="0" applyAlignment="1" applyBorder="1" applyFill="1" applyFont="1">
      <alignment shrinkToFit="0" vertical="center" wrapText="1"/>
    </xf>
    <xf borderId="5" fillId="8" fontId="1" numFmtId="0" xfId="0" applyAlignment="1" applyBorder="1" applyFill="1" applyFont="1">
      <alignment horizontal="left" vertical="center"/>
    </xf>
    <xf borderId="6" fillId="0" fontId="13" numFmtId="0" xfId="0" applyAlignment="1" applyBorder="1" applyFont="1">
      <alignment vertical="center"/>
    </xf>
    <xf borderId="7" fillId="0" fontId="13" numFmtId="0" xfId="0" applyAlignment="1" applyBorder="1" applyFont="1">
      <alignment vertical="center"/>
    </xf>
    <xf borderId="2" fillId="12" fontId="1" numFmtId="0" xfId="0" applyAlignment="1" applyBorder="1" applyFill="1" applyFont="1">
      <alignment shrinkToFit="0" vertical="center" wrapText="1"/>
    </xf>
    <xf borderId="0" fillId="0" fontId="14" numFmtId="0" xfId="0" applyAlignment="1" applyFont="1">
      <alignment shrinkToFit="0" vertical="center" wrapText="1"/>
    </xf>
    <xf borderId="4" fillId="9" fontId="1" numFmtId="0" xfId="0" applyAlignment="1" applyBorder="1" applyFill="1" applyFont="1">
      <alignment shrinkToFit="0" vertical="center" wrapText="1"/>
    </xf>
    <xf borderId="5" fillId="9" fontId="1" numFmtId="0" xfId="0" applyAlignment="1" applyBorder="1" applyFill="1" applyFont="1">
      <alignment horizontal="left" vertical="center"/>
    </xf>
    <xf borderId="4" fillId="10" fontId="1" numFmtId="0" xfId="0" applyAlignment="1" applyBorder="1" applyFill="1" applyFont="1">
      <alignment shrinkToFit="0" vertical="center" wrapText="1"/>
    </xf>
    <xf borderId="5" fillId="10" fontId="1" numFmtId="0" xfId="0" applyAlignment="1" applyBorder="1" applyFill="1" applyFont="1">
      <alignment horizontal="left" vertical="center"/>
    </xf>
    <xf borderId="4" fillId="3" fontId="1" numFmtId="0" xfId="0" applyAlignment="1" applyBorder="1" applyFill="1" applyFont="1">
      <alignment shrinkToFit="0" vertical="center" wrapText="1"/>
    </xf>
    <xf borderId="5" fillId="3" fontId="1" numFmtId="0" xfId="0" applyAlignment="1" applyBorder="1" applyFill="1" applyFont="1">
      <alignment horizontal="left" vertical="center"/>
    </xf>
    <xf borderId="0" fillId="0" fontId="8" numFmtId="0" xfId="0" applyAlignment="1" applyFont="1">
      <alignment horizontal="center" vertical="center"/>
    </xf>
    <xf borderId="0" fillId="0" fontId="15" numFmtId="0" xfId="0" applyAlignment="1" applyFont="1">
      <alignment vertical="center"/>
    </xf>
    <xf borderId="2" fillId="6" fontId="14" numFmtId="0" xfId="0" applyAlignment="1" applyBorder="1" applyFill="1" applyFont="1">
      <alignment vertical="center"/>
    </xf>
    <xf borderId="2" fillId="12" fontId="14" numFmtId="0" xfId="0" applyAlignment="1" applyBorder="1" applyFill="1" applyFont="1">
      <alignment vertical="center"/>
    </xf>
    <xf borderId="0" fillId="0" fontId="14" numFmtId="0" xfId="0" applyAlignment="1" applyFont="1">
      <alignment horizontal="right" shrinkToFit="0" vertical="center" wrapText="1"/>
    </xf>
    <xf borderId="2" fillId="6" fontId="14" numFmtId="0" xfId="0" applyAlignment="1" applyBorder="1" applyFill="1" applyFont="1">
      <alignment readingOrder="0" vertical="center"/>
    </xf>
    <xf borderId="0" fillId="0" fontId="16" numFmtId="0" xfId="0" applyAlignment="1" applyFont="1">
      <alignment vertical="center"/>
    </xf>
    <xf borderId="0" fillId="0" fontId="17" numFmtId="0" xfId="0" applyAlignment="1" applyFont="1">
      <alignment horizontal="center" readingOrder="0" vertical="center"/>
    </xf>
    <xf borderId="0" fillId="0" fontId="16" numFmtId="0" xfId="0" applyAlignment="1" applyFont="1">
      <alignment vertical="center"/>
    </xf>
    <xf borderId="0" fillId="0" fontId="18" numFmtId="0" xfId="0" applyAlignment="1" applyFont="1">
      <alignment vertical="center"/>
    </xf>
    <xf borderId="2" fillId="6" fontId="16" numFmtId="0" xfId="0" applyAlignment="1" applyBorder="1" applyFill="1" applyFont="1">
      <alignment vertical="center"/>
    </xf>
    <xf borderId="0" fillId="0" fontId="16" numFmtId="0" xfId="0" applyAlignment="1" applyFont="1">
      <alignment vertical="center"/>
    </xf>
    <xf borderId="2" fillId="12" fontId="16" numFmtId="0" xfId="0" applyAlignment="1" applyBorder="1" applyFill="1" applyFont="1">
      <alignment vertical="center"/>
    </xf>
    <xf borderId="0" fillId="0" fontId="14" numFmtId="0" xfId="0" applyAlignment="1" applyFont="1">
      <alignment horizontal="right" readingOrder="0" shrinkToFit="0" vertical="center" wrapText="1"/>
    </xf>
    <xf borderId="0" fillId="0" fontId="9" numFmtId="0" xfId="0" applyAlignment="1" applyFont="1">
      <alignment horizontal="center" readingOrder="0" vertical="center"/>
    </xf>
    <xf borderId="0" fillId="0" fontId="14" numFmtId="0" xfId="0" applyAlignment="1" applyFont="1">
      <alignment readingOrder="0" shrinkToFit="0" vertical="center" wrapText="1"/>
    </xf>
    <xf borderId="2" fillId="6" fontId="14" numFmtId="0" xfId="0" applyAlignment="1" applyBorder="1" applyFill="1" applyFont="1">
      <alignment readingOrder="0" vertical="center"/>
    </xf>
    <xf borderId="0" fillId="0" fontId="7" numFmtId="0" xfId="0" applyAlignment="1" applyFont="1">
      <alignment readingOrder="0" vertical="center"/>
    </xf>
    <xf borderId="0" fillId="0" fontId="8" numFmtId="0" xfId="0" applyAlignment="1" applyFont="1">
      <alignment horizontal="center" readingOrder="0" vertical="center"/>
    </xf>
    <xf borderId="0" fillId="0" fontId="16" numFmtId="0" xfId="0" applyAlignment="1" applyFont="1">
      <alignment readingOrder="0" vertical="center"/>
    </xf>
    <xf borderId="0" fillId="0" fontId="16" numFmtId="0" xfId="0" applyAlignment="1" applyFont="1">
      <alignment horizontal="center" vertical="center"/>
    </xf>
    <xf borderId="0" fillId="0" fontId="19" numFmtId="0" xfId="0" applyAlignment="1" applyFont="1">
      <alignment readingOrder="0" vertical="center"/>
    </xf>
    <xf borderId="0" fillId="0" fontId="16" numFmtId="0" xfId="0" applyAlignment="1" applyFont="1">
      <alignment horizontal="right" readingOrder="0" vertical="center"/>
    </xf>
    <xf borderId="2" fillId="6" fontId="16" numFmtId="0" xfId="0" applyAlignment="1" applyBorder="1" applyFill="1" applyFont="1">
      <alignment readingOrder="0" vertical="center"/>
    </xf>
    <xf borderId="0" fillId="0" fontId="16" numFmtId="0" xfId="0" applyAlignment="1" applyFont="1">
      <alignment horizontal="center" readingOrder="0" vertical="center"/>
    </xf>
    <xf borderId="2" fillId="6" fontId="17" numFmtId="0" xfId="0" applyAlignment="1" applyBorder="1" applyFill="1" applyFont="1">
      <alignment readingOrder="0" vertical="center"/>
    </xf>
    <xf borderId="0" fillId="0" fontId="17" numFmtId="0" xfId="0" applyAlignment="1" applyFont="1">
      <alignment readingOrder="0" vertical="center"/>
    </xf>
    <xf borderId="0" fillId="0" fontId="19" numFmtId="0" xfId="0" applyAlignment="1" applyFont="1">
      <alignment vertical="center"/>
    </xf>
    <xf borderId="0" fillId="0" fontId="16" numFmtId="0" xfId="0" applyAlignment="1" applyFont="1">
      <alignment horizontal="right" vertical="center"/>
    </xf>
    <xf borderId="0" fillId="0" fontId="16" numFmtId="0" xfId="0" applyAlignment="1" applyFont="1">
      <alignment readingOrder="0" vertical="center"/>
    </xf>
    <xf borderId="0" fillId="0" fontId="15" numFmtId="0" xfId="0" applyAlignment="1" applyFont="1">
      <alignment readingOrder="0" vertical="center"/>
    </xf>
    <xf borderId="0" fillId="0" fontId="14" numFmtId="0" xfId="0" applyAlignment="1" applyFont="1">
      <alignment readingOrder="0" shrinkToFit="0" vertical="center" wrapText="1"/>
    </xf>
    <xf borderId="0" fillId="13" fontId="1" numFmtId="0" xfId="0" applyAlignment="1" applyFill="1" applyFont="1">
      <alignment readingOrder="0" shrinkToFit="0" vertical="center" wrapText="1"/>
    </xf>
    <xf borderId="0" fillId="13" fontId="1" numFmtId="0" xfId="0" applyAlignment="1" applyFill="1" applyFont="1">
      <alignment readingOrder="0" shrinkToFit="0" vertical="center" wrapText="0"/>
    </xf>
    <xf borderId="0" fillId="14" fontId="20" numFmtId="0" xfId="0" applyAlignment="1" applyFill="1" applyFont="1">
      <alignment shrinkToFit="0" vertical="center" wrapText="1"/>
    </xf>
    <xf borderId="0" fillId="0" fontId="8" numFmtId="0" xfId="0" applyAlignment="1" applyFont="1">
      <alignment readingOrder="0" shrinkToFit="0" vertical="top" wrapText="1"/>
    </xf>
    <xf borderId="0" fillId="0" fontId="8" numFmtId="0" xfId="0" applyAlignment="1" applyFont="1">
      <alignment readingOrder="0" shrinkToFit="0" vertical="top" wrapText="0"/>
    </xf>
    <xf borderId="0" fillId="0" fontId="8" numFmtId="9" xfId="0" applyAlignment="1" applyFont="1" applyNumberFormat="1">
      <alignment readingOrder="0" shrinkToFit="0" vertical="top" wrapText="1"/>
    </xf>
    <xf borderId="0" fillId="0" fontId="8" numFmtId="0" xfId="0" applyAlignment="1" applyFont="1">
      <alignment shrinkToFit="0" vertical="top" wrapText="1"/>
    </xf>
    <xf borderId="0" fillId="0" fontId="9" numFmtId="0" xfId="0" applyAlignment="1" applyFont="1">
      <alignment readingOrder="0" shrinkToFit="0" vertical="top" wrapText="1"/>
    </xf>
    <xf borderId="0" fillId="0" fontId="8" numFmtId="0" xfId="0" applyAlignment="1" applyFont="1">
      <alignment readingOrder="0" shrinkToFit="0" vertical="top" wrapText="1"/>
    </xf>
    <xf borderId="0" fillId="0" fontId="8" numFmtId="0" xfId="0" applyAlignment="1" applyFont="1">
      <alignment shrinkToFit="0" vertical="center" wrapText="0"/>
    </xf>
    <xf borderId="0" fillId="13" fontId="20" numFmtId="0" xfId="0" applyAlignment="1" applyFill="1" applyFont="1">
      <alignment shrinkToFit="0" vertical="center" wrapText="1"/>
    </xf>
    <xf borderId="0" fillId="13" fontId="1" numFmtId="0" xfId="0" applyAlignment="1" applyFill="1" applyFont="1">
      <alignment shrinkToFit="0" vertical="center"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6" numFmtId="49" xfId="0" applyAlignment="1" applyFont="1" applyNumberFormat="1">
      <alignment shrinkToFit="0" vertical="center" wrapText="1"/>
    </xf>
    <xf borderId="0" fillId="0" fontId="14" numFmtId="9" xfId="0" applyAlignment="1" applyFont="1" applyNumberFormat="1">
      <alignment vertical="center"/>
    </xf>
    <xf borderId="0" fillId="0" fontId="8" numFmtId="0" xfId="0" applyAlignment="1" applyFont="1">
      <alignment readingOrder="0" vertical="center"/>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0" fillId="15" fontId="20" numFmtId="0" xfId="0" applyAlignment="1" applyFill="1" applyFont="1">
      <alignment horizontal="center" readingOrder="0" vertical="center"/>
    </xf>
    <xf borderId="0" fillId="15" fontId="20" numFmtId="0" xfId="0" applyAlignment="1" applyFill="1" applyFont="1">
      <alignment horizontal="center" readingOrder="0" shrinkToFit="0" vertical="center" wrapText="1"/>
    </xf>
    <xf borderId="0" fillId="0" fontId="8" numFmtId="0" xfId="0" applyAlignment="1" applyFont="1">
      <alignment readingOrder="0" shrinkToFit="0" vertical="center" wrapText="1"/>
    </xf>
    <xf borderId="0" fillId="0" fontId="8"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0" fontId="9" numFmtId="0" xfId="0" applyAlignment="1" applyFont="1">
      <alignment horizontal="left" readingOrder="0" shrinkToFit="0" vertical="center" wrapText="1"/>
    </xf>
    <xf borderId="0" fillId="0" fontId="8" numFmtId="0" xfId="0" applyAlignment="1" applyFont="1">
      <alignment horizontal="center" readingOrder="0" vertical="center"/>
    </xf>
    <xf borderId="0" fillId="0" fontId="8" numFmtId="0" xfId="0" applyAlignment="1" applyFont="1">
      <alignment shrinkToFit="0" vertical="center" wrapText="1"/>
    </xf>
    <xf borderId="0" fillId="0" fontId="8" numFmtId="0" xfId="0" applyAlignment="1" applyFont="1">
      <alignment horizontal="left" shrinkToFit="0" vertical="center" wrapText="1"/>
    </xf>
    <xf borderId="0" fillId="16" fontId="22" numFmtId="0" xfId="0" applyAlignment="1" applyFill="1" applyFont="1">
      <alignment horizontal="center" readingOrder="0" vertical="center"/>
    </xf>
    <xf borderId="0" fillId="17" fontId="23" numFmtId="0" xfId="0" applyAlignment="1" applyFill="1" applyFont="1">
      <alignment horizontal="center" readingOrder="0" vertical="center"/>
    </xf>
    <xf borderId="0" fillId="16" fontId="22" numFmtId="0" xfId="0" applyAlignment="1" applyFill="1" applyFont="1">
      <alignment horizontal="center" readingOrder="0" shrinkToFit="0" vertical="center" wrapText="1"/>
    </xf>
    <xf borderId="0" fillId="17" fontId="8" numFmtId="0" xfId="0" applyAlignment="1" applyFill="1" applyFont="1">
      <alignment readingOrder="0" vertical="center"/>
    </xf>
    <xf borderId="0" fillId="0" fontId="8" numFmtId="0" xfId="0" applyAlignment="1" applyFont="1">
      <alignment readingOrder="0" shrinkToFit="0" vertical="center" wrapText="1"/>
    </xf>
    <xf borderId="0" fillId="0" fontId="8" numFmtId="0" xfId="0" applyAlignment="1" applyFont="1">
      <alignment vertical="center"/>
    </xf>
    <xf borderId="0" fillId="17" fontId="8" numFmtId="0" xfId="0" applyAlignment="1" applyFill="1" applyFont="1">
      <alignment readingOrder="0" vertical="center"/>
    </xf>
    <xf borderId="0" fillId="17" fontId="8" numFmtId="0" xfId="0" applyAlignment="1" applyFill="1" applyFont="1">
      <alignment vertical="center"/>
    </xf>
    <xf borderId="0" fillId="0" fontId="14" numFmtId="10" xfId="0" applyAlignment="1" applyFont="1" applyNumberFormat="1">
      <alignment shrinkToFit="0" vertical="center" wrapText="1"/>
    </xf>
    <xf borderId="0" fillId="0" fontId="8" numFmtId="0" xfId="0" applyAlignment="1" applyFont="1">
      <alignment readingOrder="0" shrinkToFit="0" vertical="center" wrapText="1"/>
    </xf>
    <xf borderId="0" fillId="0" fontId="8" numFmtId="0" xfId="0" applyAlignment="1" applyFont="1">
      <alignment shrinkToFit="0" vertical="center" wrapText="1"/>
    </xf>
    <xf borderId="0" fillId="0" fontId="8" numFmtId="10" xfId="0" applyAlignment="1" applyFont="1" applyNumberFormat="1">
      <alignment vertical="center"/>
    </xf>
    <xf borderId="0" fillId="0" fontId="8" numFmtId="10" xfId="0" applyAlignment="1" applyFont="1" applyNumberFormat="1">
      <alignment readingOrder="0" vertical="center"/>
    </xf>
    <xf borderId="2" fillId="2" fontId="14" numFmtId="0" xfId="0" applyAlignment="1" applyBorder="1" applyFill="1" applyFont="1">
      <alignment vertical="center"/>
    </xf>
    <xf borderId="2" fillId="18" fontId="14" numFmtId="0" xfId="0" applyAlignment="1" applyBorder="1" applyFill="1" applyFont="1">
      <alignment vertical="center"/>
    </xf>
    <xf borderId="2" fillId="19" fontId="14" numFmtId="0" xfId="0" applyAlignment="1" applyBorder="1" applyFill="1" applyFont="1">
      <alignment vertical="center"/>
    </xf>
    <xf borderId="2" fillId="20" fontId="24" numFmtId="0" xfId="0" applyAlignment="1" applyBorder="1" applyFill="1" applyFont="1">
      <alignment vertical="center"/>
    </xf>
    <xf borderId="0" fillId="0" fontId="25" numFmtId="49" xfId="0" applyAlignment="1" applyFont="1" applyNumberFormat="1">
      <alignment vertical="center"/>
    </xf>
    <xf borderId="0" fillId="21" fontId="20" numFmtId="0" xfId="0" applyAlignment="1" applyFill="1" applyFont="1">
      <alignment shrinkToFit="0" vertical="center" wrapText="1"/>
    </xf>
    <xf borderId="0" fillId="21" fontId="20" numFmtId="0" xfId="0" applyAlignment="1" applyFill="1" applyFont="1">
      <alignment readingOrder="0" shrinkToFit="0" vertical="center" wrapText="1"/>
    </xf>
    <xf borderId="0" fillId="0" fontId="26" numFmtId="49" xfId="0" applyAlignment="1" applyFont="1" applyNumberFormat="1">
      <alignment vertical="center"/>
    </xf>
    <xf borderId="2" fillId="6" fontId="14" numFmtId="0" xfId="0" applyAlignment="1" applyBorder="1" applyFill="1" applyFont="1">
      <alignment shrinkToFit="0" vertical="center" wrapText="1"/>
    </xf>
    <xf borderId="2" fillId="18" fontId="14" numFmtId="0" xfId="0" applyAlignment="1" applyBorder="1" applyFill="1" applyFont="1">
      <alignment shrinkToFit="0" vertical="center" wrapText="1"/>
    </xf>
    <xf borderId="2" fillId="19" fontId="14" numFmtId="0" xfId="0" applyAlignment="1" applyBorder="1" applyFill="1" applyFont="1">
      <alignment shrinkToFit="0" vertical="center" wrapText="1"/>
    </xf>
    <xf borderId="2" fillId="10" fontId="1" numFmtId="164" xfId="0" applyAlignment="1" applyBorder="1" applyFill="1" applyFont="1" applyNumberFormat="1">
      <alignment shrinkToFit="0" vertical="center" wrapText="1"/>
    </xf>
    <xf borderId="0" fillId="0" fontId="14" numFmtId="0" xfId="0" applyAlignment="1" applyFont="1">
      <alignment shrinkToFit="0" vertical="center" wrapText="1"/>
    </xf>
    <xf borderId="0" fillId="22" fontId="1" numFmtId="0" xfId="0" applyAlignment="1" applyFill="1" applyFont="1">
      <alignment readingOrder="0" vertical="center"/>
    </xf>
    <xf borderId="0" fillId="22" fontId="1" numFmtId="0" xfId="0" applyAlignment="1" applyFill="1" applyFont="1">
      <alignment shrinkToFit="0" vertical="center" wrapText="1"/>
    </xf>
    <xf borderId="0" fillId="22" fontId="1" numFmtId="0" xfId="0" applyAlignment="1" applyFill="1" applyFont="1">
      <alignment readingOrder="0" shrinkToFit="0" vertical="center" wrapText="1"/>
    </xf>
    <xf borderId="0" fillId="0" fontId="14" numFmtId="164" xfId="0" applyAlignment="1" applyFont="1" applyNumberFormat="1">
      <alignment vertical="center"/>
    </xf>
    <xf borderId="0" fillId="0" fontId="14" numFmtId="0" xfId="0" applyAlignment="1" applyFont="1">
      <alignment readingOrder="0" shrinkToFit="0" vertical="center" wrapText="1"/>
    </xf>
    <xf borderId="2" fillId="11" fontId="1" numFmtId="0" xfId="0" applyAlignment="1" applyBorder="1" applyFill="1" applyFont="1">
      <alignment readingOrder="0" shrinkToFit="0" vertical="center" wrapText="1"/>
    </xf>
    <xf borderId="2" fillId="3" fontId="1" numFmtId="0" xfId="0" applyAlignment="1" applyBorder="1" applyFill="1" applyFont="1">
      <alignment shrinkToFit="0" vertical="top" wrapText="1"/>
    </xf>
    <xf borderId="2" fillId="5" fontId="1" numFmtId="0" xfId="0" applyAlignment="1" applyBorder="1" applyFill="1" applyFont="1">
      <alignment shrinkToFit="0" vertical="top" wrapText="1"/>
    </xf>
    <xf borderId="2" fillId="3" fontId="1" numFmtId="0" xfId="0" applyAlignment="1" applyBorder="1" applyFill="1" applyFont="1">
      <alignment shrinkToFit="0" vertical="center" wrapText="1"/>
    </xf>
    <xf borderId="0" fillId="0" fontId="1" numFmtId="0" xfId="0" applyAlignment="1" applyFont="1">
      <alignment shrinkToFit="0" vertical="top" wrapText="1"/>
    </xf>
    <xf borderId="2" fillId="2" fontId="3" numFmtId="0" xfId="0" applyAlignment="1" applyBorder="1" applyFill="1" applyFont="1">
      <alignment shrinkToFit="0" vertical="top" wrapText="1"/>
    </xf>
    <xf borderId="2" fillId="13" fontId="1" numFmtId="0" xfId="0" applyAlignment="1" applyBorder="1" applyFill="1" applyFont="1">
      <alignment shrinkToFit="0" vertical="center" wrapText="1"/>
    </xf>
    <xf borderId="0" fillId="13" fontId="27" numFmtId="0" xfId="0" applyAlignment="1" applyFill="1" applyFont="1">
      <alignment shrinkToFit="0" vertical="top" wrapText="1"/>
    </xf>
    <xf borderId="0" fillId="13" fontId="20" numFmtId="0" xfId="0" applyAlignment="1" applyFill="1" applyFont="1">
      <alignment shrinkToFit="0" vertical="top" wrapText="1"/>
    </xf>
    <xf borderId="2" fillId="6" fontId="28" numFmtId="0" xfId="0" applyAlignment="1" applyBorder="1" applyFill="1" applyFont="1">
      <alignment shrinkToFit="0" vertical="center" wrapText="1"/>
    </xf>
    <xf borderId="0" fillId="0" fontId="26" numFmtId="0" xfId="0" applyAlignment="1" applyFont="1">
      <alignment shrinkToFit="0" vertical="top" wrapText="1"/>
    </xf>
    <xf borderId="0" fillId="0" fontId="14" numFmtId="9" xfId="0" applyAlignment="1" applyFont="1" applyNumberFormat="1">
      <alignment shrinkToFit="0" vertical="top" wrapText="1"/>
    </xf>
    <xf borderId="0" fillId="0" fontId="8" numFmtId="9" xfId="0" applyAlignment="1" applyFont="1" applyNumberFormat="1">
      <alignment vertical="center"/>
    </xf>
    <xf borderId="0" fillId="0" fontId="1" numFmtId="9" xfId="0" applyAlignment="1" applyFont="1" applyNumberFormat="1">
      <alignment horizontal="right" shrinkToFit="0" vertical="center" wrapText="1"/>
    </xf>
    <xf borderId="0" fillId="0" fontId="14" numFmtId="9" xfId="0" applyAlignment="1" applyFont="1" applyNumberFormat="1">
      <alignment horizontal="right" shrinkToFit="0" vertical="center" wrapText="1"/>
    </xf>
    <xf borderId="0" fillId="14" fontId="29" numFmtId="0" xfId="0" applyAlignment="1" applyFill="1" applyFont="1">
      <alignment shrinkToFit="0" vertical="top" wrapText="1"/>
    </xf>
    <xf borderId="0" fillId="14" fontId="29" numFmtId="0" xfId="0" applyAlignment="1" applyFill="1" applyFont="1">
      <alignment readingOrder="0" shrinkToFit="0" vertical="top" wrapText="1"/>
    </xf>
    <xf borderId="0" fillId="0" fontId="0" numFmtId="0" xfId="0" applyAlignment="1" applyFont="1">
      <alignment shrinkToFit="0" vertical="top" wrapText="1"/>
    </xf>
    <xf borderId="0" fillId="0" fontId="0" numFmtId="0" xfId="0" applyAlignment="1" applyFont="1">
      <alignment readingOrder="0" shrinkToFit="0" vertical="top" wrapText="1"/>
    </xf>
    <xf borderId="0" fillId="23" fontId="22" numFmtId="0" xfId="0" applyAlignment="1" applyFill="1" applyFont="1">
      <alignment readingOrder="0" shrinkToFit="0" vertical="center" wrapText="1"/>
    </xf>
    <xf borderId="0" fillId="14" fontId="20" numFmtId="0" xfId="0" applyAlignment="1" applyFill="1" applyFont="1">
      <alignment readingOrder="0" shrinkToFit="0" vertical="top" wrapText="1"/>
    </xf>
    <xf borderId="0" fillId="14" fontId="20" numFmtId="0" xfId="0" applyAlignment="1" applyFill="1" applyFont="1">
      <alignment vertical="center"/>
    </xf>
    <xf borderId="0" fillId="14" fontId="20" numFmtId="0" xfId="0" applyAlignment="1" applyFill="1" applyFont="1">
      <alignment readingOrder="0" shrinkToFit="0" vertical="center" wrapText="1"/>
    </xf>
    <xf borderId="0" fillId="0" fontId="20" numFmtId="0" xfId="0" applyAlignment="1" applyFont="1">
      <alignment readingOrder="0" shrinkToFit="0" vertical="center" wrapText="1"/>
    </xf>
    <xf borderId="0" fillId="24" fontId="20" numFmtId="0" xfId="0" applyAlignment="1" applyFill="1" applyFont="1">
      <alignment readingOrder="0" shrinkToFit="0" vertical="center" wrapText="1"/>
    </xf>
    <xf borderId="2" fillId="3" fontId="21" numFmtId="0" xfId="0" applyAlignment="1" applyBorder="1" applyFill="1" applyFont="1">
      <alignment shrinkToFit="0" vertical="top" wrapText="1"/>
    </xf>
    <xf borderId="0" fillId="0" fontId="1" numFmtId="0" xfId="0" applyAlignment="1" applyFont="1">
      <alignment readingOrder="0" shrinkToFit="0" vertical="top" wrapText="1"/>
    </xf>
    <xf borderId="0" fillId="15" fontId="20"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5.xml"/><Relationship Id="rId3"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6.xml"/><Relationship Id="rId3"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7.xml"/><Relationship Id="rId3"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drawing" Target="../drawings/drawing13.xml"/><Relationship Id="rId3" Type="http://schemas.openxmlformats.org/officeDocument/2006/relationships/vmlDrawing" Target="../drawings/vmlDrawing11.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drawing" Target="../drawings/drawing15.xml"/><Relationship Id="rId3"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drawing" Target="../drawings/drawing16.xml"/><Relationship Id="rId3" Type="http://schemas.openxmlformats.org/officeDocument/2006/relationships/vmlDrawing" Target="../drawings/vmlDrawing13.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17.xml"/><Relationship Id="rId3" Type="http://schemas.openxmlformats.org/officeDocument/2006/relationships/vmlDrawing" Target="../drawings/vmlDrawing14.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18.xml"/><Relationship Id="rId3" Type="http://schemas.openxmlformats.org/officeDocument/2006/relationships/vmlDrawing" Target="../drawings/vmlDrawing15.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drawing" Target="../drawings/drawing19.xml"/><Relationship Id="rId3" Type="http://schemas.openxmlformats.org/officeDocument/2006/relationships/vmlDrawing" Target="../drawings/vmlDrawing16.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drawing" Target="../drawings/drawing20.xml"/><Relationship Id="rId3" Type="http://schemas.openxmlformats.org/officeDocument/2006/relationships/vmlDrawing" Target="../drawings/vmlDrawing17.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EEE"/>
    <pageSetUpPr/>
  </sheetPr>
  <sheetViews>
    <sheetView workbookViewId="0">
      <pane xSplit="4.0" ySplit="4.0" topLeftCell="E5" activePane="bottomRight" state="frozen"/>
      <selection activeCell="E1" sqref="E1" pane="topRight"/>
      <selection activeCell="A5" sqref="A5" pane="bottomLeft"/>
      <selection activeCell="E5" sqref="E5" pane="bottomRight"/>
    </sheetView>
  </sheetViews>
  <sheetFormatPr customHeight="1" defaultColWidth="12.63" defaultRowHeight="15.0" outlineLevelRow="3"/>
  <cols>
    <col customWidth="1" min="1" max="1" width="3.0"/>
    <col customWidth="1" min="2" max="2" width="14.38"/>
    <col customWidth="1" min="3" max="3" width="16.63"/>
    <col customWidth="1" min="4" max="4" width="4.13"/>
    <col customWidth="1" min="5" max="6" width="5.88"/>
    <col customWidth="1" min="7" max="7" width="6.5"/>
    <col customWidth="1" min="8" max="8" width="28.13"/>
    <col customWidth="1" min="9" max="9" width="11.25"/>
    <col customWidth="1" min="10" max="10" width="18.75"/>
    <col customWidth="1" min="11" max="12" width="9.63"/>
    <col customWidth="1" min="13" max="13" width="9.38"/>
    <col customWidth="1" min="14" max="14" width="9.88"/>
    <col customWidth="1" min="15" max="15" width="7.88"/>
    <col customWidth="1" min="16" max="16" width="26.25"/>
    <col customWidth="1" min="17" max="17" width="18.63"/>
    <col customWidth="1" min="18" max="20" width="4.25"/>
    <col customWidth="1" min="21" max="26" width="7.63"/>
  </cols>
  <sheetData>
    <row r="1" ht="31.5" customHeight="1">
      <c r="A1" s="1" t="s">
        <v>0</v>
      </c>
      <c r="B1" s="1" t="s">
        <v>1</v>
      </c>
      <c r="C1" s="1" t="s">
        <v>2</v>
      </c>
      <c r="D1" s="2" t="s">
        <v>3</v>
      </c>
      <c r="E1" s="3" t="s">
        <v>4</v>
      </c>
      <c r="F1" s="4" t="s">
        <v>5</v>
      </c>
      <c r="G1" s="5" t="s">
        <v>6</v>
      </c>
      <c r="H1" s="6" t="s">
        <v>7</v>
      </c>
      <c r="I1" s="7" t="s">
        <v>8</v>
      </c>
      <c r="J1" s="7" t="s">
        <v>9</v>
      </c>
      <c r="K1" s="8" t="s">
        <v>10</v>
      </c>
      <c r="L1" s="9" t="s">
        <v>11</v>
      </c>
      <c r="M1" s="2" t="s">
        <v>12</v>
      </c>
      <c r="N1" s="2" t="s">
        <v>13</v>
      </c>
      <c r="O1" s="2" t="s">
        <v>14</v>
      </c>
      <c r="P1" s="10" t="s">
        <v>15</v>
      </c>
      <c r="Q1" s="10" t="s">
        <v>16</v>
      </c>
      <c r="R1" s="10"/>
      <c r="S1" s="10"/>
      <c r="T1" s="1"/>
      <c r="U1" s="1"/>
      <c r="V1" s="1"/>
      <c r="W1" s="1"/>
      <c r="X1" s="1"/>
      <c r="Y1" s="1"/>
      <c r="Z1" s="1"/>
    </row>
    <row r="2" ht="103.5" customHeight="1">
      <c r="A2" s="1"/>
      <c r="B2" s="11" t="s">
        <v>17</v>
      </c>
      <c r="C2" s="11" t="s">
        <v>18</v>
      </c>
      <c r="D2" s="2" t="s">
        <v>19</v>
      </c>
      <c r="E2" s="3"/>
      <c r="F2" s="4"/>
      <c r="G2" s="5"/>
      <c r="H2" s="2" t="s">
        <v>20</v>
      </c>
      <c r="I2" s="12"/>
      <c r="J2" s="12" t="s">
        <v>21</v>
      </c>
      <c r="K2" s="8" t="s">
        <v>22</v>
      </c>
      <c r="L2" s="8"/>
      <c r="M2" s="2" t="s">
        <v>23</v>
      </c>
      <c r="N2" s="2" t="s">
        <v>24</v>
      </c>
      <c r="O2" s="1"/>
      <c r="P2" s="11"/>
      <c r="Q2" s="11"/>
      <c r="R2" s="11"/>
      <c r="S2" s="11"/>
      <c r="T2" s="13">
        <v>0.3</v>
      </c>
      <c r="U2" s="1"/>
      <c r="V2" s="1"/>
      <c r="W2" s="1"/>
      <c r="X2" s="1"/>
      <c r="Y2" s="1"/>
      <c r="Z2" s="1"/>
    </row>
    <row r="3" ht="18.0" customHeight="1">
      <c r="A3" s="1"/>
      <c r="B3" s="11" t="s">
        <v>25</v>
      </c>
      <c r="C3" s="11" t="s">
        <v>26</v>
      </c>
      <c r="D3" s="2"/>
      <c r="E3" s="3"/>
      <c r="F3" s="4"/>
      <c r="G3" s="5"/>
      <c r="H3" s="2"/>
      <c r="I3" s="12" t="s">
        <v>27</v>
      </c>
      <c r="J3" s="12" t="s">
        <v>27</v>
      </c>
      <c r="K3" s="8" t="s">
        <v>28</v>
      </c>
      <c r="L3" s="8"/>
      <c r="M3" s="2"/>
      <c r="N3" s="2"/>
      <c r="O3" s="1"/>
      <c r="P3" s="11"/>
      <c r="Q3" s="11"/>
      <c r="R3" s="11"/>
      <c r="S3" s="11"/>
      <c r="T3" s="13"/>
      <c r="U3" s="1"/>
      <c r="V3" s="1"/>
      <c r="W3" s="1"/>
      <c r="X3" s="1"/>
      <c r="Y3" s="1"/>
      <c r="Z3" s="1"/>
    </row>
    <row r="4" ht="13.5" customHeight="1">
      <c r="A4" s="1"/>
      <c r="B4" s="1"/>
      <c r="C4" s="1"/>
      <c r="D4" s="1"/>
      <c r="E4" s="14"/>
      <c r="F4" s="15"/>
      <c r="G4" s="16"/>
      <c r="H4" s="11"/>
      <c r="I4" s="7"/>
      <c r="J4" s="7" t="str">
        <f>IFERROR(LET(_xlpm.v,
VLOOKUP($I4,'用語辞書'!$A:$B,COLUMN('用語辞書'!B$1),FALSE),
IF(_xlpm.v=0,"",_xlpm.v)
),"")</f>
        <v/>
      </c>
      <c r="K4" s="17"/>
      <c r="L4" s="17" t="str">
        <f>IF(OR(COUNTIF('クラス'!$A$1:$A$1267,$B4)&gt;0,$B4="",$M4=""),"",True)</f>
        <v/>
      </c>
      <c r="M4" s="1"/>
      <c r="N4" s="1"/>
      <c r="O4" s="1"/>
      <c r="P4" s="11"/>
      <c r="Q4" s="11"/>
      <c r="R4" s="11"/>
      <c r="S4" s="11"/>
      <c r="T4" s="1"/>
      <c r="U4" s="1"/>
      <c r="V4" s="1"/>
      <c r="W4" s="1"/>
      <c r="X4" s="1"/>
      <c r="Y4" s="1"/>
      <c r="Z4" s="1"/>
    </row>
    <row r="5" ht="18.0" customHeight="1">
      <c r="A5" s="1"/>
      <c r="B5" s="1"/>
      <c r="C5" s="1"/>
      <c r="D5" s="1"/>
      <c r="E5" s="14"/>
      <c r="F5" s="15"/>
      <c r="G5" s="16"/>
      <c r="H5" s="18"/>
      <c r="I5" s="7"/>
      <c r="J5" s="7" t="str">
        <f>IFERROR(LET(_xlpm.v,
VLOOKUP($I5,'用語辞書'!$A:$B,COLUMN('用語辞書'!B$1),FALSE),
IF(_xlpm.v=0,"",_xlpm.v)
),"")</f>
        <v/>
      </c>
      <c r="K5" s="17"/>
      <c r="L5" s="17" t="str">
        <f>IF(OR(COUNTIF('クラス'!$A$1:$A$1267,$B5)&gt;0,$B5="",$M5=""),"",True)</f>
        <v/>
      </c>
      <c r="M5" s="1"/>
      <c r="N5" s="1"/>
      <c r="O5" s="1"/>
      <c r="P5" s="11"/>
      <c r="Q5" s="11"/>
      <c r="R5" s="11"/>
      <c r="S5" s="11"/>
      <c r="T5" s="1"/>
      <c r="U5" s="1"/>
      <c r="V5" s="1"/>
      <c r="W5" s="1"/>
      <c r="X5" s="1"/>
      <c r="Y5" s="1"/>
      <c r="Z5" s="1"/>
    </row>
    <row r="6" ht="18.0" customHeight="1">
      <c r="A6" s="1"/>
      <c r="B6" s="1"/>
      <c r="C6" s="1"/>
      <c r="D6" s="1"/>
      <c r="E6" s="14"/>
      <c r="F6" s="15"/>
      <c r="G6" s="16"/>
      <c r="H6" s="11"/>
      <c r="I6" s="7"/>
      <c r="J6" s="7" t="str">
        <f>IFERROR(LET(_xlpm.v,
VLOOKUP($I6,'用語辞書'!$A:$B,COLUMN('用語辞書'!B$1),FALSE),
IF(_xlpm.v=0,"",_xlpm.v)
),"")</f>
        <v/>
      </c>
      <c r="K6" s="17"/>
      <c r="L6" s="17" t="str">
        <f>IF(OR(COUNTIF('クラス'!$A$1:$A$1267,$B6)&gt;0,$B6="",$M6=""),"",True)</f>
        <v/>
      </c>
      <c r="M6" s="1" t="str">
        <f t="shared" ref="M6:M20" si="1">IF(COUNTIF($B$1:$C5, $B6), "", "存在しない")</f>
        <v>存在しない</v>
      </c>
      <c r="N6" s="1" t="s">
        <v>29</v>
      </c>
      <c r="O6" s="1"/>
      <c r="P6" s="11"/>
      <c r="Q6" s="11"/>
      <c r="R6" s="11"/>
      <c r="S6" s="11"/>
      <c r="T6" s="1"/>
      <c r="U6" s="1"/>
      <c r="V6" s="1"/>
      <c r="W6" s="1"/>
      <c r="X6" s="1"/>
      <c r="Y6" s="1"/>
      <c r="Z6" s="1"/>
    </row>
    <row r="7" ht="18.0" customHeight="1">
      <c r="A7" s="1"/>
      <c r="B7" s="1"/>
      <c r="C7" s="1" t="str">
        <f>"------------基礎技 ------------"</f>
        <v>------------基礎技 ------------</v>
      </c>
      <c r="D7" s="1"/>
      <c r="E7" s="14"/>
      <c r="F7" s="15"/>
      <c r="G7" s="16"/>
      <c r="H7" s="11"/>
      <c r="I7" s="7"/>
      <c r="J7" s="7" t="str">
        <f>IFERROR(LET(_xlpm.v,
VLOOKUP($I7,'用語辞書'!$A:$B,COLUMN('用語辞書'!B$1),FALSE),
IF(_xlpm.v=0,"",_xlpm.v)
),"")</f>
        <v/>
      </c>
      <c r="K7" s="17"/>
      <c r="L7" s="17" t="str">
        <f>IF(OR(COUNTIF('クラス'!$A$1:$A$1267,$B7)&gt;0,$B7="",$M7=""),"",True)</f>
        <v/>
      </c>
      <c r="M7" s="1" t="str">
        <f t="shared" si="1"/>
        <v>存在しない</v>
      </c>
      <c r="N7" s="1" t="s">
        <v>29</v>
      </c>
      <c r="O7" s="1"/>
      <c r="P7" s="11"/>
      <c r="Q7" s="11"/>
      <c r="R7" s="11"/>
      <c r="S7" s="11"/>
      <c r="T7" s="1"/>
      <c r="U7" s="1"/>
      <c r="V7" s="1"/>
      <c r="W7" s="1"/>
      <c r="X7" s="1"/>
      <c r="Y7" s="1"/>
      <c r="Z7" s="1"/>
    </row>
    <row r="8" ht="18.0" customHeight="1">
      <c r="A8" s="1"/>
      <c r="B8" s="1" t="s">
        <v>30</v>
      </c>
      <c r="C8" s="1"/>
      <c r="D8" s="1" t="s">
        <v>3</v>
      </c>
      <c r="E8" s="14" t="s">
        <v>31</v>
      </c>
      <c r="F8" s="15" t="s">
        <v>5</v>
      </c>
      <c r="G8" s="5" t="s">
        <v>6</v>
      </c>
      <c r="H8" s="11" t="s">
        <v>8</v>
      </c>
      <c r="I8" s="7"/>
      <c r="J8" s="7" t="str">
        <f>IFERROR(LET(_xlpm.v,
VLOOKUP($I8,'用語辞書'!$A:$B,COLUMN('用語辞書'!B$1),FALSE),
IF(_xlpm.v=0,"",_xlpm.v)
),"")</f>
        <v/>
      </c>
      <c r="K8" s="17"/>
      <c r="L8" s="17" t="b">
        <f>IF(OR(COUNTIF('クラス'!$A$1:$A$1267,$B8)&gt;0,$B8="",$M8=""),"",True)</f>
        <v>1</v>
      </c>
      <c r="M8" s="1" t="str">
        <f t="shared" si="1"/>
        <v>存在しない</v>
      </c>
      <c r="N8" s="1" t="s">
        <v>29</v>
      </c>
      <c r="O8" s="1"/>
      <c r="P8" s="11"/>
      <c r="Q8" s="11"/>
      <c r="R8" s="11"/>
      <c r="S8" s="11"/>
      <c r="T8" s="1"/>
      <c r="U8" s="1"/>
      <c r="V8" s="1"/>
      <c r="W8" s="1"/>
      <c r="X8" s="1"/>
      <c r="Y8" s="1"/>
      <c r="Z8" s="1"/>
    </row>
    <row r="9" ht="18.0" hidden="1" customHeight="1" outlineLevel="1">
      <c r="A9" s="1">
        <v>1.0</v>
      </c>
      <c r="B9" s="1" t="s">
        <v>32</v>
      </c>
      <c r="C9" s="1"/>
      <c r="D9" s="1"/>
      <c r="E9" s="14" t="s">
        <v>33</v>
      </c>
      <c r="F9" s="15"/>
      <c r="G9" s="16">
        <v>60.0</v>
      </c>
      <c r="H9" s="11" t="s">
        <v>34</v>
      </c>
      <c r="I9" s="7"/>
      <c r="J9" s="7" t="str">
        <f>IFERROR(LET(_xlpm.v,
VLOOKUP($I9,'用語辞書'!$A:$B,COLUMN('用語辞書'!B$1),FALSE),
IF(_xlpm.v=0,"",_xlpm.v)
),"")</f>
        <v/>
      </c>
      <c r="K9" s="17"/>
      <c r="L9" s="17" t="b">
        <f>IF(OR(COUNTIF('クラス'!$A$1:$A$1267,$B9)&gt;0,$B9="",$M9=""),"",True)</f>
        <v>1</v>
      </c>
      <c r="M9" s="1" t="str">
        <f t="shared" si="1"/>
        <v>存在しない</v>
      </c>
      <c r="N9" s="1" t="s">
        <v>32</v>
      </c>
      <c r="O9" s="1"/>
      <c r="P9" s="11"/>
      <c r="Q9" s="11"/>
      <c r="R9" s="11"/>
      <c r="S9" s="11"/>
      <c r="T9" s="1"/>
      <c r="U9" s="1"/>
      <c r="V9" s="1"/>
      <c r="W9" s="1"/>
      <c r="X9" s="1"/>
      <c r="Y9" s="1"/>
      <c r="Z9" s="1"/>
    </row>
    <row r="10" ht="18.0" hidden="1" customHeight="1" outlineLevel="1">
      <c r="A10" s="1">
        <v>2.0</v>
      </c>
      <c r="B10" s="1" t="s">
        <v>35</v>
      </c>
      <c r="C10" s="1"/>
      <c r="D10" s="1"/>
      <c r="E10" s="14" t="s">
        <v>33</v>
      </c>
      <c r="F10" s="15"/>
      <c r="G10" s="16">
        <v>30.0</v>
      </c>
      <c r="H10" s="11" t="s">
        <v>36</v>
      </c>
      <c r="I10" s="7"/>
      <c r="J10" s="7" t="str">
        <f>IFERROR(LET(_xlpm.v,
VLOOKUP($I10,'用語辞書'!$A:$B,COLUMN('用語辞書'!B$1),FALSE),
IF(_xlpm.v=0,"",_xlpm.v)
),"")</f>
        <v/>
      </c>
      <c r="K10" s="17"/>
      <c r="L10" s="17" t="b">
        <f>IF(OR(COUNTIF('クラス'!$A$1:$A$1267,$B10)&gt;0,$B10="",$M10=""),"",True)</f>
        <v>1</v>
      </c>
      <c r="M10" s="1" t="str">
        <f t="shared" si="1"/>
        <v>存在しない</v>
      </c>
      <c r="N10" s="1" t="s">
        <v>35</v>
      </c>
      <c r="O10" s="1"/>
      <c r="P10" s="11"/>
      <c r="Q10" s="11"/>
      <c r="R10" s="11"/>
      <c r="S10" s="11"/>
      <c r="T10" s="1"/>
      <c r="U10" s="1"/>
      <c r="V10" s="1"/>
      <c r="W10" s="1"/>
      <c r="X10" s="1"/>
      <c r="Y10" s="1"/>
      <c r="Z10" s="1"/>
    </row>
    <row r="11" ht="18.0" hidden="1" customHeight="1" outlineLevel="1">
      <c r="A11" s="1">
        <v>3.0</v>
      </c>
      <c r="B11" s="1" t="s">
        <v>37</v>
      </c>
      <c r="C11" s="1"/>
      <c r="D11" s="1"/>
      <c r="E11" s="14" t="s">
        <v>33</v>
      </c>
      <c r="F11" s="15"/>
      <c r="G11" s="16">
        <v>40.0</v>
      </c>
      <c r="H11" s="11" t="s">
        <v>38</v>
      </c>
      <c r="I11" s="7"/>
      <c r="J11" s="7" t="str">
        <f>IFERROR(LET(_xlpm.v,
VLOOKUP($I11,'用語辞書'!$A:$B,COLUMN('用語辞書'!B$1),FALSE),
IF(_xlpm.v=0,"",_xlpm.v)
),"")</f>
        <v/>
      </c>
      <c r="K11" s="17"/>
      <c r="L11" s="17" t="b">
        <f>IF(OR(COUNTIF('クラス'!$A$1:$A$1267,$B11)&gt;0,$B11="",$M11=""),"",True)</f>
        <v>1</v>
      </c>
      <c r="M11" s="1" t="str">
        <f t="shared" si="1"/>
        <v>存在しない</v>
      </c>
      <c r="N11" s="1" t="s">
        <v>37</v>
      </c>
      <c r="O11" s="1"/>
      <c r="P11" s="11"/>
      <c r="Q11" s="11"/>
      <c r="R11" s="11"/>
      <c r="S11" s="11"/>
      <c r="T11" s="1"/>
      <c r="U11" s="1"/>
      <c r="V11" s="1"/>
      <c r="W11" s="1"/>
      <c r="X11" s="1"/>
      <c r="Y11" s="1"/>
      <c r="Z11" s="1"/>
    </row>
    <row r="12" ht="18.0" hidden="1" customHeight="1" outlineLevel="1">
      <c r="A12" s="1">
        <v>4.0</v>
      </c>
      <c r="B12" s="1" t="s">
        <v>39</v>
      </c>
      <c r="C12" s="1"/>
      <c r="D12" s="1"/>
      <c r="E12" s="14" t="s">
        <v>33</v>
      </c>
      <c r="F12" s="15"/>
      <c r="G12" s="16">
        <v>20.0</v>
      </c>
      <c r="H12" s="11" t="s">
        <v>40</v>
      </c>
      <c r="I12" s="7"/>
      <c r="J12" s="7" t="str">
        <f>IFERROR(LET(_xlpm.v,
VLOOKUP($I12,'用語辞書'!$A:$B,COLUMN('用語辞書'!B$1),FALSE),
IF(_xlpm.v=0,"",_xlpm.v)
),"")</f>
        <v/>
      </c>
      <c r="K12" s="17"/>
      <c r="L12" s="17" t="b">
        <f>IF(OR(COUNTIF('クラス'!$A$1:$A$1267,$B12)&gt;0,$B12="",$M12=""),"",True)</f>
        <v>1</v>
      </c>
      <c r="M12" s="1" t="str">
        <f t="shared" si="1"/>
        <v>存在しない</v>
      </c>
      <c r="N12" s="1" t="s">
        <v>39</v>
      </c>
      <c r="O12" s="1"/>
      <c r="P12" s="11"/>
      <c r="Q12" s="11"/>
      <c r="R12" s="11"/>
      <c r="S12" s="11"/>
      <c r="T12" s="1"/>
      <c r="U12" s="1"/>
      <c r="V12" s="1"/>
      <c r="W12" s="1"/>
      <c r="X12" s="1"/>
      <c r="Y12" s="1"/>
      <c r="Z12" s="1"/>
    </row>
    <row r="13" ht="18.0" hidden="1" customHeight="1" outlineLevel="1">
      <c r="A13" s="1">
        <v>5.0</v>
      </c>
      <c r="B13" s="1" t="s">
        <v>41</v>
      </c>
      <c r="C13" s="1"/>
      <c r="D13" s="1"/>
      <c r="E13" s="14" t="s">
        <v>33</v>
      </c>
      <c r="F13" s="15"/>
      <c r="G13" s="16">
        <v>20.0</v>
      </c>
      <c r="H13" s="11" t="s">
        <v>42</v>
      </c>
      <c r="I13" s="7"/>
      <c r="J13" s="7" t="str">
        <f>IFERROR(LET(_xlpm.v,
VLOOKUP($I13,'用語辞書'!$A:$B,COLUMN('用語辞書'!B$1),FALSE),
IF(_xlpm.v=0,"",_xlpm.v)
),"")</f>
        <v/>
      </c>
      <c r="K13" s="17"/>
      <c r="L13" s="17" t="b">
        <f>IF(OR(COUNTIF('クラス'!$A$1:$A$1267,$B13)&gt;0,$B13="",$M13=""),"",True)</f>
        <v>1</v>
      </c>
      <c r="M13" s="1" t="str">
        <f t="shared" si="1"/>
        <v>存在しない</v>
      </c>
      <c r="N13" s="1" t="s">
        <v>29</v>
      </c>
      <c r="O13" s="1"/>
      <c r="P13" s="11"/>
      <c r="Q13" s="11"/>
      <c r="R13" s="11"/>
      <c r="S13" s="11"/>
      <c r="T13" s="1"/>
      <c r="U13" s="1"/>
      <c r="V13" s="1"/>
      <c r="W13" s="1"/>
      <c r="X13" s="1"/>
      <c r="Y13" s="1"/>
      <c r="Z13" s="1"/>
    </row>
    <row r="14" ht="18.0" hidden="1" customHeight="1" outlineLevel="1">
      <c r="A14" s="1">
        <v>6.0</v>
      </c>
      <c r="B14" s="1" t="s">
        <v>43</v>
      </c>
      <c r="C14" s="1"/>
      <c r="D14" s="1"/>
      <c r="E14" s="14" t="s">
        <v>33</v>
      </c>
      <c r="F14" s="15"/>
      <c r="G14" s="16">
        <v>70.0</v>
      </c>
      <c r="H14" s="11" t="s">
        <v>44</v>
      </c>
      <c r="I14" s="7"/>
      <c r="J14" s="7" t="str">
        <f>IFERROR(LET(_xlpm.v,
VLOOKUP($I14,'用語辞書'!$A:$B,COLUMN('用語辞書'!B$1),FALSE),
IF(_xlpm.v=0,"",_xlpm.v)
),"")</f>
        <v/>
      </c>
      <c r="K14" s="17"/>
      <c r="L14" s="17" t="b">
        <f>IF(OR(COUNTIF('クラス'!$A$1:$A$1267,$B14)&gt;0,$B14="",$M14=""),"",True)</f>
        <v>1</v>
      </c>
      <c r="M14" s="1" t="str">
        <f t="shared" si="1"/>
        <v>存在しない</v>
      </c>
      <c r="N14" s="1" t="s">
        <v>29</v>
      </c>
      <c r="O14" s="1"/>
      <c r="P14" s="11"/>
      <c r="Q14" s="11"/>
      <c r="R14" s="11"/>
      <c r="S14" s="11"/>
      <c r="T14" s="1"/>
      <c r="U14" s="1"/>
      <c r="V14" s="1"/>
      <c r="W14" s="1"/>
      <c r="X14" s="1"/>
      <c r="Y14" s="1"/>
      <c r="Z14" s="1"/>
    </row>
    <row r="15" ht="18.0" hidden="1" customHeight="1" outlineLevel="1">
      <c r="A15" s="1">
        <v>7.0</v>
      </c>
      <c r="B15" s="1" t="s">
        <v>45</v>
      </c>
      <c r="C15" s="1"/>
      <c r="D15" s="1"/>
      <c r="E15" s="14" t="s">
        <v>33</v>
      </c>
      <c r="F15" s="15"/>
      <c r="G15" s="16">
        <v>40.0</v>
      </c>
      <c r="H15" s="11" t="s">
        <v>46</v>
      </c>
      <c r="I15" s="7"/>
      <c r="J15" s="7" t="str">
        <f>IFERROR(LET(_xlpm.v,
VLOOKUP($I15,'用語辞書'!$A:$B,COLUMN('用語辞書'!B$1),FALSE),
IF(_xlpm.v=0,"",_xlpm.v)
),"")</f>
        <v/>
      </c>
      <c r="K15" s="17"/>
      <c r="L15" s="17" t="b">
        <f>IF(OR(COUNTIF('クラス'!$A$1:$A$1267,$B15)&gt;0,$B15="",$M15=""),"",True)</f>
        <v>1</v>
      </c>
      <c r="M15" s="1" t="str">
        <f t="shared" si="1"/>
        <v>存在しない</v>
      </c>
      <c r="N15" s="1" t="s">
        <v>29</v>
      </c>
      <c r="O15" s="1"/>
      <c r="P15" s="11"/>
      <c r="Q15" s="11"/>
      <c r="R15" s="11"/>
      <c r="S15" s="11"/>
      <c r="T15" s="1"/>
      <c r="U15" s="1"/>
      <c r="V15" s="1"/>
      <c r="W15" s="1"/>
      <c r="X15" s="1"/>
      <c r="Y15" s="1"/>
      <c r="Z15" s="1"/>
    </row>
    <row r="16" ht="18.0" hidden="1" customHeight="1" outlineLevel="1">
      <c r="A16" s="1">
        <v>8.0</v>
      </c>
      <c r="B16" s="1"/>
      <c r="C16" s="1"/>
      <c r="D16" s="1"/>
      <c r="E16" s="14"/>
      <c r="F16" s="15"/>
      <c r="G16" s="16"/>
      <c r="H16" s="11"/>
      <c r="I16" s="7"/>
      <c r="J16" s="7" t="str">
        <f>IFERROR(LET(_xlpm.v,
VLOOKUP($I16,'用語辞書'!$A:$B,COLUMN('用語辞書'!B$1),FALSE),
IF(_xlpm.v=0,"",_xlpm.v)
),"")</f>
        <v/>
      </c>
      <c r="K16" s="17"/>
      <c r="L16" s="17" t="str">
        <f>IF(OR(COUNTIF('クラス'!$A$1:$A$1267,$B16)&gt;0,$B16="",$M16=""),"",True)</f>
        <v/>
      </c>
      <c r="M16" s="1" t="str">
        <f t="shared" si="1"/>
        <v>存在しない</v>
      </c>
      <c r="N16" s="1" t="s">
        <v>29</v>
      </c>
      <c r="O16" s="1"/>
      <c r="P16" s="11"/>
      <c r="Q16" s="11"/>
      <c r="R16" s="11"/>
      <c r="S16" s="11"/>
      <c r="T16" s="1"/>
      <c r="U16" s="1"/>
      <c r="V16" s="1"/>
      <c r="W16" s="1"/>
      <c r="X16" s="1"/>
      <c r="Y16" s="1"/>
      <c r="Z16" s="1"/>
    </row>
    <row r="17" ht="18.0" hidden="1" customHeight="1" outlineLevel="1">
      <c r="A17" s="1">
        <v>9.0</v>
      </c>
      <c r="B17" s="1" t="s">
        <v>47</v>
      </c>
      <c r="C17" s="1"/>
      <c r="D17" s="1"/>
      <c r="E17" s="14"/>
      <c r="F17" s="15"/>
      <c r="G17" s="16"/>
      <c r="H17" s="11"/>
      <c r="I17" s="7"/>
      <c r="J17" s="7" t="str">
        <f>IFERROR(LET(_xlpm.v,
VLOOKUP($I17,'用語辞書'!$A:$B,COLUMN('用語辞書'!B$1),FALSE),
IF(_xlpm.v=0,"",_xlpm.v)
),"")</f>
        <v/>
      </c>
      <c r="K17" s="17"/>
      <c r="L17" s="17" t="b">
        <f>IF(OR(COUNTIF('クラス'!$A$1:$A$1267,$B17)&gt;0,$B17="",$M17=""),"",True)</f>
        <v>1</v>
      </c>
      <c r="M17" s="1" t="str">
        <f t="shared" si="1"/>
        <v>存在しない</v>
      </c>
      <c r="N17" s="1" t="e">
        <v>#VALUE!</v>
      </c>
      <c r="O17" s="1"/>
      <c r="P17" s="11"/>
      <c r="Q17" s="11"/>
      <c r="R17" s="11"/>
      <c r="S17" s="11"/>
      <c r="T17" s="1"/>
      <c r="U17" s="1"/>
      <c r="V17" s="1"/>
      <c r="W17" s="1"/>
      <c r="X17" s="1"/>
      <c r="Y17" s="1"/>
      <c r="Z17" s="1"/>
    </row>
    <row r="18" ht="18.0" hidden="1" customHeight="1" outlineLevel="1">
      <c r="A18" s="1">
        <v>10.0</v>
      </c>
      <c r="B18" s="1"/>
      <c r="C18" s="1"/>
      <c r="D18" s="1"/>
      <c r="E18" s="14"/>
      <c r="F18" s="15"/>
      <c r="G18" s="16"/>
      <c r="H18" s="11"/>
      <c r="I18" s="7"/>
      <c r="J18" s="7" t="str">
        <f>IFERROR(LET(_xlpm.v,
VLOOKUP($I18,'用語辞書'!$A:$B,COLUMN('用語辞書'!B$1),FALSE),
IF(_xlpm.v=0,"",_xlpm.v)
),"")</f>
        <v/>
      </c>
      <c r="K18" s="17"/>
      <c r="L18" s="17" t="str">
        <f>IF(OR(COUNTIF('クラス'!$A$1:$A$1267,$B18)&gt;0,$B18="",$M18=""),"",True)</f>
        <v/>
      </c>
      <c r="M18" s="1" t="str">
        <f t="shared" si="1"/>
        <v>存在しない</v>
      </c>
      <c r="N18" s="1" t="s">
        <v>29</v>
      </c>
      <c r="O18" s="1"/>
      <c r="P18" s="11"/>
      <c r="Q18" s="11"/>
      <c r="R18" s="11"/>
      <c r="S18" s="11"/>
      <c r="T18" s="1"/>
      <c r="U18" s="1"/>
      <c r="V18" s="1"/>
      <c r="W18" s="1"/>
      <c r="X18" s="1"/>
      <c r="Y18" s="1"/>
      <c r="Z18" s="1"/>
    </row>
    <row r="19" ht="18.0" hidden="1" customHeight="1" outlineLevel="1">
      <c r="A19" s="1"/>
      <c r="B19" s="1"/>
      <c r="C19" s="1"/>
      <c r="D19" s="1"/>
      <c r="E19" s="14"/>
      <c r="F19" s="15"/>
      <c r="G19" s="16"/>
      <c r="H19" s="11"/>
      <c r="I19" s="7"/>
      <c r="J19" s="7" t="str">
        <f>IFERROR(LET(_xlpm.v,
VLOOKUP($I19,'用語辞書'!$A:$B,COLUMN('用語辞書'!B$1),FALSE),
IF(_xlpm.v=0,"",_xlpm.v)
),"")</f>
        <v/>
      </c>
      <c r="K19" s="17"/>
      <c r="L19" s="17" t="str">
        <f>IF(OR(COUNTIF('クラス'!$A$1:$A$1267,$B19)&gt;0,$B19="",$M19=""),"",True)</f>
        <v/>
      </c>
      <c r="M19" s="1" t="str">
        <f t="shared" si="1"/>
        <v>存在しない</v>
      </c>
      <c r="N19" s="1" t="s">
        <v>29</v>
      </c>
      <c r="O19" s="1"/>
      <c r="P19" s="11"/>
      <c r="Q19" s="11"/>
      <c r="R19" s="11"/>
      <c r="S19" s="11"/>
      <c r="T19" s="1"/>
      <c r="U19" s="1"/>
      <c r="V19" s="1"/>
      <c r="W19" s="1"/>
      <c r="X19" s="1"/>
      <c r="Y19" s="1"/>
      <c r="Z19" s="1"/>
    </row>
    <row r="20" ht="18.0" customHeight="1" collapsed="1">
      <c r="A20" s="1"/>
      <c r="B20" s="1"/>
      <c r="C20" s="1"/>
      <c r="D20" s="1"/>
      <c r="E20" s="14"/>
      <c r="F20" s="15"/>
      <c r="G20" s="16"/>
      <c r="H20" s="11"/>
      <c r="I20" s="7"/>
      <c r="J20" s="7" t="str">
        <f>IFERROR(LET(_xlpm.v,
VLOOKUP($I20,'用語辞書'!$A:$B,COLUMN('用語辞書'!B$1),FALSE),
IF(_xlpm.v=0,"",_xlpm.v)
),"")</f>
        <v/>
      </c>
      <c r="K20" s="17"/>
      <c r="L20" s="17" t="str">
        <f>IF(OR(COUNTIF('クラス'!$A$1:$A$1267,$B20)&gt;0,$B20="",$M20=""),"",True)</f>
        <v/>
      </c>
      <c r="M20" s="1" t="str">
        <f t="shared" si="1"/>
        <v>存在しない</v>
      </c>
      <c r="N20" s="1" t="s">
        <v>29</v>
      </c>
      <c r="O20" s="1"/>
      <c r="P20" s="11"/>
      <c r="Q20" s="11"/>
      <c r="R20" s="11"/>
      <c r="S20" s="11"/>
      <c r="T20" s="1"/>
      <c r="U20" s="1"/>
      <c r="V20" s="1"/>
      <c r="W20" s="1"/>
      <c r="X20" s="1"/>
      <c r="Y20" s="1"/>
      <c r="Z20" s="1"/>
    </row>
    <row r="21" ht="18.0" customHeight="1">
      <c r="A21" s="1"/>
      <c r="B21" s="19"/>
      <c r="C21" s="1" t="str">
        <f>"------------ 薬 ------------"</f>
        <v>------------ 薬 ------------</v>
      </c>
      <c r="D21" s="1"/>
      <c r="E21" s="14"/>
      <c r="F21" s="15"/>
      <c r="G21" s="16"/>
      <c r="H21" s="11"/>
      <c r="I21" s="7"/>
      <c r="J21" s="7" t="str">
        <f>IFERROR(LET(_xlpm.v,
VLOOKUP($I21,'用語辞書'!$A:$B,COLUMN('用語辞書'!B$1),FALSE),
IF(_xlpm.v=0,"",_xlpm.v)
),"")</f>
        <v/>
      </c>
      <c r="K21" s="17"/>
      <c r="L21" s="17" t="str">
        <f>IF(OR(COUNTIF('クラス'!$A$1:$A$1267,$B21)&gt;0,$B21="",$M21=""),"",True)</f>
        <v/>
      </c>
      <c r="M21" s="1" t="str">
        <f t="shared" ref="M21:M33" si="2">IF(COUNTIF($B$1:$C19, $B21), "", "存在しない")</f>
        <v>存在しない</v>
      </c>
      <c r="N21" s="1" t="s">
        <v>29</v>
      </c>
      <c r="O21" s="1"/>
      <c r="P21" s="11"/>
      <c r="Q21" s="11"/>
      <c r="R21" s="11"/>
      <c r="S21" s="11"/>
      <c r="T21" s="1"/>
      <c r="U21" s="1"/>
      <c r="V21" s="1"/>
      <c r="W21" s="1"/>
      <c r="X21" s="1"/>
      <c r="Y21" s="1"/>
      <c r="Z21" s="1"/>
    </row>
    <row r="22" ht="18.0" customHeight="1" outlineLevel="1">
      <c r="A22" s="20">
        <v>1.0</v>
      </c>
      <c r="B22" s="21" t="s">
        <v>48</v>
      </c>
      <c r="C22" s="1"/>
      <c r="D22" s="1"/>
      <c r="E22" s="1"/>
      <c r="F22" s="15"/>
      <c r="G22" s="16"/>
      <c r="H22" s="22" t="s">
        <v>49</v>
      </c>
      <c r="I22" s="7"/>
      <c r="J22" s="7" t="str">
        <f>IFERROR(LET(_xlpm.v,
VLOOKUP($I22,'用語辞書'!$A:$B,COLUMN('用語辞書'!B$1),FALSE),
IF(_xlpm.v=0,"",_xlpm.v)
),"")</f>
        <v/>
      </c>
      <c r="K22" s="17"/>
      <c r="L22" s="17" t="b">
        <f>IF(OR(COUNTIF('クラス'!$A$1:$A$1267,$B22)&gt;0,$B22="",$M22=""),"",True)</f>
        <v>1</v>
      </c>
      <c r="M22" s="1" t="str">
        <f t="shared" si="2"/>
        <v>存在しない</v>
      </c>
      <c r="N22" s="1" t="s">
        <v>29</v>
      </c>
      <c r="O22" s="1"/>
      <c r="P22" s="11"/>
      <c r="Q22" s="11"/>
      <c r="R22" s="11"/>
      <c r="S22" s="11"/>
      <c r="T22" s="1"/>
      <c r="U22" s="1"/>
      <c r="V22" s="1"/>
      <c r="W22" s="1"/>
      <c r="X22" s="1"/>
      <c r="Y22" s="1"/>
      <c r="Z22" s="1"/>
    </row>
    <row r="23" ht="18.0" customHeight="1" outlineLevel="1">
      <c r="A23" s="20">
        <v>2.0</v>
      </c>
      <c r="B23" s="23" t="s">
        <v>50</v>
      </c>
      <c r="C23" s="1"/>
      <c r="D23" s="1"/>
      <c r="E23" s="1"/>
      <c r="F23" s="15"/>
      <c r="G23" s="16"/>
      <c r="H23" s="22" t="s">
        <v>51</v>
      </c>
      <c r="I23" s="7"/>
      <c r="J23" s="7" t="str">
        <f>IFERROR(LET(_xlpm.v,
VLOOKUP($I23,'用語辞書'!$A:$B,COLUMN('用語辞書'!B$1),FALSE),
IF(_xlpm.v=0,"",_xlpm.v)
),"")</f>
        <v/>
      </c>
      <c r="K23" s="17"/>
      <c r="L23" s="17" t="b">
        <f>IF(OR(COUNTIF('クラス'!$A$1:$A$1267,$B23)&gt;0,$B23="",$M23=""),"",True)</f>
        <v>1</v>
      </c>
      <c r="M23" s="1" t="str">
        <f t="shared" si="2"/>
        <v>存在しない</v>
      </c>
      <c r="N23" s="1" t="s">
        <v>29</v>
      </c>
      <c r="O23" s="1"/>
      <c r="P23" s="11"/>
      <c r="Q23" s="11"/>
      <c r="R23" s="11"/>
      <c r="S23" s="11"/>
      <c r="T23" s="1"/>
      <c r="U23" s="1"/>
      <c r="V23" s="1"/>
      <c r="W23" s="1"/>
      <c r="X23" s="1"/>
      <c r="Y23" s="1"/>
      <c r="Z23" s="1"/>
    </row>
    <row r="24" ht="18.0" customHeight="1" outlineLevel="1">
      <c r="A24" s="20">
        <v>3.0</v>
      </c>
      <c r="B24" s="19"/>
      <c r="C24" s="1"/>
      <c r="D24" s="1"/>
      <c r="E24" s="1"/>
      <c r="F24" s="15"/>
      <c r="G24" s="16"/>
      <c r="H24" s="11"/>
      <c r="I24" s="7"/>
      <c r="J24" s="7" t="str">
        <f>IFERROR(LET(_xlpm.v,
VLOOKUP($I24,'用語辞書'!$A:$B,COLUMN('用語辞書'!B$1),FALSE),
IF(_xlpm.v=0,"",_xlpm.v)
),"")</f>
        <v/>
      </c>
      <c r="K24" s="17"/>
      <c r="L24" s="17" t="str">
        <f>IF(OR(COUNTIF('クラス'!$A$1:$A$1267,$B24)&gt;0,$B24="",$M24=""),"",True)</f>
        <v/>
      </c>
      <c r="M24" s="1" t="str">
        <f t="shared" si="2"/>
        <v>存在しない</v>
      </c>
      <c r="N24" s="1" t="s">
        <v>29</v>
      </c>
      <c r="O24" s="1"/>
      <c r="P24" s="11"/>
      <c r="Q24" s="11"/>
      <c r="R24" s="11"/>
      <c r="S24" s="11"/>
      <c r="T24" s="1"/>
      <c r="U24" s="1"/>
      <c r="V24" s="1"/>
      <c r="W24" s="1"/>
      <c r="X24" s="1"/>
      <c r="Y24" s="1"/>
      <c r="Z24" s="1"/>
    </row>
    <row r="25" ht="18.0" customHeight="1" outlineLevel="1">
      <c r="A25" s="20">
        <v>4.0</v>
      </c>
      <c r="B25" s="19"/>
      <c r="C25" s="1"/>
      <c r="D25" s="1"/>
      <c r="E25" s="1"/>
      <c r="F25" s="15"/>
      <c r="G25" s="16"/>
      <c r="H25" s="11"/>
      <c r="I25" s="7"/>
      <c r="J25" s="7" t="str">
        <f>IFERROR(LET(_xlpm.v,
VLOOKUP($I25,'用語辞書'!$A:$B,COLUMN('用語辞書'!B$1),FALSE),
IF(_xlpm.v=0,"",_xlpm.v)
),"")</f>
        <v/>
      </c>
      <c r="K25" s="17"/>
      <c r="L25" s="17" t="str">
        <f>IF(OR(COUNTIF('クラス'!$A$1:$A$1267,$B25)&gt;0,$B25="",$M25=""),"",True)</f>
        <v/>
      </c>
      <c r="M25" s="1" t="str">
        <f t="shared" si="2"/>
        <v>存在しない</v>
      </c>
      <c r="N25" s="1" t="s">
        <v>29</v>
      </c>
      <c r="O25" s="1"/>
      <c r="P25" s="11"/>
      <c r="Q25" s="11"/>
      <c r="R25" s="11"/>
      <c r="S25" s="11"/>
      <c r="T25" s="1"/>
      <c r="U25" s="1"/>
      <c r="V25" s="1"/>
      <c r="W25" s="1"/>
      <c r="X25" s="1"/>
      <c r="Y25" s="1"/>
      <c r="Z25" s="1"/>
    </row>
    <row r="26" ht="18.0" customHeight="1" outlineLevel="1">
      <c r="A26" s="20">
        <v>5.0</v>
      </c>
      <c r="B26" s="23" t="s">
        <v>52</v>
      </c>
      <c r="C26" s="1"/>
      <c r="D26" s="1"/>
      <c r="E26" s="1"/>
      <c r="F26" s="15"/>
      <c r="G26" s="16"/>
      <c r="H26" s="22" t="s">
        <v>53</v>
      </c>
      <c r="I26" s="7"/>
      <c r="J26" s="7" t="str">
        <f>IFERROR(LET(_xlpm.v,
VLOOKUP($I26,'用語辞書'!$A:$B,COLUMN('用語辞書'!B$1),FALSE),
IF(_xlpm.v=0,"",_xlpm.v)
),"")</f>
        <v/>
      </c>
      <c r="K26" s="17"/>
      <c r="L26" s="17" t="b">
        <f>IF(OR(COUNTIF('クラス'!$A$1:$A$1267,$B26)&gt;0,$B26="",$M26=""),"",True)</f>
        <v>1</v>
      </c>
      <c r="M26" s="1" t="str">
        <f t="shared" si="2"/>
        <v>存在しない</v>
      </c>
      <c r="N26" s="1" t="s">
        <v>29</v>
      </c>
      <c r="O26" s="1"/>
      <c r="P26" s="11"/>
      <c r="Q26" s="11"/>
      <c r="R26" s="11"/>
      <c r="S26" s="11"/>
      <c r="T26" s="1"/>
      <c r="U26" s="1"/>
      <c r="V26" s="1"/>
      <c r="W26" s="1"/>
      <c r="X26" s="1"/>
      <c r="Y26" s="1"/>
      <c r="Z26" s="1"/>
    </row>
    <row r="27" ht="18.0" customHeight="1" outlineLevel="1">
      <c r="A27" s="20">
        <v>6.0</v>
      </c>
      <c r="B27" s="19"/>
      <c r="C27" s="1"/>
      <c r="D27" s="1"/>
      <c r="E27" s="1"/>
      <c r="F27" s="15"/>
      <c r="G27" s="16"/>
      <c r="H27" s="11"/>
      <c r="I27" s="7"/>
      <c r="J27" s="7" t="str">
        <f>IFERROR(LET(_xlpm.v,
VLOOKUP($I27,'用語辞書'!$A:$B,COLUMN('用語辞書'!B$1),FALSE),
IF(_xlpm.v=0,"",_xlpm.v)
),"")</f>
        <v/>
      </c>
      <c r="K27" s="17"/>
      <c r="L27" s="17" t="str">
        <f>IF(OR(COUNTIF('クラス'!$A$1:$A$1267,$B27)&gt;0,$B27="",$M27=""),"",True)</f>
        <v/>
      </c>
      <c r="M27" s="1" t="str">
        <f t="shared" si="2"/>
        <v>存在しない</v>
      </c>
      <c r="N27" s="1" t="s">
        <v>29</v>
      </c>
      <c r="O27" s="1"/>
      <c r="P27" s="11"/>
      <c r="Q27" s="11"/>
      <c r="R27" s="11"/>
      <c r="S27" s="11"/>
      <c r="T27" s="1"/>
      <c r="U27" s="1"/>
      <c r="V27" s="1"/>
      <c r="W27" s="1"/>
      <c r="X27" s="1"/>
      <c r="Y27" s="1"/>
      <c r="Z27" s="1"/>
    </row>
    <row r="28" ht="18.0" customHeight="1" outlineLevel="1">
      <c r="A28" s="20">
        <v>7.0</v>
      </c>
      <c r="B28" s="19"/>
      <c r="C28" s="1"/>
      <c r="D28" s="1"/>
      <c r="E28" s="1"/>
      <c r="F28" s="15"/>
      <c r="G28" s="16"/>
      <c r="H28" s="11"/>
      <c r="I28" s="7"/>
      <c r="J28" s="7" t="str">
        <f>IFERROR(LET(_xlpm.v,
VLOOKUP($I28,'用語辞書'!$A:$B,COLUMN('用語辞書'!B$1),FALSE),
IF(_xlpm.v=0,"",_xlpm.v)
),"")</f>
        <v/>
      </c>
      <c r="K28" s="17"/>
      <c r="L28" s="17" t="str">
        <f>IF(OR(COUNTIF('クラス'!$A$1:$A$1267,$B28)&gt;0,$B28="",$M28=""),"",True)</f>
        <v/>
      </c>
      <c r="M28" s="1" t="str">
        <f t="shared" si="2"/>
        <v>存在しない</v>
      </c>
      <c r="N28" s="1" t="s">
        <v>29</v>
      </c>
      <c r="O28" s="1"/>
      <c r="P28" s="11"/>
      <c r="Q28" s="11"/>
      <c r="R28" s="11"/>
      <c r="S28" s="11"/>
      <c r="T28" s="1"/>
      <c r="U28" s="1"/>
      <c r="V28" s="1"/>
      <c r="W28" s="1"/>
      <c r="X28" s="1"/>
      <c r="Y28" s="1"/>
      <c r="Z28" s="1"/>
    </row>
    <row r="29" ht="18.0" customHeight="1" outlineLevel="1">
      <c r="A29" s="20">
        <v>8.0</v>
      </c>
      <c r="B29" s="19"/>
      <c r="C29" s="1"/>
      <c r="D29" s="1"/>
      <c r="E29" s="1"/>
      <c r="F29" s="15"/>
      <c r="G29" s="16"/>
      <c r="H29" s="11"/>
      <c r="I29" s="7"/>
      <c r="J29" s="7" t="str">
        <f>IFERROR(LET(_xlpm.v,
VLOOKUP($I29,'用語辞書'!$A:$B,COLUMN('用語辞書'!B$1),FALSE),
IF(_xlpm.v=0,"",_xlpm.v)
),"")</f>
        <v/>
      </c>
      <c r="K29" s="17"/>
      <c r="L29" s="17" t="str">
        <f>IF(OR(COUNTIF('クラス'!$A$1:$A$1267,$B29)&gt;0,$B29="",$M29=""),"",True)</f>
        <v/>
      </c>
      <c r="M29" s="1" t="str">
        <f t="shared" si="2"/>
        <v>存在しない</v>
      </c>
      <c r="N29" s="1" t="s">
        <v>29</v>
      </c>
      <c r="O29" s="1"/>
      <c r="P29" s="11"/>
      <c r="Q29" s="11"/>
      <c r="R29" s="11"/>
      <c r="S29" s="11"/>
      <c r="T29" s="1"/>
      <c r="U29" s="1"/>
      <c r="V29" s="1"/>
      <c r="W29" s="1"/>
      <c r="X29" s="1"/>
      <c r="Y29" s="1"/>
      <c r="Z29" s="1"/>
    </row>
    <row r="30" ht="18.0" customHeight="1" outlineLevel="1">
      <c r="A30" s="1"/>
      <c r="B30" s="19"/>
      <c r="C30" s="1"/>
      <c r="D30" s="1"/>
      <c r="E30" s="1"/>
      <c r="F30" s="15"/>
      <c r="G30" s="16"/>
      <c r="H30" s="11"/>
      <c r="I30" s="7"/>
      <c r="J30" s="7" t="str">
        <f>IFERROR(LET(_xlpm.v,
VLOOKUP($I30,'用語辞書'!$A:$B,COLUMN('用語辞書'!B$1),FALSE),
IF(_xlpm.v=0,"",_xlpm.v)
),"")</f>
        <v/>
      </c>
      <c r="K30" s="17"/>
      <c r="L30" s="17" t="str">
        <f>IF(OR(COUNTIF('クラス'!$A$1:$A$1267,$B30)&gt;0,$B30="",$M30=""),"",True)</f>
        <v/>
      </c>
      <c r="M30" s="1" t="str">
        <f t="shared" si="2"/>
        <v>存在しない</v>
      </c>
      <c r="N30" s="1" t="s">
        <v>29</v>
      </c>
      <c r="O30" s="1"/>
      <c r="P30" s="11"/>
      <c r="Q30" s="11"/>
      <c r="R30" s="11"/>
      <c r="S30" s="11"/>
      <c r="T30" s="1"/>
      <c r="U30" s="1"/>
      <c r="V30" s="1"/>
      <c r="W30" s="1"/>
      <c r="X30" s="1"/>
      <c r="Y30" s="1"/>
      <c r="Z30" s="1"/>
    </row>
    <row r="31" ht="18.0" customHeight="1" outlineLevel="1">
      <c r="A31" s="1"/>
      <c r="B31" s="19"/>
      <c r="C31" s="1"/>
      <c r="D31" s="1"/>
      <c r="E31" s="1"/>
      <c r="F31" s="15"/>
      <c r="G31" s="16"/>
      <c r="H31" s="11"/>
      <c r="I31" s="7"/>
      <c r="J31" s="7" t="str">
        <f>IFERROR(LET(_xlpm.v,
VLOOKUP($I31,'用語辞書'!$A:$B,COLUMN('用語辞書'!B$1),FALSE),
IF(_xlpm.v=0,"",_xlpm.v)
),"")</f>
        <v/>
      </c>
      <c r="K31" s="17"/>
      <c r="L31" s="17" t="str">
        <f>IF(OR(COUNTIF('クラス'!$A$1:$A$1267,$B31)&gt;0,$B31="",$M31=""),"",True)</f>
        <v/>
      </c>
      <c r="M31" s="1" t="str">
        <f t="shared" si="2"/>
        <v>存在しない</v>
      </c>
      <c r="N31" s="1" t="s">
        <v>29</v>
      </c>
      <c r="O31" s="1"/>
      <c r="P31" s="11"/>
      <c r="Q31" s="11"/>
      <c r="R31" s="11"/>
      <c r="S31" s="11"/>
      <c r="T31" s="1"/>
      <c r="U31" s="1"/>
      <c r="V31" s="1"/>
      <c r="W31" s="1"/>
      <c r="X31" s="1"/>
      <c r="Y31" s="1"/>
      <c r="Z31" s="1"/>
    </row>
    <row r="32" ht="18.0" customHeight="1" outlineLevel="1">
      <c r="A32" s="1"/>
      <c r="B32" s="19"/>
      <c r="C32" s="1"/>
      <c r="D32" s="1"/>
      <c r="E32" s="1"/>
      <c r="F32" s="15"/>
      <c r="G32" s="16"/>
      <c r="H32" s="11"/>
      <c r="I32" s="7"/>
      <c r="J32" s="7" t="str">
        <f>IFERROR(LET(_xlpm.v,
VLOOKUP($I32,'用語辞書'!$A:$B,COLUMN('用語辞書'!B$1),FALSE),
IF(_xlpm.v=0,"",_xlpm.v)
),"")</f>
        <v/>
      </c>
      <c r="K32" s="17"/>
      <c r="L32" s="17" t="str">
        <f>IF(OR(COUNTIF('クラス'!$A$1:$A$1267,$B32)&gt;0,$B32="",$M32=""),"",True)</f>
        <v/>
      </c>
      <c r="M32" s="1" t="str">
        <f t="shared" si="2"/>
        <v>存在しない</v>
      </c>
      <c r="N32" s="1" t="s">
        <v>29</v>
      </c>
      <c r="O32" s="1"/>
      <c r="P32" s="11"/>
      <c r="Q32" s="11"/>
      <c r="R32" s="11"/>
      <c r="S32" s="11"/>
      <c r="T32" s="1"/>
      <c r="U32" s="1"/>
      <c r="V32" s="1"/>
      <c r="W32" s="1"/>
      <c r="X32" s="1"/>
      <c r="Y32" s="1"/>
      <c r="Z32" s="1"/>
    </row>
    <row r="33" ht="18.0" customHeight="1" outlineLevel="1">
      <c r="A33" s="1"/>
      <c r="B33" s="19"/>
      <c r="C33" s="1"/>
      <c r="D33" s="1"/>
      <c r="E33" s="1"/>
      <c r="F33" s="15"/>
      <c r="G33" s="16"/>
      <c r="H33" s="11"/>
      <c r="I33" s="7"/>
      <c r="J33" s="7" t="str">
        <f>IFERROR(LET(_xlpm.v,
VLOOKUP($I33,'用語辞書'!$A:$B,COLUMN('用語辞書'!B$1),FALSE),
IF(_xlpm.v=0,"",_xlpm.v)
),"")</f>
        <v/>
      </c>
      <c r="K33" s="17"/>
      <c r="L33" s="17" t="str">
        <f>IF(OR(COUNTIF('クラス'!$A$1:$A$1267,$B33)&gt;0,$B33="",$M33=""),"",True)</f>
        <v/>
      </c>
      <c r="M33" s="1" t="str">
        <f t="shared" si="2"/>
        <v>存在しない</v>
      </c>
      <c r="N33" s="1" t="s">
        <v>29</v>
      </c>
      <c r="O33" s="1"/>
      <c r="P33" s="11"/>
      <c r="Q33" s="11"/>
      <c r="R33" s="11"/>
      <c r="S33" s="11"/>
      <c r="T33" s="1"/>
      <c r="U33" s="1"/>
      <c r="V33" s="1"/>
      <c r="W33" s="1"/>
      <c r="X33" s="1"/>
      <c r="Y33" s="1"/>
      <c r="Z33" s="1"/>
    </row>
    <row r="34" ht="18.0" customHeight="1">
      <c r="A34" s="1"/>
      <c r="B34" s="1"/>
      <c r="C34" s="1"/>
      <c r="D34" s="1"/>
      <c r="E34" s="14"/>
      <c r="F34" s="15"/>
      <c r="G34" s="16"/>
      <c r="H34" s="11"/>
      <c r="I34" s="7"/>
      <c r="J34" s="7"/>
      <c r="K34" s="17"/>
      <c r="L34" s="17" t="str">
        <f>IF(OR(COUNTIF('クラス'!$A$1:$A$1267,$B34)&gt;0,$B34="",$M34=""),"",True)</f>
        <v/>
      </c>
      <c r="M34" s="1"/>
      <c r="N34" s="1"/>
      <c r="O34" s="1"/>
      <c r="P34" s="11"/>
      <c r="Q34" s="11"/>
      <c r="R34" s="11"/>
      <c r="S34" s="11"/>
      <c r="T34" s="1"/>
      <c r="U34" s="1"/>
      <c r="V34" s="1"/>
      <c r="W34" s="1"/>
      <c r="X34" s="1"/>
      <c r="Y34" s="1"/>
      <c r="Z34" s="1"/>
    </row>
    <row r="35" ht="18.0" customHeight="1">
      <c r="A35" s="1"/>
      <c r="B35" s="19"/>
      <c r="C35" s="1" t="str">
        <f>"------------地形 ------------"</f>
        <v>------------地形 ------------</v>
      </c>
      <c r="D35" s="1"/>
      <c r="E35" s="14"/>
      <c r="F35" s="15"/>
      <c r="G35" s="16"/>
      <c r="H35" s="11"/>
      <c r="I35" s="7"/>
      <c r="J35" s="7" t="str">
        <f>IFERROR(LET(_xlpm.v,
VLOOKUP($I35,'用語辞書'!$A:$B,COLUMN('用語辞書'!B$1),FALSE),
IF(_xlpm.v=0,"",_xlpm.v)
),"")</f>
        <v/>
      </c>
      <c r="K35" s="17"/>
      <c r="L35" s="17" t="str">
        <f>IF(OR(COUNTIF('クラス'!$A$1:$A$1267,$B35)&gt;0,$B35="",$M35=""),"",True)</f>
        <v/>
      </c>
      <c r="M35" s="1" t="str">
        <f t="shared" ref="M35:M59" si="3">IF(COUNTIF($B$1:$C33, $B35), "", "存在しない")</f>
        <v>存在しない</v>
      </c>
      <c r="N35" s="1" t="s">
        <v>29</v>
      </c>
      <c r="O35" s="1"/>
      <c r="P35" s="11"/>
      <c r="Q35" s="11"/>
      <c r="R35" s="11"/>
      <c r="S35" s="11"/>
      <c r="T35" s="1"/>
      <c r="U35" s="1"/>
      <c r="V35" s="1"/>
      <c r="W35" s="1"/>
      <c r="X35" s="1"/>
      <c r="Y35" s="1"/>
      <c r="Z35" s="1"/>
    </row>
    <row r="36" ht="18.0" hidden="1" customHeight="1" outlineLevel="1">
      <c r="A36" s="1"/>
      <c r="B36" s="24" t="s">
        <v>54</v>
      </c>
      <c r="C36" s="1"/>
      <c r="D36" s="1"/>
      <c r="E36" s="1" t="s">
        <v>55</v>
      </c>
      <c r="F36" s="15"/>
      <c r="G36" s="16"/>
      <c r="H36" s="11"/>
      <c r="I36" s="7"/>
      <c r="J36" s="7" t="str">
        <f>IFERROR(LET(_xlpm.v,
VLOOKUP($I36,'用語辞書'!$A:$B,COLUMN('用語辞書'!B$1),FALSE),
IF(_xlpm.v=0,"",_xlpm.v)
),"")</f>
        <v/>
      </c>
      <c r="K36" s="17"/>
      <c r="L36" s="17" t="b">
        <f>IF(OR(COUNTIF('クラス'!$A$1:$A$1267,$B36)&gt;0,$B36="",$M36=""),"",True)</f>
        <v>1</v>
      </c>
      <c r="M36" s="1" t="str">
        <f t="shared" si="3"/>
        <v>存在しない</v>
      </c>
      <c r="N36" s="1" t="s">
        <v>29</v>
      </c>
      <c r="O36" s="1"/>
      <c r="P36" s="11"/>
      <c r="Q36" s="11"/>
      <c r="R36" s="11"/>
      <c r="S36" s="11"/>
      <c r="T36" s="1"/>
      <c r="U36" s="1"/>
      <c r="V36" s="1"/>
      <c r="W36" s="1"/>
      <c r="X36" s="1"/>
      <c r="Y36" s="1"/>
      <c r="Z36" s="1"/>
    </row>
    <row r="37" ht="18.0" hidden="1" customHeight="1" outlineLevel="1">
      <c r="A37" s="1"/>
      <c r="B37" s="19" t="s">
        <v>56</v>
      </c>
      <c r="C37" s="1"/>
      <c r="D37" s="1"/>
      <c r="E37" s="1" t="s">
        <v>55</v>
      </c>
      <c r="F37" s="15"/>
      <c r="G37" s="16"/>
      <c r="H37" s="11"/>
      <c r="I37" s="7"/>
      <c r="J37" s="7" t="str">
        <f>IFERROR(LET(_xlpm.v,
VLOOKUP($I37,'用語辞書'!$A:$B,COLUMN('用語辞書'!B$1),FALSE),
IF(_xlpm.v=0,"",_xlpm.v)
),"")</f>
        <v/>
      </c>
      <c r="K37" s="17"/>
      <c r="L37" s="17" t="b">
        <f>IF(OR(COUNTIF('クラス'!$A$1:$A$1267,$B37)&gt;0,$B37="",$M37=""),"",True)</f>
        <v>1</v>
      </c>
      <c r="M37" s="1" t="str">
        <f t="shared" si="3"/>
        <v>存在しない</v>
      </c>
      <c r="N37" s="1" t="s">
        <v>29</v>
      </c>
      <c r="O37" s="1"/>
      <c r="P37" s="11"/>
      <c r="Q37" s="11"/>
      <c r="R37" s="11"/>
      <c r="S37" s="11"/>
      <c r="T37" s="1"/>
      <c r="U37" s="1"/>
      <c r="V37" s="1"/>
      <c r="W37" s="1"/>
      <c r="X37" s="1"/>
      <c r="Y37" s="1"/>
      <c r="Z37" s="1"/>
    </row>
    <row r="38" ht="18.0" hidden="1" customHeight="1" outlineLevel="1">
      <c r="A38" s="1"/>
      <c r="B38" s="19" t="s">
        <v>57</v>
      </c>
      <c r="C38" s="1"/>
      <c r="D38" s="1"/>
      <c r="E38" s="1" t="s">
        <v>55</v>
      </c>
      <c r="F38" s="15"/>
      <c r="G38" s="16"/>
      <c r="H38" s="11"/>
      <c r="I38" s="7"/>
      <c r="J38" s="7" t="str">
        <f>IFERROR(LET(_xlpm.v,
VLOOKUP($I38,'用語辞書'!$A:$B,COLUMN('用語辞書'!B$1),FALSE),
IF(_xlpm.v=0,"",_xlpm.v)
),"")</f>
        <v/>
      </c>
      <c r="K38" s="17"/>
      <c r="L38" s="17" t="b">
        <f>IF(OR(COUNTIF('クラス'!$A$1:$A$1267,$B38)&gt;0,$B38="",$M38=""),"",True)</f>
        <v>1</v>
      </c>
      <c r="M38" s="1" t="str">
        <f t="shared" si="3"/>
        <v>存在しない</v>
      </c>
      <c r="N38" s="1" t="s">
        <v>29</v>
      </c>
      <c r="O38" s="1"/>
      <c r="P38" s="11"/>
      <c r="Q38" s="11"/>
      <c r="R38" s="11"/>
      <c r="S38" s="11"/>
      <c r="T38" s="1"/>
      <c r="U38" s="1"/>
      <c r="V38" s="1"/>
      <c r="W38" s="1"/>
      <c r="X38" s="1"/>
      <c r="Y38" s="1"/>
      <c r="Z38" s="1"/>
    </row>
    <row r="39" ht="18.0" hidden="1" customHeight="1" outlineLevel="1">
      <c r="A39" s="1"/>
      <c r="B39" s="19" t="s">
        <v>58</v>
      </c>
      <c r="C39" s="1"/>
      <c r="D39" s="1"/>
      <c r="E39" s="1" t="s">
        <v>55</v>
      </c>
      <c r="F39" s="15"/>
      <c r="G39" s="16"/>
      <c r="H39" s="11"/>
      <c r="I39" s="7"/>
      <c r="J39" s="7" t="str">
        <f>IFERROR(LET(_xlpm.v,
VLOOKUP($I39,'用語辞書'!$A:$B,COLUMN('用語辞書'!B$1),FALSE),
IF(_xlpm.v=0,"",_xlpm.v)
),"")</f>
        <v/>
      </c>
      <c r="K39" s="17"/>
      <c r="L39" s="17" t="b">
        <f>IF(OR(COUNTIF('クラス'!$A$1:$A$1267,$B39)&gt;0,$B39="",$M39=""),"",True)</f>
        <v>1</v>
      </c>
      <c r="M39" s="1" t="str">
        <f t="shared" si="3"/>
        <v>存在しない</v>
      </c>
      <c r="N39" s="1" t="s">
        <v>29</v>
      </c>
      <c r="O39" s="1"/>
      <c r="P39" s="11"/>
      <c r="Q39" s="11"/>
      <c r="R39" s="11"/>
      <c r="S39" s="11"/>
      <c r="T39" s="1"/>
      <c r="U39" s="1"/>
      <c r="V39" s="1"/>
      <c r="W39" s="1"/>
      <c r="X39" s="1"/>
      <c r="Y39" s="1"/>
      <c r="Z39" s="1"/>
    </row>
    <row r="40" ht="18.0" hidden="1" customHeight="1" outlineLevel="1">
      <c r="A40" s="1"/>
      <c r="B40" s="19" t="s">
        <v>59</v>
      </c>
      <c r="C40" s="1"/>
      <c r="D40" s="1"/>
      <c r="E40" s="1" t="s">
        <v>55</v>
      </c>
      <c r="F40" s="15"/>
      <c r="G40" s="16"/>
      <c r="H40" s="11"/>
      <c r="I40" s="7"/>
      <c r="J40" s="7" t="str">
        <f>IFERROR(LET(_xlpm.v,
VLOOKUP($I40,'用語辞書'!$A:$B,COLUMN('用語辞書'!B$1),FALSE),
IF(_xlpm.v=0,"",_xlpm.v)
),"")</f>
        <v/>
      </c>
      <c r="K40" s="17"/>
      <c r="L40" s="17" t="b">
        <f>IF(OR(COUNTIF('クラス'!$A$1:$A$1267,$B40)&gt;0,$B40="",$M40=""),"",True)</f>
        <v>1</v>
      </c>
      <c r="M40" s="1" t="str">
        <f t="shared" si="3"/>
        <v>存在しない</v>
      </c>
      <c r="N40" s="1" t="s">
        <v>29</v>
      </c>
      <c r="O40" s="1"/>
      <c r="P40" s="11"/>
      <c r="Q40" s="11"/>
      <c r="R40" s="11"/>
      <c r="S40" s="11"/>
      <c r="T40" s="1"/>
      <c r="U40" s="1"/>
      <c r="V40" s="1"/>
      <c r="W40" s="1"/>
      <c r="X40" s="1"/>
      <c r="Y40" s="1"/>
      <c r="Z40" s="1"/>
    </row>
    <row r="41" ht="18.0" hidden="1" customHeight="1" outlineLevel="1">
      <c r="A41" s="1"/>
      <c r="B41" s="19" t="s">
        <v>60</v>
      </c>
      <c r="C41" s="1"/>
      <c r="D41" s="1"/>
      <c r="E41" s="1" t="s">
        <v>55</v>
      </c>
      <c r="F41" s="15"/>
      <c r="G41" s="16"/>
      <c r="H41" s="11"/>
      <c r="I41" s="7"/>
      <c r="J41" s="7" t="str">
        <f>IFERROR(LET(_xlpm.v,
VLOOKUP($I41,'用語辞書'!$A:$B,COLUMN('用語辞書'!B$1),FALSE),
IF(_xlpm.v=0,"",_xlpm.v)
),"")</f>
        <v/>
      </c>
      <c r="K41" s="17"/>
      <c r="L41" s="17" t="b">
        <f>IF(OR(COUNTIF('クラス'!$A$1:$A$1267,$B41)&gt;0,$B41="",$M41=""),"",True)</f>
        <v>1</v>
      </c>
      <c r="M41" s="1" t="str">
        <f t="shared" si="3"/>
        <v>存在しない</v>
      </c>
      <c r="N41" s="1" t="s">
        <v>29</v>
      </c>
      <c r="O41" s="1"/>
      <c r="P41" s="11"/>
      <c r="Q41" s="11"/>
      <c r="R41" s="11"/>
      <c r="S41" s="11"/>
      <c r="T41" s="1"/>
      <c r="U41" s="1"/>
      <c r="V41" s="1"/>
      <c r="W41" s="1"/>
      <c r="X41" s="1"/>
      <c r="Y41" s="1"/>
      <c r="Z41" s="1"/>
    </row>
    <row r="42" ht="18.0" hidden="1" customHeight="1" outlineLevel="1">
      <c r="A42" s="1"/>
      <c r="B42" s="19" t="s">
        <v>61</v>
      </c>
      <c r="C42" s="1"/>
      <c r="D42" s="1"/>
      <c r="E42" s="1" t="s">
        <v>55</v>
      </c>
      <c r="F42" s="15"/>
      <c r="G42" s="16"/>
      <c r="H42" s="11"/>
      <c r="I42" s="7"/>
      <c r="J42" s="7" t="str">
        <f>IFERROR(LET(_xlpm.v,
VLOOKUP($I42,'用語辞書'!$A:$B,COLUMN('用語辞書'!B$1),FALSE),
IF(_xlpm.v=0,"",_xlpm.v)
),"")</f>
        <v/>
      </c>
      <c r="K42" s="17"/>
      <c r="L42" s="17" t="b">
        <f>IF(OR(COUNTIF('クラス'!$A$1:$A$1267,$B42)&gt;0,$B42="",$M42=""),"",True)</f>
        <v>1</v>
      </c>
      <c r="M42" s="1" t="str">
        <f t="shared" si="3"/>
        <v>存在しない</v>
      </c>
      <c r="N42" s="1" t="s">
        <v>29</v>
      </c>
      <c r="O42" s="1"/>
      <c r="P42" s="11"/>
      <c r="Q42" s="11"/>
      <c r="R42" s="11"/>
      <c r="S42" s="11"/>
      <c r="T42" s="1"/>
      <c r="U42" s="1"/>
      <c r="V42" s="1"/>
      <c r="W42" s="1"/>
      <c r="X42" s="1"/>
      <c r="Y42" s="1"/>
      <c r="Z42" s="1"/>
    </row>
    <row r="43" ht="18.0" hidden="1" customHeight="1" outlineLevel="1">
      <c r="A43" s="1"/>
      <c r="B43" s="19" t="s">
        <v>62</v>
      </c>
      <c r="C43" s="1"/>
      <c r="D43" s="1"/>
      <c r="E43" s="1" t="s">
        <v>55</v>
      </c>
      <c r="F43" s="15"/>
      <c r="G43" s="16"/>
      <c r="H43" s="11"/>
      <c r="I43" s="7"/>
      <c r="J43" s="7" t="str">
        <f>IFERROR(LET(_xlpm.v,
VLOOKUP($I43,'用語辞書'!$A:$B,COLUMN('用語辞書'!B$1),FALSE),
IF(_xlpm.v=0,"",_xlpm.v)
),"")</f>
        <v/>
      </c>
      <c r="K43" s="17"/>
      <c r="L43" s="17" t="b">
        <f>IF(OR(COUNTIF('クラス'!$A$1:$A$1267,$B43)&gt;0,$B43="",$M43=""),"",True)</f>
        <v>1</v>
      </c>
      <c r="M43" s="1" t="str">
        <f t="shared" si="3"/>
        <v>存在しない</v>
      </c>
      <c r="N43" s="1" t="s">
        <v>29</v>
      </c>
      <c r="O43" s="1"/>
      <c r="P43" s="11"/>
      <c r="Q43" s="11"/>
      <c r="R43" s="11"/>
      <c r="S43" s="11"/>
      <c r="T43" s="1"/>
      <c r="U43" s="1"/>
      <c r="V43" s="1"/>
      <c r="W43" s="1"/>
      <c r="X43" s="1"/>
      <c r="Y43" s="1"/>
      <c r="Z43" s="1"/>
    </row>
    <row r="44" ht="18.0" hidden="1" customHeight="1" outlineLevel="1">
      <c r="A44" s="1"/>
      <c r="B44" s="19" t="s">
        <v>63</v>
      </c>
      <c r="C44" s="1"/>
      <c r="D44" s="1"/>
      <c r="E44" s="1" t="s">
        <v>55</v>
      </c>
      <c r="F44" s="15"/>
      <c r="G44" s="16"/>
      <c r="H44" s="11"/>
      <c r="I44" s="7"/>
      <c r="J44" s="7" t="str">
        <f>IFERROR(LET(_xlpm.v,
VLOOKUP($I44,'用語辞書'!$A:$B,COLUMN('用語辞書'!B$1),FALSE),
IF(_xlpm.v=0,"",_xlpm.v)
),"")</f>
        <v/>
      </c>
      <c r="K44" s="17"/>
      <c r="L44" s="17" t="b">
        <f>IF(OR(COUNTIF('クラス'!$A$1:$A$1267,$B44)&gt;0,$B44="",$M44=""),"",True)</f>
        <v>1</v>
      </c>
      <c r="M44" s="1" t="str">
        <f t="shared" si="3"/>
        <v>存在しない</v>
      </c>
      <c r="N44" s="1" t="s">
        <v>29</v>
      </c>
      <c r="O44" s="1"/>
      <c r="P44" s="11"/>
      <c r="Q44" s="11"/>
      <c r="R44" s="11"/>
      <c r="S44" s="11"/>
      <c r="T44" s="1"/>
      <c r="U44" s="1"/>
      <c r="V44" s="1"/>
      <c r="W44" s="1"/>
      <c r="X44" s="1"/>
      <c r="Y44" s="1"/>
      <c r="Z44" s="1"/>
    </row>
    <row r="45" ht="18.0" hidden="1" customHeight="1" outlineLevel="1">
      <c r="A45" s="1"/>
      <c r="B45" s="19" t="s">
        <v>64</v>
      </c>
      <c r="C45" s="1"/>
      <c r="D45" s="1"/>
      <c r="E45" s="1" t="s">
        <v>55</v>
      </c>
      <c r="F45" s="15"/>
      <c r="G45" s="16"/>
      <c r="H45" s="11"/>
      <c r="I45" s="7"/>
      <c r="J45" s="7" t="str">
        <f>IFERROR(LET(_xlpm.v,
VLOOKUP($I45,'用語辞書'!$A:$B,COLUMN('用語辞書'!B$1),FALSE),
IF(_xlpm.v=0,"",_xlpm.v)
),"")</f>
        <v/>
      </c>
      <c r="K45" s="17"/>
      <c r="L45" s="17" t="b">
        <f>IF(OR(COUNTIF('クラス'!$A$1:$A$1267,$B45)&gt;0,$B45="",$M45=""),"",True)</f>
        <v>1</v>
      </c>
      <c r="M45" s="1" t="str">
        <f t="shared" si="3"/>
        <v>存在しない</v>
      </c>
      <c r="N45" s="1" t="s">
        <v>29</v>
      </c>
      <c r="O45" s="1"/>
      <c r="P45" s="11"/>
      <c r="Q45" s="11"/>
      <c r="R45" s="11"/>
      <c r="S45" s="11"/>
      <c r="T45" s="1"/>
      <c r="U45" s="1"/>
      <c r="V45" s="1"/>
      <c r="W45" s="1"/>
      <c r="X45" s="1"/>
      <c r="Y45" s="1"/>
      <c r="Z45" s="1"/>
    </row>
    <row r="46" ht="18.0" hidden="1" customHeight="1" outlineLevel="1">
      <c r="A46" s="1"/>
      <c r="B46" s="19" t="s">
        <v>65</v>
      </c>
      <c r="C46" s="1"/>
      <c r="D46" s="1"/>
      <c r="E46" s="1" t="s">
        <v>55</v>
      </c>
      <c r="F46" s="15"/>
      <c r="G46" s="16"/>
      <c r="H46" s="11"/>
      <c r="I46" s="7"/>
      <c r="J46" s="7" t="str">
        <f>IFERROR(LET(_xlpm.v,
VLOOKUP($I46,'用語辞書'!$A:$B,COLUMN('用語辞書'!B$1),FALSE),
IF(_xlpm.v=0,"",_xlpm.v)
),"")</f>
        <v/>
      </c>
      <c r="K46" s="17"/>
      <c r="L46" s="17" t="b">
        <f>IF(OR(COUNTIF('クラス'!$A$1:$A$1267,$B46)&gt;0,$B46="",$M46=""),"",True)</f>
        <v>1</v>
      </c>
      <c r="M46" s="1" t="str">
        <f t="shared" si="3"/>
        <v>存在しない</v>
      </c>
      <c r="N46" s="1" t="s">
        <v>29</v>
      </c>
      <c r="O46" s="1"/>
      <c r="P46" s="11"/>
      <c r="Q46" s="11"/>
      <c r="R46" s="11"/>
      <c r="S46" s="11"/>
      <c r="T46" s="1"/>
      <c r="U46" s="1"/>
      <c r="V46" s="1"/>
      <c r="W46" s="1"/>
      <c r="X46" s="1"/>
      <c r="Y46" s="1"/>
      <c r="Z46" s="1"/>
    </row>
    <row r="47" ht="18.0" hidden="1" customHeight="1" outlineLevel="1">
      <c r="A47" s="1"/>
      <c r="B47" s="19" t="s">
        <v>66</v>
      </c>
      <c r="C47" s="1"/>
      <c r="D47" s="1"/>
      <c r="E47" s="1" t="s">
        <v>55</v>
      </c>
      <c r="F47" s="15"/>
      <c r="G47" s="16"/>
      <c r="H47" s="11"/>
      <c r="I47" s="7"/>
      <c r="J47" s="7" t="str">
        <f>IFERROR(LET(_xlpm.v,
VLOOKUP($I47,'用語辞書'!$A:$B,COLUMN('用語辞書'!B$1),FALSE),
IF(_xlpm.v=0,"",_xlpm.v)
),"")</f>
        <v/>
      </c>
      <c r="K47" s="17"/>
      <c r="L47" s="17" t="b">
        <f>IF(OR(COUNTIF('クラス'!$A$1:$A$1267,$B47)&gt;0,$B47="",$M47=""),"",True)</f>
        <v>1</v>
      </c>
      <c r="M47" s="1" t="str">
        <f t="shared" si="3"/>
        <v>存在しない</v>
      </c>
      <c r="N47" s="1" t="s">
        <v>29</v>
      </c>
      <c r="O47" s="1"/>
      <c r="P47" s="11"/>
      <c r="Q47" s="11"/>
      <c r="R47" s="11"/>
      <c r="S47" s="11"/>
      <c r="T47" s="1"/>
      <c r="U47" s="1"/>
      <c r="V47" s="1"/>
      <c r="W47" s="1"/>
      <c r="X47" s="1"/>
      <c r="Y47" s="1"/>
      <c r="Z47" s="1"/>
    </row>
    <row r="48" ht="18.0" hidden="1" customHeight="1" outlineLevel="1">
      <c r="A48" s="1"/>
      <c r="B48" s="19" t="s">
        <v>67</v>
      </c>
      <c r="C48" s="1"/>
      <c r="D48" s="1"/>
      <c r="E48" s="1" t="s">
        <v>55</v>
      </c>
      <c r="F48" s="15"/>
      <c r="G48" s="16"/>
      <c r="H48" s="11"/>
      <c r="I48" s="7"/>
      <c r="J48" s="7" t="str">
        <f>IFERROR(LET(_xlpm.v,
VLOOKUP($I48,'用語辞書'!$A:$B,COLUMN('用語辞書'!B$1),FALSE),
IF(_xlpm.v=0,"",_xlpm.v)
),"")</f>
        <v/>
      </c>
      <c r="K48" s="17"/>
      <c r="L48" s="17" t="b">
        <f>IF(OR(COUNTIF('クラス'!$A$1:$A$1267,$B48)&gt;0,$B48="",$M48=""),"",True)</f>
        <v>1</v>
      </c>
      <c r="M48" s="1" t="str">
        <f t="shared" si="3"/>
        <v>存在しない</v>
      </c>
      <c r="N48" s="1" t="s">
        <v>29</v>
      </c>
      <c r="O48" s="1"/>
      <c r="P48" s="11"/>
      <c r="Q48" s="11"/>
      <c r="R48" s="11"/>
      <c r="S48" s="11"/>
      <c r="T48" s="1"/>
      <c r="U48" s="1"/>
      <c r="V48" s="1"/>
      <c r="W48" s="1"/>
      <c r="X48" s="1"/>
      <c r="Y48" s="1"/>
      <c r="Z48" s="1"/>
    </row>
    <row r="49" ht="18.0" hidden="1" customHeight="1" outlineLevel="1">
      <c r="A49" s="1"/>
      <c r="B49" s="19" t="s">
        <v>68</v>
      </c>
      <c r="C49" s="1"/>
      <c r="D49" s="1"/>
      <c r="E49" s="1" t="s">
        <v>55</v>
      </c>
      <c r="F49" s="15"/>
      <c r="G49" s="16"/>
      <c r="H49" s="11"/>
      <c r="I49" s="7"/>
      <c r="J49" s="7" t="str">
        <f>IFERROR(LET(_xlpm.v,
VLOOKUP($I49,'用語辞書'!$A:$B,COLUMN('用語辞書'!B$1),FALSE),
IF(_xlpm.v=0,"",_xlpm.v)
),"")</f>
        <v/>
      </c>
      <c r="K49" s="17"/>
      <c r="L49" s="17" t="b">
        <f>IF(OR(COUNTIF('クラス'!$A$1:$A$1267,$B49)&gt;0,$B49="",$M49=""),"",True)</f>
        <v>1</v>
      </c>
      <c r="M49" s="1" t="str">
        <f t="shared" si="3"/>
        <v>存在しない</v>
      </c>
      <c r="N49" s="1" t="s">
        <v>29</v>
      </c>
      <c r="O49" s="1"/>
      <c r="P49" s="11"/>
      <c r="Q49" s="11"/>
      <c r="R49" s="11"/>
      <c r="S49" s="11"/>
      <c r="T49" s="1"/>
      <c r="U49" s="1"/>
      <c r="V49" s="1"/>
      <c r="W49" s="1"/>
      <c r="X49" s="1"/>
      <c r="Y49" s="1"/>
      <c r="Z49" s="1"/>
    </row>
    <row r="50" ht="18.0" hidden="1" customHeight="1" outlineLevel="1">
      <c r="A50" s="1"/>
      <c r="B50" s="19" t="s">
        <v>69</v>
      </c>
      <c r="C50" s="1"/>
      <c r="D50" s="1"/>
      <c r="E50" s="1" t="s">
        <v>55</v>
      </c>
      <c r="F50" s="15"/>
      <c r="G50" s="16"/>
      <c r="H50" s="11"/>
      <c r="I50" s="7"/>
      <c r="J50" s="7" t="str">
        <f>IFERROR(LET(_xlpm.v,
VLOOKUP($I50,'用語辞書'!$A:$B,COLUMN('用語辞書'!B$1),FALSE),
IF(_xlpm.v=0,"",_xlpm.v)
),"")</f>
        <v/>
      </c>
      <c r="K50" s="17"/>
      <c r="L50" s="17" t="b">
        <f>IF(OR(COUNTIF('クラス'!$A$1:$A$1267,$B50)&gt;0,$B50="",$M50=""),"",True)</f>
        <v>1</v>
      </c>
      <c r="M50" s="1" t="str">
        <f t="shared" si="3"/>
        <v>存在しない</v>
      </c>
      <c r="N50" s="1" t="s">
        <v>29</v>
      </c>
      <c r="O50" s="1"/>
      <c r="P50" s="11"/>
      <c r="Q50" s="11"/>
      <c r="R50" s="11"/>
      <c r="S50" s="11"/>
      <c r="T50" s="1"/>
      <c r="U50" s="1"/>
      <c r="V50" s="1"/>
      <c r="W50" s="1"/>
      <c r="X50" s="1"/>
      <c r="Y50" s="1"/>
      <c r="Z50" s="1"/>
    </row>
    <row r="51" ht="18.0" hidden="1" customHeight="1" outlineLevel="1">
      <c r="A51" s="1"/>
      <c r="B51" s="19"/>
      <c r="C51" s="1"/>
      <c r="D51" s="1"/>
      <c r="E51" s="14"/>
      <c r="F51" s="15"/>
      <c r="G51" s="16"/>
      <c r="H51" s="11"/>
      <c r="I51" s="7"/>
      <c r="J51" s="7" t="str">
        <f>IFERROR(LET(_xlpm.v,
VLOOKUP($I51,'用語辞書'!$A:$B,COLUMN('用語辞書'!B$1),FALSE),
IF(_xlpm.v=0,"",_xlpm.v)
),"")</f>
        <v/>
      </c>
      <c r="K51" s="17"/>
      <c r="L51" s="17" t="str">
        <f>IF(OR(COUNTIF('クラス'!$A$1:$A$1267,$B51)&gt;0,$B51="",$M51=""),"",True)</f>
        <v/>
      </c>
      <c r="M51" s="1" t="str">
        <f t="shared" si="3"/>
        <v>存在しない</v>
      </c>
      <c r="N51" s="1" t="s">
        <v>29</v>
      </c>
      <c r="O51" s="1"/>
      <c r="P51" s="11"/>
      <c r="Q51" s="11"/>
      <c r="R51" s="11"/>
      <c r="S51" s="11"/>
      <c r="T51" s="1"/>
      <c r="U51" s="1"/>
      <c r="V51" s="1"/>
      <c r="W51" s="1"/>
      <c r="X51" s="1"/>
      <c r="Y51" s="1"/>
      <c r="Z51" s="1"/>
    </row>
    <row r="52" ht="18.0" hidden="1" customHeight="1" outlineLevel="1">
      <c r="A52" s="1"/>
      <c r="B52" s="19"/>
      <c r="C52" s="1"/>
      <c r="D52" s="1"/>
      <c r="E52" s="14"/>
      <c r="F52" s="15"/>
      <c r="G52" s="16"/>
      <c r="H52" s="11"/>
      <c r="I52" s="7"/>
      <c r="J52" s="7" t="str">
        <f>IFERROR(LET(_xlpm.v,
VLOOKUP($I52,'用語辞書'!$A:$B,COLUMN('用語辞書'!B$1),FALSE),
IF(_xlpm.v=0,"",_xlpm.v)
),"")</f>
        <v/>
      </c>
      <c r="K52" s="17"/>
      <c r="L52" s="17" t="str">
        <f>IF(OR(COUNTIF('クラス'!$A$1:$A$1267,$B52)&gt;0,$B52="",$M52=""),"",True)</f>
        <v/>
      </c>
      <c r="M52" s="1" t="str">
        <f t="shared" si="3"/>
        <v>存在しない</v>
      </c>
      <c r="N52" s="1" t="s">
        <v>29</v>
      </c>
      <c r="O52" s="1"/>
      <c r="P52" s="11"/>
      <c r="Q52" s="11"/>
      <c r="R52" s="11"/>
      <c r="S52" s="11"/>
      <c r="T52" s="1"/>
      <c r="U52" s="1"/>
      <c r="V52" s="1"/>
      <c r="W52" s="1"/>
      <c r="X52" s="1"/>
      <c r="Y52" s="1"/>
      <c r="Z52" s="1"/>
    </row>
    <row r="53" ht="18.0" hidden="1" customHeight="1" outlineLevel="1">
      <c r="A53" s="1"/>
      <c r="B53" s="19"/>
      <c r="C53" s="1"/>
      <c r="D53" s="1"/>
      <c r="E53" s="14"/>
      <c r="F53" s="15"/>
      <c r="G53" s="16"/>
      <c r="H53" s="11"/>
      <c r="I53" s="7"/>
      <c r="J53" s="7" t="str">
        <f>IFERROR(LET(_xlpm.v,
VLOOKUP($I53,'用語辞書'!$A:$B,COLUMN('用語辞書'!B$1),FALSE),
IF(_xlpm.v=0,"",_xlpm.v)
),"")</f>
        <v/>
      </c>
      <c r="K53" s="17"/>
      <c r="L53" s="17" t="str">
        <f>IF(OR(COUNTIF('クラス'!$A$1:$A$1267,$B53)&gt;0,$B53="",$M53=""),"",True)</f>
        <v/>
      </c>
      <c r="M53" s="1" t="str">
        <f t="shared" si="3"/>
        <v>存在しない</v>
      </c>
      <c r="N53" s="1" t="s">
        <v>29</v>
      </c>
      <c r="O53" s="1"/>
      <c r="P53" s="11"/>
      <c r="Q53" s="11"/>
      <c r="R53" s="11"/>
      <c r="S53" s="11"/>
      <c r="T53" s="1"/>
      <c r="U53" s="1"/>
      <c r="V53" s="1"/>
      <c r="W53" s="1"/>
      <c r="X53" s="1"/>
      <c r="Y53" s="1"/>
      <c r="Z53" s="1"/>
    </row>
    <row r="54" ht="18.0" hidden="1" customHeight="1" outlineLevel="1">
      <c r="A54" s="1"/>
      <c r="B54" s="19"/>
      <c r="C54" s="1"/>
      <c r="D54" s="1"/>
      <c r="E54" s="14"/>
      <c r="F54" s="15"/>
      <c r="G54" s="16"/>
      <c r="H54" s="11"/>
      <c r="I54" s="7"/>
      <c r="J54" s="7" t="str">
        <f>IFERROR(LET(_xlpm.v,
VLOOKUP($I54,'用語辞書'!$A:$B,COLUMN('用語辞書'!B$1),FALSE),
IF(_xlpm.v=0,"",_xlpm.v)
),"")</f>
        <v/>
      </c>
      <c r="K54" s="17"/>
      <c r="L54" s="17" t="str">
        <f>IF(OR(COUNTIF('クラス'!$A$1:$A$1267,$B54)&gt;0,$B54="",$M54=""),"",True)</f>
        <v/>
      </c>
      <c r="M54" s="1" t="str">
        <f t="shared" si="3"/>
        <v>存在しない</v>
      </c>
      <c r="N54" s="1" t="s">
        <v>29</v>
      </c>
      <c r="O54" s="1"/>
      <c r="P54" s="11"/>
      <c r="Q54" s="11"/>
      <c r="R54" s="11"/>
      <c r="S54" s="11"/>
      <c r="T54" s="1"/>
      <c r="U54" s="1"/>
      <c r="V54" s="1"/>
      <c r="W54" s="1"/>
      <c r="X54" s="1"/>
      <c r="Y54" s="1"/>
      <c r="Z54" s="1"/>
    </row>
    <row r="55" ht="18.0" hidden="1" customHeight="1" outlineLevel="1">
      <c r="A55" s="1"/>
      <c r="B55" s="19"/>
      <c r="C55" s="1"/>
      <c r="D55" s="1"/>
      <c r="E55" s="14"/>
      <c r="F55" s="15"/>
      <c r="G55" s="16"/>
      <c r="H55" s="11"/>
      <c r="I55" s="7"/>
      <c r="J55" s="7" t="str">
        <f>IFERROR(LET(_xlpm.v,
VLOOKUP($I55,'用語辞書'!$A:$B,COLUMN('用語辞書'!B$1),FALSE),
IF(_xlpm.v=0,"",_xlpm.v)
),"")</f>
        <v/>
      </c>
      <c r="K55" s="17"/>
      <c r="L55" s="17" t="str">
        <f>IF(OR(COUNTIF('クラス'!$A$1:$A$1267,$B55)&gt;0,$B55="",$M55=""),"",True)</f>
        <v/>
      </c>
      <c r="M55" s="1" t="str">
        <f t="shared" si="3"/>
        <v>存在しない</v>
      </c>
      <c r="N55" s="1" t="s">
        <v>29</v>
      </c>
      <c r="O55" s="1"/>
      <c r="P55" s="11"/>
      <c r="Q55" s="11"/>
      <c r="R55" s="11"/>
      <c r="S55" s="11"/>
      <c r="T55" s="1"/>
      <c r="U55" s="1"/>
      <c r="V55" s="1"/>
      <c r="W55" s="1"/>
      <c r="X55" s="1"/>
      <c r="Y55" s="1"/>
      <c r="Z55" s="1"/>
    </row>
    <row r="56" ht="18.0" hidden="1" customHeight="1" outlineLevel="1">
      <c r="A56" s="1"/>
      <c r="B56" s="19"/>
      <c r="C56" s="1"/>
      <c r="D56" s="1"/>
      <c r="E56" s="14"/>
      <c r="F56" s="15"/>
      <c r="G56" s="16"/>
      <c r="H56" s="11"/>
      <c r="I56" s="7"/>
      <c r="J56" s="7" t="str">
        <f>IFERROR(LET(_xlpm.v,
VLOOKUP($I56,'用語辞書'!$A:$B,COLUMN('用語辞書'!B$1),FALSE),
IF(_xlpm.v=0,"",_xlpm.v)
),"")</f>
        <v/>
      </c>
      <c r="K56" s="17"/>
      <c r="L56" s="17" t="str">
        <f>IF(OR(COUNTIF('クラス'!$A$1:$A$1267,$B56)&gt;0,$B56="",$M56=""),"",True)</f>
        <v/>
      </c>
      <c r="M56" s="1" t="str">
        <f t="shared" si="3"/>
        <v>存在しない</v>
      </c>
      <c r="N56" s="1" t="s">
        <v>29</v>
      </c>
      <c r="O56" s="1"/>
      <c r="P56" s="11"/>
      <c r="Q56" s="11"/>
      <c r="R56" s="11"/>
      <c r="S56" s="11"/>
      <c r="T56" s="1"/>
      <c r="U56" s="1"/>
      <c r="V56" s="1"/>
      <c r="W56" s="1"/>
      <c r="X56" s="1"/>
      <c r="Y56" s="1"/>
      <c r="Z56" s="1"/>
    </row>
    <row r="57" ht="18.0" hidden="1" customHeight="1" outlineLevel="1">
      <c r="A57" s="1"/>
      <c r="B57" s="19"/>
      <c r="C57" s="1"/>
      <c r="D57" s="1"/>
      <c r="E57" s="14"/>
      <c r="F57" s="15"/>
      <c r="G57" s="16"/>
      <c r="H57" s="11"/>
      <c r="I57" s="7"/>
      <c r="J57" s="7" t="str">
        <f>IFERROR(LET(_xlpm.v,
VLOOKUP($I57,'用語辞書'!$A:$B,COLUMN('用語辞書'!B$1),FALSE),
IF(_xlpm.v=0,"",_xlpm.v)
),"")</f>
        <v/>
      </c>
      <c r="K57" s="17"/>
      <c r="L57" s="17" t="str">
        <f>IF(OR(COUNTIF('クラス'!$A$1:$A$1267,$B57)&gt;0,$B57="",$M57=""),"",True)</f>
        <v/>
      </c>
      <c r="M57" s="1" t="str">
        <f t="shared" si="3"/>
        <v>存在しない</v>
      </c>
      <c r="N57" s="1" t="s">
        <v>29</v>
      </c>
      <c r="O57" s="1"/>
      <c r="P57" s="11"/>
      <c r="Q57" s="11"/>
      <c r="R57" s="11"/>
      <c r="S57" s="11"/>
      <c r="T57" s="1"/>
      <c r="U57" s="1"/>
      <c r="V57" s="1"/>
      <c r="W57" s="1"/>
      <c r="X57" s="1"/>
      <c r="Y57" s="1"/>
      <c r="Z57" s="1"/>
    </row>
    <row r="58" ht="18.0" hidden="1" customHeight="1" outlineLevel="1">
      <c r="A58" s="1"/>
      <c r="B58" s="1"/>
      <c r="C58" s="1"/>
      <c r="D58" s="1"/>
      <c r="E58" s="14"/>
      <c r="F58" s="15"/>
      <c r="G58" s="16"/>
      <c r="H58" s="11"/>
      <c r="I58" s="7"/>
      <c r="J58" s="7" t="str">
        <f>IFERROR(LET(_xlpm.v,
VLOOKUP($I58,'用語辞書'!$A:$B,COLUMN('用語辞書'!B$1),FALSE),
IF(_xlpm.v=0,"",_xlpm.v)
),"")</f>
        <v/>
      </c>
      <c r="K58" s="17"/>
      <c r="L58" s="17" t="str">
        <f>IF(OR(COUNTIF('クラス'!$A$1:$A$1267,$B58)&gt;0,$B58="",$M58=""),"",True)</f>
        <v/>
      </c>
      <c r="M58" s="1" t="str">
        <f t="shared" si="3"/>
        <v>存在しない</v>
      </c>
      <c r="N58" s="1" t="s">
        <v>29</v>
      </c>
      <c r="O58" s="1"/>
      <c r="P58" s="11"/>
      <c r="Q58" s="11"/>
      <c r="R58" s="11"/>
      <c r="S58" s="11"/>
      <c r="T58" s="1"/>
      <c r="U58" s="1"/>
      <c r="V58" s="1"/>
      <c r="W58" s="1"/>
      <c r="X58" s="1"/>
      <c r="Y58" s="1"/>
      <c r="Z58" s="1"/>
    </row>
    <row r="59" ht="18.0" hidden="1" customHeight="1" outlineLevel="1">
      <c r="A59" s="1"/>
      <c r="B59" s="1"/>
      <c r="C59" s="1"/>
      <c r="D59" s="1"/>
      <c r="E59" s="14"/>
      <c r="F59" s="15"/>
      <c r="G59" s="16"/>
      <c r="H59" s="11"/>
      <c r="I59" s="7"/>
      <c r="J59" s="7" t="str">
        <f>IFERROR(LET(_xlpm.v,
VLOOKUP($I59,'用語辞書'!$A:$B,COLUMN('用語辞書'!B$1),FALSE),
IF(_xlpm.v=0,"",_xlpm.v)
),"")</f>
        <v/>
      </c>
      <c r="K59" s="17"/>
      <c r="L59" s="17" t="str">
        <f>IF(OR(COUNTIF('クラス'!$A$1:$A$1267,$B59)&gt;0,$B59="",$M59=""),"",True)</f>
        <v/>
      </c>
      <c r="M59" s="1" t="str">
        <f t="shared" si="3"/>
        <v>存在しない</v>
      </c>
      <c r="N59" s="1" t="s">
        <v>29</v>
      </c>
      <c r="O59" s="1"/>
      <c r="P59" s="11"/>
      <c r="Q59" s="11"/>
      <c r="R59" s="11"/>
      <c r="S59" s="11"/>
      <c r="T59" s="1"/>
      <c r="U59" s="1"/>
      <c r="V59" s="1"/>
      <c r="W59" s="1"/>
      <c r="X59" s="1"/>
      <c r="Y59" s="1"/>
      <c r="Z59" s="1"/>
    </row>
    <row r="60" ht="18.0" customHeight="1" collapsed="1">
      <c r="A60" s="1"/>
      <c r="B60" s="1"/>
      <c r="C60" s="1"/>
      <c r="D60" s="1"/>
      <c r="E60" s="14"/>
      <c r="F60" s="15"/>
      <c r="G60" s="16"/>
      <c r="H60" s="11"/>
      <c r="I60" s="7"/>
      <c r="J60" s="7"/>
      <c r="K60" s="17"/>
      <c r="L60" s="17" t="str">
        <f>IF(OR(COUNTIF('クラス'!$A$1:$A$1267,$B60)&gt;0,$B60="",$M60=""),"",True)</f>
        <v/>
      </c>
      <c r="M60" s="1"/>
      <c r="N60" s="1"/>
      <c r="O60" s="1"/>
      <c r="P60" s="11"/>
      <c r="Q60" s="11"/>
      <c r="R60" s="11"/>
      <c r="S60" s="11"/>
      <c r="T60" s="1"/>
      <c r="U60" s="1"/>
      <c r="V60" s="1"/>
      <c r="W60" s="1"/>
      <c r="X60" s="1"/>
      <c r="Y60" s="1"/>
      <c r="Z60" s="1"/>
    </row>
    <row r="61" ht="18.0" customHeight="1">
      <c r="A61" s="1"/>
      <c r="B61" s="25" t="s">
        <v>70</v>
      </c>
      <c r="C61" s="1" t="str">
        <f>"------------地形 ------------"</f>
        <v>------------地形 ------------</v>
      </c>
      <c r="D61" s="1"/>
      <c r="E61" s="14"/>
      <c r="F61" s="15"/>
      <c r="G61" s="16"/>
      <c r="H61" s="11"/>
      <c r="I61" s="7"/>
      <c r="J61" s="7" t="str">
        <f>IFERROR(LET(_xlpm.v,
VLOOKUP($I61,'用語辞書'!$A:$B,COLUMN('用語辞書'!B$1),FALSE),
IF(_xlpm.v=0,"",_xlpm.v)
),"")</f>
        <v/>
      </c>
      <c r="K61" s="17"/>
      <c r="L61" s="17" t="str">
        <f>IF(OR(COUNTIF('クラス'!$A$1:$A$1267,$B61)&gt;0,$B61="",$M61=""),"",True)</f>
        <v/>
      </c>
      <c r="M61" s="1" t="str">
        <f t="shared" ref="M61:M62" si="4">IF(COUNTIF($B$1:$C33, $B61), "", "存在しない")</f>
        <v>存在しない</v>
      </c>
      <c r="N61" s="1" t="s">
        <v>29</v>
      </c>
      <c r="O61" s="1"/>
      <c r="P61" s="11"/>
      <c r="Q61" s="11"/>
      <c r="R61" s="11"/>
      <c r="S61" s="11"/>
      <c r="T61" s="1"/>
      <c r="U61" s="1"/>
      <c r="V61" s="1"/>
      <c r="W61" s="1"/>
      <c r="X61" s="1"/>
      <c r="Y61" s="1"/>
      <c r="Z61" s="1"/>
    </row>
    <row r="62" ht="18.0" hidden="1" customHeight="1" outlineLevel="1">
      <c r="A62" s="1">
        <v>1.0</v>
      </c>
      <c r="B62" s="24" t="str">
        <f t="shared" ref="B62:B77" si="5">C62&amp;"化"</f>
        <v>平地化</v>
      </c>
      <c r="C62" s="24" t="s">
        <v>54</v>
      </c>
      <c r="D62" s="1"/>
      <c r="E62" s="1" t="s">
        <v>33</v>
      </c>
      <c r="F62" s="15"/>
      <c r="G62" s="16">
        <v>50.0</v>
      </c>
      <c r="H62" s="11" t="str">
        <f t="shared" ref="H62:H66" si="6">"攻撃手段:魔法 効果:"&amp;C62&amp;"_変換"&amp;" 射程:20"</f>
        <v>攻撃手段:魔法 効果:平地_変換 射程:20</v>
      </c>
      <c r="I62" s="7"/>
      <c r="J62" s="7" t="str">
        <f>IFERROR(LET(_xlpm.v,
VLOOKUP($I62,'用語辞書'!$A:$B,COLUMN('用語辞書'!B$1),FALSE),
IF(_xlpm.v=0,"",_xlpm.v)
),"")</f>
        <v/>
      </c>
      <c r="K62" s="17"/>
      <c r="L62" s="17" t="b">
        <f>IF(OR(COUNTIF('クラス'!$A$1:$A$1267,$B62)&gt;0,$B62="",$M62=""),"",True)</f>
        <v>1</v>
      </c>
      <c r="M62" s="1" t="str">
        <f t="shared" si="4"/>
        <v>存在しない</v>
      </c>
      <c r="N62" s="1" t="s">
        <v>29</v>
      </c>
      <c r="O62" s="1"/>
      <c r="P62" s="11"/>
      <c r="Q62" s="11"/>
      <c r="R62" s="11"/>
      <c r="S62" s="11"/>
      <c r="T62" s="1"/>
      <c r="U62" s="1"/>
      <c r="V62" s="1"/>
      <c r="W62" s="1"/>
      <c r="X62" s="1"/>
      <c r="Y62" s="1"/>
      <c r="Z62" s="1"/>
    </row>
    <row r="63" ht="18.0" hidden="1" customHeight="1" outlineLevel="1">
      <c r="A63" s="1">
        <v>2.0</v>
      </c>
      <c r="B63" s="24" t="str">
        <f t="shared" si="5"/>
        <v>森化</v>
      </c>
      <c r="C63" s="19" t="s">
        <v>56</v>
      </c>
      <c r="D63" s="1"/>
      <c r="E63" s="1" t="s">
        <v>33</v>
      </c>
      <c r="F63" s="15"/>
      <c r="G63" s="16">
        <v>50.0</v>
      </c>
      <c r="H63" s="11" t="str">
        <f t="shared" si="6"/>
        <v>攻撃手段:魔法 効果:森_変換 射程:20</v>
      </c>
      <c r="I63" s="7"/>
      <c r="J63" s="7" t="str">
        <f>IFERROR(LET(_xlpm.v,
VLOOKUP($I63,'用語辞書'!$A:$B,COLUMN('用語辞書'!B$1),FALSE),
IF(_xlpm.v=0,"",_xlpm.v)
),"")</f>
        <v/>
      </c>
      <c r="K63" s="17"/>
      <c r="L63" s="17" t="b">
        <f>IF(OR(COUNTIF('クラス'!$A$1:$A$1267,$B63)&gt;0,$B63="",$M63=""),"",True)</f>
        <v>1</v>
      </c>
      <c r="M63" s="1" t="str">
        <f t="shared" ref="M63:M85" si="7">IF(COUNTIF($B$1:$C61, $B63), "", "存在しない")</f>
        <v>存在しない</v>
      </c>
      <c r="N63" s="1" t="s">
        <v>29</v>
      </c>
      <c r="O63" s="1"/>
      <c r="P63" s="11"/>
      <c r="Q63" s="11"/>
      <c r="R63" s="11"/>
      <c r="S63" s="11"/>
      <c r="T63" s="1"/>
      <c r="U63" s="1"/>
      <c r="V63" s="1"/>
      <c r="W63" s="1"/>
      <c r="X63" s="1"/>
      <c r="Y63" s="1"/>
      <c r="Z63" s="1"/>
    </row>
    <row r="64" ht="18.0" hidden="1" customHeight="1" outlineLevel="1">
      <c r="A64" s="1">
        <v>3.0</v>
      </c>
      <c r="B64" s="24" t="str">
        <f t="shared" si="5"/>
        <v>山岳化</v>
      </c>
      <c r="C64" s="19" t="s">
        <v>57</v>
      </c>
      <c r="D64" s="1"/>
      <c r="E64" s="1" t="s">
        <v>33</v>
      </c>
      <c r="F64" s="15"/>
      <c r="G64" s="16">
        <v>50.0</v>
      </c>
      <c r="H64" s="11" t="str">
        <f t="shared" si="6"/>
        <v>攻撃手段:魔法 効果:山岳_変換 射程:20</v>
      </c>
      <c r="I64" s="7"/>
      <c r="J64" s="7" t="str">
        <f>IFERROR(LET(_xlpm.v,
VLOOKUP($I64,'用語辞書'!$A:$B,COLUMN('用語辞書'!B$1),FALSE),
IF(_xlpm.v=0,"",_xlpm.v)
),"")</f>
        <v/>
      </c>
      <c r="K64" s="17"/>
      <c r="L64" s="17" t="b">
        <f>IF(OR(COUNTIF('クラス'!$A$1:$A$1267,$B64)&gt;0,$B64="",$M64=""),"",True)</f>
        <v>1</v>
      </c>
      <c r="M64" s="1" t="str">
        <f t="shared" si="7"/>
        <v>存在しない</v>
      </c>
      <c r="N64" s="1" t="s">
        <v>29</v>
      </c>
      <c r="O64" s="1"/>
      <c r="P64" s="11"/>
      <c r="Q64" s="11"/>
      <c r="R64" s="11"/>
      <c r="S64" s="11"/>
      <c r="T64" s="1"/>
      <c r="U64" s="1"/>
      <c r="V64" s="1"/>
      <c r="W64" s="1"/>
      <c r="X64" s="1"/>
      <c r="Y64" s="1"/>
      <c r="Z64" s="1"/>
    </row>
    <row r="65" ht="18.0" hidden="1" customHeight="1" outlineLevel="1">
      <c r="A65" s="1">
        <v>4.0</v>
      </c>
      <c r="B65" s="24" t="str">
        <f t="shared" si="5"/>
        <v>丘陵化</v>
      </c>
      <c r="C65" s="19" t="s">
        <v>58</v>
      </c>
      <c r="D65" s="1"/>
      <c r="E65" s="1" t="s">
        <v>33</v>
      </c>
      <c r="F65" s="15"/>
      <c r="G65" s="16">
        <v>50.0</v>
      </c>
      <c r="H65" s="11" t="str">
        <f t="shared" si="6"/>
        <v>攻撃手段:魔法 効果:丘陵_変換 射程:20</v>
      </c>
      <c r="I65" s="7"/>
      <c r="J65" s="7" t="str">
        <f>IFERROR(LET(_xlpm.v,
VLOOKUP($I65,'用語辞書'!$A:$B,COLUMN('用語辞書'!B$1),FALSE),
IF(_xlpm.v=0,"",_xlpm.v)
),"")</f>
        <v/>
      </c>
      <c r="K65" s="17"/>
      <c r="L65" s="17" t="b">
        <f>IF(OR(COUNTIF('クラス'!$A$1:$A$1267,$B65)&gt;0,$B65="",$M65=""),"",True)</f>
        <v>1</v>
      </c>
      <c r="M65" s="1" t="str">
        <f t="shared" si="7"/>
        <v>存在しない</v>
      </c>
      <c r="N65" s="1" t="s">
        <v>29</v>
      </c>
      <c r="O65" s="1"/>
      <c r="P65" s="11"/>
      <c r="Q65" s="11"/>
      <c r="R65" s="11"/>
      <c r="S65" s="11"/>
      <c r="T65" s="1"/>
      <c r="U65" s="1"/>
      <c r="V65" s="1"/>
      <c r="W65" s="1"/>
      <c r="X65" s="1"/>
      <c r="Y65" s="1"/>
      <c r="Z65" s="1"/>
    </row>
    <row r="66" ht="18.0" hidden="1" customHeight="1" outlineLevel="1">
      <c r="A66" s="1">
        <v>5.0</v>
      </c>
      <c r="B66" s="24" t="str">
        <f t="shared" si="5"/>
        <v>河川化</v>
      </c>
      <c r="C66" s="19" t="s">
        <v>59</v>
      </c>
      <c r="D66" s="1"/>
      <c r="E66" s="1" t="s">
        <v>33</v>
      </c>
      <c r="F66" s="15"/>
      <c r="G66" s="16">
        <v>50.0</v>
      </c>
      <c r="H66" s="11" t="str">
        <f t="shared" si="6"/>
        <v>攻撃手段:魔法 効果:河川_変換 射程:20</v>
      </c>
      <c r="I66" s="7"/>
      <c r="J66" s="7" t="str">
        <f>IFERROR(LET(_xlpm.v,
VLOOKUP($I66,'用語辞書'!$A:$B,COLUMN('用語辞書'!B$1),FALSE),
IF(_xlpm.v=0,"",_xlpm.v)
),"")</f>
        <v/>
      </c>
      <c r="K66" s="17"/>
      <c r="L66" s="17" t="b">
        <f>IF(OR(COUNTIF('クラス'!$A$1:$A$1267,$B66)&gt;0,$B66="",$M66=""),"",True)</f>
        <v>1</v>
      </c>
      <c r="M66" s="1" t="str">
        <f t="shared" si="7"/>
        <v>存在しない</v>
      </c>
      <c r="N66" s="1" t="s">
        <v>29</v>
      </c>
      <c r="O66" s="1"/>
      <c r="P66" s="11"/>
      <c r="Q66" s="11"/>
      <c r="R66" s="11"/>
      <c r="S66" s="11"/>
      <c r="T66" s="1"/>
      <c r="U66" s="1"/>
      <c r="V66" s="1"/>
      <c r="W66" s="1"/>
      <c r="X66" s="1"/>
      <c r="Y66" s="1"/>
      <c r="Z66" s="1"/>
    </row>
    <row r="67" ht="18.0" hidden="1" customHeight="1" outlineLevel="1">
      <c r="A67" s="1">
        <v>6.0</v>
      </c>
      <c r="B67" s="24" t="str">
        <f t="shared" si="5"/>
        <v>湖化</v>
      </c>
      <c r="C67" s="19" t="s">
        <v>60</v>
      </c>
      <c r="D67" s="1"/>
      <c r="E67" s="1" t="s">
        <v>33</v>
      </c>
      <c r="F67" s="15"/>
      <c r="G67" s="16">
        <v>50.0</v>
      </c>
      <c r="H67" s="11" t="str">
        <f>"攻撃手段:魔法 効果:"&amp;C67&amp;"_変換"&amp;" 射程:20 炸裂:10"</f>
        <v>攻撃手段:魔法 効果:湖_変換 射程:20 炸裂:10</v>
      </c>
      <c r="I67" s="7"/>
      <c r="J67" s="7" t="str">
        <f>IFERROR(LET(_xlpm.v,
VLOOKUP($I67,'用語辞書'!$A:$B,COLUMN('用語辞書'!B$1),FALSE),
IF(_xlpm.v=0,"",_xlpm.v)
),"")</f>
        <v/>
      </c>
      <c r="K67" s="17"/>
      <c r="L67" s="17" t="b">
        <f>IF(OR(COUNTIF('クラス'!$A$1:$A$1267,$B67)&gt;0,$B67="",$M67=""),"",True)</f>
        <v>1</v>
      </c>
      <c r="M67" s="1" t="str">
        <f t="shared" si="7"/>
        <v>存在しない</v>
      </c>
      <c r="N67" s="1" t="s">
        <v>29</v>
      </c>
      <c r="O67" s="1"/>
      <c r="P67" s="11"/>
      <c r="Q67" s="11"/>
      <c r="R67" s="11"/>
      <c r="S67" s="11"/>
      <c r="T67" s="1"/>
      <c r="U67" s="1"/>
      <c r="V67" s="1"/>
      <c r="W67" s="1"/>
      <c r="X67" s="1"/>
      <c r="Y67" s="1"/>
      <c r="Z67" s="1"/>
    </row>
    <row r="68" ht="18.0" hidden="1" customHeight="1" outlineLevel="1">
      <c r="A68" s="1">
        <v>7.0</v>
      </c>
      <c r="B68" s="24" t="str">
        <f t="shared" si="5"/>
        <v>海化</v>
      </c>
      <c r="C68" s="19" t="s">
        <v>61</v>
      </c>
      <c r="D68" s="1"/>
      <c r="E68" s="1" t="s">
        <v>33</v>
      </c>
      <c r="F68" s="15"/>
      <c r="G68" s="16">
        <v>50.0</v>
      </c>
      <c r="H68" s="11" t="str">
        <f t="shared" ref="H68:H77" si="8">"攻撃手段:魔法 効果:"&amp;C68&amp;"_変換"&amp;" 射程:20"</f>
        <v>攻撃手段:魔法 効果:海_変換 射程:20</v>
      </c>
      <c r="I68" s="7"/>
      <c r="J68" s="7" t="str">
        <f>IFERROR(LET(_xlpm.v,
VLOOKUP($I68,'用語辞書'!$A:$B,COLUMN('用語辞書'!B$1),FALSE),
IF(_xlpm.v=0,"",_xlpm.v)
),"")</f>
        <v/>
      </c>
      <c r="K68" s="17"/>
      <c r="L68" s="17" t="b">
        <f>IF(OR(COUNTIF('クラス'!$A$1:$A$1267,$B68)&gt;0,$B68="",$M68=""),"",True)</f>
        <v>1</v>
      </c>
      <c r="M68" s="1" t="str">
        <f t="shared" si="7"/>
        <v>存在しない</v>
      </c>
      <c r="N68" s="1" t="s">
        <v>29</v>
      </c>
      <c r="O68" s="1"/>
      <c r="P68" s="11"/>
      <c r="Q68" s="11"/>
      <c r="R68" s="11"/>
      <c r="S68" s="11"/>
      <c r="T68" s="1"/>
      <c r="U68" s="1"/>
      <c r="V68" s="1"/>
      <c r="W68" s="1"/>
      <c r="X68" s="1"/>
      <c r="Y68" s="1"/>
      <c r="Z68" s="1"/>
    </row>
    <row r="69" ht="18.0" hidden="1" customHeight="1" outlineLevel="1">
      <c r="A69" s="1">
        <v>8.0</v>
      </c>
      <c r="B69" s="24" t="str">
        <f t="shared" si="5"/>
        <v>砂漠化</v>
      </c>
      <c r="C69" s="19" t="s">
        <v>62</v>
      </c>
      <c r="D69" s="1"/>
      <c r="E69" s="1" t="s">
        <v>33</v>
      </c>
      <c r="F69" s="15"/>
      <c r="G69" s="16">
        <v>50.0</v>
      </c>
      <c r="H69" s="11" t="str">
        <f t="shared" si="8"/>
        <v>攻撃手段:魔法 効果:砂漠_変換 射程:20</v>
      </c>
      <c r="I69" s="7"/>
      <c r="J69" s="7" t="str">
        <f>IFERROR(LET(_xlpm.v,
VLOOKUP($I69,'用語辞書'!$A:$B,COLUMN('用語辞書'!B$1),FALSE),
IF(_xlpm.v=0,"",_xlpm.v)
),"")</f>
        <v/>
      </c>
      <c r="K69" s="17"/>
      <c r="L69" s="17" t="b">
        <f>IF(OR(COUNTIF('クラス'!$A$1:$A$1267,$B69)&gt;0,$B69="",$M69=""),"",True)</f>
        <v>1</v>
      </c>
      <c r="M69" s="1" t="str">
        <f t="shared" si="7"/>
        <v>存在しない</v>
      </c>
      <c r="N69" s="1" t="s">
        <v>29</v>
      </c>
      <c r="O69" s="1"/>
      <c r="P69" s="11"/>
      <c r="Q69" s="11"/>
      <c r="R69" s="11"/>
      <c r="S69" s="11"/>
      <c r="T69" s="1"/>
      <c r="U69" s="1"/>
      <c r="V69" s="1"/>
      <c r="W69" s="1"/>
      <c r="X69" s="1"/>
      <c r="Y69" s="1"/>
      <c r="Z69" s="1"/>
    </row>
    <row r="70" ht="18.0" hidden="1" customHeight="1" outlineLevel="1">
      <c r="A70" s="1">
        <v>9.0</v>
      </c>
      <c r="B70" s="24" t="str">
        <f t="shared" si="5"/>
        <v>沼地化</v>
      </c>
      <c r="C70" s="19" t="s">
        <v>63</v>
      </c>
      <c r="D70" s="1"/>
      <c r="E70" s="1" t="s">
        <v>33</v>
      </c>
      <c r="F70" s="15"/>
      <c r="G70" s="16">
        <v>50.0</v>
      </c>
      <c r="H70" s="11" t="str">
        <f t="shared" si="8"/>
        <v>攻撃手段:魔法 効果:沼地_変換 射程:20</v>
      </c>
      <c r="I70" s="7"/>
      <c r="J70" s="7" t="str">
        <f>IFERROR(LET(_xlpm.v,
VLOOKUP($I70,'用語辞書'!$A:$B,COLUMN('用語辞書'!B$1),FALSE),
IF(_xlpm.v=0,"",_xlpm.v)
),"")</f>
        <v/>
      </c>
      <c r="K70" s="17"/>
      <c r="L70" s="17" t="b">
        <f>IF(OR(COUNTIF('クラス'!$A$1:$A$1267,$B70)&gt;0,$B70="",$M70=""),"",True)</f>
        <v>1</v>
      </c>
      <c r="M70" s="1" t="str">
        <f t="shared" si="7"/>
        <v>存在しない</v>
      </c>
      <c r="N70" s="1" t="s">
        <v>29</v>
      </c>
      <c r="O70" s="1"/>
      <c r="P70" s="11"/>
      <c r="Q70" s="11"/>
      <c r="R70" s="11"/>
      <c r="S70" s="11"/>
      <c r="T70" s="1"/>
      <c r="U70" s="1"/>
      <c r="V70" s="1"/>
      <c r="W70" s="1"/>
      <c r="X70" s="1"/>
      <c r="Y70" s="1"/>
      <c r="Z70" s="1"/>
    </row>
    <row r="71" ht="18.0" hidden="1" customHeight="1" outlineLevel="1">
      <c r="A71" s="1">
        <v>10.0</v>
      </c>
      <c r="B71" s="24" t="str">
        <f t="shared" si="5"/>
        <v>薬草繁茂化</v>
      </c>
      <c r="C71" s="19" t="s">
        <v>71</v>
      </c>
      <c r="D71" s="1"/>
      <c r="E71" s="1" t="s">
        <v>33</v>
      </c>
      <c r="F71" s="15"/>
      <c r="G71" s="16">
        <v>50.0</v>
      </c>
      <c r="H71" s="11" t="str">
        <f t="shared" si="8"/>
        <v>攻撃手段:魔法 効果:薬草繁茂_変換 射程:20</v>
      </c>
      <c r="I71" s="7"/>
      <c r="J71" s="7" t="str">
        <f>IFERROR(LET(_xlpm.v,
VLOOKUP($I71,'用語辞書'!$A:$B,COLUMN('用語辞書'!B$1),FALSE),
IF(_xlpm.v=0,"",_xlpm.v)
),"")</f>
        <v/>
      </c>
      <c r="K71" s="17"/>
      <c r="L71" s="17" t="b">
        <f>IF(OR(COUNTIF('クラス'!$A$1:$A$1267,$B71)&gt;0,$B71="",$M71=""),"",True)</f>
        <v>1</v>
      </c>
      <c r="M71" s="1" t="str">
        <f t="shared" si="7"/>
        <v>存在しない</v>
      </c>
      <c r="N71" s="1" t="s">
        <v>29</v>
      </c>
      <c r="O71" s="1"/>
      <c r="P71" s="11"/>
      <c r="Q71" s="11"/>
      <c r="R71" s="11"/>
      <c r="S71" s="11"/>
      <c r="T71" s="1"/>
      <c r="U71" s="1"/>
      <c r="V71" s="1"/>
      <c r="W71" s="1"/>
      <c r="X71" s="1"/>
      <c r="Y71" s="1"/>
      <c r="Z71" s="1"/>
    </row>
    <row r="72" ht="18.0" hidden="1" customHeight="1" outlineLevel="1">
      <c r="A72" s="1">
        <v>11.0</v>
      </c>
      <c r="B72" s="24" t="str">
        <f t="shared" si="5"/>
        <v>峡谷化</v>
      </c>
      <c r="C72" s="19" t="s">
        <v>64</v>
      </c>
      <c r="D72" s="1"/>
      <c r="E72" s="1" t="s">
        <v>33</v>
      </c>
      <c r="F72" s="15"/>
      <c r="G72" s="16">
        <v>50.0</v>
      </c>
      <c r="H72" s="11" t="str">
        <f t="shared" si="8"/>
        <v>攻撃手段:魔法 効果:峡谷_変換 射程:20</v>
      </c>
      <c r="I72" s="7"/>
      <c r="J72" s="7" t="str">
        <f>IFERROR(LET(_xlpm.v,
VLOOKUP($I72,'用語辞書'!$A:$B,COLUMN('用語辞書'!B$1),FALSE),
IF(_xlpm.v=0,"",_xlpm.v)
),"")</f>
        <v/>
      </c>
      <c r="K72" s="17"/>
      <c r="L72" s="17" t="b">
        <f>IF(OR(COUNTIF('クラス'!$A$1:$A$1267,$B72)&gt;0,$B72="",$M72=""),"",True)</f>
        <v>1</v>
      </c>
      <c r="M72" s="1" t="str">
        <f t="shared" si="7"/>
        <v>存在しない</v>
      </c>
      <c r="N72" s="1" t="s">
        <v>29</v>
      </c>
      <c r="O72" s="1"/>
      <c r="P72" s="11"/>
      <c r="Q72" s="11"/>
      <c r="R72" s="11"/>
      <c r="S72" s="11"/>
      <c r="T72" s="1"/>
      <c r="U72" s="1"/>
      <c r="V72" s="1"/>
      <c r="W72" s="1"/>
      <c r="X72" s="1"/>
      <c r="Y72" s="1"/>
      <c r="Z72" s="1"/>
    </row>
    <row r="73" ht="18.0" hidden="1" customHeight="1" outlineLevel="1">
      <c r="A73" s="1">
        <v>12.0</v>
      </c>
      <c r="B73" s="24" t="str">
        <f t="shared" si="5"/>
        <v>洞窟化</v>
      </c>
      <c r="C73" s="19" t="s">
        <v>65</v>
      </c>
      <c r="D73" s="1"/>
      <c r="E73" s="1" t="s">
        <v>33</v>
      </c>
      <c r="F73" s="15"/>
      <c r="G73" s="16">
        <v>50.0</v>
      </c>
      <c r="H73" s="11" t="str">
        <f t="shared" si="8"/>
        <v>攻撃手段:魔法 効果:洞窟_変換 射程:20</v>
      </c>
      <c r="I73" s="7"/>
      <c r="J73" s="7" t="str">
        <f>IFERROR(LET(_xlpm.v,
VLOOKUP($I73,'用語辞書'!$A:$B,COLUMN('用語辞書'!B$1),FALSE),
IF(_xlpm.v=0,"",_xlpm.v)
),"")</f>
        <v/>
      </c>
      <c r="K73" s="17"/>
      <c r="L73" s="17" t="b">
        <f>IF(OR(COUNTIF('クラス'!$A$1:$A$1267,$B73)&gt;0,$B73="",$M73=""),"",True)</f>
        <v>1</v>
      </c>
      <c r="M73" s="1" t="str">
        <f t="shared" si="7"/>
        <v>存在しない</v>
      </c>
      <c r="N73" s="1" t="s">
        <v>29</v>
      </c>
      <c r="O73" s="1"/>
      <c r="P73" s="11"/>
      <c r="Q73" s="11"/>
      <c r="R73" s="11"/>
      <c r="S73" s="11"/>
      <c r="T73" s="1"/>
      <c r="U73" s="1"/>
      <c r="V73" s="1"/>
      <c r="W73" s="1"/>
      <c r="X73" s="1"/>
      <c r="Y73" s="1"/>
      <c r="Z73" s="1"/>
    </row>
    <row r="74" ht="18.0" hidden="1" customHeight="1" outlineLevel="1">
      <c r="A74" s="1">
        <v>13.0</v>
      </c>
      <c r="B74" s="24" t="str">
        <f t="shared" si="5"/>
        <v>雪原化</v>
      </c>
      <c r="C74" s="19" t="s">
        <v>66</v>
      </c>
      <c r="D74" s="1"/>
      <c r="E74" s="1" t="s">
        <v>33</v>
      </c>
      <c r="F74" s="15"/>
      <c r="G74" s="16">
        <v>50.0</v>
      </c>
      <c r="H74" s="11" t="str">
        <f t="shared" si="8"/>
        <v>攻撃手段:魔法 効果:雪原_変換 射程:20</v>
      </c>
      <c r="I74" s="7"/>
      <c r="J74" s="7" t="str">
        <f>IFERROR(LET(_xlpm.v,
VLOOKUP($I74,'用語辞書'!$A:$B,COLUMN('用語辞書'!B$1),FALSE),
IF(_xlpm.v=0,"",_xlpm.v)
),"")</f>
        <v/>
      </c>
      <c r="K74" s="17"/>
      <c r="L74" s="17" t="b">
        <f>IF(OR(COUNTIF('クラス'!$A$1:$A$1267,$B74)&gt;0,$B74="",$M74=""),"",True)</f>
        <v>1</v>
      </c>
      <c r="M74" s="1" t="str">
        <f t="shared" si="7"/>
        <v>存在しない</v>
      </c>
      <c r="N74" s="1" t="s">
        <v>29</v>
      </c>
      <c r="O74" s="1"/>
      <c r="P74" s="11"/>
      <c r="Q74" s="11"/>
      <c r="R74" s="11"/>
      <c r="S74" s="11"/>
      <c r="T74" s="1"/>
      <c r="U74" s="1"/>
      <c r="V74" s="1"/>
      <c r="W74" s="1"/>
      <c r="X74" s="1"/>
      <c r="Y74" s="1"/>
      <c r="Z74" s="1"/>
    </row>
    <row r="75" ht="18.0" hidden="1" customHeight="1" outlineLevel="1">
      <c r="A75" s="1">
        <v>14.0</v>
      </c>
      <c r="B75" s="24" t="str">
        <f t="shared" si="5"/>
        <v>火山化</v>
      </c>
      <c r="C75" s="19" t="s">
        <v>67</v>
      </c>
      <c r="D75" s="1"/>
      <c r="E75" s="1" t="s">
        <v>33</v>
      </c>
      <c r="F75" s="15"/>
      <c r="G75" s="16">
        <v>50.0</v>
      </c>
      <c r="H75" s="11" t="str">
        <f t="shared" si="8"/>
        <v>攻撃手段:魔法 効果:火山_変換 射程:20</v>
      </c>
      <c r="I75" s="7"/>
      <c r="J75" s="7" t="str">
        <f>IFERROR(LET(_xlpm.v,
VLOOKUP($I75,'用語辞書'!$A:$B,COLUMN('用語辞書'!B$1),FALSE),
IF(_xlpm.v=0,"",_xlpm.v)
),"")</f>
        <v/>
      </c>
      <c r="K75" s="17"/>
      <c r="L75" s="17" t="b">
        <f>IF(OR(COUNTIF('クラス'!$A$1:$A$1267,$B75)&gt;0,$B75="",$M75=""),"",True)</f>
        <v>1</v>
      </c>
      <c r="M75" s="1" t="str">
        <f t="shared" si="7"/>
        <v>存在しない</v>
      </c>
      <c r="N75" s="1" t="s">
        <v>29</v>
      </c>
      <c r="O75" s="1"/>
      <c r="P75" s="11"/>
      <c r="Q75" s="11"/>
      <c r="R75" s="11"/>
      <c r="S75" s="11"/>
      <c r="T75" s="1"/>
      <c r="U75" s="1"/>
      <c r="V75" s="1"/>
      <c r="W75" s="1"/>
      <c r="X75" s="1"/>
      <c r="Y75" s="1"/>
      <c r="Z75" s="1"/>
    </row>
    <row r="76" ht="18.0" hidden="1" customHeight="1" outlineLevel="1">
      <c r="A76" s="1">
        <v>15.0</v>
      </c>
      <c r="B76" s="24" t="str">
        <f t="shared" si="5"/>
        <v>溶岩化</v>
      </c>
      <c r="C76" s="19" t="s">
        <v>68</v>
      </c>
      <c r="D76" s="1"/>
      <c r="E76" s="1" t="s">
        <v>33</v>
      </c>
      <c r="F76" s="15"/>
      <c r="G76" s="16">
        <v>50.0</v>
      </c>
      <c r="H76" s="11" t="str">
        <f t="shared" si="8"/>
        <v>攻撃手段:魔法 効果:溶岩_変換 射程:20</v>
      </c>
      <c r="I76" s="7"/>
      <c r="J76" s="7" t="str">
        <f>IFERROR(LET(_xlpm.v,
VLOOKUP($I76,'用語辞書'!$A:$B,COLUMN('用語辞書'!B$1),FALSE),
IF(_xlpm.v=0,"",_xlpm.v)
),"")</f>
        <v/>
      </c>
      <c r="K76" s="17"/>
      <c r="L76" s="17" t="b">
        <f>IF(OR(COUNTIF('クラス'!$A$1:$A$1267,$B76)&gt;0,$B76="",$M76=""),"",True)</f>
        <v>1</v>
      </c>
      <c r="M76" s="1" t="str">
        <f t="shared" si="7"/>
        <v>存在しない</v>
      </c>
      <c r="N76" s="1" t="s">
        <v>29</v>
      </c>
      <c r="O76" s="1"/>
      <c r="P76" s="11"/>
      <c r="Q76" s="11"/>
      <c r="R76" s="11"/>
      <c r="S76" s="11"/>
      <c r="T76" s="1"/>
      <c r="U76" s="1"/>
      <c r="V76" s="1"/>
      <c r="W76" s="1"/>
      <c r="X76" s="1"/>
      <c r="Y76" s="1"/>
      <c r="Z76" s="1"/>
    </row>
    <row r="77" ht="18.0" hidden="1" customHeight="1" outlineLevel="1">
      <c r="A77" s="1">
        <v>16.0</v>
      </c>
      <c r="B77" s="24" t="str">
        <f t="shared" si="5"/>
        <v>死の霧化</v>
      </c>
      <c r="C77" s="19" t="s">
        <v>69</v>
      </c>
      <c r="D77" s="1"/>
      <c r="E77" s="1" t="s">
        <v>33</v>
      </c>
      <c r="F77" s="15"/>
      <c r="G77" s="16">
        <v>50.0</v>
      </c>
      <c r="H77" s="11" t="str">
        <f t="shared" si="8"/>
        <v>攻撃手段:魔法 効果:死の霧_変換 射程:20</v>
      </c>
      <c r="I77" s="7"/>
      <c r="J77" s="7" t="str">
        <f>IFERROR(LET(_xlpm.v,
VLOOKUP($I77,'用語辞書'!$A:$B,COLUMN('用語辞書'!B$1),FALSE),
IF(_xlpm.v=0,"",_xlpm.v)
),"")</f>
        <v/>
      </c>
      <c r="K77" s="17"/>
      <c r="L77" s="17" t="b">
        <f>IF(OR(COUNTIF('クラス'!$A$1:$A$1267,$B77)&gt;0,$B77="",$M77=""),"",True)</f>
        <v>1</v>
      </c>
      <c r="M77" s="1" t="str">
        <f t="shared" si="7"/>
        <v>存在しない</v>
      </c>
      <c r="N77" s="1" t="s">
        <v>29</v>
      </c>
      <c r="O77" s="1"/>
      <c r="P77" s="11"/>
      <c r="Q77" s="11"/>
      <c r="R77" s="11"/>
      <c r="S77" s="11"/>
      <c r="T77" s="1"/>
      <c r="U77" s="1"/>
      <c r="V77" s="1"/>
      <c r="W77" s="1"/>
      <c r="X77" s="1"/>
      <c r="Y77" s="1"/>
      <c r="Z77" s="1"/>
    </row>
    <row r="78" ht="18.0" hidden="1" customHeight="1" outlineLevel="1">
      <c r="A78" s="1"/>
      <c r="B78" s="19"/>
      <c r="C78" s="1"/>
      <c r="D78" s="1"/>
      <c r="E78" s="14"/>
      <c r="F78" s="15"/>
      <c r="G78" s="16"/>
      <c r="H78" s="11"/>
      <c r="I78" s="7"/>
      <c r="J78" s="7" t="str">
        <f>IFERROR(LET(_xlpm.v,
VLOOKUP($I78,'用語辞書'!$A:$B,COLUMN('用語辞書'!B$1),FALSE),
IF(_xlpm.v=0,"",_xlpm.v)
),"")</f>
        <v/>
      </c>
      <c r="K78" s="17"/>
      <c r="L78" s="17" t="str">
        <f>IF(OR(COUNTIF('クラス'!$A$1:$A$1267,$B78)&gt;0,$B78="",$M78=""),"",True)</f>
        <v/>
      </c>
      <c r="M78" s="1" t="str">
        <f t="shared" si="7"/>
        <v>存在しない</v>
      </c>
      <c r="N78" s="1" t="s">
        <v>29</v>
      </c>
      <c r="O78" s="1"/>
      <c r="P78" s="11"/>
      <c r="Q78" s="11"/>
      <c r="R78" s="11"/>
      <c r="S78" s="11"/>
      <c r="T78" s="1"/>
      <c r="U78" s="1"/>
      <c r="V78" s="1"/>
      <c r="W78" s="1"/>
      <c r="X78" s="1"/>
      <c r="Y78" s="1"/>
      <c r="Z78" s="1"/>
    </row>
    <row r="79" ht="18.0" hidden="1" customHeight="1" outlineLevel="1">
      <c r="A79" s="1"/>
      <c r="B79" s="19"/>
      <c r="C79" s="1"/>
      <c r="D79" s="1"/>
      <c r="E79" s="14"/>
      <c r="F79" s="15"/>
      <c r="G79" s="16"/>
      <c r="H79" s="11"/>
      <c r="I79" s="7"/>
      <c r="J79" s="7" t="str">
        <f>IFERROR(LET(_xlpm.v,
VLOOKUP($I79,'用語辞書'!$A:$B,COLUMN('用語辞書'!B$1),FALSE),
IF(_xlpm.v=0,"",_xlpm.v)
),"")</f>
        <v/>
      </c>
      <c r="K79" s="17"/>
      <c r="L79" s="17" t="str">
        <f>IF(OR(COUNTIF('クラス'!$A$1:$A$1267,$B79)&gt;0,$B79="",$M79=""),"",True)</f>
        <v/>
      </c>
      <c r="M79" s="1" t="str">
        <f t="shared" si="7"/>
        <v>存在しない</v>
      </c>
      <c r="N79" s="1" t="s">
        <v>29</v>
      </c>
      <c r="O79" s="1"/>
      <c r="P79" s="11"/>
      <c r="Q79" s="11"/>
      <c r="R79" s="11"/>
      <c r="S79" s="11"/>
      <c r="T79" s="1"/>
      <c r="U79" s="1"/>
      <c r="V79" s="1"/>
      <c r="W79" s="1"/>
      <c r="X79" s="1"/>
      <c r="Y79" s="1"/>
      <c r="Z79" s="1"/>
    </row>
    <row r="80" ht="18.0" hidden="1" customHeight="1" outlineLevel="1">
      <c r="A80" s="1"/>
      <c r="B80" s="19"/>
      <c r="C80" s="1"/>
      <c r="D80" s="1"/>
      <c r="E80" s="14"/>
      <c r="F80" s="15"/>
      <c r="G80" s="16"/>
      <c r="H80" s="11"/>
      <c r="I80" s="7"/>
      <c r="J80" s="7" t="str">
        <f>IFERROR(LET(_xlpm.v,
VLOOKUP($I80,'用語辞書'!$A:$B,COLUMN('用語辞書'!B$1),FALSE),
IF(_xlpm.v=0,"",_xlpm.v)
),"")</f>
        <v/>
      </c>
      <c r="K80" s="17"/>
      <c r="L80" s="17" t="str">
        <f>IF(OR(COUNTIF('クラス'!$A$1:$A$1267,$B80)&gt;0,$B80="",$M80=""),"",True)</f>
        <v/>
      </c>
      <c r="M80" s="1" t="str">
        <f t="shared" si="7"/>
        <v>存在しない</v>
      </c>
      <c r="N80" s="1" t="s">
        <v>29</v>
      </c>
      <c r="O80" s="1"/>
      <c r="P80" s="11"/>
      <c r="Q80" s="11"/>
      <c r="R80" s="11"/>
      <c r="S80" s="11"/>
      <c r="T80" s="1"/>
      <c r="U80" s="1"/>
      <c r="V80" s="1"/>
      <c r="W80" s="1"/>
      <c r="X80" s="1"/>
      <c r="Y80" s="1"/>
      <c r="Z80" s="1"/>
    </row>
    <row r="81" ht="18.0" hidden="1" customHeight="1" outlineLevel="1">
      <c r="A81" s="1"/>
      <c r="B81" s="19"/>
      <c r="C81" s="1"/>
      <c r="D81" s="1"/>
      <c r="E81" s="14"/>
      <c r="F81" s="15"/>
      <c r="G81" s="16"/>
      <c r="H81" s="11"/>
      <c r="I81" s="7"/>
      <c r="J81" s="7" t="str">
        <f>IFERROR(LET(_xlpm.v,
VLOOKUP($I81,'用語辞書'!$A:$B,COLUMN('用語辞書'!B$1),FALSE),
IF(_xlpm.v=0,"",_xlpm.v)
),"")</f>
        <v/>
      </c>
      <c r="K81" s="17"/>
      <c r="L81" s="17" t="str">
        <f>IF(OR(COUNTIF('クラス'!$A$1:$A$1267,$B81)&gt;0,$B81="",$M81=""),"",True)</f>
        <v/>
      </c>
      <c r="M81" s="1" t="str">
        <f t="shared" si="7"/>
        <v>存在しない</v>
      </c>
      <c r="N81" s="1" t="s">
        <v>29</v>
      </c>
      <c r="O81" s="1"/>
      <c r="P81" s="11"/>
      <c r="Q81" s="11"/>
      <c r="R81" s="11"/>
      <c r="S81" s="11"/>
      <c r="T81" s="1"/>
      <c r="U81" s="1"/>
      <c r="V81" s="1"/>
      <c r="W81" s="1"/>
      <c r="X81" s="1"/>
      <c r="Y81" s="1"/>
      <c r="Z81" s="1"/>
    </row>
    <row r="82" ht="18.0" hidden="1" customHeight="1" outlineLevel="1">
      <c r="A82" s="1"/>
      <c r="B82" s="19"/>
      <c r="C82" s="1"/>
      <c r="D82" s="1"/>
      <c r="E82" s="14"/>
      <c r="F82" s="15"/>
      <c r="G82" s="16"/>
      <c r="H82" s="11"/>
      <c r="I82" s="7"/>
      <c r="J82" s="7" t="str">
        <f>IFERROR(LET(_xlpm.v,
VLOOKUP($I82,'用語辞書'!$A:$B,COLUMN('用語辞書'!B$1),FALSE),
IF(_xlpm.v=0,"",_xlpm.v)
),"")</f>
        <v/>
      </c>
      <c r="K82" s="17"/>
      <c r="L82" s="17" t="str">
        <f>IF(OR(COUNTIF('クラス'!$A$1:$A$1267,$B82)&gt;0,$B82="",$M82=""),"",True)</f>
        <v/>
      </c>
      <c r="M82" s="1" t="str">
        <f t="shared" si="7"/>
        <v>存在しない</v>
      </c>
      <c r="N82" s="1" t="s">
        <v>29</v>
      </c>
      <c r="O82" s="1"/>
      <c r="P82" s="11"/>
      <c r="Q82" s="11"/>
      <c r="R82" s="11"/>
      <c r="S82" s="11"/>
      <c r="T82" s="1"/>
      <c r="U82" s="1"/>
      <c r="V82" s="1"/>
      <c r="W82" s="1"/>
      <c r="X82" s="1"/>
      <c r="Y82" s="1"/>
      <c r="Z82" s="1"/>
    </row>
    <row r="83" ht="18.0" hidden="1" customHeight="1" outlineLevel="1">
      <c r="A83" s="1"/>
      <c r="B83" s="19"/>
      <c r="C83" s="1"/>
      <c r="D83" s="1"/>
      <c r="E83" s="14"/>
      <c r="F83" s="15"/>
      <c r="G83" s="16"/>
      <c r="H83" s="11"/>
      <c r="I83" s="7"/>
      <c r="J83" s="7" t="str">
        <f>IFERROR(LET(_xlpm.v,
VLOOKUP($I83,'用語辞書'!$A:$B,COLUMN('用語辞書'!B$1),FALSE),
IF(_xlpm.v=0,"",_xlpm.v)
),"")</f>
        <v/>
      </c>
      <c r="K83" s="17"/>
      <c r="L83" s="17" t="str">
        <f>IF(OR(COUNTIF('クラス'!$A$1:$A$1267,$B83)&gt;0,$B83="",$M83=""),"",True)</f>
        <v/>
      </c>
      <c r="M83" s="1" t="str">
        <f t="shared" si="7"/>
        <v>存在しない</v>
      </c>
      <c r="N83" s="1" t="s">
        <v>29</v>
      </c>
      <c r="O83" s="1"/>
      <c r="P83" s="11"/>
      <c r="Q83" s="11"/>
      <c r="R83" s="11"/>
      <c r="S83" s="11"/>
      <c r="T83" s="1"/>
      <c r="U83" s="1"/>
      <c r="V83" s="1"/>
      <c r="W83" s="1"/>
      <c r="X83" s="1"/>
      <c r="Y83" s="1"/>
      <c r="Z83" s="1"/>
    </row>
    <row r="84" ht="18.0" hidden="1" customHeight="1" outlineLevel="1">
      <c r="A84" s="1"/>
      <c r="B84" s="1"/>
      <c r="C84" s="1"/>
      <c r="D84" s="1"/>
      <c r="E84" s="14"/>
      <c r="F84" s="15"/>
      <c r="G84" s="16"/>
      <c r="H84" s="11"/>
      <c r="I84" s="7"/>
      <c r="J84" s="7" t="str">
        <f>IFERROR(LET(_xlpm.v,
VLOOKUP($I84,'用語辞書'!$A:$B,COLUMN('用語辞書'!B$1),FALSE),
IF(_xlpm.v=0,"",_xlpm.v)
),"")</f>
        <v/>
      </c>
      <c r="K84" s="17"/>
      <c r="L84" s="17" t="str">
        <f>IF(OR(COUNTIF('クラス'!$A$1:$A$1267,$B84)&gt;0,$B84="",$M84=""),"",True)</f>
        <v/>
      </c>
      <c r="M84" s="1" t="str">
        <f t="shared" si="7"/>
        <v>存在しない</v>
      </c>
      <c r="N84" s="1" t="s">
        <v>29</v>
      </c>
      <c r="O84" s="1"/>
      <c r="P84" s="11"/>
      <c r="Q84" s="11"/>
      <c r="R84" s="11"/>
      <c r="S84" s="11"/>
      <c r="T84" s="1"/>
      <c r="U84" s="1"/>
      <c r="V84" s="1"/>
      <c r="W84" s="1"/>
      <c r="X84" s="1"/>
      <c r="Y84" s="1"/>
      <c r="Z84" s="1"/>
    </row>
    <row r="85" ht="18.0" hidden="1" customHeight="1" outlineLevel="1">
      <c r="A85" s="1"/>
      <c r="B85" s="1"/>
      <c r="C85" s="1"/>
      <c r="D85" s="1"/>
      <c r="E85" s="14"/>
      <c r="F85" s="15"/>
      <c r="G85" s="16"/>
      <c r="H85" s="11"/>
      <c r="I85" s="7"/>
      <c r="J85" s="7" t="str">
        <f>IFERROR(LET(_xlpm.v,
VLOOKUP($I85,'用語辞書'!$A:$B,COLUMN('用語辞書'!B$1),FALSE),
IF(_xlpm.v=0,"",_xlpm.v)
),"")</f>
        <v/>
      </c>
      <c r="K85" s="17"/>
      <c r="L85" s="17" t="str">
        <f>IF(OR(COUNTIF('クラス'!$A$1:$A$1267,$B85)&gt;0,$B85="",$M85=""),"",True)</f>
        <v/>
      </c>
      <c r="M85" s="1" t="str">
        <f t="shared" si="7"/>
        <v>存在しない</v>
      </c>
      <c r="N85" s="1" t="s">
        <v>29</v>
      </c>
      <c r="O85" s="1"/>
      <c r="P85" s="11"/>
      <c r="Q85" s="11"/>
      <c r="R85" s="11"/>
      <c r="S85" s="11"/>
      <c r="T85" s="1"/>
      <c r="U85" s="1"/>
      <c r="V85" s="1"/>
      <c r="W85" s="1"/>
      <c r="X85" s="1"/>
      <c r="Y85" s="1"/>
      <c r="Z85" s="1"/>
    </row>
    <row r="86" ht="18.0" customHeight="1" collapsed="1">
      <c r="A86" s="1"/>
      <c r="B86" s="1"/>
      <c r="C86" s="1"/>
      <c r="D86" s="1"/>
      <c r="E86" s="14"/>
      <c r="F86" s="15"/>
      <c r="G86" s="16"/>
      <c r="H86" s="11"/>
      <c r="I86" s="7"/>
      <c r="J86" s="7"/>
      <c r="K86" s="17"/>
      <c r="L86" s="17" t="str">
        <f>IF(OR(COUNTIF('クラス'!$A$1:$A$1267,$B86)&gt;0,$B86="",$M86=""),"",True)</f>
        <v/>
      </c>
      <c r="M86" s="1"/>
      <c r="N86" s="1"/>
      <c r="O86" s="1"/>
      <c r="P86" s="11"/>
      <c r="Q86" s="11"/>
      <c r="R86" s="11"/>
      <c r="S86" s="11"/>
      <c r="T86" s="1"/>
      <c r="U86" s="1"/>
      <c r="V86" s="1"/>
      <c r="W86" s="1"/>
      <c r="X86" s="1"/>
      <c r="Y86" s="1"/>
      <c r="Z86" s="1"/>
    </row>
    <row r="87" ht="18.0" customHeight="1">
      <c r="A87" s="26"/>
      <c r="B87" s="24"/>
      <c r="C87" s="27" t="s">
        <v>72</v>
      </c>
      <c r="D87" s="1"/>
      <c r="E87" s="14"/>
      <c r="F87" s="15"/>
      <c r="G87" s="16"/>
      <c r="H87" s="11"/>
      <c r="I87" s="7"/>
      <c r="J87" s="7"/>
      <c r="K87" s="17"/>
      <c r="L87" s="17" t="str">
        <f>IF(OR(COUNTIF('クラス'!$A$1:$A$1267,$B87)&gt;0,$B87="",$M87=""),"",True)</f>
        <v/>
      </c>
      <c r="M87" s="1" t="str">
        <f t="shared" ref="M87:M477" si="9">IF(COUNTIF(#REF!, $B87), "", "存在しない")</f>
        <v>存在しない</v>
      </c>
      <c r="N87" s="1"/>
      <c r="O87" s="1"/>
      <c r="P87" s="11"/>
      <c r="Q87" s="11"/>
      <c r="R87" s="11"/>
      <c r="S87" s="11"/>
      <c r="T87" s="1"/>
      <c r="U87" s="1"/>
      <c r="V87" s="1"/>
      <c r="W87" s="1"/>
      <c r="X87" s="1"/>
      <c r="Y87" s="1"/>
      <c r="Z87" s="1"/>
    </row>
    <row r="88" ht="18.0" customHeight="1" outlineLevel="1">
      <c r="A88" s="26"/>
      <c r="B88" s="24"/>
      <c r="C88" s="26" t="s">
        <v>73</v>
      </c>
      <c r="D88" s="1"/>
      <c r="E88" s="14"/>
      <c r="F88" s="15"/>
      <c r="G88" s="16"/>
      <c r="H88" s="11"/>
      <c r="I88" s="7"/>
      <c r="J88" s="7"/>
      <c r="K88" s="17"/>
      <c r="L88" s="17" t="str">
        <f>IF(OR(COUNTIF('クラス'!$A$1:$A$1267,$B88)&gt;0,$B88="",$M88=""),"",True)</f>
        <v/>
      </c>
      <c r="M88" s="1" t="str">
        <f t="shared" si="9"/>
        <v>存在しない</v>
      </c>
      <c r="N88" s="1"/>
      <c r="O88" s="1"/>
      <c r="P88" s="11"/>
      <c r="Q88" s="11"/>
      <c r="R88" s="11"/>
      <c r="S88" s="11"/>
      <c r="T88" s="1"/>
      <c r="U88" s="1"/>
      <c r="V88" s="1"/>
      <c r="W88" s="1"/>
      <c r="X88" s="1"/>
      <c r="Y88" s="1"/>
      <c r="Z88" s="1"/>
    </row>
    <row r="89" ht="18.0" customHeight="1" outlineLevel="2">
      <c r="A89" s="26">
        <v>1.0</v>
      </c>
      <c r="B89" s="28" t="s">
        <v>74</v>
      </c>
      <c r="C89" s="26" t="s">
        <v>75</v>
      </c>
      <c r="D89" s="26" t="s">
        <v>76</v>
      </c>
      <c r="E89" s="29" t="s">
        <v>33</v>
      </c>
      <c r="F89" s="15"/>
      <c r="G89" s="30">
        <v>60.0</v>
      </c>
      <c r="H89" s="31" t="s">
        <v>77</v>
      </c>
      <c r="I89" s="7"/>
      <c r="J89" s="32" t="s">
        <v>78</v>
      </c>
      <c r="K89" s="17"/>
      <c r="L89" s="17" t="b">
        <f>IF(OR(COUNTIF('クラス'!$A$1:$A$1267,$B89)&gt;0,$B89="",$M89=""),"",True)</f>
        <v>1</v>
      </c>
      <c r="M89" s="1" t="str">
        <f t="shared" si="9"/>
        <v>存在しない</v>
      </c>
      <c r="N89" s="1"/>
      <c r="O89" s="1"/>
      <c r="P89" s="11"/>
      <c r="Q89" s="11"/>
      <c r="R89" s="11"/>
      <c r="S89" s="11"/>
      <c r="T89" s="1"/>
      <c r="U89" s="1"/>
      <c r="V89" s="1"/>
      <c r="W89" s="1"/>
      <c r="X89" s="1"/>
      <c r="Y89" s="1"/>
      <c r="Z89" s="1"/>
    </row>
    <row r="90" ht="18.0" customHeight="1" outlineLevel="2">
      <c r="A90" s="26">
        <v>1.0</v>
      </c>
      <c r="B90" s="28" t="s">
        <v>79</v>
      </c>
      <c r="C90" s="26" t="s">
        <v>80</v>
      </c>
      <c r="D90" s="26" t="s">
        <v>81</v>
      </c>
      <c r="E90" s="29" t="s">
        <v>33</v>
      </c>
      <c r="F90" s="15"/>
      <c r="G90" s="30">
        <v>60.0</v>
      </c>
      <c r="H90" s="22" t="s">
        <v>82</v>
      </c>
      <c r="I90" s="7"/>
      <c r="J90" s="32" t="s">
        <v>83</v>
      </c>
      <c r="K90" s="17"/>
      <c r="L90" s="17" t="b">
        <f>IF(OR(COUNTIF('クラス'!$A$1:$A$1267,$B90)&gt;0,$B90="",$M90=""),"",True)</f>
        <v>1</v>
      </c>
      <c r="M90" s="1" t="str">
        <f t="shared" si="9"/>
        <v>存在しない</v>
      </c>
      <c r="N90" s="1"/>
      <c r="O90" s="1"/>
      <c r="P90" s="11"/>
      <c r="Q90" s="11"/>
      <c r="R90" s="11"/>
      <c r="S90" s="11"/>
      <c r="T90" s="1"/>
      <c r="U90" s="1"/>
      <c r="V90" s="1"/>
      <c r="W90" s="1"/>
      <c r="X90" s="1"/>
      <c r="Y90" s="1"/>
      <c r="Z90" s="1"/>
    </row>
    <row r="91" ht="18.0" customHeight="1" outlineLevel="2">
      <c r="A91" s="26">
        <v>2.0</v>
      </c>
      <c r="B91" s="28" t="s">
        <v>84</v>
      </c>
      <c r="C91" s="26" t="s">
        <v>85</v>
      </c>
      <c r="D91" s="26" t="s">
        <v>76</v>
      </c>
      <c r="E91" s="29" t="s">
        <v>33</v>
      </c>
      <c r="F91" s="15"/>
      <c r="G91" s="30">
        <v>60.0</v>
      </c>
      <c r="H91" s="11"/>
      <c r="I91" s="7"/>
      <c r="J91" s="32" t="s">
        <v>86</v>
      </c>
      <c r="K91" s="17"/>
      <c r="L91" s="17" t="b">
        <f>IF(OR(COUNTIF('クラス'!$A$1:$A$1267,$B91)&gt;0,$B91="",$M91=""),"",True)</f>
        <v>1</v>
      </c>
      <c r="M91" s="1" t="str">
        <f t="shared" si="9"/>
        <v>存在しない</v>
      </c>
      <c r="N91" s="1"/>
      <c r="O91" s="1"/>
      <c r="P91" s="11"/>
      <c r="Q91" s="11"/>
      <c r="R91" s="11"/>
      <c r="S91" s="11"/>
      <c r="T91" s="1"/>
      <c r="U91" s="1"/>
      <c r="V91" s="1"/>
      <c r="W91" s="1"/>
      <c r="X91" s="1"/>
      <c r="Y91" s="1"/>
      <c r="Z91" s="1"/>
    </row>
    <row r="92" ht="18.0" customHeight="1" outlineLevel="2">
      <c r="A92" s="26">
        <v>2.0</v>
      </c>
      <c r="B92" s="28" t="s">
        <v>87</v>
      </c>
      <c r="C92" s="26" t="s">
        <v>88</v>
      </c>
      <c r="D92" s="26" t="s">
        <v>76</v>
      </c>
      <c r="E92" s="29" t="s">
        <v>33</v>
      </c>
      <c r="F92" s="15"/>
      <c r="G92" s="30">
        <v>60.0</v>
      </c>
      <c r="H92" s="31" t="s">
        <v>89</v>
      </c>
      <c r="I92" s="7"/>
      <c r="J92" s="32" t="s">
        <v>78</v>
      </c>
      <c r="K92" s="17"/>
      <c r="L92" s="17" t="b">
        <f>IF(OR(COUNTIF('クラス'!$A$1:$A$1267,$B92)&gt;0,$B92="",$M92=""),"",True)</f>
        <v>1</v>
      </c>
      <c r="M92" s="1" t="str">
        <f t="shared" si="9"/>
        <v>存在しない</v>
      </c>
      <c r="N92" s="1"/>
      <c r="O92" s="1"/>
      <c r="P92" s="11"/>
      <c r="Q92" s="11"/>
      <c r="R92" s="11"/>
      <c r="S92" s="11"/>
      <c r="T92" s="1"/>
      <c r="U92" s="1"/>
      <c r="V92" s="1"/>
      <c r="W92" s="1"/>
      <c r="X92" s="1"/>
      <c r="Y92" s="1"/>
      <c r="Z92" s="1"/>
    </row>
    <row r="93" ht="18.0" customHeight="1" outlineLevel="2">
      <c r="A93" s="26">
        <v>3.0</v>
      </c>
      <c r="B93" s="28" t="s">
        <v>90</v>
      </c>
      <c r="C93" s="26" t="s">
        <v>91</v>
      </c>
      <c r="D93" s="26" t="s">
        <v>76</v>
      </c>
      <c r="E93" s="29" t="s">
        <v>33</v>
      </c>
      <c r="F93" s="15"/>
      <c r="G93" s="30">
        <v>60.0</v>
      </c>
      <c r="H93" s="22" t="s">
        <v>92</v>
      </c>
      <c r="I93" s="7"/>
      <c r="J93" s="32" t="s">
        <v>93</v>
      </c>
      <c r="K93" s="17"/>
      <c r="L93" s="17" t="b">
        <f>IF(OR(COUNTIF('クラス'!$A$1:$A$1267,$B93)&gt;0,$B93="",$M93=""),"",True)</f>
        <v>1</v>
      </c>
      <c r="M93" s="1" t="str">
        <f t="shared" si="9"/>
        <v>存在しない</v>
      </c>
      <c r="N93" s="1"/>
      <c r="O93" s="1"/>
      <c r="P93" s="11"/>
      <c r="Q93" s="11"/>
      <c r="R93" s="11"/>
      <c r="S93" s="11"/>
      <c r="T93" s="1"/>
      <c r="U93" s="1"/>
      <c r="V93" s="1"/>
      <c r="W93" s="1"/>
      <c r="X93" s="1"/>
      <c r="Y93" s="1"/>
      <c r="Z93" s="1"/>
    </row>
    <row r="94" ht="18.0" customHeight="1" outlineLevel="2">
      <c r="A94" s="26">
        <v>3.0</v>
      </c>
      <c r="B94" s="28" t="s">
        <v>94</v>
      </c>
      <c r="C94" s="26" t="s">
        <v>95</v>
      </c>
      <c r="D94" s="26" t="s">
        <v>81</v>
      </c>
      <c r="E94" s="29" t="s">
        <v>33</v>
      </c>
      <c r="F94" s="15"/>
      <c r="G94" s="30">
        <v>60.0</v>
      </c>
      <c r="H94" s="22" t="s">
        <v>96</v>
      </c>
      <c r="I94" s="7"/>
      <c r="J94" s="32" t="s">
        <v>97</v>
      </c>
      <c r="K94" s="17"/>
      <c r="L94" s="17" t="b">
        <f>IF(OR(COUNTIF('クラス'!$A$1:$A$1267,$B94)&gt;0,$B94="",$M94=""),"",True)</f>
        <v>1</v>
      </c>
      <c r="M94" s="1" t="str">
        <f t="shared" si="9"/>
        <v>存在しない</v>
      </c>
      <c r="N94" s="1"/>
      <c r="O94" s="1"/>
      <c r="P94" s="11"/>
      <c r="Q94" s="11"/>
      <c r="R94" s="11"/>
      <c r="S94" s="11"/>
      <c r="T94" s="1"/>
      <c r="U94" s="1"/>
      <c r="V94" s="1"/>
      <c r="W94" s="1"/>
      <c r="X94" s="1"/>
      <c r="Y94" s="1"/>
      <c r="Z94" s="1"/>
    </row>
    <row r="95" ht="18.0" customHeight="1" outlineLevel="2">
      <c r="A95" s="26">
        <v>4.0</v>
      </c>
      <c r="B95" s="28" t="s">
        <v>98</v>
      </c>
      <c r="C95" s="26" t="s">
        <v>99</v>
      </c>
      <c r="D95" s="26" t="s">
        <v>76</v>
      </c>
      <c r="E95" s="29" t="s">
        <v>33</v>
      </c>
      <c r="F95" s="15"/>
      <c r="G95" s="30">
        <v>60.0</v>
      </c>
      <c r="H95" s="11"/>
      <c r="I95" s="7"/>
      <c r="J95" s="32" t="s">
        <v>100</v>
      </c>
      <c r="K95" s="17"/>
      <c r="L95" s="17" t="b">
        <f>IF(OR(COUNTIF('クラス'!$A$1:$A$1267,$B95)&gt;0,$B95="",$M95=""),"",True)</f>
        <v>1</v>
      </c>
      <c r="M95" s="1" t="str">
        <f t="shared" si="9"/>
        <v>存在しない</v>
      </c>
      <c r="N95" s="1"/>
      <c r="O95" s="1"/>
      <c r="P95" s="11"/>
      <c r="Q95" s="11"/>
      <c r="R95" s="11"/>
      <c r="S95" s="11"/>
      <c r="T95" s="1"/>
      <c r="U95" s="1"/>
      <c r="V95" s="1"/>
      <c r="W95" s="1"/>
      <c r="X95" s="1"/>
      <c r="Y95" s="1"/>
      <c r="Z95" s="1"/>
    </row>
    <row r="96" ht="18.0" customHeight="1" outlineLevel="2">
      <c r="A96" s="26">
        <v>4.0</v>
      </c>
      <c r="B96" s="28" t="s">
        <v>101</v>
      </c>
      <c r="C96" s="26" t="s">
        <v>102</v>
      </c>
      <c r="D96" s="26" t="s">
        <v>76</v>
      </c>
      <c r="E96" s="29" t="s">
        <v>33</v>
      </c>
      <c r="F96" s="15"/>
      <c r="G96" s="30">
        <v>60.0</v>
      </c>
      <c r="H96" s="11"/>
      <c r="I96" s="7"/>
      <c r="J96" s="32" t="s">
        <v>103</v>
      </c>
      <c r="K96" s="17"/>
      <c r="L96" s="17" t="b">
        <f>IF(OR(COUNTIF('クラス'!$A$1:$A$1267,$B96)&gt;0,$B96="",$M96=""),"",True)</f>
        <v>1</v>
      </c>
      <c r="M96" s="1" t="str">
        <f t="shared" si="9"/>
        <v>存在しない</v>
      </c>
      <c r="N96" s="1"/>
      <c r="O96" s="1"/>
      <c r="P96" s="11"/>
      <c r="Q96" s="11"/>
      <c r="R96" s="11"/>
      <c r="S96" s="11"/>
      <c r="T96" s="1"/>
      <c r="U96" s="1"/>
      <c r="V96" s="1"/>
      <c r="W96" s="1"/>
      <c r="X96" s="1"/>
      <c r="Y96" s="1"/>
      <c r="Z96" s="1"/>
    </row>
    <row r="97" ht="18.0" customHeight="1" outlineLevel="2">
      <c r="A97" s="26">
        <v>4.0</v>
      </c>
      <c r="B97" s="28" t="s">
        <v>104</v>
      </c>
      <c r="C97" s="26" t="s">
        <v>105</v>
      </c>
      <c r="D97" s="26" t="s">
        <v>76</v>
      </c>
      <c r="E97" s="29" t="s">
        <v>33</v>
      </c>
      <c r="F97" s="15"/>
      <c r="G97" s="30">
        <v>60.0</v>
      </c>
      <c r="H97" s="31" t="s">
        <v>106</v>
      </c>
      <c r="I97" s="7"/>
      <c r="J97" s="32" t="s">
        <v>107</v>
      </c>
      <c r="K97" s="17"/>
      <c r="L97" s="17" t="b">
        <f>IF(OR(COUNTIF('クラス'!$A$1:$A$1267,$B97)&gt;0,$B97="",$M97=""),"",True)</f>
        <v>1</v>
      </c>
      <c r="M97" s="1" t="str">
        <f t="shared" si="9"/>
        <v>存在しない</v>
      </c>
      <c r="N97" s="1"/>
      <c r="O97" s="1"/>
      <c r="P97" s="11"/>
      <c r="Q97" s="11"/>
      <c r="R97" s="11"/>
      <c r="S97" s="11"/>
      <c r="T97" s="1"/>
      <c r="U97" s="1"/>
      <c r="V97" s="1"/>
      <c r="W97" s="1"/>
      <c r="X97" s="1"/>
      <c r="Y97" s="1"/>
      <c r="Z97" s="1"/>
    </row>
    <row r="98" ht="18.0" customHeight="1" outlineLevel="2">
      <c r="A98" s="26">
        <v>5.0</v>
      </c>
      <c r="B98" s="28" t="s">
        <v>108</v>
      </c>
      <c r="C98" s="26" t="s">
        <v>109</v>
      </c>
      <c r="D98" s="26" t="s">
        <v>76</v>
      </c>
      <c r="E98" s="29" t="s">
        <v>33</v>
      </c>
      <c r="F98" s="15"/>
      <c r="G98" s="30">
        <v>60.0</v>
      </c>
      <c r="H98" s="31" t="s">
        <v>110</v>
      </c>
      <c r="I98" s="7"/>
      <c r="J98" s="32" t="s">
        <v>107</v>
      </c>
      <c r="K98" s="17"/>
      <c r="L98" s="17" t="b">
        <f>IF(OR(COUNTIF('クラス'!$A$1:$A$1267,$B98)&gt;0,$B98="",$M98=""),"",True)</f>
        <v>1</v>
      </c>
      <c r="M98" s="1" t="str">
        <f t="shared" si="9"/>
        <v>存在しない</v>
      </c>
      <c r="N98" s="1"/>
      <c r="O98" s="1"/>
      <c r="P98" s="11"/>
      <c r="Q98" s="11"/>
      <c r="R98" s="11"/>
      <c r="S98" s="11"/>
      <c r="T98" s="1"/>
      <c r="U98" s="1"/>
      <c r="V98" s="1"/>
      <c r="W98" s="1"/>
      <c r="X98" s="1"/>
      <c r="Y98" s="1"/>
      <c r="Z98" s="1"/>
    </row>
    <row r="99" ht="18.0" customHeight="1" outlineLevel="2">
      <c r="A99" s="26">
        <v>6.0</v>
      </c>
      <c r="B99" s="28" t="s">
        <v>111</v>
      </c>
      <c r="C99" s="26" t="s">
        <v>112</v>
      </c>
      <c r="D99" s="26" t="s">
        <v>76</v>
      </c>
      <c r="E99" s="29" t="s">
        <v>33</v>
      </c>
      <c r="F99" s="15"/>
      <c r="G99" s="30">
        <v>60.0</v>
      </c>
      <c r="H99" s="31" t="s">
        <v>113</v>
      </c>
      <c r="I99" s="7"/>
      <c r="J99" s="32" t="s">
        <v>114</v>
      </c>
      <c r="K99" s="17"/>
      <c r="L99" s="17" t="b">
        <f>IF(OR(COUNTIF('クラス'!$A$1:$A$1267,$B99)&gt;0,$B99="",$M99=""),"",True)</f>
        <v>1</v>
      </c>
      <c r="M99" s="1" t="str">
        <f t="shared" si="9"/>
        <v>存在しない</v>
      </c>
      <c r="N99" s="1"/>
      <c r="O99" s="1"/>
      <c r="P99" s="11"/>
      <c r="Q99" s="11"/>
      <c r="R99" s="11"/>
      <c r="S99" s="11"/>
      <c r="T99" s="1"/>
      <c r="U99" s="1"/>
      <c r="V99" s="1"/>
      <c r="W99" s="1"/>
      <c r="X99" s="1"/>
      <c r="Y99" s="1"/>
      <c r="Z99" s="1"/>
    </row>
    <row r="100" ht="18.0" customHeight="1" outlineLevel="2">
      <c r="A100" s="26">
        <v>7.0</v>
      </c>
      <c r="B100" s="28" t="s">
        <v>115</v>
      </c>
      <c r="C100" s="26" t="s">
        <v>116</v>
      </c>
      <c r="D100" s="26" t="s">
        <v>76</v>
      </c>
      <c r="E100" s="29" t="s">
        <v>33</v>
      </c>
      <c r="F100" s="15"/>
      <c r="G100" s="30">
        <v>60.0</v>
      </c>
      <c r="H100" s="11"/>
      <c r="I100" s="7"/>
      <c r="J100" s="32" t="s">
        <v>117</v>
      </c>
      <c r="K100" s="17"/>
      <c r="L100" s="17" t="b">
        <f>IF(OR(COUNTIF('クラス'!$A$1:$A$1267,$B100)&gt;0,$B100="",$M100=""),"",True)</f>
        <v>1</v>
      </c>
      <c r="M100" s="1" t="str">
        <f t="shared" si="9"/>
        <v>存在しない</v>
      </c>
      <c r="N100" s="1"/>
      <c r="O100" s="1"/>
      <c r="P100" s="11"/>
      <c r="Q100" s="11"/>
      <c r="R100" s="11"/>
      <c r="S100" s="11"/>
      <c r="T100" s="1"/>
      <c r="U100" s="1"/>
      <c r="V100" s="1"/>
      <c r="W100" s="1"/>
      <c r="X100" s="1"/>
      <c r="Y100" s="1"/>
      <c r="Z100" s="1"/>
    </row>
    <row r="101" ht="18.0" customHeight="1" outlineLevel="2">
      <c r="A101" s="26">
        <v>7.0</v>
      </c>
      <c r="B101" s="28" t="s">
        <v>118</v>
      </c>
      <c r="C101" s="26" t="s">
        <v>119</v>
      </c>
      <c r="D101" s="26" t="s">
        <v>76</v>
      </c>
      <c r="E101" s="29" t="s">
        <v>33</v>
      </c>
      <c r="F101" s="15"/>
      <c r="G101" s="30">
        <v>60.0</v>
      </c>
      <c r="H101" s="31" t="s">
        <v>120</v>
      </c>
      <c r="I101" s="7"/>
      <c r="J101" s="32" t="s">
        <v>78</v>
      </c>
      <c r="K101" s="17"/>
      <c r="L101" s="17" t="b">
        <f>IF(OR(COUNTIF('クラス'!$A$1:$A$1267,$B101)&gt;0,$B101="",$M101=""),"",True)</f>
        <v>1</v>
      </c>
      <c r="M101" s="1" t="str">
        <f t="shared" si="9"/>
        <v>存在しない</v>
      </c>
      <c r="N101" s="1"/>
      <c r="O101" s="1"/>
      <c r="P101" s="11"/>
      <c r="Q101" s="11"/>
      <c r="R101" s="11"/>
      <c r="S101" s="11"/>
      <c r="T101" s="1"/>
      <c r="U101" s="1"/>
      <c r="V101" s="1"/>
      <c r="W101" s="1"/>
      <c r="X101" s="1"/>
      <c r="Y101" s="1"/>
      <c r="Z101" s="1"/>
    </row>
    <row r="102" ht="18.0" customHeight="1" outlineLevel="1">
      <c r="A102" s="26"/>
      <c r="B102" s="24"/>
      <c r="C102" s="26" t="s">
        <v>121</v>
      </c>
      <c r="D102" s="1"/>
      <c r="E102" s="14"/>
      <c r="F102" s="15"/>
      <c r="G102" s="30"/>
      <c r="H102" s="11"/>
      <c r="I102" s="7"/>
      <c r="J102" s="7"/>
      <c r="K102" s="17"/>
      <c r="L102" s="17" t="str">
        <f>IF(OR(COUNTIF('クラス'!$A$1:$A$1267,$B102)&gt;0,$B102="",$M102=""),"",True)</f>
        <v/>
      </c>
      <c r="M102" s="1" t="str">
        <f t="shared" si="9"/>
        <v>存在しない</v>
      </c>
      <c r="N102" s="1"/>
      <c r="O102" s="1"/>
      <c r="P102" s="11"/>
      <c r="Q102" s="11"/>
      <c r="R102" s="11"/>
      <c r="S102" s="11"/>
      <c r="T102" s="1"/>
      <c r="U102" s="1"/>
      <c r="V102" s="1"/>
      <c r="W102" s="1"/>
      <c r="X102" s="1"/>
      <c r="Y102" s="1"/>
      <c r="Z102" s="1"/>
    </row>
    <row r="103" ht="18.0" customHeight="1" outlineLevel="2">
      <c r="A103" s="26">
        <v>1.0</v>
      </c>
      <c r="B103" s="28" t="s">
        <v>74</v>
      </c>
      <c r="C103" s="26" t="s">
        <v>75</v>
      </c>
      <c r="D103" s="26" t="s">
        <v>76</v>
      </c>
      <c r="E103" s="29" t="s">
        <v>33</v>
      </c>
      <c r="F103" s="15"/>
      <c r="G103" s="30">
        <v>60.0</v>
      </c>
      <c r="H103" s="31" t="s">
        <v>77</v>
      </c>
      <c r="I103" s="7"/>
      <c r="J103" s="7"/>
      <c r="K103" s="17"/>
      <c r="L103" s="17" t="b">
        <f>IF(OR(COUNTIF('クラス'!$A$1:$A$1267,$B103)&gt;0,$B103="",$M103=""),"",True)</f>
        <v>1</v>
      </c>
      <c r="M103" s="1" t="str">
        <f t="shared" si="9"/>
        <v>存在しない</v>
      </c>
      <c r="N103" s="1"/>
      <c r="O103" s="1"/>
      <c r="P103" s="11"/>
      <c r="Q103" s="11"/>
      <c r="R103" s="11"/>
      <c r="S103" s="11"/>
      <c r="T103" s="1"/>
      <c r="U103" s="1"/>
      <c r="V103" s="1"/>
      <c r="W103" s="1"/>
      <c r="X103" s="1"/>
      <c r="Y103" s="1"/>
      <c r="Z103" s="1"/>
    </row>
    <row r="104" ht="18.0" customHeight="1" outlineLevel="2">
      <c r="A104" s="26">
        <v>1.0</v>
      </c>
      <c r="B104" s="28" t="s">
        <v>79</v>
      </c>
      <c r="C104" s="26" t="s">
        <v>80</v>
      </c>
      <c r="D104" s="26" t="s">
        <v>81</v>
      </c>
      <c r="E104" s="29" t="s">
        <v>33</v>
      </c>
      <c r="F104" s="15"/>
      <c r="G104" s="30">
        <v>60.0</v>
      </c>
      <c r="H104" s="22" t="s">
        <v>122</v>
      </c>
      <c r="I104" s="7"/>
      <c r="J104" s="7"/>
      <c r="K104" s="17"/>
      <c r="L104" s="17" t="b">
        <f>IF(OR(COUNTIF('クラス'!$A$1:$A$1267,$B104)&gt;0,$B104="",$M104=""),"",True)</f>
        <v>1</v>
      </c>
      <c r="M104" s="1" t="str">
        <f t="shared" si="9"/>
        <v>存在しない</v>
      </c>
      <c r="N104" s="1"/>
      <c r="O104" s="1"/>
      <c r="P104" s="11"/>
      <c r="Q104" s="11"/>
      <c r="R104" s="11"/>
      <c r="S104" s="11"/>
      <c r="T104" s="1"/>
      <c r="U104" s="1"/>
      <c r="V104" s="1"/>
      <c r="W104" s="1"/>
      <c r="X104" s="1"/>
      <c r="Y104" s="1"/>
      <c r="Z104" s="1"/>
    </row>
    <row r="105" ht="18.0" customHeight="1" outlineLevel="2">
      <c r="A105" s="26">
        <v>1.0</v>
      </c>
      <c r="B105" s="28" t="s">
        <v>123</v>
      </c>
      <c r="C105" s="26" t="s">
        <v>124</v>
      </c>
      <c r="D105" s="1"/>
      <c r="E105" s="29" t="s">
        <v>125</v>
      </c>
      <c r="F105" s="15"/>
      <c r="G105" s="30">
        <v>60.0</v>
      </c>
      <c r="H105" s="22" t="s">
        <v>126</v>
      </c>
      <c r="I105" s="7"/>
      <c r="J105" s="32" t="s">
        <v>127</v>
      </c>
      <c r="K105" s="17"/>
      <c r="L105" s="17" t="b">
        <f>IF(OR(COUNTIF('クラス'!$A$1:$A$1267,$B105)&gt;0,$B105="",$M105=""),"",True)</f>
        <v>1</v>
      </c>
      <c r="M105" s="1" t="str">
        <f t="shared" si="9"/>
        <v>存在しない</v>
      </c>
      <c r="N105" s="1"/>
      <c r="O105" s="1"/>
      <c r="P105" s="11"/>
      <c r="Q105" s="11"/>
      <c r="R105" s="11"/>
      <c r="S105" s="11"/>
      <c r="T105" s="1"/>
      <c r="U105" s="1"/>
      <c r="V105" s="1"/>
      <c r="W105" s="1"/>
      <c r="X105" s="1"/>
      <c r="Y105" s="1"/>
      <c r="Z105" s="1"/>
    </row>
    <row r="106" ht="18.0" customHeight="1" outlineLevel="2">
      <c r="A106" s="26">
        <v>2.0</v>
      </c>
      <c r="B106" s="28" t="s">
        <v>128</v>
      </c>
      <c r="C106" s="26" t="s">
        <v>129</v>
      </c>
      <c r="D106" s="1"/>
      <c r="E106" s="29" t="s">
        <v>125</v>
      </c>
      <c r="F106" s="15"/>
      <c r="G106" s="30">
        <v>60.0</v>
      </c>
      <c r="H106" s="22" t="s">
        <v>130</v>
      </c>
      <c r="I106" s="7"/>
      <c r="J106" s="7"/>
      <c r="K106" s="17"/>
      <c r="L106" s="17" t="b">
        <f>IF(OR(COUNTIF('クラス'!$A$1:$A$1267,$B106)&gt;0,$B106="",$M106=""),"",True)</f>
        <v>1</v>
      </c>
      <c r="M106" s="1" t="str">
        <f t="shared" si="9"/>
        <v>存在しない</v>
      </c>
      <c r="N106" s="1"/>
      <c r="O106" s="1"/>
      <c r="P106" s="11"/>
      <c r="Q106" s="11"/>
      <c r="R106" s="11"/>
      <c r="S106" s="11"/>
      <c r="T106" s="1"/>
      <c r="U106" s="1"/>
      <c r="V106" s="1"/>
      <c r="W106" s="1"/>
      <c r="X106" s="1"/>
      <c r="Y106" s="1"/>
      <c r="Z106" s="1"/>
    </row>
    <row r="107" ht="18.0" customHeight="1" outlineLevel="2">
      <c r="A107" s="26">
        <v>2.0</v>
      </c>
      <c r="B107" s="28" t="s">
        <v>131</v>
      </c>
      <c r="C107" s="26" t="s">
        <v>132</v>
      </c>
      <c r="D107" s="1"/>
      <c r="E107" s="29" t="s">
        <v>125</v>
      </c>
      <c r="F107" s="15"/>
      <c r="G107" s="30">
        <v>60.0</v>
      </c>
      <c r="H107" s="22" t="s">
        <v>133</v>
      </c>
      <c r="I107" s="7"/>
      <c r="J107" s="7"/>
      <c r="K107" s="17"/>
      <c r="L107" s="17" t="b">
        <f>IF(OR(COUNTIF('クラス'!$A$1:$A$1267,$B107)&gt;0,$B107="",$M107=""),"",True)</f>
        <v>1</v>
      </c>
      <c r="M107" s="1" t="str">
        <f t="shared" si="9"/>
        <v>存在しない</v>
      </c>
      <c r="N107" s="1"/>
      <c r="O107" s="1"/>
      <c r="P107" s="11"/>
      <c r="Q107" s="11"/>
      <c r="R107" s="11"/>
      <c r="S107" s="11"/>
      <c r="T107" s="1"/>
      <c r="U107" s="1"/>
      <c r="V107" s="1"/>
      <c r="W107" s="1"/>
      <c r="X107" s="1"/>
      <c r="Y107" s="1"/>
      <c r="Z107" s="1"/>
    </row>
    <row r="108" ht="18.0" customHeight="1" outlineLevel="2">
      <c r="A108" s="26">
        <v>2.0</v>
      </c>
      <c r="B108" s="28" t="s">
        <v>134</v>
      </c>
      <c r="C108" s="26" t="s">
        <v>135</v>
      </c>
      <c r="D108" s="1"/>
      <c r="E108" s="29" t="s">
        <v>125</v>
      </c>
      <c r="F108" s="15"/>
      <c r="G108" s="30">
        <v>60.0</v>
      </c>
      <c r="H108" s="22" t="s">
        <v>136</v>
      </c>
      <c r="I108" s="7"/>
      <c r="J108" s="7"/>
      <c r="K108" s="17"/>
      <c r="L108" s="17" t="b">
        <f>IF(OR(COUNTIF('クラス'!$A$1:$A$1267,$B108)&gt;0,$B108="",$M108=""),"",True)</f>
        <v>1</v>
      </c>
      <c r="M108" s="1" t="str">
        <f t="shared" si="9"/>
        <v>存在しない</v>
      </c>
      <c r="N108" s="1"/>
      <c r="O108" s="1"/>
      <c r="P108" s="11"/>
      <c r="Q108" s="11"/>
      <c r="R108" s="11"/>
      <c r="S108" s="11"/>
      <c r="T108" s="1"/>
      <c r="U108" s="1"/>
      <c r="V108" s="1"/>
      <c r="W108" s="1"/>
      <c r="X108" s="1"/>
      <c r="Y108" s="1"/>
      <c r="Z108" s="1"/>
    </row>
    <row r="109" ht="18.0" customHeight="1" outlineLevel="2">
      <c r="A109" s="26">
        <v>3.0</v>
      </c>
      <c r="B109" s="28" t="s">
        <v>137</v>
      </c>
      <c r="C109" s="26" t="s">
        <v>138</v>
      </c>
      <c r="D109" s="1"/>
      <c r="E109" s="29" t="s">
        <v>125</v>
      </c>
      <c r="F109" s="15"/>
      <c r="G109" s="30">
        <v>60.0</v>
      </c>
      <c r="H109" s="22" t="s">
        <v>139</v>
      </c>
      <c r="I109" s="7"/>
      <c r="J109" s="7"/>
      <c r="K109" s="17"/>
      <c r="L109" s="17" t="b">
        <f>IF(OR(COUNTIF('クラス'!$A$1:$A$1267,$B109)&gt;0,$B109="",$M109=""),"",True)</f>
        <v>1</v>
      </c>
      <c r="M109" s="1" t="str">
        <f t="shared" si="9"/>
        <v>存在しない</v>
      </c>
      <c r="N109" s="1"/>
      <c r="O109" s="1"/>
      <c r="P109" s="11"/>
      <c r="Q109" s="11"/>
      <c r="R109" s="11"/>
      <c r="S109" s="11"/>
      <c r="T109" s="1"/>
      <c r="U109" s="1"/>
      <c r="V109" s="1"/>
      <c r="W109" s="1"/>
      <c r="X109" s="1"/>
      <c r="Y109" s="1"/>
      <c r="Z109" s="1"/>
    </row>
    <row r="110" ht="18.0" customHeight="1" outlineLevel="2">
      <c r="A110" s="26">
        <v>3.0</v>
      </c>
      <c r="B110" s="28" t="s">
        <v>140</v>
      </c>
      <c r="C110" s="26" t="s">
        <v>141</v>
      </c>
      <c r="D110" s="1"/>
      <c r="E110" s="29" t="s">
        <v>33</v>
      </c>
      <c r="F110" s="15"/>
      <c r="G110" s="30">
        <v>60.0</v>
      </c>
      <c r="H110" s="22" t="s">
        <v>142</v>
      </c>
      <c r="I110" s="7"/>
      <c r="J110" s="7"/>
      <c r="K110" s="17"/>
      <c r="L110" s="17" t="b">
        <f>IF(OR(COUNTIF('クラス'!$A$1:$A$1267,$B110)&gt;0,$B110="",$M110=""),"",True)</f>
        <v>1</v>
      </c>
      <c r="M110" s="1" t="str">
        <f t="shared" si="9"/>
        <v>存在しない</v>
      </c>
      <c r="N110" s="1"/>
      <c r="O110" s="1"/>
      <c r="P110" s="11"/>
      <c r="Q110" s="11"/>
      <c r="R110" s="11"/>
      <c r="S110" s="11"/>
      <c r="T110" s="1"/>
      <c r="U110" s="1"/>
      <c r="V110" s="1"/>
      <c r="W110" s="1"/>
      <c r="X110" s="1"/>
      <c r="Y110" s="1"/>
      <c r="Z110" s="1"/>
    </row>
    <row r="111" ht="18.0" customHeight="1" outlineLevel="2">
      <c r="A111" s="26">
        <v>3.0</v>
      </c>
      <c r="B111" s="28" t="s">
        <v>143</v>
      </c>
      <c r="C111" s="26" t="s">
        <v>144</v>
      </c>
      <c r="D111" s="1"/>
      <c r="E111" s="29" t="s">
        <v>33</v>
      </c>
      <c r="F111" s="15"/>
      <c r="G111" s="30">
        <v>60.0</v>
      </c>
      <c r="H111" s="31" t="s">
        <v>145</v>
      </c>
      <c r="I111" s="7"/>
      <c r="J111" s="32" t="s">
        <v>146</v>
      </c>
      <c r="K111" s="17"/>
      <c r="L111" s="17" t="b">
        <f>IF(OR(COUNTIF('クラス'!$A$1:$A$1267,$B111)&gt;0,$B111="",$M111=""),"",True)</f>
        <v>1</v>
      </c>
      <c r="M111" s="1" t="str">
        <f t="shared" si="9"/>
        <v>存在しない</v>
      </c>
      <c r="N111" s="1"/>
      <c r="O111" s="1"/>
      <c r="P111" s="11"/>
      <c r="Q111" s="11"/>
      <c r="R111" s="11"/>
      <c r="S111" s="11"/>
      <c r="T111" s="1"/>
      <c r="U111" s="1"/>
      <c r="V111" s="1"/>
      <c r="W111" s="1"/>
      <c r="X111" s="1"/>
      <c r="Y111" s="1"/>
      <c r="Z111" s="1"/>
    </row>
    <row r="112" ht="18.0" customHeight="1" outlineLevel="2">
      <c r="A112" s="26">
        <v>4.0</v>
      </c>
      <c r="B112" s="28" t="s">
        <v>147</v>
      </c>
      <c r="C112" s="26" t="s">
        <v>148</v>
      </c>
      <c r="D112" s="1"/>
      <c r="E112" s="29" t="s">
        <v>33</v>
      </c>
      <c r="F112" s="15"/>
      <c r="G112" s="30">
        <v>60.0</v>
      </c>
      <c r="H112" s="22" t="s">
        <v>149</v>
      </c>
      <c r="I112" s="7"/>
      <c r="J112" s="7"/>
      <c r="K112" s="17"/>
      <c r="L112" s="17" t="str">
        <f>IF(OR(COUNTIF('クラス'!$A$1:$A$1267,$B112)&gt;0,$B112="",$M112=""),"",True)</f>
        <v/>
      </c>
      <c r="M112" s="1" t="str">
        <f t="shared" si="9"/>
        <v>存在しない</v>
      </c>
      <c r="N112" s="1"/>
      <c r="O112" s="1"/>
      <c r="P112" s="11"/>
      <c r="Q112" s="11"/>
      <c r="R112" s="11"/>
      <c r="S112" s="11"/>
      <c r="T112" s="1"/>
      <c r="U112" s="1"/>
      <c r="V112" s="1"/>
      <c r="W112" s="1"/>
      <c r="X112" s="1"/>
      <c r="Y112" s="1"/>
      <c r="Z112" s="1"/>
    </row>
    <row r="113" ht="18.0" customHeight="1" outlineLevel="2">
      <c r="A113" s="26">
        <v>4.0</v>
      </c>
      <c r="B113" s="28" t="s">
        <v>150</v>
      </c>
      <c r="C113" s="26" t="s">
        <v>151</v>
      </c>
      <c r="D113" s="1"/>
      <c r="E113" s="29" t="s">
        <v>33</v>
      </c>
      <c r="F113" s="15"/>
      <c r="G113" s="30">
        <v>60.0</v>
      </c>
      <c r="H113" s="22" t="s">
        <v>152</v>
      </c>
      <c r="I113" s="7"/>
      <c r="J113" s="7"/>
      <c r="K113" s="17"/>
      <c r="L113" s="17" t="b">
        <f>IF(OR(COUNTIF('クラス'!$A$1:$A$1267,$B113)&gt;0,$B113="",$M113=""),"",True)</f>
        <v>1</v>
      </c>
      <c r="M113" s="1" t="str">
        <f t="shared" si="9"/>
        <v>存在しない</v>
      </c>
      <c r="N113" s="1"/>
      <c r="O113" s="1"/>
      <c r="P113" s="11"/>
      <c r="Q113" s="11"/>
      <c r="R113" s="11"/>
      <c r="S113" s="11"/>
      <c r="T113" s="1"/>
      <c r="U113" s="1"/>
      <c r="V113" s="1"/>
      <c r="W113" s="1"/>
      <c r="X113" s="1"/>
      <c r="Y113" s="1"/>
      <c r="Z113" s="1"/>
    </row>
    <row r="114" ht="18.0" customHeight="1" outlineLevel="2">
      <c r="A114" s="26">
        <v>4.0</v>
      </c>
      <c r="B114" s="28" t="s">
        <v>153</v>
      </c>
      <c r="C114" s="26" t="s">
        <v>154</v>
      </c>
      <c r="D114" s="1"/>
      <c r="E114" s="29" t="s">
        <v>125</v>
      </c>
      <c r="F114" s="15"/>
      <c r="G114" s="30">
        <v>60.0</v>
      </c>
      <c r="H114" s="22" t="s">
        <v>155</v>
      </c>
      <c r="I114" s="7"/>
      <c r="J114" s="32" t="s">
        <v>156</v>
      </c>
      <c r="K114" s="17"/>
      <c r="L114" s="17" t="b">
        <f>IF(OR(COUNTIF('クラス'!$A$1:$A$1267,$B114)&gt;0,$B114="",$M114=""),"",True)</f>
        <v>1</v>
      </c>
      <c r="M114" s="1" t="str">
        <f t="shared" si="9"/>
        <v>存在しない</v>
      </c>
      <c r="N114" s="1"/>
      <c r="O114" s="1"/>
      <c r="P114" s="11"/>
      <c r="Q114" s="11"/>
      <c r="R114" s="11"/>
      <c r="S114" s="11"/>
      <c r="T114" s="1"/>
      <c r="U114" s="1"/>
      <c r="V114" s="1"/>
      <c r="W114" s="1"/>
      <c r="X114" s="1"/>
      <c r="Y114" s="1"/>
      <c r="Z114" s="1"/>
    </row>
    <row r="115" ht="18.0" customHeight="1" outlineLevel="2">
      <c r="A115" s="26">
        <v>5.0</v>
      </c>
      <c r="B115" s="28" t="s">
        <v>157</v>
      </c>
      <c r="C115" s="26" t="s">
        <v>158</v>
      </c>
      <c r="D115" s="1"/>
      <c r="E115" s="29" t="s">
        <v>33</v>
      </c>
      <c r="F115" s="15"/>
      <c r="G115" s="30">
        <v>60.0</v>
      </c>
      <c r="H115" s="22" t="s">
        <v>159</v>
      </c>
      <c r="I115" s="7"/>
      <c r="J115" s="7"/>
      <c r="K115" s="17"/>
      <c r="L115" s="17" t="b">
        <f>IF(OR(COUNTIF('クラス'!$A$1:$A$1267,$B115)&gt;0,$B115="",$M115=""),"",True)</f>
        <v>1</v>
      </c>
      <c r="M115" s="1" t="str">
        <f t="shared" si="9"/>
        <v>存在しない</v>
      </c>
      <c r="N115" s="1"/>
      <c r="O115" s="1"/>
      <c r="P115" s="11"/>
      <c r="Q115" s="11"/>
      <c r="R115" s="11"/>
      <c r="S115" s="11"/>
      <c r="T115" s="1"/>
      <c r="U115" s="1"/>
      <c r="V115" s="1"/>
      <c r="W115" s="1"/>
      <c r="X115" s="1"/>
      <c r="Y115" s="1"/>
      <c r="Z115" s="1"/>
    </row>
    <row r="116" ht="18.0" customHeight="1" outlineLevel="2">
      <c r="A116" s="26">
        <v>5.0</v>
      </c>
      <c r="B116" s="28" t="s">
        <v>160</v>
      </c>
      <c r="C116" s="26" t="s">
        <v>161</v>
      </c>
      <c r="D116" s="1"/>
      <c r="E116" s="29" t="s">
        <v>162</v>
      </c>
      <c r="F116" s="15"/>
      <c r="G116" s="30">
        <v>60.0</v>
      </c>
      <c r="H116" s="22" t="s">
        <v>163</v>
      </c>
      <c r="I116" s="7"/>
      <c r="J116" s="7"/>
      <c r="K116" s="17"/>
      <c r="L116" s="17" t="b">
        <f>IF(OR(COUNTIF('クラス'!$A$1:$A$1267,$B116)&gt;0,$B116="",$M116=""),"",True)</f>
        <v>1</v>
      </c>
      <c r="M116" s="1" t="str">
        <f t="shared" si="9"/>
        <v>存在しない</v>
      </c>
      <c r="N116" s="1"/>
      <c r="O116" s="1"/>
      <c r="P116" s="11"/>
      <c r="Q116" s="11"/>
      <c r="R116" s="11"/>
      <c r="S116" s="11"/>
      <c r="T116" s="1"/>
      <c r="U116" s="1"/>
      <c r="V116" s="1"/>
      <c r="W116" s="1"/>
      <c r="X116" s="1"/>
      <c r="Y116" s="1"/>
      <c r="Z116" s="1"/>
    </row>
    <row r="117" ht="18.0" customHeight="1" outlineLevel="2">
      <c r="A117" s="26">
        <v>5.0</v>
      </c>
      <c r="B117" s="28" t="s">
        <v>164</v>
      </c>
      <c r="C117" s="26" t="s">
        <v>165</v>
      </c>
      <c r="D117" s="1"/>
      <c r="E117" s="29" t="s">
        <v>33</v>
      </c>
      <c r="F117" s="15"/>
      <c r="G117" s="30">
        <v>60.0</v>
      </c>
      <c r="H117" s="22" t="s">
        <v>166</v>
      </c>
      <c r="I117" s="7"/>
      <c r="J117" s="7"/>
      <c r="K117" s="17"/>
      <c r="L117" s="17" t="b">
        <f>IF(OR(COUNTIF('クラス'!$A$1:$A$1267,$B117)&gt;0,$B117="",$M117=""),"",True)</f>
        <v>1</v>
      </c>
      <c r="M117" s="1" t="str">
        <f t="shared" si="9"/>
        <v>存在しない</v>
      </c>
      <c r="N117" s="1"/>
      <c r="O117" s="1"/>
      <c r="P117" s="11"/>
      <c r="Q117" s="11"/>
      <c r="R117" s="11"/>
      <c r="S117" s="11"/>
      <c r="T117" s="1"/>
      <c r="U117" s="1"/>
      <c r="V117" s="1"/>
      <c r="W117" s="1"/>
      <c r="X117" s="1"/>
      <c r="Y117" s="1"/>
      <c r="Z117" s="1"/>
    </row>
    <row r="118" ht="18.0" customHeight="1" outlineLevel="2">
      <c r="A118" s="26">
        <v>6.0</v>
      </c>
      <c r="B118" s="28" t="s">
        <v>167</v>
      </c>
      <c r="C118" s="26" t="s">
        <v>168</v>
      </c>
      <c r="D118" s="1"/>
      <c r="E118" s="29" t="s">
        <v>33</v>
      </c>
      <c r="F118" s="15"/>
      <c r="G118" s="30">
        <v>60.0</v>
      </c>
      <c r="H118" s="22" t="s">
        <v>169</v>
      </c>
      <c r="I118" s="7"/>
      <c r="J118" s="32" t="s">
        <v>170</v>
      </c>
      <c r="K118" s="17"/>
      <c r="L118" s="17" t="b">
        <f>IF(OR(COUNTIF('クラス'!$A$1:$A$1267,$B118)&gt;0,$B118="",$M118=""),"",True)</f>
        <v>1</v>
      </c>
      <c r="M118" s="1" t="str">
        <f t="shared" si="9"/>
        <v>存在しない</v>
      </c>
      <c r="N118" s="1"/>
      <c r="O118" s="1"/>
      <c r="P118" s="11"/>
      <c r="Q118" s="11"/>
      <c r="R118" s="11"/>
      <c r="S118" s="11"/>
      <c r="T118" s="1"/>
      <c r="U118" s="1"/>
      <c r="V118" s="1"/>
      <c r="W118" s="1"/>
      <c r="X118" s="1"/>
      <c r="Y118" s="1"/>
      <c r="Z118" s="1"/>
    </row>
    <row r="119" ht="18.0" customHeight="1" outlineLevel="2">
      <c r="A119" s="26">
        <v>6.0</v>
      </c>
      <c r="B119" s="28" t="s">
        <v>171</v>
      </c>
      <c r="C119" s="1"/>
      <c r="D119" s="1"/>
      <c r="E119" s="29" t="s">
        <v>33</v>
      </c>
      <c r="F119" s="15"/>
      <c r="G119" s="30">
        <v>60.0</v>
      </c>
      <c r="H119" s="11"/>
      <c r="I119" s="7"/>
      <c r="J119" s="7"/>
      <c r="K119" s="17"/>
      <c r="L119" s="17" t="b">
        <f>IF(OR(COUNTIF('クラス'!$A$1:$A$1267,$B119)&gt;0,$B119="",$M119=""),"",True)</f>
        <v>1</v>
      </c>
      <c r="M119" s="1" t="str">
        <f t="shared" si="9"/>
        <v>存在しない</v>
      </c>
      <c r="N119" s="1"/>
      <c r="O119" s="1"/>
      <c r="P119" s="11"/>
      <c r="Q119" s="11"/>
      <c r="R119" s="11"/>
      <c r="S119" s="11"/>
      <c r="T119" s="1"/>
      <c r="U119" s="1"/>
      <c r="V119" s="1"/>
      <c r="W119" s="1"/>
      <c r="X119" s="1"/>
      <c r="Y119" s="1"/>
      <c r="Z119" s="1"/>
    </row>
    <row r="120" ht="18.0" customHeight="1" outlineLevel="2">
      <c r="A120" s="26">
        <v>7.0</v>
      </c>
      <c r="B120" s="28" t="s">
        <v>172</v>
      </c>
      <c r="C120" s="26" t="s">
        <v>173</v>
      </c>
      <c r="D120" s="1"/>
      <c r="E120" s="29" t="s">
        <v>33</v>
      </c>
      <c r="F120" s="15"/>
      <c r="G120" s="30">
        <v>60.0</v>
      </c>
      <c r="H120" s="31" t="s">
        <v>174</v>
      </c>
      <c r="I120" s="7"/>
      <c r="J120" s="7"/>
      <c r="K120" s="17"/>
      <c r="L120" s="17" t="b">
        <f>IF(OR(COUNTIF('クラス'!$A$1:$A$1267,$B120)&gt;0,$B120="",$M120=""),"",True)</f>
        <v>1</v>
      </c>
      <c r="M120" s="1" t="str">
        <f t="shared" si="9"/>
        <v>存在しない</v>
      </c>
      <c r="N120" s="1"/>
      <c r="O120" s="1"/>
      <c r="P120" s="11"/>
      <c r="Q120" s="11"/>
      <c r="R120" s="11"/>
      <c r="S120" s="11"/>
      <c r="T120" s="1"/>
      <c r="U120" s="1"/>
      <c r="V120" s="1"/>
      <c r="W120" s="1"/>
      <c r="X120" s="1"/>
      <c r="Y120" s="1"/>
      <c r="Z120" s="1"/>
    </row>
    <row r="121" ht="18.0" customHeight="1" outlineLevel="1">
      <c r="A121" s="26"/>
      <c r="B121" s="24"/>
      <c r="C121" s="26" t="s">
        <v>175</v>
      </c>
      <c r="D121" s="1"/>
      <c r="E121" s="14"/>
      <c r="F121" s="15"/>
      <c r="G121" s="30"/>
      <c r="H121" s="11"/>
      <c r="I121" s="7"/>
      <c r="J121" s="7"/>
      <c r="K121" s="17"/>
      <c r="L121" s="17" t="str">
        <f>IF(OR(COUNTIF('クラス'!$A$1:$A$1267,$B121)&gt;0,$B121="",$M121=""),"",True)</f>
        <v/>
      </c>
      <c r="M121" s="1" t="str">
        <f t="shared" si="9"/>
        <v>存在しない</v>
      </c>
      <c r="N121" s="1"/>
      <c r="O121" s="1"/>
      <c r="P121" s="11"/>
      <c r="Q121" s="11"/>
      <c r="R121" s="11"/>
      <c r="S121" s="11"/>
      <c r="T121" s="1"/>
      <c r="U121" s="1"/>
      <c r="V121" s="1"/>
      <c r="W121" s="1"/>
      <c r="X121" s="1"/>
      <c r="Y121" s="1"/>
      <c r="Z121" s="1"/>
    </row>
    <row r="122" ht="18.0" customHeight="1" outlineLevel="2">
      <c r="A122" s="26">
        <v>1.0</v>
      </c>
      <c r="B122" s="28" t="s">
        <v>176</v>
      </c>
      <c r="C122" s="26" t="s">
        <v>177</v>
      </c>
      <c r="D122" s="1"/>
      <c r="E122" s="29" t="s">
        <v>125</v>
      </c>
      <c r="F122" s="15"/>
      <c r="G122" s="30">
        <v>60.0</v>
      </c>
      <c r="H122" s="22" t="s">
        <v>178</v>
      </c>
      <c r="I122" s="7"/>
      <c r="J122" s="7"/>
      <c r="K122" s="17"/>
      <c r="L122" s="17" t="b">
        <f>IF(OR(COUNTIF('クラス'!$A$1:$A$1267,$B122)&gt;0,$B122="",$M122=""),"",True)</f>
        <v>1</v>
      </c>
      <c r="M122" s="1" t="str">
        <f t="shared" si="9"/>
        <v>存在しない</v>
      </c>
      <c r="N122" s="1"/>
      <c r="O122" s="1"/>
      <c r="P122" s="11"/>
      <c r="Q122" s="11"/>
      <c r="R122" s="11"/>
      <c r="S122" s="11"/>
      <c r="T122" s="1"/>
      <c r="U122" s="1"/>
      <c r="V122" s="1"/>
      <c r="W122" s="1"/>
      <c r="X122" s="1"/>
      <c r="Y122" s="1"/>
      <c r="Z122" s="1"/>
    </row>
    <row r="123" ht="18.0" customHeight="1" outlineLevel="2">
      <c r="A123" s="26">
        <v>1.0</v>
      </c>
      <c r="B123" s="28" t="s">
        <v>179</v>
      </c>
      <c r="C123" s="26" t="s">
        <v>180</v>
      </c>
      <c r="D123" s="1"/>
      <c r="E123" s="29" t="s">
        <v>125</v>
      </c>
      <c r="F123" s="15"/>
      <c r="G123" s="30">
        <v>60.0</v>
      </c>
      <c r="H123" s="22" t="s">
        <v>181</v>
      </c>
      <c r="I123" s="7"/>
      <c r="J123" s="7"/>
      <c r="K123" s="17"/>
      <c r="L123" s="17" t="b">
        <f>IF(OR(COUNTIF('クラス'!$A$1:$A$1267,$B123)&gt;0,$B123="",$M123=""),"",True)</f>
        <v>1</v>
      </c>
      <c r="M123" s="1" t="str">
        <f t="shared" si="9"/>
        <v>存在しない</v>
      </c>
      <c r="N123" s="1"/>
      <c r="O123" s="1"/>
      <c r="P123" s="11"/>
      <c r="Q123" s="11"/>
      <c r="R123" s="11"/>
      <c r="S123" s="11"/>
      <c r="T123" s="1"/>
      <c r="U123" s="1"/>
      <c r="V123" s="1"/>
      <c r="W123" s="1"/>
      <c r="X123" s="1"/>
      <c r="Y123" s="1"/>
      <c r="Z123" s="1"/>
    </row>
    <row r="124" ht="18.0" customHeight="1" outlineLevel="2">
      <c r="A124" s="26">
        <v>2.0</v>
      </c>
      <c r="B124" s="28" t="s">
        <v>182</v>
      </c>
      <c r="C124" s="26" t="s">
        <v>183</v>
      </c>
      <c r="D124" s="1"/>
      <c r="E124" s="29" t="s">
        <v>33</v>
      </c>
      <c r="F124" s="15"/>
      <c r="G124" s="30">
        <v>60.0</v>
      </c>
      <c r="H124" s="22" t="s">
        <v>184</v>
      </c>
      <c r="I124" s="7"/>
      <c r="J124" s="7"/>
      <c r="K124" s="17"/>
      <c r="L124" s="17" t="b">
        <f>IF(OR(COUNTIF('クラス'!$A$1:$A$1267,$B124)&gt;0,$B124="",$M124=""),"",True)</f>
        <v>1</v>
      </c>
      <c r="M124" s="1" t="str">
        <f t="shared" si="9"/>
        <v>存在しない</v>
      </c>
      <c r="N124" s="1"/>
      <c r="O124" s="1"/>
      <c r="P124" s="11"/>
      <c r="Q124" s="11"/>
      <c r="R124" s="11"/>
      <c r="S124" s="11"/>
      <c r="T124" s="1"/>
      <c r="U124" s="1"/>
      <c r="V124" s="1"/>
      <c r="W124" s="1"/>
      <c r="X124" s="1"/>
      <c r="Y124" s="1"/>
      <c r="Z124" s="1"/>
    </row>
    <row r="125" ht="18.0" customHeight="1" outlineLevel="2">
      <c r="A125" s="26">
        <v>2.0</v>
      </c>
      <c r="B125" s="28" t="s">
        <v>185</v>
      </c>
      <c r="C125" s="26" t="s">
        <v>186</v>
      </c>
      <c r="D125" s="1"/>
      <c r="E125" s="29" t="s">
        <v>33</v>
      </c>
      <c r="F125" s="15"/>
      <c r="G125" s="30">
        <v>60.0</v>
      </c>
      <c r="H125" s="31" t="s">
        <v>187</v>
      </c>
      <c r="I125" s="7"/>
      <c r="J125" s="7"/>
      <c r="K125" s="17"/>
      <c r="L125" s="17" t="b">
        <f>IF(OR(COUNTIF('クラス'!$A$1:$A$1267,$B125)&gt;0,$B125="",$M125=""),"",True)</f>
        <v>1</v>
      </c>
      <c r="M125" s="1" t="str">
        <f t="shared" si="9"/>
        <v>存在しない</v>
      </c>
      <c r="N125" s="1"/>
      <c r="O125" s="1"/>
      <c r="P125" s="11"/>
      <c r="Q125" s="11"/>
      <c r="R125" s="11"/>
      <c r="S125" s="11"/>
      <c r="T125" s="1"/>
      <c r="U125" s="1"/>
      <c r="V125" s="1"/>
      <c r="W125" s="1"/>
      <c r="X125" s="1"/>
      <c r="Y125" s="1"/>
      <c r="Z125" s="1"/>
    </row>
    <row r="126" ht="18.0" customHeight="1" outlineLevel="2">
      <c r="A126" s="26">
        <v>2.0</v>
      </c>
      <c r="B126" s="28" t="s">
        <v>188</v>
      </c>
      <c r="C126" s="26" t="s">
        <v>189</v>
      </c>
      <c r="D126" s="1"/>
      <c r="E126" s="29" t="s">
        <v>33</v>
      </c>
      <c r="F126" s="15"/>
      <c r="G126" s="30">
        <v>60.0</v>
      </c>
      <c r="H126" s="22" t="s">
        <v>190</v>
      </c>
      <c r="I126" s="7"/>
      <c r="J126" s="7"/>
      <c r="K126" s="17"/>
      <c r="L126" s="17" t="b">
        <f>IF(OR(COUNTIF('クラス'!$A$1:$A$1267,$B126)&gt;0,$B126="",$M126=""),"",True)</f>
        <v>1</v>
      </c>
      <c r="M126" s="1" t="str">
        <f t="shared" si="9"/>
        <v>存在しない</v>
      </c>
      <c r="N126" s="1"/>
      <c r="O126" s="1"/>
      <c r="P126" s="11"/>
      <c r="Q126" s="11"/>
      <c r="R126" s="11"/>
      <c r="S126" s="11"/>
      <c r="T126" s="1"/>
      <c r="U126" s="1"/>
      <c r="V126" s="1"/>
      <c r="W126" s="1"/>
      <c r="X126" s="1"/>
      <c r="Y126" s="1"/>
      <c r="Z126" s="1"/>
    </row>
    <row r="127" ht="18.0" customHeight="1" outlineLevel="2">
      <c r="A127" s="26">
        <v>3.0</v>
      </c>
      <c r="B127" s="28" t="s">
        <v>191</v>
      </c>
      <c r="C127" s="26" t="s">
        <v>192</v>
      </c>
      <c r="D127" s="1"/>
      <c r="E127" s="29" t="s">
        <v>125</v>
      </c>
      <c r="F127" s="15"/>
      <c r="G127" s="30">
        <v>60.0</v>
      </c>
      <c r="H127" s="22" t="s">
        <v>193</v>
      </c>
      <c r="I127" s="7"/>
      <c r="J127" s="7"/>
      <c r="K127" s="17"/>
      <c r="L127" s="17" t="b">
        <f>IF(OR(COUNTIF('クラス'!$A$1:$A$1267,$B127)&gt;0,$B127="",$M127=""),"",True)</f>
        <v>1</v>
      </c>
      <c r="M127" s="1" t="str">
        <f t="shared" si="9"/>
        <v>存在しない</v>
      </c>
      <c r="N127" s="1"/>
      <c r="O127" s="1"/>
      <c r="P127" s="11"/>
      <c r="Q127" s="11"/>
      <c r="R127" s="11"/>
      <c r="S127" s="11"/>
      <c r="T127" s="1"/>
      <c r="U127" s="1"/>
      <c r="V127" s="1"/>
      <c r="W127" s="1"/>
      <c r="X127" s="1"/>
      <c r="Y127" s="1"/>
      <c r="Z127" s="1"/>
    </row>
    <row r="128" ht="18.0" customHeight="1" outlineLevel="2">
      <c r="A128" s="26">
        <v>3.0</v>
      </c>
      <c r="B128" s="28" t="s">
        <v>194</v>
      </c>
      <c r="C128" s="1"/>
      <c r="D128" s="1"/>
      <c r="E128" s="29" t="s">
        <v>125</v>
      </c>
      <c r="F128" s="15"/>
      <c r="G128" s="30">
        <v>60.0</v>
      </c>
      <c r="H128" s="22" t="s">
        <v>195</v>
      </c>
      <c r="I128" s="7"/>
      <c r="J128" s="7"/>
      <c r="K128" s="17"/>
      <c r="L128" s="17" t="b">
        <f>IF(OR(COUNTIF('クラス'!$A$1:$A$1267,$B128)&gt;0,$B128="",$M128=""),"",True)</f>
        <v>1</v>
      </c>
      <c r="M128" s="1" t="str">
        <f t="shared" si="9"/>
        <v>存在しない</v>
      </c>
      <c r="N128" s="1"/>
      <c r="O128" s="1"/>
      <c r="P128" s="11"/>
      <c r="Q128" s="11"/>
      <c r="R128" s="11"/>
      <c r="S128" s="11"/>
      <c r="T128" s="1"/>
      <c r="U128" s="1"/>
      <c r="V128" s="1"/>
      <c r="W128" s="1"/>
      <c r="X128" s="1"/>
      <c r="Y128" s="1"/>
      <c r="Z128" s="1"/>
    </row>
    <row r="129" ht="18.0" customHeight="1" outlineLevel="2">
      <c r="A129" s="26">
        <v>3.0</v>
      </c>
      <c r="B129" s="28" t="s">
        <v>196</v>
      </c>
      <c r="C129" s="26" t="s">
        <v>197</v>
      </c>
      <c r="D129" s="1"/>
      <c r="E129" s="29" t="s">
        <v>33</v>
      </c>
      <c r="F129" s="15"/>
      <c r="G129" s="30">
        <v>60.0</v>
      </c>
      <c r="H129" s="31" t="s">
        <v>198</v>
      </c>
      <c r="I129" s="7"/>
      <c r="J129" s="7"/>
      <c r="K129" s="17"/>
      <c r="L129" s="17" t="b">
        <f>IF(OR(COUNTIF('クラス'!$A$1:$A$1267,$B129)&gt;0,$B129="",$M129=""),"",True)</f>
        <v>1</v>
      </c>
      <c r="M129" s="1" t="str">
        <f t="shared" si="9"/>
        <v>存在しない</v>
      </c>
      <c r="N129" s="1"/>
      <c r="O129" s="1"/>
      <c r="P129" s="11"/>
      <c r="Q129" s="11"/>
      <c r="R129" s="11"/>
      <c r="S129" s="11"/>
      <c r="T129" s="1"/>
      <c r="U129" s="1"/>
      <c r="V129" s="1"/>
      <c r="W129" s="1"/>
      <c r="X129" s="1"/>
      <c r="Y129" s="1"/>
      <c r="Z129" s="1"/>
    </row>
    <row r="130" ht="18.0" customHeight="1" outlineLevel="2">
      <c r="A130" s="26">
        <v>4.0</v>
      </c>
      <c r="B130" s="28" t="s">
        <v>199</v>
      </c>
      <c r="C130" s="26" t="s">
        <v>200</v>
      </c>
      <c r="D130" s="1"/>
      <c r="E130" s="29" t="s">
        <v>33</v>
      </c>
      <c r="F130" s="15"/>
      <c r="G130" s="30">
        <v>60.0</v>
      </c>
      <c r="H130" s="22" t="s">
        <v>201</v>
      </c>
      <c r="I130" s="7"/>
      <c r="J130" s="7"/>
      <c r="K130" s="17"/>
      <c r="L130" s="17" t="b">
        <f>IF(OR(COUNTIF('クラス'!$A$1:$A$1267,$B130)&gt;0,$B130="",$M130=""),"",True)</f>
        <v>1</v>
      </c>
      <c r="M130" s="1" t="str">
        <f t="shared" si="9"/>
        <v>存在しない</v>
      </c>
      <c r="N130" s="1"/>
      <c r="O130" s="1"/>
      <c r="P130" s="11"/>
      <c r="Q130" s="11"/>
      <c r="R130" s="11"/>
      <c r="S130" s="11"/>
      <c r="T130" s="1"/>
      <c r="U130" s="1"/>
      <c r="V130" s="1"/>
      <c r="W130" s="1"/>
      <c r="X130" s="1"/>
      <c r="Y130" s="1"/>
      <c r="Z130" s="1"/>
    </row>
    <row r="131" ht="18.0" customHeight="1" outlineLevel="2">
      <c r="A131" s="26">
        <v>4.0</v>
      </c>
      <c r="B131" s="28" t="s">
        <v>202</v>
      </c>
      <c r="C131" s="26" t="s">
        <v>203</v>
      </c>
      <c r="D131" s="1"/>
      <c r="E131" s="29" t="s">
        <v>33</v>
      </c>
      <c r="F131" s="15"/>
      <c r="G131" s="30">
        <v>60.0</v>
      </c>
      <c r="H131" s="31" t="s">
        <v>204</v>
      </c>
      <c r="I131" s="7"/>
      <c r="J131" s="7"/>
      <c r="K131" s="33" t="s">
        <v>205</v>
      </c>
      <c r="L131" s="17" t="b">
        <f>IF(OR(COUNTIF('クラス'!$A$1:$A$1267,$B131)&gt;0,$B131="",$M131=""),"",True)</f>
        <v>1</v>
      </c>
      <c r="M131" s="1" t="str">
        <f t="shared" si="9"/>
        <v>存在しない</v>
      </c>
      <c r="N131" s="1"/>
      <c r="O131" s="1"/>
      <c r="P131" s="11"/>
      <c r="Q131" s="11"/>
      <c r="R131" s="11"/>
      <c r="S131" s="11"/>
      <c r="T131" s="1"/>
      <c r="U131" s="1"/>
      <c r="V131" s="1"/>
      <c r="W131" s="1"/>
      <c r="X131" s="1"/>
      <c r="Y131" s="1"/>
      <c r="Z131" s="1"/>
    </row>
    <row r="132" ht="18.0" customHeight="1" outlineLevel="2">
      <c r="A132" s="26">
        <v>4.0</v>
      </c>
      <c r="B132" s="28" t="s">
        <v>206</v>
      </c>
      <c r="C132" s="1"/>
      <c r="D132" s="1"/>
      <c r="E132" s="29" t="s">
        <v>33</v>
      </c>
      <c r="F132" s="15"/>
      <c r="G132" s="30">
        <v>60.0</v>
      </c>
      <c r="H132" s="31" t="s">
        <v>207</v>
      </c>
      <c r="I132" s="7"/>
      <c r="J132" s="7"/>
      <c r="K132" s="17"/>
      <c r="L132" s="17" t="b">
        <f>IF(OR(COUNTIF('クラス'!$A$1:$A$1267,$B132)&gt;0,$B132="",$M132=""),"",True)</f>
        <v>1</v>
      </c>
      <c r="M132" s="1" t="str">
        <f t="shared" si="9"/>
        <v>存在しない</v>
      </c>
      <c r="N132" s="1"/>
      <c r="O132" s="1"/>
      <c r="P132" s="11"/>
      <c r="Q132" s="11"/>
      <c r="R132" s="11"/>
      <c r="S132" s="11"/>
      <c r="T132" s="1"/>
      <c r="U132" s="1"/>
      <c r="V132" s="1"/>
      <c r="W132" s="1"/>
      <c r="X132" s="1"/>
      <c r="Y132" s="1"/>
      <c r="Z132" s="1"/>
    </row>
    <row r="133" ht="18.0" customHeight="1" outlineLevel="2">
      <c r="A133" s="26">
        <v>5.0</v>
      </c>
      <c r="B133" s="28" t="s">
        <v>208</v>
      </c>
      <c r="C133" s="26" t="s">
        <v>209</v>
      </c>
      <c r="D133" s="1"/>
      <c r="E133" s="29" t="s">
        <v>210</v>
      </c>
      <c r="F133" s="15"/>
      <c r="G133" s="30">
        <v>60.0</v>
      </c>
      <c r="H133" s="31" t="s">
        <v>211</v>
      </c>
      <c r="I133" s="7"/>
      <c r="J133" s="7"/>
      <c r="K133" s="17"/>
      <c r="L133" s="17" t="b">
        <f>IF(OR(COUNTIF('クラス'!$A$1:$A$1267,$B133)&gt;0,$B133="",$M133=""),"",True)</f>
        <v>1</v>
      </c>
      <c r="M133" s="1" t="str">
        <f t="shared" si="9"/>
        <v>存在しない</v>
      </c>
      <c r="N133" s="1"/>
      <c r="O133" s="1"/>
      <c r="P133" s="11"/>
      <c r="Q133" s="11"/>
      <c r="R133" s="11"/>
      <c r="S133" s="11"/>
      <c r="T133" s="1"/>
      <c r="U133" s="1"/>
      <c r="V133" s="1"/>
      <c r="W133" s="1"/>
      <c r="X133" s="1"/>
      <c r="Y133" s="1"/>
      <c r="Z133" s="1"/>
    </row>
    <row r="134" ht="18.0" customHeight="1" outlineLevel="2">
      <c r="A134" s="26">
        <v>5.0</v>
      </c>
      <c r="B134" s="28" t="s">
        <v>212</v>
      </c>
      <c r="C134" s="1"/>
      <c r="D134" s="1"/>
      <c r="E134" s="29" t="s">
        <v>33</v>
      </c>
      <c r="F134" s="15"/>
      <c r="G134" s="30">
        <v>60.0</v>
      </c>
      <c r="H134" s="22" t="s">
        <v>213</v>
      </c>
      <c r="I134" s="7"/>
      <c r="J134" s="7"/>
      <c r="K134" s="17"/>
      <c r="L134" s="17" t="b">
        <f>IF(OR(COUNTIF('クラス'!$A$1:$A$1267,$B134)&gt;0,$B134="",$M134=""),"",True)</f>
        <v>1</v>
      </c>
      <c r="M134" s="1" t="str">
        <f t="shared" si="9"/>
        <v>存在しない</v>
      </c>
      <c r="N134" s="1"/>
      <c r="O134" s="1"/>
      <c r="P134" s="11"/>
      <c r="Q134" s="11"/>
      <c r="R134" s="11"/>
      <c r="S134" s="11"/>
      <c r="T134" s="1"/>
      <c r="U134" s="1"/>
      <c r="V134" s="1"/>
      <c r="W134" s="1"/>
      <c r="X134" s="1"/>
      <c r="Y134" s="1"/>
      <c r="Z134" s="1"/>
    </row>
    <row r="135" ht="18.0" customHeight="1" outlineLevel="2">
      <c r="A135" s="26">
        <v>6.0</v>
      </c>
      <c r="B135" s="28" t="s">
        <v>214</v>
      </c>
      <c r="C135" s="26" t="s">
        <v>215</v>
      </c>
      <c r="D135" s="1"/>
      <c r="E135" s="29" t="s">
        <v>162</v>
      </c>
      <c r="F135" s="15"/>
      <c r="G135" s="30">
        <v>60.0</v>
      </c>
      <c r="H135" s="22" t="s">
        <v>216</v>
      </c>
      <c r="I135" s="7"/>
      <c r="J135" s="7"/>
      <c r="K135" s="17"/>
      <c r="L135" s="17" t="b">
        <f>IF(OR(COUNTIF('クラス'!$A$1:$A$1267,$B135)&gt;0,$B135="",$M135=""),"",True)</f>
        <v>1</v>
      </c>
      <c r="M135" s="1" t="str">
        <f t="shared" si="9"/>
        <v>存在しない</v>
      </c>
      <c r="N135" s="1"/>
      <c r="O135" s="1"/>
      <c r="P135" s="11"/>
      <c r="Q135" s="11"/>
      <c r="R135" s="11"/>
      <c r="S135" s="11"/>
      <c r="T135" s="1"/>
      <c r="U135" s="1"/>
      <c r="V135" s="1"/>
      <c r="W135" s="1"/>
      <c r="X135" s="1"/>
      <c r="Y135" s="1"/>
      <c r="Z135" s="1"/>
    </row>
    <row r="136" ht="18.0" customHeight="1" outlineLevel="2">
      <c r="A136" s="26">
        <v>6.0</v>
      </c>
      <c r="B136" s="28" t="s">
        <v>217</v>
      </c>
      <c r="C136" s="1"/>
      <c r="D136" s="1"/>
      <c r="E136" s="29" t="s">
        <v>33</v>
      </c>
      <c r="F136" s="15"/>
      <c r="G136" s="30">
        <v>60.0</v>
      </c>
      <c r="H136" s="22" t="s">
        <v>218</v>
      </c>
      <c r="I136" s="7"/>
      <c r="J136" s="7"/>
      <c r="K136" s="17"/>
      <c r="L136" s="17" t="b">
        <f>IF(OR(COUNTIF('クラス'!$A$1:$A$1267,$B136)&gt;0,$B136="",$M136=""),"",True)</f>
        <v>1</v>
      </c>
      <c r="M136" s="1" t="str">
        <f t="shared" si="9"/>
        <v>存在しない</v>
      </c>
      <c r="N136" s="1"/>
      <c r="O136" s="1"/>
      <c r="P136" s="11"/>
      <c r="Q136" s="11"/>
      <c r="R136" s="11"/>
      <c r="S136" s="11"/>
      <c r="T136" s="1"/>
      <c r="U136" s="1"/>
      <c r="V136" s="1"/>
      <c r="W136" s="1"/>
      <c r="X136" s="1"/>
      <c r="Y136" s="1"/>
      <c r="Z136" s="1"/>
    </row>
    <row r="137" ht="18.0" customHeight="1" outlineLevel="2">
      <c r="A137" s="26">
        <v>7.0</v>
      </c>
      <c r="B137" s="28" t="s">
        <v>219</v>
      </c>
      <c r="C137" s="26" t="s">
        <v>220</v>
      </c>
      <c r="D137" s="1"/>
      <c r="E137" s="29" t="s">
        <v>33</v>
      </c>
      <c r="F137" s="15"/>
      <c r="G137" s="30">
        <v>60.0</v>
      </c>
      <c r="H137" s="22" t="s">
        <v>221</v>
      </c>
      <c r="I137" s="7"/>
      <c r="J137" s="7"/>
      <c r="K137" s="17"/>
      <c r="L137" s="17" t="b">
        <f>IF(OR(COUNTIF('クラス'!$A$1:$A$1267,$B137)&gt;0,$B137="",$M137=""),"",True)</f>
        <v>1</v>
      </c>
      <c r="M137" s="1" t="str">
        <f t="shared" si="9"/>
        <v>存在しない</v>
      </c>
      <c r="N137" s="1"/>
      <c r="O137" s="1"/>
      <c r="P137" s="11"/>
      <c r="Q137" s="11"/>
      <c r="R137" s="11"/>
      <c r="S137" s="11"/>
      <c r="T137" s="1"/>
      <c r="U137" s="1"/>
      <c r="V137" s="1"/>
      <c r="W137" s="1"/>
      <c r="X137" s="1"/>
      <c r="Y137" s="1"/>
      <c r="Z137" s="1"/>
    </row>
    <row r="138" ht="18.0" customHeight="1" outlineLevel="2">
      <c r="A138" s="26">
        <v>7.0</v>
      </c>
      <c r="B138" s="28" t="s">
        <v>222</v>
      </c>
      <c r="C138" s="26" t="s">
        <v>220</v>
      </c>
      <c r="D138" s="1"/>
      <c r="E138" s="29" t="s">
        <v>210</v>
      </c>
      <c r="F138" s="15"/>
      <c r="G138" s="30">
        <v>60.0</v>
      </c>
      <c r="H138" s="22" t="s">
        <v>223</v>
      </c>
      <c r="I138" s="7"/>
      <c r="J138" s="7"/>
      <c r="K138" s="17"/>
      <c r="L138" s="17" t="b">
        <f>IF(OR(COUNTIF('クラス'!$A$1:$A$1267,$B138)&gt;0,$B138="",$M138=""),"",True)</f>
        <v>1</v>
      </c>
      <c r="M138" s="1" t="str">
        <f t="shared" si="9"/>
        <v>存在しない</v>
      </c>
      <c r="N138" s="1"/>
      <c r="O138" s="1"/>
      <c r="P138" s="11"/>
      <c r="Q138" s="11"/>
      <c r="R138" s="11"/>
      <c r="S138" s="11"/>
      <c r="T138" s="1"/>
      <c r="U138" s="1"/>
      <c r="V138" s="1"/>
      <c r="W138" s="1"/>
      <c r="X138" s="1"/>
      <c r="Y138" s="1"/>
      <c r="Z138" s="1"/>
    </row>
    <row r="139" ht="18.0" customHeight="1" outlineLevel="1">
      <c r="A139" s="26"/>
      <c r="B139" s="24"/>
      <c r="C139" s="26" t="s">
        <v>224</v>
      </c>
      <c r="D139" s="1"/>
      <c r="E139" s="14"/>
      <c r="F139" s="15"/>
      <c r="G139" s="30"/>
      <c r="H139" s="11"/>
      <c r="I139" s="7"/>
      <c r="J139" s="7"/>
      <c r="K139" s="17"/>
      <c r="L139" s="17" t="str">
        <f>IF(OR(COUNTIF('クラス'!$A$1:$A$1267,$B139)&gt;0,$B139="",$M139=""),"",True)</f>
        <v/>
      </c>
      <c r="M139" s="1" t="str">
        <f t="shared" si="9"/>
        <v>存在しない</v>
      </c>
      <c r="N139" s="1"/>
      <c r="O139" s="1"/>
      <c r="P139" s="11"/>
      <c r="Q139" s="11"/>
      <c r="R139" s="11"/>
      <c r="S139" s="11"/>
      <c r="T139" s="1"/>
      <c r="U139" s="1"/>
      <c r="V139" s="1"/>
      <c r="W139" s="1"/>
      <c r="X139" s="1"/>
      <c r="Y139" s="1"/>
      <c r="Z139" s="1"/>
    </row>
    <row r="140" ht="18.0" customHeight="1" outlineLevel="2">
      <c r="A140" s="26">
        <v>1.0</v>
      </c>
      <c r="B140" s="28" t="s">
        <v>225</v>
      </c>
      <c r="C140" s="1"/>
      <c r="D140" s="1"/>
      <c r="E140" s="14"/>
      <c r="F140" s="15"/>
      <c r="G140" s="30">
        <v>60.0</v>
      </c>
      <c r="H140" s="31" t="s">
        <v>226</v>
      </c>
      <c r="I140" s="7"/>
      <c r="J140" s="7"/>
      <c r="K140" s="17"/>
      <c r="L140" s="17" t="b">
        <f>IF(OR(COUNTIF('クラス'!$A$1:$A$1267,$B140)&gt;0,$B140="",$M140=""),"",True)</f>
        <v>1</v>
      </c>
      <c r="M140" s="1" t="str">
        <f t="shared" si="9"/>
        <v>存在しない</v>
      </c>
      <c r="N140" s="1"/>
      <c r="O140" s="1"/>
      <c r="P140" s="11"/>
      <c r="Q140" s="11"/>
      <c r="R140" s="11"/>
      <c r="S140" s="11"/>
      <c r="T140" s="1"/>
      <c r="U140" s="1"/>
      <c r="V140" s="1"/>
      <c r="W140" s="1"/>
      <c r="X140" s="1"/>
      <c r="Y140" s="1"/>
      <c r="Z140" s="1"/>
    </row>
    <row r="141" ht="18.0" customHeight="1" outlineLevel="2">
      <c r="A141" s="26">
        <v>1.0</v>
      </c>
      <c r="B141" s="28" t="s">
        <v>227</v>
      </c>
      <c r="C141" s="1"/>
      <c r="D141" s="1"/>
      <c r="E141" s="14"/>
      <c r="F141" s="15"/>
      <c r="G141" s="30">
        <v>60.0</v>
      </c>
      <c r="H141" s="22" t="s">
        <v>228</v>
      </c>
      <c r="I141" s="7"/>
      <c r="J141" s="7"/>
      <c r="K141" s="17"/>
      <c r="L141" s="17" t="b">
        <f>IF(OR(COUNTIF('クラス'!$A$1:$A$1267,$B141)&gt;0,$B141="",$M141=""),"",True)</f>
        <v>1</v>
      </c>
      <c r="M141" s="1" t="str">
        <f t="shared" si="9"/>
        <v>存在しない</v>
      </c>
      <c r="N141" s="1"/>
      <c r="O141" s="1"/>
      <c r="P141" s="11"/>
      <c r="Q141" s="11"/>
      <c r="R141" s="11"/>
      <c r="S141" s="11"/>
      <c r="T141" s="1"/>
      <c r="U141" s="1"/>
      <c r="V141" s="1"/>
      <c r="W141" s="1"/>
      <c r="X141" s="1"/>
      <c r="Y141" s="1"/>
      <c r="Z141" s="1"/>
    </row>
    <row r="142" ht="18.0" customHeight="1" outlineLevel="2">
      <c r="A142" s="26">
        <v>1.0</v>
      </c>
      <c r="B142" s="28" t="s">
        <v>229</v>
      </c>
      <c r="C142" s="1"/>
      <c r="D142" s="1"/>
      <c r="E142" s="14"/>
      <c r="F142" s="15"/>
      <c r="G142" s="30">
        <v>60.0</v>
      </c>
      <c r="H142" s="22" t="s">
        <v>230</v>
      </c>
      <c r="I142" s="7"/>
      <c r="J142" s="7"/>
      <c r="K142" s="17"/>
      <c r="L142" s="17" t="b">
        <f>IF(OR(COUNTIF('クラス'!$A$1:$A$1267,$B142)&gt;0,$B142="",$M142=""),"",True)</f>
        <v>1</v>
      </c>
      <c r="M142" s="1" t="str">
        <f t="shared" si="9"/>
        <v>存在しない</v>
      </c>
      <c r="N142" s="1"/>
      <c r="O142" s="1"/>
      <c r="P142" s="11"/>
      <c r="Q142" s="11"/>
      <c r="R142" s="11"/>
      <c r="S142" s="11"/>
      <c r="T142" s="1"/>
      <c r="U142" s="1"/>
      <c r="V142" s="1"/>
      <c r="W142" s="1"/>
      <c r="X142" s="1"/>
      <c r="Y142" s="1"/>
      <c r="Z142" s="1"/>
    </row>
    <row r="143" ht="18.0" customHeight="1" outlineLevel="2">
      <c r="A143" s="26">
        <v>2.0</v>
      </c>
      <c r="B143" s="28" t="s">
        <v>231</v>
      </c>
      <c r="C143" s="1"/>
      <c r="D143" s="1"/>
      <c r="E143" s="14"/>
      <c r="F143" s="15"/>
      <c r="G143" s="30">
        <v>60.0</v>
      </c>
      <c r="H143" s="11"/>
      <c r="I143" s="7"/>
      <c r="J143" s="7"/>
      <c r="K143" s="17"/>
      <c r="L143" s="17" t="b">
        <f>IF(OR(COUNTIF('クラス'!$A$1:$A$1267,$B143)&gt;0,$B143="",$M143=""),"",True)</f>
        <v>1</v>
      </c>
      <c r="M143" s="1" t="str">
        <f t="shared" si="9"/>
        <v>存在しない</v>
      </c>
      <c r="N143" s="1"/>
      <c r="O143" s="1"/>
      <c r="P143" s="11"/>
      <c r="Q143" s="11"/>
      <c r="R143" s="11"/>
      <c r="S143" s="11"/>
      <c r="T143" s="1"/>
      <c r="U143" s="1"/>
      <c r="V143" s="1"/>
      <c r="W143" s="1"/>
      <c r="X143" s="1"/>
      <c r="Y143" s="1"/>
      <c r="Z143" s="1"/>
    </row>
    <row r="144" ht="18.0" customHeight="1" outlineLevel="2">
      <c r="A144" s="26">
        <v>2.0</v>
      </c>
      <c r="B144" s="28" t="s">
        <v>232</v>
      </c>
      <c r="C144" s="1"/>
      <c r="D144" s="1"/>
      <c r="E144" s="14"/>
      <c r="F144" s="15"/>
      <c r="G144" s="30">
        <v>60.0</v>
      </c>
      <c r="H144" s="11"/>
      <c r="I144" s="7"/>
      <c r="J144" s="7"/>
      <c r="K144" s="17"/>
      <c r="L144" s="17" t="b">
        <f>IF(OR(COUNTIF('クラス'!$A$1:$A$1267,$B144)&gt;0,$B144="",$M144=""),"",True)</f>
        <v>1</v>
      </c>
      <c r="M144" s="1" t="str">
        <f t="shared" si="9"/>
        <v>存在しない</v>
      </c>
      <c r="N144" s="1"/>
      <c r="O144" s="1"/>
      <c r="P144" s="11"/>
      <c r="Q144" s="11"/>
      <c r="R144" s="11"/>
      <c r="S144" s="11"/>
      <c r="T144" s="1"/>
      <c r="U144" s="1"/>
      <c r="V144" s="1"/>
      <c r="W144" s="1"/>
      <c r="X144" s="1"/>
      <c r="Y144" s="1"/>
      <c r="Z144" s="1"/>
    </row>
    <row r="145" ht="18.0" customHeight="1" outlineLevel="2">
      <c r="A145" s="26">
        <v>2.0</v>
      </c>
      <c r="B145" s="28" t="s">
        <v>233</v>
      </c>
      <c r="C145" s="1"/>
      <c r="D145" s="1"/>
      <c r="E145" s="14"/>
      <c r="F145" s="15"/>
      <c r="G145" s="30">
        <v>60.0</v>
      </c>
      <c r="H145" s="11"/>
      <c r="I145" s="7"/>
      <c r="J145" s="7"/>
      <c r="K145" s="17"/>
      <c r="L145" s="17" t="b">
        <f>IF(OR(COUNTIF('クラス'!$A$1:$A$1267,$B145)&gt;0,$B145="",$M145=""),"",True)</f>
        <v>1</v>
      </c>
      <c r="M145" s="1" t="str">
        <f t="shared" si="9"/>
        <v>存在しない</v>
      </c>
      <c r="N145" s="1"/>
      <c r="O145" s="1"/>
      <c r="P145" s="11"/>
      <c r="Q145" s="11"/>
      <c r="R145" s="11"/>
      <c r="S145" s="11"/>
      <c r="T145" s="1"/>
      <c r="U145" s="1"/>
      <c r="V145" s="1"/>
      <c r="W145" s="1"/>
      <c r="X145" s="1"/>
      <c r="Y145" s="1"/>
      <c r="Z145" s="1"/>
    </row>
    <row r="146" ht="18.0" customHeight="1" outlineLevel="2">
      <c r="A146" s="26">
        <v>3.0</v>
      </c>
      <c r="B146" s="28" t="s">
        <v>234</v>
      </c>
      <c r="C146" s="26" t="s">
        <v>235</v>
      </c>
      <c r="D146" s="26" t="s">
        <v>236</v>
      </c>
      <c r="E146" s="29" t="s">
        <v>33</v>
      </c>
      <c r="F146" s="15"/>
      <c r="G146" s="30">
        <v>60.0</v>
      </c>
      <c r="H146" s="11"/>
      <c r="I146" s="7"/>
      <c r="J146" s="32" t="s">
        <v>237</v>
      </c>
      <c r="K146" s="33" t="s">
        <v>238</v>
      </c>
      <c r="L146" s="17" t="b">
        <f>IF(OR(COUNTIF('クラス'!$A$1:$A$1267,$B146)&gt;0,$B146="",$M146=""),"",True)</f>
        <v>1</v>
      </c>
      <c r="M146" s="1" t="str">
        <f t="shared" si="9"/>
        <v>存在しない</v>
      </c>
      <c r="N146" s="1"/>
      <c r="O146" s="1"/>
      <c r="P146" s="11"/>
      <c r="Q146" s="11"/>
      <c r="R146" s="11"/>
      <c r="S146" s="11"/>
      <c r="T146" s="1"/>
      <c r="U146" s="1"/>
      <c r="V146" s="1"/>
      <c r="W146" s="1"/>
      <c r="X146" s="1"/>
      <c r="Y146" s="1"/>
      <c r="Z146" s="1"/>
    </row>
    <row r="147" ht="18.0" customHeight="1" outlineLevel="2">
      <c r="A147" s="26">
        <v>3.0</v>
      </c>
      <c r="B147" s="28" t="s">
        <v>239</v>
      </c>
      <c r="C147" s="1"/>
      <c r="D147" s="1"/>
      <c r="E147" s="14"/>
      <c r="F147" s="15"/>
      <c r="G147" s="30">
        <v>60.0</v>
      </c>
      <c r="H147" s="11"/>
      <c r="I147" s="7"/>
      <c r="J147" s="7"/>
      <c r="K147" s="17"/>
      <c r="L147" s="17" t="b">
        <f>IF(OR(COUNTIF('クラス'!$A$1:$A$1267,$B147)&gt;0,$B147="",$M147=""),"",True)</f>
        <v>1</v>
      </c>
      <c r="M147" s="1" t="str">
        <f t="shared" si="9"/>
        <v>存在しない</v>
      </c>
      <c r="N147" s="1"/>
      <c r="O147" s="1"/>
      <c r="P147" s="11"/>
      <c r="Q147" s="11"/>
      <c r="R147" s="11"/>
      <c r="S147" s="11"/>
      <c r="T147" s="1"/>
      <c r="U147" s="1"/>
      <c r="V147" s="1"/>
      <c r="W147" s="1"/>
      <c r="X147" s="1"/>
      <c r="Y147" s="1"/>
      <c r="Z147" s="1"/>
    </row>
    <row r="148" ht="18.0" customHeight="1" outlineLevel="2">
      <c r="A148" s="26">
        <v>3.0</v>
      </c>
      <c r="B148" s="28" t="s">
        <v>240</v>
      </c>
      <c r="C148" s="1"/>
      <c r="D148" s="1"/>
      <c r="E148" s="14"/>
      <c r="F148" s="15"/>
      <c r="G148" s="30">
        <v>60.0</v>
      </c>
      <c r="H148" s="11"/>
      <c r="I148" s="7"/>
      <c r="J148" s="7"/>
      <c r="K148" s="17"/>
      <c r="L148" s="17" t="b">
        <f>IF(OR(COUNTIF('クラス'!$A$1:$A$1267,$B148)&gt;0,$B148="",$M148=""),"",True)</f>
        <v>1</v>
      </c>
      <c r="M148" s="1" t="str">
        <f t="shared" si="9"/>
        <v>存在しない</v>
      </c>
      <c r="N148" s="1"/>
      <c r="O148" s="1"/>
      <c r="P148" s="11"/>
      <c r="Q148" s="11"/>
      <c r="R148" s="11"/>
      <c r="S148" s="11"/>
      <c r="T148" s="1"/>
      <c r="U148" s="1"/>
      <c r="V148" s="1"/>
      <c r="W148" s="1"/>
      <c r="X148" s="1"/>
      <c r="Y148" s="1"/>
      <c r="Z148" s="1"/>
    </row>
    <row r="149" ht="18.0" customHeight="1" outlineLevel="2">
      <c r="A149" s="26">
        <v>4.0</v>
      </c>
      <c r="B149" s="28" t="s">
        <v>241</v>
      </c>
      <c r="C149" s="26" t="s">
        <v>242</v>
      </c>
      <c r="D149" s="26" t="s">
        <v>236</v>
      </c>
      <c r="E149" s="29" t="s">
        <v>33</v>
      </c>
      <c r="F149" s="15"/>
      <c r="G149" s="30">
        <v>60.0</v>
      </c>
      <c r="H149" s="11"/>
      <c r="I149" s="7"/>
      <c r="J149" s="32" t="s">
        <v>243</v>
      </c>
      <c r="K149" s="17"/>
      <c r="L149" s="17" t="b">
        <f>IF(OR(COUNTIF('クラス'!$A$1:$A$1267,$B149)&gt;0,$B149="",$M149=""),"",True)</f>
        <v>1</v>
      </c>
      <c r="M149" s="1" t="str">
        <f t="shared" si="9"/>
        <v>存在しない</v>
      </c>
      <c r="N149" s="1"/>
      <c r="O149" s="1"/>
      <c r="P149" s="11"/>
      <c r="Q149" s="11"/>
      <c r="R149" s="11"/>
      <c r="S149" s="11"/>
      <c r="T149" s="1"/>
      <c r="U149" s="1"/>
      <c r="V149" s="1"/>
      <c r="W149" s="1"/>
      <c r="X149" s="1"/>
      <c r="Y149" s="1"/>
      <c r="Z149" s="1"/>
    </row>
    <row r="150" ht="18.0" customHeight="1" outlineLevel="2">
      <c r="A150" s="26">
        <v>4.0</v>
      </c>
      <c r="B150" s="28" t="s">
        <v>244</v>
      </c>
      <c r="C150" s="1"/>
      <c r="D150" s="1"/>
      <c r="E150" s="14"/>
      <c r="F150" s="15"/>
      <c r="G150" s="30">
        <v>60.0</v>
      </c>
      <c r="H150" s="11"/>
      <c r="I150" s="7"/>
      <c r="J150" s="7"/>
      <c r="K150" s="17"/>
      <c r="L150" s="17" t="b">
        <f>IF(OR(COUNTIF('クラス'!$A$1:$A$1267,$B150)&gt;0,$B150="",$M150=""),"",True)</f>
        <v>1</v>
      </c>
      <c r="M150" s="1" t="str">
        <f t="shared" si="9"/>
        <v>存在しない</v>
      </c>
      <c r="N150" s="1"/>
      <c r="O150" s="1"/>
      <c r="P150" s="11"/>
      <c r="Q150" s="11"/>
      <c r="R150" s="11"/>
      <c r="S150" s="11"/>
      <c r="T150" s="1"/>
      <c r="U150" s="1"/>
      <c r="V150" s="1"/>
      <c r="W150" s="1"/>
      <c r="X150" s="1"/>
      <c r="Y150" s="1"/>
      <c r="Z150" s="1"/>
    </row>
    <row r="151" ht="18.0" customHeight="1" outlineLevel="2">
      <c r="A151" s="26">
        <v>4.0</v>
      </c>
      <c r="B151" s="28" t="s">
        <v>245</v>
      </c>
      <c r="C151" s="1"/>
      <c r="D151" s="26" t="s">
        <v>236</v>
      </c>
      <c r="E151" s="29" t="s">
        <v>33</v>
      </c>
      <c r="F151" s="15"/>
      <c r="G151" s="30">
        <v>60.0</v>
      </c>
      <c r="H151" s="22" t="s">
        <v>246</v>
      </c>
      <c r="I151" s="7"/>
      <c r="J151" s="7"/>
      <c r="K151" s="17"/>
      <c r="L151" s="17" t="b">
        <f>IF(OR(COUNTIF('クラス'!$A$1:$A$1267,$B151)&gt;0,$B151="",$M151=""),"",True)</f>
        <v>1</v>
      </c>
      <c r="M151" s="1" t="str">
        <f t="shared" si="9"/>
        <v>存在しない</v>
      </c>
      <c r="N151" s="1"/>
      <c r="O151" s="1"/>
      <c r="P151" s="11"/>
      <c r="Q151" s="11"/>
      <c r="R151" s="11"/>
      <c r="S151" s="11"/>
      <c r="T151" s="1"/>
      <c r="U151" s="1"/>
      <c r="V151" s="1"/>
      <c r="W151" s="1"/>
      <c r="X151" s="1"/>
      <c r="Y151" s="1"/>
      <c r="Z151" s="1"/>
    </row>
    <row r="152" ht="18.0" customHeight="1" outlineLevel="2">
      <c r="A152" s="26">
        <v>5.0</v>
      </c>
      <c r="B152" s="28" t="s">
        <v>247</v>
      </c>
      <c r="C152" s="26" t="s">
        <v>248</v>
      </c>
      <c r="D152" s="26" t="s">
        <v>236</v>
      </c>
      <c r="E152" s="29" t="s">
        <v>33</v>
      </c>
      <c r="F152" s="15"/>
      <c r="G152" s="30">
        <v>60.0</v>
      </c>
      <c r="H152" s="11"/>
      <c r="I152" s="7"/>
      <c r="J152" s="32" t="s">
        <v>249</v>
      </c>
      <c r="K152" s="17"/>
      <c r="L152" s="17" t="b">
        <f>IF(OR(COUNTIF('クラス'!$A$1:$A$1267,$B152)&gt;0,$B152="",$M152=""),"",True)</f>
        <v>1</v>
      </c>
      <c r="M152" s="1" t="str">
        <f t="shared" si="9"/>
        <v>存在しない</v>
      </c>
      <c r="N152" s="1"/>
      <c r="O152" s="1"/>
      <c r="P152" s="11"/>
      <c r="Q152" s="11"/>
      <c r="R152" s="11"/>
      <c r="S152" s="11"/>
      <c r="T152" s="1"/>
      <c r="U152" s="1"/>
      <c r="V152" s="1"/>
      <c r="W152" s="1"/>
      <c r="X152" s="1"/>
      <c r="Y152" s="1"/>
      <c r="Z152" s="1"/>
    </row>
    <row r="153" ht="18.0" customHeight="1" outlineLevel="2">
      <c r="A153" s="26">
        <v>5.0</v>
      </c>
      <c r="B153" s="28" t="s">
        <v>250</v>
      </c>
      <c r="C153" s="1"/>
      <c r="D153" s="1"/>
      <c r="E153" s="14"/>
      <c r="F153" s="15"/>
      <c r="G153" s="30">
        <v>60.0</v>
      </c>
      <c r="H153" s="11"/>
      <c r="I153" s="7"/>
      <c r="J153" s="7"/>
      <c r="K153" s="17"/>
      <c r="L153" s="17" t="b">
        <f>IF(OR(COUNTIF('クラス'!$A$1:$A$1267,$B153)&gt;0,$B153="",$M153=""),"",True)</f>
        <v>1</v>
      </c>
      <c r="M153" s="1" t="str">
        <f t="shared" si="9"/>
        <v>存在しない</v>
      </c>
      <c r="N153" s="1"/>
      <c r="O153" s="1"/>
      <c r="P153" s="11"/>
      <c r="Q153" s="11"/>
      <c r="R153" s="11"/>
      <c r="S153" s="11"/>
      <c r="T153" s="1"/>
      <c r="U153" s="1"/>
      <c r="V153" s="1"/>
      <c r="W153" s="1"/>
      <c r="X153" s="1"/>
      <c r="Y153" s="1"/>
      <c r="Z153" s="1"/>
    </row>
    <row r="154" ht="18.0" customHeight="1" outlineLevel="2">
      <c r="A154" s="26">
        <v>5.0</v>
      </c>
      <c r="B154" s="28" t="s">
        <v>251</v>
      </c>
      <c r="C154" s="1"/>
      <c r="D154" s="1"/>
      <c r="E154" s="14"/>
      <c r="F154" s="15"/>
      <c r="G154" s="30">
        <v>60.0</v>
      </c>
      <c r="H154" s="11"/>
      <c r="I154" s="7"/>
      <c r="J154" s="7"/>
      <c r="K154" s="17"/>
      <c r="L154" s="17" t="b">
        <f>IF(OR(COUNTIF('クラス'!$A$1:$A$1267,$B154)&gt;0,$B154="",$M154=""),"",True)</f>
        <v>1</v>
      </c>
      <c r="M154" s="1" t="str">
        <f t="shared" si="9"/>
        <v>存在しない</v>
      </c>
      <c r="N154" s="1"/>
      <c r="O154" s="1"/>
      <c r="P154" s="11"/>
      <c r="Q154" s="11"/>
      <c r="R154" s="11"/>
      <c r="S154" s="11"/>
      <c r="T154" s="1"/>
      <c r="U154" s="1"/>
      <c r="V154" s="1"/>
      <c r="W154" s="1"/>
      <c r="X154" s="1"/>
      <c r="Y154" s="1"/>
      <c r="Z154" s="1"/>
    </row>
    <row r="155" ht="18.0" customHeight="1" outlineLevel="2">
      <c r="A155" s="26">
        <v>6.0</v>
      </c>
      <c r="B155" s="28" t="s">
        <v>252</v>
      </c>
      <c r="C155" s="26" t="s">
        <v>253</v>
      </c>
      <c r="D155" s="26" t="s">
        <v>236</v>
      </c>
      <c r="E155" s="29" t="s">
        <v>33</v>
      </c>
      <c r="F155" s="15"/>
      <c r="G155" s="30">
        <v>60.0</v>
      </c>
      <c r="H155" s="11"/>
      <c r="I155" s="7"/>
      <c r="J155" s="32" t="s">
        <v>254</v>
      </c>
      <c r="K155" s="33" t="s">
        <v>255</v>
      </c>
      <c r="L155" s="17" t="b">
        <f>IF(OR(COUNTIF('クラス'!$A$1:$A$1267,$B155)&gt;0,$B155="",$M155=""),"",True)</f>
        <v>1</v>
      </c>
      <c r="M155" s="1" t="str">
        <f t="shared" si="9"/>
        <v>存在しない</v>
      </c>
      <c r="N155" s="1"/>
      <c r="O155" s="1"/>
      <c r="P155" s="11"/>
      <c r="Q155" s="11"/>
      <c r="R155" s="11"/>
      <c r="S155" s="11"/>
      <c r="T155" s="1"/>
      <c r="U155" s="1"/>
      <c r="V155" s="1"/>
      <c r="W155" s="1"/>
      <c r="X155" s="1"/>
      <c r="Y155" s="1"/>
      <c r="Z155" s="1"/>
    </row>
    <row r="156" ht="18.0" customHeight="1" outlineLevel="2">
      <c r="A156" s="26">
        <v>6.0</v>
      </c>
      <c r="B156" s="28" t="s">
        <v>256</v>
      </c>
      <c r="C156" s="1"/>
      <c r="D156" s="1"/>
      <c r="E156" s="14"/>
      <c r="F156" s="15"/>
      <c r="G156" s="30">
        <v>60.0</v>
      </c>
      <c r="H156" s="11"/>
      <c r="I156" s="7"/>
      <c r="J156" s="7"/>
      <c r="K156" s="17"/>
      <c r="L156" s="17" t="b">
        <f>IF(OR(COUNTIF('クラス'!$A$1:$A$1267,$B156)&gt;0,$B156="",$M156=""),"",True)</f>
        <v>1</v>
      </c>
      <c r="M156" s="1" t="str">
        <f t="shared" si="9"/>
        <v>存在しない</v>
      </c>
      <c r="N156" s="1"/>
      <c r="O156" s="1"/>
      <c r="P156" s="11"/>
      <c r="Q156" s="11"/>
      <c r="R156" s="11"/>
      <c r="S156" s="11"/>
      <c r="T156" s="1"/>
      <c r="U156" s="1"/>
      <c r="V156" s="1"/>
      <c r="W156" s="1"/>
      <c r="X156" s="1"/>
      <c r="Y156" s="1"/>
      <c r="Z156" s="1"/>
    </row>
    <row r="157" ht="18.0" customHeight="1" outlineLevel="2">
      <c r="A157" s="26">
        <v>7.0</v>
      </c>
      <c r="B157" s="28" t="s">
        <v>257</v>
      </c>
      <c r="C157" s="26" t="s">
        <v>258</v>
      </c>
      <c r="D157" s="26" t="s">
        <v>236</v>
      </c>
      <c r="E157" s="29" t="s">
        <v>33</v>
      </c>
      <c r="F157" s="15"/>
      <c r="G157" s="30">
        <v>60.0</v>
      </c>
      <c r="H157" s="11"/>
      <c r="I157" s="7"/>
      <c r="J157" s="32" t="s">
        <v>259</v>
      </c>
      <c r="K157" s="33" t="s">
        <v>255</v>
      </c>
      <c r="L157" s="17" t="b">
        <f>IF(OR(COUNTIF('クラス'!$A$1:$A$1267,$B157)&gt;0,$B157="",$M157=""),"",True)</f>
        <v>1</v>
      </c>
      <c r="M157" s="1" t="str">
        <f t="shared" si="9"/>
        <v>存在しない</v>
      </c>
      <c r="N157" s="1"/>
      <c r="O157" s="1"/>
      <c r="P157" s="11"/>
      <c r="Q157" s="11"/>
      <c r="R157" s="11"/>
      <c r="S157" s="11"/>
      <c r="T157" s="1"/>
      <c r="U157" s="1"/>
      <c r="V157" s="1"/>
      <c r="W157" s="1"/>
      <c r="X157" s="1"/>
      <c r="Y157" s="1"/>
      <c r="Z157" s="1"/>
    </row>
    <row r="158" ht="18.0" customHeight="1" outlineLevel="2">
      <c r="A158" s="26">
        <v>7.0</v>
      </c>
      <c r="B158" s="28" t="s">
        <v>260</v>
      </c>
      <c r="C158" s="1"/>
      <c r="D158" s="1"/>
      <c r="E158" s="14"/>
      <c r="F158" s="15"/>
      <c r="G158" s="30">
        <v>60.0</v>
      </c>
      <c r="H158" s="11"/>
      <c r="I158" s="7"/>
      <c r="J158" s="7"/>
      <c r="K158" s="17"/>
      <c r="L158" s="17" t="b">
        <f>IF(OR(COUNTIF('クラス'!$A$1:$A$1267,$B158)&gt;0,$B158="",$M158=""),"",True)</f>
        <v>1</v>
      </c>
      <c r="M158" s="1" t="str">
        <f t="shared" si="9"/>
        <v>存在しない</v>
      </c>
      <c r="N158" s="1"/>
      <c r="O158" s="1"/>
      <c r="P158" s="11"/>
      <c r="Q158" s="11"/>
      <c r="R158" s="11"/>
      <c r="S158" s="11"/>
      <c r="T158" s="1"/>
      <c r="U158" s="1"/>
      <c r="V158" s="1"/>
      <c r="W158" s="1"/>
      <c r="X158" s="1"/>
      <c r="Y158" s="1"/>
      <c r="Z158" s="1"/>
    </row>
    <row r="159" ht="18.0" customHeight="1" outlineLevel="2">
      <c r="A159" s="26">
        <v>7.0</v>
      </c>
      <c r="B159" s="28" t="s">
        <v>261</v>
      </c>
      <c r="C159" s="1"/>
      <c r="D159" s="26" t="s">
        <v>236</v>
      </c>
      <c r="E159" s="29" t="s">
        <v>210</v>
      </c>
      <c r="F159" s="15"/>
      <c r="G159" s="30">
        <v>60.0</v>
      </c>
      <c r="H159" s="22" t="s">
        <v>262</v>
      </c>
      <c r="I159" s="7"/>
      <c r="J159" s="7"/>
      <c r="K159" s="17"/>
      <c r="L159" s="17" t="b">
        <f>IF(OR(COUNTIF('クラス'!$A$1:$A$1267,$B159)&gt;0,$B159="",$M159=""),"",True)</f>
        <v>1</v>
      </c>
      <c r="M159" s="1" t="str">
        <f t="shared" si="9"/>
        <v>存在しない</v>
      </c>
      <c r="N159" s="1"/>
      <c r="O159" s="1"/>
      <c r="P159" s="11"/>
      <c r="Q159" s="11"/>
      <c r="R159" s="11"/>
      <c r="S159" s="11"/>
      <c r="T159" s="1"/>
      <c r="U159" s="1"/>
      <c r="V159" s="1"/>
      <c r="W159" s="1"/>
      <c r="X159" s="1"/>
      <c r="Y159" s="1"/>
      <c r="Z159" s="1"/>
    </row>
    <row r="160" ht="18.0" customHeight="1" outlineLevel="1">
      <c r="A160" s="26"/>
      <c r="B160" s="24"/>
      <c r="C160" s="26" t="s">
        <v>263</v>
      </c>
      <c r="D160" s="1"/>
      <c r="E160" s="14"/>
      <c r="F160" s="15"/>
      <c r="G160" s="30"/>
      <c r="H160" s="11"/>
      <c r="I160" s="7"/>
      <c r="J160" s="7"/>
      <c r="K160" s="17"/>
      <c r="L160" s="17" t="str">
        <f>IF(OR(COUNTIF('クラス'!$A$1:$A$1267,$B160)&gt;0,$B160="",$M160=""),"",True)</f>
        <v/>
      </c>
      <c r="M160" s="1" t="str">
        <f t="shared" si="9"/>
        <v>存在しない</v>
      </c>
      <c r="N160" s="1"/>
      <c r="O160" s="1"/>
      <c r="P160" s="11"/>
      <c r="Q160" s="11"/>
      <c r="R160" s="11"/>
      <c r="S160" s="11"/>
      <c r="T160" s="1"/>
      <c r="U160" s="1"/>
      <c r="V160" s="1"/>
      <c r="W160" s="1"/>
      <c r="X160" s="1"/>
      <c r="Y160" s="1"/>
      <c r="Z160" s="1"/>
    </row>
    <row r="161" ht="18.0" customHeight="1" outlineLevel="2">
      <c r="A161" s="26">
        <v>1.0</v>
      </c>
      <c r="B161" s="28" t="s">
        <v>79</v>
      </c>
      <c r="C161" s="26" t="s">
        <v>80</v>
      </c>
      <c r="D161" s="26" t="s">
        <v>81</v>
      </c>
      <c r="E161" s="29" t="s">
        <v>33</v>
      </c>
      <c r="F161" s="15"/>
      <c r="G161" s="30">
        <v>60.0</v>
      </c>
      <c r="H161" s="22" t="s">
        <v>264</v>
      </c>
      <c r="I161" s="7"/>
      <c r="J161" s="32" t="s">
        <v>83</v>
      </c>
      <c r="K161" s="17"/>
      <c r="L161" s="17" t="b">
        <f>IF(OR(COUNTIF('クラス'!$A$1:$A$1267,$B161)&gt;0,$B161="",$M161=""),"",True)</f>
        <v>1</v>
      </c>
      <c r="M161" s="1" t="str">
        <f t="shared" si="9"/>
        <v>存在しない</v>
      </c>
      <c r="N161" s="1"/>
      <c r="O161" s="1"/>
      <c r="P161" s="11"/>
      <c r="Q161" s="11"/>
      <c r="R161" s="11"/>
      <c r="S161" s="11"/>
      <c r="T161" s="1"/>
      <c r="U161" s="1"/>
      <c r="V161" s="1"/>
      <c r="W161" s="1"/>
      <c r="X161" s="1"/>
      <c r="Y161" s="1"/>
      <c r="Z161" s="1"/>
    </row>
    <row r="162" ht="18.0" customHeight="1" outlineLevel="2">
      <c r="A162" s="26">
        <v>2.0</v>
      </c>
      <c r="B162" s="28" t="s">
        <v>185</v>
      </c>
      <c r="C162" s="26" t="s">
        <v>186</v>
      </c>
      <c r="D162" s="26" t="s">
        <v>81</v>
      </c>
      <c r="E162" s="29" t="s">
        <v>33</v>
      </c>
      <c r="F162" s="15"/>
      <c r="G162" s="30">
        <v>60.0</v>
      </c>
      <c r="H162" s="22" t="s">
        <v>265</v>
      </c>
      <c r="I162" s="7"/>
      <c r="J162" s="7"/>
      <c r="K162" s="33" t="s">
        <v>255</v>
      </c>
      <c r="L162" s="17" t="b">
        <f>IF(OR(COUNTIF('クラス'!$A$1:$A$1267,$B162)&gt;0,$B162="",$M162=""),"",True)</f>
        <v>1</v>
      </c>
      <c r="M162" s="1" t="str">
        <f t="shared" si="9"/>
        <v>存在しない</v>
      </c>
      <c r="N162" s="1"/>
      <c r="O162" s="1"/>
      <c r="P162" s="11"/>
      <c r="Q162" s="11"/>
      <c r="R162" s="11"/>
      <c r="S162" s="11"/>
      <c r="T162" s="1"/>
      <c r="U162" s="1"/>
      <c r="V162" s="1"/>
      <c r="W162" s="1"/>
      <c r="X162" s="1"/>
      <c r="Y162" s="1"/>
      <c r="Z162" s="1"/>
    </row>
    <row r="163" ht="18.0" customHeight="1" outlineLevel="2">
      <c r="A163" s="26">
        <v>2.0</v>
      </c>
      <c r="B163" s="28" t="s">
        <v>266</v>
      </c>
      <c r="C163" s="26" t="s">
        <v>267</v>
      </c>
      <c r="D163" s="26" t="s">
        <v>81</v>
      </c>
      <c r="E163" s="29" t="s">
        <v>33</v>
      </c>
      <c r="F163" s="15"/>
      <c r="G163" s="30">
        <v>60.0</v>
      </c>
      <c r="H163" s="22" t="s">
        <v>265</v>
      </c>
      <c r="I163" s="7"/>
      <c r="J163" s="32" t="s">
        <v>268</v>
      </c>
      <c r="K163" s="17"/>
      <c r="L163" s="17" t="b">
        <f>IF(OR(COUNTIF('クラス'!$A$1:$A$1267,$B163)&gt;0,$B163="",$M163=""),"",True)</f>
        <v>1</v>
      </c>
      <c r="M163" s="1" t="str">
        <f t="shared" si="9"/>
        <v>存在しない</v>
      </c>
      <c r="N163" s="1"/>
      <c r="O163" s="1"/>
      <c r="P163" s="11"/>
      <c r="Q163" s="11"/>
      <c r="R163" s="11"/>
      <c r="S163" s="11"/>
      <c r="T163" s="1"/>
      <c r="U163" s="1"/>
      <c r="V163" s="1"/>
      <c r="W163" s="1"/>
      <c r="X163" s="1"/>
      <c r="Y163" s="1"/>
      <c r="Z163" s="1"/>
    </row>
    <row r="164" ht="18.0" customHeight="1" outlineLevel="2">
      <c r="A164" s="26">
        <v>3.0</v>
      </c>
      <c r="B164" s="28" t="s">
        <v>94</v>
      </c>
      <c r="C164" s="26" t="s">
        <v>95</v>
      </c>
      <c r="D164" s="26" t="s">
        <v>81</v>
      </c>
      <c r="E164" s="29" t="s">
        <v>33</v>
      </c>
      <c r="F164" s="15"/>
      <c r="G164" s="30">
        <v>60.0</v>
      </c>
      <c r="H164" s="22" t="s">
        <v>96</v>
      </c>
      <c r="I164" s="7"/>
      <c r="J164" s="32" t="s">
        <v>97</v>
      </c>
      <c r="K164" s="17"/>
      <c r="L164" s="17" t="b">
        <f>IF(OR(COUNTIF('クラス'!$A$1:$A$1267,$B164)&gt;0,$B164="",$M164=""),"",True)</f>
        <v>1</v>
      </c>
      <c r="M164" s="1" t="str">
        <f t="shared" si="9"/>
        <v>存在しない</v>
      </c>
      <c r="N164" s="1"/>
      <c r="O164" s="1"/>
      <c r="P164" s="11"/>
      <c r="Q164" s="11"/>
      <c r="R164" s="11"/>
      <c r="S164" s="11"/>
      <c r="T164" s="1"/>
      <c r="U164" s="1"/>
      <c r="V164" s="1"/>
      <c r="W164" s="1"/>
      <c r="X164" s="1"/>
      <c r="Y164" s="1"/>
      <c r="Z164" s="1"/>
    </row>
    <row r="165" ht="18.0" customHeight="1" outlineLevel="2">
      <c r="A165" s="26">
        <v>3.0</v>
      </c>
      <c r="B165" s="28" t="s">
        <v>269</v>
      </c>
      <c r="C165" s="26" t="s">
        <v>270</v>
      </c>
      <c r="D165" s="26" t="s">
        <v>81</v>
      </c>
      <c r="E165" s="29" t="s">
        <v>33</v>
      </c>
      <c r="F165" s="15"/>
      <c r="G165" s="30">
        <v>60.0</v>
      </c>
      <c r="H165" s="22" t="s">
        <v>271</v>
      </c>
      <c r="I165" s="7"/>
      <c r="J165" s="32" t="s">
        <v>268</v>
      </c>
      <c r="K165" s="17"/>
      <c r="L165" s="17" t="b">
        <f>IF(OR(COUNTIF('クラス'!$A$1:$A$1267,$B165)&gt;0,$B165="",$M165=""),"",True)</f>
        <v>1</v>
      </c>
      <c r="M165" s="1" t="str">
        <f t="shared" si="9"/>
        <v>存在しない</v>
      </c>
      <c r="N165" s="1"/>
      <c r="O165" s="1"/>
      <c r="P165" s="11"/>
      <c r="Q165" s="11"/>
      <c r="R165" s="11"/>
      <c r="S165" s="11"/>
      <c r="T165" s="1"/>
      <c r="U165" s="1"/>
      <c r="V165" s="1"/>
      <c r="W165" s="1"/>
      <c r="X165" s="1"/>
      <c r="Y165" s="1"/>
      <c r="Z165" s="1"/>
    </row>
    <row r="166" ht="18.0" customHeight="1" outlineLevel="2">
      <c r="A166" s="26">
        <v>4.0</v>
      </c>
      <c r="B166" s="28" t="s">
        <v>272</v>
      </c>
      <c r="C166" s="26" t="s">
        <v>273</v>
      </c>
      <c r="D166" s="26" t="s">
        <v>81</v>
      </c>
      <c r="E166" s="29" t="s">
        <v>33</v>
      </c>
      <c r="F166" s="15"/>
      <c r="G166" s="30">
        <v>60.0</v>
      </c>
      <c r="H166" s="22" t="s">
        <v>274</v>
      </c>
      <c r="I166" s="7"/>
      <c r="J166" s="32" t="s">
        <v>268</v>
      </c>
      <c r="K166" s="17"/>
      <c r="L166" s="17" t="b">
        <f>IF(OR(COUNTIF('クラス'!$A$1:$A$1267,$B166)&gt;0,$B166="",$M166=""),"",True)</f>
        <v>1</v>
      </c>
      <c r="M166" s="1" t="str">
        <f t="shared" si="9"/>
        <v>存在しない</v>
      </c>
      <c r="N166" s="1"/>
      <c r="O166" s="1"/>
      <c r="P166" s="11"/>
      <c r="Q166" s="11"/>
      <c r="R166" s="11"/>
      <c r="S166" s="11"/>
      <c r="T166" s="1"/>
      <c r="U166" s="1"/>
      <c r="V166" s="1"/>
      <c r="W166" s="1"/>
      <c r="X166" s="1"/>
      <c r="Y166" s="1"/>
      <c r="Z166" s="1"/>
    </row>
    <row r="167" ht="18.0" customHeight="1" outlineLevel="2">
      <c r="A167" s="26">
        <v>5.0</v>
      </c>
      <c r="B167" s="28" t="s">
        <v>275</v>
      </c>
      <c r="C167" s="26" t="s">
        <v>276</v>
      </c>
      <c r="D167" s="26" t="s">
        <v>81</v>
      </c>
      <c r="E167" s="29" t="s">
        <v>33</v>
      </c>
      <c r="F167" s="15"/>
      <c r="G167" s="30">
        <v>60.0</v>
      </c>
      <c r="H167" s="22" t="s">
        <v>277</v>
      </c>
      <c r="I167" s="7"/>
      <c r="J167" s="32" t="s">
        <v>268</v>
      </c>
      <c r="K167" s="17"/>
      <c r="L167" s="17" t="b">
        <f>IF(OR(COUNTIF('クラス'!$A$1:$A$1267,$B167)&gt;0,$B167="",$M167=""),"",True)</f>
        <v>1</v>
      </c>
      <c r="M167" s="1" t="str">
        <f t="shared" si="9"/>
        <v>存在しない</v>
      </c>
      <c r="N167" s="1"/>
      <c r="O167" s="1"/>
      <c r="P167" s="11"/>
      <c r="Q167" s="11"/>
      <c r="R167" s="11"/>
      <c r="S167" s="11"/>
      <c r="T167" s="1"/>
      <c r="U167" s="1"/>
      <c r="V167" s="1"/>
      <c r="W167" s="1"/>
      <c r="X167" s="1"/>
      <c r="Y167" s="1"/>
      <c r="Z167" s="1"/>
    </row>
    <row r="168" ht="18.0" customHeight="1" outlineLevel="2">
      <c r="A168" s="26">
        <v>6.0</v>
      </c>
      <c r="B168" s="28" t="s">
        <v>278</v>
      </c>
      <c r="C168" s="26" t="s">
        <v>279</v>
      </c>
      <c r="D168" s="26" t="s">
        <v>81</v>
      </c>
      <c r="E168" s="29" t="s">
        <v>33</v>
      </c>
      <c r="F168" s="15"/>
      <c r="G168" s="30">
        <v>60.0</v>
      </c>
      <c r="H168" s="22" t="s">
        <v>280</v>
      </c>
      <c r="I168" s="7"/>
      <c r="J168" s="32" t="s">
        <v>268</v>
      </c>
      <c r="K168" s="17"/>
      <c r="L168" s="17" t="b">
        <f>IF(OR(COUNTIF('クラス'!$A$1:$A$1267,$B168)&gt;0,$B168="",$M168=""),"",True)</f>
        <v>1</v>
      </c>
      <c r="M168" s="1" t="str">
        <f t="shared" si="9"/>
        <v>存在しない</v>
      </c>
      <c r="N168" s="1"/>
      <c r="O168" s="1"/>
      <c r="P168" s="11"/>
      <c r="Q168" s="11"/>
      <c r="R168" s="11"/>
      <c r="S168" s="11"/>
      <c r="T168" s="1"/>
      <c r="U168" s="1"/>
      <c r="V168" s="1"/>
      <c r="W168" s="1"/>
      <c r="X168" s="1"/>
      <c r="Y168" s="1"/>
      <c r="Z168" s="1"/>
    </row>
    <row r="169" ht="18.0" customHeight="1" outlineLevel="1">
      <c r="A169" s="26"/>
      <c r="B169" s="24"/>
      <c r="C169" s="26" t="s">
        <v>281</v>
      </c>
      <c r="D169" s="1"/>
      <c r="E169" s="14"/>
      <c r="F169" s="15"/>
      <c r="G169" s="30"/>
      <c r="H169" s="11"/>
      <c r="I169" s="7"/>
      <c r="J169" s="7"/>
      <c r="K169" s="17"/>
      <c r="L169" s="17" t="str">
        <f>IF(OR(COUNTIF('クラス'!$A$1:$A$1267,$B169)&gt;0,$B169="",$M169=""),"",True)</f>
        <v/>
      </c>
      <c r="M169" s="1" t="str">
        <f t="shared" si="9"/>
        <v>存在しない</v>
      </c>
      <c r="N169" s="1"/>
      <c r="O169" s="1"/>
      <c r="P169" s="11"/>
      <c r="Q169" s="11"/>
      <c r="R169" s="11"/>
      <c r="S169" s="11"/>
      <c r="T169" s="1"/>
      <c r="U169" s="1"/>
      <c r="V169" s="1"/>
      <c r="W169" s="1"/>
      <c r="X169" s="1"/>
      <c r="Y169" s="1"/>
      <c r="Z169" s="1"/>
    </row>
    <row r="170" ht="18.0" customHeight="1" outlineLevel="2">
      <c r="A170" s="26">
        <v>1.0</v>
      </c>
      <c r="B170" s="28" t="s">
        <v>282</v>
      </c>
      <c r="C170" s="26" t="s">
        <v>283</v>
      </c>
      <c r="D170" s="26" t="s">
        <v>284</v>
      </c>
      <c r="E170" s="29" t="s">
        <v>33</v>
      </c>
      <c r="F170" s="15"/>
      <c r="G170" s="30">
        <v>60.0</v>
      </c>
      <c r="H170" s="31" t="s">
        <v>285</v>
      </c>
      <c r="I170" s="7"/>
      <c r="J170" s="32" t="s">
        <v>286</v>
      </c>
      <c r="K170" s="17"/>
      <c r="L170" s="17" t="b">
        <f>IF(OR(COUNTIF('クラス'!$A$1:$A$1267,$B170)&gt;0,$B170="",$M170=""),"",True)</f>
        <v>1</v>
      </c>
      <c r="M170" s="1" t="str">
        <f t="shared" si="9"/>
        <v>存在しない</v>
      </c>
      <c r="N170" s="1"/>
      <c r="O170" s="1"/>
      <c r="P170" s="11"/>
      <c r="Q170" s="11"/>
      <c r="R170" s="11"/>
      <c r="S170" s="11"/>
      <c r="T170" s="1"/>
      <c r="U170" s="1"/>
      <c r="V170" s="1"/>
      <c r="W170" s="1"/>
      <c r="X170" s="1"/>
      <c r="Y170" s="1"/>
      <c r="Z170" s="1"/>
    </row>
    <row r="171" ht="18.0" customHeight="1" outlineLevel="2">
      <c r="A171" s="26">
        <v>1.0</v>
      </c>
      <c r="B171" s="28" t="s">
        <v>287</v>
      </c>
      <c r="C171" s="26" t="s">
        <v>288</v>
      </c>
      <c r="D171" s="26" t="s">
        <v>284</v>
      </c>
      <c r="E171" s="29" t="s">
        <v>33</v>
      </c>
      <c r="F171" s="15"/>
      <c r="G171" s="30">
        <v>60.0</v>
      </c>
      <c r="H171" s="31" t="s">
        <v>289</v>
      </c>
      <c r="I171" s="7"/>
      <c r="J171" s="7"/>
      <c r="K171" s="33" t="s">
        <v>290</v>
      </c>
      <c r="L171" s="17" t="b">
        <f>IF(OR(COUNTIF('クラス'!$A$1:$A$1267,$B171)&gt;0,$B171="",$M171=""),"",True)</f>
        <v>1</v>
      </c>
      <c r="M171" s="1" t="str">
        <f t="shared" si="9"/>
        <v>存在しない</v>
      </c>
      <c r="N171" s="1"/>
      <c r="O171" s="1"/>
      <c r="P171" s="11"/>
      <c r="Q171" s="11"/>
      <c r="R171" s="11"/>
      <c r="S171" s="11"/>
      <c r="T171" s="1"/>
      <c r="U171" s="1"/>
      <c r="V171" s="1"/>
      <c r="W171" s="1"/>
      <c r="X171" s="1"/>
      <c r="Y171" s="1"/>
      <c r="Z171" s="1"/>
    </row>
    <row r="172" ht="18.0" customHeight="1" outlineLevel="2">
      <c r="A172" s="26">
        <v>2.0</v>
      </c>
      <c r="B172" s="28" t="s">
        <v>291</v>
      </c>
      <c r="C172" s="26" t="s">
        <v>292</v>
      </c>
      <c r="D172" s="26" t="s">
        <v>284</v>
      </c>
      <c r="E172" s="29" t="s">
        <v>33</v>
      </c>
      <c r="F172" s="15"/>
      <c r="G172" s="30">
        <v>60.0</v>
      </c>
      <c r="H172" s="11"/>
      <c r="I172" s="7"/>
      <c r="J172" s="32" t="s">
        <v>293</v>
      </c>
      <c r="K172" s="33" t="s">
        <v>238</v>
      </c>
      <c r="L172" s="17" t="b">
        <f>IF(OR(COUNTIF('クラス'!$A$1:$A$1267,$B172)&gt;0,$B172="",$M172=""),"",True)</f>
        <v>1</v>
      </c>
      <c r="M172" s="1" t="str">
        <f t="shared" si="9"/>
        <v>存在しない</v>
      </c>
      <c r="N172" s="1"/>
      <c r="O172" s="1"/>
      <c r="P172" s="11"/>
      <c r="Q172" s="11"/>
      <c r="R172" s="11"/>
      <c r="S172" s="11"/>
      <c r="T172" s="1"/>
      <c r="U172" s="1"/>
      <c r="V172" s="1"/>
      <c r="W172" s="1"/>
      <c r="X172" s="1"/>
      <c r="Y172" s="1"/>
      <c r="Z172" s="1"/>
    </row>
    <row r="173" ht="18.0" customHeight="1" outlineLevel="2">
      <c r="A173" s="26">
        <v>2.0</v>
      </c>
      <c r="B173" s="28" t="s">
        <v>294</v>
      </c>
      <c r="C173" s="26" t="s">
        <v>295</v>
      </c>
      <c r="D173" s="26" t="s">
        <v>284</v>
      </c>
      <c r="E173" s="29" t="s">
        <v>33</v>
      </c>
      <c r="F173" s="15"/>
      <c r="G173" s="30">
        <v>60.0</v>
      </c>
      <c r="H173" s="31" t="s">
        <v>296</v>
      </c>
      <c r="I173" s="7"/>
      <c r="J173" s="7"/>
      <c r="K173" s="33" t="s">
        <v>238</v>
      </c>
      <c r="L173" s="17" t="b">
        <f>IF(OR(COUNTIF('クラス'!$A$1:$A$1267,$B173)&gt;0,$B173="",$M173=""),"",True)</f>
        <v>1</v>
      </c>
      <c r="M173" s="1" t="str">
        <f t="shared" si="9"/>
        <v>存在しない</v>
      </c>
      <c r="N173" s="1"/>
      <c r="O173" s="1"/>
      <c r="P173" s="11"/>
      <c r="Q173" s="11"/>
      <c r="R173" s="11"/>
      <c r="S173" s="11"/>
      <c r="T173" s="1"/>
      <c r="U173" s="1"/>
      <c r="V173" s="1"/>
      <c r="W173" s="1"/>
      <c r="X173" s="1"/>
      <c r="Y173" s="1"/>
      <c r="Z173" s="1"/>
    </row>
    <row r="174" ht="18.0" customHeight="1" outlineLevel="2">
      <c r="A174" s="26">
        <v>2.0</v>
      </c>
      <c r="B174" s="28" t="s">
        <v>297</v>
      </c>
      <c r="C174" s="26" t="s">
        <v>298</v>
      </c>
      <c r="D174" s="26" t="s">
        <v>284</v>
      </c>
      <c r="E174" s="29" t="s">
        <v>33</v>
      </c>
      <c r="F174" s="15"/>
      <c r="G174" s="30">
        <v>60.0</v>
      </c>
      <c r="H174" s="31" t="s">
        <v>299</v>
      </c>
      <c r="I174" s="7"/>
      <c r="J174" s="32" t="s">
        <v>300</v>
      </c>
      <c r="K174" s="33" t="s">
        <v>238</v>
      </c>
      <c r="L174" s="17" t="b">
        <f>IF(OR(COUNTIF('クラス'!$A$1:$A$1267,$B174)&gt;0,$B174="",$M174=""),"",True)</f>
        <v>1</v>
      </c>
      <c r="M174" s="1" t="str">
        <f t="shared" si="9"/>
        <v>存在しない</v>
      </c>
      <c r="N174" s="1"/>
      <c r="O174" s="1"/>
      <c r="P174" s="11"/>
      <c r="Q174" s="11"/>
      <c r="R174" s="11"/>
      <c r="S174" s="11"/>
      <c r="T174" s="1"/>
      <c r="U174" s="1"/>
      <c r="V174" s="1"/>
      <c r="W174" s="1"/>
      <c r="X174" s="1"/>
      <c r="Y174" s="1"/>
      <c r="Z174" s="1"/>
    </row>
    <row r="175" ht="18.0" customHeight="1" outlineLevel="2">
      <c r="A175" s="26">
        <v>2.0</v>
      </c>
      <c r="B175" s="28" t="s">
        <v>301</v>
      </c>
      <c r="C175" s="26" t="s">
        <v>302</v>
      </c>
      <c r="D175" s="26" t="s">
        <v>284</v>
      </c>
      <c r="E175" s="29" t="s">
        <v>33</v>
      </c>
      <c r="F175" s="15"/>
      <c r="G175" s="30">
        <v>60.0</v>
      </c>
      <c r="H175" s="31" t="s">
        <v>303</v>
      </c>
      <c r="I175" s="7"/>
      <c r="J175" s="7"/>
      <c r="K175" s="33" t="s">
        <v>304</v>
      </c>
      <c r="L175" s="17" t="b">
        <f>IF(OR(COUNTIF('クラス'!$A$1:$A$1267,$B175)&gt;0,$B175="",$M175=""),"",True)</f>
        <v>1</v>
      </c>
      <c r="M175" s="1" t="str">
        <f t="shared" si="9"/>
        <v>存在しない</v>
      </c>
      <c r="N175" s="1"/>
      <c r="O175" s="1"/>
      <c r="P175" s="11"/>
      <c r="Q175" s="11"/>
      <c r="R175" s="11"/>
      <c r="S175" s="11"/>
      <c r="T175" s="1"/>
      <c r="U175" s="1"/>
      <c r="V175" s="1"/>
      <c r="W175" s="1"/>
      <c r="X175" s="1"/>
      <c r="Y175" s="1"/>
      <c r="Z175" s="1"/>
    </row>
    <row r="176" ht="18.0" customHeight="1" outlineLevel="2">
      <c r="A176" s="26">
        <v>2.0</v>
      </c>
      <c r="B176" s="28" t="s">
        <v>305</v>
      </c>
      <c r="C176" s="26" t="s">
        <v>306</v>
      </c>
      <c r="D176" s="1"/>
      <c r="E176" s="29" t="s">
        <v>33</v>
      </c>
      <c r="F176" s="15"/>
      <c r="G176" s="30">
        <v>60.0</v>
      </c>
      <c r="H176" s="31" t="s">
        <v>289</v>
      </c>
      <c r="I176" s="7"/>
      <c r="J176" s="7"/>
      <c r="K176" s="33" t="s">
        <v>290</v>
      </c>
      <c r="L176" s="17" t="b">
        <f>IF(OR(COUNTIF('クラス'!$A$1:$A$1267,$B176)&gt;0,$B176="",$M176=""),"",True)</f>
        <v>1</v>
      </c>
      <c r="M176" s="1" t="str">
        <f t="shared" si="9"/>
        <v>存在しない</v>
      </c>
      <c r="N176" s="1"/>
      <c r="O176" s="1"/>
      <c r="P176" s="11"/>
      <c r="Q176" s="11"/>
      <c r="R176" s="11"/>
      <c r="S176" s="11"/>
      <c r="T176" s="1"/>
      <c r="U176" s="1"/>
      <c r="V176" s="1"/>
      <c r="W176" s="1"/>
      <c r="X176" s="1"/>
      <c r="Y176" s="1"/>
      <c r="Z176" s="1"/>
    </row>
    <row r="177" ht="18.0" customHeight="1" outlineLevel="2">
      <c r="A177" s="26">
        <v>3.0</v>
      </c>
      <c r="B177" s="28" t="s">
        <v>307</v>
      </c>
      <c r="C177" s="26" t="s">
        <v>308</v>
      </c>
      <c r="D177" s="26" t="s">
        <v>284</v>
      </c>
      <c r="E177" s="29" t="s">
        <v>33</v>
      </c>
      <c r="F177" s="15"/>
      <c r="G177" s="30">
        <v>60.0</v>
      </c>
      <c r="H177" s="11"/>
      <c r="I177" s="7"/>
      <c r="J177" s="32" t="s">
        <v>309</v>
      </c>
      <c r="K177" s="33" t="s">
        <v>238</v>
      </c>
      <c r="L177" s="17" t="b">
        <f>IF(OR(COUNTIF('クラス'!$A$1:$A$1267,$B177)&gt;0,$B177="",$M177=""),"",True)</f>
        <v>1</v>
      </c>
      <c r="M177" s="1" t="str">
        <f t="shared" si="9"/>
        <v>存在しない</v>
      </c>
      <c r="N177" s="1"/>
      <c r="O177" s="1"/>
      <c r="P177" s="11"/>
      <c r="Q177" s="11"/>
      <c r="R177" s="11"/>
      <c r="S177" s="11"/>
      <c r="T177" s="1"/>
      <c r="U177" s="1"/>
      <c r="V177" s="1"/>
      <c r="W177" s="1"/>
      <c r="X177" s="1"/>
      <c r="Y177" s="1"/>
      <c r="Z177" s="1"/>
    </row>
    <row r="178" ht="18.0" customHeight="1" outlineLevel="2">
      <c r="A178" s="26">
        <v>3.0</v>
      </c>
      <c r="B178" s="28" t="s">
        <v>310</v>
      </c>
      <c r="C178" s="26" t="s">
        <v>311</v>
      </c>
      <c r="D178" s="26" t="s">
        <v>284</v>
      </c>
      <c r="E178" s="29" t="s">
        <v>33</v>
      </c>
      <c r="F178" s="15"/>
      <c r="G178" s="30">
        <v>60.0</v>
      </c>
      <c r="H178" s="31" t="s">
        <v>312</v>
      </c>
      <c r="I178" s="7"/>
      <c r="J178" s="32" t="s">
        <v>313</v>
      </c>
      <c r="K178" s="33" t="s">
        <v>238</v>
      </c>
      <c r="L178" s="17" t="b">
        <f>IF(OR(COUNTIF('クラス'!$A$1:$A$1267,$B178)&gt;0,$B178="",$M178=""),"",True)</f>
        <v>1</v>
      </c>
      <c r="M178" s="1" t="str">
        <f t="shared" si="9"/>
        <v>存在しない</v>
      </c>
      <c r="N178" s="1"/>
      <c r="O178" s="1"/>
      <c r="P178" s="11"/>
      <c r="Q178" s="11"/>
      <c r="R178" s="11"/>
      <c r="S178" s="11"/>
      <c r="T178" s="1"/>
      <c r="U178" s="1"/>
      <c r="V178" s="1"/>
      <c r="W178" s="1"/>
      <c r="X178" s="1"/>
      <c r="Y178" s="1"/>
      <c r="Z178" s="1"/>
    </row>
    <row r="179" ht="18.0" customHeight="1" outlineLevel="2">
      <c r="A179" s="26">
        <v>3.0</v>
      </c>
      <c r="B179" s="28" t="s">
        <v>314</v>
      </c>
      <c r="C179" s="26" t="s">
        <v>315</v>
      </c>
      <c r="D179" s="26" t="s">
        <v>284</v>
      </c>
      <c r="E179" s="29" t="s">
        <v>33</v>
      </c>
      <c r="F179" s="15"/>
      <c r="G179" s="30">
        <v>60.0</v>
      </c>
      <c r="H179" s="31" t="s">
        <v>316</v>
      </c>
      <c r="I179" s="7"/>
      <c r="J179" s="32" t="s">
        <v>317</v>
      </c>
      <c r="K179" s="33" t="s">
        <v>238</v>
      </c>
      <c r="L179" s="17" t="b">
        <f>IF(OR(COUNTIF('クラス'!$A$1:$A$1267,$B179)&gt;0,$B179="",$M179=""),"",True)</f>
        <v>1</v>
      </c>
      <c r="M179" s="1" t="str">
        <f t="shared" si="9"/>
        <v>存在しない</v>
      </c>
      <c r="N179" s="1"/>
      <c r="O179" s="1"/>
      <c r="P179" s="11"/>
      <c r="Q179" s="11"/>
      <c r="R179" s="11"/>
      <c r="S179" s="11"/>
      <c r="T179" s="1"/>
      <c r="U179" s="1"/>
      <c r="V179" s="1"/>
      <c r="W179" s="1"/>
      <c r="X179" s="1"/>
      <c r="Y179" s="1"/>
      <c r="Z179" s="1"/>
    </row>
    <row r="180" ht="18.0" customHeight="1" outlineLevel="2">
      <c r="A180" s="26">
        <v>3.0</v>
      </c>
      <c r="B180" s="28" t="s">
        <v>318</v>
      </c>
      <c r="C180" s="1"/>
      <c r="D180" s="1"/>
      <c r="E180" s="29" t="s">
        <v>33</v>
      </c>
      <c r="F180" s="15"/>
      <c r="G180" s="30">
        <v>60.0</v>
      </c>
      <c r="H180" s="11"/>
      <c r="I180" s="7"/>
      <c r="J180" s="7"/>
      <c r="K180" s="33" t="s">
        <v>319</v>
      </c>
      <c r="L180" s="17" t="b">
        <f>IF(OR(COUNTIF('クラス'!$A$1:$A$1267,$B180)&gt;0,$B180="",$M180=""),"",True)</f>
        <v>1</v>
      </c>
      <c r="M180" s="1" t="str">
        <f t="shared" si="9"/>
        <v>存在しない</v>
      </c>
      <c r="N180" s="1"/>
      <c r="O180" s="1"/>
      <c r="P180" s="11"/>
      <c r="Q180" s="11"/>
      <c r="R180" s="11"/>
      <c r="S180" s="11"/>
      <c r="T180" s="1"/>
      <c r="U180" s="1"/>
      <c r="V180" s="1"/>
      <c r="W180" s="1"/>
      <c r="X180" s="1"/>
      <c r="Y180" s="1"/>
      <c r="Z180" s="1"/>
    </row>
    <row r="181" ht="18.0" customHeight="1" outlineLevel="2">
      <c r="A181" s="26">
        <v>3.0</v>
      </c>
      <c r="B181" s="28" t="s">
        <v>320</v>
      </c>
      <c r="C181" s="26" t="s">
        <v>321</v>
      </c>
      <c r="D181" s="1"/>
      <c r="E181" s="29" t="s">
        <v>33</v>
      </c>
      <c r="F181" s="15"/>
      <c r="G181" s="30">
        <v>60.0</v>
      </c>
      <c r="H181" s="11"/>
      <c r="I181" s="7"/>
      <c r="J181" s="7"/>
      <c r="K181" s="33" t="s">
        <v>322</v>
      </c>
      <c r="L181" s="17" t="b">
        <f>IF(OR(COUNTIF('クラス'!$A$1:$A$1267,$B181)&gt;0,$B181="",$M181=""),"",True)</f>
        <v>1</v>
      </c>
      <c r="M181" s="1" t="str">
        <f t="shared" si="9"/>
        <v>存在しない</v>
      </c>
      <c r="N181" s="1"/>
      <c r="O181" s="1"/>
      <c r="P181" s="11"/>
      <c r="Q181" s="11"/>
      <c r="R181" s="11"/>
      <c r="S181" s="11"/>
      <c r="T181" s="1"/>
      <c r="U181" s="1"/>
      <c r="V181" s="1"/>
      <c r="W181" s="1"/>
      <c r="X181" s="1"/>
      <c r="Y181" s="1"/>
      <c r="Z181" s="1"/>
    </row>
    <row r="182" ht="18.0" customHeight="1" outlineLevel="2">
      <c r="A182" s="26">
        <v>4.0</v>
      </c>
      <c r="B182" s="28" t="s">
        <v>323</v>
      </c>
      <c r="C182" s="26" t="s">
        <v>324</v>
      </c>
      <c r="D182" s="26" t="s">
        <v>284</v>
      </c>
      <c r="E182" s="29" t="s">
        <v>33</v>
      </c>
      <c r="F182" s="15"/>
      <c r="G182" s="30">
        <v>60.0</v>
      </c>
      <c r="H182" s="31" t="s">
        <v>325</v>
      </c>
      <c r="I182" s="7"/>
      <c r="J182" s="32" t="s">
        <v>326</v>
      </c>
      <c r="K182" s="17"/>
      <c r="L182" s="17" t="b">
        <f>IF(OR(COUNTIF('クラス'!$A$1:$A$1267,$B182)&gt;0,$B182="",$M182=""),"",True)</f>
        <v>1</v>
      </c>
      <c r="M182" s="1" t="str">
        <f t="shared" si="9"/>
        <v>存在しない</v>
      </c>
      <c r="N182" s="1"/>
      <c r="O182" s="1"/>
      <c r="P182" s="11"/>
      <c r="Q182" s="11"/>
      <c r="R182" s="11"/>
      <c r="S182" s="11"/>
      <c r="T182" s="1"/>
      <c r="U182" s="1"/>
      <c r="V182" s="1"/>
      <c r="W182" s="1"/>
      <c r="X182" s="1"/>
      <c r="Y182" s="1"/>
      <c r="Z182" s="1"/>
    </row>
    <row r="183" ht="18.0" customHeight="1" outlineLevel="2">
      <c r="A183" s="26">
        <v>4.0</v>
      </c>
      <c r="B183" s="28" t="s">
        <v>327</v>
      </c>
      <c r="C183" s="26" t="s">
        <v>328</v>
      </c>
      <c r="D183" s="26" t="s">
        <v>284</v>
      </c>
      <c r="E183" s="29" t="s">
        <v>33</v>
      </c>
      <c r="F183" s="15"/>
      <c r="G183" s="30">
        <v>60.0</v>
      </c>
      <c r="H183" s="22" t="s">
        <v>329</v>
      </c>
      <c r="I183" s="7"/>
      <c r="J183" s="32" t="s">
        <v>330</v>
      </c>
      <c r="K183" s="33" t="s">
        <v>238</v>
      </c>
      <c r="L183" s="17" t="b">
        <f>IF(OR(COUNTIF('クラス'!$A$1:$A$1267,$B183)&gt;0,$B183="",$M183=""),"",True)</f>
        <v>1</v>
      </c>
      <c r="M183" s="1" t="str">
        <f t="shared" si="9"/>
        <v>存在しない</v>
      </c>
      <c r="N183" s="1"/>
      <c r="O183" s="1"/>
      <c r="P183" s="11"/>
      <c r="Q183" s="11"/>
      <c r="R183" s="11"/>
      <c r="S183" s="11"/>
      <c r="T183" s="1"/>
      <c r="U183" s="1"/>
      <c r="V183" s="1"/>
      <c r="W183" s="1"/>
      <c r="X183" s="1"/>
      <c r="Y183" s="1"/>
      <c r="Z183" s="1"/>
    </row>
    <row r="184" ht="18.0" customHeight="1" outlineLevel="2">
      <c r="A184" s="26">
        <v>4.0</v>
      </c>
      <c r="B184" s="28" t="s">
        <v>331</v>
      </c>
      <c r="C184" s="26" t="s">
        <v>332</v>
      </c>
      <c r="D184" s="26" t="s">
        <v>284</v>
      </c>
      <c r="E184" s="29" t="s">
        <v>33</v>
      </c>
      <c r="F184" s="15"/>
      <c r="G184" s="30">
        <v>60.0</v>
      </c>
      <c r="H184" s="22" t="s">
        <v>333</v>
      </c>
      <c r="I184" s="7"/>
      <c r="J184" s="32" t="s">
        <v>334</v>
      </c>
      <c r="K184" s="33" t="s">
        <v>335</v>
      </c>
      <c r="L184" s="17" t="b">
        <f>IF(OR(COUNTIF('クラス'!$A$1:$A$1267,$B184)&gt;0,$B184="",$M184=""),"",True)</f>
        <v>1</v>
      </c>
      <c r="M184" s="1" t="str">
        <f t="shared" si="9"/>
        <v>存在しない</v>
      </c>
      <c r="N184" s="1"/>
      <c r="O184" s="1"/>
      <c r="P184" s="11"/>
      <c r="Q184" s="11"/>
      <c r="R184" s="11"/>
      <c r="S184" s="11"/>
      <c r="T184" s="1"/>
      <c r="U184" s="1"/>
      <c r="V184" s="1"/>
      <c r="W184" s="1"/>
      <c r="X184" s="1"/>
      <c r="Y184" s="1"/>
      <c r="Z184" s="1"/>
    </row>
    <row r="185" ht="18.0" customHeight="1" outlineLevel="2">
      <c r="A185" s="26">
        <v>4.0</v>
      </c>
      <c r="B185" s="28" t="s">
        <v>336</v>
      </c>
      <c r="C185" s="1"/>
      <c r="D185" s="1"/>
      <c r="E185" s="29" t="s">
        <v>33</v>
      </c>
      <c r="F185" s="15"/>
      <c r="G185" s="30">
        <v>60.0</v>
      </c>
      <c r="H185" s="11"/>
      <c r="I185" s="7"/>
      <c r="J185" s="7"/>
      <c r="K185" s="33" t="s">
        <v>319</v>
      </c>
      <c r="L185" s="17" t="b">
        <f>IF(OR(COUNTIF('クラス'!$A$1:$A$1267,$B185)&gt;0,$B185="",$M185=""),"",True)</f>
        <v>1</v>
      </c>
      <c r="M185" s="1" t="str">
        <f t="shared" si="9"/>
        <v>存在しない</v>
      </c>
      <c r="N185" s="1"/>
      <c r="O185" s="1"/>
      <c r="P185" s="11"/>
      <c r="Q185" s="11"/>
      <c r="R185" s="11"/>
      <c r="S185" s="11"/>
      <c r="T185" s="1"/>
      <c r="U185" s="1"/>
      <c r="V185" s="1"/>
      <c r="W185" s="1"/>
      <c r="X185" s="1"/>
      <c r="Y185" s="1"/>
      <c r="Z185" s="1"/>
    </row>
    <row r="186" ht="18.0" customHeight="1" outlineLevel="2">
      <c r="A186" s="26">
        <v>4.0</v>
      </c>
      <c r="B186" s="28" t="s">
        <v>337</v>
      </c>
      <c r="C186" s="26" t="s">
        <v>338</v>
      </c>
      <c r="D186" s="1"/>
      <c r="E186" s="29" t="s">
        <v>33</v>
      </c>
      <c r="F186" s="15"/>
      <c r="G186" s="30">
        <v>60.0</v>
      </c>
      <c r="H186" s="11"/>
      <c r="I186" s="7"/>
      <c r="J186" s="7"/>
      <c r="K186" s="33" t="s">
        <v>290</v>
      </c>
      <c r="L186" s="17" t="b">
        <f>IF(OR(COUNTIF('クラス'!$A$1:$A$1267,$B186)&gt;0,$B186="",$M186=""),"",True)</f>
        <v>1</v>
      </c>
      <c r="M186" s="1" t="str">
        <f t="shared" si="9"/>
        <v>存在しない</v>
      </c>
      <c r="N186" s="1"/>
      <c r="O186" s="1"/>
      <c r="P186" s="11"/>
      <c r="Q186" s="11"/>
      <c r="R186" s="11"/>
      <c r="S186" s="11"/>
      <c r="T186" s="1"/>
      <c r="U186" s="1"/>
      <c r="V186" s="1"/>
      <c r="W186" s="1"/>
      <c r="X186" s="1"/>
      <c r="Y186" s="1"/>
      <c r="Z186" s="1"/>
    </row>
    <row r="187" ht="18.0" customHeight="1" outlineLevel="2">
      <c r="A187" s="26">
        <v>5.0</v>
      </c>
      <c r="B187" s="28" t="s">
        <v>339</v>
      </c>
      <c r="C187" s="26" t="s">
        <v>340</v>
      </c>
      <c r="D187" s="26" t="s">
        <v>284</v>
      </c>
      <c r="E187" s="29" t="s">
        <v>33</v>
      </c>
      <c r="F187" s="15"/>
      <c r="G187" s="30">
        <v>60.0</v>
      </c>
      <c r="H187" s="11"/>
      <c r="I187" s="7"/>
      <c r="J187" s="32" t="s">
        <v>341</v>
      </c>
      <c r="K187" s="17"/>
      <c r="L187" s="17" t="b">
        <f>IF(OR(COUNTIF('クラス'!$A$1:$A$1267,$B187)&gt;0,$B187="",$M187=""),"",True)</f>
        <v>1</v>
      </c>
      <c r="M187" s="1" t="str">
        <f t="shared" si="9"/>
        <v>存在しない</v>
      </c>
      <c r="N187" s="1"/>
      <c r="O187" s="1"/>
      <c r="P187" s="11"/>
      <c r="Q187" s="11"/>
      <c r="R187" s="11"/>
      <c r="S187" s="11"/>
      <c r="T187" s="1"/>
      <c r="U187" s="1"/>
      <c r="V187" s="1"/>
      <c r="W187" s="1"/>
      <c r="X187" s="1"/>
      <c r="Y187" s="1"/>
      <c r="Z187" s="1"/>
    </row>
    <row r="188" ht="18.0" customHeight="1" outlineLevel="2">
      <c r="A188" s="26">
        <v>5.0</v>
      </c>
      <c r="B188" s="28" t="s">
        <v>342</v>
      </c>
      <c r="C188" s="26" t="s">
        <v>343</v>
      </c>
      <c r="D188" s="26" t="s">
        <v>284</v>
      </c>
      <c r="E188" s="29" t="s">
        <v>33</v>
      </c>
      <c r="F188" s="15"/>
      <c r="G188" s="30">
        <v>60.0</v>
      </c>
      <c r="H188" s="11"/>
      <c r="I188" s="7"/>
      <c r="J188" s="32" t="s">
        <v>344</v>
      </c>
      <c r="K188" s="33" t="s">
        <v>238</v>
      </c>
      <c r="L188" s="17" t="b">
        <f>IF(OR(COUNTIF('クラス'!$A$1:$A$1267,$B188)&gt;0,$B188="",$M188=""),"",True)</f>
        <v>1</v>
      </c>
      <c r="M188" s="1" t="str">
        <f t="shared" si="9"/>
        <v>存在しない</v>
      </c>
      <c r="N188" s="1"/>
      <c r="O188" s="1"/>
      <c r="P188" s="11"/>
      <c r="Q188" s="11"/>
      <c r="R188" s="11"/>
      <c r="S188" s="11"/>
      <c r="T188" s="1"/>
      <c r="U188" s="1"/>
      <c r="V188" s="1"/>
      <c r="W188" s="1"/>
      <c r="X188" s="1"/>
      <c r="Y188" s="1"/>
      <c r="Z188" s="1"/>
    </row>
    <row r="189" ht="18.0" customHeight="1" outlineLevel="2">
      <c r="A189" s="26">
        <v>5.0</v>
      </c>
      <c r="B189" s="28" t="s">
        <v>345</v>
      </c>
      <c r="C189" s="26" t="s">
        <v>346</v>
      </c>
      <c r="D189" s="26" t="s">
        <v>284</v>
      </c>
      <c r="E189" s="29" t="s">
        <v>33</v>
      </c>
      <c r="F189" s="15"/>
      <c r="G189" s="30">
        <v>60.0</v>
      </c>
      <c r="H189" s="11"/>
      <c r="I189" s="7"/>
      <c r="J189" s="32" t="s">
        <v>347</v>
      </c>
      <c r="K189" s="17"/>
      <c r="L189" s="17" t="b">
        <f>IF(OR(COUNTIF('クラス'!$A$1:$A$1267,$B189)&gt;0,$B189="",$M189=""),"",True)</f>
        <v>1</v>
      </c>
      <c r="M189" s="1" t="str">
        <f t="shared" si="9"/>
        <v>存在しない</v>
      </c>
      <c r="N189" s="1"/>
      <c r="O189" s="1"/>
      <c r="P189" s="11"/>
      <c r="Q189" s="11"/>
      <c r="R189" s="11"/>
      <c r="S189" s="11"/>
      <c r="T189" s="1"/>
      <c r="U189" s="1"/>
      <c r="V189" s="1"/>
      <c r="W189" s="1"/>
      <c r="X189" s="1"/>
      <c r="Y189" s="1"/>
      <c r="Z189" s="1"/>
    </row>
    <row r="190" ht="18.0" customHeight="1" outlineLevel="2">
      <c r="A190" s="26">
        <v>5.0</v>
      </c>
      <c r="B190" s="28" t="s">
        <v>348</v>
      </c>
      <c r="C190" s="26" t="s">
        <v>349</v>
      </c>
      <c r="D190" s="26" t="s">
        <v>284</v>
      </c>
      <c r="E190" s="29" t="s">
        <v>33</v>
      </c>
      <c r="F190" s="15"/>
      <c r="G190" s="30">
        <v>60.0</v>
      </c>
      <c r="H190" s="22" t="s">
        <v>350</v>
      </c>
      <c r="I190" s="7"/>
      <c r="J190" s="32" t="s">
        <v>351</v>
      </c>
      <c r="K190" s="33" t="s">
        <v>335</v>
      </c>
      <c r="L190" s="17" t="b">
        <f>IF(OR(COUNTIF('クラス'!$A$1:$A$1267,$B190)&gt;0,$B190="",$M190=""),"",True)</f>
        <v>1</v>
      </c>
      <c r="M190" s="1" t="str">
        <f t="shared" si="9"/>
        <v>存在しない</v>
      </c>
      <c r="N190" s="1"/>
      <c r="O190" s="1"/>
      <c r="P190" s="11"/>
      <c r="Q190" s="11"/>
      <c r="R190" s="11"/>
      <c r="S190" s="11"/>
      <c r="T190" s="1"/>
      <c r="U190" s="1"/>
      <c r="V190" s="1"/>
      <c r="W190" s="1"/>
      <c r="X190" s="1"/>
      <c r="Y190" s="1"/>
      <c r="Z190" s="1"/>
    </row>
    <row r="191" ht="18.0" customHeight="1" outlineLevel="2">
      <c r="A191" s="26">
        <v>5.0</v>
      </c>
      <c r="B191" s="28" t="s">
        <v>352</v>
      </c>
      <c r="C191" s="1"/>
      <c r="D191" s="1"/>
      <c r="E191" s="29" t="s">
        <v>33</v>
      </c>
      <c r="F191" s="15"/>
      <c r="G191" s="30">
        <v>60.0</v>
      </c>
      <c r="H191" s="11"/>
      <c r="I191" s="7"/>
      <c r="J191" s="7"/>
      <c r="K191" s="33" t="s">
        <v>319</v>
      </c>
      <c r="L191" s="17" t="b">
        <f>IF(OR(COUNTIF('クラス'!$A$1:$A$1267,$B191)&gt;0,$B191="",$M191=""),"",True)</f>
        <v>1</v>
      </c>
      <c r="M191" s="1" t="str">
        <f t="shared" si="9"/>
        <v>存在しない</v>
      </c>
      <c r="N191" s="1"/>
      <c r="O191" s="1"/>
      <c r="P191" s="11"/>
      <c r="Q191" s="11"/>
      <c r="R191" s="11"/>
      <c r="S191" s="11"/>
      <c r="T191" s="1"/>
      <c r="U191" s="1"/>
      <c r="V191" s="1"/>
      <c r="W191" s="1"/>
      <c r="X191" s="1"/>
      <c r="Y191" s="1"/>
      <c r="Z191" s="1"/>
    </row>
    <row r="192" ht="18.0" customHeight="1" outlineLevel="2">
      <c r="A192" s="26">
        <v>5.0</v>
      </c>
      <c r="B192" s="28" t="s">
        <v>353</v>
      </c>
      <c r="C192" s="1"/>
      <c r="D192" s="1"/>
      <c r="E192" s="29" t="s">
        <v>33</v>
      </c>
      <c r="F192" s="15"/>
      <c r="G192" s="30">
        <v>60.0</v>
      </c>
      <c r="H192" s="11"/>
      <c r="I192" s="7"/>
      <c r="J192" s="7"/>
      <c r="K192" s="33" t="s">
        <v>290</v>
      </c>
      <c r="L192" s="17" t="b">
        <f>IF(OR(COUNTIF('クラス'!$A$1:$A$1267,$B192)&gt;0,$B192="",$M192=""),"",True)</f>
        <v>1</v>
      </c>
      <c r="M192" s="1" t="str">
        <f t="shared" si="9"/>
        <v>存在しない</v>
      </c>
      <c r="N192" s="1"/>
      <c r="O192" s="1"/>
      <c r="P192" s="11"/>
      <c r="Q192" s="11"/>
      <c r="R192" s="11"/>
      <c r="S192" s="11"/>
      <c r="T192" s="1"/>
      <c r="U192" s="1"/>
      <c r="V192" s="1"/>
      <c r="W192" s="1"/>
      <c r="X192" s="1"/>
      <c r="Y192" s="1"/>
      <c r="Z192" s="1"/>
    </row>
    <row r="193" ht="18.0" customHeight="1" outlineLevel="2">
      <c r="A193" s="26">
        <v>6.0</v>
      </c>
      <c r="B193" s="28" t="s">
        <v>354</v>
      </c>
      <c r="C193" s="26" t="s">
        <v>355</v>
      </c>
      <c r="D193" s="26" t="s">
        <v>284</v>
      </c>
      <c r="E193" s="29" t="s">
        <v>33</v>
      </c>
      <c r="F193" s="15"/>
      <c r="G193" s="30">
        <v>60.0</v>
      </c>
      <c r="H193" s="11"/>
      <c r="I193" s="7"/>
      <c r="J193" s="32" t="s">
        <v>356</v>
      </c>
      <c r="K193" s="17"/>
      <c r="L193" s="17" t="b">
        <f>IF(OR(COUNTIF('クラス'!$A$1:$A$1267,$B193)&gt;0,$B193="",$M193=""),"",True)</f>
        <v>1</v>
      </c>
      <c r="M193" s="1" t="str">
        <f t="shared" si="9"/>
        <v>存在しない</v>
      </c>
      <c r="N193" s="1"/>
      <c r="O193" s="1"/>
      <c r="P193" s="11"/>
      <c r="Q193" s="11"/>
      <c r="R193" s="11"/>
      <c r="S193" s="11"/>
      <c r="T193" s="1"/>
      <c r="U193" s="1"/>
      <c r="V193" s="1"/>
      <c r="W193" s="1"/>
      <c r="X193" s="1"/>
      <c r="Y193" s="1"/>
      <c r="Z193" s="1"/>
    </row>
    <row r="194" ht="18.0" customHeight="1" outlineLevel="2">
      <c r="A194" s="26">
        <v>6.0</v>
      </c>
      <c r="B194" s="28" t="s">
        <v>357</v>
      </c>
      <c r="C194" s="1"/>
      <c r="D194" s="1"/>
      <c r="E194" s="29" t="s">
        <v>33</v>
      </c>
      <c r="F194" s="15"/>
      <c r="G194" s="30">
        <v>60.0</v>
      </c>
      <c r="H194" s="11"/>
      <c r="I194" s="7"/>
      <c r="J194" s="7"/>
      <c r="K194" s="33" t="s">
        <v>358</v>
      </c>
      <c r="L194" s="17" t="b">
        <f>IF(OR(COUNTIF('クラス'!$A$1:$A$1267,$B194)&gt;0,$B194="",$M194=""),"",True)</f>
        <v>1</v>
      </c>
      <c r="M194" s="1" t="str">
        <f t="shared" si="9"/>
        <v>存在しない</v>
      </c>
      <c r="N194" s="1"/>
      <c r="O194" s="1"/>
      <c r="P194" s="11"/>
      <c r="Q194" s="11"/>
      <c r="R194" s="11"/>
      <c r="S194" s="11"/>
      <c r="T194" s="1"/>
      <c r="U194" s="1"/>
      <c r="V194" s="1"/>
      <c r="W194" s="1"/>
      <c r="X194" s="1"/>
      <c r="Y194" s="1"/>
      <c r="Z194" s="1"/>
    </row>
    <row r="195" ht="18.0" customHeight="1" outlineLevel="2">
      <c r="A195" s="26">
        <v>6.0</v>
      </c>
      <c r="B195" s="28" t="s">
        <v>359</v>
      </c>
      <c r="C195" s="1"/>
      <c r="D195" s="1"/>
      <c r="E195" s="29" t="s">
        <v>33</v>
      </c>
      <c r="F195" s="15"/>
      <c r="G195" s="30">
        <v>60.0</v>
      </c>
      <c r="H195" s="11"/>
      <c r="I195" s="7"/>
      <c r="J195" s="7"/>
      <c r="K195" s="33" t="s">
        <v>360</v>
      </c>
      <c r="L195" s="17" t="b">
        <f>IF(OR(COUNTIF('クラス'!$A$1:$A$1267,$B195)&gt;0,$B195="",$M195=""),"",True)</f>
        <v>1</v>
      </c>
      <c r="M195" s="1" t="str">
        <f t="shared" si="9"/>
        <v>存在しない</v>
      </c>
      <c r="N195" s="1"/>
      <c r="O195" s="1"/>
      <c r="P195" s="11"/>
      <c r="Q195" s="11"/>
      <c r="R195" s="11"/>
      <c r="S195" s="11"/>
      <c r="T195" s="1"/>
      <c r="U195" s="1"/>
      <c r="V195" s="1"/>
      <c r="W195" s="1"/>
      <c r="X195" s="1"/>
      <c r="Y195" s="1"/>
      <c r="Z195" s="1"/>
    </row>
    <row r="196" ht="18.0" customHeight="1" outlineLevel="2">
      <c r="A196" s="26">
        <v>6.0</v>
      </c>
      <c r="B196" s="28" t="s">
        <v>361</v>
      </c>
      <c r="C196" s="1"/>
      <c r="D196" s="1"/>
      <c r="E196" s="29" t="s">
        <v>33</v>
      </c>
      <c r="F196" s="15"/>
      <c r="G196" s="30">
        <v>60.0</v>
      </c>
      <c r="H196" s="11"/>
      <c r="I196" s="7"/>
      <c r="J196" s="7"/>
      <c r="K196" s="33" t="s">
        <v>319</v>
      </c>
      <c r="L196" s="17" t="b">
        <f>IF(OR(COUNTIF('クラス'!$A$1:$A$1267,$B196)&gt;0,$B196="",$M196=""),"",True)</f>
        <v>1</v>
      </c>
      <c r="M196" s="1" t="str">
        <f t="shared" si="9"/>
        <v>存在しない</v>
      </c>
      <c r="N196" s="1"/>
      <c r="O196" s="1"/>
      <c r="P196" s="11"/>
      <c r="Q196" s="11"/>
      <c r="R196" s="11"/>
      <c r="S196" s="11"/>
      <c r="T196" s="1"/>
      <c r="U196" s="1"/>
      <c r="V196" s="1"/>
      <c r="W196" s="1"/>
      <c r="X196" s="1"/>
      <c r="Y196" s="1"/>
      <c r="Z196" s="1"/>
    </row>
    <row r="197" ht="18.0" customHeight="1" outlineLevel="2">
      <c r="A197" s="26">
        <v>6.0</v>
      </c>
      <c r="B197" s="28" t="s">
        <v>362</v>
      </c>
      <c r="C197" s="26" t="s">
        <v>363</v>
      </c>
      <c r="D197" s="1"/>
      <c r="E197" s="29" t="s">
        <v>33</v>
      </c>
      <c r="F197" s="15"/>
      <c r="G197" s="30">
        <v>60.0</v>
      </c>
      <c r="H197" s="11"/>
      <c r="I197" s="7"/>
      <c r="J197" s="7"/>
      <c r="K197" s="33" t="s">
        <v>290</v>
      </c>
      <c r="L197" s="17" t="b">
        <f>IF(OR(COUNTIF('クラス'!$A$1:$A$1267,$B197)&gt;0,$B197="",$M197=""),"",True)</f>
        <v>1</v>
      </c>
      <c r="M197" s="1" t="str">
        <f t="shared" si="9"/>
        <v>存在しない</v>
      </c>
      <c r="N197" s="1"/>
      <c r="O197" s="1"/>
      <c r="P197" s="11"/>
      <c r="Q197" s="11"/>
      <c r="R197" s="11"/>
      <c r="S197" s="11"/>
      <c r="T197" s="1"/>
      <c r="U197" s="1"/>
      <c r="V197" s="1"/>
      <c r="W197" s="1"/>
      <c r="X197" s="1"/>
      <c r="Y197" s="1"/>
      <c r="Z197" s="1"/>
    </row>
    <row r="198" ht="18.0" customHeight="1" outlineLevel="2">
      <c r="A198" s="26">
        <v>7.0</v>
      </c>
      <c r="B198" s="28" t="s">
        <v>364</v>
      </c>
      <c r="C198" s="1"/>
      <c r="D198" s="1"/>
      <c r="E198" s="29" t="s">
        <v>33</v>
      </c>
      <c r="F198" s="15"/>
      <c r="G198" s="30">
        <v>60.0</v>
      </c>
      <c r="H198" s="11"/>
      <c r="I198" s="7"/>
      <c r="J198" s="7"/>
      <c r="K198" s="33" t="s">
        <v>319</v>
      </c>
      <c r="L198" s="17" t="b">
        <f>IF(OR(COUNTIF('クラス'!$A$1:$A$1267,$B198)&gt;0,$B198="",$M198=""),"",True)</f>
        <v>1</v>
      </c>
      <c r="M198" s="1" t="str">
        <f t="shared" si="9"/>
        <v>存在しない</v>
      </c>
      <c r="N198" s="1"/>
      <c r="O198" s="1"/>
      <c r="P198" s="11"/>
      <c r="Q198" s="11"/>
      <c r="R198" s="11"/>
      <c r="S198" s="11"/>
      <c r="T198" s="1"/>
      <c r="U198" s="1"/>
      <c r="V198" s="1"/>
      <c r="W198" s="1"/>
      <c r="X198" s="1"/>
      <c r="Y198" s="1"/>
      <c r="Z198" s="1"/>
    </row>
    <row r="199" ht="18.0" customHeight="1" outlineLevel="2">
      <c r="A199" s="26">
        <v>7.0</v>
      </c>
      <c r="B199" s="28" t="s">
        <v>365</v>
      </c>
      <c r="C199" s="26" t="s">
        <v>366</v>
      </c>
      <c r="D199" s="1"/>
      <c r="E199" s="29" t="s">
        <v>33</v>
      </c>
      <c r="F199" s="15"/>
      <c r="G199" s="30">
        <v>60.0</v>
      </c>
      <c r="H199" s="11"/>
      <c r="I199" s="7"/>
      <c r="J199" s="7"/>
      <c r="K199" s="33" t="s">
        <v>290</v>
      </c>
      <c r="L199" s="17" t="b">
        <f>IF(OR(COUNTIF('クラス'!$A$1:$A$1267,$B199)&gt;0,$B199="",$M199=""),"",True)</f>
        <v>1</v>
      </c>
      <c r="M199" s="1" t="str">
        <f t="shared" si="9"/>
        <v>存在しない</v>
      </c>
      <c r="N199" s="1"/>
      <c r="O199" s="1"/>
      <c r="P199" s="11"/>
      <c r="Q199" s="11"/>
      <c r="R199" s="11"/>
      <c r="S199" s="11"/>
      <c r="T199" s="1"/>
      <c r="U199" s="1"/>
      <c r="V199" s="1"/>
      <c r="W199" s="1"/>
      <c r="X199" s="1"/>
      <c r="Y199" s="1"/>
      <c r="Z199" s="1"/>
    </row>
    <row r="200" ht="18.0" customHeight="1" outlineLevel="1">
      <c r="A200" s="26"/>
      <c r="B200" s="24"/>
      <c r="C200" s="26" t="s">
        <v>367</v>
      </c>
      <c r="D200" s="1"/>
      <c r="E200" s="14"/>
      <c r="F200" s="15"/>
      <c r="G200" s="30"/>
      <c r="H200" s="11"/>
      <c r="I200" s="7"/>
      <c r="J200" s="7"/>
      <c r="K200" s="17"/>
      <c r="L200" s="17" t="str">
        <f>IF(OR(COUNTIF('クラス'!$A$1:$A$1267,$B200)&gt;0,$B200="",$M200=""),"",True)</f>
        <v/>
      </c>
      <c r="M200" s="1" t="str">
        <f t="shared" si="9"/>
        <v>存在しない</v>
      </c>
      <c r="N200" s="1"/>
      <c r="O200" s="1"/>
      <c r="P200" s="11"/>
      <c r="Q200" s="11"/>
      <c r="R200" s="11"/>
      <c r="S200" s="11"/>
      <c r="T200" s="1"/>
      <c r="U200" s="1"/>
      <c r="V200" s="1"/>
      <c r="W200" s="1"/>
      <c r="X200" s="1"/>
      <c r="Y200" s="1"/>
      <c r="Z200" s="1"/>
    </row>
    <row r="201" ht="18.0" customHeight="1" outlineLevel="2">
      <c r="A201" s="26">
        <v>1.0</v>
      </c>
      <c r="B201" s="28" t="s">
        <v>368</v>
      </c>
      <c r="C201" s="26" t="s">
        <v>369</v>
      </c>
      <c r="D201" s="26" t="s">
        <v>370</v>
      </c>
      <c r="E201" s="29" t="s">
        <v>33</v>
      </c>
      <c r="F201" s="15"/>
      <c r="G201" s="30">
        <v>60.0</v>
      </c>
      <c r="H201" s="11"/>
      <c r="I201" s="7"/>
      <c r="J201" s="32" t="s">
        <v>371</v>
      </c>
      <c r="K201" s="17"/>
      <c r="L201" s="17" t="b">
        <f>IF(OR(COUNTIF('クラス'!$A$1:$A$1267,$B201)&gt;0,$B201="",$M201=""),"",True)</f>
        <v>1</v>
      </c>
      <c r="M201" s="1" t="str">
        <f t="shared" si="9"/>
        <v>存在しない</v>
      </c>
      <c r="N201" s="1"/>
      <c r="O201" s="1"/>
      <c r="P201" s="11"/>
      <c r="Q201" s="11"/>
      <c r="R201" s="11"/>
      <c r="S201" s="11"/>
      <c r="T201" s="1"/>
      <c r="U201" s="1"/>
      <c r="V201" s="1"/>
      <c r="W201" s="1"/>
      <c r="X201" s="1"/>
      <c r="Y201" s="1"/>
      <c r="Z201" s="1"/>
    </row>
    <row r="202" ht="18.0" customHeight="1" outlineLevel="2">
      <c r="A202" s="26">
        <v>1.0</v>
      </c>
      <c r="B202" s="28" t="s">
        <v>372</v>
      </c>
      <c r="C202" s="26" t="s">
        <v>373</v>
      </c>
      <c r="D202" s="26" t="s">
        <v>370</v>
      </c>
      <c r="E202" s="29" t="s">
        <v>33</v>
      </c>
      <c r="F202" s="15"/>
      <c r="G202" s="30">
        <v>60.0</v>
      </c>
      <c r="H202" s="31" t="s">
        <v>374</v>
      </c>
      <c r="I202" s="7"/>
      <c r="J202" s="32" t="s">
        <v>78</v>
      </c>
      <c r="K202" s="17"/>
      <c r="L202" s="17" t="b">
        <f>IF(OR(COUNTIF('クラス'!$A$1:$A$1267,$B202)&gt;0,$B202="",$M202=""),"",True)</f>
        <v>1</v>
      </c>
      <c r="M202" s="1" t="str">
        <f t="shared" si="9"/>
        <v>存在しない</v>
      </c>
      <c r="N202" s="1"/>
      <c r="O202" s="1"/>
      <c r="P202" s="11"/>
      <c r="Q202" s="11"/>
      <c r="R202" s="11"/>
      <c r="S202" s="11"/>
      <c r="T202" s="1"/>
      <c r="U202" s="1"/>
      <c r="V202" s="1"/>
      <c r="W202" s="1"/>
      <c r="X202" s="1"/>
      <c r="Y202" s="1"/>
      <c r="Z202" s="1"/>
    </row>
    <row r="203" ht="18.0" customHeight="1" outlineLevel="2">
      <c r="A203" s="26">
        <v>1.0</v>
      </c>
      <c r="B203" s="28" t="s">
        <v>375</v>
      </c>
      <c r="C203" s="26" t="s">
        <v>376</v>
      </c>
      <c r="D203" s="26" t="s">
        <v>370</v>
      </c>
      <c r="E203" s="29" t="s">
        <v>33</v>
      </c>
      <c r="F203" s="15"/>
      <c r="G203" s="30">
        <v>60.0</v>
      </c>
      <c r="H203" s="22" t="s">
        <v>377</v>
      </c>
      <c r="I203" s="7"/>
      <c r="J203" s="7"/>
      <c r="K203" s="17"/>
      <c r="L203" s="17" t="b">
        <f>IF(OR(COUNTIF('クラス'!$A$1:$A$1267,$B203)&gt;0,$B203="",$M203=""),"",True)</f>
        <v>1</v>
      </c>
      <c r="M203" s="1" t="str">
        <f t="shared" si="9"/>
        <v>存在しない</v>
      </c>
      <c r="N203" s="1"/>
      <c r="O203" s="1"/>
      <c r="P203" s="11"/>
      <c r="Q203" s="11"/>
      <c r="R203" s="11"/>
      <c r="S203" s="11"/>
      <c r="T203" s="1"/>
      <c r="U203" s="1"/>
      <c r="V203" s="1"/>
      <c r="W203" s="1"/>
      <c r="X203" s="1"/>
      <c r="Y203" s="1"/>
      <c r="Z203" s="1"/>
    </row>
    <row r="204" ht="18.0" customHeight="1" outlineLevel="2">
      <c r="A204" s="26">
        <v>2.0</v>
      </c>
      <c r="B204" s="28" t="s">
        <v>378</v>
      </c>
      <c r="C204" s="26" t="s">
        <v>379</v>
      </c>
      <c r="D204" s="26" t="s">
        <v>370</v>
      </c>
      <c r="E204" s="29" t="s">
        <v>33</v>
      </c>
      <c r="F204" s="15"/>
      <c r="G204" s="30">
        <v>60.0</v>
      </c>
      <c r="H204" s="11"/>
      <c r="I204" s="7"/>
      <c r="J204" s="32" t="s">
        <v>380</v>
      </c>
      <c r="K204" s="17"/>
      <c r="L204" s="17" t="b">
        <f>IF(OR(COUNTIF('クラス'!$A$1:$A$1267,$B204)&gt;0,$B204="",$M204=""),"",True)</f>
        <v>1</v>
      </c>
      <c r="M204" s="1" t="str">
        <f t="shared" si="9"/>
        <v>存在しない</v>
      </c>
      <c r="N204" s="1"/>
      <c r="O204" s="1"/>
      <c r="P204" s="11"/>
      <c r="Q204" s="11"/>
      <c r="R204" s="11"/>
      <c r="S204" s="11"/>
      <c r="T204" s="1"/>
      <c r="U204" s="1"/>
      <c r="V204" s="1"/>
      <c r="W204" s="1"/>
      <c r="X204" s="1"/>
      <c r="Y204" s="1"/>
      <c r="Z204" s="1"/>
    </row>
    <row r="205" ht="18.0" customHeight="1" outlineLevel="2">
      <c r="A205" s="26">
        <v>2.0</v>
      </c>
      <c r="B205" s="28" t="s">
        <v>381</v>
      </c>
      <c r="C205" s="26" t="s">
        <v>382</v>
      </c>
      <c r="D205" s="26" t="s">
        <v>370</v>
      </c>
      <c r="E205" s="29" t="s">
        <v>33</v>
      </c>
      <c r="F205" s="15"/>
      <c r="G205" s="30">
        <v>60.0</v>
      </c>
      <c r="H205" s="11"/>
      <c r="I205" s="7"/>
      <c r="J205" s="32" t="s">
        <v>383</v>
      </c>
      <c r="K205" s="17"/>
      <c r="L205" s="17" t="b">
        <f>IF(OR(COUNTIF('クラス'!$A$1:$A$1267,$B205)&gt;0,$B205="",$M205=""),"",True)</f>
        <v>1</v>
      </c>
      <c r="M205" s="1" t="str">
        <f t="shared" si="9"/>
        <v>存在しない</v>
      </c>
      <c r="N205" s="1"/>
      <c r="O205" s="1"/>
      <c r="P205" s="11"/>
      <c r="Q205" s="11"/>
      <c r="R205" s="11"/>
      <c r="S205" s="11"/>
      <c r="T205" s="1"/>
      <c r="U205" s="1"/>
      <c r="V205" s="1"/>
      <c r="W205" s="1"/>
      <c r="X205" s="1"/>
      <c r="Y205" s="1"/>
      <c r="Z205" s="1"/>
    </row>
    <row r="206" ht="18.0" customHeight="1" outlineLevel="2">
      <c r="A206" s="26">
        <v>2.0</v>
      </c>
      <c r="B206" s="28" t="s">
        <v>384</v>
      </c>
      <c r="C206" s="26" t="s">
        <v>385</v>
      </c>
      <c r="D206" s="26" t="s">
        <v>370</v>
      </c>
      <c r="E206" s="29" t="s">
        <v>33</v>
      </c>
      <c r="F206" s="15"/>
      <c r="G206" s="30">
        <v>60.0</v>
      </c>
      <c r="H206" s="31" t="s">
        <v>386</v>
      </c>
      <c r="I206" s="7"/>
      <c r="J206" s="32" t="s">
        <v>387</v>
      </c>
      <c r="K206" s="17"/>
      <c r="L206" s="17" t="b">
        <f>IF(OR(COUNTIF('クラス'!$A$1:$A$1267,$B206)&gt;0,$B206="",$M206=""),"",True)</f>
        <v>1</v>
      </c>
      <c r="M206" s="1" t="str">
        <f t="shared" si="9"/>
        <v>存在しない</v>
      </c>
      <c r="N206" s="1"/>
      <c r="O206" s="1"/>
      <c r="P206" s="11"/>
      <c r="Q206" s="11"/>
      <c r="R206" s="11"/>
      <c r="S206" s="11"/>
      <c r="T206" s="1"/>
      <c r="U206" s="1"/>
      <c r="V206" s="1"/>
      <c r="W206" s="1"/>
      <c r="X206" s="1"/>
      <c r="Y206" s="1"/>
      <c r="Z206" s="1"/>
    </row>
    <row r="207" ht="18.0" customHeight="1" outlineLevel="2">
      <c r="A207" s="26">
        <v>2.0</v>
      </c>
      <c r="B207" s="28" t="s">
        <v>388</v>
      </c>
      <c r="C207" s="26" t="s">
        <v>389</v>
      </c>
      <c r="D207" s="26" t="s">
        <v>370</v>
      </c>
      <c r="E207" s="29" t="s">
        <v>33</v>
      </c>
      <c r="F207" s="15"/>
      <c r="G207" s="30">
        <v>60.0</v>
      </c>
      <c r="H207" s="31" t="s">
        <v>390</v>
      </c>
      <c r="I207" s="7"/>
      <c r="J207" s="32" t="s">
        <v>391</v>
      </c>
      <c r="K207" s="33" t="s">
        <v>238</v>
      </c>
      <c r="L207" s="17" t="b">
        <f>IF(OR(COUNTIF('クラス'!$A$1:$A$1267,$B207)&gt;0,$B207="",$M207=""),"",True)</f>
        <v>1</v>
      </c>
      <c r="M207" s="1" t="str">
        <f t="shared" si="9"/>
        <v>存在しない</v>
      </c>
      <c r="N207" s="1"/>
      <c r="O207" s="1"/>
      <c r="P207" s="11"/>
      <c r="Q207" s="11"/>
      <c r="R207" s="11"/>
      <c r="S207" s="11"/>
      <c r="T207" s="1"/>
      <c r="U207" s="1"/>
      <c r="V207" s="1"/>
      <c r="W207" s="1"/>
      <c r="X207" s="1"/>
      <c r="Y207" s="1"/>
      <c r="Z207" s="1"/>
    </row>
    <row r="208" ht="18.0" customHeight="1" outlineLevel="2">
      <c r="A208" s="26">
        <v>2.0</v>
      </c>
      <c r="B208" s="28" t="s">
        <v>392</v>
      </c>
      <c r="C208" s="1"/>
      <c r="D208" s="1"/>
      <c r="E208" s="14"/>
      <c r="F208" s="15"/>
      <c r="G208" s="30">
        <v>60.0</v>
      </c>
      <c r="H208" s="22" t="s">
        <v>393</v>
      </c>
      <c r="I208" s="7"/>
      <c r="J208" s="7"/>
      <c r="K208" s="33" t="s">
        <v>394</v>
      </c>
      <c r="L208" s="17" t="b">
        <f>IF(OR(COUNTIF('クラス'!$A$1:$A$1267,$B208)&gt;0,$B208="",$M208=""),"",True)</f>
        <v>1</v>
      </c>
      <c r="M208" s="1" t="str">
        <f t="shared" si="9"/>
        <v>存在しない</v>
      </c>
      <c r="N208" s="1"/>
      <c r="O208" s="1"/>
      <c r="P208" s="11"/>
      <c r="Q208" s="11"/>
      <c r="R208" s="11"/>
      <c r="S208" s="11"/>
      <c r="T208" s="1"/>
      <c r="U208" s="1"/>
      <c r="V208" s="1"/>
      <c r="W208" s="1"/>
      <c r="X208" s="1"/>
      <c r="Y208" s="1"/>
      <c r="Z208" s="1"/>
    </row>
    <row r="209" ht="18.0" customHeight="1" outlineLevel="2">
      <c r="A209" s="26">
        <v>3.0</v>
      </c>
      <c r="B209" s="28" t="s">
        <v>395</v>
      </c>
      <c r="C209" s="26" t="s">
        <v>396</v>
      </c>
      <c r="D209" s="26" t="s">
        <v>370</v>
      </c>
      <c r="E209" s="29" t="s">
        <v>33</v>
      </c>
      <c r="F209" s="15"/>
      <c r="G209" s="30">
        <v>60.0</v>
      </c>
      <c r="H209" s="11"/>
      <c r="I209" s="7"/>
      <c r="J209" s="32" t="s">
        <v>397</v>
      </c>
      <c r="K209" s="33" t="s">
        <v>238</v>
      </c>
      <c r="L209" s="17" t="b">
        <f>IF(OR(COUNTIF('クラス'!$A$1:$A$1267,$B209)&gt;0,$B209="",$M209=""),"",True)</f>
        <v>1</v>
      </c>
      <c r="M209" s="1" t="str">
        <f t="shared" si="9"/>
        <v>存在しない</v>
      </c>
      <c r="N209" s="1"/>
      <c r="O209" s="1"/>
      <c r="P209" s="11"/>
      <c r="Q209" s="11"/>
      <c r="R209" s="11"/>
      <c r="S209" s="11"/>
      <c r="T209" s="1"/>
      <c r="U209" s="1"/>
      <c r="V209" s="1"/>
      <c r="W209" s="1"/>
      <c r="X209" s="1"/>
      <c r="Y209" s="1"/>
      <c r="Z209" s="1"/>
    </row>
    <row r="210" ht="18.0" customHeight="1" outlineLevel="2">
      <c r="A210" s="26">
        <v>3.0</v>
      </c>
      <c r="B210" s="28" t="s">
        <v>398</v>
      </c>
      <c r="C210" s="26" t="s">
        <v>399</v>
      </c>
      <c r="D210" s="26" t="s">
        <v>370</v>
      </c>
      <c r="E210" s="29" t="s">
        <v>33</v>
      </c>
      <c r="F210" s="15"/>
      <c r="G210" s="30">
        <v>60.0</v>
      </c>
      <c r="H210" s="22" t="s">
        <v>400</v>
      </c>
      <c r="I210" s="7"/>
      <c r="J210" s="32" t="s">
        <v>93</v>
      </c>
      <c r="K210" s="17"/>
      <c r="L210" s="17" t="b">
        <f>IF(OR(COUNTIF('クラス'!$A$1:$A$1267,$B210)&gt;0,$B210="",$M210=""),"",True)</f>
        <v>1</v>
      </c>
      <c r="M210" s="1" t="str">
        <f t="shared" si="9"/>
        <v>存在しない</v>
      </c>
      <c r="N210" s="1"/>
      <c r="O210" s="1"/>
      <c r="P210" s="11"/>
      <c r="Q210" s="11"/>
      <c r="R210" s="11"/>
      <c r="S210" s="11"/>
      <c r="T210" s="1"/>
      <c r="U210" s="1"/>
      <c r="V210" s="1"/>
      <c r="W210" s="1"/>
      <c r="X210" s="1"/>
      <c r="Y210" s="1"/>
      <c r="Z210" s="1"/>
    </row>
    <row r="211" ht="18.0" customHeight="1" outlineLevel="2">
      <c r="A211" s="26">
        <v>3.0</v>
      </c>
      <c r="B211" s="28" t="s">
        <v>401</v>
      </c>
      <c r="C211" s="26" t="s">
        <v>402</v>
      </c>
      <c r="D211" s="26" t="s">
        <v>370</v>
      </c>
      <c r="E211" s="29" t="s">
        <v>33</v>
      </c>
      <c r="F211" s="15"/>
      <c r="G211" s="30">
        <v>60.0</v>
      </c>
      <c r="H211" s="31" t="s">
        <v>403</v>
      </c>
      <c r="I211" s="7"/>
      <c r="J211" s="32" t="s">
        <v>404</v>
      </c>
      <c r="K211" s="33" t="s">
        <v>238</v>
      </c>
      <c r="L211" s="17" t="b">
        <f>IF(OR(COUNTIF('クラス'!$A$1:$A$1267,$B211)&gt;0,$B211="",$M211=""),"",True)</f>
        <v>1</v>
      </c>
      <c r="M211" s="1" t="str">
        <f t="shared" si="9"/>
        <v>存在しない</v>
      </c>
      <c r="N211" s="1"/>
      <c r="O211" s="1"/>
      <c r="P211" s="11"/>
      <c r="Q211" s="11"/>
      <c r="R211" s="11"/>
      <c r="S211" s="11"/>
      <c r="T211" s="1"/>
      <c r="U211" s="1"/>
      <c r="V211" s="1"/>
      <c r="W211" s="1"/>
      <c r="X211" s="1"/>
      <c r="Y211" s="1"/>
      <c r="Z211" s="1"/>
    </row>
    <row r="212" ht="18.0" customHeight="1" outlineLevel="2">
      <c r="A212" s="26">
        <v>3.0</v>
      </c>
      <c r="B212" s="28" t="s">
        <v>405</v>
      </c>
      <c r="C212" s="26" t="s">
        <v>406</v>
      </c>
      <c r="D212" s="26" t="s">
        <v>370</v>
      </c>
      <c r="E212" s="29" t="s">
        <v>33</v>
      </c>
      <c r="F212" s="15"/>
      <c r="G212" s="30">
        <v>60.0</v>
      </c>
      <c r="H212" s="22" t="s">
        <v>407</v>
      </c>
      <c r="I212" s="7"/>
      <c r="J212" s="32" t="s">
        <v>408</v>
      </c>
      <c r="K212" s="17"/>
      <c r="L212" s="17" t="b">
        <f>IF(OR(COUNTIF('クラス'!$A$1:$A$1267,$B212)&gt;0,$B212="",$M212=""),"",True)</f>
        <v>1</v>
      </c>
      <c r="M212" s="1" t="str">
        <f t="shared" si="9"/>
        <v>存在しない</v>
      </c>
      <c r="N212" s="1"/>
      <c r="O212" s="1"/>
      <c r="P212" s="11"/>
      <c r="Q212" s="11"/>
      <c r="R212" s="11"/>
      <c r="S212" s="11"/>
      <c r="T212" s="1"/>
      <c r="U212" s="1"/>
      <c r="V212" s="1"/>
      <c r="W212" s="1"/>
      <c r="X212" s="1"/>
      <c r="Y212" s="1"/>
      <c r="Z212" s="1"/>
    </row>
    <row r="213" ht="18.0" customHeight="1" outlineLevel="2">
      <c r="A213" s="26">
        <v>3.0</v>
      </c>
      <c r="B213" s="28" t="s">
        <v>409</v>
      </c>
      <c r="C213" s="26" t="s">
        <v>410</v>
      </c>
      <c r="D213" s="26" t="s">
        <v>370</v>
      </c>
      <c r="E213" s="29" t="s">
        <v>33</v>
      </c>
      <c r="F213" s="15"/>
      <c r="G213" s="30">
        <v>60.0</v>
      </c>
      <c r="H213" s="22" t="s">
        <v>411</v>
      </c>
      <c r="I213" s="7"/>
      <c r="J213" s="32" t="s">
        <v>412</v>
      </c>
      <c r="K213" s="17"/>
      <c r="L213" s="17" t="b">
        <f>IF(OR(COUNTIF('クラス'!$A$1:$A$1267,$B213)&gt;0,$B213="",$M213=""),"",True)</f>
        <v>1</v>
      </c>
      <c r="M213" s="1" t="str">
        <f t="shared" si="9"/>
        <v>存在しない</v>
      </c>
      <c r="N213" s="1"/>
      <c r="O213" s="1"/>
      <c r="P213" s="11"/>
      <c r="Q213" s="11"/>
      <c r="R213" s="11"/>
      <c r="S213" s="11"/>
      <c r="T213" s="1"/>
      <c r="U213" s="1"/>
      <c r="V213" s="1"/>
      <c r="W213" s="1"/>
      <c r="X213" s="1"/>
      <c r="Y213" s="1"/>
      <c r="Z213" s="1"/>
    </row>
    <row r="214" ht="18.0" customHeight="1" outlineLevel="2">
      <c r="A214" s="26">
        <v>3.0</v>
      </c>
      <c r="B214" s="28" t="s">
        <v>413</v>
      </c>
      <c r="C214" s="1"/>
      <c r="D214" s="1"/>
      <c r="E214" s="14"/>
      <c r="F214" s="15"/>
      <c r="G214" s="30">
        <v>60.0</v>
      </c>
      <c r="H214" s="22" t="s">
        <v>414</v>
      </c>
      <c r="I214" s="7"/>
      <c r="J214" s="7"/>
      <c r="K214" s="33" t="s">
        <v>394</v>
      </c>
      <c r="L214" s="17" t="b">
        <f>IF(OR(COUNTIF('クラス'!$A$1:$A$1267,$B214)&gt;0,$B214="",$M214=""),"",True)</f>
        <v>1</v>
      </c>
      <c r="M214" s="1" t="str">
        <f t="shared" si="9"/>
        <v>存在しない</v>
      </c>
      <c r="N214" s="1"/>
      <c r="O214" s="1"/>
      <c r="P214" s="11"/>
      <c r="Q214" s="11"/>
      <c r="R214" s="11"/>
      <c r="S214" s="11"/>
      <c r="T214" s="1"/>
      <c r="U214" s="1"/>
      <c r="V214" s="1"/>
      <c r="W214" s="1"/>
      <c r="X214" s="1"/>
      <c r="Y214" s="1"/>
      <c r="Z214" s="1"/>
    </row>
    <row r="215" ht="18.0" customHeight="1" outlineLevel="2">
      <c r="A215" s="26">
        <v>4.0</v>
      </c>
      <c r="B215" s="28" t="s">
        <v>415</v>
      </c>
      <c r="C215" s="26" t="s">
        <v>416</v>
      </c>
      <c r="D215" s="26" t="s">
        <v>370</v>
      </c>
      <c r="E215" s="29" t="s">
        <v>33</v>
      </c>
      <c r="F215" s="15"/>
      <c r="G215" s="30">
        <v>60.0</v>
      </c>
      <c r="H215" s="11"/>
      <c r="I215" s="7"/>
      <c r="J215" s="32" t="s">
        <v>417</v>
      </c>
      <c r="K215" s="33" t="s">
        <v>418</v>
      </c>
      <c r="L215" s="17" t="b">
        <f>IF(OR(COUNTIF('クラス'!$A$1:$A$1267,$B215)&gt;0,$B215="",$M215=""),"",True)</f>
        <v>1</v>
      </c>
      <c r="M215" s="1" t="str">
        <f t="shared" si="9"/>
        <v>存在しない</v>
      </c>
      <c r="N215" s="1"/>
      <c r="O215" s="1"/>
      <c r="P215" s="11"/>
      <c r="Q215" s="11"/>
      <c r="R215" s="11"/>
      <c r="S215" s="11"/>
      <c r="T215" s="1"/>
      <c r="U215" s="1"/>
      <c r="V215" s="1"/>
      <c r="W215" s="1"/>
      <c r="X215" s="1"/>
      <c r="Y215" s="1"/>
      <c r="Z215" s="1"/>
    </row>
    <row r="216" ht="18.0" customHeight="1" outlineLevel="2">
      <c r="A216" s="26">
        <v>4.0</v>
      </c>
      <c r="B216" s="28" t="s">
        <v>419</v>
      </c>
      <c r="C216" s="26" t="s">
        <v>420</v>
      </c>
      <c r="D216" s="26" t="s">
        <v>370</v>
      </c>
      <c r="E216" s="29" t="s">
        <v>33</v>
      </c>
      <c r="F216" s="15"/>
      <c r="G216" s="30">
        <v>60.0</v>
      </c>
      <c r="H216" s="31" t="s">
        <v>421</v>
      </c>
      <c r="I216" s="7"/>
      <c r="J216" s="32" t="s">
        <v>114</v>
      </c>
      <c r="K216" s="17"/>
      <c r="L216" s="17" t="b">
        <f>IF(OR(COUNTIF('クラス'!$A$1:$A$1267,$B216)&gt;0,$B216="",$M216=""),"",True)</f>
        <v>1</v>
      </c>
      <c r="M216" s="1" t="str">
        <f t="shared" si="9"/>
        <v>存在しない</v>
      </c>
      <c r="N216" s="1"/>
      <c r="O216" s="1"/>
      <c r="P216" s="11"/>
      <c r="Q216" s="11"/>
      <c r="R216" s="11"/>
      <c r="S216" s="11"/>
      <c r="T216" s="1"/>
      <c r="U216" s="1"/>
      <c r="V216" s="1"/>
      <c r="W216" s="1"/>
      <c r="X216" s="1"/>
      <c r="Y216" s="1"/>
      <c r="Z216" s="1"/>
    </row>
    <row r="217" ht="18.0" customHeight="1" outlineLevel="2">
      <c r="A217" s="26">
        <v>4.0</v>
      </c>
      <c r="B217" s="28" t="s">
        <v>422</v>
      </c>
      <c r="C217" s="26" t="s">
        <v>423</v>
      </c>
      <c r="D217" s="26" t="s">
        <v>370</v>
      </c>
      <c r="E217" s="29" t="s">
        <v>33</v>
      </c>
      <c r="F217" s="15"/>
      <c r="G217" s="30">
        <v>60.0</v>
      </c>
      <c r="H217" s="22" t="s">
        <v>424</v>
      </c>
      <c r="I217" s="7"/>
      <c r="J217" s="32" t="s">
        <v>93</v>
      </c>
      <c r="K217" s="33" t="s">
        <v>238</v>
      </c>
      <c r="L217" s="17" t="b">
        <f>IF(OR(COUNTIF('クラス'!$A$1:$A$1267,$B217)&gt;0,$B217="",$M217=""),"",True)</f>
        <v>1</v>
      </c>
      <c r="M217" s="1" t="str">
        <f t="shared" si="9"/>
        <v>存在しない</v>
      </c>
      <c r="N217" s="1"/>
      <c r="O217" s="1"/>
      <c r="P217" s="11"/>
      <c r="Q217" s="11"/>
      <c r="R217" s="11"/>
      <c r="S217" s="11"/>
      <c r="T217" s="1"/>
      <c r="U217" s="1"/>
      <c r="V217" s="1"/>
      <c r="W217" s="1"/>
      <c r="X217" s="1"/>
      <c r="Y217" s="1"/>
      <c r="Z217" s="1"/>
    </row>
    <row r="218" ht="18.0" customHeight="1" outlineLevel="2">
      <c r="A218" s="26">
        <v>4.0</v>
      </c>
      <c r="B218" s="28" t="s">
        <v>425</v>
      </c>
      <c r="C218" s="1"/>
      <c r="D218" s="1"/>
      <c r="E218" s="14"/>
      <c r="F218" s="15"/>
      <c r="G218" s="30">
        <v>60.0</v>
      </c>
      <c r="H218" s="22" t="s">
        <v>426</v>
      </c>
      <c r="I218" s="7"/>
      <c r="J218" s="7"/>
      <c r="K218" s="33" t="s">
        <v>394</v>
      </c>
      <c r="L218" s="17" t="b">
        <f>IF(OR(COUNTIF('クラス'!$A$1:$A$1267,$B218)&gt;0,$B218="",$M218=""),"",True)</f>
        <v>1</v>
      </c>
      <c r="M218" s="1" t="str">
        <f t="shared" si="9"/>
        <v>存在しない</v>
      </c>
      <c r="N218" s="1"/>
      <c r="O218" s="1"/>
      <c r="P218" s="11"/>
      <c r="Q218" s="11"/>
      <c r="R218" s="11"/>
      <c r="S218" s="11"/>
      <c r="T218" s="1"/>
      <c r="U218" s="1"/>
      <c r="V218" s="1"/>
      <c r="W218" s="1"/>
      <c r="X218" s="1"/>
      <c r="Y218" s="1"/>
      <c r="Z218" s="1"/>
    </row>
    <row r="219" ht="18.0" customHeight="1" outlineLevel="2">
      <c r="A219" s="26">
        <v>5.0</v>
      </c>
      <c r="B219" s="28" t="s">
        <v>427</v>
      </c>
      <c r="C219" s="26" t="s">
        <v>428</v>
      </c>
      <c r="D219" s="26" t="s">
        <v>370</v>
      </c>
      <c r="E219" s="29" t="s">
        <v>33</v>
      </c>
      <c r="F219" s="15"/>
      <c r="G219" s="30">
        <v>60.0</v>
      </c>
      <c r="H219" s="11"/>
      <c r="I219" s="7"/>
      <c r="J219" s="32" t="s">
        <v>429</v>
      </c>
      <c r="K219" s="33" t="s">
        <v>418</v>
      </c>
      <c r="L219" s="17" t="b">
        <f>IF(OR(COUNTIF('クラス'!$A$1:$A$1267,$B219)&gt;0,$B219="",$M219=""),"",True)</f>
        <v>1</v>
      </c>
      <c r="M219" s="1" t="str">
        <f t="shared" si="9"/>
        <v>存在しない</v>
      </c>
      <c r="N219" s="1"/>
      <c r="O219" s="1"/>
      <c r="P219" s="11"/>
      <c r="Q219" s="11"/>
      <c r="R219" s="11"/>
      <c r="S219" s="11"/>
      <c r="T219" s="1"/>
      <c r="U219" s="1"/>
      <c r="V219" s="1"/>
      <c r="W219" s="1"/>
      <c r="X219" s="1"/>
      <c r="Y219" s="1"/>
      <c r="Z219" s="1"/>
    </row>
    <row r="220" ht="18.0" customHeight="1" outlineLevel="2">
      <c r="A220" s="26">
        <v>5.0</v>
      </c>
      <c r="B220" s="28" t="s">
        <v>430</v>
      </c>
      <c r="C220" s="26" t="s">
        <v>431</v>
      </c>
      <c r="D220" s="26" t="s">
        <v>370</v>
      </c>
      <c r="E220" s="29" t="s">
        <v>33</v>
      </c>
      <c r="F220" s="15"/>
      <c r="G220" s="30">
        <v>60.0</v>
      </c>
      <c r="H220" s="31" t="s">
        <v>432</v>
      </c>
      <c r="I220" s="7"/>
      <c r="J220" s="32" t="s">
        <v>391</v>
      </c>
      <c r="K220" s="33" t="s">
        <v>238</v>
      </c>
      <c r="L220" s="17" t="b">
        <f>IF(OR(COUNTIF('クラス'!$A$1:$A$1267,$B220)&gt;0,$B220="",$M220=""),"",True)</f>
        <v>1</v>
      </c>
      <c r="M220" s="1" t="str">
        <f t="shared" si="9"/>
        <v>存在しない</v>
      </c>
      <c r="N220" s="1"/>
      <c r="O220" s="1"/>
      <c r="P220" s="11"/>
      <c r="Q220" s="11"/>
      <c r="R220" s="11"/>
      <c r="S220" s="11"/>
      <c r="T220" s="1"/>
      <c r="U220" s="1"/>
      <c r="V220" s="1"/>
      <c r="W220" s="1"/>
      <c r="X220" s="1"/>
      <c r="Y220" s="1"/>
      <c r="Z220" s="1"/>
    </row>
    <row r="221" ht="18.0" customHeight="1" outlineLevel="2">
      <c r="A221" s="26">
        <v>5.0</v>
      </c>
      <c r="B221" s="28" t="s">
        <v>433</v>
      </c>
      <c r="C221" s="26" t="s">
        <v>434</v>
      </c>
      <c r="D221" s="26" t="s">
        <v>370</v>
      </c>
      <c r="E221" s="29" t="s">
        <v>33</v>
      </c>
      <c r="F221" s="15"/>
      <c r="G221" s="30">
        <v>60.0</v>
      </c>
      <c r="H221" s="31" t="s">
        <v>435</v>
      </c>
      <c r="I221" s="7"/>
      <c r="J221" s="32" t="s">
        <v>391</v>
      </c>
      <c r="K221" s="33" t="s">
        <v>238</v>
      </c>
      <c r="L221" s="17" t="b">
        <f>IF(OR(COUNTIF('クラス'!$A$1:$A$1267,$B221)&gt;0,$B221="",$M221=""),"",True)</f>
        <v>1</v>
      </c>
      <c r="M221" s="1" t="str">
        <f t="shared" si="9"/>
        <v>存在しない</v>
      </c>
      <c r="N221" s="1"/>
      <c r="O221" s="1"/>
      <c r="P221" s="11"/>
      <c r="Q221" s="11"/>
      <c r="R221" s="11"/>
      <c r="S221" s="11"/>
      <c r="T221" s="1"/>
      <c r="U221" s="1"/>
      <c r="V221" s="1"/>
      <c r="W221" s="1"/>
      <c r="X221" s="1"/>
      <c r="Y221" s="1"/>
      <c r="Z221" s="1"/>
    </row>
    <row r="222" ht="18.0" customHeight="1" outlineLevel="2">
      <c r="A222" s="26">
        <v>5.0</v>
      </c>
      <c r="B222" s="28" t="s">
        <v>436</v>
      </c>
      <c r="C222" s="26" t="s">
        <v>437</v>
      </c>
      <c r="D222" s="26" t="s">
        <v>370</v>
      </c>
      <c r="E222" s="29" t="s">
        <v>33</v>
      </c>
      <c r="F222" s="15"/>
      <c r="G222" s="30">
        <v>60.0</v>
      </c>
      <c r="H222" s="22" t="s">
        <v>438</v>
      </c>
      <c r="I222" s="7"/>
      <c r="J222" s="32" t="s">
        <v>439</v>
      </c>
      <c r="K222" s="33" t="s">
        <v>335</v>
      </c>
      <c r="L222" s="17" t="b">
        <f>IF(OR(COUNTIF('クラス'!$A$1:$A$1267,$B222)&gt;0,$B222="",$M222=""),"",True)</f>
        <v>1</v>
      </c>
      <c r="M222" s="1" t="str">
        <f t="shared" si="9"/>
        <v>存在しない</v>
      </c>
      <c r="N222" s="1"/>
      <c r="O222" s="1"/>
      <c r="P222" s="11"/>
      <c r="Q222" s="11"/>
      <c r="R222" s="11"/>
      <c r="S222" s="11"/>
      <c r="T222" s="1"/>
      <c r="U222" s="1"/>
      <c r="V222" s="1"/>
      <c r="W222" s="1"/>
      <c r="X222" s="1"/>
      <c r="Y222" s="1"/>
      <c r="Z222" s="1"/>
    </row>
    <row r="223" ht="18.0" customHeight="1" outlineLevel="2">
      <c r="A223" s="26">
        <v>6.0</v>
      </c>
      <c r="B223" s="28" t="s">
        <v>440</v>
      </c>
      <c r="C223" s="26" t="s">
        <v>441</v>
      </c>
      <c r="D223" s="26" t="s">
        <v>370</v>
      </c>
      <c r="E223" s="29" t="s">
        <v>33</v>
      </c>
      <c r="F223" s="15"/>
      <c r="G223" s="30">
        <v>60.0</v>
      </c>
      <c r="H223" s="11"/>
      <c r="I223" s="7"/>
      <c r="J223" s="32" t="s">
        <v>442</v>
      </c>
      <c r="K223" s="33" t="s">
        <v>304</v>
      </c>
      <c r="L223" s="17" t="b">
        <f>IF(OR(COUNTIF('クラス'!$A$1:$A$1267,$B223)&gt;0,$B223="",$M223=""),"",True)</f>
        <v>1</v>
      </c>
      <c r="M223" s="1" t="str">
        <f t="shared" si="9"/>
        <v>存在しない</v>
      </c>
      <c r="N223" s="1"/>
      <c r="O223" s="1"/>
      <c r="P223" s="11"/>
      <c r="Q223" s="11"/>
      <c r="R223" s="11"/>
      <c r="S223" s="11"/>
      <c r="T223" s="1"/>
      <c r="U223" s="1"/>
      <c r="V223" s="1"/>
      <c r="W223" s="1"/>
      <c r="X223" s="1"/>
      <c r="Y223" s="1"/>
      <c r="Z223" s="1"/>
    </row>
    <row r="224" ht="18.0" customHeight="1" outlineLevel="2">
      <c r="A224" s="26">
        <v>6.0</v>
      </c>
      <c r="B224" s="28" t="s">
        <v>443</v>
      </c>
      <c r="C224" s="26" t="s">
        <v>444</v>
      </c>
      <c r="D224" s="26" t="s">
        <v>370</v>
      </c>
      <c r="E224" s="29" t="s">
        <v>33</v>
      </c>
      <c r="F224" s="15"/>
      <c r="G224" s="30">
        <v>60.0</v>
      </c>
      <c r="H224" s="11"/>
      <c r="I224" s="7"/>
      <c r="J224" s="32" t="s">
        <v>445</v>
      </c>
      <c r="K224" s="17"/>
      <c r="L224" s="17" t="b">
        <f>IF(OR(COUNTIF('クラス'!$A$1:$A$1267,$B224)&gt;0,$B224="",$M224=""),"",True)</f>
        <v>1</v>
      </c>
      <c r="M224" s="1" t="str">
        <f t="shared" si="9"/>
        <v>存在しない</v>
      </c>
      <c r="N224" s="1"/>
      <c r="O224" s="1"/>
      <c r="P224" s="11"/>
      <c r="Q224" s="11"/>
      <c r="R224" s="11"/>
      <c r="S224" s="11"/>
      <c r="T224" s="1"/>
      <c r="U224" s="1"/>
      <c r="V224" s="1"/>
      <c r="W224" s="1"/>
      <c r="X224" s="1"/>
      <c r="Y224" s="1"/>
      <c r="Z224" s="1"/>
    </row>
    <row r="225" ht="18.0" customHeight="1" outlineLevel="2">
      <c r="A225" s="26">
        <v>7.0</v>
      </c>
      <c r="B225" s="28" t="s">
        <v>446</v>
      </c>
      <c r="C225" s="26" t="s">
        <v>447</v>
      </c>
      <c r="D225" s="26" t="s">
        <v>370</v>
      </c>
      <c r="E225" s="29" t="s">
        <v>33</v>
      </c>
      <c r="F225" s="15"/>
      <c r="G225" s="30">
        <v>60.0</v>
      </c>
      <c r="H225" s="31" t="s">
        <v>448</v>
      </c>
      <c r="I225" s="7"/>
      <c r="J225" s="32" t="s">
        <v>449</v>
      </c>
      <c r="K225" s="17"/>
      <c r="L225" s="17" t="b">
        <f>IF(OR(COUNTIF('クラス'!$A$1:$A$1267,$B225)&gt;0,$B225="",$M225=""),"",True)</f>
        <v>1</v>
      </c>
      <c r="M225" s="1" t="str">
        <f t="shared" si="9"/>
        <v>存在しない</v>
      </c>
      <c r="N225" s="1"/>
      <c r="O225" s="1"/>
      <c r="P225" s="11"/>
      <c r="Q225" s="11"/>
      <c r="R225" s="11"/>
      <c r="S225" s="11"/>
      <c r="T225" s="1"/>
      <c r="U225" s="1"/>
      <c r="V225" s="1"/>
      <c r="W225" s="1"/>
      <c r="X225" s="1"/>
      <c r="Y225" s="1"/>
      <c r="Z225" s="1"/>
    </row>
    <row r="226" ht="18.0" customHeight="1" outlineLevel="1">
      <c r="A226" s="26"/>
      <c r="B226" s="24"/>
      <c r="C226" s="26" t="s">
        <v>450</v>
      </c>
      <c r="D226" s="1"/>
      <c r="E226" s="14"/>
      <c r="F226" s="15"/>
      <c r="G226" s="30"/>
      <c r="H226" s="11"/>
      <c r="I226" s="7"/>
      <c r="J226" s="7"/>
      <c r="K226" s="17"/>
      <c r="L226" s="17" t="str">
        <f>IF(OR(COUNTIF('クラス'!$A$1:$A$1267,$B226)&gt;0,$B226="",$M226=""),"",True)</f>
        <v/>
      </c>
      <c r="M226" s="1" t="str">
        <f t="shared" si="9"/>
        <v>存在しない</v>
      </c>
      <c r="N226" s="1"/>
      <c r="O226" s="1"/>
      <c r="P226" s="11"/>
      <c r="Q226" s="11"/>
      <c r="R226" s="11"/>
      <c r="S226" s="11"/>
      <c r="T226" s="1"/>
      <c r="U226" s="1"/>
      <c r="V226" s="1"/>
      <c r="W226" s="1"/>
      <c r="X226" s="1"/>
      <c r="Y226" s="1"/>
      <c r="Z226" s="1"/>
    </row>
    <row r="227" ht="18.0" customHeight="1" outlineLevel="2">
      <c r="A227" s="26">
        <v>1.0</v>
      </c>
      <c r="B227" s="28" t="s">
        <v>451</v>
      </c>
      <c r="C227" s="26" t="s">
        <v>452</v>
      </c>
      <c r="D227" s="26" t="s">
        <v>453</v>
      </c>
      <c r="E227" s="29" t="s">
        <v>33</v>
      </c>
      <c r="F227" s="15"/>
      <c r="G227" s="30">
        <v>60.0</v>
      </c>
      <c r="H227" s="31" t="s">
        <v>454</v>
      </c>
      <c r="I227" s="7"/>
      <c r="J227" s="32" t="s">
        <v>455</v>
      </c>
      <c r="K227" s="33" t="s">
        <v>238</v>
      </c>
      <c r="L227" s="17" t="b">
        <f>IF(OR(COUNTIF('クラス'!$A$1:$A$1267,$B227)&gt;0,$B227="",$M227=""),"",True)</f>
        <v>1</v>
      </c>
      <c r="M227" s="1" t="str">
        <f t="shared" si="9"/>
        <v>存在しない</v>
      </c>
      <c r="N227" s="1"/>
      <c r="O227" s="1"/>
      <c r="P227" s="11"/>
      <c r="Q227" s="11"/>
      <c r="R227" s="11"/>
      <c r="S227" s="11"/>
      <c r="T227" s="1"/>
      <c r="U227" s="1"/>
      <c r="V227" s="1"/>
      <c r="W227" s="1"/>
      <c r="X227" s="1"/>
      <c r="Y227" s="1"/>
      <c r="Z227" s="1"/>
    </row>
    <row r="228" ht="18.0" customHeight="1" outlineLevel="2">
      <c r="A228" s="26">
        <v>1.0</v>
      </c>
      <c r="B228" s="28" t="s">
        <v>456</v>
      </c>
      <c r="C228" s="26" t="s">
        <v>457</v>
      </c>
      <c r="D228" s="26" t="s">
        <v>453</v>
      </c>
      <c r="E228" s="29" t="s">
        <v>33</v>
      </c>
      <c r="F228" s="15"/>
      <c r="G228" s="30">
        <v>60.0</v>
      </c>
      <c r="H228" s="31" t="s">
        <v>386</v>
      </c>
      <c r="I228" s="7"/>
      <c r="J228" s="32" t="s">
        <v>387</v>
      </c>
      <c r="K228" s="17"/>
      <c r="L228" s="17" t="b">
        <f>IF(OR(COUNTIF('クラス'!$A$1:$A$1267,$B228)&gt;0,$B228="",$M228=""),"",True)</f>
        <v>1</v>
      </c>
      <c r="M228" s="1" t="str">
        <f t="shared" si="9"/>
        <v>存在しない</v>
      </c>
      <c r="N228" s="1"/>
      <c r="O228" s="1"/>
      <c r="P228" s="11"/>
      <c r="Q228" s="11"/>
      <c r="R228" s="11"/>
      <c r="S228" s="11"/>
      <c r="T228" s="1"/>
      <c r="U228" s="1"/>
      <c r="V228" s="1"/>
      <c r="W228" s="1"/>
      <c r="X228" s="1"/>
      <c r="Y228" s="1"/>
      <c r="Z228" s="1"/>
    </row>
    <row r="229" ht="18.0" customHeight="1" outlineLevel="2">
      <c r="A229" s="26">
        <v>1.0</v>
      </c>
      <c r="B229" s="28" t="s">
        <v>458</v>
      </c>
      <c r="C229" s="26" t="s">
        <v>459</v>
      </c>
      <c r="D229" s="26" t="s">
        <v>453</v>
      </c>
      <c r="E229" s="29" t="s">
        <v>33</v>
      </c>
      <c r="F229" s="15"/>
      <c r="G229" s="30">
        <v>60.0</v>
      </c>
      <c r="H229" s="31" t="s">
        <v>460</v>
      </c>
      <c r="I229" s="7"/>
      <c r="J229" s="32" t="s">
        <v>78</v>
      </c>
      <c r="K229" s="17"/>
      <c r="L229" s="17" t="b">
        <f>IF(OR(COUNTIF('クラス'!$A$1:$A$1267,$B229)&gt;0,$B229="",$M229=""),"",True)</f>
        <v>1</v>
      </c>
      <c r="M229" s="1" t="str">
        <f t="shared" si="9"/>
        <v>存在しない</v>
      </c>
      <c r="N229" s="1"/>
      <c r="O229" s="1"/>
      <c r="P229" s="11"/>
      <c r="Q229" s="11"/>
      <c r="R229" s="11"/>
      <c r="S229" s="11"/>
      <c r="T229" s="1"/>
      <c r="U229" s="1"/>
      <c r="V229" s="1"/>
      <c r="W229" s="1"/>
      <c r="X229" s="1"/>
      <c r="Y229" s="1"/>
      <c r="Z229" s="1"/>
    </row>
    <row r="230" ht="18.0" customHeight="1" outlineLevel="2">
      <c r="A230" s="26">
        <v>2.0</v>
      </c>
      <c r="B230" s="28" t="s">
        <v>461</v>
      </c>
      <c r="C230" s="26" t="s">
        <v>462</v>
      </c>
      <c r="D230" s="26" t="s">
        <v>453</v>
      </c>
      <c r="E230" s="29" t="s">
        <v>33</v>
      </c>
      <c r="F230" s="15"/>
      <c r="G230" s="30">
        <v>60.0</v>
      </c>
      <c r="H230" s="22" t="s">
        <v>463</v>
      </c>
      <c r="I230" s="7"/>
      <c r="J230" s="32" t="s">
        <v>464</v>
      </c>
      <c r="K230" s="17"/>
      <c r="L230" s="17" t="b">
        <f>IF(OR(COUNTIF('クラス'!$A$1:$A$1267,$B230)&gt;0,$B230="",$M230=""),"",True)</f>
        <v>1</v>
      </c>
      <c r="M230" s="1" t="str">
        <f t="shared" si="9"/>
        <v>存在しない</v>
      </c>
      <c r="N230" s="1"/>
      <c r="O230" s="1"/>
      <c r="P230" s="11"/>
      <c r="Q230" s="11"/>
      <c r="R230" s="11"/>
      <c r="S230" s="11"/>
      <c r="T230" s="1"/>
      <c r="U230" s="1"/>
      <c r="V230" s="1"/>
      <c r="W230" s="1"/>
      <c r="X230" s="1"/>
      <c r="Y230" s="1"/>
      <c r="Z230" s="1"/>
    </row>
    <row r="231" ht="18.0" customHeight="1" outlineLevel="2">
      <c r="A231" s="26">
        <v>2.0</v>
      </c>
      <c r="B231" s="28" t="s">
        <v>465</v>
      </c>
      <c r="C231" s="26" t="s">
        <v>466</v>
      </c>
      <c r="D231" s="26" t="s">
        <v>453</v>
      </c>
      <c r="E231" s="29" t="s">
        <v>33</v>
      </c>
      <c r="F231" s="15"/>
      <c r="G231" s="30">
        <v>60.0</v>
      </c>
      <c r="H231" s="31" t="s">
        <v>467</v>
      </c>
      <c r="I231" s="7"/>
      <c r="J231" s="32" t="s">
        <v>78</v>
      </c>
      <c r="K231" s="33" t="s">
        <v>238</v>
      </c>
      <c r="L231" s="17" t="b">
        <f>IF(OR(COUNTIF('クラス'!$A$1:$A$1267,$B231)&gt;0,$B231="",$M231=""),"",True)</f>
        <v>1</v>
      </c>
      <c r="M231" s="1" t="str">
        <f t="shared" si="9"/>
        <v>存在しない</v>
      </c>
      <c r="N231" s="1"/>
      <c r="O231" s="1"/>
      <c r="P231" s="11"/>
      <c r="Q231" s="11"/>
      <c r="R231" s="11"/>
      <c r="S231" s="11"/>
      <c r="T231" s="1"/>
      <c r="U231" s="1"/>
      <c r="V231" s="1"/>
      <c r="W231" s="1"/>
      <c r="X231" s="1"/>
      <c r="Y231" s="1"/>
      <c r="Z231" s="1"/>
    </row>
    <row r="232" ht="18.0" customHeight="1" outlineLevel="2">
      <c r="A232" s="26">
        <v>3.0</v>
      </c>
      <c r="B232" s="28" t="s">
        <v>468</v>
      </c>
      <c r="C232" s="26" t="s">
        <v>469</v>
      </c>
      <c r="D232" s="26" t="s">
        <v>453</v>
      </c>
      <c r="E232" s="29" t="s">
        <v>33</v>
      </c>
      <c r="F232" s="15"/>
      <c r="G232" s="30">
        <v>60.0</v>
      </c>
      <c r="H232" s="11"/>
      <c r="I232" s="7"/>
      <c r="J232" s="32" t="s">
        <v>470</v>
      </c>
      <c r="K232" s="17"/>
      <c r="L232" s="17" t="b">
        <f>IF(OR(COUNTIF('クラス'!$A$1:$A$1267,$B232)&gt;0,$B232="",$M232=""),"",True)</f>
        <v>1</v>
      </c>
      <c r="M232" s="1" t="str">
        <f t="shared" si="9"/>
        <v>存在しない</v>
      </c>
      <c r="N232" s="1"/>
      <c r="O232" s="1"/>
      <c r="P232" s="11"/>
      <c r="Q232" s="11"/>
      <c r="R232" s="11"/>
      <c r="S232" s="11"/>
      <c r="T232" s="1"/>
      <c r="U232" s="1"/>
      <c r="V232" s="1"/>
      <c r="W232" s="1"/>
      <c r="X232" s="1"/>
      <c r="Y232" s="1"/>
      <c r="Z232" s="1"/>
    </row>
    <row r="233" ht="18.0" customHeight="1" outlineLevel="2">
      <c r="A233" s="26">
        <v>3.0</v>
      </c>
      <c r="B233" s="28" t="s">
        <v>471</v>
      </c>
      <c r="C233" s="26" t="s">
        <v>472</v>
      </c>
      <c r="D233" s="26" t="s">
        <v>453</v>
      </c>
      <c r="E233" s="29" t="s">
        <v>33</v>
      </c>
      <c r="F233" s="15"/>
      <c r="G233" s="30">
        <v>60.0</v>
      </c>
      <c r="H233" s="22" t="s">
        <v>473</v>
      </c>
      <c r="I233" s="7"/>
      <c r="J233" s="32" t="s">
        <v>93</v>
      </c>
      <c r="K233" s="33" t="s">
        <v>238</v>
      </c>
      <c r="L233" s="17" t="b">
        <f>IF(OR(COUNTIF('クラス'!$A$1:$A$1267,$B233)&gt;0,$B233="",$M233=""),"",True)</f>
        <v>1</v>
      </c>
      <c r="M233" s="1" t="str">
        <f t="shared" si="9"/>
        <v>存在しない</v>
      </c>
      <c r="N233" s="1"/>
      <c r="O233" s="1"/>
      <c r="P233" s="11"/>
      <c r="Q233" s="11"/>
      <c r="R233" s="11"/>
      <c r="S233" s="11"/>
      <c r="T233" s="1"/>
      <c r="U233" s="1"/>
      <c r="V233" s="1"/>
      <c r="W233" s="1"/>
      <c r="X233" s="1"/>
      <c r="Y233" s="1"/>
      <c r="Z233" s="1"/>
    </row>
    <row r="234" ht="18.0" customHeight="1" outlineLevel="2">
      <c r="A234" s="26">
        <v>3.0</v>
      </c>
      <c r="B234" s="28" t="s">
        <v>474</v>
      </c>
      <c r="C234" s="26" t="s">
        <v>475</v>
      </c>
      <c r="D234" s="26" t="s">
        <v>453</v>
      </c>
      <c r="E234" s="29" t="s">
        <v>33</v>
      </c>
      <c r="F234" s="15"/>
      <c r="G234" s="30">
        <v>60.0</v>
      </c>
      <c r="H234" s="31" t="s">
        <v>476</v>
      </c>
      <c r="I234" s="7"/>
      <c r="J234" s="32" t="s">
        <v>477</v>
      </c>
      <c r="K234" s="33" t="s">
        <v>238</v>
      </c>
      <c r="L234" s="17" t="b">
        <f>IF(OR(COUNTIF('クラス'!$A$1:$A$1267,$B234)&gt;0,$B234="",$M234=""),"",True)</f>
        <v>1</v>
      </c>
      <c r="M234" s="1" t="str">
        <f t="shared" si="9"/>
        <v>存在しない</v>
      </c>
      <c r="N234" s="1"/>
      <c r="O234" s="1"/>
      <c r="P234" s="11"/>
      <c r="Q234" s="11"/>
      <c r="R234" s="11"/>
      <c r="S234" s="11"/>
      <c r="T234" s="1"/>
      <c r="U234" s="1"/>
      <c r="V234" s="1"/>
      <c r="W234" s="1"/>
      <c r="X234" s="1"/>
      <c r="Y234" s="1"/>
      <c r="Z234" s="1"/>
    </row>
    <row r="235" ht="18.0" customHeight="1" outlineLevel="2">
      <c r="A235" s="26">
        <v>3.0</v>
      </c>
      <c r="B235" s="28" t="s">
        <v>478</v>
      </c>
      <c r="C235" s="26" t="s">
        <v>479</v>
      </c>
      <c r="D235" s="1"/>
      <c r="E235" s="14"/>
      <c r="F235" s="15"/>
      <c r="G235" s="30">
        <v>60.0</v>
      </c>
      <c r="H235" s="22" t="s">
        <v>480</v>
      </c>
      <c r="I235" s="7"/>
      <c r="J235" s="7"/>
      <c r="K235" s="33" t="s">
        <v>394</v>
      </c>
      <c r="L235" s="17" t="b">
        <f>IF(OR(COUNTIF('クラス'!$A$1:$A$1267,$B235)&gt;0,$B235="",$M235=""),"",True)</f>
        <v>1</v>
      </c>
      <c r="M235" s="1" t="str">
        <f t="shared" si="9"/>
        <v>存在しない</v>
      </c>
      <c r="N235" s="1"/>
      <c r="O235" s="1"/>
      <c r="P235" s="11"/>
      <c r="Q235" s="11"/>
      <c r="R235" s="11"/>
      <c r="S235" s="11"/>
      <c r="T235" s="1"/>
      <c r="U235" s="1"/>
      <c r="V235" s="1"/>
      <c r="W235" s="1"/>
      <c r="X235" s="1"/>
      <c r="Y235" s="1"/>
      <c r="Z235" s="1"/>
    </row>
    <row r="236" ht="18.0" customHeight="1" outlineLevel="2">
      <c r="A236" s="26">
        <v>4.0</v>
      </c>
      <c r="B236" s="28" t="s">
        <v>481</v>
      </c>
      <c r="C236" s="26" t="s">
        <v>482</v>
      </c>
      <c r="D236" s="26" t="s">
        <v>453</v>
      </c>
      <c r="E236" s="29" t="s">
        <v>33</v>
      </c>
      <c r="F236" s="15"/>
      <c r="G236" s="30">
        <v>60.0</v>
      </c>
      <c r="H236" s="11"/>
      <c r="I236" s="7"/>
      <c r="J236" s="32" t="s">
        <v>483</v>
      </c>
      <c r="K236" s="33" t="s">
        <v>335</v>
      </c>
      <c r="L236" s="17" t="b">
        <f>IF(OR(COUNTIF('クラス'!$A$1:$A$1267,$B236)&gt;0,$B236="",$M236=""),"",True)</f>
        <v>1</v>
      </c>
      <c r="M236" s="1" t="str">
        <f t="shared" si="9"/>
        <v>存在しない</v>
      </c>
      <c r="N236" s="1"/>
      <c r="O236" s="1"/>
      <c r="P236" s="11"/>
      <c r="Q236" s="11"/>
      <c r="R236" s="11"/>
      <c r="S236" s="11"/>
      <c r="T236" s="1"/>
      <c r="U236" s="1"/>
      <c r="V236" s="1"/>
      <c r="W236" s="1"/>
      <c r="X236" s="1"/>
      <c r="Y236" s="1"/>
      <c r="Z236" s="1"/>
    </row>
    <row r="237" ht="18.0" customHeight="1" outlineLevel="2">
      <c r="A237" s="26">
        <v>4.0</v>
      </c>
      <c r="B237" s="28" t="s">
        <v>484</v>
      </c>
      <c r="C237" s="26" t="s">
        <v>485</v>
      </c>
      <c r="D237" s="26" t="s">
        <v>453</v>
      </c>
      <c r="E237" s="29" t="s">
        <v>33</v>
      </c>
      <c r="F237" s="15"/>
      <c r="G237" s="30">
        <v>60.0</v>
      </c>
      <c r="H237" s="11"/>
      <c r="I237" s="7"/>
      <c r="J237" s="32" t="s">
        <v>486</v>
      </c>
      <c r="K237" s="33" t="s">
        <v>255</v>
      </c>
      <c r="L237" s="17" t="b">
        <f>IF(OR(COUNTIF('クラス'!$A$1:$A$1267,$B237)&gt;0,$B237="",$M237=""),"",True)</f>
        <v>1</v>
      </c>
      <c r="M237" s="1" t="str">
        <f t="shared" si="9"/>
        <v>存在しない</v>
      </c>
      <c r="N237" s="1"/>
      <c r="O237" s="1"/>
      <c r="P237" s="11"/>
      <c r="Q237" s="11"/>
      <c r="R237" s="11"/>
      <c r="S237" s="11"/>
      <c r="T237" s="1"/>
      <c r="U237" s="1"/>
      <c r="V237" s="1"/>
      <c r="W237" s="1"/>
      <c r="X237" s="1"/>
      <c r="Y237" s="1"/>
      <c r="Z237" s="1"/>
    </row>
    <row r="238" ht="18.0" customHeight="1" outlineLevel="2">
      <c r="A238" s="26">
        <v>4.0</v>
      </c>
      <c r="B238" s="28" t="s">
        <v>487</v>
      </c>
      <c r="C238" s="26" t="s">
        <v>488</v>
      </c>
      <c r="D238" s="26" t="s">
        <v>453</v>
      </c>
      <c r="E238" s="29" t="s">
        <v>33</v>
      </c>
      <c r="F238" s="15"/>
      <c r="G238" s="30">
        <v>60.0</v>
      </c>
      <c r="H238" s="31" t="s">
        <v>489</v>
      </c>
      <c r="I238" s="7"/>
      <c r="J238" s="32" t="s">
        <v>114</v>
      </c>
      <c r="K238" s="33" t="s">
        <v>490</v>
      </c>
      <c r="L238" s="17" t="b">
        <f>IF(OR(COUNTIF('クラス'!$A$1:$A$1267,$B238)&gt;0,$B238="",$M238=""),"",True)</f>
        <v>1</v>
      </c>
      <c r="M238" s="1" t="str">
        <f t="shared" si="9"/>
        <v>存在しない</v>
      </c>
      <c r="N238" s="1"/>
      <c r="O238" s="1"/>
      <c r="P238" s="11"/>
      <c r="Q238" s="11"/>
      <c r="R238" s="11"/>
      <c r="S238" s="11"/>
      <c r="T238" s="1"/>
      <c r="U238" s="1"/>
      <c r="V238" s="1"/>
      <c r="W238" s="1"/>
      <c r="X238" s="1"/>
      <c r="Y238" s="1"/>
      <c r="Z238" s="1"/>
    </row>
    <row r="239" ht="18.0" customHeight="1" outlineLevel="2">
      <c r="A239" s="26">
        <v>4.0</v>
      </c>
      <c r="B239" s="28" t="s">
        <v>491</v>
      </c>
      <c r="C239" s="26" t="s">
        <v>492</v>
      </c>
      <c r="D239" s="26" t="s">
        <v>453</v>
      </c>
      <c r="E239" s="29" t="s">
        <v>33</v>
      </c>
      <c r="F239" s="15"/>
      <c r="G239" s="30">
        <v>60.0</v>
      </c>
      <c r="H239" s="22" t="s">
        <v>493</v>
      </c>
      <c r="I239" s="7"/>
      <c r="J239" s="32" t="s">
        <v>464</v>
      </c>
      <c r="K239" s="33" t="s">
        <v>238</v>
      </c>
      <c r="L239" s="17" t="b">
        <f>IF(OR(COUNTIF('クラス'!$A$1:$A$1267,$B239)&gt;0,$B239="",$M239=""),"",True)</f>
        <v>1</v>
      </c>
      <c r="M239" s="1" t="str">
        <f t="shared" si="9"/>
        <v>存在しない</v>
      </c>
      <c r="N239" s="1"/>
      <c r="O239" s="1"/>
      <c r="P239" s="11"/>
      <c r="Q239" s="11"/>
      <c r="R239" s="11"/>
      <c r="S239" s="11"/>
      <c r="T239" s="1"/>
      <c r="U239" s="1"/>
      <c r="V239" s="1"/>
      <c r="W239" s="1"/>
      <c r="X239" s="1"/>
      <c r="Y239" s="1"/>
      <c r="Z239" s="1"/>
    </row>
    <row r="240" ht="18.0" customHeight="1" outlineLevel="2">
      <c r="A240" s="26">
        <v>5.0</v>
      </c>
      <c r="B240" s="28" t="s">
        <v>494</v>
      </c>
      <c r="C240" s="26" t="s">
        <v>495</v>
      </c>
      <c r="D240" s="26" t="s">
        <v>453</v>
      </c>
      <c r="E240" s="29" t="s">
        <v>33</v>
      </c>
      <c r="F240" s="15"/>
      <c r="G240" s="30">
        <v>60.0</v>
      </c>
      <c r="H240" s="11"/>
      <c r="I240" s="7"/>
      <c r="J240" s="32" t="s">
        <v>496</v>
      </c>
      <c r="K240" s="33" t="s">
        <v>335</v>
      </c>
      <c r="L240" s="17" t="b">
        <f>IF(OR(COUNTIF('クラス'!$A$1:$A$1267,$B240)&gt;0,$B240="",$M240=""),"",True)</f>
        <v>1</v>
      </c>
      <c r="M240" s="1" t="str">
        <f t="shared" si="9"/>
        <v>存在しない</v>
      </c>
      <c r="N240" s="1"/>
      <c r="O240" s="1"/>
      <c r="P240" s="11"/>
      <c r="Q240" s="11"/>
      <c r="R240" s="11"/>
      <c r="S240" s="11"/>
      <c r="T240" s="1"/>
      <c r="U240" s="1"/>
      <c r="V240" s="1"/>
      <c r="W240" s="1"/>
      <c r="X240" s="1"/>
      <c r="Y240" s="1"/>
      <c r="Z240" s="1"/>
    </row>
    <row r="241" ht="18.0" customHeight="1" outlineLevel="2">
      <c r="A241" s="26">
        <v>5.0</v>
      </c>
      <c r="B241" s="28" t="s">
        <v>497</v>
      </c>
      <c r="C241" s="26" t="s">
        <v>498</v>
      </c>
      <c r="D241" s="26" t="s">
        <v>453</v>
      </c>
      <c r="E241" s="29" t="s">
        <v>33</v>
      </c>
      <c r="F241" s="15"/>
      <c r="G241" s="30">
        <v>60.0</v>
      </c>
      <c r="H241" s="11"/>
      <c r="I241" s="7"/>
      <c r="J241" s="32" t="s">
        <v>499</v>
      </c>
      <c r="K241" s="17"/>
      <c r="L241" s="17" t="b">
        <f>IF(OR(COUNTIF('クラス'!$A$1:$A$1267,$B241)&gt;0,$B241="",$M241=""),"",True)</f>
        <v>1</v>
      </c>
      <c r="M241" s="1" t="str">
        <f t="shared" si="9"/>
        <v>存在しない</v>
      </c>
      <c r="N241" s="1"/>
      <c r="O241" s="1"/>
      <c r="P241" s="11"/>
      <c r="Q241" s="11"/>
      <c r="R241" s="11"/>
      <c r="S241" s="11"/>
      <c r="T241" s="1"/>
      <c r="U241" s="1"/>
      <c r="V241" s="1"/>
      <c r="W241" s="1"/>
      <c r="X241" s="1"/>
      <c r="Y241" s="1"/>
      <c r="Z241" s="1"/>
    </row>
    <row r="242" ht="18.0" customHeight="1" outlineLevel="2">
      <c r="A242" s="26">
        <v>5.0</v>
      </c>
      <c r="B242" s="28" t="s">
        <v>500</v>
      </c>
      <c r="C242" s="26" t="s">
        <v>501</v>
      </c>
      <c r="D242" s="26" t="s">
        <v>453</v>
      </c>
      <c r="E242" s="29" t="s">
        <v>33</v>
      </c>
      <c r="F242" s="15"/>
      <c r="G242" s="30">
        <v>60.0</v>
      </c>
      <c r="H242" s="31" t="s">
        <v>502</v>
      </c>
      <c r="I242" s="7"/>
      <c r="J242" s="32" t="s">
        <v>455</v>
      </c>
      <c r="K242" s="33" t="s">
        <v>238</v>
      </c>
      <c r="L242" s="17" t="b">
        <f>IF(OR(COUNTIF('クラス'!$A$1:$A$1267,$B242)&gt;0,$B242="",$M242=""),"",True)</f>
        <v>1</v>
      </c>
      <c r="M242" s="1" t="str">
        <f t="shared" si="9"/>
        <v>存在しない</v>
      </c>
      <c r="N242" s="1"/>
      <c r="O242" s="1"/>
      <c r="P242" s="11"/>
      <c r="Q242" s="11"/>
      <c r="R242" s="11"/>
      <c r="S242" s="11"/>
      <c r="T242" s="1"/>
      <c r="U242" s="1"/>
      <c r="V242" s="1"/>
      <c r="W242" s="1"/>
      <c r="X242" s="1"/>
      <c r="Y242" s="1"/>
      <c r="Z242" s="1"/>
    </row>
    <row r="243" ht="18.0" customHeight="1" outlineLevel="2">
      <c r="A243" s="26">
        <v>5.0</v>
      </c>
      <c r="B243" s="28" t="s">
        <v>503</v>
      </c>
      <c r="C243" s="26" t="s">
        <v>504</v>
      </c>
      <c r="D243" s="26" t="s">
        <v>453</v>
      </c>
      <c r="E243" s="29" t="s">
        <v>33</v>
      </c>
      <c r="F243" s="15"/>
      <c r="G243" s="30">
        <v>60.0</v>
      </c>
      <c r="H243" s="31" t="s">
        <v>505</v>
      </c>
      <c r="I243" s="7"/>
      <c r="J243" s="32" t="s">
        <v>78</v>
      </c>
      <c r="K243" s="17"/>
      <c r="L243" s="17" t="b">
        <f>IF(OR(COUNTIF('クラス'!$A$1:$A$1267,$B243)&gt;0,$B243="",$M243=""),"",True)</f>
        <v>1</v>
      </c>
      <c r="M243" s="1" t="str">
        <f t="shared" si="9"/>
        <v>存在しない</v>
      </c>
      <c r="N243" s="1"/>
      <c r="O243" s="1"/>
      <c r="P243" s="11"/>
      <c r="Q243" s="11"/>
      <c r="R243" s="11"/>
      <c r="S243" s="11"/>
      <c r="T243" s="1"/>
      <c r="U243" s="1"/>
      <c r="V243" s="1"/>
      <c r="W243" s="1"/>
      <c r="X243" s="1"/>
      <c r="Y243" s="1"/>
      <c r="Z243" s="1"/>
    </row>
    <row r="244" ht="18.0" customHeight="1" outlineLevel="2">
      <c r="A244" s="26">
        <v>6.0</v>
      </c>
      <c r="B244" s="28" t="s">
        <v>506</v>
      </c>
      <c r="C244" s="26" t="s">
        <v>507</v>
      </c>
      <c r="D244" s="26" t="s">
        <v>453</v>
      </c>
      <c r="E244" s="14"/>
      <c r="F244" s="15"/>
      <c r="G244" s="30">
        <v>60.0</v>
      </c>
      <c r="H244" s="31" t="s">
        <v>508</v>
      </c>
      <c r="I244" s="7"/>
      <c r="J244" s="7"/>
      <c r="K244" s="33" t="s">
        <v>490</v>
      </c>
      <c r="L244" s="17" t="b">
        <f>IF(OR(COUNTIF('クラス'!$A$1:$A$1267,$B244)&gt;0,$B244="",$M244=""),"",True)</f>
        <v>1</v>
      </c>
      <c r="M244" s="1" t="str">
        <f t="shared" si="9"/>
        <v>存在しない</v>
      </c>
      <c r="N244" s="1"/>
      <c r="O244" s="1"/>
      <c r="P244" s="11"/>
      <c r="Q244" s="11"/>
      <c r="R244" s="11"/>
      <c r="S244" s="11"/>
      <c r="T244" s="1"/>
      <c r="U244" s="1"/>
      <c r="V244" s="1"/>
      <c r="W244" s="1"/>
      <c r="X244" s="1"/>
      <c r="Y244" s="1"/>
      <c r="Z244" s="1"/>
    </row>
    <row r="245" ht="18.0" customHeight="1" outlineLevel="2">
      <c r="A245" s="26">
        <v>6.0</v>
      </c>
      <c r="B245" s="28" t="s">
        <v>509</v>
      </c>
      <c r="C245" s="26" t="s">
        <v>510</v>
      </c>
      <c r="D245" s="26" t="s">
        <v>453</v>
      </c>
      <c r="E245" s="14"/>
      <c r="F245" s="15"/>
      <c r="G245" s="30">
        <v>60.0</v>
      </c>
      <c r="H245" s="31" t="s">
        <v>511</v>
      </c>
      <c r="I245" s="7"/>
      <c r="J245" s="7"/>
      <c r="K245" s="17"/>
      <c r="L245" s="17" t="b">
        <f>IF(OR(COUNTIF('クラス'!$A$1:$A$1267,$B245)&gt;0,$B245="",$M245=""),"",True)</f>
        <v>1</v>
      </c>
      <c r="M245" s="1" t="str">
        <f t="shared" si="9"/>
        <v>存在しない</v>
      </c>
      <c r="N245" s="1"/>
      <c r="O245" s="1"/>
      <c r="P245" s="11"/>
      <c r="Q245" s="11"/>
      <c r="R245" s="11"/>
      <c r="S245" s="11"/>
      <c r="T245" s="1"/>
      <c r="U245" s="1"/>
      <c r="V245" s="1"/>
      <c r="W245" s="1"/>
      <c r="X245" s="1"/>
      <c r="Y245" s="1"/>
      <c r="Z245" s="1"/>
    </row>
    <row r="246" ht="18.0" customHeight="1" outlineLevel="2">
      <c r="A246" s="26">
        <v>7.0</v>
      </c>
      <c r="B246" s="28" t="s">
        <v>512</v>
      </c>
      <c r="C246" s="26" t="s">
        <v>513</v>
      </c>
      <c r="D246" s="1"/>
      <c r="E246" s="14"/>
      <c r="F246" s="15"/>
      <c r="G246" s="30">
        <v>60.0</v>
      </c>
      <c r="H246" s="31" t="s">
        <v>514</v>
      </c>
      <c r="I246" s="7"/>
      <c r="J246" s="7"/>
      <c r="K246" s="17"/>
      <c r="L246" s="17" t="b">
        <f>IF(OR(COUNTIF('クラス'!$A$1:$A$1267,$B246)&gt;0,$B246="",$M246=""),"",True)</f>
        <v>1</v>
      </c>
      <c r="M246" s="1" t="str">
        <f t="shared" si="9"/>
        <v>存在しない</v>
      </c>
      <c r="N246" s="1"/>
      <c r="O246" s="1"/>
      <c r="P246" s="11"/>
      <c r="Q246" s="11"/>
      <c r="R246" s="11"/>
      <c r="S246" s="11"/>
      <c r="T246" s="1"/>
      <c r="U246" s="1"/>
      <c r="V246" s="1"/>
      <c r="W246" s="1"/>
      <c r="X246" s="1"/>
      <c r="Y246" s="1"/>
      <c r="Z246" s="1"/>
    </row>
    <row r="247" ht="18.0" customHeight="1" outlineLevel="1">
      <c r="A247" s="26"/>
      <c r="B247" s="24"/>
      <c r="C247" s="26" t="s">
        <v>515</v>
      </c>
      <c r="D247" s="1"/>
      <c r="E247" s="14"/>
      <c r="F247" s="15"/>
      <c r="G247" s="30"/>
      <c r="H247" s="11"/>
      <c r="I247" s="7"/>
      <c r="J247" s="7"/>
      <c r="K247" s="17"/>
      <c r="L247" s="17" t="str">
        <f>IF(OR(COUNTIF('クラス'!$A$1:$A$1267,$B247)&gt;0,$B247="",$M247=""),"",True)</f>
        <v/>
      </c>
      <c r="M247" s="1" t="str">
        <f t="shared" si="9"/>
        <v>存在しない</v>
      </c>
      <c r="N247" s="1"/>
      <c r="O247" s="1"/>
      <c r="P247" s="11"/>
      <c r="Q247" s="11"/>
      <c r="R247" s="11"/>
      <c r="S247" s="11"/>
      <c r="T247" s="1"/>
      <c r="U247" s="1"/>
      <c r="V247" s="1"/>
      <c r="W247" s="1"/>
      <c r="X247" s="1"/>
      <c r="Y247" s="1"/>
      <c r="Z247" s="1"/>
    </row>
    <row r="248" ht="18.0" customHeight="1" outlineLevel="2">
      <c r="A248" s="26">
        <v>1.0</v>
      </c>
      <c r="B248" s="28" t="s">
        <v>516</v>
      </c>
      <c r="C248" s="26" t="s">
        <v>517</v>
      </c>
      <c r="D248" s="26" t="s">
        <v>518</v>
      </c>
      <c r="E248" s="29" t="s">
        <v>33</v>
      </c>
      <c r="F248" s="15"/>
      <c r="G248" s="30">
        <v>60.0</v>
      </c>
      <c r="H248" s="31" t="s">
        <v>519</v>
      </c>
      <c r="I248" s="7"/>
      <c r="J248" s="32" t="s">
        <v>78</v>
      </c>
      <c r="K248" s="17"/>
      <c r="L248" s="17" t="b">
        <f>IF(OR(COUNTIF('クラス'!$A$1:$A$1267,$B248)&gt;0,$B248="",$M248=""),"",True)</f>
        <v>1</v>
      </c>
      <c r="M248" s="1" t="str">
        <f t="shared" si="9"/>
        <v>存在しない</v>
      </c>
      <c r="N248" s="1"/>
      <c r="O248" s="1"/>
      <c r="P248" s="11"/>
      <c r="Q248" s="11"/>
      <c r="R248" s="11"/>
      <c r="S248" s="11"/>
      <c r="T248" s="1"/>
      <c r="U248" s="1"/>
      <c r="V248" s="1"/>
      <c r="W248" s="1"/>
      <c r="X248" s="1"/>
      <c r="Y248" s="1"/>
      <c r="Z248" s="1"/>
    </row>
    <row r="249" ht="18.0" customHeight="1" outlineLevel="2">
      <c r="A249" s="26">
        <v>1.0</v>
      </c>
      <c r="B249" s="28" t="s">
        <v>520</v>
      </c>
      <c r="C249" s="26" t="s">
        <v>521</v>
      </c>
      <c r="D249" s="26" t="s">
        <v>518</v>
      </c>
      <c r="E249" s="29" t="s">
        <v>33</v>
      </c>
      <c r="F249" s="15"/>
      <c r="G249" s="30">
        <v>60.0</v>
      </c>
      <c r="H249" s="22" t="s">
        <v>522</v>
      </c>
      <c r="I249" s="7"/>
      <c r="J249" s="32" t="s">
        <v>93</v>
      </c>
      <c r="K249" s="33" t="s">
        <v>238</v>
      </c>
      <c r="L249" s="17" t="b">
        <f>IF(OR(COUNTIF('クラス'!$A$1:$A$1267,$B249)&gt;0,$B249="",$M249=""),"",True)</f>
        <v>1</v>
      </c>
      <c r="M249" s="1" t="str">
        <f t="shared" si="9"/>
        <v>存在しない</v>
      </c>
      <c r="N249" s="1"/>
      <c r="O249" s="1"/>
      <c r="P249" s="11"/>
      <c r="Q249" s="11"/>
      <c r="R249" s="11"/>
      <c r="S249" s="11"/>
      <c r="T249" s="1"/>
      <c r="U249" s="1"/>
      <c r="V249" s="1"/>
      <c r="W249" s="1"/>
      <c r="X249" s="1"/>
      <c r="Y249" s="1"/>
      <c r="Z249" s="1"/>
    </row>
    <row r="250" ht="18.0" customHeight="1" outlineLevel="2">
      <c r="A250" s="26">
        <v>2.0</v>
      </c>
      <c r="B250" s="28" t="s">
        <v>523</v>
      </c>
      <c r="C250" s="26" t="s">
        <v>524</v>
      </c>
      <c r="D250" s="26" t="s">
        <v>518</v>
      </c>
      <c r="E250" s="29" t="s">
        <v>33</v>
      </c>
      <c r="F250" s="15"/>
      <c r="G250" s="30">
        <v>60.0</v>
      </c>
      <c r="H250" s="11"/>
      <c r="I250" s="7"/>
      <c r="J250" s="32" t="s">
        <v>525</v>
      </c>
      <c r="K250" s="17"/>
      <c r="L250" s="17" t="b">
        <f>IF(OR(COUNTIF('クラス'!$A$1:$A$1267,$B250)&gt;0,$B250="",$M250=""),"",True)</f>
        <v>1</v>
      </c>
      <c r="M250" s="1" t="str">
        <f t="shared" si="9"/>
        <v>存在しない</v>
      </c>
      <c r="N250" s="1"/>
      <c r="O250" s="1"/>
      <c r="P250" s="11"/>
      <c r="Q250" s="11"/>
      <c r="R250" s="11"/>
      <c r="S250" s="11"/>
      <c r="T250" s="1"/>
      <c r="U250" s="1"/>
      <c r="V250" s="1"/>
      <c r="W250" s="1"/>
      <c r="X250" s="1"/>
      <c r="Y250" s="1"/>
      <c r="Z250" s="1"/>
    </row>
    <row r="251" ht="18.0" customHeight="1" outlineLevel="2">
      <c r="A251" s="26">
        <v>2.0</v>
      </c>
      <c r="B251" s="28" t="s">
        <v>526</v>
      </c>
      <c r="C251" s="26" t="s">
        <v>527</v>
      </c>
      <c r="D251" s="26" t="s">
        <v>518</v>
      </c>
      <c r="E251" s="29" t="s">
        <v>33</v>
      </c>
      <c r="F251" s="15"/>
      <c r="G251" s="30">
        <v>60.0</v>
      </c>
      <c r="H251" s="31" t="s">
        <v>528</v>
      </c>
      <c r="I251" s="7"/>
      <c r="J251" s="32" t="s">
        <v>529</v>
      </c>
      <c r="K251" s="17"/>
      <c r="L251" s="17" t="b">
        <f>IF(OR(COUNTIF('クラス'!$A$1:$A$1267,$B251)&gt;0,$B251="",$M251=""),"",True)</f>
        <v>1</v>
      </c>
      <c r="M251" s="1" t="str">
        <f t="shared" si="9"/>
        <v>存在しない</v>
      </c>
      <c r="N251" s="1"/>
      <c r="O251" s="1"/>
      <c r="P251" s="11"/>
      <c r="Q251" s="11"/>
      <c r="R251" s="11"/>
      <c r="S251" s="11"/>
      <c r="T251" s="1"/>
      <c r="U251" s="1"/>
      <c r="V251" s="1"/>
      <c r="W251" s="1"/>
      <c r="X251" s="1"/>
      <c r="Y251" s="1"/>
      <c r="Z251" s="1"/>
    </row>
    <row r="252" ht="18.0" customHeight="1" outlineLevel="2">
      <c r="A252" s="26">
        <v>2.0</v>
      </c>
      <c r="B252" s="28" t="s">
        <v>530</v>
      </c>
      <c r="C252" s="26" t="s">
        <v>531</v>
      </c>
      <c r="D252" s="26" t="s">
        <v>518</v>
      </c>
      <c r="E252" s="29" t="s">
        <v>33</v>
      </c>
      <c r="F252" s="15"/>
      <c r="G252" s="30">
        <v>60.0</v>
      </c>
      <c r="H252" s="22" t="s">
        <v>532</v>
      </c>
      <c r="I252" s="7"/>
      <c r="J252" s="32" t="s">
        <v>533</v>
      </c>
      <c r="K252" s="33" t="s">
        <v>238</v>
      </c>
      <c r="L252" s="17" t="b">
        <f>IF(OR(COUNTIF('クラス'!$A$1:$A$1267,$B252)&gt;0,$B252="",$M252=""),"",True)</f>
        <v>1</v>
      </c>
      <c r="M252" s="1" t="str">
        <f t="shared" si="9"/>
        <v>存在しない</v>
      </c>
      <c r="N252" s="1"/>
      <c r="O252" s="1"/>
      <c r="P252" s="11"/>
      <c r="Q252" s="11"/>
      <c r="R252" s="11"/>
      <c r="S252" s="11"/>
      <c r="T252" s="1"/>
      <c r="U252" s="1"/>
      <c r="V252" s="1"/>
      <c r="W252" s="1"/>
      <c r="X252" s="1"/>
      <c r="Y252" s="1"/>
      <c r="Z252" s="1"/>
    </row>
    <row r="253" ht="18.0" customHeight="1" outlineLevel="2">
      <c r="A253" s="26">
        <v>3.0</v>
      </c>
      <c r="B253" s="28" t="s">
        <v>534</v>
      </c>
      <c r="C253" s="26" t="s">
        <v>535</v>
      </c>
      <c r="D253" s="26" t="s">
        <v>518</v>
      </c>
      <c r="E253" s="29" t="s">
        <v>33</v>
      </c>
      <c r="F253" s="15"/>
      <c r="G253" s="30">
        <v>60.0</v>
      </c>
      <c r="H253" s="11"/>
      <c r="I253" s="7"/>
      <c r="J253" s="32" t="s">
        <v>536</v>
      </c>
      <c r="K253" s="33" t="s">
        <v>238</v>
      </c>
      <c r="L253" s="17" t="b">
        <f>IF(OR(COUNTIF('クラス'!$A$1:$A$1267,$B253)&gt;0,$B253="",$M253=""),"",True)</f>
        <v>1</v>
      </c>
      <c r="M253" s="1" t="str">
        <f t="shared" si="9"/>
        <v>存在しない</v>
      </c>
      <c r="N253" s="1"/>
      <c r="O253" s="1"/>
      <c r="P253" s="11"/>
      <c r="Q253" s="11"/>
      <c r="R253" s="11"/>
      <c r="S253" s="11"/>
      <c r="T253" s="1"/>
      <c r="U253" s="1"/>
      <c r="V253" s="1"/>
      <c r="W253" s="1"/>
      <c r="X253" s="1"/>
      <c r="Y253" s="1"/>
      <c r="Z253" s="1"/>
    </row>
    <row r="254" ht="18.0" customHeight="1" outlineLevel="2">
      <c r="A254" s="26">
        <v>3.0</v>
      </c>
      <c r="B254" s="28" t="s">
        <v>537</v>
      </c>
      <c r="C254" s="26" t="s">
        <v>538</v>
      </c>
      <c r="D254" s="26" t="s">
        <v>518</v>
      </c>
      <c r="E254" s="29" t="s">
        <v>33</v>
      </c>
      <c r="F254" s="15"/>
      <c r="G254" s="30">
        <v>60.0</v>
      </c>
      <c r="H254" s="31" t="s">
        <v>539</v>
      </c>
      <c r="I254" s="7"/>
      <c r="J254" s="32" t="s">
        <v>391</v>
      </c>
      <c r="K254" s="17"/>
      <c r="L254" s="17" t="b">
        <f>IF(OR(COUNTIF('クラス'!$A$1:$A$1267,$B254)&gt;0,$B254="",$M254=""),"",True)</f>
        <v>1</v>
      </c>
      <c r="M254" s="1" t="str">
        <f t="shared" si="9"/>
        <v>存在しない</v>
      </c>
      <c r="N254" s="1"/>
      <c r="O254" s="1"/>
      <c r="P254" s="11"/>
      <c r="Q254" s="11"/>
      <c r="R254" s="11"/>
      <c r="S254" s="11"/>
      <c r="T254" s="1"/>
      <c r="U254" s="1"/>
      <c r="V254" s="1"/>
      <c r="W254" s="1"/>
      <c r="X254" s="1"/>
      <c r="Y254" s="1"/>
      <c r="Z254" s="1"/>
    </row>
    <row r="255" ht="18.0" customHeight="1" outlineLevel="2">
      <c r="A255" s="26">
        <v>3.0</v>
      </c>
      <c r="B255" s="28" t="s">
        <v>540</v>
      </c>
      <c r="C255" s="26" t="s">
        <v>541</v>
      </c>
      <c r="D255" s="26" t="s">
        <v>518</v>
      </c>
      <c r="E255" s="29" t="s">
        <v>33</v>
      </c>
      <c r="F255" s="15"/>
      <c r="G255" s="30">
        <v>60.0</v>
      </c>
      <c r="H255" s="31" t="s">
        <v>542</v>
      </c>
      <c r="I255" s="7"/>
      <c r="J255" s="32" t="s">
        <v>455</v>
      </c>
      <c r="K255" s="33" t="s">
        <v>394</v>
      </c>
      <c r="L255" s="17" t="b">
        <f>IF(OR(COUNTIF('クラス'!$A$1:$A$1267,$B255)&gt;0,$B255="",$M255=""),"",True)</f>
        <v>1</v>
      </c>
      <c r="M255" s="1" t="str">
        <f t="shared" si="9"/>
        <v>存在しない</v>
      </c>
      <c r="N255" s="1"/>
      <c r="O255" s="1"/>
      <c r="P255" s="11"/>
      <c r="Q255" s="11"/>
      <c r="R255" s="11"/>
      <c r="S255" s="11"/>
      <c r="T255" s="1"/>
      <c r="U255" s="1"/>
      <c r="V255" s="1"/>
      <c r="W255" s="1"/>
      <c r="X255" s="1"/>
      <c r="Y255" s="1"/>
      <c r="Z255" s="1"/>
    </row>
    <row r="256" ht="18.0" customHeight="1" outlineLevel="2">
      <c r="A256" s="26">
        <v>4.0</v>
      </c>
      <c r="B256" s="28" t="s">
        <v>543</v>
      </c>
      <c r="C256" s="26" t="s">
        <v>544</v>
      </c>
      <c r="D256" s="26" t="s">
        <v>518</v>
      </c>
      <c r="E256" s="29" t="s">
        <v>33</v>
      </c>
      <c r="F256" s="15"/>
      <c r="G256" s="30">
        <v>60.0</v>
      </c>
      <c r="H256" s="11"/>
      <c r="I256" s="7"/>
      <c r="J256" s="32" t="s">
        <v>545</v>
      </c>
      <c r="K256" s="33" t="s">
        <v>238</v>
      </c>
      <c r="L256" s="17" t="b">
        <f>IF(OR(COUNTIF('クラス'!$A$1:$A$1267,$B256)&gt;0,$B256="",$M256=""),"",True)</f>
        <v>1</v>
      </c>
      <c r="M256" s="1" t="str">
        <f t="shared" si="9"/>
        <v>存在しない</v>
      </c>
      <c r="N256" s="1"/>
      <c r="O256" s="1"/>
      <c r="P256" s="11"/>
      <c r="Q256" s="11"/>
      <c r="R256" s="11"/>
      <c r="S256" s="11"/>
      <c r="T256" s="1"/>
      <c r="U256" s="1"/>
      <c r="V256" s="1"/>
      <c r="W256" s="1"/>
      <c r="X256" s="1"/>
      <c r="Y256" s="1"/>
      <c r="Z256" s="1"/>
    </row>
    <row r="257" ht="18.0" customHeight="1" outlineLevel="2">
      <c r="A257" s="26">
        <v>4.0</v>
      </c>
      <c r="B257" s="28" t="s">
        <v>546</v>
      </c>
      <c r="C257" s="26" t="s">
        <v>547</v>
      </c>
      <c r="D257" s="26" t="s">
        <v>518</v>
      </c>
      <c r="E257" s="29" t="s">
        <v>33</v>
      </c>
      <c r="F257" s="15"/>
      <c r="G257" s="30">
        <v>60.0</v>
      </c>
      <c r="H257" s="31" t="s">
        <v>548</v>
      </c>
      <c r="I257" s="7"/>
      <c r="J257" s="32" t="s">
        <v>549</v>
      </c>
      <c r="K257" s="17"/>
      <c r="L257" s="17" t="b">
        <f>IF(OR(COUNTIF('クラス'!$A$1:$A$1267,$B257)&gt;0,$B257="",$M257=""),"",True)</f>
        <v>1</v>
      </c>
      <c r="M257" s="1" t="str">
        <f t="shared" si="9"/>
        <v>存在しない</v>
      </c>
      <c r="N257" s="1"/>
      <c r="O257" s="1"/>
      <c r="P257" s="11"/>
      <c r="Q257" s="11"/>
      <c r="R257" s="11"/>
      <c r="S257" s="11"/>
      <c r="T257" s="1"/>
      <c r="U257" s="1"/>
      <c r="V257" s="1"/>
      <c r="W257" s="1"/>
      <c r="X257" s="1"/>
      <c r="Y257" s="1"/>
      <c r="Z257" s="1"/>
    </row>
    <row r="258" ht="18.0" customHeight="1" outlineLevel="2">
      <c r="A258" s="26">
        <v>4.0</v>
      </c>
      <c r="B258" s="28" t="s">
        <v>550</v>
      </c>
      <c r="C258" s="26" t="s">
        <v>551</v>
      </c>
      <c r="D258" s="26" t="s">
        <v>518</v>
      </c>
      <c r="E258" s="29" t="s">
        <v>33</v>
      </c>
      <c r="F258" s="15"/>
      <c r="G258" s="30">
        <v>60.0</v>
      </c>
      <c r="H258" s="31" t="s">
        <v>552</v>
      </c>
      <c r="I258" s="7"/>
      <c r="J258" s="32" t="s">
        <v>553</v>
      </c>
      <c r="K258" s="17"/>
      <c r="L258" s="17" t="b">
        <f>IF(OR(COUNTIF('クラス'!$A$1:$A$1267,$B258)&gt;0,$B258="",$M258=""),"",True)</f>
        <v>1</v>
      </c>
      <c r="M258" s="1" t="str">
        <f t="shared" si="9"/>
        <v>存在しない</v>
      </c>
      <c r="N258" s="1"/>
      <c r="O258" s="1"/>
      <c r="P258" s="11"/>
      <c r="Q258" s="11"/>
      <c r="R258" s="11"/>
      <c r="S258" s="11"/>
      <c r="T258" s="1"/>
      <c r="U258" s="1"/>
      <c r="V258" s="1"/>
      <c r="W258" s="1"/>
      <c r="X258" s="1"/>
      <c r="Y258" s="1"/>
      <c r="Z258" s="1"/>
    </row>
    <row r="259" ht="18.0" customHeight="1" outlineLevel="2">
      <c r="A259" s="26">
        <v>4.0</v>
      </c>
      <c r="B259" s="28" t="s">
        <v>554</v>
      </c>
      <c r="C259" s="26" t="s">
        <v>555</v>
      </c>
      <c r="D259" s="26" t="s">
        <v>518</v>
      </c>
      <c r="E259" s="29" t="s">
        <v>33</v>
      </c>
      <c r="F259" s="15"/>
      <c r="G259" s="30">
        <v>60.0</v>
      </c>
      <c r="H259" s="22" t="s">
        <v>556</v>
      </c>
      <c r="I259" s="7"/>
      <c r="J259" s="32" t="s">
        <v>557</v>
      </c>
      <c r="K259" s="33" t="s">
        <v>418</v>
      </c>
      <c r="L259" s="17" t="b">
        <f>IF(OR(COUNTIF('クラス'!$A$1:$A$1267,$B259)&gt;0,$B259="",$M259=""),"",True)</f>
        <v>1</v>
      </c>
      <c r="M259" s="1" t="str">
        <f t="shared" si="9"/>
        <v>存在しない</v>
      </c>
      <c r="N259" s="1"/>
      <c r="O259" s="1"/>
      <c r="P259" s="11"/>
      <c r="Q259" s="11"/>
      <c r="R259" s="11"/>
      <c r="S259" s="11"/>
      <c r="T259" s="1"/>
      <c r="U259" s="1"/>
      <c r="V259" s="1"/>
      <c r="W259" s="1"/>
      <c r="X259" s="1"/>
      <c r="Y259" s="1"/>
      <c r="Z259" s="1"/>
    </row>
    <row r="260" ht="18.0" customHeight="1" outlineLevel="2">
      <c r="A260" s="26">
        <v>5.0</v>
      </c>
      <c r="B260" s="28" t="s">
        <v>558</v>
      </c>
      <c r="C260" s="26" t="s">
        <v>559</v>
      </c>
      <c r="D260" s="26" t="s">
        <v>518</v>
      </c>
      <c r="E260" s="29" t="s">
        <v>33</v>
      </c>
      <c r="F260" s="15"/>
      <c r="G260" s="30">
        <v>60.0</v>
      </c>
      <c r="H260" s="11"/>
      <c r="I260" s="7"/>
      <c r="J260" s="32" t="s">
        <v>560</v>
      </c>
      <c r="K260" s="17"/>
      <c r="L260" s="17" t="b">
        <f>IF(OR(COUNTIF('クラス'!$A$1:$A$1267,$B260)&gt;0,$B260="",$M260=""),"",True)</f>
        <v>1</v>
      </c>
      <c r="M260" s="1" t="str">
        <f t="shared" si="9"/>
        <v>存在しない</v>
      </c>
      <c r="N260" s="1"/>
      <c r="O260" s="1"/>
      <c r="P260" s="11"/>
      <c r="Q260" s="11"/>
      <c r="R260" s="11"/>
      <c r="S260" s="11"/>
      <c r="T260" s="1"/>
      <c r="U260" s="1"/>
      <c r="V260" s="1"/>
      <c r="W260" s="1"/>
      <c r="X260" s="1"/>
      <c r="Y260" s="1"/>
      <c r="Z260" s="1"/>
    </row>
    <row r="261" ht="18.0" customHeight="1" outlineLevel="2">
      <c r="A261" s="26">
        <v>5.0</v>
      </c>
      <c r="B261" s="28" t="s">
        <v>561</v>
      </c>
      <c r="C261" s="26" t="s">
        <v>562</v>
      </c>
      <c r="D261" s="26" t="s">
        <v>518</v>
      </c>
      <c r="E261" s="29" t="s">
        <v>33</v>
      </c>
      <c r="F261" s="15"/>
      <c r="G261" s="30">
        <v>60.0</v>
      </c>
      <c r="H261" s="31" t="s">
        <v>563</v>
      </c>
      <c r="I261" s="7"/>
      <c r="J261" s="32" t="s">
        <v>564</v>
      </c>
      <c r="K261" s="17"/>
      <c r="L261" s="17" t="b">
        <f>IF(OR(COUNTIF('クラス'!$A$1:$A$1267,$B261)&gt;0,$B261="",$M261=""),"",True)</f>
        <v>1</v>
      </c>
      <c r="M261" s="1" t="str">
        <f t="shared" si="9"/>
        <v>存在しない</v>
      </c>
      <c r="N261" s="1"/>
      <c r="O261" s="1"/>
      <c r="P261" s="11"/>
      <c r="Q261" s="11"/>
      <c r="R261" s="11"/>
      <c r="S261" s="11"/>
      <c r="T261" s="1"/>
      <c r="U261" s="1"/>
      <c r="V261" s="1"/>
      <c r="W261" s="1"/>
      <c r="X261" s="1"/>
      <c r="Y261" s="1"/>
      <c r="Z261" s="1"/>
    </row>
    <row r="262" ht="18.0" customHeight="1" outlineLevel="2">
      <c r="A262" s="26">
        <v>5.0</v>
      </c>
      <c r="B262" s="28" t="s">
        <v>565</v>
      </c>
      <c r="C262" s="26" t="s">
        <v>566</v>
      </c>
      <c r="D262" s="26" t="s">
        <v>518</v>
      </c>
      <c r="E262" s="29" t="s">
        <v>33</v>
      </c>
      <c r="F262" s="15"/>
      <c r="G262" s="30">
        <v>60.0</v>
      </c>
      <c r="H262" s="31" t="s">
        <v>567</v>
      </c>
      <c r="I262" s="7"/>
      <c r="J262" s="32" t="s">
        <v>568</v>
      </c>
      <c r="K262" s="33" t="s">
        <v>394</v>
      </c>
      <c r="L262" s="17" t="b">
        <f>IF(OR(COUNTIF('クラス'!$A$1:$A$1267,$B262)&gt;0,$B262="",$M262=""),"",True)</f>
        <v>1</v>
      </c>
      <c r="M262" s="1" t="str">
        <f t="shared" si="9"/>
        <v>存在しない</v>
      </c>
      <c r="N262" s="1"/>
      <c r="O262" s="1"/>
      <c r="P262" s="11"/>
      <c r="Q262" s="11"/>
      <c r="R262" s="11"/>
      <c r="S262" s="11"/>
      <c r="T262" s="1"/>
      <c r="U262" s="1"/>
      <c r="V262" s="1"/>
      <c r="W262" s="1"/>
      <c r="X262" s="1"/>
      <c r="Y262" s="1"/>
      <c r="Z262" s="1"/>
    </row>
    <row r="263" ht="18.0" customHeight="1" outlineLevel="2">
      <c r="A263" s="26">
        <v>6.0</v>
      </c>
      <c r="B263" s="28" t="s">
        <v>569</v>
      </c>
      <c r="C263" s="26" t="s">
        <v>570</v>
      </c>
      <c r="D263" s="26" t="s">
        <v>518</v>
      </c>
      <c r="E263" s="29" t="s">
        <v>33</v>
      </c>
      <c r="F263" s="15"/>
      <c r="G263" s="30">
        <v>60.0</v>
      </c>
      <c r="H263" s="11"/>
      <c r="I263" s="7"/>
      <c r="J263" s="32" t="s">
        <v>571</v>
      </c>
      <c r="K263" s="17"/>
      <c r="L263" s="17" t="b">
        <f>IF(OR(COUNTIF('クラス'!$A$1:$A$1267,$B263)&gt;0,$B263="",$M263=""),"",True)</f>
        <v>1</v>
      </c>
      <c r="M263" s="1" t="str">
        <f t="shared" si="9"/>
        <v>存在しない</v>
      </c>
      <c r="N263" s="1"/>
      <c r="O263" s="1"/>
      <c r="P263" s="11"/>
      <c r="Q263" s="11"/>
      <c r="R263" s="11"/>
      <c r="S263" s="11"/>
      <c r="T263" s="1"/>
      <c r="U263" s="1"/>
      <c r="V263" s="1"/>
      <c r="W263" s="1"/>
      <c r="X263" s="1"/>
      <c r="Y263" s="1"/>
      <c r="Z263" s="1"/>
    </row>
    <row r="264" ht="18.0" customHeight="1" outlineLevel="2">
      <c r="A264" s="26">
        <v>6.0</v>
      </c>
      <c r="B264" s="28" t="s">
        <v>572</v>
      </c>
      <c r="C264" s="26" t="s">
        <v>573</v>
      </c>
      <c r="D264" s="26" t="s">
        <v>518</v>
      </c>
      <c r="E264" s="29" t="s">
        <v>33</v>
      </c>
      <c r="F264" s="15"/>
      <c r="G264" s="30">
        <v>60.0</v>
      </c>
      <c r="H264" s="11"/>
      <c r="I264" s="7"/>
      <c r="J264" s="32" t="s">
        <v>574</v>
      </c>
      <c r="K264" s="17"/>
      <c r="L264" s="17" t="b">
        <f>IF(OR(COUNTIF('クラス'!$A$1:$A$1267,$B264)&gt;0,$B264="",$M264=""),"",True)</f>
        <v>1</v>
      </c>
      <c r="M264" s="1" t="str">
        <f t="shared" si="9"/>
        <v>存在しない</v>
      </c>
      <c r="N264" s="1"/>
      <c r="O264" s="1"/>
      <c r="P264" s="11"/>
      <c r="Q264" s="11"/>
      <c r="R264" s="11"/>
      <c r="S264" s="11"/>
      <c r="T264" s="1"/>
      <c r="U264" s="1"/>
      <c r="V264" s="1"/>
      <c r="W264" s="1"/>
      <c r="X264" s="1"/>
      <c r="Y264" s="1"/>
      <c r="Z264" s="1"/>
    </row>
    <row r="265" ht="18.0" customHeight="1" outlineLevel="2">
      <c r="A265" s="26">
        <v>6.0</v>
      </c>
      <c r="B265" s="28" t="s">
        <v>575</v>
      </c>
      <c r="C265" s="26" t="s">
        <v>576</v>
      </c>
      <c r="D265" s="26" t="s">
        <v>518</v>
      </c>
      <c r="E265" s="29" t="s">
        <v>33</v>
      </c>
      <c r="F265" s="15"/>
      <c r="G265" s="30">
        <v>60.0</v>
      </c>
      <c r="H265" s="31" t="s">
        <v>577</v>
      </c>
      <c r="I265" s="7"/>
      <c r="J265" s="32" t="s">
        <v>578</v>
      </c>
      <c r="K265" s="17"/>
      <c r="L265" s="17" t="b">
        <f>IF(OR(COUNTIF('クラス'!$A$1:$A$1267,$B265)&gt;0,$B265="",$M265=""),"",True)</f>
        <v>1</v>
      </c>
      <c r="M265" s="1" t="str">
        <f t="shared" si="9"/>
        <v>存在しない</v>
      </c>
      <c r="N265" s="1"/>
      <c r="O265" s="1"/>
      <c r="P265" s="11"/>
      <c r="Q265" s="11"/>
      <c r="R265" s="11"/>
      <c r="S265" s="11"/>
      <c r="T265" s="1"/>
      <c r="U265" s="1"/>
      <c r="V265" s="1"/>
      <c r="W265" s="1"/>
      <c r="X265" s="1"/>
      <c r="Y265" s="1"/>
      <c r="Z265" s="1"/>
    </row>
    <row r="266" ht="18.0" customHeight="1" outlineLevel="2">
      <c r="A266" s="26">
        <v>6.0</v>
      </c>
      <c r="B266" s="28" t="s">
        <v>579</v>
      </c>
      <c r="C266" s="26" t="s">
        <v>580</v>
      </c>
      <c r="D266" s="26" t="s">
        <v>518</v>
      </c>
      <c r="E266" s="29" t="s">
        <v>33</v>
      </c>
      <c r="F266" s="15"/>
      <c r="G266" s="30">
        <v>60.0</v>
      </c>
      <c r="H266" s="31" t="s">
        <v>581</v>
      </c>
      <c r="I266" s="7"/>
      <c r="J266" s="32" t="s">
        <v>582</v>
      </c>
      <c r="K266" s="17"/>
      <c r="L266" s="17" t="b">
        <f>IF(OR(COUNTIF('クラス'!$A$1:$A$1267,$B266)&gt;0,$B266="",$M266=""),"",True)</f>
        <v>1</v>
      </c>
      <c r="M266" s="1" t="str">
        <f t="shared" si="9"/>
        <v>存在しない</v>
      </c>
      <c r="N266" s="1"/>
      <c r="O266" s="1"/>
      <c r="P266" s="11"/>
      <c r="Q266" s="11"/>
      <c r="R266" s="11"/>
      <c r="S266" s="11"/>
      <c r="T266" s="1"/>
      <c r="U266" s="1"/>
      <c r="V266" s="1"/>
      <c r="W266" s="1"/>
      <c r="X266" s="1"/>
      <c r="Y266" s="1"/>
      <c r="Z266" s="1"/>
    </row>
    <row r="267" ht="18.0" customHeight="1" outlineLevel="2">
      <c r="A267" s="26">
        <v>6.0</v>
      </c>
      <c r="B267" s="28" t="s">
        <v>583</v>
      </c>
      <c r="C267" s="26" t="s">
        <v>584</v>
      </c>
      <c r="D267" s="26" t="s">
        <v>518</v>
      </c>
      <c r="E267" s="29" t="s">
        <v>33</v>
      </c>
      <c r="F267" s="15"/>
      <c r="G267" s="30">
        <v>60.0</v>
      </c>
      <c r="H267" s="22" t="s">
        <v>585</v>
      </c>
      <c r="I267" s="7"/>
      <c r="J267" s="32" t="s">
        <v>586</v>
      </c>
      <c r="K267" s="33" t="s">
        <v>304</v>
      </c>
      <c r="L267" s="17" t="b">
        <f>IF(OR(COUNTIF('クラス'!$A$1:$A$1267,$B267)&gt;0,$B267="",$M267=""),"",True)</f>
        <v>1</v>
      </c>
      <c r="M267" s="1" t="str">
        <f t="shared" si="9"/>
        <v>存在しない</v>
      </c>
      <c r="N267" s="1"/>
      <c r="O267" s="1"/>
      <c r="P267" s="11"/>
      <c r="Q267" s="11"/>
      <c r="R267" s="11"/>
      <c r="S267" s="11"/>
      <c r="T267" s="1"/>
      <c r="U267" s="1"/>
      <c r="V267" s="1"/>
      <c r="W267" s="1"/>
      <c r="X267" s="1"/>
      <c r="Y267" s="1"/>
      <c r="Z267" s="1"/>
    </row>
    <row r="268" ht="18.0" customHeight="1" outlineLevel="2">
      <c r="A268" s="26">
        <v>6.0</v>
      </c>
      <c r="B268" s="28" t="s">
        <v>587</v>
      </c>
      <c r="C268" s="26" t="s">
        <v>588</v>
      </c>
      <c r="D268" s="26" t="s">
        <v>518</v>
      </c>
      <c r="E268" s="29" t="s">
        <v>33</v>
      </c>
      <c r="F268" s="15"/>
      <c r="G268" s="30">
        <v>60.0</v>
      </c>
      <c r="H268" s="22" t="s">
        <v>589</v>
      </c>
      <c r="I268" s="7"/>
      <c r="J268" s="32" t="s">
        <v>590</v>
      </c>
      <c r="K268" s="17"/>
      <c r="L268" s="17" t="b">
        <f>IF(OR(COUNTIF('クラス'!$A$1:$A$1267,$B268)&gt;0,$B268="",$M268=""),"",True)</f>
        <v>1</v>
      </c>
      <c r="M268" s="1" t="str">
        <f t="shared" si="9"/>
        <v>存在しない</v>
      </c>
      <c r="N268" s="1"/>
      <c r="O268" s="1"/>
      <c r="P268" s="11"/>
      <c r="Q268" s="11"/>
      <c r="R268" s="11"/>
      <c r="S268" s="11"/>
      <c r="T268" s="1"/>
      <c r="U268" s="1"/>
      <c r="V268" s="1"/>
      <c r="W268" s="1"/>
      <c r="X268" s="1"/>
      <c r="Y268" s="1"/>
      <c r="Z268" s="1"/>
    </row>
    <row r="269" ht="18.0" customHeight="1" outlineLevel="2">
      <c r="A269" s="26">
        <v>7.0</v>
      </c>
      <c r="B269" s="28" t="s">
        <v>591</v>
      </c>
      <c r="C269" s="26" t="s">
        <v>592</v>
      </c>
      <c r="D269" s="26" t="s">
        <v>518</v>
      </c>
      <c r="E269" s="29" t="s">
        <v>33</v>
      </c>
      <c r="F269" s="15"/>
      <c r="G269" s="30">
        <v>60.0</v>
      </c>
      <c r="H269" s="11"/>
      <c r="I269" s="7"/>
      <c r="J269" s="32" t="s">
        <v>593</v>
      </c>
      <c r="K269" s="33" t="s">
        <v>255</v>
      </c>
      <c r="L269" s="17" t="b">
        <f>IF(OR(COUNTIF('クラス'!$A$1:$A$1267,$B269)&gt;0,$B269="",$M269=""),"",True)</f>
        <v>1</v>
      </c>
      <c r="M269" s="1" t="str">
        <f t="shared" si="9"/>
        <v>存在しない</v>
      </c>
      <c r="N269" s="1"/>
      <c r="O269" s="1"/>
      <c r="P269" s="11"/>
      <c r="Q269" s="11"/>
      <c r="R269" s="11"/>
      <c r="S269" s="11"/>
      <c r="T269" s="1"/>
      <c r="U269" s="1"/>
      <c r="V269" s="1"/>
      <c r="W269" s="1"/>
      <c r="X269" s="1"/>
      <c r="Y269" s="1"/>
      <c r="Z269" s="1"/>
    </row>
    <row r="270" ht="18.0" customHeight="1" outlineLevel="2">
      <c r="A270" s="26">
        <v>7.0</v>
      </c>
      <c r="B270" s="28" t="s">
        <v>594</v>
      </c>
      <c r="C270" s="1"/>
      <c r="D270" s="26" t="s">
        <v>518</v>
      </c>
      <c r="E270" s="29" t="s">
        <v>33</v>
      </c>
      <c r="F270" s="15"/>
      <c r="G270" s="30">
        <v>60.0</v>
      </c>
      <c r="H270" s="31" t="s">
        <v>595</v>
      </c>
      <c r="I270" s="7"/>
      <c r="J270" s="7"/>
      <c r="K270" s="17"/>
      <c r="L270" s="17" t="b">
        <f>IF(OR(COUNTIF('クラス'!$A$1:$A$1267,$B270)&gt;0,$B270="",$M270=""),"",True)</f>
        <v>1</v>
      </c>
      <c r="M270" s="1" t="str">
        <f t="shared" si="9"/>
        <v>存在しない</v>
      </c>
      <c r="N270" s="1"/>
      <c r="O270" s="1"/>
      <c r="P270" s="11"/>
      <c r="Q270" s="11"/>
      <c r="R270" s="11"/>
      <c r="S270" s="11"/>
      <c r="T270" s="1"/>
      <c r="U270" s="1"/>
      <c r="V270" s="1"/>
      <c r="W270" s="1"/>
      <c r="X270" s="1"/>
      <c r="Y270" s="1"/>
      <c r="Z270" s="1"/>
    </row>
    <row r="271" ht="18.0" customHeight="1" outlineLevel="2">
      <c r="A271" s="26">
        <v>7.0</v>
      </c>
      <c r="B271" s="28" t="s">
        <v>596</v>
      </c>
      <c r="C271" s="26" t="s">
        <v>597</v>
      </c>
      <c r="D271" s="26" t="s">
        <v>518</v>
      </c>
      <c r="E271" s="29" t="s">
        <v>33</v>
      </c>
      <c r="F271" s="15"/>
      <c r="G271" s="30">
        <v>60.0</v>
      </c>
      <c r="H271" s="22" t="s">
        <v>598</v>
      </c>
      <c r="I271" s="7"/>
      <c r="J271" s="32" t="s">
        <v>599</v>
      </c>
      <c r="K271" s="33" t="s">
        <v>394</v>
      </c>
      <c r="L271" s="17" t="b">
        <f>IF(OR(COUNTIF('クラス'!$A$1:$A$1267,$B271)&gt;0,$B271="",$M271=""),"",True)</f>
        <v>1</v>
      </c>
      <c r="M271" s="1" t="str">
        <f t="shared" si="9"/>
        <v>存在しない</v>
      </c>
      <c r="N271" s="1"/>
      <c r="O271" s="1"/>
      <c r="P271" s="11"/>
      <c r="Q271" s="11"/>
      <c r="R271" s="11"/>
      <c r="S271" s="11"/>
      <c r="T271" s="1"/>
      <c r="U271" s="1"/>
      <c r="V271" s="1"/>
      <c r="W271" s="1"/>
      <c r="X271" s="1"/>
      <c r="Y271" s="1"/>
      <c r="Z271" s="1"/>
    </row>
    <row r="272" ht="18.0" customHeight="1" outlineLevel="1">
      <c r="A272" s="26"/>
      <c r="B272" s="24"/>
      <c r="C272" s="26" t="s">
        <v>600</v>
      </c>
      <c r="D272" s="1"/>
      <c r="E272" s="14"/>
      <c r="F272" s="15"/>
      <c r="G272" s="30"/>
      <c r="H272" s="11"/>
      <c r="I272" s="7"/>
      <c r="J272" s="7"/>
      <c r="K272" s="17"/>
      <c r="L272" s="17" t="str">
        <f>IF(OR(COUNTIF('クラス'!$A$1:$A$1267,$B272)&gt;0,$B272="",$M272=""),"",True)</f>
        <v/>
      </c>
      <c r="M272" s="1" t="str">
        <f t="shared" si="9"/>
        <v>存在しない</v>
      </c>
      <c r="N272" s="1"/>
      <c r="O272" s="1"/>
      <c r="P272" s="11"/>
      <c r="Q272" s="11"/>
      <c r="R272" s="11"/>
      <c r="S272" s="11"/>
      <c r="T272" s="1"/>
      <c r="U272" s="1"/>
      <c r="V272" s="1"/>
      <c r="W272" s="1"/>
      <c r="X272" s="1"/>
      <c r="Y272" s="1"/>
      <c r="Z272" s="1"/>
    </row>
    <row r="273" ht="18.0" customHeight="1" outlineLevel="2">
      <c r="A273" s="26">
        <v>1.0</v>
      </c>
      <c r="B273" s="28" t="s">
        <v>601</v>
      </c>
      <c r="C273" s="26" t="s">
        <v>602</v>
      </c>
      <c r="D273" s="1"/>
      <c r="E273" s="14"/>
      <c r="F273" s="15"/>
      <c r="G273" s="30">
        <v>60.0</v>
      </c>
      <c r="H273" s="11"/>
      <c r="I273" s="7"/>
      <c r="J273" s="32" t="s">
        <v>603</v>
      </c>
      <c r="K273" s="17"/>
      <c r="L273" s="17" t="b">
        <f>IF(OR(COUNTIF('クラス'!$A$1:$A$1267,$B273)&gt;0,$B273="",$M273=""),"",True)</f>
        <v>1</v>
      </c>
      <c r="M273" s="1" t="str">
        <f t="shared" si="9"/>
        <v>存在しない</v>
      </c>
      <c r="N273" s="1"/>
      <c r="O273" s="1"/>
      <c r="P273" s="11"/>
      <c r="Q273" s="11"/>
      <c r="R273" s="11"/>
      <c r="S273" s="11"/>
      <c r="T273" s="1"/>
      <c r="U273" s="1"/>
      <c r="V273" s="1"/>
      <c r="W273" s="1"/>
      <c r="X273" s="1"/>
      <c r="Y273" s="1"/>
      <c r="Z273" s="1"/>
    </row>
    <row r="274" ht="18.0" customHeight="1" outlineLevel="2">
      <c r="A274" s="26">
        <v>1.0</v>
      </c>
      <c r="B274" s="28" t="s">
        <v>604</v>
      </c>
      <c r="C274" s="26" t="s">
        <v>605</v>
      </c>
      <c r="D274" s="1"/>
      <c r="E274" s="14"/>
      <c r="F274" s="15"/>
      <c r="G274" s="30">
        <v>60.0</v>
      </c>
      <c r="H274" s="11"/>
      <c r="I274" s="7"/>
      <c r="J274" s="7"/>
      <c r="K274" s="17"/>
      <c r="L274" s="17" t="b">
        <f>IF(OR(COUNTIF('クラス'!$A$1:$A$1267,$B274)&gt;0,$B274="",$M274=""),"",True)</f>
        <v>1</v>
      </c>
      <c r="M274" s="1" t="str">
        <f t="shared" si="9"/>
        <v>存在しない</v>
      </c>
      <c r="N274" s="1"/>
      <c r="O274" s="1"/>
      <c r="P274" s="11"/>
      <c r="Q274" s="11"/>
      <c r="R274" s="11"/>
      <c r="S274" s="11"/>
      <c r="T274" s="1"/>
      <c r="U274" s="1"/>
      <c r="V274" s="1"/>
      <c r="W274" s="1"/>
      <c r="X274" s="1"/>
      <c r="Y274" s="1"/>
      <c r="Z274" s="1"/>
    </row>
    <row r="275" ht="18.0" customHeight="1" outlineLevel="2">
      <c r="A275" s="26">
        <v>2.0</v>
      </c>
      <c r="B275" s="28" t="s">
        <v>606</v>
      </c>
      <c r="C275" s="26" t="s">
        <v>607</v>
      </c>
      <c r="D275" s="1"/>
      <c r="E275" s="14"/>
      <c r="F275" s="15"/>
      <c r="G275" s="30">
        <v>60.0</v>
      </c>
      <c r="H275" s="11"/>
      <c r="I275" s="7"/>
      <c r="J275" s="7"/>
      <c r="K275" s="17"/>
      <c r="L275" s="17" t="b">
        <f>IF(OR(COUNTIF('クラス'!$A$1:$A$1267,$B275)&gt;0,$B275="",$M275=""),"",True)</f>
        <v>1</v>
      </c>
      <c r="M275" s="1" t="str">
        <f t="shared" si="9"/>
        <v>存在しない</v>
      </c>
      <c r="N275" s="1"/>
      <c r="O275" s="1"/>
      <c r="P275" s="11"/>
      <c r="Q275" s="11"/>
      <c r="R275" s="11"/>
      <c r="S275" s="11"/>
      <c r="T275" s="1"/>
      <c r="U275" s="1"/>
      <c r="V275" s="1"/>
      <c r="W275" s="1"/>
      <c r="X275" s="1"/>
      <c r="Y275" s="1"/>
      <c r="Z275" s="1"/>
    </row>
    <row r="276" ht="18.0" customHeight="1" outlineLevel="2">
      <c r="A276" s="26">
        <v>2.0</v>
      </c>
      <c r="B276" s="28" t="s">
        <v>608</v>
      </c>
      <c r="C276" s="26" t="s">
        <v>609</v>
      </c>
      <c r="D276" s="1"/>
      <c r="E276" s="14"/>
      <c r="F276" s="15"/>
      <c r="G276" s="30">
        <v>60.0</v>
      </c>
      <c r="H276" s="11"/>
      <c r="I276" s="7"/>
      <c r="J276" s="7"/>
      <c r="K276" s="17"/>
      <c r="L276" s="17" t="b">
        <f>IF(OR(COUNTIF('クラス'!$A$1:$A$1267,$B276)&gt;0,$B276="",$M276=""),"",True)</f>
        <v>1</v>
      </c>
      <c r="M276" s="1" t="str">
        <f t="shared" si="9"/>
        <v>存在しない</v>
      </c>
      <c r="N276" s="1"/>
      <c r="O276" s="1"/>
      <c r="P276" s="11"/>
      <c r="Q276" s="11"/>
      <c r="R276" s="11"/>
      <c r="S276" s="11"/>
      <c r="T276" s="1"/>
      <c r="U276" s="1"/>
      <c r="V276" s="1"/>
      <c r="W276" s="1"/>
      <c r="X276" s="1"/>
      <c r="Y276" s="1"/>
      <c r="Z276" s="1"/>
    </row>
    <row r="277" ht="18.0" customHeight="1" outlineLevel="2">
      <c r="A277" s="26">
        <v>3.0</v>
      </c>
      <c r="B277" s="28" t="s">
        <v>610</v>
      </c>
      <c r="C277" s="26" t="s">
        <v>611</v>
      </c>
      <c r="D277" s="1"/>
      <c r="E277" s="14"/>
      <c r="F277" s="15"/>
      <c r="G277" s="30">
        <v>60.0</v>
      </c>
      <c r="H277" s="11"/>
      <c r="I277" s="7"/>
      <c r="J277" s="7"/>
      <c r="K277" s="17"/>
      <c r="L277" s="17" t="b">
        <f>IF(OR(COUNTIF('クラス'!$A$1:$A$1267,$B277)&gt;0,$B277="",$M277=""),"",True)</f>
        <v>1</v>
      </c>
      <c r="M277" s="1" t="str">
        <f t="shared" si="9"/>
        <v>存在しない</v>
      </c>
      <c r="N277" s="1"/>
      <c r="O277" s="1"/>
      <c r="P277" s="11"/>
      <c r="Q277" s="11"/>
      <c r="R277" s="11"/>
      <c r="S277" s="11"/>
      <c r="T277" s="1"/>
      <c r="U277" s="1"/>
      <c r="V277" s="1"/>
      <c r="W277" s="1"/>
      <c r="X277" s="1"/>
      <c r="Y277" s="1"/>
      <c r="Z277" s="1"/>
    </row>
    <row r="278" ht="18.0" customHeight="1" outlineLevel="2">
      <c r="A278" s="26">
        <v>3.0</v>
      </c>
      <c r="B278" s="28" t="s">
        <v>612</v>
      </c>
      <c r="C278" s="26" t="s">
        <v>613</v>
      </c>
      <c r="D278" s="1"/>
      <c r="E278" s="14"/>
      <c r="F278" s="15"/>
      <c r="G278" s="30">
        <v>60.0</v>
      </c>
      <c r="H278" s="11"/>
      <c r="I278" s="7"/>
      <c r="J278" s="7"/>
      <c r="K278" s="17"/>
      <c r="L278" s="17" t="b">
        <f>IF(OR(COUNTIF('クラス'!$A$1:$A$1267,$B278)&gt;0,$B278="",$M278=""),"",True)</f>
        <v>1</v>
      </c>
      <c r="M278" s="1" t="str">
        <f t="shared" si="9"/>
        <v>存在しない</v>
      </c>
      <c r="N278" s="1"/>
      <c r="O278" s="1"/>
      <c r="P278" s="11"/>
      <c r="Q278" s="11"/>
      <c r="R278" s="11"/>
      <c r="S278" s="11"/>
      <c r="T278" s="1"/>
      <c r="U278" s="1"/>
      <c r="V278" s="1"/>
      <c r="W278" s="1"/>
      <c r="X278" s="1"/>
      <c r="Y278" s="1"/>
      <c r="Z278" s="1"/>
    </row>
    <row r="279" ht="18.0" customHeight="1" outlineLevel="2">
      <c r="A279" s="26">
        <v>4.0</v>
      </c>
      <c r="B279" s="28" t="s">
        <v>614</v>
      </c>
      <c r="C279" s="26" t="s">
        <v>615</v>
      </c>
      <c r="D279" s="1"/>
      <c r="E279" s="14"/>
      <c r="F279" s="15"/>
      <c r="G279" s="30">
        <v>60.0</v>
      </c>
      <c r="H279" s="11"/>
      <c r="I279" s="7"/>
      <c r="J279" s="7"/>
      <c r="K279" s="17"/>
      <c r="L279" s="17" t="b">
        <f>IF(OR(COUNTIF('クラス'!$A$1:$A$1267,$B279)&gt;0,$B279="",$M279=""),"",True)</f>
        <v>1</v>
      </c>
      <c r="M279" s="1" t="str">
        <f t="shared" si="9"/>
        <v>存在しない</v>
      </c>
      <c r="N279" s="1"/>
      <c r="O279" s="1"/>
      <c r="P279" s="11"/>
      <c r="Q279" s="11"/>
      <c r="R279" s="11"/>
      <c r="S279" s="11"/>
      <c r="T279" s="1"/>
      <c r="U279" s="1"/>
      <c r="V279" s="1"/>
      <c r="W279" s="1"/>
      <c r="X279" s="1"/>
      <c r="Y279" s="1"/>
      <c r="Z279" s="1"/>
    </row>
    <row r="280" ht="18.0" customHeight="1" outlineLevel="2">
      <c r="A280" s="26">
        <v>4.0</v>
      </c>
      <c r="B280" s="28" t="s">
        <v>616</v>
      </c>
      <c r="C280" s="26" t="s">
        <v>617</v>
      </c>
      <c r="D280" s="1"/>
      <c r="E280" s="14"/>
      <c r="F280" s="15"/>
      <c r="G280" s="30">
        <v>60.0</v>
      </c>
      <c r="H280" s="11"/>
      <c r="I280" s="7"/>
      <c r="J280" s="7"/>
      <c r="K280" s="17"/>
      <c r="L280" s="17" t="b">
        <f>IF(OR(COUNTIF('クラス'!$A$1:$A$1267,$B280)&gt;0,$B280="",$M280=""),"",True)</f>
        <v>1</v>
      </c>
      <c r="M280" s="1" t="str">
        <f t="shared" si="9"/>
        <v>存在しない</v>
      </c>
      <c r="N280" s="1"/>
      <c r="O280" s="1"/>
      <c r="P280" s="11"/>
      <c r="Q280" s="11"/>
      <c r="R280" s="11"/>
      <c r="S280" s="11"/>
      <c r="T280" s="1"/>
      <c r="U280" s="1"/>
      <c r="V280" s="1"/>
      <c r="W280" s="1"/>
      <c r="X280" s="1"/>
      <c r="Y280" s="1"/>
      <c r="Z280" s="1"/>
    </row>
    <row r="281" ht="18.0" customHeight="1" outlineLevel="2">
      <c r="A281" s="26">
        <v>4.0</v>
      </c>
      <c r="B281" s="28" t="s">
        <v>618</v>
      </c>
      <c r="C281" s="26" t="s">
        <v>619</v>
      </c>
      <c r="D281" s="1"/>
      <c r="E281" s="14"/>
      <c r="F281" s="15"/>
      <c r="G281" s="30">
        <v>60.0</v>
      </c>
      <c r="H281" s="11"/>
      <c r="I281" s="7"/>
      <c r="J281" s="7"/>
      <c r="K281" s="17"/>
      <c r="L281" s="17" t="b">
        <f>IF(OR(COUNTIF('クラス'!$A$1:$A$1267,$B281)&gt;0,$B281="",$M281=""),"",True)</f>
        <v>1</v>
      </c>
      <c r="M281" s="1" t="str">
        <f t="shared" si="9"/>
        <v>存在しない</v>
      </c>
      <c r="N281" s="1"/>
      <c r="O281" s="1"/>
      <c r="P281" s="11"/>
      <c r="Q281" s="11"/>
      <c r="R281" s="11"/>
      <c r="S281" s="11"/>
      <c r="T281" s="1"/>
      <c r="U281" s="1"/>
      <c r="V281" s="1"/>
      <c r="W281" s="1"/>
      <c r="X281" s="1"/>
      <c r="Y281" s="1"/>
      <c r="Z281" s="1"/>
    </row>
    <row r="282" ht="18.0" customHeight="1" outlineLevel="2">
      <c r="A282" s="26">
        <v>5.0</v>
      </c>
      <c r="B282" s="28" t="s">
        <v>620</v>
      </c>
      <c r="C282" s="26" t="s">
        <v>621</v>
      </c>
      <c r="D282" s="26" t="s">
        <v>622</v>
      </c>
      <c r="E282" s="29" t="s">
        <v>33</v>
      </c>
      <c r="F282" s="15"/>
      <c r="G282" s="30">
        <v>60.0</v>
      </c>
      <c r="H282" s="11"/>
      <c r="I282" s="7"/>
      <c r="J282" s="32" t="s">
        <v>623</v>
      </c>
      <c r="K282" s="17"/>
      <c r="L282" s="17" t="b">
        <f>IF(OR(COUNTIF('クラス'!$A$1:$A$1267,$B282)&gt;0,$B282="",$M282=""),"",True)</f>
        <v>1</v>
      </c>
      <c r="M282" s="1" t="str">
        <f t="shared" si="9"/>
        <v>存在しない</v>
      </c>
      <c r="N282" s="1"/>
      <c r="O282" s="1"/>
      <c r="P282" s="11"/>
      <c r="Q282" s="11"/>
      <c r="R282" s="11"/>
      <c r="S282" s="11"/>
      <c r="T282" s="1"/>
      <c r="U282" s="1"/>
      <c r="V282" s="1"/>
      <c r="W282" s="1"/>
      <c r="X282" s="1"/>
      <c r="Y282" s="1"/>
      <c r="Z282" s="1"/>
    </row>
    <row r="283" ht="18.0" customHeight="1" outlineLevel="2">
      <c r="A283" s="26">
        <v>5.0</v>
      </c>
      <c r="B283" s="28" t="s">
        <v>624</v>
      </c>
      <c r="C283" s="26" t="s">
        <v>625</v>
      </c>
      <c r="D283" s="1"/>
      <c r="E283" s="14"/>
      <c r="F283" s="15"/>
      <c r="G283" s="30">
        <v>60.0</v>
      </c>
      <c r="H283" s="11"/>
      <c r="I283" s="7"/>
      <c r="J283" s="7"/>
      <c r="K283" s="17"/>
      <c r="L283" s="17" t="b">
        <f>IF(OR(COUNTIF('クラス'!$A$1:$A$1267,$B283)&gt;0,$B283="",$M283=""),"",True)</f>
        <v>1</v>
      </c>
      <c r="M283" s="1" t="str">
        <f t="shared" si="9"/>
        <v>存在しない</v>
      </c>
      <c r="N283" s="1"/>
      <c r="O283" s="1"/>
      <c r="P283" s="11"/>
      <c r="Q283" s="11"/>
      <c r="R283" s="11"/>
      <c r="S283" s="11"/>
      <c r="T283" s="1"/>
      <c r="U283" s="1"/>
      <c r="V283" s="1"/>
      <c r="W283" s="1"/>
      <c r="X283" s="1"/>
      <c r="Y283" s="1"/>
      <c r="Z283" s="1"/>
    </row>
    <row r="284" ht="18.0" customHeight="1" outlineLevel="2">
      <c r="A284" s="26">
        <v>5.0</v>
      </c>
      <c r="B284" s="28" t="s">
        <v>626</v>
      </c>
      <c r="C284" s="26" t="s">
        <v>627</v>
      </c>
      <c r="D284" s="1"/>
      <c r="E284" s="14"/>
      <c r="F284" s="15"/>
      <c r="G284" s="30">
        <v>60.0</v>
      </c>
      <c r="H284" s="11"/>
      <c r="I284" s="7"/>
      <c r="J284" s="7"/>
      <c r="K284" s="17"/>
      <c r="L284" s="17" t="b">
        <f>IF(OR(COUNTIF('クラス'!$A$1:$A$1267,$B284)&gt;0,$B284="",$M284=""),"",True)</f>
        <v>1</v>
      </c>
      <c r="M284" s="1" t="str">
        <f t="shared" si="9"/>
        <v>存在しない</v>
      </c>
      <c r="N284" s="1"/>
      <c r="O284" s="1"/>
      <c r="P284" s="11"/>
      <c r="Q284" s="11"/>
      <c r="R284" s="11"/>
      <c r="S284" s="11"/>
      <c r="T284" s="1"/>
      <c r="U284" s="1"/>
      <c r="V284" s="1"/>
      <c r="W284" s="1"/>
      <c r="X284" s="1"/>
      <c r="Y284" s="1"/>
      <c r="Z284" s="1"/>
    </row>
    <row r="285" ht="18.0" customHeight="1" outlineLevel="2">
      <c r="A285" s="26">
        <v>6.0</v>
      </c>
      <c r="B285" s="28" t="s">
        <v>628</v>
      </c>
      <c r="C285" s="26" t="s">
        <v>629</v>
      </c>
      <c r="D285" s="26" t="s">
        <v>622</v>
      </c>
      <c r="E285" s="29" t="s">
        <v>33</v>
      </c>
      <c r="F285" s="15"/>
      <c r="G285" s="30">
        <v>60.0</v>
      </c>
      <c r="H285" s="11"/>
      <c r="I285" s="7"/>
      <c r="J285" s="32" t="s">
        <v>630</v>
      </c>
      <c r="K285" s="17"/>
      <c r="L285" s="17" t="b">
        <f>IF(OR(COUNTIF('クラス'!$A$1:$A$1267,$B285)&gt;0,$B285="",$M285=""),"",True)</f>
        <v>1</v>
      </c>
      <c r="M285" s="1" t="str">
        <f t="shared" si="9"/>
        <v>存在しない</v>
      </c>
      <c r="N285" s="1"/>
      <c r="O285" s="1"/>
      <c r="P285" s="11"/>
      <c r="Q285" s="11"/>
      <c r="R285" s="11"/>
      <c r="S285" s="11"/>
      <c r="T285" s="1"/>
      <c r="U285" s="1"/>
      <c r="V285" s="1"/>
      <c r="W285" s="1"/>
      <c r="X285" s="1"/>
      <c r="Y285" s="1"/>
      <c r="Z285" s="1"/>
    </row>
    <row r="286" ht="18.0" customHeight="1" outlineLevel="2">
      <c r="A286" s="26">
        <v>6.0</v>
      </c>
      <c r="B286" s="28" t="s">
        <v>631</v>
      </c>
      <c r="C286" s="26" t="s">
        <v>632</v>
      </c>
      <c r="D286" s="26" t="s">
        <v>622</v>
      </c>
      <c r="E286" s="29" t="s">
        <v>33</v>
      </c>
      <c r="F286" s="15"/>
      <c r="G286" s="30">
        <v>60.0</v>
      </c>
      <c r="H286" s="11"/>
      <c r="I286" s="7"/>
      <c r="J286" s="32" t="s">
        <v>633</v>
      </c>
      <c r="K286" s="17"/>
      <c r="L286" s="17" t="b">
        <f>IF(OR(COUNTIF('クラス'!$A$1:$A$1267,$B286)&gt;0,$B286="",$M286=""),"",True)</f>
        <v>1</v>
      </c>
      <c r="M286" s="1" t="str">
        <f t="shared" si="9"/>
        <v>存在しない</v>
      </c>
      <c r="N286" s="1"/>
      <c r="O286" s="1"/>
      <c r="P286" s="11"/>
      <c r="Q286" s="11"/>
      <c r="R286" s="11"/>
      <c r="S286" s="11"/>
      <c r="T286" s="1"/>
      <c r="U286" s="1"/>
      <c r="V286" s="1"/>
      <c r="W286" s="1"/>
      <c r="X286" s="1"/>
      <c r="Y286" s="1"/>
      <c r="Z286" s="1"/>
    </row>
    <row r="287" ht="18.0" customHeight="1" outlineLevel="2">
      <c r="A287" s="26">
        <v>6.0</v>
      </c>
      <c r="B287" s="28" t="s">
        <v>634</v>
      </c>
      <c r="C287" s="26" t="s">
        <v>635</v>
      </c>
      <c r="D287" s="26" t="s">
        <v>622</v>
      </c>
      <c r="E287" s="29" t="s">
        <v>33</v>
      </c>
      <c r="F287" s="15"/>
      <c r="G287" s="30">
        <v>60.0</v>
      </c>
      <c r="H287" s="11"/>
      <c r="I287" s="7"/>
      <c r="J287" s="32" t="s">
        <v>636</v>
      </c>
      <c r="K287" s="17"/>
      <c r="L287" s="17" t="b">
        <f>IF(OR(COUNTIF('クラス'!$A$1:$A$1267,$B287)&gt;0,$B287="",$M287=""),"",True)</f>
        <v>1</v>
      </c>
      <c r="M287" s="1" t="str">
        <f t="shared" si="9"/>
        <v>存在しない</v>
      </c>
      <c r="N287" s="1"/>
      <c r="O287" s="1"/>
      <c r="P287" s="11"/>
      <c r="Q287" s="11"/>
      <c r="R287" s="11"/>
      <c r="S287" s="11"/>
      <c r="T287" s="1"/>
      <c r="U287" s="1"/>
      <c r="V287" s="1"/>
      <c r="W287" s="1"/>
      <c r="X287" s="1"/>
      <c r="Y287" s="1"/>
      <c r="Z287" s="1"/>
    </row>
    <row r="288" ht="18.0" customHeight="1" outlineLevel="2">
      <c r="A288" s="26">
        <v>6.0</v>
      </c>
      <c r="B288" s="28" t="s">
        <v>637</v>
      </c>
      <c r="C288" s="26" t="s">
        <v>638</v>
      </c>
      <c r="D288" s="1"/>
      <c r="E288" s="14"/>
      <c r="F288" s="15"/>
      <c r="G288" s="30">
        <v>60.0</v>
      </c>
      <c r="H288" s="11"/>
      <c r="I288" s="7"/>
      <c r="J288" s="7"/>
      <c r="K288" s="17"/>
      <c r="L288" s="17" t="b">
        <f>IF(OR(COUNTIF('クラス'!$A$1:$A$1267,$B288)&gt;0,$B288="",$M288=""),"",True)</f>
        <v>1</v>
      </c>
      <c r="M288" s="1" t="str">
        <f t="shared" si="9"/>
        <v>存在しない</v>
      </c>
      <c r="N288" s="1"/>
      <c r="O288" s="1"/>
      <c r="P288" s="11"/>
      <c r="Q288" s="11"/>
      <c r="R288" s="11"/>
      <c r="S288" s="11"/>
      <c r="T288" s="1"/>
      <c r="U288" s="1"/>
      <c r="V288" s="1"/>
      <c r="W288" s="1"/>
      <c r="X288" s="1"/>
      <c r="Y288" s="1"/>
      <c r="Z288" s="1"/>
    </row>
    <row r="289" ht="18.0" customHeight="1" outlineLevel="2">
      <c r="A289" s="26">
        <v>7.0</v>
      </c>
      <c r="B289" s="28" t="s">
        <v>639</v>
      </c>
      <c r="C289" s="26" t="s">
        <v>640</v>
      </c>
      <c r="D289" s="1"/>
      <c r="E289" s="14"/>
      <c r="F289" s="15"/>
      <c r="G289" s="30">
        <v>60.0</v>
      </c>
      <c r="H289" s="11"/>
      <c r="I289" s="7"/>
      <c r="J289" s="7"/>
      <c r="K289" s="17"/>
      <c r="L289" s="17" t="b">
        <f>IF(OR(COUNTIF('クラス'!$A$1:$A$1267,$B289)&gt;0,$B289="",$M289=""),"",True)</f>
        <v>1</v>
      </c>
      <c r="M289" s="1" t="str">
        <f t="shared" si="9"/>
        <v>存在しない</v>
      </c>
      <c r="N289" s="1"/>
      <c r="O289" s="1"/>
      <c r="P289" s="11"/>
      <c r="Q289" s="11"/>
      <c r="R289" s="11"/>
      <c r="S289" s="11"/>
      <c r="T289" s="1"/>
      <c r="U289" s="1"/>
      <c r="V289" s="1"/>
      <c r="W289" s="1"/>
      <c r="X289" s="1"/>
      <c r="Y289" s="1"/>
      <c r="Z289" s="1"/>
    </row>
    <row r="290" ht="18.0" customHeight="1" outlineLevel="1">
      <c r="A290" s="26"/>
      <c r="B290" s="24"/>
      <c r="C290" s="26" t="s">
        <v>641</v>
      </c>
      <c r="D290" s="1"/>
      <c r="E290" s="14"/>
      <c r="F290" s="15"/>
      <c r="G290" s="30"/>
      <c r="H290" s="11"/>
      <c r="I290" s="7"/>
      <c r="J290" s="7"/>
      <c r="K290" s="17"/>
      <c r="L290" s="17" t="str">
        <f>IF(OR(COUNTIF('クラス'!$A$1:$A$1267,$B290)&gt;0,$B290="",$M290=""),"",True)</f>
        <v/>
      </c>
      <c r="M290" s="1" t="str">
        <f t="shared" si="9"/>
        <v>存在しない</v>
      </c>
      <c r="N290" s="1"/>
      <c r="O290" s="1"/>
      <c r="P290" s="11"/>
      <c r="Q290" s="11"/>
      <c r="R290" s="11"/>
      <c r="S290" s="11"/>
      <c r="T290" s="1"/>
      <c r="U290" s="1"/>
      <c r="V290" s="1"/>
      <c r="W290" s="1"/>
      <c r="X290" s="1"/>
      <c r="Y290" s="1"/>
      <c r="Z290" s="1"/>
    </row>
    <row r="291" ht="18.0" customHeight="1" outlineLevel="2">
      <c r="A291" s="26">
        <v>1.0</v>
      </c>
      <c r="B291" s="28" t="s">
        <v>642</v>
      </c>
      <c r="C291" s="26" t="s">
        <v>643</v>
      </c>
      <c r="D291" s="26" t="s">
        <v>644</v>
      </c>
      <c r="E291" s="29" t="s">
        <v>33</v>
      </c>
      <c r="F291" s="15"/>
      <c r="G291" s="30">
        <v>60.0</v>
      </c>
      <c r="H291" s="22" t="s">
        <v>645</v>
      </c>
      <c r="I291" s="7"/>
      <c r="J291" s="32" t="s">
        <v>93</v>
      </c>
      <c r="K291" s="17"/>
      <c r="L291" s="17" t="b">
        <f>IF(OR(COUNTIF('クラス'!$A$1:$A$1267,$B291)&gt;0,$B291="",$M291=""),"",True)</f>
        <v>1</v>
      </c>
      <c r="M291" s="1" t="str">
        <f t="shared" si="9"/>
        <v>存在しない</v>
      </c>
      <c r="N291" s="1"/>
      <c r="O291" s="1"/>
      <c r="P291" s="11"/>
      <c r="Q291" s="11"/>
      <c r="R291" s="11"/>
      <c r="S291" s="11"/>
      <c r="T291" s="1"/>
      <c r="U291" s="1"/>
      <c r="V291" s="1"/>
      <c r="W291" s="1"/>
      <c r="X291" s="1"/>
      <c r="Y291" s="1"/>
      <c r="Z291" s="1"/>
    </row>
    <row r="292" ht="18.0" customHeight="1" outlineLevel="2">
      <c r="A292" s="26">
        <v>1.0</v>
      </c>
      <c r="B292" s="28" t="s">
        <v>646</v>
      </c>
      <c r="C292" s="26" t="s">
        <v>647</v>
      </c>
      <c r="D292" s="26" t="s">
        <v>644</v>
      </c>
      <c r="E292" s="29" t="s">
        <v>33</v>
      </c>
      <c r="F292" s="15"/>
      <c r="G292" s="30">
        <v>60.0</v>
      </c>
      <c r="H292" s="31" t="s">
        <v>648</v>
      </c>
      <c r="I292" s="7"/>
      <c r="J292" s="32" t="s">
        <v>78</v>
      </c>
      <c r="K292" s="17"/>
      <c r="L292" s="17" t="b">
        <f>IF(OR(COUNTIF('クラス'!$A$1:$A$1267,$B292)&gt;0,$B292="",$M292=""),"",True)</f>
        <v>1</v>
      </c>
      <c r="M292" s="1" t="str">
        <f t="shared" si="9"/>
        <v>存在しない</v>
      </c>
      <c r="N292" s="1"/>
      <c r="O292" s="1"/>
      <c r="P292" s="11"/>
      <c r="Q292" s="11"/>
      <c r="R292" s="11"/>
      <c r="S292" s="11"/>
      <c r="T292" s="1"/>
      <c r="U292" s="1"/>
      <c r="V292" s="1"/>
      <c r="W292" s="1"/>
      <c r="X292" s="1"/>
      <c r="Y292" s="1"/>
      <c r="Z292" s="1"/>
    </row>
    <row r="293" ht="18.0" customHeight="1" outlineLevel="2">
      <c r="A293" s="26">
        <v>2.0</v>
      </c>
      <c r="B293" s="28" t="s">
        <v>649</v>
      </c>
      <c r="C293" s="26" t="s">
        <v>650</v>
      </c>
      <c r="D293" s="26" t="s">
        <v>644</v>
      </c>
      <c r="E293" s="29" t="s">
        <v>33</v>
      </c>
      <c r="F293" s="15"/>
      <c r="G293" s="30">
        <v>60.0</v>
      </c>
      <c r="H293" s="31" t="s">
        <v>651</v>
      </c>
      <c r="I293" s="7"/>
      <c r="J293" s="32" t="s">
        <v>107</v>
      </c>
      <c r="K293" s="17"/>
      <c r="L293" s="17" t="b">
        <f>IF(OR(COUNTIF('クラス'!$A$1:$A$1267,$B293)&gt;0,$B293="",$M293=""),"",True)</f>
        <v>1</v>
      </c>
      <c r="M293" s="1" t="str">
        <f t="shared" si="9"/>
        <v>存在しない</v>
      </c>
      <c r="N293" s="1"/>
      <c r="O293" s="1"/>
      <c r="P293" s="11"/>
      <c r="Q293" s="11"/>
      <c r="R293" s="11"/>
      <c r="S293" s="11"/>
      <c r="T293" s="1"/>
      <c r="U293" s="1"/>
      <c r="V293" s="1"/>
      <c r="W293" s="1"/>
      <c r="X293" s="1"/>
      <c r="Y293" s="1"/>
      <c r="Z293" s="1"/>
    </row>
    <row r="294" ht="18.0" customHeight="1" outlineLevel="2">
      <c r="A294" s="26">
        <v>2.0</v>
      </c>
      <c r="B294" s="28" t="s">
        <v>652</v>
      </c>
      <c r="C294" s="26" t="s">
        <v>653</v>
      </c>
      <c r="D294" s="26" t="s">
        <v>644</v>
      </c>
      <c r="E294" s="29" t="s">
        <v>33</v>
      </c>
      <c r="F294" s="15"/>
      <c r="G294" s="30">
        <v>60.0</v>
      </c>
      <c r="H294" s="31" t="s">
        <v>654</v>
      </c>
      <c r="I294" s="7"/>
      <c r="J294" s="32" t="s">
        <v>391</v>
      </c>
      <c r="K294" s="17"/>
      <c r="L294" s="17" t="b">
        <f>IF(OR(COUNTIF('クラス'!$A$1:$A$1267,$B294)&gt;0,$B294="",$M294=""),"",True)</f>
        <v>1</v>
      </c>
      <c r="M294" s="1" t="str">
        <f t="shared" si="9"/>
        <v>存在しない</v>
      </c>
      <c r="N294" s="1"/>
      <c r="O294" s="1"/>
      <c r="P294" s="11"/>
      <c r="Q294" s="11"/>
      <c r="R294" s="11"/>
      <c r="S294" s="11"/>
      <c r="T294" s="1"/>
      <c r="U294" s="1"/>
      <c r="V294" s="1"/>
      <c r="W294" s="1"/>
      <c r="X294" s="1"/>
      <c r="Y294" s="1"/>
      <c r="Z294" s="1"/>
    </row>
    <row r="295" ht="18.0" customHeight="1" outlineLevel="2">
      <c r="A295" s="26">
        <v>3.0</v>
      </c>
      <c r="B295" s="28" t="s">
        <v>655</v>
      </c>
      <c r="C295" s="26" t="s">
        <v>656</v>
      </c>
      <c r="D295" s="26" t="s">
        <v>644</v>
      </c>
      <c r="E295" s="29" t="s">
        <v>33</v>
      </c>
      <c r="F295" s="15"/>
      <c r="G295" s="30">
        <v>60.0</v>
      </c>
      <c r="H295" s="31" t="s">
        <v>657</v>
      </c>
      <c r="I295" s="7"/>
      <c r="J295" s="32" t="s">
        <v>391</v>
      </c>
      <c r="K295" s="17"/>
      <c r="L295" s="17" t="b">
        <f>IF(OR(COUNTIF('クラス'!$A$1:$A$1267,$B295)&gt;0,$B295="",$M295=""),"",True)</f>
        <v>1</v>
      </c>
      <c r="M295" s="1" t="str">
        <f t="shared" si="9"/>
        <v>存在しない</v>
      </c>
      <c r="N295" s="1"/>
      <c r="O295" s="1"/>
      <c r="P295" s="11"/>
      <c r="Q295" s="11"/>
      <c r="R295" s="11"/>
      <c r="S295" s="11"/>
      <c r="T295" s="1"/>
      <c r="U295" s="1"/>
      <c r="V295" s="1"/>
      <c r="W295" s="1"/>
      <c r="X295" s="1"/>
      <c r="Y295" s="1"/>
      <c r="Z295" s="1"/>
    </row>
    <row r="296" ht="18.0" customHeight="1" outlineLevel="2">
      <c r="A296" s="26">
        <v>3.0</v>
      </c>
      <c r="B296" s="28" t="s">
        <v>658</v>
      </c>
      <c r="C296" s="26" t="s">
        <v>659</v>
      </c>
      <c r="D296" s="26" t="s">
        <v>644</v>
      </c>
      <c r="E296" s="29" t="s">
        <v>33</v>
      </c>
      <c r="F296" s="15"/>
      <c r="G296" s="30">
        <v>60.0</v>
      </c>
      <c r="H296" s="11"/>
      <c r="I296" s="7"/>
      <c r="J296" s="7"/>
      <c r="K296" s="17"/>
      <c r="L296" s="17" t="b">
        <f>IF(OR(COUNTIF('クラス'!$A$1:$A$1267,$B296)&gt;0,$B296="",$M296=""),"",True)</f>
        <v>1</v>
      </c>
      <c r="M296" s="1" t="str">
        <f t="shared" si="9"/>
        <v>存在しない</v>
      </c>
      <c r="N296" s="1"/>
      <c r="O296" s="1"/>
      <c r="P296" s="11"/>
      <c r="Q296" s="11"/>
      <c r="R296" s="11"/>
      <c r="S296" s="11"/>
      <c r="T296" s="1"/>
      <c r="U296" s="1"/>
      <c r="V296" s="1"/>
      <c r="W296" s="1"/>
      <c r="X296" s="1"/>
      <c r="Y296" s="1"/>
      <c r="Z296" s="1"/>
    </row>
    <row r="297" ht="18.0" customHeight="1" outlineLevel="2">
      <c r="A297" s="26">
        <v>3.0</v>
      </c>
      <c r="B297" s="28" t="s">
        <v>660</v>
      </c>
      <c r="C297" s="26" t="s">
        <v>661</v>
      </c>
      <c r="D297" s="26" t="s">
        <v>644</v>
      </c>
      <c r="E297" s="29" t="s">
        <v>33</v>
      </c>
      <c r="F297" s="15"/>
      <c r="G297" s="30">
        <v>60.0</v>
      </c>
      <c r="H297" s="11"/>
      <c r="I297" s="7"/>
      <c r="J297" s="7"/>
      <c r="K297" s="17"/>
      <c r="L297" s="17" t="b">
        <f>IF(OR(COUNTIF('クラス'!$A$1:$A$1267,$B297)&gt;0,$B297="",$M297=""),"",True)</f>
        <v>1</v>
      </c>
      <c r="M297" s="1" t="str">
        <f t="shared" si="9"/>
        <v>存在しない</v>
      </c>
      <c r="N297" s="1"/>
      <c r="O297" s="1"/>
      <c r="P297" s="11"/>
      <c r="Q297" s="11"/>
      <c r="R297" s="11"/>
      <c r="S297" s="11"/>
      <c r="T297" s="1"/>
      <c r="U297" s="1"/>
      <c r="V297" s="1"/>
      <c r="W297" s="1"/>
      <c r="X297" s="1"/>
      <c r="Y297" s="1"/>
      <c r="Z297" s="1"/>
    </row>
    <row r="298" ht="18.0" customHeight="1" outlineLevel="2">
      <c r="A298" s="26">
        <v>4.0</v>
      </c>
      <c r="B298" s="28" t="s">
        <v>662</v>
      </c>
      <c r="C298" s="26" t="s">
        <v>663</v>
      </c>
      <c r="D298" s="26" t="s">
        <v>644</v>
      </c>
      <c r="E298" s="29" t="s">
        <v>33</v>
      </c>
      <c r="F298" s="15"/>
      <c r="G298" s="30">
        <v>60.0</v>
      </c>
      <c r="H298" s="11"/>
      <c r="I298" s="7"/>
      <c r="J298" s="7"/>
      <c r="K298" s="17"/>
      <c r="L298" s="17" t="b">
        <f>IF(OR(COUNTIF('クラス'!$A$1:$A$1267,$B298)&gt;0,$B298="",$M298=""),"",True)</f>
        <v>1</v>
      </c>
      <c r="M298" s="1" t="str">
        <f t="shared" si="9"/>
        <v>存在しない</v>
      </c>
      <c r="N298" s="1"/>
      <c r="O298" s="1"/>
      <c r="P298" s="11"/>
      <c r="Q298" s="11"/>
      <c r="R298" s="11"/>
      <c r="S298" s="11"/>
      <c r="T298" s="1"/>
      <c r="U298" s="1"/>
      <c r="V298" s="1"/>
      <c r="W298" s="1"/>
      <c r="X298" s="1"/>
      <c r="Y298" s="1"/>
      <c r="Z298" s="1"/>
    </row>
    <row r="299" ht="18.0" customHeight="1" outlineLevel="2">
      <c r="A299" s="26">
        <v>5.0</v>
      </c>
      <c r="B299" s="28" t="s">
        <v>664</v>
      </c>
      <c r="C299" s="1"/>
      <c r="D299" s="26" t="s">
        <v>644</v>
      </c>
      <c r="E299" s="29" t="s">
        <v>33</v>
      </c>
      <c r="F299" s="15"/>
      <c r="G299" s="30">
        <v>60.0</v>
      </c>
      <c r="H299" s="11"/>
      <c r="I299" s="7"/>
      <c r="J299" s="7"/>
      <c r="K299" s="17"/>
      <c r="L299" s="17" t="b">
        <f>IF(OR(COUNTIF('クラス'!$A$1:$A$1267,$B299)&gt;0,$B299="",$M299=""),"",True)</f>
        <v>1</v>
      </c>
      <c r="M299" s="1" t="str">
        <f t="shared" si="9"/>
        <v>存在しない</v>
      </c>
      <c r="N299" s="1"/>
      <c r="O299" s="1"/>
      <c r="P299" s="11"/>
      <c r="Q299" s="11"/>
      <c r="R299" s="11"/>
      <c r="S299" s="11"/>
      <c r="T299" s="1"/>
      <c r="U299" s="1"/>
      <c r="V299" s="1"/>
      <c r="W299" s="1"/>
      <c r="X299" s="1"/>
      <c r="Y299" s="1"/>
      <c r="Z299" s="1"/>
    </row>
    <row r="300" ht="18.0" customHeight="1" outlineLevel="2">
      <c r="A300" s="26">
        <v>5.0</v>
      </c>
      <c r="B300" s="28" t="s">
        <v>665</v>
      </c>
      <c r="C300" s="1"/>
      <c r="D300" s="26" t="s">
        <v>644</v>
      </c>
      <c r="E300" s="29" t="s">
        <v>33</v>
      </c>
      <c r="F300" s="15"/>
      <c r="G300" s="30">
        <v>60.0</v>
      </c>
      <c r="H300" s="22" t="s">
        <v>666</v>
      </c>
      <c r="I300" s="7"/>
      <c r="J300" s="7"/>
      <c r="K300" s="17"/>
      <c r="L300" s="17" t="b">
        <f>IF(OR(COUNTIF('クラス'!$A$1:$A$1267,$B300)&gt;0,$B300="",$M300=""),"",True)</f>
        <v>1</v>
      </c>
      <c r="M300" s="1" t="str">
        <f t="shared" si="9"/>
        <v>存在しない</v>
      </c>
      <c r="N300" s="1"/>
      <c r="O300" s="1"/>
      <c r="P300" s="11"/>
      <c r="Q300" s="11"/>
      <c r="R300" s="11"/>
      <c r="S300" s="11"/>
      <c r="T300" s="1"/>
      <c r="U300" s="1"/>
      <c r="V300" s="1"/>
      <c r="W300" s="1"/>
      <c r="X300" s="1"/>
      <c r="Y300" s="1"/>
      <c r="Z300" s="1"/>
    </row>
    <row r="301" ht="18.0" customHeight="1" outlineLevel="2">
      <c r="A301" s="26">
        <v>6.0</v>
      </c>
      <c r="B301" s="28" t="s">
        <v>667</v>
      </c>
      <c r="C301" s="26" t="s">
        <v>668</v>
      </c>
      <c r="D301" s="26" t="s">
        <v>644</v>
      </c>
      <c r="E301" s="29" t="s">
        <v>33</v>
      </c>
      <c r="F301" s="15"/>
      <c r="G301" s="30">
        <v>60.0</v>
      </c>
      <c r="H301" s="11"/>
      <c r="I301" s="7"/>
      <c r="J301" s="7"/>
      <c r="K301" s="33" t="s">
        <v>669</v>
      </c>
      <c r="L301" s="17" t="b">
        <f>IF(OR(COUNTIF('クラス'!$A$1:$A$1267,$B301)&gt;0,$B301="",$M301=""),"",True)</f>
        <v>1</v>
      </c>
      <c r="M301" s="1" t="str">
        <f t="shared" si="9"/>
        <v>存在しない</v>
      </c>
      <c r="N301" s="1"/>
      <c r="O301" s="1"/>
      <c r="P301" s="11"/>
      <c r="Q301" s="11"/>
      <c r="R301" s="11"/>
      <c r="S301" s="11"/>
      <c r="T301" s="1"/>
      <c r="U301" s="1"/>
      <c r="V301" s="1"/>
      <c r="W301" s="1"/>
      <c r="X301" s="1"/>
      <c r="Y301" s="1"/>
      <c r="Z301" s="1"/>
    </row>
    <row r="302" ht="18.0" customHeight="1" outlineLevel="2">
      <c r="A302" s="26">
        <v>7.0</v>
      </c>
      <c r="B302" s="28" t="s">
        <v>670</v>
      </c>
      <c r="C302" s="26" t="s">
        <v>671</v>
      </c>
      <c r="D302" s="26" t="s">
        <v>644</v>
      </c>
      <c r="E302" s="29" t="s">
        <v>33</v>
      </c>
      <c r="F302" s="15"/>
      <c r="G302" s="30">
        <v>60.0</v>
      </c>
      <c r="H302" s="11"/>
      <c r="I302" s="7"/>
      <c r="J302" s="7"/>
      <c r="K302" s="17"/>
      <c r="L302" s="17" t="b">
        <f>IF(OR(COUNTIF('クラス'!$A$1:$A$1267,$B302)&gt;0,$B302="",$M302=""),"",True)</f>
        <v>1</v>
      </c>
      <c r="M302" s="1" t="str">
        <f t="shared" si="9"/>
        <v>存在しない</v>
      </c>
      <c r="N302" s="1"/>
      <c r="O302" s="1"/>
      <c r="P302" s="11"/>
      <c r="Q302" s="11"/>
      <c r="R302" s="11"/>
      <c r="S302" s="11"/>
      <c r="T302" s="1"/>
      <c r="U302" s="1"/>
      <c r="V302" s="1"/>
      <c r="W302" s="1"/>
      <c r="X302" s="1"/>
      <c r="Y302" s="1"/>
      <c r="Z302" s="1"/>
    </row>
    <row r="303" ht="18.0" customHeight="1" outlineLevel="1">
      <c r="A303" s="26"/>
      <c r="B303" s="24"/>
      <c r="C303" s="26" t="s">
        <v>672</v>
      </c>
      <c r="D303" s="1"/>
      <c r="E303" s="14"/>
      <c r="F303" s="15"/>
      <c r="G303" s="30"/>
      <c r="H303" s="11"/>
      <c r="I303" s="7"/>
      <c r="J303" s="7"/>
      <c r="K303" s="17"/>
      <c r="L303" s="17" t="str">
        <f>IF(OR(COUNTIF('クラス'!$A$1:$A$1267,$B303)&gt;0,$B303="",$M303=""),"",True)</f>
        <v/>
      </c>
      <c r="M303" s="1" t="str">
        <f t="shared" si="9"/>
        <v>存在しない</v>
      </c>
      <c r="N303" s="1"/>
      <c r="O303" s="1"/>
      <c r="P303" s="11"/>
      <c r="Q303" s="11"/>
      <c r="R303" s="11"/>
      <c r="S303" s="11"/>
      <c r="T303" s="1"/>
      <c r="U303" s="1"/>
      <c r="V303" s="1"/>
      <c r="W303" s="1"/>
      <c r="X303" s="1"/>
      <c r="Y303" s="1"/>
      <c r="Z303" s="1"/>
    </row>
    <row r="304" ht="18.0" customHeight="1" outlineLevel="2">
      <c r="A304" s="26">
        <v>1.0</v>
      </c>
      <c r="B304" s="28" t="s">
        <v>673</v>
      </c>
      <c r="C304" s="1"/>
      <c r="D304" s="1"/>
      <c r="E304" s="14"/>
      <c r="F304" s="15"/>
      <c r="G304" s="30">
        <v>60.0</v>
      </c>
      <c r="H304" s="11"/>
      <c r="I304" s="7"/>
      <c r="J304" s="7"/>
      <c r="K304" s="17"/>
      <c r="L304" s="17" t="b">
        <f>IF(OR(COUNTIF('クラス'!$A$1:$A$1267,$B304)&gt;0,$B304="",$M304=""),"",True)</f>
        <v>1</v>
      </c>
      <c r="M304" s="1" t="str">
        <f t="shared" si="9"/>
        <v>存在しない</v>
      </c>
      <c r="N304" s="1"/>
      <c r="O304" s="1"/>
      <c r="P304" s="11"/>
      <c r="Q304" s="11"/>
      <c r="R304" s="11"/>
      <c r="S304" s="11"/>
      <c r="T304" s="1"/>
      <c r="U304" s="1"/>
      <c r="V304" s="1"/>
      <c r="W304" s="1"/>
      <c r="X304" s="1"/>
      <c r="Y304" s="1"/>
      <c r="Z304" s="1"/>
    </row>
    <row r="305" ht="18.0" customHeight="1" outlineLevel="2">
      <c r="A305" s="26">
        <v>2.0</v>
      </c>
      <c r="B305" s="28" t="s">
        <v>674</v>
      </c>
      <c r="C305" s="26" t="s">
        <v>675</v>
      </c>
      <c r="D305" s="26" t="s">
        <v>676</v>
      </c>
      <c r="E305" s="29" t="s">
        <v>33</v>
      </c>
      <c r="F305" s="15"/>
      <c r="G305" s="30">
        <v>60.0</v>
      </c>
      <c r="H305" s="11"/>
      <c r="I305" s="7"/>
      <c r="J305" s="32" t="s">
        <v>677</v>
      </c>
      <c r="K305" s="33" t="s">
        <v>238</v>
      </c>
      <c r="L305" s="17" t="b">
        <f>IF(OR(COUNTIF('クラス'!$A$1:$A$1267,$B305)&gt;0,$B305="",$M305=""),"",True)</f>
        <v>1</v>
      </c>
      <c r="M305" s="1" t="str">
        <f t="shared" si="9"/>
        <v>存在しない</v>
      </c>
      <c r="N305" s="1"/>
      <c r="O305" s="1"/>
      <c r="P305" s="11"/>
      <c r="Q305" s="11"/>
      <c r="R305" s="11"/>
      <c r="S305" s="11"/>
      <c r="T305" s="1"/>
      <c r="U305" s="1"/>
      <c r="V305" s="1"/>
      <c r="W305" s="1"/>
      <c r="X305" s="1"/>
      <c r="Y305" s="1"/>
      <c r="Z305" s="1"/>
    </row>
    <row r="306" ht="18.0" customHeight="1" outlineLevel="2">
      <c r="A306" s="26">
        <v>2.0</v>
      </c>
      <c r="B306" s="28" t="s">
        <v>678</v>
      </c>
      <c r="C306" s="26" t="s">
        <v>189</v>
      </c>
      <c r="D306" s="1"/>
      <c r="E306" s="14"/>
      <c r="F306" s="15"/>
      <c r="G306" s="30">
        <v>60.0</v>
      </c>
      <c r="H306" s="11"/>
      <c r="I306" s="7"/>
      <c r="J306" s="7"/>
      <c r="K306" s="17"/>
      <c r="L306" s="17" t="b">
        <f>IF(OR(COUNTIF('クラス'!$A$1:$A$1267,$B306)&gt;0,$B306="",$M306=""),"",True)</f>
        <v>1</v>
      </c>
      <c r="M306" s="1" t="str">
        <f t="shared" si="9"/>
        <v>存在しない</v>
      </c>
      <c r="N306" s="1"/>
      <c r="O306" s="1"/>
      <c r="P306" s="11"/>
      <c r="Q306" s="11"/>
      <c r="R306" s="11"/>
      <c r="S306" s="11"/>
      <c r="T306" s="1"/>
      <c r="U306" s="1"/>
      <c r="V306" s="1"/>
      <c r="W306" s="1"/>
      <c r="X306" s="1"/>
      <c r="Y306" s="1"/>
      <c r="Z306" s="1"/>
    </row>
    <row r="307" ht="18.0" customHeight="1" outlineLevel="2">
      <c r="A307" s="26">
        <v>3.0</v>
      </c>
      <c r="B307" s="28" t="s">
        <v>679</v>
      </c>
      <c r="C307" s="26" t="s">
        <v>680</v>
      </c>
      <c r="D307" s="26" t="s">
        <v>676</v>
      </c>
      <c r="E307" s="29" t="s">
        <v>33</v>
      </c>
      <c r="F307" s="15"/>
      <c r="G307" s="30">
        <v>60.0</v>
      </c>
      <c r="H307" s="11"/>
      <c r="I307" s="7"/>
      <c r="J307" s="32" t="s">
        <v>681</v>
      </c>
      <c r="K307" s="17"/>
      <c r="L307" s="17" t="b">
        <f>IF(OR(COUNTIF('クラス'!$A$1:$A$1267,$B307)&gt;0,$B307="",$M307=""),"",True)</f>
        <v>1</v>
      </c>
      <c r="M307" s="1" t="str">
        <f t="shared" si="9"/>
        <v>存在しない</v>
      </c>
      <c r="N307" s="1"/>
      <c r="O307" s="1"/>
      <c r="P307" s="11"/>
      <c r="Q307" s="11"/>
      <c r="R307" s="11"/>
      <c r="S307" s="11"/>
      <c r="T307" s="1"/>
      <c r="U307" s="1"/>
      <c r="V307" s="1"/>
      <c r="W307" s="1"/>
      <c r="X307" s="1"/>
      <c r="Y307" s="1"/>
      <c r="Z307" s="1"/>
    </row>
    <row r="308" ht="18.0" customHeight="1" outlineLevel="2">
      <c r="A308" s="26">
        <v>3.0</v>
      </c>
      <c r="B308" s="28" t="s">
        <v>682</v>
      </c>
      <c r="C308" s="26" t="s">
        <v>683</v>
      </c>
      <c r="D308" s="26" t="s">
        <v>676</v>
      </c>
      <c r="E308" s="29" t="s">
        <v>33</v>
      </c>
      <c r="F308" s="15"/>
      <c r="G308" s="30">
        <v>60.0</v>
      </c>
      <c r="H308" s="11"/>
      <c r="I308" s="7"/>
      <c r="J308" s="32" t="s">
        <v>684</v>
      </c>
      <c r="K308" s="17"/>
      <c r="L308" s="17" t="b">
        <f>IF(OR(COUNTIF('クラス'!$A$1:$A$1267,$B308)&gt;0,$B308="",$M308=""),"",True)</f>
        <v>1</v>
      </c>
      <c r="M308" s="1" t="str">
        <f t="shared" si="9"/>
        <v>存在しない</v>
      </c>
      <c r="N308" s="1"/>
      <c r="O308" s="1"/>
      <c r="P308" s="11"/>
      <c r="Q308" s="11"/>
      <c r="R308" s="11"/>
      <c r="S308" s="11"/>
      <c r="T308" s="1"/>
      <c r="U308" s="1"/>
      <c r="V308" s="1"/>
      <c r="W308" s="1"/>
      <c r="X308" s="1"/>
      <c r="Y308" s="1"/>
      <c r="Z308" s="1"/>
    </row>
    <row r="309" ht="18.0" customHeight="1" outlineLevel="2">
      <c r="A309" s="26">
        <v>3.0</v>
      </c>
      <c r="B309" s="28" t="s">
        <v>685</v>
      </c>
      <c r="C309" s="26" t="s">
        <v>686</v>
      </c>
      <c r="D309" s="26" t="s">
        <v>676</v>
      </c>
      <c r="E309" s="29" t="s">
        <v>33</v>
      </c>
      <c r="F309" s="15"/>
      <c r="G309" s="30">
        <v>60.0</v>
      </c>
      <c r="H309" s="11"/>
      <c r="I309" s="7"/>
      <c r="J309" s="32" t="s">
        <v>687</v>
      </c>
      <c r="K309" s="17"/>
      <c r="L309" s="17" t="b">
        <f>IF(OR(COUNTIF('クラス'!$A$1:$A$1267,$B309)&gt;0,$B309="",$M309=""),"",True)</f>
        <v>1</v>
      </c>
      <c r="M309" s="1" t="str">
        <f t="shared" si="9"/>
        <v>存在しない</v>
      </c>
      <c r="N309" s="1"/>
      <c r="O309" s="1"/>
      <c r="P309" s="11"/>
      <c r="Q309" s="11"/>
      <c r="R309" s="11"/>
      <c r="S309" s="11"/>
      <c r="T309" s="1"/>
      <c r="U309" s="1"/>
      <c r="V309" s="1"/>
      <c r="W309" s="1"/>
      <c r="X309" s="1"/>
      <c r="Y309" s="1"/>
      <c r="Z309" s="1"/>
    </row>
    <row r="310" ht="18.0" customHeight="1" outlineLevel="2">
      <c r="A310" s="26">
        <v>3.0</v>
      </c>
      <c r="B310" s="28" t="s">
        <v>688</v>
      </c>
      <c r="C310" s="1"/>
      <c r="D310" s="1"/>
      <c r="E310" s="14"/>
      <c r="F310" s="15"/>
      <c r="G310" s="30">
        <v>60.0</v>
      </c>
      <c r="H310" s="11"/>
      <c r="I310" s="7"/>
      <c r="J310" s="7"/>
      <c r="K310" s="17"/>
      <c r="L310" s="17" t="b">
        <f>IF(OR(COUNTIF('クラス'!$A$1:$A$1267,$B310)&gt;0,$B310="",$M310=""),"",True)</f>
        <v>1</v>
      </c>
      <c r="M310" s="1" t="str">
        <f t="shared" si="9"/>
        <v>存在しない</v>
      </c>
      <c r="N310" s="1"/>
      <c r="O310" s="1"/>
      <c r="P310" s="11"/>
      <c r="Q310" s="11"/>
      <c r="R310" s="11"/>
      <c r="S310" s="11"/>
      <c r="T310" s="1"/>
      <c r="U310" s="1"/>
      <c r="V310" s="1"/>
      <c r="W310" s="1"/>
      <c r="X310" s="1"/>
      <c r="Y310" s="1"/>
      <c r="Z310" s="1"/>
    </row>
    <row r="311" ht="18.0" customHeight="1" outlineLevel="2">
      <c r="A311" s="26">
        <v>4.0</v>
      </c>
      <c r="B311" s="28" t="s">
        <v>689</v>
      </c>
      <c r="C311" s="26" t="s">
        <v>690</v>
      </c>
      <c r="D311" s="26" t="s">
        <v>676</v>
      </c>
      <c r="E311" s="29" t="s">
        <v>33</v>
      </c>
      <c r="F311" s="15"/>
      <c r="G311" s="30">
        <v>60.0</v>
      </c>
      <c r="H311" s="11"/>
      <c r="I311" s="7"/>
      <c r="J311" s="32" t="s">
        <v>691</v>
      </c>
      <c r="K311" s="33" t="s">
        <v>238</v>
      </c>
      <c r="L311" s="17" t="b">
        <f>IF(OR(COUNTIF('クラス'!$A$1:$A$1267,$B311)&gt;0,$B311="",$M311=""),"",True)</f>
        <v>1</v>
      </c>
      <c r="M311" s="1" t="str">
        <f t="shared" si="9"/>
        <v>存在しない</v>
      </c>
      <c r="N311" s="1"/>
      <c r="O311" s="1"/>
      <c r="P311" s="11"/>
      <c r="Q311" s="11"/>
      <c r="R311" s="11"/>
      <c r="S311" s="11"/>
      <c r="T311" s="1"/>
      <c r="U311" s="1"/>
      <c r="V311" s="1"/>
      <c r="W311" s="1"/>
      <c r="X311" s="1"/>
      <c r="Y311" s="1"/>
      <c r="Z311" s="1"/>
    </row>
    <row r="312" ht="18.0" customHeight="1" outlineLevel="2">
      <c r="A312" s="26">
        <v>4.0</v>
      </c>
      <c r="B312" s="28" t="s">
        <v>692</v>
      </c>
      <c r="C312" s="26" t="s">
        <v>693</v>
      </c>
      <c r="D312" s="26" t="s">
        <v>676</v>
      </c>
      <c r="E312" s="29" t="s">
        <v>33</v>
      </c>
      <c r="F312" s="15"/>
      <c r="G312" s="30">
        <v>60.0</v>
      </c>
      <c r="H312" s="11"/>
      <c r="I312" s="7"/>
      <c r="J312" s="32" t="s">
        <v>694</v>
      </c>
      <c r="K312" s="33" t="s">
        <v>238</v>
      </c>
      <c r="L312" s="17" t="b">
        <f>IF(OR(COUNTIF('クラス'!$A$1:$A$1267,$B312)&gt;0,$B312="",$M312=""),"",True)</f>
        <v>1</v>
      </c>
      <c r="M312" s="1" t="str">
        <f t="shared" si="9"/>
        <v>存在しない</v>
      </c>
      <c r="N312" s="1"/>
      <c r="O312" s="1"/>
      <c r="P312" s="11"/>
      <c r="Q312" s="11"/>
      <c r="R312" s="11"/>
      <c r="S312" s="11"/>
      <c r="T312" s="1"/>
      <c r="U312" s="1"/>
      <c r="V312" s="1"/>
      <c r="W312" s="1"/>
      <c r="X312" s="1"/>
      <c r="Y312" s="1"/>
      <c r="Z312" s="1"/>
    </row>
    <row r="313" ht="18.0" customHeight="1" outlineLevel="2">
      <c r="A313" s="26">
        <v>4.0</v>
      </c>
      <c r="B313" s="28" t="s">
        <v>695</v>
      </c>
      <c r="C313" s="26" t="s">
        <v>696</v>
      </c>
      <c r="D313" s="26" t="s">
        <v>676</v>
      </c>
      <c r="E313" s="29" t="s">
        <v>33</v>
      </c>
      <c r="F313" s="15"/>
      <c r="G313" s="30">
        <v>60.0</v>
      </c>
      <c r="H313" s="11"/>
      <c r="I313" s="7"/>
      <c r="J313" s="32" t="s">
        <v>697</v>
      </c>
      <c r="K313" s="33" t="s">
        <v>238</v>
      </c>
      <c r="L313" s="17" t="b">
        <f>IF(OR(COUNTIF('クラス'!$A$1:$A$1267,$B313)&gt;0,$B313="",$M313=""),"",True)</f>
        <v>1</v>
      </c>
      <c r="M313" s="1" t="str">
        <f t="shared" si="9"/>
        <v>存在しない</v>
      </c>
      <c r="N313" s="1"/>
      <c r="O313" s="1"/>
      <c r="P313" s="11"/>
      <c r="Q313" s="11"/>
      <c r="R313" s="11"/>
      <c r="S313" s="11"/>
      <c r="T313" s="1"/>
      <c r="U313" s="1"/>
      <c r="V313" s="1"/>
      <c r="W313" s="1"/>
      <c r="X313" s="1"/>
      <c r="Y313" s="1"/>
      <c r="Z313" s="1"/>
    </row>
    <row r="314" ht="18.0" customHeight="1" outlineLevel="2">
      <c r="A314" s="26">
        <v>4.0</v>
      </c>
      <c r="B314" s="28" t="s">
        <v>698</v>
      </c>
      <c r="C314" s="1"/>
      <c r="D314" s="1"/>
      <c r="E314" s="14"/>
      <c r="F314" s="15"/>
      <c r="G314" s="30">
        <v>60.0</v>
      </c>
      <c r="H314" s="11"/>
      <c r="I314" s="7"/>
      <c r="J314" s="7"/>
      <c r="K314" s="17"/>
      <c r="L314" s="17" t="b">
        <f>IF(OR(COUNTIF('クラス'!$A$1:$A$1267,$B314)&gt;0,$B314="",$M314=""),"",True)</f>
        <v>1</v>
      </c>
      <c r="M314" s="1" t="str">
        <f t="shared" si="9"/>
        <v>存在しない</v>
      </c>
      <c r="N314" s="1"/>
      <c r="O314" s="1"/>
      <c r="P314" s="11"/>
      <c r="Q314" s="11"/>
      <c r="R314" s="11"/>
      <c r="S314" s="11"/>
      <c r="T314" s="1"/>
      <c r="U314" s="1"/>
      <c r="V314" s="1"/>
      <c r="W314" s="1"/>
      <c r="X314" s="1"/>
      <c r="Y314" s="1"/>
      <c r="Z314" s="1"/>
    </row>
    <row r="315" ht="18.0" customHeight="1" outlineLevel="2">
      <c r="A315" s="26">
        <v>5.0</v>
      </c>
      <c r="B315" s="28" t="s">
        <v>699</v>
      </c>
      <c r="C315" s="26" t="s">
        <v>700</v>
      </c>
      <c r="D315" s="26" t="s">
        <v>676</v>
      </c>
      <c r="E315" s="29" t="s">
        <v>33</v>
      </c>
      <c r="F315" s="15"/>
      <c r="G315" s="30">
        <v>60.0</v>
      </c>
      <c r="H315" s="11"/>
      <c r="I315" s="7"/>
      <c r="J315" s="32" t="s">
        <v>701</v>
      </c>
      <c r="K315" s="33" t="s">
        <v>238</v>
      </c>
      <c r="L315" s="17" t="b">
        <f>IF(OR(COUNTIF('クラス'!$A$1:$A$1267,$B315)&gt;0,$B315="",$M315=""),"",True)</f>
        <v>1</v>
      </c>
      <c r="M315" s="1" t="str">
        <f t="shared" si="9"/>
        <v>存在しない</v>
      </c>
      <c r="N315" s="1"/>
      <c r="O315" s="1"/>
      <c r="P315" s="11"/>
      <c r="Q315" s="11"/>
      <c r="R315" s="11"/>
      <c r="S315" s="11"/>
      <c r="T315" s="1"/>
      <c r="U315" s="1"/>
      <c r="V315" s="1"/>
      <c r="W315" s="1"/>
      <c r="X315" s="1"/>
      <c r="Y315" s="1"/>
      <c r="Z315" s="1"/>
    </row>
    <row r="316" ht="18.0" customHeight="1" outlineLevel="2">
      <c r="A316" s="26">
        <v>5.0</v>
      </c>
      <c r="B316" s="28" t="s">
        <v>702</v>
      </c>
      <c r="C316" s="1"/>
      <c r="D316" s="1"/>
      <c r="E316" s="14"/>
      <c r="F316" s="15"/>
      <c r="G316" s="30">
        <v>60.0</v>
      </c>
      <c r="H316" s="11"/>
      <c r="I316" s="7"/>
      <c r="J316" s="7"/>
      <c r="K316" s="17"/>
      <c r="L316" s="17" t="b">
        <f>IF(OR(COUNTIF('クラス'!$A$1:$A$1267,$B316)&gt;0,$B316="",$M316=""),"",True)</f>
        <v>1</v>
      </c>
      <c r="M316" s="1" t="str">
        <f t="shared" si="9"/>
        <v>存在しない</v>
      </c>
      <c r="N316" s="1"/>
      <c r="O316" s="1"/>
      <c r="P316" s="11"/>
      <c r="Q316" s="11"/>
      <c r="R316" s="11"/>
      <c r="S316" s="11"/>
      <c r="T316" s="1"/>
      <c r="U316" s="1"/>
      <c r="V316" s="1"/>
      <c r="W316" s="1"/>
      <c r="X316" s="1"/>
      <c r="Y316" s="1"/>
      <c r="Z316" s="1"/>
    </row>
    <row r="317" ht="18.0" customHeight="1" outlineLevel="2">
      <c r="A317" s="26">
        <v>6.0</v>
      </c>
      <c r="B317" s="28" t="s">
        <v>703</v>
      </c>
      <c r="C317" s="26" t="s">
        <v>704</v>
      </c>
      <c r="D317" s="26" t="s">
        <v>676</v>
      </c>
      <c r="E317" s="29" t="s">
        <v>33</v>
      </c>
      <c r="F317" s="15"/>
      <c r="G317" s="30">
        <v>60.0</v>
      </c>
      <c r="H317" s="11"/>
      <c r="I317" s="7"/>
      <c r="J317" s="32" t="s">
        <v>705</v>
      </c>
      <c r="K317" s="17"/>
      <c r="L317" s="17" t="b">
        <f>IF(OR(COUNTIF('クラス'!$A$1:$A$1267,$B317)&gt;0,$B317="",$M317=""),"",True)</f>
        <v>1</v>
      </c>
      <c r="M317" s="1" t="str">
        <f t="shared" si="9"/>
        <v>存在しない</v>
      </c>
      <c r="N317" s="1"/>
      <c r="O317" s="1"/>
      <c r="P317" s="11"/>
      <c r="Q317" s="11"/>
      <c r="R317" s="11"/>
      <c r="S317" s="11"/>
      <c r="T317" s="1"/>
      <c r="U317" s="1"/>
      <c r="V317" s="1"/>
      <c r="W317" s="1"/>
      <c r="X317" s="1"/>
      <c r="Y317" s="1"/>
      <c r="Z317" s="1"/>
    </row>
    <row r="318" ht="18.0" customHeight="1" outlineLevel="2">
      <c r="A318" s="26">
        <v>6.0</v>
      </c>
      <c r="B318" s="28" t="s">
        <v>706</v>
      </c>
      <c r="C318" s="1"/>
      <c r="D318" s="1"/>
      <c r="E318" s="14"/>
      <c r="F318" s="15"/>
      <c r="G318" s="30">
        <v>60.0</v>
      </c>
      <c r="H318" s="11"/>
      <c r="I318" s="7"/>
      <c r="J318" s="7"/>
      <c r="K318" s="17"/>
      <c r="L318" s="17" t="b">
        <f>IF(OR(COUNTIF('クラス'!$A$1:$A$1267,$B318)&gt;0,$B318="",$M318=""),"",True)</f>
        <v>1</v>
      </c>
      <c r="M318" s="1" t="str">
        <f t="shared" si="9"/>
        <v>存在しない</v>
      </c>
      <c r="N318" s="1"/>
      <c r="O318" s="1"/>
      <c r="P318" s="11"/>
      <c r="Q318" s="11"/>
      <c r="R318" s="11"/>
      <c r="S318" s="11"/>
      <c r="T318" s="1"/>
      <c r="U318" s="1"/>
      <c r="V318" s="1"/>
      <c r="W318" s="1"/>
      <c r="X318" s="1"/>
      <c r="Y318" s="1"/>
      <c r="Z318" s="1"/>
    </row>
    <row r="319" ht="18.0" customHeight="1" outlineLevel="2">
      <c r="A319" s="26">
        <v>7.0</v>
      </c>
      <c r="B319" s="28" t="s">
        <v>707</v>
      </c>
      <c r="C319" s="26" t="s">
        <v>708</v>
      </c>
      <c r="D319" s="26" t="s">
        <v>676</v>
      </c>
      <c r="E319" s="29" t="s">
        <v>33</v>
      </c>
      <c r="F319" s="15"/>
      <c r="G319" s="30">
        <v>60.0</v>
      </c>
      <c r="H319" s="11"/>
      <c r="I319" s="7"/>
      <c r="J319" s="32" t="s">
        <v>709</v>
      </c>
      <c r="K319" s="33" t="s">
        <v>255</v>
      </c>
      <c r="L319" s="17" t="b">
        <f>IF(OR(COUNTIF('クラス'!$A$1:$A$1267,$B319)&gt;0,$B319="",$M319=""),"",True)</f>
        <v>1</v>
      </c>
      <c r="M319" s="1" t="str">
        <f t="shared" si="9"/>
        <v>存在しない</v>
      </c>
      <c r="N319" s="1"/>
      <c r="O319" s="1"/>
      <c r="P319" s="11"/>
      <c r="Q319" s="11"/>
      <c r="R319" s="11"/>
      <c r="S319" s="11"/>
      <c r="T319" s="1"/>
      <c r="U319" s="1"/>
      <c r="V319" s="1"/>
      <c r="W319" s="1"/>
      <c r="X319" s="1"/>
      <c r="Y319" s="1"/>
      <c r="Z319" s="1"/>
    </row>
    <row r="320" ht="18.0" customHeight="1" outlineLevel="2">
      <c r="A320" s="26">
        <v>7.0</v>
      </c>
      <c r="B320" s="28" t="s">
        <v>710</v>
      </c>
      <c r="C320" s="26" t="s">
        <v>29</v>
      </c>
      <c r="D320" s="26" t="s">
        <v>711</v>
      </c>
      <c r="E320" s="29" t="s">
        <v>33</v>
      </c>
      <c r="F320" s="34" t="s">
        <v>29</v>
      </c>
      <c r="G320" s="30">
        <v>60.0</v>
      </c>
      <c r="H320" s="22" t="s">
        <v>712</v>
      </c>
      <c r="I320" s="32" t="s">
        <v>29</v>
      </c>
      <c r="J320" s="7"/>
      <c r="K320" s="17"/>
      <c r="L320" s="17" t="b">
        <f>IF(OR(COUNTIF('クラス'!$A$1:$A$1267,$B320)&gt;0,$B320="",$M320=""),"",True)</f>
        <v>1</v>
      </c>
      <c r="M320" s="1" t="str">
        <f t="shared" si="9"/>
        <v>存在しない</v>
      </c>
      <c r="N320" s="1"/>
      <c r="O320" s="1"/>
      <c r="P320" s="11"/>
      <c r="Q320" s="11"/>
      <c r="R320" s="11"/>
      <c r="S320" s="11"/>
      <c r="T320" s="1"/>
      <c r="U320" s="1"/>
      <c r="V320" s="1"/>
      <c r="W320" s="1"/>
      <c r="X320" s="1"/>
      <c r="Y320" s="1"/>
      <c r="Z320" s="1"/>
    </row>
    <row r="321" ht="18.0" customHeight="1" outlineLevel="1">
      <c r="A321" s="26"/>
      <c r="B321" s="24"/>
      <c r="C321" s="26" t="s">
        <v>713</v>
      </c>
      <c r="D321" s="1"/>
      <c r="E321" s="14"/>
      <c r="F321" s="15"/>
      <c r="G321" s="30"/>
      <c r="H321" s="11"/>
      <c r="I321" s="7"/>
      <c r="J321" s="7"/>
      <c r="K321" s="17"/>
      <c r="L321" s="17" t="str">
        <f>IF(OR(COUNTIF('クラス'!$A$1:$A$1267,$B321)&gt;0,$B321="",$M321=""),"",True)</f>
        <v/>
      </c>
      <c r="M321" s="1" t="str">
        <f t="shared" si="9"/>
        <v>存在しない</v>
      </c>
      <c r="N321" s="1"/>
      <c r="O321" s="1"/>
      <c r="P321" s="11"/>
      <c r="Q321" s="11"/>
      <c r="R321" s="11"/>
      <c r="S321" s="11"/>
      <c r="T321" s="1"/>
      <c r="U321" s="1"/>
      <c r="V321" s="1"/>
      <c r="W321" s="1"/>
      <c r="X321" s="1"/>
      <c r="Y321" s="1"/>
      <c r="Z321" s="1"/>
    </row>
    <row r="322" ht="18.0" customHeight="1" outlineLevel="2">
      <c r="A322" s="26">
        <v>1.0</v>
      </c>
      <c r="B322" s="28" t="s">
        <v>714</v>
      </c>
      <c r="C322" s="26" t="s">
        <v>715</v>
      </c>
      <c r="D322" s="26" t="s">
        <v>716</v>
      </c>
      <c r="E322" s="29" t="s">
        <v>33</v>
      </c>
      <c r="F322" s="15"/>
      <c r="G322" s="30">
        <v>60.0</v>
      </c>
      <c r="H322" s="31" t="s">
        <v>717</v>
      </c>
      <c r="I322" s="7"/>
      <c r="J322" s="7"/>
      <c r="K322" s="17"/>
      <c r="L322" s="17" t="b">
        <f>IF(OR(COUNTIF('クラス'!$A$1:$A$1267,$B322)&gt;0,$B322="",$M322=""),"",True)</f>
        <v>1</v>
      </c>
      <c r="M322" s="1" t="str">
        <f t="shared" si="9"/>
        <v>存在しない</v>
      </c>
      <c r="N322" s="1"/>
      <c r="O322" s="1"/>
      <c r="P322" s="11"/>
      <c r="Q322" s="11"/>
      <c r="R322" s="11"/>
      <c r="S322" s="11"/>
      <c r="T322" s="1"/>
      <c r="U322" s="1"/>
      <c r="V322" s="1"/>
      <c r="W322" s="1"/>
      <c r="X322" s="1"/>
      <c r="Y322" s="1"/>
      <c r="Z322" s="1"/>
    </row>
    <row r="323" ht="18.0" customHeight="1" outlineLevel="2">
      <c r="A323" s="26">
        <v>1.0</v>
      </c>
      <c r="B323" s="28" t="s">
        <v>718</v>
      </c>
      <c r="C323" s="26" t="s">
        <v>719</v>
      </c>
      <c r="D323" s="26" t="s">
        <v>716</v>
      </c>
      <c r="E323" s="29" t="s">
        <v>33</v>
      </c>
      <c r="F323" s="15"/>
      <c r="G323" s="30">
        <v>60.0</v>
      </c>
      <c r="H323" s="22" t="s">
        <v>720</v>
      </c>
      <c r="I323" s="7"/>
      <c r="J323" s="7"/>
      <c r="K323" s="17"/>
      <c r="L323" s="17" t="b">
        <f>IF(OR(COUNTIF('クラス'!$A$1:$A$1267,$B323)&gt;0,$B323="",$M323=""),"",True)</f>
        <v>1</v>
      </c>
      <c r="M323" s="1" t="str">
        <f t="shared" si="9"/>
        <v>存在しない</v>
      </c>
      <c r="N323" s="1"/>
      <c r="O323" s="1"/>
      <c r="P323" s="11"/>
      <c r="Q323" s="11"/>
      <c r="R323" s="11"/>
      <c r="S323" s="11"/>
      <c r="T323" s="1"/>
      <c r="U323" s="1"/>
      <c r="V323" s="1"/>
      <c r="W323" s="1"/>
      <c r="X323" s="1"/>
      <c r="Y323" s="1"/>
      <c r="Z323" s="1"/>
    </row>
    <row r="324" ht="18.0" customHeight="1" outlineLevel="2">
      <c r="A324" s="26">
        <v>2.0</v>
      </c>
      <c r="B324" s="28" t="s">
        <v>721</v>
      </c>
      <c r="C324" s="26" t="s">
        <v>722</v>
      </c>
      <c r="D324" s="26" t="s">
        <v>716</v>
      </c>
      <c r="E324" s="29" t="s">
        <v>33</v>
      </c>
      <c r="F324" s="15"/>
      <c r="G324" s="30">
        <v>60.0</v>
      </c>
      <c r="H324" s="11"/>
      <c r="I324" s="7"/>
      <c r="J324" s="32" t="s">
        <v>723</v>
      </c>
      <c r="K324" s="33" t="s">
        <v>238</v>
      </c>
      <c r="L324" s="17" t="b">
        <f>IF(OR(COUNTIF('クラス'!$A$1:$A$1267,$B324)&gt;0,$B324="",$M324=""),"",True)</f>
        <v>1</v>
      </c>
      <c r="M324" s="1" t="str">
        <f t="shared" si="9"/>
        <v>存在しない</v>
      </c>
      <c r="N324" s="1"/>
      <c r="O324" s="1"/>
      <c r="P324" s="11"/>
      <c r="Q324" s="11"/>
      <c r="R324" s="11"/>
      <c r="S324" s="11"/>
      <c r="T324" s="1"/>
      <c r="U324" s="1"/>
      <c r="V324" s="1"/>
      <c r="W324" s="1"/>
      <c r="X324" s="1"/>
      <c r="Y324" s="1"/>
      <c r="Z324" s="1"/>
    </row>
    <row r="325" ht="18.0" customHeight="1" outlineLevel="2">
      <c r="A325" s="26">
        <v>2.0</v>
      </c>
      <c r="B325" s="28" t="s">
        <v>724</v>
      </c>
      <c r="C325" s="26" t="s">
        <v>725</v>
      </c>
      <c r="D325" s="26" t="s">
        <v>716</v>
      </c>
      <c r="E325" s="29" t="s">
        <v>33</v>
      </c>
      <c r="F325" s="15"/>
      <c r="G325" s="30">
        <v>60.0</v>
      </c>
      <c r="H325" s="31" t="s">
        <v>726</v>
      </c>
      <c r="I325" s="7"/>
      <c r="J325" s="7"/>
      <c r="K325" s="17"/>
      <c r="L325" s="17" t="b">
        <f>IF(OR(COUNTIF('クラス'!$A$1:$A$1267,$B325)&gt;0,$B325="",$M325=""),"",True)</f>
        <v>1</v>
      </c>
      <c r="M325" s="1" t="str">
        <f t="shared" si="9"/>
        <v>存在しない</v>
      </c>
      <c r="N325" s="1"/>
      <c r="O325" s="1"/>
      <c r="P325" s="11"/>
      <c r="Q325" s="11"/>
      <c r="R325" s="11"/>
      <c r="S325" s="11"/>
      <c r="T325" s="1"/>
      <c r="U325" s="1"/>
      <c r="V325" s="1"/>
      <c r="W325" s="1"/>
      <c r="X325" s="1"/>
      <c r="Y325" s="1"/>
      <c r="Z325" s="1"/>
    </row>
    <row r="326" ht="18.0" customHeight="1" outlineLevel="2">
      <c r="A326" s="26">
        <v>2.0</v>
      </c>
      <c r="B326" s="28" t="s">
        <v>727</v>
      </c>
      <c r="C326" s="26" t="s">
        <v>728</v>
      </c>
      <c r="D326" s="26" t="s">
        <v>716</v>
      </c>
      <c r="E326" s="29" t="s">
        <v>33</v>
      </c>
      <c r="F326" s="15"/>
      <c r="G326" s="30">
        <v>60.0</v>
      </c>
      <c r="H326" s="31" t="s">
        <v>729</v>
      </c>
      <c r="I326" s="7"/>
      <c r="J326" s="7"/>
      <c r="K326" s="17"/>
      <c r="L326" s="17" t="b">
        <f>IF(OR(COUNTIF('クラス'!$A$1:$A$1267,$B326)&gt;0,$B326="",$M326=""),"",True)</f>
        <v>1</v>
      </c>
      <c r="M326" s="1" t="str">
        <f t="shared" si="9"/>
        <v>存在しない</v>
      </c>
      <c r="N326" s="1"/>
      <c r="O326" s="1"/>
      <c r="P326" s="11"/>
      <c r="Q326" s="11"/>
      <c r="R326" s="11"/>
      <c r="S326" s="11"/>
      <c r="T326" s="1"/>
      <c r="U326" s="1"/>
      <c r="V326" s="1"/>
      <c r="W326" s="1"/>
      <c r="X326" s="1"/>
      <c r="Y326" s="1"/>
      <c r="Z326" s="1"/>
    </row>
    <row r="327" ht="18.0" customHeight="1" outlineLevel="2">
      <c r="A327" s="26">
        <v>3.0</v>
      </c>
      <c r="B327" s="28" t="s">
        <v>730</v>
      </c>
      <c r="C327" s="26" t="s">
        <v>731</v>
      </c>
      <c r="D327" s="26" t="s">
        <v>716</v>
      </c>
      <c r="E327" s="29" t="s">
        <v>33</v>
      </c>
      <c r="F327" s="15"/>
      <c r="G327" s="30">
        <v>60.0</v>
      </c>
      <c r="H327" s="11"/>
      <c r="I327" s="7"/>
      <c r="J327" s="32" t="s">
        <v>732</v>
      </c>
      <c r="K327" s="17"/>
      <c r="L327" s="17" t="b">
        <f>IF(OR(COUNTIF('クラス'!$A$1:$A$1267,$B327)&gt;0,$B327="",$M327=""),"",True)</f>
        <v>1</v>
      </c>
      <c r="M327" s="1" t="str">
        <f t="shared" si="9"/>
        <v>存在しない</v>
      </c>
      <c r="N327" s="1"/>
      <c r="O327" s="1"/>
      <c r="P327" s="11"/>
      <c r="Q327" s="11"/>
      <c r="R327" s="11"/>
      <c r="S327" s="11"/>
      <c r="T327" s="1"/>
      <c r="U327" s="1"/>
      <c r="V327" s="1"/>
      <c r="W327" s="1"/>
      <c r="X327" s="1"/>
      <c r="Y327" s="1"/>
      <c r="Z327" s="1"/>
    </row>
    <row r="328" ht="18.0" customHeight="1" outlineLevel="2">
      <c r="A328" s="26">
        <v>3.0</v>
      </c>
      <c r="B328" s="28" t="s">
        <v>733</v>
      </c>
      <c r="C328" s="26" t="s">
        <v>734</v>
      </c>
      <c r="D328" s="26" t="s">
        <v>716</v>
      </c>
      <c r="E328" s="29" t="s">
        <v>33</v>
      </c>
      <c r="F328" s="15"/>
      <c r="G328" s="30">
        <v>60.0</v>
      </c>
      <c r="H328" s="31" t="s">
        <v>735</v>
      </c>
      <c r="I328" s="7"/>
      <c r="J328" s="7"/>
      <c r="K328" s="17"/>
      <c r="L328" s="17" t="b">
        <f>IF(OR(COUNTIF('クラス'!$A$1:$A$1267,$B328)&gt;0,$B328="",$M328=""),"",True)</f>
        <v>1</v>
      </c>
      <c r="M328" s="1" t="str">
        <f t="shared" si="9"/>
        <v>存在しない</v>
      </c>
      <c r="N328" s="1"/>
      <c r="O328" s="1"/>
      <c r="P328" s="11"/>
      <c r="Q328" s="11"/>
      <c r="R328" s="11"/>
      <c r="S328" s="11"/>
      <c r="T328" s="1"/>
      <c r="U328" s="1"/>
      <c r="V328" s="1"/>
      <c r="W328" s="1"/>
      <c r="X328" s="1"/>
      <c r="Y328" s="1"/>
      <c r="Z328" s="1"/>
    </row>
    <row r="329" ht="18.0" customHeight="1" outlineLevel="2">
      <c r="A329" s="26">
        <v>3.0</v>
      </c>
      <c r="B329" s="28" t="s">
        <v>736</v>
      </c>
      <c r="C329" s="26" t="s">
        <v>737</v>
      </c>
      <c r="D329" s="26" t="s">
        <v>716</v>
      </c>
      <c r="E329" s="29" t="s">
        <v>33</v>
      </c>
      <c r="F329" s="15"/>
      <c r="G329" s="30">
        <v>60.0</v>
      </c>
      <c r="H329" s="22" t="s">
        <v>738</v>
      </c>
      <c r="I329" s="7"/>
      <c r="J329" s="32" t="s">
        <v>739</v>
      </c>
      <c r="K329" s="17"/>
      <c r="L329" s="17" t="b">
        <f>IF(OR(COUNTIF('クラス'!$A$1:$A$1267,$B329)&gt;0,$B329="",$M329=""),"",True)</f>
        <v>1</v>
      </c>
      <c r="M329" s="1" t="str">
        <f t="shared" si="9"/>
        <v>存在しない</v>
      </c>
      <c r="N329" s="1"/>
      <c r="O329" s="1"/>
      <c r="P329" s="11"/>
      <c r="Q329" s="11"/>
      <c r="R329" s="11"/>
      <c r="S329" s="11"/>
      <c r="T329" s="1"/>
      <c r="U329" s="1"/>
      <c r="V329" s="1"/>
      <c r="W329" s="1"/>
      <c r="X329" s="1"/>
      <c r="Y329" s="1"/>
      <c r="Z329" s="1"/>
    </row>
    <row r="330" ht="18.0" customHeight="1" outlineLevel="2">
      <c r="A330" s="26">
        <v>4.0</v>
      </c>
      <c r="B330" s="28" t="s">
        <v>740</v>
      </c>
      <c r="C330" s="26" t="s">
        <v>741</v>
      </c>
      <c r="D330" s="26" t="s">
        <v>716</v>
      </c>
      <c r="E330" s="29" t="s">
        <v>33</v>
      </c>
      <c r="F330" s="15"/>
      <c r="G330" s="30">
        <v>60.0</v>
      </c>
      <c r="H330" s="11"/>
      <c r="I330" s="7"/>
      <c r="J330" s="32" t="s">
        <v>742</v>
      </c>
      <c r="K330" s="33" t="s">
        <v>238</v>
      </c>
      <c r="L330" s="17" t="b">
        <f>IF(OR(COUNTIF('クラス'!$A$1:$A$1267,$B330)&gt;0,$B330="",$M330=""),"",True)</f>
        <v>1</v>
      </c>
      <c r="M330" s="1" t="str">
        <f t="shared" si="9"/>
        <v>存在しない</v>
      </c>
      <c r="N330" s="1"/>
      <c r="O330" s="1"/>
      <c r="P330" s="11"/>
      <c r="Q330" s="11"/>
      <c r="R330" s="11"/>
      <c r="S330" s="11"/>
      <c r="T330" s="1"/>
      <c r="U330" s="1"/>
      <c r="V330" s="1"/>
      <c r="W330" s="1"/>
      <c r="X330" s="1"/>
      <c r="Y330" s="1"/>
      <c r="Z330" s="1"/>
    </row>
    <row r="331" ht="18.0" customHeight="1" outlineLevel="2">
      <c r="A331" s="26">
        <v>4.0</v>
      </c>
      <c r="B331" s="28" t="s">
        <v>743</v>
      </c>
      <c r="C331" s="26" t="s">
        <v>744</v>
      </c>
      <c r="D331" s="26" t="s">
        <v>716</v>
      </c>
      <c r="E331" s="29" t="s">
        <v>33</v>
      </c>
      <c r="F331" s="15"/>
      <c r="G331" s="30">
        <v>60.0</v>
      </c>
      <c r="H331" s="31" t="s">
        <v>745</v>
      </c>
      <c r="I331" s="7"/>
      <c r="J331" s="7"/>
      <c r="K331" s="17"/>
      <c r="L331" s="17" t="b">
        <f>IF(OR(COUNTIF('クラス'!$A$1:$A$1267,$B331)&gt;0,$B331="",$M331=""),"",True)</f>
        <v>1</v>
      </c>
      <c r="M331" s="1" t="str">
        <f t="shared" si="9"/>
        <v>存在しない</v>
      </c>
      <c r="N331" s="1"/>
      <c r="O331" s="1"/>
      <c r="P331" s="11"/>
      <c r="Q331" s="11"/>
      <c r="R331" s="11"/>
      <c r="S331" s="11"/>
      <c r="T331" s="1"/>
      <c r="U331" s="1"/>
      <c r="V331" s="1"/>
      <c r="W331" s="1"/>
      <c r="X331" s="1"/>
      <c r="Y331" s="1"/>
      <c r="Z331" s="1"/>
    </row>
    <row r="332" ht="18.0" customHeight="1" outlineLevel="2">
      <c r="A332" s="26">
        <v>4.0</v>
      </c>
      <c r="B332" s="28" t="s">
        <v>746</v>
      </c>
      <c r="C332" s="26" t="s">
        <v>747</v>
      </c>
      <c r="D332" s="26" t="s">
        <v>716</v>
      </c>
      <c r="E332" s="29" t="s">
        <v>33</v>
      </c>
      <c r="F332" s="15"/>
      <c r="G332" s="30">
        <v>60.0</v>
      </c>
      <c r="H332" s="31" t="s">
        <v>748</v>
      </c>
      <c r="I332" s="7"/>
      <c r="J332" s="7"/>
      <c r="K332" s="17"/>
      <c r="L332" s="17" t="b">
        <f>IF(OR(COUNTIF('クラス'!$A$1:$A$1267,$B332)&gt;0,$B332="",$M332=""),"",True)</f>
        <v>1</v>
      </c>
      <c r="M332" s="1" t="str">
        <f t="shared" si="9"/>
        <v>存在しない</v>
      </c>
      <c r="N332" s="1"/>
      <c r="O332" s="1"/>
      <c r="P332" s="11"/>
      <c r="Q332" s="11"/>
      <c r="R332" s="11"/>
      <c r="S332" s="11"/>
      <c r="T332" s="1"/>
      <c r="U332" s="1"/>
      <c r="V332" s="1"/>
      <c r="W332" s="1"/>
      <c r="X332" s="1"/>
      <c r="Y332" s="1"/>
      <c r="Z332" s="1"/>
    </row>
    <row r="333" ht="18.0" customHeight="1" outlineLevel="2">
      <c r="A333" s="26">
        <v>5.0</v>
      </c>
      <c r="B333" s="28" t="s">
        <v>749</v>
      </c>
      <c r="C333" s="26" t="s">
        <v>750</v>
      </c>
      <c r="D333" s="26" t="s">
        <v>716</v>
      </c>
      <c r="E333" s="29" t="s">
        <v>33</v>
      </c>
      <c r="F333" s="15"/>
      <c r="G333" s="30">
        <v>60.0</v>
      </c>
      <c r="H333" s="11"/>
      <c r="I333" s="7"/>
      <c r="J333" s="32" t="s">
        <v>751</v>
      </c>
      <c r="K333" s="17"/>
      <c r="L333" s="17" t="b">
        <f>IF(OR(COUNTIF('クラス'!$A$1:$A$1267,$B333)&gt;0,$B333="",$M333=""),"",True)</f>
        <v>1</v>
      </c>
      <c r="M333" s="1" t="str">
        <f t="shared" si="9"/>
        <v>存在しない</v>
      </c>
      <c r="N333" s="1"/>
      <c r="O333" s="1"/>
      <c r="P333" s="11"/>
      <c r="Q333" s="11"/>
      <c r="R333" s="11"/>
      <c r="S333" s="11"/>
      <c r="T333" s="1"/>
      <c r="U333" s="1"/>
      <c r="V333" s="1"/>
      <c r="W333" s="1"/>
      <c r="X333" s="1"/>
      <c r="Y333" s="1"/>
      <c r="Z333" s="1"/>
    </row>
    <row r="334" ht="18.0" customHeight="1" outlineLevel="2">
      <c r="A334" s="26">
        <v>5.0</v>
      </c>
      <c r="B334" s="28" t="s">
        <v>752</v>
      </c>
      <c r="C334" s="26" t="s">
        <v>753</v>
      </c>
      <c r="D334" s="26" t="s">
        <v>716</v>
      </c>
      <c r="E334" s="29" t="s">
        <v>33</v>
      </c>
      <c r="F334" s="15"/>
      <c r="G334" s="30">
        <v>60.0</v>
      </c>
      <c r="H334" s="11"/>
      <c r="I334" s="7"/>
      <c r="J334" s="32" t="s">
        <v>754</v>
      </c>
      <c r="K334" s="17"/>
      <c r="L334" s="17" t="b">
        <f>IF(OR(COUNTIF('クラス'!$A$1:$A$1267,$B334)&gt;0,$B334="",$M334=""),"",True)</f>
        <v>1</v>
      </c>
      <c r="M334" s="1" t="str">
        <f t="shared" si="9"/>
        <v>存在しない</v>
      </c>
      <c r="N334" s="1"/>
      <c r="O334" s="1"/>
      <c r="P334" s="11"/>
      <c r="Q334" s="11"/>
      <c r="R334" s="11"/>
      <c r="S334" s="11"/>
      <c r="T334" s="1"/>
      <c r="U334" s="1"/>
      <c r="V334" s="1"/>
      <c r="W334" s="1"/>
      <c r="X334" s="1"/>
      <c r="Y334" s="1"/>
      <c r="Z334" s="1"/>
    </row>
    <row r="335" ht="18.0" customHeight="1" outlineLevel="2">
      <c r="A335" s="26">
        <v>5.0</v>
      </c>
      <c r="B335" s="28" t="s">
        <v>755</v>
      </c>
      <c r="C335" s="26" t="s">
        <v>756</v>
      </c>
      <c r="D335" s="26" t="s">
        <v>716</v>
      </c>
      <c r="E335" s="29" t="s">
        <v>33</v>
      </c>
      <c r="F335" s="15"/>
      <c r="G335" s="30">
        <v>60.0</v>
      </c>
      <c r="H335" s="22" t="s">
        <v>757</v>
      </c>
      <c r="I335" s="7"/>
      <c r="J335" s="7"/>
      <c r="K335" s="17"/>
      <c r="L335" s="17" t="b">
        <f>IF(OR(COUNTIF('クラス'!$A$1:$A$1267,$B335)&gt;0,$B335="",$M335=""),"",True)</f>
        <v>1</v>
      </c>
      <c r="M335" s="1" t="str">
        <f t="shared" si="9"/>
        <v>存在しない</v>
      </c>
      <c r="N335" s="1"/>
      <c r="O335" s="1"/>
      <c r="P335" s="11"/>
      <c r="Q335" s="11"/>
      <c r="R335" s="11"/>
      <c r="S335" s="11"/>
      <c r="T335" s="1"/>
      <c r="U335" s="1"/>
      <c r="V335" s="1"/>
      <c r="W335" s="1"/>
      <c r="X335" s="1"/>
      <c r="Y335" s="1"/>
      <c r="Z335" s="1"/>
    </row>
    <row r="336" ht="18.0" customHeight="1" outlineLevel="2">
      <c r="A336" s="26">
        <v>6.0</v>
      </c>
      <c r="B336" s="28" t="s">
        <v>758</v>
      </c>
      <c r="C336" s="26" t="s">
        <v>759</v>
      </c>
      <c r="D336" s="26" t="s">
        <v>716</v>
      </c>
      <c r="E336" s="29" t="s">
        <v>33</v>
      </c>
      <c r="F336" s="15"/>
      <c r="G336" s="30">
        <v>60.0</v>
      </c>
      <c r="H336" s="11"/>
      <c r="I336" s="7"/>
      <c r="J336" s="32" t="s">
        <v>760</v>
      </c>
      <c r="K336" s="33" t="s">
        <v>238</v>
      </c>
      <c r="L336" s="17" t="b">
        <f>IF(OR(COUNTIF('クラス'!$A$1:$A$1267,$B336)&gt;0,$B336="",$M336=""),"",True)</f>
        <v>1</v>
      </c>
      <c r="M336" s="1" t="str">
        <f t="shared" si="9"/>
        <v>存在しない</v>
      </c>
      <c r="N336" s="1"/>
      <c r="O336" s="1"/>
      <c r="P336" s="11"/>
      <c r="Q336" s="11"/>
      <c r="R336" s="11"/>
      <c r="S336" s="11"/>
      <c r="T336" s="1"/>
      <c r="U336" s="1"/>
      <c r="V336" s="1"/>
      <c r="W336" s="1"/>
      <c r="X336" s="1"/>
      <c r="Y336" s="1"/>
      <c r="Z336" s="1"/>
    </row>
    <row r="337" ht="18.0" customHeight="1" outlineLevel="2">
      <c r="A337" s="26">
        <v>6.0</v>
      </c>
      <c r="B337" s="28" t="s">
        <v>761</v>
      </c>
      <c r="C337" s="26" t="s">
        <v>762</v>
      </c>
      <c r="D337" s="26" t="s">
        <v>716</v>
      </c>
      <c r="E337" s="29" t="s">
        <v>33</v>
      </c>
      <c r="F337" s="15"/>
      <c r="G337" s="30">
        <v>60.0</v>
      </c>
      <c r="H337" s="11"/>
      <c r="I337" s="7"/>
      <c r="J337" s="32" t="s">
        <v>763</v>
      </c>
      <c r="K337" s="33" t="s">
        <v>255</v>
      </c>
      <c r="L337" s="17" t="b">
        <f>IF(OR(COUNTIF('クラス'!$A$1:$A$1267,$B337)&gt;0,$B337="",$M337=""),"",True)</f>
        <v>1</v>
      </c>
      <c r="M337" s="1" t="str">
        <f t="shared" si="9"/>
        <v>存在しない</v>
      </c>
      <c r="N337" s="1"/>
      <c r="O337" s="1"/>
      <c r="P337" s="11"/>
      <c r="Q337" s="11"/>
      <c r="R337" s="11"/>
      <c r="S337" s="11"/>
      <c r="T337" s="1"/>
      <c r="U337" s="1"/>
      <c r="V337" s="1"/>
      <c r="W337" s="1"/>
      <c r="X337" s="1"/>
      <c r="Y337" s="1"/>
      <c r="Z337" s="1"/>
    </row>
    <row r="338" ht="18.0" customHeight="1" outlineLevel="2">
      <c r="A338" s="26">
        <v>6.0</v>
      </c>
      <c r="B338" s="28" t="s">
        <v>764</v>
      </c>
      <c r="C338" s="26" t="s">
        <v>765</v>
      </c>
      <c r="D338" s="26" t="s">
        <v>716</v>
      </c>
      <c r="E338" s="29" t="s">
        <v>33</v>
      </c>
      <c r="F338" s="15"/>
      <c r="G338" s="30">
        <v>60.0</v>
      </c>
      <c r="H338" s="31" t="s">
        <v>766</v>
      </c>
      <c r="I338" s="7"/>
      <c r="J338" s="32" t="s">
        <v>767</v>
      </c>
      <c r="K338" s="33" t="s">
        <v>768</v>
      </c>
      <c r="L338" s="17" t="b">
        <f>IF(OR(COUNTIF('クラス'!$A$1:$A$1267,$B338)&gt;0,$B338="",$M338=""),"",True)</f>
        <v>1</v>
      </c>
      <c r="M338" s="1" t="str">
        <f t="shared" si="9"/>
        <v>存在しない</v>
      </c>
      <c r="N338" s="1"/>
      <c r="O338" s="1"/>
      <c r="P338" s="11"/>
      <c r="Q338" s="11"/>
      <c r="R338" s="11"/>
      <c r="S338" s="11"/>
      <c r="T338" s="1"/>
      <c r="U338" s="1"/>
      <c r="V338" s="1"/>
      <c r="W338" s="1"/>
      <c r="X338" s="1"/>
      <c r="Y338" s="1"/>
      <c r="Z338" s="1"/>
    </row>
    <row r="339" ht="18.0" customHeight="1" outlineLevel="2">
      <c r="A339" s="26">
        <v>7.0</v>
      </c>
      <c r="B339" s="28" t="s">
        <v>769</v>
      </c>
      <c r="C339" s="26" t="s">
        <v>770</v>
      </c>
      <c r="D339" s="26" t="s">
        <v>716</v>
      </c>
      <c r="E339" s="29" t="s">
        <v>33</v>
      </c>
      <c r="F339" s="15"/>
      <c r="G339" s="30">
        <v>60.0</v>
      </c>
      <c r="H339" s="11"/>
      <c r="I339" s="7"/>
      <c r="J339" s="32" t="s">
        <v>771</v>
      </c>
      <c r="K339" s="33" t="s">
        <v>255</v>
      </c>
      <c r="L339" s="17" t="b">
        <f>IF(OR(COUNTIF('クラス'!$A$1:$A$1267,$B339)&gt;0,$B339="",$M339=""),"",True)</f>
        <v>1</v>
      </c>
      <c r="M339" s="1" t="str">
        <f t="shared" si="9"/>
        <v>存在しない</v>
      </c>
      <c r="N339" s="1"/>
      <c r="O339" s="1"/>
      <c r="P339" s="11"/>
      <c r="Q339" s="11"/>
      <c r="R339" s="11"/>
      <c r="S339" s="11"/>
      <c r="T339" s="1"/>
      <c r="U339" s="1"/>
      <c r="V339" s="1"/>
      <c r="W339" s="1"/>
      <c r="X339" s="1"/>
      <c r="Y339" s="1"/>
      <c r="Z339" s="1"/>
    </row>
    <row r="340" ht="18.0" customHeight="1" outlineLevel="2">
      <c r="A340" s="26">
        <v>7.0</v>
      </c>
      <c r="B340" s="28" t="s">
        <v>772</v>
      </c>
      <c r="C340" s="26" t="s">
        <v>773</v>
      </c>
      <c r="D340" s="26" t="s">
        <v>716</v>
      </c>
      <c r="E340" s="29" t="s">
        <v>33</v>
      </c>
      <c r="F340" s="15"/>
      <c r="G340" s="30">
        <v>60.0</v>
      </c>
      <c r="H340" s="31" t="s">
        <v>774</v>
      </c>
      <c r="I340" s="7"/>
      <c r="J340" s="7"/>
      <c r="K340" s="17"/>
      <c r="L340" s="17" t="b">
        <f>IF(OR(COUNTIF('クラス'!$A$1:$A$1267,$B340)&gt;0,$B340="",$M340=""),"",True)</f>
        <v>1</v>
      </c>
      <c r="M340" s="1" t="str">
        <f t="shared" si="9"/>
        <v>存在しない</v>
      </c>
      <c r="N340" s="1"/>
      <c r="O340" s="1"/>
      <c r="P340" s="11"/>
      <c r="Q340" s="11"/>
      <c r="R340" s="11"/>
      <c r="S340" s="11"/>
      <c r="T340" s="1"/>
      <c r="U340" s="1"/>
      <c r="V340" s="1"/>
      <c r="W340" s="1"/>
      <c r="X340" s="1"/>
      <c r="Y340" s="1"/>
      <c r="Z340" s="1"/>
    </row>
    <row r="341" ht="18.0" customHeight="1" outlineLevel="2">
      <c r="A341" s="26">
        <v>7.0</v>
      </c>
      <c r="B341" s="28" t="s">
        <v>775</v>
      </c>
      <c r="C341" s="26" t="s">
        <v>776</v>
      </c>
      <c r="D341" s="26" t="s">
        <v>716</v>
      </c>
      <c r="E341" s="29" t="s">
        <v>33</v>
      </c>
      <c r="F341" s="15"/>
      <c r="G341" s="30">
        <v>60.0</v>
      </c>
      <c r="H341" s="31" t="s">
        <v>777</v>
      </c>
      <c r="I341" s="7"/>
      <c r="J341" s="32" t="s">
        <v>778</v>
      </c>
      <c r="K341" s="33" t="s">
        <v>779</v>
      </c>
      <c r="L341" s="17" t="b">
        <f>IF(OR(COUNTIF('クラス'!$A$1:$A$1267,$B341)&gt;0,$B341="",$M341=""),"",True)</f>
        <v>1</v>
      </c>
      <c r="M341" s="1" t="str">
        <f t="shared" si="9"/>
        <v>存在しない</v>
      </c>
      <c r="N341" s="1"/>
      <c r="O341" s="1"/>
      <c r="P341" s="11"/>
      <c r="Q341" s="11"/>
      <c r="R341" s="11"/>
      <c r="S341" s="11"/>
      <c r="T341" s="1"/>
      <c r="U341" s="1"/>
      <c r="V341" s="1"/>
      <c r="W341" s="1"/>
      <c r="X341" s="1"/>
      <c r="Y341" s="1"/>
      <c r="Z341" s="1"/>
    </row>
    <row r="342" ht="18.0" customHeight="1" outlineLevel="1">
      <c r="A342" s="26"/>
      <c r="B342" s="24"/>
      <c r="C342" s="26" t="s">
        <v>780</v>
      </c>
      <c r="D342" s="1"/>
      <c r="E342" s="14"/>
      <c r="F342" s="15"/>
      <c r="G342" s="30"/>
      <c r="H342" s="11"/>
      <c r="I342" s="7"/>
      <c r="J342" s="7"/>
      <c r="K342" s="17"/>
      <c r="L342" s="17" t="str">
        <f>IF(OR(COUNTIF('クラス'!$A$1:$A$1267,$B342)&gt;0,$B342="",$M342=""),"",True)</f>
        <v/>
      </c>
      <c r="M342" s="1" t="str">
        <f t="shared" si="9"/>
        <v>存在しない</v>
      </c>
      <c r="N342" s="1"/>
      <c r="O342" s="1"/>
      <c r="P342" s="11"/>
      <c r="Q342" s="11"/>
      <c r="R342" s="11"/>
      <c r="S342" s="11"/>
      <c r="T342" s="1"/>
      <c r="U342" s="1"/>
      <c r="V342" s="1"/>
      <c r="W342" s="1"/>
      <c r="X342" s="1"/>
      <c r="Y342" s="1"/>
      <c r="Z342" s="1"/>
    </row>
    <row r="343" ht="18.0" customHeight="1" outlineLevel="2">
      <c r="A343" s="26">
        <v>1.0</v>
      </c>
      <c r="B343" s="28" t="s">
        <v>781</v>
      </c>
      <c r="C343" s="26" t="s">
        <v>782</v>
      </c>
      <c r="D343" s="26" t="s">
        <v>783</v>
      </c>
      <c r="E343" s="29" t="s">
        <v>33</v>
      </c>
      <c r="F343" s="15"/>
      <c r="G343" s="30">
        <v>60.0</v>
      </c>
      <c r="H343" s="31" t="s">
        <v>784</v>
      </c>
      <c r="I343" s="7"/>
      <c r="J343" s="7"/>
      <c r="K343" s="17"/>
      <c r="L343" s="17" t="b">
        <f>IF(OR(COUNTIF('クラス'!$A$1:$A$1267,$B343)&gt;0,$B343="",$M343=""),"",True)</f>
        <v>1</v>
      </c>
      <c r="M343" s="1" t="str">
        <f t="shared" si="9"/>
        <v>存在しない</v>
      </c>
      <c r="N343" s="1"/>
      <c r="O343" s="1"/>
      <c r="P343" s="11"/>
      <c r="Q343" s="11"/>
      <c r="R343" s="11"/>
      <c r="S343" s="11"/>
      <c r="T343" s="1"/>
      <c r="U343" s="1"/>
      <c r="V343" s="1"/>
      <c r="W343" s="1"/>
      <c r="X343" s="1"/>
      <c r="Y343" s="1"/>
      <c r="Z343" s="1"/>
    </row>
    <row r="344" ht="18.0" customHeight="1" outlineLevel="2">
      <c r="A344" s="26">
        <v>2.0</v>
      </c>
      <c r="B344" s="28" t="s">
        <v>785</v>
      </c>
      <c r="C344" s="26" t="s">
        <v>786</v>
      </c>
      <c r="D344" s="26" t="s">
        <v>783</v>
      </c>
      <c r="E344" s="29" t="s">
        <v>33</v>
      </c>
      <c r="F344" s="15"/>
      <c r="G344" s="30">
        <v>60.0</v>
      </c>
      <c r="H344" s="11"/>
      <c r="I344" s="7"/>
      <c r="J344" s="32" t="s">
        <v>787</v>
      </c>
      <c r="K344" s="33" t="s">
        <v>238</v>
      </c>
      <c r="L344" s="17" t="b">
        <f>IF(OR(COUNTIF('クラス'!$A$1:$A$1267,$B344)&gt;0,$B344="",$M344=""),"",True)</f>
        <v>1</v>
      </c>
      <c r="M344" s="1" t="str">
        <f t="shared" si="9"/>
        <v>存在しない</v>
      </c>
      <c r="N344" s="1"/>
      <c r="O344" s="1"/>
      <c r="P344" s="11"/>
      <c r="Q344" s="11"/>
      <c r="R344" s="11"/>
      <c r="S344" s="11"/>
      <c r="T344" s="1"/>
      <c r="U344" s="1"/>
      <c r="V344" s="1"/>
      <c r="W344" s="1"/>
      <c r="X344" s="1"/>
      <c r="Y344" s="1"/>
      <c r="Z344" s="1"/>
    </row>
    <row r="345" ht="18.0" customHeight="1" outlineLevel="2">
      <c r="A345" s="26">
        <v>2.0</v>
      </c>
      <c r="B345" s="28" t="s">
        <v>788</v>
      </c>
      <c r="C345" s="26" t="s">
        <v>789</v>
      </c>
      <c r="D345" s="26" t="s">
        <v>783</v>
      </c>
      <c r="E345" s="29" t="s">
        <v>33</v>
      </c>
      <c r="F345" s="15"/>
      <c r="G345" s="30">
        <v>60.0</v>
      </c>
      <c r="H345" s="31" t="s">
        <v>790</v>
      </c>
      <c r="I345" s="7"/>
      <c r="J345" s="7"/>
      <c r="K345" s="33" t="s">
        <v>255</v>
      </c>
      <c r="L345" s="17" t="b">
        <f>IF(OR(COUNTIF('クラス'!$A$1:$A$1267,$B345)&gt;0,$B345="",$M345=""),"",True)</f>
        <v>1</v>
      </c>
      <c r="M345" s="1" t="str">
        <f t="shared" si="9"/>
        <v>存在しない</v>
      </c>
      <c r="N345" s="1"/>
      <c r="O345" s="1"/>
      <c r="P345" s="11"/>
      <c r="Q345" s="11"/>
      <c r="R345" s="11"/>
      <c r="S345" s="11"/>
      <c r="T345" s="1"/>
      <c r="U345" s="1"/>
      <c r="V345" s="1"/>
      <c r="W345" s="1"/>
      <c r="X345" s="1"/>
      <c r="Y345" s="1"/>
      <c r="Z345" s="1"/>
    </row>
    <row r="346" ht="18.0" customHeight="1" outlineLevel="2">
      <c r="A346" s="26">
        <v>3.0</v>
      </c>
      <c r="B346" s="28" t="s">
        <v>791</v>
      </c>
      <c r="C346" s="26" t="s">
        <v>792</v>
      </c>
      <c r="D346" s="26" t="s">
        <v>783</v>
      </c>
      <c r="E346" s="29" t="s">
        <v>33</v>
      </c>
      <c r="F346" s="15"/>
      <c r="G346" s="30">
        <v>60.0</v>
      </c>
      <c r="H346" s="11"/>
      <c r="I346" s="7"/>
      <c r="J346" s="32" t="s">
        <v>793</v>
      </c>
      <c r="K346" s="33" t="s">
        <v>238</v>
      </c>
      <c r="L346" s="17" t="b">
        <f>IF(OR(COUNTIF('クラス'!$A$1:$A$1267,$B346)&gt;0,$B346="",$M346=""),"",True)</f>
        <v>1</v>
      </c>
      <c r="M346" s="1" t="str">
        <f t="shared" si="9"/>
        <v>存在しない</v>
      </c>
      <c r="N346" s="1"/>
      <c r="O346" s="1"/>
      <c r="P346" s="11"/>
      <c r="Q346" s="11"/>
      <c r="R346" s="11"/>
      <c r="S346" s="11"/>
      <c r="T346" s="1"/>
      <c r="U346" s="1"/>
      <c r="V346" s="1"/>
      <c r="W346" s="1"/>
      <c r="X346" s="1"/>
      <c r="Y346" s="1"/>
      <c r="Z346" s="1"/>
    </row>
    <row r="347" ht="18.0" customHeight="1" outlineLevel="2">
      <c r="A347" s="26">
        <v>3.0</v>
      </c>
      <c r="B347" s="28" t="s">
        <v>794</v>
      </c>
      <c r="C347" s="26" t="s">
        <v>795</v>
      </c>
      <c r="D347" s="26" t="s">
        <v>783</v>
      </c>
      <c r="E347" s="29" t="s">
        <v>33</v>
      </c>
      <c r="F347" s="15"/>
      <c r="G347" s="30">
        <v>60.0</v>
      </c>
      <c r="H347" s="11"/>
      <c r="I347" s="7"/>
      <c r="J347" s="32" t="s">
        <v>796</v>
      </c>
      <c r="K347" s="33" t="s">
        <v>238</v>
      </c>
      <c r="L347" s="17" t="b">
        <f>IF(OR(COUNTIF('クラス'!$A$1:$A$1267,$B347)&gt;0,$B347="",$M347=""),"",True)</f>
        <v>1</v>
      </c>
      <c r="M347" s="1" t="str">
        <f t="shared" si="9"/>
        <v>存在しない</v>
      </c>
      <c r="N347" s="1"/>
      <c r="O347" s="1"/>
      <c r="P347" s="11"/>
      <c r="Q347" s="11"/>
      <c r="R347" s="11"/>
      <c r="S347" s="11"/>
      <c r="T347" s="1"/>
      <c r="U347" s="1"/>
      <c r="V347" s="1"/>
      <c r="W347" s="1"/>
      <c r="X347" s="1"/>
      <c r="Y347" s="1"/>
      <c r="Z347" s="1"/>
    </row>
    <row r="348" ht="18.0" customHeight="1" outlineLevel="2">
      <c r="A348" s="26">
        <v>3.0</v>
      </c>
      <c r="B348" s="28" t="s">
        <v>797</v>
      </c>
      <c r="C348" s="26" t="s">
        <v>798</v>
      </c>
      <c r="D348" s="26" t="s">
        <v>783</v>
      </c>
      <c r="E348" s="29" t="s">
        <v>33</v>
      </c>
      <c r="F348" s="15"/>
      <c r="G348" s="30">
        <v>60.0</v>
      </c>
      <c r="H348" s="31" t="s">
        <v>799</v>
      </c>
      <c r="I348" s="7"/>
      <c r="J348" s="7"/>
      <c r="K348" s="17"/>
      <c r="L348" s="17" t="b">
        <f>IF(OR(COUNTIF('クラス'!$A$1:$A$1267,$B348)&gt;0,$B348="",$M348=""),"",True)</f>
        <v>1</v>
      </c>
      <c r="M348" s="1" t="str">
        <f t="shared" si="9"/>
        <v>存在しない</v>
      </c>
      <c r="N348" s="1"/>
      <c r="O348" s="1"/>
      <c r="P348" s="11"/>
      <c r="Q348" s="11"/>
      <c r="R348" s="11"/>
      <c r="S348" s="11"/>
      <c r="T348" s="1"/>
      <c r="U348" s="1"/>
      <c r="V348" s="1"/>
      <c r="W348" s="1"/>
      <c r="X348" s="1"/>
      <c r="Y348" s="1"/>
      <c r="Z348" s="1"/>
    </row>
    <row r="349" ht="18.0" customHeight="1" outlineLevel="2">
      <c r="A349" s="26">
        <v>3.0</v>
      </c>
      <c r="B349" s="28" t="s">
        <v>800</v>
      </c>
      <c r="C349" s="26" t="s">
        <v>801</v>
      </c>
      <c r="D349" s="26" t="s">
        <v>783</v>
      </c>
      <c r="E349" s="29" t="s">
        <v>33</v>
      </c>
      <c r="F349" s="15"/>
      <c r="G349" s="30">
        <v>60.0</v>
      </c>
      <c r="H349" s="22" t="s">
        <v>802</v>
      </c>
      <c r="I349" s="7"/>
      <c r="J349" s="32" t="s">
        <v>803</v>
      </c>
      <c r="K349" s="33" t="s">
        <v>490</v>
      </c>
      <c r="L349" s="17" t="b">
        <f>IF(OR(COUNTIF('クラス'!$A$1:$A$1267,$B349)&gt;0,$B349="",$M349=""),"",True)</f>
        <v>1</v>
      </c>
      <c r="M349" s="1" t="str">
        <f t="shared" si="9"/>
        <v>存在しない</v>
      </c>
      <c r="N349" s="1"/>
      <c r="O349" s="1"/>
      <c r="P349" s="11"/>
      <c r="Q349" s="11"/>
      <c r="R349" s="11"/>
      <c r="S349" s="11"/>
      <c r="T349" s="1"/>
      <c r="U349" s="1"/>
      <c r="V349" s="1"/>
      <c r="W349" s="1"/>
      <c r="X349" s="1"/>
      <c r="Y349" s="1"/>
      <c r="Z349" s="1"/>
    </row>
    <row r="350" ht="18.0" customHeight="1" outlineLevel="2">
      <c r="A350" s="26">
        <v>3.0</v>
      </c>
      <c r="B350" s="28" t="s">
        <v>804</v>
      </c>
      <c r="C350" s="26" t="s">
        <v>805</v>
      </c>
      <c r="D350" s="26" t="s">
        <v>783</v>
      </c>
      <c r="E350" s="29" t="s">
        <v>33</v>
      </c>
      <c r="F350" s="15"/>
      <c r="G350" s="30">
        <v>60.0</v>
      </c>
      <c r="H350" s="22" t="s">
        <v>806</v>
      </c>
      <c r="I350" s="7"/>
      <c r="J350" s="32" t="s">
        <v>807</v>
      </c>
      <c r="K350" s="33" t="s">
        <v>490</v>
      </c>
      <c r="L350" s="17" t="b">
        <f>IF(OR(COUNTIF('クラス'!$A$1:$A$1267,$B350)&gt;0,$B350="",$M350=""),"",True)</f>
        <v>1</v>
      </c>
      <c r="M350" s="1" t="str">
        <f t="shared" si="9"/>
        <v>存在しない</v>
      </c>
      <c r="N350" s="1"/>
      <c r="O350" s="1"/>
      <c r="P350" s="11"/>
      <c r="Q350" s="11"/>
      <c r="R350" s="11"/>
      <c r="S350" s="11"/>
      <c r="T350" s="1"/>
      <c r="U350" s="1"/>
      <c r="V350" s="1"/>
      <c r="W350" s="1"/>
      <c r="X350" s="1"/>
      <c r="Y350" s="1"/>
      <c r="Z350" s="1"/>
    </row>
    <row r="351" ht="18.0" customHeight="1" outlineLevel="2">
      <c r="A351" s="26">
        <v>4.0</v>
      </c>
      <c r="B351" s="28" t="s">
        <v>808</v>
      </c>
      <c r="C351" s="26" t="s">
        <v>809</v>
      </c>
      <c r="D351" s="26" t="s">
        <v>783</v>
      </c>
      <c r="E351" s="29" t="s">
        <v>33</v>
      </c>
      <c r="F351" s="15"/>
      <c r="G351" s="30">
        <v>60.0</v>
      </c>
      <c r="H351" s="11"/>
      <c r="I351" s="7"/>
      <c r="J351" s="32" t="s">
        <v>810</v>
      </c>
      <c r="K351" s="33" t="s">
        <v>418</v>
      </c>
      <c r="L351" s="17" t="b">
        <f>IF(OR(COUNTIF('クラス'!$A$1:$A$1267,$B351)&gt;0,$B351="",$M351=""),"",True)</f>
        <v>1</v>
      </c>
      <c r="M351" s="1" t="str">
        <f t="shared" si="9"/>
        <v>存在しない</v>
      </c>
      <c r="N351" s="1"/>
      <c r="O351" s="1"/>
      <c r="P351" s="11"/>
      <c r="Q351" s="11"/>
      <c r="R351" s="11"/>
      <c r="S351" s="11"/>
      <c r="T351" s="1"/>
      <c r="U351" s="1"/>
      <c r="V351" s="1"/>
      <c r="W351" s="1"/>
      <c r="X351" s="1"/>
      <c r="Y351" s="1"/>
      <c r="Z351" s="1"/>
    </row>
    <row r="352" ht="18.0" customHeight="1" outlineLevel="2">
      <c r="A352" s="26">
        <v>4.0</v>
      </c>
      <c r="B352" s="28" t="s">
        <v>811</v>
      </c>
      <c r="C352" s="26" t="s">
        <v>812</v>
      </c>
      <c r="D352" s="26" t="s">
        <v>783</v>
      </c>
      <c r="E352" s="29" t="s">
        <v>33</v>
      </c>
      <c r="F352" s="15"/>
      <c r="G352" s="30">
        <v>60.0</v>
      </c>
      <c r="H352" s="11"/>
      <c r="I352" s="7"/>
      <c r="J352" s="32" t="s">
        <v>813</v>
      </c>
      <c r="K352" s="33" t="s">
        <v>418</v>
      </c>
      <c r="L352" s="17" t="b">
        <f>IF(OR(COUNTIF('クラス'!$A$1:$A$1267,$B352)&gt;0,$B352="",$M352=""),"",True)</f>
        <v>1</v>
      </c>
      <c r="M352" s="1" t="str">
        <f t="shared" si="9"/>
        <v>存在しない</v>
      </c>
      <c r="N352" s="1"/>
      <c r="O352" s="1"/>
      <c r="P352" s="11"/>
      <c r="Q352" s="11"/>
      <c r="R352" s="11"/>
      <c r="S352" s="11"/>
      <c r="T352" s="1"/>
      <c r="U352" s="1"/>
      <c r="V352" s="1"/>
      <c r="W352" s="1"/>
      <c r="X352" s="1"/>
      <c r="Y352" s="1"/>
      <c r="Z352" s="1"/>
    </row>
    <row r="353" ht="18.0" customHeight="1" outlineLevel="2">
      <c r="A353" s="26">
        <v>4.0</v>
      </c>
      <c r="B353" s="28" t="s">
        <v>814</v>
      </c>
      <c r="C353" s="26" t="s">
        <v>815</v>
      </c>
      <c r="D353" s="26" t="s">
        <v>783</v>
      </c>
      <c r="E353" s="29" t="s">
        <v>33</v>
      </c>
      <c r="F353" s="15"/>
      <c r="G353" s="30">
        <v>60.0</v>
      </c>
      <c r="H353" s="11"/>
      <c r="I353" s="7"/>
      <c r="J353" s="32" t="s">
        <v>816</v>
      </c>
      <c r="K353" s="33" t="s">
        <v>238</v>
      </c>
      <c r="L353" s="17" t="b">
        <f>IF(OR(COUNTIF('クラス'!$A$1:$A$1267,$B353)&gt;0,$B353="",$M353=""),"",True)</f>
        <v>1</v>
      </c>
      <c r="M353" s="1" t="str">
        <f t="shared" si="9"/>
        <v>存在しない</v>
      </c>
      <c r="N353" s="1"/>
      <c r="O353" s="1"/>
      <c r="P353" s="11"/>
      <c r="Q353" s="11"/>
      <c r="R353" s="11"/>
      <c r="S353" s="11"/>
      <c r="T353" s="1"/>
      <c r="U353" s="1"/>
      <c r="V353" s="1"/>
      <c r="W353" s="1"/>
      <c r="X353" s="1"/>
      <c r="Y353" s="1"/>
      <c r="Z353" s="1"/>
    </row>
    <row r="354" ht="18.0" customHeight="1" outlineLevel="2">
      <c r="A354" s="26">
        <v>4.0</v>
      </c>
      <c r="B354" s="28" t="s">
        <v>817</v>
      </c>
      <c r="C354" s="26" t="s">
        <v>818</v>
      </c>
      <c r="D354" s="26" t="s">
        <v>783</v>
      </c>
      <c r="E354" s="29" t="s">
        <v>33</v>
      </c>
      <c r="F354" s="15"/>
      <c r="G354" s="30">
        <v>60.0</v>
      </c>
      <c r="H354" s="31" t="s">
        <v>819</v>
      </c>
      <c r="I354" s="7"/>
      <c r="J354" s="32" t="s">
        <v>820</v>
      </c>
      <c r="K354" s="17"/>
      <c r="L354" s="17" t="b">
        <f>IF(OR(COUNTIF('クラス'!$A$1:$A$1267,$B354)&gt;0,$B354="",$M354=""),"",True)</f>
        <v>1</v>
      </c>
      <c r="M354" s="1" t="str">
        <f t="shared" si="9"/>
        <v>存在しない</v>
      </c>
      <c r="N354" s="1"/>
      <c r="O354" s="1"/>
      <c r="P354" s="11"/>
      <c r="Q354" s="11"/>
      <c r="R354" s="11"/>
      <c r="S354" s="11"/>
      <c r="T354" s="1"/>
      <c r="U354" s="1"/>
      <c r="V354" s="1"/>
      <c r="W354" s="1"/>
      <c r="X354" s="1"/>
      <c r="Y354" s="1"/>
      <c r="Z354" s="1"/>
    </row>
    <row r="355" ht="18.0" customHeight="1" outlineLevel="2">
      <c r="A355" s="26">
        <v>5.0</v>
      </c>
      <c r="B355" s="28" t="s">
        <v>821</v>
      </c>
      <c r="C355" s="26" t="s">
        <v>822</v>
      </c>
      <c r="D355" s="26" t="s">
        <v>783</v>
      </c>
      <c r="E355" s="29" t="s">
        <v>33</v>
      </c>
      <c r="F355" s="15"/>
      <c r="G355" s="30">
        <v>60.0</v>
      </c>
      <c r="H355" s="11"/>
      <c r="I355" s="7"/>
      <c r="J355" s="32" t="s">
        <v>823</v>
      </c>
      <c r="K355" s="33" t="s">
        <v>238</v>
      </c>
      <c r="L355" s="17" t="b">
        <f>IF(OR(COUNTIF('クラス'!$A$1:$A$1267,$B355)&gt;0,$B355="",$M355=""),"",True)</f>
        <v>1</v>
      </c>
      <c r="M355" s="1" t="str">
        <f t="shared" si="9"/>
        <v>存在しない</v>
      </c>
      <c r="N355" s="1"/>
      <c r="O355" s="1"/>
      <c r="P355" s="11"/>
      <c r="Q355" s="11"/>
      <c r="R355" s="11"/>
      <c r="S355" s="11"/>
      <c r="T355" s="1"/>
      <c r="U355" s="1"/>
      <c r="V355" s="1"/>
      <c r="W355" s="1"/>
      <c r="X355" s="1"/>
      <c r="Y355" s="1"/>
      <c r="Z355" s="1"/>
    </row>
    <row r="356" ht="18.0" customHeight="1" outlineLevel="2">
      <c r="A356" s="26">
        <v>5.0</v>
      </c>
      <c r="B356" s="28" t="s">
        <v>824</v>
      </c>
      <c r="C356" s="26" t="s">
        <v>825</v>
      </c>
      <c r="D356" s="26" t="s">
        <v>783</v>
      </c>
      <c r="E356" s="29" t="s">
        <v>33</v>
      </c>
      <c r="F356" s="15"/>
      <c r="G356" s="30">
        <v>60.0</v>
      </c>
      <c r="H356" s="11"/>
      <c r="I356" s="7"/>
      <c r="J356" s="32" t="s">
        <v>826</v>
      </c>
      <c r="K356" s="33" t="s">
        <v>669</v>
      </c>
      <c r="L356" s="17" t="b">
        <f>IF(OR(COUNTIF('クラス'!$A$1:$A$1267,$B356)&gt;0,$B356="",$M356=""),"",True)</f>
        <v>1</v>
      </c>
      <c r="M356" s="1" t="str">
        <f t="shared" si="9"/>
        <v>存在しない</v>
      </c>
      <c r="N356" s="1"/>
      <c r="O356" s="1"/>
      <c r="P356" s="11"/>
      <c r="Q356" s="11"/>
      <c r="R356" s="11"/>
      <c r="S356" s="11"/>
      <c r="T356" s="1"/>
      <c r="U356" s="1"/>
      <c r="V356" s="1"/>
      <c r="W356" s="1"/>
      <c r="X356" s="1"/>
      <c r="Y356" s="1"/>
      <c r="Z356" s="1"/>
    </row>
    <row r="357" ht="18.0" customHeight="1" outlineLevel="2">
      <c r="A357" s="26">
        <v>5.0</v>
      </c>
      <c r="B357" s="28" t="s">
        <v>827</v>
      </c>
      <c r="C357" s="26" t="s">
        <v>828</v>
      </c>
      <c r="D357" s="26" t="s">
        <v>783</v>
      </c>
      <c r="E357" s="29" t="s">
        <v>33</v>
      </c>
      <c r="F357" s="15"/>
      <c r="G357" s="30">
        <v>60.0</v>
      </c>
      <c r="H357" s="22" t="s">
        <v>829</v>
      </c>
      <c r="I357" s="7"/>
      <c r="J357" s="7"/>
      <c r="K357" s="17"/>
      <c r="L357" s="17" t="b">
        <f>IF(OR(COUNTIF('クラス'!$A$1:$A$1267,$B357)&gt;0,$B357="",$M357=""),"",True)</f>
        <v>1</v>
      </c>
      <c r="M357" s="1" t="str">
        <f t="shared" si="9"/>
        <v>存在しない</v>
      </c>
      <c r="N357" s="1"/>
      <c r="O357" s="1"/>
      <c r="P357" s="11"/>
      <c r="Q357" s="11"/>
      <c r="R357" s="11"/>
      <c r="S357" s="11"/>
      <c r="T357" s="1"/>
      <c r="U357" s="1"/>
      <c r="V357" s="1"/>
      <c r="W357" s="1"/>
      <c r="X357" s="1"/>
      <c r="Y357" s="1"/>
      <c r="Z357" s="1"/>
    </row>
    <row r="358" ht="18.0" customHeight="1" outlineLevel="2">
      <c r="A358" s="26">
        <v>6.0</v>
      </c>
      <c r="B358" s="28" t="s">
        <v>830</v>
      </c>
      <c r="C358" s="26" t="s">
        <v>831</v>
      </c>
      <c r="D358" s="26" t="s">
        <v>783</v>
      </c>
      <c r="E358" s="29" t="s">
        <v>33</v>
      </c>
      <c r="F358" s="15"/>
      <c r="G358" s="30">
        <v>60.0</v>
      </c>
      <c r="H358" s="11"/>
      <c r="I358" s="7"/>
      <c r="J358" s="32" t="s">
        <v>832</v>
      </c>
      <c r="K358" s="33" t="s">
        <v>490</v>
      </c>
      <c r="L358" s="17" t="b">
        <f>IF(OR(COUNTIF('クラス'!$A$1:$A$1267,$B358)&gt;0,$B358="",$M358=""),"",True)</f>
        <v>1</v>
      </c>
      <c r="M358" s="1" t="str">
        <f t="shared" si="9"/>
        <v>存在しない</v>
      </c>
      <c r="N358" s="1"/>
      <c r="O358" s="1"/>
      <c r="P358" s="11"/>
      <c r="Q358" s="11"/>
      <c r="R358" s="11"/>
      <c r="S358" s="11"/>
      <c r="T358" s="1"/>
      <c r="U358" s="1"/>
      <c r="V358" s="1"/>
      <c r="W358" s="1"/>
      <c r="X358" s="1"/>
      <c r="Y358" s="1"/>
      <c r="Z358" s="1"/>
    </row>
    <row r="359" ht="18.0" customHeight="1" outlineLevel="2">
      <c r="A359" s="26">
        <v>6.0</v>
      </c>
      <c r="B359" s="28" t="s">
        <v>833</v>
      </c>
      <c r="C359" s="26" t="s">
        <v>834</v>
      </c>
      <c r="D359" s="26" t="s">
        <v>783</v>
      </c>
      <c r="E359" s="29" t="s">
        <v>33</v>
      </c>
      <c r="F359" s="15"/>
      <c r="G359" s="30">
        <v>60.0</v>
      </c>
      <c r="H359" s="11"/>
      <c r="I359" s="7"/>
      <c r="J359" s="32" t="s">
        <v>835</v>
      </c>
      <c r="K359" s="33" t="s">
        <v>255</v>
      </c>
      <c r="L359" s="17" t="b">
        <f>IF(OR(COUNTIF('クラス'!$A$1:$A$1267,$B359)&gt;0,$B359="",$M359=""),"",True)</f>
        <v>1</v>
      </c>
      <c r="M359" s="1" t="str">
        <f t="shared" si="9"/>
        <v>存在しない</v>
      </c>
      <c r="N359" s="1"/>
      <c r="O359" s="1"/>
      <c r="P359" s="11"/>
      <c r="Q359" s="11"/>
      <c r="R359" s="11"/>
      <c r="S359" s="11"/>
      <c r="T359" s="1"/>
      <c r="U359" s="1"/>
      <c r="V359" s="1"/>
      <c r="W359" s="1"/>
      <c r="X359" s="1"/>
      <c r="Y359" s="1"/>
      <c r="Z359" s="1"/>
    </row>
    <row r="360" ht="18.0" customHeight="1" outlineLevel="2">
      <c r="A360" s="26">
        <v>6.0</v>
      </c>
      <c r="B360" s="28" t="s">
        <v>836</v>
      </c>
      <c r="C360" s="26" t="s">
        <v>837</v>
      </c>
      <c r="D360" s="26" t="s">
        <v>783</v>
      </c>
      <c r="E360" s="29" t="s">
        <v>33</v>
      </c>
      <c r="F360" s="15"/>
      <c r="G360" s="30">
        <v>60.0</v>
      </c>
      <c r="H360" s="22" t="s">
        <v>838</v>
      </c>
      <c r="I360" s="7"/>
      <c r="J360" s="7"/>
      <c r="K360" s="17"/>
      <c r="L360" s="17" t="b">
        <f>IF(OR(COUNTIF('クラス'!$A$1:$A$1267,$B360)&gt;0,$B360="",$M360=""),"",True)</f>
        <v>1</v>
      </c>
      <c r="M360" s="1" t="str">
        <f t="shared" si="9"/>
        <v>存在しない</v>
      </c>
      <c r="N360" s="1"/>
      <c r="O360" s="1"/>
      <c r="P360" s="11"/>
      <c r="Q360" s="11"/>
      <c r="R360" s="11"/>
      <c r="S360" s="11"/>
      <c r="T360" s="1"/>
      <c r="U360" s="1"/>
      <c r="V360" s="1"/>
      <c r="W360" s="1"/>
      <c r="X360" s="1"/>
      <c r="Y360" s="1"/>
      <c r="Z360" s="1"/>
    </row>
    <row r="361" ht="18.0" customHeight="1" outlineLevel="2">
      <c r="A361" s="26">
        <v>6.0</v>
      </c>
      <c r="B361" s="28" t="s">
        <v>839</v>
      </c>
      <c r="C361" s="26" t="s">
        <v>840</v>
      </c>
      <c r="D361" s="26" t="s">
        <v>783</v>
      </c>
      <c r="E361" s="29" t="s">
        <v>33</v>
      </c>
      <c r="F361" s="15"/>
      <c r="G361" s="30">
        <v>60.0</v>
      </c>
      <c r="H361" s="22" t="s">
        <v>841</v>
      </c>
      <c r="I361" s="7"/>
      <c r="J361" s="7"/>
      <c r="K361" s="17"/>
      <c r="L361" s="17" t="b">
        <f>IF(OR(COUNTIF('クラス'!$A$1:$A$1267,$B361)&gt;0,$B361="",$M361=""),"",True)</f>
        <v>1</v>
      </c>
      <c r="M361" s="1" t="str">
        <f t="shared" si="9"/>
        <v>存在しない</v>
      </c>
      <c r="N361" s="1"/>
      <c r="O361" s="1"/>
      <c r="P361" s="11"/>
      <c r="Q361" s="11"/>
      <c r="R361" s="11"/>
      <c r="S361" s="11"/>
      <c r="T361" s="1"/>
      <c r="U361" s="1"/>
      <c r="V361" s="1"/>
      <c r="W361" s="1"/>
      <c r="X361" s="1"/>
      <c r="Y361" s="1"/>
      <c r="Z361" s="1"/>
    </row>
    <row r="362" ht="18.0" customHeight="1" outlineLevel="2">
      <c r="A362" s="26">
        <v>7.0</v>
      </c>
      <c r="B362" s="28" t="s">
        <v>842</v>
      </c>
      <c r="C362" s="26" t="s">
        <v>843</v>
      </c>
      <c r="D362" s="26" t="s">
        <v>783</v>
      </c>
      <c r="E362" s="29" t="s">
        <v>33</v>
      </c>
      <c r="F362" s="15"/>
      <c r="G362" s="30">
        <v>60.0</v>
      </c>
      <c r="H362" s="11"/>
      <c r="I362" s="7"/>
      <c r="J362" s="32" t="s">
        <v>844</v>
      </c>
      <c r="K362" s="33" t="s">
        <v>255</v>
      </c>
      <c r="L362" s="17" t="b">
        <f>IF(OR(COUNTIF('クラス'!$A$1:$A$1267,$B362)&gt;0,$B362="",$M362=""),"",True)</f>
        <v>1</v>
      </c>
      <c r="M362" s="1" t="str">
        <f t="shared" si="9"/>
        <v>存在しない</v>
      </c>
      <c r="N362" s="1"/>
      <c r="O362" s="1"/>
      <c r="P362" s="11"/>
      <c r="Q362" s="11"/>
      <c r="R362" s="11"/>
      <c r="S362" s="11"/>
      <c r="T362" s="1"/>
      <c r="U362" s="1"/>
      <c r="V362" s="1"/>
      <c r="W362" s="1"/>
      <c r="X362" s="1"/>
      <c r="Y362" s="1"/>
      <c r="Z362" s="1"/>
    </row>
    <row r="363" ht="18.0" customHeight="1" outlineLevel="2">
      <c r="A363" s="26">
        <v>7.0</v>
      </c>
      <c r="B363" s="28" t="s">
        <v>845</v>
      </c>
      <c r="C363" s="1"/>
      <c r="D363" s="1"/>
      <c r="E363" s="14"/>
      <c r="F363" s="15"/>
      <c r="G363" s="30">
        <v>60.0</v>
      </c>
      <c r="H363" s="11"/>
      <c r="I363" s="7"/>
      <c r="J363" s="7"/>
      <c r="K363" s="17"/>
      <c r="L363" s="17" t="b">
        <f>IF(OR(COUNTIF('クラス'!$A$1:$A$1267,$B363)&gt;0,$B363="",$M363=""),"",True)</f>
        <v>1</v>
      </c>
      <c r="M363" s="1" t="str">
        <f t="shared" si="9"/>
        <v>存在しない</v>
      </c>
      <c r="N363" s="1"/>
      <c r="O363" s="1"/>
      <c r="P363" s="11"/>
      <c r="Q363" s="11"/>
      <c r="R363" s="11"/>
      <c r="S363" s="11"/>
      <c r="T363" s="1"/>
      <c r="U363" s="1"/>
      <c r="V363" s="1"/>
      <c r="W363" s="1"/>
      <c r="X363" s="1"/>
      <c r="Y363" s="1"/>
      <c r="Z363" s="1"/>
    </row>
    <row r="364" ht="18.0" customHeight="1" outlineLevel="1">
      <c r="A364" s="26"/>
      <c r="B364" s="24"/>
      <c r="C364" s="26" t="s">
        <v>846</v>
      </c>
      <c r="D364" s="1"/>
      <c r="E364" s="14"/>
      <c r="F364" s="15"/>
      <c r="G364" s="30"/>
      <c r="H364" s="11"/>
      <c r="I364" s="7"/>
      <c r="J364" s="7"/>
      <c r="K364" s="17"/>
      <c r="L364" s="17" t="str">
        <f>IF(OR(COUNTIF('クラス'!$A$1:$A$1267,$B364)&gt;0,$B364="",$M364=""),"",True)</f>
        <v/>
      </c>
      <c r="M364" s="1" t="str">
        <f t="shared" si="9"/>
        <v>存在しない</v>
      </c>
      <c r="N364" s="1"/>
      <c r="O364" s="1"/>
      <c r="P364" s="11"/>
      <c r="Q364" s="11"/>
      <c r="R364" s="11"/>
      <c r="S364" s="11"/>
      <c r="T364" s="1"/>
      <c r="U364" s="1"/>
      <c r="V364" s="1"/>
      <c r="W364" s="1"/>
      <c r="X364" s="1"/>
      <c r="Y364" s="1"/>
      <c r="Z364" s="1"/>
    </row>
    <row r="365" ht="18.0" customHeight="1" outlineLevel="2">
      <c r="A365" s="26">
        <v>1.0</v>
      </c>
      <c r="B365" s="28" t="s">
        <v>847</v>
      </c>
      <c r="C365" s="26" t="s">
        <v>848</v>
      </c>
      <c r="D365" s="26" t="s">
        <v>849</v>
      </c>
      <c r="E365" s="29" t="s">
        <v>33</v>
      </c>
      <c r="F365" s="15"/>
      <c r="G365" s="30">
        <v>60.0</v>
      </c>
      <c r="H365" s="22" t="s">
        <v>850</v>
      </c>
      <c r="I365" s="7"/>
      <c r="J365" s="7"/>
      <c r="K365" s="17"/>
      <c r="L365" s="17" t="b">
        <f>IF(OR(COUNTIF('クラス'!$A$1:$A$1267,$B365)&gt;0,$B365="",$M365=""),"",True)</f>
        <v>1</v>
      </c>
      <c r="M365" s="1" t="str">
        <f t="shared" si="9"/>
        <v>存在しない</v>
      </c>
      <c r="N365" s="1"/>
      <c r="O365" s="1"/>
      <c r="P365" s="11"/>
      <c r="Q365" s="11"/>
      <c r="R365" s="11"/>
      <c r="S365" s="11"/>
      <c r="T365" s="1"/>
      <c r="U365" s="1"/>
      <c r="V365" s="1"/>
      <c r="W365" s="1"/>
      <c r="X365" s="1"/>
      <c r="Y365" s="1"/>
      <c r="Z365" s="1"/>
    </row>
    <row r="366" ht="18.0" customHeight="1" outlineLevel="2">
      <c r="A366" s="26">
        <v>1.0</v>
      </c>
      <c r="B366" s="28" t="s">
        <v>851</v>
      </c>
      <c r="C366" s="26" t="s">
        <v>852</v>
      </c>
      <c r="D366" s="26" t="s">
        <v>849</v>
      </c>
      <c r="E366" s="29" t="s">
        <v>33</v>
      </c>
      <c r="F366" s="15"/>
      <c r="G366" s="30">
        <v>60.0</v>
      </c>
      <c r="H366" s="22" t="s">
        <v>853</v>
      </c>
      <c r="I366" s="7"/>
      <c r="J366" s="7"/>
      <c r="K366" s="17"/>
      <c r="L366" s="17" t="b">
        <f>IF(OR(COUNTIF('クラス'!$A$1:$A$1267,$B366)&gt;0,$B366="",$M366=""),"",True)</f>
        <v>1</v>
      </c>
      <c r="M366" s="1" t="str">
        <f t="shared" si="9"/>
        <v>存在しない</v>
      </c>
      <c r="N366" s="1"/>
      <c r="O366" s="1"/>
      <c r="P366" s="11"/>
      <c r="Q366" s="11"/>
      <c r="R366" s="11"/>
      <c r="S366" s="11"/>
      <c r="T366" s="1"/>
      <c r="U366" s="1"/>
      <c r="V366" s="1"/>
      <c r="W366" s="1"/>
      <c r="X366" s="1"/>
      <c r="Y366" s="1"/>
      <c r="Z366" s="1"/>
    </row>
    <row r="367" ht="18.0" customHeight="1" outlineLevel="2">
      <c r="A367" s="26">
        <v>2.0</v>
      </c>
      <c r="B367" s="28" t="s">
        <v>854</v>
      </c>
      <c r="C367" s="26" t="s">
        <v>855</v>
      </c>
      <c r="D367" s="26" t="s">
        <v>849</v>
      </c>
      <c r="E367" s="29" t="s">
        <v>33</v>
      </c>
      <c r="F367" s="15"/>
      <c r="G367" s="30">
        <v>60.0</v>
      </c>
      <c r="H367" s="22" t="s">
        <v>856</v>
      </c>
      <c r="I367" s="7"/>
      <c r="J367" s="7"/>
      <c r="K367" s="17"/>
      <c r="L367" s="17" t="b">
        <f>IF(OR(COUNTIF('クラス'!$A$1:$A$1267,$B367)&gt;0,$B367="",$M367=""),"",True)</f>
        <v>1</v>
      </c>
      <c r="M367" s="1" t="str">
        <f t="shared" si="9"/>
        <v>存在しない</v>
      </c>
      <c r="N367" s="1"/>
      <c r="O367" s="1"/>
      <c r="P367" s="11"/>
      <c r="Q367" s="11"/>
      <c r="R367" s="11"/>
      <c r="S367" s="11"/>
      <c r="T367" s="1"/>
      <c r="U367" s="1"/>
      <c r="V367" s="1"/>
      <c r="W367" s="1"/>
      <c r="X367" s="1"/>
      <c r="Y367" s="1"/>
      <c r="Z367" s="1"/>
    </row>
    <row r="368" ht="18.0" customHeight="1" outlineLevel="2">
      <c r="A368" s="26">
        <v>2.0</v>
      </c>
      <c r="B368" s="28" t="s">
        <v>857</v>
      </c>
      <c r="C368" s="26" t="s">
        <v>858</v>
      </c>
      <c r="D368" s="26" t="s">
        <v>849</v>
      </c>
      <c r="E368" s="29" t="s">
        <v>33</v>
      </c>
      <c r="F368" s="15"/>
      <c r="G368" s="30">
        <v>60.0</v>
      </c>
      <c r="H368" s="22" t="s">
        <v>859</v>
      </c>
      <c r="I368" s="7"/>
      <c r="J368" s="7"/>
      <c r="K368" s="17"/>
      <c r="L368" s="17" t="b">
        <f>IF(OR(COUNTIF('クラス'!$A$1:$A$1267,$B368)&gt;0,$B368="",$M368=""),"",True)</f>
        <v>1</v>
      </c>
      <c r="M368" s="1" t="str">
        <f t="shared" si="9"/>
        <v>存在しない</v>
      </c>
      <c r="N368" s="1"/>
      <c r="O368" s="1"/>
      <c r="P368" s="11"/>
      <c r="Q368" s="11"/>
      <c r="R368" s="11"/>
      <c r="S368" s="11"/>
      <c r="T368" s="1"/>
      <c r="U368" s="1"/>
      <c r="V368" s="1"/>
      <c r="W368" s="1"/>
      <c r="X368" s="1"/>
      <c r="Y368" s="1"/>
      <c r="Z368" s="1"/>
    </row>
    <row r="369" ht="18.0" customHeight="1" outlineLevel="2">
      <c r="A369" s="26">
        <v>2.0</v>
      </c>
      <c r="B369" s="28" t="s">
        <v>860</v>
      </c>
      <c r="C369" s="26" t="s">
        <v>861</v>
      </c>
      <c r="D369" s="26" t="s">
        <v>849</v>
      </c>
      <c r="E369" s="29" t="s">
        <v>33</v>
      </c>
      <c r="F369" s="15"/>
      <c r="G369" s="30">
        <v>60.0</v>
      </c>
      <c r="H369" s="22" t="s">
        <v>862</v>
      </c>
      <c r="I369" s="7"/>
      <c r="J369" s="7"/>
      <c r="K369" s="17"/>
      <c r="L369" s="17" t="b">
        <f>IF(OR(COUNTIF('クラス'!$A$1:$A$1267,$B369)&gt;0,$B369="",$M369=""),"",True)</f>
        <v>1</v>
      </c>
      <c r="M369" s="1" t="str">
        <f t="shared" si="9"/>
        <v>存在しない</v>
      </c>
      <c r="N369" s="1"/>
      <c r="O369" s="1"/>
      <c r="P369" s="11"/>
      <c r="Q369" s="11"/>
      <c r="R369" s="11"/>
      <c r="S369" s="11"/>
      <c r="T369" s="1"/>
      <c r="U369" s="1"/>
      <c r="V369" s="1"/>
      <c r="W369" s="1"/>
      <c r="X369" s="1"/>
      <c r="Y369" s="1"/>
      <c r="Z369" s="1"/>
    </row>
    <row r="370" ht="18.0" customHeight="1" outlineLevel="2">
      <c r="A370" s="26">
        <v>3.0</v>
      </c>
      <c r="B370" s="28" t="s">
        <v>863</v>
      </c>
      <c r="C370" s="26" t="s">
        <v>864</v>
      </c>
      <c r="D370" s="26" t="s">
        <v>849</v>
      </c>
      <c r="E370" s="29" t="s">
        <v>33</v>
      </c>
      <c r="F370" s="15"/>
      <c r="G370" s="30">
        <v>60.0</v>
      </c>
      <c r="H370" s="22" t="s">
        <v>865</v>
      </c>
      <c r="I370" s="7"/>
      <c r="J370" s="7"/>
      <c r="K370" s="17"/>
      <c r="L370" s="17" t="b">
        <f>IF(OR(COUNTIF('クラス'!$A$1:$A$1267,$B370)&gt;0,$B370="",$M370=""),"",True)</f>
        <v>1</v>
      </c>
      <c r="M370" s="1" t="str">
        <f t="shared" si="9"/>
        <v>存在しない</v>
      </c>
      <c r="N370" s="1"/>
      <c r="O370" s="1"/>
      <c r="P370" s="11"/>
      <c r="Q370" s="11"/>
      <c r="R370" s="11"/>
      <c r="S370" s="11"/>
      <c r="T370" s="1"/>
      <c r="U370" s="1"/>
      <c r="V370" s="1"/>
      <c r="W370" s="1"/>
      <c r="X370" s="1"/>
      <c r="Y370" s="1"/>
      <c r="Z370" s="1"/>
    </row>
    <row r="371" ht="18.0" customHeight="1" outlineLevel="2">
      <c r="A371" s="26">
        <v>3.0</v>
      </c>
      <c r="B371" s="28" t="s">
        <v>866</v>
      </c>
      <c r="C371" s="26" t="s">
        <v>867</v>
      </c>
      <c r="D371" s="26" t="s">
        <v>849</v>
      </c>
      <c r="E371" s="29" t="s">
        <v>33</v>
      </c>
      <c r="F371" s="15"/>
      <c r="G371" s="30">
        <v>60.0</v>
      </c>
      <c r="H371" s="22" t="s">
        <v>865</v>
      </c>
      <c r="I371" s="7"/>
      <c r="J371" s="7"/>
      <c r="K371" s="17"/>
      <c r="L371" s="17" t="b">
        <f>IF(OR(COUNTIF('クラス'!$A$1:$A$1267,$B371)&gt;0,$B371="",$M371=""),"",True)</f>
        <v>1</v>
      </c>
      <c r="M371" s="1" t="str">
        <f t="shared" si="9"/>
        <v>存在しない</v>
      </c>
      <c r="N371" s="1"/>
      <c r="O371" s="1"/>
      <c r="P371" s="11"/>
      <c r="Q371" s="11"/>
      <c r="R371" s="11"/>
      <c r="S371" s="11"/>
      <c r="T371" s="1"/>
      <c r="U371" s="1"/>
      <c r="V371" s="1"/>
      <c r="W371" s="1"/>
      <c r="X371" s="1"/>
      <c r="Y371" s="1"/>
      <c r="Z371" s="1"/>
    </row>
    <row r="372" ht="18.0" customHeight="1" outlineLevel="2">
      <c r="A372" s="26">
        <v>4.0</v>
      </c>
      <c r="B372" s="28" t="s">
        <v>868</v>
      </c>
      <c r="C372" s="26" t="s">
        <v>869</v>
      </c>
      <c r="D372" s="26" t="s">
        <v>849</v>
      </c>
      <c r="E372" s="29" t="s">
        <v>33</v>
      </c>
      <c r="F372" s="15"/>
      <c r="G372" s="30">
        <v>60.0</v>
      </c>
      <c r="H372" s="22" t="s">
        <v>870</v>
      </c>
      <c r="I372" s="7"/>
      <c r="J372" s="7"/>
      <c r="K372" s="17"/>
      <c r="L372" s="17" t="b">
        <f>IF(OR(COUNTIF('クラス'!$A$1:$A$1267,$B372)&gt;0,$B372="",$M372=""),"",True)</f>
        <v>1</v>
      </c>
      <c r="M372" s="1" t="str">
        <f t="shared" si="9"/>
        <v>存在しない</v>
      </c>
      <c r="N372" s="1"/>
      <c r="O372" s="1"/>
      <c r="P372" s="11"/>
      <c r="Q372" s="11"/>
      <c r="R372" s="11"/>
      <c r="S372" s="11"/>
      <c r="T372" s="1"/>
      <c r="U372" s="1"/>
      <c r="V372" s="1"/>
      <c r="W372" s="1"/>
      <c r="X372" s="1"/>
      <c r="Y372" s="1"/>
      <c r="Z372" s="1"/>
    </row>
    <row r="373" ht="18.0" customHeight="1" outlineLevel="2">
      <c r="A373" s="26">
        <v>4.0</v>
      </c>
      <c r="B373" s="28" t="s">
        <v>871</v>
      </c>
      <c r="C373" s="26" t="s">
        <v>872</v>
      </c>
      <c r="D373" s="26" t="s">
        <v>849</v>
      </c>
      <c r="E373" s="29" t="s">
        <v>33</v>
      </c>
      <c r="F373" s="15"/>
      <c r="G373" s="30">
        <v>60.0</v>
      </c>
      <c r="H373" s="22" t="s">
        <v>870</v>
      </c>
      <c r="I373" s="7"/>
      <c r="J373" s="7"/>
      <c r="K373" s="17"/>
      <c r="L373" s="17" t="b">
        <f>IF(OR(COUNTIF('クラス'!$A$1:$A$1267,$B373)&gt;0,$B373="",$M373=""),"",True)</f>
        <v>1</v>
      </c>
      <c r="M373" s="1" t="str">
        <f t="shared" si="9"/>
        <v>存在しない</v>
      </c>
      <c r="N373" s="1"/>
      <c r="O373" s="1"/>
      <c r="P373" s="11"/>
      <c r="Q373" s="11"/>
      <c r="R373" s="11"/>
      <c r="S373" s="11"/>
      <c r="T373" s="1"/>
      <c r="U373" s="1"/>
      <c r="V373" s="1"/>
      <c r="W373" s="1"/>
      <c r="X373" s="1"/>
      <c r="Y373" s="1"/>
      <c r="Z373" s="1"/>
    </row>
    <row r="374" ht="18.0" customHeight="1" outlineLevel="2">
      <c r="A374" s="26">
        <v>4.0</v>
      </c>
      <c r="B374" s="28" t="s">
        <v>873</v>
      </c>
      <c r="C374" s="26" t="s">
        <v>874</v>
      </c>
      <c r="D374" s="26" t="s">
        <v>849</v>
      </c>
      <c r="E374" s="29" t="s">
        <v>33</v>
      </c>
      <c r="F374" s="15"/>
      <c r="G374" s="30">
        <v>60.0</v>
      </c>
      <c r="H374" s="22" t="s">
        <v>875</v>
      </c>
      <c r="I374" s="7"/>
      <c r="J374" s="7"/>
      <c r="K374" s="17"/>
      <c r="L374" s="17" t="b">
        <f>IF(OR(COUNTIF('クラス'!$A$1:$A$1267,$B374)&gt;0,$B374="",$M374=""),"",True)</f>
        <v>1</v>
      </c>
      <c r="M374" s="1" t="str">
        <f t="shared" si="9"/>
        <v>存在しない</v>
      </c>
      <c r="N374" s="1"/>
      <c r="O374" s="1"/>
      <c r="P374" s="11"/>
      <c r="Q374" s="11"/>
      <c r="R374" s="11"/>
      <c r="S374" s="11"/>
      <c r="T374" s="1"/>
      <c r="U374" s="1"/>
      <c r="V374" s="1"/>
      <c r="W374" s="1"/>
      <c r="X374" s="1"/>
      <c r="Y374" s="1"/>
      <c r="Z374" s="1"/>
    </row>
    <row r="375" ht="18.0" customHeight="1" outlineLevel="2">
      <c r="A375" s="26">
        <v>4.0</v>
      </c>
      <c r="B375" s="28" t="s">
        <v>876</v>
      </c>
      <c r="C375" s="26" t="s">
        <v>877</v>
      </c>
      <c r="D375" s="26" t="s">
        <v>849</v>
      </c>
      <c r="E375" s="29" t="s">
        <v>33</v>
      </c>
      <c r="F375" s="15"/>
      <c r="G375" s="30">
        <v>60.0</v>
      </c>
      <c r="H375" s="22" t="s">
        <v>878</v>
      </c>
      <c r="I375" s="7"/>
      <c r="J375" s="7"/>
      <c r="K375" s="17"/>
      <c r="L375" s="17" t="b">
        <f>IF(OR(COUNTIF('クラス'!$A$1:$A$1267,$B375)&gt;0,$B375="",$M375=""),"",True)</f>
        <v>1</v>
      </c>
      <c r="M375" s="1" t="str">
        <f t="shared" si="9"/>
        <v>存在しない</v>
      </c>
      <c r="N375" s="1"/>
      <c r="O375" s="1"/>
      <c r="P375" s="11"/>
      <c r="Q375" s="11"/>
      <c r="R375" s="11"/>
      <c r="S375" s="11"/>
      <c r="T375" s="1"/>
      <c r="U375" s="1"/>
      <c r="V375" s="1"/>
      <c r="W375" s="1"/>
      <c r="X375" s="1"/>
      <c r="Y375" s="1"/>
      <c r="Z375" s="1"/>
    </row>
    <row r="376" ht="18.0" customHeight="1" outlineLevel="2">
      <c r="A376" s="26">
        <v>4.0</v>
      </c>
      <c r="B376" s="28" t="s">
        <v>879</v>
      </c>
      <c r="C376" s="26" t="s">
        <v>880</v>
      </c>
      <c r="D376" s="26" t="s">
        <v>849</v>
      </c>
      <c r="E376" s="29" t="s">
        <v>33</v>
      </c>
      <c r="F376" s="15"/>
      <c r="G376" s="30">
        <v>60.0</v>
      </c>
      <c r="H376" s="22" t="s">
        <v>881</v>
      </c>
      <c r="I376" s="7"/>
      <c r="J376" s="7"/>
      <c r="K376" s="17"/>
      <c r="L376" s="17" t="b">
        <f>IF(OR(COUNTIF('クラス'!$A$1:$A$1267,$B376)&gt;0,$B376="",$M376=""),"",True)</f>
        <v>1</v>
      </c>
      <c r="M376" s="1" t="str">
        <f t="shared" si="9"/>
        <v>存在しない</v>
      </c>
      <c r="N376" s="1"/>
      <c r="O376" s="1"/>
      <c r="P376" s="11"/>
      <c r="Q376" s="11"/>
      <c r="R376" s="11"/>
      <c r="S376" s="11"/>
      <c r="T376" s="1"/>
      <c r="U376" s="1"/>
      <c r="V376" s="1"/>
      <c r="W376" s="1"/>
      <c r="X376" s="1"/>
      <c r="Y376" s="1"/>
      <c r="Z376" s="1"/>
    </row>
    <row r="377" ht="18.0" customHeight="1" outlineLevel="2">
      <c r="A377" s="26">
        <v>5.0</v>
      </c>
      <c r="B377" s="28" t="s">
        <v>882</v>
      </c>
      <c r="C377" s="26" t="s">
        <v>883</v>
      </c>
      <c r="D377" s="26" t="s">
        <v>849</v>
      </c>
      <c r="E377" s="29" t="s">
        <v>33</v>
      </c>
      <c r="F377" s="15"/>
      <c r="G377" s="30">
        <v>60.0</v>
      </c>
      <c r="H377" s="22" t="s">
        <v>884</v>
      </c>
      <c r="I377" s="7"/>
      <c r="J377" s="7"/>
      <c r="K377" s="17"/>
      <c r="L377" s="17" t="b">
        <f>IF(OR(COUNTIF('クラス'!$A$1:$A$1267,$B377)&gt;0,$B377="",$M377=""),"",True)</f>
        <v>1</v>
      </c>
      <c r="M377" s="1" t="str">
        <f t="shared" si="9"/>
        <v>存在しない</v>
      </c>
      <c r="N377" s="1"/>
      <c r="O377" s="1"/>
      <c r="P377" s="11"/>
      <c r="Q377" s="11"/>
      <c r="R377" s="11"/>
      <c r="S377" s="11"/>
      <c r="T377" s="1"/>
      <c r="U377" s="1"/>
      <c r="V377" s="1"/>
      <c r="W377" s="1"/>
      <c r="X377" s="1"/>
      <c r="Y377" s="1"/>
      <c r="Z377" s="1"/>
    </row>
    <row r="378" ht="18.0" customHeight="1" outlineLevel="2">
      <c r="A378" s="26">
        <v>5.0</v>
      </c>
      <c r="B378" s="28" t="s">
        <v>885</v>
      </c>
      <c r="C378" s="26" t="s">
        <v>886</v>
      </c>
      <c r="D378" s="26" t="s">
        <v>849</v>
      </c>
      <c r="E378" s="29" t="s">
        <v>33</v>
      </c>
      <c r="F378" s="15"/>
      <c r="G378" s="30">
        <v>60.0</v>
      </c>
      <c r="H378" s="22" t="s">
        <v>865</v>
      </c>
      <c r="I378" s="7"/>
      <c r="J378" s="7"/>
      <c r="K378" s="17"/>
      <c r="L378" s="17" t="b">
        <f>IF(OR(COUNTIF('クラス'!$A$1:$A$1267,$B378)&gt;0,$B378="",$M378=""),"",True)</f>
        <v>1</v>
      </c>
      <c r="M378" s="1" t="str">
        <f t="shared" si="9"/>
        <v>存在しない</v>
      </c>
      <c r="N378" s="1"/>
      <c r="O378" s="1"/>
      <c r="P378" s="11"/>
      <c r="Q378" s="11"/>
      <c r="R378" s="11"/>
      <c r="S378" s="11"/>
      <c r="T378" s="1"/>
      <c r="U378" s="1"/>
      <c r="V378" s="1"/>
      <c r="W378" s="1"/>
      <c r="X378" s="1"/>
      <c r="Y378" s="1"/>
      <c r="Z378" s="1"/>
    </row>
    <row r="379" ht="18.0" customHeight="1" outlineLevel="2">
      <c r="A379" s="26">
        <v>5.0</v>
      </c>
      <c r="B379" s="28" t="s">
        <v>887</v>
      </c>
      <c r="C379" s="26" t="s">
        <v>888</v>
      </c>
      <c r="D379" s="26" t="s">
        <v>849</v>
      </c>
      <c r="E379" s="29" t="s">
        <v>33</v>
      </c>
      <c r="F379" s="15"/>
      <c r="G379" s="30">
        <v>60.0</v>
      </c>
      <c r="H379" s="22" t="s">
        <v>889</v>
      </c>
      <c r="I379" s="7"/>
      <c r="J379" s="7"/>
      <c r="K379" s="17"/>
      <c r="L379" s="17" t="b">
        <f>IF(OR(COUNTIF('クラス'!$A$1:$A$1267,$B379)&gt;0,$B379="",$M379=""),"",True)</f>
        <v>1</v>
      </c>
      <c r="M379" s="1" t="str">
        <f t="shared" si="9"/>
        <v>存在しない</v>
      </c>
      <c r="N379" s="1"/>
      <c r="O379" s="1"/>
      <c r="P379" s="11"/>
      <c r="Q379" s="11"/>
      <c r="R379" s="11"/>
      <c r="S379" s="11"/>
      <c r="T379" s="1"/>
      <c r="U379" s="1"/>
      <c r="V379" s="1"/>
      <c r="W379" s="1"/>
      <c r="X379" s="1"/>
      <c r="Y379" s="1"/>
      <c r="Z379" s="1"/>
    </row>
    <row r="380" ht="18.0" customHeight="1" outlineLevel="2">
      <c r="A380" s="26">
        <v>6.0</v>
      </c>
      <c r="B380" s="28" t="s">
        <v>890</v>
      </c>
      <c r="C380" s="26" t="s">
        <v>891</v>
      </c>
      <c r="D380" s="26" t="s">
        <v>849</v>
      </c>
      <c r="E380" s="29" t="s">
        <v>33</v>
      </c>
      <c r="F380" s="15"/>
      <c r="G380" s="30">
        <v>60.0</v>
      </c>
      <c r="H380" s="22" t="s">
        <v>870</v>
      </c>
      <c r="I380" s="7"/>
      <c r="J380" s="7"/>
      <c r="K380" s="17"/>
      <c r="L380" s="17" t="b">
        <f>IF(OR(COUNTIF('クラス'!$A$1:$A$1267,$B380)&gt;0,$B380="",$M380=""),"",True)</f>
        <v>1</v>
      </c>
      <c r="M380" s="1" t="str">
        <f t="shared" si="9"/>
        <v>存在しない</v>
      </c>
      <c r="N380" s="1"/>
      <c r="O380" s="1"/>
      <c r="P380" s="11"/>
      <c r="Q380" s="11"/>
      <c r="R380" s="11"/>
      <c r="S380" s="11"/>
      <c r="T380" s="1"/>
      <c r="U380" s="1"/>
      <c r="V380" s="1"/>
      <c r="W380" s="1"/>
      <c r="X380" s="1"/>
      <c r="Y380" s="1"/>
      <c r="Z380" s="1"/>
    </row>
    <row r="381" ht="18.0" customHeight="1" outlineLevel="2">
      <c r="A381" s="26">
        <v>6.0</v>
      </c>
      <c r="B381" s="28" t="s">
        <v>892</v>
      </c>
      <c r="C381" s="26" t="s">
        <v>893</v>
      </c>
      <c r="D381" s="26" t="s">
        <v>849</v>
      </c>
      <c r="E381" s="29" t="s">
        <v>33</v>
      </c>
      <c r="F381" s="15"/>
      <c r="G381" s="30">
        <v>60.0</v>
      </c>
      <c r="H381" s="22" t="s">
        <v>894</v>
      </c>
      <c r="I381" s="7"/>
      <c r="J381" s="7"/>
      <c r="K381" s="17"/>
      <c r="L381" s="17" t="b">
        <f>IF(OR(COUNTIF('クラス'!$A$1:$A$1267,$B381)&gt;0,$B381="",$M381=""),"",True)</f>
        <v>1</v>
      </c>
      <c r="M381" s="1" t="str">
        <f t="shared" si="9"/>
        <v>存在しない</v>
      </c>
      <c r="N381" s="1"/>
      <c r="O381" s="1"/>
      <c r="P381" s="11"/>
      <c r="Q381" s="11"/>
      <c r="R381" s="11"/>
      <c r="S381" s="11"/>
      <c r="T381" s="1"/>
      <c r="U381" s="1"/>
      <c r="V381" s="1"/>
      <c r="W381" s="1"/>
      <c r="X381" s="1"/>
      <c r="Y381" s="1"/>
      <c r="Z381" s="1"/>
    </row>
    <row r="382" ht="18.0" customHeight="1" outlineLevel="2">
      <c r="A382" s="26">
        <v>7.0</v>
      </c>
      <c r="B382" s="28" t="s">
        <v>895</v>
      </c>
      <c r="C382" s="26" t="s">
        <v>896</v>
      </c>
      <c r="D382" s="26" t="s">
        <v>849</v>
      </c>
      <c r="E382" s="29" t="s">
        <v>33</v>
      </c>
      <c r="F382" s="15"/>
      <c r="G382" s="30">
        <v>60.0</v>
      </c>
      <c r="H382" s="22" t="s">
        <v>884</v>
      </c>
      <c r="I382" s="7"/>
      <c r="J382" s="7"/>
      <c r="K382" s="17"/>
      <c r="L382" s="17" t="b">
        <f>IF(OR(COUNTIF('クラス'!$A$1:$A$1267,$B382)&gt;0,$B382="",$M382=""),"",True)</f>
        <v>1</v>
      </c>
      <c r="M382" s="1" t="str">
        <f t="shared" si="9"/>
        <v>存在しない</v>
      </c>
      <c r="N382" s="1"/>
      <c r="O382" s="1"/>
      <c r="P382" s="11"/>
      <c r="Q382" s="11"/>
      <c r="R382" s="11"/>
      <c r="S382" s="11"/>
      <c r="T382" s="1"/>
      <c r="U382" s="1"/>
      <c r="V382" s="1"/>
      <c r="W382" s="1"/>
      <c r="X382" s="1"/>
      <c r="Y382" s="1"/>
      <c r="Z382" s="1"/>
    </row>
    <row r="383" ht="18.0" customHeight="1" outlineLevel="1">
      <c r="A383" s="26"/>
      <c r="B383" s="24"/>
      <c r="C383" s="26" t="s">
        <v>897</v>
      </c>
      <c r="D383" s="1"/>
      <c r="E383" s="14"/>
      <c r="F383" s="15"/>
      <c r="G383" s="30"/>
      <c r="H383" s="11"/>
      <c r="I383" s="7"/>
      <c r="J383" s="7"/>
      <c r="K383" s="17"/>
      <c r="L383" s="17" t="str">
        <f>IF(OR(COUNTIF('クラス'!$A$1:$A$1267,$B383)&gt;0,$B383="",$M383=""),"",True)</f>
        <v/>
      </c>
      <c r="M383" s="1" t="str">
        <f t="shared" si="9"/>
        <v>存在しない</v>
      </c>
      <c r="N383" s="1"/>
      <c r="O383" s="1"/>
      <c r="P383" s="11"/>
      <c r="Q383" s="11"/>
      <c r="R383" s="11"/>
      <c r="S383" s="11"/>
      <c r="T383" s="1"/>
      <c r="U383" s="1"/>
      <c r="V383" s="1"/>
      <c r="W383" s="1"/>
      <c r="X383" s="1"/>
      <c r="Y383" s="1"/>
      <c r="Z383" s="1"/>
    </row>
    <row r="384" ht="18.0" customHeight="1" outlineLevel="2">
      <c r="A384" s="26">
        <v>1.0</v>
      </c>
      <c r="B384" s="28" t="s">
        <v>898</v>
      </c>
      <c r="C384" s="1"/>
      <c r="D384" s="1"/>
      <c r="E384" s="14"/>
      <c r="F384" s="15"/>
      <c r="G384" s="30">
        <v>60.0</v>
      </c>
      <c r="H384" s="22" t="s">
        <v>899</v>
      </c>
      <c r="I384" s="7"/>
      <c r="J384" s="7"/>
      <c r="K384" s="17"/>
      <c r="L384" s="17" t="b">
        <f>IF(OR(COUNTIF('クラス'!$A$1:$A$1267,$B384)&gt;0,$B384="",$M384=""),"",True)</f>
        <v>1</v>
      </c>
      <c r="M384" s="1" t="str">
        <f t="shared" si="9"/>
        <v>存在しない</v>
      </c>
      <c r="N384" s="1"/>
      <c r="O384" s="1"/>
      <c r="P384" s="11"/>
      <c r="Q384" s="11"/>
      <c r="R384" s="11"/>
      <c r="S384" s="11"/>
      <c r="T384" s="1"/>
      <c r="U384" s="1"/>
      <c r="V384" s="1"/>
      <c r="W384" s="1"/>
      <c r="X384" s="1"/>
      <c r="Y384" s="1"/>
      <c r="Z384" s="1"/>
    </row>
    <row r="385" ht="18.0" customHeight="1" outlineLevel="2">
      <c r="A385" s="26">
        <v>1.0</v>
      </c>
      <c r="B385" s="28" t="s">
        <v>900</v>
      </c>
      <c r="C385" s="1"/>
      <c r="D385" s="1"/>
      <c r="E385" s="14"/>
      <c r="F385" s="15"/>
      <c r="G385" s="30">
        <v>60.0</v>
      </c>
      <c r="H385" s="22" t="s">
        <v>901</v>
      </c>
      <c r="I385" s="7"/>
      <c r="J385" s="7"/>
      <c r="K385" s="33" t="s">
        <v>238</v>
      </c>
      <c r="L385" s="17" t="b">
        <f>IF(OR(COUNTIF('クラス'!$A$1:$A$1267,$B385)&gt;0,$B385="",$M385=""),"",True)</f>
        <v>1</v>
      </c>
      <c r="M385" s="1" t="str">
        <f t="shared" si="9"/>
        <v>存在しない</v>
      </c>
      <c r="N385" s="1"/>
      <c r="O385" s="1"/>
      <c r="P385" s="11"/>
      <c r="Q385" s="11"/>
      <c r="R385" s="11"/>
      <c r="S385" s="11"/>
      <c r="T385" s="1"/>
      <c r="U385" s="1"/>
      <c r="V385" s="1"/>
      <c r="W385" s="1"/>
      <c r="X385" s="1"/>
      <c r="Y385" s="1"/>
      <c r="Z385" s="1"/>
    </row>
    <row r="386" ht="18.0" customHeight="1" outlineLevel="2">
      <c r="A386" s="26">
        <v>2.0</v>
      </c>
      <c r="B386" s="28" t="s">
        <v>902</v>
      </c>
      <c r="C386" s="1"/>
      <c r="D386" s="1"/>
      <c r="E386" s="14"/>
      <c r="F386" s="15"/>
      <c r="G386" s="30">
        <v>60.0</v>
      </c>
      <c r="H386" s="31" t="s">
        <v>903</v>
      </c>
      <c r="I386" s="7"/>
      <c r="J386" s="7"/>
      <c r="K386" s="17"/>
      <c r="L386" s="17" t="b">
        <f>IF(OR(COUNTIF('クラス'!$A$1:$A$1267,$B386)&gt;0,$B386="",$M386=""),"",True)</f>
        <v>1</v>
      </c>
      <c r="M386" s="1" t="str">
        <f t="shared" si="9"/>
        <v>存在しない</v>
      </c>
      <c r="N386" s="1"/>
      <c r="O386" s="1"/>
      <c r="P386" s="11"/>
      <c r="Q386" s="11"/>
      <c r="R386" s="11"/>
      <c r="S386" s="11"/>
      <c r="T386" s="1"/>
      <c r="U386" s="1"/>
      <c r="V386" s="1"/>
      <c r="W386" s="1"/>
      <c r="X386" s="1"/>
      <c r="Y386" s="1"/>
      <c r="Z386" s="1"/>
    </row>
    <row r="387" ht="18.0" customHeight="1" outlineLevel="2">
      <c r="A387" s="26">
        <v>2.0</v>
      </c>
      <c r="B387" s="28" t="s">
        <v>904</v>
      </c>
      <c r="C387" s="1"/>
      <c r="D387" s="1"/>
      <c r="E387" s="14"/>
      <c r="F387" s="15"/>
      <c r="G387" s="30">
        <v>60.0</v>
      </c>
      <c r="H387" s="22" t="s">
        <v>905</v>
      </c>
      <c r="I387" s="7"/>
      <c r="J387" s="7"/>
      <c r="K387" s="33" t="s">
        <v>238</v>
      </c>
      <c r="L387" s="17" t="b">
        <f>IF(OR(COUNTIF('クラス'!$A$1:$A$1267,$B387)&gt;0,$B387="",$M387=""),"",True)</f>
        <v>1</v>
      </c>
      <c r="M387" s="1" t="str">
        <f t="shared" si="9"/>
        <v>存在しない</v>
      </c>
      <c r="N387" s="1"/>
      <c r="O387" s="1"/>
      <c r="P387" s="11"/>
      <c r="Q387" s="11"/>
      <c r="R387" s="11"/>
      <c r="S387" s="11"/>
      <c r="T387" s="1"/>
      <c r="U387" s="1"/>
      <c r="V387" s="1"/>
      <c r="W387" s="1"/>
      <c r="X387" s="1"/>
      <c r="Y387" s="1"/>
      <c r="Z387" s="1"/>
    </row>
    <row r="388" ht="18.0" customHeight="1" outlineLevel="2">
      <c r="A388" s="26">
        <v>3.0</v>
      </c>
      <c r="B388" s="28" t="s">
        <v>906</v>
      </c>
      <c r="C388" s="26" t="s">
        <v>907</v>
      </c>
      <c r="D388" s="26" t="s">
        <v>908</v>
      </c>
      <c r="E388" s="29" t="s">
        <v>33</v>
      </c>
      <c r="F388" s="15"/>
      <c r="G388" s="30">
        <v>60.0</v>
      </c>
      <c r="H388" s="11"/>
      <c r="I388" s="7"/>
      <c r="J388" s="32" t="s">
        <v>909</v>
      </c>
      <c r="K388" s="17"/>
      <c r="L388" s="17" t="b">
        <f>IF(OR(COUNTIF('クラス'!$A$1:$A$1267,$B388)&gt;0,$B388="",$M388=""),"",True)</f>
        <v>1</v>
      </c>
      <c r="M388" s="1" t="str">
        <f t="shared" si="9"/>
        <v>存在しない</v>
      </c>
      <c r="N388" s="1"/>
      <c r="O388" s="1"/>
      <c r="P388" s="11"/>
      <c r="Q388" s="11"/>
      <c r="R388" s="11"/>
      <c r="S388" s="11"/>
      <c r="T388" s="1"/>
      <c r="U388" s="1"/>
      <c r="V388" s="1"/>
      <c r="W388" s="1"/>
      <c r="X388" s="1"/>
      <c r="Y388" s="1"/>
      <c r="Z388" s="1"/>
    </row>
    <row r="389" ht="18.0" customHeight="1" outlineLevel="2">
      <c r="A389" s="26">
        <v>3.0</v>
      </c>
      <c r="B389" s="28" t="s">
        <v>910</v>
      </c>
      <c r="C389" s="26" t="s">
        <v>911</v>
      </c>
      <c r="D389" s="26" t="s">
        <v>908</v>
      </c>
      <c r="E389" s="29" t="s">
        <v>33</v>
      </c>
      <c r="F389" s="15"/>
      <c r="G389" s="30">
        <v>60.0</v>
      </c>
      <c r="H389" s="11"/>
      <c r="I389" s="7"/>
      <c r="J389" s="32" t="s">
        <v>912</v>
      </c>
      <c r="K389" s="17"/>
      <c r="L389" s="17" t="b">
        <f>IF(OR(COUNTIF('クラス'!$A$1:$A$1267,$B389)&gt;0,$B389="",$M389=""),"",True)</f>
        <v>1</v>
      </c>
      <c r="M389" s="1" t="str">
        <f t="shared" si="9"/>
        <v>存在しない</v>
      </c>
      <c r="N389" s="1"/>
      <c r="O389" s="1"/>
      <c r="P389" s="11"/>
      <c r="Q389" s="11"/>
      <c r="R389" s="11"/>
      <c r="S389" s="11"/>
      <c r="T389" s="1"/>
      <c r="U389" s="1"/>
      <c r="V389" s="1"/>
      <c r="W389" s="1"/>
      <c r="X389" s="1"/>
      <c r="Y389" s="1"/>
      <c r="Z389" s="1"/>
    </row>
    <row r="390" ht="18.0" customHeight="1" outlineLevel="2">
      <c r="A390" s="26">
        <v>3.0</v>
      </c>
      <c r="B390" s="28" t="s">
        <v>913</v>
      </c>
      <c r="C390" s="1"/>
      <c r="D390" s="1"/>
      <c r="E390" s="14"/>
      <c r="F390" s="15"/>
      <c r="G390" s="30">
        <v>60.0</v>
      </c>
      <c r="H390" s="22" t="s">
        <v>914</v>
      </c>
      <c r="I390" s="7"/>
      <c r="J390" s="7"/>
      <c r="K390" s="33" t="s">
        <v>238</v>
      </c>
      <c r="L390" s="17" t="b">
        <f>IF(OR(COUNTIF('クラス'!$A$1:$A$1267,$B390)&gt;0,$B390="",$M390=""),"",True)</f>
        <v>1</v>
      </c>
      <c r="M390" s="1" t="str">
        <f t="shared" si="9"/>
        <v>存在しない</v>
      </c>
      <c r="N390" s="1"/>
      <c r="O390" s="1"/>
      <c r="P390" s="11"/>
      <c r="Q390" s="11"/>
      <c r="R390" s="11"/>
      <c r="S390" s="11"/>
      <c r="T390" s="1"/>
      <c r="U390" s="1"/>
      <c r="V390" s="1"/>
      <c r="W390" s="1"/>
      <c r="X390" s="1"/>
      <c r="Y390" s="1"/>
      <c r="Z390" s="1"/>
    </row>
    <row r="391" ht="18.0" customHeight="1" outlineLevel="2">
      <c r="A391" s="26">
        <v>3.0</v>
      </c>
      <c r="B391" s="28" t="s">
        <v>915</v>
      </c>
      <c r="C391" s="1"/>
      <c r="D391" s="1"/>
      <c r="E391" s="14"/>
      <c r="F391" s="15"/>
      <c r="G391" s="30">
        <v>60.0</v>
      </c>
      <c r="H391" s="22" t="s">
        <v>916</v>
      </c>
      <c r="I391" s="7"/>
      <c r="J391" s="32" t="s">
        <v>917</v>
      </c>
      <c r="K391" s="33" t="s">
        <v>238</v>
      </c>
      <c r="L391" s="17" t="b">
        <f>IF(OR(COUNTIF('クラス'!$A$1:$A$1267,$B391)&gt;0,$B391="",$M391=""),"",True)</f>
        <v>1</v>
      </c>
      <c r="M391" s="1" t="str">
        <f t="shared" si="9"/>
        <v>存在しない</v>
      </c>
      <c r="N391" s="1"/>
      <c r="O391" s="1"/>
      <c r="P391" s="11"/>
      <c r="Q391" s="11"/>
      <c r="R391" s="11"/>
      <c r="S391" s="11"/>
      <c r="T391" s="1"/>
      <c r="U391" s="1"/>
      <c r="V391" s="1"/>
      <c r="W391" s="1"/>
      <c r="X391" s="1"/>
      <c r="Y391" s="1"/>
      <c r="Z391" s="1"/>
    </row>
    <row r="392" ht="18.0" customHeight="1" outlineLevel="2">
      <c r="A392" s="26">
        <v>3.0</v>
      </c>
      <c r="B392" s="28" t="s">
        <v>918</v>
      </c>
      <c r="C392" s="26" t="s">
        <v>919</v>
      </c>
      <c r="D392" s="26" t="s">
        <v>908</v>
      </c>
      <c r="E392" s="29" t="s">
        <v>33</v>
      </c>
      <c r="F392" s="15"/>
      <c r="G392" s="30">
        <v>60.0</v>
      </c>
      <c r="H392" s="22" t="s">
        <v>920</v>
      </c>
      <c r="I392" s="7"/>
      <c r="J392" s="32" t="s">
        <v>921</v>
      </c>
      <c r="K392" s="33" t="s">
        <v>304</v>
      </c>
      <c r="L392" s="17" t="b">
        <f>IF(OR(COUNTIF('クラス'!$A$1:$A$1267,$B392)&gt;0,$B392="",$M392=""),"",True)</f>
        <v>1</v>
      </c>
      <c r="M392" s="1" t="str">
        <f t="shared" si="9"/>
        <v>存在しない</v>
      </c>
      <c r="N392" s="1"/>
      <c r="O392" s="1"/>
      <c r="P392" s="11"/>
      <c r="Q392" s="11"/>
      <c r="R392" s="11"/>
      <c r="S392" s="11"/>
      <c r="T392" s="1"/>
      <c r="U392" s="1"/>
      <c r="V392" s="1"/>
      <c r="W392" s="1"/>
      <c r="X392" s="1"/>
      <c r="Y392" s="1"/>
      <c r="Z392" s="1"/>
    </row>
    <row r="393" ht="18.0" customHeight="1" outlineLevel="2">
      <c r="A393" s="26">
        <v>4.0</v>
      </c>
      <c r="B393" s="28" t="s">
        <v>922</v>
      </c>
      <c r="C393" s="26" t="s">
        <v>923</v>
      </c>
      <c r="D393" s="26" t="s">
        <v>908</v>
      </c>
      <c r="E393" s="29" t="s">
        <v>33</v>
      </c>
      <c r="F393" s="15"/>
      <c r="G393" s="30">
        <v>60.0</v>
      </c>
      <c r="H393" s="11"/>
      <c r="I393" s="7"/>
      <c r="J393" s="32" t="s">
        <v>924</v>
      </c>
      <c r="K393" s="17"/>
      <c r="L393" s="17" t="b">
        <f>IF(OR(COUNTIF('クラス'!$A$1:$A$1267,$B393)&gt;0,$B393="",$M393=""),"",True)</f>
        <v>1</v>
      </c>
      <c r="M393" s="1" t="str">
        <f t="shared" si="9"/>
        <v>存在しない</v>
      </c>
      <c r="N393" s="1"/>
      <c r="O393" s="1"/>
      <c r="P393" s="11"/>
      <c r="Q393" s="11"/>
      <c r="R393" s="11"/>
      <c r="S393" s="11"/>
      <c r="T393" s="1"/>
      <c r="U393" s="1"/>
      <c r="V393" s="1"/>
      <c r="W393" s="1"/>
      <c r="X393" s="1"/>
      <c r="Y393" s="1"/>
      <c r="Z393" s="1"/>
    </row>
    <row r="394" ht="18.0" customHeight="1" outlineLevel="2">
      <c r="A394" s="26">
        <v>4.0</v>
      </c>
      <c r="B394" s="28" t="s">
        <v>925</v>
      </c>
      <c r="C394" s="26" t="s">
        <v>926</v>
      </c>
      <c r="D394" s="26" t="s">
        <v>908</v>
      </c>
      <c r="E394" s="29" t="s">
        <v>33</v>
      </c>
      <c r="F394" s="15"/>
      <c r="G394" s="30">
        <v>60.0</v>
      </c>
      <c r="H394" s="11"/>
      <c r="I394" s="7"/>
      <c r="J394" s="32" t="s">
        <v>927</v>
      </c>
      <c r="K394" s="17"/>
      <c r="L394" s="17" t="b">
        <f>IF(OR(COUNTIF('クラス'!$A$1:$A$1267,$B394)&gt;0,$B394="",$M394=""),"",True)</f>
        <v>1</v>
      </c>
      <c r="M394" s="1" t="str">
        <f t="shared" si="9"/>
        <v>存在しない</v>
      </c>
      <c r="N394" s="1"/>
      <c r="O394" s="1"/>
      <c r="P394" s="11"/>
      <c r="Q394" s="11"/>
      <c r="R394" s="11"/>
      <c r="S394" s="11"/>
      <c r="T394" s="1"/>
      <c r="U394" s="1"/>
      <c r="V394" s="1"/>
      <c r="W394" s="1"/>
      <c r="X394" s="1"/>
      <c r="Y394" s="1"/>
      <c r="Z394" s="1"/>
    </row>
    <row r="395" ht="18.0" customHeight="1" outlineLevel="2">
      <c r="A395" s="26">
        <v>4.0</v>
      </c>
      <c r="B395" s="28" t="s">
        <v>928</v>
      </c>
      <c r="C395" s="1"/>
      <c r="D395" s="1"/>
      <c r="E395" s="14"/>
      <c r="F395" s="15"/>
      <c r="G395" s="30">
        <v>60.0</v>
      </c>
      <c r="H395" s="22" t="s">
        <v>929</v>
      </c>
      <c r="I395" s="7"/>
      <c r="J395" s="7"/>
      <c r="K395" s="33" t="s">
        <v>238</v>
      </c>
      <c r="L395" s="17" t="b">
        <f>IF(OR(COUNTIF('クラス'!$A$1:$A$1267,$B395)&gt;0,$B395="",$M395=""),"",True)</f>
        <v>1</v>
      </c>
      <c r="M395" s="1" t="str">
        <f t="shared" si="9"/>
        <v>存在しない</v>
      </c>
      <c r="N395" s="1"/>
      <c r="O395" s="1"/>
      <c r="P395" s="11"/>
      <c r="Q395" s="11"/>
      <c r="R395" s="11"/>
      <c r="S395" s="11"/>
      <c r="T395" s="1"/>
      <c r="U395" s="1"/>
      <c r="V395" s="1"/>
      <c r="W395" s="1"/>
      <c r="X395" s="1"/>
      <c r="Y395" s="1"/>
      <c r="Z395" s="1"/>
    </row>
    <row r="396" ht="18.0" customHeight="1" outlineLevel="2">
      <c r="A396" s="26">
        <v>4.0</v>
      </c>
      <c r="B396" s="28" t="s">
        <v>930</v>
      </c>
      <c r="C396" s="1"/>
      <c r="D396" s="1"/>
      <c r="E396" s="14"/>
      <c r="F396" s="15"/>
      <c r="G396" s="30">
        <v>60.0</v>
      </c>
      <c r="H396" s="22" t="s">
        <v>931</v>
      </c>
      <c r="I396" s="7"/>
      <c r="J396" s="32" t="s">
        <v>932</v>
      </c>
      <c r="K396" s="33" t="s">
        <v>238</v>
      </c>
      <c r="L396" s="17" t="b">
        <f>IF(OR(COUNTIF('クラス'!$A$1:$A$1267,$B396)&gt;0,$B396="",$M396=""),"",True)</f>
        <v>1</v>
      </c>
      <c r="M396" s="1" t="str">
        <f t="shared" si="9"/>
        <v>存在しない</v>
      </c>
      <c r="N396" s="1"/>
      <c r="O396" s="1"/>
      <c r="P396" s="11"/>
      <c r="Q396" s="11"/>
      <c r="R396" s="11"/>
      <c r="S396" s="11"/>
      <c r="T396" s="1"/>
      <c r="U396" s="1"/>
      <c r="V396" s="1"/>
      <c r="W396" s="1"/>
      <c r="X396" s="1"/>
      <c r="Y396" s="1"/>
      <c r="Z396" s="1"/>
    </row>
    <row r="397" ht="18.0" customHeight="1" outlineLevel="2">
      <c r="A397" s="26">
        <v>4.0</v>
      </c>
      <c r="B397" s="28" t="s">
        <v>933</v>
      </c>
      <c r="C397" s="26" t="s">
        <v>934</v>
      </c>
      <c r="D397" s="26" t="s">
        <v>908</v>
      </c>
      <c r="E397" s="29" t="s">
        <v>33</v>
      </c>
      <c r="F397" s="15"/>
      <c r="G397" s="30">
        <v>60.0</v>
      </c>
      <c r="H397" s="22" t="s">
        <v>935</v>
      </c>
      <c r="I397" s="7"/>
      <c r="J397" s="32" t="s">
        <v>936</v>
      </c>
      <c r="K397" s="17"/>
      <c r="L397" s="17" t="b">
        <f>IF(OR(COUNTIF('クラス'!$A$1:$A$1267,$B397)&gt;0,$B397="",$M397=""),"",True)</f>
        <v>1</v>
      </c>
      <c r="M397" s="1" t="str">
        <f t="shared" si="9"/>
        <v>存在しない</v>
      </c>
      <c r="N397" s="1"/>
      <c r="O397" s="1"/>
      <c r="P397" s="11"/>
      <c r="Q397" s="11"/>
      <c r="R397" s="11"/>
      <c r="S397" s="11"/>
      <c r="T397" s="1"/>
      <c r="U397" s="1"/>
      <c r="V397" s="1"/>
      <c r="W397" s="1"/>
      <c r="X397" s="1"/>
      <c r="Y397" s="1"/>
      <c r="Z397" s="1"/>
    </row>
    <row r="398" ht="18.0" customHeight="1" outlineLevel="2">
      <c r="A398" s="26">
        <v>4.0</v>
      </c>
      <c r="B398" s="28" t="s">
        <v>937</v>
      </c>
      <c r="C398" s="26" t="s">
        <v>938</v>
      </c>
      <c r="D398" s="26" t="s">
        <v>908</v>
      </c>
      <c r="E398" s="29" t="s">
        <v>33</v>
      </c>
      <c r="F398" s="15"/>
      <c r="G398" s="30">
        <v>60.0</v>
      </c>
      <c r="H398" s="22" t="s">
        <v>939</v>
      </c>
      <c r="I398" s="7"/>
      <c r="J398" s="32" t="s">
        <v>940</v>
      </c>
      <c r="K398" s="17"/>
      <c r="L398" s="17" t="b">
        <f>IF(OR(COUNTIF('クラス'!$A$1:$A$1267,$B398)&gt;0,$B398="",$M398=""),"",True)</f>
        <v>1</v>
      </c>
      <c r="M398" s="1" t="str">
        <f t="shared" si="9"/>
        <v>存在しない</v>
      </c>
      <c r="N398" s="1"/>
      <c r="O398" s="1"/>
      <c r="P398" s="11"/>
      <c r="Q398" s="11"/>
      <c r="R398" s="11"/>
      <c r="S398" s="11"/>
      <c r="T398" s="1"/>
      <c r="U398" s="1"/>
      <c r="V398" s="1"/>
      <c r="W398" s="1"/>
      <c r="X398" s="1"/>
      <c r="Y398" s="1"/>
      <c r="Z398" s="1"/>
    </row>
    <row r="399" ht="18.0" customHeight="1" outlineLevel="2">
      <c r="A399" s="26">
        <v>5.0</v>
      </c>
      <c r="B399" s="28" t="s">
        <v>941</v>
      </c>
      <c r="C399" s="26" t="s">
        <v>942</v>
      </c>
      <c r="D399" s="26" t="s">
        <v>908</v>
      </c>
      <c r="E399" s="29" t="s">
        <v>33</v>
      </c>
      <c r="F399" s="15"/>
      <c r="G399" s="30">
        <v>60.0</v>
      </c>
      <c r="H399" s="11"/>
      <c r="I399" s="7"/>
      <c r="J399" s="32" t="s">
        <v>943</v>
      </c>
      <c r="K399" s="17"/>
      <c r="L399" s="17" t="b">
        <f>IF(OR(COUNTIF('クラス'!$A$1:$A$1267,$B399)&gt;0,$B399="",$M399=""),"",True)</f>
        <v>1</v>
      </c>
      <c r="M399" s="1" t="str">
        <f t="shared" si="9"/>
        <v>存在しない</v>
      </c>
      <c r="N399" s="1"/>
      <c r="O399" s="1"/>
      <c r="P399" s="11"/>
      <c r="Q399" s="11"/>
      <c r="R399" s="11"/>
      <c r="S399" s="11"/>
      <c r="T399" s="1"/>
      <c r="U399" s="1"/>
      <c r="V399" s="1"/>
      <c r="W399" s="1"/>
      <c r="X399" s="1"/>
      <c r="Y399" s="1"/>
      <c r="Z399" s="1"/>
    </row>
    <row r="400" ht="18.0" customHeight="1" outlineLevel="2">
      <c r="A400" s="26">
        <v>5.0</v>
      </c>
      <c r="B400" s="28" t="s">
        <v>944</v>
      </c>
      <c r="C400" s="1"/>
      <c r="D400" s="1"/>
      <c r="E400" s="14"/>
      <c r="F400" s="15"/>
      <c r="G400" s="30">
        <v>60.0</v>
      </c>
      <c r="H400" s="31" t="s">
        <v>945</v>
      </c>
      <c r="I400" s="7"/>
      <c r="J400" s="7"/>
      <c r="K400" s="17"/>
      <c r="L400" s="17" t="b">
        <f>IF(OR(COUNTIF('クラス'!$A$1:$A$1267,$B400)&gt;0,$B400="",$M400=""),"",True)</f>
        <v>1</v>
      </c>
      <c r="M400" s="1" t="str">
        <f t="shared" si="9"/>
        <v>存在しない</v>
      </c>
      <c r="N400" s="1"/>
      <c r="O400" s="1"/>
      <c r="P400" s="11"/>
      <c r="Q400" s="11"/>
      <c r="R400" s="11"/>
      <c r="S400" s="11"/>
      <c r="T400" s="1"/>
      <c r="U400" s="1"/>
      <c r="V400" s="1"/>
      <c r="W400" s="1"/>
      <c r="X400" s="1"/>
      <c r="Y400" s="1"/>
      <c r="Z400" s="1"/>
    </row>
    <row r="401" ht="18.0" customHeight="1" outlineLevel="2">
      <c r="A401" s="26">
        <v>5.0</v>
      </c>
      <c r="B401" s="28" t="s">
        <v>946</v>
      </c>
      <c r="C401" s="26" t="s">
        <v>947</v>
      </c>
      <c r="D401" s="26" t="s">
        <v>908</v>
      </c>
      <c r="E401" s="29" t="s">
        <v>33</v>
      </c>
      <c r="F401" s="15"/>
      <c r="G401" s="30">
        <v>60.0</v>
      </c>
      <c r="H401" s="22" t="s">
        <v>948</v>
      </c>
      <c r="I401" s="7"/>
      <c r="J401" s="32" t="s">
        <v>949</v>
      </c>
      <c r="K401" s="33" t="s">
        <v>418</v>
      </c>
      <c r="L401" s="17" t="b">
        <f>IF(OR(COUNTIF('クラス'!$A$1:$A$1267,$B401)&gt;0,$B401="",$M401=""),"",True)</f>
        <v>1</v>
      </c>
      <c r="M401" s="1" t="str">
        <f t="shared" si="9"/>
        <v>存在しない</v>
      </c>
      <c r="N401" s="1"/>
      <c r="O401" s="1"/>
      <c r="P401" s="11"/>
      <c r="Q401" s="11"/>
      <c r="R401" s="11"/>
      <c r="S401" s="11"/>
      <c r="T401" s="1"/>
      <c r="U401" s="1"/>
      <c r="V401" s="1"/>
      <c r="W401" s="1"/>
      <c r="X401" s="1"/>
      <c r="Y401" s="1"/>
      <c r="Z401" s="1"/>
    </row>
    <row r="402" ht="18.0" customHeight="1" outlineLevel="2">
      <c r="A402" s="26">
        <v>6.0</v>
      </c>
      <c r="B402" s="28" t="s">
        <v>950</v>
      </c>
      <c r="C402" s="26" t="s">
        <v>951</v>
      </c>
      <c r="D402" s="26" t="s">
        <v>908</v>
      </c>
      <c r="E402" s="29" t="s">
        <v>33</v>
      </c>
      <c r="F402" s="15"/>
      <c r="G402" s="30">
        <v>60.0</v>
      </c>
      <c r="H402" s="11"/>
      <c r="I402" s="7"/>
      <c r="J402" s="32" t="s">
        <v>952</v>
      </c>
      <c r="K402" s="17"/>
      <c r="L402" s="17" t="b">
        <f>IF(OR(COUNTIF('クラス'!$A$1:$A$1267,$B402)&gt;0,$B402="",$M402=""),"",True)</f>
        <v>1</v>
      </c>
      <c r="M402" s="1" t="str">
        <f t="shared" si="9"/>
        <v>存在しない</v>
      </c>
      <c r="N402" s="1"/>
      <c r="O402" s="1"/>
      <c r="P402" s="11"/>
      <c r="Q402" s="11"/>
      <c r="R402" s="11"/>
      <c r="S402" s="11"/>
      <c r="T402" s="1"/>
      <c r="U402" s="1"/>
      <c r="V402" s="1"/>
      <c r="W402" s="1"/>
      <c r="X402" s="1"/>
      <c r="Y402" s="1"/>
      <c r="Z402" s="1"/>
    </row>
    <row r="403" ht="18.0" customHeight="1" outlineLevel="2">
      <c r="A403" s="26">
        <v>6.0</v>
      </c>
      <c r="B403" s="28" t="s">
        <v>953</v>
      </c>
      <c r="C403" s="26" t="s">
        <v>954</v>
      </c>
      <c r="D403" s="26" t="s">
        <v>908</v>
      </c>
      <c r="E403" s="29" t="s">
        <v>33</v>
      </c>
      <c r="F403" s="15"/>
      <c r="G403" s="30">
        <v>60.0</v>
      </c>
      <c r="H403" s="11"/>
      <c r="I403" s="7"/>
      <c r="J403" s="32" t="s">
        <v>955</v>
      </c>
      <c r="K403" s="33" t="s">
        <v>304</v>
      </c>
      <c r="L403" s="17" t="b">
        <f>IF(OR(COUNTIF('クラス'!$A$1:$A$1267,$B403)&gt;0,$B403="",$M403=""),"",True)</f>
        <v>1</v>
      </c>
      <c r="M403" s="1" t="str">
        <f t="shared" si="9"/>
        <v>存在しない</v>
      </c>
      <c r="N403" s="1"/>
      <c r="O403" s="1"/>
      <c r="P403" s="11"/>
      <c r="Q403" s="11"/>
      <c r="R403" s="11"/>
      <c r="S403" s="11"/>
      <c r="T403" s="1"/>
      <c r="U403" s="1"/>
      <c r="V403" s="1"/>
      <c r="W403" s="1"/>
      <c r="X403" s="1"/>
      <c r="Y403" s="1"/>
      <c r="Z403" s="1"/>
    </row>
    <row r="404" ht="18.0" customHeight="1" outlineLevel="2">
      <c r="A404" s="26">
        <v>6.0</v>
      </c>
      <c r="B404" s="28" t="s">
        <v>956</v>
      </c>
      <c r="C404" s="1"/>
      <c r="D404" s="1"/>
      <c r="E404" s="14"/>
      <c r="F404" s="15"/>
      <c r="G404" s="30">
        <v>60.0</v>
      </c>
      <c r="H404" s="31" t="s">
        <v>957</v>
      </c>
      <c r="I404" s="7"/>
      <c r="J404" s="7"/>
      <c r="K404" s="17"/>
      <c r="L404" s="17" t="b">
        <f>IF(OR(COUNTIF('クラス'!$A$1:$A$1267,$B404)&gt;0,$B404="",$M404=""),"",True)</f>
        <v>1</v>
      </c>
      <c r="M404" s="1" t="str">
        <f t="shared" si="9"/>
        <v>存在しない</v>
      </c>
      <c r="N404" s="1"/>
      <c r="O404" s="1"/>
      <c r="P404" s="11"/>
      <c r="Q404" s="11"/>
      <c r="R404" s="11"/>
      <c r="S404" s="11"/>
      <c r="T404" s="1"/>
      <c r="U404" s="1"/>
      <c r="V404" s="1"/>
      <c r="W404" s="1"/>
      <c r="X404" s="1"/>
      <c r="Y404" s="1"/>
      <c r="Z404" s="1"/>
    </row>
    <row r="405" ht="18.0" customHeight="1" outlineLevel="2">
      <c r="A405" s="26">
        <v>7.0</v>
      </c>
      <c r="B405" s="28" t="s">
        <v>958</v>
      </c>
      <c r="C405" s="26" t="s">
        <v>959</v>
      </c>
      <c r="D405" s="26" t="s">
        <v>908</v>
      </c>
      <c r="E405" s="29" t="s">
        <v>33</v>
      </c>
      <c r="F405" s="15"/>
      <c r="G405" s="30">
        <v>60.0</v>
      </c>
      <c r="H405" s="11"/>
      <c r="I405" s="7"/>
      <c r="J405" s="32" t="s">
        <v>960</v>
      </c>
      <c r="K405" s="33" t="s">
        <v>255</v>
      </c>
      <c r="L405" s="17" t="b">
        <f>IF(OR(COUNTIF('クラス'!$A$1:$A$1267,$B405)&gt;0,$B405="",$M405=""),"",True)</f>
        <v>1</v>
      </c>
      <c r="M405" s="1" t="str">
        <f t="shared" si="9"/>
        <v>存在しない</v>
      </c>
      <c r="N405" s="1"/>
      <c r="O405" s="1"/>
      <c r="P405" s="11"/>
      <c r="Q405" s="11"/>
      <c r="R405" s="11"/>
      <c r="S405" s="11"/>
      <c r="T405" s="1"/>
      <c r="U405" s="1"/>
      <c r="V405" s="1"/>
      <c r="W405" s="1"/>
      <c r="X405" s="1"/>
      <c r="Y405" s="1"/>
      <c r="Z405" s="1"/>
    </row>
    <row r="406" ht="18.0" customHeight="1" outlineLevel="2">
      <c r="A406" s="26">
        <v>7.0</v>
      </c>
      <c r="B406" s="28" t="s">
        <v>961</v>
      </c>
      <c r="C406" s="1"/>
      <c r="D406" s="1"/>
      <c r="E406" s="14"/>
      <c r="F406" s="15"/>
      <c r="G406" s="30">
        <v>60.0</v>
      </c>
      <c r="H406" s="11"/>
      <c r="I406" s="7"/>
      <c r="J406" s="7"/>
      <c r="K406" s="17"/>
      <c r="L406" s="17" t="b">
        <f>IF(OR(COUNTIF('クラス'!$A$1:$A$1267,$B406)&gt;0,$B406="",$M406=""),"",True)</f>
        <v>1</v>
      </c>
      <c r="M406" s="1" t="str">
        <f t="shared" si="9"/>
        <v>存在しない</v>
      </c>
      <c r="N406" s="1"/>
      <c r="O406" s="1"/>
      <c r="P406" s="11"/>
      <c r="Q406" s="11"/>
      <c r="R406" s="11"/>
      <c r="S406" s="11"/>
      <c r="T406" s="1"/>
      <c r="U406" s="1"/>
      <c r="V406" s="1"/>
      <c r="W406" s="1"/>
      <c r="X406" s="1"/>
      <c r="Y406" s="1"/>
      <c r="Z406" s="1"/>
    </row>
    <row r="407" ht="18.0" customHeight="1" outlineLevel="1">
      <c r="A407" s="26"/>
      <c r="B407" s="24"/>
      <c r="C407" s="26" t="s">
        <v>962</v>
      </c>
      <c r="D407" s="1"/>
      <c r="E407" s="14"/>
      <c r="F407" s="15"/>
      <c r="G407" s="30"/>
      <c r="H407" s="11"/>
      <c r="I407" s="7"/>
      <c r="J407" s="7"/>
      <c r="K407" s="17"/>
      <c r="L407" s="17" t="str">
        <f>IF(OR(COUNTIF('クラス'!$A$1:$A$1267,$B407)&gt;0,$B407="",$M407=""),"",True)</f>
        <v/>
      </c>
      <c r="M407" s="1" t="str">
        <f t="shared" si="9"/>
        <v>存在しない</v>
      </c>
      <c r="N407" s="1"/>
      <c r="O407" s="1"/>
      <c r="P407" s="11"/>
      <c r="Q407" s="11"/>
      <c r="R407" s="11"/>
      <c r="S407" s="11"/>
      <c r="T407" s="1"/>
      <c r="U407" s="1"/>
      <c r="V407" s="1"/>
      <c r="W407" s="1"/>
      <c r="X407" s="1"/>
      <c r="Y407" s="1"/>
      <c r="Z407" s="1"/>
    </row>
    <row r="408" ht="18.0" customHeight="1" outlineLevel="2">
      <c r="A408" s="26">
        <v>1.0</v>
      </c>
      <c r="B408" s="28" t="s">
        <v>963</v>
      </c>
      <c r="C408" s="26" t="s">
        <v>964</v>
      </c>
      <c r="D408" s="26" t="s">
        <v>965</v>
      </c>
      <c r="E408" s="14"/>
      <c r="F408" s="15"/>
      <c r="G408" s="30">
        <v>60.0</v>
      </c>
      <c r="H408" s="11"/>
      <c r="I408" s="7"/>
      <c r="J408" s="7"/>
      <c r="K408" s="17"/>
      <c r="L408" s="17" t="b">
        <f>IF(OR(COUNTIF('クラス'!$A$1:$A$1267,$B408)&gt;0,$B408="",$M408=""),"",True)</f>
        <v>1</v>
      </c>
      <c r="M408" s="1" t="str">
        <f t="shared" si="9"/>
        <v>存在しない</v>
      </c>
      <c r="N408" s="1"/>
      <c r="O408" s="1"/>
      <c r="P408" s="11"/>
      <c r="Q408" s="11"/>
      <c r="R408" s="11"/>
      <c r="S408" s="11"/>
      <c r="T408" s="1"/>
      <c r="U408" s="1"/>
      <c r="V408" s="1"/>
      <c r="W408" s="1"/>
      <c r="X408" s="1"/>
      <c r="Y408" s="1"/>
      <c r="Z408" s="1"/>
    </row>
    <row r="409" ht="18.0" customHeight="1" outlineLevel="2">
      <c r="A409" s="26">
        <v>1.0</v>
      </c>
      <c r="B409" s="28" t="s">
        <v>966</v>
      </c>
      <c r="C409" s="26" t="s">
        <v>967</v>
      </c>
      <c r="D409" s="26" t="s">
        <v>965</v>
      </c>
      <c r="E409" s="14"/>
      <c r="F409" s="15"/>
      <c r="G409" s="30">
        <v>60.0</v>
      </c>
      <c r="H409" s="22" t="s">
        <v>968</v>
      </c>
      <c r="I409" s="7"/>
      <c r="J409" s="7"/>
      <c r="K409" s="33" t="s">
        <v>238</v>
      </c>
      <c r="L409" s="17" t="b">
        <f>IF(OR(COUNTIF('クラス'!$A$1:$A$1267,$B409)&gt;0,$B409="",$M409=""),"",True)</f>
        <v>1</v>
      </c>
      <c r="M409" s="1" t="str">
        <f t="shared" si="9"/>
        <v>存在しない</v>
      </c>
      <c r="N409" s="1"/>
      <c r="O409" s="1"/>
      <c r="P409" s="11"/>
      <c r="Q409" s="11"/>
      <c r="R409" s="11"/>
      <c r="S409" s="11"/>
      <c r="T409" s="1"/>
      <c r="U409" s="1"/>
      <c r="V409" s="1"/>
      <c r="W409" s="1"/>
      <c r="X409" s="1"/>
      <c r="Y409" s="1"/>
      <c r="Z409" s="1"/>
    </row>
    <row r="410" ht="18.0" customHeight="1" outlineLevel="2">
      <c r="A410" s="26">
        <v>2.0</v>
      </c>
      <c r="B410" s="28" t="s">
        <v>969</v>
      </c>
      <c r="C410" s="26" t="s">
        <v>970</v>
      </c>
      <c r="D410" s="26" t="s">
        <v>965</v>
      </c>
      <c r="E410" s="29" t="s">
        <v>33</v>
      </c>
      <c r="F410" s="15"/>
      <c r="G410" s="30">
        <v>60.0</v>
      </c>
      <c r="H410" s="11"/>
      <c r="I410" s="7"/>
      <c r="J410" s="32" t="s">
        <v>971</v>
      </c>
      <c r="K410" s="17"/>
      <c r="L410" s="17" t="b">
        <f>IF(OR(COUNTIF('クラス'!$A$1:$A$1267,$B410)&gt;0,$B410="",$M410=""),"",True)</f>
        <v>1</v>
      </c>
      <c r="M410" s="1" t="str">
        <f t="shared" si="9"/>
        <v>存在しない</v>
      </c>
      <c r="N410" s="1"/>
      <c r="O410" s="1"/>
      <c r="P410" s="11"/>
      <c r="Q410" s="11"/>
      <c r="R410" s="11"/>
      <c r="S410" s="11"/>
      <c r="T410" s="1"/>
      <c r="U410" s="1"/>
      <c r="V410" s="1"/>
      <c r="W410" s="1"/>
      <c r="X410" s="1"/>
      <c r="Y410" s="1"/>
      <c r="Z410" s="1"/>
    </row>
    <row r="411" ht="18.0" customHeight="1" outlineLevel="2">
      <c r="A411" s="26">
        <v>2.0</v>
      </c>
      <c r="B411" s="28" t="s">
        <v>972</v>
      </c>
      <c r="C411" s="1"/>
      <c r="D411" s="26" t="s">
        <v>965</v>
      </c>
      <c r="E411" s="14"/>
      <c r="F411" s="15"/>
      <c r="G411" s="30">
        <v>60.0</v>
      </c>
      <c r="H411" s="11"/>
      <c r="I411" s="7"/>
      <c r="J411" s="7"/>
      <c r="K411" s="17"/>
      <c r="L411" s="17" t="b">
        <f>IF(OR(COUNTIF('クラス'!$A$1:$A$1267,$B411)&gt;0,$B411="",$M411=""),"",True)</f>
        <v>1</v>
      </c>
      <c r="M411" s="1" t="str">
        <f t="shared" si="9"/>
        <v>存在しない</v>
      </c>
      <c r="N411" s="1"/>
      <c r="O411" s="1"/>
      <c r="P411" s="11"/>
      <c r="Q411" s="11"/>
      <c r="R411" s="11"/>
      <c r="S411" s="11"/>
      <c r="T411" s="1"/>
      <c r="U411" s="1"/>
      <c r="V411" s="1"/>
      <c r="W411" s="1"/>
      <c r="X411" s="1"/>
      <c r="Y411" s="1"/>
      <c r="Z411" s="1"/>
    </row>
    <row r="412" ht="18.0" customHeight="1" outlineLevel="2">
      <c r="A412" s="26">
        <v>2.0</v>
      </c>
      <c r="B412" s="28" t="s">
        <v>973</v>
      </c>
      <c r="C412" s="26" t="s">
        <v>974</v>
      </c>
      <c r="D412" s="26" t="s">
        <v>965</v>
      </c>
      <c r="E412" s="14"/>
      <c r="F412" s="15"/>
      <c r="G412" s="30">
        <v>60.0</v>
      </c>
      <c r="H412" s="22" t="s">
        <v>975</v>
      </c>
      <c r="I412" s="7"/>
      <c r="J412" s="32" t="s">
        <v>976</v>
      </c>
      <c r="K412" s="33" t="s">
        <v>669</v>
      </c>
      <c r="L412" s="17" t="b">
        <f>IF(OR(COUNTIF('クラス'!$A$1:$A$1267,$B412)&gt;0,$B412="",$M412=""),"",True)</f>
        <v>1</v>
      </c>
      <c r="M412" s="1" t="str">
        <f t="shared" si="9"/>
        <v>存在しない</v>
      </c>
      <c r="N412" s="1"/>
      <c r="O412" s="1"/>
      <c r="P412" s="11"/>
      <c r="Q412" s="11"/>
      <c r="R412" s="11"/>
      <c r="S412" s="11"/>
      <c r="T412" s="1"/>
      <c r="U412" s="1"/>
      <c r="V412" s="1"/>
      <c r="W412" s="1"/>
      <c r="X412" s="1"/>
      <c r="Y412" s="1"/>
      <c r="Z412" s="1"/>
    </row>
    <row r="413" ht="18.0" customHeight="1" outlineLevel="2">
      <c r="A413" s="26">
        <v>2.0</v>
      </c>
      <c r="B413" s="28" t="s">
        <v>977</v>
      </c>
      <c r="C413" s="1"/>
      <c r="D413" s="26" t="s">
        <v>965</v>
      </c>
      <c r="E413" s="14"/>
      <c r="F413" s="15"/>
      <c r="G413" s="30">
        <v>60.0</v>
      </c>
      <c r="H413" s="11"/>
      <c r="I413" s="7"/>
      <c r="J413" s="7"/>
      <c r="K413" s="33" t="s">
        <v>418</v>
      </c>
      <c r="L413" s="17" t="b">
        <f>IF(OR(COUNTIF('クラス'!$A$1:$A$1267,$B413)&gt;0,$B413="",$M413=""),"",True)</f>
        <v>1</v>
      </c>
      <c r="M413" s="1" t="str">
        <f t="shared" si="9"/>
        <v>存在しない</v>
      </c>
      <c r="N413" s="1"/>
      <c r="O413" s="1"/>
      <c r="P413" s="11"/>
      <c r="Q413" s="11"/>
      <c r="R413" s="11"/>
      <c r="S413" s="11"/>
      <c r="T413" s="1"/>
      <c r="U413" s="1"/>
      <c r="V413" s="1"/>
      <c r="W413" s="1"/>
      <c r="X413" s="1"/>
      <c r="Y413" s="1"/>
      <c r="Z413" s="1"/>
    </row>
    <row r="414" ht="18.0" customHeight="1" outlineLevel="2">
      <c r="A414" s="26">
        <v>2.0</v>
      </c>
      <c r="B414" s="28" t="s">
        <v>978</v>
      </c>
      <c r="C414" s="1"/>
      <c r="D414" s="26" t="s">
        <v>965</v>
      </c>
      <c r="E414" s="14"/>
      <c r="F414" s="15"/>
      <c r="G414" s="30">
        <v>60.0</v>
      </c>
      <c r="H414" s="31" t="s">
        <v>979</v>
      </c>
      <c r="I414" s="7"/>
      <c r="J414" s="7"/>
      <c r="K414" s="33" t="s">
        <v>980</v>
      </c>
      <c r="L414" s="17" t="b">
        <f>IF(OR(COUNTIF('クラス'!$A$1:$A$1267,$B414)&gt;0,$B414="",$M414=""),"",True)</f>
        <v>1</v>
      </c>
      <c r="M414" s="1" t="str">
        <f t="shared" si="9"/>
        <v>存在しない</v>
      </c>
      <c r="N414" s="1"/>
      <c r="O414" s="1"/>
      <c r="P414" s="11"/>
      <c r="Q414" s="11"/>
      <c r="R414" s="11"/>
      <c r="S414" s="11"/>
      <c r="T414" s="1"/>
      <c r="U414" s="1"/>
      <c r="V414" s="1"/>
      <c r="W414" s="1"/>
      <c r="X414" s="1"/>
      <c r="Y414" s="1"/>
      <c r="Z414" s="1"/>
    </row>
    <row r="415" ht="18.0" customHeight="1" outlineLevel="2">
      <c r="A415" s="26">
        <v>2.0</v>
      </c>
      <c r="B415" s="28" t="s">
        <v>981</v>
      </c>
      <c r="C415" s="1"/>
      <c r="D415" s="26" t="s">
        <v>965</v>
      </c>
      <c r="E415" s="14"/>
      <c r="F415" s="15"/>
      <c r="G415" s="30">
        <v>60.0</v>
      </c>
      <c r="H415" s="11"/>
      <c r="I415" s="7"/>
      <c r="J415" s="7"/>
      <c r="K415" s="33" t="s">
        <v>335</v>
      </c>
      <c r="L415" s="17" t="b">
        <f>IF(OR(COUNTIF('クラス'!$A$1:$A$1267,$B415)&gt;0,$B415="",$M415=""),"",True)</f>
        <v>1</v>
      </c>
      <c r="M415" s="1" t="str">
        <f t="shared" si="9"/>
        <v>存在しない</v>
      </c>
      <c r="N415" s="1"/>
      <c r="O415" s="1"/>
      <c r="P415" s="11"/>
      <c r="Q415" s="11"/>
      <c r="R415" s="11"/>
      <c r="S415" s="11"/>
      <c r="T415" s="1"/>
      <c r="U415" s="1"/>
      <c r="V415" s="1"/>
      <c r="W415" s="1"/>
      <c r="X415" s="1"/>
      <c r="Y415" s="1"/>
      <c r="Z415" s="1"/>
    </row>
    <row r="416" ht="18.0" customHeight="1" outlineLevel="2">
      <c r="A416" s="26">
        <v>3.0</v>
      </c>
      <c r="B416" s="28" t="s">
        <v>982</v>
      </c>
      <c r="C416" s="26" t="s">
        <v>983</v>
      </c>
      <c r="D416" s="26" t="s">
        <v>965</v>
      </c>
      <c r="E416" s="29" t="s">
        <v>33</v>
      </c>
      <c r="F416" s="15"/>
      <c r="G416" s="30">
        <v>60.0</v>
      </c>
      <c r="H416" s="11"/>
      <c r="I416" s="7"/>
      <c r="J416" s="32" t="s">
        <v>984</v>
      </c>
      <c r="K416" s="33" t="s">
        <v>418</v>
      </c>
      <c r="L416" s="17" t="b">
        <f>IF(OR(COUNTIF('クラス'!$A$1:$A$1267,$B416)&gt;0,$B416="",$M416=""),"",True)</f>
        <v>1</v>
      </c>
      <c r="M416" s="1" t="str">
        <f t="shared" si="9"/>
        <v>存在しない</v>
      </c>
      <c r="N416" s="1"/>
      <c r="O416" s="1"/>
      <c r="P416" s="11"/>
      <c r="Q416" s="11"/>
      <c r="R416" s="11"/>
      <c r="S416" s="11"/>
      <c r="T416" s="1"/>
      <c r="U416" s="1"/>
      <c r="V416" s="1"/>
      <c r="W416" s="1"/>
      <c r="X416" s="1"/>
      <c r="Y416" s="1"/>
      <c r="Z416" s="1"/>
    </row>
    <row r="417" ht="18.0" customHeight="1" outlineLevel="2">
      <c r="A417" s="26">
        <v>3.0</v>
      </c>
      <c r="B417" s="28" t="s">
        <v>985</v>
      </c>
      <c r="C417" s="26" t="s">
        <v>986</v>
      </c>
      <c r="D417" s="26" t="s">
        <v>965</v>
      </c>
      <c r="E417" s="29" t="s">
        <v>33</v>
      </c>
      <c r="F417" s="15"/>
      <c r="G417" s="30">
        <v>60.0</v>
      </c>
      <c r="H417" s="11"/>
      <c r="I417" s="7"/>
      <c r="J417" s="32" t="s">
        <v>987</v>
      </c>
      <c r="K417" s="33" t="s">
        <v>669</v>
      </c>
      <c r="L417" s="17" t="b">
        <f>IF(OR(COUNTIF('クラス'!$A$1:$A$1267,$B417)&gt;0,$B417="",$M417=""),"",True)</f>
        <v>1</v>
      </c>
      <c r="M417" s="1" t="str">
        <f t="shared" si="9"/>
        <v>存在しない</v>
      </c>
      <c r="N417" s="1"/>
      <c r="O417" s="1"/>
      <c r="P417" s="11"/>
      <c r="Q417" s="11"/>
      <c r="R417" s="11"/>
      <c r="S417" s="11"/>
      <c r="T417" s="1"/>
      <c r="U417" s="1"/>
      <c r="V417" s="1"/>
      <c r="W417" s="1"/>
      <c r="X417" s="1"/>
      <c r="Y417" s="1"/>
      <c r="Z417" s="1"/>
    </row>
    <row r="418" ht="18.0" customHeight="1" outlineLevel="2">
      <c r="A418" s="26">
        <v>3.0</v>
      </c>
      <c r="B418" s="28" t="s">
        <v>988</v>
      </c>
      <c r="C418" s="1"/>
      <c r="D418" s="26" t="s">
        <v>965</v>
      </c>
      <c r="E418" s="14"/>
      <c r="F418" s="15"/>
      <c r="G418" s="30">
        <v>60.0</v>
      </c>
      <c r="H418" s="11"/>
      <c r="I418" s="7"/>
      <c r="J418" s="7"/>
      <c r="K418" s="17"/>
      <c r="L418" s="17" t="b">
        <f>IF(OR(COUNTIF('クラス'!$A$1:$A$1267,$B418)&gt;0,$B418="",$M418=""),"",True)</f>
        <v>1</v>
      </c>
      <c r="M418" s="1" t="str">
        <f t="shared" si="9"/>
        <v>存在しない</v>
      </c>
      <c r="N418" s="1"/>
      <c r="O418" s="1"/>
      <c r="P418" s="11"/>
      <c r="Q418" s="11"/>
      <c r="R418" s="11"/>
      <c r="S418" s="11"/>
      <c r="T418" s="1"/>
      <c r="U418" s="1"/>
      <c r="V418" s="1"/>
      <c r="W418" s="1"/>
      <c r="X418" s="1"/>
      <c r="Y418" s="1"/>
      <c r="Z418" s="1"/>
    </row>
    <row r="419" ht="18.0" customHeight="1" outlineLevel="2">
      <c r="A419" s="26">
        <v>3.0</v>
      </c>
      <c r="B419" s="28" t="s">
        <v>989</v>
      </c>
      <c r="C419" s="26" t="s">
        <v>990</v>
      </c>
      <c r="D419" s="26" t="s">
        <v>965</v>
      </c>
      <c r="E419" s="14"/>
      <c r="F419" s="15"/>
      <c r="G419" s="30">
        <v>60.0</v>
      </c>
      <c r="H419" s="11"/>
      <c r="I419" s="7"/>
      <c r="J419" s="7"/>
      <c r="K419" s="17"/>
      <c r="L419" s="17" t="b">
        <f>IF(OR(COUNTIF('クラス'!$A$1:$A$1267,$B419)&gt;0,$B419="",$M419=""),"",True)</f>
        <v>1</v>
      </c>
      <c r="M419" s="1" t="str">
        <f t="shared" si="9"/>
        <v>存在しない</v>
      </c>
      <c r="N419" s="1"/>
      <c r="O419" s="1"/>
      <c r="P419" s="11"/>
      <c r="Q419" s="11"/>
      <c r="R419" s="11"/>
      <c r="S419" s="11"/>
      <c r="T419" s="1"/>
      <c r="U419" s="1"/>
      <c r="V419" s="1"/>
      <c r="W419" s="1"/>
      <c r="X419" s="1"/>
      <c r="Y419" s="1"/>
      <c r="Z419" s="1"/>
    </row>
    <row r="420" ht="18.0" customHeight="1" outlineLevel="2">
      <c r="A420" s="26">
        <v>3.0</v>
      </c>
      <c r="B420" s="28" t="s">
        <v>991</v>
      </c>
      <c r="C420" s="26" t="s">
        <v>992</v>
      </c>
      <c r="D420" s="26" t="s">
        <v>965</v>
      </c>
      <c r="E420" s="14"/>
      <c r="F420" s="15"/>
      <c r="G420" s="30">
        <v>60.0</v>
      </c>
      <c r="H420" s="11"/>
      <c r="I420" s="7"/>
      <c r="J420" s="7"/>
      <c r="K420" s="33" t="s">
        <v>669</v>
      </c>
      <c r="L420" s="17" t="b">
        <f>IF(OR(COUNTIF('クラス'!$A$1:$A$1267,$B420)&gt;0,$B420="",$M420=""),"",True)</f>
        <v>1</v>
      </c>
      <c r="M420" s="1" t="str">
        <f t="shared" si="9"/>
        <v>存在しない</v>
      </c>
      <c r="N420" s="1"/>
      <c r="O420" s="1"/>
      <c r="P420" s="11"/>
      <c r="Q420" s="11"/>
      <c r="R420" s="11"/>
      <c r="S420" s="11"/>
      <c r="T420" s="1"/>
      <c r="U420" s="1"/>
      <c r="V420" s="1"/>
      <c r="W420" s="1"/>
      <c r="X420" s="1"/>
      <c r="Y420" s="1"/>
      <c r="Z420" s="1"/>
    </row>
    <row r="421" ht="18.0" customHeight="1" outlineLevel="2">
      <c r="A421" s="26">
        <v>3.0</v>
      </c>
      <c r="B421" s="28" t="s">
        <v>993</v>
      </c>
      <c r="C421" s="1"/>
      <c r="D421" s="26" t="s">
        <v>965</v>
      </c>
      <c r="E421" s="14"/>
      <c r="F421" s="15"/>
      <c r="G421" s="30">
        <v>60.0</v>
      </c>
      <c r="H421" s="11"/>
      <c r="I421" s="7"/>
      <c r="J421" s="7"/>
      <c r="K421" s="33" t="s">
        <v>418</v>
      </c>
      <c r="L421" s="17" t="b">
        <f>IF(OR(COUNTIF('クラス'!$A$1:$A$1267,$B421)&gt;0,$B421="",$M421=""),"",True)</f>
        <v>1</v>
      </c>
      <c r="M421" s="1" t="str">
        <f t="shared" si="9"/>
        <v>存在しない</v>
      </c>
      <c r="N421" s="1"/>
      <c r="O421" s="1"/>
      <c r="P421" s="11"/>
      <c r="Q421" s="11"/>
      <c r="R421" s="11"/>
      <c r="S421" s="11"/>
      <c r="T421" s="1"/>
      <c r="U421" s="1"/>
      <c r="V421" s="1"/>
      <c r="W421" s="1"/>
      <c r="X421" s="1"/>
      <c r="Y421" s="1"/>
      <c r="Z421" s="1"/>
    </row>
    <row r="422" ht="18.0" customHeight="1" outlineLevel="2">
      <c r="A422" s="26">
        <v>3.0</v>
      </c>
      <c r="B422" s="28" t="s">
        <v>994</v>
      </c>
      <c r="C422" s="1"/>
      <c r="D422" s="26" t="s">
        <v>965</v>
      </c>
      <c r="E422" s="14"/>
      <c r="F422" s="15"/>
      <c r="G422" s="30">
        <v>60.0</v>
      </c>
      <c r="H422" s="31" t="s">
        <v>995</v>
      </c>
      <c r="I422" s="7"/>
      <c r="J422" s="7"/>
      <c r="K422" s="33" t="s">
        <v>980</v>
      </c>
      <c r="L422" s="17" t="b">
        <f>IF(OR(COUNTIF('クラス'!$A$1:$A$1267,$B422)&gt;0,$B422="",$M422=""),"",True)</f>
        <v>1</v>
      </c>
      <c r="M422" s="1" t="str">
        <f t="shared" si="9"/>
        <v>存在しない</v>
      </c>
      <c r="N422" s="1"/>
      <c r="O422" s="1"/>
      <c r="P422" s="11"/>
      <c r="Q422" s="11"/>
      <c r="R422" s="11"/>
      <c r="S422" s="11"/>
      <c r="T422" s="1"/>
      <c r="U422" s="1"/>
      <c r="V422" s="1"/>
      <c r="W422" s="1"/>
      <c r="X422" s="1"/>
      <c r="Y422" s="1"/>
      <c r="Z422" s="1"/>
    </row>
    <row r="423" ht="18.0" customHeight="1" outlineLevel="2">
      <c r="A423" s="26">
        <v>3.0</v>
      </c>
      <c r="B423" s="28" t="s">
        <v>996</v>
      </c>
      <c r="C423" s="1"/>
      <c r="D423" s="26" t="s">
        <v>965</v>
      </c>
      <c r="E423" s="14"/>
      <c r="F423" s="15"/>
      <c r="G423" s="30">
        <v>60.0</v>
      </c>
      <c r="H423" s="11"/>
      <c r="I423" s="7"/>
      <c r="J423" s="7"/>
      <c r="K423" s="33" t="s">
        <v>335</v>
      </c>
      <c r="L423" s="17" t="b">
        <f>IF(OR(COUNTIF('クラス'!$A$1:$A$1267,$B423)&gt;0,$B423="",$M423=""),"",True)</f>
        <v>1</v>
      </c>
      <c r="M423" s="1" t="str">
        <f t="shared" si="9"/>
        <v>存在しない</v>
      </c>
      <c r="N423" s="1"/>
      <c r="O423" s="1"/>
      <c r="P423" s="11"/>
      <c r="Q423" s="11"/>
      <c r="R423" s="11"/>
      <c r="S423" s="11"/>
      <c r="T423" s="1"/>
      <c r="U423" s="1"/>
      <c r="V423" s="1"/>
      <c r="W423" s="1"/>
      <c r="X423" s="1"/>
      <c r="Y423" s="1"/>
      <c r="Z423" s="1"/>
    </row>
    <row r="424" ht="18.0" customHeight="1" outlineLevel="2">
      <c r="A424" s="26">
        <v>4.0</v>
      </c>
      <c r="B424" s="28" t="s">
        <v>997</v>
      </c>
      <c r="C424" s="26" t="s">
        <v>998</v>
      </c>
      <c r="D424" s="26" t="s">
        <v>965</v>
      </c>
      <c r="E424" s="29" t="s">
        <v>33</v>
      </c>
      <c r="F424" s="15"/>
      <c r="G424" s="30">
        <v>60.0</v>
      </c>
      <c r="H424" s="11"/>
      <c r="I424" s="7"/>
      <c r="J424" s="32" t="s">
        <v>999</v>
      </c>
      <c r="K424" s="33" t="s">
        <v>418</v>
      </c>
      <c r="L424" s="17" t="b">
        <f>IF(OR(COUNTIF('クラス'!$A$1:$A$1267,$B424)&gt;0,$B424="",$M424=""),"",True)</f>
        <v>1</v>
      </c>
      <c r="M424" s="1" t="str">
        <f t="shared" si="9"/>
        <v>存在しない</v>
      </c>
      <c r="N424" s="1"/>
      <c r="O424" s="1"/>
      <c r="P424" s="11"/>
      <c r="Q424" s="11"/>
      <c r="R424" s="11"/>
      <c r="S424" s="11"/>
      <c r="T424" s="1"/>
      <c r="U424" s="1"/>
      <c r="V424" s="1"/>
      <c r="W424" s="1"/>
      <c r="X424" s="1"/>
      <c r="Y424" s="1"/>
      <c r="Z424" s="1"/>
    </row>
    <row r="425" ht="18.0" customHeight="1" outlineLevel="2">
      <c r="A425" s="26">
        <v>4.0</v>
      </c>
      <c r="B425" s="28" t="s">
        <v>1000</v>
      </c>
      <c r="C425" s="26" t="s">
        <v>1001</v>
      </c>
      <c r="D425" s="26" t="s">
        <v>965</v>
      </c>
      <c r="E425" s="29" t="s">
        <v>33</v>
      </c>
      <c r="F425" s="15"/>
      <c r="G425" s="30">
        <v>60.0</v>
      </c>
      <c r="H425" s="11"/>
      <c r="I425" s="7"/>
      <c r="J425" s="32" t="s">
        <v>1002</v>
      </c>
      <c r="K425" s="17"/>
      <c r="L425" s="17" t="b">
        <f>IF(OR(COUNTIF('クラス'!$A$1:$A$1267,$B425)&gt;0,$B425="",$M425=""),"",True)</f>
        <v>1</v>
      </c>
      <c r="M425" s="1" t="str">
        <f t="shared" si="9"/>
        <v>存在しない</v>
      </c>
      <c r="N425" s="1"/>
      <c r="O425" s="1"/>
      <c r="P425" s="11"/>
      <c r="Q425" s="11"/>
      <c r="R425" s="11"/>
      <c r="S425" s="11"/>
      <c r="T425" s="1"/>
      <c r="U425" s="1"/>
      <c r="V425" s="1"/>
      <c r="W425" s="1"/>
      <c r="X425" s="1"/>
      <c r="Y425" s="1"/>
      <c r="Z425" s="1"/>
    </row>
    <row r="426" ht="18.0" customHeight="1" outlineLevel="2">
      <c r="A426" s="26">
        <v>4.0</v>
      </c>
      <c r="B426" s="28" t="s">
        <v>1003</v>
      </c>
      <c r="C426" s="26" t="s">
        <v>1004</v>
      </c>
      <c r="D426" s="26" t="s">
        <v>965</v>
      </c>
      <c r="E426" s="29" t="s">
        <v>33</v>
      </c>
      <c r="F426" s="15"/>
      <c r="G426" s="30">
        <v>60.0</v>
      </c>
      <c r="H426" s="11"/>
      <c r="I426" s="7"/>
      <c r="J426" s="32" t="s">
        <v>1005</v>
      </c>
      <c r="K426" s="33" t="s">
        <v>669</v>
      </c>
      <c r="L426" s="17" t="b">
        <f>IF(OR(COUNTIF('クラス'!$A$1:$A$1267,$B426)&gt;0,$B426="",$M426=""),"",True)</f>
        <v>1</v>
      </c>
      <c r="M426" s="1" t="str">
        <f t="shared" si="9"/>
        <v>存在しない</v>
      </c>
      <c r="N426" s="1"/>
      <c r="O426" s="1"/>
      <c r="P426" s="11"/>
      <c r="Q426" s="11"/>
      <c r="R426" s="11"/>
      <c r="S426" s="11"/>
      <c r="T426" s="1"/>
      <c r="U426" s="1"/>
      <c r="V426" s="1"/>
      <c r="W426" s="1"/>
      <c r="X426" s="1"/>
      <c r="Y426" s="1"/>
      <c r="Z426" s="1"/>
    </row>
    <row r="427" ht="18.0" customHeight="1" outlineLevel="2">
      <c r="A427" s="26">
        <v>4.0</v>
      </c>
      <c r="B427" s="28" t="s">
        <v>1006</v>
      </c>
      <c r="C427" s="1"/>
      <c r="D427" s="26" t="s">
        <v>965</v>
      </c>
      <c r="E427" s="14"/>
      <c r="F427" s="15"/>
      <c r="G427" s="30">
        <v>60.0</v>
      </c>
      <c r="H427" s="11"/>
      <c r="I427" s="7"/>
      <c r="J427" s="7"/>
      <c r="K427" s="17"/>
      <c r="L427" s="17" t="b">
        <f>IF(OR(COUNTIF('クラス'!$A$1:$A$1267,$B427)&gt;0,$B427="",$M427=""),"",True)</f>
        <v>1</v>
      </c>
      <c r="M427" s="1" t="str">
        <f t="shared" si="9"/>
        <v>存在しない</v>
      </c>
      <c r="N427" s="1"/>
      <c r="O427" s="1"/>
      <c r="P427" s="11"/>
      <c r="Q427" s="11"/>
      <c r="R427" s="11"/>
      <c r="S427" s="11"/>
      <c r="T427" s="1"/>
      <c r="U427" s="1"/>
      <c r="V427" s="1"/>
      <c r="W427" s="1"/>
      <c r="X427" s="1"/>
      <c r="Y427" s="1"/>
      <c r="Z427" s="1"/>
    </row>
    <row r="428" ht="18.0" customHeight="1" outlineLevel="2">
      <c r="A428" s="26">
        <v>4.0</v>
      </c>
      <c r="B428" s="28" t="s">
        <v>1007</v>
      </c>
      <c r="C428" s="1"/>
      <c r="D428" s="26" t="s">
        <v>965</v>
      </c>
      <c r="E428" s="14"/>
      <c r="F428" s="15"/>
      <c r="G428" s="30">
        <v>60.0</v>
      </c>
      <c r="H428" s="11"/>
      <c r="I428" s="7"/>
      <c r="J428" s="7"/>
      <c r="K428" s="17"/>
      <c r="L428" s="17" t="b">
        <f>IF(OR(COUNTIF('クラス'!$A$1:$A$1267,$B428)&gt;0,$B428="",$M428=""),"",True)</f>
        <v>1</v>
      </c>
      <c r="M428" s="1" t="str">
        <f t="shared" si="9"/>
        <v>存在しない</v>
      </c>
      <c r="N428" s="1"/>
      <c r="O428" s="1"/>
      <c r="P428" s="11"/>
      <c r="Q428" s="11"/>
      <c r="R428" s="11"/>
      <c r="S428" s="11"/>
      <c r="T428" s="1"/>
      <c r="U428" s="1"/>
      <c r="V428" s="1"/>
      <c r="W428" s="1"/>
      <c r="X428" s="1"/>
      <c r="Y428" s="1"/>
      <c r="Z428" s="1"/>
    </row>
    <row r="429" ht="18.0" customHeight="1" outlineLevel="2">
      <c r="A429" s="26">
        <v>4.0</v>
      </c>
      <c r="B429" s="28" t="s">
        <v>1008</v>
      </c>
      <c r="C429" s="26" t="s">
        <v>1009</v>
      </c>
      <c r="D429" s="26" t="s">
        <v>965</v>
      </c>
      <c r="E429" s="14"/>
      <c r="F429" s="15"/>
      <c r="G429" s="30">
        <v>60.0</v>
      </c>
      <c r="H429" s="11"/>
      <c r="I429" s="7"/>
      <c r="J429" s="7"/>
      <c r="K429" s="33" t="s">
        <v>669</v>
      </c>
      <c r="L429" s="17" t="b">
        <f>IF(OR(COUNTIF('クラス'!$A$1:$A$1267,$B429)&gt;0,$B429="",$M429=""),"",True)</f>
        <v>1</v>
      </c>
      <c r="M429" s="1" t="str">
        <f t="shared" si="9"/>
        <v>存在しない</v>
      </c>
      <c r="N429" s="1"/>
      <c r="O429" s="1"/>
      <c r="P429" s="11"/>
      <c r="Q429" s="11"/>
      <c r="R429" s="11"/>
      <c r="S429" s="11"/>
      <c r="T429" s="1"/>
      <c r="U429" s="1"/>
      <c r="V429" s="1"/>
      <c r="W429" s="1"/>
      <c r="X429" s="1"/>
      <c r="Y429" s="1"/>
      <c r="Z429" s="1"/>
    </row>
    <row r="430" ht="18.0" customHeight="1" outlineLevel="2">
      <c r="A430" s="26">
        <v>4.0</v>
      </c>
      <c r="B430" s="28" t="s">
        <v>1010</v>
      </c>
      <c r="C430" s="1"/>
      <c r="D430" s="26" t="s">
        <v>965</v>
      </c>
      <c r="E430" s="14"/>
      <c r="F430" s="15"/>
      <c r="G430" s="30">
        <v>60.0</v>
      </c>
      <c r="H430" s="11"/>
      <c r="I430" s="7"/>
      <c r="J430" s="7"/>
      <c r="K430" s="33" t="s">
        <v>418</v>
      </c>
      <c r="L430" s="17" t="b">
        <f>IF(OR(COUNTIF('クラス'!$A$1:$A$1267,$B430)&gt;0,$B430="",$M430=""),"",True)</f>
        <v>1</v>
      </c>
      <c r="M430" s="1" t="str">
        <f t="shared" si="9"/>
        <v>存在しない</v>
      </c>
      <c r="N430" s="1"/>
      <c r="O430" s="1"/>
      <c r="P430" s="11"/>
      <c r="Q430" s="11"/>
      <c r="R430" s="11"/>
      <c r="S430" s="11"/>
      <c r="T430" s="1"/>
      <c r="U430" s="1"/>
      <c r="V430" s="1"/>
      <c r="W430" s="1"/>
      <c r="X430" s="1"/>
      <c r="Y430" s="1"/>
      <c r="Z430" s="1"/>
    </row>
    <row r="431" ht="18.0" customHeight="1" outlineLevel="2">
      <c r="A431" s="26">
        <v>4.0</v>
      </c>
      <c r="B431" s="28" t="s">
        <v>1011</v>
      </c>
      <c r="C431" s="1"/>
      <c r="D431" s="26" t="s">
        <v>965</v>
      </c>
      <c r="E431" s="14"/>
      <c r="F431" s="15"/>
      <c r="G431" s="30">
        <v>60.0</v>
      </c>
      <c r="H431" s="22" t="s">
        <v>1012</v>
      </c>
      <c r="I431" s="7"/>
      <c r="J431" s="32" t="s">
        <v>1013</v>
      </c>
      <c r="K431" s="33" t="s">
        <v>1014</v>
      </c>
      <c r="L431" s="17" t="b">
        <f>IF(OR(COUNTIF('クラス'!$A$1:$A$1267,$B431)&gt;0,$B431="",$M431=""),"",True)</f>
        <v>1</v>
      </c>
      <c r="M431" s="1" t="str">
        <f t="shared" si="9"/>
        <v>存在しない</v>
      </c>
      <c r="N431" s="1"/>
      <c r="O431" s="1"/>
      <c r="P431" s="11"/>
      <c r="Q431" s="11"/>
      <c r="R431" s="11"/>
      <c r="S431" s="11"/>
      <c r="T431" s="1"/>
      <c r="U431" s="1"/>
      <c r="V431" s="1"/>
      <c r="W431" s="1"/>
      <c r="X431" s="1"/>
      <c r="Y431" s="1"/>
      <c r="Z431" s="1"/>
    </row>
    <row r="432" ht="18.0" customHeight="1" outlineLevel="2">
      <c r="A432" s="26">
        <v>4.0</v>
      </c>
      <c r="B432" s="28" t="s">
        <v>1015</v>
      </c>
      <c r="C432" s="1"/>
      <c r="D432" s="26" t="s">
        <v>965</v>
      </c>
      <c r="E432" s="14"/>
      <c r="F432" s="15"/>
      <c r="G432" s="30">
        <v>60.0</v>
      </c>
      <c r="H432" s="22" t="s">
        <v>1016</v>
      </c>
      <c r="I432" s="7"/>
      <c r="J432" s="7"/>
      <c r="K432" s="33" t="s">
        <v>1017</v>
      </c>
      <c r="L432" s="17" t="b">
        <f>IF(OR(COUNTIF('クラス'!$A$1:$A$1267,$B432)&gt;0,$B432="",$M432=""),"",True)</f>
        <v>1</v>
      </c>
      <c r="M432" s="1" t="str">
        <f t="shared" si="9"/>
        <v>存在しない</v>
      </c>
      <c r="N432" s="1"/>
      <c r="O432" s="1"/>
      <c r="P432" s="11"/>
      <c r="Q432" s="11"/>
      <c r="R432" s="11"/>
      <c r="S432" s="11"/>
      <c r="T432" s="1"/>
      <c r="U432" s="1"/>
      <c r="V432" s="1"/>
      <c r="W432" s="1"/>
      <c r="X432" s="1"/>
      <c r="Y432" s="1"/>
      <c r="Z432" s="1"/>
    </row>
    <row r="433" ht="18.0" customHeight="1" outlineLevel="2">
      <c r="A433" s="26">
        <v>4.0</v>
      </c>
      <c r="B433" s="28" t="s">
        <v>1018</v>
      </c>
      <c r="C433" s="1"/>
      <c r="D433" s="26" t="s">
        <v>965</v>
      </c>
      <c r="E433" s="14"/>
      <c r="F433" s="15"/>
      <c r="G433" s="30">
        <v>60.0</v>
      </c>
      <c r="H433" s="11"/>
      <c r="I433" s="7"/>
      <c r="J433" s="7"/>
      <c r="K433" s="33" t="s">
        <v>335</v>
      </c>
      <c r="L433" s="17" t="b">
        <f>IF(OR(COUNTIF('クラス'!$A$1:$A$1267,$B433)&gt;0,$B433="",$M433=""),"",True)</f>
        <v>1</v>
      </c>
      <c r="M433" s="1" t="str">
        <f t="shared" si="9"/>
        <v>存在しない</v>
      </c>
      <c r="N433" s="1"/>
      <c r="O433" s="1"/>
      <c r="P433" s="11"/>
      <c r="Q433" s="11"/>
      <c r="R433" s="11"/>
      <c r="S433" s="11"/>
      <c r="T433" s="1"/>
      <c r="U433" s="1"/>
      <c r="V433" s="1"/>
      <c r="W433" s="1"/>
      <c r="X433" s="1"/>
      <c r="Y433" s="1"/>
      <c r="Z433" s="1"/>
    </row>
    <row r="434" ht="18.0" customHeight="1" outlineLevel="2">
      <c r="A434" s="26">
        <v>5.0</v>
      </c>
      <c r="B434" s="28" t="s">
        <v>1019</v>
      </c>
      <c r="C434" s="26" t="s">
        <v>1020</v>
      </c>
      <c r="D434" s="26" t="s">
        <v>965</v>
      </c>
      <c r="E434" s="29" t="s">
        <v>33</v>
      </c>
      <c r="F434" s="15"/>
      <c r="G434" s="30">
        <v>60.0</v>
      </c>
      <c r="H434" s="11"/>
      <c r="I434" s="7"/>
      <c r="J434" s="32" t="s">
        <v>1021</v>
      </c>
      <c r="K434" s="33" t="s">
        <v>669</v>
      </c>
      <c r="L434" s="17" t="b">
        <f>IF(OR(COUNTIF('クラス'!$A$1:$A$1267,$B434)&gt;0,$B434="",$M434=""),"",True)</f>
        <v>1</v>
      </c>
      <c r="M434" s="1" t="str">
        <f t="shared" si="9"/>
        <v>存在しない</v>
      </c>
      <c r="N434" s="1"/>
      <c r="O434" s="1"/>
      <c r="P434" s="11"/>
      <c r="Q434" s="11"/>
      <c r="R434" s="11"/>
      <c r="S434" s="11"/>
      <c r="T434" s="1"/>
      <c r="U434" s="1"/>
      <c r="V434" s="1"/>
      <c r="W434" s="1"/>
      <c r="X434" s="1"/>
      <c r="Y434" s="1"/>
      <c r="Z434" s="1"/>
    </row>
    <row r="435" ht="18.0" customHeight="1" outlineLevel="2">
      <c r="A435" s="26">
        <v>5.0</v>
      </c>
      <c r="B435" s="28" t="s">
        <v>1022</v>
      </c>
      <c r="C435" s="26" t="s">
        <v>1023</v>
      </c>
      <c r="D435" s="26" t="s">
        <v>965</v>
      </c>
      <c r="E435" s="29" t="s">
        <v>33</v>
      </c>
      <c r="F435" s="15"/>
      <c r="G435" s="30">
        <v>60.0</v>
      </c>
      <c r="H435" s="11"/>
      <c r="I435" s="7"/>
      <c r="J435" s="32" t="s">
        <v>1024</v>
      </c>
      <c r="K435" s="17"/>
      <c r="L435" s="17" t="b">
        <f>IF(OR(COUNTIF('クラス'!$A$1:$A$1267,$B435)&gt;0,$B435="",$M435=""),"",True)</f>
        <v>1</v>
      </c>
      <c r="M435" s="1" t="str">
        <f t="shared" si="9"/>
        <v>存在しない</v>
      </c>
      <c r="N435" s="1"/>
      <c r="O435" s="1"/>
      <c r="P435" s="11"/>
      <c r="Q435" s="11"/>
      <c r="R435" s="11"/>
      <c r="S435" s="11"/>
      <c r="T435" s="1"/>
      <c r="U435" s="1"/>
      <c r="V435" s="1"/>
      <c r="W435" s="1"/>
      <c r="X435" s="1"/>
      <c r="Y435" s="1"/>
      <c r="Z435" s="1"/>
    </row>
    <row r="436" ht="18.0" customHeight="1" outlineLevel="2">
      <c r="A436" s="26">
        <v>5.0</v>
      </c>
      <c r="B436" s="28" t="s">
        <v>1025</v>
      </c>
      <c r="C436" s="26" t="s">
        <v>1026</v>
      </c>
      <c r="D436" s="26" t="s">
        <v>965</v>
      </c>
      <c r="E436" s="14"/>
      <c r="F436" s="15"/>
      <c r="G436" s="30">
        <v>60.0</v>
      </c>
      <c r="H436" s="11"/>
      <c r="I436" s="7"/>
      <c r="J436" s="7"/>
      <c r="K436" s="17"/>
      <c r="L436" s="17" t="b">
        <f>IF(OR(COUNTIF('クラス'!$A$1:$A$1267,$B436)&gt;0,$B436="",$M436=""),"",True)</f>
        <v>1</v>
      </c>
      <c r="M436" s="1" t="str">
        <f t="shared" si="9"/>
        <v>存在しない</v>
      </c>
      <c r="N436" s="1"/>
      <c r="O436" s="1"/>
      <c r="P436" s="11"/>
      <c r="Q436" s="11"/>
      <c r="R436" s="11"/>
      <c r="S436" s="11"/>
      <c r="T436" s="1"/>
      <c r="U436" s="1"/>
      <c r="V436" s="1"/>
      <c r="W436" s="1"/>
      <c r="X436" s="1"/>
      <c r="Y436" s="1"/>
      <c r="Z436" s="1"/>
    </row>
    <row r="437" ht="18.0" customHeight="1" outlineLevel="2">
      <c r="A437" s="26">
        <v>5.0</v>
      </c>
      <c r="B437" s="28" t="s">
        <v>1027</v>
      </c>
      <c r="C437" s="26" t="s">
        <v>1028</v>
      </c>
      <c r="D437" s="26" t="s">
        <v>965</v>
      </c>
      <c r="E437" s="14"/>
      <c r="F437" s="15"/>
      <c r="G437" s="30">
        <v>60.0</v>
      </c>
      <c r="H437" s="11"/>
      <c r="I437" s="7"/>
      <c r="J437" s="7"/>
      <c r="K437" s="33" t="s">
        <v>669</v>
      </c>
      <c r="L437" s="17" t="b">
        <f>IF(OR(COUNTIF('クラス'!$A$1:$A$1267,$B437)&gt;0,$B437="",$M437=""),"",True)</f>
        <v>1</v>
      </c>
      <c r="M437" s="1" t="str">
        <f t="shared" si="9"/>
        <v>存在しない</v>
      </c>
      <c r="N437" s="1"/>
      <c r="O437" s="1"/>
      <c r="P437" s="11"/>
      <c r="Q437" s="11"/>
      <c r="R437" s="11"/>
      <c r="S437" s="11"/>
      <c r="T437" s="1"/>
      <c r="U437" s="1"/>
      <c r="V437" s="1"/>
      <c r="W437" s="1"/>
      <c r="X437" s="1"/>
      <c r="Y437" s="1"/>
      <c r="Z437" s="1"/>
    </row>
    <row r="438" ht="18.0" customHeight="1" outlineLevel="2">
      <c r="A438" s="26">
        <v>5.0</v>
      </c>
      <c r="B438" s="28" t="s">
        <v>1029</v>
      </c>
      <c r="C438" s="26" t="s">
        <v>1030</v>
      </c>
      <c r="D438" s="26" t="s">
        <v>965</v>
      </c>
      <c r="E438" s="14"/>
      <c r="F438" s="15"/>
      <c r="G438" s="30">
        <v>60.0</v>
      </c>
      <c r="H438" s="11"/>
      <c r="I438" s="7"/>
      <c r="J438" s="7"/>
      <c r="K438" s="33" t="s">
        <v>418</v>
      </c>
      <c r="L438" s="17" t="b">
        <f>IF(OR(COUNTIF('クラス'!$A$1:$A$1267,$B438)&gt;0,$B438="",$M438=""),"",True)</f>
        <v>1</v>
      </c>
      <c r="M438" s="1" t="str">
        <f t="shared" si="9"/>
        <v>存在しない</v>
      </c>
      <c r="N438" s="1"/>
      <c r="O438" s="1"/>
      <c r="P438" s="11"/>
      <c r="Q438" s="11"/>
      <c r="R438" s="11"/>
      <c r="S438" s="11"/>
      <c r="T438" s="1"/>
      <c r="U438" s="1"/>
      <c r="V438" s="1"/>
      <c r="W438" s="1"/>
      <c r="X438" s="1"/>
      <c r="Y438" s="1"/>
      <c r="Z438" s="1"/>
    </row>
    <row r="439" ht="18.0" customHeight="1" outlineLevel="2">
      <c r="A439" s="26">
        <v>5.0</v>
      </c>
      <c r="B439" s="28" t="s">
        <v>1031</v>
      </c>
      <c r="C439" s="26" t="s">
        <v>1032</v>
      </c>
      <c r="D439" s="26" t="s">
        <v>965</v>
      </c>
      <c r="E439" s="14"/>
      <c r="F439" s="15"/>
      <c r="G439" s="30">
        <v>60.0</v>
      </c>
      <c r="H439" s="22" t="s">
        <v>1033</v>
      </c>
      <c r="I439" s="7"/>
      <c r="J439" s="32" t="s">
        <v>1034</v>
      </c>
      <c r="K439" s="33" t="s">
        <v>1035</v>
      </c>
      <c r="L439" s="17" t="b">
        <f>IF(OR(COUNTIF('クラス'!$A$1:$A$1267,$B439)&gt;0,$B439="",$M439=""),"",True)</f>
        <v>1</v>
      </c>
      <c r="M439" s="1" t="str">
        <f t="shared" si="9"/>
        <v>存在しない</v>
      </c>
      <c r="N439" s="1"/>
      <c r="O439" s="1"/>
      <c r="P439" s="11"/>
      <c r="Q439" s="11"/>
      <c r="R439" s="11"/>
      <c r="S439" s="11"/>
      <c r="T439" s="1"/>
      <c r="U439" s="1"/>
      <c r="V439" s="1"/>
      <c r="W439" s="1"/>
      <c r="X439" s="1"/>
      <c r="Y439" s="1"/>
      <c r="Z439" s="1"/>
    </row>
    <row r="440" ht="18.0" customHeight="1" outlineLevel="2">
      <c r="A440" s="26">
        <v>5.0</v>
      </c>
      <c r="B440" s="28" t="s">
        <v>1036</v>
      </c>
      <c r="C440" s="1"/>
      <c r="D440" s="26" t="s">
        <v>965</v>
      </c>
      <c r="E440" s="14"/>
      <c r="F440" s="15"/>
      <c r="G440" s="30">
        <v>60.0</v>
      </c>
      <c r="H440" s="22" t="s">
        <v>1037</v>
      </c>
      <c r="I440" s="7"/>
      <c r="J440" s="32" t="s">
        <v>1038</v>
      </c>
      <c r="K440" s="33" t="s">
        <v>1014</v>
      </c>
      <c r="L440" s="17" t="b">
        <f>IF(OR(COUNTIF('クラス'!$A$1:$A$1267,$B440)&gt;0,$B440="",$M440=""),"",True)</f>
        <v>1</v>
      </c>
      <c r="M440" s="1" t="str">
        <f t="shared" si="9"/>
        <v>存在しない</v>
      </c>
      <c r="N440" s="1"/>
      <c r="O440" s="1"/>
      <c r="P440" s="11"/>
      <c r="Q440" s="11"/>
      <c r="R440" s="11"/>
      <c r="S440" s="11"/>
      <c r="T440" s="1"/>
      <c r="U440" s="1"/>
      <c r="V440" s="1"/>
      <c r="W440" s="1"/>
      <c r="X440" s="1"/>
      <c r="Y440" s="1"/>
      <c r="Z440" s="1"/>
    </row>
    <row r="441" ht="18.0" customHeight="1" outlineLevel="2">
      <c r="A441" s="26">
        <v>5.0</v>
      </c>
      <c r="B441" s="28" t="s">
        <v>1039</v>
      </c>
      <c r="C441" s="26" t="s">
        <v>1040</v>
      </c>
      <c r="D441" s="26" t="s">
        <v>965</v>
      </c>
      <c r="E441" s="14"/>
      <c r="F441" s="15"/>
      <c r="G441" s="30">
        <v>60.0</v>
      </c>
      <c r="H441" s="11"/>
      <c r="I441" s="7"/>
      <c r="J441" s="7"/>
      <c r="K441" s="33" t="s">
        <v>335</v>
      </c>
      <c r="L441" s="17" t="b">
        <f>IF(OR(COUNTIF('クラス'!$A$1:$A$1267,$B441)&gt;0,$B441="",$M441=""),"",True)</f>
        <v>1</v>
      </c>
      <c r="M441" s="1" t="str">
        <f t="shared" si="9"/>
        <v>存在しない</v>
      </c>
      <c r="N441" s="1"/>
      <c r="O441" s="1"/>
      <c r="P441" s="11"/>
      <c r="Q441" s="11"/>
      <c r="R441" s="11"/>
      <c r="S441" s="11"/>
      <c r="T441" s="1"/>
      <c r="U441" s="1"/>
      <c r="V441" s="1"/>
      <c r="W441" s="1"/>
      <c r="X441" s="1"/>
      <c r="Y441" s="1"/>
      <c r="Z441" s="1"/>
    </row>
    <row r="442" ht="18.0" customHeight="1" outlineLevel="2">
      <c r="A442" s="26">
        <v>5.0</v>
      </c>
      <c r="B442" s="28" t="s">
        <v>1041</v>
      </c>
      <c r="C442" s="26" t="s">
        <v>1042</v>
      </c>
      <c r="D442" s="26" t="s">
        <v>965</v>
      </c>
      <c r="E442" s="29" t="s">
        <v>33</v>
      </c>
      <c r="F442" s="15"/>
      <c r="G442" s="30">
        <v>60.0</v>
      </c>
      <c r="H442" s="22" t="s">
        <v>1043</v>
      </c>
      <c r="I442" s="7"/>
      <c r="J442" s="32" t="s">
        <v>1044</v>
      </c>
      <c r="K442" s="33" t="s">
        <v>669</v>
      </c>
      <c r="L442" s="17" t="b">
        <f>IF(OR(COUNTIF('クラス'!$A$1:$A$1267,$B442)&gt;0,$B442="",$M442=""),"",True)</f>
        <v>1</v>
      </c>
      <c r="M442" s="1" t="str">
        <f t="shared" si="9"/>
        <v>存在しない</v>
      </c>
      <c r="N442" s="1"/>
      <c r="O442" s="1"/>
      <c r="P442" s="11"/>
      <c r="Q442" s="11"/>
      <c r="R442" s="11"/>
      <c r="S442" s="11"/>
      <c r="T442" s="1"/>
      <c r="U442" s="1"/>
      <c r="V442" s="1"/>
      <c r="W442" s="1"/>
      <c r="X442" s="1"/>
      <c r="Y442" s="1"/>
      <c r="Z442" s="1"/>
    </row>
    <row r="443" ht="18.0" customHeight="1" outlineLevel="2">
      <c r="A443" s="26">
        <v>5.0</v>
      </c>
      <c r="B443" s="28" t="s">
        <v>1045</v>
      </c>
      <c r="C443" s="26" t="s">
        <v>1046</v>
      </c>
      <c r="D443" s="26" t="s">
        <v>965</v>
      </c>
      <c r="E443" s="29" t="s">
        <v>33</v>
      </c>
      <c r="F443" s="15"/>
      <c r="G443" s="30">
        <v>60.0</v>
      </c>
      <c r="H443" s="22" t="s">
        <v>1047</v>
      </c>
      <c r="I443" s="7"/>
      <c r="J443" s="32" t="s">
        <v>1048</v>
      </c>
      <c r="K443" s="33" t="s">
        <v>418</v>
      </c>
      <c r="L443" s="17" t="b">
        <f>IF(OR(COUNTIF('クラス'!$A$1:$A$1267,$B443)&gt;0,$B443="",$M443=""),"",True)</f>
        <v>1</v>
      </c>
      <c r="M443" s="1" t="str">
        <f t="shared" si="9"/>
        <v>存在しない</v>
      </c>
      <c r="N443" s="1"/>
      <c r="O443" s="1"/>
      <c r="P443" s="11"/>
      <c r="Q443" s="11"/>
      <c r="R443" s="11"/>
      <c r="S443" s="11"/>
      <c r="T443" s="1"/>
      <c r="U443" s="1"/>
      <c r="V443" s="1"/>
      <c r="W443" s="1"/>
      <c r="X443" s="1"/>
      <c r="Y443" s="1"/>
      <c r="Z443" s="1"/>
    </row>
    <row r="444" ht="18.0" customHeight="1" outlineLevel="2">
      <c r="A444" s="26">
        <v>6.0</v>
      </c>
      <c r="B444" s="28" t="s">
        <v>1049</v>
      </c>
      <c r="C444" s="26" t="s">
        <v>1050</v>
      </c>
      <c r="D444" s="26" t="s">
        <v>965</v>
      </c>
      <c r="E444" s="14"/>
      <c r="F444" s="15"/>
      <c r="G444" s="30">
        <v>60.0</v>
      </c>
      <c r="H444" s="11"/>
      <c r="I444" s="7"/>
      <c r="J444" s="7"/>
      <c r="K444" s="17"/>
      <c r="L444" s="17" t="b">
        <f>IF(OR(COUNTIF('クラス'!$A$1:$A$1267,$B444)&gt;0,$B444="",$M444=""),"",True)</f>
        <v>1</v>
      </c>
      <c r="M444" s="1" t="str">
        <f t="shared" si="9"/>
        <v>存在しない</v>
      </c>
      <c r="N444" s="1"/>
      <c r="O444" s="1"/>
      <c r="P444" s="11"/>
      <c r="Q444" s="11"/>
      <c r="R444" s="11"/>
      <c r="S444" s="11"/>
      <c r="T444" s="1"/>
      <c r="U444" s="1"/>
      <c r="V444" s="1"/>
      <c r="W444" s="1"/>
      <c r="X444" s="1"/>
      <c r="Y444" s="1"/>
      <c r="Z444" s="1"/>
    </row>
    <row r="445" ht="18.0" customHeight="1" outlineLevel="2">
      <c r="A445" s="26">
        <v>6.0</v>
      </c>
      <c r="B445" s="28" t="s">
        <v>1051</v>
      </c>
      <c r="C445" s="26" t="s">
        <v>1052</v>
      </c>
      <c r="D445" s="26" t="s">
        <v>965</v>
      </c>
      <c r="E445" s="14"/>
      <c r="F445" s="15"/>
      <c r="G445" s="30">
        <v>60.0</v>
      </c>
      <c r="H445" s="11"/>
      <c r="I445" s="7"/>
      <c r="J445" s="7"/>
      <c r="K445" s="33" t="s">
        <v>669</v>
      </c>
      <c r="L445" s="17" t="b">
        <f>IF(OR(COUNTIF('クラス'!$A$1:$A$1267,$B445)&gt;0,$B445="",$M445=""),"",True)</f>
        <v>1</v>
      </c>
      <c r="M445" s="1" t="str">
        <f t="shared" si="9"/>
        <v>存在しない</v>
      </c>
      <c r="N445" s="1"/>
      <c r="O445" s="1"/>
      <c r="P445" s="11"/>
      <c r="Q445" s="11"/>
      <c r="R445" s="11"/>
      <c r="S445" s="11"/>
      <c r="T445" s="1"/>
      <c r="U445" s="1"/>
      <c r="V445" s="1"/>
      <c r="W445" s="1"/>
      <c r="X445" s="1"/>
      <c r="Y445" s="1"/>
      <c r="Z445" s="1"/>
    </row>
    <row r="446" ht="18.0" customHeight="1" outlineLevel="2">
      <c r="A446" s="26">
        <v>6.0</v>
      </c>
      <c r="B446" s="28" t="s">
        <v>1053</v>
      </c>
      <c r="C446" s="1"/>
      <c r="D446" s="26" t="s">
        <v>965</v>
      </c>
      <c r="E446" s="14"/>
      <c r="F446" s="15"/>
      <c r="G446" s="30">
        <v>60.0</v>
      </c>
      <c r="H446" s="11"/>
      <c r="I446" s="7"/>
      <c r="J446" s="7"/>
      <c r="K446" s="33" t="s">
        <v>418</v>
      </c>
      <c r="L446" s="17" t="b">
        <f>IF(OR(COUNTIF('クラス'!$A$1:$A$1267,$B446)&gt;0,$B446="",$M446=""),"",True)</f>
        <v>1</v>
      </c>
      <c r="M446" s="1" t="str">
        <f t="shared" si="9"/>
        <v>存在しない</v>
      </c>
      <c r="N446" s="1"/>
      <c r="O446" s="1"/>
      <c r="P446" s="11"/>
      <c r="Q446" s="11"/>
      <c r="R446" s="11"/>
      <c r="S446" s="11"/>
      <c r="T446" s="1"/>
      <c r="U446" s="1"/>
      <c r="V446" s="1"/>
      <c r="W446" s="1"/>
      <c r="X446" s="1"/>
      <c r="Y446" s="1"/>
      <c r="Z446" s="1"/>
    </row>
    <row r="447" ht="18.0" customHeight="1" outlineLevel="2">
      <c r="A447" s="26">
        <v>6.0</v>
      </c>
      <c r="B447" s="28" t="s">
        <v>1054</v>
      </c>
      <c r="C447" s="26" t="s">
        <v>1055</v>
      </c>
      <c r="D447" s="26" t="s">
        <v>965</v>
      </c>
      <c r="E447" s="14"/>
      <c r="F447" s="15"/>
      <c r="G447" s="30">
        <v>60.0</v>
      </c>
      <c r="H447" s="22" t="s">
        <v>1056</v>
      </c>
      <c r="I447" s="7"/>
      <c r="J447" s="32" t="s">
        <v>1057</v>
      </c>
      <c r="K447" s="33" t="s">
        <v>360</v>
      </c>
      <c r="L447" s="17" t="b">
        <f>IF(OR(COUNTIF('クラス'!$A$1:$A$1267,$B447)&gt;0,$B447="",$M447=""),"",True)</f>
        <v>1</v>
      </c>
      <c r="M447" s="1" t="str">
        <f t="shared" si="9"/>
        <v>存在しない</v>
      </c>
      <c r="N447" s="1"/>
      <c r="O447" s="1"/>
      <c r="P447" s="11"/>
      <c r="Q447" s="11"/>
      <c r="R447" s="11"/>
      <c r="S447" s="11"/>
      <c r="T447" s="1"/>
      <c r="U447" s="1"/>
      <c r="V447" s="1"/>
      <c r="W447" s="1"/>
      <c r="X447" s="1"/>
      <c r="Y447" s="1"/>
      <c r="Z447" s="1"/>
    </row>
    <row r="448" ht="18.0" customHeight="1" outlineLevel="2">
      <c r="A448" s="26">
        <v>6.0</v>
      </c>
      <c r="B448" s="28" t="s">
        <v>1058</v>
      </c>
      <c r="C448" s="1"/>
      <c r="D448" s="26" t="s">
        <v>965</v>
      </c>
      <c r="E448" s="14"/>
      <c r="F448" s="15"/>
      <c r="G448" s="30">
        <v>60.0</v>
      </c>
      <c r="H448" s="11"/>
      <c r="I448" s="7"/>
      <c r="J448" s="7"/>
      <c r="K448" s="33" t="s">
        <v>335</v>
      </c>
      <c r="L448" s="17" t="b">
        <f>IF(OR(COUNTIF('クラス'!$A$1:$A$1267,$B448)&gt;0,$B448="",$M448=""),"",True)</f>
        <v>1</v>
      </c>
      <c r="M448" s="1" t="str">
        <f t="shared" si="9"/>
        <v>存在しない</v>
      </c>
      <c r="N448" s="1"/>
      <c r="O448" s="1"/>
      <c r="P448" s="11"/>
      <c r="Q448" s="11"/>
      <c r="R448" s="11"/>
      <c r="S448" s="11"/>
      <c r="T448" s="1"/>
      <c r="U448" s="1"/>
      <c r="V448" s="1"/>
      <c r="W448" s="1"/>
      <c r="X448" s="1"/>
      <c r="Y448" s="1"/>
      <c r="Z448" s="1"/>
    </row>
    <row r="449" ht="18.0" customHeight="1" outlineLevel="2">
      <c r="A449" s="26">
        <v>6.0</v>
      </c>
      <c r="B449" s="28" t="s">
        <v>1059</v>
      </c>
      <c r="C449" s="26" t="s">
        <v>1060</v>
      </c>
      <c r="D449" s="26" t="s">
        <v>965</v>
      </c>
      <c r="E449" s="29" t="s">
        <v>33</v>
      </c>
      <c r="F449" s="15"/>
      <c r="G449" s="30">
        <v>60.0</v>
      </c>
      <c r="H449" s="22" t="s">
        <v>1061</v>
      </c>
      <c r="I449" s="7"/>
      <c r="J449" s="32" t="s">
        <v>1062</v>
      </c>
      <c r="K449" s="33" t="s">
        <v>1063</v>
      </c>
      <c r="L449" s="17" t="b">
        <f>IF(OR(COUNTIF('クラス'!$A$1:$A$1267,$B449)&gt;0,$B449="",$M449=""),"",True)</f>
        <v>1</v>
      </c>
      <c r="M449" s="1" t="str">
        <f t="shared" si="9"/>
        <v>存在しない</v>
      </c>
      <c r="N449" s="1"/>
      <c r="O449" s="1"/>
      <c r="P449" s="11"/>
      <c r="Q449" s="11"/>
      <c r="R449" s="11"/>
      <c r="S449" s="11"/>
      <c r="T449" s="1"/>
      <c r="U449" s="1"/>
      <c r="V449" s="1"/>
      <c r="W449" s="1"/>
      <c r="X449" s="1"/>
      <c r="Y449" s="1"/>
      <c r="Z449" s="1"/>
    </row>
    <row r="450" ht="18.0" customHeight="1" outlineLevel="2">
      <c r="A450" s="26">
        <v>7.0</v>
      </c>
      <c r="B450" s="28" t="s">
        <v>1064</v>
      </c>
      <c r="C450" s="26" t="s">
        <v>1065</v>
      </c>
      <c r="D450" s="26" t="s">
        <v>965</v>
      </c>
      <c r="E450" s="14"/>
      <c r="F450" s="15"/>
      <c r="G450" s="30">
        <v>60.0</v>
      </c>
      <c r="H450" s="11"/>
      <c r="I450" s="7"/>
      <c r="J450" s="7"/>
      <c r="K450" s="17"/>
      <c r="L450" s="17" t="b">
        <f>IF(OR(COUNTIF('クラス'!$A$1:$A$1267,$B450)&gt;0,$B450="",$M450=""),"",True)</f>
        <v>1</v>
      </c>
      <c r="M450" s="1" t="str">
        <f t="shared" si="9"/>
        <v>存在しない</v>
      </c>
      <c r="N450" s="1"/>
      <c r="O450" s="1"/>
      <c r="P450" s="11"/>
      <c r="Q450" s="11"/>
      <c r="R450" s="11"/>
      <c r="S450" s="11"/>
      <c r="T450" s="1"/>
      <c r="U450" s="1"/>
      <c r="V450" s="1"/>
      <c r="W450" s="1"/>
      <c r="X450" s="1"/>
      <c r="Y450" s="1"/>
      <c r="Z450" s="1"/>
    </row>
    <row r="451" ht="18.0" customHeight="1" outlineLevel="2">
      <c r="A451" s="26">
        <v>7.0</v>
      </c>
      <c r="B451" s="28" t="s">
        <v>1066</v>
      </c>
      <c r="C451" s="26" t="s">
        <v>1067</v>
      </c>
      <c r="D451" s="26" t="s">
        <v>965</v>
      </c>
      <c r="E451" s="14"/>
      <c r="F451" s="15"/>
      <c r="G451" s="30">
        <v>60.0</v>
      </c>
      <c r="H451" s="11"/>
      <c r="I451" s="7"/>
      <c r="J451" s="7"/>
      <c r="K451" s="33" t="s">
        <v>669</v>
      </c>
      <c r="L451" s="17" t="b">
        <f>IF(OR(COUNTIF('クラス'!$A$1:$A$1267,$B451)&gt;0,$B451="",$M451=""),"",True)</f>
        <v>1</v>
      </c>
      <c r="M451" s="1" t="str">
        <f t="shared" si="9"/>
        <v>存在しない</v>
      </c>
      <c r="N451" s="1"/>
      <c r="O451" s="1"/>
      <c r="P451" s="11"/>
      <c r="Q451" s="11"/>
      <c r="R451" s="11"/>
      <c r="S451" s="11"/>
      <c r="T451" s="1"/>
      <c r="U451" s="1"/>
      <c r="V451" s="1"/>
      <c r="W451" s="1"/>
      <c r="X451" s="1"/>
      <c r="Y451" s="1"/>
      <c r="Z451" s="1"/>
    </row>
    <row r="452" ht="18.0" customHeight="1" outlineLevel="2">
      <c r="A452" s="26">
        <v>7.0</v>
      </c>
      <c r="B452" s="28" t="s">
        <v>1068</v>
      </c>
      <c r="C452" s="1"/>
      <c r="D452" s="26" t="s">
        <v>965</v>
      </c>
      <c r="E452" s="14"/>
      <c r="F452" s="15"/>
      <c r="G452" s="30">
        <v>60.0</v>
      </c>
      <c r="H452" s="11"/>
      <c r="I452" s="7"/>
      <c r="J452" s="7"/>
      <c r="K452" s="33" t="s">
        <v>418</v>
      </c>
      <c r="L452" s="17" t="b">
        <f>IF(OR(COUNTIF('クラス'!$A$1:$A$1267,$B452)&gt;0,$B452="",$M452=""),"",True)</f>
        <v>1</v>
      </c>
      <c r="M452" s="1" t="str">
        <f t="shared" si="9"/>
        <v>存在しない</v>
      </c>
      <c r="N452" s="1"/>
      <c r="O452" s="1"/>
      <c r="P452" s="11"/>
      <c r="Q452" s="11"/>
      <c r="R452" s="11"/>
      <c r="S452" s="11"/>
      <c r="T452" s="1"/>
      <c r="U452" s="1"/>
      <c r="V452" s="1"/>
      <c r="W452" s="1"/>
      <c r="X452" s="1"/>
      <c r="Y452" s="1"/>
      <c r="Z452" s="1"/>
    </row>
    <row r="453" ht="18.0" customHeight="1" outlineLevel="2">
      <c r="A453" s="26">
        <v>7.0</v>
      </c>
      <c r="B453" s="28" t="s">
        <v>1069</v>
      </c>
      <c r="C453" s="26" t="s">
        <v>1070</v>
      </c>
      <c r="D453" s="26" t="s">
        <v>965</v>
      </c>
      <c r="E453" s="14"/>
      <c r="F453" s="15"/>
      <c r="G453" s="30">
        <v>60.0</v>
      </c>
      <c r="H453" s="31" t="s">
        <v>1071</v>
      </c>
      <c r="I453" s="7"/>
      <c r="J453" s="7"/>
      <c r="K453" s="33" t="s">
        <v>1072</v>
      </c>
      <c r="L453" s="17" t="b">
        <f>IF(OR(COUNTIF('クラス'!$A$1:$A$1267,$B453)&gt;0,$B453="",$M453=""),"",True)</f>
        <v>1</v>
      </c>
      <c r="M453" s="1" t="str">
        <f t="shared" si="9"/>
        <v>存在しない</v>
      </c>
      <c r="N453" s="1"/>
      <c r="O453" s="1"/>
      <c r="P453" s="11"/>
      <c r="Q453" s="11"/>
      <c r="R453" s="11"/>
      <c r="S453" s="11"/>
      <c r="T453" s="1"/>
      <c r="U453" s="1"/>
      <c r="V453" s="1"/>
      <c r="W453" s="1"/>
      <c r="X453" s="1"/>
      <c r="Y453" s="1"/>
      <c r="Z453" s="1"/>
    </row>
    <row r="454" ht="18.0" customHeight="1" outlineLevel="2">
      <c r="A454" s="26">
        <v>7.0</v>
      </c>
      <c r="B454" s="28" t="s">
        <v>1073</v>
      </c>
      <c r="C454" s="26" t="s">
        <v>1074</v>
      </c>
      <c r="D454" s="26" t="s">
        <v>965</v>
      </c>
      <c r="E454" s="14"/>
      <c r="F454" s="15"/>
      <c r="G454" s="30">
        <v>60.0</v>
      </c>
      <c r="H454" s="11"/>
      <c r="I454" s="7"/>
      <c r="J454" s="7"/>
      <c r="K454" s="33" t="s">
        <v>335</v>
      </c>
      <c r="L454" s="17" t="b">
        <f>IF(OR(COUNTIF('クラス'!$A$1:$A$1267,$B454)&gt;0,$B454="",$M454=""),"",True)</f>
        <v>1</v>
      </c>
      <c r="M454" s="1" t="str">
        <f t="shared" si="9"/>
        <v>存在しない</v>
      </c>
      <c r="N454" s="1"/>
      <c r="O454" s="1"/>
      <c r="P454" s="11"/>
      <c r="Q454" s="11"/>
      <c r="R454" s="11"/>
      <c r="S454" s="11"/>
      <c r="T454" s="1"/>
      <c r="U454" s="1"/>
      <c r="V454" s="1"/>
      <c r="W454" s="1"/>
      <c r="X454" s="1"/>
      <c r="Y454" s="1"/>
      <c r="Z454" s="1"/>
    </row>
    <row r="455" ht="18.0" customHeight="1" outlineLevel="1">
      <c r="A455" s="26"/>
      <c r="B455" s="24"/>
      <c r="C455" s="26" t="s">
        <v>1075</v>
      </c>
      <c r="D455" s="1"/>
      <c r="E455" s="14"/>
      <c r="F455" s="15"/>
      <c r="G455" s="30"/>
      <c r="H455" s="11"/>
      <c r="I455" s="7"/>
      <c r="J455" s="7"/>
      <c r="K455" s="17"/>
      <c r="L455" s="17" t="str">
        <f>IF(OR(COUNTIF('クラス'!$A$1:$A$1267,$B455)&gt;0,$B455="",$M455=""),"",True)</f>
        <v/>
      </c>
      <c r="M455" s="1" t="str">
        <f t="shared" si="9"/>
        <v>存在しない</v>
      </c>
      <c r="N455" s="1"/>
      <c r="O455" s="1"/>
      <c r="P455" s="11"/>
      <c r="Q455" s="11"/>
      <c r="R455" s="11"/>
      <c r="S455" s="11"/>
      <c r="T455" s="1"/>
      <c r="U455" s="1"/>
      <c r="V455" s="1"/>
      <c r="W455" s="1"/>
      <c r="X455" s="1"/>
      <c r="Y455" s="1"/>
      <c r="Z455" s="1"/>
    </row>
    <row r="456" ht="18.0" customHeight="1" outlineLevel="1">
      <c r="A456" s="26"/>
      <c r="B456" s="24"/>
      <c r="C456" s="26" t="s">
        <v>1076</v>
      </c>
      <c r="D456" s="1"/>
      <c r="E456" s="14"/>
      <c r="F456" s="15"/>
      <c r="G456" s="30"/>
      <c r="H456" s="11"/>
      <c r="I456" s="7"/>
      <c r="J456" s="7"/>
      <c r="K456" s="17"/>
      <c r="L456" s="17" t="str">
        <f>IF(OR(COUNTIF('クラス'!$A$1:$A$1267,$B456)&gt;0,$B456="",$M456=""),"",True)</f>
        <v/>
      </c>
      <c r="M456" s="1" t="str">
        <f t="shared" si="9"/>
        <v>存在しない</v>
      </c>
      <c r="N456" s="1"/>
      <c r="O456" s="1"/>
      <c r="P456" s="11"/>
      <c r="Q456" s="11"/>
      <c r="R456" s="11"/>
      <c r="S456" s="11"/>
      <c r="T456" s="1"/>
      <c r="U456" s="1"/>
      <c r="V456" s="1"/>
      <c r="W456" s="1"/>
      <c r="X456" s="1"/>
      <c r="Y456" s="1"/>
      <c r="Z456" s="1"/>
    </row>
    <row r="457" ht="18.0" customHeight="1" outlineLevel="1">
      <c r="A457" s="26"/>
      <c r="B457" s="24"/>
      <c r="C457" s="26" t="s">
        <v>1077</v>
      </c>
      <c r="D457" s="1"/>
      <c r="E457" s="14"/>
      <c r="F457" s="15"/>
      <c r="G457" s="30"/>
      <c r="H457" s="11"/>
      <c r="I457" s="7"/>
      <c r="J457" s="7"/>
      <c r="K457" s="17"/>
      <c r="L457" s="17" t="str">
        <f>IF(OR(COUNTIF('クラス'!$A$1:$A$1267,$B457)&gt;0,$B457="",$M457=""),"",True)</f>
        <v/>
      </c>
      <c r="M457" s="1" t="str">
        <f t="shared" si="9"/>
        <v>存在しない</v>
      </c>
      <c r="N457" s="1"/>
      <c r="O457" s="1"/>
      <c r="P457" s="11"/>
      <c r="Q457" s="11"/>
      <c r="R457" s="11"/>
      <c r="S457" s="11"/>
      <c r="T457" s="1"/>
      <c r="U457" s="1"/>
      <c r="V457" s="1"/>
      <c r="W457" s="1"/>
      <c r="X457" s="1"/>
      <c r="Y457" s="1"/>
      <c r="Z457" s="1"/>
    </row>
    <row r="458" ht="18.0" customHeight="1" outlineLevel="1">
      <c r="A458" s="26"/>
      <c r="B458" s="24"/>
      <c r="C458" s="26" t="s">
        <v>1078</v>
      </c>
      <c r="D458" s="1"/>
      <c r="E458" s="14"/>
      <c r="F458" s="15"/>
      <c r="G458" s="30"/>
      <c r="H458" s="11"/>
      <c r="I458" s="7"/>
      <c r="J458" s="7"/>
      <c r="K458" s="17"/>
      <c r="L458" s="17" t="str">
        <f>IF(OR(COUNTIF('クラス'!$A$1:$A$1267,$B458)&gt;0,$B458="",$M458=""),"",True)</f>
        <v/>
      </c>
      <c r="M458" s="1" t="str">
        <f t="shared" si="9"/>
        <v>存在しない</v>
      </c>
      <c r="N458" s="1"/>
      <c r="O458" s="1"/>
      <c r="P458" s="11"/>
      <c r="Q458" s="11"/>
      <c r="R458" s="11"/>
      <c r="S458" s="11"/>
      <c r="T458" s="1"/>
      <c r="U458" s="1"/>
      <c r="V458" s="1"/>
      <c r="W458" s="1"/>
      <c r="X458" s="1"/>
      <c r="Y458" s="1"/>
      <c r="Z458" s="1"/>
    </row>
    <row r="459" ht="18.0" customHeight="1" outlineLevel="1">
      <c r="A459" s="26"/>
      <c r="B459" s="24"/>
      <c r="C459" s="26" t="s">
        <v>1079</v>
      </c>
      <c r="D459" s="1"/>
      <c r="E459" s="14"/>
      <c r="F459" s="15"/>
      <c r="G459" s="30"/>
      <c r="H459" s="11"/>
      <c r="I459" s="7"/>
      <c r="J459" s="7"/>
      <c r="K459" s="17"/>
      <c r="L459" s="17" t="str">
        <f>IF(OR(COUNTIF('クラス'!$A$1:$A$1267,$B459)&gt;0,$B459="",$M459=""),"",True)</f>
        <v/>
      </c>
      <c r="M459" s="1" t="str">
        <f t="shared" si="9"/>
        <v>存在しない</v>
      </c>
      <c r="N459" s="1"/>
      <c r="O459" s="1"/>
      <c r="P459" s="11"/>
      <c r="Q459" s="11"/>
      <c r="R459" s="11"/>
      <c r="S459" s="11"/>
      <c r="T459" s="1"/>
      <c r="U459" s="1"/>
      <c r="V459" s="1"/>
      <c r="W459" s="1"/>
      <c r="X459" s="1"/>
      <c r="Y459" s="1"/>
      <c r="Z459" s="1"/>
    </row>
    <row r="460" ht="18.0" customHeight="1" outlineLevel="1">
      <c r="A460" s="26"/>
      <c r="B460" s="24"/>
      <c r="C460" s="26" t="s">
        <v>1080</v>
      </c>
      <c r="D460" s="1"/>
      <c r="E460" s="14"/>
      <c r="F460" s="15"/>
      <c r="G460" s="30"/>
      <c r="H460" s="11"/>
      <c r="I460" s="7"/>
      <c r="J460" s="7"/>
      <c r="K460" s="17"/>
      <c r="L460" s="17" t="str">
        <f>IF(OR(COUNTIF('クラス'!$A$1:$A$1267,$B460)&gt;0,$B460="",$M460=""),"",True)</f>
        <v/>
      </c>
      <c r="M460" s="1" t="str">
        <f t="shared" si="9"/>
        <v>存在しない</v>
      </c>
      <c r="N460" s="1"/>
      <c r="O460" s="1"/>
      <c r="P460" s="11"/>
      <c r="Q460" s="11"/>
      <c r="R460" s="11"/>
      <c r="S460" s="11"/>
      <c r="T460" s="1"/>
      <c r="U460" s="1"/>
      <c r="V460" s="1"/>
      <c r="W460" s="1"/>
      <c r="X460" s="1"/>
      <c r="Y460" s="1"/>
      <c r="Z460" s="1"/>
    </row>
    <row r="461" ht="18.0" customHeight="1" outlineLevel="1">
      <c r="A461" s="26"/>
      <c r="B461" s="24"/>
      <c r="C461" s="26" t="s">
        <v>1081</v>
      </c>
      <c r="D461" s="1"/>
      <c r="E461" s="14"/>
      <c r="F461" s="15"/>
      <c r="G461" s="30"/>
      <c r="H461" s="11"/>
      <c r="I461" s="7"/>
      <c r="J461" s="7"/>
      <c r="K461" s="17"/>
      <c r="L461" s="17" t="str">
        <f>IF(OR(COUNTIF('クラス'!$A$1:$A$1267,$B461)&gt;0,$B461="",$M461=""),"",True)</f>
        <v/>
      </c>
      <c r="M461" s="1" t="str">
        <f t="shared" si="9"/>
        <v>存在しない</v>
      </c>
      <c r="N461" s="1"/>
      <c r="O461" s="1"/>
      <c r="P461" s="11"/>
      <c r="Q461" s="11"/>
      <c r="R461" s="11"/>
      <c r="S461" s="11"/>
      <c r="T461" s="1"/>
      <c r="U461" s="1"/>
      <c r="V461" s="1"/>
      <c r="W461" s="1"/>
      <c r="X461" s="1"/>
      <c r="Y461" s="1"/>
      <c r="Z461" s="1"/>
    </row>
    <row r="462" ht="18.0" customHeight="1" outlineLevel="2">
      <c r="A462" s="26">
        <v>1.0</v>
      </c>
      <c r="B462" s="28" t="s">
        <v>1082</v>
      </c>
      <c r="C462" s="1"/>
      <c r="D462" s="1"/>
      <c r="E462" s="14"/>
      <c r="F462" s="15"/>
      <c r="G462" s="30">
        <v>60.0</v>
      </c>
      <c r="H462" s="11"/>
      <c r="I462" s="7"/>
      <c r="J462" s="7"/>
      <c r="K462" s="17"/>
      <c r="L462" s="17" t="b">
        <f>IF(OR(COUNTIF('クラス'!$A$1:$A$1267,$B462)&gt;0,$B462="",$M462=""),"",True)</f>
        <v>1</v>
      </c>
      <c r="M462" s="1" t="str">
        <f t="shared" si="9"/>
        <v>存在しない</v>
      </c>
      <c r="N462" s="1"/>
      <c r="O462" s="1"/>
      <c r="P462" s="11"/>
      <c r="Q462" s="11"/>
      <c r="R462" s="11"/>
      <c r="S462" s="11"/>
      <c r="T462" s="1"/>
      <c r="U462" s="1"/>
      <c r="V462" s="1"/>
      <c r="W462" s="1"/>
      <c r="X462" s="1"/>
      <c r="Y462" s="1"/>
      <c r="Z462" s="1"/>
    </row>
    <row r="463" ht="18.0" customHeight="1" outlineLevel="2">
      <c r="A463" s="26">
        <v>2.0</v>
      </c>
      <c r="B463" s="28" t="s">
        <v>1083</v>
      </c>
      <c r="C463" s="1"/>
      <c r="D463" s="1"/>
      <c r="E463" s="14"/>
      <c r="F463" s="15"/>
      <c r="G463" s="30">
        <v>60.0</v>
      </c>
      <c r="H463" s="11"/>
      <c r="I463" s="7"/>
      <c r="J463" s="7"/>
      <c r="K463" s="17"/>
      <c r="L463" s="17" t="b">
        <f>IF(OR(COUNTIF('クラス'!$A$1:$A$1267,$B463)&gt;0,$B463="",$M463=""),"",True)</f>
        <v>1</v>
      </c>
      <c r="M463" s="1" t="str">
        <f t="shared" si="9"/>
        <v>存在しない</v>
      </c>
      <c r="N463" s="1"/>
      <c r="O463" s="1"/>
      <c r="P463" s="11"/>
      <c r="Q463" s="11"/>
      <c r="R463" s="11"/>
      <c r="S463" s="11"/>
      <c r="T463" s="1"/>
      <c r="U463" s="1"/>
      <c r="V463" s="1"/>
      <c r="W463" s="1"/>
      <c r="X463" s="1"/>
      <c r="Y463" s="1"/>
      <c r="Z463" s="1"/>
    </row>
    <row r="464" ht="18.0" customHeight="1" outlineLevel="2">
      <c r="A464" s="26">
        <v>3.0</v>
      </c>
      <c r="B464" s="28" t="s">
        <v>1084</v>
      </c>
      <c r="C464" s="1"/>
      <c r="D464" s="1"/>
      <c r="E464" s="14"/>
      <c r="F464" s="15"/>
      <c r="G464" s="30">
        <v>60.0</v>
      </c>
      <c r="H464" s="11"/>
      <c r="I464" s="7"/>
      <c r="J464" s="7"/>
      <c r="K464" s="17"/>
      <c r="L464" s="17" t="b">
        <f>IF(OR(COUNTIF('クラス'!$A$1:$A$1267,$B464)&gt;0,$B464="",$M464=""),"",True)</f>
        <v>1</v>
      </c>
      <c r="M464" s="1" t="str">
        <f t="shared" si="9"/>
        <v>存在しない</v>
      </c>
      <c r="N464" s="1"/>
      <c r="O464" s="1"/>
      <c r="P464" s="11"/>
      <c r="Q464" s="11"/>
      <c r="R464" s="11"/>
      <c r="S464" s="11"/>
      <c r="T464" s="1"/>
      <c r="U464" s="1"/>
      <c r="V464" s="1"/>
      <c r="W464" s="1"/>
      <c r="X464" s="1"/>
      <c r="Y464" s="1"/>
      <c r="Z464" s="1"/>
    </row>
    <row r="465" ht="18.0" customHeight="1" outlineLevel="2">
      <c r="A465" s="26">
        <v>3.0</v>
      </c>
      <c r="B465" s="28" t="s">
        <v>1085</v>
      </c>
      <c r="C465" s="1"/>
      <c r="D465" s="1"/>
      <c r="E465" s="14"/>
      <c r="F465" s="15"/>
      <c r="G465" s="30">
        <v>60.0</v>
      </c>
      <c r="H465" s="11"/>
      <c r="I465" s="7"/>
      <c r="J465" s="7"/>
      <c r="K465" s="17"/>
      <c r="L465" s="17" t="b">
        <f>IF(OR(COUNTIF('クラス'!$A$1:$A$1267,$B465)&gt;0,$B465="",$M465=""),"",True)</f>
        <v>1</v>
      </c>
      <c r="M465" s="1" t="str">
        <f t="shared" si="9"/>
        <v>存在しない</v>
      </c>
      <c r="N465" s="1"/>
      <c r="O465" s="1"/>
      <c r="P465" s="11"/>
      <c r="Q465" s="11"/>
      <c r="R465" s="11"/>
      <c r="S465" s="11"/>
      <c r="T465" s="1"/>
      <c r="U465" s="1"/>
      <c r="V465" s="1"/>
      <c r="W465" s="1"/>
      <c r="X465" s="1"/>
      <c r="Y465" s="1"/>
      <c r="Z465" s="1"/>
    </row>
    <row r="466" ht="18.0" customHeight="1" outlineLevel="2">
      <c r="A466" s="26">
        <v>4.0</v>
      </c>
      <c r="B466" s="28" t="s">
        <v>1086</v>
      </c>
      <c r="C466" s="1"/>
      <c r="D466" s="1"/>
      <c r="E466" s="14"/>
      <c r="F466" s="15"/>
      <c r="G466" s="30">
        <v>60.0</v>
      </c>
      <c r="H466" s="11"/>
      <c r="I466" s="7"/>
      <c r="J466" s="7"/>
      <c r="K466" s="17"/>
      <c r="L466" s="17" t="b">
        <f>IF(OR(COUNTIF('クラス'!$A$1:$A$1267,$B466)&gt;0,$B466="",$M466=""),"",True)</f>
        <v>1</v>
      </c>
      <c r="M466" s="1" t="str">
        <f t="shared" si="9"/>
        <v>存在しない</v>
      </c>
      <c r="N466" s="1"/>
      <c r="O466" s="1"/>
      <c r="P466" s="11"/>
      <c r="Q466" s="11"/>
      <c r="R466" s="11"/>
      <c r="S466" s="11"/>
      <c r="T466" s="1"/>
      <c r="U466" s="1"/>
      <c r="V466" s="1"/>
      <c r="W466" s="1"/>
      <c r="X466" s="1"/>
      <c r="Y466" s="1"/>
      <c r="Z466" s="1"/>
    </row>
    <row r="467" ht="18.0" customHeight="1" outlineLevel="2">
      <c r="A467" s="26">
        <v>4.0</v>
      </c>
      <c r="B467" s="28" t="s">
        <v>1087</v>
      </c>
      <c r="C467" s="1"/>
      <c r="D467" s="1"/>
      <c r="E467" s="14"/>
      <c r="F467" s="15"/>
      <c r="G467" s="30">
        <v>60.0</v>
      </c>
      <c r="H467" s="11"/>
      <c r="I467" s="7"/>
      <c r="J467" s="7"/>
      <c r="K467" s="17"/>
      <c r="L467" s="17" t="b">
        <f>IF(OR(COUNTIF('クラス'!$A$1:$A$1267,$B467)&gt;0,$B467="",$M467=""),"",True)</f>
        <v>1</v>
      </c>
      <c r="M467" s="1" t="str">
        <f t="shared" si="9"/>
        <v>存在しない</v>
      </c>
      <c r="N467" s="1"/>
      <c r="O467" s="1"/>
      <c r="P467" s="11"/>
      <c r="Q467" s="11"/>
      <c r="R467" s="11"/>
      <c r="S467" s="11"/>
      <c r="T467" s="1"/>
      <c r="U467" s="1"/>
      <c r="V467" s="1"/>
      <c r="W467" s="1"/>
      <c r="X467" s="1"/>
      <c r="Y467" s="1"/>
      <c r="Z467" s="1"/>
    </row>
    <row r="468" ht="18.0" customHeight="1" outlineLevel="2">
      <c r="A468" s="26">
        <v>4.0</v>
      </c>
      <c r="B468" s="28" t="s">
        <v>1088</v>
      </c>
      <c r="C468" s="1"/>
      <c r="D468" s="1"/>
      <c r="E468" s="14"/>
      <c r="F468" s="15"/>
      <c r="G468" s="30">
        <v>60.0</v>
      </c>
      <c r="H468" s="11"/>
      <c r="I468" s="7"/>
      <c r="J468" s="7"/>
      <c r="K468" s="17"/>
      <c r="L468" s="17" t="b">
        <f>IF(OR(COUNTIF('クラス'!$A$1:$A$1267,$B468)&gt;0,$B468="",$M468=""),"",True)</f>
        <v>1</v>
      </c>
      <c r="M468" s="1" t="str">
        <f t="shared" si="9"/>
        <v>存在しない</v>
      </c>
      <c r="N468" s="1"/>
      <c r="O468" s="1"/>
      <c r="P468" s="11"/>
      <c r="Q468" s="11"/>
      <c r="R468" s="11"/>
      <c r="S468" s="11"/>
      <c r="T468" s="1"/>
      <c r="U468" s="1"/>
      <c r="V468" s="1"/>
      <c r="W468" s="1"/>
      <c r="X468" s="1"/>
      <c r="Y468" s="1"/>
      <c r="Z468" s="1"/>
    </row>
    <row r="469" ht="18.0" customHeight="1" outlineLevel="2">
      <c r="A469" s="26">
        <v>4.0</v>
      </c>
      <c r="B469" s="28" t="s">
        <v>1089</v>
      </c>
      <c r="C469" s="1"/>
      <c r="D469" s="1"/>
      <c r="E469" s="14"/>
      <c r="F469" s="15"/>
      <c r="G469" s="30">
        <v>60.0</v>
      </c>
      <c r="H469" s="11"/>
      <c r="I469" s="7"/>
      <c r="J469" s="7"/>
      <c r="K469" s="17"/>
      <c r="L469" s="17" t="b">
        <f>IF(OR(COUNTIF('クラス'!$A$1:$A$1267,$B469)&gt;0,$B469="",$M469=""),"",True)</f>
        <v>1</v>
      </c>
      <c r="M469" s="1" t="str">
        <f t="shared" si="9"/>
        <v>存在しない</v>
      </c>
      <c r="N469" s="1"/>
      <c r="O469" s="1"/>
      <c r="P469" s="11"/>
      <c r="Q469" s="11"/>
      <c r="R469" s="11"/>
      <c r="S469" s="11"/>
      <c r="T469" s="1"/>
      <c r="U469" s="1"/>
      <c r="V469" s="1"/>
      <c r="W469" s="1"/>
      <c r="X469" s="1"/>
      <c r="Y469" s="1"/>
      <c r="Z469" s="1"/>
    </row>
    <row r="470" ht="18.0" customHeight="1" outlineLevel="2">
      <c r="A470" s="26">
        <v>4.0</v>
      </c>
      <c r="B470" s="28" t="s">
        <v>1090</v>
      </c>
      <c r="C470" s="1"/>
      <c r="D470" s="1"/>
      <c r="E470" s="14"/>
      <c r="F470" s="15"/>
      <c r="G470" s="30">
        <v>60.0</v>
      </c>
      <c r="H470" s="11"/>
      <c r="I470" s="7"/>
      <c r="J470" s="7"/>
      <c r="K470" s="17"/>
      <c r="L470" s="17" t="b">
        <f>IF(OR(COUNTIF('クラス'!$A$1:$A$1267,$B470)&gt;0,$B470="",$M470=""),"",True)</f>
        <v>1</v>
      </c>
      <c r="M470" s="1" t="str">
        <f t="shared" si="9"/>
        <v>存在しない</v>
      </c>
      <c r="N470" s="1"/>
      <c r="O470" s="1"/>
      <c r="P470" s="11"/>
      <c r="Q470" s="11"/>
      <c r="R470" s="11"/>
      <c r="S470" s="11"/>
      <c r="T470" s="1"/>
      <c r="U470" s="1"/>
      <c r="V470" s="1"/>
      <c r="W470" s="1"/>
      <c r="X470" s="1"/>
      <c r="Y470" s="1"/>
      <c r="Z470" s="1"/>
    </row>
    <row r="471" ht="18.0" customHeight="1" outlineLevel="2">
      <c r="A471" s="26">
        <v>5.0</v>
      </c>
      <c r="B471" s="28" t="s">
        <v>1091</v>
      </c>
      <c r="C471" s="1"/>
      <c r="D471" s="1"/>
      <c r="E471" s="14"/>
      <c r="F471" s="15"/>
      <c r="G471" s="30">
        <v>60.0</v>
      </c>
      <c r="H471" s="11"/>
      <c r="I471" s="7"/>
      <c r="J471" s="7"/>
      <c r="K471" s="17"/>
      <c r="L471" s="17" t="b">
        <f>IF(OR(COUNTIF('クラス'!$A$1:$A$1267,$B471)&gt;0,$B471="",$M471=""),"",True)</f>
        <v>1</v>
      </c>
      <c r="M471" s="1" t="str">
        <f t="shared" si="9"/>
        <v>存在しない</v>
      </c>
      <c r="N471" s="1"/>
      <c r="O471" s="1"/>
      <c r="P471" s="11"/>
      <c r="Q471" s="11"/>
      <c r="R471" s="11"/>
      <c r="S471" s="11"/>
      <c r="T471" s="1"/>
      <c r="U471" s="1"/>
      <c r="V471" s="1"/>
      <c r="W471" s="1"/>
      <c r="X471" s="1"/>
      <c r="Y471" s="1"/>
      <c r="Z471" s="1"/>
    </row>
    <row r="472" ht="18.0" customHeight="1" outlineLevel="2">
      <c r="A472" s="26">
        <v>5.0</v>
      </c>
      <c r="B472" s="28" t="s">
        <v>1092</v>
      </c>
      <c r="C472" s="1"/>
      <c r="D472" s="1"/>
      <c r="E472" s="14"/>
      <c r="F472" s="15"/>
      <c r="G472" s="30">
        <v>60.0</v>
      </c>
      <c r="H472" s="11"/>
      <c r="I472" s="7"/>
      <c r="J472" s="7"/>
      <c r="K472" s="17"/>
      <c r="L472" s="17" t="b">
        <f>IF(OR(COUNTIF('クラス'!$A$1:$A$1267,$B472)&gt;0,$B472="",$M472=""),"",True)</f>
        <v>1</v>
      </c>
      <c r="M472" s="1" t="str">
        <f t="shared" si="9"/>
        <v>存在しない</v>
      </c>
      <c r="N472" s="1"/>
      <c r="O472" s="1"/>
      <c r="P472" s="11"/>
      <c r="Q472" s="11"/>
      <c r="R472" s="11"/>
      <c r="S472" s="11"/>
      <c r="T472" s="1"/>
      <c r="U472" s="1"/>
      <c r="V472" s="1"/>
      <c r="W472" s="1"/>
      <c r="X472" s="1"/>
      <c r="Y472" s="1"/>
      <c r="Z472" s="1"/>
    </row>
    <row r="473" ht="18.0" customHeight="1" outlineLevel="2">
      <c r="A473" s="26">
        <v>5.0</v>
      </c>
      <c r="B473" s="28" t="s">
        <v>1093</v>
      </c>
      <c r="C473" s="26" t="s">
        <v>1094</v>
      </c>
      <c r="D473" s="1"/>
      <c r="E473" s="14"/>
      <c r="F473" s="15"/>
      <c r="G473" s="30">
        <v>60.0</v>
      </c>
      <c r="H473" s="11"/>
      <c r="I473" s="7"/>
      <c r="J473" s="7"/>
      <c r="K473" s="17"/>
      <c r="L473" s="17" t="b">
        <f>IF(OR(COUNTIF('クラス'!$A$1:$A$1267,$B473)&gt;0,$B473="",$M473=""),"",True)</f>
        <v>1</v>
      </c>
      <c r="M473" s="1" t="str">
        <f t="shared" si="9"/>
        <v>存在しない</v>
      </c>
      <c r="N473" s="1"/>
      <c r="O473" s="1"/>
      <c r="P473" s="11"/>
      <c r="Q473" s="11"/>
      <c r="R473" s="11"/>
      <c r="S473" s="11"/>
      <c r="T473" s="1"/>
      <c r="U473" s="1"/>
      <c r="V473" s="1"/>
      <c r="W473" s="1"/>
      <c r="X473" s="1"/>
      <c r="Y473" s="1"/>
      <c r="Z473" s="1"/>
    </row>
    <row r="474" ht="18.0" customHeight="1" outlineLevel="2">
      <c r="A474" s="26">
        <v>6.0</v>
      </c>
      <c r="B474" s="28" t="s">
        <v>1095</v>
      </c>
      <c r="C474" s="1"/>
      <c r="D474" s="1"/>
      <c r="E474" s="14"/>
      <c r="F474" s="15"/>
      <c r="G474" s="30">
        <v>60.0</v>
      </c>
      <c r="H474" s="11"/>
      <c r="I474" s="7"/>
      <c r="J474" s="7"/>
      <c r="K474" s="17"/>
      <c r="L474" s="17" t="b">
        <f>IF(OR(COUNTIF('クラス'!$A$1:$A$1267,$B474)&gt;0,$B474="",$M474=""),"",True)</f>
        <v>1</v>
      </c>
      <c r="M474" s="1" t="str">
        <f t="shared" si="9"/>
        <v>存在しない</v>
      </c>
      <c r="N474" s="1"/>
      <c r="O474" s="1"/>
      <c r="P474" s="11"/>
      <c r="Q474" s="11"/>
      <c r="R474" s="11"/>
      <c r="S474" s="11"/>
      <c r="T474" s="1"/>
      <c r="U474" s="1"/>
      <c r="V474" s="1"/>
      <c r="W474" s="1"/>
      <c r="X474" s="1"/>
      <c r="Y474" s="1"/>
      <c r="Z474" s="1"/>
    </row>
    <row r="475" ht="18.0" customHeight="1" outlineLevel="2">
      <c r="A475" s="26">
        <v>6.0</v>
      </c>
      <c r="B475" s="28" t="s">
        <v>1096</v>
      </c>
      <c r="C475" s="1"/>
      <c r="D475" s="1"/>
      <c r="E475" s="14"/>
      <c r="F475" s="15"/>
      <c r="G475" s="30">
        <v>60.0</v>
      </c>
      <c r="H475" s="11"/>
      <c r="I475" s="7"/>
      <c r="J475" s="7"/>
      <c r="K475" s="17"/>
      <c r="L475" s="17" t="b">
        <f>IF(OR(COUNTIF('クラス'!$A$1:$A$1267,$B475)&gt;0,$B475="",$M475=""),"",True)</f>
        <v>1</v>
      </c>
      <c r="M475" s="1" t="str">
        <f t="shared" si="9"/>
        <v>存在しない</v>
      </c>
      <c r="N475" s="1"/>
      <c r="O475" s="1"/>
      <c r="P475" s="11"/>
      <c r="Q475" s="11"/>
      <c r="R475" s="11"/>
      <c r="S475" s="11"/>
      <c r="T475" s="1"/>
      <c r="U475" s="1"/>
      <c r="V475" s="1"/>
      <c r="W475" s="1"/>
      <c r="X475" s="1"/>
      <c r="Y475" s="1"/>
      <c r="Z475" s="1"/>
    </row>
    <row r="476" ht="18.0" customHeight="1" outlineLevel="1">
      <c r="A476" s="26"/>
      <c r="B476" s="24"/>
      <c r="C476" s="26" t="s">
        <v>1097</v>
      </c>
      <c r="D476" s="1"/>
      <c r="E476" s="14"/>
      <c r="F476" s="15"/>
      <c r="G476" s="30"/>
      <c r="H476" s="11"/>
      <c r="I476" s="7"/>
      <c r="J476" s="7"/>
      <c r="K476" s="17"/>
      <c r="L476" s="17" t="str">
        <f>IF(OR(COUNTIF('クラス'!$A$1:$A$1267,$B476)&gt;0,$B476="",$M476=""),"",True)</f>
        <v/>
      </c>
      <c r="M476" s="1" t="str">
        <f t="shared" si="9"/>
        <v>存在しない</v>
      </c>
      <c r="N476" s="1"/>
      <c r="O476" s="1"/>
      <c r="P476" s="11"/>
      <c r="Q476" s="11"/>
      <c r="R476" s="11"/>
      <c r="S476" s="11"/>
      <c r="T476" s="1"/>
      <c r="U476" s="1"/>
      <c r="V476" s="1"/>
      <c r="W476" s="1"/>
      <c r="X476" s="1"/>
      <c r="Y476" s="1"/>
      <c r="Z476" s="1"/>
    </row>
    <row r="477" ht="18.0" customHeight="1" outlineLevel="1">
      <c r="A477" s="26"/>
      <c r="B477" s="24"/>
      <c r="C477" s="26" t="s">
        <v>1098</v>
      </c>
      <c r="D477" s="1"/>
      <c r="E477" s="14"/>
      <c r="F477" s="15"/>
      <c r="G477" s="30"/>
      <c r="H477" s="11"/>
      <c r="I477" s="7"/>
      <c r="J477" s="7"/>
      <c r="K477" s="17"/>
      <c r="L477" s="17" t="str">
        <f>IF(OR(COUNTIF('クラス'!$A$1:$A$1267,$B477)&gt;0,$B477="",$M477=""),"",True)</f>
        <v/>
      </c>
      <c r="M477" s="1" t="str">
        <f t="shared" si="9"/>
        <v>存在しない</v>
      </c>
      <c r="N477" s="1"/>
      <c r="O477" s="1"/>
      <c r="P477" s="11"/>
      <c r="Q477" s="11"/>
      <c r="R477" s="11"/>
      <c r="S477" s="11"/>
      <c r="T477" s="1"/>
      <c r="U477" s="1"/>
      <c r="V477" s="1"/>
      <c r="W477" s="1"/>
      <c r="X477" s="1"/>
      <c r="Y477" s="1"/>
      <c r="Z477" s="1"/>
    </row>
    <row r="478" ht="18.0" customHeight="1">
      <c r="A478" s="1"/>
      <c r="B478" s="1"/>
      <c r="C478" s="26" t="s">
        <v>1099</v>
      </c>
      <c r="D478" s="1"/>
      <c r="E478" s="14"/>
      <c r="F478" s="15"/>
      <c r="G478" s="16"/>
      <c r="H478" s="11"/>
      <c r="I478" s="7"/>
      <c r="J478" s="7"/>
      <c r="K478" s="17"/>
      <c r="L478" s="17" t="str">
        <f>IF(OR(COUNTIF('クラス'!$A$1:$A$1267,$B478)&gt;0,$B478="",$M478=""),"",True)</f>
        <v/>
      </c>
      <c r="M478" s="1"/>
      <c r="N478" s="1"/>
      <c r="O478" s="1"/>
      <c r="P478" s="11"/>
      <c r="Q478" s="11"/>
      <c r="R478" s="11"/>
      <c r="S478" s="11"/>
      <c r="T478" s="1"/>
      <c r="U478" s="1"/>
      <c r="V478" s="1"/>
      <c r="W478" s="1"/>
      <c r="X478" s="1"/>
      <c r="Y478" s="1"/>
      <c r="Z478" s="1"/>
    </row>
    <row r="479" ht="18.0" customHeight="1">
      <c r="A479" s="1"/>
      <c r="B479" s="1"/>
      <c r="C479" s="26" t="s">
        <v>1100</v>
      </c>
      <c r="D479" s="1"/>
      <c r="E479" s="14"/>
      <c r="F479" s="15"/>
      <c r="G479" s="5"/>
      <c r="H479" s="11"/>
      <c r="I479" s="7"/>
      <c r="J479" s="7"/>
      <c r="K479" s="17"/>
      <c r="L479" s="17" t="str">
        <f>IF(OR(COUNTIF('クラス'!$A$1:$A$1267,$B479)&gt;0,$B479="",$M479=""),"",True)</f>
        <v/>
      </c>
      <c r="M479" s="1"/>
      <c r="N479" s="1"/>
      <c r="O479" s="1"/>
      <c r="P479" s="11"/>
      <c r="Q479" s="11"/>
      <c r="R479" s="11"/>
      <c r="S479" s="11"/>
      <c r="T479" s="1"/>
      <c r="U479" s="1"/>
      <c r="V479" s="1"/>
      <c r="W479" s="1"/>
      <c r="X479" s="1"/>
      <c r="Y479" s="1"/>
      <c r="Z479" s="1"/>
    </row>
    <row r="480" ht="18.0" customHeight="1" outlineLevel="1">
      <c r="A480" s="1"/>
      <c r="B480" s="1" t="s">
        <v>1101</v>
      </c>
      <c r="C480" s="1" t="s">
        <v>1102</v>
      </c>
      <c r="D480" s="1" t="s">
        <v>3</v>
      </c>
      <c r="E480" s="14" t="s">
        <v>31</v>
      </c>
      <c r="F480" s="15" t="s">
        <v>5</v>
      </c>
      <c r="G480" s="5" t="s">
        <v>6</v>
      </c>
      <c r="H480" s="11" t="s">
        <v>8</v>
      </c>
      <c r="I480" s="7"/>
      <c r="J480" s="7" t="str">
        <f>IFERROR(LET(_xlpm.v,
VLOOKUP($I480,'用語辞書'!$A:$B,COLUMN('用語辞書'!B$1),FALSE),
IF(_xlpm.v=0,"",_xlpm.v)
),"")</f>
        <v/>
      </c>
      <c r="K480" s="17"/>
      <c r="L480" s="17" t="str">
        <f>IF(OR(COUNTIF('クラス'!$A$1:$A$1267,$B480)&gt;0,$B480="",$M480=""),"",True)</f>
        <v/>
      </c>
      <c r="M480" s="1" t="str">
        <f t="shared" ref="M480:M515" si="10">IF(COUNTIF($B$1:$C479, $B480), "", "存在しない")</f>
        <v>存在しない</v>
      </c>
      <c r="N480" s="1" t="s">
        <v>29</v>
      </c>
      <c r="O480" s="1"/>
      <c r="P480" s="11"/>
      <c r="Q480" s="11"/>
      <c r="R480" s="11"/>
      <c r="S480" s="11"/>
      <c r="T480" s="1"/>
      <c r="U480" s="1"/>
      <c r="V480" s="1"/>
      <c r="W480" s="1"/>
      <c r="X480" s="1"/>
      <c r="Y480" s="1"/>
      <c r="Z480" s="1"/>
    </row>
    <row r="481" ht="18.0" customHeight="1" outlineLevel="2">
      <c r="A481" s="1">
        <v>1.0</v>
      </c>
      <c r="B481" s="1"/>
      <c r="C481" s="1"/>
      <c r="D481" s="1"/>
      <c r="E481" s="14"/>
      <c r="F481" s="15"/>
      <c r="G481" s="16"/>
      <c r="H481" s="11"/>
      <c r="I481" s="7"/>
      <c r="J481" s="7" t="str">
        <f>IFERROR(LET(_xlpm.v,
VLOOKUP($I481,'用語辞書'!$A:$B,COLUMN('用語辞書'!B$1),FALSE),
IF(_xlpm.v=0,"",_xlpm.v)
),"")</f>
        <v/>
      </c>
      <c r="K481" s="17"/>
      <c r="L481" s="17" t="str">
        <f>IF(OR(COUNTIF('クラス'!$A$1:$A$1267,$B481)&gt;0,$B481="",$M481=""),"",True)</f>
        <v/>
      </c>
      <c r="M481" s="1" t="str">
        <f t="shared" si="10"/>
        <v>存在しない</v>
      </c>
      <c r="N481" s="1" t="s">
        <v>29</v>
      </c>
      <c r="O481" s="1"/>
      <c r="P481" s="11"/>
      <c r="Q481" s="11"/>
      <c r="R481" s="11"/>
      <c r="S481" s="11"/>
      <c r="T481" s="1"/>
      <c r="U481" s="1"/>
      <c r="V481" s="1"/>
      <c r="W481" s="1"/>
      <c r="X481" s="1"/>
      <c r="Y481" s="1"/>
      <c r="Z481" s="1"/>
    </row>
    <row r="482" ht="18.0" customHeight="1" outlineLevel="2">
      <c r="A482" s="1">
        <v>2.0</v>
      </c>
      <c r="B482" s="1" t="s">
        <v>1103</v>
      </c>
      <c r="C482" s="1" t="s">
        <v>1104</v>
      </c>
      <c r="D482" s="1"/>
      <c r="E482" s="14" t="s">
        <v>33</v>
      </c>
      <c r="F482" s="15"/>
      <c r="G482" s="16">
        <v>60.0</v>
      </c>
      <c r="H482" s="11" t="s">
        <v>1105</v>
      </c>
      <c r="I482" s="7"/>
      <c r="J482" s="7" t="str">
        <f>IFERROR(LET(_xlpm.v,
VLOOKUP($I482,'用語辞書'!$A:$B,COLUMN('用語辞書'!B$1),FALSE),
IF(_xlpm.v=0,"",_xlpm.v)
),"")</f>
        <v/>
      </c>
      <c r="K482" s="17"/>
      <c r="L482" s="17" t="b">
        <f>IF(OR(COUNTIF('クラス'!$A$1:$A$1267,$B482)&gt;0,$B482="",$M482=""),"",True)</f>
        <v>1</v>
      </c>
      <c r="M482" s="1" t="str">
        <f t="shared" si="10"/>
        <v>存在しない</v>
      </c>
      <c r="N482" s="1" t="s">
        <v>29</v>
      </c>
      <c r="O482" s="1"/>
      <c r="P482" s="11"/>
      <c r="Q482" s="11"/>
      <c r="R482" s="11"/>
      <c r="S482" s="11"/>
      <c r="T482" s="1"/>
      <c r="U482" s="1"/>
      <c r="V482" s="1"/>
      <c r="W482" s="1"/>
      <c r="X482" s="1"/>
      <c r="Y482" s="1"/>
      <c r="Z482" s="1"/>
    </row>
    <row r="483" ht="18.0" customHeight="1" outlineLevel="2">
      <c r="A483" s="1">
        <v>3.0</v>
      </c>
      <c r="B483" s="1" t="s">
        <v>1106</v>
      </c>
      <c r="C483" s="1"/>
      <c r="D483" s="1"/>
      <c r="E483" s="14" t="s">
        <v>55</v>
      </c>
      <c r="F483" s="15"/>
      <c r="G483" s="16"/>
      <c r="H483" s="11" t="s">
        <v>1107</v>
      </c>
      <c r="I483" s="7"/>
      <c r="J483" s="7" t="str">
        <f>IFERROR(LET(_xlpm.v,
VLOOKUP($I483,'用語辞書'!$A:$B,COLUMN('用語辞書'!B$1),FALSE),
IF(_xlpm.v=0,"",_xlpm.v)
),"")</f>
        <v/>
      </c>
      <c r="K483" s="17"/>
      <c r="L483" s="17" t="b">
        <f>IF(OR(COUNTIF('クラス'!$A$1:$A$1267,$B483)&gt;0,$B483="",$M483=""),"",True)</f>
        <v>1</v>
      </c>
      <c r="M483" s="1" t="str">
        <f t="shared" si="10"/>
        <v>存在しない</v>
      </c>
      <c r="N483" s="1" t="s">
        <v>29</v>
      </c>
      <c r="O483" s="1"/>
      <c r="P483" s="11"/>
      <c r="Q483" s="11"/>
      <c r="R483" s="11"/>
      <c r="S483" s="11"/>
      <c r="T483" s="1"/>
      <c r="U483" s="1"/>
      <c r="V483" s="1"/>
      <c r="W483" s="1"/>
      <c r="X483" s="1"/>
      <c r="Y483" s="1"/>
      <c r="Z483" s="1"/>
    </row>
    <row r="484" ht="18.0" customHeight="1" outlineLevel="2">
      <c r="A484" s="1">
        <v>4.0</v>
      </c>
      <c r="B484" s="1"/>
      <c r="C484" s="1"/>
      <c r="D484" s="1"/>
      <c r="E484" s="14"/>
      <c r="F484" s="15"/>
      <c r="G484" s="16"/>
      <c r="H484" s="11"/>
      <c r="I484" s="7"/>
      <c r="J484" s="7" t="str">
        <f>IFERROR(LET(_xlpm.v,
VLOOKUP($I484,'用語辞書'!$A:$B,COLUMN('用語辞書'!B$1),FALSE),
IF(_xlpm.v=0,"",_xlpm.v)
),"")</f>
        <v/>
      </c>
      <c r="K484" s="17"/>
      <c r="L484" s="17" t="str">
        <f>IF(OR(COUNTIF('クラス'!$A$1:$A$1267,$B484)&gt;0,$B484="",$M484=""),"",True)</f>
        <v/>
      </c>
      <c r="M484" s="1" t="str">
        <f t="shared" si="10"/>
        <v>存在しない</v>
      </c>
      <c r="N484" s="1" t="s">
        <v>29</v>
      </c>
      <c r="O484" s="1"/>
      <c r="P484" s="11"/>
      <c r="Q484" s="11"/>
      <c r="R484" s="11"/>
      <c r="S484" s="11"/>
      <c r="T484" s="1"/>
      <c r="U484" s="1"/>
      <c r="V484" s="1"/>
      <c r="W484" s="1"/>
      <c r="X484" s="1"/>
      <c r="Y484" s="1"/>
      <c r="Z484" s="1"/>
    </row>
    <row r="485" ht="18.0" customHeight="1" outlineLevel="2">
      <c r="A485" s="1">
        <v>5.0</v>
      </c>
      <c r="B485" s="1" t="s">
        <v>1108</v>
      </c>
      <c r="C485" s="1" t="s">
        <v>1109</v>
      </c>
      <c r="D485" s="1"/>
      <c r="E485" s="14" t="s">
        <v>33</v>
      </c>
      <c r="F485" s="15"/>
      <c r="G485" s="16">
        <v>50.0</v>
      </c>
      <c r="H485" s="11" t="s">
        <v>1110</v>
      </c>
      <c r="I485" s="7"/>
      <c r="J485" s="7" t="str">
        <f>IFERROR(LET(_xlpm.v,
VLOOKUP($I485,'用語辞書'!$A:$B,COLUMN('用語辞書'!B$1),FALSE),
IF(_xlpm.v=0,"",_xlpm.v)
),"")</f>
        <v/>
      </c>
      <c r="K485" s="17"/>
      <c r="L485" s="17" t="b">
        <f>IF(OR(COUNTIF('クラス'!$A$1:$A$1267,$B485)&gt;0,$B485="",$M485=""),"",True)</f>
        <v>1</v>
      </c>
      <c r="M485" s="1" t="str">
        <f t="shared" si="10"/>
        <v>存在しない</v>
      </c>
      <c r="N485" s="1" t="s">
        <v>29</v>
      </c>
      <c r="O485" s="1"/>
      <c r="P485" s="11"/>
      <c r="Q485" s="11"/>
      <c r="R485" s="11"/>
      <c r="S485" s="11"/>
      <c r="T485" s="1"/>
      <c r="U485" s="1"/>
      <c r="V485" s="1"/>
      <c r="W485" s="1"/>
      <c r="X485" s="1"/>
      <c r="Y485" s="1"/>
      <c r="Z485" s="1"/>
    </row>
    <row r="486" ht="18.0" customHeight="1" outlineLevel="2">
      <c r="A486" s="1">
        <v>6.0</v>
      </c>
      <c r="B486" s="1"/>
      <c r="C486" s="1"/>
      <c r="D486" s="1"/>
      <c r="E486" s="14" t="s">
        <v>55</v>
      </c>
      <c r="F486" s="15"/>
      <c r="G486" s="16"/>
      <c r="H486" s="11"/>
      <c r="I486" s="7"/>
      <c r="J486" s="7" t="str">
        <f>IFERROR(LET(_xlpm.v,
VLOOKUP($I486,'用語辞書'!$A:$B,COLUMN('用語辞書'!B$1),FALSE),
IF(_xlpm.v=0,"",_xlpm.v)
),"")</f>
        <v/>
      </c>
      <c r="K486" s="17"/>
      <c r="L486" s="17" t="str">
        <f>IF(OR(COUNTIF('クラス'!$A$1:$A$1267,$B486)&gt;0,$B486="",$M486=""),"",True)</f>
        <v/>
      </c>
      <c r="M486" s="1" t="str">
        <f t="shared" si="10"/>
        <v>存在しない</v>
      </c>
      <c r="N486" s="1" t="s">
        <v>29</v>
      </c>
      <c r="O486" s="1"/>
      <c r="P486" s="11"/>
      <c r="Q486" s="11"/>
      <c r="R486" s="11"/>
      <c r="S486" s="11"/>
      <c r="T486" s="1"/>
      <c r="U486" s="1"/>
      <c r="V486" s="1"/>
      <c r="W486" s="1"/>
      <c r="X486" s="1"/>
      <c r="Y486" s="1"/>
      <c r="Z486" s="1"/>
    </row>
    <row r="487" ht="18.0" customHeight="1" outlineLevel="2">
      <c r="A487" s="1">
        <v>7.0</v>
      </c>
      <c r="B487" s="1"/>
      <c r="C487" s="1"/>
      <c r="D487" s="1"/>
      <c r="E487" s="14"/>
      <c r="F487" s="15"/>
      <c r="G487" s="16"/>
      <c r="H487" s="11"/>
      <c r="I487" s="7"/>
      <c r="J487" s="7" t="str">
        <f>IFERROR(LET(_xlpm.v,
VLOOKUP($I487,'用語辞書'!$A:$B,COLUMN('用語辞書'!B$1),FALSE),
IF(_xlpm.v=0,"",_xlpm.v)
),"")</f>
        <v/>
      </c>
      <c r="K487" s="17"/>
      <c r="L487" s="17" t="str">
        <f>IF(OR(COUNTIF('クラス'!$A$1:$A$1267,$B487)&gt;0,$B487="",$M487=""),"",True)</f>
        <v/>
      </c>
      <c r="M487" s="1" t="str">
        <f t="shared" si="10"/>
        <v>存在しない</v>
      </c>
      <c r="N487" s="1" t="s">
        <v>29</v>
      </c>
      <c r="O487" s="1"/>
      <c r="P487" s="11"/>
      <c r="Q487" s="11"/>
      <c r="R487" s="11"/>
      <c r="S487" s="11"/>
      <c r="T487" s="1"/>
      <c r="U487" s="1"/>
      <c r="V487" s="1"/>
      <c r="W487" s="1"/>
      <c r="X487" s="1"/>
      <c r="Y487" s="1"/>
      <c r="Z487" s="1"/>
    </row>
    <row r="488" ht="18.0" customHeight="1" outlineLevel="2">
      <c r="A488" s="1">
        <v>8.0</v>
      </c>
      <c r="B488" s="1" t="s">
        <v>1111</v>
      </c>
      <c r="C488" s="1" t="s">
        <v>1112</v>
      </c>
      <c r="D488" s="1"/>
      <c r="E488" s="14" t="s">
        <v>33</v>
      </c>
      <c r="F488" s="15"/>
      <c r="G488" s="16">
        <v>40.0</v>
      </c>
      <c r="H488" s="11" t="s">
        <v>1113</v>
      </c>
      <c r="I488" s="7"/>
      <c r="J488" s="7" t="str">
        <f>IFERROR(LET(_xlpm.v,
VLOOKUP($I488,'用語辞書'!$A:$B,COLUMN('用語辞書'!B$1),FALSE),
IF(_xlpm.v=0,"",_xlpm.v)
),"")</f>
        <v/>
      </c>
      <c r="K488" s="17"/>
      <c r="L488" s="17" t="b">
        <f>IF(OR(COUNTIF('クラス'!$A$1:$A$1267,$B488)&gt;0,$B488="",$M488=""),"",True)</f>
        <v>1</v>
      </c>
      <c r="M488" s="1" t="str">
        <f t="shared" si="10"/>
        <v>存在しない</v>
      </c>
      <c r="N488" s="1" t="s">
        <v>29</v>
      </c>
      <c r="O488" s="1"/>
      <c r="P488" s="11"/>
      <c r="Q488" s="11"/>
      <c r="R488" s="11"/>
      <c r="S488" s="11"/>
      <c r="T488" s="1"/>
      <c r="U488" s="1"/>
      <c r="V488" s="1"/>
      <c r="W488" s="1"/>
      <c r="X488" s="1"/>
      <c r="Y488" s="1"/>
      <c r="Z488" s="1"/>
    </row>
    <row r="489" ht="18.0" customHeight="1" outlineLevel="2">
      <c r="A489" s="1">
        <v>9.0</v>
      </c>
      <c r="B489" s="1" t="s">
        <v>1114</v>
      </c>
      <c r="C489" s="1"/>
      <c r="D489" s="1"/>
      <c r="E489" s="14" t="s">
        <v>55</v>
      </c>
      <c r="F489" s="15"/>
      <c r="G489" s="16"/>
      <c r="H489" s="11" t="s">
        <v>1115</v>
      </c>
      <c r="I489" s="7"/>
      <c r="J489" s="7" t="str">
        <f>IFERROR(LET(_xlpm.v,
VLOOKUP($I489,'用語辞書'!$A:$B,COLUMN('用語辞書'!B$1),FALSE),
IF(_xlpm.v=0,"",_xlpm.v)
),"")</f>
        <v/>
      </c>
      <c r="K489" s="17"/>
      <c r="L489" s="17" t="b">
        <f>IF(OR(COUNTIF('クラス'!$A$1:$A$1267,$B489)&gt;0,$B489="",$M489=""),"",True)</f>
        <v>1</v>
      </c>
      <c r="M489" s="1" t="str">
        <f t="shared" si="10"/>
        <v>存在しない</v>
      </c>
      <c r="N489" s="1" t="s">
        <v>29</v>
      </c>
      <c r="O489" s="1"/>
      <c r="P489" s="11"/>
      <c r="Q489" s="11"/>
      <c r="R489" s="11"/>
      <c r="S489" s="11"/>
      <c r="T489" s="1"/>
      <c r="U489" s="1"/>
      <c r="V489" s="1"/>
      <c r="W489" s="1"/>
      <c r="X489" s="1"/>
      <c r="Y489" s="1"/>
      <c r="Z489" s="1"/>
    </row>
    <row r="490" ht="18.0" customHeight="1" outlineLevel="2">
      <c r="A490" s="1">
        <v>10.0</v>
      </c>
      <c r="B490" s="1" t="s">
        <v>1116</v>
      </c>
      <c r="C490" s="1" t="s">
        <v>1117</v>
      </c>
      <c r="D490" s="1"/>
      <c r="E490" s="14" t="s">
        <v>33</v>
      </c>
      <c r="F490" s="15"/>
      <c r="G490" s="16">
        <v>60.0</v>
      </c>
      <c r="H490" s="11" t="s">
        <v>1118</v>
      </c>
      <c r="I490" s="7"/>
      <c r="J490" s="7" t="str">
        <f>IFERROR(LET(_xlpm.v,
VLOOKUP($I490,'用語辞書'!$A:$B,COLUMN('用語辞書'!B$1),FALSE),
IF(_xlpm.v=0,"",_xlpm.v)
),"")</f>
        <v/>
      </c>
      <c r="K490" s="17"/>
      <c r="L490" s="17" t="b">
        <f>IF(OR(COUNTIF('クラス'!$A$1:$A$1267,$B490)&gt;0,$B490="",$M490=""),"",True)</f>
        <v>1</v>
      </c>
      <c r="M490" s="1" t="str">
        <f t="shared" si="10"/>
        <v>存在しない</v>
      </c>
      <c r="N490" s="1" t="s">
        <v>29</v>
      </c>
      <c r="O490" s="1"/>
      <c r="P490" s="11"/>
      <c r="Q490" s="11"/>
      <c r="R490" s="11"/>
      <c r="S490" s="11"/>
      <c r="T490" s="1"/>
      <c r="U490" s="1"/>
      <c r="V490" s="1"/>
      <c r="W490" s="1"/>
      <c r="X490" s="1"/>
      <c r="Y490" s="1"/>
      <c r="Z490" s="1"/>
    </row>
    <row r="491" ht="18.0" customHeight="1" outlineLevel="1">
      <c r="A491" s="1"/>
      <c r="B491" s="1"/>
      <c r="C491" s="1"/>
      <c r="D491" s="1"/>
      <c r="E491" s="14"/>
      <c r="F491" s="15"/>
      <c r="G491" s="16"/>
      <c r="H491" s="11"/>
      <c r="I491" s="7"/>
      <c r="J491" s="7" t="str">
        <f>IFERROR(LET(_xlpm.v,
VLOOKUP($I491,'用語辞書'!$A:$B,COLUMN('用語辞書'!B$1),FALSE),
IF(_xlpm.v=0,"",_xlpm.v)
),"")</f>
        <v/>
      </c>
      <c r="K491" s="17"/>
      <c r="L491" s="17" t="str">
        <f>IF(OR(COUNTIF('クラス'!$A$1:$A$1267,$B491)&gt;0,$B491="",$M491=""),"",True)</f>
        <v/>
      </c>
      <c r="M491" s="1" t="str">
        <f t="shared" si="10"/>
        <v>存在しない</v>
      </c>
      <c r="N491" s="1" t="s">
        <v>29</v>
      </c>
      <c r="O491" s="1"/>
      <c r="P491" s="11"/>
      <c r="Q491" s="11"/>
      <c r="R491" s="11"/>
      <c r="S491" s="11"/>
      <c r="T491" s="1"/>
      <c r="U491" s="1"/>
      <c r="V491" s="1"/>
      <c r="W491" s="1"/>
      <c r="X491" s="1"/>
      <c r="Y491" s="1"/>
      <c r="Z491" s="1"/>
    </row>
    <row r="492" ht="18.0" customHeight="1" outlineLevel="1">
      <c r="A492" s="1"/>
      <c r="B492" s="1" t="s">
        <v>1119</v>
      </c>
      <c r="C492" s="1"/>
      <c r="D492" s="1"/>
      <c r="E492" s="14"/>
      <c r="F492" s="15"/>
      <c r="G492" s="16"/>
      <c r="H492" s="11"/>
      <c r="I492" s="7"/>
      <c r="J492" s="7" t="str">
        <f>IFERROR(LET(_xlpm.v,
VLOOKUP($I492,'用語辞書'!$A:$B,COLUMN('用語辞書'!B$1),FALSE),
IF(_xlpm.v=0,"",_xlpm.v)
),"")</f>
        <v/>
      </c>
      <c r="K492" s="17"/>
      <c r="L492" s="17" t="str">
        <f>IF(OR(COUNTIF('クラス'!$A$1:$A$1267,$B492)&gt;0,$B492="",$M492=""),"",True)</f>
        <v/>
      </c>
      <c r="M492" s="1" t="str">
        <f t="shared" si="10"/>
        <v>存在しない</v>
      </c>
      <c r="N492" s="1" t="s">
        <v>29</v>
      </c>
      <c r="O492" s="1"/>
      <c r="P492" s="11"/>
      <c r="Q492" s="11"/>
      <c r="R492" s="11"/>
      <c r="S492" s="11"/>
      <c r="T492" s="1"/>
      <c r="U492" s="1"/>
      <c r="V492" s="1"/>
      <c r="W492" s="1"/>
      <c r="X492" s="1"/>
      <c r="Y492" s="1"/>
      <c r="Z492" s="1"/>
    </row>
    <row r="493" ht="18.0" customHeight="1" outlineLevel="2">
      <c r="A493" s="1">
        <v>1.0</v>
      </c>
      <c r="B493" s="1"/>
      <c r="C493" s="1"/>
      <c r="D493" s="1"/>
      <c r="E493" s="14"/>
      <c r="F493" s="15"/>
      <c r="G493" s="16"/>
      <c r="H493" s="11"/>
      <c r="I493" s="7"/>
      <c r="J493" s="7" t="str">
        <f>IFERROR(LET(_xlpm.v,
VLOOKUP($I493,'用語辞書'!$A:$B,COLUMN('用語辞書'!B$1),FALSE),
IF(_xlpm.v=0,"",_xlpm.v)
),"")</f>
        <v/>
      </c>
      <c r="K493" s="17"/>
      <c r="L493" s="17" t="str">
        <f>IF(OR(COUNTIF('クラス'!$A$1:$A$1267,$B493)&gt;0,$B493="",$M493=""),"",True)</f>
        <v/>
      </c>
      <c r="M493" s="1" t="str">
        <f t="shared" si="10"/>
        <v>存在しない</v>
      </c>
      <c r="N493" s="1" t="s">
        <v>29</v>
      </c>
      <c r="O493" s="1"/>
      <c r="P493" s="11"/>
      <c r="Q493" s="11"/>
      <c r="R493" s="11"/>
      <c r="S493" s="11"/>
      <c r="T493" s="1"/>
      <c r="U493" s="1"/>
      <c r="V493" s="1"/>
      <c r="W493" s="1"/>
      <c r="X493" s="1"/>
      <c r="Y493" s="1"/>
      <c r="Z493" s="1"/>
    </row>
    <row r="494" ht="18.0" customHeight="1" outlineLevel="2">
      <c r="A494" s="1">
        <v>2.0</v>
      </c>
      <c r="B494" s="1" t="s">
        <v>1108</v>
      </c>
      <c r="C494" s="1" t="s">
        <v>1109</v>
      </c>
      <c r="D494" s="1"/>
      <c r="E494" s="14" t="s">
        <v>33</v>
      </c>
      <c r="F494" s="15"/>
      <c r="G494" s="16">
        <v>60.0</v>
      </c>
      <c r="H494" s="11" t="s">
        <v>1105</v>
      </c>
      <c r="I494" s="7"/>
      <c r="J494" s="7" t="str">
        <f>IFERROR(LET(_xlpm.v,
VLOOKUP($I494,'用語辞書'!$A:$B,COLUMN('用語辞書'!B$1),FALSE),
IF(_xlpm.v=0,"",_xlpm.v)
),"")</f>
        <v/>
      </c>
      <c r="K494" s="17"/>
      <c r="L494" s="17" t="str">
        <f>IF(OR(COUNTIF('クラス'!$A$1:$A$1267,$B494)&gt;0,$B494="",$M494=""),"",True)</f>
        <v/>
      </c>
      <c r="M494" s="1" t="str">
        <f t="shared" si="10"/>
        <v/>
      </c>
      <c r="N494" s="1" t="s">
        <v>29</v>
      </c>
      <c r="O494" s="1"/>
      <c r="P494" s="11"/>
      <c r="Q494" s="11"/>
      <c r="R494" s="11"/>
      <c r="S494" s="11"/>
      <c r="T494" s="1"/>
      <c r="U494" s="1"/>
      <c r="V494" s="1"/>
      <c r="W494" s="1"/>
      <c r="X494" s="1"/>
      <c r="Y494" s="1"/>
      <c r="Z494" s="1"/>
    </row>
    <row r="495" ht="18.0" customHeight="1" outlineLevel="2">
      <c r="A495" s="1">
        <v>3.0</v>
      </c>
      <c r="B495" s="1" t="s">
        <v>1106</v>
      </c>
      <c r="C495" s="1"/>
      <c r="D495" s="1"/>
      <c r="E495" s="14" t="s">
        <v>55</v>
      </c>
      <c r="F495" s="15"/>
      <c r="G495" s="16"/>
      <c r="H495" s="11" t="s">
        <v>1107</v>
      </c>
      <c r="I495" s="7"/>
      <c r="J495" s="7" t="str">
        <f>IFERROR(LET(_xlpm.v,
VLOOKUP($I495,'用語辞書'!$A:$B,COLUMN('用語辞書'!B$1),FALSE),
IF(_xlpm.v=0,"",_xlpm.v)
),"")</f>
        <v/>
      </c>
      <c r="K495" s="17"/>
      <c r="L495" s="17" t="str">
        <f>IF(OR(COUNTIF('クラス'!$A$1:$A$1267,$B495)&gt;0,$B495="",$M495=""),"",True)</f>
        <v/>
      </c>
      <c r="M495" s="1" t="str">
        <f t="shared" si="10"/>
        <v/>
      </c>
      <c r="N495" s="1" t="s">
        <v>29</v>
      </c>
      <c r="O495" s="1"/>
      <c r="P495" s="11"/>
      <c r="Q495" s="11"/>
      <c r="R495" s="11"/>
      <c r="S495" s="11"/>
      <c r="T495" s="1"/>
      <c r="U495" s="1"/>
      <c r="V495" s="1"/>
      <c r="W495" s="1"/>
      <c r="X495" s="1"/>
      <c r="Y495" s="1"/>
      <c r="Z495" s="1"/>
    </row>
    <row r="496" ht="18.0" customHeight="1" outlineLevel="2">
      <c r="A496" s="1">
        <v>4.0</v>
      </c>
      <c r="B496" s="1"/>
      <c r="C496" s="1"/>
      <c r="D496" s="1"/>
      <c r="E496" s="14"/>
      <c r="F496" s="15"/>
      <c r="G496" s="16"/>
      <c r="H496" s="11"/>
      <c r="I496" s="7"/>
      <c r="J496" s="7" t="str">
        <f>IFERROR(LET(_xlpm.v,
VLOOKUP($I496,'用語辞書'!$A:$B,COLUMN('用語辞書'!B$1),FALSE),
IF(_xlpm.v=0,"",_xlpm.v)
),"")</f>
        <v/>
      </c>
      <c r="K496" s="17"/>
      <c r="L496" s="17" t="str">
        <f>IF(OR(COUNTIF('クラス'!$A$1:$A$1267,$B496)&gt;0,$B496="",$M496=""),"",True)</f>
        <v/>
      </c>
      <c r="M496" s="1" t="str">
        <f t="shared" si="10"/>
        <v>存在しない</v>
      </c>
      <c r="N496" s="1" t="s">
        <v>29</v>
      </c>
      <c r="O496" s="1"/>
      <c r="P496" s="11"/>
      <c r="Q496" s="11"/>
      <c r="R496" s="11"/>
      <c r="S496" s="11"/>
      <c r="T496" s="1"/>
      <c r="U496" s="1"/>
      <c r="V496" s="1"/>
      <c r="W496" s="1"/>
      <c r="X496" s="1"/>
      <c r="Y496" s="1"/>
      <c r="Z496" s="1"/>
    </row>
    <row r="497" ht="18.0" customHeight="1" outlineLevel="2">
      <c r="A497" s="1">
        <v>5.0</v>
      </c>
      <c r="B497" s="1" t="s">
        <v>1103</v>
      </c>
      <c r="C497" s="1" t="s">
        <v>1104</v>
      </c>
      <c r="D497" s="1"/>
      <c r="E497" s="14" t="s">
        <v>33</v>
      </c>
      <c r="F497" s="15"/>
      <c r="G497" s="16">
        <v>50.0</v>
      </c>
      <c r="H497" s="11" t="s">
        <v>1110</v>
      </c>
      <c r="I497" s="7"/>
      <c r="J497" s="7" t="str">
        <f>IFERROR(LET(_xlpm.v,
VLOOKUP($I497,'用語辞書'!$A:$B,COLUMN('用語辞書'!B$1),FALSE),
IF(_xlpm.v=0,"",_xlpm.v)
),"")</f>
        <v/>
      </c>
      <c r="K497" s="17"/>
      <c r="L497" s="17" t="str">
        <f>IF(OR(COUNTIF('クラス'!$A$1:$A$1267,$B497)&gt;0,$B497="",$M497=""),"",True)</f>
        <v/>
      </c>
      <c r="M497" s="1" t="str">
        <f t="shared" si="10"/>
        <v/>
      </c>
      <c r="N497" s="1" t="s">
        <v>29</v>
      </c>
      <c r="O497" s="1"/>
      <c r="P497" s="11"/>
      <c r="Q497" s="11"/>
      <c r="R497" s="11"/>
      <c r="S497" s="11"/>
      <c r="T497" s="1"/>
      <c r="U497" s="1"/>
      <c r="V497" s="1"/>
      <c r="W497" s="1"/>
      <c r="X497" s="1"/>
      <c r="Y497" s="1"/>
      <c r="Z497" s="1"/>
    </row>
    <row r="498" ht="18.0" customHeight="1" outlineLevel="2">
      <c r="A498" s="1">
        <v>6.0</v>
      </c>
      <c r="B498" s="1" t="s">
        <v>1120</v>
      </c>
      <c r="C498" s="1"/>
      <c r="D498" s="1"/>
      <c r="E498" s="14" t="s">
        <v>55</v>
      </c>
      <c r="F498" s="15"/>
      <c r="G498" s="16"/>
      <c r="H498" s="11" t="s">
        <v>1121</v>
      </c>
      <c r="I498" s="7"/>
      <c r="J498" s="7" t="str">
        <f>IFERROR(LET(_xlpm.v,
VLOOKUP($I498,'用語辞書'!$A:$B,COLUMN('用語辞書'!B$1),FALSE),
IF(_xlpm.v=0,"",_xlpm.v)
),"")</f>
        <v/>
      </c>
      <c r="K498" s="17"/>
      <c r="L498" s="17" t="b">
        <f>IF(OR(COUNTIF('クラス'!$A$1:$A$1267,$B498)&gt;0,$B498="",$M498=""),"",True)</f>
        <v>1</v>
      </c>
      <c r="M498" s="1" t="str">
        <f t="shared" si="10"/>
        <v>存在しない</v>
      </c>
      <c r="N498" s="1" t="s">
        <v>29</v>
      </c>
      <c r="O498" s="1"/>
      <c r="P498" s="11"/>
      <c r="Q498" s="11"/>
      <c r="R498" s="11"/>
      <c r="S498" s="11"/>
      <c r="T498" s="1"/>
      <c r="U498" s="1"/>
      <c r="V498" s="1"/>
      <c r="W498" s="1"/>
      <c r="X498" s="1"/>
      <c r="Y498" s="1"/>
      <c r="Z498" s="1"/>
    </row>
    <row r="499" ht="18.0" customHeight="1" outlineLevel="2">
      <c r="A499" s="1">
        <v>7.0</v>
      </c>
      <c r="B499" s="1"/>
      <c r="C499" s="1"/>
      <c r="D499" s="1"/>
      <c r="E499" s="14"/>
      <c r="F499" s="15"/>
      <c r="G499" s="16"/>
      <c r="H499" s="11"/>
      <c r="I499" s="7"/>
      <c r="J499" s="7" t="str">
        <f>IFERROR(LET(_xlpm.v,
VLOOKUP($I499,'用語辞書'!$A:$B,COLUMN('用語辞書'!B$1),FALSE),
IF(_xlpm.v=0,"",_xlpm.v)
),"")</f>
        <v/>
      </c>
      <c r="K499" s="17"/>
      <c r="L499" s="17" t="str">
        <f>IF(OR(COUNTIF('クラス'!$A$1:$A$1267,$B499)&gt;0,$B499="",$M499=""),"",True)</f>
        <v/>
      </c>
      <c r="M499" s="1" t="str">
        <f t="shared" si="10"/>
        <v>存在しない</v>
      </c>
      <c r="N499" s="1" t="s">
        <v>29</v>
      </c>
      <c r="O499" s="1"/>
      <c r="P499" s="11"/>
      <c r="Q499" s="11"/>
      <c r="R499" s="11"/>
      <c r="S499" s="11"/>
      <c r="T499" s="1"/>
      <c r="U499" s="1"/>
      <c r="V499" s="1"/>
      <c r="W499" s="1"/>
      <c r="X499" s="1"/>
      <c r="Y499" s="1"/>
      <c r="Z499" s="1"/>
    </row>
    <row r="500" ht="18.0" customHeight="1" outlineLevel="2">
      <c r="A500" s="1">
        <v>8.0</v>
      </c>
      <c r="B500" s="1" t="s">
        <v>1111</v>
      </c>
      <c r="C500" s="1" t="s">
        <v>1112</v>
      </c>
      <c r="D500" s="1"/>
      <c r="E500" s="14" t="s">
        <v>33</v>
      </c>
      <c r="F500" s="15"/>
      <c r="G500" s="16">
        <v>40.0</v>
      </c>
      <c r="H500" s="11" t="s">
        <v>1113</v>
      </c>
      <c r="I500" s="7"/>
      <c r="J500" s="7" t="str">
        <f>IFERROR(LET(_xlpm.v,
VLOOKUP($I500,'用語辞書'!$A:$B,COLUMN('用語辞書'!B$1),FALSE),
IF(_xlpm.v=0,"",_xlpm.v)
),"")</f>
        <v/>
      </c>
      <c r="K500" s="17"/>
      <c r="L500" s="17" t="str">
        <f>IF(OR(COUNTIF('クラス'!$A$1:$A$1267,$B500)&gt;0,$B500="",$M500=""),"",True)</f>
        <v/>
      </c>
      <c r="M500" s="1" t="str">
        <f t="shared" si="10"/>
        <v/>
      </c>
      <c r="N500" s="1" t="s">
        <v>29</v>
      </c>
      <c r="O500" s="1"/>
      <c r="P500" s="11"/>
      <c r="Q500" s="11"/>
      <c r="R500" s="11"/>
      <c r="S500" s="11"/>
      <c r="T500" s="1"/>
      <c r="U500" s="1"/>
      <c r="V500" s="1"/>
      <c r="W500" s="1"/>
      <c r="X500" s="1"/>
      <c r="Y500" s="1"/>
      <c r="Z500" s="1"/>
    </row>
    <row r="501" ht="18.0" customHeight="1" outlineLevel="2">
      <c r="A501" s="1">
        <v>9.0</v>
      </c>
      <c r="B501" s="1" t="s">
        <v>1122</v>
      </c>
      <c r="C501" s="1"/>
      <c r="D501" s="1"/>
      <c r="E501" s="14" t="s">
        <v>55</v>
      </c>
      <c r="F501" s="15"/>
      <c r="G501" s="16"/>
      <c r="H501" s="11" t="s">
        <v>1123</v>
      </c>
      <c r="I501" s="7"/>
      <c r="J501" s="7" t="str">
        <f>IFERROR(LET(_xlpm.v,
VLOOKUP($I501,'用語辞書'!$A:$B,COLUMN('用語辞書'!B$1),FALSE),
IF(_xlpm.v=0,"",_xlpm.v)
),"")</f>
        <v/>
      </c>
      <c r="K501" s="17"/>
      <c r="L501" s="17" t="b">
        <f>IF(OR(COUNTIF('クラス'!$A$1:$A$1267,$B501)&gt;0,$B501="",$M501=""),"",True)</f>
        <v>1</v>
      </c>
      <c r="M501" s="1" t="str">
        <f t="shared" si="10"/>
        <v>存在しない</v>
      </c>
      <c r="N501" s="1" t="s">
        <v>29</v>
      </c>
      <c r="O501" s="1"/>
      <c r="P501" s="11"/>
      <c r="Q501" s="11"/>
      <c r="R501" s="11"/>
      <c r="S501" s="11"/>
      <c r="T501" s="1"/>
      <c r="U501" s="1"/>
      <c r="V501" s="1"/>
      <c r="W501" s="1"/>
      <c r="X501" s="1"/>
      <c r="Y501" s="1"/>
      <c r="Z501" s="1"/>
    </row>
    <row r="502" ht="18.0" customHeight="1" outlineLevel="2">
      <c r="A502" s="1">
        <v>10.0</v>
      </c>
      <c r="B502" s="1" t="s">
        <v>1116</v>
      </c>
      <c r="C502" s="1" t="s">
        <v>1117</v>
      </c>
      <c r="D502" s="1"/>
      <c r="E502" s="14" t="s">
        <v>33</v>
      </c>
      <c r="F502" s="15"/>
      <c r="G502" s="16">
        <v>60.0</v>
      </c>
      <c r="H502" s="11" t="s">
        <v>1118</v>
      </c>
      <c r="I502" s="7"/>
      <c r="J502" s="7" t="str">
        <f>IFERROR(LET(_xlpm.v,
VLOOKUP($I502,'用語辞書'!$A:$B,COLUMN('用語辞書'!B$1),FALSE),
IF(_xlpm.v=0,"",_xlpm.v)
),"")</f>
        <v/>
      </c>
      <c r="K502" s="17"/>
      <c r="L502" s="17" t="str">
        <f>IF(OR(COUNTIF('クラス'!$A$1:$A$1267,$B502)&gt;0,$B502="",$M502=""),"",True)</f>
        <v/>
      </c>
      <c r="M502" s="1" t="str">
        <f t="shared" si="10"/>
        <v/>
      </c>
      <c r="N502" s="1" t="s">
        <v>29</v>
      </c>
      <c r="O502" s="1"/>
      <c r="P502" s="11"/>
      <c r="Q502" s="11"/>
      <c r="R502" s="11"/>
      <c r="S502" s="11"/>
      <c r="T502" s="1"/>
      <c r="U502" s="1"/>
      <c r="V502" s="1"/>
      <c r="W502" s="1"/>
      <c r="X502" s="1"/>
      <c r="Y502" s="1"/>
      <c r="Z502" s="1"/>
    </row>
    <row r="503" ht="18.0" customHeight="1" outlineLevel="2">
      <c r="A503" s="1"/>
      <c r="B503" s="1"/>
      <c r="C503" s="1"/>
      <c r="D503" s="1"/>
      <c r="E503" s="14"/>
      <c r="F503" s="15"/>
      <c r="G503" s="16"/>
      <c r="H503" s="11"/>
      <c r="I503" s="7"/>
      <c r="J503" s="7" t="str">
        <f>IFERROR(LET(_xlpm.v,
VLOOKUP($I503,'用語辞書'!$A:$B,COLUMN('用語辞書'!B$1),FALSE),
IF(_xlpm.v=0,"",_xlpm.v)
),"")</f>
        <v/>
      </c>
      <c r="K503" s="17"/>
      <c r="L503" s="17" t="str">
        <f>IF(OR(COUNTIF('クラス'!$A$1:$A$1267,$B503)&gt;0,$B503="",$M503=""),"",True)</f>
        <v/>
      </c>
      <c r="M503" s="1" t="str">
        <f t="shared" si="10"/>
        <v>存在しない</v>
      </c>
      <c r="N503" s="1" t="s">
        <v>29</v>
      </c>
      <c r="O503" s="1"/>
      <c r="P503" s="11"/>
      <c r="Q503" s="11"/>
      <c r="R503" s="11"/>
      <c r="S503" s="11"/>
      <c r="T503" s="1"/>
      <c r="U503" s="1"/>
      <c r="V503" s="1"/>
      <c r="W503" s="1"/>
      <c r="X503" s="1"/>
      <c r="Y503" s="1"/>
      <c r="Z503" s="1"/>
    </row>
    <row r="504" ht="18.0" customHeight="1" outlineLevel="1">
      <c r="A504" s="1"/>
      <c r="B504" s="1" t="s">
        <v>1124</v>
      </c>
      <c r="C504" s="1"/>
      <c r="D504" s="1"/>
      <c r="E504" s="14"/>
      <c r="F504" s="15"/>
      <c r="G504" s="16"/>
      <c r="H504" s="11"/>
      <c r="I504" s="7"/>
      <c r="J504" s="7" t="str">
        <f>IFERROR(LET(_xlpm.v,
VLOOKUP($I504,'用語辞書'!$A:$B,COLUMN('用語辞書'!B$1),FALSE),
IF(_xlpm.v=0,"",_xlpm.v)
),"")</f>
        <v/>
      </c>
      <c r="K504" s="17"/>
      <c r="L504" s="17" t="str">
        <f>IF(OR(COUNTIF('クラス'!$A$1:$A$1267,$B504)&gt;0,$B504="",$M504=""),"",True)</f>
        <v/>
      </c>
      <c r="M504" s="1" t="str">
        <f t="shared" si="10"/>
        <v>存在しない</v>
      </c>
      <c r="N504" s="1" t="s">
        <v>29</v>
      </c>
      <c r="O504" s="1"/>
      <c r="P504" s="11"/>
      <c r="Q504" s="11"/>
      <c r="R504" s="11"/>
      <c r="S504" s="11"/>
      <c r="T504" s="1"/>
      <c r="U504" s="1"/>
      <c r="V504" s="1"/>
      <c r="W504" s="1"/>
      <c r="X504" s="1"/>
      <c r="Y504" s="1"/>
      <c r="Z504" s="1"/>
    </row>
    <row r="505" ht="18.0" customHeight="1" outlineLevel="2">
      <c r="A505" s="1">
        <v>1.0</v>
      </c>
      <c r="B505" s="1"/>
      <c r="C505" s="1"/>
      <c r="D505" s="1"/>
      <c r="E505" s="14"/>
      <c r="F505" s="15"/>
      <c r="G505" s="16"/>
      <c r="H505" s="11"/>
      <c r="I505" s="7"/>
      <c r="J505" s="7" t="str">
        <f>IFERROR(LET(_xlpm.v,
VLOOKUP($I505,'用語辞書'!$A:$B,COLUMN('用語辞書'!B$1),FALSE),
IF(_xlpm.v=0,"",_xlpm.v)
),"")</f>
        <v/>
      </c>
      <c r="K505" s="17"/>
      <c r="L505" s="17" t="str">
        <f>IF(OR(COUNTIF('クラス'!$A$1:$A$1267,$B505)&gt;0,$B505="",$M505=""),"",True)</f>
        <v/>
      </c>
      <c r="M505" s="1" t="str">
        <f t="shared" si="10"/>
        <v>存在しない</v>
      </c>
      <c r="N505" s="1" t="s">
        <v>29</v>
      </c>
      <c r="O505" s="1"/>
      <c r="P505" s="11"/>
      <c r="Q505" s="11"/>
      <c r="R505" s="11"/>
      <c r="S505" s="11"/>
      <c r="T505" s="1"/>
      <c r="U505" s="1"/>
      <c r="V505" s="1"/>
      <c r="W505" s="1"/>
      <c r="X505" s="1"/>
      <c r="Y505" s="1"/>
      <c r="Z505" s="1"/>
    </row>
    <row r="506" ht="18.0" customHeight="1" outlineLevel="2">
      <c r="A506" s="1">
        <v>2.0</v>
      </c>
      <c r="B506" s="1" t="s">
        <v>1103</v>
      </c>
      <c r="C506" s="1" t="s">
        <v>1104</v>
      </c>
      <c r="D506" s="1"/>
      <c r="E506" s="14" t="s">
        <v>33</v>
      </c>
      <c r="F506" s="15"/>
      <c r="G506" s="16">
        <v>60.0</v>
      </c>
      <c r="H506" s="11" t="s">
        <v>1105</v>
      </c>
      <c r="I506" s="7"/>
      <c r="J506" s="7" t="str">
        <f>IFERROR(LET(_xlpm.v,
VLOOKUP($I506,'用語辞書'!$A:$B,COLUMN('用語辞書'!B$1),FALSE),
IF(_xlpm.v=0,"",_xlpm.v)
),"")</f>
        <v/>
      </c>
      <c r="K506" s="17"/>
      <c r="L506" s="17" t="str">
        <f>IF(OR(COUNTIF('クラス'!$A$1:$A$1267,$B506)&gt;0,$B506="",$M506=""),"",True)</f>
        <v/>
      </c>
      <c r="M506" s="1" t="str">
        <f t="shared" si="10"/>
        <v/>
      </c>
      <c r="N506" s="1" t="s">
        <v>29</v>
      </c>
      <c r="O506" s="1"/>
      <c r="P506" s="11"/>
      <c r="Q506" s="11"/>
      <c r="R506" s="11"/>
      <c r="S506" s="11"/>
      <c r="T506" s="1"/>
      <c r="U506" s="1"/>
      <c r="V506" s="1"/>
      <c r="W506" s="1"/>
      <c r="X506" s="1"/>
      <c r="Y506" s="1"/>
      <c r="Z506" s="1"/>
    </row>
    <row r="507" ht="18.0" customHeight="1" outlineLevel="2">
      <c r="A507" s="1">
        <v>3.0</v>
      </c>
      <c r="B507" s="1" t="s">
        <v>1106</v>
      </c>
      <c r="C507" s="1"/>
      <c r="D507" s="1"/>
      <c r="E507" s="14" t="s">
        <v>55</v>
      </c>
      <c r="F507" s="15"/>
      <c r="G507" s="16"/>
      <c r="H507" s="11" t="s">
        <v>1107</v>
      </c>
      <c r="I507" s="7"/>
      <c r="J507" s="7" t="str">
        <f>IFERROR(LET(_xlpm.v,
VLOOKUP($I507,'用語辞書'!$A:$B,COLUMN('用語辞書'!B$1),FALSE),
IF(_xlpm.v=0,"",_xlpm.v)
),"")</f>
        <v/>
      </c>
      <c r="K507" s="17"/>
      <c r="L507" s="17" t="str">
        <f>IF(OR(COUNTIF('クラス'!$A$1:$A$1267,$B507)&gt;0,$B507="",$M507=""),"",True)</f>
        <v/>
      </c>
      <c r="M507" s="1" t="str">
        <f t="shared" si="10"/>
        <v/>
      </c>
      <c r="N507" s="1" t="s">
        <v>29</v>
      </c>
      <c r="O507" s="1"/>
      <c r="P507" s="11"/>
      <c r="Q507" s="11"/>
      <c r="R507" s="11"/>
      <c r="S507" s="11"/>
      <c r="T507" s="1"/>
      <c r="U507" s="1"/>
      <c r="V507" s="1"/>
      <c r="W507" s="1"/>
      <c r="X507" s="1"/>
      <c r="Y507" s="1"/>
      <c r="Z507" s="1"/>
    </row>
    <row r="508" ht="18.0" customHeight="1" outlineLevel="2">
      <c r="A508" s="1">
        <v>4.0</v>
      </c>
      <c r="B508" s="1"/>
      <c r="C508" s="1"/>
      <c r="D508" s="1"/>
      <c r="E508" s="14"/>
      <c r="F508" s="15"/>
      <c r="G508" s="16"/>
      <c r="H508" s="11"/>
      <c r="I508" s="7"/>
      <c r="J508" s="7" t="str">
        <f>IFERROR(LET(_xlpm.v,
VLOOKUP($I508,'用語辞書'!$A:$B,COLUMN('用語辞書'!B$1),FALSE),
IF(_xlpm.v=0,"",_xlpm.v)
),"")</f>
        <v/>
      </c>
      <c r="K508" s="17"/>
      <c r="L508" s="17" t="str">
        <f>IF(OR(COUNTIF('クラス'!$A$1:$A$1267,$B508)&gt;0,$B508="",$M508=""),"",True)</f>
        <v/>
      </c>
      <c r="M508" s="1" t="str">
        <f t="shared" si="10"/>
        <v>存在しない</v>
      </c>
      <c r="N508" s="1" t="s">
        <v>29</v>
      </c>
      <c r="O508" s="1"/>
      <c r="P508" s="11"/>
      <c r="Q508" s="11"/>
      <c r="R508" s="11"/>
      <c r="S508" s="11"/>
      <c r="T508" s="1"/>
      <c r="U508" s="1"/>
      <c r="V508" s="1"/>
      <c r="W508" s="1"/>
      <c r="X508" s="1"/>
      <c r="Y508" s="1"/>
      <c r="Z508" s="1"/>
    </row>
    <row r="509" ht="18.0" customHeight="1" outlineLevel="2">
      <c r="A509" s="1">
        <v>5.0</v>
      </c>
      <c r="B509" s="1" t="s">
        <v>1125</v>
      </c>
      <c r="C509" s="1" t="s">
        <v>1126</v>
      </c>
      <c r="D509" s="1"/>
      <c r="E509" s="14" t="s">
        <v>33</v>
      </c>
      <c r="F509" s="15"/>
      <c r="G509" s="16">
        <v>40.0</v>
      </c>
      <c r="H509" s="11" t="s">
        <v>1127</v>
      </c>
      <c r="I509" s="7"/>
      <c r="J509" s="7" t="str">
        <f>IFERROR(LET(_xlpm.v,
VLOOKUP($I509,'用語辞書'!$A:$B,COLUMN('用語辞書'!B$1),FALSE),
IF(_xlpm.v=0,"",_xlpm.v)
),"")</f>
        <v/>
      </c>
      <c r="K509" s="17"/>
      <c r="L509" s="17" t="b">
        <f>IF(OR(COUNTIF('クラス'!$A$1:$A$1267,$B509)&gt;0,$B509="",$M509=""),"",True)</f>
        <v>1</v>
      </c>
      <c r="M509" s="1" t="str">
        <f t="shared" si="10"/>
        <v>存在しない</v>
      </c>
      <c r="N509" s="1" t="s">
        <v>29</v>
      </c>
      <c r="O509" s="1"/>
      <c r="P509" s="11"/>
      <c r="Q509" s="11"/>
      <c r="R509" s="11"/>
      <c r="S509" s="11"/>
      <c r="T509" s="1"/>
      <c r="U509" s="1"/>
      <c r="V509" s="1"/>
      <c r="W509" s="1"/>
      <c r="X509" s="1"/>
      <c r="Y509" s="1"/>
      <c r="Z509" s="1"/>
    </row>
    <row r="510" ht="18.0" customHeight="1" outlineLevel="2">
      <c r="A510" s="1">
        <v>6.0</v>
      </c>
      <c r="B510" s="1"/>
      <c r="C510" s="1"/>
      <c r="D510" s="1"/>
      <c r="E510" s="14" t="s">
        <v>55</v>
      </c>
      <c r="F510" s="15"/>
      <c r="G510" s="16"/>
      <c r="H510" s="11"/>
      <c r="I510" s="7"/>
      <c r="J510" s="7" t="str">
        <f>IFERROR(LET(_xlpm.v,
VLOOKUP($I510,'用語辞書'!$A:$B,COLUMN('用語辞書'!B$1),FALSE),
IF(_xlpm.v=0,"",_xlpm.v)
),"")</f>
        <v/>
      </c>
      <c r="K510" s="17"/>
      <c r="L510" s="17" t="str">
        <f>IF(OR(COUNTIF('クラス'!$A$1:$A$1267,$B510)&gt;0,$B510="",$M510=""),"",True)</f>
        <v/>
      </c>
      <c r="M510" s="1" t="str">
        <f t="shared" si="10"/>
        <v>存在しない</v>
      </c>
      <c r="N510" s="1" t="s">
        <v>29</v>
      </c>
      <c r="O510" s="1"/>
      <c r="P510" s="11"/>
      <c r="Q510" s="11"/>
      <c r="R510" s="11"/>
      <c r="S510" s="11"/>
      <c r="T510" s="1"/>
      <c r="U510" s="1"/>
      <c r="V510" s="1"/>
      <c r="W510" s="1"/>
      <c r="X510" s="1"/>
      <c r="Y510" s="1"/>
      <c r="Z510" s="1"/>
    </row>
    <row r="511" ht="18.0" customHeight="1" outlineLevel="2">
      <c r="A511" s="1">
        <v>7.0</v>
      </c>
      <c r="B511" s="1"/>
      <c r="C511" s="1"/>
      <c r="D511" s="1"/>
      <c r="E511" s="14"/>
      <c r="F511" s="15"/>
      <c r="G511" s="16"/>
      <c r="H511" s="11"/>
      <c r="I511" s="7"/>
      <c r="J511" s="7" t="str">
        <f>IFERROR(LET(_xlpm.v,
VLOOKUP($I511,'用語辞書'!$A:$B,COLUMN('用語辞書'!B$1),FALSE),
IF(_xlpm.v=0,"",_xlpm.v)
),"")</f>
        <v/>
      </c>
      <c r="K511" s="17"/>
      <c r="L511" s="17" t="str">
        <f>IF(OR(COUNTIF('クラス'!$A$1:$A$1267,$B511)&gt;0,$B511="",$M511=""),"",True)</f>
        <v/>
      </c>
      <c r="M511" s="1" t="str">
        <f t="shared" si="10"/>
        <v>存在しない</v>
      </c>
      <c r="N511" s="1" t="s">
        <v>29</v>
      </c>
      <c r="O511" s="1"/>
      <c r="P511" s="11"/>
      <c r="Q511" s="11"/>
      <c r="R511" s="11"/>
      <c r="S511" s="11"/>
      <c r="T511" s="1"/>
      <c r="U511" s="1"/>
      <c r="V511" s="1"/>
      <c r="W511" s="1"/>
      <c r="X511" s="1"/>
      <c r="Y511" s="1"/>
      <c r="Z511" s="1"/>
    </row>
    <row r="512" ht="18.0" customHeight="1" outlineLevel="2">
      <c r="A512" s="1">
        <v>8.0</v>
      </c>
      <c r="B512" s="1" t="s">
        <v>1111</v>
      </c>
      <c r="C512" s="1" t="s">
        <v>1112</v>
      </c>
      <c r="D512" s="1"/>
      <c r="E512" s="14" t="s">
        <v>33</v>
      </c>
      <c r="F512" s="15"/>
      <c r="G512" s="16">
        <v>40.0</v>
      </c>
      <c r="H512" s="11" t="s">
        <v>1113</v>
      </c>
      <c r="I512" s="7"/>
      <c r="J512" s="7" t="str">
        <f>IFERROR(LET(_xlpm.v,
VLOOKUP($I512,'用語辞書'!$A:$B,COLUMN('用語辞書'!B$1),FALSE),
IF(_xlpm.v=0,"",_xlpm.v)
),"")</f>
        <v/>
      </c>
      <c r="K512" s="17"/>
      <c r="L512" s="17" t="str">
        <f>IF(OR(COUNTIF('クラス'!$A$1:$A$1267,$B512)&gt;0,$B512="",$M512=""),"",True)</f>
        <v/>
      </c>
      <c r="M512" s="1" t="str">
        <f t="shared" si="10"/>
        <v/>
      </c>
      <c r="N512" s="1" t="s">
        <v>29</v>
      </c>
      <c r="O512" s="1"/>
      <c r="P512" s="11"/>
      <c r="Q512" s="11"/>
      <c r="R512" s="11"/>
      <c r="S512" s="11"/>
      <c r="T512" s="1"/>
      <c r="U512" s="1"/>
      <c r="V512" s="1"/>
      <c r="W512" s="1"/>
      <c r="X512" s="1"/>
      <c r="Y512" s="1"/>
      <c r="Z512" s="1"/>
    </row>
    <row r="513" ht="18.0" customHeight="1" outlineLevel="2">
      <c r="A513" s="1">
        <v>9.0</v>
      </c>
      <c r="B513" s="1" t="s">
        <v>1114</v>
      </c>
      <c r="C513" s="1"/>
      <c r="D513" s="1"/>
      <c r="E513" s="14" t="s">
        <v>55</v>
      </c>
      <c r="F513" s="15"/>
      <c r="G513" s="16"/>
      <c r="H513" s="11" t="s">
        <v>1115</v>
      </c>
      <c r="I513" s="7"/>
      <c r="J513" s="7" t="str">
        <f>IFERROR(LET(_xlpm.v,
VLOOKUP($I513,'用語辞書'!$A:$B,COLUMN('用語辞書'!B$1),FALSE),
IF(_xlpm.v=0,"",_xlpm.v)
),"")</f>
        <v/>
      </c>
      <c r="K513" s="17"/>
      <c r="L513" s="17" t="str">
        <f>IF(OR(COUNTIF('クラス'!$A$1:$A$1267,$B513)&gt;0,$B513="",$M513=""),"",True)</f>
        <v/>
      </c>
      <c r="M513" s="1" t="str">
        <f t="shared" si="10"/>
        <v/>
      </c>
      <c r="N513" s="1" t="s">
        <v>29</v>
      </c>
      <c r="O513" s="1"/>
      <c r="P513" s="11"/>
      <c r="Q513" s="11"/>
      <c r="R513" s="11"/>
      <c r="S513" s="11"/>
      <c r="T513" s="1"/>
      <c r="U513" s="1"/>
      <c r="V513" s="1"/>
      <c r="W513" s="1"/>
      <c r="X513" s="1"/>
      <c r="Y513" s="1"/>
      <c r="Z513" s="1"/>
    </row>
    <row r="514" ht="18.0" customHeight="1" outlineLevel="2">
      <c r="A514" s="1">
        <v>10.0</v>
      </c>
      <c r="B514" s="1" t="s">
        <v>1116</v>
      </c>
      <c r="C514" s="1" t="s">
        <v>1117</v>
      </c>
      <c r="D514" s="1"/>
      <c r="E514" s="14" t="s">
        <v>33</v>
      </c>
      <c r="F514" s="15"/>
      <c r="G514" s="16">
        <v>60.0</v>
      </c>
      <c r="H514" s="11" t="s">
        <v>1118</v>
      </c>
      <c r="I514" s="7"/>
      <c r="J514" s="7" t="str">
        <f>IFERROR(LET(_xlpm.v,
VLOOKUP($I514,'用語辞書'!$A:$B,COLUMN('用語辞書'!B$1),FALSE),
IF(_xlpm.v=0,"",_xlpm.v)
),"")</f>
        <v/>
      </c>
      <c r="K514" s="17"/>
      <c r="L514" s="17" t="str">
        <f>IF(OR(COUNTIF('クラス'!$A$1:$A$1267,$B514)&gt;0,$B514="",$M514=""),"",True)</f>
        <v/>
      </c>
      <c r="M514" s="1" t="str">
        <f t="shared" si="10"/>
        <v/>
      </c>
      <c r="N514" s="1" t="s">
        <v>29</v>
      </c>
      <c r="O514" s="1"/>
      <c r="P514" s="11"/>
      <c r="Q514" s="11"/>
      <c r="R514" s="11"/>
      <c r="S514" s="11"/>
      <c r="T514" s="1"/>
      <c r="U514" s="1"/>
      <c r="V514" s="1"/>
      <c r="W514" s="1"/>
      <c r="X514" s="1"/>
      <c r="Y514" s="1"/>
      <c r="Z514" s="1"/>
    </row>
    <row r="515" ht="18.0" customHeight="1" outlineLevel="1">
      <c r="A515" s="1"/>
      <c r="B515" s="1"/>
      <c r="C515" s="1"/>
      <c r="D515" s="1"/>
      <c r="E515" s="14"/>
      <c r="F515" s="15"/>
      <c r="G515" s="16"/>
      <c r="H515" s="11"/>
      <c r="I515" s="7"/>
      <c r="J515" s="7" t="str">
        <f>IFERROR(LET(_xlpm.v,
VLOOKUP($I515,'用語辞書'!$A:$B,COLUMN('用語辞書'!B$1),FALSE),
IF(_xlpm.v=0,"",_xlpm.v)
),"")</f>
        <v/>
      </c>
      <c r="K515" s="17"/>
      <c r="L515" s="17" t="str">
        <f>IF(OR(COUNTIF('クラス'!$A$1:$A$1267,$B515)&gt;0,$B515="",$M515=""),"",True)</f>
        <v/>
      </c>
      <c r="M515" s="1" t="str">
        <f t="shared" si="10"/>
        <v>存在しない</v>
      </c>
      <c r="N515" s="1" t="s">
        <v>29</v>
      </c>
      <c r="O515" s="1"/>
      <c r="P515" s="11"/>
      <c r="Q515" s="11"/>
      <c r="R515" s="11"/>
      <c r="S515" s="11"/>
      <c r="T515" s="1"/>
      <c r="U515" s="1"/>
      <c r="V515" s="1"/>
      <c r="W515" s="1"/>
      <c r="X515" s="1"/>
      <c r="Y515" s="1"/>
      <c r="Z515" s="1"/>
    </row>
    <row r="516" ht="18.0" customHeight="1" outlineLevel="1">
      <c r="A516" s="1"/>
      <c r="B516" s="1"/>
      <c r="C516" s="26" t="s">
        <v>1128</v>
      </c>
      <c r="D516" s="1"/>
      <c r="E516" s="14"/>
      <c r="F516" s="15"/>
      <c r="G516" s="16"/>
      <c r="H516" s="11"/>
      <c r="I516" s="7"/>
      <c r="J516" s="7"/>
      <c r="K516" s="17"/>
      <c r="L516" s="17" t="str">
        <f>IF(OR(COUNTIF('クラス'!$A$1:$A$1267,$B516)&gt;0,$B516="",$M516=""),"",True)</f>
        <v/>
      </c>
      <c r="M516" s="1"/>
      <c r="N516" s="1"/>
      <c r="O516" s="1"/>
      <c r="P516" s="11"/>
      <c r="Q516" s="11"/>
      <c r="R516" s="11"/>
      <c r="S516" s="11"/>
      <c r="T516" s="1"/>
      <c r="U516" s="1"/>
      <c r="V516" s="1"/>
      <c r="W516" s="1"/>
      <c r="X516" s="1"/>
      <c r="Y516" s="1"/>
      <c r="Z516" s="1"/>
    </row>
    <row r="517" ht="18.0" customHeight="1" collapsed="1">
      <c r="A517" s="1"/>
      <c r="B517" s="1" t="s">
        <v>1129</v>
      </c>
      <c r="C517" s="1" t="s">
        <v>1130</v>
      </c>
      <c r="D517" s="1"/>
      <c r="E517" s="14"/>
      <c r="F517" s="15"/>
      <c r="G517" s="16"/>
      <c r="H517" s="11"/>
      <c r="I517" s="7"/>
      <c r="J517" s="7" t="str">
        <f>IFERROR(LET(_xlpm.v,
VLOOKUP($I517,'用語辞書'!$A:$B,COLUMN('用語辞書'!B$1),FALSE),
IF(_xlpm.v=0,"",_xlpm.v)
),"")</f>
        <v/>
      </c>
      <c r="K517" s="17"/>
      <c r="L517" s="17" t="str">
        <f>IF(OR(COUNTIF('クラス'!$A$1:$A$1267,$B517)&gt;0,$B517="",$M517=""),"",True)</f>
        <v/>
      </c>
      <c r="M517" s="1" t="str">
        <f t="shared" ref="M517:M528" si="11">IF(COUNTIF($B$1:$C516, $B517), "", "存在しない")</f>
        <v>存在しない</v>
      </c>
      <c r="N517" s="1" t="s">
        <v>29</v>
      </c>
      <c r="O517" s="1"/>
      <c r="P517" s="11"/>
      <c r="Q517" s="11"/>
      <c r="R517" s="11"/>
      <c r="S517" s="11"/>
      <c r="T517" s="1"/>
      <c r="U517" s="1"/>
      <c r="V517" s="1"/>
      <c r="W517" s="1"/>
      <c r="X517" s="1"/>
      <c r="Y517" s="1"/>
      <c r="Z517" s="1"/>
    </row>
    <row r="518" ht="18.0" customHeight="1" outlineLevel="1">
      <c r="A518" s="1">
        <v>1.0</v>
      </c>
      <c r="B518" s="1"/>
      <c r="C518" s="1"/>
      <c r="D518" s="1"/>
      <c r="E518" s="14"/>
      <c r="F518" s="15"/>
      <c r="G518" s="16"/>
      <c r="H518" s="11"/>
      <c r="I518" s="7"/>
      <c r="J518" s="7" t="str">
        <f>IFERROR(LET(_xlpm.v,
VLOOKUP($I518,'用語辞書'!$A:$B,COLUMN('用語辞書'!B$1),FALSE),
IF(_xlpm.v=0,"",_xlpm.v)
),"")</f>
        <v/>
      </c>
      <c r="K518" s="17"/>
      <c r="L518" s="17" t="str">
        <f>IF(OR(COUNTIF('クラス'!$A$1:$A$1267,$B518)&gt;0,$B518="",$M518=""),"",True)</f>
        <v/>
      </c>
      <c r="M518" s="1" t="str">
        <f t="shared" si="11"/>
        <v>存在しない</v>
      </c>
      <c r="N518" s="1" t="s">
        <v>29</v>
      </c>
      <c r="O518" s="1"/>
      <c r="P518" s="11"/>
      <c r="Q518" s="11"/>
      <c r="R518" s="11"/>
      <c r="S518" s="11"/>
      <c r="T518" s="1"/>
      <c r="U518" s="1"/>
      <c r="V518" s="1"/>
      <c r="W518" s="1"/>
      <c r="X518" s="1"/>
      <c r="Y518" s="1"/>
      <c r="Z518" s="1"/>
    </row>
    <row r="519" ht="18.0" customHeight="1" outlineLevel="2">
      <c r="A519" s="1">
        <v>2.0</v>
      </c>
      <c r="B519" s="1" t="s">
        <v>1103</v>
      </c>
      <c r="C519" s="1" t="s">
        <v>1104</v>
      </c>
      <c r="D519" s="1"/>
      <c r="E519" s="14" t="s">
        <v>33</v>
      </c>
      <c r="F519" s="15"/>
      <c r="G519" s="16">
        <v>60.0</v>
      </c>
      <c r="H519" s="11" t="s">
        <v>1131</v>
      </c>
      <c r="I519" s="7"/>
      <c r="J519" s="7" t="str">
        <f>IFERROR(LET(_xlpm.v,
VLOOKUP($I519,'用語辞書'!$A:$B,COLUMN('用語辞書'!B$1),FALSE),
IF(_xlpm.v=0,"",_xlpm.v)
),"")</f>
        <v/>
      </c>
      <c r="K519" s="17"/>
      <c r="L519" s="17" t="str">
        <f>IF(OR(COUNTIF('クラス'!$A$1:$A$1267,$B519)&gt;0,$B519="",$M519=""),"",True)</f>
        <v/>
      </c>
      <c r="M519" s="1" t="str">
        <f t="shared" si="11"/>
        <v/>
      </c>
      <c r="N519" s="1" t="s">
        <v>29</v>
      </c>
      <c r="O519" s="1"/>
      <c r="P519" s="11"/>
      <c r="Q519" s="11"/>
      <c r="R519" s="11"/>
      <c r="S519" s="11"/>
      <c r="T519" s="1"/>
      <c r="U519" s="1"/>
      <c r="V519" s="1"/>
      <c r="W519" s="1"/>
      <c r="X519" s="1"/>
      <c r="Y519" s="1"/>
      <c r="Z519" s="1"/>
    </row>
    <row r="520" ht="18.0" customHeight="1" outlineLevel="2">
      <c r="A520" s="1">
        <v>3.0</v>
      </c>
      <c r="B520" s="1" t="s">
        <v>1132</v>
      </c>
      <c r="C520" s="1"/>
      <c r="D520" s="1"/>
      <c r="E520" s="14" t="s">
        <v>55</v>
      </c>
      <c r="F520" s="15"/>
      <c r="G520" s="16"/>
      <c r="H520" s="11" t="s">
        <v>1133</v>
      </c>
      <c r="I520" s="7"/>
      <c r="J520" s="7" t="str">
        <f>IFERROR(LET(_xlpm.v,
VLOOKUP($I520,'用語辞書'!$A:$B,COLUMN('用語辞書'!B$1),FALSE),
IF(_xlpm.v=0,"",_xlpm.v)
),"")</f>
        <v/>
      </c>
      <c r="K520" s="17"/>
      <c r="L520" s="17" t="b">
        <f>IF(OR(COUNTIF('クラス'!$A$1:$A$1267,$B520)&gt;0,$B520="",$M520=""),"",True)</f>
        <v>1</v>
      </c>
      <c r="M520" s="1" t="str">
        <f t="shared" si="11"/>
        <v>存在しない</v>
      </c>
      <c r="N520" s="1" t="e">
        <v>#VALUE!</v>
      </c>
      <c r="O520" s="1"/>
      <c r="P520" s="11"/>
      <c r="Q520" s="11"/>
      <c r="R520" s="11"/>
      <c r="S520" s="11"/>
      <c r="T520" s="1"/>
      <c r="U520" s="1"/>
      <c r="V520" s="1"/>
      <c r="W520" s="1"/>
      <c r="X520" s="1"/>
      <c r="Y520" s="1"/>
      <c r="Z520" s="1"/>
    </row>
    <row r="521" ht="18.0" customHeight="1" outlineLevel="2">
      <c r="A521" s="1">
        <v>4.0</v>
      </c>
      <c r="B521" s="1"/>
      <c r="C521" s="1"/>
      <c r="D521" s="1"/>
      <c r="E521" s="14"/>
      <c r="F521" s="15"/>
      <c r="G521" s="16"/>
      <c r="H521" s="11"/>
      <c r="I521" s="7"/>
      <c r="J521" s="7" t="str">
        <f>IFERROR(LET(_xlpm.v,
VLOOKUP($I521,'用語辞書'!$A:$B,COLUMN('用語辞書'!B$1),FALSE),
IF(_xlpm.v=0,"",_xlpm.v)
),"")</f>
        <v/>
      </c>
      <c r="K521" s="17"/>
      <c r="L521" s="17" t="str">
        <f>IF(OR(COUNTIF('クラス'!$A$1:$A$1267,$B521)&gt;0,$B521="",$M521=""),"",True)</f>
        <v/>
      </c>
      <c r="M521" s="1" t="str">
        <f t="shared" si="11"/>
        <v>存在しない</v>
      </c>
      <c r="N521" s="1" t="s">
        <v>29</v>
      </c>
      <c r="O521" s="1"/>
      <c r="P521" s="11"/>
      <c r="Q521" s="11"/>
      <c r="R521" s="11"/>
      <c r="S521" s="11"/>
      <c r="T521" s="1"/>
      <c r="U521" s="1"/>
      <c r="V521" s="1"/>
      <c r="W521" s="1"/>
      <c r="X521" s="1"/>
      <c r="Y521" s="1"/>
      <c r="Z521" s="1"/>
    </row>
    <row r="522" ht="18.0" customHeight="1" outlineLevel="2">
      <c r="A522" s="1">
        <v>5.0</v>
      </c>
      <c r="B522" s="1" t="s">
        <v>1125</v>
      </c>
      <c r="C522" s="1" t="s">
        <v>1126</v>
      </c>
      <c r="D522" s="1"/>
      <c r="E522" s="14" t="s">
        <v>33</v>
      </c>
      <c r="F522" s="15"/>
      <c r="G522" s="16">
        <v>40.0</v>
      </c>
      <c r="H522" s="11" t="s">
        <v>1127</v>
      </c>
      <c r="I522" s="7"/>
      <c r="J522" s="7" t="str">
        <f>IFERROR(LET(_xlpm.v,
VLOOKUP($I522,'用語辞書'!$A:$B,COLUMN('用語辞書'!B$1),FALSE),
IF(_xlpm.v=0,"",_xlpm.v)
),"")</f>
        <v/>
      </c>
      <c r="K522" s="17"/>
      <c r="L522" s="17" t="str">
        <f>IF(OR(COUNTIF('クラス'!$A$1:$A$1267,$B522)&gt;0,$B522="",$M522=""),"",True)</f>
        <v/>
      </c>
      <c r="M522" s="1" t="str">
        <f t="shared" si="11"/>
        <v/>
      </c>
      <c r="N522" s="1" t="s">
        <v>29</v>
      </c>
      <c r="O522" s="1"/>
      <c r="P522" s="11"/>
      <c r="Q522" s="11"/>
      <c r="R522" s="11"/>
      <c r="S522" s="11"/>
      <c r="T522" s="1"/>
      <c r="U522" s="1"/>
      <c r="V522" s="1"/>
      <c r="W522" s="1"/>
      <c r="X522" s="1"/>
      <c r="Y522" s="1"/>
      <c r="Z522" s="1"/>
    </row>
    <row r="523" ht="18.0" customHeight="1" outlineLevel="2">
      <c r="A523" s="1">
        <v>6.0</v>
      </c>
      <c r="B523" s="1"/>
      <c r="C523" s="1"/>
      <c r="D523" s="1"/>
      <c r="E523" s="14" t="s">
        <v>55</v>
      </c>
      <c r="F523" s="15"/>
      <c r="G523" s="16"/>
      <c r="H523" s="11"/>
      <c r="I523" s="7"/>
      <c r="J523" s="7" t="str">
        <f>IFERROR(LET(_xlpm.v,
VLOOKUP($I523,'用語辞書'!$A:$B,COLUMN('用語辞書'!B$1),FALSE),
IF(_xlpm.v=0,"",_xlpm.v)
),"")</f>
        <v/>
      </c>
      <c r="K523" s="17"/>
      <c r="L523" s="17" t="str">
        <f>IF(OR(COUNTIF('クラス'!$A$1:$A$1267,$B523)&gt;0,$B523="",$M523=""),"",True)</f>
        <v/>
      </c>
      <c r="M523" s="1" t="str">
        <f t="shared" si="11"/>
        <v>存在しない</v>
      </c>
      <c r="N523" s="1" t="s">
        <v>29</v>
      </c>
      <c r="O523" s="1"/>
      <c r="P523" s="11"/>
      <c r="Q523" s="11"/>
      <c r="R523" s="11"/>
      <c r="S523" s="11"/>
      <c r="T523" s="1"/>
      <c r="U523" s="1"/>
      <c r="V523" s="1"/>
      <c r="W523" s="1"/>
      <c r="X523" s="1"/>
      <c r="Y523" s="1"/>
      <c r="Z523" s="1"/>
    </row>
    <row r="524" ht="18.0" customHeight="1" outlineLevel="2">
      <c r="A524" s="1">
        <v>7.0</v>
      </c>
      <c r="B524" s="1"/>
      <c r="C524" s="1"/>
      <c r="D524" s="1"/>
      <c r="E524" s="14"/>
      <c r="F524" s="15"/>
      <c r="G524" s="16"/>
      <c r="H524" s="11"/>
      <c r="I524" s="7"/>
      <c r="J524" s="7" t="str">
        <f>IFERROR(LET(_xlpm.v,
VLOOKUP($I524,'用語辞書'!$A:$B,COLUMN('用語辞書'!B$1),FALSE),
IF(_xlpm.v=0,"",_xlpm.v)
),"")</f>
        <v/>
      </c>
      <c r="K524" s="17"/>
      <c r="L524" s="17" t="str">
        <f>IF(OR(COUNTIF('クラス'!$A$1:$A$1267,$B524)&gt;0,$B524="",$M524=""),"",True)</f>
        <v/>
      </c>
      <c r="M524" s="1" t="str">
        <f t="shared" si="11"/>
        <v>存在しない</v>
      </c>
      <c r="N524" s="1" t="s">
        <v>29</v>
      </c>
      <c r="O524" s="1"/>
      <c r="P524" s="11"/>
      <c r="Q524" s="11"/>
      <c r="R524" s="11"/>
      <c r="S524" s="11"/>
      <c r="T524" s="1"/>
      <c r="U524" s="1"/>
      <c r="V524" s="1"/>
      <c r="W524" s="1"/>
      <c r="X524" s="1"/>
      <c r="Y524" s="1"/>
      <c r="Z524" s="1"/>
    </row>
    <row r="525" ht="18.0" customHeight="1" outlineLevel="2">
      <c r="A525" s="1">
        <v>8.0</v>
      </c>
      <c r="B525" s="1" t="s">
        <v>1111</v>
      </c>
      <c r="C525" s="1" t="s">
        <v>1112</v>
      </c>
      <c r="D525" s="1"/>
      <c r="E525" s="14" t="s">
        <v>33</v>
      </c>
      <c r="F525" s="15"/>
      <c r="G525" s="16">
        <v>40.0</v>
      </c>
      <c r="H525" s="11" t="s">
        <v>1113</v>
      </c>
      <c r="I525" s="7"/>
      <c r="J525" s="7" t="str">
        <f>IFERROR(LET(_xlpm.v,
VLOOKUP($I525,'用語辞書'!$A:$B,COLUMN('用語辞書'!B$1),FALSE),
IF(_xlpm.v=0,"",_xlpm.v)
),"")</f>
        <v/>
      </c>
      <c r="K525" s="17"/>
      <c r="L525" s="17" t="str">
        <f>IF(OR(COUNTIF('クラス'!$A$1:$A$1267,$B525)&gt;0,$B525="",$M525=""),"",True)</f>
        <v/>
      </c>
      <c r="M525" s="1" t="str">
        <f t="shared" si="11"/>
        <v/>
      </c>
      <c r="N525" s="1" t="s">
        <v>29</v>
      </c>
      <c r="O525" s="1"/>
      <c r="P525" s="11"/>
      <c r="Q525" s="11"/>
      <c r="R525" s="11"/>
      <c r="S525" s="11"/>
      <c r="T525" s="1"/>
      <c r="U525" s="1"/>
      <c r="V525" s="1"/>
      <c r="W525" s="1"/>
      <c r="X525" s="1"/>
      <c r="Y525" s="1"/>
      <c r="Z525" s="1"/>
    </row>
    <row r="526" ht="18.0" customHeight="1" outlineLevel="2">
      <c r="A526" s="1">
        <v>9.0</v>
      </c>
      <c r="B526" s="1" t="s">
        <v>1114</v>
      </c>
      <c r="C526" s="1"/>
      <c r="D526" s="1"/>
      <c r="E526" s="14" t="s">
        <v>55</v>
      </c>
      <c r="F526" s="15"/>
      <c r="G526" s="16"/>
      <c r="H526" s="11" t="s">
        <v>1115</v>
      </c>
      <c r="I526" s="7"/>
      <c r="J526" s="7" t="str">
        <f>IFERROR(LET(_xlpm.v,
VLOOKUP($I526,'用語辞書'!$A:$B,COLUMN('用語辞書'!B$1),FALSE),
IF(_xlpm.v=0,"",_xlpm.v)
),"")</f>
        <v/>
      </c>
      <c r="K526" s="17"/>
      <c r="L526" s="17" t="str">
        <f>IF(OR(COUNTIF('クラス'!$A$1:$A$1267,$B526)&gt;0,$B526="",$M526=""),"",True)</f>
        <v/>
      </c>
      <c r="M526" s="1" t="str">
        <f t="shared" si="11"/>
        <v/>
      </c>
      <c r="N526" s="1" t="s">
        <v>29</v>
      </c>
      <c r="O526" s="1"/>
      <c r="P526" s="11"/>
      <c r="Q526" s="11"/>
      <c r="R526" s="11"/>
      <c r="S526" s="11"/>
      <c r="T526" s="1"/>
      <c r="U526" s="1"/>
      <c r="V526" s="1"/>
      <c r="W526" s="1"/>
      <c r="X526" s="1"/>
      <c r="Y526" s="1"/>
      <c r="Z526" s="1"/>
    </row>
    <row r="527" ht="18.0" customHeight="1" outlineLevel="2">
      <c r="A527" s="1">
        <v>10.0</v>
      </c>
      <c r="B527" s="1" t="s">
        <v>1116</v>
      </c>
      <c r="C527" s="1" t="s">
        <v>1117</v>
      </c>
      <c r="D527" s="1"/>
      <c r="E527" s="14" t="s">
        <v>33</v>
      </c>
      <c r="F527" s="15"/>
      <c r="G527" s="16">
        <v>60.0</v>
      </c>
      <c r="H527" s="11" t="s">
        <v>1118</v>
      </c>
      <c r="I527" s="7"/>
      <c r="J527" s="7" t="str">
        <f>IFERROR(LET(_xlpm.v,
VLOOKUP($I527,'用語辞書'!$A:$B,COLUMN('用語辞書'!B$1),FALSE),
IF(_xlpm.v=0,"",_xlpm.v)
),"")</f>
        <v/>
      </c>
      <c r="K527" s="17"/>
      <c r="L527" s="17" t="str">
        <f>IF(OR(COUNTIF('クラス'!$A$1:$A$1267,$B527)&gt;0,$B527="",$M527=""),"",True)</f>
        <v/>
      </c>
      <c r="M527" s="1" t="str">
        <f t="shared" si="11"/>
        <v/>
      </c>
      <c r="N527" s="1" t="s">
        <v>29</v>
      </c>
      <c r="O527" s="1"/>
      <c r="P527" s="11"/>
      <c r="Q527" s="11"/>
      <c r="R527" s="11"/>
      <c r="S527" s="11"/>
      <c r="T527" s="1"/>
      <c r="U527" s="1"/>
      <c r="V527" s="1"/>
      <c r="W527" s="1"/>
      <c r="X527" s="1"/>
      <c r="Y527" s="1"/>
      <c r="Z527" s="1"/>
    </row>
    <row r="528" ht="18.0" customHeight="1" outlineLevel="1">
      <c r="A528" s="1"/>
      <c r="B528" s="1"/>
      <c r="C528" s="1"/>
      <c r="D528" s="1"/>
      <c r="E528" s="14"/>
      <c r="F528" s="15"/>
      <c r="G528" s="16"/>
      <c r="H528" s="11"/>
      <c r="I528" s="7"/>
      <c r="J528" s="7" t="str">
        <f>IFERROR(LET(_xlpm.v,
VLOOKUP($I528,'用語辞書'!$A:$B,COLUMN('用語辞書'!B$1),FALSE),
IF(_xlpm.v=0,"",_xlpm.v)
),"")</f>
        <v/>
      </c>
      <c r="K528" s="17"/>
      <c r="L528" s="17" t="str">
        <f>IF(OR(COUNTIF('クラス'!$A$1:$A$1267,$B528)&gt;0,$B528="",$M528=""),"",True)</f>
        <v/>
      </c>
      <c r="M528" s="1" t="str">
        <f t="shared" si="11"/>
        <v>存在しない</v>
      </c>
      <c r="N528" s="1" t="s">
        <v>29</v>
      </c>
      <c r="O528" s="1"/>
      <c r="P528" s="11"/>
      <c r="Q528" s="11"/>
      <c r="R528" s="11"/>
      <c r="S528" s="11"/>
      <c r="T528" s="1"/>
      <c r="U528" s="1"/>
      <c r="V528" s="1"/>
      <c r="W528" s="1"/>
      <c r="X528" s="1"/>
      <c r="Y528" s="1"/>
      <c r="Z528" s="1"/>
    </row>
    <row r="529" ht="18.0" customHeight="1" outlineLevel="1">
      <c r="A529" s="1"/>
      <c r="B529" s="1"/>
      <c r="C529" s="26" t="s">
        <v>1134</v>
      </c>
      <c r="D529" s="1"/>
      <c r="E529" s="14"/>
      <c r="F529" s="15"/>
      <c r="G529" s="16"/>
      <c r="H529" s="11"/>
      <c r="I529" s="7"/>
      <c r="J529" s="7"/>
      <c r="K529" s="17"/>
      <c r="L529" s="17" t="str">
        <f>IF(OR(COUNTIF('クラス'!$A$1:$A$1267,$B529)&gt;0,$B529="",$M529=""),"",True)</f>
        <v/>
      </c>
      <c r="M529" s="1"/>
      <c r="N529" s="1"/>
      <c r="O529" s="1"/>
      <c r="P529" s="11"/>
      <c r="Q529" s="11"/>
      <c r="R529" s="11"/>
      <c r="S529" s="11"/>
      <c r="T529" s="1"/>
      <c r="U529" s="1"/>
      <c r="V529" s="1"/>
      <c r="W529" s="1"/>
      <c r="X529" s="1"/>
      <c r="Y529" s="1"/>
      <c r="Z529" s="1"/>
    </row>
    <row r="530" ht="18.0" customHeight="1" outlineLevel="1">
      <c r="A530" s="1"/>
      <c r="B530" s="1" t="s">
        <v>1135</v>
      </c>
      <c r="C530" s="1"/>
      <c r="D530" s="1"/>
      <c r="E530" s="14"/>
      <c r="F530" s="15"/>
      <c r="G530" s="16"/>
      <c r="H530" s="11"/>
      <c r="I530" s="7"/>
      <c r="J530" s="7" t="str">
        <f>IFERROR(LET(_xlpm.v,
VLOOKUP($I530,'用語辞書'!$A:$B,COLUMN('用語辞書'!B$1),FALSE),
IF(_xlpm.v=0,"",_xlpm.v)
),"")</f>
        <v/>
      </c>
      <c r="K530" s="17"/>
      <c r="L530" s="17" t="str">
        <f>IF(OR(COUNTIF('クラス'!$A$1:$A$1267,$B530)&gt;0,$B530="",$M530=""),"",True)</f>
        <v/>
      </c>
      <c r="M530" s="1" t="str">
        <f t="shared" ref="M530:M565" si="12">IF(COUNTIF($B$1:$C529, $B530), "", "存在しない")</f>
        <v>存在しない</v>
      </c>
      <c r="N530" s="1" t="s">
        <v>29</v>
      </c>
      <c r="O530" s="1"/>
      <c r="P530" s="11"/>
      <c r="Q530" s="11"/>
      <c r="R530" s="11"/>
      <c r="S530" s="11"/>
      <c r="T530" s="1"/>
      <c r="U530" s="1"/>
      <c r="V530" s="1"/>
      <c r="W530" s="1"/>
      <c r="X530" s="1"/>
      <c r="Y530" s="1"/>
      <c r="Z530" s="1"/>
    </row>
    <row r="531" ht="18.0" customHeight="1" outlineLevel="2">
      <c r="A531" s="1">
        <v>1.0</v>
      </c>
      <c r="B531" s="1"/>
      <c r="C531" s="1"/>
      <c r="D531" s="1"/>
      <c r="E531" s="14"/>
      <c r="F531" s="15"/>
      <c r="G531" s="16"/>
      <c r="H531" s="11"/>
      <c r="I531" s="7"/>
      <c r="J531" s="7" t="str">
        <f>IFERROR(LET(_xlpm.v,
VLOOKUP($I531,'用語辞書'!$A:$B,COLUMN('用語辞書'!B$1),FALSE),
IF(_xlpm.v=0,"",_xlpm.v)
),"")</f>
        <v/>
      </c>
      <c r="K531" s="17"/>
      <c r="L531" s="17" t="str">
        <f>IF(OR(COUNTIF('クラス'!$A$1:$A$1267,$B531)&gt;0,$B531="",$M531=""),"",True)</f>
        <v/>
      </c>
      <c r="M531" s="1" t="str">
        <f t="shared" si="12"/>
        <v>存在しない</v>
      </c>
      <c r="N531" s="1" t="s">
        <v>29</v>
      </c>
      <c r="O531" s="1"/>
      <c r="P531" s="11"/>
      <c r="Q531" s="11"/>
      <c r="R531" s="11"/>
      <c r="S531" s="11"/>
      <c r="T531" s="1"/>
      <c r="U531" s="1"/>
      <c r="V531" s="1"/>
      <c r="W531" s="1"/>
      <c r="X531" s="1"/>
      <c r="Y531" s="1"/>
      <c r="Z531" s="1"/>
    </row>
    <row r="532" ht="18.0" customHeight="1" outlineLevel="2">
      <c r="A532" s="1">
        <v>2.0</v>
      </c>
      <c r="B532" s="1" t="s">
        <v>1136</v>
      </c>
      <c r="C532" s="1" t="s">
        <v>1137</v>
      </c>
      <c r="D532" s="1"/>
      <c r="E532" s="14" t="s">
        <v>33</v>
      </c>
      <c r="F532" s="15"/>
      <c r="G532" s="16">
        <v>60.0</v>
      </c>
      <c r="H532" s="11" t="s">
        <v>1138</v>
      </c>
      <c r="I532" s="7"/>
      <c r="J532" s="7" t="str">
        <f>IFERROR(LET(_xlpm.v,
VLOOKUP($I532,'用語辞書'!$A:$B,COLUMN('用語辞書'!B$1),FALSE),
IF(_xlpm.v=0,"",_xlpm.v)
),"")</f>
        <v/>
      </c>
      <c r="K532" s="17"/>
      <c r="L532" s="17" t="b">
        <f>IF(OR(COUNTIF('クラス'!$A$1:$A$1267,$B532)&gt;0,$B532="",$M532=""),"",True)</f>
        <v>1</v>
      </c>
      <c r="M532" s="1" t="str">
        <f t="shared" si="12"/>
        <v>存在しない</v>
      </c>
      <c r="N532" s="1" t="s">
        <v>29</v>
      </c>
      <c r="O532" s="1"/>
      <c r="P532" s="11"/>
      <c r="Q532" s="11"/>
      <c r="R532" s="11"/>
      <c r="S532" s="11"/>
      <c r="T532" s="1"/>
      <c r="U532" s="1"/>
      <c r="V532" s="1"/>
      <c r="W532" s="1"/>
      <c r="X532" s="1"/>
      <c r="Y532" s="1"/>
      <c r="Z532" s="1"/>
    </row>
    <row r="533" ht="18.0" customHeight="1" outlineLevel="3">
      <c r="A533" s="1">
        <v>3.0</v>
      </c>
      <c r="B533" s="1" t="s">
        <v>1139</v>
      </c>
      <c r="C533" s="1"/>
      <c r="D533" s="1"/>
      <c r="E533" s="14" t="s">
        <v>55</v>
      </c>
      <c r="F533" s="15"/>
      <c r="G533" s="16"/>
      <c r="H533" s="11"/>
      <c r="I533" s="7"/>
      <c r="J533" s="7" t="str">
        <f>IFERROR(LET(_xlpm.v,
VLOOKUP($I533,'用語辞書'!$A:$B,COLUMN('用語辞書'!B$1),FALSE),
IF(_xlpm.v=0,"",_xlpm.v)
),"")</f>
        <v/>
      </c>
      <c r="K533" s="17"/>
      <c r="L533" s="17" t="b">
        <f>IF(OR(COUNTIF('クラス'!$A$1:$A$1267,$B533)&gt;0,$B533="",$M533=""),"",True)</f>
        <v>1</v>
      </c>
      <c r="M533" s="1" t="str">
        <f t="shared" si="12"/>
        <v>存在しない</v>
      </c>
      <c r="N533" s="1" t="s">
        <v>29</v>
      </c>
      <c r="O533" s="1"/>
      <c r="P533" s="11"/>
      <c r="Q533" s="11"/>
      <c r="R533" s="11"/>
      <c r="S533" s="11"/>
      <c r="T533" s="1"/>
      <c r="U533" s="1"/>
      <c r="V533" s="1"/>
      <c r="W533" s="1"/>
      <c r="X533" s="1"/>
      <c r="Y533" s="1"/>
      <c r="Z533" s="1"/>
    </row>
    <row r="534" ht="18.0" customHeight="1" outlineLevel="3">
      <c r="A534" s="1">
        <v>4.0</v>
      </c>
      <c r="B534" s="1"/>
      <c r="C534" s="1"/>
      <c r="D534" s="1"/>
      <c r="E534" s="14"/>
      <c r="F534" s="15"/>
      <c r="G534" s="16"/>
      <c r="H534" s="11"/>
      <c r="I534" s="7"/>
      <c r="J534" s="7" t="str">
        <f>IFERROR(LET(_xlpm.v,
VLOOKUP($I534,'用語辞書'!$A:$B,COLUMN('用語辞書'!B$1),FALSE),
IF(_xlpm.v=0,"",_xlpm.v)
),"")</f>
        <v/>
      </c>
      <c r="K534" s="17"/>
      <c r="L534" s="17" t="str">
        <f>IF(OR(COUNTIF('クラス'!$A$1:$A$1267,$B534)&gt;0,$B534="",$M534=""),"",True)</f>
        <v/>
      </c>
      <c r="M534" s="1" t="str">
        <f t="shared" si="12"/>
        <v>存在しない</v>
      </c>
      <c r="N534" s="1" t="s">
        <v>29</v>
      </c>
      <c r="O534" s="1"/>
      <c r="P534" s="11"/>
      <c r="Q534" s="11"/>
      <c r="R534" s="11"/>
      <c r="S534" s="11"/>
      <c r="T534" s="1"/>
      <c r="U534" s="1"/>
      <c r="V534" s="1"/>
      <c r="W534" s="1"/>
      <c r="X534" s="1"/>
      <c r="Y534" s="1"/>
      <c r="Z534" s="1"/>
    </row>
    <row r="535" ht="18.0" customHeight="1" outlineLevel="3">
      <c r="A535" s="1">
        <v>5.0</v>
      </c>
      <c r="B535" s="1" t="s">
        <v>1140</v>
      </c>
      <c r="C535" s="1" t="s">
        <v>1141</v>
      </c>
      <c r="D535" s="1"/>
      <c r="E535" s="14" t="s">
        <v>33</v>
      </c>
      <c r="F535" s="15"/>
      <c r="G535" s="16">
        <v>60.0</v>
      </c>
      <c r="H535" s="11" t="s">
        <v>1142</v>
      </c>
      <c r="I535" s="7"/>
      <c r="J535" s="7" t="str">
        <f>IFERROR(LET(_xlpm.v,
VLOOKUP($I535,'用語辞書'!$A:$B,COLUMN('用語辞書'!B$1),FALSE),
IF(_xlpm.v=0,"",_xlpm.v)
),"")</f>
        <v/>
      </c>
      <c r="K535" s="17"/>
      <c r="L535" s="17" t="b">
        <f>IF(OR(COUNTIF('クラス'!$A$1:$A$1267,$B535)&gt;0,$B535="",$M535=""),"",True)</f>
        <v>1</v>
      </c>
      <c r="M535" s="1" t="str">
        <f t="shared" si="12"/>
        <v>存在しない</v>
      </c>
      <c r="N535" s="1" t="s">
        <v>29</v>
      </c>
      <c r="O535" s="1"/>
      <c r="P535" s="11"/>
      <c r="Q535" s="11"/>
      <c r="R535" s="11"/>
      <c r="S535" s="11"/>
      <c r="T535" s="1"/>
      <c r="U535" s="1"/>
      <c r="V535" s="1"/>
      <c r="W535" s="1"/>
      <c r="X535" s="1"/>
      <c r="Y535" s="1"/>
      <c r="Z535" s="1"/>
    </row>
    <row r="536" ht="18.0" customHeight="1" outlineLevel="3">
      <c r="A536" s="1">
        <v>6.0</v>
      </c>
      <c r="B536" s="1" t="s">
        <v>1143</v>
      </c>
      <c r="C536" s="1"/>
      <c r="D536" s="1"/>
      <c r="E536" s="14" t="s">
        <v>55</v>
      </c>
      <c r="F536" s="15"/>
      <c r="G536" s="16"/>
      <c r="H536" s="11"/>
      <c r="I536" s="7"/>
      <c r="J536" s="7" t="str">
        <f>IFERROR(LET(_xlpm.v,
VLOOKUP($I536,'用語辞書'!$A:$B,COLUMN('用語辞書'!B$1),FALSE),
IF(_xlpm.v=0,"",_xlpm.v)
),"")</f>
        <v/>
      </c>
      <c r="K536" s="17"/>
      <c r="L536" s="17" t="b">
        <f>IF(OR(COUNTIF('クラス'!$A$1:$A$1267,$B536)&gt;0,$B536="",$M536=""),"",True)</f>
        <v>1</v>
      </c>
      <c r="M536" s="1" t="str">
        <f t="shared" si="12"/>
        <v>存在しない</v>
      </c>
      <c r="N536" s="1" t="s">
        <v>29</v>
      </c>
      <c r="O536" s="1"/>
      <c r="P536" s="11"/>
      <c r="Q536" s="11"/>
      <c r="R536" s="11"/>
      <c r="S536" s="11"/>
      <c r="T536" s="1"/>
      <c r="U536" s="1"/>
      <c r="V536" s="1"/>
      <c r="W536" s="1"/>
      <c r="X536" s="1"/>
      <c r="Y536" s="1"/>
      <c r="Z536" s="1"/>
    </row>
    <row r="537" ht="18.0" customHeight="1" outlineLevel="3">
      <c r="A537" s="1">
        <v>7.0</v>
      </c>
      <c r="B537" s="1"/>
      <c r="C537" s="1"/>
      <c r="D537" s="1"/>
      <c r="E537" s="14"/>
      <c r="F537" s="15"/>
      <c r="G537" s="16"/>
      <c r="H537" s="11"/>
      <c r="I537" s="7"/>
      <c r="J537" s="7" t="str">
        <f>IFERROR(LET(_xlpm.v,
VLOOKUP($I537,'用語辞書'!$A:$B,COLUMN('用語辞書'!B$1),FALSE),
IF(_xlpm.v=0,"",_xlpm.v)
),"")</f>
        <v/>
      </c>
      <c r="K537" s="17"/>
      <c r="L537" s="17" t="str">
        <f>IF(OR(COUNTIF('クラス'!$A$1:$A$1267,$B537)&gt;0,$B537="",$M537=""),"",True)</f>
        <v/>
      </c>
      <c r="M537" s="1" t="str">
        <f t="shared" si="12"/>
        <v>存在しない</v>
      </c>
      <c r="N537" s="1" t="s">
        <v>29</v>
      </c>
      <c r="O537" s="1"/>
      <c r="P537" s="11"/>
      <c r="Q537" s="11"/>
      <c r="R537" s="11"/>
      <c r="S537" s="11"/>
      <c r="T537" s="1"/>
      <c r="U537" s="1"/>
      <c r="V537" s="1"/>
      <c r="W537" s="1"/>
      <c r="X537" s="1"/>
      <c r="Y537" s="1"/>
      <c r="Z537" s="1"/>
    </row>
    <row r="538" ht="18.0" customHeight="1" outlineLevel="3">
      <c r="A538" s="1">
        <v>8.0</v>
      </c>
      <c r="B538" s="1" t="s">
        <v>1144</v>
      </c>
      <c r="C538" s="1" t="s">
        <v>1145</v>
      </c>
      <c r="D538" s="1"/>
      <c r="E538" s="14" t="s">
        <v>33</v>
      </c>
      <c r="F538" s="15"/>
      <c r="G538" s="16"/>
      <c r="H538" s="11" t="s">
        <v>1146</v>
      </c>
      <c r="I538" s="7"/>
      <c r="J538" s="7" t="str">
        <f>IFERROR(LET(_xlpm.v,
VLOOKUP($I538,'用語辞書'!$A:$B,COLUMN('用語辞書'!B$1),FALSE),
IF(_xlpm.v=0,"",_xlpm.v)
),"")</f>
        <v/>
      </c>
      <c r="K538" s="17"/>
      <c r="L538" s="17" t="b">
        <f>IF(OR(COUNTIF('クラス'!$A$1:$A$1267,$B538)&gt;0,$B538="",$M538=""),"",True)</f>
        <v>1</v>
      </c>
      <c r="M538" s="1" t="str">
        <f t="shared" si="12"/>
        <v>存在しない</v>
      </c>
      <c r="N538" s="1" t="s">
        <v>29</v>
      </c>
      <c r="O538" s="1"/>
      <c r="P538" s="11"/>
      <c r="Q538" s="11"/>
      <c r="R538" s="11"/>
      <c r="S538" s="11"/>
      <c r="T538" s="1"/>
      <c r="U538" s="1"/>
      <c r="V538" s="1"/>
      <c r="W538" s="1"/>
      <c r="X538" s="1"/>
      <c r="Y538" s="1"/>
      <c r="Z538" s="1"/>
    </row>
    <row r="539" ht="18.0" customHeight="1" outlineLevel="3">
      <c r="A539" s="1">
        <v>9.0</v>
      </c>
      <c r="B539" s="1"/>
      <c r="C539" s="1"/>
      <c r="D539" s="1"/>
      <c r="E539" s="14" t="s">
        <v>55</v>
      </c>
      <c r="F539" s="15"/>
      <c r="G539" s="16"/>
      <c r="H539" s="11"/>
      <c r="I539" s="7"/>
      <c r="J539" s="7" t="str">
        <f>IFERROR(LET(_xlpm.v,
VLOOKUP($I539,'用語辞書'!$A:$B,COLUMN('用語辞書'!B$1),FALSE),
IF(_xlpm.v=0,"",_xlpm.v)
),"")</f>
        <v/>
      </c>
      <c r="K539" s="17"/>
      <c r="L539" s="17" t="str">
        <f>IF(OR(COUNTIF('クラス'!$A$1:$A$1267,$B539)&gt;0,$B539="",$M539=""),"",True)</f>
        <v/>
      </c>
      <c r="M539" s="1" t="str">
        <f t="shared" si="12"/>
        <v>存在しない</v>
      </c>
      <c r="N539" s="1" t="s">
        <v>29</v>
      </c>
      <c r="O539" s="1"/>
      <c r="P539" s="11"/>
      <c r="Q539" s="11"/>
      <c r="R539" s="11"/>
      <c r="S539" s="11"/>
      <c r="T539" s="1"/>
      <c r="U539" s="1"/>
      <c r="V539" s="1"/>
      <c r="W539" s="1"/>
      <c r="X539" s="1"/>
      <c r="Y539" s="1"/>
      <c r="Z539" s="1"/>
    </row>
    <row r="540" ht="18.0" customHeight="1" outlineLevel="3">
      <c r="A540" s="1">
        <v>10.0</v>
      </c>
      <c r="B540" s="1"/>
      <c r="C540" s="1"/>
      <c r="D540" s="1"/>
      <c r="E540" s="14" t="s">
        <v>33</v>
      </c>
      <c r="F540" s="15"/>
      <c r="G540" s="16"/>
      <c r="H540" s="11"/>
      <c r="I540" s="7"/>
      <c r="J540" s="7" t="str">
        <f>IFERROR(LET(_xlpm.v,
VLOOKUP($I540,'用語辞書'!$A:$B,COLUMN('用語辞書'!B$1),FALSE),
IF(_xlpm.v=0,"",_xlpm.v)
),"")</f>
        <v/>
      </c>
      <c r="K540" s="17"/>
      <c r="L540" s="17" t="str">
        <f>IF(OR(COUNTIF('クラス'!$A$1:$A$1267,$B540)&gt;0,$B540="",$M540=""),"",True)</f>
        <v/>
      </c>
      <c r="M540" s="1" t="str">
        <f t="shared" si="12"/>
        <v>存在しない</v>
      </c>
      <c r="N540" s="1" t="s">
        <v>29</v>
      </c>
      <c r="O540" s="1"/>
      <c r="P540" s="11"/>
      <c r="Q540" s="11"/>
      <c r="R540" s="11"/>
      <c r="S540" s="11"/>
      <c r="T540" s="1"/>
      <c r="U540" s="1"/>
      <c r="V540" s="1"/>
      <c r="W540" s="1"/>
      <c r="X540" s="1"/>
      <c r="Y540" s="1"/>
      <c r="Z540" s="1"/>
    </row>
    <row r="541" ht="18.0" customHeight="1" outlineLevel="2">
      <c r="A541" s="1"/>
      <c r="B541" s="1"/>
      <c r="C541" s="1"/>
      <c r="D541" s="1"/>
      <c r="E541" s="14"/>
      <c r="F541" s="15"/>
      <c r="G541" s="16"/>
      <c r="H541" s="11"/>
      <c r="I541" s="7"/>
      <c r="J541" s="7" t="str">
        <f>IFERROR(LET(_xlpm.v,
VLOOKUP($I541,'用語辞書'!$A:$B,COLUMN('用語辞書'!B$1),FALSE),
IF(_xlpm.v=0,"",_xlpm.v)
),"")</f>
        <v/>
      </c>
      <c r="K541" s="17"/>
      <c r="L541" s="17" t="str">
        <f>IF(OR(COUNTIF('クラス'!$A$1:$A$1267,$B541)&gt;0,$B541="",$M541=""),"",True)</f>
        <v/>
      </c>
      <c r="M541" s="1" t="str">
        <f t="shared" si="12"/>
        <v>存在しない</v>
      </c>
      <c r="N541" s="1" t="s">
        <v>29</v>
      </c>
      <c r="O541" s="1"/>
      <c r="P541" s="11"/>
      <c r="Q541" s="11"/>
      <c r="R541" s="11"/>
      <c r="S541" s="11"/>
      <c r="T541" s="1"/>
      <c r="U541" s="1"/>
      <c r="V541" s="1"/>
      <c r="W541" s="1"/>
      <c r="X541" s="1"/>
      <c r="Y541" s="1"/>
      <c r="Z541" s="1"/>
    </row>
    <row r="542" ht="18.0" customHeight="1" outlineLevel="2">
      <c r="A542" s="1"/>
      <c r="B542" s="1" t="s">
        <v>1147</v>
      </c>
      <c r="C542" s="1"/>
      <c r="D542" s="1"/>
      <c r="E542" s="14"/>
      <c r="F542" s="15"/>
      <c r="G542" s="16"/>
      <c r="H542" s="11"/>
      <c r="I542" s="7"/>
      <c r="J542" s="7" t="str">
        <f>IFERROR(LET(_xlpm.v,
VLOOKUP($I542,'用語辞書'!$A:$B,COLUMN('用語辞書'!B$1),FALSE),
IF(_xlpm.v=0,"",_xlpm.v)
),"")</f>
        <v/>
      </c>
      <c r="K542" s="17"/>
      <c r="L542" s="17" t="str">
        <f>IF(OR(COUNTIF('クラス'!$A$1:$A$1267,$B542)&gt;0,$B542="",$M542=""),"",True)</f>
        <v/>
      </c>
      <c r="M542" s="1" t="str">
        <f t="shared" si="12"/>
        <v>存在しない</v>
      </c>
      <c r="N542" s="1" t="s">
        <v>29</v>
      </c>
      <c r="O542" s="1"/>
      <c r="P542" s="11"/>
      <c r="Q542" s="11"/>
      <c r="R542" s="11"/>
      <c r="S542" s="11"/>
      <c r="T542" s="1"/>
      <c r="U542" s="1"/>
      <c r="V542" s="1"/>
      <c r="W542" s="1"/>
      <c r="X542" s="1"/>
      <c r="Y542" s="1"/>
      <c r="Z542" s="1"/>
    </row>
    <row r="543" ht="18.0" customHeight="1" outlineLevel="3">
      <c r="A543" s="1">
        <v>1.0</v>
      </c>
      <c r="B543" s="26" t="s">
        <v>1136</v>
      </c>
      <c r="C543" s="1"/>
      <c r="D543" s="1"/>
      <c r="E543" s="14"/>
      <c r="F543" s="15"/>
      <c r="G543" s="16"/>
      <c r="H543" s="11"/>
      <c r="I543" s="7"/>
      <c r="J543" s="7" t="str">
        <f>IFERROR(LET(_xlpm.v,
VLOOKUP($I543,'用語辞書'!$A:$B,COLUMN('用語辞書'!B$1),FALSE),
IF(_xlpm.v=0,"",_xlpm.v)
),"")</f>
        <v/>
      </c>
      <c r="K543" s="17"/>
      <c r="L543" s="17" t="str">
        <f>IF(OR(COUNTIF('クラス'!$A$1:$A$1267,$B543)&gt;0,$B543="",$M543=""),"",True)</f>
        <v/>
      </c>
      <c r="M543" s="1" t="str">
        <f t="shared" si="12"/>
        <v/>
      </c>
      <c r="N543" s="1" t="s">
        <v>29</v>
      </c>
      <c r="O543" s="1"/>
      <c r="P543" s="11"/>
      <c r="Q543" s="11"/>
      <c r="R543" s="11"/>
      <c r="S543" s="11"/>
      <c r="T543" s="1"/>
      <c r="U543" s="1"/>
      <c r="V543" s="1"/>
      <c r="W543" s="1"/>
      <c r="X543" s="1"/>
      <c r="Y543" s="1"/>
      <c r="Z543" s="1"/>
    </row>
    <row r="544" ht="18.0" customHeight="1" outlineLevel="2" collapsed="1">
      <c r="A544" s="1">
        <v>2.0</v>
      </c>
      <c r="B544" s="26" t="s">
        <v>1144</v>
      </c>
      <c r="C544" s="1"/>
      <c r="D544" s="1"/>
      <c r="E544" s="14"/>
      <c r="F544" s="15"/>
      <c r="G544" s="16"/>
      <c r="H544" s="11"/>
      <c r="I544" s="7"/>
      <c r="J544" s="7" t="str">
        <f>IFERROR(LET(_xlpm.v,
VLOOKUP($I544,'用語辞書'!$A:$B,COLUMN('用語辞書'!B$1),FALSE),
IF(_xlpm.v=0,"",_xlpm.v)
),"")</f>
        <v/>
      </c>
      <c r="K544" s="17"/>
      <c r="L544" s="17" t="str">
        <f>IF(OR(COUNTIF('クラス'!$A$1:$A$1267,$B544)&gt;0,$B544="",$M544=""),"",True)</f>
        <v/>
      </c>
      <c r="M544" s="1" t="str">
        <f t="shared" si="12"/>
        <v/>
      </c>
      <c r="N544" s="1" t="s">
        <v>29</v>
      </c>
      <c r="O544" s="1"/>
      <c r="P544" s="11"/>
      <c r="Q544" s="11"/>
      <c r="R544" s="11"/>
      <c r="S544" s="11"/>
      <c r="T544" s="1"/>
      <c r="U544" s="1"/>
      <c r="V544" s="1"/>
      <c r="W544" s="1"/>
      <c r="X544" s="1"/>
      <c r="Y544" s="1"/>
      <c r="Z544" s="1"/>
    </row>
    <row r="545" ht="18.0" customHeight="1" outlineLevel="2">
      <c r="A545" s="1">
        <v>3.0</v>
      </c>
      <c r="B545" s="26" t="s">
        <v>1139</v>
      </c>
      <c r="C545" s="1"/>
      <c r="D545" s="1"/>
      <c r="E545" s="14"/>
      <c r="F545" s="15"/>
      <c r="G545" s="16"/>
      <c r="H545" s="11"/>
      <c r="I545" s="7"/>
      <c r="J545" s="7" t="str">
        <f>IFERROR(LET(_xlpm.v,
VLOOKUP($I545,'用語辞書'!$A:$B,COLUMN('用語辞書'!B$1),FALSE),
IF(_xlpm.v=0,"",_xlpm.v)
),"")</f>
        <v/>
      </c>
      <c r="K545" s="17"/>
      <c r="L545" s="17" t="str">
        <f>IF(OR(COUNTIF('クラス'!$A$1:$A$1267,$B545)&gt;0,$B545="",$M545=""),"",True)</f>
        <v/>
      </c>
      <c r="M545" s="1" t="str">
        <f t="shared" si="12"/>
        <v/>
      </c>
      <c r="N545" s="1" t="s">
        <v>29</v>
      </c>
      <c r="O545" s="1"/>
      <c r="P545" s="11"/>
      <c r="Q545" s="11"/>
      <c r="R545" s="11"/>
      <c r="S545" s="11"/>
      <c r="T545" s="1"/>
      <c r="U545" s="1"/>
      <c r="V545" s="1"/>
      <c r="W545" s="1"/>
      <c r="X545" s="1"/>
      <c r="Y545" s="1"/>
      <c r="Z545" s="1"/>
    </row>
    <row r="546" ht="18.0" customHeight="1" outlineLevel="3">
      <c r="A546" s="1">
        <v>4.0</v>
      </c>
      <c r="B546" s="26" t="s">
        <v>1140</v>
      </c>
      <c r="C546" s="1"/>
      <c r="D546" s="1"/>
      <c r="E546" s="14"/>
      <c r="F546" s="15"/>
      <c r="G546" s="16"/>
      <c r="H546" s="11"/>
      <c r="I546" s="7"/>
      <c r="J546" s="7" t="str">
        <f>IFERROR(LET(_xlpm.v,
VLOOKUP($I546,'用語辞書'!$A:$B,COLUMN('用語辞書'!B$1),FALSE),
IF(_xlpm.v=0,"",_xlpm.v)
),"")</f>
        <v/>
      </c>
      <c r="K546" s="17"/>
      <c r="L546" s="17" t="str">
        <f>IF(OR(COUNTIF('クラス'!$A$1:$A$1267,$B546)&gt;0,$B546="",$M546=""),"",True)</f>
        <v/>
      </c>
      <c r="M546" s="1" t="str">
        <f t="shared" si="12"/>
        <v/>
      </c>
      <c r="N546" s="1" t="s">
        <v>29</v>
      </c>
      <c r="O546" s="1"/>
      <c r="P546" s="11"/>
      <c r="Q546" s="11"/>
      <c r="R546" s="11"/>
      <c r="S546" s="11"/>
      <c r="T546" s="1"/>
      <c r="U546" s="1"/>
      <c r="V546" s="1"/>
      <c r="W546" s="1"/>
      <c r="X546" s="1"/>
      <c r="Y546" s="1"/>
      <c r="Z546" s="1"/>
    </row>
    <row r="547" ht="18.0" customHeight="1" outlineLevel="3">
      <c r="A547" s="1">
        <v>5.0</v>
      </c>
      <c r="B547" s="26" t="s">
        <v>1143</v>
      </c>
      <c r="C547" s="1"/>
      <c r="D547" s="1"/>
      <c r="E547" s="14"/>
      <c r="F547" s="15"/>
      <c r="G547" s="16"/>
      <c r="H547" s="11"/>
      <c r="I547" s="7"/>
      <c r="J547" s="7" t="str">
        <f>IFERROR(LET(_xlpm.v,
VLOOKUP($I547,'用語辞書'!$A:$B,COLUMN('用語辞書'!B$1),FALSE),
IF(_xlpm.v=0,"",_xlpm.v)
),"")</f>
        <v/>
      </c>
      <c r="K547" s="17"/>
      <c r="L547" s="17" t="str">
        <f>IF(OR(COUNTIF('クラス'!$A$1:$A$1267,$B547)&gt;0,$B547="",$M547=""),"",True)</f>
        <v/>
      </c>
      <c r="M547" s="1" t="str">
        <f t="shared" si="12"/>
        <v/>
      </c>
      <c r="N547" s="1" t="s">
        <v>29</v>
      </c>
      <c r="O547" s="1"/>
      <c r="P547" s="11"/>
      <c r="Q547" s="11"/>
      <c r="R547" s="11"/>
      <c r="S547" s="11"/>
      <c r="T547" s="1"/>
      <c r="U547" s="1"/>
      <c r="V547" s="1"/>
      <c r="W547" s="1"/>
      <c r="X547" s="1"/>
      <c r="Y547" s="1"/>
      <c r="Z547" s="1"/>
    </row>
    <row r="548" ht="18.0" customHeight="1" outlineLevel="3">
      <c r="A548" s="1">
        <v>6.0</v>
      </c>
      <c r="B548" s="1"/>
      <c r="C548" s="1"/>
      <c r="D548" s="1"/>
      <c r="E548" s="14"/>
      <c r="F548" s="15"/>
      <c r="G548" s="16"/>
      <c r="H548" s="11"/>
      <c r="I548" s="7"/>
      <c r="J548" s="7" t="str">
        <f>IFERROR(LET(_xlpm.v,
VLOOKUP($I548,'用語辞書'!$A:$B,COLUMN('用語辞書'!B$1),FALSE),
IF(_xlpm.v=0,"",_xlpm.v)
),"")</f>
        <v/>
      </c>
      <c r="K548" s="17"/>
      <c r="L548" s="17" t="str">
        <f>IF(OR(COUNTIF('クラス'!$A$1:$A$1267,$B548)&gt;0,$B548="",$M548=""),"",True)</f>
        <v/>
      </c>
      <c r="M548" s="1" t="str">
        <f t="shared" si="12"/>
        <v>存在しない</v>
      </c>
      <c r="N548" s="1" t="s">
        <v>29</v>
      </c>
      <c r="O548" s="1"/>
      <c r="P548" s="11"/>
      <c r="Q548" s="11"/>
      <c r="R548" s="11"/>
      <c r="S548" s="11"/>
      <c r="T548" s="1"/>
      <c r="U548" s="1"/>
      <c r="V548" s="1"/>
      <c r="W548" s="1"/>
      <c r="X548" s="1"/>
      <c r="Y548" s="1"/>
      <c r="Z548" s="1"/>
    </row>
    <row r="549" ht="18.0" customHeight="1" outlineLevel="3">
      <c r="A549" s="1">
        <v>7.0</v>
      </c>
      <c r="B549" s="26" t="s">
        <v>1116</v>
      </c>
      <c r="C549" s="1"/>
      <c r="D549" s="1"/>
      <c r="E549" s="14"/>
      <c r="F549" s="15"/>
      <c r="G549" s="16"/>
      <c r="H549" s="11"/>
      <c r="I549" s="7"/>
      <c r="J549" s="7" t="str">
        <f>IFERROR(LET(_xlpm.v,
VLOOKUP($I549,'用語辞書'!$A:$B,COLUMN('用語辞書'!B$1),FALSE),
IF(_xlpm.v=0,"",_xlpm.v)
),"")</f>
        <v/>
      </c>
      <c r="K549" s="17"/>
      <c r="L549" s="17" t="str">
        <f>IF(OR(COUNTIF('クラス'!$A$1:$A$1267,$B549)&gt;0,$B549="",$M549=""),"",True)</f>
        <v/>
      </c>
      <c r="M549" s="1" t="str">
        <f t="shared" si="12"/>
        <v/>
      </c>
      <c r="N549" s="1" t="s">
        <v>29</v>
      </c>
      <c r="O549" s="1"/>
      <c r="P549" s="11"/>
      <c r="Q549" s="11"/>
      <c r="R549" s="11"/>
      <c r="S549" s="11"/>
      <c r="T549" s="1"/>
      <c r="U549" s="1"/>
      <c r="V549" s="1"/>
      <c r="W549" s="1"/>
      <c r="X549" s="1"/>
      <c r="Y549" s="1"/>
      <c r="Z549" s="1"/>
    </row>
    <row r="550" ht="18.0" customHeight="1" outlineLevel="3">
      <c r="A550" s="1">
        <v>8.0</v>
      </c>
      <c r="B550" s="1"/>
      <c r="C550" s="1"/>
      <c r="D550" s="1"/>
      <c r="E550" s="14"/>
      <c r="F550" s="15"/>
      <c r="G550" s="16"/>
      <c r="H550" s="11"/>
      <c r="I550" s="7"/>
      <c r="J550" s="7" t="str">
        <f>IFERROR(LET(_xlpm.v,
VLOOKUP($I550,'用語辞書'!$A:$B,COLUMN('用語辞書'!B$1),FALSE),
IF(_xlpm.v=0,"",_xlpm.v)
),"")</f>
        <v/>
      </c>
      <c r="K550" s="17"/>
      <c r="L550" s="17" t="str">
        <f>IF(OR(COUNTIF('クラス'!$A$1:$A$1267,$B550)&gt;0,$B550="",$M550=""),"",True)</f>
        <v/>
      </c>
      <c r="M550" s="1" t="str">
        <f t="shared" si="12"/>
        <v>存在しない</v>
      </c>
      <c r="N550" s="1" t="s">
        <v>29</v>
      </c>
      <c r="O550" s="1"/>
      <c r="P550" s="11"/>
      <c r="Q550" s="11"/>
      <c r="R550" s="11"/>
      <c r="S550" s="11"/>
      <c r="T550" s="1"/>
      <c r="U550" s="1"/>
      <c r="V550" s="1"/>
      <c r="W550" s="1"/>
      <c r="X550" s="1"/>
      <c r="Y550" s="1"/>
      <c r="Z550" s="1"/>
    </row>
    <row r="551" ht="18.0" customHeight="1" outlineLevel="3">
      <c r="A551" s="1">
        <v>9.0</v>
      </c>
      <c r="B551" s="1"/>
      <c r="C551" s="1"/>
      <c r="D551" s="1"/>
      <c r="E551" s="14"/>
      <c r="F551" s="15"/>
      <c r="G551" s="16"/>
      <c r="H551" s="11"/>
      <c r="I551" s="7"/>
      <c r="J551" s="7" t="str">
        <f>IFERROR(LET(_xlpm.v,
VLOOKUP($I551,'用語辞書'!$A:$B,COLUMN('用語辞書'!B$1),FALSE),
IF(_xlpm.v=0,"",_xlpm.v)
),"")</f>
        <v/>
      </c>
      <c r="K551" s="17"/>
      <c r="L551" s="17" t="str">
        <f>IF(OR(COUNTIF('クラス'!$A$1:$A$1267,$B551)&gt;0,$B551="",$M551=""),"",True)</f>
        <v/>
      </c>
      <c r="M551" s="1" t="str">
        <f t="shared" si="12"/>
        <v>存在しない</v>
      </c>
      <c r="N551" s="1" t="s">
        <v>29</v>
      </c>
      <c r="O551" s="1"/>
      <c r="P551" s="11"/>
      <c r="Q551" s="11"/>
      <c r="R551" s="11"/>
      <c r="S551" s="11"/>
      <c r="T551" s="1"/>
      <c r="U551" s="1"/>
      <c r="V551" s="1"/>
      <c r="W551" s="1"/>
      <c r="X551" s="1"/>
      <c r="Y551" s="1"/>
      <c r="Z551" s="1"/>
    </row>
    <row r="552" ht="18.0" customHeight="1" outlineLevel="3">
      <c r="A552" s="1">
        <v>10.0</v>
      </c>
      <c r="B552" s="1"/>
      <c r="C552" s="1"/>
      <c r="D552" s="1"/>
      <c r="E552" s="14"/>
      <c r="F552" s="15"/>
      <c r="G552" s="16"/>
      <c r="H552" s="11"/>
      <c r="I552" s="7"/>
      <c r="J552" s="7" t="str">
        <f>IFERROR(LET(_xlpm.v,
VLOOKUP($I552,'用語辞書'!$A:$B,COLUMN('用語辞書'!B$1),FALSE),
IF(_xlpm.v=0,"",_xlpm.v)
),"")</f>
        <v/>
      </c>
      <c r="K552" s="17"/>
      <c r="L552" s="17" t="str">
        <f>IF(OR(COUNTIF('クラス'!$A$1:$A$1267,$B552)&gt;0,$B552="",$M552=""),"",True)</f>
        <v/>
      </c>
      <c r="M552" s="1" t="str">
        <f t="shared" si="12"/>
        <v>存在しない</v>
      </c>
      <c r="N552" s="1" t="s">
        <v>29</v>
      </c>
      <c r="O552" s="1"/>
      <c r="P552" s="11"/>
      <c r="Q552" s="11"/>
      <c r="R552" s="11"/>
      <c r="S552" s="11"/>
      <c r="T552" s="1"/>
      <c r="U552" s="1"/>
      <c r="V552" s="1"/>
      <c r="W552" s="1"/>
      <c r="X552" s="1"/>
      <c r="Y552" s="1"/>
      <c r="Z552" s="1"/>
    </row>
    <row r="553" ht="18.0" customHeight="1" outlineLevel="2">
      <c r="A553" s="1"/>
      <c r="B553" s="1"/>
      <c r="C553" s="1"/>
      <c r="D553" s="1"/>
      <c r="E553" s="14"/>
      <c r="F553" s="15"/>
      <c r="G553" s="16"/>
      <c r="H553" s="11"/>
      <c r="I553" s="7"/>
      <c r="J553" s="7" t="str">
        <f>IFERROR(LET(_xlpm.v,
VLOOKUP($I553,'用語辞書'!$A:$B,COLUMN('用語辞書'!B$1),FALSE),
IF(_xlpm.v=0,"",_xlpm.v)
),"")</f>
        <v/>
      </c>
      <c r="K553" s="17"/>
      <c r="L553" s="17" t="str">
        <f>IF(OR(COUNTIF('クラス'!$A$1:$A$1267,$B553)&gt;0,$B553="",$M553=""),"",True)</f>
        <v/>
      </c>
      <c r="M553" s="1" t="str">
        <f t="shared" si="12"/>
        <v>存在しない</v>
      </c>
      <c r="N553" s="1" t="s">
        <v>29</v>
      </c>
      <c r="O553" s="1"/>
      <c r="P553" s="11"/>
      <c r="Q553" s="11"/>
      <c r="R553" s="11"/>
      <c r="S553" s="11"/>
      <c r="T553" s="1"/>
      <c r="U553" s="1"/>
      <c r="V553" s="1"/>
      <c r="W553" s="1"/>
      <c r="X553" s="1"/>
      <c r="Y553" s="1"/>
      <c r="Z553" s="1"/>
    </row>
    <row r="554" ht="18.0" customHeight="1" outlineLevel="2">
      <c r="A554" s="1"/>
      <c r="B554" s="26" t="s">
        <v>1148</v>
      </c>
      <c r="C554" s="26" t="s">
        <v>1149</v>
      </c>
      <c r="D554" s="1"/>
      <c r="E554" s="14"/>
      <c r="F554" s="15"/>
      <c r="G554" s="16"/>
      <c r="H554" s="11"/>
      <c r="I554" s="7"/>
      <c r="J554" s="7" t="str">
        <f>IFERROR(LET(_xlpm.v,
VLOOKUP($I554,'用語辞書'!$A:$B,COLUMN('用語辞書'!B$1),FALSE),
IF(_xlpm.v=0,"",_xlpm.v)
),"")</f>
        <v/>
      </c>
      <c r="K554" s="17"/>
      <c r="L554" s="17" t="str">
        <f>IF(OR(COUNTIF('クラス'!$A$1:$A$1267,$B554)&gt;0,$B554="",$M554=""),"",True)</f>
        <v/>
      </c>
      <c r="M554" s="1" t="str">
        <f t="shared" si="12"/>
        <v>存在しない</v>
      </c>
      <c r="N554" s="1" t="s">
        <v>29</v>
      </c>
      <c r="O554" s="1"/>
      <c r="P554" s="11"/>
      <c r="Q554" s="11"/>
      <c r="R554" s="11"/>
      <c r="S554" s="11"/>
      <c r="T554" s="1"/>
      <c r="U554" s="1"/>
      <c r="V554" s="1"/>
      <c r="W554" s="1"/>
      <c r="X554" s="1"/>
      <c r="Y554" s="1"/>
      <c r="Z554" s="1"/>
    </row>
    <row r="555" ht="18.0" customHeight="1" outlineLevel="3">
      <c r="A555" s="1">
        <v>1.0</v>
      </c>
      <c r="B555" s="26" t="s">
        <v>1150</v>
      </c>
      <c r="C555" s="26" t="s">
        <v>1151</v>
      </c>
      <c r="D555" s="26" t="s">
        <v>29</v>
      </c>
      <c r="E555" s="29" t="s">
        <v>33</v>
      </c>
      <c r="F555" s="34" t="s">
        <v>29</v>
      </c>
      <c r="G555" s="30">
        <v>60.0</v>
      </c>
      <c r="H555" s="31" t="s">
        <v>1152</v>
      </c>
      <c r="I555" s="7"/>
      <c r="J555" s="7" t="str">
        <f>IFERROR(LET(_xlpm.v,
VLOOKUP($I555,'用語辞書'!$A:$B,COLUMN('用語辞書'!B$1),FALSE),
IF(_xlpm.v=0,"",_xlpm.v)
),"")</f>
        <v/>
      </c>
      <c r="K555" s="17"/>
      <c r="L555" s="17" t="b">
        <f>IF(OR(COUNTIF('クラス'!$A$1:$A$1267,$B555)&gt;0,$B555="",$M555=""),"",True)</f>
        <v>1</v>
      </c>
      <c r="M555" s="1" t="str">
        <f t="shared" si="12"/>
        <v>存在しない</v>
      </c>
      <c r="N555" s="1" t="s">
        <v>29</v>
      </c>
      <c r="O555" s="1"/>
      <c r="P555" s="11"/>
      <c r="Q555" s="11"/>
      <c r="R555" s="11"/>
      <c r="S555" s="11"/>
      <c r="T555" s="1"/>
      <c r="U555" s="1"/>
      <c r="V555" s="1"/>
      <c r="W555" s="1"/>
      <c r="X555" s="1"/>
      <c r="Y555" s="1"/>
      <c r="Z555" s="1"/>
    </row>
    <row r="556" ht="18.0" customHeight="1" outlineLevel="3">
      <c r="A556" s="1">
        <v>2.0</v>
      </c>
      <c r="B556" s="26" t="s">
        <v>1144</v>
      </c>
      <c r="C556" s="1"/>
      <c r="D556" s="1"/>
      <c r="E556" s="14"/>
      <c r="F556" s="15"/>
      <c r="G556" s="16"/>
      <c r="H556" s="11"/>
      <c r="I556" s="7"/>
      <c r="J556" s="7" t="str">
        <f>IFERROR(LET(_xlpm.v,
VLOOKUP($I556,'用語辞書'!$A:$B,COLUMN('用語辞書'!B$1),FALSE),
IF(_xlpm.v=0,"",_xlpm.v)
),"")</f>
        <v/>
      </c>
      <c r="K556" s="17"/>
      <c r="L556" s="17" t="str">
        <f>IF(OR(COUNTIF('クラス'!$A$1:$A$1267,$B556)&gt;0,$B556="",$M556=""),"",True)</f>
        <v/>
      </c>
      <c r="M556" s="1" t="str">
        <f t="shared" si="12"/>
        <v/>
      </c>
      <c r="N556" s="1" t="s">
        <v>29</v>
      </c>
      <c r="O556" s="1"/>
      <c r="P556" s="11"/>
      <c r="Q556" s="11"/>
      <c r="R556" s="11"/>
      <c r="S556" s="11"/>
      <c r="T556" s="1"/>
      <c r="U556" s="1"/>
      <c r="V556" s="1"/>
      <c r="W556" s="1"/>
      <c r="X556" s="1"/>
      <c r="Y556" s="1"/>
      <c r="Z556" s="1"/>
    </row>
    <row r="557" ht="18.0" customHeight="1" outlineLevel="3">
      <c r="A557" s="1">
        <v>3.0</v>
      </c>
      <c r="B557" s="26" t="s">
        <v>1106</v>
      </c>
      <c r="C557" s="1"/>
      <c r="D557" s="1"/>
      <c r="E557" s="14"/>
      <c r="F557" s="15"/>
      <c r="G557" s="16"/>
      <c r="H557" s="11"/>
      <c r="I557" s="7"/>
      <c r="J557" s="7" t="str">
        <f>IFERROR(LET(_xlpm.v,
VLOOKUP($I557,'用語辞書'!$A:$B,COLUMN('用語辞書'!B$1),FALSE),
IF(_xlpm.v=0,"",_xlpm.v)
),"")</f>
        <v/>
      </c>
      <c r="K557" s="17"/>
      <c r="L557" s="17" t="str">
        <f>IF(OR(COUNTIF('クラス'!$A$1:$A$1267,$B557)&gt;0,$B557="",$M557=""),"",True)</f>
        <v/>
      </c>
      <c r="M557" s="1" t="str">
        <f t="shared" si="12"/>
        <v/>
      </c>
      <c r="N557" s="1" t="s">
        <v>29</v>
      </c>
      <c r="O557" s="1"/>
      <c r="P557" s="11"/>
      <c r="Q557" s="11"/>
      <c r="R557" s="11"/>
      <c r="S557" s="11"/>
      <c r="T557" s="1"/>
      <c r="U557" s="1"/>
      <c r="V557" s="1"/>
      <c r="W557" s="1"/>
      <c r="X557" s="1"/>
      <c r="Y557" s="1"/>
      <c r="Z557" s="1"/>
    </row>
    <row r="558" ht="18.0" customHeight="1" outlineLevel="3">
      <c r="A558" s="1">
        <v>4.0</v>
      </c>
      <c r="B558" s="26"/>
      <c r="C558" s="1"/>
      <c r="D558" s="1"/>
      <c r="E558" s="14"/>
      <c r="F558" s="15"/>
      <c r="G558" s="16"/>
      <c r="H558" s="11"/>
      <c r="I558" s="7"/>
      <c r="J558" s="7" t="str">
        <f>IFERROR(LET(_xlpm.v,
VLOOKUP($I558,'用語辞書'!$A:$B,COLUMN('用語辞書'!B$1),FALSE),
IF(_xlpm.v=0,"",_xlpm.v)
),"")</f>
        <v/>
      </c>
      <c r="K558" s="17"/>
      <c r="L558" s="17" t="str">
        <f>IF(OR(COUNTIF('クラス'!$A$1:$A$1267,$B558)&gt;0,$B558="",$M558=""),"",True)</f>
        <v/>
      </c>
      <c r="M558" s="1" t="str">
        <f t="shared" si="12"/>
        <v>存在しない</v>
      </c>
      <c r="N558" s="1" t="s">
        <v>29</v>
      </c>
      <c r="O558" s="1"/>
      <c r="P558" s="11"/>
      <c r="Q558" s="11"/>
      <c r="R558" s="11"/>
      <c r="S558" s="11"/>
      <c r="T558" s="1"/>
      <c r="U558" s="1"/>
      <c r="V558" s="1"/>
      <c r="W558" s="1"/>
      <c r="X558" s="1"/>
      <c r="Y558" s="1"/>
      <c r="Z558" s="1"/>
    </row>
    <row r="559" ht="18.0" customHeight="1" outlineLevel="3">
      <c r="A559" s="1">
        <v>5.0</v>
      </c>
      <c r="B559" s="20" t="s">
        <v>1153</v>
      </c>
      <c r="C559" s="1"/>
      <c r="D559" s="1"/>
      <c r="E559" s="35" t="s">
        <v>55</v>
      </c>
      <c r="F559" s="15"/>
      <c r="G559" s="16"/>
      <c r="H559" s="31" t="s">
        <v>1154</v>
      </c>
      <c r="I559" s="7"/>
      <c r="J559" s="7" t="str">
        <f>IFERROR(LET(_xlpm.v,
VLOOKUP($I559,'用語辞書'!$A:$B,COLUMN('用語辞書'!B$1),FALSE),
IF(_xlpm.v=0,"",_xlpm.v)
),"")</f>
        <v/>
      </c>
      <c r="K559" s="17"/>
      <c r="L559" s="17" t="b">
        <f>IF(OR(COUNTIF('クラス'!$A$1:$A$1267,$B559)&gt;0,$B559="",$M559=""),"",True)</f>
        <v>1</v>
      </c>
      <c r="M559" s="1" t="str">
        <f t="shared" si="12"/>
        <v>存在しない</v>
      </c>
      <c r="N559" s="1" t="s">
        <v>29</v>
      </c>
      <c r="O559" s="1"/>
      <c r="P559" s="11"/>
      <c r="Q559" s="11"/>
      <c r="R559" s="11"/>
      <c r="S559" s="11"/>
      <c r="T559" s="1"/>
      <c r="U559" s="1"/>
      <c r="V559" s="1"/>
      <c r="W559" s="1"/>
      <c r="X559" s="1"/>
      <c r="Y559" s="1"/>
      <c r="Z559" s="1"/>
    </row>
    <row r="560" ht="18.0" customHeight="1" outlineLevel="3">
      <c r="A560" s="1">
        <v>6.0</v>
      </c>
      <c r="B560" s="1"/>
      <c r="C560" s="1"/>
      <c r="D560" s="1"/>
      <c r="E560" s="14"/>
      <c r="F560" s="15"/>
      <c r="G560" s="16"/>
      <c r="H560" s="11"/>
      <c r="I560" s="7"/>
      <c r="J560" s="7" t="str">
        <f>IFERROR(LET(_xlpm.v,
VLOOKUP($I560,'用語辞書'!$A:$B,COLUMN('用語辞書'!B$1),FALSE),
IF(_xlpm.v=0,"",_xlpm.v)
),"")</f>
        <v/>
      </c>
      <c r="K560" s="17"/>
      <c r="L560" s="17" t="str">
        <f>IF(OR(COUNTIF('クラス'!$A$1:$A$1267,$B560)&gt;0,$B560="",$M560=""),"",True)</f>
        <v/>
      </c>
      <c r="M560" s="1" t="str">
        <f t="shared" si="12"/>
        <v>存在しない</v>
      </c>
      <c r="N560" s="1" t="s">
        <v>29</v>
      </c>
      <c r="O560" s="1"/>
      <c r="P560" s="11"/>
      <c r="Q560" s="11"/>
      <c r="R560" s="11"/>
      <c r="S560" s="11"/>
      <c r="T560" s="1"/>
      <c r="U560" s="1"/>
      <c r="V560" s="1"/>
      <c r="W560" s="1"/>
      <c r="X560" s="1"/>
      <c r="Y560" s="1"/>
      <c r="Z560" s="1"/>
    </row>
    <row r="561" ht="18.0" customHeight="1" outlineLevel="3">
      <c r="A561" s="1">
        <v>7.0</v>
      </c>
      <c r="B561" s="26" t="s">
        <v>1116</v>
      </c>
      <c r="C561" s="1"/>
      <c r="D561" s="1"/>
      <c r="E561" s="14"/>
      <c r="F561" s="15"/>
      <c r="G561" s="16"/>
      <c r="H561" s="11"/>
      <c r="I561" s="7"/>
      <c r="J561" s="7" t="str">
        <f>IFERROR(LET(_xlpm.v,
VLOOKUP($I561,'用語辞書'!$A:$B,COLUMN('用語辞書'!B$1),FALSE),
IF(_xlpm.v=0,"",_xlpm.v)
),"")</f>
        <v/>
      </c>
      <c r="K561" s="17"/>
      <c r="L561" s="17" t="str">
        <f>IF(OR(COUNTIF('クラス'!$A$1:$A$1267,$B561)&gt;0,$B561="",$M561=""),"",True)</f>
        <v/>
      </c>
      <c r="M561" s="1" t="str">
        <f t="shared" si="12"/>
        <v/>
      </c>
      <c r="N561" s="1" t="s">
        <v>29</v>
      </c>
      <c r="O561" s="1"/>
      <c r="P561" s="11"/>
      <c r="Q561" s="11"/>
      <c r="R561" s="11"/>
      <c r="S561" s="11"/>
      <c r="T561" s="1"/>
      <c r="U561" s="1"/>
      <c r="V561" s="1"/>
      <c r="W561" s="1"/>
      <c r="X561" s="1"/>
      <c r="Y561" s="1"/>
      <c r="Z561" s="1"/>
    </row>
    <row r="562" ht="18.0" customHeight="1" outlineLevel="3">
      <c r="A562" s="1">
        <v>8.0</v>
      </c>
      <c r="B562" s="1"/>
      <c r="C562" s="1"/>
      <c r="D562" s="1"/>
      <c r="E562" s="14"/>
      <c r="F562" s="15"/>
      <c r="G562" s="16"/>
      <c r="H562" s="11"/>
      <c r="I562" s="7"/>
      <c r="J562" s="7" t="str">
        <f>IFERROR(LET(_xlpm.v,
VLOOKUP($I562,'用語辞書'!$A:$B,COLUMN('用語辞書'!B$1),FALSE),
IF(_xlpm.v=0,"",_xlpm.v)
),"")</f>
        <v/>
      </c>
      <c r="K562" s="17"/>
      <c r="L562" s="17" t="str">
        <f>IF(OR(COUNTIF('クラス'!$A$1:$A$1267,$B562)&gt;0,$B562="",$M562=""),"",True)</f>
        <v/>
      </c>
      <c r="M562" s="1" t="str">
        <f t="shared" si="12"/>
        <v>存在しない</v>
      </c>
      <c r="N562" s="1" t="s">
        <v>29</v>
      </c>
      <c r="O562" s="1"/>
      <c r="P562" s="11"/>
      <c r="Q562" s="11"/>
      <c r="R562" s="11"/>
      <c r="S562" s="11"/>
      <c r="T562" s="1"/>
      <c r="U562" s="1"/>
      <c r="V562" s="1"/>
      <c r="W562" s="1"/>
      <c r="X562" s="1"/>
      <c r="Y562" s="1"/>
      <c r="Z562" s="1"/>
    </row>
    <row r="563" ht="18.0" customHeight="1" outlineLevel="3">
      <c r="A563" s="1">
        <v>9.0</v>
      </c>
      <c r="B563" s="20" t="s">
        <v>1155</v>
      </c>
      <c r="C563" s="1"/>
      <c r="D563" s="1"/>
      <c r="E563" s="35" t="s">
        <v>55</v>
      </c>
      <c r="F563" s="15"/>
      <c r="G563" s="16"/>
      <c r="H563" s="31" t="s">
        <v>1156</v>
      </c>
      <c r="I563" s="7"/>
      <c r="J563" s="7" t="str">
        <f>IFERROR(LET(_xlpm.v,
VLOOKUP($I563,'用語辞書'!$A:$B,COLUMN('用語辞書'!B$1),FALSE),
IF(_xlpm.v=0,"",_xlpm.v)
),"")</f>
        <v/>
      </c>
      <c r="K563" s="17"/>
      <c r="L563" s="17" t="b">
        <f>IF(OR(COUNTIF('クラス'!$A$1:$A$1267,$B563)&gt;0,$B563="",$M563=""),"",True)</f>
        <v>1</v>
      </c>
      <c r="M563" s="1" t="str">
        <f t="shared" si="12"/>
        <v>存在しない</v>
      </c>
      <c r="N563" s="1" t="s">
        <v>29</v>
      </c>
      <c r="O563" s="1"/>
      <c r="P563" s="11"/>
      <c r="Q563" s="11"/>
      <c r="R563" s="11"/>
      <c r="S563" s="11"/>
      <c r="T563" s="1"/>
      <c r="U563" s="1"/>
      <c r="V563" s="1"/>
      <c r="W563" s="1"/>
      <c r="X563" s="1"/>
      <c r="Y563" s="1"/>
      <c r="Z563" s="1"/>
    </row>
    <row r="564" ht="18.0" customHeight="1" outlineLevel="3">
      <c r="A564" s="1">
        <v>10.0</v>
      </c>
      <c r="B564" s="20" t="s">
        <v>1157</v>
      </c>
      <c r="C564" s="1"/>
      <c r="D564" s="1"/>
      <c r="E564" s="35" t="s">
        <v>33</v>
      </c>
      <c r="F564" s="15"/>
      <c r="G564" s="16"/>
      <c r="H564" s="11"/>
      <c r="I564" s="7"/>
      <c r="J564" s="7" t="str">
        <f>IFERROR(LET(_xlpm.v,
VLOOKUP($I564,'用語辞書'!$A:$B,COLUMN('用語辞書'!B$1),FALSE),
IF(_xlpm.v=0,"",_xlpm.v)
),"")</f>
        <v/>
      </c>
      <c r="K564" s="17"/>
      <c r="L564" s="17" t="b">
        <f>IF(OR(COUNTIF('クラス'!$A$1:$A$1267,$B564)&gt;0,$B564="",$M564=""),"",True)</f>
        <v>1</v>
      </c>
      <c r="M564" s="1" t="str">
        <f t="shared" si="12"/>
        <v>存在しない</v>
      </c>
      <c r="N564" s="1" t="s">
        <v>29</v>
      </c>
      <c r="O564" s="1"/>
      <c r="P564" s="11"/>
      <c r="Q564" s="11"/>
      <c r="R564" s="11"/>
      <c r="S564" s="11"/>
      <c r="T564" s="1"/>
      <c r="U564" s="1"/>
      <c r="V564" s="1"/>
      <c r="W564" s="1"/>
      <c r="X564" s="1"/>
      <c r="Y564" s="1"/>
      <c r="Z564" s="1"/>
    </row>
    <row r="565" ht="18.0" customHeight="1" outlineLevel="1">
      <c r="A565" s="1"/>
      <c r="B565" s="1"/>
      <c r="C565" s="1"/>
      <c r="D565" s="1"/>
      <c r="E565" s="14"/>
      <c r="F565" s="15"/>
      <c r="G565" s="16"/>
      <c r="H565" s="11"/>
      <c r="I565" s="7"/>
      <c r="J565" s="7" t="str">
        <f>IFERROR(LET(_xlpm.v,
VLOOKUP($I565,'用語辞書'!$A:$B,COLUMN('用語辞書'!B$1),FALSE),
IF(_xlpm.v=0,"",_xlpm.v)
),"")</f>
        <v/>
      </c>
      <c r="K565" s="17"/>
      <c r="L565" s="17" t="str">
        <f>IF(OR(COUNTIF('クラス'!$A$1:$A$1267,$B565)&gt;0,$B565="",$M565=""),"",True)</f>
        <v/>
      </c>
      <c r="M565" s="1" t="str">
        <f t="shared" si="12"/>
        <v>存在しない</v>
      </c>
      <c r="N565" s="1" t="s">
        <v>29</v>
      </c>
      <c r="O565" s="1"/>
      <c r="P565" s="11"/>
      <c r="Q565" s="11"/>
      <c r="R565" s="11"/>
      <c r="S565" s="11"/>
      <c r="T565" s="1"/>
      <c r="U565" s="1"/>
      <c r="V565" s="1"/>
      <c r="W565" s="1"/>
      <c r="X565" s="1"/>
      <c r="Y565" s="1"/>
      <c r="Z565" s="1"/>
    </row>
    <row r="566" ht="18.0" customHeight="1" outlineLevel="1">
      <c r="A566" s="1"/>
      <c r="B566" s="1"/>
      <c r="C566" s="26" t="s">
        <v>1158</v>
      </c>
      <c r="D566" s="1"/>
      <c r="E566" s="14"/>
      <c r="F566" s="15"/>
      <c r="G566" s="16"/>
      <c r="H566" s="11"/>
      <c r="I566" s="7"/>
      <c r="J566" s="7"/>
      <c r="K566" s="17"/>
      <c r="L566" s="17" t="str">
        <f>IF(OR(COUNTIF('クラス'!$A$1:$A$1267,$B566)&gt;0,$B566="",$M566=""),"",True)</f>
        <v/>
      </c>
      <c r="M566" s="1"/>
      <c r="N566" s="1"/>
      <c r="O566" s="1"/>
      <c r="P566" s="11"/>
      <c r="Q566" s="11"/>
      <c r="R566" s="11"/>
      <c r="S566" s="11"/>
      <c r="T566" s="1"/>
      <c r="U566" s="1"/>
      <c r="V566" s="1"/>
      <c r="W566" s="1"/>
      <c r="X566" s="1"/>
      <c r="Y566" s="1"/>
      <c r="Z566" s="1"/>
    </row>
    <row r="567" ht="18.0" customHeight="1" outlineLevel="2">
      <c r="A567" s="1"/>
      <c r="B567" s="1" t="s">
        <v>1159</v>
      </c>
      <c r="C567" s="1"/>
      <c r="D567" s="1"/>
      <c r="E567" s="14"/>
      <c r="F567" s="15"/>
      <c r="G567" s="16"/>
      <c r="H567" s="11"/>
      <c r="I567" s="7"/>
      <c r="J567" s="7" t="str">
        <f>IFERROR(LET(_xlpm.v,
VLOOKUP($I567,'用語辞書'!$A:$B,COLUMN('用語辞書'!B$1),FALSE),
IF(_xlpm.v=0,"",_xlpm.v)
),"")</f>
        <v/>
      </c>
      <c r="K567" s="17"/>
      <c r="L567" s="17" t="str">
        <f>IF(OR(COUNTIF('クラス'!$A$1:$A$1267,$B567)&gt;0,$B567="",$M567=""),"",True)</f>
        <v/>
      </c>
      <c r="M567" s="1" t="str">
        <f t="shared" ref="M567:M590" si="13">IF(COUNTIF($B$1:$C566, $B567), "", "存在しない")</f>
        <v>存在しない</v>
      </c>
      <c r="N567" s="1" t="s">
        <v>29</v>
      </c>
      <c r="O567" s="1"/>
      <c r="P567" s="11"/>
      <c r="Q567" s="11"/>
      <c r="R567" s="11"/>
      <c r="S567" s="11"/>
      <c r="T567" s="1"/>
      <c r="U567" s="1"/>
      <c r="V567" s="1"/>
      <c r="W567" s="1"/>
      <c r="X567" s="1"/>
      <c r="Y567" s="1"/>
      <c r="Z567" s="1"/>
    </row>
    <row r="568" ht="18.0" customHeight="1" outlineLevel="3">
      <c r="A568" s="1">
        <v>1.0</v>
      </c>
      <c r="B568" s="26" t="s">
        <v>74</v>
      </c>
      <c r="C568" s="1"/>
      <c r="D568" s="1"/>
      <c r="E568" s="14"/>
      <c r="F568" s="15"/>
      <c r="G568" s="16"/>
      <c r="H568" s="11"/>
      <c r="I568" s="7"/>
      <c r="J568" s="7" t="str">
        <f>IFERROR(LET(_xlpm.v,
VLOOKUP($I568,'用語辞書'!$A:$B,COLUMN('用語辞書'!B$1),FALSE),
IF(_xlpm.v=0,"",_xlpm.v)
),"")</f>
        <v/>
      </c>
      <c r="K568" s="17"/>
      <c r="L568" s="17" t="str">
        <f>IF(OR(COUNTIF('クラス'!$A$1:$A$1267,$B568)&gt;0,$B568="",$M568=""),"",True)</f>
        <v/>
      </c>
      <c r="M568" s="1" t="str">
        <f t="shared" si="13"/>
        <v/>
      </c>
      <c r="N568" s="1" t="s">
        <v>29</v>
      </c>
      <c r="O568" s="1"/>
      <c r="P568" s="11"/>
      <c r="Q568" s="11"/>
      <c r="R568" s="11"/>
      <c r="S568" s="11"/>
      <c r="T568" s="1"/>
      <c r="U568" s="1"/>
      <c r="V568" s="1"/>
      <c r="W568" s="1"/>
      <c r="X568" s="1"/>
      <c r="Y568" s="1"/>
      <c r="Z568" s="1"/>
    </row>
    <row r="569" ht="18.0" customHeight="1" outlineLevel="3">
      <c r="A569" s="1">
        <v>2.0</v>
      </c>
      <c r="B569" s="26" t="s">
        <v>282</v>
      </c>
      <c r="C569" s="1"/>
      <c r="D569" s="1"/>
      <c r="E569" s="14"/>
      <c r="F569" s="15"/>
      <c r="G569" s="16"/>
      <c r="H569" s="11"/>
      <c r="I569" s="7"/>
      <c r="J569" s="7" t="str">
        <f>IFERROR(LET(_xlpm.v,
VLOOKUP($I569,'用語辞書'!$A:$B,COLUMN('用語辞書'!B$1),FALSE),
IF(_xlpm.v=0,"",_xlpm.v)
),"")</f>
        <v/>
      </c>
      <c r="K569" s="17"/>
      <c r="L569" s="17" t="str">
        <f>IF(OR(COUNTIF('クラス'!$A$1:$A$1267,$B569)&gt;0,$B569="",$M569=""),"",True)</f>
        <v/>
      </c>
      <c r="M569" s="1" t="str">
        <f t="shared" si="13"/>
        <v/>
      </c>
      <c r="N569" s="1" t="s">
        <v>29</v>
      </c>
      <c r="O569" s="1"/>
      <c r="P569" s="11"/>
      <c r="Q569" s="11"/>
      <c r="R569" s="11"/>
      <c r="S569" s="11"/>
      <c r="T569" s="1"/>
      <c r="U569" s="1"/>
      <c r="V569" s="1"/>
      <c r="W569" s="1"/>
      <c r="X569" s="1"/>
      <c r="Y569" s="1"/>
      <c r="Z569" s="1"/>
    </row>
    <row r="570" ht="18.0" customHeight="1" outlineLevel="2" collapsed="1">
      <c r="A570" s="1">
        <v>3.0</v>
      </c>
      <c r="B570" s="26" t="s">
        <v>372</v>
      </c>
      <c r="C570" s="1"/>
      <c r="D570" s="1"/>
      <c r="E570" s="14"/>
      <c r="F570" s="15"/>
      <c r="G570" s="16"/>
      <c r="H570" s="11"/>
      <c r="I570" s="7"/>
      <c r="J570" s="7" t="str">
        <f>IFERROR(LET(_xlpm.v,
VLOOKUP($I570,'用語辞書'!$A:$B,COLUMN('用語辞書'!B$1),FALSE),
IF(_xlpm.v=0,"",_xlpm.v)
),"")</f>
        <v/>
      </c>
      <c r="K570" s="17"/>
      <c r="L570" s="17" t="str">
        <f>IF(OR(COUNTIF('クラス'!$A$1:$A$1267,$B570)&gt;0,$B570="",$M570=""),"",True)</f>
        <v/>
      </c>
      <c r="M570" s="1" t="str">
        <f t="shared" si="13"/>
        <v/>
      </c>
      <c r="N570" s="1" t="s">
        <v>29</v>
      </c>
      <c r="O570" s="1"/>
      <c r="P570" s="11"/>
      <c r="Q570" s="11"/>
      <c r="R570" s="11"/>
      <c r="S570" s="11"/>
      <c r="T570" s="1"/>
      <c r="U570" s="1"/>
      <c r="V570" s="1"/>
      <c r="W570" s="1"/>
      <c r="X570" s="1"/>
      <c r="Y570" s="1"/>
      <c r="Z570" s="1"/>
    </row>
    <row r="571" ht="18.0" customHeight="1" outlineLevel="2">
      <c r="A571" s="1">
        <v>4.0</v>
      </c>
      <c r="B571" s="26" t="s">
        <v>388</v>
      </c>
      <c r="C571" s="1"/>
      <c r="D571" s="1"/>
      <c r="E571" s="14"/>
      <c r="F571" s="15"/>
      <c r="G571" s="16"/>
      <c r="H571" s="11"/>
      <c r="I571" s="7"/>
      <c r="J571" s="7" t="str">
        <f>IFERROR(LET(_xlpm.v,
VLOOKUP($I571,'用語辞書'!$A:$B,COLUMN('用語辞書'!B$1),FALSE),
IF(_xlpm.v=0,"",_xlpm.v)
),"")</f>
        <v/>
      </c>
      <c r="K571" s="17"/>
      <c r="L571" s="17" t="str">
        <f>IF(OR(COUNTIF('クラス'!$A$1:$A$1267,$B571)&gt;0,$B571="",$M571=""),"",True)</f>
        <v/>
      </c>
      <c r="M571" s="1" t="str">
        <f t="shared" si="13"/>
        <v/>
      </c>
      <c r="N571" s="1" t="s">
        <v>29</v>
      </c>
      <c r="O571" s="1"/>
      <c r="P571" s="11"/>
      <c r="Q571" s="11"/>
      <c r="R571" s="11"/>
      <c r="S571" s="11"/>
      <c r="T571" s="1"/>
      <c r="U571" s="1"/>
      <c r="V571" s="1"/>
      <c r="W571" s="1"/>
      <c r="X571" s="1"/>
      <c r="Y571" s="1"/>
      <c r="Z571" s="1"/>
    </row>
    <row r="572" ht="18.0" customHeight="1" outlineLevel="2">
      <c r="A572" s="1">
        <v>5.0</v>
      </c>
      <c r="B572" s="26" t="s">
        <v>516</v>
      </c>
      <c r="C572" s="1"/>
      <c r="D572" s="1"/>
      <c r="E572" s="14"/>
      <c r="F572" s="15"/>
      <c r="G572" s="16"/>
      <c r="H572" s="11"/>
      <c r="I572" s="7"/>
      <c r="J572" s="7" t="str">
        <f>IFERROR(LET(_xlpm.v,
VLOOKUP($I572,'用語辞書'!$A:$B,COLUMN('用語辞書'!B$1),FALSE),
IF(_xlpm.v=0,"",_xlpm.v)
),"")</f>
        <v/>
      </c>
      <c r="K572" s="17"/>
      <c r="L572" s="17" t="str">
        <f>IF(OR(COUNTIF('クラス'!$A$1:$A$1267,$B572)&gt;0,$B572="",$M572=""),"",True)</f>
        <v/>
      </c>
      <c r="M572" s="1" t="str">
        <f t="shared" si="13"/>
        <v/>
      </c>
      <c r="N572" s="1" t="s">
        <v>29</v>
      </c>
      <c r="O572" s="1"/>
      <c r="P572" s="11"/>
      <c r="Q572" s="11"/>
      <c r="R572" s="11"/>
      <c r="S572" s="11"/>
      <c r="T572" s="1"/>
      <c r="U572" s="1"/>
      <c r="V572" s="1"/>
      <c r="W572" s="1"/>
      <c r="X572" s="1"/>
      <c r="Y572" s="1"/>
      <c r="Z572" s="1"/>
    </row>
    <row r="573" ht="18.0" customHeight="1" outlineLevel="3">
      <c r="A573" s="1">
        <v>6.0</v>
      </c>
      <c r="B573" s="1"/>
      <c r="C573" s="1"/>
      <c r="D573" s="1"/>
      <c r="E573" s="14"/>
      <c r="F573" s="15"/>
      <c r="G573" s="16"/>
      <c r="H573" s="11"/>
      <c r="I573" s="7"/>
      <c r="J573" s="7" t="str">
        <f>IFERROR(LET(_xlpm.v,
VLOOKUP($I573,'用語辞書'!$A:$B,COLUMN('用語辞書'!B$1),FALSE),
IF(_xlpm.v=0,"",_xlpm.v)
),"")</f>
        <v/>
      </c>
      <c r="K573" s="17"/>
      <c r="L573" s="17" t="str">
        <f>IF(OR(COUNTIF('クラス'!$A$1:$A$1267,$B573)&gt;0,$B573="",$M573=""),"",True)</f>
        <v/>
      </c>
      <c r="M573" s="1" t="str">
        <f t="shared" si="13"/>
        <v>存在しない</v>
      </c>
      <c r="N573" s="1" t="s">
        <v>29</v>
      </c>
      <c r="O573" s="1"/>
      <c r="P573" s="11"/>
      <c r="Q573" s="11"/>
      <c r="R573" s="11"/>
      <c r="S573" s="11"/>
      <c r="T573" s="1"/>
      <c r="U573" s="1"/>
      <c r="V573" s="1"/>
      <c r="W573" s="1"/>
      <c r="X573" s="1"/>
      <c r="Y573" s="1"/>
      <c r="Z573" s="1"/>
    </row>
    <row r="574" ht="18.0" customHeight="1" outlineLevel="3">
      <c r="A574" s="1">
        <v>7.0</v>
      </c>
      <c r="B574" s="26" t="s">
        <v>275</v>
      </c>
      <c r="C574" s="1"/>
      <c r="D574" s="1"/>
      <c r="E574" s="14"/>
      <c r="F574" s="15"/>
      <c r="G574" s="16"/>
      <c r="H574" s="11"/>
      <c r="I574" s="7"/>
      <c r="J574" s="7" t="str">
        <f>IFERROR(LET(_xlpm.v,
VLOOKUP($I574,'用語辞書'!$A:$B,COLUMN('用語辞書'!B$1),FALSE),
IF(_xlpm.v=0,"",_xlpm.v)
),"")</f>
        <v/>
      </c>
      <c r="K574" s="17"/>
      <c r="L574" s="17" t="str">
        <f>IF(OR(COUNTIF('クラス'!$A$1:$A$1267,$B574)&gt;0,$B574="",$M574=""),"",True)</f>
        <v/>
      </c>
      <c r="M574" s="1" t="str">
        <f t="shared" si="13"/>
        <v/>
      </c>
      <c r="N574" s="1" t="s">
        <v>29</v>
      </c>
      <c r="O574" s="1"/>
      <c r="P574" s="11"/>
      <c r="Q574" s="11"/>
      <c r="R574" s="11"/>
      <c r="S574" s="11"/>
      <c r="T574" s="1"/>
      <c r="U574" s="1"/>
      <c r="V574" s="1"/>
      <c r="W574" s="1"/>
      <c r="X574" s="1"/>
      <c r="Y574" s="1"/>
      <c r="Z574" s="1"/>
    </row>
    <row r="575" ht="18.0" customHeight="1" outlineLevel="3">
      <c r="A575" s="1">
        <v>8.0</v>
      </c>
      <c r="B575" s="1"/>
      <c r="C575" s="1"/>
      <c r="D575" s="1"/>
      <c r="E575" s="14"/>
      <c r="F575" s="15"/>
      <c r="G575" s="16"/>
      <c r="H575" s="11"/>
      <c r="I575" s="7"/>
      <c r="J575" s="7" t="str">
        <f>IFERROR(LET(_xlpm.v,
VLOOKUP($I575,'用語辞書'!$A:$B,COLUMN('用語辞書'!B$1),FALSE),
IF(_xlpm.v=0,"",_xlpm.v)
),"")</f>
        <v/>
      </c>
      <c r="K575" s="17"/>
      <c r="L575" s="17" t="str">
        <f>IF(OR(COUNTIF('クラス'!$A$1:$A$1267,$B575)&gt;0,$B575="",$M575=""),"",True)</f>
        <v/>
      </c>
      <c r="M575" s="1" t="str">
        <f t="shared" si="13"/>
        <v>存在しない</v>
      </c>
      <c r="N575" s="1" t="s">
        <v>29</v>
      </c>
      <c r="O575" s="1"/>
      <c r="P575" s="11"/>
      <c r="Q575" s="11"/>
      <c r="R575" s="11"/>
      <c r="S575" s="11"/>
      <c r="T575" s="1"/>
      <c r="U575" s="1"/>
      <c r="V575" s="1"/>
      <c r="W575" s="1"/>
      <c r="X575" s="1"/>
      <c r="Y575" s="1"/>
      <c r="Z575" s="1"/>
    </row>
    <row r="576" ht="18.0" customHeight="1" outlineLevel="3">
      <c r="A576" s="1">
        <v>9.0</v>
      </c>
      <c r="B576" s="26" t="s">
        <v>646</v>
      </c>
      <c r="C576" s="1"/>
      <c r="D576" s="1"/>
      <c r="E576" s="14"/>
      <c r="F576" s="15"/>
      <c r="G576" s="16"/>
      <c r="H576" s="11"/>
      <c r="I576" s="7"/>
      <c r="J576" s="7" t="str">
        <f>IFERROR(LET(_xlpm.v,
VLOOKUP($I576,'用語辞書'!$A:$B,COLUMN('用語辞書'!B$1),FALSE),
IF(_xlpm.v=0,"",_xlpm.v)
),"")</f>
        <v/>
      </c>
      <c r="K576" s="17"/>
      <c r="L576" s="17" t="str">
        <f>IF(OR(COUNTIF('クラス'!$A$1:$A$1267,$B576)&gt;0,$B576="",$M576=""),"",True)</f>
        <v/>
      </c>
      <c r="M576" s="1" t="str">
        <f t="shared" si="13"/>
        <v/>
      </c>
      <c r="N576" s="1" t="s">
        <v>29</v>
      </c>
      <c r="O576" s="1"/>
      <c r="P576" s="11"/>
      <c r="Q576" s="11"/>
      <c r="R576" s="11"/>
      <c r="S576" s="11"/>
      <c r="T576" s="1"/>
      <c r="U576" s="1"/>
      <c r="V576" s="1"/>
      <c r="W576" s="1"/>
      <c r="X576" s="1"/>
      <c r="Y576" s="1"/>
      <c r="Z576" s="1"/>
    </row>
    <row r="577" ht="18.0" customHeight="1" outlineLevel="3">
      <c r="A577" s="1">
        <v>10.0</v>
      </c>
      <c r="B577" s="1"/>
      <c r="C577" s="1"/>
      <c r="D577" s="1"/>
      <c r="E577" s="14"/>
      <c r="F577" s="15"/>
      <c r="G577" s="16"/>
      <c r="H577" s="11"/>
      <c r="I577" s="7"/>
      <c r="J577" s="7" t="str">
        <f>IFERROR(LET(_xlpm.v,
VLOOKUP($I577,'用語辞書'!$A:$B,COLUMN('用語辞書'!B$1),FALSE),
IF(_xlpm.v=0,"",_xlpm.v)
),"")</f>
        <v/>
      </c>
      <c r="K577" s="17"/>
      <c r="L577" s="17" t="str">
        <f>IF(OR(COUNTIF('クラス'!$A$1:$A$1267,$B577)&gt;0,$B577="",$M577=""),"",True)</f>
        <v/>
      </c>
      <c r="M577" s="1" t="str">
        <f t="shared" si="13"/>
        <v>存在しない</v>
      </c>
      <c r="N577" s="1" t="s">
        <v>29</v>
      </c>
      <c r="O577" s="1"/>
      <c r="P577" s="11"/>
      <c r="Q577" s="11"/>
      <c r="R577" s="11"/>
      <c r="S577" s="11"/>
      <c r="T577" s="1"/>
      <c r="U577" s="1"/>
      <c r="V577" s="1"/>
      <c r="W577" s="1"/>
      <c r="X577" s="1"/>
      <c r="Y577" s="1"/>
      <c r="Z577" s="1"/>
    </row>
    <row r="578" ht="18.0" customHeight="1" outlineLevel="2">
      <c r="A578" s="1"/>
      <c r="B578" s="1"/>
      <c r="C578" s="1"/>
      <c r="D578" s="1"/>
      <c r="E578" s="14"/>
      <c r="F578" s="15"/>
      <c r="G578" s="16"/>
      <c r="H578" s="11"/>
      <c r="I578" s="7"/>
      <c r="J578" s="7" t="str">
        <f>IFERROR(LET(_xlpm.v,
VLOOKUP($I578,'用語辞書'!$A:$B,COLUMN('用語辞書'!B$1),FALSE),
IF(_xlpm.v=0,"",_xlpm.v)
),"")</f>
        <v/>
      </c>
      <c r="K578" s="17"/>
      <c r="L578" s="17" t="str">
        <f>IF(OR(COUNTIF('クラス'!$A$1:$A$1267,$B578)&gt;0,$B578="",$M578=""),"",True)</f>
        <v/>
      </c>
      <c r="M578" s="1" t="str">
        <f t="shared" si="13"/>
        <v>存在しない</v>
      </c>
      <c r="N578" s="1" t="s">
        <v>29</v>
      </c>
      <c r="O578" s="1"/>
      <c r="P578" s="11"/>
      <c r="Q578" s="11"/>
      <c r="R578" s="11"/>
      <c r="S578" s="11"/>
      <c r="T578" s="1"/>
      <c r="U578" s="1"/>
      <c r="V578" s="1"/>
      <c r="W578" s="1"/>
      <c r="X578" s="1"/>
      <c r="Y578" s="1"/>
      <c r="Z578" s="1"/>
    </row>
    <row r="579" ht="18.0" customHeight="1" outlineLevel="2">
      <c r="A579" s="1"/>
      <c r="B579" s="1" t="s">
        <v>1160</v>
      </c>
      <c r="C579" s="1"/>
      <c r="D579" s="1"/>
      <c r="E579" s="14"/>
      <c r="F579" s="15"/>
      <c r="G579" s="16"/>
      <c r="H579" s="11"/>
      <c r="I579" s="7"/>
      <c r="J579" s="7" t="str">
        <f>IFERROR(LET(_xlpm.v,
VLOOKUP($I579,'用語辞書'!$A:$B,COLUMN('用語辞書'!B$1),FALSE),
IF(_xlpm.v=0,"",_xlpm.v)
),"")</f>
        <v/>
      </c>
      <c r="K579" s="17"/>
      <c r="L579" s="17" t="str">
        <f>IF(OR(COUNTIF('クラス'!$A$1:$A$1267,$B579)&gt;0,$B579="",$M579=""),"",True)</f>
        <v/>
      </c>
      <c r="M579" s="1" t="str">
        <f t="shared" si="13"/>
        <v>存在しない</v>
      </c>
      <c r="N579" s="1" t="s">
        <v>29</v>
      </c>
      <c r="O579" s="1"/>
      <c r="P579" s="11"/>
      <c r="Q579" s="11"/>
      <c r="R579" s="11"/>
      <c r="S579" s="11"/>
      <c r="T579" s="1"/>
      <c r="U579" s="1"/>
      <c r="V579" s="1"/>
      <c r="W579" s="1"/>
      <c r="X579" s="1"/>
      <c r="Y579" s="1"/>
      <c r="Z579" s="1"/>
    </row>
    <row r="580" ht="18.0" customHeight="1" outlineLevel="3">
      <c r="A580" s="1">
        <v>1.0</v>
      </c>
      <c r="B580" s="1" t="s">
        <v>1161</v>
      </c>
      <c r="C580" s="1" t="s">
        <v>1162</v>
      </c>
      <c r="D580" s="1" t="s">
        <v>1163</v>
      </c>
      <c r="E580" s="14" t="s">
        <v>33</v>
      </c>
      <c r="F580" s="15"/>
      <c r="G580" s="16">
        <v>50.0</v>
      </c>
      <c r="H580" s="11" t="s">
        <v>1164</v>
      </c>
      <c r="I580" s="7"/>
      <c r="J580" s="7" t="str">
        <f>IFERROR(LET(_xlpm.v,
VLOOKUP($I580,'用語辞書'!$A:$B,COLUMN('用語辞書'!B$1),FALSE),
IF(_xlpm.v=0,"",_xlpm.v)
),"")</f>
        <v/>
      </c>
      <c r="K580" s="17"/>
      <c r="L580" s="17" t="b">
        <f>IF(OR(COUNTIF('クラス'!$A$1:$A$1267,$B580)&gt;0,$B580="",$M580=""),"",True)</f>
        <v>1</v>
      </c>
      <c r="M580" s="1" t="str">
        <f t="shared" si="13"/>
        <v>存在しない</v>
      </c>
      <c r="N580" s="1" t="s">
        <v>29</v>
      </c>
      <c r="O580" s="1"/>
      <c r="P580" s="11"/>
      <c r="Q580" s="11"/>
      <c r="R580" s="11"/>
      <c r="S580" s="11"/>
      <c r="T580" s="1"/>
      <c r="U580" s="1"/>
      <c r="V580" s="1"/>
      <c r="W580" s="1"/>
      <c r="X580" s="1"/>
      <c r="Y580" s="1"/>
      <c r="Z580" s="1"/>
    </row>
    <row r="581" ht="18.0" customHeight="1" outlineLevel="3">
      <c r="A581" s="1">
        <v>2.0</v>
      </c>
      <c r="B581" s="1" t="s">
        <v>1103</v>
      </c>
      <c r="C581" s="1"/>
      <c r="D581" s="1"/>
      <c r="E581" s="14"/>
      <c r="F581" s="15"/>
      <c r="G581" s="16"/>
      <c r="H581" s="11"/>
      <c r="I581" s="7"/>
      <c r="J581" s="7" t="str">
        <f>IFERROR(LET(_xlpm.v,
VLOOKUP($I581,'用語辞書'!$A:$B,COLUMN('用語辞書'!B$1),FALSE),
IF(_xlpm.v=0,"",_xlpm.v)
),"")</f>
        <v/>
      </c>
      <c r="K581" s="17"/>
      <c r="L581" s="17" t="str">
        <f>IF(OR(COUNTIF('クラス'!$A$1:$A$1267,$B581)&gt;0,$B581="",$M581=""),"",True)</f>
        <v/>
      </c>
      <c r="M581" s="1" t="str">
        <f t="shared" si="13"/>
        <v/>
      </c>
      <c r="N581" s="1" t="s">
        <v>29</v>
      </c>
      <c r="O581" s="1"/>
      <c r="P581" s="11"/>
      <c r="Q581" s="11"/>
      <c r="R581" s="11"/>
      <c r="S581" s="11"/>
      <c r="T581" s="1"/>
      <c r="U581" s="1"/>
      <c r="V581" s="1"/>
      <c r="W581" s="1"/>
      <c r="X581" s="1"/>
      <c r="Y581" s="1"/>
      <c r="Z581" s="1"/>
    </row>
    <row r="582" ht="18.0" customHeight="1" outlineLevel="3">
      <c r="A582" s="1">
        <v>3.0</v>
      </c>
      <c r="B582" s="1" t="s">
        <v>1125</v>
      </c>
      <c r="C582" s="1"/>
      <c r="D582" s="1"/>
      <c r="E582" s="14"/>
      <c r="F582" s="15"/>
      <c r="G582" s="16"/>
      <c r="H582" s="11"/>
      <c r="I582" s="7"/>
      <c r="J582" s="7" t="str">
        <f>IFERROR(LET(_xlpm.v,
VLOOKUP($I582,'用語辞書'!$A:$B,COLUMN('用語辞書'!B$1),FALSE),
IF(_xlpm.v=0,"",_xlpm.v)
),"")</f>
        <v/>
      </c>
      <c r="K582" s="17"/>
      <c r="L582" s="17" t="str">
        <f>IF(OR(COUNTIF('クラス'!$A$1:$A$1267,$B582)&gt;0,$B582="",$M582=""),"",True)</f>
        <v/>
      </c>
      <c r="M582" s="1" t="str">
        <f t="shared" si="13"/>
        <v/>
      </c>
      <c r="N582" s="1" t="s">
        <v>29</v>
      </c>
      <c r="O582" s="1"/>
      <c r="P582" s="11"/>
      <c r="Q582" s="11"/>
      <c r="R582" s="11"/>
      <c r="S582" s="11"/>
      <c r="T582" s="1"/>
      <c r="U582" s="1"/>
      <c r="V582" s="1"/>
      <c r="W582" s="1"/>
      <c r="X582" s="1"/>
      <c r="Y582" s="1"/>
      <c r="Z582" s="1"/>
    </row>
    <row r="583" ht="18.0" customHeight="1" outlineLevel="3">
      <c r="A583" s="1">
        <v>4.0</v>
      </c>
      <c r="B583" s="1" t="s">
        <v>1111</v>
      </c>
      <c r="C583" s="1"/>
      <c r="D583" s="1"/>
      <c r="E583" s="14"/>
      <c r="F583" s="15"/>
      <c r="G583" s="16"/>
      <c r="H583" s="11"/>
      <c r="I583" s="7"/>
      <c r="J583" s="7" t="str">
        <f>IFERROR(LET(_xlpm.v,
VLOOKUP($I583,'用語辞書'!$A:$B,COLUMN('用語辞書'!B$1),FALSE),
IF(_xlpm.v=0,"",_xlpm.v)
),"")</f>
        <v/>
      </c>
      <c r="K583" s="17"/>
      <c r="L583" s="17" t="str">
        <f>IF(OR(COUNTIF('クラス'!$A$1:$A$1267,$B583)&gt;0,$B583="",$M583=""),"",True)</f>
        <v/>
      </c>
      <c r="M583" s="1" t="str">
        <f t="shared" si="13"/>
        <v/>
      </c>
      <c r="N583" s="1" t="s">
        <v>29</v>
      </c>
      <c r="O583" s="1"/>
      <c r="P583" s="11"/>
      <c r="Q583" s="11"/>
      <c r="R583" s="11"/>
      <c r="S583" s="11"/>
      <c r="T583" s="1"/>
      <c r="U583" s="1"/>
      <c r="V583" s="1"/>
      <c r="W583" s="1"/>
      <c r="X583" s="1"/>
      <c r="Y583" s="1"/>
      <c r="Z583" s="1"/>
    </row>
    <row r="584" ht="18.0" customHeight="1" outlineLevel="2" collapsed="1">
      <c r="A584" s="1">
        <v>5.0</v>
      </c>
      <c r="B584" s="1" t="s">
        <v>1116</v>
      </c>
      <c r="C584" s="1"/>
      <c r="D584" s="1"/>
      <c r="E584" s="14"/>
      <c r="F584" s="15"/>
      <c r="G584" s="16"/>
      <c r="H584" s="11"/>
      <c r="I584" s="7"/>
      <c r="J584" s="7" t="str">
        <f>IFERROR(LET(_xlpm.v,
VLOOKUP($I584,'用語辞書'!$A:$B,COLUMN('用語辞書'!B$1),FALSE),
IF(_xlpm.v=0,"",_xlpm.v)
),"")</f>
        <v/>
      </c>
      <c r="K584" s="17"/>
      <c r="L584" s="17" t="str">
        <f>IF(OR(COUNTIF('クラス'!$A$1:$A$1267,$B584)&gt;0,$B584="",$M584=""),"",True)</f>
        <v/>
      </c>
      <c r="M584" s="1" t="str">
        <f t="shared" si="13"/>
        <v/>
      </c>
      <c r="N584" s="1" t="s">
        <v>29</v>
      </c>
      <c r="O584" s="1"/>
      <c r="P584" s="11"/>
      <c r="Q584" s="11"/>
      <c r="R584" s="11"/>
      <c r="S584" s="11"/>
      <c r="T584" s="1"/>
      <c r="U584" s="1"/>
      <c r="V584" s="1"/>
      <c r="W584" s="1"/>
      <c r="X584" s="1"/>
      <c r="Y584" s="1"/>
      <c r="Z584" s="1"/>
    </row>
    <row r="585" ht="18.0" customHeight="1" outlineLevel="2">
      <c r="A585" s="1">
        <v>6.0</v>
      </c>
      <c r="B585" s="1" t="s">
        <v>1136</v>
      </c>
      <c r="C585" s="1"/>
      <c r="D585" s="1"/>
      <c r="E585" s="14"/>
      <c r="F585" s="15"/>
      <c r="G585" s="16"/>
      <c r="H585" s="11"/>
      <c r="I585" s="7"/>
      <c r="J585" s="7" t="str">
        <f>IFERROR(LET(_xlpm.v,
VLOOKUP($I585,'用語辞書'!$A:$B,COLUMN('用語辞書'!B$1),FALSE),
IF(_xlpm.v=0,"",_xlpm.v)
),"")</f>
        <v/>
      </c>
      <c r="K585" s="17"/>
      <c r="L585" s="17" t="str">
        <f>IF(OR(COUNTIF('クラス'!$A$1:$A$1267,$B585)&gt;0,$B585="",$M585=""),"",True)</f>
        <v/>
      </c>
      <c r="M585" s="1" t="str">
        <f t="shared" si="13"/>
        <v/>
      </c>
      <c r="N585" s="1" t="s">
        <v>29</v>
      </c>
      <c r="O585" s="1"/>
      <c r="P585" s="11"/>
      <c r="Q585" s="11"/>
      <c r="R585" s="11"/>
      <c r="S585" s="11"/>
      <c r="T585" s="1"/>
      <c r="U585" s="1"/>
      <c r="V585" s="1"/>
      <c r="W585" s="1"/>
      <c r="X585" s="1"/>
      <c r="Y585" s="1"/>
      <c r="Z585" s="1"/>
    </row>
    <row r="586" ht="18.0" customHeight="1" outlineLevel="3">
      <c r="A586" s="1">
        <v>7.0</v>
      </c>
      <c r="B586" s="1" t="s">
        <v>294</v>
      </c>
      <c r="C586" s="1"/>
      <c r="D586" s="1"/>
      <c r="E586" s="14"/>
      <c r="F586" s="15"/>
      <c r="G586" s="16"/>
      <c r="H586" s="11"/>
      <c r="I586" s="7"/>
      <c r="J586" s="7" t="str">
        <f>IFERROR(LET(_xlpm.v,
VLOOKUP($I586,'用語辞書'!$A:$B,COLUMN('用語辞書'!B$1),FALSE),
IF(_xlpm.v=0,"",_xlpm.v)
),"")</f>
        <v/>
      </c>
      <c r="K586" s="17"/>
      <c r="L586" s="17" t="str">
        <f>IF(OR(COUNTIF('クラス'!$A$1:$A$1267,$B586)&gt;0,$B586="",$M586=""),"",True)</f>
        <v/>
      </c>
      <c r="M586" s="1" t="str">
        <f t="shared" si="13"/>
        <v/>
      </c>
      <c r="N586" s="1" t="s">
        <v>29</v>
      </c>
      <c r="O586" s="1"/>
      <c r="P586" s="11"/>
      <c r="Q586" s="11"/>
      <c r="R586" s="11"/>
      <c r="S586" s="11"/>
      <c r="T586" s="1"/>
      <c r="U586" s="1"/>
      <c r="V586" s="1"/>
      <c r="W586" s="1"/>
      <c r="X586" s="1"/>
      <c r="Y586" s="1"/>
      <c r="Z586" s="1"/>
    </row>
    <row r="587" ht="18.0" customHeight="1" outlineLevel="3">
      <c r="A587" s="1">
        <v>8.0</v>
      </c>
      <c r="B587" s="1" t="s">
        <v>297</v>
      </c>
      <c r="C587" s="1"/>
      <c r="D587" s="1"/>
      <c r="E587" s="14"/>
      <c r="F587" s="15"/>
      <c r="G587" s="16"/>
      <c r="H587" s="11"/>
      <c r="I587" s="7"/>
      <c r="J587" s="7" t="str">
        <f>IFERROR(LET(_xlpm.v,
VLOOKUP($I587,'用語辞書'!$A:$B,COLUMN('用語辞書'!B$1),FALSE),
IF(_xlpm.v=0,"",_xlpm.v)
),"")</f>
        <v/>
      </c>
      <c r="K587" s="17"/>
      <c r="L587" s="17" t="str">
        <f>IF(OR(COUNTIF('クラス'!$A$1:$A$1267,$B587)&gt;0,$B587="",$M587=""),"",True)</f>
        <v/>
      </c>
      <c r="M587" s="1" t="str">
        <f t="shared" si="13"/>
        <v/>
      </c>
      <c r="N587" s="1" t="s">
        <v>29</v>
      </c>
      <c r="O587" s="1"/>
      <c r="P587" s="11"/>
      <c r="Q587" s="11"/>
      <c r="R587" s="11"/>
      <c r="S587" s="11"/>
      <c r="T587" s="1"/>
      <c r="U587" s="1"/>
      <c r="V587" s="1"/>
      <c r="W587" s="1"/>
      <c r="X587" s="1"/>
      <c r="Y587" s="1"/>
      <c r="Z587" s="1"/>
    </row>
    <row r="588" ht="18.0" customHeight="1" outlineLevel="3">
      <c r="A588" s="1">
        <v>9.0</v>
      </c>
      <c r="B588" s="1" t="s">
        <v>310</v>
      </c>
      <c r="C588" s="1"/>
      <c r="D588" s="1"/>
      <c r="E588" s="14"/>
      <c r="F588" s="15"/>
      <c r="G588" s="16"/>
      <c r="H588" s="11"/>
      <c r="I588" s="7"/>
      <c r="J588" s="7" t="str">
        <f>IFERROR(LET(_xlpm.v,
VLOOKUP($I588,'用語辞書'!$A:$B,COLUMN('用語辞書'!B$1),FALSE),
IF(_xlpm.v=0,"",_xlpm.v)
),"")</f>
        <v/>
      </c>
      <c r="K588" s="17"/>
      <c r="L588" s="17" t="str">
        <f>IF(OR(COUNTIF('クラス'!$A$1:$A$1267,$B588)&gt;0,$B588="",$M588=""),"",True)</f>
        <v/>
      </c>
      <c r="M588" s="1" t="str">
        <f t="shared" si="13"/>
        <v/>
      </c>
      <c r="N588" s="1" t="s">
        <v>29</v>
      </c>
      <c r="O588" s="1"/>
      <c r="P588" s="11"/>
      <c r="Q588" s="11"/>
      <c r="R588" s="11"/>
      <c r="S588" s="11"/>
      <c r="T588" s="1"/>
      <c r="U588" s="1"/>
      <c r="V588" s="1"/>
      <c r="W588" s="1"/>
      <c r="X588" s="1"/>
      <c r="Y588" s="1"/>
      <c r="Z588" s="1"/>
    </row>
    <row r="589" ht="18.0" customHeight="1" outlineLevel="3">
      <c r="A589" s="1">
        <v>10.0</v>
      </c>
      <c r="B589" s="1" t="s">
        <v>1165</v>
      </c>
      <c r="C589" s="1"/>
      <c r="D589" s="1"/>
      <c r="E589" s="14"/>
      <c r="F589" s="15"/>
      <c r="G589" s="16"/>
      <c r="H589" s="11"/>
      <c r="I589" s="7"/>
      <c r="J589" s="7" t="str">
        <f>IFERROR(LET(_xlpm.v,
VLOOKUP($I589,'用語辞書'!$A:$B,COLUMN('用語辞書'!B$1),FALSE),
IF(_xlpm.v=0,"",_xlpm.v)
),"")</f>
        <v/>
      </c>
      <c r="K589" s="17"/>
      <c r="L589" s="17" t="b">
        <f>IF(OR(COUNTIF('クラス'!$A$1:$A$1267,$B589)&gt;0,$B589="",$M589=""),"",True)</f>
        <v>1</v>
      </c>
      <c r="M589" s="1" t="str">
        <f t="shared" si="13"/>
        <v>存在しない</v>
      </c>
      <c r="N589" s="1" t="s">
        <v>29</v>
      </c>
      <c r="O589" s="1"/>
      <c r="P589" s="11"/>
      <c r="Q589" s="11"/>
      <c r="R589" s="11"/>
      <c r="S589" s="11"/>
      <c r="T589" s="1"/>
      <c r="U589" s="1"/>
      <c r="V589" s="1"/>
      <c r="W589" s="1"/>
      <c r="X589" s="1"/>
      <c r="Y589" s="1"/>
      <c r="Z589" s="1"/>
    </row>
    <row r="590" ht="18.0" customHeight="1" outlineLevel="1">
      <c r="A590" s="1"/>
      <c r="B590" s="1"/>
      <c r="C590" s="1"/>
      <c r="D590" s="1"/>
      <c r="E590" s="14"/>
      <c r="F590" s="15"/>
      <c r="G590" s="16"/>
      <c r="H590" s="11"/>
      <c r="I590" s="7"/>
      <c r="J590" s="7" t="str">
        <f>IFERROR(LET(_xlpm.v,
VLOOKUP($I590,'用語辞書'!$A:$B,COLUMN('用語辞書'!B$1),FALSE),
IF(_xlpm.v=0,"",_xlpm.v)
),"")</f>
        <v/>
      </c>
      <c r="K590" s="17"/>
      <c r="L590" s="17" t="str">
        <f>IF(OR(COUNTIF('クラス'!$A$1:$A$1267,$B590)&gt;0,$B590="",$M590=""),"",True)</f>
        <v/>
      </c>
      <c r="M590" s="1" t="str">
        <f t="shared" si="13"/>
        <v>存在しない</v>
      </c>
      <c r="N590" s="1" t="s">
        <v>29</v>
      </c>
      <c r="O590" s="1"/>
      <c r="P590" s="11"/>
      <c r="Q590" s="11"/>
      <c r="R590" s="11"/>
      <c r="S590" s="11"/>
      <c r="T590" s="1"/>
      <c r="U590" s="1"/>
      <c r="V590" s="1"/>
      <c r="W590" s="1"/>
      <c r="X590" s="1"/>
      <c r="Y590" s="1"/>
      <c r="Z590" s="1"/>
    </row>
    <row r="591" ht="18.0" customHeight="1" outlineLevel="1">
      <c r="A591" s="1"/>
      <c r="B591" s="1"/>
      <c r="C591" s="26" t="s">
        <v>1166</v>
      </c>
      <c r="D591" s="1"/>
      <c r="E591" s="14"/>
      <c r="F591" s="15"/>
      <c r="G591" s="16"/>
      <c r="H591" s="11"/>
      <c r="I591" s="7"/>
      <c r="J591" s="7"/>
      <c r="K591" s="17"/>
      <c r="L591" s="17" t="str">
        <f>IF(OR(COUNTIF('クラス'!$A$1:$A$1267,$B591)&gt;0,$B591="",$M591=""),"",True)</f>
        <v/>
      </c>
      <c r="M591" s="1"/>
      <c r="N591" s="1"/>
      <c r="O591" s="1"/>
      <c r="P591" s="11"/>
      <c r="Q591" s="11"/>
      <c r="R591" s="11"/>
      <c r="S591" s="11"/>
      <c r="T591" s="1"/>
      <c r="U591" s="1"/>
      <c r="V591" s="1"/>
      <c r="W591" s="1"/>
      <c r="X591" s="1"/>
      <c r="Y591" s="1"/>
      <c r="Z591" s="1"/>
    </row>
    <row r="592" ht="18.0" customHeight="1" outlineLevel="2">
      <c r="A592" s="1"/>
      <c r="B592" s="1" t="s">
        <v>1167</v>
      </c>
      <c r="C592" s="1"/>
      <c r="D592" s="1"/>
      <c r="E592" s="14"/>
      <c r="F592" s="15"/>
      <c r="G592" s="16"/>
      <c r="H592" s="11"/>
      <c r="I592" s="7"/>
      <c r="J592" s="7" t="str">
        <f>IFERROR(LET(_xlpm.v,
VLOOKUP($I592,'用語辞書'!$A:$B,COLUMN('用語辞書'!B$1),FALSE),
IF(_xlpm.v=0,"",_xlpm.v)
),"")</f>
        <v/>
      </c>
      <c r="K592" s="17"/>
      <c r="L592" s="17" t="str">
        <f>IF(OR(COUNTIF('クラス'!$A$1:$A$1267,$B592)&gt;0,$B592="",$M592=""),"",True)</f>
        <v/>
      </c>
      <c r="M592" s="1" t="str">
        <f t="shared" ref="M592:M615" si="14">IF(COUNTIF($B$1:$C591, $B592), "", "存在しない")</f>
        <v>存在しない</v>
      </c>
      <c r="N592" s="1" t="s">
        <v>29</v>
      </c>
      <c r="O592" s="1"/>
      <c r="P592" s="11"/>
      <c r="Q592" s="11"/>
      <c r="R592" s="11"/>
      <c r="S592" s="11"/>
      <c r="T592" s="1"/>
      <c r="U592" s="1"/>
      <c r="V592" s="1"/>
      <c r="W592" s="1"/>
      <c r="X592" s="1"/>
      <c r="Y592" s="1"/>
      <c r="Z592" s="1"/>
    </row>
    <row r="593" ht="18.0" customHeight="1" outlineLevel="3">
      <c r="A593" s="1">
        <v>1.0</v>
      </c>
      <c r="B593" s="26" t="s">
        <v>1168</v>
      </c>
      <c r="C593" s="1"/>
      <c r="D593" s="26" t="s">
        <v>783</v>
      </c>
      <c r="E593" s="29" t="s">
        <v>33</v>
      </c>
      <c r="F593" s="15"/>
      <c r="G593" s="16"/>
      <c r="H593" s="22" t="s">
        <v>1169</v>
      </c>
      <c r="I593" s="7"/>
      <c r="J593" s="7" t="str">
        <f>IFERROR(LET(_xlpm.v,
VLOOKUP($I593,'用語辞書'!$A:$B,COLUMN('用語辞書'!B$1),FALSE),
IF(_xlpm.v=0,"",_xlpm.v)
),"")</f>
        <v/>
      </c>
      <c r="K593" s="17"/>
      <c r="L593" s="17" t="b">
        <f>IF(OR(COUNTIF('クラス'!$A$1:$A$1267,$B593)&gt;0,$B593="",$M593=""),"",True)</f>
        <v>1</v>
      </c>
      <c r="M593" s="1" t="str">
        <f t="shared" si="14"/>
        <v>存在しない</v>
      </c>
      <c r="N593" s="1" t="s">
        <v>29</v>
      </c>
      <c r="O593" s="1"/>
      <c r="P593" s="11"/>
      <c r="Q593" s="11"/>
      <c r="R593" s="11"/>
      <c r="S593" s="11"/>
      <c r="T593" s="1"/>
      <c r="U593" s="1"/>
      <c r="V593" s="1"/>
      <c r="W593" s="1"/>
      <c r="X593" s="1"/>
      <c r="Y593" s="1"/>
      <c r="Z593" s="1"/>
    </row>
    <row r="594" ht="18.0" customHeight="1" outlineLevel="3">
      <c r="A594" s="1">
        <v>2.0</v>
      </c>
      <c r="B594" s="26" t="s">
        <v>847</v>
      </c>
      <c r="C594" s="1"/>
      <c r="D594" s="1"/>
      <c r="E594" s="14"/>
      <c r="F594" s="15"/>
      <c r="G594" s="16"/>
      <c r="H594" s="11"/>
      <c r="I594" s="7"/>
      <c r="J594" s="7" t="str">
        <f>IFERROR(LET(_xlpm.v,
VLOOKUP($I594,'用語辞書'!$A:$B,COLUMN('用語辞書'!B$1),FALSE),
IF(_xlpm.v=0,"",_xlpm.v)
),"")</f>
        <v/>
      </c>
      <c r="K594" s="17"/>
      <c r="L594" s="17" t="str">
        <f>IF(OR(COUNTIF('クラス'!$A$1:$A$1267,$B594)&gt;0,$B594="",$M594=""),"",True)</f>
        <v/>
      </c>
      <c r="M594" s="1" t="str">
        <f t="shared" si="14"/>
        <v/>
      </c>
      <c r="N594" s="1" t="s">
        <v>29</v>
      </c>
      <c r="O594" s="1"/>
      <c r="P594" s="11"/>
      <c r="Q594" s="11"/>
      <c r="R594" s="11"/>
      <c r="S594" s="11"/>
      <c r="T594" s="1"/>
      <c r="U594" s="1"/>
      <c r="V594" s="1"/>
      <c r="W594" s="1"/>
      <c r="X594" s="1"/>
      <c r="Y594" s="1"/>
      <c r="Z594" s="1"/>
    </row>
    <row r="595" ht="18.0" customHeight="1" outlineLevel="3">
      <c r="A595" s="1">
        <v>3.0</v>
      </c>
      <c r="B595" s="26" t="s">
        <v>1170</v>
      </c>
      <c r="C595" s="1"/>
      <c r="D595" s="1"/>
      <c r="E595" s="29" t="s">
        <v>55</v>
      </c>
      <c r="F595" s="15"/>
      <c r="G595" s="16"/>
      <c r="H595" s="22" t="s">
        <v>1171</v>
      </c>
      <c r="I595" s="7"/>
      <c r="J595" s="7" t="str">
        <f>IFERROR(LET(_xlpm.v,
VLOOKUP($I595,'用語辞書'!$A:$B,COLUMN('用語辞書'!B$1),FALSE),
IF(_xlpm.v=0,"",_xlpm.v)
),"")</f>
        <v/>
      </c>
      <c r="K595" s="17"/>
      <c r="L595" s="17" t="b">
        <f>IF(OR(COUNTIF('クラス'!$A$1:$A$1267,$B595)&gt;0,$B595="",$M595=""),"",True)</f>
        <v>1</v>
      </c>
      <c r="M595" s="1" t="str">
        <f t="shared" si="14"/>
        <v>存在しない</v>
      </c>
      <c r="N595" s="1" t="s">
        <v>29</v>
      </c>
      <c r="O595" s="1"/>
      <c r="P595" s="11"/>
      <c r="Q595" s="11"/>
      <c r="R595" s="11"/>
      <c r="S595" s="11"/>
      <c r="T595" s="1"/>
      <c r="U595" s="1"/>
      <c r="V595" s="1"/>
      <c r="W595" s="1"/>
      <c r="X595" s="1"/>
      <c r="Y595" s="1"/>
      <c r="Z595" s="1"/>
    </row>
    <row r="596" ht="18.0" customHeight="1" outlineLevel="3">
      <c r="A596" s="1">
        <v>4.0</v>
      </c>
      <c r="B596" s="1"/>
      <c r="C596" s="1"/>
      <c r="D596" s="1"/>
      <c r="E596" s="14"/>
      <c r="F596" s="15"/>
      <c r="G596" s="16"/>
      <c r="H596" s="11"/>
      <c r="I596" s="7"/>
      <c r="J596" s="7" t="str">
        <f>IFERROR(LET(_xlpm.v,
VLOOKUP($I596,'用語辞書'!$A:$B,COLUMN('用語辞書'!B$1),FALSE),
IF(_xlpm.v=0,"",_xlpm.v)
),"")</f>
        <v/>
      </c>
      <c r="K596" s="17"/>
      <c r="L596" s="17" t="str">
        <f>IF(OR(COUNTIF('クラス'!$A$1:$A$1267,$B596)&gt;0,$B596="",$M596=""),"",True)</f>
        <v/>
      </c>
      <c r="M596" s="1" t="str">
        <f t="shared" si="14"/>
        <v>存在しない</v>
      </c>
      <c r="N596" s="1" t="s">
        <v>29</v>
      </c>
      <c r="O596" s="1"/>
      <c r="P596" s="11"/>
      <c r="Q596" s="11"/>
      <c r="R596" s="11"/>
      <c r="S596" s="11"/>
      <c r="T596" s="1"/>
      <c r="U596" s="1"/>
      <c r="V596" s="1"/>
      <c r="W596" s="1"/>
      <c r="X596" s="1"/>
      <c r="Y596" s="1"/>
      <c r="Z596" s="1"/>
    </row>
    <row r="597" ht="18.0" customHeight="1" outlineLevel="2" collapsed="1">
      <c r="A597" s="1">
        <v>5.0</v>
      </c>
      <c r="B597" s="26" t="s">
        <v>851</v>
      </c>
      <c r="C597" s="1"/>
      <c r="D597" s="1"/>
      <c r="E597" s="14"/>
      <c r="F597" s="15"/>
      <c r="G597" s="16"/>
      <c r="H597" s="11"/>
      <c r="I597" s="7"/>
      <c r="J597" s="7" t="str">
        <f>IFERROR(LET(_xlpm.v,
VLOOKUP($I597,'用語辞書'!$A:$B,COLUMN('用語辞書'!B$1),FALSE),
IF(_xlpm.v=0,"",_xlpm.v)
),"")</f>
        <v/>
      </c>
      <c r="K597" s="17"/>
      <c r="L597" s="17" t="str">
        <f>IF(OR(COUNTIF('クラス'!$A$1:$A$1267,$B597)&gt;0,$B597="",$M597=""),"",True)</f>
        <v/>
      </c>
      <c r="M597" s="1" t="str">
        <f t="shared" si="14"/>
        <v/>
      </c>
      <c r="N597" s="1" t="s">
        <v>29</v>
      </c>
      <c r="O597" s="1"/>
      <c r="P597" s="11"/>
      <c r="Q597" s="11"/>
      <c r="R597" s="11"/>
      <c r="S597" s="11"/>
      <c r="T597" s="1"/>
      <c r="U597" s="1"/>
      <c r="V597" s="1"/>
      <c r="W597" s="1"/>
      <c r="X597" s="1"/>
      <c r="Y597" s="1"/>
      <c r="Z597" s="1"/>
    </row>
    <row r="598" ht="18.0" customHeight="1" outlineLevel="2">
      <c r="A598" s="1">
        <v>6.0</v>
      </c>
      <c r="B598" s="26" t="s">
        <v>1172</v>
      </c>
      <c r="C598" s="1"/>
      <c r="D598" s="1"/>
      <c r="E598" s="29" t="s">
        <v>55</v>
      </c>
      <c r="F598" s="15"/>
      <c r="G598" s="16"/>
      <c r="H598" s="22" t="s">
        <v>1173</v>
      </c>
      <c r="I598" s="7"/>
      <c r="J598" s="7" t="str">
        <f>IFERROR(LET(_xlpm.v,
VLOOKUP($I598,'用語辞書'!$A:$B,COLUMN('用語辞書'!B$1),FALSE),
IF(_xlpm.v=0,"",_xlpm.v)
),"")</f>
        <v/>
      </c>
      <c r="K598" s="17"/>
      <c r="L598" s="17" t="b">
        <f>IF(OR(COUNTIF('クラス'!$A$1:$A$1267,$B598)&gt;0,$B598="",$M598=""),"",True)</f>
        <v>1</v>
      </c>
      <c r="M598" s="1" t="str">
        <f t="shared" si="14"/>
        <v>存在しない</v>
      </c>
      <c r="N598" s="1" t="s">
        <v>29</v>
      </c>
      <c r="O598" s="1"/>
      <c r="P598" s="11"/>
      <c r="Q598" s="11"/>
      <c r="R598" s="11"/>
      <c r="S598" s="11"/>
      <c r="T598" s="1"/>
      <c r="U598" s="1"/>
      <c r="V598" s="1"/>
      <c r="W598" s="1"/>
      <c r="X598" s="1"/>
      <c r="Y598" s="1"/>
      <c r="Z598" s="1"/>
    </row>
    <row r="599" ht="18.0" customHeight="1" outlineLevel="3">
      <c r="A599" s="1">
        <v>7.0</v>
      </c>
      <c r="B599" s="26"/>
      <c r="C599" s="1"/>
      <c r="D599" s="1"/>
      <c r="E599" s="14"/>
      <c r="F599" s="15"/>
      <c r="G599" s="16"/>
      <c r="H599" s="11"/>
      <c r="I599" s="7"/>
      <c r="J599" s="7" t="str">
        <f>IFERROR(LET(_xlpm.v,
VLOOKUP($I599,'用語辞書'!$A:$B,COLUMN('用語辞書'!B$1),FALSE),
IF(_xlpm.v=0,"",_xlpm.v)
),"")</f>
        <v/>
      </c>
      <c r="K599" s="17"/>
      <c r="L599" s="17" t="str">
        <f>IF(OR(COUNTIF('クラス'!$A$1:$A$1267,$B599)&gt;0,$B599="",$M599=""),"",True)</f>
        <v/>
      </c>
      <c r="M599" s="1" t="str">
        <f t="shared" si="14"/>
        <v>存在しない</v>
      </c>
      <c r="N599" s="1" t="s">
        <v>29</v>
      </c>
      <c r="O599" s="1"/>
      <c r="P599" s="11"/>
      <c r="Q599" s="11"/>
      <c r="R599" s="11"/>
      <c r="S599" s="11"/>
      <c r="T599" s="1"/>
      <c r="U599" s="1"/>
      <c r="V599" s="1"/>
      <c r="W599" s="1"/>
      <c r="X599" s="1"/>
      <c r="Y599" s="1"/>
      <c r="Z599" s="1"/>
    </row>
    <row r="600" ht="18.0" customHeight="1" outlineLevel="3">
      <c r="A600" s="1">
        <v>8.0</v>
      </c>
      <c r="B600" s="1"/>
      <c r="C600" s="1"/>
      <c r="D600" s="1"/>
      <c r="E600" s="14"/>
      <c r="F600" s="15"/>
      <c r="G600" s="16"/>
      <c r="H600" s="11"/>
      <c r="I600" s="7"/>
      <c r="J600" s="7" t="str">
        <f>IFERROR(LET(_xlpm.v,
VLOOKUP($I600,'用語辞書'!$A:$B,COLUMN('用語辞書'!B$1),FALSE),
IF(_xlpm.v=0,"",_xlpm.v)
),"")</f>
        <v/>
      </c>
      <c r="K600" s="17"/>
      <c r="L600" s="17" t="str">
        <f>IF(OR(COUNTIF('クラス'!$A$1:$A$1267,$B600)&gt;0,$B600="",$M600=""),"",True)</f>
        <v/>
      </c>
      <c r="M600" s="1" t="str">
        <f t="shared" si="14"/>
        <v>存在しない</v>
      </c>
      <c r="N600" s="1" t="s">
        <v>29</v>
      </c>
      <c r="O600" s="1"/>
      <c r="P600" s="11"/>
      <c r="Q600" s="11"/>
      <c r="R600" s="11"/>
      <c r="S600" s="11"/>
      <c r="T600" s="1"/>
      <c r="U600" s="1"/>
      <c r="V600" s="1"/>
      <c r="W600" s="1"/>
      <c r="X600" s="1"/>
      <c r="Y600" s="1"/>
      <c r="Z600" s="1"/>
    </row>
    <row r="601" ht="18.0" customHeight="1" outlineLevel="3">
      <c r="A601" s="1">
        <v>9.0</v>
      </c>
      <c r="B601" s="26" t="s">
        <v>1174</v>
      </c>
      <c r="C601" s="1"/>
      <c r="D601" s="1"/>
      <c r="E601" s="29" t="s">
        <v>55</v>
      </c>
      <c r="F601" s="15"/>
      <c r="G601" s="16"/>
      <c r="H601" s="22" t="s">
        <v>1175</v>
      </c>
      <c r="I601" s="7"/>
      <c r="J601" s="7" t="str">
        <f>IFERROR(LET(_xlpm.v,
VLOOKUP($I601,'用語辞書'!$A:$B,COLUMN('用語辞書'!B$1),FALSE),
IF(_xlpm.v=0,"",_xlpm.v)
),"")</f>
        <v/>
      </c>
      <c r="K601" s="17"/>
      <c r="L601" s="17" t="b">
        <f>IF(OR(COUNTIF('クラス'!$A$1:$A$1267,$B601)&gt;0,$B601="",$M601=""),"",True)</f>
        <v>1</v>
      </c>
      <c r="M601" s="1" t="str">
        <f t="shared" si="14"/>
        <v>存在しない</v>
      </c>
      <c r="N601" s="1" t="s">
        <v>29</v>
      </c>
      <c r="O601" s="1"/>
      <c r="P601" s="11"/>
      <c r="Q601" s="11"/>
      <c r="R601" s="11"/>
      <c r="S601" s="11"/>
      <c r="T601" s="1"/>
      <c r="U601" s="1"/>
      <c r="V601" s="1"/>
      <c r="W601" s="1"/>
      <c r="X601" s="1"/>
      <c r="Y601" s="1"/>
      <c r="Z601" s="1"/>
    </row>
    <row r="602" ht="18.0" customHeight="1" outlineLevel="3">
      <c r="A602" s="1">
        <v>10.0</v>
      </c>
      <c r="B602" s="26" t="s">
        <v>196</v>
      </c>
      <c r="C602" s="1"/>
      <c r="D602" s="1"/>
      <c r="E602" s="14"/>
      <c r="F602" s="15"/>
      <c r="G602" s="16"/>
      <c r="H602" s="11"/>
      <c r="I602" s="7"/>
      <c r="J602" s="7" t="str">
        <f>IFERROR(LET(_xlpm.v,
VLOOKUP($I602,'用語辞書'!$A:$B,COLUMN('用語辞書'!B$1),FALSE),
IF(_xlpm.v=0,"",_xlpm.v)
),"")</f>
        <v/>
      </c>
      <c r="K602" s="17"/>
      <c r="L602" s="17" t="str">
        <f>IF(OR(COUNTIF('クラス'!$A$1:$A$1267,$B602)&gt;0,$B602="",$M602=""),"",True)</f>
        <v/>
      </c>
      <c r="M602" s="1" t="str">
        <f t="shared" si="14"/>
        <v/>
      </c>
      <c r="N602" s="1" t="s">
        <v>29</v>
      </c>
      <c r="O602" s="1"/>
      <c r="P602" s="11"/>
      <c r="Q602" s="11"/>
      <c r="R602" s="11"/>
      <c r="S602" s="11"/>
      <c r="T602" s="1"/>
      <c r="U602" s="1"/>
      <c r="V602" s="1"/>
      <c r="W602" s="1"/>
      <c r="X602" s="1"/>
      <c r="Y602" s="1"/>
      <c r="Z602" s="1"/>
    </row>
    <row r="603" ht="18.0" customHeight="1" outlineLevel="2">
      <c r="A603" s="1"/>
      <c r="B603" s="1"/>
      <c r="C603" s="1"/>
      <c r="D603" s="1"/>
      <c r="E603" s="14"/>
      <c r="F603" s="15"/>
      <c r="G603" s="16"/>
      <c r="H603" s="11"/>
      <c r="I603" s="7"/>
      <c r="J603" s="7" t="str">
        <f>IFERROR(LET(_xlpm.v,
VLOOKUP($I603,'用語辞書'!$A:$B,COLUMN('用語辞書'!B$1),FALSE),
IF(_xlpm.v=0,"",_xlpm.v)
),"")</f>
        <v/>
      </c>
      <c r="K603" s="17"/>
      <c r="L603" s="17" t="str">
        <f>IF(OR(COUNTIF('クラス'!$A$1:$A$1267,$B603)&gt;0,$B603="",$M603=""),"",True)</f>
        <v/>
      </c>
      <c r="M603" s="1" t="str">
        <f t="shared" si="14"/>
        <v>存在しない</v>
      </c>
      <c r="N603" s="1" t="s">
        <v>29</v>
      </c>
      <c r="O603" s="1"/>
      <c r="P603" s="11"/>
      <c r="Q603" s="11"/>
      <c r="R603" s="11"/>
      <c r="S603" s="11"/>
      <c r="T603" s="1"/>
      <c r="U603" s="1"/>
      <c r="V603" s="1"/>
      <c r="W603" s="1"/>
      <c r="X603" s="1"/>
      <c r="Y603" s="1"/>
      <c r="Z603" s="1"/>
    </row>
    <row r="604" ht="18.0" customHeight="1" outlineLevel="2">
      <c r="A604" s="1"/>
      <c r="B604" s="1" t="s">
        <v>1176</v>
      </c>
      <c r="C604" s="1"/>
      <c r="D604" s="1"/>
      <c r="E604" s="14"/>
      <c r="F604" s="15"/>
      <c r="G604" s="16"/>
      <c r="H604" s="11"/>
      <c r="I604" s="7"/>
      <c r="J604" s="7" t="str">
        <f>IFERROR(LET(_xlpm.v,
VLOOKUP($I604,'用語辞書'!$A:$B,COLUMN('用語辞書'!B$1),FALSE),
IF(_xlpm.v=0,"",_xlpm.v)
),"")</f>
        <v/>
      </c>
      <c r="K604" s="17"/>
      <c r="L604" s="17" t="str">
        <f>IF(OR(COUNTIF('クラス'!$A$1:$A$1267,$B604)&gt;0,$B604="",$M604=""),"",True)</f>
        <v/>
      </c>
      <c r="M604" s="1" t="str">
        <f t="shared" si="14"/>
        <v>存在しない</v>
      </c>
      <c r="N604" s="1" t="s">
        <v>29</v>
      </c>
      <c r="O604" s="1"/>
      <c r="P604" s="11"/>
      <c r="Q604" s="11"/>
      <c r="R604" s="11"/>
      <c r="S604" s="11"/>
      <c r="T604" s="1"/>
      <c r="U604" s="1"/>
      <c r="V604" s="1"/>
      <c r="W604" s="1"/>
      <c r="X604" s="1"/>
      <c r="Y604" s="1"/>
      <c r="Z604" s="1"/>
    </row>
    <row r="605" ht="18.0" customHeight="1" outlineLevel="3">
      <c r="A605" s="1">
        <v>1.0</v>
      </c>
      <c r="B605" s="26" t="s">
        <v>1108</v>
      </c>
      <c r="C605" s="1"/>
      <c r="D605" s="1"/>
      <c r="E605" s="14"/>
      <c r="F605" s="15"/>
      <c r="G605" s="16"/>
      <c r="H605" s="11"/>
      <c r="I605" s="7"/>
      <c r="J605" s="7" t="str">
        <f>IFERROR(LET(_xlpm.v,
VLOOKUP($I605,'用語辞書'!$A:$B,COLUMN('用語辞書'!B$1),FALSE),
IF(_xlpm.v=0,"",_xlpm.v)
),"")</f>
        <v/>
      </c>
      <c r="K605" s="17"/>
      <c r="L605" s="17" t="str">
        <f>IF(OR(COUNTIF('クラス'!$A$1:$A$1267,$B605)&gt;0,$B605="",$M605=""),"",True)</f>
        <v/>
      </c>
      <c r="M605" s="1" t="str">
        <f t="shared" si="14"/>
        <v/>
      </c>
      <c r="N605" s="1" t="s">
        <v>29</v>
      </c>
      <c r="O605" s="1"/>
      <c r="P605" s="11"/>
      <c r="Q605" s="11"/>
      <c r="R605" s="11"/>
      <c r="S605" s="11"/>
      <c r="T605" s="1"/>
      <c r="U605" s="1"/>
      <c r="V605" s="1"/>
      <c r="W605" s="1"/>
      <c r="X605" s="1"/>
      <c r="Y605" s="1"/>
      <c r="Z605" s="1"/>
    </row>
    <row r="606" ht="18.0" customHeight="1" outlineLevel="3">
      <c r="A606" s="1">
        <v>2.0</v>
      </c>
      <c r="B606" s="26" t="s">
        <v>1168</v>
      </c>
      <c r="C606" s="1"/>
      <c r="D606" s="1"/>
      <c r="E606" s="14"/>
      <c r="F606" s="15"/>
      <c r="G606" s="16"/>
      <c r="H606" s="11"/>
      <c r="I606" s="7"/>
      <c r="J606" s="7" t="str">
        <f>IFERROR(LET(_xlpm.v,
VLOOKUP($I606,'用語辞書'!$A:$B,COLUMN('用語辞書'!B$1),FALSE),
IF(_xlpm.v=0,"",_xlpm.v)
),"")</f>
        <v/>
      </c>
      <c r="K606" s="17"/>
      <c r="L606" s="17" t="str">
        <f>IF(OR(COUNTIF('クラス'!$A$1:$A$1267,$B606)&gt;0,$B606="",$M606=""),"",True)</f>
        <v/>
      </c>
      <c r="M606" s="1" t="str">
        <f t="shared" si="14"/>
        <v/>
      </c>
      <c r="N606" s="1" t="s">
        <v>29</v>
      </c>
      <c r="O606" s="1"/>
      <c r="P606" s="11"/>
      <c r="Q606" s="11"/>
      <c r="R606" s="11"/>
      <c r="S606" s="11"/>
      <c r="T606" s="1"/>
      <c r="U606" s="1"/>
      <c r="V606" s="1"/>
      <c r="W606" s="1"/>
      <c r="X606" s="1"/>
      <c r="Y606" s="1"/>
      <c r="Z606" s="1"/>
    </row>
    <row r="607" ht="18.0" customHeight="1" outlineLevel="3">
      <c r="A607" s="1">
        <v>3.0</v>
      </c>
      <c r="B607" s="26" t="s">
        <v>1120</v>
      </c>
      <c r="C607" s="1"/>
      <c r="D607" s="1"/>
      <c r="E607" s="14"/>
      <c r="F607" s="15"/>
      <c r="G607" s="16"/>
      <c r="H607" s="11"/>
      <c r="I607" s="7"/>
      <c r="J607" s="7" t="str">
        <f>IFERROR(LET(_xlpm.v,
VLOOKUP($I607,'用語辞書'!$A:$B,COLUMN('用語辞書'!B$1),FALSE),
IF(_xlpm.v=0,"",_xlpm.v)
),"")</f>
        <v/>
      </c>
      <c r="K607" s="17"/>
      <c r="L607" s="17" t="str">
        <f>IF(OR(COUNTIF('クラス'!$A$1:$A$1267,$B607)&gt;0,$B607="",$M607=""),"",True)</f>
        <v/>
      </c>
      <c r="M607" s="1" t="str">
        <f t="shared" si="14"/>
        <v/>
      </c>
      <c r="N607" s="1" t="s">
        <v>29</v>
      </c>
      <c r="O607" s="1"/>
      <c r="P607" s="11"/>
      <c r="Q607" s="11"/>
      <c r="R607" s="11"/>
      <c r="S607" s="11"/>
      <c r="T607" s="1"/>
      <c r="U607" s="1"/>
      <c r="V607" s="1"/>
      <c r="W607" s="1"/>
      <c r="X607" s="1"/>
      <c r="Y607" s="1"/>
      <c r="Z607" s="1"/>
    </row>
    <row r="608" ht="18.0" customHeight="1" outlineLevel="3">
      <c r="A608" s="1">
        <v>4.0</v>
      </c>
      <c r="B608" s="1"/>
      <c r="C608" s="1"/>
      <c r="D608" s="1"/>
      <c r="E608" s="14"/>
      <c r="F608" s="15"/>
      <c r="G608" s="16"/>
      <c r="H608" s="11"/>
      <c r="I608" s="7"/>
      <c r="J608" s="7" t="str">
        <f>IFERROR(LET(_xlpm.v,
VLOOKUP($I608,'用語辞書'!$A:$B,COLUMN('用語辞書'!B$1),FALSE),
IF(_xlpm.v=0,"",_xlpm.v)
),"")</f>
        <v/>
      </c>
      <c r="K608" s="17"/>
      <c r="L608" s="17" t="str">
        <f>IF(OR(COUNTIF('クラス'!$A$1:$A$1267,$B608)&gt;0,$B608="",$M608=""),"",True)</f>
        <v/>
      </c>
      <c r="M608" s="1" t="str">
        <f t="shared" si="14"/>
        <v>存在しない</v>
      </c>
      <c r="N608" s="1" t="s">
        <v>29</v>
      </c>
      <c r="O608" s="1"/>
      <c r="P608" s="11"/>
      <c r="Q608" s="11"/>
      <c r="R608" s="11"/>
      <c r="S608" s="11"/>
      <c r="T608" s="1"/>
      <c r="U608" s="1"/>
      <c r="V608" s="1"/>
      <c r="W608" s="1"/>
      <c r="X608" s="1"/>
      <c r="Y608" s="1"/>
      <c r="Z608" s="1"/>
    </row>
    <row r="609" ht="18.0" customHeight="1" outlineLevel="3">
      <c r="A609" s="1">
        <v>5.0</v>
      </c>
      <c r="B609" s="26" t="s">
        <v>1177</v>
      </c>
      <c r="C609" s="1"/>
      <c r="D609" s="1"/>
      <c r="E609" s="14"/>
      <c r="F609" s="15"/>
      <c r="G609" s="16"/>
      <c r="H609" s="11"/>
      <c r="I609" s="7"/>
      <c r="J609" s="7" t="str">
        <f>IFERROR(LET(_xlpm.v,
VLOOKUP($I609,'用語辞書'!$A:$B,COLUMN('用語辞書'!B$1),FALSE),
IF(_xlpm.v=0,"",_xlpm.v)
),"")</f>
        <v/>
      </c>
      <c r="K609" s="17"/>
      <c r="L609" s="17" t="b">
        <f>IF(OR(COUNTIF('クラス'!$A$1:$A$1267,$B609)&gt;0,$B609="",$M609=""),"",True)</f>
        <v>1</v>
      </c>
      <c r="M609" s="1" t="str">
        <f t="shared" si="14"/>
        <v>存在しない</v>
      </c>
      <c r="N609" s="1" t="s">
        <v>29</v>
      </c>
      <c r="O609" s="1"/>
      <c r="P609" s="11"/>
      <c r="Q609" s="11"/>
      <c r="R609" s="11"/>
      <c r="S609" s="11"/>
      <c r="T609" s="1"/>
      <c r="U609" s="1"/>
      <c r="V609" s="1"/>
      <c r="W609" s="1"/>
      <c r="X609" s="1"/>
      <c r="Y609" s="1"/>
      <c r="Z609" s="1"/>
    </row>
    <row r="610" ht="18.0" customHeight="1" outlineLevel="2" collapsed="1">
      <c r="A610" s="1">
        <v>6.0</v>
      </c>
      <c r="B610" s="1"/>
      <c r="C610" s="1"/>
      <c r="D610" s="1"/>
      <c r="E610" s="14"/>
      <c r="F610" s="15"/>
      <c r="G610" s="16"/>
      <c r="H610" s="11"/>
      <c r="I610" s="7"/>
      <c r="J610" s="7" t="str">
        <f>IFERROR(LET(_xlpm.v,
VLOOKUP($I610,'用語辞書'!$A:$B,COLUMN('用語辞書'!B$1),FALSE),
IF(_xlpm.v=0,"",_xlpm.v)
),"")</f>
        <v/>
      </c>
      <c r="K610" s="17"/>
      <c r="L610" s="17" t="str">
        <f>IF(OR(COUNTIF('クラス'!$A$1:$A$1267,$B610)&gt;0,$B610="",$M610=""),"",True)</f>
        <v/>
      </c>
      <c r="M610" s="1" t="str">
        <f t="shared" si="14"/>
        <v>存在しない</v>
      </c>
      <c r="N610" s="1" t="s">
        <v>29</v>
      </c>
      <c r="O610" s="1"/>
      <c r="P610" s="11"/>
      <c r="Q610" s="11"/>
      <c r="R610" s="11"/>
      <c r="S610" s="11"/>
      <c r="T610" s="1"/>
      <c r="U610" s="1"/>
      <c r="V610" s="1"/>
      <c r="W610" s="1"/>
      <c r="X610" s="1"/>
      <c r="Y610" s="1"/>
      <c r="Z610" s="1"/>
    </row>
    <row r="611" ht="18.0" customHeight="1" outlineLevel="2">
      <c r="A611" s="1">
        <v>7.0</v>
      </c>
      <c r="B611" s="26" t="s">
        <v>1116</v>
      </c>
      <c r="C611" s="1"/>
      <c r="D611" s="1"/>
      <c r="E611" s="14"/>
      <c r="F611" s="15"/>
      <c r="G611" s="16"/>
      <c r="H611" s="11"/>
      <c r="I611" s="7"/>
      <c r="J611" s="7" t="str">
        <f>IFERROR(LET(_xlpm.v,
VLOOKUP($I611,'用語辞書'!$A:$B,COLUMN('用語辞書'!B$1),FALSE),
IF(_xlpm.v=0,"",_xlpm.v)
),"")</f>
        <v/>
      </c>
      <c r="K611" s="17"/>
      <c r="L611" s="17" t="str">
        <f>IF(OR(COUNTIF('クラス'!$A$1:$A$1267,$B611)&gt;0,$B611="",$M611=""),"",True)</f>
        <v/>
      </c>
      <c r="M611" s="1" t="str">
        <f t="shared" si="14"/>
        <v/>
      </c>
      <c r="N611" s="1" t="s">
        <v>29</v>
      </c>
      <c r="O611" s="1"/>
      <c r="P611" s="11"/>
      <c r="Q611" s="11"/>
      <c r="R611" s="11"/>
      <c r="S611" s="11"/>
      <c r="T611" s="1"/>
      <c r="U611" s="1"/>
      <c r="V611" s="1"/>
      <c r="W611" s="1"/>
      <c r="X611" s="1"/>
      <c r="Y611" s="1"/>
      <c r="Z611" s="1"/>
    </row>
    <row r="612" ht="18.0" customHeight="1" outlineLevel="3">
      <c r="A612" s="1">
        <v>8.0</v>
      </c>
      <c r="B612" s="1"/>
      <c r="C612" s="1"/>
      <c r="D612" s="1"/>
      <c r="E612" s="14"/>
      <c r="F612" s="15"/>
      <c r="G612" s="16"/>
      <c r="H612" s="11"/>
      <c r="I612" s="7"/>
      <c r="J612" s="7" t="str">
        <f>IFERROR(LET(_xlpm.v,
VLOOKUP($I612,'用語辞書'!$A:$B,COLUMN('用語辞書'!B$1),FALSE),
IF(_xlpm.v=0,"",_xlpm.v)
),"")</f>
        <v/>
      </c>
      <c r="K612" s="17"/>
      <c r="L612" s="17" t="str">
        <f>IF(OR(COUNTIF('クラス'!$A$1:$A$1267,$B612)&gt;0,$B612="",$M612=""),"",True)</f>
        <v/>
      </c>
      <c r="M612" s="1" t="str">
        <f t="shared" si="14"/>
        <v>存在しない</v>
      </c>
      <c r="N612" s="1" t="s">
        <v>29</v>
      </c>
      <c r="O612" s="1"/>
      <c r="P612" s="11"/>
      <c r="Q612" s="11"/>
      <c r="R612" s="11"/>
      <c r="S612" s="11"/>
      <c r="T612" s="1"/>
      <c r="U612" s="1"/>
      <c r="V612" s="1"/>
      <c r="W612" s="1"/>
      <c r="X612" s="1"/>
      <c r="Y612" s="1"/>
      <c r="Z612" s="1"/>
    </row>
    <row r="613" ht="18.0" customHeight="1" outlineLevel="3">
      <c r="A613" s="1">
        <v>9.0</v>
      </c>
      <c r="B613" s="26" t="s">
        <v>275</v>
      </c>
      <c r="C613" s="1"/>
      <c r="D613" s="1"/>
      <c r="E613" s="14"/>
      <c r="F613" s="15"/>
      <c r="G613" s="16"/>
      <c r="H613" s="11"/>
      <c r="I613" s="7"/>
      <c r="J613" s="7" t="str">
        <f>IFERROR(LET(_xlpm.v,
VLOOKUP($I613,'用語辞書'!$A:$B,COLUMN('用語辞書'!B$1),FALSE),
IF(_xlpm.v=0,"",_xlpm.v)
),"")</f>
        <v/>
      </c>
      <c r="K613" s="17"/>
      <c r="L613" s="17" t="str">
        <f>IF(OR(COUNTIF('クラス'!$A$1:$A$1267,$B613)&gt;0,$B613="",$M613=""),"",True)</f>
        <v/>
      </c>
      <c r="M613" s="1" t="str">
        <f t="shared" si="14"/>
        <v/>
      </c>
      <c r="N613" s="1" t="s">
        <v>29</v>
      </c>
      <c r="O613" s="1"/>
      <c r="P613" s="11"/>
      <c r="Q613" s="11"/>
      <c r="R613" s="11"/>
      <c r="S613" s="11"/>
      <c r="T613" s="1"/>
      <c r="U613" s="1"/>
      <c r="V613" s="1"/>
      <c r="W613" s="1"/>
      <c r="X613" s="1"/>
      <c r="Y613" s="1"/>
      <c r="Z613" s="1"/>
    </row>
    <row r="614" ht="18.0" customHeight="1" outlineLevel="3">
      <c r="A614" s="1">
        <v>10.0</v>
      </c>
      <c r="B614" s="26" t="s">
        <v>1178</v>
      </c>
      <c r="C614" s="1"/>
      <c r="D614" s="26" t="s">
        <v>1179</v>
      </c>
      <c r="E614" s="29" t="s">
        <v>55</v>
      </c>
      <c r="F614" s="15"/>
      <c r="G614" s="16"/>
      <c r="H614" s="22" t="s">
        <v>1180</v>
      </c>
      <c r="I614" s="7"/>
      <c r="J614" s="7" t="str">
        <f>IFERROR(LET(_xlpm.v,
VLOOKUP($I614,'用語辞書'!$A:$B,COLUMN('用語辞書'!B$1),FALSE),
IF(_xlpm.v=0,"",_xlpm.v)
),"")</f>
        <v/>
      </c>
      <c r="K614" s="17"/>
      <c r="L614" s="17" t="b">
        <f>IF(OR(COUNTIF('クラス'!$A$1:$A$1267,$B614)&gt;0,$B614="",$M614=""),"",True)</f>
        <v>1</v>
      </c>
      <c r="M614" s="1" t="str">
        <f t="shared" si="14"/>
        <v>存在しない</v>
      </c>
      <c r="N614" s="1" t="s">
        <v>29</v>
      </c>
      <c r="O614" s="1"/>
      <c r="P614" s="11"/>
      <c r="Q614" s="11"/>
      <c r="R614" s="11"/>
      <c r="S614" s="11"/>
      <c r="T614" s="1"/>
      <c r="U614" s="1"/>
      <c r="V614" s="1"/>
      <c r="W614" s="1"/>
      <c r="X614" s="1"/>
      <c r="Y614" s="1"/>
      <c r="Z614" s="1"/>
    </row>
    <row r="615" ht="18.0" customHeight="1" outlineLevel="1">
      <c r="A615" s="1"/>
      <c r="B615" s="1"/>
      <c r="C615" s="1"/>
      <c r="D615" s="1"/>
      <c r="E615" s="14"/>
      <c r="F615" s="15"/>
      <c r="G615" s="16"/>
      <c r="H615" s="11"/>
      <c r="I615" s="7"/>
      <c r="J615" s="7" t="str">
        <f>IFERROR(LET(_xlpm.v,
VLOOKUP($I615,'用語辞書'!$A:$B,COLUMN('用語辞書'!B$1),FALSE),
IF(_xlpm.v=0,"",_xlpm.v)
),"")</f>
        <v/>
      </c>
      <c r="K615" s="17"/>
      <c r="L615" s="17" t="str">
        <f>IF(OR(COUNTIF('クラス'!$A$1:$A$1267,$B615)&gt;0,$B615="",$M615=""),"",True)</f>
        <v/>
      </c>
      <c r="M615" s="1" t="str">
        <f t="shared" si="14"/>
        <v>存在しない</v>
      </c>
      <c r="N615" s="1" t="s">
        <v>29</v>
      </c>
      <c r="O615" s="1"/>
      <c r="P615" s="11"/>
      <c r="Q615" s="11"/>
      <c r="R615" s="11"/>
      <c r="S615" s="11"/>
      <c r="T615" s="1"/>
      <c r="U615" s="1"/>
      <c r="V615" s="1"/>
      <c r="W615" s="1"/>
      <c r="X615" s="1"/>
      <c r="Y615" s="1"/>
      <c r="Z615" s="1"/>
    </row>
    <row r="616" ht="18.0" customHeight="1" outlineLevel="1">
      <c r="A616" s="1"/>
      <c r="B616" s="1"/>
      <c r="C616" s="26" t="s">
        <v>1181</v>
      </c>
      <c r="D616" s="1"/>
      <c r="E616" s="14"/>
      <c r="F616" s="15"/>
      <c r="G616" s="16"/>
      <c r="H616" s="11"/>
      <c r="I616" s="7"/>
      <c r="J616" s="7"/>
      <c r="K616" s="17"/>
      <c r="L616" s="17" t="str">
        <f>IF(OR(COUNTIF('クラス'!$A$1:$A$1267,$B616)&gt;0,$B616="",$M616=""),"",True)</f>
        <v/>
      </c>
      <c r="M616" s="1"/>
      <c r="N616" s="1"/>
      <c r="O616" s="1"/>
      <c r="P616" s="11"/>
      <c r="Q616" s="11"/>
      <c r="R616" s="11"/>
      <c r="S616" s="11"/>
      <c r="T616" s="1"/>
      <c r="U616" s="1"/>
      <c r="V616" s="1"/>
      <c r="W616" s="1"/>
      <c r="X616" s="1"/>
      <c r="Y616" s="1"/>
      <c r="Z616" s="1"/>
    </row>
    <row r="617" ht="18.0" customHeight="1" outlineLevel="1">
      <c r="A617" s="1"/>
      <c r="B617" s="1" t="s">
        <v>1182</v>
      </c>
      <c r="C617" s="1"/>
      <c r="D617" s="1"/>
      <c r="E617" s="14"/>
      <c r="F617" s="15"/>
      <c r="G617" s="16"/>
      <c r="H617" s="11"/>
      <c r="I617" s="7"/>
      <c r="J617" s="7" t="str">
        <f>IFERROR(LET(_xlpm.v,
VLOOKUP($I617,'用語辞書'!$A:$B,COLUMN('用語辞書'!B$1),FALSE),
IF(_xlpm.v=0,"",_xlpm.v)
),"")</f>
        <v/>
      </c>
      <c r="K617" s="17"/>
      <c r="L617" s="17" t="str">
        <f>IF(OR(COUNTIF('クラス'!$A$1:$A$1267,$B617)&gt;0,$B617="",$M617=""),"",True)</f>
        <v/>
      </c>
      <c r="M617" s="1" t="str">
        <f t="shared" ref="M617:M628" si="15">IF(COUNTIF($B$1:$C616, $B617), "", "存在しない")</f>
        <v>存在しない</v>
      </c>
      <c r="N617" s="1" t="s">
        <v>29</v>
      </c>
      <c r="O617" s="1"/>
      <c r="P617" s="11"/>
      <c r="Q617" s="11"/>
      <c r="R617" s="11"/>
      <c r="S617" s="11"/>
      <c r="T617" s="1"/>
      <c r="U617" s="1"/>
      <c r="V617" s="1"/>
      <c r="W617" s="1"/>
      <c r="X617" s="1"/>
      <c r="Y617" s="1"/>
      <c r="Z617" s="1"/>
    </row>
    <row r="618" ht="18.0" customHeight="1" outlineLevel="2">
      <c r="A618" s="1">
        <v>1.0</v>
      </c>
      <c r="B618" s="26" t="s">
        <v>1183</v>
      </c>
      <c r="C618" s="1" t="s">
        <v>1184</v>
      </c>
      <c r="D618" s="1"/>
      <c r="E618" s="14" t="s">
        <v>33</v>
      </c>
      <c r="F618" s="15"/>
      <c r="G618" s="16">
        <v>100.0</v>
      </c>
      <c r="H618" s="11" t="s">
        <v>1185</v>
      </c>
      <c r="I618" s="7"/>
      <c r="J618" s="7" t="str">
        <f>IFERROR(LET(_xlpm.v,
VLOOKUP($I618,'用語辞書'!$A:$B,COLUMN('用語辞書'!B$1),FALSE),
IF(_xlpm.v=0,"",_xlpm.v)
),"")</f>
        <v/>
      </c>
      <c r="K618" s="17"/>
      <c r="L618" s="17" t="b">
        <f>IF(OR(COUNTIF('クラス'!$A$1:$A$1267,$B618)&gt;0,$B618="",$M618=""),"",True)</f>
        <v>1</v>
      </c>
      <c r="M618" s="1" t="str">
        <f t="shared" si="15"/>
        <v>存在しない</v>
      </c>
      <c r="N618" s="1" t="s">
        <v>29</v>
      </c>
      <c r="O618" s="1"/>
      <c r="P618" s="11"/>
      <c r="Q618" s="11"/>
      <c r="R618" s="11"/>
      <c r="S618" s="11"/>
      <c r="T618" s="1"/>
      <c r="U618" s="1"/>
      <c r="V618" s="1"/>
      <c r="W618" s="1"/>
      <c r="X618" s="1"/>
      <c r="Y618" s="1"/>
      <c r="Z618" s="1"/>
    </row>
    <row r="619" ht="18.0" customHeight="1" outlineLevel="2">
      <c r="A619" s="1">
        <v>2.0</v>
      </c>
      <c r="B619" s="26" t="s">
        <v>898</v>
      </c>
      <c r="C619" s="1"/>
      <c r="D619" s="1"/>
      <c r="E619" s="14"/>
      <c r="F619" s="15"/>
      <c r="G619" s="16"/>
      <c r="H619" s="11"/>
      <c r="I619" s="7"/>
      <c r="J619" s="7" t="str">
        <f>IFERROR(LET(_xlpm.v,
VLOOKUP($I619,'用語辞書'!$A:$B,COLUMN('用語辞書'!B$1),FALSE),
IF(_xlpm.v=0,"",_xlpm.v)
),"")</f>
        <v/>
      </c>
      <c r="K619" s="17"/>
      <c r="L619" s="17" t="str">
        <f>IF(OR(COUNTIF('クラス'!$A$1:$A$1267,$B619)&gt;0,$B619="",$M619=""),"",True)</f>
        <v/>
      </c>
      <c r="M619" s="1" t="str">
        <f t="shared" si="15"/>
        <v/>
      </c>
      <c r="N619" s="1" t="s">
        <v>29</v>
      </c>
      <c r="O619" s="1"/>
      <c r="P619" s="11"/>
      <c r="Q619" s="11"/>
      <c r="R619" s="11"/>
      <c r="S619" s="11"/>
      <c r="T619" s="1"/>
      <c r="U619" s="1"/>
      <c r="V619" s="1"/>
      <c r="W619" s="1"/>
      <c r="X619" s="1"/>
      <c r="Y619" s="1"/>
      <c r="Z619" s="1"/>
    </row>
    <row r="620" ht="18.0" customHeight="1" outlineLevel="2">
      <c r="A620" s="1">
        <v>3.0</v>
      </c>
      <c r="B620" s="26" t="s">
        <v>1186</v>
      </c>
      <c r="C620" s="1"/>
      <c r="D620" s="1"/>
      <c r="E620" s="14" t="s">
        <v>55</v>
      </c>
      <c r="F620" s="15"/>
      <c r="G620" s="16"/>
      <c r="H620" s="11" t="s">
        <v>1187</v>
      </c>
      <c r="I620" s="7"/>
      <c r="J620" s="7" t="str">
        <f>IFERROR(LET(_xlpm.v,
VLOOKUP($I620,'用語辞書'!$A:$B,COLUMN('用語辞書'!B$1),FALSE),
IF(_xlpm.v=0,"",_xlpm.v)
),"")</f>
        <v/>
      </c>
      <c r="K620" s="17"/>
      <c r="L620" s="17" t="b">
        <f>IF(OR(COUNTIF('クラス'!$A$1:$A$1267,$B620)&gt;0,$B620="",$M620=""),"",True)</f>
        <v>1</v>
      </c>
      <c r="M620" s="1" t="str">
        <f t="shared" si="15"/>
        <v>存在しない</v>
      </c>
      <c r="N620" s="1" t="e">
        <v>#VALUE!</v>
      </c>
      <c r="O620" s="1"/>
      <c r="P620" s="11"/>
      <c r="Q620" s="11"/>
      <c r="R620" s="11"/>
      <c r="S620" s="11"/>
      <c r="T620" s="1"/>
      <c r="U620" s="1"/>
      <c r="V620" s="1"/>
      <c r="W620" s="1"/>
      <c r="X620" s="1"/>
      <c r="Y620" s="1"/>
      <c r="Z620" s="1"/>
    </row>
    <row r="621" ht="18.0" customHeight="1" outlineLevel="2">
      <c r="A621" s="1">
        <v>4.0</v>
      </c>
      <c r="B621" s="1"/>
      <c r="C621" s="1"/>
      <c r="D621" s="1"/>
      <c r="E621" s="14"/>
      <c r="F621" s="15"/>
      <c r="G621" s="16"/>
      <c r="H621" s="11"/>
      <c r="I621" s="7"/>
      <c r="J621" s="7" t="str">
        <f>IFERROR(LET(_xlpm.v,
VLOOKUP($I621,'用語辞書'!$A:$B,COLUMN('用語辞書'!B$1),FALSE),
IF(_xlpm.v=0,"",_xlpm.v)
),"")</f>
        <v/>
      </c>
      <c r="K621" s="17"/>
      <c r="L621" s="17" t="str">
        <f>IF(OR(COUNTIF('クラス'!$A$1:$A$1267,$B621)&gt;0,$B621="",$M621=""),"",True)</f>
        <v/>
      </c>
      <c r="M621" s="1" t="str">
        <f t="shared" si="15"/>
        <v>存在しない</v>
      </c>
      <c r="N621" s="1" t="s">
        <v>29</v>
      </c>
      <c r="O621" s="1"/>
      <c r="P621" s="11"/>
      <c r="Q621" s="11"/>
      <c r="R621" s="11"/>
      <c r="S621" s="11"/>
      <c r="T621" s="1"/>
      <c r="U621" s="1"/>
      <c r="V621" s="1"/>
      <c r="W621" s="1"/>
      <c r="X621" s="1"/>
      <c r="Y621" s="1"/>
      <c r="Z621" s="1"/>
    </row>
    <row r="622" ht="18.0" customHeight="1" outlineLevel="2">
      <c r="A622" s="1">
        <v>5.0</v>
      </c>
      <c r="B622" s="26" t="s">
        <v>458</v>
      </c>
      <c r="C622" s="1"/>
      <c r="D622" s="1"/>
      <c r="E622" s="14"/>
      <c r="F622" s="15"/>
      <c r="G622" s="16"/>
      <c r="H622" s="11"/>
      <c r="I622" s="7"/>
      <c r="J622" s="7" t="str">
        <f>IFERROR(LET(_xlpm.v,
VLOOKUP($I622,'用語辞書'!$A:$B,COLUMN('用語辞書'!B$1),FALSE),
IF(_xlpm.v=0,"",_xlpm.v)
),"")</f>
        <v/>
      </c>
      <c r="K622" s="17"/>
      <c r="L622" s="17" t="str">
        <f>IF(OR(COUNTIF('クラス'!$A$1:$A$1267,$B622)&gt;0,$B622="",$M622=""),"",True)</f>
        <v/>
      </c>
      <c r="M622" s="1" t="str">
        <f t="shared" si="15"/>
        <v/>
      </c>
      <c r="N622" s="1" t="s">
        <v>29</v>
      </c>
      <c r="O622" s="1"/>
      <c r="P622" s="11"/>
      <c r="Q622" s="11"/>
      <c r="R622" s="11"/>
      <c r="S622" s="11"/>
      <c r="T622" s="1"/>
      <c r="U622" s="1"/>
      <c r="V622" s="1"/>
      <c r="W622" s="1"/>
      <c r="X622" s="1"/>
      <c r="Y622" s="1"/>
      <c r="Z622" s="1"/>
    </row>
    <row r="623" ht="18.0" customHeight="1" outlineLevel="1" collapsed="1">
      <c r="A623" s="1">
        <v>6.0</v>
      </c>
      <c r="B623" s="1"/>
      <c r="C623" s="1"/>
      <c r="D623" s="1"/>
      <c r="E623" s="14"/>
      <c r="F623" s="15"/>
      <c r="G623" s="16"/>
      <c r="H623" s="11"/>
      <c r="I623" s="7"/>
      <c r="J623" s="7" t="str">
        <f>IFERROR(LET(_xlpm.v,
VLOOKUP($I623,'用語辞書'!$A:$B,COLUMN('用語辞書'!B$1),FALSE),
IF(_xlpm.v=0,"",_xlpm.v)
),"")</f>
        <v/>
      </c>
      <c r="K623" s="17"/>
      <c r="L623" s="17" t="str">
        <f>IF(OR(COUNTIF('クラス'!$A$1:$A$1267,$B623)&gt;0,$B623="",$M623=""),"",True)</f>
        <v/>
      </c>
      <c r="M623" s="1" t="str">
        <f t="shared" si="15"/>
        <v>存在しない</v>
      </c>
      <c r="N623" s="1" t="s">
        <v>29</v>
      </c>
      <c r="O623" s="1"/>
      <c r="P623" s="11"/>
      <c r="Q623" s="11"/>
      <c r="R623" s="11"/>
      <c r="S623" s="11"/>
      <c r="T623" s="1"/>
      <c r="U623" s="1"/>
      <c r="V623" s="1"/>
      <c r="W623" s="1"/>
      <c r="X623" s="1"/>
      <c r="Y623" s="1"/>
      <c r="Z623" s="1"/>
    </row>
    <row r="624" ht="18.0" customHeight="1" outlineLevel="1">
      <c r="A624" s="1">
        <v>7.0</v>
      </c>
      <c r="B624" s="26" t="s">
        <v>966</v>
      </c>
      <c r="C624" s="1"/>
      <c r="D624" s="1"/>
      <c r="E624" s="14"/>
      <c r="F624" s="15"/>
      <c r="G624" s="16"/>
      <c r="H624" s="11"/>
      <c r="I624" s="7"/>
      <c r="J624" s="7" t="str">
        <f>IFERROR(LET(_xlpm.v,
VLOOKUP($I624,'用語辞書'!$A:$B,COLUMN('用語辞書'!B$1),FALSE),
IF(_xlpm.v=0,"",_xlpm.v)
),"")</f>
        <v/>
      </c>
      <c r="K624" s="17"/>
      <c r="L624" s="17" t="str">
        <f>IF(OR(COUNTIF('クラス'!$A$1:$A$1267,$B624)&gt;0,$B624="",$M624=""),"",True)</f>
        <v/>
      </c>
      <c r="M624" s="1" t="str">
        <f t="shared" si="15"/>
        <v/>
      </c>
      <c r="N624" s="1" t="s">
        <v>29</v>
      </c>
      <c r="O624" s="1"/>
      <c r="P624" s="11"/>
      <c r="Q624" s="11"/>
      <c r="R624" s="11"/>
      <c r="S624" s="11"/>
      <c r="T624" s="1"/>
      <c r="U624" s="1"/>
      <c r="V624" s="1"/>
      <c r="W624" s="1"/>
      <c r="X624" s="1"/>
      <c r="Y624" s="1"/>
      <c r="Z624" s="1"/>
    </row>
    <row r="625" ht="18.0" customHeight="1" outlineLevel="2">
      <c r="A625" s="1">
        <v>8.0</v>
      </c>
      <c r="B625" s="1"/>
      <c r="C625" s="1"/>
      <c r="D625" s="1"/>
      <c r="E625" s="14"/>
      <c r="F625" s="15"/>
      <c r="G625" s="16"/>
      <c r="H625" s="11"/>
      <c r="I625" s="7"/>
      <c r="J625" s="7" t="str">
        <f>IFERROR(LET(_xlpm.v,
VLOOKUP($I625,'用語辞書'!$A:$B,COLUMN('用語辞書'!B$1),FALSE),
IF(_xlpm.v=0,"",_xlpm.v)
),"")</f>
        <v/>
      </c>
      <c r="K625" s="17"/>
      <c r="L625" s="17" t="str">
        <f>IF(OR(COUNTIF('クラス'!$A$1:$A$1267,$B625)&gt;0,$B625="",$M625=""),"",True)</f>
        <v/>
      </c>
      <c r="M625" s="1" t="str">
        <f t="shared" si="15"/>
        <v>存在しない</v>
      </c>
      <c r="N625" s="1" t="s">
        <v>29</v>
      </c>
      <c r="O625" s="1"/>
      <c r="P625" s="11"/>
      <c r="Q625" s="11"/>
      <c r="R625" s="11"/>
      <c r="S625" s="11"/>
      <c r="T625" s="1"/>
      <c r="U625" s="1"/>
      <c r="V625" s="1"/>
      <c r="W625" s="1"/>
      <c r="X625" s="1"/>
      <c r="Y625" s="1"/>
      <c r="Z625" s="1"/>
    </row>
    <row r="626" ht="18.0" customHeight="1" outlineLevel="2">
      <c r="A626" s="1">
        <v>9.0</v>
      </c>
      <c r="B626" s="26" t="s">
        <v>904</v>
      </c>
      <c r="C626" s="1"/>
      <c r="D626" s="1"/>
      <c r="E626" s="14"/>
      <c r="F626" s="15"/>
      <c r="G626" s="16"/>
      <c r="H626" s="11"/>
      <c r="I626" s="7"/>
      <c r="J626" s="7" t="str">
        <f>IFERROR(LET(_xlpm.v,
VLOOKUP($I626,'用語辞書'!$A:$B,COLUMN('用語辞書'!B$1),FALSE),
IF(_xlpm.v=0,"",_xlpm.v)
),"")</f>
        <v/>
      </c>
      <c r="K626" s="17"/>
      <c r="L626" s="17" t="str">
        <f>IF(OR(COUNTIF('クラス'!$A$1:$A$1267,$B626)&gt;0,$B626="",$M626=""),"",True)</f>
        <v/>
      </c>
      <c r="M626" s="1" t="str">
        <f t="shared" si="15"/>
        <v/>
      </c>
      <c r="N626" s="1" t="s">
        <v>29</v>
      </c>
      <c r="O626" s="1"/>
      <c r="P626" s="11"/>
      <c r="Q626" s="11"/>
      <c r="R626" s="11"/>
      <c r="S626" s="11"/>
      <c r="T626" s="1"/>
      <c r="U626" s="1"/>
      <c r="V626" s="1"/>
      <c r="W626" s="1"/>
      <c r="X626" s="1"/>
      <c r="Y626" s="1"/>
      <c r="Z626" s="1"/>
    </row>
    <row r="627" ht="18.0" customHeight="1" outlineLevel="2">
      <c r="A627" s="1">
        <v>10.0</v>
      </c>
      <c r="B627" s="1"/>
      <c r="C627" s="1"/>
      <c r="D627" s="1"/>
      <c r="E627" s="14"/>
      <c r="F627" s="15"/>
      <c r="G627" s="16"/>
      <c r="H627" s="11"/>
      <c r="I627" s="7"/>
      <c r="J627" s="7" t="str">
        <f>IFERROR(LET(_xlpm.v,
VLOOKUP($I627,'用語辞書'!$A:$B,COLUMN('用語辞書'!B$1),FALSE),
IF(_xlpm.v=0,"",_xlpm.v)
),"")</f>
        <v/>
      </c>
      <c r="K627" s="17"/>
      <c r="L627" s="17" t="str">
        <f>IF(OR(COUNTIF('クラス'!$A$1:$A$1267,$B627)&gt;0,$B627="",$M627=""),"",True)</f>
        <v/>
      </c>
      <c r="M627" s="1" t="str">
        <f t="shared" si="15"/>
        <v>存在しない</v>
      </c>
      <c r="N627" s="1" t="s">
        <v>29</v>
      </c>
      <c r="O627" s="1"/>
      <c r="P627" s="11"/>
      <c r="Q627" s="11"/>
      <c r="R627" s="11"/>
      <c r="S627" s="11"/>
      <c r="T627" s="1"/>
      <c r="U627" s="1"/>
      <c r="V627" s="1"/>
      <c r="W627" s="1"/>
      <c r="X627" s="1"/>
      <c r="Y627" s="1"/>
      <c r="Z627" s="1"/>
    </row>
    <row r="628" ht="18.0" customHeight="1" outlineLevel="1">
      <c r="A628" s="1"/>
      <c r="B628" s="1"/>
      <c r="C628" s="1"/>
      <c r="D628" s="1"/>
      <c r="E628" s="14"/>
      <c r="F628" s="15"/>
      <c r="G628" s="16"/>
      <c r="H628" s="11"/>
      <c r="I628" s="7"/>
      <c r="J628" s="7" t="str">
        <f>IFERROR(LET(_xlpm.v,
VLOOKUP($I628,'用語辞書'!$A:$B,COLUMN('用語辞書'!B$1),FALSE),
IF(_xlpm.v=0,"",_xlpm.v)
),"")</f>
        <v/>
      </c>
      <c r="K628" s="17"/>
      <c r="L628" s="17" t="str">
        <f>IF(OR(COUNTIF('クラス'!$A$1:$A$1267,$B628)&gt;0,$B628="",$M628=""),"",True)</f>
        <v/>
      </c>
      <c r="M628" s="1" t="str">
        <f t="shared" si="15"/>
        <v>存在しない</v>
      </c>
      <c r="N628" s="1" t="s">
        <v>29</v>
      </c>
      <c r="O628" s="1"/>
      <c r="P628" s="11"/>
      <c r="Q628" s="11"/>
      <c r="R628" s="11"/>
      <c r="S628" s="11"/>
      <c r="T628" s="1"/>
      <c r="U628" s="1"/>
      <c r="V628" s="1"/>
      <c r="W628" s="1"/>
      <c r="X628" s="1"/>
      <c r="Y628" s="1"/>
      <c r="Z628" s="1"/>
    </row>
    <row r="629" ht="18.0" customHeight="1" outlineLevel="1">
      <c r="A629" s="1"/>
      <c r="B629" s="1"/>
      <c r="C629" s="26" t="s">
        <v>1188</v>
      </c>
      <c r="D629" s="1"/>
      <c r="E629" s="14"/>
      <c r="F629" s="15"/>
      <c r="G629" s="16"/>
      <c r="H629" s="11"/>
      <c r="I629" s="7"/>
      <c r="J629" s="7"/>
      <c r="K629" s="17"/>
      <c r="L629" s="17" t="str">
        <f>IF(OR(COUNTIF('クラス'!$A$1:$A$1267,$B629)&gt;0,$B629="",$M629=""),"",True)</f>
        <v/>
      </c>
      <c r="M629" s="1"/>
      <c r="N629" s="1"/>
      <c r="O629" s="1"/>
      <c r="P629" s="11"/>
      <c r="Q629" s="11"/>
      <c r="R629" s="11"/>
      <c r="S629" s="11"/>
      <c r="T629" s="1"/>
      <c r="U629" s="1"/>
      <c r="V629" s="1"/>
      <c r="W629" s="1"/>
      <c r="X629" s="1"/>
      <c r="Y629" s="1"/>
      <c r="Z629" s="1"/>
    </row>
    <row r="630" ht="18.0" customHeight="1" outlineLevel="1">
      <c r="A630" s="1"/>
      <c r="B630" s="26" t="s">
        <v>1189</v>
      </c>
      <c r="C630" s="1"/>
      <c r="D630" s="1"/>
      <c r="E630" s="14"/>
      <c r="F630" s="15"/>
      <c r="G630" s="16"/>
      <c r="H630" s="11"/>
      <c r="I630" s="7"/>
      <c r="J630" s="7" t="str">
        <f>IFERROR(LET(_xlpm.v,
VLOOKUP($I630,'用語辞書'!$A:$B,COLUMN('用語辞書'!B$1),FALSE),
IF(_xlpm.v=0,"",_xlpm.v)
),"")</f>
        <v/>
      </c>
      <c r="K630" s="17"/>
      <c r="L630" s="17" t="str">
        <f>IF(OR(COUNTIF('クラス'!$A$1:$A$1267,$B630)&gt;0,$B630="",$M630=""),"",True)</f>
        <v/>
      </c>
      <c r="M630" s="1" t="str">
        <f t="shared" ref="M630:M641" si="16">IF(COUNTIF($B$1:$C629, $B630), "", "存在しない")</f>
        <v>存在しない</v>
      </c>
      <c r="N630" s="1" t="s">
        <v>29</v>
      </c>
      <c r="O630" s="1"/>
      <c r="P630" s="11"/>
      <c r="Q630" s="11"/>
      <c r="R630" s="11"/>
      <c r="S630" s="11"/>
      <c r="T630" s="1"/>
      <c r="U630" s="1"/>
      <c r="V630" s="1"/>
      <c r="W630" s="1"/>
      <c r="X630" s="1"/>
      <c r="Y630" s="1"/>
      <c r="Z630" s="1"/>
    </row>
    <row r="631" ht="18.0" customHeight="1" outlineLevel="2">
      <c r="A631" s="26">
        <v>1.0</v>
      </c>
      <c r="B631" s="26" t="s">
        <v>1190</v>
      </c>
      <c r="C631" s="26"/>
      <c r="D631" s="26"/>
      <c r="E631" s="26" t="s">
        <v>33</v>
      </c>
      <c r="F631" s="15"/>
      <c r="G631" s="30">
        <v>40.0</v>
      </c>
      <c r="H631" s="22" t="s">
        <v>1191</v>
      </c>
      <c r="I631" s="7"/>
      <c r="J631" s="7" t="str">
        <f>IFERROR(LET(_xlpm.v,
VLOOKUP($I631,'用語辞書'!$A:$B,COLUMN('用語辞書'!B$1),FALSE),
IF(_xlpm.v=0,"",_xlpm.v)
),"")</f>
        <v/>
      </c>
      <c r="K631" s="17"/>
      <c r="L631" s="17" t="b">
        <f>IF(OR(COUNTIF('クラス'!$A$1:$A$1267,$B631)&gt;0,$B631="",$M631=""),"",True)</f>
        <v>1</v>
      </c>
      <c r="M631" s="1" t="str">
        <f t="shared" si="16"/>
        <v>存在しない</v>
      </c>
      <c r="N631" s="1" t="s">
        <v>29</v>
      </c>
      <c r="O631" s="1"/>
      <c r="P631" s="11"/>
      <c r="Q631" s="11"/>
      <c r="R631" s="11"/>
      <c r="S631" s="11"/>
      <c r="T631" s="1"/>
      <c r="U631" s="1"/>
      <c r="V631" s="1"/>
      <c r="W631" s="1"/>
      <c r="X631" s="1"/>
      <c r="Y631" s="1"/>
      <c r="Z631" s="1"/>
    </row>
    <row r="632" ht="18.0" customHeight="1" outlineLevel="2">
      <c r="A632" s="26">
        <v>2.0</v>
      </c>
      <c r="B632" s="26" t="s">
        <v>1192</v>
      </c>
      <c r="C632" s="26"/>
      <c r="D632" s="26"/>
      <c r="E632" s="26" t="s">
        <v>33</v>
      </c>
      <c r="F632" s="15"/>
      <c r="G632" s="30">
        <v>40.0</v>
      </c>
      <c r="H632" s="22" t="s">
        <v>1193</v>
      </c>
      <c r="I632" s="7"/>
      <c r="J632" s="7" t="str">
        <f>IFERROR(LET(_xlpm.v,
VLOOKUP($I632,'用語辞書'!$A:$B,COLUMN('用語辞書'!B$1),FALSE),
IF(_xlpm.v=0,"",_xlpm.v)
),"")</f>
        <v/>
      </c>
      <c r="K632" s="17"/>
      <c r="L632" s="17" t="b">
        <f>IF(OR(COUNTIF('クラス'!$A$1:$A$1267,$B632)&gt;0,$B632="",$M632=""),"",True)</f>
        <v>1</v>
      </c>
      <c r="M632" s="1" t="str">
        <f t="shared" si="16"/>
        <v>存在しない</v>
      </c>
      <c r="N632" s="1" t="s">
        <v>29</v>
      </c>
      <c r="O632" s="1"/>
      <c r="P632" s="11"/>
      <c r="Q632" s="11"/>
      <c r="R632" s="11"/>
      <c r="S632" s="11"/>
      <c r="T632" s="1"/>
      <c r="U632" s="1"/>
      <c r="V632" s="1"/>
      <c r="W632" s="1"/>
      <c r="X632" s="1"/>
      <c r="Y632" s="1"/>
      <c r="Z632" s="1"/>
    </row>
    <row r="633" ht="18.0" customHeight="1" outlineLevel="2">
      <c r="A633" s="26">
        <v>3.0</v>
      </c>
      <c r="B633" s="26" t="s">
        <v>1194</v>
      </c>
      <c r="C633" s="26"/>
      <c r="D633" s="26"/>
      <c r="E633" s="26" t="s">
        <v>55</v>
      </c>
      <c r="F633" s="15"/>
      <c r="G633" s="30" t="s">
        <v>1195</v>
      </c>
      <c r="H633" s="11"/>
      <c r="I633" s="7"/>
      <c r="J633" s="7" t="str">
        <f>IFERROR(LET(_xlpm.v,
VLOOKUP($I633,'用語辞書'!$A:$B,COLUMN('用語辞書'!B$1),FALSE),
IF(_xlpm.v=0,"",_xlpm.v)
),"")</f>
        <v/>
      </c>
      <c r="K633" s="17"/>
      <c r="L633" s="17" t="b">
        <f>IF(OR(COUNTIF('クラス'!$A$1:$A$1267,$B633)&gt;0,$B633="",$M633=""),"",True)</f>
        <v>1</v>
      </c>
      <c r="M633" s="1" t="str">
        <f t="shared" si="16"/>
        <v>存在しない</v>
      </c>
      <c r="N633" s="1" t="s">
        <v>29</v>
      </c>
      <c r="O633" s="1"/>
      <c r="P633" s="11"/>
      <c r="Q633" s="11"/>
      <c r="R633" s="11"/>
      <c r="S633" s="11"/>
      <c r="T633" s="1"/>
      <c r="U633" s="1"/>
      <c r="V633" s="1"/>
      <c r="W633" s="1"/>
      <c r="X633" s="1"/>
      <c r="Y633" s="1"/>
      <c r="Z633" s="1"/>
    </row>
    <row r="634" ht="18.0" customHeight="1" outlineLevel="2">
      <c r="A634" s="26">
        <v>4.0</v>
      </c>
      <c r="B634" s="1"/>
      <c r="C634" s="1"/>
      <c r="D634" s="1"/>
      <c r="E634" s="1"/>
      <c r="F634" s="15"/>
      <c r="G634" s="16"/>
      <c r="H634" s="11"/>
      <c r="I634" s="7"/>
      <c r="J634" s="7" t="str">
        <f>IFERROR(LET(_xlpm.v,
VLOOKUP($I634,'用語辞書'!$A:$B,COLUMN('用語辞書'!B$1),FALSE),
IF(_xlpm.v=0,"",_xlpm.v)
),"")</f>
        <v/>
      </c>
      <c r="K634" s="17"/>
      <c r="L634" s="17" t="str">
        <f>IF(OR(COUNTIF('クラス'!$A$1:$A$1267,$B634)&gt;0,$B634="",$M634=""),"",True)</f>
        <v/>
      </c>
      <c r="M634" s="1" t="str">
        <f t="shared" si="16"/>
        <v>存在しない</v>
      </c>
      <c r="N634" s="1" t="s">
        <v>29</v>
      </c>
      <c r="O634" s="1"/>
      <c r="P634" s="11"/>
      <c r="Q634" s="11"/>
      <c r="R634" s="11"/>
      <c r="S634" s="11"/>
      <c r="T634" s="1"/>
      <c r="U634" s="1"/>
      <c r="V634" s="1"/>
      <c r="W634" s="1"/>
      <c r="X634" s="1"/>
      <c r="Y634" s="1"/>
      <c r="Z634" s="1"/>
    </row>
    <row r="635" ht="18.0" customHeight="1" outlineLevel="2">
      <c r="A635" s="26">
        <v>5.0</v>
      </c>
      <c r="B635" s="26" t="s">
        <v>1196</v>
      </c>
      <c r="C635" s="26"/>
      <c r="D635" s="26"/>
      <c r="E635" s="26" t="s">
        <v>33</v>
      </c>
      <c r="F635" s="15"/>
      <c r="G635" s="30">
        <v>50.0</v>
      </c>
      <c r="H635" s="22" t="s">
        <v>1197</v>
      </c>
      <c r="I635" s="7"/>
      <c r="J635" s="7" t="str">
        <f>IFERROR(LET(_xlpm.v,
VLOOKUP($I635,'用語辞書'!$A:$B,COLUMN('用語辞書'!B$1),FALSE),
IF(_xlpm.v=0,"",_xlpm.v)
),"")</f>
        <v/>
      </c>
      <c r="K635" s="17"/>
      <c r="L635" s="17" t="b">
        <f>IF(OR(COUNTIF('クラス'!$A$1:$A$1267,$B635)&gt;0,$B635="",$M635=""),"",True)</f>
        <v>1</v>
      </c>
      <c r="M635" s="1" t="str">
        <f t="shared" si="16"/>
        <v>存在しない</v>
      </c>
      <c r="N635" s="1" t="s">
        <v>29</v>
      </c>
      <c r="O635" s="1"/>
      <c r="P635" s="11"/>
      <c r="Q635" s="11"/>
      <c r="R635" s="11"/>
      <c r="S635" s="11"/>
      <c r="T635" s="1"/>
      <c r="U635" s="1"/>
      <c r="V635" s="1"/>
      <c r="W635" s="1"/>
      <c r="X635" s="1"/>
      <c r="Y635" s="1"/>
      <c r="Z635" s="1"/>
    </row>
    <row r="636" ht="18.0" customHeight="1" outlineLevel="1" collapsed="1">
      <c r="A636" s="26">
        <v>6.0</v>
      </c>
      <c r="B636" s="1"/>
      <c r="C636" s="1"/>
      <c r="D636" s="1"/>
      <c r="E636" s="1"/>
      <c r="F636" s="15"/>
      <c r="G636" s="16"/>
      <c r="H636" s="11"/>
      <c r="I636" s="7"/>
      <c r="J636" s="7" t="str">
        <f>IFERROR(LET(_xlpm.v,
VLOOKUP($I636,'用語辞書'!$A:$B,COLUMN('用語辞書'!B$1),FALSE),
IF(_xlpm.v=0,"",_xlpm.v)
),"")</f>
        <v/>
      </c>
      <c r="K636" s="17"/>
      <c r="L636" s="17" t="str">
        <f>IF(OR(COUNTIF('クラス'!$A$1:$A$1267,$B636)&gt;0,$B636="",$M636=""),"",True)</f>
        <v/>
      </c>
      <c r="M636" s="1" t="str">
        <f t="shared" si="16"/>
        <v>存在しない</v>
      </c>
      <c r="N636" s="1" t="s">
        <v>29</v>
      </c>
      <c r="O636" s="1"/>
      <c r="P636" s="11"/>
      <c r="Q636" s="11"/>
      <c r="R636" s="11"/>
      <c r="S636" s="11"/>
      <c r="T636" s="1"/>
      <c r="U636" s="1"/>
      <c r="V636" s="1"/>
      <c r="W636" s="1"/>
      <c r="X636" s="1"/>
      <c r="Y636" s="1"/>
      <c r="Z636" s="1"/>
    </row>
    <row r="637" ht="18.0" customHeight="1" outlineLevel="1">
      <c r="A637" s="26">
        <v>7.0</v>
      </c>
      <c r="B637" s="26" t="s">
        <v>1198</v>
      </c>
      <c r="C637" s="26"/>
      <c r="D637" s="26"/>
      <c r="E637" s="26" t="s">
        <v>33</v>
      </c>
      <c r="F637" s="15"/>
      <c r="G637" s="30">
        <v>50.0</v>
      </c>
      <c r="H637" s="22" t="s">
        <v>1199</v>
      </c>
      <c r="I637" s="7"/>
      <c r="J637" s="7" t="str">
        <f>IFERROR(LET(_xlpm.v,
VLOOKUP($I637,'用語辞書'!$A:$B,COLUMN('用語辞書'!B$1),FALSE),
IF(_xlpm.v=0,"",_xlpm.v)
),"")</f>
        <v/>
      </c>
      <c r="K637" s="17"/>
      <c r="L637" s="17" t="b">
        <f>IF(OR(COUNTIF('クラス'!$A$1:$A$1267,$B637)&gt;0,$B637="",$M637=""),"",True)</f>
        <v>1</v>
      </c>
      <c r="M637" s="1" t="str">
        <f t="shared" si="16"/>
        <v>存在しない</v>
      </c>
      <c r="N637" s="1" t="s">
        <v>29</v>
      </c>
      <c r="O637" s="1"/>
      <c r="P637" s="11"/>
      <c r="Q637" s="11"/>
      <c r="R637" s="11"/>
      <c r="S637" s="11"/>
      <c r="T637" s="1"/>
      <c r="U637" s="1"/>
      <c r="V637" s="1"/>
      <c r="W637" s="1"/>
      <c r="X637" s="1"/>
      <c r="Y637" s="1"/>
      <c r="Z637" s="1"/>
    </row>
    <row r="638" ht="18.0" customHeight="1" outlineLevel="2">
      <c r="A638" s="26">
        <v>8.0</v>
      </c>
      <c r="B638" s="1"/>
      <c r="C638" s="1"/>
      <c r="D638" s="1"/>
      <c r="E638" s="1"/>
      <c r="F638" s="15"/>
      <c r="G638" s="16"/>
      <c r="H638" s="11"/>
      <c r="I638" s="7"/>
      <c r="J638" s="7" t="str">
        <f>IFERROR(LET(_xlpm.v,
VLOOKUP($I638,'用語辞書'!$A:$B,COLUMN('用語辞書'!B$1),FALSE),
IF(_xlpm.v=0,"",_xlpm.v)
),"")</f>
        <v/>
      </c>
      <c r="K638" s="17"/>
      <c r="L638" s="17" t="str">
        <f>IF(OR(COUNTIF('クラス'!$A$1:$A$1267,$B638)&gt;0,$B638="",$M638=""),"",True)</f>
        <v/>
      </c>
      <c r="M638" s="1" t="str">
        <f t="shared" si="16"/>
        <v>存在しない</v>
      </c>
      <c r="N638" s="1" t="s">
        <v>29</v>
      </c>
      <c r="O638" s="1"/>
      <c r="P638" s="11"/>
      <c r="Q638" s="11"/>
      <c r="R638" s="11"/>
      <c r="S638" s="11"/>
      <c r="T638" s="1"/>
      <c r="U638" s="1"/>
      <c r="V638" s="1"/>
      <c r="W638" s="1"/>
      <c r="X638" s="1"/>
      <c r="Y638" s="1"/>
      <c r="Z638" s="1"/>
    </row>
    <row r="639" ht="18.0" customHeight="1" outlineLevel="2">
      <c r="A639" s="26">
        <v>9.0</v>
      </c>
      <c r="B639" s="26" t="s">
        <v>1200</v>
      </c>
      <c r="C639" s="26"/>
      <c r="D639" s="26"/>
      <c r="E639" s="26" t="s">
        <v>33</v>
      </c>
      <c r="F639" s="15"/>
      <c r="G639" s="30">
        <v>60.0</v>
      </c>
      <c r="H639" s="22" t="s">
        <v>1201</v>
      </c>
      <c r="I639" s="7"/>
      <c r="J639" s="7" t="str">
        <f>IFERROR(LET(_xlpm.v,
VLOOKUP($I639,'用語辞書'!$A:$B,COLUMN('用語辞書'!B$1),FALSE),
IF(_xlpm.v=0,"",_xlpm.v)
),"")</f>
        <v/>
      </c>
      <c r="K639" s="17"/>
      <c r="L639" s="17" t="b">
        <f>IF(OR(COUNTIF('クラス'!$A$1:$A$1267,$B639)&gt;0,$B639="",$M639=""),"",True)</f>
        <v>1</v>
      </c>
      <c r="M639" s="1" t="str">
        <f t="shared" si="16"/>
        <v>存在しない</v>
      </c>
      <c r="N639" s="1" t="s">
        <v>29</v>
      </c>
      <c r="O639" s="1"/>
      <c r="P639" s="11"/>
      <c r="Q639" s="11"/>
      <c r="R639" s="11"/>
      <c r="S639" s="11"/>
      <c r="T639" s="1"/>
      <c r="U639" s="1"/>
      <c r="V639" s="1"/>
      <c r="W639" s="1"/>
      <c r="X639" s="1"/>
      <c r="Y639" s="1"/>
      <c r="Z639" s="1"/>
    </row>
    <row r="640" ht="18.0" customHeight="1" outlineLevel="2">
      <c r="A640" s="26">
        <v>10.0</v>
      </c>
      <c r="B640" s="1"/>
      <c r="C640" s="1"/>
      <c r="D640" s="1"/>
      <c r="E640" s="14"/>
      <c r="F640" s="15"/>
      <c r="G640" s="16"/>
      <c r="H640" s="11"/>
      <c r="I640" s="7"/>
      <c r="J640" s="7" t="str">
        <f>IFERROR(LET(_xlpm.v,
VLOOKUP($I640,'用語辞書'!$A:$B,COLUMN('用語辞書'!B$1),FALSE),
IF(_xlpm.v=0,"",_xlpm.v)
),"")</f>
        <v/>
      </c>
      <c r="K640" s="17"/>
      <c r="L640" s="17" t="str">
        <f>IF(OR(COUNTIF('クラス'!$A$1:$A$1267,$B640)&gt;0,$B640="",$M640=""),"",True)</f>
        <v/>
      </c>
      <c r="M640" s="1" t="str">
        <f t="shared" si="16"/>
        <v>存在しない</v>
      </c>
      <c r="N640" s="1" t="s">
        <v>29</v>
      </c>
      <c r="O640" s="1"/>
      <c r="P640" s="11"/>
      <c r="Q640" s="11"/>
      <c r="R640" s="11"/>
      <c r="S640" s="11"/>
      <c r="T640" s="1"/>
      <c r="U640" s="1"/>
      <c r="V640" s="1"/>
      <c r="W640" s="1"/>
      <c r="X640" s="1"/>
      <c r="Y640" s="1"/>
      <c r="Z640" s="1"/>
    </row>
    <row r="641" ht="18.0" customHeight="1" outlineLevel="1">
      <c r="A641" s="1"/>
      <c r="B641" s="1"/>
      <c r="C641" s="1"/>
      <c r="D641" s="1"/>
      <c r="E641" s="14"/>
      <c r="F641" s="15"/>
      <c r="G641" s="16"/>
      <c r="H641" s="11"/>
      <c r="I641" s="7"/>
      <c r="J641" s="7" t="str">
        <f>IFERROR(LET(_xlpm.v,
VLOOKUP($I641,'用語辞書'!$A:$B,COLUMN('用語辞書'!B$1),FALSE),
IF(_xlpm.v=0,"",_xlpm.v)
),"")</f>
        <v/>
      </c>
      <c r="K641" s="17"/>
      <c r="L641" s="17" t="str">
        <f>IF(OR(COUNTIF('クラス'!$A$1:$A$1267,$B641)&gt;0,$B641="",$M641=""),"",True)</f>
        <v/>
      </c>
      <c r="M641" s="1" t="str">
        <f t="shared" si="16"/>
        <v>存在しない</v>
      </c>
      <c r="N641" s="1" t="s">
        <v>29</v>
      </c>
      <c r="O641" s="1"/>
      <c r="P641" s="11"/>
      <c r="Q641" s="11"/>
      <c r="R641" s="11"/>
      <c r="S641" s="11"/>
      <c r="T641" s="1"/>
      <c r="U641" s="1"/>
      <c r="V641" s="1"/>
      <c r="W641" s="1"/>
      <c r="X641" s="1"/>
      <c r="Y641" s="1"/>
      <c r="Z641" s="1"/>
    </row>
    <row r="642" ht="18.0" customHeight="1" outlineLevel="1">
      <c r="A642" s="1"/>
      <c r="B642" s="1"/>
      <c r="C642" s="1"/>
      <c r="D642" s="1"/>
      <c r="E642" s="14"/>
      <c r="F642" s="15"/>
      <c r="G642" s="16"/>
      <c r="H642" s="11"/>
      <c r="I642" s="7"/>
      <c r="J642" s="7"/>
      <c r="K642" s="17"/>
      <c r="L642" s="17" t="str">
        <f>IF(OR(COUNTIF('クラス'!$A$1:$A$1267,$B642)&gt;0,$B642="",$M642=""),"",True)</f>
        <v/>
      </c>
      <c r="M642" s="1"/>
      <c r="N642" s="1"/>
      <c r="O642" s="1"/>
      <c r="P642" s="11"/>
      <c r="Q642" s="11"/>
      <c r="R642" s="11"/>
      <c r="S642" s="11"/>
      <c r="T642" s="1"/>
      <c r="U642" s="1"/>
      <c r="V642" s="1"/>
      <c r="W642" s="1"/>
      <c r="X642" s="1"/>
      <c r="Y642" s="1"/>
      <c r="Z642" s="1"/>
    </row>
    <row r="643" ht="18.0" customHeight="1" outlineLevel="1">
      <c r="A643" s="1"/>
      <c r="B643" s="1"/>
      <c r="C643" s="1"/>
      <c r="D643" s="1"/>
      <c r="E643" s="14"/>
      <c r="F643" s="15"/>
      <c r="G643" s="16"/>
      <c r="H643" s="11"/>
      <c r="I643" s="7"/>
      <c r="J643" s="7"/>
      <c r="K643" s="17"/>
      <c r="L643" s="17" t="str">
        <f>IF(OR(COUNTIF('クラス'!$A$1:$A$1267,$B643)&gt;0,$B643="",$M643=""),"",True)</f>
        <v/>
      </c>
      <c r="M643" s="1"/>
      <c r="N643" s="1"/>
      <c r="O643" s="1"/>
      <c r="P643" s="11"/>
      <c r="Q643" s="11"/>
      <c r="R643" s="11"/>
      <c r="S643" s="11"/>
      <c r="T643" s="1"/>
      <c r="U643" s="1"/>
      <c r="V643" s="1"/>
      <c r="W643" s="1"/>
      <c r="X643" s="1"/>
      <c r="Y643" s="1"/>
      <c r="Z643" s="1"/>
    </row>
    <row r="644" ht="18.0" customHeight="1" outlineLevel="1">
      <c r="A644" s="1"/>
      <c r="B644" s="1"/>
      <c r="C644" s="1"/>
      <c r="D644" s="1"/>
      <c r="E644" s="14"/>
      <c r="F644" s="15"/>
      <c r="G644" s="16"/>
      <c r="H644" s="11"/>
      <c r="I644" s="7"/>
      <c r="J644" s="7"/>
      <c r="K644" s="17"/>
      <c r="L644" s="17" t="str">
        <f>IF(OR(COUNTIF('クラス'!$A$1:$A$1267,$B644)&gt;0,$B644="",$M644=""),"",True)</f>
        <v/>
      </c>
      <c r="M644" s="1"/>
      <c r="N644" s="1"/>
      <c r="O644" s="1"/>
      <c r="P644" s="11"/>
      <c r="Q644" s="11"/>
      <c r="R644" s="11"/>
      <c r="S644" s="11"/>
      <c r="T644" s="1"/>
      <c r="U644" s="1"/>
      <c r="V644" s="1"/>
      <c r="W644" s="1"/>
      <c r="X644" s="1"/>
      <c r="Y644" s="1"/>
      <c r="Z644" s="1"/>
    </row>
    <row r="645" ht="18.0" customHeight="1" outlineLevel="1">
      <c r="A645" s="1"/>
      <c r="B645" s="1"/>
      <c r="C645" s="1"/>
      <c r="D645" s="1"/>
      <c r="E645" s="14"/>
      <c r="F645" s="15"/>
      <c r="G645" s="16"/>
      <c r="H645" s="11"/>
      <c r="I645" s="7"/>
      <c r="J645" s="7"/>
      <c r="K645" s="17"/>
      <c r="L645" s="17" t="str">
        <f>IF(OR(COUNTIF('クラス'!$A$1:$A$1267,$B645)&gt;0,$B645="",$M645=""),"",True)</f>
        <v/>
      </c>
      <c r="M645" s="1"/>
      <c r="N645" s="1"/>
      <c r="O645" s="1"/>
      <c r="P645" s="11"/>
      <c r="Q645" s="11"/>
      <c r="R645" s="11"/>
      <c r="S645" s="11"/>
      <c r="T645" s="1"/>
      <c r="U645" s="1"/>
      <c r="V645" s="1"/>
      <c r="W645" s="1"/>
      <c r="X645" s="1"/>
      <c r="Y645" s="1"/>
      <c r="Z645" s="1"/>
    </row>
    <row r="646" ht="18.0" customHeight="1" outlineLevel="1">
      <c r="A646" s="1"/>
      <c r="B646" s="1"/>
      <c r="C646" s="1"/>
      <c r="D646" s="1"/>
      <c r="E646" s="14"/>
      <c r="F646" s="15"/>
      <c r="G646" s="16"/>
      <c r="H646" s="11"/>
      <c r="I646" s="7"/>
      <c r="J646" s="7"/>
      <c r="K646" s="17"/>
      <c r="L646" s="17" t="str">
        <f>IF(OR(COUNTIF('クラス'!$A$1:$A$1267,$B646)&gt;0,$B646="",$M646=""),"",True)</f>
        <v/>
      </c>
      <c r="M646" s="1"/>
      <c r="N646" s="1"/>
      <c r="O646" s="1"/>
      <c r="P646" s="11"/>
      <c r="Q646" s="11"/>
      <c r="R646" s="11"/>
      <c r="S646" s="11"/>
      <c r="T646" s="1"/>
      <c r="U646" s="1"/>
      <c r="V646" s="1"/>
      <c r="W646" s="1"/>
      <c r="X646" s="1"/>
      <c r="Y646" s="1"/>
      <c r="Z646" s="1"/>
    </row>
    <row r="647" ht="18.0" customHeight="1" outlineLevel="1">
      <c r="A647" s="1"/>
      <c r="B647" s="1"/>
      <c r="C647" s="1"/>
      <c r="D647" s="1"/>
      <c r="E647" s="14"/>
      <c r="F647" s="15"/>
      <c r="G647" s="16"/>
      <c r="H647" s="11"/>
      <c r="I647" s="7"/>
      <c r="J647" s="7"/>
      <c r="K647" s="17"/>
      <c r="L647" s="17" t="str">
        <f>IF(OR(COUNTIF('クラス'!$A$1:$A$1267,$B647)&gt;0,$B647="",$M647=""),"",True)</f>
        <v/>
      </c>
      <c r="M647" s="1"/>
      <c r="N647" s="1"/>
      <c r="O647" s="1"/>
      <c r="P647" s="11"/>
      <c r="Q647" s="11"/>
      <c r="R647" s="11"/>
      <c r="S647" s="11"/>
      <c r="T647" s="1"/>
      <c r="U647" s="1"/>
      <c r="V647" s="1"/>
      <c r="W647" s="1"/>
      <c r="X647" s="1"/>
      <c r="Y647" s="1"/>
      <c r="Z647" s="1"/>
    </row>
    <row r="648" ht="18.0" customHeight="1" outlineLevel="1">
      <c r="A648" s="1"/>
      <c r="B648" s="1"/>
      <c r="C648" s="26" t="s">
        <v>1202</v>
      </c>
      <c r="D648" s="1"/>
      <c r="E648" s="14"/>
      <c r="F648" s="15"/>
      <c r="G648" s="16"/>
      <c r="H648" s="11"/>
      <c r="I648" s="7"/>
      <c r="J648" s="7"/>
      <c r="K648" s="17"/>
      <c r="L648" s="17" t="str">
        <f>IF(OR(COUNTIF('クラス'!$A$1:$A$1267,$B648)&gt;0,$B648="",$M648=""),"",True)</f>
        <v/>
      </c>
      <c r="M648" s="1"/>
      <c r="N648" s="1"/>
      <c r="O648" s="1"/>
      <c r="P648" s="11"/>
      <c r="Q648" s="11"/>
      <c r="R648" s="11"/>
      <c r="S648" s="11"/>
      <c r="T648" s="1"/>
      <c r="U648" s="1"/>
      <c r="V648" s="1"/>
      <c r="W648" s="1"/>
      <c r="X648" s="1"/>
      <c r="Y648" s="1"/>
      <c r="Z648" s="1"/>
    </row>
    <row r="649" ht="18.0" customHeight="1" collapsed="1">
      <c r="A649" s="1"/>
      <c r="B649" s="1"/>
      <c r="C649" s="26" t="s">
        <v>1203</v>
      </c>
      <c r="D649" s="1"/>
      <c r="E649" s="14"/>
      <c r="F649" s="15"/>
      <c r="G649" s="16"/>
      <c r="H649" s="11"/>
      <c r="I649" s="7"/>
      <c r="J649" s="7"/>
      <c r="K649" s="17"/>
      <c r="L649" s="17" t="str">
        <f>IF(OR(COUNTIF('クラス'!$A$1:$A$1267,$B649)&gt;0,$B649="",$M649=""),"",True)</f>
        <v/>
      </c>
      <c r="M649" s="1"/>
      <c r="N649" s="1"/>
      <c r="O649" s="1"/>
      <c r="P649" s="11"/>
      <c r="Q649" s="11"/>
      <c r="R649" s="11"/>
      <c r="S649" s="11"/>
      <c r="T649" s="1"/>
      <c r="U649" s="1"/>
      <c r="V649" s="1"/>
      <c r="W649" s="1"/>
      <c r="X649" s="1"/>
      <c r="Y649" s="1"/>
      <c r="Z649" s="1"/>
    </row>
    <row r="650" ht="18.0" customHeight="1" outlineLevel="1">
      <c r="A650" s="1"/>
      <c r="B650" s="1" t="s">
        <v>1204</v>
      </c>
      <c r="C650" s="1"/>
      <c r="D650" s="1"/>
      <c r="E650" s="14"/>
      <c r="F650" s="15"/>
      <c r="G650" s="16"/>
      <c r="H650" s="11"/>
      <c r="I650" s="7"/>
      <c r="J650" s="7" t="str">
        <f>IFERROR(LET(_xlpm.v,
VLOOKUP($I650,'用語辞書'!$A:$B,COLUMN('用語辞書'!B$1),FALSE),
IF(_xlpm.v=0,"",_xlpm.v)
),"")</f>
        <v/>
      </c>
      <c r="K650" s="17"/>
      <c r="L650" s="17" t="str">
        <f>IF(OR(COUNTIF('クラス'!$A$1:$A$1267,$B650)&gt;0,$B650="",$M650=""),"",True)</f>
        <v/>
      </c>
      <c r="M650" s="1" t="str">
        <f t="shared" ref="M650:M662" si="17">IF(COUNTIF($B$1:$C649, $B650), "", "存在しない")</f>
        <v>存在しない</v>
      </c>
      <c r="N650" s="1" t="s">
        <v>29</v>
      </c>
      <c r="O650" s="1"/>
      <c r="P650" s="11"/>
      <c r="Q650" s="11"/>
      <c r="R650" s="11"/>
      <c r="S650" s="11"/>
      <c r="T650" s="1"/>
      <c r="U650" s="1"/>
      <c r="V650" s="1"/>
      <c r="W650" s="1"/>
      <c r="X650" s="1"/>
      <c r="Y650" s="1"/>
      <c r="Z650" s="1"/>
    </row>
    <row r="651" ht="18.0" customHeight="1" outlineLevel="2">
      <c r="A651" s="1">
        <v>1.0</v>
      </c>
      <c r="B651" s="1"/>
      <c r="C651" s="1"/>
      <c r="D651" s="1"/>
      <c r="E651" s="14"/>
      <c r="F651" s="15"/>
      <c r="G651" s="16"/>
      <c r="H651" s="11"/>
      <c r="I651" s="7"/>
      <c r="J651" s="7" t="str">
        <f>IFERROR(LET(_xlpm.v,
VLOOKUP($I651,'用語辞書'!$A:$B,COLUMN('用語辞書'!B$1),FALSE),
IF(_xlpm.v=0,"",_xlpm.v)
),"")</f>
        <v/>
      </c>
      <c r="K651" s="17"/>
      <c r="L651" s="17" t="str">
        <f>IF(OR(COUNTIF('クラス'!$A$1:$A$1267,$B651)&gt;0,$B651="",$M651=""),"",True)</f>
        <v/>
      </c>
      <c r="M651" s="1" t="str">
        <f t="shared" si="17"/>
        <v>存在しない</v>
      </c>
      <c r="N651" s="1" t="s">
        <v>29</v>
      </c>
      <c r="O651" s="1"/>
      <c r="P651" s="11"/>
      <c r="Q651" s="11"/>
      <c r="R651" s="11"/>
      <c r="S651" s="11"/>
      <c r="T651" s="1"/>
      <c r="U651" s="1"/>
      <c r="V651" s="1"/>
      <c r="W651" s="1"/>
      <c r="X651" s="1"/>
      <c r="Y651" s="1"/>
      <c r="Z651" s="1"/>
    </row>
    <row r="652" ht="18.0" customHeight="1" outlineLevel="2">
      <c r="A652" s="1">
        <v>2.0</v>
      </c>
      <c r="B652" s="1"/>
      <c r="C652" s="1"/>
      <c r="D652" s="1"/>
      <c r="E652" s="14"/>
      <c r="F652" s="15"/>
      <c r="G652" s="16"/>
      <c r="H652" s="11"/>
      <c r="I652" s="7"/>
      <c r="J652" s="7" t="str">
        <f>IFERROR(LET(_xlpm.v,
VLOOKUP($I652,'用語辞書'!$A:$B,COLUMN('用語辞書'!B$1),FALSE),
IF(_xlpm.v=0,"",_xlpm.v)
),"")</f>
        <v/>
      </c>
      <c r="K652" s="17"/>
      <c r="L652" s="17" t="str">
        <f>IF(OR(COUNTIF('クラス'!$A$1:$A$1267,$B652)&gt;0,$B652="",$M652=""),"",True)</f>
        <v/>
      </c>
      <c r="M652" s="1" t="str">
        <f t="shared" si="17"/>
        <v>存在しない</v>
      </c>
      <c r="N652" s="1" t="s">
        <v>29</v>
      </c>
      <c r="O652" s="1"/>
      <c r="P652" s="11"/>
      <c r="Q652" s="11"/>
      <c r="R652" s="11"/>
      <c r="S652" s="11"/>
      <c r="T652" s="1"/>
      <c r="U652" s="1"/>
      <c r="V652" s="1"/>
      <c r="W652" s="1"/>
      <c r="X652" s="1"/>
      <c r="Y652" s="1"/>
      <c r="Z652" s="1"/>
    </row>
    <row r="653" ht="18.0" customHeight="1" outlineLevel="2">
      <c r="A653" s="1">
        <v>3.0</v>
      </c>
      <c r="B653" s="1"/>
      <c r="C653" s="1"/>
      <c r="D653" s="1"/>
      <c r="E653" s="14"/>
      <c r="F653" s="15"/>
      <c r="G653" s="16"/>
      <c r="H653" s="11"/>
      <c r="I653" s="7"/>
      <c r="J653" s="7" t="str">
        <f>IFERROR(LET(_xlpm.v,
VLOOKUP($I653,'用語辞書'!$A:$B,COLUMN('用語辞書'!B$1),FALSE),
IF(_xlpm.v=0,"",_xlpm.v)
),"")</f>
        <v/>
      </c>
      <c r="K653" s="17"/>
      <c r="L653" s="17" t="str">
        <f>IF(OR(COUNTIF('クラス'!$A$1:$A$1267,$B653)&gt;0,$B653="",$M653=""),"",True)</f>
        <v/>
      </c>
      <c r="M653" s="1" t="str">
        <f t="shared" si="17"/>
        <v>存在しない</v>
      </c>
      <c r="N653" s="1" t="s">
        <v>29</v>
      </c>
      <c r="O653" s="1"/>
      <c r="P653" s="11"/>
      <c r="Q653" s="11"/>
      <c r="R653" s="11"/>
      <c r="S653" s="11"/>
      <c r="T653" s="1"/>
      <c r="U653" s="1"/>
      <c r="V653" s="1"/>
      <c r="W653" s="1"/>
      <c r="X653" s="1"/>
      <c r="Y653" s="1"/>
      <c r="Z653" s="1"/>
    </row>
    <row r="654" ht="18.0" customHeight="1" outlineLevel="2">
      <c r="A654" s="1">
        <v>4.0</v>
      </c>
      <c r="B654" s="1"/>
      <c r="C654" s="1"/>
      <c r="D654" s="1"/>
      <c r="E654" s="14"/>
      <c r="F654" s="15"/>
      <c r="G654" s="16"/>
      <c r="H654" s="11"/>
      <c r="I654" s="7"/>
      <c r="J654" s="7" t="str">
        <f>IFERROR(LET(_xlpm.v,
VLOOKUP($I654,'用語辞書'!$A:$B,COLUMN('用語辞書'!B$1),FALSE),
IF(_xlpm.v=0,"",_xlpm.v)
),"")</f>
        <v/>
      </c>
      <c r="K654" s="17"/>
      <c r="L654" s="17" t="str">
        <f>IF(OR(COUNTIF('クラス'!$A$1:$A$1267,$B654)&gt;0,$B654="",$M654=""),"",True)</f>
        <v/>
      </c>
      <c r="M654" s="1" t="str">
        <f t="shared" si="17"/>
        <v>存在しない</v>
      </c>
      <c r="N654" s="1" t="s">
        <v>29</v>
      </c>
      <c r="O654" s="1"/>
      <c r="P654" s="11"/>
      <c r="Q654" s="11"/>
      <c r="R654" s="11"/>
      <c r="S654" s="11"/>
      <c r="T654" s="1"/>
      <c r="U654" s="1"/>
      <c r="V654" s="1"/>
      <c r="W654" s="1"/>
      <c r="X654" s="1"/>
      <c r="Y654" s="1"/>
      <c r="Z654" s="1"/>
    </row>
    <row r="655" ht="18.0" customHeight="1" outlineLevel="2">
      <c r="A655" s="1">
        <v>5.0</v>
      </c>
      <c r="B655" s="1"/>
      <c r="C655" s="1"/>
      <c r="D655" s="1"/>
      <c r="E655" s="14"/>
      <c r="F655" s="15"/>
      <c r="G655" s="16"/>
      <c r="H655" s="11"/>
      <c r="I655" s="7"/>
      <c r="J655" s="7" t="str">
        <f>IFERROR(LET(_xlpm.v,
VLOOKUP($I655,'用語辞書'!$A:$B,COLUMN('用語辞書'!B$1),FALSE),
IF(_xlpm.v=0,"",_xlpm.v)
),"")</f>
        <v/>
      </c>
      <c r="K655" s="17"/>
      <c r="L655" s="17" t="str">
        <f>IF(OR(COUNTIF('クラス'!$A$1:$A$1267,$B655)&gt;0,$B655="",$M655=""),"",True)</f>
        <v/>
      </c>
      <c r="M655" s="1" t="str">
        <f t="shared" si="17"/>
        <v>存在しない</v>
      </c>
      <c r="N655" s="1" t="s">
        <v>29</v>
      </c>
      <c r="O655" s="1"/>
      <c r="P655" s="11"/>
      <c r="Q655" s="11"/>
      <c r="R655" s="11"/>
      <c r="S655" s="11"/>
      <c r="T655" s="1"/>
      <c r="U655" s="1"/>
      <c r="V655" s="1"/>
      <c r="W655" s="1"/>
      <c r="X655" s="1"/>
      <c r="Y655" s="1"/>
      <c r="Z655" s="1"/>
    </row>
    <row r="656" ht="18.0" customHeight="1" outlineLevel="2">
      <c r="A656" s="1">
        <v>6.0</v>
      </c>
      <c r="B656" s="1"/>
      <c r="C656" s="1"/>
      <c r="D656" s="1"/>
      <c r="E656" s="14"/>
      <c r="F656" s="15"/>
      <c r="G656" s="16"/>
      <c r="H656" s="11"/>
      <c r="I656" s="7"/>
      <c r="J656" s="7" t="str">
        <f>IFERROR(LET(_xlpm.v,
VLOOKUP($I656,'用語辞書'!$A:$B,COLUMN('用語辞書'!B$1),FALSE),
IF(_xlpm.v=0,"",_xlpm.v)
),"")</f>
        <v/>
      </c>
      <c r="K656" s="17"/>
      <c r="L656" s="17" t="str">
        <f>IF(OR(COUNTIF('クラス'!$A$1:$A$1267,$B656)&gt;0,$B656="",$M656=""),"",True)</f>
        <v/>
      </c>
      <c r="M656" s="1" t="str">
        <f t="shared" si="17"/>
        <v>存在しない</v>
      </c>
      <c r="N656" s="1" t="s">
        <v>29</v>
      </c>
      <c r="O656" s="1"/>
      <c r="P656" s="11"/>
      <c r="Q656" s="11"/>
      <c r="R656" s="11"/>
      <c r="S656" s="11"/>
      <c r="T656" s="1"/>
      <c r="U656" s="1"/>
      <c r="V656" s="1"/>
      <c r="W656" s="1"/>
      <c r="X656" s="1"/>
      <c r="Y656" s="1"/>
      <c r="Z656" s="1"/>
    </row>
    <row r="657" ht="18.0" customHeight="1" outlineLevel="2">
      <c r="A657" s="1">
        <v>7.0</v>
      </c>
      <c r="B657" s="1"/>
      <c r="C657" s="1"/>
      <c r="D657" s="1"/>
      <c r="E657" s="14"/>
      <c r="F657" s="15"/>
      <c r="G657" s="16"/>
      <c r="H657" s="11"/>
      <c r="I657" s="7"/>
      <c r="J657" s="7" t="str">
        <f>IFERROR(LET(_xlpm.v,
VLOOKUP($I657,'用語辞書'!$A:$B,COLUMN('用語辞書'!B$1),FALSE),
IF(_xlpm.v=0,"",_xlpm.v)
),"")</f>
        <v/>
      </c>
      <c r="K657" s="17"/>
      <c r="L657" s="17" t="str">
        <f>IF(OR(COUNTIF('クラス'!$A$1:$A$1267,$B657)&gt;0,$B657="",$M657=""),"",True)</f>
        <v/>
      </c>
      <c r="M657" s="1" t="str">
        <f t="shared" si="17"/>
        <v>存在しない</v>
      </c>
      <c r="N657" s="1" t="s">
        <v>29</v>
      </c>
      <c r="O657" s="1"/>
      <c r="P657" s="11"/>
      <c r="Q657" s="11"/>
      <c r="R657" s="11"/>
      <c r="S657" s="11"/>
      <c r="T657" s="1"/>
      <c r="U657" s="1"/>
      <c r="V657" s="1"/>
      <c r="W657" s="1"/>
      <c r="X657" s="1"/>
      <c r="Y657" s="1"/>
      <c r="Z657" s="1"/>
    </row>
    <row r="658" ht="18.0" customHeight="1" outlineLevel="2">
      <c r="A658" s="1">
        <v>8.0</v>
      </c>
      <c r="B658" s="1"/>
      <c r="C658" s="1"/>
      <c r="D658" s="1"/>
      <c r="E658" s="14"/>
      <c r="F658" s="15"/>
      <c r="G658" s="16"/>
      <c r="H658" s="11"/>
      <c r="I658" s="7"/>
      <c r="J658" s="7" t="str">
        <f>IFERROR(LET(_xlpm.v,
VLOOKUP($I658,'用語辞書'!$A:$B,COLUMN('用語辞書'!B$1),FALSE),
IF(_xlpm.v=0,"",_xlpm.v)
),"")</f>
        <v/>
      </c>
      <c r="K658" s="17"/>
      <c r="L658" s="17" t="str">
        <f>IF(OR(COUNTIF('クラス'!$A$1:$A$1267,$B658)&gt;0,$B658="",$M658=""),"",True)</f>
        <v/>
      </c>
      <c r="M658" s="1" t="str">
        <f t="shared" si="17"/>
        <v>存在しない</v>
      </c>
      <c r="N658" s="1" t="s">
        <v>29</v>
      </c>
      <c r="O658" s="1"/>
      <c r="P658" s="11"/>
      <c r="Q658" s="11"/>
      <c r="R658" s="11"/>
      <c r="S658" s="11"/>
      <c r="T658" s="1"/>
      <c r="U658" s="1"/>
      <c r="V658" s="1"/>
      <c r="W658" s="1"/>
      <c r="X658" s="1"/>
      <c r="Y658" s="1"/>
      <c r="Z658" s="1"/>
    </row>
    <row r="659" ht="18.0" customHeight="1" outlineLevel="2">
      <c r="A659" s="1">
        <v>9.0</v>
      </c>
      <c r="B659" s="1"/>
      <c r="C659" s="1"/>
      <c r="D659" s="1"/>
      <c r="E659" s="14"/>
      <c r="F659" s="15"/>
      <c r="G659" s="16"/>
      <c r="H659" s="11"/>
      <c r="I659" s="7"/>
      <c r="J659" s="7" t="str">
        <f>IFERROR(LET(_xlpm.v,
VLOOKUP($I659,'用語辞書'!$A:$B,COLUMN('用語辞書'!B$1),FALSE),
IF(_xlpm.v=0,"",_xlpm.v)
),"")</f>
        <v/>
      </c>
      <c r="K659" s="17"/>
      <c r="L659" s="17" t="str">
        <f>IF(OR(COUNTIF('クラス'!$A$1:$A$1267,$B659)&gt;0,$B659="",$M659=""),"",True)</f>
        <v/>
      </c>
      <c r="M659" s="1" t="str">
        <f t="shared" si="17"/>
        <v>存在しない</v>
      </c>
      <c r="N659" s="1" t="s">
        <v>29</v>
      </c>
      <c r="O659" s="1"/>
      <c r="P659" s="11"/>
      <c r="Q659" s="11"/>
      <c r="R659" s="11"/>
      <c r="S659" s="11"/>
      <c r="T659" s="1"/>
      <c r="U659" s="1"/>
      <c r="V659" s="1"/>
      <c r="W659" s="1"/>
      <c r="X659" s="1"/>
      <c r="Y659" s="1"/>
      <c r="Z659" s="1"/>
    </row>
    <row r="660" ht="18.0" customHeight="1" outlineLevel="2">
      <c r="A660" s="1">
        <v>10.0</v>
      </c>
      <c r="B660" s="1"/>
      <c r="C660" s="1"/>
      <c r="D660" s="1"/>
      <c r="E660" s="14"/>
      <c r="F660" s="15"/>
      <c r="G660" s="16"/>
      <c r="H660" s="11"/>
      <c r="I660" s="7"/>
      <c r="J660" s="7" t="str">
        <f>IFERROR(LET(_xlpm.v,
VLOOKUP($I660,'用語辞書'!$A:$B,COLUMN('用語辞書'!B$1),FALSE),
IF(_xlpm.v=0,"",_xlpm.v)
),"")</f>
        <v/>
      </c>
      <c r="K660" s="17"/>
      <c r="L660" s="17" t="str">
        <f>IF(OR(COUNTIF('クラス'!$A$1:$A$1267,$B660)&gt;0,$B660="",$M660=""),"",True)</f>
        <v/>
      </c>
      <c r="M660" s="1" t="str">
        <f t="shared" si="17"/>
        <v>存在しない</v>
      </c>
      <c r="N660" s="1" t="s">
        <v>29</v>
      </c>
      <c r="O660" s="1"/>
      <c r="P660" s="11"/>
      <c r="Q660" s="11"/>
      <c r="R660" s="11"/>
      <c r="S660" s="11"/>
      <c r="T660" s="1"/>
      <c r="U660" s="1"/>
      <c r="V660" s="1"/>
      <c r="W660" s="1"/>
      <c r="X660" s="1"/>
      <c r="Y660" s="1"/>
      <c r="Z660" s="1"/>
    </row>
    <row r="661" ht="18.0" customHeight="1" outlineLevel="2">
      <c r="A661" s="1"/>
      <c r="B661" s="1"/>
      <c r="C661" s="1"/>
      <c r="D661" s="1"/>
      <c r="E661" s="14"/>
      <c r="F661" s="15"/>
      <c r="G661" s="16"/>
      <c r="H661" s="11"/>
      <c r="I661" s="7"/>
      <c r="J661" s="7" t="str">
        <f>IFERROR(LET(_xlpm.v,
VLOOKUP($I661,'用語辞書'!$A:$B,COLUMN('用語辞書'!B$1),FALSE),
IF(_xlpm.v=0,"",_xlpm.v)
),"")</f>
        <v/>
      </c>
      <c r="K661" s="17"/>
      <c r="L661" s="17" t="str">
        <f>IF(OR(COUNTIF('クラス'!$A$1:$A$1267,$B661)&gt;0,$B661="",$M661=""),"",True)</f>
        <v/>
      </c>
      <c r="M661" s="1" t="str">
        <f t="shared" si="17"/>
        <v>存在しない</v>
      </c>
      <c r="N661" s="1" t="s">
        <v>29</v>
      </c>
      <c r="O661" s="1"/>
      <c r="P661" s="11"/>
      <c r="Q661" s="11"/>
      <c r="R661" s="11"/>
      <c r="S661" s="11"/>
      <c r="T661" s="1"/>
      <c r="U661" s="1"/>
      <c r="V661" s="1"/>
      <c r="W661" s="1"/>
      <c r="X661" s="1"/>
      <c r="Y661" s="1"/>
      <c r="Z661" s="1"/>
    </row>
    <row r="662" ht="18.0" customHeight="1" outlineLevel="1" collapsed="1">
      <c r="A662" s="1"/>
      <c r="B662" s="1"/>
      <c r="C662" s="1"/>
      <c r="D662" s="1"/>
      <c r="E662" s="14"/>
      <c r="F662" s="15"/>
      <c r="G662" s="16"/>
      <c r="H662" s="11"/>
      <c r="I662" s="7"/>
      <c r="J662" s="7" t="str">
        <f>IFERROR(LET(_xlpm.v,
VLOOKUP($I662,'用語辞書'!$A:$B,COLUMN('用語辞書'!B$1),FALSE),
IF(_xlpm.v=0,"",_xlpm.v)
),"")</f>
        <v/>
      </c>
      <c r="K662" s="17"/>
      <c r="L662" s="17" t="str">
        <f>IF(OR(COUNTIF('クラス'!$A$1:$A$1267,$B662)&gt;0,$B662="",$M662=""),"",True)</f>
        <v/>
      </c>
      <c r="M662" s="1" t="str">
        <f t="shared" si="17"/>
        <v>存在しない</v>
      </c>
      <c r="N662" s="1" t="s">
        <v>29</v>
      </c>
      <c r="O662" s="1"/>
      <c r="P662" s="11"/>
      <c r="Q662" s="11"/>
      <c r="R662" s="11"/>
      <c r="S662" s="11"/>
      <c r="T662" s="1"/>
      <c r="U662" s="1"/>
      <c r="V662" s="1"/>
      <c r="W662" s="1"/>
      <c r="X662" s="1"/>
      <c r="Y662" s="1"/>
      <c r="Z662" s="1"/>
    </row>
    <row r="663" ht="18.0" customHeight="1" outlineLevel="1">
      <c r="A663" s="1"/>
      <c r="B663" s="1" t="s">
        <v>1205</v>
      </c>
      <c r="C663" s="1"/>
      <c r="D663" s="1"/>
      <c r="E663" s="14"/>
      <c r="F663" s="15"/>
      <c r="G663" s="16"/>
      <c r="H663" s="11"/>
      <c r="I663" s="7"/>
      <c r="J663" s="7" t="str">
        <f>IFERROR(LET(_xlpm.v,
VLOOKUP($I663,'用語辞書'!$A:$B,COLUMN('用語辞書'!B$1),FALSE),
IF(_xlpm.v=0,"",_xlpm.v)
),"")</f>
        <v/>
      </c>
      <c r="K663" s="17"/>
      <c r="L663" s="17" t="str">
        <f>IF(OR(COUNTIF('クラス'!$A$1:$A$1267,$B663)&gt;0,$B663="",$M663=""),"",True)</f>
        <v/>
      </c>
      <c r="M663" s="1" t="str">
        <f>IF(COUNTIF($B$1:$C650, $B663), "", "存在しない")</f>
        <v>存在しない</v>
      </c>
      <c r="N663" s="1" t="s">
        <v>29</v>
      </c>
      <c r="O663" s="1"/>
      <c r="P663" s="11"/>
      <c r="Q663" s="11"/>
      <c r="R663" s="11"/>
      <c r="S663" s="11"/>
      <c r="T663" s="1"/>
      <c r="U663" s="1"/>
      <c r="V663" s="1"/>
      <c r="W663" s="1"/>
      <c r="X663" s="1"/>
      <c r="Y663" s="1"/>
      <c r="Z663" s="1"/>
    </row>
    <row r="664" ht="18.0" customHeight="1" outlineLevel="2">
      <c r="A664" s="1">
        <v>1.0</v>
      </c>
      <c r="B664" s="1"/>
      <c r="C664" s="1"/>
      <c r="D664" s="1"/>
      <c r="E664" s="14"/>
      <c r="F664" s="15"/>
      <c r="G664" s="16"/>
      <c r="H664" s="11"/>
      <c r="I664" s="7"/>
      <c r="J664" s="7" t="str">
        <f>IFERROR(LET(_xlpm.v,
VLOOKUP($I664,'用語辞書'!$A:$B,COLUMN('用語辞書'!B$1),FALSE),
IF(_xlpm.v=0,"",_xlpm.v)
),"")</f>
        <v/>
      </c>
      <c r="K664" s="17"/>
      <c r="L664" s="17" t="str">
        <f>IF(OR(COUNTIF('クラス'!$A$1:$A$1267,$B664)&gt;0,$B664="",$M664=""),"",True)</f>
        <v/>
      </c>
      <c r="M664" s="1" t="str">
        <f t="shared" ref="M664:M675" si="18">IF(COUNTIF($B$1:$C663, $B664), "", "存在しない")</f>
        <v>存在しない</v>
      </c>
      <c r="N664" s="1" t="s">
        <v>29</v>
      </c>
      <c r="O664" s="1"/>
      <c r="P664" s="11"/>
      <c r="Q664" s="11"/>
      <c r="R664" s="11"/>
      <c r="S664" s="11"/>
      <c r="T664" s="1"/>
      <c r="U664" s="1"/>
      <c r="V664" s="1"/>
      <c r="W664" s="1"/>
      <c r="X664" s="1"/>
      <c r="Y664" s="1"/>
      <c r="Z664" s="1"/>
    </row>
    <row r="665" ht="18.0" customHeight="1" outlineLevel="2">
      <c r="A665" s="1">
        <v>2.0</v>
      </c>
      <c r="B665" s="1"/>
      <c r="C665" s="1"/>
      <c r="D665" s="1"/>
      <c r="E665" s="14"/>
      <c r="F665" s="15"/>
      <c r="G665" s="16"/>
      <c r="H665" s="11"/>
      <c r="I665" s="7"/>
      <c r="J665" s="7" t="str">
        <f>IFERROR(LET(_xlpm.v,
VLOOKUP($I665,'用語辞書'!$A:$B,COLUMN('用語辞書'!B$1),FALSE),
IF(_xlpm.v=0,"",_xlpm.v)
),"")</f>
        <v/>
      </c>
      <c r="K665" s="17"/>
      <c r="L665" s="17" t="str">
        <f>IF(OR(COUNTIF('クラス'!$A$1:$A$1267,$B665)&gt;0,$B665="",$M665=""),"",True)</f>
        <v/>
      </c>
      <c r="M665" s="1" t="str">
        <f t="shared" si="18"/>
        <v>存在しない</v>
      </c>
      <c r="N665" s="1" t="s">
        <v>29</v>
      </c>
      <c r="O665" s="1"/>
      <c r="P665" s="11"/>
      <c r="Q665" s="11"/>
      <c r="R665" s="11"/>
      <c r="S665" s="11"/>
      <c r="T665" s="1"/>
      <c r="U665" s="1"/>
      <c r="V665" s="1"/>
      <c r="W665" s="1"/>
      <c r="X665" s="1"/>
      <c r="Y665" s="1"/>
      <c r="Z665" s="1"/>
    </row>
    <row r="666" ht="18.0" customHeight="1" outlineLevel="2">
      <c r="A666" s="1">
        <v>3.0</v>
      </c>
      <c r="B666" s="1"/>
      <c r="C666" s="1"/>
      <c r="D666" s="1"/>
      <c r="E666" s="14"/>
      <c r="F666" s="15"/>
      <c r="G666" s="16"/>
      <c r="H666" s="11"/>
      <c r="I666" s="7"/>
      <c r="J666" s="7" t="str">
        <f>IFERROR(LET(_xlpm.v,
VLOOKUP($I666,'用語辞書'!$A:$B,COLUMN('用語辞書'!B$1),FALSE),
IF(_xlpm.v=0,"",_xlpm.v)
),"")</f>
        <v/>
      </c>
      <c r="K666" s="17"/>
      <c r="L666" s="17" t="str">
        <f>IF(OR(COUNTIF('クラス'!$A$1:$A$1267,$B666)&gt;0,$B666="",$M666=""),"",True)</f>
        <v/>
      </c>
      <c r="M666" s="1" t="str">
        <f t="shared" si="18"/>
        <v>存在しない</v>
      </c>
      <c r="N666" s="1" t="s">
        <v>29</v>
      </c>
      <c r="O666" s="1"/>
      <c r="P666" s="11"/>
      <c r="Q666" s="11"/>
      <c r="R666" s="11"/>
      <c r="S666" s="11"/>
      <c r="T666" s="1"/>
      <c r="U666" s="1"/>
      <c r="V666" s="1"/>
      <c r="W666" s="1"/>
      <c r="X666" s="1"/>
      <c r="Y666" s="1"/>
      <c r="Z666" s="1"/>
    </row>
    <row r="667" ht="18.0" customHeight="1" outlineLevel="2">
      <c r="A667" s="1">
        <v>4.0</v>
      </c>
      <c r="B667" s="1"/>
      <c r="C667" s="1"/>
      <c r="D667" s="1"/>
      <c r="E667" s="14"/>
      <c r="F667" s="15"/>
      <c r="G667" s="16"/>
      <c r="H667" s="11"/>
      <c r="I667" s="7"/>
      <c r="J667" s="7" t="str">
        <f>IFERROR(LET(_xlpm.v,
VLOOKUP($I667,'用語辞書'!$A:$B,COLUMN('用語辞書'!B$1),FALSE),
IF(_xlpm.v=0,"",_xlpm.v)
),"")</f>
        <v/>
      </c>
      <c r="K667" s="17"/>
      <c r="L667" s="17" t="str">
        <f>IF(OR(COUNTIF('クラス'!$A$1:$A$1267,$B667)&gt;0,$B667="",$M667=""),"",True)</f>
        <v/>
      </c>
      <c r="M667" s="1" t="str">
        <f t="shared" si="18"/>
        <v>存在しない</v>
      </c>
      <c r="N667" s="1" t="s">
        <v>29</v>
      </c>
      <c r="O667" s="1"/>
      <c r="P667" s="11"/>
      <c r="Q667" s="11"/>
      <c r="R667" s="11"/>
      <c r="S667" s="11"/>
      <c r="T667" s="1"/>
      <c r="U667" s="1"/>
      <c r="V667" s="1"/>
      <c r="W667" s="1"/>
      <c r="X667" s="1"/>
      <c r="Y667" s="1"/>
      <c r="Z667" s="1"/>
    </row>
    <row r="668" ht="18.0" customHeight="1" outlineLevel="2">
      <c r="A668" s="1">
        <v>5.0</v>
      </c>
      <c r="B668" s="1"/>
      <c r="C668" s="1"/>
      <c r="D668" s="1"/>
      <c r="E668" s="14"/>
      <c r="F668" s="15"/>
      <c r="G668" s="16"/>
      <c r="H668" s="11"/>
      <c r="I668" s="7"/>
      <c r="J668" s="7" t="str">
        <f>IFERROR(LET(_xlpm.v,
VLOOKUP($I668,'用語辞書'!$A:$B,COLUMN('用語辞書'!B$1),FALSE),
IF(_xlpm.v=0,"",_xlpm.v)
),"")</f>
        <v/>
      </c>
      <c r="K668" s="17"/>
      <c r="L668" s="17" t="str">
        <f>IF(OR(COUNTIF('クラス'!$A$1:$A$1267,$B668)&gt;0,$B668="",$M668=""),"",True)</f>
        <v/>
      </c>
      <c r="M668" s="1" t="str">
        <f t="shared" si="18"/>
        <v>存在しない</v>
      </c>
      <c r="N668" s="1" t="s">
        <v>29</v>
      </c>
      <c r="O668" s="1"/>
      <c r="P668" s="11"/>
      <c r="Q668" s="11"/>
      <c r="R668" s="11"/>
      <c r="S668" s="11"/>
      <c r="T668" s="1"/>
      <c r="U668" s="1"/>
      <c r="V668" s="1"/>
      <c r="W668" s="1"/>
      <c r="X668" s="1"/>
      <c r="Y668" s="1"/>
      <c r="Z668" s="1"/>
    </row>
    <row r="669" ht="18.0" customHeight="1" outlineLevel="2">
      <c r="A669" s="1">
        <v>6.0</v>
      </c>
      <c r="B669" s="1"/>
      <c r="C669" s="1"/>
      <c r="D669" s="1"/>
      <c r="E669" s="14"/>
      <c r="F669" s="15"/>
      <c r="G669" s="16"/>
      <c r="H669" s="11"/>
      <c r="I669" s="7"/>
      <c r="J669" s="7" t="str">
        <f>IFERROR(LET(_xlpm.v,
VLOOKUP($I669,'用語辞書'!$A:$B,COLUMN('用語辞書'!B$1),FALSE),
IF(_xlpm.v=0,"",_xlpm.v)
),"")</f>
        <v/>
      </c>
      <c r="K669" s="17"/>
      <c r="L669" s="17" t="str">
        <f>IF(OR(COUNTIF('クラス'!$A$1:$A$1267,$B669)&gt;0,$B669="",$M669=""),"",True)</f>
        <v/>
      </c>
      <c r="M669" s="1" t="str">
        <f t="shared" si="18"/>
        <v>存在しない</v>
      </c>
      <c r="N669" s="1" t="s">
        <v>29</v>
      </c>
      <c r="O669" s="1"/>
      <c r="P669" s="11"/>
      <c r="Q669" s="11"/>
      <c r="R669" s="11"/>
      <c r="S669" s="11"/>
      <c r="T669" s="1"/>
      <c r="U669" s="1"/>
      <c r="V669" s="1"/>
      <c r="W669" s="1"/>
      <c r="X669" s="1"/>
      <c r="Y669" s="1"/>
      <c r="Z669" s="1"/>
    </row>
    <row r="670" ht="18.0" customHeight="1" outlineLevel="2">
      <c r="A670" s="1">
        <v>7.0</v>
      </c>
      <c r="B670" s="1"/>
      <c r="C670" s="1"/>
      <c r="D670" s="1"/>
      <c r="E670" s="14"/>
      <c r="F670" s="15"/>
      <c r="G670" s="16"/>
      <c r="H670" s="11"/>
      <c r="I670" s="7"/>
      <c r="J670" s="7" t="str">
        <f>IFERROR(LET(_xlpm.v,
VLOOKUP($I670,'用語辞書'!$A:$B,COLUMN('用語辞書'!B$1),FALSE),
IF(_xlpm.v=0,"",_xlpm.v)
),"")</f>
        <v/>
      </c>
      <c r="K670" s="17"/>
      <c r="L670" s="17" t="str">
        <f>IF(OR(COUNTIF('クラス'!$A$1:$A$1267,$B670)&gt;0,$B670="",$M670=""),"",True)</f>
        <v/>
      </c>
      <c r="M670" s="1" t="str">
        <f t="shared" si="18"/>
        <v>存在しない</v>
      </c>
      <c r="N670" s="1" t="s">
        <v>29</v>
      </c>
      <c r="O670" s="1"/>
      <c r="P670" s="11"/>
      <c r="Q670" s="11"/>
      <c r="R670" s="11"/>
      <c r="S670" s="11"/>
      <c r="T670" s="1"/>
      <c r="U670" s="1"/>
      <c r="V670" s="1"/>
      <c r="W670" s="1"/>
      <c r="X670" s="1"/>
      <c r="Y670" s="1"/>
      <c r="Z670" s="1"/>
    </row>
    <row r="671" ht="18.0" customHeight="1" outlineLevel="2">
      <c r="A671" s="1">
        <v>8.0</v>
      </c>
      <c r="B671" s="1"/>
      <c r="C671" s="1"/>
      <c r="D671" s="1"/>
      <c r="E671" s="14"/>
      <c r="F671" s="15"/>
      <c r="G671" s="16"/>
      <c r="H671" s="11"/>
      <c r="I671" s="7"/>
      <c r="J671" s="7" t="str">
        <f>IFERROR(LET(_xlpm.v,
VLOOKUP($I671,'用語辞書'!$A:$B,COLUMN('用語辞書'!B$1),FALSE),
IF(_xlpm.v=0,"",_xlpm.v)
),"")</f>
        <v/>
      </c>
      <c r="K671" s="17"/>
      <c r="L671" s="17" t="str">
        <f>IF(OR(COUNTIF('クラス'!$A$1:$A$1267,$B671)&gt;0,$B671="",$M671=""),"",True)</f>
        <v/>
      </c>
      <c r="M671" s="1" t="str">
        <f t="shared" si="18"/>
        <v>存在しない</v>
      </c>
      <c r="N671" s="1" t="s">
        <v>29</v>
      </c>
      <c r="O671" s="1"/>
      <c r="P671" s="11"/>
      <c r="Q671" s="11"/>
      <c r="R671" s="11"/>
      <c r="S671" s="11"/>
      <c r="T671" s="1"/>
      <c r="U671" s="1"/>
      <c r="V671" s="1"/>
      <c r="W671" s="1"/>
      <c r="X671" s="1"/>
      <c r="Y671" s="1"/>
      <c r="Z671" s="1"/>
    </row>
    <row r="672" ht="18.0" customHeight="1" outlineLevel="2">
      <c r="A672" s="1">
        <v>9.0</v>
      </c>
      <c r="B672" s="1"/>
      <c r="C672" s="1"/>
      <c r="D672" s="1"/>
      <c r="E672" s="14"/>
      <c r="F672" s="15"/>
      <c r="G672" s="16"/>
      <c r="H672" s="11"/>
      <c r="I672" s="7"/>
      <c r="J672" s="7" t="str">
        <f>IFERROR(LET(_xlpm.v,
VLOOKUP($I672,'用語辞書'!$A:$B,COLUMN('用語辞書'!B$1),FALSE),
IF(_xlpm.v=0,"",_xlpm.v)
),"")</f>
        <v/>
      </c>
      <c r="K672" s="17"/>
      <c r="L672" s="17" t="str">
        <f>IF(OR(COUNTIF('クラス'!$A$1:$A$1267,$B672)&gt;0,$B672="",$M672=""),"",True)</f>
        <v/>
      </c>
      <c r="M672" s="1" t="str">
        <f t="shared" si="18"/>
        <v>存在しない</v>
      </c>
      <c r="N672" s="1" t="s">
        <v>29</v>
      </c>
      <c r="O672" s="1"/>
      <c r="P672" s="11"/>
      <c r="Q672" s="11"/>
      <c r="R672" s="11"/>
      <c r="S672" s="11"/>
      <c r="T672" s="1"/>
      <c r="U672" s="1"/>
      <c r="V672" s="1"/>
      <c r="W672" s="1"/>
      <c r="X672" s="1"/>
      <c r="Y672" s="1"/>
      <c r="Z672" s="1"/>
    </row>
    <row r="673" ht="18.0" customHeight="1" outlineLevel="2">
      <c r="A673" s="1">
        <v>10.0</v>
      </c>
      <c r="B673" s="1"/>
      <c r="C673" s="1"/>
      <c r="D673" s="1"/>
      <c r="E673" s="14"/>
      <c r="F673" s="15"/>
      <c r="G673" s="16"/>
      <c r="H673" s="11"/>
      <c r="I673" s="7"/>
      <c r="J673" s="7" t="str">
        <f>IFERROR(LET(_xlpm.v,
VLOOKUP($I673,'用語辞書'!$A:$B,COLUMN('用語辞書'!B$1),FALSE),
IF(_xlpm.v=0,"",_xlpm.v)
),"")</f>
        <v/>
      </c>
      <c r="K673" s="17"/>
      <c r="L673" s="17" t="str">
        <f>IF(OR(COUNTIF('クラス'!$A$1:$A$1267,$B673)&gt;0,$B673="",$M673=""),"",True)</f>
        <v/>
      </c>
      <c r="M673" s="1" t="str">
        <f t="shared" si="18"/>
        <v>存在しない</v>
      </c>
      <c r="N673" s="1" t="s">
        <v>29</v>
      </c>
      <c r="O673" s="1"/>
      <c r="P673" s="11"/>
      <c r="Q673" s="11"/>
      <c r="R673" s="11"/>
      <c r="S673" s="11"/>
      <c r="T673" s="1"/>
      <c r="U673" s="1"/>
      <c r="V673" s="1"/>
      <c r="W673" s="1"/>
      <c r="X673" s="1"/>
      <c r="Y673" s="1"/>
      <c r="Z673" s="1"/>
    </row>
    <row r="674" ht="18.0" customHeight="1" outlineLevel="2">
      <c r="A674" s="1"/>
      <c r="B674" s="1"/>
      <c r="C674" s="1"/>
      <c r="D674" s="1"/>
      <c r="E674" s="14"/>
      <c r="F674" s="15"/>
      <c r="G674" s="16"/>
      <c r="H674" s="11"/>
      <c r="I674" s="7"/>
      <c r="J674" s="7" t="str">
        <f>IFERROR(LET(_xlpm.v,
VLOOKUP($I674,'用語辞書'!$A:$B,COLUMN('用語辞書'!B$1),FALSE),
IF(_xlpm.v=0,"",_xlpm.v)
),"")</f>
        <v/>
      </c>
      <c r="K674" s="17"/>
      <c r="L674" s="17" t="str">
        <f>IF(OR(COUNTIF('クラス'!$A$1:$A$1267,$B674)&gt;0,$B674="",$M674=""),"",True)</f>
        <v/>
      </c>
      <c r="M674" s="1" t="str">
        <f t="shared" si="18"/>
        <v>存在しない</v>
      </c>
      <c r="N674" s="1" t="s">
        <v>29</v>
      </c>
      <c r="O674" s="1"/>
      <c r="P674" s="11"/>
      <c r="Q674" s="11"/>
      <c r="R674" s="11"/>
      <c r="S674" s="11"/>
      <c r="T674" s="1"/>
      <c r="U674" s="1"/>
      <c r="V674" s="1"/>
      <c r="W674" s="1"/>
      <c r="X674" s="1"/>
      <c r="Y674" s="1"/>
      <c r="Z674" s="1"/>
    </row>
    <row r="675" ht="18.0" customHeight="1" outlineLevel="1" collapsed="1">
      <c r="A675" s="1"/>
      <c r="B675" s="1"/>
      <c r="C675" s="1"/>
      <c r="D675" s="1"/>
      <c r="E675" s="14"/>
      <c r="F675" s="15"/>
      <c r="G675" s="16"/>
      <c r="H675" s="11"/>
      <c r="I675" s="7"/>
      <c r="J675" s="7" t="str">
        <f>IFERROR(LET(_xlpm.v,
VLOOKUP($I675,'用語辞書'!$A:$B,COLUMN('用語辞書'!B$1),FALSE),
IF(_xlpm.v=0,"",_xlpm.v)
),"")</f>
        <v/>
      </c>
      <c r="K675" s="17"/>
      <c r="L675" s="17" t="str">
        <f>IF(OR(COUNTIF('クラス'!$A$1:$A$1267,$B675)&gt;0,$B675="",$M675=""),"",True)</f>
        <v/>
      </c>
      <c r="M675" s="1" t="str">
        <f t="shared" si="18"/>
        <v>存在しない</v>
      </c>
      <c r="N675" s="1" t="s">
        <v>29</v>
      </c>
      <c r="O675" s="1"/>
      <c r="P675" s="11"/>
      <c r="Q675" s="11"/>
      <c r="R675" s="11"/>
      <c r="S675" s="11"/>
      <c r="T675" s="1"/>
      <c r="U675" s="1"/>
      <c r="V675" s="1"/>
      <c r="W675" s="1"/>
      <c r="X675" s="1"/>
      <c r="Y675" s="1"/>
      <c r="Z675" s="1"/>
    </row>
    <row r="676" ht="18.0" customHeight="1" outlineLevel="1">
      <c r="A676" s="1"/>
      <c r="B676" s="1" t="s">
        <v>1206</v>
      </c>
      <c r="C676" s="1"/>
      <c r="D676" s="1"/>
      <c r="E676" s="14"/>
      <c r="F676" s="15"/>
      <c r="G676" s="16"/>
      <c r="H676" s="11"/>
      <c r="I676" s="7"/>
      <c r="J676" s="7" t="str">
        <f>IFERROR(LET(_xlpm.v,
VLOOKUP($I676,'用語辞書'!$A:$B,COLUMN('用語辞書'!B$1),FALSE),
IF(_xlpm.v=0,"",_xlpm.v)
),"")</f>
        <v/>
      </c>
      <c r="K676" s="17"/>
      <c r="L676" s="17" t="str">
        <f>IF(OR(COUNTIF('クラス'!$A$1:$A$1267,$B676)&gt;0,$B676="",$M676=""),"",True)</f>
        <v/>
      </c>
      <c r="M676" s="1" t="str">
        <f>IF(COUNTIF($B$1:$C663, $B676), "", "存在しない")</f>
        <v>存在しない</v>
      </c>
      <c r="N676" s="1" t="s">
        <v>29</v>
      </c>
      <c r="O676" s="1"/>
      <c r="P676" s="11"/>
      <c r="Q676" s="11"/>
      <c r="R676" s="11"/>
      <c r="S676" s="11"/>
      <c r="T676" s="1"/>
      <c r="U676" s="1"/>
      <c r="V676" s="1"/>
      <c r="W676" s="1"/>
      <c r="X676" s="1"/>
      <c r="Y676" s="1"/>
      <c r="Z676" s="1"/>
    </row>
    <row r="677" ht="18.0" customHeight="1" outlineLevel="2">
      <c r="A677" s="1">
        <v>1.0</v>
      </c>
      <c r="B677" s="1"/>
      <c r="C677" s="1"/>
      <c r="D677" s="1"/>
      <c r="E677" s="14"/>
      <c r="F677" s="15"/>
      <c r="G677" s="16"/>
      <c r="H677" s="11"/>
      <c r="I677" s="7"/>
      <c r="J677" s="7" t="str">
        <f>IFERROR(LET(_xlpm.v,
VLOOKUP($I677,'用語辞書'!$A:$B,COLUMN('用語辞書'!B$1),FALSE),
IF(_xlpm.v=0,"",_xlpm.v)
),"")</f>
        <v/>
      </c>
      <c r="K677" s="17"/>
      <c r="L677" s="17" t="str">
        <f>IF(OR(COUNTIF('クラス'!$A$1:$A$1267,$B677)&gt;0,$B677="",$M677=""),"",True)</f>
        <v/>
      </c>
      <c r="M677" s="1" t="str">
        <f t="shared" ref="M677:M688" si="19">IF(COUNTIF($B$1:$C676, $B677), "", "存在しない")</f>
        <v>存在しない</v>
      </c>
      <c r="N677" s="1" t="s">
        <v>29</v>
      </c>
      <c r="O677" s="1"/>
      <c r="P677" s="11"/>
      <c r="Q677" s="11"/>
      <c r="R677" s="11"/>
      <c r="S677" s="11"/>
      <c r="T677" s="1"/>
      <c r="U677" s="1"/>
      <c r="V677" s="1"/>
      <c r="W677" s="1"/>
      <c r="X677" s="1"/>
      <c r="Y677" s="1"/>
      <c r="Z677" s="1"/>
    </row>
    <row r="678" ht="18.0" customHeight="1" outlineLevel="2">
      <c r="A678" s="1">
        <v>2.0</v>
      </c>
      <c r="B678" s="1"/>
      <c r="C678" s="1"/>
      <c r="D678" s="1"/>
      <c r="E678" s="14"/>
      <c r="F678" s="15"/>
      <c r="G678" s="16"/>
      <c r="H678" s="11"/>
      <c r="I678" s="7"/>
      <c r="J678" s="7" t="str">
        <f>IFERROR(LET(_xlpm.v,
VLOOKUP($I678,'用語辞書'!$A:$B,COLUMN('用語辞書'!B$1),FALSE),
IF(_xlpm.v=0,"",_xlpm.v)
),"")</f>
        <v/>
      </c>
      <c r="K678" s="17"/>
      <c r="L678" s="17" t="str">
        <f>IF(OR(COUNTIF('クラス'!$A$1:$A$1267,$B678)&gt;0,$B678="",$M678=""),"",True)</f>
        <v/>
      </c>
      <c r="M678" s="1" t="str">
        <f t="shared" si="19"/>
        <v>存在しない</v>
      </c>
      <c r="N678" s="1" t="s">
        <v>29</v>
      </c>
      <c r="O678" s="1"/>
      <c r="P678" s="11"/>
      <c r="Q678" s="11"/>
      <c r="R678" s="11"/>
      <c r="S678" s="11"/>
      <c r="T678" s="1"/>
      <c r="U678" s="1"/>
      <c r="V678" s="1"/>
      <c r="W678" s="1"/>
      <c r="X678" s="1"/>
      <c r="Y678" s="1"/>
      <c r="Z678" s="1"/>
    </row>
    <row r="679" ht="18.0" customHeight="1" outlineLevel="2">
      <c r="A679" s="1">
        <v>3.0</v>
      </c>
      <c r="B679" s="1"/>
      <c r="C679" s="1"/>
      <c r="D679" s="1"/>
      <c r="E679" s="14"/>
      <c r="F679" s="15"/>
      <c r="G679" s="16"/>
      <c r="H679" s="11"/>
      <c r="I679" s="7"/>
      <c r="J679" s="7" t="str">
        <f>IFERROR(LET(_xlpm.v,
VLOOKUP($I679,'用語辞書'!$A:$B,COLUMN('用語辞書'!B$1),FALSE),
IF(_xlpm.v=0,"",_xlpm.v)
),"")</f>
        <v/>
      </c>
      <c r="K679" s="17"/>
      <c r="L679" s="17" t="str">
        <f>IF(OR(COUNTIF('クラス'!$A$1:$A$1267,$B679)&gt;0,$B679="",$M679=""),"",True)</f>
        <v/>
      </c>
      <c r="M679" s="1" t="str">
        <f t="shared" si="19"/>
        <v>存在しない</v>
      </c>
      <c r="N679" s="1" t="s">
        <v>29</v>
      </c>
      <c r="O679" s="1"/>
      <c r="P679" s="11"/>
      <c r="Q679" s="11"/>
      <c r="R679" s="11"/>
      <c r="S679" s="11"/>
      <c r="T679" s="1"/>
      <c r="U679" s="1"/>
      <c r="V679" s="1"/>
      <c r="W679" s="1"/>
      <c r="X679" s="1"/>
      <c r="Y679" s="1"/>
      <c r="Z679" s="1"/>
    </row>
    <row r="680" ht="18.0" customHeight="1" outlineLevel="2">
      <c r="A680" s="1">
        <v>4.0</v>
      </c>
      <c r="B680" s="1"/>
      <c r="C680" s="1"/>
      <c r="D680" s="1"/>
      <c r="E680" s="14"/>
      <c r="F680" s="15"/>
      <c r="G680" s="16"/>
      <c r="H680" s="11"/>
      <c r="I680" s="7"/>
      <c r="J680" s="7" t="str">
        <f>IFERROR(LET(_xlpm.v,
VLOOKUP($I680,'用語辞書'!$A:$B,COLUMN('用語辞書'!B$1),FALSE),
IF(_xlpm.v=0,"",_xlpm.v)
),"")</f>
        <v/>
      </c>
      <c r="K680" s="17"/>
      <c r="L680" s="17" t="str">
        <f>IF(OR(COUNTIF('クラス'!$A$1:$A$1267,$B680)&gt;0,$B680="",$M680=""),"",True)</f>
        <v/>
      </c>
      <c r="M680" s="1" t="str">
        <f t="shared" si="19"/>
        <v>存在しない</v>
      </c>
      <c r="N680" s="1" t="s">
        <v>29</v>
      </c>
      <c r="O680" s="1"/>
      <c r="P680" s="11"/>
      <c r="Q680" s="11"/>
      <c r="R680" s="11"/>
      <c r="S680" s="11"/>
      <c r="T680" s="1"/>
      <c r="U680" s="1"/>
      <c r="V680" s="1"/>
      <c r="W680" s="1"/>
      <c r="X680" s="1"/>
      <c r="Y680" s="1"/>
      <c r="Z680" s="1"/>
    </row>
    <row r="681" ht="18.0" customHeight="1" outlineLevel="2">
      <c r="A681" s="1">
        <v>5.0</v>
      </c>
      <c r="B681" s="1"/>
      <c r="C681" s="1"/>
      <c r="D681" s="1"/>
      <c r="E681" s="14"/>
      <c r="F681" s="15"/>
      <c r="G681" s="16"/>
      <c r="H681" s="11"/>
      <c r="I681" s="7"/>
      <c r="J681" s="7" t="str">
        <f>IFERROR(LET(_xlpm.v,
VLOOKUP($I681,'用語辞書'!$A:$B,COLUMN('用語辞書'!B$1),FALSE),
IF(_xlpm.v=0,"",_xlpm.v)
),"")</f>
        <v/>
      </c>
      <c r="K681" s="17"/>
      <c r="L681" s="17" t="str">
        <f>IF(OR(COUNTIF('クラス'!$A$1:$A$1267,$B681)&gt;0,$B681="",$M681=""),"",True)</f>
        <v/>
      </c>
      <c r="M681" s="1" t="str">
        <f t="shared" si="19"/>
        <v>存在しない</v>
      </c>
      <c r="N681" s="1" t="s">
        <v>29</v>
      </c>
      <c r="O681" s="1"/>
      <c r="P681" s="11"/>
      <c r="Q681" s="11"/>
      <c r="R681" s="11"/>
      <c r="S681" s="11"/>
      <c r="T681" s="1"/>
      <c r="U681" s="1"/>
      <c r="V681" s="1"/>
      <c r="W681" s="1"/>
      <c r="X681" s="1"/>
      <c r="Y681" s="1"/>
      <c r="Z681" s="1"/>
    </row>
    <row r="682" ht="18.0" customHeight="1" outlineLevel="2">
      <c r="A682" s="1">
        <v>6.0</v>
      </c>
      <c r="B682" s="1"/>
      <c r="C682" s="1"/>
      <c r="D682" s="1"/>
      <c r="E682" s="14"/>
      <c r="F682" s="15"/>
      <c r="G682" s="16"/>
      <c r="H682" s="11"/>
      <c r="I682" s="7"/>
      <c r="J682" s="7" t="str">
        <f>IFERROR(LET(_xlpm.v,
VLOOKUP($I682,'用語辞書'!$A:$B,COLUMN('用語辞書'!B$1),FALSE),
IF(_xlpm.v=0,"",_xlpm.v)
),"")</f>
        <v/>
      </c>
      <c r="K682" s="17"/>
      <c r="L682" s="17" t="str">
        <f>IF(OR(COUNTIF('クラス'!$A$1:$A$1267,$B682)&gt;0,$B682="",$M682=""),"",True)</f>
        <v/>
      </c>
      <c r="M682" s="1" t="str">
        <f t="shared" si="19"/>
        <v>存在しない</v>
      </c>
      <c r="N682" s="1" t="s">
        <v>29</v>
      </c>
      <c r="O682" s="1"/>
      <c r="P682" s="11"/>
      <c r="Q682" s="11"/>
      <c r="R682" s="11"/>
      <c r="S682" s="11"/>
      <c r="T682" s="1"/>
      <c r="U682" s="1"/>
      <c r="V682" s="1"/>
      <c r="W682" s="1"/>
      <c r="X682" s="1"/>
      <c r="Y682" s="1"/>
      <c r="Z682" s="1"/>
    </row>
    <row r="683" ht="18.0" customHeight="1" outlineLevel="2">
      <c r="A683" s="1">
        <v>7.0</v>
      </c>
      <c r="B683" s="1"/>
      <c r="C683" s="1"/>
      <c r="D683" s="1"/>
      <c r="E683" s="14"/>
      <c r="F683" s="15"/>
      <c r="G683" s="16"/>
      <c r="H683" s="11"/>
      <c r="I683" s="7"/>
      <c r="J683" s="7" t="str">
        <f>IFERROR(LET(_xlpm.v,
VLOOKUP($I683,'用語辞書'!$A:$B,COLUMN('用語辞書'!B$1),FALSE),
IF(_xlpm.v=0,"",_xlpm.v)
),"")</f>
        <v/>
      </c>
      <c r="K683" s="17"/>
      <c r="L683" s="17" t="str">
        <f>IF(OR(COUNTIF('クラス'!$A$1:$A$1267,$B683)&gt;0,$B683="",$M683=""),"",True)</f>
        <v/>
      </c>
      <c r="M683" s="1" t="str">
        <f t="shared" si="19"/>
        <v>存在しない</v>
      </c>
      <c r="N683" s="1" t="s">
        <v>29</v>
      </c>
      <c r="O683" s="1"/>
      <c r="P683" s="11"/>
      <c r="Q683" s="11"/>
      <c r="R683" s="11"/>
      <c r="S683" s="11"/>
      <c r="T683" s="1"/>
      <c r="U683" s="1"/>
      <c r="V683" s="1"/>
      <c r="W683" s="1"/>
      <c r="X683" s="1"/>
      <c r="Y683" s="1"/>
      <c r="Z683" s="1"/>
    </row>
    <row r="684" ht="18.0" customHeight="1" outlineLevel="2">
      <c r="A684" s="1">
        <v>8.0</v>
      </c>
      <c r="B684" s="1"/>
      <c r="C684" s="1"/>
      <c r="D684" s="1"/>
      <c r="E684" s="14"/>
      <c r="F684" s="15"/>
      <c r="G684" s="16"/>
      <c r="H684" s="11"/>
      <c r="I684" s="7"/>
      <c r="J684" s="7" t="str">
        <f>IFERROR(LET(_xlpm.v,
VLOOKUP($I684,'用語辞書'!$A:$B,COLUMN('用語辞書'!B$1),FALSE),
IF(_xlpm.v=0,"",_xlpm.v)
),"")</f>
        <v/>
      </c>
      <c r="K684" s="17"/>
      <c r="L684" s="17" t="str">
        <f>IF(OR(COUNTIF('クラス'!$A$1:$A$1267,$B684)&gt;0,$B684="",$M684=""),"",True)</f>
        <v/>
      </c>
      <c r="M684" s="1" t="str">
        <f t="shared" si="19"/>
        <v>存在しない</v>
      </c>
      <c r="N684" s="1" t="s">
        <v>29</v>
      </c>
      <c r="O684" s="1"/>
      <c r="P684" s="11"/>
      <c r="Q684" s="11"/>
      <c r="R684" s="11"/>
      <c r="S684" s="11"/>
      <c r="T684" s="1"/>
      <c r="U684" s="1"/>
      <c r="V684" s="1"/>
      <c r="W684" s="1"/>
      <c r="X684" s="1"/>
      <c r="Y684" s="1"/>
      <c r="Z684" s="1"/>
    </row>
    <row r="685" ht="18.0" customHeight="1" outlineLevel="2">
      <c r="A685" s="1">
        <v>9.0</v>
      </c>
      <c r="B685" s="1"/>
      <c r="C685" s="1"/>
      <c r="D685" s="1"/>
      <c r="E685" s="14"/>
      <c r="F685" s="15"/>
      <c r="G685" s="16"/>
      <c r="H685" s="11"/>
      <c r="I685" s="7"/>
      <c r="J685" s="7" t="str">
        <f>IFERROR(LET(_xlpm.v,
VLOOKUP($I685,'用語辞書'!$A:$B,COLUMN('用語辞書'!B$1),FALSE),
IF(_xlpm.v=0,"",_xlpm.v)
),"")</f>
        <v/>
      </c>
      <c r="K685" s="17"/>
      <c r="L685" s="17" t="str">
        <f>IF(OR(COUNTIF('クラス'!$A$1:$A$1267,$B685)&gt;0,$B685="",$M685=""),"",True)</f>
        <v/>
      </c>
      <c r="M685" s="1" t="str">
        <f t="shared" si="19"/>
        <v>存在しない</v>
      </c>
      <c r="N685" s="1" t="s">
        <v>29</v>
      </c>
      <c r="O685" s="1"/>
      <c r="P685" s="11"/>
      <c r="Q685" s="11"/>
      <c r="R685" s="11"/>
      <c r="S685" s="11"/>
      <c r="T685" s="1"/>
      <c r="U685" s="1"/>
      <c r="V685" s="1"/>
      <c r="W685" s="1"/>
      <c r="X685" s="1"/>
      <c r="Y685" s="1"/>
      <c r="Z685" s="1"/>
    </row>
    <row r="686" ht="18.0" customHeight="1" outlineLevel="2">
      <c r="A686" s="1">
        <v>10.0</v>
      </c>
      <c r="B686" s="1"/>
      <c r="C686" s="1"/>
      <c r="D686" s="1"/>
      <c r="E686" s="14"/>
      <c r="F686" s="15"/>
      <c r="G686" s="16"/>
      <c r="H686" s="11"/>
      <c r="I686" s="7"/>
      <c r="J686" s="7" t="str">
        <f>IFERROR(LET(_xlpm.v,
VLOOKUP($I686,'用語辞書'!$A:$B,COLUMN('用語辞書'!B$1),FALSE),
IF(_xlpm.v=0,"",_xlpm.v)
),"")</f>
        <v/>
      </c>
      <c r="K686" s="17"/>
      <c r="L686" s="17" t="str">
        <f>IF(OR(COUNTIF('クラス'!$A$1:$A$1267,$B686)&gt;0,$B686="",$M686=""),"",True)</f>
        <v/>
      </c>
      <c r="M686" s="1" t="str">
        <f t="shared" si="19"/>
        <v>存在しない</v>
      </c>
      <c r="N686" s="1" t="s">
        <v>29</v>
      </c>
      <c r="O686" s="1"/>
      <c r="P686" s="11"/>
      <c r="Q686" s="11"/>
      <c r="R686" s="11"/>
      <c r="S686" s="11"/>
      <c r="T686" s="1"/>
      <c r="U686" s="1"/>
      <c r="V686" s="1"/>
      <c r="W686" s="1"/>
      <c r="X686" s="1"/>
      <c r="Y686" s="1"/>
      <c r="Z686" s="1"/>
    </row>
    <row r="687" ht="18.0" customHeight="1" outlineLevel="1">
      <c r="A687" s="1"/>
      <c r="B687" s="1"/>
      <c r="C687" s="1"/>
      <c r="D687" s="1"/>
      <c r="E687" s="14"/>
      <c r="F687" s="15"/>
      <c r="G687" s="16"/>
      <c r="H687" s="11"/>
      <c r="I687" s="7"/>
      <c r="J687" s="7" t="str">
        <f>IFERROR(LET(_xlpm.v,
VLOOKUP($I687,'用語辞書'!$A:$B,COLUMN('用語辞書'!B$1),FALSE),
IF(_xlpm.v=0,"",_xlpm.v)
),"")</f>
        <v/>
      </c>
      <c r="K687" s="17"/>
      <c r="L687" s="17" t="str">
        <f>IF(OR(COUNTIF('クラス'!$A$1:$A$1267,$B687)&gt;0,$B687="",$M687=""),"",True)</f>
        <v/>
      </c>
      <c r="M687" s="1" t="str">
        <f t="shared" si="19"/>
        <v>存在しない</v>
      </c>
      <c r="N687" s="1" t="s">
        <v>29</v>
      </c>
      <c r="O687" s="1"/>
      <c r="P687" s="11"/>
      <c r="Q687" s="11"/>
      <c r="R687" s="11"/>
      <c r="S687" s="11"/>
      <c r="T687" s="1"/>
      <c r="U687" s="1"/>
      <c r="V687" s="1"/>
      <c r="W687" s="1"/>
      <c r="X687" s="1"/>
      <c r="Y687" s="1"/>
      <c r="Z687" s="1"/>
    </row>
    <row r="688" ht="18.0" customHeight="1" collapsed="1">
      <c r="A688" s="1"/>
      <c r="B688" s="1"/>
      <c r="C688" s="1"/>
      <c r="D688" s="1"/>
      <c r="E688" s="14"/>
      <c r="F688" s="15"/>
      <c r="G688" s="16"/>
      <c r="H688" s="11"/>
      <c r="I688" s="7"/>
      <c r="J688" s="7" t="str">
        <f>IFERROR(LET(_xlpm.v,
VLOOKUP($I688,'用語辞書'!$A:$B,COLUMN('用語辞書'!B$1),FALSE),
IF(_xlpm.v=0,"",_xlpm.v)
),"")</f>
        <v/>
      </c>
      <c r="K688" s="17"/>
      <c r="L688" s="17" t="str">
        <f>IF(OR(COUNTIF('クラス'!$A$1:$A$1267,$B688)&gt;0,$B688="",$M688=""),"",True)</f>
        <v/>
      </c>
      <c r="M688" s="1" t="str">
        <f t="shared" si="19"/>
        <v>存在しない</v>
      </c>
      <c r="N688" s="1" t="s">
        <v>29</v>
      </c>
      <c r="O688" s="1"/>
      <c r="P688" s="11"/>
      <c r="Q688" s="11"/>
      <c r="R688" s="11"/>
      <c r="S688" s="11"/>
      <c r="T688" s="1"/>
      <c r="U688" s="1"/>
      <c r="V688" s="1"/>
      <c r="W688" s="1"/>
      <c r="X688" s="1"/>
      <c r="Y688" s="1"/>
      <c r="Z688" s="1"/>
    </row>
    <row r="689" ht="18.0" customHeight="1">
      <c r="A689" s="1"/>
      <c r="B689" s="1"/>
      <c r="C689" s="26" t="s">
        <v>1207</v>
      </c>
      <c r="D689" s="1"/>
      <c r="E689" s="14"/>
      <c r="F689" s="15"/>
      <c r="G689" s="16"/>
      <c r="H689" s="11"/>
      <c r="I689" s="7"/>
      <c r="J689" s="7" t="str">
        <f>IFERROR(LET(_xlpm.v,
VLOOKUP($I689,'用語辞書'!$A:$B,COLUMN('用語辞書'!B$1),FALSE),
IF(_xlpm.v=0,"",_xlpm.v)
),"")</f>
        <v/>
      </c>
      <c r="K689" s="17"/>
      <c r="L689" s="17" t="str">
        <f>IF(OR(COUNTIF('クラス'!$A$1:$A$1267,$B689)&gt;0,$B689="",$M689=""),"",True)</f>
        <v/>
      </c>
      <c r="M689" s="1" t="str">
        <f>IF(COUNTIF($B$1:$C676, $B689), "", "存在しない")</f>
        <v>存在しない</v>
      </c>
      <c r="N689" s="1" t="s">
        <v>29</v>
      </c>
      <c r="O689" s="1"/>
      <c r="P689" s="11"/>
      <c r="Q689" s="11"/>
      <c r="R689" s="11"/>
      <c r="S689" s="11"/>
      <c r="T689" s="1"/>
      <c r="U689" s="1"/>
      <c r="V689" s="1"/>
      <c r="W689" s="1"/>
      <c r="X689" s="1"/>
      <c r="Y689" s="1"/>
      <c r="Z689" s="1"/>
    </row>
    <row r="690" ht="18.0" customHeight="1" outlineLevel="1">
      <c r="A690" s="1"/>
      <c r="B690" s="1" t="s">
        <v>1208</v>
      </c>
      <c r="C690" s="1"/>
      <c r="D690" s="1"/>
      <c r="E690" s="14"/>
      <c r="F690" s="15"/>
      <c r="G690" s="16"/>
      <c r="H690" s="11"/>
      <c r="I690" s="7"/>
      <c r="J690" s="7" t="str">
        <f>IFERROR(LET(_xlpm.v,
VLOOKUP($I690,'用語辞書'!$A:$B,COLUMN('用語辞書'!B$1),FALSE),
IF(_xlpm.v=0,"",_xlpm.v)
),"")</f>
        <v/>
      </c>
      <c r="K690" s="17"/>
      <c r="L690" s="17" t="str">
        <f>IF(OR(COUNTIF('クラス'!$A$1:$A$1267,$B690)&gt;0,$B690="",$M690=""),"",True)</f>
        <v/>
      </c>
      <c r="M690" s="1" t="str">
        <f t="shared" ref="M690:M763" si="20">IF(COUNTIF($B$1:$C689, $B690), "", "存在しない")</f>
        <v>存在しない</v>
      </c>
      <c r="N690" s="1" t="s">
        <v>29</v>
      </c>
      <c r="O690" s="1"/>
      <c r="P690" s="11"/>
      <c r="Q690" s="11"/>
      <c r="R690" s="11"/>
      <c r="S690" s="11"/>
      <c r="T690" s="1"/>
      <c r="U690" s="1"/>
      <c r="V690" s="1"/>
      <c r="W690" s="1"/>
      <c r="X690" s="1"/>
      <c r="Y690" s="1"/>
      <c r="Z690" s="1"/>
    </row>
    <row r="691" ht="18.0" customHeight="1" outlineLevel="2">
      <c r="A691" s="1">
        <v>1.0</v>
      </c>
      <c r="B691" s="26" t="s">
        <v>37</v>
      </c>
      <c r="C691" s="1"/>
      <c r="D691" s="1"/>
      <c r="E691" s="14"/>
      <c r="F691" s="15"/>
      <c r="G691" s="16"/>
      <c r="H691" s="11"/>
      <c r="I691" s="7"/>
      <c r="J691" s="7" t="str">
        <f>IFERROR(LET(_xlpm.v,
VLOOKUP($I691,'用語辞書'!$A:$B,COLUMN('用語辞書'!B$1),FALSE),
IF(_xlpm.v=0,"",_xlpm.v)
),"")</f>
        <v/>
      </c>
      <c r="K691" s="17"/>
      <c r="L691" s="17" t="str">
        <f>IF(OR(COUNTIF('クラス'!$A$1:$A$1267,$B691)&gt;0,$B691="",$M691=""),"",True)</f>
        <v/>
      </c>
      <c r="M691" s="1" t="str">
        <f t="shared" si="20"/>
        <v/>
      </c>
      <c r="N691" s="1" t="s">
        <v>29</v>
      </c>
      <c r="O691" s="1"/>
      <c r="P691" s="11"/>
      <c r="Q691" s="11"/>
      <c r="R691" s="11"/>
      <c r="S691" s="11"/>
      <c r="T691" s="1"/>
      <c r="U691" s="1"/>
      <c r="V691" s="1"/>
      <c r="W691" s="1"/>
      <c r="X691" s="1"/>
      <c r="Y691" s="1"/>
      <c r="Z691" s="1"/>
    </row>
    <row r="692" ht="18.0" customHeight="1" outlineLevel="2">
      <c r="A692" s="1">
        <v>2.0</v>
      </c>
      <c r="B692" s="26" t="s">
        <v>35</v>
      </c>
      <c r="C692" s="1"/>
      <c r="D692" s="1"/>
      <c r="E692" s="14"/>
      <c r="F692" s="15"/>
      <c r="G692" s="16"/>
      <c r="H692" s="11"/>
      <c r="I692" s="7"/>
      <c r="J692" s="7" t="str">
        <f>IFERROR(LET(_xlpm.v,
VLOOKUP($I692,'用語辞書'!$A:$B,COLUMN('用語辞書'!B$1),FALSE),
IF(_xlpm.v=0,"",_xlpm.v)
),"")</f>
        <v/>
      </c>
      <c r="K692" s="17"/>
      <c r="L692" s="17" t="str">
        <f>IF(OR(COUNTIF('クラス'!$A$1:$A$1267,$B692)&gt;0,$B692="",$M692=""),"",True)</f>
        <v/>
      </c>
      <c r="M692" s="1" t="str">
        <f t="shared" si="20"/>
        <v/>
      </c>
      <c r="N692" s="1" t="s">
        <v>29</v>
      </c>
      <c r="O692" s="1"/>
      <c r="P692" s="11"/>
      <c r="Q692" s="11"/>
      <c r="R692" s="11"/>
      <c r="S692" s="11"/>
      <c r="T692" s="1"/>
      <c r="U692" s="1"/>
      <c r="V692" s="1"/>
      <c r="W692" s="1"/>
      <c r="X692" s="1"/>
      <c r="Y692" s="1"/>
      <c r="Z692" s="1"/>
    </row>
    <row r="693" ht="18.0" customHeight="1" outlineLevel="2">
      <c r="A693" s="1">
        <v>3.0</v>
      </c>
      <c r="B693" s="26" t="s">
        <v>1209</v>
      </c>
      <c r="C693" s="1"/>
      <c r="D693" s="1"/>
      <c r="E693" s="29" t="s">
        <v>55</v>
      </c>
      <c r="F693" s="15"/>
      <c r="G693" s="16"/>
      <c r="H693" s="22" t="s">
        <v>1210</v>
      </c>
      <c r="I693" s="7"/>
      <c r="J693" s="7" t="str">
        <f>IFERROR(LET(_xlpm.v,
VLOOKUP($I693,'用語辞書'!$A:$B,COLUMN('用語辞書'!B$1),FALSE),
IF(_xlpm.v=0,"",_xlpm.v)
),"")</f>
        <v/>
      </c>
      <c r="K693" s="17"/>
      <c r="L693" s="17" t="b">
        <f>IF(OR(COUNTIF('クラス'!$A$1:$A$1267,$B693)&gt;0,$B693="",$M693=""),"",True)</f>
        <v>1</v>
      </c>
      <c r="M693" s="1" t="str">
        <f t="shared" si="20"/>
        <v>存在しない</v>
      </c>
      <c r="N693" s="1" t="s">
        <v>29</v>
      </c>
      <c r="O693" s="1"/>
      <c r="P693" s="11"/>
      <c r="Q693" s="11"/>
      <c r="R693" s="11"/>
      <c r="S693" s="11"/>
      <c r="T693" s="1"/>
      <c r="U693" s="1"/>
      <c r="V693" s="1"/>
      <c r="W693" s="1"/>
      <c r="X693" s="1"/>
      <c r="Y693" s="1"/>
      <c r="Z693" s="1"/>
    </row>
    <row r="694" ht="18.0" customHeight="1" outlineLevel="2">
      <c r="A694" s="1">
        <v>4.0</v>
      </c>
      <c r="B694" s="1"/>
      <c r="C694" s="1"/>
      <c r="D694" s="1"/>
      <c r="E694" s="14"/>
      <c r="F694" s="15"/>
      <c r="G694" s="16"/>
      <c r="H694" s="11"/>
      <c r="I694" s="7"/>
      <c r="J694" s="7" t="str">
        <f>IFERROR(LET(_xlpm.v,
VLOOKUP($I694,'用語辞書'!$A:$B,COLUMN('用語辞書'!B$1),FALSE),
IF(_xlpm.v=0,"",_xlpm.v)
),"")</f>
        <v/>
      </c>
      <c r="K694" s="17"/>
      <c r="L694" s="17" t="str">
        <f>IF(OR(COUNTIF('クラス'!$A$1:$A$1267,$B694)&gt;0,$B694="",$M694=""),"",True)</f>
        <v/>
      </c>
      <c r="M694" s="1" t="str">
        <f t="shared" si="20"/>
        <v>存在しない</v>
      </c>
      <c r="N694" s="1" t="s">
        <v>29</v>
      </c>
      <c r="O694" s="1"/>
      <c r="P694" s="11"/>
      <c r="Q694" s="11"/>
      <c r="R694" s="11"/>
      <c r="S694" s="11"/>
      <c r="T694" s="1"/>
      <c r="U694" s="1"/>
      <c r="V694" s="1"/>
      <c r="W694" s="1"/>
      <c r="X694" s="1"/>
      <c r="Y694" s="1"/>
      <c r="Z694" s="1"/>
    </row>
    <row r="695" ht="18.0" customHeight="1" outlineLevel="2">
      <c r="A695" s="1">
        <v>5.0</v>
      </c>
      <c r="B695" s="26" t="s">
        <v>1211</v>
      </c>
      <c r="C695" s="1"/>
      <c r="D695" s="1"/>
      <c r="E695" s="29" t="s">
        <v>55</v>
      </c>
      <c r="F695" s="15"/>
      <c r="G695" s="16"/>
      <c r="H695" s="22" t="s">
        <v>1212</v>
      </c>
      <c r="I695" s="7"/>
      <c r="J695" s="7" t="str">
        <f>IFERROR(LET(_xlpm.v,
VLOOKUP($I695,'用語辞書'!$A:$B,COLUMN('用語辞書'!B$1),FALSE),
IF(_xlpm.v=0,"",_xlpm.v)
),"")</f>
        <v/>
      </c>
      <c r="K695" s="17"/>
      <c r="L695" s="17" t="b">
        <f>IF(OR(COUNTIF('クラス'!$A$1:$A$1267,$B695)&gt;0,$B695="",$M695=""),"",True)</f>
        <v>1</v>
      </c>
      <c r="M695" s="1" t="str">
        <f t="shared" si="20"/>
        <v>存在しない</v>
      </c>
      <c r="N695" s="1" t="s">
        <v>29</v>
      </c>
      <c r="O695" s="1"/>
      <c r="P695" s="11"/>
      <c r="Q695" s="11"/>
      <c r="R695" s="11"/>
      <c r="S695" s="11"/>
      <c r="T695" s="1"/>
      <c r="U695" s="1"/>
      <c r="V695" s="1"/>
      <c r="W695" s="1"/>
      <c r="X695" s="1"/>
      <c r="Y695" s="1"/>
      <c r="Z695" s="1"/>
    </row>
    <row r="696" ht="18.0" customHeight="1" outlineLevel="2">
      <c r="A696" s="1">
        <v>6.0</v>
      </c>
      <c r="B696" s="1"/>
      <c r="C696" s="1"/>
      <c r="D696" s="1"/>
      <c r="E696" s="14"/>
      <c r="F696" s="15"/>
      <c r="G696" s="16"/>
      <c r="H696" s="11"/>
      <c r="I696" s="7"/>
      <c r="J696" s="7" t="str">
        <f>IFERROR(LET(_xlpm.v,
VLOOKUP($I696,'用語辞書'!$A:$B,COLUMN('用語辞書'!B$1),FALSE),
IF(_xlpm.v=0,"",_xlpm.v)
),"")</f>
        <v/>
      </c>
      <c r="K696" s="17"/>
      <c r="L696" s="17" t="str">
        <f>IF(OR(COUNTIF('クラス'!$A$1:$A$1267,$B696)&gt;0,$B696="",$M696=""),"",True)</f>
        <v/>
      </c>
      <c r="M696" s="1" t="str">
        <f t="shared" si="20"/>
        <v>存在しない</v>
      </c>
      <c r="N696" s="1" t="s">
        <v>29</v>
      </c>
      <c r="O696" s="1"/>
      <c r="P696" s="11"/>
      <c r="Q696" s="11"/>
      <c r="R696" s="11"/>
      <c r="S696" s="11"/>
      <c r="T696" s="1"/>
      <c r="U696" s="1"/>
      <c r="V696" s="1"/>
      <c r="W696" s="1"/>
      <c r="X696" s="1"/>
      <c r="Y696" s="1"/>
      <c r="Z696" s="1"/>
    </row>
    <row r="697" ht="18.0" customHeight="1" outlineLevel="2">
      <c r="A697" s="1">
        <v>7.0</v>
      </c>
      <c r="B697" s="26" t="s">
        <v>1213</v>
      </c>
      <c r="C697" s="1"/>
      <c r="D697" s="1"/>
      <c r="E697" s="29" t="s">
        <v>55</v>
      </c>
      <c r="F697" s="15"/>
      <c r="G697" s="16"/>
      <c r="H697" s="22" t="s">
        <v>1214</v>
      </c>
      <c r="I697" s="7"/>
      <c r="J697" s="7" t="str">
        <f>IFERROR(LET(_xlpm.v,
VLOOKUP($I697,'用語辞書'!$A:$B,COLUMN('用語辞書'!B$1),FALSE),
IF(_xlpm.v=0,"",_xlpm.v)
),"")</f>
        <v/>
      </c>
      <c r="K697" s="17"/>
      <c r="L697" s="17" t="b">
        <f>IF(OR(COUNTIF('クラス'!$A$1:$A$1267,$B697)&gt;0,$B697="",$M697=""),"",True)</f>
        <v>1</v>
      </c>
      <c r="M697" s="1" t="str">
        <f t="shared" si="20"/>
        <v>存在しない</v>
      </c>
      <c r="N697" s="1" t="s">
        <v>29</v>
      </c>
      <c r="O697" s="1"/>
      <c r="P697" s="11"/>
      <c r="Q697" s="11"/>
      <c r="R697" s="11"/>
      <c r="S697" s="11"/>
      <c r="T697" s="1"/>
      <c r="U697" s="1"/>
      <c r="V697" s="1"/>
      <c r="W697" s="1"/>
      <c r="X697" s="1"/>
      <c r="Y697" s="1"/>
      <c r="Z697" s="1"/>
    </row>
    <row r="698" ht="18.0" customHeight="1" outlineLevel="2">
      <c r="A698" s="1">
        <v>8.0</v>
      </c>
      <c r="B698" s="1"/>
      <c r="C698" s="1"/>
      <c r="D698" s="1"/>
      <c r="E698" s="14"/>
      <c r="F698" s="15"/>
      <c r="G698" s="16"/>
      <c r="H698" s="11"/>
      <c r="I698" s="7"/>
      <c r="J698" s="7" t="str">
        <f>IFERROR(LET(_xlpm.v,
VLOOKUP($I698,'用語辞書'!$A:$B,COLUMN('用語辞書'!B$1),FALSE),
IF(_xlpm.v=0,"",_xlpm.v)
),"")</f>
        <v/>
      </c>
      <c r="K698" s="17"/>
      <c r="L698" s="17" t="str">
        <f>IF(OR(COUNTIF('クラス'!$A$1:$A$1267,$B698)&gt;0,$B698="",$M698=""),"",True)</f>
        <v/>
      </c>
      <c r="M698" s="1" t="str">
        <f t="shared" si="20"/>
        <v>存在しない</v>
      </c>
      <c r="N698" s="1" t="s">
        <v>29</v>
      </c>
      <c r="O698" s="1"/>
      <c r="P698" s="11"/>
      <c r="Q698" s="11"/>
      <c r="R698" s="11"/>
      <c r="S698" s="11"/>
      <c r="T698" s="1"/>
      <c r="U698" s="1"/>
      <c r="V698" s="1"/>
      <c r="W698" s="1"/>
      <c r="X698" s="1"/>
      <c r="Y698" s="1"/>
      <c r="Z698" s="1"/>
    </row>
    <row r="699" ht="18.0" customHeight="1" outlineLevel="2">
      <c r="A699" s="1">
        <v>9.0</v>
      </c>
      <c r="B699" s="1"/>
      <c r="C699" s="1"/>
      <c r="D699" s="1"/>
      <c r="E699" s="14"/>
      <c r="F699" s="15"/>
      <c r="G699" s="16"/>
      <c r="H699" s="11"/>
      <c r="I699" s="7"/>
      <c r="J699" s="7" t="str">
        <f>IFERROR(LET(_xlpm.v,
VLOOKUP($I699,'用語辞書'!$A:$B,COLUMN('用語辞書'!B$1),FALSE),
IF(_xlpm.v=0,"",_xlpm.v)
),"")</f>
        <v/>
      </c>
      <c r="K699" s="17"/>
      <c r="L699" s="17" t="str">
        <f>IF(OR(COUNTIF('クラス'!$A$1:$A$1267,$B699)&gt;0,$B699="",$M699=""),"",True)</f>
        <v/>
      </c>
      <c r="M699" s="1" t="str">
        <f t="shared" si="20"/>
        <v>存在しない</v>
      </c>
      <c r="N699" s="1" t="s">
        <v>29</v>
      </c>
      <c r="O699" s="1"/>
      <c r="P699" s="11"/>
      <c r="Q699" s="11"/>
      <c r="R699" s="11"/>
      <c r="S699" s="11"/>
      <c r="T699" s="1"/>
      <c r="U699" s="1"/>
      <c r="V699" s="1"/>
      <c r="W699" s="1"/>
      <c r="X699" s="1"/>
      <c r="Y699" s="1"/>
      <c r="Z699" s="1"/>
    </row>
    <row r="700" ht="18.0" customHeight="1" outlineLevel="2">
      <c r="A700" s="1">
        <v>10.0</v>
      </c>
      <c r="B700" s="26" t="s">
        <v>1215</v>
      </c>
      <c r="C700" s="1"/>
      <c r="D700" s="1"/>
      <c r="E700" s="29" t="s">
        <v>55</v>
      </c>
      <c r="F700" s="15"/>
      <c r="G700" s="16"/>
      <c r="H700" s="22" t="s">
        <v>1216</v>
      </c>
      <c r="I700" s="7"/>
      <c r="J700" s="7" t="str">
        <f>IFERROR(LET(_xlpm.v,
VLOOKUP($I700,'用語辞書'!$A:$B,COLUMN('用語辞書'!B$1),FALSE),
IF(_xlpm.v=0,"",_xlpm.v)
),"")</f>
        <v/>
      </c>
      <c r="K700" s="17"/>
      <c r="L700" s="17" t="b">
        <f>IF(OR(COUNTIF('クラス'!$A$1:$A$1267,$B700)&gt;0,$B700="",$M700=""),"",True)</f>
        <v>1</v>
      </c>
      <c r="M700" s="1" t="str">
        <f t="shared" si="20"/>
        <v>存在しない</v>
      </c>
      <c r="N700" s="1" t="s">
        <v>29</v>
      </c>
      <c r="O700" s="1"/>
      <c r="P700" s="11"/>
      <c r="Q700" s="11"/>
      <c r="R700" s="11"/>
      <c r="S700" s="11"/>
      <c r="T700" s="1"/>
      <c r="U700" s="1"/>
      <c r="V700" s="1"/>
      <c r="W700" s="1"/>
      <c r="X700" s="1"/>
      <c r="Y700" s="1"/>
      <c r="Z700" s="1"/>
    </row>
    <row r="701" ht="18.0" customHeight="1" outlineLevel="2">
      <c r="A701" s="1"/>
      <c r="B701" s="1"/>
      <c r="C701" s="1"/>
      <c r="D701" s="1"/>
      <c r="E701" s="14"/>
      <c r="F701" s="15"/>
      <c r="G701" s="16"/>
      <c r="H701" s="11"/>
      <c r="I701" s="7"/>
      <c r="J701" s="7" t="str">
        <f>IFERROR(LET(_xlpm.v,
VLOOKUP($I701,'用語辞書'!$A:$B,COLUMN('用語辞書'!B$1),FALSE),
IF(_xlpm.v=0,"",_xlpm.v)
),"")</f>
        <v/>
      </c>
      <c r="K701" s="17"/>
      <c r="L701" s="17" t="str">
        <f>IF(OR(COUNTIF('クラス'!$A$1:$A$1267,$B701)&gt;0,$B701="",$M701=""),"",True)</f>
        <v/>
      </c>
      <c r="M701" s="1" t="str">
        <f t="shared" si="20"/>
        <v>存在しない</v>
      </c>
      <c r="N701" s="1" t="s">
        <v>29</v>
      </c>
      <c r="O701" s="1"/>
      <c r="P701" s="11"/>
      <c r="Q701" s="11"/>
      <c r="R701" s="11"/>
      <c r="S701" s="11"/>
      <c r="T701" s="1"/>
      <c r="U701" s="1"/>
      <c r="V701" s="1"/>
      <c r="W701" s="1"/>
      <c r="X701" s="1"/>
      <c r="Y701" s="1"/>
      <c r="Z701" s="1"/>
    </row>
    <row r="702" ht="18.0" customHeight="1" outlineLevel="1" collapsed="1">
      <c r="A702" s="1"/>
      <c r="B702" s="1"/>
      <c r="C702" s="1"/>
      <c r="D702" s="1"/>
      <c r="E702" s="14"/>
      <c r="F702" s="15"/>
      <c r="G702" s="16"/>
      <c r="H702" s="11"/>
      <c r="I702" s="7"/>
      <c r="J702" s="7" t="str">
        <f>IFERROR(LET(_xlpm.v,
VLOOKUP($I702,'用語辞書'!$A:$B,COLUMN('用語辞書'!B$1),FALSE),
IF(_xlpm.v=0,"",_xlpm.v)
),"")</f>
        <v/>
      </c>
      <c r="K702" s="17"/>
      <c r="L702" s="17" t="str">
        <f>IF(OR(COUNTIF('クラス'!$A$1:$A$1267,$B702)&gt;0,$B702="",$M702=""),"",True)</f>
        <v/>
      </c>
      <c r="M702" s="1" t="str">
        <f t="shared" si="20"/>
        <v>存在しない</v>
      </c>
      <c r="N702" s="1" t="s">
        <v>29</v>
      </c>
      <c r="O702" s="1"/>
      <c r="P702" s="11"/>
      <c r="Q702" s="11"/>
      <c r="R702" s="11"/>
      <c r="S702" s="11"/>
      <c r="T702" s="1"/>
      <c r="U702" s="1"/>
      <c r="V702" s="1"/>
      <c r="W702" s="1"/>
      <c r="X702" s="1"/>
      <c r="Y702" s="1"/>
      <c r="Z702" s="1"/>
    </row>
    <row r="703" ht="18.0" customHeight="1" outlineLevel="1">
      <c r="A703" s="1"/>
      <c r="B703" s="1" t="s">
        <v>1217</v>
      </c>
      <c r="C703" s="1"/>
      <c r="D703" s="1"/>
      <c r="E703" s="14"/>
      <c r="F703" s="15"/>
      <c r="G703" s="16"/>
      <c r="H703" s="11"/>
      <c r="I703" s="7"/>
      <c r="J703" s="7" t="str">
        <f>IFERROR(LET(_xlpm.v,
VLOOKUP($I703,'用語辞書'!$A:$B,COLUMN('用語辞書'!B$1),FALSE),
IF(_xlpm.v=0,"",_xlpm.v)
),"")</f>
        <v/>
      </c>
      <c r="K703" s="17"/>
      <c r="L703" s="17" t="str">
        <f>IF(OR(COUNTIF('クラス'!$A$1:$A$1267,$B703)&gt;0,$B703="",$M703=""),"",True)</f>
        <v/>
      </c>
      <c r="M703" s="1" t="str">
        <f t="shared" si="20"/>
        <v>存在しない</v>
      </c>
      <c r="N703" s="1" t="s">
        <v>29</v>
      </c>
      <c r="O703" s="1"/>
      <c r="P703" s="11"/>
      <c r="Q703" s="11"/>
      <c r="R703" s="11"/>
      <c r="S703" s="11"/>
      <c r="T703" s="1"/>
      <c r="U703" s="1"/>
      <c r="V703" s="1"/>
      <c r="W703" s="1"/>
      <c r="X703" s="1"/>
      <c r="Y703" s="1"/>
      <c r="Z703" s="1"/>
    </row>
    <row r="704" ht="18.0" customHeight="1" outlineLevel="2">
      <c r="A704" s="1">
        <v>1.0</v>
      </c>
      <c r="B704" s="26" t="s">
        <v>35</v>
      </c>
      <c r="C704" s="1"/>
      <c r="D704" s="1"/>
      <c r="E704" s="14"/>
      <c r="F704" s="15"/>
      <c r="G704" s="16"/>
      <c r="H704" s="11"/>
      <c r="I704" s="7"/>
      <c r="J704" s="7" t="str">
        <f>IFERROR(LET(_xlpm.v,
VLOOKUP($I704,'用語辞書'!$A:$B,COLUMN('用語辞書'!B$1),FALSE),
IF(_xlpm.v=0,"",_xlpm.v)
),"")</f>
        <v/>
      </c>
      <c r="K704" s="17"/>
      <c r="L704" s="17" t="str">
        <f>IF(OR(COUNTIF('クラス'!$A$1:$A$1267,$B704)&gt;0,$B704="",$M704=""),"",True)</f>
        <v/>
      </c>
      <c r="M704" s="1" t="str">
        <f t="shared" si="20"/>
        <v/>
      </c>
      <c r="N704" s="1" t="s">
        <v>29</v>
      </c>
      <c r="O704" s="1"/>
      <c r="P704" s="11"/>
      <c r="Q704" s="11"/>
      <c r="R704" s="11"/>
      <c r="S704" s="11"/>
      <c r="T704" s="1"/>
      <c r="U704" s="1"/>
      <c r="V704" s="1"/>
      <c r="W704" s="1"/>
      <c r="X704" s="1"/>
      <c r="Y704" s="1"/>
      <c r="Z704" s="1"/>
    </row>
    <row r="705" ht="18.0" customHeight="1" outlineLevel="2">
      <c r="A705" s="1">
        <v>2.0</v>
      </c>
      <c r="B705" s="26" t="s">
        <v>37</v>
      </c>
      <c r="C705" s="1"/>
      <c r="D705" s="1"/>
      <c r="E705" s="14"/>
      <c r="F705" s="15"/>
      <c r="G705" s="16"/>
      <c r="H705" s="11"/>
      <c r="I705" s="7"/>
      <c r="J705" s="7" t="str">
        <f>IFERROR(LET(_xlpm.v,
VLOOKUP($I705,'用語辞書'!$A:$B,COLUMN('用語辞書'!B$1),FALSE),
IF(_xlpm.v=0,"",_xlpm.v)
),"")</f>
        <v/>
      </c>
      <c r="K705" s="17"/>
      <c r="L705" s="17" t="str">
        <f>IF(OR(COUNTIF('クラス'!$A$1:$A$1267,$B705)&gt;0,$B705="",$M705=""),"",True)</f>
        <v/>
      </c>
      <c r="M705" s="1" t="str">
        <f t="shared" si="20"/>
        <v/>
      </c>
      <c r="N705" s="1" t="s">
        <v>29</v>
      </c>
      <c r="O705" s="1"/>
      <c r="P705" s="11"/>
      <c r="Q705" s="11"/>
      <c r="R705" s="11"/>
      <c r="S705" s="11"/>
      <c r="T705" s="1"/>
      <c r="U705" s="1"/>
      <c r="V705" s="1"/>
      <c r="W705" s="1"/>
      <c r="X705" s="1"/>
      <c r="Y705" s="1"/>
      <c r="Z705" s="1"/>
    </row>
    <row r="706" ht="18.0" customHeight="1" outlineLevel="2">
      <c r="A706" s="1">
        <v>3.0</v>
      </c>
      <c r="B706" s="26" t="s">
        <v>39</v>
      </c>
      <c r="C706" s="1"/>
      <c r="D706" s="1"/>
      <c r="E706" s="14"/>
      <c r="F706" s="15"/>
      <c r="G706" s="16"/>
      <c r="H706" s="11"/>
      <c r="I706" s="7"/>
      <c r="J706" s="7" t="str">
        <f>IFERROR(LET(_xlpm.v,
VLOOKUP($I706,'用語辞書'!$A:$B,COLUMN('用語辞書'!B$1),FALSE),
IF(_xlpm.v=0,"",_xlpm.v)
),"")</f>
        <v/>
      </c>
      <c r="K706" s="17"/>
      <c r="L706" s="17" t="str">
        <f>IF(OR(COUNTIF('クラス'!$A$1:$A$1267,$B706)&gt;0,$B706="",$M706=""),"",True)</f>
        <v/>
      </c>
      <c r="M706" s="1" t="str">
        <f t="shared" si="20"/>
        <v/>
      </c>
      <c r="N706" s="1" t="s">
        <v>29</v>
      </c>
      <c r="O706" s="1"/>
      <c r="P706" s="11"/>
      <c r="Q706" s="11"/>
      <c r="R706" s="11"/>
      <c r="S706" s="11"/>
      <c r="T706" s="1"/>
      <c r="U706" s="1"/>
      <c r="V706" s="1"/>
      <c r="W706" s="1"/>
      <c r="X706" s="1"/>
      <c r="Y706" s="1"/>
      <c r="Z706" s="1"/>
    </row>
    <row r="707" ht="18.0" customHeight="1" outlineLevel="2">
      <c r="A707" s="1">
        <v>4.0</v>
      </c>
      <c r="B707" s="1"/>
      <c r="C707" s="1"/>
      <c r="D707" s="1"/>
      <c r="E707" s="14"/>
      <c r="F707" s="15"/>
      <c r="G707" s="16"/>
      <c r="H707" s="11"/>
      <c r="I707" s="7"/>
      <c r="J707" s="7" t="str">
        <f>IFERROR(LET(_xlpm.v,
VLOOKUP($I707,'用語辞書'!$A:$B,COLUMN('用語辞書'!B$1),FALSE),
IF(_xlpm.v=0,"",_xlpm.v)
),"")</f>
        <v/>
      </c>
      <c r="K707" s="17"/>
      <c r="L707" s="17" t="str">
        <f>IF(OR(COUNTIF('クラス'!$A$1:$A$1267,$B707)&gt;0,$B707="",$M707=""),"",True)</f>
        <v/>
      </c>
      <c r="M707" s="1" t="str">
        <f t="shared" si="20"/>
        <v>存在しない</v>
      </c>
      <c r="N707" s="1" t="s">
        <v>29</v>
      </c>
      <c r="O707" s="1"/>
      <c r="P707" s="11"/>
      <c r="Q707" s="11"/>
      <c r="R707" s="11"/>
      <c r="S707" s="11"/>
      <c r="T707" s="1"/>
      <c r="U707" s="1"/>
      <c r="V707" s="1"/>
      <c r="W707" s="1"/>
      <c r="X707" s="1"/>
      <c r="Y707" s="1"/>
      <c r="Z707" s="1"/>
    </row>
    <row r="708" ht="18.0" customHeight="1" outlineLevel="2">
      <c r="A708" s="1">
        <v>5.0</v>
      </c>
      <c r="B708" s="26" t="s">
        <v>1218</v>
      </c>
      <c r="C708" s="1"/>
      <c r="D708" s="1"/>
      <c r="E708" s="29" t="s">
        <v>55</v>
      </c>
      <c r="F708" s="15"/>
      <c r="G708" s="16"/>
      <c r="H708" s="22" t="s">
        <v>1219</v>
      </c>
      <c r="I708" s="7"/>
      <c r="J708" s="7" t="str">
        <f>IFERROR(LET(_xlpm.v,
VLOOKUP($I708,'用語辞書'!$A:$B,COLUMN('用語辞書'!B$1),FALSE),
IF(_xlpm.v=0,"",_xlpm.v)
),"")</f>
        <v/>
      </c>
      <c r="K708" s="17"/>
      <c r="L708" s="17" t="b">
        <f>IF(OR(COUNTIF('クラス'!$A$1:$A$1267,$B708)&gt;0,$B708="",$M708=""),"",True)</f>
        <v>1</v>
      </c>
      <c r="M708" s="1" t="str">
        <f t="shared" si="20"/>
        <v>存在しない</v>
      </c>
      <c r="N708" s="1" t="s">
        <v>29</v>
      </c>
      <c r="O708" s="1"/>
      <c r="P708" s="11"/>
      <c r="Q708" s="11"/>
      <c r="R708" s="11"/>
      <c r="S708" s="11"/>
      <c r="T708" s="1"/>
      <c r="U708" s="1"/>
      <c r="V708" s="1"/>
      <c r="W708" s="1"/>
      <c r="X708" s="1"/>
      <c r="Y708" s="1"/>
      <c r="Z708" s="1"/>
    </row>
    <row r="709" ht="18.0" customHeight="1" outlineLevel="2">
      <c r="A709" s="1">
        <v>6.0</v>
      </c>
      <c r="B709" s="1"/>
      <c r="C709" s="1"/>
      <c r="D709" s="1"/>
      <c r="E709" s="14"/>
      <c r="F709" s="15"/>
      <c r="G709" s="16"/>
      <c r="H709" s="11"/>
      <c r="I709" s="7"/>
      <c r="J709" s="7" t="str">
        <f>IFERROR(LET(_xlpm.v,
VLOOKUP($I709,'用語辞書'!$A:$B,COLUMN('用語辞書'!B$1),FALSE),
IF(_xlpm.v=0,"",_xlpm.v)
),"")</f>
        <v/>
      </c>
      <c r="K709" s="17"/>
      <c r="L709" s="17" t="str">
        <f>IF(OR(COUNTIF('クラス'!$A$1:$A$1267,$B709)&gt;0,$B709="",$M709=""),"",True)</f>
        <v/>
      </c>
      <c r="M709" s="1" t="str">
        <f t="shared" si="20"/>
        <v>存在しない</v>
      </c>
      <c r="N709" s="1" t="s">
        <v>29</v>
      </c>
      <c r="O709" s="1"/>
      <c r="P709" s="11"/>
      <c r="Q709" s="11"/>
      <c r="R709" s="11"/>
      <c r="S709" s="11"/>
      <c r="T709" s="1"/>
      <c r="U709" s="1"/>
      <c r="V709" s="1"/>
      <c r="W709" s="1"/>
      <c r="X709" s="1"/>
      <c r="Y709" s="1"/>
      <c r="Z709" s="1"/>
    </row>
    <row r="710" ht="18.0" customHeight="1" outlineLevel="2">
      <c r="A710" s="1">
        <v>7.0</v>
      </c>
      <c r="B710" s="26" t="s">
        <v>1220</v>
      </c>
      <c r="C710" s="1"/>
      <c r="D710" s="26" t="s">
        <v>676</v>
      </c>
      <c r="E710" s="29" t="s">
        <v>33</v>
      </c>
      <c r="F710" s="15"/>
      <c r="G710" s="30">
        <v>60.0</v>
      </c>
      <c r="H710" s="22" t="s">
        <v>1221</v>
      </c>
      <c r="I710" s="32" t="s">
        <v>1222</v>
      </c>
      <c r="J710" s="7" t="str">
        <f>IFERROR(LET(_xlpm.v,
VLOOKUP($I710,'用語辞書'!$A:$B,COLUMN('用語辞書'!B$1),FALSE),
IF(_xlpm.v=0,"",_xlpm.v)
),"")</f>
        <v>攻撃・命中・士気などが低下する状態</v>
      </c>
      <c r="K710" s="17"/>
      <c r="L710" s="17" t="b">
        <f>IF(OR(COUNTIF('クラス'!$A$1:$A$1267,$B710)&gt;0,$B710="",$M710=""),"",True)</f>
        <v>1</v>
      </c>
      <c r="M710" s="1" t="str">
        <f t="shared" si="20"/>
        <v>存在しない</v>
      </c>
      <c r="N710" s="1" t="s">
        <v>29</v>
      </c>
      <c r="O710" s="1"/>
      <c r="P710" s="11"/>
      <c r="Q710" s="11"/>
      <c r="R710" s="11"/>
      <c r="S710" s="11"/>
      <c r="T710" s="1"/>
      <c r="U710" s="1"/>
      <c r="V710" s="1"/>
      <c r="W710" s="1"/>
      <c r="X710" s="1"/>
      <c r="Y710" s="1"/>
      <c r="Z710" s="1"/>
    </row>
    <row r="711" ht="18.0" customHeight="1" outlineLevel="2">
      <c r="A711" s="1">
        <v>8.0</v>
      </c>
      <c r="B711" s="1"/>
      <c r="C711" s="1"/>
      <c r="D711" s="1"/>
      <c r="E711" s="14"/>
      <c r="F711" s="15"/>
      <c r="G711" s="16"/>
      <c r="H711" s="11"/>
      <c r="I711" s="7"/>
      <c r="J711" s="7" t="str">
        <f>IFERROR(LET(_xlpm.v,
VLOOKUP($I711,'用語辞書'!$A:$B,COLUMN('用語辞書'!B$1),FALSE),
IF(_xlpm.v=0,"",_xlpm.v)
),"")</f>
        <v/>
      </c>
      <c r="K711" s="17"/>
      <c r="L711" s="17" t="str">
        <f>IF(OR(COUNTIF('クラス'!$A$1:$A$1267,$B711)&gt;0,$B711="",$M711=""),"",True)</f>
        <v/>
      </c>
      <c r="M711" s="1" t="str">
        <f t="shared" si="20"/>
        <v>存在しない</v>
      </c>
      <c r="N711" s="1" t="s">
        <v>29</v>
      </c>
      <c r="O711" s="1"/>
      <c r="P711" s="11"/>
      <c r="Q711" s="11"/>
      <c r="R711" s="11"/>
      <c r="S711" s="11"/>
      <c r="T711" s="1"/>
      <c r="U711" s="1"/>
      <c r="V711" s="1"/>
      <c r="W711" s="1"/>
      <c r="X711" s="1"/>
      <c r="Y711" s="1"/>
      <c r="Z711" s="1"/>
    </row>
    <row r="712" ht="18.0" customHeight="1" outlineLevel="2">
      <c r="A712" s="1">
        <v>9.0</v>
      </c>
      <c r="B712" s="1"/>
      <c r="C712" s="1"/>
      <c r="D712" s="1"/>
      <c r="E712" s="14"/>
      <c r="F712" s="15"/>
      <c r="G712" s="16"/>
      <c r="H712" s="11"/>
      <c r="I712" s="7"/>
      <c r="J712" s="7" t="str">
        <f>IFERROR(LET(_xlpm.v,
VLOOKUP($I712,'用語辞書'!$A:$B,COLUMN('用語辞書'!B$1),FALSE),
IF(_xlpm.v=0,"",_xlpm.v)
),"")</f>
        <v/>
      </c>
      <c r="K712" s="17"/>
      <c r="L712" s="17" t="str">
        <f>IF(OR(COUNTIF('クラス'!$A$1:$A$1267,$B712)&gt;0,$B712="",$M712=""),"",True)</f>
        <v/>
      </c>
      <c r="M712" s="1" t="str">
        <f t="shared" si="20"/>
        <v>存在しない</v>
      </c>
      <c r="N712" s="1" t="s">
        <v>29</v>
      </c>
      <c r="O712" s="1"/>
      <c r="P712" s="11"/>
      <c r="Q712" s="11"/>
      <c r="R712" s="11"/>
      <c r="S712" s="11"/>
      <c r="T712" s="1"/>
      <c r="U712" s="1"/>
      <c r="V712" s="1"/>
      <c r="W712" s="1"/>
      <c r="X712" s="1"/>
      <c r="Y712" s="1"/>
      <c r="Z712" s="1"/>
    </row>
    <row r="713" ht="18.0" customHeight="1" outlineLevel="2">
      <c r="A713" s="1">
        <v>10.0</v>
      </c>
      <c r="B713" s="26" t="s">
        <v>1223</v>
      </c>
      <c r="C713" s="1"/>
      <c r="D713" s="1"/>
      <c r="E713" s="29" t="s">
        <v>55</v>
      </c>
      <c r="F713" s="15"/>
      <c r="G713" s="16"/>
      <c r="H713" s="22" t="s">
        <v>1224</v>
      </c>
      <c r="I713" s="7"/>
      <c r="J713" s="7" t="str">
        <f>IFERROR(LET(_xlpm.v,
VLOOKUP($I713,'用語辞書'!$A:$B,COLUMN('用語辞書'!B$1),FALSE),
IF(_xlpm.v=0,"",_xlpm.v)
),"")</f>
        <v/>
      </c>
      <c r="K713" s="17"/>
      <c r="L713" s="17" t="b">
        <f>IF(OR(COUNTIF('クラス'!$A$1:$A$1267,$B713)&gt;0,$B713="",$M713=""),"",True)</f>
        <v>1</v>
      </c>
      <c r="M713" s="1" t="str">
        <f t="shared" si="20"/>
        <v>存在しない</v>
      </c>
      <c r="N713" s="1" t="s">
        <v>29</v>
      </c>
      <c r="O713" s="1"/>
      <c r="P713" s="11"/>
      <c r="Q713" s="11"/>
      <c r="R713" s="11"/>
      <c r="S713" s="11"/>
      <c r="T713" s="1"/>
      <c r="U713" s="1"/>
      <c r="V713" s="1"/>
      <c r="W713" s="1"/>
      <c r="X713" s="1"/>
      <c r="Y713" s="1"/>
      <c r="Z713" s="1"/>
    </row>
    <row r="714" ht="18.0" customHeight="1" outlineLevel="2">
      <c r="A714" s="1"/>
      <c r="B714" s="1"/>
      <c r="C714" s="1"/>
      <c r="D714" s="1"/>
      <c r="E714" s="14"/>
      <c r="F714" s="15"/>
      <c r="G714" s="16"/>
      <c r="H714" s="11"/>
      <c r="I714" s="7"/>
      <c r="J714" s="7" t="str">
        <f>IFERROR(LET(_xlpm.v,
VLOOKUP($I714,'用語辞書'!$A:$B,COLUMN('用語辞書'!B$1),FALSE),
IF(_xlpm.v=0,"",_xlpm.v)
),"")</f>
        <v/>
      </c>
      <c r="K714" s="17"/>
      <c r="L714" s="17" t="str">
        <f>IF(OR(COUNTIF('クラス'!$A$1:$A$1267,$B714)&gt;0,$B714="",$M714=""),"",True)</f>
        <v/>
      </c>
      <c r="M714" s="1" t="str">
        <f t="shared" si="20"/>
        <v>存在しない</v>
      </c>
      <c r="N714" s="1" t="s">
        <v>29</v>
      </c>
      <c r="O714" s="1"/>
      <c r="P714" s="11"/>
      <c r="Q714" s="11"/>
      <c r="R714" s="11"/>
      <c r="S714" s="11"/>
      <c r="T714" s="1"/>
      <c r="U714" s="1"/>
      <c r="V714" s="1"/>
      <c r="W714" s="1"/>
      <c r="X714" s="1"/>
      <c r="Y714" s="1"/>
      <c r="Z714" s="1"/>
    </row>
    <row r="715" ht="18.0" customHeight="1" outlineLevel="1">
      <c r="A715" s="1"/>
      <c r="B715" s="1"/>
      <c r="C715" s="1"/>
      <c r="D715" s="1"/>
      <c r="E715" s="14"/>
      <c r="F715" s="15"/>
      <c r="G715" s="16"/>
      <c r="H715" s="11"/>
      <c r="I715" s="7"/>
      <c r="J715" s="7" t="str">
        <f>IFERROR(LET(_xlpm.v,
VLOOKUP($I715,'用語辞書'!$A:$B,COLUMN('用語辞書'!B$1),FALSE),
IF(_xlpm.v=0,"",_xlpm.v)
),"")</f>
        <v/>
      </c>
      <c r="K715" s="17"/>
      <c r="L715" s="17" t="str">
        <f>IF(OR(COUNTIF('クラス'!$A$1:$A$1267,$B715)&gt;0,$B715="",$M715=""),"",True)</f>
        <v/>
      </c>
      <c r="M715" s="1" t="str">
        <f t="shared" si="20"/>
        <v>存在しない</v>
      </c>
      <c r="N715" s="1" t="s">
        <v>29</v>
      </c>
      <c r="O715" s="1"/>
      <c r="P715" s="11"/>
      <c r="Q715" s="11"/>
      <c r="R715" s="11"/>
      <c r="S715" s="11"/>
      <c r="T715" s="1"/>
      <c r="U715" s="1"/>
      <c r="V715" s="1"/>
      <c r="W715" s="1"/>
      <c r="X715" s="1"/>
      <c r="Y715" s="1"/>
      <c r="Z715" s="1"/>
    </row>
    <row r="716" ht="18.0" customHeight="1" outlineLevel="1">
      <c r="A716" s="1"/>
      <c r="B716" s="1" t="s">
        <v>1225</v>
      </c>
      <c r="C716" s="1"/>
      <c r="D716" s="1"/>
      <c r="E716" s="14"/>
      <c r="F716" s="15"/>
      <c r="G716" s="16"/>
      <c r="H716" s="11"/>
      <c r="I716" s="7"/>
      <c r="J716" s="7" t="str">
        <f>IFERROR(LET(_xlpm.v,
VLOOKUP($I716,'用語辞書'!$A:$B,COLUMN('用語辞書'!B$1),FALSE),
IF(_xlpm.v=0,"",_xlpm.v)
),"")</f>
        <v/>
      </c>
      <c r="K716" s="17"/>
      <c r="L716" s="17" t="str">
        <f>IF(OR(COUNTIF('クラス'!$A$1:$A$1267,$B716)&gt;0,$B716="",$M716=""),"",True)</f>
        <v/>
      </c>
      <c r="M716" s="1" t="str">
        <f t="shared" si="20"/>
        <v>存在しない</v>
      </c>
      <c r="N716" s="1" t="s">
        <v>29</v>
      </c>
      <c r="O716" s="1"/>
      <c r="P716" s="11"/>
      <c r="Q716" s="11"/>
      <c r="R716" s="11"/>
      <c r="S716" s="11"/>
      <c r="T716" s="1"/>
      <c r="U716" s="1"/>
      <c r="V716" s="1"/>
      <c r="W716" s="1"/>
      <c r="X716" s="1"/>
      <c r="Y716" s="1"/>
      <c r="Z716" s="1"/>
    </row>
    <row r="717" ht="18.0" customHeight="1" outlineLevel="2">
      <c r="A717" s="1">
        <v>1.0</v>
      </c>
      <c r="B717" s="26" t="s">
        <v>1226</v>
      </c>
      <c r="C717" s="1"/>
      <c r="D717" s="1"/>
      <c r="E717" s="29" t="s">
        <v>55</v>
      </c>
      <c r="F717" s="15"/>
      <c r="G717" s="16"/>
      <c r="H717" s="22" t="s">
        <v>1227</v>
      </c>
      <c r="I717" s="7"/>
      <c r="J717" s="7" t="str">
        <f>IFERROR(LET(_xlpm.v,
VLOOKUP($I717,'用語辞書'!$A:$B,COLUMN('用語辞書'!B$1),FALSE),
IF(_xlpm.v=0,"",_xlpm.v)
),"")</f>
        <v/>
      </c>
      <c r="K717" s="17"/>
      <c r="L717" s="17" t="b">
        <f>IF(OR(COUNTIF('クラス'!$A$1:$A$1267,$B717)&gt;0,$B717="",$M717=""),"",True)</f>
        <v>1</v>
      </c>
      <c r="M717" s="1" t="str">
        <f t="shared" si="20"/>
        <v>存在しない</v>
      </c>
      <c r="N717" s="1" t="s">
        <v>29</v>
      </c>
      <c r="O717" s="1"/>
      <c r="P717" s="11"/>
      <c r="Q717" s="11"/>
      <c r="R717" s="11"/>
      <c r="S717" s="11"/>
      <c r="T717" s="1"/>
      <c r="U717" s="1"/>
      <c r="V717" s="1"/>
      <c r="W717" s="1"/>
      <c r="X717" s="1"/>
      <c r="Y717" s="1"/>
      <c r="Z717" s="1"/>
    </row>
    <row r="718" ht="18.0" customHeight="1" outlineLevel="2">
      <c r="A718" s="1">
        <v>2.0</v>
      </c>
      <c r="B718" s="1"/>
      <c r="C718" s="1"/>
      <c r="D718" s="1"/>
      <c r="E718" s="14"/>
      <c r="F718" s="15"/>
      <c r="G718" s="16"/>
      <c r="H718" s="11"/>
      <c r="I718" s="7"/>
      <c r="J718" s="7" t="str">
        <f>IFERROR(LET(_xlpm.v,
VLOOKUP($I718,'用語辞書'!$A:$B,COLUMN('用語辞書'!B$1),FALSE),
IF(_xlpm.v=0,"",_xlpm.v)
),"")</f>
        <v/>
      </c>
      <c r="K718" s="17"/>
      <c r="L718" s="17" t="str">
        <f>IF(OR(COUNTIF('クラス'!$A$1:$A$1267,$B718)&gt;0,$B718="",$M718=""),"",True)</f>
        <v/>
      </c>
      <c r="M718" s="1" t="str">
        <f t="shared" si="20"/>
        <v>存在しない</v>
      </c>
      <c r="N718" s="1" t="s">
        <v>29</v>
      </c>
      <c r="O718" s="1"/>
      <c r="P718" s="11"/>
      <c r="Q718" s="11"/>
      <c r="R718" s="11"/>
      <c r="S718" s="11"/>
      <c r="T718" s="1"/>
      <c r="U718" s="1"/>
      <c r="V718" s="1"/>
      <c r="W718" s="1"/>
      <c r="X718" s="1"/>
      <c r="Y718" s="1"/>
      <c r="Z718" s="1"/>
    </row>
    <row r="719" ht="18.0" customHeight="1" outlineLevel="2">
      <c r="A719" s="1">
        <v>3.0</v>
      </c>
      <c r="B719" s="26" t="s">
        <v>1228</v>
      </c>
      <c r="C719" s="1"/>
      <c r="D719" s="1"/>
      <c r="E719" s="29" t="s">
        <v>55</v>
      </c>
      <c r="F719" s="15"/>
      <c r="G719" s="16"/>
      <c r="H719" s="22" t="s">
        <v>1229</v>
      </c>
      <c r="I719" s="7"/>
      <c r="J719" s="7" t="str">
        <f>IFERROR(LET(_xlpm.v,
VLOOKUP($I719,'用語辞書'!$A:$B,COLUMN('用語辞書'!B$1),FALSE),
IF(_xlpm.v=0,"",_xlpm.v)
),"")</f>
        <v/>
      </c>
      <c r="K719" s="17"/>
      <c r="L719" s="17" t="b">
        <f>IF(OR(COUNTIF('クラス'!$A$1:$A$1267,$B719)&gt;0,$B719="",$M719=""),"",True)</f>
        <v>1</v>
      </c>
      <c r="M719" s="1" t="str">
        <f t="shared" si="20"/>
        <v>存在しない</v>
      </c>
      <c r="N719" s="1" t="s">
        <v>29</v>
      </c>
      <c r="O719" s="1"/>
      <c r="P719" s="11"/>
      <c r="Q719" s="11"/>
      <c r="R719" s="11"/>
      <c r="S719" s="11"/>
      <c r="T719" s="1"/>
      <c r="U719" s="1"/>
      <c r="V719" s="1"/>
      <c r="W719" s="1"/>
      <c r="X719" s="1"/>
      <c r="Y719" s="1"/>
      <c r="Z719" s="1"/>
    </row>
    <row r="720" ht="18.0" customHeight="1" outlineLevel="2">
      <c r="A720" s="1">
        <v>4.0</v>
      </c>
      <c r="B720" s="1"/>
      <c r="C720" s="1"/>
      <c r="D720" s="1"/>
      <c r="E720" s="14"/>
      <c r="F720" s="15"/>
      <c r="G720" s="16"/>
      <c r="H720" s="11"/>
      <c r="I720" s="7"/>
      <c r="J720" s="7" t="str">
        <f>IFERROR(LET(_xlpm.v,
VLOOKUP($I720,'用語辞書'!$A:$B,COLUMN('用語辞書'!B$1),FALSE),
IF(_xlpm.v=0,"",_xlpm.v)
),"")</f>
        <v/>
      </c>
      <c r="K720" s="17"/>
      <c r="L720" s="17" t="str">
        <f>IF(OR(COUNTIF('クラス'!$A$1:$A$1267,$B720)&gt;0,$B720="",$M720=""),"",True)</f>
        <v/>
      </c>
      <c r="M720" s="1" t="str">
        <f t="shared" si="20"/>
        <v>存在しない</v>
      </c>
      <c r="N720" s="1" t="s">
        <v>29</v>
      </c>
      <c r="O720" s="1"/>
      <c r="P720" s="11"/>
      <c r="Q720" s="11"/>
      <c r="R720" s="11"/>
      <c r="S720" s="11"/>
      <c r="T720" s="1"/>
      <c r="U720" s="1"/>
      <c r="V720" s="1"/>
      <c r="W720" s="1"/>
      <c r="X720" s="1"/>
      <c r="Y720" s="1"/>
      <c r="Z720" s="1"/>
    </row>
    <row r="721" ht="18.0" customHeight="1" outlineLevel="2">
      <c r="A721" s="1">
        <v>5.0</v>
      </c>
      <c r="B721" s="26" t="s">
        <v>1230</v>
      </c>
      <c r="C721" s="1"/>
      <c r="D721" s="1"/>
      <c r="E721" s="29" t="s">
        <v>33</v>
      </c>
      <c r="F721" s="15"/>
      <c r="G721" s="30">
        <v>60.0</v>
      </c>
      <c r="H721" s="22" t="s">
        <v>1231</v>
      </c>
      <c r="I721" s="7"/>
      <c r="J721" s="7" t="str">
        <f>IFERROR(LET(_xlpm.v,
VLOOKUP($I721,'用語辞書'!$A:$B,COLUMN('用語辞書'!B$1),FALSE),
IF(_xlpm.v=0,"",_xlpm.v)
),"")</f>
        <v/>
      </c>
      <c r="K721" s="17"/>
      <c r="L721" s="17" t="b">
        <f>IF(OR(COUNTIF('クラス'!$A$1:$A$1267,$B721)&gt;0,$B721="",$M721=""),"",True)</f>
        <v>1</v>
      </c>
      <c r="M721" s="1" t="str">
        <f t="shared" si="20"/>
        <v>存在しない</v>
      </c>
      <c r="N721" s="1" t="s">
        <v>29</v>
      </c>
      <c r="O721" s="1"/>
      <c r="P721" s="11"/>
      <c r="Q721" s="11"/>
      <c r="R721" s="11"/>
      <c r="S721" s="11"/>
      <c r="T721" s="1"/>
      <c r="U721" s="1"/>
      <c r="V721" s="1"/>
      <c r="W721" s="1"/>
      <c r="X721" s="1"/>
      <c r="Y721" s="1"/>
      <c r="Z721" s="1"/>
    </row>
    <row r="722" ht="18.0" customHeight="1" outlineLevel="2">
      <c r="A722" s="1">
        <v>6.0</v>
      </c>
      <c r="B722" s="1"/>
      <c r="C722" s="1"/>
      <c r="D722" s="1"/>
      <c r="E722" s="14"/>
      <c r="F722" s="15"/>
      <c r="G722" s="16"/>
      <c r="H722" s="11"/>
      <c r="I722" s="7"/>
      <c r="J722" s="7" t="str">
        <f>IFERROR(LET(_xlpm.v,
VLOOKUP($I722,'用語辞書'!$A:$B,COLUMN('用語辞書'!B$1),FALSE),
IF(_xlpm.v=0,"",_xlpm.v)
),"")</f>
        <v/>
      </c>
      <c r="K722" s="17"/>
      <c r="L722" s="17" t="str">
        <f>IF(OR(COUNTIF('クラス'!$A$1:$A$1267,$B722)&gt;0,$B722="",$M722=""),"",True)</f>
        <v/>
      </c>
      <c r="M722" s="1" t="str">
        <f t="shared" si="20"/>
        <v>存在しない</v>
      </c>
      <c r="N722" s="1" t="s">
        <v>29</v>
      </c>
      <c r="O722" s="1"/>
      <c r="P722" s="11"/>
      <c r="Q722" s="11"/>
      <c r="R722" s="11"/>
      <c r="S722" s="11"/>
      <c r="T722" s="1"/>
      <c r="U722" s="1"/>
      <c r="V722" s="1"/>
      <c r="W722" s="1"/>
      <c r="X722" s="1"/>
      <c r="Y722" s="1"/>
      <c r="Z722" s="1"/>
    </row>
    <row r="723" ht="18.0" customHeight="1" outlineLevel="2">
      <c r="A723" s="1">
        <v>7.0</v>
      </c>
      <c r="B723" s="26" t="s">
        <v>1232</v>
      </c>
      <c r="C723" s="1"/>
      <c r="D723" s="26" t="s">
        <v>676</v>
      </c>
      <c r="E723" s="29" t="s">
        <v>33</v>
      </c>
      <c r="F723" s="15"/>
      <c r="G723" s="30">
        <v>60.0</v>
      </c>
      <c r="H723" s="22" t="s">
        <v>1233</v>
      </c>
      <c r="I723" s="32" t="s">
        <v>1222</v>
      </c>
      <c r="J723" s="7" t="str">
        <f>IFERROR(LET(_xlpm.v,
VLOOKUP($I723,'用語辞書'!$A:$B,COLUMN('用語辞書'!B$1),FALSE),
IF(_xlpm.v=0,"",_xlpm.v)
),"")</f>
        <v>攻撃・命中・士気などが低下する状態</v>
      </c>
      <c r="K723" s="17"/>
      <c r="L723" s="17" t="b">
        <f>IF(OR(COUNTIF('クラス'!$A$1:$A$1267,$B723)&gt;0,$B723="",$M723=""),"",True)</f>
        <v>1</v>
      </c>
      <c r="M723" s="1" t="str">
        <f t="shared" si="20"/>
        <v>存在しない</v>
      </c>
      <c r="N723" s="1" t="s">
        <v>29</v>
      </c>
      <c r="O723" s="1"/>
      <c r="P723" s="11"/>
      <c r="Q723" s="11"/>
      <c r="R723" s="11"/>
      <c r="S723" s="11"/>
      <c r="T723" s="1"/>
      <c r="U723" s="1"/>
      <c r="V723" s="1"/>
      <c r="W723" s="1"/>
      <c r="X723" s="1"/>
      <c r="Y723" s="1"/>
      <c r="Z723" s="1"/>
    </row>
    <row r="724" ht="18.0" customHeight="1" outlineLevel="2">
      <c r="A724" s="1">
        <v>8.0</v>
      </c>
      <c r="B724" s="1"/>
      <c r="C724" s="1"/>
      <c r="D724" s="1"/>
      <c r="E724" s="14"/>
      <c r="F724" s="15"/>
      <c r="G724" s="16"/>
      <c r="H724" s="11"/>
      <c r="I724" s="7"/>
      <c r="J724" s="7" t="str">
        <f>IFERROR(LET(_xlpm.v,
VLOOKUP($I724,'用語辞書'!$A:$B,COLUMN('用語辞書'!B$1),FALSE),
IF(_xlpm.v=0,"",_xlpm.v)
),"")</f>
        <v/>
      </c>
      <c r="K724" s="17"/>
      <c r="L724" s="17" t="str">
        <f>IF(OR(COUNTIF('クラス'!$A$1:$A$1267,$B724)&gt;0,$B724="",$M724=""),"",True)</f>
        <v/>
      </c>
      <c r="M724" s="1" t="str">
        <f t="shared" si="20"/>
        <v>存在しない</v>
      </c>
      <c r="N724" s="1" t="s">
        <v>29</v>
      </c>
      <c r="O724" s="1"/>
      <c r="P724" s="11"/>
      <c r="Q724" s="11"/>
      <c r="R724" s="11"/>
      <c r="S724" s="11"/>
      <c r="T724" s="1"/>
      <c r="U724" s="1"/>
      <c r="V724" s="1"/>
      <c r="W724" s="1"/>
      <c r="X724" s="1"/>
      <c r="Y724" s="1"/>
      <c r="Z724" s="1"/>
    </row>
    <row r="725" ht="18.0" customHeight="1" outlineLevel="2">
      <c r="A725" s="1">
        <v>9.0</v>
      </c>
      <c r="B725" s="26" t="s">
        <v>1234</v>
      </c>
      <c r="C725" s="1"/>
      <c r="D725" s="1"/>
      <c r="E725" s="29" t="s">
        <v>33</v>
      </c>
      <c r="F725" s="15"/>
      <c r="G725" s="30">
        <v>70.0</v>
      </c>
      <c r="H725" s="22" t="s">
        <v>1235</v>
      </c>
      <c r="I725" s="7"/>
      <c r="J725" s="7" t="str">
        <f>IFERROR(LET(_xlpm.v,
VLOOKUP($I725,'用語辞書'!$A:$B,COLUMN('用語辞書'!B$1),FALSE),
IF(_xlpm.v=0,"",_xlpm.v)
),"")</f>
        <v/>
      </c>
      <c r="K725" s="17"/>
      <c r="L725" s="17" t="b">
        <f>IF(OR(COUNTIF('クラス'!$A$1:$A$1267,$B725)&gt;0,$B725="",$M725=""),"",True)</f>
        <v>1</v>
      </c>
      <c r="M725" s="1" t="str">
        <f t="shared" si="20"/>
        <v>存在しない</v>
      </c>
      <c r="N725" s="1" t="s">
        <v>29</v>
      </c>
      <c r="O725" s="1"/>
      <c r="P725" s="11"/>
      <c r="Q725" s="11"/>
      <c r="R725" s="11"/>
      <c r="S725" s="11"/>
      <c r="T725" s="1"/>
      <c r="U725" s="1"/>
      <c r="V725" s="1"/>
      <c r="W725" s="1"/>
      <c r="X725" s="1"/>
      <c r="Y725" s="1"/>
      <c r="Z725" s="1"/>
    </row>
    <row r="726" ht="18.0" customHeight="1" outlineLevel="2">
      <c r="A726" s="1">
        <v>10.0</v>
      </c>
      <c r="B726" s="26" t="s">
        <v>1236</v>
      </c>
      <c r="C726" s="1"/>
      <c r="D726" s="1"/>
      <c r="E726" s="29" t="s">
        <v>55</v>
      </c>
      <c r="F726" s="15"/>
      <c r="G726" s="16"/>
      <c r="H726" s="22" t="s">
        <v>1237</v>
      </c>
      <c r="I726" s="7"/>
      <c r="J726" s="7" t="str">
        <f>IFERROR(LET(_xlpm.v,
VLOOKUP($I726,'用語辞書'!$A:$B,COLUMN('用語辞書'!B$1),FALSE),
IF(_xlpm.v=0,"",_xlpm.v)
),"")</f>
        <v/>
      </c>
      <c r="K726" s="17"/>
      <c r="L726" s="17" t="b">
        <f>IF(OR(COUNTIF('クラス'!$A$1:$A$1267,$B726)&gt;0,$B726="",$M726=""),"",True)</f>
        <v>1</v>
      </c>
      <c r="M726" s="1" t="str">
        <f t="shared" si="20"/>
        <v>存在しない</v>
      </c>
      <c r="N726" s="1" t="s">
        <v>29</v>
      </c>
      <c r="O726" s="1"/>
      <c r="P726" s="11"/>
      <c r="Q726" s="11"/>
      <c r="R726" s="11"/>
      <c r="S726" s="11"/>
      <c r="T726" s="1"/>
      <c r="U726" s="1"/>
      <c r="V726" s="1"/>
      <c r="W726" s="1"/>
      <c r="X726" s="1"/>
      <c r="Y726" s="1"/>
      <c r="Z726" s="1"/>
    </row>
    <row r="727" ht="18.0" customHeight="1" outlineLevel="2">
      <c r="A727" s="1"/>
      <c r="B727" s="1"/>
      <c r="C727" s="1"/>
      <c r="D727" s="1"/>
      <c r="E727" s="14"/>
      <c r="F727" s="15"/>
      <c r="G727" s="16"/>
      <c r="H727" s="11"/>
      <c r="I727" s="7"/>
      <c r="J727" s="7" t="str">
        <f>IFERROR(LET(_xlpm.v,
VLOOKUP($I727,'用語辞書'!$A:$B,COLUMN('用語辞書'!B$1),FALSE),
IF(_xlpm.v=0,"",_xlpm.v)
),"")</f>
        <v/>
      </c>
      <c r="K727" s="17"/>
      <c r="L727" s="17" t="str">
        <f>IF(OR(COUNTIF('クラス'!$A$1:$A$1267,$B727)&gt;0,$B727="",$M727=""),"",True)</f>
        <v/>
      </c>
      <c r="M727" s="1" t="str">
        <f t="shared" si="20"/>
        <v>存在しない</v>
      </c>
      <c r="N727" s="1" t="s">
        <v>29</v>
      </c>
      <c r="O727" s="1"/>
      <c r="P727" s="11"/>
      <c r="Q727" s="11"/>
      <c r="R727" s="11"/>
      <c r="S727" s="11"/>
      <c r="T727" s="1"/>
      <c r="U727" s="1"/>
      <c r="V727" s="1"/>
      <c r="W727" s="1"/>
      <c r="X727" s="1"/>
      <c r="Y727" s="1"/>
      <c r="Z727" s="1"/>
    </row>
    <row r="728" ht="18.0" customHeight="1" outlineLevel="1" collapsed="1">
      <c r="A728" s="1"/>
      <c r="B728" s="1"/>
      <c r="C728" s="1"/>
      <c r="D728" s="1"/>
      <c r="E728" s="14"/>
      <c r="F728" s="15"/>
      <c r="G728" s="16"/>
      <c r="H728" s="11"/>
      <c r="I728" s="7"/>
      <c r="J728" s="7" t="str">
        <f>IFERROR(LET(_xlpm.v,
VLOOKUP($I728,'用語辞書'!$A:$B,COLUMN('用語辞書'!B$1),FALSE),
IF(_xlpm.v=0,"",_xlpm.v)
),"")</f>
        <v/>
      </c>
      <c r="K728" s="17"/>
      <c r="L728" s="17" t="str">
        <f>IF(OR(COUNTIF('クラス'!$A$1:$A$1267,$B728)&gt;0,$B728="",$M728=""),"",True)</f>
        <v/>
      </c>
      <c r="M728" s="1" t="str">
        <f t="shared" si="20"/>
        <v>存在しない</v>
      </c>
      <c r="N728" s="1" t="s">
        <v>29</v>
      </c>
      <c r="O728" s="1"/>
      <c r="P728" s="11"/>
      <c r="Q728" s="11"/>
      <c r="R728" s="11"/>
      <c r="S728" s="11"/>
      <c r="T728" s="1"/>
      <c r="U728" s="1"/>
      <c r="V728" s="1"/>
      <c r="W728" s="1"/>
      <c r="X728" s="1"/>
      <c r="Y728" s="1"/>
      <c r="Z728" s="1"/>
    </row>
    <row r="729" ht="18.0" customHeight="1" outlineLevel="1">
      <c r="A729" s="1"/>
      <c r="B729" s="1" t="s">
        <v>1238</v>
      </c>
      <c r="C729" s="1"/>
      <c r="D729" s="1"/>
      <c r="E729" s="14"/>
      <c r="F729" s="15"/>
      <c r="G729" s="16"/>
      <c r="H729" s="11"/>
      <c r="I729" s="7"/>
      <c r="J729" s="7" t="str">
        <f>IFERROR(LET(_xlpm.v,
VLOOKUP($I729,'用語辞書'!$A:$B,COLUMN('用語辞書'!B$1),FALSE),
IF(_xlpm.v=0,"",_xlpm.v)
),"")</f>
        <v/>
      </c>
      <c r="K729" s="17"/>
      <c r="L729" s="17" t="str">
        <f>IF(OR(COUNTIF('クラス'!$A$1:$A$1267,$B729)&gt;0,$B729="",$M729=""),"",True)</f>
        <v/>
      </c>
      <c r="M729" s="1" t="str">
        <f t="shared" si="20"/>
        <v>存在しない</v>
      </c>
      <c r="N729" s="1" t="s">
        <v>29</v>
      </c>
      <c r="O729" s="1"/>
      <c r="P729" s="11"/>
      <c r="Q729" s="11"/>
      <c r="R729" s="11"/>
      <c r="S729" s="11"/>
      <c r="T729" s="1"/>
      <c r="U729" s="1"/>
      <c r="V729" s="1"/>
      <c r="W729" s="1"/>
      <c r="X729" s="1"/>
      <c r="Y729" s="1"/>
      <c r="Z729" s="1"/>
    </row>
    <row r="730" ht="18.0" customHeight="1" outlineLevel="2">
      <c r="A730" s="1">
        <v>1.0</v>
      </c>
      <c r="B730" s="26" t="s">
        <v>1239</v>
      </c>
      <c r="C730" s="1"/>
      <c r="D730" s="1"/>
      <c r="E730" s="29" t="s">
        <v>55</v>
      </c>
      <c r="F730" s="15"/>
      <c r="G730" s="16"/>
      <c r="H730" s="22" t="s">
        <v>1240</v>
      </c>
      <c r="I730" s="7"/>
      <c r="J730" s="7" t="str">
        <f>IFERROR(LET(_xlpm.v,
VLOOKUP($I730,'用語辞書'!$A:$B,COLUMN('用語辞書'!B$1),FALSE),
IF(_xlpm.v=0,"",_xlpm.v)
),"")</f>
        <v/>
      </c>
      <c r="K730" s="17"/>
      <c r="L730" s="17" t="b">
        <f>IF(OR(COUNTIF('クラス'!$A$1:$A$1267,$B730)&gt;0,$B730="",$M730=""),"",True)</f>
        <v>1</v>
      </c>
      <c r="M730" s="1" t="str">
        <f t="shared" si="20"/>
        <v>存在しない</v>
      </c>
      <c r="N730" s="1" t="s">
        <v>29</v>
      </c>
      <c r="O730" s="1"/>
      <c r="P730" s="11"/>
      <c r="Q730" s="11"/>
      <c r="R730" s="11"/>
      <c r="S730" s="11"/>
      <c r="T730" s="1"/>
      <c r="U730" s="1"/>
      <c r="V730" s="1"/>
      <c r="W730" s="1"/>
      <c r="X730" s="1"/>
      <c r="Y730" s="1"/>
      <c r="Z730" s="1"/>
    </row>
    <row r="731" ht="18.0" customHeight="1" outlineLevel="2">
      <c r="A731" s="1">
        <v>2.0</v>
      </c>
      <c r="B731" s="1"/>
      <c r="C731" s="1"/>
      <c r="D731" s="1"/>
      <c r="E731" s="14"/>
      <c r="F731" s="15"/>
      <c r="G731" s="16"/>
      <c r="H731" s="11"/>
      <c r="I731" s="7"/>
      <c r="J731" s="7" t="str">
        <f>IFERROR(LET(_xlpm.v,
VLOOKUP($I731,'用語辞書'!$A:$B,COLUMN('用語辞書'!B$1),FALSE),
IF(_xlpm.v=0,"",_xlpm.v)
),"")</f>
        <v/>
      </c>
      <c r="K731" s="17"/>
      <c r="L731" s="17" t="str">
        <f>IF(OR(COUNTIF('クラス'!$A$1:$A$1267,$B731)&gt;0,$B731="",$M731=""),"",True)</f>
        <v/>
      </c>
      <c r="M731" s="1" t="str">
        <f t="shared" si="20"/>
        <v>存在しない</v>
      </c>
      <c r="N731" s="1" t="s">
        <v>29</v>
      </c>
      <c r="O731" s="1"/>
      <c r="P731" s="11"/>
      <c r="Q731" s="11"/>
      <c r="R731" s="11"/>
      <c r="S731" s="11"/>
      <c r="T731" s="1"/>
      <c r="U731" s="1"/>
      <c r="V731" s="1"/>
      <c r="W731" s="1"/>
      <c r="X731" s="1"/>
      <c r="Y731" s="1"/>
      <c r="Z731" s="1"/>
    </row>
    <row r="732" ht="18.0" customHeight="1" outlineLevel="2">
      <c r="A732" s="1">
        <v>3.0</v>
      </c>
      <c r="B732" s="26" t="s">
        <v>1241</v>
      </c>
      <c r="C732" s="1"/>
      <c r="D732" s="1"/>
      <c r="E732" s="29" t="s">
        <v>55</v>
      </c>
      <c r="F732" s="15"/>
      <c r="G732" s="16"/>
      <c r="H732" s="22" t="s">
        <v>1242</v>
      </c>
      <c r="I732" s="7"/>
      <c r="J732" s="7" t="str">
        <f>IFERROR(LET(_xlpm.v,
VLOOKUP($I732,'用語辞書'!$A:$B,COLUMN('用語辞書'!B$1),FALSE),
IF(_xlpm.v=0,"",_xlpm.v)
),"")</f>
        <v/>
      </c>
      <c r="K732" s="17"/>
      <c r="L732" s="17" t="b">
        <f>IF(OR(COUNTIF('クラス'!$A$1:$A$1267,$B732)&gt;0,$B732="",$M732=""),"",True)</f>
        <v>1</v>
      </c>
      <c r="M732" s="1" t="str">
        <f t="shared" si="20"/>
        <v>存在しない</v>
      </c>
      <c r="N732" s="1" t="s">
        <v>29</v>
      </c>
      <c r="O732" s="1"/>
      <c r="P732" s="11"/>
      <c r="Q732" s="11"/>
      <c r="R732" s="11"/>
      <c r="S732" s="11"/>
      <c r="T732" s="1"/>
      <c r="U732" s="1"/>
      <c r="V732" s="1"/>
      <c r="W732" s="1"/>
      <c r="X732" s="1"/>
      <c r="Y732" s="1"/>
      <c r="Z732" s="1"/>
    </row>
    <row r="733" ht="18.0" customHeight="1" outlineLevel="2">
      <c r="A733" s="1">
        <v>4.0</v>
      </c>
      <c r="B733" s="1"/>
      <c r="C733" s="1"/>
      <c r="D733" s="1"/>
      <c r="E733" s="14"/>
      <c r="F733" s="15"/>
      <c r="G733" s="16"/>
      <c r="H733" s="11"/>
      <c r="I733" s="7"/>
      <c r="J733" s="7" t="str">
        <f>IFERROR(LET(_xlpm.v,
VLOOKUP($I733,'用語辞書'!$A:$B,COLUMN('用語辞書'!B$1),FALSE),
IF(_xlpm.v=0,"",_xlpm.v)
),"")</f>
        <v/>
      </c>
      <c r="K733" s="17"/>
      <c r="L733" s="17" t="str">
        <f>IF(OR(COUNTIF('クラス'!$A$1:$A$1267,$B733)&gt;0,$B733="",$M733=""),"",True)</f>
        <v/>
      </c>
      <c r="M733" s="1" t="str">
        <f t="shared" si="20"/>
        <v>存在しない</v>
      </c>
      <c r="N733" s="1" t="s">
        <v>29</v>
      </c>
      <c r="O733" s="1"/>
      <c r="P733" s="11"/>
      <c r="Q733" s="11"/>
      <c r="R733" s="11"/>
      <c r="S733" s="11"/>
      <c r="T733" s="1"/>
      <c r="U733" s="1"/>
      <c r="V733" s="1"/>
      <c r="W733" s="1"/>
      <c r="X733" s="1"/>
      <c r="Y733" s="1"/>
      <c r="Z733" s="1"/>
    </row>
    <row r="734" ht="18.0" customHeight="1" outlineLevel="2">
      <c r="A734" s="1">
        <v>5.0</v>
      </c>
      <c r="B734" s="26" t="s">
        <v>1243</v>
      </c>
      <c r="C734" s="1"/>
      <c r="D734" s="1"/>
      <c r="E734" s="29" t="s">
        <v>33</v>
      </c>
      <c r="F734" s="15"/>
      <c r="G734" s="30">
        <v>60.0</v>
      </c>
      <c r="H734" s="22" t="s">
        <v>1244</v>
      </c>
      <c r="I734" s="7"/>
      <c r="J734" s="7" t="str">
        <f>IFERROR(LET(_xlpm.v,
VLOOKUP($I734,'用語辞書'!$A:$B,COLUMN('用語辞書'!B$1),FALSE),
IF(_xlpm.v=0,"",_xlpm.v)
),"")</f>
        <v/>
      </c>
      <c r="K734" s="17"/>
      <c r="L734" s="17" t="b">
        <f>IF(OR(COUNTIF('クラス'!$A$1:$A$1267,$B734)&gt;0,$B734="",$M734=""),"",True)</f>
        <v>1</v>
      </c>
      <c r="M734" s="1" t="str">
        <f t="shared" si="20"/>
        <v>存在しない</v>
      </c>
      <c r="N734" s="1" t="s">
        <v>29</v>
      </c>
      <c r="O734" s="1"/>
      <c r="P734" s="11"/>
      <c r="Q734" s="11"/>
      <c r="R734" s="11"/>
      <c r="S734" s="11"/>
      <c r="T734" s="1"/>
      <c r="U734" s="1"/>
      <c r="V734" s="1"/>
      <c r="W734" s="1"/>
      <c r="X734" s="1"/>
      <c r="Y734" s="1"/>
      <c r="Z734" s="1"/>
    </row>
    <row r="735" ht="18.0" customHeight="1" outlineLevel="2">
      <c r="A735" s="1">
        <v>6.0</v>
      </c>
      <c r="B735" s="1"/>
      <c r="C735" s="1"/>
      <c r="D735" s="1"/>
      <c r="E735" s="14"/>
      <c r="F735" s="15"/>
      <c r="G735" s="16"/>
      <c r="H735" s="11"/>
      <c r="I735" s="7"/>
      <c r="J735" s="7" t="str">
        <f>IFERROR(LET(_xlpm.v,
VLOOKUP($I735,'用語辞書'!$A:$B,COLUMN('用語辞書'!B$1),FALSE),
IF(_xlpm.v=0,"",_xlpm.v)
),"")</f>
        <v/>
      </c>
      <c r="K735" s="17"/>
      <c r="L735" s="17" t="str">
        <f>IF(OR(COUNTIF('クラス'!$A$1:$A$1267,$B735)&gt;0,$B735="",$M735=""),"",True)</f>
        <v/>
      </c>
      <c r="M735" s="1" t="str">
        <f t="shared" si="20"/>
        <v>存在しない</v>
      </c>
      <c r="N735" s="1" t="s">
        <v>29</v>
      </c>
      <c r="O735" s="1"/>
      <c r="P735" s="11"/>
      <c r="Q735" s="11"/>
      <c r="R735" s="11"/>
      <c r="S735" s="11"/>
      <c r="T735" s="1"/>
      <c r="U735" s="1"/>
      <c r="V735" s="1"/>
      <c r="W735" s="1"/>
      <c r="X735" s="1"/>
      <c r="Y735" s="1"/>
      <c r="Z735" s="1"/>
    </row>
    <row r="736" ht="18.0" customHeight="1" outlineLevel="2">
      <c r="A736" s="1">
        <v>7.0</v>
      </c>
      <c r="B736" s="26" t="s">
        <v>1245</v>
      </c>
      <c r="C736" s="1"/>
      <c r="D736" s="1"/>
      <c r="E736" s="29" t="s">
        <v>33</v>
      </c>
      <c r="F736" s="15"/>
      <c r="G736" s="30">
        <v>70.0</v>
      </c>
      <c r="H736" s="22" t="s">
        <v>1246</v>
      </c>
      <c r="I736" s="7"/>
      <c r="J736" s="7" t="str">
        <f>IFERROR(LET(_xlpm.v,
VLOOKUP($I736,'用語辞書'!$A:$B,COLUMN('用語辞書'!B$1),FALSE),
IF(_xlpm.v=0,"",_xlpm.v)
),"")</f>
        <v/>
      </c>
      <c r="K736" s="17"/>
      <c r="L736" s="17" t="b">
        <f>IF(OR(COUNTIF('クラス'!$A$1:$A$1267,$B736)&gt;0,$B736="",$M736=""),"",True)</f>
        <v>1</v>
      </c>
      <c r="M736" s="1" t="str">
        <f t="shared" si="20"/>
        <v>存在しない</v>
      </c>
      <c r="N736" s="1" t="s">
        <v>29</v>
      </c>
      <c r="O736" s="1"/>
      <c r="P736" s="11"/>
      <c r="Q736" s="11"/>
      <c r="R736" s="11"/>
      <c r="S736" s="11"/>
      <c r="T736" s="1"/>
      <c r="U736" s="1"/>
      <c r="V736" s="1"/>
      <c r="W736" s="1"/>
      <c r="X736" s="1"/>
      <c r="Y736" s="1"/>
      <c r="Z736" s="1"/>
    </row>
    <row r="737" ht="18.0" customHeight="1" outlineLevel="2">
      <c r="A737" s="1">
        <v>8.0</v>
      </c>
      <c r="B737" s="1"/>
      <c r="C737" s="1"/>
      <c r="D737" s="1"/>
      <c r="E737" s="14"/>
      <c r="F737" s="15"/>
      <c r="G737" s="16"/>
      <c r="H737" s="11"/>
      <c r="I737" s="7"/>
      <c r="J737" s="7" t="str">
        <f>IFERROR(LET(_xlpm.v,
VLOOKUP($I737,'用語辞書'!$A:$B,COLUMN('用語辞書'!B$1),FALSE),
IF(_xlpm.v=0,"",_xlpm.v)
),"")</f>
        <v/>
      </c>
      <c r="K737" s="17"/>
      <c r="L737" s="17" t="str">
        <f>IF(OR(COUNTIF('クラス'!$A$1:$A$1267,$B737)&gt;0,$B737="",$M737=""),"",True)</f>
        <v/>
      </c>
      <c r="M737" s="1" t="str">
        <f t="shared" si="20"/>
        <v>存在しない</v>
      </c>
      <c r="N737" s="1" t="s">
        <v>29</v>
      </c>
      <c r="O737" s="1"/>
      <c r="P737" s="11"/>
      <c r="Q737" s="11"/>
      <c r="R737" s="11"/>
      <c r="S737" s="11"/>
      <c r="T737" s="1"/>
      <c r="U737" s="1"/>
      <c r="V737" s="1"/>
      <c r="W737" s="1"/>
      <c r="X737" s="1"/>
      <c r="Y737" s="1"/>
      <c r="Z737" s="1"/>
    </row>
    <row r="738" ht="18.0" customHeight="1" outlineLevel="2">
      <c r="A738" s="1">
        <v>9.0</v>
      </c>
      <c r="B738" s="26" t="s">
        <v>1247</v>
      </c>
      <c r="C738" s="1"/>
      <c r="D738" s="1"/>
      <c r="E738" s="29" t="s">
        <v>33</v>
      </c>
      <c r="F738" s="15"/>
      <c r="G738" s="30">
        <v>80.0</v>
      </c>
      <c r="H738" s="22" t="s">
        <v>1248</v>
      </c>
      <c r="I738" s="32" t="s">
        <v>1249</v>
      </c>
      <c r="J738" s="7" t="str">
        <f>IFERROR(LET(_xlpm.v,
VLOOKUP($I738,'用語辞書'!$A:$B,COLUMN('用語辞書'!B$1),FALSE),
IF(_xlpm.v=0,"",_xlpm.v)
),"")</f>
        <v>対象を後方へ移動させる</v>
      </c>
      <c r="K738" s="17"/>
      <c r="L738" s="17" t="b">
        <f>IF(OR(COUNTIF('クラス'!$A$1:$A$1267,$B738)&gt;0,$B738="",$M738=""),"",True)</f>
        <v>1</v>
      </c>
      <c r="M738" s="1" t="str">
        <f t="shared" si="20"/>
        <v>存在しない</v>
      </c>
      <c r="N738" s="1" t="s">
        <v>29</v>
      </c>
      <c r="O738" s="1"/>
      <c r="P738" s="11"/>
      <c r="Q738" s="11"/>
      <c r="R738" s="11"/>
      <c r="S738" s="11"/>
      <c r="T738" s="1"/>
      <c r="U738" s="1"/>
      <c r="V738" s="1"/>
      <c r="W738" s="1"/>
      <c r="X738" s="1"/>
      <c r="Y738" s="1"/>
      <c r="Z738" s="1"/>
    </row>
    <row r="739" ht="18.0" customHeight="1" outlineLevel="2">
      <c r="A739" s="1">
        <v>10.0</v>
      </c>
      <c r="B739" s="26" t="s">
        <v>1250</v>
      </c>
      <c r="C739" s="1"/>
      <c r="D739" s="1"/>
      <c r="E739" s="29" t="s">
        <v>55</v>
      </c>
      <c r="F739" s="15"/>
      <c r="G739" s="16"/>
      <c r="H739" s="22" t="s">
        <v>1251</v>
      </c>
      <c r="I739" s="7"/>
      <c r="J739" s="7" t="str">
        <f>IFERROR(LET(_xlpm.v,
VLOOKUP($I739,'用語辞書'!$A:$B,COLUMN('用語辞書'!B$1),FALSE),
IF(_xlpm.v=0,"",_xlpm.v)
),"")</f>
        <v/>
      </c>
      <c r="K739" s="17"/>
      <c r="L739" s="17" t="b">
        <f>IF(OR(COUNTIF('クラス'!$A$1:$A$1267,$B739)&gt;0,$B739="",$M739=""),"",True)</f>
        <v>1</v>
      </c>
      <c r="M739" s="1" t="str">
        <f t="shared" si="20"/>
        <v>存在しない</v>
      </c>
      <c r="N739" s="1" t="s">
        <v>29</v>
      </c>
      <c r="O739" s="1"/>
      <c r="P739" s="11"/>
      <c r="Q739" s="11"/>
      <c r="R739" s="11"/>
      <c r="S739" s="11"/>
      <c r="T739" s="1"/>
      <c r="U739" s="1"/>
      <c r="V739" s="1"/>
      <c r="W739" s="1"/>
      <c r="X739" s="1"/>
      <c r="Y739" s="1"/>
      <c r="Z739" s="1"/>
    </row>
    <row r="740" ht="18.0" customHeight="1" outlineLevel="2">
      <c r="A740" s="1"/>
      <c r="B740" s="1"/>
      <c r="C740" s="1"/>
      <c r="D740" s="1"/>
      <c r="E740" s="14"/>
      <c r="F740" s="15"/>
      <c r="G740" s="16"/>
      <c r="H740" s="11"/>
      <c r="I740" s="7"/>
      <c r="J740" s="7" t="str">
        <f>IFERROR(LET(_xlpm.v,
VLOOKUP($I740,'用語辞書'!$A:$B,COLUMN('用語辞書'!B$1),FALSE),
IF(_xlpm.v=0,"",_xlpm.v)
),"")</f>
        <v/>
      </c>
      <c r="K740" s="17"/>
      <c r="L740" s="17" t="str">
        <f>IF(OR(COUNTIF('クラス'!$A$1:$A$1267,$B740)&gt;0,$B740="",$M740=""),"",True)</f>
        <v/>
      </c>
      <c r="M740" s="1" t="str">
        <f t="shared" si="20"/>
        <v>存在しない</v>
      </c>
      <c r="N740" s="1" t="s">
        <v>29</v>
      </c>
      <c r="O740" s="1"/>
      <c r="P740" s="11"/>
      <c r="Q740" s="11"/>
      <c r="R740" s="11"/>
      <c r="S740" s="11"/>
      <c r="T740" s="1"/>
      <c r="U740" s="1"/>
      <c r="V740" s="1"/>
      <c r="W740" s="1"/>
      <c r="X740" s="1"/>
      <c r="Y740" s="1"/>
      <c r="Z740" s="1"/>
    </row>
    <row r="741" ht="18.0" customHeight="1" outlineLevel="1" collapsed="1">
      <c r="A741" s="1"/>
      <c r="B741" s="1"/>
      <c r="C741" s="1"/>
      <c r="D741" s="1"/>
      <c r="E741" s="14"/>
      <c r="F741" s="15"/>
      <c r="G741" s="16"/>
      <c r="H741" s="11"/>
      <c r="I741" s="7"/>
      <c r="J741" s="7" t="str">
        <f>IFERROR(LET(_xlpm.v,
VLOOKUP($I741,'用語辞書'!$A:$B,COLUMN('用語辞書'!B$1),FALSE),
IF(_xlpm.v=0,"",_xlpm.v)
),"")</f>
        <v/>
      </c>
      <c r="K741" s="17"/>
      <c r="L741" s="17" t="str">
        <f>IF(OR(COUNTIF('クラス'!$A$1:$A$1267,$B741)&gt;0,$B741="",$M741=""),"",True)</f>
        <v/>
      </c>
      <c r="M741" s="1" t="str">
        <f t="shared" si="20"/>
        <v>存在しない</v>
      </c>
      <c r="N741" s="1" t="s">
        <v>29</v>
      </c>
      <c r="O741" s="1"/>
      <c r="P741" s="11"/>
      <c r="Q741" s="11"/>
      <c r="R741" s="11"/>
      <c r="S741" s="11"/>
      <c r="T741" s="1"/>
      <c r="U741" s="1"/>
      <c r="V741" s="1"/>
      <c r="W741" s="1"/>
      <c r="X741" s="1"/>
      <c r="Y741" s="1"/>
      <c r="Z741" s="1"/>
    </row>
    <row r="742" ht="18.0" customHeight="1" outlineLevel="1">
      <c r="A742" s="1"/>
      <c r="B742" s="1" t="s">
        <v>1252</v>
      </c>
      <c r="C742" s="1"/>
      <c r="D742" s="1"/>
      <c r="E742" s="14"/>
      <c r="F742" s="15"/>
      <c r="G742" s="16"/>
      <c r="H742" s="11"/>
      <c r="I742" s="7"/>
      <c r="J742" s="7" t="str">
        <f>IFERROR(LET(_xlpm.v,
VLOOKUP($I742,'用語辞書'!$A:$B,COLUMN('用語辞書'!B$1),FALSE),
IF(_xlpm.v=0,"",_xlpm.v)
),"")</f>
        <v/>
      </c>
      <c r="K742" s="17"/>
      <c r="L742" s="17" t="str">
        <f>IF(OR(COUNTIF('クラス'!$A$1:$A$1267,$B742)&gt;0,$B742="",$M742=""),"",True)</f>
        <v/>
      </c>
      <c r="M742" s="1" t="str">
        <f t="shared" si="20"/>
        <v>存在しない</v>
      </c>
      <c r="N742" s="1" t="s">
        <v>29</v>
      </c>
      <c r="O742" s="1"/>
      <c r="P742" s="11"/>
      <c r="Q742" s="11"/>
      <c r="R742" s="11"/>
      <c r="S742" s="11"/>
      <c r="T742" s="1"/>
      <c r="U742" s="1"/>
      <c r="V742" s="1"/>
      <c r="W742" s="1"/>
      <c r="X742" s="1"/>
      <c r="Y742" s="1"/>
      <c r="Z742" s="1"/>
    </row>
    <row r="743" ht="18.0" customHeight="1" outlineLevel="2">
      <c r="A743" s="1">
        <v>1.0</v>
      </c>
      <c r="B743" s="26" t="s">
        <v>1253</v>
      </c>
      <c r="C743" s="1"/>
      <c r="D743" s="1"/>
      <c r="E743" s="29" t="s">
        <v>55</v>
      </c>
      <c r="F743" s="15"/>
      <c r="G743" s="16"/>
      <c r="H743" s="22" t="s">
        <v>1254</v>
      </c>
      <c r="I743" s="7"/>
      <c r="J743" s="7" t="str">
        <f>IFERROR(LET(_xlpm.v,
VLOOKUP($I743,'用語辞書'!$A:$B,COLUMN('用語辞書'!B$1),FALSE),
IF(_xlpm.v=0,"",_xlpm.v)
),"")</f>
        <v/>
      </c>
      <c r="K743" s="17"/>
      <c r="L743" s="17" t="b">
        <f>IF(OR(COUNTIF('クラス'!$A$1:$A$1267,$B743)&gt;0,$B743="",$M743=""),"",True)</f>
        <v>1</v>
      </c>
      <c r="M743" s="1" t="str">
        <f t="shared" si="20"/>
        <v>存在しない</v>
      </c>
      <c r="N743" s="1" t="s">
        <v>29</v>
      </c>
      <c r="O743" s="1"/>
      <c r="P743" s="11"/>
      <c r="Q743" s="11"/>
      <c r="R743" s="11"/>
      <c r="S743" s="11"/>
      <c r="T743" s="1"/>
      <c r="U743" s="1"/>
      <c r="V743" s="1"/>
      <c r="W743" s="1"/>
      <c r="X743" s="1"/>
      <c r="Y743" s="1"/>
      <c r="Z743" s="1"/>
    </row>
    <row r="744" ht="18.0" customHeight="1" outlineLevel="2">
      <c r="A744" s="1">
        <v>2.0</v>
      </c>
      <c r="B744" s="1"/>
      <c r="C744" s="1"/>
      <c r="D744" s="1"/>
      <c r="E744" s="14"/>
      <c r="F744" s="15"/>
      <c r="G744" s="16"/>
      <c r="H744" s="11"/>
      <c r="I744" s="7"/>
      <c r="J744" s="7" t="str">
        <f>IFERROR(LET(_xlpm.v,
VLOOKUP($I744,'用語辞書'!$A:$B,COLUMN('用語辞書'!B$1),FALSE),
IF(_xlpm.v=0,"",_xlpm.v)
),"")</f>
        <v/>
      </c>
      <c r="K744" s="17"/>
      <c r="L744" s="17" t="str">
        <f>IF(OR(COUNTIF('クラス'!$A$1:$A$1267,$B744)&gt;0,$B744="",$M744=""),"",True)</f>
        <v/>
      </c>
      <c r="M744" s="1" t="str">
        <f t="shared" si="20"/>
        <v>存在しない</v>
      </c>
      <c r="N744" s="1" t="s">
        <v>29</v>
      </c>
      <c r="O744" s="1"/>
      <c r="P744" s="11"/>
      <c r="Q744" s="11"/>
      <c r="R744" s="11"/>
      <c r="S744" s="11"/>
      <c r="T744" s="1"/>
      <c r="U744" s="1"/>
      <c r="V744" s="1"/>
      <c r="W744" s="1"/>
      <c r="X744" s="1"/>
      <c r="Y744" s="1"/>
      <c r="Z744" s="1"/>
    </row>
    <row r="745" ht="18.0" customHeight="1" outlineLevel="2">
      <c r="A745" s="1">
        <v>3.0</v>
      </c>
      <c r="B745" s="26" t="s">
        <v>1255</v>
      </c>
      <c r="C745" s="1"/>
      <c r="D745" s="1"/>
      <c r="E745" s="29" t="s">
        <v>55</v>
      </c>
      <c r="F745" s="15"/>
      <c r="G745" s="16"/>
      <c r="H745" s="22" t="s">
        <v>1256</v>
      </c>
      <c r="I745" s="7"/>
      <c r="J745" s="7" t="str">
        <f>IFERROR(LET(_xlpm.v,
VLOOKUP($I745,'用語辞書'!$A:$B,COLUMN('用語辞書'!B$1),FALSE),
IF(_xlpm.v=0,"",_xlpm.v)
),"")</f>
        <v/>
      </c>
      <c r="K745" s="17"/>
      <c r="L745" s="17" t="b">
        <f>IF(OR(COUNTIF('クラス'!$A$1:$A$1267,$B745)&gt;0,$B745="",$M745=""),"",True)</f>
        <v>1</v>
      </c>
      <c r="M745" s="1" t="str">
        <f t="shared" si="20"/>
        <v>存在しない</v>
      </c>
      <c r="N745" s="1" t="s">
        <v>29</v>
      </c>
      <c r="O745" s="1"/>
      <c r="P745" s="11"/>
      <c r="Q745" s="11"/>
      <c r="R745" s="11"/>
      <c r="S745" s="11"/>
      <c r="T745" s="1"/>
      <c r="U745" s="1"/>
      <c r="V745" s="1"/>
      <c r="W745" s="1"/>
      <c r="X745" s="1"/>
      <c r="Y745" s="1"/>
      <c r="Z745" s="1"/>
    </row>
    <row r="746" ht="18.0" customHeight="1" outlineLevel="2">
      <c r="A746" s="1">
        <v>4.0</v>
      </c>
      <c r="B746" s="1"/>
      <c r="C746" s="1"/>
      <c r="D746" s="1"/>
      <c r="E746" s="14"/>
      <c r="F746" s="15"/>
      <c r="G746" s="16"/>
      <c r="H746" s="11"/>
      <c r="I746" s="7"/>
      <c r="J746" s="7" t="str">
        <f>IFERROR(LET(_xlpm.v,
VLOOKUP($I746,'用語辞書'!$A:$B,COLUMN('用語辞書'!B$1),FALSE),
IF(_xlpm.v=0,"",_xlpm.v)
),"")</f>
        <v/>
      </c>
      <c r="K746" s="17"/>
      <c r="L746" s="17" t="str">
        <f>IF(OR(COUNTIF('クラス'!$A$1:$A$1267,$B746)&gt;0,$B746="",$M746=""),"",True)</f>
        <v/>
      </c>
      <c r="M746" s="1" t="str">
        <f t="shared" si="20"/>
        <v>存在しない</v>
      </c>
      <c r="N746" s="1" t="s">
        <v>29</v>
      </c>
      <c r="O746" s="1"/>
      <c r="P746" s="11"/>
      <c r="Q746" s="11"/>
      <c r="R746" s="11"/>
      <c r="S746" s="11"/>
      <c r="T746" s="1"/>
      <c r="U746" s="1"/>
      <c r="V746" s="1"/>
      <c r="W746" s="1"/>
      <c r="X746" s="1"/>
      <c r="Y746" s="1"/>
      <c r="Z746" s="1"/>
    </row>
    <row r="747" ht="18.0" customHeight="1" outlineLevel="2">
      <c r="A747" s="1">
        <v>5.0</v>
      </c>
      <c r="B747" s="26" t="s">
        <v>1257</v>
      </c>
      <c r="C747" s="1"/>
      <c r="D747" s="1"/>
      <c r="E747" s="29" t="s">
        <v>55</v>
      </c>
      <c r="F747" s="15"/>
      <c r="G747" s="16"/>
      <c r="H747" s="22" t="s">
        <v>1258</v>
      </c>
      <c r="I747" s="7"/>
      <c r="J747" s="7" t="str">
        <f>IFERROR(LET(_xlpm.v,
VLOOKUP($I747,'用語辞書'!$A:$B,COLUMN('用語辞書'!B$1),FALSE),
IF(_xlpm.v=0,"",_xlpm.v)
),"")</f>
        <v/>
      </c>
      <c r="K747" s="17"/>
      <c r="L747" s="17" t="b">
        <f>IF(OR(COUNTIF('クラス'!$A$1:$A$1267,$B747)&gt;0,$B747="",$M747=""),"",True)</f>
        <v>1</v>
      </c>
      <c r="M747" s="1" t="str">
        <f t="shared" si="20"/>
        <v>存在しない</v>
      </c>
      <c r="N747" s="1" t="s">
        <v>29</v>
      </c>
      <c r="O747" s="1"/>
      <c r="P747" s="11"/>
      <c r="Q747" s="11"/>
      <c r="R747" s="11"/>
      <c r="S747" s="11"/>
      <c r="T747" s="1"/>
      <c r="U747" s="1"/>
      <c r="V747" s="1"/>
      <c r="W747" s="1"/>
      <c r="X747" s="1"/>
      <c r="Y747" s="1"/>
      <c r="Z747" s="1"/>
    </row>
    <row r="748" ht="18.0" customHeight="1" outlineLevel="2">
      <c r="A748" s="1">
        <v>6.0</v>
      </c>
      <c r="B748" s="1"/>
      <c r="C748" s="1"/>
      <c r="D748" s="1"/>
      <c r="E748" s="14"/>
      <c r="F748" s="15"/>
      <c r="G748" s="16"/>
      <c r="H748" s="11"/>
      <c r="I748" s="7"/>
      <c r="J748" s="7" t="str">
        <f>IFERROR(LET(_xlpm.v,
VLOOKUP($I748,'用語辞書'!$A:$B,COLUMN('用語辞書'!B$1),FALSE),
IF(_xlpm.v=0,"",_xlpm.v)
),"")</f>
        <v/>
      </c>
      <c r="K748" s="17"/>
      <c r="L748" s="17" t="str">
        <f>IF(OR(COUNTIF('クラス'!$A$1:$A$1267,$B748)&gt;0,$B748="",$M748=""),"",True)</f>
        <v/>
      </c>
      <c r="M748" s="1" t="str">
        <f t="shared" si="20"/>
        <v>存在しない</v>
      </c>
      <c r="N748" s="1" t="s">
        <v>29</v>
      </c>
      <c r="O748" s="1"/>
      <c r="P748" s="11"/>
      <c r="Q748" s="11"/>
      <c r="R748" s="11"/>
      <c r="S748" s="11"/>
      <c r="T748" s="1"/>
      <c r="U748" s="1"/>
      <c r="V748" s="1"/>
      <c r="W748" s="1"/>
      <c r="X748" s="1"/>
      <c r="Y748" s="1"/>
      <c r="Z748" s="1"/>
    </row>
    <row r="749" ht="18.0" customHeight="1" outlineLevel="2">
      <c r="A749" s="1">
        <v>7.0</v>
      </c>
      <c r="B749" s="26" t="s">
        <v>1259</v>
      </c>
      <c r="C749" s="1"/>
      <c r="D749" s="1"/>
      <c r="E749" s="29" t="s">
        <v>33</v>
      </c>
      <c r="F749" s="15"/>
      <c r="G749" s="30">
        <v>40.0</v>
      </c>
      <c r="H749" s="22" t="s">
        <v>1260</v>
      </c>
      <c r="I749" s="7"/>
      <c r="J749" s="7" t="str">
        <f>IFERROR(LET(_xlpm.v,
VLOOKUP($I749,'用語辞書'!$A:$B,COLUMN('用語辞書'!B$1),FALSE),
IF(_xlpm.v=0,"",_xlpm.v)
),"")</f>
        <v/>
      </c>
      <c r="K749" s="17"/>
      <c r="L749" s="17" t="b">
        <f>IF(OR(COUNTIF('クラス'!$A$1:$A$1267,$B749)&gt;0,$B749="",$M749=""),"",True)</f>
        <v>1</v>
      </c>
      <c r="M749" s="1" t="str">
        <f t="shared" si="20"/>
        <v>存在しない</v>
      </c>
      <c r="N749" s="1" t="s">
        <v>29</v>
      </c>
      <c r="O749" s="1"/>
      <c r="P749" s="11"/>
      <c r="Q749" s="11"/>
      <c r="R749" s="11"/>
      <c r="S749" s="11"/>
      <c r="T749" s="1"/>
      <c r="U749" s="1"/>
      <c r="V749" s="1"/>
      <c r="W749" s="1"/>
      <c r="X749" s="1"/>
      <c r="Y749" s="1"/>
      <c r="Z749" s="1"/>
    </row>
    <row r="750" ht="18.0" customHeight="1" outlineLevel="2">
      <c r="A750" s="1">
        <v>8.0</v>
      </c>
      <c r="B750" s="1"/>
      <c r="C750" s="1"/>
      <c r="D750" s="1"/>
      <c r="E750" s="14"/>
      <c r="F750" s="15"/>
      <c r="G750" s="16"/>
      <c r="H750" s="11"/>
      <c r="I750" s="7"/>
      <c r="J750" s="7" t="str">
        <f>IFERROR(LET(_xlpm.v,
VLOOKUP($I750,'用語辞書'!$A:$B,COLUMN('用語辞書'!B$1),FALSE),
IF(_xlpm.v=0,"",_xlpm.v)
),"")</f>
        <v/>
      </c>
      <c r="K750" s="17"/>
      <c r="L750" s="17" t="str">
        <f>IF(OR(COUNTIF('クラス'!$A$1:$A$1267,$B750)&gt;0,$B750="",$M750=""),"",True)</f>
        <v/>
      </c>
      <c r="M750" s="1" t="str">
        <f t="shared" si="20"/>
        <v>存在しない</v>
      </c>
      <c r="N750" s="1" t="s">
        <v>29</v>
      </c>
      <c r="O750" s="1"/>
      <c r="P750" s="11"/>
      <c r="Q750" s="11"/>
      <c r="R750" s="11"/>
      <c r="S750" s="11"/>
      <c r="T750" s="1"/>
      <c r="U750" s="1"/>
      <c r="V750" s="1"/>
      <c r="W750" s="1"/>
      <c r="X750" s="1"/>
      <c r="Y750" s="1"/>
      <c r="Z750" s="1"/>
    </row>
    <row r="751" ht="18.0" customHeight="1" outlineLevel="2">
      <c r="A751" s="1">
        <v>9.0</v>
      </c>
      <c r="B751" s="26" t="s">
        <v>1261</v>
      </c>
      <c r="C751" s="1"/>
      <c r="D751" s="1"/>
      <c r="E751" s="29" t="s">
        <v>55</v>
      </c>
      <c r="F751" s="15"/>
      <c r="G751" s="16"/>
      <c r="H751" s="22" t="s">
        <v>1262</v>
      </c>
      <c r="I751" s="7"/>
      <c r="J751" s="7" t="str">
        <f>IFERROR(LET(_xlpm.v,
VLOOKUP($I751,'用語辞書'!$A:$B,COLUMN('用語辞書'!B$1),FALSE),
IF(_xlpm.v=0,"",_xlpm.v)
),"")</f>
        <v/>
      </c>
      <c r="K751" s="17"/>
      <c r="L751" s="17" t="b">
        <f>IF(OR(COUNTIF('クラス'!$A$1:$A$1267,$B751)&gt;0,$B751="",$M751=""),"",True)</f>
        <v>1</v>
      </c>
      <c r="M751" s="1" t="str">
        <f t="shared" si="20"/>
        <v>存在しない</v>
      </c>
      <c r="N751" s="1" t="s">
        <v>29</v>
      </c>
      <c r="O751" s="1"/>
      <c r="P751" s="11"/>
      <c r="Q751" s="11"/>
      <c r="R751" s="11"/>
      <c r="S751" s="11"/>
      <c r="T751" s="1"/>
      <c r="U751" s="1"/>
      <c r="V751" s="1"/>
      <c r="W751" s="1"/>
      <c r="X751" s="1"/>
      <c r="Y751" s="1"/>
      <c r="Z751" s="1"/>
    </row>
    <row r="752" ht="18.0" customHeight="1" outlineLevel="2">
      <c r="A752" s="1">
        <v>10.0</v>
      </c>
      <c r="B752" s="26" t="s">
        <v>1263</v>
      </c>
      <c r="C752" s="1"/>
      <c r="D752" s="1"/>
      <c r="E752" s="29" t="s">
        <v>55</v>
      </c>
      <c r="F752" s="15"/>
      <c r="G752" s="16"/>
      <c r="H752" s="22" t="s">
        <v>1264</v>
      </c>
      <c r="I752" s="7"/>
      <c r="J752" s="7" t="str">
        <f>IFERROR(LET(_xlpm.v,
VLOOKUP($I752,'用語辞書'!$A:$B,COLUMN('用語辞書'!B$1),FALSE),
IF(_xlpm.v=0,"",_xlpm.v)
),"")</f>
        <v/>
      </c>
      <c r="K752" s="17"/>
      <c r="L752" s="17" t="b">
        <f>IF(OR(COUNTIF('クラス'!$A$1:$A$1267,$B752)&gt;0,$B752="",$M752=""),"",True)</f>
        <v>1</v>
      </c>
      <c r="M752" s="1" t="str">
        <f t="shared" si="20"/>
        <v>存在しない</v>
      </c>
      <c r="N752" s="1" t="s">
        <v>29</v>
      </c>
      <c r="O752" s="1"/>
      <c r="P752" s="11"/>
      <c r="Q752" s="11"/>
      <c r="R752" s="11"/>
      <c r="S752" s="11"/>
      <c r="T752" s="1"/>
      <c r="U752" s="1"/>
      <c r="V752" s="1"/>
      <c r="W752" s="1"/>
      <c r="X752" s="1"/>
      <c r="Y752" s="1"/>
      <c r="Z752" s="1"/>
    </row>
    <row r="753" ht="18.0" customHeight="1" outlineLevel="1">
      <c r="A753" s="1"/>
      <c r="B753" s="26" t="s">
        <v>1265</v>
      </c>
      <c r="C753" s="1"/>
      <c r="D753" s="1"/>
      <c r="E753" s="14"/>
      <c r="F753" s="15"/>
      <c r="G753" s="16"/>
      <c r="H753" s="11"/>
      <c r="I753" s="7"/>
      <c r="J753" s="7" t="str">
        <f>IFERROR(LET(_xlpm.v,
VLOOKUP($I753,'用語辞書'!$A:$B,COLUMN('用語辞書'!B$1),FALSE),
IF(_xlpm.v=0,"",_xlpm.v)
),"")</f>
        <v/>
      </c>
      <c r="K753" s="17"/>
      <c r="L753" s="17" t="str">
        <f>IF(OR(COUNTIF('クラス'!$A$1:$A$1267,$B753)&gt;0,$B753="",$M753=""),"",True)</f>
        <v/>
      </c>
      <c r="M753" s="1" t="str">
        <f t="shared" si="20"/>
        <v>存在しない</v>
      </c>
      <c r="N753" s="1" t="s">
        <v>29</v>
      </c>
      <c r="O753" s="1"/>
      <c r="P753" s="11"/>
      <c r="Q753" s="11"/>
      <c r="R753" s="11"/>
      <c r="S753" s="11"/>
      <c r="T753" s="1"/>
      <c r="U753" s="1"/>
      <c r="V753" s="1"/>
      <c r="W753" s="1"/>
      <c r="X753" s="1"/>
      <c r="Y753" s="1"/>
      <c r="Z753" s="1"/>
    </row>
    <row r="754" ht="18.0" customHeight="1" outlineLevel="2">
      <c r="A754" s="1">
        <v>1.0</v>
      </c>
      <c r="B754" s="26" t="s">
        <v>1266</v>
      </c>
      <c r="C754" s="1"/>
      <c r="D754" s="1"/>
      <c r="E754" s="29" t="s">
        <v>55</v>
      </c>
      <c r="F754" s="15"/>
      <c r="G754" s="16"/>
      <c r="H754" s="22" t="s">
        <v>1267</v>
      </c>
      <c r="I754" s="7"/>
      <c r="J754" s="7" t="str">
        <f>IFERROR(LET(_xlpm.v,
VLOOKUP($I754,'用語辞書'!$A:$B,COLUMN('用語辞書'!B$1),FALSE),
IF(_xlpm.v=0,"",_xlpm.v)
),"")</f>
        <v/>
      </c>
      <c r="K754" s="17"/>
      <c r="L754" s="17" t="b">
        <f>IF(OR(COUNTIF('クラス'!$A$1:$A$1267,$B754)&gt;0,$B754="",$M754=""),"",True)</f>
        <v>1</v>
      </c>
      <c r="M754" s="1" t="str">
        <f t="shared" si="20"/>
        <v>存在しない</v>
      </c>
      <c r="N754" s="1" t="s">
        <v>29</v>
      </c>
      <c r="O754" s="1"/>
      <c r="P754" s="11"/>
      <c r="Q754" s="11"/>
      <c r="R754" s="11"/>
      <c r="S754" s="11"/>
      <c r="T754" s="1"/>
      <c r="U754" s="1"/>
      <c r="V754" s="1"/>
      <c r="W754" s="1"/>
      <c r="X754" s="1"/>
      <c r="Y754" s="1"/>
      <c r="Z754" s="1"/>
    </row>
    <row r="755" ht="18.0" customHeight="1" outlineLevel="2">
      <c r="A755" s="1">
        <v>2.0</v>
      </c>
      <c r="B755" s="1"/>
      <c r="C755" s="1"/>
      <c r="D755" s="1"/>
      <c r="E755" s="14"/>
      <c r="F755" s="15"/>
      <c r="G755" s="16"/>
      <c r="H755" s="11"/>
      <c r="I755" s="7"/>
      <c r="J755" s="7" t="str">
        <f>IFERROR(LET(_xlpm.v,
VLOOKUP($I755,'用語辞書'!$A:$B,COLUMN('用語辞書'!B$1),FALSE),
IF(_xlpm.v=0,"",_xlpm.v)
),"")</f>
        <v/>
      </c>
      <c r="K755" s="17"/>
      <c r="L755" s="17" t="str">
        <f>IF(OR(COUNTIF('クラス'!$A$1:$A$1267,$B755)&gt;0,$B755="",$M755=""),"",True)</f>
        <v/>
      </c>
      <c r="M755" s="1" t="str">
        <f t="shared" si="20"/>
        <v>存在しない</v>
      </c>
      <c r="N755" s="1" t="s">
        <v>29</v>
      </c>
      <c r="O755" s="1"/>
      <c r="P755" s="11"/>
      <c r="Q755" s="11"/>
      <c r="R755" s="11"/>
      <c r="S755" s="11"/>
      <c r="T755" s="1"/>
      <c r="U755" s="1"/>
      <c r="V755" s="1"/>
      <c r="W755" s="1"/>
      <c r="X755" s="1"/>
      <c r="Y755" s="1"/>
      <c r="Z755" s="1"/>
    </row>
    <row r="756" ht="18.0" customHeight="1" outlineLevel="2">
      <c r="A756" s="1">
        <v>3.0</v>
      </c>
      <c r="B756" s="26" t="s">
        <v>1268</v>
      </c>
      <c r="C756" s="1"/>
      <c r="D756" s="1"/>
      <c r="E756" s="29" t="s">
        <v>55</v>
      </c>
      <c r="F756" s="15"/>
      <c r="G756" s="16"/>
      <c r="H756" s="22" t="s">
        <v>1269</v>
      </c>
      <c r="I756" s="7"/>
      <c r="J756" s="7" t="str">
        <f>IFERROR(LET(_xlpm.v,
VLOOKUP($I756,'用語辞書'!$A:$B,COLUMN('用語辞書'!B$1),FALSE),
IF(_xlpm.v=0,"",_xlpm.v)
),"")</f>
        <v/>
      </c>
      <c r="K756" s="17"/>
      <c r="L756" s="17" t="b">
        <f>IF(OR(COUNTIF('クラス'!$A$1:$A$1267,$B756)&gt;0,$B756="",$M756=""),"",True)</f>
        <v>1</v>
      </c>
      <c r="M756" s="1" t="str">
        <f t="shared" si="20"/>
        <v>存在しない</v>
      </c>
      <c r="N756" s="1" t="s">
        <v>29</v>
      </c>
      <c r="O756" s="1"/>
      <c r="P756" s="11"/>
      <c r="Q756" s="11"/>
      <c r="R756" s="11"/>
      <c r="S756" s="11"/>
      <c r="T756" s="1"/>
      <c r="U756" s="1"/>
      <c r="V756" s="1"/>
      <c r="W756" s="1"/>
      <c r="X756" s="1"/>
      <c r="Y756" s="1"/>
      <c r="Z756" s="1"/>
    </row>
    <row r="757" ht="18.0" customHeight="1" outlineLevel="2">
      <c r="A757" s="1">
        <v>4.0</v>
      </c>
      <c r="B757" s="1"/>
      <c r="C757" s="1"/>
      <c r="D757" s="1"/>
      <c r="E757" s="14"/>
      <c r="F757" s="15"/>
      <c r="G757" s="16"/>
      <c r="H757" s="11"/>
      <c r="I757" s="7"/>
      <c r="J757" s="7" t="str">
        <f>IFERROR(LET(_xlpm.v,
VLOOKUP($I757,'用語辞書'!$A:$B,COLUMN('用語辞書'!B$1),FALSE),
IF(_xlpm.v=0,"",_xlpm.v)
),"")</f>
        <v/>
      </c>
      <c r="K757" s="17"/>
      <c r="L757" s="17" t="str">
        <f>IF(OR(COUNTIF('クラス'!$A$1:$A$1267,$B757)&gt;0,$B757="",$M757=""),"",True)</f>
        <v/>
      </c>
      <c r="M757" s="1" t="str">
        <f t="shared" si="20"/>
        <v>存在しない</v>
      </c>
      <c r="N757" s="1" t="s">
        <v>29</v>
      </c>
      <c r="O757" s="1"/>
      <c r="P757" s="11"/>
      <c r="Q757" s="11"/>
      <c r="R757" s="11"/>
      <c r="S757" s="11"/>
      <c r="T757" s="1"/>
      <c r="U757" s="1"/>
      <c r="V757" s="1"/>
      <c r="W757" s="1"/>
      <c r="X757" s="1"/>
      <c r="Y757" s="1"/>
      <c r="Z757" s="1"/>
    </row>
    <row r="758" ht="18.0" customHeight="1" outlineLevel="2">
      <c r="A758" s="1">
        <v>5.0</v>
      </c>
      <c r="B758" s="26" t="s">
        <v>1270</v>
      </c>
      <c r="C758" s="1"/>
      <c r="D758" s="1"/>
      <c r="E758" s="29" t="s">
        <v>33</v>
      </c>
      <c r="F758" s="15"/>
      <c r="G758" s="30">
        <v>50.0</v>
      </c>
      <c r="H758" s="22" t="s">
        <v>1271</v>
      </c>
      <c r="I758" s="7"/>
      <c r="J758" s="7" t="str">
        <f>IFERROR(LET(_xlpm.v,
VLOOKUP($I758,'用語辞書'!$A:$B,COLUMN('用語辞書'!B$1),FALSE),
IF(_xlpm.v=0,"",_xlpm.v)
),"")</f>
        <v/>
      </c>
      <c r="K758" s="17"/>
      <c r="L758" s="17" t="b">
        <f>IF(OR(COUNTIF('クラス'!$A$1:$A$1267,$B758)&gt;0,$B758="",$M758=""),"",True)</f>
        <v>1</v>
      </c>
      <c r="M758" s="1" t="str">
        <f t="shared" si="20"/>
        <v>存在しない</v>
      </c>
      <c r="N758" s="1" t="s">
        <v>29</v>
      </c>
      <c r="O758" s="1"/>
      <c r="P758" s="11"/>
      <c r="Q758" s="11"/>
      <c r="R758" s="11"/>
      <c r="S758" s="11"/>
      <c r="T758" s="1"/>
      <c r="U758" s="1"/>
      <c r="V758" s="1"/>
      <c r="W758" s="1"/>
      <c r="X758" s="1"/>
      <c r="Y758" s="1"/>
      <c r="Z758" s="1"/>
    </row>
    <row r="759" ht="18.0" customHeight="1" outlineLevel="2">
      <c r="A759" s="1">
        <v>6.0</v>
      </c>
      <c r="B759" s="1"/>
      <c r="C759" s="1"/>
      <c r="D759" s="1"/>
      <c r="E759" s="14"/>
      <c r="F759" s="15"/>
      <c r="G759" s="16"/>
      <c r="H759" s="11"/>
      <c r="I759" s="7"/>
      <c r="J759" s="7" t="str">
        <f>IFERROR(LET(_xlpm.v,
VLOOKUP($I759,'用語辞書'!$A:$B,COLUMN('用語辞書'!B$1),FALSE),
IF(_xlpm.v=0,"",_xlpm.v)
),"")</f>
        <v/>
      </c>
      <c r="K759" s="17"/>
      <c r="L759" s="17" t="str">
        <f>IF(OR(COUNTIF('クラス'!$A$1:$A$1267,$B759)&gt;0,$B759="",$M759=""),"",True)</f>
        <v/>
      </c>
      <c r="M759" s="1" t="str">
        <f t="shared" si="20"/>
        <v>存在しない</v>
      </c>
      <c r="N759" s="1" t="s">
        <v>29</v>
      </c>
      <c r="O759" s="1"/>
      <c r="P759" s="11"/>
      <c r="Q759" s="11"/>
      <c r="R759" s="11"/>
      <c r="S759" s="11"/>
      <c r="T759" s="1"/>
      <c r="U759" s="1"/>
      <c r="V759" s="1"/>
      <c r="W759" s="1"/>
      <c r="X759" s="1"/>
      <c r="Y759" s="1"/>
      <c r="Z759" s="1"/>
    </row>
    <row r="760" ht="18.0" customHeight="1" outlineLevel="2">
      <c r="A760" s="1">
        <v>7.0</v>
      </c>
      <c r="B760" s="26" t="s">
        <v>1272</v>
      </c>
      <c r="C760" s="1"/>
      <c r="D760" s="1"/>
      <c r="E760" s="29" t="s">
        <v>55</v>
      </c>
      <c r="F760" s="15"/>
      <c r="G760" s="16"/>
      <c r="H760" s="22" t="s">
        <v>1273</v>
      </c>
      <c r="I760" s="7"/>
      <c r="J760" s="7" t="str">
        <f>IFERROR(LET(_xlpm.v,
VLOOKUP($I760,'用語辞書'!$A:$B,COLUMN('用語辞書'!B$1),FALSE),
IF(_xlpm.v=0,"",_xlpm.v)
),"")</f>
        <v/>
      </c>
      <c r="K760" s="17"/>
      <c r="L760" s="17" t="b">
        <f>IF(OR(COUNTIF('クラス'!$A$1:$A$1267,$B760)&gt;0,$B760="",$M760=""),"",True)</f>
        <v>1</v>
      </c>
      <c r="M760" s="1" t="str">
        <f t="shared" si="20"/>
        <v>存在しない</v>
      </c>
      <c r="N760" s="1" t="s">
        <v>29</v>
      </c>
      <c r="O760" s="1"/>
      <c r="P760" s="11"/>
      <c r="Q760" s="11"/>
      <c r="R760" s="11"/>
      <c r="S760" s="11"/>
      <c r="T760" s="1"/>
      <c r="U760" s="1"/>
      <c r="V760" s="1"/>
      <c r="W760" s="1"/>
      <c r="X760" s="1"/>
      <c r="Y760" s="1"/>
      <c r="Z760" s="1"/>
    </row>
    <row r="761" ht="18.0" customHeight="1" outlineLevel="2">
      <c r="A761" s="1">
        <v>8.0</v>
      </c>
      <c r="B761" s="1"/>
      <c r="C761" s="1"/>
      <c r="D761" s="1"/>
      <c r="E761" s="14"/>
      <c r="F761" s="15"/>
      <c r="G761" s="16"/>
      <c r="H761" s="11"/>
      <c r="I761" s="7"/>
      <c r="J761" s="7" t="str">
        <f>IFERROR(LET(_xlpm.v,
VLOOKUP($I761,'用語辞書'!$A:$B,COLUMN('用語辞書'!B$1),FALSE),
IF(_xlpm.v=0,"",_xlpm.v)
),"")</f>
        <v/>
      </c>
      <c r="K761" s="17"/>
      <c r="L761" s="17" t="str">
        <f>IF(OR(COUNTIF('クラス'!$A$1:$A$1267,$B761)&gt;0,$B761="",$M761=""),"",True)</f>
        <v/>
      </c>
      <c r="M761" s="1" t="str">
        <f t="shared" si="20"/>
        <v>存在しない</v>
      </c>
      <c r="N761" s="1" t="s">
        <v>29</v>
      </c>
      <c r="O761" s="1"/>
      <c r="P761" s="11"/>
      <c r="Q761" s="11"/>
      <c r="R761" s="11"/>
      <c r="S761" s="11"/>
      <c r="T761" s="1"/>
      <c r="U761" s="1"/>
      <c r="V761" s="1"/>
      <c r="W761" s="1"/>
      <c r="X761" s="1"/>
      <c r="Y761" s="1"/>
      <c r="Z761" s="1"/>
    </row>
    <row r="762" ht="18.0" customHeight="1" outlineLevel="2">
      <c r="A762" s="1">
        <v>9.0</v>
      </c>
      <c r="B762" s="26" t="s">
        <v>1274</v>
      </c>
      <c r="C762" s="1"/>
      <c r="D762" s="26" t="s">
        <v>1275</v>
      </c>
      <c r="E762" s="29" t="s">
        <v>33</v>
      </c>
      <c r="F762" s="15"/>
      <c r="G762" s="30">
        <v>40.0</v>
      </c>
      <c r="H762" s="22" t="s">
        <v>1276</v>
      </c>
      <c r="I762" s="7"/>
      <c r="J762" s="7" t="str">
        <f>IFERROR(LET(_xlpm.v,
VLOOKUP($I762,'用語辞書'!$A:$B,COLUMN('用語辞書'!B$1),FALSE),
IF(_xlpm.v=0,"",_xlpm.v)
),"")</f>
        <v/>
      </c>
      <c r="K762" s="17"/>
      <c r="L762" s="17" t="b">
        <f>IF(OR(COUNTIF('クラス'!$A$1:$A$1267,$B762)&gt;0,$B762="",$M762=""),"",True)</f>
        <v>1</v>
      </c>
      <c r="M762" s="1" t="str">
        <f t="shared" si="20"/>
        <v>存在しない</v>
      </c>
      <c r="N762" s="1" t="s">
        <v>29</v>
      </c>
      <c r="O762" s="1"/>
      <c r="P762" s="11"/>
      <c r="Q762" s="11"/>
      <c r="R762" s="11"/>
      <c r="S762" s="11"/>
      <c r="T762" s="1"/>
      <c r="U762" s="1"/>
      <c r="V762" s="1"/>
      <c r="W762" s="1"/>
      <c r="X762" s="1"/>
      <c r="Y762" s="1"/>
      <c r="Z762" s="1"/>
    </row>
    <row r="763" ht="18.0" customHeight="1" outlineLevel="2">
      <c r="A763" s="1">
        <v>10.0</v>
      </c>
      <c r="B763" s="26" t="s">
        <v>1277</v>
      </c>
      <c r="C763" s="1"/>
      <c r="D763" s="1"/>
      <c r="E763" s="29" t="s">
        <v>55</v>
      </c>
      <c r="F763" s="15"/>
      <c r="G763" s="16"/>
      <c r="H763" s="22" t="s">
        <v>1278</v>
      </c>
      <c r="I763" s="7"/>
      <c r="J763" s="7" t="str">
        <f>IFERROR(LET(_xlpm.v,
VLOOKUP($I763,'用語辞書'!$A:$B,COLUMN('用語辞書'!B$1),FALSE),
IF(_xlpm.v=0,"",_xlpm.v)
),"")</f>
        <v/>
      </c>
      <c r="K763" s="17"/>
      <c r="L763" s="17" t="b">
        <f>IF(OR(COUNTIF('クラス'!$A$1:$A$1267,$B763)&gt;0,$B763="",$M763=""),"",True)</f>
        <v>1</v>
      </c>
      <c r="M763" s="1" t="str">
        <f t="shared" si="20"/>
        <v>存在しない</v>
      </c>
      <c r="N763" s="1" t="s">
        <v>29</v>
      </c>
      <c r="O763" s="1"/>
      <c r="P763" s="11"/>
      <c r="Q763" s="11"/>
      <c r="R763" s="11"/>
      <c r="S763" s="11"/>
      <c r="T763" s="1"/>
      <c r="U763" s="1"/>
      <c r="V763" s="1"/>
      <c r="W763" s="1"/>
      <c r="X763" s="1"/>
      <c r="Y763" s="1"/>
      <c r="Z763" s="1"/>
    </row>
    <row r="764" ht="18.0" customHeight="1" outlineLevel="1">
      <c r="A764" s="1"/>
      <c r="B764" s="1"/>
      <c r="C764" s="1"/>
      <c r="D764" s="1"/>
      <c r="E764" s="14"/>
      <c r="F764" s="15"/>
      <c r="G764" s="16"/>
      <c r="H764" s="11"/>
      <c r="I764" s="7"/>
      <c r="J764" s="7" t="str">
        <f>IFERROR(LET(_xlpm.v,
VLOOKUP($I764,'用語辞書'!$A:$B,COLUMN('用語辞書'!B$1),FALSE),
IF(_xlpm.v=0,"",_xlpm.v)
),"")</f>
        <v/>
      </c>
      <c r="K764" s="17"/>
      <c r="L764" s="17" t="str">
        <f>IF(OR(COUNTIF('クラス'!$A$1:$A$1267,$B764)&gt;0,$B764="",$M764=""),"",True)</f>
        <v/>
      </c>
      <c r="M764" s="1" t="str">
        <f>IF(COUNTIF($B$1:$C752, $B764), "", "存在しない")</f>
        <v>存在しない</v>
      </c>
      <c r="N764" s="1" t="s">
        <v>29</v>
      </c>
      <c r="O764" s="1"/>
      <c r="P764" s="11"/>
      <c r="Q764" s="11"/>
      <c r="R764" s="11"/>
      <c r="S764" s="11"/>
      <c r="T764" s="1"/>
      <c r="U764" s="1"/>
      <c r="V764" s="1"/>
      <c r="W764" s="1"/>
      <c r="X764" s="1"/>
      <c r="Y764" s="1"/>
      <c r="Z764" s="1"/>
    </row>
    <row r="765" ht="18.0" customHeight="1" collapsed="1">
      <c r="A765" s="1"/>
      <c r="B765" s="1"/>
      <c r="C765" s="1"/>
      <c r="D765" s="1"/>
      <c r="E765" s="14"/>
      <c r="F765" s="15"/>
      <c r="G765" s="16"/>
      <c r="H765" s="11"/>
      <c r="I765" s="7"/>
      <c r="J765" s="7" t="str">
        <f>IFERROR(LET(_xlpm.v,
VLOOKUP($I765,'用語辞書'!$A:$B,COLUMN('用語辞書'!B$1),FALSE),
IF(_xlpm.v=0,"",_xlpm.v)
),"")</f>
        <v/>
      </c>
      <c r="K765" s="17"/>
      <c r="L765" s="17" t="str">
        <f>IF(OR(COUNTIF('クラス'!$A$1:$A$1267,$B765)&gt;0,$B765="",$M765=""),"",True)</f>
        <v/>
      </c>
      <c r="M765" s="1" t="str">
        <f t="shared" ref="M765:M963" si="21">IF(COUNTIF($B$1:$C764, $B765), "", "存在しない")</f>
        <v>存在しない</v>
      </c>
      <c r="N765" s="1" t="s">
        <v>29</v>
      </c>
      <c r="O765" s="1"/>
      <c r="P765" s="11"/>
      <c r="Q765" s="11"/>
      <c r="R765" s="11"/>
      <c r="S765" s="11"/>
      <c r="T765" s="1"/>
      <c r="U765" s="1"/>
      <c r="V765" s="1"/>
      <c r="W765" s="1"/>
      <c r="X765" s="1"/>
      <c r="Y765" s="1"/>
      <c r="Z765" s="1"/>
    </row>
    <row r="766" ht="18.0" customHeight="1">
      <c r="A766" s="1"/>
      <c r="B766" s="1"/>
      <c r="C766" s="26" t="s">
        <v>1279</v>
      </c>
      <c r="D766" s="1"/>
      <c r="E766" s="14"/>
      <c r="F766" s="15"/>
      <c r="G766" s="16"/>
      <c r="H766" s="11"/>
      <c r="I766" s="7"/>
      <c r="J766" s="7" t="str">
        <f>IFERROR(LET(_xlpm.v,
VLOOKUP($I766,'用語辞書'!$A:$B,COLUMN('用語辞書'!B$1),FALSE),
IF(_xlpm.v=0,"",_xlpm.v)
),"")</f>
        <v/>
      </c>
      <c r="K766" s="17"/>
      <c r="L766" s="17" t="str">
        <f>IF(OR(COUNTIF('クラス'!$A$1:$A$1267,$B766)&gt;0,$B766="",$M766=""),"",True)</f>
        <v/>
      </c>
      <c r="M766" s="1" t="str">
        <f t="shared" si="21"/>
        <v>存在しない</v>
      </c>
      <c r="N766" s="1" t="s">
        <v>29</v>
      </c>
      <c r="O766" s="1"/>
      <c r="P766" s="11"/>
      <c r="Q766" s="11"/>
      <c r="R766" s="11"/>
      <c r="S766" s="11"/>
      <c r="T766" s="1"/>
      <c r="U766" s="1"/>
      <c r="V766" s="1"/>
      <c r="W766" s="1"/>
      <c r="X766" s="1"/>
      <c r="Y766" s="1"/>
      <c r="Z766" s="1"/>
    </row>
    <row r="767" ht="18.0" customHeight="1" outlineLevel="1">
      <c r="A767" s="1"/>
      <c r="B767" s="1" t="s">
        <v>1280</v>
      </c>
      <c r="C767" s="1"/>
      <c r="D767" s="1"/>
      <c r="E767" s="14"/>
      <c r="F767" s="15"/>
      <c r="G767" s="16"/>
      <c r="H767" s="11"/>
      <c r="I767" s="7"/>
      <c r="J767" s="7" t="str">
        <f>IFERROR(LET(_xlpm.v,
VLOOKUP($I767,'用語辞書'!$A:$B,COLUMN('用語辞書'!B$1),FALSE),
IF(_xlpm.v=0,"",_xlpm.v)
),"")</f>
        <v/>
      </c>
      <c r="K767" s="17"/>
      <c r="L767" s="17" t="str">
        <f>IF(OR(COUNTIF('クラス'!$A$1:$A$1267,$B767)&gt;0,$B767="",$M767=""),"",True)</f>
        <v/>
      </c>
      <c r="M767" s="1" t="str">
        <f t="shared" si="21"/>
        <v>存在しない</v>
      </c>
      <c r="N767" s="1" t="s">
        <v>29</v>
      </c>
      <c r="O767" s="1"/>
      <c r="P767" s="11"/>
      <c r="Q767" s="11"/>
      <c r="R767" s="11"/>
      <c r="S767" s="11"/>
      <c r="T767" s="1"/>
      <c r="U767" s="1"/>
      <c r="V767" s="1"/>
      <c r="W767" s="1"/>
      <c r="X767" s="1"/>
      <c r="Y767" s="1"/>
      <c r="Z767" s="1"/>
    </row>
    <row r="768" ht="18.0" customHeight="1" outlineLevel="2">
      <c r="A768" s="1">
        <v>1.0</v>
      </c>
      <c r="B768" s="26" t="s">
        <v>35</v>
      </c>
      <c r="C768" s="1"/>
      <c r="D768" s="1"/>
      <c r="E768" s="14"/>
      <c r="F768" s="15"/>
      <c r="G768" s="16"/>
      <c r="H768" s="11"/>
      <c r="I768" s="7"/>
      <c r="J768" s="7" t="str">
        <f>IFERROR(LET(_xlpm.v,
VLOOKUP($I768,'用語辞書'!$A:$B,COLUMN('用語辞書'!B$1),FALSE),
IF(_xlpm.v=0,"",_xlpm.v)
),"")</f>
        <v/>
      </c>
      <c r="K768" s="17"/>
      <c r="L768" s="17" t="str">
        <f>IF(OR(COUNTIF('クラス'!$A$1:$A$1267,$B768)&gt;0,$B768="",$M768=""),"",True)</f>
        <v/>
      </c>
      <c r="M768" s="1" t="str">
        <f t="shared" si="21"/>
        <v/>
      </c>
      <c r="N768" s="1" t="s">
        <v>29</v>
      </c>
      <c r="O768" s="1"/>
      <c r="P768" s="11"/>
      <c r="Q768" s="11"/>
      <c r="R768" s="11"/>
      <c r="S768" s="11"/>
      <c r="T768" s="1"/>
      <c r="U768" s="1"/>
      <c r="V768" s="1"/>
      <c r="W768" s="1"/>
      <c r="X768" s="1"/>
      <c r="Y768" s="1"/>
      <c r="Z768" s="1"/>
    </row>
    <row r="769" ht="18.0" customHeight="1" outlineLevel="2">
      <c r="A769" s="1">
        <v>2.0</v>
      </c>
      <c r="B769" s="26" t="s">
        <v>1281</v>
      </c>
      <c r="C769" s="1"/>
      <c r="D769" s="1"/>
      <c r="E769" s="14" t="s">
        <v>33</v>
      </c>
      <c r="F769" s="15"/>
      <c r="G769" s="16">
        <v>30.0</v>
      </c>
      <c r="H769" s="22" t="s">
        <v>1282</v>
      </c>
      <c r="I769" s="7"/>
      <c r="J769" s="7" t="str">
        <f>IFERROR(LET(_xlpm.v,
VLOOKUP($I769,'用語辞書'!$A:$B,COLUMN('用語辞書'!B$1),FALSE),
IF(_xlpm.v=0,"",_xlpm.v)
),"")</f>
        <v/>
      </c>
      <c r="K769" s="17"/>
      <c r="L769" s="17" t="b">
        <f>IF(OR(COUNTIF('クラス'!$A$1:$A$1267,$B769)&gt;0,$B769="",$M769=""),"",True)</f>
        <v>1</v>
      </c>
      <c r="M769" s="1" t="str">
        <f t="shared" si="21"/>
        <v>存在しない</v>
      </c>
      <c r="N769" s="1" t="s">
        <v>29</v>
      </c>
      <c r="O769" s="1"/>
      <c r="P769" s="11"/>
      <c r="Q769" s="11"/>
      <c r="R769" s="11"/>
      <c r="S769" s="11"/>
      <c r="T769" s="1"/>
      <c r="U769" s="1"/>
      <c r="V769" s="1"/>
      <c r="W769" s="1"/>
      <c r="X769" s="1"/>
      <c r="Y769" s="1"/>
      <c r="Z769" s="1"/>
    </row>
    <row r="770" ht="18.0" customHeight="1" outlineLevel="2">
      <c r="A770" s="1">
        <v>3.0</v>
      </c>
      <c r="B770" s="26" t="s">
        <v>37</v>
      </c>
      <c r="C770" s="1"/>
      <c r="D770" s="1"/>
      <c r="E770" s="14"/>
      <c r="F770" s="15"/>
      <c r="G770" s="16"/>
      <c r="H770" s="11"/>
      <c r="I770" s="7"/>
      <c r="J770" s="7" t="str">
        <f>IFERROR(LET(_xlpm.v,
VLOOKUP($I770,'用語辞書'!$A:$B,COLUMN('用語辞書'!B$1),FALSE),
IF(_xlpm.v=0,"",_xlpm.v)
),"")</f>
        <v/>
      </c>
      <c r="K770" s="17"/>
      <c r="L770" s="17" t="str">
        <f>IF(OR(COUNTIF('クラス'!$A$1:$A$1267,$B770)&gt;0,$B770="",$M770=""),"",True)</f>
        <v/>
      </c>
      <c r="M770" s="1" t="str">
        <f t="shared" si="21"/>
        <v/>
      </c>
      <c r="N770" s="1" t="s">
        <v>29</v>
      </c>
      <c r="O770" s="1"/>
      <c r="P770" s="11"/>
      <c r="Q770" s="11"/>
      <c r="R770" s="11"/>
      <c r="S770" s="11"/>
      <c r="T770" s="1"/>
      <c r="U770" s="1"/>
      <c r="V770" s="1"/>
      <c r="W770" s="1"/>
      <c r="X770" s="1"/>
      <c r="Y770" s="1"/>
      <c r="Z770" s="1"/>
    </row>
    <row r="771" ht="18.0" customHeight="1" outlineLevel="2">
      <c r="A771" s="1">
        <v>4.0</v>
      </c>
      <c r="B771" s="1"/>
      <c r="C771" s="1"/>
      <c r="D771" s="1"/>
      <c r="E771" s="14"/>
      <c r="F771" s="15"/>
      <c r="G771" s="16"/>
      <c r="H771" s="11"/>
      <c r="I771" s="7"/>
      <c r="J771" s="7" t="str">
        <f>IFERROR(LET(_xlpm.v,
VLOOKUP($I771,'用語辞書'!$A:$B,COLUMN('用語辞書'!B$1),FALSE),
IF(_xlpm.v=0,"",_xlpm.v)
),"")</f>
        <v/>
      </c>
      <c r="K771" s="17"/>
      <c r="L771" s="17" t="str">
        <f>IF(OR(COUNTIF('クラス'!$A$1:$A$1267,$B771)&gt;0,$B771="",$M771=""),"",True)</f>
        <v/>
      </c>
      <c r="M771" s="1" t="str">
        <f t="shared" si="21"/>
        <v>存在しない</v>
      </c>
      <c r="N771" s="1" t="s">
        <v>29</v>
      </c>
      <c r="O771" s="1"/>
      <c r="P771" s="11"/>
      <c r="Q771" s="11"/>
      <c r="R771" s="11"/>
      <c r="S771" s="11"/>
      <c r="T771" s="1"/>
      <c r="U771" s="1"/>
      <c r="V771" s="1"/>
      <c r="W771" s="1"/>
      <c r="X771" s="1"/>
      <c r="Y771" s="1"/>
      <c r="Z771" s="1"/>
    </row>
    <row r="772" ht="18.0" customHeight="1" outlineLevel="2">
      <c r="A772" s="1">
        <v>5.0</v>
      </c>
      <c r="B772" s="26" t="s">
        <v>1283</v>
      </c>
      <c r="C772" s="1"/>
      <c r="D772" s="1" t="s">
        <v>1284</v>
      </c>
      <c r="E772" s="14" t="s">
        <v>33</v>
      </c>
      <c r="F772" s="15"/>
      <c r="G772" s="36">
        <v>0.0</v>
      </c>
      <c r="H772" s="22" t="s">
        <v>1285</v>
      </c>
      <c r="I772" s="7"/>
      <c r="J772" s="7" t="str">
        <f>IFERROR(LET(_xlpm.v,
VLOOKUP($I772,'用語辞書'!$A:$B,COLUMN('用語辞書'!B$1),FALSE),
IF(_xlpm.v=0,"",_xlpm.v)
),"")</f>
        <v/>
      </c>
      <c r="K772" s="17"/>
      <c r="L772" s="17" t="b">
        <f>IF(OR(COUNTIF('クラス'!$A$1:$A$1267,$B772)&gt;0,$B772="",$M772=""),"",True)</f>
        <v>1</v>
      </c>
      <c r="M772" s="1" t="str">
        <f t="shared" si="21"/>
        <v>存在しない</v>
      </c>
      <c r="N772" s="1" t="s">
        <v>29</v>
      </c>
      <c r="O772" s="1"/>
      <c r="P772" s="11"/>
      <c r="Q772" s="11"/>
      <c r="R772" s="11"/>
      <c r="S772" s="11"/>
      <c r="T772" s="1"/>
      <c r="U772" s="1"/>
      <c r="V772" s="1"/>
      <c r="W772" s="1"/>
      <c r="X772" s="1"/>
      <c r="Y772" s="1"/>
      <c r="Z772" s="1"/>
    </row>
    <row r="773" ht="18.0" customHeight="1" outlineLevel="2">
      <c r="A773" s="1">
        <v>6.0</v>
      </c>
      <c r="B773" s="26" t="s">
        <v>1286</v>
      </c>
      <c r="C773" s="1"/>
      <c r="D773" s="1"/>
      <c r="E773" s="29" t="s">
        <v>55</v>
      </c>
      <c r="F773" s="15"/>
      <c r="G773" s="16"/>
      <c r="H773" s="22" t="s">
        <v>1287</v>
      </c>
      <c r="I773" s="7"/>
      <c r="J773" s="7" t="str">
        <f>IFERROR(LET(_xlpm.v,
VLOOKUP($I773,'用語辞書'!$A:$B,COLUMN('用語辞書'!B$1),FALSE),
IF(_xlpm.v=0,"",_xlpm.v)
),"")</f>
        <v/>
      </c>
      <c r="K773" s="17"/>
      <c r="L773" s="17" t="b">
        <f>IF(OR(COUNTIF('クラス'!$A$1:$A$1267,$B773)&gt;0,$B773="",$M773=""),"",True)</f>
        <v>1</v>
      </c>
      <c r="M773" s="1" t="str">
        <f t="shared" si="21"/>
        <v>存在しない</v>
      </c>
      <c r="N773" s="1" t="s">
        <v>29</v>
      </c>
      <c r="O773" s="1"/>
      <c r="P773" s="11"/>
      <c r="Q773" s="11"/>
      <c r="R773" s="11"/>
      <c r="S773" s="11"/>
      <c r="T773" s="1"/>
      <c r="U773" s="1"/>
      <c r="V773" s="1"/>
      <c r="W773" s="1"/>
      <c r="X773" s="1"/>
      <c r="Y773" s="1"/>
      <c r="Z773" s="1"/>
    </row>
    <row r="774" ht="18.0" customHeight="1" outlineLevel="2">
      <c r="A774" s="1">
        <v>7.0</v>
      </c>
      <c r="B774" s="26" t="s">
        <v>1288</v>
      </c>
      <c r="C774" s="1"/>
      <c r="D774" s="1"/>
      <c r="E774" s="29" t="s">
        <v>55</v>
      </c>
      <c r="F774" s="15"/>
      <c r="G774" s="16"/>
      <c r="H774" s="22" t="s">
        <v>1289</v>
      </c>
      <c r="I774" s="7"/>
      <c r="J774" s="7" t="str">
        <f>IFERROR(LET(_xlpm.v,
VLOOKUP($I774,'用語辞書'!$A:$B,COLUMN('用語辞書'!B$1),FALSE),
IF(_xlpm.v=0,"",_xlpm.v)
),"")</f>
        <v/>
      </c>
      <c r="K774" s="17"/>
      <c r="L774" s="17" t="b">
        <f>IF(OR(COUNTIF('クラス'!$A$1:$A$1267,$B774)&gt;0,$B774="",$M774=""),"",True)</f>
        <v>1</v>
      </c>
      <c r="M774" s="1" t="str">
        <f t="shared" si="21"/>
        <v>存在しない</v>
      </c>
      <c r="N774" s="1" t="s">
        <v>29</v>
      </c>
      <c r="O774" s="1"/>
      <c r="P774" s="11"/>
      <c r="Q774" s="11"/>
      <c r="R774" s="11"/>
      <c r="S774" s="11"/>
      <c r="T774" s="1"/>
      <c r="U774" s="1"/>
      <c r="V774" s="1"/>
      <c r="W774" s="1"/>
      <c r="X774" s="1"/>
      <c r="Y774" s="1"/>
      <c r="Z774" s="1"/>
    </row>
    <row r="775" ht="18.0" customHeight="1" outlineLevel="2">
      <c r="A775" s="1">
        <v>8.0</v>
      </c>
      <c r="B775" s="1"/>
      <c r="C775" s="1"/>
      <c r="D775" s="1"/>
      <c r="E775" s="14"/>
      <c r="F775" s="15"/>
      <c r="G775" s="16"/>
      <c r="H775" s="11"/>
      <c r="I775" s="7"/>
      <c r="J775" s="7" t="str">
        <f>IFERROR(LET(_xlpm.v,
VLOOKUP($I775,'用語辞書'!$A:$B,COLUMN('用語辞書'!B$1),FALSE),
IF(_xlpm.v=0,"",_xlpm.v)
),"")</f>
        <v/>
      </c>
      <c r="K775" s="17"/>
      <c r="L775" s="17" t="str">
        <f>IF(OR(COUNTIF('クラス'!$A$1:$A$1267,$B775)&gt;0,$B775="",$M775=""),"",True)</f>
        <v/>
      </c>
      <c r="M775" s="1" t="str">
        <f t="shared" si="21"/>
        <v>存在しない</v>
      </c>
      <c r="N775" s="1" t="s">
        <v>29</v>
      </c>
      <c r="O775" s="1"/>
      <c r="P775" s="11"/>
      <c r="Q775" s="11"/>
      <c r="R775" s="11"/>
      <c r="S775" s="11"/>
      <c r="T775" s="1"/>
      <c r="U775" s="1"/>
      <c r="V775" s="1"/>
      <c r="W775" s="1"/>
      <c r="X775" s="1"/>
      <c r="Y775" s="1"/>
      <c r="Z775" s="1"/>
    </row>
    <row r="776" ht="18.0" customHeight="1" outlineLevel="2">
      <c r="A776" s="1">
        <v>9.0</v>
      </c>
      <c r="B776" s="26" t="s">
        <v>1290</v>
      </c>
      <c r="C776" s="1"/>
      <c r="D776" s="1"/>
      <c r="E776" s="29" t="s">
        <v>55</v>
      </c>
      <c r="F776" s="15"/>
      <c r="G776" s="16"/>
      <c r="H776" s="22" t="s">
        <v>1291</v>
      </c>
      <c r="I776" s="7"/>
      <c r="J776" s="7" t="str">
        <f>IFERROR(LET(_xlpm.v,
VLOOKUP($I776,'用語辞書'!$A:$B,COLUMN('用語辞書'!B$1),FALSE),
IF(_xlpm.v=0,"",_xlpm.v)
),"")</f>
        <v/>
      </c>
      <c r="K776" s="17"/>
      <c r="L776" s="17" t="b">
        <f>IF(OR(COUNTIF('クラス'!$A$1:$A$1267,$B776)&gt;0,$B776="",$M776=""),"",True)</f>
        <v>1</v>
      </c>
      <c r="M776" s="1" t="str">
        <f t="shared" si="21"/>
        <v>存在しない</v>
      </c>
      <c r="N776" s="1" t="s">
        <v>29</v>
      </c>
      <c r="O776" s="1"/>
      <c r="P776" s="11"/>
      <c r="Q776" s="11"/>
      <c r="R776" s="11"/>
      <c r="S776" s="11"/>
      <c r="T776" s="1"/>
      <c r="U776" s="1"/>
      <c r="V776" s="1"/>
      <c r="W776" s="1"/>
      <c r="X776" s="1"/>
      <c r="Y776" s="1"/>
      <c r="Z776" s="1"/>
    </row>
    <row r="777" ht="18.0" customHeight="1" outlineLevel="2">
      <c r="A777" s="1">
        <v>10.0</v>
      </c>
      <c r="B777" s="26" t="s">
        <v>1292</v>
      </c>
      <c r="C777" s="1"/>
      <c r="D777" s="26" t="s">
        <v>1293</v>
      </c>
      <c r="E777" s="29" t="s">
        <v>33</v>
      </c>
      <c r="F777" s="15"/>
      <c r="G777" s="36">
        <v>100.0</v>
      </c>
      <c r="H777" s="22" t="s">
        <v>1294</v>
      </c>
      <c r="I777" s="7"/>
      <c r="J777" s="7" t="str">
        <f>IFERROR(LET(_xlpm.v,
VLOOKUP($I777,'用語辞書'!$A:$B,COLUMN('用語辞書'!B$1),FALSE),
IF(_xlpm.v=0,"",_xlpm.v)
),"")</f>
        <v/>
      </c>
      <c r="K777" s="17"/>
      <c r="L777" s="17" t="b">
        <f>IF(OR(COUNTIF('クラス'!$A$1:$A$1267,$B777)&gt;0,$B777="",$M777=""),"",True)</f>
        <v>1</v>
      </c>
      <c r="M777" s="1" t="str">
        <f t="shared" si="21"/>
        <v>存在しない</v>
      </c>
      <c r="N777" s="1" t="s">
        <v>29</v>
      </c>
      <c r="O777" s="1"/>
      <c r="P777" s="11"/>
      <c r="Q777" s="11"/>
      <c r="R777" s="11"/>
      <c r="S777" s="11"/>
      <c r="T777" s="1"/>
      <c r="U777" s="1"/>
      <c r="V777" s="1"/>
      <c r="W777" s="1"/>
      <c r="X777" s="1"/>
      <c r="Y777" s="1"/>
      <c r="Z777" s="1"/>
    </row>
    <row r="778" ht="18.0" customHeight="1" outlineLevel="2">
      <c r="A778" s="1"/>
      <c r="B778" s="1"/>
      <c r="C778" s="1"/>
      <c r="D778" s="1"/>
      <c r="E778" s="14"/>
      <c r="F778" s="15"/>
      <c r="G778" s="16"/>
      <c r="H778" s="11"/>
      <c r="I778" s="7"/>
      <c r="J778" s="7" t="str">
        <f>IFERROR(LET(_xlpm.v,
VLOOKUP($I778,'用語辞書'!$A:$B,COLUMN('用語辞書'!B$1),FALSE),
IF(_xlpm.v=0,"",_xlpm.v)
),"")</f>
        <v/>
      </c>
      <c r="K778" s="17"/>
      <c r="L778" s="17" t="str">
        <f>IF(OR(COUNTIF('クラス'!$A$1:$A$1267,$B778)&gt;0,$B778="",$M778=""),"",True)</f>
        <v/>
      </c>
      <c r="M778" s="1" t="str">
        <f t="shared" si="21"/>
        <v>存在しない</v>
      </c>
      <c r="N778" s="1" t="s">
        <v>29</v>
      </c>
      <c r="O778" s="1"/>
      <c r="P778" s="11"/>
      <c r="Q778" s="11"/>
      <c r="R778" s="11"/>
      <c r="S778" s="11"/>
      <c r="T778" s="1"/>
      <c r="U778" s="1"/>
      <c r="V778" s="1"/>
      <c r="W778" s="1"/>
      <c r="X778" s="1"/>
      <c r="Y778" s="1"/>
      <c r="Z778" s="1"/>
    </row>
    <row r="779" ht="18.0" customHeight="1" outlineLevel="1">
      <c r="A779" s="1"/>
      <c r="B779" s="1"/>
      <c r="C779" s="1"/>
      <c r="D779" s="1"/>
      <c r="E779" s="14"/>
      <c r="F779" s="15"/>
      <c r="G779" s="16"/>
      <c r="H779" s="11"/>
      <c r="I779" s="7"/>
      <c r="J779" s="7" t="str">
        <f>IFERROR(LET(_xlpm.v,
VLOOKUP($I779,'用語辞書'!$A:$B,COLUMN('用語辞書'!B$1),FALSE),
IF(_xlpm.v=0,"",_xlpm.v)
),"")</f>
        <v/>
      </c>
      <c r="K779" s="17"/>
      <c r="L779" s="17" t="str">
        <f>IF(OR(COUNTIF('クラス'!$A$1:$A$1267,$B779)&gt;0,$B779="",$M779=""),"",True)</f>
        <v/>
      </c>
      <c r="M779" s="1" t="str">
        <f t="shared" si="21"/>
        <v>存在しない</v>
      </c>
      <c r="N779" s="1" t="s">
        <v>29</v>
      </c>
      <c r="O779" s="1"/>
      <c r="P779" s="11"/>
      <c r="Q779" s="11"/>
      <c r="R779" s="11"/>
      <c r="S779" s="11"/>
      <c r="T779" s="1"/>
      <c r="U779" s="1"/>
      <c r="V779" s="1"/>
      <c r="W779" s="1"/>
      <c r="X779" s="1"/>
      <c r="Y779" s="1"/>
      <c r="Z779" s="1"/>
    </row>
    <row r="780" ht="18.0" customHeight="1" outlineLevel="1">
      <c r="A780" s="1"/>
      <c r="B780" s="1" t="s">
        <v>1295</v>
      </c>
      <c r="C780" s="1"/>
      <c r="D780" s="1"/>
      <c r="E780" s="14"/>
      <c r="F780" s="15"/>
      <c r="G780" s="16"/>
      <c r="H780" s="11"/>
      <c r="I780" s="7"/>
      <c r="J780" s="7" t="str">
        <f>IFERROR(LET(_xlpm.v,
VLOOKUP($I780,'用語辞書'!$A:$B,COLUMN('用語辞書'!B$1),FALSE),
IF(_xlpm.v=0,"",_xlpm.v)
),"")</f>
        <v/>
      </c>
      <c r="K780" s="17"/>
      <c r="L780" s="17" t="str">
        <f>IF(OR(COUNTIF('クラス'!$A$1:$A$1267,$B780)&gt;0,$B780="",$M780=""),"",True)</f>
        <v/>
      </c>
      <c r="M780" s="1" t="str">
        <f t="shared" si="21"/>
        <v>存在しない</v>
      </c>
      <c r="N780" s="1" t="s">
        <v>29</v>
      </c>
      <c r="O780" s="1"/>
      <c r="P780" s="11"/>
      <c r="Q780" s="11"/>
      <c r="R780" s="11"/>
      <c r="S780" s="11"/>
      <c r="T780" s="1"/>
      <c r="U780" s="1"/>
      <c r="V780" s="1"/>
      <c r="W780" s="1"/>
      <c r="X780" s="1"/>
      <c r="Y780" s="1"/>
      <c r="Z780" s="1"/>
    </row>
    <row r="781" ht="18.0" customHeight="1" outlineLevel="2">
      <c r="A781" s="1">
        <v>1.0</v>
      </c>
      <c r="B781" s="26" t="s">
        <v>1296</v>
      </c>
      <c r="C781" s="1"/>
      <c r="D781" s="1"/>
      <c r="E781" s="14"/>
      <c r="F781" s="15"/>
      <c r="G781" s="16"/>
      <c r="H781" s="11"/>
      <c r="I781" s="7"/>
      <c r="J781" s="7" t="str">
        <f>IFERROR(LET(_xlpm.v,
VLOOKUP($I781,'用語辞書'!$A:$B,COLUMN('用語辞書'!B$1),FALSE),
IF(_xlpm.v=0,"",_xlpm.v)
),"")</f>
        <v/>
      </c>
      <c r="K781" s="17"/>
      <c r="L781" s="17" t="b">
        <f>IF(OR(COUNTIF('クラス'!$A$1:$A$1267,$B781)&gt;0,$B781="",$M781=""),"",True)</f>
        <v>1</v>
      </c>
      <c r="M781" s="1" t="str">
        <f t="shared" si="21"/>
        <v>存在しない</v>
      </c>
      <c r="N781" s="1" t="s">
        <v>29</v>
      </c>
      <c r="O781" s="1"/>
      <c r="P781" s="11"/>
      <c r="Q781" s="11"/>
      <c r="R781" s="11"/>
      <c r="S781" s="11"/>
      <c r="T781" s="1"/>
      <c r="U781" s="1"/>
      <c r="V781" s="1"/>
      <c r="W781" s="1"/>
      <c r="X781" s="1"/>
      <c r="Y781" s="1"/>
      <c r="Z781" s="1"/>
    </row>
    <row r="782" ht="18.0" customHeight="1" outlineLevel="2">
      <c r="A782" s="1">
        <v>2.0</v>
      </c>
      <c r="B782" s="1"/>
      <c r="C782" s="1"/>
      <c r="D782" s="1"/>
      <c r="E782" s="14"/>
      <c r="F782" s="15"/>
      <c r="G782" s="16"/>
      <c r="H782" s="11"/>
      <c r="I782" s="7"/>
      <c r="J782" s="7" t="str">
        <f>IFERROR(LET(_xlpm.v,
VLOOKUP($I782,'用語辞書'!$A:$B,COLUMN('用語辞書'!B$1),FALSE),
IF(_xlpm.v=0,"",_xlpm.v)
),"")</f>
        <v/>
      </c>
      <c r="K782" s="17"/>
      <c r="L782" s="17" t="str">
        <f>IF(OR(COUNTIF('クラス'!$A$1:$A$1267,$B782)&gt;0,$B782="",$M782=""),"",True)</f>
        <v/>
      </c>
      <c r="M782" s="1" t="str">
        <f t="shared" si="21"/>
        <v>存在しない</v>
      </c>
      <c r="N782" s="1" t="s">
        <v>29</v>
      </c>
      <c r="O782" s="1"/>
      <c r="P782" s="11"/>
      <c r="Q782" s="11"/>
      <c r="R782" s="11"/>
      <c r="S782" s="11"/>
      <c r="T782" s="1"/>
      <c r="U782" s="1"/>
      <c r="V782" s="1"/>
      <c r="W782" s="1"/>
      <c r="X782" s="1"/>
      <c r="Y782" s="1"/>
      <c r="Z782" s="1"/>
    </row>
    <row r="783" ht="18.0" customHeight="1" outlineLevel="2">
      <c r="A783" s="1">
        <v>3.0</v>
      </c>
      <c r="B783" s="26" t="s">
        <v>1168</v>
      </c>
      <c r="C783" s="1"/>
      <c r="D783" s="1"/>
      <c r="E783" s="14"/>
      <c r="F783" s="15"/>
      <c r="G783" s="16"/>
      <c r="H783" s="11"/>
      <c r="I783" s="7"/>
      <c r="J783" s="7" t="str">
        <f>IFERROR(LET(_xlpm.v,
VLOOKUP($I783,'用語辞書'!$A:$B,COLUMN('用語辞書'!B$1),FALSE),
IF(_xlpm.v=0,"",_xlpm.v)
),"")</f>
        <v/>
      </c>
      <c r="K783" s="17"/>
      <c r="L783" s="17" t="str">
        <f>IF(OR(COUNTIF('クラス'!$A$1:$A$1267,$B783)&gt;0,$B783="",$M783=""),"",True)</f>
        <v/>
      </c>
      <c r="M783" s="1" t="str">
        <f t="shared" si="21"/>
        <v/>
      </c>
      <c r="N783" s="1" t="s">
        <v>29</v>
      </c>
      <c r="O783" s="1"/>
      <c r="P783" s="11"/>
      <c r="Q783" s="11"/>
      <c r="R783" s="11"/>
      <c r="S783" s="11"/>
      <c r="T783" s="1"/>
      <c r="U783" s="1"/>
      <c r="V783" s="1"/>
      <c r="W783" s="1"/>
      <c r="X783" s="1"/>
      <c r="Y783" s="1"/>
      <c r="Z783" s="1"/>
    </row>
    <row r="784" ht="18.0" customHeight="1" outlineLevel="2">
      <c r="A784" s="1">
        <v>4.0</v>
      </c>
      <c r="B784" s="1"/>
      <c r="C784" s="1"/>
      <c r="D784" s="1"/>
      <c r="E784" s="14"/>
      <c r="F784" s="15"/>
      <c r="G784" s="16"/>
      <c r="H784" s="11"/>
      <c r="I784" s="7"/>
      <c r="J784" s="7" t="str">
        <f>IFERROR(LET(_xlpm.v,
VLOOKUP($I784,'用語辞書'!$A:$B,COLUMN('用語辞書'!B$1),FALSE),
IF(_xlpm.v=0,"",_xlpm.v)
),"")</f>
        <v/>
      </c>
      <c r="K784" s="17"/>
      <c r="L784" s="17" t="str">
        <f>IF(OR(COUNTIF('クラス'!$A$1:$A$1267,$B784)&gt;0,$B784="",$M784=""),"",True)</f>
        <v/>
      </c>
      <c r="M784" s="1" t="str">
        <f t="shared" si="21"/>
        <v>存在しない</v>
      </c>
      <c r="N784" s="1" t="s">
        <v>29</v>
      </c>
      <c r="O784" s="1"/>
      <c r="P784" s="11"/>
      <c r="Q784" s="11"/>
      <c r="R784" s="11"/>
      <c r="S784" s="11"/>
      <c r="T784" s="1"/>
      <c r="U784" s="1"/>
      <c r="V784" s="1"/>
      <c r="W784" s="1"/>
      <c r="X784" s="1"/>
      <c r="Y784" s="1"/>
      <c r="Z784" s="1"/>
    </row>
    <row r="785" ht="18.0" customHeight="1" outlineLevel="2">
      <c r="A785" s="1">
        <v>5.0</v>
      </c>
      <c r="B785" s="26" t="s">
        <v>1297</v>
      </c>
      <c r="C785" s="1"/>
      <c r="D785" s="26" t="s">
        <v>783</v>
      </c>
      <c r="E785" s="29" t="s">
        <v>33</v>
      </c>
      <c r="F785" s="15"/>
      <c r="G785" s="36">
        <v>0.0</v>
      </c>
      <c r="H785" s="31" t="s">
        <v>1298</v>
      </c>
      <c r="I785" s="7"/>
      <c r="J785" s="7" t="str">
        <f>IFERROR(LET(_xlpm.v,
VLOOKUP($I785,'用語辞書'!$A:$B,COLUMN('用語辞書'!B$1),FALSE),
IF(_xlpm.v=0,"",_xlpm.v)
),"")</f>
        <v/>
      </c>
      <c r="K785" s="17"/>
      <c r="L785" s="17" t="b">
        <f>IF(OR(COUNTIF('クラス'!$A$1:$A$1267,$B785)&gt;0,$B785="",$M785=""),"",True)</f>
        <v>1</v>
      </c>
      <c r="M785" s="1" t="str">
        <f t="shared" si="21"/>
        <v>存在しない</v>
      </c>
      <c r="N785" s="1" t="s">
        <v>29</v>
      </c>
      <c r="O785" s="1"/>
      <c r="P785" s="11"/>
      <c r="Q785" s="11"/>
      <c r="R785" s="11"/>
      <c r="S785" s="11"/>
      <c r="T785" s="1"/>
      <c r="U785" s="1"/>
      <c r="V785" s="1"/>
      <c r="W785" s="1"/>
      <c r="X785" s="1"/>
      <c r="Y785" s="1"/>
      <c r="Z785" s="1"/>
    </row>
    <row r="786" ht="18.0" customHeight="1" outlineLevel="2">
      <c r="A786" s="1">
        <v>6.0</v>
      </c>
      <c r="B786" s="1"/>
      <c r="C786" s="1"/>
      <c r="D786" s="1"/>
      <c r="E786" s="14"/>
      <c r="F786" s="15"/>
      <c r="G786" s="16"/>
      <c r="H786" s="11"/>
      <c r="I786" s="7"/>
      <c r="J786" s="7" t="str">
        <f>IFERROR(LET(_xlpm.v,
VLOOKUP($I786,'用語辞書'!$A:$B,COLUMN('用語辞書'!B$1),FALSE),
IF(_xlpm.v=0,"",_xlpm.v)
),"")</f>
        <v/>
      </c>
      <c r="K786" s="17"/>
      <c r="L786" s="17" t="str">
        <f>IF(OR(COUNTIF('クラス'!$A$1:$A$1267,$B786)&gt;0,$B786="",$M786=""),"",True)</f>
        <v/>
      </c>
      <c r="M786" s="1" t="str">
        <f t="shared" si="21"/>
        <v>存在しない</v>
      </c>
      <c r="N786" s="1" t="s">
        <v>29</v>
      </c>
      <c r="O786" s="1"/>
      <c r="P786" s="11"/>
      <c r="Q786" s="11"/>
      <c r="R786" s="11"/>
      <c r="S786" s="11"/>
      <c r="T786" s="1"/>
      <c r="U786" s="1"/>
      <c r="V786" s="1"/>
      <c r="W786" s="1"/>
      <c r="X786" s="1"/>
      <c r="Y786" s="1"/>
      <c r="Z786" s="1"/>
    </row>
    <row r="787" ht="18.0" customHeight="1" outlineLevel="2">
      <c r="A787" s="1">
        <v>7.0</v>
      </c>
      <c r="B787" s="26" t="s">
        <v>1177</v>
      </c>
      <c r="C787" s="1"/>
      <c r="D787" s="1"/>
      <c r="E787" s="14"/>
      <c r="F787" s="15"/>
      <c r="G787" s="16"/>
      <c r="H787" s="11"/>
      <c r="I787" s="7"/>
      <c r="J787" s="7" t="str">
        <f>IFERROR(LET(_xlpm.v,
VLOOKUP($I787,'用語辞書'!$A:$B,COLUMN('用語辞書'!B$1),FALSE),
IF(_xlpm.v=0,"",_xlpm.v)
),"")</f>
        <v/>
      </c>
      <c r="K787" s="17"/>
      <c r="L787" s="17" t="str">
        <f>IF(OR(COUNTIF('クラス'!$A$1:$A$1267,$B787)&gt;0,$B787="",$M787=""),"",True)</f>
        <v/>
      </c>
      <c r="M787" s="1" t="str">
        <f t="shared" si="21"/>
        <v/>
      </c>
      <c r="N787" s="1" t="s">
        <v>29</v>
      </c>
      <c r="O787" s="1"/>
      <c r="P787" s="11"/>
      <c r="Q787" s="11"/>
      <c r="R787" s="11"/>
      <c r="S787" s="11"/>
      <c r="T787" s="1"/>
      <c r="U787" s="1"/>
      <c r="V787" s="1"/>
      <c r="W787" s="1"/>
      <c r="X787" s="1"/>
      <c r="Y787" s="1"/>
      <c r="Z787" s="1"/>
    </row>
    <row r="788" ht="18.0" customHeight="1" outlineLevel="2">
      <c r="A788" s="1">
        <v>8.0</v>
      </c>
      <c r="B788" s="1"/>
      <c r="C788" s="1"/>
      <c r="D788" s="1"/>
      <c r="E788" s="14"/>
      <c r="F788" s="15"/>
      <c r="G788" s="16"/>
      <c r="H788" s="11"/>
      <c r="I788" s="7"/>
      <c r="J788" s="7" t="str">
        <f>IFERROR(LET(_xlpm.v,
VLOOKUP($I788,'用語辞書'!$A:$B,COLUMN('用語辞書'!B$1),FALSE),
IF(_xlpm.v=0,"",_xlpm.v)
),"")</f>
        <v/>
      </c>
      <c r="K788" s="17"/>
      <c r="L788" s="17" t="str">
        <f>IF(OR(COUNTIF('クラス'!$A$1:$A$1267,$B788)&gt;0,$B788="",$M788=""),"",True)</f>
        <v/>
      </c>
      <c r="M788" s="1" t="str">
        <f t="shared" si="21"/>
        <v>存在しない</v>
      </c>
      <c r="N788" s="1" t="s">
        <v>29</v>
      </c>
      <c r="O788" s="1"/>
      <c r="P788" s="11"/>
      <c r="Q788" s="11"/>
      <c r="R788" s="11"/>
      <c r="S788" s="11"/>
      <c r="T788" s="1"/>
      <c r="U788" s="1"/>
      <c r="V788" s="1"/>
      <c r="W788" s="1"/>
      <c r="X788" s="1"/>
      <c r="Y788" s="1"/>
      <c r="Z788" s="1"/>
    </row>
    <row r="789" ht="18.0" customHeight="1" outlineLevel="2">
      <c r="A789" s="1">
        <v>9.0</v>
      </c>
      <c r="B789" s="26" t="s">
        <v>833</v>
      </c>
      <c r="C789" s="1"/>
      <c r="D789" s="26" t="s">
        <v>783</v>
      </c>
      <c r="E789" s="29" t="s">
        <v>33</v>
      </c>
      <c r="F789" s="15"/>
      <c r="G789" s="30">
        <v>60.0</v>
      </c>
      <c r="H789" s="22" t="s">
        <v>1299</v>
      </c>
      <c r="I789" s="7"/>
      <c r="J789" s="7" t="str">
        <f>IFERROR(LET(_xlpm.v,
VLOOKUP($I789,'用語辞書'!$A:$B,COLUMN('用語辞書'!B$1),FALSE),
IF(_xlpm.v=0,"",_xlpm.v)
),"")</f>
        <v/>
      </c>
      <c r="K789" s="17"/>
      <c r="L789" s="17" t="str">
        <f>IF(OR(COUNTIF('クラス'!$A$1:$A$1267,$B789)&gt;0,$B789="",$M789=""),"",True)</f>
        <v/>
      </c>
      <c r="M789" s="1" t="str">
        <f t="shared" si="21"/>
        <v/>
      </c>
      <c r="N789" s="1" t="s">
        <v>29</v>
      </c>
      <c r="O789" s="1"/>
      <c r="P789" s="11"/>
      <c r="Q789" s="11"/>
      <c r="R789" s="11"/>
      <c r="S789" s="11"/>
      <c r="T789" s="1"/>
      <c r="U789" s="1"/>
      <c r="V789" s="1"/>
      <c r="W789" s="1"/>
      <c r="X789" s="1"/>
      <c r="Y789" s="1"/>
      <c r="Z789" s="1"/>
    </row>
    <row r="790" ht="18.0" customHeight="1" outlineLevel="2">
      <c r="A790" s="1">
        <v>10.0</v>
      </c>
      <c r="B790" s="26" t="s">
        <v>1300</v>
      </c>
      <c r="C790" s="1"/>
      <c r="D790" s="26" t="s">
        <v>783</v>
      </c>
      <c r="E790" s="29" t="s">
        <v>33</v>
      </c>
      <c r="F790" s="15"/>
      <c r="G790" s="30">
        <v>50.0</v>
      </c>
      <c r="H790" s="22" t="s">
        <v>1301</v>
      </c>
      <c r="I790" s="7"/>
      <c r="J790" s="7" t="str">
        <f>IFERROR(LET(_xlpm.v,
VLOOKUP($I790,'用語辞書'!$A:$B,COLUMN('用語辞書'!B$1),FALSE),
IF(_xlpm.v=0,"",_xlpm.v)
),"")</f>
        <v/>
      </c>
      <c r="K790" s="17"/>
      <c r="L790" s="17" t="b">
        <f>IF(OR(COUNTIF('クラス'!$A$1:$A$1267,$B790)&gt;0,$B790="",$M790=""),"",True)</f>
        <v>1</v>
      </c>
      <c r="M790" s="1" t="str">
        <f t="shared" si="21"/>
        <v>存在しない</v>
      </c>
      <c r="N790" s="1" t="s">
        <v>29</v>
      </c>
      <c r="O790" s="1"/>
      <c r="P790" s="11"/>
      <c r="Q790" s="11"/>
      <c r="R790" s="11"/>
      <c r="S790" s="11"/>
      <c r="T790" s="1"/>
      <c r="U790" s="1"/>
      <c r="V790" s="1"/>
      <c r="W790" s="1"/>
      <c r="X790" s="1"/>
      <c r="Y790" s="1"/>
      <c r="Z790" s="1"/>
    </row>
    <row r="791" ht="18.0" customHeight="1" outlineLevel="2">
      <c r="A791" s="1"/>
      <c r="B791" s="1"/>
      <c r="C791" s="1"/>
      <c r="D791" s="1"/>
      <c r="E791" s="14"/>
      <c r="F791" s="15"/>
      <c r="G791" s="16"/>
      <c r="H791" s="11"/>
      <c r="I791" s="7"/>
      <c r="J791" s="7" t="str">
        <f>IFERROR(LET(_xlpm.v,
VLOOKUP($I791,'用語辞書'!$A:$B,COLUMN('用語辞書'!B$1),FALSE),
IF(_xlpm.v=0,"",_xlpm.v)
),"")</f>
        <v/>
      </c>
      <c r="K791" s="17"/>
      <c r="L791" s="17" t="str">
        <f>IF(OR(COUNTIF('クラス'!$A$1:$A$1267,$B791)&gt;0,$B791="",$M791=""),"",True)</f>
        <v/>
      </c>
      <c r="M791" s="1" t="str">
        <f t="shared" si="21"/>
        <v>存在しない</v>
      </c>
      <c r="N791" s="1" t="s">
        <v>29</v>
      </c>
      <c r="O791" s="1"/>
      <c r="P791" s="11"/>
      <c r="Q791" s="11"/>
      <c r="R791" s="11"/>
      <c r="S791" s="11"/>
      <c r="T791" s="1"/>
      <c r="U791" s="1"/>
      <c r="V791" s="1"/>
      <c r="W791" s="1"/>
      <c r="X791" s="1"/>
      <c r="Y791" s="1"/>
      <c r="Z791" s="1"/>
    </row>
    <row r="792" ht="18.0" customHeight="1" outlineLevel="1">
      <c r="A792" s="1"/>
      <c r="B792" s="1"/>
      <c r="C792" s="1"/>
      <c r="D792" s="1"/>
      <c r="E792" s="14"/>
      <c r="F792" s="15"/>
      <c r="G792" s="16"/>
      <c r="H792" s="11"/>
      <c r="I792" s="7"/>
      <c r="J792" s="7" t="str">
        <f>IFERROR(LET(_xlpm.v,
VLOOKUP($I792,'用語辞書'!$A:$B,COLUMN('用語辞書'!B$1),FALSE),
IF(_xlpm.v=0,"",_xlpm.v)
),"")</f>
        <v/>
      </c>
      <c r="K792" s="17"/>
      <c r="L792" s="17" t="str">
        <f>IF(OR(COUNTIF('クラス'!$A$1:$A$1267,$B792)&gt;0,$B792="",$M792=""),"",True)</f>
        <v/>
      </c>
      <c r="M792" s="1" t="str">
        <f t="shared" si="21"/>
        <v>存在しない</v>
      </c>
      <c r="N792" s="1" t="s">
        <v>29</v>
      </c>
      <c r="O792" s="1"/>
      <c r="P792" s="11"/>
      <c r="Q792" s="11"/>
      <c r="R792" s="11"/>
      <c r="S792" s="11"/>
      <c r="T792" s="1"/>
      <c r="U792" s="1"/>
      <c r="V792" s="1"/>
      <c r="W792" s="1"/>
      <c r="X792" s="1"/>
      <c r="Y792" s="1"/>
      <c r="Z792" s="1"/>
    </row>
    <row r="793" ht="18.0" customHeight="1" outlineLevel="1">
      <c r="A793" s="1"/>
      <c r="B793" s="1" t="s">
        <v>1302</v>
      </c>
      <c r="C793" s="1"/>
      <c r="D793" s="1"/>
      <c r="E793" s="14"/>
      <c r="F793" s="15"/>
      <c r="G793" s="16"/>
      <c r="H793" s="11"/>
      <c r="I793" s="7"/>
      <c r="J793" s="7" t="str">
        <f>IFERROR(LET(_xlpm.v,
VLOOKUP($I793,'用語辞書'!$A:$B,COLUMN('用語辞書'!B$1),FALSE),
IF(_xlpm.v=0,"",_xlpm.v)
),"")</f>
        <v/>
      </c>
      <c r="K793" s="17"/>
      <c r="L793" s="17" t="str">
        <f>IF(OR(COUNTIF('クラス'!$A$1:$A$1267,$B793)&gt;0,$B793="",$M793=""),"",True)</f>
        <v/>
      </c>
      <c r="M793" s="1" t="str">
        <f t="shared" si="21"/>
        <v>存在しない</v>
      </c>
      <c r="N793" s="1" t="s">
        <v>29</v>
      </c>
      <c r="O793" s="1"/>
      <c r="P793" s="11"/>
      <c r="Q793" s="11"/>
      <c r="R793" s="11"/>
      <c r="S793" s="11"/>
      <c r="T793" s="1"/>
      <c r="U793" s="1"/>
      <c r="V793" s="1"/>
      <c r="W793" s="1"/>
      <c r="X793" s="1"/>
      <c r="Y793" s="1"/>
      <c r="Z793" s="1"/>
    </row>
    <row r="794" ht="18.0" customHeight="1" outlineLevel="2">
      <c r="A794" s="1">
        <v>1.0</v>
      </c>
      <c r="B794" s="26" t="s">
        <v>1303</v>
      </c>
      <c r="C794" s="1"/>
      <c r="D794" s="1" t="s">
        <v>1304</v>
      </c>
      <c r="E794" s="14" t="s">
        <v>33</v>
      </c>
      <c r="F794" s="15"/>
      <c r="G794" s="16">
        <v>30.0</v>
      </c>
      <c r="H794" s="22" t="s">
        <v>1305</v>
      </c>
      <c r="I794" s="7"/>
      <c r="J794" s="7" t="str">
        <f>IFERROR(LET(_xlpm.v,
VLOOKUP($I794,'用語辞書'!$A:$B,COLUMN('用語辞書'!B$1),FALSE),
IF(_xlpm.v=0,"",_xlpm.v)
),"")</f>
        <v/>
      </c>
      <c r="K794" s="17"/>
      <c r="L794" s="17" t="b">
        <f>IF(OR(COUNTIF('クラス'!$A$1:$A$1267,$B794)&gt;0,$B794="",$M794=""),"",True)</f>
        <v>1</v>
      </c>
      <c r="M794" s="1" t="str">
        <f t="shared" si="21"/>
        <v>存在しない</v>
      </c>
      <c r="N794" s="1" t="s">
        <v>29</v>
      </c>
      <c r="O794" s="1"/>
      <c r="P794" s="11"/>
      <c r="Q794" s="11"/>
      <c r="R794" s="11"/>
      <c r="S794" s="11"/>
      <c r="T794" s="1"/>
      <c r="U794" s="1"/>
      <c r="V794" s="1"/>
      <c r="W794" s="1"/>
      <c r="X794" s="1"/>
      <c r="Y794" s="1"/>
      <c r="Z794" s="1"/>
    </row>
    <row r="795" ht="18.0" customHeight="1" outlineLevel="2">
      <c r="A795" s="1">
        <v>2.0</v>
      </c>
      <c r="B795" s="1"/>
      <c r="C795" s="1"/>
      <c r="D795" s="1"/>
      <c r="E795" s="14"/>
      <c r="F795" s="15"/>
      <c r="G795" s="16"/>
      <c r="H795" s="11"/>
      <c r="I795" s="7"/>
      <c r="J795" s="7" t="str">
        <f>IFERROR(LET(_xlpm.v,
VLOOKUP($I795,'用語辞書'!$A:$B,COLUMN('用語辞書'!B$1),FALSE),
IF(_xlpm.v=0,"",_xlpm.v)
),"")</f>
        <v/>
      </c>
      <c r="K795" s="17"/>
      <c r="L795" s="17" t="str">
        <f>IF(OR(COUNTIF('クラス'!$A$1:$A$1267,$B795)&gt;0,$B795="",$M795=""),"",True)</f>
        <v/>
      </c>
      <c r="M795" s="1" t="str">
        <f t="shared" si="21"/>
        <v>存在しない</v>
      </c>
      <c r="N795" s="1" t="s">
        <v>29</v>
      </c>
      <c r="O795" s="1"/>
      <c r="P795" s="11"/>
      <c r="Q795" s="11"/>
      <c r="R795" s="11"/>
      <c r="S795" s="11"/>
      <c r="T795" s="1"/>
      <c r="U795" s="1"/>
      <c r="V795" s="1"/>
      <c r="W795" s="1"/>
      <c r="X795" s="1"/>
      <c r="Y795" s="1"/>
      <c r="Z795" s="1"/>
    </row>
    <row r="796" ht="18.0" customHeight="1" outlineLevel="2">
      <c r="A796" s="1">
        <v>3.0</v>
      </c>
      <c r="B796" s="26" t="s">
        <v>1306</v>
      </c>
      <c r="C796" s="1"/>
      <c r="D796" s="1"/>
      <c r="E796" s="29" t="s">
        <v>55</v>
      </c>
      <c r="F796" s="15"/>
      <c r="G796" s="16"/>
      <c r="H796" s="22" t="s">
        <v>1307</v>
      </c>
      <c r="I796" s="7"/>
      <c r="J796" s="7" t="str">
        <f>IFERROR(LET(_xlpm.v,
VLOOKUP($I796,'用語辞書'!$A:$B,COLUMN('用語辞書'!B$1),FALSE),
IF(_xlpm.v=0,"",_xlpm.v)
),"")</f>
        <v/>
      </c>
      <c r="K796" s="17"/>
      <c r="L796" s="17" t="b">
        <f>IF(OR(COUNTIF('クラス'!$A$1:$A$1267,$B796)&gt;0,$B796="",$M796=""),"",True)</f>
        <v>1</v>
      </c>
      <c r="M796" s="1" t="str">
        <f t="shared" si="21"/>
        <v>存在しない</v>
      </c>
      <c r="N796" s="1" t="s">
        <v>29</v>
      </c>
      <c r="O796" s="1"/>
      <c r="P796" s="11"/>
      <c r="Q796" s="11"/>
      <c r="R796" s="11"/>
      <c r="S796" s="11"/>
      <c r="T796" s="1"/>
      <c r="U796" s="1"/>
      <c r="V796" s="1"/>
      <c r="W796" s="1"/>
      <c r="X796" s="1"/>
      <c r="Y796" s="1"/>
      <c r="Z796" s="1"/>
    </row>
    <row r="797" ht="18.0" customHeight="1" outlineLevel="2">
      <c r="A797" s="1">
        <v>4.0</v>
      </c>
      <c r="B797" s="1"/>
      <c r="C797" s="1"/>
      <c r="D797" s="1"/>
      <c r="E797" s="14"/>
      <c r="F797" s="15"/>
      <c r="G797" s="16"/>
      <c r="H797" s="11"/>
      <c r="I797" s="7"/>
      <c r="J797" s="7" t="str">
        <f>IFERROR(LET(_xlpm.v,
VLOOKUP($I797,'用語辞書'!$A:$B,COLUMN('用語辞書'!B$1),FALSE),
IF(_xlpm.v=0,"",_xlpm.v)
),"")</f>
        <v/>
      </c>
      <c r="K797" s="17"/>
      <c r="L797" s="17" t="str">
        <f>IF(OR(COUNTIF('クラス'!$A$1:$A$1267,$B797)&gt;0,$B797="",$M797=""),"",True)</f>
        <v/>
      </c>
      <c r="M797" s="1" t="str">
        <f t="shared" si="21"/>
        <v>存在しない</v>
      </c>
      <c r="N797" s="1" t="s">
        <v>29</v>
      </c>
      <c r="O797" s="1"/>
      <c r="P797" s="11"/>
      <c r="Q797" s="11"/>
      <c r="R797" s="11"/>
      <c r="S797" s="11"/>
      <c r="T797" s="1"/>
      <c r="U797" s="1"/>
      <c r="V797" s="1"/>
      <c r="W797" s="1"/>
      <c r="X797" s="1"/>
      <c r="Y797" s="1"/>
      <c r="Z797" s="1"/>
    </row>
    <row r="798" ht="18.0" customHeight="1" outlineLevel="2">
      <c r="A798" s="1">
        <v>5.0</v>
      </c>
      <c r="B798" s="26" t="s">
        <v>1308</v>
      </c>
      <c r="C798" s="1"/>
      <c r="D798" s="1" t="s">
        <v>1309</v>
      </c>
      <c r="E798" s="14" t="s">
        <v>33</v>
      </c>
      <c r="F798" s="15"/>
      <c r="G798" s="16">
        <v>100.0</v>
      </c>
      <c r="H798" s="11" t="s">
        <v>1310</v>
      </c>
      <c r="I798" s="7"/>
      <c r="J798" s="7" t="str">
        <f>IFERROR(LET(_xlpm.v,
VLOOKUP($I798,'用語辞書'!$A:$B,COLUMN('用語辞書'!B$1),FALSE),
IF(_xlpm.v=0,"",_xlpm.v)
),"")</f>
        <v/>
      </c>
      <c r="K798" s="17"/>
      <c r="L798" s="17" t="b">
        <f>IF(OR(COUNTIF('クラス'!$A$1:$A$1267,$B798)&gt;0,$B798="",$M798=""),"",True)</f>
        <v>1</v>
      </c>
      <c r="M798" s="1" t="str">
        <f t="shared" si="21"/>
        <v>存在しない</v>
      </c>
      <c r="N798" s="1" t="s">
        <v>29</v>
      </c>
      <c r="O798" s="1"/>
      <c r="P798" s="11"/>
      <c r="Q798" s="11"/>
      <c r="R798" s="11"/>
      <c r="S798" s="11"/>
      <c r="T798" s="1"/>
      <c r="U798" s="1"/>
      <c r="V798" s="1"/>
      <c r="W798" s="1"/>
      <c r="X798" s="1"/>
      <c r="Y798" s="1"/>
      <c r="Z798" s="1"/>
    </row>
    <row r="799" ht="18.0" customHeight="1" outlineLevel="2">
      <c r="A799" s="1">
        <v>6.0</v>
      </c>
      <c r="B799" s="1"/>
      <c r="C799" s="1"/>
      <c r="D799" s="1"/>
      <c r="E799" s="14"/>
      <c r="F799" s="15"/>
      <c r="G799" s="16"/>
      <c r="H799" s="11"/>
      <c r="I799" s="7"/>
      <c r="J799" s="7" t="str">
        <f>IFERROR(LET(_xlpm.v,
VLOOKUP($I799,'用語辞書'!$A:$B,COLUMN('用語辞書'!B$1),FALSE),
IF(_xlpm.v=0,"",_xlpm.v)
),"")</f>
        <v/>
      </c>
      <c r="K799" s="17"/>
      <c r="L799" s="17" t="str">
        <f>IF(OR(COUNTIF('クラス'!$A$1:$A$1267,$B799)&gt;0,$B799="",$M799=""),"",True)</f>
        <v/>
      </c>
      <c r="M799" s="1" t="str">
        <f t="shared" si="21"/>
        <v>存在しない</v>
      </c>
      <c r="N799" s="1" t="s">
        <v>29</v>
      </c>
      <c r="O799" s="1"/>
      <c r="P799" s="11"/>
      <c r="Q799" s="11"/>
      <c r="R799" s="11"/>
      <c r="S799" s="11"/>
      <c r="T799" s="1"/>
      <c r="U799" s="1"/>
      <c r="V799" s="1"/>
      <c r="W799" s="1"/>
      <c r="X799" s="1"/>
      <c r="Y799" s="1"/>
      <c r="Z799" s="1"/>
    </row>
    <row r="800" ht="18.0" customHeight="1" outlineLevel="2">
      <c r="A800" s="1">
        <v>7.0</v>
      </c>
      <c r="B800" s="26" t="s">
        <v>1311</v>
      </c>
      <c r="C800" s="1"/>
      <c r="D800" s="1"/>
      <c r="E800" s="29" t="s">
        <v>55</v>
      </c>
      <c r="F800" s="15"/>
      <c r="G800" s="16"/>
      <c r="H800" s="22" t="s">
        <v>1312</v>
      </c>
      <c r="I800" s="7"/>
      <c r="J800" s="7" t="str">
        <f>IFERROR(LET(_xlpm.v,
VLOOKUP($I800,'用語辞書'!$A:$B,COLUMN('用語辞書'!B$1),FALSE),
IF(_xlpm.v=0,"",_xlpm.v)
),"")</f>
        <v/>
      </c>
      <c r="K800" s="17"/>
      <c r="L800" s="17" t="b">
        <f>IF(OR(COUNTIF('クラス'!$A$1:$A$1267,$B800)&gt;0,$B800="",$M800=""),"",True)</f>
        <v>1</v>
      </c>
      <c r="M800" s="1" t="str">
        <f t="shared" si="21"/>
        <v>存在しない</v>
      </c>
      <c r="N800" s="1" t="s">
        <v>29</v>
      </c>
      <c r="O800" s="1"/>
      <c r="P800" s="11"/>
      <c r="Q800" s="11"/>
      <c r="R800" s="11"/>
      <c r="S800" s="11"/>
      <c r="T800" s="1"/>
      <c r="U800" s="1"/>
      <c r="V800" s="1"/>
      <c r="W800" s="1"/>
      <c r="X800" s="1"/>
      <c r="Y800" s="1"/>
      <c r="Z800" s="1"/>
    </row>
    <row r="801" ht="18.0" customHeight="1" outlineLevel="2">
      <c r="A801" s="1">
        <v>8.0</v>
      </c>
      <c r="B801" s="1"/>
      <c r="C801" s="1"/>
      <c r="D801" s="1"/>
      <c r="E801" s="14"/>
      <c r="F801" s="15"/>
      <c r="G801" s="16"/>
      <c r="H801" s="11"/>
      <c r="I801" s="7"/>
      <c r="J801" s="7" t="str">
        <f>IFERROR(LET(_xlpm.v,
VLOOKUP($I801,'用語辞書'!$A:$B,COLUMN('用語辞書'!B$1),FALSE),
IF(_xlpm.v=0,"",_xlpm.v)
),"")</f>
        <v/>
      </c>
      <c r="K801" s="17"/>
      <c r="L801" s="17" t="str">
        <f>IF(OR(COUNTIF('クラス'!$A$1:$A$1267,$B801)&gt;0,$B801="",$M801=""),"",True)</f>
        <v/>
      </c>
      <c r="M801" s="1" t="str">
        <f t="shared" si="21"/>
        <v>存在しない</v>
      </c>
      <c r="N801" s="1" t="s">
        <v>29</v>
      </c>
      <c r="O801" s="1"/>
      <c r="P801" s="11"/>
      <c r="Q801" s="11"/>
      <c r="R801" s="11"/>
      <c r="S801" s="11"/>
      <c r="T801" s="1"/>
      <c r="U801" s="1"/>
      <c r="V801" s="1"/>
      <c r="W801" s="1"/>
      <c r="X801" s="1"/>
      <c r="Y801" s="1"/>
      <c r="Z801" s="1"/>
    </row>
    <row r="802" ht="18.0" customHeight="1" outlineLevel="2">
      <c r="A802" s="1">
        <v>9.0</v>
      </c>
      <c r="B802" s="26" t="s">
        <v>1313</v>
      </c>
      <c r="C802" s="1"/>
      <c r="D802" s="1"/>
      <c r="E802" s="29" t="s">
        <v>33</v>
      </c>
      <c r="F802" s="15"/>
      <c r="G802" s="30">
        <v>40.0</v>
      </c>
      <c r="H802" s="22" t="s">
        <v>1314</v>
      </c>
      <c r="I802" s="7"/>
      <c r="J802" s="7" t="str">
        <f>IFERROR(LET(_xlpm.v,
VLOOKUP($I802,'用語辞書'!$A:$B,COLUMN('用語辞書'!B$1),FALSE),
IF(_xlpm.v=0,"",_xlpm.v)
),"")</f>
        <v/>
      </c>
      <c r="K802" s="17"/>
      <c r="L802" s="17" t="b">
        <f>IF(OR(COUNTIF('クラス'!$A$1:$A$1267,$B802)&gt;0,$B802="",$M802=""),"",True)</f>
        <v>1</v>
      </c>
      <c r="M802" s="1" t="str">
        <f t="shared" si="21"/>
        <v>存在しない</v>
      </c>
      <c r="N802" s="1" t="s">
        <v>29</v>
      </c>
      <c r="O802" s="1"/>
      <c r="P802" s="11"/>
      <c r="Q802" s="11"/>
      <c r="R802" s="11"/>
      <c r="S802" s="11"/>
      <c r="T802" s="1"/>
      <c r="U802" s="1"/>
      <c r="V802" s="1"/>
      <c r="W802" s="1"/>
      <c r="X802" s="1"/>
      <c r="Y802" s="1"/>
      <c r="Z802" s="1"/>
    </row>
    <row r="803" ht="18.0" customHeight="1" outlineLevel="2">
      <c r="A803" s="1">
        <v>10.0</v>
      </c>
      <c r="B803" s="26" t="s">
        <v>1315</v>
      </c>
      <c r="C803" s="1"/>
      <c r="D803" s="1" t="s">
        <v>1309</v>
      </c>
      <c r="E803" s="14" t="s">
        <v>33</v>
      </c>
      <c r="F803" s="15"/>
      <c r="G803" s="16">
        <v>100.0</v>
      </c>
      <c r="H803" s="11" t="s">
        <v>1316</v>
      </c>
      <c r="I803" s="7"/>
      <c r="J803" s="7" t="str">
        <f>IFERROR(LET(_xlpm.v,
VLOOKUP($I803,'用語辞書'!$A:$B,COLUMN('用語辞書'!B$1),FALSE),
IF(_xlpm.v=0,"",_xlpm.v)
),"")</f>
        <v/>
      </c>
      <c r="K803" s="17"/>
      <c r="L803" s="17" t="b">
        <f>IF(OR(COUNTIF('クラス'!$A$1:$A$1267,$B803)&gt;0,$B803="",$M803=""),"",True)</f>
        <v>1</v>
      </c>
      <c r="M803" s="1" t="str">
        <f t="shared" si="21"/>
        <v>存在しない</v>
      </c>
      <c r="N803" s="1" t="s">
        <v>29</v>
      </c>
      <c r="O803" s="1"/>
      <c r="P803" s="11"/>
      <c r="Q803" s="11"/>
      <c r="R803" s="11"/>
      <c r="S803" s="11"/>
      <c r="T803" s="1"/>
      <c r="U803" s="1"/>
      <c r="V803" s="1"/>
      <c r="W803" s="1"/>
      <c r="X803" s="1"/>
      <c r="Y803" s="1"/>
      <c r="Z803" s="1"/>
    </row>
    <row r="804" ht="18.0" customHeight="1" outlineLevel="2">
      <c r="A804" s="1"/>
      <c r="B804" s="1"/>
      <c r="C804" s="1"/>
      <c r="D804" s="1"/>
      <c r="E804" s="14"/>
      <c r="F804" s="15"/>
      <c r="G804" s="16"/>
      <c r="H804" s="11"/>
      <c r="I804" s="7"/>
      <c r="J804" s="7" t="str">
        <f>IFERROR(LET(_xlpm.v,
VLOOKUP($I804,'用語辞書'!$A:$B,COLUMN('用語辞書'!B$1),FALSE),
IF(_xlpm.v=0,"",_xlpm.v)
),"")</f>
        <v/>
      </c>
      <c r="K804" s="17"/>
      <c r="L804" s="17" t="str">
        <f>IF(OR(COUNTIF('クラス'!$A$1:$A$1267,$B804)&gt;0,$B804="",$M804=""),"",True)</f>
        <v/>
      </c>
      <c r="M804" s="1" t="str">
        <f t="shared" si="21"/>
        <v>存在しない</v>
      </c>
      <c r="N804" s="1" t="s">
        <v>29</v>
      </c>
      <c r="O804" s="1"/>
      <c r="P804" s="11"/>
      <c r="Q804" s="11"/>
      <c r="R804" s="11"/>
      <c r="S804" s="11"/>
      <c r="T804" s="1"/>
      <c r="U804" s="1"/>
      <c r="V804" s="1"/>
      <c r="W804" s="1"/>
      <c r="X804" s="1"/>
      <c r="Y804" s="1"/>
      <c r="Z804" s="1"/>
    </row>
    <row r="805" ht="18.0" customHeight="1" outlineLevel="1">
      <c r="A805" s="1"/>
      <c r="B805" s="1"/>
      <c r="C805" s="1"/>
      <c r="D805" s="1"/>
      <c r="E805" s="14"/>
      <c r="F805" s="15"/>
      <c r="G805" s="16"/>
      <c r="H805" s="11"/>
      <c r="I805" s="7"/>
      <c r="J805" s="7" t="str">
        <f>IFERROR(LET(_xlpm.v,
VLOOKUP($I805,'用語辞書'!$A:$B,COLUMN('用語辞書'!B$1),FALSE),
IF(_xlpm.v=0,"",_xlpm.v)
),"")</f>
        <v/>
      </c>
      <c r="K805" s="17"/>
      <c r="L805" s="17" t="str">
        <f>IF(OR(COUNTIF('クラス'!$A$1:$A$1267,$B805)&gt;0,$B805="",$M805=""),"",True)</f>
        <v/>
      </c>
      <c r="M805" s="1" t="str">
        <f t="shared" si="21"/>
        <v>存在しない</v>
      </c>
      <c r="N805" s="1" t="s">
        <v>29</v>
      </c>
      <c r="O805" s="1"/>
      <c r="P805" s="11"/>
      <c r="Q805" s="11"/>
      <c r="R805" s="11"/>
      <c r="S805" s="11"/>
      <c r="T805" s="1"/>
      <c r="U805" s="1"/>
      <c r="V805" s="1"/>
      <c r="W805" s="1"/>
      <c r="X805" s="1"/>
      <c r="Y805" s="1"/>
      <c r="Z805" s="1"/>
    </row>
    <row r="806" ht="18.0" customHeight="1" outlineLevel="1">
      <c r="A806" s="1"/>
      <c r="B806" s="1"/>
      <c r="C806" s="1"/>
      <c r="D806" s="1"/>
      <c r="E806" s="14"/>
      <c r="F806" s="15"/>
      <c r="G806" s="16"/>
      <c r="H806" s="11"/>
      <c r="I806" s="7"/>
      <c r="J806" s="7" t="str">
        <f>IFERROR(LET(_xlpm.v,
VLOOKUP($I806,'用語辞書'!$A:$B,COLUMN('用語辞書'!B$1),FALSE),
IF(_xlpm.v=0,"",_xlpm.v)
),"")</f>
        <v/>
      </c>
      <c r="K806" s="17"/>
      <c r="L806" s="17" t="str">
        <f>IF(OR(COUNTIF('クラス'!$A$1:$A$1267,$B806)&gt;0,$B806="",$M806=""),"",True)</f>
        <v/>
      </c>
      <c r="M806" s="1" t="str">
        <f t="shared" si="21"/>
        <v>存在しない</v>
      </c>
      <c r="N806" s="1" t="s">
        <v>29</v>
      </c>
      <c r="O806" s="1"/>
      <c r="P806" s="11"/>
      <c r="Q806" s="11"/>
      <c r="R806" s="11"/>
      <c r="S806" s="11"/>
      <c r="T806" s="1"/>
      <c r="U806" s="1"/>
      <c r="V806" s="1"/>
      <c r="W806" s="1"/>
      <c r="X806" s="1"/>
      <c r="Y806" s="1"/>
      <c r="Z806" s="1"/>
    </row>
    <row r="807" ht="18.0" customHeight="1" outlineLevel="1">
      <c r="A807" s="1"/>
      <c r="B807" s="1" t="s">
        <v>1317</v>
      </c>
      <c r="C807" s="1"/>
      <c r="D807" s="1"/>
      <c r="E807" s="14"/>
      <c r="F807" s="15"/>
      <c r="G807" s="16"/>
      <c r="H807" s="11"/>
      <c r="I807" s="7"/>
      <c r="J807" s="7" t="str">
        <f>IFERROR(LET(_xlpm.v,
VLOOKUP($I807,'用語辞書'!$A:$B,COLUMN('用語辞書'!B$1),FALSE),
IF(_xlpm.v=0,"",_xlpm.v)
),"")</f>
        <v/>
      </c>
      <c r="K807" s="17"/>
      <c r="L807" s="17" t="str">
        <f>IF(OR(COUNTIF('クラス'!$A$1:$A$1267,$B807)&gt;0,$B807="",$M807=""),"",True)</f>
        <v/>
      </c>
      <c r="M807" s="1" t="str">
        <f t="shared" si="21"/>
        <v>存在しない</v>
      </c>
      <c r="N807" s="1" t="s">
        <v>29</v>
      </c>
      <c r="O807" s="1"/>
      <c r="P807" s="11"/>
      <c r="Q807" s="11"/>
      <c r="R807" s="11"/>
      <c r="S807" s="11"/>
      <c r="T807" s="1"/>
      <c r="U807" s="1"/>
      <c r="V807" s="1"/>
      <c r="W807" s="1"/>
      <c r="X807" s="1"/>
      <c r="Y807" s="1"/>
      <c r="Z807" s="1"/>
    </row>
    <row r="808" ht="18.0" customHeight="1" outlineLevel="2">
      <c r="A808" s="1">
        <v>1.0</v>
      </c>
      <c r="B808" s="26" t="s">
        <v>1318</v>
      </c>
      <c r="C808" s="1"/>
      <c r="D808" s="1"/>
      <c r="E808" s="29" t="s">
        <v>55</v>
      </c>
      <c r="F808" s="15"/>
      <c r="G808" s="16"/>
      <c r="H808" s="22" t="s">
        <v>1319</v>
      </c>
      <c r="I808" s="7"/>
      <c r="J808" s="7" t="str">
        <f>IFERROR(LET(_xlpm.v,
VLOOKUP($I808,'用語辞書'!$A:$B,COLUMN('用語辞書'!B$1),FALSE),
IF(_xlpm.v=0,"",_xlpm.v)
),"")</f>
        <v/>
      </c>
      <c r="K808" s="17"/>
      <c r="L808" s="17" t="b">
        <f>IF(OR(COUNTIF('クラス'!$A$1:$A$1267,$B808)&gt;0,$B808="",$M808=""),"",True)</f>
        <v>1</v>
      </c>
      <c r="M808" s="1" t="str">
        <f t="shared" si="21"/>
        <v>存在しない</v>
      </c>
      <c r="N808" s="1" t="s">
        <v>29</v>
      </c>
      <c r="O808" s="1"/>
      <c r="P808" s="11"/>
      <c r="Q808" s="11"/>
      <c r="R808" s="11"/>
      <c r="S808" s="11"/>
      <c r="T808" s="1"/>
      <c r="U808" s="1"/>
      <c r="V808" s="1"/>
      <c r="W808" s="1"/>
      <c r="X808" s="1"/>
      <c r="Y808" s="1"/>
      <c r="Z808" s="1"/>
    </row>
    <row r="809" ht="18.0" customHeight="1" outlineLevel="2">
      <c r="A809" s="1">
        <v>2.0</v>
      </c>
      <c r="B809" s="1"/>
      <c r="C809" s="1"/>
      <c r="D809" s="1"/>
      <c r="E809" s="14"/>
      <c r="F809" s="15"/>
      <c r="G809" s="16"/>
      <c r="H809" s="11"/>
      <c r="I809" s="7"/>
      <c r="J809" s="7" t="str">
        <f>IFERROR(LET(_xlpm.v,
VLOOKUP($I809,'用語辞書'!$A:$B,COLUMN('用語辞書'!B$1),FALSE),
IF(_xlpm.v=0,"",_xlpm.v)
),"")</f>
        <v/>
      </c>
      <c r="K809" s="17"/>
      <c r="L809" s="17" t="str">
        <f>IF(OR(COUNTIF('クラス'!$A$1:$A$1267,$B809)&gt;0,$B809="",$M809=""),"",True)</f>
        <v/>
      </c>
      <c r="M809" s="1" t="str">
        <f t="shared" si="21"/>
        <v>存在しない</v>
      </c>
      <c r="N809" s="1" t="s">
        <v>29</v>
      </c>
      <c r="O809" s="1"/>
      <c r="P809" s="11"/>
      <c r="Q809" s="11"/>
      <c r="R809" s="11"/>
      <c r="S809" s="11"/>
      <c r="T809" s="1"/>
      <c r="U809" s="1"/>
      <c r="V809" s="1"/>
      <c r="W809" s="1"/>
      <c r="X809" s="1"/>
      <c r="Y809" s="1"/>
      <c r="Z809" s="1"/>
    </row>
    <row r="810" ht="18.0" customHeight="1" outlineLevel="2">
      <c r="A810" s="1">
        <v>3.0</v>
      </c>
      <c r="B810" s="26" t="s">
        <v>1320</v>
      </c>
      <c r="C810" s="1"/>
      <c r="D810" s="1"/>
      <c r="E810" s="29" t="s">
        <v>55</v>
      </c>
      <c r="F810" s="15"/>
      <c r="G810" s="16"/>
      <c r="H810" s="22" t="s">
        <v>1321</v>
      </c>
      <c r="I810" s="7"/>
      <c r="J810" s="7" t="str">
        <f>IFERROR(LET(_xlpm.v,
VLOOKUP($I810,'用語辞書'!$A:$B,COLUMN('用語辞書'!B$1),FALSE),
IF(_xlpm.v=0,"",_xlpm.v)
),"")</f>
        <v/>
      </c>
      <c r="K810" s="17"/>
      <c r="L810" s="17" t="b">
        <f>IF(OR(COUNTIF('クラス'!$A$1:$A$1267,$B810)&gt;0,$B810="",$M810=""),"",True)</f>
        <v>1</v>
      </c>
      <c r="M810" s="1" t="str">
        <f t="shared" si="21"/>
        <v>存在しない</v>
      </c>
      <c r="N810" s="1" t="s">
        <v>29</v>
      </c>
      <c r="O810" s="1"/>
      <c r="P810" s="11"/>
      <c r="Q810" s="11"/>
      <c r="R810" s="11"/>
      <c r="S810" s="11"/>
      <c r="T810" s="1"/>
      <c r="U810" s="1"/>
      <c r="V810" s="1"/>
      <c r="W810" s="1"/>
      <c r="X810" s="1"/>
      <c r="Y810" s="1"/>
      <c r="Z810" s="1"/>
    </row>
    <row r="811" ht="18.0" customHeight="1" outlineLevel="2">
      <c r="A811" s="1">
        <v>4.0</v>
      </c>
      <c r="B811" s="1"/>
      <c r="C811" s="1"/>
      <c r="D811" s="1"/>
      <c r="E811" s="14"/>
      <c r="F811" s="15"/>
      <c r="G811" s="16"/>
      <c r="H811" s="11"/>
      <c r="I811" s="7"/>
      <c r="J811" s="7" t="str">
        <f>IFERROR(LET(_xlpm.v,
VLOOKUP($I811,'用語辞書'!$A:$B,COLUMN('用語辞書'!B$1),FALSE),
IF(_xlpm.v=0,"",_xlpm.v)
),"")</f>
        <v/>
      </c>
      <c r="K811" s="17"/>
      <c r="L811" s="17" t="str">
        <f>IF(OR(COUNTIF('クラス'!$A$1:$A$1267,$B811)&gt;0,$B811="",$M811=""),"",True)</f>
        <v/>
      </c>
      <c r="M811" s="1" t="str">
        <f t="shared" si="21"/>
        <v>存在しない</v>
      </c>
      <c r="N811" s="1" t="s">
        <v>29</v>
      </c>
      <c r="O811" s="1"/>
      <c r="P811" s="11"/>
      <c r="Q811" s="11"/>
      <c r="R811" s="11"/>
      <c r="S811" s="11"/>
      <c r="T811" s="1"/>
      <c r="U811" s="1"/>
      <c r="V811" s="1"/>
      <c r="W811" s="1"/>
      <c r="X811" s="1"/>
      <c r="Y811" s="1"/>
      <c r="Z811" s="1"/>
    </row>
    <row r="812" ht="18.0" customHeight="1" outlineLevel="2">
      <c r="A812" s="1">
        <v>5.0</v>
      </c>
      <c r="B812" s="26" t="s">
        <v>1322</v>
      </c>
      <c r="C812" s="1"/>
      <c r="D812" s="26" t="s">
        <v>644</v>
      </c>
      <c r="E812" s="29" t="s">
        <v>33</v>
      </c>
      <c r="F812" s="15"/>
      <c r="G812" s="30">
        <v>50.0</v>
      </c>
      <c r="H812" s="22" t="s">
        <v>1323</v>
      </c>
      <c r="I812" s="7"/>
      <c r="J812" s="7" t="str">
        <f>IFERROR(LET(_xlpm.v,
VLOOKUP($I812,'用語辞書'!$A:$B,COLUMN('用語辞書'!B$1),FALSE),
IF(_xlpm.v=0,"",_xlpm.v)
),"")</f>
        <v/>
      </c>
      <c r="K812" s="17"/>
      <c r="L812" s="17" t="b">
        <f>IF(OR(COUNTIF('クラス'!$A$1:$A$1267,$B812)&gt;0,$B812="",$M812=""),"",True)</f>
        <v>1</v>
      </c>
      <c r="M812" s="1" t="str">
        <f t="shared" si="21"/>
        <v>存在しない</v>
      </c>
      <c r="N812" s="1" t="s">
        <v>29</v>
      </c>
      <c r="O812" s="1"/>
      <c r="P812" s="11"/>
      <c r="Q812" s="11"/>
      <c r="R812" s="11"/>
      <c r="S812" s="11"/>
      <c r="T812" s="1"/>
      <c r="U812" s="1"/>
      <c r="V812" s="1"/>
      <c r="W812" s="1"/>
      <c r="X812" s="1"/>
      <c r="Y812" s="1"/>
      <c r="Z812" s="1"/>
    </row>
    <row r="813" ht="18.0" customHeight="1" outlineLevel="2">
      <c r="A813" s="1">
        <v>6.0</v>
      </c>
      <c r="B813" s="1"/>
      <c r="C813" s="1"/>
      <c r="D813" s="1"/>
      <c r="E813" s="14"/>
      <c r="F813" s="15"/>
      <c r="G813" s="16"/>
      <c r="H813" s="11"/>
      <c r="I813" s="7"/>
      <c r="J813" s="7" t="str">
        <f>IFERROR(LET(_xlpm.v,
VLOOKUP($I813,'用語辞書'!$A:$B,COLUMN('用語辞書'!B$1),FALSE),
IF(_xlpm.v=0,"",_xlpm.v)
),"")</f>
        <v/>
      </c>
      <c r="K813" s="17"/>
      <c r="L813" s="17" t="str">
        <f>IF(OR(COUNTIF('クラス'!$A$1:$A$1267,$B813)&gt;0,$B813="",$M813=""),"",True)</f>
        <v/>
      </c>
      <c r="M813" s="1" t="str">
        <f t="shared" si="21"/>
        <v>存在しない</v>
      </c>
      <c r="N813" s="1" t="s">
        <v>29</v>
      </c>
      <c r="O813" s="1"/>
      <c r="P813" s="11"/>
      <c r="Q813" s="11"/>
      <c r="R813" s="11"/>
      <c r="S813" s="11"/>
      <c r="T813" s="1"/>
      <c r="U813" s="1"/>
      <c r="V813" s="1"/>
      <c r="W813" s="1"/>
      <c r="X813" s="1"/>
      <c r="Y813" s="1"/>
      <c r="Z813" s="1"/>
    </row>
    <row r="814" ht="18.0" customHeight="1" outlineLevel="2">
      <c r="A814" s="1">
        <v>7.0</v>
      </c>
      <c r="B814" s="26" t="s">
        <v>1324</v>
      </c>
      <c r="C814" s="1"/>
      <c r="D814" s="1"/>
      <c r="E814" s="29" t="s">
        <v>33</v>
      </c>
      <c r="F814" s="15"/>
      <c r="G814" s="30">
        <v>60.0</v>
      </c>
      <c r="H814" s="22" t="s">
        <v>1325</v>
      </c>
      <c r="I814" s="7"/>
      <c r="J814" s="7" t="str">
        <f>IFERROR(LET(_xlpm.v,
VLOOKUP($I814,'用語辞書'!$A:$B,COLUMN('用語辞書'!B$1),FALSE),
IF(_xlpm.v=0,"",_xlpm.v)
),"")</f>
        <v/>
      </c>
      <c r="K814" s="17"/>
      <c r="L814" s="17" t="b">
        <f>IF(OR(COUNTIF('クラス'!$A$1:$A$1267,$B814)&gt;0,$B814="",$M814=""),"",True)</f>
        <v>1</v>
      </c>
      <c r="M814" s="1" t="str">
        <f t="shared" si="21"/>
        <v>存在しない</v>
      </c>
      <c r="N814" s="1" t="s">
        <v>29</v>
      </c>
      <c r="O814" s="1"/>
      <c r="P814" s="11"/>
      <c r="Q814" s="11"/>
      <c r="R814" s="11"/>
      <c r="S814" s="11"/>
      <c r="T814" s="1"/>
      <c r="U814" s="1"/>
      <c r="V814" s="1"/>
      <c r="W814" s="1"/>
      <c r="X814" s="1"/>
      <c r="Y814" s="1"/>
      <c r="Z814" s="1"/>
    </row>
    <row r="815" ht="18.0" customHeight="1" outlineLevel="2">
      <c r="A815" s="1">
        <v>8.0</v>
      </c>
      <c r="B815" s="1"/>
      <c r="C815" s="1"/>
      <c r="D815" s="1"/>
      <c r="E815" s="14"/>
      <c r="F815" s="15"/>
      <c r="G815" s="16"/>
      <c r="H815" s="11"/>
      <c r="I815" s="7"/>
      <c r="J815" s="7" t="str">
        <f>IFERROR(LET(_xlpm.v,
VLOOKUP($I815,'用語辞書'!$A:$B,COLUMN('用語辞書'!B$1),FALSE),
IF(_xlpm.v=0,"",_xlpm.v)
),"")</f>
        <v/>
      </c>
      <c r="K815" s="17"/>
      <c r="L815" s="17" t="str">
        <f>IF(OR(COUNTIF('クラス'!$A$1:$A$1267,$B815)&gt;0,$B815="",$M815=""),"",True)</f>
        <v/>
      </c>
      <c r="M815" s="1" t="str">
        <f t="shared" si="21"/>
        <v>存在しない</v>
      </c>
      <c r="N815" s="1" t="s">
        <v>29</v>
      </c>
      <c r="O815" s="1"/>
      <c r="P815" s="11"/>
      <c r="Q815" s="11"/>
      <c r="R815" s="11"/>
      <c r="S815" s="11"/>
      <c r="T815" s="1"/>
      <c r="U815" s="1"/>
      <c r="V815" s="1"/>
      <c r="W815" s="1"/>
      <c r="X815" s="1"/>
      <c r="Y815" s="1"/>
      <c r="Z815" s="1"/>
    </row>
    <row r="816" ht="18.0" customHeight="1" outlineLevel="2">
      <c r="A816" s="1">
        <v>9.0</v>
      </c>
      <c r="B816" s="26" t="s">
        <v>1326</v>
      </c>
      <c r="C816" s="1"/>
      <c r="D816" s="1"/>
      <c r="E816" s="29" t="s">
        <v>55</v>
      </c>
      <c r="F816" s="15"/>
      <c r="G816" s="16"/>
      <c r="H816" s="22" t="s">
        <v>1327</v>
      </c>
      <c r="I816" s="7"/>
      <c r="J816" s="7" t="str">
        <f>IFERROR(LET(_xlpm.v,
VLOOKUP($I816,'用語辞書'!$A:$B,COLUMN('用語辞書'!B$1),FALSE),
IF(_xlpm.v=0,"",_xlpm.v)
),"")</f>
        <v/>
      </c>
      <c r="K816" s="17"/>
      <c r="L816" s="17" t="b">
        <f>IF(OR(COUNTIF('クラス'!$A$1:$A$1267,$B816)&gt;0,$B816="",$M816=""),"",True)</f>
        <v>1</v>
      </c>
      <c r="M816" s="1" t="str">
        <f t="shared" si="21"/>
        <v>存在しない</v>
      </c>
      <c r="N816" s="1" t="s">
        <v>29</v>
      </c>
      <c r="O816" s="1"/>
      <c r="P816" s="11"/>
      <c r="Q816" s="11"/>
      <c r="R816" s="11"/>
      <c r="S816" s="11"/>
      <c r="T816" s="1"/>
      <c r="U816" s="1"/>
      <c r="V816" s="1"/>
      <c r="W816" s="1"/>
      <c r="X816" s="1"/>
      <c r="Y816" s="1"/>
      <c r="Z816" s="1"/>
    </row>
    <row r="817" ht="18.0" customHeight="1" outlineLevel="2">
      <c r="A817" s="1">
        <v>10.0</v>
      </c>
      <c r="B817" s="26" t="s">
        <v>1328</v>
      </c>
      <c r="C817" s="1"/>
      <c r="D817" s="1"/>
      <c r="E817" s="29" t="s">
        <v>55</v>
      </c>
      <c r="F817" s="15"/>
      <c r="G817" s="16"/>
      <c r="H817" s="22" t="s">
        <v>1329</v>
      </c>
      <c r="I817" s="32" t="s">
        <v>1330</v>
      </c>
      <c r="J817" s="7" t="str">
        <f>IFERROR(LET(_xlpm.v,
VLOOKUP($I817,'用語辞書'!$A:$B,COLUMN('用語辞書'!B$1),FALSE),
IF(_xlpm.v=0,"",_xlpm.v)
),"")</f>
        <v>HP0でも一定ターン生存</v>
      </c>
      <c r="K817" s="17"/>
      <c r="L817" s="17" t="b">
        <f>IF(OR(COUNTIF('クラス'!$A$1:$A$1267,$B817)&gt;0,$B817="",$M817=""),"",True)</f>
        <v>1</v>
      </c>
      <c r="M817" s="1" t="str">
        <f t="shared" si="21"/>
        <v>存在しない</v>
      </c>
      <c r="N817" s="1" t="s">
        <v>29</v>
      </c>
      <c r="O817" s="1"/>
      <c r="P817" s="11"/>
      <c r="Q817" s="11"/>
      <c r="R817" s="11"/>
      <c r="S817" s="11"/>
      <c r="T817" s="1"/>
      <c r="U817" s="1"/>
      <c r="V817" s="1"/>
      <c r="W817" s="1"/>
      <c r="X817" s="1"/>
      <c r="Y817" s="1"/>
      <c r="Z817" s="1"/>
    </row>
    <row r="818" ht="18.0" customHeight="1" outlineLevel="2">
      <c r="A818" s="1"/>
      <c r="B818" s="1"/>
      <c r="C818" s="1"/>
      <c r="D818" s="1"/>
      <c r="E818" s="14"/>
      <c r="F818" s="15"/>
      <c r="G818" s="16"/>
      <c r="H818" s="11"/>
      <c r="I818" s="7"/>
      <c r="J818" s="7" t="str">
        <f>IFERROR(LET(_xlpm.v,
VLOOKUP($I818,'用語辞書'!$A:$B,COLUMN('用語辞書'!B$1),FALSE),
IF(_xlpm.v=0,"",_xlpm.v)
),"")</f>
        <v/>
      </c>
      <c r="K818" s="17"/>
      <c r="L818" s="17" t="str">
        <f>IF(OR(COUNTIF('クラス'!$A$1:$A$1267,$B818)&gt;0,$B818="",$M818=""),"",True)</f>
        <v/>
      </c>
      <c r="M818" s="1" t="str">
        <f t="shared" si="21"/>
        <v>存在しない</v>
      </c>
      <c r="N818" s="1" t="s">
        <v>29</v>
      </c>
      <c r="O818" s="1"/>
      <c r="P818" s="11"/>
      <c r="Q818" s="11"/>
      <c r="R818" s="11"/>
      <c r="S818" s="11"/>
      <c r="T818" s="1"/>
      <c r="U818" s="1"/>
      <c r="V818" s="1"/>
      <c r="W818" s="1"/>
      <c r="X818" s="1"/>
      <c r="Y818" s="1"/>
      <c r="Z818" s="1"/>
    </row>
    <row r="819" ht="18.0" customHeight="1" outlineLevel="1" collapsed="1">
      <c r="A819" s="1"/>
      <c r="B819" s="1"/>
      <c r="C819" s="1"/>
      <c r="D819" s="1"/>
      <c r="E819" s="14"/>
      <c r="F819" s="15"/>
      <c r="G819" s="16"/>
      <c r="H819" s="11"/>
      <c r="I819" s="7"/>
      <c r="J819" s="7" t="str">
        <f>IFERROR(LET(_xlpm.v,
VLOOKUP($I819,'用語辞書'!$A:$B,COLUMN('用語辞書'!B$1),FALSE),
IF(_xlpm.v=0,"",_xlpm.v)
),"")</f>
        <v/>
      </c>
      <c r="K819" s="17"/>
      <c r="L819" s="17" t="str">
        <f>IF(OR(COUNTIF('クラス'!$A$1:$A$1267,$B819)&gt;0,$B819="",$M819=""),"",True)</f>
        <v/>
      </c>
      <c r="M819" s="1" t="str">
        <f t="shared" si="21"/>
        <v>存在しない</v>
      </c>
      <c r="N819" s="1" t="s">
        <v>29</v>
      </c>
      <c r="O819" s="1"/>
      <c r="P819" s="11"/>
      <c r="Q819" s="11"/>
      <c r="R819" s="11"/>
      <c r="S819" s="11"/>
      <c r="T819" s="1"/>
      <c r="U819" s="1"/>
      <c r="V819" s="1"/>
      <c r="W819" s="1"/>
      <c r="X819" s="1"/>
      <c r="Y819" s="1"/>
      <c r="Z819" s="1"/>
    </row>
    <row r="820" ht="18.0" customHeight="1" outlineLevel="1">
      <c r="A820" s="1"/>
      <c r="B820" s="1" t="s">
        <v>1331</v>
      </c>
      <c r="C820" s="1"/>
      <c r="D820" s="1"/>
      <c r="E820" s="14"/>
      <c r="F820" s="15"/>
      <c r="G820" s="16"/>
      <c r="H820" s="11"/>
      <c r="I820" s="7"/>
      <c r="J820" s="7" t="str">
        <f>IFERROR(LET(_xlpm.v,
VLOOKUP($I820,'用語辞書'!$A:$B,COLUMN('用語辞書'!B$1),FALSE),
IF(_xlpm.v=0,"",_xlpm.v)
),"")</f>
        <v/>
      </c>
      <c r="K820" s="17"/>
      <c r="L820" s="17" t="str">
        <f>IF(OR(COUNTIF('クラス'!$A$1:$A$1267,$B820)&gt;0,$B820="",$M820=""),"",True)</f>
        <v/>
      </c>
      <c r="M820" s="1" t="str">
        <f t="shared" si="21"/>
        <v>存在しない</v>
      </c>
      <c r="N820" s="1" t="s">
        <v>29</v>
      </c>
      <c r="O820" s="1"/>
      <c r="P820" s="11"/>
      <c r="Q820" s="11"/>
      <c r="R820" s="11"/>
      <c r="S820" s="11"/>
      <c r="T820" s="1"/>
      <c r="U820" s="1"/>
      <c r="V820" s="1"/>
      <c r="W820" s="1"/>
      <c r="X820" s="1"/>
      <c r="Y820" s="1"/>
      <c r="Z820" s="1"/>
    </row>
    <row r="821" ht="18.0" customHeight="1" outlineLevel="2">
      <c r="A821" s="1">
        <v>1.0</v>
      </c>
      <c r="B821" s="26" t="s">
        <v>1332</v>
      </c>
      <c r="C821" s="1"/>
      <c r="D821" s="1"/>
      <c r="E821" s="29" t="s">
        <v>55</v>
      </c>
      <c r="F821" s="15"/>
      <c r="G821" s="16"/>
      <c r="H821" s="22" t="s">
        <v>1333</v>
      </c>
      <c r="I821" s="7"/>
      <c r="J821" s="7" t="str">
        <f>IFERROR(LET(_xlpm.v,
VLOOKUP($I821,'用語辞書'!$A:$B,COLUMN('用語辞書'!B$1),FALSE),
IF(_xlpm.v=0,"",_xlpm.v)
),"")</f>
        <v/>
      </c>
      <c r="K821" s="17"/>
      <c r="L821" s="17" t="b">
        <f>IF(OR(COUNTIF('クラス'!$A$1:$A$1267,$B821)&gt;0,$B821="",$M821=""),"",True)</f>
        <v>1</v>
      </c>
      <c r="M821" s="1" t="str">
        <f t="shared" si="21"/>
        <v>存在しない</v>
      </c>
      <c r="N821" s="1" t="s">
        <v>29</v>
      </c>
      <c r="O821" s="1"/>
      <c r="P821" s="11"/>
      <c r="Q821" s="11"/>
      <c r="R821" s="11"/>
      <c r="S821" s="11"/>
      <c r="T821" s="1"/>
      <c r="U821" s="1"/>
      <c r="V821" s="1"/>
      <c r="W821" s="1"/>
      <c r="X821" s="1"/>
      <c r="Y821" s="1"/>
      <c r="Z821" s="1"/>
    </row>
    <row r="822" ht="18.0" customHeight="1" outlineLevel="2">
      <c r="A822" s="1">
        <v>2.0</v>
      </c>
      <c r="B822" s="1"/>
      <c r="C822" s="1"/>
      <c r="D822" s="1"/>
      <c r="E822" s="14"/>
      <c r="F822" s="15"/>
      <c r="G822" s="16"/>
      <c r="H822" s="11"/>
      <c r="I822" s="7"/>
      <c r="J822" s="7" t="str">
        <f>IFERROR(LET(_xlpm.v,
VLOOKUP($I822,'用語辞書'!$A:$B,COLUMN('用語辞書'!B$1),FALSE),
IF(_xlpm.v=0,"",_xlpm.v)
),"")</f>
        <v/>
      </c>
      <c r="K822" s="17"/>
      <c r="L822" s="17" t="str">
        <f>IF(OR(COUNTIF('クラス'!$A$1:$A$1267,$B822)&gt;0,$B822="",$M822=""),"",True)</f>
        <v/>
      </c>
      <c r="M822" s="1" t="str">
        <f t="shared" si="21"/>
        <v>存在しない</v>
      </c>
      <c r="N822" s="1" t="s">
        <v>29</v>
      </c>
      <c r="O822" s="1"/>
      <c r="P822" s="11"/>
      <c r="Q822" s="11"/>
      <c r="R822" s="11"/>
      <c r="S822" s="11"/>
      <c r="T822" s="1"/>
      <c r="U822" s="1"/>
      <c r="V822" s="1"/>
      <c r="W822" s="1"/>
      <c r="X822" s="1"/>
      <c r="Y822" s="1"/>
      <c r="Z822" s="1"/>
    </row>
    <row r="823" ht="18.0" customHeight="1" outlineLevel="2">
      <c r="A823" s="1">
        <v>3.0</v>
      </c>
      <c r="B823" s="26" t="s">
        <v>1334</v>
      </c>
      <c r="C823" s="1"/>
      <c r="D823" s="1"/>
      <c r="E823" s="29" t="s">
        <v>55</v>
      </c>
      <c r="F823" s="15"/>
      <c r="G823" s="16"/>
      <c r="H823" s="22" t="s">
        <v>1335</v>
      </c>
      <c r="I823" s="7"/>
      <c r="J823" s="7" t="str">
        <f>IFERROR(LET(_xlpm.v,
VLOOKUP($I823,'用語辞書'!$A:$B,COLUMN('用語辞書'!B$1),FALSE),
IF(_xlpm.v=0,"",_xlpm.v)
),"")</f>
        <v/>
      </c>
      <c r="K823" s="17"/>
      <c r="L823" s="17" t="b">
        <f>IF(OR(COUNTIF('クラス'!$A$1:$A$1267,$B823)&gt;0,$B823="",$M823=""),"",True)</f>
        <v>1</v>
      </c>
      <c r="M823" s="1" t="str">
        <f t="shared" si="21"/>
        <v>存在しない</v>
      </c>
      <c r="N823" s="1" t="s">
        <v>29</v>
      </c>
      <c r="O823" s="1"/>
      <c r="P823" s="11"/>
      <c r="Q823" s="11"/>
      <c r="R823" s="11"/>
      <c r="S823" s="11"/>
      <c r="T823" s="1"/>
      <c r="U823" s="1"/>
      <c r="V823" s="1"/>
      <c r="W823" s="1"/>
      <c r="X823" s="1"/>
      <c r="Y823" s="1"/>
      <c r="Z823" s="1"/>
    </row>
    <row r="824" ht="18.0" customHeight="1" outlineLevel="2">
      <c r="A824" s="1">
        <v>4.0</v>
      </c>
      <c r="B824" s="1"/>
      <c r="C824" s="1"/>
      <c r="D824" s="1"/>
      <c r="E824" s="14"/>
      <c r="F824" s="15"/>
      <c r="G824" s="16"/>
      <c r="H824" s="11"/>
      <c r="I824" s="7"/>
      <c r="J824" s="7" t="str">
        <f>IFERROR(LET(_xlpm.v,
VLOOKUP($I824,'用語辞書'!$A:$B,COLUMN('用語辞書'!B$1),FALSE),
IF(_xlpm.v=0,"",_xlpm.v)
),"")</f>
        <v/>
      </c>
      <c r="K824" s="17"/>
      <c r="L824" s="17" t="str">
        <f>IF(OR(COUNTIF('クラス'!$A$1:$A$1267,$B824)&gt;0,$B824="",$M824=""),"",True)</f>
        <v/>
      </c>
      <c r="M824" s="1" t="str">
        <f t="shared" si="21"/>
        <v>存在しない</v>
      </c>
      <c r="N824" s="1" t="s">
        <v>29</v>
      </c>
      <c r="O824" s="1"/>
      <c r="P824" s="11"/>
      <c r="Q824" s="11"/>
      <c r="R824" s="11"/>
      <c r="S824" s="11"/>
      <c r="T824" s="1"/>
      <c r="U824" s="1"/>
      <c r="V824" s="1"/>
      <c r="W824" s="1"/>
      <c r="X824" s="1"/>
      <c r="Y824" s="1"/>
      <c r="Z824" s="1"/>
    </row>
    <row r="825" ht="18.0" customHeight="1" outlineLevel="2">
      <c r="A825" s="1">
        <v>5.0</v>
      </c>
      <c r="B825" s="26" t="s">
        <v>1336</v>
      </c>
      <c r="C825" s="1"/>
      <c r="D825" s="1"/>
      <c r="E825" s="29" t="s">
        <v>55</v>
      </c>
      <c r="F825" s="15"/>
      <c r="G825" s="16"/>
      <c r="H825" s="22" t="s">
        <v>1337</v>
      </c>
      <c r="I825" s="7"/>
      <c r="J825" s="7" t="str">
        <f>IFERROR(LET(_xlpm.v,
VLOOKUP($I825,'用語辞書'!$A:$B,COLUMN('用語辞書'!B$1),FALSE),
IF(_xlpm.v=0,"",_xlpm.v)
),"")</f>
        <v/>
      </c>
      <c r="K825" s="17"/>
      <c r="L825" s="17" t="b">
        <f>IF(OR(COUNTIF('クラス'!$A$1:$A$1267,$B825)&gt;0,$B825="",$M825=""),"",True)</f>
        <v>1</v>
      </c>
      <c r="M825" s="1" t="str">
        <f t="shared" si="21"/>
        <v>存在しない</v>
      </c>
      <c r="N825" s="1" t="s">
        <v>29</v>
      </c>
      <c r="O825" s="1"/>
      <c r="P825" s="11"/>
      <c r="Q825" s="11"/>
      <c r="R825" s="11"/>
      <c r="S825" s="11"/>
      <c r="T825" s="1"/>
      <c r="U825" s="1"/>
      <c r="V825" s="1"/>
      <c r="W825" s="1"/>
      <c r="X825" s="1"/>
      <c r="Y825" s="1"/>
      <c r="Z825" s="1"/>
    </row>
    <row r="826" ht="18.0" customHeight="1" outlineLevel="2">
      <c r="A826" s="1">
        <v>6.0</v>
      </c>
      <c r="B826" s="1"/>
      <c r="C826" s="1"/>
      <c r="D826" s="1"/>
      <c r="E826" s="14"/>
      <c r="F826" s="15"/>
      <c r="G826" s="16"/>
      <c r="H826" s="11"/>
      <c r="I826" s="7"/>
      <c r="J826" s="7" t="str">
        <f>IFERROR(LET(_xlpm.v,
VLOOKUP($I826,'用語辞書'!$A:$B,COLUMN('用語辞書'!B$1),FALSE),
IF(_xlpm.v=0,"",_xlpm.v)
),"")</f>
        <v/>
      </c>
      <c r="K826" s="17"/>
      <c r="L826" s="17" t="str">
        <f>IF(OR(COUNTIF('クラス'!$A$1:$A$1267,$B826)&gt;0,$B826="",$M826=""),"",True)</f>
        <v/>
      </c>
      <c r="M826" s="1" t="str">
        <f t="shared" si="21"/>
        <v>存在しない</v>
      </c>
      <c r="N826" s="1" t="s">
        <v>29</v>
      </c>
      <c r="O826" s="1"/>
      <c r="P826" s="11"/>
      <c r="Q826" s="11"/>
      <c r="R826" s="11"/>
      <c r="S826" s="11"/>
      <c r="T826" s="1"/>
      <c r="U826" s="1"/>
      <c r="V826" s="1"/>
      <c r="W826" s="1"/>
      <c r="X826" s="1"/>
      <c r="Y826" s="1"/>
      <c r="Z826" s="1"/>
    </row>
    <row r="827" ht="18.0" customHeight="1" outlineLevel="2">
      <c r="A827" s="1">
        <v>7.0</v>
      </c>
      <c r="B827" s="26" t="s">
        <v>1338</v>
      </c>
      <c r="C827" s="1"/>
      <c r="D827" s="1"/>
      <c r="E827" s="29" t="s">
        <v>55</v>
      </c>
      <c r="F827" s="15"/>
      <c r="G827" s="16"/>
      <c r="H827" s="22" t="s">
        <v>1210</v>
      </c>
      <c r="I827" s="7"/>
      <c r="J827" s="7" t="str">
        <f>IFERROR(LET(_xlpm.v,
VLOOKUP($I827,'用語辞書'!$A:$B,COLUMN('用語辞書'!B$1),FALSE),
IF(_xlpm.v=0,"",_xlpm.v)
),"")</f>
        <v/>
      </c>
      <c r="K827" s="17"/>
      <c r="L827" s="17" t="b">
        <f>IF(OR(COUNTIF('クラス'!$A$1:$A$1267,$B827)&gt;0,$B827="",$M827=""),"",True)</f>
        <v>1</v>
      </c>
      <c r="M827" s="1" t="str">
        <f t="shared" si="21"/>
        <v>存在しない</v>
      </c>
      <c r="N827" s="1" t="s">
        <v>29</v>
      </c>
      <c r="O827" s="1"/>
      <c r="P827" s="11"/>
      <c r="Q827" s="11"/>
      <c r="R827" s="11"/>
      <c r="S827" s="11"/>
      <c r="T827" s="1"/>
      <c r="U827" s="1"/>
      <c r="V827" s="1"/>
      <c r="W827" s="1"/>
      <c r="X827" s="1"/>
      <c r="Y827" s="1"/>
      <c r="Z827" s="1"/>
    </row>
    <row r="828" ht="18.0" customHeight="1" outlineLevel="2">
      <c r="A828" s="1">
        <v>8.0</v>
      </c>
      <c r="B828" s="1"/>
      <c r="C828" s="1"/>
      <c r="D828" s="1"/>
      <c r="E828" s="14"/>
      <c r="F828" s="15"/>
      <c r="G828" s="16"/>
      <c r="H828" s="11"/>
      <c r="I828" s="7"/>
      <c r="J828" s="7" t="str">
        <f>IFERROR(LET(_xlpm.v,
VLOOKUP($I828,'用語辞書'!$A:$B,COLUMN('用語辞書'!B$1),FALSE),
IF(_xlpm.v=0,"",_xlpm.v)
),"")</f>
        <v/>
      </c>
      <c r="K828" s="17"/>
      <c r="L828" s="17" t="str">
        <f>IF(OR(COUNTIF('クラス'!$A$1:$A$1267,$B828)&gt;0,$B828="",$M828=""),"",True)</f>
        <v/>
      </c>
      <c r="M828" s="1" t="str">
        <f t="shared" si="21"/>
        <v>存在しない</v>
      </c>
      <c r="N828" s="1" t="s">
        <v>29</v>
      </c>
      <c r="O828" s="1"/>
      <c r="P828" s="11"/>
      <c r="Q828" s="11"/>
      <c r="R828" s="11"/>
      <c r="S828" s="11"/>
      <c r="T828" s="1"/>
      <c r="U828" s="1"/>
      <c r="V828" s="1"/>
      <c r="W828" s="1"/>
      <c r="X828" s="1"/>
      <c r="Y828" s="1"/>
      <c r="Z828" s="1"/>
    </row>
    <row r="829" ht="18.0" customHeight="1" outlineLevel="2">
      <c r="A829" s="1">
        <v>9.0</v>
      </c>
      <c r="B829" s="26" t="s">
        <v>1339</v>
      </c>
      <c r="C829" s="1"/>
      <c r="D829" s="1"/>
      <c r="E829" s="29" t="s">
        <v>33</v>
      </c>
      <c r="F829" s="15"/>
      <c r="G829" s="30">
        <v>30.0</v>
      </c>
      <c r="H829" s="22" t="s">
        <v>1340</v>
      </c>
      <c r="I829" s="7"/>
      <c r="J829" s="7" t="str">
        <f>IFERROR(LET(_xlpm.v,
VLOOKUP($I829,'用語辞書'!$A:$B,COLUMN('用語辞書'!B$1),FALSE),
IF(_xlpm.v=0,"",_xlpm.v)
),"")</f>
        <v/>
      </c>
      <c r="K829" s="17"/>
      <c r="L829" s="17" t="b">
        <f>IF(OR(COUNTIF('クラス'!$A$1:$A$1267,$B829)&gt;0,$B829="",$M829=""),"",True)</f>
        <v>1</v>
      </c>
      <c r="M829" s="1" t="str">
        <f t="shared" si="21"/>
        <v>存在しない</v>
      </c>
      <c r="N829" s="1" t="s">
        <v>29</v>
      </c>
      <c r="O829" s="1"/>
      <c r="P829" s="11"/>
      <c r="Q829" s="11"/>
      <c r="R829" s="11"/>
      <c r="S829" s="11"/>
      <c r="T829" s="1"/>
      <c r="U829" s="1"/>
      <c r="V829" s="1"/>
      <c r="W829" s="1"/>
      <c r="X829" s="1"/>
      <c r="Y829" s="1"/>
      <c r="Z829" s="1"/>
    </row>
    <row r="830" ht="18.0" customHeight="1" outlineLevel="2">
      <c r="A830" s="1">
        <v>10.0</v>
      </c>
      <c r="B830" s="26" t="s">
        <v>1341</v>
      </c>
      <c r="C830" s="1"/>
      <c r="D830" s="26" t="s">
        <v>1342</v>
      </c>
      <c r="E830" s="29" t="s">
        <v>33</v>
      </c>
      <c r="F830" s="15"/>
      <c r="G830" s="30">
        <v>100.0</v>
      </c>
      <c r="H830" s="22" t="s">
        <v>1343</v>
      </c>
      <c r="I830" s="7"/>
      <c r="J830" s="7" t="str">
        <f>IFERROR(LET(_xlpm.v,
VLOOKUP($I830,'用語辞書'!$A:$B,COLUMN('用語辞書'!B$1),FALSE),
IF(_xlpm.v=0,"",_xlpm.v)
),"")</f>
        <v/>
      </c>
      <c r="K830" s="17"/>
      <c r="L830" s="17" t="b">
        <f>IF(OR(COUNTIF('クラス'!$A$1:$A$1267,$B830)&gt;0,$B830="",$M830=""),"",True)</f>
        <v>1</v>
      </c>
      <c r="M830" s="1" t="str">
        <f t="shared" si="21"/>
        <v>存在しない</v>
      </c>
      <c r="N830" s="1" t="s">
        <v>29</v>
      </c>
      <c r="O830" s="1"/>
      <c r="P830" s="11"/>
      <c r="Q830" s="11"/>
      <c r="R830" s="11"/>
      <c r="S830" s="11"/>
      <c r="T830" s="1"/>
      <c r="U830" s="1"/>
      <c r="V830" s="1"/>
      <c r="W830" s="1"/>
      <c r="X830" s="1"/>
      <c r="Y830" s="1"/>
      <c r="Z830" s="1"/>
    </row>
    <row r="831" ht="18.0" customHeight="1" outlineLevel="2">
      <c r="A831" s="1"/>
      <c r="B831" s="1"/>
      <c r="C831" s="1"/>
      <c r="D831" s="1"/>
      <c r="E831" s="14"/>
      <c r="F831" s="15"/>
      <c r="G831" s="16"/>
      <c r="H831" s="11"/>
      <c r="I831" s="7"/>
      <c r="J831" s="7" t="str">
        <f>IFERROR(LET(_xlpm.v,
VLOOKUP($I831,'用語辞書'!$A:$B,COLUMN('用語辞書'!B$1),FALSE),
IF(_xlpm.v=0,"",_xlpm.v)
),"")</f>
        <v/>
      </c>
      <c r="K831" s="17"/>
      <c r="L831" s="17" t="str">
        <f>IF(OR(COUNTIF('クラス'!$A$1:$A$1267,$B831)&gt;0,$B831="",$M831=""),"",True)</f>
        <v/>
      </c>
      <c r="M831" s="1" t="str">
        <f t="shared" si="21"/>
        <v>存在しない</v>
      </c>
      <c r="N831" s="1" t="s">
        <v>29</v>
      </c>
      <c r="O831" s="1"/>
      <c r="P831" s="11"/>
      <c r="Q831" s="11"/>
      <c r="R831" s="11"/>
      <c r="S831" s="11"/>
      <c r="T831" s="1"/>
      <c r="U831" s="1"/>
      <c r="V831" s="1"/>
      <c r="W831" s="1"/>
      <c r="X831" s="1"/>
      <c r="Y831" s="1"/>
      <c r="Z831" s="1"/>
    </row>
    <row r="832" ht="18.0" customHeight="1" outlineLevel="1" collapsed="1">
      <c r="A832" s="1"/>
      <c r="B832" s="1"/>
      <c r="C832" s="1"/>
      <c r="D832" s="1"/>
      <c r="E832" s="14"/>
      <c r="F832" s="15"/>
      <c r="G832" s="16"/>
      <c r="H832" s="11"/>
      <c r="I832" s="7"/>
      <c r="J832" s="7" t="str">
        <f>IFERROR(LET(_xlpm.v,
VLOOKUP($I832,'用語辞書'!$A:$B,COLUMN('用語辞書'!B$1),FALSE),
IF(_xlpm.v=0,"",_xlpm.v)
),"")</f>
        <v/>
      </c>
      <c r="K832" s="17"/>
      <c r="L832" s="17" t="str">
        <f>IF(OR(COUNTIF('クラス'!$A$1:$A$1267,$B832)&gt;0,$B832="",$M832=""),"",True)</f>
        <v/>
      </c>
      <c r="M832" s="1" t="str">
        <f t="shared" si="21"/>
        <v>存在しない</v>
      </c>
      <c r="N832" s="1" t="s">
        <v>29</v>
      </c>
      <c r="O832" s="1"/>
      <c r="P832" s="11"/>
      <c r="Q832" s="11"/>
      <c r="R832" s="11"/>
      <c r="S832" s="11"/>
      <c r="T832" s="1"/>
      <c r="U832" s="1"/>
      <c r="V832" s="1"/>
      <c r="W832" s="1"/>
      <c r="X832" s="1"/>
      <c r="Y832" s="1"/>
      <c r="Z832" s="1"/>
    </row>
    <row r="833" ht="18.0" customHeight="1" outlineLevel="1">
      <c r="A833" s="1"/>
      <c r="B833" s="1" t="s">
        <v>1344</v>
      </c>
      <c r="C833" s="1"/>
      <c r="D833" s="1"/>
      <c r="E833" s="14"/>
      <c r="F833" s="15"/>
      <c r="G833" s="16"/>
      <c r="H833" s="11"/>
      <c r="I833" s="7"/>
      <c r="J833" s="7" t="str">
        <f>IFERROR(LET(_xlpm.v,
VLOOKUP($I833,'用語辞書'!$A:$B,COLUMN('用語辞書'!B$1),FALSE),
IF(_xlpm.v=0,"",_xlpm.v)
),"")</f>
        <v/>
      </c>
      <c r="K833" s="17"/>
      <c r="L833" s="17" t="str">
        <f>IF(OR(COUNTIF('クラス'!$A$1:$A$1267,$B833)&gt;0,$B833="",$M833=""),"",True)</f>
        <v/>
      </c>
      <c r="M833" s="1" t="str">
        <f t="shared" si="21"/>
        <v>存在しない</v>
      </c>
      <c r="N833" s="1" t="s">
        <v>29</v>
      </c>
      <c r="O833" s="1"/>
      <c r="P833" s="11"/>
      <c r="Q833" s="11"/>
      <c r="R833" s="11"/>
      <c r="S833" s="11"/>
      <c r="T833" s="1"/>
      <c r="U833" s="1"/>
      <c r="V833" s="1"/>
      <c r="W833" s="1"/>
      <c r="X833" s="1"/>
      <c r="Y833" s="1"/>
      <c r="Z833" s="1"/>
    </row>
    <row r="834" ht="18.0" customHeight="1" outlineLevel="2">
      <c r="A834" s="1">
        <v>1.0</v>
      </c>
      <c r="B834" s="26" t="s">
        <v>1296</v>
      </c>
      <c r="C834" s="1"/>
      <c r="D834" s="1"/>
      <c r="E834" s="14"/>
      <c r="F834" s="15"/>
      <c r="G834" s="16"/>
      <c r="H834" s="11"/>
      <c r="I834" s="7"/>
      <c r="J834" s="7" t="str">
        <f>IFERROR(LET(_xlpm.v,
VLOOKUP($I834,'用語辞書'!$A:$B,COLUMN('用語辞書'!B$1),FALSE),
IF(_xlpm.v=0,"",_xlpm.v)
),"")</f>
        <v/>
      </c>
      <c r="K834" s="17"/>
      <c r="L834" s="17" t="str">
        <f>IF(OR(COUNTIF('クラス'!$A$1:$A$1267,$B834)&gt;0,$B834="",$M834=""),"",True)</f>
        <v/>
      </c>
      <c r="M834" s="1" t="str">
        <f t="shared" si="21"/>
        <v/>
      </c>
      <c r="N834" s="1" t="s">
        <v>29</v>
      </c>
      <c r="O834" s="1"/>
      <c r="P834" s="11"/>
      <c r="Q834" s="11"/>
      <c r="R834" s="11"/>
      <c r="S834" s="11"/>
      <c r="T834" s="1"/>
      <c r="U834" s="1"/>
      <c r="V834" s="1"/>
      <c r="W834" s="1"/>
      <c r="X834" s="1"/>
      <c r="Y834" s="1"/>
      <c r="Z834" s="1"/>
    </row>
    <row r="835" ht="18.0" customHeight="1" outlineLevel="2">
      <c r="A835" s="1">
        <v>2.0</v>
      </c>
      <c r="B835" s="1"/>
      <c r="C835" s="1"/>
      <c r="D835" s="1"/>
      <c r="E835" s="14"/>
      <c r="F835" s="15"/>
      <c r="G835" s="16"/>
      <c r="H835" s="11"/>
      <c r="I835" s="7"/>
      <c r="J835" s="7" t="str">
        <f>IFERROR(LET(_xlpm.v,
VLOOKUP($I835,'用語辞書'!$A:$B,COLUMN('用語辞書'!B$1),FALSE),
IF(_xlpm.v=0,"",_xlpm.v)
),"")</f>
        <v/>
      </c>
      <c r="K835" s="17"/>
      <c r="L835" s="17" t="str">
        <f>IF(OR(COUNTIF('クラス'!$A$1:$A$1267,$B835)&gt;0,$B835="",$M835=""),"",True)</f>
        <v/>
      </c>
      <c r="M835" s="1" t="str">
        <f t="shared" si="21"/>
        <v>存在しない</v>
      </c>
      <c r="N835" s="1" t="s">
        <v>29</v>
      </c>
      <c r="O835" s="1"/>
      <c r="P835" s="11"/>
      <c r="Q835" s="11"/>
      <c r="R835" s="11"/>
      <c r="S835" s="11"/>
      <c r="T835" s="1"/>
      <c r="U835" s="1"/>
      <c r="V835" s="1"/>
      <c r="W835" s="1"/>
      <c r="X835" s="1"/>
      <c r="Y835" s="1"/>
      <c r="Z835" s="1"/>
    </row>
    <row r="836" ht="18.0" customHeight="1" outlineLevel="2">
      <c r="A836" s="1">
        <v>3.0</v>
      </c>
      <c r="B836" s="26" t="s">
        <v>1345</v>
      </c>
      <c r="C836" s="1"/>
      <c r="D836" s="1"/>
      <c r="E836" s="29" t="s">
        <v>55</v>
      </c>
      <c r="F836" s="15"/>
      <c r="G836" s="16"/>
      <c r="H836" s="22" t="s">
        <v>1346</v>
      </c>
      <c r="I836" s="7"/>
      <c r="J836" s="7" t="str">
        <f>IFERROR(LET(_xlpm.v,
VLOOKUP($I836,'用語辞書'!$A:$B,COLUMN('用語辞書'!B$1),FALSE),
IF(_xlpm.v=0,"",_xlpm.v)
),"")</f>
        <v/>
      </c>
      <c r="K836" s="17"/>
      <c r="L836" s="17" t="b">
        <f>IF(OR(COUNTIF('クラス'!$A$1:$A$1267,$B836)&gt;0,$B836="",$M836=""),"",True)</f>
        <v>1</v>
      </c>
      <c r="M836" s="1" t="str">
        <f t="shared" si="21"/>
        <v>存在しない</v>
      </c>
      <c r="N836" s="1" t="s">
        <v>29</v>
      </c>
      <c r="O836" s="1"/>
      <c r="P836" s="11"/>
      <c r="Q836" s="11"/>
      <c r="R836" s="11"/>
      <c r="S836" s="11"/>
      <c r="T836" s="1"/>
      <c r="U836" s="1"/>
      <c r="V836" s="1"/>
      <c r="W836" s="1"/>
      <c r="X836" s="1"/>
      <c r="Y836" s="1"/>
      <c r="Z836" s="1"/>
    </row>
    <row r="837" ht="18.0" customHeight="1" outlineLevel="2">
      <c r="A837" s="1">
        <v>4.0</v>
      </c>
      <c r="B837" s="1"/>
      <c r="C837" s="1"/>
      <c r="D837" s="1"/>
      <c r="E837" s="14"/>
      <c r="F837" s="15"/>
      <c r="G837" s="16"/>
      <c r="H837" s="11"/>
      <c r="I837" s="7"/>
      <c r="J837" s="7" t="str">
        <f>IFERROR(LET(_xlpm.v,
VLOOKUP($I837,'用語辞書'!$A:$B,COLUMN('用語辞書'!B$1),FALSE),
IF(_xlpm.v=0,"",_xlpm.v)
),"")</f>
        <v/>
      </c>
      <c r="K837" s="17"/>
      <c r="L837" s="17" t="str">
        <f>IF(OR(COUNTIF('クラス'!$A$1:$A$1267,$B837)&gt;0,$B837="",$M837=""),"",True)</f>
        <v/>
      </c>
      <c r="M837" s="1" t="str">
        <f t="shared" si="21"/>
        <v>存在しない</v>
      </c>
      <c r="N837" s="1" t="s">
        <v>29</v>
      </c>
      <c r="O837" s="1"/>
      <c r="P837" s="11"/>
      <c r="Q837" s="11"/>
      <c r="R837" s="11"/>
      <c r="S837" s="11"/>
      <c r="T837" s="1"/>
      <c r="U837" s="1"/>
      <c r="V837" s="1"/>
      <c r="W837" s="1"/>
      <c r="X837" s="1"/>
      <c r="Y837" s="1"/>
      <c r="Z837" s="1"/>
    </row>
    <row r="838" ht="18.0" customHeight="1" outlineLevel="2">
      <c r="A838" s="1">
        <v>5.0</v>
      </c>
      <c r="B838" s="26" t="s">
        <v>1347</v>
      </c>
      <c r="C838" s="1"/>
      <c r="D838" s="26" t="s">
        <v>1348</v>
      </c>
      <c r="E838" s="29" t="s">
        <v>33</v>
      </c>
      <c r="F838" s="15"/>
      <c r="G838" s="30">
        <v>40.0</v>
      </c>
      <c r="H838" s="22" t="s">
        <v>1349</v>
      </c>
      <c r="I838" s="32" t="s">
        <v>1222</v>
      </c>
      <c r="J838" s="7" t="str">
        <f>IFERROR(LET(_xlpm.v,
VLOOKUP($I838,'用語辞書'!$A:$B,COLUMN('用語辞書'!B$1),FALSE),
IF(_xlpm.v=0,"",_xlpm.v)
),"")</f>
        <v>攻撃・命中・士気などが低下する状態</v>
      </c>
      <c r="K838" s="17"/>
      <c r="L838" s="17" t="b">
        <f>IF(OR(COUNTIF('クラス'!$A$1:$A$1267,$B838)&gt;0,$B838="",$M838=""),"",True)</f>
        <v>1</v>
      </c>
      <c r="M838" s="1" t="str">
        <f t="shared" si="21"/>
        <v>存在しない</v>
      </c>
      <c r="N838" s="1" t="s">
        <v>29</v>
      </c>
      <c r="O838" s="1"/>
      <c r="P838" s="11"/>
      <c r="Q838" s="11"/>
      <c r="R838" s="11"/>
      <c r="S838" s="11"/>
      <c r="T838" s="1"/>
      <c r="U838" s="1"/>
      <c r="V838" s="1"/>
      <c r="W838" s="1"/>
      <c r="X838" s="1"/>
      <c r="Y838" s="1"/>
      <c r="Z838" s="1"/>
    </row>
    <row r="839" ht="18.0" customHeight="1" outlineLevel="2">
      <c r="A839" s="1">
        <v>6.0</v>
      </c>
      <c r="B839" s="1"/>
      <c r="C839" s="1"/>
      <c r="D839" s="1"/>
      <c r="E839" s="14"/>
      <c r="F839" s="15"/>
      <c r="G839" s="16"/>
      <c r="H839" s="11"/>
      <c r="I839" s="7"/>
      <c r="J839" s="7" t="str">
        <f>IFERROR(LET(_xlpm.v,
VLOOKUP($I839,'用語辞書'!$A:$B,COLUMN('用語辞書'!B$1),FALSE),
IF(_xlpm.v=0,"",_xlpm.v)
),"")</f>
        <v/>
      </c>
      <c r="K839" s="17"/>
      <c r="L839" s="17" t="str">
        <f>IF(OR(COUNTIF('クラス'!$A$1:$A$1267,$B839)&gt;0,$B839="",$M839=""),"",True)</f>
        <v/>
      </c>
      <c r="M839" s="1" t="str">
        <f t="shared" si="21"/>
        <v>存在しない</v>
      </c>
      <c r="N839" s="1" t="s">
        <v>29</v>
      </c>
      <c r="O839" s="1"/>
      <c r="P839" s="11"/>
      <c r="Q839" s="11"/>
      <c r="R839" s="11"/>
      <c r="S839" s="11"/>
      <c r="T839" s="1"/>
      <c r="U839" s="1"/>
      <c r="V839" s="1"/>
      <c r="W839" s="1"/>
      <c r="X839" s="1"/>
      <c r="Y839" s="1"/>
      <c r="Z839" s="1"/>
    </row>
    <row r="840" ht="18.0" customHeight="1" outlineLevel="2">
      <c r="A840" s="1">
        <v>7.0</v>
      </c>
      <c r="B840" s="26" t="s">
        <v>1350</v>
      </c>
      <c r="C840" s="1"/>
      <c r="D840" s="1"/>
      <c r="E840" s="29" t="s">
        <v>33</v>
      </c>
      <c r="F840" s="15"/>
      <c r="G840" s="30">
        <v>30.0</v>
      </c>
      <c r="H840" s="22" t="s">
        <v>1351</v>
      </c>
      <c r="I840" s="7"/>
      <c r="J840" s="7" t="str">
        <f>IFERROR(LET(_xlpm.v,
VLOOKUP($I840,'用語辞書'!$A:$B,COLUMN('用語辞書'!B$1),FALSE),
IF(_xlpm.v=0,"",_xlpm.v)
),"")</f>
        <v/>
      </c>
      <c r="K840" s="17"/>
      <c r="L840" s="17" t="b">
        <f>IF(OR(COUNTIF('クラス'!$A$1:$A$1267,$B840)&gt;0,$B840="",$M840=""),"",True)</f>
        <v>1</v>
      </c>
      <c r="M840" s="1" t="str">
        <f t="shared" si="21"/>
        <v>存在しない</v>
      </c>
      <c r="N840" s="1" t="s">
        <v>29</v>
      </c>
      <c r="O840" s="1"/>
      <c r="P840" s="11"/>
      <c r="Q840" s="11"/>
      <c r="R840" s="11"/>
      <c r="S840" s="11"/>
      <c r="T840" s="1"/>
      <c r="U840" s="1"/>
      <c r="V840" s="1"/>
      <c r="W840" s="1"/>
      <c r="X840" s="1"/>
      <c r="Y840" s="1"/>
      <c r="Z840" s="1"/>
    </row>
    <row r="841" ht="18.0" customHeight="1" outlineLevel="2">
      <c r="A841" s="1">
        <v>8.0</v>
      </c>
      <c r="B841" s="1"/>
      <c r="C841" s="1"/>
      <c r="D841" s="1"/>
      <c r="E841" s="14"/>
      <c r="F841" s="15"/>
      <c r="G841" s="16"/>
      <c r="H841" s="11"/>
      <c r="I841" s="7"/>
      <c r="J841" s="7" t="str">
        <f>IFERROR(LET(_xlpm.v,
VLOOKUP($I841,'用語辞書'!$A:$B,COLUMN('用語辞書'!B$1),FALSE),
IF(_xlpm.v=0,"",_xlpm.v)
),"")</f>
        <v/>
      </c>
      <c r="K841" s="17"/>
      <c r="L841" s="17" t="str">
        <f>IF(OR(COUNTIF('クラス'!$A$1:$A$1267,$B841)&gt;0,$B841="",$M841=""),"",True)</f>
        <v/>
      </c>
      <c r="M841" s="1" t="str">
        <f t="shared" si="21"/>
        <v>存在しない</v>
      </c>
      <c r="N841" s="1" t="s">
        <v>29</v>
      </c>
      <c r="O841" s="1"/>
      <c r="P841" s="11"/>
      <c r="Q841" s="11"/>
      <c r="R841" s="11"/>
      <c r="S841" s="11"/>
      <c r="T841" s="1"/>
      <c r="U841" s="1"/>
      <c r="V841" s="1"/>
      <c r="W841" s="1"/>
      <c r="X841" s="1"/>
      <c r="Y841" s="1"/>
      <c r="Z841" s="1"/>
    </row>
    <row r="842" ht="18.0" customHeight="1" outlineLevel="2">
      <c r="A842" s="1">
        <v>9.0</v>
      </c>
      <c r="B842" s="26" t="s">
        <v>1352</v>
      </c>
      <c r="C842" s="1"/>
      <c r="D842" s="26" t="s">
        <v>1348</v>
      </c>
      <c r="E842" s="29" t="s">
        <v>33</v>
      </c>
      <c r="F842" s="15"/>
      <c r="G842" s="30">
        <v>80.0</v>
      </c>
      <c r="H842" s="22" t="s">
        <v>1353</v>
      </c>
      <c r="I842" s="7"/>
      <c r="J842" s="7" t="str">
        <f>IFERROR(LET(_xlpm.v,
VLOOKUP($I842,'用語辞書'!$A:$B,COLUMN('用語辞書'!B$1),FALSE),
IF(_xlpm.v=0,"",_xlpm.v)
),"")</f>
        <v/>
      </c>
      <c r="K842" s="17"/>
      <c r="L842" s="17" t="b">
        <f>IF(OR(COUNTIF('クラス'!$A$1:$A$1267,$B842)&gt;0,$B842="",$M842=""),"",True)</f>
        <v>1</v>
      </c>
      <c r="M842" s="1" t="str">
        <f t="shared" si="21"/>
        <v>存在しない</v>
      </c>
      <c r="N842" s="1" t="s">
        <v>29</v>
      </c>
      <c r="O842" s="1"/>
      <c r="P842" s="11"/>
      <c r="Q842" s="11"/>
      <c r="R842" s="11"/>
      <c r="S842" s="11"/>
      <c r="T842" s="1"/>
      <c r="U842" s="1"/>
      <c r="V842" s="1"/>
      <c r="W842" s="1"/>
      <c r="X842" s="1"/>
      <c r="Y842" s="1"/>
      <c r="Z842" s="1"/>
    </row>
    <row r="843" ht="18.0" customHeight="1" outlineLevel="2">
      <c r="A843" s="1">
        <v>10.0</v>
      </c>
      <c r="B843" s="26" t="s">
        <v>1354</v>
      </c>
      <c r="C843" s="1"/>
      <c r="D843" s="1"/>
      <c r="E843" s="29" t="s">
        <v>55</v>
      </c>
      <c r="F843" s="15"/>
      <c r="G843" s="16"/>
      <c r="H843" s="22" t="s">
        <v>1355</v>
      </c>
      <c r="I843" s="7"/>
      <c r="J843" s="7" t="str">
        <f>IFERROR(LET(_xlpm.v,
VLOOKUP($I843,'用語辞書'!$A:$B,COLUMN('用語辞書'!B$1),FALSE),
IF(_xlpm.v=0,"",_xlpm.v)
),"")</f>
        <v/>
      </c>
      <c r="K843" s="17"/>
      <c r="L843" s="17" t="b">
        <f>IF(OR(COUNTIF('クラス'!$A$1:$A$1267,$B843)&gt;0,$B843="",$M843=""),"",True)</f>
        <v>1</v>
      </c>
      <c r="M843" s="1" t="str">
        <f t="shared" si="21"/>
        <v>存在しない</v>
      </c>
      <c r="N843" s="1" t="s">
        <v>29</v>
      </c>
      <c r="O843" s="1"/>
      <c r="P843" s="11"/>
      <c r="Q843" s="11"/>
      <c r="R843" s="11"/>
      <c r="S843" s="11"/>
      <c r="T843" s="1"/>
      <c r="U843" s="1"/>
      <c r="V843" s="1"/>
      <c r="W843" s="1"/>
      <c r="X843" s="1"/>
      <c r="Y843" s="1"/>
      <c r="Z843" s="1"/>
    </row>
    <row r="844" ht="18.0" customHeight="1" outlineLevel="2">
      <c r="A844" s="1"/>
      <c r="B844" s="1"/>
      <c r="C844" s="1"/>
      <c r="D844" s="1"/>
      <c r="E844" s="14"/>
      <c r="F844" s="15"/>
      <c r="G844" s="16"/>
      <c r="H844" s="11"/>
      <c r="I844" s="7"/>
      <c r="J844" s="7" t="str">
        <f>IFERROR(LET(_xlpm.v,
VLOOKUP($I844,'用語辞書'!$A:$B,COLUMN('用語辞書'!B$1),FALSE),
IF(_xlpm.v=0,"",_xlpm.v)
),"")</f>
        <v/>
      </c>
      <c r="K844" s="17"/>
      <c r="L844" s="17" t="str">
        <f>IF(OR(COUNTIF('クラス'!$A$1:$A$1267,$B844)&gt;0,$B844="",$M844=""),"",True)</f>
        <v/>
      </c>
      <c r="M844" s="1" t="str">
        <f t="shared" si="21"/>
        <v>存在しない</v>
      </c>
      <c r="N844" s="1" t="s">
        <v>29</v>
      </c>
      <c r="O844" s="1"/>
      <c r="P844" s="11"/>
      <c r="Q844" s="11"/>
      <c r="R844" s="11"/>
      <c r="S844" s="11"/>
      <c r="T844" s="1"/>
      <c r="U844" s="1"/>
      <c r="V844" s="1"/>
      <c r="W844" s="1"/>
      <c r="X844" s="1"/>
      <c r="Y844" s="1"/>
      <c r="Z844" s="1"/>
    </row>
    <row r="845" ht="18.0" customHeight="1" outlineLevel="1" collapsed="1">
      <c r="A845" s="1"/>
      <c r="B845" s="1"/>
      <c r="C845" s="1"/>
      <c r="D845" s="1"/>
      <c r="E845" s="14"/>
      <c r="F845" s="15"/>
      <c r="G845" s="16"/>
      <c r="H845" s="11"/>
      <c r="I845" s="7"/>
      <c r="J845" s="7" t="str">
        <f>IFERROR(LET(_xlpm.v,
VLOOKUP($I845,'用語辞書'!$A:$B,COLUMN('用語辞書'!B$1),FALSE),
IF(_xlpm.v=0,"",_xlpm.v)
),"")</f>
        <v/>
      </c>
      <c r="K845" s="17"/>
      <c r="L845" s="17" t="str">
        <f>IF(OR(COUNTIF('クラス'!$A$1:$A$1267,$B845)&gt;0,$B845="",$M845=""),"",True)</f>
        <v/>
      </c>
      <c r="M845" s="1" t="str">
        <f t="shared" si="21"/>
        <v>存在しない</v>
      </c>
      <c r="N845" s="1" t="s">
        <v>29</v>
      </c>
      <c r="O845" s="1"/>
      <c r="P845" s="11"/>
      <c r="Q845" s="11"/>
      <c r="R845" s="11"/>
      <c r="S845" s="11"/>
      <c r="T845" s="1"/>
      <c r="U845" s="1"/>
      <c r="V845" s="1"/>
      <c r="W845" s="1"/>
      <c r="X845" s="1"/>
      <c r="Y845" s="1"/>
      <c r="Z845" s="1"/>
    </row>
    <row r="846" ht="18.0" customHeight="1" outlineLevel="1">
      <c r="A846" s="1"/>
      <c r="B846" s="1"/>
      <c r="C846" s="26" t="s">
        <v>1356</v>
      </c>
      <c r="D846" s="1"/>
      <c r="E846" s="14"/>
      <c r="F846" s="15"/>
      <c r="G846" s="16"/>
      <c r="H846" s="11"/>
      <c r="I846" s="7"/>
      <c r="J846" s="7" t="str">
        <f>IFERROR(LET(_xlpm.v,
VLOOKUP($I846,'用語辞書'!$A:$B,COLUMN('用語辞書'!B$1),FALSE),
IF(_xlpm.v=0,"",_xlpm.v)
),"")</f>
        <v/>
      </c>
      <c r="K846" s="17"/>
      <c r="L846" s="17" t="str">
        <f>IF(OR(COUNTIF('クラス'!$A$1:$A$1267,$B846)&gt;0,$B846="",$M846=""),"",True)</f>
        <v/>
      </c>
      <c r="M846" s="1" t="str">
        <f t="shared" si="21"/>
        <v>存在しない</v>
      </c>
      <c r="N846" s="1" t="s">
        <v>29</v>
      </c>
      <c r="O846" s="1"/>
      <c r="P846" s="11"/>
      <c r="Q846" s="11"/>
      <c r="R846" s="11"/>
      <c r="S846" s="11"/>
      <c r="T846" s="1"/>
      <c r="U846" s="1"/>
      <c r="V846" s="1"/>
      <c r="W846" s="1"/>
      <c r="X846" s="1"/>
      <c r="Y846" s="1"/>
      <c r="Z846" s="1"/>
    </row>
    <row r="847" ht="18.0" customHeight="1" outlineLevel="1">
      <c r="A847" s="1"/>
      <c r="B847" s="26" t="s">
        <v>1357</v>
      </c>
      <c r="C847" s="1"/>
      <c r="D847" s="1"/>
      <c r="E847" s="14"/>
      <c r="F847" s="15"/>
      <c r="G847" s="16"/>
      <c r="H847" s="11"/>
      <c r="I847" s="7"/>
      <c r="J847" s="7" t="str">
        <f>IFERROR(LET(_xlpm.v,
VLOOKUP($I847,'用語辞書'!$A:$B,COLUMN('用語辞書'!B$1),FALSE),
IF(_xlpm.v=0,"",_xlpm.v)
),"")</f>
        <v/>
      </c>
      <c r="K847" s="17"/>
      <c r="L847" s="17" t="str">
        <f>IF(OR(COUNTIF('クラス'!$A$1:$A$1267,$B847)&gt;0,$B847="",$M847=""),"",True)</f>
        <v/>
      </c>
      <c r="M847" s="1" t="str">
        <f t="shared" si="21"/>
        <v>存在しない</v>
      </c>
      <c r="N847" s="1" t="s">
        <v>29</v>
      </c>
      <c r="O847" s="1"/>
      <c r="P847" s="11"/>
      <c r="Q847" s="11"/>
      <c r="R847" s="11"/>
      <c r="S847" s="11"/>
      <c r="T847" s="1"/>
      <c r="U847" s="1"/>
      <c r="V847" s="1"/>
      <c r="W847" s="1"/>
      <c r="X847" s="1"/>
      <c r="Y847" s="1"/>
      <c r="Z847" s="1"/>
    </row>
    <row r="848" ht="18.0" customHeight="1" outlineLevel="1">
      <c r="A848" s="26">
        <v>1.0</v>
      </c>
      <c r="B848" s="26" t="s">
        <v>1358</v>
      </c>
      <c r="C848" s="1"/>
      <c r="D848" s="26" t="s">
        <v>644</v>
      </c>
      <c r="E848" s="29" t="s">
        <v>33</v>
      </c>
      <c r="F848" s="15"/>
      <c r="G848" s="30">
        <v>50.0</v>
      </c>
      <c r="H848" s="22" t="s">
        <v>1359</v>
      </c>
      <c r="I848" s="7"/>
      <c r="J848" s="7" t="str">
        <f>IFERROR(LET(_xlpm.v,
VLOOKUP($I848,'用語辞書'!$A:$B,COLUMN('用語辞書'!B$1),FALSE),
IF(_xlpm.v=0,"",_xlpm.v)
),"")</f>
        <v/>
      </c>
      <c r="K848" s="17"/>
      <c r="L848" s="17" t="b">
        <f>IF(OR(COUNTIF('クラス'!$A$1:$A$1267,$B848)&gt;0,$B848="",$M848=""),"",True)</f>
        <v>1</v>
      </c>
      <c r="M848" s="1" t="str">
        <f t="shared" si="21"/>
        <v>存在しない</v>
      </c>
      <c r="N848" s="1" t="s">
        <v>29</v>
      </c>
      <c r="O848" s="1"/>
      <c r="P848" s="11"/>
      <c r="Q848" s="11"/>
      <c r="R848" s="11"/>
      <c r="S848" s="11"/>
      <c r="T848" s="1"/>
      <c r="U848" s="1"/>
      <c r="V848" s="1"/>
      <c r="W848" s="1"/>
      <c r="X848" s="1"/>
      <c r="Y848" s="1"/>
      <c r="Z848" s="1"/>
    </row>
    <row r="849" ht="18.0" customHeight="1" outlineLevel="1">
      <c r="A849" s="26">
        <v>2.0</v>
      </c>
      <c r="B849" s="1"/>
      <c r="C849" s="1"/>
      <c r="D849" s="1"/>
      <c r="E849" s="14"/>
      <c r="F849" s="15"/>
      <c r="G849" s="16"/>
      <c r="H849" s="11"/>
      <c r="I849" s="7"/>
      <c r="J849" s="7" t="str">
        <f>IFERROR(LET(_xlpm.v,
VLOOKUP($I849,'用語辞書'!$A:$B,COLUMN('用語辞書'!B$1),FALSE),
IF(_xlpm.v=0,"",_xlpm.v)
),"")</f>
        <v/>
      </c>
      <c r="K849" s="17"/>
      <c r="L849" s="17" t="str">
        <f>IF(OR(COUNTIF('クラス'!$A$1:$A$1267,$B849)&gt;0,$B849="",$M849=""),"",True)</f>
        <v/>
      </c>
      <c r="M849" s="1" t="str">
        <f t="shared" si="21"/>
        <v>存在しない</v>
      </c>
      <c r="N849" s="1" t="s">
        <v>29</v>
      </c>
      <c r="O849" s="1"/>
      <c r="P849" s="11"/>
      <c r="Q849" s="11"/>
      <c r="R849" s="11"/>
      <c r="S849" s="11"/>
      <c r="T849" s="1"/>
      <c r="U849" s="1"/>
      <c r="V849" s="1"/>
      <c r="W849" s="1"/>
      <c r="X849" s="1"/>
      <c r="Y849" s="1"/>
      <c r="Z849" s="1"/>
    </row>
    <row r="850" ht="18.0" customHeight="1" outlineLevel="1">
      <c r="A850" s="26">
        <v>3.0</v>
      </c>
      <c r="B850" s="26" t="s">
        <v>1360</v>
      </c>
      <c r="C850" s="1"/>
      <c r="D850" s="1"/>
      <c r="E850" s="29" t="s">
        <v>33</v>
      </c>
      <c r="F850" s="15"/>
      <c r="G850" s="30">
        <v>50.0</v>
      </c>
      <c r="H850" s="22" t="s">
        <v>1361</v>
      </c>
      <c r="I850" s="7"/>
      <c r="J850" s="7" t="str">
        <f>IFERROR(LET(_xlpm.v,
VLOOKUP($I850,'用語辞書'!$A:$B,COLUMN('用語辞書'!B$1),FALSE),
IF(_xlpm.v=0,"",_xlpm.v)
),"")</f>
        <v/>
      </c>
      <c r="K850" s="17"/>
      <c r="L850" s="17" t="b">
        <f>IF(OR(COUNTIF('クラス'!$A$1:$A$1267,$B850)&gt;0,$B850="",$M850=""),"",True)</f>
        <v>1</v>
      </c>
      <c r="M850" s="1" t="str">
        <f t="shared" si="21"/>
        <v>存在しない</v>
      </c>
      <c r="N850" s="1" t="s">
        <v>29</v>
      </c>
      <c r="O850" s="1"/>
      <c r="P850" s="11"/>
      <c r="Q850" s="11"/>
      <c r="R850" s="11"/>
      <c r="S850" s="11"/>
      <c r="T850" s="1"/>
      <c r="U850" s="1"/>
      <c r="V850" s="1"/>
      <c r="W850" s="1"/>
      <c r="X850" s="1"/>
      <c r="Y850" s="1"/>
      <c r="Z850" s="1"/>
    </row>
    <row r="851" ht="18.0" customHeight="1" outlineLevel="1">
      <c r="A851" s="26">
        <v>4.0</v>
      </c>
      <c r="B851" s="1"/>
      <c r="C851" s="1"/>
      <c r="D851" s="1"/>
      <c r="E851" s="14"/>
      <c r="F851" s="15"/>
      <c r="G851" s="16"/>
      <c r="H851" s="11"/>
      <c r="I851" s="7"/>
      <c r="J851" s="7" t="str">
        <f>IFERROR(LET(_xlpm.v,
VLOOKUP($I851,'用語辞書'!$A:$B,COLUMN('用語辞書'!B$1),FALSE),
IF(_xlpm.v=0,"",_xlpm.v)
),"")</f>
        <v/>
      </c>
      <c r="K851" s="17"/>
      <c r="L851" s="17" t="str">
        <f>IF(OR(COUNTIF('クラス'!$A$1:$A$1267,$B851)&gt;0,$B851="",$M851=""),"",True)</f>
        <v/>
      </c>
      <c r="M851" s="1" t="str">
        <f t="shared" si="21"/>
        <v>存在しない</v>
      </c>
      <c r="N851" s="1" t="s">
        <v>29</v>
      </c>
      <c r="O851" s="1"/>
      <c r="P851" s="11"/>
      <c r="Q851" s="11"/>
      <c r="R851" s="11"/>
      <c r="S851" s="11"/>
      <c r="T851" s="1"/>
      <c r="U851" s="1"/>
      <c r="V851" s="1"/>
      <c r="W851" s="1"/>
      <c r="X851" s="1"/>
      <c r="Y851" s="1"/>
      <c r="Z851" s="1"/>
    </row>
    <row r="852" ht="18.0" customHeight="1" outlineLevel="1">
      <c r="A852" s="26">
        <v>5.0</v>
      </c>
      <c r="B852" s="26" t="s">
        <v>1362</v>
      </c>
      <c r="C852" s="1"/>
      <c r="D852" s="26" t="s">
        <v>644</v>
      </c>
      <c r="E852" s="29" t="s">
        <v>33</v>
      </c>
      <c r="F852" s="15"/>
      <c r="G852" s="30">
        <v>60.0</v>
      </c>
      <c r="H852" s="22" t="s">
        <v>1363</v>
      </c>
      <c r="I852" s="7"/>
      <c r="J852" s="7" t="str">
        <f>IFERROR(LET(_xlpm.v,
VLOOKUP($I852,'用語辞書'!$A:$B,COLUMN('用語辞書'!B$1),FALSE),
IF(_xlpm.v=0,"",_xlpm.v)
),"")</f>
        <v/>
      </c>
      <c r="K852" s="17"/>
      <c r="L852" s="17" t="b">
        <f>IF(OR(COUNTIF('クラス'!$A$1:$A$1267,$B852)&gt;0,$B852="",$M852=""),"",True)</f>
        <v>1</v>
      </c>
      <c r="M852" s="1" t="str">
        <f t="shared" si="21"/>
        <v>存在しない</v>
      </c>
      <c r="N852" s="1" t="s">
        <v>29</v>
      </c>
      <c r="O852" s="1"/>
      <c r="P852" s="11"/>
      <c r="Q852" s="11"/>
      <c r="R852" s="11"/>
      <c r="S852" s="11"/>
      <c r="T852" s="1"/>
      <c r="U852" s="1"/>
      <c r="V852" s="1"/>
      <c r="W852" s="1"/>
      <c r="X852" s="1"/>
      <c r="Y852" s="1"/>
      <c r="Z852" s="1"/>
    </row>
    <row r="853" ht="18.0" customHeight="1" outlineLevel="1">
      <c r="A853" s="26">
        <v>6.0</v>
      </c>
      <c r="B853" s="1"/>
      <c r="C853" s="1"/>
      <c r="D853" s="1"/>
      <c r="E853" s="14"/>
      <c r="F853" s="15"/>
      <c r="G853" s="16"/>
      <c r="H853" s="11"/>
      <c r="I853" s="7"/>
      <c r="J853" s="7" t="str">
        <f>IFERROR(LET(_xlpm.v,
VLOOKUP($I853,'用語辞書'!$A:$B,COLUMN('用語辞書'!B$1),FALSE),
IF(_xlpm.v=0,"",_xlpm.v)
),"")</f>
        <v/>
      </c>
      <c r="K853" s="17"/>
      <c r="L853" s="17" t="str">
        <f>IF(OR(COUNTIF('クラス'!$A$1:$A$1267,$B853)&gt;0,$B853="",$M853=""),"",True)</f>
        <v/>
      </c>
      <c r="M853" s="1" t="str">
        <f t="shared" si="21"/>
        <v>存在しない</v>
      </c>
      <c r="N853" s="1" t="s">
        <v>29</v>
      </c>
      <c r="O853" s="1"/>
      <c r="P853" s="11"/>
      <c r="Q853" s="11"/>
      <c r="R853" s="11"/>
      <c r="S853" s="11"/>
      <c r="T853" s="1"/>
      <c r="U853" s="1"/>
      <c r="V853" s="1"/>
      <c r="W853" s="1"/>
      <c r="X853" s="1"/>
      <c r="Y853" s="1"/>
      <c r="Z853" s="1"/>
    </row>
    <row r="854" ht="18.0" customHeight="1" outlineLevel="1">
      <c r="A854" s="26">
        <v>7.0</v>
      </c>
      <c r="B854" s="26" t="s">
        <v>1364</v>
      </c>
      <c r="C854" s="1"/>
      <c r="D854" s="1"/>
      <c r="E854" s="29" t="s">
        <v>55</v>
      </c>
      <c r="F854" s="15"/>
      <c r="G854" s="30"/>
      <c r="H854" s="22" t="s">
        <v>1365</v>
      </c>
      <c r="I854" s="7"/>
      <c r="J854" s="7" t="str">
        <f>IFERROR(LET(_xlpm.v,
VLOOKUP($I854,'用語辞書'!$A:$B,COLUMN('用語辞書'!B$1),FALSE),
IF(_xlpm.v=0,"",_xlpm.v)
),"")</f>
        <v/>
      </c>
      <c r="K854" s="17"/>
      <c r="L854" s="17" t="b">
        <f>IF(OR(COUNTIF('クラス'!$A$1:$A$1267,$B854)&gt;0,$B854="",$M854=""),"",True)</f>
        <v>1</v>
      </c>
      <c r="M854" s="1" t="str">
        <f t="shared" si="21"/>
        <v>存在しない</v>
      </c>
      <c r="N854" s="1" t="s">
        <v>29</v>
      </c>
      <c r="O854" s="1"/>
      <c r="P854" s="11"/>
      <c r="Q854" s="11"/>
      <c r="R854" s="11"/>
      <c r="S854" s="11"/>
      <c r="T854" s="1"/>
      <c r="U854" s="1"/>
      <c r="V854" s="1"/>
      <c r="W854" s="1"/>
      <c r="X854" s="1"/>
      <c r="Y854" s="1"/>
      <c r="Z854" s="1"/>
    </row>
    <row r="855" ht="18.0" customHeight="1" outlineLevel="1">
      <c r="A855" s="26">
        <v>8.0</v>
      </c>
      <c r="B855" s="1"/>
      <c r="C855" s="1"/>
      <c r="D855" s="1"/>
      <c r="E855" s="14"/>
      <c r="F855" s="15"/>
      <c r="G855" s="16"/>
      <c r="H855" s="11"/>
      <c r="I855" s="7"/>
      <c r="J855" s="7" t="str">
        <f>IFERROR(LET(_xlpm.v,
VLOOKUP($I855,'用語辞書'!$A:$B,COLUMN('用語辞書'!B$1),FALSE),
IF(_xlpm.v=0,"",_xlpm.v)
),"")</f>
        <v/>
      </c>
      <c r="K855" s="17"/>
      <c r="L855" s="17" t="str">
        <f>IF(OR(COUNTIF('クラス'!$A$1:$A$1267,$B855)&gt;0,$B855="",$M855=""),"",True)</f>
        <v/>
      </c>
      <c r="M855" s="1" t="str">
        <f t="shared" si="21"/>
        <v>存在しない</v>
      </c>
      <c r="N855" s="1" t="s">
        <v>29</v>
      </c>
      <c r="O855" s="1"/>
      <c r="P855" s="11"/>
      <c r="Q855" s="11"/>
      <c r="R855" s="11"/>
      <c r="S855" s="11"/>
      <c r="T855" s="1"/>
      <c r="U855" s="1"/>
      <c r="V855" s="1"/>
      <c r="W855" s="1"/>
      <c r="X855" s="1"/>
      <c r="Y855" s="1"/>
      <c r="Z855" s="1"/>
    </row>
    <row r="856" ht="18.0" customHeight="1" outlineLevel="1">
      <c r="A856" s="26">
        <v>9.0</v>
      </c>
      <c r="B856" s="26" t="s">
        <v>1366</v>
      </c>
      <c r="C856" s="1"/>
      <c r="D856" s="1"/>
      <c r="E856" s="29" t="s">
        <v>55</v>
      </c>
      <c r="F856" s="15"/>
      <c r="G856" s="16"/>
      <c r="H856" s="22" t="s">
        <v>1367</v>
      </c>
      <c r="I856" s="7"/>
      <c r="J856" s="7" t="str">
        <f>IFERROR(LET(_xlpm.v,
VLOOKUP($I856,'用語辞書'!$A:$B,COLUMN('用語辞書'!B$1),FALSE),
IF(_xlpm.v=0,"",_xlpm.v)
),"")</f>
        <v/>
      </c>
      <c r="K856" s="17"/>
      <c r="L856" s="17" t="b">
        <f>IF(OR(COUNTIF('クラス'!$A$1:$A$1267,$B856)&gt;0,$B856="",$M856=""),"",True)</f>
        <v>1</v>
      </c>
      <c r="M856" s="1" t="str">
        <f t="shared" si="21"/>
        <v>存在しない</v>
      </c>
      <c r="N856" s="1" t="s">
        <v>29</v>
      </c>
      <c r="O856" s="1"/>
      <c r="P856" s="11"/>
      <c r="Q856" s="11"/>
      <c r="R856" s="11"/>
      <c r="S856" s="11"/>
      <c r="T856" s="1"/>
      <c r="U856" s="1"/>
      <c r="V856" s="1"/>
      <c r="W856" s="1"/>
      <c r="X856" s="1"/>
      <c r="Y856" s="1"/>
      <c r="Z856" s="1"/>
    </row>
    <row r="857" ht="18.0" customHeight="1" outlineLevel="1">
      <c r="A857" s="26">
        <v>10.0</v>
      </c>
      <c r="B857" s="26" t="s">
        <v>1368</v>
      </c>
      <c r="C857" s="1"/>
      <c r="D857" s="1"/>
      <c r="E857" s="29" t="s">
        <v>33</v>
      </c>
      <c r="F857" s="15"/>
      <c r="G857" s="30">
        <v>70.0</v>
      </c>
      <c r="H857" s="22" t="s">
        <v>1369</v>
      </c>
      <c r="I857" s="32"/>
      <c r="J857" s="7" t="str">
        <f>IFERROR(LET(_xlpm.v,
VLOOKUP($I857,'用語辞書'!$A:$B,COLUMN('用語辞書'!B$1),FALSE),
IF(_xlpm.v=0,"",_xlpm.v)
),"")</f>
        <v/>
      </c>
      <c r="K857" s="17"/>
      <c r="L857" s="17" t="b">
        <f>IF(OR(COUNTIF('クラス'!$A$1:$A$1267,$B857)&gt;0,$B857="",$M857=""),"",True)</f>
        <v>1</v>
      </c>
      <c r="M857" s="1" t="str">
        <f t="shared" si="21"/>
        <v>存在しない</v>
      </c>
      <c r="N857" s="1" t="s">
        <v>29</v>
      </c>
      <c r="O857" s="1"/>
      <c r="P857" s="11"/>
      <c r="Q857" s="11"/>
      <c r="R857" s="11"/>
      <c r="S857" s="11"/>
      <c r="T857" s="1"/>
      <c r="U857" s="1"/>
      <c r="V857" s="1"/>
      <c r="W857" s="1"/>
      <c r="X857" s="1"/>
      <c r="Y857" s="1"/>
      <c r="Z857" s="1"/>
    </row>
    <row r="858" ht="18.0" customHeight="1" outlineLevel="1">
      <c r="A858" s="1"/>
      <c r="B858" s="1"/>
      <c r="C858" s="1"/>
      <c r="D858" s="1"/>
      <c r="E858" s="14"/>
      <c r="F858" s="15"/>
      <c r="G858" s="16"/>
      <c r="H858" s="11"/>
      <c r="I858" s="7"/>
      <c r="J858" s="7" t="str">
        <f>IFERROR(LET(_xlpm.v,
VLOOKUP($I858,'用語辞書'!$A:$B,COLUMN('用語辞書'!B$1),FALSE),
IF(_xlpm.v=0,"",_xlpm.v)
),"")</f>
        <v/>
      </c>
      <c r="K858" s="17"/>
      <c r="L858" s="17" t="str">
        <f>IF(OR(COUNTIF('クラス'!$A$1:$A$1267,$B858)&gt;0,$B858="",$M858=""),"",True)</f>
        <v/>
      </c>
      <c r="M858" s="1" t="str">
        <f t="shared" si="21"/>
        <v>存在しない</v>
      </c>
      <c r="N858" s="1" t="s">
        <v>29</v>
      </c>
      <c r="O858" s="1"/>
      <c r="P858" s="11"/>
      <c r="Q858" s="11"/>
      <c r="R858" s="11"/>
      <c r="S858" s="11"/>
      <c r="T858" s="1"/>
      <c r="U858" s="1"/>
      <c r="V858" s="1"/>
      <c r="W858" s="1"/>
      <c r="X858" s="1"/>
      <c r="Y858" s="1"/>
      <c r="Z858" s="1"/>
    </row>
    <row r="859" ht="18.0" customHeight="1" outlineLevel="1">
      <c r="A859" s="1"/>
      <c r="B859" s="1"/>
      <c r="C859" s="1"/>
      <c r="D859" s="1"/>
      <c r="E859" s="14"/>
      <c r="F859" s="15"/>
      <c r="G859" s="16"/>
      <c r="H859" s="11"/>
      <c r="I859" s="7"/>
      <c r="J859" s="7" t="str">
        <f>IFERROR(LET(_xlpm.v,
VLOOKUP($I859,'用語辞書'!$A:$B,COLUMN('用語辞書'!B$1),FALSE),
IF(_xlpm.v=0,"",_xlpm.v)
),"")</f>
        <v/>
      </c>
      <c r="K859" s="17"/>
      <c r="L859" s="17" t="str">
        <f>IF(OR(COUNTIF('クラス'!$A$1:$A$1267,$B859)&gt;0,$B859="",$M859=""),"",True)</f>
        <v/>
      </c>
      <c r="M859" s="1" t="str">
        <f t="shared" si="21"/>
        <v>存在しない</v>
      </c>
      <c r="N859" s="1" t="s">
        <v>29</v>
      </c>
      <c r="O859" s="1"/>
      <c r="P859" s="11"/>
      <c r="Q859" s="11"/>
      <c r="R859" s="11"/>
      <c r="S859" s="11"/>
      <c r="T859" s="1"/>
      <c r="U859" s="1"/>
      <c r="V859" s="1"/>
      <c r="W859" s="1"/>
      <c r="X859" s="1"/>
      <c r="Y859" s="1"/>
      <c r="Z859" s="1"/>
    </row>
    <row r="860" ht="18.0" customHeight="1" outlineLevel="1">
      <c r="A860" s="1"/>
      <c r="B860" s="26" t="s">
        <v>1370</v>
      </c>
      <c r="C860" s="1"/>
      <c r="D860" s="1"/>
      <c r="E860" s="14"/>
      <c r="F860" s="15"/>
      <c r="G860" s="16"/>
      <c r="H860" s="11"/>
      <c r="I860" s="7"/>
      <c r="J860" s="7" t="str">
        <f>IFERROR(LET(_xlpm.v,
VLOOKUP($I860,'用語辞書'!$A:$B,COLUMN('用語辞書'!B$1),FALSE),
IF(_xlpm.v=0,"",_xlpm.v)
),"")</f>
        <v/>
      </c>
      <c r="K860" s="17"/>
      <c r="L860" s="17" t="str">
        <f>IF(OR(COUNTIF('クラス'!$A$1:$A$1267,$B860)&gt;0,$B860="",$M860=""),"",True)</f>
        <v/>
      </c>
      <c r="M860" s="1" t="str">
        <f t="shared" si="21"/>
        <v>存在しない</v>
      </c>
      <c r="N860" s="1" t="s">
        <v>29</v>
      </c>
      <c r="O860" s="1"/>
      <c r="P860" s="11"/>
      <c r="Q860" s="11"/>
      <c r="R860" s="11"/>
      <c r="S860" s="11"/>
      <c r="T860" s="1"/>
      <c r="U860" s="1"/>
      <c r="V860" s="1"/>
      <c r="W860" s="1"/>
      <c r="X860" s="1"/>
      <c r="Y860" s="1"/>
      <c r="Z860" s="1"/>
    </row>
    <row r="861" ht="18.0" customHeight="1" outlineLevel="1">
      <c r="A861" s="26">
        <v>1.0</v>
      </c>
      <c r="B861" s="26" t="s">
        <v>1371</v>
      </c>
      <c r="C861" s="1"/>
      <c r="D861" s="26" t="s">
        <v>370</v>
      </c>
      <c r="E861" s="29" t="s">
        <v>33</v>
      </c>
      <c r="F861" s="15"/>
      <c r="G861" s="30">
        <v>50.0</v>
      </c>
      <c r="H861" s="22" t="s">
        <v>1372</v>
      </c>
      <c r="I861" s="7"/>
      <c r="J861" s="7" t="str">
        <f>IFERROR(LET(_xlpm.v,
VLOOKUP($I861,'用語辞書'!$A:$B,COLUMN('用語辞書'!B$1),FALSE),
IF(_xlpm.v=0,"",_xlpm.v)
),"")</f>
        <v/>
      </c>
      <c r="K861" s="17"/>
      <c r="L861" s="17" t="b">
        <f>IF(OR(COUNTIF('クラス'!$A$1:$A$1267,$B861)&gt;0,$B861="",$M861=""),"",True)</f>
        <v>1</v>
      </c>
      <c r="M861" s="1" t="str">
        <f t="shared" si="21"/>
        <v>存在しない</v>
      </c>
      <c r="N861" s="1" t="s">
        <v>29</v>
      </c>
      <c r="O861" s="1"/>
      <c r="P861" s="11"/>
      <c r="Q861" s="11"/>
      <c r="R861" s="11"/>
      <c r="S861" s="11"/>
      <c r="T861" s="1"/>
      <c r="U861" s="1"/>
      <c r="V861" s="1"/>
      <c r="W861" s="1"/>
      <c r="X861" s="1"/>
      <c r="Y861" s="1"/>
      <c r="Z861" s="1"/>
    </row>
    <row r="862" ht="18.0" customHeight="1" outlineLevel="1">
      <c r="A862" s="26">
        <v>2.0</v>
      </c>
      <c r="B862" s="1"/>
      <c r="C862" s="1"/>
      <c r="D862" s="1"/>
      <c r="E862" s="14"/>
      <c r="F862" s="15"/>
      <c r="G862" s="16"/>
      <c r="H862" s="11"/>
      <c r="I862" s="7"/>
      <c r="J862" s="7" t="str">
        <f>IFERROR(LET(_xlpm.v,
VLOOKUP($I862,'用語辞書'!$A:$B,COLUMN('用語辞書'!B$1),FALSE),
IF(_xlpm.v=0,"",_xlpm.v)
),"")</f>
        <v/>
      </c>
      <c r="K862" s="17"/>
      <c r="L862" s="17" t="str">
        <f>IF(OR(COUNTIF('クラス'!$A$1:$A$1267,$B862)&gt;0,$B862="",$M862=""),"",True)</f>
        <v/>
      </c>
      <c r="M862" s="1" t="str">
        <f t="shared" si="21"/>
        <v>存在しない</v>
      </c>
      <c r="N862" s="1" t="s">
        <v>29</v>
      </c>
      <c r="O862" s="1"/>
      <c r="P862" s="11"/>
      <c r="Q862" s="11"/>
      <c r="R862" s="11"/>
      <c r="S862" s="11"/>
      <c r="T862" s="1"/>
      <c r="U862" s="1"/>
      <c r="V862" s="1"/>
      <c r="W862" s="1"/>
      <c r="X862" s="1"/>
      <c r="Y862" s="1"/>
      <c r="Z862" s="1"/>
    </row>
    <row r="863" ht="18.0" customHeight="1" outlineLevel="1">
      <c r="A863" s="26">
        <v>3.0</v>
      </c>
      <c r="B863" s="26" t="s">
        <v>1373</v>
      </c>
      <c r="C863" s="1"/>
      <c r="D863" s="26" t="s">
        <v>716</v>
      </c>
      <c r="E863" s="29" t="s">
        <v>33</v>
      </c>
      <c r="F863" s="15"/>
      <c r="G863" s="30">
        <v>60.0</v>
      </c>
      <c r="H863" s="22" t="s">
        <v>1374</v>
      </c>
      <c r="I863" s="7"/>
      <c r="J863" s="7" t="str">
        <f>IFERROR(LET(_xlpm.v,
VLOOKUP($I863,'用語辞書'!$A:$B,COLUMN('用語辞書'!B$1),FALSE),
IF(_xlpm.v=0,"",_xlpm.v)
),"")</f>
        <v/>
      </c>
      <c r="K863" s="17"/>
      <c r="L863" s="17" t="b">
        <f>IF(OR(COUNTIF('クラス'!$A$1:$A$1267,$B863)&gt;0,$B863="",$M863=""),"",True)</f>
        <v>1</v>
      </c>
      <c r="M863" s="1" t="str">
        <f t="shared" si="21"/>
        <v>存在しない</v>
      </c>
      <c r="N863" s="1" t="s">
        <v>29</v>
      </c>
      <c r="O863" s="1"/>
      <c r="P863" s="11"/>
      <c r="Q863" s="11"/>
      <c r="R863" s="11"/>
      <c r="S863" s="11"/>
      <c r="T863" s="1"/>
      <c r="U863" s="1"/>
      <c r="V863" s="1"/>
      <c r="W863" s="1"/>
      <c r="X863" s="1"/>
      <c r="Y863" s="1"/>
      <c r="Z863" s="1"/>
    </row>
    <row r="864" ht="18.0" customHeight="1" outlineLevel="1">
      <c r="A864" s="26">
        <v>4.0</v>
      </c>
      <c r="B864" s="1"/>
      <c r="C864" s="1"/>
      <c r="D864" s="1"/>
      <c r="E864" s="14"/>
      <c r="F864" s="15"/>
      <c r="G864" s="16"/>
      <c r="H864" s="11"/>
      <c r="I864" s="7"/>
      <c r="J864" s="7" t="str">
        <f>IFERROR(LET(_xlpm.v,
VLOOKUP($I864,'用語辞書'!$A:$B,COLUMN('用語辞書'!B$1),FALSE),
IF(_xlpm.v=0,"",_xlpm.v)
),"")</f>
        <v/>
      </c>
      <c r="K864" s="17"/>
      <c r="L864" s="17" t="str">
        <f>IF(OR(COUNTIF('クラス'!$A$1:$A$1267,$B864)&gt;0,$B864="",$M864=""),"",True)</f>
        <v/>
      </c>
      <c r="M864" s="1" t="str">
        <f t="shared" si="21"/>
        <v>存在しない</v>
      </c>
      <c r="N864" s="1" t="s">
        <v>29</v>
      </c>
      <c r="O864" s="1"/>
      <c r="P864" s="11"/>
      <c r="Q864" s="11"/>
      <c r="R864" s="11"/>
      <c r="S864" s="11"/>
      <c r="T864" s="1"/>
      <c r="U864" s="1"/>
      <c r="V864" s="1"/>
      <c r="W864" s="1"/>
      <c r="X864" s="1"/>
      <c r="Y864" s="1"/>
      <c r="Z864" s="1"/>
    </row>
    <row r="865" ht="18.0" customHeight="1" outlineLevel="1">
      <c r="A865" s="26">
        <v>5.0</v>
      </c>
      <c r="B865" s="26" t="s">
        <v>1375</v>
      </c>
      <c r="C865" s="1"/>
      <c r="D865" s="26"/>
      <c r="E865" s="29" t="s">
        <v>55</v>
      </c>
      <c r="F865" s="15"/>
      <c r="G865" s="30"/>
      <c r="H865" s="22" t="s">
        <v>1376</v>
      </c>
      <c r="I865" s="7"/>
      <c r="J865" s="7" t="str">
        <f>IFERROR(LET(_xlpm.v,
VLOOKUP($I865,'用語辞書'!$A:$B,COLUMN('用語辞書'!B$1),FALSE),
IF(_xlpm.v=0,"",_xlpm.v)
),"")</f>
        <v/>
      </c>
      <c r="K865" s="17"/>
      <c r="L865" s="17" t="b">
        <f>IF(OR(COUNTIF('クラス'!$A$1:$A$1267,$B865)&gt;0,$B865="",$M865=""),"",True)</f>
        <v>1</v>
      </c>
      <c r="M865" s="1" t="str">
        <f t="shared" si="21"/>
        <v>存在しない</v>
      </c>
      <c r="N865" s="1" t="s">
        <v>29</v>
      </c>
      <c r="O865" s="1"/>
      <c r="P865" s="11"/>
      <c r="Q865" s="11"/>
      <c r="R865" s="11"/>
      <c r="S865" s="11"/>
      <c r="T865" s="1"/>
      <c r="U865" s="1"/>
      <c r="V865" s="1"/>
      <c r="W865" s="1"/>
      <c r="X865" s="1"/>
      <c r="Y865" s="1"/>
      <c r="Z865" s="1"/>
    </row>
    <row r="866" ht="18.0" customHeight="1" outlineLevel="1">
      <c r="A866" s="26">
        <v>6.0</v>
      </c>
      <c r="B866" s="1"/>
      <c r="C866" s="1"/>
      <c r="D866" s="1"/>
      <c r="E866" s="14"/>
      <c r="F866" s="15"/>
      <c r="G866" s="16"/>
      <c r="H866" s="11"/>
      <c r="I866" s="7"/>
      <c r="J866" s="7" t="str">
        <f>IFERROR(LET(_xlpm.v,
VLOOKUP($I866,'用語辞書'!$A:$B,COLUMN('用語辞書'!B$1),FALSE),
IF(_xlpm.v=0,"",_xlpm.v)
),"")</f>
        <v/>
      </c>
      <c r="K866" s="17"/>
      <c r="L866" s="17" t="str">
        <f>IF(OR(COUNTIF('クラス'!$A$1:$A$1267,$B866)&gt;0,$B866="",$M866=""),"",True)</f>
        <v/>
      </c>
      <c r="M866" s="1" t="str">
        <f t="shared" si="21"/>
        <v>存在しない</v>
      </c>
      <c r="N866" s="1" t="s">
        <v>29</v>
      </c>
      <c r="O866" s="1"/>
      <c r="P866" s="11"/>
      <c r="Q866" s="11"/>
      <c r="R866" s="11"/>
      <c r="S866" s="11"/>
      <c r="T866" s="1"/>
      <c r="U866" s="1"/>
      <c r="V866" s="1"/>
      <c r="W866" s="1"/>
      <c r="X866" s="1"/>
      <c r="Y866" s="1"/>
      <c r="Z866" s="1"/>
    </row>
    <row r="867" ht="18.0" customHeight="1" outlineLevel="1">
      <c r="A867" s="26">
        <v>7.0</v>
      </c>
      <c r="B867" s="26" t="s">
        <v>1377</v>
      </c>
      <c r="C867" s="1"/>
      <c r="D867" s="1"/>
      <c r="E867" s="29" t="s">
        <v>55</v>
      </c>
      <c r="F867" s="15"/>
      <c r="G867" s="30"/>
      <c r="H867" s="22" t="s">
        <v>1378</v>
      </c>
      <c r="I867" s="7"/>
      <c r="J867" s="7" t="str">
        <f>IFERROR(LET(_xlpm.v,
VLOOKUP($I867,'用語辞書'!$A:$B,COLUMN('用語辞書'!B$1),FALSE),
IF(_xlpm.v=0,"",_xlpm.v)
),"")</f>
        <v/>
      </c>
      <c r="K867" s="17"/>
      <c r="L867" s="17" t="b">
        <f>IF(OR(COUNTIF('クラス'!$A$1:$A$1267,$B867)&gt;0,$B867="",$M867=""),"",True)</f>
        <v>1</v>
      </c>
      <c r="M867" s="1" t="str">
        <f t="shared" si="21"/>
        <v>存在しない</v>
      </c>
      <c r="N867" s="1" t="s">
        <v>29</v>
      </c>
      <c r="O867" s="1"/>
      <c r="P867" s="11"/>
      <c r="Q867" s="11"/>
      <c r="R867" s="11"/>
      <c r="S867" s="11"/>
      <c r="T867" s="1"/>
      <c r="U867" s="1"/>
      <c r="V867" s="1"/>
      <c r="W867" s="1"/>
      <c r="X867" s="1"/>
      <c r="Y867" s="1"/>
      <c r="Z867" s="1"/>
    </row>
    <row r="868" ht="18.0" customHeight="1" outlineLevel="1">
      <c r="A868" s="26">
        <v>8.0</v>
      </c>
      <c r="B868" s="1"/>
      <c r="C868" s="1"/>
      <c r="D868" s="1"/>
      <c r="E868" s="14"/>
      <c r="F868" s="15"/>
      <c r="G868" s="16"/>
      <c r="H868" s="11"/>
      <c r="I868" s="7"/>
      <c r="J868" s="7" t="str">
        <f>IFERROR(LET(_xlpm.v,
VLOOKUP($I868,'用語辞書'!$A:$B,COLUMN('用語辞書'!B$1),FALSE),
IF(_xlpm.v=0,"",_xlpm.v)
),"")</f>
        <v/>
      </c>
      <c r="K868" s="17"/>
      <c r="L868" s="17" t="str">
        <f>IF(OR(COUNTIF('クラス'!$A$1:$A$1267,$B868)&gt;0,$B868="",$M868=""),"",True)</f>
        <v/>
      </c>
      <c r="M868" s="1" t="str">
        <f t="shared" si="21"/>
        <v>存在しない</v>
      </c>
      <c r="N868" s="1" t="s">
        <v>29</v>
      </c>
      <c r="O868" s="1"/>
      <c r="P868" s="11"/>
      <c r="Q868" s="11"/>
      <c r="R868" s="11"/>
      <c r="S868" s="11"/>
      <c r="T868" s="1"/>
      <c r="U868" s="1"/>
      <c r="V868" s="1"/>
      <c r="W868" s="1"/>
      <c r="X868" s="1"/>
      <c r="Y868" s="1"/>
      <c r="Z868" s="1"/>
    </row>
    <row r="869" ht="18.0" customHeight="1" outlineLevel="1">
      <c r="A869" s="26">
        <v>9.0</v>
      </c>
      <c r="B869" s="26" t="s">
        <v>1379</v>
      </c>
      <c r="C869" s="1"/>
      <c r="D869" s="26" t="s">
        <v>716</v>
      </c>
      <c r="E869" s="29" t="s">
        <v>33</v>
      </c>
      <c r="F869" s="15"/>
      <c r="G869" s="30">
        <v>60.0</v>
      </c>
      <c r="H869" s="22" t="s">
        <v>1380</v>
      </c>
      <c r="I869" s="7"/>
      <c r="J869" s="7" t="str">
        <f>IFERROR(LET(_xlpm.v,
VLOOKUP($I869,'用語辞書'!$A:$B,COLUMN('用語辞書'!B$1),FALSE),
IF(_xlpm.v=0,"",_xlpm.v)
),"")</f>
        <v/>
      </c>
      <c r="K869" s="17"/>
      <c r="L869" s="17" t="b">
        <f>IF(OR(COUNTIF('クラス'!$A$1:$A$1267,$B869)&gt;0,$B869="",$M869=""),"",True)</f>
        <v>1</v>
      </c>
      <c r="M869" s="1" t="str">
        <f t="shared" si="21"/>
        <v>存在しない</v>
      </c>
      <c r="N869" s="1" t="s">
        <v>29</v>
      </c>
      <c r="O869" s="1"/>
      <c r="P869" s="11"/>
      <c r="Q869" s="11"/>
      <c r="R869" s="11"/>
      <c r="S869" s="11"/>
      <c r="T869" s="1"/>
      <c r="U869" s="1"/>
      <c r="V869" s="1"/>
      <c r="W869" s="1"/>
      <c r="X869" s="1"/>
      <c r="Y869" s="1"/>
      <c r="Z869" s="1"/>
    </row>
    <row r="870" ht="18.0" customHeight="1" outlineLevel="1">
      <c r="A870" s="26">
        <v>10.0</v>
      </c>
      <c r="B870" s="26" t="s">
        <v>1381</v>
      </c>
      <c r="C870" s="1"/>
      <c r="D870" s="1"/>
      <c r="E870" s="29" t="s">
        <v>33</v>
      </c>
      <c r="F870" s="15"/>
      <c r="G870" s="30">
        <v>90.0</v>
      </c>
      <c r="H870" s="22" t="s">
        <v>1382</v>
      </c>
      <c r="I870" s="32"/>
      <c r="J870" s="7" t="str">
        <f>IFERROR(LET(_xlpm.v,
VLOOKUP($I870,'用語辞書'!$A:$B,COLUMN('用語辞書'!B$1),FALSE),
IF(_xlpm.v=0,"",_xlpm.v)
),"")</f>
        <v/>
      </c>
      <c r="K870" s="17"/>
      <c r="L870" s="17" t="b">
        <f>IF(OR(COUNTIF('クラス'!$A$1:$A$1267,$B870)&gt;0,$B870="",$M870=""),"",True)</f>
        <v>1</v>
      </c>
      <c r="M870" s="1" t="str">
        <f t="shared" si="21"/>
        <v>存在しない</v>
      </c>
      <c r="N870" s="1" t="s">
        <v>29</v>
      </c>
      <c r="O870" s="1"/>
      <c r="P870" s="11"/>
      <c r="Q870" s="11"/>
      <c r="R870" s="11"/>
      <c r="S870" s="11"/>
      <c r="T870" s="1"/>
      <c r="U870" s="1"/>
      <c r="V870" s="1"/>
      <c r="W870" s="1"/>
      <c r="X870" s="1"/>
      <c r="Y870" s="1"/>
      <c r="Z870" s="1"/>
    </row>
    <row r="871" ht="18.0" customHeight="1" outlineLevel="1">
      <c r="A871" s="1"/>
      <c r="B871" s="1"/>
      <c r="C871" s="1"/>
      <c r="D871" s="1"/>
      <c r="E871" s="14"/>
      <c r="F871" s="15"/>
      <c r="G871" s="16"/>
      <c r="H871" s="11"/>
      <c r="I871" s="7"/>
      <c r="J871" s="7" t="str">
        <f>IFERROR(LET(_xlpm.v,
VLOOKUP($I871,'用語辞書'!$A:$B,COLUMN('用語辞書'!B$1),FALSE),
IF(_xlpm.v=0,"",_xlpm.v)
),"")</f>
        <v/>
      </c>
      <c r="K871" s="17"/>
      <c r="L871" s="17" t="str">
        <f>IF(OR(COUNTIF('クラス'!$A$1:$A$1267,$B871)&gt;0,$B871="",$M871=""),"",True)</f>
        <v/>
      </c>
      <c r="M871" s="1" t="str">
        <f t="shared" si="21"/>
        <v>存在しない</v>
      </c>
      <c r="N871" s="1" t="s">
        <v>29</v>
      </c>
      <c r="O871" s="1"/>
      <c r="P871" s="11"/>
      <c r="Q871" s="11"/>
      <c r="R871" s="11"/>
      <c r="S871" s="11"/>
      <c r="T871" s="1"/>
      <c r="U871" s="1"/>
      <c r="V871" s="1"/>
      <c r="W871" s="1"/>
      <c r="X871" s="1"/>
      <c r="Y871" s="1"/>
      <c r="Z871" s="1"/>
    </row>
    <row r="872" ht="18.0" customHeight="1" outlineLevel="1">
      <c r="A872" s="1"/>
      <c r="B872" s="1"/>
      <c r="C872" s="1"/>
      <c r="D872" s="1"/>
      <c r="E872" s="14"/>
      <c r="F872" s="15"/>
      <c r="G872" s="16"/>
      <c r="H872" s="11"/>
      <c r="I872" s="7"/>
      <c r="J872" s="7" t="str">
        <f>IFERROR(LET(_xlpm.v,
VLOOKUP($I872,'用語辞書'!$A:$B,COLUMN('用語辞書'!B$1),FALSE),
IF(_xlpm.v=0,"",_xlpm.v)
),"")</f>
        <v/>
      </c>
      <c r="K872" s="17"/>
      <c r="L872" s="17" t="str">
        <f>IF(OR(COUNTIF('クラス'!$A$1:$A$1267,$B872)&gt;0,$B872="",$M872=""),"",True)</f>
        <v/>
      </c>
      <c r="M872" s="1" t="str">
        <f t="shared" si="21"/>
        <v>存在しない</v>
      </c>
      <c r="N872" s="1" t="s">
        <v>29</v>
      </c>
      <c r="O872" s="1"/>
      <c r="P872" s="11"/>
      <c r="Q872" s="11"/>
      <c r="R872" s="11"/>
      <c r="S872" s="11"/>
      <c r="T872" s="1"/>
      <c r="U872" s="1"/>
      <c r="V872" s="1"/>
      <c r="W872" s="1"/>
      <c r="X872" s="1"/>
      <c r="Y872" s="1"/>
      <c r="Z872" s="1"/>
    </row>
    <row r="873" ht="18.0" customHeight="1" outlineLevel="1">
      <c r="A873" s="1"/>
      <c r="B873" s="26" t="s">
        <v>1383</v>
      </c>
      <c r="C873" s="1"/>
      <c r="D873" s="1"/>
      <c r="E873" s="14"/>
      <c r="F873" s="15"/>
      <c r="G873" s="16"/>
      <c r="H873" s="11"/>
      <c r="I873" s="7"/>
      <c r="J873" s="7" t="str">
        <f>IFERROR(LET(_xlpm.v,
VLOOKUP($I873,'用語辞書'!$A:$B,COLUMN('用語辞書'!B$1),FALSE),
IF(_xlpm.v=0,"",_xlpm.v)
),"")</f>
        <v/>
      </c>
      <c r="K873" s="17"/>
      <c r="L873" s="17" t="str">
        <f>IF(OR(COUNTIF('クラス'!$A$1:$A$1267,$B873)&gt;0,$B873="",$M873=""),"",True)</f>
        <v/>
      </c>
      <c r="M873" s="1" t="str">
        <f t="shared" si="21"/>
        <v>存在しない</v>
      </c>
      <c r="N873" s="1" t="s">
        <v>29</v>
      </c>
      <c r="O873" s="1"/>
      <c r="P873" s="11"/>
      <c r="Q873" s="11"/>
      <c r="R873" s="11"/>
      <c r="S873" s="11"/>
      <c r="T873" s="1"/>
      <c r="U873" s="1"/>
      <c r="V873" s="1"/>
      <c r="W873" s="1"/>
      <c r="X873" s="1"/>
      <c r="Y873" s="1"/>
      <c r="Z873" s="1"/>
    </row>
    <row r="874" ht="18.0" customHeight="1" outlineLevel="1">
      <c r="A874" s="26">
        <v>1.0</v>
      </c>
      <c r="B874" s="26" t="s">
        <v>1384</v>
      </c>
      <c r="C874" s="1"/>
      <c r="D874" s="1"/>
      <c r="E874" s="29" t="s">
        <v>33</v>
      </c>
      <c r="F874" s="15"/>
      <c r="G874" s="30">
        <v>50.0</v>
      </c>
      <c r="H874" s="22" t="s">
        <v>1385</v>
      </c>
      <c r="I874" s="7"/>
      <c r="J874" s="7" t="str">
        <f>IFERROR(LET(_xlpm.v,
VLOOKUP($I874,'用語辞書'!$A:$B,COLUMN('用語辞書'!B$1),FALSE),
IF(_xlpm.v=0,"",_xlpm.v)
),"")</f>
        <v/>
      </c>
      <c r="K874" s="17"/>
      <c r="L874" s="17" t="b">
        <f>IF(OR(COUNTIF('クラス'!$A$1:$A$1267,$B874)&gt;0,$B874="",$M874=""),"",True)</f>
        <v>1</v>
      </c>
      <c r="M874" s="1" t="str">
        <f t="shared" si="21"/>
        <v>存在しない</v>
      </c>
      <c r="N874" s="1" t="s">
        <v>29</v>
      </c>
      <c r="O874" s="1"/>
      <c r="P874" s="11"/>
      <c r="Q874" s="11"/>
      <c r="R874" s="11"/>
      <c r="S874" s="11"/>
      <c r="T874" s="1"/>
      <c r="U874" s="1"/>
      <c r="V874" s="1"/>
      <c r="W874" s="1"/>
      <c r="X874" s="1"/>
      <c r="Y874" s="1"/>
      <c r="Z874" s="1"/>
    </row>
    <row r="875" ht="18.0" customHeight="1" outlineLevel="1">
      <c r="A875" s="26">
        <v>2.0</v>
      </c>
      <c r="B875" s="1"/>
      <c r="C875" s="1"/>
      <c r="D875" s="1"/>
      <c r="E875" s="14"/>
      <c r="F875" s="15"/>
      <c r="G875" s="16"/>
      <c r="H875" s="11"/>
      <c r="I875" s="7"/>
      <c r="J875" s="7" t="str">
        <f>IFERROR(LET(_xlpm.v,
VLOOKUP($I875,'用語辞書'!$A:$B,COLUMN('用語辞書'!B$1),FALSE),
IF(_xlpm.v=0,"",_xlpm.v)
),"")</f>
        <v/>
      </c>
      <c r="K875" s="17"/>
      <c r="L875" s="17" t="str">
        <f>IF(OR(COUNTIF('クラス'!$A$1:$A$1267,$B875)&gt;0,$B875="",$M875=""),"",True)</f>
        <v/>
      </c>
      <c r="M875" s="1" t="str">
        <f t="shared" si="21"/>
        <v>存在しない</v>
      </c>
      <c r="N875" s="1" t="s">
        <v>29</v>
      </c>
      <c r="O875" s="1"/>
      <c r="P875" s="11"/>
      <c r="Q875" s="11"/>
      <c r="R875" s="11"/>
      <c r="S875" s="11"/>
      <c r="T875" s="1"/>
      <c r="U875" s="1"/>
      <c r="V875" s="1"/>
      <c r="W875" s="1"/>
      <c r="X875" s="1"/>
      <c r="Y875" s="1"/>
      <c r="Z875" s="1"/>
    </row>
    <row r="876" ht="18.0" customHeight="1" outlineLevel="1">
      <c r="A876" s="26">
        <v>3.0</v>
      </c>
      <c r="B876" s="26" t="s">
        <v>1386</v>
      </c>
      <c r="C876" s="1"/>
      <c r="D876" s="1"/>
      <c r="E876" s="29" t="s">
        <v>55</v>
      </c>
      <c r="F876" s="15"/>
      <c r="G876" s="16"/>
      <c r="H876" s="22" t="s">
        <v>1387</v>
      </c>
      <c r="I876" s="7"/>
      <c r="J876" s="7" t="str">
        <f>IFERROR(LET(_xlpm.v,
VLOOKUP($I876,'用語辞書'!$A:$B,COLUMN('用語辞書'!B$1),FALSE),
IF(_xlpm.v=0,"",_xlpm.v)
),"")</f>
        <v/>
      </c>
      <c r="K876" s="17"/>
      <c r="L876" s="17" t="b">
        <f>IF(OR(COUNTIF('クラス'!$A$1:$A$1267,$B876)&gt;0,$B876="",$M876=""),"",True)</f>
        <v>1</v>
      </c>
      <c r="M876" s="1" t="str">
        <f t="shared" si="21"/>
        <v>存在しない</v>
      </c>
      <c r="N876" s="1" t="s">
        <v>29</v>
      </c>
      <c r="O876" s="1"/>
      <c r="P876" s="11"/>
      <c r="Q876" s="11"/>
      <c r="R876" s="11"/>
      <c r="S876" s="11"/>
      <c r="T876" s="1"/>
      <c r="U876" s="1"/>
      <c r="V876" s="1"/>
      <c r="W876" s="1"/>
      <c r="X876" s="1"/>
      <c r="Y876" s="1"/>
      <c r="Z876" s="1"/>
    </row>
    <row r="877" ht="18.0" customHeight="1" outlineLevel="1">
      <c r="A877" s="26">
        <v>4.0</v>
      </c>
      <c r="B877" s="1"/>
      <c r="C877" s="1"/>
      <c r="D877" s="1"/>
      <c r="E877" s="14"/>
      <c r="F877" s="15"/>
      <c r="G877" s="16"/>
      <c r="H877" s="11"/>
      <c r="I877" s="7"/>
      <c r="J877" s="7" t="str">
        <f>IFERROR(LET(_xlpm.v,
VLOOKUP($I877,'用語辞書'!$A:$B,COLUMN('用語辞書'!B$1),FALSE),
IF(_xlpm.v=0,"",_xlpm.v)
),"")</f>
        <v/>
      </c>
      <c r="K877" s="17"/>
      <c r="L877" s="17" t="str">
        <f>IF(OR(COUNTIF('クラス'!$A$1:$A$1267,$B877)&gt;0,$B877="",$M877=""),"",True)</f>
        <v/>
      </c>
      <c r="M877" s="1" t="str">
        <f t="shared" si="21"/>
        <v>存在しない</v>
      </c>
      <c r="N877" s="1" t="s">
        <v>29</v>
      </c>
      <c r="O877" s="1"/>
      <c r="P877" s="11"/>
      <c r="Q877" s="11"/>
      <c r="R877" s="11"/>
      <c r="S877" s="11"/>
      <c r="T877" s="1"/>
      <c r="U877" s="1"/>
      <c r="V877" s="1"/>
      <c r="W877" s="1"/>
      <c r="X877" s="1"/>
      <c r="Y877" s="1"/>
      <c r="Z877" s="1"/>
    </row>
    <row r="878" ht="18.0" customHeight="1" outlineLevel="1">
      <c r="A878" s="26">
        <v>5.0</v>
      </c>
      <c r="B878" s="26" t="s">
        <v>1388</v>
      </c>
      <c r="C878" s="1"/>
      <c r="D878" s="26"/>
      <c r="E878" s="29" t="s">
        <v>55</v>
      </c>
      <c r="F878" s="15"/>
      <c r="G878" s="30"/>
      <c r="H878" s="22" t="s">
        <v>1389</v>
      </c>
      <c r="I878" s="7"/>
      <c r="J878" s="7" t="str">
        <f>IFERROR(LET(_xlpm.v,
VLOOKUP($I878,'用語辞書'!$A:$B,COLUMN('用語辞書'!B$1),FALSE),
IF(_xlpm.v=0,"",_xlpm.v)
),"")</f>
        <v/>
      </c>
      <c r="K878" s="17"/>
      <c r="L878" s="17" t="b">
        <f>IF(OR(COUNTIF('クラス'!$A$1:$A$1267,$B878)&gt;0,$B878="",$M878=""),"",True)</f>
        <v>1</v>
      </c>
      <c r="M878" s="1" t="str">
        <f t="shared" si="21"/>
        <v>存在しない</v>
      </c>
      <c r="N878" s="1" t="s">
        <v>29</v>
      </c>
      <c r="O878" s="1"/>
      <c r="P878" s="11"/>
      <c r="Q878" s="11"/>
      <c r="R878" s="11"/>
      <c r="S878" s="11"/>
      <c r="T878" s="1"/>
      <c r="U878" s="1"/>
      <c r="V878" s="1"/>
      <c r="W878" s="1"/>
      <c r="X878" s="1"/>
      <c r="Y878" s="1"/>
      <c r="Z878" s="1"/>
    </row>
    <row r="879" ht="18.0" customHeight="1" outlineLevel="1">
      <c r="A879" s="26">
        <v>6.0</v>
      </c>
      <c r="B879" s="1"/>
      <c r="C879" s="1"/>
      <c r="D879" s="1"/>
      <c r="E879" s="14"/>
      <c r="F879" s="15"/>
      <c r="G879" s="16"/>
      <c r="H879" s="11"/>
      <c r="I879" s="7"/>
      <c r="J879" s="7" t="str">
        <f>IFERROR(LET(_xlpm.v,
VLOOKUP($I879,'用語辞書'!$A:$B,COLUMN('用語辞書'!B$1),FALSE),
IF(_xlpm.v=0,"",_xlpm.v)
),"")</f>
        <v/>
      </c>
      <c r="K879" s="17"/>
      <c r="L879" s="17" t="str">
        <f>IF(OR(COUNTIF('クラス'!$A$1:$A$1267,$B879)&gt;0,$B879="",$M879=""),"",True)</f>
        <v/>
      </c>
      <c r="M879" s="1" t="str">
        <f t="shared" si="21"/>
        <v>存在しない</v>
      </c>
      <c r="N879" s="1" t="s">
        <v>29</v>
      </c>
      <c r="O879" s="1"/>
      <c r="P879" s="11"/>
      <c r="Q879" s="11"/>
      <c r="R879" s="11"/>
      <c r="S879" s="11"/>
      <c r="T879" s="1"/>
      <c r="U879" s="1"/>
      <c r="V879" s="1"/>
      <c r="W879" s="1"/>
      <c r="X879" s="1"/>
      <c r="Y879" s="1"/>
      <c r="Z879" s="1"/>
    </row>
    <row r="880" ht="18.0" customHeight="1" outlineLevel="1">
      <c r="A880" s="26">
        <v>7.0</v>
      </c>
      <c r="B880" s="26" t="s">
        <v>1390</v>
      </c>
      <c r="C880" s="1"/>
      <c r="D880" s="1"/>
      <c r="E880" s="29" t="s">
        <v>55</v>
      </c>
      <c r="F880" s="15"/>
      <c r="G880" s="30"/>
      <c r="H880" s="22" t="s">
        <v>1391</v>
      </c>
      <c r="I880" s="7"/>
      <c r="J880" s="7" t="str">
        <f>IFERROR(LET(_xlpm.v,
VLOOKUP($I880,'用語辞書'!$A:$B,COLUMN('用語辞書'!B$1),FALSE),
IF(_xlpm.v=0,"",_xlpm.v)
),"")</f>
        <v/>
      </c>
      <c r="K880" s="17"/>
      <c r="L880" s="17" t="b">
        <f>IF(OR(COUNTIF('クラス'!$A$1:$A$1267,$B880)&gt;0,$B880="",$M880=""),"",True)</f>
        <v>1</v>
      </c>
      <c r="M880" s="1" t="str">
        <f t="shared" si="21"/>
        <v>存在しない</v>
      </c>
      <c r="N880" s="1" t="s">
        <v>29</v>
      </c>
      <c r="O880" s="1"/>
      <c r="P880" s="11"/>
      <c r="Q880" s="11"/>
      <c r="R880" s="11"/>
      <c r="S880" s="11"/>
      <c r="T880" s="1"/>
      <c r="U880" s="1"/>
      <c r="V880" s="1"/>
      <c r="W880" s="1"/>
      <c r="X880" s="1"/>
      <c r="Y880" s="1"/>
      <c r="Z880" s="1"/>
    </row>
    <row r="881" ht="18.0" customHeight="1" outlineLevel="1">
      <c r="A881" s="26">
        <v>8.0</v>
      </c>
      <c r="B881" s="1"/>
      <c r="C881" s="1"/>
      <c r="D881" s="1"/>
      <c r="E881" s="14"/>
      <c r="F881" s="15"/>
      <c r="G881" s="16"/>
      <c r="H881" s="11"/>
      <c r="I881" s="7"/>
      <c r="J881" s="7" t="str">
        <f>IFERROR(LET(_xlpm.v,
VLOOKUP($I881,'用語辞書'!$A:$B,COLUMN('用語辞書'!B$1),FALSE),
IF(_xlpm.v=0,"",_xlpm.v)
),"")</f>
        <v/>
      </c>
      <c r="K881" s="17"/>
      <c r="L881" s="17" t="str">
        <f>IF(OR(COUNTIF('クラス'!$A$1:$A$1267,$B881)&gt;0,$B881="",$M881=""),"",True)</f>
        <v/>
      </c>
      <c r="M881" s="1" t="str">
        <f t="shared" si="21"/>
        <v>存在しない</v>
      </c>
      <c r="N881" s="1" t="s">
        <v>29</v>
      </c>
      <c r="O881" s="1"/>
      <c r="P881" s="11"/>
      <c r="Q881" s="11"/>
      <c r="R881" s="11"/>
      <c r="S881" s="11"/>
      <c r="T881" s="1"/>
      <c r="U881" s="1"/>
      <c r="V881" s="1"/>
      <c r="W881" s="1"/>
      <c r="X881" s="1"/>
      <c r="Y881" s="1"/>
      <c r="Z881" s="1"/>
    </row>
    <row r="882" ht="18.0" customHeight="1" outlineLevel="1">
      <c r="A882" s="26">
        <v>9.0</v>
      </c>
      <c r="B882" s="26" t="s">
        <v>1392</v>
      </c>
      <c r="C882" s="1"/>
      <c r="D882" s="1"/>
      <c r="E882" s="29" t="s">
        <v>33</v>
      </c>
      <c r="F882" s="15"/>
      <c r="G882" s="30">
        <v>70.0</v>
      </c>
      <c r="H882" s="22" t="s">
        <v>1393</v>
      </c>
      <c r="I882" s="7"/>
      <c r="J882" s="7" t="str">
        <f>IFERROR(LET(_xlpm.v,
VLOOKUP($I882,'用語辞書'!$A:$B,COLUMN('用語辞書'!B$1),FALSE),
IF(_xlpm.v=0,"",_xlpm.v)
),"")</f>
        <v/>
      </c>
      <c r="K882" s="17"/>
      <c r="L882" s="17" t="b">
        <f>IF(OR(COUNTIF('クラス'!$A$1:$A$1267,$B882)&gt;0,$B882="",$M882=""),"",True)</f>
        <v>1</v>
      </c>
      <c r="M882" s="1" t="str">
        <f t="shared" si="21"/>
        <v>存在しない</v>
      </c>
      <c r="N882" s="1" t="s">
        <v>29</v>
      </c>
      <c r="O882" s="1"/>
      <c r="P882" s="11"/>
      <c r="Q882" s="11"/>
      <c r="R882" s="11"/>
      <c r="S882" s="11"/>
      <c r="T882" s="1"/>
      <c r="U882" s="1"/>
      <c r="V882" s="1"/>
      <c r="W882" s="1"/>
      <c r="X882" s="1"/>
      <c r="Y882" s="1"/>
      <c r="Z882" s="1"/>
    </row>
    <row r="883" ht="18.0" customHeight="1" outlineLevel="1">
      <c r="A883" s="26">
        <v>10.0</v>
      </c>
      <c r="B883" s="26" t="s">
        <v>1394</v>
      </c>
      <c r="C883" s="1"/>
      <c r="D883" s="26" t="s">
        <v>1342</v>
      </c>
      <c r="E883" s="29" t="s">
        <v>33</v>
      </c>
      <c r="F883" s="15"/>
      <c r="G883" s="30">
        <v>100.0</v>
      </c>
      <c r="H883" s="22" t="s">
        <v>1395</v>
      </c>
      <c r="I883" s="32"/>
      <c r="J883" s="7" t="str">
        <f>IFERROR(LET(_xlpm.v,
VLOOKUP($I883,'用語辞書'!$A:$B,COLUMN('用語辞書'!B$1),FALSE),
IF(_xlpm.v=0,"",_xlpm.v)
),"")</f>
        <v/>
      </c>
      <c r="K883" s="17"/>
      <c r="L883" s="17" t="b">
        <f>IF(OR(COUNTIF('クラス'!$A$1:$A$1267,$B883)&gt;0,$B883="",$M883=""),"",True)</f>
        <v>1</v>
      </c>
      <c r="M883" s="1" t="str">
        <f t="shared" si="21"/>
        <v>存在しない</v>
      </c>
      <c r="N883" s="1" t="s">
        <v>29</v>
      </c>
      <c r="O883" s="1"/>
      <c r="P883" s="11"/>
      <c r="Q883" s="11"/>
      <c r="R883" s="11"/>
      <c r="S883" s="11"/>
      <c r="T883" s="1"/>
      <c r="U883" s="1"/>
      <c r="V883" s="1"/>
      <c r="W883" s="1"/>
      <c r="X883" s="1"/>
      <c r="Y883" s="1"/>
      <c r="Z883" s="1"/>
    </row>
    <row r="884" ht="18.0" customHeight="1" outlineLevel="1">
      <c r="A884" s="1"/>
      <c r="B884" s="1"/>
      <c r="C884" s="1"/>
      <c r="D884" s="1"/>
      <c r="E884" s="14"/>
      <c r="F884" s="15"/>
      <c r="G884" s="16"/>
      <c r="H884" s="11"/>
      <c r="I884" s="7"/>
      <c r="J884" s="7" t="str">
        <f>IFERROR(LET(_xlpm.v,
VLOOKUP($I884,'用語辞書'!$A:$B,COLUMN('用語辞書'!B$1),FALSE),
IF(_xlpm.v=0,"",_xlpm.v)
),"")</f>
        <v/>
      </c>
      <c r="K884" s="17"/>
      <c r="L884" s="17" t="str">
        <f>IF(OR(COUNTIF('クラス'!$A$1:$A$1267,$B884)&gt;0,$B884="",$M884=""),"",True)</f>
        <v/>
      </c>
      <c r="M884" s="1" t="str">
        <f t="shared" si="21"/>
        <v>存在しない</v>
      </c>
      <c r="N884" s="1" t="s">
        <v>29</v>
      </c>
      <c r="O884" s="1"/>
      <c r="P884" s="11"/>
      <c r="Q884" s="11"/>
      <c r="R884" s="11"/>
      <c r="S884" s="11"/>
      <c r="T884" s="1"/>
      <c r="U884" s="1"/>
      <c r="V884" s="1"/>
      <c r="W884" s="1"/>
      <c r="X884" s="1"/>
      <c r="Y884" s="1"/>
      <c r="Z884" s="1"/>
    </row>
    <row r="885" ht="18.0" customHeight="1" outlineLevel="1">
      <c r="A885" s="1"/>
      <c r="B885" s="1"/>
      <c r="C885" s="1"/>
      <c r="D885" s="1"/>
      <c r="E885" s="14"/>
      <c r="F885" s="15"/>
      <c r="G885" s="16"/>
      <c r="H885" s="11"/>
      <c r="I885" s="7"/>
      <c r="J885" s="7" t="str">
        <f>IFERROR(LET(_xlpm.v,
VLOOKUP($I885,'用語辞書'!$A:$B,COLUMN('用語辞書'!B$1),FALSE),
IF(_xlpm.v=0,"",_xlpm.v)
),"")</f>
        <v/>
      </c>
      <c r="K885" s="17"/>
      <c r="L885" s="17" t="str">
        <f>IF(OR(COUNTIF('クラス'!$A$1:$A$1267,$B885)&gt;0,$B885="",$M885=""),"",True)</f>
        <v/>
      </c>
      <c r="M885" s="1" t="str">
        <f t="shared" si="21"/>
        <v>存在しない</v>
      </c>
      <c r="N885" s="1" t="s">
        <v>29</v>
      </c>
      <c r="O885" s="1"/>
      <c r="P885" s="11"/>
      <c r="Q885" s="11"/>
      <c r="R885" s="11"/>
      <c r="S885" s="11"/>
      <c r="T885" s="1"/>
      <c r="U885" s="1"/>
      <c r="V885" s="1"/>
      <c r="W885" s="1"/>
      <c r="X885" s="1"/>
      <c r="Y885" s="1"/>
      <c r="Z885" s="1"/>
    </row>
    <row r="886" ht="18.0" customHeight="1" outlineLevel="1">
      <c r="A886" s="1"/>
      <c r="B886" s="26" t="s">
        <v>1396</v>
      </c>
      <c r="C886" s="1"/>
      <c r="D886" s="1"/>
      <c r="E886" s="14"/>
      <c r="F886" s="15"/>
      <c r="G886" s="16"/>
      <c r="H886" s="11"/>
      <c r="I886" s="7"/>
      <c r="J886" s="7" t="str">
        <f>IFERROR(LET(_xlpm.v,
VLOOKUP($I886,'用語辞書'!$A:$B,COLUMN('用語辞書'!B$1),FALSE),
IF(_xlpm.v=0,"",_xlpm.v)
),"")</f>
        <v/>
      </c>
      <c r="K886" s="17"/>
      <c r="L886" s="17" t="str">
        <f>IF(OR(COUNTIF('クラス'!$A$1:$A$1267,$B886)&gt;0,$B886="",$M886=""),"",True)</f>
        <v/>
      </c>
      <c r="M886" s="1" t="str">
        <f t="shared" si="21"/>
        <v>存在しない</v>
      </c>
      <c r="N886" s="1" t="s">
        <v>29</v>
      </c>
      <c r="O886" s="1"/>
      <c r="P886" s="11"/>
      <c r="Q886" s="11"/>
      <c r="R886" s="11"/>
      <c r="S886" s="11"/>
      <c r="T886" s="1"/>
      <c r="U886" s="1"/>
      <c r="V886" s="1"/>
      <c r="W886" s="1"/>
      <c r="X886" s="1"/>
      <c r="Y886" s="1"/>
      <c r="Z886" s="1"/>
    </row>
    <row r="887" ht="18.0" customHeight="1" outlineLevel="1">
      <c r="A887" s="26">
        <v>1.0</v>
      </c>
      <c r="B887" s="26" t="s">
        <v>1397</v>
      </c>
      <c r="C887" s="1"/>
      <c r="D887" s="26" t="s">
        <v>716</v>
      </c>
      <c r="E887" s="29" t="s">
        <v>33</v>
      </c>
      <c r="F887" s="15"/>
      <c r="G887" s="30">
        <v>50.0</v>
      </c>
      <c r="H887" s="22" t="s">
        <v>1398</v>
      </c>
      <c r="I887" s="7"/>
      <c r="J887" s="7" t="str">
        <f>IFERROR(LET(_xlpm.v,
VLOOKUP($I887,'用語辞書'!$A:$B,COLUMN('用語辞書'!B$1),FALSE),
IF(_xlpm.v=0,"",_xlpm.v)
),"")</f>
        <v/>
      </c>
      <c r="K887" s="17"/>
      <c r="L887" s="17" t="b">
        <f>IF(OR(COUNTIF('クラス'!$A$1:$A$1267,$B887)&gt;0,$B887="",$M887=""),"",True)</f>
        <v>1</v>
      </c>
      <c r="M887" s="1" t="str">
        <f t="shared" si="21"/>
        <v>存在しない</v>
      </c>
      <c r="N887" s="1" t="s">
        <v>29</v>
      </c>
      <c r="O887" s="1"/>
      <c r="P887" s="11"/>
      <c r="Q887" s="11"/>
      <c r="R887" s="11"/>
      <c r="S887" s="11"/>
      <c r="T887" s="1"/>
      <c r="U887" s="1"/>
      <c r="V887" s="1"/>
      <c r="W887" s="1"/>
      <c r="X887" s="1"/>
      <c r="Y887" s="1"/>
      <c r="Z887" s="1"/>
    </row>
    <row r="888" ht="18.0" customHeight="1" outlineLevel="1">
      <c r="A888" s="26">
        <v>2.0</v>
      </c>
      <c r="B888" s="1"/>
      <c r="C888" s="1"/>
      <c r="D888" s="1"/>
      <c r="E888" s="14"/>
      <c r="F888" s="15"/>
      <c r="G888" s="16"/>
      <c r="H888" s="11"/>
      <c r="I888" s="7"/>
      <c r="J888" s="7" t="str">
        <f>IFERROR(LET(_xlpm.v,
VLOOKUP($I888,'用語辞書'!$A:$B,COLUMN('用語辞書'!B$1),FALSE),
IF(_xlpm.v=0,"",_xlpm.v)
),"")</f>
        <v/>
      </c>
      <c r="K888" s="17"/>
      <c r="L888" s="17" t="str">
        <f>IF(OR(COUNTIF('クラス'!$A$1:$A$1267,$B888)&gt;0,$B888="",$M888=""),"",True)</f>
        <v/>
      </c>
      <c r="M888" s="1" t="str">
        <f t="shared" si="21"/>
        <v>存在しない</v>
      </c>
      <c r="N888" s="1" t="s">
        <v>29</v>
      </c>
      <c r="O888" s="1"/>
      <c r="P888" s="11"/>
      <c r="Q888" s="11"/>
      <c r="R888" s="11"/>
      <c r="S888" s="11"/>
      <c r="T888" s="1"/>
      <c r="U888" s="1"/>
      <c r="V888" s="1"/>
      <c r="W888" s="1"/>
      <c r="X888" s="1"/>
      <c r="Y888" s="1"/>
      <c r="Z888" s="1"/>
    </row>
    <row r="889" ht="18.0" customHeight="1" outlineLevel="1">
      <c r="A889" s="26">
        <v>3.0</v>
      </c>
      <c r="B889" s="26" t="s">
        <v>1399</v>
      </c>
      <c r="C889" s="1"/>
      <c r="D889" s="1"/>
      <c r="E889" s="29" t="s">
        <v>33</v>
      </c>
      <c r="F889" s="15"/>
      <c r="G889" s="30">
        <v>40.0</v>
      </c>
      <c r="H889" s="22" t="s">
        <v>1400</v>
      </c>
      <c r="I889" s="7"/>
      <c r="J889" s="7" t="str">
        <f>IFERROR(LET(_xlpm.v,
VLOOKUP($I889,'用語辞書'!$A:$B,COLUMN('用語辞書'!B$1),FALSE),
IF(_xlpm.v=0,"",_xlpm.v)
),"")</f>
        <v/>
      </c>
      <c r="K889" s="17"/>
      <c r="L889" s="17" t="b">
        <f>IF(OR(COUNTIF('クラス'!$A$1:$A$1267,$B889)&gt;0,$B889="",$M889=""),"",True)</f>
        <v>1</v>
      </c>
      <c r="M889" s="1" t="str">
        <f t="shared" si="21"/>
        <v>存在しない</v>
      </c>
      <c r="N889" s="1" t="s">
        <v>29</v>
      </c>
      <c r="O889" s="1"/>
      <c r="P889" s="11"/>
      <c r="Q889" s="11"/>
      <c r="R889" s="11"/>
      <c r="S889" s="11"/>
      <c r="T889" s="1"/>
      <c r="U889" s="1"/>
      <c r="V889" s="1"/>
      <c r="W889" s="1"/>
      <c r="X889" s="1"/>
      <c r="Y889" s="1"/>
      <c r="Z889" s="1"/>
    </row>
    <row r="890" ht="18.0" customHeight="1" outlineLevel="1">
      <c r="A890" s="26">
        <v>4.0</v>
      </c>
      <c r="B890" s="1"/>
      <c r="C890" s="1"/>
      <c r="D890" s="1"/>
      <c r="E890" s="14"/>
      <c r="F890" s="15"/>
      <c r="G890" s="16"/>
      <c r="H890" s="11"/>
      <c r="I890" s="7"/>
      <c r="J890" s="7" t="str">
        <f>IFERROR(LET(_xlpm.v,
VLOOKUP($I890,'用語辞書'!$A:$B,COLUMN('用語辞書'!B$1),FALSE),
IF(_xlpm.v=0,"",_xlpm.v)
),"")</f>
        <v/>
      </c>
      <c r="K890" s="17"/>
      <c r="L890" s="17" t="str">
        <f>IF(OR(COUNTIF('クラス'!$A$1:$A$1267,$B890)&gt;0,$B890="",$M890=""),"",True)</f>
        <v/>
      </c>
      <c r="M890" s="1" t="str">
        <f t="shared" si="21"/>
        <v>存在しない</v>
      </c>
      <c r="N890" s="1" t="s">
        <v>29</v>
      </c>
      <c r="O890" s="1"/>
      <c r="P890" s="11"/>
      <c r="Q890" s="11"/>
      <c r="R890" s="11"/>
      <c r="S890" s="11"/>
      <c r="T890" s="1"/>
      <c r="U890" s="1"/>
      <c r="V890" s="1"/>
      <c r="W890" s="1"/>
      <c r="X890" s="1"/>
      <c r="Y890" s="1"/>
      <c r="Z890" s="1"/>
    </row>
    <row r="891" ht="18.0" customHeight="1" outlineLevel="1">
      <c r="A891" s="26">
        <v>5.0</v>
      </c>
      <c r="B891" s="26" t="s">
        <v>1401</v>
      </c>
      <c r="C891" s="1"/>
      <c r="D891" s="26"/>
      <c r="E891" s="29" t="s">
        <v>55</v>
      </c>
      <c r="F891" s="15"/>
      <c r="G891" s="30"/>
      <c r="H891" s="22" t="s">
        <v>1402</v>
      </c>
      <c r="I891" s="7"/>
      <c r="J891" s="7" t="str">
        <f>IFERROR(LET(_xlpm.v,
VLOOKUP($I891,'用語辞書'!$A:$B,COLUMN('用語辞書'!B$1),FALSE),
IF(_xlpm.v=0,"",_xlpm.v)
),"")</f>
        <v/>
      </c>
      <c r="K891" s="17"/>
      <c r="L891" s="17" t="b">
        <f>IF(OR(COUNTIF('クラス'!$A$1:$A$1267,$B891)&gt;0,$B891="",$M891=""),"",True)</f>
        <v>1</v>
      </c>
      <c r="M891" s="1" t="str">
        <f t="shared" si="21"/>
        <v>存在しない</v>
      </c>
      <c r="N891" s="1" t="s">
        <v>29</v>
      </c>
      <c r="O891" s="1"/>
      <c r="P891" s="11"/>
      <c r="Q891" s="11"/>
      <c r="R891" s="11"/>
      <c r="S891" s="11"/>
      <c r="T891" s="1"/>
      <c r="U891" s="1"/>
      <c r="V891" s="1"/>
      <c r="W891" s="1"/>
      <c r="X891" s="1"/>
      <c r="Y891" s="1"/>
      <c r="Z891" s="1"/>
    </row>
    <row r="892" ht="18.0" customHeight="1" outlineLevel="1">
      <c r="A892" s="26">
        <v>6.0</v>
      </c>
      <c r="B892" s="1"/>
      <c r="C892" s="1"/>
      <c r="D892" s="1"/>
      <c r="E892" s="14"/>
      <c r="F892" s="15"/>
      <c r="G892" s="16"/>
      <c r="H892" s="11"/>
      <c r="I892" s="7"/>
      <c r="J892" s="7" t="str">
        <f>IFERROR(LET(_xlpm.v,
VLOOKUP($I892,'用語辞書'!$A:$B,COLUMN('用語辞書'!B$1),FALSE),
IF(_xlpm.v=0,"",_xlpm.v)
),"")</f>
        <v/>
      </c>
      <c r="K892" s="17"/>
      <c r="L892" s="17" t="str">
        <f>IF(OR(COUNTIF('クラス'!$A$1:$A$1267,$B892)&gt;0,$B892="",$M892=""),"",True)</f>
        <v/>
      </c>
      <c r="M892" s="1" t="str">
        <f t="shared" si="21"/>
        <v>存在しない</v>
      </c>
      <c r="N892" s="1" t="s">
        <v>29</v>
      </c>
      <c r="O892" s="1"/>
      <c r="P892" s="11"/>
      <c r="Q892" s="11"/>
      <c r="R892" s="11"/>
      <c r="S892" s="11"/>
      <c r="T892" s="1"/>
      <c r="U892" s="1"/>
      <c r="V892" s="1"/>
      <c r="W892" s="1"/>
      <c r="X892" s="1"/>
      <c r="Y892" s="1"/>
      <c r="Z892" s="1"/>
    </row>
    <row r="893" ht="18.0" customHeight="1" outlineLevel="1">
      <c r="A893" s="26">
        <v>7.0</v>
      </c>
      <c r="B893" s="26" t="s">
        <v>1403</v>
      </c>
      <c r="C893" s="1"/>
      <c r="D893" s="26" t="s">
        <v>1348</v>
      </c>
      <c r="E893" s="29" t="s">
        <v>33</v>
      </c>
      <c r="F893" s="15"/>
      <c r="G893" s="30">
        <v>60.0</v>
      </c>
      <c r="H893" s="22" t="s">
        <v>1404</v>
      </c>
      <c r="I893" s="7"/>
      <c r="J893" s="7" t="str">
        <f>IFERROR(LET(_xlpm.v,
VLOOKUP($I893,'用語辞書'!$A:$B,COLUMN('用語辞書'!B$1),FALSE),
IF(_xlpm.v=0,"",_xlpm.v)
),"")</f>
        <v/>
      </c>
      <c r="K893" s="17"/>
      <c r="L893" s="17" t="b">
        <f>IF(OR(COUNTIF('クラス'!$A$1:$A$1267,$B893)&gt;0,$B893="",$M893=""),"",True)</f>
        <v>1</v>
      </c>
      <c r="M893" s="1" t="str">
        <f t="shared" si="21"/>
        <v>存在しない</v>
      </c>
      <c r="N893" s="1" t="s">
        <v>29</v>
      </c>
      <c r="O893" s="1"/>
      <c r="P893" s="11"/>
      <c r="Q893" s="11"/>
      <c r="R893" s="11"/>
      <c r="S893" s="11"/>
      <c r="T893" s="1"/>
      <c r="U893" s="1"/>
      <c r="V893" s="1"/>
      <c r="W893" s="1"/>
      <c r="X893" s="1"/>
      <c r="Y893" s="1"/>
      <c r="Z893" s="1"/>
    </row>
    <row r="894" ht="18.0" customHeight="1" outlineLevel="1">
      <c r="A894" s="26">
        <v>8.0</v>
      </c>
      <c r="B894" s="1"/>
      <c r="C894" s="1"/>
      <c r="D894" s="1"/>
      <c r="E894" s="14"/>
      <c r="F894" s="15"/>
      <c r="G894" s="16"/>
      <c r="H894" s="11"/>
      <c r="I894" s="7"/>
      <c r="J894" s="7" t="str">
        <f>IFERROR(LET(_xlpm.v,
VLOOKUP($I894,'用語辞書'!$A:$B,COLUMN('用語辞書'!B$1),FALSE),
IF(_xlpm.v=0,"",_xlpm.v)
),"")</f>
        <v/>
      </c>
      <c r="K894" s="17"/>
      <c r="L894" s="17" t="str">
        <f>IF(OR(COUNTIF('クラス'!$A$1:$A$1267,$B894)&gt;0,$B894="",$M894=""),"",True)</f>
        <v/>
      </c>
      <c r="M894" s="1" t="str">
        <f t="shared" si="21"/>
        <v>存在しない</v>
      </c>
      <c r="N894" s="1" t="s">
        <v>29</v>
      </c>
      <c r="O894" s="1"/>
      <c r="P894" s="11"/>
      <c r="Q894" s="11"/>
      <c r="R894" s="11"/>
      <c r="S894" s="11"/>
      <c r="T894" s="1"/>
      <c r="U894" s="1"/>
      <c r="V894" s="1"/>
      <c r="W894" s="1"/>
      <c r="X894" s="1"/>
      <c r="Y894" s="1"/>
      <c r="Z894" s="1"/>
    </row>
    <row r="895" ht="18.0" customHeight="1" outlineLevel="1">
      <c r="A895" s="26">
        <v>9.0</v>
      </c>
      <c r="B895" s="26" t="s">
        <v>1405</v>
      </c>
      <c r="C895" s="1"/>
      <c r="D895" s="1"/>
      <c r="E895" s="29" t="s">
        <v>55</v>
      </c>
      <c r="F895" s="15"/>
      <c r="G895" s="16"/>
      <c r="H895" s="22" t="s">
        <v>1406</v>
      </c>
      <c r="I895" s="7"/>
      <c r="J895" s="7" t="str">
        <f>IFERROR(LET(_xlpm.v,
VLOOKUP($I895,'用語辞書'!$A:$B,COLUMN('用語辞書'!B$1),FALSE),
IF(_xlpm.v=0,"",_xlpm.v)
),"")</f>
        <v/>
      </c>
      <c r="K895" s="17"/>
      <c r="L895" s="17" t="b">
        <f>IF(OR(COUNTIF('クラス'!$A$1:$A$1267,$B895)&gt;0,$B895="",$M895=""),"",True)</f>
        <v>1</v>
      </c>
      <c r="M895" s="1" t="str">
        <f t="shared" si="21"/>
        <v>存在しない</v>
      </c>
      <c r="N895" s="1" t="s">
        <v>29</v>
      </c>
      <c r="O895" s="1"/>
      <c r="P895" s="11"/>
      <c r="Q895" s="11"/>
      <c r="R895" s="11"/>
      <c r="S895" s="11"/>
      <c r="T895" s="1"/>
      <c r="U895" s="1"/>
      <c r="V895" s="1"/>
      <c r="W895" s="1"/>
      <c r="X895" s="1"/>
      <c r="Y895" s="1"/>
      <c r="Z895" s="1"/>
    </row>
    <row r="896" ht="18.0" customHeight="1" outlineLevel="1">
      <c r="A896" s="26">
        <v>10.0</v>
      </c>
      <c r="B896" s="26" t="s">
        <v>1407</v>
      </c>
      <c r="C896" s="1"/>
      <c r="D896" s="26" t="s">
        <v>716</v>
      </c>
      <c r="E896" s="29" t="s">
        <v>33</v>
      </c>
      <c r="F896" s="15"/>
      <c r="G896" s="30">
        <v>80.0</v>
      </c>
      <c r="H896" s="22" t="s">
        <v>1408</v>
      </c>
      <c r="I896" s="32"/>
      <c r="J896" s="7" t="str">
        <f>IFERROR(LET(_xlpm.v,
VLOOKUP($I896,'用語辞書'!$A:$B,COLUMN('用語辞書'!B$1),FALSE),
IF(_xlpm.v=0,"",_xlpm.v)
),"")</f>
        <v/>
      </c>
      <c r="K896" s="17"/>
      <c r="L896" s="17" t="b">
        <f>IF(OR(COUNTIF('クラス'!$A$1:$A$1267,$B896)&gt;0,$B896="",$M896=""),"",True)</f>
        <v>1</v>
      </c>
      <c r="M896" s="1" t="str">
        <f t="shared" si="21"/>
        <v>存在しない</v>
      </c>
      <c r="N896" s="1" t="s">
        <v>29</v>
      </c>
      <c r="O896" s="1"/>
      <c r="P896" s="11"/>
      <c r="Q896" s="11"/>
      <c r="R896" s="11"/>
      <c r="S896" s="11"/>
      <c r="T896" s="1"/>
      <c r="U896" s="1"/>
      <c r="V896" s="1"/>
      <c r="W896" s="1"/>
      <c r="X896" s="1"/>
      <c r="Y896" s="1"/>
      <c r="Z896" s="1"/>
    </row>
    <row r="897" ht="18.0" customHeight="1" outlineLevel="1">
      <c r="A897" s="1"/>
      <c r="B897" s="1"/>
      <c r="C897" s="1"/>
      <c r="D897" s="1"/>
      <c r="E897" s="14"/>
      <c r="F897" s="15"/>
      <c r="G897" s="16"/>
      <c r="H897" s="11"/>
      <c r="I897" s="7"/>
      <c r="J897" s="7" t="str">
        <f>IFERROR(LET(_xlpm.v,
VLOOKUP($I897,'用語辞書'!$A:$B,COLUMN('用語辞書'!B$1),FALSE),
IF(_xlpm.v=0,"",_xlpm.v)
),"")</f>
        <v/>
      </c>
      <c r="K897" s="17"/>
      <c r="L897" s="17" t="str">
        <f>IF(OR(COUNTIF('クラス'!$A$1:$A$1267,$B897)&gt;0,$B897="",$M897=""),"",True)</f>
        <v/>
      </c>
      <c r="M897" s="1" t="str">
        <f t="shared" si="21"/>
        <v>存在しない</v>
      </c>
      <c r="N897" s="1" t="s">
        <v>29</v>
      </c>
      <c r="O897" s="1"/>
      <c r="P897" s="11"/>
      <c r="Q897" s="11"/>
      <c r="R897" s="11"/>
      <c r="S897" s="11"/>
      <c r="T897" s="1"/>
      <c r="U897" s="1"/>
      <c r="V897" s="1"/>
      <c r="W897" s="1"/>
      <c r="X897" s="1"/>
      <c r="Y897" s="1"/>
      <c r="Z897" s="1"/>
    </row>
    <row r="898" ht="18.0" customHeight="1" outlineLevel="1">
      <c r="A898" s="1"/>
      <c r="B898" s="1"/>
      <c r="C898" s="1"/>
      <c r="D898" s="1"/>
      <c r="E898" s="14"/>
      <c r="F898" s="15"/>
      <c r="G898" s="16"/>
      <c r="H898" s="11"/>
      <c r="I898" s="7"/>
      <c r="J898" s="7" t="str">
        <f>IFERROR(LET(_xlpm.v,
VLOOKUP($I898,'用語辞書'!$A:$B,COLUMN('用語辞書'!B$1),FALSE),
IF(_xlpm.v=0,"",_xlpm.v)
),"")</f>
        <v/>
      </c>
      <c r="K898" s="17"/>
      <c r="L898" s="17" t="str">
        <f>IF(OR(COUNTIF('クラス'!$A$1:$A$1267,$B898)&gt;0,$B898="",$M898=""),"",True)</f>
        <v/>
      </c>
      <c r="M898" s="1" t="str">
        <f t="shared" si="21"/>
        <v>存在しない</v>
      </c>
      <c r="N898" s="1" t="s">
        <v>29</v>
      </c>
      <c r="O898" s="1"/>
      <c r="P898" s="11"/>
      <c r="Q898" s="11"/>
      <c r="R898" s="11"/>
      <c r="S898" s="11"/>
      <c r="T898" s="1"/>
      <c r="U898" s="1"/>
      <c r="V898" s="1"/>
      <c r="W898" s="1"/>
      <c r="X898" s="1"/>
      <c r="Y898" s="1"/>
      <c r="Z898" s="1"/>
    </row>
    <row r="899" ht="18.0" customHeight="1" outlineLevel="1">
      <c r="A899" s="1"/>
      <c r="B899" s="26" t="s">
        <v>1409</v>
      </c>
      <c r="C899" s="1"/>
      <c r="D899" s="1"/>
      <c r="E899" s="14"/>
      <c r="F899" s="15"/>
      <c r="G899" s="16"/>
      <c r="H899" s="11"/>
      <c r="I899" s="7"/>
      <c r="J899" s="7" t="str">
        <f>IFERROR(LET(_xlpm.v,
VLOOKUP($I899,'用語辞書'!$A:$B,COLUMN('用語辞書'!B$1),FALSE),
IF(_xlpm.v=0,"",_xlpm.v)
),"")</f>
        <v/>
      </c>
      <c r="K899" s="17"/>
      <c r="L899" s="17" t="str">
        <f>IF(OR(COUNTIF('クラス'!$A$1:$A$1267,$B899)&gt;0,$B899="",$M899=""),"",True)</f>
        <v/>
      </c>
      <c r="M899" s="1" t="str">
        <f t="shared" si="21"/>
        <v>存在しない</v>
      </c>
      <c r="N899" s="1" t="s">
        <v>29</v>
      </c>
      <c r="O899" s="1"/>
      <c r="P899" s="11"/>
      <c r="Q899" s="11"/>
      <c r="R899" s="11"/>
      <c r="S899" s="11"/>
      <c r="T899" s="1"/>
      <c r="U899" s="1"/>
      <c r="V899" s="1"/>
      <c r="W899" s="1"/>
      <c r="X899" s="1"/>
      <c r="Y899" s="1"/>
      <c r="Z899" s="1"/>
    </row>
    <row r="900" ht="18.0" customHeight="1" outlineLevel="1">
      <c r="A900" s="26">
        <v>1.0</v>
      </c>
      <c r="B900" s="26" t="s">
        <v>1410</v>
      </c>
      <c r="C900" s="1"/>
      <c r="D900" s="26" t="s">
        <v>1348</v>
      </c>
      <c r="E900" s="29" t="s">
        <v>33</v>
      </c>
      <c r="F900" s="15"/>
      <c r="G900" s="30">
        <v>50.0</v>
      </c>
      <c r="H900" s="22" t="s">
        <v>1411</v>
      </c>
      <c r="I900" s="7"/>
      <c r="J900" s="7" t="str">
        <f>IFERROR(LET(_xlpm.v,
VLOOKUP($I900,'用語辞書'!$A:$B,COLUMN('用語辞書'!B$1),FALSE),
IF(_xlpm.v=0,"",_xlpm.v)
),"")</f>
        <v/>
      </c>
      <c r="K900" s="17"/>
      <c r="L900" s="17" t="b">
        <f>IF(OR(COUNTIF('クラス'!$A$1:$A$1267,$B900)&gt;0,$B900="",$M900=""),"",True)</f>
        <v>1</v>
      </c>
      <c r="M900" s="1" t="str">
        <f t="shared" si="21"/>
        <v>存在しない</v>
      </c>
      <c r="N900" s="1" t="s">
        <v>29</v>
      </c>
      <c r="O900" s="1"/>
      <c r="P900" s="11"/>
      <c r="Q900" s="11"/>
      <c r="R900" s="11"/>
      <c r="S900" s="11"/>
      <c r="T900" s="1"/>
      <c r="U900" s="1"/>
      <c r="V900" s="1"/>
      <c r="W900" s="1"/>
      <c r="X900" s="1"/>
      <c r="Y900" s="1"/>
      <c r="Z900" s="1"/>
    </row>
    <row r="901" ht="18.0" customHeight="1" outlineLevel="1">
      <c r="A901" s="26">
        <v>2.0</v>
      </c>
      <c r="B901" s="1"/>
      <c r="C901" s="1"/>
      <c r="D901" s="1"/>
      <c r="E901" s="14"/>
      <c r="F901" s="15"/>
      <c r="G901" s="16"/>
      <c r="H901" s="11"/>
      <c r="I901" s="7"/>
      <c r="J901" s="7" t="str">
        <f>IFERROR(LET(_xlpm.v,
VLOOKUP($I901,'用語辞書'!$A:$B,COLUMN('用語辞書'!B$1),FALSE),
IF(_xlpm.v=0,"",_xlpm.v)
),"")</f>
        <v/>
      </c>
      <c r="K901" s="17"/>
      <c r="L901" s="17" t="str">
        <f>IF(OR(COUNTIF('クラス'!$A$1:$A$1267,$B901)&gt;0,$B901="",$M901=""),"",True)</f>
        <v/>
      </c>
      <c r="M901" s="1" t="str">
        <f t="shared" si="21"/>
        <v>存在しない</v>
      </c>
      <c r="N901" s="1" t="s">
        <v>29</v>
      </c>
      <c r="O901" s="1"/>
      <c r="P901" s="11"/>
      <c r="Q901" s="11"/>
      <c r="R901" s="11"/>
      <c r="S901" s="11"/>
      <c r="T901" s="1"/>
      <c r="U901" s="1"/>
      <c r="V901" s="1"/>
      <c r="W901" s="1"/>
      <c r="X901" s="1"/>
      <c r="Y901" s="1"/>
      <c r="Z901" s="1"/>
    </row>
    <row r="902" ht="18.0" customHeight="1" outlineLevel="1">
      <c r="A902" s="26">
        <v>3.0</v>
      </c>
      <c r="B902" s="26" t="s">
        <v>1412</v>
      </c>
      <c r="C902" s="1"/>
      <c r="D902" s="26" t="s">
        <v>676</v>
      </c>
      <c r="E902" s="29" t="s">
        <v>33</v>
      </c>
      <c r="F902" s="15"/>
      <c r="G902" s="30">
        <v>60.0</v>
      </c>
      <c r="H902" s="22" t="s">
        <v>1413</v>
      </c>
      <c r="I902" s="7"/>
      <c r="J902" s="7" t="str">
        <f>IFERROR(LET(_xlpm.v,
VLOOKUP($I902,'用語辞書'!$A:$B,COLUMN('用語辞書'!B$1),FALSE),
IF(_xlpm.v=0,"",_xlpm.v)
),"")</f>
        <v/>
      </c>
      <c r="K902" s="17"/>
      <c r="L902" s="17" t="b">
        <f>IF(OR(COUNTIF('クラス'!$A$1:$A$1267,$B902)&gt;0,$B902="",$M902=""),"",True)</f>
        <v>1</v>
      </c>
      <c r="M902" s="1" t="str">
        <f t="shared" si="21"/>
        <v>存在しない</v>
      </c>
      <c r="N902" s="1" t="s">
        <v>29</v>
      </c>
      <c r="O902" s="1"/>
      <c r="P902" s="11"/>
      <c r="Q902" s="11"/>
      <c r="R902" s="11"/>
      <c r="S902" s="11"/>
      <c r="T902" s="1"/>
      <c r="U902" s="1"/>
      <c r="V902" s="1"/>
      <c r="W902" s="1"/>
      <c r="X902" s="1"/>
      <c r="Y902" s="1"/>
      <c r="Z902" s="1"/>
    </row>
    <row r="903" ht="18.0" customHeight="1" outlineLevel="1">
      <c r="A903" s="26">
        <v>4.0</v>
      </c>
      <c r="B903" s="1"/>
      <c r="C903" s="1"/>
      <c r="D903" s="1"/>
      <c r="E903" s="14"/>
      <c r="F903" s="15"/>
      <c r="G903" s="16"/>
      <c r="H903" s="11"/>
      <c r="I903" s="7"/>
      <c r="J903" s="7" t="str">
        <f>IFERROR(LET(_xlpm.v,
VLOOKUP($I903,'用語辞書'!$A:$B,COLUMN('用語辞書'!B$1),FALSE),
IF(_xlpm.v=0,"",_xlpm.v)
),"")</f>
        <v/>
      </c>
      <c r="K903" s="17"/>
      <c r="L903" s="17" t="str">
        <f>IF(OR(COUNTIF('クラス'!$A$1:$A$1267,$B903)&gt;0,$B903="",$M903=""),"",True)</f>
        <v/>
      </c>
      <c r="M903" s="1" t="str">
        <f t="shared" si="21"/>
        <v>存在しない</v>
      </c>
      <c r="N903" s="1" t="s">
        <v>29</v>
      </c>
      <c r="O903" s="1"/>
      <c r="P903" s="11"/>
      <c r="Q903" s="11"/>
      <c r="R903" s="11"/>
      <c r="S903" s="11"/>
      <c r="T903" s="1"/>
      <c r="U903" s="1"/>
      <c r="V903" s="1"/>
      <c r="W903" s="1"/>
      <c r="X903" s="1"/>
      <c r="Y903" s="1"/>
      <c r="Z903" s="1"/>
    </row>
    <row r="904" ht="18.0" customHeight="1" outlineLevel="1">
      <c r="A904" s="26">
        <v>5.0</v>
      </c>
      <c r="B904" s="26" t="s">
        <v>1414</v>
      </c>
      <c r="C904" s="1"/>
      <c r="D904" s="26"/>
      <c r="E904" s="29" t="s">
        <v>55</v>
      </c>
      <c r="F904" s="15"/>
      <c r="G904" s="30"/>
      <c r="H904" s="22" t="s">
        <v>1415</v>
      </c>
      <c r="I904" s="7"/>
      <c r="J904" s="7" t="str">
        <f>IFERROR(LET(_xlpm.v,
VLOOKUP($I904,'用語辞書'!$A:$B,COLUMN('用語辞書'!B$1),FALSE),
IF(_xlpm.v=0,"",_xlpm.v)
),"")</f>
        <v/>
      </c>
      <c r="K904" s="17"/>
      <c r="L904" s="17" t="b">
        <f>IF(OR(COUNTIF('クラス'!$A$1:$A$1267,$B904)&gt;0,$B904="",$M904=""),"",True)</f>
        <v>1</v>
      </c>
      <c r="M904" s="1" t="str">
        <f t="shared" si="21"/>
        <v>存在しない</v>
      </c>
      <c r="N904" s="1" t="s">
        <v>29</v>
      </c>
      <c r="O904" s="1"/>
      <c r="P904" s="11"/>
      <c r="Q904" s="11"/>
      <c r="R904" s="11"/>
      <c r="S904" s="11"/>
      <c r="T904" s="1"/>
      <c r="U904" s="1"/>
      <c r="V904" s="1"/>
      <c r="W904" s="1"/>
      <c r="X904" s="1"/>
      <c r="Y904" s="1"/>
      <c r="Z904" s="1"/>
    </row>
    <row r="905" ht="18.0" customHeight="1" outlineLevel="1">
      <c r="A905" s="26">
        <v>6.0</v>
      </c>
      <c r="B905" s="1"/>
      <c r="C905" s="1"/>
      <c r="D905" s="1"/>
      <c r="E905" s="14"/>
      <c r="F905" s="15"/>
      <c r="G905" s="16"/>
      <c r="H905" s="11"/>
      <c r="I905" s="7"/>
      <c r="J905" s="7" t="str">
        <f>IFERROR(LET(_xlpm.v,
VLOOKUP($I905,'用語辞書'!$A:$B,COLUMN('用語辞書'!B$1),FALSE),
IF(_xlpm.v=0,"",_xlpm.v)
),"")</f>
        <v/>
      </c>
      <c r="K905" s="17"/>
      <c r="L905" s="17" t="str">
        <f>IF(OR(COUNTIF('クラス'!$A$1:$A$1267,$B905)&gt;0,$B905="",$M905=""),"",True)</f>
        <v/>
      </c>
      <c r="M905" s="1" t="str">
        <f t="shared" si="21"/>
        <v>存在しない</v>
      </c>
      <c r="N905" s="1" t="s">
        <v>29</v>
      </c>
      <c r="O905" s="1"/>
      <c r="P905" s="11"/>
      <c r="Q905" s="11"/>
      <c r="R905" s="11"/>
      <c r="S905" s="11"/>
      <c r="T905" s="1"/>
      <c r="U905" s="1"/>
      <c r="V905" s="1"/>
      <c r="W905" s="1"/>
      <c r="X905" s="1"/>
      <c r="Y905" s="1"/>
      <c r="Z905" s="1"/>
    </row>
    <row r="906" ht="18.0" customHeight="1" outlineLevel="1">
      <c r="A906" s="26">
        <v>7.0</v>
      </c>
      <c r="B906" s="26" t="s">
        <v>1416</v>
      </c>
      <c r="C906" s="1"/>
      <c r="D906" s="1"/>
      <c r="E906" s="29" t="s">
        <v>55</v>
      </c>
      <c r="F906" s="15"/>
      <c r="G906" s="30"/>
      <c r="H906" s="22" t="s">
        <v>1417</v>
      </c>
      <c r="I906" s="7"/>
      <c r="J906" s="7" t="str">
        <f>IFERROR(LET(_xlpm.v,
VLOOKUP($I906,'用語辞書'!$A:$B,COLUMN('用語辞書'!B$1),FALSE),
IF(_xlpm.v=0,"",_xlpm.v)
),"")</f>
        <v/>
      </c>
      <c r="K906" s="17"/>
      <c r="L906" s="17" t="b">
        <f>IF(OR(COUNTIF('クラス'!$A$1:$A$1267,$B906)&gt;0,$B906="",$M906=""),"",True)</f>
        <v>1</v>
      </c>
      <c r="M906" s="1" t="str">
        <f t="shared" si="21"/>
        <v>存在しない</v>
      </c>
      <c r="N906" s="1" t="s">
        <v>29</v>
      </c>
      <c r="O906" s="1"/>
      <c r="P906" s="11"/>
      <c r="Q906" s="11"/>
      <c r="R906" s="11"/>
      <c r="S906" s="11"/>
      <c r="T906" s="1"/>
      <c r="U906" s="1"/>
      <c r="V906" s="1"/>
      <c r="W906" s="1"/>
      <c r="X906" s="1"/>
      <c r="Y906" s="1"/>
      <c r="Z906" s="1"/>
    </row>
    <row r="907" ht="18.0" customHeight="1" outlineLevel="1">
      <c r="A907" s="26">
        <v>8.0</v>
      </c>
      <c r="B907" s="1"/>
      <c r="C907" s="1"/>
      <c r="D907" s="1"/>
      <c r="E907" s="14"/>
      <c r="F907" s="15"/>
      <c r="G907" s="16"/>
      <c r="H907" s="11"/>
      <c r="I907" s="7"/>
      <c r="J907" s="7" t="str">
        <f>IFERROR(LET(_xlpm.v,
VLOOKUP($I907,'用語辞書'!$A:$B,COLUMN('用語辞書'!B$1),FALSE),
IF(_xlpm.v=0,"",_xlpm.v)
),"")</f>
        <v/>
      </c>
      <c r="K907" s="17"/>
      <c r="L907" s="17" t="str">
        <f>IF(OR(COUNTIF('クラス'!$A$1:$A$1267,$B907)&gt;0,$B907="",$M907=""),"",True)</f>
        <v/>
      </c>
      <c r="M907" s="1" t="str">
        <f t="shared" si="21"/>
        <v>存在しない</v>
      </c>
      <c r="N907" s="1" t="s">
        <v>29</v>
      </c>
      <c r="O907" s="1"/>
      <c r="P907" s="11"/>
      <c r="Q907" s="11"/>
      <c r="R907" s="11"/>
      <c r="S907" s="11"/>
      <c r="T907" s="1"/>
      <c r="U907" s="1"/>
      <c r="V907" s="1"/>
      <c r="W907" s="1"/>
      <c r="X907" s="1"/>
      <c r="Y907" s="1"/>
      <c r="Z907" s="1"/>
    </row>
    <row r="908" ht="18.0" customHeight="1" outlineLevel="1">
      <c r="A908" s="26">
        <v>9.0</v>
      </c>
      <c r="B908" s="26" t="s">
        <v>1418</v>
      </c>
      <c r="C908" s="1"/>
      <c r="D908" s="26" t="s">
        <v>1348</v>
      </c>
      <c r="E908" s="29" t="s">
        <v>33</v>
      </c>
      <c r="F908" s="15"/>
      <c r="G908" s="30">
        <v>70.0</v>
      </c>
      <c r="H908" s="22" t="s">
        <v>1419</v>
      </c>
      <c r="I908" s="7"/>
      <c r="J908" s="7" t="str">
        <f>IFERROR(LET(_xlpm.v,
VLOOKUP($I908,'用語辞書'!$A:$B,COLUMN('用語辞書'!B$1),FALSE),
IF(_xlpm.v=0,"",_xlpm.v)
),"")</f>
        <v/>
      </c>
      <c r="K908" s="17"/>
      <c r="L908" s="17" t="b">
        <f>IF(OR(COUNTIF('クラス'!$A$1:$A$1267,$B908)&gt;0,$B908="",$M908=""),"",True)</f>
        <v>1</v>
      </c>
      <c r="M908" s="1" t="str">
        <f t="shared" si="21"/>
        <v>存在しない</v>
      </c>
      <c r="N908" s="1" t="s">
        <v>29</v>
      </c>
      <c r="O908" s="1"/>
      <c r="P908" s="11"/>
      <c r="Q908" s="11"/>
      <c r="R908" s="11"/>
      <c r="S908" s="11"/>
      <c r="T908" s="1"/>
      <c r="U908" s="1"/>
      <c r="V908" s="1"/>
      <c r="W908" s="1"/>
      <c r="X908" s="1"/>
      <c r="Y908" s="1"/>
      <c r="Z908" s="1"/>
    </row>
    <row r="909" ht="18.0" customHeight="1" outlineLevel="1">
      <c r="A909" s="26">
        <v>10.0</v>
      </c>
      <c r="B909" s="26" t="s">
        <v>1420</v>
      </c>
      <c r="C909" s="1"/>
      <c r="D909" s="26" t="s">
        <v>676</v>
      </c>
      <c r="E909" s="29" t="s">
        <v>33</v>
      </c>
      <c r="F909" s="15"/>
      <c r="G909" s="30">
        <v>90.0</v>
      </c>
      <c r="H909" s="22" t="s">
        <v>1421</v>
      </c>
      <c r="I909" s="32"/>
      <c r="J909" s="7" t="str">
        <f>IFERROR(LET(_xlpm.v,
VLOOKUP($I909,'用語辞書'!$A:$B,COLUMN('用語辞書'!B$1),FALSE),
IF(_xlpm.v=0,"",_xlpm.v)
),"")</f>
        <v/>
      </c>
      <c r="K909" s="17"/>
      <c r="L909" s="17" t="b">
        <f>IF(OR(COUNTIF('クラス'!$A$1:$A$1267,$B909)&gt;0,$B909="",$M909=""),"",True)</f>
        <v>1</v>
      </c>
      <c r="M909" s="1" t="str">
        <f t="shared" si="21"/>
        <v>存在しない</v>
      </c>
      <c r="N909" s="1" t="s">
        <v>29</v>
      </c>
      <c r="O909" s="1"/>
      <c r="P909" s="11"/>
      <c r="Q909" s="11"/>
      <c r="R909" s="11"/>
      <c r="S909" s="11"/>
      <c r="T909" s="1"/>
      <c r="U909" s="1"/>
      <c r="V909" s="1"/>
      <c r="W909" s="1"/>
      <c r="X909" s="1"/>
      <c r="Y909" s="1"/>
      <c r="Z909" s="1"/>
    </row>
    <row r="910" ht="18.0" customHeight="1" outlineLevel="1">
      <c r="A910" s="1"/>
      <c r="B910" s="1"/>
      <c r="C910" s="1"/>
      <c r="D910" s="1"/>
      <c r="E910" s="14"/>
      <c r="F910" s="15"/>
      <c r="G910" s="16"/>
      <c r="H910" s="11"/>
      <c r="I910" s="7"/>
      <c r="J910" s="7" t="str">
        <f>IFERROR(LET(_xlpm.v,
VLOOKUP($I910,'用語辞書'!$A:$B,COLUMN('用語辞書'!B$1),FALSE),
IF(_xlpm.v=0,"",_xlpm.v)
),"")</f>
        <v/>
      </c>
      <c r="K910" s="17"/>
      <c r="L910" s="17" t="str">
        <f>IF(OR(COUNTIF('クラス'!$A$1:$A$1267,$B910)&gt;0,$B910="",$M910=""),"",True)</f>
        <v/>
      </c>
      <c r="M910" s="1" t="str">
        <f t="shared" si="21"/>
        <v>存在しない</v>
      </c>
      <c r="N910" s="1" t="s">
        <v>29</v>
      </c>
      <c r="O910" s="1"/>
      <c r="P910" s="11"/>
      <c r="Q910" s="11"/>
      <c r="R910" s="11"/>
      <c r="S910" s="11"/>
      <c r="T910" s="1"/>
      <c r="U910" s="1"/>
      <c r="V910" s="1"/>
      <c r="W910" s="1"/>
      <c r="X910" s="1"/>
      <c r="Y910" s="1"/>
      <c r="Z910" s="1"/>
    </row>
    <row r="911" ht="18.0" customHeight="1" outlineLevel="1">
      <c r="A911" s="1"/>
      <c r="B911" s="1"/>
      <c r="C911" s="1"/>
      <c r="D911" s="1"/>
      <c r="E911" s="14"/>
      <c r="F911" s="15"/>
      <c r="G911" s="16"/>
      <c r="H911" s="11"/>
      <c r="I911" s="7"/>
      <c r="J911" s="7" t="str">
        <f>IFERROR(LET(_xlpm.v,
VLOOKUP($I911,'用語辞書'!$A:$B,COLUMN('用語辞書'!B$1),FALSE),
IF(_xlpm.v=0,"",_xlpm.v)
),"")</f>
        <v/>
      </c>
      <c r="K911" s="17"/>
      <c r="L911" s="17" t="str">
        <f>IF(OR(COUNTIF('クラス'!$A$1:$A$1267,$B911)&gt;0,$B911="",$M911=""),"",True)</f>
        <v/>
      </c>
      <c r="M911" s="1" t="str">
        <f t="shared" si="21"/>
        <v>存在しない</v>
      </c>
      <c r="N911" s="1" t="s">
        <v>29</v>
      </c>
      <c r="O911" s="1"/>
      <c r="P911" s="11"/>
      <c r="Q911" s="11"/>
      <c r="R911" s="11"/>
      <c r="S911" s="11"/>
      <c r="T911" s="1"/>
      <c r="U911" s="1"/>
      <c r="V911" s="1"/>
      <c r="W911" s="1"/>
      <c r="X911" s="1"/>
      <c r="Y911" s="1"/>
      <c r="Z911" s="1"/>
    </row>
    <row r="912" ht="18.0" customHeight="1" outlineLevel="1">
      <c r="A912" s="1"/>
      <c r="B912" s="26" t="s">
        <v>1422</v>
      </c>
      <c r="C912" s="1"/>
      <c r="D912" s="1"/>
      <c r="E912" s="14"/>
      <c r="F912" s="15"/>
      <c r="G912" s="16"/>
      <c r="H912" s="11"/>
      <c r="I912" s="7"/>
      <c r="J912" s="7" t="str">
        <f>IFERROR(LET(_xlpm.v,
VLOOKUP($I912,'用語辞書'!$A:$B,COLUMN('用語辞書'!B$1),FALSE),
IF(_xlpm.v=0,"",_xlpm.v)
),"")</f>
        <v/>
      </c>
      <c r="K912" s="17"/>
      <c r="L912" s="17" t="b">
        <f>IF(OR(COUNTIF('クラス'!$A$1:$A$1267,$B912)&gt;0,$B912="",$M912=""),"",True)</f>
        <v>1</v>
      </c>
      <c r="M912" s="1" t="str">
        <f t="shared" si="21"/>
        <v>存在しない</v>
      </c>
      <c r="N912" s="1" t="s">
        <v>29</v>
      </c>
      <c r="O912" s="1"/>
      <c r="P912" s="11"/>
      <c r="Q912" s="11"/>
      <c r="R912" s="11"/>
      <c r="S912" s="11"/>
      <c r="T912" s="1"/>
      <c r="U912" s="1"/>
      <c r="V912" s="1"/>
      <c r="W912" s="1"/>
      <c r="X912" s="1"/>
      <c r="Y912" s="1"/>
      <c r="Z912" s="1"/>
    </row>
    <row r="913" ht="18.0" customHeight="1" outlineLevel="1">
      <c r="A913" s="26">
        <v>1.0</v>
      </c>
      <c r="B913" s="26" t="s">
        <v>1423</v>
      </c>
      <c r="C913" s="1"/>
      <c r="D913" s="1"/>
      <c r="E913" s="29" t="s">
        <v>55</v>
      </c>
      <c r="F913" s="15"/>
      <c r="G913" s="16"/>
      <c r="H913" s="22" t="s">
        <v>1424</v>
      </c>
      <c r="I913" s="7"/>
      <c r="J913" s="7" t="str">
        <f>IFERROR(LET(_xlpm.v,
VLOOKUP($I913,'用語辞書'!$A:$B,COLUMN('用語辞書'!B$1),FALSE),
IF(_xlpm.v=0,"",_xlpm.v)
),"")</f>
        <v/>
      </c>
      <c r="K913" s="17"/>
      <c r="L913" s="17" t="b">
        <f>IF(OR(COUNTIF('クラス'!$A$1:$A$1267,$B913)&gt;0,$B913="",$M913=""),"",True)</f>
        <v>1</v>
      </c>
      <c r="M913" s="1" t="str">
        <f t="shared" si="21"/>
        <v>存在しない</v>
      </c>
      <c r="N913" s="1" t="s">
        <v>29</v>
      </c>
      <c r="O913" s="1"/>
      <c r="P913" s="11"/>
      <c r="Q913" s="11"/>
      <c r="R913" s="11"/>
      <c r="S913" s="11"/>
      <c r="T913" s="1"/>
      <c r="U913" s="1"/>
      <c r="V913" s="1"/>
      <c r="W913" s="1"/>
      <c r="X913" s="1"/>
      <c r="Y913" s="1"/>
      <c r="Z913" s="1"/>
    </row>
    <row r="914" ht="18.0" customHeight="1" outlineLevel="1">
      <c r="A914" s="26">
        <v>2.0</v>
      </c>
      <c r="B914" s="1"/>
      <c r="C914" s="1"/>
      <c r="D914" s="1"/>
      <c r="E914" s="14"/>
      <c r="F914" s="15"/>
      <c r="G914" s="16"/>
      <c r="H914" s="11"/>
      <c r="I914" s="7"/>
      <c r="J914" s="7" t="str">
        <f>IFERROR(LET(_xlpm.v,
VLOOKUP($I914,'用語辞書'!$A:$B,COLUMN('用語辞書'!B$1),FALSE),
IF(_xlpm.v=0,"",_xlpm.v)
),"")</f>
        <v/>
      </c>
      <c r="K914" s="17"/>
      <c r="L914" s="17" t="str">
        <f>IF(OR(COUNTIF('クラス'!$A$1:$A$1267,$B914)&gt;0,$B914="",$M914=""),"",True)</f>
        <v/>
      </c>
      <c r="M914" s="1" t="str">
        <f t="shared" si="21"/>
        <v>存在しない</v>
      </c>
      <c r="N914" s="1" t="s">
        <v>29</v>
      </c>
      <c r="O914" s="1"/>
      <c r="P914" s="11"/>
      <c r="Q914" s="11"/>
      <c r="R914" s="11"/>
      <c r="S914" s="11"/>
      <c r="T914" s="1"/>
      <c r="U914" s="1"/>
      <c r="V914" s="1"/>
      <c r="W914" s="1"/>
      <c r="X914" s="1"/>
      <c r="Y914" s="1"/>
      <c r="Z914" s="1"/>
    </row>
    <row r="915" ht="18.0" customHeight="1" outlineLevel="1">
      <c r="A915" s="26">
        <v>3.0</v>
      </c>
      <c r="B915" s="26" t="s">
        <v>1425</v>
      </c>
      <c r="C915" s="1"/>
      <c r="D915" s="26" t="s">
        <v>1348</v>
      </c>
      <c r="E915" s="29" t="s">
        <v>33</v>
      </c>
      <c r="F915" s="15"/>
      <c r="G915" s="30">
        <v>70.0</v>
      </c>
      <c r="H915" s="22" t="s">
        <v>1426</v>
      </c>
      <c r="I915" s="7"/>
      <c r="J915" s="7" t="str">
        <f>IFERROR(LET(_xlpm.v,
VLOOKUP($I915,'用語辞書'!$A:$B,COLUMN('用語辞書'!B$1),FALSE),
IF(_xlpm.v=0,"",_xlpm.v)
),"")</f>
        <v/>
      </c>
      <c r="K915" s="17"/>
      <c r="L915" s="17" t="b">
        <f>IF(OR(COUNTIF('クラス'!$A$1:$A$1267,$B915)&gt;0,$B915="",$M915=""),"",True)</f>
        <v>1</v>
      </c>
      <c r="M915" s="1" t="str">
        <f t="shared" si="21"/>
        <v>存在しない</v>
      </c>
      <c r="N915" s="1" t="s">
        <v>29</v>
      </c>
      <c r="O915" s="1"/>
      <c r="P915" s="11"/>
      <c r="Q915" s="11"/>
      <c r="R915" s="11"/>
      <c r="S915" s="11"/>
      <c r="T915" s="1"/>
      <c r="U915" s="1"/>
      <c r="V915" s="1"/>
      <c r="W915" s="1"/>
      <c r="X915" s="1"/>
      <c r="Y915" s="1"/>
      <c r="Z915" s="1"/>
    </row>
    <row r="916" ht="18.0" customHeight="1" outlineLevel="1">
      <c r="A916" s="26">
        <v>4.0</v>
      </c>
      <c r="B916" s="1"/>
      <c r="C916" s="1"/>
      <c r="D916" s="1"/>
      <c r="E916" s="14"/>
      <c r="F916" s="15"/>
      <c r="G916" s="16"/>
      <c r="H916" s="11"/>
      <c r="I916" s="7"/>
      <c r="J916" s="7" t="str">
        <f>IFERROR(LET(_xlpm.v,
VLOOKUP($I916,'用語辞書'!$A:$B,COLUMN('用語辞書'!B$1),FALSE),
IF(_xlpm.v=0,"",_xlpm.v)
),"")</f>
        <v/>
      </c>
      <c r="K916" s="17"/>
      <c r="L916" s="17" t="str">
        <f>IF(OR(COUNTIF('クラス'!$A$1:$A$1267,$B916)&gt;0,$B916="",$M916=""),"",True)</f>
        <v/>
      </c>
      <c r="M916" s="1" t="str">
        <f t="shared" si="21"/>
        <v>存在しない</v>
      </c>
      <c r="N916" s="1" t="s">
        <v>29</v>
      </c>
      <c r="O916" s="1"/>
      <c r="P916" s="11"/>
      <c r="Q916" s="11"/>
      <c r="R916" s="11"/>
      <c r="S916" s="11"/>
      <c r="T916" s="1"/>
      <c r="U916" s="1"/>
      <c r="V916" s="1"/>
      <c r="W916" s="1"/>
      <c r="X916" s="1"/>
      <c r="Y916" s="1"/>
      <c r="Z916" s="1"/>
    </row>
    <row r="917" ht="18.0" customHeight="1" outlineLevel="1">
      <c r="A917" s="26">
        <v>5.0</v>
      </c>
      <c r="B917" s="26" t="s">
        <v>1427</v>
      </c>
      <c r="C917" s="1"/>
      <c r="D917" s="26"/>
      <c r="E917" s="29" t="s">
        <v>55</v>
      </c>
      <c r="F917" s="15"/>
      <c r="G917" s="30"/>
      <c r="H917" s="22" t="s">
        <v>1428</v>
      </c>
      <c r="I917" s="7"/>
      <c r="J917" s="7" t="str">
        <f>IFERROR(LET(_xlpm.v,
VLOOKUP($I917,'用語辞書'!$A:$B,COLUMN('用語辞書'!B$1),FALSE),
IF(_xlpm.v=0,"",_xlpm.v)
),"")</f>
        <v/>
      </c>
      <c r="K917" s="17"/>
      <c r="L917" s="17" t="b">
        <f>IF(OR(COUNTIF('クラス'!$A$1:$A$1267,$B917)&gt;0,$B917="",$M917=""),"",True)</f>
        <v>1</v>
      </c>
      <c r="M917" s="1" t="str">
        <f t="shared" si="21"/>
        <v>存在しない</v>
      </c>
      <c r="N917" s="1" t="s">
        <v>29</v>
      </c>
      <c r="O917" s="1"/>
      <c r="P917" s="11"/>
      <c r="Q917" s="11"/>
      <c r="R917" s="11"/>
      <c r="S917" s="11"/>
      <c r="T917" s="1"/>
      <c r="U917" s="1"/>
      <c r="V917" s="1"/>
      <c r="W917" s="1"/>
      <c r="X917" s="1"/>
      <c r="Y917" s="1"/>
      <c r="Z917" s="1"/>
    </row>
    <row r="918" ht="18.0" customHeight="1" outlineLevel="1">
      <c r="A918" s="26">
        <v>6.0</v>
      </c>
      <c r="B918" s="1"/>
      <c r="C918" s="1"/>
      <c r="D918" s="1"/>
      <c r="E918" s="14"/>
      <c r="F918" s="15"/>
      <c r="G918" s="16"/>
      <c r="H918" s="11"/>
      <c r="I918" s="7"/>
      <c r="J918" s="7" t="str">
        <f>IFERROR(LET(_xlpm.v,
VLOOKUP($I918,'用語辞書'!$A:$B,COLUMN('用語辞書'!B$1),FALSE),
IF(_xlpm.v=0,"",_xlpm.v)
),"")</f>
        <v/>
      </c>
      <c r="K918" s="17"/>
      <c r="L918" s="17" t="str">
        <f>IF(OR(COUNTIF('クラス'!$A$1:$A$1267,$B918)&gt;0,$B918="",$M918=""),"",True)</f>
        <v/>
      </c>
      <c r="M918" s="1" t="str">
        <f t="shared" si="21"/>
        <v>存在しない</v>
      </c>
      <c r="N918" s="1" t="s">
        <v>29</v>
      </c>
      <c r="O918" s="1"/>
      <c r="P918" s="11"/>
      <c r="Q918" s="11"/>
      <c r="R918" s="11"/>
      <c r="S918" s="11"/>
      <c r="T918" s="1"/>
      <c r="U918" s="1"/>
      <c r="V918" s="1"/>
      <c r="W918" s="1"/>
      <c r="X918" s="1"/>
      <c r="Y918" s="1"/>
      <c r="Z918" s="1"/>
    </row>
    <row r="919" ht="18.0" customHeight="1" outlineLevel="1">
      <c r="A919" s="26">
        <v>7.0</v>
      </c>
      <c r="B919" s="26" t="s">
        <v>1429</v>
      </c>
      <c r="C919" s="1"/>
      <c r="D919" s="26" t="s">
        <v>1348</v>
      </c>
      <c r="E919" s="29" t="s">
        <v>33</v>
      </c>
      <c r="F919" s="15"/>
      <c r="G919" s="30">
        <v>90.0</v>
      </c>
      <c r="H919" s="22" t="s">
        <v>1430</v>
      </c>
      <c r="I919" s="7"/>
      <c r="J919" s="7" t="str">
        <f>IFERROR(LET(_xlpm.v,
VLOOKUP($I919,'用語辞書'!$A:$B,COLUMN('用語辞書'!B$1),FALSE),
IF(_xlpm.v=0,"",_xlpm.v)
),"")</f>
        <v/>
      </c>
      <c r="K919" s="17"/>
      <c r="L919" s="17" t="b">
        <f>IF(OR(COUNTIF('クラス'!$A$1:$A$1267,$B919)&gt;0,$B919="",$M919=""),"",True)</f>
        <v>1</v>
      </c>
      <c r="M919" s="1" t="str">
        <f t="shared" si="21"/>
        <v>存在しない</v>
      </c>
      <c r="N919" s="1" t="s">
        <v>29</v>
      </c>
      <c r="O919" s="1"/>
      <c r="P919" s="11"/>
      <c r="Q919" s="11"/>
      <c r="R919" s="11"/>
      <c r="S919" s="11"/>
      <c r="T919" s="1"/>
      <c r="U919" s="1"/>
      <c r="V919" s="1"/>
      <c r="W919" s="1"/>
      <c r="X919" s="1"/>
      <c r="Y919" s="1"/>
      <c r="Z919" s="1"/>
    </row>
    <row r="920" ht="18.0" customHeight="1" outlineLevel="1">
      <c r="A920" s="26">
        <v>8.0</v>
      </c>
      <c r="B920" s="1"/>
      <c r="C920" s="1"/>
      <c r="D920" s="1"/>
      <c r="E920" s="14"/>
      <c r="F920" s="15"/>
      <c r="G920" s="16"/>
      <c r="H920" s="11"/>
      <c r="I920" s="7"/>
      <c r="J920" s="7" t="str">
        <f>IFERROR(LET(_xlpm.v,
VLOOKUP($I920,'用語辞書'!$A:$B,COLUMN('用語辞書'!B$1),FALSE),
IF(_xlpm.v=0,"",_xlpm.v)
),"")</f>
        <v/>
      </c>
      <c r="K920" s="17"/>
      <c r="L920" s="17" t="str">
        <f>IF(OR(COUNTIF('クラス'!$A$1:$A$1267,$B920)&gt;0,$B920="",$M920=""),"",True)</f>
        <v/>
      </c>
      <c r="M920" s="1" t="str">
        <f t="shared" si="21"/>
        <v>存在しない</v>
      </c>
      <c r="N920" s="1" t="s">
        <v>29</v>
      </c>
      <c r="O920" s="1"/>
      <c r="P920" s="11"/>
      <c r="Q920" s="11"/>
      <c r="R920" s="11"/>
      <c r="S920" s="11"/>
      <c r="T920" s="1"/>
      <c r="U920" s="1"/>
      <c r="V920" s="1"/>
      <c r="W920" s="1"/>
      <c r="X920" s="1"/>
      <c r="Y920" s="1"/>
      <c r="Z920" s="1"/>
    </row>
    <row r="921" ht="18.0" customHeight="1" outlineLevel="1">
      <c r="A921" s="26">
        <v>9.0</v>
      </c>
      <c r="B921" s="26" t="s">
        <v>1431</v>
      </c>
      <c r="C921" s="1"/>
      <c r="D921" s="26" t="s">
        <v>716</v>
      </c>
      <c r="E921" s="29" t="s">
        <v>33</v>
      </c>
      <c r="F921" s="15"/>
      <c r="G921" s="30">
        <v>90.0</v>
      </c>
      <c r="H921" s="22" t="s">
        <v>1432</v>
      </c>
      <c r="I921" s="7"/>
      <c r="J921" s="7" t="str">
        <f>IFERROR(LET(_xlpm.v,
VLOOKUP($I921,'用語辞書'!$A:$B,COLUMN('用語辞書'!B$1),FALSE),
IF(_xlpm.v=0,"",_xlpm.v)
),"")</f>
        <v/>
      </c>
      <c r="K921" s="17"/>
      <c r="L921" s="17" t="b">
        <f>IF(OR(COUNTIF('クラス'!$A$1:$A$1267,$B921)&gt;0,$B921="",$M921=""),"",True)</f>
        <v>1</v>
      </c>
      <c r="M921" s="1" t="str">
        <f t="shared" si="21"/>
        <v>存在しない</v>
      </c>
      <c r="N921" s="1" t="s">
        <v>29</v>
      </c>
      <c r="O921" s="1"/>
      <c r="P921" s="11"/>
      <c r="Q921" s="11"/>
      <c r="R921" s="11"/>
      <c r="S921" s="11"/>
      <c r="T921" s="1"/>
      <c r="U921" s="1"/>
      <c r="V921" s="1"/>
      <c r="W921" s="1"/>
      <c r="X921" s="1"/>
      <c r="Y921" s="1"/>
      <c r="Z921" s="1"/>
    </row>
    <row r="922" ht="18.0" customHeight="1" outlineLevel="1">
      <c r="A922" s="26">
        <v>10.0</v>
      </c>
      <c r="B922" s="26" t="s">
        <v>1433</v>
      </c>
      <c r="C922" s="1"/>
      <c r="D922" s="26" t="s">
        <v>716</v>
      </c>
      <c r="E922" s="29" t="s">
        <v>33</v>
      </c>
      <c r="F922" s="15"/>
      <c r="G922" s="30">
        <v>120.0</v>
      </c>
      <c r="H922" s="22" t="s">
        <v>1434</v>
      </c>
      <c r="I922" s="32"/>
      <c r="J922" s="7" t="str">
        <f>IFERROR(LET(_xlpm.v,
VLOOKUP($I922,'用語辞書'!$A:$B,COLUMN('用語辞書'!B$1),FALSE),
IF(_xlpm.v=0,"",_xlpm.v)
),"")</f>
        <v/>
      </c>
      <c r="K922" s="17"/>
      <c r="L922" s="17" t="b">
        <f>IF(OR(COUNTIF('クラス'!$A$1:$A$1267,$B922)&gt;0,$B922="",$M922=""),"",True)</f>
        <v>1</v>
      </c>
      <c r="M922" s="1" t="str">
        <f t="shared" si="21"/>
        <v>存在しない</v>
      </c>
      <c r="N922" s="1" t="s">
        <v>29</v>
      </c>
      <c r="O922" s="1"/>
      <c r="P922" s="11"/>
      <c r="Q922" s="11"/>
      <c r="R922" s="11"/>
      <c r="S922" s="11"/>
      <c r="T922" s="1"/>
      <c r="U922" s="1"/>
      <c r="V922" s="1"/>
      <c r="W922" s="1"/>
      <c r="X922" s="1"/>
      <c r="Y922" s="1"/>
      <c r="Z922" s="1"/>
    </row>
    <row r="923" ht="18.0" customHeight="1" outlineLevel="1">
      <c r="A923" s="1"/>
      <c r="B923" s="1"/>
      <c r="C923" s="1"/>
      <c r="D923" s="1"/>
      <c r="E923" s="14"/>
      <c r="F923" s="15"/>
      <c r="G923" s="16"/>
      <c r="H923" s="11"/>
      <c r="I923" s="7"/>
      <c r="J923" s="7" t="str">
        <f>IFERROR(LET(_xlpm.v,
VLOOKUP($I923,'用語辞書'!$A:$B,COLUMN('用語辞書'!B$1),FALSE),
IF(_xlpm.v=0,"",_xlpm.v)
),"")</f>
        <v/>
      </c>
      <c r="K923" s="17"/>
      <c r="L923" s="17" t="str">
        <f>IF(OR(COUNTIF('クラス'!$A$1:$A$1267,$B923)&gt;0,$B923="",$M923=""),"",True)</f>
        <v/>
      </c>
      <c r="M923" s="1" t="str">
        <f t="shared" si="21"/>
        <v>存在しない</v>
      </c>
      <c r="N923" s="1" t="s">
        <v>29</v>
      </c>
      <c r="O923" s="1"/>
      <c r="P923" s="11"/>
      <c r="Q923" s="11"/>
      <c r="R923" s="11"/>
      <c r="S923" s="11"/>
      <c r="T923" s="1"/>
      <c r="U923" s="1"/>
      <c r="V923" s="1"/>
      <c r="W923" s="1"/>
      <c r="X923" s="1"/>
      <c r="Y923" s="1"/>
      <c r="Z923" s="1"/>
    </row>
    <row r="924" ht="18.0" customHeight="1" outlineLevel="1">
      <c r="A924" s="1"/>
      <c r="B924" s="1"/>
      <c r="C924" s="1"/>
      <c r="D924" s="1"/>
      <c r="E924" s="14"/>
      <c r="F924" s="15"/>
      <c r="G924" s="16"/>
      <c r="H924" s="11"/>
      <c r="I924" s="7"/>
      <c r="J924" s="7" t="str">
        <f>IFERROR(LET(_xlpm.v,
VLOOKUP($I924,'用語辞書'!$A:$B,COLUMN('用語辞書'!B$1),FALSE),
IF(_xlpm.v=0,"",_xlpm.v)
),"")</f>
        <v/>
      </c>
      <c r="K924" s="17"/>
      <c r="L924" s="17" t="str">
        <f>IF(OR(COUNTIF('クラス'!$A$1:$A$1267,$B924)&gt;0,$B924="",$M924=""),"",True)</f>
        <v/>
      </c>
      <c r="M924" s="1" t="str">
        <f t="shared" si="21"/>
        <v>存在しない</v>
      </c>
      <c r="N924" s="1" t="s">
        <v>29</v>
      </c>
      <c r="O924" s="1"/>
      <c r="P924" s="11"/>
      <c r="Q924" s="11"/>
      <c r="R924" s="11"/>
      <c r="S924" s="11"/>
      <c r="T924" s="1"/>
      <c r="U924" s="1"/>
      <c r="V924" s="1"/>
      <c r="W924" s="1"/>
      <c r="X924" s="1"/>
      <c r="Y924" s="1"/>
      <c r="Z924" s="1"/>
    </row>
    <row r="925" ht="18.0" customHeight="1" outlineLevel="1">
      <c r="A925" s="1"/>
      <c r="B925" s="26" t="s">
        <v>1435</v>
      </c>
      <c r="C925" s="1"/>
      <c r="D925" s="1"/>
      <c r="E925" s="14"/>
      <c r="F925" s="15"/>
      <c r="G925" s="16"/>
      <c r="H925" s="11"/>
      <c r="I925" s="7"/>
      <c r="J925" s="7" t="str">
        <f>IFERROR(LET(_xlpm.v,
VLOOKUP($I925,'用語辞書'!$A:$B,COLUMN('用語辞書'!B$1),FALSE),
IF(_xlpm.v=0,"",_xlpm.v)
),"")</f>
        <v/>
      </c>
      <c r="K925" s="17"/>
      <c r="L925" s="17" t="str">
        <f>IF(OR(COUNTIF('クラス'!$A$1:$A$1267,$B925)&gt;0,$B925="",$M925=""),"",True)</f>
        <v/>
      </c>
      <c r="M925" s="1" t="str">
        <f t="shared" si="21"/>
        <v>存在しない</v>
      </c>
      <c r="N925" s="1" t="s">
        <v>29</v>
      </c>
      <c r="O925" s="1"/>
      <c r="P925" s="11"/>
      <c r="Q925" s="11"/>
      <c r="R925" s="11"/>
      <c r="S925" s="11"/>
      <c r="T925" s="1"/>
      <c r="U925" s="1"/>
      <c r="V925" s="1"/>
      <c r="W925" s="1"/>
      <c r="X925" s="1"/>
      <c r="Y925" s="1"/>
      <c r="Z925" s="1"/>
    </row>
    <row r="926" ht="18.0" customHeight="1" outlineLevel="1">
      <c r="A926" s="26">
        <v>1.0</v>
      </c>
      <c r="B926" s="26" t="s">
        <v>1436</v>
      </c>
      <c r="C926" s="1"/>
      <c r="D926" s="1"/>
      <c r="E926" s="29" t="s">
        <v>55</v>
      </c>
      <c r="F926" s="15"/>
      <c r="G926" s="16"/>
      <c r="H926" s="22" t="s">
        <v>1437</v>
      </c>
      <c r="I926" s="7"/>
      <c r="J926" s="7" t="str">
        <f>IFERROR(LET(_xlpm.v,
VLOOKUP($I926,'用語辞書'!$A:$B,COLUMN('用語辞書'!B$1),FALSE),
IF(_xlpm.v=0,"",_xlpm.v)
),"")</f>
        <v/>
      </c>
      <c r="K926" s="17"/>
      <c r="L926" s="17" t="b">
        <f>IF(OR(COUNTIF('クラス'!$A$1:$A$1267,$B926)&gt;0,$B926="",$M926=""),"",True)</f>
        <v>1</v>
      </c>
      <c r="M926" s="1" t="str">
        <f t="shared" si="21"/>
        <v>存在しない</v>
      </c>
      <c r="N926" s="1" t="s">
        <v>29</v>
      </c>
      <c r="O926" s="1"/>
      <c r="P926" s="11"/>
      <c r="Q926" s="11"/>
      <c r="R926" s="11"/>
      <c r="S926" s="11"/>
      <c r="T926" s="1"/>
      <c r="U926" s="1"/>
      <c r="V926" s="1"/>
      <c r="W926" s="1"/>
      <c r="X926" s="1"/>
      <c r="Y926" s="1"/>
      <c r="Z926" s="1"/>
    </row>
    <row r="927" ht="18.0" customHeight="1" outlineLevel="1">
      <c r="A927" s="26">
        <v>2.0</v>
      </c>
      <c r="B927" s="1"/>
      <c r="C927" s="1"/>
      <c r="D927" s="1"/>
      <c r="E927" s="14"/>
      <c r="F927" s="15"/>
      <c r="G927" s="16"/>
      <c r="H927" s="11"/>
      <c r="I927" s="7"/>
      <c r="J927" s="7" t="str">
        <f>IFERROR(LET(_xlpm.v,
VLOOKUP($I927,'用語辞書'!$A:$B,COLUMN('用語辞書'!B$1),FALSE),
IF(_xlpm.v=0,"",_xlpm.v)
),"")</f>
        <v/>
      </c>
      <c r="K927" s="17"/>
      <c r="L927" s="17" t="str">
        <f>IF(OR(COUNTIF('クラス'!$A$1:$A$1267,$B927)&gt;0,$B927="",$M927=""),"",True)</f>
        <v/>
      </c>
      <c r="M927" s="1" t="str">
        <f t="shared" si="21"/>
        <v>存在しない</v>
      </c>
      <c r="N927" s="1" t="s">
        <v>29</v>
      </c>
      <c r="O927" s="1"/>
      <c r="P927" s="11"/>
      <c r="Q927" s="11"/>
      <c r="R927" s="11"/>
      <c r="S927" s="11"/>
      <c r="T927" s="1"/>
      <c r="U927" s="1"/>
      <c r="V927" s="1"/>
      <c r="W927" s="1"/>
      <c r="X927" s="1"/>
      <c r="Y927" s="1"/>
      <c r="Z927" s="1"/>
    </row>
    <row r="928" ht="18.0" customHeight="1" outlineLevel="1">
      <c r="A928" s="26">
        <v>3.0</v>
      </c>
      <c r="B928" s="26" t="s">
        <v>1438</v>
      </c>
      <c r="C928" s="1"/>
      <c r="D928" s="1"/>
      <c r="E928" s="29" t="s">
        <v>33</v>
      </c>
      <c r="F928" s="15"/>
      <c r="G928" s="30">
        <v>40.0</v>
      </c>
      <c r="H928" s="22" t="s">
        <v>1439</v>
      </c>
      <c r="I928" s="7"/>
      <c r="J928" s="7" t="str">
        <f>IFERROR(LET(_xlpm.v,
VLOOKUP($I928,'用語辞書'!$A:$B,COLUMN('用語辞書'!B$1),FALSE),
IF(_xlpm.v=0,"",_xlpm.v)
),"")</f>
        <v/>
      </c>
      <c r="K928" s="17"/>
      <c r="L928" s="17" t="b">
        <f>IF(OR(COUNTIF('クラス'!$A$1:$A$1267,$B928)&gt;0,$B928="",$M928=""),"",True)</f>
        <v>1</v>
      </c>
      <c r="M928" s="1" t="str">
        <f t="shared" si="21"/>
        <v>存在しない</v>
      </c>
      <c r="N928" s="1" t="s">
        <v>29</v>
      </c>
      <c r="O928" s="1"/>
      <c r="P928" s="11"/>
      <c r="Q928" s="11"/>
      <c r="R928" s="11"/>
      <c r="S928" s="11"/>
      <c r="T928" s="1"/>
      <c r="U928" s="1"/>
      <c r="V928" s="1"/>
      <c r="W928" s="1"/>
      <c r="X928" s="1"/>
      <c r="Y928" s="1"/>
      <c r="Z928" s="1"/>
    </row>
    <row r="929" ht="18.0" customHeight="1" outlineLevel="1">
      <c r="A929" s="26">
        <v>4.0</v>
      </c>
      <c r="B929" s="1"/>
      <c r="C929" s="1"/>
      <c r="D929" s="1"/>
      <c r="E929" s="14"/>
      <c r="F929" s="15"/>
      <c r="G929" s="16"/>
      <c r="H929" s="11"/>
      <c r="I929" s="7"/>
      <c r="J929" s="7" t="str">
        <f>IFERROR(LET(_xlpm.v,
VLOOKUP($I929,'用語辞書'!$A:$B,COLUMN('用語辞書'!B$1),FALSE),
IF(_xlpm.v=0,"",_xlpm.v)
),"")</f>
        <v/>
      </c>
      <c r="K929" s="17"/>
      <c r="L929" s="17" t="str">
        <f>IF(OR(COUNTIF('クラス'!$A$1:$A$1267,$B929)&gt;0,$B929="",$M929=""),"",True)</f>
        <v/>
      </c>
      <c r="M929" s="1" t="str">
        <f t="shared" si="21"/>
        <v>存在しない</v>
      </c>
      <c r="N929" s="1" t="s">
        <v>29</v>
      </c>
      <c r="O929" s="1"/>
      <c r="P929" s="11"/>
      <c r="Q929" s="11"/>
      <c r="R929" s="11"/>
      <c r="S929" s="11"/>
      <c r="T929" s="1"/>
      <c r="U929" s="1"/>
      <c r="V929" s="1"/>
      <c r="W929" s="1"/>
      <c r="X929" s="1"/>
      <c r="Y929" s="1"/>
      <c r="Z929" s="1"/>
    </row>
    <row r="930" ht="18.0" customHeight="1" outlineLevel="1">
      <c r="A930" s="26">
        <v>5.0</v>
      </c>
      <c r="B930" s="26" t="s">
        <v>1440</v>
      </c>
      <c r="C930" s="1"/>
      <c r="D930" s="26" t="s">
        <v>716</v>
      </c>
      <c r="E930" s="29" t="s">
        <v>33</v>
      </c>
      <c r="F930" s="15"/>
      <c r="G930" s="30">
        <v>60.0</v>
      </c>
      <c r="H930" s="22" t="s">
        <v>1441</v>
      </c>
      <c r="I930" s="7"/>
      <c r="J930" s="7" t="str">
        <f>IFERROR(LET(_xlpm.v,
VLOOKUP($I930,'用語辞書'!$A:$B,COLUMN('用語辞書'!B$1),FALSE),
IF(_xlpm.v=0,"",_xlpm.v)
),"")</f>
        <v/>
      </c>
      <c r="K930" s="17"/>
      <c r="L930" s="17" t="b">
        <f>IF(OR(COUNTIF('クラス'!$A$1:$A$1267,$B930)&gt;0,$B930="",$M930=""),"",True)</f>
        <v>1</v>
      </c>
      <c r="M930" s="1" t="str">
        <f t="shared" si="21"/>
        <v>存在しない</v>
      </c>
      <c r="N930" s="1" t="s">
        <v>29</v>
      </c>
      <c r="O930" s="1"/>
      <c r="P930" s="11"/>
      <c r="Q930" s="11"/>
      <c r="R930" s="11"/>
      <c r="S930" s="11"/>
      <c r="T930" s="1"/>
      <c r="U930" s="1"/>
      <c r="V930" s="1"/>
      <c r="W930" s="1"/>
      <c r="X930" s="1"/>
      <c r="Y930" s="1"/>
      <c r="Z930" s="1"/>
    </row>
    <row r="931" ht="18.0" customHeight="1" outlineLevel="1">
      <c r="A931" s="26">
        <v>6.0</v>
      </c>
      <c r="B931" s="1"/>
      <c r="C931" s="1"/>
      <c r="D931" s="1"/>
      <c r="E931" s="14"/>
      <c r="F931" s="15"/>
      <c r="G931" s="16"/>
      <c r="H931" s="11"/>
      <c r="I931" s="7"/>
      <c r="J931" s="7" t="str">
        <f>IFERROR(LET(_xlpm.v,
VLOOKUP($I931,'用語辞書'!$A:$B,COLUMN('用語辞書'!B$1),FALSE),
IF(_xlpm.v=0,"",_xlpm.v)
),"")</f>
        <v/>
      </c>
      <c r="K931" s="17"/>
      <c r="L931" s="17" t="str">
        <f>IF(OR(COUNTIF('クラス'!$A$1:$A$1267,$B931)&gt;0,$B931="",$M931=""),"",True)</f>
        <v/>
      </c>
      <c r="M931" s="1" t="str">
        <f t="shared" si="21"/>
        <v>存在しない</v>
      </c>
      <c r="N931" s="1" t="s">
        <v>29</v>
      </c>
      <c r="O931" s="1"/>
      <c r="P931" s="11"/>
      <c r="Q931" s="11"/>
      <c r="R931" s="11"/>
      <c r="S931" s="11"/>
      <c r="T931" s="1"/>
      <c r="U931" s="1"/>
      <c r="V931" s="1"/>
      <c r="W931" s="1"/>
      <c r="X931" s="1"/>
      <c r="Y931" s="1"/>
      <c r="Z931" s="1"/>
    </row>
    <row r="932" ht="18.0" customHeight="1" outlineLevel="1">
      <c r="A932" s="26">
        <v>7.0</v>
      </c>
      <c r="B932" s="26" t="s">
        <v>1442</v>
      </c>
      <c r="C932" s="1"/>
      <c r="D932" s="1"/>
      <c r="E932" s="29" t="s">
        <v>55</v>
      </c>
      <c r="F932" s="15"/>
      <c r="G932" s="30"/>
      <c r="H932" s="22" t="s">
        <v>1443</v>
      </c>
      <c r="I932" s="7"/>
      <c r="J932" s="7" t="str">
        <f>IFERROR(LET(_xlpm.v,
VLOOKUP($I932,'用語辞書'!$A:$B,COLUMN('用語辞書'!B$1),FALSE),
IF(_xlpm.v=0,"",_xlpm.v)
),"")</f>
        <v/>
      </c>
      <c r="K932" s="17"/>
      <c r="L932" s="17" t="b">
        <f>IF(OR(COUNTIF('クラス'!$A$1:$A$1267,$B932)&gt;0,$B932="",$M932=""),"",True)</f>
        <v>1</v>
      </c>
      <c r="M932" s="1" t="str">
        <f t="shared" si="21"/>
        <v>存在しない</v>
      </c>
      <c r="N932" s="1" t="s">
        <v>29</v>
      </c>
      <c r="O932" s="1"/>
      <c r="P932" s="11"/>
      <c r="Q932" s="11"/>
      <c r="R932" s="11"/>
      <c r="S932" s="11"/>
      <c r="T932" s="1"/>
      <c r="U932" s="1"/>
      <c r="V932" s="1"/>
      <c r="W932" s="1"/>
      <c r="X932" s="1"/>
      <c r="Y932" s="1"/>
      <c r="Z932" s="1"/>
    </row>
    <row r="933" ht="18.0" customHeight="1" outlineLevel="1">
      <c r="A933" s="26">
        <v>8.0</v>
      </c>
      <c r="B933" s="1"/>
      <c r="C933" s="1"/>
      <c r="D933" s="1"/>
      <c r="E933" s="14"/>
      <c r="F933" s="15"/>
      <c r="G933" s="16"/>
      <c r="H933" s="11"/>
      <c r="I933" s="7"/>
      <c r="J933" s="7" t="str">
        <f>IFERROR(LET(_xlpm.v,
VLOOKUP($I933,'用語辞書'!$A:$B,COLUMN('用語辞書'!B$1),FALSE),
IF(_xlpm.v=0,"",_xlpm.v)
),"")</f>
        <v/>
      </c>
      <c r="K933" s="17"/>
      <c r="L933" s="17" t="str">
        <f>IF(OR(COUNTIF('クラス'!$A$1:$A$1267,$B933)&gt;0,$B933="",$M933=""),"",True)</f>
        <v/>
      </c>
      <c r="M933" s="1" t="str">
        <f t="shared" si="21"/>
        <v>存在しない</v>
      </c>
      <c r="N933" s="1" t="s">
        <v>29</v>
      </c>
      <c r="O933" s="1"/>
      <c r="P933" s="11"/>
      <c r="Q933" s="11"/>
      <c r="R933" s="11"/>
      <c r="S933" s="11"/>
      <c r="T933" s="1"/>
      <c r="U933" s="1"/>
      <c r="V933" s="1"/>
      <c r="W933" s="1"/>
      <c r="X933" s="1"/>
      <c r="Y933" s="1"/>
      <c r="Z933" s="1"/>
    </row>
    <row r="934" ht="18.0" customHeight="1" outlineLevel="1">
      <c r="A934" s="26">
        <v>9.0</v>
      </c>
      <c r="B934" s="26" t="s">
        <v>1444</v>
      </c>
      <c r="C934" s="1"/>
      <c r="D934" s="26" t="s">
        <v>1342</v>
      </c>
      <c r="E934" s="29" t="s">
        <v>33</v>
      </c>
      <c r="F934" s="15"/>
      <c r="G934" s="30">
        <v>100.0</v>
      </c>
      <c r="H934" s="22" t="s">
        <v>1445</v>
      </c>
      <c r="I934" s="7"/>
      <c r="J934" s="7" t="str">
        <f>IFERROR(LET(_xlpm.v,
VLOOKUP($I934,'用語辞書'!$A:$B,COLUMN('用語辞書'!B$1),FALSE),
IF(_xlpm.v=0,"",_xlpm.v)
),"")</f>
        <v/>
      </c>
      <c r="K934" s="17"/>
      <c r="L934" s="17" t="b">
        <f>IF(OR(COUNTIF('クラス'!$A$1:$A$1267,$B934)&gt;0,$B934="",$M934=""),"",True)</f>
        <v>1</v>
      </c>
      <c r="M934" s="1" t="str">
        <f t="shared" si="21"/>
        <v>存在しない</v>
      </c>
      <c r="N934" s="1" t="s">
        <v>29</v>
      </c>
      <c r="O934" s="1"/>
      <c r="P934" s="11"/>
      <c r="Q934" s="11"/>
      <c r="R934" s="11"/>
      <c r="S934" s="11"/>
      <c r="T934" s="1"/>
      <c r="U934" s="1"/>
      <c r="V934" s="1"/>
      <c r="W934" s="1"/>
      <c r="X934" s="1"/>
      <c r="Y934" s="1"/>
      <c r="Z934" s="1"/>
    </row>
    <row r="935" ht="18.0" customHeight="1" outlineLevel="1">
      <c r="A935" s="26">
        <v>10.0</v>
      </c>
      <c r="B935" s="26" t="s">
        <v>1446</v>
      </c>
      <c r="C935" s="1"/>
      <c r="D935" s="1"/>
      <c r="E935" s="29" t="s">
        <v>55</v>
      </c>
      <c r="F935" s="15"/>
      <c r="G935" s="16"/>
      <c r="H935" s="22" t="s">
        <v>1447</v>
      </c>
      <c r="I935" s="32"/>
      <c r="J935" s="7" t="str">
        <f>IFERROR(LET(_xlpm.v,
VLOOKUP($I935,'用語辞書'!$A:$B,COLUMN('用語辞書'!B$1),FALSE),
IF(_xlpm.v=0,"",_xlpm.v)
),"")</f>
        <v/>
      </c>
      <c r="K935" s="17"/>
      <c r="L935" s="17" t="b">
        <f>IF(OR(COUNTIF('クラス'!$A$1:$A$1267,$B935)&gt;0,$B935="",$M935=""),"",True)</f>
        <v>1</v>
      </c>
      <c r="M935" s="1" t="str">
        <f t="shared" si="21"/>
        <v>存在しない</v>
      </c>
      <c r="N935" s="1" t="s">
        <v>29</v>
      </c>
      <c r="O935" s="1"/>
      <c r="P935" s="11"/>
      <c r="Q935" s="11"/>
      <c r="R935" s="11"/>
      <c r="S935" s="11"/>
      <c r="T935" s="1"/>
      <c r="U935" s="1"/>
      <c r="V935" s="1"/>
      <c r="W935" s="1"/>
      <c r="X935" s="1"/>
      <c r="Y935" s="1"/>
      <c r="Z935" s="1"/>
    </row>
    <row r="936" ht="18.0" customHeight="1" outlineLevel="1">
      <c r="A936" s="1"/>
      <c r="B936" s="1"/>
      <c r="C936" s="1"/>
      <c r="D936" s="1"/>
      <c r="E936" s="14"/>
      <c r="F936" s="15"/>
      <c r="G936" s="16"/>
      <c r="H936" s="11"/>
      <c r="I936" s="7"/>
      <c r="J936" s="7" t="str">
        <f>IFERROR(LET(_xlpm.v,
VLOOKUP($I936,'用語辞書'!$A:$B,COLUMN('用語辞書'!B$1),FALSE),
IF(_xlpm.v=0,"",_xlpm.v)
),"")</f>
        <v/>
      </c>
      <c r="K936" s="17"/>
      <c r="L936" s="17" t="str">
        <f>IF(OR(COUNTIF('クラス'!$A$1:$A$1267,$B936)&gt;0,$B936="",$M936=""),"",True)</f>
        <v/>
      </c>
      <c r="M936" s="1" t="str">
        <f t="shared" si="21"/>
        <v>存在しない</v>
      </c>
      <c r="N936" s="1" t="s">
        <v>29</v>
      </c>
      <c r="O936" s="1"/>
      <c r="P936" s="11"/>
      <c r="Q936" s="11"/>
      <c r="R936" s="11"/>
      <c r="S936" s="11"/>
      <c r="T936" s="1"/>
      <c r="U936" s="1"/>
      <c r="V936" s="1"/>
      <c r="W936" s="1"/>
      <c r="X936" s="1"/>
      <c r="Y936" s="1"/>
      <c r="Z936" s="1"/>
    </row>
    <row r="937" ht="18.0" customHeight="1" outlineLevel="1">
      <c r="A937" s="1"/>
      <c r="B937" s="1"/>
      <c r="C937" s="1"/>
      <c r="D937" s="1"/>
      <c r="E937" s="14"/>
      <c r="F937" s="15"/>
      <c r="G937" s="16"/>
      <c r="H937" s="11"/>
      <c r="I937" s="7"/>
      <c r="J937" s="7" t="str">
        <f>IFERROR(LET(_xlpm.v,
VLOOKUP($I937,'用語辞書'!$A:$B,COLUMN('用語辞書'!B$1),FALSE),
IF(_xlpm.v=0,"",_xlpm.v)
),"")</f>
        <v/>
      </c>
      <c r="K937" s="17"/>
      <c r="L937" s="17" t="str">
        <f>IF(OR(COUNTIF('クラス'!$A$1:$A$1267,$B937)&gt;0,$B937="",$M937=""),"",True)</f>
        <v/>
      </c>
      <c r="M937" s="1" t="str">
        <f t="shared" si="21"/>
        <v>存在しない</v>
      </c>
      <c r="N937" s="1" t="s">
        <v>29</v>
      </c>
      <c r="O937" s="1"/>
      <c r="P937" s="11"/>
      <c r="Q937" s="11"/>
      <c r="R937" s="11"/>
      <c r="S937" s="11"/>
      <c r="T937" s="1"/>
      <c r="U937" s="1"/>
      <c r="V937" s="1"/>
      <c r="W937" s="1"/>
      <c r="X937" s="1"/>
      <c r="Y937" s="1"/>
      <c r="Z937" s="1"/>
    </row>
    <row r="938" ht="18.0" customHeight="1" outlineLevel="1">
      <c r="A938" s="1"/>
      <c r="B938" s="26" t="s">
        <v>1448</v>
      </c>
      <c r="C938" s="1"/>
      <c r="D938" s="1"/>
      <c r="E938" s="14"/>
      <c r="F938" s="15"/>
      <c r="G938" s="16"/>
      <c r="H938" s="11"/>
      <c r="I938" s="7"/>
      <c r="J938" s="7" t="str">
        <f>IFERROR(LET(_xlpm.v,
VLOOKUP($I938,'用語辞書'!$A:$B,COLUMN('用語辞書'!B$1),FALSE),
IF(_xlpm.v=0,"",_xlpm.v)
),"")</f>
        <v/>
      </c>
      <c r="K938" s="17"/>
      <c r="L938" s="17" t="str">
        <f>IF(OR(COUNTIF('クラス'!$A$1:$A$1267,$B938)&gt;0,$B938="",$M938=""),"",True)</f>
        <v/>
      </c>
      <c r="M938" s="1" t="str">
        <f t="shared" si="21"/>
        <v>存在しない</v>
      </c>
      <c r="N938" s="1" t="s">
        <v>29</v>
      </c>
      <c r="O938" s="1"/>
      <c r="P938" s="11"/>
      <c r="Q938" s="11"/>
      <c r="R938" s="11"/>
      <c r="S938" s="11"/>
      <c r="T938" s="1"/>
      <c r="U938" s="1"/>
      <c r="V938" s="1"/>
      <c r="W938" s="1"/>
      <c r="X938" s="1"/>
      <c r="Y938" s="1"/>
      <c r="Z938" s="1"/>
    </row>
    <row r="939" ht="18.0" customHeight="1" outlineLevel="1">
      <c r="A939" s="26">
        <v>1.0</v>
      </c>
      <c r="B939" s="26" t="s">
        <v>1449</v>
      </c>
      <c r="C939" s="1"/>
      <c r="D939" s="1"/>
      <c r="E939" s="29" t="s">
        <v>55</v>
      </c>
      <c r="F939" s="15"/>
      <c r="G939" s="16"/>
      <c r="H939" s="22" t="s">
        <v>1450</v>
      </c>
      <c r="I939" s="7"/>
      <c r="J939" s="7" t="str">
        <f>IFERROR(LET(_xlpm.v,
VLOOKUP($I939,'用語辞書'!$A:$B,COLUMN('用語辞書'!B$1),FALSE),
IF(_xlpm.v=0,"",_xlpm.v)
),"")</f>
        <v/>
      </c>
      <c r="K939" s="17"/>
      <c r="L939" s="17" t="b">
        <f>IF(OR(COUNTIF('クラス'!$A$1:$A$1267,$B939)&gt;0,$B939="",$M939=""),"",True)</f>
        <v>1</v>
      </c>
      <c r="M939" s="1" t="str">
        <f t="shared" si="21"/>
        <v>存在しない</v>
      </c>
      <c r="N939" s="1" t="s">
        <v>29</v>
      </c>
      <c r="O939" s="1"/>
      <c r="P939" s="11"/>
      <c r="Q939" s="11"/>
      <c r="R939" s="11"/>
      <c r="S939" s="11"/>
      <c r="T939" s="1"/>
      <c r="U939" s="1"/>
      <c r="V939" s="1"/>
      <c r="W939" s="1"/>
      <c r="X939" s="1"/>
      <c r="Y939" s="1"/>
      <c r="Z939" s="1"/>
    </row>
    <row r="940" ht="18.0" customHeight="1" outlineLevel="1">
      <c r="A940" s="26">
        <v>2.0</v>
      </c>
      <c r="B940" s="1"/>
      <c r="C940" s="1"/>
      <c r="D940" s="1"/>
      <c r="E940" s="14"/>
      <c r="F940" s="15"/>
      <c r="G940" s="16"/>
      <c r="H940" s="11"/>
      <c r="I940" s="7"/>
      <c r="J940" s="7" t="str">
        <f>IFERROR(LET(_xlpm.v,
VLOOKUP($I940,'用語辞書'!$A:$B,COLUMN('用語辞書'!B$1),FALSE),
IF(_xlpm.v=0,"",_xlpm.v)
),"")</f>
        <v/>
      </c>
      <c r="K940" s="17"/>
      <c r="L940" s="17" t="str">
        <f>IF(OR(COUNTIF('クラス'!$A$1:$A$1267,$B940)&gt;0,$B940="",$M940=""),"",True)</f>
        <v/>
      </c>
      <c r="M940" s="1" t="str">
        <f t="shared" si="21"/>
        <v>存在しない</v>
      </c>
      <c r="N940" s="1" t="s">
        <v>29</v>
      </c>
      <c r="O940" s="1"/>
      <c r="P940" s="11"/>
      <c r="Q940" s="11"/>
      <c r="R940" s="11"/>
      <c r="S940" s="11"/>
      <c r="T940" s="1"/>
      <c r="U940" s="1"/>
      <c r="V940" s="1"/>
      <c r="W940" s="1"/>
      <c r="X940" s="1"/>
      <c r="Y940" s="1"/>
      <c r="Z940" s="1"/>
    </row>
    <row r="941" ht="18.0" customHeight="1" outlineLevel="1">
      <c r="A941" s="26">
        <v>3.0</v>
      </c>
      <c r="B941" s="26" t="s">
        <v>1451</v>
      </c>
      <c r="C941" s="1"/>
      <c r="D941" s="26" t="s">
        <v>1452</v>
      </c>
      <c r="E941" s="29" t="s">
        <v>33</v>
      </c>
      <c r="F941" s="15"/>
      <c r="G941" s="30">
        <v>60.0</v>
      </c>
      <c r="H941" s="22" t="s">
        <v>1453</v>
      </c>
      <c r="I941" s="7"/>
      <c r="J941" s="7" t="str">
        <f>IFERROR(LET(_xlpm.v,
VLOOKUP($I941,'用語辞書'!$A:$B,COLUMN('用語辞書'!B$1),FALSE),
IF(_xlpm.v=0,"",_xlpm.v)
),"")</f>
        <v/>
      </c>
      <c r="K941" s="17"/>
      <c r="L941" s="17" t="b">
        <f>IF(OR(COUNTIF('クラス'!$A$1:$A$1267,$B941)&gt;0,$B941="",$M941=""),"",True)</f>
        <v>1</v>
      </c>
      <c r="M941" s="1" t="str">
        <f t="shared" si="21"/>
        <v>存在しない</v>
      </c>
      <c r="N941" s="1" t="s">
        <v>29</v>
      </c>
      <c r="O941" s="1"/>
      <c r="P941" s="11"/>
      <c r="Q941" s="11"/>
      <c r="R941" s="11"/>
      <c r="S941" s="11"/>
      <c r="T941" s="1"/>
      <c r="U941" s="1"/>
      <c r="V941" s="1"/>
      <c r="W941" s="1"/>
      <c r="X941" s="1"/>
      <c r="Y941" s="1"/>
      <c r="Z941" s="1"/>
    </row>
    <row r="942" ht="18.0" customHeight="1" outlineLevel="1">
      <c r="A942" s="26">
        <v>4.0</v>
      </c>
      <c r="B942" s="1"/>
      <c r="C942" s="1"/>
      <c r="D942" s="1"/>
      <c r="E942" s="14"/>
      <c r="F942" s="15"/>
      <c r="G942" s="16"/>
      <c r="H942" s="11"/>
      <c r="I942" s="7"/>
      <c r="J942" s="7" t="str">
        <f>IFERROR(LET(_xlpm.v,
VLOOKUP($I942,'用語辞書'!$A:$B,COLUMN('用語辞書'!B$1),FALSE),
IF(_xlpm.v=0,"",_xlpm.v)
),"")</f>
        <v/>
      </c>
      <c r="K942" s="17"/>
      <c r="L942" s="17" t="str">
        <f>IF(OR(COUNTIF('クラス'!$A$1:$A$1267,$B942)&gt;0,$B942="",$M942=""),"",True)</f>
        <v/>
      </c>
      <c r="M942" s="1" t="str">
        <f t="shared" si="21"/>
        <v>存在しない</v>
      </c>
      <c r="N942" s="1" t="s">
        <v>29</v>
      </c>
      <c r="O942" s="1"/>
      <c r="P942" s="11"/>
      <c r="Q942" s="11"/>
      <c r="R942" s="11"/>
      <c r="S942" s="11"/>
      <c r="T942" s="1"/>
      <c r="U942" s="1"/>
      <c r="V942" s="1"/>
      <c r="W942" s="1"/>
      <c r="X942" s="1"/>
      <c r="Y942" s="1"/>
      <c r="Z942" s="1"/>
    </row>
    <row r="943" ht="18.0" customHeight="1" outlineLevel="1">
      <c r="A943" s="26">
        <v>5.0</v>
      </c>
      <c r="B943" s="26" t="s">
        <v>1454</v>
      </c>
      <c r="C943" s="1"/>
      <c r="D943" s="26"/>
      <c r="E943" s="29" t="s">
        <v>55</v>
      </c>
      <c r="F943" s="15"/>
      <c r="G943" s="30"/>
      <c r="H943" s="22" t="s">
        <v>1455</v>
      </c>
      <c r="I943" s="7"/>
      <c r="J943" s="7" t="str">
        <f>IFERROR(LET(_xlpm.v,
VLOOKUP($I943,'用語辞書'!$A:$B,COLUMN('用語辞書'!B$1),FALSE),
IF(_xlpm.v=0,"",_xlpm.v)
),"")</f>
        <v/>
      </c>
      <c r="K943" s="17"/>
      <c r="L943" s="17" t="b">
        <f>IF(OR(COUNTIF('クラス'!$A$1:$A$1267,$B943)&gt;0,$B943="",$M943=""),"",True)</f>
        <v>1</v>
      </c>
      <c r="M943" s="1" t="str">
        <f t="shared" si="21"/>
        <v>存在しない</v>
      </c>
      <c r="N943" s="1" t="s">
        <v>29</v>
      </c>
      <c r="O943" s="1"/>
      <c r="P943" s="11"/>
      <c r="Q943" s="11"/>
      <c r="R943" s="11"/>
      <c r="S943" s="11"/>
      <c r="T943" s="1"/>
      <c r="U943" s="1"/>
      <c r="V943" s="1"/>
      <c r="W943" s="1"/>
      <c r="X943" s="1"/>
      <c r="Y943" s="1"/>
      <c r="Z943" s="1"/>
    </row>
    <row r="944" ht="18.0" customHeight="1" outlineLevel="1">
      <c r="A944" s="26">
        <v>6.0</v>
      </c>
      <c r="B944" s="1"/>
      <c r="C944" s="1"/>
      <c r="D944" s="1"/>
      <c r="E944" s="14"/>
      <c r="F944" s="15"/>
      <c r="G944" s="16"/>
      <c r="H944" s="11"/>
      <c r="I944" s="7"/>
      <c r="J944" s="7" t="str">
        <f>IFERROR(LET(_xlpm.v,
VLOOKUP($I944,'用語辞書'!$A:$B,COLUMN('用語辞書'!B$1),FALSE),
IF(_xlpm.v=0,"",_xlpm.v)
),"")</f>
        <v/>
      </c>
      <c r="K944" s="17"/>
      <c r="L944" s="17" t="str">
        <f>IF(OR(COUNTIF('クラス'!$A$1:$A$1267,$B944)&gt;0,$B944="",$M944=""),"",True)</f>
        <v/>
      </c>
      <c r="M944" s="1" t="str">
        <f t="shared" si="21"/>
        <v>存在しない</v>
      </c>
      <c r="N944" s="1" t="s">
        <v>29</v>
      </c>
      <c r="O944" s="1"/>
      <c r="P944" s="11"/>
      <c r="Q944" s="11"/>
      <c r="R944" s="11"/>
      <c r="S944" s="11"/>
      <c r="T944" s="1"/>
      <c r="U944" s="1"/>
      <c r="V944" s="1"/>
      <c r="W944" s="1"/>
      <c r="X944" s="1"/>
      <c r="Y944" s="1"/>
      <c r="Z944" s="1"/>
    </row>
    <row r="945" ht="18.0" customHeight="1" outlineLevel="1">
      <c r="A945" s="26">
        <v>7.0</v>
      </c>
      <c r="B945" s="26" t="s">
        <v>1456</v>
      </c>
      <c r="C945" s="1"/>
      <c r="D945" s="1"/>
      <c r="E945" s="29" t="s">
        <v>33</v>
      </c>
      <c r="F945" s="15"/>
      <c r="G945" s="30">
        <v>70.0</v>
      </c>
      <c r="H945" s="22" t="s">
        <v>1457</v>
      </c>
      <c r="I945" s="7"/>
      <c r="J945" s="7" t="str">
        <f>IFERROR(LET(_xlpm.v,
VLOOKUP($I945,'用語辞書'!$A:$B,COLUMN('用語辞書'!B$1),FALSE),
IF(_xlpm.v=0,"",_xlpm.v)
),"")</f>
        <v/>
      </c>
      <c r="K945" s="17"/>
      <c r="L945" s="17" t="b">
        <f>IF(OR(COUNTIF('クラス'!$A$1:$A$1267,$B945)&gt;0,$B945="",$M945=""),"",True)</f>
        <v>1</v>
      </c>
      <c r="M945" s="1" t="str">
        <f t="shared" si="21"/>
        <v>存在しない</v>
      </c>
      <c r="N945" s="1" t="s">
        <v>29</v>
      </c>
      <c r="O945" s="1"/>
      <c r="P945" s="11"/>
      <c r="Q945" s="11"/>
      <c r="R945" s="11"/>
      <c r="S945" s="11"/>
      <c r="T945" s="1"/>
      <c r="U945" s="1"/>
      <c r="V945" s="1"/>
      <c r="W945" s="1"/>
      <c r="X945" s="1"/>
      <c r="Y945" s="1"/>
      <c r="Z945" s="1"/>
    </row>
    <row r="946" ht="18.0" customHeight="1" outlineLevel="1">
      <c r="A946" s="26">
        <v>8.0</v>
      </c>
      <c r="B946" s="1"/>
      <c r="C946" s="1"/>
      <c r="D946" s="1"/>
      <c r="E946" s="14"/>
      <c r="F946" s="15"/>
      <c r="G946" s="16"/>
      <c r="H946" s="11"/>
      <c r="I946" s="7"/>
      <c r="J946" s="7" t="str">
        <f>IFERROR(LET(_xlpm.v,
VLOOKUP($I946,'用語辞書'!$A:$B,COLUMN('用語辞書'!B$1),FALSE),
IF(_xlpm.v=0,"",_xlpm.v)
),"")</f>
        <v/>
      </c>
      <c r="K946" s="17"/>
      <c r="L946" s="17" t="str">
        <f>IF(OR(COUNTIF('クラス'!$A$1:$A$1267,$B946)&gt;0,$B946="",$M946=""),"",True)</f>
        <v/>
      </c>
      <c r="M946" s="1" t="str">
        <f t="shared" si="21"/>
        <v>存在しない</v>
      </c>
      <c r="N946" s="1" t="s">
        <v>29</v>
      </c>
      <c r="O946" s="1"/>
      <c r="P946" s="11"/>
      <c r="Q946" s="11"/>
      <c r="R946" s="11"/>
      <c r="S946" s="11"/>
      <c r="T946" s="1"/>
      <c r="U946" s="1"/>
      <c r="V946" s="1"/>
      <c r="W946" s="1"/>
      <c r="X946" s="1"/>
      <c r="Y946" s="1"/>
      <c r="Z946" s="1"/>
    </row>
    <row r="947" ht="18.0" customHeight="1" outlineLevel="1">
      <c r="A947" s="26">
        <v>9.0</v>
      </c>
      <c r="B947" s="26" t="s">
        <v>1458</v>
      </c>
      <c r="C947" s="1"/>
      <c r="D947" s="1"/>
      <c r="E947" s="29" t="s">
        <v>55</v>
      </c>
      <c r="F947" s="15"/>
      <c r="G947" s="16"/>
      <c r="H947" s="22" t="s">
        <v>1459</v>
      </c>
      <c r="I947" s="7"/>
      <c r="J947" s="7" t="str">
        <f>IFERROR(LET(_xlpm.v,
VLOOKUP($I947,'用語辞書'!$A:$B,COLUMN('用語辞書'!B$1),FALSE),
IF(_xlpm.v=0,"",_xlpm.v)
),"")</f>
        <v/>
      </c>
      <c r="K947" s="17"/>
      <c r="L947" s="17" t="b">
        <f>IF(OR(COUNTIF('クラス'!$A$1:$A$1267,$B947)&gt;0,$B947="",$M947=""),"",True)</f>
        <v>1</v>
      </c>
      <c r="M947" s="1" t="str">
        <f t="shared" si="21"/>
        <v>存在しない</v>
      </c>
      <c r="N947" s="1" t="s">
        <v>29</v>
      </c>
      <c r="O947" s="1"/>
      <c r="P947" s="11"/>
      <c r="Q947" s="11"/>
      <c r="R947" s="11"/>
      <c r="S947" s="11"/>
      <c r="T947" s="1"/>
      <c r="U947" s="1"/>
      <c r="V947" s="1"/>
      <c r="W947" s="1"/>
      <c r="X947" s="1"/>
      <c r="Y947" s="1"/>
      <c r="Z947" s="1"/>
    </row>
    <row r="948" ht="18.0" customHeight="1" outlineLevel="1">
      <c r="A948" s="26">
        <v>10.0</v>
      </c>
      <c r="B948" s="26" t="s">
        <v>1460</v>
      </c>
      <c r="C948" s="1"/>
      <c r="D948" s="1"/>
      <c r="E948" s="29" t="s">
        <v>55</v>
      </c>
      <c r="F948" s="15"/>
      <c r="G948" s="16"/>
      <c r="H948" s="22" t="s">
        <v>1461</v>
      </c>
      <c r="I948" s="32"/>
      <c r="J948" s="7" t="str">
        <f>IFERROR(LET(_xlpm.v,
VLOOKUP($I948,'用語辞書'!$A:$B,COLUMN('用語辞書'!B$1),FALSE),
IF(_xlpm.v=0,"",_xlpm.v)
),"")</f>
        <v/>
      </c>
      <c r="K948" s="17"/>
      <c r="L948" s="17" t="b">
        <f>IF(OR(COUNTIF('クラス'!$A$1:$A$1267,$B948)&gt;0,$B948="",$M948=""),"",True)</f>
        <v>1</v>
      </c>
      <c r="M948" s="1" t="str">
        <f t="shared" si="21"/>
        <v>存在しない</v>
      </c>
      <c r="N948" s="1" t="s">
        <v>29</v>
      </c>
      <c r="O948" s="1"/>
      <c r="P948" s="11"/>
      <c r="Q948" s="11"/>
      <c r="R948" s="11"/>
      <c r="S948" s="11"/>
      <c r="T948" s="1"/>
      <c r="U948" s="1"/>
      <c r="V948" s="1"/>
      <c r="W948" s="1"/>
      <c r="X948" s="1"/>
      <c r="Y948" s="1"/>
      <c r="Z948" s="1"/>
    </row>
    <row r="949" ht="18.0" customHeight="1" outlineLevel="1">
      <c r="A949" s="1"/>
      <c r="B949" s="1"/>
      <c r="C949" s="1"/>
      <c r="D949" s="1"/>
      <c r="E949" s="14"/>
      <c r="F949" s="15"/>
      <c r="G949" s="16"/>
      <c r="H949" s="11"/>
      <c r="I949" s="7"/>
      <c r="J949" s="7" t="str">
        <f>IFERROR(LET(_xlpm.v,
VLOOKUP($I949,'用語辞書'!$A:$B,COLUMN('用語辞書'!B$1),FALSE),
IF(_xlpm.v=0,"",_xlpm.v)
),"")</f>
        <v/>
      </c>
      <c r="K949" s="17"/>
      <c r="L949" s="17" t="str">
        <f>IF(OR(COUNTIF('クラス'!$A$1:$A$1267,$B949)&gt;0,$B949="",$M949=""),"",True)</f>
        <v/>
      </c>
      <c r="M949" s="1" t="str">
        <f t="shared" si="21"/>
        <v>存在しない</v>
      </c>
      <c r="N949" s="1" t="s">
        <v>29</v>
      </c>
      <c r="O949" s="1"/>
      <c r="P949" s="11"/>
      <c r="Q949" s="11"/>
      <c r="R949" s="11"/>
      <c r="S949" s="11"/>
      <c r="T949" s="1"/>
      <c r="U949" s="1"/>
      <c r="V949" s="1"/>
      <c r="W949" s="1"/>
      <c r="X949" s="1"/>
      <c r="Y949" s="1"/>
      <c r="Z949" s="1"/>
    </row>
    <row r="950" ht="18.0" customHeight="1" outlineLevel="1">
      <c r="A950" s="1"/>
      <c r="B950" s="1"/>
      <c r="C950" s="1"/>
      <c r="D950" s="1"/>
      <c r="E950" s="14"/>
      <c r="F950" s="15"/>
      <c r="G950" s="16"/>
      <c r="H950" s="11"/>
      <c r="I950" s="7"/>
      <c r="J950" s="7" t="str">
        <f>IFERROR(LET(_xlpm.v,
VLOOKUP($I950,'用語辞書'!$A:$B,COLUMN('用語辞書'!B$1),FALSE),
IF(_xlpm.v=0,"",_xlpm.v)
),"")</f>
        <v/>
      </c>
      <c r="K950" s="17"/>
      <c r="L950" s="17" t="str">
        <f>IF(OR(COUNTIF('クラス'!$A$1:$A$1267,$B950)&gt;0,$B950="",$M950=""),"",True)</f>
        <v/>
      </c>
      <c r="M950" s="1" t="str">
        <f t="shared" si="21"/>
        <v>存在しない</v>
      </c>
      <c r="N950" s="1" t="s">
        <v>29</v>
      </c>
      <c r="O950" s="1"/>
      <c r="P950" s="11"/>
      <c r="Q950" s="11"/>
      <c r="R950" s="11"/>
      <c r="S950" s="11"/>
      <c r="T950" s="1"/>
      <c r="U950" s="1"/>
      <c r="V950" s="1"/>
      <c r="W950" s="1"/>
      <c r="X950" s="1"/>
      <c r="Y950" s="1"/>
      <c r="Z950" s="1"/>
    </row>
    <row r="951" ht="18.0" customHeight="1" outlineLevel="1">
      <c r="A951" s="1"/>
      <c r="B951" s="26" t="s">
        <v>1462</v>
      </c>
      <c r="C951" s="1"/>
      <c r="D951" s="1"/>
      <c r="E951" s="14"/>
      <c r="F951" s="15"/>
      <c r="G951" s="16"/>
      <c r="H951" s="11"/>
      <c r="I951" s="7"/>
      <c r="J951" s="7" t="str">
        <f>IFERROR(LET(_xlpm.v,
VLOOKUP($I951,'用語辞書'!$A:$B,COLUMN('用語辞書'!B$1),FALSE),
IF(_xlpm.v=0,"",_xlpm.v)
),"")</f>
        <v/>
      </c>
      <c r="K951" s="17"/>
      <c r="L951" s="17" t="str">
        <f>IF(OR(COUNTIF('クラス'!$A$1:$A$1267,$B951)&gt;0,$B951="",$M951=""),"",True)</f>
        <v/>
      </c>
      <c r="M951" s="1" t="str">
        <f t="shared" si="21"/>
        <v>存在しない</v>
      </c>
      <c r="N951" s="1" t="s">
        <v>29</v>
      </c>
      <c r="O951" s="1"/>
      <c r="P951" s="11"/>
      <c r="Q951" s="11"/>
      <c r="R951" s="11"/>
      <c r="S951" s="11"/>
      <c r="T951" s="1"/>
      <c r="U951" s="1"/>
      <c r="V951" s="1"/>
      <c r="W951" s="1"/>
      <c r="X951" s="1"/>
      <c r="Y951" s="1"/>
      <c r="Z951" s="1"/>
    </row>
    <row r="952" ht="18.0" customHeight="1" outlineLevel="1">
      <c r="A952" s="26">
        <v>1.0</v>
      </c>
      <c r="B952" s="26" t="s">
        <v>1463</v>
      </c>
      <c r="C952" s="1"/>
      <c r="D952" s="1"/>
      <c r="E952" s="29" t="s">
        <v>55</v>
      </c>
      <c r="F952" s="15"/>
      <c r="G952" s="16"/>
      <c r="H952" s="22" t="s">
        <v>1464</v>
      </c>
      <c r="I952" s="7"/>
      <c r="J952" s="7" t="str">
        <f>IFERROR(LET(_xlpm.v,
VLOOKUP($I952,'用語辞書'!$A:$B,COLUMN('用語辞書'!B$1),FALSE),
IF(_xlpm.v=0,"",_xlpm.v)
),"")</f>
        <v/>
      </c>
      <c r="K952" s="17"/>
      <c r="L952" s="17" t="b">
        <f>IF(OR(COUNTIF('クラス'!$A$1:$A$1267,$B952)&gt;0,$B952="",$M952=""),"",True)</f>
        <v>1</v>
      </c>
      <c r="M952" s="1" t="str">
        <f t="shared" si="21"/>
        <v>存在しない</v>
      </c>
      <c r="N952" s="1" t="s">
        <v>29</v>
      </c>
      <c r="O952" s="1"/>
      <c r="P952" s="11"/>
      <c r="Q952" s="11"/>
      <c r="R952" s="11"/>
      <c r="S952" s="11"/>
      <c r="T952" s="1"/>
      <c r="U952" s="1"/>
      <c r="V952" s="1"/>
      <c r="W952" s="1"/>
      <c r="X952" s="1"/>
      <c r="Y952" s="1"/>
      <c r="Z952" s="1"/>
    </row>
    <row r="953" ht="18.0" customHeight="1" outlineLevel="1">
      <c r="A953" s="26">
        <v>2.0</v>
      </c>
      <c r="B953" s="1"/>
      <c r="C953" s="1"/>
      <c r="D953" s="1"/>
      <c r="E953" s="14"/>
      <c r="F953" s="15"/>
      <c r="G953" s="16"/>
      <c r="H953" s="11"/>
      <c r="I953" s="7"/>
      <c r="J953" s="7" t="str">
        <f>IFERROR(LET(_xlpm.v,
VLOOKUP($I953,'用語辞書'!$A:$B,COLUMN('用語辞書'!B$1),FALSE),
IF(_xlpm.v=0,"",_xlpm.v)
),"")</f>
        <v/>
      </c>
      <c r="K953" s="17"/>
      <c r="L953" s="17" t="str">
        <f>IF(OR(COUNTIF('クラス'!$A$1:$A$1267,$B953)&gt;0,$B953="",$M953=""),"",True)</f>
        <v/>
      </c>
      <c r="M953" s="1" t="str">
        <f t="shared" si="21"/>
        <v>存在しない</v>
      </c>
      <c r="N953" s="1" t="s">
        <v>29</v>
      </c>
      <c r="O953" s="1"/>
      <c r="P953" s="11"/>
      <c r="Q953" s="11"/>
      <c r="R953" s="11"/>
      <c r="S953" s="11"/>
      <c r="T953" s="1"/>
      <c r="U953" s="1"/>
      <c r="V953" s="1"/>
      <c r="W953" s="1"/>
      <c r="X953" s="1"/>
      <c r="Y953" s="1"/>
      <c r="Z953" s="1"/>
    </row>
    <row r="954" ht="18.0" customHeight="1" outlineLevel="1">
      <c r="A954" s="26">
        <v>3.0</v>
      </c>
      <c r="B954" s="26" t="s">
        <v>1465</v>
      </c>
      <c r="C954" s="1"/>
      <c r="D954" s="26" t="s">
        <v>284</v>
      </c>
      <c r="E954" s="29" t="s">
        <v>33</v>
      </c>
      <c r="F954" s="15"/>
      <c r="G954" s="30">
        <v>70.0</v>
      </c>
      <c r="H954" s="22" t="s">
        <v>1466</v>
      </c>
      <c r="I954" s="7"/>
      <c r="J954" s="7" t="str">
        <f>IFERROR(LET(_xlpm.v,
VLOOKUP($I954,'用語辞書'!$A:$B,COLUMN('用語辞書'!B$1),FALSE),
IF(_xlpm.v=0,"",_xlpm.v)
),"")</f>
        <v/>
      </c>
      <c r="K954" s="17"/>
      <c r="L954" s="17" t="b">
        <f>IF(OR(COUNTIF('クラス'!$A$1:$A$1267,$B954)&gt;0,$B954="",$M954=""),"",True)</f>
        <v>1</v>
      </c>
      <c r="M954" s="1" t="str">
        <f t="shared" si="21"/>
        <v>存在しない</v>
      </c>
      <c r="N954" s="1" t="s">
        <v>29</v>
      </c>
      <c r="O954" s="1"/>
      <c r="P954" s="11"/>
      <c r="Q954" s="11"/>
      <c r="R954" s="11"/>
      <c r="S954" s="11"/>
      <c r="T954" s="1"/>
      <c r="U954" s="1"/>
      <c r="V954" s="1"/>
      <c r="W954" s="1"/>
      <c r="X954" s="1"/>
      <c r="Y954" s="1"/>
      <c r="Z954" s="1"/>
    </row>
    <row r="955" ht="18.0" customHeight="1" outlineLevel="1">
      <c r="A955" s="26">
        <v>4.0</v>
      </c>
      <c r="B955" s="1"/>
      <c r="C955" s="1"/>
      <c r="D955" s="1"/>
      <c r="E955" s="14"/>
      <c r="F955" s="15"/>
      <c r="G955" s="16"/>
      <c r="H955" s="11"/>
      <c r="I955" s="7"/>
      <c r="J955" s="7" t="str">
        <f>IFERROR(LET(_xlpm.v,
VLOOKUP($I955,'用語辞書'!$A:$B,COLUMN('用語辞書'!B$1),FALSE),
IF(_xlpm.v=0,"",_xlpm.v)
),"")</f>
        <v/>
      </c>
      <c r="K955" s="17"/>
      <c r="L955" s="17" t="str">
        <f>IF(OR(COUNTIF('クラス'!$A$1:$A$1267,$B955)&gt;0,$B955="",$M955=""),"",True)</f>
        <v/>
      </c>
      <c r="M955" s="1" t="str">
        <f t="shared" si="21"/>
        <v>存在しない</v>
      </c>
      <c r="N955" s="1" t="s">
        <v>29</v>
      </c>
      <c r="O955" s="1"/>
      <c r="P955" s="11"/>
      <c r="Q955" s="11"/>
      <c r="R955" s="11"/>
      <c r="S955" s="11"/>
      <c r="T955" s="1"/>
      <c r="U955" s="1"/>
      <c r="V955" s="1"/>
      <c r="W955" s="1"/>
      <c r="X955" s="1"/>
      <c r="Y955" s="1"/>
      <c r="Z955" s="1"/>
    </row>
    <row r="956" ht="18.0" customHeight="1" outlineLevel="1">
      <c r="A956" s="26">
        <v>5.0</v>
      </c>
      <c r="B956" s="26" t="s">
        <v>1467</v>
      </c>
      <c r="C956" s="1"/>
      <c r="D956" s="26"/>
      <c r="E956" s="29" t="s">
        <v>33</v>
      </c>
      <c r="F956" s="15"/>
      <c r="G956" s="30">
        <v>50.0</v>
      </c>
      <c r="H956" s="22" t="s">
        <v>1468</v>
      </c>
      <c r="I956" s="7"/>
      <c r="J956" s="7" t="str">
        <f>IFERROR(LET(_xlpm.v,
VLOOKUP($I956,'用語辞書'!$A:$B,COLUMN('用語辞書'!B$1),FALSE),
IF(_xlpm.v=0,"",_xlpm.v)
),"")</f>
        <v/>
      </c>
      <c r="K956" s="17"/>
      <c r="L956" s="17" t="b">
        <f>IF(OR(COUNTIF('クラス'!$A$1:$A$1267,$B956)&gt;0,$B956="",$M956=""),"",True)</f>
        <v>1</v>
      </c>
      <c r="M956" s="1" t="str">
        <f t="shared" si="21"/>
        <v>存在しない</v>
      </c>
      <c r="N956" s="1" t="s">
        <v>29</v>
      </c>
      <c r="O956" s="1"/>
      <c r="P956" s="11"/>
      <c r="Q956" s="11"/>
      <c r="R956" s="11"/>
      <c r="S956" s="11"/>
      <c r="T956" s="1"/>
      <c r="U956" s="1"/>
      <c r="V956" s="1"/>
      <c r="W956" s="1"/>
      <c r="X956" s="1"/>
      <c r="Y956" s="1"/>
      <c r="Z956" s="1"/>
    </row>
    <row r="957" ht="18.0" customHeight="1" outlineLevel="1">
      <c r="A957" s="26">
        <v>6.0</v>
      </c>
      <c r="B957" s="1"/>
      <c r="C957" s="1"/>
      <c r="D957" s="1"/>
      <c r="E957" s="14"/>
      <c r="F957" s="15"/>
      <c r="G957" s="16"/>
      <c r="H957" s="11"/>
      <c r="I957" s="7"/>
      <c r="J957" s="7" t="str">
        <f>IFERROR(LET(_xlpm.v,
VLOOKUP($I957,'用語辞書'!$A:$B,COLUMN('用語辞書'!B$1),FALSE),
IF(_xlpm.v=0,"",_xlpm.v)
),"")</f>
        <v/>
      </c>
      <c r="K957" s="17"/>
      <c r="L957" s="17" t="str">
        <f>IF(OR(COUNTIF('クラス'!$A$1:$A$1267,$B957)&gt;0,$B957="",$M957=""),"",True)</f>
        <v/>
      </c>
      <c r="M957" s="1" t="str">
        <f t="shared" si="21"/>
        <v>存在しない</v>
      </c>
      <c r="N957" s="1" t="s">
        <v>29</v>
      </c>
      <c r="O957" s="1"/>
      <c r="P957" s="11"/>
      <c r="Q957" s="11"/>
      <c r="R957" s="11"/>
      <c r="S957" s="11"/>
      <c r="T957" s="1"/>
      <c r="U957" s="1"/>
      <c r="V957" s="1"/>
      <c r="W957" s="1"/>
      <c r="X957" s="1"/>
      <c r="Y957" s="1"/>
      <c r="Z957" s="1"/>
    </row>
    <row r="958" ht="18.0" customHeight="1" outlineLevel="1">
      <c r="A958" s="26">
        <v>7.0</v>
      </c>
      <c r="B958" s="26" t="s">
        <v>1469</v>
      </c>
      <c r="C958" s="1"/>
      <c r="D958" s="26" t="s">
        <v>284</v>
      </c>
      <c r="E958" s="29" t="s">
        <v>33</v>
      </c>
      <c r="F958" s="15"/>
      <c r="G958" s="30">
        <v>80.0</v>
      </c>
      <c r="H958" s="22" t="s">
        <v>1470</v>
      </c>
      <c r="I958" s="7"/>
      <c r="J958" s="7" t="str">
        <f>IFERROR(LET(_xlpm.v,
VLOOKUP($I958,'用語辞書'!$A:$B,COLUMN('用語辞書'!B$1),FALSE),
IF(_xlpm.v=0,"",_xlpm.v)
),"")</f>
        <v/>
      </c>
      <c r="K958" s="17"/>
      <c r="L958" s="17" t="b">
        <f>IF(OR(COUNTIF('クラス'!$A$1:$A$1267,$B958)&gt;0,$B958="",$M958=""),"",True)</f>
        <v>1</v>
      </c>
      <c r="M958" s="1" t="str">
        <f t="shared" si="21"/>
        <v>存在しない</v>
      </c>
      <c r="N958" s="1" t="s">
        <v>29</v>
      </c>
      <c r="O958" s="1"/>
      <c r="P958" s="11"/>
      <c r="Q958" s="11"/>
      <c r="R958" s="11"/>
      <c r="S958" s="11"/>
      <c r="T958" s="1"/>
      <c r="U958" s="1"/>
      <c r="V958" s="1"/>
      <c r="W958" s="1"/>
      <c r="X958" s="1"/>
      <c r="Y958" s="1"/>
      <c r="Z958" s="1"/>
    </row>
    <row r="959" ht="18.0" customHeight="1" outlineLevel="1">
      <c r="A959" s="26">
        <v>8.0</v>
      </c>
      <c r="B959" s="1"/>
      <c r="C959" s="1"/>
      <c r="D959" s="1"/>
      <c r="E959" s="14"/>
      <c r="F959" s="15"/>
      <c r="G959" s="16"/>
      <c r="H959" s="11"/>
      <c r="I959" s="7"/>
      <c r="J959" s="7" t="str">
        <f>IFERROR(LET(_xlpm.v,
VLOOKUP($I959,'用語辞書'!$A:$B,COLUMN('用語辞書'!B$1),FALSE),
IF(_xlpm.v=0,"",_xlpm.v)
),"")</f>
        <v/>
      </c>
      <c r="K959" s="17"/>
      <c r="L959" s="17" t="str">
        <f>IF(OR(COUNTIF('クラス'!$A$1:$A$1267,$B959)&gt;0,$B959="",$M959=""),"",True)</f>
        <v/>
      </c>
      <c r="M959" s="1" t="str">
        <f t="shared" si="21"/>
        <v>存在しない</v>
      </c>
      <c r="N959" s="1" t="s">
        <v>29</v>
      </c>
      <c r="O959" s="1"/>
      <c r="P959" s="11"/>
      <c r="Q959" s="11"/>
      <c r="R959" s="11"/>
      <c r="S959" s="11"/>
      <c r="T959" s="1"/>
      <c r="U959" s="1"/>
      <c r="V959" s="1"/>
      <c r="W959" s="1"/>
      <c r="X959" s="1"/>
      <c r="Y959" s="1"/>
      <c r="Z959" s="1"/>
    </row>
    <row r="960" ht="18.0" customHeight="1" outlineLevel="1">
      <c r="A960" s="26">
        <v>9.0</v>
      </c>
      <c r="B960" s="26" t="s">
        <v>1471</v>
      </c>
      <c r="C960" s="1"/>
      <c r="D960" s="26" t="s">
        <v>284</v>
      </c>
      <c r="E960" s="29" t="s">
        <v>33</v>
      </c>
      <c r="F960" s="15"/>
      <c r="G960" s="30">
        <v>90.0</v>
      </c>
      <c r="H960" s="22" t="s">
        <v>1472</v>
      </c>
      <c r="I960" s="7"/>
      <c r="J960" s="7" t="str">
        <f>IFERROR(LET(_xlpm.v,
VLOOKUP($I960,'用語辞書'!$A:$B,COLUMN('用語辞書'!B$1),FALSE),
IF(_xlpm.v=0,"",_xlpm.v)
),"")</f>
        <v/>
      </c>
      <c r="K960" s="17"/>
      <c r="L960" s="17" t="b">
        <f>IF(OR(COUNTIF('クラス'!$A$1:$A$1267,$B960)&gt;0,$B960="",$M960=""),"",True)</f>
        <v>1</v>
      </c>
      <c r="M960" s="1" t="str">
        <f t="shared" si="21"/>
        <v>存在しない</v>
      </c>
      <c r="N960" s="1" t="s">
        <v>29</v>
      </c>
      <c r="O960" s="1"/>
      <c r="P960" s="11"/>
      <c r="Q960" s="11"/>
      <c r="R960" s="11"/>
      <c r="S960" s="11"/>
      <c r="T960" s="1"/>
      <c r="U960" s="1"/>
      <c r="V960" s="1"/>
      <c r="W960" s="1"/>
      <c r="X960" s="1"/>
      <c r="Y960" s="1"/>
      <c r="Z960" s="1"/>
    </row>
    <row r="961" ht="18.0" customHeight="1" outlineLevel="1">
      <c r="A961" s="26">
        <v>10.0</v>
      </c>
      <c r="B961" s="26" t="s">
        <v>1473</v>
      </c>
      <c r="C961" s="1"/>
      <c r="D961" s="1"/>
      <c r="E961" s="29" t="s">
        <v>55</v>
      </c>
      <c r="F961" s="15"/>
      <c r="G961" s="16"/>
      <c r="H961" s="22" t="s">
        <v>1474</v>
      </c>
      <c r="I961" s="32"/>
      <c r="J961" s="7" t="str">
        <f>IFERROR(LET(_xlpm.v,
VLOOKUP($I961,'用語辞書'!$A:$B,COLUMN('用語辞書'!B$1),FALSE),
IF(_xlpm.v=0,"",_xlpm.v)
),"")</f>
        <v/>
      </c>
      <c r="K961" s="17"/>
      <c r="L961" s="17" t="b">
        <f>IF(OR(COUNTIF('クラス'!$A$1:$A$1267,$B961)&gt;0,$B961="",$M961=""),"",True)</f>
        <v>1</v>
      </c>
      <c r="M961" s="1" t="str">
        <f t="shared" si="21"/>
        <v>存在しない</v>
      </c>
      <c r="N961" s="1" t="s">
        <v>29</v>
      </c>
      <c r="O961" s="1"/>
      <c r="P961" s="11"/>
      <c r="Q961" s="11"/>
      <c r="R961" s="11"/>
      <c r="S961" s="11"/>
      <c r="T961" s="1"/>
      <c r="U961" s="1"/>
      <c r="V961" s="1"/>
      <c r="W961" s="1"/>
      <c r="X961" s="1"/>
      <c r="Y961" s="1"/>
      <c r="Z961" s="1"/>
    </row>
    <row r="962" ht="18.0" customHeight="1" outlineLevel="1">
      <c r="A962" s="1"/>
      <c r="B962" s="1"/>
      <c r="C962" s="1"/>
      <c r="D962" s="1"/>
      <c r="E962" s="14"/>
      <c r="F962" s="15"/>
      <c r="G962" s="16"/>
      <c r="H962" s="11"/>
      <c r="I962" s="7"/>
      <c r="J962" s="7" t="str">
        <f>IFERROR(LET(_xlpm.v,
VLOOKUP($I962,'用語辞書'!$A:$B,COLUMN('用語辞書'!B$1),FALSE),
IF(_xlpm.v=0,"",_xlpm.v)
),"")</f>
        <v/>
      </c>
      <c r="K962" s="17"/>
      <c r="L962" s="17" t="str">
        <f>IF(OR(COUNTIF('クラス'!$A$1:$A$1267,$B962)&gt;0,$B962="",$M962=""),"",True)</f>
        <v/>
      </c>
      <c r="M962" s="1" t="str">
        <f t="shared" si="21"/>
        <v>存在しない</v>
      </c>
      <c r="N962" s="1" t="s">
        <v>29</v>
      </c>
      <c r="O962" s="1"/>
      <c r="P962" s="11"/>
      <c r="Q962" s="11"/>
      <c r="R962" s="11"/>
      <c r="S962" s="11"/>
      <c r="T962" s="1"/>
      <c r="U962" s="1"/>
      <c r="V962" s="1"/>
      <c r="W962" s="1"/>
      <c r="X962" s="1"/>
      <c r="Y962" s="1"/>
      <c r="Z962" s="1"/>
    </row>
    <row r="963" ht="18.0" customHeight="1" outlineLevel="1">
      <c r="A963" s="1"/>
      <c r="B963" s="1"/>
      <c r="C963" s="1"/>
      <c r="D963" s="1"/>
      <c r="E963" s="14"/>
      <c r="F963" s="15"/>
      <c r="G963" s="16"/>
      <c r="H963" s="11"/>
      <c r="I963" s="7"/>
      <c r="J963" s="7" t="str">
        <f>IFERROR(LET(_xlpm.v,
VLOOKUP($I963,'用語辞書'!$A:$B,COLUMN('用語辞書'!B$1),FALSE),
IF(_xlpm.v=0,"",_xlpm.v)
),"")</f>
        <v/>
      </c>
      <c r="K963" s="17"/>
      <c r="L963" s="17" t="str">
        <f>IF(OR(COUNTIF('クラス'!$A$1:$A$1267,$B963)&gt;0,$B963="",$M963=""),"",True)</f>
        <v/>
      </c>
      <c r="M963" s="1" t="str">
        <f t="shared" si="21"/>
        <v>存在しない</v>
      </c>
      <c r="N963" s="1" t="s">
        <v>29</v>
      </c>
      <c r="O963" s="1"/>
      <c r="P963" s="11"/>
      <c r="Q963" s="11"/>
      <c r="R963" s="11"/>
      <c r="S963" s="11"/>
      <c r="T963" s="1"/>
      <c r="U963" s="1"/>
      <c r="V963" s="1"/>
      <c r="W963" s="1"/>
      <c r="X963" s="1"/>
      <c r="Y963" s="1"/>
      <c r="Z963" s="1"/>
    </row>
    <row r="964" ht="18.0" customHeight="1" outlineLevel="1">
      <c r="A964" s="1"/>
      <c r="B964" s="1" t="s">
        <v>1475</v>
      </c>
      <c r="C964" s="1"/>
      <c r="D964" s="1"/>
      <c r="E964" s="14"/>
      <c r="F964" s="15"/>
      <c r="G964" s="16"/>
      <c r="H964" s="11"/>
      <c r="I964" s="7"/>
      <c r="J964" s="7" t="str">
        <f>IFERROR(LET(_xlpm.v,
VLOOKUP($I964,'用語辞書'!$A:$B,COLUMN('用語辞書'!B$1),FALSE),
IF(_xlpm.v=0,"",_xlpm.v)
),"")</f>
        <v/>
      </c>
      <c r="K964" s="17"/>
      <c r="L964" s="17" t="b">
        <f>IF(OR(COUNTIF('クラス'!$A$1:$A$1267,$B964)&gt;0,$B964="",$M964=""),"",True)</f>
        <v>1</v>
      </c>
      <c r="M964" s="1" t="str">
        <f>IF(COUNTIF($B$1:$C845, $B964), "", "存在しない")</f>
        <v>存在しない</v>
      </c>
      <c r="N964" s="1" t="s">
        <v>29</v>
      </c>
      <c r="O964" s="1"/>
      <c r="P964" s="11"/>
      <c r="Q964" s="11"/>
      <c r="R964" s="11"/>
      <c r="S964" s="11"/>
      <c r="T964" s="1"/>
      <c r="U964" s="1"/>
      <c r="V964" s="1"/>
      <c r="W964" s="1"/>
      <c r="X964" s="1"/>
      <c r="Y964" s="1"/>
      <c r="Z964" s="1"/>
    </row>
    <row r="965" ht="18.0" customHeight="1" outlineLevel="2">
      <c r="A965" s="1">
        <v>1.0</v>
      </c>
      <c r="B965" s="1"/>
      <c r="C965" s="1"/>
      <c r="D965" s="1"/>
      <c r="E965" s="14"/>
      <c r="F965" s="15"/>
      <c r="G965" s="16"/>
      <c r="H965" s="11"/>
      <c r="I965" s="7"/>
      <c r="J965" s="7" t="str">
        <f>IFERROR(LET(_xlpm.v,
VLOOKUP($I965,'用語辞書'!$A:$B,COLUMN('用語辞書'!B$1),FALSE),
IF(_xlpm.v=0,"",_xlpm.v)
),"")</f>
        <v/>
      </c>
      <c r="K965" s="17"/>
      <c r="L965" s="17" t="str">
        <f>IF(OR(COUNTIF('クラス'!$A$1:$A$1267,$B965)&gt;0,$B965="",$M965=""),"",True)</f>
        <v/>
      </c>
      <c r="M965" s="1" t="str">
        <f t="shared" ref="M965:M1125" si="22">IF(COUNTIF($B$1:$C964, $B965), "", "存在しない")</f>
        <v>存在しない</v>
      </c>
      <c r="N965" s="1" t="s">
        <v>29</v>
      </c>
      <c r="O965" s="1"/>
      <c r="P965" s="11"/>
      <c r="Q965" s="11"/>
      <c r="R965" s="11"/>
      <c r="S965" s="11"/>
      <c r="T965" s="1"/>
      <c r="U965" s="1"/>
      <c r="V965" s="1"/>
      <c r="W965" s="1"/>
      <c r="X965" s="1"/>
      <c r="Y965" s="1"/>
      <c r="Z965" s="1"/>
    </row>
    <row r="966" ht="18.0" customHeight="1" outlineLevel="2">
      <c r="A966" s="1">
        <v>2.0</v>
      </c>
      <c r="B966" s="1"/>
      <c r="C966" s="1"/>
      <c r="D966" s="1"/>
      <c r="E966" s="14"/>
      <c r="F966" s="15"/>
      <c r="G966" s="16"/>
      <c r="H966" s="11"/>
      <c r="I966" s="7"/>
      <c r="J966" s="7" t="str">
        <f>IFERROR(LET(_xlpm.v,
VLOOKUP($I966,'用語辞書'!$A:$B,COLUMN('用語辞書'!B$1),FALSE),
IF(_xlpm.v=0,"",_xlpm.v)
),"")</f>
        <v/>
      </c>
      <c r="K966" s="17"/>
      <c r="L966" s="17" t="str">
        <f>IF(OR(COUNTIF('クラス'!$A$1:$A$1267,$B966)&gt;0,$B966="",$M966=""),"",True)</f>
        <v/>
      </c>
      <c r="M966" s="1" t="str">
        <f t="shared" si="22"/>
        <v>存在しない</v>
      </c>
      <c r="N966" s="1" t="s">
        <v>29</v>
      </c>
      <c r="O966" s="1"/>
      <c r="P966" s="11"/>
      <c r="Q966" s="11"/>
      <c r="R966" s="11"/>
      <c r="S966" s="11"/>
      <c r="T966" s="1"/>
      <c r="U966" s="1"/>
      <c r="V966" s="1"/>
      <c r="W966" s="1"/>
      <c r="X966" s="1"/>
      <c r="Y966" s="1"/>
      <c r="Z966" s="1"/>
    </row>
    <row r="967" ht="18.0" customHeight="1" outlineLevel="2">
      <c r="A967" s="1">
        <v>3.0</v>
      </c>
      <c r="B967" s="1"/>
      <c r="C967" s="1"/>
      <c r="D967" s="1"/>
      <c r="E967" s="14"/>
      <c r="F967" s="15"/>
      <c r="G967" s="16"/>
      <c r="H967" s="11"/>
      <c r="I967" s="7"/>
      <c r="J967" s="7" t="str">
        <f>IFERROR(LET(_xlpm.v,
VLOOKUP($I967,'用語辞書'!$A:$B,COLUMN('用語辞書'!B$1),FALSE),
IF(_xlpm.v=0,"",_xlpm.v)
),"")</f>
        <v/>
      </c>
      <c r="K967" s="17"/>
      <c r="L967" s="17" t="str">
        <f>IF(OR(COUNTIF('クラス'!$A$1:$A$1267,$B967)&gt;0,$B967="",$M967=""),"",True)</f>
        <v/>
      </c>
      <c r="M967" s="1" t="str">
        <f t="shared" si="22"/>
        <v>存在しない</v>
      </c>
      <c r="N967" s="1" t="s">
        <v>29</v>
      </c>
      <c r="O967" s="1"/>
      <c r="P967" s="11"/>
      <c r="Q967" s="11"/>
      <c r="R967" s="11"/>
      <c r="S967" s="11"/>
      <c r="T967" s="1"/>
      <c r="U967" s="1"/>
      <c r="V967" s="1"/>
      <c r="W967" s="1"/>
      <c r="X967" s="1"/>
      <c r="Y967" s="1"/>
      <c r="Z967" s="1"/>
    </row>
    <row r="968" ht="18.0" customHeight="1" outlineLevel="2">
      <c r="A968" s="1">
        <v>4.0</v>
      </c>
      <c r="B968" s="1"/>
      <c r="C968" s="1"/>
      <c r="D968" s="1"/>
      <c r="E968" s="14"/>
      <c r="F968" s="15"/>
      <c r="G968" s="16"/>
      <c r="H968" s="11"/>
      <c r="I968" s="7"/>
      <c r="J968" s="7" t="str">
        <f>IFERROR(LET(_xlpm.v,
VLOOKUP($I968,'用語辞書'!$A:$B,COLUMN('用語辞書'!B$1),FALSE),
IF(_xlpm.v=0,"",_xlpm.v)
),"")</f>
        <v/>
      </c>
      <c r="K968" s="17"/>
      <c r="L968" s="17" t="str">
        <f>IF(OR(COUNTIF('クラス'!$A$1:$A$1267,$B968)&gt;0,$B968="",$M968=""),"",True)</f>
        <v/>
      </c>
      <c r="M968" s="1" t="str">
        <f t="shared" si="22"/>
        <v>存在しない</v>
      </c>
      <c r="N968" s="1" t="s">
        <v>29</v>
      </c>
      <c r="O968" s="1"/>
      <c r="P968" s="11"/>
      <c r="Q968" s="11"/>
      <c r="R968" s="11"/>
      <c r="S968" s="11"/>
      <c r="T968" s="1"/>
      <c r="U968" s="1"/>
      <c r="V968" s="1"/>
      <c r="W968" s="1"/>
      <c r="X968" s="1"/>
      <c r="Y968" s="1"/>
      <c r="Z968" s="1"/>
    </row>
    <row r="969" ht="18.0" customHeight="1" outlineLevel="2">
      <c r="A969" s="1">
        <v>5.0</v>
      </c>
      <c r="B969" s="1"/>
      <c r="C969" s="1"/>
      <c r="D969" s="1"/>
      <c r="E969" s="14"/>
      <c r="F969" s="15"/>
      <c r="G969" s="16"/>
      <c r="H969" s="11"/>
      <c r="I969" s="7"/>
      <c r="J969" s="7" t="str">
        <f>IFERROR(LET(_xlpm.v,
VLOOKUP($I969,'用語辞書'!$A:$B,COLUMN('用語辞書'!B$1),FALSE),
IF(_xlpm.v=0,"",_xlpm.v)
),"")</f>
        <v/>
      </c>
      <c r="K969" s="17"/>
      <c r="L969" s="17" t="str">
        <f>IF(OR(COUNTIF('クラス'!$A$1:$A$1267,$B969)&gt;0,$B969="",$M969=""),"",True)</f>
        <v/>
      </c>
      <c r="M969" s="1" t="str">
        <f t="shared" si="22"/>
        <v>存在しない</v>
      </c>
      <c r="N969" s="1" t="s">
        <v>29</v>
      </c>
      <c r="O969" s="1"/>
      <c r="P969" s="11"/>
      <c r="Q969" s="11"/>
      <c r="R969" s="11"/>
      <c r="S969" s="11"/>
      <c r="T969" s="1"/>
      <c r="U969" s="1"/>
      <c r="V969" s="1"/>
      <c r="W969" s="1"/>
      <c r="X969" s="1"/>
      <c r="Y969" s="1"/>
      <c r="Z969" s="1"/>
    </row>
    <row r="970" ht="18.0" customHeight="1" outlineLevel="2">
      <c r="A970" s="1">
        <v>6.0</v>
      </c>
      <c r="B970" s="1"/>
      <c r="C970" s="1"/>
      <c r="D970" s="1"/>
      <c r="E970" s="14"/>
      <c r="F970" s="15"/>
      <c r="G970" s="16"/>
      <c r="H970" s="11"/>
      <c r="I970" s="7"/>
      <c r="J970" s="7" t="str">
        <f>IFERROR(LET(_xlpm.v,
VLOOKUP($I970,'用語辞書'!$A:$B,COLUMN('用語辞書'!B$1),FALSE),
IF(_xlpm.v=0,"",_xlpm.v)
),"")</f>
        <v/>
      </c>
      <c r="K970" s="17"/>
      <c r="L970" s="17" t="str">
        <f>IF(OR(COUNTIF('クラス'!$A$1:$A$1267,$B970)&gt;0,$B970="",$M970=""),"",True)</f>
        <v/>
      </c>
      <c r="M970" s="1" t="str">
        <f t="shared" si="22"/>
        <v>存在しない</v>
      </c>
      <c r="N970" s="1" t="s">
        <v>29</v>
      </c>
      <c r="O970" s="1"/>
      <c r="P970" s="11"/>
      <c r="Q970" s="11"/>
      <c r="R970" s="11"/>
      <c r="S970" s="11"/>
      <c r="T970" s="1"/>
      <c r="U970" s="1"/>
      <c r="V970" s="1"/>
      <c r="W970" s="1"/>
      <c r="X970" s="1"/>
      <c r="Y970" s="1"/>
      <c r="Z970" s="1"/>
    </row>
    <row r="971" ht="18.0" customHeight="1" outlineLevel="2">
      <c r="A971" s="1">
        <v>7.0</v>
      </c>
      <c r="B971" s="1"/>
      <c r="C971" s="1"/>
      <c r="D971" s="1"/>
      <c r="E971" s="14"/>
      <c r="F971" s="15"/>
      <c r="G971" s="16"/>
      <c r="H971" s="11"/>
      <c r="I971" s="7"/>
      <c r="J971" s="7" t="str">
        <f>IFERROR(LET(_xlpm.v,
VLOOKUP($I971,'用語辞書'!$A:$B,COLUMN('用語辞書'!B$1),FALSE),
IF(_xlpm.v=0,"",_xlpm.v)
),"")</f>
        <v/>
      </c>
      <c r="K971" s="17"/>
      <c r="L971" s="17" t="str">
        <f>IF(OR(COUNTIF('クラス'!$A$1:$A$1267,$B971)&gt;0,$B971="",$M971=""),"",True)</f>
        <v/>
      </c>
      <c r="M971" s="1" t="str">
        <f t="shared" si="22"/>
        <v>存在しない</v>
      </c>
      <c r="N971" s="1" t="s">
        <v>29</v>
      </c>
      <c r="O971" s="1"/>
      <c r="P971" s="11"/>
      <c r="Q971" s="11"/>
      <c r="R971" s="11"/>
      <c r="S971" s="11"/>
      <c r="T971" s="1"/>
      <c r="U971" s="1"/>
      <c r="V971" s="1"/>
      <c r="W971" s="1"/>
      <c r="X971" s="1"/>
      <c r="Y971" s="1"/>
      <c r="Z971" s="1"/>
    </row>
    <row r="972" ht="18.0" customHeight="1" outlineLevel="2">
      <c r="A972" s="1">
        <v>8.0</v>
      </c>
      <c r="B972" s="1"/>
      <c r="C972" s="1"/>
      <c r="D972" s="1"/>
      <c r="E972" s="14"/>
      <c r="F972" s="15"/>
      <c r="G972" s="16"/>
      <c r="H972" s="11"/>
      <c r="I972" s="7"/>
      <c r="J972" s="7" t="str">
        <f>IFERROR(LET(_xlpm.v,
VLOOKUP($I972,'用語辞書'!$A:$B,COLUMN('用語辞書'!B$1),FALSE),
IF(_xlpm.v=0,"",_xlpm.v)
),"")</f>
        <v/>
      </c>
      <c r="K972" s="17"/>
      <c r="L972" s="17" t="str">
        <f>IF(OR(COUNTIF('クラス'!$A$1:$A$1267,$B972)&gt;0,$B972="",$M972=""),"",True)</f>
        <v/>
      </c>
      <c r="M972" s="1" t="str">
        <f t="shared" si="22"/>
        <v>存在しない</v>
      </c>
      <c r="N972" s="1" t="s">
        <v>29</v>
      </c>
      <c r="O972" s="1"/>
      <c r="P972" s="11"/>
      <c r="Q972" s="11"/>
      <c r="R972" s="11"/>
      <c r="S972" s="11"/>
      <c r="T972" s="1"/>
      <c r="U972" s="1"/>
      <c r="V972" s="1"/>
      <c r="W972" s="1"/>
      <c r="X972" s="1"/>
      <c r="Y972" s="1"/>
      <c r="Z972" s="1"/>
    </row>
    <row r="973" ht="18.0" customHeight="1" outlineLevel="2">
      <c r="A973" s="1">
        <v>9.0</v>
      </c>
      <c r="B973" s="1"/>
      <c r="C973" s="1"/>
      <c r="D973" s="1"/>
      <c r="E973" s="14"/>
      <c r="F973" s="15"/>
      <c r="G973" s="16"/>
      <c r="H973" s="11"/>
      <c r="I973" s="7"/>
      <c r="J973" s="7" t="str">
        <f>IFERROR(LET(_xlpm.v,
VLOOKUP($I973,'用語辞書'!$A:$B,COLUMN('用語辞書'!B$1),FALSE),
IF(_xlpm.v=0,"",_xlpm.v)
),"")</f>
        <v/>
      </c>
      <c r="K973" s="17"/>
      <c r="L973" s="17" t="str">
        <f>IF(OR(COUNTIF('クラス'!$A$1:$A$1267,$B973)&gt;0,$B973="",$M973=""),"",True)</f>
        <v/>
      </c>
      <c r="M973" s="1" t="str">
        <f t="shared" si="22"/>
        <v>存在しない</v>
      </c>
      <c r="N973" s="1" t="s">
        <v>29</v>
      </c>
      <c r="O973" s="1"/>
      <c r="P973" s="11"/>
      <c r="Q973" s="11"/>
      <c r="R973" s="11"/>
      <c r="S973" s="11"/>
      <c r="T973" s="1"/>
      <c r="U973" s="1"/>
      <c r="V973" s="1"/>
      <c r="W973" s="1"/>
      <c r="X973" s="1"/>
      <c r="Y973" s="1"/>
      <c r="Z973" s="1"/>
    </row>
    <row r="974" ht="18.0" customHeight="1" outlineLevel="2">
      <c r="A974" s="1">
        <v>10.0</v>
      </c>
      <c r="B974" s="1"/>
      <c r="C974" s="1"/>
      <c r="D974" s="1"/>
      <c r="E974" s="14"/>
      <c r="F974" s="15"/>
      <c r="G974" s="16"/>
      <c r="H974" s="11"/>
      <c r="I974" s="7"/>
      <c r="J974" s="7" t="str">
        <f>IFERROR(LET(_xlpm.v,
VLOOKUP($I974,'用語辞書'!$A:$B,COLUMN('用語辞書'!B$1),FALSE),
IF(_xlpm.v=0,"",_xlpm.v)
),"")</f>
        <v/>
      </c>
      <c r="K974" s="17"/>
      <c r="L974" s="17" t="str">
        <f>IF(OR(COUNTIF('クラス'!$A$1:$A$1267,$B974)&gt;0,$B974="",$M974=""),"",True)</f>
        <v/>
      </c>
      <c r="M974" s="1" t="str">
        <f t="shared" si="22"/>
        <v>存在しない</v>
      </c>
      <c r="N974" s="1" t="s">
        <v>29</v>
      </c>
      <c r="O974" s="1"/>
      <c r="P974" s="11"/>
      <c r="Q974" s="11"/>
      <c r="R974" s="11"/>
      <c r="S974" s="11"/>
      <c r="T974" s="1"/>
      <c r="U974" s="1"/>
      <c r="V974" s="1"/>
      <c r="W974" s="1"/>
      <c r="X974" s="1"/>
      <c r="Y974" s="1"/>
      <c r="Z974" s="1"/>
    </row>
    <row r="975" ht="18.0" customHeight="1" outlineLevel="1" collapsed="1">
      <c r="A975" s="1"/>
      <c r="B975" s="1"/>
      <c r="C975" s="1"/>
      <c r="D975" s="1"/>
      <c r="E975" s="14"/>
      <c r="F975" s="15"/>
      <c r="G975" s="16"/>
      <c r="H975" s="11"/>
      <c r="I975" s="7"/>
      <c r="J975" s="7" t="str">
        <f>IFERROR(LET(_xlpm.v,
VLOOKUP($I975,'用語辞書'!$A:$B,COLUMN('用語辞書'!B$1),FALSE),
IF(_xlpm.v=0,"",_xlpm.v)
),"")</f>
        <v/>
      </c>
      <c r="K975" s="17"/>
      <c r="L975" s="17" t="str">
        <f>IF(OR(COUNTIF('クラス'!$A$1:$A$1267,$B975)&gt;0,$B975="",$M975=""),"",True)</f>
        <v/>
      </c>
      <c r="M975" s="1" t="str">
        <f t="shared" si="22"/>
        <v>存在しない</v>
      </c>
      <c r="N975" s="1" t="s">
        <v>29</v>
      </c>
      <c r="O975" s="1"/>
      <c r="P975" s="11"/>
      <c r="Q975" s="11"/>
      <c r="R975" s="11"/>
      <c r="S975" s="11"/>
      <c r="T975" s="1"/>
      <c r="U975" s="1"/>
      <c r="V975" s="1"/>
      <c r="W975" s="1"/>
      <c r="X975" s="1"/>
      <c r="Y975" s="1"/>
      <c r="Z975" s="1"/>
    </row>
    <row r="976" ht="18.0" customHeight="1" collapsed="1">
      <c r="A976" s="1"/>
      <c r="B976" s="1"/>
      <c r="C976" s="1"/>
      <c r="D976" s="1"/>
      <c r="E976" s="14"/>
      <c r="F976" s="15"/>
      <c r="G976" s="16"/>
      <c r="H976" s="11"/>
      <c r="I976" s="7"/>
      <c r="J976" s="7" t="str">
        <f>IFERROR(LET(_xlpm.v,
VLOOKUP($I976,'用語辞書'!$A:$B,COLUMN('用語辞書'!B$1),FALSE),
IF(_xlpm.v=0,"",_xlpm.v)
),"")</f>
        <v/>
      </c>
      <c r="K976" s="17"/>
      <c r="L976" s="17" t="str">
        <f>IF(OR(COUNTIF('クラス'!$A$1:$A$1267,$B976)&gt;0,$B976="",$M976=""),"",True)</f>
        <v/>
      </c>
      <c r="M976" s="1" t="str">
        <f t="shared" si="22"/>
        <v>存在しない</v>
      </c>
      <c r="N976" s="1" t="s">
        <v>29</v>
      </c>
      <c r="O976" s="1"/>
      <c r="P976" s="11"/>
      <c r="Q976" s="11"/>
      <c r="R976" s="11"/>
      <c r="S976" s="11"/>
      <c r="T976" s="1"/>
      <c r="U976" s="1"/>
      <c r="V976" s="1"/>
      <c r="W976" s="1"/>
      <c r="X976" s="1"/>
      <c r="Y976" s="1"/>
      <c r="Z976" s="1"/>
    </row>
    <row r="977" ht="18.0" customHeight="1">
      <c r="A977" s="1"/>
      <c r="B977" s="1"/>
      <c r="C977" s="1"/>
      <c r="D977" s="1"/>
      <c r="E977" s="14"/>
      <c r="F977" s="15"/>
      <c r="G977" s="16"/>
      <c r="H977" s="11"/>
      <c r="I977" s="7"/>
      <c r="J977" s="7" t="str">
        <f>IFERROR(LET(_xlpm.v,
VLOOKUP($I977,'用語辞書'!$A:$B,COLUMN('用語辞書'!B$1),FALSE),
IF(_xlpm.v=0,"",_xlpm.v)
),"")</f>
        <v/>
      </c>
      <c r="K977" s="17"/>
      <c r="L977" s="17" t="str">
        <f>IF(OR(COUNTIF('クラス'!$A$1:$A$1267,$B977)&gt;0,$B977="",$M977=""),"",True)</f>
        <v/>
      </c>
      <c r="M977" s="1" t="str">
        <f t="shared" si="22"/>
        <v>存在しない</v>
      </c>
      <c r="N977" s="1" t="s">
        <v>29</v>
      </c>
      <c r="O977" s="1"/>
      <c r="P977" s="11"/>
      <c r="Q977" s="11"/>
      <c r="R977" s="11"/>
      <c r="S977" s="11"/>
      <c r="T977" s="1"/>
      <c r="U977" s="1"/>
      <c r="V977" s="1"/>
      <c r="W977" s="1"/>
      <c r="X977" s="1"/>
      <c r="Y977" s="1"/>
      <c r="Z977" s="1"/>
    </row>
    <row r="978" ht="18.0" customHeight="1">
      <c r="A978" s="1"/>
      <c r="B978" s="1"/>
      <c r="C978" s="1"/>
      <c r="D978" s="1"/>
      <c r="E978" s="14"/>
      <c r="F978" s="15"/>
      <c r="G978" s="16"/>
      <c r="H978" s="11"/>
      <c r="I978" s="7"/>
      <c r="J978" s="7" t="str">
        <f>IFERROR(LET(_xlpm.v,
VLOOKUP($I978,'用語辞書'!$A:$B,COLUMN('用語辞書'!B$1),FALSE),
IF(_xlpm.v=0,"",_xlpm.v)
),"")</f>
        <v/>
      </c>
      <c r="K978" s="17"/>
      <c r="L978" s="17" t="str">
        <f>IF(OR(COUNTIF('クラス'!$A$1:$A$1267,$B978)&gt;0,$B978="",$M978=""),"",True)</f>
        <v/>
      </c>
      <c r="M978" s="1" t="str">
        <f t="shared" si="22"/>
        <v>存在しない</v>
      </c>
      <c r="N978" s="1" t="s">
        <v>29</v>
      </c>
      <c r="O978" s="1"/>
      <c r="P978" s="11"/>
      <c r="Q978" s="11"/>
      <c r="R978" s="11"/>
      <c r="S978" s="11"/>
      <c r="T978" s="1"/>
      <c r="U978" s="1"/>
      <c r="V978" s="1"/>
      <c r="W978" s="1"/>
      <c r="X978" s="1"/>
      <c r="Y978" s="1"/>
      <c r="Z978" s="1"/>
    </row>
    <row r="979" ht="18.0" customHeight="1">
      <c r="A979" s="1"/>
      <c r="B979" s="1"/>
      <c r="C979" s="1"/>
      <c r="D979" s="1"/>
      <c r="E979" s="14"/>
      <c r="F979" s="15"/>
      <c r="G979" s="16"/>
      <c r="H979" s="11"/>
      <c r="I979" s="7"/>
      <c r="J979" s="7" t="str">
        <f>IFERROR(LET(_xlpm.v,
VLOOKUP($I979,'用語辞書'!$A:$B,COLUMN('用語辞書'!B$1),FALSE),
IF(_xlpm.v=0,"",_xlpm.v)
),"")</f>
        <v/>
      </c>
      <c r="K979" s="17"/>
      <c r="L979" s="17" t="str">
        <f>IF(OR(COUNTIF('クラス'!$A$1:$A$1267,$B979)&gt;0,$B979="",$M979=""),"",True)</f>
        <v/>
      </c>
      <c r="M979" s="1" t="str">
        <f t="shared" si="22"/>
        <v>存在しない</v>
      </c>
      <c r="N979" s="1" t="s">
        <v>29</v>
      </c>
      <c r="O979" s="1"/>
      <c r="P979" s="11"/>
      <c r="Q979" s="11"/>
      <c r="R979" s="11"/>
      <c r="S979" s="11"/>
      <c r="T979" s="1"/>
      <c r="U979" s="1"/>
      <c r="V979" s="1"/>
      <c r="W979" s="1"/>
      <c r="X979" s="1"/>
      <c r="Y979" s="1"/>
      <c r="Z979" s="1"/>
    </row>
    <row r="980" ht="18.0" customHeight="1">
      <c r="A980" s="1"/>
      <c r="B980" s="1"/>
      <c r="C980" s="1"/>
      <c r="D980" s="1"/>
      <c r="E980" s="14"/>
      <c r="F980" s="15"/>
      <c r="G980" s="16"/>
      <c r="H980" s="11"/>
      <c r="I980" s="7"/>
      <c r="J980" s="7" t="str">
        <f>IFERROR(LET(_xlpm.v,
VLOOKUP($I980,'用語辞書'!$A:$B,COLUMN('用語辞書'!B$1),FALSE),
IF(_xlpm.v=0,"",_xlpm.v)
),"")</f>
        <v/>
      </c>
      <c r="K980" s="17"/>
      <c r="L980" s="17" t="str">
        <f>IF(OR(COUNTIF('クラス'!$A$1:$A$1267,$B980)&gt;0,$B980="",$M980=""),"",True)</f>
        <v/>
      </c>
      <c r="M980" s="1" t="str">
        <f t="shared" si="22"/>
        <v>存在しない</v>
      </c>
      <c r="N980" s="1" t="s">
        <v>29</v>
      </c>
      <c r="O980" s="1"/>
      <c r="P980" s="11"/>
      <c r="Q980" s="11"/>
      <c r="R980" s="11"/>
      <c r="S980" s="11"/>
      <c r="T980" s="1"/>
      <c r="U980" s="1"/>
      <c r="V980" s="1"/>
      <c r="W980" s="1"/>
      <c r="X980" s="1"/>
      <c r="Y980" s="1"/>
      <c r="Z980" s="1"/>
    </row>
    <row r="981" ht="18.0" customHeight="1">
      <c r="A981" s="1"/>
      <c r="B981" s="1"/>
      <c r="C981" s="26" t="s">
        <v>1476</v>
      </c>
      <c r="D981" s="1"/>
      <c r="E981" s="14"/>
      <c r="F981" s="15"/>
      <c r="G981" s="16"/>
      <c r="H981" s="11"/>
      <c r="I981" s="7"/>
      <c r="J981" s="7" t="str">
        <f>IFERROR(LET(_xlpm.v,
VLOOKUP($I981,'用語辞書'!$A:$B,COLUMN('用語辞書'!B$1),FALSE),
IF(_xlpm.v=0,"",_xlpm.v)
),"")</f>
        <v/>
      </c>
      <c r="K981" s="17"/>
      <c r="L981" s="17" t="str">
        <f>IF(OR(COUNTIF('クラス'!$A$1:$A$1267,$B981)&gt;0,$B981="",$M981=""),"",True)</f>
        <v/>
      </c>
      <c r="M981" s="1" t="str">
        <f t="shared" si="22"/>
        <v>存在しない</v>
      </c>
      <c r="N981" s="1" t="s">
        <v>29</v>
      </c>
      <c r="O981" s="1"/>
      <c r="P981" s="11"/>
      <c r="Q981" s="11"/>
      <c r="R981" s="11"/>
      <c r="S981" s="11"/>
      <c r="T981" s="1"/>
      <c r="U981" s="1"/>
      <c r="V981" s="1"/>
      <c r="W981" s="1"/>
      <c r="X981" s="1"/>
      <c r="Y981" s="1"/>
      <c r="Z981" s="1"/>
    </row>
    <row r="982" ht="18.0" customHeight="1" outlineLevel="1">
      <c r="A982" s="1"/>
      <c r="B982" s="1" t="s">
        <v>1477</v>
      </c>
      <c r="C982" s="1"/>
      <c r="D982" s="1" t="s">
        <v>284</v>
      </c>
      <c r="E982" s="14"/>
      <c r="F982" s="15"/>
      <c r="G982" s="16"/>
      <c r="H982" s="11"/>
      <c r="I982" s="7"/>
      <c r="J982" s="7" t="str">
        <f>IFERROR(LET(_xlpm.v,
VLOOKUP($I982,'用語辞書'!$A:$B,COLUMN('用語辞書'!B$1),FALSE),
IF(_xlpm.v=0,"",_xlpm.v)
),"")</f>
        <v/>
      </c>
      <c r="K982" s="17"/>
      <c r="L982" s="17" t="str">
        <f>IF(OR(COUNTIF('クラス'!$A$1:$A$1267,$B982)&gt;0,$B982="",$M982=""),"",True)</f>
        <v/>
      </c>
      <c r="M982" s="1" t="str">
        <f t="shared" si="22"/>
        <v>存在しない</v>
      </c>
      <c r="N982" s="1" t="s">
        <v>29</v>
      </c>
      <c r="O982" s="1"/>
      <c r="P982" s="11"/>
      <c r="Q982" s="11"/>
      <c r="R982" s="11"/>
      <c r="S982" s="11"/>
      <c r="T982" s="1"/>
      <c r="U982" s="1"/>
      <c r="V982" s="1"/>
      <c r="W982" s="1"/>
      <c r="X982" s="1"/>
      <c r="Y982" s="1"/>
      <c r="Z982" s="1"/>
    </row>
    <row r="983" ht="18.0" customHeight="1" outlineLevel="2">
      <c r="A983" s="1">
        <v>1.0</v>
      </c>
      <c r="B983" s="1" t="str">
        <f>D982&amp;"の拳"</f>
        <v>炎の拳</v>
      </c>
      <c r="C983" s="1"/>
      <c r="D983" s="1" t="str">
        <f>D982</f>
        <v>炎</v>
      </c>
      <c r="E983" s="14" t="s">
        <v>33</v>
      </c>
      <c r="F983" s="15"/>
      <c r="G983" s="16">
        <v>60.0</v>
      </c>
      <c r="H983" s="11" t="str">
        <f>"攻撃手段:素手 物理+15 "&amp;D982&amp;"+25 判定:攻撃"</f>
        <v>攻撃手段:素手 物理+15 炎+25 判定:攻撃</v>
      </c>
      <c r="I983" s="7"/>
      <c r="J983" s="7" t="str">
        <f>IFERROR(LET(_xlpm.v,
VLOOKUP($I983,'用語辞書'!$A:$B,COLUMN('用語辞書'!B$1),FALSE),
IF(_xlpm.v=0,"",_xlpm.v)
),"")</f>
        <v/>
      </c>
      <c r="K983" s="17"/>
      <c r="L983" s="17" t="b">
        <f>IF(OR(COUNTIF('クラス'!$A$1:$A$1267,$B983)&gt;0,$B983="",$M983=""),"",True)</f>
        <v>1</v>
      </c>
      <c r="M983" s="1" t="str">
        <f t="shared" si="22"/>
        <v>存在しない</v>
      </c>
      <c r="N983" s="1" t="s">
        <v>29</v>
      </c>
      <c r="O983" s="1"/>
      <c r="P983" s="11"/>
      <c r="Q983" s="11"/>
      <c r="R983" s="11"/>
      <c r="S983" s="11"/>
      <c r="T983" s="1"/>
      <c r="U983" s="1"/>
      <c r="V983" s="1"/>
      <c r="W983" s="1"/>
      <c r="X983" s="1"/>
      <c r="Y983" s="1"/>
      <c r="Z983" s="1"/>
    </row>
    <row r="984" ht="18.0" customHeight="1" outlineLevel="2">
      <c r="A984" s="1">
        <v>2.0</v>
      </c>
      <c r="B984" s="1"/>
      <c r="C984" s="1"/>
      <c r="D984" s="1"/>
      <c r="E984" s="14"/>
      <c r="F984" s="15"/>
      <c r="G984" s="16"/>
      <c r="H984" s="11"/>
      <c r="I984" s="7"/>
      <c r="J984" s="7" t="str">
        <f>IFERROR(LET(_xlpm.v,
VLOOKUP($I984,'用語辞書'!$A:$B,COLUMN('用語辞書'!B$1),FALSE),
IF(_xlpm.v=0,"",_xlpm.v)
),"")</f>
        <v/>
      </c>
      <c r="K984" s="17"/>
      <c r="L984" s="17" t="str">
        <f>IF(OR(COUNTIF('クラス'!$A$1:$A$1267,$B984)&gt;0,$B984="",$M984=""),"",True)</f>
        <v/>
      </c>
      <c r="M984" s="1" t="str">
        <f t="shared" si="22"/>
        <v>存在しない</v>
      </c>
      <c r="N984" s="1" t="s">
        <v>29</v>
      </c>
      <c r="O984" s="1"/>
      <c r="P984" s="11"/>
      <c r="Q984" s="11"/>
      <c r="R984" s="11"/>
      <c r="S984" s="11"/>
      <c r="T984" s="1"/>
      <c r="U984" s="1"/>
      <c r="V984" s="1"/>
      <c r="W984" s="1"/>
      <c r="X984" s="1"/>
      <c r="Y984" s="1"/>
      <c r="Z984" s="1"/>
    </row>
    <row r="985" ht="18.0" customHeight="1" outlineLevel="2">
      <c r="A985" s="1">
        <v>3.0</v>
      </c>
      <c r="B985" s="1" t="s">
        <v>1296</v>
      </c>
      <c r="C985" s="1"/>
      <c r="D985" s="1"/>
      <c r="E985" s="14" t="s">
        <v>55</v>
      </c>
      <c r="F985" s="15"/>
      <c r="G985" s="16"/>
      <c r="H985" s="11" t="s">
        <v>1478</v>
      </c>
      <c r="I985" s="7"/>
      <c r="J985" s="7" t="str">
        <f>IFERROR(LET(_xlpm.v,
VLOOKUP($I985,'用語辞書'!$A:$B,COLUMN('用語辞書'!B$1),FALSE),
IF(_xlpm.v=0,"",_xlpm.v)
),"")</f>
        <v/>
      </c>
      <c r="K985" s="17"/>
      <c r="L985" s="17" t="str">
        <f>IF(OR(COUNTIF('クラス'!$A$1:$A$1267,$B985)&gt;0,$B985="",$M985=""),"",True)</f>
        <v/>
      </c>
      <c r="M985" s="1" t="str">
        <f t="shared" si="22"/>
        <v/>
      </c>
      <c r="N985" s="1" t="s">
        <v>29</v>
      </c>
      <c r="O985" s="1"/>
      <c r="P985" s="11"/>
      <c r="Q985" s="11"/>
      <c r="R985" s="11"/>
      <c r="S985" s="11"/>
      <c r="T985" s="1"/>
      <c r="U985" s="1"/>
      <c r="V985" s="1"/>
      <c r="W985" s="1"/>
      <c r="X985" s="1"/>
      <c r="Y985" s="1"/>
      <c r="Z985" s="1"/>
    </row>
    <row r="986" ht="18.0" customHeight="1" outlineLevel="2">
      <c r="A986" s="1">
        <v>4.0</v>
      </c>
      <c r="B986" s="1"/>
      <c r="C986" s="1"/>
      <c r="D986" s="1"/>
      <c r="E986" s="14"/>
      <c r="F986" s="15"/>
      <c r="G986" s="16"/>
      <c r="H986" s="11"/>
      <c r="I986" s="7"/>
      <c r="J986" s="7" t="str">
        <f>IFERROR(LET(_xlpm.v,
VLOOKUP($I986,'用語辞書'!$A:$B,COLUMN('用語辞書'!B$1),FALSE),
IF(_xlpm.v=0,"",_xlpm.v)
),"")</f>
        <v/>
      </c>
      <c r="K986" s="17"/>
      <c r="L986" s="17" t="str">
        <f>IF(OR(COUNTIF('クラス'!$A$1:$A$1267,$B986)&gt;0,$B986="",$M986=""),"",True)</f>
        <v/>
      </c>
      <c r="M986" s="1" t="str">
        <f t="shared" si="22"/>
        <v>存在しない</v>
      </c>
      <c r="N986" s="1" t="s">
        <v>29</v>
      </c>
      <c r="O986" s="1"/>
      <c r="P986" s="11"/>
      <c r="Q986" s="11"/>
      <c r="R986" s="11"/>
      <c r="S986" s="11"/>
      <c r="T986" s="1"/>
      <c r="U986" s="1"/>
      <c r="V986" s="1"/>
      <c r="W986" s="1"/>
      <c r="X986" s="1"/>
      <c r="Y986" s="1"/>
      <c r="Z986" s="1"/>
    </row>
    <row r="987" ht="18.0" customHeight="1" outlineLevel="2">
      <c r="A987" s="1">
        <v>5.0</v>
      </c>
      <c r="B987" s="26" t="s">
        <v>282</v>
      </c>
      <c r="C987" s="1"/>
      <c r="D987" s="1"/>
      <c r="E987" s="14"/>
      <c r="F987" s="15"/>
      <c r="G987" s="16"/>
      <c r="H987" s="11"/>
      <c r="I987" s="7"/>
      <c r="J987" s="7" t="str">
        <f>IFERROR(LET(_xlpm.v,
VLOOKUP($I987,'用語辞書'!$A:$B,COLUMN('用語辞書'!B$1),FALSE),
IF(_xlpm.v=0,"",_xlpm.v)
),"")</f>
        <v/>
      </c>
      <c r="K987" s="17"/>
      <c r="L987" s="17" t="str">
        <f>IF(OR(COUNTIF('クラス'!$A$1:$A$1267,$B987)&gt;0,$B987="",$M987=""),"",True)</f>
        <v/>
      </c>
      <c r="M987" s="1" t="str">
        <f t="shared" si="22"/>
        <v/>
      </c>
      <c r="N987" s="1" t="s">
        <v>29</v>
      </c>
      <c r="O987" s="1"/>
      <c r="P987" s="11"/>
      <c r="Q987" s="11"/>
      <c r="R987" s="11"/>
      <c r="S987" s="11"/>
      <c r="T987" s="1"/>
      <c r="U987" s="1"/>
      <c r="V987" s="1"/>
      <c r="W987" s="1"/>
      <c r="X987" s="1"/>
      <c r="Y987" s="1"/>
      <c r="Z987" s="1"/>
    </row>
    <row r="988" ht="18.0" customHeight="1" outlineLevel="2">
      <c r="A988" s="1">
        <v>6.0</v>
      </c>
      <c r="B988" s="1" t="str">
        <f>D982&amp;"の魔力"</f>
        <v>炎の魔力</v>
      </c>
      <c r="C988" s="1"/>
      <c r="D988" s="1"/>
      <c r="E988" s="14" t="s">
        <v>55</v>
      </c>
      <c r="F988" s="15"/>
      <c r="G988" s="16"/>
      <c r="H988" s="11" t="str">
        <f>"条件系統:"&amp;D982&amp;" 魔力+30"</f>
        <v>条件系統:炎 魔力+30</v>
      </c>
      <c r="I988" s="7"/>
      <c r="J988" s="7" t="str">
        <f>IFERROR(LET(_xlpm.v,
VLOOKUP($I988,'用語辞書'!$A:$B,COLUMN('用語辞書'!B$1),FALSE),
IF(_xlpm.v=0,"",_xlpm.v)
),"")</f>
        <v/>
      </c>
      <c r="K988" s="17"/>
      <c r="L988" s="17" t="b">
        <f>IF(OR(COUNTIF('クラス'!$A$1:$A$1267,$B988)&gt;0,$B988="",$M988=""),"",True)</f>
        <v>1</v>
      </c>
      <c r="M988" s="1" t="str">
        <f t="shared" si="22"/>
        <v>存在しない</v>
      </c>
      <c r="N988" s="1" t="s">
        <v>29</v>
      </c>
      <c r="O988" s="1"/>
      <c r="P988" s="11"/>
      <c r="Q988" s="11"/>
      <c r="R988" s="11"/>
      <c r="S988" s="11"/>
      <c r="T988" s="1"/>
      <c r="U988" s="1"/>
      <c r="V988" s="1"/>
      <c r="W988" s="1"/>
      <c r="X988" s="1"/>
      <c r="Y988" s="1"/>
      <c r="Z988" s="1"/>
    </row>
    <row r="989" ht="18.0" customHeight="1" outlineLevel="2">
      <c r="A989" s="1">
        <v>7.0</v>
      </c>
      <c r="B989" s="1"/>
      <c r="C989" s="1"/>
      <c r="D989" s="1"/>
      <c r="E989" s="14"/>
      <c r="F989" s="15"/>
      <c r="G989" s="16"/>
      <c r="H989" s="11"/>
      <c r="I989" s="7"/>
      <c r="J989" s="7" t="str">
        <f>IFERROR(LET(_xlpm.v,
VLOOKUP($I989,'用語辞書'!$A:$B,COLUMN('用語辞書'!B$1),FALSE),
IF(_xlpm.v=0,"",_xlpm.v)
),"")</f>
        <v/>
      </c>
      <c r="K989" s="17"/>
      <c r="L989" s="17" t="str">
        <f>IF(OR(COUNTIF('クラス'!$A$1:$A$1267,$B989)&gt;0,$B989="",$M989=""),"",True)</f>
        <v/>
      </c>
      <c r="M989" s="1" t="str">
        <f t="shared" si="22"/>
        <v>存在しない</v>
      </c>
      <c r="N989" s="1" t="s">
        <v>29</v>
      </c>
      <c r="O989" s="1"/>
      <c r="P989" s="11"/>
      <c r="Q989" s="11"/>
      <c r="R989" s="11"/>
      <c r="S989" s="11"/>
      <c r="T989" s="1"/>
      <c r="U989" s="1"/>
      <c r="V989" s="1"/>
      <c r="W989" s="1"/>
      <c r="X989" s="1"/>
      <c r="Y989" s="1"/>
      <c r="Z989" s="1"/>
    </row>
    <row r="990" ht="18.0" customHeight="1" outlineLevel="2">
      <c r="A990" s="1">
        <v>8.0</v>
      </c>
      <c r="B990" s="1"/>
      <c r="C990" s="1"/>
      <c r="D990" s="1"/>
      <c r="E990" s="14"/>
      <c r="F990" s="15"/>
      <c r="G990" s="16"/>
      <c r="H990" s="11"/>
      <c r="I990" s="7"/>
      <c r="J990" s="7" t="str">
        <f>IFERROR(LET(_xlpm.v,
VLOOKUP($I990,'用語辞書'!$A:$B,COLUMN('用語辞書'!B$1),FALSE),
IF(_xlpm.v=0,"",_xlpm.v)
),"")</f>
        <v/>
      </c>
      <c r="K990" s="17"/>
      <c r="L990" s="17" t="str">
        <f>IF(OR(COUNTIF('クラス'!$A$1:$A$1267,$B990)&gt;0,$B990="",$M990=""),"",True)</f>
        <v/>
      </c>
      <c r="M990" s="1" t="str">
        <f t="shared" si="22"/>
        <v>存在しない</v>
      </c>
      <c r="N990" s="1" t="s">
        <v>29</v>
      </c>
      <c r="O990" s="1"/>
      <c r="P990" s="11"/>
      <c r="Q990" s="11"/>
      <c r="R990" s="11"/>
      <c r="S990" s="11"/>
      <c r="T990" s="1"/>
      <c r="U990" s="1"/>
      <c r="V990" s="1"/>
      <c r="W990" s="1"/>
      <c r="X990" s="1"/>
      <c r="Y990" s="1"/>
      <c r="Z990" s="1"/>
    </row>
    <row r="991" ht="18.0" customHeight="1" outlineLevel="2">
      <c r="A991" s="1">
        <v>9.0</v>
      </c>
      <c r="B991" s="1" t="str">
        <f>D982&amp;"の力"</f>
        <v>炎の力</v>
      </c>
      <c r="C991" s="1"/>
      <c r="D991" s="1"/>
      <c r="E991" s="14" t="s">
        <v>55</v>
      </c>
      <c r="F991" s="15"/>
      <c r="G991" s="16"/>
      <c r="H991" s="11" t="str">
        <f>"条件系統:"&amp;D982&amp;" 攻撃+30"</f>
        <v>条件系統:炎 攻撃+30</v>
      </c>
      <c r="I991" s="7"/>
      <c r="J991" s="7" t="str">
        <f>IFERROR(LET(_xlpm.v,
VLOOKUP($I991,'用語辞書'!$A:$B,COLUMN('用語辞書'!B$1),FALSE),
IF(_xlpm.v=0,"",_xlpm.v)
),"")</f>
        <v/>
      </c>
      <c r="K991" s="17"/>
      <c r="L991" s="17" t="b">
        <f>IF(OR(COUNTIF('クラス'!$A$1:$A$1267,$B991)&gt;0,$B991="",$M991=""),"",True)</f>
        <v>1</v>
      </c>
      <c r="M991" s="1" t="str">
        <f t="shared" si="22"/>
        <v>存在しない</v>
      </c>
      <c r="N991" s="1" t="s">
        <v>29</v>
      </c>
      <c r="O991" s="1"/>
      <c r="P991" s="11"/>
      <c r="Q991" s="11"/>
      <c r="R991" s="11"/>
      <c r="S991" s="11"/>
      <c r="T991" s="1"/>
      <c r="U991" s="1"/>
      <c r="V991" s="1"/>
      <c r="W991" s="1"/>
      <c r="X991" s="1"/>
      <c r="Y991" s="1"/>
      <c r="Z991" s="1"/>
    </row>
    <row r="992" ht="18.0" customHeight="1" outlineLevel="2">
      <c r="A992" s="1">
        <v>10.0</v>
      </c>
      <c r="B992" s="1" t="str">
        <f>D982&amp;"の吐息"</f>
        <v>炎の吐息</v>
      </c>
      <c r="C992" s="1"/>
      <c r="D992" s="1" t="str">
        <f>D982</f>
        <v>炎</v>
      </c>
      <c r="E992" s="14" t="s">
        <v>33</v>
      </c>
      <c r="F992" s="15"/>
      <c r="G992" s="16">
        <v>80.0</v>
      </c>
      <c r="H992" s="11" t="str">
        <f>"攻撃手段:吐息 "&amp;D982&amp;"+45 射程:20 範囲:放射"</f>
        <v>攻撃手段:吐息 炎+45 射程:20 範囲:放射</v>
      </c>
      <c r="I992" s="7"/>
      <c r="J992" s="7" t="str">
        <f>IFERROR(LET(_xlpm.v,
VLOOKUP($I992,'用語辞書'!$A:$B,COLUMN('用語辞書'!B$1),FALSE),
IF(_xlpm.v=0,"",_xlpm.v)
),"")</f>
        <v/>
      </c>
      <c r="K992" s="17"/>
      <c r="L992" s="17" t="b">
        <f>IF(OR(COUNTIF('クラス'!$A$1:$A$1267,$B992)&gt;0,$B992="",$M992=""),"",True)</f>
        <v>1</v>
      </c>
      <c r="M992" s="1" t="str">
        <f t="shared" si="22"/>
        <v>存在しない</v>
      </c>
      <c r="N992" s="1" t="s">
        <v>29</v>
      </c>
      <c r="O992" s="1"/>
      <c r="P992" s="11"/>
      <c r="Q992" s="11"/>
      <c r="R992" s="11"/>
      <c r="S992" s="11"/>
      <c r="T992" s="1"/>
      <c r="U992" s="1"/>
      <c r="V992" s="1"/>
      <c r="W992" s="1"/>
      <c r="X992" s="1"/>
      <c r="Y992" s="1"/>
      <c r="Z992" s="1"/>
    </row>
    <row r="993" ht="18.0" customHeight="1" outlineLevel="2">
      <c r="A993" s="1"/>
      <c r="B993" s="1"/>
      <c r="C993" s="1"/>
      <c r="D993" s="1"/>
      <c r="E993" s="14"/>
      <c r="F993" s="15"/>
      <c r="G993" s="16"/>
      <c r="H993" s="11"/>
      <c r="I993" s="7"/>
      <c r="J993" s="7" t="str">
        <f>IFERROR(LET(_xlpm.v,
VLOOKUP($I993,'用語辞書'!$A:$B,COLUMN('用語辞書'!B$1),FALSE),
IF(_xlpm.v=0,"",_xlpm.v)
),"")</f>
        <v/>
      </c>
      <c r="K993" s="17"/>
      <c r="L993" s="17" t="str">
        <f>IF(OR(COUNTIF('クラス'!$A$1:$A$1267,$B993)&gt;0,$B993="",$M993=""),"",True)</f>
        <v/>
      </c>
      <c r="M993" s="1" t="str">
        <f t="shared" si="22"/>
        <v>存在しない</v>
      </c>
      <c r="N993" s="1" t="s">
        <v>29</v>
      </c>
      <c r="O993" s="1"/>
      <c r="P993" s="11"/>
      <c r="Q993" s="11"/>
      <c r="R993" s="11"/>
      <c r="S993" s="11"/>
      <c r="T993" s="1"/>
      <c r="U993" s="1"/>
      <c r="V993" s="1"/>
      <c r="W993" s="1"/>
      <c r="X993" s="1"/>
      <c r="Y993" s="1"/>
      <c r="Z993" s="1"/>
    </row>
    <row r="994" ht="18.0" customHeight="1" outlineLevel="1" collapsed="1">
      <c r="A994" s="1"/>
      <c r="B994" s="1"/>
      <c r="C994" s="1"/>
      <c r="D994" s="1"/>
      <c r="E994" s="14"/>
      <c r="F994" s="15"/>
      <c r="G994" s="16"/>
      <c r="H994" s="11"/>
      <c r="I994" s="7"/>
      <c r="J994" s="7" t="str">
        <f>IFERROR(LET(_xlpm.v,
VLOOKUP($I994,'用語辞書'!$A:$B,COLUMN('用語辞書'!B$1),FALSE),
IF(_xlpm.v=0,"",_xlpm.v)
),"")</f>
        <v/>
      </c>
      <c r="K994" s="17"/>
      <c r="L994" s="17" t="str">
        <f>IF(OR(COUNTIF('クラス'!$A$1:$A$1267,$B994)&gt;0,$B994="",$M994=""),"",True)</f>
        <v/>
      </c>
      <c r="M994" s="1" t="str">
        <f t="shared" si="22"/>
        <v>存在しない</v>
      </c>
      <c r="N994" s="1" t="s">
        <v>29</v>
      </c>
      <c r="O994" s="1"/>
      <c r="P994" s="11"/>
      <c r="Q994" s="11"/>
      <c r="R994" s="11"/>
      <c r="S994" s="11"/>
      <c r="T994" s="1"/>
      <c r="U994" s="1"/>
      <c r="V994" s="1"/>
      <c r="W994" s="1"/>
      <c r="X994" s="1"/>
      <c r="Y994" s="1"/>
      <c r="Z994" s="1"/>
    </row>
    <row r="995" ht="18.0" customHeight="1" outlineLevel="1">
      <c r="A995" s="1"/>
      <c r="B995" s="1" t="s">
        <v>1479</v>
      </c>
      <c r="C995" s="1"/>
      <c r="D995" s="1" t="s">
        <v>370</v>
      </c>
      <c r="E995" s="14"/>
      <c r="F995" s="15"/>
      <c r="G995" s="16"/>
      <c r="H995" s="11"/>
      <c r="I995" s="7"/>
      <c r="J995" s="7" t="str">
        <f>IFERROR(LET(_xlpm.v,
VLOOKUP($I995,'用語辞書'!$A:$B,COLUMN('用語辞書'!B$1),FALSE),
IF(_xlpm.v=0,"",_xlpm.v)
),"")</f>
        <v/>
      </c>
      <c r="K995" s="17"/>
      <c r="L995" s="17" t="str">
        <f>IF(OR(COUNTIF('クラス'!$A$1:$A$1267,$B995)&gt;0,$B995="",$M995=""),"",True)</f>
        <v/>
      </c>
      <c r="M995" s="1" t="str">
        <f t="shared" si="22"/>
        <v>存在しない</v>
      </c>
      <c r="N995" s="1" t="s">
        <v>29</v>
      </c>
      <c r="O995" s="1"/>
      <c r="P995" s="11"/>
      <c r="Q995" s="11"/>
      <c r="R995" s="11"/>
      <c r="S995" s="11"/>
      <c r="T995" s="1"/>
      <c r="U995" s="1"/>
      <c r="V995" s="1"/>
      <c r="W995" s="1"/>
      <c r="X995" s="1"/>
      <c r="Y995" s="1"/>
      <c r="Z995" s="1"/>
    </row>
    <row r="996" ht="18.0" customHeight="1" outlineLevel="2">
      <c r="A996" s="1">
        <v>1.0</v>
      </c>
      <c r="B996" s="1" t="str">
        <f>D995&amp;"の拳"</f>
        <v>氷の拳</v>
      </c>
      <c r="C996" s="1"/>
      <c r="D996" s="1" t="str">
        <f>D995</f>
        <v>氷</v>
      </c>
      <c r="E996" s="14" t="s">
        <v>33</v>
      </c>
      <c r="F996" s="15"/>
      <c r="G996" s="16">
        <v>60.0</v>
      </c>
      <c r="H996" s="11" t="str">
        <f>"攻撃手段:素手 物理+15 "&amp;D995&amp;"+25 判定:攻撃"</f>
        <v>攻撃手段:素手 物理+15 氷+25 判定:攻撃</v>
      </c>
      <c r="I996" s="7"/>
      <c r="J996" s="7" t="str">
        <f>IFERROR(LET(_xlpm.v,
VLOOKUP($I996,'用語辞書'!$A:$B,COLUMN('用語辞書'!B$1),FALSE),
IF(_xlpm.v=0,"",_xlpm.v)
),"")</f>
        <v/>
      </c>
      <c r="K996" s="17"/>
      <c r="L996" s="17" t="b">
        <f>IF(OR(COUNTIF('クラス'!$A$1:$A$1267,$B996)&gt;0,$B996="",$M996=""),"",True)</f>
        <v>1</v>
      </c>
      <c r="M996" s="1" t="str">
        <f t="shared" si="22"/>
        <v>存在しない</v>
      </c>
      <c r="N996" s="1" t="s">
        <v>29</v>
      </c>
      <c r="O996" s="1"/>
      <c r="P996" s="11"/>
      <c r="Q996" s="11"/>
      <c r="R996" s="11"/>
      <c r="S996" s="11"/>
      <c r="T996" s="1"/>
      <c r="U996" s="1"/>
      <c r="V996" s="1"/>
      <c r="W996" s="1"/>
      <c r="X996" s="1"/>
      <c r="Y996" s="1"/>
      <c r="Z996" s="1"/>
    </row>
    <row r="997" ht="18.0" customHeight="1" outlineLevel="2">
      <c r="A997" s="1">
        <v>2.0</v>
      </c>
      <c r="B997" s="1"/>
      <c r="C997" s="1"/>
      <c r="D997" s="1"/>
      <c r="E997" s="14"/>
      <c r="F997" s="15"/>
      <c r="G997" s="16"/>
      <c r="H997" s="11"/>
      <c r="I997" s="7"/>
      <c r="J997" s="7" t="str">
        <f>IFERROR(LET(_xlpm.v,
VLOOKUP($I997,'用語辞書'!$A:$B,COLUMN('用語辞書'!B$1),FALSE),
IF(_xlpm.v=0,"",_xlpm.v)
),"")</f>
        <v/>
      </c>
      <c r="K997" s="17"/>
      <c r="L997" s="17" t="str">
        <f>IF(OR(COUNTIF('クラス'!$A$1:$A$1267,$B997)&gt;0,$B997="",$M997=""),"",True)</f>
        <v/>
      </c>
      <c r="M997" s="1" t="str">
        <f t="shared" si="22"/>
        <v>存在しない</v>
      </c>
      <c r="N997" s="1" t="s">
        <v>29</v>
      </c>
      <c r="O997" s="1"/>
      <c r="P997" s="11"/>
      <c r="Q997" s="11"/>
      <c r="R997" s="11"/>
      <c r="S997" s="11"/>
      <c r="T997" s="1"/>
      <c r="U997" s="1"/>
      <c r="V997" s="1"/>
      <c r="W997" s="1"/>
      <c r="X997" s="1"/>
      <c r="Y997" s="1"/>
      <c r="Z997" s="1"/>
    </row>
    <row r="998" ht="18.0" customHeight="1" outlineLevel="2">
      <c r="A998" s="1">
        <v>3.0</v>
      </c>
      <c r="B998" s="1" t="s">
        <v>1296</v>
      </c>
      <c r="C998" s="1"/>
      <c r="D998" s="1"/>
      <c r="E998" s="14" t="s">
        <v>55</v>
      </c>
      <c r="F998" s="15"/>
      <c r="G998" s="16"/>
      <c r="H998" s="11" t="s">
        <v>1478</v>
      </c>
      <c r="I998" s="7"/>
      <c r="J998" s="7" t="str">
        <f>IFERROR(LET(_xlpm.v,
VLOOKUP($I998,'用語辞書'!$A:$B,COLUMN('用語辞書'!B$1),FALSE),
IF(_xlpm.v=0,"",_xlpm.v)
),"")</f>
        <v/>
      </c>
      <c r="K998" s="17"/>
      <c r="L998" s="17" t="str">
        <f>IF(OR(COUNTIF('クラス'!$A$1:$A$1267,$B998)&gt;0,$B998="",$M998=""),"",True)</f>
        <v/>
      </c>
      <c r="M998" s="1" t="str">
        <f t="shared" si="22"/>
        <v/>
      </c>
      <c r="N998" s="1" t="s">
        <v>29</v>
      </c>
      <c r="O998" s="1"/>
      <c r="P998" s="11"/>
      <c r="Q998" s="11"/>
      <c r="R998" s="11"/>
      <c r="S998" s="11"/>
      <c r="T998" s="1"/>
      <c r="U998" s="1"/>
      <c r="V998" s="1"/>
      <c r="W998" s="1"/>
      <c r="X998" s="1"/>
      <c r="Y998" s="1"/>
      <c r="Z998" s="1"/>
    </row>
    <row r="999" ht="18.0" customHeight="1" outlineLevel="2">
      <c r="A999" s="1">
        <v>4.0</v>
      </c>
      <c r="B999" s="1"/>
      <c r="C999" s="1"/>
      <c r="D999" s="1"/>
      <c r="E999" s="14"/>
      <c r="F999" s="15"/>
      <c r="G999" s="16"/>
      <c r="H999" s="11"/>
      <c r="I999" s="7"/>
      <c r="J999" s="7" t="str">
        <f>IFERROR(LET(_xlpm.v,
VLOOKUP($I999,'用語辞書'!$A:$B,COLUMN('用語辞書'!B$1),FALSE),
IF(_xlpm.v=0,"",_xlpm.v)
),"")</f>
        <v/>
      </c>
      <c r="K999" s="17"/>
      <c r="L999" s="17" t="str">
        <f>IF(OR(COUNTIF('クラス'!$A$1:$A$1267,$B999)&gt;0,$B999="",$M999=""),"",True)</f>
        <v/>
      </c>
      <c r="M999" s="1" t="str">
        <f t="shared" si="22"/>
        <v>存在しない</v>
      </c>
      <c r="N999" s="1" t="s">
        <v>29</v>
      </c>
      <c r="O999" s="1"/>
      <c r="P999" s="11"/>
      <c r="Q999" s="11"/>
      <c r="R999" s="11"/>
      <c r="S999" s="11"/>
      <c r="T999" s="1"/>
      <c r="U999" s="1"/>
      <c r="V999" s="1"/>
      <c r="W999" s="1"/>
      <c r="X999" s="1"/>
      <c r="Y999" s="1"/>
      <c r="Z999" s="1"/>
    </row>
    <row r="1000" ht="18.0" customHeight="1" outlineLevel="2">
      <c r="A1000" s="1">
        <v>5.0</v>
      </c>
      <c r="B1000" s="26" t="s">
        <v>372</v>
      </c>
      <c r="C1000" s="1"/>
      <c r="D1000" s="1"/>
      <c r="E1000" s="14"/>
      <c r="F1000" s="15"/>
      <c r="G1000" s="16"/>
      <c r="H1000" s="11"/>
      <c r="I1000" s="7"/>
      <c r="J1000" s="7" t="str">
        <f>IFERROR(LET(_xlpm.v,
VLOOKUP($I1000,'用語辞書'!$A:$B,COLUMN('用語辞書'!B$1),FALSE),
IF(_xlpm.v=0,"",_xlpm.v)
),"")</f>
        <v/>
      </c>
      <c r="K1000" s="17"/>
      <c r="L1000" s="17" t="str">
        <f>IF(OR(COUNTIF('クラス'!$A$1:$A$1267,$B1000)&gt;0,$B1000="",$M1000=""),"",True)</f>
        <v/>
      </c>
      <c r="M1000" s="1" t="str">
        <f t="shared" si="22"/>
        <v/>
      </c>
      <c r="N1000" s="1" t="s">
        <v>29</v>
      </c>
      <c r="O1000" s="1"/>
      <c r="P1000" s="11"/>
      <c r="Q1000" s="11"/>
      <c r="R1000" s="11"/>
      <c r="S1000" s="11"/>
      <c r="T1000" s="1"/>
      <c r="U1000" s="1"/>
      <c r="V1000" s="1"/>
      <c r="W1000" s="1"/>
      <c r="X1000" s="1"/>
      <c r="Y1000" s="1"/>
      <c r="Z1000" s="1"/>
    </row>
    <row r="1001" ht="18.0" customHeight="1" outlineLevel="2">
      <c r="A1001" s="1">
        <v>6.0</v>
      </c>
      <c r="B1001" s="1" t="str">
        <f>D995&amp;"の魔力"</f>
        <v>氷の魔力</v>
      </c>
      <c r="C1001" s="1"/>
      <c r="D1001" s="1"/>
      <c r="E1001" s="14" t="s">
        <v>55</v>
      </c>
      <c r="F1001" s="15"/>
      <c r="G1001" s="16"/>
      <c r="H1001" s="11" t="str">
        <f>"条件系統:"&amp;D995&amp;" 魔力+30"</f>
        <v>条件系統:氷 魔力+30</v>
      </c>
      <c r="I1001" s="7"/>
      <c r="J1001" s="7" t="str">
        <f>IFERROR(LET(_xlpm.v,
VLOOKUP($I1001,'用語辞書'!$A:$B,COLUMN('用語辞書'!B$1),FALSE),
IF(_xlpm.v=0,"",_xlpm.v)
),"")</f>
        <v/>
      </c>
      <c r="K1001" s="17"/>
      <c r="L1001" s="17" t="b">
        <f>IF(OR(COUNTIF('クラス'!$A$1:$A$1267,$B1001)&gt;0,$B1001="",$M1001=""),"",True)</f>
        <v>1</v>
      </c>
      <c r="M1001" s="1" t="str">
        <f t="shared" si="22"/>
        <v>存在しない</v>
      </c>
      <c r="N1001" s="1" t="s">
        <v>29</v>
      </c>
      <c r="O1001" s="1"/>
      <c r="P1001" s="11"/>
      <c r="Q1001" s="11"/>
      <c r="R1001" s="11"/>
      <c r="S1001" s="11"/>
      <c r="T1001" s="1"/>
      <c r="U1001" s="1"/>
      <c r="V1001" s="1"/>
      <c r="W1001" s="1"/>
      <c r="X1001" s="1"/>
      <c r="Y1001" s="1"/>
      <c r="Z1001" s="1"/>
    </row>
    <row r="1002" ht="18.0" customHeight="1" outlineLevel="2">
      <c r="A1002" s="1">
        <v>7.0</v>
      </c>
      <c r="B1002" s="1"/>
      <c r="C1002" s="1"/>
      <c r="D1002" s="1"/>
      <c r="E1002" s="14"/>
      <c r="F1002" s="15"/>
      <c r="G1002" s="16"/>
      <c r="H1002" s="11"/>
      <c r="I1002" s="7"/>
      <c r="J1002" s="7" t="str">
        <f>IFERROR(LET(_xlpm.v,
VLOOKUP($I1002,'用語辞書'!$A:$B,COLUMN('用語辞書'!B$1),FALSE),
IF(_xlpm.v=0,"",_xlpm.v)
),"")</f>
        <v/>
      </c>
      <c r="K1002" s="17"/>
      <c r="L1002" s="17" t="str">
        <f>IF(OR(COUNTIF('クラス'!$A$1:$A$1267,$B1002)&gt;0,$B1002="",$M1002=""),"",True)</f>
        <v/>
      </c>
      <c r="M1002" s="1" t="str">
        <f t="shared" si="22"/>
        <v>存在しない</v>
      </c>
      <c r="N1002" s="1" t="s">
        <v>29</v>
      </c>
      <c r="O1002" s="1"/>
      <c r="P1002" s="11"/>
      <c r="Q1002" s="11"/>
      <c r="R1002" s="11"/>
      <c r="S1002" s="11"/>
      <c r="T1002" s="1"/>
      <c r="U1002" s="1"/>
      <c r="V1002" s="1"/>
      <c r="W1002" s="1"/>
      <c r="X1002" s="1"/>
      <c r="Y1002" s="1"/>
      <c r="Z1002" s="1"/>
    </row>
    <row r="1003" ht="18.0" customHeight="1" outlineLevel="2">
      <c r="A1003" s="1">
        <v>8.0</v>
      </c>
      <c r="B1003" s="1"/>
      <c r="C1003" s="1"/>
      <c r="D1003" s="1"/>
      <c r="E1003" s="14"/>
      <c r="F1003" s="15"/>
      <c r="G1003" s="16"/>
      <c r="H1003" s="11"/>
      <c r="I1003" s="7"/>
      <c r="J1003" s="7" t="str">
        <f>IFERROR(LET(_xlpm.v,
VLOOKUP($I1003,'用語辞書'!$A:$B,COLUMN('用語辞書'!B$1),FALSE),
IF(_xlpm.v=0,"",_xlpm.v)
),"")</f>
        <v/>
      </c>
      <c r="K1003" s="17"/>
      <c r="L1003" s="17" t="str">
        <f>IF(OR(COUNTIF('クラス'!$A$1:$A$1267,$B1003)&gt;0,$B1003="",$M1003=""),"",True)</f>
        <v/>
      </c>
      <c r="M1003" s="1" t="str">
        <f t="shared" si="22"/>
        <v>存在しない</v>
      </c>
      <c r="N1003" s="1" t="s">
        <v>29</v>
      </c>
      <c r="O1003" s="1"/>
      <c r="P1003" s="11"/>
      <c r="Q1003" s="11"/>
      <c r="R1003" s="11"/>
      <c r="S1003" s="11"/>
      <c r="T1003" s="1"/>
      <c r="U1003" s="1"/>
      <c r="V1003" s="1"/>
      <c r="W1003" s="1"/>
      <c r="X1003" s="1"/>
      <c r="Y1003" s="1"/>
      <c r="Z1003" s="1"/>
    </row>
    <row r="1004" ht="18.0" customHeight="1" outlineLevel="2">
      <c r="A1004" s="1">
        <v>9.0</v>
      </c>
      <c r="B1004" s="1" t="str">
        <f>D995&amp;"の力"</f>
        <v>氷の力</v>
      </c>
      <c r="C1004" s="1"/>
      <c r="D1004" s="1"/>
      <c r="E1004" s="14" t="s">
        <v>55</v>
      </c>
      <c r="F1004" s="15"/>
      <c r="G1004" s="16"/>
      <c r="H1004" s="11" t="str">
        <f>"条件系統:"&amp;D995&amp;" 攻撃+30"</f>
        <v>条件系統:氷 攻撃+30</v>
      </c>
      <c r="I1004" s="7"/>
      <c r="J1004" s="7" t="str">
        <f>IFERROR(LET(_xlpm.v,
VLOOKUP($I1004,'用語辞書'!$A:$B,COLUMN('用語辞書'!B$1),FALSE),
IF(_xlpm.v=0,"",_xlpm.v)
),"")</f>
        <v/>
      </c>
      <c r="K1004" s="17"/>
      <c r="L1004" s="17" t="b">
        <f>IF(OR(COUNTIF('クラス'!$A$1:$A$1267,$B1004)&gt;0,$B1004="",$M1004=""),"",True)</f>
        <v>1</v>
      </c>
      <c r="M1004" s="1" t="str">
        <f t="shared" si="22"/>
        <v>存在しない</v>
      </c>
      <c r="N1004" s="1" t="s">
        <v>29</v>
      </c>
      <c r="O1004" s="1"/>
      <c r="P1004" s="11"/>
      <c r="Q1004" s="11"/>
      <c r="R1004" s="11"/>
      <c r="S1004" s="11"/>
      <c r="T1004" s="1"/>
      <c r="U1004" s="1"/>
      <c r="V1004" s="1"/>
      <c r="W1004" s="1"/>
      <c r="X1004" s="1"/>
      <c r="Y1004" s="1"/>
      <c r="Z1004" s="1"/>
    </row>
    <row r="1005" ht="18.0" customHeight="1" outlineLevel="2">
      <c r="A1005" s="1">
        <v>10.0</v>
      </c>
      <c r="B1005" s="1" t="str">
        <f>D995&amp;"の吐息"</f>
        <v>氷の吐息</v>
      </c>
      <c r="C1005" s="1"/>
      <c r="D1005" s="1" t="str">
        <f>D995</f>
        <v>氷</v>
      </c>
      <c r="E1005" s="14" t="s">
        <v>33</v>
      </c>
      <c r="F1005" s="15"/>
      <c r="G1005" s="16">
        <v>80.0</v>
      </c>
      <c r="H1005" s="11" t="str">
        <f>"攻撃手段:吐息 "&amp;D995&amp;"+45 射程:20 範囲:放射"</f>
        <v>攻撃手段:吐息 氷+45 射程:20 範囲:放射</v>
      </c>
      <c r="I1005" s="7"/>
      <c r="J1005" s="7" t="str">
        <f>IFERROR(LET(_xlpm.v,
VLOOKUP($I1005,'用語辞書'!$A:$B,COLUMN('用語辞書'!B$1),FALSE),
IF(_xlpm.v=0,"",_xlpm.v)
),"")</f>
        <v/>
      </c>
      <c r="K1005" s="17"/>
      <c r="L1005" s="17" t="b">
        <f>IF(OR(COUNTIF('クラス'!$A$1:$A$1267,$B1005)&gt;0,$B1005="",$M1005=""),"",True)</f>
        <v>1</v>
      </c>
      <c r="M1005" s="1" t="str">
        <f t="shared" si="22"/>
        <v>存在しない</v>
      </c>
      <c r="N1005" s="1" t="s">
        <v>29</v>
      </c>
      <c r="O1005" s="1"/>
      <c r="P1005" s="11"/>
      <c r="Q1005" s="11"/>
      <c r="R1005" s="11"/>
      <c r="S1005" s="11"/>
      <c r="T1005" s="1"/>
      <c r="U1005" s="1"/>
      <c r="V1005" s="1"/>
      <c r="W1005" s="1"/>
      <c r="X1005" s="1"/>
      <c r="Y1005" s="1"/>
      <c r="Z1005" s="1"/>
    </row>
    <row r="1006" ht="18.0" customHeight="1" outlineLevel="2">
      <c r="A1006" s="1"/>
      <c r="B1006" s="1"/>
      <c r="C1006" s="1"/>
      <c r="D1006" s="1"/>
      <c r="E1006" s="14"/>
      <c r="F1006" s="15"/>
      <c r="G1006" s="16"/>
      <c r="H1006" s="11"/>
      <c r="I1006" s="7"/>
      <c r="J1006" s="7" t="str">
        <f>IFERROR(LET(_xlpm.v,
VLOOKUP($I1006,'用語辞書'!$A:$B,COLUMN('用語辞書'!B$1),FALSE),
IF(_xlpm.v=0,"",_xlpm.v)
),"")</f>
        <v/>
      </c>
      <c r="K1006" s="17"/>
      <c r="L1006" s="17" t="str">
        <f>IF(OR(COUNTIF('クラス'!$A$1:$A$1267,$B1006)&gt;0,$B1006="",$M1006=""),"",True)</f>
        <v/>
      </c>
      <c r="M1006" s="1" t="str">
        <f t="shared" si="22"/>
        <v>存在しない</v>
      </c>
      <c r="N1006" s="1" t="s">
        <v>29</v>
      </c>
      <c r="O1006" s="1"/>
      <c r="P1006" s="11"/>
      <c r="Q1006" s="11"/>
      <c r="R1006" s="11"/>
      <c r="S1006" s="11"/>
      <c r="T1006" s="1"/>
      <c r="U1006" s="1"/>
      <c r="V1006" s="1"/>
      <c r="W1006" s="1"/>
      <c r="X1006" s="1"/>
      <c r="Y1006" s="1"/>
      <c r="Z1006" s="1"/>
    </row>
    <row r="1007" ht="18.0" customHeight="1" outlineLevel="1" collapsed="1">
      <c r="A1007" s="1"/>
      <c r="B1007" s="1"/>
      <c r="C1007" s="1"/>
      <c r="D1007" s="1"/>
      <c r="E1007" s="14"/>
      <c r="F1007" s="15"/>
      <c r="G1007" s="16"/>
      <c r="H1007" s="11"/>
      <c r="I1007" s="7"/>
      <c r="J1007" s="7" t="str">
        <f>IFERROR(LET(_xlpm.v,
VLOOKUP($I1007,'用語辞書'!$A:$B,COLUMN('用語辞書'!B$1),FALSE),
IF(_xlpm.v=0,"",_xlpm.v)
),"")</f>
        <v/>
      </c>
      <c r="K1007" s="17"/>
      <c r="L1007" s="17" t="str">
        <f>IF(OR(COUNTIF('クラス'!$A$1:$A$1267,$B1007)&gt;0,$B1007="",$M1007=""),"",True)</f>
        <v/>
      </c>
      <c r="M1007" s="1" t="str">
        <f t="shared" si="22"/>
        <v>存在しない</v>
      </c>
      <c r="N1007" s="1" t="s">
        <v>29</v>
      </c>
      <c r="O1007" s="1"/>
      <c r="P1007" s="11"/>
      <c r="Q1007" s="11"/>
      <c r="R1007" s="11"/>
      <c r="S1007" s="11"/>
      <c r="T1007" s="1"/>
      <c r="U1007" s="1"/>
      <c r="V1007" s="1"/>
      <c r="W1007" s="1"/>
      <c r="X1007" s="1"/>
      <c r="Y1007" s="1"/>
      <c r="Z1007" s="1"/>
    </row>
    <row r="1008" ht="18.0" customHeight="1" outlineLevel="1">
      <c r="A1008" s="1"/>
      <c r="B1008" s="1" t="s">
        <v>1480</v>
      </c>
      <c r="C1008" s="1"/>
      <c r="D1008" s="1" t="s">
        <v>453</v>
      </c>
      <c r="E1008" s="14"/>
      <c r="F1008" s="15"/>
      <c r="G1008" s="16"/>
      <c r="H1008" s="11"/>
      <c r="I1008" s="7"/>
      <c r="J1008" s="7" t="str">
        <f>IFERROR(LET(_xlpm.v,
VLOOKUP($I1008,'用語辞書'!$A:$B,COLUMN('用語辞書'!B$1),FALSE),
IF(_xlpm.v=0,"",_xlpm.v)
),"")</f>
        <v/>
      </c>
      <c r="K1008" s="17"/>
      <c r="L1008" s="17" t="str">
        <f>IF(OR(COUNTIF('クラス'!$A$1:$A$1267,$B1008)&gt;0,$B1008="",$M1008=""),"",True)</f>
        <v/>
      </c>
      <c r="M1008" s="1" t="str">
        <f t="shared" si="22"/>
        <v>存在しない</v>
      </c>
      <c r="N1008" s="1" t="s">
        <v>29</v>
      </c>
      <c r="O1008" s="1"/>
      <c r="P1008" s="11"/>
      <c r="Q1008" s="11"/>
      <c r="R1008" s="11"/>
      <c r="S1008" s="11"/>
      <c r="T1008" s="1"/>
      <c r="U1008" s="1"/>
      <c r="V1008" s="1"/>
      <c r="W1008" s="1"/>
      <c r="X1008" s="1"/>
      <c r="Y1008" s="1"/>
      <c r="Z1008" s="1"/>
    </row>
    <row r="1009" ht="18.0" customHeight="1" outlineLevel="2">
      <c r="A1009" s="1">
        <v>1.0</v>
      </c>
      <c r="B1009" s="1" t="s">
        <v>1481</v>
      </c>
      <c r="C1009" s="1"/>
      <c r="D1009" s="1" t="s">
        <v>453</v>
      </c>
      <c r="E1009" s="14" t="s">
        <v>33</v>
      </c>
      <c r="F1009" s="15"/>
      <c r="G1009" s="16">
        <v>60.0</v>
      </c>
      <c r="H1009" s="11" t="s">
        <v>1482</v>
      </c>
      <c r="I1009" s="7"/>
      <c r="J1009" s="7" t="str">
        <f>IFERROR(LET(_xlpm.v,
VLOOKUP($I1009,'用語辞書'!$A:$B,COLUMN('用語辞書'!B$1),FALSE),
IF(_xlpm.v=0,"",_xlpm.v)
),"")</f>
        <v/>
      </c>
      <c r="K1009" s="17"/>
      <c r="L1009" s="17" t="b">
        <f>IF(OR(COUNTIF('クラス'!$A$1:$A$1267,$B1009)&gt;0,$B1009="",$M1009=""),"",True)</f>
        <v>1</v>
      </c>
      <c r="M1009" s="1" t="str">
        <f t="shared" si="22"/>
        <v>存在しない</v>
      </c>
      <c r="N1009" s="1" t="e">
        <v>#VALUE!</v>
      </c>
      <c r="O1009" s="1"/>
      <c r="P1009" s="11"/>
      <c r="Q1009" s="11"/>
      <c r="R1009" s="11"/>
      <c r="S1009" s="11"/>
      <c r="T1009" s="1"/>
      <c r="U1009" s="1"/>
      <c r="V1009" s="1"/>
      <c r="W1009" s="1"/>
      <c r="X1009" s="1"/>
      <c r="Y1009" s="1"/>
      <c r="Z1009" s="1"/>
    </row>
    <row r="1010" ht="18.0" customHeight="1" outlineLevel="2">
      <c r="A1010" s="1">
        <v>2.0</v>
      </c>
      <c r="B1010" s="1"/>
      <c r="C1010" s="1"/>
      <c r="D1010" s="1"/>
      <c r="E1010" s="14"/>
      <c r="F1010" s="15"/>
      <c r="G1010" s="16"/>
      <c r="H1010" s="11"/>
      <c r="I1010" s="7"/>
      <c r="J1010" s="7" t="str">
        <f>IFERROR(LET(_xlpm.v,
VLOOKUP($I1010,'用語辞書'!$A:$B,COLUMN('用語辞書'!B$1),FALSE),
IF(_xlpm.v=0,"",_xlpm.v)
),"")</f>
        <v/>
      </c>
      <c r="K1010" s="17"/>
      <c r="L1010" s="17" t="str">
        <f>IF(OR(COUNTIF('クラス'!$A$1:$A$1267,$B1010)&gt;0,$B1010="",$M1010=""),"",True)</f>
        <v/>
      </c>
      <c r="M1010" s="1" t="str">
        <f t="shared" si="22"/>
        <v>存在しない</v>
      </c>
      <c r="N1010" s="1" t="s">
        <v>29</v>
      </c>
      <c r="O1010" s="1"/>
      <c r="P1010" s="11"/>
      <c r="Q1010" s="11"/>
      <c r="R1010" s="11"/>
      <c r="S1010" s="11"/>
      <c r="T1010" s="1"/>
      <c r="U1010" s="1"/>
      <c r="V1010" s="1"/>
      <c r="W1010" s="1"/>
      <c r="X1010" s="1"/>
      <c r="Y1010" s="1"/>
      <c r="Z1010" s="1"/>
    </row>
    <row r="1011" ht="18.0" customHeight="1" outlineLevel="2">
      <c r="A1011" s="1">
        <v>3.0</v>
      </c>
      <c r="B1011" s="1" t="s">
        <v>1483</v>
      </c>
      <c r="C1011" s="1"/>
      <c r="D1011" s="1"/>
      <c r="E1011" s="14" t="s">
        <v>55</v>
      </c>
      <c r="F1011" s="15"/>
      <c r="G1011" s="16"/>
      <c r="H1011" s="11" t="s">
        <v>1484</v>
      </c>
      <c r="I1011" s="7"/>
      <c r="J1011" s="7" t="str">
        <f>IFERROR(LET(_xlpm.v,
VLOOKUP($I1011,'用語辞書'!$A:$B,COLUMN('用語辞書'!B$1),FALSE),
IF(_xlpm.v=0,"",_xlpm.v)
),"")</f>
        <v/>
      </c>
      <c r="K1011" s="17"/>
      <c r="L1011" s="17" t="b">
        <f>IF(OR(COUNTIF('クラス'!$A$1:$A$1267,$B1011)&gt;0,$B1011="",$M1011=""),"",True)</f>
        <v>1</v>
      </c>
      <c r="M1011" s="1" t="str">
        <f t="shared" si="22"/>
        <v>存在しない</v>
      </c>
      <c r="N1011" s="1" t="e">
        <v>#VALUE!</v>
      </c>
      <c r="O1011" s="1"/>
      <c r="P1011" s="11"/>
      <c r="Q1011" s="11"/>
      <c r="R1011" s="11"/>
      <c r="S1011" s="11"/>
      <c r="T1011" s="1"/>
      <c r="U1011" s="1"/>
      <c r="V1011" s="1"/>
      <c r="W1011" s="1"/>
      <c r="X1011" s="1"/>
      <c r="Y1011" s="1"/>
      <c r="Z1011" s="1"/>
    </row>
    <row r="1012" ht="18.0" customHeight="1" outlineLevel="2">
      <c r="A1012" s="1">
        <v>4.0</v>
      </c>
      <c r="B1012" s="1"/>
      <c r="C1012" s="1"/>
      <c r="D1012" s="1"/>
      <c r="E1012" s="14"/>
      <c r="F1012" s="15"/>
      <c r="G1012" s="16"/>
      <c r="H1012" s="11"/>
      <c r="I1012" s="7"/>
      <c r="J1012" s="7" t="str">
        <f>IFERROR(LET(_xlpm.v,
VLOOKUP($I1012,'用語辞書'!$A:$B,COLUMN('用語辞書'!B$1),FALSE),
IF(_xlpm.v=0,"",_xlpm.v)
),"")</f>
        <v/>
      </c>
      <c r="K1012" s="17"/>
      <c r="L1012" s="17" t="str">
        <f>IF(OR(COUNTIF('クラス'!$A$1:$A$1267,$B1012)&gt;0,$B1012="",$M1012=""),"",True)</f>
        <v/>
      </c>
      <c r="M1012" s="1" t="str">
        <f t="shared" si="22"/>
        <v>存在しない</v>
      </c>
      <c r="N1012" s="1" t="s">
        <v>29</v>
      </c>
      <c r="O1012" s="1"/>
      <c r="P1012" s="11"/>
      <c r="Q1012" s="11"/>
      <c r="R1012" s="11"/>
      <c r="S1012" s="11"/>
      <c r="T1012" s="1"/>
      <c r="U1012" s="1"/>
      <c r="V1012" s="1"/>
      <c r="W1012" s="1"/>
      <c r="X1012" s="1"/>
      <c r="Y1012" s="1"/>
      <c r="Z1012" s="1"/>
    </row>
    <row r="1013" ht="18.0" customHeight="1" outlineLevel="2">
      <c r="A1013" s="1">
        <v>5.0</v>
      </c>
      <c r="B1013" s="26" t="s">
        <v>458</v>
      </c>
      <c r="C1013" s="1"/>
      <c r="D1013" s="1"/>
      <c r="E1013" s="14"/>
      <c r="F1013" s="15"/>
      <c r="G1013" s="16"/>
      <c r="H1013" s="11"/>
      <c r="I1013" s="7"/>
      <c r="J1013" s="7" t="str">
        <f>IFERROR(LET(_xlpm.v,
VLOOKUP($I1013,'用語辞書'!$A:$B,COLUMN('用語辞書'!B$1),FALSE),
IF(_xlpm.v=0,"",_xlpm.v)
),"")</f>
        <v/>
      </c>
      <c r="K1013" s="17"/>
      <c r="L1013" s="17" t="str">
        <f>IF(OR(COUNTIF('クラス'!$A$1:$A$1267,$B1013)&gt;0,$B1013="",$M1013=""),"",True)</f>
        <v/>
      </c>
      <c r="M1013" s="1" t="str">
        <f t="shared" si="22"/>
        <v/>
      </c>
      <c r="N1013" s="1" t="s">
        <v>29</v>
      </c>
      <c r="O1013" s="1"/>
      <c r="P1013" s="11"/>
      <c r="Q1013" s="11"/>
      <c r="R1013" s="11"/>
      <c r="S1013" s="11"/>
      <c r="T1013" s="1"/>
      <c r="U1013" s="1"/>
      <c r="V1013" s="1"/>
      <c r="W1013" s="1"/>
      <c r="X1013" s="1"/>
      <c r="Y1013" s="1"/>
      <c r="Z1013" s="1"/>
    </row>
    <row r="1014" ht="18.0" customHeight="1" outlineLevel="2">
      <c r="A1014" s="1">
        <v>6.0</v>
      </c>
      <c r="B1014" s="1" t="s">
        <v>1485</v>
      </c>
      <c r="C1014" s="1"/>
      <c r="D1014" s="1"/>
      <c r="E1014" s="14" t="s">
        <v>55</v>
      </c>
      <c r="F1014" s="15"/>
      <c r="G1014" s="16"/>
      <c r="H1014" s="11" t="str">
        <f>"条件系統:"&amp;D1008&amp;" 魔力+30"</f>
        <v>条件系統:水 魔力+30</v>
      </c>
      <c r="I1014" s="7"/>
      <c r="J1014" s="7" t="str">
        <f>IFERROR(LET(_xlpm.v,
VLOOKUP($I1014,'用語辞書'!$A:$B,COLUMN('用語辞書'!B$1),FALSE),
IF(_xlpm.v=0,"",_xlpm.v)
),"")</f>
        <v/>
      </c>
      <c r="K1014" s="17"/>
      <c r="L1014" s="17" t="b">
        <f>IF(OR(COUNTIF('クラス'!$A$1:$A$1267,$B1014)&gt;0,$B1014="",$M1014=""),"",True)</f>
        <v>1</v>
      </c>
      <c r="M1014" s="1" t="str">
        <f t="shared" si="22"/>
        <v>存在しない</v>
      </c>
      <c r="N1014" s="1" t="e">
        <v>#VALUE!</v>
      </c>
      <c r="O1014" s="1"/>
      <c r="P1014" s="11"/>
      <c r="Q1014" s="11"/>
      <c r="R1014" s="11"/>
      <c r="S1014" s="11"/>
      <c r="T1014" s="1"/>
      <c r="U1014" s="1"/>
      <c r="V1014" s="1"/>
      <c r="W1014" s="1"/>
      <c r="X1014" s="1"/>
      <c r="Y1014" s="1"/>
      <c r="Z1014" s="1"/>
    </row>
    <row r="1015" ht="18.0" customHeight="1" outlineLevel="2">
      <c r="A1015" s="1">
        <v>7.0</v>
      </c>
      <c r="B1015" s="1"/>
      <c r="C1015" s="1"/>
      <c r="D1015" s="1"/>
      <c r="E1015" s="14"/>
      <c r="F1015" s="15"/>
      <c r="G1015" s="16"/>
      <c r="H1015" s="11"/>
      <c r="I1015" s="7"/>
      <c r="J1015" s="7" t="str">
        <f>IFERROR(LET(_xlpm.v,
VLOOKUP($I1015,'用語辞書'!$A:$B,COLUMN('用語辞書'!B$1),FALSE),
IF(_xlpm.v=0,"",_xlpm.v)
),"")</f>
        <v/>
      </c>
      <c r="K1015" s="17"/>
      <c r="L1015" s="17" t="str">
        <f>IF(OR(COUNTIF('クラス'!$A$1:$A$1267,$B1015)&gt;0,$B1015="",$M1015=""),"",True)</f>
        <v/>
      </c>
      <c r="M1015" s="1" t="str">
        <f t="shared" si="22"/>
        <v>存在しない</v>
      </c>
      <c r="N1015" s="1" t="s">
        <v>29</v>
      </c>
      <c r="O1015" s="1"/>
      <c r="P1015" s="11"/>
      <c r="Q1015" s="11"/>
      <c r="R1015" s="11"/>
      <c r="S1015" s="11"/>
      <c r="T1015" s="1"/>
      <c r="U1015" s="1"/>
      <c r="V1015" s="1"/>
      <c r="W1015" s="1"/>
      <c r="X1015" s="1"/>
      <c r="Y1015" s="1"/>
      <c r="Z1015" s="1"/>
    </row>
    <row r="1016" ht="18.0" customHeight="1" outlineLevel="2">
      <c r="A1016" s="1">
        <v>8.0</v>
      </c>
      <c r="B1016" s="1"/>
      <c r="C1016" s="1"/>
      <c r="D1016" s="1"/>
      <c r="E1016" s="14"/>
      <c r="F1016" s="15"/>
      <c r="G1016" s="16"/>
      <c r="H1016" s="11"/>
      <c r="I1016" s="7"/>
      <c r="J1016" s="7" t="str">
        <f>IFERROR(LET(_xlpm.v,
VLOOKUP($I1016,'用語辞書'!$A:$B,COLUMN('用語辞書'!B$1),FALSE),
IF(_xlpm.v=0,"",_xlpm.v)
),"")</f>
        <v/>
      </c>
      <c r="K1016" s="17"/>
      <c r="L1016" s="17" t="str">
        <f>IF(OR(COUNTIF('クラス'!$A$1:$A$1267,$B1016)&gt;0,$B1016="",$M1016=""),"",True)</f>
        <v/>
      </c>
      <c r="M1016" s="1" t="str">
        <f t="shared" si="22"/>
        <v>存在しない</v>
      </c>
      <c r="N1016" s="1" t="s">
        <v>29</v>
      </c>
      <c r="O1016" s="1"/>
      <c r="P1016" s="11"/>
      <c r="Q1016" s="11"/>
      <c r="R1016" s="11"/>
      <c r="S1016" s="11"/>
      <c r="T1016" s="1"/>
      <c r="U1016" s="1"/>
      <c r="V1016" s="1"/>
      <c r="W1016" s="1"/>
      <c r="X1016" s="1"/>
      <c r="Y1016" s="1"/>
      <c r="Z1016" s="1"/>
    </row>
    <row r="1017" ht="18.0" customHeight="1" outlineLevel="2">
      <c r="A1017" s="1">
        <v>9.0</v>
      </c>
      <c r="B1017" s="1" t="s">
        <v>1486</v>
      </c>
      <c r="C1017" s="1"/>
      <c r="D1017" s="1"/>
      <c r="E1017" s="14" t="s">
        <v>55</v>
      </c>
      <c r="F1017" s="15"/>
      <c r="G1017" s="16"/>
      <c r="H1017" s="11" t="str">
        <f>"条件系統:"&amp;D1008&amp;" 攻撃+30"</f>
        <v>条件系統:水 攻撃+30</v>
      </c>
      <c r="I1017" s="7"/>
      <c r="J1017" s="7" t="str">
        <f>IFERROR(LET(_xlpm.v,
VLOOKUP($I1017,'用語辞書'!$A:$B,COLUMN('用語辞書'!B$1),FALSE),
IF(_xlpm.v=0,"",_xlpm.v)
),"")</f>
        <v/>
      </c>
      <c r="K1017" s="17"/>
      <c r="L1017" s="17" t="b">
        <f>IF(OR(COUNTIF('クラス'!$A$1:$A$1267,$B1017)&gt;0,$B1017="",$M1017=""),"",True)</f>
        <v>1</v>
      </c>
      <c r="M1017" s="1" t="str">
        <f t="shared" si="22"/>
        <v>存在しない</v>
      </c>
      <c r="N1017" s="1" t="e">
        <v>#VALUE!</v>
      </c>
      <c r="O1017" s="1"/>
      <c r="P1017" s="11"/>
      <c r="Q1017" s="11"/>
      <c r="R1017" s="11"/>
      <c r="S1017" s="11"/>
      <c r="T1017" s="1"/>
      <c r="U1017" s="1"/>
      <c r="V1017" s="1"/>
      <c r="W1017" s="1"/>
      <c r="X1017" s="1"/>
      <c r="Y1017" s="1"/>
      <c r="Z1017" s="1"/>
    </row>
    <row r="1018" ht="18.0" customHeight="1" outlineLevel="2">
      <c r="A1018" s="1">
        <v>10.0</v>
      </c>
      <c r="B1018" s="1" t="s">
        <v>1487</v>
      </c>
      <c r="C1018" s="1"/>
      <c r="D1018" s="1" t="s">
        <v>453</v>
      </c>
      <c r="E1018" s="14" t="s">
        <v>33</v>
      </c>
      <c r="F1018" s="15"/>
      <c r="G1018" s="16">
        <v>80.0</v>
      </c>
      <c r="H1018" s="11" t="s">
        <v>1488</v>
      </c>
      <c r="I1018" s="7" t="s">
        <v>1249</v>
      </c>
      <c r="J1018" s="7" t="str">
        <f>IFERROR(LET(_xlpm.v,
VLOOKUP($I1018,'用語辞書'!$A:$B,COLUMN('用語辞書'!B$1),FALSE),
IF(_xlpm.v=0,"",_xlpm.v)
),"")</f>
        <v>対象を後方へ移動させる</v>
      </c>
      <c r="K1018" s="17"/>
      <c r="L1018" s="17" t="b">
        <f>IF(OR(COUNTIF('クラス'!$A$1:$A$1267,$B1018)&gt;0,$B1018="",$M1018=""),"",True)</f>
        <v>1</v>
      </c>
      <c r="M1018" s="1" t="str">
        <f t="shared" si="22"/>
        <v>存在しない</v>
      </c>
      <c r="N1018" s="1" t="e">
        <v>#VALUE!</v>
      </c>
      <c r="O1018" s="1"/>
      <c r="P1018" s="11"/>
      <c r="Q1018" s="11"/>
      <c r="R1018" s="11"/>
      <c r="S1018" s="11"/>
      <c r="T1018" s="1"/>
      <c r="U1018" s="1"/>
      <c r="V1018" s="1"/>
      <c r="W1018" s="1"/>
      <c r="X1018" s="1"/>
      <c r="Y1018" s="1"/>
      <c r="Z1018" s="1"/>
    </row>
    <row r="1019" ht="18.0" customHeight="1" outlineLevel="2">
      <c r="A1019" s="1"/>
      <c r="B1019" s="1"/>
      <c r="C1019" s="1"/>
      <c r="D1019" s="1"/>
      <c r="E1019" s="14"/>
      <c r="F1019" s="15"/>
      <c r="G1019" s="16"/>
      <c r="H1019" s="11"/>
      <c r="I1019" s="7"/>
      <c r="J1019" s="7" t="str">
        <f>IFERROR(LET(_xlpm.v,
VLOOKUP($I1019,'用語辞書'!$A:$B,COLUMN('用語辞書'!B$1),FALSE),
IF(_xlpm.v=0,"",_xlpm.v)
),"")</f>
        <v/>
      </c>
      <c r="K1019" s="17"/>
      <c r="L1019" s="17" t="str">
        <f>IF(OR(COUNTIF('クラス'!$A$1:$A$1267,$B1019)&gt;0,$B1019="",$M1019=""),"",True)</f>
        <v/>
      </c>
      <c r="M1019" s="1" t="str">
        <f t="shared" si="22"/>
        <v>存在しない</v>
      </c>
      <c r="N1019" s="1" t="s">
        <v>29</v>
      </c>
      <c r="O1019" s="1"/>
      <c r="P1019" s="11"/>
      <c r="Q1019" s="11"/>
      <c r="R1019" s="11"/>
      <c r="S1019" s="11"/>
      <c r="T1019" s="1"/>
      <c r="U1019" s="1"/>
      <c r="V1019" s="1"/>
      <c r="W1019" s="1"/>
      <c r="X1019" s="1"/>
      <c r="Y1019" s="1"/>
      <c r="Z1019" s="1"/>
    </row>
    <row r="1020" ht="18.0" customHeight="1" outlineLevel="1" collapsed="1">
      <c r="A1020" s="1"/>
      <c r="B1020" s="1"/>
      <c r="C1020" s="1"/>
      <c r="D1020" s="1"/>
      <c r="E1020" s="14"/>
      <c r="F1020" s="15"/>
      <c r="G1020" s="16"/>
      <c r="H1020" s="11"/>
      <c r="I1020" s="7"/>
      <c r="J1020" s="7" t="str">
        <f>IFERROR(LET(_xlpm.v,
VLOOKUP($I1020,'用語辞書'!$A:$B,COLUMN('用語辞書'!B$1),FALSE),
IF(_xlpm.v=0,"",_xlpm.v)
),"")</f>
        <v/>
      </c>
      <c r="K1020" s="17"/>
      <c r="L1020" s="17" t="str">
        <f>IF(OR(COUNTIF('クラス'!$A$1:$A$1267,$B1020)&gt;0,$B1020="",$M1020=""),"",True)</f>
        <v/>
      </c>
      <c r="M1020" s="1" t="str">
        <f t="shared" si="22"/>
        <v>存在しない</v>
      </c>
      <c r="N1020" s="1" t="s">
        <v>29</v>
      </c>
      <c r="O1020" s="1"/>
      <c r="P1020" s="11"/>
      <c r="Q1020" s="11"/>
      <c r="R1020" s="11"/>
      <c r="S1020" s="11"/>
      <c r="T1020" s="1"/>
      <c r="U1020" s="1"/>
      <c r="V1020" s="1"/>
      <c r="W1020" s="1"/>
      <c r="X1020" s="1"/>
      <c r="Y1020" s="1"/>
      <c r="Z1020" s="1"/>
    </row>
    <row r="1021" ht="18.0" customHeight="1" outlineLevel="1">
      <c r="A1021" s="1"/>
      <c r="B1021" s="1" t="s">
        <v>1489</v>
      </c>
      <c r="C1021" s="1"/>
      <c r="D1021" s="1" t="s">
        <v>908</v>
      </c>
      <c r="E1021" s="14" t="s">
        <v>1490</v>
      </c>
      <c r="F1021" s="15"/>
      <c r="G1021" s="16"/>
      <c r="H1021" s="11"/>
      <c r="I1021" s="7"/>
      <c r="J1021" s="7" t="str">
        <f>IFERROR(LET(_xlpm.v,
VLOOKUP($I1021,'用語辞書'!$A:$B,COLUMN('用語辞書'!B$1),FALSE),
IF(_xlpm.v=0,"",_xlpm.v)
),"")</f>
        <v/>
      </c>
      <c r="K1021" s="17"/>
      <c r="L1021" s="17" t="str">
        <f>IF(OR(COUNTIF('クラス'!$A$1:$A$1267,$B1021)&gt;0,$B1021="",$M1021=""),"",True)</f>
        <v/>
      </c>
      <c r="M1021" s="1" t="str">
        <f t="shared" si="22"/>
        <v>存在しない</v>
      </c>
      <c r="N1021" s="1" t="s">
        <v>29</v>
      </c>
      <c r="O1021" s="1"/>
      <c r="P1021" s="11"/>
      <c r="Q1021" s="11"/>
      <c r="R1021" s="11"/>
      <c r="S1021" s="11"/>
      <c r="T1021" s="1"/>
      <c r="U1021" s="1"/>
      <c r="V1021" s="1"/>
      <c r="W1021" s="1"/>
      <c r="X1021" s="1"/>
      <c r="Y1021" s="1"/>
      <c r="Z1021" s="1"/>
    </row>
    <row r="1022" ht="18.0" customHeight="1" outlineLevel="2">
      <c r="A1022" s="1">
        <v>1.0</v>
      </c>
      <c r="B1022" s="1" t="str">
        <f>D1021&amp;"の拳"</f>
        <v>風の拳</v>
      </c>
      <c r="C1022" s="1"/>
      <c r="D1022" s="1" t="str">
        <f>D1021</f>
        <v>風</v>
      </c>
      <c r="E1022" s="14" t="s">
        <v>33</v>
      </c>
      <c r="F1022" s="15"/>
      <c r="G1022" s="16">
        <v>60.0</v>
      </c>
      <c r="H1022" s="11" t="str">
        <f>"攻撃手段:素手 物理+15 "&amp;E1021&amp;"+25 判定:攻撃"</f>
        <v>攻撃手段:素手 物理+15 怯み+25 判定:攻撃</v>
      </c>
      <c r="I1022" s="7"/>
      <c r="J1022" s="7" t="str">
        <f>IFERROR(LET(_xlpm.v,
VLOOKUP($I1022,'用語辞書'!$A:$B,COLUMN('用語辞書'!B$1),FALSE),
IF(_xlpm.v=0,"",_xlpm.v)
),"")</f>
        <v/>
      </c>
      <c r="K1022" s="17"/>
      <c r="L1022" s="17" t="b">
        <f>IF(OR(COUNTIF('クラス'!$A$1:$A$1267,$B1022)&gt;0,$B1022="",$M1022=""),"",True)</f>
        <v>1</v>
      </c>
      <c r="M1022" s="1" t="str">
        <f t="shared" si="22"/>
        <v>存在しない</v>
      </c>
      <c r="N1022" s="1" t="s">
        <v>29</v>
      </c>
      <c r="O1022" s="1"/>
      <c r="P1022" s="11"/>
      <c r="Q1022" s="11"/>
      <c r="R1022" s="11"/>
      <c r="S1022" s="11"/>
      <c r="T1022" s="1"/>
      <c r="U1022" s="1"/>
      <c r="V1022" s="1"/>
      <c r="W1022" s="1"/>
      <c r="X1022" s="1"/>
      <c r="Y1022" s="1"/>
      <c r="Z1022" s="1"/>
    </row>
    <row r="1023" ht="18.0" customHeight="1" outlineLevel="2">
      <c r="A1023" s="1">
        <v>2.0</v>
      </c>
      <c r="B1023" s="1"/>
      <c r="C1023" s="1"/>
      <c r="D1023" s="1"/>
      <c r="E1023" s="14"/>
      <c r="F1023" s="15"/>
      <c r="G1023" s="16"/>
      <c r="H1023" s="11"/>
      <c r="I1023" s="7"/>
      <c r="J1023" s="7" t="str">
        <f>IFERROR(LET(_xlpm.v,
VLOOKUP($I1023,'用語辞書'!$A:$B,COLUMN('用語辞書'!B$1),FALSE),
IF(_xlpm.v=0,"",_xlpm.v)
),"")</f>
        <v/>
      </c>
      <c r="K1023" s="17"/>
      <c r="L1023" s="17" t="str">
        <f>IF(OR(COUNTIF('クラス'!$A$1:$A$1267,$B1023)&gt;0,$B1023="",$M1023=""),"",True)</f>
        <v/>
      </c>
      <c r="M1023" s="1" t="str">
        <f t="shared" si="22"/>
        <v>存在しない</v>
      </c>
      <c r="N1023" s="1" t="s">
        <v>29</v>
      </c>
      <c r="O1023" s="1"/>
      <c r="P1023" s="11"/>
      <c r="Q1023" s="11"/>
      <c r="R1023" s="11"/>
      <c r="S1023" s="11"/>
      <c r="T1023" s="1"/>
      <c r="U1023" s="1"/>
      <c r="V1023" s="1"/>
      <c r="W1023" s="1"/>
      <c r="X1023" s="1"/>
      <c r="Y1023" s="1"/>
      <c r="Z1023" s="1"/>
    </row>
    <row r="1024" ht="18.0" customHeight="1" outlineLevel="2">
      <c r="A1024" s="1">
        <v>3.0</v>
      </c>
      <c r="B1024" s="1" t="s">
        <v>1296</v>
      </c>
      <c r="C1024" s="1"/>
      <c r="D1024" s="1"/>
      <c r="E1024" s="14" t="s">
        <v>55</v>
      </c>
      <c r="F1024" s="15"/>
      <c r="G1024" s="16"/>
      <c r="H1024" s="11" t="s">
        <v>1478</v>
      </c>
      <c r="I1024" s="7"/>
      <c r="J1024" s="7" t="str">
        <f>IFERROR(LET(_xlpm.v,
VLOOKUP($I1024,'用語辞書'!$A:$B,COLUMN('用語辞書'!B$1),FALSE),
IF(_xlpm.v=0,"",_xlpm.v)
),"")</f>
        <v/>
      </c>
      <c r="K1024" s="17"/>
      <c r="L1024" s="17" t="str">
        <f>IF(OR(COUNTIF('クラス'!$A$1:$A$1267,$B1024)&gt;0,$B1024="",$M1024=""),"",True)</f>
        <v/>
      </c>
      <c r="M1024" s="1" t="str">
        <f t="shared" si="22"/>
        <v/>
      </c>
      <c r="N1024" s="1" t="s">
        <v>29</v>
      </c>
      <c r="O1024" s="1"/>
      <c r="P1024" s="11"/>
      <c r="Q1024" s="11"/>
      <c r="R1024" s="11"/>
      <c r="S1024" s="11"/>
      <c r="T1024" s="1"/>
      <c r="U1024" s="1"/>
      <c r="V1024" s="1"/>
      <c r="W1024" s="1"/>
      <c r="X1024" s="1"/>
      <c r="Y1024" s="1"/>
      <c r="Z1024" s="1"/>
    </row>
    <row r="1025" ht="18.0" customHeight="1" outlineLevel="2">
      <c r="A1025" s="1">
        <v>4.0</v>
      </c>
      <c r="B1025" s="1"/>
      <c r="C1025" s="1"/>
      <c r="D1025" s="1"/>
      <c r="E1025" s="14"/>
      <c r="F1025" s="15"/>
      <c r="G1025" s="16"/>
      <c r="H1025" s="11"/>
      <c r="I1025" s="7"/>
      <c r="J1025" s="7" t="str">
        <f>IFERROR(LET(_xlpm.v,
VLOOKUP($I1025,'用語辞書'!$A:$B,COLUMN('用語辞書'!B$1),FALSE),
IF(_xlpm.v=0,"",_xlpm.v)
),"")</f>
        <v/>
      </c>
      <c r="K1025" s="17"/>
      <c r="L1025" s="17" t="str">
        <f>IF(OR(COUNTIF('クラス'!$A$1:$A$1267,$B1025)&gt;0,$B1025="",$M1025=""),"",True)</f>
        <v/>
      </c>
      <c r="M1025" s="1" t="str">
        <f t="shared" si="22"/>
        <v>存在しない</v>
      </c>
      <c r="N1025" s="1" t="s">
        <v>29</v>
      </c>
      <c r="O1025" s="1"/>
      <c r="P1025" s="11"/>
      <c r="Q1025" s="11"/>
      <c r="R1025" s="11"/>
      <c r="S1025" s="11"/>
      <c r="T1025" s="1"/>
      <c r="U1025" s="1"/>
      <c r="V1025" s="1"/>
      <c r="W1025" s="1"/>
      <c r="X1025" s="1"/>
      <c r="Y1025" s="1"/>
      <c r="Z1025" s="1"/>
    </row>
    <row r="1026" ht="18.0" customHeight="1" outlineLevel="2">
      <c r="A1026" s="1">
        <v>5.0</v>
      </c>
      <c r="B1026" s="26" t="s">
        <v>898</v>
      </c>
      <c r="C1026" s="1"/>
      <c r="D1026" s="1"/>
      <c r="E1026" s="14"/>
      <c r="F1026" s="15"/>
      <c r="G1026" s="16"/>
      <c r="H1026" s="11"/>
      <c r="I1026" s="7"/>
      <c r="J1026" s="7" t="str">
        <f>IFERROR(LET(_xlpm.v,
VLOOKUP($I1026,'用語辞書'!$A:$B,COLUMN('用語辞書'!B$1),FALSE),
IF(_xlpm.v=0,"",_xlpm.v)
),"")</f>
        <v/>
      </c>
      <c r="K1026" s="17"/>
      <c r="L1026" s="17" t="str">
        <f>IF(OR(COUNTIF('クラス'!$A$1:$A$1267,$B1026)&gt;0,$B1026="",$M1026=""),"",True)</f>
        <v/>
      </c>
      <c r="M1026" s="1" t="str">
        <f t="shared" si="22"/>
        <v/>
      </c>
      <c r="N1026" s="1" t="s">
        <v>29</v>
      </c>
      <c r="O1026" s="1"/>
      <c r="P1026" s="11"/>
      <c r="Q1026" s="11"/>
      <c r="R1026" s="11"/>
      <c r="S1026" s="11"/>
      <c r="T1026" s="1"/>
      <c r="U1026" s="1"/>
      <c r="V1026" s="1"/>
      <c r="W1026" s="1"/>
      <c r="X1026" s="1"/>
      <c r="Y1026" s="1"/>
      <c r="Z1026" s="1"/>
    </row>
    <row r="1027" ht="18.0" customHeight="1" outlineLevel="2">
      <c r="A1027" s="1">
        <v>6.0</v>
      </c>
      <c r="B1027" s="1" t="str">
        <f>D1021&amp;"の魔力"</f>
        <v>風の魔力</v>
      </c>
      <c r="C1027" s="1"/>
      <c r="D1027" s="1"/>
      <c r="E1027" s="14" t="s">
        <v>55</v>
      </c>
      <c r="F1027" s="15"/>
      <c r="G1027" s="16"/>
      <c r="H1027" s="11" t="str">
        <f>"条件系統:"&amp;D1021&amp;" 魔力+30"</f>
        <v>条件系統:風 魔力+30</v>
      </c>
      <c r="I1027" s="7"/>
      <c r="J1027" s="7" t="str">
        <f>IFERROR(LET(_xlpm.v,
VLOOKUP($I1027,'用語辞書'!$A:$B,COLUMN('用語辞書'!B$1),FALSE),
IF(_xlpm.v=0,"",_xlpm.v)
),"")</f>
        <v/>
      </c>
      <c r="K1027" s="17"/>
      <c r="L1027" s="17" t="b">
        <f>IF(OR(COUNTIF('クラス'!$A$1:$A$1267,$B1027)&gt;0,$B1027="",$M1027=""),"",True)</f>
        <v>1</v>
      </c>
      <c r="M1027" s="1" t="str">
        <f t="shared" si="22"/>
        <v>存在しない</v>
      </c>
      <c r="N1027" s="1" t="s">
        <v>29</v>
      </c>
      <c r="O1027" s="1"/>
      <c r="P1027" s="11"/>
      <c r="Q1027" s="11"/>
      <c r="R1027" s="11"/>
      <c r="S1027" s="11"/>
      <c r="T1027" s="1"/>
      <c r="U1027" s="1"/>
      <c r="V1027" s="1"/>
      <c r="W1027" s="1"/>
      <c r="X1027" s="1"/>
      <c r="Y1027" s="1"/>
      <c r="Z1027" s="1"/>
    </row>
    <row r="1028" ht="18.0" customHeight="1" outlineLevel="2">
      <c r="A1028" s="1">
        <v>7.0</v>
      </c>
      <c r="B1028" s="1"/>
      <c r="C1028" s="1"/>
      <c r="D1028" s="1"/>
      <c r="E1028" s="14"/>
      <c r="F1028" s="15"/>
      <c r="G1028" s="16"/>
      <c r="H1028" s="11"/>
      <c r="I1028" s="7"/>
      <c r="J1028" s="7" t="str">
        <f>IFERROR(LET(_xlpm.v,
VLOOKUP($I1028,'用語辞書'!$A:$B,COLUMN('用語辞書'!B$1),FALSE),
IF(_xlpm.v=0,"",_xlpm.v)
),"")</f>
        <v/>
      </c>
      <c r="K1028" s="17"/>
      <c r="L1028" s="17" t="str">
        <f>IF(OR(COUNTIF('クラス'!$A$1:$A$1267,$B1028)&gt;0,$B1028="",$M1028=""),"",True)</f>
        <v/>
      </c>
      <c r="M1028" s="1" t="str">
        <f t="shared" si="22"/>
        <v>存在しない</v>
      </c>
      <c r="N1028" s="1" t="s">
        <v>29</v>
      </c>
      <c r="O1028" s="1"/>
      <c r="P1028" s="11"/>
      <c r="Q1028" s="11"/>
      <c r="R1028" s="11"/>
      <c r="S1028" s="11"/>
      <c r="T1028" s="1"/>
      <c r="U1028" s="1"/>
      <c r="V1028" s="1"/>
      <c r="W1028" s="1"/>
      <c r="X1028" s="1"/>
      <c r="Y1028" s="1"/>
      <c r="Z1028" s="1"/>
    </row>
    <row r="1029" ht="18.0" customHeight="1" outlineLevel="2">
      <c r="A1029" s="1">
        <v>8.0</v>
      </c>
      <c r="B1029" s="1"/>
      <c r="C1029" s="1"/>
      <c r="D1029" s="1"/>
      <c r="E1029" s="14"/>
      <c r="F1029" s="15"/>
      <c r="G1029" s="16"/>
      <c r="H1029" s="11"/>
      <c r="I1029" s="7"/>
      <c r="J1029" s="7" t="str">
        <f>IFERROR(LET(_xlpm.v,
VLOOKUP($I1029,'用語辞書'!$A:$B,COLUMN('用語辞書'!B$1),FALSE),
IF(_xlpm.v=0,"",_xlpm.v)
),"")</f>
        <v/>
      </c>
      <c r="K1029" s="17"/>
      <c r="L1029" s="17" t="str">
        <f>IF(OR(COUNTIF('クラス'!$A$1:$A$1267,$B1029)&gt;0,$B1029="",$M1029=""),"",True)</f>
        <v/>
      </c>
      <c r="M1029" s="1" t="str">
        <f t="shared" si="22"/>
        <v>存在しない</v>
      </c>
      <c r="N1029" s="1" t="s">
        <v>29</v>
      </c>
      <c r="O1029" s="1"/>
      <c r="P1029" s="11"/>
      <c r="Q1029" s="11"/>
      <c r="R1029" s="11"/>
      <c r="S1029" s="11"/>
      <c r="T1029" s="1"/>
      <c r="U1029" s="1"/>
      <c r="V1029" s="1"/>
      <c r="W1029" s="1"/>
      <c r="X1029" s="1"/>
      <c r="Y1029" s="1"/>
      <c r="Z1029" s="1"/>
    </row>
    <row r="1030" ht="18.0" customHeight="1" outlineLevel="2">
      <c r="A1030" s="1">
        <v>9.0</v>
      </c>
      <c r="B1030" s="1" t="str">
        <f>D1021&amp;"の力"</f>
        <v>風の力</v>
      </c>
      <c r="C1030" s="1"/>
      <c r="D1030" s="1"/>
      <c r="E1030" s="14" t="s">
        <v>55</v>
      </c>
      <c r="F1030" s="15"/>
      <c r="G1030" s="16"/>
      <c r="H1030" s="11" t="str">
        <f>"条件系統:"&amp;D1021&amp;" 攻撃+30"</f>
        <v>条件系統:風 攻撃+30</v>
      </c>
      <c r="I1030" s="7"/>
      <c r="J1030" s="7" t="str">
        <f>IFERROR(LET(_xlpm.v,
VLOOKUP($I1030,'用語辞書'!$A:$B,COLUMN('用語辞書'!B$1),FALSE),
IF(_xlpm.v=0,"",_xlpm.v)
),"")</f>
        <v/>
      </c>
      <c r="K1030" s="17"/>
      <c r="L1030" s="17" t="b">
        <f>IF(OR(COUNTIF('クラス'!$A$1:$A$1267,$B1030)&gt;0,$B1030="",$M1030=""),"",True)</f>
        <v>1</v>
      </c>
      <c r="M1030" s="1" t="str">
        <f t="shared" si="22"/>
        <v>存在しない</v>
      </c>
      <c r="N1030" s="1" t="s">
        <v>29</v>
      </c>
      <c r="O1030" s="1"/>
      <c r="P1030" s="11"/>
      <c r="Q1030" s="11"/>
      <c r="R1030" s="11"/>
      <c r="S1030" s="11"/>
      <c r="T1030" s="1"/>
      <c r="U1030" s="1"/>
      <c r="V1030" s="1"/>
      <c r="W1030" s="1"/>
      <c r="X1030" s="1"/>
      <c r="Y1030" s="1"/>
      <c r="Z1030" s="1"/>
    </row>
    <row r="1031" ht="18.0" customHeight="1" outlineLevel="2">
      <c r="A1031" s="1">
        <v>10.0</v>
      </c>
      <c r="B1031" s="1" t="str">
        <f>D1021&amp;"の吐息"</f>
        <v>風の吐息</v>
      </c>
      <c r="C1031" s="1"/>
      <c r="D1031" s="1" t="str">
        <f>D1021</f>
        <v>風</v>
      </c>
      <c r="E1031" s="14" t="s">
        <v>33</v>
      </c>
      <c r="F1031" s="15"/>
      <c r="G1031" s="16">
        <v>80.0</v>
      </c>
      <c r="H1031" s="11" t="str">
        <f>"攻撃手段:吐息 "&amp;E1021&amp;"+45 射程:20 範囲:放射"</f>
        <v>攻撃手段:吐息 怯み+45 射程:20 範囲:放射</v>
      </c>
      <c r="I1031" s="7"/>
      <c r="J1031" s="7" t="str">
        <f>IFERROR(LET(_xlpm.v,
VLOOKUP($I1031,'用語辞書'!$A:$B,COLUMN('用語辞書'!B$1),FALSE),
IF(_xlpm.v=0,"",_xlpm.v)
),"")</f>
        <v/>
      </c>
      <c r="K1031" s="17"/>
      <c r="L1031" s="17" t="b">
        <f>IF(OR(COUNTIF('クラス'!$A$1:$A$1267,$B1031)&gt;0,$B1031="",$M1031=""),"",True)</f>
        <v>1</v>
      </c>
      <c r="M1031" s="1" t="str">
        <f t="shared" si="22"/>
        <v>存在しない</v>
      </c>
      <c r="N1031" s="1" t="s">
        <v>29</v>
      </c>
      <c r="O1031" s="1"/>
      <c r="P1031" s="11"/>
      <c r="Q1031" s="11"/>
      <c r="R1031" s="11"/>
      <c r="S1031" s="11"/>
      <c r="T1031" s="1"/>
      <c r="U1031" s="1"/>
      <c r="V1031" s="1"/>
      <c r="W1031" s="1"/>
      <c r="X1031" s="1"/>
      <c r="Y1031" s="1"/>
      <c r="Z1031" s="1"/>
    </row>
    <row r="1032" ht="18.0" customHeight="1" outlineLevel="2">
      <c r="A1032" s="1"/>
      <c r="B1032" s="1"/>
      <c r="C1032" s="1"/>
      <c r="D1032" s="1"/>
      <c r="E1032" s="14"/>
      <c r="F1032" s="15"/>
      <c r="G1032" s="16"/>
      <c r="H1032" s="11"/>
      <c r="I1032" s="7"/>
      <c r="J1032" s="7" t="str">
        <f>IFERROR(LET(_xlpm.v,
VLOOKUP($I1032,'用語辞書'!$A:$B,COLUMN('用語辞書'!B$1),FALSE),
IF(_xlpm.v=0,"",_xlpm.v)
),"")</f>
        <v/>
      </c>
      <c r="K1032" s="17"/>
      <c r="L1032" s="17" t="str">
        <f>IF(OR(COUNTIF('クラス'!$A$1:$A$1267,$B1032)&gt;0,$B1032="",$M1032=""),"",True)</f>
        <v/>
      </c>
      <c r="M1032" s="1" t="str">
        <f t="shared" si="22"/>
        <v>存在しない</v>
      </c>
      <c r="N1032" s="1" t="s">
        <v>29</v>
      </c>
      <c r="O1032" s="1"/>
      <c r="P1032" s="11"/>
      <c r="Q1032" s="11"/>
      <c r="R1032" s="11"/>
      <c r="S1032" s="11"/>
      <c r="T1032" s="1"/>
      <c r="U1032" s="1"/>
      <c r="V1032" s="1"/>
      <c r="W1032" s="1"/>
      <c r="X1032" s="1"/>
      <c r="Y1032" s="1"/>
      <c r="Z1032" s="1"/>
    </row>
    <row r="1033" ht="18.0" customHeight="1" outlineLevel="1" collapsed="1">
      <c r="A1033" s="1"/>
      <c r="B1033" s="1"/>
      <c r="C1033" s="1"/>
      <c r="D1033" s="1"/>
      <c r="E1033" s="14"/>
      <c r="F1033" s="15"/>
      <c r="G1033" s="16"/>
      <c r="H1033" s="11"/>
      <c r="I1033" s="7"/>
      <c r="J1033" s="7" t="str">
        <f>IFERROR(LET(_xlpm.v,
VLOOKUP($I1033,'用語辞書'!$A:$B,COLUMN('用語辞書'!B$1),FALSE),
IF(_xlpm.v=0,"",_xlpm.v)
),"")</f>
        <v/>
      </c>
      <c r="K1033" s="17"/>
      <c r="L1033" s="17" t="str">
        <f>IF(OR(COUNTIF('クラス'!$A$1:$A$1267,$B1033)&gt;0,$B1033="",$M1033=""),"",True)</f>
        <v/>
      </c>
      <c r="M1033" s="1" t="str">
        <f t="shared" si="22"/>
        <v>存在しない</v>
      </c>
      <c r="N1033" s="1" t="s">
        <v>29</v>
      </c>
      <c r="O1033" s="1"/>
      <c r="P1033" s="11"/>
      <c r="Q1033" s="11"/>
      <c r="R1033" s="11"/>
      <c r="S1033" s="11"/>
      <c r="T1033" s="1"/>
      <c r="U1033" s="1"/>
      <c r="V1033" s="1"/>
      <c r="W1033" s="1"/>
      <c r="X1033" s="1"/>
      <c r="Y1033" s="1"/>
      <c r="Z1033" s="1"/>
    </row>
    <row r="1034" ht="18.0" customHeight="1" outlineLevel="1">
      <c r="A1034" s="1"/>
      <c r="B1034" s="1" t="s">
        <v>1491</v>
      </c>
      <c r="C1034" s="1"/>
      <c r="D1034" s="1" t="s">
        <v>965</v>
      </c>
      <c r="E1034" s="14" t="s">
        <v>1492</v>
      </c>
      <c r="F1034" s="15"/>
      <c r="G1034" s="16"/>
      <c r="H1034" s="11"/>
      <c r="I1034" s="7"/>
      <c r="J1034" s="7" t="str">
        <f>IFERROR(LET(_xlpm.v,
VLOOKUP($I1034,'用語辞書'!$A:$B,COLUMN('用語辞書'!B$1),FALSE),
IF(_xlpm.v=0,"",_xlpm.v)
),"")</f>
        <v/>
      </c>
      <c r="K1034" s="17"/>
      <c r="L1034" s="17" t="str">
        <f>IF(OR(COUNTIF('クラス'!$A$1:$A$1267,$B1034)&gt;0,$B1034="",$M1034=""),"",True)</f>
        <v/>
      </c>
      <c r="M1034" s="1" t="str">
        <f t="shared" si="22"/>
        <v>存在しない</v>
      </c>
      <c r="N1034" s="1" t="s">
        <v>29</v>
      </c>
      <c r="O1034" s="1"/>
      <c r="P1034" s="11"/>
      <c r="Q1034" s="11"/>
      <c r="R1034" s="11"/>
      <c r="S1034" s="11"/>
      <c r="T1034" s="1"/>
      <c r="U1034" s="1"/>
      <c r="V1034" s="1"/>
      <c r="W1034" s="1"/>
      <c r="X1034" s="1"/>
      <c r="Y1034" s="1"/>
      <c r="Z1034" s="1"/>
    </row>
    <row r="1035" ht="18.0" customHeight="1" outlineLevel="2">
      <c r="A1035" s="1">
        <v>1.0</v>
      </c>
      <c r="B1035" s="1" t="str">
        <f>D1034&amp;"の拳"</f>
        <v>地の拳</v>
      </c>
      <c r="C1035" s="1"/>
      <c r="D1035" s="1" t="str">
        <f>D1034</f>
        <v>地</v>
      </c>
      <c r="E1035" s="14" t="s">
        <v>33</v>
      </c>
      <c r="F1035" s="15"/>
      <c r="G1035" s="16">
        <v>60.0</v>
      </c>
      <c r="H1035" s="11" t="str">
        <f>"攻撃手段:素手 物理+15 "&amp;E1034&amp;"+25 判定:攻撃"</f>
        <v>攻撃手段:素手 物理+15 ガード+25 判定:攻撃</v>
      </c>
      <c r="I1035" s="7"/>
      <c r="J1035" s="7" t="str">
        <f>IFERROR(LET(_xlpm.v,
VLOOKUP($I1035,'用語辞書'!$A:$B,COLUMN('用語辞書'!B$1),FALSE),
IF(_xlpm.v=0,"",_xlpm.v)
),"")</f>
        <v/>
      </c>
      <c r="K1035" s="17"/>
      <c r="L1035" s="17" t="b">
        <f>IF(OR(COUNTIF('クラス'!$A$1:$A$1267,$B1035)&gt;0,$B1035="",$M1035=""),"",True)</f>
        <v>1</v>
      </c>
      <c r="M1035" s="1" t="str">
        <f t="shared" si="22"/>
        <v>存在しない</v>
      </c>
      <c r="N1035" s="1" t="s">
        <v>29</v>
      </c>
      <c r="O1035" s="1"/>
      <c r="P1035" s="11"/>
      <c r="Q1035" s="11"/>
      <c r="R1035" s="11"/>
      <c r="S1035" s="11"/>
      <c r="T1035" s="1"/>
      <c r="U1035" s="1"/>
      <c r="V1035" s="1"/>
      <c r="W1035" s="1"/>
      <c r="X1035" s="1"/>
      <c r="Y1035" s="1"/>
      <c r="Z1035" s="1"/>
    </row>
    <row r="1036" ht="18.0" customHeight="1" outlineLevel="2">
      <c r="A1036" s="1">
        <v>2.0</v>
      </c>
      <c r="B1036" s="1"/>
      <c r="C1036" s="1"/>
      <c r="D1036" s="1"/>
      <c r="E1036" s="14"/>
      <c r="F1036" s="15"/>
      <c r="G1036" s="16"/>
      <c r="H1036" s="11"/>
      <c r="I1036" s="7"/>
      <c r="J1036" s="7" t="str">
        <f>IFERROR(LET(_xlpm.v,
VLOOKUP($I1036,'用語辞書'!$A:$B,COLUMN('用語辞書'!B$1),FALSE),
IF(_xlpm.v=0,"",_xlpm.v)
),"")</f>
        <v/>
      </c>
      <c r="K1036" s="17"/>
      <c r="L1036" s="17" t="str">
        <f>IF(OR(COUNTIF('クラス'!$A$1:$A$1267,$B1036)&gt;0,$B1036="",$M1036=""),"",True)</f>
        <v/>
      </c>
      <c r="M1036" s="1" t="str">
        <f t="shared" si="22"/>
        <v>存在しない</v>
      </c>
      <c r="N1036" s="1" t="s">
        <v>29</v>
      </c>
      <c r="O1036" s="1"/>
      <c r="P1036" s="11"/>
      <c r="Q1036" s="11"/>
      <c r="R1036" s="11"/>
      <c r="S1036" s="11"/>
      <c r="T1036" s="1"/>
      <c r="U1036" s="1"/>
      <c r="V1036" s="1"/>
      <c r="W1036" s="1"/>
      <c r="X1036" s="1"/>
      <c r="Y1036" s="1"/>
      <c r="Z1036" s="1"/>
    </row>
    <row r="1037" ht="18.0" customHeight="1" outlineLevel="2">
      <c r="A1037" s="1">
        <v>3.0</v>
      </c>
      <c r="B1037" s="1" t="s">
        <v>1296</v>
      </c>
      <c r="C1037" s="1"/>
      <c r="D1037" s="1"/>
      <c r="E1037" s="14" t="s">
        <v>55</v>
      </c>
      <c r="F1037" s="15"/>
      <c r="G1037" s="16"/>
      <c r="H1037" s="11" t="s">
        <v>1478</v>
      </c>
      <c r="I1037" s="7"/>
      <c r="J1037" s="7" t="str">
        <f>IFERROR(LET(_xlpm.v,
VLOOKUP($I1037,'用語辞書'!$A:$B,COLUMN('用語辞書'!B$1),FALSE),
IF(_xlpm.v=0,"",_xlpm.v)
),"")</f>
        <v/>
      </c>
      <c r="K1037" s="17"/>
      <c r="L1037" s="17" t="str">
        <f>IF(OR(COUNTIF('クラス'!$A$1:$A$1267,$B1037)&gt;0,$B1037="",$M1037=""),"",True)</f>
        <v/>
      </c>
      <c r="M1037" s="1" t="str">
        <f t="shared" si="22"/>
        <v/>
      </c>
      <c r="N1037" s="1" t="s">
        <v>29</v>
      </c>
      <c r="O1037" s="1"/>
      <c r="P1037" s="11"/>
      <c r="Q1037" s="11"/>
      <c r="R1037" s="11"/>
      <c r="S1037" s="11"/>
      <c r="T1037" s="1"/>
      <c r="U1037" s="1"/>
      <c r="V1037" s="1"/>
      <c r="W1037" s="1"/>
      <c r="X1037" s="1"/>
      <c r="Y1037" s="1"/>
      <c r="Z1037" s="1"/>
    </row>
    <row r="1038" ht="18.0" customHeight="1" outlineLevel="2">
      <c r="A1038" s="1">
        <v>4.0</v>
      </c>
      <c r="B1038" s="1"/>
      <c r="C1038" s="1"/>
      <c r="D1038" s="1"/>
      <c r="E1038" s="14"/>
      <c r="F1038" s="15"/>
      <c r="G1038" s="16"/>
      <c r="H1038" s="11"/>
      <c r="I1038" s="7"/>
      <c r="J1038" s="7" t="str">
        <f>IFERROR(LET(_xlpm.v,
VLOOKUP($I1038,'用語辞書'!$A:$B,COLUMN('用語辞書'!B$1),FALSE),
IF(_xlpm.v=0,"",_xlpm.v)
),"")</f>
        <v/>
      </c>
      <c r="K1038" s="17"/>
      <c r="L1038" s="17" t="str">
        <f>IF(OR(COUNTIF('クラス'!$A$1:$A$1267,$B1038)&gt;0,$B1038="",$M1038=""),"",True)</f>
        <v/>
      </c>
      <c r="M1038" s="1" t="str">
        <f t="shared" si="22"/>
        <v>存在しない</v>
      </c>
      <c r="N1038" s="1" t="s">
        <v>29</v>
      </c>
      <c r="O1038" s="1"/>
      <c r="P1038" s="11"/>
      <c r="Q1038" s="11"/>
      <c r="R1038" s="11"/>
      <c r="S1038" s="11"/>
      <c r="T1038" s="1"/>
      <c r="U1038" s="1"/>
      <c r="V1038" s="1"/>
      <c r="W1038" s="1"/>
      <c r="X1038" s="1"/>
      <c r="Y1038" s="1"/>
      <c r="Z1038" s="1"/>
    </row>
    <row r="1039" ht="18.0" customHeight="1" outlineLevel="2">
      <c r="A1039" s="1">
        <v>5.0</v>
      </c>
      <c r="B1039" s="26" t="s">
        <v>966</v>
      </c>
      <c r="C1039" s="1"/>
      <c r="D1039" s="1"/>
      <c r="E1039" s="14"/>
      <c r="F1039" s="15"/>
      <c r="G1039" s="16"/>
      <c r="H1039" s="11"/>
      <c r="I1039" s="7"/>
      <c r="J1039" s="7" t="str">
        <f>IFERROR(LET(_xlpm.v,
VLOOKUP($I1039,'用語辞書'!$A:$B,COLUMN('用語辞書'!B$1),FALSE),
IF(_xlpm.v=0,"",_xlpm.v)
),"")</f>
        <v/>
      </c>
      <c r="K1039" s="17"/>
      <c r="L1039" s="17" t="str">
        <f>IF(OR(COUNTIF('クラス'!$A$1:$A$1267,$B1039)&gt;0,$B1039="",$M1039=""),"",True)</f>
        <v/>
      </c>
      <c r="M1039" s="1" t="str">
        <f t="shared" si="22"/>
        <v/>
      </c>
      <c r="N1039" s="1" t="s">
        <v>29</v>
      </c>
      <c r="O1039" s="1"/>
      <c r="P1039" s="11"/>
      <c r="Q1039" s="11"/>
      <c r="R1039" s="11"/>
      <c r="S1039" s="11"/>
      <c r="T1039" s="1"/>
      <c r="U1039" s="1"/>
      <c r="V1039" s="1"/>
      <c r="W1039" s="1"/>
      <c r="X1039" s="1"/>
      <c r="Y1039" s="1"/>
      <c r="Z1039" s="1"/>
    </row>
    <row r="1040" ht="18.0" customHeight="1" outlineLevel="2">
      <c r="A1040" s="1">
        <v>6.0</v>
      </c>
      <c r="B1040" s="1" t="str">
        <f>D1034&amp;"の魔力"</f>
        <v>地の魔力</v>
      </c>
      <c r="C1040" s="1"/>
      <c r="D1040" s="1"/>
      <c r="E1040" s="14" t="s">
        <v>55</v>
      </c>
      <c r="F1040" s="15"/>
      <c r="G1040" s="16"/>
      <c r="H1040" s="11" t="str">
        <f>"条件系統:"&amp;D1034&amp;" 魔力+30"</f>
        <v>条件系統:地 魔力+30</v>
      </c>
      <c r="I1040" s="7"/>
      <c r="J1040" s="7" t="str">
        <f>IFERROR(LET(_xlpm.v,
VLOOKUP($I1040,'用語辞書'!$A:$B,COLUMN('用語辞書'!B$1),FALSE),
IF(_xlpm.v=0,"",_xlpm.v)
),"")</f>
        <v/>
      </c>
      <c r="K1040" s="17"/>
      <c r="L1040" s="17" t="b">
        <f>IF(OR(COUNTIF('クラス'!$A$1:$A$1267,$B1040)&gt;0,$B1040="",$M1040=""),"",True)</f>
        <v>1</v>
      </c>
      <c r="M1040" s="1" t="str">
        <f t="shared" si="22"/>
        <v>存在しない</v>
      </c>
      <c r="N1040" s="1" t="s">
        <v>29</v>
      </c>
      <c r="O1040" s="1"/>
      <c r="P1040" s="11"/>
      <c r="Q1040" s="11"/>
      <c r="R1040" s="11"/>
      <c r="S1040" s="11"/>
      <c r="T1040" s="1"/>
      <c r="U1040" s="1"/>
      <c r="V1040" s="1"/>
      <c r="W1040" s="1"/>
      <c r="X1040" s="1"/>
      <c r="Y1040" s="1"/>
      <c r="Z1040" s="1"/>
    </row>
    <row r="1041" ht="18.0" customHeight="1" outlineLevel="2">
      <c r="A1041" s="1">
        <v>7.0</v>
      </c>
      <c r="B1041" s="1"/>
      <c r="C1041" s="1"/>
      <c r="D1041" s="1"/>
      <c r="E1041" s="14"/>
      <c r="F1041" s="15"/>
      <c r="G1041" s="16"/>
      <c r="H1041" s="11"/>
      <c r="I1041" s="7"/>
      <c r="J1041" s="7" t="str">
        <f>IFERROR(LET(_xlpm.v,
VLOOKUP($I1041,'用語辞書'!$A:$B,COLUMN('用語辞書'!B$1),FALSE),
IF(_xlpm.v=0,"",_xlpm.v)
),"")</f>
        <v/>
      </c>
      <c r="K1041" s="17"/>
      <c r="L1041" s="17" t="str">
        <f>IF(OR(COUNTIF('クラス'!$A$1:$A$1267,$B1041)&gt;0,$B1041="",$M1041=""),"",True)</f>
        <v/>
      </c>
      <c r="M1041" s="1" t="str">
        <f t="shared" si="22"/>
        <v>存在しない</v>
      </c>
      <c r="N1041" s="1" t="s">
        <v>29</v>
      </c>
      <c r="O1041" s="1"/>
      <c r="P1041" s="11"/>
      <c r="Q1041" s="11"/>
      <c r="R1041" s="11"/>
      <c r="S1041" s="11"/>
      <c r="T1041" s="1"/>
      <c r="U1041" s="1"/>
      <c r="V1041" s="1"/>
      <c r="W1041" s="1"/>
      <c r="X1041" s="1"/>
      <c r="Y1041" s="1"/>
      <c r="Z1041" s="1"/>
    </row>
    <row r="1042" ht="18.0" customHeight="1" outlineLevel="2">
      <c r="A1042" s="1">
        <v>8.0</v>
      </c>
      <c r="B1042" s="1"/>
      <c r="C1042" s="1"/>
      <c r="D1042" s="1"/>
      <c r="E1042" s="14"/>
      <c r="F1042" s="15"/>
      <c r="G1042" s="16"/>
      <c r="H1042" s="11"/>
      <c r="I1042" s="7"/>
      <c r="J1042" s="7" t="str">
        <f>IFERROR(LET(_xlpm.v,
VLOOKUP($I1042,'用語辞書'!$A:$B,COLUMN('用語辞書'!B$1),FALSE),
IF(_xlpm.v=0,"",_xlpm.v)
),"")</f>
        <v/>
      </c>
      <c r="K1042" s="17"/>
      <c r="L1042" s="17" t="str">
        <f>IF(OR(COUNTIF('クラス'!$A$1:$A$1267,$B1042)&gt;0,$B1042="",$M1042=""),"",True)</f>
        <v/>
      </c>
      <c r="M1042" s="1" t="str">
        <f t="shared" si="22"/>
        <v>存在しない</v>
      </c>
      <c r="N1042" s="1" t="s">
        <v>29</v>
      </c>
      <c r="O1042" s="1"/>
      <c r="P1042" s="11"/>
      <c r="Q1042" s="11"/>
      <c r="R1042" s="11"/>
      <c r="S1042" s="11"/>
      <c r="T1042" s="1"/>
      <c r="U1042" s="1"/>
      <c r="V1042" s="1"/>
      <c r="W1042" s="1"/>
      <c r="X1042" s="1"/>
      <c r="Y1042" s="1"/>
      <c r="Z1042" s="1"/>
    </row>
    <row r="1043" ht="18.0" customHeight="1" outlineLevel="2">
      <c r="A1043" s="1">
        <v>9.0</v>
      </c>
      <c r="B1043" s="1" t="str">
        <f>D1034&amp;"の力"</f>
        <v>地の力</v>
      </c>
      <c r="C1043" s="1"/>
      <c r="D1043" s="1"/>
      <c r="E1043" s="14" t="s">
        <v>55</v>
      </c>
      <c r="F1043" s="15"/>
      <c r="G1043" s="16"/>
      <c r="H1043" s="11" t="str">
        <f>"条件系統:"&amp;D1034&amp;" 攻撃+30"</f>
        <v>条件系統:地 攻撃+30</v>
      </c>
      <c r="I1043" s="7"/>
      <c r="J1043" s="7" t="str">
        <f>IFERROR(LET(_xlpm.v,
VLOOKUP($I1043,'用語辞書'!$A:$B,COLUMN('用語辞書'!B$1),FALSE),
IF(_xlpm.v=0,"",_xlpm.v)
),"")</f>
        <v/>
      </c>
      <c r="K1043" s="17"/>
      <c r="L1043" s="17" t="b">
        <f>IF(OR(COUNTIF('クラス'!$A$1:$A$1267,$B1043)&gt;0,$B1043="",$M1043=""),"",True)</f>
        <v>1</v>
      </c>
      <c r="M1043" s="1" t="str">
        <f t="shared" si="22"/>
        <v>存在しない</v>
      </c>
      <c r="N1043" s="1" t="s">
        <v>29</v>
      </c>
      <c r="O1043" s="1"/>
      <c r="P1043" s="11"/>
      <c r="Q1043" s="11"/>
      <c r="R1043" s="11"/>
      <c r="S1043" s="11"/>
      <c r="T1043" s="1"/>
      <c r="U1043" s="1"/>
      <c r="V1043" s="1"/>
      <c r="W1043" s="1"/>
      <c r="X1043" s="1"/>
      <c r="Y1043" s="1"/>
      <c r="Z1043" s="1"/>
    </row>
    <row r="1044" ht="18.0" customHeight="1" outlineLevel="2">
      <c r="A1044" s="1">
        <v>10.0</v>
      </c>
      <c r="B1044" s="1" t="str">
        <f>"石礫の吐息"</f>
        <v>石礫の吐息</v>
      </c>
      <c r="C1044" s="1"/>
      <c r="D1044" s="1" t="str">
        <f>D1034</f>
        <v>地</v>
      </c>
      <c r="E1044" s="14" t="s">
        <v>33</v>
      </c>
      <c r="F1044" s="15"/>
      <c r="G1044" s="16">
        <v>80.0</v>
      </c>
      <c r="H1044" s="11" t="str">
        <f>"攻撃手段:吐息 物理+35 怯み+20 射程:20 範囲:放射"</f>
        <v>攻撃手段:吐息 物理+35 怯み+20 射程:20 範囲:放射</v>
      </c>
      <c r="I1044" s="7"/>
      <c r="J1044" s="7" t="str">
        <f>IFERROR(LET(_xlpm.v,
VLOOKUP($I1044,'用語辞書'!$A:$B,COLUMN('用語辞書'!B$1),FALSE),
IF(_xlpm.v=0,"",_xlpm.v)
),"")</f>
        <v/>
      </c>
      <c r="K1044" s="17"/>
      <c r="L1044" s="17" t="b">
        <f>IF(OR(COUNTIF('クラス'!$A$1:$A$1267,$B1044)&gt;0,$B1044="",$M1044=""),"",True)</f>
        <v>1</v>
      </c>
      <c r="M1044" s="1" t="str">
        <f t="shared" si="22"/>
        <v>存在しない</v>
      </c>
      <c r="N1044" s="1" t="s">
        <v>29</v>
      </c>
      <c r="O1044" s="1"/>
      <c r="P1044" s="11"/>
      <c r="Q1044" s="11"/>
      <c r="R1044" s="11"/>
      <c r="S1044" s="11"/>
      <c r="T1044" s="1"/>
      <c r="U1044" s="1"/>
      <c r="V1044" s="1"/>
      <c r="W1044" s="1"/>
      <c r="X1044" s="1"/>
      <c r="Y1044" s="1"/>
      <c r="Z1044" s="1"/>
    </row>
    <row r="1045" ht="18.0" customHeight="1" collapsed="1">
      <c r="A1045" s="1"/>
      <c r="B1045" s="1"/>
      <c r="C1045" s="1"/>
      <c r="D1045" s="1"/>
      <c r="E1045" s="14"/>
      <c r="F1045" s="15"/>
      <c r="G1045" s="16"/>
      <c r="H1045" s="11"/>
      <c r="I1045" s="7"/>
      <c r="J1045" s="7" t="str">
        <f>IFERROR(LET(_xlpm.v,
VLOOKUP($I1045,'用語辞書'!$A:$B,COLUMN('用語辞書'!B$1),FALSE),
IF(_xlpm.v=0,"",_xlpm.v)
),"")</f>
        <v/>
      </c>
      <c r="K1045" s="17"/>
      <c r="L1045" s="17" t="str">
        <f>IF(OR(COUNTIF('クラス'!$A$1:$A$1267,$B1045)&gt;0,$B1045="",$M1045=""),"",True)</f>
        <v/>
      </c>
      <c r="M1045" s="1" t="str">
        <f t="shared" si="22"/>
        <v>存在しない</v>
      </c>
      <c r="N1045" s="1" t="s">
        <v>29</v>
      </c>
      <c r="O1045" s="1"/>
      <c r="P1045" s="11"/>
      <c r="Q1045" s="11"/>
      <c r="R1045" s="11"/>
      <c r="S1045" s="11"/>
      <c r="T1045" s="1"/>
      <c r="U1045" s="1"/>
      <c r="V1045" s="1"/>
      <c r="W1045" s="1"/>
      <c r="X1045" s="1"/>
      <c r="Y1045" s="1"/>
      <c r="Z1045" s="1"/>
    </row>
    <row r="1046" ht="18.0" customHeight="1">
      <c r="A1046" s="1"/>
      <c r="B1046" s="1"/>
      <c r="C1046" s="26" t="s">
        <v>1493</v>
      </c>
      <c r="D1046" s="1"/>
      <c r="E1046" s="14"/>
      <c r="F1046" s="15"/>
      <c r="G1046" s="16"/>
      <c r="H1046" s="11"/>
      <c r="I1046" s="7"/>
      <c r="J1046" s="7" t="str">
        <f>IFERROR(LET(_xlpm.v,
VLOOKUP($I1046,'用語辞書'!$A:$B,COLUMN('用語辞書'!B$1),FALSE),
IF(_xlpm.v=0,"",_xlpm.v)
),"")</f>
        <v/>
      </c>
      <c r="K1046" s="17"/>
      <c r="L1046" s="17" t="str">
        <f>IF(OR(COUNTIF('クラス'!$A$1:$A$1267,$B1046)&gt;0,$B1046="",$M1046=""),"",True)</f>
        <v/>
      </c>
      <c r="M1046" s="1" t="str">
        <f t="shared" si="22"/>
        <v>存在しない</v>
      </c>
      <c r="N1046" s="1" t="s">
        <v>29</v>
      </c>
      <c r="O1046" s="1"/>
      <c r="P1046" s="11"/>
      <c r="Q1046" s="11"/>
      <c r="R1046" s="11"/>
      <c r="S1046" s="11"/>
      <c r="T1046" s="1"/>
      <c r="U1046" s="1"/>
      <c r="V1046" s="1"/>
      <c r="W1046" s="1"/>
      <c r="X1046" s="1"/>
      <c r="Y1046" s="1"/>
      <c r="Z1046" s="1"/>
    </row>
    <row r="1047" ht="18.0" customHeight="1" outlineLevel="1">
      <c r="A1047" s="1"/>
      <c r="B1047" s="1" t="s">
        <v>1494</v>
      </c>
      <c r="C1047" s="1"/>
      <c r="D1047" s="1"/>
      <c r="E1047" s="14"/>
      <c r="F1047" s="15"/>
      <c r="G1047" s="16"/>
      <c r="H1047" s="11"/>
      <c r="I1047" s="7"/>
      <c r="J1047" s="7" t="str">
        <f>IFERROR(LET(_xlpm.v,
VLOOKUP($I1047,'用語辞書'!$A:$B,COLUMN('用語辞書'!B$1),FALSE),
IF(_xlpm.v=0,"",_xlpm.v)
),"")</f>
        <v/>
      </c>
      <c r="K1047" s="17"/>
      <c r="L1047" s="17" t="str">
        <f>IF(OR(COUNTIF('クラス'!$A$1:$A$1267,$B1047)&gt;0,$B1047="",$M1047=""),"",True)</f>
        <v/>
      </c>
      <c r="M1047" s="1" t="str">
        <f t="shared" si="22"/>
        <v>存在しない</v>
      </c>
      <c r="N1047" s="1" t="s">
        <v>29</v>
      </c>
      <c r="O1047" s="1"/>
      <c r="P1047" s="11"/>
      <c r="Q1047" s="11"/>
      <c r="R1047" s="11"/>
      <c r="S1047" s="11"/>
      <c r="T1047" s="1"/>
      <c r="U1047" s="1"/>
      <c r="V1047" s="1"/>
      <c r="W1047" s="1"/>
      <c r="X1047" s="1"/>
      <c r="Y1047" s="1"/>
      <c r="Z1047" s="1"/>
    </row>
    <row r="1048" ht="18.0" customHeight="1" outlineLevel="2">
      <c r="A1048" s="1">
        <v>1.0</v>
      </c>
      <c r="B1048" s="1" t="s">
        <v>37</v>
      </c>
      <c r="C1048" s="1"/>
      <c r="D1048" s="1"/>
      <c r="E1048" s="14" t="s">
        <v>33</v>
      </c>
      <c r="F1048" s="15"/>
      <c r="G1048" s="16">
        <v>40.0</v>
      </c>
      <c r="H1048" s="11" t="s">
        <v>1495</v>
      </c>
      <c r="I1048" s="7"/>
      <c r="J1048" s="7" t="str">
        <f>IFERROR(LET(_xlpm.v,
VLOOKUP($I1048,'用語辞書'!$A:$B,COLUMN('用語辞書'!B$1),FALSE),
IF(_xlpm.v=0,"",_xlpm.v)
),"")</f>
        <v/>
      </c>
      <c r="K1048" s="17"/>
      <c r="L1048" s="17" t="str">
        <f>IF(OR(COUNTIF('クラス'!$A$1:$A$1267,$B1048)&gt;0,$B1048="",$M1048=""),"",True)</f>
        <v/>
      </c>
      <c r="M1048" s="1" t="str">
        <f t="shared" si="22"/>
        <v/>
      </c>
      <c r="N1048" s="1" t="s">
        <v>29</v>
      </c>
      <c r="O1048" s="1"/>
      <c r="P1048" s="11"/>
      <c r="Q1048" s="11"/>
      <c r="R1048" s="11"/>
      <c r="S1048" s="11"/>
      <c r="T1048" s="1"/>
      <c r="U1048" s="1"/>
      <c r="V1048" s="1"/>
      <c r="W1048" s="1"/>
      <c r="X1048" s="1"/>
      <c r="Y1048" s="1"/>
      <c r="Z1048" s="1"/>
    </row>
    <row r="1049" ht="18.0" customHeight="1" outlineLevel="2">
      <c r="A1049" s="1">
        <v>2.0</v>
      </c>
      <c r="B1049" s="1" t="s">
        <v>35</v>
      </c>
      <c r="C1049" s="1"/>
      <c r="D1049" s="1"/>
      <c r="E1049" s="14" t="s">
        <v>33</v>
      </c>
      <c r="F1049" s="15"/>
      <c r="G1049" s="16">
        <v>40.0</v>
      </c>
      <c r="H1049" s="11"/>
      <c r="I1049" s="7"/>
      <c r="J1049" s="7" t="str">
        <f>IFERROR(LET(_xlpm.v,
VLOOKUP($I1049,'用語辞書'!$A:$B,COLUMN('用語辞書'!B$1),FALSE),
IF(_xlpm.v=0,"",_xlpm.v)
),"")</f>
        <v/>
      </c>
      <c r="K1049" s="17"/>
      <c r="L1049" s="17" t="str">
        <f>IF(OR(COUNTIF('クラス'!$A$1:$A$1267,$B1049)&gt;0,$B1049="",$M1049=""),"",True)</f>
        <v/>
      </c>
      <c r="M1049" s="1" t="str">
        <f t="shared" si="22"/>
        <v/>
      </c>
      <c r="N1049" s="1" t="s">
        <v>29</v>
      </c>
      <c r="O1049" s="1"/>
      <c r="P1049" s="11"/>
      <c r="Q1049" s="11"/>
      <c r="R1049" s="11"/>
      <c r="S1049" s="11"/>
      <c r="T1049" s="1"/>
      <c r="U1049" s="1"/>
      <c r="V1049" s="1"/>
      <c r="W1049" s="1"/>
      <c r="X1049" s="1"/>
      <c r="Y1049" s="1"/>
      <c r="Z1049" s="1"/>
    </row>
    <row r="1050" ht="18.0" customHeight="1" outlineLevel="2">
      <c r="A1050" s="1">
        <v>3.0</v>
      </c>
      <c r="B1050" s="26" t="s">
        <v>1496</v>
      </c>
      <c r="C1050" s="1"/>
      <c r="D1050" s="1"/>
      <c r="E1050" s="29" t="s">
        <v>55</v>
      </c>
      <c r="F1050" s="15"/>
      <c r="G1050" s="16"/>
      <c r="H1050" s="22" t="s">
        <v>1497</v>
      </c>
      <c r="I1050" s="7"/>
      <c r="J1050" s="7" t="str">
        <f>IFERROR(LET(_xlpm.v,
VLOOKUP($I1050,'用語辞書'!$A:$B,COLUMN('用語辞書'!B$1),FALSE),
IF(_xlpm.v=0,"",_xlpm.v)
),"")</f>
        <v/>
      </c>
      <c r="K1050" s="17"/>
      <c r="L1050" s="17" t="b">
        <f>IF(OR(COUNTIF('クラス'!$A$1:$A$1267,$B1050)&gt;0,$B1050="",$M1050=""),"",True)</f>
        <v>1</v>
      </c>
      <c r="M1050" s="1" t="str">
        <f t="shared" si="22"/>
        <v>存在しない</v>
      </c>
      <c r="N1050" s="1" t="s">
        <v>29</v>
      </c>
      <c r="O1050" s="1"/>
      <c r="P1050" s="11"/>
      <c r="Q1050" s="11"/>
      <c r="R1050" s="11"/>
      <c r="S1050" s="11"/>
      <c r="T1050" s="1"/>
      <c r="U1050" s="1"/>
      <c r="V1050" s="1"/>
      <c r="W1050" s="1"/>
      <c r="X1050" s="1"/>
      <c r="Y1050" s="1"/>
      <c r="Z1050" s="1"/>
    </row>
    <row r="1051" ht="18.0" customHeight="1" outlineLevel="2">
      <c r="A1051" s="1">
        <v>4.0</v>
      </c>
      <c r="B1051" s="26" t="s">
        <v>1498</v>
      </c>
      <c r="C1051" s="1"/>
      <c r="D1051" s="1"/>
      <c r="E1051" s="29" t="s">
        <v>33</v>
      </c>
      <c r="F1051" s="15"/>
      <c r="G1051" s="30">
        <v>60.0</v>
      </c>
      <c r="H1051" s="22" t="s">
        <v>1499</v>
      </c>
      <c r="I1051" s="7"/>
      <c r="J1051" s="7" t="str">
        <f>IFERROR(LET(_xlpm.v,
VLOOKUP($I1051,'用語辞書'!$A:$B,COLUMN('用語辞書'!B$1),FALSE),
IF(_xlpm.v=0,"",_xlpm.v)
),"")</f>
        <v/>
      </c>
      <c r="K1051" s="17"/>
      <c r="L1051" s="17" t="b">
        <f>IF(OR(COUNTIF('クラス'!$A$1:$A$1267,$B1051)&gt;0,$B1051="",$M1051=""),"",True)</f>
        <v>1</v>
      </c>
      <c r="M1051" s="1" t="str">
        <f t="shared" si="22"/>
        <v>存在しない</v>
      </c>
      <c r="N1051" s="1" t="s">
        <v>29</v>
      </c>
      <c r="O1051" s="1"/>
      <c r="P1051" s="11"/>
      <c r="Q1051" s="11"/>
      <c r="R1051" s="11"/>
      <c r="S1051" s="11"/>
      <c r="T1051" s="1"/>
      <c r="U1051" s="1"/>
      <c r="V1051" s="1"/>
      <c r="W1051" s="1"/>
      <c r="X1051" s="1"/>
      <c r="Y1051" s="1"/>
      <c r="Z1051" s="1"/>
    </row>
    <row r="1052" ht="18.0" customHeight="1" outlineLevel="2">
      <c r="A1052" s="1">
        <v>5.0</v>
      </c>
      <c r="B1052" s="26" t="s">
        <v>1500</v>
      </c>
      <c r="C1052" s="1"/>
      <c r="D1052" s="1"/>
      <c r="E1052" s="14"/>
      <c r="F1052" s="15"/>
      <c r="G1052" s="16"/>
      <c r="H1052" s="11"/>
      <c r="I1052" s="7"/>
      <c r="J1052" s="7" t="str">
        <f>IFERROR(LET(_xlpm.v,
VLOOKUP($I1052,'用語辞書'!$A:$B,COLUMN('用語辞書'!B$1),FALSE),
IF(_xlpm.v=0,"",_xlpm.v)
),"")</f>
        <v/>
      </c>
      <c r="K1052" s="17"/>
      <c r="L1052" s="17" t="b">
        <f>IF(OR(COUNTIF('クラス'!$A$1:$A$1267,$B1052)&gt;0,$B1052="",$M1052=""),"",True)</f>
        <v>1</v>
      </c>
      <c r="M1052" s="1" t="str">
        <f t="shared" si="22"/>
        <v>存在しない</v>
      </c>
      <c r="N1052" s="1" t="s">
        <v>29</v>
      </c>
      <c r="O1052" s="1"/>
      <c r="P1052" s="11"/>
      <c r="Q1052" s="11"/>
      <c r="R1052" s="11"/>
      <c r="S1052" s="11"/>
      <c r="T1052" s="1"/>
      <c r="U1052" s="1"/>
      <c r="V1052" s="1"/>
      <c r="W1052" s="1"/>
      <c r="X1052" s="1"/>
      <c r="Y1052" s="1"/>
      <c r="Z1052" s="1"/>
    </row>
    <row r="1053" ht="18.0" customHeight="1" outlineLevel="2">
      <c r="A1053" s="1">
        <v>6.0</v>
      </c>
      <c r="B1053" s="1"/>
      <c r="C1053" s="1"/>
      <c r="D1053" s="1"/>
      <c r="E1053" s="14" t="s">
        <v>55</v>
      </c>
      <c r="F1053" s="15"/>
      <c r="G1053" s="16"/>
      <c r="H1053" s="11"/>
      <c r="I1053" s="7"/>
      <c r="J1053" s="7" t="str">
        <f>IFERROR(LET(_xlpm.v,
VLOOKUP($I1053,'用語辞書'!$A:$B,COLUMN('用語辞書'!B$1),FALSE),
IF(_xlpm.v=0,"",_xlpm.v)
),"")</f>
        <v/>
      </c>
      <c r="K1053" s="17"/>
      <c r="L1053" s="17" t="str">
        <f>IF(OR(COUNTIF('クラス'!$A$1:$A$1267,$B1053)&gt;0,$B1053="",$M1053=""),"",True)</f>
        <v/>
      </c>
      <c r="M1053" s="1" t="str">
        <f t="shared" si="22"/>
        <v>存在しない</v>
      </c>
      <c r="N1053" s="1" t="s">
        <v>29</v>
      </c>
      <c r="O1053" s="1"/>
      <c r="P1053" s="11"/>
      <c r="Q1053" s="11"/>
      <c r="R1053" s="11"/>
      <c r="S1053" s="11"/>
      <c r="T1053" s="1"/>
      <c r="U1053" s="1"/>
      <c r="V1053" s="1"/>
      <c r="W1053" s="1"/>
      <c r="X1053" s="1"/>
      <c r="Y1053" s="1"/>
      <c r="Z1053" s="1"/>
    </row>
    <row r="1054" ht="18.0" customHeight="1" outlineLevel="2">
      <c r="A1054" s="1">
        <v>7.0</v>
      </c>
      <c r="B1054" s="26" t="s">
        <v>1209</v>
      </c>
      <c r="C1054" s="1"/>
      <c r="D1054" s="1"/>
      <c r="E1054" s="14"/>
      <c r="F1054" s="15"/>
      <c r="G1054" s="16"/>
      <c r="H1054" s="11"/>
      <c r="I1054" s="7"/>
      <c r="J1054" s="7" t="str">
        <f>IFERROR(LET(_xlpm.v,
VLOOKUP($I1054,'用語辞書'!$A:$B,COLUMN('用語辞書'!B$1),FALSE),
IF(_xlpm.v=0,"",_xlpm.v)
),"")</f>
        <v/>
      </c>
      <c r="K1054" s="17"/>
      <c r="L1054" s="17" t="str">
        <f>IF(OR(COUNTIF('クラス'!$A$1:$A$1267,$B1054)&gt;0,$B1054="",$M1054=""),"",True)</f>
        <v/>
      </c>
      <c r="M1054" s="1" t="str">
        <f t="shared" si="22"/>
        <v/>
      </c>
      <c r="N1054" s="1" t="s">
        <v>29</v>
      </c>
      <c r="O1054" s="1"/>
      <c r="P1054" s="11"/>
      <c r="Q1054" s="11"/>
      <c r="R1054" s="11"/>
      <c r="S1054" s="11"/>
      <c r="T1054" s="1"/>
      <c r="U1054" s="1"/>
      <c r="V1054" s="1"/>
      <c r="W1054" s="1"/>
      <c r="X1054" s="1"/>
      <c r="Y1054" s="1"/>
      <c r="Z1054" s="1"/>
    </row>
    <row r="1055" ht="18.0" customHeight="1" outlineLevel="2">
      <c r="A1055" s="1">
        <v>8.0</v>
      </c>
      <c r="B1055" s="1"/>
      <c r="C1055" s="1"/>
      <c r="D1055" s="1"/>
      <c r="E1055" s="14"/>
      <c r="F1055" s="15"/>
      <c r="G1055" s="16"/>
      <c r="H1055" s="11"/>
      <c r="I1055" s="7"/>
      <c r="J1055" s="7" t="str">
        <f>IFERROR(LET(_xlpm.v,
VLOOKUP($I1055,'用語辞書'!$A:$B,COLUMN('用語辞書'!B$1),FALSE),
IF(_xlpm.v=0,"",_xlpm.v)
),"")</f>
        <v/>
      </c>
      <c r="K1055" s="17"/>
      <c r="L1055" s="17" t="str">
        <f>IF(OR(COUNTIF('クラス'!$A$1:$A$1267,$B1055)&gt;0,$B1055="",$M1055=""),"",True)</f>
        <v/>
      </c>
      <c r="M1055" s="1" t="str">
        <f t="shared" si="22"/>
        <v>存在しない</v>
      </c>
      <c r="N1055" s="1" t="s">
        <v>29</v>
      </c>
      <c r="O1055" s="1"/>
      <c r="P1055" s="11"/>
      <c r="Q1055" s="11"/>
      <c r="R1055" s="11"/>
      <c r="S1055" s="11"/>
      <c r="T1055" s="1"/>
      <c r="U1055" s="1"/>
      <c r="V1055" s="1"/>
      <c r="W1055" s="1"/>
      <c r="X1055" s="1"/>
      <c r="Y1055" s="1"/>
      <c r="Z1055" s="1"/>
    </row>
    <row r="1056" ht="18.0" customHeight="1" outlineLevel="2">
      <c r="A1056" s="1">
        <v>9.0</v>
      </c>
      <c r="B1056" s="1"/>
      <c r="C1056" s="1"/>
      <c r="D1056" s="1"/>
      <c r="E1056" s="14" t="s">
        <v>55</v>
      </c>
      <c r="F1056" s="15"/>
      <c r="G1056" s="16"/>
      <c r="H1056" s="11"/>
      <c r="I1056" s="7"/>
      <c r="J1056" s="7" t="str">
        <f>IFERROR(LET(_xlpm.v,
VLOOKUP($I1056,'用語辞書'!$A:$B,COLUMN('用語辞書'!B$1),FALSE),
IF(_xlpm.v=0,"",_xlpm.v)
),"")</f>
        <v/>
      </c>
      <c r="K1056" s="17"/>
      <c r="L1056" s="17" t="str">
        <f>IF(OR(COUNTIF('クラス'!$A$1:$A$1267,$B1056)&gt;0,$B1056="",$M1056=""),"",True)</f>
        <v/>
      </c>
      <c r="M1056" s="1" t="str">
        <f t="shared" si="22"/>
        <v>存在しない</v>
      </c>
      <c r="N1056" s="1" t="s">
        <v>29</v>
      </c>
      <c r="O1056" s="1"/>
      <c r="P1056" s="11"/>
      <c r="Q1056" s="11"/>
      <c r="R1056" s="11"/>
      <c r="S1056" s="11"/>
      <c r="T1056" s="1"/>
      <c r="U1056" s="1"/>
      <c r="V1056" s="1"/>
      <c r="W1056" s="1"/>
      <c r="X1056" s="1"/>
      <c r="Y1056" s="1"/>
      <c r="Z1056" s="1"/>
    </row>
    <row r="1057" ht="18.0" customHeight="1" outlineLevel="2">
      <c r="A1057" s="1">
        <v>10.0</v>
      </c>
      <c r="B1057" s="1"/>
      <c r="C1057" s="1"/>
      <c r="D1057" s="1"/>
      <c r="E1057" s="14"/>
      <c r="F1057" s="15"/>
      <c r="G1057" s="16"/>
      <c r="H1057" s="11"/>
      <c r="I1057" s="7"/>
      <c r="J1057" s="7" t="str">
        <f>IFERROR(LET(_xlpm.v,
VLOOKUP($I1057,'用語辞書'!$A:$B,COLUMN('用語辞書'!B$1),FALSE),
IF(_xlpm.v=0,"",_xlpm.v)
),"")</f>
        <v/>
      </c>
      <c r="K1057" s="17"/>
      <c r="L1057" s="17" t="str">
        <f>IF(OR(COUNTIF('クラス'!$A$1:$A$1267,$B1057)&gt;0,$B1057="",$M1057=""),"",True)</f>
        <v/>
      </c>
      <c r="M1057" s="1" t="str">
        <f t="shared" si="22"/>
        <v>存在しない</v>
      </c>
      <c r="N1057" s="1" t="s">
        <v>29</v>
      </c>
      <c r="O1057" s="1"/>
      <c r="P1057" s="11"/>
      <c r="Q1057" s="11"/>
      <c r="R1057" s="11"/>
      <c r="S1057" s="11"/>
      <c r="T1057" s="1"/>
      <c r="U1057" s="1"/>
      <c r="V1057" s="1"/>
      <c r="W1057" s="1"/>
      <c r="X1057" s="1"/>
      <c r="Y1057" s="1"/>
      <c r="Z1057" s="1"/>
    </row>
    <row r="1058" ht="18.0" customHeight="1" outlineLevel="2">
      <c r="A1058" s="1"/>
      <c r="B1058" s="1"/>
      <c r="C1058" s="1"/>
      <c r="D1058" s="1"/>
      <c r="E1058" s="14"/>
      <c r="F1058" s="15"/>
      <c r="G1058" s="16"/>
      <c r="H1058" s="11"/>
      <c r="I1058" s="7"/>
      <c r="J1058" s="7" t="str">
        <f>IFERROR(LET(_xlpm.v,
VLOOKUP($I1058,'用語辞書'!$A:$B,COLUMN('用語辞書'!B$1),FALSE),
IF(_xlpm.v=0,"",_xlpm.v)
),"")</f>
        <v/>
      </c>
      <c r="K1058" s="17"/>
      <c r="L1058" s="17" t="str">
        <f>IF(OR(COUNTIF('クラス'!$A$1:$A$1267,$B1058)&gt;0,$B1058="",$M1058=""),"",True)</f>
        <v/>
      </c>
      <c r="M1058" s="1" t="str">
        <f t="shared" si="22"/>
        <v>存在しない</v>
      </c>
      <c r="N1058" s="1" t="s">
        <v>29</v>
      </c>
      <c r="O1058" s="1"/>
      <c r="P1058" s="11"/>
      <c r="Q1058" s="11"/>
      <c r="R1058" s="11"/>
      <c r="S1058" s="11"/>
      <c r="T1058" s="1"/>
      <c r="U1058" s="1"/>
      <c r="V1058" s="1"/>
      <c r="W1058" s="1"/>
      <c r="X1058" s="1"/>
      <c r="Y1058" s="1"/>
      <c r="Z1058" s="1"/>
    </row>
    <row r="1059" ht="18.0" customHeight="1" outlineLevel="1" collapsed="1">
      <c r="A1059" s="1"/>
      <c r="B1059" s="1"/>
      <c r="C1059" s="1"/>
      <c r="D1059" s="1"/>
      <c r="E1059" s="14"/>
      <c r="F1059" s="15"/>
      <c r="G1059" s="16"/>
      <c r="H1059" s="11"/>
      <c r="I1059" s="7"/>
      <c r="J1059" s="7" t="str">
        <f>IFERROR(LET(_xlpm.v,
VLOOKUP($I1059,'用語辞書'!$A:$B,COLUMN('用語辞書'!B$1),FALSE),
IF(_xlpm.v=0,"",_xlpm.v)
),"")</f>
        <v/>
      </c>
      <c r="K1059" s="17"/>
      <c r="L1059" s="17" t="str">
        <f>IF(OR(COUNTIF('クラス'!$A$1:$A$1267,$B1059)&gt;0,$B1059="",$M1059=""),"",True)</f>
        <v/>
      </c>
      <c r="M1059" s="1" t="str">
        <f t="shared" si="22"/>
        <v>存在しない</v>
      </c>
      <c r="N1059" s="1" t="s">
        <v>29</v>
      </c>
      <c r="O1059" s="1"/>
      <c r="P1059" s="11"/>
      <c r="Q1059" s="11"/>
      <c r="R1059" s="11"/>
      <c r="S1059" s="11"/>
      <c r="T1059" s="1"/>
      <c r="U1059" s="1"/>
      <c r="V1059" s="1"/>
      <c r="W1059" s="1"/>
      <c r="X1059" s="1"/>
      <c r="Y1059" s="1"/>
      <c r="Z1059" s="1"/>
    </row>
    <row r="1060" ht="18.0" customHeight="1" outlineLevel="1">
      <c r="A1060" s="1"/>
      <c r="B1060" s="1" t="s">
        <v>1501</v>
      </c>
      <c r="C1060" s="1"/>
      <c r="D1060" s="1"/>
      <c r="E1060" s="14"/>
      <c r="F1060" s="15"/>
      <c r="G1060" s="16"/>
      <c r="H1060" s="11"/>
      <c r="I1060" s="7"/>
      <c r="J1060" s="7" t="str">
        <f>IFERROR(LET(_xlpm.v,
VLOOKUP($I1060,'用語辞書'!$A:$B,COLUMN('用語辞書'!B$1),FALSE),
IF(_xlpm.v=0,"",_xlpm.v)
),"")</f>
        <v/>
      </c>
      <c r="K1060" s="17"/>
      <c r="L1060" s="17" t="str">
        <f>IF(OR(COUNTIF('クラス'!$A$1:$A$1267,$B1060)&gt;0,$B1060="",$M1060=""),"",True)</f>
        <v/>
      </c>
      <c r="M1060" s="1" t="str">
        <f t="shared" si="22"/>
        <v>存在しない</v>
      </c>
      <c r="N1060" s="1" t="s">
        <v>29</v>
      </c>
      <c r="O1060" s="1"/>
      <c r="P1060" s="11"/>
      <c r="Q1060" s="11"/>
      <c r="R1060" s="11"/>
      <c r="S1060" s="11"/>
      <c r="T1060" s="1"/>
      <c r="U1060" s="1"/>
      <c r="V1060" s="1"/>
      <c r="W1060" s="1"/>
      <c r="X1060" s="1"/>
      <c r="Y1060" s="1"/>
      <c r="Z1060" s="1"/>
    </row>
    <row r="1061" ht="18.0" customHeight="1" outlineLevel="2">
      <c r="A1061" s="1">
        <v>1.0</v>
      </c>
      <c r="B1061" s="1" t="s">
        <v>37</v>
      </c>
      <c r="C1061" s="1"/>
      <c r="D1061" s="1"/>
      <c r="E1061" s="14" t="s">
        <v>33</v>
      </c>
      <c r="F1061" s="15"/>
      <c r="G1061" s="16">
        <v>40.0</v>
      </c>
      <c r="H1061" s="11" t="s">
        <v>1495</v>
      </c>
      <c r="I1061" s="7"/>
      <c r="J1061" s="7" t="str">
        <f>IFERROR(LET(_xlpm.v,
VLOOKUP($I1061,'用語辞書'!$A:$B,COLUMN('用語辞書'!B$1),FALSE),
IF(_xlpm.v=0,"",_xlpm.v)
),"")</f>
        <v/>
      </c>
      <c r="K1061" s="17"/>
      <c r="L1061" s="17" t="str">
        <f>IF(OR(COUNTIF('クラス'!$A$1:$A$1267,$B1061)&gt;0,$B1061="",$M1061=""),"",True)</f>
        <v/>
      </c>
      <c r="M1061" s="1" t="str">
        <f t="shared" si="22"/>
        <v/>
      </c>
      <c r="N1061" s="1" t="s">
        <v>29</v>
      </c>
      <c r="O1061" s="1"/>
      <c r="P1061" s="11"/>
      <c r="Q1061" s="11"/>
      <c r="R1061" s="11"/>
      <c r="S1061" s="11"/>
      <c r="T1061" s="1"/>
      <c r="U1061" s="1"/>
      <c r="V1061" s="1"/>
      <c r="W1061" s="1"/>
      <c r="X1061" s="1"/>
      <c r="Y1061" s="1"/>
      <c r="Z1061" s="1"/>
    </row>
    <row r="1062" ht="18.0" customHeight="1" outlineLevel="2">
      <c r="A1062" s="1">
        <v>2.0</v>
      </c>
      <c r="B1062" s="1" t="s">
        <v>35</v>
      </c>
      <c r="C1062" s="1"/>
      <c r="D1062" s="1"/>
      <c r="E1062" s="14" t="s">
        <v>33</v>
      </c>
      <c r="F1062" s="15"/>
      <c r="G1062" s="16">
        <v>40.0</v>
      </c>
      <c r="H1062" s="11"/>
      <c r="I1062" s="7"/>
      <c r="J1062" s="7" t="str">
        <f>IFERROR(LET(_xlpm.v,
VLOOKUP($I1062,'用語辞書'!$A:$B,COLUMN('用語辞書'!B$1),FALSE),
IF(_xlpm.v=0,"",_xlpm.v)
),"")</f>
        <v/>
      </c>
      <c r="K1062" s="17"/>
      <c r="L1062" s="17" t="str">
        <f>IF(OR(COUNTIF('クラス'!$A$1:$A$1267,$B1062)&gt;0,$B1062="",$M1062=""),"",True)</f>
        <v/>
      </c>
      <c r="M1062" s="1" t="str">
        <f t="shared" si="22"/>
        <v/>
      </c>
      <c r="N1062" s="1" t="s">
        <v>29</v>
      </c>
      <c r="O1062" s="1"/>
      <c r="P1062" s="11"/>
      <c r="Q1062" s="11"/>
      <c r="R1062" s="11"/>
      <c r="S1062" s="11"/>
      <c r="T1062" s="1"/>
      <c r="U1062" s="1"/>
      <c r="V1062" s="1"/>
      <c r="W1062" s="1"/>
      <c r="X1062" s="1"/>
      <c r="Y1062" s="1"/>
      <c r="Z1062" s="1"/>
    </row>
    <row r="1063" ht="18.0" customHeight="1" outlineLevel="2">
      <c r="A1063" s="1">
        <v>3.0</v>
      </c>
      <c r="B1063" s="26" t="s">
        <v>1502</v>
      </c>
      <c r="C1063" s="1"/>
      <c r="D1063" s="1"/>
      <c r="E1063" s="29" t="s">
        <v>55</v>
      </c>
      <c r="F1063" s="15"/>
      <c r="G1063" s="16"/>
      <c r="H1063" s="22" t="s">
        <v>1503</v>
      </c>
      <c r="I1063" s="7"/>
      <c r="J1063" s="7" t="str">
        <f>IFERROR(LET(_xlpm.v,
VLOOKUP($I1063,'用語辞書'!$A:$B,COLUMN('用語辞書'!B$1),FALSE),
IF(_xlpm.v=0,"",_xlpm.v)
),"")</f>
        <v/>
      </c>
      <c r="K1063" s="17"/>
      <c r="L1063" s="17" t="b">
        <f>IF(OR(COUNTIF('クラス'!$A$1:$A$1267,$B1063)&gt;0,$B1063="",$M1063=""),"",True)</f>
        <v>1</v>
      </c>
      <c r="M1063" s="1" t="str">
        <f t="shared" si="22"/>
        <v>存在しない</v>
      </c>
      <c r="N1063" s="1" t="s">
        <v>29</v>
      </c>
      <c r="O1063" s="1"/>
      <c r="P1063" s="11"/>
      <c r="Q1063" s="11"/>
      <c r="R1063" s="11"/>
      <c r="S1063" s="11"/>
      <c r="T1063" s="1"/>
      <c r="U1063" s="1"/>
      <c r="V1063" s="1"/>
      <c r="W1063" s="1"/>
      <c r="X1063" s="1"/>
      <c r="Y1063" s="1"/>
      <c r="Z1063" s="1"/>
    </row>
    <row r="1064" ht="18.0" customHeight="1" outlineLevel="2">
      <c r="A1064" s="1">
        <v>4.0</v>
      </c>
      <c r="B1064" s="26" t="s">
        <v>1498</v>
      </c>
      <c r="C1064" s="1"/>
      <c r="D1064" s="1"/>
      <c r="E1064" s="14"/>
      <c r="F1064" s="15"/>
      <c r="G1064" s="16"/>
      <c r="H1064" s="11"/>
      <c r="I1064" s="7"/>
      <c r="J1064" s="7" t="str">
        <f>IFERROR(LET(_xlpm.v,
VLOOKUP($I1064,'用語辞書'!$A:$B,COLUMN('用語辞書'!B$1),FALSE),
IF(_xlpm.v=0,"",_xlpm.v)
),"")</f>
        <v/>
      </c>
      <c r="K1064" s="17"/>
      <c r="L1064" s="17" t="str">
        <f>IF(OR(COUNTIF('クラス'!$A$1:$A$1267,$B1064)&gt;0,$B1064="",$M1064=""),"",True)</f>
        <v/>
      </c>
      <c r="M1064" s="1" t="str">
        <f t="shared" si="22"/>
        <v/>
      </c>
      <c r="N1064" s="1" t="s">
        <v>29</v>
      </c>
      <c r="O1064" s="1"/>
      <c r="P1064" s="11"/>
      <c r="Q1064" s="11"/>
      <c r="R1064" s="11"/>
      <c r="S1064" s="11"/>
      <c r="T1064" s="1"/>
      <c r="U1064" s="1"/>
      <c r="V1064" s="1"/>
      <c r="W1064" s="1"/>
      <c r="X1064" s="1"/>
      <c r="Y1064" s="1"/>
      <c r="Z1064" s="1"/>
    </row>
    <row r="1065" ht="18.0" customHeight="1" outlineLevel="2">
      <c r="A1065" s="1">
        <v>5.0</v>
      </c>
      <c r="B1065" s="26" t="s">
        <v>1500</v>
      </c>
      <c r="C1065" s="1"/>
      <c r="D1065" s="1"/>
      <c r="E1065" s="14"/>
      <c r="F1065" s="15"/>
      <c r="G1065" s="16"/>
      <c r="H1065" s="11"/>
      <c r="I1065" s="7"/>
      <c r="J1065" s="7" t="str">
        <f>IFERROR(LET(_xlpm.v,
VLOOKUP($I1065,'用語辞書'!$A:$B,COLUMN('用語辞書'!B$1),FALSE),
IF(_xlpm.v=0,"",_xlpm.v)
),"")</f>
        <v/>
      </c>
      <c r="K1065" s="17"/>
      <c r="L1065" s="17" t="str">
        <f>IF(OR(COUNTIF('クラス'!$A$1:$A$1267,$B1065)&gt;0,$B1065="",$M1065=""),"",True)</f>
        <v/>
      </c>
      <c r="M1065" s="1" t="str">
        <f t="shared" si="22"/>
        <v/>
      </c>
      <c r="N1065" s="1" t="s">
        <v>29</v>
      </c>
      <c r="O1065" s="1"/>
      <c r="P1065" s="11"/>
      <c r="Q1065" s="11"/>
      <c r="R1065" s="11"/>
      <c r="S1065" s="11"/>
      <c r="T1065" s="1"/>
      <c r="U1065" s="1"/>
      <c r="V1065" s="1"/>
      <c r="W1065" s="1"/>
      <c r="X1065" s="1"/>
      <c r="Y1065" s="1"/>
      <c r="Z1065" s="1"/>
    </row>
    <row r="1066" ht="18.0" customHeight="1" outlineLevel="2">
      <c r="A1066" s="1">
        <v>6.0</v>
      </c>
      <c r="B1066" s="1"/>
      <c r="C1066" s="1"/>
      <c r="D1066" s="1"/>
      <c r="E1066" s="14"/>
      <c r="F1066" s="15"/>
      <c r="G1066" s="16"/>
      <c r="H1066" s="11"/>
      <c r="I1066" s="7"/>
      <c r="J1066" s="7" t="str">
        <f>IFERROR(LET(_xlpm.v,
VLOOKUP($I1066,'用語辞書'!$A:$B,COLUMN('用語辞書'!B$1),FALSE),
IF(_xlpm.v=0,"",_xlpm.v)
),"")</f>
        <v/>
      </c>
      <c r="K1066" s="17"/>
      <c r="L1066" s="17" t="str">
        <f>IF(OR(COUNTIF('クラス'!$A$1:$A$1267,$B1066)&gt;0,$B1066="",$M1066=""),"",True)</f>
        <v/>
      </c>
      <c r="M1066" s="1" t="str">
        <f t="shared" si="22"/>
        <v>存在しない</v>
      </c>
      <c r="N1066" s="1" t="s">
        <v>29</v>
      </c>
      <c r="O1066" s="1"/>
      <c r="P1066" s="11"/>
      <c r="Q1066" s="11"/>
      <c r="R1066" s="11"/>
      <c r="S1066" s="11"/>
      <c r="T1066" s="1"/>
      <c r="U1066" s="1"/>
      <c r="V1066" s="1"/>
      <c r="W1066" s="1"/>
      <c r="X1066" s="1"/>
      <c r="Y1066" s="1"/>
      <c r="Z1066" s="1"/>
    </row>
    <row r="1067" ht="18.0" customHeight="1" outlineLevel="2">
      <c r="A1067" s="1">
        <v>7.0</v>
      </c>
      <c r="B1067" s="26" t="s">
        <v>1209</v>
      </c>
      <c r="C1067" s="1"/>
      <c r="D1067" s="1"/>
      <c r="E1067" s="14"/>
      <c r="F1067" s="15"/>
      <c r="G1067" s="16"/>
      <c r="H1067" s="11"/>
      <c r="I1067" s="7"/>
      <c r="J1067" s="7" t="str">
        <f>IFERROR(LET(_xlpm.v,
VLOOKUP($I1067,'用語辞書'!$A:$B,COLUMN('用語辞書'!B$1),FALSE),
IF(_xlpm.v=0,"",_xlpm.v)
),"")</f>
        <v/>
      </c>
      <c r="K1067" s="17"/>
      <c r="L1067" s="17" t="str">
        <f>IF(OR(COUNTIF('クラス'!$A$1:$A$1267,$B1067)&gt;0,$B1067="",$M1067=""),"",True)</f>
        <v/>
      </c>
      <c r="M1067" s="1" t="str">
        <f t="shared" si="22"/>
        <v/>
      </c>
      <c r="N1067" s="1" t="s">
        <v>29</v>
      </c>
      <c r="O1067" s="1"/>
      <c r="P1067" s="11"/>
      <c r="Q1067" s="11"/>
      <c r="R1067" s="11"/>
      <c r="S1067" s="11"/>
      <c r="T1067" s="1"/>
      <c r="U1067" s="1"/>
      <c r="V1067" s="1"/>
      <c r="W1067" s="1"/>
      <c r="X1067" s="1"/>
      <c r="Y1067" s="1"/>
      <c r="Z1067" s="1"/>
    </row>
    <row r="1068" ht="18.0" customHeight="1" outlineLevel="2">
      <c r="A1068" s="1">
        <v>8.0</v>
      </c>
      <c r="B1068" s="1"/>
      <c r="C1068" s="1"/>
      <c r="D1068" s="1"/>
      <c r="E1068" s="14"/>
      <c r="F1068" s="15"/>
      <c r="G1068" s="16"/>
      <c r="H1068" s="11"/>
      <c r="I1068" s="7"/>
      <c r="J1068" s="7" t="str">
        <f>IFERROR(LET(_xlpm.v,
VLOOKUP($I1068,'用語辞書'!$A:$B,COLUMN('用語辞書'!B$1),FALSE),
IF(_xlpm.v=0,"",_xlpm.v)
),"")</f>
        <v/>
      </c>
      <c r="K1068" s="17"/>
      <c r="L1068" s="17" t="str">
        <f>IF(OR(COUNTIF('クラス'!$A$1:$A$1267,$B1068)&gt;0,$B1068="",$M1068=""),"",True)</f>
        <v/>
      </c>
      <c r="M1068" s="1" t="str">
        <f t="shared" si="22"/>
        <v>存在しない</v>
      </c>
      <c r="N1068" s="1" t="s">
        <v>29</v>
      </c>
      <c r="O1068" s="1"/>
      <c r="P1068" s="11"/>
      <c r="Q1068" s="11"/>
      <c r="R1068" s="11"/>
      <c r="S1068" s="11"/>
      <c r="T1068" s="1"/>
      <c r="U1068" s="1"/>
      <c r="V1068" s="1"/>
      <c r="W1068" s="1"/>
      <c r="X1068" s="1"/>
      <c r="Y1068" s="1"/>
      <c r="Z1068" s="1"/>
    </row>
    <row r="1069" ht="18.0" customHeight="1" outlineLevel="2">
      <c r="A1069" s="1">
        <v>9.0</v>
      </c>
      <c r="B1069" s="1"/>
      <c r="C1069" s="1"/>
      <c r="D1069" s="1"/>
      <c r="E1069" s="14"/>
      <c r="F1069" s="15"/>
      <c r="G1069" s="16"/>
      <c r="H1069" s="11"/>
      <c r="I1069" s="7"/>
      <c r="J1069" s="7" t="str">
        <f>IFERROR(LET(_xlpm.v,
VLOOKUP($I1069,'用語辞書'!$A:$B,COLUMN('用語辞書'!B$1),FALSE),
IF(_xlpm.v=0,"",_xlpm.v)
),"")</f>
        <v/>
      </c>
      <c r="K1069" s="17"/>
      <c r="L1069" s="17" t="str">
        <f>IF(OR(COUNTIF('クラス'!$A$1:$A$1267,$B1069)&gt;0,$B1069="",$M1069=""),"",True)</f>
        <v/>
      </c>
      <c r="M1069" s="1" t="str">
        <f t="shared" si="22"/>
        <v>存在しない</v>
      </c>
      <c r="N1069" s="1" t="s">
        <v>29</v>
      </c>
      <c r="O1069" s="1"/>
      <c r="P1069" s="11"/>
      <c r="Q1069" s="11"/>
      <c r="R1069" s="11"/>
      <c r="S1069" s="11"/>
      <c r="T1069" s="1"/>
      <c r="U1069" s="1"/>
      <c r="V1069" s="1"/>
      <c r="W1069" s="1"/>
      <c r="X1069" s="1"/>
      <c r="Y1069" s="1"/>
      <c r="Z1069" s="1"/>
    </row>
    <row r="1070" ht="18.0" customHeight="1" outlineLevel="2">
      <c r="A1070" s="1">
        <v>10.0</v>
      </c>
      <c r="B1070" s="1"/>
      <c r="C1070" s="1"/>
      <c r="D1070" s="1"/>
      <c r="E1070" s="14"/>
      <c r="F1070" s="15"/>
      <c r="G1070" s="16"/>
      <c r="H1070" s="11"/>
      <c r="I1070" s="7"/>
      <c r="J1070" s="7" t="str">
        <f>IFERROR(LET(_xlpm.v,
VLOOKUP($I1070,'用語辞書'!$A:$B,COLUMN('用語辞書'!B$1),FALSE),
IF(_xlpm.v=0,"",_xlpm.v)
),"")</f>
        <v/>
      </c>
      <c r="K1070" s="17"/>
      <c r="L1070" s="17" t="str">
        <f>IF(OR(COUNTIF('クラス'!$A$1:$A$1267,$B1070)&gt;0,$B1070="",$M1070=""),"",True)</f>
        <v/>
      </c>
      <c r="M1070" s="1" t="str">
        <f t="shared" si="22"/>
        <v>存在しない</v>
      </c>
      <c r="N1070" s="1" t="s">
        <v>29</v>
      </c>
      <c r="O1070" s="1"/>
      <c r="P1070" s="11"/>
      <c r="Q1070" s="11"/>
      <c r="R1070" s="11"/>
      <c r="S1070" s="11"/>
      <c r="T1070" s="1"/>
      <c r="U1070" s="1"/>
      <c r="V1070" s="1"/>
      <c r="W1070" s="1"/>
      <c r="X1070" s="1"/>
      <c r="Y1070" s="1"/>
      <c r="Z1070" s="1"/>
    </row>
    <row r="1071" ht="18.0" customHeight="1" outlineLevel="2">
      <c r="A1071" s="1"/>
      <c r="B1071" s="1"/>
      <c r="C1071" s="1"/>
      <c r="D1071" s="1"/>
      <c r="E1071" s="14"/>
      <c r="F1071" s="15"/>
      <c r="G1071" s="16"/>
      <c r="H1071" s="11"/>
      <c r="I1071" s="7"/>
      <c r="J1071" s="7" t="str">
        <f>IFERROR(LET(_xlpm.v,
VLOOKUP($I1071,'用語辞書'!$A:$B,COLUMN('用語辞書'!B$1),FALSE),
IF(_xlpm.v=0,"",_xlpm.v)
),"")</f>
        <v/>
      </c>
      <c r="K1071" s="17"/>
      <c r="L1071" s="17" t="str">
        <f>IF(OR(COUNTIF('クラス'!$A$1:$A$1267,$B1071)&gt;0,$B1071="",$M1071=""),"",True)</f>
        <v/>
      </c>
      <c r="M1071" s="1" t="str">
        <f t="shared" si="22"/>
        <v>存在しない</v>
      </c>
      <c r="N1071" s="1" t="s">
        <v>29</v>
      </c>
      <c r="O1071" s="1"/>
      <c r="P1071" s="11"/>
      <c r="Q1071" s="11"/>
      <c r="R1071" s="11"/>
      <c r="S1071" s="11"/>
      <c r="T1071" s="1"/>
      <c r="U1071" s="1"/>
      <c r="V1071" s="1"/>
      <c r="W1071" s="1"/>
      <c r="X1071" s="1"/>
      <c r="Y1071" s="1"/>
      <c r="Z1071" s="1"/>
    </row>
    <row r="1072" ht="18.0" customHeight="1" outlineLevel="1" collapsed="1">
      <c r="A1072" s="1"/>
      <c r="B1072" s="1"/>
      <c r="C1072" s="1"/>
      <c r="D1072" s="1"/>
      <c r="E1072" s="14"/>
      <c r="F1072" s="15"/>
      <c r="G1072" s="16"/>
      <c r="H1072" s="11"/>
      <c r="I1072" s="7"/>
      <c r="J1072" s="7" t="str">
        <f>IFERROR(LET(_xlpm.v,
VLOOKUP($I1072,'用語辞書'!$A:$B,COLUMN('用語辞書'!B$1),FALSE),
IF(_xlpm.v=0,"",_xlpm.v)
),"")</f>
        <v/>
      </c>
      <c r="K1072" s="17"/>
      <c r="L1072" s="17" t="str">
        <f>IF(OR(COUNTIF('クラス'!$A$1:$A$1267,$B1072)&gt;0,$B1072="",$M1072=""),"",True)</f>
        <v/>
      </c>
      <c r="M1072" s="1" t="str">
        <f t="shared" si="22"/>
        <v>存在しない</v>
      </c>
      <c r="N1072" s="1" t="s">
        <v>29</v>
      </c>
      <c r="O1072" s="1"/>
      <c r="P1072" s="11"/>
      <c r="Q1072" s="11"/>
      <c r="R1072" s="11"/>
      <c r="S1072" s="11"/>
      <c r="T1072" s="1"/>
      <c r="U1072" s="1"/>
      <c r="V1072" s="1"/>
      <c r="W1072" s="1"/>
      <c r="X1072" s="1"/>
      <c r="Y1072" s="1"/>
      <c r="Z1072" s="1"/>
    </row>
    <row r="1073" ht="18.0" customHeight="1" outlineLevel="1">
      <c r="A1073" s="1"/>
      <c r="B1073" s="1" t="s">
        <v>1504</v>
      </c>
      <c r="C1073" s="1"/>
      <c r="D1073" s="1"/>
      <c r="E1073" s="14"/>
      <c r="F1073" s="15"/>
      <c r="G1073" s="16"/>
      <c r="H1073" s="11"/>
      <c r="I1073" s="7"/>
      <c r="J1073" s="7" t="str">
        <f>IFERROR(LET(_xlpm.v,
VLOOKUP($I1073,'用語辞書'!$A:$B,COLUMN('用語辞書'!B$1),FALSE),
IF(_xlpm.v=0,"",_xlpm.v)
),"")</f>
        <v/>
      </c>
      <c r="K1073" s="17"/>
      <c r="L1073" s="17" t="str">
        <f>IF(OR(COUNTIF('クラス'!$A$1:$A$1267,$B1073)&gt;0,$B1073="",$M1073=""),"",True)</f>
        <v/>
      </c>
      <c r="M1073" s="1" t="str">
        <f t="shared" si="22"/>
        <v>存在しない</v>
      </c>
      <c r="N1073" s="1" t="s">
        <v>29</v>
      </c>
      <c r="O1073" s="1"/>
      <c r="P1073" s="11"/>
      <c r="Q1073" s="11"/>
      <c r="R1073" s="11"/>
      <c r="S1073" s="11"/>
      <c r="T1073" s="1"/>
      <c r="U1073" s="1"/>
      <c r="V1073" s="1"/>
      <c r="W1073" s="1"/>
      <c r="X1073" s="1"/>
      <c r="Y1073" s="1"/>
      <c r="Z1073" s="1"/>
    </row>
    <row r="1074" ht="18.0" customHeight="1" outlineLevel="2">
      <c r="A1074" s="1">
        <v>1.0</v>
      </c>
      <c r="B1074" s="1" t="s">
        <v>35</v>
      </c>
      <c r="C1074" s="1"/>
      <c r="D1074" s="1"/>
      <c r="E1074" s="14" t="s">
        <v>33</v>
      </c>
      <c r="F1074" s="15"/>
      <c r="G1074" s="16">
        <v>40.0</v>
      </c>
      <c r="H1074" s="11" t="s">
        <v>1495</v>
      </c>
      <c r="I1074" s="7"/>
      <c r="J1074" s="7" t="str">
        <f>IFERROR(LET(_xlpm.v,
VLOOKUP($I1074,'用語辞書'!$A:$B,COLUMN('用語辞書'!B$1),FALSE),
IF(_xlpm.v=0,"",_xlpm.v)
),"")</f>
        <v/>
      </c>
      <c r="K1074" s="17"/>
      <c r="L1074" s="17" t="str">
        <f>IF(OR(COUNTIF('クラス'!$A$1:$A$1267,$B1074)&gt;0,$B1074="",$M1074=""),"",True)</f>
        <v/>
      </c>
      <c r="M1074" s="1" t="str">
        <f t="shared" si="22"/>
        <v/>
      </c>
      <c r="N1074" s="1" t="s">
        <v>29</v>
      </c>
      <c r="O1074" s="1"/>
      <c r="P1074" s="11"/>
      <c r="Q1074" s="11"/>
      <c r="R1074" s="11"/>
      <c r="S1074" s="11"/>
      <c r="T1074" s="1"/>
      <c r="U1074" s="1"/>
      <c r="V1074" s="1"/>
      <c r="W1074" s="1"/>
      <c r="X1074" s="1"/>
      <c r="Y1074" s="1"/>
      <c r="Z1074" s="1"/>
    </row>
    <row r="1075" ht="18.0" customHeight="1" outlineLevel="2">
      <c r="A1075" s="1">
        <v>2.0</v>
      </c>
      <c r="B1075" s="1" t="s">
        <v>39</v>
      </c>
      <c r="C1075" s="1"/>
      <c r="D1075" s="1"/>
      <c r="E1075" s="14" t="s">
        <v>33</v>
      </c>
      <c r="F1075" s="15"/>
      <c r="G1075" s="16">
        <v>40.0</v>
      </c>
      <c r="H1075" s="11"/>
      <c r="I1075" s="7"/>
      <c r="J1075" s="7" t="str">
        <f>IFERROR(LET(_xlpm.v,
VLOOKUP($I1075,'用語辞書'!$A:$B,COLUMN('用語辞書'!B$1),FALSE),
IF(_xlpm.v=0,"",_xlpm.v)
),"")</f>
        <v/>
      </c>
      <c r="K1075" s="17"/>
      <c r="L1075" s="17" t="str">
        <f>IF(OR(COUNTIF('クラス'!$A$1:$A$1267,$B1075)&gt;0,$B1075="",$M1075=""),"",True)</f>
        <v/>
      </c>
      <c r="M1075" s="1" t="str">
        <f t="shared" si="22"/>
        <v/>
      </c>
      <c r="N1075" s="1" t="s">
        <v>29</v>
      </c>
      <c r="O1075" s="1"/>
      <c r="P1075" s="11"/>
      <c r="Q1075" s="11"/>
      <c r="R1075" s="11"/>
      <c r="S1075" s="11"/>
      <c r="T1075" s="1"/>
      <c r="U1075" s="1"/>
      <c r="V1075" s="1"/>
      <c r="W1075" s="1"/>
      <c r="X1075" s="1"/>
      <c r="Y1075" s="1"/>
      <c r="Z1075" s="1"/>
    </row>
    <row r="1076" ht="18.0" customHeight="1" outlineLevel="2">
      <c r="A1076" s="1">
        <v>3.0</v>
      </c>
      <c r="B1076" s="1" t="s">
        <v>43</v>
      </c>
      <c r="C1076" s="1"/>
      <c r="D1076" s="1"/>
      <c r="E1076" s="14"/>
      <c r="F1076" s="15"/>
      <c r="G1076" s="16"/>
      <c r="H1076" s="11"/>
      <c r="I1076" s="7"/>
      <c r="J1076" s="7" t="str">
        <f>IFERROR(LET(_xlpm.v,
VLOOKUP($I1076,'用語辞書'!$A:$B,COLUMN('用語辞書'!B$1),FALSE),
IF(_xlpm.v=0,"",_xlpm.v)
),"")</f>
        <v/>
      </c>
      <c r="K1076" s="17"/>
      <c r="L1076" s="17" t="str">
        <f>IF(OR(COUNTIF('クラス'!$A$1:$A$1267,$B1076)&gt;0,$B1076="",$M1076=""),"",True)</f>
        <v/>
      </c>
      <c r="M1076" s="1" t="str">
        <f t="shared" si="22"/>
        <v/>
      </c>
      <c r="N1076" s="1" t="s">
        <v>29</v>
      </c>
      <c r="O1076" s="1"/>
      <c r="P1076" s="11"/>
      <c r="Q1076" s="11"/>
      <c r="R1076" s="11"/>
      <c r="S1076" s="11"/>
      <c r="T1076" s="1"/>
      <c r="U1076" s="1"/>
      <c r="V1076" s="1"/>
      <c r="W1076" s="1"/>
      <c r="X1076" s="1"/>
      <c r="Y1076" s="1"/>
      <c r="Z1076" s="1"/>
    </row>
    <row r="1077" ht="18.0" customHeight="1" outlineLevel="2">
      <c r="A1077" s="1">
        <v>4.0</v>
      </c>
      <c r="B1077" s="26" t="s">
        <v>1505</v>
      </c>
      <c r="C1077" s="1"/>
      <c r="D1077" s="1"/>
      <c r="E1077" s="29" t="s">
        <v>55</v>
      </c>
      <c r="F1077" s="15"/>
      <c r="G1077" s="16"/>
      <c r="H1077" s="22" t="s">
        <v>1506</v>
      </c>
      <c r="I1077" s="7"/>
      <c r="J1077" s="7" t="str">
        <f>IFERROR(LET(_xlpm.v,
VLOOKUP($I1077,'用語辞書'!$A:$B,COLUMN('用語辞書'!B$1),FALSE),
IF(_xlpm.v=0,"",_xlpm.v)
),"")</f>
        <v/>
      </c>
      <c r="K1077" s="17"/>
      <c r="L1077" s="17" t="b">
        <f>IF(OR(COUNTIF('クラス'!$A$1:$A$1267,$B1077)&gt;0,$B1077="",$M1077=""),"",True)</f>
        <v>1</v>
      </c>
      <c r="M1077" s="1" t="str">
        <f t="shared" si="22"/>
        <v>存在しない</v>
      </c>
      <c r="N1077" s="1" t="s">
        <v>29</v>
      </c>
      <c r="O1077" s="1"/>
      <c r="P1077" s="11"/>
      <c r="Q1077" s="11"/>
      <c r="R1077" s="11"/>
      <c r="S1077" s="11"/>
      <c r="T1077" s="1"/>
      <c r="U1077" s="1"/>
      <c r="V1077" s="1"/>
      <c r="W1077" s="1"/>
      <c r="X1077" s="1"/>
      <c r="Y1077" s="1"/>
      <c r="Z1077" s="1"/>
    </row>
    <row r="1078" ht="18.0" customHeight="1" outlineLevel="2">
      <c r="A1078" s="1">
        <v>5.0</v>
      </c>
      <c r="B1078" s="26" t="s">
        <v>1500</v>
      </c>
      <c r="C1078" s="1"/>
      <c r="D1078" s="1"/>
      <c r="E1078" s="14"/>
      <c r="F1078" s="15"/>
      <c r="G1078" s="16"/>
      <c r="H1078" s="11"/>
      <c r="I1078" s="7"/>
      <c r="J1078" s="7" t="str">
        <f>IFERROR(LET(_xlpm.v,
VLOOKUP($I1078,'用語辞書'!$A:$B,COLUMN('用語辞書'!B$1),FALSE),
IF(_xlpm.v=0,"",_xlpm.v)
),"")</f>
        <v/>
      </c>
      <c r="K1078" s="17"/>
      <c r="L1078" s="17" t="str">
        <f>IF(OR(COUNTIF('クラス'!$A$1:$A$1267,$B1078)&gt;0,$B1078="",$M1078=""),"",True)</f>
        <v/>
      </c>
      <c r="M1078" s="1" t="str">
        <f t="shared" si="22"/>
        <v/>
      </c>
      <c r="N1078" s="1" t="s">
        <v>29</v>
      </c>
      <c r="O1078" s="1"/>
      <c r="P1078" s="11"/>
      <c r="Q1078" s="11"/>
      <c r="R1078" s="11"/>
      <c r="S1078" s="11"/>
      <c r="T1078" s="1"/>
      <c r="U1078" s="1"/>
      <c r="V1078" s="1"/>
      <c r="W1078" s="1"/>
      <c r="X1078" s="1"/>
      <c r="Y1078" s="1"/>
      <c r="Z1078" s="1"/>
    </row>
    <row r="1079" ht="18.0" customHeight="1" outlineLevel="2">
      <c r="A1079" s="1">
        <v>6.0</v>
      </c>
      <c r="B1079" s="1"/>
      <c r="C1079" s="1"/>
      <c r="D1079" s="1"/>
      <c r="E1079" s="14"/>
      <c r="F1079" s="15"/>
      <c r="G1079" s="16"/>
      <c r="H1079" s="11"/>
      <c r="I1079" s="7"/>
      <c r="J1079" s="7" t="str">
        <f>IFERROR(LET(_xlpm.v,
VLOOKUP($I1079,'用語辞書'!$A:$B,COLUMN('用語辞書'!B$1),FALSE),
IF(_xlpm.v=0,"",_xlpm.v)
),"")</f>
        <v/>
      </c>
      <c r="K1079" s="17"/>
      <c r="L1079" s="17" t="str">
        <f>IF(OR(COUNTIF('クラス'!$A$1:$A$1267,$B1079)&gt;0,$B1079="",$M1079=""),"",True)</f>
        <v/>
      </c>
      <c r="M1079" s="1" t="str">
        <f t="shared" si="22"/>
        <v>存在しない</v>
      </c>
      <c r="N1079" s="1" t="s">
        <v>29</v>
      </c>
      <c r="O1079" s="1"/>
      <c r="P1079" s="11"/>
      <c r="Q1079" s="11"/>
      <c r="R1079" s="11"/>
      <c r="S1079" s="11"/>
      <c r="T1079" s="1"/>
      <c r="U1079" s="1"/>
      <c r="V1079" s="1"/>
      <c r="W1079" s="1"/>
      <c r="X1079" s="1"/>
      <c r="Y1079" s="1"/>
      <c r="Z1079" s="1"/>
    </row>
    <row r="1080" ht="18.0" customHeight="1" outlineLevel="2">
      <c r="A1080" s="1">
        <v>7.0</v>
      </c>
      <c r="B1080" s="26" t="s">
        <v>1209</v>
      </c>
      <c r="C1080" s="1"/>
      <c r="D1080" s="1"/>
      <c r="E1080" s="14"/>
      <c r="F1080" s="15"/>
      <c r="G1080" s="16"/>
      <c r="H1080" s="11"/>
      <c r="I1080" s="7"/>
      <c r="J1080" s="7" t="str">
        <f>IFERROR(LET(_xlpm.v,
VLOOKUP($I1080,'用語辞書'!$A:$B,COLUMN('用語辞書'!B$1),FALSE),
IF(_xlpm.v=0,"",_xlpm.v)
),"")</f>
        <v/>
      </c>
      <c r="K1080" s="17"/>
      <c r="L1080" s="17" t="str">
        <f>IF(OR(COUNTIF('クラス'!$A$1:$A$1267,$B1080)&gt;0,$B1080="",$M1080=""),"",True)</f>
        <v/>
      </c>
      <c r="M1080" s="1" t="str">
        <f t="shared" si="22"/>
        <v/>
      </c>
      <c r="N1080" s="1" t="s">
        <v>29</v>
      </c>
      <c r="O1080" s="1"/>
      <c r="P1080" s="11"/>
      <c r="Q1080" s="11"/>
      <c r="R1080" s="11"/>
      <c r="S1080" s="11"/>
      <c r="T1080" s="1"/>
      <c r="U1080" s="1"/>
      <c r="V1080" s="1"/>
      <c r="W1080" s="1"/>
      <c r="X1080" s="1"/>
      <c r="Y1080" s="1"/>
      <c r="Z1080" s="1"/>
    </row>
    <row r="1081" ht="18.0" customHeight="1" outlineLevel="2">
      <c r="A1081" s="1">
        <v>8.0</v>
      </c>
      <c r="B1081" s="1"/>
      <c r="C1081" s="1"/>
      <c r="D1081" s="1"/>
      <c r="E1081" s="14"/>
      <c r="F1081" s="15"/>
      <c r="G1081" s="16"/>
      <c r="H1081" s="11"/>
      <c r="I1081" s="7"/>
      <c r="J1081" s="7" t="str">
        <f>IFERROR(LET(_xlpm.v,
VLOOKUP($I1081,'用語辞書'!$A:$B,COLUMN('用語辞書'!B$1),FALSE),
IF(_xlpm.v=0,"",_xlpm.v)
),"")</f>
        <v/>
      </c>
      <c r="K1081" s="17"/>
      <c r="L1081" s="17" t="str">
        <f>IF(OR(COUNTIF('クラス'!$A$1:$A$1267,$B1081)&gt;0,$B1081="",$M1081=""),"",True)</f>
        <v/>
      </c>
      <c r="M1081" s="1" t="str">
        <f t="shared" si="22"/>
        <v>存在しない</v>
      </c>
      <c r="N1081" s="1" t="s">
        <v>29</v>
      </c>
      <c r="O1081" s="1"/>
      <c r="P1081" s="11"/>
      <c r="Q1081" s="11"/>
      <c r="R1081" s="11"/>
      <c r="S1081" s="11"/>
      <c r="T1081" s="1"/>
      <c r="U1081" s="1"/>
      <c r="V1081" s="1"/>
      <c r="W1081" s="1"/>
      <c r="X1081" s="1"/>
      <c r="Y1081" s="1"/>
      <c r="Z1081" s="1"/>
    </row>
    <row r="1082" ht="18.0" customHeight="1" outlineLevel="2">
      <c r="A1082" s="1">
        <v>9.0</v>
      </c>
      <c r="B1082" s="1"/>
      <c r="C1082" s="1"/>
      <c r="D1082" s="1"/>
      <c r="E1082" s="14"/>
      <c r="F1082" s="15"/>
      <c r="G1082" s="16"/>
      <c r="H1082" s="11"/>
      <c r="I1082" s="7"/>
      <c r="J1082" s="7" t="str">
        <f>IFERROR(LET(_xlpm.v,
VLOOKUP($I1082,'用語辞書'!$A:$B,COLUMN('用語辞書'!B$1),FALSE),
IF(_xlpm.v=0,"",_xlpm.v)
),"")</f>
        <v/>
      </c>
      <c r="K1082" s="17"/>
      <c r="L1082" s="17" t="str">
        <f>IF(OR(COUNTIF('クラス'!$A$1:$A$1267,$B1082)&gt;0,$B1082="",$M1082=""),"",True)</f>
        <v/>
      </c>
      <c r="M1082" s="1" t="str">
        <f t="shared" si="22"/>
        <v>存在しない</v>
      </c>
      <c r="N1082" s="1" t="s">
        <v>29</v>
      </c>
      <c r="O1082" s="1"/>
      <c r="P1082" s="11"/>
      <c r="Q1082" s="11"/>
      <c r="R1082" s="11"/>
      <c r="S1082" s="11"/>
      <c r="T1082" s="1"/>
      <c r="U1082" s="1"/>
      <c r="V1082" s="1"/>
      <c r="W1082" s="1"/>
      <c r="X1082" s="1"/>
      <c r="Y1082" s="1"/>
      <c r="Z1082" s="1"/>
    </row>
    <row r="1083" ht="18.0" customHeight="1" outlineLevel="2">
      <c r="A1083" s="1">
        <v>10.0</v>
      </c>
      <c r="B1083" s="1"/>
      <c r="C1083" s="1"/>
      <c r="D1083" s="1"/>
      <c r="E1083" s="14"/>
      <c r="F1083" s="15"/>
      <c r="G1083" s="16"/>
      <c r="H1083" s="11"/>
      <c r="I1083" s="7"/>
      <c r="J1083" s="7" t="str">
        <f>IFERROR(LET(_xlpm.v,
VLOOKUP($I1083,'用語辞書'!$A:$B,COLUMN('用語辞書'!B$1),FALSE),
IF(_xlpm.v=0,"",_xlpm.v)
),"")</f>
        <v/>
      </c>
      <c r="K1083" s="17"/>
      <c r="L1083" s="17" t="str">
        <f>IF(OR(COUNTIF('クラス'!$A$1:$A$1267,$B1083)&gt;0,$B1083="",$M1083=""),"",True)</f>
        <v/>
      </c>
      <c r="M1083" s="1" t="str">
        <f t="shared" si="22"/>
        <v>存在しない</v>
      </c>
      <c r="N1083" s="1" t="s">
        <v>29</v>
      </c>
      <c r="O1083" s="1"/>
      <c r="P1083" s="11"/>
      <c r="Q1083" s="11"/>
      <c r="R1083" s="11"/>
      <c r="S1083" s="11"/>
      <c r="T1083" s="1"/>
      <c r="U1083" s="1"/>
      <c r="V1083" s="1"/>
      <c r="W1083" s="1"/>
      <c r="X1083" s="1"/>
      <c r="Y1083" s="1"/>
      <c r="Z1083" s="1"/>
    </row>
    <row r="1084" ht="18.0" customHeight="1" outlineLevel="2">
      <c r="A1084" s="1"/>
      <c r="B1084" s="1"/>
      <c r="C1084" s="1"/>
      <c r="D1084" s="1"/>
      <c r="E1084" s="14"/>
      <c r="F1084" s="15"/>
      <c r="G1084" s="16"/>
      <c r="H1084" s="11"/>
      <c r="I1084" s="7"/>
      <c r="J1084" s="7" t="str">
        <f>IFERROR(LET(_xlpm.v,
VLOOKUP($I1084,'用語辞書'!$A:$B,COLUMN('用語辞書'!B$1),FALSE),
IF(_xlpm.v=0,"",_xlpm.v)
),"")</f>
        <v/>
      </c>
      <c r="K1084" s="17"/>
      <c r="L1084" s="17" t="str">
        <f>IF(OR(COUNTIF('クラス'!$A$1:$A$1267,$B1084)&gt;0,$B1084="",$M1084=""),"",True)</f>
        <v/>
      </c>
      <c r="M1084" s="1" t="str">
        <f t="shared" si="22"/>
        <v>存在しない</v>
      </c>
      <c r="N1084" s="1" t="s">
        <v>29</v>
      </c>
      <c r="O1084" s="1"/>
      <c r="P1084" s="11"/>
      <c r="Q1084" s="11"/>
      <c r="R1084" s="11"/>
      <c r="S1084" s="11"/>
      <c r="T1084" s="1"/>
      <c r="U1084" s="1"/>
      <c r="V1084" s="1"/>
      <c r="W1084" s="1"/>
      <c r="X1084" s="1"/>
      <c r="Y1084" s="1"/>
      <c r="Z1084" s="1"/>
    </row>
    <row r="1085" ht="18.0" customHeight="1" outlineLevel="1" collapsed="1">
      <c r="A1085" s="1"/>
      <c r="B1085" s="1"/>
      <c r="C1085" s="1"/>
      <c r="D1085" s="1"/>
      <c r="E1085" s="14"/>
      <c r="F1085" s="15"/>
      <c r="G1085" s="16"/>
      <c r="H1085" s="11"/>
      <c r="I1085" s="7"/>
      <c r="J1085" s="7" t="str">
        <f>IFERROR(LET(_xlpm.v,
VLOOKUP($I1085,'用語辞書'!$A:$B,COLUMN('用語辞書'!B$1),FALSE),
IF(_xlpm.v=0,"",_xlpm.v)
),"")</f>
        <v/>
      </c>
      <c r="K1085" s="17"/>
      <c r="L1085" s="17" t="str">
        <f>IF(OR(COUNTIF('クラス'!$A$1:$A$1267,$B1085)&gt;0,$B1085="",$M1085=""),"",True)</f>
        <v/>
      </c>
      <c r="M1085" s="1" t="str">
        <f t="shared" si="22"/>
        <v>存在しない</v>
      </c>
      <c r="N1085" s="1" t="s">
        <v>29</v>
      </c>
      <c r="O1085" s="1"/>
      <c r="P1085" s="11"/>
      <c r="Q1085" s="11"/>
      <c r="R1085" s="11"/>
      <c r="S1085" s="11"/>
      <c r="T1085" s="1"/>
      <c r="U1085" s="1"/>
      <c r="V1085" s="1"/>
      <c r="W1085" s="1"/>
      <c r="X1085" s="1"/>
      <c r="Y1085" s="1"/>
      <c r="Z1085" s="1"/>
    </row>
    <row r="1086" ht="18.0" customHeight="1" outlineLevel="1">
      <c r="A1086" s="1"/>
      <c r="B1086" s="1" t="s">
        <v>1507</v>
      </c>
      <c r="C1086" s="1"/>
      <c r="D1086" s="1"/>
      <c r="E1086" s="14"/>
      <c r="F1086" s="15"/>
      <c r="G1086" s="16"/>
      <c r="H1086" s="11"/>
      <c r="I1086" s="7"/>
      <c r="J1086" s="7" t="str">
        <f>IFERROR(LET(_xlpm.v,
VLOOKUP($I1086,'用語辞書'!$A:$B,COLUMN('用語辞書'!B$1),FALSE),
IF(_xlpm.v=0,"",_xlpm.v)
),"")</f>
        <v/>
      </c>
      <c r="K1086" s="17"/>
      <c r="L1086" s="17" t="str">
        <f>IF(OR(COUNTIF('クラス'!$A$1:$A$1267,$B1086)&gt;0,$B1086="",$M1086=""),"",True)</f>
        <v/>
      </c>
      <c r="M1086" s="1" t="str">
        <f t="shared" si="22"/>
        <v>存在しない</v>
      </c>
      <c r="N1086" s="1" t="s">
        <v>29</v>
      </c>
      <c r="O1086" s="1"/>
      <c r="P1086" s="11"/>
      <c r="Q1086" s="11"/>
      <c r="R1086" s="11"/>
      <c r="S1086" s="11"/>
      <c r="T1086" s="1"/>
      <c r="U1086" s="1"/>
      <c r="V1086" s="1"/>
      <c r="W1086" s="1"/>
      <c r="X1086" s="1"/>
      <c r="Y1086" s="1"/>
      <c r="Z1086" s="1"/>
    </row>
    <row r="1087" ht="18.0" customHeight="1" outlineLevel="2">
      <c r="A1087" s="1">
        <v>1.0</v>
      </c>
      <c r="B1087" s="1" t="s">
        <v>37</v>
      </c>
      <c r="C1087" s="1"/>
      <c r="D1087" s="1"/>
      <c r="E1087" s="14"/>
      <c r="F1087" s="15"/>
      <c r="G1087" s="16"/>
      <c r="H1087" s="11"/>
      <c r="I1087" s="7"/>
      <c r="J1087" s="7" t="str">
        <f>IFERROR(LET(_xlpm.v,
VLOOKUP($I1087,'用語辞書'!$A:$B,COLUMN('用語辞書'!B$1),FALSE),
IF(_xlpm.v=0,"",_xlpm.v)
),"")</f>
        <v/>
      </c>
      <c r="K1087" s="17"/>
      <c r="L1087" s="17" t="str">
        <f>IF(OR(COUNTIF('クラス'!$A$1:$A$1267,$B1087)&gt;0,$B1087="",$M1087=""),"",True)</f>
        <v/>
      </c>
      <c r="M1087" s="1" t="str">
        <f t="shared" si="22"/>
        <v/>
      </c>
      <c r="N1087" s="1" t="s">
        <v>29</v>
      </c>
      <c r="O1087" s="1"/>
      <c r="P1087" s="11"/>
      <c r="Q1087" s="11"/>
      <c r="R1087" s="11"/>
      <c r="S1087" s="11"/>
      <c r="T1087" s="1"/>
      <c r="U1087" s="1"/>
      <c r="V1087" s="1"/>
      <c r="W1087" s="1"/>
      <c r="X1087" s="1"/>
      <c r="Y1087" s="1"/>
      <c r="Z1087" s="1"/>
    </row>
    <row r="1088" ht="18.0" customHeight="1" outlineLevel="2">
      <c r="A1088" s="1">
        <v>2.0</v>
      </c>
      <c r="B1088" s="26" t="s">
        <v>45</v>
      </c>
      <c r="C1088" s="1"/>
      <c r="D1088" s="1"/>
      <c r="E1088" s="14"/>
      <c r="F1088" s="15"/>
      <c r="G1088" s="16"/>
      <c r="H1088" s="11"/>
      <c r="I1088" s="7"/>
      <c r="J1088" s="7" t="str">
        <f>IFERROR(LET(_xlpm.v,
VLOOKUP($I1088,'用語辞書'!$A:$B,COLUMN('用語辞書'!B$1),FALSE),
IF(_xlpm.v=0,"",_xlpm.v)
),"")</f>
        <v/>
      </c>
      <c r="K1088" s="17"/>
      <c r="L1088" s="17" t="str">
        <f>IF(OR(COUNTIF('クラス'!$A$1:$A$1267,$B1088)&gt;0,$B1088="",$M1088=""),"",True)</f>
        <v/>
      </c>
      <c r="M1088" s="1" t="str">
        <f t="shared" si="22"/>
        <v/>
      </c>
      <c r="N1088" s="1" t="s">
        <v>29</v>
      </c>
      <c r="O1088" s="1"/>
      <c r="P1088" s="11"/>
      <c r="Q1088" s="11"/>
      <c r="R1088" s="11"/>
      <c r="S1088" s="11"/>
      <c r="T1088" s="1"/>
      <c r="U1088" s="1"/>
      <c r="V1088" s="1"/>
      <c r="W1088" s="1"/>
      <c r="X1088" s="1"/>
      <c r="Y1088" s="1"/>
      <c r="Z1088" s="1"/>
    </row>
    <row r="1089" ht="18.0" customHeight="1" outlineLevel="2">
      <c r="A1089" s="1">
        <v>3.0</v>
      </c>
      <c r="B1089" s="26" t="s">
        <v>1508</v>
      </c>
      <c r="C1089" s="1"/>
      <c r="D1089" s="1"/>
      <c r="E1089" s="29" t="s">
        <v>33</v>
      </c>
      <c r="F1089" s="15"/>
      <c r="G1089" s="30">
        <v>50.0</v>
      </c>
      <c r="H1089" s="22" t="s">
        <v>1509</v>
      </c>
      <c r="I1089" s="7"/>
      <c r="J1089" s="7" t="str">
        <f>IFERROR(LET(_xlpm.v,
VLOOKUP($I1089,'用語辞書'!$A:$B,COLUMN('用語辞書'!B$1),FALSE),
IF(_xlpm.v=0,"",_xlpm.v)
),"")</f>
        <v/>
      </c>
      <c r="K1089" s="17"/>
      <c r="L1089" s="17" t="b">
        <f>IF(OR(COUNTIF('クラス'!$A$1:$A$1267,$B1089)&gt;0,$B1089="",$M1089=""),"",True)</f>
        <v>1</v>
      </c>
      <c r="M1089" s="1" t="str">
        <f t="shared" si="22"/>
        <v>存在しない</v>
      </c>
      <c r="N1089" s="1" t="s">
        <v>29</v>
      </c>
      <c r="O1089" s="1"/>
      <c r="P1089" s="11"/>
      <c r="Q1089" s="11"/>
      <c r="R1089" s="11"/>
      <c r="S1089" s="11"/>
      <c r="T1089" s="1"/>
      <c r="U1089" s="1"/>
      <c r="V1089" s="1"/>
      <c r="W1089" s="1"/>
      <c r="X1089" s="1"/>
      <c r="Y1089" s="1"/>
      <c r="Z1089" s="1"/>
    </row>
    <row r="1090" ht="18.0" customHeight="1" outlineLevel="2">
      <c r="A1090" s="1">
        <v>4.0</v>
      </c>
      <c r="B1090" s="26" t="s">
        <v>1510</v>
      </c>
      <c r="C1090" s="1"/>
      <c r="D1090" s="1"/>
      <c r="E1090" s="29" t="s">
        <v>55</v>
      </c>
      <c r="F1090" s="15"/>
      <c r="G1090" s="16"/>
      <c r="H1090" s="22" t="s">
        <v>1497</v>
      </c>
      <c r="I1090" s="7"/>
      <c r="J1090" s="7" t="str">
        <f>IFERROR(LET(_xlpm.v,
VLOOKUP($I1090,'用語辞書'!$A:$B,COLUMN('用語辞書'!B$1),FALSE),
IF(_xlpm.v=0,"",_xlpm.v)
),"")</f>
        <v/>
      </c>
      <c r="K1090" s="17"/>
      <c r="L1090" s="17" t="b">
        <f>IF(OR(COUNTIF('クラス'!$A$1:$A$1267,$B1090)&gt;0,$B1090="",$M1090=""),"",True)</f>
        <v>1</v>
      </c>
      <c r="M1090" s="1" t="str">
        <f t="shared" si="22"/>
        <v>存在しない</v>
      </c>
      <c r="N1090" s="1" t="s">
        <v>29</v>
      </c>
      <c r="O1090" s="1"/>
      <c r="P1090" s="11"/>
      <c r="Q1090" s="11"/>
      <c r="R1090" s="11"/>
      <c r="S1090" s="11"/>
      <c r="T1090" s="1"/>
      <c r="U1090" s="1"/>
      <c r="V1090" s="1"/>
      <c r="W1090" s="1"/>
      <c r="X1090" s="1"/>
      <c r="Y1090" s="1"/>
      <c r="Z1090" s="1"/>
    </row>
    <row r="1091" ht="18.0" customHeight="1" outlineLevel="2">
      <c r="A1091" s="1">
        <v>5.0</v>
      </c>
      <c r="B1091" s="26" t="s">
        <v>1500</v>
      </c>
      <c r="C1091" s="1"/>
      <c r="D1091" s="1"/>
      <c r="E1091" s="14"/>
      <c r="F1091" s="15"/>
      <c r="G1091" s="16"/>
      <c r="H1091" s="11"/>
      <c r="I1091" s="7"/>
      <c r="J1091" s="7" t="str">
        <f>IFERROR(LET(_xlpm.v,
VLOOKUP($I1091,'用語辞書'!$A:$B,COLUMN('用語辞書'!B$1),FALSE),
IF(_xlpm.v=0,"",_xlpm.v)
),"")</f>
        <v/>
      </c>
      <c r="K1091" s="17"/>
      <c r="L1091" s="17" t="str">
        <f>IF(OR(COUNTIF('クラス'!$A$1:$A$1267,$B1091)&gt;0,$B1091="",$M1091=""),"",True)</f>
        <v/>
      </c>
      <c r="M1091" s="1" t="str">
        <f t="shared" si="22"/>
        <v/>
      </c>
      <c r="N1091" s="1" t="s">
        <v>29</v>
      </c>
      <c r="O1091" s="1"/>
      <c r="P1091" s="11"/>
      <c r="Q1091" s="11"/>
      <c r="R1091" s="11"/>
      <c r="S1091" s="11"/>
      <c r="T1091" s="1"/>
      <c r="U1091" s="1"/>
      <c r="V1091" s="1"/>
      <c r="W1091" s="1"/>
      <c r="X1091" s="1"/>
      <c r="Y1091" s="1"/>
      <c r="Z1091" s="1"/>
    </row>
    <row r="1092" ht="18.0" customHeight="1" outlineLevel="2">
      <c r="A1092" s="1">
        <v>6.0</v>
      </c>
      <c r="B1092" s="1"/>
      <c r="C1092" s="1"/>
      <c r="D1092" s="1"/>
      <c r="E1092" s="14"/>
      <c r="F1092" s="15"/>
      <c r="G1092" s="16"/>
      <c r="H1092" s="11"/>
      <c r="I1092" s="7"/>
      <c r="J1092" s="7" t="str">
        <f>IFERROR(LET(_xlpm.v,
VLOOKUP($I1092,'用語辞書'!$A:$B,COLUMN('用語辞書'!B$1),FALSE),
IF(_xlpm.v=0,"",_xlpm.v)
),"")</f>
        <v/>
      </c>
      <c r="K1092" s="17"/>
      <c r="L1092" s="17" t="str">
        <f>IF(OR(COUNTIF('クラス'!$A$1:$A$1267,$B1092)&gt;0,$B1092="",$M1092=""),"",True)</f>
        <v/>
      </c>
      <c r="M1092" s="1" t="str">
        <f t="shared" si="22"/>
        <v>存在しない</v>
      </c>
      <c r="N1092" s="1" t="s">
        <v>29</v>
      </c>
      <c r="O1092" s="1"/>
      <c r="P1092" s="11"/>
      <c r="Q1092" s="11"/>
      <c r="R1092" s="11"/>
      <c r="S1092" s="11"/>
      <c r="T1092" s="1"/>
      <c r="U1092" s="1"/>
      <c r="V1092" s="1"/>
      <c r="W1092" s="1"/>
      <c r="X1092" s="1"/>
      <c r="Y1092" s="1"/>
      <c r="Z1092" s="1"/>
    </row>
    <row r="1093" ht="18.0" customHeight="1" outlineLevel="2">
      <c r="A1093" s="1">
        <v>7.0</v>
      </c>
      <c r="B1093" s="26" t="s">
        <v>1209</v>
      </c>
      <c r="C1093" s="1"/>
      <c r="D1093" s="1"/>
      <c r="E1093" s="14"/>
      <c r="F1093" s="15"/>
      <c r="G1093" s="16"/>
      <c r="H1093" s="11"/>
      <c r="I1093" s="7"/>
      <c r="J1093" s="7" t="str">
        <f>IFERROR(LET(_xlpm.v,
VLOOKUP($I1093,'用語辞書'!$A:$B,COLUMN('用語辞書'!B$1),FALSE),
IF(_xlpm.v=0,"",_xlpm.v)
),"")</f>
        <v/>
      </c>
      <c r="K1093" s="17"/>
      <c r="L1093" s="17" t="str">
        <f>IF(OR(COUNTIF('クラス'!$A$1:$A$1267,$B1093)&gt;0,$B1093="",$M1093=""),"",True)</f>
        <v/>
      </c>
      <c r="M1093" s="1" t="str">
        <f t="shared" si="22"/>
        <v/>
      </c>
      <c r="N1093" s="1" t="s">
        <v>29</v>
      </c>
      <c r="O1093" s="1"/>
      <c r="P1093" s="11"/>
      <c r="Q1093" s="11"/>
      <c r="R1093" s="11"/>
      <c r="S1093" s="11"/>
      <c r="T1093" s="1"/>
      <c r="U1093" s="1"/>
      <c r="V1093" s="1"/>
      <c r="W1093" s="1"/>
      <c r="X1093" s="1"/>
      <c r="Y1093" s="1"/>
      <c r="Z1093" s="1"/>
    </row>
    <row r="1094" ht="18.0" customHeight="1" outlineLevel="2">
      <c r="A1094" s="1">
        <v>8.0</v>
      </c>
      <c r="B1094" s="1"/>
      <c r="C1094" s="1"/>
      <c r="D1094" s="1"/>
      <c r="E1094" s="14"/>
      <c r="F1094" s="15"/>
      <c r="G1094" s="16"/>
      <c r="H1094" s="11"/>
      <c r="I1094" s="7"/>
      <c r="J1094" s="7" t="str">
        <f>IFERROR(LET(_xlpm.v,
VLOOKUP($I1094,'用語辞書'!$A:$B,COLUMN('用語辞書'!B$1),FALSE),
IF(_xlpm.v=0,"",_xlpm.v)
),"")</f>
        <v/>
      </c>
      <c r="K1094" s="17"/>
      <c r="L1094" s="17" t="str">
        <f>IF(OR(COUNTIF('クラス'!$A$1:$A$1267,$B1094)&gt;0,$B1094="",$M1094=""),"",True)</f>
        <v/>
      </c>
      <c r="M1094" s="1" t="str">
        <f t="shared" si="22"/>
        <v>存在しない</v>
      </c>
      <c r="N1094" s="1" t="s">
        <v>29</v>
      </c>
      <c r="O1094" s="1"/>
      <c r="P1094" s="11"/>
      <c r="Q1094" s="11"/>
      <c r="R1094" s="11"/>
      <c r="S1094" s="11"/>
      <c r="T1094" s="1"/>
      <c r="U1094" s="1"/>
      <c r="V1094" s="1"/>
      <c r="W1094" s="1"/>
      <c r="X1094" s="1"/>
      <c r="Y1094" s="1"/>
      <c r="Z1094" s="1"/>
    </row>
    <row r="1095" ht="18.0" customHeight="1" outlineLevel="2">
      <c r="A1095" s="1">
        <v>9.0</v>
      </c>
      <c r="B1095" s="1"/>
      <c r="C1095" s="1"/>
      <c r="D1095" s="1"/>
      <c r="E1095" s="14"/>
      <c r="F1095" s="15"/>
      <c r="G1095" s="16"/>
      <c r="H1095" s="11"/>
      <c r="I1095" s="7"/>
      <c r="J1095" s="7" t="str">
        <f>IFERROR(LET(_xlpm.v,
VLOOKUP($I1095,'用語辞書'!$A:$B,COLUMN('用語辞書'!B$1),FALSE),
IF(_xlpm.v=0,"",_xlpm.v)
),"")</f>
        <v/>
      </c>
      <c r="K1095" s="17"/>
      <c r="L1095" s="17" t="str">
        <f>IF(OR(COUNTIF('クラス'!$A$1:$A$1267,$B1095)&gt;0,$B1095="",$M1095=""),"",True)</f>
        <v/>
      </c>
      <c r="M1095" s="1" t="str">
        <f t="shared" si="22"/>
        <v>存在しない</v>
      </c>
      <c r="N1095" s="1" t="s">
        <v>29</v>
      </c>
      <c r="O1095" s="1"/>
      <c r="P1095" s="11"/>
      <c r="Q1095" s="11"/>
      <c r="R1095" s="11"/>
      <c r="S1095" s="11"/>
      <c r="T1095" s="1"/>
      <c r="U1095" s="1"/>
      <c r="V1095" s="1"/>
      <c r="W1095" s="1"/>
      <c r="X1095" s="1"/>
      <c r="Y1095" s="1"/>
      <c r="Z1095" s="1"/>
    </row>
    <row r="1096" ht="18.0" customHeight="1" outlineLevel="2">
      <c r="A1096" s="1">
        <v>10.0</v>
      </c>
      <c r="B1096" s="1"/>
      <c r="C1096" s="1"/>
      <c r="D1096" s="1"/>
      <c r="E1096" s="14"/>
      <c r="F1096" s="15"/>
      <c r="G1096" s="16"/>
      <c r="H1096" s="11"/>
      <c r="I1096" s="7"/>
      <c r="J1096" s="7" t="str">
        <f>IFERROR(LET(_xlpm.v,
VLOOKUP($I1096,'用語辞書'!$A:$B,COLUMN('用語辞書'!B$1),FALSE),
IF(_xlpm.v=0,"",_xlpm.v)
),"")</f>
        <v/>
      </c>
      <c r="K1096" s="17"/>
      <c r="L1096" s="17" t="str">
        <f>IF(OR(COUNTIF('クラス'!$A$1:$A$1267,$B1096)&gt;0,$B1096="",$M1096=""),"",True)</f>
        <v/>
      </c>
      <c r="M1096" s="1" t="str">
        <f t="shared" si="22"/>
        <v>存在しない</v>
      </c>
      <c r="N1096" s="1" t="s">
        <v>29</v>
      </c>
      <c r="O1096" s="1"/>
      <c r="P1096" s="11"/>
      <c r="Q1096" s="11"/>
      <c r="R1096" s="11"/>
      <c r="S1096" s="11"/>
      <c r="T1096" s="1"/>
      <c r="U1096" s="1"/>
      <c r="V1096" s="1"/>
      <c r="W1096" s="1"/>
      <c r="X1096" s="1"/>
      <c r="Y1096" s="1"/>
      <c r="Z1096" s="1"/>
    </row>
    <row r="1097" ht="18.0" customHeight="1" outlineLevel="2">
      <c r="A1097" s="1"/>
      <c r="B1097" s="1"/>
      <c r="C1097" s="1"/>
      <c r="D1097" s="1"/>
      <c r="E1097" s="14"/>
      <c r="F1097" s="15"/>
      <c r="G1097" s="16"/>
      <c r="H1097" s="11"/>
      <c r="I1097" s="7"/>
      <c r="J1097" s="7" t="str">
        <f>IFERROR(LET(_xlpm.v,
VLOOKUP($I1097,'用語辞書'!$A:$B,COLUMN('用語辞書'!B$1),FALSE),
IF(_xlpm.v=0,"",_xlpm.v)
),"")</f>
        <v/>
      </c>
      <c r="K1097" s="17"/>
      <c r="L1097" s="17" t="str">
        <f>IF(OR(COUNTIF('クラス'!$A$1:$A$1267,$B1097)&gt;0,$B1097="",$M1097=""),"",True)</f>
        <v/>
      </c>
      <c r="M1097" s="1" t="str">
        <f t="shared" si="22"/>
        <v>存在しない</v>
      </c>
      <c r="N1097" s="1" t="s">
        <v>29</v>
      </c>
      <c r="O1097" s="1"/>
      <c r="P1097" s="11"/>
      <c r="Q1097" s="11"/>
      <c r="R1097" s="11"/>
      <c r="S1097" s="11"/>
      <c r="T1097" s="1"/>
      <c r="U1097" s="1"/>
      <c r="V1097" s="1"/>
      <c r="W1097" s="1"/>
      <c r="X1097" s="1"/>
      <c r="Y1097" s="1"/>
      <c r="Z1097" s="1"/>
    </row>
    <row r="1098" ht="18.0" customHeight="1" outlineLevel="1" collapsed="1">
      <c r="A1098" s="1"/>
      <c r="B1098" s="1"/>
      <c r="C1098" s="1"/>
      <c r="D1098" s="1"/>
      <c r="E1098" s="14"/>
      <c r="F1098" s="15"/>
      <c r="G1098" s="16"/>
      <c r="H1098" s="11"/>
      <c r="I1098" s="7"/>
      <c r="J1098" s="7" t="str">
        <f>IFERROR(LET(_xlpm.v,
VLOOKUP($I1098,'用語辞書'!$A:$B,COLUMN('用語辞書'!B$1),FALSE),
IF(_xlpm.v=0,"",_xlpm.v)
),"")</f>
        <v/>
      </c>
      <c r="K1098" s="17"/>
      <c r="L1098" s="17" t="str">
        <f>IF(OR(COUNTIF('クラス'!$A$1:$A$1267,$B1098)&gt;0,$B1098="",$M1098=""),"",True)</f>
        <v/>
      </c>
      <c r="M1098" s="1" t="str">
        <f t="shared" si="22"/>
        <v>存在しない</v>
      </c>
      <c r="N1098" s="1" t="s">
        <v>29</v>
      </c>
      <c r="O1098" s="1"/>
      <c r="P1098" s="11"/>
      <c r="Q1098" s="11"/>
      <c r="R1098" s="11"/>
      <c r="S1098" s="11"/>
      <c r="T1098" s="1"/>
      <c r="U1098" s="1"/>
      <c r="V1098" s="1"/>
      <c r="W1098" s="1"/>
      <c r="X1098" s="1"/>
      <c r="Y1098" s="1"/>
      <c r="Z1098" s="1"/>
    </row>
    <row r="1099" ht="18.0" customHeight="1" outlineLevel="1">
      <c r="A1099" s="1"/>
      <c r="B1099" s="1" t="s">
        <v>1511</v>
      </c>
      <c r="C1099" s="1"/>
      <c r="D1099" s="1"/>
      <c r="E1099" s="14"/>
      <c r="F1099" s="15"/>
      <c r="G1099" s="16"/>
      <c r="H1099" s="11"/>
      <c r="I1099" s="7"/>
      <c r="J1099" s="7" t="str">
        <f>IFERROR(LET(_xlpm.v,
VLOOKUP($I1099,'用語辞書'!$A:$B,COLUMN('用語辞書'!B$1),FALSE),
IF(_xlpm.v=0,"",_xlpm.v)
),"")</f>
        <v/>
      </c>
      <c r="K1099" s="17"/>
      <c r="L1099" s="17" t="str">
        <f>IF(OR(COUNTIF('クラス'!$A$1:$A$1267,$B1099)&gt;0,$B1099="",$M1099=""),"",True)</f>
        <v/>
      </c>
      <c r="M1099" s="1" t="str">
        <f t="shared" si="22"/>
        <v>存在しない</v>
      </c>
      <c r="N1099" s="1" t="s">
        <v>29</v>
      </c>
      <c r="O1099" s="1"/>
      <c r="P1099" s="11"/>
      <c r="Q1099" s="11"/>
      <c r="R1099" s="11"/>
      <c r="S1099" s="11"/>
      <c r="T1099" s="1"/>
      <c r="U1099" s="1"/>
      <c r="V1099" s="1"/>
      <c r="W1099" s="1"/>
      <c r="X1099" s="1"/>
      <c r="Y1099" s="1"/>
      <c r="Z1099" s="1"/>
    </row>
    <row r="1100" ht="18.0" customHeight="1" outlineLevel="2">
      <c r="A1100" s="1">
        <v>1.0</v>
      </c>
      <c r="B1100" s="1" t="s">
        <v>37</v>
      </c>
      <c r="C1100" s="1"/>
      <c r="D1100" s="1"/>
      <c r="E1100" s="14"/>
      <c r="F1100" s="15"/>
      <c r="G1100" s="16"/>
      <c r="H1100" s="11"/>
      <c r="I1100" s="7"/>
      <c r="J1100" s="7" t="str">
        <f>IFERROR(LET(_xlpm.v,
VLOOKUP($I1100,'用語辞書'!$A:$B,COLUMN('用語辞書'!B$1),FALSE),
IF(_xlpm.v=0,"",_xlpm.v)
),"")</f>
        <v/>
      </c>
      <c r="K1100" s="17"/>
      <c r="L1100" s="17" t="str">
        <f>IF(OR(COUNTIF('クラス'!$A$1:$A$1267,$B1100)&gt;0,$B1100="",$M1100=""),"",True)</f>
        <v/>
      </c>
      <c r="M1100" s="1" t="str">
        <f t="shared" si="22"/>
        <v/>
      </c>
      <c r="N1100" s="1" t="s">
        <v>29</v>
      </c>
      <c r="O1100" s="1"/>
      <c r="P1100" s="11"/>
      <c r="Q1100" s="11"/>
      <c r="R1100" s="11"/>
      <c r="S1100" s="11"/>
      <c r="T1100" s="1"/>
      <c r="U1100" s="1"/>
      <c r="V1100" s="1"/>
      <c r="W1100" s="1"/>
      <c r="X1100" s="1"/>
      <c r="Y1100" s="1"/>
      <c r="Z1100" s="1"/>
    </row>
    <row r="1101" ht="18.0" customHeight="1" outlineLevel="2">
      <c r="A1101" s="1">
        <v>2.0</v>
      </c>
      <c r="B1101" s="1" t="s">
        <v>35</v>
      </c>
      <c r="C1101" s="1"/>
      <c r="D1101" s="1"/>
      <c r="E1101" s="14"/>
      <c r="F1101" s="15"/>
      <c r="G1101" s="16"/>
      <c r="H1101" s="11"/>
      <c r="I1101" s="7"/>
      <c r="J1101" s="7" t="str">
        <f>IFERROR(LET(_xlpm.v,
VLOOKUP($I1101,'用語辞書'!$A:$B,COLUMN('用語辞書'!B$1),FALSE),
IF(_xlpm.v=0,"",_xlpm.v)
),"")</f>
        <v/>
      </c>
      <c r="K1101" s="17"/>
      <c r="L1101" s="17" t="str">
        <f>IF(OR(COUNTIF('クラス'!$A$1:$A$1267,$B1101)&gt;0,$B1101="",$M1101=""),"",True)</f>
        <v/>
      </c>
      <c r="M1101" s="1" t="str">
        <f t="shared" si="22"/>
        <v/>
      </c>
      <c r="N1101" s="1" t="s">
        <v>29</v>
      </c>
      <c r="O1101" s="1"/>
      <c r="P1101" s="11"/>
      <c r="Q1101" s="11"/>
      <c r="R1101" s="11"/>
      <c r="S1101" s="11"/>
      <c r="T1101" s="1"/>
      <c r="U1101" s="1"/>
      <c r="V1101" s="1"/>
      <c r="W1101" s="1"/>
      <c r="X1101" s="1"/>
      <c r="Y1101" s="1"/>
      <c r="Z1101" s="1"/>
    </row>
    <row r="1102" ht="18.0" customHeight="1" outlineLevel="2">
      <c r="A1102" s="1">
        <v>3.0</v>
      </c>
      <c r="B1102" s="26" t="s">
        <v>1512</v>
      </c>
      <c r="C1102" s="1"/>
      <c r="D1102" s="1"/>
      <c r="E1102" s="29" t="s">
        <v>55</v>
      </c>
      <c r="F1102" s="15"/>
      <c r="G1102" s="16"/>
      <c r="H1102" s="22" t="s">
        <v>1513</v>
      </c>
      <c r="I1102" s="7"/>
      <c r="J1102" s="7" t="str">
        <f>IFERROR(LET(_xlpm.v,
VLOOKUP($I1102,'用語辞書'!$A:$B,COLUMN('用語辞書'!B$1),FALSE),
IF(_xlpm.v=0,"",_xlpm.v)
),"")</f>
        <v/>
      </c>
      <c r="K1102" s="17"/>
      <c r="L1102" s="17" t="b">
        <f>IF(OR(COUNTIF('クラス'!$A$1:$A$1267,$B1102)&gt;0,$B1102="",$M1102=""),"",True)</f>
        <v>1</v>
      </c>
      <c r="M1102" s="1" t="str">
        <f t="shared" si="22"/>
        <v>存在しない</v>
      </c>
      <c r="N1102" s="1" t="s">
        <v>29</v>
      </c>
      <c r="O1102" s="1"/>
      <c r="P1102" s="11"/>
      <c r="Q1102" s="11"/>
      <c r="R1102" s="11"/>
      <c r="S1102" s="11"/>
      <c r="T1102" s="1"/>
      <c r="U1102" s="1"/>
      <c r="V1102" s="1"/>
      <c r="W1102" s="1"/>
      <c r="X1102" s="1"/>
      <c r="Y1102" s="1"/>
      <c r="Z1102" s="1"/>
    </row>
    <row r="1103" ht="18.0" customHeight="1" outlineLevel="2">
      <c r="A1103" s="1">
        <v>4.0</v>
      </c>
      <c r="B1103" s="26" t="s">
        <v>1514</v>
      </c>
      <c r="C1103" s="1"/>
      <c r="D1103" s="1"/>
      <c r="E1103" s="29" t="s">
        <v>33</v>
      </c>
      <c r="F1103" s="15"/>
      <c r="G1103" s="30">
        <v>60.0</v>
      </c>
      <c r="H1103" s="22" t="s">
        <v>1515</v>
      </c>
      <c r="I1103" s="7"/>
      <c r="J1103" s="7" t="str">
        <f>IFERROR(LET(_xlpm.v,
VLOOKUP($I1103,'用語辞書'!$A:$B,COLUMN('用語辞書'!B$1),FALSE),
IF(_xlpm.v=0,"",_xlpm.v)
),"")</f>
        <v/>
      </c>
      <c r="K1103" s="17"/>
      <c r="L1103" s="17" t="b">
        <f>IF(OR(COUNTIF('クラス'!$A$1:$A$1267,$B1103)&gt;0,$B1103="",$M1103=""),"",True)</f>
        <v>1</v>
      </c>
      <c r="M1103" s="1" t="str">
        <f t="shared" si="22"/>
        <v>存在しない</v>
      </c>
      <c r="N1103" s="1" t="s">
        <v>29</v>
      </c>
      <c r="O1103" s="1"/>
      <c r="P1103" s="11"/>
      <c r="Q1103" s="11"/>
      <c r="R1103" s="11"/>
      <c r="S1103" s="11"/>
      <c r="T1103" s="1"/>
      <c r="U1103" s="1"/>
      <c r="V1103" s="1"/>
      <c r="W1103" s="1"/>
      <c r="X1103" s="1"/>
      <c r="Y1103" s="1"/>
      <c r="Z1103" s="1"/>
    </row>
    <row r="1104" ht="18.0" customHeight="1" outlineLevel="2">
      <c r="A1104" s="1">
        <v>5.0</v>
      </c>
      <c r="B1104" s="26" t="s">
        <v>1500</v>
      </c>
      <c r="C1104" s="1"/>
      <c r="D1104" s="1"/>
      <c r="E1104" s="14"/>
      <c r="F1104" s="15"/>
      <c r="G1104" s="16"/>
      <c r="H1104" s="11"/>
      <c r="I1104" s="7"/>
      <c r="J1104" s="7" t="str">
        <f>IFERROR(LET(_xlpm.v,
VLOOKUP($I1104,'用語辞書'!$A:$B,COLUMN('用語辞書'!B$1),FALSE),
IF(_xlpm.v=0,"",_xlpm.v)
),"")</f>
        <v/>
      </c>
      <c r="K1104" s="17"/>
      <c r="L1104" s="17" t="str">
        <f>IF(OR(COUNTIF('クラス'!$A$1:$A$1267,$B1104)&gt;0,$B1104="",$M1104=""),"",True)</f>
        <v/>
      </c>
      <c r="M1104" s="1" t="str">
        <f t="shared" si="22"/>
        <v/>
      </c>
      <c r="N1104" s="1" t="s">
        <v>29</v>
      </c>
      <c r="O1104" s="1"/>
      <c r="P1104" s="11"/>
      <c r="Q1104" s="11"/>
      <c r="R1104" s="11"/>
      <c r="S1104" s="11"/>
      <c r="T1104" s="1"/>
      <c r="U1104" s="1"/>
      <c r="V1104" s="1"/>
      <c r="W1104" s="1"/>
      <c r="X1104" s="1"/>
      <c r="Y1104" s="1"/>
      <c r="Z1104" s="1"/>
    </row>
    <row r="1105" ht="18.0" customHeight="1" outlineLevel="2">
      <c r="A1105" s="1">
        <v>6.0</v>
      </c>
      <c r="B1105" s="1"/>
      <c r="C1105" s="1"/>
      <c r="D1105" s="1"/>
      <c r="E1105" s="14"/>
      <c r="F1105" s="15"/>
      <c r="G1105" s="16"/>
      <c r="H1105" s="11"/>
      <c r="I1105" s="7"/>
      <c r="J1105" s="7" t="str">
        <f>IFERROR(LET(_xlpm.v,
VLOOKUP($I1105,'用語辞書'!$A:$B,COLUMN('用語辞書'!B$1),FALSE),
IF(_xlpm.v=0,"",_xlpm.v)
),"")</f>
        <v/>
      </c>
      <c r="K1105" s="17"/>
      <c r="L1105" s="17" t="str">
        <f>IF(OR(COUNTIF('クラス'!$A$1:$A$1267,$B1105)&gt;0,$B1105="",$M1105=""),"",True)</f>
        <v/>
      </c>
      <c r="M1105" s="1" t="str">
        <f t="shared" si="22"/>
        <v>存在しない</v>
      </c>
      <c r="N1105" s="1" t="s">
        <v>29</v>
      </c>
      <c r="O1105" s="1"/>
      <c r="P1105" s="11"/>
      <c r="Q1105" s="11"/>
      <c r="R1105" s="11"/>
      <c r="S1105" s="11"/>
      <c r="T1105" s="1"/>
      <c r="U1105" s="1"/>
      <c r="V1105" s="1"/>
      <c r="W1105" s="1"/>
      <c r="X1105" s="1"/>
      <c r="Y1105" s="1"/>
      <c r="Z1105" s="1"/>
    </row>
    <row r="1106" ht="18.0" customHeight="1" outlineLevel="2">
      <c r="A1106" s="1">
        <v>7.0</v>
      </c>
      <c r="B1106" s="26" t="s">
        <v>1209</v>
      </c>
      <c r="C1106" s="1"/>
      <c r="D1106" s="1"/>
      <c r="E1106" s="14"/>
      <c r="F1106" s="15"/>
      <c r="G1106" s="16"/>
      <c r="H1106" s="11"/>
      <c r="I1106" s="7"/>
      <c r="J1106" s="7" t="str">
        <f>IFERROR(LET(_xlpm.v,
VLOOKUP($I1106,'用語辞書'!$A:$B,COLUMN('用語辞書'!B$1),FALSE),
IF(_xlpm.v=0,"",_xlpm.v)
),"")</f>
        <v/>
      </c>
      <c r="K1106" s="17"/>
      <c r="L1106" s="17" t="str">
        <f>IF(OR(COUNTIF('クラス'!$A$1:$A$1267,$B1106)&gt;0,$B1106="",$M1106=""),"",True)</f>
        <v/>
      </c>
      <c r="M1106" s="1" t="str">
        <f t="shared" si="22"/>
        <v/>
      </c>
      <c r="N1106" s="1" t="s">
        <v>29</v>
      </c>
      <c r="O1106" s="1"/>
      <c r="P1106" s="11"/>
      <c r="Q1106" s="11"/>
      <c r="R1106" s="11"/>
      <c r="S1106" s="11"/>
      <c r="T1106" s="1"/>
      <c r="U1106" s="1"/>
      <c r="V1106" s="1"/>
      <c r="W1106" s="1"/>
      <c r="X1106" s="1"/>
      <c r="Y1106" s="1"/>
      <c r="Z1106" s="1"/>
    </row>
    <row r="1107" ht="18.0" customHeight="1" outlineLevel="2">
      <c r="A1107" s="1">
        <v>8.0</v>
      </c>
      <c r="B1107" s="1"/>
      <c r="C1107" s="1"/>
      <c r="D1107" s="1"/>
      <c r="E1107" s="14"/>
      <c r="F1107" s="15"/>
      <c r="G1107" s="16"/>
      <c r="H1107" s="11"/>
      <c r="I1107" s="7"/>
      <c r="J1107" s="7" t="str">
        <f>IFERROR(LET(_xlpm.v,
VLOOKUP($I1107,'用語辞書'!$A:$B,COLUMN('用語辞書'!B$1),FALSE),
IF(_xlpm.v=0,"",_xlpm.v)
),"")</f>
        <v/>
      </c>
      <c r="K1107" s="17"/>
      <c r="L1107" s="17" t="str">
        <f>IF(OR(COUNTIF('クラス'!$A$1:$A$1267,$B1107)&gt;0,$B1107="",$M1107=""),"",True)</f>
        <v/>
      </c>
      <c r="M1107" s="1" t="str">
        <f t="shared" si="22"/>
        <v>存在しない</v>
      </c>
      <c r="N1107" s="1" t="s">
        <v>29</v>
      </c>
      <c r="O1107" s="1"/>
      <c r="P1107" s="11"/>
      <c r="Q1107" s="11"/>
      <c r="R1107" s="11"/>
      <c r="S1107" s="11"/>
      <c r="T1107" s="1"/>
      <c r="U1107" s="1"/>
      <c r="V1107" s="1"/>
      <c r="W1107" s="1"/>
      <c r="X1107" s="1"/>
      <c r="Y1107" s="1"/>
      <c r="Z1107" s="1"/>
    </row>
    <row r="1108" ht="18.0" customHeight="1" outlineLevel="2">
      <c r="A1108" s="1">
        <v>9.0</v>
      </c>
      <c r="B1108" s="1"/>
      <c r="C1108" s="1"/>
      <c r="D1108" s="1"/>
      <c r="E1108" s="14"/>
      <c r="F1108" s="15"/>
      <c r="G1108" s="16"/>
      <c r="H1108" s="11"/>
      <c r="I1108" s="7"/>
      <c r="J1108" s="7" t="str">
        <f>IFERROR(LET(_xlpm.v,
VLOOKUP($I1108,'用語辞書'!$A:$B,COLUMN('用語辞書'!B$1),FALSE),
IF(_xlpm.v=0,"",_xlpm.v)
),"")</f>
        <v/>
      </c>
      <c r="K1108" s="17"/>
      <c r="L1108" s="17" t="str">
        <f>IF(OR(COUNTIF('クラス'!$A$1:$A$1267,$B1108)&gt;0,$B1108="",$M1108=""),"",True)</f>
        <v/>
      </c>
      <c r="M1108" s="1" t="str">
        <f t="shared" si="22"/>
        <v>存在しない</v>
      </c>
      <c r="N1108" s="1" t="s">
        <v>29</v>
      </c>
      <c r="O1108" s="1"/>
      <c r="P1108" s="11"/>
      <c r="Q1108" s="11"/>
      <c r="R1108" s="11"/>
      <c r="S1108" s="11"/>
      <c r="T1108" s="1"/>
      <c r="U1108" s="1"/>
      <c r="V1108" s="1"/>
      <c r="W1108" s="1"/>
      <c r="X1108" s="1"/>
      <c r="Y1108" s="1"/>
      <c r="Z1108" s="1"/>
    </row>
    <row r="1109" ht="18.0" customHeight="1" outlineLevel="2">
      <c r="A1109" s="1">
        <v>10.0</v>
      </c>
      <c r="B1109" s="1"/>
      <c r="C1109" s="1"/>
      <c r="D1109" s="1"/>
      <c r="E1109" s="14"/>
      <c r="F1109" s="15"/>
      <c r="G1109" s="16"/>
      <c r="H1109" s="11"/>
      <c r="I1109" s="7"/>
      <c r="J1109" s="7" t="str">
        <f>IFERROR(LET(_xlpm.v,
VLOOKUP($I1109,'用語辞書'!$A:$B,COLUMN('用語辞書'!B$1),FALSE),
IF(_xlpm.v=0,"",_xlpm.v)
),"")</f>
        <v/>
      </c>
      <c r="K1109" s="17"/>
      <c r="L1109" s="17" t="str">
        <f>IF(OR(COUNTIF('クラス'!$A$1:$A$1267,$B1109)&gt;0,$B1109="",$M1109=""),"",True)</f>
        <v/>
      </c>
      <c r="M1109" s="1" t="str">
        <f t="shared" si="22"/>
        <v>存在しない</v>
      </c>
      <c r="N1109" s="1" t="s">
        <v>29</v>
      </c>
      <c r="O1109" s="1"/>
      <c r="P1109" s="11"/>
      <c r="Q1109" s="11"/>
      <c r="R1109" s="11"/>
      <c r="S1109" s="11"/>
      <c r="T1109" s="1"/>
      <c r="U1109" s="1"/>
      <c r="V1109" s="1"/>
      <c r="W1109" s="1"/>
      <c r="X1109" s="1"/>
      <c r="Y1109" s="1"/>
      <c r="Z1109" s="1"/>
    </row>
    <row r="1110" ht="18.0" customHeight="1" outlineLevel="2">
      <c r="A1110" s="1"/>
      <c r="B1110" s="1"/>
      <c r="C1110" s="1"/>
      <c r="D1110" s="1"/>
      <c r="E1110" s="14"/>
      <c r="F1110" s="15"/>
      <c r="G1110" s="16"/>
      <c r="H1110" s="11"/>
      <c r="I1110" s="7"/>
      <c r="J1110" s="7" t="str">
        <f>IFERROR(LET(_xlpm.v,
VLOOKUP($I1110,'用語辞書'!$A:$B,COLUMN('用語辞書'!B$1),FALSE),
IF(_xlpm.v=0,"",_xlpm.v)
),"")</f>
        <v/>
      </c>
      <c r="K1110" s="17"/>
      <c r="L1110" s="17" t="str">
        <f>IF(OR(COUNTIF('クラス'!$A$1:$A$1267,$B1110)&gt;0,$B1110="",$M1110=""),"",True)</f>
        <v/>
      </c>
      <c r="M1110" s="1" t="str">
        <f t="shared" si="22"/>
        <v>存在しない</v>
      </c>
      <c r="N1110" s="1" t="s">
        <v>29</v>
      </c>
      <c r="O1110" s="1"/>
      <c r="P1110" s="11"/>
      <c r="Q1110" s="11"/>
      <c r="R1110" s="11"/>
      <c r="S1110" s="11"/>
      <c r="T1110" s="1"/>
      <c r="U1110" s="1"/>
      <c r="V1110" s="1"/>
      <c r="W1110" s="1"/>
      <c r="X1110" s="1"/>
      <c r="Y1110" s="1"/>
      <c r="Z1110" s="1"/>
    </row>
    <row r="1111" ht="18.0" customHeight="1" outlineLevel="1" collapsed="1">
      <c r="A1111" s="1"/>
      <c r="B1111" s="1"/>
      <c r="C1111" s="1"/>
      <c r="D1111" s="1"/>
      <c r="E1111" s="14"/>
      <c r="F1111" s="15"/>
      <c r="G1111" s="16"/>
      <c r="H1111" s="11"/>
      <c r="I1111" s="7"/>
      <c r="J1111" s="7" t="str">
        <f>IFERROR(LET(_xlpm.v,
VLOOKUP($I1111,'用語辞書'!$A:$B,COLUMN('用語辞書'!B$1),FALSE),
IF(_xlpm.v=0,"",_xlpm.v)
),"")</f>
        <v/>
      </c>
      <c r="K1111" s="17"/>
      <c r="L1111" s="17" t="str">
        <f>IF(OR(COUNTIF('クラス'!$A$1:$A$1267,$B1111)&gt;0,$B1111="",$M1111=""),"",True)</f>
        <v/>
      </c>
      <c r="M1111" s="1" t="str">
        <f t="shared" si="22"/>
        <v>存在しない</v>
      </c>
      <c r="N1111" s="1" t="s">
        <v>29</v>
      </c>
      <c r="O1111" s="1"/>
      <c r="P1111" s="11"/>
      <c r="Q1111" s="11"/>
      <c r="R1111" s="11"/>
      <c r="S1111" s="11"/>
      <c r="T1111" s="1"/>
      <c r="U1111" s="1"/>
      <c r="V1111" s="1"/>
      <c r="W1111" s="1"/>
      <c r="X1111" s="1"/>
      <c r="Y1111" s="1"/>
      <c r="Z1111" s="1"/>
    </row>
    <row r="1112" ht="18.0" customHeight="1" outlineLevel="1">
      <c r="A1112" s="1"/>
      <c r="B1112" s="1" t="s">
        <v>1516</v>
      </c>
      <c r="C1112" s="1"/>
      <c r="D1112" s="1"/>
      <c r="E1112" s="14"/>
      <c r="F1112" s="15"/>
      <c r="G1112" s="16"/>
      <c r="H1112" s="11"/>
      <c r="I1112" s="7"/>
      <c r="J1112" s="7" t="str">
        <f>IFERROR(LET(_xlpm.v,
VLOOKUP($I1112,'用語辞書'!$A:$B,COLUMN('用語辞書'!B$1),FALSE),
IF(_xlpm.v=0,"",_xlpm.v)
),"")</f>
        <v/>
      </c>
      <c r="K1112" s="17"/>
      <c r="L1112" s="17" t="str">
        <f>IF(OR(COUNTIF('クラス'!$A$1:$A$1267,$B1112)&gt;0,$B1112="",$M1112=""),"",True)</f>
        <v/>
      </c>
      <c r="M1112" s="1" t="str">
        <f t="shared" si="22"/>
        <v>存在しない</v>
      </c>
      <c r="N1112" s="1" t="s">
        <v>29</v>
      </c>
      <c r="O1112" s="1"/>
      <c r="P1112" s="11"/>
      <c r="Q1112" s="11"/>
      <c r="R1112" s="11"/>
      <c r="S1112" s="11"/>
      <c r="T1112" s="1"/>
      <c r="U1112" s="1"/>
      <c r="V1112" s="1"/>
      <c r="W1112" s="1"/>
      <c r="X1112" s="1"/>
      <c r="Y1112" s="1"/>
      <c r="Z1112" s="1"/>
    </row>
    <row r="1113" ht="18.0" customHeight="1" outlineLevel="2">
      <c r="A1113" s="1">
        <v>1.0</v>
      </c>
      <c r="B1113" s="1" t="s">
        <v>35</v>
      </c>
      <c r="C1113" s="1"/>
      <c r="D1113" s="1"/>
      <c r="E1113" s="14"/>
      <c r="F1113" s="15"/>
      <c r="G1113" s="16"/>
      <c r="H1113" s="11"/>
      <c r="I1113" s="7"/>
      <c r="J1113" s="7" t="str">
        <f>IFERROR(LET(_xlpm.v,
VLOOKUP($I1113,'用語辞書'!$A:$B,COLUMN('用語辞書'!B$1),FALSE),
IF(_xlpm.v=0,"",_xlpm.v)
),"")</f>
        <v/>
      </c>
      <c r="K1113" s="17"/>
      <c r="L1113" s="17" t="str">
        <f>IF(OR(COUNTIF('クラス'!$A$1:$A$1267,$B1113)&gt;0,$B1113="",$M1113=""),"",True)</f>
        <v/>
      </c>
      <c r="M1113" s="1" t="str">
        <f t="shared" si="22"/>
        <v/>
      </c>
      <c r="N1113" s="1" t="s">
        <v>29</v>
      </c>
      <c r="O1113" s="1"/>
      <c r="P1113" s="11"/>
      <c r="Q1113" s="11"/>
      <c r="R1113" s="11"/>
      <c r="S1113" s="11"/>
      <c r="T1113" s="1"/>
      <c r="U1113" s="1"/>
      <c r="V1113" s="1"/>
      <c r="W1113" s="1"/>
      <c r="X1113" s="1"/>
      <c r="Y1113" s="1"/>
      <c r="Z1113" s="1"/>
    </row>
    <row r="1114" ht="18.0" customHeight="1" outlineLevel="2">
      <c r="A1114" s="1">
        <v>2.0</v>
      </c>
      <c r="B1114" s="26" t="s">
        <v>39</v>
      </c>
      <c r="C1114" s="1"/>
      <c r="D1114" s="1"/>
      <c r="E1114" s="14"/>
      <c r="F1114" s="15"/>
      <c r="G1114" s="16"/>
      <c r="H1114" s="11"/>
      <c r="I1114" s="7"/>
      <c r="J1114" s="7" t="str">
        <f>IFERROR(LET(_xlpm.v,
VLOOKUP($I1114,'用語辞書'!$A:$B,COLUMN('用語辞書'!B$1),FALSE),
IF(_xlpm.v=0,"",_xlpm.v)
),"")</f>
        <v/>
      </c>
      <c r="K1114" s="17"/>
      <c r="L1114" s="17" t="str">
        <f>IF(OR(COUNTIF('クラス'!$A$1:$A$1267,$B1114)&gt;0,$B1114="",$M1114=""),"",True)</f>
        <v/>
      </c>
      <c r="M1114" s="1" t="str">
        <f t="shared" si="22"/>
        <v/>
      </c>
      <c r="N1114" s="1" t="s">
        <v>29</v>
      </c>
      <c r="O1114" s="1"/>
      <c r="P1114" s="11"/>
      <c r="Q1114" s="11"/>
      <c r="R1114" s="11"/>
      <c r="S1114" s="11"/>
      <c r="T1114" s="1"/>
      <c r="U1114" s="1"/>
      <c r="V1114" s="1"/>
      <c r="W1114" s="1"/>
      <c r="X1114" s="1"/>
      <c r="Y1114" s="1"/>
      <c r="Z1114" s="1"/>
    </row>
    <row r="1115" ht="18.0" customHeight="1" outlineLevel="2">
      <c r="A1115" s="1">
        <v>3.0</v>
      </c>
      <c r="B1115" s="26" t="s">
        <v>1517</v>
      </c>
      <c r="C1115" s="1"/>
      <c r="D1115" s="1"/>
      <c r="E1115" s="29" t="s">
        <v>33</v>
      </c>
      <c r="F1115" s="15"/>
      <c r="G1115" s="30">
        <v>70.0</v>
      </c>
      <c r="H1115" s="22" t="s">
        <v>1518</v>
      </c>
      <c r="I1115" s="7"/>
      <c r="J1115" s="7" t="str">
        <f>IFERROR(LET(_xlpm.v,
VLOOKUP($I1115,'用語辞書'!$A:$B,COLUMN('用語辞書'!B$1),FALSE),
IF(_xlpm.v=0,"",_xlpm.v)
),"")</f>
        <v/>
      </c>
      <c r="K1115" s="17"/>
      <c r="L1115" s="17" t="b">
        <f>IF(OR(COUNTIF('クラス'!$A$1:$A$1267,$B1115)&gt;0,$B1115="",$M1115=""),"",True)</f>
        <v>1</v>
      </c>
      <c r="M1115" s="1" t="str">
        <f t="shared" si="22"/>
        <v>存在しない</v>
      </c>
      <c r="N1115" s="1" t="s">
        <v>29</v>
      </c>
      <c r="O1115" s="1"/>
      <c r="P1115" s="11"/>
      <c r="Q1115" s="11"/>
      <c r="R1115" s="11"/>
      <c r="S1115" s="11"/>
      <c r="T1115" s="1"/>
      <c r="U1115" s="1"/>
      <c r="V1115" s="1"/>
      <c r="W1115" s="1"/>
      <c r="X1115" s="1"/>
      <c r="Y1115" s="1"/>
      <c r="Z1115" s="1"/>
    </row>
    <row r="1116" ht="18.0" customHeight="1" outlineLevel="2">
      <c r="A1116" s="1">
        <v>4.0</v>
      </c>
      <c r="B1116" s="26" t="s">
        <v>1519</v>
      </c>
      <c r="C1116" s="1"/>
      <c r="D1116" s="1"/>
      <c r="E1116" s="29" t="s">
        <v>55</v>
      </c>
      <c r="F1116" s="15"/>
      <c r="G1116" s="16"/>
      <c r="H1116" s="22" t="s">
        <v>1520</v>
      </c>
      <c r="I1116" s="7"/>
      <c r="J1116" s="7" t="str">
        <f>IFERROR(LET(_xlpm.v,
VLOOKUP($I1116,'用語辞書'!$A:$B,COLUMN('用語辞書'!B$1),FALSE),
IF(_xlpm.v=0,"",_xlpm.v)
),"")</f>
        <v/>
      </c>
      <c r="K1116" s="17"/>
      <c r="L1116" s="17" t="b">
        <f>IF(OR(COUNTIF('クラス'!$A$1:$A$1267,$B1116)&gt;0,$B1116="",$M1116=""),"",True)</f>
        <v>1</v>
      </c>
      <c r="M1116" s="1" t="str">
        <f t="shared" si="22"/>
        <v>存在しない</v>
      </c>
      <c r="N1116" s="1" t="s">
        <v>29</v>
      </c>
      <c r="O1116" s="1"/>
      <c r="P1116" s="11"/>
      <c r="Q1116" s="11"/>
      <c r="R1116" s="11"/>
      <c r="S1116" s="11"/>
      <c r="T1116" s="1"/>
      <c r="U1116" s="1"/>
      <c r="V1116" s="1"/>
      <c r="W1116" s="1"/>
      <c r="X1116" s="1"/>
      <c r="Y1116" s="1"/>
      <c r="Z1116" s="1"/>
    </row>
    <row r="1117" ht="18.0" customHeight="1" outlineLevel="2">
      <c r="A1117" s="1">
        <v>5.0</v>
      </c>
      <c r="B1117" s="26" t="s">
        <v>1500</v>
      </c>
      <c r="C1117" s="1"/>
      <c r="D1117" s="1"/>
      <c r="E1117" s="14"/>
      <c r="F1117" s="15"/>
      <c r="G1117" s="16"/>
      <c r="H1117" s="11"/>
      <c r="I1117" s="7"/>
      <c r="J1117" s="7" t="str">
        <f>IFERROR(LET(_xlpm.v,
VLOOKUP($I1117,'用語辞書'!$A:$B,COLUMN('用語辞書'!B$1),FALSE),
IF(_xlpm.v=0,"",_xlpm.v)
),"")</f>
        <v/>
      </c>
      <c r="K1117" s="17"/>
      <c r="L1117" s="17" t="str">
        <f>IF(OR(COUNTIF('クラス'!$A$1:$A$1267,$B1117)&gt;0,$B1117="",$M1117=""),"",True)</f>
        <v/>
      </c>
      <c r="M1117" s="1" t="str">
        <f t="shared" si="22"/>
        <v/>
      </c>
      <c r="N1117" s="1" t="s">
        <v>29</v>
      </c>
      <c r="O1117" s="1"/>
      <c r="P1117" s="11"/>
      <c r="Q1117" s="11"/>
      <c r="R1117" s="11"/>
      <c r="S1117" s="11"/>
      <c r="T1117" s="1"/>
      <c r="U1117" s="1"/>
      <c r="V1117" s="1"/>
      <c r="W1117" s="1"/>
      <c r="X1117" s="1"/>
      <c r="Y1117" s="1"/>
      <c r="Z1117" s="1"/>
    </row>
    <row r="1118" ht="18.0" customHeight="1" outlineLevel="2">
      <c r="A1118" s="1">
        <v>6.0</v>
      </c>
      <c r="B1118" s="1"/>
      <c r="C1118" s="1"/>
      <c r="D1118" s="1"/>
      <c r="E1118" s="14"/>
      <c r="F1118" s="15"/>
      <c r="G1118" s="16"/>
      <c r="H1118" s="11"/>
      <c r="I1118" s="7"/>
      <c r="J1118" s="7" t="str">
        <f>IFERROR(LET(_xlpm.v,
VLOOKUP($I1118,'用語辞書'!$A:$B,COLUMN('用語辞書'!B$1),FALSE),
IF(_xlpm.v=0,"",_xlpm.v)
),"")</f>
        <v/>
      </c>
      <c r="K1118" s="17"/>
      <c r="L1118" s="17" t="str">
        <f>IF(OR(COUNTIF('クラス'!$A$1:$A$1267,$B1118)&gt;0,$B1118="",$M1118=""),"",True)</f>
        <v/>
      </c>
      <c r="M1118" s="1" t="str">
        <f t="shared" si="22"/>
        <v>存在しない</v>
      </c>
      <c r="N1118" s="1" t="s">
        <v>29</v>
      </c>
      <c r="O1118" s="1"/>
      <c r="P1118" s="11"/>
      <c r="Q1118" s="11"/>
      <c r="R1118" s="11"/>
      <c r="S1118" s="11"/>
      <c r="T1118" s="1"/>
      <c r="U1118" s="1"/>
      <c r="V1118" s="1"/>
      <c r="W1118" s="1"/>
      <c r="X1118" s="1"/>
      <c r="Y1118" s="1"/>
      <c r="Z1118" s="1"/>
    </row>
    <row r="1119" ht="18.0" customHeight="1" outlineLevel="2">
      <c r="A1119" s="1">
        <v>7.0</v>
      </c>
      <c r="B1119" s="26" t="s">
        <v>1209</v>
      </c>
      <c r="C1119" s="1"/>
      <c r="D1119" s="1"/>
      <c r="E1119" s="14"/>
      <c r="F1119" s="15"/>
      <c r="G1119" s="16"/>
      <c r="H1119" s="11"/>
      <c r="I1119" s="7"/>
      <c r="J1119" s="7" t="str">
        <f>IFERROR(LET(_xlpm.v,
VLOOKUP($I1119,'用語辞書'!$A:$B,COLUMN('用語辞書'!B$1),FALSE),
IF(_xlpm.v=0,"",_xlpm.v)
),"")</f>
        <v/>
      </c>
      <c r="K1119" s="17"/>
      <c r="L1119" s="17" t="str">
        <f>IF(OR(COUNTIF('クラス'!$A$1:$A$1267,$B1119)&gt;0,$B1119="",$M1119=""),"",True)</f>
        <v/>
      </c>
      <c r="M1119" s="1" t="str">
        <f t="shared" si="22"/>
        <v/>
      </c>
      <c r="N1119" s="1" t="s">
        <v>29</v>
      </c>
      <c r="O1119" s="1"/>
      <c r="P1119" s="11"/>
      <c r="Q1119" s="11"/>
      <c r="R1119" s="11"/>
      <c r="S1119" s="11"/>
      <c r="T1119" s="1"/>
      <c r="U1119" s="1"/>
      <c r="V1119" s="1"/>
      <c r="W1119" s="1"/>
      <c r="X1119" s="1"/>
      <c r="Y1119" s="1"/>
      <c r="Z1119" s="1"/>
    </row>
    <row r="1120" ht="18.0" customHeight="1" outlineLevel="2">
      <c r="A1120" s="1">
        <v>8.0</v>
      </c>
      <c r="B1120" s="1"/>
      <c r="C1120" s="1"/>
      <c r="D1120" s="1"/>
      <c r="E1120" s="14"/>
      <c r="F1120" s="15"/>
      <c r="G1120" s="16"/>
      <c r="H1120" s="11"/>
      <c r="I1120" s="7"/>
      <c r="J1120" s="7" t="str">
        <f>IFERROR(LET(_xlpm.v,
VLOOKUP($I1120,'用語辞書'!$A:$B,COLUMN('用語辞書'!B$1),FALSE),
IF(_xlpm.v=0,"",_xlpm.v)
),"")</f>
        <v/>
      </c>
      <c r="K1120" s="17"/>
      <c r="L1120" s="17" t="str">
        <f>IF(OR(COUNTIF('クラス'!$A$1:$A$1267,$B1120)&gt;0,$B1120="",$M1120=""),"",True)</f>
        <v/>
      </c>
      <c r="M1120" s="1" t="str">
        <f t="shared" si="22"/>
        <v>存在しない</v>
      </c>
      <c r="N1120" s="1" t="s">
        <v>29</v>
      </c>
      <c r="O1120" s="1"/>
      <c r="P1120" s="11"/>
      <c r="Q1120" s="11"/>
      <c r="R1120" s="11"/>
      <c r="S1120" s="11"/>
      <c r="T1120" s="1"/>
      <c r="U1120" s="1"/>
      <c r="V1120" s="1"/>
      <c r="W1120" s="1"/>
      <c r="X1120" s="1"/>
      <c r="Y1120" s="1"/>
      <c r="Z1120" s="1"/>
    </row>
    <row r="1121" ht="18.0" customHeight="1" outlineLevel="2">
      <c r="A1121" s="1">
        <v>9.0</v>
      </c>
      <c r="B1121" s="1"/>
      <c r="C1121" s="1"/>
      <c r="D1121" s="1"/>
      <c r="E1121" s="14"/>
      <c r="F1121" s="15"/>
      <c r="G1121" s="16"/>
      <c r="H1121" s="11"/>
      <c r="I1121" s="7"/>
      <c r="J1121" s="7" t="str">
        <f>IFERROR(LET(_xlpm.v,
VLOOKUP($I1121,'用語辞書'!$A:$B,COLUMN('用語辞書'!B$1),FALSE),
IF(_xlpm.v=0,"",_xlpm.v)
),"")</f>
        <v/>
      </c>
      <c r="K1121" s="17"/>
      <c r="L1121" s="17" t="str">
        <f>IF(OR(COUNTIF('クラス'!$A$1:$A$1267,$B1121)&gt;0,$B1121="",$M1121=""),"",True)</f>
        <v/>
      </c>
      <c r="M1121" s="1" t="str">
        <f t="shared" si="22"/>
        <v>存在しない</v>
      </c>
      <c r="N1121" s="1" t="s">
        <v>29</v>
      </c>
      <c r="O1121" s="1"/>
      <c r="P1121" s="11"/>
      <c r="Q1121" s="11"/>
      <c r="R1121" s="11"/>
      <c r="S1121" s="11"/>
      <c r="T1121" s="1"/>
      <c r="U1121" s="1"/>
      <c r="V1121" s="1"/>
      <c r="W1121" s="1"/>
      <c r="X1121" s="1"/>
      <c r="Y1121" s="1"/>
      <c r="Z1121" s="1"/>
    </row>
    <row r="1122" ht="18.0" customHeight="1" outlineLevel="2">
      <c r="A1122" s="1">
        <v>10.0</v>
      </c>
      <c r="B1122" s="1"/>
      <c r="C1122" s="1"/>
      <c r="D1122" s="1"/>
      <c r="E1122" s="14"/>
      <c r="F1122" s="15"/>
      <c r="G1122" s="16"/>
      <c r="H1122" s="11"/>
      <c r="I1122" s="7"/>
      <c r="J1122" s="7" t="str">
        <f>IFERROR(LET(_xlpm.v,
VLOOKUP($I1122,'用語辞書'!$A:$B,COLUMN('用語辞書'!B$1),FALSE),
IF(_xlpm.v=0,"",_xlpm.v)
),"")</f>
        <v/>
      </c>
      <c r="K1122" s="17"/>
      <c r="L1122" s="17" t="str">
        <f>IF(OR(COUNTIF('クラス'!$A$1:$A$1267,$B1122)&gt;0,$B1122="",$M1122=""),"",True)</f>
        <v/>
      </c>
      <c r="M1122" s="1" t="str">
        <f t="shared" si="22"/>
        <v>存在しない</v>
      </c>
      <c r="N1122" s="1" t="s">
        <v>29</v>
      </c>
      <c r="O1122" s="1"/>
      <c r="P1122" s="11"/>
      <c r="Q1122" s="11"/>
      <c r="R1122" s="11"/>
      <c r="S1122" s="11"/>
      <c r="T1122" s="1"/>
      <c r="U1122" s="1"/>
      <c r="V1122" s="1"/>
      <c r="W1122" s="1"/>
      <c r="X1122" s="1"/>
      <c r="Y1122" s="1"/>
      <c r="Z1122" s="1"/>
    </row>
    <row r="1123" ht="18.0" customHeight="1" outlineLevel="2">
      <c r="A1123" s="1"/>
      <c r="B1123" s="1"/>
      <c r="C1123" s="1"/>
      <c r="D1123" s="1"/>
      <c r="E1123" s="14"/>
      <c r="F1123" s="15"/>
      <c r="G1123" s="16"/>
      <c r="H1123" s="11"/>
      <c r="I1123" s="7"/>
      <c r="J1123" s="7" t="str">
        <f>IFERROR(LET(_xlpm.v,
VLOOKUP($I1123,'用語辞書'!$A:$B,COLUMN('用語辞書'!B$1),FALSE),
IF(_xlpm.v=0,"",_xlpm.v)
),"")</f>
        <v/>
      </c>
      <c r="K1123" s="17"/>
      <c r="L1123" s="17" t="str">
        <f>IF(OR(COUNTIF('クラス'!$A$1:$A$1267,$B1123)&gt;0,$B1123="",$M1123=""),"",True)</f>
        <v/>
      </c>
      <c r="M1123" s="1" t="str">
        <f t="shared" si="22"/>
        <v>存在しない</v>
      </c>
      <c r="N1123" s="1" t="s">
        <v>29</v>
      </c>
      <c r="O1123" s="1"/>
      <c r="P1123" s="11"/>
      <c r="Q1123" s="11"/>
      <c r="R1123" s="11"/>
      <c r="S1123" s="11"/>
      <c r="T1123" s="1"/>
      <c r="U1123" s="1"/>
      <c r="V1123" s="1"/>
      <c r="W1123" s="1"/>
      <c r="X1123" s="1"/>
      <c r="Y1123" s="1"/>
      <c r="Z1123" s="1"/>
    </row>
    <row r="1124" ht="18.0" customHeight="1" outlineLevel="1" collapsed="1">
      <c r="A1124" s="1"/>
      <c r="B1124" s="1"/>
      <c r="C1124" s="1"/>
      <c r="D1124" s="1"/>
      <c r="E1124" s="14"/>
      <c r="F1124" s="15"/>
      <c r="G1124" s="16"/>
      <c r="H1124" s="11"/>
      <c r="I1124" s="7"/>
      <c r="J1124" s="7" t="str">
        <f>IFERROR(LET(_xlpm.v,
VLOOKUP($I1124,'用語辞書'!$A:$B,COLUMN('用語辞書'!B$1),FALSE),
IF(_xlpm.v=0,"",_xlpm.v)
),"")</f>
        <v/>
      </c>
      <c r="K1124" s="17"/>
      <c r="L1124" s="17" t="str">
        <f>IF(OR(COUNTIF('クラス'!$A$1:$A$1267,$B1124)&gt;0,$B1124="",$M1124=""),"",True)</f>
        <v/>
      </c>
      <c r="M1124" s="1" t="str">
        <f t="shared" si="22"/>
        <v>存在しない</v>
      </c>
      <c r="N1124" s="1" t="s">
        <v>29</v>
      </c>
      <c r="O1124" s="1"/>
      <c r="P1124" s="11"/>
      <c r="Q1124" s="11"/>
      <c r="R1124" s="11"/>
      <c r="S1124" s="11"/>
      <c r="T1124" s="1"/>
      <c r="U1124" s="1"/>
      <c r="V1124" s="1"/>
      <c r="W1124" s="1"/>
      <c r="X1124" s="1"/>
      <c r="Y1124" s="1"/>
      <c r="Z1124" s="1"/>
    </row>
    <row r="1125" ht="18.0" customHeight="1" outlineLevel="1">
      <c r="A1125" s="1"/>
      <c r="B1125" s="1"/>
      <c r="C1125" s="1"/>
      <c r="D1125" s="1"/>
      <c r="E1125" s="14"/>
      <c r="F1125" s="15"/>
      <c r="G1125" s="16"/>
      <c r="H1125" s="11"/>
      <c r="I1125" s="7"/>
      <c r="J1125" s="7" t="str">
        <f>IFERROR(LET(_xlpm.v,
VLOOKUP($I1125,'用語辞書'!$A:$B,COLUMN('用語辞書'!B$1),FALSE),
IF(_xlpm.v=0,"",_xlpm.v)
),"")</f>
        <v/>
      </c>
      <c r="K1125" s="17"/>
      <c r="L1125" s="17" t="str">
        <f>IF(OR(COUNTIF('クラス'!$A$1:$A$1267,$B1125)&gt;0,$B1125="",$M1125=""),"",True)</f>
        <v/>
      </c>
      <c r="M1125" s="1" t="str">
        <f t="shared" si="22"/>
        <v>存在しない</v>
      </c>
      <c r="N1125" s="1" t="s">
        <v>29</v>
      </c>
      <c r="O1125" s="1"/>
      <c r="P1125" s="11"/>
      <c r="Q1125" s="11"/>
      <c r="R1125" s="11"/>
      <c r="S1125" s="11"/>
      <c r="T1125" s="1"/>
      <c r="U1125" s="1"/>
      <c r="V1125" s="1"/>
      <c r="W1125" s="1"/>
      <c r="X1125" s="1"/>
      <c r="Y1125" s="1"/>
      <c r="Z1125" s="1"/>
    </row>
    <row r="1126" ht="18.0" customHeight="1" outlineLevel="1">
      <c r="A1126" s="1"/>
      <c r="B1126" s="26" t="s">
        <v>1521</v>
      </c>
      <c r="C1126" s="1"/>
      <c r="D1126" s="1"/>
      <c r="E1126" s="14"/>
      <c r="F1126" s="15"/>
      <c r="G1126" s="16"/>
      <c r="H1126" s="11"/>
      <c r="I1126" s="7"/>
      <c r="J1126" s="7" t="str">
        <f>IFERROR(LET(_xlpm.v,
VLOOKUP($I1126,'用語辞書'!$A:$B,COLUMN('用語辞書'!B$1),FALSE),
IF(_xlpm.v=0,"",_xlpm.v)
),"")</f>
        <v/>
      </c>
      <c r="K1126" s="17"/>
      <c r="L1126" s="17" t="str">
        <f>IF(OR(COUNTIF('クラス'!$A$1:$A$1267,$B1126)&gt;0,$B1126="",$M1126=""),"",True)</f>
        <v/>
      </c>
      <c r="M1126" s="1" t="str">
        <f>IF(COUNTIF($B$1:$C1661, $B1126), "", "存在しない")</f>
        <v/>
      </c>
      <c r="N1126" s="1" t="s">
        <v>29</v>
      </c>
      <c r="O1126" s="1"/>
      <c r="P1126" s="11"/>
      <c r="Q1126" s="11"/>
      <c r="R1126" s="11"/>
      <c r="S1126" s="11"/>
      <c r="T1126" s="1"/>
      <c r="U1126" s="1"/>
      <c r="V1126" s="1"/>
      <c r="W1126" s="1"/>
      <c r="X1126" s="1"/>
      <c r="Y1126" s="1"/>
      <c r="Z1126" s="1"/>
    </row>
    <row r="1127" ht="18.0" customHeight="1" outlineLevel="2">
      <c r="A1127" s="1">
        <v>1.0</v>
      </c>
      <c r="B1127" s="26" t="s">
        <v>1522</v>
      </c>
      <c r="C1127" s="1"/>
      <c r="D1127" s="1"/>
      <c r="E1127" s="29" t="s">
        <v>33</v>
      </c>
      <c r="F1127" s="15"/>
      <c r="G1127" s="30">
        <v>40.0</v>
      </c>
      <c r="H1127" s="22" t="s">
        <v>1523</v>
      </c>
      <c r="I1127" s="7"/>
      <c r="J1127" s="7" t="str">
        <f>IFERROR(LET(_xlpm.v,
VLOOKUP($I1127,'用語辞書'!$A:$B,COLUMN('用語辞書'!B$1),FALSE),
IF(_xlpm.v=0,"",_xlpm.v)
),"")</f>
        <v/>
      </c>
      <c r="K1127" s="17"/>
      <c r="L1127" s="17" t="b">
        <f>IF(OR(COUNTIF('クラス'!$A$1:$A$1267,$B1127)&gt;0,$B1127="",$M1127=""),"",True)</f>
        <v>1</v>
      </c>
      <c r="M1127" s="1" t="str">
        <f t="shared" ref="M1127:M1150" si="23">IF(COUNTIF($B$1:$C1126, $B1127), "", "存在しない")</f>
        <v>存在しない</v>
      </c>
      <c r="N1127" s="1" t="s">
        <v>29</v>
      </c>
      <c r="O1127" s="1"/>
      <c r="P1127" s="11"/>
      <c r="Q1127" s="11"/>
      <c r="R1127" s="11"/>
      <c r="S1127" s="11"/>
      <c r="T1127" s="1"/>
      <c r="U1127" s="1"/>
      <c r="V1127" s="1"/>
      <c r="W1127" s="1"/>
      <c r="X1127" s="1"/>
      <c r="Y1127" s="1"/>
      <c r="Z1127" s="1"/>
    </row>
    <row r="1128" ht="18.0" customHeight="1" outlineLevel="2">
      <c r="A1128" s="1">
        <v>2.0</v>
      </c>
      <c r="B1128" s="26" t="s">
        <v>1524</v>
      </c>
      <c r="C1128" s="1"/>
      <c r="D1128" s="1"/>
      <c r="E1128" s="29" t="s">
        <v>33</v>
      </c>
      <c r="F1128" s="15"/>
      <c r="G1128" s="30">
        <v>60.0</v>
      </c>
      <c r="H1128" s="22" t="s">
        <v>1525</v>
      </c>
      <c r="I1128" s="7"/>
      <c r="J1128" s="7" t="str">
        <f>IFERROR(LET(_xlpm.v,
VLOOKUP($I1128,'用語辞書'!$A:$B,COLUMN('用語辞書'!B$1),FALSE),
IF(_xlpm.v=0,"",_xlpm.v)
),"")</f>
        <v/>
      </c>
      <c r="K1128" s="17"/>
      <c r="L1128" s="17" t="b">
        <f>IF(OR(COUNTIF('クラス'!$A$1:$A$1267,$B1128)&gt;0,$B1128="",$M1128=""),"",True)</f>
        <v>1</v>
      </c>
      <c r="M1128" s="1" t="str">
        <f t="shared" si="23"/>
        <v>存在しない</v>
      </c>
      <c r="N1128" s="1" t="s">
        <v>29</v>
      </c>
      <c r="O1128" s="1"/>
      <c r="P1128" s="11"/>
      <c r="Q1128" s="11"/>
      <c r="R1128" s="11"/>
      <c r="S1128" s="11"/>
      <c r="T1128" s="1"/>
      <c r="U1128" s="1"/>
      <c r="V1128" s="1"/>
      <c r="W1128" s="1"/>
      <c r="X1128" s="1"/>
      <c r="Y1128" s="1"/>
      <c r="Z1128" s="1"/>
    </row>
    <row r="1129" ht="18.0" customHeight="1" outlineLevel="2">
      <c r="A1129" s="1">
        <v>3.0</v>
      </c>
      <c r="B1129" s="26" t="s">
        <v>1526</v>
      </c>
      <c r="C1129" s="1"/>
      <c r="D1129" s="1"/>
      <c r="E1129" s="29" t="s">
        <v>55</v>
      </c>
      <c r="F1129" s="15"/>
      <c r="G1129" s="16"/>
      <c r="H1129" s="22" t="s">
        <v>1527</v>
      </c>
      <c r="I1129" s="7"/>
      <c r="J1129" s="7" t="str">
        <f>IFERROR(LET(_xlpm.v,
VLOOKUP($I1129,'用語辞書'!$A:$B,COLUMN('用語辞書'!B$1),FALSE),
IF(_xlpm.v=0,"",_xlpm.v)
),"")</f>
        <v/>
      </c>
      <c r="K1129" s="17"/>
      <c r="L1129" s="17" t="b">
        <f>IF(OR(COUNTIF('クラス'!$A$1:$A$1267,$B1129)&gt;0,$B1129="",$M1129=""),"",True)</f>
        <v>1</v>
      </c>
      <c r="M1129" s="1" t="str">
        <f t="shared" si="23"/>
        <v>存在しない</v>
      </c>
      <c r="N1129" s="1" t="s">
        <v>29</v>
      </c>
      <c r="O1129" s="1"/>
      <c r="P1129" s="11"/>
      <c r="Q1129" s="11"/>
      <c r="R1129" s="11"/>
      <c r="S1129" s="11"/>
      <c r="T1129" s="1"/>
      <c r="U1129" s="1"/>
      <c r="V1129" s="1"/>
      <c r="W1129" s="1"/>
      <c r="X1129" s="1"/>
      <c r="Y1129" s="1"/>
      <c r="Z1129" s="1"/>
    </row>
    <row r="1130" ht="18.0" customHeight="1" outlineLevel="2">
      <c r="A1130" s="1">
        <v>4.0</v>
      </c>
      <c r="B1130" s="26" t="s">
        <v>1243</v>
      </c>
      <c r="C1130" s="1"/>
      <c r="D1130" s="1"/>
      <c r="E1130" s="14"/>
      <c r="F1130" s="15"/>
      <c r="G1130" s="16"/>
      <c r="H1130" s="11"/>
      <c r="I1130" s="7"/>
      <c r="J1130" s="7" t="str">
        <f>IFERROR(LET(_xlpm.v,
VLOOKUP($I1130,'用語辞書'!$A:$B,COLUMN('用語辞書'!B$1),FALSE),
IF(_xlpm.v=0,"",_xlpm.v)
),"")</f>
        <v/>
      </c>
      <c r="K1130" s="17"/>
      <c r="L1130" s="17" t="str">
        <f>IF(OR(COUNTIF('クラス'!$A$1:$A$1267,$B1130)&gt;0,$B1130="",$M1130=""),"",True)</f>
        <v/>
      </c>
      <c r="M1130" s="1" t="str">
        <f t="shared" si="23"/>
        <v/>
      </c>
      <c r="N1130" s="1" t="s">
        <v>29</v>
      </c>
      <c r="O1130" s="1"/>
      <c r="P1130" s="11"/>
      <c r="Q1130" s="11"/>
      <c r="R1130" s="11"/>
      <c r="S1130" s="11"/>
      <c r="T1130" s="1"/>
      <c r="U1130" s="1"/>
      <c r="V1130" s="1"/>
      <c r="W1130" s="1"/>
      <c r="X1130" s="1"/>
      <c r="Y1130" s="1"/>
      <c r="Z1130" s="1"/>
    </row>
    <row r="1131" ht="18.0" customHeight="1" outlineLevel="2">
      <c r="A1131" s="1">
        <v>5.0</v>
      </c>
      <c r="B1131" s="26" t="s">
        <v>1500</v>
      </c>
      <c r="C1131" s="1"/>
      <c r="D1131" s="1"/>
      <c r="E1131" s="14"/>
      <c r="F1131" s="15"/>
      <c r="G1131" s="16"/>
      <c r="H1131" s="11"/>
      <c r="I1131" s="7"/>
      <c r="J1131" s="7" t="str">
        <f>IFERROR(LET(_xlpm.v,
VLOOKUP($I1131,'用語辞書'!$A:$B,COLUMN('用語辞書'!B$1),FALSE),
IF(_xlpm.v=0,"",_xlpm.v)
),"")</f>
        <v/>
      </c>
      <c r="K1131" s="17"/>
      <c r="L1131" s="17" t="str">
        <f>IF(OR(COUNTIF('クラス'!$A$1:$A$1267,$B1131)&gt;0,$B1131="",$M1131=""),"",True)</f>
        <v/>
      </c>
      <c r="M1131" s="1" t="str">
        <f t="shared" si="23"/>
        <v/>
      </c>
      <c r="N1131" s="1" t="s">
        <v>29</v>
      </c>
      <c r="O1131" s="1"/>
      <c r="P1131" s="11"/>
      <c r="Q1131" s="11"/>
      <c r="R1131" s="11"/>
      <c r="S1131" s="11"/>
      <c r="T1131" s="1"/>
      <c r="U1131" s="1"/>
      <c r="V1131" s="1"/>
      <c r="W1131" s="1"/>
      <c r="X1131" s="1"/>
      <c r="Y1131" s="1"/>
      <c r="Z1131" s="1"/>
    </row>
    <row r="1132" ht="18.0" customHeight="1" outlineLevel="2">
      <c r="A1132" s="1">
        <v>6.0</v>
      </c>
      <c r="B1132" s="1"/>
      <c r="C1132" s="1"/>
      <c r="D1132" s="1"/>
      <c r="E1132" s="14"/>
      <c r="F1132" s="15"/>
      <c r="G1132" s="16"/>
      <c r="H1132" s="11"/>
      <c r="I1132" s="7"/>
      <c r="J1132" s="7" t="str">
        <f>IFERROR(LET(_xlpm.v,
VLOOKUP($I1132,'用語辞書'!$A:$B,COLUMN('用語辞書'!B$1),FALSE),
IF(_xlpm.v=0,"",_xlpm.v)
),"")</f>
        <v/>
      </c>
      <c r="K1132" s="17"/>
      <c r="L1132" s="17" t="str">
        <f>IF(OR(COUNTIF('クラス'!$A$1:$A$1267,$B1132)&gt;0,$B1132="",$M1132=""),"",True)</f>
        <v/>
      </c>
      <c r="M1132" s="1" t="str">
        <f t="shared" si="23"/>
        <v>存在しない</v>
      </c>
      <c r="N1132" s="1" t="s">
        <v>29</v>
      </c>
      <c r="O1132" s="1"/>
      <c r="P1132" s="11"/>
      <c r="Q1132" s="11"/>
      <c r="R1132" s="11"/>
      <c r="S1132" s="11"/>
      <c r="T1132" s="1"/>
      <c r="U1132" s="1"/>
      <c r="V1132" s="1"/>
      <c r="W1132" s="1"/>
      <c r="X1132" s="1"/>
      <c r="Y1132" s="1"/>
      <c r="Z1132" s="1"/>
    </row>
    <row r="1133" ht="18.0" customHeight="1" outlineLevel="2">
      <c r="A1133" s="1">
        <v>7.0</v>
      </c>
      <c r="B1133" s="26" t="s">
        <v>1209</v>
      </c>
      <c r="C1133" s="1"/>
      <c r="D1133" s="1"/>
      <c r="E1133" s="14"/>
      <c r="F1133" s="15"/>
      <c r="G1133" s="16"/>
      <c r="H1133" s="11"/>
      <c r="I1133" s="7"/>
      <c r="J1133" s="7" t="str">
        <f>IFERROR(LET(_xlpm.v,
VLOOKUP($I1133,'用語辞書'!$A:$B,COLUMN('用語辞書'!B$1),FALSE),
IF(_xlpm.v=0,"",_xlpm.v)
),"")</f>
        <v/>
      </c>
      <c r="K1133" s="17"/>
      <c r="L1133" s="17" t="str">
        <f>IF(OR(COUNTIF('クラス'!$A$1:$A$1267,$B1133)&gt;0,$B1133="",$M1133=""),"",True)</f>
        <v/>
      </c>
      <c r="M1133" s="1" t="str">
        <f t="shared" si="23"/>
        <v/>
      </c>
      <c r="N1133" s="1" t="s">
        <v>29</v>
      </c>
      <c r="O1133" s="1"/>
      <c r="P1133" s="11"/>
      <c r="Q1133" s="11"/>
      <c r="R1133" s="11"/>
      <c r="S1133" s="11"/>
      <c r="T1133" s="1"/>
      <c r="U1133" s="1"/>
      <c r="V1133" s="1"/>
      <c r="W1133" s="1"/>
      <c r="X1133" s="1"/>
      <c r="Y1133" s="1"/>
      <c r="Z1133" s="1"/>
    </row>
    <row r="1134" ht="18.0" customHeight="1" outlineLevel="2">
      <c r="A1134" s="1">
        <v>8.0</v>
      </c>
      <c r="B1134" s="1"/>
      <c r="C1134" s="1"/>
      <c r="D1134" s="1"/>
      <c r="E1134" s="14"/>
      <c r="F1134" s="15"/>
      <c r="G1134" s="16"/>
      <c r="H1134" s="11"/>
      <c r="I1134" s="7"/>
      <c r="J1134" s="7" t="str">
        <f>IFERROR(LET(_xlpm.v,
VLOOKUP($I1134,'用語辞書'!$A:$B,COLUMN('用語辞書'!B$1),FALSE),
IF(_xlpm.v=0,"",_xlpm.v)
),"")</f>
        <v/>
      </c>
      <c r="K1134" s="17"/>
      <c r="L1134" s="17" t="str">
        <f>IF(OR(COUNTIF('クラス'!$A$1:$A$1267,$B1134)&gt;0,$B1134="",$M1134=""),"",True)</f>
        <v/>
      </c>
      <c r="M1134" s="1" t="str">
        <f t="shared" si="23"/>
        <v>存在しない</v>
      </c>
      <c r="N1134" s="1" t="s">
        <v>29</v>
      </c>
      <c r="O1134" s="1"/>
      <c r="P1134" s="11"/>
      <c r="Q1134" s="11"/>
      <c r="R1134" s="11"/>
      <c r="S1134" s="11"/>
      <c r="T1134" s="1"/>
      <c r="U1134" s="1"/>
      <c r="V1134" s="1"/>
      <c r="W1134" s="1"/>
      <c r="X1134" s="1"/>
      <c r="Y1134" s="1"/>
      <c r="Z1134" s="1"/>
    </row>
    <row r="1135" ht="18.0" customHeight="1" outlineLevel="2">
      <c r="A1135" s="1">
        <v>9.0</v>
      </c>
      <c r="B1135" s="1"/>
      <c r="C1135" s="1"/>
      <c r="D1135" s="1"/>
      <c r="E1135" s="14"/>
      <c r="F1135" s="15"/>
      <c r="G1135" s="16"/>
      <c r="H1135" s="11"/>
      <c r="I1135" s="7"/>
      <c r="J1135" s="7" t="str">
        <f>IFERROR(LET(_xlpm.v,
VLOOKUP($I1135,'用語辞書'!$A:$B,COLUMN('用語辞書'!B$1),FALSE),
IF(_xlpm.v=0,"",_xlpm.v)
),"")</f>
        <v/>
      </c>
      <c r="K1135" s="17"/>
      <c r="L1135" s="17" t="str">
        <f>IF(OR(COUNTIF('クラス'!$A$1:$A$1267,$B1135)&gt;0,$B1135="",$M1135=""),"",True)</f>
        <v/>
      </c>
      <c r="M1135" s="1" t="str">
        <f t="shared" si="23"/>
        <v>存在しない</v>
      </c>
      <c r="N1135" s="1" t="s">
        <v>29</v>
      </c>
      <c r="O1135" s="1"/>
      <c r="P1135" s="11"/>
      <c r="Q1135" s="11"/>
      <c r="R1135" s="11"/>
      <c r="S1135" s="11"/>
      <c r="T1135" s="1"/>
      <c r="U1135" s="1"/>
      <c r="V1135" s="1"/>
      <c r="W1135" s="1"/>
      <c r="X1135" s="1"/>
      <c r="Y1135" s="1"/>
      <c r="Z1135" s="1"/>
    </row>
    <row r="1136" ht="18.0" customHeight="1" outlineLevel="2">
      <c r="A1136" s="1">
        <v>10.0</v>
      </c>
      <c r="B1136" s="1"/>
      <c r="C1136" s="1"/>
      <c r="D1136" s="1"/>
      <c r="E1136" s="14"/>
      <c r="F1136" s="15"/>
      <c r="G1136" s="16"/>
      <c r="H1136" s="11"/>
      <c r="I1136" s="7"/>
      <c r="J1136" s="7" t="str">
        <f>IFERROR(LET(_xlpm.v,
VLOOKUP($I1136,'用語辞書'!$A:$B,COLUMN('用語辞書'!B$1),FALSE),
IF(_xlpm.v=0,"",_xlpm.v)
),"")</f>
        <v/>
      </c>
      <c r="K1136" s="17"/>
      <c r="L1136" s="17" t="str">
        <f>IF(OR(COUNTIF('クラス'!$A$1:$A$1267,$B1136)&gt;0,$B1136="",$M1136=""),"",True)</f>
        <v/>
      </c>
      <c r="M1136" s="1" t="str">
        <f t="shared" si="23"/>
        <v>存在しない</v>
      </c>
      <c r="N1136" s="1" t="s">
        <v>29</v>
      </c>
      <c r="O1136" s="1"/>
      <c r="P1136" s="11"/>
      <c r="Q1136" s="11"/>
      <c r="R1136" s="11"/>
      <c r="S1136" s="11"/>
      <c r="T1136" s="1"/>
      <c r="U1136" s="1"/>
      <c r="V1136" s="1"/>
      <c r="W1136" s="1"/>
      <c r="X1136" s="1"/>
      <c r="Y1136" s="1"/>
      <c r="Z1136" s="1"/>
    </row>
    <row r="1137" ht="18.0" customHeight="1" outlineLevel="1" collapsed="1">
      <c r="A1137" s="1"/>
      <c r="B1137" s="1"/>
      <c r="C1137" s="1"/>
      <c r="D1137" s="1"/>
      <c r="E1137" s="14"/>
      <c r="F1137" s="15"/>
      <c r="G1137" s="16"/>
      <c r="H1137" s="11"/>
      <c r="I1137" s="7"/>
      <c r="J1137" s="7" t="str">
        <f>IFERROR(LET(_xlpm.v,
VLOOKUP($I1137,'用語辞書'!$A:$B,COLUMN('用語辞書'!B$1),FALSE),
IF(_xlpm.v=0,"",_xlpm.v)
),"")</f>
        <v/>
      </c>
      <c r="K1137" s="17"/>
      <c r="L1137" s="17" t="str">
        <f>IF(OR(COUNTIF('クラス'!$A$1:$A$1267,$B1137)&gt;0,$B1137="",$M1137=""),"",True)</f>
        <v/>
      </c>
      <c r="M1137" s="1" t="str">
        <f t="shared" si="23"/>
        <v>存在しない</v>
      </c>
      <c r="N1137" s="1" t="s">
        <v>29</v>
      </c>
      <c r="O1137" s="1"/>
      <c r="P1137" s="11"/>
      <c r="Q1137" s="11"/>
      <c r="R1137" s="11"/>
      <c r="S1137" s="11"/>
      <c r="T1137" s="1"/>
      <c r="U1137" s="1"/>
      <c r="V1137" s="1"/>
      <c r="W1137" s="1"/>
      <c r="X1137" s="1"/>
      <c r="Y1137" s="1"/>
      <c r="Z1137" s="1"/>
    </row>
    <row r="1138" ht="18.0" customHeight="1" outlineLevel="1">
      <c r="A1138" s="1"/>
      <c r="B1138" s="1"/>
      <c r="C1138" s="1"/>
      <c r="D1138" s="1"/>
      <c r="E1138" s="14"/>
      <c r="F1138" s="15"/>
      <c r="G1138" s="16"/>
      <c r="H1138" s="11"/>
      <c r="I1138" s="7"/>
      <c r="J1138" s="7" t="str">
        <f>IFERROR(LET(_xlpm.v,
VLOOKUP($I1138,'用語辞書'!$A:$B,COLUMN('用語辞書'!B$1),FALSE),
IF(_xlpm.v=0,"",_xlpm.v)
),"")</f>
        <v/>
      </c>
      <c r="K1138" s="17"/>
      <c r="L1138" s="17" t="str">
        <f>IF(OR(COUNTIF('クラス'!$A$1:$A$1267,$B1138)&gt;0,$B1138="",$M1138=""),"",True)</f>
        <v/>
      </c>
      <c r="M1138" s="1" t="str">
        <f t="shared" si="23"/>
        <v>存在しない</v>
      </c>
      <c r="N1138" s="1" t="s">
        <v>29</v>
      </c>
      <c r="O1138" s="1"/>
      <c r="P1138" s="11"/>
      <c r="Q1138" s="11"/>
      <c r="R1138" s="11"/>
      <c r="S1138" s="11"/>
      <c r="T1138" s="1"/>
      <c r="U1138" s="1"/>
      <c r="V1138" s="1"/>
      <c r="W1138" s="1"/>
      <c r="X1138" s="1"/>
      <c r="Y1138" s="1"/>
      <c r="Z1138" s="1"/>
    </row>
    <row r="1139" ht="18.0" customHeight="1" outlineLevel="1">
      <c r="A1139" s="1"/>
      <c r="B1139" s="26" t="s">
        <v>1528</v>
      </c>
      <c r="C1139" s="1"/>
      <c r="D1139" s="1"/>
      <c r="E1139" s="14"/>
      <c r="F1139" s="15"/>
      <c r="G1139" s="16"/>
      <c r="H1139" s="11"/>
      <c r="I1139" s="7"/>
      <c r="J1139" s="7" t="str">
        <f>IFERROR(LET(_xlpm.v,
VLOOKUP($I1139,'用語辞書'!$A:$B,COLUMN('用語辞書'!B$1),FALSE),
IF(_xlpm.v=0,"",_xlpm.v)
),"")</f>
        <v/>
      </c>
      <c r="K1139" s="17"/>
      <c r="L1139" s="17" t="str">
        <f>IF(OR(COUNTIF('クラス'!$A$1:$A$1267,$B1139)&gt;0,$B1139="",$M1139=""),"",True)</f>
        <v/>
      </c>
      <c r="M1139" s="1" t="str">
        <f t="shared" si="23"/>
        <v>存在しない</v>
      </c>
      <c r="N1139" s="1" t="s">
        <v>29</v>
      </c>
      <c r="O1139" s="1"/>
      <c r="P1139" s="11"/>
      <c r="Q1139" s="11"/>
      <c r="R1139" s="11"/>
      <c r="S1139" s="11"/>
      <c r="T1139" s="1"/>
      <c r="U1139" s="1"/>
      <c r="V1139" s="1"/>
      <c r="W1139" s="1"/>
      <c r="X1139" s="1"/>
      <c r="Y1139" s="1"/>
      <c r="Z1139" s="1"/>
    </row>
    <row r="1140" ht="18.0" customHeight="1" outlineLevel="2">
      <c r="A1140" s="1">
        <v>1.0</v>
      </c>
      <c r="B1140" s="26" t="s">
        <v>35</v>
      </c>
      <c r="C1140" s="1"/>
      <c r="D1140" s="1"/>
      <c r="E1140" s="14"/>
      <c r="F1140" s="15"/>
      <c r="G1140" s="16"/>
      <c r="H1140" s="11"/>
      <c r="I1140" s="7"/>
      <c r="J1140" s="7" t="str">
        <f>IFERROR(LET(_xlpm.v,
VLOOKUP($I1140,'用語辞書'!$A:$B,COLUMN('用語辞書'!B$1),FALSE),
IF(_xlpm.v=0,"",_xlpm.v)
),"")</f>
        <v/>
      </c>
      <c r="K1140" s="17"/>
      <c r="L1140" s="17" t="str">
        <f>IF(OR(COUNTIF('クラス'!$A$1:$A$1267,$B1140)&gt;0,$B1140="",$M1140=""),"",True)</f>
        <v/>
      </c>
      <c r="M1140" s="1" t="str">
        <f t="shared" si="23"/>
        <v/>
      </c>
      <c r="N1140" s="1" t="s">
        <v>29</v>
      </c>
      <c r="O1140" s="1"/>
      <c r="P1140" s="11"/>
      <c r="Q1140" s="11"/>
      <c r="R1140" s="11"/>
      <c r="S1140" s="11"/>
      <c r="T1140" s="1"/>
      <c r="U1140" s="1"/>
      <c r="V1140" s="1"/>
      <c r="W1140" s="1"/>
      <c r="X1140" s="1"/>
      <c r="Y1140" s="1"/>
      <c r="Z1140" s="1"/>
    </row>
    <row r="1141" ht="18.0" customHeight="1" outlineLevel="2">
      <c r="A1141" s="1">
        <v>2.0</v>
      </c>
      <c r="B1141" s="26" t="s">
        <v>1529</v>
      </c>
      <c r="C1141" s="1"/>
      <c r="D1141" s="1"/>
      <c r="E1141" s="29" t="s">
        <v>33</v>
      </c>
      <c r="F1141" s="15"/>
      <c r="G1141" s="30">
        <v>60.0</v>
      </c>
      <c r="H1141" s="22" t="s">
        <v>1530</v>
      </c>
      <c r="I1141" s="7"/>
      <c r="J1141" s="7" t="str">
        <f>IFERROR(LET(_xlpm.v,
VLOOKUP($I1141,'用語辞書'!$A:$B,COLUMN('用語辞書'!B$1),FALSE),
IF(_xlpm.v=0,"",_xlpm.v)
),"")</f>
        <v/>
      </c>
      <c r="K1141" s="17"/>
      <c r="L1141" s="17" t="b">
        <f>IF(OR(COUNTIF('クラス'!$A$1:$A$1267,$B1141)&gt;0,$B1141="",$M1141=""),"",True)</f>
        <v>1</v>
      </c>
      <c r="M1141" s="1" t="str">
        <f t="shared" si="23"/>
        <v>存在しない</v>
      </c>
      <c r="N1141" s="1" t="s">
        <v>29</v>
      </c>
      <c r="O1141" s="1"/>
      <c r="P1141" s="11"/>
      <c r="Q1141" s="11"/>
      <c r="R1141" s="11"/>
      <c r="S1141" s="11"/>
      <c r="T1141" s="1"/>
      <c r="U1141" s="1"/>
      <c r="V1141" s="1"/>
      <c r="W1141" s="1"/>
      <c r="X1141" s="1"/>
      <c r="Y1141" s="1"/>
      <c r="Z1141" s="1"/>
    </row>
    <row r="1142" ht="18.0" customHeight="1" outlineLevel="2">
      <c r="A1142" s="1">
        <v>3.0</v>
      </c>
      <c r="B1142" s="26" t="s">
        <v>1531</v>
      </c>
      <c r="C1142" s="1"/>
      <c r="D1142" s="1"/>
      <c r="E1142" s="29" t="s">
        <v>55</v>
      </c>
      <c r="F1142" s="15"/>
      <c r="G1142" s="16"/>
      <c r="H1142" s="22" t="s">
        <v>1532</v>
      </c>
      <c r="I1142" s="7"/>
      <c r="J1142" s="7" t="str">
        <f>IFERROR(LET(_xlpm.v,
VLOOKUP($I1142,'用語辞書'!$A:$B,COLUMN('用語辞書'!B$1),FALSE),
IF(_xlpm.v=0,"",_xlpm.v)
),"")</f>
        <v/>
      </c>
      <c r="K1142" s="17"/>
      <c r="L1142" s="17" t="b">
        <f>IF(OR(COUNTIF('クラス'!$A$1:$A$1267,$B1142)&gt;0,$B1142="",$M1142=""),"",True)</f>
        <v>1</v>
      </c>
      <c r="M1142" s="1" t="str">
        <f t="shared" si="23"/>
        <v>存在しない</v>
      </c>
      <c r="N1142" s="1" t="s">
        <v>29</v>
      </c>
      <c r="O1142" s="1"/>
      <c r="P1142" s="11"/>
      <c r="Q1142" s="11"/>
      <c r="R1142" s="11"/>
      <c r="S1142" s="11"/>
      <c r="T1142" s="1"/>
      <c r="U1142" s="1"/>
      <c r="V1142" s="1"/>
      <c r="W1142" s="1"/>
      <c r="X1142" s="1"/>
      <c r="Y1142" s="1"/>
      <c r="Z1142" s="1"/>
    </row>
    <row r="1143" ht="18.0" customHeight="1" outlineLevel="2">
      <c r="A1143" s="1">
        <v>4.0</v>
      </c>
      <c r="B1143" s="26" t="s">
        <v>1243</v>
      </c>
      <c r="C1143" s="1"/>
      <c r="D1143" s="1"/>
      <c r="E1143" s="14"/>
      <c r="F1143" s="15"/>
      <c r="G1143" s="16"/>
      <c r="H1143" s="11"/>
      <c r="I1143" s="7"/>
      <c r="J1143" s="7" t="str">
        <f>IFERROR(LET(_xlpm.v,
VLOOKUP($I1143,'用語辞書'!$A:$B,COLUMN('用語辞書'!B$1),FALSE),
IF(_xlpm.v=0,"",_xlpm.v)
),"")</f>
        <v/>
      </c>
      <c r="K1143" s="17"/>
      <c r="L1143" s="17" t="str">
        <f>IF(OR(COUNTIF('クラス'!$A$1:$A$1267,$B1143)&gt;0,$B1143="",$M1143=""),"",True)</f>
        <v/>
      </c>
      <c r="M1143" s="1" t="str">
        <f t="shared" si="23"/>
        <v/>
      </c>
      <c r="N1143" s="1" t="s">
        <v>29</v>
      </c>
      <c r="O1143" s="1"/>
      <c r="P1143" s="11"/>
      <c r="Q1143" s="11"/>
      <c r="R1143" s="11"/>
      <c r="S1143" s="11"/>
      <c r="T1143" s="1"/>
      <c r="U1143" s="1"/>
      <c r="V1143" s="1"/>
      <c r="W1143" s="1"/>
      <c r="X1143" s="1"/>
      <c r="Y1143" s="1"/>
      <c r="Z1143" s="1"/>
    </row>
    <row r="1144" ht="18.0" customHeight="1" outlineLevel="2">
      <c r="A1144" s="1">
        <v>5.0</v>
      </c>
      <c r="B1144" s="26" t="s">
        <v>1500</v>
      </c>
      <c r="C1144" s="1"/>
      <c r="D1144" s="1"/>
      <c r="E1144" s="14"/>
      <c r="F1144" s="15"/>
      <c r="G1144" s="16"/>
      <c r="H1144" s="11"/>
      <c r="I1144" s="7"/>
      <c r="J1144" s="7" t="str">
        <f>IFERROR(LET(_xlpm.v,
VLOOKUP($I1144,'用語辞書'!$A:$B,COLUMN('用語辞書'!B$1),FALSE),
IF(_xlpm.v=0,"",_xlpm.v)
),"")</f>
        <v/>
      </c>
      <c r="K1144" s="17"/>
      <c r="L1144" s="17" t="str">
        <f>IF(OR(COUNTIF('クラス'!$A$1:$A$1267,$B1144)&gt;0,$B1144="",$M1144=""),"",True)</f>
        <v/>
      </c>
      <c r="M1144" s="1" t="str">
        <f t="shared" si="23"/>
        <v/>
      </c>
      <c r="N1144" s="1" t="s">
        <v>29</v>
      </c>
      <c r="O1144" s="1"/>
      <c r="P1144" s="11"/>
      <c r="Q1144" s="11"/>
      <c r="R1144" s="11"/>
      <c r="S1144" s="11"/>
      <c r="T1144" s="1"/>
      <c r="U1144" s="1"/>
      <c r="V1144" s="1"/>
      <c r="W1144" s="1"/>
      <c r="X1144" s="1"/>
      <c r="Y1144" s="1"/>
      <c r="Z1144" s="1"/>
    </row>
    <row r="1145" ht="18.0" customHeight="1" outlineLevel="2">
      <c r="A1145" s="1">
        <v>6.0</v>
      </c>
      <c r="B1145" s="1"/>
      <c r="C1145" s="1"/>
      <c r="D1145" s="1"/>
      <c r="E1145" s="14"/>
      <c r="F1145" s="15"/>
      <c r="G1145" s="16"/>
      <c r="H1145" s="11"/>
      <c r="I1145" s="7"/>
      <c r="J1145" s="7" t="str">
        <f>IFERROR(LET(_xlpm.v,
VLOOKUP($I1145,'用語辞書'!$A:$B,COLUMN('用語辞書'!B$1),FALSE),
IF(_xlpm.v=0,"",_xlpm.v)
),"")</f>
        <v/>
      </c>
      <c r="K1145" s="17"/>
      <c r="L1145" s="17" t="str">
        <f>IF(OR(COUNTIF('クラス'!$A$1:$A$1267,$B1145)&gt;0,$B1145="",$M1145=""),"",True)</f>
        <v/>
      </c>
      <c r="M1145" s="1" t="str">
        <f t="shared" si="23"/>
        <v>存在しない</v>
      </c>
      <c r="N1145" s="1" t="s">
        <v>29</v>
      </c>
      <c r="O1145" s="1"/>
      <c r="P1145" s="11"/>
      <c r="Q1145" s="11"/>
      <c r="R1145" s="11"/>
      <c r="S1145" s="11"/>
      <c r="T1145" s="1"/>
      <c r="U1145" s="1"/>
      <c r="V1145" s="1"/>
      <c r="W1145" s="1"/>
      <c r="X1145" s="1"/>
      <c r="Y1145" s="1"/>
      <c r="Z1145" s="1"/>
    </row>
    <row r="1146" ht="18.0" customHeight="1" outlineLevel="2">
      <c r="A1146" s="1">
        <v>7.0</v>
      </c>
      <c r="B1146" s="26" t="s">
        <v>1209</v>
      </c>
      <c r="C1146" s="1"/>
      <c r="D1146" s="1"/>
      <c r="E1146" s="14"/>
      <c r="F1146" s="15"/>
      <c r="G1146" s="16"/>
      <c r="H1146" s="11"/>
      <c r="I1146" s="7"/>
      <c r="J1146" s="7" t="str">
        <f>IFERROR(LET(_xlpm.v,
VLOOKUP($I1146,'用語辞書'!$A:$B,COLUMN('用語辞書'!B$1),FALSE),
IF(_xlpm.v=0,"",_xlpm.v)
),"")</f>
        <v/>
      </c>
      <c r="K1146" s="17"/>
      <c r="L1146" s="17" t="str">
        <f>IF(OR(COUNTIF('クラス'!$A$1:$A$1267,$B1146)&gt;0,$B1146="",$M1146=""),"",True)</f>
        <v/>
      </c>
      <c r="M1146" s="1" t="str">
        <f t="shared" si="23"/>
        <v/>
      </c>
      <c r="N1146" s="1" t="s">
        <v>29</v>
      </c>
      <c r="O1146" s="1"/>
      <c r="P1146" s="11"/>
      <c r="Q1146" s="11"/>
      <c r="R1146" s="11"/>
      <c r="S1146" s="11"/>
      <c r="T1146" s="1"/>
      <c r="U1146" s="1"/>
      <c r="V1146" s="1"/>
      <c r="W1146" s="1"/>
      <c r="X1146" s="1"/>
      <c r="Y1146" s="1"/>
      <c r="Z1146" s="1"/>
    </row>
    <row r="1147" ht="18.0" customHeight="1" outlineLevel="2">
      <c r="A1147" s="1">
        <v>8.0</v>
      </c>
      <c r="B1147" s="1"/>
      <c r="C1147" s="1"/>
      <c r="D1147" s="1"/>
      <c r="E1147" s="14"/>
      <c r="F1147" s="15"/>
      <c r="G1147" s="16"/>
      <c r="H1147" s="11"/>
      <c r="I1147" s="7"/>
      <c r="J1147" s="7" t="str">
        <f>IFERROR(LET(_xlpm.v,
VLOOKUP($I1147,'用語辞書'!$A:$B,COLUMN('用語辞書'!B$1),FALSE),
IF(_xlpm.v=0,"",_xlpm.v)
),"")</f>
        <v/>
      </c>
      <c r="K1147" s="17"/>
      <c r="L1147" s="17" t="str">
        <f>IF(OR(COUNTIF('クラス'!$A$1:$A$1267,$B1147)&gt;0,$B1147="",$M1147=""),"",True)</f>
        <v/>
      </c>
      <c r="M1147" s="1" t="str">
        <f t="shared" si="23"/>
        <v>存在しない</v>
      </c>
      <c r="N1147" s="1" t="s">
        <v>29</v>
      </c>
      <c r="O1147" s="1"/>
      <c r="P1147" s="11"/>
      <c r="Q1147" s="11"/>
      <c r="R1147" s="11"/>
      <c r="S1147" s="11"/>
      <c r="T1147" s="1"/>
      <c r="U1147" s="1"/>
      <c r="V1147" s="1"/>
      <c r="W1147" s="1"/>
      <c r="X1147" s="1"/>
      <c r="Y1147" s="1"/>
      <c r="Z1147" s="1"/>
    </row>
    <row r="1148" ht="18.0" customHeight="1" outlineLevel="2">
      <c r="A1148" s="1">
        <v>9.0</v>
      </c>
      <c r="B1148" s="1"/>
      <c r="C1148" s="1"/>
      <c r="D1148" s="1"/>
      <c r="E1148" s="14"/>
      <c r="F1148" s="15"/>
      <c r="G1148" s="16"/>
      <c r="H1148" s="11"/>
      <c r="I1148" s="7"/>
      <c r="J1148" s="7" t="str">
        <f>IFERROR(LET(_xlpm.v,
VLOOKUP($I1148,'用語辞書'!$A:$B,COLUMN('用語辞書'!B$1),FALSE),
IF(_xlpm.v=0,"",_xlpm.v)
),"")</f>
        <v/>
      </c>
      <c r="K1148" s="17"/>
      <c r="L1148" s="17" t="str">
        <f>IF(OR(COUNTIF('クラス'!$A$1:$A$1267,$B1148)&gt;0,$B1148="",$M1148=""),"",True)</f>
        <v/>
      </c>
      <c r="M1148" s="1" t="str">
        <f t="shared" si="23"/>
        <v>存在しない</v>
      </c>
      <c r="N1148" s="1" t="s">
        <v>29</v>
      </c>
      <c r="O1148" s="1"/>
      <c r="P1148" s="11"/>
      <c r="Q1148" s="11"/>
      <c r="R1148" s="11"/>
      <c r="S1148" s="11"/>
      <c r="T1148" s="1"/>
      <c r="U1148" s="1"/>
      <c r="V1148" s="1"/>
      <c r="W1148" s="1"/>
      <c r="X1148" s="1"/>
      <c r="Y1148" s="1"/>
      <c r="Z1148" s="1"/>
    </row>
    <row r="1149" ht="18.0" customHeight="1" outlineLevel="2">
      <c r="A1149" s="1">
        <v>10.0</v>
      </c>
      <c r="B1149" s="1"/>
      <c r="C1149" s="1"/>
      <c r="D1149" s="1"/>
      <c r="E1149" s="14"/>
      <c r="F1149" s="15"/>
      <c r="G1149" s="16"/>
      <c r="H1149" s="11"/>
      <c r="I1149" s="7"/>
      <c r="J1149" s="7" t="str">
        <f>IFERROR(LET(_xlpm.v,
VLOOKUP($I1149,'用語辞書'!$A:$B,COLUMN('用語辞書'!B$1),FALSE),
IF(_xlpm.v=0,"",_xlpm.v)
),"")</f>
        <v/>
      </c>
      <c r="K1149" s="17"/>
      <c r="L1149" s="17" t="str">
        <f>IF(OR(COUNTIF('クラス'!$A$1:$A$1267,$B1149)&gt;0,$B1149="",$M1149=""),"",True)</f>
        <v/>
      </c>
      <c r="M1149" s="1" t="str">
        <f t="shared" si="23"/>
        <v>存在しない</v>
      </c>
      <c r="N1149" s="1" t="s">
        <v>29</v>
      </c>
      <c r="O1149" s="1"/>
      <c r="P1149" s="11"/>
      <c r="Q1149" s="11"/>
      <c r="R1149" s="11"/>
      <c r="S1149" s="11"/>
      <c r="T1149" s="1"/>
      <c r="U1149" s="1"/>
      <c r="V1149" s="1"/>
      <c r="W1149" s="1"/>
      <c r="X1149" s="1"/>
      <c r="Y1149" s="1"/>
      <c r="Z1149" s="1"/>
    </row>
    <row r="1150" ht="18.0" customHeight="1" outlineLevel="1" collapsed="1">
      <c r="A1150" s="1"/>
      <c r="B1150" s="1"/>
      <c r="C1150" s="1"/>
      <c r="D1150" s="1"/>
      <c r="E1150" s="14"/>
      <c r="F1150" s="15"/>
      <c r="G1150" s="16"/>
      <c r="H1150" s="11"/>
      <c r="I1150" s="7"/>
      <c r="J1150" s="7" t="str">
        <f>IFERROR(LET(_xlpm.v,
VLOOKUP($I1150,'用語辞書'!$A:$B,COLUMN('用語辞書'!B$1),FALSE),
IF(_xlpm.v=0,"",_xlpm.v)
),"")</f>
        <v/>
      </c>
      <c r="K1150" s="17"/>
      <c r="L1150" s="17" t="str">
        <f>IF(OR(COUNTIF('クラス'!$A$1:$A$1267,$B1150)&gt;0,$B1150="",$M1150=""),"",True)</f>
        <v/>
      </c>
      <c r="M1150" s="1" t="str">
        <f t="shared" si="23"/>
        <v>存在しない</v>
      </c>
      <c r="N1150" s="1" t="s">
        <v>29</v>
      </c>
      <c r="O1150" s="1"/>
      <c r="P1150" s="11"/>
      <c r="Q1150" s="11"/>
      <c r="R1150" s="11"/>
      <c r="S1150" s="11"/>
      <c r="T1150" s="1"/>
      <c r="U1150" s="1"/>
      <c r="V1150" s="1"/>
      <c r="W1150" s="1"/>
      <c r="X1150" s="1"/>
      <c r="Y1150" s="1"/>
      <c r="Z1150" s="1"/>
    </row>
    <row r="1151" ht="18.0" customHeight="1" outlineLevel="1">
      <c r="A1151" s="1"/>
      <c r="B1151" s="26" t="s">
        <v>1533</v>
      </c>
      <c r="C1151" s="1"/>
      <c r="D1151" s="1"/>
      <c r="E1151" s="14"/>
      <c r="F1151" s="15"/>
      <c r="G1151" s="16"/>
      <c r="H1151" s="11"/>
      <c r="I1151" s="7"/>
      <c r="J1151" s="7"/>
      <c r="K1151" s="17"/>
      <c r="L1151" s="17"/>
      <c r="M1151" s="1"/>
      <c r="N1151" s="1"/>
      <c r="O1151" s="1"/>
      <c r="P1151" s="11"/>
      <c r="Q1151" s="11"/>
      <c r="R1151" s="11"/>
      <c r="S1151" s="11"/>
      <c r="T1151" s="1"/>
      <c r="U1151" s="1"/>
      <c r="V1151" s="1"/>
      <c r="W1151" s="1"/>
      <c r="X1151" s="1"/>
      <c r="Y1151" s="1"/>
      <c r="Z1151" s="1"/>
    </row>
    <row r="1152" ht="18.0" customHeight="1" outlineLevel="2">
      <c r="A1152" s="26">
        <v>1.0</v>
      </c>
      <c r="B1152" s="26" t="s">
        <v>37</v>
      </c>
      <c r="C1152" s="1"/>
      <c r="D1152" s="1"/>
      <c r="E1152" s="14"/>
      <c r="F1152" s="15"/>
      <c r="G1152" s="16"/>
      <c r="H1152" s="11"/>
      <c r="I1152" s="7"/>
      <c r="J1152" s="7"/>
      <c r="K1152" s="17"/>
      <c r="L1152" s="17"/>
      <c r="M1152" s="1"/>
      <c r="N1152" s="1"/>
      <c r="O1152" s="1"/>
      <c r="P1152" s="11"/>
      <c r="Q1152" s="11"/>
      <c r="R1152" s="11"/>
      <c r="S1152" s="11"/>
      <c r="T1152" s="1"/>
      <c r="U1152" s="1"/>
      <c r="V1152" s="1"/>
      <c r="W1152" s="1"/>
      <c r="X1152" s="1"/>
      <c r="Y1152" s="1"/>
      <c r="Z1152" s="1"/>
    </row>
    <row r="1153" ht="18.0" customHeight="1" outlineLevel="2">
      <c r="A1153" s="26">
        <v>2.0</v>
      </c>
      <c r="B1153" s="26" t="s">
        <v>35</v>
      </c>
      <c r="C1153" s="1"/>
      <c r="D1153" s="1"/>
      <c r="E1153" s="14"/>
      <c r="F1153" s="15"/>
      <c r="G1153" s="16"/>
      <c r="H1153" s="11"/>
      <c r="I1153" s="7"/>
      <c r="J1153" s="7"/>
      <c r="K1153" s="17"/>
      <c r="L1153" s="17"/>
      <c r="M1153" s="1"/>
      <c r="N1153" s="1"/>
      <c r="O1153" s="1"/>
      <c r="P1153" s="11"/>
      <c r="Q1153" s="11"/>
      <c r="R1153" s="11"/>
      <c r="S1153" s="11"/>
      <c r="T1153" s="1"/>
      <c r="U1153" s="1"/>
      <c r="V1153" s="1"/>
      <c r="W1153" s="1"/>
      <c r="X1153" s="1"/>
      <c r="Y1153" s="1"/>
      <c r="Z1153" s="1"/>
    </row>
    <row r="1154" ht="18.0" customHeight="1" outlineLevel="2">
      <c r="A1154" s="26">
        <v>3.0</v>
      </c>
      <c r="B1154" s="26" t="s">
        <v>1534</v>
      </c>
      <c r="C1154" s="1"/>
      <c r="D1154" s="1"/>
      <c r="E1154" s="29" t="s">
        <v>33</v>
      </c>
      <c r="F1154" s="15"/>
      <c r="G1154" s="30">
        <v>60.0</v>
      </c>
      <c r="H1154" s="22" t="s">
        <v>1535</v>
      </c>
      <c r="I1154" s="7"/>
      <c r="J1154" s="32" t="s">
        <v>1536</v>
      </c>
      <c r="K1154" s="17"/>
      <c r="L1154" s="17"/>
      <c r="M1154" s="1"/>
      <c r="N1154" s="1"/>
      <c r="O1154" s="1"/>
      <c r="P1154" s="11"/>
      <c r="Q1154" s="11"/>
      <c r="R1154" s="11"/>
      <c r="S1154" s="11"/>
      <c r="T1154" s="1"/>
      <c r="U1154" s="1"/>
      <c r="V1154" s="1"/>
      <c r="W1154" s="1"/>
      <c r="X1154" s="1"/>
      <c r="Y1154" s="1"/>
      <c r="Z1154" s="1"/>
    </row>
    <row r="1155" ht="18.0" customHeight="1" outlineLevel="2">
      <c r="A1155" s="26">
        <v>4.0</v>
      </c>
      <c r="B1155" s="26" t="s">
        <v>1498</v>
      </c>
      <c r="C1155" s="1"/>
      <c r="D1155" s="1"/>
      <c r="E1155" s="29"/>
      <c r="F1155" s="15"/>
      <c r="G1155" s="30"/>
      <c r="H1155" s="22"/>
      <c r="I1155" s="7"/>
      <c r="J1155" s="7"/>
      <c r="K1155" s="17"/>
      <c r="L1155" s="17"/>
      <c r="M1155" s="1"/>
      <c r="N1155" s="1"/>
      <c r="O1155" s="1"/>
      <c r="P1155" s="11"/>
      <c r="Q1155" s="11"/>
      <c r="R1155" s="11"/>
      <c r="S1155" s="11"/>
      <c r="T1155" s="1"/>
      <c r="U1155" s="1"/>
      <c r="V1155" s="1"/>
      <c r="W1155" s="1"/>
      <c r="X1155" s="1"/>
      <c r="Y1155" s="1"/>
      <c r="Z1155" s="1"/>
    </row>
    <row r="1156" ht="18.0" customHeight="1" outlineLevel="2">
      <c r="A1156" s="26">
        <v>5.0</v>
      </c>
      <c r="B1156" s="26" t="s">
        <v>1500</v>
      </c>
      <c r="C1156" s="1"/>
      <c r="D1156" s="1"/>
      <c r="E1156" s="14"/>
      <c r="F1156" s="15"/>
      <c r="G1156" s="16"/>
      <c r="H1156" s="11"/>
      <c r="I1156" s="7"/>
      <c r="J1156" s="7"/>
      <c r="K1156" s="17"/>
      <c r="L1156" s="17"/>
      <c r="M1156" s="1"/>
      <c r="N1156" s="1"/>
      <c r="O1156" s="1"/>
      <c r="P1156" s="11"/>
      <c r="Q1156" s="11"/>
      <c r="R1156" s="11"/>
      <c r="S1156" s="11"/>
      <c r="T1156" s="1"/>
      <c r="U1156" s="1"/>
      <c r="V1156" s="1"/>
      <c r="W1156" s="1"/>
      <c r="X1156" s="1"/>
      <c r="Y1156" s="1"/>
      <c r="Z1156" s="1"/>
    </row>
    <row r="1157" ht="18.0" customHeight="1" outlineLevel="2">
      <c r="A1157" s="26">
        <v>6.0</v>
      </c>
      <c r="B1157" s="1"/>
      <c r="C1157" s="1"/>
      <c r="D1157" s="1"/>
      <c r="E1157" s="14"/>
      <c r="F1157" s="15"/>
      <c r="G1157" s="16"/>
      <c r="H1157" s="11"/>
      <c r="I1157" s="7"/>
      <c r="J1157" s="7"/>
      <c r="K1157" s="17"/>
      <c r="L1157" s="17"/>
      <c r="M1157" s="1"/>
      <c r="N1157" s="1"/>
      <c r="O1157" s="1"/>
      <c r="P1157" s="11"/>
      <c r="Q1157" s="11"/>
      <c r="R1157" s="11"/>
      <c r="S1157" s="11"/>
      <c r="T1157" s="1"/>
      <c r="U1157" s="1"/>
      <c r="V1157" s="1"/>
      <c r="W1157" s="1"/>
      <c r="X1157" s="1"/>
      <c r="Y1157" s="1"/>
      <c r="Z1157" s="1"/>
    </row>
    <row r="1158" ht="18.0" customHeight="1" outlineLevel="2">
      <c r="A1158" s="26">
        <v>7.0</v>
      </c>
      <c r="B1158" s="26" t="s">
        <v>1209</v>
      </c>
      <c r="C1158" s="1"/>
      <c r="D1158" s="1"/>
      <c r="E1158" s="14"/>
      <c r="F1158" s="15"/>
      <c r="G1158" s="16"/>
      <c r="H1158" s="11"/>
      <c r="I1158" s="7"/>
      <c r="J1158" s="7"/>
      <c r="K1158" s="17"/>
      <c r="L1158" s="17"/>
      <c r="M1158" s="1"/>
      <c r="N1158" s="1"/>
      <c r="O1158" s="1"/>
      <c r="P1158" s="11"/>
      <c r="Q1158" s="11"/>
      <c r="R1158" s="11"/>
      <c r="S1158" s="11"/>
      <c r="T1158" s="1"/>
      <c r="U1158" s="1"/>
      <c r="V1158" s="1"/>
      <c r="W1158" s="1"/>
      <c r="X1158" s="1"/>
      <c r="Y1158" s="1"/>
      <c r="Z1158" s="1"/>
    </row>
    <row r="1159" ht="18.0" customHeight="1" outlineLevel="2">
      <c r="A1159" s="26">
        <v>8.0</v>
      </c>
      <c r="B1159" s="1"/>
      <c r="C1159" s="1"/>
      <c r="D1159" s="1"/>
      <c r="E1159" s="14"/>
      <c r="F1159" s="15"/>
      <c r="G1159" s="16"/>
      <c r="H1159" s="11"/>
      <c r="I1159" s="7"/>
      <c r="J1159" s="7"/>
      <c r="K1159" s="17"/>
      <c r="L1159" s="17"/>
      <c r="M1159" s="1"/>
      <c r="N1159" s="1"/>
      <c r="O1159" s="1"/>
      <c r="P1159" s="11"/>
      <c r="Q1159" s="11"/>
      <c r="R1159" s="11"/>
      <c r="S1159" s="11"/>
      <c r="T1159" s="1"/>
      <c r="U1159" s="1"/>
      <c r="V1159" s="1"/>
      <c r="W1159" s="1"/>
      <c r="X1159" s="1"/>
      <c r="Y1159" s="1"/>
      <c r="Z1159" s="1"/>
    </row>
    <row r="1160" ht="18.0" customHeight="1" outlineLevel="2">
      <c r="A1160" s="26">
        <v>9.0</v>
      </c>
      <c r="B1160" s="1"/>
      <c r="C1160" s="1"/>
      <c r="D1160" s="1"/>
      <c r="E1160" s="14"/>
      <c r="F1160" s="15"/>
      <c r="G1160" s="16"/>
      <c r="H1160" s="11"/>
      <c r="I1160" s="7"/>
      <c r="J1160" s="7"/>
      <c r="K1160" s="17"/>
      <c r="L1160" s="17"/>
      <c r="M1160" s="1"/>
      <c r="N1160" s="1"/>
      <c r="O1160" s="1"/>
      <c r="P1160" s="11"/>
      <c r="Q1160" s="11"/>
      <c r="R1160" s="11"/>
      <c r="S1160" s="11"/>
      <c r="T1160" s="1"/>
      <c r="U1160" s="1"/>
      <c r="V1160" s="1"/>
      <c r="W1160" s="1"/>
      <c r="X1160" s="1"/>
      <c r="Y1160" s="1"/>
      <c r="Z1160" s="1"/>
    </row>
    <row r="1161" ht="18.0" customHeight="1" outlineLevel="2">
      <c r="A1161" s="26">
        <v>10.0</v>
      </c>
      <c r="B1161" s="1"/>
      <c r="C1161" s="1"/>
      <c r="D1161" s="1"/>
      <c r="E1161" s="14"/>
      <c r="F1161" s="15"/>
      <c r="G1161" s="16"/>
      <c r="H1161" s="11"/>
      <c r="I1161" s="7"/>
      <c r="J1161" s="7"/>
      <c r="K1161" s="17"/>
      <c r="L1161" s="17"/>
      <c r="M1161" s="1"/>
      <c r="N1161" s="1"/>
      <c r="O1161" s="1"/>
      <c r="P1161" s="11"/>
      <c r="Q1161" s="11"/>
      <c r="R1161" s="11"/>
      <c r="S1161" s="11"/>
      <c r="T1161" s="1"/>
      <c r="U1161" s="1"/>
      <c r="V1161" s="1"/>
      <c r="W1161" s="1"/>
      <c r="X1161" s="1"/>
      <c r="Y1161" s="1"/>
      <c r="Z1161" s="1"/>
    </row>
    <row r="1162" ht="18.0" customHeight="1" outlineLevel="1">
      <c r="A1162" s="1"/>
      <c r="B1162" s="1"/>
      <c r="C1162" s="1"/>
      <c r="D1162" s="1"/>
      <c r="E1162" s="14"/>
      <c r="F1162" s="15"/>
      <c r="G1162" s="16"/>
      <c r="H1162" s="11"/>
      <c r="I1162" s="7"/>
      <c r="J1162" s="7"/>
      <c r="K1162" s="17"/>
      <c r="L1162" s="17"/>
      <c r="M1162" s="1"/>
      <c r="N1162" s="1"/>
      <c r="O1162" s="1"/>
      <c r="P1162" s="11"/>
      <c r="Q1162" s="11"/>
      <c r="R1162" s="11"/>
      <c r="S1162" s="11"/>
      <c r="T1162" s="1"/>
      <c r="U1162" s="1"/>
      <c r="V1162" s="1"/>
      <c r="W1162" s="1"/>
      <c r="X1162" s="1"/>
      <c r="Y1162" s="1"/>
      <c r="Z1162" s="1"/>
    </row>
    <row r="1163" ht="18.0" customHeight="1" outlineLevel="1">
      <c r="A1163" s="1"/>
      <c r="B1163" s="1"/>
      <c r="C1163" s="1"/>
      <c r="D1163" s="1"/>
      <c r="E1163" s="14"/>
      <c r="F1163" s="15"/>
      <c r="G1163" s="16"/>
      <c r="H1163" s="11"/>
      <c r="I1163" s="7"/>
      <c r="J1163" s="7"/>
      <c r="K1163" s="17"/>
      <c r="L1163" s="17"/>
      <c r="M1163" s="1"/>
      <c r="N1163" s="1"/>
      <c r="O1163" s="1"/>
      <c r="P1163" s="11"/>
      <c r="Q1163" s="11"/>
      <c r="R1163" s="11"/>
      <c r="S1163" s="11"/>
      <c r="T1163" s="1"/>
      <c r="U1163" s="1"/>
      <c r="V1163" s="1"/>
      <c r="W1163" s="1"/>
      <c r="X1163" s="1"/>
      <c r="Y1163" s="1"/>
      <c r="Z1163" s="1"/>
    </row>
    <row r="1164" ht="18.0" customHeight="1" outlineLevel="1">
      <c r="A1164" s="1"/>
      <c r="B1164" s="26" t="s">
        <v>1537</v>
      </c>
      <c r="C1164" s="1"/>
      <c r="D1164" s="1"/>
      <c r="E1164" s="14"/>
      <c r="F1164" s="15"/>
      <c r="G1164" s="16"/>
      <c r="H1164" s="11"/>
      <c r="I1164" s="7"/>
      <c r="J1164" s="7"/>
      <c r="K1164" s="17"/>
      <c r="L1164" s="17"/>
      <c r="M1164" s="1"/>
      <c r="N1164" s="1"/>
      <c r="O1164" s="1"/>
      <c r="P1164" s="11"/>
      <c r="Q1164" s="11"/>
      <c r="R1164" s="11"/>
      <c r="S1164" s="11"/>
      <c r="T1164" s="1"/>
      <c r="U1164" s="1"/>
      <c r="V1164" s="1"/>
      <c r="W1164" s="1"/>
      <c r="X1164" s="1"/>
      <c r="Y1164" s="1"/>
      <c r="Z1164" s="1"/>
    </row>
    <row r="1165" ht="18.0" customHeight="1" outlineLevel="2">
      <c r="A1165" s="26">
        <v>1.0</v>
      </c>
      <c r="B1165" s="26" t="s">
        <v>32</v>
      </c>
      <c r="C1165" s="1"/>
      <c r="D1165" s="1"/>
      <c r="E1165" s="14"/>
      <c r="F1165" s="15"/>
      <c r="G1165" s="16"/>
      <c r="H1165" s="11"/>
      <c r="I1165" s="7"/>
      <c r="J1165" s="7"/>
      <c r="K1165" s="17"/>
      <c r="L1165" s="17"/>
      <c r="M1165" s="1"/>
      <c r="N1165" s="1"/>
      <c r="O1165" s="1"/>
      <c r="P1165" s="11"/>
      <c r="Q1165" s="11"/>
      <c r="R1165" s="11"/>
      <c r="S1165" s="11"/>
      <c r="T1165" s="1"/>
      <c r="U1165" s="1"/>
      <c r="V1165" s="1"/>
      <c r="W1165" s="1"/>
      <c r="X1165" s="1"/>
      <c r="Y1165" s="1"/>
      <c r="Z1165" s="1"/>
    </row>
    <row r="1166" ht="18.0" customHeight="1" outlineLevel="2">
      <c r="A1166" s="26">
        <v>2.0</v>
      </c>
      <c r="B1166" s="26" t="s">
        <v>1538</v>
      </c>
      <c r="C1166" s="1"/>
      <c r="D1166" s="1"/>
      <c r="E1166" s="29" t="s">
        <v>33</v>
      </c>
      <c r="F1166" s="15"/>
      <c r="G1166" s="30">
        <v>60.0</v>
      </c>
      <c r="H1166" s="22" t="s">
        <v>1539</v>
      </c>
      <c r="I1166" s="7"/>
      <c r="J1166" s="32" t="s">
        <v>1540</v>
      </c>
      <c r="K1166" s="17"/>
      <c r="L1166" s="17"/>
      <c r="M1166" s="1"/>
      <c r="N1166" s="1"/>
      <c r="O1166" s="1"/>
      <c r="P1166" s="11"/>
      <c r="Q1166" s="11"/>
      <c r="R1166" s="11"/>
      <c r="S1166" s="11"/>
      <c r="T1166" s="1"/>
      <c r="U1166" s="1"/>
      <c r="V1166" s="1"/>
      <c r="W1166" s="1"/>
      <c r="X1166" s="1"/>
      <c r="Y1166" s="1"/>
      <c r="Z1166" s="1"/>
    </row>
    <row r="1167" ht="18.0" customHeight="1" outlineLevel="2">
      <c r="A1167" s="26">
        <v>3.0</v>
      </c>
      <c r="B1167" s="26" t="s">
        <v>1541</v>
      </c>
      <c r="C1167" s="1"/>
      <c r="D1167" s="1"/>
      <c r="E1167" s="29" t="s">
        <v>55</v>
      </c>
      <c r="F1167" s="15"/>
      <c r="G1167" s="16"/>
      <c r="H1167" s="22" t="s">
        <v>1542</v>
      </c>
      <c r="I1167" s="7"/>
      <c r="J1167" s="32" t="s">
        <v>1543</v>
      </c>
      <c r="K1167" s="17"/>
      <c r="L1167" s="17"/>
      <c r="M1167" s="1"/>
      <c r="N1167" s="1"/>
      <c r="O1167" s="1"/>
      <c r="P1167" s="11"/>
      <c r="Q1167" s="11"/>
      <c r="R1167" s="11"/>
      <c r="S1167" s="11"/>
      <c r="T1167" s="1"/>
      <c r="U1167" s="1"/>
      <c r="V1167" s="1"/>
      <c r="W1167" s="1"/>
      <c r="X1167" s="1"/>
      <c r="Y1167" s="1"/>
      <c r="Z1167" s="1"/>
    </row>
    <row r="1168" ht="18.0" customHeight="1" outlineLevel="2">
      <c r="A1168" s="26">
        <v>4.0</v>
      </c>
      <c r="B1168" s="26" t="s">
        <v>1544</v>
      </c>
      <c r="C1168" s="1"/>
      <c r="D1168" s="1"/>
      <c r="E1168" s="29" t="s">
        <v>55</v>
      </c>
      <c r="F1168" s="15"/>
      <c r="G1168" s="30"/>
      <c r="H1168" s="22" t="s">
        <v>1545</v>
      </c>
      <c r="I1168" s="7"/>
      <c r="J1168" s="32" t="s">
        <v>1546</v>
      </c>
      <c r="K1168" s="17"/>
      <c r="L1168" s="17"/>
      <c r="M1168" s="1"/>
      <c r="N1168" s="1"/>
      <c r="O1168" s="1"/>
      <c r="P1168" s="11"/>
      <c r="Q1168" s="11"/>
      <c r="R1168" s="11"/>
      <c r="S1168" s="11"/>
      <c r="T1168" s="1"/>
      <c r="U1168" s="1"/>
      <c r="V1168" s="1"/>
      <c r="W1168" s="1"/>
      <c r="X1168" s="1"/>
      <c r="Y1168" s="1"/>
      <c r="Z1168" s="1"/>
    </row>
    <row r="1169" ht="18.0" customHeight="1" outlineLevel="2">
      <c r="A1169" s="26">
        <v>5.0</v>
      </c>
      <c r="B1169" s="26" t="s">
        <v>1500</v>
      </c>
      <c r="C1169" s="1"/>
      <c r="D1169" s="1"/>
      <c r="E1169" s="14"/>
      <c r="F1169" s="15"/>
      <c r="G1169" s="16"/>
      <c r="H1169" s="11"/>
      <c r="I1169" s="7"/>
      <c r="J1169" s="7"/>
      <c r="K1169" s="17"/>
      <c r="L1169" s="17"/>
      <c r="M1169" s="1"/>
      <c r="N1169" s="1"/>
      <c r="O1169" s="1"/>
      <c r="P1169" s="11"/>
      <c r="Q1169" s="11"/>
      <c r="R1169" s="11"/>
      <c r="S1169" s="11"/>
      <c r="T1169" s="1"/>
      <c r="U1169" s="1"/>
      <c r="V1169" s="1"/>
      <c r="W1169" s="1"/>
      <c r="X1169" s="1"/>
      <c r="Y1169" s="1"/>
      <c r="Z1169" s="1"/>
    </row>
    <row r="1170" ht="18.0" customHeight="1" outlineLevel="2">
      <c r="A1170" s="26">
        <v>6.0</v>
      </c>
      <c r="B1170" s="1"/>
      <c r="C1170" s="1"/>
      <c r="D1170" s="1"/>
      <c r="E1170" s="14"/>
      <c r="F1170" s="15"/>
      <c r="G1170" s="16"/>
      <c r="H1170" s="11"/>
      <c r="I1170" s="7"/>
      <c r="J1170" s="7"/>
      <c r="K1170" s="17"/>
      <c r="L1170" s="17"/>
      <c r="M1170" s="1"/>
      <c r="N1170" s="1"/>
      <c r="O1170" s="1"/>
      <c r="P1170" s="11"/>
      <c r="Q1170" s="11"/>
      <c r="R1170" s="11"/>
      <c r="S1170" s="11"/>
      <c r="T1170" s="1"/>
      <c r="U1170" s="1"/>
      <c r="V1170" s="1"/>
      <c r="W1170" s="1"/>
      <c r="X1170" s="1"/>
      <c r="Y1170" s="1"/>
      <c r="Z1170" s="1"/>
    </row>
    <row r="1171" ht="18.0" customHeight="1" outlineLevel="2">
      <c r="A1171" s="26">
        <v>7.0</v>
      </c>
      <c r="B1171" s="26" t="s">
        <v>1209</v>
      </c>
      <c r="C1171" s="1"/>
      <c r="D1171" s="1"/>
      <c r="E1171" s="14"/>
      <c r="F1171" s="15"/>
      <c r="G1171" s="16"/>
      <c r="H1171" s="11"/>
      <c r="I1171" s="7"/>
      <c r="J1171" s="7"/>
      <c r="K1171" s="17"/>
      <c r="L1171" s="17"/>
      <c r="M1171" s="1"/>
      <c r="N1171" s="1"/>
      <c r="O1171" s="1"/>
      <c r="P1171" s="11"/>
      <c r="Q1171" s="11"/>
      <c r="R1171" s="11"/>
      <c r="S1171" s="11"/>
      <c r="T1171" s="1"/>
      <c r="U1171" s="1"/>
      <c r="V1171" s="1"/>
      <c r="W1171" s="1"/>
      <c r="X1171" s="1"/>
      <c r="Y1171" s="1"/>
      <c r="Z1171" s="1"/>
    </row>
    <row r="1172" ht="18.0" customHeight="1" outlineLevel="2">
      <c r="A1172" s="26">
        <v>8.0</v>
      </c>
      <c r="B1172" s="1"/>
      <c r="C1172" s="1"/>
      <c r="D1172" s="1"/>
      <c r="E1172" s="14"/>
      <c r="F1172" s="15"/>
      <c r="G1172" s="16"/>
      <c r="H1172" s="11"/>
      <c r="I1172" s="7"/>
      <c r="J1172" s="7"/>
      <c r="K1172" s="17"/>
      <c r="L1172" s="17"/>
      <c r="M1172" s="1"/>
      <c r="N1172" s="1"/>
      <c r="O1172" s="1"/>
      <c r="P1172" s="11"/>
      <c r="Q1172" s="11"/>
      <c r="R1172" s="11"/>
      <c r="S1172" s="11"/>
      <c r="T1172" s="1"/>
      <c r="U1172" s="1"/>
      <c r="V1172" s="1"/>
      <c r="W1172" s="1"/>
      <c r="X1172" s="1"/>
      <c r="Y1172" s="1"/>
      <c r="Z1172" s="1"/>
    </row>
    <row r="1173" ht="18.0" customHeight="1" outlineLevel="2">
      <c r="A1173" s="26">
        <v>9.0</v>
      </c>
      <c r="B1173" s="1"/>
      <c r="C1173" s="1"/>
      <c r="D1173" s="1"/>
      <c r="E1173" s="14"/>
      <c r="F1173" s="15"/>
      <c r="G1173" s="16"/>
      <c r="H1173" s="11"/>
      <c r="I1173" s="7"/>
      <c r="J1173" s="7"/>
      <c r="K1173" s="17"/>
      <c r="L1173" s="17"/>
      <c r="M1173" s="1"/>
      <c r="N1173" s="1"/>
      <c r="O1173" s="1"/>
      <c r="P1173" s="11"/>
      <c r="Q1173" s="11"/>
      <c r="R1173" s="11"/>
      <c r="S1173" s="11"/>
      <c r="T1173" s="1"/>
      <c r="U1173" s="1"/>
      <c r="V1173" s="1"/>
      <c r="W1173" s="1"/>
      <c r="X1173" s="1"/>
      <c r="Y1173" s="1"/>
      <c r="Z1173" s="1"/>
    </row>
    <row r="1174" ht="18.0" customHeight="1" outlineLevel="2">
      <c r="A1174" s="26">
        <v>10.0</v>
      </c>
      <c r="B1174" s="1"/>
      <c r="C1174" s="1"/>
      <c r="D1174" s="1"/>
      <c r="E1174" s="14"/>
      <c r="F1174" s="15"/>
      <c r="G1174" s="16"/>
      <c r="H1174" s="11"/>
      <c r="I1174" s="7"/>
      <c r="J1174" s="7"/>
      <c r="K1174" s="17"/>
      <c r="L1174" s="17"/>
      <c r="M1174" s="1"/>
      <c r="N1174" s="1"/>
      <c r="O1174" s="1"/>
      <c r="P1174" s="11"/>
      <c r="Q1174" s="11"/>
      <c r="R1174" s="11"/>
      <c r="S1174" s="11"/>
      <c r="T1174" s="1"/>
      <c r="U1174" s="1"/>
      <c r="V1174" s="1"/>
      <c r="W1174" s="1"/>
      <c r="X1174" s="1"/>
      <c r="Y1174" s="1"/>
      <c r="Z1174" s="1"/>
    </row>
    <row r="1175" ht="18.0" customHeight="1" outlineLevel="1">
      <c r="A1175" s="1"/>
      <c r="B1175" s="1"/>
      <c r="C1175" s="1"/>
      <c r="D1175" s="1"/>
      <c r="E1175" s="14"/>
      <c r="F1175" s="15"/>
      <c r="G1175" s="16"/>
      <c r="H1175" s="11"/>
      <c r="I1175" s="7"/>
      <c r="J1175" s="7"/>
      <c r="K1175" s="17"/>
      <c r="L1175" s="17"/>
      <c r="M1175" s="1"/>
      <c r="N1175" s="1"/>
      <c r="O1175" s="1"/>
      <c r="P1175" s="11"/>
      <c r="Q1175" s="11"/>
      <c r="R1175" s="11"/>
      <c r="S1175" s="11"/>
      <c r="T1175" s="1"/>
      <c r="U1175" s="1"/>
      <c r="V1175" s="1"/>
      <c r="W1175" s="1"/>
      <c r="X1175" s="1"/>
      <c r="Y1175" s="1"/>
      <c r="Z1175" s="1"/>
    </row>
    <row r="1176" ht="18.0" customHeight="1" outlineLevel="1">
      <c r="A1176" s="1"/>
      <c r="B1176" s="1"/>
      <c r="C1176" s="1"/>
      <c r="D1176" s="1"/>
      <c r="E1176" s="14"/>
      <c r="F1176" s="15"/>
      <c r="G1176" s="16"/>
      <c r="H1176" s="11"/>
      <c r="I1176" s="7"/>
      <c r="J1176" s="7"/>
      <c r="K1176" s="17"/>
      <c r="L1176" s="17"/>
      <c r="M1176" s="1"/>
      <c r="N1176" s="1"/>
      <c r="O1176" s="1"/>
      <c r="P1176" s="11"/>
      <c r="Q1176" s="11"/>
      <c r="R1176" s="11"/>
      <c r="S1176" s="11"/>
      <c r="T1176" s="1"/>
      <c r="U1176" s="1"/>
      <c r="V1176" s="1"/>
      <c r="W1176" s="1"/>
      <c r="X1176" s="1"/>
      <c r="Y1176" s="1"/>
      <c r="Z1176" s="1"/>
    </row>
    <row r="1177" ht="18.0" customHeight="1" outlineLevel="1">
      <c r="A1177" s="1"/>
      <c r="B1177" s="26" t="s">
        <v>1547</v>
      </c>
      <c r="C1177" s="1"/>
      <c r="D1177" s="1"/>
      <c r="E1177" s="14"/>
      <c r="F1177" s="15"/>
      <c r="G1177" s="16"/>
      <c r="H1177" s="11"/>
      <c r="I1177" s="7"/>
      <c r="J1177" s="7"/>
      <c r="K1177" s="17"/>
      <c r="L1177" s="17"/>
      <c r="M1177" s="1"/>
      <c r="N1177" s="1"/>
      <c r="O1177" s="1"/>
      <c r="P1177" s="11"/>
      <c r="Q1177" s="11"/>
      <c r="R1177" s="11"/>
      <c r="S1177" s="11"/>
      <c r="T1177" s="1"/>
      <c r="U1177" s="1"/>
      <c r="V1177" s="1"/>
      <c r="W1177" s="1"/>
      <c r="X1177" s="1"/>
      <c r="Y1177" s="1"/>
      <c r="Z1177" s="1"/>
    </row>
    <row r="1178" ht="18.0" customHeight="1" outlineLevel="2">
      <c r="A1178" s="26">
        <v>1.0</v>
      </c>
      <c r="B1178" s="26" t="s">
        <v>37</v>
      </c>
      <c r="C1178" s="1"/>
      <c r="D1178" s="1"/>
      <c r="E1178" s="14"/>
      <c r="F1178" s="15"/>
      <c r="G1178" s="16"/>
      <c r="H1178" s="11"/>
      <c r="I1178" s="7"/>
      <c r="J1178" s="7"/>
      <c r="K1178" s="17"/>
      <c r="L1178" s="17"/>
      <c r="M1178" s="1"/>
      <c r="N1178" s="1"/>
      <c r="O1178" s="1"/>
      <c r="P1178" s="11"/>
      <c r="Q1178" s="11"/>
      <c r="R1178" s="11"/>
      <c r="S1178" s="11"/>
      <c r="T1178" s="1"/>
      <c r="U1178" s="1"/>
      <c r="V1178" s="1"/>
      <c r="W1178" s="1"/>
      <c r="X1178" s="1"/>
      <c r="Y1178" s="1"/>
      <c r="Z1178" s="1"/>
    </row>
    <row r="1179" ht="18.0" customHeight="1" outlineLevel="2">
      <c r="A1179" s="26">
        <v>2.0</v>
      </c>
      <c r="B1179" s="26" t="s">
        <v>45</v>
      </c>
      <c r="C1179" s="1"/>
      <c r="D1179" s="1"/>
      <c r="E1179" s="14"/>
      <c r="F1179" s="15"/>
      <c r="G1179" s="16"/>
      <c r="H1179" s="11"/>
      <c r="I1179" s="7"/>
      <c r="J1179" s="7"/>
      <c r="K1179" s="17"/>
      <c r="L1179" s="17"/>
      <c r="M1179" s="1"/>
      <c r="N1179" s="1"/>
      <c r="O1179" s="1"/>
      <c r="P1179" s="11"/>
      <c r="Q1179" s="11"/>
      <c r="R1179" s="11"/>
      <c r="S1179" s="11"/>
      <c r="T1179" s="1"/>
      <c r="U1179" s="1"/>
      <c r="V1179" s="1"/>
      <c r="W1179" s="1"/>
      <c r="X1179" s="1"/>
      <c r="Y1179" s="1"/>
      <c r="Z1179" s="1"/>
    </row>
    <row r="1180" ht="18.0" customHeight="1" outlineLevel="2">
      <c r="A1180" s="26">
        <v>3.0</v>
      </c>
      <c r="B1180" s="26" t="s">
        <v>1548</v>
      </c>
      <c r="C1180" s="1"/>
      <c r="D1180" s="1"/>
      <c r="E1180" s="29" t="s">
        <v>33</v>
      </c>
      <c r="F1180" s="15"/>
      <c r="G1180" s="30">
        <v>60.0</v>
      </c>
      <c r="H1180" s="22" t="s">
        <v>1549</v>
      </c>
      <c r="I1180" s="7"/>
      <c r="J1180" s="32" t="s">
        <v>1550</v>
      </c>
      <c r="K1180" s="17"/>
      <c r="L1180" s="17"/>
      <c r="M1180" s="1"/>
      <c r="N1180" s="1"/>
      <c r="O1180" s="1"/>
      <c r="P1180" s="11"/>
      <c r="Q1180" s="11"/>
      <c r="R1180" s="11"/>
      <c r="S1180" s="11"/>
      <c r="T1180" s="1"/>
      <c r="U1180" s="1"/>
      <c r="V1180" s="1"/>
      <c r="W1180" s="1"/>
      <c r="X1180" s="1"/>
      <c r="Y1180" s="1"/>
      <c r="Z1180" s="1"/>
    </row>
    <row r="1181" ht="18.0" customHeight="1" outlineLevel="2">
      <c r="A1181" s="26">
        <v>4.0</v>
      </c>
      <c r="B1181" s="26" t="s">
        <v>1551</v>
      </c>
      <c r="C1181" s="1"/>
      <c r="D1181" s="1"/>
      <c r="E1181" s="29" t="s">
        <v>55</v>
      </c>
      <c r="F1181" s="15"/>
      <c r="G1181" s="30"/>
      <c r="H1181" s="22" t="s">
        <v>1552</v>
      </c>
      <c r="I1181" s="7"/>
      <c r="J1181" s="32" t="s">
        <v>1553</v>
      </c>
      <c r="K1181" s="17"/>
      <c r="L1181" s="17"/>
      <c r="M1181" s="1"/>
      <c r="N1181" s="1"/>
      <c r="O1181" s="1"/>
      <c r="P1181" s="11"/>
      <c r="Q1181" s="11"/>
      <c r="R1181" s="11"/>
      <c r="S1181" s="11"/>
      <c r="T1181" s="1"/>
      <c r="U1181" s="1"/>
      <c r="V1181" s="1"/>
      <c r="W1181" s="1"/>
      <c r="X1181" s="1"/>
      <c r="Y1181" s="1"/>
      <c r="Z1181" s="1"/>
    </row>
    <row r="1182" ht="18.0" customHeight="1" outlineLevel="2">
      <c r="A1182" s="26">
        <v>5.0</v>
      </c>
      <c r="B1182" s="26" t="s">
        <v>1500</v>
      </c>
      <c r="C1182" s="1"/>
      <c r="D1182" s="1"/>
      <c r="E1182" s="14"/>
      <c r="F1182" s="15"/>
      <c r="G1182" s="16"/>
      <c r="H1182" s="11"/>
      <c r="I1182" s="7"/>
      <c r="J1182" s="7"/>
      <c r="K1182" s="17"/>
      <c r="L1182" s="17"/>
      <c r="M1182" s="1"/>
      <c r="N1182" s="1"/>
      <c r="O1182" s="1"/>
      <c r="P1182" s="11"/>
      <c r="Q1182" s="11"/>
      <c r="R1182" s="11"/>
      <c r="S1182" s="11"/>
      <c r="T1182" s="1"/>
      <c r="U1182" s="1"/>
      <c r="V1182" s="1"/>
      <c r="W1182" s="1"/>
      <c r="X1182" s="1"/>
      <c r="Y1182" s="1"/>
      <c r="Z1182" s="1"/>
    </row>
    <row r="1183" ht="18.0" customHeight="1" outlineLevel="2">
      <c r="A1183" s="26">
        <v>6.0</v>
      </c>
      <c r="B1183" s="1"/>
      <c r="C1183" s="1"/>
      <c r="D1183" s="1"/>
      <c r="E1183" s="14"/>
      <c r="F1183" s="15"/>
      <c r="G1183" s="16"/>
      <c r="H1183" s="11"/>
      <c r="I1183" s="7"/>
      <c r="J1183" s="7"/>
      <c r="K1183" s="17"/>
      <c r="L1183" s="17"/>
      <c r="M1183" s="1"/>
      <c r="N1183" s="1"/>
      <c r="O1183" s="1"/>
      <c r="P1183" s="11"/>
      <c r="Q1183" s="11"/>
      <c r="R1183" s="11"/>
      <c r="S1183" s="11"/>
      <c r="T1183" s="1"/>
      <c r="U1183" s="1"/>
      <c r="V1183" s="1"/>
      <c r="W1183" s="1"/>
      <c r="X1183" s="1"/>
      <c r="Y1183" s="1"/>
      <c r="Z1183" s="1"/>
    </row>
    <row r="1184" ht="18.0" customHeight="1" outlineLevel="2">
      <c r="A1184" s="26">
        <v>7.0</v>
      </c>
      <c r="B1184" s="26" t="s">
        <v>1209</v>
      </c>
      <c r="C1184" s="1"/>
      <c r="D1184" s="1"/>
      <c r="E1184" s="14"/>
      <c r="F1184" s="15"/>
      <c r="G1184" s="16"/>
      <c r="H1184" s="11"/>
      <c r="I1184" s="7"/>
      <c r="J1184" s="7"/>
      <c r="K1184" s="17"/>
      <c r="L1184" s="17"/>
      <c r="M1184" s="1"/>
      <c r="N1184" s="1"/>
      <c r="O1184" s="1"/>
      <c r="P1184" s="11"/>
      <c r="Q1184" s="11"/>
      <c r="R1184" s="11"/>
      <c r="S1184" s="11"/>
      <c r="T1184" s="1"/>
      <c r="U1184" s="1"/>
      <c r="V1184" s="1"/>
      <c r="W1184" s="1"/>
      <c r="X1184" s="1"/>
      <c r="Y1184" s="1"/>
      <c r="Z1184" s="1"/>
    </row>
    <row r="1185" ht="18.0" customHeight="1" outlineLevel="2">
      <c r="A1185" s="26">
        <v>8.0</v>
      </c>
      <c r="B1185" s="1"/>
      <c r="C1185" s="1"/>
      <c r="D1185" s="1"/>
      <c r="E1185" s="14"/>
      <c r="F1185" s="15"/>
      <c r="G1185" s="16"/>
      <c r="H1185" s="11"/>
      <c r="I1185" s="7"/>
      <c r="J1185" s="7"/>
      <c r="K1185" s="17"/>
      <c r="L1185" s="17"/>
      <c r="M1185" s="1"/>
      <c r="N1185" s="1"/>
      <c r="O1185" s="1"/>
      <c r="P1185" s="11"/>
      <c r="Q1185" s="11"/>
      <c r="R1185" s="11"/>
      <c r="S1185" s="11"/>
      <c r="T1185" s="1"/>
      <c r="U1185" s="1"/>
      <c r="V1185" s="1"/>
      <c r="W1185" s="1"/>
      <c r="X1185" s="1"/>
      <c r="Y1185" s="1"/>
      <c r="Z1185" s="1"/>
    </row>
    <row r="1186" ht="18.0" customHeight="1" outlineLevel="2">
      <c r="A1186" s="26">
        <v>9.0</v>
      </c>
      <c r="B1186" s="1"/>
      <c r="C1186" s="1"/>
      <c r="D1186" s="1"/>
      <c r="E1186" s="14"/>
      <c r="F1186" s="15"/>
      <c r="G1186" s="16"/>
      <c r="H1186" s="11"/>
      <c r="I1186" s="7"/>
      <c r="J1186" s="7"/>
      <c r="K1186" s="17"/>
      <c r="L1186" s="17"/>
      <c r="M1186" s="1"/>
      <c r="N1186" s="1"/>
      <c r="O1186" s="1"/>
      <c r="P1186" s="11"/>
      <c r="Q1186" s="11"/>
      <c r="R1186" s="11"/>
      <c r="S1186" s="11"/>
      <c r="T1186" s="1"/>
      <c r="U1186" s="1"/>
      <c r="V1186" s="1"/>
      <c r="W1186" s="1"/>
      <c r="X1186" s="1"/>
      <c r="Y1186" s="1"/>
      <c r="Z1186" s="1"/>
    </row>
    <row r="1187" ht="18.0" customHeight="1" outlineLevel="2">
      <c r="A1187" s="26">
        <v>10.0</v>
      </c>
      <c r="B1187" s="1"/>
      <c r="C1187" s="1"/>
      <c r="D1187" s="1"/>
      <c r="E1187" s="14"/>
      <c r="F1187" s="15"/>
      <c r="G1187" s="16"/>
      <c r="H1187" s="11"/>
      <c r="I1187" s="7"/>
      <c r="J1187" s="7"/>
      <c r="K1187" s="17"/>
      <c r="L1187" s="17"/>
      <c r="M1187" s="1"/>
      <c r="N1187" s="1"/>
      <c r="O1187" s="1"/>
      <c r="P1187" s="11"/>
      <c r="Q1187" s="11"/>
      <c r="R1187" s="11"/>
      <c r="S1187" s="11"/>
      <c r="T1187" s="1"/>
      <c r="U1187" s="1"/>
      <c r="V1187" s="1"/>
      <c r="W1187" s="1"/>
      <c r="X1187" s="1"/>
      <c r="Y1187" s="1"/>
      <c r="Z1187" s="1"/>
    </row>
    <row r="1188" ht="18.0" customHeight="1" outlineLevel="1">
      <c r="A1188" s="1"/>
      <c r="B1188" s="1"/>
      <c r="C1188" s="1"/>
      <c r="D1188" s="1"/>
      <c r="E1188" s="14"/>
      <c r="F1188" s="15"/>
      <c r="G1188" s="16"/>
      <c r="H1188" s="11"/>
      <c r="I1188" s="7"/>
      <c r="J1188" s="7"/>
      <c r="K1188" s="17"/>
      <c r="L1188" s="17"/>
      <c r="M1188" s="1"/>
      <c r="N1188" s="1"/>
      <c r="O1188" s="1"/>
      <c r="P1188" s="11"/>
      <c r="Q1188" s="11"/>
      <c r="R1188" s="11"/>
      <c r="S1188" s="11"/>
      <c r="T1188" s="1"/>
      <c r="U1188" s="1"/>
      <c r="V1188" s="1"/>
      <c r="W1188" s="1"/>
      <c r="X1188" s="1"/>
      <c r="Y1188" s="1"/>
      <c r="Z1188" s="1"/>
    </row>
    <row r="1189" ht="18.0" customHeight="1" outlineLevel="1">
      <c r="A1189" s="1"/>
      <c r="B1189" s="1"/>
      <c r="C1189" s="1"/>
      <c r="D1189" s="1"/>
      <c r="E1189" s="14"/>
      <c r="F1189" s="15"/>
      <c r="G1189" s="16"/>
      <c r="H1189" s="11"/>
      <c r="I1189" s="7"/>
      <c r="J1189" s="7"/>
      <c r="K1189" s="17"/>
      <c r="L1189" s="17"/>
      <c r="M1189" s="1"/>
      <c r="N1189" s="1"/>
      <c r="O1189" s="1"/>
      <c r="P1189" s="11"/>
      <c r="Q1189" s="11"/>
      <c r="R1189" s="11"/>
      <c r="S1189" s="11"/>
      <c r="T1189" s="1"/>
      <c r="U1189" s="1"/>
      <c r="V1189" s="1"/>
      <c r="W1189" s="1"/>
      <c r="X1189" s="1"/>
      <c r="Y1189" s="1"/>
      <c r="Z1189" s="1"/>
    </row>
    <row r="1190" ht="18.0" customHeight="1" outlineLevel="1">
      <c r="A1190" s="1"/>
      <c r="B1190" s="26" t="s">
        <v>1554</v>
      </c>
      <c r="C1190" s="1"/>
      <c r="D1190" s="1"/>
      <c r="E1190" s="14"/>
      <c r="F1190" s="15"/>
      <c r="G1190" s="16"/>
      <c r="H1190" s="11"/>
      <c r="I1190" s="7"/>
      <c r="J1190" s="7"/>
      <c r="K1190" s="17"/>
      <c r="L1190" s="17"/>
      <c r="M1190" s="1"/>
      <c r="N1190" s="1"/>
      <c r="O1190" s="1"/>
      <c r="P1190" s="11"/>
      <c r="Q1190" s="11"/>
      <c r="R1190" s="11"/>
      <c r="S1190" s="11"/>
      <c r="T1190" s="1"/>
      <c r="U1190" s="1"/>
      <c r="V1190" s="1"/>
      <c r="W1190" s="1"/>
      <c r="X1190" s="1"/>
      <c r="Y1190" s="1"/>
      <c r="Z1190" s="1"/>
    </row>
    <row r="1191" ht="18.0" customHeight="1" outlineLevel="2">
      <c r="A1191" s="26">
        <v>1.0</v>
      </c>
      <c r="B1191" s="26" t="s">
        <v>35</v>
      </c>
      <c r="C1191" s="1"/>
      <c r="D1191" s="1"/>
      <c r="E1191" s="14"/>
      <c r="F1191" s="15"/>
      <c r="G1191" s="16"/>
      <c r="H1191" s="11"/>
      <c r="I1191" s="7"/>
      <c r="J1191" s="7"/>
      <c r="K1191" s="17"/>
      <c r="L1191" s="17"/>
      <c r="M1191" s="1"/>
      <c r="N1191" s="1"/>
      <c r="O1191" s="1"/>
      <c r="P1191" s="11"/>
      <c r="Q1191" s="11"/>
      <c r="R1191" s="11"/>
      <c r="S1191" s="11"/>
      <c r="T1191" s="1"/>
      <c r="U1191" s="1"/>
      <c r="V1191" s="1"/>
      <c r="W1191" s="1"/>
      <c r="X1191" s="1"/>
      <c r="Y1191" s="1"/>
      <c r="Z1191" s="1"/>
    </row>
    <row r="1192" ht="18.0" customHeight="1" outlineLevel="2">
      <c r="A1192" s="26">
        <v>2.0</v>
      </c>
      <c r="B1192" s="26" t="s">
        <v>39</v>
      </c>
      <c r="C1192" s="1"/>
      <c r="D1192" s="1"/>
      <c r="E1192" s="14"/>
      <c r="F1192" s="15"/>
      <c r="G1192" s="16"/>
      <c r="H1192" s="11"/>
      <c r="I1192" s="7"/>
      <c r="J1192" s="7"/>
      <c r="K1192" s="17"/>
      <c r="L1192" s="17"/>
      <c r="M1192" s="1"/>
      <c r="N1192" s="1"/>
      <c r="O1192" s="1"/>
      <c r="P1192" s="11"/>
      <c r="Q1192" s="11"/>
      <c r="R1192" s="11"/>
      <c r="S1192" s="11"/>
      <c r="T1192" s="1"/>
      <c r="U1192" s="1"/>
      <c r="V1192" s="1"/>
      <c r="W1192" s="1"/>
      <c r="X1192" s="1"/>
      <c r="Y1192" s="1"/>
      <c r="Z1192" s="1"/>
    </row>
    <row r="1193" ht="18.0" customHeight="1" outlineLevel="2">
      <c r="A1193" s="26">
        <v>3.0</v>
      </c>
      <c r="B1193" s="26" t="s">
        <v>1555</v>
      </c>
      <c r="C1193" s="1"/>
      <c r="D1193" s="1"/>
      <c r="E1193" s="29" t="s">
        <v>55</v>
      </c>
      <c r="F1193" s="15"/>
      <c r="G1193" s="16"/>
      <c r="H1193" s="22" t="s">
        <v>1556</v>
      </c>
      <c r="I1193" s="7"/>
      <c r="J1193" s="32" t="s">
        <v>1557</v>
      </c>
      <c r="K1193" s="17"/>
      <c r="L1193" s="17"/>
      <c r="M1193" s="1"/>
      <c r="N1193" s="1"/>
      <c r="O1193" s="1"/>
      <c r="P1193" s="11"/>
      <c r="Q1193" s="11"/>
      <c r="R1193" s="11"/>
      <c r="S1193" s="11"/>
      <c r="T1193" s="1"/>
      <c r="U1193" s="1"/>
      <c r="V1193" s="1"/>
      <c r="W1193" s="1"/>
      <c r="X1193" s="1"/>
      <c r="Y1193" s="1"/>
      <c r="Z1193" s="1"/>
    </row>
    <row r="1194" ht="18.0" customHeight="1" outlineLevel="2">
      <c r="A1194" s="26">
        <v>4.0</v>
      </c>
      <c r="B1194" s="26" t="s">
        <v>1558</v>
      </c>
      <c r="C1194" s="1"/>
      <c r="D1194" s="1"/>
      <c r="E1194" s="29" t="s">
        <v>55</v>
      </c>
      <c r="F1194" s="15"/>
      <c r="G1194" s="30"/>
      <c r="H1194" s="22" t="s">
        <v>1559</v>
      </c>
      <c r="I1194" s="7"/>
      <c r="J1194" s="32" t="s">
        <v>1560</v>
      </c>
      <c r="K1194" s="17"/>
      <c r="L1194" s="17"/>
      <c r="M1194" s="1"/>
      <c r="N1194" s="1"/>
      <c r="O1194" s="1"/>
      <c r="P1194" s="11"/>
      <c r="Q1194" s="11"/>
      <c r="R1194" s="11"/>
      <c r="S1194" s="11"/>
      <c r="T1194" s="1"/>
      <c r="U1194" s="1"/>
      <c r="V1194" s="1"/>
      <c r="W1194" s="1"/>
      <c r="X1194" s="1"/>
      <c r="Y1194" s="1"/>
      <c r="Z1194" s="1"/>
    </row>
    <row r="1195" ht="18.0" customHeight="1" outlineLevel="2">
      <c r="A1195" s="26">
        <v>5.0</v>
      </c>
      <c r="B1195" s="26" t="s">
        <v>1500</v>
      </c>
      <c r="C1195" s="1"/>
      <c r="D1195" s="1"/>
      <c r="E1195" s="14"/>
      <c r="F1195" s="15"/>
      <c r="G1195" s="16"/>
      <c r="H1195" s="11"/>
      <c r="I1195" s="7"/>
      <c r="J1195" s="7"/>
      <c r="K1195" s="17"/>
      <c r="L1195" s="17"/>
      <c r="M1195" s="1"/>
      <c r="N1195" s="1"/>
      <c r="O1195" s="1"/>
      <c r="P1195" s="11"/>
      <c r="Q1195" s="11"/>
      <c r="R1195" s="11"/>
      <c r="S1195" s="11"/>
      <c r="T1195" s="1"/>
      <c r="U1195" s="1"/>
      <c r="V1195" s="1"/>
      <c r="W1195" s="1"/>
      <c r="X1195" s="1"/>
      <c r="Y1195" s="1"/>
      <c r="Z1195" s="1"/>
    </row>
    <row r="1196" ht="18.0" customHeight="1" outlineLevel="2">
      <c r="A1196" s="26">
        <v>6.0</v>
      </c>
      <c r="B1196" s="1"/>
      <c r="C1196" s="1"/>
      <c r="D1196" s="1"/>
      <c r="E1196" s="14"/>
      <c r="F1196" s="15"/>
      <c r="G1196" s="16"/>
      <c r="H1196" s="11"/>
      <c r="I1196" s="7"/>
      <c r="J1196" s="7"/>
      <c r="K1196" s="17"/>
      <c r="L1196" s="17"/>
      <c r="M1196" s="1"/>
      <c r="N1196" s="1"/>
      <c r="O1196" s="1"/>
      <c r="P1196" s="11"/>
      <c r="Q1196" s="11"/>
      <c r="R1196" s="11"/>
      <c r="S1196" s="11"/>
      <c r="T1196" s="1"/>
      <c r="U1196" s="1"/>
      <c r="V1196" s="1"/>
      <c r="W1196" s="1"/>
      <c r="X1196" s="1"/>
      <c r="Y1196" s="1"/>
      <c r="Z1196" s="1"/>
    </row>
    <row r="1197" ht="18.0" customHeight="1" outlineLevel="2">
      <c r="A1197" s="26">
        <v>7.0</v>
      </c>
      <c r="B1197" s="26" t="s">
        <v>1209</v>
      </c>
      <c r="C1197" s="1"/>
      <c r="D1197" s="1"/>
      <c r="E1197" s="14"/>
      <c r="F1197" s="15"/>
      <c r="G1197" s="16"/>
      <c r="H1197" s="11"/>
      <c r="I1197" s="7"/>
      <c r="J1197" s="7"/>
      <c r="K1197" s="17"/>
      <c r="L1197" s="17"/>
      <c r="M1197" s="1"/>
      <c r="N1197" s="1"/>
      <c r="O1197" s="1"/>
      <c r="P1197" s="11"/>
      <c r="Q1197" s="11"/>
      <c r="R1197" s="11"/>
      <c r="S1197" s="11"/>
      <c r="T1197" s="1"/>
      <c r="U1197" s="1"/>
      <c r="V1197" s="1"/>
      <c r="W1197" s="1"/>
      <c r="X1197" s="1"/>
      <c r="Y1197" s="1"/>
      <c r="Z1197" s="1"/>
    </row>
    <row r="1198" ht="18.0" customHeight="1" outlineLevel="2">
      <c r="A1198" s="26">
        <v>8.0</v>
      </c>
      <c r="B1198" s="1"/>
      <c r="C1198" s="1"/>
      <c r="D1198" s="1"/>
      <c r="E1198" s="14"/>
      <c r="F1198" s="15"/>
      <c r="G1198" s="16"/>
      <c r="H1198" s="11"/>
      <c r="I1198" s="7"/>
      <c r="J1198" s="7"/>
      <c r="K1198" s="17"/>
      <c r="L1198" s="17"/>
      <c r="M1198" s="1"/>
      <c r="N1198" s="1"/>
      <c r="O1198" s="1"/>
      <c r="P1198" s="11"/>
      <c r="Q1198" s="11"/>
      <c r="R1198" s="11"/>
      <c r="S1198" s="11"/>
      <c r="T1198" s="1"/>
      <c r="U1198" s="1"/>
      <c r="V1198" s="1"/>
      <c r="W1198" s="1"/>
      <c r="X1198" s="1"/>
      <c r="Y1198" s="1"/>
      <c r="Z1198" s="1"/>
    </row>
    <row r="1199" ht="18.0" customHeight="1" outlineLevel="2">
      <c r="A1199" s="26">
        <v>9.0</v>
      </c>
      <c r="B1199" s="1"/>
      <c r="C1199" s="1"/>
      <c r="D1199" s="1"/>
      <c r="E1199" s="14"/>
      <c r="F1199" s="15"/>
      <c r="G1199" s="16"/>
      <c r="H1199" s="11"/>
      <c r="I1199" s="7"/>
      <c r="J1199" s="7"/>
      <c r="K1199" s="17"/>
      <c r="L1199" s="17"/>
      <c r="M1199" s="1"/>
      <c r="N1199" s="1"/>
      <c r="O1199" s="1"/>
      <c r="P1199" s="11"/>
      <c r="Q1199" s="11"/>
      <c r="R1199" s="11"/>
      <c r="S1199" s="11"/>
      <c r="T1199" s="1"/>
      <c r="U1199" s="1"/>
      <c r="V1199" s="1"/>
      <c r="W1199" s="1"/>
      <c r="X1199" s="1"/>
      <c r="Y1199" s="1"/>
      <c r="Z1199" s="1"/>
    </row>
    <row r="1200" ht="18.0" customHeight="1" outlineLevel="2">
      <c r="A1200" s="26">
        <v>10.0</v>
      </c>
      <c r="B1200" s="1"/>
      <c r="C1200" s="1"/>
      <c r="D1200" s="1"/>
      <c r="E1200" s="14"/>
      <c r="F1200" s="15"/>
      <c r="G1200" s="16"/>
      <c r="H1200" s="11"/>
      <c r="I1200" s="7"/>
      <c r="J1200" s="7"/>
      <c r="K1200" s="17"/>
      <c r="L1200" s="17"/>
      <c r="M1200" s="1"/>
      <c r="N1200" s="1"/>
      <c r="O1200" s="1"/>
      <c r="P1200" s="11"/>
      <c r="Q1200" s="11"/>
      <c r="R1200" s="11"/>
      <c r="S1200" s="11"/>
      <c r="T1200" s="1"/>
      <c r="U1200" s="1"/>
      <c r="V1200" s="1"/>
      <c r="W1200" s="1"/>
      <c r="X1200" s="1"/>
      <c r="Y1200" s="1"/>
      <c r="Z1200" s="1"/>
    </row>
    <row r="1201" ht="18.0" customHeight="1" outlineLevel="1">
      <c r="A1201" s="1"/>
      <c r="B1201" s="1"/>
      <c r="C1201" s="1"/>
      <c r="D1201" s="1"/>
      <c r="E1201" s="14"/>
      <c r="F1201" s="15"/>
      <c r="G1201" s="16"/>
      <c r="H1201" s="11"/>
      <c r="I1201" s="7"/>
      <c r="J1201" s="7"/>
      <c r="K1201" s="17"/>
      <c r="L1201" s="17"/>
      <c r="M1201" s="1"/>
      <c r="N1201" s="1"/>
      <c r="O1201" s="1"/>
      <c r="P1201" s="11"/>
      <c r="Q1201" s="11"/>
      <c r="R1201" s="11"/>
      <c r="S1201" s="11"/>
      <c r="T1201" s="1"/>
      <c r="U1201" s="1"/>
      <c r="V1201" s="1"/>
      <c r="W1201" s="1"/>
      <c r="X1201" s="1"/>
      <c r="Y1201" s="1"/>
      <c r="Z1201" s="1"/>
    </row>
    <row r="1202" ht="18.0" customHeight="1" outlineLevel="1">
      <c r="A1202" s="1"/>
      <c r="B1202" s="1"/>
      <c r="C1202" s="1"/>
      <c r="D1202" s="1"/>
      <c r="E1202" s="14"/>
      <c r="F1202" s="15"/>
      <c r="G1202" s="16"/>
      <c r="H1202" s="11"/>
      <c r="I1202" s="7"/>
      <c r="J1202" s="7"/>
      <c r="K1202" s="17"/>
      <c r="L1202" s="17"/>
      <c r="M1202" s="1"/>
      <c r="N1202" s="1"/>
      <c r="O1202" s="1"/>
      <c r="P1202" s="11"/>
      <c r="Q1202" s="11"/>
      <c r="R1202" s="11"/>
      <c r="S1202" s="11"/>
      <c r="T1202" s="1"/>
      <c r="U1202" s="1"/>
      <c r="V1202" s="1"/>
      <c r="W1202" s="1"/>
      <c r="X1202" s="1"/>
      <c r="Y1202" s="1"/>
      <c r="Z1202" s="1"/>
    </row>
    <row r="1203" ht="18.0" customHeight="1" outlineLevel="1">
      <c r="A1203" s="1"/>
      <c r="B1203" s="26" t="s">
        <v>1561</v>
      </c>
      <c r="C1203" s="1"/>
      <c r="D1203" s="1"/>
      <c r="E1203" s="14"/>
      <c r="F1203" s="15"/>
      <c r="G1203" s="16"/>
      <c r="H1203" s="11"/>
      <c r="I1203" s="7"/>
      <c r="J1203" s="7"/>
      <c r="K1203" s="17"/>
      <c r="L1203" s="17"/>
      <c r="M1203" s="1"/>
      <c r="N1203" s="1"/>
      <c r="O1203" s="1"/>
      <c r="P1203" s="11"/>
      <c r="Q1203" s="11"/>
      <c r="R1203" s="11"/>
      <c r="S1203" s="11"/>
      <c r="T1203" s="1"/>
      <c r="U1203" s="1"/>
      <c r="V1203" s="1"/>
      <c r="W1203" s="1"/>
      <c r="X1203" s="1"/>
      <c r="Y1203" s="1"/>
      <c r="Z1203" s="1"/>
    </row>
    <row r="1204" ht="18.0" customHeight="1" outlineLevel="2">
      <c r="A1204" s="26">
        <v>1.0</v>
      </c>
      <c r="B1204" s="26" t="s">
        <v>1562</v>
      </c>
      <c r="C1204" s="1"/>
      <c r="D1204" s="1"/>
      <c r="E1204" s="29" t="s">
        <v>33</v>
      </c>
      <c r="F1204" s="15"/>
      <c r="G1204" s="30">
        <v>40.0</v>
      </c>
      <c r="H1204" s="22" t="s">
        <v>1563</v>
      </c>
      <c r="I1204" s="7"/>
      <c r="J1204" s="32" t="s">
        <v>1564</v>
      </c>
      <c r="K1204" s="17"/>
      <c r="L1204" s="17"/>
      <c r="M1204" s="1"/>
      <c r="N1204" s="1"/>
      <c r="O1204" s="1"/>
      <c r="P1204" s="11"/>
      <c r="Q1204" s="11"/>
      <c r="R1204" s="11"/>
      <c r="S1204" s="11"/>
      <c r="T1204" s="1"/>
      <c r="U1204" s="1"/>
      <c r="V1204" s="1"/>
      <c r="W1204" s="1"/>
      <c r="X1204" s="1"/>
      <c r="Y1204" s="1"/>
      <c r="Z1204" s="1"/>
    </row>
    <row r="1205" ht="18.0" customHeight="1" outlineLevel="2">
      <c r="A1205" s="26">
        <v>2.0</v>
      </c>
      <c r="B1205" s="26" t="s">
        <v>1565</v>
      </c>
      <c r="C1205" s="1"/>
      <c r="D1205" s="1"/>
      <c r="E1205" s="29" t="s">
        <v>33</v>
      </c>
      <c r="F1205" s="15"/>
      <c r="G1205" s="30">
        <v>40.0</v>
      </c>
      <c r="H1205" s="22" t="s">
        <v>1566</v>
      </c>
      <c r="I1205" s="7"/>
      <c r="J1205" s="32" t="s">
        <v>1567</v>
      </c>
      <c r="K1205" s="17"/>
      <c r="L1205" s="17"/>
      <c r="M1205" s="1"/>
      <c r="N1205" s="1"/>
      <c r="O1205" s="1"/>
      <c r="P1205" s="11"/>
      <c r="Q1205" s="11"/>
      <c r="R1205" s="11"/>
      <c r="S1205" s="11"/>
      <c r="T1205" s="1"/>
      <c r="U1205" s="1"/>
      <c r="V1205" s="1"/>
      <c r="W1205" s="1"/>
      <c r="X1205" s="1"/>
      <c r="Y1205" s="1"/>
      <c r="Z1205" s="1"/>
    </row>
    <row r="1206" ht="18.0" customHeight="1" outlineLevel="2">
      <c r="A1206" s="26">
        <v>3.0</v>
      </c>
      <c r="B1206" s="26" t="s">
        <v>1568</v>
      </c>
      <c r="C1206" s="1"/>
      <c r="D1206" s="1"/>
      <c r="E1206" s="29" t="s">
        <v>55</v>
      </c>
      <c r="F1206" s="15"/>
      <c r="G1206" s="16"/>
      <c r="H1206" s="22" t="s">
        <v>1569</v>
      </c>
      <c r="I1206" s="7"/>
      <c r="J1206" s="32" t="s">
        <v>1570</v>
      </c>
      <c r="K1206" s="17"/>
      <c r="L1206" s="17"/>
      <c r="M1206" s="1"/>
      <c r="N1206" s="1"/>
      <c r="O1206" s="1"/>
      <c r="P1206" s="11"/>
      <c r="Q1206" s="11"/>
      <c r="R1206" s="11"/>
      <c r="S1206" s="11"/>
      <c r="T1206" s="1"/>
      <c r="U1206" s="1"/>
      <c r="V1206" s="1"/>
      <c r="W1206" s="1"/>
      <c r="X1206" s="1"/>
      <c r="Y1206" s="1"/>
      <c r="Z1206" s="1"/>
    </row>
    <row r="1207" ht="18.0" customHeight="1" outlineLevel="2">
      <c r="A1207" s="26">
        <v>4.0</v>
      </c>
      <c r="B1207" s="26" t="s">
        <v>1571</v>
      </c>
      <c r="C1207" s="1"/>
      <c r="D1207" s="1"/>
      <c r="E1207" s="29" t="s">
        <v>55</v>
      </c>
      <c r="F1207" s="15"/>
      <c r="G1207" s="30"/>
      <c r="H1207" s="22" t="s">
        <v>1545</v>
      </c>
      <c r="I1207" s="7"/>
      <c r="J1207" s="32" t="s">
        <v>1572</v>
      </c>
      <c r="K1207" s="17"/>
      <c r="L1207" s="17"/>
      <c r="M1207" s="1"/>
      <c r="N1207" s="1"/>
      <c r="O1207" s="1"/>
      <c r="P1207" s="11"/>
      <c r="Q1207" s="11"/>
      <c r="R1207" s="11"/>
      <c r="S1207" s="11"/>
      <c r="T1207" s="1"/>
      <c r="U1207" s="1"/>
      <c r="V1207" s="1"/>
      <c r="W1207" s="1"/>
      <c r="X1207" s="1"/>
      <c r="Y1207" s="1"/>
      <c r="Z1207" s="1"/>
    </row>
    <row r="1208" ht="18.0" customHeight="1" outlineLevel="2">
      <c r="A1208" s="26">
        <v>5.0</v>
      </c>
      <c r="B1208" s="26" t="s">
        <v>1500</v>
      </c>
      <c r="C1208" s="1"/>
      <c r="D1208" s="1"/>
      <c r="E1208" s="14"/>
      <c r="F1208" s="15"/>
      <c r="G1208" s="16"/>
      <c r="H1208" s="11"/>
      <c r="I1208" s="7"/>
      <c r="J1208" s="7"/>
      <c r="K1208" s="17"/>
      <c r="L1208" s="17"/>
      <c r="M1208" s="1"/>
      <c r="N1208" s="1"/>
      <c r="O1208" s="1"/>
      <c r="P1208" s="11"/>
      <c r="Q1208" s="11"/>
      <c r="R1208" s="11"/>
      <c r="S1208" s="11"/>
      <c r="T1208" s="1"/>
      <c r="U1208" s="1"/>
      <c r="V1208" s="1"/>
      <c r="W1208" s="1"/>
      <c r="X1208" s="1"/>
      <c r="Y1208" s="1"/>
      <c r="Z1208" s="1"/>
    </row>
    <row r="1209" ht="18.0" customHeight="1" outlineLevel="2">
      <c r="A1209" s="26">
        <v>6.0</v>
      </c>
      <c r="B1209" s="1"/>
      <c r="C1209" s="1"/>
      <c r="D1209" s="1"/>
      <c r="E1209" s="14"/>
      <c r="F1209" s="15"/>
      <c r="G1209" s="16"/>
      <c r="H1209" s="11"/>
      <c r="I1209" s="7"/>
      <c r="J1209" s="7"/>
      <c r="K1209" s="17"/>
      <c r="L1209" s="17"/>
      <c r="M1209" s="1"/>
      <c r="N1209" s="1"/>
      <c r="O1209" s="1"/>
      <c r="P1209" s="11"/>
      <c r="Q1209" s="11"/>
      <c r="R1209" s="11"/>
      <c r="S1209" s="11"/>
      <c r="T1209" s="1"/>
      <c r="U1209" s="1"/>
      <c r="V1209" s="1"/>
      <c r="W1209" s="1"/>
      <c r="X1209" s="1"/>
      <c r="Y1209" s="1"/>
      <c r="Z1209" s="1"/>
    </row>
    <row r="1210" ht="18.0" customHeight="1" outlineLevel="2">
      <c r="A1210" s="26">
        <v>7.0</v>
      </c>
      <c r="B1210" s="26" t="s">
        <v>1209</v>
      </c>
      <c r="C1210" s="1"/>
      <c r="D1210" s="1"/>
      <c r="E1210" s="14"/>
      <c r="F1210" s="15"/>
      <c r="G1210" s="16"/>
      <c r="H1210" s="11"/>
      <c r="I1210" s="7"/>
      <c r="J1210" s="7"/>
      <c r="K1210" s="17"/>
      <c r="L1210" s="17"/>
      <c r="M1210" s="1"/>
      <c r="N1210" s="1"/>
      <c r="O1210" s="1"/>
      <c r="P1210" s="11"/>
      <c r="Q1210" s="11"/>
      <c r="R1210" s="11"/>
      <c r="S1210" s="11"/>
      <c r="T1210" s="1"/>
      <c r="U1210" s="1"/>
      <c r="V1210" s="1"/>
      <c r="W1210" s="1"/>
      <c r="X1210" s="1"/>
      <c r="Y1210" s="1"/>
      <c r="Z1210" s="1"/>
    </row>
    <row r="1211" ht="18.0" customHeight="1" outlineLevel="2">
      <c r="A1211" s="26">
        <v>8.0</v>
      </c>
      <c r="B1211" s="1"/>
      <c r="C1211" s="1"/>
      <c r="D1211" s="1"/>
      <c r="E1211" s="14"/>
      <c r="F1211" s="15"/>
      <c r="G1211" s="16"/>
      <c r="H1211" s="11"/>
      <c r="I1211" s="7"/>
      <c r="J1211" s="7"/>
      <c r="K1211" s="17"/>
      <c r="L1211" s="17"/>
      <c r="M1211" s="1"/>
      <c r="N1211" s="1"/>
      <c r="O1211" s="1"/>
      <c r="P1211" s="11"/>
      <c r="Q1211" s="11"/>
      <c r="R1211" s="11"/>
      <c r="S1211" s="11"/>
      <c r="T1211" s="1"/>
      <c r="U1211" s="1"/>
      <c r="V1211" s="1"/>
      <c r="W1211" s="1"/>
      <c r="X1211" s="1"/>
      <c r="Y1211" s="1"/>
      <c r="Z1211" s="1"/>
    </row>
    <row r="1212" ht="18.0" customHeight="1" outlineLevel="2">
      <c r="A1212" s="26">
        <v>9.0</v>
      </c>
      <c r="B1212" s="1"/>
      <c r="C1212" s="1"/>
      <c r="D1212" s="1"/>
      <c r="E1212" s="14"/>
      <c r="F1212" s="15"/>
      <c r="G1212" s="16"/>
      <c r="H1212" s="11"/>
      <c r="I1212" s="7"/>
      <c r="J1212" s="7"/>
      <c r="K1212" s="17"/>
      <c r="L1212" s="17"/>
      <c r="M1212" s="1"/>
      <c r="N1212" s="1"/>
      <c r="O1212" s="1"/>
      <c r="P1212" s="11"/>
      <c r="Q1212" s="11"/>
      <c r="R1212" s="11"/>
      <c r="S1212" s="11"/>
      <c r="T1212" s="1"/>
      <c r="U1212" s="1"/>
      <c r="V1212" s="1"/>
      <c r="W1212" s="1"/>
      <c r="X1212" s="1"/>
      <c r="Y1212" s="1"/>
      <c r="Z1212" s="1"/>
    </row>
    <row r="1213" ht="18.0" customHeight="1" outlineLevel="2">
      <c r="A1213" s="26">
        <v>10.0</v>
      </c>
      <c r="B1213" s="1"/>
      <c r="C1213" s="1"/>
      <c r="D1213" s="1"/>
      <c r="E1213" s="14"/>
      <c r="F1213" s="15"/>
      <c r="G1213" s="16"/>
      <c r="H1213" s="11"/>
      <c r="I1213" s="7"/>
      <c r="J1213" s="7"/>
      <c r="K1213" s="17"/>
      <c r="L1213" s="17"/>
      <c r="M1213" s="1"/>
      <c r="N1213" s="1"/>
      <c r="O1213" s="1"/>
      <c r="P1213" s="11"/>
      <c r="Q1213" s="11"/>
      <c r="R1213" s="11"/>
      <c r="S1213" s="11"/>
      <c r="T1213" s="1"/>
      <c r="U1213" s="1"/>
      <c r="V1213" s="1"/>
      <c r="W1213" s="1"/>
      <c r="X1213" s="1"/>
      <c r="Y1213" s="1"/>
      <c r="Z1213" s="1"/>
    </row>
    <row r="1214" ht="18.0" customHeight="1" outlineLevel="1">
      <c r="A1214" s="1"/>
      <c r="B1214" s="1"/>
      <c r="C1214" s="1"/>
      <c r="D1214" s="1"/>
      <c r="E1214" s="14"/>
      <c r="F1214" s="15"/>
      <c r="G1214" s="16"/>
      <c r="H1214" s="11"/>
      <c r="I1214" s="7"/>
      <c r="J1214" s="7"/>
      <c r="K1214" s="17"/>
      <c r="L1214" s="17"/>
      <c r="M1214" s="1"/>
      <c r="N1214" s="1"/>
      <c r="O1214" s="1"/>
      <c r="P1214" s="11"/>
      <c r="Q1214" s="11"/>
      <c r="R1214" s="11"/>
      <c r="S1214" s="11"/>
      <c r="T1214" s="1"/>
      <c r="U1214" s="1"/>
      <c r="V1214" s="1"/>
      <c r="W1214" s="1"/>
      <c r="X1214" s="1"/>
      <c r="Y1214" s="1"/>
      <c r="Z1214" s="1"/>
    </row>
    <row r="1215" ht="18.0" customHeight="1" outlineLevel="1">
      <c r="A1215" s="1"/>
      <c r="B1215" s="1"/>
      <c r="C1215" s="1"/>
      <c r="D1215" s="1"/>
      <c r="E1215" s="14"/>
      <c r="F1215" s="15"/>
      <c r="G1215" s="16"/>
      <c r="H1215" s="11"/>
      <c r="I1215" s="7"/>
      <c r="J1215" s="7"/>
      <c r="K1215" s="17"/>
      <c r="L1215" s="17"/>
      <c r="M1215" s="1"/>
      <c r="N1215" s="1"/>
      <c r="O1215" s="1"/>
      <c r="P1215" s="11"/>
      <c r="Q1215" s="11"/>
      <c r="R1215" s="11"/>
      <c r="S1215" s="11"/>
      <c r="T1215" s="1"/>
      <c r="U1215" s="1"/>
      <c r="V1215" s="1"/>
      <c r="W1215" s="1"/>
      <c r="X1215" s="1"/>
      <c r="Y1215" s="1"/>
      <c r="Z1215" s="1"/>
    </row>
    <row r="1216" ht="18.0" customHeight="1" outlineLevel="1">
      <c r="A1216" s="1"/>
      <c r="B1216" s="26" t="s">
        <v>1573</v>
      </c>
      <c r="C1216" s="1"/>
      <c r="D1216" s="1"/>
      <c r="E1216" s="14"/>
      <c r="F1216" s="15"/>
      <c r="G1216" s="16"/>
      <c r="H1216" s="11"/>
      <c r="I1216" s="7"/>
      <c r="J1216" s="7"/>
      <c r="K1216" s="17"/>
      <c r="L1216" s="17"/>
      <c r="M1216" s="1"/>
      <c r="N1216" s="1"/>
      <c r="O1216" s="1"/>
      <c r="P1216" s="11"/>
      <c r="Q1216" s="11"/>
      <c r="R1216" s="11"/>
      <c r="S1216" s="11"/>
      <c r="T1216" s="1"/>
      <c r="U1216" s="1"/>
      <c r="V1216" s="1"/>
      <c r="W1216" s="1"/>
      <c r="X1216" s="1"/>
      <c r="Y1216" s="1"/>
      <c r="Z1216" s="1"/>
    </row>
    <row r="1217" ht="18.0" customHeight="1" outlineLevel="2">
      <c r="A1217" s="26">
        <v>1.0</v>
      </c>
      <c r="B1217" s="26" t="s">
        <v>35</v>
      </c>
      <c r="C1217" s="1"/>
      <c r="D1217" s="1"/>
      <c r="E1217" s="14"/>
      <c r="F1217" s="15"/>
      <c r="G1217" s="16"/>
      <c r="H1217" s="11"/>
      <c r="I1217" s="7"/>
      <c r="J1217" s="7"/>
      <c r="K1217" s="17"/>
      <c r="L1217" s="17"/>
      <c r="M1217" s="1"/>
      <c r="N1217" s="1"/>
      <c r="O1217" s="1"/>
      <c r="P1217" s="11"/>
      <c r="Q1217" s="11"/>
      <c r="R1217" s="11"/>
      <c r="S1217" s="11"/>
      <c r="T1217" s="1"/>
      <c r="U1217" s="1"/>
      <c r="V1217" s="1"/>
      <c r="W1217" s="1"/>
      <c r="X1217" s="1"/>
      <c r="Y1217" s="1"/>
      <c r="Z1217" s="1"/>
    </row>
    <row r="1218" ht="18.0" customHeight="1" outlineLevel="2">
      <c r="A1218" s="26">
        <v>2.0</v>
      </c>
      <c r="B1218" s="26" t="s">
        <v>37</v>
      </c>
      <c r="C1218" s="1"/>
      <c r="D1218" s="1"/>
      <c r="E1218" s="14"/>
      <c r="F1218" s="15"/>
      <c r="G1218" s="16"/>
      <c r="H1218" s="11"/>
      <c r="I1218" s="7"/>
      <c r="J1218" s="7"/>
      <c r="K1218" s="17"/>
      <c r="L1218" s="17"/>
      <c r="M1218" s="1"/>
      <c r="N1218" s="1"/>
      <c r="O1218" s="1"/>
      <c r="P1218" s="11"/>
      <c r="Q1218" s="11"/>
      <c r="R1218" s="11"/>
      <c r="S1218" s="11"/>
      <c r="T1218" s="1"/>
      <c r="U1218" s="1"/>
      <c r="V1218" s="1"/>
      <c r="W1218" s="1"/>
      <c r="X1218" s="1"/>
      <c r="Y1218" s="1"/>
      <c r="Z1218" s="1"/>
    </row>
    <row r="1219" ht="18.0" customHeight="1" outlineLevel="2">
      <c r="A1219" s="26">
        <v>3.0</v>
      </c>
      <c r="B1219" s="26" t="s">
        <v>1574</v>
      </c>
      <c r="C1219" s="1"/>
      <c r="D1219" s="1"/>
      <c r="E1219" s="29" t="s">
        <v>55</v>
      </c>
      <c r="F1219" s="15"/>
      <c r="G1219" s="16"/>
      <c r="H1219" s="22" t="s">
        <v>1575</v>
      </c>
      <c r="I1219" s="7"/>
      <c r="J1219" s="32" t="s">
        <v>1576</v>
      </c>
      <c r="K1219" s="17"/>
      <c r="L1219" s="17"/>
      <c r="M1219" s="1"/>
      <c r="N1219" s="1"/>
      <c r="O1219" s="1"/>
      <c r="P1219" s="11"/>
      <c r="Q1219" s="11"/>
      <c r="R1219" s="11"/>
      <c r="S1219" s="11"/>
      <c r="T1219" s="1"/>
      <c r="U1219" s="1"/>
      <c r="V1219" s="1"/>
      <c r="W1219" s="1"/>
      <c r="X1219" s="1"/>
      <c r="Y1219" s="1"/>
      <c r="Z1219" s="1"/>
    </row>
    <row r="1220" ht="18.0" customHeight="1" outlineLevel="2">
      <c r="A1220" s="26">
        <v>4.0</v>
      </c>
      <c r="B1220" s="26" t="s">
        <v>1577</v>
      </c>
      <c r="C1220" s="1"/>
      <c r="D1220" s="1"/>
      <c r="E1220" s="29" t="s">
        <v>55</v>
      </c>
      <c r="F1220" s="15"/>
      <c r="G1220" s="30"/>
      <c r="H1220" s="22" t="s">
        <v>1578</v>
      </c>
      <c r="I1220" s="7"/>
      <c r="J1220" s="32" t="s">
        <v>1579</v>
      </c>
      <c r="K1220" s="17"/>
      <c r="L1220" s="17"/>
      <c r="M1220" s="1"/>
      <c r="N1220" s="1"/>
      <c r="O1220" s="1"/>
      <c r="P1220" s="11"/>
      <c r="Q1220" s="11"/>
      <c r="R1220" s="11"/>
      <c r="S1220" s="11"/>
      <c r="T1220" s="1"/>
      <c r="U1220" s="1"/>
      <c r="V1220" s="1"/>
      <c r="W1220" s="1"/>
      <c r="X1220" s="1"/>
      <c r="Y1220" s="1"/>
      <c r="Z1220" s="1"/>
    </row>
    <row r="1221" ht="18.0" customHeight="1" outlineLevel="2">
      <c r="A1221" s="26">
        <v>5.0</v>
      </c>
      <c r="B1221" s="26" t="s">
        <v>1500</v>
      </c>
      <c r="C1221" s="1"/>
      <c r="D1221" s="1"/>
      <c r="E1221" s="14"/>
      <c r="F1221" s="15"/>
      <c r="G1221" s="16"/>
      <c r="H1221" s="11"/>
      <c r="I1221" s="7"/>
      <c r="J1221" s="7"/>
      <c r="K1221" s="17"/>
      <c r="L1221" s="17"/>
      <c r="M1221" s="1"/>
      <c r="N1221" s="1"/>
      <c r="O1221" s="1"/>
      <c r="P1221" s="11"/>
      <c r="Q1221" s="11"/>
      <c r="R1221" s="11"/>
      <c r="S1221" s="11"/>
      <c r="T1221" s="1"/>
      <c r="U1221" s="1"/>
      <c r="V1221" s="1"/>
      <c r="W1221" s="1"/>
      <c r="X1221" s="1"/>
      <c r="Y1221" s="1"/>
      <c r="Z1221" s="1"/>
    </row>
    <row r="1222" ht="18.0" customHeight="1" outlineLevel="2">
      <c r="A1222" s="26">
        <v>6.0</v>
      </c>
      <c r="B1222" s="1"/>
      <c r="C1222" s="1"/>
      <c r="D1222" s="1"/>
      <c r="E1222" s="14"/>
      <c r="F1222" s="15"/>
      <c r="G1222" s="16"/>
      <c r="H1222" s="11"/>
      <c r="I1222" s="7"/>
      <c r="J1222" s="7"/>
      <c r="K1222" s="17"/>
      <c r="L1222" s="17"/>
      <c r="M1222" s="1"/>
      <c r="N1222" s="1"/>
      <c r="O1222" s="1"/>
      <c r="P1222" s="11"/>
      <c r="Q1222" s="11"/>
      <c r="R1222" s="11"/>
      <c r="S1222" s="11"/>
      <c r="T1222" s="1"/>
      <c r="U1222" s="1"/>
      <c r="V1222" s="1"/>
      <c r="W1222" s="1"/>
      <c r="X1222" s="1"/>
      <c r="Y1222" s="1"/>
      <c r="Z1222" s="1"/>
    </row>
    <row r="1223" ht="18.0" customHeight="1" outlineLevel="2">
      <c r="A1223" s="26">
        <v>7.0</v>
      </c>
      <c r="B1223" s="26" t="s">
        <v>1209</v>
      </c>
      <c r="C1223" s="1"/>
      <c r="D1223" s="1"/>
      <c r="E1223" s="14"/>
      <c r="F1223" s="15"/>
      <c r="G1223" s="16"/>
      <c r="H1223" s="11"/>
      <c r="I1223" s="7"/>
      <c r="J1223" s="7"/>
      <c r="K1223" s="17"/>
      <c r="L1223" s="17"/>
      <c r="M1223" s="1"/>
      <c r="N1223" s="1"/>
      <c r="O1223" s="1"/>
      <c r="P1223" s="11"/>
      <c r="Q1223" s="11"/>
      <c r="R1223" s="11"/>
      <c r="S1223" s="11"/>
      <c r="T1223" s="1"/>
      <c r="U1223" s="1"/>
      <c r="V1223" s="1"/>
      <c r="W1223" s="1"/>
      <c r="X1223" s="1"/>
      <c r="Y1223" s="1"/>
      <c r="Z1223" s="1"/>
    </row>
    <row r="1224" ht="18.0" customHeight="1" outlineLevel="2">
      <c r="A1224" s="26">
        <v>8.0</v>
      </c>
      <c r="B1224" s="1"/>
      <c r="C1224" s="1"/>
      <c r="D1224" s="1"/>
      <c r="E1224" s="14"/>
      <c r="F1224" s="15"/>
      <c r="G1224" s="16"/>
      <c r="H1224" s="11"/>
      <c r="I1224" s="7"/>
      <c r="J1224" s="7"/>
      <c r="K1224" s="17"/>
      <c r="L1224" s="17"/>
      <c r="M1224" s="1"/>
      <c r="N1224" s="1"/>
      <c r="O1224" s="1"/>
      <c r="P1224" s="11"/>
      <c r="Q1224" s="11"/>
      <c r="R1224" s="11"/>
      <c r="S1224" s="11"/>
      <c r="T1224" s="1"/>
      <c r="U1224" s="1"/>
      <c r="V1224" s="1"/>
      <c r="W1224" s="1"/>
      <c r="X1224" s="1"/>
      <c r="Y1224" s="1"/>
      <c r="Z1224" s="1"/>
    </row>
    <row r="1225" ht="18.0" customHeight="1" outlineLevel="2">
      <c r="A1225" s="26">
        <v>9.0</v>
      </c>
      <c r="B1225" s="1"/>
      <c r="C1225" s="1"/>
      <c r="D1225" s="1"/>
      <c r="E1225" s="14"/>
      <c r="F1225" s="15"/>
      <c r="G1225" s="16"/>
      <c r="H1225" s="11"/>
      <c r="I1225" s="7"/>
      <c r="J1225" s="7"/>
      <c r="K1225" s="17"/>
      <c r="L1225" s="17"/>
      <c r="M1225" s="1"/>
      <c r="N1225" s="1"/>
      <c r="O1225" s="1"/>
      <c r="P1225" s="11"/>
      <c r="Q1225" s="11"/>
      <c r="R1225" s="11"/>
      <c r="S1225" s="11"/>
      <c r="T1225" s="1"/>
      <c r="U1225" s="1"/>
      <c r="V1225" s="1"/>
      <c r="W1225" s="1"/>
      <c r="X1225" s="1"/>
      <c r="Y1225" s="1"/>
      <c r="Z1225" s="1"/>
    </row>
    <row r="1226" ht="18.0" customHeight="1" outlineLevel="2">
      <c r="A1226" s="26">
        <v>10.0</v>
      </c>
      <c r="B1226" s="1"/>
      <c r="C1226" s="1"/>
      <c r="D1226" s="1"/>
      <c r="E1226" s="14"/>
      <c r="F1226" s="15"/>
      <c r="G1226" s="16"/>
      <c r="H1226" s="11"/>
      <c r="I1226" s="7"/>
      <c r="J1226" s="7"/>
      <c r="K1226" s="17"/>
      <c r="L1226" s="17"/>
      <c r="M1226" s="1"/>
      <c r="N1226" s="1"/>
      <c r="O1226" s="1"/>
      <c r="P1226" s="11"/>
      <c r="Q1226" s="11"/>
      <c r="R1226" s="11"/>
      <c r="S1226" s="11"/>
      <c r="T1226" s="1"/>
      <c r="U1226" s="1"/>
      <c r="V1226" s="1"/>
      <c r="W1226" s="1"/>
      <c r="X1226" s="1"/>
      <c r="Y1226" s="1"/>
      <c r="Z1226" s="1"/>
    </row>
    <row r="1227" ht="18.0" customHeight="1" outlineLevel="1">
      <c r="A1227" s="1"/>
      <c r="B1227" s="1"/>
      <c r="C1227" s="1"/>
      <c r="D1227" s="1"/>
      <c r="E1227" s="14"/>
      <c r="F1227" s="15"/>
      <c r="G1227" s="16"/>
      <c r="H1227" s="11"/>
      <c r="I1227" s="7"/>
      <c r="J1227" s="7"/>
      <c r="K1227" s="17"/>
      <c r="L1227" s="17"/>
      <c r="M1227" s="1"/>
      <c r="N1227" s="1"/>
      <c r="O1227" s="1"/>
      <c r="P1227" s="11"/>
      <c r="Q1227" s="11"/>
      <c r="R1227" s="11"/>
      <c r="S1227" s="11"/>
      <c r="T1227" s="1"/>
      <c r="U1227" s="1"/>
      <c r="V1227" s="1"/>
      <c r="W1227" s="1"/>
      <c r="X1227" s="1"/>
      <c r="Y1227" s="1"/>
      <c r="Z1227" s="1"/>
    </row>
    <row r="1228" ht="18.0" customHeight="1" outlineLevel="1">
      <c r="A1228" s="1"/>
      <c r="B1228" s="1"/>
      <c r="C1228" s="1"/>
      <c r="D1228" s="1"/>
      <c r="E1228" s="14"/>
      <c r="F1228" s="15"/>
      <c r="G1228" s="16"/>
      <c r="H1228" s="11"/>
      <c r="I1228" s="7"/>
      <c r="J1228" s="7"/>
      <c r="K1228" s="17"/>
      <c r="L1228" s="17"/>
      <c r="M1228" s="1"/>
      <c r="N1228" s="1"/>
      <c r="O1228" s="1"/>
      <c r="P1228" s="11"/>
      <c r="Q1228" s="11"/>
      <c r="R1228" s="11"/>
      <c r="S1228" s="11"/>
      <c r="T1228" s="1"/>
      <c r="U1228" s="1"/>
      <c r="V1228" s="1"/>
      <c r="W1228" s="1"/>
      <c r="X1228" s="1"/>
      <c r="Y1228" s="1"/>
      <c r="Z1228" s="1"/>
    </row>
    <row r="1229" ht="18.0" customHeight="1" outlineLevel="1">
      <c r="A1229" s="1"/>
      <c r="B1229" s="26" t="s">
        <v>1580</v>
      </c>
      <c r="C1229" s="1"/>
      <c r="D1229" s="1"/>
      <c r="E1229" s="14"/>
      <c r="F1229" s="15"/>
      <c r="G1229" s="16"/>
      <c r="H1229" s="11"/>
      <c r="I1229" s="7"/>
      <c r="J1229" s="7"/>
      <c r="K1229" s="17"/>
      <c r="L1229" s="17"/>
      <c r="M1229" s="1"/>
      <c r="N1229" s="1"/>
      <c r="O1229" s="1"/>
      <c r="P1229" s="11"/>
      <c r="Q1229" s="11"/>
      <c r="R1229" s="11"/>
      <c r="S1229" s="11"/>
      <c r="T1229" s="1"/>
      <c r="U1229" s="1"/>
      <c r="V1229" s="1"/>
      <c r="W1229" s="1"/>
      <c r="X1229" s="1"/>
      <c r="Y1229" s="1"/>
      <c r="Z1229" s="1"/>
    </row>
    <row r="1230" ht="18.0" customHeight="1" outlineLevel="2">
      <c r="A1230" s="26">
        <v>1.0</v>
      </c>
      <c r="B1230" s="26" t="s">
        <v>35</v>
      </c>
      <c r="C1230" s="1"/>
      <c r="D1230" s="1"/>
      <c r="E1230" s="14"/>
      <c r="F1230" s="15"/>
      <c r="G1230" s="16"/>
      <c r="H1230" s="11"/>
      <c r="I1230" s="7"/>
      <c r="J1230" s="7"/>
      <c r="K1230" s="17"/>
      <c r="L1230" s="17"/>
      <c r="M1230" s="1"/>
      <c r="N1230" s="1"/>
      <c r="O1230" s="1"/>
      <c r="P1230" s="11"/>
      <c r="Q1230" s="11"/>
      <c r="R1230" s="11"/>
      <c r="S1230" s="11"/>
      <c r="T1230" s="1"/>
      <c r="U1230" s="1"/>
      <c r="V1230" s="1"/>
      <c r="W1230" s="1"/>
      <c r="X1230" s="1"/>
      <c r="Y1230" s="1"/>
      <c r="Z1230" s="1"/>
    </row>
    <row r="1231" ht="18.0" customHeight="1" outlineLevel="2">
      <c r="A1231" s="26">
        <v>2.0</v>
      </c>
      <c r="B1231" s="26" t="s">
        <v>1581</v>
      </c>
      <c r="C1231" s="1"/>
      <c r="D1231" s="1"/>
      <c r="E1231" s="29" t="s">
        <v>33</v>
      </c>
      <c r="F1231" s="15"/>
      <c r="G1231" s="30">
        <v>50.0</v>
      </c>
      <c r="H1231" s="22" t="s">
        <v>1582</v>
      </c>
      <c r="I1231" s="7"/>
      <c r="J1231" s="32" t="s">
        <v>1583</v>
      </c>
      <c r="K1231" s="17"/>
      <c r="L1231" s="17"/>
      <c r="M1231" s="1"/>
      <c r="N1231" s="1"/>
      <c r="O1231" s="1"/>
      <c r="P1231" s="11"/>
      <c r="Q1231" s="11"/>
      <c r="R1231" s="11"/>
      <c r="S1231" s="11"/>
      <c r="T1231" s="1"/>
      <c r="U1231" s="1"/>
      <c r="V1231" s="1"/>
      <c r="W1231" s="1"/>
      <c r="X1231" s="1"/>
      <c r="Y1231" s="1"/>
      <c r="Z1231" s="1"/>
    </row>
    <row r="1232" ht="18.0" customHeight="1" outlineLevel="2">
      <c r="A1232" s="26">
        <v>3.0</v>
      </c>
      <c r="B1232" s="26" t="s">
        <v>1584</v>
      </c>
      <c r="C1232" s="1"/>
      <c r="D1232" s="1"/>
      <c r="E1232" s="29" t="s">
        <v>55</v>
      </c>
      <c r="F1232" s="15"/>
      <c r="G1232" s="16"/>
      <c r="H1232" s="22" t="s">
        <v>1585</v>
      </c>
      <c r="I1232" s="7"/>
      <c r="J1232" s="32" t="s">
        <v>1586</v>
      </c>
      <c r="K1232" s="17"/>
      <c r="L1232" s="17"/>
      <c r="M1232" s="1"/>
      <c r="N1232" s="1"/>
      <c r="O1232" s="1"/>
      <c r="P1232" s="11"/>
      <c r="Q1232" s="11"/>
      <c r="R1232" s="11"/>
      <c r="S1232" s="11"/>
      <c r="T1232" s="1"/>
      <c r="U1232" s="1"/>
      <c r="V1232" s="1"/>
      <c r="W1232" s="1"/>
      <c r="X1232" s="1"/>
      <c r="Y1232" s="1"/>
      <c r="Z1232" s="1"/>
    </row>
    <row r="1233" ht="18.0" customHeight="1" outlineLevel="2">
      <c r="A1233" s="26">
        <v>4.0</v>
      </c>
      <c r="B1233" s="26" t="s">
        <v>1587</v>
      </c>
      <c r="C1233" s="1"/>
      <c r="D1233" s="1"/>
      <c r="E1233" s="29" t="s">
        <v>33</v>
      </c>
      <c r="F1233" s="15"/>
      <c r="G1233" s="30">
        <v>40.0</v>
      </c>
      <c r="H1233" s="22" t="s">
        <v>1588</v>
      </c>
      <c r="I1233" s="7"/>
      <c r="J1233" s="32" t="s">
        <v>1589</v>
      </c>
      <c r="K1233" s="17"/>
      <c r="L1233" s="17"/>
      <c r="M1233" s="1"/>
      <c r="N1233" s="1"/>
      <c r="O1233" s="1"/>
      <c r="P1233" s="11"/>
      <c r="Q1233" s="11"/>
      <c r="R1233" s="11"/>
      <c r="S1233" s="11"/>
      <c r="T1233" s="1"/>
      <c r="U1233" s="1"/>
      <c r="V1233" s="1"/>
      <c r="W1233" s="1"/>
      <c r="X1233" s="1"/>
      <c r="Y1233" s="1"/>
      <c r="Z1233" s="1"/>
    </row>
    <row r="1234" ht="18.0" customHeight="1" outlineLevel="2">
      <c r="A1234" s="26">
        <v>5.0</v>
      </c>
      <c r="B1234" s="26" t="s">
        <v>1500</v>
      </c>
      <c r="C1234" s="1"/>
      <c r="D1234" s="1"/>
      <c r="E1234" s="14"/>
      <c r="F1234" s="15"/>
      <c r="G1234" s="16"/>
      <c r="H1234" s="11"/>
      <c r="I1234" s="7"/>
      <c r="J1234" s="7"/>
      <c r="K1234" s="17"/>
      <c r="L1234" s="17"/>
      <c r="M1234" s="1"/>
      <c r="N1234" s="1"/>
      <c r="O1234" s="1"/>
      <c r="P1234" s="11"/>
      <c r="Q1234" s="11"/>
      <c r="R1234" s="11"/>
      <c r="S1234" s="11"/>
      <c r="T1234" s="1"/>
      <c r="U1234" s="1"/>
      <c r="V1234" s="1"/>
      <c r="W1234" s="1"/>
      <c r="X1234" s="1"/>
      <c r="Y1234" s="1"/>
      <c r="Z1234" s="1"/>
    </row>
    <row r="1235" ht="18.0" customHeight="1" outlineLevel="2">
      <c r="A1235" s="26">
        <v>6.0</v>
      </c>
      <c r="B1235" s="1"/>
      <c r="C1235" s="1"/>
      <c r="D1235" s="1"/>
      <c r="E1235" s="14"/>
      <c r="F1235" s="15"/>
      <c r="G1235" s="16"/>
      <c r="H1235" s="11"/>
      <c r="I1235" s="7"/>
      <c r="J1235" s="7"/>
      <c r="K1235" s="17"/>
      <c r="L1235" s="17"/>
      <c r="M1235" s="1"/>
      <c r="N1235" s="1"/>
      <c r="O1235" s="1"/>
      <c r="P1235" s="11"/>
      <c r="Q1235" s="11"/>
      <c r="R1235" s="11"/>
      <c r="S1235" s="11"/>
      <c r="T1235" s="1"/>
      <c r="U1235" s="1"/>
      <c r="V1235" s="1"/>
      <c r="W1235" s="1"/>
      <c r="X1235" s="1"/>
      <c r="Y1235" s="1"/>
      <c r="Z1235" s="1"/>
    </row>
    <row r="1236" ht="18.0" customHeight="1" outlineLevel="2">
      <c r="A1236" s="26">
        <v>7.0</v>
      </c>
      <c r="B1236" s="26" t="s">
        <v>1209</v>
      </c>
      <c r="C1236" s="1"/>
      <c r="D1236" s="1"/>
      <c r="E1236" s="14"/>
      <c r="F1236" s="15"/>
      <c r="G1236" s="16"/>
      <c r="H1236" s="11"/>
      <c r="I1236" s="7"/>
      <c r="J1236" s="7"/>
      <c r="K1236" s="17"/>
      <c r="L1236" s="17"/>
      <c r="M1236" s="1"/>
      <c r="N1236" s="1"/>
      <c r="O1236" s="1"/>
      <c r="P1236" s="11"/>
      <c r="Q1236" s="11"/>
      <c r="R1236" s="11"/>
      <c r="S1236" s="11"/>
      <c r="T1236" s="1"/>
      <c r="U1236" s="1"/>
      <c r="V1236" s="1"/>
      <c r="W1236" s="1"/>
      <c r="X1236" s="1"/>
      <c r="Y1236" s="1"/>
      <c r="Z1236" s="1"/>
    </row>
    <row r="1237" ht="18.0" customHeight="1" outlineLevel="2">
      <c r="A1237" s="26">
        <v>8.0</v>
      </c>
      <c r="B1237" s="1"/>
      <c r="C1237" s="1"/>
      <c r="D1237" s="1"/>
      <c r="E1237" s="14"/>
      <c r="F1237" s="15"/>
      <c r="G1237" s="16"/>
      <c r="H1237" s="11"/>
      <c r="I1237" s="7"/>
      <c r="J1237" s="7"/>
      <c r="K1237" s="17"/>
      <c r="L1237" s="17"/>
      <c r="M1237" s="1"/>
      <c r="N1237" s="1"/>
      <c r="O1237" s="1"/>
      <c r="P1237" s="11"/>
      <c r="Q1237" s="11"/>
      <c r="R1237" s="11"/>
      <c r="S1237" s="11"/>
      <c r="T1237" s="1"/>
      <c r="U1237" s="1"/>
      <c r="V1237" s="1"/>
      <c r="W1237" s="1"/>
      <c r="X1237" s="1"/>
      <c r="Y1237" s="1"/>
      <c r="Z1237" s="1"/>
    </row>
    <row r="1238" ht="18.0" customHeight="1" outlineLevel="2">
      <c r="A1238" s="26">
        <v>9.0</v>
      </c>
      <c r="B1238" s="1"/>
      <c r="C1238" s="1"/>
      <c r="D1238" s="1"/>
      <c r="E1238" s="14"/>
      <c r="F1238" s="15"/>
      <c r="G1238" s="16"/>
      <c r="H1238" s="11"/>
      <c r="I1238" s="7"/>
      <c r="J1238" s="7"/>
      <c r="K1238" s="17"/>
      <c r="L1238" s="17"/>
      <c r="M1238" s="1"/>
      <c r="N1238" s="1"/>
      <c r="O1238" s="1"/>
      <c r="P1238" s="11"/>
      <c r="Q1238" s="11"/>
      <c r="R1238" s="11"/>
      <c r="S1238" s="11"/>
      <c r="T1238" s="1"/>
      <c r="U1238" s="1"/>
      <c r="V1238" s="1"/>
      <c r="W1238" s="1"/>
      <c r="X1238" s="1"/>
      <c r="Y1238" s="1"/>
      <c r="Z1238" s="1"/>
    </row>
    <row r="1239" ht="18.0" customHeight="1" outlineLevel="2">
      <c r="A1239" s="26">
        <v>10.0</v>
      </c>
      <c r="B1239" s="1"/>
      <c r="C1239" s="1"/>
      <c r="D1239" s="1"/>
      <c r="E1239" s="14"/>
      <c r="F1239" s="15"/>
      <c r="G1239" s="16"/>
      <c r="H1239" s="11"/>
      <c r="I1239" s="7"/>
      <c r="J1239" s="7"/>
      <c r="K1239" s="17"/>
      <c r="L1239" s="17"/>
      <c r="M1239" s="1"/>
      <c r="N1239" s="1"/>
      <c r="O1239" s="1"/>
      <c r="P1239" s="11"/>
      <c r="Q1239" s="11"/>
      <c r="R1239" s="11"/>
      <c r="S1239" s="11"/>
      <c r="T1239" s="1"/>
      <c r="U1239" s="1"/>
      <c r="V1239" s="1"/>
      <c r="W1239" s="1"/>
      <c r="X1239" s="1"/>
      <c r="Y1239" s="1"/>
      <c r="Z1239" s="1"/>
    </row>
    <row r="1240" ht="18.0" customHeight="1" outlineLevel="1">
      <c r="A1240" s="1"/>
      <c r="B1240" s="1"/>
      <c r="C1240" s="1"/>
      <c r="D1240" s="1"/>
      <c r="E1240" s="14"/>
      <c r="F1240" s="15"/>
      <c r="G1240" s="16"/>
      <c r="H1240" s="11"/>
      <c r="I1240" s="7"/>
      <c r="J1240" s="7"/>
      <c r="K1240" s="17"/>
      <c r="L1240" s="17"/>
      <c r="M1240" s="1"/>
      <c r="N1240" s="1"/>
      <c r="O1240" s="1"/>
      <c r="P1240" s="11"/>
      <c r="Q1240" s="11"/>
      <c r="R1240" s="11"/>
      <c r="S1240" s="11"/>
      <c r="T1240" s="1"/>
      <c r="U1240" s="1"/>
      <c r="V1240" s="1"/>
      <c r="W1240" s="1"/>
      <c r="X1240" s="1"/>
      <c r="Y1240" s="1"/>
      <c r="Z1240" s="1"/>
    </row>
    <row r="1241" ht="18.0" customHeight="1" outlineLevel="1">
      <c r="A1241" s="1"/>
      <c r="B1241" s="1"/>
      <c r="C1241" s="1"/>
      <c r="D1241" s="1"/>
      <c r="E1241" s="14"/>
      <c r="F1241" s="15"/>
      <c r="G1241" s="16"/>
      <c r="H1241" s="11"/>
      <c r="I1241" s="7"/>
      <c r="J1241" s="7"/>
      <c r="K1241" s="17"/>
      <c r="L1241" s="17"/>
      <c r="M1241" s="1"/>
      <c r="N1241" s="1"/>
      <c r="O1241" s="1"/>
      <c r="P1241" s="11"/>
      <c r="Q1241" s="11"/>
      <c r="R1241" s="11"/>
      <c r="S1241" s="11"/>
      <c r="T1241" s="1"/>
      <c r="U1241" s="1"/>
      <c r="V1241" s="1"/>
      <c r="W1241" s="1"/>
      <c r="X1241" s="1"/>
      <c r="Y1241" s="1"/>
      <c r="Z1241" s="1"/>
    </row>
    <row r="1242" ht="18.0" customHeight="1" outlineLevel="1">
      <c r="A1242" s="1"/>
      <c r="B1242" s="26" t="s">
        <v>1590</v>
      </c>
      <c r="C1242" s="1"/>
      <c r="D1242" s="1"/>
      <c r="E1242" s="14"/>
      <c r="F1242" s="15"/>
      <c r="G1242" s="16"/>
      <c r="H1242" s="11"/>
      <c r="I1242" s="7"/>
      <c r="J1242" s="7"/>
      <c r="K1242" s="17"/>
      <c r="L1242" s="17"/>
      <c r="M1242" s="1"/>
      <c r="N1242" s="1"/>
      <c r="O1242" s="1"/>
      <c r="P1242" s="11"/>
      <c r="Q1242" s="11"/>
      <c r="R1242" s="11"/>
      <c r="S1242" s="11"/>
      <c r="T1242" s="1"/>
      <c r="U1242" s="1"/>
      <c r="V1242" s="1"/>
      <c r="W1242" s="1"/>
      <c r="X1242" s="1"/>
      <c r="Y1242" s="1"/>
      <c r="Z1242" s="1"/>
    </row>
    <row r="1243" ht="18.0" customHeight="1" outlineLevel="2">
      <c r="A1243" s="26">
        <v>1.0</v>
      </c>
      <c r="B1243" s="26" t="s">
        <v>32</v>
      </c>
      <c r="C1243" s="1"/>
      <c r="D1243" s="1"/>
      <c r="E1243" s="14"/>
      <c r="F1243" s="15"/>
      <c r="G1243" s="16"/>
      <c r="H1243" s="11"/>
      <c r="I1243" s="7"/>
      <c r="J1243" s="7"/>
      <c r="K1243" s="17"/>
      <c r="L1243" s="17"/>
      <c r="M1243" s="1"/>
      <c r="N1243" s="1"/>
      <c r="O1243" s="1"/>
      <c r="P1243" s="11"/>
      <c r="Q1243" s="11"/>
      <c r="R1243" s="11"/>
      <c r="S1243" s="11"/>
      <c r="T1243" s="1"/>
      <c r="U1243" s="1"/>
      <c r="V1243" s="1"/>
      <c r="W1243" s="1"/>
      <c r="X1243" s="1"/>
      <c r="Y1243" s="1"/>
      <c r="Z1243" s="1"/>
    </row>
    <row r="1244" ht="18.0" customHeight="1" outlineLevel="2">
      <c r="A1244" s="26">
        <v>2.0</v>
      </c>
      <c r="B1244" s="26" t="s">
        <v>1591</v>
      </c>
      <c r="C1244" s="1"/>
      <c r="D1244" s="1"/>
      <c r="E1244" s="29" t="s">
        <v>33</v>
      </c>
      <c r="F1244" s="15"/>
      <c r="G1244" s="30">
        <v>60.0</v>
      </c>
      <c r="H1244" s="22" t="s">
        <v>1592</v>
      </c>
      <c r="I1244" s="7"/>
      <c r="J1244" s="32" t="s">
        <v>1593</v>
      </c>
      <c r="K1244" s="17"/>
      <c r="L1244" s="17"/>
      <c r="M1244" s="1"/>
      <c r="N1244" s="1"/>
      <c r="O1244" s="1"/>
      <c r="P1244" s="11"/>
      <c r="Q1244" s="11"/>
      <c r="R1244" s="11"/>
      <c r="S1244" s="11"/>
      <c r="T1244" s="1"/>
      <c r="U1244" s="1"/>
      <c r="V1244" s="1"/>
      <c r="W1244" s="1"/>
      <c r="X1244" s="1"/>
      <c r="Y1244" s="1"/>
      <c r="Z1244" s="1"/>
    </row>
    <row r="1245" ht="18.0" customHeight="1" outlineLevel="2">
      <c r="A1245" s="26">
        <v>3.0</v>
      </c>
      <c r="B1245" s="26" t="s">
        <v>1522</v>
      </c>
      <c r="C1245" s="1"/>
      <c r="D1245" s="1"/>
      <c r="E1245" s="29"/>
      <c r="F1245" s="15"/>
      <c r="G1245" s="16"/>
      <c r="H1245" s="22"/>
      <c r="I1245" s="7"/>
      <c r="J1245" s="7"/>
      <c r="K1245" s="17"/>
      <c r="L1245" s="17"/>
      <c r="M1245" s="1"/>
      <c r="N1245" s="1"/>
      <c r="O1245" s="1"/>
      <c r="P1245" s="11"/>
      <c r="Q1245" s="11"/>
      <c r="R1245" s="11"/>
      <c r="S1245" s="11"/>
      <c r="T1245" s="1"/>
      <c r="U1245" s="1"/>
      <c r="V1245" s="1"/>
      <c r="W1245" s="1"/>
      <c r="X1245" s="1"/>
      <c r="Y1245" s="1"/>
      <c r="Z1245" s="1"/>
    </row>
    <row r="1246" ht="18.0" customHeight="1" outlineLevel="2">
      <c r="A1246" s="26">
        <v>4.0</v>
      </c>
      <c r="B1246" s="26" t="s">
        <v>1594</v>
      </c>
      <c r="C1246" s="1"/>
      <c r="D1246" s="1"/>
      <c r="E1246" s="29" t="s">
        <v>55</v>
      </c>
      <c r="F1246" s="15"/>
      <c r="G1246" s="30"/>
      <c r="H1246" s="22" t="s">
        <v>1595</v>
      </c>
      <c r="I1246" s="7"/>
      <c r="J1246" s="32" t="s">
        <v>1596</v>
      </c>
      <c r="K1246" s="17"/>
      <c r="L1246" s="17"/>
      <c r="M1246" s="1"/>
      <c r="N1246" s="1"/>
      <c r="O1246" s="1"/>
      <c r="P1246" s="11"/>
      <c r="Q1246" s="11"/>
      <c r="R1246" s="11"/>
      <c r="S1246" s="11"/>
      <c r="T1246" s="1"/>
      <c r="U1246" s="1"/>
      <c r="V1246" s="1"/>
      <c r="W1246" s="1"/>
      <c r="X1246" s="1"/>
      <c r="Y1246" s="1"/>
      <c r="Z1246" s="1"/>
    </row>
    <row r="1247" ht="18.0" customHeight="1" outlineLevel="2">
      <c r="A1247" s="26">
        <v>5.0</v>
      </c>
      <c r="B1247" s="26" t="s">
        <v>1500</v>
      </c>
      <c r="C1247" s="1"/>
      <c r="D1247" s="1"/>
      <c r="E1247" s="14"/>
      <c r="F1247" s="15"/>
      <c r="G1247" s="16"/>
      <c r="H1247" s="11"/>
      <c r="I1247" s="7"/>
      <c r="J1247" s="7"/>
      <c r="K1247" s="17"/>
      <c r="L1247" s="17"/>
      <c r="M1247" s="1"/>
      <c r="N1247" s="1"/>
      <c r="O1247" s="1"/>
      <c r="P1247" s="11"/>
      <c r="Q1247" s="11"/>
      <c r="R1247" s="11"/>
      <c r="S1247" s="11"/>
      <c r="T1247" s="1"/>
      <c r="U1247" s="1"/>
      <c r="V1247" s="1"/>
      <c r="W1247" s="1"/>
      <c r="X1247" s="1"/>
      <c r="Y1247" s="1"/>
      <c r="Z1247" s="1"/>
    </row>
    <row r="1248" ht="18.0" customHeight="1" outlineLevel="2">
      <c r="A1248" s="26">
        <v>6.0</v>
      </c>
      <c r="B1248" s="1"/>
      <c r="C1248" s="1"/>
      <c r="D1248" s="1"/>
      <c r="E1248" s="14"/>
      <c r="F1248" s="15"/>
      <c r="G1248" s="16"/>
      <c r="H1248" s="11"/>
      <c r="I1248" s="7"/>
      <c r="J1248" s="7"/>
      <c r="K1248" s="17"/>
      <c r="L1248" s="17"/>
      <c r="M1248" s="1"/>
      <c r="N1248" s="1"/>
      <c r="O1248" s="1"/>
      <c r="P1248" s="11"/>
      <c r="Q1248" s="11"/>
      <c r="R1248" s="11"/>
      <c r="S1248" s="11"/>
      <c r="T1248" s="1"/>
      <c r="U1248" s="1"/>
      <c r="V1248" s="1"/>
      <c r="W1248" s="1"/>
      <c r="X1248" s="1"/>
      <c r="Y1248" s="1"/>
      <c r="Z1248" s="1"/>
    </row>
    <row r="1249" ht="18.0" customHeight="1" outlineLevel="2">
      <c r="A1249" s="26">
        <v>7.0</v>
      </c>
      <c r="B1249" s="26" t="s">
        <v>1209</v>
      </c>
      <c r="C1249" s="1"/>
      <c r="D1249" s="1"/>
      <c r="E1249" s="14"/>
      <c r="F1249" s="15"/>
      <c r="G1249" s="16"/>
      <c r="H1249" s="11"/>
      <c r="I1249" s="7"/>
      <c r="J1249" s="7"/>
      <c r="K1249" s="17"/>
      <c r="L1249" s="17"/>
      <c r="M1249" s="1"/>
      <c r="N1249" s="1"/>
      <c r="O1249" s="1"/>
      <c r="P1249" s="11"/>
      <c r="Q1249" s="11"/>
      <c r="R1249" s="11"/>
      <c r="S1249" s="11"/>
      <c r="T1249" s="1"/>
      <c r="U1249" s="1"/>
      <c r="V1249" s="1"/>
      <c r="W1249" s="1"/>
      <c r="X1249" s="1"/>
      <c r="Y1249" s="1"/>
      <c r="Z1249" s="1"/>
    </row>
    <row r="1250" ht="18.0" customHeight="1" outlineLevel="2">
      <c r="A1250" s="26">
        <v>8.0</v>
      </c>
      <c r="B1250" s="1"/>
      <c r="C1250" s="1"/>
      <c r="D1250" s="1"/>
      <c r="E1250" s="14"/>
      <c r="F1250" s="15"/>
      <c r="G1250" s="16"/>
      <c r="H1250" s="11"/>
      <c r="I1250" s="7"/>
      <c r="J1250" s="7"/>
      <c r="K1250" s="17"/>
      <c r="L1250" s="17"/>
      <c r="M1250" s="1"/>
      <c r="N1250" s="1"/>
      <c r="O1250" s="1"/>
      <c r="P1250" s="11"/>
      <c r="Q1250" s="11"/>
      <c r="R1250" s="11"/>
      <c r="S1250" s="11"/>
      <c r="T1250" s="1"/>
      <c r="U1250" s="1"/>
      <c r="V1250" s="1"/>
      <c r="W1250" s="1"/>
      <c r="X1250" s="1"/>
      <c r="Y1250" s="1"/>
      <c r="Z1250" s="1"/>
    </row>
    <row r="1251" ht="18.0" customHeight="1" outlineLevel="2">
      <c r="A1251" s="26">
        <v>9.0</v>
      </c>
      <c r="B1251" s="1"/>
      <c r="C1251" s="1"/>
      <c r="D1251" s="1"/>
      <c r="E1251" s="14"/>
      <c r="F1251" s="15"/>
      <c r="G1251" s="16"/>
      <c r="H1251" s="11"/>
      <c r="I1251" s="7"/>
      <c r="J1251" s="7"/>
      <c r="K1251" s="17"/>
      <c r="L1251" s="17"/>
      <c r="M1251" s="1"/>
      <c r="N1251" s="1"/>
      <c r="O1251" s="1"/>
      <c r="P1251" s="11"/>
      <c r="Q1251" s="11"/>
      <c r="R1251" s="11"/>
      <c r="S1251" s="11"/>
      <c r="T1251" s="1"/>
      <c r="U1251" s="1"/>
      <c r="V1251" s="1"/>
      <c r="W1251" s="1"/>
      <c r="X1251" s="1"/>
      <c r="Y1251" s="1"/>
      <c r="Z1251" s="1"/>
    </row>
    <row r="1252" ht="18.0" customHeight="1" outlineLevel="2">
      <c r="A1252" s="26">
        <v>10.0</v>
      </c>
      <c r="B1252" s="1"/>
      <c r="C1252" s="1"/>
      <c r="D1252" s="1"/>
      <c r="E1252" s="14"/>
      <c r="F1252" s="15"/>
      <c r="G1252" s="16"/>
      <c r="H1252" s="11"/>
      <c r="I1252" s="7"/>
      <c r="J1252" s="7"/>
      <c r="K1252" s="17"/>
      <c r="L1252" s="17"/>
      <c r="M1252" s="1"/>
      <c r="N1252" s="1"/>
      <c r="O1252" s="1"/>
      <c r="P1252" s="11"/>
      <c r="Q1252" s="11"/>
      <c r="R1252" s="11"/>
      <c r="S1252" s="11"/>
      <c r="T1252" s="1"/>
      <c r="U1252" s="1"/>
      <c r="V1252" s="1"/>
      <c r="W1252" s="1"/>
      <c r="X1252" s="1"/>
      <c r="Y1252" s="1"/>
      <c r="Z1252" s="1"/>
    </row>
    <row r="1253" ht="18.0" customHeight="1" outlineLevel="1">
      <c r="A1253" s="1"/>
      <c r="B1253" s="1"/>
      <c r="C1253" s="1"/>
      <c r="D1253" s="1"/>
      <c r="E1253" s="14"/>
      <c r="F1253" s="15"/>
      <c r="G1253" s="16"/>
      <c r="H1253" s="11"/>
      <c r="I1253" s="7"/>
      <c r="J1253" s="7"/>
      <c r="K1253" s="17"/>
      <c r="L1253" s="17"/>
      <c r="M1253" s="1"/>
      <c r="N1253" s="1"/>
      <c r="O1253" s="1"/>
      <c r="P1253" s="11"/>
      <c r="Q1253" s="11"/>
      <c r="R1253" s="11"/>
      <c r="S1253" s="11"/>
      <c r="T1253" s="1"/>
      <c r="U1253" s="1"/>
      <c r="V1253" s="1"/>
      <c r="W1253" s="1"/>
      <c r="X1253" s="1"/>
      <c r="Y1253" s="1"/>
      <c r="Z1253" s="1"/>
    </row>
    <row r="1254" ht="18.0" customHeight="1" outlineLevel="1">
      <c r="A1254" s="1"/>
      <c r="B1254" s="1"/>
      <c r="C1254" s="1"/>
      <c r="D1254" s="1"/>
      <c r="E1254" s="14"/>
      <c r="F1254" s="15"/>
      <c r="G1254" s="16"/>
      <c r="H1254" s="11"/>
      <c r="I1254" s="7"/>
      <c r="J1254" s="7"/>
      <c r="K1254" s="17"/>
      <c r="L1254" s="17"/>
      <c r="M1254" s="1"/>
      <c r="N1254" s="1"/>
      <c r="O1254" s="1"/>
      <c r="P1254" s="11"/>
      <c r="Q1254" s="11"/>
      <c r="R1254" s="11"/>
      <c r="S1254" s="11"/>
      <c r="T1254" s="1"/>
      <c r="U1254" s="1"/>
      <c r="V1254" s="1"/>
      <c r="W1254" s="1"/>
      <c r="X1254" s="1"/>
      <c r="Y1254" s="1"/>
      <c r="Z1254" s="1"/>
    </row>
    <row r="1255" ht="18.0" customHeight="1">
      <c r="A1255" s="1"/>
      <c r="B1255" s="1"/>
      <c r="C1255" s="26" t="s">
        <v>1597</v>
      </c>
      <c r="D1255" s="1"/>
      <c r="E1255" s="14"/>
      <c r="F1255" s="15"/>
      <c r="G1255" s="16"/>
      <c r="H1255" s="11"/>
      <c r="I1255" s="7"/>
      <c r="J1255" s="7" t="str">
        <f>IFERROR(LET(_xlpm.v,
VLOOKUP($I1255,'用語辞書'!$A:$B,COLUMN('用語辞書'!B$1),FALSE),
IF(_xlpm.v=0,"",_xlpm.v)
),"")</f>
        <v/>
      </c>
      <c r="K1255" s="17"/>
      <c r="L1255" s="17" t="str">
        <f>IF(OR(COUNTIF('クラス'!$A$1:$A$1267,$B1255)&gt;0,$B1255="",$M1255=""),"",True)</f>
        <v/>
      </c>
      <c r="M1255" s="1" t="str">
        <f>IF(COUNTIF($B$1:$C1150, $B1255), "", "存在しない")</f>
        <v>存在しない</v>
      </c>
      <c r="N1255" s="1" t="s">
        <v>29</v>
      </c>
      <c r="O1255" s="1"/>
      <c r="P1255" s="11"/>
      <c r="Q1255" s="11"/>
      <c r="R1255" s="11"/>
      <c r="S1255" s="11"/>
      <c r="T1255" s="1"/>
      <c r="U1255" s="1"/>
      <c r="V1255" s="1"/>
      <c r="W1255" s="1"/>
      <c r="X1255" s="1"/>
      <c r="Y1255" s="1"/>
      <c r="Z1255" s="1"/>
    </row>
    <row r="1256" ht="18.0" hidden="1" customHeight="1" outlineLevel="1">
      <c r="A1256" s="1"/>
      <c r="B1256" s="26" t="s">
        <v>1598</v>
      </c>
      <c r="C1256" s="1"/>
      <c r="D1256" s="1"/>
      <c r="E1256" s="14"/>
      <c r="F1256" s="15"/>
      <c r="G1256" s="16"/>
      <c r="H1256" s="11"/>
      <c r="I1256" s="7"/>
      <c r="J1256" s="7" t="str">
        <f>IFERROR(LET(_xlpm.v,
VLOOKUP($I1256,'用語辞書'!$A:$B,COLUMN('用語辞書'!B$1),FALSE),
IF(_xlpm.v=0,"",_xlpm.v)
),"")</f>
        <v/>
      </c>
      <c r="K1256" s="17"/>
      <c r="L1256" s="17" t="str">
        <f>IF(OR(COUNTIF('クラス'!$A$1:$A$1267,$B1256)&gt;0,$B1256="",$M1256=""),"",True)</f>
        <v/>
      </c>
      <c r="M1256" s="1" t="str">
        <f t="shared" ref="M1256:M1359" si="24">IF(COUNTIF($B$1:$C1255, $B1256), "", "存在しない")</f>
        <v>存在しない</v>
      </c>
      <c r="N1256" s="1" t="s">
        <v>29</v>
      </c>
      <c r="O1256" s="1"/>
      <c r="P1256" s="11"/>
      <c r="Q1256" s="11"/>
      <c r="R1256" s="11"/>
      <c r="S1256" s="11"/>
      <c r="T1256" s="1"/>
      <c r="U1256" s="1"/>
      <c r="V1256" s="1"/>
      <c r="W1256" s="1"/>
      <c r="X1256" s="1"/>
      <c r="Y1256" s="1"/>
      <c r="Z1256" s="1"/>
    </row>
    <row r="1257" ht="18.0" hidden="1" customHeight="1" outlineLevel="2">
      <c r="A1257" s="1">
        <v>1.0</v>
      </c>
      <c r="B1257" s="26" t="s">
        <v>1599</v>
      </c>
      <c r="C1257" s="1"/>
      <c r="D1257" s="1"/>
      <c r="E1257" s="14" t="s">
        <v>33</v>
      </c>
      <c r="F1257" s="15"/>
      <c r="G1257" s="16">
        <v>40.0</v>
      </c>
      <c r="H1257" s="11" t="s">
        <v>1600</v>
      </c>
      <c r="I1257" s="7"/>
      <c r="J1257" s="7" t="str">
        <f>IFERROR(LET(_xlpm.v,
VLOOKUP($I1257,'用語辞書'!$A:$B,COLUMN('用語辞書'!B$1),FALSE),
IF(_xlpm.v=0,"",_xlpm.v)
),"")</f>
        <v/>
      </c>
      <c r="K1257" s="17"/>
      <c r="L1257" s="17" t="b">
        <f>IF(OR(COUNTIF('クラス'!$A$1:$A$1267,$B1257)&gt;0,$B1257="",$M1257=""),"",True)</f>
        <v>1</v>
      </c>
      <c r="M1257" s="1" t="str">
        <f t="shared" si="24"/>
        <v>存在しない</v>
      </c>
      <c r="N1257" s="1" t="s">
        <v>29</v>
      </c>
      <c r="O1257" s="1"/>
      <c r="P1257" s="11"/>
      <c r="Q1257" s="11"/>
      <c r="R1257" s="11"/>
      <c r="S1257" s="11"/>
      <c r="T1257" s="1"/>
      <c r="U1257" s="1"/>
      <c r="V1257" s="1"/>
      <c r="W1257" s="1"/>
      <c r="X1257" s="1"/>
      <c r="Y1257" s="1"/>
      <c r="Z1257" s="1"/>
    </row>
    <row r="1258" ht="18.0" hidden="1" customHeight="1" outlineLevel="2">
      <c r="A1258" s="1">
        <v>2.0</v>
      </c>
      <c r="B1258" s="26" t="s">
        <v>1601</v>
      </c>
      <c r="C1258" s="1"/>
      <c r="D1258" s="1"/>
      <c r="E1258" s="29" t="s">
        <v>55</v>
      </c>
      <c r="F1258" s="15"/>
      <c r="G1258" s="30"/>
      <c r="H1258" s="22" t="s">
        <v>1602</v>
      </c>
      <c r="I1258" s="7"/>
      <c r="J1258" s="7" t="str">
        <f>IFERROR(LET(_xlpm.v,
VLOOKUP($I1258,'用語辞書'!$A:$B,COLUMN('用語辞書'!B$1),FALSE),
IF(_xlpm.v=0,"",_xlpm.v)
),"")</f>
        <v/>
      </c>
      <c r="K1258" s="17"/>
      <c r="L1258" s="17" t="b">
        <f>IF(OR(COUNTIF('クラス'!$A$1:$A$1267,$B1258)&gt;0,$B1258="",$M1258=""),"",True)</f>
        <v>1</v>
      </c>
      <c r="M1258" s="1" t="str">
        <f t="shared" si="24"/>
        <v>存在しない</v>
      </c>
      <c r="N1258" s="1" t="s">
        <v>29</v>
      </c>
      <c r="O1258" s="1"/>
      <c r="P1258" s="11"/>
      <c r="Q1258" s="11"/>
      <c r="R1258" s="11"/>
      <c r="S1258" s="11"/>
      <c r="T1258" s="1"/>
      <c r="U1258" s="1"/>
      <c r="V1258" s="1"/>
      <c r="W1258" s="1"/>
      <c r="X1258" s="1"/>
      <c r="Y1258" s="1"/>
      <c r="Z1258" s="1"/>
    </row>
    <row r="1259" ht="18.0" hidden="1" customHeight="1" outlineLevel="2">
      <c r="A1259" s="1">
        <v>3.0</v>
      </c>
      <c r="B1259" s="26" t="s">
        <v>1603</v>
      </c>
      <c r="C1259" s="1"/>
      <c r="D1259" s="1"/>
      <c r="E1259" s="29" t="s">
        <v>55</v>
      </c>
      <c r="F1259" s="15"/>
      <c r="G1259" s="16"/>
      <c r="H1259" s="22" t="s">
        <v>1604</v>
      </c>
      <c r="I1259" s="7"/>
      <c r="J1259" s="7" t="str">
        <f>IFERROR(LET(_xlpm.v,
VLOOKUP($I1259,'用語辞書'!$A:$B,COLUMN('用語辞書'!B$1),FALSE),
IF(_xlpm.v=0,"",_xlpm.v)
),"")</f>
        <v/>
      </c>
      <c r="K1259" s="17"/>
      <c r="L1259" s="17" t="b">
        <f>IF(OR(COUNTIF('クラス'!$A$1:$A$1267,$B1259)&gt;0,$B1259="",$M1259=""),"",True)</f>
        <v>1</v>
      </c>
      <c r="M1259" s="1" t="str">
        <f t="shared" si="24"/>
        <v>存在しない</v>
      </c>
      <c r="N1259" s="1" t="s">
        <v>29</v>
      </c>
      <c r="O1259" s="1"/>
      <c r="P1259" s="11"/>
      <c r="Q1259" s="11"/>
      <c r="R1259" s="11"/>
      <c r="S1259" s="11"/>
      <c r="T1259" s="1"/>
      <c r="U1259" s="1"/>
      <c r="V1259" s="1"/>
      <c r="W1259" s="1"/>
      <c r="X1259" s="1"/>
      <c r="Y1259" s="1"/>
      <c r="Z1259" s="1"/>
    </row>
    <row r="1260" ht="18.0" hidden="1" customHeight="1" outlineLevel="2">
      <c r="A1260" s="1">
        <v>4.0</v>
      </c>
      <c r="B1260" s="26" t="s">
        <v>1605</v>
      </c>
      <c r="C1260" s="1"/>
      <c r="D1260" s="1"/>
      <c r="E1260" s="14" t="s">
        <v>33</v>
      </c>
      <c r="F1260" s="15"/>
      <c r="G1260" s="16">
        <v>60.0</v>
      </c>
      <c r="H1260" s="11" t="s">
        <v>1539</v>
      </c>
      <c r="I1260" s="7"/>
      <c r="J1260" s="7" t="str">
        <f>IFERROR(LET(_xlpm.v,
VLOOKUP($I1260,'用語辞書'!$A:$B,COLUMN('用語辞書'!B$1),FALSE),
IF(_xlpm.v=0,"",_xlpm.v)
),"")</f>
        <v/>
      </c>
      <c r="K1260" s="17"/>
      <c r="L1260" s="17" t="b">
        <f>IF(OR(COUNTIF('クラス'!$A$1:$A$1267,$B1260)&gt;0,$B1260="",$M1260=""),"",True)</f>
        <v>1</v>
      </c>
      <c r="M1260" s="1" t="str">
        <f t="shared" si="24"/>
        <v>存在しない</v>
      </c>
      <c r="N1260" s="1" t="s">
        <v>29</v>
      </c>
      <c r="O1260" s="1"/>
      <c r="P1260" s="11"/>
      <c r="Q1260" s="11"/>
      <c r="R1260" s="11"/>
      <c r="S1260" s="11"/>
      <c r="T1260" s="1"/>
      <c r="U1260" s="1"/>
      <c r="V1260" s="1"/>
      <c r="W1260" s="1"/>
      <c r="X1260" s="1"/>
      <c r="Y1260" s="1"/>
      <c r="Z1260" s="1"/>
    </row>
    <row r="1261" ht="18.0" hidden="1" customHeight="1" outlineLevel="2">
      <c r="A1261" s="1">
        <v>5.0</v>
      </c>
      <c r="B1261" s="26" t="s">
        <v>1606</v>
      </c>
      <c r="C1261" s="1"/>
      <c r="D1261" s="1"/>
      <c r="E1261" s="14" t="s">
        <v>33</v>
      </c>
      <c r="F1261" s="15"/>
      <c r="G1261" s="16">
        <v>40.0</v>
      </c>
      <c r="H1261" s="11" t="s">
        <v>1563</v>
      </c>
      <c r="I1261" s="7"/>
      <c r="J1261" s="7" t="str">
        <f>IFERROR(LET(_xlpm.v,
VLOOKUP($I1261,'用語辞書'!$A:$B,COLUMN('用語辞書'!B$1),FALSE),
IF(_xlpm.v=0,"",_xlpm.v)
),"")</f>
        <v/>
      </c>
      <c r="K1261" s="17"/>
      <c r="L1261" s="17" t="b">
        <f>IF(OR(COUNTIF('クラス'!$A$1:$A$1267,$B1261)&gt;0,$B1261="",$M1261=""),"",True)</f>
        <v>1</v>
      </c>
      <c r="M1261" s="1" t="str">
        <f t="shared" si="24"/>
        <v>存在しない</v>
      </c>
      <c r="N1261" s="1" t="s">
        <v>29</v>
      </c>
      <c r="O1261" s="1"/>
      <c r="P1261" s="11"/>
      <c r="Q1261" s="11"/>
      <c r="R1261" s="11"/>
      <c r="S1261" s="11"/>
      <c r="T1261" s="1"/>
      <c r="U1261" s="1"/>
      <c r="V1261" s="1"/>
      <c r="W1261" s="1"/>
      <c r="X1261" s="1"/>
      <c r="Y1261" s="1"/>
      <c r="Z1261" s="1"/>
    </row>
    <row r="1262" ht="18.0" hidden="1" customHeight="1" outlineLevel="2">
      <c r="A1262" s="1">
        <v>6.0</v>
      </c>
      <c r="B1262" s="1"/>
      <c r="C1262" s="1"/>
      <c r="D1262" s="1"/>
      <c r="E1262" s="14"/>
      <c r="F1262" s="15"/>
      <c r="G1262" s="16"/>
      <c r="H1262" s="11"/>
      <c r="I1262" s="7"/>
      <c r="J1262" s="7" t="str">
        <f>IFERROR(LET(_xlpm.v,
VLOOKUP($I1262,'用語辞書'!$A:$B,COLUMN('用語辞書'!B$1),FALSE),
IF(_xlpm.v=0,"",_xlpm.v)
),"")</f>
        <v/>
      </c>
      <c r="K1262" s="17"/>
      <c r="L1262" s="17" t="str">
        <f>IF(OR(COUNTIF('クラス'!$A$1:$A$1267,$B1262)&gt;0,$B1262="",$M1262=""),"",True)</f>
        <v/>
      </c>
      <c r="M1262" s="1" t="str">
        <f t="shared" si="24"/>
        <v>存在しない</v>
      </c>
      <c r="N1262" s="1" t="s">
        <v>29</v>
      </c>
      <c r="O1262" s="1"/>
      <c r="P1262" s="11"/>
      <c r="Q1262" s="11"/>
      <c r="R1262" s="11"/>
      <c r="S1262" s="11"/>
      <c r="T1262" s="1"/>
      <c r="U1262" s="1"/>
      <c r="V1262" s="1"/>
      <c r="W1262" s="1"/>
      <c r="X1262" s="1"/>
      <c r="Y1262" s="1"/>
      <c r="Z1262" s="1"/>
    </row>
    <row r="1263" ht="18.0" hidden="1" customHeight="1" outlineLevel="2">
      <c r="A1263" s="1">
        <v>7.0</v>
      </c>
      <c r="B1263" s="26" t="s">
        <v>1607</v>
      </c>
      <c r="C1263" s="1"/>
      <c r="D1263" s="1"/>
      <c r="E1263" s="14" t="s">
        <v>55</v>
      </c>
      <c r="F1263" s="15"/>
      <c r="G1263" s="16"/>
      <c r="H1263" s="11" t="s">
        <v>1608</v>
      </c>
      <c r="I1263" s="7"/>
      <c r="J1263" s="7" t="str">
        <f>IFERROR(LET(_xlpm.v,
VLOOKUP($I1263,'用語辞書'!$A:$B,COLUMN('用語辞書'!B$1),FALSE),
IF(_xlpm.v=0,"",_xlpm.v)
),"")</f>
        <v/>
      </c>
      <c r="K1263" s="17"/>
      <c r="L1263" s="17" t="b">
        <f>IF(OR(COUNTIF('クラス'!$A$1:$A$1267,$B1263)&gt;0,$B1263="",$M1263=""),"",True)</f>
        <v>1</v>
      </c>
      <c r="M1263" s="1" t="str">
        <f t="shared" si="24"/>
        <v>存在しない</v>
      </c>
      <c r="N1263" s="1" t="s">
        <v>29</v>
      </c>
      <c r="O1263" s="1"/>
      <c r="P1263" s="11"/>
      <c r="Q1263" s="11"/>
      <c r="R1263" s="11"/>
      <c r="S1263" s="11"/>
      <c r="T1263" s="1"/>
      <c r="U1263" s="1"/>
      <c r="V1263" s="1"/>
      <c r="W1263" s="1"/>
      <c r="X1263" s="1"/>
      <c r="Y1263" s="1"/>
      <c r="Z1263" s="1"/>
    </row>
    <row r="1264" ht="18.0" hidden="1" customHeight="1" outlineLevel="2">
      <c r="A1264" s="1">
        <v>8.0</v>
      </c>
      <c r="B1264" s="1"/>
      <c r="C1264" s="1"/>
      <c r="D1264" s="1"/>
      <c r="E1264" s="14"/>
      <c r="F1264" s="15"/>
      <c r="G1264" s="16"/>
      <c r="H1264" s="11"/>
      <c r="I1264" s="7"/>
      <c r="J1264" s="7" t="str">
        <f>IFERROR(LET(_xlpm.v,
VLOOKUP($I1264,'用語辞書'!$A:$B,COLUMN('用語辞書'!B$1),FALSE),
IF(_xlpm.v=0,"",_xlpm.v)
),"")</f>
        <v/>
      </c>
      <c r="K1264" s="17"/>
      <c r="L1264" s="17" t="str">
        <f>IF(OR(COUNTIF('クラス'!$A$1:$A$1267,$B1264)&gt;0,$B1264="",$M1264=""),"",True)</f>
        <v/>
      </c>
      <c r="M1264" s="1" t="str">
        <f t="shared" si="24"/>
        <v>存在しない</v>
      </c>
      <c r="N1264" s="1" t="s">
        <v>29</v>
      </c>
      <c r="O1264" s="1"/>
      <c r="P1264" s="11"/>
      <c r="Q1264" s="11"/>
      <c r="R1264" s="11"/>
      <c r="S1264" s="11"/>
      <c r="T1264" s="1"/>
      <c r="U1264" s="1"/>
      <c r="V1264" s="1"/>
      <c r="W1264" s="1"/>
      <c r="X1264" s="1"/>
      <c r="Y1264" s="1"/>
      <c r="Z1264" s="1"/>
    </row>
    <row r="1265" ht="18.0" hidden="1" customHeight="1" outlineLevel="2">
      <c r="A1265" s="1">
        <v>9.0</v>
      </c>
      <c r="B1265" s="1"/>
      <c r="C1265" s="1"/>
      <c r="D1265" s="1"/>
      <c r="E1265" s="14"/>
      <c r="F1265" s="15"/>
      <c r="G1265" s="16"/>
      <c r="H1265" s="11"/>
      <c r="I1265" s="7"/>
      <c r="J1265" s="7" t="str">
        <f>IFERROR(LET(_xlpm.v,
VLOOKUP($I1265,'用語辞書'!$A:$B,COLUMN('用語辞書'!B$1),FALSE),
IF(_xlpm.v=0,"",_xlpm.v)
),"")</f>
        <v/>
      </c>
      <c r="K1265" s="17"/>
      <c r="L1265" s="17" t="str">
        <f>IF(OR(COUNTIF('クラス'!$A$1:$A$1267,$B1265)&gt;0,$B1265="",$M1265=""),"",True)</f>
        <v/>
      </c>
      <c r="M1265" s="1" t="str">
        <f t="shared" si="24"/>
        <v>存在しない</v>
      </c>
      <c r="N1265" s="1" t="s">
        <v>29</v>
      </c>
      <c r="O1265" s="1"/>
      <c r="P1265" s="11"/>
      <c r="Q1265" s="11"/>
      <c r="R1265" s="11"/>
      <c r="S1265" s="11"/>
      <c r="T1265" s="1"/>
      <c r="U1265" s="1"/>
      <c r="V1265" s="1"/>
      <c r="W1265" s="1"/>
      <c r="X1265" s="1"/>
      <c r="Y1265" s="1"/>
      <c r="Z1265" s="1"/>
    </row>
    <row r="1266" ht="18.0" hidden="1" customHeight="1" outlineLevel="2">
      <c r="A1266" s="1">
        <v>10.0</v>
      </c>
      <c r="B1266" s="1"/>
      <c r="C1266" s="1"/>
      <c r="D1266" s="1"/>
      <c r="E1266" s="14"/>
      <c r="F1266" s="15"/>
      <c r="G1266" s="16"/>
      <c r="H1266" s="11"/>
      <c r="I1266" s="7"/>
      <c r="J1266" s="7" t="str">
        <f>IFERROR(LET(_xlpm.v,
VLOOKUP($I1266,'用語辞書'!$A:$B,COLUMN('用語辞書'!B$1),FALSE),
IF(_xlpm.v=0,"",_xlpm.v)
),"")</f>
        <v/>
      </c>
      <c r="K1266" s="17"/>
      <c r="L1266" s="17" t="str">
        <f>IF(OR(COUNTIF('クラス'!$A$1:$A$1267,$B1266)&gt;0,$B1266="",$M1266=""),"",True)</f>
        <v/>
      </c>
      <c r="M1266" s="1" t="str">
        <f t="shared" si="24"/>
        <v>存在しない</v>
      </c>
      <c r="N1266" s="1" t="s">
        <v>29</v>
      </c>
      <c r="O1266" s="1"/>
      <c r="P1266" s="11"/>
      <c r="Q1266" s="11"/>
      <c r="R1266" s="11"/>
      <c r="S1266" s="11"/>
      <c r="T1266" s="1"/>
      <c r="U1266" s="1"/>
      <c r="V1266" s="1"/>
      <c r="W1266" s="1"/>
      <c r="X1266" s="1"/>
      <c r="Y1266" s="1"/>
      <c r="Z1266" s="1"/>
    </row>
    <row r="1267" ht="18.0" hidden="1" customHeight="1" outlineLevel="1" collapsed="1">
      <c r="A1267" s="1"/>
      <c r="B1267" s="1"/>
      <c r="C1267" s="1"/>
      <c r="D1267" s="1"/>
      <c r="E1267" s="14"/>
      <c r="F1267" s="15"/>
      <c r="G1267" s="16"/>
      <c r="H1267" s="11"/>
      <c r="I1267" s="7"/>
      <c r="J1267" s="7" t="str">
        <f>IFERROR(LET(_xlpm.v,
VLOOKUP($I1267,'用語辞書'!$A:$B,COLUMN('用語辞書'!B$1),FALSE),
IF(_xlpm.v=0,"",_xlpm.v)
),"")</f>
        <v/>
      </c>
      <c r="K1267" s="17"/>
      <c r="L1267" s="17" t="str">
        <f>IF(OR(COUNTIF('クラス'!$A$1:$A$1267,$B1267)&gt;0,$B1267="",$M1267=""),"",True)</f>
        <v/>
      </c>
      <c r="M1267" s="1" t="str">
        <f t="shared" si="24"/>
        <v>存在しない</v>
      </c>
      <c r="N1267" s="1" t="s">
        <v>29</v>
      </c>
      <c r="O1267" s="1"/>
      <c r="P1267" s="11"/>
      <c r="Q1267" s="11"/>
      <c r="R1267" s="11"/>
      <c r="S1267" s="11"/>
      <c r="T1267" s="1"/>
      <c r="U1267" s="1"/>
      <c r="V1267" s="1"/>
      <c r="W1267" s="1"/>
      <c r="X1267" s="1"/>
      <c r="Y1267" s="1"/>
      <c r="Z1267" s="1"/>
    </row>
    <row r="1268" ht="18.0" hidden="1" customHeight="1" outlineLevel="1">
      <c r="A1268" s="1"/>
      <c r="B1268" s="1"/>
      <c r="C1268" s="1"/>
      <c r="D1268" s="1"/>
      <c r="E1268" s="14"/>
      <c r="F1268" s="15"/>
      <c r="G1268" s="16"/>
      <c r="H1268" s="11"/>
      <c r="I1268" s="7"/>
      <c r="J1268" s="7" t="str">
        <f>IFERROR(LET(_xlpm.v,
VLOOKUP($I1268,'用語辞書'!$A:$B,COLUMN('用語辞書'!B$1),FALSE),
IF(_xlpm.v=0,"",_xlpm.v)
),"")</f>
        <v/>
      </c>
      <c r="K1268" s="17"/>
      <c r="L1268" s="17" t="str">
        <f>IF(OR(COUNTIF('クラス'!$A$1:$A$1267,$B1268)&gt;0,$B1268="",$M1268=""),"",True)</f>
        <v/>
      </c>
      <c r="M1268" s="1" t="str">
        <f t="shared" si="24"/>
        <v>存在しない</v>
      </c>
      <c r="N1268" s="1" t="s">
        <v>29</v>
      </c>
      <c r="O1268" s="1"/>
      <c r="P1268" s="11"/>
      <c r="Q1268" s="11"/>
      <c r="R1268" s="11"/>
      <c r="S1268" s="11"/>
      <c r="T1268" s="1"/>
      <c r="U1268" s="1"/>
      <c r="V1268" s="1"/>
      <c r="W1268" s="1"/>
      <c r="X1268" s="1"/>
      <c r="Y1268" s="1"/>
      <c r="Z1268" s="1"/>
    </row>
    <row r="1269" ht="18.0" hidden="1" customHeight="1" outlineLevel="1">
      <c r="A1269" s="1"/>
      <c r="B1269" s="26" t="s">
        <v>1609</v>
      </c>
      <c r="C1269" s="1"/>
      <c r="D1269" s="1"/>
      <c r="E1269" s="14"/>
      <c r="F1269" s="15"/>
      <c r="G1269" s="16"/>
      <c r="H1269" s="11"/>
      <c r="I1269" s="7"/>
      <c r="J1269" s="7" t="str">
        <f>IFERROR(LET(_xlpm.v,
VLOOKUP($I1269,'用語辞書'!$A:$B,COLUMN('用語辞書'!B$1),FALSE),
IF(_xlpm.v=0,"",_xlpm.v)
),"")</f>
        <v/>
      </c>
      <c r="K1269" s="17"/>
      <c r="L1269" s="17" t="str">
        <f>IF(OR(COUNTIF('クラス'!$A$1:$A$1267,$B1269)&gt;0,$B1269="",$M1269=""),"",True)</f>
        <v/>
      </c>
      <c r="M1269" s="1" t="str">
        <f t="shared" si="24"/>
        <v>存在しない</v>
      </c>
      <c r="N1269" s="1" t="s">
        <v>29</v>
      </c>
      <c r="O1269" s="1"/>
      <c r="P1269" s="11"/>
      <c r="Q1269" s="11"/>
      <c r="R1269" s="11"/>
      <c r="S1269" s="11"/>
      <c r="T1269" s="1"/>
      <c r="U1269" s="1"/>
      <c r="V1269" s="1"/>
      <c r="W1269" s="1"/>
      <c r="X1269" s="1"/>
      <c r="Y1269" s="1"/>
      <c r="Z1269" s="1"/>
    </row>
    <row r="1270" ht="18.0" hidden="1" customHeight="1" outlineLevel="2">
      <c r="A1270" s="1">
        <v>1.0</v>
      </c>
      <c r="B1270" s="26" t="s">
        <v>1610</v>
      </c>
      <c r="C1270" s="1"/>
      <c r="D1270" s="1"/>
      <c r="E1270" s="14" t="s">
        <v>33</v>
      </c>
      <c r="F1270" s="15"/>
      <c r="G1270" s="16">
        <v>40.0</v>
      </c>
      <c r="H1270" s="11" t="s">
        <v>1611</v>
      </c>
      <c r="I1270" s="7"/>
      <c r="J1270" s="7" t="str">
        <f>IFERROR(LET(_xlpm.v,
VLOOKUP($I1270,'用語辞書'!$A:$B,COLUMN('用語辞書'!B$1),FALSE),
IF(_xlpm.v=0,"",_xlpm.v)
),"")</f>
        <v/>
      </c>
      <c r="K1270" s="17"/>
      <c r="L1270" s="17" t="b">
        <f>IF(OR(COUNTIF('クラス'!$A$1:$A$1267,$B1270)&gt;0,$B1270="",$M1270=""),"",True)</f>
        <v>1</v>
      </c>
      <c r="M1270" s="1" t="str">
        <f t="shared" si="24"/>
        <v>存在しない</v>
      </c>
      <c r="N1270" s="1" t="s">
        <v>29</v>
      </c>
      <c r="O1270" s="1"/>
      <c r="P1270" s="11"/>
      <c r="Q1270" s="11"/>
      <c r="R1270" s="11"/>
      <c r="S1270" s="11"/>
      <c r="T1270" s="1"/>
      <c r="U1270" s="1"/>
      <c r="V1270" s="1"/>
      <c r="W1270" s="1"/>
      <c r="X1270" s="1"/>
      <c r="Y1270" s="1"/>
      <c r="Z1270" s="1"/>
    </row>
    <row r="1271" ht="18.0" hidden="1" customHeight="1" outlineLevel="2">
      <c r="A1271" s="1">
        <v>2.0</v>
      </c>
      <c r="B1271" s="26" t="s">
        <v>1612</v>
      </c>
      <c r="C1271" s="1"/>
      <c r="D1271" s="1"/>
      <c r="E1271" s="29" t="s">
        <v>33</v>
      </c>
      <c r="F1271" s="15"/>
      <c r="G1271" s="30">
        <v>50.0</v>
      </c>
      <c r="H1271" s="22" t="s">
        <v>1613</v>
      </c>
      <c r="I1271" s="7"/>
      <c r="J1271" s="7" t="str">
        <f>IFERROR(LET(_xlpm.v,
VLOOKUP($I1271,'用語辞書'!$A:$B,COLUMN('用語辞書'!B$1),FALSE),
IF(_xlpm.v=0,"",_xlpm.v)
),"")</f>
        <v/>
      </c>
      <c r="K1271" s="17"/>
      <c r="L1271" s="17" t="b">
        <f>IF(OR(COUNTIF('クラス'!$A$1:$A$1267,$B1271)&gt;0,$B1271="",$M1271=""),"",True)</f>
        <v>1</v>
      </c>
      <c r="M1271" s="1" t="str">
        <f t="shared" si="24"/>
        <v>存在しない</v>
      </c>
      <c r="N1271" s="1" t="s">
        <v>29</v>
      </c>
      <c r="O1271" s="1"/>
      <c r="P1271" s="11"/>
      <c r="Q1271" s="11"/>
      <c r="R1271" s="11"/>
      <c r="S1271" s="11"/>
      <c r="T1271" s="1"/>
      <c r="U1271" s="1"/>
      <c r="V1271" s="1"/>
      <c r="W1271" s="1"/>
      <c r="X1271" s="1"/>
      <c r="Y1271" s="1"/>
      <c r="Z1271" s="1"/>
    </row>
    <row r="1272" ht="18.0" hidden="1" customHeight="1" outlineLevel="2">
      <c r="A1272" s="1">
        <v>3.0</v>
      </c>
      <c r="B1272" s="26" t="s">
        <v>1614</v>
      </c>
      <c r="C1272" s="1"/>
      <c r="D1272" s="1"/>
      <c r="E1272" s="29" t="s">
        <v>55</v>
      </c>
      <c r="F1272" s="15"/>
      <c r="G1272" s="16"/>
      <c r="H1272" s="22" t="s">
        <v>1602</v>
      </c>
      <c r="I1272" s="7"/>
      <c r="J1272" s="7" t="str">
        <f>IFERROR(LET(_xlpm.v,
VLOOKUP($I1272,'用語辞書'!$A:$B,COLUMN('用語辞書'!B$1),FALSE),
IF(_xlpm.v=0,"",_xlpm.v)
),"")</f>
        <v/>
      </c>
      <c r="K1272" s="17"/>
      <c r="L1272" s="17" t="b">
        <f>IF(OR(COUNTIF('クラス'!$A$1:$A$1267,$B1272)&gt;0,$B1272="",$M1272=""),"",True)</f>
        <v>1</v>
      </c>
      <c r="M1272" s="1" t="str">
        <f t="shared" si="24"/>
        <v>存在しない</v>
      </c>
      <c r="N1272" s="1" t="s">
        <v>29</v>
      </c>
      <c r="O1272" s="1"/>
      <c r="P1272" s="11"/>
      <c r="Q1272" s="11"/>
      <c r="R1272" s="11"/>
      <c r="S1272" s="11"/>
      <c r="T1272" s="1"/>
      <c r="U1272" s="1"/>
      <c r="V1272" s="1"/>
      <c r="W1272" s="1"/>
      <c r="X1272" s="1"/>
      <c r="Y1272" s="1"/>
      <c r="Z1272" s="1"/>
    </row>
    <row r="1273" ht="18.0" hidden="1" customHeight="1" outlineLevel="2">
      <c r="A1273" s="1">
        <v>4.0</v>
      </c>
      <c r="B1273" s="26" t="s">
        <v>1615</v>
      </c>
      <c r="C1273" s="1"/>
      <c r="D1273" s="1"/>
      <c r="E1273" s="14" t="s">
        <v>55</v>
      </c>
      <c r="F1273" s="15"/>
      <c r="G1273" s="16"/>
      <c r="H1273" s="11" t="s">
        <v>1616</v>
      </c>
      <c r="I1273" s="7"/>
      <c r="J1273" s="7" t="str">
        <f>IFERROR(LET(_xlpm.v,
VLOOKUP($I1273,'用語辞書'!$A:$B,COLUMN('用語辞書'!B$1),FALSE),
IF(_xlpm.v=0,"",_xlpm.v)
),"")</f>
        <v/>
      </c>
      <c r="K1273" s="17"/>
      <c r="L1273" s="17" t="b">
        <f>IF(OR(COUNTIF('クラス'!$A$1:$A$1267,$B1273)&gt;0,$B1273="",$M1273=""),"",True)</f>
        <v>1</v>
      </c>
      <c r="M1273" s="1" t="str">
        <f t="shared" si="24"/>
        <v>存在しない</v>
      </c>
      <c r="N1273" s="1" t="s">
        <v>29</v>
      </c>
      <c r="O1273" s="1"/>
      <c r="P1273" s="11"/>
      <c r="Q1273" s="11"/>
      <c r="R1273" s="11"/>
      <c r="S1273" s="11"/>
      <c r="T1273" s="1"/>
      <c r="U1273" s="1"/>
      <c r="V1273" s="1"/>
      <c r="W1273" s="1"/>
      <c r="X1273" s="1"/>
      <c r="Y1273" s="1"/>
      <c r="Z1273" s="1"/>
    </row>
    <row r="1274" ht="18.0" hidden="1" customHeight="1" outlineLevel="2">
      <c r="A1274" s="1">
        <v>5.0</v>
      </c>
      <c r="B1274" s="26" t="s">
        <v>1606</v>
      </c>
      <c r="C1274" s="1"/>
      <c r="D1274" s="1"/>
      <c r="E1274" s="14"/>
      <c r="F1274" s="15"/>
      <c r="G1274" s="16"/>
      <c r="H1274" s="11"/>
      <c r="I1274" s="7"/>
      <c r="J1274" s="7" t="str">
        <f>IFERROR(LET(_xlpm.v,
VLOOKUP($I1274,'用語辞書'!$A:$B,COLUMN('用語辞書'!B$1),FALSE),
IF(_xlpm.v=0,"",_xlpm.v)
),"")</f>
        <v/>
      </c>
      <c r="K1274" s="17"/>
      <c r="L1274" s="17" t="str">
        <f>IF(OR(COUNTIF('クラス'!$A$1:$A$1267,$B1274)&gt;0,$B1274="",$M1274=""),"",True)</f>
        <v/>
      </c>
      <c r="M1274" s="1" t="str">
        <f t="shared" si="24"/>
        <v/>
      </c>
      <c r="N1274" s="1" t="s">
        <v>29</v>
      </c>
      <c r="O1274" s="1"/>
      <c r="P1274" s="11"/>
      <c r="Q1274" s="11"/>
      <c r="R1274" s="11"/>
      <c r="S1274" s="11"/>
      <c r="T1274" s="1"/>
      <c r="U1274" s="1"/>
      <c r="V1274" s="1"/>
      <c r="W1274" s="1"/>
      <c r="X1274" s="1"/>
      <c r="Y1274" s="1"/>
      <c r="Z1274" s="1"/>
    </row>
    <row r="1275" ht="18.0" hidden="1" customHeight="1" outlineLevel="2">
      <c r="A1275" s="1">
        <v>6.0</v>
      </c>
      <c r="B1275" s="1"/>
      <c r="C1275" s="1"/>
      <c r="D1275" s="1"/>
      <c r="E1275" s="14"/>
      <c r="F1275" s="15"/>
      <c r="G1275" s="16"/>
      <c r="H1275" s="11"/>
      <c r="I1275" s="7"/>
      <c r="J1275" s="7" t="str">
        <f>IFERROR(LET(_xlpm.v,
VLOOKUP($I1275,'用語辞書'!$A:$B,COLUMN('用語辞書'!B$1),FALSE),
IF(_xlpm.v=0,"",_xlpm.v)
),"")</f>
        <v/>
      </c>
      <c r="K1275" s="17"/>
      <c r="L1275" s="17" t="str">
        <f>IF(OR(COUNTIF('クラス'!$A$1:$A$1267,$B1275)&gt;0,$B1275="",$M1275=""),"",True)</f>
        <v/>
      </c>
      <c r="M1275" s="1" t="str">
        <f t="shared" si="24"/>
        <v>存在しない</v>
      </c>
      <c r="N1275" s="1" t="s">
        <v>29</v>
      </c>
      <c r="O1275" s="1"/>
      <c r="P1275" s="11"/>
      <c r="Q1275" s="11"/>
      <c r="R1275" s="11"/>
      <c r="S1275" s="11"/>
      <c r="T1275" s="1"/>
      <c r="U1275" s="1"/>
      <c r="V1275" s="1"/>
      <c r="W1275" s="1"/>
      <c r="X1275" s="1"/>
      <c r="Y1275" s="1"/>
      <c r="Z1275" s="1"/>
    </row>
    <row r="1276" ht="18.0" hidden="1" customHeight="1" outlineLevel="2">
      <c r="A1276" s="1">
        <v>7.0</v>
      </c>
      <c r="B1276" s="26" t="s">
        <v>1607</v>
      </c>
      <c r="C1276" s="1"/>
      <c r="D1276" s="1"/>
      <c r="E1276" s="14"/>
      <c r="F1276" s="15"/>
      <c r="G1276" s="16"/>
      <c r="H1276" s="11"/>
      <c r="I1276" s="7"/>
      <c r="J1276" s="7" t="str">
        <f>IFERROR(LET(_xlpm.v,
VLOOKUP($I1276,'用語辞書'!$A:$B,COLUMN('用語辞書'!B$1),FALSE),
IF(_xlpm.v=0,"",_xlpm.v)
),"")</f>
        <v/>
      </c>
      <c r="K1276" s="17"/>
      <c r="L1276" s="17" t="str">
        <f>IF(OR(COUNTIF('クラス'!$A$1:$A$1267,$B1276)&gt;0,$B1276="",$M1276=""),"",True)</f>
        <v/>
      </c>
      <c r="M1276" s="1" t="str">
        <f t="shared" si="24"/>
        <v/>
      </c>
      <c r="N1276" s="1" t="s">
        <v>29</v>
      </c>
      <c r="O1276" s="1"/>
      <c r="P1276" s="11"/>
      <c r="Q1276" s="11"/>
      <c r="R1276" s="11"/>
      <c r="S1276" s="11"/>
      <c r="T1276" s="1"/>
      <c r="U1276" s="1"/>
      <c r="V1276" s="1"/>
      <c r="W1276" s="1"/>
      <c r="X1276" s="1"/>
      <c r="Y1276" s="1"/>
      <c r="Z1276" s="1"/>
    </row>
    <row r="1277" ht="18.0" hidden="1" customHeight="1" outlineLevel="2">
      <c r="A1277" s="1">
        <v>8.0</v>
      </c>
      <c r="B1277" s="1"/>
      <c r="C1277" s="1"/>
      <c r="D1277" s="1"/>
      <c r="E1277" s="14"/>
      <c r="F1277" s="15"/>
      <c r="G1277" s="16"/>
      <c r="H1277" s="11"/>
      <c r="I1277" s="7"/>
      <c r="J1277" s="7" t="str">
        <f>IFERROR(LET(_xlpm.v,
VLOOKUP($I1277,'用語辞書'!$A:$B,COLUMN('用語辞書'!B$1),FALSE),
IF(_xlpm.v=0,"",_xlpm.v)
),"")</f>
        <v/>
      </c>
      <c r="K1277" s="17"/>
      <c r="L1277" s="17" t="str">
        <f>IF(OR(COUNTIF('クラス'!$A$1:$A$1267,$B1277)&gt;0,$B1277="",$M1277=""),"",True)</f>
        <v/>
      </c>
      <c r="M1277" s="1" t="str">
        <f t="shared" si="24"/>
        <v>存在しない</v>
      </c>
      <c r="N1277" s="1" t="s">
        <v>29</v>
      </c>
      <c r="O1277" s="1"/>
      <c r="P1277" s="11"/>
      <c r="Q1277" s="11"/>
      <c r="R1277" s="11"/>
      <c r="S1277" s="11"/>
      <c r="T1277" s="1"/>
      <c r="U1277" s="1"/>
      <c r="V1277" s="1"/>
      <c r="W1277" s="1"/>
      <c r="X1277" s="1"/>
      <c r="Y1277" s="1"/>
      <c r="Z1277" s="1"/>
    </row>
    <row r="1278" ht="18.0" hidden="1" customHeight="1" outlineLevel="2">
      <c r="A1278" s="1">
        <v>9.0</v>
      </c>
      <c r="B1278" s="1"/>
      <c r="C1278" s="1"/>
      <c r="D1278" s="1"/>
      <c r="E1278" s="14"/>
      <c r="F1278" s="15"/>
      <c r="G1278" s="16"/>
      <c r="H1278" s="11"/>
      <c r="I1278" s="7"/>
      <c r="J1278" s="7" t="str">
        <f>IFERROR(LET(_xlpm.v,
VLOOKUP($I1278,'用語辞書'!$A:$B,COLUMN('用語辞書'!B$1),FALSE),
IF(_xlpm.v=0,"",_xlpm.v)
),"")</f>
        <v/>
      </c>
      <c r="K1278" s="17"/>
      <c r="L1278" s="17" t="str">
        <f>IF(OR(COUNTIF('クラス'!$A$1:$A$1267,$B1278)&gt;0,$B1278="",$M1278=""),"",True)</f>
        <v/>
      </c>
      <c r="M1278" s="1" t="str">
        <f t="shared" si="24"/>
        <v>存在しない</v>
      </c>
      <c r="N1278" s="1" t="s">
        <v>29</v>
      </c>
      <c r="O1278" s="1"/>
      <c r="P1278" s="11"/>
      <c r="Q1278" s="11"/>
      <c r="R1278" s="11"/>
      <c r="S1278" s="11"/>
      <c r="T1278" s="1"/>
      <c r="U1278" s="1"/>
      <c r="V1278" s="1"/>
      <c r="W1278" s="1"/>
      <c r="X1278" s="1"/>
      <c r="Y1278" s="1"/>
      <c r="Z1278" s="1"/>
    </row>
    <row r="1279" ht="18.0" hidden="1" customHeight="1" outlineLevel="2">
      <c r="A1279" s="1">
        <v>10.0</v>
      </c>
      <c r="B1279" s="1"/>
      <c r="C1279" s="1"/>
      <c r="D1279" s="1"/>
      <c r="E1279" s="14"/>
      <c r="F1279" s="15"/>
      <c r="G1279" s="16"/>
      <c r="H1279" s="11"/>
      <c r="I1279" s="7"/>
      <c r="J1279" s="7" t="str">
        <f>IFERROR(LET(_xlpm.v,
VLOOKUP($I1279,'用語辞書'!$A:$B,COLUMN('用語辞書'!B$1),FALSE),
IF(_xlpm.v=0,"",_xlpm.v)
),"")</f>
        <v/>
      </c>
      <c r="K1279" s="17"/>
      <c r="L1279" s="17" t="str">
        <f>IF(OR(COUNTIF('クラス'!$A$1:$A$1267,$B1279)&gt;0,$B1279="",$M1279=""),"",True)</f>
        <v/>
      </c>
      <c r="M1279" s="1" t="str">
        <f t="shared" si="24"/>
        <v>存在しない</v>
      </c>
      <c r="N1279" s="1" t="s">
        <v>29</v>
      </c>
      <c r="O1279" s="1"/>
      <c r="P1279" s="11"/>
      <c r="Q1279" s="11"/>
      <c r="R1279" s="11"/>
      <c r="S1279" s="11"/>
      <c r="T1279" s="1"/>
      <c r="U1279" s="1"/>
      <c r="V1279" s="1"/>
      <c r="W1279" s="1"/>
      <c r="X1279" s="1"/>
      <c r="Y1279" s="1"/>
      <c r="Z1279" s="1"/>
    </row>
    <row r="1280" ht="18.0" hidden="1" customHeight="1" outlineLevel="1" collapsed="1">
      <c r="A1280" s="1"/>
      <c r="B1280" s="1"/>
      <c r="C1280" s="1"/>
      <c r="D1280" s="1"/>
      <c r="E1280" s="14"/>
      <c r="F1280" s="15"/>
      <c r="G1280" s="16"/>
      <c r="H1280" s="11"/>
      <c r="I1280" s="7"/>
      <c r="J1280" s="7" t="str">
        <f>IFERROR(LET(_xlpm.v,
VLOOKUP($I1280,'用語辞書'!$A:$B,COLUMN('用語辞書'!B$1),FALSE),
IF(_xlpm.v=0,"",_xlpm.v)
),"")</f>
        <v/>
      </c>
      <c r="K1280" s="17"/>
      <c r="L1280" s="17" t="str">
        <f>IF(OR(COUNTIF('クラス'!$A$1:$A$1267,$B1280)&gt;0,$B1280="",$M1280=""),"",True)</f>
        <v/>
      </c>
      <c r="M1280" s="1" t="str">
        <f t="shared" si="24"/>
        <v>存在しない</v>
      </c>
      <c r="N1280" s="1" t="s">
        <v>29</v>
      </c>
      <c r="O1280" s="1"/>
      <c r="P1280" s="11"/>
      <c r="Q1280" s="11"/>
      <c r="R1280" s="11"/>
      <c r="S1280" s="11"/>
      <c r="T1280" s="1"/>
      <c r="U1280" s="1"/>
      <c r="V1280" s="1"/>
      <c r="W1280" s="1"/>
      <c r="X1280" s="1"/>
      <c r="Y1280" s="1"/>
      <c r="Z1280" s="1"/>
    </row>
    <row r="1281" ht="18.0" hidden="1" customHeight="1" outlineLevel="1">
      <c r="A1281" s="1"/>
      <c r="B1281" s="1"/>
      <c r="C1281" s="1"/>
      <c r="D1281" s="1"/>
      <c r="E1281" s="14"/>
      <c r="F1281" s="15"/>
      <c r="G1281" s="16"/>
      <c r="H1281" s="11"/>
      <c r="I1281" s="7"/>
      <c r="J1281" s="7" t="str">
        <f>IFERROR(LET(_xlpm.v,
VLOOKUP($I1281,'用語辞書'!$A:$B,COLUMN('用語辞書'!B$1),FALSE),
IF(_xlpm.v=0,"",_xlpm.v)
),"")</f>
        <v/>
      </c>
      <c r="K1281" s="17"/>
      <c r="L1281" s="17" t="str">
        <f>IF(OR(COUNTIF('クラス'!$A$1:$A$1267,$B1281)&gt;0,$B1281="",$M1281=""),"",True)</f>
        <v/>
      </c>
      <c r="M1281" s="1" t="str">
        <f t="shared" si="24"/>
        <v>存在しない</v>
      </c>
      <c r="N1281" s="1" t="s">
        <v>29</v>
      </c>
      <c r="O1281" s="1"/>
      <c r="P1281" s="11"/>
      <c r="Q1281" s="11"/>
      <c r="R1281" s="11"/>
      <c r="S1281" s="11"/>
      <c r="T1281" s="1"/>
      <c r="U1281" s="1"/>
      <c r="V1281" s="1"/>
      <c r="W1281" s="1"/>
      <c r="X1281" s="1"/>
      <c r="Y1281" s="1"/>
      <c r="Z1281" s="1"/>
    </row>
    <row r="1282" ht="18.0" hidden="1" customHeight="1" outlineLevel="1">
      <c r="A1282" s="1"/>
      <c r="B1282" s="26" t="s">
        <v>1617</v>
      </c>
      <c r="C1282" s="1"/>
      <c r="D1282" s="1"/>
      <c r="E1282" s="14"/>
      <c r="F1282" s="15"/>
      <c r="G1282" s="16"/>
      <c r="H1282" s="11"/>
      <c r="I1282" s="7"/>
      <c r="J1282" s="7" t="str">
        <f>IFERROR(LET(_xlpm.v,
VLOOKUP($I1282,'用語辞書'!$A:$B,COLUMN('用語辞書'!B$1),FALSE),
IF(_xlpm.v=0,"",_xlpm.v)
),"")</f>
        <v/>
      </c>
      <c r="K1282" s="17"/>
      <c r="L1282" s="17" t="str">
        <f>IF(OR(COUNTIF('クラス'!$A$1:$A$1267,$B1282)&gt;0,$B1282="",$M1282=""),"",True)</f>
        <v/>
      </c>
      <c r="M1282" s="1" t="str">
        <f t="shared" si="24"/>
        <v>存在しない</v>
      </c>
      <c r="N1282" s="1" t="s">
        <v>29</v>
      </c>
      <c r="O1282" s="1"/>
      <c r="P1282" s="11"/>
      <c r="Q1282" s="11"/>
      <c r="R1282" s="11"/>
      <c r="S1282" s="11"/>
      <c r="T1282" s="1"/>
      <c r="U1282" s="1"/>
      <c r="V1282" s="1"/>
      <c r="W1282" s="1"/>
      <c r="X1282" s="1"/>
      <c r="Y1282" s="1"/>
      <c r="Z1282" s="1"/>
    </row>
    <row r="1283" ht="18.0" hidden="1" customHeight="1" outlineLevel="2">
      <c r="A1283" s="1">
        <v>1.0</v>
      </c>
      <c r="B1283" s="26" t="s">
        <v>1618</v>
      </c>
      <c r="C1283" s="1"/>
      <c r="D1283" s="1"/>
      <c r="E1283" s="14" t="s">
        <v>33</v>
      </c>
      <c r="F1283" s="15"/>
      <c r="G1283" s="16">
        <v>40.0</v>
      </c>
      <c r="H1283" s="11" t="s">
        <v>1619</v>
      </c>
      <c r="I1283" s="7"/>
      <c r="J1283" s="7" t="str">
        <f>IFERROR(LET(_xlpm.v,
VLOOKUP($I1283,'用語辞書'!$A:$B,COLUMN('用語辞書'!B$1),FALSE),
IF(_xlpm.v=0,"",_xlpm.v)
),"")</f>
        <v/>
      </c>
      <c r="K1283" s="17"/>
      <c r="L1283" s="17" t="b">
        <f>IF(OR(COUNTIF('クラス'!$A$1:$A$1267,$B1283)&gt;0,$B1283="",$M1283=""),"",True)</f>
        <v>1</v>
      </c>
      <c r="M1283" s="1" t="str">
        <f t="shared" si="24"/>
        <v>存在しない</v>
      </c>
      <c r="N1283" s="1" t="s">
        <v>29</v>
      </c>
      <c r="O1283" s="1"/>
      <c r="P1283" s="11"/>
      <c r="Q1283" s="11"/>
      <c r="R1283" s="11"/>
      <c r="S1283" s="11"/>
      <c r="T1283" s="1"/>
      <c r="U1283" s="1"/>
      <c r="V1283" s="1"/>
      <c r="W1283" s="1"/>
      <c r="X1283" s="1"/>
      <c r="Y1283" s="1"/>
      <c r="Z1283" s="1"/>
    </row>
    <row r="1284" ht="18.0" hidden="1" customHeight="1" outlineLevel="2">
      <c r="A1284" s="1">
        <v>2.0</v>
      </c>
      <c r="B1284" s="26" t="s">
        <v>1620</v>
      </c>
      <c r="C1284" s="1"/>
      <c r="D1284" s="1"/>
      <c r="E1284" s="29" t="s">
        <v>33</v>
      </c>
      <c r="F1284" s="15"/>
      <c r="G1284" s="30">
        <v>50.0</v>
      </c>
      <c r="H1284" s="22" t="s">
        <v>1621</v>
      </c>
      <c r="I1284" s="7"/>
      <c r="J1284" s="7" t="str">
        <f>IFERROR(LET(_xlpm.v,
VLOOKUP($I1284,'用語辞書'!$A:$B,COLUMN('用語辞書'!B$1),FALSE),
IF(_xlpm.v=0,"",_xlpm.v)
),"")</f>
        <v/>
      </c>
      <c r="K1284" s="17"/>
      <c r="L1284" s="17" t="b">
        <f>IF(OR(COUNTIF('クラス'!$A$1:$A$1267,$B1284)&gt;0,$B1284="",$M1284=""),"",True)</f>
        <v>1</v>
      </c>
      <c r="M1284" s="1" t="str">
        <f t="shared" si="24"/>
        <v>存在しない</v>
      </c>
      <c r="N1284" s="1" t="s">
        <v>29</v>
      </c>
      <c r="O1284" s="1"/>
      <c r="P1284" s="11"/>
      <c r="Q1284" s="11"/>
      <c r="R1284" s="11"/>
      <c r="S1284" s="11"/>
      <c r="T1284" s="1"/>
      <c r="U1284" s="1"/>
      <c r="V1284" s="1"/>
      <c r="W1284" s="1"/>
      <c r="X1284" s="1"/>
      <c r="Y1284" s="1"/>
      <c r="Z1284" s="1"/>
    </row>
    <row r="1285" ht="18.0" hidden="1" customHeight="1" outlineLevel="2">
      <c r="A1285" s="1">
        <v>3.0</v>
      </c>
      <c r="B1285" s="26" t="s">
        <v>1622</v>
      </c>
      <c r="C1285" s="1"/>
      <c r="D1285" s="1"/>
      <c r="E1285" s="29" t="s">
        <v>55</v>
      </c>
      <c r="F1285" s="15"/>
      <c r="G1285" s="16"/>
      <c r="H1285" s="22" t="s">
        <v>1602</v>
      </c>
      <c r="I1285" s="7"/>
      <c r="J1285" s="7" t="str">
        <f>IFERROR(LET(_xlpm.v,
VLOOKUP($I1285,'用語辞書'!$A:$B,COLUMN('用語辞書'!B$1),FALSE),
IF(_xlpm.v=0,"",_xlpm.v)
),"")</f>
        <v/>
      </c>
      <c r="K1285" s="17"/>
      <c r="L1285" s="17" t="b">
        <f>IF(OR(COUNTIF('クラス'!$A$1:$A$1267,$B1285)&gt;0,$B1285="",$M1285=""),"",True)</f>
        <v>1</v>
      </c>
      <c r="M1285" s="1" t="str">
        <f t="shared" si="24"/>
        <v>存在しない</v>
      </c>
      <c r="N1285" s="1" t="s">
        <v>29</v>
      </c>
      <c r="O1285" s="1"/>
      <c r="P1285" s="11"/>
      <c r="Q1285" s="11"/>
      <c r="R1285" s="11"/>
      <c r="S1285" s="11"/>
      <c r="T1285" s="1"/>
      <c r="U1285" s="1"/>
      <c r="V1285" s="1"/>
      <c r="W1285" s="1"/>
      <c r="X1285" s="1"/>
      <c r="Y1285" s="1"/>
      <c r="Z1285" s="1"/>
    </row>
    <row r="1286" ht="18.0" hidden="1" customHeight="1" outlineLevel="2">
      <c r="A1286" s="1">
        <v>4.0</v>
      </c>
      <c r="B1286" s="26" t="s">
        <v>1623</v>
      </c>
      <c r="C1286" s="1"/>
      <c r="D1286" s="1"/>
      <c r="E1286" s="14" t="s">
        <v>55</v>
      </c>
      <c r="F1286" s="15"/>
      <c r="G1286" s="16"/>
      <c r="H1286" s="11" t="s">
        <v>1624</v>
      </c>
      <c r="I1286" s="7"/>
      <c r="J1286" s="7" t="str">
        <f>IFERROR(LET(_xlpm.v,
VLOOKUP($I1286,'用語辞書'!$A:$B,COLUMN('用語辞書'!B$1),FALSE),
IF(_xlpm.v=0,"",_xlpm.v)
),"")</f>
        <v/>
      </c>
      <c r="K1286" s="17"/>
      <c r="L1286" s="17" t="b">
        <f>IF(OR(COUNTIF('クラス'!$A$1:$A$1267,$B1286)&gt;0,$B1286="",$M1286=""),"",True)</f>
        <v>1</v>
      </c>
      <c r="M1286" s="1" t="str">
        <f t="shared" si="24"/>
        <v>存在しない</v>
      </c>
      <c r="N1286" s="1" t="s">
        <v>29</v>
      </c>
      <c r="O1286" s="1"/>
      <c r="P1286" s="11"/>
      <c r="Q1286" s="11"/>
      <c r="R1286" s="11"/>
      <c r="S1286" s="11"/>
      <c r="T1286" s="1"/>
      <c r="U1286" s="1"/>
      <c r="V1286" s="1"/>
      <c r="W1286" s="1"/>
      <c r="X1286" s="1"/>
      <c r="Y1286" s="1"/>
      <c r="Z1286" s="1"/>
    </row>
    <row r="1287" ht="18.0" hidden="1" customHeight="1" outlineLevel="2">
      <c r="A1287" s="1">
        <v>5.0</v>
      </c>
      <c r="B1287" s="26" t="s">
        <v>1606</v>
      </c>
      <c r="C1287" s="1"/>
      <c r="D1287" s="1"/>
      <c r="E1287" s="14"/>
      <c r="F1287" s="15"/>
      <c r="G1287" s="16"/>
      <c r="H1287" s="11"/>
      <c r="I1287" s="7"/>
      <c r="J1287" s="7" t="str">
        <f>IFERROR(LET(_xlpm.v,
VLOOKUP($I1287,'用語辞書'!$A:$B,COLUMN('用語辞書'!B$1),FALSE),
IF(_xlpm.v=0,"",_xlpm.v)
),"")</f>
        <v/>
      </c>
      <c r="K1287" s="17"/>
      <c r="L1287" s="17" t="str">
        <f>IF(OR(COUNTIF('クラス'!$A$1:$A$1267,$B1287)&gt;0,$B1287="",$M1287=""),"",True)</f>
        <v/>
      </c>
      <c r="M1287" s="1" t="str">
        <f t="shared" si="24"/>
        <v/>
      </c>
      <c r="N1287" s="1" t="s">
        <v>29</v>
      </c>
      <c r="O1287" s="1"/>
      <c r="P1287" s="11"/>
      <c r="Q1287" s="11"/>
      <c r="R1287" s="11"/>
      <c r="S1287" s="11"/>
      <c r="T1287" s="1"/>
      <c r="U1287" s="1"/>
      <c r="V1287" s="1"/>
      <c r="W1287" s="1"/>
      <c r="X1287" s="1"/>
      <c r="Y1287" s="1"/>
      <c r="Z1287" s="1"/>
    </row>
    <row r="1288" ht="18.0" hidden="1" customHeight="1" outlineLevel="2">
      <c r="A1288" s="1">
        <v>6.0</v>
      </c>
      <c r="B1288" s="1"/>
      <c r="C1288" s="1"/>
      <c r="D1288" s="1"/>
      <c r="E1288" s="14"/>
      <c r="F1288" s="15"/>
      <c r="G1288" s="16"/>
      <c r="H1288" s="11"/>
      <c r="I1288" s="7"/>
      <c r="J1288" s="7" t="str">
        <f>IFERROR(LET(_xlpm.v,
VLOOKUP($I1288,'用語辞書'!$A:$B,COLUMN('用語辞書'!B$1),FALSE),
IF(_xlpm.v=0,"",_xlpm.v)
),"")</f>
        <v/>
      </c>
      <c r="K1288" s="17"/>
      <c r="L1288" s="17" t="str">
        <f>IF(OR(COUNTIF('クラス'!$A$1:$A$1267,$B1288)&gt;0,$B1288="",$M1288=""),"",True)</f>
        <v/>
      </c>
      <c r="M1288" s="1" t="str">
        <f t="shared" si="24"/>
        <v>存在しない</v>
      </c>
      <c r="N1288" s="1" t="s">
        <v>29</v>
      </c>
      <c r="O1288" s="1"/>
      <c r="P1288" s="11"/>
      <c r="Q1288" s="11"/>
      <c r="R1288" s="11"/>
      <c r="S1288" s="11"/>
      <c r="T1288" s="1"/>
      <c r="U1288" s="1"/>
      <c r="V1288" s="1"/>
      <c r="W1288" s="1"/>
      <c r="X1288" s="1"/>
      <c r="Y1288" s="1"/>
      <c r="Z1288" s="1"/>
    </row>
    <row r="1289" ht="18.0" hidden="1" customHeight="1" outlineLevel="2">
      <c r="A1289" s="1">
        <v>7.0</v>
      </c>
      <c r="B1289" s="26" t="s">
        <v>1607</v>
      </c>
      <c r="C1289" s="1"/>
      <c r="D1289" s="1"/>
      <c r="E1289" s="14"/>
      <c r="F1289" s="15"/>
      <c r="G1289" s="16"/>
      <c r="H1289" s="11"/>
      <c r="I1289" s="7"/>
      <c r="J1289" s="7" t="str">
        <f>IFERROR(LET(_xlpm.v,
VLOOKUP($I1289,'用語辞書'!$A:$B,COLUMN('用語辞書'!B$1),FALSE),
IF(_xlpm.v=0,"",_xlpm.v)
),"")</f>
        <v/>
      </c>
      <c r="K1289" s="17"/>
      <c r="L1289" s="17" t="str">
        <f>IF(OR(COUNTIF('クラス'!$A$1:$A$1267,$B1289)&gt;0,$B1289="",$M1289=""),"",True)</f>
        <v/>
      </c>
      <c r="M1289" s="1" t="str">
        <f t="shared" si="24"/>
        <v/>
      </c>
      <c r="N1289" s="1" t="s">
        <v>29</v>
      </c>
      <c r="O1289" s="1"/>
      <c r="P1289" s="11"/>
      <c r="Q1289" s="11"/>
      <c r="R1289" s="11"/>
      <c r="S1289" s="11"/>
      <c r="T1289" s="1"/>
      <c r="U1289" s="1"/>
      <c r="V1289" s="1"/>
      <c r="W1289" s="1"/>
      <c r="X1289" s="1"/>
      <c r="Y1289" s="1"/>
      <c r="Z1289" s="1"/>
    </row>
    <row r="1290" ht="18.0" hidden="1" customHeight="1" outlineLevel="2">
      <c r="A1290" s="1">
        <v>8.0</v>
      </c>
      <c r="B1290" s="1"/>
      <c r="C1290" s="1"/>
      <c r="D1290" s="1"/>
      <c r="E1290" s="14"/>
      <c r="F1290" s="15"/>
      <c r="G1290" s="16"/>
      <c r="H1290" s="11"/>
      <c r="I1290" s="7"/>
      <c r="J1290" s="7" t="str">
        <f>IFERROR(LET(_xlpm.v,
VLOOKUP($I1290,'用語辞書'!$A:$B,COLUMN('用語辞書'!B$1),FALSE),
IF(_xlpm.v=0,"",_xlpm.v)
),"")</f>
        <v/>
      </c>
      <c r="K1290" s="17"/>
      <c r="L1290" s="17" t="str">
        <f>IF(OR(COUNTIF('クラス'!$A$1:$A$1267,$B1290)&gt;0,$B1290="",$M1290=""),"",True)</f>
        <v/>
      </c>
      <c r="M1290" s="1" t="str">
        <f t="shared" si="24"/>
        <v>存在しない</v>
      </c>
      <c r="N1290" s="1" t="s">
        <v>29</v>
      </c>
      <c r="O1290" s="1"/>
      <c r="P1290" s="11"/>
      <c r="Q1290" s="11"/>
      <c r="R1290" s="11"/>
      <c r="S1290" s="11"/>
      <c r="T1290" s="1"/>
      <c r="U1290" s="1"/>
      <c r="V1290" s="1"/>
      <c r="W1290" s="1"/>
      <c r="X1290" s="1"/>
      <c r="Y1290" s="1"/>
      <c r="Z1290" s="1"/>
    </row>
    <row r="1291" ht="18.0" hidden="1" customHeight="1" outlineLevel="2">
      <c r="A1291" s="1">
        <v>9.0</v>
      </c>
      <c r="B1291" s="1"/>
      <c r="C1291" s="1"/>
      <c r="D1291" s="1"/>
      <c r="E1291" s="14"/>
      <c r="F1291" s="15"/>
      <c r="G1291" s="16"/>
      <c r="H1291" s="11"/>
      <c r="I1291" s="7"/>
      <c r="J1291" s="7" t="str">
        <f>IFERROR(LET(_xlpm.v,
VLOOKUP($I1291,'用語辞書'!$A:$B,COLUMN('用語辞書'!B$1),FALSE),
IF(_xlpm.v=0,"",_xlpm.v)
),"")</f>
        <v/>
      </c>
      <c r="K1291" s="17"/>
      <c r="L1291" s="17" t="str">
        <f>IF(OR(COUNTIF('クラス'!$A$1:$A$1267,$B1291)&gt;0,$B1291="",$M1291=""),"",True)</f>
        <v/>
      </c>
      <c r="M1291" s="1" t="str">
        <f t="shared" si="24"/>
        <v>存在しない</v>
      </c>
      <c r="N1291" s="1" t="s">
        <v>29</v>
      </c>
      <c r="O1291" s="1"/>
      <c r="P1291" s="11"/>
      <c r="Q1291" s="11"/>
      <c r="R1291" s="11"/>
      <c r="S1291" s="11"/>
      <c r="T1291" s="1"/>
      <c r="U1291" s="1"/>
      <c r="V1291" s="1"/>
      <c r="W1291" s="1"/>
      <c r="X1291" s="1"/>
      <c r="Y1291" s="1"/>
      <c r="Z1291" s="1"/>
    </row>
    <row r="1292" ht="18.0" hidden="1" customHeight="1" outlineLevel="2">
      <c r="A1292" s="1">
        <v>10.0</v>
      </c>
      <c r="B1292" s="1"/>
      <c r="C1292" s="1"/>
      <c r="D1292" s="1"/>
      <c r="E1292" s="14"/>
      <c r="F1292" s="15"/>
      <c r="G1292" s="16"/>
      <c r="H1292" s="11"/>
      <c r="I1292" s="7"/>
      <c r="J1292" s="7" t="str">
        <f>IFERROR(LET(_xlpm.v,
VLOOKUP($I1292,'用語辞書'!$A:$B,COLUMN('用語辞書'!B$1),FALSE),
IF(_xlpm.v=0,"",_xlpm.v)
),"")</f>
        <v/>
      </c>
      <c r="K1292" s="17"/>
      <c r="L1292" s="17" t="str">
        <f>IF(OR(COUNTIF('クラス'!$A$1:$A$1267,$B1292)&gt;0,$B1292="",$M1292=""),"",True)</f>
        <v/>
      </c>
      <c r="M1292" s="1" t="str">
        <f t="shared" si="24"/>
        <v>存在しない</v>
      </c>
      <c r="N1292" s="1" t="s">
        <v>29</v>
      </c>
      <c r="O1292" s="1"/>
      <c r="P1292" s="11"/>
      <c r="Q1292" s="11"/>
      <c r="R1292" s="11"/>
      <c r="S1292" s="11"/>
      <c r="T1292" s="1"/>
      <c r="U1292" s="1"/>
      <c r="V1292" s="1"/>
      <c r="W1292" s="1"/>
      <c r="X1292" s="1"/>
      <c r="Y1292" s="1"/>
      <c r="Z1292" s="1"/>
    </row>
    <row r="1293" ht="18.0" hidden="1" customHeight="1" outlineLevel="1" collapsed="1">
      <c r="A1293" s="1"/>
      <c r="B1293" s="1"/>
      <c r="C1293" s="1"/>
      <c r="D1293" s="1"/>
      <c r="E1293" s="14"/>
      <c r="F1293" s="15"/>
      <c r="G1293" s="16"/>
      <c r="H1293" s="11"/>
      <c r="I1293" s="7"/>
      <c r="J1293" s="7" t="str">
        <f>IFERROR(LET(_xlpm.v,
VLOOKUP($I1293,'用語辞書'!$A:$B,COLUMN('用語辞書'!B$1),FALSE),
IF(_xlpm.v=0,"",_xlpm.v)
),"")</f>
        <v/>
      </c>
      <c r="K1293" s="17"/>
      <c r="L1293" s="17" t="str">
        <f>IF(OR(COUNTIF('クラス'!$A$1:$A$1267,$B1293)&gt;0,$B1293="",$M1293=""),"",True)</f>
        <v/>
      </c>
      <c r="M1293" s="1" t="str">
        <f t="shared" si="24"/>
        <v>存在しない</v>
      </c>
      <c r="N1293" s="1" t="s">
        <v>29</v>
      </c>
      <c r="O1293" s="1"/>
      <c r="P1293" s="11"/>
      <c r="Q1293" s="11"/>
      <c r="R1293" s="11"/>
      <c r="S1293" s="11"/>
      <c r="T1293" s="1"/>
      <c r="U1293" s="1"/>
      <c r="V1293" s="1"/>
      <c r="W1293" s="1"/>
      <c r="X1293" s="1"/>
      <c r="Y1293" s="1"/>
      <c r="Z1293" s="1"/>
    </row>
    <row r="1294" ht="18.0" hidden="1" customHeight="1" outlineLevel="1">
      <c r="A1294" s="1"/>
      <c r="B1294" s="1"/>
      <c r="C1294" s="1"/>
      <c r="D1294" s="1"/>
      <c r="E1294" s="14"/>
      <c r="F1294" s="15"/>
      <c r="G1294" s="16"/>
      <c r="H1294" s="11"/>
      <c r="I1294" s="7"/>
      <c r="J1294" s="7" t="str">
        <f>IFERROR(LET(_xlpm.v,
VLOOKUP($I1294,'用語辞書'!$A:$B,COLUMN('用語辞書'!B$1),FALSE),
IF(_xlpm.v=0,"",_xlpm.v)
),"")</f>
        <v/>
      </c>
      <c r="K1294" s="17"/>
      <c r="L1294" s="17" t="str">
        <f>IF(OR(COUNTIF('クラス'!$A$1:$A$1267,$B1294)&gt;0,$B1294="",$M1294=""),"",True)</f>
        <v/>
      </c>
      <c r="M1294" s="1" t="str">
        <f t="shared" si="24"/>
        <v>存在しない</v>
      </c>
      <c r="N1294" s="1" t="s">
        <v>29</v>
      </c>
      <c r="O1294" s="1"/>
      <c r="P1294" s="11"/>
      <c r="Q1294" s="11"/>
      <c r="R1294" s="11"/>
      <c r="S1294" s="11"/>
      <c r="T1294" s="1"/>
      <c r="U1294" s="1"/>
      <c r="V1294" s="1"/>
      <c r="W1294" s="1"/>
      <c r="X1294" s="1"/>
      <c r="Y1294" s="1"/>
      <c r="Z1294" s="1"/>
    </row>
    <row r="1295" ht="18.0" hidden="1" customHeight="1" outlineLevel="1">
      <c r="A1295" s="1"/>
      <c r="B1295" s="26" t="s">
        <v>1625</v>
      </c>
      <c r="C1295" s="1"/>
      <c r="D1295" s="1"/>
      <c r="E1295" s="14"/>
      <c r="F1295" s="15"/>
      <c r="G1295" s="16"/>
      <c r="H1295" s="11"/>
      <c r="I1295" s="7"/>
      <c r="J1295" s="7" t="str">
        <f>IFERROR(LET(_xlpm.v,
VLOOKUP($I1295,'用語辞書'!$A:$B,COLUMN('用語辞書'!B$1),FALSE),
IF(_xlpm.v=0,"",_xlpm.v)
),"")</f>
        <v/>
      </c>
      <c r="K1295" s="17"/>
      <c r="L1295" s="17" t="str">
        <f>IF(OR(COUNTIF('クラス'!$A$1:$A$1267,$B1295)&gt;0,$B1295="",$M1295=""),"",True)</f>
        <v/>
      </c>
      <c r="M1295" s="1" t="str">
        <f t="shared" si="24"/>
        <v>存在しない</v>
      </c>
      <c r="N1295" s="1" t="s">
        <v>29</v>
      </c>
      <c r="O1295" s="1"/>
      <c r="P1295" s="11"/>
      <c r="Q1295" s="11"/>
      <c r="R1295" s="11"/>
      <c r="S1295" s="11"/>
      <c r="T1295" s="1"/>
      <c r="U1295" s="1"/>
      <c r="V1295" s="1"/>
      <c r="W1295" s="1"/>
      <c r="X1295" s="1"/>
      <c r="Y1295" s="1"/>
      <c r="Z1295" s="1"/>
    </row>
    <row r="1296" ht="18.0" hidden="1" customHeight="1" outlineLevel="2">
      <c r="A1296" s="1">
        <v>1.0</v>
      </c>
      <c r="B1296" s="26" t="s">
        <v>1626</v>
      </c>
      <c r="C1296" s="1"/>
      <c r="D1296" s="1"/>
      <c r="E1296" s="14" t="s">
        <v>33</v>
      </c>
      <c r="F1296" s="15"/>
      <c r="G1296" s="16">
        <v>40.0</v>
      </c>
      <c r="H1296" s="11" t="s">
        <v>1627</v>
      </c>
      <c r="I1296" s="7"/>
      <c r="J1296" s="7" t="str">
        <f>IFERROR(LET(_xlpm.v,
VLOOKUP($I1296,'用語辞書'!$A:$B,COLUMN('用語辞書'!B$1),FALSE),
IF(_xlpm.v=0,"",_xlpm.v)
),"")</f>
        <v/>
      </c>
      <c r="K1296" s="17"/>
      <c r="L1296" s="17" t="b">
        <f>IF(OR(COUNTIF('クラス'!$A$1:$A$1267,$B1296)&gt;0,$B1296="",$M1296=""),"",True)</f>
        <v>1</v>
      </c>
      <c r="M1296" s="1" t="str">
        <f t="shared" si="24"/>
        <v>存在しない</v>
      </c>
      <c r="N1296" s="1" t="s">
        <v>29</v>
      </c>
      <c r="O1296" s="1"/>
      <c r="P1296" s="11"/>
      <c r="Q1296" s="11"/>
      <c r="R1296" s="11"/>
      <c r="S1296" s="11"/>
      <c r="T1296" s="1"/>
      <c r="U1296" s="1"/>
      <c r="V1296" s="1"/>
      <c r="W1296" s="1"/>
      <c r="X1296" s="1"/>
      <c r="Y1296" s="1"/>
      <c r="Z1296" s="1"/>
    </row>
    <row r="1297" ht="18.0" hidden="1" customHeight="1" outlineLevel="2">
      <c r="A1297" s="1">
        <v>2.0</v>
      </c>
      <c r="B1297" s="26" t="s">
        <v>1628</v>
      </c>
      <c r="C1297" s="1"/>
      <c r="D1297" s="1"/>
      <c r="E1297" s="29" t="s">
        <v>55</v>
      </c>
      <c r="F1297" s="15"/>
      <c r="G1297" s="30"/>
      <c r="H1297" s="22" t="s">
        <v>1602</v>
      </c>
      <c r="I1297" s="7"/>
      <c r="J1297" s="7" t="str">
        <f>IFERROR(LET(_xlpm.v,
VLOOKUP($I1297,'用語辞書'!$A:$B,COLUMN('用語辞書'!B$1),FALSE),
IF(_xlpm.v=0,"",_xlpm.v)
),"")</f>
        <v/>
      </c>
      <c r="K1297" s="17"/>
      <c r="L1297" s="17" t="b">
        <f>IF(OR(COUNTIF('クラス'!$A$1:$A$1267,$B1297)&gt;0,$B1297="",$M1297=""),"",True)</f>
        <v>1</v>
      </c>
      <c r="M1297" s="1" t="str">
        <f t="shared" si="24"/>
        <v>存在しない</v>
      </c>
      <c r="N1297" s="1" t="s">
        <v>29</v>
      </c>
      <c r="O1297" s="1"/>
      <c r="P1297" s="11"/>
      <c r="Q1297" s="11"/>
      <c r="R1297" s="11"/>
      <c r="S1297" s="11"/>
      <c r="T1297" s="1"/>
      <c r="U1297" s="1"/>
      <c r="V1297" s="1"/>
      <c r="W1297" s="1"/>
      <c r="X1297" s="1"/>
      <c r="Y1297" s="1"/>
      <c r="Z1297" s="1"/>
    </row>
    <row r="1298" ht="18.0" hidden="1" customHeight="1" outlineLevel="2">
      <c r="A1298" s="1">
        <v>3.0</v>
      </c>
      <c r="B1298" s="26" t="s">
        <v>1629</v>
      </c>
      <c r="C1298" s="1"/>
      <c r="D1298" s="1"/>
      <c r="E1298" s="29" t="s">
        <v>55</v>
      </c>
      <c r="F1298" s="15"/>
      <c r="G1298" s="16"/>
      <c r="H1298" s="22" t="s">
        <v>1630</v>
      </c>
      <c r="I1298" s="7"/>
      <c r="J1298" s="7" t="str">
        <f>IFERROR(LET(_xlpm.v,
VLOOKUP($I1298,'用語辞書'!$A:$B,COLUMN('用語辞書'!B$1),FALSE),
IF(_xlpm.v=0,"",_xlpm.v)
),"")</f>
        <v/>
      </c>
      <c r="K1298" s="17"/>
      <c r="L1298" s="17" t="b">
        <f>IF(OR(COUNTIF('クラス'!$A$1:$A$1267,$B1298)&gt;0,$B1298="",$M1298=""),"",True)</f>
        <v>1</v>
      </c>
      <c r="M1298" s="1" t="str">
        <f t="shared" si="24"/>
        <v>存在しない</v>
      </c>
      <c r="N1298" s="1" t="s">
        <v>29</v>
      </c>
      <c r="O1298" s="1"/>
      <c r="P1298" s="11"/>
      <c r="Q1298" s="11"/>
      <c r="R1298" s="11"/>
      <c r="S1298" s="11"/>
      <c r="T1298" s="1"/>
      <c r="U1298" s="1"/>
      <c r="V1298" s="1"/>
      <c r="W1298" s="1"/>
      <c r="X1298" s="1"/>
      <c r="Y1298" s="1"/>
      <c r="Z1298" s="1"/>
    </row>
    <row r="1299" ht="18.0" hidden="1" customHeight="1" outlineLevel="2">
      <c r="A1299" s="1">
        <v>4.0</v>
      </c>
      <c r="B1299" s="26" t="s">
        <v>1631</v>
      </c>
      <c r="C1299" s="1"/>
      <c r="D1299" s="1"/>
      <c r="E1299" s="14" t="s">
        <v>33</v>
      </c>
      <c r="F1299" s="15"/>
      <c r="G1299" s="16">
        <v>60.0</v>
      </c>
      <c r="H1299" s="11" t="s">
        <v>1632</v>
      </c>
      <c r="I1299" s="7"/>
      <c r="J1299" s="7" t="str">
        <f>IFERROR(LET(_xlpm.v,
VLOOKUP($I1299,'用語辞書'!$A:$B,COLUMN('用語辞書'!B$1),FALSE),
IF(_xlpm.v=0,"",_xlpm.v)
),"")</f>
        <v/>
      </c>
      <c r="K1299" s="17"/>
      <c r="L1299" s="17" t="b">
        <f>IF(OR(COUNTIF('クラス'!$A$1:$A$1267,$B1299)&gt;0,$B1299="",$M1299=""),"",True)</f>
        <v>1</v>
      </c>
      <c r="M1299" s="1" t="str">
        <f t="shared" si="24"/>
        <v>存在しない</v>
      </c>
      <c r="N1299" s="1" t="s">
        <v>29</v>
      </c>
      <c r="O1299" s="1"/>
      <c r="P1299" s="11"/>
      <c r="Q1299" s="11"/>
      <c r="R1299" s="11"/>
      <c r="S1299" s="11"/>
      <c r="T1299" s="1"/>
      <c r="U1299" s="1"/>
      <c r="V1299" s="1"/>
      <c r="W1299" s="1"/>
      <c r="X1299" s="1"/>
      <c r="Y1299" s="1"/>
      <c r="Z1299" s="1"/>
    </row>
    <row r="1300" ht="18.0" hidden="1" customHeight="1" outlineLevel="2">
      <c r="A1300" s="1">
        <v>5.0</v>
      </c>
      <c r="B1300" s="26" t="s">
        <v>1606</v>
      </c>
      <c r="C1300" s="1"/>
      <c r="D1300" s="1"/>
      <c r="E1300" s="14"/>
      <c r="F1300" s="15"/>
      <c r="G1300" s="16"/>
      <c r="H1300" s="11"/>
      <c r="I1300" s="7"/>
      <c r="J1300" s="7" t="str">
        <f>IFERROR(LET(_xlpm.v,
VLOOKUP($I1300,'用語辞書'!$A:$B,COLUMN('用語辞書'!B$1),FALSE),
IF(_xlpm.v=0,"",_xlpm.v)
),"")</f>
        <v/>
      </c>
      <c r="K1300" s="17"/>
      <c r="L1300" s="17" t="str">
        <f>IF(OR(COUNTIF('クラス'!$A$1:$A$1267,$B1300)&gt;0,$B1300="",$M1300=""),"",True)</f>
        <v/>
      </c>
      <c r="M1300" s="1" t="str">
        <f t="shared" si="24"/>
        <v/>
      </c>
      <c r="N1300" s="1" t="s">
        <v>29</v>
      </c>
      <c r="O1300" s="1"/>
      <c r="P1300" s="11"/>
      <c r="Q1300" s="11"/>
      <c r="R1300" s="11"/>
      <c r="S1300" s="11"/>
      <c r="T1300" s="1"/>
      <c r="U1300" s="1"/>
      <c r="V1300" s="1"/>
      <c r="W1300" s="1"/>
      <c r="X1300" s="1"/>
      <c r="Y1300" s="1"/>
      <c r="Z1300" s="1"/>
    </row>
    <row r="1301" ht="18.0" hidden="1" customHeight="1" outlineLevel="2">
      <c r="A1301" s="1">
        <v>6.0</v>
      </c>
      <c r="B1301" s="1"/>
      <c r="C1301" s="1"/>
      <c r="D1301" s="1"/>
      <c r="E1301" s="14"/>
      <c r="F1301" s="15"/>
      <c r="G1301" s="16"/>
      <c r="H1301" s="11"/>
      <c r="I1301" s="7"/>
      <c r="J1301" s="7" t="str">
        <f>IFERROR(LET(_xlpm.v,
VLOOKUP($I1301,'用語辞書'!$A:$B,COLUMN('用語辞書'!B$1),FALSE),
IF(_xlpm.v=0,"",_xlpm.v)
),"")</f>
        <v/>
      </c>
      <c r="K1301" s="17"/>
      <c r="L1301" s="17" t="str">
        <f>IF(OR(COUNTIF('クラス'!$A$1:$A$1267,$B1301)&gt;0,$B1301="",$M1301=""),"",True)</f>
        <v/>
      </c>
      <c r="M1301" s="1" t="str">
        <f t="shared" si="24"/>
        <v>存在しない</v>
      </c>
      <c r="N1301" s="1" t="s">
        <v>29</v>
      </c>
      <c r="O1301" s="1"/>
      <c r="P1301" s="11"/>
      <c r="Q1301" s="11"/>
      <c r="R1301" s="11"/>
      <c r="S1301" s="11"/>
      <c r="T1301" s="1"/>
      <c r="U1301" s="1"/>
      <c r="V1301" s="1"/>
      <c r="W1301" s="1"/>
      <c r="X1301" s="1"/>
      <c r="Y1301" s="1"/>
      <c r="Z1301" s="1"/>
    </row>
    <row r="1302" ht="18.0" hidden="1" customHeight="1" outlineLevel="2">
      <c r="A1302" s="1">
        <v>7.0</v>
      </c>
      <c r="B1302" s="26" t="s">
        <v>1607</v>
      </c>
      <c r="C1302" s="1"/>
      <c r="D1302" s="1"/>
      <c r="E1302" s="14"/>
      <c r="F1302" s="15"/>
      <c r="G1302" s="16"/>
      <c r="H1302" s="11"/>
      <c r="I1302" s="7"/>
      <c r="J1302" s="7" t="str">
        <f>IFERROR(LET(_xlpm.v,
VLOOKUP($I1302,'用語辞書'!$A:$B,COLUMN('用語辞書'!B$1),FALSE),
IF(_xlpm.v=0,"",_xlpm.v)
),"")</f>
        <v/>
      </c>
      <c r="K1302" s="17"/>
      <c r="L1302" s="17" t="str">
        <f>IF(OR(COUNTIF('クラス'!$A$1:$A$1267,$B1302)&gt;0,$B1302="",$M1302=""),"",True)</f>
        <v/>
      </c>
      <c r="M1302" s="1" t="str">
        <f t="shared" si="24"/>
        <v/>
      </c>
      <c r="N1302" s="1" t="s">
        <v>29</v>
      </c>
      <c r="O1302" s="1"/>
      <c r="P1302" s="11"/>
      <c r="Q1302" s="11"/>
      <c r="R1302" s="11"/>
      <c r="S1302" s="11"/>
      <c r="T1302" s="1"/>
      <c r="U1302" s="1"/>
      <c r="V1302" s="1"/>
      <c r="W1302" s="1"/>
      <c r="X1302" s="1"/>
      <c r="Y1302" s="1"/>
      <c r="Z1302" s="1"/>
    </row>
    <row r="1303" ht="18.0" hidden="1" customHeight="1" outlineLevel="2">
      <c r="A1303" s="1">
        <v>8.0</v>
      </c>
      <c r="B1303" s="1"/>
      <c r="C1303" s="1"/>
      <c r="D1303" s="1"/>
      <c r="E1303" s="14"/>
      <c r="F1303" s="15"/>
      <c r="G1303" s="16"/>
      <c r="H1303" s="11"/>
      <c r="I1303" s="7"/>
      <c r="J1303" s="7" t="str">
        <f>IFERROR(LET(_xlpm.v,
VLOOKUP($I1303,'用語辞書'!$A:$B,COLUMN('用語辞書'!B$1),FALSE),
IF(_xlpm.v=0,"",_xlpm.v)
),"")</f>
        <v/>
      </c>
      <c r="K1303" s="17"/>
      <c r="L1303" s="17" t="str">
        <f>IF(OR(COUNTIF('クラス'!$A$1:$A$1267,$B1303)&gt;0,$B1303="",$M1303=""),"",True)</f>
        <v/>
      </c>
      <c r="M1303" s="1" t="str">
        <f t="shared" si="24"/>
        <v>存在しない</v>
      </c>
      <c r="N1303" s="1" t="s">
        <v>29</v>
      </c>
      <c r="O1303" s="1"/>
      <c r="P1303" s="11"/>
      <c r="Q1303" s="11"/>
      <c r="R1303" s="11"/>
      <c r="S1303" s="11"/>
      <c r="T1303" s="1"/>
      <c r="U1303" s="1"/>
      <c r="V1303" s="1"/>
      <c r="W1303" s="1"/>
      <c r="X1303" s="1"/>
      <c r="Y1303" s="1"/>
      <c r="Z1303" s="1"/>
    </row>
    <row r="1304" ht="18.0" hidden="1" customHeight="1" outlineLevel="2">
      <c r="A1304" s="1">
        <v>9.0</v>
      </c>
      <c r="B1304" s="1"/>
      <c r="C1304" s="1"/>
      <c r="D1304" s="1"/>
      <c r="E1304" s="14"/>
      <c r="F1304" s="15"/>
      <c r="G1304" s="16"/>
      <c r="H1304" s="11"/>
      <c r="I1304" s="7"/>
      <c r="J1304" s="7" t="str">
        <f>IFERROR(LET(_xlpm.v,
VLOOKUP($I1304,'用語辞書'!$A:$B,COLUMN('用語辞書'!B$1),FALSE),
IF(_xlpm.v=0,"",_xlpm.v)
),"")</f>
        <v/>
      </c>
      <c r="K1304" s="17"/>
      <c r="L1304" s="17" t="str">
        <f>IF(OR(COUNTIF('クラス'!$A$1:$A$1267,$B1304)&gt;0,$B1304="",$M1304=""),"",True)</f>
        <v/>
      </c>
      <c r="M1304" s="1" t="str">
        <f t="shared" si="24"/>
        <v>存在しない</v>
      </c>
      <c r="N1304" s="1" t="s">
        <v>29</v>
      </c>
      <c r="O1304" s="1"/>
      <c r="P1304" s="11"/>
      <c r="Q1304" s="11"/>
      <c r="R1304" s="11"/>
      <c r="S1304" s="11"/>
      <c r="T1304" s="1"/>
      <c r="U1304" s="1"/>
      <c r="V1304" s="1"/>
      <c r="W1304" s="1"/>
      <c r="X1304" s="1"/>
      <c r="Y1304" s="1"/>
      <c r="Z1304" s="1"/>
    </row>
    <row r="1305" ht="18.0" hidden="1" customHeight="1" outlineLevel="2">
      <c r="A1305" s="1">
        <v>10.0</v>
      </c>
      <c r="B1305" s="1"/>
      <c r="C1305" s="1"/>
      <c r="D1305" s="1"/>
      <c r="E1305" s="14"/>
      <c r="F1305" s="15"/>
      <c r="G1305" s="16"/>
      <c r="H1305" s="11"/>
      <c r="I1305" s="7"/>
      <c r="J1305" s="7" t="str">
        <f>IFERROR(LET(_xlpm.v,
VLOOKUP($I1305,'用語辞書'!$A:$B,COLUMN('用語辞書'!B$1),FALSE),
IF(_xlpm.v=0,"",_xlpm.v)
),"")</f>
        <v/>
      </c>
      <c r="K1305" s="17"/>
      <c r="L1305" s="17" t="str">
        <f>IF(OR(COUNTIF('クラス'!$A$1:$A$1267,$B1305)&gt;0,$B1305="",$M1305=""),"",True)</f>
        <v/>
      </c>
      <c r="M1305" s="1" t="str">
        <f t="shared" si="24"/>
        <v>存在しない</v>
      </c>
      <c r="N1305" s="1" t="s">
        <v>29</v>
      </c>
      <c r="O1305" s="1"/>
      <c r="P1305" s="11"/>
      <c r="Q1305" s="11"/>
      <c r="R1305" s="11"/>
      <c r="S1305" s="11"/>
      <c r="T1305" s="1"/>
      <c r="U1305" s="1"/>
      <c r="V1305" s="1"/>
      <c r="W1305" s="1"/>
      <c r="X1305" s="1"/>
      <c r="Y1305" s="1"/>
      <c r="Z1305" s="1"/>
    </row>
    <row r="1306" ht="18.0" hidden="1" customHeight="1" outlineLevel="1" collapsed="1">
      <c r="A1306" s="1"/>
      <c r="B1306" s="1"/>
      <c r="C1306" s="1"/>
      <c r="D1306" s="1"/>
      <c r="E1306" s="14"/>
      <c r="F1306" s="15"/>
      <c r="G1306" s="16"/>
      <c r="H1306" s="11"/>
      <c r="I1306" s="7"/>
      <c r="J1306" s="7" t="str">
        <f>IFERROR(LET(_xlpm.v,
VLOOKUP($I1306,'用語辞書'!$A:$B,COLUMN('用語辞書'!B$1),FALSE),
IF(_xlpm.v=0,"",_xlpm.v)
),"")</f>
        <v/>
      </c>
      <c r="K1306" s="17"/>
      <c r="L1306" s="17" t="str">
        <f>IF(OR(COUNTIF('クラス'!$A$1:$A$1267,$B1306)&gt;0,$B1306="",$M1306=""),"",True)</f>
        <v/>
      </c>
      <c r="M1306" s="1" t="str">
        <f t="shared" si="24"/>
        <v>存在しない</v>
      </c>
      <c r="N1306" s="1" t="s">
        <v>29</v>
      </c>
      <c r="O1306" s="1"/>
      <c r="P1306" s="11"/>
      <c r="Q1306" s="11"/>
      <c r="R1306" s="11"/>
      <c r="S1306" s="11"/>
      <c r="T1306" s="1"/>
      <c r="U1306" s="1"/>
      <c r="V1306" s="1"/>
      <c r="W1306" s="1"/>
      <c r="X1306" s="1"/>
      <c r="Y1306" s="1"/>
      <c r="Z1306" s="1"/>
    </row>
    <row r="1307" ht="18.0" hidden="1" customHeight="1" outlineLevel="1">
      <c r="A1307" s="1"/>
      <c r="B1307" s="1"/>
      <c r="C1307" s="1"/>
      <c r="D1307" s="1"/>
      <c r="E1307" s="14"/>
      <c r="F1307" s="15"/>
      <c r="G1307" s="16"/>
      <c r="H1307" s="11"/>
      <c r="I1307" s="7"/>
      <c r="J1307" s="7" t="str">
        <f>IFERROR(LET(_xlpm.v,
VLOOKUP($I1307,'用語辞書'!$A:$B,COLUMN('用語辞書'!B$1),FALSE),
IF(_xlpm.v=0,"",_xlpm.v)
),"")</f>
        <v/>
      </c>
      <c r="K1307" s="17"/>
      <c r="L1307" s="17" t="str">
        <f>IF(OR(COUNTIF('クラス'!$A$1:$A$1267,$B1307)&gt;0,$B1307="",$M1307=""),"",True)</f>
        <v/>
      </c>
      <c r="M1307" s="1" t="str">
        <f t="shared" si="24"/>
        <v>存在しない</v>
      </c>
      <c r="N1307" s="1" t="s">
        <v>29</v>
      </c>
      <c r="O1307" s="1"/>
      <c r="P1307" s="11"/>
      <c r="Q1307" s="11"/>
      <c r="R1307" s="11"/>
      <c r="S1307" s="11"/>
      <c r="T1307" s="1"/>
      <c r="U1307" s="1"/>
      <c r="V1307" s="1"/>
      <c r="W1307" s="1"/>
      <c r="X1307" s="1"/>
      <c r="Y1307" s="1"/>
      <c r="Z1307" s="1"/>
    </row>
    <row r="1308" ht="18.0" hidden="1" customHeight="1" outlineLevel="1">
      <c r="A1308" s="1"/>
      <c r="B1308" s="26" t="s">
        <v>1633</v>
      </c>
      <c r="C1308" s="1"/>
      <c r="D1308" s="1"/>
      <c r="E1308" s="14"/>
      <c r="F1308" s="15"/>
      <c r="G1308" s="16"/>
      <c r="H1308" s="11"/>
      <c r="I1308" s="7"/>
      <c r="J1308" s="7" t="str">
        <f>IFERROR(LET(_xlpm.v,
VLOOKUP($I1308,'用語辞書'!$A:$B,COLUMN('用語辞書'!B$1),FALSE),
IF(_xlpm.v=0,"",_xlpm.v)
),"")</f>
        <v/>
      </c>
      <c r="K1308" s="17"/>
      <c r="L1308" s="17" t="str">
        <f>IF(OR(COUNTIF('クラス'!$A$1:$A$1267,$B1308)&gt;0,$B1308="",$M1308=""),"",True)</f>
        <v/>
      </c>
      <c r="M1308" s="1" t="str">
        <f t="shared" si="24"/>
        <v>存在しない</v>
      </c>
      <c r="N1308" s="1" t="s">
        <v>29</v>
      </c>
      <c r="O1308" s="1"/>
      <c r="P1308" s="11"/>
      <c r="Q1308" s="11"/>
      <c r="R1308" s="11"/>
      <c r="S1308" s="11"/>
      <c r="T1308" s="1"/>
      <c r="U1308" s="1"/>
      <c r="V1308" s="1"/>
      <c r="W1308" s="1"/>
      <c r="X1308" s="1"/>
      <c r="Y1308" s="1"/>
      <c r="Z1308" s="1"/>
    </row>
    <row r="1309" ht="18.0" hidden="1" customHeight="1" outlineLevel="2">
      <c r="A1309" s="1">
        <v>1.0</v>
      </c>
      <c r="B1309" s="26" t="s">
        <v>1634</v>
      </c>
      <c r="C1309" s="1"/>
      <c r="D1309" s="1"/>
      <c r="E1309" s="14" t="s">
        <v>33</v>
      </c>
      <c r="F1309" s="15"/>
      <c r="G1309" s="16">
        <v>40.0</v>
      </c>
      <c r="H1309" s="11" t="s">
        <v>1611</v>
      </c>
      <c r="I1309" s="7"/>
      <c r="J1309" s="7" t="str">
        <f>IFERROR(LET(_xlpm.v,
VLOOKUP($I1309,'用語辞書'!$A:$B,COLUMN('用語辞書'!B$1),FALSE),
IF(_xlpm.v=0,"",_xlpm.v)
),"")</f>
        <v/>
      </c>
      <c r="K1309" s="17"/>
      <c r="L1309" s="17" t="b">
        <f>IF(OR(COUNTIF('クラス'!$A$1:$A$1267,$B1309)&gt;0,$B1309="",$M1309=""),"",True)</f>
        <v>1</v>
      </c>
      <c r="M1309" s="1" t="str">
        <f t="shared" si="24"/>
        <v>存在しない</v>
      </c>
      <c r="N1309" s="1" t="s">
        <v>29</v>
      </c>
      <c r="O1309" s="1"/>
      <c r="P1309" s="11"/>
      <c r="Q1309" s="11"/>
      <c r="R1309" s="11"/>
      <c r="S1309" s="11"/>
      <c r="T1309" s="1"/>
      <c r="U1309" s="1"/>
      <c r="V1309" s="1"/>
      <c r="W1309" s="1"/>
      <c r="X1309" s="1"/>
      <c r="Y1309" s="1"/>
      <c r="Z1309" s="1"/>
    </row>
    <row r="1310" ht="18.0" hidden="1" customHeight="1" outlineLevel="2">
      <c r="A1310" s="1">
        <v>2.0</v>
      </c>
      <c r="B1310" s="26" t="s">
        <v>1635</v>
      </c>
      <c r="C1310" s="1"/>
      <c r="D1310" s="1"/>
      <c r="E1310" s="29" t="s">
        <v>55</v>
      </c>
      <c r="F1310" s="15"/>
      <c r="G1310" s="30"/>
      <c r="H1310" s="22" t="s">
        <v>1636</v>
      </c>
      <c r="I1310" s="7"/>
      <c r="J1310" s="7" t="str">
        <f>IFERROR(LET(_xlpm.v,
VLOOKUP($I1310,'用語辞書'!$A:$B,COLUMN('用語辞書'!B$1),FALSE),
IF(_xlpm.v=0,"",_xlpm.v)
),"")</f>
        <v/>
      </c>
      <c r="K1310" s="17"/>
      <c r="L1310" s="17" t="b">
        <f>IF(OR(COUNTIF('クラス'!$A$1:$A$1267,$B1310)&gt;0,$B1310="",$M1310=""),"",True)</f>
        <v>1</v>
      </c>
      <c r="M1310" s="1" t="str">
        <f t="shared" si="24"/>
        <v>存在しない</v>
      </c>
      <c r="N1310" s="1" t="s">
        <v>29</v>
      </c>
      <c r="O1310" s="1"/>
      <c r="P1310" s="11"/>
      <c r="Q1310" s="11"/>
      <c r="R1310" s="11"/>
      <c r="S1310" s="11"/>
      <c r="T1310" s="1"/>
      <c r="U1310" s="1"/>
      <c r="V1310" s="1"/>
      <c r="W1310" s="1"/>
      <c r="X1310" s="1"/>
      <c r="Y1310" s="1"/>
      <c r="Z1310" s="1"/>
    </row>
    <row r="1311" ht="18.0" hidden="1" customHeight="1" outlineLevel="2">
      <c r="A1311" s="1">
        <v>3.0</v>
      </c>
      <c r="B1311" s="26" t="s">
        <v>1637</v>
      </c>
      <c r="C1311" s="1"/>
      <c r="D1311" s="1"/>
      <c r="E1311" s="29" t="s">
        <v>55</v>
      </c>
      <c r="F1311" s="15"/>
      <c r="G1311" s="16"/>
      <c r="H1311" s="22" t="s">
        <v>1604</v>
      </c>
      <c r="I1311" s="7"/>
      <c r="J1311" s="7" t="str">
        <f>IFERROR(LET(_xlpm.v,
VLOOKUP($I1311,'用語辞書'!$A:$B,COLUMN('用語辞書'!B$1),FALSE),
IF(_xlpm.v=0,"",_xlpm.v)
),"")</f>
        <v/>
      </c>
      <c r="K1311" s="17"/>
      <c r="L1311" s="17" t="b">
        <f>IF(OR(COUNTIF('クラス'!$A$1:$A$1267,$B1311)&gt;0,$B1311="",$M1311=""),"",True)</f>
        <v>1</v>
      </c>
      <c r="M1311" s="1" t="str">
        <f t="shared" si="24"/>
        <v>存在しない</v>
      </c>
      <c r="N1311" s="1" t="s">
        <v>29</v>
      </c>
      <c r="O1311" s="1"/>
      <c r="P1311" s="11"/>
      <c r="Q1311" s="11"/>
      <c r="R1311" s="11"/>
      <c r="S1311" s="11"/>
      <c r="T1311" s="1"/>
      <c r="U1311" s="1"/>
      <c r="V1311" s="1"/>
      <c r="W1311" s="1"/>
      <c r="X1311" s="1"/>
      <c r="Y1311" s="1"/>
      <c r="Z1311" s="1"/>
    </row>
    <row r="1312" ht="18.0" hidden="1" customHeight="1" outlineLevel="2">
      <c r="A1312" s="1">
        <v>4.0</v>
      </c>
      <c r="B1312" s="26" t="s">
        <v>1638</v>
      </c>
      <c r="C1312" s="1"/>
      <c r="D1312" s="1"/>
      <c r="E1312" s="14" t="s">
        <v>55</v>
      </c>
      <c r="F1312" s="15"/>
      <c r="G1312" s="16"/>
      <c r="H1312" s="11" t="s">
        <v>1639</v>
      </c>
      <c r="I1312" s="7"/>
      <c r="J1312" s="7" t="str">
        <f>IFERROR(LET(_xlpm.v,
VLOOKUP($I1312,'用語辞書'!$A:$B,COLUMN('用語辞書'!B$1),FALSE),
IF(_xlpm.v=0,"",_xlpm.v)
),"")</f>
        <v/>
      </c>
      <c r="K1312" s="17"/>
      <c r="L1312" s="17" t="b">
        <f>IF(OR(COUNTIF('クラス'!$A$1:$A$1267,$B1312)&gt;0,$B1312="",$M1312=""),"",True)</f>
        <v>1</v>
      </c>
      <c r="M1312" s="1" t="str">
        <f t="shared" si="24"/>
        <v>存在しない</v>
      </c>
      <c r="N1312" s="1" t="s">
        <v>29</v>
      </c>
      <c r="O1312" s="1"/>
      <c r="P1312" s="11"/>
      <c r="Q1312" s="11"/>
      <c r="R1312" s="11"/>
      <c r="S1312" s="11"/>
      <c r="T1312" s="1"/>
      <c r="U1312" s="1"/>
      <c r="V1312" s="1"/>
      <c r="W1312" s="1"/>
      <c r="X1312" s="1"/>
      <c r="Y1312" s="1"/>
      <c r="Z1312" s="1"/>
    </row>
    <row r="1313" ht="18.0" hidden="1" customHeight="1" outlineLevel="2">
      <c r="A1313" s="1">
        <v>5.0</v>
      </c>
      <c r="B1313" s="26" t="s">
        <v>1606</v>
      </c>
      <c r="C1313" s="1"/>
      <c r="D1313" s="1"/>
      <c r="E1313" s="14"/>
      <c r="F1313" s="15"/>
      <c r="G1313" s="16"/>
      <c r="H1313" s="11"/>
      <c r="I1313" s="7"/>
      <c r="J1313" s="7" t="str">
        <f>IFERROR(LET(_xlpm.v,
VLOOKUP($I1313,'用語辞書'!$A:$B,COLUMN('用語辞書'!B$1),FALSE),
IF(_xlpm.v=0,"",_xlpm.v)
),"")</f>
        <v/>
      </c>
      <c r="K1313" s="17"/>
      <c r="L1313" s="17" t="str">
        <f>IF(OR(COUNTIF('クラス'!$A$1:$A$1267,$B1313)&gt;0,$B1313="",$M1313=""),"",True)</f>
        <v/>
      </c>
      <c r="M1313" s="1" t="str">
        <f t="shared" si="24"/>
        <v/>
      </c>
      <c r="N1313" s="1" t="s">
        <v>29</v>
      </c>
      <c r="O1313" s="1"/>
      <c r="P1313" s="11"/>
      <c r="Q1313" s="11"/>
      <c r="R1313" s="11"/>
      <c r="S1313" s="11"/>
      <c r="T1313" s="1"/>
      <c r="U1313" s="1"/>
      <c r="V1313" s="1"/>
      <c r="W1313" s="1"/>
      <c r="X1313" s="1"/>
      <c r="Y1313" s="1"/>
      <c r="Z1313" s="1"/>
    </row>
    <row r="1314" ht="18.0" hidden="1" customHeight="1" outlineLevel="2">
      <c r="A1314" s="1">
        <v>6.0</v>
      </c>
      <c r="B1314" s="1"/>
      <c r="C1314" s="1"/>
      <c r="D1314" s="1"/>
      <c r="E1314" s="14"/>
      <c r="F1314" s="15"/>
      <c r="G1314" s="16"/>
      <c r="H1314" s="11"/>
      <c r="I1314" s="7"/>
      <c r="J1314" s="7" t="str">
        <f>IFERROR(LET(_xlpm.v,
VLOOKUP($I1314,'用語辞書'!$A:$B,COLUMN('用語辞書'!B$1),FALSE),
IF(_xlpm.v=0,"",_xlpm.v)
),"")</f>
        <v/>
      </c>
      <c r="K1314" s="17"/>
      <c r="L1314" s="17" t="str">
        <f>IF(OR(COUNTIF('クラス'!$A$1:$A$1267,$B1314)&gt;0,$B1314="",$M1314=""),"",True)</f>
        <v/>
      </c>
      <c r="M1314" s="1" t="str">
        <f t="shared" si="24"/>
        <v>存在しない</v>
      </c>
      <c r="N1314" s="1" t="s">
        <v>29</v>
      </c>
      <c r="O1314" s="1"/>
      <c r="P1314" s="11"/>
      <c r="Q1314" s="11"/>
      <c r="R1314" s="11"/>
      <c r="S1314" s="11"/>
      <c r="T1314" s="1"/>
      <c r="U1314" s="1"/>
      <c r="V1314" s="1"/>
      <c r="W1314" s="1"/>
      <c r="X1314" s="1"/>
      <c r="Y1314" s="1"/>
      <c r="Z1314" s="1"/>
    </row>
    <row r="1315" ht="18.0" hidden="1" customHeight="1" outlineLevel="2">
      <c r="A1315" s="1">
        <v>7.0</v>
      </c>
      <c r="B1315" s="26" t="s">
        <v>1612</v>
      </c>
      <c r="C1315" s="1"/>
      <c r="D1315" s="1"/>
      <c r="E1315" s="14"/>
      <c r="F1315" s="15"/>
      <c r="G1315" s="16"/>
      <c r="H1315" s="11"/>
      <c r="I1315" s="7"/>
      <c r="J1315" s="7" t="str">
        <f>IFERROR(LET(_xlpm.v,
VLOOKUP($I1315,'用語辞書'!$A:$B,COLUMN('用語辞書'!B$1),FALSE),
IF(_xlpm.v=0,"",_xlpm.v)
),"")</f>
        <v/>
      </c>
      <c r="K1315" s="17"/>
      <c r="L1315" s="17" t="str">
        <f>IF(OR(COUNTIF('クラス'!$A$1:$A$1267,$B1315)&gt;0,$B1315="",$M1315=""),"",True)</f>
        <v/>
      </c>
      <c r="M1315" s="1" t="str">
        <f t="shared" si="24"/>
        <v/>
      </c>
      <c r="N1315" s="1" t="s">
        <v>29</v>
      </c>
      <c r="O1315" s="1"/>
      <c r="P1315" s="11"/>
      <c r="Q1315" s="11"/>
      <c r="R1315" s="11"/>
      <c r="S1315" s="11"/>
      <c r="T1315" s="1"/>
      <c r="U1315" s="1"/>
      <c r="V1315" s="1"/>
      <c r="W1315" s="1"/>
      <c r="X1315" s="1"/>
      <c r="Y1315" s="1"/>
      <c r="Z1315" s="1"/>
    </row>
    <row r="1316" ht="18.0" hidden="1" customHeight="1" outlineLevel="2">
      <c r="A1316" s="1">
        <v>8.0</v>
      </c>
      <c r="B1316" s="1"/>
      <c r="C1316" s="1"/>
      <c r="D1316" s="1"/>
      <c r="E1316" s="14"/>
      <c r="F1316" s="15"/>
      <c r="G1316" s="16"/>
      <c r="H1316" s="11"/>
      <c r="I1316" s="7"/>
      <c r="J1316" s="7" t="str">
        <f>IFERROR(LET(_xlpm.v,
VLOOKUP($I1316,'用語辞書'!$A:$B,COLUMN('用語辞書'!B$1),FALSE),
IF(_xlpm.v=0,"",_xlpm.v)
),"")</f>
        <v/>
      </c>
      <c r="K1316" s="17"/>
      <c r="L1316" s="17" t="str">
        <f>IF(OR(COUNTIF('クラス'!$A$1:$A$1267,$B1316)&gt;0,$B1316="",$M1316=""),"",True)</f>
        <v/>
      </c>
      <c r="M1316" s="1" t="str">
        <f t="shared" si="24"/>
        <v>存在しない</v>
      </c>
      <c r="N1316" s="1" t="s">
        <v>29</v>
      </c>
      <c r="O1316" s="1"/>
      <c r="P1316" s="11"/>
      <c r="Q1316" s="11"/>
      <c r="R1316" s="11"/>
      <c r="S1316" s="11"/>
      <c r="T1316" s="1"/>
      <c r="U1316" s="1"/>
      <c r="V1316" s="1"/>
      <c r="W1316" s="1"/>
      <c r="X1316" s="1"/>
      <c r="Y1316" s="1"/>
      <c r="Z1316" s="1"/>
    </row>
    <row r="1317" ht="18.0" hidden="1" customHeight="1" outlineLevel="2">
      <c r="A1317" s="1">
        <v>9.0</v>
      </c>
      <c r="B1317" s="1"/>
      <c r="C1317" s="1"/>
      <c r="D1317" s="1"/>
      <c r="E1317" s="14"/>
      <c r="F1317" s="15"/>
      <c r="G1317" s="16"/>
      <c r="H1317" s="11"/>
      <c r="I1317" s="7"/>
      <c r="J1317" s="7" t="str">
        <f>IFERROR(LET(_xlpm.v,
VLOOKUP($I1317,'用語辞書'!$A:$B,COLUMN('用語辞書'!B$1),FALSE),
IF(_xlpm.v=0,"",_xlpm.v)
),"")</f>
        <v/>
      </c>
      <c r="K1317" s="17"/>
      <c r="L1317" s="17" t="str">
        <f>IF(OR(COUNTIF('クラス'!$A$1:$A$1267,$B1317)&gt;0,$B1317="",$M1317=""),"",True)</f>
        <v/>
      </c>
      <c r="M1317" s="1" t="str">
        <f t="shared" si="24"/>
        <v>存在しない</v>
      </c>
      <c r="N1317" s="1" t="s">
        <v>29</v>
      </c>
      <c r="O1317" s="1"/>
      <c r="P1317" s="11"/>
      <c r="Q1317" s="11"/>
      <c r="R1317" s="11"/>
      <c r="S1317" s="11"/>
      <c r="T1317" s="1"/>
      <c r="U1317" s="1"/>
      <c r="V1317" s="1"/>
      <c r="W1317" s="1"/>
      <c r="X1317" s="1"/>
      <c r="Y1317" s="1"/>
      <c r="Z1317" s="1"/>
    </row>
    <row r="1318" ht="18.0" hidden="1" customHeight="1" outlineLevel="2">
      <c r="A1318" s="1">
        <v>10.0</v>
      </c>
      <c r="B1318" s="1"/>
      <c r="C1318" s="1"/>
      <c r="D1318" s="1"/>
      <c r="E1318" s="14"/>
      <c r="F1318" s="15"/>
      <c r="G1318" s="16"/>
      <c r="H1318" s="11"/>
      <c r="I1318" s="7"/>
      <c r="J1318" s="7" t="str">
        <f>IFERROR(LET(_xlpm.v,
VLOOKUP($I1318,'用語辞書'!$A:$B,COLUMN('用語辞書'!B$1),FALSE),
IF(_xlpm.v=0,"",_xlpm.v)
),"")</f>
        <v/>
      </c>
      <c r="K1318" s="17"/>
      <c r="L1318" s="17" t="str">
        <f>IF(OR(COUNTIF('クラス'!$A$1:$A$1267,$B1318)&gt;0,$B1318="",$M1318=""),"",True)</f>
        <v/>
      </c>
      <c r="M1318" s="1" t="str">
        <f t="shared" si="24"/>
        <v>存在しない</v>
      </c>
      <c r="N1318" s="1" t="s">
        <v>29</v>
      </c>
      <c r="O1318" s="1"/>
      <c r="P1318" s="11"/>
      <c r="Q1318" s="11"/>
      <c r="R1318" s="11"/>
      <c r="S1318" s="11"/>
      <c r="T1318" s="1"/>
      <c r="U1318" s="1"/>
      <c r="V1318" s="1"/>
      <c r="W1318" s="1"/>
      <c r="X1318" s="1"/>
      <c r="Y1318" s="1"/>
      <c r="Z1318" s="1"/>
    </row>
    <row r="1319" ht="18.0" hidden="1" customHeight="1" outlineLevel="1" collapsed="1">
      <c r="A1319" s="1"/>
      <c r="B1319" s="1"/>
      <c r="C1319" s="1"/>
      <c r="D1319" s="1"/>
      <c r="E1319" s="14"/>
      <c r="F1319" s="15"/>
      <c r="G1319" s="16"/>
      <c r="H1319" s="11"/>
      <c r="I1319" s="7"/>
      <c r="J1319" s="7" t="str">
        <f>IFERROR(LET(_xlpm.v,
VLOOKUP($I1319,'用語辞書'!$A:$B,COLUMN('用語辞書'!B$1),FALSE),
IF(_xlpm.v=0,"",_xlpm.v)
),"")</f>
        <v/>
      </c>
      <c r="K1319" s="17"/>
      <c r="L1319" s="17" t="str">
        <f>IF(OR(COUNTIF('クラス'!$A$1:$A$1267,$B1319)&gt;0,$B1319="",$M1319=""),"",True)</f>
        <v/>
      </c>
      <c r="M1319" s="1" t="str">
        <f t="shared" si="24"/>
        <v>存在しない</v>
      </c>
      <c r="N1319" s="1" t="s">
        <v>29</v>
      </c>
      <c r="O1319" s="1"/>
      <c r="P1319" s="11"/>
      <c r="Q1319" s="11"/>
      <c r="R1319" s="11"/>
      <c r="S1319" s="11"/>
      <c r="T1319" s="1"/>
      <c r="U1319" s="1"/>
      <c r="V1319" s="1"/>
      <c r="W1319" s="1"/>
      <c r="X1319" s="1"/>
      <c r="Y1319" s="1"/>
      <c r="Z1319" s="1"/>
    </row>
    <row r="1320" ht="18.0" hidden="1" customHeight="1" outlineLevel="1">
      <c r="A1320" s="1"/>
      <c r="B1320" s="1"/>
      <c r="C1320" s="1"/>
      <c r="D1320" s="1"/>
      <c r="E1320" s="14"/>
      <c r="F1320" s="15"/>
      <c r="G1320" s="16"/>
      <c r="H1320" s="11"/>
      <c r="I1320" s="7"/>
      <c r="J1320" s="7" t="str">
        <f>IFERROR(LET(_xlpm.v,
VLOOKUP($I1320,'用語辞書'!$A:$B,COLUMN('用語辞書'!B$1),FALSE),
IF(_xlpm.v=0,"",_xlpm.v)
),"")</f>
        <v/>
      </c>
      <c r="K1320" s="17"/>
      <c r="L1320" s="17" t="str">
        <f>IF(OR(COUNTIF('クラス'!$A$1:$A$1267,$B1320)&gt;0,$B1320="",$M1320=""),"",True)</f>
        <v/>
      </c>
      <c r="M1320" s="1" t="str">
        <f t="shared" si="24"/>
        <v>存在しない</v>
      </c>
      <c r="N1320" s="1" t="s">
        <v>29</v>
      </c>
      <c r="O1320" s="1"/>
      <c r="P1320" s="11"/>
      <c r="Q1320" s="11"/>
      <c r="R1320" s="11"/>
      <c r="S1320" s="11"/>
      <c r="T1320" s="1"/>
      <c r="U1320" s="1"/>
      <c r="V1320" s="1"/>
      <c r="W1320" s="1"/>
      <c r="X1320" s="1"/>
      <c r="Y1320" s="1"/>
      <c r="Z1320" s="1"/>
    </row>
    <row r="1321" ht="18.0" hidden="1" customHeight="1" outlineLevel="1">
      <c r="A1321" s="1"/>
      <c r="B1321" s="26" t="s">
        <v>1640</v>
      </c>
      <c r="C1321" s="1"/>
      <c r="D1321" s="1"/>
      <c r="E1321" s="14"/>
      <c r="F1321" s="15"/>
      <c r="G1321" s="16"/>
      <c r="H1321" s="11"/>
      <c r="I1321" s="7"/>
      <c r="J1321" s="7" t="str">
        <f>IFERROR(LET(_xlpm.v,
VLOOKUP($I1321,'用語辞書'!$A:$B,COLUMN('用語辞書'!B$1),FALSE),
IF(_xlpm.v=0,"",_xlpm.v)
),"")</f>
        <v/>
      </c>
      <c r="K1321" s="17"/>
      <c r="L1321" s="17" t="str">
        <f>IF(OR(COUNTIF('クラス'!$A$1:$A$1267,$B1321)&gt;0,$B1321="",$M1321=""),"",True)</f>
        <v/>
      </c>
      <c r="M1321" s="1" t="str">
        <f t="shared" si="24"/>
        <v>存在しない</v>
      </c>
      <c r="N1321" s="1" t="s">
        <v>29</v>
      </c>
      <c r="O1321" s="1"/>
      <c r="P1321" s="11"/>
      <c r="Q1321" s="11"/>
      <c r="R1321" s="11"/>
      <c r="S1321" s="11"/>
      <c r="T1321" s="1"/>
      <c r="U1321" s="1"/>
      <c r="V1321" s="1"/>
      <c r="W1321" s="1"/>
      <c r="X1321" s="1"/>
      <c r="Y1321" s="1"/>
      <c r="Z1321" s="1"/>
    </row>
    <row r="1322" ht="18.0" hidden="1" customHeight="1" outlineLevel="1">
      <c r="A1322" s="1">
        <v>1.0</v>
      </c>
      <c r="B1322" s="26" t="s">
        <v>1641</v>
      </c>
      <c r="C1322" s="1"/>
      <c r="D1322" s="1"/>
      <c r="E1322" s="14" t="s">
        <v>33</v>
      </c>
      <c r="F1322" s="15"/>
      <c r="G1322" s="16">
        <v>40.0</v>
      </c>
      <c r="H1322" s="11" t="s">
        <v>1642</v>
      </c>
      <c r="I1322" s="7"/>
      <c r="J1322" s="7" t="str">
        <f>IFERROR(LET(_xlpm.v,
VLOOKUP($I1322,'用語辞書'!$A:$B,COLUMN('用語辞書'!B$1),FALSE),
IF(_xlpm.v=0,"",_xlpm.v)
),"")</f>
        <v/>
      </c>
      <c r="K1322" s="17"/>
      <c r="L1322" s="17" t="b">
        <f>IF(OR(COUNTIF('クラス'!$A$1:$A$1267,$B1322)&gt;0,$B1322="",$M1322=""),"",True)</f>
        <v>1</v>
      </c>
      <c r="M1322" s="1" t="str">
        <f t="shared" si="24"/>
        <v>存在しない</v>
      </c>
      <c r="N1322" s="1" t="s">
        <v>29</v>
      </c>
      <c r="O1322" s="1"/>
      <c r="P1322" s="11"/>
      <c r="Q1322" s="11"/>
      <c r="R1322" s="11"/>
      <c r="S1322" s="11"/>
      <c r="T1322" s="1"/>
      <c r="U1322" s="1"/>
      <c r="V1322" s="1"/>
      <c r="W1322" s="1"/>
      <c r="X1322" s="1"/>
      <c r="Y1322" s="1"/>
      <c r="Z1322" s="1"/>
    </row>
    <row r="1323" ht="18.0" hidden="1" customHeight="1" outlineLevel="2">
      <c r="A1323" s="1">
        <v>2.0</v>
      </c>
      <c r="B1323" s="26" t="s">
        <v>1643</v>
      </c>
      <c r="C1323" s="1"/>
      <c r="D1323" s="1"/>
      <c r="E1323" s="14" t="s">
        <v>33</v>
      </c>
      <c r="F1323" s="15"/>
      <c r="G1323" s="16">
        <v>50.0</v>
      </c>
      <c r="H1323" s="11" t="s">
        <v>1644</v>
      </c>
      <c r="I1323" s="7"/>
      <c r="J1323" s="7" t="str">
        <f>IFERROR(LET(_xlpm.v,
VLOOKUP($I1323,'用語辞書'!$A:$B,COLUMN('用語辞書'!B$1),FALSE),
IF(_xlpm.v=0,"",_xlpm.v)
),"")</f>
        <v/>
      </c>
      <c r="K1323" s="17"/>
      <c r="L1323" s="17" t="b">
        <f>IF(OR(COUNTIF('クラス'!$A$1:$A$1267,$B1323)&gt;0,$B1323="",$M1323=""),"",True)</f>
        <v>1</v>
      </c>
      <c r="M1323" s="1" t="str">
        <f t="shared" si="24"/>
        <v>存在しない</v>
      </c>
      <c r="N1323" s="1" t="s">
        <v>29</v>
      </c>
      <c r="O1323" s="1"/>
      <c r="P1323" s="11"/>
      <c r="Q1323" s="11"/>
      <c r="R1323" s="11"/>
      <c r="S1323" s="11"/>
      <c r="T1323" s="1"/>
      <c r="U1323" s="1"/>
      <c r="V1323" s="1"/>
      <c r="W1323" s="1"/>
      <c r="X1323" s="1"/>
      <c r="Y1323" s="1"/>
      <c r="Z1323" s="1"/>
    </row>
    <row r="1324" ht="18.0" hidden="1" customHeight="1" outlineLevel="2">
      <c r="A1324" s="1">
        <v>3.0</v>
      </c>
      <c r="B1324" s="26" t="s">
        <v>1645</v>
      </c>
      <c r="C1324" s="1"/>
      <c r="D1324" s="1"/>
      <c r="E1324" s="29" t="s">
        <v>55</v>
      </c>
      <c r="F1324" s="15"/>
      <c r="G1324" s="30"/>
      <c r="H1324" s="22" t="s">
        <v>1602</v>
      </c>
      <c r="I1324" s="7"/>
      <c r="J1324" s="7" t="str">
        <f>IFERROR(LET(_xlpm.v,
VLOOKUP($I1324,'用語辞書'!$A:$B,COLUMN('用語辞書'!B$1),FALSE),
IF(_xlpm.v=0,"",_xlpm.v)
),"")</f>
        <v/>
      </c>
      <c r="K1324" s="17"/>
      <c r="L1324" s="17" t="b">
        <f>IF(OR(COUNTIF('クラス'!$A$1:$A$1267,$B1324)&gt;0,$B1324="",$M1324=""),"",True)</f>
        <v>1</v>
      </c>
      <c r="M1324" s="1" t="str">
        <f t="shared" si="24"/>
        <v>存在しない</v>
      </c>
      <c r="N1324" s="1" t="s">
        <v>29</v>
      </c>
      <c r="O1324" s="1"/>
      <c r="P1324" s="11"/>
      <c r="Q1324" s="11"/>
      <c r="R1324" s="11"/>
      <c r="S1324" s="11"/>
      <c r="T1324" s="1"/>
      <c r="U1324" s="1"/>
      <c r="V1324" s="1"/>
      <c r="W1324" s="1"/>
      <c r="X1324" s="1"/>
      <c r="Y1324" s="1"/>
      <c r="Z1324" s="1"/>
    </row>
    <row r="1325" ht="18.0" hidden="1" customHeight="1" outlineLevel="2">
      <c r="A1325" s="1">
        <v>4.0</v>
      </c>
      <c r="B1325" s="26" t="s">
        <v>1646</v>
      </c>
      <c r="C1325" s="1"/>
      <c r="D1325" s="1"/>
      <c r="E1325" s="29" t="s">
        <v>55</v>
      </c>
      <c r="F1325" s="15"/>
      <c r="G1325" s="16"/>
      <c r="H1325" s="22" t="s">
        <v>1595</v>
      </c>
      <c r="I1325" s="7"/>
      <c r="J1325" s="7" t="str">
        <f>IFERROR(LET(_xlpm.v,
VLOOKUP($I1325,'用語辞書'!$A:$B,COLUMN('用語辞書'!B$1),FALSE),
IF(_xlpm.v=0,"",_xlpm.v)
),"")</f>
        <v/>
      </c>
      <c r="K1325" s="17"/>
      <c r="L1325" s="17" t="b">
        <f>IF(OR(COUNTIF('クラス'!$A$1:$A$1267,$B1325)&gt;0,$B1325="",$M1325=""),"",True)</f>
        <v>1</v>
      </c>
      <c r="M1325" s="1" t="str">
        <f t="shared" si="24"/>
        <v>存在しない</v>
      </c>
      <c r="N1325" s="1" t="s">
        <v>29</v>
      </c>
      <c r="O1325" s="1"/>
      <c r="P1325" s="11"/>
      <c r="Q1325" s="11"/>
      <c r="R1325" s="11"/>
      <c r="S1325" s="11"/>
      <c r="T1325" s="1"/>
      <c r="U1325" s="1"/>
      <c r="V1325" s="1"/>
      <c r="W1325" s="1"/>
      <c r="X1325" s="1"/>
      <c r="Y1325" s="1"/>
      <c r="Z1325" s="1"/>
    </row>
    <row r="1326" ht="18.0" hidden="1" customHeight="1" outlineLevel="2">
      <c r="A1326" s="1">
        <v>5.0</v>
      </c>
      <c r="B1326" s="26" t="s">
        <v>1606</v>
      </c>
      <c r="C1326" s="1"/>
      <c r="D1326" s="1"/>
      <c r="E1326" s="14"/>
      <c r="F1326" s="15"/>
      <c r="G1326" s="16"/>
      <c r="H1326" s="11"/>
      <c r="I1326" s="7"/>
      <c r="J1326" s="7" t="str">
        <f>IFERROR(LET(_xlpm.v,
VLOOKUP($I1326,'用語辞書'!$A:$B,COLUMN('用語辞書'!B$1),FALSE),
IF(_xlpm.v=0,"",_xlpm.v)
),"")</f>
        <v/>
      </c>
      <c r="K1326" s="17"/>
      <c r="L1326" s="17" t="str">
        <f>IF(OR(COUNTIF('クラス'!$A$1:$A$1267,$B1326)&gt;0,$B1326="",$M1326=""),"",True)</f>
        <v/>
      </c>
      <c r="M1326" s="1" t="str">
        <f t="shared" si="24"/>
        <v/>
      </c>
      <c r="N1326" s="1" t="s">
        <v>29</v>
      </c>
      <c r="O1326" s="1"/>
      <c r="P1326" s="11"/>
      <c r="Q1326" s="11"/>
      <c r="R1326" s="11"/>
      <c r="S1326" s="11"/>
      <c r="T1326" s="1"/>
      <c r="U1326" s="1"/>
      <c r="V1326" s="1"/>
      <c r="W1326" s="1"/>
      <c r="X1326" s="1"/>
      <c r="Y1326" s="1"/>
      <c r="Z1326" s="1"/>
    </row>
    <row r="1327" ht="18.0" hidden="1" customHeight="1" outlineLevel="2">
      <c r="A1327" s="1">
        <v>6.0</v>
      </c>
      <c r="B1327" s="26"/>
      <c r="C1327" s="1"/>
      <c r="D1327" s="1"/>
      <c r="E1327" s="14"/>
      <c r="F1327" s="15"/>
      <c r="G1327" s="16"/>
      <c r="H1327" s="11"/>
      <c r="I1327" s="7"/>
      <c r="J1327" s="7" t="str">
        <f>IFERROR(LET(_xlpm.v,
VLOOKUP($I1327,'用語辞書'!$A:$B,COLUMN('用語辞書'!B$1),FALSE),
IF(_xlpm.v=0,"",_xlpm.v)
),"")</f>
        <v/>
      </c>
      <c r="K1327" s="17"/>
      <c r="L1327" s="17" t="str">
        <f>IF(OR(COUNTIF('クラス'!$A$1:$A$1267,$B1327)&gt;0,$B1327="",$M1327=""),"",True)</f>
        <v/>
      </c>
      <c r="M1327" s="1" t="str">
        <f t="shared" si="24"/>
        <v>存在しない</v>
      </c>
      <c r="N1327" s="1" t="s">
        <v>29</v>
      </c>
      <c r="O1327" s="1"/>
      <c r="P1327" s="11"/>
      <c r="Q1327" s="11"/>
      <c r="R1327" s="11"/>
      <c r="S1327" s="11"/>
      <c r="T1327" s="1"/>
      <c r="U1327" s="1"/>
      <c r="V1327" s="1"/>
      <c r="W1327" s="1"/>
      <c r="X1327" s="1"/>
      <c r="Y1327" s="1"/>
      <c r="Z1327" s="1"/>
    </row>
    <row r="1328" ht="18.0" hidden="1" customHeight="1" outlineLevel="2">
      <c r="A1328" s="1">
        <v>7.0</v>
      </c>
      <c r="B1328" s="1" t="s">
        <v>1607</v>
      </c>
      <c r="C1328" s="1"/>
      <c r="D1328" s="1"/>
      <c r="E1328" s="14"/>
      <c r="F1328" s="15"/>
      <c r="G1328" s="16"/>
      <c r="H1328" s="11"/>
      <c r="I1328" s="7"/>
      <c r="J1328" s="7" t="str">
        <f>IFERROR(LET(_xlpm.v,
VLOOKUP($I1328,'用語辞書'!$A:$B,COLUMN('用語辞書'!B$1),FALSE),
IF(_xlpm.v=0,"",_xlpm.v)
),"")</f>
        <v/>
      </c>
      <c r="K1328" s="17"/>
      <c r="L1328" s="17" t="str">
        <f>IF(OR(COUNTIF('クラス'!$A$1:$A$1267,$B1328)&gt;0,$B1328="",$M1328=""),"",True)</f>
        <v/>
      </c>
      <c r="M1328" s="1" t="str">
        <f t="shared" si="24"/>
        <v/>
      </c>
      <c r="N1328" s="1" t="s">
        <v>29</v>
      </c>
      <c r="O1328" s="1"/>
      <c r="P1328" s="11"/>
      <c r="Q1328" s="11"/>
      <c r="R1328" s="11"/>
      <c r="S1328" s="11"/>
      <c r="T1328" s="1"/>
      <c r="U1328" s="1"/>
      <c r="V1328" s="1"/>
      <c r="W1328" s="1"/>
      <c r="X1328" s="1"/>
      <c r="Y1328" s="1"/>
      <c r="Z1328" s="1"/>
    </row>
    <row r="1329" ht="18.0" hidden="1" customHeight="1" outlineLevel="2">
      <c r="A1329" s="1">
        <v>8.0</v>
      </c>
      <c r="B1329" s="26"/>
      <c r="C1329" s="1"/>
      <c r="D1329" s="1"/>
      <c r="E1329" s="14"/>
      <c r="F1329" s="15"/>
      <c r="G1329" s="16"/>
      <c r="H1329" s="11"/>
      <c r="I1329" s="7"/>
      <c r="J1329" s="7" t="str">
        <f>IFERROR(LET(_xlpm.v,
VLOOKUP($I1329,'用語辞書'!$A:$B,COLUMN('用語辞書'!B$1),FALSE),
IF(_xlpm.v=0,"",_xlpm.v)
),"")</f>
        <v/>
      </c>
      <c r="K1329" s="17"/>
      <c r="L1329" s="17" t="str">
        <f>IF(OR(COUNTIF('クラス'!$A$1:$A$1267,$B1329)&gt;0,$B1329="",$M1329=""),"",True)</f>
        <v/>
      </c>
      <c r="M1329" s="1" t="str">
        <f t="shared" si="24"/>
        <v>存在しない</v>
      </c>
      <c r="N1329" s="1" t="s">
        <v>29</v>
      </c>
      <c r="O1329" s="1"/>
      <c r="P1329" s="11"/>
      <c r="Q1329" s="11"/>
      <c r="R1329" s="11"/>
      <c r="S1329" s="11"/>
      <c r="T1329" s="1"/>
      <c r="U1329" s="1"/>
      <c r="V1329" s="1"/>
      <c r="W1329" s="1"/>
      <c r="X1329" s="1"/>
      <c r="Y1329" s="1"/>
      <c r="Z1329" s="1"/>
    </row>
    <row r="1330" ht="18.0" hidden="1" customHeight="1" outlineLevel="2">
      <c r="A1330" s="1">
        <v>9.0</v>
      </c>
      <c r="B1330" s="1"/>
      <c r="C1330" s="1"/>
      <c r="D1330" s="1"/>
      <c r="E1330" s="14"/>
      <c r="F1330" s="15"/>
      <c r="G1330" s="16"/>
      <c r="H1330" s="11"/>
      <c r="I1330" s="7"/>
      <c r="J1330" s="7" t="str">
        <f>IFERROR(LET(_xlpm.v,
VLOOKUP($I1330,'用語辞書'!$A:$B,COLUMN('用語辞書'!B$1),FALSE),
IF(_xlpm.v=0,"",_xlpm.v)
),"")</f>
        <v/>
      </c>
      <c r="K1330" s="17"/>
      <c r="L1330" s="17" t="str">
        <f>IF(OR(COUNTIF('クラス'!$A$1:$A$1267,$B1330)&gt;0,$B1330="",$M1330=""),"",True)</f>
        <v/>
      </c>
      <c r="M1330" s="1" t="str">
        <f t="shared" si="24"/>
        <v>存在しない</v>
      </c>
      <c r="N1330" s="1" t="s">
        <v>29</v>
      </c>
      <c r="O1330" s="1"/>
      <c r="P1330" s="11"/>
      <c r="Q1330" s="11"/>
      <c r="R1330" s="11"/>
      <c r="S1330" s="11"/>
      <c r="T1330" s="1"/>
      <c r="U1330" s="1"/>
      <c r="V1330" s="1"/>
      <c r="W1330" s="1"/>
      <c r="X1330" s="1"/>
      <c r="Y1330" s="1"/>
      <c r="Z1330" s="1"/>
    </row>
    <row r="1331" ht="18.0" hidden="1" customHeight="1" outlineLevel="2">
      <c r="A1331" s="1">
        <v>10.0</v>
      </c>
      <c r="B1331" s="1"/>
      <c r="C1331" s="1"/>
      <c r="D1331" s="1"/>
      <c r="E1331" s="14"/>
      <c r="F1331" s="15"/>
      <c r="G1331" s="16"/>
      <c r="H1331" s="11"/>
      <c r="I1331" s="7"/>
      <c r="J1331" s="7" t="str">
        <f>IFERROR(LET(_xlpm.v,
VLOOKUP($I1331,'用語辞書'!$A:$B,COLUMN('用語辞書'!B$1),FALSE),
IF(_xlpm.v=0,"",_xlpm.v)
),"")</f>
        <v/>
      </c>
      <c r="K1331" s="17"/>
      <c r="L1331" s="17" t="str">
        <f>IF(OR(COUNTIF('クラス'!$A$1:$A$1267,$B1331)&gt;0,$B1331="",$M1331=""),"",True)</f>
        <v/>
      </c>
      <c r="M1331" s="1" t="str">
        <f t="shared" si="24"/>
        <v>存在しない</v>
      </c>
      <c r="N1331" s="1" t="s">
        <v>29</v>
      </c>
      <c r="O1331" s="1"/>
      <c r="P1331" s="11"/>
      <c r="Q1331" s="11"/>
      <c r="R1331" s="11"/>
      <c r="S1331" s="11"/>
      <c r="T1331" s="1"/>
      <c r="U1331" s="1"/>
      <c r="V1331" s="1"/>
      <c r="W1331" s="1"/>
      <c r="X1331" s="1"/>
      <c r="Y1331" s="1"/>
      <c r="Z1331" s="1"/>
    </row>
    <row r="1332" ht="18.0" hidden="1" customHeight="1" outlineLevel="2">
      <c r="A1332" s="1"/>
      <c r="B1332" s="1"/>
      <c r="C1332" s="1"/>
      <c r="D1332" s="1"/>
      <c r="E1332" s="14"/>
      <c r="F1332" s="15"/>
      <c r="G1332" s="16"/>
      <c r="H1332" s="11"/>
      <c r="I1332" s="7"/>
      <c r="J1332" s="7" t="str">
        <f>IFERROR(LET(_xlpm.v,
VLOOKUP($I1332,'用語辞書'!$A:$B,COLUMN('用語辞書'!B$1),FALSE),
IF(_xlpm.v=0,"",_xlpm.v)
),"")</f>
        <v/>
      </c>
      <c r="K1332" s="17"/>
      <c r="L1332" s="17" t="str">
        <f>IF(OR(COUNTIF('クラス'!$A$1:$A$1267,$B1332)&gt;0,$B1332="",$M1332=""),"",True)</f>
        <v/>
      </c>
      <c r="M1332" s="1" t="str">
        <f t="shared" si="24"/>
        <v>存在しない</v>
      </c>
      <c r="N1332" s="1" t="s">
        <v>29</v>
      </c>
      <c r="O1332" s="1"/>
      <c r="P1332" s="11"/>
      <c r="Q1332" s="11"/>
      <c r="R1332" s="11"/>
      <c r="S1332" s="11"/>
      <c r="T1332" s="1"/>
      <c r="U1332" s="1"/>
      <c r="V1332" s="1"/>
      <c r="W1332" s="1"/>
      <c r="X1332" s="1"/>
      <c r="Y1332" s="1"/>
      <c r="Z1332" s="1"/>
    </row>
    <row r="1333" ht="18.0" hidden="1" customHeight="1" outlineLevel="1" collapsed="1">
      <c r="A1333" s="1"/>
      <c r="B1333" s="1"/>
      <c r="C1333" s="1"/>
      <c r="D1333" s="1"/>
      <c r="E1333" s="14"/>
      <c r="F1333" s="15"/>
      <c r="G1333" s="16"/>
      <c r="H1333" s="11"/>
      <c r="I1333" s="7"/>
      <c r="J1333" s="7" t="str">
        <f>IFERROR(LET(_xlpm.v,
VLOOKUP($I1333,'用語辞書'!$A:$B,COLUMN('用語辞書'!B$1),FALSE),
IF(_xlpm.v=0,"",_xlpm.v)
),"")</f>
        <v/>
      </c>
      <c r="K1333" s="17"/>
      <c r="L1333" s="17" t="str">
        <f>IF(OR(COUNTIF('クラス'!$A$1:$A$1267,$B1333)&gt;0,$B1333="",$M1333=""),"",True)</f>
        <v/>
      </c>
      <c r="M1333" s="1" t="str">
        <f t="shared" si="24"/>
        <v>存在しない</v>
      </c>
      <c r="N1333" s="1" t="s">
        <v>29</v>
      </c>
      <c r="O1333" s="1"/>
      <c r="P1333" s="11"/>
      <c r="Q1333" s="11"/>
      <c r="R1333" s="11"/>
      <c r="S1333" s="11"/>
      <c r="T1333" s="1"/>
      <c r="U1333" s="1"/>
      <c r="V1333" s="1"/>
      <c r="W1333" s="1"/>
      <c r="X1333" s="1"/>
      <c r="Y1333" s="1"/>
      <c r="Z1333" s="1"/>
    </row>
    <row r="1334" ht="18.0" hidden="1" customHeight="1" outlineLevel="1">
      <c r="A1334" s="1"/>
      <c r="B1334" s="1" t="s">
        <v>1647</v>
      </c>
      <c r="C1334" s="1"/>
      <c r="D1334" s="1"/>
      <c r="E1334" s="14"/>
      <c r="F1334" s="15"/>
      <c r="G1334" s="16"/>
      <c r="H1334" s="11"/>
      <c r="I1334" s="7"/>
      <c r="J1334" s="7" t="str">
        <f>IFERROR(LET(_xlpm.v,
VLOOKUP($I1334,'用語辞書'!$A:$B,COLUMN('用語辞書'!B$1),FALSE),
IF(_xlpm.v=0,"",_xlpm.v)
),"")</f>
        <v/>
      </c>
      <c r="K1334" s="17"/>
      <c r="L1334" s="17" t="str">
        <f>IF(OR(COUNTIF('クラス'!$A$1:$A$1267,$B1334)&gt;0,$B1334="",$M1334=""),"",True)</f>
        <v/>
      </c>
      <c r="M1334" s="1" t="str">
        <f t="shared" si="24"/>
        <v>存在しない</v>
      </c>
      <c r="N1334" s="1" t="s">
        <v>29</v>
      </c>
      <c r="O1334" s="1"/>
      <c r="P1334" s="11"/>
      <c r="Q1334" s="11"/>
      <c r="R1334" s="11"/>
      <c r="S1334" s="11"/>
      <c r="T1334" s="1"/>
      <c r="U1334" s="1"/>
      <c r="V1334" s="1"/>
      <c r="W1334" s="1"/>
      <c r="X1334" s="1"/>
      <c r="Y1334" s="1"/>
      <c r="Z1334" s="1"/>
    </row>
    <row r="1335" ht="18.0" hidden="1" customHeight="1" outlineLevel="1">
      <c r="A1335" s="1">
        <v>1.0</v>
      </c>
      <c r="B1335" s="26" t="s">
        <v>1648</v>
      </c>
      <c r="C1335" s="1"/>
      <c r="D1335" s="1"/>
      <c r="E1335" s="14" t="s">
        <v>33</v>
      </c>
      <c r="F1335" s="15"/>
      <c r="G1335" s="16">
        <v>40.0</v>
      </c>
      <c r="H1335" s="11" t="s">
        <v>1649</v>
      </c>
      <c r="I1335" s="7"/>
      <c r="J1335" s="7" t="str">
        <f>IFERROR(LET(_xlpm.v,
VLOOKUP($I1335,'用語辞書'!$A:$B,COLUMN('用語辞書'!B$1),FALSE),
IF(_xlpm.v=0,"",_xlpm.v)
),"")</f>
        <v/>
      </c>
      <c r="K1335" s="17"/>
      <c r="L1335" s="17" t="b">
        <f>IF(OR(COUNTIF('クラス'!$A$1:$A$1267,$B1335)&gt;0,$B1335="",$M1335=""),"",True)</f>
        <v>1</v>
      </c>
      <c r="M1335" s="1" t="str">
        <f t="shared" si="24"/>
        <v>存在しない</v>
      </c>
      <c r="N1335" s="1" t="s">
        <v>29</v>
      </c>
      <c r="O1335" s="1"/>
      <c r="P1335" s="11"/>
      <c r="Q1335" s="11"/>
      <c r="R1335" s="11"/>
      <c r="S1335" s="11"/>
      <c r="T1335" s="1"/>
      <c r="U1335" s="1"/>
      <c r="V1335" s="1"/>
      <c r="W1335" s="1"/>
      <c r="X1335" s="1"/>
      <c r="Y1335" s="1"/>
      <c r="Z1335" s="1"/>
    </row>
    <row r="1336" ht="18.0" hidden="1" customHeight="1" outlineLevel="2">
      <c r="A1336" s="1">
        <v>2.0</v>
      </c>
      <c r="B1336" s="26" t="s">
        <v>1650</v>
      </c>
      <c r="C1336" s="1"/>
      <c r="D1336" s="1"/>
      <c r="E1336" s="14" t="s">
        <v>33</v>
      </c>
      <c r="F1336" s="15"/>
      <c r="G1336" s="16">
        <v>60.0</v>
      </c>
      <c r="H1336" s="11" t="s">
        <v>1651</v>
      </c>
      <c r="I1336" s="7"/>
      <c r="J1336" s="7" t="str">
        <f>IFERROR(LET(_xlpm.v,
VLOOKUP($I1336,'用語辞書'!$A:$B,COLUMN('用語辞書'!B$1),FALSE),
IF(_xlpm.v=0,"",_xlpm.v)
),"")</f>
        <v/>
      </c>
      <c r="K1336" s="17"/>
      <c r="L1336" s="17" t="b">
        <f>IF(OR(COUNTIF('クラス'!$A$1:$A$1267,$B1336)&gt;0,$B1336="",$M1336=""),"",True)</f>
        <v>1</v>
      </c>
      <c r="M1336" s="1" t="str">
        <f t="shared" si="24"/>
        <v>存在しない</v>
      </c>
      <c r="N1336" s="1" t="s">
        <v>29</v>
      </c>
      <c r="O1336" s="1"/>
      <c r="P1336" s="11"/>
      <c r="Q1336" s="11"/>
      <c r="R1336" s="11"/>
      <c r="S1336" s="11"/>
      <c r="T1336" s="1"/>
      <c r="U1336" s="1"/>
      <c r="V1336" s="1"/>
      <c r="W1336" s="1"/>
      <c r="X1336" s="1"/>
      <c r="Y1336" s="1"/>
      <c r="Z1336" s="1"/>
    </row>
    <row r="1337" ht="18.0" hidden="1" customHeight="1" outlineLevel="2">
      <c r="A1337" s="1">
        <v>3.0</v>
      </c>
      <c r="B1337" s="26" t="s">
        <v>1652</v>
      </c>
      <c r="C1337" s="1"/>
      <c r="D1337" s="1"/>
      <c r="E1337" s="29" t="s">
        <v>55</v>
      </c>
      <c r="F1337" s="15"/>
      <c r="G1337" s="30"/>
      <c r="H1337" s="22" t="s">
        <v>1653</v>
      </c>
      <c r="I1337" s="7"/>
      <c r="J1337" s="7" t="str">
        <f>IFERROR(LET(_xlpm.v,
VLOOKUP($I1337,'用語辞書'!$A:$B,COLUMN('用語辞書'!B$1),FALSE),
IF(_xlpm.v=0,"",_xlpm.v)
),"")</f>
        <v/>
      </c>
      <c r="K1337" s="17"/>
      <c r="L1337" s="17" t="b">
        <f>IF(OR(COUNTIF('クラス'!$A$1:$A$1267,$B1337)&gt;0,$B1337="",$M1337=""),"",True)</f>
        <v>1</v>
      </c>
      <c r="M1337" s="1" t="str">
        <f t="shared" si="24"/>
        <v>存在しない</v>
      </c>
      <c r="N1337" s="1" t="s">
        <v>29</v>
      </c>
      <c r="O1337" s="1"/>
      <c r="P1337" s="11"/>
      <c r="Q1337" s="11"/>
      <c r="R1337" s="11"/>
      <c r="S1337" s="11"/>
      <c r="T1337" s="1"/>
      <c r="U1337" s="1"/>
      <c r="V1337" s="1"/>
      <c r="W1337" s="1"/>
      <c r="X1337" s="1"/>
      <c r="Y1337" s="1"/>
      <c r="Z1337" s="1"/>
    </row>
    <row r="1338" ht="18.0" hidden="1" customHeight="1" outlineLevel="2">
      <c r="A1338" s="1">
        <v>4.0</v>
      </c>
      <c r="B1338" s="26" t="s">
        <v>1654</v>
      </c>
      <c r="C1338" s="1"/>
      <c r="D1338" s="1"/>
      <c r="E1338" s="29" t="s">
        <v>55</v>
      </c>
      <c r="F1338" s="15"/>
      <c r="G1338" s="16"/>
      <c r="H1338" s="22" t="s">
        <v>1655</v>
      </c>
      <c r="I1338" s="7"/>
      <c r="J1338" s="7" t="str">
        <f>IFERROR(LET(_xlpm.v,
VLOOKUP($I1338,'用語辞書'!$A:$B,COLUMN('用語辞書'!B$1),FALSE),
IF(_xlpm.v=0,"",_xlpm.v)
),"")</f>
        <v/>
      </c>
      <c r="K1338" s="17"/>
      <c r="L1338" s="17" t="b">
        <f>IF(OR(COUNTIF('クラス'!$A$1:$A$1267,$B1338)&gt;0,$B1338="",$M1338=""),"",True)</f>
        <v>1</v>
      </c>
      <c r="M1338" s="1" t="str">
        <f t="shared" si="24"/>
        <v>存在しない</v>
      </c>
      <c r="N1338" s="1" t="s">
        <v>29</v>
      </c>
      <c r="O1338" s="1"/>
      <c r="P1338" s="11"/>
      <c r="Q1338" s="11"/>
      <c r="R1338" s="11"/>
      <c r="S1338" s="11"/>
      <c r="T1338" s="1"/>
      <c r="U1338" s="1"/>
      <c r="V1338" s="1"/>
      <c r="W1338" s="1"/>
      <c r="X1338" s="1"/>
      <c r="Y1338" s="1"/>
      <c r="Z1338" s="1"/>
    </row>
    <row r="1339" ht="18.0" hidden="1" customHeight="1" outlineLevel="2">
      <c r="A1339" s="1">
        <v>5.0</v>
      </c>
      <c r="B1339" s="26" t="s">
        <v>1606</v>
      </c>
      <c r="C1339" s="1"/>
      <c r="D1339" s="1"/>
      <c r="E1339" s="14"/>
      <c r="F1339" s="15"/>
      <c r="G1339" s="16"/>
      <c r="H1339" s="11"/>
      <c r="I1339" s="7"/>
      <c r="J1339" s="7" t="str">
        <f>IFERROR(LET(_xlpm.v,
VLOOKUP($I1339,'用語辞書'!$A:$B,COLUMN('用語辞書'!B$1),FALSE),
IF(_xlpm.v=0,"",_xlpm.v)
),"")</f>
        <v/>
      </c>
      <c r="K1339" s="17"/>
      <c r="L1339" s="17" t="str">
        <f>IF(OR(COUNTIF('クラス'!$A$1:$A$1267,$B1339)&gt;0,$B1339="",$M1339=""),"",True)</f>
        <v/>
      </c>
      <c r="M1339" s="1" t="str">
        <f t="shared" si="24"/>
        <v/>
      </c>
      <c r="N1339" s="1" t="s">
        <v>29</v>
      </c>
      <c r="O1339" s="1"/>
      <c r="P1339" s="11"/>
      <c r="Q1339" s="11"/>
      <c r="R1339" s="11"/>
      <c r="S1339" s="11"/>
      <c r="T1339" s="1"/>
      <c r="U1339" s="1"/>
      <c r="V1339" s="1"/>
      <c r="W1339" s="1"/>
      <c r="X1339" s="1"/>
      <c r="Y1339" s="1"/>
      <c r="Z1339" s="1"/>
    </row>
    <row r="1340" ht="18.0" hidden="1" customHeight="1" outlineLevel="2">
      <c r="A1340" s="1">
        <v>6.0</v>
      </c>
      <c r="B1340" s="26"/>
      <c r="C1340" s="1"/>
      <c r="D1340" s="1"/>
      <c r="E1340" s="14"/>
      <c r="F1340" s="15"/>
      <c r="G1340" s="16"/>
      <c r="H1340" s="11"/>
      <c r="I1340" s="7"/>
      <c r="J1340" s="7" t="str">
        <f>IFERROR(LET(_xlpm.v,
VLOOKUP($I1340,'用語辞書'!$A:$B,COLUMN('用語辞書'!B$1),FALSE),
IF(_xlpm.v=0,"",_xlpm.v)
),"")</f>
        <v/>
      </c>
      <c r="K1340" s="17"/>
      <c r="L1340" s="17" t="str">
        <f>IF(OR(COUNTIF('クラス'!$A$1:$A$1267,$B1340)&gt;0,$B1340="",$M1340=""),"",True)</f>
        <v/>
      </c>
      <c r="M1340" s="1" t="str">
        <f t="shared" si="24"/>
        <v>存在しない</v>
      </c>
      <c r="N1340" s="1" t="s">
        <v>29</v>
      </c>
      <c r="O1340" s="1"/>
      <c r="P1340" s="11"/>
      <c r="Q1340" s="11"/>
      <c r="R1340" s="11"/>
      <c r="S1340" s="11"/>
      <c r="T1340" s="1"/>
      <c r="U1340" s="1"/>
      <c r="V1340" s="1"/>
      <c r="W1340" s="1"/>
      <c r="X1340" s="1"/>
      <c r="Y1340" s="1"/>
      <c r="Z1340" s="1"/>
    </row>
    <row r="1341" ht="18.0" hidden="1" customHeight="1" outlineLevel="2">
      <c r="A1341" s="1">
        <v>7.0</v>
      </c>
      <c r="B1341" s="1" t="s">
        <v>1607</v>
      </c>
      <c r="C1341" s="1"/>
      <c r="D1341" s="1"/>
      <c r="E1341" s="14"/>
      <c r="F1341" s="15"/>
      <c r="G1341" s="16"/>
      <c r="H1341" s="11"/>
      <c r="I1341" s="7"/>
      <c r="J1341" s="7" t="str">
        <f>IFERROR(LET(_xlpm.v,
VLOOKUP($I1341,'用語辞書'!$A:$B,COLUMN('用語辞書'!B$1),FALSE),
IF(_xlpm.v=0,"",_xlpm.v)
),"")</f>
        <v/>
      </c>
      <c r="K1341" s="17"/>
      <c r="L1341" s="17" t="str">
        <f>IF(OR(COUNTIF('クラス'!$A$1:$A$1267,$B1341)&gt;0,$B1341="",$M1341=""),"",True)</f>
        <v/>
      </c>
      <c r="M1341" s="1" t="str">
        <f t="shared" si="24"/>
        <v/>
      </c>
      <c r="N1341" s="1" t="s">
        <v>29</v>
      </c>
      <c r="O1341" s="1"/>
      <c r="P1341" s="11"/>
      <c r="Q1341" s="11"/>
      <c r="R1341" s="11"/>
      <c r="S1341" s="11"/>
      <c r="T1341" s="1"/>
      <c r="U1341" s="1"/>
      <c r="V1341" s="1"/>
      <c r="W1341" s="1"/>
      <c r="X1341" s="1"/>
      <c r="Y1341" s="1"/>
      <c r="Z1341" s="1"/>
    </row>
    <row r="1342" ht="18.0" hidden="1" customHeight="1" outlineLevel="2">
      <c r="A1342" s="1">
        <v>8.0</v>
      </c>
      <c r="B1342" s="26"/>
      <c r="C1342" s="1"/>
      <c r="D1342" s="1"/>
      <c r="E1342" s="14"/>
      <c r="F1342" s="15"/>
      <c r="G1342" s="16"/>
      <c r="H1342" s="11"/>
      <c r="I1342" s="7"/>
      <c r="J1342" s="7" t="str">
        <f>IFERROR(LET(_xlpm.v,
VLOOKUP($I1342,'用語辞書'!$A:$B,COLUMN('用語辞書'!B$1),FALSE),
IF(_xlpm.v=0,"",_xlpm.v)
),"")</f>
        <v/>
      </c>
      <c r="K1342" s="17"/>
      <c r="L1342" s="17" t="str">
        <f>IF(OR(COUNTIF('クラス'!$A$1:$A$1267,$B1342)&gt;0,$B1342="",$M1342=""),"",True)</f>
        <v/>
      </c>
      <c r="M1342" s="1" t="str">
        <f t="shared" si="24"/>
        <v>存在しない</v>
      </c>
      <c r="N1342" s="1" t="s">
        <v>29</v>
      </c>
      <c r="O1342" s="1"/>
      <c r="P1342" s="11"/>
      <c r="Q1342" s="11"/>
      <c r="R1342" s="11"/>
      <c r="S1342" s="11"/>
      <c r="T1342" s="1"/>
      <c r="U1342" s="1"/>
      <c r="V1342" s="1"/>
      <c r="W1342" s="1"/>
      <c r="X1342" s="1"/>
      <c r="Y1342" s="1"/>
      <c r="Z1342" s="1"/>
    </row>
    <row r="1343" ht="18.0" hidden="1" customHeight="1" outlineLevel="2">
      <c r="A1343" s="1">
        <v>9.0</v>
      </c>
      <c r="B1343" s="1"/>
      <c r="C1343" s="1"/>
      <c r="D1343" s="1"/>
      <c r="E1343" s="14"/>
      <c r="F1343" s="15"/>
      <c r="G1343" s="16"/>
      <c r="H1343" s="11"/>
      <c r="I1343" s="7"/>
      <c r="J1343" s="7" t="str">
        <f>IFERROR(LET(_xlpm.v,
VLOOKUP($I1343,'用語辞書'!$A:$B,COLUMN('用語辞書'!B$1),FALSE),
IF(_xlpm.v=0,"",_xlpm.v)
),"")</f>
        <v/>
      </c>
      <c r="K1343" s="17"/>
      <c r="L1343" s="17" t="str">
        <f>IF(OR(COUNTIF('クラス'!$A$1:$A$1267,$B1343)&gt;0,$B1343="",$M1343=""),"",True)</f>
        <v/>
      </c>
      <c r="M1343" s="1" t="str">
        <f t="shared" si="24"/>
        <v>存在しない</v>
      </c>
      <c r="N1343" s="1" t="s">
        <v>29</v>
      </c>
      <c r="O1343" s="1"/>
      <c r="P1343" s="11"/>
      <c r="Q1343" s="11"/>
      <c r="R1343" s="11"/>
      <c r="S1343" s="11"/>
      <c r="T1343" s="1"/>
      <c r="U1343" s="1"/>
      <c r="V1343" s="1"/>
      <c r="W1343" s="1"/>
      <c r="X1343" s="1"/>
      <c r="Y1343" s="1"/>
      <c r="Z1343" s="1"/>
    </row>
    <row r="1344" ht="18.0" hidden="1" customHeight="1" outlineLevel="2">
      <c r="A1344" s="1">
        <v>10.0</v>
      </c>
      <c r="B1344" s="1"/>
      <c r="C1344" s="1"/>
      <c r="D1344" s="1"/>
      <c r="E1344" s="14"/>
      <c r="F1344" s="15"/>
      <c r="G1344" s="16"/>
      <c r="H1344" s="11"/>
      <c r="I1344" s="7"/>
      <c r="J1344" s="7" t="str">
        <f>IFERROR(LET(_xlpm.v,
VLOOKUP($I1344,'用語辞書'!$A:$B,COLUMN('用語辞書'!B$1),FALSE),
IF(_xlpm.v=0,"",_xlpm.v)
),"")</f>
        <v/>
      </c>
      <c r="K1344" s="17"/>
      <c r="L1344" s="17" t="str">
        <f>IF(OR(COUNTIF('クラス'!$A$1:$A$1267,$B1344)&gt;0,$B1344="",$M1344=""),"",True)</f>
        <v/>
      </c>
      <c r="M1344" s="1" t="str">
        <f t="shared" si="24"/>
        <v>存在しない</v>
      </c>
      <c r="N1344" s="1" t="s">
        <v>29</v>
      </c>
      <c r="O1344" s="1"/>
      <c r="P1344" s="11"/>
      <c r="Q1344" s="11"/>
      <c r="R1344" s="11"/>
      <c r="S1344" s="11"/>
      <c r="T1344" s="1"/>
      <c r="U1344" s="1"/>
      <c r="V1344" s="1"/>
      <c r="W1344" s="1"/>
      <c r="X1344" s="1"/>
      <c r="Y1344" s="1"/>
      <c r="Z1344" s="1"/>
    </row>
    <row r="1345" ht="18.0" hidden="1" customHeight="1" outlineLevel="2">
      <c r="A1345" s="1"/>
      <c r="B1345" s="1"/>
      <c r="C1345" s="1"/>
      <c r="D1345" s="1"/>
      <c r="E1345" s="14"/>
      <c r="F1345" s="15"/>
      <c r="G1345" s="16"/>
      <c r="H1345" s="11"/>
      <c r="I1345" s="7"/>
      <c r="J1345" s="7" t="str">
        <f>IFERROR(LET(_xlpm.v,
VLOOKUP($I1345,'用語辞書'!$A:$B,COLUMN('用語辞書'!B$1),FALSE),
IF(_xlpm.v=0,"",_xlpm.v)
),"")</f>
        <v/>
      </c>
      <c r="K1345" s="17"/>
      <c r="L1345" s="17" t="str">
        <f>IF(OR(COUNTIF('クラス'!$A$1:$A$1267,$B1345)&gt;0,$B1345="",$M1345=""),"",True)</f>
        <v/>
      </c>
      <c r="M1345" s="1" t="str">
        <f t="shared" si="24"/>
        <v>存在しない</v>
      </c>
      <c r="N1345" s="1" t="s">
        <v>29</v>
      </c>
      <c r="O1345" s="1"/>
      <c r="P1345" s="11"/>
      <c r="Q1345" s="11"/>
      <c r="R1345" s="11"/>
      <c r="S1345" s="11"/>
      <c r="T1345" s="1"/>
      <c r="U1345" s="1"/>
      <c r="V1345" s="1"/>
      <c r="W1345" s="1"/>
      <c r="X1345" s="1"/>
      <c r="Y1345" s="1"/>
      <c r="Z1345" s="1"/>
    </row>
    <row r="1346" ht="18.0" hidden="1" customHeight="1" outlineLevel="1" collapsed="1">
      <c r="A1346" s="1"/>
      <c r="B1346" s="1"/>
      <c r="C1346" s="1"/>
      <c r="D1346" s="1"/>
      <c r="E1346" s="14"/>
      <c r="F1346" s="15"/>
      <c r="G1346" s="16"/>
      <c r="H1346" s="11"/>
      <c r="I1346" s="7"/>
      <c r="J1346" s="7" t="str">
        <f>IFERROR(LET(_xlpm.v,
VLOOKUP($I1346,'用語辞書'!$A:$B,COLUMN('用語辞書'!B$1),FALSE),
IF(_xlpm.v=0,"",_xlpm.v)
),"")</f>
        <v/>
      </c>
      <c r="K1346" s="17"/>
      <c r="L1346" s="17" t="str">
        <f>IF(OR(COUNTIF('クラス'!$A$1:$A$1267,$B1346)&gt;0,$B1346="",$M1346=""),"",True)</f>
        <v/>
      </c>
      <c r="M1346" s="1" t="str">
        <f t="shared" si="24"/>
        <v>存在しない</v>
      </c>
      <c r="N1346" s="1" t="s">
        <v>29</v>
      </c>
      <c r="O1346" s="1"/>
      <c r="P1346" s="11"/>
      <c r="Q1346" s="11"/>
      <c r="R1346" s="11"/>
      <c r="S1346" s="11"/>
      <c r="T1346" s="1"/>
      <c r="U1346" s="1"/>
      <c r="V1346" s="1"/>
      <c r="W1346" s="1"/>
      <c r="X1346" s="1"/>
      <c r="Y1346" s="1"/>
      <c r="Z1346" s="1"/>
    </row>
    <row r="1347" ht="18.0" hidden="1" customHeight="1" outlineLevel="1">
      <c r="A1347" s="1"/>
      <c r="B1347" s="26" t="s">
        <v>1656</v>
      </c>
      <c r="C1347" s="1"/>
      <c r="D1347" s="1"/>
      <c r="E1347" s="14"/>
      <c r="F1347" s="15"/>
      <c r="G1347" s="16"/>
      <c r="H1347" s="11"/>
      <c r="I1347" s="7"/>
      <c r="J1347" s="7" t="str">
        <f>IFERROR(LET(_xlpm.v,
VLOOKUP($I1347,'用語辞書'!$A:$B,COLUMN('用語辞書'!B$1),FALSE),
IF(_xlpm.v=0,"",_xlpm.v)
),"")</f>
        <v/>
      </c>
      <c r="K1347" s="17"/>
      <c r="L1347" s="17" t="str">
        <f>IF(OR(COUNTIF('クラス'!$A$1:$A$1267,$B1347)&gt;0,$B1347="",$M1347=""),"",True)</f>
        <v/>
      </c>
      <c r="M1347" s="1" t="str">
        <f t="shared" si="24"/>
        <v>存在しない</v>
      </c>
      <c r="N1347" s="1" t="s">
        <v>29</v>
      </c>
      <c r="O1347" s="1"/>
      <c r="P1347" s="11"/>
      <c r="Q1347" s="11"/>
      <c r="R1347" s="11"/>
      <c r="S1347" s="11"/>
      <c r="T1347" s="1"/>
      <c r="U1347" s="1"/>
      <c r="V1347" s="1"/>
      <c r="W1347" s="1"/>
      <c r="X1347" s="1"/>
      <c r="Y1347" s="1"/>
      <c r="Z1347" s="1"/>
    </row>
    <row r="1348" ht="18.0" hidden="1" customHeight="1" outlineLevel="1">
      <c r="A1348" s="1">
        <v>1.0</v>
      </c>
      <c r="B1348" s="26" t="s">
        <v>1657</v>
      </c>
      <c r="C1348" s="1"/>
      <c r="D1348" s="1"/>
      <c r="E1348" s="14" t="s">
        <v>33</v>
      </c>
      <c r="F1348" s="15"/>
      <c r="G1348" s="16">
        <v>50.0</v>
      </c>
      <c r="H1348" s="11" t="s">
        <v>1658</v>
      </c>
      <c r="I1348" s="7"/>
      <c r="J1348" s="7" t="str">
        <f>IFERROR(LET(_xlpm.v,
VLOOKUP($I1348,'用語辞書'!$A:$B,COLUMN('用語辞書'!B$1),FALSE),
IF(_xlpm.v=0,"",_xlpm.v)
),"")</f>
        <v/>
      </c>
      <c r="K1348" s="17"/>
      <c r="L1348" s="17" t="b">
        <f>IF(OR(COUNTIF('クラス'!$A$1:$A$1267,$B1348)&gt;0,$B1348="",$M1348=""),"",True)</f>
        <v>1</v>
      </c>
      <c r="M1348" s="1" t="str">
        <f t="shared" si="24"/>
        <v>存在しない</v>
      </c>
      <c r="N1348" s="1" t="s">
        <v>29</v>
      </c>
      <c r="O1348" s="1"/>
      <c r="P1348" s="11"/>
      <c r="Q1348" s="11"/>
      <c r="R1348" s="11"/>
      <c r="S1348" s="11"/>
      <c r="T1348" s="1"/>
      <c r="U1348" s="1"/>
      <c r="V1348" s="1"/>
      <c r="W1348" s="1"/>
      <c r="X1348" s="1"/>
      <c r="Y1348" s="1"/>
      <c r="Z1348" s="1"/>
    </row>
    <row r="1349" ht="18.0" hidden="1" customHeight="1" outlineLevel="2">
      <c r="A1349" s="1">
        <v>2.0</v>
      </c>
      <c r="B1349" s="26" t="s">
        <v>1659</v>
      </c>
      <c r="C1349" s="1"/>
      <c r="D1349" s="1"/>
      <c r="E1349" s="14" t="s">
        <v>33</v>
      </c>
      <c r="F1349" s="15"/>
      <c r="G1349" s="16">
        <v>50.0</v>
      </c>
      <c r="H1349" s="11" t="s">
        <v>1660</v>
      </c>
      <c r="I1349" s="7"/>
      <c r="J1349" s="7" t="str">
        <f>IFERROR(LET(_xlpm.v,
VLOOKUP($I1349,'用語辞書'!$A:$B,COLUMN('用語辞書'!B$1),FALSE),
IF(_xlpm.v=0,"",_xlpm.v)
),"")</f>
        <v/>
      </c>
      <c r="K1349" s="17"/>
      <c r="L1349" s="17" t="b">
        <f>IF(OR(COUNTIF('クラス'!$A$1:$A$1267,$B1349)&gt;0,$B1349="",$M1349=""),"",True)</f>
        <v>1</v>
      </c>
      <c r="M1349" s="1" t="str">
        <f t="shared" si="24"/>
        <v>存在しない</v>
      </c>
      <c r="N1349" s="1" t="s">
        <v>29</v>
      </c>
      <c r="O1349" s="1"/>
      <c r="P1349" s="11"/>
      <c r="Q1349" s="11"/>
      <c r="R1349" s="11"/>
      <c r="S1349" s="11"/>
      <c r="T1349" s="1"/>
      <c r="U1349" s="1"/>
      <c r="V1349" s="1"/>
      <c r="W1349" s="1"/>
      <c r="X1349" s="1"/>
      <c r="Y1349" s="1"/>
      <c r="Z1349" s="1"/>
    </row>
    <row r="1350" ht="18.0" hidden="1" customHeight="1" outlineLevel="2">
      <c r="A1350" s="1">
        <v>3.0</v>
      </c>
      <c r="B1350" s="26" t="s">
        <v>1661</v>
      </c>
      <c r="C1350" s="1"/>
      <c r="D1350" s="1"/>
      <c r="E1350" s="29" t="s">
        <v>55</v>
      </c>
      <c r="F1350" s="15"/>
      <c r="G1350" s="30"/>
      <c r="H1350" s="22" t="s">
        <v>1602</v>
      </c>
      <c r="I1350" s="7"/>
      <c r="J1350" s="7" t="str">
        <f>IFERROR(LET(_xlpm.v,
VLOOKUP($I1350,'用語辞書'!$A:$B,COLUMN('用語辞書'!B$1),FALSE),
IF(_xlpm.v=0,"",_xlpm.v)
),"")</f>
        <v/>
      </c>
      <c r="K1350" s="17"/>
      <c r="L1350" s="17" t="b">
        <f>IF(OR(COUNTIF('クラス'!$A$1:$A$1267,$B1350)&gt;0,$B1350="",$M1350=""),"",True)</f>
        <v>1</v>
      </c>
      <c r="M1350" s="1" t="str">
        <f t="shared" si="24"/>
        <v>存在しない</v>
      </c>
      <c r="N1350" s="1" t="s">
        <v>29</v>
      </c>
      <c r="O1350" s="1"/>
      <c r="P1350" s="11"/>
      <c r="Q1350" s="11"/>
      <c r="R1350" s="11"/>
      <c r="S1350" s="11"/>
      <c r="T1350" s="1"/>
      <c r="U1350" s="1"/>
      <c r="V1350" s="1"/>
      <c r="W1350" s="1"/>
      <c r="X1350" s="1"/>
      <c r="Y1350" s="1"/>
      <c r="Z1350" s="1"/>
    </row>
    <row r="1351" ht="18.0" hidden="1" customHeight="1" outlineLevel="2">
      <c r="A1351" s="1">
        <v>4.0</v>
      </c>
      <c r="B1351" s="26" t="s">
        <v>1662</v>
      </c>
      <c r="C1351" s="1"/>
      <c r="D1351" s="1"/>
      <c r="E1351" s="29" t="s">
        <v>55</v>
      </c>
      <c r="F1351" s="15"/>
      <c r="G1351" s="16"/>
      <c r="H1351" s="22" t="s">
        <v>1604</v>
      </c>
      <c r="I1351" s="7"/>
      <c r="J1351" s="7" t="str">
        <f>IFERROR(LET(_xlpm.v,
VLOOKUP($I1351,'用語辞書'!$A:$B,COLUMN('用語辞書'!B$1),FALSE),
IF(_xlpm.v=0,"",_xlpm.v)
),"")</f>
        <v/>
      </c>
      <c r="K1351" s="17"/>
      <c r="L1351" s="17" t="b">
        <f>IF(OR(COUNTIF('クラス'!$A$1:$A$1267,$B1351)&gt;0,$B1351="",$M1351=""),"",True)</f>
        <v>1</v>
      </c>
      <c r="M1351" s="1" t="str">
        <f t="shared" si="24"/>
        <v>存在しない</v>
      </c>
      <c r="N1351" s="1" t="s">
        <v>29</v>
      </c>
      <c r="O1351" s="1"/>
      <c r="P1351" s="11"/>
      <c r="Q1351" s="11"/>
      <c r="R1351" s="11"/>
      <c r="S1351" s="11"/>
      <c r="T1351" s="1"/>
      <c r="U1351" s="1"/>
      <c r="V1351" s="1"/>
      <c r="W1351" s="1"/>
      <c r="X1351" s="1"/>
      <c r="Y1351" s="1"/>
      <c r="Z1351" s="1"/>
    </row>
    <row r="1352" ht="18.0" hidden="1" customHeight="1" outlineLevel="2">
      <c r="A1352" s="1">
        <v>5.0</v>
      </c>
      <c r="B1352" s="26" t="s">
        <v>1606</v>
      </c>
      <c r="C1352" s="1"/>
      <c r="D1352" s="1"/>
      <c r="E1352" s="14"/>
      <c r="F1352" s="15"/>
      <c r="G1352" s="16"/>
      <c r="H1352" s="11"/>
      <c r="I1352" s="7"/>
      <c r="J1352" s="7" t="str">
        <f>IFERROR(LET(_xlpm.v,
VLOOKUP($I1352,'用語辞書'!$A:$B,COLUMN('用語辞書'!B$1),FALSE),
IF(_xlpm.v=0,"",_xlpm.v)
),"")</f>
        <v/>
      </c>
      <c r="K1352" s="17"/>
      <c r="L1352" s="17" t="str">
        <f>IF(OR(COUNTIF('クラス'!$A$1:$A$1267,$B1352)&gt;0,$B1352="",$M1352=""),"",True)</f>
        <v/>
      </c>
      <c r="M1352" s="1" t="str">
        <f t="shared" si="24"/>
        <v/>
      </c>
      <c r="N1352" s="1" t="s">
        <v>29</v>
      </c>
      <c r="O1352" s="1"/>
      <c r="P1352" s="11"/>
      <c r="Q1352" s="11"/>
      <c r="R1352" s="11"/>
      <c r="S1352" s="11"/>
      <c r="T1352" s="1"/>
      <c r="U1352" s="1"/>
      <c r="V1352" s="1"/>
      <c r="W1352" s="1"/>
      <c r="X1352" s="1"/>
      <c r="Y1352" s="1"/>
      <c r="Z1352" s="1"/>
    </row>
    <row r="1353" ht="18.0" hidden="1" customHeight="1" outlineLevel="2">
      <c r="A1353" s="1">
        <v>6.0</v>
      </c>
      <c r="B1353" s="26"/>
      <c r="C1353" s="1"/>
      <c r="D1353" s="1"/>
      <c r="E1353" s="14"/>
      <c r="F1353" s="15"/>
      <c r="G1353" s="16"/>
      <c r="H1353" s="11"/>
      <c r="I1353" s="7"/>
      <c r="J1353" s="7" t="str">
        <f>IFERROR(LET(_xlpm.v,
VLOOKUP($I1353,'用語辞書'!$A:$B,COLUMN('用語辞書'!B$1),FALSE),
IF(_xlpm.v=0,"",_xlpm.v)
),"")</f>
        <v/>
      </c>
      <c r="K1353" s="17"/>
      <c r="L1353" s="17" t="str">
        <f>IF(OR(COUNTIF('クラス'!$A$1:$A$1267,$B1353)&gt;0,$B1353="",$M1353=""),"",True)</f>
        <v/>
      </c>
      <c r="M1353" s="1" t="str">
        <f t="shared" si="24"/>
        <v>存在しない</v>
      </c>
      <c r="N1353" s="1" t="s">
        <v>29</v>
      </c>
      <c r="O1353" s="1"/>
      <c r="P1353" s="11"/>
      <c r="Q1353" s="11"/>
      <c r="R1353" s="11"/>
      <c r="S1353" s="11"/>
      <c r="T1353" s="1"/>
      <c r="U1353" s="1"/>
      <c r="V1353" s="1"/>
      <c r="W1353" s="1"/>
      <c r="X1353" s="1"/>
      <c r="Y1353" s="1"/>
      <c r="Z1353" s="1"/>
    </row>
    <row r="1354" ht="18.0" hidden="1" customHeight="1" outlineLevel="2">
      <c r="A1354" s="1">
        <v>7.0</v>
      </c>
      <c r="B1354" s="1" t="s">
        <v>1607</v>
      </c>
      <c r="C1354" s="1"/>
      <c r="D1354" s="1"/>
      <c r="E1354" s="14"/>
      <c r="F1354" s="15"/>
      <c r="G1354" s="16"/>
      <c r="H1354" s="11"/>
      <c r="I1354" s="7"/>
      <c r="J1354" s="7" t="str">
        <f>IFERROR(LET(_xlpm.v,
VLOOKUP($I1354,'用語辞書'!$A:$B,COLUMN('用語辞書'!B$1),FALSE),
IF(_xlpm.v=0,"",_xlpm.v)
),"")</f>
        <v/>
      </c>
      <c r="K1354" s="17"/>
      <c r="L1354" s="17" t="str">
        <f>IF(OR(COUNTIF('クラス'!$A$1:$A$1267,$B1354)&gt;0,$B1354="",$M1354=""),"",True)</f>
        <v/>
      </c>
      <c r="M1354" s="1" t="str">
        <f t="shared" si="24"/>
        <v/>
      </c>
      <c r="N1354" s="1" t="s">
        <v>29</v>
      </c>
      <c r="O1354" s="1"/>
      <c r="P1354" s="11"/>
      <c r="Q1354" s="11"/>
      <c r="R1354" s="11"/>
      <c r="S1354" s="11"/>
      <c r="T1354" s="1"/>
      <c r="U1354" s="1"/>
      <c r="V1354" s="1"/>
      <c r="W1354" s="1"/>
      <c r="X1354" s="1"/>
      <c r="Y1354" s="1"/>
      <c r="Z1354" s="1"/>
    </row>
    <row r="1355" ht="18.0" hidden="1" customHeight="1" outlineLevel="2">
      <c r="A1355" s="1">
        <v>8.0</v>
      </c>
      <c r="B1355" s="26"/>
      <c r="C1355" s="1"/>
      <c r="D1355" s="1"/>
      <c r="E1355" s="14"/>
      <c r="F1355" s="15"/>
      <c r="G1355" s="16"/>
      <c r="H1355" s="11"/>
      <c r="I1355" s="7"/>
      <c r="J1355" s="7" t="str">
        <f>IFERROR(LET(_xlpm.v,
VLOOKUP($I1355,'用語辞書'!$A:$B,COLUMN('用語辞書'!B$1),FALSE),
IF(_xlpm.v=0,"",_xlpm.v)
),"")</f>
        <v/>
      </c>
      <c r="K1355" s="17"/>
      <c r="L1355" s="17" t="str">
        <f>IF(OR(COUNTIF('クラス'!$A$1:$A$1267,$B1355)&gt;0,$B1355="",$M1355=""),"",True)</f>
        <v/>
      </c>
      <c r="M1355" s="1" t="str">
        <f t="shared" si="24"/>
        <v>存在しない</v>
      </c>
      <c r="N1355" s="1" t="s">
        <v>29</v>
      </c>
      <c r="O1355" s="1"/>
      <c r="P1355" s="11"/>
      <c r="Q1355" s="11"/>
      <c r="R1355" s="11"/>
      <c r="S1355" s="11"/>
      <c r="T1355" s="1"/>
      <c r="U1355" s="1"/>
      <c r="V1355" s="1"/>
      <c r="W1355" s="1"/>
      <c r="X1355" s="1"/>
      <c r="Y1355" s="1"/>
      <c r="Z1355" s="1"/>
    </row>
    <row r="1356" ht="18.0" hidden="1" customHeight="1" outlineLevel="2">
      <c r="A1356" s="1">
        <v>9.0</v>
      </c>
      <c r="B1356" s="1"/>
      <c r="C1356" s="1"/>
      <c r="D1356" s="1"/>
      <c r="E1356" s="14"/>
      <c r="F1356" s="15"/>
      <c r="G1356" s="16"/>
      <c r="H1356" s="11"/>
      <c r="I1356" s="7"/>
      <c r="J1356" s="7" t="str">
        <f>IFERROR(LET(_xlpm.v,
VLOOKUP($I1356,'用語辞書'!$A:$B,COLUMN('用語辞書'!B$1),FALSE),
IF(_xlpm.v=0,"",_xlpm.v)
),"")</f>
        <v/>
      </c>
      <c r="K1356" s="17"/>
      <c r="L1356" s="17" t="str">
        <f>IF(OR(COUNTIF('クラス'!$A$1:$A$1267,$B1356)&gt;0,$B1356="",$M1356=""),"",True)</f>
        <v/>
      </c>
      <c r="M1356" s="1" t="str">
        <f t="shared" si="24"/>
        <v>存在しない</v>
      </c>
      <c r="N1356" s="1" t="s">
        <v>29</v>
      </c>
      <c r="O1356" s="1"/>
      <c r="P1356" s="11"/>
      <c r="Q1356" s="11"/>
      <c r="R1356" s="11"/>
      <c r="S1356" s="11"/>
      <c r="T1356" s="1"/>
      <c r="U1356" s="1"/>
      <c r="V1356" s="1"/>
      <c r="W1356" s="1"/>
      <c r="X1356" s="1"/>
      <c r="Y1356" s="1"/>
      <c r="Z1356" s="1"/>
    </row>
    <row r="1357" ht="18.0" hidden="1" customHeight="1" outlineLevel="2">
      <c r="A1357" s="1">
        <v>10.0</v>
      </c>
      <c r="B1357" s="1"/>
      <c r="C1357" s="1"/>
      <c r="D1357" s="1"/>
      <c r="E1357" s="14"/>
      <c r="F1357" s="15"/>
      <c r="G1357" s="16"/>
      <c r="H1357" s="11"/>
      <c r="I1357" s="7"/>
      <c r="J1357" s="7" t="str">
        <f>IFERROR(LET(_xlpm.v,
VLOOKUP($I1357,'用語辞書'!$A:$B,COLUMN('用語辞書'!B$1),FALSE),
IF(_xlpm.v=0,"",_xlpm.v)
),"")</f>
        <v/>
      </c>
      <c r="K1357" s="17"/>
      <c r="L1357" s="17" t="str">
        <f>IF(OR(COUNTIF('クラス'!$A$1:$A$1267,$B1357)&gt;0,$B1357="",$M1357=""),"",True)</f>
        <v/>
      </c>
      <c r="M1357" s="1" t="str">
        <f t="shared" si="24"/>
        <v>存在しない</v>
      </c>
      <c r="N1357" s="1" t="s">
        <v>29</v>
      </c>
      <c r="O1357" s="1"/>
      <c r="P1357" s="11"/>
      <c r="Q1357" s="11"/>
      <c r="R1357" s="11"/>
      <c r="S1357" s="11"/>
      <c r="T1357" s="1"/>
      <c r="U1357" s="1"/>
      <c r="V1357" s="1"/>
      <c r="W1357" s="1"/>
      <c r="X1357" s="1"/>
      <c r="Y1357" s="1"/>
      <c r="Z1357" s="1"/>
    </row>
    <row r="1358" ht="18.0" hidden="1" customHeight="1" outlineLevel="2">
      <c r="A1358" s="1"/>
      <c r="B1358" s="1"/>
      <c r="C1358" s="1"/>
      <c r="D1358" s="1"/>
      <c r="E1358" s="14"/>
      <c r="F1358" s="15"/>
      <c r="G1358" s="16"/>
      <c r="H1358" s="11"/>
      <c r="I1358" s="7"/>
      <c r="J1358" s="7" t="str">
        <f>IFERROR(LET(_xlpm.v,
VLOOKUP($I1358,'用語辞書'!$A:$B,COLUMN('用語辞書'!B$1),FALSE),
IF(_xlpm.v=0,"",_xlpm.v)
),"")</f>
        <v/>
      </c>
      <c r="K1358" s="17"/>
      <c r="L1358" s="17" t="str">
        <f>IF(OR(COUNTIF('クラス'!$A$1:$A$1267,$B1358)&gt;0,$B1358="",$M1358=""),"",True)</f>
        <v/>
      </c>
      <c r="M1358" s="1" t="str">
        <f t="shared" si="24"/>
        <v>存在しない</v>
      </c>
      <c r="N1358" s="1" t="s">
        <v>29</v>
      </c>
      <c r="O1358" s="1"/>
      <c r="P1358" s="11"/>
      <c r="Q1358" s="11"/>
      <c r="R1358" s="11"/>
      <c r="S1358" s="11"/>
      <c r="T1358" s="1"/>
      <c r="U1358" s="1"/>
      <c r="V1358" s="1"/>
      <c r="W1358" s="1"/>
      <c r="X1358" s="1"/>
      <c r="Y1358" s="1"/>
      <c r="Z1358" s="1"/>
    </row>
    <row r="1359" ht="18.0" hidden="1" customHeight="1" outlineLevel="1" collapsed="1">
      <c r="A1359" s="1"/>
      <c r="B1359" s="1"/>
      <c r="C1359" s="1"/>
      <c r="D1359" s="1"/>
      <c r="E1359" s="14"/>
      <c r="F1359" s="15"/>
      <c r="G1359" s="16"/>
      <c r="H1359" s="11"/>
      <c r="I1359" s="7"/>
      <c r="J1359" s="7" t="str">
        <f>IFERROR(LET(_xlpm.v,
VLOOKUP($I1359,'用語辞書'!$A:$B,COLUMN('用語辞書'!B$1),FALSE),
IF(_xlpm.v=0,"",_xlpm.v)
),"")</f>
        <v/>
      </c>
      <c r="K1359" s="17"/>
      <c r="L1359" s="17" t="str">
        <f>IF(OR(COUNTIF('クラス'!$A$1:$A$1267,$B1359)&gt;0,$B1359="",$M1359=""),"",True)</f>
        <v/>
      </c>
      <c r="M1359" s="1" t="str">
        <f t="shared" si="24"/>
        <v>存在しない</v>
      </c>
      <c r="N1359" s="1" t="s">
        <v>29</v>
      </c>
      <c r="O1359" s="1"/>
      <c r="P1359" s="11"/>
      <c r="Q1359" s="11"/>
      <c r="R1359" s="11"/>
      <c r="S1359" s="11"/>
      <c r="T1359" s="1"/>
      <c r="U1359" s="1"/>
      <c r="V1359" s="1"/>
      <c r="W1359" s="1"/>
      <c r="X1359" s="1"/>
      <c r="Y1359" s="1"/>
      <c r="Z1359" s="1"/>
    </row>
    <row r="1360" ht="18.0" customHeight="1" collapsed="1">
      <c r="A1360" s="1"/>
      <c r="B1360" s="1"/>
      <c r="C1360" s="1" t="s">
        <v>1663</v>
      </c>
      <c r="D1360" s="1"/>
      <c r="E1360" s="14"/>
      <c r="F1360" s="15"/>
      <c r="G1360" s="16"/>
      <c r="H1360" s="11"/>
      <c r="I1360" s="7"/>
      <c r="J1360" s="7" t="str">
        <f>IFERROR(LET(_xlpm.v,
VLOOKUP($I1360,'用語辞書'!$A:$B,COLUMN('用語辞書'!B$1),FALSE),
IF(_xlpm.v=0,"",_xlpm.v)
),"")</f>
        <v/>
      </c>
      <c r="K1360" s="17"/>
      <c r="L1360" s="17" t="str">
        <f>IF(OR(COUNTIF('クラス'!$A$1:$A$1267,$B1360)&gt;0,$B1360="",$M1360=""),"",True)</f>
        <v/>
      </c>
      <c r="M1360" s="1" t="str">
        <f>IF(COUNTIF($B$1:$C1150, $B1360), "", "存在しない")</f>
        <v>存在しない</v>
      </c>
      <c r="N1360" s="1" t="s">
        <v>29</v>
      </c>
      <c r="O1360" s="1"/>
      <c r="P1360" s="11"/>
      <c r="Q1360" s="11"/>
      <c r="R1360" s="11"/>
      <c r="S1360" s="11"/>
      <c r="T1360" s="1"/>
      <c r="U1360" s="1"/>
      <c r="V1360" s="1"/>
      <c r="W1360" s="1"/>
      <c r="X1360" s="1"/>
      <c r="Y1360" s="1"/>
      <c r="Z1360" s="1"/>
    </row>
    <row r="1361" ht="18.0" hidden="1" customHeight="1" outlineLevel="1">
      <c r="A1361" s="1"/>
      <c r="B1361" s="26" t="s">
        <v>1664</v>
      </c>
      <c r="C1361" s="1"/>
      <c r="D1361" s="1"/>
      <c r="E1361" s="14"/>
      <c r="F1361" s="15"/>
      <c r="G1361" s="16"/>
      <c r="H1361" s="11"/>
      <c r="I1361" s="7"/>
      <c r="J1361" s="7" t="str">
        <f>IFERROR(LET(_xlpm.v,
VLOOKUP($I1361,'用語辞書'!$A:$B,COLUMN('用語辞書'!B$1),FALSE),
IF(_xlpm.v=0,"",_xlpm.v)
),"")</f>
        <v/>
      </c>
      <c r="K1361" s="17"/>
      <c r="L1361" s="17" t="str">
        <f>IF(OR(COUNTIF('クラス'!$A$1:$A$1267,$B1361)&gt;0,$B1361="",$M1361=""),"",True)</f>
        <v/>
      </c>
      <c r="M1361" s="1" t="str">
        <f t="shared" ref="M1361:M1451" si="25">IF(COUNTIF($B$1:$C1360, $B1361), "", "存在しない")</f>
        <v>存在しない</v>
      </c>
      <c r="N1361" s="1" t="s">
        <v>29</v>
      </c>
      <c r="O1361" s="1"/>
      <c r="P1361" s="11"/>
      <c r="Q1361" s="11"/>
      <c r="R1361" s="11"/>
      <c r="S1361" s="11"/>
      <c r="T1361" s="1"/>
      <c r="U1361" s="1"/>
      <c r="V1361" s="1"/>
      <c r="W1361" s="1"/>
      <c r="X1361" s="1"/>
      <c r="Y1361" s="1"/>
      <c r="Z1361" s="1"/>
    </row>
    <row r="1362" ht="18.0" hidden="1" customHeight="1" outlineLevel="2">
      <c r="A1362" s="1">
        <v>1.0</v>
      </c>
      <c r="B1362" s="26" t="s">
        <v>1665</v>
      </c>
      <c r="C1362" s="1"/>
      <c r="D1362" s="1"/>
      <c r="E1362" s="14" t="s">
        <v>33</v>
      </c>
      <c r="F1362" s="15"/>
      <c r="G1362" s="16"/>
      <c r="H1362" s="11" t="s">
        <v>1666</v>
      </c>
      <c r="I1362" s="7"/>
      <c r="J1362" s="7" t="str">
        <f>IFERROR(LET(_xlpm.v,
VLOOKUP($I1362,'用語辞書'!$A:$B,COLUMN('用語辞書'!B$1),FALSE),
IF(_xlpm.v=0,"",_xlpm.v)
),"")</f>
        <v/>
      </c>
      <c r="K1362" s="17"/>
      <c r="L1362" s="17" t="b">
        <f>IF(OR(COUNTIF('クラス'!$A$1:$A$1267,$B1362)&gt;0,$B1362="",$M1362=""),"",True)</f>
        <v>1</v>
      </c>
      <c r="M1362" s="1" t="str">
        <f t="shared" si="25"/>
        <v>存在しない</v>
      </c>
      <c r="N1362" s="1" t="s">
        <v>29</v>
      </c>
      <c r="O1362" s="1"/>
      <c r="P1362" s="11"/>
      <c r="Q1362" s="11"/>
      <c r="R1362" s="11"/>
      <c r="S1362" s="11"/>
      <c r="T1362" s="1"/>
      <c r="U1362" s="1"/>
      <c r="V1362" s="1"/>
      <c r="W1362" s="1"/>
      <c r="X1362" s="1"/>
      <c r="Y1362" s="1"/>
      <c r="Z1362" s="1"/>
    </row>
    <row r="1363" ht="18.0" hidden="1" customHeight="1" outlineLevel="2">
      <c r="A1363" s="1">
        <v>2.0</v>
      </c>
      <c r="B1363" s="26"/>
      <c r="C1363" s="1"/>
      <c r="D1363" s="1"/>
      <c r="E1363" s="29"/>
      <c r="F1363" s="15"/>
      <c r="G1363" s="30"/>
      <c r="H1363" s="22"/>
      <c r="I1363" s="7"/>
      <c r="J1363" s="7" t="str">
        <f>IFERROR(LET(_xlpm.v,
VLOOKUP($I1363,'用語辞書'!$A:$B,COLUMN('用語辞書'!B$1),FALSE),
IF(_xlpm.v=0,"",_xlpm.v)
),"")</f>
        <v/>
      </c>
      <c r="K1363" s="17"/>
      <c r="L1363" s="17" t="str">
        <f>IF(OR(COUNTIF('クラス'!$A$1:$A$1267,$B1363)&gt;0,$B1363="",$M1363=""),"",True)</f>
        <v/>
      </c>
      <c r="M1363" s="1" t="str">
        <f t="shared" si="25"/>
        <v>存在しない</v>
      </c>
      <c r="N1363" s="1" t="s">
        <v>29</v>
      </c>
      <c r="O1363" s="1"/>
      <c r="P1363" s="11"/>
      <c r="Q1363" s="11"/>
      <c r="R1363" s="11"/>
      <c r="S1363" s="11"/>
      <c r="T1363" s="1"/>
      <c r="U1363" s="1"/>
      <c r="V1363" s="1"/>
      <c r="W1363" s="1"/>
      <c r="X1363" s="1"/>
      <c r="Y1363" s="1"/>
      <c r="Z1363" s="1"/>
    </row>
    <row r="1364" ht="18.0" hidden="1" customHeight="1" outlineLevel="2">
      <c r="A1364" s="1">
        <v>3.0</v>
      </c>
      <c r="B1364" s="26" t="s">
        <v>1667</v>
      </c>
      <c r="C1364" s="1"/>
      <c r="D1364" s="1"/>
      <c r="E1364" s="29" t="s">
        <v>33</v>
      </c>
      <c r="F1364" s="15"/>
      <c r="G1364" s="16"/>
      <c r="H1364" s="22" t="s">
        <v>1668</v>
      </c>
      <c r="I1364" s="7"/>
      <c r="J1364" s="7" t="str">
        <f>IFERROR(LET(_xlpm.v,
VLOOKUP($I1364,'用語辞書'!$A:$B,COLUMN('用語辞書'!B$1),FALSE),
IF(_xlpm.v=0,"",_xlpm.v)
),"")</f>
        <v/>
      </c>
      <c r="K1364" s="17"/>
      <c r="L1364" s="17" t="b">
        <f>IF(OR(COUNTIF('クラス'!$A$1:$A$1267,$B1364)&gt;0,$B1364="",$M1364=""),"",True)</f>
        <v>1</v>
      </c>
      <c r="M1364" s="1" t="str">
        <f t="shared" si="25"/>
        <v>存在しない</v>
      </c>
      <c r="N1364" s="1" t="s">
        <v>29</v>
      </c>
      <c r="O1364" s="1"/>
      <c r="P1364" s="11"/>
      <c r="Q1364" s="11"/>
      <c r="R1364" s="11"/>
      <c r="S1364" s="11"/>
      <c r="T1364" s="1"/>
      <c r="U1364" s="1"/>
      <c r="V1364" s="1"/>
      <c r="W1364" s="1"/>
      <c r="X1364" s="1"/>
      <c r="Y1364" s="1"/>
      <c r="Z1364" s="1"/>
    </row>
    <row r="1365" ht="18.0" hidden="1" customHeight="1" outlineLevel="2">
      <c r="A1365" s="1">
        <v>4.0</v>
      </c>
      <c r="B1365" s="26"/>
      <c r="C1365" s="1"/>
      <c r="D1365" s="1"/>
      <c r="E1365" s="14"/>
      <c r="F1365" s="15"/>
      <c r="G1365" s="16"/>
      <c r="H1365" s="11"/>
      <c r="I1365" s="7"/>
      <c r="J1365" s="7" t="str">
        <f>IFERROR(LET(_xlpm.v,
VLOOKUP($I1365,'用語辞書'!$A:$B,COLUMN('用語辞書'!B$1),FALSE),
IF(_xlpm.v=0,"",_xlpm.v)
),"")</f>
        <v/>
      </c>
      <c r="K1365" s="17"/>
      <c r="L1365" s="17" t="str">
        <f>IF(OR(COUNTIF('クラス'!$A$1:$A$1267,$B1365)&gt;0,$B1365="",$M1365=""),"",True)</f>
        <v/>
      </c>
      <c r="M1365" s="1" t="str">
        <f t="shared" si="25"/>
        <v>存在しない</v>
      </c>
      <c r="N1365" s="1" t="s">
        <v>29</v>
      </c>
      <c r="O1365" s="1"/>
      <c r="P1365" s="11"/>
      <c r="Q1365" s="11"/>
      <c r="R1365" s="11"/>
      <c r="S1365" s="11"/>
      <c r="T1365" s="1"/>
      <c r="U1365" s="1"/>
      <c r="V1365" s="1"/>
      <c r="W1365" s="1"/>
      <c r="X1365" s="1"/>
      <c r="Y1365" s="1"/>
      <c r="Z1365" s="1"/>
    </row>
    <row r="1366" ht="18.0" hidden="1" customHeight="1" outlineLevel="2">
      <c r="A1366" s="1">
        <v>5.0</v>
      </c>
      <c r="B1366" s="26" t="s">
        <v>1669</v>
      </c>
      <c r="C1366" s="1"/>
      <c r="D1366" s="1"/>
      <c r="E1366" s="14" t="s">
        <v>55</v>
      </c>
      <c r="F1366" s="15"/>
      <c r="G1366" s="16"/>
      <c r="H1366" s="11" t="s">
        <v>1670</v>
      </c>
      <c r="I1366" s="7"/>
      <c r="J1366" s="7" t="str">
        <f>IFERROR(LET(_xlpm.v,
VLOOKUP($I1366,'用語辞書'!$A:$B,COLUMN('用語辞書'!B$1),FALSE),
IF(_xlpm.v=0,"",_xlpm.v)
),"")</f>
        <v/>
      </c>
      <c r="K1366" s="17"/>
      <c r="L1366" s="17" t="b">
        <f>IF(OR(COUNTIF('クラス'!$A$1:$A$1267,$B1366)&gt;0,$B1366="",$M1366=""),"",True)</f>
        <v>1</v>
      </c>
      <c r="M1366" s="1" t="str">
        <f t="shared" si="25"/>
        <v>存在しない</v>
      </c>
      <c r="N1366" s="1" t="s">
        <v>29</v>
      </c>
      <c r="O1366" s="1"/>
      <c r="P1366" s="11"/>
      <c r="Q1366" s="11"/>
      <c r="R1366" s="11"/>
      <c r="S1366" s="11"/>
      <c r="T1366" s="1"/>
      <c r="U1366" s="1"/>
      <c r="V1366" s="1"/>
      <c r="W1366" s="1"/>
      <c r="X1366" s="1"/>
      <c r="Y1366" s="1"/>
      <c r="Z1366" s="1"/>
    </row>
    <row r="1367" ht="18.0" hidden="1" customHeight="1" outlineLevel="2">
      <c r="A1367" s="1">
        <v>6.0</v>
      </c>
      <c r="B1367" s="1" t="s">
        <v>35</v>
      </c>
      <c r="C1367" s="1"/>
      <c r="D1367" s="1"/>
      <c r="E1367" s="14"/>
      <c r="F1367" s="15"/>
      <c r="G1367" s="16"/>
      <c r="H1367" s="11"/>
      <c r="I1367" s="7"/>
      <c r="J1367" s="7" t="str">
        <f>IFERROR(LET(_xlpm.v,
VLOOKUP($I1367,'用語辞書'!$A:$B,COLUMN('用語辞書'!B$1),FALSE),
IF(_xlpm.v=0,"",_xlpm.v)
),"")</f>
        <v/>
      </c>
      <c r="K1367" s="17"/>
      <c r="L1367" s="17" t="str">
        <f>IF(OR(COUNTIF('クラス'!$A$1:$A$1267,$B1367)&gt;0,$B1367="",$M1367=""),"",True)</f>
        <v/>
      </c>
      <c r="M1367" s="1" t="str">
        <f t="shared" si="25"/>
        <v/>
      </c>
      <c r="N1367" s="1" t="s">
        <v>29</v>
      </c>
      <c r="O1367" s="1"/>
      <c r="P1367" s="11"/>
      <c r="Q1367" s="11"/>
      <c r="R1367" s="11"/>
      <c r="S1367" s="11"/>
      <c r="T1367" s="1"/>
      <c r="U1367" s="1"/>
      <c r="V1367" s="1"/>
      <c r="W1367" s="1"/>
      <c r="X1367" s="1"/>
      <c r="Y1367" s="1"/>
      <c r="Z1367" s="1"/>
    </row>
    <row r="1368" ht="18.0" hidden="1" customHeight="1" outlineLevel="2">
      <c r="A1368" s="1">
        <v>7.0</v>
      </c>
      <c r="B1368" s="26" t="s">
        <v>1671</v>
      </c>
      <c r="C1368" s="1"/>
      <c r="D1368" s="1"/>
      <c r="E1368" s="14" t="s">
        <v>55</v>
      </c>
      <c r="F1368" s="15"/>
      <c r="G1368" s="16"/>
      <c r="H1368" s="11" t="s">
        <v>1672</v>
      </c>
      <c r="I1368" s="7"/>
      <c r="J1368" s="7" t="str">
        <f>IFERROR(LET(_xlpm.v,
VLOOKUP($I1368,'用語辞書'!$A:$B,COLUMN('用語辞書'!B$1),FALSE),
IF(_xlpm.v=0,"",_xlpm.v)
),"")</f>
        <v/>
      </c>
      <c r="K1368" s="17"/>
      <c r="L1368" s="17" t="b">
        <f>IF(OR(COUNTIF('クラス'!$A$1:$A$1267,$B1368)&gt;0,$B1368="",$M1368=""),"",True)</f>
        <v>1</v>
      </c>
      <c r="M1368" s="1" t="str">
        <f t="shared" si="25"/>
        <v>存在しない</v>
      </c>
      <c r="N1368" s="1" t="s">
        <v>29</v>
      </c>
      <c r="O1368" s="1"/>
      <c r="P1368" s="11"/>
      <c r="Q1368" s="11"/>
      <c r="R1368" s="11"/>
      <c r="S1368" s="11"/>
      <c r="T1368" s="1"/>
      <c r="U1368" s="1"/>
      <c r="V1368" s="1"/>
      <c r="W1368" s="1"/>
      <c r="X1368" s="1"/>
      <c r="Y1368" s="1"/>
      <c r="Z1368" s="1"/>
    </row>
    <row r="1369" ht="18.0" hidden="1" customHeight="1" outlineLevel="2">
      <c r="A1369" s="1">
        <v>8.0</v>
      </c>
      <c r="B1369" s="1"/>
      <c r="C1369" s="1"/>
      <c r="D1369" s="1"/>
      <c r="E1369" s="14"/>
      <c r="F1369" s="15"/>
      <c r="G1369" s="16"/>
      <c r="H1369" s="11"/>
      <c r="I1369" s="7"/>
      <c r="J1369" s="7" t="str">
        <f>IFERROR(LET(_xlpm.v,
VLOOKUP($I1369,'用語辞書'!$A:$B,COLUMN('用語辞書'!B$1),FALSE),
IF(_xlpm.v=0,"",_xlpm.v)
),"")</f>
        <v/>
      </c>
      <c r="K1369" s="17"/>
      <c r="L1369" s="17" t="str">
        <f>IF(OR(COUNTIF('クラス'!$A$1:$A$1267,$B1369)&gt;0,$B1369="",$M1369=""),"",True)</f>
        <v/>
      </c>
      <c r="M1369" s="1" t="str">
        <f t="shared" si="25"/>
        <v>存在しない</v>
      </c>
      <c r="N1369" s="1" t="s">
        <v>29</v>
      </c>
      <c r="O1369" s="1"/>
      <c r="P1369" s="11"/>
      <c r="Q1369" s="11"/>
      <c r="R1369" s="11"/>
      <c r="S1369" s="11"/>
      <c r="T1369" s="1"/>
      <c r="U1369" s="1"/>
      <c r="V1369" s="1"/>
      <c r="W1369" s="1"/>
      <c r="X1369" s="1"/>
      <c r="Y1369" s="1"/>
      <c r="Z1369" s="1"/>
    </row>
    <row r="1370" ht="18.0" hidden="1" customHeight="1" outlineLevel="2">
      <c r="A1370" s="1">
        <v>9.0</v>
      </c>
      <c r="B1370" s="1" t="s">
        <v>1673</v>
      </c>
      <c r="C1370" s="1"/>
      <c r="D1370" s="1"/>
      <c r="E1370" s="14" t="s">
        <v>55</v>
      </c>
      <c r="F1370" s="15"/>
      <c r="G1370" s="16"/>
      <c r="H1370" s="11" t="s">
        <v>1674</v>
      </c>
      <c r="I1370" s="7"/>
      <c r="J1370" s="7" t="str">
        <f>IFERROR(LET(_xlpm.v,
VLOOKUP($I1370,'用語辞書'!$A:$B,COLUMN('用語辞書'!B$1),FALSE),
IF(_xlpm.v=0,"",_xlpm.v)
),"")</f>
        <v/>
      </c>
      <c r="K1370" s="17"/>
      <c r="L1370" s="17" t="b">
        <f>IF(OR(COUNTIF('クラス'!$A$1:$A$1267,$B1370)&gt;0,$B1370="",$M1370=""),"",True)</f>
        <v>1</v>
      </c>
      <c r="M1370" s="1" t="str">
        <f t="shared" si="25"/>
        <v>存在しない</v>
      </c>
      <c r="N1370" s="1" t="s">
        <v>29</v>
      </c>
      <c r="O1370" s="1"/>
      <c r="P1370" s="11"/>
      <c r="Q1370" s="11"/>
      <c r="R1370" s="11"/>
      <c r="S1370" s="11"/>
      <c r="T1370" s="1"/>
      <c r="U1370" s="1"/>
      <c r="V1370" s="1"/>
      <c r="W1370" s="1"/>
      <c r="X1370" s="1"/>
      <c r="Y1370" s="1"/>
      <c r="Z1370" s="1"/>
    </row>
    <row r="1371" ht="18.0" hidden="1" customHeight="1" outlineLevel="2">
      <c r="A1371" s="1">
        <v>10.0</v>
      </c>
      <c r="B1371" s="1"/>
      <c r="C1371" s="1"/>
      <c r="D1371" s="1"/>
      <c r="E1371" s="14"/>
      <c r="F1371" s="15"/>
      <c r="G1371" s="16"/>
      <c r="H1371" s="11"/>
      <c r="I1371" s="7"/>
      <c r="J1371" s="7" t="str">
        <f>IFERROR(LET(_xlpm.v,
VLOOKUP($I1371,'用語辞書'!$A:$B,COLUMN('用語辞書'!B$1),FALSE),
IF(_xlpm.v=0,"",_xlpm.v)
),"")</f>
        <v/>
      </c>
      <c r="K1371" s="17"/>
      <c r="L1371" s="17" t="str">
        <f>IF(OR(COUNTIF('クラス'!$A$1:$A$1267,$B1371)&gt;0,$B1371="",$M1371=""),"",True)</f>
        <v/>
      </c>
      <c r="M1371" s="1" t="str">
        <f t="shared" si="25"/>
        <v>存在しない</v>
      </c>
      <c r="N1371" s="1" t="s">
        <v>29</v>
      </c>
      <c r="O1371" s="1"/>
      <c r="P1371" s="11"/>
      <c r="Q1371" s="11"/>
      <c r="R1371" s="11"/>
      <c r="S1371" s="11"/>
      <c r="T1371" s="1"/>
      <c r="U1371" s="1"/>
      <c r="V1371" s="1"/>
      <c r="W1371" s="1"/>
      <c r="X1371" s="1"/>
      <c r="Y1371" s="1"/>
      <c r="Z1371" s="1"/>
    </row>
    <row r="1372" ht="18.0" hidden="1" customHeight="1" outlineLevel="1" collapsed="1">
      <c r="A1372" s="1"/>
      <c r="B1372" s="1"/>
      <c r="C1372" s="1"/>
      <c r="D1372" s="1"/>
      <c r="E1372" s="14"/>
      <c r="F1372" s="15"/>
      <c r="G1372" s="16"/>
      <c r="H1372" s="11"/>
      <c r="I1372" s="7"/>
      <c r="J1372" s="7" t="str">
        <f>IFERROR(LET(_xlpm.v,
VLOOKUP($I1372,'用語辞書'!$A:$B,COLUMN('用語辞書'!B$1),FALSE),
IF(_xlpm.v=0,"",_xlpm.v)
),"")</f>
        <v/>
      </c>
      <c r="K1372" s="17"/>
      <c r="L1372" s="17" t="str">
        <f>IF(OR(COUNTIF('クラス'!$A$1:$A$1267,$B1372)&gt;0,$B1372="",$M1372=""),"",True)</f>
        <v/>
      </c>
      <c r="M1372" s="1" t="str">
        <f t="shared" si="25"/>
        <v>存在しない</v>
      </c>
      <c r="N1372" s="1" t="s">
        <v>29</v>
      </c>
      <c r="O1372" s="1"/>
      <c r="P1372" s="11"/>
      <c r="Q1372" s="11"/>
      <c r="R1372" s="11"/>
      <c r="S1372" s="11"/>
      <c r="T1372" s="1"/>
      <c r="U1372" s="1"/>
      <c r="V1372" s="1"/>
      <c r="W1372" s="1"/>
      <c r="X1372" s="1"/>
      <c r="Y1372" s="1"/>
      <c r="Z1372" s="1"/>
    </row>
    <row r="1373" ht="18.0" hidden="1" customHeight="1" outlineLevel="1">
      <c r="A1373" s="1"/>
      <c r="B1373" s="1"/>
      <c r="C1373" s="1"/>
      <c r="D1373" s="1"/>
      <c r="E1373" s="14"/>
      <c r="F1373" s="15"/>
      <c r="G1373" s="16"/>
      <c r="H1373" s="11"/>
      <c r="I1373" s="7"/>
      <c r="J1373" s="7" t="str">
        <f>IFERROR(LET(_xlpm.v,
VLOOKUP($I1373,'用語辞書'!$A:$B,COLUMN('用語辞書'!B$1),FALSE),
IF(_xlpm.v=0,"",_xlpm.v)
),"")</f>
        <v/>
      </c>
      <c r="K1373" s="17"/>
      <c r="L1373" s="17" t="str">
        <f>IF(OR(COUNTIF('クラス'!$A$1:$A$1267,$B1373)&gt;0,$B1373="",$M1373=""),"",True)</f>
        <v/>
      </c>
      <c r="M1373" s="1" t="str">
        <f t="shared" si="25"/>
        <v>存在しない</v>
      </c>
      <c r="N1373" s="1" t="s">
        <v>29</v>
      </c>
      <c r="O1373" s="1"/>
      <c r="P1373" s="11"/>
      <c r="Q1373" s="11"/>
      <c r="R1373" s="11"/>
      <c r="S1373" s="11"/>
      <c r="T1373" s="1"/>
      <c r="U1373" s="1"/>
      <c r="V1373" s="1"/>
      <c r="W1373" s="1"/>
      <c r="X1373" s="1"/>
      <c r="Y1373" s="1"/>
      <c r="Z1373" s="1"/>
    </row>
    <row r="1374" ht="18.0" hidden="1" customHeight="1" outlineLevel="1">
      <c r="A1374" s="1"/>
      <c r="B1374" s="26" t="s">
        <v>1675</v>
      </c>
      <c r="C1374" s="1"/>
      <c r="D1374" s="1"/>
      <c r="E1374" s="14"/>
      <c r="F1374" s="15"/>
      <c r="G1374" s="16"/>
      <c r="H1374" s="11"/>
      <c r="I1374" s="7"/>
      <c r="J1374" s="7" t="str">
        <f>IFERROR(LET(_xlpm.v,
VLOOKUP($I1374,'用語辞書'!$A:$B,COLUMN('用語辞書'!B$1),FALSE),
IF(_xlpm.v=0,"",_xlpm.v)
),"")</f>
        <v/>
      </c>
      <c r="K1374" s="17"/>
      <c r="L1374" s="17" t="str">
        <f>IF(OR(COUNTIF('クラス'!$A$1:$A$1267,$B1374)&gt;0,$B1374="",$M1374=""),"",True)</f>
        <v/>
      </c>
      <c r="M1374" s="1" t="str">
        <f t="shared" si="25"/>
        <v>存在しない</v>
      </c>
      <c r="N1374" s="1" t="s">
        <v>29</v>
      </c>
      <c r="O1374" s="1"/>
      <c r="P1374" s="11"/>
      <c r="Q1374" s="11"/>
      <c r="R1374" s="11"/>
      <c r="S1374" s="11"/>
      <c r="T1374" s="1"/>
      <c r="U1374" s="1"/>
      <c r="V1374" s="1"/>
      <c r="W1374" s="1"/>
      <c r="X1374" s="1"/>
      <c r="Y1374" s="1"/>
      <c r="Z1374" s="1"/>
    </row>
    <row r="1375" ht="18.0" hidden="1" customHeight="1" outlineLevel="2">
      <c r="A1375" s="1">
        <v>1.0</v>
      </c>
      <c r="B1375" s="26" t="s">
        <v>1676</v>
      </c>
      <c r="C1375" s="1"/>
      <c r="D1375" s="1"/>
      <c r="E1375" s="14" t="s">
        <v>33</v>
      </c>
      <c r="F1375" s="15"/>
      <c r="G1375" s="16"/>
      <c r="H1375" s="11" t="s">
        <v>1677</v>
      </c>
      <c r="I1375" s="7"/>
      <c r="J1375" s="7" t="str">
        <f>IFERROR(LET(_xlpm.v,
VLOOKUP($I1375,'用語辞書'!$A:$B,COLUMN('用語辞書'!B$1),FALSE),
IF(_xlpm.v=0,"",_xlpm.v)
),"")</f>
        <v/>
      </c>
      <c r="K1375" s="17"/>
      <c r="L1375" s="17" t="b">
        <f>IF(OR(COUNTIF('クラス'!$A$1:$A$1267,$B1375)&gt;0,$B1375="",$M1375=""),"",True)</f>
        <v>1</v>
      </c>
      <c r="M1375" s="1" t="str">
        <f t="shared" si="25"/>
        <v>存在しない</v>
      </c>
      <c r="N1375" s="1" t="s">
        <v>29</v>
      </c>
      <c r="O1375" s="1"/>
      <c r="P1375" s="11"/>
      <c r="Q1375" s="11"/>
      <c r="R1375" s="11"/>
      <c r="S1375" s="11"/>
      <c r="T1375" s="1"/>
      <c r="U1375" s="1"/>
      <c r="V1375" s="1"/>
      <c r="W1375" s="1"/>
      <c r="X1375" s="1"/>
      <c r="Y1375" s="1"/>
      <c r="Z1375" s="1"/>
    </row>
    <row r="1376" ht="18.0" hidden="1" customHeight="1" outlineLevel="2">
      <c r="A1376" s="1">
        <v>2.0</v>
      </c>
      <c r="B1376" s="26"/>
      <c r="C1376" s="1"/>
      <c r="D1376" s="1"/>
      <c r="E1376" s="29"/>
      <c r="F1376" s="15"/>
      <c r="G1376" s="30"/>
      <c r="H1376" s="22"/>
      <c r="I1376" s="7"/>
      <c r="J1376" s="7" t="str">
        <f>IFERROR(LET(_xlpm.v,
VLOOKUP($I1376,'用語辞書'!$A:$B,COLUMN('用語辞書'!B$1),FALSE),
IF(_xlpm.v=0,"",_xlpm.v)
),"")</f>
        <v/>
      </c>
      <c r="K1376" s="17"/>
      <c r="L1376" s="17" t="str">
        <f>IF(OR(COUNTIF('クラス'!$A$1:$A$1267,$B1376)&gt;0,$B1376="",$M1376=""),"",True)</f>
        <v/>
      </c>
      <c r="M1376" s="1" t="str">
        <f t="shared" si="25"/>
        <v>存在しない</v>
      </c>
      <c r="N1376" s="1" t="s">
        <v>29</v>
      </c>
      <c r="O1376" s="1"/>
      <c r="P1376" s="11"/>
      <c r="Q1376" s="11"/>
      <c r="R1376" s="11"/>
      <c r="S1376" s="11"/>
      <c r="T1376" s="1"/>
      <c r="U1376" s="1"/>
      <c r="V1376" s="1"/>
      <c r="W1376" s="1"/>
      <c r="X1376" s="1"/>
      <c r="Y1376" s="1"/>
      <c r="Z1376" s="1"/>
    </row>
    <row r="1377" ht="18.0" hidden="1" customHeight="1" outlineLevel="2">
      <c r="A1377" s="1">
        <v>3.0</v>
      </c>
      <c r="B1377" s="26" t="s">
        <v>1678</v>
      </c>
      <c r="C1377" s="1"/>
      <c r="D1377" s="1"/>
      <c r="E1377" s="29" t="s">
        <v>33</v>
      </c>
      <c r="F1377" s="15"/>
      <c r="G1377" s="16"/>
      <c r="H1377" s="22" t="s">
        <v>1679</v>
      </c>
      <c r="I1377" s="7"/>
      <c r="J1377" s="7" t="str">
        <f>IFERROR(LET(_xlpm.v,
VLOOKUP($I1377,'用語辞書'!$A:$B,COLUMN('用語辞書'!B$1),FALSE),
IF(_xlpm.v=0,"",_xlpm.v)
),"")</f>
        <v/>
      </c>
      <c r="K1377" s="17"/>
      <c r="L1377" s="17" t="b">
        <f>IF(OR(COUNTIF('クラス'!$A$1:$A$1267,$B1377)&gt;0,$B1377="",$M1377=""),"",True)</f>
        <v>1</v>
      </c>
      <c r="M1377" s="1" t="str">
        <f t="shared" si="25"/>
        <v>存在しない</v>
      </c>
      <c r="N1377" s="1" t="s">
        <v>29</v>
      </c>
      <c r="O1377" s="1"/>
      <c r="P1377" s="11"/>
      <c r="Q1377" s="11"/>
      <c r="R1377" s="11"/>
      <c r="S1377" s="11"/>
      <c r="T1377" s="1"/>
      <c r="U1377" s="1"/>
      <c r="V1377" s="1"/>
      <c r="W1377" s="1"/>
      <c r="X1377" s="1"/>
      <c r="Y1377" s="1"/>
      <c r="Z1377" s="1"/>
    </row>
    <row r="1378" ht="18.0" hidden="1" customHeight="1" outlineLevel="2">
      <c r="A1378" s="1">
        <v>4.0</v>
      </c>
      <c r="B1378" s="26"/>
      <c r="C1378" s="1"/>
      <c r="D1378" s="1"/>
      <c r="E1378" s="14"/>
      <c r="F1378" s="15"/>
      <c r="G1378" s="16"/>
      <c r="H1378" s="11"/>
      <c r="I1378" s="7"/>
      <c r="J1378" s="7" t="str">
        <f>IFERROR(LET(_xlpm.v,
VLOOKUP($I1378,'用語辞書'!$A:$B,COLUMN('用語辞書'!B$1),FALSE),
IF(_xlpm.v=0,"",_xlpm.v)
),"")</f>
        <v/>
      </c>
      <c r="K1378" s="17"/>
      <c r="L1378" s="17" t="str">
        <f>IF(OR(COUNTIF('クラス'!$A$1:$A$1267,$B1378)&gt;0,$B1378="",$M1378=""),"",True)</f>
        <v/>
      </c>
      <c r="M1378" s="1" t="str">
        <f t="shared" si="25"/>
        <v>存在しない</v>
      </c>
      <c r="N1378" s="1" t="s">
        <v>29</v>
      </c>
      <c r="O1378" s="1"/>
      <c r="P1378" s="11"/>
      <c r="Q1378" s="11"/>
      <c r="R1378" s="11"/>
      <c r="S1378" s="11"/>
      <c r="T1378" s="1"/>
      <c r="U1378" s="1"/>
      <c r="V1378" s="1"/>
      <c r="W1378" s="1"/>
      <c r="X1378" s="1"/>
      <c r="Y1378" s="1"/>
      <c r="Z1378" s="1"/>
    </row>
    <row r="1379" ht="18.0" hidden="1" customHeight="1" outlineLevel="2">
      <c r="A1379" s="1">
        <v>5.0</v>
      </c>
      <c r="B1379" s="26" t="s">
        <v>1680</v>
      </c>
      <c r="C1379" s="1"/>
      <c r="D1379" s="1"/>
      <c r="E1379" s="14" t="s">
        <v>55</v>
      </c>
      <c r="F1379" s="15"/>
      <c r="G1379" s="16"/>
      <c r="H1379" s="11" t="s">
        <v>1681</v>
      </c>
      <c r="I1379" s="7"/>
      <c r="J1379" s="7" t="str">
        <f>IFERROR(LET(_xlpm.v,
VLOOKUP($I1379,'用語辞書'!$A:$B,COLUMN('用語辞書'!B$1),FALSE),
IF(_xlpm.v=0,"",_xlpm.v)
),"")</f>
        <v/>
      </c>
      <c r="K1379" s="17"/>
      <c r="L1379" s="17" t="b">
        <f>IF(OR(COUNTIF('クラス'!$A$1:$A$1267,$B1379)&gt;0,$B1379="",$M1379=""),"",True)</f>
        <v>1</v>
      </c>
      <c r="M1379" s="1" t="str">
        <f t="shared" si="25"/>
        <v>存在しない</v>
      </c>
      <c r="N1379" s="1" t="s">
        <v>29</v>
      </c>
      <c r="O1379" s="1"/>
      <c r="P1379" s="11"/>
      <c r="Q1379" s="11"/>
      <c r="R1379" s="11"/>
      <c r="S1379" s="11"/>
      <c r="T1379" s="1"/>
      <c r="U1379" s="1"/>
      <c r="V1379" s="1"/>
      <c r="W1379" s="1"/>
      <c r="X1379" s="1"/>
      <c r="Y1379" s="1"/>
      <c r="Z1379" s="1"/>
    </row>
    <row r="1380" ht="18.0" hidden="1" customHeight="1" outlineLevel="2">
      <c r="A1380" s="1">
        <v>6.0</v>
      </c>
      <c r="B1380" s="1" t="s">
        <v>37</v>
      </c>
      <c r="C1380" s="1"/>
      <c r="D1380" s="1"/>
      <c r="E1380" s="14"/>
      <c r="F1380" s="15"/>
      <c r="G1380" s="16"/>
      <c r="H1380" s="11"/>
      <c r="I1380" s="7"/>
      <c r="J1380" s="7" t="str">
        <f>IFERROR(LET(_xlpm.v,
VLOOKUP($I1380,'用語辞書'!$A:$B,COLUMN('用語辞書'!B$1),FALSE),
IF(_xlpm.v=0,"",_xlpm.v)
),"")</f>
        <v/>
      </c>
      <c r="K1380" s="17"/>
      <c r="L1380" s="17" t="str">
        <f>IF(OR(COUNTIF('クラス'!$A$1:$A$1267,$B1380)&gt;0,$B1380="",$M1380=""),"",True)</f>
        <v/>
      </c>
      <c r="M1380" s="1" t="str">
        <f t="shared" si="25"/>
        <v/>
      </c>
      <c r="N1380" s="1" t="s">
        <v>29</v>
      </c>
      <c r="O1380" s="1"/>
      <c r="P1380" s="11"/>
      <c r="Q1380" s="11"/>
      <c r="R1380" s="11"/>
      <c r="S1380" s="11"/>
      <c r="T1380" s="1"/>
      <c r="U1380" s="1"/>
      <c r="V1380" s="1"/>
      <c r="W1380" s="1"/>
      <c r="X1380" s="1"/>
      <c r="Y1380" s="1"/>
      <c r="Z1380" s="1"/>
    </row>
    <row r="1381" ht="18.0" hidden="1" customHeight="1" outlineLevel="2">
      <c r="A1381" s="1">
        <v>7.0</v>
      </c>
      <c r="B1381" s="26" t="s">
        <v>1682</v>
      </c>
      <c r="C1381" s="1"/>
      <c r="D1381" s="1"/>
      <c r="E1381" s="14" t="s">
        <v>55</v>
      </c>
      <c r="F1381" s="15"/>
      <c r="G1381" s="16"/>
      <c r="H1381" s="11" t="s">
        <v>1683</v>
      </c>
      <c r="I1381" s="7"/>
      <c r="J1381" s="7" t="str">
        <f>IFERROR(LET(_xlpm.v,
VLOOKUP($I1381,'用語辞書'!$A:$B,COLUMN('用語辞書'!B$1),FALSE),
IF(_xlpm.v=0,"",_xlpm.v)
),"")</f>
        <v/>
      </c>
      <c r="K1381" s="17"/>
      <c r="L1381" s="17" t="b">
        <f>IF(OR(COUNTIF('クラス'!$A$1:$A$1267,$B1381)&gt;0,$B1381="",$M1381=""),"",True)</f>
        <v>1</v>
      </c>
      <c r="M1381" s="1" t="str">
        <f t="shared" si="25"/>
        <v>存在しない</v>
      </c>
      <c r="N1381" s="1" t="s">
        <v>29</v>
      </c>
      <c r="O1381" s="1"/>
      <c r="P1381" s="11"/>
      <c r="Q1381" s="11"/>
      <c r="R1381" s="11"/>
      <c r="S1381" s="11"/>
      <c r="T1381" s="1"/>
      <c r="U1381" s="1"/>
      <c r="V1381" s="1"/>
      <c r="W1381" s="1"/>
      <c r="X1381" s="1"/>
      <c r="Y1381" s="1"/>
      <c r="Z1381" s="1"/>
    </row>
    <row r="1382" ht="18.0" hidden="1" customHeight="1" outlineLevel="2">
      <c r="A1382" s="1">
        <v>8.0</v>
      </c>
      <c r="B1382" s="1"/>
      <c r="C1382" s="1"/>
      <c r="D1382" s="1"/>
      <c r="E1382" s="14"/>
      <c r="F1382" s="15"/>
      <c r="G1382" s="16"/>
      <c r="H1382" s="11"/>
      <c r="I1382" s="7"/>
      <c r="J1382" s="7" t="str">
        <f>IFERROR(LET(_xlpm.v,
VLOOKUP($I1382,'用語辞書'!$A:$B,COLUMN('用語辞書'!B$1),FALSE),
IF(_xlpm.v=0,"",_xlpm.v)
),"")</f>
        <v/>
      </c>
      <c r="K1382" s="17"/>
      <c r="L1382" s="17" t="str">
        <f>IF(OR(COUNTIF('クラス'!$A$1:$A$1267,$B1382)&gt;0,$B1382="",$M1382=""),"",True)</f>
        <v/>
      </c>
      <c r="M1382" s="1" t="str">
        <f t="shared" si="25"/>
        <v>存在しない</v>
      </c>
      <c r="N1382" s="1" t="s">
        <v>29</v>
      </c>
      <c r="O1382" s="1"/>
      <c r="P1382" s="11"/>
      <c r="Q1382" s="11"/>
      <c r="R1382" s="11"/>
      <c r="S1382" s="11"/>
      <c r="T1382" s="1"/>
      <c r="U1382" s="1"/>
      <c r="V1382" s="1"/>
      <c r="W1382" s="1"/>
      <c r="X1382" s="1"/>
      <c r="Y1382" s="1"/>
      <c r="Z1382" s="1"/>
    </row>
    <row r="1383" ht="18.0" hidden="1" customHeight="1" outlineLevel="2">
      <c r="A1383" s="1">
        <v>9.0</v>
      </c>
      <c r="B1383" s="1" t="s">
        <v>1684</v>
      </c>
      <c r="C1383" s="1"/>
      <c r="D1383" s="1"/>
      <c r="E1383" s="14" t="s">
        <v>55</v>
      </c>
      <c r="F1383" s="15"/>
      <c r="G1383" s="16"/>
      <c r="H1383" s="11" t="s">
        <v>1685</v>
      </c>
      <c r="I1383" s="7"/>
      <c r="J1383" s="7" t="str">
        <f>IFERROR(LET(_xlpm.v,
VLOOKUP($I1383,'用語辞書'!$A:$B,COLUMN('用語辞書'!B$1),FALSE),
IF(_xlpm.v=0,"",_xlpm.v)
),"")</f>
        <v/>
      </c>
      <c r="K1383" s="17"/>
      <c r="L1383" s="17" t="b">
        <f>IF(OR(COUNTIF('クラス'!$A$1:$A$1267,$B1383)&gt;0,$B1383="",$M1383=""),"",True)</f>
        <v>1</v>
      </c>
      <c r="M1383" s="1" t="str">
        <f t="shared" si="25"/>
        <v>存在しない</v>
      </c>
      <c r="N1383" s="1" t="s">
        <v>29</v>
      </c>
      <c r="O1383" s="1"/>
      <c r="P1383" s="11"/>
      <c r="Q1383" s="11"/>
      <c r="R1383" s="11"/>
      <c r="S1383" s="11"/>
      <c r="T1383" s="1"/>
      <c r="U1383" s="1"/>
      <c r="V1383" s="1"/>
      <c r="W1383" s="1"/>
      <c r="X1383" s="1"/>
      <c r="Y1383" s="1"/>
      <c r="Z1383" s="1"/>
    </row>
    <row r="1384" ht="18.0" hidden="1" customHeight="1" outlineLevel="2">
      <c r="A1384" s="1">
        <v>10.0</v>
      </c>
      <c r="B1384" s="1"/>
      <c r="C1384" s="1"/>
      <c r="D1384" s="1"/>
      <c r="E1384" s="14"/>
      <c r="F1384" s="15"/>
      <c r="G1384" s="16"/>
      <c r="H1384" s="11"/>
      <c r="I1384" s="7"/>
      <c r="J1384" s="7" t="str">
        <f>IFERROR(LET(_xlpm.v,
VLOOKUP($I1384,'用語辞書'!$A:$B,COLUMN('用語辞書'!B$1),FALSE),
IF(_xlpm.v=0,"",_xlpm.v)
),"")</f>
        <v/>
      </c>
      <c r="K1384" s="17"/>
      <c r="L1384" s="17" t="str">
        <f>IF(OR(COUNTIF('クラス'!$A$1:$A$1267,$B1384)&gt;0,$B1384="",$M1384=""),"",True)</f>
        <v/>
      </c>
      <c r="M1384" s="1" t="str">
        <f t="shared" si="25"/>
        <v>存在しない</v>
      </c>
      <c r="N1384" s="1" t="s">
        <v>29</v>
      </c>
      <c r="O1384" s="1"/>
      <c r="P1384" s="11"/>
      <c r="Q1384" s="11"/>
      <c r="R1384" s="11"/>
      <c r="S1384" s="11"/>
      <c r="T1384" s="1"/>
      <c r="U1384" s="1"/>
      <c r="V1384" s="1"/>
      <c r="W1384" s="1"/>
      <c r="X1384" s="1"/>
      <c r="Y1384" s="1"/>
      <c r="Z1384" s="1"/>
    </row>
    <row r="1385" ht="18.0" hidden="1" customHeight="1" outlineLevel="1" collapsed="1">
      <c r="A1385" s="1"/>
      <c r="B1385" s="1"/>
      <c r="C1385" s="1"/>
      <c r="D1385" s="1"/>
      <c r="E1385" s="14"/>
      <c r="F1385" s="15"/>
      <c r="G1385" s="16"/>
      <c r="H1385" s="11"/>
      <c r="I1385" s="7"/>
      <c r="J1385" s="7" t="str">
        <f>IFERROR(LET(_xlpm.v,
VLOOKUP($I1385,'用語辞書'!$A:$B,COLUMN('用語辞書'!B$1),FALSE),
IF(_xlpm.v=0,"",_xlpm.v)
),"")</f>
        <v/>
      </c>
      <c r="K1385" s="17"/>
      <c r="L1385" s="17" t="str">
        <f>IF(OR(COUNTIF('クラス'!$A$1:$A$1267,$B1385)&gt;0,$B1385="",$M1385=""),"",True)</f>
        <v/>
      </c>
      <c r="M1385" s="1" t="str">
        <f t="shared" si="25"/>
        <v>存在しない</v>
      </c>
      <c r="N1385" s="1" t="s">
        <v>29</v>
      </c>
      <c r="O1385" s="1"/>
      <c r="P1385" s="11"/>
      <c r="Q1385" s="11"/>
      <c r="R1385" s="11"/>
      <c r="S1385" s="11"/>
      <c r="T1385" s="1"/>
      <c r="U1385" s="1"/>
      <c r="V1385" s="1"/>
      <c r="W1385" s="1"/>
      <c r="X1385" s="1"/>
      <c r="Y1385" s="1"/>
      <c r="Z1385" s="1"/>
    </row>
    <row r="1386" ht="18.0" hidden="1" customHeight="1" outlineLevel="1">
      <c r="A1386" s="1"/>
      <c r="B1386" s="1"/>
      <c r="C1386" s="1"/>
      <c r="D1386" s="1"/>
      <c r="E1386" s="14"/>
      <c r="F1386" s="15"/>
      <c r="G1386" s="16"/>
      <c r="H1386" s="11"/>
      <c r="I1386" s="7"/>
      <c r="J1386" s="7" t="str">
        <f>IFERROR(LET(_xlpm.v,
VLOOKUP($I1386,'用語辞書'!$A:$B,COLUMN('用語辞書'!B$1),FALSE),
IF(_xlpm.v=0,"",_xlpm.v)
),"")</f>
        <v/>
      </c>
      <c r="K1386" s="17"/>
      <c r="L1386" s="17" t="str">
        <f>IF(OR(COUNTIF('クラス'!$A$1:$A$1267,$B1386)&gt;0,$B1386="",$M1386=""),"",True)</f>
        <v/>
      </c>
      <c r="M1386" s="1" t="str">
        <f t="shared" si="25"/>
        <v>存在しない</v>
      </c>
      <c r="N1386" s="1" t="s">
        <v>29</v>
      </c>
      <c r="O1386" s="1"/>
      <c r="P1386" s="11"/>
      <c r="Q1386" s="11"/>
      <c r="R1386" s="11"/>
      <c r="S1386" s="11"/>
      <c r="T1386" s="1"/>
      <c r="U1386" s="1"/>
      <c r="V1386" s="1"/>
      <c r="W1386" s="1"/>
      <c r="X1386" s="1"/>
      <c r="Y1386" s="1"/>
      <c r="Z1386" s="1"/>
    </row>
    <row r="1387" ht="18.0" hidden="1" customHeight="1" outlineLevel="1">
      <c r="A1387" s="1"/>
      <c r="B1387" s="26" t="s">
        <v>1686</v>
      </c>
      <c r="C1387" s="1"/>
      <c r="D1387" s="1"/>
      <c r="E1387" s="14"/>
      <c r="F1387" s="15"/>
      <c r="G1387" s="16"/>
      <c r="H1387" s="11"/>
      <c r="I1387" s="7"/>
      <c r="J1387" s="7" t="str">
        <f>IFERROR(LET(_xlpm.v,
VLOOKUP($I1387,'用語辞書'!$A:$B,COLUMN('用語辞書'!B$1),FALSE),
IF(_xlpm.v=0,"",_xlpm.v)
),"")</f>
        <v/>
      </c>
      <c r="K1387" s="17"/>
      <c r="L1387" s="17" t="str">
        <f>IF(OR(COUNTIF('クラス'!$A$1:$A$1267,$B1387)&gt;0,$B1387="",$M1387=""),"",True)</f>
        <v/>
      </c>
      <c r="M1387" s="1" t="str">
        <f t="shared" si="25"/>
        <v>存在しない</v>
      </c>
      <c r="N1387" s="1" t="s">
        <v>29</v>
      </c>
      <c r="O1387" s="1"/>
      <c r="P1387" s="11"/>
      <c r="Q1387" s="11"/>
      <c r="R1387" s="11"/>
      <c r="S1387" s="11"/>
      <c r="T1387" s="1"/>
      <c r="U1387" s="1"/>
      <c r="V1387" s="1"/>
      <c r="W1387" s="1"/>
      <c r="X1387" s="1"/>
      <c r="Y1387" s="1"/>
      <c r="Z1387" s="1"/>
    </row>
    <row r="1388" ht="18.0" hidden="1" customHeight="1" outlineLevel="2">
      <c r="A1388" s="1">
        <v>1.0</v>
      </c>
      <c r="B1388" s="26" t="s">
        <v>1687</v>
      </c>
      <c r="C1388" s="1"/>
      <c r="D1388" s="1"/>
      <c r="E1388" s="14" t="s">
        <v>33</v>
      </c>
      <c r="F1388" s="15"/>
      <c r="G1388" s="16"/>
      <c r="H1388" s="11" t="s">
        <v>1688</v>
      </c>
      <c r="I1388" s="7"/>
      <c r="J1388" s="7" t="str">
        <f>IFERROR(LET(_xlpm.v,
VLOOKUP($I1388,'用語辞書'!$A:$B,COLUMN('用語辞書'!B$1),FALSE),
IF(_xlpm.v=0,"",_xlpm.v)
),"")</f>
        <v/>
      </c>
      <c r="K1388" s="17"/>
      <c r="L1388" s="17" t="b">
        <f>IF(OR(COUNTIF('クラス'!$A$1:$A$1267,$B1388)&gt;0,$B1388="",$M1388=""),"",True)</f>
        <v>1</v>
      </c>
      <c r="M1388" s="1" t="str">
        <f t="shared" si="25"/>
        <v>存在しない</v>
      </c>
      <c r="N1388" s="1" t="s">
        <v>29</v>
      </c>
      <c r="O1388" s="1"/>
      <c r="P1388" s="11"/>
      <c r="Q1388" s="11"/>
      <c r="R1388" s="11"/>
      <c r="S1388" s="11"/>
      <c r="T1388" s="1"/>
      <c r="U1388" s="1"/>
      <c r="V1388" s="1"/>
      <c r="W1388" s="1"/>
      <c r="X1388" s="1"/>
      <c r="Y1388" s="1"/>
      <c r="Z1388" s="1"/>
    </row>
    <row r="1389" ht="18.0" hidden="1" customHeight="1" outlineLevel="2">
      <c r="A1389" s="1">
        <v>2.0</v>
      </c>
      <c r="B1389" s="26"/>
      <c r="C1389" s="1"/>
      <c r="D1389" s="1"/>
      <c r="E1389" s="29"/>
      <c r="F1389" s="15"/>
      <c r="G1389" s="30"/>
      <c r="H1389" s="22"/>
      <c r="I1389" s="7"/>
      <c r="J1389" s="7" t="str">
        <f>IFERROR(LET(_xlpm.v,
VLOOKUP($I1389,'用語辞書'!$A:$B,COLUMN('用語辞書'!B$1),FALSE),
IF(_xlpm.v=0,"",_xlpm.v)
),"")</f>
        <v/>
      </c>
      <c r="K1389" s="17"/>
      <c r="L1389" s="17" t="str">
        <f>IF(OR(COUNTIF('クラス'!$A$1:$A$1267,$B1389)&gt;0,$B1389="",$M1389=""),"",True)</f>
        <v/>
      </c>
      <c r="M1389" s="1" t="str">
        <f t="shared" si="25"/>
        <v>存在しない</v>
      </c>
      <c r="N1389" s="1" t="s">
        <v>29</v>
      </c>
      <c r="O1389" s="1"/>
      <c r="P1389" s="11"/>
      <c r="Q1389" s="11"/>
      <c r="R1389" s="11"/>
      <c r="S1389" s="11"/>
      <c r="T1389" s="1"/>
      <c r="U1389" s="1"/>
      <c r="V1389" s="1"/>
      <c r="W1389" s="1"/>
      <c r="X1389" s="1"/>
      <c r="Y1389" s="1"/>
      <c r="Z1389" s="1"/>
    </row>
    <row r="1390" ht="18.0" hidden="1" customHeight="1" outlineLevel="2">
      <c r="A1390" s="1">
        <v>3.0</v>
      </c>
      <c r="B1390" s="26" t="s">
        <v>1689</v>
      </c>
      <c r="C1390" s="1"/>
      <c r="D1390" s="1"/>
      <c r="E1390" s="29" t="s">
        <v>33</v>
      </c>
      <c r="F1390" s="15"/>
      <c r="G1390" s="16"/>
      <c r="H1390" s="22" t="s">
        <v>1690</v>
      </c>
      <c r="I1390" s="7"/>
      <c r="J1390" s="7" t="str">
        <f>IFERROR(LET(_xlpm.v,
VLOOKUP($I1390,'用語辞書'!$A:$B,COLUMN('用語辞書'!B$1),FALSE),
IF(_xlpm.v=0,"",_xlpm.v)
),"")</f>
        <v/>
      </c>
      <c r="K1390" s="17"/>
      <c r="L1390" s="17" t="b">
        <f>IF(OR(COUNTIF('クラス'!$A$1:$A$1267,$B1390)&gt;0,$B1390="",$M1390=""),"",True)</f>
        <v>1</v>
      </c>
      <c r="M1390" s="1" t="str">
        <f t="shared" si="25"/>
        <v>存在しない</v>
      </c>
      <c r="N1390" s="1" t="s">
        <v>29</v>
      </c>
      <c r="O1390" s="1"/>
      <c r="P1390" s="11"/>
      <c r="Q1390" s="11"/>
      <c r="R1390" s="11"/>
      <c r="S1390" s="11"/>
      <c r="T1390" s="1"/>
      <c r="U1390" s="1"/>
      <c r="V1390" s="1"/>
      <c r="W1390" s="1"/>
      <c r="X1390" s="1"/>
      <c r="Y1390" s="1"/>
      <c r="Z1390" s="1"/>
    </row>
    <row r="1391" ht="18.0" hidden="1" customHeight="1" outlineLevel="2">
      <c r="A1391" s="1">
        <v>4.0</v>
      </c>
      <c r="B1391" s="26"/>
      <c r="C1391" s="1"/>
      <c r="D1391" s="1"/>
      <c r="E1391" s="14"/>
      <c r="F1391" s="15"/>
      <c r="G1391" s="16"/>
      <c r="H1391" s="11"/>
      <c r="I1391" s="7"/>
      <c r="J1391" s="7" t="str">
        <f>IFERROR(LET(_xlpm.v,
VLOOKUP($I1391,'用語辞書'!$A:$B,COLUMN('用語辞書'!B$1),FALSE),
IF(_xlpm.v=0,"",_xlpm.v)
),"")</f>
        <v/>
      </c>
      <c r="K1391" s="17"/>
      <c r="L1391" s="17" t="str">
        <f>IF(OR(COUNTIF('クラス'!$A$1:$A$1267,$B1391)&gt;0,$B1391="",$M1391=""),"",True)</f>
        <v/>
      </c>
      <c r="M1391" s="1" t="str">
        <f t="shared" si="25"/>
        <v>存在しない</v>
      </c>
      <c r="N1391" s="1" t="s">
        <v>29</v>
      </c>
      <c r="O1391" s="1"/>
      <c r="P1391" s="11"/>
      <c r="Q1391" s="11"/>
      <c r="R1391" s="11"/>
      <c r="S1391" s="11"/>
      <c r="T1391" s="1"/>
      <c r="U1391" s="1"/>
      <c r="V1391" s="1"/>
      <c r="W1391" s="1"/>
      <c r="X1391" s="1"/>
      <c r="Y1391" s="1"/>
      <c r="Z1391" s="1"/>
    </row>
    <row r="1392" ht="18.0" hidden="1" customHeight="1" outlineLevel="2">
      <c r="A1392" s="1">
        <v>5.0</v>
      </c>
      <c r="B1392" s="26" t="s">
        <v>1691</v>
      </c>
      <c r="C1392" s="1"/>
      <c r="D1392" s="1"/>
      <c r="E1392" s="14" t="s">
        <v>55</v>
      </c>
      <c r="F1392" s="15"/>
      <c r="G1392" s="16"/>
      <c r="H1392" s="11" t="s">
        <v>1692</v>
      </c>
      <c r="I1392" s="7"/>
      <c r="J1392" s="7" t="str">
        <f>IFERROR(LET(_xlpm.v,
VLOOKUP($I1392,'用語辞書'!$A:$B,COLUMN('用語辞書'!B$1),FALSE),
IF(_xlpm.v=0,"",_xlpm.v)
),"")</f>
        <v/>
      </c>
      <c r="K1392" s="17"/>
      <c r="L1392" s="17" t="b">
        <f>IF(OR(COUNTIF('クラス'!$A$1:$A$1267,$B1392)&gt;0,$B1392="",$M1392=""),"",True)</f>
        <v>1</v>
      </c>
      <c r="M1392" s="1" t="str">
        <f t="shared" si="25"/>
        <v>存在しない</v>
      </c>
      <c r="N1392" s="1" t="s">
        <v>29</v>
      </c>
      <c r="O1392" s="1"/>
      <c r="P1392" s="11"/>
      <c r="Q1392" s="11"/>
      <c r="R1392" s="11"/>
      <c r="S1392" s="11"/>
      <c r="T1392" s="1"/>
      <c r="U1392" s="1"/>
      <c r="V1392" s="1"/>
      <c r="W1392" s="1"/>
      <c r="X1392" s="1"/>
      <c r="Y1392" s="1"/>
      <c r="Z1392" s="1"/>
    </row>
    <row r="1393" ht="18.0" hidden="1" customHeight="1" outlineLevel="2">
      <c r="A1393" s="1">
        <v>6.0</v>
      </c>
      <c r="B1393" s="1" t="s">
        <v>32</v>
      </c>
      <c r="C1393" s="1"/>
      <c r="D1393" s="1"/>
      <c r="E1393" s="14"/>
      <c r="F1393" s="15"/>
      <c r="G1393" s="16"/>
      <c r="H1393" s="11"/>
      <c r="I1393" s="7"/>
      <c r="J1393" s="7" t="str">
        <f>IFERROR(LET(_xlpm.v,
VLOOKUP($I1393,'用語辞書'!$A:$B,COLUMN('用語辞書'!B$1),FALSE),
IF(_xlpm.v=0,"",_xlpm.v)
),"")</f>
        <v/>
      </c>
      <c r="K1393" s="17"/>
      <c r="L1393" s="17" t="str">
        <f>IF(OR(COUNTIF('クラス'!$A$1:$A$1267,$B1393)&gt;0,$B1393="",$M1393=""),"",True)</f>
        <v/>
      </c>
      <c r="M1393" s="1" t="str">
        <f t="shared" si="25"/>
        <v/>
      </c>
      <c r="N1393" s="1" t="s">
        <v>29</v>
      </c>
      <c r="O1393" s="1"/>
      <c r="P1393" s="11"/>
      <c r="Q1393" s="11"/>
      <c r="R1393" s="11"/>
      <c r="S1393" s="11"/>
      <c r="T1393" s="1"/>
      <c r="U1393" s="1"/>
      <c r="V1393" s="1"/>
      <c r="W1393" s="1"/>
      <c r="X1393" s="1"/>
      <c r="Y1393" s="1"/>
      <c r="Z1393" s="1"/>
    </row>
    <row r="1394" ht="18.0" hidden="1" customHeight="1" outlineLevel="2">
      <c r="A1394" s="1">
        <v>7.0</v>
      </c>
      <c r="B1394" s="26" t="s">
        <v>1693</v>
      </c>
      <c r="C1394" s="1"/>
      <c r="D1394" s="1"/>
      <c r="E1394" s="14" t="s">
        <v>55</v>
      </c>
      <c r="F1394" s="15"/>
      <c r="G1394" s="16"/>
      <c r="H1394" s="11" t="s">
        <v>1694</v>
      </c>
      <c r="I1394" s="7"/>
      <c r="J1394" s="7" t="str">
        <f>IFERROR(LET(_xlpm.v,
VLOOKUP($I1394,'用語辞書'!$A:$B,COLUMN('用語辞書'!B$1),FALSE),
IF(_xlpm.v=0,"",_xlpm.v)
),"")</f>
        <v/>
      </c>
      <c r="K1394" s="17"/>
      <c r="L1394" s="17" t="b">
        <f>IF(OR(COUNTIF('クラス'!$A$1:$A$1267,$B1394)&gt;0,$B1394="",$M1394=""),"",True)</f>
        <v>1</v>
      </c>
      <c r="M1394" s="1" t="str">
        <f t="shared" si="25"/>
        <v>存在しない</v>
      </c>
      <c r="N1394" s="1" t="s">
        <v>29</v>
      </c>
      <c r="O1394" s="1"/>
      <c r="P1394" s="11"/>
      <c r="Q1394" s="11"/>
      <c r="R1394" s="11"/>
      <c r="S1394" s="11"/>
      <c r="T1394" s="1"/>
      <c r="U1394" s="1"/>
      <c r="V1394" s="1"/>
      <c r="W1394" s="1"/>
      <c r="X1394" s="1"/>
      <c r="Y1394" s="1"/>
      <c r="Z1394" s="1"/>
    </row>
    <row r="1395" ht="18.0" hidden="1" customHeight="1" outlineLevel="2">
      <c r="A1395" s="1">
        <v>8.0</v>
      </c>
      <c r="B1395" s="1"/>
      <c r="C1395" s="1"/>
      <c r="D1395" s="1"/>
      <c r="E1395" s="14"/>
      <c r="F1395" s="15"/>
      <c r="G1395" s="16"/>
      <c r="H1395" s="11"/>
      <c r="I1395" s="7"/>
      <c r="J1395" s="7" t="str">
        <f>IFERROR(LET(_xlpm.v,
VLOOKUP($I1395,'用語辞書'!$A:$B,COLUMN('用語辞書'!B$1),FALSE),
IF(_xlpm.v=0,"",_xlpm.v)
),"")</f>
        <v/>
      </c>
      <c r="K1395" s="17"/>
      <c r="L1395" s="17" t="str">
        <f>IF(OR(COUNTIF('クラス'!$A$1:$A$1267,$B1395)&gt;0,$B1395="",$M1395=""),"",True)</f>
        <v/>
      </c>
      <c r="M1395" s="1" t="str">
        <f t="shared" si="25"/>
        <v>存在しない</v>
      </c>
      <c r="N1395" s="1" t="s">
        <v>29</v>
      </c>
      <c r="O1395" s="1"/>
      <c r="P1395" s="11"/>
      <c r="Q1395" s="11"/>
      <c r="R1395" s="11"/>
      <c r="S1395" s="11"/>
      <c r="T1395" s="1"/>
      <c r="U1395" s="1"/>
      <c r="V1395" s="1"/>
      <c r="W1395" s="1"/>
      <c r="X1395" s="1"/>
      <c r="Y1395" s="1"/>
      <c r="Z1395" s="1"/>
    </row>
    <row r="1396" ht="18.0" hidden="1" customHeight="1" outlineLevel="2">
      <c r="A1396" s="1">
        <v>9.0</v>
      </c>
      <c r="B1396" s="1" t="s">
        <v>1695</v>
      </c>
      <c r="C1396" s="1"/>
      <c r="D1396" s="1"/>
      <c r="E1396" s="14" t="s">
        <v>55</v>
      </c>
      <c r="F1396" s="15"/>
      <c r="G1396" s="16"/>
      <c r="H1396" s="11" t="s">
        <v>1696</v>
      </c>
      <c r="I1396" s="7"/>
      <c r="J1396" s="7" t="str">
        <f>IFERROR(LET(_xlpm.v,
VLOOKUP($I1396,'用語辞書'!$A:$B,COLUMN('用語辞書'!B$1),FALSE),
IF(_xlpm.v=0,"",_xlpm.v)
),"")</f>
        <v/>
      </c>
      <c r="K1396" s="17"/>
      <c r="L1396" s="17" t="b">
        <f>IF(OR(COUNTIF('クラス'!$A$1:$A$1267,$B1396)&gt;0,$B1396="",$M1396=""),"",True)</f>
        <v>1</v>
      </c>
      <c r="M1396" s="1" t="str">
        <f t="shared" si="25"/>
        <v>存在しない</v>
      </c>
      <c r="N1396" s="1" t="s">
        <v>29</v>
      </c>
      <c r="O1396" s="1"/>
      <c r="P1396" s="11"/>
      <c r="Q1396" s="11"/>
      <c r="R1396" s="11"/>
      <c r="S1396" s="11"/>
      <c r="T1396" s="1"/>
      <c r="U1396" s="1"/>
      <c r="V1396" s="1"/>
      <c r="W1396" s="1"/>
      <c r="X1396" s="1"/>
      <c r="Y1396" s="1"/>
      <c r="Z1396" s="1"/>
    </row>
    <row r="1397" ht="18.0" hidden="1" customHeight="1" outlineLevel="2">
      <c r="A1397" s="1">
        <v>10.0</v>
      </c>
      <c r="B1397" s="1"/>
      <c r="C1397" s="1"/>
      <c r="D1397" s="1"/>
      <c r="E1397" s="14"/>
      <c r="F1397" s="15"/>
      <c r="G1397" s="16"/>
      <c r="H1397" s="11"/>
      <c r="I1397" s="7"/>
      <c r="J1397" s="7" t="str">
        <f>IFERROR(LET(_xlpm.v,
VLOOKUP($I1397,'用語辞書'!$A:$B,COLUMN('用語辞書'!B$1),FALSE),
IF(_xlpm.v=0,"",_xlpm.v)
),"")</f>
        <v/>
      </c>
      <c r="K1397" s="17"/>
      <c r="L1397" s="17" t="str">
        <f>IF(OR(COUNTIF('クラス'!$A$1:$A$1267,$B1397)&gt;0,$B1397="",$M1397=""),"",True)</f>
        <v/>
      </c>
      <c r="M1397" s="1" t="str">
        <f t="shared" si="25"/>
        <v>存在しない</v>
      </c>
      <c r="N1397" s="1" t="s">
        <v>29</v>
      </c>
      <c r="O1397" s="1"/>
      <c r="P1397" s="11"/>
      <c r="Q1397" s="11"/>
      <c r="R1397" s="11"/>
      <c r="S1397" s="11"/>
      <c r="T1397" s="1"/>
      <c r="U1397" s="1"/>
      <c r="V1397" s="1"/>
      <c r="W1397" s="1"/>
      <c r="X1397" s="1"/>
      <c r="Y1397" s="1"/>
      <c r="Z1397" s="1"/>
    </row>
    <row r="1398" ht="18.0" hidden="1" customHeight="1" outlineLevel="1" collapsed="1">
      <c r="A1398" s="1"/>
      <c r="B1398" s="1"/>
      <c r="C1398" s="1"/>
      <c r="D1398" s="1"/>
      <c r="E1398" s="14"/>
      <c r="F1398" s="15"/>
      <c r="G1398" s="16"/>
      <c r="H1398" s="11"/>
      <c r="I1398" s="7"/>
      <c r="J1398" s="7" t="str">
        <f>IFERROR(LET(_xlpm.v,
VLOOKUP($I1398,'用語辞書'!$A:$B,COLUMN('用語辞書'!B$1),FALSE),
IF(_xlpm.v=0,"",_xlpm.v)
),"")</f>
        <v/>
      </c>
      <c r="K1398" s="17"/>
      <c r="L1398" s="17" t="str">
        <f>IF(OR(COUNTIF('クラス'!$A$1:$A$1267,$B1398)&gt;0,$B1398="",$M1398=""),"",True)</f>
        <v/>
      </c>
      <c r="M1398" s="1" t="str">
        <f t="shared" si="25"/>
        <v>存在しない</v>
      </c>
      <c r="N1398" s="1" t="s">
        <v>29</v>
      </c>
      <c r="O1398" s="1"/>
      <c r="P1398" s="11"/>
      <c r="Q1398" s="11"/>
      <c r="R1398" s="11"/>
      <c r="S1398" s="11"/>
      <c r="T1398" s="1"/>
      <c r="U1398" s="1"/>
      <c r="V1398" s="1"/>
      <c r="W1398" s="1"/>
      <c r="X1398" s="1"/>
      <c r="Y1398" s="1"/>
      <c r="Z1398" s="1"/>
    </row>
    <row r="1399" ht="18.0" hidden="1" customHeight="1" outlineLevel="1">
      <c r="A1399" s="1"/>
      <c r="B1399" s="1"/>
      <c r="C1399" s="1"/>
      <c r="D1399" s="1"/>
      <c r="E1399" s="14"/>
      <c r="F1399" s="15"/>
      <c r="G1399" s="16"/>
      <c r="H1399" s="11"/>
      <c r="I1399" s="7"/>
      <c r="J1399" s="7" t="str">
        <f>IFERROR(LET(_xlpm.v,
VLOOKUP($I1399,'用語辞書'!$A:$B,COLUMN('用語辞書'!B$1),FALSE),
IF(_xlpm.v=0,"",_xlpm.v)
),"")</f>
        <v/>
      </c>
      <c r="K1399" s="17"/>
      <c r="L1399" s="17" t="str">
        <f>IF(OR(COUNTIF('クラス'!$A$1:$A$1267,$B1399)&gt;0,$B1399="",$M1399=""),"",True)</f>
        <v/>
      </c>
      <c r="M1399" s="1" t="str">
        <f t="shared" si="25"/>
        <v>存在しない</v>
      </c>
      <c r="N1399" s="1" t="s">
        <v>29</v>
      </c>
      <c r="O1399" s="1"/>
      <c r="P1399" s="11"/>
      <c r="Q1399" s="11"/>
      <c r="R1399" s="11"/>
      <c r="S1399" s="11"/>
      <c r="T1399" s="1"/>
      <c r="U1399" s="1"/>
      <c r="V1399" s="1"/>
      <c r="W1399" s="1"/>
      <c r="X1399" s="1"/>
      <c r="Y1399" s="1"/>
      <c r="Z1399" s="1"/>
    </row>
    <row r="1400" ht="18.0" hidden="1" customHeight="1" outlineLevel="1">
      <c r="A1400" s="1"/>
      <c r="B1400" s="26" t="s">
        <v>1697</v>
      </c>
      <c r="C1400" s="1"/>
      <c r="D1400" s="1"/>
      <c r="E1400" s="14"/>
      <c r="F1400" s="15"/>
      <c r="G1400" s="16"/>
      <c r="H1400" s="11"/>
      <c r="I1400" s="7"/>
      <c r="J1400" s="7" t="str">
        <f>IFERROR(LET(_xlpm.v,
VLOOKUP($I1400,'用語辞書'!$A:$B,COLUMN('用語辞書'!B$1),FALSE),
IF(_xlpm.v=0,"",_xlpm.v)
),"")</f>
        <v/>
      </c>
      <c r="K1400" s="17"/>
      <c r="L1400" s="17" t="str">
        <f>IF(OR(COUNTIF('クラス'!$A$1:$A$1267,$B1400)&gt;0,$B1400="",$M1400=""),"",True)</f>
        <v/>
      </c>
      <c r="M1400" s="1" t="str">
        <f t="shared" si="25"/>
        <v>存在しない</v>
      </c>
      <c r="N1400" s="1" t="s">
        <v>29</v>
      </c>
      <c r="O1400" s="1"/>
      <c r="P1400" s="11"/>
      <c r="Q1400" s="11"/>
      <c r="R1400" s="11"/>
      <c r="S1400" s="11"/>
      <c r="T1400" s="1"/>
      <c r="U1400" s="1"/>
      <c r="V1400" s="1"/>
      <c r="W1400" s="1"/>
      <c r="X1400" s="1"/>
      <c r="Y1400" s="1"/>
      <c r="Z1400" s="1"/>
    </row>
    <row r="1401" ht="18.0" hidden="1" customHeight="1" outlineLevel="2">
      <c r="A1401" s="1">
        <v>1.0</v>
      </c>
      <c r="B1401" s="26" t="s">
        <v>1698</v>
      </c>
      <c r="C1401" s="1"/>
      <c r="D1401" s="1"/>
      <c r="E1401" s="14" t="s">
        <v>33</v>
      </c>
      <c r="F1401" s="15"/>
      <c r="G1401" s="16"/>
      <c r="H1401" s="11" t="s">
        <v>1699</v>
      </c>
      <c r="I1401" s="7"/>
      <c r="J1401" s="7" t="str">
        <f>IFERROR(LET(_xlpm.v,
VLOOKUP($I1401,'用語辞書'!$A:$B,COLUMN('用語辞書'!B$1),FALSE),
IF(_xlpm.v=0,"",_xlpm.v)
),"")</f>
        <v/>
      </c>
      <c r="K1401" s="17"/>
      <c r="L1401" s="17" t="b">
        <f>IF(OR(COUNTIF('クラス'!$A$1:$A$1267,$B1401)&gt;0,$B1401="",$M1401=""),"",True)</f>
        <v>1</v>
      </c>
      <c r="M1401" s="1" t="str">
        <f t="shared" si="25"/>
        <v>存在しない</v>
      </c>
      <c r="N1401" s="1" t="s">
        <v>29</v>
      </c>
      <c r="O1401" s="1"/>
      <c r="P1401" s="11"/>
      <c r="Q1401" s="11"/>
      <c r="R1401" s="11"/>
      <c r="S1401" s="11"/>
      <c r="T1401" s="1"/>
      <c r="U1401" s="1"/>
      <c r="V1401" s="1"/>
      <c r="W1401" s="1"/>
      <c r="X1401" s="1"/>
      <c r="Y1401" s="1"/>
      <c r="Z1401" s="1"/>
    </row>
    <row r="1402" ht="18.0" hidden="1" customHeight="1" outlineLevel="2">
      <c r="A1402" s="1">
        <v>2.0</v>
      </c>
      <c r="B1402" s="26"/>
      <c r="C1402" s="1"/>
      <c r="D1402" s="1"/>
      <c r="E1402" s="29"/>
      <c r="F1402" s="15"/>
      <c r="G1402" s="30"/>
      <c r="H1402" s="22"/>
      <c r="I1402" s="7"/>
      <c r="J1402" s="7" t="str">
        <f>IFERROR(LET(_xlpm.v,
VLOOKUP($I1402,'用語辞書'!$A:$B,COLUMN('用語辞書'!B$1),FALSE),
IF(_xlpm.v=0,"",_xlpm.v)
),"")</f>
        <v/>
      </c>
      <c r="K1402" s="17"/>
      <c r="L1402" s="17" t="str">
        <f>IF(OR(COUNTIF('クラス'!$A$1:$A$1267,$B1402)&gt;0,$B1402="",$M1402=""),"",True)</f>
        <v/>
      </c>
      <c r="M1402" s="1" t="str">
        <f t="shared" si="25"/>
        <v>存在しない</v>
      </c>
      <c r="N1402" s="1" t="s">
        <v>29</v>
      </c>
      <c r="O1402" s="1"/>
      <c r="P1402" s="11"/>
      <c r="Q1402" s="11"/>
      <c r="R1402" s="11"/>
      <c r="S1402" s="11"/>
      <c r="T1402" s="1"/>
      <c r="U1402" s="1"/>
      <c r="V1402" s="1"/>
      <c r="W1402" s="1"/>
      <c r="X1402" s="1"/>
      <c r="Y1402" s="1"/>
      <c r="Z1402" s="1"/>
    </row>
    <row r="1403" ht="18.0" hidden="1" customHeight="1" outlineLevel="2">
      <c r="A1403" s="1">
        <v>3.0</v>
      </c>
      <c r="B1403" s="26" t="s">
        <v>1700</v>
      </c>
      <c r="C1403" s="1"/>
      <c r="D1403" s="1"/>
      <c r="E1403" s="29" t="s">
        <v>33</v>
      </c>
      <c r="F1403" s="15"/>
      <c r="G1403" s="16"/>
      <c r="H1403" s="22" t="s">
        <v>1701</v>
      </c>
      <c r="I1403" s="7"/>
      <c r="J1403" s="7" t="str">
        <f>IFERROR(LET(_xlpm.v,
VLOOKUP($I1403,'用語辞書'!$A:$B,COLUMN('用語辞書'!B$1),FALSE),
IF(_xlpm.v=0,"",_xlpm.v)
),"")</f>
        <v/>
      </c>
      <c r="K1403" s="17"/>
      <c r="L1403" s="17" t="b">
        <f>IF(OR(COUNTIF('クラス'!$A$1:$A$1267,$B1403)&gt;0,$B1403="",$M1403=""),"",True)</f>
        <v>1</v>
      </c>
      <c r="M1403" s="1" t="str">
        <f t="shared" si="25"/>
        <v>存在しない</v>
      </c>
      <c r="N1403" s="1" t="s">
        <v>29</v>
      </c>
      <c r="O1403" s="1"/>
      <c r="P1403" s="11"/>
      <c r="Q1403" s="11"/>
      <c r="R1403" s="11"/>
      <c r="S1403" s="11"/>
      <c r="T1403" s="1"/>
      <c r="U1403" s="1"/>
      <c r="V1403" s="1"/>
      <c r="W1403" s="1"/>
      <c r="X1403" s="1"/>
      <c r="Y1403" s="1"/>
      <c r="Z1403" s="1"/>
    </row>
    <row r="1404" ht="18.0" hidden="1" customHeight="1" outlineLevel="2">
      <c r="A1404" s="1">
        <v>4.0</v>
      </c>
      <c r="B1404" s="26"/>
      <c r="C1404" s="1"/>
      <c r="D1404" s="1"/>
      <c r="E1404" s="14"/>
      <c r="F1404" s="15"/>
      <c r="G1404" s="16"/>
      <c r="H1404" s="11"/>
      <c r="I1404" s="7"/>
      <c r="J1404" s="7" t="str">
        <f>IFERROR(LET(_xlpm.v,
VLOOKUP($I1404,'用語辞書'!$A:$B,COLUMN('用語辞書'!B$1),FALSE),
IF(_xlpm.v=0,"",_xlpm.v)
),"")</f>
        <v/>
      </c>
      <c r="K1404" s="17"/>
      <c r="L1404" s="17" t="str">
        <f>IF(OR(COUNTIF('クラス'!$A$1:$A$1267,$B1404)&gt;0,$B1404="",$M1404=""),"",True)</f>
        <v/>
      </c>
      <c r="M1404" s="1" t="str">
        <f t="shared" si="25"/>
        <v>存在しない</v>
      </c>
      <c r="N1404" s="1" t="s">
        <v>29</v>
      </c>
      <c r="O1404" s="1"/>
      <c r="P1404" s="11"/>
      <c r="Q1404" s="11"/>
      <c r="R1404" s="11"/>
      <c r="S1404" s="11"/>
      <c r="T1404" s="1"/>
      <c r="U1404" s="1"/>
      <c r="V1404" s="1"/>
      <c r="W1404" s="1"/>
      <c r="X1404" s="1"/>
      <c r="Y1404" s="1"/>
      <c r="Z1404" s="1"/>
    </row>
    <row r="1405" ht="18.0" hidden="1" customHeight="1" outlineLevel="2">
      <c r="A1405" s="1">
        <v>5.0</v>
      </c>
      <c r="B1405" s="26" t="s">
        <v>1702</v>
      </c>
      <c r="C1405" s="1"/>
      <c r="D1405" s="1"/>
      <c r="E1405" s="14" t="s">
        <v>55</v>
      </c>
      <c r="F1405" s="15"/>
      <c r="G1405" s="16"/>
      <c r="H1405" s="11" t="s">
        <v>1703</v>
      </c>
      <c r="I1405" s="7"/>
      <c r="J1405" s="7" t="str">
        <f>IFERROR(LET(_xlpm.v,
VLOOKUP($I1405,'用語辞書'!$A:$B,COLUMN('用語辞書'!B$1),FALSE),
IF(_xlpm.v=0,"",_xlpm.v)
),"")</f>
        <v/>
      </c>
      <c r="K1405" s="17"/>
      <c r="L1405" s="17" t="b">
        <f>IF(OR(COUNTIF('クラス'!$A$1:$A$1267,$B1405)&gt;0,$B1405="",$M1405=""),"",True)</f>
        <v>1</v>
      </c>
      <c r="M1405" s="1" t="str">
        <f t="shared" si="25"/>
        <v>存在しない</v>
      </c>
      <c r="N1405" s="1" t="s">
        <v>29</v>
      </c>
      <c r="O1405" s="1"/>
      <c r="P1405" s="11"/>
      <c r="Q1405" s="11"/>
      <c r="R1405" s="11"/>
      <c r="S1405" s="11"/>
      <c r="T1405" s="1"/>
      <c r="U1405" s="1"/>
      <c r="V1405" s="1"/>
      <c r="W1405" s="1"/>
      <c r="X1405" s="1"/>
      <c r="Y1405" s="1"/>
      <c r="Z1405" s="1"/>
    </row>
    <row r="1406" ht="18.0" hidden="1" customHeight="1" outlineLevel="2">
      <c r="A1406" s="1">
        <v>6.0</v>
      </c>
      <c r="B1406" s="1" t="s">
        <v>1243</v>
      </c>
      <c r="C1406" s="1"/>
      <c r="D1406" s="1"/>
      <c r="E1406" s="14"/>
      <c r="F1406" s="15"/>
      <c r="G1406" s="16"/>
      <c r="H1406" s="11"/>
      <c r="I1406" s="7"/>
      <c r="J1406" s="7" t="str">
        <f>IFERROR(LET(_xlpm.v,
VLOOKUP($I1406,'用語辞書'!$A:$B,COLUMN('用語辞書'!B$1),FALSE),
IF(_xlpm.v=0,"",_xlpm.v)
),"")</f>
        <v/>
      </c>
      <c r="K1406" s="17"/>
      <c r="L1406" s="17" t="str">
        <f>IF(OR(COUNTIF('クラス'!$A$1:$A$1267,$B1406)&gt;0,$B1406="",$M1406=""),"",True)</f>
        <v/>
      </c>
      <c r="M1406" s="1" t="str">
        <f t="shared" si="25"/>
        <v/>
      </c>
      <c r="N1406" s="1" t="s">
        <v>29</v>
      </c>
      <c r="O1406" s="1"/>
      <c r="P1406" s="11"/>
      <c r="Q1406" s="11"/>
      <c r="R1406" s="11"/>
      <c r="S1406" s="11"/>
      <c r="T1406" s="1"/>
      <c r="U1406" s="1"/>
      <c r="V1406" s="1"/>
      <c r="W1406" s="1"/>
      <c r="X1406" s="1"/>
      <c r="Y1406" s="1"/>
      <c r="Z1406" s="1"/>
    </row>
    <row r="1407" ht="18.0" hidden="1" customHeight="1" outlineLevel="2">
      <c r="A1407" s="1">
        <v>7.0</v>
      </c>
      <c r="B1407" s="26" t="s">
        <v>1704</v>
      </c>
      <c r="C1407" s="1"/>
      <c r="D1407" s="1"/>
      <c r="E1407" s="14" t="s">
        <v>55</v>
      </c>
      <c r="F1407" s="15"/>
      <c r="G1407" s="16"/>
      <c r="H1407" s="11" t="s">
        <v>1705</v>
      </c>
      <c r="I1407" s="7"/>
      <c r="J1407" s="7" t="str">
        <f>IFERROR(LET(_xlpm.v,
VLOOKUP($I1407,'用語辞書'!$A:$B,COLUMN('用語辞書'!B$1),FALSE),
IF(_xlpm.v=0,"",_xlpm.v)
),"")</f>
        <v/>
      </c>
      <c r="K1407" s="17"/>
      <c r="L1407" s="17" t="b">
        <f>IF(OR(COUNTIF('クラス'!$A$1:$A$1267,$B1407)&gt;0,$B1407="",$M1407=""),"",True)</f>
        <v>1</v>
      </c>
      <c r="M1407" s="1" t="str">
        <f t="shared" si="25"/>
        <v>存在しない</v>
      </c>
      <c r="N1407" s="1" t="s">
        <v>29</v>
      </c>
      <c r="O1407" s="1"/>
      <c r="P1407" s="11"/>
      <c r="Q1407" s="11"/>
      <c r="R1407" s="11"/>
      <c r="S1407" s="11"/>
      <c r="T1407" s="1"/>
      <c r="U1407" s="1"/>
      <c r="V1407" s="1"/>
      <c r="W1407" s="1"/>
      <c r="X1407" s="1"/>
      <c r="Y1407" s="1"/>
      <c r="Z1407" s="1"/>
    </row>
    <row r="1408" ht="18.0" hidden="1" customHeight="1" outlineLevel="2">
      <c r="A1408" s="1">
        <v>8.0</v>
      </c>
      <c r="B1408" s="1"/>
      <c r="C1408" s="1"/>
      <c r="D1408" s="1"/>
      <c r="E1408" s="14"/>
      <c r="F1408" s="15"/>
      <c r="G1408" s="16"/>
      <c r="H1408" s="11"/>
      <c r="I1408" s="7"/>
      <c r="J1408" s="7" t="str">
        <f>IFERROR(LET(_xlpm.v,
VLOOKUP($I1408,'用語辞書'!$A:$B,COLUMN('用語辞書'!B$1),FALSE),
IF(_xlpm.v=0,"",_xlpm.v)
),"")</f>
        <v/>
      </c>
      <c r="K1408" s="17"/>
      <c r="L1408" s="17" t="str">
        <f>IF(OR(COUNTIF('クラス'!$A$1:$A$1267,$B1408)&gt;0,$B1408="",$M1408=""),"",True)</f>
        <v/>
      </c>
      <c r="M1408" s="1" t="str">
        <f t="shared" si="25"/>
        <v>存在しない</v>
      </c>
      <c r="N1408" s="1" t="s">
        <v>29</v>
      </c>
      <c r="O1408" s="1"/>
      <c r="P1408" s="11"/>
      <c r="Q1408" s="11"/>
      <c r="R1408" s="11"/>
      <c r="S1408" s="11"/>
      <c r="T1408" s="1"/>
      <c r="U1408" s="1"/>
      <c r="V1408" s="1"/>
      <c r="W1408" s="1"/>
      <c r="X1408" s="1"/>
      <c r="Y1408" s="1"/>
      <c r="Z1408" s="1"/>
    </row>
    <row r="1409" ht="18.0" hidden="1" customHeight="1" outlineLevel="2">
      <c r="A1409" s="1">
        <v>9.0</v>
      </c>
      <c r="B1409" s="1" t="s">
        <v>1706</v>
      </c>
      <c r="C1409" s="1"/>
      <c r="D1409" s="1"/>
      <c r="E1409" s="14" t="s">
        <v>55</v>
      </c>
      <c r="F1409" s="15"/>
      <c r="G1409" s="16"/>
      <c r="H1409" s="11" t="s">
        <v>1707</v>
      </c>
      <c r="I1409" s="7"/>
      <c r="J1409" s="7" t="str">
        <f>IFERROR(LET(_xlpm.v,
VLOOKUP($I1409,'用語辞書'!$A:$B,COLUMN('用語辞書'!B$1),FALSE),
IF(_xlpm.v=0,"",_xlpm.v)
),"")</f>
        <v/>
      </c>
      <c r="K1409" s="17"/>
      <c r="L1409" s="17" t="b">
        <f>IF(OR(COUNTIF('クラス'!$A$1:$A$1267,$B1409)&gt;0,$B1409="",$M1409=""),"",True)</f>
        <v>1</v>
      </c>
      <c r="M1409" s="1" t="str">
        <f t="shared" si="25"/>
        <v>存在しない</v>
      </c>
      <c r="N1409" s="1" t="s">
        <v>29</v>
      </c>
      <c r="O1409" s="1"/>
      <c r="P1409" s="11"/>
      <c r="Q1409" s="11"/>
      <c r="R1409" s="11"/>
      <c r="S1409" s="11"/>
      <c r="T1409" s="1"/>
      <c r="U1409" s="1"/>
      <c r="V1409" s="1"/>
      <c r="W1409" s="1"/>
      <c r="X1409" s="1"/>
      <c r="Y1409" s="1"/>
      <c r="Z1409" s="1"/>
    </row>
    <row r="1410" ht="18.0" hidden="1" customHeight="1" outlineLevel="2">
      <c r="A1410" s="1">
        <v>10.0</v>
      </c>
      <c r="B1410" s="1"/>
      <c r="C1410" s="1"/>
      <c r="D1410" s="1"/>
      <c r="E1410" s="14"/>
      <c r="F1410" s="15"/>
      <c r="G1410" s="16"/>
      <c r="H1410" s="11"/>
      <c r="I1410" s="7"/>
      <c r="J1410" s="7" t="str">
        <f>IFERROR(LET(_xlpm.v,
VLOOKUP($I1410,'用語辞書'!$A:$B,COLUMN('用語辞書'!B$1),FALSE),
IF(_xlpm.v=0,"",_xlpm.v)
),"")</f>
        <v/>
      </c>
      <c r="K1410" s="17"/>
      <c r="L1410" s="17" t="str">
        <f>IF(OR(COUNTIF('クラス'!$A$1:$A$1267,$B1410)&gt;0,$B1410="",$M1410=""),"",True)</f>
        <v/>
      </c>
      <c r="M1410" s="1" t="str">
        <f t="shared" si="25"/>
        <v>存在しない</v>
      </c>
      <c r="N1410" s="1" t="s">
        <v>29</v>
      </c>
      <c r="O1410" s="1"/>
      <c r="P1410" s="11"/>
      <c r="Q1410" s="11"/>
      <c r="R1410" s="11"/>
      <c r="S1410" s="11"/>
      <c r="T1410" s="1"/>
      <c r="U1410" s="1"/>
      <c r="V1410" s="1"/>
      <c r="W1410" s="1"/>
      <c r="X1410" s="1"/>
      <c r="Y1410" s="1"/>
      <c r="Z1410" s="1"/>
    </row>
    <row r="1411" ht="18.0" hidden="1" customHeight="1" outlineLevel="1" collapsed="1">
      <c r="A1411" s="1"/>
      <c r="B1411" s="1"/>
      <c r="C1411" s="1"/>
      <c r="D1411" s="1"/>
      <c r="E1411" s="14"/>
      <c r="F1411" s="15"/>
      <c r="G1411" s="16"/>
      <c r="H1411" s="11"/>
      <c r="I1411" s="7"/>
      <c r="J1411" s="7" t="str">
        <f>IFERROR(LET(_xlpm.v,
VLOOKUP($I1411,'用語辞書'!$A:$B,COLUMN('用語辞書'!B$1),FALSE),
IF(_xlpm.v=0,"",_xlpm.v)
),"")</f>
        <v/>
      </c>
      <c r="K1411" s="17"/>
      <c r="L1411" s="17" t="str">
        <f>IF(OR(COUNTIF('クラス'!$A$1:$A$1267,$B1411)&gt;0,$B1411="",$M1411=""),"",True)</f>
        <v/>
      </c>
      <c r="M1411" s="1" t="str">
        <f t="shared" si="25"/>
        <v>存在しない</v>
      </c>
      <c r="N1411" s="1" t="s">
        <v>29</v>
      </c>
      <c r="O1411" s="1"/>
      <c r="P1411" s="11"/>
      <c r="Q1411" s="11"/>
      <c r="R1411" s="11"/>
      <c r="S1411" s="11"/>
      <c r="T1411" s="1"/>
      <c r="U1411" s="1"/>
      <c r="V1411" s="1"/>
      <c r="W1411" s="1"/>
      <c r="X1411" s="1"/>
      <c r="Y1411" s="1"/>
      <c r="Z1411" s="1"/>
    </row>
    <row r="1412" ht="18.0" hidden="1" customHeight="1" outlineLevel="1">
      <c r="A1412" s="1"/>
      <c r="B1412" s="1"/>
      <c r="C1412" s="1"/>
      <c r="D1412" s="1"/>
      <c r="E1412" s="14"/>
      <c r="F1412" s="15"/>
      <c r="G1412" s="16"/>
      <c r="H1412" s="11"/>
      <c r="I1412" s="7"/>
      <c r="J1412" s="7" t="str">
        <f>IFERROR(LET(_xlpm.v,
VLOOKUP($I1412,'用語辞書'!$A:$B,COLUMN('用語辞書'!B$1),FALSE),
IF(_xlpm.v=0,"",_xlpm.v)
),"")</f>
        <v/>
      </c>
      <c r="K1412" s="17"/>
      <c r="L1412" s="17" t="str">
        <f>IF(OR(COUNTIF('クラス'!$A$1:$A$1267,$B1412)&gt;0,$B1412="",$M1412=""),"",True)</f>
        <v/>
      </c>
      <c r="M1412" s="1" t="str">
        <f t="shared" si="25"/>
        <v>存在しない</v>
      </c>
      <c r="N1412" s="1" t="s">
        <v>29</v>
      </c>
      <c r="O1412" s="1"/>
      <c r="P1412" s="11"/>
      <c r="Q1412" s="11"/>
      <c r="R1412" s="11"/>
      <c r="S1412" s="11"/>
      <c r="T1412" s="1"/>
      <c r="U1412" s="1"/>
      <c r="V1412" s="1"/>
      <c r="W1412" s="1"/>
      <c r="X1412" s="1"/>
      <c r="Y1412" s="1"/>
      <c r="Z1412" s="1"/>
    </row>
    <row r="1413" ht="18.0" hidden="1" customHeight="1" outlineLevel="1">
      <c r="A1413" s="1"/>
      <c r="B1413" s="26" t="s">
        <v>1708</v>
      </c>
      <c r="C1413" s="1"/>
      <c r="D1413" s="1"/>
      <c r="E1413" s="14"/>
      <c r="F1413" s="15"/>
      <c r="G1413" s="16"/>
      <c r="H1413" s="11"/>
      <c r="I1413" s="7"/>
      <c r="J1413" s="7" t="str">
        <f>IFERROR(LET(_xlpm.v,
VLOOKUP($I1413,'用語辞書'!$A:$B,COLUMN('用語辞書'!B$1),FALSE),
IF(_xlpm.v=0,"",_xlpm.v)
),"")</f>
        <v/>
      </c>
      <c r="K1413" s="17"/>
      <c r="L1413" s="17" t="str">
        <f>IF(OR(COUNTIF('クラス'!$A$1:$A$1267,$B1413)&gt;0,$B1413="",$M1413=""),"",True)</f>
        <v/>
      </c>
      <c r="M1413" s="1" t="str">
        <f t="shared" si="25"/>
        <v>存在しない</v>
      </c>
      <c r="N1413" s="1" t="s">
        <v>29</v>
      </c>
      <c r="O1413" s="1"/>
      <c r="P1413" s="11"/>
      <c r="Q1413" s="11"/>
      <c r="R1413" s="11"/>
      <c r="S1413" s="11"/>
      <c r="T1413" s="1"/>
      <c r="U1413" s="1"/>
      <c r="V1413" s="1"/>
      <c r="W1413" s="1"/>
      <c r="X1413" s="1"/>
      <c r="Y1413" s="1"/>
      <c r="Z1413" s="1"/>
    </row>
    <row r="1414" ht="18.0" hidden="1" customHeight="1" outlineLevel="2">
      <c r="A1414" s="1">
        <v>1.0</v>
      </c>
      <c r="B1414" s="26" t="s">
        <v>1709</v>
      </c>
      <c r="C1414" s="1"/>
      <c r="D1414" s="1"/>
      <c r="E1414" s="14" t="s">
        <v>33</v>
      </c>
      <c r="F1414" s="15"/>
      <c r="G1414" s="16"/>
      <c r="H1414" s="11" t="s">
        <v>1710</v>
      </c>
      <c r="I1414" s="7"/>
      <c r="J1414" s="7" t="str">
        <f>IFERROR(LET(_xlpm.v,
VLOOKUP($I1414,'用語辞書'!$A:$B,COLUMN('用語辞書'!B$1),FALSE),
IF(_xlpm.v=0,"",_xlpm.v)
),"")</f>
        <v/>
      </c>
      <c r="K1414" s="17"/>
      <c r="L1414" s="17" t="b">
        <f>IF(OR(COUNTIF('クラス'!$A$1:$A$1267,$B1414)&gt;0,$B1414="",$M1414=""),"",True)</f>
        <v>1</v>
      </c>
      <c r="M1414" s="1" t="str">
        <f t="shared" si="25"/>
        <v>存在しない</v>
      </c>
      <c r="N1414" s="1" t="s">
        <v>29</v>
      </c>
      <c r="O1414" s="1"/>
      <c r="P1414" s="11"/>
      <c r="Q1414" s="11"/>
      <c r="R1414" s="11"/>
      <c r="S1414" s="11"/>
      <c r="T1414" s="1"/>
      <c r="U1414" s="1"/>
      <c r="V1414" s="1"/>
      <c r="W1414" s="1"/>
      <c r="X1414" s="1"/>
      <c r="Y1414" s="1"/>
      <c r="Z1414" s="1"/>
    </row>
    <row r="1415" ht="18.0" hidden="1" customHeight="1" outlineLevel="2">
      <c r="A1415" s="1">
        <v>2.0</v>
      </c>
      <c r="B1415" s="26"/>
      <c r="C1415" s="1"/>
      <c r="D1415" s="1"/>
      <c r="E1415" s="29"/>
      <c r="F1415" s="15"/>
      <c r="G1415" s="30"/>
      <c r="H1415" s="22"/>
      <c r="I1415" s="7"/>
      <c r="J1415" s="7" t="str">
        <f>IFERROR(LET(_xlpm.v,
VLOOKUP($I1415,'用語辞書'!$A:$B,COLUMN('用語辞書'!B$1),FALSE),
IF(_xlpm.v=0,"",_xlpm.v)
),"")</f>
        <v/>
      </c>
      <c r="K1415" s="17"/>
      <c r="L1415" s="17" t="str">
        <f>IF(OR(COUNTIF('クラス'!$A$1:$A$1267,$B1415)&gt;0,$B1415="",$M1415=""),"",True)</f>
        <v/>
      </c>
      <c r="M1415" s="1" t="str">
        <f t="shared" si="25"/>
        <v>存在しない</v>
      </c>
      <c r="N1415" s="1" t="s">
        <v>29</v>
      </c>
      <c r="O1415" s="1"/>
      <c r="P1415" s="11"/>
      <c r="Q1415" s="11"/>
      <c r="R1415" s="11"/>
      <c r="S1415" s="11"/>
      <c r="T1415" s="1"/>
      <c r="U1415" s="1"/>
      <c r="V1415" s="1"/>
      <c r="W1415" s="1"/>
      <c r="X1415" s="1"/>
      <c r="Y1415" s="1"/>
      <c r="Z1415" s="1"/>
    </row>
    <row r="1416" ht="18.0" hidden="1" customHeight="1" outlineLevel="2">
      <c r="A1416" s="1">
        <v>3.0</v>
      </c>
      <c r="B1416" s="26" t="s">
        <v>1711</v>
      </c>
      <c r="C1416" s="1"/>
      <c r="D1416" s="1"/>
      <c r="E1416" s="29" t="s">
        <v>33</v>
      </c>
      <c r="F1416" s="15"/>
      <c r="G1416" s="16"/>
      <c r="H1416" s="22" t="s">
        <v>1712</v>
      </c>
      <c r="I1416" s="7"/>
      <c r="J1416" s="7" t="str">
        <f>IFERROR(LET(_xlpm.v,
VLOOKUP($I1416,'用語辞書'!$A:$B,COLUMN('用語辞書'!B$1),FALSE),
IF(_xlpm.v=0,"",_xlpm.v)
),"")</f>
        <v/>
      </c>
      <c r="K1416" s="17"/>
      <c r="L1416" s="17" t="b">
        <f>IF(OR(COUNTIF('クラス'!$A$1:$A$1267,$B1416)&gt;0,$B1416="",$M1416=""),"",True)</f>
        <v>1</v>
      </c>
      <c r="M1416" s="1" t="str">
        <f t="shared" si="25"/>
        <v>存在しない</v>
      </c>
      <c r="N1416" s="1" t="s">
        <v>29</v>
      </c>
      <c r="O1416" s="1"/>
      <c r="P1416" s="11"/>
      <c r="Q1416" s="11"/>
      <c r="R1416" s="11"/>
      <c r="S1416" s="11"/>
      <c r="T1416" s="1"/>
      <c r="U1416" s="1"/>
      <c r="V1416" s="1"/>
      <c r="W1416" s="1"/>
      <c r="X1416" s="1"/>
      <c r="Y1416" s="1"/>
      <c r="Z1416" s="1"/>
    </row>
    <row r="1417" ht="18.0" hidden="1" customHeight="1" outlineLevel="2">
      <c r="A1417" s="1">
        <v>4.0</v>
      </c>
      <c r="B1417" s="26"/>
      <c r="C1417" s="1"/>
      <c r="D1417" s="1"/>
      <c r="E1417" s="14"/>
      <c r="F1417" s="15"/>
      <c r="G1417" s="16"/>
      <c r="H1417" s="11"/>
      <c r="I1417" s="7"/>
      <c r="J1417" s="7" t="str">
        <f>IFERROR(LET(_xlpm.v,
VLOOKUP($I1417,'用語辞書'!$A:$B,COLUMN('用語辞書'!B$1),FALSE),
IF(_xlpm.v=0,"",_xlpm.v)
),"")</f>
        <v/>
      </c>
      <c r="K1417" s="17"/>
      <c r="L1417" s="17" t="str">
        <f>IF(OR(COUNTIF('クラス'!$A$1:$A$1267,$B1417)&gt;0,$B1417="",$M1417=""),"",True)</f>
        <v/>
      </c>
      <c r="M1417" s="1" t="str">
        <f t="shared" si="25"/>
        <v>存在しない</v>
      </c>
      <c r="N1417" s="1" t="s">
        <v>29</v>
      </c>
      <c r="O1417" s="1"/>
      <c r="P1417" s="11"/>
      <c r="Q1417" s="11"/>
      <c r="R1417" s="11"/>
      <c r="S1417" s="11"/>
      <c r="T1417" s="1"/>
      <c r="U1417" s="1"/>
      <c r="V1417" s="1"/>
      <c r="W1417" s="1"/>
      <c r="X1417" s="1"/>
      <c r="Y1417" s="1"/>
      <c r="Z1417" s="1"/>
    </row>
    <row r="1418" ht="18.0" hidden="1" customHeight="1" outlineLevel="2">
      <c r="A1418" s="1">
        <v>5.0</v>
      </c>
      <c r="B1418" s="26" t="s">
        <v>1713</v>
      </c>
      <c r="C1418" s="1"/>
      <c r="D1418" s="1"/>
      <c r="E1418" s="14" t="s">
        <v>55</v>
      </c>
      <c r="F1418" s="15"/>
      <c r="G1418" s="16"/>
      <c r="H1418" s="11" t="s">
        <v>1714</v>
      </c>
      <c r="I1418" s="7"/>
      <c r="J1418" s="7" t="str">
        <f>IFERROR(LET(_xlpm.v,
VLOOKUP($I1418,'用語辞書'!$A:$B,COLUMN('用語辞書'!B$1),FALSE),
IF(_xlpm.v=0,"",_xlpm.v)
),"")</f>
        <v/>
      </c>
      <c r="K1418" s="17"/>
      <c r="L1418" s="17" t="b">
        <f>IF(OR(COUNTIF('クラス'!$A$1:$A$1267,$B1418)&gt;0,$B1418="",$M1418=""),"",True)</f>
        <v>1</v>
      </c>
      <c r="M1418" s="1" t="str">
        <f t="shared" si="25"/>
        <v>存在しない</v>
      </c>
      <c r="N1418" s="1" t="s">
        <v>29</v>
      </c>
      <c r="O1418" s="1"/>
      <c r="P1418" s="11"/>
      <c r="Q1418" s="11"/>
      <c r="R1418" s="11"/>
      <c r="S1418" s="11"/>
      <c r="T1418" s="1"/>
      <c r="U1418" s="1"/>
      <c r="V1418" s="1"/>
      <c r="W1418" s="1"/>
      <c r="X1418" s="1"/>
      <c r="Y1418" s="1"/>
      <c r="Z1418" s="1"/>
    </row>
    <row r="1419" ht="18.0" hidden="1" customHeight="1" outlineLevel="2">
      <c r="A1419" s="1">
        <v>6.0</v>
      </c>
      <c r="B1419" s="1" t="s">
        <v>45</v>
      </c>
      <c r="C1419" s="1"/>
      <c r="D1419" s="1"/>
      <c r="E1419" s="14"/>
      <c r="F1419" s="15"/>
      <c r="G1419" s="16"/>
      <c r="H1419" s="11"/>
      <c r="I1419" s="7"/>
      <c r="J1419" s="7" t="str">
        <f>IFERROR(LET(_xlpm.v,
VLOOKUP($I1419,'用語辞書'!$A:$B,COLUMN('用語辞書'!B$1),FALSE),
IF(_xlpm.v=0,"",_xlpm.v)
),"")</f>
        <v/>
      </c>
      <c r="K1419" s="17"/>
      <c r="L1419" s="17" t="str">
        <f>IF(OR(COUNTIF('クラス'!$A$1:$A$1267,$B1419)&gt;0,$B1419="",$M1419=""),"",True)</f>
        <v/>
      </c>
      <c r="M1419" s="1" t="str">
        <f t="shared" si="25"/>
        <v/>
      </c>
      <c r="N1419" s="1" t="s">
        <v>29</v>
      </c>
      <c r="O1419" s="1"/>
      <c r="P1419" s="11"/>
      <c r="Q1419" s="11"/>
      <c r="R1419" s="11"/>
      <c r="S1419" s="11"/>
      <c r="T1419" s="1"/>
      <c r="U1419" s="1"/>
      <c r="V1419" s="1"/>
      <c r="W1419" s="1"/>
      <c r="X1419" s="1"/>
      <c r="Y1419" s="1"/>
      <c r="Z1419" s="1"/>
    </row>
    <row r="1420" ht="18.0" hidden="1" customHeight="1" outlineLevel="2">
      <c r="A1420" s="1">
        <v>7.0</v>
      </c>
      <c r="B1420" s="26" t="s">
        <v>1715</v>
      </c>
      <c r="C1420" s="1"/>
      <c r="D1420" s="1"/>
      <c r="E1420" s="14" t="s">
        <v>55</v>
      </c>
      <c r="F1420" s="15"/>
      <c r="G1420" s="16"/>
      <c r="H1420" s="11" t="s">
        <v>1716</v>
      </c>
      <c r="I1420" s="7"/>
      <c r="J1420" s="7" t="str">
        <f>IFERROR(LET(_xlpm.v,
VLOOKUP($I1420,'用語辞書'!$A:$B,COLUMN('用語辞書'!B$1),FALSE),
IF(_xlpm.v=0,"",_xlpm.v)
),"")</f>
        <v/>
      </c>
      <c r="K1420" s="17"/>
      <c r="L1420" s="17" t="b">
        <f>IF(OR(COUNTIF('クラス'!$A$1:$A$1267,$B1420)&gt;0,$B1420="",$M1420=""),"",True)</f>
        <v>1</v>
      </c>
      <c r="M1420" s="1" t="str">
        <f t="shared" si="25"/>
        <v>存在しない</v>
      </c>
      <c r="N1420" s="1" t="s">
        <v>29</v>
      </c>
      <c r="O1420" s="1"/>
      <c r="P1420" s="11"/>
      <c r="Q1420" s="11"/>
      <c r="R1420" s="11"/>
      <c r="S1420" s="11"/>
      <c r="T1420" s="1"/>
      <c r="U1420" s="1"/>
      <c r="V1420" s="1"/>
      <c r="W1420" s="1"/>
      <c r="X1420" s="1"/>
      <c r="Y1420" s="1"/>
      <c r="Z1420" s="1"/>
    </row>
    <row r="1421" ht="18.0" hidden="1" customHeight="1" outlineLevel="2">
      <c r="A1421" s="1">
        <v>8.0</v>
      </c>
      <c r="B1421" s="1"/>
      <c r="C1421" s="1"/>
      <c r="D1421" s="1"/>
      <c r="E1421" s="14"/>
      <c r="F1421" s="15"/>
      <c r="G1421" s="16"/>
      <c r="H1421" s="11"/>
      <c r="I1421" s="7"/>
      <c r="J1421" s="7" t="str">
        <f>IFERROR(LET(_xlpm.v,
VLOOKUP($I1421,'用語辞書'!$A:$B,COLUMN('用語辞書'!B$1),FALSE),
IF(_xlpm.v=0,"",_xlpm.v)
),"")</f>
        <v/>
      </c>
      <c r="K1421" s="17"/>
      <c r="L1421" s="17" t="str">
        <f>IF(OR(COUNTIF('クラス'!$A$1:$A$1267,$B1421)&gt;0,$B1421="",$M1421=""),"",True)</f>
        <v/>
      </c>
      <c r="M1421" s="1" t="str">
        <f t="shared" si="25"/>
        <v>存在しない</v>
      </c>
      <c r="N1421" s="1" t="s">
        <v>29</v>
      </c>
      <c r="O1421" s="1"/>
      <c r="P1421" s="11"/>
      <c r="Q1421" s="11"/>
      <c r="R1421" s="11"/>
      <c r="S1421" s="11"/>
      <c r="T1421" s="1"/>
      <c r="U1421" s="1"/>
      <c r="V1421" s="1"/>
      <c r="W1421" s="1"/>
      <c r="X1421" s="1"/>
      <c r="Y1421" s="1"/>
      <c r="Z1421" s="1"/>
    </row>
    <row r="1422" ht="18.0" hidden="1" customHeight="1" outlineLevel="2">
      <c r="A1422" s="1">
        <v>9.0</v>
      </c>
      <c r="B1422" s="1" t="s">
        <v>1717</v>
      </c>
      <c r="C1422" s="1"/>
      <c r="D1422" s="1"/>
      <c r="E1422" s="14" t="s">
        <v>55</v>
      </c>
      <c r="F1422" s="15"/>
      <c r="G1422" s="16"/>
      <c r="H1422" s="11" t="s">
        <v>1718</v>
      </c>
      <c r="I1422" s="7"/>
      <c r="J1422" s="7" t="str">
        <f>IFERROR(LET(_xlpm.v,
VLOOKUP($I1422,'用語辞書'!$A:$B,COLUMN('用語辞書'!B$1),FALSE),
IF(_xlpm.v=0,"",_xlpm.v)
),"")</f>
        <v/>
      </c>
      <c r="K1422" s="17"/>
      <c r="L1422" s="17" t="b">
        <f>IF(OR(COUNTIF('クラス'!$A$1:$A$1267,$B1422)&gt;0,$B1422="",$M1422=""),"",True)</f>
        <v>1</v>
      </c>
      <c r="M1422" s="1" t="str">
        <f t="shared" si="25"/>
        <v>存在しない</v>
      </c>
      <c r="N1422" s="1" t="s">
        <v>29</v>
      </c>
      <c r="O1422" s="1"/>
      <c r="P1422" s="11"/>
      <c r="Q1422" s="11"/>
      <c r="R1422" s="11"/>
      <c r="S1422" s="11"/>
      <c r="T1422" s="1"/>
      <c r="U1422" s="1"/>
      <c r="V1422" s="1"/>
      <c r="W1422" s="1"/>
      <c r="X1422" s="1"/>
      <c r="Y1422" s="1"/>
      <c r="Z1422" s="1"/>
    </row>
    <row r="1423" ht="18.0" hidden="1" customHeight="1" outlineLevel="2">
      <c r="A1423" s="1">
        <v>10.0</v>
      </c>
      <c r="B1423" s="1"/>
      <c r="C1423" s="1"/>
      <c r="D1423" s="1"/>
      <c r="E1423" s="14"/>
      <c r="F1423" s="15"/>
      <c r="G1423" s="16"/>
      <c r="H1423" s="11"/>
      <c r="I1423" s="7"/>
      <c r="J1423" s="7" t="str">
        <f>IFERROR(LET(_xlpm.v,
VLOOKUP($I1423,'用語辞書'!$A:$B,COLUMN('用語辞書'!B$1),FALSE),
IF(_xlpm.v=0,"",_xlpm.v)
),"")</f>
        <v/>
      </c>
      <c r="K1423" s="17"/>
      <c r="L1423" s="17" t="str">
        <f>IF(OR(COUNTIF('クラス'!$A$1:$A$1267,$B1423)&gt;0,$B1423="",$M1423=""),"",True)</f>
        <v/>
      </c>
      <c r="M1423" s="1" t="str">
        <f t="shared" si="25"/>
        <v>存在しない</v>
      </c>
      <c r="N1423" s="1" t="s">
        <v>29</v>
      </c>
      <c r="O1423" s="1"/>
      <c r="P1423" s="11"/>
      <c r="Q1423" s="11"/>
      <c r="R1423" s="11"/>
      <c r="S1423" s="11"/>
      <c r="T1423" s="1"/>
      <c r="U1423" s="1"/>
      <c r="V1423" s="1"/>
      <c r="W1423" s="1"/>
      <c r="X1423" s="1"/>
      <c r="Y1423" s="1"/>
      <c r="Z1423" s="1"/>
    </row>
    <row r="1424" ht="18.0" hidden="1" customHeight="1" outlineLevel="1" collapsed="1">
      <c r="A1424" s="1"/>
      <c r="B1424" s="1"/>
      <c r="C1424" s="1"/>
      <c r="D1424" s="1"/>
      <c r="E1424" s="14"/>
      <c r="F1424" s="15"/>
      <c r="G1424" s="16"/>
      <c r="H1424" s="11"/>
      <c r="I1424" s="7"/>
      <c r="J1424" s="7" t="str">
        <f>IFERROR(LET(_xlpm.v,
VLOOKUP($I1424,'用語辞書'!$A:$B,COLUMN('用語辞書'!B$1),FALSE),
IF(_xlpm.v=0,"",_xlpm.v)
),"")</f>
        <v/>
      </c>
      <c r="K1424" s="17"/>
      <c r="L1424" s="17" t="str">
        <f>IF(OR(COUNTIF('クラス'!$A$1:$A$1267,$B1424)&gt;0,$B1424="",$M1424=""),"",True)</f>
        <v/>
      </c>
      <c r="M1424" s="1" t="str">
        <f t="shared" si="25"/>
        <v>存在しない</v>
      </c>
      <c r="N1424" s="1" t="s">
        <v>29</v>
      </c>
      <c r="O1424" s="1"/>
      <c r="P1424" s="11"/>
      <c r="Q1424" s="11"/>
      <c r="R1424" s="11"/>
      <c r="S1424" s="11"/>
      <c r="T1424" s="1"/>
      <c r="U1424" s="1"/>
      <c r="V1424" s="1"/>
      <c r="W1424" s="1"/>
      <c r="X1424" s="1"/>
      <c r="Y1424" s="1"/>
      <c r="Z1424" s="1"/>
    </row>
    <row r="1425" ht="18.0" hidden="1" customHeight="1" outlineLevel="1">
      <c r="A1425" s="1"/>
      <c r="B1425" s="1"/>
      <c r="C1425" s="1"/>
      <c r="D1425" s="1"/>
      <c r="E1425" s="14"/>
      <c r="F1425" s="15"/>
      <c r="G1425" s="16"/>
      <c r="H1425" s="11"/>
      <c r="I1425" s="7"/>
      <c r="J1425" s="7" t="str">
        <f>IFERROR(LET(_xlpm.v,
VLOOKUP($I1425,'用語辞書'!$A:$B,COLUMN('用語辞書'!B$1),FALSE),
IF(_xlpm.v=0,"",_xlpm.v)
),"")</f>
        <v/>
      </c>
      <c r="K1425" s="17"/>
      <c r="L1425" s="17" t="str">
        <f>IF(OR(COUNTIF('クラス'!$A$1:$A$1267,$B1425)&gt;0,$B1425="",$M1425=""),"",True)</f>
        <v/>
      </c>
      <c r="M1425" s="1" t="str">
        <f t="shared" si="25"/>
        <v>存在しない</v>
      </c>
      <c r="N1425" s="1" t="s">
        <v>29</v>
      </c>
      <c r="O1425" s="1"/>
      <c r="P1425" s="11"/>
      <c r="Q1425" s="11"/>
      <c r="R1425" s="11"/>
      <c r="S1425" s="11"/>
      <c r="T1425" s="1"/>
      <c r="U1425" s="1"/>
      <c r="V1425" s="1"/>
      <c r="W1425" s="1"/>
      <c r="X1425" s="1"/>
      <c r="Y1425" s="1"/>
      <c r="Z1425" s="1"/>
    </row>
    <row r="1426" ht="18.0" hidden="1" customHeight="1" outlineLevel="1">
      <c r="A1426" s="1"/>
      <c r="B1426" s="26" t="s">
        <v>1719</v>
      </c>
      <c r="C1426" s="1"/>
      <c r="D1426" s="1"/>
      <c r="E1426" s="14"/>
      <c r="F1426" s="15"/>
      <c r="G1426" s="16"/>
      <c r="H1426" s="11"/>
      <c r="I1426" s="7"/>
      <c r="J1426" s="7" t="str">
        <f>IFERROR(LET(_xlpm.v,
VLOOKUP($I1426,'用語辞書'!$A:$B,COLUMN('用語辞書'!B$1),FALSE),
IF(_xlpm.v=0,"",_xlpm.v)
),"")</f>
        <v/>
      </c>
      <c r="K1426" s="17"/>
      <c r="L1426" s="17" t="str">
        <f>IF(OR(COUNTIF('クラス'!$A$1:$A$1267,$B1426)&gt;0,$B1426="",$M1426=""),"",True)</f>
        <v/>
      </c>
      <c r="M1426" s="1" t="str">
        <f t="shared" si="25"/>
        <v>存在しない</v>
      </c>
      <c r="N1426" s="1" t="s">
        <v>29</v>
      </c>
      <c r="O1426" s="1"/>
      <c r="P1426" s="11"/>
      <c r="Q1426" s="11"/>
      <c r="R1426" s="11"/>
      <c r="S1426" s="11"/>
      <c r="T1426" s="1"/>
      <c r="U1426" s="1"/>
      <c r="V1426" s="1"/>
      <c r="W1426" s="1"/>
      <c r="X1426" s="1"/>
      <c r="Y1426" s="1"/>
      <c r="Z1426" s="1"/>
    </row>
    <row r="1427" ht="18.0" hidden="1" customHeight="1" outlineLevel="2">
      <c r="A1427" s="26">
        <v>1.0</v>
      </c>
      <c r="B1427" s="26" t="s">
        <v>1720</v>
      </c>
      <c r="C1427" s="1"/>
      <c r="D1427" s="1"/>
      <c r="E1427" s="29" t="s">
        <v>33</v>
      </c>
      <c r="F1427" s="15"/>
      <c r="G1427" s="16"/>
      <c r="H1427" s="22" t="s">
        <v>1721</v>
      </c>
      <c r="I1427" s="7"/>
      <c r="J1427" s="7" t="str">
        <f>IFERROR(LET(_xlpm.v,
VLOOKUP($I1427,'用語辞書'!$A:$B,COLUMN('用語辞書'!B$1),FALSE),
IF(_xlpm.v=0,"",_xlpm.v)
),"")</f>
        <v/>
      </c>
      <c r="K1427" s="17"/>
      <c r="L1427" s="17" t="b">
        <f>IF(OR(COUNTIF('クラス'!$A$1:$A$1267,$B1427)&gt;0,$B1427="",$M1427=""),"",True)</f>
        <v>1</v>
      </c>
      <c r="M1427" s="1" t="str">
        <f t="shared" si="25"/>
        <v>存在しない</v>
      </c>
      <c r="N1427" s="1" t="s">
        <v>29</v>
      </c>
      <c r="O1427" s="1"/>
      <c r="P1427" s="11"/>
      <c r="Q1427" s="11"/>
      <c r="R1427" s="11"/>
      <c r="S1427" s="11"/>
      <c r="T1427" s="1"/>
      <c r="U1427" s="1"/>
      <c r="V1427" s="1"/>
      <c r="W1427" s="1"/>
      <c r="X1427" s="1"/>
      <c r="Y1427" s="1"/>
      <c r="Z1427" s="1"/>
    </row>
    <row r="1428" ht="18.0" hidden="1" customHeight="1" outlineLevel="2">
      <c r="A1428" s="26">
        <v>2.0</v>
      </c>
      <c r="B1428" s="1"/>
      <c r="C1428" s="1"/>
      <c r="D1428" s="1"/>
      <c r="E1428" s="14"/>
      <c r="F1428" s="15"/>
      <c r="G1428" s="16"/>
      <c r="H1428" s="11"/>
      <c r="I1428" s="7"/>
      <c r="J1428" s="7" t="str">
        <f>IFERROR(LET(_xlpm.v,
VLOOKUP($I1428,'用語辞書'!$A:$B,COLUMN('用語辞書'!B$1),FALSE),
IF(_xlpm.v=0,"",_xlpm.v)
),"")</f>
        <v/>
      </c>
      <c r="K1428" s="17"/>
      <c r="L1428" s="17" t="str">
        <f>IF(OR(COUNTIF('クラス'!$A$1:$A$1267,$B1428)&gt;0,$B1428="",$M1428=""),"",True)</f>
        <v/>
      </c>
      <c r="M1428" s="1" t="str">
        <f t="shared" si="25"/>
        <v>存在しない</v>
      </c>
      <c r="N1428" s="1" t="s">
        <v>29</v>
      </c>
      <c r="O1428" s="1"/>
      <c r="P1428" s="11"/>
      <c r="Q1428" s="11"/>
      <c r="R1428" s="11"/>
      <c r="S1428" s="11"/>
      <c r="T1428" s="1"/>
      <c r="U1428" s="1"/>
      <c r="V1428" s="1"/>
      <c r="W1428" s="1"/>
      <c r="X1428" s="1"/>
      <c r="Y1428" s="1"/>
      <c r="Z1428" s="1"/>
    </row>
    <row r="1429" ht="18.0" hidden="1" customHeight="1" outlineLevel="2">
      <c r="A1429" s="26">
        <v>3.0</v>
      </c>
      <c r="B1429" s="26" t="s">
        <v>1722</v>
      </c>
      <c r="C1429" s="1"/>
      <c r="D1429" s="1"/>
      <c r="E1429" s="29" t="s">
        <v>33</v>
      </c>
      <c r="F1429" s="15"/>
      <c r="G1429" s="16"/>
      <c r="H1429" s="22" t="s">
        <v>1723</v>
      </c>
      <c r="I1429" s="7"/>
      <c r="J1429" s="7" t="str">
        <f>IFERROR(LET(_xlpm.v,
VLOOKUP($I1429,'用語辞書'!$A:$B,COLUMN('用語辞書'!B$1),FALSE),
IF(_xlpm.v=0,"",_xlpm.v)
),"")</f>
        <v/>
      </c>
      <c r="K1429" s="17"/>
      <c r="L1429" s="17" t="b">
        <f>IF(OR(COUNTIF('クラス'!$A$1:$A$1267,$B1429)&gt;0,$B1429="",$M1429=""),"",True)</f>
        <v>1</v>
      </c>
      <c r="M1429" s="1" t="str">
        <f t="shared" si="25"/>
        <v>存在しない</v>
      </c>
      <c r="N1429" s="1" t="s">
        <v>29</v>
      </c>
      <c r="O1429" s="1"/>
      <c r="P1429" s="11"/>
      <c r="Q1429" s="11"/>
      <c r="R1429" s="11"/>
      <c r="S1429" s="11"/>
      <c r="T1429" s="1"/>
      <c r="U1429" s="1"/>
      <c r="V1429" s="1"/>
      <c r="W1429" s="1"/>
      <c r="X1429" s="1"/>
      <c r="Y1429" s="1"/>
      <c r="Z1429" s="1"/>
    </row>
    <row r="1430" ht="18.0" hidden="1" customHeight="1" outlineLevel="2">
      <c r="A1430" s="26">
        <v>4.0</v>
      </c>
      <c r="B1430" s="26"/>
      <c r="C1430" s="1"/>
      <c r="D1430" s="1"/>
      <c r="E1430" s="29"/>
      <c r="F1430" s="15"/>
      <c r="G1430" s="30"/>
      <c r="H1430" s="22"/>
      <c r="I1430" s="7"/>
      <c r="J1430" s="7" t="str">
        <f>IFERROR(LET(_xlpm.v,
VLOOKUP($I1430,'用語辞書'!$A:$B,COLUMN('用語辞書'!B$1),FALSE),
IF(_xlpm.v=0,"",_xlpm.v)
),"")</f>
        <v/>
      </c>
      <c r="K1430" s="17"/>
      <c r="L1430" s="17" t="str">
        <f>IF(OR(COUNTIF('クラス'!$A$1:$A$1267,$B1430)&gt;0,$B1430="",$M1430=""),"",True)</f>
        <v/>
      </c>
      <c r="M1430" s="1" t="str">
        <f t="shared" si="25"/>
        <v>存在しない</v>
      </c>
      <c r="N1430" s="1" t="s">
        <v>29</v>
      </c>
      <c r="O1430" s="1"/>
      <c r="P1430" s="11"/>
      <c r="Q1430" s="11"/>
      <c r="R1430" s="11"/>
      <c r="S1430" s="11"/>
      <c r="T1430" s="1"/>
      <c r="U1430" s="1"/>
      <c r="V1430" s="1"/>
      <c r="W1430" s="1"/>
      <c r="X1430" s="1"/>
      <c r="Y1430" s="1"/>
      <c r="Z1430" s="1"/>
    </row>
    <row r="1431" ht="18.0" hidden="1" customHeight="1" outlineLevel="2">
      <c r="A1431" s="26">
        <v>5.0</v>
      </c>
      <c r="B1431" s="26" t="s">
        <v>1724</v>
      </c>
      <c r="C1431" s="1"/>
      <c r="D1431" s="1"/>
      <c r="E1431" s="29" t="s">
        <v>55</v>
      </c>
      <c r="F1431" s="15"/>
      <c r="G1431" s="16"/>
      <c r="H1431" s="22" t="s">
        <v>1725</v>
      </c>
      <c r="I1431" s="7"/>
      <c r="J1431" s="7" t="str">
        <f>IFERROR(LET(_xlpm.v,
VLOOKUP($I1431,'用語辞書'!$A:$B,COLUMN('用語辞書'!B$1),FALSE),
IF(_xlpm.v=0,"",_xlpm.v)
),"")</f>
        <v/>
      </c>
      <c r="K1431" s="17"/>
      <c r="L1431" s="17" t="b">
        <f>IF(OR(COUNTIF('クラス'!$A$1:$A$1267,$B1431)&gt;0,$B1431="",$M1431=""),"",True)</f>
        <v>1</v>
      </c>
      <c r="M1431" s="1" t="str">
        <f t="shared" si="25"/>
        <v>存在しない</v>
      </c>
      <c r="N1431" s="1" t="s">
        <v>29</v>
      </c>
      <c r="O1431" s="1"/>
      <c r="P1431" s="11"/>
      <c r="Q1431" s="11"/>
      <c r="R1431" s="11"/>
      <c r="S1431" s="11"/>
      <c r="T1431" s="1"/>
      <c r="U1431" s="1"/>
      <c r="V1431" s="1"/>
      <c r="W1431" s="1"/>
      <c r="X1431" s="1"/>
      <c r="Y1431" s="1"/>
      <c r="Z1431" s="1"/>
    </row>
    <row r="1432" ht="18.0" hidden="1" customHeight="1" outlineLevel="2">
      <c r="A1432" s="26">
        <v>6.0</v>
      </c>
      <c r="B1432" s="26" t="s">
        <v>39</v>
      </c>
      <c r="C1432" s="1"/>
      <c r="D1432" s="1"/>
      <c r="E1432" s="14"/>
      <c r="F1432" s="15"/>
      <c r="G1432" s="16"/>
      <c r="H1432" s="11"/>
      <c r="I1432" s="7"/>
      <c r="J1432" s="7" t="str">
        <f>IFERROR(LET(_xlpm.v,
VLOOKUP($I1432,'用語辞書'!$A:$B,COLUMN('用語辞書'!B$1),FALSE),
IF(_xlpm.v=0,"",_xlpm.v)
),"")</f>
        <v/>
      </c>
      <c r="K1432" s="17"/>
      <c r="L1432" s="17" t="str">
        <f>IF(OR(COUNTIF('クラス'!$A$1:$A$1267,$B1432)&gt;0,$B1432="",$M1432=""),"",True)</f>
        <v/>
      </c>
      <c r="M1432" s="1" t="str">
        <f t="shared" si="25"/>
        <v/>
      </c>
      <c r="N1432" s="1" t="s">
        <v>29</v>
      </c>
      <c r="O1432" s="1"/>
      <c r="P1432" s="11"/>
      <c r="Q1432" s="11"/>
      <c r="R1432" s="11"/>
      <c r="S1432" s="11"/>
      <c r="T1432" s="1"/>
      <c r="U1432" s="1"/>
      <c r="V1432" s="1"/>
      <c r="W1432" s="1"/>
      <c r="X1432" s="1"/>
      <c r="Y1432" s="1"/>
      <c r="Z1432" s="1"/>
    </row>
    <row r="1433" ht="18.0" hidden="1" customHeight="1" outlineLevel="2">
      <c r="A1433" s="26">
        <v>7.0</v>
      </c>
      <c r="B1433" s="26" t="s">
        <v>1726</v>
      </c>
      <c r="C1433" s="1"/>
      <c r="D1433" s="1"/>
      <c r="E1433" s="29" t="s">
        <v>55</v>
      </c>
      <c r="F1433" s="15"/>
      <c r="G1433" s="16"/>
      <c r="H1433" s="22" t="s">
        <v>1727</v>
      </c>
      <c r="I1433" s="7"/>
      <c r="J1433" s="7" t="str">
        <f>IFERROR(LET(_xlpm.v,
VLOOKUP($I1433,'用語辞書'!$A:$B,COLUMN('用語辞書'!B$1),FALSE),
IF(_xlpm.v=0,"",_xlpm.v)
),"")</f>
        <v/>
      </c>
      <c r="K1433" s="17"/>
      <c r="L1433" s="17" t="b">
        <f>IF(OR(COUNTIF('クラス'!$A$1:$A$1267,$B1433)&gt;0,$B1433="",$M1433=""),"",True)</f>
        <v>1</v>
      </c>
      <c r="M1433" s="1" t="str">
        <f t="shared" si="25"/>
        <v>存在しない</v>
      </c>
      <c r="N1433" s="1" t="s">
        <v>29</v>
      </c>
      <c r="O1433" s="1"/>
      <c r="P1433" s="11"/>
      <c r="Q1433" s="11"/>
      <c r="R1433" s="11"/>
      <c r="S1433" s="11"/>
      <c r="T1433" s="1"/>
      <c r="U1433" s="1"/>
      <c r="V1433" s="1"/>
      <c r="W1433" s="1"/>
      <c r="X1433" s="1"/>
      <c r="Y1433" s="1"/>
      <c r="Z1433" s="1"/>
    </row>
    <row r="1434" ht="18.0" hidden="1" customHeight="1" outlineLevel="2">
      <c r="A1434" s="26">
        <v>8.0</v>
      </c>
      <c r="B1434" s="1"/>
      <c r="C1434" s="1"/>
      <c r="D1434" s="1"/>
      <c r="E1434" s="14"/>
      <c r="F1434" s="15"/>
      <c r="G1434" s="16"/>
      <c r="H1434" s="11"/>
      <c r="I1434" s="7"/>
      <c r="J1434" s="7" t="str">
        <f>IFERROR(LET(_xlpm.v,
VLOOKUP($I1434,'用語辞書'!$A:$B,COLUMN('用語辞書'!B$1),FALSE),
IF(_xlpm.v=0,"",_xlpm.v)
),"")</f>
        <v/>
      </c>
      <c r="K1434" s="17"/>
      <c r="L1434" s="17" t="str">
        <f>IF(OR(COUNTIF('クラス'!$A$1:$A$1267,$B1434)&gt;0,$B1434="",$M1434=""),"",True)</f>
        <v/>
      </c>
      <c r="M1434" s="1" t="str">
        <f t="shared" si="25"/>
        <v>存在しない</v>
      </c>
      <c r="N1434" s="1" t="s">
        <v>29</v>
      </c>
      <c r="O1434" s="1"/>
      <c r="P1434" s="11"/>
      <c r="Q1434" s="11"/>
      <c r="R1434" s="11"/>
      <c r="S1434" s="11"/>
      <c r="T1434" s="1"/>
      <c r="U1434" s="1"/>
      <c r="V1434" s="1"/>
      <c r="W1434" s="1"/>
      <c r="X1434" s="1"/>
      <c r="Y1434" s="1"/>
      <c r="Z1434" s="1"/>
    </row>
    <row r="1435" ht="18.0" hidden="1" customHeight="1" outlineLevel="2">
      <c r="A1435" s="26">
        <v>9.0</v>
      </c>
      <c r="B1435" s="26" t="s">
        <v>1728</v>
      </c>
      <c r="C1435" s="1"/>
      <c r="D1435" s="1"/>
      <c r="E1435" s="29" t="s">
        <v>55</v>
      </c>
      <c r="F1435" s="15"/>
      <c r="G1435" s="16"/>
      <c r="H1435" s="22" t="s">
        <v>1729</v>
      </c>
      <c r="I1435" s="7"/>
      <c r="J1435" s="7" t="str">
        <f>IFERROR(LET(_xlpm.v,
VLOOKUP($I1435,'用語辞書'!$A:$B,COLUMN('用語辞書'!B$1),FALSE),
IF(_xlpm.v=0,"",_xlpm.v)
),"")</f>
        <v/>
      </c>
      <c r="K1435" s="17"/>
      <c r="L1435" s="17" t="b">
        <f>IF(OR(COUNTIF('クラス'!$A$1:$A$1267,$B1435)&gt;0,$B1435="",$M1435=""),"",True)</f>
        <v>1</v>
      </c>
      <c r="M1435" s="1" t="str">
        <f t="shared" si="25"/>
        <v>存在しない</v>
      </c>
      <c r="N1435" s="1" t="s">
        <v>29</v>
      </c>
      <c r="O1435" s="1"/>
      <c r="P1435" s="11"/>
      <c r="Q1435" s="11"/>
      <c r="R1435" s="11"/>
      <c r="S1435" s="11"/>
      <c r="T1435" s="1"/>
      <c r="U1435" s="1"/>
      <c r="V1435" s="1"/>
      <c r="W1435" s="1"/>
      <c r="X1435" s="1"/>
      <c r="Y1435" s="1"/>
      <c r="Z1435" s="1"/>
    </row>
    <row r="1436" ht="18.0" hidden="1" customHeight="1" outlineLevel="2">
      <c r="A1436" s="26">
        <v>10.0</v>
      </c>
      <c r="B1436" s="1"/>
      <c r="C1436" s="1"/>
      <c r="D1436" s="1"/>
      <c r="E1436" s="14"/>
      <c r="F1436" s="15"/>
      <c r="G1436" s="16"/>
      <c r="H1436" s="11"/>
      <c r="I1436" s="7"/>
      <c r="J1436" s="7" t="str">
        <f>IFERROR(LET(_xlpm.v,
VLOOKUP($I1436,'用語辞書'!$A:$B,COLUMN('用語辞書'!B$1),FALSE),
IF(_xlpm.v=0,"",_xlpm.v)
),"")</f>
        <v/>
      </c>
      <c r="K1436" s="17"/>
      <c r="L1436" s="17" t="str">
        <f>IF(OR(COUNTIF('クラス'!$A$1:$A$1267,$B1436)&gt;0,$B1436="",$M1436=""),"",True)</f>
        <v/>
      </c>
      <c r="M1436" s="1" t="str">
        <f t="shared" si="25"/>
        <v>存在しない</v>
      </c>
      <c r="N1436" s="1" t="s">
        <v>29</v>
      </c>
      <c r="O1436" s="1"/>
      <c r="P1436" s="11"/>
      <c r="Q1436" s="11"/>
      <c r="R1436" s="11"/>
      <c r="S1436" s="11"/>
      <c r="T1436" s="1"/>
      <c r="U1436" s="1"/>
      <c r="V1436" s="1"/>
      <c r="W1436" s="1"/>
      <c r="X1436" s="1"/>
      <c r="Y1436" s="1"/>
      <c r="Z1436" s="1"/>
    </row>
    <row r="1437" ht="18.0" hidden="1" customHeight="1" outlineLevel="2">
      <c r="A1437" s="1"/>
      <c r="B1437" s="1"/>
      <c r="C1437" s="1"/>
      <c r="D1437" s="1"/>
      <c r="E1437" s="14"/>
      <c r="F1437" s="15"/>
      <c r="G1437" s="16"/>
      <c r="H1437" s="11"/>
      <c r="I1437" s="7"/>
      <c r="J1437" s="7" t="str">
        <f>IFERROR(LET(_xlpm.v,
VLOOKUP($I1437,'用語辞書'!$A:$B,COLUMN('用語辞書'!B$1),FALSE),
IF(_xlpm.v=0,"",_xlpm.v)
),"")</f>
        <v/>
      </c>
      <c r="K1437" s="17"/>
      <c r="L1437" s="17" t="str">
        <f>IF(OR(COUNTIF('クラス'!$A$1:$A$1267,$B1437)&gt;0,$B1437="",$M1437=""),"",True)</f>
        <v/>
      </c>
      <c r="M1437" s="1" t="str">
        <f t="shared" si="25"/>
        <v>存在しない</v>
      </c>
      <c r="N1437" s="1" t="s">
        <v>29</v>
      </c>
      <c r="O1437" s="1"/>
      <c r="P1437" s="11"/>
      <c r="Q1437" s="11"/>
      <c r="R1437" s="11"/>
      <c r="S1437" s="11"/>
      <c r="T1437" s="1"/>
      <c r="U1437" s="1"/>
      <c r="V1437" s="1"/>
      <c r="W1437" s="1"/>
      <c r="X1437" s="1"/>
      <c r="Y1437" s="1"/>
      <c r="Z1437" s="1"/>
    </row>
    <row r="1438" ht="18.0" hidden="1" customHeight="1" outlineLevel="1" collapsed="1">
      <c r="A1438" s="1"/>
      <c r="B1438" s="1"/>
      <c r="C1438" s="1"/>
      <c r="D1438" s="1"/>
      <c r="E1438" s="14"/>
      <c r="F1438" s="15"/>
      <c r="G1438" s="16"/>
      <c r="H1438" s="11"/>
      <c r="I1438" s="7"/>
      <c r="J1438" s="7" t="str">
        <f>IFERROR(LET(_xlpm.v,
VLOOKUP($I1438,'用語辞書'!$A:$B,COLUMN('用語辞書'!B$1),FALSE),
IF(_xlpm.v=0,"",_xlpm.v)
),"")</f>
        <v/>
      </c>
      <c r="K1438" s="17"/>
      <c r="L1438" s="17" t="str">
        <f>IF(OR(COUNTIF('クラス'!$A$1:$A$1267,$B1438)&gt;0,$B1438="",$M1438=""),"",True)</f>
        <v/>
      </c>
      <c r="M1438" s="1" t="str">
        <f t="shared" si="25"/>
        <v>存在しない</v>
      </c>
      <c r="N1438" s="1" t="s">
        <v>29</v>
      </c>
      <c r="O1438" s="1"/>
      <c r="P1438" s="11"/>
      <c r="Q1438" s="11"/>
      <c r="R1438" s="11"/>
      <c r="S1438" s="11"/>
      <c r="T1438" s="1"/>
      <c r="U1438" s="1"/>
      <c r="V1438" s="1"/>
      <c r="W1438" s="1"/>
      <c r="X1438" s="1"/>
      <c r="Y1438" s="1"/>
      <c r="Z1438" s="1"/>
    </row>
    <row r="1439" ht="18.0" customHeight="1" outlineLevel="1">
      <c r="A1439" s="1"/>
      <c r="B1439" s="26" t="s">
        <v>1730</v>
      </c>
      <c r="C1439" s="1"/>
      <c r="D1439" s="1"/>
      <c r="E1439" s="14"/>
      <c r="F1439" s="15"/>
      <c r="G1439" s="16"/>
      <c r="H1439" s="11"/>
      <c r="I1439" s="7"/>
      <c r="J1439" s="7" t="str">
        <f>IFERROR(LET(_xlpm.v,
VLOOKUP($I1439,'用語辞書'!$A:$B,COLUMN('用語辞書'!B$1),FALSE),
IF(_xlpm.v=0,"",_xlpm.v)
),"")</f>
        <v/>
      </c>
      <c r="K1439" s="17"/>
      <c r="L1439" s="17" t="str">
        <f>IF(OR(COUNTIF('クラス'!$A$1:$A$1267,$B1439)&gt;0,$B1439="",$M1439=""),"",True)</f>
        <v/>
      </c>
      <c r="M1439" s="1" t="str">
        <f t="shared" si="25"/>
        <v>存在しない</v>
      </c>
      <c r="N1439" s="1" t="s">
        <v>29</v>
      </c>
      <c r="O1439" s="1"/>
      <c r="P1439" s="11"/>
      <c r="Q1439" s="11"/>
      <c r="R1439" s="11"/>
      <c r="S1439" s="11"/>
      <c r="T1439" s="1"/>
      <c r="U1439" s="1"/>
      <c r="V1439" s="1"/>
      <c r="W1439" s="1"/>
      <c r="X1439" s="1"/>
      <c r="Y1439" s="1"/>
      <c r="Z1439" s="1"/>
    </row>
    <row r="1440" ht="18.0" customHeight="1" outlineLevel="2">
      <c r="A1440" s="27" t="s">
        <v>1731</v>
      </c>
      <c r="B1440" s="26" t="s">
        <v>1732</v>
      </c>
      <c r="C1440" s="1"/>
      <c r="D1440" s="1"/>
      <c r="E1440" s="29" t="s">
        <v>33</v>
      </c>
      <c r="F1440" s="15"/>
      <c r="G1440" s="30">
        <v>40.0</v>
      </c>
      <c r="H1440" s="22" t="s">
        <v>1733</v>
      </c>
      <c r="I1440" s="7"/>
      <c r="J1440" s="32" t="s">
        <v>1734</v>
      </c>
      <c r="K1440" s="17"/>
      <c r="L1440" s="17" t="b">
        <f>IF(OR(COUNTIF('クラス'!$A$1:$A$1267,$B1440)&gt;0,$B1440="",$M1440=""),"",True)</f>
        <v>1</v>
      </c>
      <c r="M1440" s="1" t="str">
        <f t="shared" si="25"/>
        <v>存在しない</v>
      </c>
      <c r="N1440" s="1" t="s">
        <v>29</v>
      </c>
      <c r="O1440" s="1"/>
      <c r="P1440" s="11"/>
      <c r="Q1440" s="11"/>
      <c r="R1440" s="11"/>
      <c r="S1440" s="11"/>
      <c r="T1440" s="1"/>
      <c r="U1440" s="1"/>
      <c r="V1440" s="1"/>
      <c r="W1440" s="1"/>
      <c r="X1440" s="1"/>
      <c r="Y1440" s="1"/>
      <c r="Z1440" s="1"/>
    </row>
    <row r="1441" ht="18.0" customHeight="1" outlineLevel="2">
      <c r="A1441" s="27" t="s">
        <v>1735</v>
      </c>
      <c r="B1441" s="1"/>
      <c r="C1441" s="1"/>
      <c r="D1441" s="1"/>
      <c r="E1441" s="14"/>
      <c r="F1441" s="15"/>
      <c r="G1441" s="16"/>
      <c r="H1441" s="11"/>
      <c r="I1441" s="7"/>
      <c r="J1441" s="7" t="str">
        <f>IFERROR(LET(_xlpm.v,
VLOOKUP($I1441,'用語辞書'!$A:$B,COLUMN('用語辞書'!B$1),FALSE),
IF(_xlpm.v=0,"",_xlpm.v)
),"")</f>
        <v/>
      </c>
      <c r="K1441" s="17"/>
      <c r="L1441" s="17" t="str">
        <f>IF(OR(COUNTIF('クラス'!$A$1:$A$1267,$B1441)&gt;0,$B1441="",$M1441=""),"",True)</f>
        <v/>
      </c>
      <c r="M1441" s="1" t="str">
        <f t="shared" si="25"/>
        <v>存在しない</v>
      </c>
      <c r="N1441" s="1" t="s">
        <v>29</v>
      </c>
      <c r="O1441" s="1"/>
      <c r="P1441" s="11"/>
      <c r="Q1441" s="11"/>
      <c r="R1441" s="11"/>
      <c r="S1441" s="11"/>
      <c r="T1441" s="1"/>
      <c r="U1441" s="1"/>
      <c r="V1441" s="1"/>
      <c r="W1441" s="1"/>
      <c r="X1441" s="1"/>
      <c r="Y1441" s="1"/>
      <c r="Z1441" s="1"/>
    </row>
    <row r="1442" ht="18.0" customHeight="1" outlineLevel="2">
      <c r="A1442" s="27" t="s">
        <v>1736</v>
      </c>
      <c r="B1442" s="26" t="s">
        <v>1737</v>
      </c>
      <c r="C1442" s="1"/>
      <c r="D1442" s="1"/>
      <c r="E1442" s="29" t="s">
        <v>55</v>
      </c>
      <c r="F1442" s="15"/>
      <c r="G1442" s="16"/>
      <c r="H1442" s="22" t="s">
        <v>1738</v>
      </c>
      <c r="I1442" s="7"/>
      <c r="J1442" s="32" t="s">
        <v>1739</v>
      </c>
      <c r="K1442" s="17"/>
      <c r="L1442" s="17" t="b">
        <f>IF(OR(COUNTIF('クラス'!$A$1:$A$1267,$B1442)&gt;0,$B1442="",$M1442=""),"",True)</f>
        <v>1</v>
      </c>
      <c r="M1442" s="1" t="str">
        <f t="shared" si="25"/>
        <v>存在しない</v>
      </c>
      <c r="N1442" s="1" t="s">
        <v>29</v>
      </c>
      <c r="O1442" s="1"/>
      <c r="P1442" s="11"/>
      <c r="Q1442" s="11"/>
      <c r="R1442" s="11"/>
      <c r="S1442" s="11"/>
      <c r="T1442" s="1"/>
      <c r="U1442" s="1"/>
      <c r="V1442" s="1"/>
      <c r="W1442" s="1"/>
      <c r="X1442" s="1"/>
      <c r="Y1442" s="1"/>
      <c r="Z1442" s="1"/>
    </row>
    <row r="1443" ht="18.0" customHeight="1" outlineLevel="2">
      <c r="A1443" s="27" t="s">
        <v>1740</v>
      </c>
      <c r="B1443" s="26"/>
      <c r="C1443" s="1"/>
      <c r="D1443" s="1"/>
      <c r="E1443" s="29"/>
      <c r="F1443" s="15"/>
      <c r="G1443" s="30"/>
      <c r="H1443" s="22"/>
      <c r="I1443" s="7"/>
      <c r="J1443" s="7" t="str">
        <f>IFERROR(LET(_xlpm.v,
VLOOKUP($I1443,'用語辞書'!$A:$B,COLUMN('用語辞書'!B$1),FALSE),
IF(_xlpm.v=0,"",_xlpm.v)
),"")</f>
        <v/>
      </c>
      <c r="K1443" s="17"/>
      <c r="L1443" s="17" t="str">
        <f>IF(OR(COUNTIF('クラス'!$A$1:$A$1267,$B1443)&gt;0,$B1443="",$M1443=""),"",True)</f>
        <v/>
      </c>
      <c r="M1443" s="1" t="str">
        <f t="shared" si="25"/>
        <v>存在しない</v>
      </c>
      <c r="N1443" s="1" t="s">
        <v>29</v>
      </c>
      <c r="O1443" s="1"/>
      <c r="P1443" s="11"/>
      <c r="Q1443" s="11"/>
      <c r="R1443" s="11"/>
      <c r="S1443" s="11"/>
      <c r="T1443" s="1"/>
      <c r="U1443" s="1"/>
      <c r="V1443" s="1"/>
      <c r="W1443" s="1"/>
      <c r="X1443" s="1"/>
      <c r="Y1443" s="1"/>
      <c r="Z1443" s="1"/>
    </row>
    <row r="1444" ht="18.0" customHeight="1" outlineLevel="2">
      <c r="A1444" s="27" t="s">
        <v>1741</v>
      </c>
      <c r="B1444" s="26" t="s">
        <v>1742</v>
      </c>
      <c r="C1444" s="1"/>
      <c r="D1444" s="1"/>
      <c r="E1444" s="29" t="s">
        <v>33</v>
      </c>
      <c r="F1444" s="15"/>
      <c r="G1444" s="30">
        <v>60.0</v>
      </c>
      <c r="H1444" s="22" t="s">
        <v>1743</v>
      </c>
      <c r="I1444" s="7"/>
      <c r="J1444" s="32" t="s">
        <v>1744</v>
      </c>
      <c r="K1444" s="17"/>
      <c r="L1444" s="17" t="b">
        <f>IF(OR(COUNTIF('クラス'!$A$1:$A$1267,$B1444)&gt;0,$B1444="",$M1444=""),"",True)</f>
        <v>1</v>
      </c>
      <c r="M1444" s="1" t="str">
        <f t="shared" si="25"/>
        <v>存在しない</v>
      </c>
      <c r="N1444" s="1" t="s">
        <v>29</v>
      </c>
      <c r="O1444" s="1"/>
      <c r="P1444" s="11"/>
      <c r="Q1444" s="11"/>
      <c r="R1444" s="11"/>
      <c r="S1444" s="11"/>
      <c r="T1444" s="1"/>
      <c r="U1444" s="1"/>
      <c r="V1444" s="1"/>
      <c r="W1444" s="1"/>
      <c r="X1444" s="1"/>
      <c r="Y1444" s="1"/>
      <c r="Z1444" s="1"/>
    </row>
    <row r="1445" ht="18.0" customHeight="1" outlineLevel="2">
      <c r="A1445" s="27" t="s">
        <v>1745</v>
      </c>
      <c r="B1445" s="26"/>
      <c r="C1445" s="1"/>
      <c r="D1445" s="1"/>
      <c r="E1445" s="14"/>
      <c r="F1445" s="15"/>
      <c r="G1445" s="16"/>
      <c r="H1445" s="11"/>
      <c r="I1445" s="7"/>
      <c r="J1445" s="7" t="str">
        <f>IFERROR(LET(_xlpm.v,
VLOOKUP($I1445,'用語辞書'!$A:$B,COLUMN('用語辞書'!B$1),FALSE),
IF(_xlpm.v=0,"",_xlpm.v)
),"")</f>
        <v/>
      </c>
      <c r="K1445" s="17"/>
      <c r="L1445" s="17" t="str">
        <f>IF(OR(COUNTIF('クラス'!$A$1:$A$1267,$B1445)&gt;0,$B1445="",$M1445=""),"",True)</f>
        <v/>
      </c>
      <c r="M1445" s="1" t="str">
        <f t="shared" si="25"/>
        <v>存在しない</v>
      </c>
      <c r="N1445" s="1" t="s">
        <v>29</v>
      </c>
      <c r="O1445" s="1"/>
      <c r="P1445" s="11"/>
      <c r="Q1445" s="11"/>
      <c r="R1445" s="11"/>
      <c r="S1445" s="11"/>
      <c r="T1445" s="1"/>
      <c r="U1445" s="1"/>
      <c r="V1445" s="1"/>
      <c r="W1445" s="1"/>
      <c r="X1445" s="1"/>
      <c r="Y1445" s="1"/>
      <c r="Z1445" s="1"/>
    </row>
    <row r="1446" ht="18.0" customHeight="1" outlineLevel="2">
      <c r="A1446" s="27" t="s">
        <v>1746</v>
      </c>
      <c r="B1446" s="26" t="s">
        <v>1747</v>
      </c>
      <c r="C1446" s="1"/>
      <c r="D1446" s="1"/>
      <c r="E1446" s="29" t="s">
        <v>55</v>
      </c>
      <c r="F1446" s="15"/>
      <c r="G1446" s="16"/>
      <c r="H1446" s="22" t="s">
        <v>1748</v>
      </c>
      <c r="I1446" s="7"/>
      <c r="J1446" s="32" t="s">
        <v>1749</v>
      </c>
      <c r="K1446" s="17"/>
      <c r="L1446" s="17" t="b">
        <f>IF(OR(COUNTIF('クラス'!$A$1:$A$1267,$B1446)&gt;0,$B1446="",$M1446=""),"",True)</f>
        <v>1</v>
      </c>
      <c r="M1446" s="1" t="str">
        <f t="shared" si="25"/>
        <v>存在しない</v>
      </c>
      <c r="N1446" s="1" t="s">
        <v>29</v>
      </c>
      <c r="O1446" s="1"/>
      <c r="P1446" s="11"/>
      <c r="Q1446" s="11"/>
      <c r="R1446" s="11"/>
      <c r="S1446" s="11"/>
      <c r="T1446" s="1"/>
      <c r="U1446" s="1"/>
      <c r="V1446" s="1"/>
      <c r="W1446" s="1"/>
      <c r="X1446" s="1"/>
      <c r="Y1446" s="1"/>
      <c r="Z1446" s="1"/>
    </row>
    <row r="1447" ht="18.0" customHeight="1" outlineLevel="2">
      <c r="A1447" s="27" t="s">
        <v>1750</v>
      </c>
      <c r="B1447" s="1"/>
      <c r="C1447" s="1"/>
      <c r="D1447" s="1"/>
      <c r="E1447" s="14"/>
      <c r="F1447" s="15"/>
      <c r="G1447" s="16"/>
      <c r="H1447" s="11"/>
      <c r="I1447" s="7"/>
      <c r="J1447" s="7" t="str">
        <f>IFERROR(LET(_xlpm.v,
VLOOKUP($I1447,'用語辞書'!$A:$B,COLUMN('用語辞書'!B$1),FALSE),
IF(_xlpm.v=0,"",_xlpm.v)
),"")</f>
        <v/>
      </c>
      <c r="K1447" s="17"/>
      <c r="L1447" s="17" t="str">
        <f>IF(OR(COUNTIF('クラス'!$A$1:$A$1267,$B1447)&gt;0,$B1447="",$M1447=""),"",True)</f>
        <v/>
      </c>
      <c r="M1447" s="1" t="str">
        <f t="shared" si="25"/>
        <v>存在しない</v>
      </c>
      <c r="N1447" s="1" t="s">
        <v>29</v>
      </c>
      <c r="O1447" s="1"/>
      <c r="P1447" s="11"/>
      <c r="Q1447" s="11"/>
      <c r="R1447" s="11"/>
      <c r="S1447" s="11"/>
      <c r="T1447" s="1"/>
      <c r="U1447" s="1"/>
      <c r="V1447" s="1"/>
      <c r="W1447" s="1"/>
      <c r="X1447" s="1"/>
      <c r="Y1447" s="1"/>
      <c r="Z1447" s="1"/>
    </row>
    <row r="1448" ht="18.0" customHeight="1" outlineLevel="2">
      <c r="A1448" s="27" t="s">
        <v>1751</v>
      </c>
      <c r="B1448" s="26" t="s">
        <v>1752</v>
      </c>
      <c r="C1448" s="1"/>
      <c r="D1448" s="1"/>
      <c r="E1448" s="29" t="s">
        <v>33</v>
      </c>
      <c r="F1448" s="15"/>
      <c r="G1448" s="30">
        <v>60.0</v>
      </c>
      <c r="H1448" s="22" t="s">
        <v>1753</v>
      </c>
      <c r="I1448" s="7"/>
      <c r="J1448" s="32" t="s">
        <v>1754</v>
      </c>
      <c r="K1448" s="17"/>
      <c r="L1448" s="17" t="b">
        <f>IF(OR(COUNTIF('クラス'!$A$1:$A$1267,$B1448)&gt;0,$B1448="",$M1448=""),"",True)</f>
        <v>1</v>
      </c>
      <c r="M1448" s="1" t="str">
        <f t="shared" si="25"/>
        <v>存在しない</v>
      </c>
      <c r="N1448" s="1" t="s">
        <v>29</v>
      </c>
      <c r="O1448" s="1"/>
      <c r="P1448" s="11"/>
      <c r="Q1448" s="11"/>
      <c r="R1448" s="11"/>
      <c r="S1448" s="11"/>
      <c r="T1448" s="1"/>
      <c r="U1448" s="1"/>
      <c r="V1448" s="1"/>
      <c r="W1448" s="1"/>
      <c r="X1448" s="1"/>
      <c r="Y1448" s="1"/>
      <c r="Z1448" s="1"/>
    </row>
    <row r="1449" ht="18.0" customHeight="1" outlineLevel="2">
      <c r="A1449" s="27" t="s">
        <v>1755</v>
      </c>
      <c r="B1449" s="26" t="s">
        <v>1756</v>
      </c>
      <c r="C1449" s="1"/>
      <c r="D1449" s="1"/>
      <c r="E1449" s="29" t="s">
        <v>55</v>
      </c>
      <c r="F1449" s="15"/>
      <c r="G1449" s="30"/>
      <c r="H1449" s="22" t="s">
        <v>1757</v>
      </c>
      <c r="I1449" s="7"/>
      <c r="J1449" s="32" t="s">
        <v>1758</v>
      </c>
      <c r="K1449" s="17"/>
      <c r="L1449" s="17" t="b">
        <f>IF(OR(COUNTIF('クラス'!$A$1:$A$1267,$B1449)&gt;0,$B1449="",$M1449=""),"",True)</f>
        <v>1</v>
      </c>
      <c r="M1449" s="1" t="str">
        <f t="shared" si="25"/>
        <v>存在しない</v>
      </c>
      <c r="N1449" s="1" t="s">
        <v>29</v>
      </c>
      <c r="O1449" s="1"/>
      <c r="P1449" s="11"/>
      <c r="Q1449" s="11"/>
      <c r="R1449" s="11"/>
      <c r="S1449" s="11"/>
      <c r="T1449" s="1"/>
      <c r="U1449" s="1"/>
      <c r="V1449" s="1"/>
      <c r="W1449" s="1"/>
      <c r="X1449" s="1"/>
      <c r="Y1449" s="1"/>
      <c r="Z1449" s="1"/>
    </row>
    <row r="1450" ht="18.0" customHeight="1" outlineLevel="1" collapsed="1">
      <c r="A1450" s="1"/>
      <c r="B1450" s="1"/>
      <c r="C1450" s="1"/>
      <c r="D1450" s="1"/>
      <c r="E1450" s="14"/>
      <c r="F1450" s="15"/>
      <c r="G1450" s="16"/>
      <c r="H1450" s="11"/>
      <c r="I1450" s="7"/>
      <c r="J1450" s="7" t="str">
        <f>IFERROR(LET(_xlpm.v,
VLOOKUP($I1450,'用語辞書'!$A:$B,COLUMN('用語辞書'!B$1),FALSE),
IF(_xlpm.v=0,"",_xlpm.v)
),"")</f>
        <v/>
      </c>
      <c r="K1450" s="17"/>
      <c r="L1450" s="17" t="str">
        <f>IF(OR(COUNTIF('クラス'!$A$1:$A$1267,$B1450)&gt;0,$B1450="",$M1450=""),"",True)</f>
        <v/>
      </c>
      <c r="M1450" s="1" t="str">
        <f t="shared" si="25"/>
        <v>存在しない</v>
      </c>
      <c r="N1450" s="1" t="s">
        <v>29</v>
      </c>
      <c r="O1450" s="1"/>
      <c r="P1450" s="11"/>
      <c r="Q1450" s="11"/>
      <c r="R1450" s="11"/>
      <c r="S1450" s="11"/>
      <c r="T1450" s="1"/>
      <c r="U1450" s="1"/>
      <c r="V1450" s="1"/>
      <c r="W1450" s="1"/>
      <c r="X1450" s="1"/>
      <c r="Y1450" s="1"/>
      <c r="Z1450" s="1"/>
    </row>
    <row r="1451" ht="18.0" customHeight="1" outlineLevel="1">
      <c r="A1451" s="1"/>
      <c r="B1451" s="1"/>
      <c r="C1451" s="1"/>
      <c r="D1451" s="1"/>
      <c r="E1451" s="14"/>
      <c r="F1451" s="15"/>
      <c r="G1451" s="16"/>
      <c r="H1451" s="11"/>
      <c r="I1451" s="7"/>
      <c r="J1451" s="7" t="str">
        <f>IFERROR(LET(_xlpm.v,
VLOOKUP($I1451,'用語辞書'!$A:$B,COLUMN('用語辞書'!B$1),FALSE),
IF(_xlpm.v=0,"",_xlpm.v)
),"")</f>
        <v/>
      </c>
      <c r="K1451" s="17"/>
      <c r="L1451" s="17" t="str">
        <f>IF(OR(COUNTIF('クラス'!$A$1:$A$1267,$B1451)&gt;0,$B1451="",$M1451=""),"",True)</f>
        <v/>
      </c>
      <c r="M1451" s="1" t="str">
        <f t="shared" si="25"/>
        <v>存在しない</v>
      </c>
      <c r="N1451" s="1" t="s">
        <v>29</v>
      </c>
      <c r="O1451" s="1"/>
      <c r="P1451" s="11"/>
      <c r="Q1451" s="11"/>
      <c r="R1451" s="11"/>
      <c r="S1451" s="11"/>
      <c r="T1451" s="1"/>
      <c r="U1451" s="1"/>
      <c r="V1451" s="1"/>
      <c r="W1451" s="1"/>
      <c r="X1451" s="1"/>
      <c r="Y1451" s="1"/>
      <c r="Z1451" s="1"/>
    </row>
    <row r="1452" ht="18.0" customHeight="1" collapsed="1">
      <c r="A1452" s="1"/>
      <c r="B1452" s="1"/>
      <c r="C1452" s="26" t="s">
        <v>1759</v>
      </c>
      <c r="D1452" s="1"/>
      <c r="E1452" s="14"/>
      <c r="F1452" s="15"/>
      <c r="G1452" s="16"/>
      <c r="H1452" s="11"/>
      <c r="I1452" s="7"/>
      <c r="J1452" s="7" t="str">
        <f>IFERROR(LET(_xlpm.v,
VLOOKUP($I1452,'用語辞書'!$A:$B,COLUMN('用語辞書'!B$1),FALSE),
IF(_xlpm.v=0,"",_xlpm.v)
),"")</f>
        <v/>
      </c>
      <c r="K1452" s="17"/>
      <c r="L1452" s="17" t="str">
        <f>IF(OR(COUNTIF('クラス'!$A$1:$A$1267,$B1452)&gt;0,$B1452="",$M1452=""),"",True)</f>
        <v/>
      </c>
      <c r="M1452" s="1" t="str">
        <f>IF(COUNTIF($B$1:$C1150, $B1452), "", "存在しない")</f>
        <v>存在しない</v>
      </c>
      <c r="N1452" s="1" t="s">
        <v>29</v>
      </c>
      <c r="O1452" s="1"/>
      <c r="P1452" s="11"/>
      <c r="Q1452" s="11"/>
      <c r="R1452" s="11"/>
      <c r="S1452" s="11"/>
      <c r="T1452" s="1"/>
      <c r="U1452" s="1"/>
      <c r="V1452" s="1"/>
      <c r="W1452" s="1"/>
      <c r="X1452" s="1"/>
      <c r="Y1452" s="1"/>
      <c r="Z1452" s="1"/>
    </row>
    <row r="1453" ht="18.0" customHeight="1" outlineLevel="1">
      <c r="A1453" s="1"/>
      <c r="B1453" s="37" t="s">
        <v>1760</v>
      </c>
      <c r="C1453" s="1"/>
      <c r="D1453" s="38" t="s">
        <v>284</v>
      </c>
      <c r="E1453" s="14" t="s">
        <v>282</v>
      </c>
      <c r="F1453" s="15"/>
      <c r="G1453" s="16"/>
      <c r="H1453" s="11"/>
      <c r="I1453" s="7"/>
      <c r="J1453" s="7" t="str">
        <f>IFERROR(LET(_xlpm.v,
VLOOKUP($I1453,'用語辞書'!$A:$B,COLUMN('用語辞書'!B$1),FALSE),
IF(_xlpm.v=0,"",_xlpm.v)
),"")</f>
        <v/>
      </c>
      <c r="K1453" s="17"/>
      <c r="L1453" s="17" t="str">
        <f>IF(OR(COUNTIF('クラス'!$A$1:$A$1267,$B1453)&gt;0,$B1453="",$M1453=""),"",True)</f>
        <v/>
      </c>
      <c r="M1453" s="1" t="str">
        <f t="shared" ref="M1453:M1530" si="26">IF(COUNTIF($B$1:$C1452, $B1453), "", "存在しない")</f>
        <v>存在しない</v>
      </c>
      <c r="N1453" s="1" t="s">
        <v>29</v>
      </c>
      <c r="O1453" s="1"/>
      <c r="P1453" s="11"/>
      <c r="Q1453" s="11"/>
      <c r="R1453" s="11"/>
      <c r="S1453" s="11"/>
      <c r="T1453" s="1"/>
      <c r="U1453" s="1"/>
      <c r="V1453" s="1"/>
      <c r="W1453" s="1"/>
      <c r="X1453" s="1"/>
      <c r="Y1453" s="1"/>
      <c r="Z1453" s="1"/>
    </row>
    <row r="1454" ht="18.0" hidden="1" customHeight="1" outlineLevel="2">
      <c r="A1454" s="1">
        <v>1.0</v>
      </c>
      <c r="B1454" s="1" t="str">
        <f>D1453&amp;"の適用"</f>
        <v>炎の適用</v>
      </c>
      <c r="C1454" s="1"/>
      <c r="D1454" s="38"/>
      <c r="E1454" s="14" t="s">
        <v>55</v>
      </c>
      <c r="F1454" s="15"/>
      <c r="G1454" s="16"/>
      <c r="H1454" s="11" t="str">
        <f>D1453&amp;"耐性+30"</f>
        <v>炎耐性+30</v>
      </c>
      <c r="I1454" s="7"/>
      <c r="J1454" s="7" t="str">
        <f>IFERROR(LET(_xlpm.v,
VLOOKUP($I1454,'用語辞書'!$A:$B,COLUMN('用語辞書'!B$1),FALSE),
IF(_xlpm.v=0,"",_xlpm.v)
),"")</f>
        <v/>
      </c>
      <c r="K1454" s="17"/>
      <c r="L1454" s="17" t="b">
        <f>IF(OR(COUNTIF('クラス'!$A$1:$A$1267,$B1454)&gt;0,$B1454="",$M1454=""),"",True)</f>
        <v>1</v>
      </c>
      <c r="M1454" s="1" t="str">
        <f t="shared" si="26"/>
        <v>存在しない</v>
      </c>
      <c r="N1454" s="1" t="e">
        <v>#VALUE!</v>
      </c>
      <c r="O1454" s="1"/>
      <c r="P1454" s="11"/>
      <c r="Q1454" s="11"/>
      <c r="R1454" s="11"/>
      <c r="S1454" s="11"/>
      <c r="T1454" s="1"/>
      <c r="U1454" s="1"/>
      <c r="V1454" s="1"/>
      <c r="W1454" s="1"/>
      <c r="X1454" s="1"/>
      <c r="Y1454" s="1"/>
      <c r="Z1454" s="1"/>
    </row>
    <row r="1455" ht="18.0" hidden="1" customHeight="1" outlineLevel="2">
      <c r="A1455" s="1">
        <v>2.0</v>
      </c>
      <c r="B1455" s="26" t="s">
        <v>282</v>
      </c>
      <c r="C1455" s="1"/>
      <c r="D1455" s="38"/>
      <c r="E1455" s="14"/>
      <c r="F1455" s="15"/>
      <c r="G1455" s="16"/>
      <c r="H1455" s="11"/>
      <c r="I1455" s="7"/>
      <c r="J1455" s="7" t="str">
        <f>IFERROR(LET(_xlpm.v,
VLOOKUP($I1455,'用語辞書'!$A:$B,COLUMN('用語辞書'!B$1),FALSE),
IF(_xlpm.v=0,"",_xlpm.v)
),"")</f>
        <v/>
      </c>
      <c r="K1455" s="17"/>
      <c r="L1455" s="17" t="str">
        <f>IF(OR(COUNTIF('クラス'!$A$1:$A$1267,$B1455)&gt;0,$B1455="",$M1455=""),"",True)</f>
        <v/>
      </c>
      <c r="M1455" s="1" t="str">
        <f t="shared" si="26"/>
        <v/>
      </c>
      <c r="N1455" s="1" t="s">
        <v>29</v>
      </c>
      <c r="O1455" s="1"/>
      <c r="P1455" s="11"/>
      <c r="Q1455" s="11"/>
      <c r="R1455" s="11"/>
      <c r="S1455" s="11"/>
      <c r="T1455" s="1"/>
      <c r="U1455" s="1"/>
      <c r="V1455" s="1"/>
      <c r="W1455" s="1"/>
      <c r="X1455" s="1"/>
      <c r="Y1455" s="1"/>
      <c r="Z1455" s="1"/>
    </row>
    <row r="1456" ht="18.0" hidden="1" customHeight="1" outlineLevel="2">
      <c r="A1456" s="1">
        <v>3.0</v>
      </c>
      <c r="B1456" s="1" t="str">
        <f>D1453&amp;"の体"</f>
        <v>炎の体</v>
      </c>
      <c r="C1456" s="1"/>
      <c r="D1456" s="38"/>
      <c r="E1456" s="14" t="s">
        <v>33</v>
      </c>
      <c r="F1456" s="15">
        <v>5.0</v>
      </c>
      <c r="G1456" s="16">
        <v>20.0</v>
      </c>
      <c r="H1456" s="11" t="str">
        <f>"効果時間6t 攻撃手段:肉体 "&amp;D1453&amp;"+15 判定:攻撃"</f>
        <v>効果時間6t 攻撃手段:肉体 炎+15 判定:攻撃</v>
      </c>
      <c r="I1456" s="7"/>
      <c r="J1456" s="7" t="str">
        <f>IFERROR(LET(_xlpm.v,
VLOOKUP($I1456,'用語辞書'!$A:$B,COLUMN('用語辞書'!B$1),FALSE),
IF(_xlpm.v=0,"",_xlpm.v)
),"")</f>
        <v/>
      </c>
      <c r="K1456" s="17"/>
      <c r="L1456" s="17" t="b">
        <f>IF(OR(COUNTIF('クラス'!$A$1:$A$1267,$B1456)&gt;0,$B1456="",$M1456=""),"",True)</f>
        <v>1</v>
      </c>
      <c r="M1456" s="1" t="str">
        <f t="shared" si="26"/>
        <v>存在しない</v>
      </c>
      <c r="N1456" s="1" t="e">
        <v>#VALUE!</v>
      </c>
      <c r="O1456" s="1"/>
      <c r="P1456" s="11"/>
      <c r="Q1456" s="11"/>
      <c r="R1456" s="11"/>
      <c r="S1456" s="11"/>
      <c r="T1456" s="1"/>
      <c r="U1456" s="1"/>
      <c r="V1456" s="1"/>
      <c r="W1456" s="1"/>
      <c r="X1456" s="1"/>
      <c r="Y1456" s="1"/>
      <c r="Z1456" s="1"/>
    </row>
    <row r="1457" ht="18.0" hidden="1" customHeight="1" outlineLevel="2">
      <c r="A1457" s="1">
        <v>4.0</v>
      </c>
      <c r="B1457" s="1"/>
      <c r="C1457" s="1"/>
      <c r="D1457" s="38"/>
      <c r="E1457" s="14"/>
      <c r="F1457" s="15"/>
      <c r="G1457" s="16"/>
      <c r="H1457" s="11"/>
      <c r="I1457" s="7"/>
      <c r="J1457" s="7" t="str">
        <f>IFERROR(LET(_xlpm.v,
VLOOKUP($I1457,'用語辞書'!$A:$B,COLUMN('用語辞書'!B$1),FALSE),
IF(_xlpm.v=0,"",_xlpm.v)
),"")</f>
        <v/>
      </c>
      <c r="K1457" s="17"/>
      <c r="L1457" s="17" t="str">
        <f>IF(OR(COUNTIF('クラス'!$A$1:$A$1267,$B1457)&gt;0,$B1457="",$M1457=""),"",True)</f>
        <v/>
      </c>
      <c r="M1457" s="1" t="str">
        <f t="shared" si="26"/>
        <v>存在しない</v>
      </c>
      <c r="N1457" s="1" t="s">
        <v>29</v>
      </c>
      <c r="O1457" s="1"/>
      <c r="P1457" s="11"/>
      <c r="Q1457" s="11"/>
      <c r="R1457" s="11"/>
      <c r="S1457" s="11"/>
      <c r="T1457" s="1"/>
      <c r="U1457" s="1"/>
      <c r="V1457" s="1"/>
      <c r="W1457" s="1"/>
      <c r="X1457" s="1"/>
      <c r="Y1457" s="1"/>
      <c r="Z1457" s="1"/>
    </row>
    <row r="1458" ht="18.0" hidden="1" customHeight="1" outlineLevel="2">
      <c r="A1458" s="1">
        <v>5.0</v>
      </c>
      <c r="B1458" s="26" t="s">
        <v>1500</v>
      </c>
      <c r="C1458" s="1"/>
      <c r="D1458" s="38"/>
      <c r="E1458" s="29" t="s">
        <v>55</v>
      </c>
      <c r="F1458" s="15"/>
      <c r="G1458" s="16"/>
      <c r="H1458" s="22" t="s">
        <v>1761</v>
      </c>
      <c r="I1458" s="32"/>
      <c r="J1458" s="7" t="str">
        <f>IFERROR(LET(_xlpm.v,
VLOOKUP($I1458,'用語辞書'!$A:$B,COLUMN('用語辞書'!B$1),FALSE),
IF(_xlpm.v=0,"",_xlpm.v)
),"")</f>
        <v/>
      </c>
      <c r="K1458" s="17"/>
      <c r="L1458" s="17" t="str">
        <f>IF(OR(COUNTIF('クラス'!$A$1:$A$1267,$B1458)&gt;0,$B1458="",$M1458=""),"",True)</f>
        <v/>
      </c>
      <c r="M1458" s="1" t="str">
        <f t="shared" si="26"/>
        <v/>
      </c>
      <c r="N1458" s="1" t="s">
        <v>29</v>
      </c>
      <c r="O1458" s="1"/>
      <c r="P1458" s="11"/>
      <c r="Q1458" s="11"/>
      <c r="R1458" s="11"/>
      <c r="S1458" s="11"/>
      <c r="T1458" s="1"/>
      <c r="U1458" s="1"/>
      <c r="V1458" s="1"/>
      <c r="W1458" s="1"/>
      <c r="X1458" s="1"/>
      <c r="Y1458" s="1"/>
      <c r="Z1458" s="1"/>
    </row>
    <row r="1459" ht="18.0" hidden="1" customHeight="1" outlineLevel="2">
      <c r="A1459" s="1">
        <v>6.0</v>
      </c>
      <c r="B1459" s="1"/>
      <c r="C1459" s="1"/>
      <c r="D1459" s="38"/>
      <c r="E1459" s="14"/>
      <c r="F1459" s="15"/>
      <c r="G1459" s="16"/>
      <c r="H1459" s="11"/>
      <c r="I1459" s="7"/>
      <c r="J1459" s="7" t="str">
        <f>IFERROR(LET(_xlpm.v,
VLOOKUP($I1459,'用語辞書'!$A:$B,COLUMN('用語辞書'!B$1),FALSE),
IF(_xlpm.v=0,"",_xlpm.v)
),"")</f>
        <v/>
      </c>
      <c r="K1459" s="17"/>
      <c r="L1459" s="17" t="str">
        <f>IF(OR(COUNTIF('クラス'!$A$1:$A$1267,$B1459)&gt;0,$B1459="",$M1459=""),"",True)</f>
        <v/>
      </c>
      <c r="M1459" s="1" t="str">
        <f t="shared" si="26"/>
        <v>存在しない</v>
      </c>
      <c r="N1459" s="1" t="e">
        <v>#VALUE!</v>
      </c>
      <c r="O1459" s="1"/>
      <c r="P1459" s="11"/>
      <c r="Q1459" s="11"/>
      <c r="R1459" s="11"/>
      <c r="S1459" s="11"/>
      <c r="T1459" s="1"/>
      <c r="U1459" s="1"/>
      <c r="V1459" s="1"/>
      <c r="W1459" s="1"/>
      <c r="X1459" s="1"/>
      <c r="Y1459" s="1"/>
      <c r="Z1459" s="1"/>
    </row>
    <row r="1460" ht="18.0" hidden="1" customHeight="1" outlineLevel="2">
      <c r="A1460" s="1">
        <v>7.0</v>
      </c>
      <c r="B1460" s="26" t="s">
        <v>297</v>
      </c>
      <c r="C1460" s="1"/>
      <c r="D1460" s="38"/>
      <c r="E1460" s="14"/>
      <c r="F1460" s="15"/>
      <c r="G1460" s="16"/>
      <c r="H1460" s="11"/>
      <c r="I1460" s="7"/>
      <c r="J1460" s="7" t="str">
        <f>IFERROR(LET(_xlpm.v,
VLOOKUP($I1460,'用語辞書'!$A:$B,COLUMN('用語辞書'!B$1),FALSE),
IF(_xlpm.v=0,"",_xlpm.v)
),"")</f>
        <v/>
      </c>
      <c r="K1460" s="17"/>
      <c r="L1460" s="17" t="str">
        <f>IF(OR(COUNTIF('クラス'!$A$1:$A$1267,$B1460)&gt;0,$B1460="",$M1460=""),"",True)</f>
        <v/>
      </c>
      <c r="M1460" s="1" t="str">
        <f t="shared" si="26"/>
        <v/>
      </c>
      <c r="N1460" s="1" t="s">
        <v>29</v>
      </c>
      <c r="O1460" s="1"/>
      <c r="P1460" s="11"/>
      <c r="Q1460" s="11"/>
      <c r="R1460" s="11"/>
      <c r="S1460" s="11"/>
      <c r="T1460" s="1"/>
      <c r="U1460" s="1"/>
      <c r="V1460" s="1"/>
      <c r="W1460" s="1"/>
      <c r="X1460" s="1"/>
      <c r="Y1460" s="1"/>
      <c r="Z1460" s="1"/>
    </row>
    <row r="1461" ht="18.0" hidden="1" customHeight="1" outlineLevel="2">
      <c r="A1461" s="1">
        <v>8.0</v>
      </c>
      <c r="B1461" s="1"/>
      <c r="C1461" s="1"/>
      <c r="D1461" s="38"/>
      <c r="E1461" s="14"/>
      <c r="F1461" s="15"/>
      <c r="G1461" s="16"/>
      <c r="H1461" s="11"/>
      <c r="I1461" s="7"/>
      <c r="J1461" s="7" t="str">
        <f>IFERROR(LET(_xlpm.v,
VLOOKUP($I1461,'用語辞書'!$A:$B,COLUMN('用語辞書'!B$1),FALSE),
IF(_xlpm.v=0,"",_xlpm.v)
),"")</f>
        <v/>
      </c>
      <c r="K1461" s="17"/>
      <c r="L1461" s="17" t="str">
        <f>IF(OR(COUNTIF('クラス'!$A$1:$A$1267,$B1461)&gt;0,$B1461="",$M1461=""),"",True)</f>
        <v/>
      </c>
      <c r="M1461" s="1" t="str">
        <f t="shared" si="26"/>
        <v>存在しない</v>
      </c>
      <c r="N1461" s="1" t="s">
        <v>29</v>
      </c>
      <c r="O1461" s="1"/>
      <c r="P1461" s="11"/>
      <c r="Q1461" s="11"/>
      <c r="R1461" s="11"/>
      <c r="S1461" s="11"/>
      <c r="T1461" s="1"/>
      <c r="U1461" s="1"/>
      <c r="V1461" s="1"/>
      <c r="W1461" s="1"/>
      <c r="X1461" s="1"/>
      <c r="Y1461" s="1"/>
      <c r="Z1461" s="1"/>
    </row>
    <row r="1462" ht="18.0" hidden="1" customHeight="1" outlineLevel="2">
      <c r="A1462" s="1">
        <v>9.0</v>
      </c>
      <c r="B1462" s="1" t="str">
        <f>D1453&amp;"強化"</f>
        <v>炎強化</v>
      </c>
      <c r="C1462" s="1"/>
      <c r="D1462" s="38"/>
      <c r="E1462" s="14" t="s">
        <v>55</v>
      </c>
      <c r="F1462" s="15"/>
      <c r="G1462" s="16"/>
      <c r="H1462" s="11" t="str">
        <f>"条件系統:"&amp;D1453&amp;" 全威力+10"</f>
        <v>条件系統:炎 全威力+10</v>
      </c>
      <c r="I1462" s="7"/>
      <c r="J1462" s="7" t="str">
        <f>IFERROR(LET(_xlpm.v,
VLOOKUP($I1462,'用語辞書'!$A:$B,COLUMN('用語辞書'!B$1),FALSE),
IF(_xlpm.v=0,"",_xlpm.v)
),"")</f>
        <v/>
      </c>
      <c r="K1462" s="17"/>
      <c r="L1462" s="17" t="b">
        <f>IF(OR(COUNTIF('クラス'!$A$1:$A$1267,$B1462)&gt;0,$B1462="",$M1462=""),"",True)</f>
        <v>1</v>
      </c>
      <c r="M1462" s="1" t="str">
        <f t="shared" si="26"/>
        <v>存在しない</v>
      </c>
      <c r="N1462" s="1" t="e">
        <v>#VALUE!</v>
      </c>
      <c r="O1462" s="1"/>
      <c r="P1462" s="11"/>
      <c r="Q1462" s="11"/>
      <c r="R1462" s="11"/>
      <c r="S1462" s="11"/>
      <c r="T1462" s="1"/>
      <c r="U1462" s="1"/>
      <c r="V1462" s="1"/>
      <c r="W1462" s="1"/>
      <c r="X1462" s="1"/>
      <c r="Y1462" s="1"/>
      <c r="Z1462" s="1"/>
    </row>
    <row r="1463" ht="18.0" hidden="1" customHeight="1" outlineLevel="2">
      <c r="A1463" s="1">
        <v>10.0</v>
      </c>
      <c r="B1463" s="1" t="str">
        <f>D1453&amp;"の唾"</f>
        <v>炎の唾</v>
      </c>
      <c r="C1463" s="1"/>
      <c r="D1463" s="38" t="str">
        <f>D1453</f>
        <v>炎</v>
      </c>
      <c r="E1463" s="14" t="s">
        <v>33</v>
      </c>
      <c r="F1463" s="15"/>
      <c r="G1463" s="30">
        <v>30.0</v>
      </c>
      <c r="H1463" s="22" t="s">
        <v>1762</v>
      </c>
      <c r="I1463" s="7"/>
      <c r="J1463" s="7" t="str">
        <f>IFERROR(LET(_xlpm.v,
VLOOKUP($I1463,'用語辞書'!$A:$B,COLUMN('用語辞書'!B$1),FALSE),
IF(_xlpm.v=0,"",_xlpm.v)
),"")</f>
        <v/>
      </c>
      <c r="K1463" s="17"/>
      <c r="L1463" s="17" t="b">
        <f>IF(OR(COUNTIF('クラス'!$A$1:$A$1267,$B1463)&gt;0,$B1463="",$M1463=""),"",True)</f>
        <v>1</v>
      </c>
      <c r="M1463" s="1" t="str">
        <f t="shared" si="26"/>
        <v>存在しない</v>
      </c>
      <c r="N1463" s="1" t="e">
        <v>#VALUE!</v>
      </c>
      <c r="O1463" s="1"/>
      <c r="P1463" s="11"/>
      <c r="Q1463" s="11"/>
      <c r="R1463" s="11"/>
      <c r="S1463" s="11"/>
      <c r="T1463" s="1"/>
      <c r="U1463" s="1"/>
      <c r="V1463" s="1"/>
      <c r="W1463" s="1"/>
      <c r="X1463" s="1"/>
      <c r="Y1463" s="1"/>
      <c r="Z1463" s="1"/>
    </row>
    <row r="1464" ht="18.0" hidden="1" customHeight="1" outlineLevel="2">
      <c r="A1464" s="1"/>
      <c r="B1464" s="1"/>
      <c r="C1464" s="1"/>
      <c r="D1464" s="1"/>
      <c r="E1464" s="14"/>
      <c r="F1464" s="15"/>
      <c r="G1464" s="16"/>
      <c r="H1464" s="11"/>
      <c r="I1464" s="7"/>
      <c r="J1464" s="7" t="str">
        <f>IFERROR(LET(_xlpm.v,
VLOOKUP($I1464,'用語辞書'!$A:$B,COLUMN('用語辞書'!B$1),FALSE),
IF(_xlpm.v=0,"",_xlpm.v)
),"")</f>
        <v/>
      </c>
      <c r="K1464" s="17"/>
      <c r="L1464" s="17" t="str">
        <f>IF(OR(COUNTIF('クラス'!$A$1:$A$1267,$B1464)&gt;0,$B1464="",$M1464=""),"",True)</f>
        <v/>
      </c>
      <c r="M1464" s="1" t="str">
        <f t="shared" si="26"/>
        <v>存在しない</v>
      </c>
      <c r="N1464" s="1" t="s">
        <v>29</v>
      </c>
      <c r="O1464" s="1"/>
      <c r="P1464" s="11"/>
      <c r="Q1464" s="11"/>
      <c r="R1464" s="11"/>
      <c r="S1464" s="11"/>
      <c r="T1464" s="1"/>
      <c r="U1464" s="1"/>
      <c r="V1464" s="1"/>
      <c r="W1464" s="1"/>
      <c r="X1464" s="1"/>
      <c r="Y1464" s="1"/>
      <c r="Z1464" s="1"/>
    </row>
    <row r="1465" ht="18.0" customHeight="1" outlineLevel="1" collapsed="1">
      <c r="A1465" s="1"/>
      <c r="B1465" s="1"/>
      <c r="C1465" s="1"/>
      <c r="D1465" s="1"/>
      <c r="E1465" s="14"/>
      <c r="F1465" s="15"/>
      <c r="G1465" s="16"/>
      <c r="H1465" s="11"/>
      <c r="I1465" s="7"/>
      <c r="J1465" s="7" t="str">
        <f>IFERROR(LET(_xlpm.v,
VLOOKUP($I1465,'用語辞書'!$A:$B,COLUMN('用語辞書'!B$1),FALSE),
IF(_xlpm.v=0,"",_xlpm.v)
),"")</f>
        <v/>
      </c>
      <c r="K1465" s="17"/>
      <c r="L1465" s="17" t="str">
        <f>IF(OR(COUNTIF('クラス'!$A$1:$A$1267,$B1465)&gt;0,$B1465="",$M1465=""),"",True)</f>
        <v/>
      </c>
      <c r="M1465" s="1" t="str">
        <f t="shared" si="26"/>
        <v>存在しない</v>
      </c>
      <c r="N1465" s="1" t="s">
        <v>29</v>
      </c>
      <c r="O1465" s="1"/>
      <c r="P1465" s="11"/>
      <c r="Q1465" s="11"/>
      <c r="R1465" s="11"/>
      <c r="S1465" s="11"/>
      <c r="T1465" s="1"/>
      <c r="U1465" s="1"/>
      <c r="V1465" s="1"/>
      <c r="W1465" s="1"/>
      <c r="X1465" s="1"/>
      <c r="Y1465" s="1"/>
      <c r="Z1465" s="1"/>
    </row>
    <row r="1466" ht="18.0" customHeight="1" outlineLevel="1">
      <c r="A1466" s="1"/>
      <c r="B1466" s="37" t="s">
        <v>1763</v>
      </c>
      <c r="C1466" s="1"/>
      <c r="D1466" s="1" t="s">
        <v>370</v>
      </c>
      <c r="E1466" s="14" t="s">
        <v>1764</v>
      </c>
      <c r="F1466" s="15"/>
      <c r="G1466" s="16"/>
      <c r="H1466" s="11"/>
      <c r="I1466" s="7"/>
      <c r="J1466" s="7" t="str">
        <f>IFERROR(LET(_xlpm.v,
VLOOKUP($I1466,'用語辞書'!$A:$B,COLUMN('用語辞書'!B$1),FALSE),
IF(_xlpm.v=0,"",_xlpm.v)
),"")</f>
        <v/>
      </c>
      <c r="K1466" s="17"/>
      <c r="L1466" s="17" t="str">
        <f>IF(OR(COUNTIF('クラス'!$A$1:$A$1267,$B1466)&gt;0,$B1466="",$M1466=""),"",True)</f>
        <v/>
      </c>
      <c r="M1466" s="1" t="str">
        <f t="shared" si="26"/>
        <v>存在しない</v>
      </c>
      <c r="N1466" s="1" t="s">
        <v>29</v>
      </c>
      <c r="O1466" s="1"/>
      <c r="P1466" s="11"/>
      <c r="Q1466" s="11"/>
      <c r="R1466" s="11"/>
      <c r="S1466" s="11"/>
      <c r="T1466" s="1"/>
      <c r="U1466" s="1"/>
      <c r="V1466" s="1"/>
      <c r="W1466" s="1"/>
      <c r="X1466" s="1"/>
      <c r="Y1466" s="1"/>
      <c r="Z1466" s="1"/>
    </row>
    <row r="1467" ht="18.0" hidden="1" customHeight="1" outlineLevel="2">
      <c r="A1467" s="1">
        <v>1.0</v>
      </c>
      <c r="B1467" s="1" t="str">
        <f>D1466&amp;"の適用"</f>
        <v>氷の適用</v>
      </c>
      <c r="C1467" s="1"/>
      <c r="D1467" s="38"/>
      <c r="E1467" s="14" t="s">
        <v>55</v>
      </c>
      <c r="F1467" s="15"/>
      <c r="G1467" s="16"/>
      <c r="H1467" s="11" t="str">
        <f>D1466&amp;"耐性+30"</f>
        <v>氷耐性+30</v>
      </c>
      <c r="I1467" s="7"/>
      <c r="J1467" s="7" t="str">
        <f>IFERROR(LET(_xlpm.v,
VLOOKUP($I1467,'用語辞書'!$A:$B,COLUMN('用語辞書'!B$1),FALSE),
IF(_xlpm.v=0,"",_xlpm.v)
),"")</f>
        <v/>
      </c>
      <c r="K1467" s="17"/>
      <c r="L1467" s="17" t="b">
        <f>IF(OR(COUNTIF('クラス'!$A$1:$A$1267,$B1467)&gt;0,$B1467="",$M1467=""),"",True)</f>
        <v>1</v>
      </c>
      <c r="M1467" s="1" t="str">
        <f t="shared" si="26"/>
        <v>存在しない</v>
      </c>
      <c r="N1467" s="1" t="e">
        <v>#VALUE!</v>
      </c>
      <c r="O1467" s="1"/>
      <c r="P1467" s="11"/>
      <c r="Q1467" s="11"/>
      <c r="R1467" s="11"/>
      <c r="S1467" s="11"/>
      <c r="T1467" s="1"/>
      <c r="U1467" s="1"/>
      <c r="V1467" s="1"/>
      <c r="W1467" s="1"/>
      <c r="X1467" s="1"/>
      <c r="Y1467" s="1"/>
      <c r="Z1467" s="1"/>
    </row>
    <row r="1468" ht="18.0" hidden="1" customHeight="1" outlineLevel="2">
      <c r="A1468" s="1">
        <v>2.0</v>
      </c>
      <c r="B1468" s="26" t="s">
        <v>372</v>
      </c>
      <c r="C1468" s="1"/>
      <c r="D1468" s="38"/>
      <c r="E1468" s="14"/>
      <c r="F1468" s="15"/>
      <c r="G1468" s="16"/>
      <c r="H1468" s="11"/>
      <c r="I1468" s="7"/>
      <c r="J1468" s="7" t="str">
        <f>IFERROR(LET(_xlpm.v,
VLOOKUP($I1468,'用語辞書'!$A:$B,COLUMN('用語辞書'!B$1),FALSE),
IF(_xlpm.v=0,"",_xlpm.v)
),"")</f>
        <v/>
      </c>
      <c r="K1468" s="17"/>
      <c r="L1468" s="17" t="str">
        <f>IF(OR(COUNTIF('クラス'!$A$1:$A$1267,$B1468)&gt;0,$B1468="",$M1468=""),"",True)</f>
        <v/>
      </c>
      <c r="M1468" s="1" t="str">
        <f t="shared" si="26"/>
        <v/>
      </c>
      <c r="N1468" s="1" t="s">
        <v>29</v>
      </c>
      <c r="O1468" s="1"/>
      <c r="P1468" s="11"/>
      <c r="Q1468" s="11"/>
      <c r="R1468" s="11"/>
      <c r="S1468" s="11"/>
      <c r="T1468" s="1"/>
      <c r="U1468" s="1"/>
      <c r="V1468" s="1"/>
      <c r="W1468" s="1"/>
      <c r="X1468" s="1"/>
      <c r="Y1468" s="1"/>
      <c r="Z1468" s="1"/>
    </row>
    <row r="1469" ht="18.0" hidden="1" customHeight="1" outlineLevel="2">
      <c r="A1469" s="1">
        <v>3.0</v>
      </c>
      <c r="B1469" s="1" t="str">
        <f>D1466&amp;"の体"</f>
        <v>氷の体</v>
      </c>
      <c r="C1469" s="1"/>
      <c r="D1469" s="38"/>
      <c r="E1469" s="14" t="s">
        <v>33</v>
      </c>
      <c r="F1469" s="15">
        <v>5.0</v>
      </c>
      <c r="G1469" s="16">
        <v>20.0</v>
      </c>
      <c r="H1469" s="11" t="str">
        <f>"効果時間6t 攻撃手段:肉体 "&amp;D1466&amp;"+15 判定:攻撃"</f>
        <v>効果時間6t 攻撃手段:肉体 氷+15 判定:攻撃</v>
      </c>
      <c r="I1469" s="7"/>
      <c r="J1469" s="7" t="str">
        <f>IFERROR(LET(_xlpm.v,
VLOOKUP($I1469,'用語辞書'!$A:$B,COLUMN('用語辞書'!B$1),FALSE),
IF(_xlpm.v=0,"",_xlpm.v)
),"")</f>
        <v/>
      </c>
      <c r="K1469" s="17"/>
      <c r="L1469" s="17" t="b">
        <f>IF(OR(COUNTIF('クラス'!$A$1:$A$1267,$B1469)&gt;0,$B1469="",$M1469=""),"",True)</f>
        <v>1</v>
      </c>
      <c r="M1469" s="1" t="str">
        <f t="shared" si="26"/>
        <v>存在しない</v>
      </c>
      <c r="N1469" s="1" t="e">
        <v>#VALUE!</v>
      </c>
      <c r="O1469" s="1"/>
      <c r="P1469" s="11"/>
      <c r="Q1469" s="11"/>
      <c r="R1469" s="11"/>
      <c r="S1469" s="11"/>
      <c r="T1469" s="1"/>
      <c r="U1469" s="1"/>
      <c r="V1469" s="1"/>
      <c r="W1469" s="1"/>
      <c r="X1469" s="1"/>
      <c r="Y1469" s="1"/>
      <c r="Z1469" s="1"/>
    </row>
    <row r="1470" ht="18.0" hidden="1" customHeight="1" outlineLevel="2">
      <c r="A1470" s="1">
        <v>4.0</v>
      </c>
      <c r="B1470" s="1"/>
      <c r="C1470" s="1"/>
      <c r="D1470" s="38"/>
      <c r="E1470" s="14"/>
      <c r="F1470" s="15"/>
      <c r="G1470" s="16"/>
      <c r="H1470" s="11"/>
      <c r="I1470" s="7"/>
      <c r="J1470" s="7" t="str">
        <f>IFERROR(LET(_xlpm.v,
VLOOKUP($I1470,'用語辞書'!$A:$B,COLUMN('用語辞書'!B$1),FALSE),
IF(_xlpm.v=0,"",_xlpm.v)
),"")</f>
        <v/>
      </c>
      <c r="K1470" s="17"/>
      <c r="L1470" s="17" t="str">
        <f>IF(OR(COUNTIF('クラス'!$A$1:$A$1267,$B1470)&gt;0,$B1470="",$M1470=""),"",True)</f>
        <v/>
      </c>
      <c r="M1470" s="1" t="str">
        <f t="shared" si="26"/>
        <v>存在しない</v>
      </c>
      <c r="N1470" s="1" t="s">
        <v>29</v>
      </c>
      <c r="O1470" s="1"/>
      <c r="P1470" s="11"/>
      <c r="Q1470" s="11"/>
      <c r="R1470" s="11"/>
      <c r="S1470" s="11"/>
      <c r="T1470" s="1"/>
      <c r="U1470" s="1"/>
      <c r="V1470" s="1"/>
      <c r="W1470" s="1"/>
      <c r="X1470" s="1"/>
      <c r="Y1470" s="1"/>
      <c r="Z1470" s="1"/>
    </row>
    <row r="1471" ht="18.0" hidden="1" customHeight="1" outlineLevel="2">
      <c r="A1471" s="1">
        <v>5.0</v>
      </c>
      <c r="B1471" s="26" t="s">
        <v>1500</v>
      </c>
      <c r="C1471" s="1"/>
      <c r="D1471" s="38"/>
      <c r="E1471" s="29" t="s">
        <v>55</v>
      </c>
      <c r="F1471" s="15"/>
      <c r="G1471" s="16"/>
      <c r="H1471" s="22" t="s">
        <v>1761</v>
      </c>
      <c r="I1471" s="7"/>
      <c r="J1471" s="7" t="str">
        <f>IFERROR(LET(_xlpm.v,
VLOOKUP($I1471,'用語辞書'!$A:$B,COLUMN('用語辞書'!B$1),FALSE),
IF(_xlpm.v=0,"",_xlpm.v)
),"")</f>
        <v/>
      </c>
      <c r="K1471" s="17"/>
      <c r="L1471" s="17" t="str">
        <f>IF(OR(COUNTIF('クラス'!$A$1:$A$1267,$B1471)&gt;0,$B1471="",$M1471=""),"",True)</f>
        <v/>
      </c>
      <c r="M1471" s="1" t="str">
        <f t="shared" si="26"/>
        <v/>
      </c>
      <c r="N1471" s="1" t="s">
        <v>29</v>
      </c>
      <c r="O1471" s="1"/>
      <c r="P1471" s="11"/>
      <c r="Q1471" s="11"/>
      <c r="R1471" s="11"/>
      <c r="S1471" s="11"/>
      <c r="T1471" s="1"/>
      <c r="U1471" s="1"/>
      <c r="V1471" s="1"/>
      <c r="W1471" s="1"/>
      <c r="X1471" s="1"/>
      <c r="Y1471" s="1"/>
      <c r="Z1471" s="1"/>
    </row>
    <row r="1472" ht="18.0" hidden="1" customHeight="1" outlineLevel="2">
      <c r="A1472" s="1">
        <v>6.0</v>
      </c>
      <c r="B1472" s="1"/>
      <c r="C1472" s="1"/>
      <c r="D1472" s="38"/>
      <c r="E1472" s="14"/>
      <c r="F1472" s="15"/>
      <c r="G1472" s="16"/>
      <c r="H1472" s="11"/>
      <c r="I1472" s="7"/>
      <c r="J1472" s="7" t="str">
        <f>IFERROR(LET(_xlpm.v,
VLOOKUP($I1472,'用語辞書'!$A:$B,COLUMN('用語辞書'!B$1),FALSE),
IF(_xlpm.v=0,"",_xlpm.v)
),"")</f>
        <v/>
      </c>
      <c r="K1472" s="17"/>
      <c r="L1472" s="17" t="str">
        <f>IF(OR(COUNTIF('クラス'!$A$1:$A$1267,$B1472)&gt;0,$B1472="",$M1472=""),"",True)</f>
        <v/>
      </c>
      <c r="M1472" s="1" t="str">
        <f t="shared" si="26"/>
        <v>存在しない</v>
      </c>
      <c r="N1472" s="1" t="e">
        <v>#VALUE!</v>
      </c>
      <c r="O1472" s="1"/>
      <c r="P1472" s="11"/>
      <c r="Q1472" s="11"/>
      <c r="R1472" s="11"/>
      <c r="S1472" s="11"/>
      <c r="T1472" s="1"/>
      <c r="U1472" s="1"/>
      <c r="V1472" s="1"/>
      <c r="W1472" s="1"/>
      <c r="X1472" s="1"/>
      <c r="Y1472" s="1"/>
      <c r="Z1472" s="1"/>
    </row>
    <row r="1473" ht="18.0" hidden="1" customHeight="1" outlineLevel="2">
      <c r="A1473" s="1">
        <v>7.0</v>
      </c>
      <c r="B1473" s="26" t="s">
        <v>388</v>
      </c>
      <c r="C1473" s="1"/>
      <c r="D1473" s="38"/>
      <c r="E1473" s="14"/>
      <c r="F1473" s="15"/>
      <c r="G1473" s="16"/>
      <c r="H1473" s="11"/>
      <c r="I1473" s="7"/>
      <c r="J1473" s="7" t="str">
        <f>IFERROR(LET(_xlpm.v,
VLOOKUP($I1473,'用語辞書'!$A:$B,COLUMN('用語辞書'!B$1),FALSE),
IF(_xlpm.v=0,"",_xlpm.v)
),"")</f>
        <v/>
      </c>
      <c r="K1473" s="17"/>
      <c r="L1473" s="17" t="str">
        <f>IF(OR(COUNTIF('クラス'!$A$1:$A$1267,$B1473)&gt;0,$B1473="",$M1473=""),"",True)</f>
        <v/>
      </c>
      <c r="M1473" s="1" t="str">
        <f t="shared" si="26"/>
        <v/>
      </c>
      <c r="N1473" s="1" t="s">
        <v>29</v>
      </c>
      <c r="O1473" s="1"/>
      <c r="P1473" s="11"/>
      <c r="Q1473" s="11"/>
      <c r="R1473" s="11"/>
      <c r="S1473" s="11"/>
      <c r="T1473" s="1"/>
      <c r="U1473" s="1"/>
      <c r="V1473" s="1"/>
      <c r="W1473" s="1"/>
      <c r="X1473" s="1"/>
      <c r="Y1473" s="1"/>
      <c r="Z1473" s="1"/>
    </row>
    <row r="1474" ht="18.0" hidden="1" customHeight="1" outlineLevel="2">
      <c r="A1474" s="1">
        <v>8.0</v>
      </c>
      <c r="B1474" s="1"/>
      <c r="C1474" s="1"/>
      <c r="D1474" s="38"/>
      <c r="E1474" s="14"/>
      <c r="F1474" s="15"/>
      <c r="G1474" s="16"/>
      <c r="H1474" s="11"/>
      <c r="I1474" s="7"/>
      <c r="J1474" s="7" t="str">
        <f>IFERROR(LET(_xlpm.v,
VLOOKUP($I1474,'用語辞書'!$A:$B,COLUMN('用語辞書'!B$1),FALSE),
IF(_xlpm.v=0,"",_xlpm.v)
),"")</f>
        <v/>
      </c>
      <c r="K1474" s="17"/>
      <c r="L1474" s="17" t="str">
        <f>IF(OR(COUNTIF('クラス'!$A$1:$A$1267,$B1474)&gt;0,$B1474="",$M1474=""),"",True)</f>
        <v/>
      </c>
      <c r="M1474" s="1" t="str">
        <f t="shared" si="26"/>
        <v>存在しない</v>
      </c>
      <c r="N1474" s="1" t="s">
        <v>29</v>
      </c>
      <c r="O1474" s="1"/>
      <c r="P1474" s="11"/>
      <c r="Q1474" s="11"/>
      <c r="R1474" s="11"/>
      <c r="S1474" s="11"/>
      <c r="T1474" s="1"/>
      <c r="U1474" s="1"/>
      <c r="V1474" s="1"/>
      <c r="W1474" s="1"/>
      <c r="X1474" s="1"/>
      <c r="Y1474" s="1"/>
      <c r="Z1474" s="1"/>
    </row>
    <row r="1475" ht="18.0" hidden="1" customHeight="1" outlineLevel="2">
      <c r="A1475" s="1">
        <v>9.0</v>
      </c>
      <c r="B1475" s="1" t="str">
        <f>D1466&amp;"強化"</f>
        <v>氷強化</v>
      </c>
      <c r="C1475" s="1"/>
      <c r="D1475" s="38"/>
      <c r="E1475" s="14" t="s">
        <v>55</v>
      </c>
      <c r="F1475" s="15"/>
      <c r="G1475" s="16"/>
      <c r="H1475" s="11" t="str">
        <f>"条件系統:"&amp;D1466&amp;" 全威力+10"</f>
        <v>条件系統:氷 全威力+10</v>
      </c>
      <c r="I1475" s="7"/>
      <c r="J1475" s="7" t="str">
        <f>IFERROR(LET(_xlpm.v,
VLOOKUP($I1475,'用語辞書'!$A:$B,COLUMN('用語辞書'!B$1),FALSE),
IF(_xlpm.v=0,"",_xlpm.v)
),"")</f>
        <v/>
      </c>
      <c r="K1475" s="17"/>
      <c r="L1475" s="17" t="b">
        <f>IF(OR(COUNTIF('クラス'!$A$1:$A$1267,$B1475)&gt;0,$B1475="",$M1475=""),"",True)</f>
        <v>1</v>
      </c>
      <c r="M1475" s="1" t="str">
        <f t="shared" si="26"/>
        <v>存在しない</v>
      </c>
      <c r="N1475" s="1" t="e">
        <v>#VALUE!</v>
      </c>
      <c r="O1475" s="1"/>
      <c r="P1475" s="11"/>
      <c r="Q1475" s="11"/>
      <c r="R1475" s="11"/>
      <c r="S1475" s="11"/>
      <c r="T1475" s="1"/>
      <c r="U1475" s="1"/>
      <c r="V1475" s="1"/>
      <c r="W1475" s="1"/>
      <c r="X1475" s="1"/>
      <c r="Y1475" s="1"/>
      <c r="Z1475" s="1"/>
    </row>
    <row r="1476" ht="18.0" hidden="1" customHeight="1" outlineLevel="2">
      <c r="A1476" s="1">
        <v>10.0</v>
      </c>
      <c r="B1476" s="1" t="str">
        <f>D1466&amp;"の唾"</f>
        <v>氷の唾</v>
      </c>
      <c r="C1476" s="1"/>
      <c r="D1476" s="38" t="str">
        <f>D1466</f>
        <v>氷</v>
      </c>
      <c r="E1476" s="14" t="s">
        <v>33</v>
      </c>
      <c r="F1476" s="15"/>
      <c r="G1476" s="30">
        <v>30.0</v>
      </c>
      <c r="H1476" s="22" t="s">
        <v>1765</v>
      </c>
      <c r="I1476" s="7"/>
      <c r="J1476" s="7" t="str">
        <f>IFERROR(LET(_xlpm.v,
VLOOKUP($I1476,'用語辞書'!$A:$B,COLUMN('用語辞書'!B$1),FALSE),
IF(_xlpm.v=0,"",_xlpm.v)
),"")</f>
        <v/>
      </c>
      <c r="K1476" s="17"/>
      <c r="L1476" s="17" t="b">
        <f>IF(OR(COUNTIF('クラス'!$A$1:$A$1267,$B1476)&gt;0,$B1476="",$M1476=""),"",True)</f>
        <v>1</v>
      </c>
      <c r="M1476" s="1" t="str">
        <f t="shared" si="26"/>
        <v>存在しない</v>
      </c>
      <c r="N1476" s="1" t="e">
        <v>#VALUE!</v>
      </c>
      <c r="O1476" s="1"/>
      <c r="P1476" s="11"/>
      <c r="Q1476" s="11"/>
      <c r="R1476" s="11"/>
      <c r="S1476" s="11"/>
      <c r="T1476" s="1"/>
      <c r="U1476" s="1"/>
      <c r="V1476" s="1"/>
      <c r="W1476" s="1"/>
      <c r="X1476" s="1"/>
      <c r="Y1476" s="1"/>
      <c r="Z1476" s="1"/>
    </row>
    <row r="1477" ht="18.0" hidden="1" customHeight="1" outlineLevel="2">
      <c r="A1477" s="1"/>
      <c r="B1477" s="1"/>
      <c r="C1477" s="1"/>
      <c r="D1477" s="1"/>
      <c r="E1477" s="14"/>
      <c r="F1477" s="15"/>
      <c r="G1477" s="16"/>
      <c r="H1477" s="11"/>
      <c r="I1477" s="7"/>
      <c r="J1477" s="7" t="str">
        <f>IFERROR(LET(_xlpm.v,
VLOOKUP($I1477,'用語辞書'!$A:$B,COLUMN('用語辞書'!B$1),FALSE),
IF(_xlpm.v=0,"",_xlpm.v)
),"")</f>
        <v/>
      </c>
      <c r="K1477" s="17"/>
      <c r="L1477" s="17" t="str">
        <f>IF(OR(COUNTIF('クラス'!$A$1:$A$1267,$B1477)&gt;0,$B1477="",$M1477=""),"",True)</f>
        <v/>
      </c>
      <c r="M1477" s="1" t="str">
        <f t="shared" si="26"/>
        <v>存在しない</v>
      </c>
      <c r="N1477" s="1" t="s">
        <v>29</v>
      </c>
      <c r="O1477" s="1"/>
      <c r="P1477" s="11"/>
      <c r="Q1477" s="11"/>
      <c r="R1477" s="11"/>
      <c r="S1477" s="11"/>
      <c r="T1477" s="1"/>
      <c r="U1477" s="1"/>
      <c r="V1477" s="1"/>
      <c r="W1477" s="1"/>
      <c r="X1477" s="1"/>
      <c r="Y1477" s="1"/>
      <c r="Z1477" s="1"/>
    </row>
    <row r="1478" ht="18.0" customHeight="1" outlineLevel="1" collapsed="1">
      <c r="A1478" s="1"/>
      <c r="B1478" s="1"/>
      <c r="C1478" s="1"/>
      <c r="D1478" s="1"/>
      <c r="E1478" s="14"/>
      <c r="F1478" s="15"/>
      <c r="G1478" s="16"/>
      <c r="H1478" s="11"/>
      <c r="I1478" s="7"/>
      <c r="J1478" s="7" t="str">
        <f>IFERROR(LET(_xlpm.v,
VLOOKUP($I1478,'用語辞書'!$A:$B,COLUMN('用語辞書'!B$1),FALSE),
IF(_xlpm.v=0,"",_xlpm.v)
),"")</f>
        <v/>
      </c>
      <c r="K1478" s="17"/>
      <c r="L1478" s="17" t="str">
        <f>IF(OR(COUNTIF('クラス'!$A$1:$A$1267,$B1478)&gt;0,$B1478="",$M1478=""),"",True)</f>
        <v/>
      </c>
      <c r="M1478" s="1" t="str">
        <f t="shared" si="26"/>
        <v>存在しない</v>
      </c>
      <c r="N1478" s="1" t="s">
        <v>29</v>
      </c>
      <c r="O1478" s="1"/>
      <c r="P1478" s="11"/>
      <c r="Q1478" s="11"/>
      <c r="R1478" s="11"/>
      <c r="S1478" s="11"/>
      <c r="T1478" s="1"/>
      <c r="U1478" s="1"/>
      <c r="V1478" s="1"/>
      <c r="W1478" s="1"/>
      <c r="X1478" s="1"/>
      <c r="Y1478" s="1"/>
      <c r="Z1478" s="1"/>
    </row>
    <row r="1479" ht="18.0" customHeight="1" outlineLevel="1">
      <c r="A1479" s="1"/>
      <c r="B1479" s="37" t="s">
        <v>1766</v>
      </c>
      <c r="C1479" s="1"/>
      <c r="D1479" s="1" t="s">
        <v>1490</v>
      </c>
      <c r="E1479" s="14" t="s">
        <v>1767</v>
      </c>
      <c r="F1479" s="15"/>
      <c r="G1479" s="16"/>
      <c r="H1479" s="11"/>
      <c r="I1479" s="7"/>
      <c r="J1479" s="7" t="str">
        <f>IFERROR(LET(_xlpm.v,
VLOOKUP($I1479,'用語辞書'!$A:$B,COLUMN('用語辞書'!B$1),FALSE),
IF(_xlpm.v=0,"",_xlpm.v)
),"")</f>
        <v/>
      </c>
      <c r="K1479" s="17"/>
      <c r="L1479" s="17" t="str">
        <f>IF(OR(COUNTIF('クラス'!$A$1:$A$1267,$B1479)&gt;0,$B1479="",$M1479=""),"",True)</f>
        <v/>
      </c>
      <c r="M1479" s="1" t="str">
        <f t="shared" si="26"/>
        <v>存在しない</v>
      </c>
      <c r="N1479" s="1" t="s">
        <v>29</v>
      </c>
      <c r="O1479" s="1"/>
      <c r="P1479" s="11"/>
      <c r="Q1479" s="11"/>
      <c r="R1479" s="11"/>
      <c r="S1479" s="11"/>
      <c r="T1479" s="1"/>
      <c r="U1479" s="1"/>
      <c r="V1479" s="1"/>
      <c r="W1479" s="1"/>
      <c r="X1479" s="1"/>
      <c r="Y1479" s="1"/>
      <c r="Z1479" s="1"/>
    </row>
    <row r="1480" ht="18.0" hidden="1" customHeight="1" outlineLevel="2">
      <c r="A1480" s="1">
        <v>1.0</v>
      </c>
      <c r="B1480" s="1" t="s">
        <v>1768</v>
      </c>
      <c r="C1480" s="1"/>
      <c r="D1480" s="38"/>
      <c r="E1480" s="14" t="s">
        <v>55</v>
      </c>
      <c r="F1480" s="15"/>
      <c r="G1480" s="16"/>
      <c r="H1480" s="11" t="s">
        <v>1769</v>
      </c>
      <c r="I1480" s="7"/>
      <c r="J1480" s="7" t="str">
        <f>IFERROR(LET(_xlpm.v,
VLOOKUP($I1480,'用語辞書'!$A:$B,COLUMN('用語辞書'!B$1),FALSE),
IF(_xlpm.v=0,"",_xlpm.v)
),"")</f>
        <v/>
      </c>
      <c r="K1480" s="17"/>
      <c r="L1480" s="17" t="b">
        <f>IF(OR(COUNTIF('クラス'!$A$1:$A$1267,$B1480)&gt;0,$B1480="",$M1480=""),"",True)</f>
        <v>1</v>
      </c>
      <c r="M1480" s="1" t="str">
        <f t="shared" si="26"/>
        <v>存在しない</v>
      </c>
      <c r="N1480" s="1" t="e">
        <v>#VALUE!</v>
      </c>
      <c r="O1480" s="1"/>
      <c r="P1480" s="11"/>
      <c r="Q1480" s="11"/>
      <c r="R1480" s="11"/>
      <c r="S1480" s="11"/>
      <c r="T1480" s="1"/>
      <c r="U1480" s="1"/>
      <c r="V1480" s="1"/>
      <c r="W1480" s="1"/>
      <c r="X1480" s="1"/>
      <c r="Y1480" s="1"/>
      <c r="Z1480" s="1"/>
    </row>
    <row r="1481" ht="18.0" hidden="1" customHeight="1" outlineLevel="2">
      <c r="A1481" s="1">
        <v>2.0</v>
      </c>
      <c r="B1481" s="26" t="s">
        <v>898</v>
      </c>
      <c r="C1481" s="1"/>
      <c r="D1481" s="38"/>
      <c r="E1481" s="14"/>
      <c r="F1481" s="15"/>
      <c r="G1481" s="16"/>
      <c r="H1481" s="11"/>
      <c r="I1481" s="7"/>
      <c r="J1481" s="7" t="str">
        <f>IFERROR(LET(_xlpm.v,
VLOOKUP($I1481,'用語辞書'!$A:$B,COLUMN('用語辞書'!B$1),FALSE),
IF(_xlpm.v=0,"",_xlpm.v)
),"")</f>
        <v/>
      </c>
      <c r="K1481" s="17"/>
      <c r="L1481" s="17" t="str">
        <f>IF(OR(COUNTIF('クラス'!$A$1:$A$1267,$B1481)&gt;0,$B1481="",$M1481=""),"",True)</f>
        <v/>
      </c>
      <c r="M1481" s="1" t="str">
        <f t="shared" si="26"/>
        <v/>
      </c>
      <c r="N1481" s="1" t="s">
        <v>29</v>
      </c>
      <c r="O1481" s="1"/>
      <c r="P1481" s="11"/>
      <c r="Q1481" s="11"/>
      <c r="R1481" s="11"/>
      <c r="S1481" s="11"/>
      <c r="T1481" s="1"/>
      <c r="U1481" s="1"/>
      <c r="V1481" s="1"/>
      <c r="W1481" s="1"/>
      <c r="X1481" s="1"/>
      <c r="Y1481" s="1"/>
      <c r="Z1481" s="1"/>
    </row>
    <row r="1482" ht="18.0" hidden="1" customHeight="1" outlineLevel="2">
      <c r="A1482" s="1">
        <v>3.0</v>
      </c>
      <c r="B1482" s="1" t="s">
        <v>1770</v>
      </c>
      <c r="C1482" s="1"/>
      <c r="D1482" s="38"/>
      <c r="E1482" s="14" t="s">
        <v>33</v>
      </c>
      <c r="F1482" s="15">
        <v>5.0</v>
      </c>
      <c r="G1482" s="16">
        <v>20.0</v>
      </c>
      <c r="H1482" s="11" t="s">
        <v>1771</v>
      </c>
      <c r="I1482" s="7" t="s">
        <v>1296</v>
      </c>
      <c r="J1482" s="7" t="str">
        <f>IFERROR(LET(_xlpm.v,
VLOOKUP($I1482,'用語辞書'!$A:$B,COLUMN('用語辞書'!B$1),FALSE),
IF(_xlpm.v=0,"",_xlpm.v)
),"")</f>
        <v>地形効果を無視する</v>
      </c>
      <c r="K1482" s="17"/>
      <c r="L1482" s="17" t="b">
        <f>IF(OR(COUNTIF('クラス'!$A$1:$A$1267,$B1482)&gt;0,$B1482="",$M1482=""),"",True)</f>
        <v>1</v>
      </c>
      <c r="M1482" s="1" t="str">
        <f t="shared" si="26"/>
        <v>存在しない</v>
      </c>
      <c r="N1482" s="1" t="e">
        <v>#VALUE!</v>
      </c>
      <c r="O1482" s="1"/>
      <c r="P1482" s="11"/>
      <c r="Q1482" s="11"/>
      <c r="R1482" s="11"/>
      <c r="S1482" s="11"/>
      <c r="T1482" s="1"/>
      <c r="U1482" s="1"/>
      <c r="V1482" s="1"/>
      <c r="W1482" s="1"/>
      <c r="X1482" s="1"/>
      <c r="Y1482" s="1"/>
      <c r="Z1482" s="1"/>
    </row>
    <row r="1483" ht="18.0" hidden="1" customHeight="1" outlineLevel="2">
      <c r="A1483" s="1">
        <v>4.0</v>
      </c>
      <c r="B1483" s="1"/>
      <c r="C1483" s="1"/>
      <c r="D1483" s="38"/>
      <c r="E1483" s="14"/>
      <c r="F1483" s="15"/>
      <c r="G1483" s="16"/>
      <c r="H1483" s="11"/>
      <c r="I1483" s="7"/>
      <c r="J1483" s="7" t="str">
        <f>IFERROR(LET(_xlpm.v,
VLOOKUP($I1483,'用語辞書'!$A:$B,COLUMN('用語辞書'!B$1),FALSE),
IF(_xlpm.v=0,"",_xlpm.v)
),"")</f>
        <v/>
      </c>
      <c r="K1483" s="17"/>
      <c r="L1483" s="17" t="str">
        <f>IF(OR(COUNTIF('クラス'!$A$1:$A$1267,$B1483)&gt;0,$B1483="",$M1483=""),"",True)</f>
        <v/>
      </c>
      <c r="M1483" s="1" t="str">
        <f t="shared" si="26"/>
        <v>存在しない</v>
      </c>
      <c r="N1483" s="1" t="s">
        <v>29</v>
      </c>
      <c r="O1483" s="1"/>
      <c r="P1483" s="11"/>
      <c r="Q1483" s="11"/>
      <c r="R1483" s="11"/>
      <c r="S1483" s="11"/>
      <c r="T1483" s="1"/>
      <c r="U1483" s="1"/>
      <c r="V1483" s="1"/>
      <c r="W1483" s="1"/>
      <c r="X1483" s="1"/>
      <c r="Y1483" s="1"/>
      <c r="Z1483" s="1"/>
    </row>
    <row r="1484" ht="18.0" hidden="1" customHeight="1" outlineLevel="2">
      <c r="A1484" s="1">
        <v>5.0</v>
      </c>
      <c r="B1484" s="26" t="s">
        <v>1500</v>
      </c>
      <c r="C1484" s="1"/>
      <c r="D1484" s="38"/>
      <c r="E1484" s="29" t="s">
        <v>55</v>
      </c>
      <c r="F1484" s="15"/>
      <c r="G1484" s="16"/>
      <c r="H1484" s="22" t="s">
        <v>1761</v>
      </c>
      <c r="I1484" s="7"/>
      <c r="J1484" s="7" t="str">
        <f>IFERROR(LET(_xlpm.v,
VLOOKUP($I1484,'用語辞書'!$A:$B,COLUMN('用語辞書'!B$1),FALSE),
IF(_xlpm.v=0,"",_xlpm.v)
),"")</f>
        <v/>
      </c>
      <c r="K1484" s="17"/>
      <c r="L1484" s="17" t="str">
        <f>IF(OR(COUNTIF('クラス'!$A$1:$A$1267,$B1484)&gt;0,$B1484="",$M1484=""),"",True)</f>
        <v/>
      </c>
      <c r="M1484" s="1" t="str">
        <f t="shared" si="26"/>
        <v/>
      </c>
      <c r="N1484" s="1" t="s">
        <v>29</v>
      </c>
      <c r="O1484" s="1"/>
      <c r="P1484" s="11"/>
      <c r="Q1484" s="11"/>
      <c r="R1484" s="11"/>
      <c r="S1484" s="11"/>
      <c r="T1484" s="1"/>
      <c r="U1484" s="1"/>
      <c r="V1484" s="1"/>
      <c r="W1484" s="1"/>
      <c r="X1484" s="1"/>
      <c r="Y1484" s="1"/>
      <c r="Z1484" s="1"/>
    </row>
    <row r="1485" ht="18.0" hidden="1" customHeight="1" outlineLevel="2">
      <c r="A1485" s="1">
        <v>6.0</v>
      </c>
      <c r="B1485" s="1"/>
      <c r="C1485" s="1"/>
      <c r="D1485" s="38"/>
      <c r="E1485" s="14"/>
      <c r="F1485" s="15"/>
      <c r="G1485" s="16"/>
      <c r="H1485" s="11"/>
      <c r="I1485" s="7"/>
      <c r="J1485" s="7" t="str">
        <f>IFERROR(LET(_xlpm.v,
VLOOKUP($I1485,'用語辞書'!$A:$B,COLUMN('用語辞書'!B$1),FALSE),
IF(_xlpm.v=0,"",_xlpm.v)
),"")</f>
        <v/>
      </c>
      <c r="K1485" s="17"/>
      <c r="L1485" s="17" t="str">
        <f>IF(OR(COUNTIF('クラス'!$A$1:$A$1267,$B1485)&gt;0,$B1485="",$M1485=""),"",True)</f>
        <v/>
      </c>
      <c r="M1485" s="1" t="str">
        <f t="shared" si="26"/>
        <v>存在しない</v>
      </c>
      <c r="N1485" s="1" t="e">
        <v>#VALUE!</v>
      </c>
      <c r="O1485" s="1"/>
      <c r="P1485" s="11"/>
      <c r="Q1485" s="11"/>
      <c r="R1485" s="11"/>
      <c r="S1485" s="11"/>
      <c r="T1485" s="1"/>
      <c r="U1485" s="1"/>
      <c r="V1485" s="1"/>
      <c r="W1485" s="1"/>
      <c r="X1485" s="1"/>
      <c r="Y1485" s="1"/>
      <c r="Z1485" s="1"/>
    </row>
    <row r="1486" ht="18.0" hidden="1" customHeight="1" outlineLevel="2">
      <c r="A1486" s="1">
        <v>7.0</v>
      </c>
      <c r="B1486" s="26" t="s">
        <v>902</v>
      </c>
      <c r="C1486" s="1"/>
      <c r="D1486" s="38"/>
      <c r="E1486" s="14"/>
      <c r="F1486" s="15"/>
      <c r="G1486" s="16"/>
      <c r="H1486" s="11"/>
      <c r="I1486" s="7"/>
      <c r="J1486" s="7" t="str">
        <f>IFERROR(LET(_xlpm.v,
VLOOKUP($I1486,'用語辞書'!$A:$B,COLUMN('用語辞書'!B$1),FALSE),
IF(_xlpm.v=0,"",_xlpm.v)
),"")</f>
        <v/>
      </c>
      <c r="K1486" s="17"/>
      <c r="L1486" s="17" t="str">
        <f>IF(OR(COUNTIF('クラス'!$A$1:$A$1267,$B1486)&gt;0,$B1486="",$M1486=""),"",True)</f>
        <v/>
      </c>
      <c r="M1486" s="1" t="str">
        <f t="shared" si="26"/>
        <v/>
      </c>
      <c r="N1486" s="1" t="s">
        <v>29</v>
      </c>
      <c r="O1486" s="1"/>
      <c r="P1486" s="11"/>
      <c r="Q1486" s="11"/>
      <c r="R1486" s="11"/>
      <c r="S1486" s="11"/>
      <c r="T1486" s="1"/>
      <c r="U1486" s="1"/>
      <c r="V1486" s="1"/>
      <c r="W1486" s="1"/>
      <c r="X1486" s="1"/>
      <c r="Y1486" s="1"/>
      <c r="Z1486" s="1"/>
    </row>
    <row r="1487" ht="18.0" hidden="1" customHeight="1" outlineLevel="2">
      <c r="A1487" s="1">
        <v>8.0</v>
      </c>
      <c r="B1487" s="1"/>
      <c r="C1487" s="1"/>
      <c r="D1487" s="38"/>
      <c r="E1487" s="14"/>
      <c r="F1487" s="15"/>
      <c r="G1487" s="16"/>
      <c r="H1487" s="11"/>
      <c r="I1487" s="7"/>
      <c r="J1487" s="7" t="str">
        <f>IFERROR(LET(_xlpm.v,
VLOOKUP($I1487,'用語辞書'!$A:$B,COLUMN('用語辞書'!B$1),FALSE),
IF(_xlpm.v=0,"",_xlpm.v)
),"")</f>
        <v/>
      </c>
      <c r="K1487" s="17"/>
      <c r="L1487" s="17" t="str">
        <f>IF(OR(COUNTIF('クラス'!$A$1:$A$1267,$B1487)&gt;0,$B1487="",$M1487=""),"",True)</f>
        <v/>
      </c>
      <c r="M1487" s="1" t="str">
        <f t="shared" si="26"/>
        <v>存在しない</v>
      </c>
      <c r="N1487" s="1" t="s">
        <v>29</v>
      </c>
      <c r="O1487" s="1"/>
      <c r="P1487" s="11"/>
      <c r="Q1487" s="11"/>
      <c r="R1487" s="11"/>
      <c r="S1487" s="11"/>
      <c r="T1487" s="1"/>
      <c r="U1487" s="1"/>
      <c r="V1487" s="1"/>
      <c r="W1487" s="1"/>
      <c r="X1487" s="1"/>
      <c r="Y1487" s="1"/>
      <c r="Z1487" s="1"/>
    </row>
    <row r="1488" ht="18.0" hidden="1" customHeight="1" outlineLevel="2">
      <c r="A1488" s="1">
        <v>9.0</v>
      </c>
      <c r="B1488" s="1" t="s">
        <v>1772</v>
      </c>
      <c r="C1488" s="1"/>
      <c r="D1488" s="38"/>
      <c r="E1488" s="14" t="s">
        <v>55</v>
      </c>
      <c r="F1488" s="15"/>
      <c r="G1488" s="16"/>
      <c r="H1488" s="11" t="str">
        <f>"条件系統:"&amp;"風"&amp;" 全威力+10"</f>
        <v>条件系統:風 全威力+10</v>
      </c>
      <c r="I1488" s="7"/>
      <c r="J1488" s="7" t="str">
        <f>IFERROR(LET(_xlpm.v,
VLOOKUP($I1488,'用語辞書'!$A:$B,COLUMN('用語辞書'!B$1),FALSE),
IF(_xlpm.v=0,"",_xlpm.v)
),"")</f>
        <v/>
      </c>
      <c r="K1488" s="17"/>
      <c r="L1488" s="17" t="b">
        <f>IF(OR(COUNTIF('クラス'!$A$1:$A$1267,$B1488)&gt;0,$B1488="",$M1488=""),"",True)</f>
        <v>1</v>
      </c>
      <c r="M1488" s="1" t="str">
        <f t="shared" si="26"/>
        <v>存在しない</v>
      </c>
      <c r="N1488" s="1" t="e">
        <v>#VALUE!</v>
      </c>
      <c r="O1488" s="1"/>
      <c r="P1488" s="11"/>
      <c r="Q1488" s="11"/>
      <c r="R1488" s="11"/>
      <c r="S1488" s="11"/>
      <c r="T1488" s="1"/>
      <c r="U1488" s="1"/>
      <c r="V1488" s="1"/>
      <c r="W1488" s="1"/>
      <c r="X1488" s="1"/>
      <c r="Y1488" s="1"/>
      <c r="Z1488" s="1"/>
    </row>
    <row r="1489" ht="18.0" hidden="1" customHeight="1" outlineLevel="2">
      <c r="A1489" s="1">
        <v>10.0</v>
      </c>
      <c r="B1489" s="1" t="s">
        <v>1773</v>
      </c>
      <c r="C1489" s="1"/>
      <c r="D1489" s="38" t="s">
        <v>908</v>
      </c>
      <c r="E1489" s="14" t="s">
        <v>33</v>
      </c>
      <c r="F1489" s="15"/>
      <c r="G1489" s="30">
        <v>30.0</v>
      </c>
      <c r="H1489" s="22" t="s">
        <v>1774</v>
      </c>
      <c r="I1489" s="7" t="s">
        <v>1249</v>
      </c>
      <c r="J1489" s="7" t="str">
        <f>IFERROR(LET(_xlpm.v,
VLOOKUP($I1489,'用語辞書'!$A:$B,COLUMN('用語辞書'!B$1),FALSE),
IF(_xlpm.v=0,"",_xlpm.v)
),"")</f>
        <v>対象を後方へ移動させる</v>
      </c>
      <c r="K1489" s="17"/>
      <c r="L1489" s="17" t="b">
        <f>IF(OR(COUNTIF('クラス'!$A$1:$A$1267,$B1489)&gt;0,$B1489="",$M1489=""),"",True)</f>
        <v>1</v>
      </c>
      <c r="M1489" s="1" t="str">
        <f t="shared" si="26"/>
        <v>存在しない</v>
      </c>
      <c r="N1489" s="1" t="e">
        <v>#VALUE!</v>
      </c>
      <c r="O1489" s="1"/>
      <c r="P1489" s="11"/>
      <c r="Q1489" s="11"/>
      <c r="R1489" s="11"/>
      <c r="S1489" s="11"/>
      <c r="T1489" s="1"/>
      <c r="U1489" s="1"/>
      <c r="V1489" s="1"/>
      <c r="W1489" s="1"/>
      <c r="X1489" s="1"/>
      <c r="Y1489" s="1"/>
      <c r="Z1489" s="1"/>
    </row>
    <row r="1490" ht="18.0" hidden="1" customHeight="1" outlineLevel="2">
      <c r="A1490" s="1"/>
      <c r="B1490" s="1"/>
      <c r="C1490" s="1"/>
      <c r="D1490" s="1"/>
      <c r="E1490" s="14"/>
      <c r="F1490" s="15"/>
      <c r="G1490" s="16"/>
      <c r="H1490" s="11"/>
      <c r="I1490" s="7"/>
      <c r="J1490" s="7" t="str">
        <f>IFERROR(LET(_xlpm.v,
VLOOKUP($I1490,'用語辞書'!$A:$B,COLUMN('用語辞書'!B$1),FALSE),
IF(_xlpm.v=0,"",_xlpm.v)
),"")</f>
        <v/>
      </c>
      <c r="K1490" s="17"/>
      <c r="L1490" s="17" t="str">
        <f>IF(OR(COUNTIF('クラス'!$A$1:$A$1267,$B1490)&gt;0,$B1490="",$M1490=""),"",True)</f>
        <v/>
      </c>
      <c r="M1490" s="1" t="str">
        <f t="shared" si="26"/>
        <v>存在しない</v>
      </c>
      <c r="N1490" s="1" t="s">
        <v>29</v>
      </c>
      <c r="O1490" s="1"/>
      <c r="P1490" s="11"/>
      <c r="Q1490" s="11"/>
      <c r="R1490" s="11"/>
      <c r="S1490" s="11"/>
      <c r="T1490" s="1"/>
      <c r="U1490" s="1"/>
      <c r="V1490" s="1"/>
      <c r="W1490" s="1"/>
      <c r="X1490" s="1"/>
      <c r="Y1490" s="1"/>
      <c r="Z1490" s="1"/>
    </row>
    <row r="1491" ht="18.0" customHeight="1" outlineLevel="1" collapsed="1">
      <c r="A1491" s="1"/>
      <c r="B1491" s="1"/>
      <c r="C1491" s="1"/>
      <c r="D1491" s="1"/>
      <c r="E1491" s="14"/>
      <c r="F1491" s="15"/>
      <c r="G1491" s="16"/>
      <c r="H1491" s="11"/>
      <c r="I1491" s="7"/>
      <c r="J1491" s="7" t="str">
        <f>IFERROR(LET(_xlpm.v,
VLOOKUP($I1491,'用語辞書'!$A:$B,COLUMN('用語辞書'!B$1),FALSE),
IF(_xlpm.v=0,"",_xlpm.v)
),"")</f>
        <v/>
      </c>
      <c r="K1491" s="17"/>
      <c r="L1491" s="17" t="str">
        <f>IF(OR(COUNTIF('クラス'!$A$1:$A$1267,$B1491)&gt;0,$B1491="",$M1491=""),"",True)</f>
        <v/>
      </c>
      <c r="M1491" s="1" t="str">
        <f t="shared" si="26"/>
        <v>存在しない</v>
      </c>
      <c r="N1491" s="1" t="s">
        <v>29</v>
      </c>
      <c r="O1491" s="1"/>
      <c r="P1491" s="11"/>
      <c r="Q1491" s="11"/>
      <c r="R1491" s="11"/>
      <c r="S1491" s="11"/>
      <c r="T1491" s="1"/>
      <c r="U1491" s="1"/>
      <c r="V1491" s="1"/>
      <c r="W1491" s="1"/>
      <c r="X1491" s="1"/>
      <c r="Y1491" s="1"/>
      <c r="Z1491" s="1"/>
    </row>
    <row r="1492" ht="18.0" customHeight="1" outlineLevel="1">
      <c r="A1492" s="1"/>
      <c r="B1492" s="37" t="s">
        <v>1775</v>
      </c>
      <c r="C1492" s="1"/>
      <c r="D1492" s="1" t="s">
        <v>518</v>
      </c>
      <c r="E1492" s="14" t="s">
        <v>1776</v>
      </c>
      <c r="F1492" s="15"/>
      <c r="G1492" s="16"/>
      <c r="H1492" s="11"/>
      <c r="I1492" s="7"/>
      <c r="J1492" s="7" t="str">
        <f>IFERROR(LET(_xlpm.v,
VLOOKUP($I1492,'用語辞書'!$A:$B,COLUMN('用語辞書'!B$1),FALSE),
IF(_xlpm.v=0,"",_xlpm.v)
),"")</f>
        <v/>
      </c>
      <c r="K1492" s="17"/>
      <c r="L1492" s="17" t="str">
        <f>IF(OR(COUNTIF('クラス'!$A$1:$A$1267,$B1492)&gt;0,$B1492="",$M1492=""),"",True)</f>
        <v/>
      </c>
      <c r="M1492" s="1" t="str">
        <f t="shared" si="26"/>
        <v>存在しない</v>
      </c>
      <c r="N1492" s="1" t="s">
        <v>29</v>
      </c>
      <c r="O1492" s="1"/>
      <c r="P1492" s="11"/>
      <c r="Q1492" s="11"/>
      <c r="R1492" s="11"/>
      <c r="S1492" s="11"/>
      <c r="T1492" s="1"/>
      <c r="U1492" s="1"/>
      <c r="V1492" s="1"/>
      <c r="W1492" s="1"/>
      <c r="X1492" s="1"/>
      <c r="Y1492" s="1"/>
      <c r="Z1492" s="1"/>
    </row>
    <row r="1493" ht="18.0" hidden="1" customHeight="1" outlineLevel="2">
      <c r="A1493" s="1">
        <v>1.0</v>
      </c>
      <c r="B1493" s="1" t="str">
        <f>D1492&amp;"の適用"</f>
        <v>雷の適用</v>
      </c>
      <c r="C1493" s="1"/>
      <c r="D1493" s="38"/>
      <c r="E1493" s="14" t="s">
        <v>55</v>
      </c>
      <c r="F1493" s="15"/>
      <c r="G1493" s="16"/>
      <c r="H1493" s="11" t="str">
        <f>D1492&amp;"耐性+30"</f>
        <v>雷耐性+30</v>
      </c>
      <c r="I1493" s="7"/>
      <c r="J1493" s="7" t="str">
        <f>IFERROR(LET(_xlpm.v,
VLOOKUP($I1493,'用語辞書'!$A:$B,COLUMN('用語辞書'!B$1),FALSE),
IF(_xlpm.v=0,"",_xlpm.v)
),"")</f>
        <v/>
      </c>
      <c r="K1493" s="17"/>
      <c r="L1493" s="17" t="b">
        <f>IF(OR(COUNTIF('クラス'!$A$1:$A$1267,$B1493)&gt;0,$B1493="",$M1493=""),"",True)</f>
        <v>1</v>
      </c>
      <c r="M1493" s="1" t="str">
        <f t="shared" si="26"/>
        <v>存在しない</v>
      </c>
      <c r="N1493" s="1" t="e">
        <v>#VALUE!</v>
      </c>
      <c r="O1493" s="1"/>
      <c r="P1493" s="11"/>
      <c r="Q1493" s="11"/>
      <c r="R1493" s="11"/>
      <c r="S1493" s="11"/>
      <c r="T1493" s="1"/>
      <c r="U1493" s="1"/>
      <c r="V1493" s="1"/>
      <c r="W1493" s="1"/>
      <c r="X1493" s="1"/>
      <c r="Y1493" s="1"/>
      <c r="Z1493" s="1"/>
    </row>
    <row r="1494" ht="18.0" hidden="1" customHeight="1" outlineLevel="2">
      <c r="A1494" s="1">
        <v>2.0</v>
      </c>
      <c r="B1494" s="26" t="s">
        <v>516</v>
      </c>
      <c r="C1494" s="1"/>
      <c r="D1494" s="38"/>
      <c r="E1494" s="14"/>
      <c r="F1494" s="15"/>
      <c r="G1494" s="16"/>
      <c r="H1494" s="11"/>
      <c r="I1494" s="7"/>
      <c r="J1494" s="7" t="str">
        <f>IFERROR(LET(_xlpm.v,
VLOOKUP($I1494,'用語辞書'!$A:$B,COLUMN('用語辞書'!B$1),FALSE),
IF(_xlpm.v=0,"",_xlpm.v)
),"")</f>
        <v/>
      </c>
      <c r="K1494" s="17"/>
      <c r="L1494" s="17" t="str">
        <f>IF(OR(COUNTIF('クラス'!$A$1:$A$1267,$B1494)&gt;0,$B1494="",$M1494=""),"",True)</f>
        <v/>
      </c>
      <c r="M1494" s="1" t="str">
        <f t="shared" si="26"/>
        <v/>
      </c>
      <c r="N1494" s="1" t="s">
        <v>29</v>
      </c>
      <c r="O1494" s="1"/>
      <c r="P1494" s="11"/>
      <c r="Q1494" s="11"/>
      <c r="R1494" s="11"/>
      <c r="S1494" s="11"/>
      <c r="T1494" s="1"/>
      <c r="U1494" s="1"/>
      <c r="V1494" s="1"/>
      <c r="W1494" s="1"/>
      <c r="X1494" s="1"/>
      <c r="Y1494" s="1"/>
      <c r="Z1494" s="1"/>
    </row>
    <row r="1495" ht="18.0" hidden="1" customHeight="1" outlineLevel="2">
      <c r="A1495" s="1">
        <v>3.0</v>
      </c>
      <c r="B1495" s="1" t="str">
        <f>D1492&amp;"の体"</f>
        <v>雷の体</v>
      </c>
      <c r="C1495" s="1"/>
      <c r="D1495" s="38"/>
      <c r="E1495" s="14" t="s">
        <v>33</v>
      </c>
      <c r="F1495" s="15">
        <v>5.0</v>
      </c>
      <c r="G1495" s="16">
        <v>20.0</v>
      </c>
      <c r="H1495" s="11" t="str">
        <f>"効果時間6t 攻撃手段:肉体 "&amp;D1492&amp;"+15 判定:攻撃"</f>
        <v>効果時間6t 攻撃手段:肉体 雷+15 判定:攻撃</v>
      </c>
      <c r="I1495" s="7"/>
      <c r="J1495" s="7" t="str">
        <f>IFERROR(LET(_xlpm.v,
VLOOKUP($I1495,'用語辞書'!$A:$B,COLUMN('用語辞書'!B$1),FALSE),
IF(_xlpm.v=0,"",_xlpm.v)
),"")</f>
        <v/>
      </c>
      <c r="K1495" s="17"/>
      <c r="L1495" s="17" t="b">
        <f>IF(OR(COUNTIF('クラス'!$A$1:$A$1267,$B1495)&gt;0,$B1495="",$M1495=""),"",True)</f>
        <v>1</v>
      </c>
      <c r="M1495" s="1" t="str">
        <f t="shared" si="26"/>
        <v>存在しない</v>
      </c>
      <c r="N1495" s="1" t="e">
        <v>#VALUE!</v>
      </c>
      <c r="O1495" s="1"/>
      <c r="P1495" s="11"/>
      <c r="Q1495" s="11"/>
      <c r="R1495" s="11"/>
      <c r="S1495" s="11"/>
      <c r="T1495" s="1"/>
      <c r="U1495" s="1"/>
      <c r="V1495" s="1"/>
      <c r="W1495" s="1"/>
      <c r="X1495" s="1"/>
      <c r="Y1495" s="1"/>
      <c r="Z1495" s="1"/>
    </row>
    <row r="1496" ht="18.0" hidden="1" customHeight="1" outlineLevel="2">
      <c r="A1496" s="1">
        <v>4.0</v>
      </c>
      <c r="B1496" s="1"/>
      <c r="C1496" s="1"/>
      <c r="D1496" s="38"/>
      <c r="E1496" s="14"/>
      <c r="F1496" s="15"/>
      <c r="G1496" s="16"/>
      <c r="H1496" s="11"/>
      <c r="I1496" s="7"/>
      <c r="J1496" s="7" t="str">
        <f>IFERROR(LET(_xlpm.v,
VLOOKUP($I1496,'用語辞書'!$A:$B,COLUMN('用語辞書'!B$1),FALSE),
IF(_xlpm.v=0,"",_xlpm.v)
),"")</f>
        <v/>
      </c>
      <c r="K1496" s="17"/>
      <c r="L1496" s="17" t="str">
        <f>IF(OR(COUNTIF('クラス'!$A$1:$A$1267,$B1496)&gt;0,$B1496="",$M1496=""),"",True)</f>
        <v/>
      </c>
      <c r="M1496" s="1" t="str">
        <f t="shared" si="26"/>
        <v>存在しない</v>
      </c>
      <c r="N1496" s="1" t="s">
        <v>29</v>
      </c>
      <c r="O1496" s="1"/>
      <c r="P1496" s="11"/>
      <c r="Q1496" s="11"/>
      <c r="R1496" s="11"/>
      <c r="S1496" s="11"/>
      <c r="T1496" s="1"/>
      <c r="U1496" s="1"/>
      <c r="V1496" s="1"/>
      <c r="W1496" s="1"/>
      <c r="X1496" s="1"/>
      <c r="Y1496" s="1"/>
      <c r="Z1496" s="1"/>
    </row>
    <row r="1497" ht="18.0" hidden="1" customHeight="1" outlineLevel="2">
      <c r="A1497" s="1">
        <v>5.0</v>
      </c>
      <c r="B1497" s="26" t="s">
        <v>1500</v>
      </c>
      <c r="C1497" s="1"/>
      <c r="D1497" s="38"/>
      <c r="E1497" s="29" t="s">
        <v>55</v>
      </c>
      <c r="F1497" s="15"/>
      <c r="G1497" s="16"/>
      <c r="H1497" s="22" t="s">
        <v>1761</v>
      </c>
      <c r="I1497" s="7"/>
      <c r="J1497" s="7" t="str">
        <f>IFERROR(LET(_xlpm.v,
VLOOKUP($I1497,'用語辞書'!$A:$B,COLUMN('用語辞書'!B$1),FALSE),
IF(_xlpm.v=0,"",_xlpm.v)
),"")</f>
        <v/>
      </c>
      <c r="K1497" s="17"/>
      <c r="L1497" s="17" t="str">
        <f>IF(OR(COUNTIF('クラス'!$A$1:$A$1267,$B1497)&gt;0,$B1497="",$M1497=""),"",True)</f>
        <v/>
      </c>
      <c r="M1497" s="1" t="str">
        <f t="shared" si="26"/>
        <v/>
      </c>
      <c r="N1497" s="1" t="s">
        <v>29</v>
      </c>
      <c r="O1497" s="1"/>
      <c r="P1497" s="11"/>
      <c r="Q1497" s="11"/>
      <c r="R1497" s="11"/>
      <c r="S1497" s="11"/>
      <c r="T1497" s="1"/>
      <c r="U1497" s="1"/>
      <c r="V1497" s="1"/>
      <c r="W1497" s="1"/>
      <c r="X1497" s="1"/>
      <c r="Y1497" s="1"/>
      <c r="Z1497" s="1"/>
    </row>
    <row r="1498" ht="18.0" hidden="1" customHeight="1" outlineLevel="2">
      <c r="A1498" s="1">
        <v>6.0</v>
      </c>
      <c r="B1498" s="1"/>
      <c r="C1498" s="1"/>
      <c r="D1498" s="38"/>
      <c r="E1498" s="14"/>
      <c r="F1498" s="15"/>
      <c r="G1498" s="16"/>
      <c r="H1498" s="11"/>
      <c r="I1498" s="7"/>
      <c r="J1498" s="7" t="str">
        <f>IFERROR(LET(_xlpm.v,
VLOOKUP($I1498,'用語辞書'!$A:$B,COLUMN('用語辞書'!B$1),FALSE),
IF(_xlpm.v=0,"",_xlpm.v)
),"")</f>
        <v/>
      </c>
      <c r="K1498" s="17"/>
      <c r="L1498" s="17" t="str">
        <f>IF(OR(COUNTIF('クラス'!$A$1:$A$1267,$B1498)&gt;0,$B1498="",$M1498=""),"",True)</f>
        <v/>
      </c>
      <c r="M1498" s="1" t="str">
        <f t="shared" si="26"/>
        <v>存在しない</v>
      </c>
      <c r="N1498" s="1" t="e">
        <v>#VALUE!</v>
      </c>
      <c r="O1498" s="1"/>
      <c r="P1498" s="11"/>
      <c r="Q1498" s="11"/>
      <c r="R1498" s="11"/>
      <c r="S1498" s="11"/>
      <c r="T1498" s="1"/>
      <c r="U1498" s="1"/>
      <c r="V1498" s="1"/>
      <c r="W1498" s="1"/>
      <c r="X1498" s="1"/>
      <c r="Y1498" s="1"/>
      <c r="Z1498" s="1"/>
    </row>
    <row r="1499" ht="18.0" hidden="1" customHeight="1" outlineLevel="2">
      <c r="A1499" s="1">
        <v>7.0</v>
      </c>
      <c r="B1499" s="26" t="s">
        <v>526</v>
      </c>
      <c r="C1499" s="1"/>
      <c r="D1499" s="38"/>
      <c r="E1499" s="14"/>
      <c r="F1499" s="15"/>
      <c r="G1499" s="16"/>
      <c r="H1499" s="11"/>
      <c r="I1499" s="7"/>
      <c r="J1499" s="7" t="str">
        <f>IFERROR(LET(_xlpm.v,
VLOOKUP($I1499,'用語辞書'!$A:$B,COLUMN('用語辞書'!B$1),FALSE),
IF(_xlpm.v=0,"",_xlpm.v)
),"")</f>
        <v/>
      </c>
      <c r="K1499" s="17"/>
      <c r="L1499" s="17" t="str">
        <f>IF(OR(COUNTIF('クラス'!$A$1:$A$1267,$B1499)&gt;0,$B1499="",$M1499=""),"",True)</f>
        <v/>
      </c>
      <c r="M1499" s="1" t="str">
        <f t="shared" si="26"/>
        <v/>
      </c>
      <c r="N1499" s="1" t="s">
        <v>29</v>
      </c>
      <c r="O1499" s="1"/>
      <c r="P1499" s="11"/>
      <c r="Q1499" s="11"/>
      <c r="R1499" s="11"/>
      <c r="S1499" s="11"/>
      <c r="T1499" s="1"/>
      <c r="U1499" s="1"/>
      <c r="V1499" s="1"/>
      <c r="W1499" s="1"/>
      <c r="X1499" s="1"/>
      <c r="Y1499" s="1"/>
      <c r="Z1499" s="1"/>
    </row>
    <row r="1500" ht="18.0" hidden="1" customHeight="1" outlineLevel="2">
      <c r="A1500" s="1">
        <v>8.0</v>
      </c>
      <c r="B1500" s="1"/>
      <c r="C1500" s="1"/>
      <c r="D1500" s="38"/>
      <c r="E1500" s="14"/>
      <c r="F1500" s="15"/>
      <c r="G1500" s="16"/>
      <c r="H1500" s="11"/>
      <c r="I1500" s="7"/>
      <c r="J1500" s="7" t="str">
        <f>IFERROR(LET(_xlpm.v,
VLOOKUP($I1500,'用語辞書'!$A:$B,COLUMN('用語辞書'!B$1),FALSE),
IF(_xlpm.v=0,"",_xlpm.v)
),"")</f>
        <v/>
      </c>
      <c r="K1500" s="17"/>
      <c r="L1500" s="17" t="str">
        <f>IF(OR(COUNTIF('クラス'!$A$1:$A$1267,$B1500)&gt;0,$B1500="",$M1500=""),"",True)</f>
        <v/>
      </c>
      <c r="M1500" s="1" t="str">
        <f t="shared" si="26"/>
        <v>存在しない</v>
      </c>
      <c r="N1500" s="1" t="s">
        <v>29</v>
      </c>
      <c r="O1500" s="1"/>
      <c r="P1500" s="11"/>
      <c r="Q1500" s="11"/>
      <c r="R1500" s="11"/>
      <c r="S1500" s="11"/>
      <c r="T1500" s="1"/>
      <c r="U1500" s="1"/>
      <c r="V1500" s="1"/>
      <c r="W1500" s="1"/>
      <c r="X1500" s="1"/>
      <c r="Y1500" s="1"/>
      <c r="Z1500" s="1"/>
    </row>
    <row r="1501" ht="18.0" hidden="1" customHeight="1" outlineLevel="2">
      <c r="A1501" s="1">
        <v>9.0</v>
      </c>
      <c r="B1501" s="1" t="str">
        <f>D1492&amp;"強化"</f>
        <v>雷強化</v>
      </c>
      <c r="C1501" s="1"/>
      <c r="D1501" s="38"/>
      <c r="E1501" s="14" t="s">
        <v>55</v>
      </c>
      <c r="F1501" s="15"/>
      <c r="G1501" s="16"/>
      <c r="H1501" s="11" t="str">
        <f>"条件系統:"&amp;D1492&amp;" 全威力+10"</f>
        <v>条件系統:雷 全威力+10</v>
      </c>
      <c r="I1501" s="7"/>
      <c r="J1501" s="7" t="str">
        <f>IFERROR(LET(_xlpm.v,
VLOOKUP($I1501,'用語辞書'!$A:$B,COLUMN('用語辞書'!B$1),FALSE),
IF(_xlpm.v=0,"",_xlpm.v)
),"")</f>
        <v/>
      </c>
      <c r="K1501" s="17"/>
      <c r="L1501" s="17" t="b">
        <f>IF(OR(COUNTIF('クラス'!$A$1:$A$1267,$B1501)&gt;0,$B1501="",$M1501=""),"",True)</f>
        <v>1</v>
      </c>
      <c r="M1501" s="1" t="str">
        <f t="shared" si="26"/>
        <v>存在しない</v>
      </c>
      <c r="N1501" s="1" t="e">
        <v>#VALUE!</v>
      </c>
      <c r="O1501" s="1"/>
      <c r="P1501" s="11"/>
      <c r="Q1501" s="11"/>
      <c r="R1501" s="11"/>
      <c r="S1501" s="11"/>
      <c r="T1501" s="1"/>
      <c r="U1501" s="1"/>
      <c r="V1501" s="1"/>
      <c r="W1501" s="1"/>
      <c r="X1501" s="1"/>
      <c r="Y1501" s="1"/>
      <c r="Z1501" s="1"/>
    </row>
    <row r="1502" ht="18.0" hidden="1" customHeight="1" outlineLevel="2">
      <c r="A1502" s="1">
        <v>10.0</v>
      </c>
      <c r="B1502" s="1" t="str">
        <f>D1492&amp;"の唾"</f>
        <v>雷の唾</v>
      </c>
      <c r="C1502" s="1"/>
      <c r="D1502" s="38" t="str">
        <f>D1492</f>
        <v>雷</v>
      </c>
      <c r="E1502" s="14" t="s">
        <v>33</v>
      </c>
      <c r="F1502" s="15"/>
      <c r="G1502" s="30">
        <v>30.0</v>
      </c>
      <c r="H1502" s="22" t="s">
        <v>1777</v>
      </c>
      <c r="I1502" s="7"/>
      <c r="J1502" s="7" t="str">
        <f>IFERROR(LET(_xlpm.v,
VLOOKUP($I1502,'用語辞書'!$A:$B,COLUMN('用語辞書'!B$1),FALSE),
IF(_xlpm.v=0,"",_xlpm.v)
),"")</f>
        <v/>
      </c>
      <c r="K1502" s="17"/>
      <c r="L1502" s="17" t="b">
        <f>IF(OR(COUNTIF('クラス'!$A$1:$A$1267,$B1502)&gt;0,$B1502="",$M1502=""),"",True)</f>
        <v>1</v>
      </c>
      <c r="M1502" s="1" t="str">
        <f t="shared" si="26"/>
        <v>存在しない</v>
      </c>
      <c r="N1502" s="1" t="e">
        <v>#VALUE!</v>
      </c>
      <c r="O1502" s="1"/>
      <c r="P1502" s="11"/>
      <c r="Q1502" s="11"/>
      <c r="R1502" s="11"/>
      <c r="S1502" s="11"/>
      <c r="T1502" s="1"/>
      <c r="U1502" s="1"/>
      <c r="V1502" s="1"/>
      <c r="W1502" s="1"/>
      <c r="X1502" s="1"/>
      <c r="Y1502" s="1"/>
      <c r="Z1502" s="1"/>
    </row>
    <row r="1503" ht="18.0" hidden="1" customHeight="1" outlineLevel="2">
      <c r="A1503" s="1"/>
      <c r="B1503" s="1"/>
      <c r="C1503" s="1"/>
      <c r="D1503" s="1"/>
      <c r="E1503" s="14"/>
      <c r="F1503" s="15"/>
      <c r="G1503" s="16"/>
      <c r="H1503" s="11"/>
      <c r="I1503" s="7"/>
      <c r="J1503" s="7" t="str">
        <f>IFERROR(LET(_xlpm.v,
VLOOKUP($I1503,'用語辞書'!$A:$B,COLUMN('用語辞書'!B$1),FALSE),
IF(_xlpm.v=0,"",_xlpm.v)
),"")</f>
        <v/>
      </c>
      <c r="K1503" s="17"/>
      <c r="L1503" s="17" t="str">
        <f>IF(OR(COUNTIF('クラス'!$A$1:$A$1267,$B1503)&gt;0,$B1503="",$M1503=""),"",True)</f>
        <v/>
      </c>
      <c r="M1503" s="1" t="str">
        <f t="shared" si="26"/>
        <v>存在しない</v>
      </c>
      <c r="N1503" s="1" t="s">
        <v>29</v>
      </c>
      <c r="O1503" s="1"/>
      <c r="P1503" s="11"/>
      <c r="Q1503" s="11"/>
      <c r="R1503" s="11"/>
      <c r="S1503" s="11"/>
      <c r="T1503" s="1"/>
      <c r="U1503" s="1"/>
      <c r="V1503" s="1"/>
      <c r="W1503" s="1"/>
      <c r="X1503" s="1"/>
      <c r="Y1503" s="1"/>
      <c r="Z1503" s="1"/>
    </row>
    <row r="1504" ht="18.0" customHeight="1" outlineLevel="1" collapsed="1">
      <c r="A1504" s="1"/>
      <c r="B1504" s="1"/>
      <c r="C1504" s="1"/>
      <c r="D1504" s="1"/>
      <c r="E1504" s="14"/>
      <c r="F1504" s="15"/>
      <c r="G1504" s="16"/>
      <c r="H1504" s="11"/>
      <c r="I1504" s="7"/>
      <c r="J1504" s="7" t="str">
        <f>IFERROR(LET(_xlpm.v,
VLOOKUP($I1504,'用語辞書'!$A:$B,COLUMN('用語辞書'!B$1),FALSE),
IF(_xlpm.v=0,"",_xlpm.v)
),"")</f>
        <v/>
      </c>
      <c r="K1504" s="17"/>
      <c r="L1504" s="17" t="str">
        <f>IF(OR(COUNTIF('クラス'!$A$1:$A$1267,$B1504)&gt;0,$B1504="",$M1504=""),"",True)</f>
        <v/>
      </c>
      <c r="M1504" s="1" t="str">
        <f t="shared" si="26"/>
        <v>存在しない</v>
      </c>
      <c r="N1504" s="1" t="s">
        <v>29</v>
      </c>
      <c r="O1504" s="1"/>
      <c r="P1504" s="11"/>
      <c r="Q1504" s="11"/>
      <c r="R1504" s="11"/>
      <c r="S1504" s="11"/>
      <c r="T1504" s="1"/>
      <c r="U1504" s="1"/>
      <c r="V1504" s="1"/>
      <c r="W1504" s="1"/>
      <c r="X1504" s="1"/>
      <c r="Y1504" s="1"/>
      <c r="Z1504" s="1"/>
    </row>
    <row r="1505" ht="18.0" customHeight="1" outlineLevel="1">
      <c r="A1505" s="1"/>
      <c r="B1505" s="37" t="s">
        <v>1778</v>
      </c>
      <c r="C1505" s="1"/>
      <c r="D1505" s="1" t="s">
        <v>644</v>
      </c>
      <c r="E1505" s="14" t="s">
        <v>1779</v>
      </c>
      <c r="F1505" s="15"/>
      <c r="G1505" s="16"/>
      <c r="H1505" s="11"/>
      <c r="I1505" s="7"/>
      <c r="J1505" s="7" t="str">
        <f>IFERROR(LET(_xlpm.v,
VLOOKUP($I1505,'用語辞書'!$A:$B,COLUMN('用語辞書'!B$1),FALSE),
IF(_xlpm.v=0,"",_xlpm.v)
),"")</f>
        <v/>
      </c>
      <c r="K1505" s="17"/>
      <c r="L1505" s="17" t="str">
        <f>IF(OR(COUNTIF('クラス'!$A$1:$A$1267,$B1505)&gt;0,$B1505="",$M1505=""),"",True)</f>
        <v/>
      </c>
      <c r="M1505" s="1" t="str">
        <f t="shared" si="26"/>
        <v>存在しない</v>
      </c>
      <c r="N1505" s="1" t="s">
        <v>29</v>
      </c>
      <c r="O1505" s="1"/>
      <c r="P1505" s="11"/>
      <c r="Q1505" s="11"/>
      <c r="R1505" s="11"/>
      <c r="S1505" s="11"/>
      <c r="T1505" s="1"/>
      <c r="U1505" s="1"/>
      <c r="V1505" s="1"/>
      <c r="W1505" s="1"/>
      <c r="X1505" s="1"/>
      <c r="Y1505" s="1"/>
      <c r="Z1505" s="1"/>
    </row>
    <row r="1506" ht="18.0" hidden="1" customHeight="1" outlineLevel="2">
      <c r="A1506" s="1">
        <v>1.0</v>
      </c>
      <c r="B1506" s="1" t="str">
        <f>D1505&amp;"の適用"</f>
        <v>毒の適用</v>
      </c>
      <c r="C1506" s="1"/>
      <c r="D1506" s="38"/>
      <c r="E1506" s="14" t="s">
        <v>55</v>
      </c>
      <c r="F1506" s="15"/>
      <c r="G1506" s="16"/>
      <c r="H1506" s="11" t="str">
        <f>D1505&amp;"耐性+30"</f>
        <v>毒耐性+30</v>
      </c>
      <c r="I1506" s="7"/>
      <c r="J1506" s="7" t="str">
        <f>IFERROR(LET(_xlpm.v,
VLOOKUP($I1506,'用語辞書'!$A:$B,COLUMN('用語辞書'!B$1),FALSE),
IF(_xlpm.v=0,"",_xlpm.v)
),"")</f>
        <v/>
      </c>
      <c r="K1506" s="17"/>
      <c r="L1506" s="17" t="b">
        <f>IF(OR(COUNTIF('クラス'!$A$1:$A$1267,$B1506)&gt;0,$B1506="",$M1506=""),"",True)</f>
        <v>1</v>
      </c>
      <c r="M1506" s="1" t="str">
        <f t="shared" si="26"/>
        <v>存在しない</v>
      </c>
      <c r="N1506" s="1" t="e">
        <v>#VALUE!</v>
      </c>
      <c r="O1506" s="1"/>
      <c r="P1506" s="11"/>
      <c r="Q1506" s="11"/>
      <c r="R1506" s="11"/>
      <c r="S1506" s="11"/>
      <c r="T1506" s="1"/>
      <c r="U1506" s="1"/>
      <c r="V1506" s="1"/>
      <c r="W1506" s="1"/>
      <c r="X1506" s="1"/>
      <c r="Y1506" s="1"/>
      <c r="Z1506" s="1"/>
    </row>
    <row r="1507" ht="18.0" hidden="1" customHeight="1" outlineLevel="2">
      <c r="A1507" s="1">
        <v>2.0</v>
      </c>
      <c r="B1507" s="26" t="s">
        <v>646</v>
      </c>
      <c r="C1507" s="1"/>
      <c r="D1507" s="38"/>
      <c r="E1507" s="14"/>
      <c r="F1507" s="15"/>
      <c r="G1507" s="16"/>
      <c r="H1507" s="11"/>
      <c r="I1507" s="7"/>
      <c r="J1507" s="7" t="str">
        <f>IFERROR(LET(_xlpm.v,
VLOOKUP($I1507,'用語辞書'!$A:$B,COLUMN('用語辞書'!B$1),FALSE),
IF(_xlpm.v=0,"",_xlpm.v)
),"")</f>
        <v/>
      </c>
      <c r="K1507" s="17"/>
      <c r="L1507" s="17" t="str">
        <f>IF(OR(COUNTIF('クラス'!$A$1:$A$1267,$B1507)&gt;0,$B1507="",$M1507=""),"",True)</f>
        <v/>
      </c>
      <c r="M1507" s="1" t="str">
        <f t="shared" si="26"/>
        <v/>
      </c>
      <c r="N1507" s="1" t="s">
        <v>29</v>
      </c>
      <c r="O1507" s="1"/>
      <c r="P1507" s="11"/>
      <c r="Q1507" s="11"/>
      <c r="R1507" s="11"/>
      <c r="S1507" s="11"/>
      <c r="T1507" s="1"/>
      <c r="U1507" s="1"/>
      <c r="V1507" s="1"/>
      <c r="W1507" s="1"/>
      <c r="X1507" s="1"/>
      <c r="Y1507" s="1"/>
      <c r="Z1507" s="1"/>
    </row>
    <row r="1508" ht="18.0" hidden="1" customHeight="1" outlineLevel="2">
      <c r="A1508" s="1">
        <v>3.0</v>
      </c>
      <c r="B1508" s="1" t="str">
        <f>D1505&amp;"の体"</f>
        <v>毒の体</v>
      </c>
      <c r="C1508" s="1"/>
      <c r="D1508" s="38"/>
      <c r="E1508" s="14" t="s">
        <v>33</v>
      </c>
      <c r="F1508" s="15">
        <v>5.0</v>
      </c>
      <c r="G1508" s="16">
        <v>20.0</v>
      </c>
      <c r="H1508" s="11" t="str">
        <f>"効果時間6t 攻撃手段:肉体 "&amp;D1505&amp;"+15 判定:攻撃"</f>
        <v>効果時間6t 攻撃手段:肉体 毒+15 判定:攻撃</v>
      </c>
      <c r="I1508" s="7"/>
      <c r="J1508" s="7" t="str">
        <f>IFERROR(LET(_xlpm.v,
VLOOKUP($I1508,'用語辞書'!$A:$B,COLUMN('用語辞書'!B$1),FALSE),
IF(_xlpm.v=0,"",_xlpm.v)
),"")</f>
        <v/>
      </c>
      <c r="K1508" s="17"/>
      <c r="L1508" s="17" t="b">
        <f>IF(OR(COUNTIF('クラス'!$A$1:$A$1267,$B1508)&gt;0,$B1508="",$M1508=""),"",True)</f>
        <v>1</v>
      </c>
      <c r="M1508" s="1" t="str">
        <f t="shared" si="26"/>
        <v>存在しない</v>
      </c>
      <c r="N1508" s="1" t="e">
        <v>#VALUE!</v>
      </c>
      <c r="O1508" s="1"/>
      <c r="P1508" s="11"/>
      <c r="Q1508" s="11"/>
      <c r="R1508" s="11"/>
      <c r="S1508" s="11"/>
      <c r="T1508" s="1"/>
      <c r="U1508" s="1"/>
      <c r="V1508" s="1"/>
      <c r="W1508" s="1"/>
      <c r="X1508" s="1"/>
      <c r="Y1508" s="1"/>
      <c r="Z1508" s="1"/>
    </row>
    <row r="1509" ht="18.0" hidden="1" customHeight="1" outlineLevel="2">
      <c r="A1509" s="1">
        <v>4.0</v>
      </c>
      <c r="B1509" s="1"/>
      <c r="C1509" s="1"/>
      <c r="D1509" s="38"/>
      <c r="E1509" s="14"/>
      <c r="F1509" s="15"/>
      <c r="G1509" s="16"/>
      <c r="H1509" s="11"/>
      <c r="I1509" s="7"/>
      <c r="J1509" s="7" t="str">
        <f>IFERROR(LET(_xlpm.v,
VLOOKUP($I1509,'用語辞書'!$A:$B,COLUMN('用語辞書'!B$1),FALSE),
IF(_xlpm.v=0,"",_xlpm.v)
),"")</f>
        <v/>
      </c>
      <c r="K1509" s="17"/>
      <c r="L1509" s="17" t="str">
        <f>IF(OR(COUNTIF('クラス'!$A$1:$A$1267,$B1509)&gt;0,$B1509="",$M1509=""),"",True)</f>
        <v/>
      </c>
      <c r="M1509" s="1" t="str">
        <f t="shared" si="26"/>
        <v>存在しない</v>
      </c>
      <c r="N1509" s="1" t="s">
        <v>29</v>
      </c>
      <c r="O1509" s="1"/>
      <c r="P1509" s="11"/>
      <c r="Q1509" s="11"/>
      <c r="R1509" s="11"/>
      <c r="S1509" s="11"/>
      <c r="T1509" s="1"/>
      <c r="U1509" s="1"/>
      <c r="V1509" s="1"/>
      <c r="W1509" s="1"/>
      <c r="X1509" s="1"/>
      <c r="Y1509" s="1"/>
      <c r="Z1509" s="1"/>
    </row>
    <row r="1510" ht="18.0" hidden="1" customHeight="1" outlineLevel="2">
      <c r="A1510" s="1">
        <v>5.0</v>
      </c>
      <c r="B1510" s="26" t="s">
        <v>1500</v>
      </c>
      <c r="C1510" s="1"/>
      <c r="D1510" s="38"/>
      <c r="E1510" s="29" t="s">
        <v>55</v>
      </c>
      <c r="F1510" s="15"/>
      <c r="G1510" s="16"/>
      <c r="H1510" s="22" t="s">
        <v>1761</v>
      </c>
      <c r="I1510" s="7"/>
      <c r="J1510" s="7" t="str">
        <f>IFERROR(LET(_xlpm.v,
VLOOKUP($I1510,'用語辞書'!$A:$B,COLUMN('用語辞書'!B$1),FALSE),
IF(_xlpm.v=0,"",_xlpm.v)
),"")</f>
        <v/>
      </c>
      <c r="K1510" s="17"/>
      <c r="L1510" s="17" t="str">
        <f>IF(OR(COUNTIF('クラス'!$A$1:$A$1267,$B1510)&gt;0,$B1510="",$M1510=""),"",True)</f>
        <v/>
      </c>
      <c r="M1510" s="1" t="str">
        <f t="shared" si="26"/>
        <v/>
      </c>
      <c r="N1510" s="1" t="s">
        <v>29</v>
      </c>
      <c r="O1510" s="1"/>
      <c r="P1510" s="11"/>
      <c r="Q1510" s="11"/>
      <c r="R1510" s="11"/>
      <c r="S1510" s="11"/>
      <c r="T1510" s="1"/>
      <c r="U1510" s="1"/>
      <c r="V1510" s="1"/>
      <c r="W1510" s="1"/>
      <c r="X1510" s="1"/>
      <c r="Y1510" s="1"/>
      <c r="Z1510" s="1"/>
    </row>
    <row r="1511" ht="18.0" hidden="1" customHeight="1" outlineLevel="2">
      <c r="A1511" s="1">
        <v>6.0</v>
      </c>
      <c r="B1511" s="1"/>
      <c r="C1511" s="1"/>
      <c r="D1511" s="38"/>
      <c r="E1511" s="14"/>
      <c r="F1511" s="15"/>
      <c r="G1511" s="16"/>
      <c r="H1511" s="11"/>
      <c r="I1511" s="7"/>
      <c r="J1511" s="7" t="str">
        <f>IFERROR(LET(_xlpm.v,
VLOOKUP($I1511,'用語辞書'!$A:$B,COLUMN('用語辞書'!B$1),FALSE),
IF(_xlpm.v=0,"",_xlpm.v)
),"")</f>
        <v/>
      </c>
      <c r="K1511" s="17"/>
      <c r="L1511" s="17" t="str">
        <f>IF(OR(COUNTIF('クラス'!$A$1:$A$1267,$B1511)&gt;0,$B1511="",$M1511=""),"",True)</f>
        <v/>
      </c>
      <c r="M1511" s="1" t="str">
        <f t="shared" si="26"/>
        <v>存在しない</v>
      </c>
      <c r="N1511" s="1" t="e">
        <v>#VALUE!</v>
      </c>
      <c r="O1511" s="1"/>
      <c r="P1511" s="11"/>
      <c r="Q1511" s="11"/>
      <c r="R1511" s="11"/>
      <c r="S1511" s="11"/>
      <c r="T1511" s="1"/>
      <c r="U1511" s="1"/>
      <c r="V1511" s="1"/>
      <c r="W1511" s="1"/>
      <c r="X1511" s="1"/>
      <c r="Y1511" s="1"/>
      <c r="Z1511" s="1"/>
    </row>
    <row r="1512" ht="18.0" hidden="1" customHeight="1" outlineLevel="2">
      <c r="A1512" s="1">
        <v>7.0</v>
      </c>
      <c r="B1512" s="26" t="s">
        <v>649</v>
      </c>
      <c r="C1512" s="1"/>
      <c r="D1512" s="38"/>
      <c r="E1512" s="14"/>
      <c r="F1512" s="15"/>
      <c r="G1512" s="16"/>
      <c r="H1512" s="11"/>
      <c r="I1512" s="7"/>
      <c r="J1512" s="7" t="str">
        <f>IFERROR(LET(_xlpm.v,
VLOOKUP($I1512,'用語辞書'!$A:$B,COLUMN('用語辞書'!B$1),FALSE),
IF(_xlpm.v=0,"",_xlpm.v)
),"")</f>
        <v/>
      </c>
      <c r="K1512" s="17"/>
      <c r="L1512" s="17" t="str">
        <f>IF(OR(COUNTIF('クラス'!$A$1:$A$1267,$B1512)&gt;0,$B1512="",$M1512=""),"",True)</f>
        <v/>
      </c>
      <c r="M1512" s="1" t="str">
        <f t="shared" si="26"/>
        <v/>
      </c>
      <c r="N1512" s="1" t="s">
        <v>29</v>
      </c>
      <c r="O1512" s="1"/>
      <c r="P1512" s="11"/>
      <c r="Q1512" s="11"/>
      <c r="R1512" s="11"/>
      <c r="S1512" s="11"/>
      <c r="T1512" s="1"/>
      <c r="U1512" s="1"/>
      <c r="V1512" s="1"/>
      <c r="W1512" s="1"/>
      <c r="X1512" s="1"/>
      <c r="Y1512" s="1"/>
      <c r="Z1512" s="1"/>
    </row>
    <row r="1513" ht="18.0" hidden="1" customHeight="1" outlineLevel="2">
      <c r="A1513" s="1">
        <v>8.0</v>
      </c>
      <c r="B1513" s="1"/>
      <c r="C1513" s="1"/>
      <c r="D1513" s="38"/>
      <c r="E1513" s="14"/>
      <c r="F1513" s="15"/>
      <c r="G1513" s="16"/>
      <c r="H1513" s="11"/>
      <c r="I1513" s="7"/>
      <c r="J1513" s="7" t="str">
        <f>IFERROR(LET(_xlpm.v,
VLOOKUP($I1513,'用語辞書'!$A:$B,COLUMN('用語辞書'!B$1),FALSE),
IF(_xlpm.v=0,"",_xlpm.v)
),"")</f>
        <v/>
      </c>
      <c r="K1513" s="17"/>
      <c r="L1513" s="17" t="str">
        <f>IF(OR(COUNTIF('クラス'!$A$1:$A$1267,$B1513)&gt;0,$B1513="",$M1513=""),"",True)</f>
        <v/>
      </c>
      <c r="M1513" s="1" t="str">
        <f t="shared" si="26"/>
        <v>存在しない</v>
      </c>
      <c r="N1513" s="1" t="s">
        <v>29</v>
      </c>
      <c r="O1513" s="1"/>
      <c r="P1513" s="11"/>
      <c r="Q1513" s="11"/>
      <c r="R1513" s="11"/>
      <c r="S1513" s="11"/>
      <c r="T1513" s="1"/>
      <c r="U1513" s="1"/>
      <c r="V1513" s="1"/>
      <c r="W1513" s="1"/>
      <c r="X1513" s="1"/>
      <c r="Y1513" s="1"/>
      <c r="Z1513" s="1"/>
    </row>
    <row r="1514" ht="18.0" hidden="1" customHeight="1" outlineLevel="2">
      <c r="A1514" s="1">
        <v>9.0</v>
      </c>
      <c r="B1514" s="1" t="str">
        <f>D1505&amp;"強化"</f>
        <v>毒強化</v>
      </c>
      <c r="C1514" s="1"/>
      <c r="D1514" s="38"/>
      <c r="E1514" s="14" t="s">
        <v>55</v>
      </c>
      <c r="F1514" s="15"/>
      <c r="G1514" s="16"/>
      <c r="H1514" s="11" t="str">
        <f>"条件系統:"&amp;D1505&amp;" 全威力+10"</f>
        <v>条件系統:毒 全威力+10</v>
      </c>
      <c r="I1514" s="7"/>
      <c r="J1514" s="7" t="str">
        <f>IFERROR(LET(_xlpm.v,
VLOOKUP($I1514,'用語辞書'!$A:$B,COLUMN('用語辞書'!B$1),FALSE),
IF(_xlpm.v=0,"",_xlpm.v)
),"")</f>
        <v/>
      </c>
      <c r="K1514" s="17"/>
      <c r="L1514" s="17" t="b">
        <f>IF(OR(COUNTIF('クラス'!$A$1:$A$1267,$B1514)&gt;0,$B1514="",$M1514=""),"",True)</f>
        <v>1</v>
      </c>
      <c r="M1514" s="1" t="str">
        <f t="shared" si="26"/>
        <v>存在しない</v>
      </c>
      <c r="N1514" s="1" t="e">
        <v>#VALUE!</v>
      </c>
      <c r="O1514" s="1"/>
      <c r="P1514" s="11"/>
      <c r="Q1514" s="11"/>
      <c r="R1514" s="11"/>
      <c r="S1514" s="11"/>
      <c r="T1514" s="1"/>
      <c r="U1514" s="1"/>
      <c r="V1514" s="1"/>
      <c r="W1514" s="1"/>
      <c r="X1514" s="1"/>
      <c r="Y1514" s="1"/>
      <c r="Z1514" s="1"/>
    </row>
    <row r="1515" ht="18.0" hidden="1" customHeight="1" outlineLevel="2">
      <c r="A1515" s="1">
        <v>10.0</v>
      </c>
      <c r="B1515" s="1" t="str">
        <f>D1505&amp;"の唾"</f>
        <v>毒の唾</v>
      </c>
      <c r="C1515" s="1"/>
      <c r="D1515" s="38" t="str">
        <f>D1505</f>
        <v>毒</v>
      </c>
      <c r="E1515" s="14" t="s">
        <v>33</v>
      </c>
      <c r="F1515" s="15"/>
      <c r="G1515" s="30">
        <v>30.0</v>
      </c>
      <c r="H1515" s="22" t="s">
        <v>1780</v>
      </c>
      <c r="I1515" s="7"/>
      <c r="J1515" s="7" t="str">
        <f>IFERROR(LET(_xlpm.v,
VLOOKUP($I1515,'用語辞書'!$A:$B,COLUMN('用語辞書'!B$1),FALSE),
IF(_xlpm.v=0,"",_xlpm.v)
),"")</f>
        <v/>
      </c>
      <c r="K1515" s="17"/>
      <c r="L1515" s="17" t="b">
        <f>IF(OR(COUNTIF('クラス'!$A$1:$A$1267,$B1515)&gt;0,$B1515="",$M1515=""),"",True)</f>
        <v>1</v>
      </c>
      <c r="M1515" s="1" t="str">
        <f t="shared" si="26"/>
        <v>存在しない</v>
      </c>
      <c r="N1515" s="1" t="e">
        <v>#VALUE!</v>
      </c>
      <c r="O1515" s="1"/>
      <c r="P1515" s="11"/>
      <c r="Q1515" s="11"/>
      <c r="R1515" s="11"/>
      <c r="S1515" s="11"/>
      <c r="T1515" s="1"/>
      <c r="U1515" s="1"/>
      <c r="V1515" s="1"/>
      <c r="W1515" s="1"/>
      <c r="X1515" s="1"/>
      <c r="Y1515" s="1"/>
      <c r="Z1515" s="1"/>
    </row>
    <row r="1516" ht="18.0" hidden="1" customHeight="1" outlineLevel="2">
      <c r="A1516" s="1"/>
      <c r="B1516" s="1"/>
      <c r="C1516" s="1"/>
      <c r="D1516" s="1"/>
      <c r="E1516" s="14"/>
      <c r="F1516" s="15"/>
      <c r="G1516" s="16"/>
      <c r="H1516" s="11"/>
      <c r="I1516" s="7"/>
      <c r="J1516" s="7" t="str">
        <f>IFERROR(LET(_xlpm.v,
VLOOKUP($I1516,'用語辞書'!$A:$B,COLUMN('用語辞書'!B$1),FALSE),
IF(_xlpm.v=0,"",_xlpm.v)
),"")</f>
        <v/>
      </c>
      <c r="K1516" s="17"/>
      <c r="L1516" s="17" t="str">
        <f>IF(OR(COUNTIF('クラス'!$A$1:$A$1267,$B1516)&gt;0,$B1516="",$M1516=""),"",True)</f>
        <v/>
      </c>
      <c r="M1516" s="1" t="str">
        <f t="shared" si="26"/>
        <v>存在しない</v>
      </c>
      <c r="N1516" s="1" t="s">
        <v>29</v>
      </c>
      <c r="O1516" s="1"/>
      <c r="P1516" s="11"/>
      <c r="Q1516" s="11"/>
      <c r="R1516" s="11"/>
      <c r="S1516" s="11"/>
      <c r="T1516" s="1"/>
      <c r="U1516" s="1"/>
      <c r="V1516" s="1"/>
      <c r="W1516" s="1"/>
      <c r="X1516" s="1"/>
      <c r="Y1516" s="1"/>
      <c r="Z1516" s="1"/>
    </row>
    <row r="1517" ht="18.0" customHeight="1" outlineLevel="1" collapsed="1">
      <c r="A1517" s="1"/>
      <c r="B1517" s="1"/>
      <c r="C1517" s="1"/>
      <c r="D1517" s="1"/>
      <c r="E1517" s="14"/>
      <c r="F1517" s="15"/>
      <c r="G1517" s="16"/>
      <c r="H1517" s="11"/>
      <c r="I1517" s="7"/>
      <c r="J1517" s="7" t="str">
        <f>IFERROR(LET(_xlpm.v,
VLOOKUP($I1517,'用語辞書'!$A:$B,COLUMN('用語辞書'!B$1),FALSE),
IF(_xlpm.v=0,"",_xlpm.v)
),"")</f>
        <v/>
      </c>
      <c r="K1517" s="17"/>
      <c r="L1517" s="17" t="str">
        <f>IF(OR(COUNTIF('クラス'!$A$1:$A$1267,$B1517)&gt;0,$B1517="",$M1517=""),"",True)</f>
        <v/>
      </c>
      <c r="M1517" s="1" t="str">
        <f t="shared" si="26"/>
        <v>存在しない</v>
      </c>
      <c r="N1517" s="1" t="s">
        <v>29</v>
      </c>
      <c r="O1517" s="1"/>
      <c r="P1517" s="11"/>
      <c r="Q1517" s="11"/>
      <c r="R1517" s="11"/>
      <c r="S1517" s="11"/>
      <c r="T1517" s="1"/>
      <c r="U1517" s="1"/>
      <c r="V1517" s="1"/>
      <c r="W1517" s="1"/>
      <c r="X1517" s="1"/>
      <c r="Y1517" s="1"/>
      <c r="Z1517" s="1"/>
    </row>
    <row r="1518" ht="18.0" customHeight="1" outlineLevel="1">
      <c r="A1518" s="1"/>
      <c r="B1518" s="37" t="s">
        <v>1781</v>
      </c>
      <c r="C1518" s="1"/>
      <c r="D1518" s="1" t="s">
        <v>1782</v>
      </c>
      <c r="E1518" s="14"/>
      <c r="F1518" s="15"/>
      <c r="G1518" s="16"/>
      <c r="H1518" s="11"/>
      <c r="I1518" s="7"/>
      <c r="J1518" s="7" t="str">
        <f>IFERROR(LET(_xlpm.v,
VLOOKUP($I1518,'用語辞書'!$A:$B,COLUMN('用語辞書'!B$1),FALSE),
IF(_xlpm.v=0,"",_xlpm.v)
),"")</f>
        <v/>
      </c>
      <c r="K1518" s="17"/>
      <c r="L1518" s="17" t="str">
        <f>IF(OR(COUNTIF('クラス'!$A$1:$A$1267,$B1518)&gt;0,$B1518="",$M1518=""),"",True)</f>
        <v/>
      </c>
      <c r="M1518" s="1" t="str">
        <f t="shared" si="26"/>
        <v>存在しない</v>
      </c>
      <c r="N1518" s="1" t="s">
        <v>29</v>
      </c>
      <c r="O1518" s="1"/>
      <c r="P1518" s="11"/>
      <c r="Q1518" s="11"/>
      <c r="R1518" s="11"/>
      <c r="S1518" s="11"/>
      <c r="T1518" s="1"/>
      <c r="U1518" s="1"/>
      <c r="V1518" s="1"/>
      <c r="W1518" s="1"/>
      <c r="X1518" s="1"/>
      <c r="Y1518" s="1"/>
      <c r="Z1518" s="1"/>
    </row>
    <row r="1519" ht="18.0" hidden="1" customHeight="1" outlineLevel="2">
      <c r="A1519" s="1">
        <v>1.0</v>
      </c>
      <c r="B1519" s="1" t="s">
        <v>1783</v>
      </c>
      <c r="C1519" s="1"/>
      <c r="D1519" s="38"/>
      <c r="E1519" s="14" t="s">
        <v>55</v>
      </c>
      <c r="F1519" s="15"/>
      <c r="G1519" s="16"/>
      <c r="H1519" s="11" t="str">
        <f>D1518&amp;"耐性+30"</f>
        <v>打撃耐性+30</v>
      </c>
      <c r="I1519" s="7"/>
      <c r="J1519" s="7" t="str">
        <f>IFERROR(LET(_xlpm.v,
VLOOKUP($I1519,'用語辞書'!$A:$B,COLUMN('用語辞書'!B$1),FALSE),
IF(_xlpm.v=0,"",_xlpm.v)
),"")</f>
        <v/>
      </c>
      <c r="K1519" s="17"/>
      <c r="L1519" s="17" t="b">
        <f>IF(OR(COUNTIF('クラス'!$A$1:$A$1267,$B1519)&gt;0,$B1519="",$M1519=""),"",True)</f>
        <v>1</v>
      </c>
      <c r="M1519" s="1" t="str">
        <f t="shared" si="26"/>
        <v>存在しない</v>
      </c>
      <c r="N1519" s="1" t="e">
        <v>#VALUE!</v>
      </c>
      <c r="O1519" s="1"/>
      <c r="P1519" s="11"/>
      <c r="Q1519" s="11"/>
      <c r="R1519" s="11"/>
      <c r="S1519" s="11"/>
      <c r="T1519" s="1"/>
      <c r="U1519" s="1"/>
      <c r="V1519" s="1"/>
      <c r="W1519" s="1"/>
      <c r="X1519" s="1"/>
      <c r="Y1519" s="1"/>
      <c r="Z1519" s="1"/>
    </row>
    <row r="1520" ht="18.0" hidden="1" customHeight="1" outlineLevel="2">
      <c r="A1520" s="1">
        <v>2.0</v>
      </c>
      <c r="B1520" s="26" t="s">
        <v>458</v>
      </c>
      <c r="C1520" s="1"/>
      <c r="D1520" s="38"/>
      <c r="E1520" s="14"/>
      <c r="F1520" s="15"/>
      <c r="G1520" s="16"/>
      <c r="H1520" s="11"/>
      <c r="I1520" s="7"/>
      <c r="J1520" s="7" t="str">
        <f>IFERROR(LET(_xlpm.v,
VLOOKUP($I1520,'用語辞書'!$A:$B,COLUMN('用語辞書'!B$1),FALSE),
IF(_xlpm.v=0,"",_xlpm.v)
),"")</f>
        <v/>
      </c>
      <c r="K1520" s="17"/>
      <c r="L1520" s="17" t="str">
        <f>IF(OR(COUNTIF('クラス'!$A$1:$A$1267,$B1520)&gt;0,$B1520="",$M1520=""),"",True)</f>
        <v/>
      </c>
      <c r="M1520" s="1" t="str">
        <f t="shared" si="26"/>
        <v/>
      </c>
      <c r="N1520" s="1" t="s">
        <v>29</v>
      </c>
      <c r="O1520" s="1"/>
      <c r="P1520" s="11"/>
      <c r="Q1520" s="11"/>
      <c r="R1520" s="11"/>
      <c r="S1520" s="11"/>
      <c r="T1520" s="1"/>
      <c r="U1520" s="1"/>
      <c r="V1520" s="1"/>
      <c r="W1520" s="1"/>
      <c r="X1520" s="1"/>
      <c r="Y1520" s="1"/>
      <c r="Z1520" s="1"/>
    </row>
    <row r="1521" ht="18.0" hidden="1" customHeight="1" outlineLevel="2">
      <c r="A1521" s="1">
        <v>3.0</v>
      </c>
      <c r="B1521" s="1" t="s">
        <v>1784</v>
      </c>
      <c r="C1521" s="1"/>
      <c r="D1521" s="38"/>
      <c r="E1521" s="14" t="s">
        <v>33</v>
      </c>
      <c r="F1521" s="15">
        <v>5.0</v>
      </c>
      <c r="G1521" s="16">
        <v>20.0</v>
      </c>
      <c r="H1521" s="11" t="str">
        <f>"効果時間6t 攻撃手段:肉体 "&amp;D1518&amp;"+15 判定:攻撃"</f>
        <v>効果時間6t 攻撃手段:肉体 打撃+15 判定:攻撃</v>
      </c>
      <c r="I1521" s="7"/>
      <c r="J1521" s="7" t="str">
        <f>IFERROR(LET(_xlpm.v,
VLOOKUP($I1521,'用語辞書'!$A:$B,COLUMN('用語辞書'!B$1),FALSE),
IF(_xlpm.v=0,"",_xlpm.v)
),"")</f>
        <v/>
      </c>
      <c r="K1521" s="17"/>
      <c r="L1521" s="17" t="b">
        <f>IF(OR(COUNTIF('クラス'!$A$1:$A$1267,$B1521)&gt;0,$B1521="",$M1521=""),"",True)</f>
        <v>1</v>
      </c>
      <c r="M1521" s="1" t="str">
        <f t="shared" si="26"/>
        <v>存在しない</v>
      </c>
      <c r="N1521" s="1" t="e">
        <v>#VALUE!</v>
      </c>
      <c r="O1521" s="1"/>
      <c r="P1521" s="11"/>
      <c r="Q1521" s="11"/>
      <c r="R1521" s="11"/>
      <c r="S1521" s="11"/>
      <c r="T1521" s="1"/>
      <c r="U1521" s="1"/>
      <c r="V1521" s="1"/>
      <c r="W1521" s="1"/>
      <c r="X1521" s="1"/>
      <c r="Y1521" s="1"/>
      <c r="Z1521" s="1"/>
    </row>
    <row r="1522" ht="18.0" hidden="1" customHeight="1" outlineLevel="2">
      <c r="A1522" s="1">
        <v>4.0</v>
      </c>
      <c r="B1522" s="1"/>
      <c r="C1522" s="1"/>
      <c r="D1522" s="38"/>
      <c r="E1522" s="14"/>
      <c r="F1522" s="15"/>
      <c r="G1522" s="16"/>
      <c r="H1522" s="11"/>
      <c r="I1522" s="7"/>
      <c r="J1522" s="7" t="str">
        <f>IFERROR(LET(_xlpm.v,
VLOOKUP($I1522,'用語辞書'!$A:$B,COLUMN('用語辞書'!B$1),FALSE),
IF(_xlpm.v=0,"",_xlpm.v)
),"")</f>
        <v/>
      </c>
      <c r="K1522" s="17"/>
      <c r="L1522" s="17" t="str">
        <f>IF(OR(COUNTIF('クラス'!$A$1:$A$1267,$B1522)&gt;0,$B1522="",$M1522=""),"",True)</f>
        <v/>
      </c>
      <c r="M1522" s="1" t="str">
        <f t="shared" si="26"/>
        <v>存在しない</v>
      </c>
      <c r="N1522" s="1" t="s">
        <v>29</v>
      </c>
      <c r="O1522" s="1"/>
      <c r="P1522" s="11"/>
      <c r="Q1522" s="11"/>
      <c r="R1522" s="11"/>
      <c r="S1522" s="11"/>
      <c r="T1522" s="1"/>
      <c r="U1522" s="1"/>
      <c r="V1522" s="1"/>
      <c r="W1522" s="1"/>
      <c r="X1522" s="1"/>
      <c r="Y1522" s="1"/>
      <c r="Z1522" s="1"/>
    </row>
    <row r="1523" ht="18.0" hidden="1" customHeight="1" outlineLevel="2">
      <c r="A1523" s="1">
        <v>5.0</v>
      </c>
      <c r="B1523" s="26" t="s">
        <v>1500</v>
      </c>
      <c r="C1523" s="1"/>
      <c r="D1523" s="38"/>
      <c r="E1523" s="29" t="s">
        <v>55</v>
      </c>
      <c r="F1523" s="15"/>
      <c r="G1523" s="16"/>
      <c r="H1523" s="22" t="s">
        <v>1761</v>
      </c>
      <c r="I1523" s="7"/>
      <c r="J1523" s="7" t="str">
        <f>IFERROR(LET(_xlpm.v,
VLOOKUP($I1523,'用語辞書'!$A:$B,COLUMN('用語辞書'!B$1),FALSE),
IF(_xlpm.v=0,"",_xlpm.v)
),"")</f>
        <v/>
      </c>
      <c r="K1523" s="17"/>
      <c r="L1523" s="17" t="str">
        <f>IF(OR(COUNTIF('クラス'!$A$1:$A$1267,$B1523)&gt;0,$B1523="",$M1523=""),"",True)</f>
        <v/>
      </c>
      <c r="M1523" s="1" t="str">
        <f t="shared" si="26"/>
        <v/>
      </c>
      <c r="N1523" s="1" t="s">
        <v>29</v>
      </c>
      <c r="O1523" s="1"/>
      <c r="P1523" s="11"/>
      <c r="Q1523" s="11"/>
      <c r="R1523" s="11"/>
      <c r="S1523" s="11"/>
      <c r="T1523" s="1"/>
      <c r="U1523" s="1"/>
      <c r="V1523" s="1"/>
      <c r="W1523" s="1"/>
      <c r="X1523" s="1"/>
      <c r="Y1523" s="1"/>
      <c r="Z1523" s="1"/>
    </row>
    <row r="1524" ht="18.0" hidden="1" customHeight="1" outlineLevel="2">
      <c r="A1524" s="1">
        <v>6.0</v>
      </c>
      <c r="B1524" s="1"/>
      <c r="C1524" s="1"/>
      <c r="D1524" s="38"/>
      <c r="E1524" s="14"/>
      <c r="F1524" s="15"/>
      <c r="G1524" s="16"/>
      <c r="H1524" s="11"/>
      <c r="I1524" s="7"/>
      <c r="J1524" s="7" t="str">
        <f>IFERROR(LET(_xlpm.v,
VLOOKUP($I1524,'用語辞書'!$A:$B,COLUMN('用語辞書'!B$1),FALSE),
IF(_xlpm.v=0,"",_xlpm.v)
),"")</f>
        <v/>
      </c>
      <c r="K1524" s="17"/>
      <c r="L1524" s="17" t="str">
        <f>IF(OR(COUNTIF('クラス'!$A$1:$A$1267,$B1524)&gt;0,$B1524="",$M1524=""),"",True)</f>
        <v/>
      </c>
      <c r="M1524" s="1" t="str">
        <f t="shared" si="26"/>
        <v>存在しない</v>
      </c>
      <c r="N1524" s="1" t="s">
        <v>29</v>
      </c>
      <c r="O1524" s="1"/>
      <c r="P1524" s="11"/>
      <c r="Q1524" s="11"/>
      <c r="R1524" s="11"/>
      <c r="S1524" s="11"/>
      <c r="T1524" s="1"/>
      <c r="U1524" s="1"/>
      <c r="V1524" s="1"/>
      <c r="W1524" s="1"/>
      <c r="X1524" s="1"/>
      <c r="Y1524" s="1"/>
      <c r="Z1524" s="1"/>
    </row>
    <row r="1525" ht="18.0" hidden="1" customHeight="1" outlineLevel="2">
      <c r="A1525" s="1">
        <v>7.0</v>
      </c>
      <c r="B1525" s="26" t="s">
        <v>465</v>
      </c>
      <c r="C1525" s="1"/>
      <c r="D1525" s="38"/>
      <c r="E1525" s="14"/>
      <c r="F1525" s="15"/>
      <c r="G1525" s="16"/>
      <c r="H1525" s="11"/>
      <c r="I1525" s="7"/>
      <c r="J1525" s="7" t="str">
        <f>IFERROR(LET(_xlpm.v,
VLOOKUP($I1525,'用語辞書'!$A:$B,COLUMN('用語辞書'!B$1),FALSE),
IF(_xlpm.v=0,"",_xlpm.v)
),"")</f>
        <v/>
      </c>
      <c r="K1525" s="17"/>
      <c r="L1525" s="17" t="str">
        <f>IF(OR(COUNTIF('クラス'!$A$1:$A$1267,$B1525)&gt;0,$B1525="",$M1525=""),"",True)</f>
        <v/>
      </c>
      <c r="M1525" s="1" t="str">
        <f t="shared" si="26"/>
        <v/>
      </c>
      <c r="N1525" s="1" t="s">
        <v>29</v>
      </c>
      <c r="O1525" s="1"/>
      <c r="P1525" s="11"/>
      <c r="Q1525" s="11"/>
      <c r="R1525" s="11"/>
      <c r="S1525" s="11"/>
      <c r="T1525" s="1"/>
      <c r="U1525" s="1"/>
      <c r="V1525" s="1"/>
      <c r="W1525" s="1"/>
      <c r="X1525" s="1"/>
      <c r="Y1525" s="1"/>
      <c r="Z1525" s="1"/>
    </row>
    <row r="1526" ht="18.0" hidden="1" customHeight="1" outlineLevel="2">
      <c r="A1526" s="1">
        <v>8.0</v>
      </c>
      <c r="B1526" s="1"/>
      <c r="C1526" s="1"/>
      <c r="D1526" s="38"/>
      <c r="E1526" s="14"/>
      <c r="F1526" s="15"/>
      <c r="G1526" s="16"/>
      <c r="H1526" s="11"/>
      <c r="I1526" s="7"/>
      <c r="J1526" s="7" t="str">
        <f>IFERROR(LET(_xlpm.v,
VLOOKUP($I1526,'用語辞書'!$A:$B,COLUMN('用語辞書'!B$1),FALSE),
IF(_xlpm.v=0,"",_xlpm.v)
),"")</f>
        <v/>
      </c>
      <c r="K1526" s="17"/>
      <c r="L1526" s="17" t="str">
        <f>IF(OR(COUNTIF('クラス'!$A$1:$A$1267,$B1526)&gt;0,$B1526="",$M1526=""),"",True)</f>
        <v/>
      </c>
      <c r="M1526" s="1" t="str">
        <f t="shared" si="26"/>
        <v>存在しない</v>
      </c>
      <c r="N1526" s="1" t="s">
        <v>29</v>
      </c>
      <c r="O1526" s="1"/>
      <c r="P1526" s="11"/>
      <c r="Q1526" s="11"/>
      <c r="R1526" s="11"/>
      <c r="S1526" s="11"/>
      <c r="T1526" s="1"/>
      <c r="U1526" s="1"/>
      <c r="V1526" s="1"/>
      <c r="W1526" s="1"/>
      <c r="X1526" s="1"/>
      <c r="Y1526" s="1"/>
      <c r="Z1526" s="1"/>
    </row>
    <row r="1527" ht="18.0" hidden="1" customHeight="1" outlineLevel="2">
      <c r="A1527" s="1">
        <v>9.0</v>
      </c>
      <c r="B1527" s="1" t="s">
        <v>1785</v>
      </c>
      <c r="C1527" s="1"/>
      <c r="D1527" s="38"/>
      <c r="E1527" s="14" t="s">
        <v>55</v>
      </c>
      <c r="F1527" s="15"/>
      <c r="G1527" s="16"/>
      <c r="H1527" s="11" t="str">
        <f>"条件系統:"&amp;D1518&amp;" 全威力+10"</f>
        <v>条件系統:打撃 全威力+10</v>
      </c>
      <c r="I1527" s="7"/>
      <c r="J1527" s="7" t="str">
        <f>IFERROR(LET(_xlpm.v,
VLOOKUP($I1527,'用語辞書'!$A:$B,COLUMN('用語辞書'!B$1),FALSE),
IF(_xlpm.v=0,"",_xlpm.v)
),"")</f>
        <v/>
      </c>
      <c r="K1527" s="17"/>
      <c r="L1527" s="17" t="b">
        <f>IF(OR(COUNTIF('クラス'!$A$1:$A$1267,$B1527)&gt;0,$B1527="",$M1527=""),"",True)</f>
        <v>1</v>
      </c>
      <c r="M1527" s="1" t="str">
        <f t="shared" si="26"/>
        <v>存在しない</v>
      </c>
      <c r="N1527" s="1" t="e">
        <v>#VALUE!</v>
      </c>
      <c r="O1527" s="1"/>
      <c r="P1527" s="11"/>
      <c r="Q1527" s="11"/>
      <c r="R1527" s="11"/>
      <c r="S1527" s="11"/>
      <c r="T1527" s="1"/>
      <c r="U1527" s="1"/>
      <c r="V1527" s="1"/>
      <c r="W1527" s="1"/>
      <c r="X1527" s="1"/>
      <c r="Y1527" s="1"/>
      <c r="Z1527" s="1"/>
    </row>
    <row r="1528" ht="18.0" hidden="1" customHeight="1" outlineLevel="2">
      <c r="A1528" s="1">
        <v>10.0</v>
      </c>
      <c r="B1528" s="1" t="s">
        <v>1786</v>
      </c>
      <c r="C1528" s="1"/>
      <c r="D1528" s="38" t="s">
        <v>453</v>
      </c>
      <c r="E1528" s="14" t="s">
        <v>33</v>
      </c>
      <c r="F1528" s="15"/>
      <c r="G1528" s="30">
        <v>30.0</v>
      </c>
      <c r="H1528" s="22" t="s">
        <v>1787</v>
      </c>
      <c r="I1528" s="7" t="s">
        <v>1249</v>
      </c>
      <c r="J1528" s="7" t="str">
        <f>IFERROR(LET(_xlpm.v,
VLOOKUP($I1528,'用語辞書'!$A:$B,COLUMN('用語辞書'!B$1),FALSE),
IF(_xlpm.v=0,"",_xlpm.v)
),"")</f>
        <v>対象を後方へ移動させる</v>
      </c>
      <c r="K1528" s="17"/>
      <c r="L1528" s="17" t="b">
        <f>IF(OR(COUNTIF('クラス'!$A$1:$A$1267,$B1528)&gt;0,$B1528="",$M1528=""),"",True)</f>
        <v>1</v>
      </c>
      <c r="M1528" s="1" t="str">
        <f t="shared" si="26"/>
        <v>存在しない</v>
      </c>
      <c r="N1528" s="1" t="e">
        <v>#VALUE!</v>
      </c>
      <c r="O1528" s="1"/>
      <c r="P1528" s="11"/>
      <c r="Q1528" s="11"/>
      <c r="R1528" s="11"/>
      <c r="S1528" s="11"/>
      <c r="T1528" s="1"/>
      <c r="U1528" s="1"/>
      <c r="V1528" s="1"/>
      <c r="W1528" s="1"/>
      <c r="X1528" s="1"/>
      <c r="Y1528" s="1"/>
      <c r="Z1528" s="1"/>
    </row>
    <row r="1529" ht="18.0" customHeight="1" outlineLevel="1" collapsed="1">
      <c r="A1529" s="1"/>
      <c r="B1529" s="1"/>
      <c r="C1529" s="1"/>
      <c r="D1529" s="1"/>
      <c r="E1529" s="14"/>
      <c r="F1529" s="15"/>
      <c r="G1529" s="16"/>
      <c r="H1529" s="11"/>
      <c r="I1529" s="7"/>
      <c r="J1529" s="7" t="str">
        <f>IFERROR(LET(_xlpm.v,
VLOOKUP($I1529,'用語辞書'!$A:$B,COLUMN('用語辞書'!B$1),FALSE),
IF(_xlpm.v=0,"",_xlpm.v)
),"")</f>
        <v/>
      </c>
      <c r="K1529" s="17"/>
      <c r="L1529" s="17" t="str">
        <f>IF(OR(COUNTIF('クラス'!$A$1:$A$1267,$B1529)&gt;0,$B1529="",$M1529=""),"",True)</f>
        <v/>
      </c>
      <c r="M1529" s="1" t="str">
        <f t="shared" si="26"/>
        <v>存在しない</v>
      </c>
      <c r="N1529" s="1" t="s">
        <v>29</v>
      </c>
      <c r="O1529" s="1"/>
      <c r="P1529" s="11"/>
      <c r="Q1529" s="11"/>
      <c r="R1529" s="11"/>
      <c r="S1529" s="11"/>
      <c r="T1529" s="1"/>
      <c r="U1529" s="1"/>
      <c r="V1529" s="1"/>
      <c r="W1529" s="1"/>
      <c r="X1529" s="1"/>
      <c r="Y1529" s="1"/>
      <c r="Z1529" s="1"/>
    </row>
    <row r="1530" ht="18.0" customHeight="1" outlineLevel="1">
      <c r="A1530" s="1"/>
      <c r="B1530" s="1"/>
      <c r="C1530" s="1"/>
      <c r="D1530" s="1"/>
      <c r="E1530" s="14"/>
      <c r="F1530" s="15"/>
      <c r="G1530" s="16"/>
      <c r="H1530" s="11"/>
      <c r="I1530" s="7"/>
      <c r="J1530" s="7" t="str">
        <f>IFERROR(LET(_xlpm.v,
VLOOKUP($I1530,'用語辞書'!$A:$B,COLUMN('用語辞書'!B$1),FALSE),
IF(_xlpm.v=0,"",_xlpm.v)
),"")</f>
        <v/>
      </c>
      <c r="K1530" s="17"/>
      <c r="L1530" s="17" t="str">
        <f>IF(OR(COUNTIF('クラス'!$A$1:$A$1267,$B1530)&gt;0,$B1530="",$M1530=""),"",True)</f>
        <v/>
      </c>
      <c r="M1530" s="1" t="str">
        <f t="shared" si="26"/>
        <v>存在しない</v>
      </c>
      <c r="N1530" s="1" t="s">
        <v>29</v>
      </c>
      <c r="O1530" s="1"/>
      <c r="P1530" s="11"/>
      <c r="Q1530" s="11"/>
      <c r="R1530" s="11"/>
      <c r="S1530" s="11"/>
      <c r="T1530" s="1"/>
      <c r="U1530" s="1"/>
      <c r="V1530" s="1"/>
      <c r="W1530" s="1"/>
      <c r="X1530" s="1"/>
      <c r="Y1530" s="1"/>
      <c r="Z1530" s="1"/>
    </row>
    <row r="1531" ht="18.0" customHeight="1" outlineLevel="1">
      <c r="A1531" s="1"/>
      <c r="B1531" s="37" t="s">
        <v>1788</v>
      </c>
      <c r="C1531" s="1"/>
      <c r="D1531" s="1"/>
      <c r="E1531" s="14"/>
      <c r="F1531" s="15"/>
      <c r="G1531" s="16"/>
      <c r="H1531" s="11"/>
      <c r="I1531" s="7"/>
      <c r="J1531" s="7"/>
      <c r="K1531" s="17"/>
      <c r="L1531" s="17"/>
      <c r="M1531" s="1"/>
      <c r="N1531" s="1"/>
      <c r="O1531" s="1"/>
      <c r="P1531" s="11"/>
      <c r="Q1531" s="11"/>
      <c r="R1531" s="11"/>
      <c r="S1531" s="11"/>
      <c r="T1531" s="1"/>
      <c r="U1531" s="1"/>
      <c r="V1531" s="1"/>
      <c r="W1531" s="1"/>
      <c r="X1531" s="1"/>
      <c r="Y1531" s="1"/>
      <c r="Z1531" s="1"/>
    </row>
    <row r="1532" ht="18.0" hidden="1" customHeight="1" outlineLevel="2">
      <c r="A1532" s="1">
        <v>1.0</v>
      </c>
      <c r="B1532" s="1" t="s">
        <v>1789</v>
      </c>
      <c r="C1532" s="1"/>
      <c r="D1532" s="38" t="s">
        <v>965</v>
      </c>
      <c r="E1532" s="14" t="s">
        <v>55</v>
      </c>
      <c r="F1532" s="15"/>
      <c r="G1532" s="16"/>
      <c r="H1532" s="11" t="s">
        <v>1790</v>
      </c>
      <c r="I1532" s="7"/>
      <c r="J1532" s="7"/>
      <c r="K1532" s="17"/>
      <c r="L1532" s="17"/>
      <c r="M1532" s="1"/>
      <c r="N1532" s="1"/>
      <c r="O1532" s="1"/>
      <c r="P1532" s="11"/>
      <c r="Q1532" s="11"/>
      <c r="R1532" s="11"/>
      <c r="S1532" s="11"/>
      <c r="T1532" s="1"/>
      <c r="U1532" s="1"/>
      <c r="V1532" s="1"/>
      <c r="W1532" s="1"/>
      <c r="X1532" s="1"/>
      <c r="Y1532" s="1"/>
      <c r="Z1532" s="1"/>
    </row>
    <row r="1533" ht="18.0" hidden="1" customHeight="1" outlineLevel="2">
      <c r="A1533" s="1">
        <v>2.0</v>
      </c>
      <c r="B1533" s="26" t="s">
        <v>966</v>
      </c>
      <c r="C1533" s="1"/>
      <c r="D1533" s="38"/>
      <c r="E1533" s="14"/>
      <c r="F1533" s="15"/>
      <c r="G1533" s="16"/>
      <c r="H1533" s="11"/>
      <c r="I1533" s="7"/>
      <c r="J1533" s="7"/>
      <c r="K1533" s="17"/>
      <c r="L1533" s="17"/>
      <c r="M1533" s="1"/>
      <c r="N1533" s="1"/>
      <c r="O1533" s="1"/>
      <c r="P1533" s="11"/>
      <c r="Q1533" s="11"/>
      <c r="R1533" s="11"/>
      <c r="S1533" s="11"/>
      <c r="T1533" s="1"/>
      <c r="U1533" s="1"/>
      <c r="V1533" s="1"/>
      <c r="W1533" s="1"/>
      <c r="X1533" s="1"/>
      <c r="Y1533" s="1"/>
      <c r="Z1533" s="1"/>
    </row>
    <row r="1534" ht="18.0" hidden="1" customHeight="1" outlineLevel="2">
      <c r="A1534" s="1">
        <v>3.0</v>
      </c>
      <c r="B1534" s="1" t="s">
        <v>1791</v>
      </c>
      <c r="C1534" s="1"/>
      <c r="D1534" s="38" t="s">
        <v>965</v>
      </c>
      <c r="E1534" s="14" t="s">
        <v>33</v>
      </c>
      <c r="F1534" s="15">
        <v>5.0</v>
      </c>
      <c r="G1534" s="16">
        <v>20.0</v>
      </c>
      <c r="H1534" s="11" t="s">
        <v>1792</v>
      </c>
      <c r="I1534" s="7"/>
      <c r="J1534" s="7"/>
      <c r="K1534" s="17"/>
      <c r="L1534" s="17"/>
      <c r="M1534" s="1"/>
      <c r="N1534" s="1"/>
      <c r="O1534" s="1"/>
      <c r="P1534" s="11"/>
      <c r="Q1534" s="11"/>
      <c r="R1534" s="11"/>
      <c r="S1534" s="11"/>
      <c r="T1534" s="1"/>
      <c r="U1534" s="1"/>
      <c r="V1534" s="1"/>
      <c r="W1534" s="1"/>
      <c r="X1534" s="1"/>
      <c r="Y1534" s="1"/>
      <c r="Z1534" s="1"/>
    </row>
    <row r="1535" ht="18.0" hidden="1" customHeight="1" outlineLevel="2">
      <c r="A1535" s="1">
        <v>4.0</v>
      </c>
      <c r="B1535" s="1"/>
      <c r="C1535" s="1"/>
      <c r="D1535" s="38"/>
      <c r="E1535" s="14"/>
      <c r="F1535" s="15"/>
      <c r="G1535" s="16"/>
      <c r="H1535" s="11"/>
      <c r="I1535" s="7"/>
      <c r="J1535" s="7"/>
      <c r="K1535" s="17"/>
      <c r="L1535" s="17"/>
      <c r="M1535" s="1"/>
      <c r="N1535" s="1"/>
      <c r="O1535" s="1"/>
      <c r="P1535" s="11"/>
      <c r="Q1535" s="11"/>
      <c r="R1535" s="11"/>
      <c r="S1535" s="11"/>
      <c r="T1535" s="1"/>
      <c r="U1535" s="1"/>
      <c r="V1535" s="1"/>
      <c r="W1535" s="1"/>
      <c r="X1535" s="1"/>
      <c r="Y1535" s="1"/>
      <c r="Z1535" s="1"/>
    </row>
    <row r="1536" ht="18.0" hidden="1" customHeight="1" outlineLevel="2">
      <c r="A1536" s="1">
        <v>5.0</v>
      </c>
      <c r="B1536" s="26" t="s">
        <v>1500</v>
      </c>
      <c r="C1536" s="1"/>
      <c r="D1536" s="38"/>
      <c r="E1536" s="29" t="s">
        <v>55</v>
      </c>
      <c r="F1536" s="15"/>
      <c r="G1536" s="16"/>
      <c r="H1536" s="22" t="s">
        <v>1761</v>
      </c>
      <c r="I1536" s="7"/>
      <c r="J1536" s="7"/>
      <c r="K1536" s="17"/>
      <c r="L1536" s="17"/>
      <c r="M1536" s="1"/>
      <c r="N1536" s="1"/>
      <c r="O1536" s="1"/>
      <c r="P1536" s="11"/>
      <c r="Q1536" s="11"/>
      <c r="R1536" s="11"/>
      <c r="S1536" s="11"/>
      <c r="T1536" s="1"/>
      <c r="U1536" s="1"/>
      <c r="V1536" s="1"/>
      <c r="W1536" s="1"/>
      <c r="X1536" s="1"/>
      <c r="Y1536" s="1"/>
      <c r="Z1536" s="1"/>
    </row>
    <row r="1537" ht="18.0" hidden="1" customHeight="1" outlineLevel="2">
      <c r="A1537" s="1">
        <v>6.0</v>
      </c>
      <c r="B1537" s="1"/>
      <c r="C1537" s="1"/>
      <c r="D1537" s="38"/>
      <c r="E1537" s="14"/>
      <c r="F1537" s="15"/>
      <c r="G1537" s="16"/>
      <c r="H1537" s="11"/>
      <c r="I1537" s="7"/>
      <c r="J1537" s="7"/>
      <c r="K1537" s="17"/>
      <c r="L1537" s="17"/>
      <c r="M1537" s="1"/>
      <c r="N1537" s="1"/>
      <c r="O1537" s="1"/>
      <c r="P1537" s="11"/>
      <c r="Q1537" s="11"/>
      <c r="R1537" s="11"/>
      <c r="S1537" s="11"/>
      <c r="T1537" s="1"/>
      <c r="U1537" s="1"/>
      <c r="V1537" s="1"/>
      <c r="W1537" s="1"/>
      <c r="X1537" s="1"/>
      <c r="Y1537" s="1"/>
      <c r="Z1537" s="1"/>
    </row>
    <row r="1538" ht="18.0" hidden="1" customHeight="1" outlineLevel="2">
      <c r="A1538" s="1">
        <v>7.0</v>
      </c>
      <c r="B1538" s="26" t="s">
        <v>978</v>
      </c>
      <c r="C1538" s="1"/>
      <c r="D1538" s="38"/>
      <c r="E1538" s="14"/>
      <c r="F1538" s="15"/>
      <c r="G1538" s="16"/>
      <c r="H1538" s="11"/>
      <c r="I1538" s="7"/>
      <c r="J1538" s="7"/>
      <c r="K1538" s="17"/>
      <c r="L1538" s="17"/>
      <c r="M1538" s="1"/>
      <c r="N1538" s="1"/>
      <c r="O1538" s="1"/>
      <c r="P1538" s="11"/>
      <c r="Q1538" s="11"/>
      <c r="R1538" s="11"/>
      <c r="S1538" s="11"/>
      <c r="T1538" s="1"/>
      <c r="U1538" s="1"/>
      <c r="V1538" s="1"/>
      <c r="W1538" s="1"/>
      <c r="X1538" s="1"/>
      <c r="Y1538" s="1"/>
      <c r="Z1538" s="1"/>
    </row>
    <row r="1539" ht="18.0" hidden="1" customHeight="1" outlineLevel="2">
      <c r="A1539" s="1">
        <v>8.0</v>
      </c>
      <c r="B1539" s="1"/>
      <c r="C1539" s="1"/>
      <c r="D1539" s="38"/>
      <c r="E1539" s="14"/>
      <c r="F1539" s="15"/>
      <c r="G1539" s="16"/>
      <c r="H1539" s="11"/>
      <c r="I1539" s="7"/>
      <c r="J1539" s="7"/>
      <c r="K1539" s="17"/>
      <c r="L1539" s="17"/>
      <c r="M1539" s="1"/>
      <c r="N1539" s="1"/>
      <c r="O1539" s="1"/>
      <c r="P1539" s="11"/>
      <c r="Q1539" s="11"/>
      <c r="R1539" s="11"/>
      <c r="S1539" s="11"/>
      <c r="T1539" s="1"/>
      <c r="U1539" s="1"/>
      <c r="V1539" s="1"/>
      <c r="W1539" s="1"/>
      <c r="X1539" s="1"/>
      <c r="Y1539" s="1"/>
      <c r="Z1539" s="1"/>
    </row>
    <row r="1540" ht="18.0" hidden="1" customHeight="1" outlineLevel="2">
      <c r="A1540" s="1">
        <v>9.0</v>
      </c>
      <c r="B1540" s="1" t="s">
        <v>1793</v>
      </c>
      <c r="C1540" s="1"/>
      <c r="D1540" s="38"/>
      <c r="E1540" s="14" t="s">
        <v>55</v>
      </c>
      <c r="F1540" s="15"/>
      <c r="G1540" s="16"/>
      <c r="H1540" s="11" t="s">
        <v>1794</v>
      </c>
      <c r="I1540" s="7"/>
      <c r="J1540" s="7"/>
      <c r="K1540" s="17"/>
      <c r="L1540" s="17"/>
      <c r="M1540" s="1"/>
      <c r="N1540" s="1"/>
      <c r="O1540" s="1"/>
      <c r="P1540" s="11"/>
      <c r="Q1540" s="11"/>
      <c r="R1540" s="11"/>
      <c r="S1540" s="11"/>
      <c r="T1540" s="1"/>
      <c r="U1540" s="1"/>
      <c r="V1540" s="1"/>
      <c r="W1540" s="1"/>
      <c r="X1540" s="1"/>
      <c r="Y1540" s="1"/>
      <c r="Z1540" s="1"/>
    </row>
    <row r="1541" ht="18.0" hidden="1" customHeight="1" outlineLevel="2">
      <c r="A1541" s="1">
        <v>10.0</v>
      </c>
      <c r="B1541" s="1" t="s">
        <v>1795</v>
      </c>
      <c r="C1541" s="1"/>
      <c r="D1541" s="38" t="s">
        <v>965</v>
      </c>
      <c r="E1541" s="14" t="s">
        <v>33</v>
      </c>
      <c r="F1541" s="15"/>
      <c r="G1541" s="30">
        <v>60.0</v>
      </c>
      <c r="H1541" s="22" t="s">
        <v>1796</v>
      </c>
      <c r="I1541" s="7"/>
      <c r="J1541" s="7"/>
      <c r="K1541" s="17"/>
      <c r="L1541" s="17"/>
      <c r="M1541" s="1"/>
      <c r="N1541" s="1"/>
      <c r="O1541" s="1"/>
      <c r="P1541" s="11"/>
      <c r="Q1541" s="11"/>
      <c r="R1541" s="11"/>
      <c r="S1541" s="11"/>
      <c r="T1541" s="1"/>
      <c r="U1541" s="1"/>
      <c r="V1541" s="1"/>
      <c r="W1541" s="1"/>
      <c r="X1541" s="1"/>
      <c r="Y1541" s="1"/>
      <c r="Z1541" s="1"/>
    </row>
    <row r="1542" ht="18.0" customHeight="1" outlineLevel="1" collapsed="1">
      <c r="A1542" s="1"/>
      <c r="B1542" s="1"/>
      <c r="C1542" s="1"/>
      <c r="D1542" s="1"/>
      <c r="E1542" s="14"/>
      <c r="F1542" s="15"/>
      <c r="G1542" s="16"/>
      <c r="H1542" s="11"/>
      <c r="I1542" s="7"/>
      <c r="J1542" s="7"/>
      <c r="K1542" s="17"/>
      <c r="L1542" s="17"/>
      <c r="M1542" s="1"/>
      <c r="N1542" s="1"/>
      <c r="O1542" s="1"/>
      <c r="P1542" s="11"/>
      <c r="Q1542" s="11"/>
      <c r="R1542" s="11"/>
      <c r="S1542" s="11"/>
      <c r="T1542" s="1"/>
      <c r="U1542" s="1"/>
      <c r="V1542" s="1"/>
      <c r="W1542" s="1"/>
      <c r="X1542" s="1"/>
      <c r="Y1542" s="1"/>
      <c r="Z1542" s="1"/>
    </row>
    <row r="1543" ht="18.0" customHeight="1" outlineLevel="1">
      <c r="A1543" s="1"/>
      <c r="B1543" s="1"/>
      <c r="C1543" s="1"/>
      <c r="D1543" s="1"/>
      <c r="E1543" s="14"/>
      <c r="F1543" s="15"/>
      <c r="G1543" s="16"/>
      <c r="H1543" s="11"/>
      <c r="I1543" s="7"/>
      <c r="J1543" s="7"/>
      <c r="K1543" s="17"/>
      <c r="L1543" s="17"/>
      <c r="M1543" s="1"/>
      <c r="N1543" s="1"/>
      <c r="O1543" s="1"/>
      <c r="P1543" s="11"/>
      <c r="Q1543" s="11"/>
      <c r="R1543" s="11"/>
      <c r="S1543" s="11"/>
      <c r="T1543" s="1"/>
      <c r="U1543" s="1"/>
      <c r="V1543" s="1"/>
      <c r="W1543" s="1"/>
      <c r="X1543" s="1"/>
      <c r="Y1543" s="1"/>
      <c r="Z1543" s="1"/>
    </row>
    <row r="1544" ht="18.0" customHeight="1" outlineLevel="1">
      <c r="A1544" s="1"/>
      <c r="B1544" s="39" t="s">
        <v>1797</v>
      </c>
      <c r="C1544" s="1"/>
      <c r="D1544" s="1" t="s">
        <v>1782</v>
      </c>
      <c r="E1544" s="14"/>
      <c r="F1544" s="15"/>
      <c r="G1544" s="16"/>
      <c r="H1544" s="11"/>
      <c r="I1544" s="7"/>
      <c r="J1544" s="7" t="s">
        <v>29</v>
      </c>
      <c r="K1544" s="17"/>
      <c r="L1544" s="17" t="s">
        <v>29</v>
      </c>
      <c r="M1544" s="1" t="s">
        <v>1798</v>
      </c>
      <c r="N1544" s="1" t="s">
        <v>29</v>
      </c>
      <c r="O1544" s="1"/>
      <c r="P1544" s="11"/>
      <c r="Q1544" s="11"/>
      <c r="R1544" s="11"/>
      <c r="S1544" s="11"/>
      <c r="T1544" s="1"/>
      <c r="U1544" s="1"/>
      <c r="V1544" s="1"/>
      <c r="W1544" s="1"/>
      <c r="X1544" s="1"/>
      <c r="Y1544" s="1"/>
      <c r="Z1544" s="1"/>
    </row>
    <row r="1545" ht="18.0" hidden="1" customHeight="1" outlineLevel="2">
      <c r="A1545" s="26">
        <v>1.0</v>
      </c>
      <c r="B1545" s="26" t="s">
        <v>1799</v>
      </c>
      <c r="C1545" s="1"/>
      <c r="D1545" s="38"/>
      <c r="E1545" s="29" t="s">
        <v>55</v>
      </c>
      <c r="F1545" s="15"/>
      <c r="G1545" s="16"/>
      <c r="H1545" s="22" t="s">
        <v>1800</v>
      </c>
      <c r="I1545" s="7"/>
      <c r="J1545" s="32" t="s">
        <v>1801</v>
      </c>
      <c r="K1545" s="17"/>
      <c r="L1545" s="17" t="b">
        <v>1</v>
      </c>
      <c r="M1545" s="1" t="s">
        <v>1798</v>
      </c>
      <c r="N1545" s="1" t="e">
        <v>#VALUE!</v>
      </c>
      <c r="O1545" s="1"/>
      <c r="P1545" s="11"/>
      <c r="Q1545" s="11"/>
      <c r="R1545" s="11"/>
      <c r="S1545" s="11"/>
      <c r="T1545" s="1"/>
      <c r="U1545" s="1"/>
      <c r="V1545" s="1"/>
      <c r="W1545" s="1"/>
      <c r="X1545" s="1"/>
      <c r="Y1545" s="1"/>
      <c r="Z1545" s="1"/>
    </row>
    <row r="1546" ht="18.0" hidden="1" customHeight="1" outlineLevel="2">
      <c r="A1546" s="26">
        <v>2.0</v>
      </c>
      <c r="B1546" s="26" t="s">
        <v>788</v>
      </c>
      <c r="C1546" s="1"/>
      <c r="D1546" s="38"/>
      <c r="E1546" s="14"/>
      <c r="F1546" s="15"/>
      <c r="G1546" s="16"/>
      <c r="H1546" s="11"/>
      <c r="I1546" s="7"/>
      <c r="J1546" s="7" t="s">
        <v>29</v>
      </c>
      <c r="K1546" s="17"/>
      <c r="L1546" s="17" t="s">
        <v>29</v>
      </c>
      <c r="M1546" s="1" t="s">
        <v>29</v>
      </c>
      <c r="N1546" s="1" t="s">
        <v>29</v>
      </c>
      <c r="O1546" s="1"/>
      <c r="P1546" s="11"/>
      <c r="Q1546" s="11"/>
      <c r="R1546" s="11"/>
      <c r="S1546" s="11"/>
      <c r="T1546" s="1"/>
      <c r="U1546" s="1"/>
      <c r="V1546" s="1"/>
      <c r="W1546" s="1"/>
      <c r="X1546" s="1"/>
      <c r="Y1546" s="1"/>
      <c r="Z1546" s="1"/>
    </row>
    <row r="1547" ht="18.0" hidden="1" customHeight="1" outlineLevel="2">
      <c r="A1547" s="26">
        <v>3.0</v>
      </c>
      <c r="B1547" s="26" t="s">
        <v>1802</v>
      </c>
      <c r="C1547" s="1"/>
      <c r="D1547" s="40" t="s">
        <v>1803</v>
      </c>
      <c r="E1547" s="29" t="s">
        <v>33</v>
      </c>
      <c r="F1547" s="34">
        <v>5.0</v>
      </c>
      <c r="G1547" s="30">
        <v>20.0</v>
      </c>
      <c r="H1547" s="22" t="s">
        <v>1804</v>
      </c>
      <c r="I1547" s="7"/>
      <c r="J1547" s="32" t="s">
        <v>1805</v>
      </c>
      <c r="K1547" s="17"/>
      <c r="L1547" s="17" t="b">
        <v>1</v>
      </c>
      <c r="M1547" s="1" t="s">
        <v>1798</v>
      </c>
      <c r="N1547" s="1" t="e">
        <v>#VALUE!</v>
      </c>
      <c r="O1547" s="1"/>
      <c r="P1547" s="11"/>
      <c r="Q1547" s="11"/>
      <c r="R1547" s="11"/>
      <c r="S1547" s="11"/>
      <c r="T1547" s="1"/>
      <c r="U1547" s="1"/>
      <c r="V1547" s="1"/>
      <c r="W1547" s="1"/>
      <c r="X1547" s="1"/>
      <c r="Y1547" s="1"/>
      <c r="Z1547" s="1"/>
    </row>
    <row r="1548" ht="18.0" hidden="1" customHeight="1" outlineLevel="2">
      <c r="A1548" s="26">
        <v>4.0</v>
      </c>
      <c r="B1548" s="1"/>
      <c r="C1548" s="1"/>
      <c r="D1548" s="38"/>
      <c r="E1548" s="14"/>
      <c r="F1548" s="15"/>
      <c r="G1548" s="16"/>
      <c r="H1548" s="11"/>
      <c r="I1548" s="7"/>
      <c r="J1548" s="7" t="s">
        <v>29</v>
      </c>
      <c r="K1548" s="17"/>
      <c r="L1548" s="17" t="s">
        <v>29</v>
      </c>
      <c r="M1548" s="1" t="s">
        <v>1798</v>
      </c>
      <c r="N1548" s="1" t="s">
        <v>29</v>
      </c>
      <c r="O1548" s="1"/>
      <c r="P1548" s="11"/>
      <c r="Q1548" s="11"/>
      <c r="R1548" s="11"/>
      <c r="S1548" s="11"/>
      <c r="T1548" s="1"/>
      <c r="U1548" s="1"/>
      <c r="V1548" s="1"/>
      <c r="W1548" s="1"/>
      <c r="X1548" s="1"/>
      <c r="Y1548" s="1"/>
      <c r="Z1548" s="1"/>
    </row>
    <row r="1549" ht="18.0" hidden="1" customHeight="1" outlineLevel="2">
      <c r="A1549" s="26">
        <v>5.0</v>
      </c>
      <c r="B1549" s="26" t="s">
        <v>1500</v>
      </c>
      <c r="C1549" s="1"/>
      <c r="D1549" s="38"/>
      <c r="E1549" s="29" t="s">
        <v>55</v>
      </c>
      <c r="F1549" s="15"/>
      <c r="G1549" s="16"/>
      <c r="H1549" s="22" t="s">
        <v>1761</v>
      </c>
      <c r="I1549" s="7"/>
      <c r="J1549" s="7" t="s">
        <v>29</v>
      </c>
      <c r="K1549" s="17"/>
      <c r="L1549" s="17" t="s">
        <v>29</v>
      </c>
      <c r="M1549" s="1" t="s">
        <v>29</v>
      </c>
      <c r="N1549" s="1" t="s">
        <v>29</v>
      </c>
      <c r="O1549" s="1"/>
      <c r="P1549" s="11"/>
      <c r="Q1549" s="11"/>
      <c r="R1549" s="11"/>
      <c r="S1549" s="11"/>
      <c r="T1549" s="1"/>
      <c r="U1549" s="1"/>
      <c r="V1549" s="1"/>
      <c r="W1549" s="1"/>
      <c r="X1549" s="1"/>
      <c r="Y1549" s="1"/>
      <c r="Z1549" s="1"/>
    </row>
    <row r="1550" ht="18.0" hidden="1" customHeight="1" outlineLevel="2">
      <c r="A1550" s="26">
        <v>6.0</v>
      </c>
      <c r="B1550" s="1"/>
      <c r="C1550" s="1"/>
      <c r="D1550" s="38"/>
      <c r="E1550" s="14"/>
      <c r="F1550" s="15"/>
      <c r="G1550" s="16"/>
      <c r="H1550" s="11"/>
      <c r="I1550" s="7"/>
      <c r="J1550" s="7" t="s">
        <v>29</v>
      </c>
      <c r="K1550" s="17"/>
      <c r="L1550" s="17" t="s">
        <v>29</v>
      </c>
      <c r="M1550" s="1" t="s">
        <v>1798</v>
      </c>
      <c r="N1550" s="1" t="s">
        <v>29</v>
      </c>
      <c r="O1550" s="1"/>
      <c r="P1550" s="11"/>
      <c r="Q1550" s="11"/>
      <c r="R1550" s="11"/>
      <c r="S1550" s="11"/>
      <c r="T1550" s="1"/>
      <c r="U1550" s="1"/>
      <c r="V1550" s="1"/>
      <c r="W1550" s="1"/>
      <c r="X1550" s="1"/>
      <c r="Y1550" s="1"/>
      <c r="Z1550" s="1"/>
    </row>
    <row r="1551" ht="18.0" hidden="1" customHeight="1" outlineLevel="2">
      <c r="A1551" s="26">
        <v>7.0</v>
      </c>
      <c r="B1551" s="26" t="s">
        <v>297</v>
      </c>
      <c r="C1551" s="1"/>
      <c r="D1551" s="38"/>
      <c r="E1551" s="14"/>
      <c r="F1551" s="15"/>
      <c r="G1551" s="16"/>
      <c r="H1551" s="11"/>
      <c r="I1551" s="7"/>
      <c r="J1551" s="7" t="s">
        <v>29</v>
      </c>
      <c r="K1551" s="17"/>
      <c r="L1551" s="17" t="s">
        <v>29</v>
      </c>
      <c r="M1551" s="1" t="s">
        <v>29</v>
      </c>
      <c r="N1551" s="1" t="s">
        <v>29</v>
      </c>
      <c r="O1551" s="1"/>
      <c r="P1551" s="11"/>
      <c r="Q1551" s="11"/>
      <c r="R1551" s="11"/>
      <c r="S1551" s="11"/>
      <c r="T1551" s="1"/>
      <c r="U1551" s="1"/>
      <c r="V1551" s="1"/>
      <c r="W1551" s="1"/>
      <c r="X1551" s="1"/>
      <c r="Y1551" s="1"/>
      <c r="Z1551" s="1"/>
    </row>
    <row r="1552" ht="18.0" hidden="1" customHeight="1" outlineLevel="2">
      <c r="A1552" s="26">
        <v>8.0</v>
      </c>
      <c r="B1552" s="1"/>
      <c r="C1552" s="1"/>
      <c r="D1552" s="38"/>
      <c r="E1552" s="14"/>
      <c r="F1552" s="15"/>
      <c r="G1552" s="16"/>
      <c r="H1552" s="11"/>
      <c r="I1552" s="7"/>
      <c r="J1552" s="7" t="s">
        <v>29</v>
      </c>
      <c r="K1552" s="17"/>
      <c r="L1552" s="17" t="s">
        <v>29</v>
      </c>
      <c r="M1552" s="1" t="s">
        <v>1798</v>
      </c>
      <c r="N1552" s="1" t="s">
        <v>29</v>
      </c>
      <c r="O1552" s="1"/>
      <c r="P1552" s="11"/>
      <c r="Q1552" s="11"/>
      <c r="R1552" s="11"/>
      <c r="S1552" s="11"/>
      <c r="T1552" s="1"/>
      <c r="U1552" s="1"/>
      <c r="V1552" s="1"/>
      <c r="W1552" s="1"/>
      <c r="X1552" s="1"/>
      <c r="Y1552" s="1"/>
      <c r="Z1552" s="1"/>
    </row>
    <row r="1553" ht="18.0" hidden="1" customHeight="1" outlineLevel="2">
      <c r="A1553" s="26">
        <v>9.0</v>
      </c>
      <c r="B1553" s="26" t="s">
        <v>1806</v>
      </c>
      <c r="C1553" s="1"/>
      <c r="D1553" s="38"/>
      <c r="E1553" s="29" t="s">
        <v>55</v>
      </c>
      <c r="F1553" s="15"/>
      <c r="G1553" s="16"/>
      <c r="H1553" s="22" t="s">
        <v>1807</v>
      </c>
      <c r="I1553" s="7"/>
      <c r="J1553" s="32" t="s">
        <v>1808</v>
      </c>
      <c r="K1553" s="17"/>
      <c r="L1553" s="17" t="b">
        <v>1</v>
      </c>
      <c r="M1553" s="1" t="s">
        <v>1798</v>
      </c>
      <c r="N1553" s="1" t="e">
        <v>#VALUE!</v>
      </c>
      <c r="O1553" s="1"/>
      <c r="P1553" s="11"/>
      <c r="Q1553" s="11"/>
      <c r="R1553" s="11"/>
      <c r="S1553" s="11"/>
      <c r="T1553" s="1"/>
      <c r="U1553" s="1"/>
      <c r="V1553" s="1"/>
      <c r="W1553" s="1"/>
      <c r="X1553" s="1"/>
      <c r="Y1553" s="1"/>
      <c r="Z1553" s="1"/>
    </row>
    <row r="1554" ht="18.0" hidden="1" customHeight="1" outlineLevel="2">
      <c r="A1554" s="26">
        <v>10.0</v>
      </c>
      <c r="B1554" s="26" t="s">
        <v>1809</v>
      </c>
      <c r="C1554" s="1"/>
      <c r="D1554" s="40" t="s">
        <v>1803</v>
      </c>
      <c r="E1554" s="29" t="s">
        <v>33</v>
      </c>
      <c r="F1554" s="15"/>
      <c r="G1554" s="30">
        <v>60.0</v>
      </c>
      <c r="H1554" s="22" t="s">
        <v>1810</v>
      </c>
      <c r="I1554" s="7"/>
      <c r="J1554" s="32" t="s">
        <v>1811</v>
      </c>
      <c r="K1554" s="17"/>
      <c r="L1554" s="17" t="b">
        <v>1</v>
      </c>
      <c r="M1554" s="1" t="s">
        <v>1798</v>
      </c>
      <c r="N1554" s="1" t="e">
        <v>#VALUE!</v>
      </c>
      <c r="O1554" s="1"/>
      <c r="P1554" s="11"/>
      <c r="Q1554" s="11"/>
      <c r="R1554" s="11"/>
      <c r="S1554" s="11"/>
      <c r="T1554" s="1"/>
      <c r="U1554" s="1"/>
      <c r="V1554" s="1"/>
      <c r="W1554" s="1"/>
      <c r="X1554" s="1"/>
      <c r="Y1554" s="1"/>
      <c r="Z1554" s="1"/>
    </row>
    <row r="1555" ht="18.0" customHeight="1" outlineLevel="1" collapsed="1">
      <c r="A1555" s="1"/>
      <c r="B1555" s="1"/>
      <c r="C1555" s="1"/>
      <c r="D1555" s="1"/>
      <c r="E1555" s="14"/>
      <c r="F1555" s="15"/>
      <c r="G1555" s="16"/>
      <c r="H1555" s="11"/>
      <c r="I1555" s="7"/>
      <c r="J1555" s="7" t="s">
        <v>29</v>
      </c>
      <c r="K1555" s="17"/>
      <c r="L1555" s="17" t="s">
        <v>29</v>
      </c>
      <c r="M1555" s="1" t="s">
        <v>1798</v>
      </c>
      <c r="N1555" s="1" t="s">
        <v>29</v>
      </c>
      <c r="O1555" s="1"/>
      <c r="P1555" s="11"/>
      <c r="Q1555" s="11"/>
      <c r="R1555" s="11"/>
      <c r="S1555" s="11"/>
      <c r="T1555" s="1"/>
      <c r="U1555" s="1"/>
      <c r="V1555" s="1"/>
      <c r="W1555" s="1"/>
      <c r="X1555" s="1"/>
      <c r="Y1555" s="1"/>
      <c r="Z1555" s="1"/>
    </row>
    <row r="1556" ht="18.0" customHeight="1" outlineLevel="1">
      <c r="A1556" s="1"/>
      <c r="B1556" s="1"/>
      <c r="C1556" s="1"/>
      <c r="D1556" s="1"/>
      <c r="E1556" s="14"/>
      <c r="F1556" s="15"/>
      <c r="G1556" s="16"/>
      <c r="H1556" s="11"/>
      <c r="I1556" s="7"/>
      <c r="J1556" s="7"/>
      <c r="K1556" s="17"/>
      <c r="L1556" s="17"/>
      <c r="M1556" s="1"/>
      <c r="N1556" s="1"/>
      <c r="O1556" s="1"/>
      <c r="P1556" s="11"/>
      <c r="Q1556" s="11"/>
      <c r="R1556" s="11"/>
      <c r="S1556" s="11"/>
      <c r="T1556" s="1"/>
      <c r="U1556" s="1"/>
      <c r="V1556" s="1"/>
      <c r="W1556" s="1"/>
      <c r="X1556" s="1"/>
      <c r="Y1556" s="1"/>
      <c r="Z1556" s="1"/>
    </row>
    <row r="1557" ht="18.0" customHeight="1" outlineLevel="1">
      <c r="A1557" s="1"/>
      <c r="B1557" s="37" t="s">
        <v>1812</v>
      </c>
      <c r="C1557" s="1"/>
      <c r="D1557" s="1"/>
      <c r="E1557" s="14"/>
      <c r="F1557" s="15"/>
      <c r="G1557" s="16"/>
      <c r="H1557" s="11"/>
      <c r="I1557" s="7"/>
      <c r="J1557" s="7"/>
      <c r="K1557" s="17"/>
      <c r="L1557" s="17"/>
      <c r="M1557" s="1"/>
      <c r="N1557" s="1"/>
      <c r="O1557" s="1"/>
      <c r="P1557" s="11"/>
      <c r="Q1557" s="11"/>
      <c r="R1557" s="11"/>
      <c r="S1557" s="11"/>
      <c r="T1557" s="1"/>
      <c r="U1557" s="1"/>
      <c r="V1557" s="1"/>
      <c r="W1557" s="1"/>
      <c r="X1557" s="1"/>
      <c r="Y1557" s="1"/>
      <c r="Z1557" s="1"/>
    </row>
    <row r="1558" ht="18.0" hidden="1" customHeight="1" outlineLevel="2">
      <c r="A1558" s="1">
        <v>1.0</v>
      </c>
      <c r="B1558" s="1" t="s">
        <v>1813</v>
      </c>
      <c r="C1558" s="1"/>
      <c r="D1558" s="38" t="s">
        <v>370</v>
      </c>
      <c r="E1558" s="14" t="s">
        <v>55</v>
      </c>
      <c r="F1558" s="15"/>
      <c r="G1558" s="16"/>
      <c r="H1558" s="11" t="s">
        <v>1814</v>
      </c>
      <c r="I1558" s="7"/>
      <c r="J1558" s="7"/>
      <c r="K1558" s="17"/>
      <c r="L1558" s="17"/>
      <c r="M1558" s="1"/>
      <c r="N1558" s="1"/>
      <c r="O1558" s="1"/>
      <c r="P1558" s="11"/>
      <c r="Q1558" s="11"/>
      <c r="R1558" s="11"/>
      <c r="S1558" s="11"/>
      <c r="T1558" s="1"/>
      <c r="U1558" s="1"/>
      <c r="V1558" s="1"/>
      <c r="W1558" s="1"/>
      <c r="X1558" s="1"/>
      <c r="Y1558" s="1"/>
      <c r="Z1558" s="1"/>
    </row>
    <row r="1559" ht="18.0" hidden="1" customHeight="1" outlineLevel="2">
      <c r="A1559" s="1">
        <v>2.0</v>
      </c>
      <c r="B1559" s="26" t="s">
        <v>372</v>
      </c>
      <c r="C1559" s="1"/>
      <c r="D1559" s="38"/>
      <c r="E1559" s="14"/>
      <c r="F1559" s="15"/>
      <c r="G1559" s="16"/>
      <c r="H1559" s="11"/>
      <c r="I1559" s="7"/>
      <c r="J1559" s="7"/>
      <c r="K1559" s="17"/>
      <c r="L1559" s="17"/>
      <c r="M1559" s="1"/>
      <c r="N1559" s="1"/>
      <c r="O1559" s="1"/>
      <c r="P1559" s="11"/>
      <c r="Q1559" s="11"/>
      <c r="R1559" s="11"/>
      <c r="S1559" s="11"/>
      <c r="T1559" s="1"/>
      <c r="U1559" s="1"/>
      <c r="V1559" s="1"/>
      <c r="W1559" s="1"/>
      <c r="X1559" s="1"/>
      <c r="Y1559" s="1"/>
      <c r="Z1559" s="1"/>
    </row>
    <row r="1560" ht="18.0" hidden="1" customHeight="1" outlineLevel="2">
      <c r="A1560" s="1">
        <v>3.0</v>
      </c>
      <c r="B1560" s="1" t="s">
        <v>1815</v>
      </c>
      <c r="C1560" s="1"/>
      <c r="D1560" s="38" t="s">
        <v>370</v>
      </c>
      <c r="E1560" s="14" t="s">
        <v>33</v>
      </c>
      <c r="F1560" s="15">
        <v>5.0</v>
      </c>
      <c r="G1560" s="16">
        <v>20.0</v>
      </c>
      <c r="H1560" s="11" t="s">
        <v>1816</v>
      </c>
      <c r="I1560" s="7"/>
      <c r="J1560" s="7"/>
      <c r="K1560" s="17"/>
      <c r="L1560" s="17"/>
      <c r="M1560" s="1"/>
      <c r="N1560" s="1"/>
      <c r="O1560" s="1"/>
      <c r="P1560" s="11"/>
      <c r="Q1560" s="11"/>
      <c r="R1560" s="11"/>
      <c r="S1560" s="11"/>
      <c r="T1560" s="1"/>
      <c r="U1560" s="1"/>
      <c r="V1560" s="1"/>
      <c r="W1560" s="1"/>
      <c r="X1560" s="1"/>
      <c r="Y1560" s="1"/>
      <c r="Z1560" s="1"/>
    </row>
    <row r="1561" ht="18.0" hidden="1" customHeight="1" outlineLevel="2">
      <c r="A1561" s="1">
        <v>4.0</v>
      </c>
      <c r="B1561" s="1"/>
      <c r="C1561" s="1"/>
      <c r="D1561" s="38"/>
      <c r="E1561" s="14"/>
      <c r="F1561" s="15"/>
      <c r="G1561" s="16"/>
      <c r="H1561" s="11"/>
      <c r="I1561" s="7"/>
      <c r="J1561" s="7"/>
      <c r="K1561" s="17"/>
      <c r="L1561" s="17"/>
      <c r="M1561" s="1"/>
      <c r="N1561" s="1"/>
      <c r="O1561" s="1"/>
      <c r="P1561" s="11"/>
      <c r="Q1561" s="11"/>
      <c r="R1561" s="11"/>
      <c r="S1561" s="11"/>
      <c r="T1561" s="1"/>
      <c r="U1561" s="1"/>
      <c r="V1561" s="1"/>
      <c r="W1561" s="1"/>
      <c r="X1561" s="1"/>
      <c r="Y1561" s="1"/>
      <c r="Z1561" s="1"/>
    </row>
    <row r="1562" ht="18.0" hidden="1" customHeight="1" outlineLevel="2">
      <c r="A1562" s="1">
        <v>5.0</v>
      </c>
      <c r="B1562" s="26" t="s">
        <v>1500</v>
      </c>
      <c r="C1562" s="1"/>
      <c r="D1562" s="38"/>
      <c r="E1562" s="29" t="s">
        <v>55</v>
      </c>
      <c r="F1562" s="15"/>
      <c r="G1562" s="16"/>
      <c r="H1562" s="22" t="s">
        <v>1761</v>
      </c>
      <c r="I1562" s="7"/>
      <c r="J1562" s="7"/>
      <c r="K1562" s="17"/>
      <c r="L1562" s="17"/>
      <c r="M1562" s="1"/>
      <c r="N1562" s="1"/>
      <c r="O1562" s="1"/>
      <c r="P1562" s="11"/>
      <c r="Q1562" s="11"/>
      <c r="R1562" s="11"/>
      <c r="S1562" s="11"/>
      <c r="T1562" s="1"/>
      <c r="U1562" s="1"/>
      <c r="V1562" s="1"/>
      <c r="W1562" s="1"/>
      <c r="X1562" s="1"/>
      <c r="Y1562" s="1"/>
      <c r="Z1562" s="1"/>
    </row>
    <row r="1563" ht="18.0" hidden="1" customHeight="1" outlineLevel="2">
      <c r="A1563" s="1">
        <v>6.0</v>
      </c>
      <c r="B1563" s="1"/>
      <c r="C1563" s="1"/>
      <c r="D1563" s="38"/>
      <c r="E1563" s="14"/>
      <c r="F1563" s="15"/>
      <c r="G1563" s="16"/>
      <c r="H1563" s="11"/>
      <c r="I1563" s="7"/>
      <c r="J1563" s="7"/>
      <c r="K1563" s="17"/>
      <c r="L1563" s="17"/>
      <c r="M1563" s="1"/>
      <c r="N1563" s="1"/>
      <c r="O1563" s="1"/>
      <c r="P1563" s="11"/>
      <c r="Q1563" s="11"/>
      <c r="R1563" s="11"/>
      <c r="S1563" s="11"/>
      <c r="T1563" s="1"/>
      <c r="U1563" s="1"/>
      <c r="V1563" s="1"/>
      <c r="W1563" s="1"/>
      <c r="X1563" s="1"/>
      <c r="Y1563" s="1"/>
      <c r="Z1563" s="1"/>
    </row>
    <row r="1564" ht="18.0" hidden="1" customHeight="1" outlineLevel="2">
      <c r="A1564" s="1">
        <v>7.0</v>
      </c>
      <c r="B1564" s="26" t="s">
        <v>788</v>
      </c>
      <c r="C1564" s="1"/>
      <c r="D1564" s="38"/>
      <c r="E1564" s="14"/>
      <c r="F1564" s="15"/>
      <c r="G1564" s="16"/>
      <c r="H1564" s="11"/>
      <c r="I1564" s="7"/>
      <c r="J1564" s="7"/>
      <c r="K1564" s="17"/>
      <c r="L1564" s="17"/>
      <c r="M1564" s="1"/>
      <c r="N1564" s="1"/>
      <c r="O1564" s="1"/>
      <c r="P1564" s="11"/>
      <c r="Q1564" s="11"/>
      <c r="R1564" s="11"/>
      <c r="S1564" s="11"/>
      <c r="T1564" s="1"/>
      <c r="U1564" s="1"/>
      <c r="V1564" s="1"/>
      <c r="W1564" s="1"/>
      <c r="X1564" s="1"/>
      <c r="Y1564" s="1"/>
      <c r="Z1564" s="1"/>
    </row>
    <row r="1565" ht="18.0" hidden="1" customHeight="1" outlineLevel="2">
      <c r="A1565" s="1">
        <v>8.0</v>
      </c>
      <c r="B1565" s="1"/>
      <c r="C1565" s="1"/>
      <c r="D1565" s="38"/>
      <c r="E1565" s="14"/>
      <c r="F1565" s="15"/>
      <c r="G1565" s="16"/>
      <c r="H1565" s="11"/>
      <c r="I1565" s="7"/>
      <c r="J1565" s="7"/>
      <c r="K1565" s="17"/>
      <c r="L1565" s="17"/>
      <c r="M1565" s="1"/>
      <c r="N1565" s="1"/>
      <c r="O1565" s="1"/>
      <c r="P1565" s="11"/>
      <c r="Q1565" s="11"/>
      <c r="R1565" s="11"/>
      <c r="S1565" s="11"/>
      <c r="T1565" s="1"/>
      <c r="U1565" s="1"/>
      <c r="V1565" s="1"/>
      <c r="W1565" s="1"/>
      <c r="X1565" s="1"/>
      <c r="Y1565" s="1"/>
      <c r="Z1565" s="1"/>
    </row>
    <row r="1566" ht="18.0" hidden="1" customHeight="1" outlineLevel="2">
      <c r="A1566" s="1">
        <v>9.0</v>
      </c>
      <c r="B1566" s="1" t="s">
        <v>1817</v>
      </c>
      <c r="C1566" s="1"/>
      <c r="D1566" s="38"/>
      <c r="E1566" s="14" t="s">
        <v>55</v>
      </c>
      <c r="F1566" s="15"/>
      <c r="G1566" s="16"/>
      <c r="H1566" s="11" t="s">
        <v>1807</v>
      </c>
      <c r="I1566" s="7"/>
      <c r="J1566" s="7"/>
      <c r="K1566" s="17"/>
      <c r="L1566" s="17"/>
      <c r="M1566" s="1"/>
      <c r="N1566" s="1"/>
      <c r="O1566" s="1"/>
      <c r="P1566" s="11"/>
      <c r="Q1566" s="11"/>
      <c r="R1566" s="11"/>
      <c r="S1566" s="11"/>
      <c r="T1566" s="1"/>
      <c r="U1566" s="1"/>
      <c r="V1566" s="1"/>
      <c r="W1566" s="1"/>
      <c r="X1566" s="1"/>
      <c r="Y1566" s="1"/>
      <c r="Z1566" s="1"/>
    </row>
    <row r="1567" ht="18.0" hidden="1" customHeight="1" outlineLevel="2">
      <c r="A1567" s="1">
        <v>10.0</v>
      </c>
      <c r="B1567" s="1" t="s">
        <v>1818</v>
      </c>
      <c r="C1567" s="1"/>
      <c r="D1567" s="38" t="s">
        <v>370</v>
      </c>
      <c r="E1567" s="14" t="s">
        <v>33</v>
      </c>
      <c r="F1567" s="15"/>
      <c r="G1567" s="30">
        <v>60.0</v>
      </c>
      <c r="H1567" s="22" t="s">
        <v>1819</v>
      </c>
      <c r="I1567" s="7"/>
      <c r="J1567" s="7"/>
      <c r="K1567" s="17"/>
      <c r="L1567" s="17"/>
      <c r="M1567" s="1"/>
      <c r="N1567" s="1"/>
      <c r="O1567" s="1"/>
      <c r="P1567" s="11"/>
      <c r="Q1567" s="11"/>
      <c r="R1567" s="11"/>
      <c r="S1567" s="11"/>
      <c r="T1567" s="1"/>
      <c r="U1567" s="1"/>
      <c r="V1567" s="1"/>
      <c r="W1567" s="1"/>
      <c r="X1567" s="1"/>
      <c r="Y1567" s="1"/>
      <c r="Z1567" s="1"/>
    </row>
    <row r="1568" ht="18.0" customHeight="1" outlineLevel="1">
      <c r="A1568" s="1"/>
      <c r="B1568" s="1"/>
      <c r="C1568" s="1"/>
      <c r="D1568" s="1"/>
      <c r="E1568" s="14"/>
      <c r="F1568" s="15"/>
      <c r="G1568" s="16"/>
      <c r="H1568" s="11"/>
      <c r="I1568" s="7"/>
      <c r="J1568" s="7"/>
      <c r="K1568" s="17"/>
      <c r="L1568" s="17"/>
      <c r="M1568" s="1"/>
      <c r="N1568" s="1"/>
      <c r="O1568" s="1"/>
      <c r="P1568" s="11"/>
      <c r="Q1568" s="11"/>
      <c r="R1568" s="11"/>
      <c r="S1568" s="11"/>
      <c r="T1568" s="1"/>
      <c r="U1568" s="1"/>
      <c r="V1568" s="1"/>
      <c r="W1568" s="1"/>
      <c r="X1568" s="1"/>
      <c r="Y1568" s="1"/>
      <c r="Z1568" s="1"/>
    </row>
    <row r="1569" ht="18.0" customHeight="1" outlineLevel="1">
      <c r="A1569" s="1"/>
      <c r="B1569" s="1"/>
      <c r="C1569" s="1"/>
      <c r="D1569" s="1"/>
      <c r="E1569" s="14"/>
      <c r="F1569" s="15"/>
      <c r="G1569" s="16"/>
      <c r="H1569" s="11"/>
      <c r="I1569" s="7"/>
      <c r="J1569" s="7"/>
      <c r="K1569" s="17"/>
      <c r="L1569" s="17"/>
      <c r="M1569" s="1"/>
      <c r="N1569" s="1"/>
      <c r="O1569" s="1"/>
      <c r="P1569" s="11"/>
      <c r="Q1569" s="11"/>
      <c r="R1569" s="11"/>
      <c r="S1569" s="11"/>
      <c r="T1569" s="1"/>
      <c r="U1569" s="1"/>
      <c r="V1569" s="1"/>
      <c r="W1569" s="1"/>
      <c r="X1569" s="1"/>
      <c r="Y1569" s="1"/>
      <c r="Z1569" s="1"/>
    </row>
    <row r="1570" outlineLevel="1">
      <c r="A1570" s="1"/>
      <c r="B1570" s="39" t="s">
        <v>1820</v>
      </c>
      <c r="C1570" s="1"/>
      <c r="D1570" s="1"/>
      <c r="E1570" s="14"/>
      <c r="F1570" s="15"/>
      <c r="G1570" s="16"/>
      <c r="H1570" s="11"/>
      <c r="I1570" s="7"/>
      <c r="J1570" s="7"/>
      <c r="K1570" s="17"/>
      <c r="L1570" s="17"/>
      <c r="M1570" s="1"/>
      <c r="N1570" s="1"/>
      <c r="O1570" s="1"/>
      <c r="P1570" s="11"/>
      <c r="Q1570" s="11"/>
      <c r="R1570" s="11"/>
      <c r="S1570" s="11"/>
      <c r="T1570" s="1"/>
      <c r="U1570" s="1"/>
      <c r="V1570" s="1"/>
      <c r="W1570" s="1"/>
      <c r="X1570" s="1"/>
      <c r="Y1570" s="1"/>
      <c r="Z1570" s="1"/>
    </row>
    <row r="1571" outlineLevel="2">
      <c r="A1571" s="26">
        <v>1.0</v>
      </c>
      <c r="B1571" s="26" t="s">
        <v>1821</v>
      </c>
      <c r="C1571" s="1"/>
      <c r="D1571" s="40"/>
      <c r="E1571" s="29" t="s">
        <v>55</v>
      </c>
      <c r="F1571" s="15"/>
      <c r="G1571" s="16"/>
      <c r="H1571" s="22" t="s">
        <v>1822</v>
      </c>
      <c r="I1571" s="7"/>
      <c r="J1571" s="32" t="s">
        <v>1823</v>
      </c>
      <c r="K1571" s="17"/>
      <c r="L1571" s="17"/>
      <c r="M1571" s="1"/>
      <c r="N1571" s="1"/>
      <c r="O1571" s="1"/>
      <c r="P1571" s="11"/>
      <c r="Q1571" s="11"/>
      <c r="R1571" s="11"/>
      <c r="S1571" s="11"/>
      <c r="T1571" s="1"/>
      <c r="U1571" s="1"/>
      <c r="V1571" s="1"/>
      <c r="W1571" s="1"/>
      <c r="X1571" s="1"/>
      <c r="Y1571" s="1"/>
      <c r="Z1571" s="1"/>
    </row>
    <row r="1572" outlineLevel="2">
      <c r="A1572" s="26">
        <v>2.0</v>
      </c>
      <c r="B1572" s="26"/>
      <c r="C1572" s="1"/>
      <c r="D1572" s="38"/>
      <c r="E1572" s="14"/>
      <c r="F1572" s="15"/>
      <c r="G1572" s="16"/>
      <c r="H1572" s="11"/>
      <c r="I1572" s="7"/>
      <c r="J1572" s="7"/>
      <c r="K1572" s="17"/>
      <c r="L1572" s="17"/>
      <c r="M1572" s="1"/>
      <c r="N1572" s="1"/>
      <c r="O1572" s="1"/>
      <c r="P1572" s="11"/>
      <c r="Q1572" s="11"/>
      <c r="R1572" s="11"/>
      <c r="S1572" s="11"/>
      <c r="T1572" s="1"/>
      <c r="U1572" s="1"/>
      <c r="V1572" s="1"/>
      <c r="W1572" s="1"/>
      <c r="X1572" s="1"/>
      <c r="Y1572" s="1"/>
      <c r="Z1572" s="1"/>
    </row>
    <row r="1573" outlineLevel="2">
      <c r="A1573" s="26">
        <v>3.0</v>
      </c>
      <c r="B1573" s="26" t="s">
        <v>1824</v>
      </c>
      <c r="C1573" s="1"/>
      <c r="D1573" s="40"/>
      <c r="E1573" s="29" t="s">
        <v>55</v>
      </c>
      <c r="F1573" s="34"/>
      <c r="G1573" s="30"/>
      <c r="H1573" s="22" t="s">
        <v>1825</v>
      </c>
      <c r="I1573" s="7"/>
      <c r="J1573" s="32" t="s">
        <v>1826</v>
      </c>
      <c r="K1573" s="17"/>
      <c r="L1573" s="17"/>
      <c r="M1573" s="1"/>
      <c r="N1573" s="1"/>
      <c r="O1573" s="1"/>
      <c r="P1573" s="11"/>
      <c r="Q1573" s="11"/>
      <c r="R1573" s="11"/>
      <c r="S1573" s="11"/>
      <c r="T1573" s="1"/>
      <c r="U1573" s="1"/>
      <c r="V1573" s="1"/>
      <c r="W1573" s="1"/>
      <c r="X1573" s="1"/>
      <c r="Y1573" s="1"/>
      <c r="Z1573" s="1"/>
    </row>
    <row r="1574" outlineLevel="2">
      <c r="A1574" s="26">
        <v>4.0</v>
      </c>
      <c r="B1574" s="1"/>
      <c r="C1574" s="1"/>
      <c r="D1574" s="38"/>
      <c r="E1574" s="14"/>
      <c r="F1574" s="15"/>
      <c r="G1574" s="16"/>
      <c r="H1574" s="11"/>
      <c r="I1574" s="7"/>
      <c r="J1574" s="7"/>
      <c r="K1574" s="17"/>
      <c r="L1574" s="17"/>
      <c r="M1574" s="1"/>
      <c r="N1574" s="1"/>
      <c r="O1574" s="1"/>
      <c r="P1574" s="11"/>
      <c r="Q1574" s="11"/>
      <c r="R1574" s="11"/>
      <c r="S1574" s="11"/>
      <c r="T1574" s="1"/>
      <c r="U1574" s="1"/>
      <c r="V1574" s="1"/>
      <c r="W1574" s="1"/>
      <c r="X1574" s="1"/>
      <c r="Y1574" s="1"/>
      <c r="Z1574" s="1"/>
    </row>
    <row r="1575" outlineLevel="2">
      <c r="A1575" s="26">
        <v>5.0</v>
      </c>
      <c r="B1575" s="26" t="s">
        <v>1827</v>
      </c>
      <c r="C1575" s="1"/>
      <c r="D1575" s="38"/>
      <c r="E1575" s="29" t="s">
        <v>55</v>
      </c>
      <c r="F1575" s="15"/>
      <c r="G1575" s="16"/>
      <c r="H1575" s="22" t="s">
        <v>1552</v>
      </c>
      <c r="I1575" s="7"/>
      <c r="J1575" s="32" t="s">
        <v>1828</v>
      </c>
      <c r="K1575" s="17"/>
      <c r="L1575" s="17"/>
      <c r="M1575" s="1"/>
      <c r="N1575" s="1"/>
      <c r="O1575" s="1"/>
      <c r="P1575" s="11"/>
      <c r="Q1575" s="11"/>
      <c r="R1575" s="11"/>
      <c r="S1575" s="11"/>
      <c r="T1575" s="1"/>
      <c r="U1575" s="1"/>
      <c r="V1575" s="1"/>
      <c r="W1575" s="1"/>
      <c r="X1575" s="1"/>
      <c r="Y1575" s="1"/>
      <c r="Z1575" s="1"/>
    </row>
    <row r="1576" outlineLevel="2">
      <c r="A1576" s="26">
        <v>6.0</v>
      </c>
      <c r="B1576" s="26"/>
      <c r="C1576" s="1"/>
      <c r="D1576" s="40"/>
      <c r="E1576" s="29"/>
      <c r="F1576" s="34"/>
      <c r="G1576" s="30"/>
      <c r="H1576" s="22"/>
      <c r="I1576" s="7"/>
      <c r="J1576" s="7"/>
      <c r="K1576" s="17"/>
      <c r="L1576" s="17"/>
      <c r="M1576" s="1"/>
      <c r="N1576" s="1"/>
      <c r="O1576" s="1"/>
      <c r="P1576" s="11"/>
      <c r="Q1576" s="11"/>
      <c r="R1576" s="11"/>
      <c r="S1576" s="11"/>
      <c r="T1576" s="1"/>
      <c r="U1576" s="1"/>
      <c r="V1576" s="1"/>
      <c r="W1576" s="1"/>
      <c r="X1576" s="1"/>
      <c r="Y1576" s="1"/>
      <c r="Z1576" s="1"/>
    </row>
    <row r="1577" outlineLevel="2">
      <c r="A1577" s="26">
        <v>7.0</v>
      </c>
      <c r="B1577" s="26" t="s">
        <v>1829</v>
      </c>
      <c r="C1577" s="1"/>
      <c r="D1577" s="38"/>
      <c r="E1577" s="29" t="s">
        <v>55</v>
      </c>
      <c r="F1577" s="15"/>
      <c r="G1577" s="16"/>
      <c r="H1577" s="22" t="s">
        <v>1830</v>
      </c>
      <c r="I1577" s="7"/>
      <c r="J1577" s="32" t="s">
        <v>1831</v>
      </c>
      <c r="K1577" s="17"/>
      <c r="L1577" s="17"/>
      <c r="M1577" s="1"/>
      <c r="N1577" s="1"/>
      <c r="O1577" s="1"/>
      <c r="P1577" s="11"/>
      <c r="Q1577" s="11"/>
      <c r="R1577" s="11"/>
      <c r="S1577" s="11"/>
      <c r="T1577" s="1"/>
      <c r="U1577" s="1"/>
      <c r="V1577" s="1"/>
      <c r="W1577" s="1"/>
      <c r="X1577" s="1"/>
      <c r="Y1577" s="1"/>
      <c r="Z1577" s="1"/>
    </row>
    <row r="1578" outlineLevel="2">
      <c r="A1578" s="26">
        <v>8.0</v>
      </c>
      <c r="B1578" s="1"/>
      <c r="C1578" s="1"/>
      <c r="D1578" s="38"/>
      <c r="E1578" s="14"/>
      <c r="F1578" s="15"/>
      <c r="G1578" s="16"/>
      <c r="H1578" s="11"/>
      <c r="I1578" s="7"/>
      <c r="J1578" s="7"/>
      <c r="K1578" s="17"/>
      <c r="L1578" s="17"/>
      <c r="M1578" s="1"/>
      <c r="N1578" s="1"/>
      <c r="O1578" s="1"/>
      <c r="P1578" s="11"/>
      <c r="Q1578" s="11"/>
      <c r="R1578" s="11"/>
      <c r="S1578" s="11"/>
      <c r="T1578" s="1"/>
      <c r="U1578" s="1"/>
      <c r="V1578" s="1"/>
      <c r="W1578" s="1"/>
      <c r="X1578" s="1"/>
      <c r="Y1578" s="1"/>
      <c r="Z1578" s="1"/>
    </row>
    <row r="1579" outlineLevel="2">
      <c r="A1579" s="26">
        <v>9.0</v>
      </c>
      <c r="B1579" s="26" t="s">
        <v>1832</v>
      </c>
      <c r="C1579" s="1"/>
      <c r="D1579" s="38"/>
      <c r="E1579" s="29" t="s">
        <v>55</v>
      </c>
      <c r="F1579" s="15"/>
      <c r="G1579" s="16"/>
      <c r="H1579" s="22" t="s">
        <v>1833</v>
      </c>
      <c r="I1579" s="7"/>
      <c r="J1579" s="32" t="s">
        <v>1834</v>
      </c>
      <c r="K1579" s="17"/>
      <c r="L1579" s="17"/>
      <c r="M1579" s="1"/>
      <c r="N1579" s="1"/>
      <c r="O1579" s="1"/>
      <c r="P1579" s="11"/>
      <c r="Q1579" s="11"/>
      <c r="R1579" s="11"/>
      <c r="S1579" s="11"/>
      <c r="T1579" s="1"/>
      <c r="U1579" s="1"/>
      <c r="V1579" s="1"/>
      <c r="W1579" s="1"/>
      <c r="X1579" s="1"/>
      <c r="Y1579" s="1"/>
      <c r="Z1579" s="1"/>
    </row>
    <row r="1580" outlineLevel="2">
      <c r="A1580" s="26">
        <v>10.0</v>
      </c>
      <c r="B1580" s="26" t="s">
        <v>1835</v>
      </c>
      <c r="C1580" s="1"/>
      <c r="D1580" s="40"/>
      <c r="E1580" s="29" t="s">
        <v>33</v>
      </c>
      <c r="F1580" s="15"/>
      <c r="G1580" s="30"/>
      <c r="H1580" s="22" t="s">
        <v>1836</v>
      </c>
      <c r="I1580" s="7"/>
      <c r="J1580" s="32" t="s">
        <v>1837</v>
      </c>
      <c r="K1580" s="17"/>
      <c r="L1580" s="17"/>
      <c r="M1580" s="1"/>
      <c r="N1580" s="1"/>
      <c r="O1580" s="1"/>
      <c r="P1580" s="11"/>
      <c r="Q1580" s="11"/>
      <c r="R1580" s="11"/>
      <c r="S1580" s="11"/>
      <c r="T1580" s="1"/>
      <c r="U1580" s="1"/>
      <c r="V1580" s="1"/>
      <c r="W1580" s="1"/>
      <c r="X1580" s="1"/>
      <c r="Y1580" s="1"/>
      <c r="Z1580" s="1"/>
    </row>
    <row r="1581" outlineLevel="2">
      <c r="A1581" s="1"/>
      <c r="B1581" s="1"/>
      <c r="C1581" s="1"/>
      <c r="D1581" s="1"/>
      <c r="E1581" s="14"/>
      <c r="F1581" s="15"/>
      <c r="G1581" s="16"/>
      <c r="H1581" s="11"/>
      <c r="I1581" s="7"/>
      <c r="J1581" s="7"/>
      <c r="K1581" s="17"/>
      <c r="L1581" s="17"/>
      <c r="M1581" s="1"/>
      <c r="N1581" s="1"/>
      <c r="O1581" s="1"/>
      <c r="P1581" s="11"/>
      <c r="Q1581" s="11"/>
      <c r="R1581" s="11"/>
      <c r="S1581" s="11"/>
      <c r="T1581" s="1"/>
      <c r="U1581" s="1"/>
      <c r="V1581" s="1"/>
      <c r="W1581" s="1"/>
      <c r="X1581" s="1"/>
      <c r="Y1581" s="1"/>
      <c r="Z1581" s="1"/>
    </row>
    <row r="1582" outlineLevel="1">
      <c r="A1582" s="1"/>
      <c r="B1582" s="1"/>
      <c r="C1582" s="1"/>
      <c r="D1582" s="1"/>
      <c r="E1582" s="14"/>
      <c r="F1582" s="15"/>
      <c r="G1582" s="16"/>
      <c r="H1582" s="11"/>
      <c r="I1582" s="7"/>
      <c r="J1582" s="7"/>
      <c r="K1582" s="17"/>
      <c r="L1582" s="17"/>
      <c r="M1582" s="1"/>
      <c r="N1582" s="1"/>
      <c r="O1582" s="1"/>
      <c r="P1582" s="11"/>
      <c r="Q1582" s="11"/>
      <c r="R1582" s="11"/>
      <c r="S1582" s="11"/>
      <c r="T1582" s="1"/>
      <c r="U1582" s="1"/>
      <c r="V1582" s="1"/>
      <c r="W1582" s="1"/>
      <c r="X1582" s="1"/>
      <c r="Y1582" s="1"/>
      <c r="Z1582" s="1"/>
    </row>
    <row r="1583" outlineLevel="1">
      <c r="A1583" s="1"/>
      <c r="B1583" s="39" t="s">
        <v>1838</v>
      </c>
      <c r="C1583" s="1"/>
      <c r="D1583" s="1"/>
      <c r="E1583" s="14"/>
      <c r="F1583" s="15"/>
      <c r="G1583" s="16"/>
      <c r="H1583" s="11"/>
      <c r="I1583" s="7"/>
      <c r="J1583" s="7"/>
      <c r="K1583" s="17"/>
      <c r="L1583" s="17"/>
      <c r="M1583" s="1"/>
      <c r="N1583" s="1"/>
      <c r="O1583" s="1"/>
      <c r="P1583" s="11"/>
      <c r="Q1583" s="11"/>
      <c r="R1583" s="11"/>
      <c r="S1583" s="11"/>
      <c r="T1583" s="1"/>
      <c r="U1583" s="1"/>
      <c r="V1583" s="1"/>
      <c r="W1583" s="1"/>
      <c r="X1583" s="1"/>
      <c r="Y1583" s="1"/>
      <c r="Z1583" s="1"/>
    </row>
    <row r="1584" outlineLevel="2">
      <c r="A1584" s="26">
        <v>1.0</v>
      </c>
      <c r="B1584" s="26" t="s">
        <v>1839</v>
      </c>
      <c r="C1584" s="1"/>
      <c r="D1584" s="40"/>
      <c r="E1584" s="29" t="s">
        <v>33</v>
      </c>
      <c r="F1584" s="15"/>
      <c r="G1584" s="16"/>
      <c r="H1584" s="22" t="s">
        <v>1840</v>
      </c>
      <c r="I1584" s="7"/>
      <c r="J1584" s="32" t="s">
        <v>1841</v>
      </c>
      <c r="K1584" s="17"/>
      <c r="L1584" s="17"/>
      <c r="M1584" s="1"/>
      <c r="N1584" s="1"/>
      <c r="O1584" s="1"/>
      <c r="P1584" s="11"/>
      <c r="Q1584" s="11"/>
      <c r="R1584" s="11"/>
      <c r="S1584" s="11"/>
      <c r="T1584" s="1"/>
      <c r="U1584" s="1"/>
      <c r="V1584" s="1"/>
      <c r="W1584" s="1"/>
      <c r="X1584" s="1"/>
      <c r="Y1584" s="1"/>
      <c r="Z1584" s="1"/>
    </row>
    <row r="1585" outlineLevel="2">
      <c r="A1585" s="26">
        <v>2.0</v>
      </c>
      <c r="B1585" s="26"/>
      <c r="C1585" s="1"/>
      <c r="D1585" s="38"/>
      <c r="E1585" s="14"/>
      <c r="F1585" s="15"/>
      <c r="G1585" s="16"/>
      <c r="H1585" s="11"/>
      <c r="I1585" s="7"/>
      <c r="J1585" s="7"/>
      <c r="K1585" s="17"/>
      <c r="L1585" s="17"/>
      <c r="M1585" s="1"/>
      <c r="N1585" s="1"/>
      <c r="O1585" s="1"/>
      <c r="P1585" s="11"/>
      <c r="Q1585" s="11"/>
      <c r="R1585" s="11"/>
      <c r="S1585" s="11"/>
      <c r="T1585" s="1"/>
      <c r="U1585" s="1"/>
      <c r="V1585" s="1"/>
      <c r="W1585" s="1"/>
      <c r="X1585" s="1"/>
      <c r="Y1585" s="1"/>
      <c r="Z1585" s="1"/>
    </row>
    <row r="1586" outlineLevel="2">
      <c r="A1586" s="26">
        <v>3.0</v>
      </c>
      <c r="B1586" s="26" t="s">
        <v>1842</v>
      </c>
      <c r="C1586" s="1"/>
      <c r="D1586" s="40"/>
      <c r="E1586" s="29" t="s">
        <v>55</v>
      </c>
      <c r="F1586" s="34"/>
      <c r="G1586" s="30"/>
      <c r="H1586" s="22" t="s">
        <v>1843</v>
      </c>
      <c r="I1586" s="7"/>
      <c r="J1586" s="32" t="s">
        <v>1844</v>
      </c>
      <c r="K1586" s="17"/>
      <c r="L1586" s="17"/>
      <c r="M1586" s="1"/>
      <c r="N1586" s="1"/>
      <c r="O1586" s="1"/>
      <c r="P1586" s="11"/>
      <c r="Q1586" s="11"/>
      <c r="R1586" s="11"/>
      <c r="S1586" s="11"/>
      <c r="T1586" s="1"/>
      <c r="U1586" s="1"/>
      <c r="V1586" s="1"/>
      <c r="W1586" s="1"/>
      <c r="X1586" s="1"/>
      <c r="Y1586" s="1"/>
      <c r="Z1586" s="1"/>
    </row>
    <row r="1587" outlineLevel="2">
      <c r="A1587" s="26">
        <v>4.0</v>
      </c>
      <c r="B1587" s="1"/>
      <c r="C1587" s="1"/>
      <c r="D1587" s="38"/>
      <c r="E1587" s="14"/>
      <c r="F1587" s="15"/>
      <c r="G1587" s="16"/>
      <c r="H1587" s="11"/>
      <c r="I1587" s="7"/>
      <c r="J1587" s="7"/>
      <c r="K1587" s="17"/>
      <c r="L1587" s="17"/>
      <c r="M1587" s="1"/>
      <c r="N1587" s="1"/>
      <c r="O1587" s="1"/>
      <c r="P1587" s="11"/>
      <c r="Q1587" s="11"/>
      <c r="R1587" s="11"/>
      <c r="S1587" s="11"/>
      <c r="T1587" s="1"/>
      <c r="U1587" s="1"/>
      <c r="V1587" s="1"/>
      <c r="W1587" s="1"/>
      <c r="X1587" s="1"/>
      <c r="Y1587" s="1"/>
      <c r="Z1587" s="1"/>
    </row>
    <row r="1588" outlineLevel="2">
      <c r="A1588" s="26">
        <v>5.0</v>
      </c>
      <c r="B1588" s="26" t="s">
        <v>1845</v>
      </c>
      <c r="C1588" s="1"/>
      <c r="D1588" s="38"/>
      <c r="E1588" s="29" t="s">
        <v>33</v>
      </c>
      <c r="F1588" s="15"/>
      <c r="G1588" s="16"/>
      <c r="H1588" s="22" t="s">
        <v>1846</v>
      </c>
      <c r="I1588" s="7"/>
      <c r="J1588" s="32" t="s">
        <v>1847</v>
      </c>
      <c r="K1588" s="17"/>
      <c r="L1588" s="17"/>
      <c r="M1588" s="1"/>
      <c r="N1588" s="1"/>
      <c r="O1588" s="1"/>
      <c r="P1588" s="11"/>
      <c r="Q1588" s="11"/>
      <c r="R1588" s="11"/>
      <c r="S1588" s="11"/>
      <c r="T1588" s="1"/>
      <c r="U1588" s="1"/>
      <c r="V1588" s="1"/>
      <c r="W1588" s="1"/>
      <c r="X1588" s="1"/>
      <c r="Y1588" s="1"/>
      <c r="Z1588" s="1"/>
    </row>
    <row r="1589" outlineLevel="2">
      <c r="A1589" s="26">
        <v>6.0</v>
      </c>
      <c r="B1589" s="26"/>
      <c r="C1589" s="1"/>
      <c r="D1589" s="40"/>
      <c r="E1589" s="29"/>
      <c r="F1589" s="34"/>
      <c r="G1589" s="30"/>
      <c r="H1589" s="22"/>
      <c r="I1589" s="7"/>
      <c r="J1589" s="7"/>
      <c r="K1589" s="17"/>
      <c r="L1589" s="17"/>
      <c r="M1589" s="1"/>
      <c r="N1589" s="1"/>
      <c r="O1589" s="1"/>
      <c r="P1589" s="11"/>
      <c r="Q1589" s="11"/>
      <c r="R1589" s="11"/>
      <c r="S1589" s="11"/>
      <c r="T1589" s="1"/>
      <c r="U1589" s="1"/>
      <c r="V1589" s="1"/>
      <c r="W1589" s="1"/>
      <c r="X1589" s="1"/>
      <c r="Y1589" s="1"/>
      <c r="Z1589" s="1"/>
    </row>
    <row r="1590" outlineLevel="2">
      <c r="A1590" s="26">
        <v>7.0</v>
      </c>
      <c r="B1590" s="26" t="s">
        <v>1848</v>
      </c>
      <c r="C1590" s="1"/>
      <c r="D1590" s="38"/>
      <c r="E1590" s="29" t="s">
        <v>55</v>
      </c>
      <c r="F1590" s="15"/>
      <c r="G1590" s="16"/>
      <c r="H1590" s="22" t="s">
        <v>1849</v>
      </c>
      <c r="I1590" s="7"/>
      <c r="J1590" s="32" t="s">
        <v>1850</v>
      </c>
      <c r="K1590" s="17"/>
      <c r="L1590" s="17"/>
      <c r="M1590" s="1"/>
      <c r="N1590" s="1"/>
      <c r="O1590" s="1"/>
      <c r="P1590" s="11"/>
      <c r="Q1590" s="11"/>
      <c r="R1590" s="11"/>
      <c r="S1590" s="11"/>
      <c r="T1590" s="1"/>
      <c r="U1590" s="1"/>
      <c r="V1590" s="1"/>
      <c r="W1590" s="1"/>
      <c r="X1590" s="1"/>
      <c r="Y1590" s="1"/>
      <c r="Z1590" s="1"/>
    </row>
    <row r="1591" outlineLevel="2">
      <c r="A1591" s="26">
        <v>8.0</v>
      </c>
      <c r="B1591" s="1"/>
      <c r="C1591" s="1"/>
      <c r="D1591" s="38"/>
      <c r="E1591" s="14"/>
      <c r="F1591" s="15"/>
      <c r="G1591" s="16"/>
      <c r="H1591" s="11"/>
      <c r="I1591" s="7"/>
      <c r="J1591" s="7"/>
      <c r="K1591" s="17"/>
      <c r="L1591" s="17"/>
      <c r="M1591" s="1"/>
      <c r="N1591" s="1"/>
      <c r="O1591" s="1"/>
      <c r="P1591" s="11"/>
      <c r="Q1591" s="11"/>
      <c r="R1591" s="11"/>
      <c r="S1591" s="11"/>
      <c r="T1591" s="1"/>
      <c r="U1591" s="1"/>
      <c r="V1591" s="1"/>
      <c r="W1591" s="1"/>
      <c r="X1591" s="1"/>
      <c r="Y1591" s="1"/>
      <c r="Z1591" s="1"/>
    </row>
    <row r="1592" outlineLevel="2">
      <c r="A1592" s="26">
        <v>9.0</v>
      </c>
      <c r="B1592" s="26" t="s">
        <v>1851</v>
      </c>
      <c r="C1592" s="1"/>
      <c r="D1592" s="38"/>
      <c r="E1592" s="29" t="s">
        <v>55</v>
      </c>
      <c r="F1592" s="15"/>
      <c r="G1592" s="16"/>
      <c r="H1592" s="22" t="s">
        <v>1852</v>
      </c>
      <c r="I1592" s="7"/>
      <c r="J1592" s="32" t="s">
        <v>1853</v>
      </c>
      <c r="K1592" s="17"/>
      <c r="L1592" s="17"/>
      <c r="M1592" s="1"/>
      <c r="N1592" s="1"/>
      <c r="O1592" s="1"/>
      <c r="P1592" s="11"/>
      <c r="Q1592" s="11"/>
      <c r="R1592" s="11"/>
      <c r="S1592" s="11"/>
      <c r="T1592" s="1"/>
      <c r="U1592" s="1"/>
      <c r="V1592" s="1"/>
      <c r="W1592" s="1"/>
      <c r="X1592" s="1"/>
      <c r="Y1592" s="1"/>
      <c r="Z1592" s="1"/>
    </row>
    <row r="1593" outlineLevel="2">
      <c r="A1593" s="26">
        <v>10.0</v>
      </c>
      <c r="B1593" s="26" t="s">
        <v>1854</v>
      </c>
      <c r="C1593" s="1"/>
      <c r="D1593" s="40"/>
      <c r="E1593" s="29" t="s">
        <v>55</v>
      </c>
      <c r="F1593" s="15"/>
      <c r="G1593" s="30"/>
      <c r="H1593" s="22" t="s">
        <v>1855</v>
      </c>
      <c r="I1593" s="7"/>
      <c r="J1593" s="32" t="s">
        <v>1856</v>
      </c>
      <c r="K1593" s="17"/>
      <c r="L1593" s="17"/>
      <c r="M1593" s="1"/>
      <c r="N1593" s="1"/>
      <c r="O1593" s="1"/>
      <c r="P1593" s="11"/>
      <c r="Q1593" s="11"/>
      <c r="R1593" s="11"/>
      <c r="S1593" s="11"/>
      <c r="T1593" s="1"/>
      <c r="U1593" s="1"/>
      <c r="V1593" s="1"/>
      <c r="W1593" s="1"/>
      <c r="X1593" s="1"/>
      <c r="Y1593" s="1"/>
      <c r="Z1593" s="1"/>
    </row>
    <row r="1594" outlineLevel="1">
      <c r="A1594" s="1"/>
      <c r="B1594" s="1"/>
      <c r="C1594" s="1"/>
      <c r="D1594" s="1"/>
      <c r="E1594" s="14"/>
      <c r="F1594" s="15"/>
      <c r="G1594" s="16"/>
      <c r="H1594" s="11"/>
      <c r="I1594" s="7"/>
      <c r="J1594" s="7"/>
      <c r="K1594" s="17"/>
      <c r="L1594" s="17"/>
      <c r="M1594" s="1"/>
      <c r="N1594" s="1"/>
      <c r="O1594" s="1"/>
      <c r="P1594" s="11"/>
      <c r="Q1594" s="11"/>
      <c r="R1594" s="11"/>
      <c r="S1594" s="11"/>
      <c r="T1594" s="1"/>
      <c r="U1594" s="1"/>
      <c r="V1594" s="1"/>
      <c r="W1594" s="1"/>
      <c r="X1594" s="1"/>
      <c r="Y1594" s="1"/>
      <c r="Z1594" s="1"/>
    </row>
    <row r="1595" outlineLevel="1">
      <c r="A1595" s="1"/>
      <c r="B1595" s="1"/>
      <c r="C1595" s="1"/>
      <c r="D1595" s="1"/>
      <c r="E1595" s="14"/>
      <c r="F1595" s="15"/>
      <c r="G1595" s="16"/>
      <c r="H1595" s="11"/>
      <c r="I1595" s="7"/>
      <c r="J1595" s="7"/>
      <c r="K1595" s="17"/>
      <c r="L1595" s="17"/>
      <c r="M1595" s="1"/>
      <c r="N1595" s="1"/>
      <c r="O1595" s="1"/>
      <c r="P1595" s="11"/>
      <c r="Q1595" s="11"/>
      <c r="R1595" s="11"/>
      <c r="S1595" s="11"/>
      <c r="T1595" s="1"/>
      <c r="U1595" s="1"/>
      <c r="V1595" s="1"/>
      <c r="W1595" s="1"/>
      <c r="X1595" s="1"/>
      <c r="Y1595" s="1"/>
      <c r="Z1595" s="1"/>
    </row>
    <row r="1596" outlineLevel="1">
      <c r="A1596" s="1"/>
      <c r="B1596" s="39" t="s">
        <v>1857</v>
      </c>
      <c r="C1596" s="1"/>
      <c r="D1596" s="1"/>
      <c r="E1596" s="14"/>
      <c r="F1596" s="15"/>
      <c r="G1596" s="16"/>
      <c r="H1596" s="11"/>
      <c r="I1596" s="7"/>
      <c r="J1596" s="7"/>
      <c r="K1596" s="17"/>
      <c r="L1596" s="17"/>
      <c r="M1596" s="1"/>
      <c r="N1596" s="1"/>
      <c r="O1596" s="1"/>
      <c r="P1596" s="11"/>
      <c r="Q1596" s="11"/>
      <c r="R1596" s="11"/>
      <c r="S1596" s="11"/>
      <c r="T1596" s="1"/>
      <c r="U1596" s="1"/>
      <c r="V1596" s="1"/>
      <c r="W1596" s="1"/>
      <c r="X1596" s="1"/>
      <c r="Y1596" s="1"/>
      <c r="Z1596" s="1"/>
    </row>
    <row r="1597" outlineLevel="2">
      <c r="A1597" s="26">
        <v>1.0</v>
      </c>
      <c r="B1597" s="26" t="s">
        <v>1858</v>
      </c>
      <c r="C1597" s="1"/>
      <c r="D1597" s="40"/>
      <c r="E1597" s="29" t="s">
        <v>55</v>
      </c>
      <c r="F1597" s="15"/>
      <c r="G1597" s="16"/>
      <c r="H1597" s="22" t="s">
        <v>1859</v>
      </c>
      <c r="I1597" s="7"/>
      <c r="J1597" s="32" t="s">
        <v>1860</v>
      </c>
      <c r="K1597" s="17"/>
      <c r="L1597" s="17"/>
      <c r="M1597" s="1"/>
      <c r="N1597" s="1"/>
      <c r="O1597" s="1"/>
      <c r="P1597" s="11"/>
      <c r="Q1597" s="11"/>
      <c r="R1597" s="11"/>
      <c r="S1597" s="11"/>
      <c r="T1597" s="1"/>
      <c r="U1597" s="1"/>
      <c r="V1597" s="1"/>
      <c r="W1597" s="1"/>
      <c r="X1597" s="1"/>
      <c r="Y1597" s="1"/>
      <c r="Z1597" s="1"/>
    </row>
    <row r="1598" outlineLevel="2">
      <c r="A1598" s="26">
        <v>2.0</v>
      </c>
      <c r="B1598" s="26"/>
      <c r="C1598" s="1"/>
      <c r="D1598" s="38"/>
      <c r="E1598" s="14"/>
      <c r="F1598" s="15"/>
      <c r="G1598" s="16"/>
      <c r="H1598" s="11"/>
      <c r="I1598" s="7"/>
      <c r="J1598" s="7"/>
      <c r="K1598" s="17"/>
      <c r="L1598" s="17"/>
      <c r="M1598" s="1"/>
      <c r="N1598" s="1"/>
      <c r="O1598" s="1"/>
      <c r="P1598" s="11"/>
      <c r="Q1598" s="11"/>
      <c r="R1598" s="11"/>
      <c r="S1598" s="11"/>
      <c r="T1598" s="1"/>
      <c r="U1598" s="1"/>
      <c r="V1598" s="1"/>
      <c r="W1598" s="1"/>
      <c r="X1598" s="1"/>
      <c r="Y1598" s="1"/>
      <c r="Z1598" s="1"/>
    </row>
    <row r="1599" outlineLevel="2">
      <c r="A1599" s="26">
        <v>3.0</v>
      </c>
      <c r="B1599" s="26" t="s">
        <v>1861</v>
      </c>
      <c r="C1599" s="1"/>
      <c r="D1599" s="40"/>
      <c r="E1599" s="29" t="s">
        <v>33</v>
      </c>
      <c r="F1599" s="34"/>
      <c r="G1599" s="30"/>
      <c r="H1599" s="22" t="s">
        <v>1862</v>
      </c>
      <c r="I1599" s="7"/>
      <c r="J1599" s="32" t="s">
        <v>1863</v>
      </c>
      <c r="K1599" s="17"/>
      <c r="L1599" s="17"/>
      <c r="M1599" s="1"/>
      <c r="N1599" s="1"/>
      <c r="O1599" s="1"/>
      <c r="P1599" s="11"/>
      <c r="Q1599" s="11"/>
      <c r="R1599" s="11"/>
      <c r="S1599" s="11"/>
      <c r="T1599" s="1"/>
      <c r="U1599" s="1"/>
      <c r="V1599" s="1"/>
      <c r="W1599" s="1"/>
      <c r="X1599" s="1"/>
      <c r="Y1599" s="1"/>
      <c r="Z1599" s="1"/>
    </row>
    <row r="1600" outlineLevel="2">
      <c r="A1600" s="26">
        <v>4.0</v>
      </c>
      <c r="B1600" s="1"/>
      <c r="C1600" s="1"/>
      <c r="D1600" s="38"/>
      <c r="E1600" s="14"/>
      <c r="F1600" s="15"/>
      <c r="G1600" s="16"/>
      <c r="H1600" s="11"/>
      <c r="I1600" s="7"/>
      <c r="J1600" s="7"/>
      <c r="K1600" s="17"/>
      <c r="L1600" s="17"/>
      <c r="M1600" s="1"/>
      <c r="N1600" s="1"/>
      <c r="O1600" s="1"/>
      <c r="P1600" s="11"/>
      <c r="Q1600" s="11"/>
      <c r="R1600" s="11"/>
      <c r="S1600" s="11"/>
      <c r="T1600" s="1"/>
      <c r="U1600" s="1"/>
      <c r="V1600" s="1"/>
      <c r="W1600" s="1"/>
      <c r="X1600" s="1"/>
      <c r="Y1600" s="1"/>
      <c r="Z1600" s="1"/>
    </row>
    <row r="1601" outlineLevel="2">
      <c r="A1601" s="26">
        <v>5.0</v>
      </c>
      <c r="B1601" s="26" t="s">
        <v>1864</v>
      </c>
      <c r="C1601" s="1"/>
      <c r="D1601" s="38"/>
      <c r="E1601" s="29" t="s">
        <v>55</v>
      </c>
      <c r="F1601" s="15"/>
      <c r="G1601" s="16"/>
      <c r="H1601" s="22" t="s">
        <v>1865</v>
      </c>
      <c r="I1601" s="7"/>
      <c r="J1601" s="32" t="s">
        <v>1866</v>
      </c>
      <c r="K1601" s="17"/>
      <c r="L1601" s="17"/>
      <c r="M1601" s="1"/>
      <c r="N1601" s="1"/>
      <c r="O1601" s="1"/>
      <c r="P1601" s="11"/>
      <c r="Q1601" s="11"/>
      <c r="R1601" s="11"/>
      <c r="S1601" s="11"/>
      <c r="T1601" s="1"/>
      <c r="U1601" s="1"/>
      <c r="V1601" s="1"/>
      <c r="W1601" s="1"/>
      <c r="X1601" s="1"/>
      <c r="Y1601" s="1"/>
      <c r="Z1601" s="1"/>
    </row>
    <row r="1602" outlineLevel="2">
      <c r="A1602" s="26">
        <v>6.0</v>
      </c>
      <c r="B1602" s="26"/>
      <c r="C1602" s="1"/>
      <c r="D1602" s="40"/>
      <c r="E1602" s="29"/>
      <c r="F1602" s="34"/>
      <c r="G1602" s="30"/>
      <c r="H1602" s="22"/>
      <c r="I1602" s="7"/>
      <c r="J1602" s="7"/>
      <c r="K1602" s="17"/>
      <c r="L1602" s="17"/>
      <c r="M1602" s="1"/>
      <c r="N1602" s="1"/>
      <c r="O1602" s="1"/>
      <c r="P1602" s="11"/>
      <c r="Q1602" s="11"/>
      <c r="R1602" s="11"/>
      <c r="S1602" s="11"/>
      <c r="T1602" s="1"/>
      <c r="U1602" s="1"/>
      <c r="V1602" s="1"/>
      <c r="W1602" s="1"/>
      <c r="X1602" s="1"/>
      <c r="Y1602" s="1"/>
      <c r="Z1602" s="1"/>
    </row>
    <row r="1603" outlineLevel="2">
      <c r="A1603" s="26">
        <v>7.0</v>
      </c>
      <c r="B1603" s="26" t="s">
        <v>1867</v>
      </c>
      <c r="C1603" s="1"/>
      <c r="D1603" s="38"/>
      <c r="E1603" s="29" t="s">
        <v>55</v>
      </c>
      <c r="F1603" s="15"/>
      <c r="G1603" s="16"/>
      <c r="H1603" s="22" t="s">
        <v>1868</v>
      </c>
      <c r="I1603" s="7"/>
      <c r="J1603" s="32" t="s">
        <v>1869</v>
      </c>
      <c r="K1603" s="17"/>
      <c r="L1603" s="17"/>
      <c r="M1603" s="1"/>
      <c r="N1603" s="1"/>
      <c r="O1603" s="1"/>
      <c r="P1603" s="11"/>
      <c r="Q1603" s="11"/>
      <c r="R1603" s="11"/>
      <c r="S1603" s="11"/>
      <c r="T1603" s="1"/>
      <c r="U1603" s="1"/>
      <c r="V1603" s="1"/>
      <c r="W1603" s="1"/>
      <c r="X1603" s="1"/>
      <c r="Y1603" s="1"/>
      <c r="Z1603" s="1"/>
    </row>
    <row r="1604" outlineLevel="2">
      <c r="A1604" s="26">
        <v>8.0</v>
      </c>
      <c r="B1604" s="1"/>
      <c r="C1604" s="1"/>
      <c r="D1604" s="38"/>
      <c r="E1604" s="14"/>
      <c r="F1604" s="15"/>
      <c r="G1604" s="16"/>
      <c r="H1604" s="11"/>
      <c r="I1604" s="7"/>
      <c r="J1604" s="7"/>
      <c r="K1604" s="17"/>
      <c r="L1604" s="17"/>
      <c r="M1604" s="1"/>
      <c r="N1604" s="1"/>
      <c r="O1604" s="1"/>
      <c r="P1604" s="11"/>
      <c r="Q1604" s="11"/>
      <c r="R1604" s="11"/>
      <c r="S1604" s="11"/>
      <c r="T1604" s="1"/>
      <c r="U1604" s="1"/>
      <c r="V1604" s="1"/>
      <c r="W1604" s="1"/>
      <c r="X1604" s="1"/>
      <c r="Y1604" s="1"/>
      <c r="Z1604" s="1"/>
    </row>
    <row r="1605" outlineLevel="2">
      <c r="A1605" s="26">
        <v>9.0</v>
      </c>
      <c r="B1605" s="26" t="s">
        <v>1870</v>
      </c>
      <c r="C1605" s="1"/>
      <c r="D1605" s="38"/>
      <c r="E1605" s="29" t="s">
        <v>55</v>
      </c>
      <c r="F1605" s="15"/>
      <c r="G1605" s="16"/>
      <c r="H1605" s="22" t="s">
        <v>1871</v>
      </c>
      <c r="I1605" s="7"/>
      <c r="J1605" s="32" t="s">
        <v>1872</v>
      </c>
      <c r="K1605" s="17"/>
      <c r="L1605" s="17"/>
      <c r="M1605" s="1"/>
      <c r="N1605" s="1"/>
      <c r="O1605" s="1"/>
      <c r="P1605" s="11"/>
      <c r="Q1605" s="11"/>
      <c r="R1605" s="11"/>
      <c r="S1605" s="11"/>
      <c r="T1605" s="1"/>
      <c r="U1605" s="1"/>
      <c r="V1605" s="1"/>
      <c r="W1605" s="1"/>
      <c r="X1605" s="1"/>
      <c r="Y1605" s="1"/>
      <c r="Z1605" s="1"/>
    </row>
    <row r="1606" outlineLevel="2">
      <c r="A1606" s="26">
        <v>10.0</v>
      </c>
      <c r="B1606" s="26" t="s">
        <v>1873</v>
      </c>
      <c r="C1606" s="1"/>
      <c r="D1606" s="40"/>
      <c r="E1606" s="29" t="s">
        <v>55</v>
      </c>
      <c r="F1606" s="15"/>
      <c r="G1606" s="30"/>
      <c r="H1606" s="22" t="s">
        <v>1874</v>
      </c>
      <c r="I1606" s="7"/>
      <c r="J1606" s="32" t="s">
        <v>1875</v>
      </c>
      <c r="K1606" s="17"/>
      <c r="L1606" s="17"/>
      <c r="M1606" s="1"/>
      <c r="N1606" s="1"/>
      <c r="O1606" s="1"/>
      <c r="P1606" s="11"/>
      <c r="Q1606" s="11"/>
      <c r="R1606" s="11"/>
      <c r="S1606" s="11"/>
      <c r="T1606" s="1"/>
      <c r="U1606" s="1"/>
      <c r="V1606" s="1"/>
      <c r="W1606" s="1"/>
      <c r="X1606" s="1"/>
      <c r="Y1606" s="1"/>
      <c r="Z1606" s="1"/>
    </row>
    <row r="1607" outlineLevel="1">
      <c r="A1607" s="1"/>
      <c r="B1607" s="1"/>
      <c r="C1607" s="1"/>
      <c r="D1607" s="1"/>
      <c r="E1607" s="14"/>
      <c r="F1607" s="15"/>
      <c r="G1607" s="16"/>
      <c r="H1607" s="11"/>
      <c r="I1607" s="7"/>
      <c r="J1607" s="7"/>
      <c r="K1607" s="17"/>
      <c r="L1607" s="17"/>
      <c r="M1607" s="1"/>
      <c r="N1607" s="1"/>
      <c r="O1607" s="1"/>
      <c r="P1607" s="11"/>
      <c r="Q1607" s="11"/>
      <c r="R1607" s="11"/>
      <c r="S1607" s="11"/>
      <c r="T1607" s="1"/>
      <c r="U1607" s="1"/>
      <c r="V1607" s="1"/>
      <c r="W1607" s="1"/>
      <c r="X1607" s="1"/>
      <c r="Y1607" s="1"/>
      <c r="Z1607" s="1"/>
    </row>
    <row r="1608" outlineLevel="1">
      <c r="A1608" s="1"/>
      <c r="B1608" s="1"/>
      <c r="C1608" s="1"/>
      <c r="D1608" s="1"/>
      <c r="E1608" s="14"/>
      <c r="F1608" s="15"/>
      <c r="G1608" s="16"/>
      <c r="H1608" s="11"/>
      <c r="I1608" s="7"/>
      <c r="J1608" s="7"/>
      <c r="K1608" s="17"/>
      <c r="L1608" s="17"/>
      <c r="M1608" s="1"/>
      <c r="N1608" s="1"/>
      <c r="O1608" s="1"/>
      <c r="P1608" s="11"/>
      <c r="Q1608" s="11"/>
      <c r="R1608" s="11"/>
      <c r="S1608" s="11"/>
      <c r="T1608" s="1"/>
      <c r="U1608" s="1"/>
      <c r="V1608" s="1"/>
      <c r="W1608" s="1"/>
      <c r="X1608" s="1"/>
      <c r="Y1608" s="1"/>
      <c r="Z1608" s="1"/>
    </row>
    <row r="1609" outlineLevel="1">
      <c r="A1609" s="1"/>
      <c r="B1609" s="41" t="s">
        <v>1876</v>
      </c>
      <c r="C1609" s="1"/>
      <c r="D1609" s="1"/>
      <c r="E1609" s="14"/>
      <c r="F1609" s="15"/>
      <c r="G1609" s="16"/>
      <c r="H1609" s="11"/>
      <c r="I1609" s="7"/>
      <c r="J1609" s="7"/>
      <c r="K1609" s="17"/>
      <c r="L1609" s="17"/>
      <c r="M1609" s="1"/>
      <c r="N1609" s="1"/>
      <c r="O1609" s="1"/>
      <c r="P1609" s="11"/>
      <c r="Q1609" s="11"/>
      <c r="R1609" s="11"/>
      <c r="S1609" s="11"/>
      <c r="T1609" s="1"/>
      <c r="U1609" s="1"/>
      <c r="V1609" s="1"/>
      <c r="W1609" s="1"/>
      <c r="X1609" s="1"/>
      <c r="Y1609" s="1"/>
      <c r="Z1609" s="1"/>
    </row>
    <row r="1610" outlineLevel="2">
      <c r="A1610" s="26">
        <v>1.0</v>
      </c>
      <c r="B1610" s="26" t="s">
        <v>1877</v>
      </c>
      <c r="C1610" s="1"/>
      <c r="D1610" s="40"/>
      <c r="E1610" s="29" t="s">
        <v>55</v>
      </c>
      <c r="F1610" s="15"/>
      <c r="G1610" s="16"/>
      <c r="H1610" s="22" t="s">
        <v>1878</v>
      </c>
      <c r="I1610" s="7"/>
      <c r="J1610" s="32" t="s">
        <v>1879</v>
      </c>
      <c r="K1610" s="17"/>
      <c r="L1610" s="17"/>
      <c r="M1610" s="1"/>
      <c r="N1610" s="1"/>
      <c r="O1610" s="1"/>
      <c r="P1610" s="11"/>
      <c r="Q1610" s="11"/>
      <c r="R1610" s="11"/>
      <c r="S1610" s="11"/>
      <c r="T1610" s="1"/>
      <c r="U1610" s="1"/>
      <c r="V1610" s="1"/>
      <c r="W1610" s="1"/>
      <c r="X1610" s="1"/>
      <c r="Y1610" s="1"/>
      <c r="Z1610" s="1"/>
    </row>
    <row r="1611" outlineLevel="2">
      <c r="A1611" s="26">
        <v>2.0</v>
      </c>
      <c r="B1611" s="26"/>
      <c r="C1611" s="1"/>
      <c r="D1611" s="38"/>
      <c r="E1611" s="14"/>
      <c r="F1611" s="15"/>
      <c r="G1611" s="16"/>
      <c r="H1611" s="11"/>
      <c r="I1611" s="7"/>
      <c r="J1611" s="7"/>
      <c r="K1611" s="17"/>
      <c r="L1611" s="17"/>
      <c r="M1611" s="1"/>
      <c r="N1611" s="1"/>
      <c r="O1611" s="1"/>
      <c r="P1611" s="11"/>
      <c r="Q1611" s="11"/>
      <c r="R1611" s="11"/>
      <c r="S1611" s="11"/>
      <c r="T1611" s="1"/>
      <c r="U1611" s="1"/>
      <c r="V1611" s="1"/>
      <c r="W1611" s="1"/>
      <c r="X1611" s="1"/>
      <c r="Y1611" s="1"/>
      <c r="Z1611" s="1"/>
    </row>
    <row r="1612" outlineLevel="2">
      <c r="A1612" s="26">
        <v>3.0</v>
      </c>
      <c r="B1612" s="26" t="s">
        <v>1880</v>
      </c>
      <c r="C1612" s="1"/>
      <c r="D1612" s="40"/>
      <c r="E1612" s="29" t="s">
        <v>33</v>
      </c>
      <c r="F1612" s="34"/>
      <c r="G1612" s="30"/>
      <c r="H1612" s="22" t="s">
        <v>1881</v>
      </c>
      <c r="I1612" s="7"/>
      <c r="J1612" s="32" t="s">
        <v>1882</v>
      </c>
      <c r="K1612" s="17"/>
      <c r="L1612" s="17"/>
      <c r="M1612" s="1"/>
      <c r="N1612" s="1"/>
      <c r="O1612" s="1"/>
      <c r="P1612" s="11"/>
      <c r="Q1612" s="11"/>
      <c r="R1612" s="11"/>
      <c r="S1612" s="11"/>
      <c r="T1612" s="1"/>
      <c r="U1612" s="1"/>
      <c r="V1612" s="1"/>
      <c r="W1612" s="1"/>
      <c r="X1612" s="1"/>
      <c r="Y1612" s="1"/>
      <c r="Z1612" s="1"/>
    </row>
    <row r="1613" outlineLevel="2">
      <c r="A1613" s="26">
        <v>4.0</v>
      </c>
      <c r="B1613" s="1"/>
      <c r="C1613" s="1"/>
      <c r="D1613" s="38"/>
      <c r="E1613" s="14"/>
      <c r="F1613" s="15"/>
      <c r="G1613" s="16"/>
      <c r="H1613" s="11"/>
      <c r="I1613" s="7"/>
      <c r="J1613" s="7"/>
      <c r="K1613" s="17"/>
      <c r="L1613" s="17"/>
      <c r="M1613" s="1"/>
      <c r="N1613" s="1"/>
      <c r="O1613" s="1"/>
      <c r="P1613" s="11"/>
      <c r="Q1613" s="11"/>
      <c r="R1613" s="11"/>
      <c r="S1613" s="11"/>
      <c r="T1613" s="1"/>
      <c r="U1613" s="1"/>
      <c r="V1613" s="1"/>
      <c r="W1613" s="1"/>
      <c r="X1613" s="1"/>
      <c r="Y1613" s="1"/>
      <c r="Z1613" s="1"/>
    </row>
    <row r="1614" outlineLevel="2">
      <c r="A1614" s="26">
        <v>5.0</v>
      </c>
      <c r="B1614" s="26" t="s">
        <v>1883</v>
      </c>
      <c r="C1614" s="1"/>
      <c r="D1614" s="38"/>
      <c r="E1614" s="29" t="s">
        <v>55</v>
      </c>
      <c r="F1614" s="15"/>
      <c r="G1614" s="16"/>
      <c r="H1614" s="22" t="s">
        <v>1884</v>
      </c>
      <c r="I1614" s="7"/>
      <c r="J1614" s="32" t="s">
        <v>1885</v>
      </c>
      <c r="K1614" s="17"/>
      <c r="L1614" s="17"/>
      <c r="M1614" s="1"/>
      <c r="N1614" s="1"/>
      <c r="O1614" s="1"/>
      <c r="P1614" s="11"/>
      <c r="Q1614" s="11"/>
      <c r="R1614" s="11"/>
      <c r="S1614" s="11"/>
      <c r="T1614" s="1"/>
      <c r="U1614" s="1"/>
      <c r="V1614" s="1"/>
      <c r="W1614" s="1"/>
      <c r="X1614" s="1"/>
      <c r="Y1614" s="1"/>
      <c r="Z1614" s="1"/>
    </row>
    <row r="1615" outlineLevel="2">
      <c r="A1615" s="26">
        <v>6.0</v>
      </c>
      <c r="B1615" s="26"/>
      <c r="C1615" s="1"/>
      <c r="D1615" s="40"/>
      <c r="E1615" s="29"/>
      <c r="F1615" s="34"/>
      <c r="G1615" s="30"/>
      <c r="H1615" s="22"/>
      <c r="I1615" s="7"/>
      <c r="J1615" s="7"/>
      <c r="K1615" s="17"/>
      <c r="L1615" s="17"/>
      <c r="M1615" s="1"/>
      <c r="N1615" s="1"/>
      <c r="O1615" s="1"/>
      <c r="P1615" s="11"/>
      <c r="Q1615" s="11"/>
      <c r="R1615" s="11"/>
      <c r="S1615" s="11"/>
      <c r="T1615" s="1"/>
      <c r="U1615" s="1"/>
      <c r="V1615" s="1"/>
      <c r="W1615" s="1"/>
      <c r="X1615" s="1"/>
      <c r="Y1615" s="1"/>
      <c r="Z1615" s="1"/>
    </row>
    <row r="1616" outlineLevel="2">
      <c r="A1616" s="26">
        <v>7.0</v>
      </c>
      <c r="B1616" s="26" t="s">
        <v>1886</v>
      </c>
      <c r="C1616" s="1"/>
      <c r="D1616" s="38"/>
      <c r="E1616" s="29" t="s">
        <v>33</v>
      </c>
      <c r="F1616" s="15"/>
      <c r="G1616" s="16"/>
      <c r="H1616" s="22" t="s">
        <v>1887</v>
      </c>
      <c r="I1616" s="7"/>
      <c r="J1616" s="32" t="s">
        <v>1888</v>
      </c>
      <c r="K1616" s="17"/>
      <c r="L1616" s="17"/>
      <c r="M1616" s="1"/>
      <c r="N1616" s="1"/>
      <c r="O1616" s="1"/>
      <c r="P1616" s="11"/>
      <c r="Q1616" s="11"/>
      <c r="R1616" s="11"/>
      <c r="S1616" s="11"/>
      <c r="T1616" s="1"/>
      <c r="U1616" s="1"/>
      <c r="V1616" s="1"/>
      <c r="W1616" s="1"/>
      <c r="X1616" s="1"/>
      <c r="Y1616" s="1"/>
      <c r="Z1616" s="1"/>
    </row>
    <row r="1617" outlineLevel="2">
      <c r="A1617" s="26">
        <v>8.0</v>
      </c>
      <c r="B1617" s="1"/>
      <c r="C1617" s="1"/>
      <c r="D1617" s="38"/>
      <c r="E1617" s="14"/>
      <c r="F1617" s="15"/>
      <c r="G1617" s="16"/>
      <c r="H1617" s="11"/>
      <c r="I1617" s="7"/>
      <c r="J1617" s="7"/>
      <c r="K1617" s="17"/>
      <c r="L1617" s="17"/>
      <c r="M1617" s="1"/>
      <c r="N1617" s="1"/>
      <c r="O1617" s="1"/>
      <c r="P1617" s="11"/>
      <c r="Q1617" s="11"/>
      <c r="R1617" s="11"/>
      <c r="S1617" s="11"/>
      <c r="T1617" s="1"/>
      <c r="U1617" s="1"/>
      <c r="V1617" s="1"/>
      <c r="W1617" s="1"/>
      <c r="X1617" s="1"/>
      <c r="Y1617" s="1"/>
      <c r="Z1617" s="1"/>
    </row>
    <row r="1618" outlineLevel="2">
      <c r="A1618" s="26">
        <v>9.0</v>
      </c>
      <c r="B1618" s="26" t="s">
        <v>1889</v>
      </c>
      <c r="C1618" s="1"/>
      <c r="D1618" s="38"/>
      <c r="E1618" s="29" t="s">
        <v>33</v>
      </c>
      <c r="F1618" s="15"/>
      <c r="G1618" s="16"/>
      <c r="H1618" s="22" t="s">
        <v>1890</v>
      </c>
      <c r="I1618" s="7"/>
      <c r="J1618" s="32" t="s">
        <v>1891</v>
      </c>
      <c r="K1618" s="17"/>
      <c r="L1618" s="17"/>
      <c r="M1618" s="1"/>
      <c r="N1618" s="1"/>
      <c r="O1618" s="1"/>
      <c r="P1618" s="11"/>
      <c r="Q1618" s="11"/>
      <c r="R1618" s="11"/>
      <c r="S1618" s="11"/>
      <c r="T1618" s="1"/>
      <c r="U1618" s="1"/>
      <c r="V1618" s="1"/>
      <c r="W1618" s="1"/>
      <c r="X1618" s="1"/>
      <c r="Y1618" s="1"/>
      <c r="Z1618" s="1"/>
    </row>
    <row r="1619" outlineLevel="2">
      <c r="A1619" s="26">
        <v>10.0</v>
      </c>
      <c r="B1619" s="26" t="s">
        <v>1892</v>
      </c>
      <c r="C1619" s="1"/>
      <c r="D1619" s="40"/>
      <c r="E1619" s="29" t="s">
        <v>55</v>
      </c>
      <c r="F1619" s="15"/>
      <c r="G1619" s="30"/>
      <c r="H1619" s="22" t="s">
        <v>1545</v>
      </c>
      <c r="I1619" s="7"/>
      <c r="J1619" s="32" t="s">
        <v>1893</v>
      </c>
      <c r="K1619" s="17"/>
      <c r="L1619" s="17"/>
      <c r="M1619" s="1"/>
      <c r="N1619" s="1"/>
      <c r="O1619" s="1"/>
      <c r="P1619" s="11"/>
      <c r="Q1619" s="11"/>
      <c r="R1619" s="11"/>
      <c r="S1619" s="11"/>
      <c r="T1619" s="1"/>
      <c r="U1619" s="1"/>
      <c r="V1619" s="1"/>
      <c r="W1619" s="1"/>
      <c r="X1619" s="1"/>
      <c r="Y1619" s="1"/>
      <c r="Z1619" s="1"/>
    </row>
    <row r="1620" outlineLevel="1">
      <c r="A1620" s="1"/>
      <c r="B1620" s="1"/>
      <c r="C1620" s="1"/>
      <c r="D1620" s="1"/>
      <c r="E1620" s="14"/>
      <c r="F1620" s="15"/>
      <c r="G1620" s="16"/>
      <c r="H1620" s="11"/>
      <c r="I1620" s="7"/>
      <c r="J1620" s="7"/>
      <c r="K1620" s="17"/>
      <c r="L1620" s="17"/>
      <c r="M1620" s="1"/>
      <c r="N1620" s="1"/>
      <c r="O1620" s="1"/>
      <c r="P1620" s="11"/>
      <c r="Q1620" s="11"/>
      <c r="R1620" s="11"/>
      <c r="S1620" s="11"/>
      <c r="T1620" s="1"/>
      <c r="U1620" s="1"/>
      <c r="V1620" s="1"/>
      <c r="W1620" s="1"/>
      <c r="X1620" s="1"/>
      <c r="Y1620" s="1"/>
      <c r="Z1620" s="1"/>
    </row>
    <row r="1621" outlineLevel="1">
      <c r="A1621" s="1"/>
      <c r="B1621" s="1"/>
      <c r="C1621" s="1"/>
      <c r="D1621" s="1"/>
      <c r="E1621" s="14"/>
      <c r="F1621" s="15"/>
      <c r="G1621" s="16"/>
      <c r="H1621" s="11"/>
      <c r="I1621" s="7"/>
      <c r="J1621" s="7"/>
      <c r="K1621" s="17"/>
      <c r="L1621" s="17"/>
      <c r="M1621" s="1"/>
      <c r="N1621" s="1"/>
      <c r="O1621" s="1"/>
      <c r="P1621" s="11"/>
      <c r="Q1621" s="11"/>
      <c r="R1621" s="11"/>
      <c r="S1621" s="11"/>
      <c r="T1621" s="1"/>
      <c r="U1621" s="1"/>
      <c r="V1621" s="1"/>
      <c r="W1621" s="1"/>
      <c r="X1621" s="1"/>
      <c r="Y1621" s="1"/>
      <c r="Z1621" s="1"/>
    </row>
    <row r="1622" outlineLevel="1">
      <c r="A1622" s="1"/>
      <c r="B1622" s="39" t="s">
        <v>1894</v>
      </c>
      <c r="C1622" s="1"/>
      <c r="D1622" s="1"/>
      <c r="E1622" s="14"/>
      <c r="F1622" s="15"/>
      <c r="G1622" s="16"/>
      <c r="H1622" s="11"/>
      <c r="I1622" s="7"/>
      <c r="J1622" s="7"/>
      <c r="K1622" s="17"/>
      <c r="L1622" s="17"/>
      <c r="M1622" s="1"/>
      <c r="N1622" s="1"/>
      <c r="O1622" s="1"/>
      <c r="P1622" s="11"/>
      <c r="Q1622" s="11"/>
      <c r="R1622" s="11"/>
      <c r="S1622" s="11"/>
      <c r="T1622" s="1"/>
      <c r="U1622" s="1"/>
      <c r="V1622" s="1"/>
      <c r="W1622" s="1"/>
      <c r="X1622" s="1"/>
      <c r="Y1622" s="1"/>
      <c r="Z1622" s="1"/>
    </row>
    <row r="1623" outlineLevel="2">
      <c r="A1623" s="26">
        <v>1.0</v>
      </c>
      <c r="B1623" s="26" t="s">
        <v>1895</v>
      </c>
      <c r="C1623" s="1"/>
      <c r="D1623" s="40"/>
      <c r="E1623" s="29" t="s">
        <v>55</v>
      </c>
      <c r="F1623" s="15"/>
      <c r="G1623" s="16"/>
      <c r="H1623" s="22" t="s">
        <v>1896</v>
      </c>
      <c r="I1623" s="7"/>
      <c r="J1623" s="32" t="s">
        <v>1897</v>
      </c>
      <c r="K1623" s="17"/>
      <c r="L1623" s="17"/>
      <c r="M1623" s="1"/>
      <c r="N1623" s="1"/>
      <c r="O1623" s="1"/>
      <c r="P1623" s="11"/>
      <c r="Q1623" s="11"/>
      <c r="R1623" s="11"/>
      <c r="S1623" s="11"/>
      <c r="T1623" s="1"/>
      <c r="U1623" s="1"/>
      <c r="V1623" s="1"/>
      <c r="W1623" s="1"/>
      <c r="X1623" s="1"/>
      <c r="Y1623" s="1"/>
      <c r="Z1623" s="1"/>
    </row>
    <row r="1624" outlineLevel="2">
      <c r="A1624" s="26">
        <v>2.0</v>
      </c>
      <c r="B1624" s="26"/>
      <c r="C1624" s="1"/>
      <c r="D1624" s="38"/>
      <c r="E1624" s="14"/>
      <c r="F1624" s="15"/>
      <c r="G1624" s="16"/>
      <c r="H1624" s="11"/>
      <c r="I1624" s="7"/>
      <c r="J1624" s="7"/>
      <c r="K1624" s="17"/>
      <c r="L1624" s="17"/>
      <c r="M1624" s="1"/>
      <c r="N1624" s="1"/>
      <c r="O1624" s="1"/>
      <c r="P1624" s="11"/>
      <c r="Q1624" s="11"/>
      <c r="R1624" s="11"/>
      <c r="S1624" s="11"/>
      <c r="T1624" s="1"/>
      <c r="U1624" s="1"/>
      <c r="V1624" s="1"/>
      <c r="W1624" s="1"/>
      <c r="X1624" s="1"/>
      <c r="Y1624" s="1"/>
      <c r="Z1624" s="1"/>
    </row>
    <row r="1625" outlineLevel="2">
      <c r="A1625" s="26">
        <v>3.0</v>
      </c>
      <c r="B1625" s="26" t="s">
        <v>1898</v>
      </c>
      <c r="C1625" s="1"/>
      <c r="D1625" s="40"/>
      <c r="E1625" s="29" t="s">
        <v>55</v>
      </c>
      <c r="F1625" s="34"/>
      <c r="G1625" s="30"/>
      <c r="H1625" s="22" t="s">
        <v>1899</v>
      </c>
      <c r="I1625" s="7"/>
      <c r="J1625" s="32" t="s">
        <v>1900</v>
      </c>
      <c r="K1625" s="17"/>
      <c r="L1625" s="17"/>
      <c r="M1625" s="1"/>
      <c r="N1625" s="1"/>
      <c r="O1625" s="1"/>
      <c r="P1625" s="11"/>
      <c r="Q1625" s="11"/>
      <c r="R1625" s="11"/>
      <c r="S1625" s="11"/>
      <c r="T1625" s="1"/>
      <c r="U1625" s="1"/>
      <c r="V1625" s="1"/>
      <c r="W1625" s="1"/>
      <c r="X1625" s="1"/>
      <c r="Y1625" s="1"/>
      <c r="Z1625" s="1"/>
    </row>
    <row r="1626" outlineLevel="2">
      <c r="A1626" s="26">
        <v>4.0</v>
      </c>
      <c r="B1626" s="1"/>
      <c r="C1626" s="1"/>
      <c r="D1626" s="38"/>
      <c r="E1626" s="14"/>
      <c r="F1626" s="15"/>
      <c r="G1626" s="16"/>
      <c r="H1626" s="11"/>
      <c r="I1626" s="7"/>
      <c r="J1626" s="7"/>
      <c r="K1626" s="17"/>
      <c r="L1626" s="17"/>
      <c r="M1626" s="1"/>
      <c r="N1626" s="1"/>
      <c r="O1626" s="1"/>
      <c r="P1626" s="11"/>
      <c r="Q1626" s="11"/>
      <c r="R1626" s="11"/>
      <c r="S1626" s="11"/>
      <c r="T1626" s="1"/>
      <c r="U1626" s="1"/>
      <c r="V1626" s="1"/>
      <c r="W1626" s="1"/>
      <c r="X1626" s="1"/>
      <c r="Y1626" s="1"/>
      <c r="Z1626" s="1"/>
    </row>
    <row r="1627" outlineLevel="2">
      <c r="A1627" s="26">
        <v>5.0</v>
      </c>
      <c r="B1627" s="26" t="s">
        <v>1901</v>
      </c>
      <c r="C1627" s="1"/>
      <c r="D1627" s="38"/>
      <c r="E1627" s="29" t="s">
        <v>55</v>
      </c>
      <c r="F1627" s="15"/>
      <c r="G1627" s="16"/>
      <c r="H1627" s="22" t="s">
        <v>1902</v>
      </c>
      <c r="I1627" s="7"/>
      <c r="J1627" s="32" t="s">
        <v>1903</v>
      </c>
      <c r="K1627" s="17"/>
      <c r="L1627" s="17"/>
      <c r="M1627" s="1"/>
      <c r="N1627" s="1"/>
      <c r="O1627" s="1"/>
      <c r="P1627" s="11"/>
      <c r="Q1627" s="11"/>
      <c r="R1627" s="11"/>
      <c r="S1627" s="11"/>
      <c r="T1627" s="1"/>
      <c r="U1627" s="1"/>
      <c r="V1627" s="1"/>
      <c r="W1627" s="1"/>
      <c r="X1627" s="1"/>
      <c r="Y1627" s="1"/>
      <c r="Z1627" s="1"/>
    </row>
    <row r="1628" outlineLevel="2">
      <c r="A1628" s="26">
        <v>6.0</v>
      </c>
      <c r="B1628" s="26"/>
      <c r="C1628" s="1"/>
      <c r="D1628" s="40"/>
      <c r="E1628" s="29"/>
      <c r="F1628" s="34"/>
      <c r="G1628" s="30"/>
      <c r="H1628" s="22"/>
      <c r="I1628" s="7"/>
      <c r="J1628" s="7"/>
      <c r="K1628" s="17"/>
      <c r="L1628" s="17"/>
      <c r="M1628" s="1"/>
      <c r="N1628" s="1"/>
      <c r="O1628" s="1"/>
      <c r="P1628" s="11"/>
      <c r="Q1628" s="11"/>
      <c r="R1628" s="11"/>
      <c r="S1628" s="11"/>
      <c r="T1628" s="1"/>
      <c r="U1628" s="1"/>
      <c r="V1628" s="1"/>
      <c r="W1628" s="1"/>
      <c r="X1628" s="1"/>
      <c r="Y1628" s="1"/>
      <c r="Z1628" s="1"/>
    </row>
    <row r="1629" outlineLevel="2">
      <c r="A1629" s="26">
        <v>7.0</v>
      </c>
      <c r="B1629" s="26" t="s">
        <v>1904</v>
      </c>
      <c r="C1629" s="1"/>
      <c r="D1629" s="38"/>
      <c r="E1629" s="29" t="s">
        <v>55</v>
      </c>
      <c r="F1629" s="15"/>
      <c r="G1629" s="16"/>
      <c r="H1629" s="22" t="s">
        <v>1905</v>
      </c>
      <c r="I1629" s="7"/>
      <c r="J1629" s="32" t="s">
        <v>1906</v>
      </c>
      <c r="K1629" s="17"/>
      <c r="L1629" s="17"/>
      <c r="M1629" s="1"/>
      <c r="N1629" s="1"/>
      <c r="O1629" s="1"/>
      <c r="P1629" s="11"/>
      <c r="Q1629" s="11"/>
      <c r="R1629" s="11"/>
      <c r="S1629" s="11"/>
      <c r="T1629" s="1"/>
      <c r="U1629" s="1"/>
      <c r="V1629" s="1"/>
      <c r="W1629" s="1"/>
      <c r="X1629" s="1"/>
      <c r="Y1629" s="1"/>
      <c r="Z1629" s="1"/>
    </row>
    <row r="1630" outlineLevel="2">
      <c r="A1630" s="26">
        <v>8.0</v>
      </c>
      <c r="B1630" s="1"/>
      <c r="C1630" s="1"/>
      <c r="D1630" s="38"/>
      <c r="E1630" s="14"/>
      <c r="F1630" s="15"/>
      <c r="G1630" s="16"/>
      <c r="H1630" s="11"/>
      <c r="I1630" s="7"/>
      <c r="J1630" s="7"/>
      <c r="K1630" s="17"/>
      <c r="L1630" s="17"/>
      <c r="M1630" s="1"/>
      <c r="N1630" s="1"/>
      <c r="O1630" s="1"/>
      <c r="P1630" s="11"/>
      <c r="Q1630" s="11"/>
      <c r="R1630" s="11"/>
      <c r="S1630" s="11"/>
      <c r="T1630" s="1"/>
      <c r="U1630" s="1"/>
      <c r="V1630" s="1"/>
      <c r="W1630" s="1"/>
      <c r="X1630" s="1"/>
      <c r="Y1630" s="1"/>
      <c r="Z1630" s="1"/>
    </row>
    <row r="1631" outlineLevel="2">
      <c r="A1631" s="26">
        <v>9.0</v>
      </c>
      <c r="B1631" s="26" t="s">
        <v>1907</v>
      </c>
      <c r="C1631" s="1"/>
      <c r="D1631" s="38"/>
      <c r="E1631" s="29" t="s">
        <v>55</v>
      </c>
      <c r="F1631" s="15"/>
      <c r="G1631" s="16"/>
      <c r="H1631" s="22" t="s">
        <v>1908</v>
      </c>
      <c r="I1631" s="7"/>
      <c r="J1631" s="32" t="s">
        <v>1909</v>
      </c>
      <c r="K1631" s="17"/>
      <c r="L1631" s="17"/>
      <c r="M1631" s="1"/>
      <c r="N1631" s="1"/>
      <c r="O1631" s="1"/>
      <c r="P1631" s="11"/>
      <c r="Q1631" s="11"/>
      <c r="R1631" s="11"/>
      <c r="S1631" s="11"/>
      <c r="T1631" s="1"/>
      <c r="U1631" s="1"/>
      <c r="V1631" s="1"/>
      <c r="W1631" s="1"/>
      <c r="X1631" s="1"/>
      <c r="Y1631" s="1"/>
      <c r="Z1631" s="1"/>
    </row>
    <row r="1632" outlineLevel="2">
      <c r="A1632" s="26">
        <v>10.0</v>
      </c>
      <c r="B1632" s="26" t="s">
        <v>1910</v>
      </c>
      <c r="C1632" s="1"/>
      <c r="D1632" s="40"/>
      <c r="E1632" s="29" t="s">
        <v>55</v>
      </c>
      <c r="F1632" s="15"/>
      <c r="G1632" s="30"/>
      <c r="H1632" s="22" t="s">
        <v>1911</v>
      </c>
      <c r="I1632" s="7"/>
      <c r="J1632" s="32" t="s">
        <v>1912</v>
      </c>
      <c r="K1632" s="17"/>
      <c r="L1632" s="17"/>
      <c r="M1632" s="1"/>
      <c r="N1632" s="1"/>
      <c r="O1632" s="1"/>
      <c r="P1632" s="11"/>
      <c r="Q1632" s="11"/>
      <c r="R1632" s="11"/>
      <c r="S1632" s="11"/>
      <c r="T1632" s="1"/>
      <c r="U1632" s="1"/>
      <c r="V1632" s="1"/>
      <c r="W1632" s="1"/>
      <c r="X1632" s="1"/>
      <c r="Y1632" s="1"/>
      <c r="Z1632" s="1"/>
    </row>
    <row r="1633" outlineLevel="2">
      <c r="A1633" s="1"/>
      <c r="B1633" s="1"/>
      <c r="C1633" s="1"/>
      <c r="D1633" s="1"/>
      <c r="E1633" s="14"/>
      <c r="F1633" s="15"/>
      <c r="G1633" s="16"/>
      <c r="H1633" s="11"/>
      <c r="I1633" s="7"/>
      <c r="J1633" s="7"/>
      <c r="K1633" s="17"/>
      <c r="L1633" s="17"/>
      <c r="M1633" s="1"/>
      <c r="N1633" s="1"/>
      <c r="O1633" s="1"/>
      <c r="P1633" s="11"/>
      <c r="Q1633" s="11"/>
      <c r="R1633" s="11"/>
      <c r="S1633" s="11"/>
      <c r="T1633" s="1"/>
      <c r="U1633" s="1"/>
      <c r="V1633" s="1"/>
      <c r="W1633" s="1"/>
      <c r="X1633" s="1"/>
      <c r="Y1633" s="1"/>
      <c r="Z1633" s="1"/>
    </row>
    <row r="1634" outlineLevel="1">
      <c r="A1634" s="1"/>
      <c r="B1634" s="1"/>
      <c r="C1634" s="1"/>
      <c r="D1634" s="1"/>
      <c r="E1634" s="14"/>
      <c r="F1634" s="15"/>
      <c r="G1634" s="16"/>
      <c r="H1634" s="11"/>
      <c r="I1634" s="7"/>
      <c r="J1634" s="7"/>
      <c r="K1634" s="17"/>
      <c r="L1634" s="17"/>
      <c r="M1634" s="1"/>
      <c r="N1634" s="1"/>
      <c r="O1634" s="1"/>
      <c r="P1634" s="11"/>
      <c r="Q1634" s="11"/>
      <c r="R1634" s="11"/>
      <c r="S1634" s="11"/>
      <c r="T1634" s="1"/>
      <c r="U1634" s="1"/>
      <c r="V1634" s="1"/>
      <c r="W1634" s="1"/>
      <c r="X1634" s="1"/>
      <c r="Y1634" s="1"/>
      <c r="Z1634" s="1"/>
    </row>
    <row r="1635" ht="18.0" customHeight="1">
      <c r="A1635" s="1"/>
      <c r="B1635" s="1"/>
      <c r="C1635" s="26" t="s">
        <v>1913</v>
      </c>
      <c r="D1635" s="1"/>
      <c r="E1635" s="14"/>
      <c r="F1635" s="15"/>
      <c r="G1635" s="16"/>
      <c r="H1635" s="11"/>
      <c r="I1635" s="7"/>
      <c r="J1635" s="7" t="str">
        <f>IFERROR(LET(_xlpm.v,
VLOOKUP($I1635,'用語辞書'!$A:$B,COLUMN('用語辞書'!B$1),FALSE),
IF(_xlpm.v=0,"",_xlpm.v)
),"")</f>
        <v/>
      </c>
      <c r="K1635" s="17"/>
      <c r="L1635" s="17" t="str">
        <f>IF(OR(COUNTIF('クラス'!$A$1:$A$1267,$B1635)&gt;0,$B1635="",$M1635=""),"",True)</f>
        <v/>
      </c>
      <c r="M1635" s="1" t="str">
        <f>IF(COUNTIF($B$1:$C1530, $B1635), "", "存在しない")</f>
        <v>存在しない</v>
      </c>
      <c r="N1635" s="1" t="s">
        <v>29</v>
      </c>
      <c r="O1635" s="1"/>
      <c r="P1635" s="11"/>
      <c r="Q1635" s="11"/>
      <c r="R1635" s="11"/>
      <c r="S1635" s="11"/>
      <c r="T1635" s="1"/>
      <c r="U1635" s="1"/>
      <c r="V1635" s="1"/>
      <c r="W1635" s="1"/>
      <c r="X1635" s="1"/>
      <c r="Y1635" s="1"/>
      <c r="Z1635" s="1"/>
    </row>
    <row r="1636" ht="18.0" customHeight="1" outlineLevel="1">
      <c r="A1636" s="1"/>
      <c r="B1636" s="39" t="s">
        <v>1914</v>
      </c>
      <c r="C1636" s="1"/>
      <c r="D1636" s="1"/>
      <c r="E1636" s="14"/>
      <c r="F1636" s="15"/>
      <c r="G1636" s="16"/>
      <c r="H1636" s="11"/>
      <c r="I1636" s="7"/>
      <c r="J1636" s="7"/>
      <c r="K1636" s="17"/>
      <c r="L1636" s="17"/>
      <c r="M1636" s="1"/>
      <c r="N1636" s="1"/>
      <c r="O1636" s="1"/>
      <c r="P1636" s="11"/>
      <c r="Q1636" s="11"/>
      <c r="R1636" s="11"/>
      <c r="S1636" s="11"/>
      <c r="T1636" s="1"/>
      <c r="U1636" s="1"/>
      <c r="V1636" s="1"/>
      <c r="W1636" s="1"/>
      <c r="X1636" s="1"/>
      <c r="Y1636" s="1"/>
      <c r="Z1636" s="1"/>
    </row>
    <row r="1637" ht="18.0" hidden="1" customHeight="1" outlineLevel="2">
      <c r="A1637" s="26">
        <v>1.0</v>
      </c>
      <c r="B1637" s="26" t="s">
        <v>1915</v>
      </c>
      <c r="C1637" s="1"/>
      <c r="D1637" s="40" t="s">
        <v>644</v>
      </c>
      <c r="E1637" s="29" t="s">
        <v>33</v>
      </c>
      <c r="F1637" s="15"/>
      <c r="G1637" s="30">
        <v>30.0</v>
      </c>
      <c r="H1637" s="22" t="s">
        <v>1916</v>
      </c>
      <c r="I1637" s="7"/>
      <c r="J1637" s="7"/>
      <c r="K1637" s="17"/>
      <c r="L1637" s="17"/>
      <c r="M1637" s="1"/>
      <c r="N1637" s="1"/>
      <c r="O1637" s="1"/>
      <c r="P1637" s="11"/>
      <c r="Q1637" s="11"/>
      <c r="R1637" s="11"/>
      <c r="S1637" s="11"/>
      <c r="T1637" s="1"/>
      <c r="U1637" s="1"/>
      <c r="V1637" s="1"/>
      <c r="W1637" s="1"/>
      <c r="X1637" s="1"/>
      <c r="Y1637" s="1"/>
      <c r="Z1637" s="1"/>
    </row>
    <row r="1638" ht="18.0" hidden="1" customHeight="1" outlineLevel="2">
      <c r="A1638" s="26">
        <v>2.0</v>
      </c>
      <c r="B1638" s="26" t="s">
        <v>37</v>
      </c>
      <c r="C1638" s="1"/>
      <c r="D1638" s="38"/>
      <c r="E1638" s="14"/>
      <c r="F1638" s="15"/>
      <c r="G1638" s="16"/>
      <c r="H1638" s="11"/>
      <c r="I1638" s="7"/>
      <c r="J1638" s="7"/>
      <c r="K1638" s="17"/>
      <c r="L1638" s="17"/>
      <c r="M1638" s="1"/>
      <c r="N1638" s="1"/>
      <c r="O1638" s="1"/>
      <c r="P1638" s="11"/>
      <c r="Q1638" s="11"/>
      <c r="R1638" s="11"/>
      <c r="S1638" s="11"/>
      <c r="T1638" s="1"/>
      <c r="U1638" s="1"/>
      <c r="V1638" s="1"/>
      <c r="W1638" s="1"/>
      <c r="X1638" s="1"/>
      <c r="Y1638" s="1"/>
      <c r="Z1638" s="1"/>
    </row>
    <row r="1639" ht="18.0" hidden="1" customHeight="1" outlineLevel="2">
      <c r="A1639" s="26">
        <v>3.0</v>
      </c>
      <c r="B1639" s="26" t="s">
        <v>1917</v>
      </c>
      <c r="C1639" s="1"/>
      <c r="D1639" s="38"/>
      <c r="E1639" s="14"/>
      <c r="F1639" s="15"/>
      <c r="G1639" s="16"/>
      <c r="H1639" s="11"/>
      <c r="I1639" s="7"/>
      <c r="J1639" s="7"/>
      <c r="K1639" s="17"/>
      <c r="L1639" s="17"/>
      <c r="M1639" s="1"/>
      <c r="N1639" s="1"/>
      <c r="O1639" s="1"/>
      <c r="P1639" s="11"/>
      <c r="Q1639" s="11"/>
      <c r="R1639" s="11"/>
      <c r="S1639" s="11"/>
      <c r="T1639" s="1"/>
      <c r="U1639" s="1"/>
      <c r="V1639" s="1"/>
      <c r="W1639" s="1"/>
      <c r="X1639" s="1"/>
      <c r="Y1639" s="1"/>
      <c r="Z1639" s="1"/>
    </row>
    <row r="1640" ht="18.0" hidden="1" customHeight="1" outlineLevel="2">
      <c r="A1640" s="26">
        <v>4.0</v>
      </c>
      <c r="B1640" s="1"/>
      <c r="C1640" s="1"/>
      <c r="D1640" s="38"/>
      <c r="E1640" s="14"/>
      <c r="F1640" s="15"/>
      <c r="G1640" s="16"/>
      <c r="H1640" s="11"/>
      <c r="I1640" s="7"/>
      <c r="J1640" s="7"/>
      <c r="K1640" s="17"/>
      <c r="L1640" s="17"/>
      <c r="M1640" s="1"/>
      <c r="N1640" s="1"/>
      <c r="O1640" s="1"/>
      <c r="P1640" s="11"/>
      <c r="Q1640" s="11"/>
      <c r="R1640" s="11"/>
      <c r="S1640" s="11"/>
      <c r="T1640" s="1"/>
      <c r="U1640" s="1"/>
      <c r="V1640" s="1"/>
      <c r="W1640" s="1"/>
      <c r="X1640" s="1"/>
      <c r="Y1640" s="1"/>
      <c r="Z1640" s="1"/>
    </row>
    <row r="1641" ht="18.0" hidden="1" customHeight="1" outlineLevel="2">
      <c r="A1641" s="26">
        <v>5.0</v>
      </c>
      <c r="B1641" s="26" t="s">
        <v>1918</v>
      </c>
      <c r="C1641" s="1"/>
      <c r="D1641" s="40" t="s">
        <v>965</v>
      </c>
      <c r="E1641" s="29" t="s">
        <v>55</v>
      </c>
      <c r="F1641" s="15"/>
      <c r="G1641" s="16"/>
      <c r="H1641" s="22" t="s">
        <v>1919</v>
      </c>
      <c r="I1641" s="7"/>
      <c r="J1641" s="7"/>
      <c r="K1641" s="17"/>
      <c r="L1641" s="17"/>
      <c r="M1641" s="1"/>
      <c r="N1641" s="1"/>
      <c r="O1641" s="1"/>
      <c r="P1641" s="11"/>
      <c r="Q1641" s="11"/>
      <c r="R1641" s="11"/>
      <c r="S1641" s="11"/>
      <c r="T1641" s="1"/>
      <c r="U1641" s="1"/>
      <c r="V1641" s="1"/>
      <c r="W1641" s="1"/>
      <c r="X1641" s="1"/>
      <c r="Y1641" s="1"/>
      <c r="Z1641" s="1"/>
    </row>
    <row r="1642" ht="18.0" hidden="1" customHeight="1" outlineLevel="2">
      <c r="A1642" s="26">
        <v>6.0</v>
      </c>
      <c r="B1642" s="1"/>
      <c r="C1642" s="1"/>
      <c r="D1642" s="38"/>
      <c r="E1642" s="14"/>
      <c r="F1642" s="15"/>
      <c r="G1642" s="16"/>
      <c r="H1642" s="11"/>
      <c r="I1642" s="7"/>
      <c r="J1642" s="7"/>
      <c r="K1642" s="17"/>
      <c r="L1642" s="17"/>
      <c r="M1642" s="1"/>
      <c r="N1642" s="1"/>
      <c r="O1642" s="1"/>
      <c r="P1642" s="11"/>
      <c r="Q1642" s="11"/>
      <c r="R1642" s="11"/>
      <c r="S1642" s="11"/>
      <c r="T1642" s="1"/>
      <c r="U1642" s="1"/>
      <c r="V1642" s="1"/>
      <c r="W1642" s="1"/>
      <c r="X1642" s="1"/>
      <c r="Y1642" s="1"/>
      <c r="Z1642" s="1"/>
    </row>
    <row r="1643" ht="18.0" hidden="1" customHeight="1" outlineLevel="2">
      <c r="A1643" s="26">
        <v>7.0</v>
      </c>
      <c r="B1643" s="26" t="s">
        <v>1243</v>
      </c>
      <c r="C1643" s="1"/>
      <c r="D1643" s="38"/>
      <c r="E1643" s="14"/>
      <c r="F1643" s="15"/>
      <c r="G1643" s="16"/>
      <c r="H1643" s="11"/>
      <c r="I1643" s="7"/>
      <c r="J1643" s="7"/>
      <c r="K1643" s="17"/>
      <c r="L1643" s="17"/>
      <c r="M1643" s="1"/>
      <c r="N1643" s="1"/>
      <c r="O1643" s="1"/>
      <c r="P1643" s="11"/>
      <c r="Q1643" s="11"/>
      <c r="R1643" s="11"/>
      <c r="S1643" s="11"/>
      <c r="T1643" s="1"/>
      <c r="U1643" s="1"/>
      <c r="V1643" s="1"/>
      <c r="W1643" s="1"/>
      <c r="X1643" s="1"/>
      <c r="Y1643" s="1"/>
      <c r="Z1643" s="1"/>
    </row>
    <row r="1644" ht="18.0" hidden="1" customHeight="1" outlineLevel="2">
      <c r="A1644" s="26">
        <v>8.0</v>
      </c>
      <c r="B1644" s="1"/>
      <c r="C1644" s="1"/>
      <c r="D1644" s="38"/>
      <c r="E1644" s="14"/>
      <c r="F1644" s="15"/>
      <c r="G1644" s="16"/>
      <c r="H1644" s="11"/>
      <c r="I1644" s="7"/>
      <c r="J1644" s="7"/>
      <c r="K1644" s="17"/>
      <c r="L1644" s="17"/>
      <c r="M1644" s="1"/>
      <c r="N1644" s="1"/>
      <c r="O1644" s="1"/>
      <c r="P1644" s="11"/>
      <c r="Q1644" s="11"/>
      <c r="R1644" s="11"/>
      <c r="S1644" s="11"/>
      <c r="T1644" s="1"/>
      <c r="U1644" s="1"/>
      <c r="V1644" s="1"/>
      <c r="W1644" s="1"/>
      <c r="X1644" s="1"/>
      <c r="Y1644" s="1"/>
      <c r="Z1644" s="1"/>
    </row>
    <row r="1645" ht="18.0" hidden="1" customHeight="1" outlineLevel="2">
      <c r="A1645" s="26">
        <v>9.0</v>
      </c>
      <c r="B1645" s="26" t="s">
        <v>39</v>
      </c>
      <c r="C1645" s="1"/>
      <c r="D1645" s="38"/>
      <c r="E1645" s="14"/>
      <c r="F1645" s="15"/>
      <c r="G1645" s="16"/>
      <c r="H1645" s="11"/>
      <c r="I1645" s="7"/>
      <c r="J1645" s="7"/>
      <c r="K1645" s="17"/>
      <c r="L1645" s="17"/>
      <c r="M1645" s="1"/>
      <c r="N1645" s="1"/>
      <c r="O1645" s="1"/>
      <c r="P1645" s="11"/>
      <c r="Q1645" s="11"/>
      <c r="R1645" s="11"/>
      <c r="S1645" s="11"/>
      <c r="T1645" s="1"/>
      <c r="U1645" s="1"/>
      <c r="V1645" s="1"/>
      <c r="W1645" s="1"/>
      <c r="X1645" s="1"/>
      <c r="Y1645" s="1"/>
      <c r="Z1645" s="1"/>
    </row>
    <row r="1646" ht="18.0" hidden="1" customHeight="1" outlineLevel="2">
      <c r="A1646" s="26">
        <v>10.0</v>
      </c>
      <c r="B1646" s="1"/>
      <c r="C1646" s="1"/>
      <c r="D1646" s="38"/>
      <c r="E1646" s="14"/>
      <c r="F1646" s="15"/>
      <c r="G1646" s="16"/>
      <c r="H1646" s="11"/>
      <c r="I1646" s="7"/>
      <c r="J1646" s="7"/>
      <c r="K1646" s="17"/>
      <c r="L1646" s="17"/>
      <c r="M1646" s="1"/>
      <c r="N1646" s="1"/>
      <c r="O1646" s="1"/>
      <c r="P1646" s="11"/>
      <c r="Q1646" s="11"/>
      <c r="R1646" s="11"/>
      <c r="S1646" s="11"/>
      <c r="T1646" s="1"/>
      <c r="U1646" s="1"/>
      <c r="V1646" s="1"/>
      <c r="W1646" s="1"/>
      <c r="X1646" s="1"/>
      <c r="Y1646" s="1"/>
      <c r="Z1646" s="1"/>
    </row>
    <row r="1647" ht="18.0" hidden="1" customHeight="1" outlineLevel="2">
      <c r="A1647" s="1"/>
      <c r="B1647" s="1"/>
      <c r="C1647" s="1"/>
      <c r="D1647" s="1"/>
      <c r="E1647" s="14"/>
      <c r="F1647" s="15"/>
      <c r="G1647" s="16"/>
      <c r="H1647" s="11"/>
      <c r="I1647" s="7"/>
      <c r="J1647" s="7"/>
      <c r="K1647" s="17"/>
      <c r="L1647" s="17"/>
      <c r="M1647" s="1"/>
      <c r="N1647" s="1"/>
      <c r="O1647" s="1"/>
      <c r="P1647" s="11"/>
      <c r="Q1647" s="11"/>
      <c r="R1647" s="11"/>
      <c r="S1647" s="11"/>
      <c r="T1647" s="1"/>
      <c r="U1647" s="1"/>
      <c r="V1647" s="1"/>
      <c r="W1647" s="1"/>
      <c r="X1647" s="1"/>
      <c r="Y1647" s="1"/>
      <c r="Z1647" s="1"/>
    </row>
    <row r="1648" ht="18.0" customHeight="1" outlineLevel="1" collapsed="1">
      <c r="A1648" s="1"/>
      <c r="B1648" s="1"/>
      <c r="C1648" s="1"/>
      <c r="D1648" s="1"/>
      <c r="E1648" s="14"/>
      <c r="F1648" s="15"/>
      <c r="G1648" s="16"/>
      <c r="H1648" s="11"/>
      <c r="I1648" s="7"/>
      <c r="J1648" s="7"/>
      <c r="K1648" s="17"/>
      <c r="L1648" s="17"/>
      <c r="M1648" s="1"/>
      <c r="N1648" s="1"/>
      <c r="O1648" s="1"/>
      <c r="P1648" s="11"/>
      <c r="Q1648" s="11"/>
      <c r="R1648" s="11"/>
      <c r="S1648" s="11"/>
      <c r="T1648" s="1"/>
      <c r="U1648" s="1"/>
      <c r="V1648" s="1"/>
      <c r="W1648" s="1"/>
      <c r="X1648" s="1"/>
      <c r="Y1648" s="1"/>
      <c r="Z1648" s="1"/>
    </row>
    <row r="1649" ht="18.0" customHeight="1" outlineLevel="1">
      <c r="A1649" s="1"/>
      <c r="B1649" s="1" t="s">
        <v>1920</v>
      </c>
      <c r="C1649" s="1"/>
      <c r="D1649" s="1"/>
      <c r="E1649" s="14"/>
      <c r="F1649" s="15"/>
      <c r="G1649" s="16"/>
      <c r="H1649" s="11"/>
      <c r="I1649" s="7"/>
      <c r="J1649" s="7" t="str">
        <f>IFERROR(LET(_xlpm.v,
VLOOKUP($I1649,'用語辞書'!$A:$B,COLUMN('用語辞書'!B$1),FALSE),
IF(_xlpm.v=0,"",_xlpm.v)
),"")</f>
        <v/>
      </c>
      <c r="K1649" s="17"/>
      <c r="L1649" s="17" t="str">
        <f>IF(OR(COUNTIF('クラス'!$A$1:$A$1267,$B1649)&gt;0,$B1649="",$M1649=""),"",True)</f>
        <v/>
      </c>
      <c r="M1649" s="1" t="str">
        <f>IF(COUNTIF($B$1:$C1635, $B1649), "", "存在しない")</f>
        <v>存在しない</v>
      </c>
      <c r="N1649" s="1" t="s">
        <v>29</v>
      </c>
      <c r="O1649" s="1"/>
      <c r="P1649" s="11"/>
      <c r="Q1649" s="11"/>
      <c r="R1649" s="11"/>
      <c r="S1649" s="11"/>
      <c r="T1649" s="1"/>
      <c r="U1649" s="1"/>
      <c r="V1649" s="1"/>
      <c r="W1649" s="1"/>
      <c r="X1649" s="1"/>
      <c r="Y1649" s="1"/>
      <c r="Z1649" s="1"/>
    </row>
    <row r="1650" ht="18.0" hidden="1" customHeight="1" outlineLevel="2">
      <c r="A1650" s="1">
        <v>1.0</v>
      </c>
      <c r="B1650" s="1" t="s">
        <v>37</v>
      </c>
      <c r="C1650" s="1"/>
      <c r="D1650" s="1"/>
      <c r="E1650" s="14" t="s">
        <v>33</v>
      </c>
      <c r="F1650" s="15"/>
      <c r="G1650" s="16"/>
      <c r="H1650" s="11"/>
      <c r="I1650" s="7"/>
      <c r="J1650" s="7" t="str">
        <f>IFERROR(LET(_xlpm.v,
VLOOKUP($I1650,'用語辞書'!$A:$B,COLUMN('用語辞書'!B$1),FALSE),
IF(_xlpm.v=0,"",_xlpm.v)
),"")</f>
        <v/>
      </c>
      <c r="K1650" s="17"/>
      <c r="L1650" s="17" t="str">
        <f>IF(OR(COUNTIF('クラス'!$A$1:$A$1267,$B1650)&gt;0,$B1650="",$M1650=""),"",True)</f>
        <v/>
      </c>
      <c r="M1650" s="1" t="str">
        <f t="shared" ref="M1650:M2303" si="27">IF(COUNTIF($B$1:$C1649, $B1650), "", "存在しない")</f>
        <v/>
      </c>
      <c r="N1650" s="1" t="s">
        <v>29</v>
      </c>
      <c r="O1650" s="1"/>
      <c r="P1650" s="11"/>
      <c r="Q1650" s="11"/>
      <c r="R1650" s="11"/>
      <c r="S1650" s="11"/>
      <c r="T1650" s="1"/>
      <c r="U1650" s="1"/>
      <c r="V1650" s="1"/>
      <c r="W1650" s="1"/>
      <c r="X1650" s="1"/>
      <c r="Y1650" s="1"/>
      <c r="Z1650" s="1"/>
    </row>
    <row r="1651" ht="18.0" hidden="1" customHeight="1" outlineLevel="2">
      <c r="A1651" s="1">
        <v>2.0</v>
      </c>
      <c r="B1651" s="1"/>
      <c r="C1651" s="1"/>
      <c r="D1651" s="1"/>
      <c r="E1651" s="14"/>
      <c r="F1651" s="15"/>
      <c r="G1651" s="16"/>
      <c r="H1651" s="11"/>
      <c r="I1651" s="7"/>
      <c r="J1651" s="7" t="str">
        <f>IFERROR(LET(_xlpm.v,
VLOOKUP($I1651,'用語辞書'!$A:$B,COLUMN('用語辞書'!B$1),FALSE),
IF(_xlpm.v=0,"",_xlpm.v)
),"")</f>
        <v/>
      </c>
      <c r="K1651" s="17"/>
      <c r="L1651" s="17" t="str">
        <f>IF(OR(COUNTIF('クラス'!$A$1:$A$1267,$B1651)&gt;0,$B1651="",$M1651=""),"",True)</f>
        <v/>
      </c>
      <c r="M1651" s="1" t="str">
        <f t="shared" si="27"/>
        <v>存在しない</v>
      </c>
      <c r="N1651" s="1" t="s">
        <v>29</v>
      </c>
      <c r="O1651" s="1"/>
      <c r="P1651" s="11"/>
      <c r="Q1651" s="11"/>
      <c r="R1651" s="11"/>
      <c r="S1651" s="11"/>
      <c r="T1651" s="1"/>
      <c r="U1651" s="1"/>
      <c r="V1651" s="1"/>
      <c r="W1651" s="1"/>
      <c r="X1651" s="1"/>
      <c r="Y1651" s="1"/>
      <c r="Z1651" s="1"/>
    </row>
    <row r="1652" ht="18.0" hidden="1" customHeight="1" outlineLevel="2">
      <c r="A1652" s="1">
        <v>3.0</v>
      </c>
      <c r="B1652" s="1" t="s">
        <v>45</v>
      </c>
      <c r="C1652" s="1"/>
      <c r="D1652" s="1"/>
      <c r="E1652" s="14" t="s">
        <v>33</v>
      </c>
      <c r="F1652" s="15"/>
      <c r="G1652" s="16"/>
      <c r="H1652" s="11"/>
      <c r="I1652" s="7"/>
      <c r="J1652" s="7" t="str">
        <f>IFERROR(LET(_xlpm.v,
VLOOKUP($I1652,'用語辞書'!$A:$B,COLUMN('用語辞書'!B$1),FALSE),
IF(_xlpm.v=0,"",_xlpm.v)
),"")</f>
        <v/>
      </c>
      <c r="K1652" s="17"/>
      <c r="L1652" s="17" t="str">
        <f>IF(OR(COUNTIF('クラス'!$A$1:$A$1267,$B1652)&gt;0,$B1652="",$M1652=""),"",True)</f>
        <v/>
      </c>
      <c r="M1652" s="1" t="str">
        <f t="shared" si="27"/>
        <v/>
      </c>
      <c r="N1652" s="1" t="s">
        <v>29</v>
      </c>
      <c r="O1652" s="1"/>
      <c r="P1652" s="11"/>
      <c r="Q1652" s="11"/>
      <c r="R1652" s="11"/>
      <c r="S1652" s="11"/>
      <c r="T1652" s="1"/>
      <c r="U1652" s="1"/>
      <c r="V1652" s="1"/>
      <c r="W1652" s="1"/>
      <c r="X1652" s="1"/>
      <c r="Y1652" s="1"/>
      <c r="Z1652" s="1"/>
    </row>
    <row r="1653" ht="18.0" hidden="1" customHeight="1" outlineLevel="2">
      <c r="A1653" s="1">
        <v>4.0</v>
      </c>
      <c r="B1653" s="1"/>
      <c r="C1653" s="1"/>
      <c r="D1653" s="1"/>
      <c r="E1653" s="14"/>
      <c r="F1653" s="15"/>
      <c r="G1653" s="16"/>
      <c r="H1653" s="11"/>
      <c r="I1653" s="7"/>
      <c r="J1653" s="7" t="str">
        <f>IFERROR(LET(_xlpm.v,
VLOOKUP($I1653,'用語辞書'!$A:$B,COLUMN('用語辞書'!B$1),FALSE),
IF(_xlpm.v=0,"",_xlpm.v)
),"")</f>
        <v/>
      </c>
      <c r="K1653" s="17"/>
      <c r="L1653" s="17" t="str">
        <f>IF(OR(COUNTIF('クラス'!$A$1:$A$1267,$B1653)&gt;0,$B1653="",$M1653=""),"",True)</f>
        <v/>
      </c>
      <c r="M1653" s="1" t="str">
        <f t="shared" si="27"/>
        <v>存在しない</v>
      </c>
      <c r="N1653" s="1" t="s">
        <v>29</v>
      </c>
      <c r="O1653" s="1"/>
      <c r="P1653" s="11"/>
      <c r="Q1653" s="11"/>
      <c r="R1653" s="11"/>
      <c r="S1653" s="11"/>
      <c r="T1653" s="1"/>
      <c r="U1653" s="1"/>
      <c r="V1653" s="1"/>
      <c r="W1653" s="1"/>
      <c r="X1653" s="1"/>
      <c r="Y1653" s="1"/>
      <c r="Z1653" s="1"/>
    </row>
    <row r="1654" ht="18.0" hidden="1" customHeight="1" outlineLevel="2">
      <c r="A1654" s="1">
        <v>5.0</v>
      </c>
      <c r="B1654" s="1" t="s">
        <v>1921</v>
      </c>
      <c r="C1654" s="1"/>
      <c r="D1654" s="1"/>
      <c r="E1654" s="14" t="s">
        <v>55</v>
      </c>
      <c r="F1654" s="15"/>
      <c r="G1654" s="16"/>
      <c r="H1654" s="11" t="s">
        <v>1922</v>
      </c>
      <c r="I1654" s="7"/>
      <c r="J1654" s="7" t="str">
        <f>IFERROR(LET(_xlpm.v,
VLOOKUP($I1654,'用語辞書'!$A:$B,COLUMN('用語辞書'!B$1),FALSE),
IF(_xlpm.v=0,"",_xlpm.v)
),"")</f>
        <v/>
      </c>
      <c r="K1654" s="17"/>
      <c r="L1654" s="17" t="b">
        <f>IF(OR(COUNTIF('クラス'!$A$1:$A$1267,$B1654)&gt;0,$B1654="",$M1654=""),"",True)</f>
        <v>1</v>
      </c>
      <c r="M1654" s="1" t="str">
        <f t="shared" si="27"/>
        <v>存在しない</v>
      </c>
      <c r="N1654" s="1" t="e">
        <v>#VALUE!</v>
      </c>
      <c r="O1654" s="1"/>
      <c r="P1654" s="11"/>
      <c r="Q1654" s="11"/>
      <c r="R1654" s="11"/>
      <c r="S1654" s="11"/>
      <c r="T1654" s="1"/>
      <c r="U1654" s="1"/>
      <c r="V1654" s="1"/>
      <c r="W1654" s="1"/>
      <c r="X1654" s="1"/>
      <c r="Y1654" s="1"/>
      <c r="Z1654" s="1"/>
    </row>
    <row r="1655" ht="18.0" hidden="1" customHeight="1" outlineLevel="2">
      <c r="A1655" s="1">
        <v>6.0</v>
      </c>
      <c r="B1655" s="1" t="s">
        <v>1915</v>
      </c>
      <c r="C1655" s="1"/>
      <c r="D1655" s="1"/>
      <c r="E1655" s="14" t="s">
        <v>33</v>
      </c>
      <c r="F1655" s="15"/>
      <c r="G1655" s="16">
        <v>20.0</v>
      </c>
      <c r="H1655" s="11" t="s">
        <v>1923</v>
      </c>
      <c r="I1655" s="7"/>
      <c r="J1655" s="7" t="str">
        <f>IFERROR(LET(_xlpm.v,
VLOOKUP($I1655,'用語辞書'!$A:$B,COLUMN('用語辞書'!B$1),FALSE),
IF(_xlpm.v=0,"",_xlpm.v)
),"")</f>
        <v/>
      </c>
      <c r="K1655" s="17"/>
      <c r="L1655" s="17" t="str">
        <f>IF(OR(COUNTIF('クラス'!$A$1:$A$1267,$B1655)&gt;0,$B1655="",$M1655=""),"",True)</f>
        <v/>
      </c>
      <c r="M1655" s="1" t="str">
        <f t="shared" si="27"/>
        <v/>
      </c>
      <c r="N1655" s="1" t="s">
        <v>29</v>
      </c>
      <c r="O1655" s="1"/>
      <c r="P1655" s="11"/>
      <c r="Q1655" s="11"/>
      <c r="R1655" s="11"/>
      <c r="S1655" s="11"/>
      <c r="T1655" s="1"/>
      <c r="U1655" s="1"/>
      <c r="V1655" s="1"/>
      <c r="W1655" s="1"/>
      <c r="X1655" s="1"/>
      <c r="Y1655" s="1"/>
      <c r="Z1655" s="1"/>
    </row>
    <row r="1656" ht="18.0" hidden="1" customHeight="1" outlineLevel="2">
      <c r="A1656" s="1">
        <v>7.0</v>
      </c>
      <c r="B1656" s="1"/>
      <c r="C1656" s="1"/>
      <c r="D1656" s="1"/>
      <c r="E1656" s="14"/>
      <c r="F1656" s="15"/>
      <c r="G1656" s="16"/>
      <c r="H1656" s="11"/>
      <c r="I1656" s="7"/>
      <c r="J1656" s="7" t="str">
        <f>IFERROR(LET(_xlpm.v,
VLOOKUP($I1656,'用語辞書'!$A:$B,COLUMN('用語辞書'!B$1),FALSE),
IF(_xlpm.v=0,"",_xlpm.v)
),"")</f>
        <v/>
      </c>
      <c r="K1656" s="17"/>
      <c r="L1656" s="17" t="str">
        <f>IF(OR(COUNTIF('クラス'!$A$1:$A$1267,$B1656)&gt;0,$B1656="",$M1656=""),"",True)</f>
        <v/>
      </c>
      <c r="M1656" s="1" t="str">
        <f t="shared" si="27"/>
        <v>存在しない</v>
      </c>
      <c r="N1656" s="1" t="s">
        <v>29</v>
      </c>
      <c r="O1656" s="1"/>
      <c r="P1656" s="11"/>
      <c r="Q1656" s="11"/>
      <c r="R1656" s="11"/>
      <c r="S1656" s="11"/>
      <c r="T1656" s="1"/>
      <c r="U1656" s="1"/>
      <c r="V1656" s="1"/>
      <c r="W1656" s="1"/>
      <c r="X1656" s="1"/>
      <c r="Y1656" s="1"/>
      <c r="Z1656" s="1"/>
    </row>
    <row r="1657" ht="18.0" hidden="1" customHeight="1" outlineLevel="2">
      <c r="A1657" s="1">
        <v>8.0</v>
      </c>
      <c r="B1657" s="1" t="s">
        <v>1924</v>
      </c>
      <c r="C1657" s="1"/>
      <c r="D1657" s="1"/>
      <c r="E1657" s="14" t="s">
        <v>33</v>
      </c>
      <c r="F1657" s="15"/>
      <c r="G1657" s="16"/>
      <c r="H1657" s="11" t="s">
        <v>1925</v>
      </c>
      <c r="I1657" s="7"/>
      <c r="J1657" s="7" t="str">
        <f>IFERROR(LET(_xlpm.v,
VLOOKUP($I1657,'用語辞書'!$A:$B,COLUMN('用語辞書'!B$1),FALSE),
IF(_xlpm.v=0,"",_xlpm.v)
),"")</f>
        <v/>
      </c>
      <c r="K1657" s="17"/>
      <c r="L1657" s="17" t="b">
        <f>IF(OR(COUNTIF('クラス'!$A$1:$A$1267,$B1657)&gt;0,$B1657="",$M1657=""),"",True)</f>
        <v>1</v>
      </c>
      <c r="M1657" s="1" t="str">
        <f t="shared" si="27"/>
        <v>存在しない</v>
      </c>
      <c r="N1657" s="1" t="e">
        <v>#VALUE!</v>
      </c>
      <c r="O1657" s="1"/>
      <c r="P1657" s="11"/>
      <c r="Q1657" s="11"/>
      <c r="R1657" s="11"/>
      <c r="S1657" s="11"/>
      <c r="T1657" s="1"/>
      <c r="U1657" s="1"/>
      <c r="V1657" s="1"/>
      <c r="W1657" s="1"/>
      <c r="X1657" s="1"/>
      <c r="Y1657" s="1"/>
      <c r="Z1657" s="1"/>
    </row>
    <row r="1658" ht="18.0" hidden="1" customHeight="1" outlineLevel="2">
      <c r="A1658" s="1">
        <v>9.0</v>
      </c>
      <c r="B1658" s="1" t="s">
        <v>1917</v>
      </c>
      <c r="C1658" s="1"/>
      <c r="D1658" s="1"/>
      <c r="E1658" s="14" t="s">
        <v>55</v>
      </c>
      <c r="F1658" s="15"/>
      <c r="G1658" s="16"/>
      <c r="H1658" s="11" t="s">
        <v>1926</v>
      </c>
      <c r="I1658" s="7"/>
      <c r="J1658" s="7" t="str">
        <f>IFERROR(LET(_xlpm.v,
VLOOKUP($I1658,'用語辞書'!$A:$B,COLUMN('用語辞書'!B$1),FALSE),
IF(_xlpm.v=0,"",_xlpm.v)
),"")</f>
        <v/>
      </c>
      <c r="K1658" s="17"/>
      <c r="L1658" s="17" t="str">
        <f>IF(OR(COUNTIF('クラス'!$A$1:$A$1267,$B1658)&gt;0,$B1658="",$M1658=""),"",True)</f>
        <v/>
      </c>
      <c r="M1658" s="1" t="str">
        <f t="shared" si="27"/>
        <v/>
      </c>
      <c r="N1658" s="1" t="e">
        <v>#VALUE!</v>
      </c>
      <c r="O1658" s="1"/>
      <c r="P1658" s="11"/>
      <c r="Q1658" s="11"/>
      <c r="R1658" s="11"/>
      <c r="S1658" s="11"/>
      <c r="T1658" s="1"/>
      <c r="U1658" s="1"/>
      <c r="V1658" s="1"/>
      <c r="W1658" s="1"/>
      <c r="X1658" s="1"/>
      <c r="Y1658" s="1"/>
      <c r="Z1658" s="1"/>
    </row>
    <row r="1659" ht="18.0" hidden="1" customHeight="1" outlineLevel="2">
      <c r="A1659" s="1">
        <v>10.0</v>
      </c>
      <c r="B1659" s="1"/>
      <c r="C1659" s="1"/>
      <c r="D1659" s="1"/>
      <c r="E1659" s="14" t="s">
        <v>33</v>
      </c>
      <c r="F1659" s="15"/>
      <c r="G1659" s="16">
        <v>20.0</v>
      </c>
      <c r="H1659" s="11"/>
      <c r="I1659" s="7"/>
      <c r="J1659" s="7" t="str">
        <f>IFERROR(LET(_xlpm.v,
VLOOKUP($I1659,'用語辞書'!$A:$B,COLUMN('用語辞書'!B$1),FALSE),
IF(_xlpm.v=0,"",_xlpm.v)
),"")</f>
        <v/>
      </c>
      <c r="K1659" s="17"/>
      <c r="L1659" s="17" t="str">
        <f>IF(OR(COUNTIF('クラス'!$A$1:$A$1267,$B1659)&gt;0,$B1659="",$M1659=""),"",True)</f>
        <v/>
      </c>
      <c r="M1659" s="1" t="str">
        <f t="shared" si="27"/>
        <v>存在しない</v>
      </c>
      <c r="N1659" s="1" t="s">
        <v>29</v>
      </c>
      <c r="O1659" s="1"/>
      <c r="P1659" s="11"/>
      <c r="Q1659" s="11"/>
      <c r="R1659" s="11"/>
      <c r="S1659" s="11"/>
      <c r="T1659" s="1"/>
      <c r="U1659" s="1"/>
      <c r="V1659" s="1"/>
      <c r="W1659" s="1"/>
      <c r="X1659" s="1"/>
      <c r="Y1659" s="1"/>
      <c r="Z1659" s="1"/>
    </row>
    <row r="1660" ht="18.0" customHeight="1" outlineLevel="1" collapsed="1">
      <c r="A1660" s="1"/>
      <c r="B1660" s="1"/>
      <c r="C1660" s="1"/>
      <c r="D1660" s="1"/>
      <c r="E1660" s="14"/>
      <c r="F1660" s="15"/>
      <c r="G1660" s="16"/>
      <c r="H1660" s="11"/>
      <c r="I1660" s="7"/>
      <c r="J1660" s="7" t="str">
        <f>IFERROR(LET(_xlpm.v,
VLOOKUP($I1660,'用語辞書'!$A:$B,COLUMN('用語辞書'!B$1),FALSE),
IF(_xlpm.v=0,"",_xlpm.v)
),"")</f>
        <v/>
      </c>
      <c r="K1660" s="17"/>
      <c r="L1660" s="17" t="str">
        <f>IF(OR(COUNTIF('クラス'!$A$1:$A$1267,$B1660)&gt;0,$B1660="",$M1660=""),"",True)</f>
        <v/>
      </c>
      <c r="M1660" s="1" t="str">
        <f t="shared" si="27"/>
        <v>存在しない</v>
      </c>
      <c r="N1660" s="1" t="s">
        <v>29</v>
      </c>
      <c r="O1660" s="1"/>
      <c r="P1660" s="11"/>
      <c r="Q1660" s="11"/>
      <c r="R1660" s="11"/>
      <c r="S1660" s="11"/>
      <c r="T1660" s="1"/>
      <c r="U1660" s="1"/>
      <c r="V1660" s="1"/>
      <c r="W1660" s="1"/>
      <c r="X1660" s="1"/>
      <c r="Y1660" s="1"/>
      <c r="Z1660" s="1"/>
    </row>
    <row r="1661" ht="18.0" customHeight="1" collapsed="1">
      <c r="A1661" s="1"/>
      <c r="B1661" s="1"/>
      <c r="C1661" s="26" t="s">
        <v>1927</v>
      </c>
      <c r="D1661" s="1"/>
      <c r="E1661" s="14"/>
      <c r="F1661" s="15"/>
      <c r="G1661" s="16"/>
      <c r="H1661" s="11"/>
      <c r="I1661" s="7"/>
      <c r="J1661" s="7" t="str">
        <f>IFERROR(LET(_xlpm.v,
VLOOKUP($I1661,'用語辞書'!$A:$B,COLUMN('用語辞書'!B$1),FALSE),
IF(_xlpm.v=0,"",_xlpm.v)
),"")</f>
        <v/>
      </c>
      <c r="K1661" s="17"/>
      <c r="L1661" s="17" t="str">
        <f>IF(OR(COUNTIF('クラス'!$A$1:$A$1267,$B1661)&gt;0,$B1661="",$M1661=""),"",True)</f>
        <v/>
      </c>
      <c r="M1661" s="1" t="str">
        <f t="shared" si="27"/>
        <v>存在しない</v>
      </c>
      <c r="N1661" s="1" t="s">
        <v>29</v>
      </c>
      <c r="O1661" s="1"/>
      <c r="P1661" s="11"/>
      <c r="Q1661" s="11"/>
      <c r="R1661" s="11"/>
      <c r="S1661" s="11"/>
      <c r="T1661" s="1"/>
      <c r="U1661" s="1"/>
      <c r="V1661" s="1"/>
      <c r="W1661" s="1"/>
      <c r="X1661" s="1"/>
      <c r="Y1661" s="1"/>
      <c r="Z1661" s="1"/>
    </row>
    <row r="1662" ht="18.0" customHeight="1" outlineLevel="1">
      <c r="A1662" s="1"/>
      <c r="B1662" s="26" t="s">
        <v>1928</v>
      </c>
      <c r="C1662" s="1"/>
      <c r="D1662" s="1"/>
      <c r="E1662" s="14"/>
      <c r="F1662" s="15"/>
      <c r="G1662" s="16"/>
      <c r="H1662" s="11"/>
      <c r="I1662" s="7"/>
      <c r="J1662" s="7" t="str">
        <f>IFERROR(LET(_xlpm.v,
VLOOKUP($I1662,'用語辞書'!$A:$B,COLUMN('用語辞書'!B$1),FALSE),
IF(_xlpm.v=0,"",_xlpm.v)
),"")</f>
        <v/>
      </c>
      <c r="K1662" s="17"/>
      <c r="L1662" s="17" t="str">
        <f>IF(OR(COUNTIF('クラス'!$A$1:$A$1267,$B1662)&gt;0,$B1662="",$M1662=""),"",True)</f>
        <v/>
      </c>
      <c r="M1662" s="1" t="str">
        <f t="shared" si="27"/>
        <v>存在しない</v>
      </c>
      <c r="N1662" s="1" t="s">
        <v>29</v>
      </c>
      <c r="O1662" s="1"/>
      <c r="P1662" s="11"/>
      <c r="Q1662" s="11"/>
      <c r="R1662" s="11"/>
      <c r="S1662" s="11"/>
      <c r="T1662" s="1"/>
      <c r="U1662" s="1"/>
      <c r="V1662" s="1"/>
      <c r="W1662" s="1"/>
      <c r="X1662" s="1"/>
      <c r="Y1662" s="1"/>
      <c r="Z1662" s="1"/>
    </row>
    <row r="1663" ht="18.0" hidden="1" customHeight="1" outlineLevel="2">
      <c r="A1663" s="1">
        <v>1.0</v>
      </c>
      <c r="B1663" s="26" t="s">
        <v>1929</v>
      </c>
      <c r="C1663" s="1"/>
      <c r="D1663" s="1"/>
      <c r="E1663" s="29" t="s">
        <v>33</v>
      </c>
      <c r="F1663" s="15"/>
      <c r="G1663" s="30">
        <v>40.0</v>
      </c>
      <c r="H1663" s="22" t="s">
        <v>1523</v>
      </c>
      <c r="I1663" s="7"/>
      <c r="J1663" s="7" t="str">
        <f>IFERROR(LET(_xlpm.v,
VLOOKUP($I1663,'用語辞書'!$A:$B,COLUMN('用語辞書'!B$1),FALSE),
IF(_xlpm.v=0,"",_xlpm.v)
),"")</f>
        <v/>
      </c>
      <c r="K1663" s="17"/>
      <c r="L1663" s="17" t="b">
        <f>IF(OR(COUNTIF('クラス'!$A$1:$A$1267,$B1663)&gt;0,$B1663="",$M1663=""),"",True)</f>
        <v>1</v>
      </c>
      <c r="M1663" s="1" t="str">
        <f t="shared" si="27"/>
        <v>存在しない</v>
      </c>
      <c r="N1663" s="1" t="s">
        <v>29</v>
      </c>
      <c r="O1663" s="1"/>
      <c r="P1663" s="11"/>
      <c r="Q1663" s="11"/>
      <c r="R1663" s="11"/>
      <c r="S1663" s="11"/>
      <c r="T1663" s="1"/>
      <c r="U1663" s="1"/>
      <c r="V1663" s="1"/>
      <c r="W1663" s="1"/>
      <c r="X1663" s="1"/>
      <c r="Y1663" s="1"/>
      <c r="Z1663" s="1"/>
    </row>
    <row r="1664" ht="18.0" hidden="1" customHeight="1" outlineLevel="2">
      <c r="A1664" s="1">
        <v>2.0</v>
      </c>
      <c r="B1664" s="26" t="s">
        <v>1930</v>
      </c>
      <c r="C1664" s="1"/>
      <c r="D1664" s="1"/>
      <c r="E1664" s="29" t="s">
        <v>33</v>
      </c>
      <c r="F1664" s="15"/>
      <c r="G1664" s="30">
        <v>50.0</v>
      </c>
      <c r="H1664" s="22" t="s">
        <v>1931</v>
      </c>
      <c r="I1664" s="7"/>
      <c r="J1664" s="7" t="str">
        <f>IFERROR(LET(_xlpm.v,
VLOOKUP($I1664,'用語辞書'!$A:$B,COLUMN('用語辞書'!B$1),FALSE),
IF(_xlpm.v=0,"",_xlpm.v)
),"")</f>
        <v/>
      </c>
      <c r="K1664" s="17"/>
      <c r="L1664" s="17" t="b">
        <f>IF(OR(COUNTIF('クラス'!$A$1:$A$1267,$B1664)&gt;0,$B1664="",$M1664=""),"",True)</f>
        <v>1</v>
      </c>
      <c r="M1664" s="1" t="str">
        <f t="shared" si="27"/>
        <v>存在しない</v>
      </c>
      <c r="N1664" s="1" t="s">
        <v>29</v>
      </c>
      <c r="O1664" s="1"/>
      <c r="P1664" s="11"/>
      <c r="Q1664" s="11"/>
      <c r="R1664" s="11"/>
      <c r="S1664" s="11"/>
      <c r="T1664" s="1"/>
      <c r="U1664" s="1"/>
      <c r="V1664" s="1"/>
      <c r="W1664" s="1"/>
      <c r="X1664" s="1"/>
      <c r="Y1664" s="1"/>
      <c r="Z1664" s="1"/>
    </row>
    <row r="1665" ht="18.0" hidden="1" customHeight="1" outlineLevel="2">
      <c r="A1665" s="1">
        <v>3.0</v>
      </c>
      <c r="B1665" s="26" t="s">
        <v>1932</v>
      </c>
      <c r="C1665" s="1"/>
      <c r="D1665" s="1"/>
      <c r="E1665" s="29" t="s">
        <v>55</v>
      </c>
      <c r="F1665" s="15"/>
      <c r="G1665" s="16"/>
      <c r="H1665" s="22" t="s">
        <v>1346</v>
      </c>
      <c r="I1665" s="7"/>
      <c r="J1665" s="7" t="str">
        <f>IFERROR(LET(_xlpm.v,
VLOOKUP($I1665,'用語辞書'!$A:$B,COLUMN('用語辞書'!B$1),FALSE),
IF(_xlpm.v=0,"",_xlpm.v)
),"")</f>
        <v/>
      </c>
      <c r="K1665" s="17"/>
      <c r="L1665" s="17" t="b">
        <f>IF(OR(COUNTIF('クラス'!$A$1:$A$1267,$B1665)&gt;0,$B1665="",$M1665=""),"",True)</f>
        <v>1</v>
      </c>
      <c r="M1665" s="1" t="str">
        <f t="shared" si="27"/>
        <v>存在しない</v>
      </c>
      <c r="N1665" s="1" t="s">
        <v>29</v>
      </c>
      <c r="O1665" s="1"/>
      <c r="P1665" s="11"/>
      <c r="Q1665" s="11"/>
      <c r="R1665" s="11"/>
      <c r="S1665" s="11"/>
      <c r="T1665" s="1"/>
      <c r="U1665" s="1"/>
      <c r="V1665" s="1"/>
      <c r="W1665" s="1"/>
      <c r="X1665" s="1"/>
      <c r="Y1665" s="1"/>
      <c r="Z1665" s="1"/>
    </row>
    <row r="1666" ht="18.0" hidden="1" customHeight="1" outlineLevel="2">
      <c r="A1666" s="1">
        <v>4.0</v>
      </c>
      <c r="B1666" s="1"/>
      <c r="C1666" s="1"/>
      <c r="D1666" s="1"/>
      <c r="E1666" s="14"/>
      <c r="F1666" s="15"/>
      <c r="G1666" s="16"/>
      <c r="H1666" s="11"/>
      <c r="I1666" s="7"/>
      <c r="J1666" s="7" t="str">
        <f>IFERROR(LET(_xlpm.v,
VLOOKUP($I1666,'用語辞書'!$A:$B,COLUMN('用語辞書'!B$1),FALSE),
IF(_xlpm.v=0,"",_xlpm.v)
),"")</f>
        <v/>
      </c>
      <c r="K1666" s="17"/>
      <c r="L1666" s="17" t="str">
        <f>IF(OR(COUNTIF('クラス'!$A$1:$A$1267,$B1666)&gt;0,$B1666="",$M1666=""),"",True)</f>
        <v/>
      </c>
      <c r="M1666" s="1" t="str">
        <f t="shared" si="27"/>
        <v>存在しない</v>
      </c>
      <c r="N1666" s="1" t="s">
        <v>29</v>
      </c>
      <c r="O1666" s="1"/>
      <c r="P1666" s="11"/>
      <c r="Q1666" s="11"/>
      <c r="R1666" s="11"/>
      <c r="S1666" s="11"/>
      <c r="T1666" s="1"/>
      <c r="U1666" s="1"/>
      <c r="V1666" s="1"/>
      <c r="W1666" s="1"/>
      <c r="X1666" s="1"/>
      <c r="Y1666" s="1"/>
      <c r="Z1666" s="1"/>
    </row>
    <row r="1667" ht="18.0" hidden="1" customHeight="1" outlineLevel="2">
      <c r="A1667" s="1">
        <v>5.0</v>
      </c>
      <c r="B1667" s="26" t="s">
        <v>1933</v>
      </c>
      <c r="C1667" s="1"/>
      <c r="D1667" s="1"/>
      <c r="E1667" s="29" t="s">
        <v>33</v>
      </c>
      <c r="F1667" s="15"/>
      <c r="G1667" s="30">
        <v>50.0</v>
      </c>
      <c r="H1667" s="22" t="s">
        <v>1934</v>
      </c>
      <c r="I1667" s="7"/>
      <c r="J1667" s="7" t="str">
        <f>IFERROR(LET(_xlpm.v,
VLOOKUP($I1667,'用語辞書'!$A:$B,COLUMN('用語辞書'!B$1),FALSE),
IF(_xlpm.v=0,"",_xlpm.v)
),"")</f>
        <v/>
      </c>
      <c r="K1667" s="17"/>
      <c r="L1667" s="17" t="b">
        <f>IF(OR(COUNTIF('クラス'!$A$1:$A$1267,$B1667)&gt;0,$B1667="",$M1667=""),"",True)</f>
        <v>1</v>
      </c>
      <c r="M1667" s="1" t="str">
        <f t="shared" si="27"/>
        <v>存在しない</v>
      </c>
      <c r="N1667" s="1" t="s">
        <v>29</v>
      </c>
      <c r="O1667" s="1"/>
      <c r="P1667" s="11"/>
      <c r="Q1667" s="11"/>
      <c r="R1667" s="11"/>
      <c r="S1667" s="11"/>
      <c r="T1667" s="1"/>
      <c r="U1667" s="1"/>
      <c r="V1667" s="1"/>
      <c r="W1667" s="1"/>
      <c r="X1667" s="1"/>
      <c r="Y1667" s="1"/>
      <c r="Z1667" s="1"/>
    </row>
    <row r="1668" ht="18.0" hidden="1" customHeight="1" outlineLevel="2">
      <c r="A1668" s="1">
        <v>6.0</v>
      </c>
      <c r="B1668" s="1"/>
      <c r="C1668" s="1"/>
      <c r="D1668" s="1"/>
      <c r="E1668" s="14"/>
      <c r="F1668" s="15"/>
      <c r="G1668" s="16"/>
      <c r="H1668" s="11"/>
      <c r="I1668" s="7"/>
      <c r="J1668" s="7" t="str">
        <f>IFERROR(LET(_xlpm.v,
VLOOKUP($I1668,'用語辞書'!$A:$B,COLUMN('用語辞書'!B$1),FALSE),
IF(_xlpm.v=0,"",_xlpm.v)
),"")</f>
        <v/>
      </c>
      <c r="K1668" s="17"/>
      <c r="L1668" s="17" t="str">
        <f>IF(OR(COUNTIF('クラス'!$A$1:$A$1267,$B1668)&gt;0,$B1668="",$M1668=""),"",True)</f>
        <v/>
      </c>
      <c r="M1668" s="1" t="str">
        <f t="shared" si="27"/>
        <v>存在しない</v>
      </c>
      <c r="N1668" s="1" t="s">
        <v>29</v>
      </c>
      <c r="O1668" s="1"/>
      <c r="P1668" s="11"/>
      <c r="Q1668" s="11"/>
      <c r="R1668" s="11"/>
      <c r="S1668" s="11"/>
      <c r="T1668" s="1"/>
      <c r="U1668" s="1"/>
      <c r="V1668" s="1"/>
      <c r="W1668" s="1"/>
      <c r="X1668" s="1"/>
      <c r="Y1668" s="1"/>
      <c r="Z1668" s="1"/>
    </row>
    <row r="1669" ht="18.0" hidden="1" customHeight="1" outlineLevel="2">
      <c r="A1669" s="1">
        <v>7.0</v>
      </c>
      <c r="B1669" s="26" t="s">
        <v>1935</v>
      </c>
      <c r="C1669" s="1"/>
      <c r="D1669" s="1"/>
      <c r="E1669" s="29" t="s">
        <v>33</v>
      </c>
      <c r="F1669" s="15"/>
      <c r="G1669" s="30">
        <v>30.0</v>
      </c>
      <c r="H1669" s="22" t="s">
        <v>1936</v>
      </c>
      <c r="I1669" s="7"/>
      <c r="J1669" s="7" t="str">
        <f>IFERROR(LET(_xlpm.v,
VLOOKUP($I1669,'用語辞書'!$A:$B,COLUMN('用語辞書'!B$1),FALSE),
IF(_xlpm.v=0,"",_xlpm.v)
),"")</f>
        <v/>
      </c>
      <c r="K1669" s="17"/>
      <c r="L1669" s="17" t="b">
        <f>IF(OR(COUNTIF('クラス'!$A$1:$A$1267,$B1669)&gt;0,$B1669="",$M1669=""),"",True)</f>
        <v>1</v>
      </c>
      <c r="M1669" s="1" t="str">
        <f t="shared" si="27"/>
        <v>存在しない</v>
      </c>
      <c r="N1669" s="1" t="s">
        <v>29</v>
      </c>
      <c r="O1669" s="1"/>
      <c r="P1669" s="11"/>
      <c r="Q1669" s="11"/>
      <c r="R1669" s="11"/>
      <c r="S1669" s="11"/>
      <c r="T1669" s="1"/>
      <c r="U1669" s="1"/>
      <c r="V1669" s="1"/>
      <c r="W1669" s="1"/>
      <c r="X1669" s="1"/>
      <c r="Y1669" s="1"/>
      <c r="Z1669" s="1"/>
    </row>
    <row r="1670" ht="18.0" hidden="1" customHeight="1" outlineLevel="2">
      <c r="A1670" s="1">
        <v>8.0</v>
      </c>
      <c r="B1670" s="1"/>
      <c r="C1670" s="1"/>
      <c r="D1670" s="1"/>
      <c r="E1670" s="14"/>
      <c r="F1670" s="15"/>
      <c r="G1670" s="16"/>
      <c r="H1670" s="11"/>
      <c r="I1670" s="7"/>
      <c r="J1670" s="7" t="str">
        <f>IFERROR(LET(_xlpm.v,
VLOOKUP($I1670,'用語辞書'!$A:$B,COLUMN('用語辞書'!B$1),FALSE),
IF(_xlpm.v=0,"",_xlpm.v)
),"")</f>
        <v/>
      </c>
      <c r="K1670" s="17"/>
      <c r="L1670" s="17" t="str">
        <f>IF(OR(COUNTIF('クラス'!$A$1:$A$1267,$B1670)&gt;0,$B1670="",$M1670=""),"",True)</f>
        <v/>
      </c>
      <c r="M1670" s="1" t="str">
        <f t="shared" si="27"/>
        <v>存在しない</v>
      </c>
      <c r="N1670" s="1" t="s">
        <v>29</v>
      </c>
      <c r="O1670" s="1"/>
      <c r="P1670" s="11"/>
      <c r="Q1670" s="11"/>
      <c r="R1670" s="11"/>
      <c r="S1670" s="11"/>
      <c r="T1670" s="1"/>
      <c r="U1670" s="1"/>
      <c r="V1670" s="1"/>
      <c r="W1670" s="1"/>
      <c r="X1670" s="1"/>
      <c r="Y1670" s="1"/>
      <c r="Z1670" s="1"/>
    </row>
    <row r="1671" ht="18.0" hidden="1" customHeight="1" outlineLevel="2">
      <c r="A1671" s="1">
        <v>9.0</v>
      </c>
      <c r="B1671" s="26" t="s">
        <v>1937</v>
      </c>
      <c r="C1671" s="1"/>
      <c r="D1671" s="1"/>
      <c r="E1671" s="29" t="s">
        <v>55</v>
      </c>
      <c r="F1671" s="15"/>
      <c r="G1671" s="16"/>
      <c r="H1671" s="22" t="s">
        <v>1938</v>
      </c>
      <c r="I1671" s="7"/>
      <c r="J1671" s="7" t="str">
        <f>IFERROR(LET(_xlpm.v,
VLOOKUP($I1671,'用語辞書'!$A:$B,COLUMN('用語辞書'!B$1),FALSE),
IF(_xlpm.v=0,"",_xlpm.v)
),"")</f>
        <v/>
      </c>
      <c r="K1671" s="17"/>
      <c r="L1671" s="17" t="b">
        <f>IF(OR(COUNTIF('クラス'!$A$1:$A$1267,$B1671)&gt;0,$B1671="",$M1671=""),"",True)</f>
        <v>1</v>
      </c>
      <c r="M1671" s="1" t="str">
        <f t="shared" si="27"/>
        <v>存在しない</v>
      </c>
      <c r="N1671" s="1" t="s">
        <v>29</v>
      </c>
      <c r="O1671" s="1"/>
      <c r="P1671" s="11"/>
      <c r="Q1671" s="11"/>
      <c r="R1671" s="11"/>
      <c r="S1671" s="11"/>
      <c r="T1671" s="1"/>
      <c r="U1671" s="1"/>
      <c r="V1671" s="1"/>
      <c r="W1671" s="1"/>
      <c r="X1671" s="1"/>
      <c r="Y1671" s="1"/>
      <c r="Z1671" s="1"/>
    </row>
    <row r="1672" ht="18.0" hidden="1" customHeight="1" outlineLevel="2">
      <c r="A1672" s="1">
        <v>10.0</v>
      </c>
      <c r="B1672" s="1"/>
      <c r="C1672" s="1"/>
      <c r="D1672" s="1"/>
      <c r="E1672" s="14"/>
      <c r="F1672" s="15"/>
      <c r="G1672" s="16"/>
      <c r="H1672" s="11"/>
      <c r="I1672" s="7"/>
      <c r="J1672" s="7" t="str">
        <f>IFERROR(LET(_xlpm.v,
VLOOKUP($I1672,'用語辞書'!$A:$B,COLUMN('用語辞書'!B$1),FALSE),
IF(_xlpm.v=0,"",_xlpm.v)
),"")</f>
        <v/>
      </c>
      <c r="K1672" s="17"/>
      <c r="L1672" s="17" t="str">
        <f>IF(OR(COUNTIF('クラス'!$A$1:$A$1267,$B1672)&gt;0,$B1672="",$M1672=""),"",True)</f>
        <v/>
      </c>
      <c r="M1672" s="1" t="str">
        <f t="shared" si="27"/>
        <v>存在しない</v>
      </c>
      <c r="N1672" s="1" t="s">
        <v>29</v>
      </c>
      <c r="O1672" s="1"/>
      <c r="P1672" s="11"/>
      <c r="Q1672" s="11"/>
      <c r="R1672" s="11"/>
      <c r="S1672" s="11"/>
      <c r="T1672" s="1"/>
      <c r="U1672" s="1"/>
      <c r="V1672" s="1"/>
      <c r="W1672" s="1"/>
      <c r="X1672" s="1"/>
      <c r="Y1672" s="1"/>
      <c r="Z1672" s="1"/>
    </row>
    <row r="1673" ht="18.0" customHeight="1" outlineLevel="1" collapsed="1">
      <c r="A1673" s="1"/>
      <c r="B1673" s="1"/>
      <c r="C1673" s="1"/>
      <c r="D1673" s="1"/>
      <c r="E1673" s="14"/>
      <c r="F1673" s="15"/>
      <c r="G1673" s="16"/>
      <c r="H1673" s="11"/>
      <c r="I1673" s="7"/>
      <c r="J1673" s="7" t="str">
        <f>IFERROR(LET(_xlpm.v,
VLOOKUP($I1673,'用語辞書'!$A:$B,COLUMN('用語辞書'!B$1),FALSE),
IF(_xlpm.v=0,"",_xlpm.v)
),"")</f>
        <v/>
      </c>
      <c r="K1673" s="17"/>
      <c r="L1673" s="17" t="str">
        <f>IF(OR(COUNTIF('クラス'!$A$1:$A$1267,$B1673)&gt;0,$B1673="",$M1673=""),"",True)</f>
        <v/>
      </c>
      <c r="M1673" s="1" t="str">
        <f t="shared" si="27"/>
        <v>存在しない</v>
      </c>
      <c r="N1673" s="1" t="s">
        <v>29</v>
      </c>
      <c r="O1673" s="1"/>
      <c r="P1673" s="11"/>
      <c r="Q1673" s="11"/>
      <c r="R1673" s="11"/>
      <c r="S1673" s="11"/>
      <c r="T1673" s="1"/>
      <c r="U1673" s="1"/>
      <c r="V1673" s="1"/>
      <c r="W1673" s="1"/>
      <c r="X1673" s="1"/>
      <c r="Y1673" s="1"/>
      <c r="Z1673" s="1"/>
    </row>
    <row r="1674" ht="18.0" customHeight="1" outlineLevel="1">
      <c r="A1674" s="1"/>
      <c r="B1674" s="1"/>
      <c r="C1674" s="1"/>
      <c r="D1674" s="1"/>
      <c r="E1674" s="14"/>
      <c r="F1674" s="15"/>
      <c r="G1674" s="16"/>
      <c r="H1674" s="11"/>
      <c r="I1674" s="7"/>
      <c r="J1674" s="7" t="str">
        <f>IFERROR(LET(_xlpm.v,
VLOOKUP($I1674,'用語辞書'!$A:$B,COLUMN('用語辞書'!B$1),FALSE),
IF(_xlpm.v=0,"",_xlpm.v)
),"")</f>
        <v/>
      </c>
      <c r="K1674" s="17"/>
      <c r="L1674" s="17" t="str">
        <f>IF(OR(COUNTIF('クラス'!$A$1:$A$1267,$B1674)&gt;0,$B1674="",$M1674=""),"",True)</f>
        <v/>
      </c>
      <c r="M1674" s="1" t="str">
        <f t="shared" si="27"/>
        <v>存在しない</v>
      </c>
      <c r="N1674" s="1" t="s">
        <v>29</v>
      </c>
      <c r="O1674" s="1"/>
      <c r="P1674" s="11"/>
      <c r="Q1674" s="11"/>
      <c r="R1674" s="11"/>
      <c r="S1674" s="11"/>
      <c r="T1674" s="1"/>
      <c r="U1674" s="1"/>
      <c r="V1674" s="1"/>
      <c r="W1674" s="1"/>
      <c r="X1674" s="1"/>
      <c r="Y1674" s="1"/>
      <c r="Z1674" s="1"/>
    </row>
    <row r="1675" ht="18.0" customHeight="1" outlineLevel="1">
      <c r="A1675" s="1"/>
      <c r="B1675" s="26" t="s">
        <v>1939</v>
      </c>
      <c r="C1675" s="1"/>
      <c r="D1675" s="1"/>
      <c r="E1675" s="14"/>
      <c r="F1675" s="15"/>
      <c r="G1675" s="16"/>
      <c r="H1675" s="11"/>
      <c r="I1675" s="7"/>
      <c r="J1675" s="7" t="str">
        <f>IFERROR(LET(_xlpm.v,
VLOOKUP($I1675,'用語辞書'!$A:$B,COLUMN('用語辞書'!B$1),FALSE),
IF(_xlpm.v=0,"",_xlpm.v)
),"")</f>
        <v/>
      </c>
      <c r="K1675" s="17"/>
      <c r="L1675" s="17" t="str">
        <f>IF(OR(COUNTIF('クラス'!$A$1:$A$1267,$B1675)&gt;0,$B1675="",$M1675=""),"",True)</f>
        <v/>
      </c>
      <c r="M1675" s="1" t="str">
        <f t="shared" si="27"/>
        <v>存在しない</v>
      </c>
      <c r="N1675" s="1" t="s">
        <v>29</v>
      </c>
      <c r="O1675" s="1"/>
      <c r="P1675" s="11"/>
      <c r="Q1675" s="11"/>
      <c r="R1675" s="11"/>
      <c r="S1675" s="11"/>
      <c r="T1675" s="1"/>
      <c r="U1675" s="1"/>
      <c r="V1675" s="1"/>
      <c r="W1675" s="1"/>
      <c r="X1675" s="1"/>
      <c r="Y1675" s="1"/>
      <c r="Z1675" s="1"/>
    </row>
    <row r="1676" ht="18.0" hidden="1" customHeight="1" outlineLevel="2">
      <c r="A1676" s="1">
        <v>1.0</v>
      </c>
      <c r="B1676" s="26" t="s">
        <v>1929</v>
      </c>
      <c r="C1676" s="1"/>
      <c r="D1676" s="1"/>
      <c r="E1676" s="14"/>
      <c r="F1676" s="15"/>
      <c r="G1676" s="16"/>
      <c r="H1676" s="11"/>
      <c r="I1676" s="7"/>
      <c r="J1676" s="7" t="str">
        <f>IFERROR(LET(_xlpm.v,
VLOOKUP($I1676,'用語辞書'!$A:$B,COLUMN('用語辞書'!B$1),FALSE),
IF(_xlpm.v=0,"",_xlpm.v)
),"")</f>
        <v/>
      </c>
      <c r="K1676" s="17"/>
      <c r="L1676" s="17" t="str">
        <f>IF(OR(COUNTIF('クラス'!$A$1:$A$1267,$B1676)&gt;0,$B1676="",$M1676=""),"",True)</f>
        <v/>
      </c>
      <c r="M1676" s="1" t="str">
        <f t="shared" si="27"/>
        <v/>
      </c>
      <c r="N1676" s="1" t="s">
        <v>29</v>
      </c>
      <c r="O1676" s="1"/>
      <c r="P1676" s="11"/>
      <c r="Q1676" s="11"/>
      <c r="R1676" s="11"/>
      <c r="S1676" s="11"/>
      <c r="T1676" s="1"/>
      <c r="U1676" s="1"/>
      <c r="V1676" s="1"/>
      <c r="W1676" s="1"/>
      <c r="X1676" s="1"/>
      <c r="Y1676" s="1"/>
      <c r="Z1676" s="1"/>
    </row>
    <row r="1677" ht="18.0" hidden="1" customHeight="1" outlineLevel="2">
      <c r="A1677" s="1">
        <v>2.0</v>
      </c>
      <c r="B1677" s="26" t="s">
        <v>1940</v>
      </c>
      <c r="C1677" s="1"/>
      <c r="D1677" s="1"/>
      <c r="E1677" s="29" t="s">
        <v>55</v>
      </c>
      <c r="F1677" s="15"/>
      <c r="G1677" s="16"/>
      <c r="H1677" s="22" t="s">
        <v>1941</v>
      </c>
      <c r="I1677" s="7"/>
      <c r="J1677" s="7" t="str">
        <f>IFERROR(LET(_xlpm.v,
VLOOKUP($I1677,'用語辞書'!$A:$B,COLUMN('用語辞書'!B$1),FALSE),
IF(_xlpm.v=0,"",_xlpm.v)
),"")</f>
        <v/>
      </c>
      <c r="K1677" s="17"/>
      <c r="L1677" s="17" t="b">
        <f>IF(OR(COUNTIF('クラス'!$A$1:$A$1267,$B1677)&gt;0,$B1677="",$M1677=""),"",True)</f>
        <v>1</v>
      </c>
      <c r="M1677" s="1" t="str">
        <f t="shared" si="27"/>
        <v>存在しない</v>
      </c>
      <c r="N1677" s="1" t="s">
        <v>29</v>
      </c>
      <c r="O1677" s="1"/>
      <c r="P1677" s="11"/>
      <c r="Q1677" s="11"/>
      <c r="R1677" s="11"/>
      <c r="S1677" s="11"/>
      <c r="T1677" s="1"/>
      <c r="U1677" s="1"/>
      <c r="V1677" s="1"/>
      <c r="W1677" s="1"/>
      <c r="X1677" s="1"/>
      <c r="Y1677" s="1"/>
      <c r="Z1677" s="1"/>
    </row>
    <row r="1678" ht="18.0" hidden="1" customHeight="1" outlineLevel="2">
      <c r="A1678" s="1">
        <v>3.0</v>
      </c>
      <c r="B1678" s="26" t="s">
        <v>1930</v>
      </c>
      <c r="C1678" s="1"/>
      <c r="D1678" s="1"/>
      <c r="E1678" s="14"/>
      <c r="F1678" s="15"/>
      <c r="G1678" s="16"/>
      <c r="H1678" s="11"/>
      <c r="I1678" s="7"/>
      <c r="J1678" s="7" t="str">
        <f>IFERROR(LET(_xlpm.v,
VLOOKUP($I1678,'用語辞書'!$A:$B,COLUMN('用語辞書'!B$1),FALSE),
IF(_xlpm.v=0,"",_xlpm.v)
),"")</f>
        <v/>
      </c>
      <c r="K1678" s="17"/>
      <c r="L1678" s="17" t="str">
        <f>IF(OR(COUNTIF('クラス'!$A$1:$A$1267,$B1678)&gt;0,$B1678="",$M1678=""),"",True)</f>
        <v/>
      </c>
      <c r="M1678" s="1" t="str">
        <f t="shared" si="27"/>
        <v/>
      </c>
      <c r="N1678" s="1" t="s">
        <v>29</v>
      </c>
      <c r="O1678" s="1"/>
      <c r="P1678" s="11"/>
      <c r="Q1678" s="11"/>
      <c r="R1678" s="11"/>
      <c r="S1678" s="11"/>
      <c r="T1678" s="1"/>
      <c r="U1678" s="1"/>
      <c r="V1678" s="1"/>
      <c r="W1678" s="1"/>
      <c r="X1678" s="1"/>
      <c r="Y1678" s="1"/>
      <c r="Z1678" s="1"/>
    </row>
    <row r="1679" ht="18.0" hidden="1" customHeight="1" outlineLevel="2">
      <c r="A1679" s="1">
        <v>4.0</v>
      </c>
      <c r="B1679" s="1"/>
      <c r="C1679" s="1"/>
      <c r="D1679" s="1"/>
      <c r="E1679" s="14"/>
      <c r="F1679" s="15"/>
      <c r="G1679" s="16"/>
      <c r="H1679" s="11"/>
      <c r="I1679" s="7"/>
      <c r="J1679" s="7" t="str">
        <f>IFERROR(LET(_xlpm.v,
VLOOKUP($I1679,'用語辞書'!$A:$B,COLUMN('用語辞書'!B$1),FALSE),
IF(_xlpm.v=0,"",_xlpm.v)
),"")</f>
        <v/>
      </c>
      <c r="K1679" s="17"/>
      <c r="L1679" s="17" t="str">
        <f>IF(OR(COUNTIF('クラス'!$A$1:$A$1267,$B1679)&gt;0,$B1679="",$M1679=""),"",True)</f>
        <v/>
      </c>
      <c r="M1679" s="1" t="str">
        <f t="shared" si="27"/>
        <v>存在しない</v>
      </c>
      <c r="N1679" s="1" t="s">
        <v>29</v>
      </c>
      <c r="O1679" s="1"/>
      <c r="P1679" s="11"/>
      <c r="Q1679" s="11"/>
      <c r="R1679" s="11"/>
      <c r="S1679" s="11"/>
      <c r="T1679" s="1"/>
      <c r="U1679" s="1"/>
      <c r="V1679" s="1"/>
      <c r="W1679" s="1"/>
      <c r="X1679" s="1"/>
      <c r="Y1679" s="1"/>
      <c r="Z1679" s="1"/>
    </row>
    <row r="1680" ht="18.0" hidden="1" customHeight="1" outlineLevel="2">
      <c r="A1680" s="1">
        <v>5.0</v>
      </c>
      <c r="B1680" s="26" t="s">
        <v>1933</v>
      </c>
      <c r="C1680" s="1"/>
      <c r="D1680" s="1"/>
      <c r="E1680" s="14"/>
      <c r="F1680" s="15"/>
      <c r="G1680" s="16"/>
      <c r="H1680" s="11"/>
      <c r="I1680" s="7"/>
      <c r="J1680" s="7" t="str">
        <f>IFERROR(LET(_xlpm.v,
VLOOKUP($I1680,'用語辞書'!$A:$B,COLUMN('用語辞書'!B$1),FALSE),
IF(_xlpm.v=0,"",_xlpm.v)
),"")</f>
        <v/>
      </c>
      <c r="K1680" s="17"/>
      <c r="L1680" s="17" t="str">
        <f>IF(OR(COUNTIF('クラス'!$A$1:$A$1267,$B1680)&gt;0,$B1680="",$M1680=""),"",True)</f>
        <v/>
      </c>
      <c r="M1680" s="1" t="str">
        <f t="shared" si="27"/>
        <v/>
      </c>
      <c r="N1680" s="1" t="s">
        <v>29</v>
      </c>
      <c r="O1680" s="1"/>
      <c r="P1680" s="11"/>
      <c r="Q1680" s="11"/>
      <c r="R1680" s="11"/>
      <c r="S1680" s="11"/>
      <c r="T1680" s="1"/>
      <c r="U1680" s="1"/>
      <c r="V1680" s="1"/>
      <c r="W1680" s="1"/>
      <c r="X1680" s="1"/>
      <c r="Y1680" s="1"/>
      <c r="Z1680" s="1"/>
    </row>
    <row r="1681" ht="18.0" hidden="1" customHeight="1" outlineLevel="2">
      <c r="A1681" s="1">
        <v>6.0</v>
      </c>
      <c r="B1681" s="1"/>
      <c r="C1681" s="1"/>
      <c r="D1681" s="1"/>
      <c r="E1681" s="14"/>
      <c r="F1681" s="15"/>
      <c r="G1681" s="16"/>
      <c r="H1681" s="11"/>
      <c r="I1681" s="7"/>
      <c r="J1681" s="7" t="str">
        <f>IFERROR(LET(_xlpm.v,
VLOOKUP($I1681,'用語辞書'!$A:$B,COLUMN('用語辞書'!B$1),FALSE),
IF(_xlpm.v=0,"",_xlpm.v)
),"")</f>
        <v/>
      </c>
      <c r="K1681" s="17"/>
      <c r="L1681" s="17" t="str">
        <f>IF(OR(COUNTIF('クラス'!$A$1:$A$1267,$B1681)&gt;0,$B1681="",$M1681=""),"",True)</f>
        <v/>
      </c>
      <c r="M1681" s="1" t="str">
        <f t="shared" si="27"/>
        <v>存在しない</v>
      </c>
      <c r="N1681" s="1" t="s">
        <v>29</v>
      </c>
      <c r="O1681" s="1"/>
      <c r="P1681" s="11"/>
      <c r="Q1681" s="11"/>
      <c r="R1681" s="11"/>
      <c r="S1681" s="11"/>
      <c r="T1681" s="1"/>
      <c r="U1681" s="1"/>
      <c r="V1681" s="1"/>
      <c r="W1681" s="1"/>
      <c r="X1681" s="1"/>
      <c r="Y1681" s="1"/>
      <c r="Z1681" s="1"/>
    </row>
    <row r="1682" ht="18.0" hidden="1" customHeight="1" outlineLevel="2">
      <c r="A1682" s="1">
        <v>7.0</v>
      </c>
      <c r="B1682" s="26" t="s">
        <v>1935</v>
      </c>
      <c r="C1682" s="1"/>
      <c r="D1682" s="1"/>
      <c r="E1682" s="14"/>
      <c r="F1682" s="15"/>
      <c r="G1682" s="16"/>
      <c r="H1682" s="11"/>
      <c r="I1682" s="7"/>
      <c r="J1682" s="7" t="str">
        <f>IFERROR(LET(_xlpm.v,
VLOOKUP($I1682,'用語辞書'!$A:$B,COLUMN('用語辞書'!B$1),FALSE),
IF(_xlpm.v=0,"",_xlpm.v)
),"")</f>
        <v/>
      </c>
      <c r="K1682" s="17"/>
      <c r="L1682" s="17" t="str">
        <f>IF(OR(COUNTIF('クラス'!$A$1:$A$1267,$B1682)&gt;0,$B1682="",$M1682=""),"",True)</f>
        <v/>
      </c>
      <c r="M1682" s="1" t="str">
        <f t="shared" si="27"/>
        <v/>
      </c>
      <c r="N1682" s="1" t="s">
        <v>29</v>
      </c>
      <c r="O1682" s="1"/>
      <c r="P1682" s="11"/>
      <c r="Q1682" s="11"/>
      <c r="R1682" s="11"/>
      <c r="S1682" s="11"/>
      <c r="T1682" s="1"/>
      <c r="U1682" s="1"/>
      <c r="V1682" s="1"/>
      <c r="W1682" s="1"/>
      <c r="X1682" s="1"/>
      <c r="Y1682" s="1"/>
      <c r="Z1682" s="1"/>
    </row>
    <row r="1683" ht="18.0" hidden="1" customHeight="1" outlineLevel="2">
      <c r="A1683" s="1">
        <v>8.0</v>
      </c>
      <c r="B1683" s="1"/>
      <c r="C1683" s="1"/>
      <c r="D1683" s="1"/>
      <c r="E1683" s="14"/>
      <c r="F1683" s="15"/>
      <c r="G1683" s="16"/>
      <c r="H1683" s="11"/>
      <c r="I1683" s="7"/>
      <c r="J1683" s="7" t="str">
        <f>IFERROR(LET(_xlpm.v,
VLOOKUP($I1683,'用語辞書'!$A:$B,COLUMN('用語辞書'!B$1),FALSE),
IF(_xlpm.v=0,"",_xlpm.v)
),"")</f>
        <v/>
      </c>
      <c r="K1683" s="17"/>
      <c r="L1683" s="17" t="str">
        <f>IF(OR(COUNTIF('クラス'!$A$1:$A$1267,$B1683)&gt;0,$B1683="",$M1683=""),"",True)</f>
        <v/>
      </c>
      <c r="M1683" s="1" t="str">
        <f t="shared" si="27"/>
        <v>存在しない</v>
      </c>
      <c r="N1683" s="1" t="s">
        <v>29</v>
      </c>
      <c r="O1683" s="1"/>
      <c r="P1683" s="11"/>
      <c r="Q1683" s="11"/>
      <c r="R1683" s="11"/>
      <c r="S1683" s="11"/>
      <c r="T1683" s="1"/>
      <c r="U1683" s="1"/>
      <c r="V1683" s="1"/>
      <c r="W1683" s="1"/>
      <c r="X1683" s="1"/>
      <c r="Y1683" s="1"/>
      <c r="Z1683" s="1"/>
    </row>
    <row r="1684" ht="18.0" hidden="1" customHeight="1" outlineLevel="2">
      <c r="A1684" s="1">
        <v>9.0</v>
      </c>
      <c r="B1684" s="26" t="s">
        <v>1932</v>
      </c>
      <c r="C1684" s="1"/>
      <c r="D1684" s="1"/>
      <c r="E1684" s="14"/>
      <c r="F1684" s="15"/>
      <c r="G1684" s="16"/>
      <c r="H1684" s="11"/>
      <c r="I1684" s="7"/>
      <c r="J1684" s="7" t="str">
        <f>IFERROR(LET(_xlpm.v,
VLOOKUP($I1684,'用語辞書'!$A:$B,COLUMN('用語辞書'!B$1),FALSE),
IF(_xlpm.v=0,"",_xlpm.v)
),"")</f>
        <v/>
      </c>
      <c r="K1684" s="17"/>
      <c r="L1684" s="17" t="str">
        <f>IF(OR(COUNTIF('クラス'!$A$1:$A$1267,$B1684)&gt;0,$B1684="",$M1684=""),"",True)</f>
        <v/>
      </c>
      <c r="M1684" s="1" t="str">
        <f t="shared" si="27"/>
        <v/>
      </c>
      <c r="N1684" s="1" t="s">
        <v>29</v>
      </c>
      <c r="O1684" s="1"/>
      <c r="P1684" s="11"/>
      <c r="Q1684" s="11"/>
      <c r="R1684" s="11"/>
      <c r="S1684" s="11"/>
      <c r="T1684" s="1"/>
      <c r="U1684" s="1"/>
      <c r="V1684" s="1"/>
      <c r="W1684" s="1"/>
      <c r="X1684" s="1"/>
      <c r="Y1684" s="1"/>
      <c r="Z1684" s="1"/>
    </row>
    <row r="1685" ht="18.0" hidden="1" customHeight="1" outlineLevel="2">
      <c r="A1685" s="1">
        <v>10.0</v>
      </c>
      <c r="B1685" s="1"/>
      <c r="C1685" s="1"/>
      <c r="D1685" s="1"/>
      <c r="E1685" s="14"/>
      <c r="F1685" s="15"/>
      <c r="G1685" s="16"/>
      <c r="H1685" s="11"/>
      <c r="I1685" s="7"/>
      <c r="J1685" s="7" t="str">
        <f>IFERROR(LET(_xlpm.v,
VLOOKUP($I1685,'用語辞書'!$A:$B,COLUMN('用語辞書'!B$1),FALSE),
IF(_xlpm.v=0,"",_xlpm.v)
),"")</f>
        <v/>
      </c>
      <c r="K1685" s="17"/>
      <c r="L1685" s="17" t="str">
        <f>IF(OR(COUNTIF('クラス'!$A$1:$A$1267,$B1685)&gt;0,$B1685="",$M1685=""),"",True)</f>
        <v/>
      </c>
      <c r="M1685" s="1" t="str">
        <f t="shared" si="27"/>
        <v>存在しない</v>
      </c>
      <c r="N1685" s="1" t="s">
        <v>29</v>
      </c>
      <c r="O1685" s="1"/>
      <c r="P1685" s="11"/>
      <c r="Q1685" s="11"/>
      <c r="R1685" s="11"/>
      <c r="S1685" s="11"/>
      <c r="T1685" s="1"/>
      <c r="U1685" s="1"/>
      <c r="V1685" s="1"/>
      <c r="W1685" s="1"/>
      <c r="X1685" s="1"/>
      <c r="Y1685" s="1"/>
      <c r="Z1685" s="1"/>
    </row>
    <row r="1686" ht="18.0" customHeight="1" outlineLevel="1" collapsed="1">
      <c r="A1686" s="1"/>
      <c r="B1686" s="1"/>
      <c r="C1686" s="1"/>
      <c r="D1686" s="1"/>
      <c r="E1686" s="14"/>
      <c r="F1686" s="15"/>
      <c r="G1686" s="16"/>
      <c r="H1686" s="11"/>
      <c r="I1686" s="7"/>
      <c r="J1686" s="7" t="str">
        <f>IFERROR(LET(_xlpm.v,
VLOOKUP($I1686,'用語辞書'!$A:$B,COLUMN('用語辞書'!B$1),FALSE),
IF(_xlpm.v=0,"",_xlpm.v)
),"")</f>
        <v/>
      </c>
      <c r="K1686" s="17"/>
      <c r="L1686" s="17" t="str">
        <f>IF(OR(COUNTIF('クラス'!$A$1:$A$1267,$B1686)&gt;0,$B1686="",$M1686=""),"",True)</f>
        <v/>
      </c>
      <c r="M1686" s="1" t="str">
        <f t="shared" si="27"/>
        <v>存在しない</v>
      </c>
      <c r="N1686" s="1" t="s">
        <v>29</v>
      </c>
      <c r="O1686" s="1"/>
      <c r="P1686" s="11"/>
      <c r="Q1686" s="11"/>
      <c r="R1686" s="11"/>
      <c r="S1686" s="11"/>
      <c r="T1686" s="1"/>
      <c r="U1686" s="1"/>
      <c r="V1686" s="1"/>
      <c r="W1686" s="1"/>
      <c r="X1686" s="1"/>
      <c r="Y1686" s="1"/>
      <c r="Z1686" s="1"/>
    </row>
    <row r="1687" ht="18.0" customHeight="1" outlineLevel="1">
      <c r="A1687" s="1"/>
      <c r="B1687" s="1"/>
      <c r="C1687" s="1"/>
      <c r="D1687" s="1"/>
      <c r="E1687" s="14"/>
      <c r="F1687" s="15"/>
      <c r="G1687" s="16"/>
      <c r="H1687" s="11"/>
      <c r="I1687" s="7"/>
      <c r="J1687" s="7" t="str">
        <f>IFERROR(LET(_xlpm.v,
VLOOKUP($I1687,'用語辞書'!$A:$B,COLUMN('用語辞書'!B$1),FALSE),
IF(_xlpm.v=0,"",_xlpm.v)
),"")</f>
        <v/>
      </c>
      <c r="K1687" s="17"/>
      <c r="L1687" s="17" t="str">
        <f>IF(OR(COUNTIF('クラス'!$A$1:$A$1267,$B1687)&gt;0,$B1687="",$M1687=""),"",True)</f>
        <v/>
      </c>
      <c r="M1687" s="1" t="str">
        <f t="shared" si="27"/>
        <v>存在しない</v>
      </c>
      <c r="N1687" s="1" t="s">
        <v>29</v>
      </c>
      <c r="O1687" s="1"/>
      <c r="P1687" s="11"/>
      <c r="Q1687" s="11"/>
      <c r="R1687" s="11"/>
      <c r="S1687" s="11"/>
      <c r="T1687" s="1"/>
      <c r="U1687" s="1"/>
      <c r="V1687" s="1"/>
      <c r="W1687" s="1"/>
      <c r="X1687" s="1"/>
      <c r="Y1687" s="1"/>
      <c r="Z1687" s="1"/>
    </row>
    <row r="1688" ht="18.0" customHeight="1" outlineLevel="1">
      <c r="A1688" s="1"/>
      <c r="B1688" s="26" t="s">
        <v>1942</v>
      </c>
      <c r="C1688" s="1"/>
      <c r="D1688" s="1"/>
      <c r="E1688" s="14"/>
      <c r="F1688" s="15"/>
      <c r="G1688" s="16"/>
      <c r="H1688" s="11"/>
      <c r="I1688" s="7"/>
      <c r="J1688" s="7" t="str">
        <f>IFERROR(LET(_xlpm.v,
VLOOKUP($I1688,'用語辞書'!$A:$B,COLUMN('用語辞書'!B$1),FALSE),
IF(_xlpm.v=0,"",_xlpm.v)
),"")</f>
        <v/>
      </c>
      <c r="K1688" s="17"/>
      <c r="L1688" s="17" t="str">
        <f>IF(OR(COUNTIF('クラス'!$A$1:$A$1267,$B1688)&gt;0,$B1688="",$M1688=""),"",True)</f>
        <v/>
      </c>
      <c r="M1688" s="1" t="str">
        <f t="shared" si="27"/>
        <v>存在しない</v>
      </c>
      <c r="N1688" s="1" t="s">
        <v>29</v>
      </c>
      <c r="O1688" s="1"/>
      <c r="P1688" s="11"/>
      <c r="Q1688" s="11"/>
      <c r="R1688" s="11"/>
      <c r="S1688" s="11"/>
      <c r="T1688" s="1"/>
      <c r="U1688" s="1"/>
      <c r="V1688" s="1"/>
      <c r="W1688" s="1"/>
      <c r="X1688" s="1"/>
      <c r="Y1688" s="1"/>
      <c r="Z1688" s="1"/>
    </row>
    <row r="1689" ht="18.0" hidden="1" customHeight="1" outlineLevel="2">
      <c r="A1689" s="1">
        <v>1.0</v>
      </c>
      <c r="B1689" s="26" t="s">
        <v>1929</v>
      </c>
      <c r="C1689" s="1"/>
      <c r="D1689" s="1"/>
      <c r="E1689" s="14"/>
      <c r="F1689" s="15"/>
      <c r="G1689" s="16"/>
      <c r="H1689" s="11"/>
      <c r="I1689" s="7"/>
      <c r="J1689" s="7" t="str">
        <f>IFERROR(LET(_xlpm.v,
VLOOKUP($I1689,'用語辞書'!$A:$B,COLUMN('用語辞書'!B$1),FALSE),
IF(_xlpm.v=0,"",_xlpm.v)
),"")</f>
        <v/>
      </c>
      <c r="K1689" s="17"/>
      <c r="L1689" s="17" t="str">
        <f>IF(OR(COUNTIF('クラス'!$A$1:$A$1267,$B1689)&gt;0,$B1689="",$M1689=""),"",True)</f>
        <v/>
      </c>
      <c r="M1689" s="1" t="str">
        <f t="shared" si="27"/>
        <v/>
      </c>
      <c r="N1689" s="1" t="s">
        <v>29</v>
      </c>
      <c r="O1689" s="1"/>
      <c r="P1689" s="11"/>
      <c r="Q1689" s="11"/>
      <c r="R1689" s="11"/>
      <c r="S1689" s="11"/>
      <c r="T1689" s="1"/>
      <c r="U1689" s="1"/>
      <c r="V1689" s="1"/>
      <c r="W1689" s="1"/>
      <c r="X1689" s="1"/>
      <c r="Y1689" s="1"/>
      <c r="Z1689" s="1"/>
    </row>
    <row r="1690" ht="18.0" hidden="1" customHeight="1" outlineLevel="2">
      <c r="A1690" s="1">
        <v>2.0</v>
      </c>
      <c r="B1690" s="26" t="s">
        <v>1943</v>
      </c>
      <c r="C1690" s="1"/>
      <c r="D1690" s="1"/>
      <c r="E1690" s="29" t="s">
        <v>55</v>
      </c>
      <c r="F1690" s="15"/>
      <c r="G1690" s="16"/>
      <c r="H1690" s="22" t="s">
        <v>1944</v>
      </c>
      <c r="I1690" s="7"/>
      <c r="J1690" s="7" t="str">
        <f>IFERROR(LET(_xlpm.v,
VLOOKUP($I1690,'用語辞書'!$A:$B,COLUMN('用語辞書'!B$1),FALSE),
IF(_xlpm.v=0,"",_xlpm.v)
),"")</f>
        <v/>
      </c>
      <c r="K1690" s="17"/>
      <c r="L1690" s="17" t="b">
        <f>IF(OR(COUNTIF('クラス'!$A$1:$A$1267,$B1690)&gt;0,$B1690="",$M1690=""),"",True)</f>
        <v>1</v>
      </c>
      <c r="M1690" s="1" t="str">
        <f t="shared" si="27"/>
        <v>存在しない</v>
      </c>
      <c r="N1690" s="1" t="s">
        <v>29</v>
      </c>
      <c r="O1690" s="1"/>
      <c r="P1690" s="11"/>
      <c r="Q1690" s="11"/>
      <c r="R1690" s="11"/>
      <c r="S1690" s="11"/>
      <c r="T1690" s="1"/>
      <c r="U1690" s="1"/>
      <c r="V1690" s="1"/>
      <c r="W1690" s="1"/>
      <c r="X1690" s="1"/>
      <c r="Y1690" s="1"/>
      <c r="Z1690" s="1"/>
    </row>
    <row r="1691" ht="18.0" hidden="1" customHeight="1" outlineLevel="2">
      <c r="A1691" s="1">
        <v>3.0</v>
      </c>
      <c r="B1691" s="26" t="s">
        <v>1945</v>
      </c>
      <c r="C1691" s="1"/>
      <c r="D1691" s="1"/>
      <c r="E1691" s="29" t="s">
        <v>33</v>
      </c>
      <c r="F1691" s="15"/>
      <c r="G1691" s="30">
        <v>50.0</v>
      </c>
      <c r="H1691" s="22" t="s">
        <v>1946</v>
      </c>
      <c r="I1691" s="7"/>
      <c r="J1691" s="7" t="str">
        <f>IFERROR(LET(_xlpm.v,
VLOOKUP($I1691,'用語辞書'!$A:$B,COLUMN('用語辞書'!B$1),FALSE),
IF(_xlpm.v=0,"",_xlpm.v)
),"")</f>
        <v/>
      </c>
      <c r="K1691" s="17"/>
      <c r="L1691" s="17" t="b">
        <f>IF(OR(COUNTIF('クラス'!$A$1:$A$1267,$B1691)&gt;0,$B1691="",$M1691=""),"",True)</f>
        <v>1</v>
      </c>
      <c r="M1691" s="1" t="str">
        <f t="shared" si="27"/>
        <v>存在しない</v>
      </c>
      <c r="N1691" s="1" t="s">
        <v>29</v>
      </c>
      <c r="O1691" s="1"/>
      <c r="P1691" s="11"/>
      <c r="Q1691" s="11"/>
      <c r="R1691" s="11"/>
      <c r="S1691" s="11"/>
      <c r="T1691" s="1"/>
      <c r="U1691" s="1"/>
      <c r="V1691" s="1"/>
      <c r="W1691" s="1"/>
      <c r="X1691" s="1"/>
      <c r="Y1691" s="1"/>
      <c r="Z1691" s="1"/>
    </row>
    <row r="1692" ht="18.0" hidden="1" customHeight="1" outlineLevel="2">
      <c r="A1692" s="1">
        <v>4.0</v>
      </c>
      <c r="B1692" s="1"/>
      <c r="C1692" s="1"/>
      <c r="D1692" s="1"/>
      <c r="E1692" s="14"/>
      <c r="F1692" s="15"/>
      <c r="G1692" s="16"/>
      <c r="H1692" s="11"/>
      <c r="I1692" s="7"/>
      <c r="J1692" s="7" t="str">
        <f>IFERROR(LET(_xlpm.v,
VLOOKUP($I1692,'用語辞書'!$A:$B,COLUMN('用語辞書'!B$1),FALSE),
IF(_xlpm.v=0,"",_xlpm.v)
),"")</f>
        <v/>
      </c>
      <c r="K1692" s="17"/>
      <c r="L1692" s="17" t="str">
        <f>IF(OR(COUNTIF('クラス'!$A$1:$A$1267,$B1692)&gt;0,$B1692="",$M1692=""),"",True)</f>
        <v/>
      </c>
      <c r="M1692" s="1" t="str">
        <f t="shared" si="27"/>
        <v>存在しない</v>
      </c>
      <c r="N1692" s="1" t="s">
        <v>29</v>
      </c>
      <c r="O1692" s="1"/>
      <c r="P1692" s="11"/>
      <c r="Q1692" s="11"/>
      <c r="R1692" s="11"/>
      <c r="S1692" s="11"/>
      <c r="T1692" s="1"/>
      <c r="U1692" s="1"/>
      <c r="V1692" s="1"/>
      <c r="W1692" s="1"/>
      <c r="X1692" s="1"/>
      <c r="Y1692" s="1"/>
      <c r="Z1692" s="1"/>
    </row>
    <row r="1693" ht="18.0" hidden="1" customHeight="1" outlineLevel="2">
      <c r="A1693" s="1">
        <v>5.0</v>
      </c>
      <c r="B1693" s="26" t="s">
        <v>1930</v>
      </c>
      <c r="C1693" s="1"/>
      <c r="D1693" s="1"/>
      <c r="E1693" s="14"/>
      <c r="F1693" s="15"/>
      <c r="G1693" s="16"/>
      <c r="H1693" s="11"/>
      <c r="I1693" s="7"/>
      <c r="J1693" s="7" t="str">
        <f>IFERROR(LET(_xlpm.v,
VLOOKUP($I1693,'用語辞書'!$A:$B,COLUMN('用語辞書'!B$1),FALSE),
IF(_xlpm.v=0,"",_xlpm.v)
),"")</f>
        <v/>
      </c>
      <c r="K1693" s="17"/>
      <c r="L1693" s="17" t="str">
        <f>IF(OR(COUNTIF('クラス'!$A$1:$A$1267,$B1693)&gt;0,$B1693="",$M1693=""),"",True)</f>
        <v/>
      </c>
      <c r="M1693" s="1" t="str">
        <f t="shared" si="27"/>
        <v/>
      </c>
      <c r="N1693" s="1" t="s">
        <v>29</v>
      </c>
      <c r="O1693" s="1"/>
      <c r="P1693" s="11"/>
      <c r="Q1693" s="11"/>
      <c r="R1693" s="11"/>
      <c r="S1693" s="11"/>
      <c r="T1693" s="1"/>
      <c r="U1693" s="1"/>
      <c r="V1693" s="1"/>
      <c r="W1693" s="1"/>
      <c r="X1693" s="1"/>
      <c r="Y1693" s="1"/>
      <c r="Z1693" s="1"/>
    </row>
    <row r="1694" ht="18.0" hidden="1" customHeight="1" outlineLevel="2">
      <c r="A1694" s="1">
        <v>6.0</v>
      </c>
      <c r="B1694" s="1"/>
      <c r="C1694" s="1"/>
      <c r="D1694" s="1"/>
      <c r="E1694" s="14"/>
      <c r="F1694" s="15"/>
      <c r="G1694" s="16"/>
      <c r="H1694" s="11"/>
      <c r="I1694" s="7"/>
      <c r="J1694" s="7" t="str">
        <f>IFERROR(LET(_xlpm.v,
VLOOKUP($I1694,'用語辞書'!$A:$B,COLUMN('用語辞書'!B$1),FALSE),
IF(_xlpm.v=0,"",_xlpm.v)
),"")</f>
        <v/>
      </c>
      <c r="K1694" s="17"/>
      <c r="L1694" s="17" t="str">
        <f>IF(OR(COUNTIF('クラス'!$A$1:$A$1267,$B1694)&gt;0,$B1694="",$M1694=""),"",True)</f>
        <v/>
      </c>
      <c r="M1694" s="1" t="str">
        <f t="shared" si="27"/>
        <v>存在しない</v>
      </c>
      <c r="N1694" s="1" t="s">
        <v>29</v>
      </c>
      <c r="O1694" s="1"/>
      <c r="P1694" s="11"/>
      <c r="Q1694" s="11"/>
      <c r="R1694" s="11"/>
      <c r="S1694" s="11"/>
      <c r="T1694" s="1"/>
      <c r="U1694" s="1"/>
      <c r="V1694" s="1"/>
      <c r="W1694" s="1"/>
      <c r="X1694" s="1"/>
      <c r="Y1694" s="1"/>
      <c r="Z1694" s="1"/>
    </row>
    <row r="1695" ht="18.0" hidden="1" customHeight="1" outlineLevel="2">
      <c r="A1695" s="1">
        <v>7.0</v>
      </c>
      <c r="B1695" s="26" t="s">
        <v>1932</v>
      </c>
      <c r="C1695" s="1"/>
      <c r="D1695" s="1"/>
      <c r="E1695" s="14"/>
      <c r="F1695" s="15"/>
      <c r="G1695" s="16"/>
      <c r="H1695" s="11"/>
      <c r="I1695" s="7"/>
      <c r="J1695" s="7" t="str">
        <f>IFERROR(LET(_xlpm.v,
VLOOKUP($I1695,'用語辞書'!$A:$B,COLUMN('用語辞書'!B$1),FALSE),
IF(_xlpm.v=0,"",_xlpm.v)
),"")</f>
        <v/>
      </c>
      <c r="K1695" s="17"/>
      <c r="L1695" s="17" t="str">
        <f>IF(OR(COUNTIF('クラス'!$A$1:$A$1267,$B1695)&gt;0,$B1695="",$M1695=""),"",True)</f>
        <v/>
      </c>
      <c r="M1695" s="1" t="str">
        <f t="shared" si="27"/>
        <v/>
      </c>
      <c r="N1695" s="1" t="s">
        <v>29</v>
      </c>
      <c r="O1695" s="1"/>
      <c r="P1695" s="11"/>
      <c r="Q1695" s="11"/>
      <c r="R1695" s="11"/>
      <c r="S1695" s="11"/>
      <c r="T1695" s="1"/>
      <c r="U1695" s="1"/>
      <c r="V1695" s="1"/>
      <c r="W1695" s="1"/>
      <c r="X1695" s="1"/>
      <c r="Y1695" s="1"/>
      <c r="Z1695" s="1"/>
    </row>
    <row r="1696" ht="18.0" hidden="1" customHeight="1" outlineLevel="2">
      <c r="A1696" s="1">
        <v>8.0</v>
      </c>
      <c r="B1696" s="1"/>
      <c r="C1696" s="1"/>
      <c r="D1696" s="1"/>
      <c r="E1696" s="14"/>
      <c r="F1696" s="15"/>
      <c r="G1696" s="16"/>
      <c r="H1696" s="11"/>
      <c r="I1696" s="7"/>
      <c r="J1696" s="7" t="str">
        <f>IFERROR(LET(_xlpm.v,
VLOOKUP($I1696,'用語辞書'!$A:$B,COLUMN('用語辞書'!B$1),FALSE),
IF(_xlpm.v=0,"",_xlpm.v)
),"")</f>
        <v/>
      </c>
      <c r="K1696" s="17"/>
      <c r="L1696" s="17" t="str">
        <f>IF(OR(COUNTIF('クラス'!$A$1:$A$1267,$B1696)&gt;0,$B1696="",$M1696=""),"",True)</f>
        <v/>
      </c>
      <c r="M1696" s="1" t="str">
        <f t="shared" si="27"/>
        <v>存在しない</v>
      </c>
      <c r="N1696" s="1" t="s">
        <v>29</v>
      </c>
      <c r="O1696" s="1"/>
      <c r="P1696" s="11"/>
      <c r="Q1696" s="11"/>
      <c r="R1696" s="11"/>
      <c r="S1696" s="11"/>
      <c r="T1696" s="1"/>
      <c r="U1696" s="1"/>
      <c r="V1696" s="1"/>
      <c r="W1696" s="1"/>
      <c r="X1696" s="1"/>
      <c r="Y1696" s="1"/>
      <c r="Z1696" s="1"/>
    </row>
    <row r="1697" ht="18.0" hidden="1" customHeight="1" outlineLevel="2">
      <c r="A1697" s="1">
        <v>9.0</v>
      </c>
      <c r="B1697" s="26" t="s">
        <v>1935</v>
      </c>
      <c r="C1697" s="1"/>
      <c r="D1697" s="1"/>
      <c r="E1697" s="14"/>
      <c r="F1697" s="15"/>
      <c r="G1697" s="16"/>
      <c r="H1697" s="11"/>
      <c r="I1697" s="7"/>
      <c r="J1697" s="7" t="str">
        <f>IFERROR(LET(_xlpm.v,
VLOOKUP($I1697,'用語辞書'!$A:$B,COLUMN('用語辞書'!B$1),FALSE),
IF(_xlpm.v=0,"",_xlpm.v)
),"")</f>
        <v/>
      </c>
      <c r="K1697" s="17"/>
      <c r="L1697" s="17" t="str">
        <f>IF(OR(COUNTIF('クラス'!$A$1:$A$1267,$B1697)&gt;0,$B1697="",$M1697=""),"",True)</f>
        <v/>
      </c>
      <c r="M1697" s="1" t="str">
        <f t="shared" si="27"/>
        <v/>
      </c>
      <c r="N1697" s="1" t="s">
        <v>29</v>
      </c>
      <c r="O1697" s="1"/>
      <c r="P1697" s="11"/>
      <c r="Q1697" s="11"/>
      <c r="R1697" s="11"/>
      <c r="S1697" s="11"/>
      <c r="T1697" s="1"/>
      <c r="U1697" s="1"/>
      <c r="V1697" s="1"/>
      <c r="W1697" s="1"/>
      <c r="X1697" s="1"/>
      <c r="Y1697" s="1"/>
      <c r="Z1697" s="1"/>
    </row>
    <row r="1698" ht="18.0" hidden="1" customHeight="1" outlineLevel="2">
      <c r="A1698" s="1">
        <v>10.0</v>
      </c>
      <c r="B1698" s="1"/>
      <c r="C1698" s="1"/>
      <c r="D1698" s="1"/>
      <c r="E1698" s="14"/>
      <c r="F1698" s="15"/>
      <c r="G1698" s="16"/>
      <c r="H1698" s="11"/>
      <c r="I1698" s="7"/>
      <c r="J1698" s="7" t="str">
        <f>IFERROR(LET(_xlpm.v,
VLOOKUP($I1698,'用語辞書'!$A:$B,COLUMN('用語辞書'!B$1),FALSE),
IF(_xlpm.v=0,"",_xlpm.v)
),"")</f>
        <v/>
      </c>
      <c r="K1698" s="17"/>
      <c r="L1698" s="17" t="str">
        <f>IF(OR(COUNTIF('クラス'!$A$1:$A$1267,$B1698)&gt;0,$B1698="",$M1698=""),"",True)</f>
        <v/>
      </c>
      <c r="M1698" s="1" t="str">
        <f t="shared" si="27"/>
        <v>存在しない</v>
      </c>
      <c r="N1698" s="1" t="s">
        <v>29</v>
      </c>
      <c r="O1698" s="1"/>
      <c r="P1698" s="11"/>
      <c r="Q1698" s="11"/>
      <c r="R1698" s="11"/>
      <c r="S1698" s="11"/>
      <c r="T1698" s="1"/>
      <c r="U1698" s="1"/>
      <c r="V1698" s="1"/>
      <c r="W1698" s="1"/>
      <c r="X1698" s="1"/>
      <c r="Y1698" s="1"/>
      <c r="Z1698" s="1"/>
    </row>
    <row r="1699" ht="18.0" customHeight="1" outlineLevel="1" collapsed="1">
      <c r="A1699" s="1"/>
      <c r="B1699" s="1"/>
      <c r="C1699" s="1"/>
      <c r="D1699" s="1"/>
      <c r="E1699" s="14"/>
      <c r="F1699" s="15"/>
      <c r="G1699" s="16"/>
      <c r="H1699" s="11"/>
      <c r="I1699" s="7"/>
      <c r="J1699" s="7" t="str">
        <f>IFERROR(LET(_xlpm.v,
VLOOKUP($I1699,'用語辞書'!$A:$B,COLUMN('用語辞書'!B$1),FALSE),
IF(_xlpm.v=0,"",_xlpm.v)
),"")</f>
        <v/>
      </c>
      <c r="K1699" s="17"/>
      <c r="L1699" s="17" t="str">
        <f>IF(OR(COUNTIF('クラス'!$A$1:$A$1267,$B1699)&gt;0,$B1699="",$M1699=""),"",True)</f>
        <v/>
      </c>
      <c r="M1699" s="1" t="str">
        <f t="shared" si="27"/>
        <v>存在しない</v>
      </c>
      <c r="N1699" s="1" t="s">
        <v>29</v>
      </c>
      <c r="O1699" s="1"/>
      <c r="P1699" s="11"/>
      <c r="Q1699" s="11"/>
      <c r="R1699" s="11"/>
      <c r="S1699" s="11"/>
      <c r="T1699" s="1"/>
      <c r="U1699" s="1"/>
      <c r="V1699" s="1"/>
      <c r="W1699" s="1"/>
      <c r="X1699" s="1"/>
      <c r="Y1699" s="1"/>
      <c r="Z1699" s="1"/>
    </row>
    <row r="1700" ht="18.0" customHeight="1" outlineLevel="1">
      <c r="A1700" s="1"/>
      <c r="B1700" s="1"/>
      <c r="C1700" s="1"/>
      <c r="D1700" s="1"/>
      <c r="E1700" s="14"/>
      <c r="F1700" s="15"/>
      <c r="G1700" s="16"/>
      <c r="H1700" s="11"/>
      <c r="I1700" s="7"/>
      <c r="J1700" s="7" t="str">
        <f>IFERROR(LET(_xlpm.v,
VLOOKUP($I1700,'用語辞書'!$A:$B,COLUMN('用語辞書'!B$1),FALSE),
IF(_xlpm.v=0,"",_xlpm.v)
),"")</f>
        <v/>
      </c>
      <c r="K1700" s="17"/>
      <c r="L1700" s="17" t="str">
        <f>IF(OR(COUNTIF('クラス'!$A$1:$A$1267,$B1700)&gt;0,$B1700="",$M1700=""),"",True)</f>
        <v/>
      </c>
      <c r="M1700" s="1" t="str">
        <f t="shared" si="27"/>
        <v>存在しない</v>
      </c>
      <c r="N1700" s="1" t="s">
        <v>29</v>
      </c>
      <c r="O1700" s="1"/>
      <c r="P1700" s="11"/>
      <c r="Q1700" s="11"/>
      <c r="R1700" s="11"/>
      <c r="S1700" s="11"/>
      <c r="T1700" s="1"/>
      <c r="U1700" s="1"/>
      <c r="V1700" s="1"/>
      <c r="W1700" s="1"/>
      <c r="X1700" s="1"/>
      <c r="Y1700" s="1"/>
      <c r="Z1700" s="1"/>
    </row>
    <row r="1701" ht="18.0" customHeight="1" outlineLevel="1">
      <c r="A1701" s="1"/>
      <c r="B1701" s="26" t="s">
        <v>1947</v>
      </c>
      <c r="C1701" s="1"/>
      <c r="D1701" s="1"/>
      <c r="E1701" s="14"/>
      <c r="F1701" s="15"/>
      <c r="G1701" s="16"/>
      <c r="H1701" s="11"/>
      <c r="I1701" s="7"/>
      <c r="J1701" s="7" t="str">
        <f>IFERROR(LET(_xlpm.v,
VLOOKUP($I1701,'用語辞書'!$A:$B,COLUMN('用語辞書'!B$1),FALSE),
IF(_xlpm.v=0,"",_xlpm.v)
),"")</f>
        <v/>
      </c>
      <c r="K1701" s="17"/>
      <c r="L1701" s="17" t="str">
        <f>IF(OR(COUNTIF('クラス'!$A$1:$A$1267,$B1701)&gt;0,$B1701="",$M1701=""),"",True)</f>
        <v/>
      </c>
      <c r="M1701" s="1" t="str">
        <f t="shared" si="27"/>
        <v>存在しない</v>
      </c>
      <c r="N1701" s="1" t="s">
        <v>29</v>
      </c>
      <c r="O1701" s="1"/>
      <c r="P1701" s="11"/>
      <c r="Q1701" s="11"/>
      <c r="R1701" s="11"/>
      <c r="S1701" s="11"/>
      <c r="T1701" s="1"/>
      <c r="U1701" s="1"/>
      <c r="V1701" s="1"/>
      <c r="W1701" s="1"/>
      <c r="X1701" s="1"/>
      <c r="Y1701" s="1"/>
      <c r="Z1701" s="1"/>
    </row>
    <row r="1702" ht="18.0" hidden="1" customHeight="1" outlineLevel="2">
      <c r="A1702" s="1">
        <v>1.0</v>
      </c>
      <c r="B1702" s="26" t="s">
        <v>1929</v>
      </c>
      <c r="C1702" s="1"/>
      <c r="D1702" s="1"/>
      <c r="E1702" s="14"/>
      <c r="F1702" s="15"/>
      <c r="G1702" s="16"/>
      <c r="H1702" s="11"/>
      <c r="I1702" s="7"/>
      <c r="J1702" s="7" t="str">
        <f>IFERROR(LET(_xlpm.v,
VLOOKUP($I1702,'用語辞書'!$A:$B,COLUMN('用語辞書'!B$1),FALSE),
IF(_xlpm.v=0,"",_xlpm.v)
),"")</f>
        <v/>
      </c>
      <c r="K1702" s="17"/>
      <c r="L1702" s="17" t="str">
        <f>IF(OR(COUNTIF('クラス'!$A$1:$A$1267,$B1702)&gt;0,$B1702="",$M1702=""),"",True)</f>
        <v/>
      </c>
      <c r="M1702" s="1" t="str">
        <f t="shared" si="27"/>
        <v/>
      </c>
      <c r="N1702" s="1" t="s">
        <v>29</v>
      </c>
      <c r="O1702" s="1"/>
      <c r="P1702" s="11"/>
      <c r="Q1702" s="11"/>
      <c r="R1702" s="11"/>
      <c r="S1702" s="11"/>
      <c r="T1702" s="1"/>
      <c r="U1702" s="1"/>
      <c r="V1702" s="1"/>
      <c r="W1702" s="1"/>
      <c r="X1702" s="1"/>
      <c r="Y1702" s="1"/>
      <c r="Z1702" s="1"/>
    </row>
    <row r="1703" ht="18.0" hidden="1" customHeight="1" outlineLevel="2">
      <c r="A1703" s="1">
        <v>2.0</v>
      </c>
      <c r="B1703" s="26" t="s">
        <v>1948</v>
      </c>
      <c r="C1703" s="1"/>
      <c r="D1703" s="1"/>
      <c r="E1703" s="29" t="s">
        <v>33</v>
      </c>
      <c r="F1703" s="15"/>
      <c r="G1703" s="30">
        <v>50.0</v>
      </c>
      <c r="H1703" s="22" t="s">
        <v>1949</v>
      </c>
      <c r="I1703" s="7"/>
      <c r="J1703" s="7" t="str">
        <f>IFERROR(LET(_xlpm.v,
VLOOKUP($I1703,'用語辞書'!$A:$B,COLUMN('用語辞書'!B$1),FALSE),
IF(_xlpm.v=0,"",_xlpm.v)
),"")</f>
        <v/>
      </c>
      <c r="K1703" s="17"/>
      <c r="L1703" s="17" t="b">
        <f>IF(OR(COUNTIF('クラス'!$A$1:$A$1267,$B1703)&gt;0,$B1703="",$M1703=""),"",True)</f>
        <v>1</v>
      </c>
      <c r="M1703" s="1" t="str">
        <f t="shared" si="27"/>
        <v>存在しない</v>
      </c>
      <c r="N1703" s="1" t="s">
        <v>29</v>
      </c>
      <c r="O1703" s="1"/>
      <c r="P1703" s="11"/>
      <c r="Q1703" s="11"/>
      <c r="R1703" s="11"/>
      <c r="S1703" s="11"/>
      <c r="T1703" s="1"/>
      <c r="U1703" s="1"/>
      <c r="V1703" s="1"/>
      <c r="W1703" s="1"/>
      <c r="X1703" s="1"/>
      <c r="Y1703" s="1"/>
      <c r="Z1703" s="1"/>
    </row>
    <row r="1704" ht="18.0" hidden="1" customHeight="1" outlineLevel="2">
      <c r="A1704" s="1">
        <v>3.0</v>
      </c>
      <c r="B1704" s="26" t="s">
        <v>1950</v>
      </c>
      <c r="C1704" s="1"/>
      <c r="D1704" s="1"/>
      <c r="E1704" s="29" t="s">
        <v>55</v>
      </c>
      <c r="F1704" s="15"/>
      <c r="G1704" s="16"/>
      <c r="H1704" s="22" t="s">
        <v>1951</v>
      </c>
      <c r="I1704" s="7"/>
      <c r="J1704" s="7" t="str">
        <f>IFERROR(LET(_xlpm.v,
VLOOKUP($I1704,'用語辞書'!$A:$B,COLUMN('用語辞書'!B$1),FALSE),
IF(_xlpm.v=0,"",_xlpm.v)
),"")</f>
        <v/>
      </c>
      <c r="K1704" s="17"/>
      <c r="L1704" s="17" t="b">
        <f>IF(OR(COUNTIF('クラス'!$A$1:$A$1267,$B1704)&gt;0,$B1704="",$M1704=""),"",True)</f>
        <v>1</v>
      </c>
      <c r="M1704" s="1" t="str">
        <f t="shared" si="27"/>
        <v>存在しない</v>
      </c>
      <c r="N1704" s="1" t="s">
        <v>29</v>
      </c>
      <c r="O1704" s="1"/>
      <c r="P1704" s="11"/>
      <c r="Q1704" s="11"/>
      <c r="R1704" s="11"/>
      <c r="S1704" s="11"/>
      <c r="T1704" s="1"/>
      <c r="U1704" s="1"/>
      <c r="V1704" s="1"/>
      <c r="W1704" s="1"/>
      <c r="X1704" s="1"/>
      <c r="Y1704" s="1"/>
      <c r="Z1704" s="1"/>
    </row>
    <row r="1705" ht="18.0" hidden="1" customHeight="1" outlineLevel="2">
      <c r="A1705" s="1">
        <v>4.0</v>
      </c>
      <c r="B1705" s="1"/>
      <c r="C1705" s="1"/>
      <c r="D1705" s="1"/>
      <c r="E1705" s="14"/>
      <c r="F1705" s="15"/>
      <c r="G1705" s="16"/>
      <c r="H1705" s="11"/>
      <c r="I1705" s="7"/>
      <c r="J1705" s="7" t="str">
        <f>IFERROR(LET(_xlpm.v,
VLOOKUP($I1705,'用語辞書'!$A:$B,COLUMN('用語辞書'!B$1),FALSE),
IF(_xlpm.v=0,"",_xlpm.v)
),"")</f>
        <v/>
      </c>
      <c r="K1705" s="17"/>
      <c r="L1705" s="17" t="str">
        <f>IF(OR(COUNTIF('クラス'!$A$1:$A$1267,$B1705)&gt;0,$B1705="",$M1705=""),"",True)</f>
        <v/>
      </c>
      <c r="M1705" s="1" t="str">
        <f t="shared" si="27"/>
        <v>存在しない</v>
      </c>
      <c r="N1705" s="1" t="s">
        <v>29</v>
      </c>
      <c r="O1705" s="1"/>
      <c r="P1705" s="11"/>
      <c r="Q1705" s="11"/>
      <c r="R1705" s="11"/>
      <c r="S1705" s="11"/>
      <c r="T1705" s="1"/>
      <c r="U1705" s="1"/>
      <c r="V1705" s="1"/>
      <c r="W1705" s="1"/>
      <c r="X1705" s="1"/>
      <c r="Y1705" s="1"/>
      <c r="Z1705" s="1"/>
    </row>
    <row r="1706" ht="18.0" hidden="1" customHeight="1" outlineLevel="2">
      <c r="A1706" s="1">
        <v>5.0</v>
      </c>
      <c r="B1706" s="26" t="s">
        <v>1930</v>
      </c>
      <c r="C1706" s="1"/>
      <c r="D1706" s="1"/>
      <c r="E1706" s="14"/>
      <c r="F1706" s="15"/>
      <c r="G1706" s="16"/>
      <c r="H1706" s="11"/>
      <c r="I1706" s="7"/>
      <c r="J1706" s="7" t="str">
        <f>IFERROR(LET(_xlpm.v,
VLOOKUP($I1706,'用語辞書'!$A:$B,COLUMN('用語辞書'!B$1),FALSE),
IF(_xlpm.v=0,"",_xlpm.v)
),"")</f>
        <v/>
      </c>
      <c r="K1706" s="17"/>
      <c r="L1706" s="17" t="str">
        <f>IF(OR(COUNTIF('クラス'!$A$1:$A$1267,$B1706)&gt;0,$B1706="",$M1706=""),"",True)</f>
        <v/>
      </c>
      <c r="M1706" s="1" t="str">
        <f t="shared" si="27"/>
        <v/>
      </c>
      <c r="N1706" s="1" t="s">
        <v>29</v>
      </c>
      <c r="O1706" s="1"/>
      <c r="P1706" s="11"/>
      <c r="Q1706" s="11"/>
      <c r="R1706" s="11"/>
      <c r="S1706" s="11"/>
      <c r="T1706" s="1"/>
      <c r="U1706" s="1"/>
      <c r="V1706" s="1"/>
      <c r="W1706" s="1"/>
      <c r="X1706" s="1"/>
      <c r="Y1706" s="1"/>
      <c r="Z1706" s="1"/>
    </row>
    <row r="1707" ht="18.0" hidden="1" customHeight="1" outlineLevel="2">
      <c r="A1707" s="1">
        <v>6.0</v>
      </c>
      <c r="B1707" s="1"/>
      <c r="C1707" s="1"/>
      <c r="D1707" s="1"/>
      <c r="E1707" s="14"/>
      <c r="F1707" s="15"/>
      <c r="G1707" s="16"/>
      <c r="H1707" s="11"/>
      <c r="I1707" s="7"/>
      <c r="J1707" s="7" t="str">
        <f>IFERROR(LET(_xlpm.v,
VLOOKUP($I1707,'用語辞書'!$A:$B,COLUMN('用語辞書'!B$1),FALSE),
IF(_xlpm.v=0,"",_xlpm.v)
),"")</f>
        <v/>
      </c>
      <c r="K1707" s="17"/>
      <c r="L1707" s="17" t="str">
        <f>IF(OR(COUNTIF('クラス'!$A$1:$A$1267,$B1707)&gt;0,$B1707="",$M1707=""),"",True)</f>
        <v/>
      </c>
      <c r="M1707" s="1" t="str">
        <f t="shared" si="27"/>
        <v>存在しない</v>
      </c>
      <c r="N1707" s="1" t="s">
        <v>29</v>
      </c>
      <c r="O1707" s="1"/>
      <c r="P1707" s="11"/>
      <c r="Q1707" s="11"/>
      <c r="R1707" s="11"/>
      <c r="S1707" s="11"/>
      <c r="T1707" s="1"/>
      <c r="U1707" s="1"/>
      <c r="V1707" s="1"/>
      <c r="W1707" s="1"/>
      <c r="X1707" s="1"/>
      <c r="Y1707" s="1"/>
      <c r="Z1707" s="1"/>
    </row>
    <row r="1708" ht="18.0" hidden="1" customHeight="1" outlineLevel="2">
      <c r="A1708" s="1">
        <v>7.0</v>
      </c>
      <c r="B1708" s="26" t="s">
        <v>1932</v>
      </c>
      <c r="C1708" s="1"/>
      <c r="D1708" s="1"/>
      <c r="E1708" s="14"/>
      <c r="F1708" s="15"/>
      <c r="G1708" s="16"/>
      <c r="H1708" s="11"/>
      <c r="I1708" s="7"/>
      <c r="J1708" s="7" t="str">
        <f>IFERROR(LET(_xlpm.v,
VLOOKUP($I1708,'用語辞書'!$A:$B,COLUMN('用語辞書'!B$1),FALSE),
IF(_xlpm.v=0,"",_xlpm.v)
),"")</f>
        <v/>
      </c>
      <c r="K1708" s="17"/>
      <c r="L1708" s="17" t="str">
        <f>IF(OR(COUNTIF('クラス'!$A$1:$A$1267,$B1708)&gt;0,$B1708="",$M1708=""),"",True)</f>
        <v/>
      </c>
      <c r="M1708" s="1" t="str">
        <f t="shared" si="27"/>
        <v/>
      </c>
      <c r="N1708" s="1" t="s">
        <v>29</v>
      </c>
      <c r="O1708" s="1"/>
      <c r="P1708" s="11"/>
      <c r="Q1708" s="11"/>
      <c r="R1708" s="11"/>
      <c r="S1708" s="11"/>
      <c r="T1708" s="1"/>
      <c r="U1708" s="1"/>
      <c r="V1708" s="1"/>
      <c r="W1708" s="1"/>
      <c r="X1708" s="1"/>
      <c r="Y1708" s="1"/>
      <c r="Z1708" s="1"/>
    </row>
    <row r="1709" ht="18.0" hidden="1" customHeight="1" outlineLevel="2">
      <c r="A1709" s="1">
        <v>8.0</v>
      </c>
      <c r="B1709" s="1"/>
      <c r="C1709" s="1"/>
      <c r="D1709" s="1"/>
      <c r="E1709" s="14"/>
      <c r="F1709" s="15"/>
      <c r="G1709" s="16"/>
      <c r="H1709" s="11"/>
      <c r="I1709" s="7"/>
      <c r="J1709" s="7" t="str">
        <f>IFERROR(LET(_xlpm.v,
VLOOKUP($I1709,'用語辞書'!$A:$B,COLUMN('用語辞書'!B$1),FALSE),
IF(_xlpm.v=0,"",_xlpm.v)
),"")</f>
        <v/>
      </c>
      <c r="K1709" s="17"/>
      <c r="L1709" s="17" t="str">
        <f>IF(OR(COUNTIF('クラス'!$A$1:$A$1267,$B1709)&gt;0,$B1709="",$M1709=""),"",True)</f>
        <v/>
      </c>
      <c r="M1709" s="1" t="str">
        <f t="shared" si="27"/>
        <v>存在しない</v>
      </c>
      <c r="N1709" s="1" t="s">
        <v>29</v>
      </c>
      <c r="O1709" s="1"/>
      <c r="P1709" s="11"/>
      <c r="Q1709" s="11"/>
      <c r="R1709" s="11"/>
      <c r="S1709" s="11"/>
      <c r="T1709" s="1"/>
      <c r="U1709" s="1"/>
      <c r="V1709" s="1"/>
      <c r="W1709" s="1"/>
      <c r="X1709" s="1"/>
      <c r="Y1709" s="1"/>
      <c r="Z1709" s="1"/>
    </row>
    <row r="1710" ht="18.0" hidden="1" customHeight="1" outlineLevel="2">
      <c r="A1710" s="1">
        <v>9.0</v>
      </c>
      <c r="B1710" s="26" t="s">
        <v>1935</v>
      </c>
      <c r="C1710" s="1"/>
      <c r="D1710" s="1"/>
      <c r="E1710" s="14"/>
      <c r="F1710" s="15"/>
      <c r="G1710" s="16"/>
      <c r="H1710" s="11"/>
      <c r="I1710" s="7"/>
      <c r="J1710" s="7" t="str">
        <f>IFERROR(LET(_xlpm.v,
VLOOKUP($I1710,'用語辞書'!$A:$B,COLUMN('用語辞書'!B$1),FALSE),
IF(_xlpm.v=0,"",_xlpm.v)
),"")</f>
        <v/>
      </c>
      <c r="K1710" s="17"/>
      <c r="L1710" s="17" t="str">
        <f>IF(OR(COUNTIF('クラス'!$A$1:$A$1267,$B1710)&gt;0,$B1710="",$M1710=""),"",True)</f>
        <v/>
      </c>
      <c r="M1710" s="1" t="str">
        <f t="shared" si="27"/>
        <v/>
      </c>
      <c r="N1710" s="1" t="s">
        <v>29</v>
      </c>
      <c r="O1710" s="1"/>
      <c r="P1710" s="11"/>
      <c r="Q1710" s="11"/>
      <c r="R1710" s="11"/>
      <c r="S1710" s="11"/>
      <c r="T1710" s="1"/>
      <c r="U1710" s="1"/>
      <c r="V1710" s="1"/>
      <c r="W1710" s="1"/>
      <c r="X1710" s="1"/>
      <c r="Y1710" s="1"/>
      <c r="Z1710" s="1"/>
    </row>
    <row r="1711" ht="18.0" hidden="1" customHeight="1" outlineLevel="2">
      <c r="A1711" s="1">
        <v>10.0</v>
      </c>
      <c r="B1711" s="1"/>
      <c r="C1711" s="1"/>
      <c r="D1711" s="1"/>
      <c r="E1711" s="14"/>
      <c r="F1711" s="15"/>
      <c r="G1711" s="16"/>
      <c r="H1711" s="11"/>
      <c r="I1711" s="7"/>
      <c r="J1711" s="7" t="str">
        <f>IFERROR(LET(_xlpm.v,
VLOOKUP($I1711,'用語辞書'!$A:$B,COLUMN('用語辞書'!B$1),FALSE),
IF(_xlpm.v=0,"",_xlpm.v)
),"")</f>
        <v/>
      </c>
      <c r="K1711" s="17"/>
      <c r="L1711" s="17" t="str">
        <f>IF(OR(COUNTIF('クラス'!$A$1:$A$1267,$B1711)&gt;0,$B1711="",$M1711=""),"",True)</f>
        <v/>
      </c>
      <c r="M1711" s="1" t="str">
        <f t="shared" si="27"/>
        <v>存在しない</v>
      </c>
      <c r="N1711" s="1" t="s">
        <v>29</v>
      </c>
      <c r="O1711" s="1"/>
      <c r="P1711" s="11"/>
      <c r="Q1711" s="11"/>
      <c r="R1711" s="11"/>
      <c r="S1711" s="11"/>
      <c r="T1711" s="1"/>
      <c r="U1711" s="1"/>
      <c r="V1711" s="1"/>
      <c r="W1711" s="1"/>
      <c r="X1711" s="1"/>
      <c r="Y1711" s="1"/>
      <c r="Z1711" s="1"/>
    </row>
    <row r="1712" ht="18.0" customHeight="1" outlineLevel="1" collapsed="1">
      <c r="A1712" s="1"/>
      <c r="B1712" s="1"/>
      <c r="C1712" s="1"/>
      <c r="D1712" s="1"/>
      <c r="E1712" s="14"/>
      <c r="F1712" s="15"/>
      <c r="G1712" s="16"/>
      <c r="H1712" s="11"/>
      <c r="I1712" s="7"/>
      <c r="J1712" s="7" t="str">
        <f>IFERROR(LET(_xlpm.v,
VLOOKUP($I1712,'用語辞書'!$A:$B,COLUMN('用語辞書'!B$1),FALSE),
IF(_xlpm.v=0,"",_xlpm.v)
),"")</f>
        <v/>
      </c>
      <c r="K1712" s="17"/>
      <c r="L1712" s="17" t="str">
        <f>IF(OR(COUNTIF('クラス'!$A$1:$A$1267,$B1712)&gt;0,$B1712="",$M1712=""),"",True)</f>
        <v/>
      </c>
      <c r="M1712" s="1" t="str">
        <f t="shared" si="27"/>
        <v>存在しない</v>
      </c>
      <c r="N1712" s="1" t="s">
        <v>29</v>
      </c>
      <c r="O1712" s="1"/>
      <c r="P1712" s="11"/>
      <c r="Q1712" s="11"/>
      <c r="R1712" s="11"/>
      <c r="S1712" s="11"/>
      <c r="T1712" s="1"/>
      <c r="U1712" s="1"/>
      <c r="V1712" s="1"/>
      <c r="W1712" s="1"/>
      <c r="X1712" s="1"/>
      <c r="Y1712" s="1"/>
      <c r="Z1712" s="1"/>
    </row>
    <row r="1713" ht="18.0" customHeight="1" outlineLevel="1">
      <c r="A1713" s="1"/>
      <c r="B1713" s="1"/>
      <c r="C1713" s="1"/>
      <c r="D1713" s="1"/>
      <c r="E1713" s="14"/>
      <c r="F1713" s="15"/>
      <c r="G1713" s="16"/>
      <c r="H1713" s="11"/>
      <c r="I1713" s="7"/>
      <c r="J1713" s="7" t="str">
        <f>IFERROR(LET(_xlpm.v,
VLOOKUP($I1713,'用語辞書'!$A:$B,COLUMN('用語辞書'!B$1),FALSE),
IF(_xlpm.v=0,"",_xlpm.v)
),"")</f>
        <v/>
      </c>
      <c r="K1713" s="17"/>
      <c r="L1713" s="17" t="str">
        <f>IF(OR(COUNTIF('クラス'!$A$1:$A$1267,$B1713)&gt;0,$B1713="",$M1713=""),"",True)</f>
        <v/>
      </c>
      <c r="M1713" s="1" t="str">
        <f t="shared" si="27"/>
        <v>存在しない</v>
      </c>
      <c r="N1713" s="1" t="s">
        <v>29</v>
      </c>
      <c r="O1713" s="1"/>
      <c r="P1713" s="11"/>
      <c r="Q1713" s="11"/>
      <c r="R1713" s="11"/>
      <c r="S1713" s="11"/>
      <c r="T1713" s="1"/>
      <c r="U1713" s="1"/>
      <c r="V1713" s="1"/>
      <c r="W1713" s="1"/>
      <c r="X1713" s="1"/>
      <c r="Y1713" s="1"/>
      <c r="Z1713" s="1"/>
    </row>
    <row r="1714" ht="18.0" customHeight="1" outlineLevel="1">
      <c r="A1714" s="1"/>
      <c r="B1714" s="26" t="s">
        <v>1952</v>
      </c>
      <c r="C1714" s="1"/>
      <c r="D1714" s="1"/>
      <c r="E1714" s="14"/>
      <c r="F1714" s="15"/>
      <c r="G1714" s="16"/>
      <c r="H1714" s="11"/>
      <c r="I1714" s="7"/>
      <c r="J1714" s="7" t="str">
        <f>IFERROR(LET(_xlpm.v,
VLOOKUP($I1714,'用語辞書'!$A:$B,COLUMN('用語辞書'!B$1),FALSE),
IF(_xlpm.v=0,"",_xlpm.v)
),"")</f>
        <v/>
      </c>
      <c r="K1714" s="17"/>
      <c r="L1714" s="17" t="str">
        <f>IF(OR(COUNTIF('クラス'!$A$1:$A$1267,$B1714)&gt;0,$B1714="",$M1714=""),"",True)</f>
        <v/>
      </c>
      <c r="M1714" s="1" t="str">
        <f t="shared" si="27"/>
        <v>存在しない</v>
      </c>
      <c r="N1714" s="1" t="s">
        <v>29</v>
      </c>
      <c r="O1714" s="1"/>
      <c r="P1714" s="11"/>
      <c r="Q1714" s="11"/>
      <c r="R1714" s="11"/>
      <c r="S1714" s="11"/>
      <c r="T1714" s="1"/>
      <c r="U1714" s="1"/>
      <c r="V1714" s="1"/>
      <c r="W1714" s="1"/>
      <c r="X1714" s="1"/>
      <c r="Y1714" s="1"/>
      <c r="Z1714" s="1"/>
    </row>
    <row r="1715" ht="18.0" hidden="1" customHeight="1" outlineLevel="2">
      <c r="A1715" s="1">
        <v>1.0</v>
      </c>
      <c r="B1715" s="26" t="s">
        <v>1929</v>
      </c>
      <c r="C1715" s="1"/>
      <c r="D1715" s="1"/>
      <c r="E1715" s="14"/>
      <c r="F1715" s="15"/>
      <c r="G1715" s="16"/>
      <c r="H1715" s="11"/>
      <c r="I1715" s="7"/>
      <c r="J1715" s="7" t="str">
        <f>IFERROR(LET(_xlpm.v,
VLOOKUP($I1715,'用語辞書'!$A:$B,COLUMN('用語辞書'!B$1),FALSE),
IF(_xlpm.v=0,"",_xlpm.v)
),"")</f>
        <v/>
      </c>
      <c r="K1715" s="17"/>
      <c r="L1715" s="17" t="str">
        <f>IF(OR(COUNTIF('クラス'!$A$1:$A$1267,$B1715)&gt;0,$B1715="",$M1715=""),"",True)</f>
        <v/>
      </c>
      <c r="M1715" s="1" t="str">
        <f t="shared" si="27"/>
        <v/>
      </c>
      <c r="N1715" s="1" t="s">
        <v>29</v>
      </c>
      <c r="O1715" s="1"/>
      <c r="P1715" s="11"/>
      <c r="Q1715" s="11"/>
      <c r="R1715" s="11"/>
      <c r="S1715" s="11"/>
      <c r="T1715" s="1"/>
      <c r="U1715" s="1"/>
      <c r="V1715" s="1"/>
      <c r="W1715" s="1"/>
      <c r="X1715" s="1"/>
      <c r="Y1715" s="1"/>
      <c r="Z1715" s="1"/>
    </row>
    <row r="1716" ht="18.0" hidden="1" customHeight="1" outlineLevel="2">
      <c r="A1716" s="1">
        <v>2.0</v>
      </c>
      <c r="B1716" s="26" t="s">
        <v>1953</v>
      </c>
      <c r="C1716" s="1"/>
      <c r="D1716" s="1"/>
      <c r="E1716" s="29" t="s">
        <v>55</v>
      </c>
      <c r="F1716" s="15"/>
      <c r="G1716" s="16"/>
      <c r="H1716" s="22" t="s">
        <v>1954</v>
      </c>
      <c r="I1716" s="7"/>
      <c r="J1716" s="7" t="str">
        <f>IFERROR(LET(_xlpm.v,
VLOOKUP($I1716,'用語辞書'!$A:$B,COLUMN('用語辞書'!B$1),FALSE),
IF(_xlpm.v=0,"",_xlpm.v)
),"")</f>
        <v/>
      </c>
      <c r="K1716" s="17"/>
      <c r="L1716" s="17" t="b">
        <f>IF(OR(COUNTIF('クラス'!$A$1:$A$1267,$B1716)&gt;0,$B1716="",$M1716=""),"",True)</f>
        <v>1</v>
      </c>
      <c r="M1716" s="1" t="str">
        <f t="shared" si="27"/>
        <v>存在しない</v>
      </c>
      <c r="N1716" s="1" t="s">
        <v>29</v>
      </c>
      <c r="O1716" s="1"/>
      <c r="P1716" s="11"/>
      <c r="Q1716" s="11"/>
      <c r="R1716" s="11"/>
      <c r="S1716" s="11"/>
      <c r="T1716" s="1"/>
      <c r="U1716" s="1"/>
      <c r="V1716" s="1"/>
      <c r="W1716" s="1"/>
      <c r="X1716" s="1"/>
      <c r="Y1716" s="1"/>
      <c r="Z1716" s="1"/>
    </row>
    <row r="1717" ht="18.0" hidden="1" customHeight="1" outlineLevel="2">
      <c r="A1717" s="1">
        <v>3.0</v>
      </c>
      <c r="B1717" s="26" t="s">
        <v>1955</v>
      </c>
      <c r="C1717" s="1"/>
      <c r="D1717" s="1"/>
      <c r="E1717" s="29" t="s">
        <v>33</v>
      </c>
      <c r="F1717" s="15"/>
      <c r="G1717" s="30">
        <v>50.0</v>
      </c>
      <c r="H1717" s="22" t="s">
        <v>1956</v>
      </c>
      <c r="I1717" s="7"/>
      <c r="J1717" s="7" t="str">
        <f>IFERROR(LET(_xlpm.v,
VLOOKUP($I1717,'用語辞書'!$A:$B,COLUMN('用語辞書'!B$1),FALSE),
IF(_xlpm.v=0,"",_xlpm.v)
),"")</f>
        <v/>
      </c>
      <c r="K1717" s="17"/>
      <c r="L1717" s="17" t="b">
        <f>IF(OR(COUNTIF('クラス'!$A$1:$A$1267,$B1717)&gt;0,$B1717="",$M1717=""),"",True)</f>
        <v>1</v>
      </c>
      <c r="M1717" s="1" t="str">
        <f t="shared" si="27"/>
        <v>存在しない</v>
      </c>
      <c r="N1717" s="1" t="s">
        <v>29</v>
      </c>
      <c r="O1717" s="1"/>
      <c r="P1717" s="11"/>
      <c r="Q1717" s="11"/>
      <c r="R1717" s="11"/>
      <c r="S1717" s="11"/>
      <c r="T1717" s="1"/>
      <c r="U1717" s="1"/>
      <c r="V1717" s="1"/>
      <c r="W1717" s="1"/>
      <c r="X1717" s="1"/>
      <c r="Y1717" s="1"/>
      <c r="Z1717" s="1"/>
    </row>
    <row r="1718" ht="18.0" hidden="1" customHeight="1" outlineLevel="2">
      <c r="A1718" s="1">
        <v>4.0</v>
      </c>
      <c r="B1718" s="1"/>
      <c r="C1718" s="1"/>
      <c r="D1718" s="1"/>
      <c r="E1718" s="14"/>
      <c r="F1718" s="15"/>
      <c r="G1718" s="16"/>
      <c r="H1718" s="11"/>
      <c r="I1718" s="7"/>
      <c r="J1718" s="7" t="str">
        <f>IFERROR(LET(_xlpm.v,
VLOOKUP($I1718,'用語辞書'!$A:$B,COLUMN('用語辞書'!B$1),FALSE),
IF(_xlpm.v=0,"",_xlpm.v)
),"")</f>
        <v/>
      </c>
      <c r="K1718" s="17"/>
      <c r="L1718" s="17" t="str">
        <f>IF(OR(COUNTIF('クラス'!$A$1:$A$1267,$B1718)&gt;0,$B1718="",$M1718=""),"",True)</f>
        <v/>
      </c>
      <c r="M1718" s="1" t="str">
        <f t="shared" si="27"/>
        <v>存在しない</v>
      </c>
      <c r="N1718" s="1" t="s">
        <v>29</v>
      </c>
      <c r="O1718" s="1"/>
      <c r="P1718" s="11"/>
      <c r="Q1718" s="11"/>
      <c r="R1718" s="11"/>
      <c r="S1718" s="11"/>
      <c r="T1718" s="1"/>
      <c r="U1718" s="1"/>
      <c r="V1718" s="1"/>
      <c r="W1718" s="1"/>
      <c r="X1718" s="1"/>
      <c r="Y1718" s="1"/>
      <c r="Z1718" s="1"/>
    </row>
    <row r="1719" ht="18.0" hidden="1" customHeight="1" outlineLevel="2">
      <c r="A1719" s="1">
        <v>5.0</v>
      </c>
      <c r="B1719" s="26" t="s">
        <v>1930</v>
      </c>
      <c r="C1719" s="1"/>
      <c r="D1719" s="1"/>
      <c r="E1719" s="14"/>
      <c r="F1719" s="15"/>
      <c r="G1719" s="16"/>
      <c r="H1719" s="11"/>
      <c r="I1719" s="7"/>
      <c r="J1719" s="7" t="str">
        <f>IFERROR(LET(_xlpm.v,
VLOOKUP($I1719,'用語辞書'!$A:$B,COLUMN('用語辞書'!B$1),FALSE),
IF(_xlpm.v=0,"",_xlpm.v)
),"")</f>
        <v/>
      </c>
      <c r="K1719" s="17"/>
      <c r="L1719" s="17" t="str">
        <f>IF(OR(COUNTIF('クラス'!$A$1:$A$1267,$B1719)&gt;0,$B1719="",$M1719=""),"",True)</f>
        <v/>
      </c>
      <c r="M1719" s="1" t="str">
        <f t="shared" si="27"/>
        <v/>
      </c>
      <c r="N1719" s="1" t="s">
        <v>29</v>
      </c>
      <c r="O1719" s="1"/>
      <c r="P1719" s="11"/>
      <c r="Q1719" s="11"/>
      <c r="R1719" s="11"/>
      <c r="S1719" s="11"/>
      <c r="T1719" s="1"/>
      <c r="U1719" s="1"/>
      <c r="V1719" s="1"/>
      <c r="W1719" s="1"/>
      <c r="X1719" s="1"/>
      <c r="Y1719" s="1"/>
      <c r="Z1719" s="1"/>
    </row>
    <row r="1720" ht="18.0" hidden="1" customHeight="1" outlineLevel="2">
      <c r="A1720" s="1">
        <v>6.0</v>
      </c>
      <c r="B1720" s="1"/>
      <c r="C1720" s="1"/>
      <c r="D1720" s="1"/>
      <c r="E1720" s="14"/>
      <c r="F1720" s="15"/>
      <c r="G1720" s="16"/>
      <c r="H1720" s="11"/>
      <c r="I1720" s="7"/>
      <c r="J1720" s="7" t="str">
        <f>IFERROR(LET(_xlpm.v,
VLOOKUP($I1720,'用語辞書'!$A:$B,COLUMN('用語辞書'!B$1),FALSE),
IF(_xlpm.v=0,"",_xlpm.v)
),"")</f>
        <v/>
      </c>
      <c r="K1720" s="17"/>
      <c r="L1720" s="17" t="str">
        <f>IF(OR(COUNTIF('クラス'!$A$1:$A$1267,$B1720)&gt;0,$B1720="",$M1720=""),"",True)</f>
        <v/>
      </c>
      <c r="M1720" s="1" t="str">
        <f t="shared" si="27"/>
        <v>存在しない</v>
      </c>
      <c r="N1720" s="1" t="s">
        <v>29</v>
      </c>
      <c r="O1720" s="1"/>
      <c r="P1720" s="11"/>
      <c r="Q1720" s="11"/>
      <c r="R1720" s="11"/>
      <c r="S1720" s="11"/>
      <c r="T1720" s="1"/>
      <c r="U1720" s="1"/>
      <c r="V1720" s="1"/>
      <c r="W1720" s="1"/>
      <c r="X1720" s="1"/>
      <c r="Y1720" s="1"/>
      <c r="Z1720" s="1"/>
    </row>
    <row r="1721" ht="18.0" hidden="1" customHeight="1" outlineLevel="2">
      <c r="A1721" s="1">
        <v>7.0</v>
      </c>
      <c r="B1721" s="26" t="s">
        <v>1932</v>
      </c>
      <c r="C1721" s="1"/>
      <c r="D1721" s="1"/>
      <c r="E1721" s="14"/>
      <c r="F1721" s="15"/>
      <c r="G1721" s="16"/>
      <c r="H1721" s="11"/>
      <c r="I1721" s="7"/>
      <c r="J1721" s="7" t="str">
        <f>IFERROR(LET(_xlpm.v,
VLOOKUP($I1721,'用語辞書'!$A:$B,COLUMN('用語辞書'!B$1),FALSE),
IF(_xlpm.v=0,"",_xlpm.v)
),"")</f>
        <v/>
      </c>
      <c r="K1721" s="17"/>
      <c r="L1721" s="17" t="str">
        <f>IF(OR(COUNTIF('クラス'!$A$1:$A$1267,$B1721)&gt;0,$B1721="",$M1721=""),"",True)</f>
        <v/>
      </c>
      <c r="M1721" s="1" t="str">
        <f t="shared" si="27"/>
        <v/>
      </c>
      <c r="N1721" s="1" t="s">
        <v>29</v>
      </c>
      <c r="O1721" s="1"/>
      <c r="P1721" s="11"/>
      <c r="Q1721" s="11"/>
      <c r="R1721" s="11"/>
      <c r="S1721" s="11"/>
      <c r="T1721" s="1"/>
      <c r="U1721" s="1"/>
      <c r="V1721" s="1"/>
      <c r="W1721" s="1"/>
      <c r="X1721" s="1"/>
      <c r="Y1721" s="1"/>
      <c r="Z1721" s="1"/>
    </row>
    <row r="1722" ht="18.0" hidden="1" customHeight="1" outlineLevel="2">
      <c r="A1722" s="1">
        <v>8.0</v>
      </c>
      <c r="B1722" s="1"/>
      <c r="C1722" s="1"/>
      <c r="D1722" s="1"/>
      <c r="E1722" s="14"/>
      <c r="F1722" s="15"/>
      <c r="G1722" s="16"/>
      <c r="H1722" s="11"/>
      <c r="I1722" s="7"/>
      <c r="J1722" s="7" t="str">
        <f>IFERROR(LET(_xlpm.v,
VLOOKUP($I1722,'用語辞書'!$A:$B,COLUMN('用語辞書'!B$1),FALSE),
IF(_xlpm.v=0,"",_xlpm.v)
),"")</f>
        <v/>
      </c>
      <c r="K1722" s="17"/>
      <c r="L1722" s="17" t="str">
        <f>IF(OR(COUNTIF('クラス'!$A$1:$A$1267,$B1722)&gt;0,$B1722="",$M1722=""),"",True)</f>
        <v/>
      </c>
      <c r="M1722" s="1" t="str">
        <f t="shared" si="27"/>
        <v>存在しない</v>
      </c>
      <c r="N1722" s="1" t="s">
        <v>29</v>
      </c>
      <c r="O1722" s="1"/>
      <c r="P1722" s="11"/>
      <c r="Q1722" s="11"/>
      <c r="R1722" s="11"/>
      <c r="S1722" s="11"/>
      <c r="T1722" s="1"/>
      <c r="U1722" s="1"/>
      <c r="V1722" s="1"/>
      <c r="W1722" s="1"/>
      <c r="X1722" s="1"/>
      <c r="Y1722" s="1"/>
      <c r="Z1722" s="1"/>
    </row>
    <row r="1723" ht="18.0" hidden="1" customHeight="1" outlineLevel="2">
      <c r="A1723" s="1">
        <v>9.0</v>
      </c>
      <c r="B1723" s="26" t="s">
        <v>1935</v>
      </c>
      <c r="C1723" s="1"/>
      <c r="D1723" s="1"/>
      <c r="E1723" s="14"/>
      <c r="F1723" s="15"/>
      <c r="G1723" s="16"/>
      <c r="H1723" s="11"/>
      <c r="I1723" s="7"/>
      <c r="J1723" s="7" t="str">
        <f>IFERROR(LET(_xlpm.v,
VLOOKUP($I1723,'用語辞書'!$A:$B,COLUMN('用語辞書'!B$1),FALSE),
IF(_xlpm.v=0,"",_xlpm.v)
),"")</f>
        <v/>
      </c>
      <c r="K1723" s="17"/>
      <c r="L1723" s="17" t="str">
        <f>IF(OR(COUNTIF('クラス'!$A$1:$A$1267,$B1723)&gt;0,$B1723="",$M1723=""),"",True)</f>
        <v/>
      </c>
      <c r="M1723" s="1" t="str">
        <f t="shared" si="27"/>
        <v/>
      </c>
      <c r="N1723" s="1" t="s">
        <v>29</v>
      </c>
      <c r="O1723" s="1"/>
      <c r="P1723" s="11"/>
      <c r="Q1723" s="11"/>
      <c r="R1723" s="11"/>
      <c r="S1723" s="11"/>
      <c r="T1723" s="1"/>
      <c r="U1723" s="1"/>
      <c r="V1723" s="1"/>
      <c r="W1723" s="1"/>
      <c r="X1723" s="1"/>
      <c r="Y1723" s="1"/>
      <c r="Z1723" s="1"/>
    </row>
    <row r="1724" ht="18.0" hidden="1" customHeight="1" outlineLevel="2">
      <c r="A1724" s="1">
        <v>10.0</v>
      </c>
      <c r="B1724" s="1"/>
      <c r="C1724" s="1"/>
      <c r="D1724" s="1"/>
      <c r="E1724" s="14"/>
      <c r="F1724" s="15"/>
      <c r="G1724" s="16"/>
      <c r="H1724" s="11"/>
      <c r="I1724" s="7"/>
      <c r="J1724" s="7" t="str">
        <f>IFERROR(LET(_xlpm.v,
VLOOKUP($I1724,'用語辞書'!$A:$B,COLUMN('用語辞書'!B$1),FALSE),
IF(_xlpm.v=0,"",_xlpm.v)
),"")</f>
        <v/>
      </c>
      <c r="K1724" s="17"/>
      <c r="L1724" s="17" t="str">
        <f>IF(OR(COUNTIF('クラス'!$A$1:$A$1267,$B1724)&gt;0,$B1724="",$M1724=""),"",True)</f>
        <v/>
      </c>
      <c r="M1724" s="1" t="str">
        <f t="shared" si="27"/>
        <v>存在しない</v>
      </c>
      <c r="N1724" s="1" t="s">
        <v>29</v>
      </c>
      <c r="O1724" s="1"/>
      <c r="P1724" s="11"/>
      <c r="Q1724" s="11"/>
      <c r="R1724" s="11"/>
      <c r="S1724" s="11"/>
      <c r="T1724" s="1"/>
      <c r="U1724" s="1"/>
      <c r="V1724" s="1"/>
      <c r="W1724" s="1"/>
      <c r="X1724" s="1"/>
      <c r="Y1724" s="1"/>
      <c r="Z1724" s="1"/>
    </row>
    <row r="1725" ht="18.0" customHeight="1" outlineLevel="1" collapsed="1">
      <c r="A1725" s="1"/>
      <c r="B1725" s="1"/>
      <c r="C1725" s="1"/>
      <c r="D1725" s="1"/>
      <c r="E1725" s="14"/>
      <c r="F1725" s="15"/>
      <c r="G1725" s="16"/>
      <c r="H1725" s="11"/>
      <c r="I1725" s="7"/>
      <c r="J1725" s="7" t="str">
        <f>IFERROR(LET(_xlpm.v,
VLOOKUP($I1725,'用語辞書'!$A:$B,COLUMN('用語辞書'!B$1),FALSE),
IF(_xlpm.v=0,"",_xlpm.v)
),"")</f>
        <v/>
      </c>
      <c r="K1725" s="17"/>
      <c r="L1725" s="17" t="str">
        <f>IF(OR(COUNTIF('クラス'!$A$1:$A$1267,$B1725)&gt;0,$B1725="",$M1725=""),"",True)</f>
        <v/>
      </c>
      <c r="M1725" s="1" t="str">
        <f t="shared" si="27"/>
        <v>存在しない</v>
      </c>
      <c r="N1725" s="1" t="s">
        <v>29</v>
      </c>
      <c r="O1725" s="1"/>
      <c r="P1725" s="11"/>
      <c r="Q1725" s="11"/>
      <c r="R1725" s="11"/>
      <c r="S1725" s="11"/>
      <c r="T1725" s="1"/>
      <c r="U1725" s="1"/>
      <c r="V1725" s="1"/>
      <c r="W1725" s="1"/>
      <c r="X1725" s="1"/>
      <c r="Y1725" s="1"/>
      <c r="Z1725" s="1"/>
    </row>
    <row r="1726" ht="18.0" customHeight="1" outlineLevel="1">
      <c r="A1726" s="1"/>
      <c r="B1726" s="1"/>
      <c r="C1726" s="1"/>
      <c r="D1726" s="1"/>
      <c r="E1726" s="14"/>
      <c r="F1726" s="15"/>
      <c r="G1726" s="16"/>
      <c r="H1726" s="11"/>
      <c r="I1726" s="7"/>
      <c r="J1726" s="7" t="str">
        <f>IFERROR(LET(_xlpm.v,
VLOOKUP($I1726,'用語辞書'!$A:$B,COLUMN('用語辞書'!B$1),FALSE),
IF(_xlpm.v=0,"",_xlpm.v)
),"")</f>
        <v/>
      </c>
      <c r="K1726" s="17"/>
      <c r="L1726" s="17" t="str">
        <f>IF(OR(COUNTIF('クラス'!$A$1:$A$1267,$B1726)&gt;0,$B1726="",$M1726=""),"",True)</f>
        <v/>
      </c>
      <c r="M1726" s="1" t="str">
        <f t="shared" si="27"/>
        <v>存在しない</v>
      </c>
      <c r="N1726" s="1" t="s">
        <v>29</v>
      </c>
      <c r="O1726" s="1"/>
      <c r="P1726" s="11"/>
      <c r="Q1726" s="11"/>
      <c r="R1726" s="11"/>
      <c r="S1726" s="11"/>
      <c r="T1726" s="1"/>
      <c r="U1726" s="1"/>
      <c r="V1726" s="1"/>
      <c r="W1726" s="1"/>
      <c r="X1726" s="1"/>
      <c r="Y1726" s="1"/>
      <c r="Z1726" s="1"/>
    </row>
    <row r="1727" ht="18.0" customHeight="1" outlineLevel="1">
      <c r="A1727" s="1"/>
      <c r="B1727" s="26" t="s">
        <v>1957</v>
      </c>
      <c r="C1727" s="1"/>
      <c r="D1727" s="1"/>
      <c r="E1727" s="14"/>
      <c r="F1727" s="15"/>
      <c r="G1727" s="16"/>
      <c r="H1727" s="11"/>
      <c r="I1727" s="7"/>
      <c r="J1727" s="7" t="str">
        <f>IFERROR(LET(_xlpm.v,
VLOOKUP($I1727,'用語辞書'!$A:$B,COLUMN('用語辞書'!B$1),FALSE),
IF(_xlpm.v=0,"",_xlpm.v)
),"")</f>
        <v/>
      </c>
      <c r="K1727" s="17"/>
      <c r="L1727" s="17" t="str">
        <f>IF(OR(COUNTIF('クラス'!$A$1:$A$1267,$B1727)&gt;0,$B1727="",$M1727=""),"",True)</f>
        <v/>
      </c>
      <c r="M1727" s="1" t="str">
        <f t="shared" si="27"/>
        <v>存在しない</v>
      </c>
      <c r="N1727" s="1" t="s">
        <v>29</v>
      </c>
      <c r="O1727" s="1"/>
      <c r="P1727" s="11"/>
      <c r="Q1727" s="11"/>
      <c r="R1727" s="11"/>
      <c r="S1727" s="11"/>
      <c r="T1727" s="1"/>
      <c r="U1727" s="1"/>
      <c r="V1727" s="1"/>
      <c r="W1727" s="1"/>
      <c r="X1727" s="1"/>
      <c r="Y1727" s="1"/>
      <c r="Z1727" s="1"/>
    </row>
    <row r="1728" ht="18.0" hidden="1" customHeight="1" outlineLevel="2">
      <c r="A1728" s="1">
        <v>1.0</v>
      </c>
      <c r="B1728" s="26" t="s">
        <v>1958</v>
      </c>
      <c r="C1728" s="1"/>
      <c r="D1728" s="1"/>
      <c r="E1728" s="29" t="s">
        <v>33</v>
      </c>
      <c r="F1728" s="15"/>
      <c r="G1728" s="30">
        <v>40.0</v>
      </c>
      <c r="H1728" s="22" t="s">
        <v>1959</v>
      </c>
      <c r="I1728" s="7"/>
      <c r="J1728" s="7" t="str">
        <f>IFERROR(LET(_xlpm.v,
VLOOKUP($I1728,'用語辞書'!$A:$B,COLUMN('用語辞書'!B$1),FALSE),
IF(_xlpm.v=0,"",_xlpm.v)
),"")</f>
        <v/>
      </c>
      <c r="K1728" s="17"/>
      <c r="L1728" s="17" t="b">
        <f>IF(OR(COUNTIF('クラス'!$A$1:$A$1267,$B1728)&gt;0,$B1728="",$M1728=""),"",True)</f>
        <v>1</v>
      </c>
      <c r="M1728" s="1" t="str">
        <f t="shared" si="27"/>
        <v>存在しない</v>
      </c>
      <c r="N1728" s="1" t="s">
        <v>29</v>
      </c>
      <c r="O1728" s="1"/>
      <c r="P1728" s="11"/>
      <c r="Q1728" s="11"/>
      <c r="R1728" s="11"/>
      <c r="S1728" s="11"/>
      <c r="T1728" s="1"/>
      <c r="U1728" s="1"/>
      <c r="V1728" s="1"/>
      <c r="W1728" s="1"/>
      <c r="X1728" s="1"/>
      <c r="Y1728" s="1"/>
      <c r="Z1728" s="1"/>
    </row>
    <row r="1729" ht="18.0" hidden="1" customHeight="1" outlineLevel="2">
      <c r="A1729" s="1">
        <v>2.0</v>
      </c>
      <c r="B1729" s="26" t="s">
        <v>1960</v>
      </c>
      <c r="C1729" s="1"/>
      <c r="D1729" s="1"/>
      <c r="E1729" s="29" t="s">
        <v>33</v>
      </c>
      <c r="F1729" s="15"/>
      <c r="G1729" s="30">
        <v>70.0</v>
      </c>
      <c r="H1729" s="22" t="s">
        <v>1961</v>
      </c>
      <c r="I1729" s="7"/>
      <c r="J1729" s="7" t="str">
        <f>IFERROR(LET(_xlpm.v,
VLOOKUP($I1729,'用語辞書'!$A:$B,COLUMN('用語辞書'!B$1),FALSE),
IF(_xlpm.v=0,"",_xlpm.v)
),"")</f>
        <v/>
      </c>
      <c r="K1729" s="17"/>
      <c r="L1729" s="17" t="b">
        <f>IF(OR(COUNTIF('クラス'!$A$1:$A$1267,$B1729)&gt;0,$B1729="",$M1729=""),"",True)</f>
        <v>1</v>
      </c>
      <c r="M1729" s="1" t="str">
        <f t="shared" si="27"/>
        <v>存在しない</v>
      </c>
      <c r="N1729" s="1" t="s">
        <v>29</v>
      </c>
      <c r="O1729" s="1"/>
      <c r="P1729" s="11"/>
      <c r="Q1729" s="11"/>
      <c r="R1729" s="11"/>
      <c r="S1729" s="11"/>
      <c r="T1729" s="1"/>
      <c r="U1729" s="1"/>
      <c r="V1729" s="1"/>
      <c r="W1729" s="1"/>
      <c r="X1729" s="1"/>
      <c r="Y1729" s="1"/>
      <c r="Z1729" s="1"/>
    </row>
    <row r="1730" ht="18.0" hidden="1" customHeight="1" outlineLevel="2">
      <c r="A1730" s="1">
        <v>3.0</v>
      </c>
      <c r="B1730" s="26" t="s">
        <v>1962</v>
      </c>
      <c r="C1730" s="1"/>
      <c r="D1730" s="1"/>
      <c r="E1730" s="29" t="s">
        <v>55</v>
      </c>
      <c r="F1730" s="15"/>
      <c r="G1730" s="16"/>
      <c r="H1730" s="22" t="s">
        <v>1963</v>
      </c>
      <c r="I1730" s="7"/>
      <c r="J1730" s="7" t="str">
        <f>IFERROR(LET(_xlpm.v,
VLOOKUP($I1730,'用語辞書'!$A:$B,COLUMN('用語辞書'!B$1),FALSE),
IF(_xlpm.v=0,"",_xlpm.v)
),"")</f>
        <v/>
      </c>
      <c r="K1730" s="17"/>
      <c r="L1730" s="17" t="b">
        <f>IF(OR(COUNTIF('クラス'!$A$1:$A$1267,$B1730)&gt;0,$B1730="",$M1730=""),"",True)</f>
        <v>1</v>
      </c>
      <c r="M1730" s="1" t="str">
        <f t="shared" si="27"/>
        <v>存在しない</v>
      </c>
      <c r="N1730" s="1" t="s">
        <v>29</v>
      </c>
      <c r="O1730" s="1"/>
      <c r="P1730" s="11"/>
      <c r="Q1730" s="11"/>
      <c r="R1730" s="11"/>
      <c r="S1730" s="11"/>
      <c r="T1730" s="1"/>
      <c r="U1730" s="1"/>
      <c r="V1730" s="1"/>
      <c r="W1730" s="1"/>
      <c r="X1730" s="1"/>
      <c r="Y1730" s="1"/>
      <c r="Z1730" s="1"/>
    </row>
    <row r="1731" ht="18.0" hidden="1" customHeight="1" outlineLevel="2">
      <c r="A1731" s="1">
        <v>4.0</v>
      </c>
      <c r="B1731" s="26" t="s">
        <v>1932</v>
      </c>
      <c r="C1731" s="1"/>
      <c r="D1731" s="1"/>
      <c r="E1731" s="14"/>
      <c r="F1731" s="15"/>
      <c r="G1731" s="16"/>
      <c r="H1731" s="11"/>
      <c r="I1731" s="7"/>
      <c r="J1731" s="7" t="str">
        <f>IFERROR(LET(_xlpm.v,
VLOOKUP($I1731,'用語辞書'!$A:$B,COLUMN('用語辞書'!B$1),FALSE),
IF(_xlpm.v=0,"",_xlpm.v)
),"")</f>
        <v/>
      </c>
      <c r="K1731" s="17"/>
      <c r="L1731" s="17" t="str">
        <f>IF(OR(COUNTIF('クラス'!$A$1:$A$1267,$B1731)&gt;0,$B1731="",$M1731=""),"",True)</f>
        <v/>
      </c>
      <c r="M1731" s="1" t="str">
        <f t="shared" si="27"/>
        <v/>
      </c>
      <c r="N1731" s="1" t="s">
        <v>29</v>
      </c>
      <c r="O1731" s="1"/>
      <c r="P1731" s="11"/>
      <c r="Q1731" s="11"/>
      <c r="R1731" s="11"/>
      <c r="S1731" s="11"/>
      <c r="T1731" s="1"/>
      <c r="U1731" s="1"/>
      <c r="V1731" s="1"/>
      <c r="W1731" s="1"/>
      <c r="X1731" s="1"/>
      <c r="Y1731" s="1"/>
      <c r="Z1731" s="1"/>
    </row>
    <row r="1732" ht="18.0" hidden="1" customHeight="1" outlineLevel="2">
      <c r="A1732" s="1">
        <v>5.0</v>
      </c>
      <c r="B1732" s="1"/>
      <c r="C1732" s="1"/>
      <c r="D1732" s="1"/>
      <c r="E1732" s="14"/>
      <c r="F1732" s="15"/>
      <c r="G1732" s="16"/>
      <c r="H1732" s="11"/>
      <c r="I1732" s="7"/>
      <c r="J1732" s="7" t="str">
        <f>IFERROR(LET(_xlpm.v,
VLOOKUP($I1732,'用語辞書'!$A:$B,COLUMN('用語辞書'!B$1),FALSE),
IF(_xlpm.v=0,"",_xlpm.v)
),"")</f>
        <v/>
      </c>
      <c r="K1732" s="17"/>
      <c r="L1732" s="17" t="str">
        <f>IF(OR(COUNTIF('クラス'!$A$1:$A$1267,$B1732)&gt;0,$B1732="",$M1732=""),"",True)</f>
        <v/>
      </c>
      <c r="M1732" s="1" t="str">
        <f t="shared" si="27"/>
        <v>存在しない</v>
      </c>
      <c r="N1732" s="1" t="s">
        <v>29</v>
      </c>
      <c r="O1732" s="1"/>
      <c r="P1732" s="11"/>
      <c r="Q1732" s="11"/>
      <c r="R1732" s="11"/>
      <c r="S1732" s="11"/>
      <c r="T1732" s="1"/>
      <c r="U1732" s="1"/>
      <c r="V1732" s="1"/>
      <c r="W1732" s="1"/>
      <c r="X1732" s="1"/>
      <c r="Y1732" s="1"/>
      <c r="Z1732" s="1"/>
    </row>
    <row r="1733" ht="18.0" hidden="1" customHeight="1" outlineLevel="2">
      <c r="A1733" s="1">
        <v>6.0</v>
      </c>
      <c r="B1733" s="26" t="s">
        <v>1933</v>
      </c>
      <c r="C1733" s="1"/>
      <c r="D1733" s="1"/>
      <c r="E1733" s="14"/>
      <c r="F1733" s="15"/>
      <c r="G1733" s="16"/>
      <c r="H1733" s="11"/>
      <c r="I1733" s="7"/>
      <c r="J1733" s="7" t="str">
        <f>IFERROR(LET(_xlpm.v,
VLOOKUP($I1733,'用語辞書'!$A:$B,COLUMN('用語辞書'!B$1),FALSE),
IF(_xlpm.v=0,"",_xlpm.v)
),"")</f>
        <v/>
      </c>
      <c r="K1733" s="17"/>
      <c r="L1733" s="17" t="str">
        <f>IF(OR(COUNTIF('クラス'!$A$1:$A$1267,$B1733)&gt;0,$B1733="",$M1733=""),"",True)</f>
        <v/>
      </c>
      <c r="M1733" s="1" t="str">
        <f t="shared" si="27"/>
        <v/>
      </c>
      <c r="N1733" s="1" t="s">
        <v>29</v>
      </c>
      <c r="O1733" s="1"/>
      <c r="P1733" s="11"/>
      <c r="Q1733" s="11"/>
      <c r="R1733" s="11"/>
      <c r="S1733" s="11"/>
      <c r="T1733" s="1"/>
      <c r="U1733" s="1"/>
      <c r="V1733" s="1"/>
      <c r="W1733" s="1"/>
      <c r="X1733" s="1"/>
      <c r="Y1733" s="1"/>
      <c r="Z1733" s="1"/>
    </row>
    <row r="1734" ht="18.0" hidden="1" customHeight="1" outlineLevel="2">
      <c r="A1734" s="1">
        <v>7.0</v>
      </c>
      <c r="B1734" s="1"/>
      <c r="C1734" s="1"/>
      <c r="D1734" s="1"/>
      <c r="E1734" s="14"/>
      <c r="F1734" s="15"/>
      <c r="G1734" s="16"/>
      <c r="H1734" s="11"/>
      <c r="I1734" s="7"/>
      <c r="J1734" s="7" t="str">
        <f>IFERROR(LET(_xlpm.v,
VLOOKUP($I1734,'用語辞書'!$A:$B,COLUMN('用語辞書'!B$1),FALSE),
IF(_xlpm.v=0,"",_xlpm.v)
),"")</f>
        <v/>
      </c>
      <c r="K1734" s="17"/>
      <c r="L1734" s="17" t="str">
        <f>IF(OR(COUNTIF('クラス'!$A$1:$A$1267,$B1734)&gt;0,$B1734="",$M1734=""),"",True)</f>
        <v/>
      </c>
      <c r="M1734" s="1" t="str">
        <f t="shared" si="27"/>
        <v>存在しない</v>
      </c>
      <c r="N1734" s="1" t="s">
        <v>29</v>
      </c>
      <c r="O1734" s="1"/>
      <c r="P1734" s="11"/>
      <c r="Q1734" s="11"/>
      <c r="R1734" s="11"/>
      <c r="S1734" s="11"/>
      <c r="T1734" s="1"/>
      <c r="U1734" s="1"/>
      <c r="V1734" s="1"/>
      <c r="W1734" s="1"/>
      <c r="X1734" s="1"/>
      <c r="Y1734" s="1"/>
      <c r="Z1734" s="1"/>
    </row>
    <row r="1735" ht="18.0" hidden="1" customHeight="1" outlineLevel="2">
      <c r="A1735" s="1">
        <v>8.0</v>
      </c>
      <c r="B1735" s="26" t="s">
        <v>1935</v>
      </c>
      <c r="C1735" s="1"/>
      <c r="D1735" s="1"/>
      <c r="E1735" s="14"/>
      <c r="F1735" s="15"/>
      <c r="G1735" s="16"/>
      <c r="H1735" s="11"/>
      <c r="I1735" s="7"/>
      <c r="J1735" s="7" t="str">
        <f>IFERROR(LET(_xlpm.v,
VLOOKUP($I1735,'用語辞書'!$A:$B,COLUMN('用語辞書'!B$1),FALSE),
IF(_xlpm.v=0,"",_xlpm.v)
),"")</f>
        <v/>
      </c>
      <c r="K1735" s="17"/>
      <c r="L1735" s="17" t="str">
        <f>IF(OR(COUNTIF('クラス'!$A$1:$A$1267,$B1735)&gt;0,$B1735="",$M1735=""),"",True)</f>
        <v/>
      </c>
      <c r="M1735" s="1" t="str">
        <f t="shared" si="27"/>
        <v/>
      </c>
      <c r="N1735" s="1" t="s">
        <v>29</v>
      </c>
      <c r="O1735" s="1"/>
      <c r="P1735" s="11"/>
      <c r="Q1735" s="11"/>
      <c r="R1735" s="11"/>
      <c r="S1735" s="11"/>
      <c r="T1735" s="1"/>
      <c r="U1735" s="1"/>
      <c r="V1735" s="1"/>
      <c r="W1735" s="1"/>
      <c r="X1735" s="1"/>
      <c r="Y1735" s="1"/>
      <c r="Z1735" s="1"/>
    </row>
    <row r="1736" ht="18.0" hidden="1" customHeight="1" outlineLevel="2">
      <c r="A1736" s="1">
        <v>9.0</v>
      </c>
      <c r="B1736" s="1"/>
      <c r="C1736" s="1"/>
      <c r="D1736" s="1"/>
      <c r="E1736" s="14"/>
      <c r="F1736" s="15"/>
      <c r="G1736" s="16"/>
      <c r="H1736" s="11"/>
      <c r="I1736" s="7"/>
      <c r="J1736" s="7" t="str">
        <f>IFERROR(LET(_xlpm.v,
VLOOKUP($I1736,'用語辞書'!$A:$B,COLUMN('用語辞書'!B$1),FALSE),
IF(_xlpm.v=0,"",_xlpm.v)
),"")</f>
        <v/>
      </c>
      <c r="K1736" s="17"/>
      <c r="L1736" s="17" t="str">
        <f>IF(OR(COUNTIF('クラス'!$A$1:$A$1267,$B1736)&gt;0,$B1736="",$M1736=""),"",True)</f>
        <v/>
      </c>
      <c r="M1736" s="1" t="str">
        <f t="shared" si="27"/>
        <v>存在しない</v>
      </c>
      <c r="N1736" s="1" t="s">
        <v>29</v>
      </c>
      <c r="O1736" s="1"/>
      <c r="P1736" s="11"/>
      <c r="Q1736" s="11"/>
      <c r="R1736" s="11"/>
      <c r="S1736" s="11"/>
      <c r="T1736" s="1"/>
      <c r="U1736" s="1"/>
      <c r="V1736" s="1"/>
      <c r="W1736" s="1"/>
      <c r="X1736" s="1"/>
      <c r="Y1736" s="1"/>
      <c r="Z1736" s="1"/>
    </row>
    <row r="1737" ht="18.0" hidden="1" customHeight="1" outlineLevel="2">
      <c r="A1737" s="1">
        <v>10.0</v>
      </c>
      <c r="B1737" s="1"/>
      <c r="C1737" s="1"/>
      <c r="D1737" s="1"/>
      <c r="E1737" s="14"/>
      <c r="F1737" s="15"/>
      <c r="G1737" s="16"/>
      <c r="H1737" s="11"/>
      <c r="I1737" s="7"/>
      <c r="J1737" s="7" t="str">
        <f>IFERROR(LET(_xlpm.v,
VLOOKUP($I1737,'用語辞書'!$A:$B,COLUMN('用語辞書'!B$1),FALSE),
IF(_xlpm.v=0,"",_xlpm.v)
),"")</f>
        <v/>
      </c>
      <c r="K1737" s="17"/>
      <c r="L1737" s="17" t="str">
        <f>IF(OR(COUNTIF('クラス'!$A$1:$A$1267,$B1737)&gt;0,$B1737="",$M1737=""),"",True)</f>
        <v/>
      </c>
      <c r="M1737" s="1" t="str">
        <f t="shared" si="27"/>
        <v>存在しない</v>
      </c>
      <c r="N1737" s="1" t="s">
        <v>29</v>
      </c>
      <c r="O1737" s="1"/>
      <c r="P1737" s="11"/>
      <c r="Q1737" s="11"/>
      <c r="R1737" s="11"/>
      <c r="S1737" s="11"/>
      <c r="T1737" s="1"/>
      <c r="U1737" s="1"/>
      <c r="V1737" s="1"/>
      <c r="W1737" s="1"/>
      <c r="X1737" s="1"/>
      <c r="Y1737" s="1"/>
      <c r="Z1737" s="1"/>
    </row>
    <row r="1738" ht="18.0" customHeight="1" collapsed="1">
      <c r="A1738" s="1"/>
      <c r="B1738" s="1"/>
      <c r="C1738" s="1"/>
      <c r="D1738" s="1"/>
      <c r="E1738" s="14"/>
      <c r="F1738" s="15"/>
      <c r="G1738" s="16"/>
      <c r="H1738" s="11"/>
      <c r="I1738" s="7"/>
      <c r="J1738" s="7" t="str">
        <f>IFERROR(LET(_xlpm.v,
VLOOKUP($I1738,'用語辞書'!$A:$B,COLUMN('用語辞書'!B$1),FALSE),
IF(_xlpm.v=0,"",_xlpm.v)
),"")</f>
        <v/>
      </c>
      <c r="K1738" s="17"/>
      <c r="L1738" s="17" t="str">
        <f>IF(OR(COUNTIF('クラス'!$A$1:$A$1267,$B1738)&gt;0,$B1738="",$M1738=""),"",True)</f>
        <v/>
      </c>
      <c r="M1738" s="1" t="str">
        <f t="shared" si="27"/>
        <v>存在しない</v>
      </c>
      <c r="N1738" s="1" t="s">
        <v>29</v>
      </c>
      <c r="O1738" s="1"/>
      <c r="P1738" s="11"/>
      <c r="Q1738" s="11"/>
      <c r="R1738" s="11"/>
      <c r="S1738" s="11"/>
      <c r="T1738" s="1"/>
      <c r="U1738" s="1"/>
      <c r="V1738" s="1"/>
      <c r="W1738" s="1"/>
      <c r="X1738" s="1"/>
      <c r="Y1738" s="1"/>
      <c r="Z1738" s="1"/>
    </row>
    <row r="1739" ht="18.0" customHeight="1">
      <c r="A1739" s="1"/>
      <c r="B1739" s="1"/>
      <c r="C1739" s="26" t="s">
        <v>1964</v>
      </c>
      <c r="D1739" s="1"/>
      <c r="E1739" s="14"/>
      <c r="F1739" s="15"/>
      <c r="G1739" s="16"/>
      <c r="H1739" s="11"/>
      <c r="I1739" s="7"/>
      <c r="J1739" s="7" t="str">
        <f>IFERROR(LET(_xlpm.v,
VLOOKUP($I1739,'用語辞書'!$A:$B,COLUMN('用語辞書'!B$1),FALSE),
IF(_xlpm.v=0,"",_xlpm.v)
),"")</f>
        <v/>
      </c>
      <c r="K1739" s="17"/>
      <c r="L1739" s="17" t="str">
        <f>IF(OR(COUNTIF('クラス'!$A$1:$A$1267,$B1739)&gt;0,$B1739="",$M1739=""),"",True)</f>
        <v/>
      </c>
      <c r="M1739" s="1" t="str">
        <f t="shared" si="27"/>
        <v>存在しない</v>
      </c>
      <c r="N1739" s="1" t="s">
        <v>29</v>
      </c>
      <c r="O1739" s="1"/>
      <c r="P1739" s="11"/>
      <c r="Q1739" s="11"/>
      <c r="R1739" s="11"/>
      <c r="S1739" s="11"/>
      <c r="T1739" s="1"/>
      <c r="U1739" s="1"/>
      <c r="V1739" s="1"/>
      <c r="W1739" s="1"/>
      <c r="X1739" s="1"/>
      <c r="Y1739" s="1"/>
      <c r="Z1739" s="1"/>
    </row>
    <row r="1740" ht="18.0" customHeight="1" outlineLevel="1">
      <c r="A1740" s="1"/>
      <c r="B1740" s="26" t="s">
        <v>1965</v>
      </c>
      <c r="C1740" s="1"/>
      <c r="D1740" s="1"/>
      <c r="E1740" s="14"/>
      <c r="F1740" s="15"/>
      <c r="G1740" s="16"/>
      <c r="H1740" s="11"/>
      <c r="I1740" s="7"/>
      <c r="J1740" s="7" t="str">
        <f>IFERROR(LET(_xlpm.v,
VLOOKUP($I1740,'用語辞書'!$A:$B,COLUMN('用語辞書'!B$1),FALSE),
IF(_xlpm.v=0,"",_xlpm.v)
),"")</f>
        <v/>
      </c>
      <c r="K1740" s="17"/>
      <c r="L1740" s="17" t="str">
        <f>IF(OR(COUNTIF('クラス'!$A$1:$A$1267,$B1740)&gt;0,$B1740="",$M1740=""),"",True)</f>
        <v/>
      </c>
      <c r="M1740" s="1" t="str">
        <f t="shared" si="27"/>
        <v>存在しない</v>
      </c>
      <c r="N1740" s="1" t="s">
        <v>29</v>
      </c>
      <c r="O1740" s="1"/>
      <c r="P1740" s="11"/>
      <c r="Q1740" s="11"/>
      <c r="R1740" s="11"/>
      <c r="S1740" s="11"/>
      <c r="T1740" s="1"/>
      <c r="U1740" s="1"/>
      <c r="V1740" s="1"/>
      <c r="W1740" s="1"/>
      <c r="X1740" s="1"/>
      <c r="Y1740" s="1"/>
      <c r="Z1740" s="1"/>
    </row>
    <row r="1741" ht="18.0" hidden="1" customHeight="1" outlineLevel="2">
      <c r="A1741" s="1">
        <v>1.0</v>
      </c>
      <c r="B1741" s="26" t="s">
        <v>1966</v>
      </c>
      <c r="C1741" s="1"/>
      <c r="D1741" s="1"/>
      <c r="E1741" s="29" t="s">
        <v>33</v>
      </c>
      <c r="F1741" s="15"/>
      <c r="G1741" s="30">
        <v>40.0</v>
      </c>
      <c r="H1741" s="22" t="s">
        <v>1967</v>
      </c>
      <c r="I1741" s="7"/>
      <c r="J1741" s="7" t="str">
        <f>IFERROR(LET(_xlpm.v,
VLOOKUP($I1741,'用語辞書'!$A:$B,COLUMN('用語辞書'!B$1),FALSE),
IF(_xlpm.v=0,"",_xlpm.v)
),"")</f>
        <v/>
      </c>
      <c r="K1741" s="17"/>
      <c r="L1741" s="17" t="b">
        <f>IF(OR(COUNTIF('クラス'!$A$1:$A$1267,$B1741)&gt;0,$B1741="",$M1741=""),"",True)</f>
        <v>1</v>
      </c>
      <c r="M1741" s="1" t="str">
        <f t="shared" si="27"/>
        <v>存在しない</v>
      </c>
      <c r="N1741" s="1" t="s">
        <v>29</v>
      </c>
      <c r="O1741" s="1"/>
      <c r="P1741" s="11"/>
      <c r="Q1741" s="11"/>
      <c r="R1741" s="11"/>
      <c r="S1741" s="11"/>
      <c r="T1741" s="1"/>
      <c r="U1741" s="1"/>
      <c r="V1741" s="1"/>
      <c r="W1741" s="1"/>
      <c r="X1741" s="1"/>
      <c r="Y1741" s="1"/>
      <c r="Z1741" s="1"/>
    </row>
    <row r="1742" ht="18.0" hidden="1" customHeight="1" outlineLevel="2">
      <c r="A1742" s="1">
        <v>2.0</v>
      </c>
      <c r="B1742" s="26" t="s">
        <v>1968</v>
      </c>
      <c r="C1742" s="1"/>
      <c r="D1742" s="1"/>
      <c r="E1742" s="29" t="s">
        <v>33</v>
      </c>
      <c r="F1742" s="15"/>
      <c r="G1742" s="30">
        <v>50.0</v>
      </c>
      <c r="H1742" s="22" t="s">
        <v>1969</v>
      </c>
      <c r="I1742" s="7"/>
      <c r="J1742" s="7" t="str">
        <f>IFERROR(LET(_xlpm.v,
VLOOKUP($I1742,'用語辞書'!$A:$B,COLUMN('用語辞書'!B$1),FALSE),
IF(_xlpm.v=0,"",_xlpm.v)
),"")</f>
        <v/>
      </c>
      <c r="K1742" s="17"/>
      <c r="L1742" s="17" t="b">
        <f>IF(OR(COUNTIF('クラス'!$A$1:$A$1267,$B1742)&gt;0,$B1742="",$M1742=""),"",True)</f>
        <v>1</v>
      </c>
      <c r="M1742" s="1" t="str">
        <f t="shared" si="27"/>
        <v>存在しない</v>
      </c>
      <c r="N1742" s="1" t="s">
        <v>29</v>
      </c>
      <c r="O1742" s="1"/>
      <c r="P1742" s="11"/>
      <c r="Q1742" s="11"/>
      <c r="R1742" s="11"/>
      <c r="S1742" s="11"/>
      <c r="T1742" s="1"/>
      <c r="U1742" s="1"/>
      <c r="V1742" s="1"/>
      <c r="W1742" s="1"/>
      <c r="X1742" s="1"/>
      <c r="Y1742" s="1"/>
      <c r="Z1742" s="1"/>
    </row>
    <row r="1743" ht="18.0" hidden="1" customHeight="1" outlineLevel="2">
      <c r="A1743" s="1">
        <v>3.0</v>
      </c>
      <c r="B1743" s="26" t="s">
        <v>1970</v>
      </c>
      <c r="C1743" s="1"/>
      <c r="D1743" s="1"/>
      <c r="E1743" s="29" t="s">
        <v>55</v>
      </c>
      <c r="F1743" s="15"/>
      <c r="G1743" s="16"/>
      <c r="H1743" s="22" t="s">
        <v>1971</v>
      </c>
      <c r="I1743" s="7"/>
      <c r="J1743" s="7" t="str">
        <f>IFERROR(LET(_xlpm.v,
VLOOKUP($I1743,'用語辞書'!$A:$B,COLUMN('用語辞書'!B$1),FALSE),
IF(_xlpm.v=0,"",_xlpm.v)
),"")</f>
        <v/>
      </c>
      <c r="K1743" s="17"/>
      <c r="L1743" s="17" t="b">
        <f>IF(OR(COUNTIF('クラス'!$A$1:$A$1267,$B1743)&gt;0,$B1743="",$M1743=""),"",True)</f>
        <v>1</v>
      </c>
      <c r="M1743" s="1" t="str">
        <f t="shared" si="27"/>
        <v>存在しない</v>
      </c>
      <c r="N1743" s="1" t="s">
        <v>29</v>
      </c>
      <c r="O1743" s="1"/>
      <c r="P1743" s="11"/>
      <c r="Q1743" s="11"/>
      <c r="R1743" s="11"/>
      <c r="S1743" s="11"/>
      <c r="T1743" s="1"/>
      <c r="U1743" s="1"/>
      <c r="V1743" s="1"/>
      <c r="W1743" s="1"/>
      <c r="X1743" s="1"/>
      <c r="Y1743" s="1"/>
      <c r="Z1743" s="1"/>
    </row>
    <row r="1744" ht="18.0" hidden="1" customHeight="1" outlineLevel="2">
      <c r="A1744" s="1">
        <v>4.0</v>
      </c>
      <c r="B1744" s="1"/>
      <c r="C1744" s="1"/>
      <c r="D1744" s="1"/>
      <c r="E1744" s="14"/>
      <c r="F1744" s="15"/>
      <c r="G1744" s="16"/>
      <c r="H1744" s="11"/>
      <c r="I1744" s="7"/>
      <c r="J1744" s="7" t="str">
        <f>IFERROR(LET(_xlpm.v,
VLOOKUP($I1744,'用語辞書'!$A:$B,COLUMN('用語辞書'!B$1),FALSE),
IF(_xlpm.v=0,"",_xlpm.v)
),"")</f>
        <v/>
      </c>
      <c r="K1744" s="17"/>
      <c r="L1744" s="17" t="str">
        <f>IF(OR(COUNTIF('クラス'!$A$1:$A$1267,$B1744)&gt;0,$B1744="",$M1744=""),"",True)</f>
        <v/>
      </c>
      <c r="M1744" s="1" t="str">
        <f t="shared" si="27"/>
        <v>存在しない</v>
      </c>
      <c r="N1744" s="1" t="s">
        <v>29</v>
      </c>
      <c r="O1744" s="1"/>
      <c r="P1744" s="11"/>
      <c r="Q1744" s="11"/>
      <c r="R1744" s="11"/>
      <c r="S1744" s="11"/>
      <c r="T1744" s="1"/>
      <c r="U1744" s="1"/>
      <c r="V1744" s="1"/>
      <c r="W1744" s="1"/>
      <c r="X1744" s="1"/>
      <c r="Y1744" s="1"/>
      <c r="Z1744" s="1"/>
    </row>
    <row r="1745" ht="18.0" hidden="1" customHeight="1" outlineLevel="2">
      <c r="A1745" s="1">
        <v>5.0</v>
      </c>
      <c r="B1745" s="26" t="s">
        <v>1243</v>
      </c>
      <c r="C1745" s="1"/>
      <c r="D1745" s="1"/>
      <c r="E1745" s="14"/>
      <c r="F1745" s="15"/>
      <c r="G1745" s="16"/>
      <c r="H1745" s="11"/>
      <c r="I1745" s="7"/>
      <c r="J1745" s="7" t="str">
        <f>IFERROR(LET(_xlpm.v,
VLOOKUP($I1745,'用語辞書'!$A:$B,COLUMN('用語辞書'!B$1),FALSE),
IF(_xlpm.v=0,"",_xlpm.v)
),"")</f>
        <v/>
      </c>
      <c r="K1745" s="17"/>
      <c r="L1745" s="17" t="str">
        <f>IF(OR(COUNTIF('クラス'!$A$1:$A$1267,$B1745)&gt;0,$B1745="",$M1745=""),"",True)</f>
        <v/>
      </c>
      <c r="M1745" s="1" t="str">
        <f t="shared" si="27"/>
        <v/>
      </c>
      <c r="N1745" s="1" t="s">
        <v>29</v>
      </c>
      <c r="O1745" s="1"/>
      <c r="P1745" s="11"/>
      <c r="Q1745" s="11"/>
      <c r="R1745" s="11"/>
      <c r="S1745" s="11"/>
      <c r="T1745" s="1"/>
      <c r="U1745" s="1"/>
      <c r="V1745" s="1"/>
      <c r="W1745" s="1"/>
      <c r="X1745" s="1"/>
      <c r="Y1745" s="1"/>
      <c r="Z1745" s="1"/>
    </row>
    <row r="1746" ht="18.0" hidden="1" customHeight="1" outlineLevel="2">
      <c r="A1746" s="1">
        <v>6.0</v>
      </c>
      <c r="B1746" s="1"/>
      <c r="C1746" s="1"/>
      <c r="D1746" s="1"/>
      <c r="E1746" s="14"/>
      <c r="F1746" s="15"/>
      <c r="G1746" s="16"/>
      <c r="H1746" s="11"/>
      <c r="I1746" s="7"/>
      <c r="J1746" s="7" t="str">
        <f>IFERROR(LET(_xlpm.v,
VLOOKUP($I1746,'用語辞書'!$A:$B,COLUMN('用語辞書'!B$1),FALSE),
IF(_xlpm.v=0,"",_xlpm.v)
),"")</f>
        <v/>
      </c>
      <c r="K1746" s="17"/>
      <c r="L1746" s="17" t="str">
        <f>IF(OR(COUNTIF('クラス'!$A$1:$A$1267,$B1746)&gt;0,$B1746="",$M1746=""),"",True)</f>
        <v/>
      </c>
      <c r="M1746" s="1" t="str">
        <f t="shared" si="27"/>
        <v>存在しない</v>
      </c>
      <c r="N1746" s="1" t="s">
        <v>29</v>
      </c>
      <c r="O1746" s="1"/>
      <c r="P1746" s="11"/>
      <c r="Q1746" s="11"/>
      <c r="R1746" s="11"/>
      <c r="S1746" s="11"/>
      <c r="T1746" s="1"/>
      <c r="U1746" s="1"/>
      <c r="V1746" s="1"/>
      <c r="W1746" s="1"/>
      <c r="X1746" s="1"/>
      <c r="Y1746" s="1"/>
      <c r="Z1746" s="1"/>
    </row>
    <row r="1747" ht="18.0" hidden="1" customHeight="1" outlineLevel="2">
      <c r="A1747" s="1">
        <v>7.0</v>
      </c>
      <c r="B1747" s="26" t="s">
        <v>1972</v>
      </c>
      <c r="C1747" s="1"/>
      <c r="D1747" s="1"/>
      <c r="E1747" s="29" t="s">
        <v>55</v>
      </c>
      <c r="F1747" s="15"/>
      <c r="G1747" s="16"/>
      <c r="H1747" s="22" t="s">
        <v>1973</v>
      </c>
      <c r="I1747" s="7"/>
      <c r="J1747" s="7" t="str">
        <f>IFERROR(LET(_xlpm.v,
VLOOKUP($I1747,'用語辞書'!$A:$B,COLUMN('用語辞書'!B$1),FALSE),
IF(_xlpm.v=0,"",_xlpm.v)
),"")</f>
        <v/>
      </c>
      <c r="K1747" s="17"/>
      <c r="L1747" s="17" t="b">
        <f>IF(OR(COUNTIF('クラス'!$A$1:$A$1267,$B1747)&gt;0,$B1747="",$M1747=""),"",True)</f>
        <v>1</v>
      </c>
      <c r="M1747" s="1" t="str">
        <f t="shared" si="27"/>
        <v>存在しない</v>
      </c>
      <c r="N1747" s="1" t="s">
        <v>29</v>
      </c>
      <c r="O1747" s="1"/>
      <c r="P1747" s="11"/>
      <c r="Q1747" s="11"/>
      <c r="R1747" s="11"/>
      <c r="S1747" s="11"/>
      <c r="T1747" s="1"/>
      <c r="U1747" s="1"/>
      <c r="V1747" s="1"/>
      <c r="W1747" s="1"/>
      <c r="X1747" s="1"/>
      <c r="Y1747" s="1"/>
      <c r="Z1747" s="1"/>
    </row>
    <row r="1748" ht="18.0" hidden="1" customHeight="1" outlineLevel="2">
      <c r="A1748" s="1">
        <v>8.0</v>
      </c>
      <c r="B1748" s="1"/>
      <c r="C1748" s="1"/>
      <c r="D1748" s="1"/>
      <c r="E1748" s="14"/>
      <c r="F1748" s="15"/>
      <c r="G1748" s="16"/>
      <c r="H1748" s="11"/>
      <c r="I1748" s="7"/>
      <c r="J1748" s="7" t="str">
        <f>IFERROR(LET(_xlpm.v,
VLOOKUP($I1748,'用語辞書'!$A:$B,COLUMN('用語辞書'!B$1),FALSE),
IF(_xlpm.v=0,"",_xlpm.v)
),"")</f>
        <v/>
      </c>
      <c r="K1748" s="17"/>
      <c r="L1748" s="17" t="str">
        <f>IF(OR(COUNTIF('クラス'!$A$1:$A$1267,$B1748)&gt;0,$B1748="",$M1748=""),"",True)</f>
        <v/>
      </c>
      <c r="M1748" s="1" t="str">
        <f t="shared" si="27"/>
        <v>存在しない</v>
      </c>
      <c r="N1748" s="1" t="s">
        <v>29</v>
      </c>
      <c r="O1748" s="1"/>
      <c r="P1748" s="11"/>
      <c r="Q1748" s="11"/>
      <c r="R1748" s="11"/>
      <c r="S1748" s="11"/>
      <c r="T1748" s="1"/>
      <c r="U1748" s="1"/>
      <c r="V1748" s="1"/>
      <c r="W1748" s="1"/>
      <c r="X1748" s="1"/>
      <c r="Y1748" s="1"/>
      <c r="Z1748" s="1"/>
    </row>
    <row r="1749" ht="18.0" hidden="1" customHeight="1" outlineLevel="2">
      <c r="A1749" s="1">
        <v>9.0</v>
      </c>
      <c r="B1749" s="26" t="s">
        <v>1266</v>
      </c>
      <c r="C1749" s="1"/>
      <c r="D1749" s="1"/>
      <c r="E1749" s="14"/>
      <c r="F1749" s="15"/>
      <c r="G1749" s="16"/>
      <c r="H1749" s="11"/>
      <c r="I1749" s="7"/>
      <c r="J1749" s="7" t="str">
        <f>IFERROR(LET(_xlpm.v,
VLOOKUP($I1749,'用語辞書'!$A:$B,COLUMN('用語辞書'!B$1),FALSE),
IF(_xlpm.v=0,"",_xlpm.v)
),"")</f>
        <v/>
      </c>
      <c r="K1749" s="17"/>
      <c r="L1749" s="17" t="str">
        <f>IF(OR(COUNTIF('クラス'!$A$1:$A$1267,$B1749)&gt;0,$B1749="",$M1749=""),"",True)</f>
        <v/>
      </c>
      <c r="M1749" s="1" t="str">
        <f t="shared" si="27"/>
        <v/>
      </c>
      <c r="N1749" s="1" t="s">
        <v>29</v>
      </c>
      <c r="O1749" s="1"/>
      <c r="P1749" s="11"/>
      <c r="Q1749" s="11"/>
      <c r="R1749" s="11"/>
      <c r="S1749" s="11"/>
      <c r="T1749" s="1"/>
      <c r="U1749" s="1"/>
      <c r="V1749" s="1"/>
      <c r="W1749" s="1"/>
      <c r="X1749" s="1"/>
      <c r="Y1749" s="1"/>
      <c r="Z1749" s="1"/>
    </row>
    <row r="1750" ht="18.0" hidden="1" customHeight="1" outlineLevel="2">
      <c r="A1750" s="1">
        <v>10.0</v>
      </c>
      <c r="B1750" s="1"/>
      <c r="C1750" s="1"/>
      <c r="D1750" s="1"/>
      <c r="E1750" s="14"/>
      <c r="F1750" s="15"/>
      <c r="G1750" s="16"/>
      <c r="H1750" s="11"/>
      <c r="I1750" s="7"/>
      <c r="J1750" s="7" t="str">
        <f>IFERROR(LET(_xlpm.v,
VLOOKUP($I1750,'用語辞書'!$A:$B,COLUMN('用語辞書'!B$1),FALSE),
IF(_xlpm.v=0,"",_xlpm.v)
),"")</f>
        <v/>
      </c>
      <c r="K1750" s="17"/>
      <c r="L1750" s="17" t="str">
        <f>IF(OR(COUNTIF('クラス'!$A$1:$A$1267,$B1750)&gt;0,$B1750="",$M1750=""),"",True)</f>
        <v/>
      </c>
      <c r="M1750" s="1" t="str">
        <f t="shared" si="27"/>
        <v>存在しない</v>
      </c>
      <c r="N1750" s="1" t="s">
        <v>29</v>
      </c>
      <c r="O1750" s="1"/>
      <c r="P1750" s="11"/>
      <c r="Q1750" s="11"/>
      <c r="R1750" s="11"/>
      <c r="S1750" s="11"/>
      <c r="T1750" s="1"/>
      <c r="U1750" s="1"/>
      <c r="V1750" s="1"/>
      <c r="W1750" s="1"/>
      <c r="X1750" s="1"/>
      <c r="Y1750" s="1"/>
      <c r="Z1750" s="1"/>
    </row>
    <row r="1751" ht="18.0" customHeight="1" outlineLevel="1" collapsed="1">
      <c r="A1751" s="1"/>
      <c r="B1751" s="1"/>
      <c r="C1751" s="1"/>
      <c r="D1751" s="1"/>
      <c r="E1751" s="14"/>
      <c r="F1751" s="15"/>
      <c r="G1751" s="16"/>
      <c r="H1751" s="11"/>
      <c r="I1751" s="7"/>
      <c r="J1751" s="7" t="str">
        <f>IFERROR(LET(_xlpm.v,
VLOOKUP($I1751,'用語辞書'!$A:$B,COLUMN('用語辞書'!B$1),FALSE),
IF(_xlpm.v=0,"",_xlpm.v)
),"")</f>
        <v/>
      </c>
      <c r="K1751" s="17"/>
      <c r="L1751" s="17" t="str">
        <f>IF(OR(COUNTIF('クラス'!$A$1:$A$1267,$B1751)&gt;0,$B1751="",$M1751=""),"",True)</f>
        <v/>
      </c>
      <c r="M1751" s="1" t="str">
        <f t="shared" si="27"/>
        <v>存在しない</v>
      </c>
      <c r="N1751" s="1" t="s">
        <v>29</v>
      </c>
      <c r="O1751" s="1"/>
      <c r="P1751" s="11"/>
      <c r="Q1751" s="11"/>
      <c r="R1751" s="11"/>
      <c r="S1751" s="11"/>
      <c r="T1751" s="1"/>
      <c r="U1751" s="1"/>
      <c r="V1751" s="1"/>
      <c r="W1751" s="1"/>
      <c r="X1751" s="1"/>
      <c r="Y1751" s="1"/>
      <c r="Z1751" s="1"/>
    </row>
    <row r="1752" ht="18.0" customHeight="1" outlineLevel="1">
      <c r="A1752" s="1"/>
      <c r="B1752" s="1"/>
      <c r="C1752" s="1"/>
      <c r="D1752" s="1"/>
      <c r="E1752" s="14"/>
      <c r="F1752" s="15"/>
      <c r="G1752" s="16"/>
      <c r="H1752" s="11"/>
      <c r="I1752" s="7"/>
      <c r="J1752" s="7" t="str">
        <f>IFERROR(LET(_xlpm.v,
VLOOKUP($I1752,'用語辞書'!$A:$B,COLUMN('用語辞書'!B$1),FALSE),
IF(_xlpm.v=0,"",_xlpm.v)
),"")</f>
        <v/>
      </c>
      <c r="K1752" s="17"/>
      <c r="L1752" s="17" t="str">
        <f>IF(OR(COUNTIF('クラス'!$A$1:$A$1267,$B1752)&gt;0,$B1752="",$M1752=""),"",True)</f>
        <v/>
      </c>
      <c r="M1752" s="1" t="str">
        <f t="shared" si="27"/>
        <v>存在しない</v>
      </c>
      <c r="N1752" s="1" t="s">
        <v>29</v>
      </c>
      <c r="O1752" s="1"/>
      <c r="P1752" s="11"/>
      <c r="Q1752" s="11"/>
      <c r="R1752" s="11"/>
      <c r="S1752" s="11"/>
      <c r="T1752" s="1"/>
      <c r="U1752" s="1"/>
      <c r="V1752" s="1"/>
      <c r="W1752" s="1"/>
      <c r="X1752" s="1"/>
      <c r="Y1752" s="1"/>
      <c r="Z1752" s="1"/>
    </row>
    <row r="1753" ht="18.0" customHeight="1" outlineLevel="1">
      <c r="A1753" s="1"/>
      <c r="B1753" s="26" t="s">
        <v>1974</v>
      </c>
      <c r="C1753" s="1"/>
      <c r="D1753" s="1"/>
      <c r="E1753" s="14"/>
      <c r="F1753" s="15"/>
      <c r="G1753" s="16"/>
      <c r="H1753" s="11"/>
      <c r="I1753" s="7"/>
      <c r="J1753" s="7" t="str">
        <f>IFERROR(LET(_xlpm.v,
VLOOKUP($I1753,'用語辞書'!$A:$B,COLUMN('用語辞書'!B$1),FALSE),
IF(_xlpm.v=0,"",_xlpm.v)
),"")</f>
        <v/>
      </c>
      <c r="K1753" s="17"/>
      <c r="L1753" s="17" t="str">
        <f>IF(OR(COUNTIF('クラス'!$A$1:$A$1267,$B1753)&gt;0,$B1753="",$M1753=""),"",True)</f>
        <v/>
      </c>
      <c r="M1753" s="1" t="str">
        <f t="shared" si="27"/>
        <v>存在しない</v>
      </c>
      <c r="N1753" s="1" t="s">
        <v>29</v>
      </c>
      <c r="O1753" s="1"/>
      <c r="P1753" s="11"/>
      <c r="Q1753" s="11"/>
      <c r="R1753" s="11"/>
      <c r="S1753" s="11"/>
      <c r="T1753" s="1"/>
      <c r="U1753" s="1"/>
      <c r="V1753" s="1"/>
      <c r="W1753" s="1"/>
      <c r="X1753" s="1"/>
      <c r="Y1753" s="1"/>
      <c r="Z1753" s="1"/>
    </row>
    <row r="1754" ht="18.0" hidden="1" customHeight="1" outlineLevel="2">
      <c r="A1754" s="1">
        <v>1.0</v>
      </c>
      <c r="B1754" s="26" t="s">
        <v>1966</v>
      </c>
      <c r="C1754" s="1"/>
      <c r="D1754" s="1"/>
      <c r="E1754" s="14"/>
      <c r="F1754" s="15"/>
      <c r="G1754" s="16"/>
      <c r="H1754" s="11"/>
      <c r="I1754" s="7"/>
      <c r="J1754" s="7" t="str">
        <f>IFERROR(LET(_xlpm.v,
VLOOKUP($I1754,'用語辞書'!$A:$B,COLUMN('用語辞書'!B$1),FALSE),
IF(_xlpm.v=0,"",_xlpm.v)
),"")</f>
        <v/>
      </c>
      <c r="K1754" s="17"/>
      <c r="L1754" s="17" t="str">
        <f>IF(OR(COUNTIF('クラス'!$A$1:$A$1267,$B1754)&gt;0,$B1754="",$M1754=""),"",True)</f>
        <v/>
      </c>
      <c r="M1754" s="1" t="str">
        <f t="shared" si="27"/>
        <v/>
      </c>
      <c r="N1754" s="1" t="s">
        <v>29</v>
      </c>
      <c r="O1754" s="1"/>
      <c r="P1754" s="11"/>
      <c r="Q1754" s="11"/>
      <c r="R1754" s="11"/>
      <c r="S1754" s="11"/>
      <c r="T1754" s="1"/>
      <c r="U1754" s="1"/>
      <c r="V1754" s="1"/>
      <c r="W1754" s="1"/>
      <c r="X1754" s="1"/>
      <c r="Y1754" s="1"/>
      <c r="Z1754" s="1"/>
    </row>
    <row r="1755" ht="18.0" hidden="1" customHeight="1" outlineLevel="2">
      <c r="A1755" s="1">
        <v>2.0</v>
      </c>
      <c r="B1755" s="26" t="s">
        <v>1968</v>
      </c>
      <c r="C1755" s="1"/>
      <c r="D1755" s="1"/>
      <c r="E1755" s="14"/>
      <c r="F1755" s="15"/>
      <c r="G1755" s="16"/>
      <c r="H1755" s="11"/>
      <c r="I1755" s="7"/>
      <c r="J1755" s="7" t="str">
        <f>IFERROR(LET(_xlpm.v,
VLOOKUP($I1755,'用語辞書'!$A:$B,COLUMN('用語辞書'!B$1),FALSE),
IF(_xlpm.v=0,"",_xlpm.v)
),"")</f>
        <v/>
      </c>
      <c r="K1755" s="17"/>
      <c r="L1755" s="17" t="str">
        <f>IF(OR(COUNTIF('クラス'!$A$1:$A$1267,$B1755)&gt;0,$B1755="",$M1755=""),"",True)</f>
        <v/>
      </c>
      <c r="M1755" s="1" t="str">
        <f t="shared" si="27"/>
        <v/>
      </c>
      <c r="N1755" s="1" t="s">
        <v>29</v>
      </c>
      <c r="O1755" s="1"/>
      <c r="P1755" s="11"/>
      <c r="Q1755" s="11"/>
      <c r="R1755" s="11"/>
      <c r="S1755" s="11"/>
      <c r="T1755" s="1"/>
      <c r="U1755" s="1"/>
      <c r="V1755" s="1"/>
      <c r="W1755" s="1"/>
      <c r="X1755" s="1"/>
      <c r="Y1755" s="1"/>
      <c r="Z1755" s="1"/>
    </row>
    <row r="1756" ht="18.0" hidden="1" customHeight="1" outlineLevel="2">
      <c r="A1756" s="1">
        <v>3.0</v>
      </c>
      <c r="B1756" s="26" t="s">
        <v>1970</v>
      </c>
      <c r="C1756" s="1"/>
      <c r="D1756" s="1"/>
      <c r="E1756" s="14"/>
      <c r="F1756" s="15"/>
      <c r="G1756" s="16"/>
      <c r="H1756" s="11"/>
      <c r="I1756" s="7"/>
      <c r="J1756" s="7" t="str">
        <f>IFERROR(LET(_xlpm.v,
VLOOKUP($I1756,'用語辞書'!$A:$B,COLUMN('用語辞書'!B$1),FALSE),
IF(_xlpm.v=0,"",_xlpm.v)
),"")</f>
        <v/>
      </c>
      <c r="K1756" s="17"/>
      <c r="L1756" s="17" t="str">
        <f>IF(OR(COUNTIF('クラス'!$A$1:$A$1267,$B1756)&gt;0,$B1756="",$M1756=""),"",True)</f>
        <v/>
      </c>
      <c r="M1756" s="1" t="str">
        <f t="shared" si="27"/>
        <v/>
      </c>
      <c r="N1756" s="1" t="s">
        <v>29</v>
      </c>
      <c r="O1756" s="1"/>
      <c r="P1756" s="11"/>
      <c r="Q1756" s="11"/>
      <c r="R1756" s="11"/>
      <c r="S1756" s="11"/>
      <c r="T1756" s="1"/>
      <c r="U1756" s="1"/>
      <c r="V1756" s="1"/>
      <c r="W1756" s="1"/>
      <c r="X1756" s="1"/>
      <c r="Y1756" s="1"/>
      <c r="Z1756" s="1"/>
    </row>
    <row r="1757" ht="18.0" hidden="1" customHeight="1" outlineLevel="2">
      <c r="A1757" s="1">
        <v>4.0</v>
      </c>
      <c r="B1757" s="1"/>
      <c r="C1757" s="1"/>
      <c r="D1757" s="1"/>
      <c r="E1757" s="14"/>
      <c r="F1757" s="15"/>
      <c r="G1757" s="16"/>
      <c r="H1757" s="11"/>
      <c r="I1757" s="7"/>
      <c r="J1757" s="7" t="str">
        <f>IFERROR(LET(_xlpm.v,
VLOOKUP($I1757,'用語辞書'!$A:$B,COLUMN('用語辞書'!B$1),FALSE),
IF(_xlpm.v=0,"",_xlpm.v)
),"")</f>
        <v/>
      </c>
      <c r="K1757" s="17"/>
      <c r="L1757" s="17" t="str">
        <f>IF(OR(COUNTIF('クラス'!$A$1:$A$1267,$B1757)&gt;0,$B1757="",$M1757=""),"",True)</f>
        <v/>
      </c>
      <c r="M1757" s="1" t="str">
        <f t="shared" si="27"/>
        <v>存在しない</v>
      </c>
      <c r="N1757" s="1" t="s">
        <v>29</v>
      </c>
      <c r="O1757" s="1"/>
      <c r="P1757" s="11"/>
      <c r="Q1757" s="11"/>
      <c r="R1757" s="11"/>
      <c r="S1757" s="11"/>
      <c r="T1757" s="1"/>
      <c r="U1757" s="1"/>
      <c r="V1757" s="1"/>
      <c r="W1757" s="1"/>
      <c r="X1757" s="1"/>
      <c r="Y1757" s="1"/>
      <c r="Z1757" s="1"/>
    </row>
    <row r="1758" ht="18.0" hidden="1" customHeight="1" outlineLevel="2">
      <c r="A1758" s="1">
        <v>5.0</v>
      </c>
      <c r="B1758" s="26" t="s">
        <v>1243</v>
      </c>
      <c r="C1758" s="1"/>
      <c r="D1758" s="1"/>
      <c r="E1758" s="14"/>
      <c r="F1758" s="15"/>
      <c r="G1758" s="16"/>
      <c r="H1758" s="11"/>
      <c r="I1758" s="7"/>
      <c r="J1758" s="7" t="str">
        <f>IFERROR(LET(_xlpm.v,
VLOOKUP($I1758,'用語辞書'!$A:$B,COLUMN('用語辞書'!B$1),FALSE),
IF(_xlpm.v=0,"",_xlpm.v)
),"")</f>
        <v/>
      </c>
      <c r="K1758" s="17"/>
      <c r="L1758" s="17" t="str">
        <f>IF(OR(COUNTIF('クラス'!$A$1:$A$1267,$B1758)&gt;0,$B1758="",$M1758=""),"",True)</f>
        <v/>
      </c>
      <c r="M1758" s="1" t="str">
        <f t="shared" si="27"/>
        <v/>
      </c>
      <c r="N1758" s="1" t="s">
        <v>29</v>
      </c>
      <c r="O1758" s="1"/>
      <c r="P1758" s="11"/>
      <c r="Q1758" s="11"/>
      <c r="R1758" s="11"/>
      <c r="S1758" s="11"/>
      <c r="T1758" s="1"/>
      <c r="U1758" s="1"/>
      <c r="V1758" s="1"/>
      <c r="W1758" s="1"/>
      <c r="X1758" s="1"/>
      <c r="Y1758" s="1"/>
      <c r="Z1758" s="1"/>
    </row>
    <row r="1759" ht="18.0" hidden="1" customHeight="1" outlineLevel="2">
      <c r="A1759" s="1">
        <v>6.0</v>
      </c>
      <c r="B1759" s="1"/>
      <c r="C1759" s="1"/>
      <c r="D1759" s="1"/>
      <c r="E1759" s="14"/>
      <c r="F1759" s="15"/>
      <c r="G1759" s="16"/>
      <c r="H1759" s="11"/>
      <c r="I1759" s="7"/>
      <c r="J1759" s="7" t="str">
        <f>IFERROR(LET(_xlpm.v,
VLOOKUP($I1759,'用語辞書'!$A:$B,COLUMN('用語辞書'!B$1),FALSE),
IF(_xlpm.v=0,"",_xlpm.v)
),"")</f>
        <v/>
      </c>
      <c r="K1759" s="17"/>
      <c r="L1759" s="17" t="str">
        <f>IF(OR(COUNTIF('クラス'!$A$1:$A$1267,$B1759)&gt;0,$B1759="",$M1759=""),"",True)</f>
        <v/>
      </c>
      <c r="M1759" s="1" t="str">
        <f t="shared" si="27"/>
        <v>存在しない</v>
      </c>
      <c r="N1759" s="1" t="s">
        <v>29</v>
      </c>
      <c r="O1759" s="1"/>
      <c r="P1759" s="11"/>
      <c r="Q1759" s="11"/>
      <c r="R1759" s="11"/>
      <c r="S1759" s="11"/>
      <c r="T1759" s="1"/>
      <c r="U1759" s="1"/>
      <c r="V1759" s="1"/>
      <c r="W1759" s="1"/>
      <c r="X1759" s="1"/>
      <c r="Y1759" s="1"/>
      <c r="Z1759" s="1"/>
    </row>
    <row r="1760" ht="18.0" hidden="1" customHeight="1" outlineLevel="2">
      <c r="A1760" s="1">
        <v>7.0</v>
      </c>
      <c r="B1760" s="26" t="s">
        <v>1972</v>
      </c>
      <c r="C1760" s="1"/>
      <c r="D1760" s="1"/>
      <c r="E1760" s="14"/>
      <c r="F1760" s="15"/>
      <c r="G1760" s="16"/>
      <c r="H1760" s="11"/>
      <c r="I1760" s="7"/>
      <c r="J1760" s="7" t="str">
        <f>IFERROR(LET(_xlpm.v,
VLOOKUP($I1760,'用語辞書'!$A:$B,COLUMN('用語辞書'!B$1),FALSE),
IF(_xlpm.v=0,"",_xlpm.v)
),"")</f>
        <v/>
      </c>
      <c r="K1760" s="17"/>
      <c r="L1760" s="17" t="str">
        <f>IF(OR(COUNTIF('クラス'!$A$1:$A$1267,$B1760)&gt;0,$B1760="",$M1760=""),"",True)</f>
        <v/>
      </c>
      <c r="M1760" s="1" t="str">
        <f t="shared" si="27"/>
        <v/>
      </c>
      <c r="N1760" s="1" t="s">
        <v>29</v>
      </c>
      <c r="O1760" s="1"/>
      <c r="P1760" s="11"/>
      <c r="Q1760" s="11"/>
      <c r="R1760" s="11"/>
      <c r="S1760" s="11"/>
      <c r="T1760" s="1"/>
      <c r="U1760" s="1"/>
      <c r="V1760" s="1"/>
      <c r="W1760" s="1"/>
      <c r="X1760" s="1"/>
      <c r="Y1760" s="1"/>
      <c r="Z1760" s="1"/>
    </row>
    <row r="1761" ht="18.0" hidden="1" customHeight="1" outlineLevel="2">
      <c r="A1761" s="1">
        <v>8.0</v>
      </c>
      <c r="B1761" s="1"/>
      <c r="C1761" s="1"/>
      <c r="D1761" s="1"/>
      <c r="E1761" s="14"/>
      <c r="F1761" s="15"/>
      <c r="G1761" s="16"/>
      <c r="H1761" s="11"/>
      <c r="I1761" s="7"/>
      <c r="J1761" s="7" t="str">
        <f>IFERROR(LET(_xlpm.v,
VLOOKUP($I1761,'用語辞書'!$A:$B,COLUMN('用語辞書'!B$1),FALSE),
IF(_xlpm.v=0,"",_xlpm.v)
),"")</f>
        <v/>
      </c>
      <c r="K1761" s="17"/>
      <c r="L1761" s="17" t="str">
        <f>IF(OR(COUNTIF('クラス'!$A$1:$A$1267,$B1761)&gt;0,$B1761="",$M1761=""),"",True)</f>
        <v/>
      </c>
      <c r="M1761" s="1" t="str">
        <f t="shared" si="27"/>
        <v>存在しない</v>
      </c>
      <c r="N1761" s="1" t="s">
        <v>29</v>
      </c>
      <c r="O1761" s="1"/>
      <c r="P1761" s="11"/>
      <c r="Q1761" s="11"/>
      <c r="R1761" s="11"/>
      <c r="S1761" s="11"/>
      <c r="T1761" s="1"/>
      <c r="U1761" s="1"/>
      <c r="V1761" s="1"/>
      <c r="W1761" s="1"/>
      <c r="X1761" s="1"/>
      <c r="Y1761" s="1"/>
      <c r="Z1761" s="1"/>
    </row>
    <row r="1762" ht="18.0" hidden="1" customHeight="1" outlineLevel="2">
      <c r="A1762" s="1">
        <v>9.0</v>
      </c>
      <c r="B1762" s="26" t="s">
        <v>1932</v>
      </c>
      <c r="C1762" s="1"/>
      <c r="D1762" s="1"/>
      <c r="E1762" s="14"/>
      <c r="F1762" s="15"/>
      <c r="G1762" s="16"/>
      <c r="H1762" s="11"/>
      <c r="I1762" s="7"/>
      <c r="J1762" s="7" t="str">
        <f>IFERROR(LET(_xlpm.v,
VLOOKUP($I1762,'用語辞書'!$A:$B,COLUMN('用語辞書'!B$1),FALSE),
IF(_xlpm.v=0,"",_xlpm.v)
),"")</f>
        <v/>
      </c>
      <c r="K1762" s="17"/>
      <c r="L1762" s="17" t="str">
        <f>IF(OR(COUNTIF('クラス'!$A$1:$A$1267,$B1762)&gt;0,$B1762="",$M1762=""),"",True)</f>
        <v/>
      </c>
      <c r="M1762" s="1" t="str">
        <f t="shared" si="27"/>
        <v/>
      </c>
      <c r="N1762" s="1" t="s">
        <v>29</v>
      </c>
      <c r="O1762" s="1"/>
      <c r="P1762" s="11"/>
      <c r="Q1762" s="11"/>
      <c r="R1762" s="11"/>
      <c r="S1762" s="11"/>
      <c r="T1762" s="1"/>
      <c r="U1762" s="1"/>
      <c r="V1762" s="1"/>
      <c r="W1762" s="1"/>
      <c r="X1762" s="1"/>
      <c r="Y1762" s="1"/>
      <c r="Z1762" s="1"/>
    </row>
    <row r="1763" ht="18.0" hidden="1" customHeight="1" outlineLevel="2">
      <c r="A1763" s="1">
        <v>10.0</v>
      </c>
      <c r="B1763" s="1"/>
      <c r="C1763" s="1"/>
      <c r="D1763" s="1"/>
      <c r="E1763" s="14"/>
      <c r="F1763" s="15"/>
      <c r="G1763" s="16"/>
      <c r="H1763" s="11"/>
      <c r="I1763" s="7"/>
      <c r="J1763" s="7" t="str">
        <f>IFERROR(LET(_xlpm.v,
VLOOKUP($I1763,'用語辞書'!$A:$B,COLUMN('用語辞書'!B$1),FALSE),
IF(_xlpm.v=0,"",_xlpm.v)
),"")</f>
        <v/>
      </c>
      <c r="K1763" s="17"/>
      <c r="L1763" s="17" t="str">
        <f>IF(OR(COUNTIF('クラス'!$A$1:$A$1267,$B1763)&gt;0,$B1763="",$M1763=""),"",True)</f>
        <v/>
      </c>
      <c r="M1763" s="1" t="str">
        <f t="shared" si="27"/>
        <v>存在しない</v>
      </c>
      <c r="N1763" s="1" t="s">
        <v>29</v>
      </c>
      <c r="O1763" s="1"/>
      <c r="P1763" s="11"/>
      <c r="Q1763" s="11"/>
      <c r="R1763" s="11"/>
      <c r="S1763" s="11"/>
      <c r="T1763" s="1"/>
      <c r="U1763" s="1"/>
      <c r="V1763" s="1"/>
      <c r="W1763" s="1"/>
      <c r="X1763" s="1"/>
      <c r="Y1763" s="1"/>
      <c r="Z1763" s="1"/>
    </row>
    <row r="1764" ht="18.0" customHeight="1" outlineLevel="1" collapsed="1">
      <c r="A1764" s="1"/>
      <c r="B1764" s="1"/>
      <c r="C1764" s="1"/>
      <c r="D1764" s="1"/>
      <c r="E1764" s="14"/>
      <c r="F1764" s="15"/>
      <c r="G1764" s="16"/>
      <c r="H1764" s="11"/>
      <c r="I1764" s="7"/>
      <c r="J1764" s="7" t="str">
        <f>IFERROR(LET(_xlpm.v,
VLOOKUP($I1764,'用語辞書'!$A:$B,COLUMN('用語辞書'!B$1),FALSE),
IF(_xlpm.v=0,"",_xlpm.v)
),"")</f>
        <v/>
      </c>
      <c r="K1764" s="17"/>
      <c r="L1764" s="17" t="str">
        <f>IF(OR(COUNTIF('クラス'!$A$1:$A$1267,$B1764)&gt;0,$B1764="",$M1764=""),"",True)</f>
        <v/>
      </c>
      <c r="M1764" s="1" t="str">
        <f t="shared" si="27"/>
        <v>存在しない</v>
      </c>
      <c r="N1764" s="1" t="s">
        <v>29</v>
      </c>
      <c r="O1764" s="1"/>
      <c r="P1764" s="11"/>
      <c r="Q1764" s="11"/>
      <c r="R1764" s="11"/>
      <c r="S1764" s="11"/>
      <c r="T1764" s="1"/>
      <c r="U1764" s="1"/>
      <c r="V1764" s="1"/>
      <c r="W1764" s="1"/>
      <c r="X1764" s="1"/>
      <c r="Y1764" s="1"/>
      <c r="Z1764" s="1"/>
    </row>
    <row r="1765" ht="18.0" customHeight="1" outlineLevel="1">
      <c r="A1765" s="1"/>
      <c r="B1765" s="1"/>
      <c r="C1765" s="1"/>
      <c r="D1765" s="1"/>
      <c r="E1765" s="14"/>
      <c r="F1765" s="15"/>
      <c r="G1765" s="16"/>
      <c r="H1765" s="11"/>
      <c r="I1765" s="7"/>
      <c r="J1765" s="7" t="str">
        <f>IFERROR(LET(_xlpm.v,
VLOOKUP($I1765,'用語辞書'!$A:$B,COLUMN('用語辞書'!B$1),FALSE),
IF(_xlpm.v=0,"",_xlpm.v)
),"")</f>
        <v/>
      </c>
      <c r="K1765" s="17"/>
      <c r="L1765" s="17" t="str">
        <f>IF(OR(COUNTIF('クラス'!$A$1:$A$1267,$B1765)&gt;0,$B1765="",$M1765=""),"",True)</f>
        <v/>
      </c>
      <c r="M1765" s="1" t="str">
        <f t="shared" si="27"/>
        <v>存在しない</v>
      </c>
      <c r="N1765" s="1" t="s">
        <v>29</v>
      </c>
      <c r="O1765" s="1"/>
      <c r="P1765" s="11"/>
      <c r="Q1765" s="11"/>
      <c r="R1765" s="11"/>
      <c r="S1765" s="11"/>
      <c r="T1765" s="1"/>
      <c r="U1765" s="1"/>
      <c r="V1765" s="1"/>
      <c r="W1765" s="1"/>
      <c r="X1765" s="1"/>
      <c r="Y1765" s="1"/>
      <c r="Z1765" s="1"/>
    </row>
    <row r="1766" ht="18.0" customHeight="1" outlineLevel="1">
      <c r="A1766" s="1"/>
      <c r="B1766" s="26" t="s">
        <v>1975</v>
      </c>
      <c r="C1766" s="1"/>
      <c r="D1766" s="1"/>
      <c r="E1766" s="14"/>
      <c r="F1766" s="15"/>
      <c r="G1766" s="16"/>
      <c r="H1766" s="11"/>
      <c r="I1766" s="7"/>
      <c r="J1766" s="7" t="str">
        <f>IFERROR(LET(_xlpm.v,
VLOOKUP($I1766,'用語辞書'!$A:$B,COLUMN('用語辞書'!B$1),FALSE),
IF(_xlpm.v=0,"",_xlpm.v)
),"")</f>
        <v/>
      </c>
      <c r="K1766" s="17"/>
      <c r="L1766" s="17" t="str">
        <f>IF(OR(COUNTIF('クラス'!$A$1:$A$1267,$B1766)&gt;0,$B1766="",$M1766=""),"",True)</f>
        <v/>
      </c>
      <c r="M1766" s="1" t="str">
        <f t="shared" si="27"/>
        <v>存在しない</v>
      </c>
      <c r="N1766" s="1" t="s">
        <v>29</v>
      </c>
      <c r="O1766" s="1"/>
      <c r="P1766" s="11"/>
      <c r="Q1766" s="11"/>
      <c r="R1766" s="11"/>
      <c r="S1766" s="11"/>
      <c r="T1766" s="1"/>
      <c r="U1766" s="1"/>
      <c r="V1766" s="1"/>
      <c r="W1766" s="1"/>
      <c r="X1766" s="1"/>
      <c r="Y1766" s="1"/>
      <c r="Z1766" s="1"/>
    </row>
    <row r="1767" ht="18.0" hidden="1" customHeight="1" outlineLevel="2">
      <c r="A1767" s="1">
        <v>1.0</v>
      </c>
      <c r="B1767" s="26" t="s">
        <v>1966</v>
      </c>
      <c r="C1767" s="1"/>
      <c r="D1767" s="1"/>
      <c r="E1767" s="14"/>
      <c r="F1767" s="15"/>
      <c r="G1767" s="16"/>
      <c r="H1767" s="11"/>
      <c r="I1767" s="7"/>
      <c r="J1767" s="7" t="str">
        <f>IFERROR(LET(_xlpm.v,
VLOOKUP($I1767,'用語辞書'!$A:$B,COLUMN('用語辞書'!B$1),FALSE),
IF(_xlpm.v=0,"",_xlpm.v)
),"")</f>
        <v/>
      </c>
      <c r="K1767" s="17"/>
      <c r="L1767" s="17" t="str">
        <f>IF(OR(COUNTIF('クラス'!$A$1:$A$1267,$B1767)&gt;0,$B1767="",$M1767=""),"",True)</f>
        <v/>
      </c>
      <c r="M1767" s="1" t="str">
        <f t="shared" si="27"/>
        <v/>
      </c>
      <c r="N1767" s="1" t="s">
        <v>29</v>
      </c>
      <c r="O1767" s="1"/>
      <c r="P1767" s="11"/>
      <c r="Q1767" s="11"/>
      <c r="R1767" s="11"/>
      <c r="S1767" s="11"/>
      <c r="T1767" s="1"/>
      <c r="U1767" s="1"/>
      <c r="V1767" s="1"/>
      <c r="W1767" s="1"/>
      <c r="X1767" s="1"/>
      <c r="Y1767" s="1"/>
      <c r="Z1767" s="1"/>
    </row>
    <row r="1768" ht="18.0" hidden="1" customHeight="1" outlineLevel="2">
      <c r="A1768" s="1">
        <v>2.0</v>
      </c>
      <c r="B1768" s="26" t="s">
        <v>1968</v>
      </c>
      <c r="C1768" s="1"/>
      <c r="D1768" s="1"/>
      <c r="E1768" s="14"/>
      <c r="F1768" s="15"/>
      <c r="G1768" s="16"/>
      <c r="H1768" s="11"/>
      <c r="I1768" s="7"/>
      <c r="J1768" s="7" t="str">
        <f>IFERROR(LET(_xlpm.v,
VLOOKUP($I1768,'用語辞書'!$A:$B,COLUMN('用語辞書'!B$1),FALSE),
IF(_xlpm.v=0,"",_xlpm.v)
),"")</f>
        <v/>
      </c>
      <c r="K1768" s="17"/>
      <c r="L1768" s="17" t="str">
        <f>IF(OR(COUNTIF('クラス'!$A$1:$A$1267,$B1768)&gt;0,$B1768="",$M1768=""),"",True)</f>
        <v/>
      </c>
      <c r="M1768" s="1" t="str">
        <f t="shared" si="27"/>
        <v/>
      </c>
      <c r="N1768" s="1" t="s">
        <v>29</v>
      </c>
      <c r="O1768" s="1"/>
      <c r="P1768" s="11"/>
      <c r="Q1768" s="11"/>
      <c r="R1768" s="11"/>
      <c r="S1768" s="11"/>
      <c r="T1768" s="1"/>
      <c r="U1768" s="1"/>
      <c r="V1768" s="1"/>
      <c r="W1768" s="1"/>
      <c r="X1768" s="1"/>
      <c r="Y1768" s="1"/>
      <c r="Z1768" s="1"/>
    </row>
    <row r="1769" ht="18.0" hidden="1" customHeight="1" outlineLevel="2">
      <c r="A1769" s="1">
        <v>3.0</v>
      </c>
      <c r="B1769" s="26" t="s">
        <v>1970</v>
      </c>
      <c r="C1769" s="1"/>
      <c r="D1769" s="1"/>
      <c r="E1769" s="14"/>
      <c r="F1769" s="15"/>
      <c r="G1769" s="16"/>
      <c r="H1769" s="11"/>
      <c r="I1769" s="7"/>
      <c r="J1769" s="7" t="str">
        <f>IFERROR(LET(_xlpm.v,
VLOOKUP($I1769,'用語辞書'!$A:$B,COLUMN('用語辞書'!B$1),FALSE),
IF(_xlpm.v=0,"",_xlpm.v)
),"")</f>
        <v/>
      </c>
      <c r="K1769" s="17"/>
      <c r="L1769" s="17" t="str">
        <f>IF(OR(COUNTIF('クラス'!$A$1:$A$1267,$B1769)&gt;0,$B1769="",$M1769=""),"",True)</f>
        <v/>
      </c>
      <c r="M1769" s="1" t="str">
        <f t="shared" si="27"/>
        <v/>
      </c>
      <c r="N1769" s="1" t="s">
        <v>29</v>
      </c>
      <c r="O1769" s="1"/>
      <c r="P1769" s="11"/>
      <c r="Q1769" s="11"/>
      <c r="R1769" s="11"/>
      <c r="S1769" s="11"/>
      <c r="T1769" s="1"/>
      <c r="U1769" s="1"/>
      <c r="V1769" s="1"/>
      <c r="W1769" s="1"/>
      <c r="X1769" s="1"/>
      <c r="Y1769" s="1"/>
      <c r="Z1769" s="1"/>
    </row>
    <row r="1770" ht="18.0" hidden="1" customHeight="1" outlineLevel="2">
      <c r="A1770" s="1">
        <v>4.0</v>
      </c>
      <c r="B1770" s="1"/>
      <c r="C1770" s="1"/>
      <c r="D1770" s="1"/>
      <c r="E1770" s="14"/>
      <c r="F1770" s="15"/>
      <c r="G1770" s="16"/>
      <c r="H1770" s="11"/>
      <c r="I1770" s="7"/>
      <c r="J1770" s="7" t="str">
        <f>IFERROR(LET(_xlpm.v,
VLOOKUP($I1770,'用語辞書'!$A:$B,COLUMN('用語辞書'!B$1),FALSE),
IF(_xlpm.v=0,"",_xlpm.v)
),"")</f>
        <v/>
      </c>
      <c r="K1770" s="17"/>
      <c r="L1770" s="17" t="str">
        <f>IF(OR(COUNTIF('クラス'!$A$1:$A$1267,$B1770)&gt;0,$B1770="",$M1770=""),"",True)</f>
        <v/>
      </c>
      <c r="M1770" s="1" t="str">
        <f t="shared" si="27"/>
        <v>存在しない</v>
      </c>
      <c r="N1770" s="1" t="s">
        <v>29</v>
      </c>
      <c r="O1770" s="1"/>
      <c r="P1770" s="11"/>
      <c r="Q1770" s="11"/>
      <c r="R1770" s="11"/>
      <c r="S1770" s="11"/>
      <c r="T1770" s="1"/>
      <c r="U1770" s="1"/>
      <c r="V1770" s="1"/>
      <c r="W1770" s="1"/>
      <c r="X1770" s="1"/>
      <c r="Y1770" s="1"/>
      <c r="Z1770" s="1"/>
    </row>
    <row r="1771" ht="18.0" hidden="1" customHeight="1" outlineLevel="2">
      <c r="A1771" s="1">
        <v>5.0</v>
      </c>
      <c r="B1771" s="26" t="s">
        <v>1243</v>
      </c>
      <c r="C1771" s="1"/>
      <c r="D1771" s="1"/>
      <c r="E1771" s="14"/>
      <c r="F1771" s="15"/>
      <c r="G1771" s="16"/>
      <c r="H1771" s="11"/>
      <c r="I1771" s="7"/>
      <c r="J1771" s="7" t="str">
        <f>IFERROR(LET(_xlpm.v,
VLOOKUP($I1771,'用語辞書'!$A:$B,COLUMN('用語辞書'!B$1),FALSE),
IF(_xlpm.v=0,"",_xlpm.v)
),"")</f>
        <v/>
      </c>
      <c r="K1771" s="17"/>
      <c r="L1771" s="17" t="str">
        <f>IF(OR(COUNTIF('クラス'!$A$1:$A$1267,$B1771)&gt;0,$B1771="",$M1771=""),"",True)</f>
        <v/>
      </c>
      <c r="M1771" s="1" t="str">
        <f t="shared" si="27"/>
        <v/>
      </c>
      <c r="N1771" s="1" t="s">
        <v>29</v>
      </c>
      <c r="O1771" s="1"/>
      <c r="P1771" s="11"/>
      <c r="Q1771" s="11"/>
      <c r="R1771" s="11"/>
      <c r="S1771" s="11"/>
      <c r="T1771" s="1"/>
      <c r="U1771" s="1"/>
      <c r="V1771" s="1"/>
      <c r="W1771" s="1"/>
      <c r="X1771" s="1"/>
      <c r="Y1771" s="1"/>
      <c r="Z1771" s="1"/>
    </row>
    <row r="1772" ht="18.0" hidden="1" customHeight="1" outlineLevel="2">
      <c r="A1772" s="1">
        <v>6.0</v>
      </c>
      <c r="B1772" s="1"/>
      <c r="C1772" s="1"/>
      <c r="D1772" s="1"/>
      <c r="E1772" s="14"/>
      <c r="F1772" s="15"/>
      <c r="G1772" s="16"/>
      <c r="H1772" s="11"/>
      <c r="I1772" s="7"/>
      <c r="J1772" s="7" t="str">
        <f>IFERROR(LET(_xlpm.v,
VLOOKUP($I1772,'用語辞書'!$A:$B,COLUMN('用語辞書'!B$1),FALSE),
IF(_xlpm.v=0,"",_xlpm.v)
),"")</f>
        <v/>
      </c>
      <c r="K1772" s="17"/>
      <c r="L1772" s="17" t="str">
        <f>IF(OR(COUNTIF('クラス'!$A$1:$A$1267,$B1772)&gt;0,$B1772="",$M1772=""),"",True)</f>
        <v/>
      </c>
      <c r="M1772" s="1" t="str">
        <f t="shared" si="27"/>
        <v>存在しない</v>
      </c>
      <c r="N1772" s="1" t="s">
        <v>29</v>
      </c>
      <c r="O1772" s="1"/>
      <c r="P1772" s="11"/>
      <c r="Q1772" s="11"/>
      <c r="R1772" s="11"/>
      <c r="S1772" s="11"/>
      <c r="T1772" s="1"/>
      <c r="U1772" s="1"/>
      <c r="V1772" s="1"/>
      <c r="W1772" s="1"/>
      <c r="X1772" s="1"/>
      <c r="Y1772" s="1"/>
      <c r="Z1772" s="1"/>
    </row>
    <row r="1773" ht="18.0" hidden="1" customHeight="1" outlineLevel="2">
      <c r="A1773" s="1">
        <v>7.0</v>
      </c>
      <c r="B1773" s="26" t="s">
        <v>1972</v>
      </c>
      <c r="C1773" s="1"/>
      <c r="D1773" s="1"/>
      <c r="E1773" s="14"/>
      <c r="F1773" s="15"/>
      <c r="G1773" s="16"/>
      <c r="H1773" s="11"/>
      <c r="I1773" s="7"/>
      <c r="J1773" s="7" t="str">
        <f>IFERROR(LET(_xlpm.v,
VLOOKUP($I1773,'用語辞書'!$A:$B,COLUMN('用語辞書'!B$1),FALSE),
IF(_xlpm.v=0,"",_xlpm.v)
),"")</f>
        <v/>
      </c>
      <c r="K1773" s="17"/>
      <c r="L1773" s="17" t="str">
        <f>IF(OR(COUNTIF('クラス'!$A$1:$A$1267,$B1773)&gt;0,$B1773="",$M1773=""),"",True)</f>
        <v/>
      </c>
      <c r="M1773" s="1" t="str">
        <f t="shared" si="27"/>
        <v/>
      </c>
      <c r="N1773" s="1" t="s">
        <v>29</v>
      </c>
      <c r="O1773" s="1"/>
      <c r="P1773" s="11"/>
      <c r="Q1773" s="11"/>
      <c r="R1773" s="11"/>
      <c r="S1773" s="11"/>
      <c r="T1773" s="1"/>
      <c r="U1773" s="1"/>
      <c r="V1773" s="1"/>
      <c r="W1773" s="1"/>
      <c r="X1773" s="1"/>
      <c r="Y1773" s="1"/>
      <c r="Z1773" s="1"/>
    </row>
    <row r="1774" ht="18.0" hidden="1" customHeight="1" outlineLevel="2">
      <c r="A1774" s="1">
        <v>8.0</v>
      </c>
      <c r="B1774" s="1"/>
      <c r="C1774" s="1"/>
      <c r="D1774" s="1"/>
      <c r="E1774" s="14"/>
      <c r="F1774" s="15"/>
      <c r="G1774" s="16"/>
      <c r="H1774" s="11"/>
      <c r="I1774" s="7"/>
      <c r="J1774" s="7" t="str">
        <f>IFERROR(LET(_xlpm.v,
VLOOKUP($I1774,'用語辞書'!$A:$B,COLUMN('用語辞書'!B$1),FALSE),
IF(_xlpm.v=0,"",_xlpm.v)
),"")</f>
        <v/>
      </c>
      <c r="K1774" s="17"/>
      <c r="L1774" s="17" t="str">
        <f>IF(OR(COUNTIF('クラス'!$A$1:$A$1267,$B1774)&gt;0,$B1774="",$M1774=""),"",True)</f>
        <v/>
      </c>
      <c r="M1774" s="1" t="str">
        <f t="shared" si="27"/>
        <v>存在しない</v>
      </c>
      <c r="N1774" s="1" t="s">
        <v>29</v>
      </c>
      <c r="O1774" s="1"/>
      <c r="P1774" s="11"/>
      <c r="Q1774" s="11"/>
      <c r="R1774" s="11"/>
      <c r="S1774" s="11"/>
      <c r="T1774" s="1"/>
      <c r="U1774" s="1"/>
      <c r="V1774" s="1"/>
      <c r="W1774" s="1"/>
      <c r="X1774" s="1"/>
      <c r="Y1774" s="1"/>
      <c r="Z1774" s="1"/>
    </row>
    <row r="1775" ht="18.0" hidden="1" customHeight="1" outlineLevel="2">
      <c r="A1775" s="1">
        <v>9.0</v>
      </c>
      <c r="B1775" s="26" t="s">
        <v>1791</v>
      </c>
      <c r="C1775" s="1"/>
      <c r="D1775" s="1"/>
      <c r="E1775" s="14"/>
      <c r="F1775" s="15"/>
      <c r="G1775" s="16"/>
      <c r="H1775" s="11"/>
      <c r="I1775" s="7"/>
      <c r="J1775" s="7" t="str">
        <f>IFERROR(LET(_xlpm.v,
VLOOKUP($I1775,'用語辞書'!$A:$B,COLUMN('用語辞書'!B$1),FALSE),
IF(_xlpm.v=0,"",_xlpm.v)
),"")</f>
        <v/>
      </c>
      <c r="K1775" s="17"/>
      <c r="L1775" s="17" t="str">
        <f>IF(OR(COUNTIF('クラス'!$A$1:$A$1267,$B1775)&gt;0,$B1775="",$M1775=""),"",True)</f>
        <v/>
      </c>
      <c r="M1775" s="1" t="str">
        <f t="shared" si="27"/>
        <v/>
      </c>
      <c r="N1775" s="1" t="s">
        <v>29</v>
      </c>
      <c r="O1775" s="1"/>
      <c r="P1775" s="11"/>
      <c r="Q1775" s="11"/>
      <c r="R1775" s="11"/>
      <c r="S1775" s="11"/>
      <c r="T1775" s="1"/>
      <c r="U1775" s="1"/>
      <c r="V1775" s="1"/>
      <c r="W1775" s="1"/>
      <c r="X1775" s="1"/>
      <c r="Y1775" s="1"/>
      <c r="Z1775" s="1"/>
    </row>
    <row r="1776" ht="18.0" hidden="1" customHeight="1" outlineLevel="2">
      <c r="A1776" s="1">
        <v>10.0</v>
      </c>
      <c r="B1776" s="1"/>
      <c r="C1776" s="1"/>
      <c r="D1776" s="1"/>
      <c r="E1776" s="14"/>
      <c r="F1776" s="15"/>
      <c r="G1776" s="16"/>
      <c r="H1776" s="11"/>
      <c r="I1776" s="7"/>
      <c r="J1776" s="7" t="str">
        <f>IFERROR(LET(_xlpm.v,
VLOOKUP($I1776,'用語辞書'!$A:$B,COLUMN('用語辞書'!B$1),FALSE),
IF(_xlpm.v=0,"",_xlpm.v)
),"")</f>
        <v/>
      </c>
      <c r="K1776" s="17"/>
      <c r="L1776" s="17" t="str">
        <f>IF(OR(COUNTIF('クラス'!$A$1:$A$1267,$B1776)&gt;0,$B1776="",$M1776=""),"",True)</f>
        <v/>
      </c>
      <c r="M1776" s="1" t="str">
        <f t="shared" si="27"/>
        <v>存在しない</v>
      </c>
      <c r="N1776" s="1" t="s">
        <v>29</v>
      </c>
      <c r="O1776" s="1"/>
      <c r="P1776" s="11"/>
      <c r="Q1776" s="11"/>
      <c r="R1776" s="11"/>
      <c r="S1776" s="11"/>
      <c r="T1776" s="1"/>
      <c r="U1776" s="1"/>
      <c r="V1776" s="1"/>
      <c r="W1776" s="1"/>
      <c r="X1776" s="1"/>
      <c r="Y1776" s="1"/>
      <c r="Z1776" s="1"/>
    </row>
    <row r="1777" ht="18.0" customHeight="1" outlineLevel="1" collapsed="1">
      <c r="A1777" s="1"/>
      <c r="B1777" s="1"/>
      <c r="C1777" s="1"/>
      <c r="D1777" s="1"/>
      <c r="E1777" s="14"/>
      <c r="F1777" s="15"/>
      <c r="G1777" s="16"/>
      <c r="H1777" s="11"/>
      <c r="I1777" s="7"/>
      <c r="J1777" s="7" t="str">
        <f>IFERROR(LET(_xlpm.v,
VLOOKUP($I1777,'用語辞書'!$A:$B,COLUMN('用語辞書'!B$1),FALSE),
IF(_xlpm.v=0,"",_xlpm.v)
),"")</f>
        <v/>
      </c>
      <c r="K1777" s="17"/>
      <c r="L1777" s="17" t="str">
        <f>IF(OR(COUNTIF('クラス'!$A$1:$A$1267,$B1777)&gt;0,$B1777="",$M1777=""),"",True)</f>
        <v/>
      </c>
      <c r="M1777" s="1" t="str">
        <f t="shared" si="27"/>
        <v>存在しない</v>
      </c>
      <c r="N1777" s="1" t="s">
        <v>29</v>
      </c>
      <c r="O1777" s="1"/>
      <c r="P1777" s="11"/>
      <c r="Q1777" s="11"/>
      <c r="R1777" s="11"/>
      <c r="S1777" s="11"/>
      <c r="T1777" s="1"/>
      <c r="U1777" s="1"/>
      <c r="V1777" s="1"/>
      <c r="W1777" s="1"/>
      <c r="X1777" s="1"/>
      <c r="Y1777" s="1"/>
      <c r="Z1777" s="1"/>
    </row>
    <row r="1778" ht="18.0" customHeight="1" outlineLevel="1">
      <c r="A1778" s="1"/>
      <c r="B1778" s="1"/>
      <c r="C1778" s="1"/>
      <c r="D1778" s="1"/>
      <c r="E1778" s="14"/>
      <c r="F1778" s="15"/>
      <c r="G1778" s="16"/>
      <c r="H1778" s="11"/>
      <c r="I1778" s="7"/>
      <c r="J1778" s="7" t="str">
        <f>IFERROR(LET(_xlpm.v,
VLOOKUP($I1778,'用語辞書'!$A:$B,COLUMN('用語辞書'!B$1),FALSE),
IF(_xlpm.v=0,"",_xlpm.v)
),"")</f>
        <v/>
      </c>
      <c r="K1778" s="17"/>
      <c r="L1778" s="17" t="str">
        <f>IF(OR(COUNTIF('クラス'!$A$1:$A$1267,$B1778)&gt;0,$B1778="",$M1778=""),"",True)</f>
        <v/>
      </c>
      <c r="M1778" s="1" t="str">
        <f t="shared" si="27"/>
        <v>存在しない</v>
      </c>
      <c r="N1778" s="1" t="s">
        <v>29</v>
      </c>
      <c r="O1778" s="1"/>
      <c r="P1778" s="11"/>
      <c r="Q1778" s="11"/>
      <c r="R1778" s="11"/>
      <c r="S1778" s="11"/>
      <c r="T1778" s="1"/>
      <c r="U1778" s="1"/>
      <c r="V1778" s="1"/>
      <c r="W1778" s="1"/>
      <c r="X1778" s="1"/>
      <c r="Y1778" s="1"/>
      <c r="Z1778" s="1"/>
    </row>
    <row r="1779" ht="18.0" customHeight="1" outlineLevel="1">
      <c r="A1779" s="1"/>
      <c r="B1779" s="26" t="s">
        <v>1976</v>
      </c>
      <c r="C1779" s="1"/>
      <c r="D1779" s="1"/>
      <c r="E1779" s="14"/>
      <c r="F1779" s="15"/>
      <c r="G1779" s="16"/>
      <c r="H1779" s="11"/>
      <c r="I1779" s="7"/>
      <c r="J1779" s="7" t="str">
        <f>IFERROR(LET(_xlpm.v,
VLOOKUP($I1779,'用語辞書'!$A:$B,COLUMN('用語辞書'!B$1),FALSE),
IF(_xlpm.v=0,"",_xlpm.v)
),"")</f>
        <v/>
      </c>
      <c r="K1779" s="17"/>
      <c r="L1779" s="17" t="str">
        <f>IF(OR(COUNTIF('クラス'!$A$1:$A$1267,$B1779)&gt;0,$B1779="",$M1779=""),"",True)</f>
        <v/>
      </c>
      <c r="M1779" s="1" t="str">
        <f t="shared" si="27"/>
        <v>存在しない</v>
      </c>
      <c r="N1779" s="1" t="s">
        <v>29</v>
      </c>
      <c r="O1779" s="1"/>
      <c r="P1779" s="11"/>
      <c r="Q1779" s="11"/>
      <c r="R1779" s="11"/>
      <c r="S1779" s="11"/>
      <c r="T1779" s="1"/>
      <c r="U1779" s="1"/>
      <c r="V1779" s="1"/>
      <c r="W1779" s="1"/>
      <c r="X1779" s="1"/>
      <c r="Y1779" s="1"/>
      <c r="Z1779" s="1"/>
    </row>
    <row r="1780" ht="18.0" hidden="1" customHeight="1" outlineLevel="2">
      <c r="A1780" s="1">
        <v>1.0</v>
      </c>
      <c r="B1780" s="26" t="s">
        <v>1966</v>
      </c>
      <c r="C1780" s="1"/>
      <c r="D1780" s="1"/>
      <c r="E1780" s="14"/>
      <c r="F1780" s="15"/>
      <c r="G1780" s="16"/>
      <c r="H1780" s="11"/>
      <c r="I1780" s="7"/>
      <c r="J1780" s="7" t="str">
        <f>IFERROR(LET(_xlpm.v,
VLOOKUP($I1780,'用語辞書'!$A:$B,COLUMN('用語辞書'!B$1),FALSE),
IF(_xlpm.v=0,"",_xlpm.v)
),"")</f>
        <v/>
      </c>
      <c r="K1780" s="17"/>
      <c r="L1780" s="17" t="str">
        <f>IF(OR(COUNTIF('クラス'!$A$1:$A$1267,$B1780)&gt;0,$B1780="",$M1780=""),"",True)</f>
        <v/>
      </c>
      <c r="M1780" s="1" t="str">
        <f t="shared" si="27"/>
        <v/>
      </c>
      <c r="N1780" s="1" t="s">
        <v>29</v>
      </c>
      <c r="O1780" s="1"/>
      <c r="P1780" s="11"/>
      <c r="Q1780" s="11"/>
      <c r="R1780" s="11"/>
      <c r="S1780" s="11"/>
      <c r="T1780" s="1"/>
      <c r="U1780" s="1"/>
      <c r="V1780" s="1"/>
      <c r="W1780" s="1"/>
      <c r="X1780" s="1"/>
      <c r="Y1780" s="1"/>
      <c r="Z1780" s="1"/>
    </row>
    <row r="1781" ht="18.0" hidden="1" customHeight="1" outlineLevel="2">
      <c r="A1781" s="1">
        <v>2.0</v>
      </c>
      <c r="B1781" s="26" t="s">
        <v>1968</v>
      </c>
      <c r="C1781" s="1"/>
      <c r="D1781" s="1"/>
      <c r="E1781" s="14"/>
      <c r="F1781" s="15"/>
      <c r="G1781" s="16"/>
      <c r="H1781" s="11"/>
      <c r="I1781" s="7"/>
      <c r="J1781" s="7" t="str">
        <f>IFERROR(LET(_xlpm.v,
VLOOKUP($I1781,'用語辞書'!$A:$B,COLUMN('用語辞書'!B$1),FALSE),
IF(_xlpm.v=0,"",_xlpm.v)
),"")</f>
        <v/>
      </c>
      <c r="K1781" s="17"/>
      <c r="L1781" s="17" t="str">
        <f>IF(OR(COUNTIF('クラス'!$A$1:$A$1267,$B1781)&gt;0,$B1781="",$M1781=""),"",True)</f>
        <v/>
      </c>
      <c r="M1781" s="1" t="str">
        <f t="shared" si="27"/>
        <v/>
      </c>
      <c r="N1781" s="1" t="s">
        <v>29</v>
      </c>
      <c r="O1781" s="1"/>
      <c r="P1781" s="11"/>
      <c r="Q1781" s="11"/>
      <c r="R1781" s="11"/>
      <c r="S1781" s="11"/>
      <c r="T1781" s="1"/>
      <c r="U1781" s="1"/>
      <c r="V1781" s="1"/>
      <c r="W1781" s="1"/>
      <c r="X1781" s="1"/>
      <c r="Y1781" s="1"/>
      <c r="Z1781" s="1"/>
    </row>
    <row r="1782" ht="18.0" hidden="1" customHeight="1" outlineLevel="2">
      <c r="A1782" s="1">
        <v>3.0</v>
      </c>
      <c r="B1782" s="26" t="s">
        <v>1970</v>
      </c>
      <c r="C1782" s="1"/>
      <c r="D1782" s="1"/>
      <c r="E1782" s="14"/>
      <c r="F1782" s="15"/>
      <c r="G1782" s="16"/>
      <c r="H1782" s="11"/>
      <c r="I1782" s="7"/>
      <c r="J1782" s="7" t="str">
        <f>IFERROR(LET(_xlpm.v,
VLOOKUP($I1782,'用語辞書'!$A:$B,COLUMN('用語辞書'!B$1),FALSE),
IF(_xlpm.v=0,"",_xlpm.v)
),"")</f>
        <v/>
      </c>
      <c r="K1782" s="17"/>
      <c r="L1782" s="17" t="str">
        <f>IF(OR(COUNTIF('クラス'!$A$1:$A$1267,$B1782)&gt;0,$B1782="",$M1782=""),"",True)</f>
        <v/>
      </c>
      <c r="M1782" s="1" t="str">
        <f t="shared" si="27"/>
        <v/>
      </c>
      <c r="N1782" s="1" t="s">
        <v>29</v>
      </c>
      <c r="O1782" s="1"/>
      <c r="P1782" s="11"/>
      <c r="Q1782" s="11"/>
      <c r="R1782" s="11"/>
      <c r="S1782" s="11"/>
      <c r="T1782" s="1"/>
      <c r="U1782" s="1"/>
      <c r="V1782" s="1"/>
      <c r="W1782" s="1"/>
      <c r="X1782" s="1"/>
      <c r="Y1782" s="1"/>
      <c r="Z1782" s="1"/>
    </row>
    <row r="1783" ht="18.0" hidden="1" customHeight="1" outlineLevel="2">
      <c r="A1783" s="1">
        <v>4.0</v>
      </c>
      <c r="B1783" s="1"/>
      <c r="C1783" s="1"/>
      <c r="D1783" s="1"/>
      <c r="E1783" s="14"/>
      <c r="F1783" s="15"/>
      <c r="G1783" s="16"/>
      <c r="H1783" s="11"/>
      <c r="I1783" s="7"/>
      <c r="J1783" s="7" t="str">
        <f>IFERROR(LET(_xlpm.v,
VLOOKUP($I1783,'用語辞書'!$A:$B,COLUMN('用語辞書'!B$1),FALSE),
IF(_xlpm.v=0,"",_xlpm.v)
),"")</f>
        <v/>
      </c>
      <c r="K1783" s="17"/>
      <c r="L1783" s="17" t="str">
        <f>IF(OR(COUNTIF('クラス'!$A$1:$A$1267,$B1783)&gt;0,$B1783="",$M1783=""),"",True)</f>
        <v/>
      </c>
      <c r="M1783" s="1" t="str">
        <f t="shared" si="27"/>
        <v>存在しない</v>
      </c>
      <c r="N1783" s="1" t="s">
        <v>29</v>
      </c>
      <c r="O1783" s="1"/>
      <c r="P1783" s="11"/>
      <c r="Q1783" s="11"/>
      <c r="R1783" s="11"/>
      <c r="S1783" s="11"/>
      <c r="T1783" s="1"/>
      <c r="U1783" s="1"/>
      <c r="V1783" s="1"/>
      <c r="W1783" s="1"/>
      <c r="X1783" s="1"/>
      <c r="Y1783" s="1"/>
      <c r="Z1783" s="1"/>
    </row>
    <row r="1784" ht="18.0" hidden="1" customHeight="1" outlineLevel="2">
      <c r="A1784" s="1">
        <v>5.0</v>
      </c>
      <c r="B1784" s="26" t="s">
        <v>1243</v>
      </c>
      <c r="C1784" s="1"/>
      <c r="D1784" s="1"/>
      <c r="E1784" s="14"/>
      <c r="F1784" s="15"/>
      <c r="G1784" s="16"/>
      <c r="H1784" s="11"/>
      <c r="I1784" s="7"/>
      <c r="J1784" s="7" t="str">
        <f>IFERROR(LET(_xlpm.v,
VLOOKUP($I1784,'用語辞書'!$A:$B,COLUMN('用語辞書'!B$1),FALSE),
IF(_xlpm.v=0,"",_xlpm.v)
),"")</f>
        <v/>
      </c>
      <c r="K1784" s="17"/>
      <c r="L1784" s="17" t="str">
        <f>IF(OR(COUNTIF('クラス'!$A$1:$A$1267,$B1784)&gt;0,$B1784="",$M1784=""),"",True)</f>
        <v/>
      </c>
      <c r="M1784" s="1" t="str">
        <f t="shared" si="27"/>
        <v/>
      </c>
      <c r="N1784" s="1" t="s">
        <v>29</v>
      </c>
      <c r="O1784" s="1"/>
      <c r="P1784" s="11"/>
      <c r="Q1784" s="11"/>
      <c r="R1784" s="11"/>
      <c r="S1784" s="11"/>
      <c r="T1784" s="1"/>
      <c r="U1784" s="1"/>
      <c r="V1784" s="1"/>
      <c r="W1784" s="1"/>
      <c r="X1784" s="1"/>
      <c r="Y1784" s="1"/>
      <c r="Z1784" s="1"/>
    </row>
    <row r="1785" ht="18.0" hidden="1" customHeight="1" outlineLevel="2">
      <c r="A1785" s="1">
        <v>6.0</v>
      </c>
      <c r="B1785" s="1"/>
      <c r="C1785" s="1"/>
      <c r="D1785" s="1"/>
      <c r="E1785" s="14"/>
      <c r="F1785" s="15"/>
      <c r="G1785" s="16"/>
      <c r="H1785" s="11"/>
      <c r="I1785" s="7"/>
      <c r="J1785" s="7" t="str">
        <f>IFERROR(LET(_xlpm.v,
VLOOKUP($I1785,'用語辞書'!$A:$B,COLUMN('用語辞書'!B$1),FALSE),
IF(_xlpm.v=0,"",_xlpm.v)
),"")</f>
        <v/>
      </c>
      <c r="K1785" s="17"/>
      <c r="L1785" s="17" t="str">
        <f>IF(OR(COUNTIF('クラス'!$A$1:$A$1267,$B1785)&gt;0,$B1785="",$M1785=""),"",True)</f>
        <v/>
      </c>
      <c r="M1785" s="1" t="str">
        <f t="shared" si="27"/>
        <v>存在しない</v>
      </c>
      <c r="N1785" s="1" t="s">
        <v>29</v>
      </c>
      <c r="O1785" s="1"/>
      <c r="P1785" s="11"/>
      <c r="Q1785" s="11"/>
      <c r="R1785" s="11"/>
      <c r="S1785" s="11"/>
      <c r="T1785" s="1"/>
      <c r="U1785" s="1"/>
      <c r="V1785" s="1"/>
      <c r="W1785" s="1"/>
      <c r="X1785" s="1"/>
      <c r="Y1785" s="1"/>
      <c r="Z1785" s="1"/>
    </row>
    <row r="1786" ht="18.0" hidden="1" customHeight="1" outlineLevel="2">
      <c r="A1786" s="1">
        <v>7.0</v>
      </c>
      <c r="B1786" s="26" t="s">
        <v>1972</v>
      </c>
      <c r="C1786" s="1"/>
      <c r="D1786" s="1"/>
      <c r="E1786" s="14"/>
      <c r="F1786" s="15"/>
      <c r="G1786" s="16"/>
      <c r="H1786" s="11"/>
      <c r="I1786" s="7"/>
      <c r="J1786" s="7" t="str">
        <f>IFERROR(LET(_xlpm.v,
VLOOKUP($I1786,'用語辞書'!$A:$B,COLUMN('用語辞書'!B$1),FALSE),
IF(_xlpm.v=0,"",_xlpm.v)
),"")</f>
        <v/>
      </c>
      <c r="K1786" s="17"/>
      <c r="L1786" s="17" t="str">
        <f>IF(OR(COUNTIF('クラス'!$A$1:$A$1267,$B1786)&gt;0,$B1786="",$M1786=""),"",True)</f>
        <v/>
      </c>
      <c r="M1786" s="1" t="str">
        <f t="shared" si="27"/>
        <v/>
      </c>
      <c r="N1786" s="1" t="s">
        <v>29</v>
      </c>
      <c r="O1786" s="1"/>
      <c r="P1786" s="11"/>
      <c r="Q1786" s="11"/>
      <c r="R1786" s="11"/>
      <c r="S1786" s="11"/>
      <c r="T1786" s="1"/>
      <c r="U1786" s="1"/>
      <c r="V1786" s="1"/>
      <c r="W1786" s="1"/>
      <c r="X1786" s="1"/>
      <c r="Y1786" s="1"/>
      <c r="Z1786" s="1"/>
    </row>
    <row r="1787" ht="18.0" hidden="1" customHeight="1" outlineLevel="2">
      <c r="A1787" s="1">
        <v>8.0</v>
      </c>
      <c r="B1787" s="1"/>
      <c r="C1787" s="1"/>
      <c r="D1787" s="1"/>
      <c r="E1787" s="14"/>
      <c r="F1787" s="15"/>
      <c r="G1787" s="16"/>
      <c r="H1787" s="11"/>
      <c r="I1787" s="7"/>
      <c r="J1787" s="7" t="str">
        <f>IFERROR(LET(_xlpm.v,
VLOOKUP($I1787,'用語辞書'!$A:$B,COLUMN('用語辞書'!B$1),FALSE),
IF(_xlpm.v=0,"",_xlpm.v)
),"")</f>
        <v/>
      </c>
      <c r="K1787" s="17"/>
      <c r="L1787" s="17" t="str">
        <f>IF(OR(COUNTIF('クラス'!$A$1:$A$1267,$B1787)&gt;0,$B1787="",$M1787=""),"",True)</f>
        <v/>
      </c>
      <c r="M1787" s="1" t="str">
        <f t="shared" si="27"/>
        <v>存在しない</v>
      </c>
      <c r="N1787" s="1" t="s">
        <v>29</v>
      </c>
      <c r="O1787" s="1"/>
      <c r="P1787" s="11"/>
      <c r="Q1787" s="11"/>
      <c r="R1787" s="11"/>
      <c r="S1787" s="11"/>
      <c r="T1787" s="1"/>
      <c r="U1787" s="1"/>
      <c r="V1787" s="1"/>
      <c r="W1787" s="1"/>
      <c r="X1787" s="1"/>
      <c r="Y1787" s="1"/>
      <c r="Z1787" s="1"/>
    </row>
    <row r="1788" ht="18.0" hidden="1" customHeight="1" outlineLevel="2">
      <c r="A1788" s="1">
        <v>9.0</v>
      </c>
      <c r="B1788" s="26" t="s">
        <v>1917</v>
      </c>
      <c r="C1788" s="1"/>
      <c r="D1788" s="1"/>
      <c r="E1788" s="14"/>
      <c r="F1788" s="15"/>
      <c r="G1788" s="16"/>
      <c r="H1788" s="11"/>
      <c r="I1788" s="7"/>
      <c r="J1788" s="7" t="str">
        <f>IFERROR(LET(_xlpm.v,
VLOOKUP($I1788,'用語辞書'!$A:$B,COLUMN('用語辞書'!B$1),FALSE),
IF(_xlpm.v=0,"",_xlpm.v)
),"")</f>
        <v/>
      </c>
      <c r="K1788" s="17"/>
      <c r="L1788" s="17" t="str">
        <f>IF(OR(COUNTIF('クラス'!$A$1:$A$1267,$B1788)&gt;0,$B1788="",$M1788=""),"",True)</f>
        <v/>
      </c>
      <c r="M1788" s="1" t="str">
        <f t="shared" si="27"/>
        <v/>
      </c>
      <c r="N1788" s="1" t="s">
        <v>29</v>
      </c>
      <c r="O1788" s="1"/>
      <c r="P1788" s="11"/>
      <c r="Q1788" s="11"/>
      <c r="R1788" s="11"/>
      <c r="S1788" s="11"/>
      <c r="T1788" s="1"/>
      <c r="U1788" s="1"/>
      <c r="V1788" s="1"/>
      <c r="W1788" s="1"/>
      <c r="X1788" s="1"/>
      <c r="Y1788" s="1"/>
      <c r="Z1788" s="1"/>
    </row>
    <row r="1789" ht="18.0" hidden="1" customHeight="1" outlineLevel="2">
      <c r="A1789" s="1">
        <v>10.0</v>
      </c>
      <c r="B1789" s="1"/>
      <c r="C1789" s="1"/>
      <c r="D1789" s="1"/>
      <c r="E1789" s="14"/>
      <c r="F1789" s="15"/>
      <c r="G1789" s="16"/>
      <c r="H1789" s="11"/>
      <c r="I1789" s="7"/>
      <c r="J1789" s="7" t="str">
        <f>IFERROR(LET(_xlpm.v,
VLOOKUP($I1789,'用語辞書'!$A:$B,COLUMN('用語辞書'!B$1),FALSE),
IF(_xlpm.v=0,"",_xlpm.v)
),"")</f>
        <v/>
      </c>
      <c r="K1789" s="17"/>
      <c r="L1789" s="17" t="str">
        <f>IF(OR(COUNTIF('クラス'!$A$1:$A$1267,$B1789)&gt;0,$B1789="",$M1789=""),"",True)</f>
        <v/>
      </c>
      <c r="M1789" s="1" t="str">
        <f t="shared" si="27"/>
        <v>存在しない</v>
      </c>
      <c r="N1789" s="1" t="s">
        <v>29</v>
      </c>
      <c r="O1789" s="1"/>
      <c r="P1789" s="11"/>
      <c r="Q1789" s="11"/>
      <c r="R1789" s="11"/>
      <c r="S1789" s="11"/>
      <c r="T1789" s="1"/>
      <c r="U1789" s="1"/>
      <c r="V1789" s="1"/>
      <c r="W1789" s="1"/>
      <c r="X1789" s="1"/>
      <c r="Y1789" s="1"/>
      <c r="Z1789" s="1"/>
    </row>
    <row r="1790" ht="18.0" customHeight="1" outlineLevel="1" collapsed="1">
      <c r="A1790" s="1"/>
      <c r="B1790" s="1"/>
      <c r="C1790" s="1"/>
      <c r="D1790" s="1"/>
      <c r="E1790" s="14"/>
      <c r="F1790" s="15"/>
      <c r="G1790" s="16"/>
      <c r="H1790" s="11"/>
      <c r="I1790" s="7"/>
      <c r="J1790" s="7" t="str">
        <f>IFERROR(LET(_xlpm.v,
VLOOKUP($I1790,'用語辞書'!$A:$B,COLUMN('用語辞書'!B$1),FALSE),
IF(_xlpm.v=0,"",_xlpm.v)
),"")</f>
        <v/>
      </c>
      <c r="K1790" s="17"/>
      <c r="L1790" s="17" t="str">
        <f>IF(OR(COUNTIF('クラス'!$A$1:$A$1267,$B1790)&gt;0,$B1790="",$M1790=""),"",True)</f>
        <v/>
      </c>
      <c r="M1790" s="1" t="str">
        <f t="shared" si="27"/>
        <v>存在しない</v>
      </c>
      <c r="N1790" s="1" t="s">
        <v>29</v>
      </c>
      <c r="O1790" s="1"/>
      <c r="P1790" s="11"/>
      <c r="Q1790" s="11"/>
      <c r="R1790" s="11"/>
      <c r="S1790" s="11"/>
      <c r="T1790" s="1"/>
      <c r="U1790" s="1"/>
      <c r="V1790" s="1"/>
      <c r="W1790" s="1"/>
      <c r="X1790" s="1"/>
      <c r="Y1790" s="1"/>
      <c r="Z1790" s="1"/>
    </row>
    <row r="1791" ht="18.0" customHeight="1" outlineLevel="1">
      <c r="A1791" s="1"/>
      <c r="B1791" s="1"/>
      <c r="C1791" s="1"/>
      <c r="D1791" s="1"/>
      <c r="E1791" s="14"/>
      <c r="F1791" s="15"/>
      <c r="G1791" s="16"/>
      <c r="H1791" s="11"/>
      <c r="I1791" s="7"/>
      <c r="J1791" s="7" t="str">
        <f>IFERROR(LET(_xlpm.v,
VLOOKUP($I1791,'用語辞書'!$A:$B,COLUMN('用語辞書'!B$1),FALSE),
IF(_xlpm.v=0,"",_xlpm.v)
),"")</f>
        <v/>
      </c>
      <c r="K1791" s="17"/>
      <c r="L1791" s="17" t="str">
        <f>IF(OR(COUNTIF('クラス'!$A$1:$A$1267,$B1791)&gt;0,$B1791="",$M1791=""),"",True)</f>
        <v/>
      </c>
      <c r="M1791" s="1" t="str">
        <f t="shared" si="27"/>
        <v>存在しない</v>
      </c>
      <c r="N1791" s="1" t="s">
        <v>29</v>
      </c>
      <c r="O1791" s="1"/>
      <c r="P1791" s="11"/>
      <c r="Q1791" s="11"/>
      <c r="R1791" s="11"/>
      <c r="S1791" s="11"/>
      <c r="T1791" s="1"/>
      <c r="U1791" s="1"/>
      <c r="V1791" s="1"/>
      <c r="W1791" s="1"/>
      <c r="X1791" s="1"/>
      <c r="Y1791" s="1"/>
      <c r="Z1791" s="1"/>
    </row>
    <row r="1792" ht="18.0" customHeight="1" outlineLevel="1">
      <c r="A1792" s="1"/>
      <c r="B1792" s="26" t="s">
        <v>1977</v>
      </c>
      <c r="C1792" s="1"/>
      <c r="D1792" s="1"/>
      <c r="E1792" s="14"/>
      <c r="F1792" s="15"/>
      <c r="G1792" s="16"/>
      <c r="H1792" s="11"/>
      <c r="I1792" s="7"/>
      <c r="J1792" s="7" t="str">
        <f>IFERROR(LET(_xlpm.v,
VLOOKUP($I1792,'用語辞書'!$A:$B,COLUMN('用語辞書'!B$1),FALSE),
IF(_xlpm.v=0,"",_xlpm.v)
),"")</f>
        <v/>
      </c>
      <c r="K1792" s="17"/>
      <c r="L1792" s="17" t="str">
        <f>IF(OR(COUNTIF('クラス'!$A$1:$A$1267,$B1792)&gt;0,$B1792="",$M1792=""),"",True)</f>
        <v/>
      </c>
      <c r="M1792" s="1" t="str">
        <f t="shared" si="27"/>
        <v>存在しない</v>
      </c>
      <c r="N1792" s="1" t="s">
        <v>29</v>
      </c>
      <c r="O1792" s="1"/>
      <c r="P1792" s="11"/>
      <c r="Q1792" s="11"/>
      <c r="R1792" s="11"/>
      <c r="S1792" s="11"/>
      <c r="T1792" s="1"/>
      <c r="U1792" s="1"/>
      <c r="V1792" s="1"/>
      <c r="W1792" s="1"/>
      <c r="X1792" s="1"/>
      <c r="Y1792" s="1"/>
      <c r="Z1792" s="1"/>
    </row>
    <row r="1793" ht="18.0" hidden="1" customHeight="1" outlineLevel="2">
      <c r="A1793" s="1">
        <v>1.0</v>
      </c>
      <c r="B1793" s="26" t="s">
        <v>1966</v>
      </c>
      <c r="C1793" s="1"/>
      <c r="D1793" s="1"/>
      <c r="E1793" s="14"/>
      <c r="F1793" s="15"/>
      <c r="G1793" s="16"/>
      <c r="H1793" s="11"/>
      <c r="I1793" s="7"/>
      <c r="J1793" s="7" t="str">
        <f>IFERROR(LET(_xlpm.v,
VLOOKUP($I1793,'用語辞書'!$A:$B,COLUMN('用語辞書'!B$1),FALSE),
IF(_xlpm.v=0,"",_xlpm.v)
),"")</f>
        <v/>
      </c>
      <c r="K1793" s="17"/>
      <c r="L1793" s="17" t="str">
        <f>IF(OR(COUNTIF('クラス'!$A$1:$A$1267,$B1793)&gt;0,$B1793="",$M1793=""),"",True)</f>
        <v/>
      </c>
      <c r="M1793" s="1" t="str">
        <f t="shared" si="27"/>
        <v/>
      </c>
      <c r="N1793" s="1" t="s">
        <v>29</v>
      </c>
      <c r="O1793" s="1"/>
      <c r="P1793" s="11"/>
      <c r="Q1793" s="11"/>
      <c r="R1793" s="11"/>
      <c r="S1793" s="11"/>
      <c r="T1793" s="1"/>
      <c r="U1793" s="1"/>
      <c r="V1793" s="1"/>
      <c r="W1793" s="1"/>
      <c r="X1793" s="1"/>
      <c r="Y1793" s="1"/>
      <c r="Z1793" s="1"/>
    </row>
    <row r="1794" ht="18.0" hidden="1" customHeight="1" outlineLevel="2">
      <c r="A1794" s="1">
        <v>2.0</v>
      </c>
      <c r="B1794" s="26" t="s">
        <v>1968</v>
      </c>
      <c r="C1794" s="1"/>
      <c r="D1794" s="1"/>
      <c r="E1794" s="14"/>
      <c r="F1794" s="15"/>
      <c r="G1794" s="16"/>
      <c r="H1794" s="11"/>
      <c r="I1794" s="7"/>
      <c r="J1794" s="7" t="str">
        <f>IFERROR(LET(_xlpm.v,
VLOOKUP($I1794,'用語辞書'!$A:$B,COLUMN('用語辞書'!B$1),FALSE),
IF(_xlpm.v=0,"",_xlpm.v)
),"")</f>
        <v/>
      </c>
      <c r="K1794" s="17"/>
      <c r="L1794" s="17" t="str">
        <f>IF(OR(COUNTIF('クラス'!$A$1:$A$1267,$B1794)&gt;0,$B1794="",$M1794=""),"",True)</f>
        <v/>
      </c>
      <c r="M1794" s="1" t="str">
        <f t="shared" si="27"/>
        <v/>
      </c>
      <c r="N1794" s="1" t="s">
        <v>29</v>
      </c>
      <c r="O1794" s="1"/>
      <c r="P1794" s="11"/>
      <c r="Q1794" s="11"/>
      <c r="R1794" s="11"/>
      <c r="S1794" s="11"/>
      <c r="T1794" s="1"/>
      <c r="U1794" s="1"/>
      <c r="V1794" s="1"/>
      <c r="W1794" s="1"/>
      <c r="X1794" s="1"/>
      <c r="Y1794" s="1"/>
      <c r="Z1794" s="1"/>
    </row>
    <row r="1795" ht="18.0" hidden="1" customHeight="1" outlineLevel="2">
      <c r="A1795" s="1">
        <v>3.0</v>
      </c>
      <c r="B1795" s="26" t="s">
        <v>1970</v>
      </c>
      <c r="C1795" s="1"/>
      <c r="D1795" s="1"/>
      <c r="E1795" s="14"/>
      <c r="F1795" s="15"/>
      <c r="G1795" s="16"/>
      <c r="H1795" s="11"/>
      <c r="I1795" s="7"/>
      <c r="J1795" s="7" t="str">
        <f>IFERROR(LET(_xlpm.v,
VLOOKUP($I1795,'用語辞書'!$A:$B,COLUMN('用語辞書'!B$1),FALSE),
IF(_xlpm.v=0,"",_xlpm.v)
),"")</f>
        <v/>
      </c>
      <c r="K1795" s="17"/>
      <c r="L1795" s="17" t="str">
        <f>IF(OR(COUNTIF('クラス'!$A$1:$A$1267,$B1795)&gt;0,$B1795="",$M1795=""),"",True)</f>
        <v/>
      </c>
      <c r="M1795" s="1" t="str">
        <f t="shared" si="27"/>
        <v/>
      </c>
      <c r="N1795" s="1" t="s">
        <v>29</v>
      </c>
      <c r="O1795" s="1"/>
      <c r="P1795" s="11"/>
      <c r="Q1795" s="11"/>
      <c r="R1795" s="11"/>
      <c r="S1795" s="11"/>
      <c r="T1795" s="1"/>
      <c r="U1795" s="1"/>
      <c r="V1795" s="1"/>
      <c r="W1795" s="1"/>
      <c r="X1795" s="1"/>
      <c r="Y1795" s="1"/>
      <c r="Z1795" s="1"/>
    </row>
    <row r="1796" ht="18.0" hidden="1" customHeight="1" outlineLevel="2">
      <c r="A1796" s="1">
        <v>4.0</v>
      </c>
      <c r="B1796" s="1"/>
      <c r="C1796" s="1"/>
      <c r="D1796" s="1"/>
      <c r="E1796" s="14"/>
      <c r="F1796" s="15"/>
      <c r="G1796" s="16"/>
      <c r="H1796" s="11"/>
      <c r="I1796" s="7"/>
      <c r="J1796" s="7" t="str">
        <f>IFERROR(LET(_xlpm.v,
VLOOKUP($I1796,'用語辞書'!$A:$B,COLUMN('用語辞書'!B$1),FALSE),
IF(_xlpm.v=0,"",_xlpm.v)
),"")</f>
        <v/>
      </c>
      <c r="K1796" s="17"/>
      <c r="L1796" s="17" t="str">
        <f>IF(OR(COUNTIF('クラス'!$A$1:$A$1267,$B1796)&gt;0,$B1796="",$M1796=""),"",True)</f>
        <v/>
      </c>
      <c r="M1796" s="1" t="str">
        <f t="shared" si="27"/>
        <v>存在しない</v>
      </c>
      <c r="N1796" s="1" t="s">
        <v>29</v>
      </c>
      <c r="O1796" s="1"/>
      <c r="P1796" s="11"/>
      <c r="Q1796" s="11"/>
      <c r="R1796" s="11"/>
      <c r="S1796" s="11"/>
      <c r="T1796" s="1"/>
      <c r="U1796" s="1"/>
      <c r="V1796" s="1"/>
      <c r="W1796" s="1"/>
      <c r="X1796" s="1"/>
      <c r="Y1796" s="1"/>
      <c r="Z1796" s="1"/>
    </row>
    <row r="1797" ht="18.0" hidden="1" customHeight="1" outlineLevel="2">
      <c r="A1797" s="1">
        <v>5.0</v>
      </c>
      <c r="B1797" s="26" t="s">
        <v>1243</v>
      </c>
      <c r="C1797" s="1"/>
      <c r="D1797" s="1"/>
      <c r="E1797" s="14"/>
      <c r="F1797" s="15"/>
      <c r="G1797" s="16"/>
      <c r="H1797" s="11"/>
      <c r="I1797" s="7"/>
      <c r="J1797" s="7" t="str">
        <f>IFERROR(LET(_xlpm.v,
VLOOKUP($I1797,'用語辞書'!$A:$B,COLUMN('用語辞書'!B$1),FALSE),
IF(_xlpm.v=0,"",_xlpm.v)
),"")</f>
        <v/>
      </c>
      <c r="K1797" s="17"/>
      <c r="L1797" s="17" t="str">
        <f>IF(OR(COUNTIF('クラス'!$A$1:$A$1267,$B1797)&gt;0,$B1797="",$M1797=""),"",True)</f>
        <v/>
      </c>
      <c r="M1797" s="1" t="str">
        <f t="shared" si="27"/>
        <v/>
      </c>
      <c r="N1797" s="1" t="s">
        <v>29</v>
      </c>
      <c r="O1797" s="1"/>
      <c r="P1797" s="11"/>
      <c r="Q1797" s="11"/>
      <c r="R1797" s="11"/>
      <c r="S1797" s="11"/>
      <c r="T1797" s="1"/>
      <c r="U1797" s="1"/>
      <c r="V1797" s="1"/>
      <c r="W1797" s="1"/>
      <c r="X1797" s="1"/>
      <c r="Y1797" s="1"/>
      <c r="Z1797" s="1"/>
    </row>
    <row r="1798" ht="18.0" hidden="1" customHeight="1" outlineLevel="2">
      <c r="A1798" s="1">
        <v>6.0</v>
      </c>
      <c r="B1798" s="1"/>
      <c r="C1798" s="1"/>
      <c r="D1798" s="1"/>
      <c r="E1798" s="14"/>
      <c r="F1798" s="15"/>
      <c r="G1798" s="16"/>
      <c r="H1798" s="11"/>
      <c r="I1798" s="7"/>
      <c r="J1798" s="7" t="str">
        <f>IFERROR(LET(_xlpm.v,
VLOOKUP($I1798,'用語辞書'!$A:$B,COLUMN('用語辞書'!B$1),FALSE),
IF(_xlpm.v=0,"",_xlpm.v)
),"")</f>
        <v/>
      </c>
      <c r="K1798" s="17"/>
      <c r="L1798" s="17" t="str">
        <f>IF(OR(COUNTIF('クラス'!$A$1:$A$1267,$B1798)&gt;0,$B1798="",$M1798=""),"",True)</f>
        <v/>
      </c>
      <c r="M1798" s="1" t="str">
        <f t="shared" si="27"/>
        <v>存在しない</v>
      </c>
      <c r="N1798" s="1" t="s">
        <v>29</v>
      </c>
      <c r="O1798" s="1"/>
      <c r="P1798" s="11"/>
      <c r="Q1798" s="11"/>
      <c r="R1798" s="11"/>
      <c r="S1798" s="11"/>
      <c r="T1798" s="1"/>
      <c r="U1798" s="1"/>
      <c r="V1798" s="1"/>
      <c r="W1798" s="1"/>
      <c r="X1798" s="1"/>
      <c r="Y1798" s="1"/>
      <c r="Z1798" s="1"/>
    </row>
    <row r="1799" ht="18.0" hidden="1" customHeight="1" outlineLevel="2">
      <c r="A1799" s="1">
        <v>7.0</v>
      </c>
      <c r="B1799" s="26" t="s">
        <v>1972</v>
      </c>
      <c r="C1799" s="1"/>
      <c r="D1799" s="1"/>
      <c r="E1799" s="14"/>
      <c r="F1799" s="15"/>
      <c r="G1799" s="16"/>
      <c r="H1799" s="11"/>
      <c r="I1799" s="7"/>
      <c r="J1799" s="7" t="str">
        <f>IFERROR(LET(_xlpm.v,
VLOOKUP($I1799,'用語辞書'!$A:$B,COLUMN('用語辞書'!B$1),FALSE),
IF(_xlpm.v=0,"",_xlpm.v)
),"")</f>
        <v/>
      </c>
      <c r="K1799" s="17"/>
      <c r="L1799" s="17" t="str">
        <f>IF(OR(COUNTIF('クラス'!$A$1:$A$1267,$B1799)&gt;0,$B1799="",$M1799=""),"",True)</f>
        <v/>
      </c>
      <c r="M1799" s="1" t="str">
        <f t="shared" si="27"/>
        <v/>
      </c>
      <c r="N1799" s="1" t="s">
        <v>29</v>
      </c>
      <c r="O1799" s="1"/>
      <c r="P1799" s="11"/>
      <c r="Q1799" s="11"/>
      <c r="R1799" s="11"/>
      <c r="S1799" s="11"/>
      <c r="T1799" s="1"/>
      <c r="U1799" s="1"/>
      <c r="V1799" s="1"/>
      <c r="W1799" s="1"/>
      <c r="X1799" s="1"/>
      <c r="Y1799" s="1"/>
      <c r="Z1799" s="1"/>
    </row>
    <row r="1800" ht="18.0" hidden="1" customHeight="1" outlineLevel="2">
      <c r="A1800" s="1">
        <v>8.0</v>
      </c>
      <c r="B1800" s="1"/>
      <c r="C1800" s="1"/>
      <c r="D1800" s="1"/>
      <c r="E1800" s="14"/>
      <c r="F1800" s="15"/>
      <c r="G1800" s="16"/>
      <c r="H1800" s="11"/>
      <c r="I1800" s="7"/>
      <c r="J1800" s="7" t="str">
        <f>IFERROR(LET(_xlpm.v,
VLOOKUP($I1800,'用語辞書'!$A:$B,COLUMN('用語辞書'!B$1),FALSE),
IF(_xlpm.v=0,"",_xlpm.v)
),"")</f>
        <v/>
      </c>
      <c r="K1800" s="17"/>
      <c r="L1800" s="17" t="str">
        <f>IF(OR(COUNTIF('クラス'!$A$1:$A$1267,$B1800)&gt;0,$B1800="",$M1800=""),"",True)</f>
        <v/>
      </c>
      <c r="M1800" s="1" t="str">
        <f t="shared" si="27"/>
        <v>存在しない</v>
      </c>
      <c r="N1800" s="1" t="s">
        <v>29</v>
      </c>
      <c r="O1800" s="1"/>
      <c r="P1800" s="11"/>
      <c r="Q1800" s="11"/>
      <c r="R1800" s="11"/>
      <c r="S1800" s="11"/>
      <c r="T1800" s="1"/>
      <c r="U1800" s="1"/>
      <c r="V1800" s="1"/>
      <c r="W1800" s="1"/>
      <c r="X1800" s="1"/>
      <c r="Y1800" s="1"/>
      <c r="Z1800" s="1"/>
    </row>
    <row r="1801" ht="18.0" hidden="1" customHeight="1" outlineLevel="2">
      <c r="A1801" s="1">
        <v>9.0</v>
      </c>
      <c r="B1801" s="26" t="s">
        <v>1318</v>
      </c>
      <c r="C1801" s="1"/>
      <c r="D1801" s="1"/>
      <c r="E1801" s="14"/>
      <c r="F1801" s="15"/>
      <c r="G1801" s="16"/>
      <c r="H1801" s="11"/>
      <c r="I1801" s="7"/>
      <c r="J1801" s="7" t="str">
        <f>IFERROR(LET(_xlpm.v,
VLOOKUP($I1801,'用語辞書'!$A:$B,COLUMN('用語辞書'!B$1),FALSE),
IF(_xlpm.v=0,"",_xlpm.v)
),"")</f>
        <v/>
      </c>
      <c r="K1801" s="17"/>
      <c r="L1801" s="17" t="str">
        <f>IF(OR(COUNTIF('クラス'!$A$1:$A$1267,$B1801)&gt;0,$B1801="",$M1801=""),"",True)</f>
        <v/>
      </c>
      <c r="M1801" s="1" t="str">
        <f t="shared" si="27"/>
        <v/>
      </c>
      <c r="N1801" s="1" t="s">
        <v>29</v>
      </c>
      <c r="O1801" s="1"/>
      <c r="P1801" s="11"/>
      <c r="Q1801" s="11"/>
      <c r="R1801" s="11"/>
      <c r="S1801" s="11"/>
      <c r="T1801" s="1"/>
      <c r="U1801" s="1"/>
      <c r="V1801" s="1"/>
      <c r="W1801" s="1"/>
      <c r="X1801" s="1"/>
      <c r="Y1801" s="1"/>
      <c r="Z1801" s="1"/>
    </row>
    <row r="1802" ht="18.0" hidden="1" customHeight="1" outlineLevel="2">
      <c r="A1802" s="1">
        <v>10.0</v>
      </c>
      <c r="B1802" s="1"/>
      <c r="C1802" s="1"/>
      <c r="D1802" s="1"/>
      <c r="E1802" s="14"/>
      <c r="F1802" s="15"/>
      <c r="G1802" s="16"/>
      <c r="H1802" s="11"/>
      <c r="I1802" s="7"/>
      <c r="J1802" s="7" t="str">
        <f>IFERROR(LET(_xlpm.v,
VLOOKUP($I1802,'用語辞書'!$A:$B,COLUMN('用語辞書'!B$1),FALSE),
IF(_xlpm.v=0,"",_xlpm.v)
),"")</f>
        <v/>
      </c>
      <c r="K1802" s="17"/>
      <c r="L1802" s="17" t="str">
        <f>IF(OR(COUNTIF('クラス'!$A$1:$A$1267,$B1802)&gt;0,$B1802="",$M1802=""),"",True)</f>
        <v/>
      </c>
      <c r="M1802" s="1" t="str">
        <f t="shared" si="27"/>
        <v>存在しない</v>
      </c>
      <c r="N1802" s="1" t="s">
        <v>29</v>
      </c>
      <c r="O1802" s="1"/>
      <c r="P1802" s="11"/>
      <c r="Q1802" s="11"/>
      <c r="R1802" s="11"/>
      <c r="S1802" s="11"/>
      <c r="T1802" s="1"/>
      <c r="U1802" s="1"/>
      <c r="V1802" s="1"/>
      <c r="W1802" s="1"/>
      <c r="X1802" s="1"/>
      <c r="Y1802" s="1"/>
      <c r="Z1802" s="1"/>
    </row>
    <row r="1803" ht="18.0" customHeight="1" outlineLevel="1" collapsed="1">
      <c r="A1803" s="1"/>
      <c r="B1803" s="1"/>
      <c r="C1803" s="1"/>
      <c r="D1803" s="1"/>
      <c r="E1803" s="14"/>
      <c r="F1803" s="15"/>
      <c r="G1803" s="16"/>
      <c r="H1803" s="11"/>
      <c r="I1803" s="7"/>
      <c r="J1803" s="7" t="str">
        <f>IFERROR(LET(_xlpm.v,
VLOOKUP($I1803,'用語辞書'!$A:$B,COLUMN('用語辞書'!B$1),FALSE),
IF(_xlpm.v=0,"",_xlpm.v)
),"")</f>
        <v/>
      </c>
      <c r="K1803" s="17"/>
      <c r="L1803" s="17" t="str">
        <f>IF(OR(COUNTIF('クラス'!$A$1:$A$1267,$B1803)&gt;0,$B1803="",$M1803=""),"",True)</f>
        <v/>
      </c>
      <c r="M1803" s="1" t="str">
        <f t="shared" si="27"/>
        <v>存在しない</v>
      </c>
      <c r="N1803" s="1" t="s">
        <v>29</v>
      </c>
      <c r="O1803" s="1"/>
      <c r="P1803" s="11"/>
      <c r="Q1803" s="11"/>
      <c r="R1803" s="11"/>
      <c r="S1803" s="11"/>
      <c r="T1803" s="1"/>
      <c r="U1803" s="1"/>
      <c r="V1803" s="1"/>
      <c r="W1803" s="1"/>
      <c r="X1803" s="1"/>
      <c r="Y1803" s="1"/>
      <c r="Z1803" s="1"/>
    </row>
    <row r="1804" ht="18.0" customHeight="1" outlineLevel="1">
      <c r="A1804" s="1"/>
      <c r="B1804" s="1"/>
      <c r="C1804" s="1"/>
      <c r="D1804" s="1"/>
      <c r="E1804" s="14"/>
      <c r="F1804" s="15"/>
      <c r="G1804" s="16"/>
      <c r="H1804" s="11"/>
      <c r="I1804" s="7"/>
      <c r="J1804" s="7" t="str">
        <f>IFERROR(LET(_xlpm.v,
VLOOKUP($I1804,'用語辞書'!$A:$B,COLUMN('用語辞書'!B$1),FALSE),
IF(_xlpm.v=0,"",_xlpm.v)
),"")</f>
        <v/>
      </c>
      <c r="K1804" s="17"/>
      <c r="L1804" s="17" t="str">
        <f>IF(OR(COUNTIF('クラス'!$A$1:$A$1267,$B1804)&gt;0,$B1804="",$M1804=""),"",True)</f>
        <v/>
      </c>
      <c r="M1804" s="1" t="str">
        <f t="shared" si="27"/>
        <v>存在しない</v>
      </c>
      <c r="N1804" s="1" t="s">
        <v>29</v>
      </c>
      <c r="O1804" s="1"/>
      <c r="P1804" s="11"/>
      <c r="Q1804" s="11"/>
      <c r="R1804" s="11"/>
      <c r="S1804" s="11"/>
      <c r="T1804" s="1"/>
      <c r="U1804" s="1"/>
      <c r="V1804" s="1"/>
      <c r="W1804" s="1"/>
      <c r="X1804" s="1"/>
      <c r="Y1804" s="1"/>
      <c r="Z1804" s="1"/>
    </row>
    <row r="1805" ht="18.0" customHeight="1" outlineLevel="1">
      <c r="A1805" s="1"/>
      <c r="B1805" s="26" t="s">
        <v>1978</v>
      </c>
      <c r="C1805" s="1"/>
      <c r="D1805" s="1"/>
      <c r="E1805" s="14"/>
      <c r="F1805" s="15"/>
      <c r="G1805" s="16"/>
      <c r="H1805" s="11"/>
      <c r="I1805" s="7"/>
      <c r="J1805" s="7" t="str">
        <f>IFERROR(LET(_xlpm.v,
VLOOKUP($I1805,'用語辞書'!$A:$B,COLUMN('用語辞書'!B$1),FALSE),
IF(_xlpm.v=0,"",_xlpm.v)
),"")</f>
        <v/>
      </c>
      <c r="K1805" s="17"/>
      <c r="L1805" s="17" t="str">
        <f>IF(OR(COUNTIF('クラス'!$A$1:$A$1267,$B1805)&gt;0,$B1805="",$M1805=""),"",True)</f>
        <v/>
      </c>
      <c r="M1805" s="1" t="str">
        <f t="shared" si="27"/>
        <v>存在しない</v>
      </c>
      <c r="N1805" s="1" t="s">
        <v>29</v>
      </c>
      <c r="O1805" s="1"/>
      <c r="P1805" s="11"/>
      <c r="Q1805" s="11"/>
      <c r="R1805" s="11"/>
      <c r="S1805" s="11"/>
      <c r="T1805" s="1"/>
      <c r="U1805" s="1"/>
      <c r="V1805" s="1"/>
      <c r="W1805" s="1"/>
      <c r="X1805" s="1"/>
      <c r="Y1805" s="1"/>
      <c r="Z1805" s="1"/>
    </row>
    <row r="1806" ht="18.0" hidden="1" customHeight="1" outlineLevel="2">
      <c r="A1806" s="1">
        <v>1.0</v>
      </c>
      <c r="B1806" s="26" t="s">
        <v>1966</v>
      </c>
      <c r="C1806" s="1"/>
      <c r="D1806" s="1"/>
      <c r="E1806" s="14"/>
      <c r="F1806" s="15"/>
      <c r="G1806" s="16"/>
      <c r="H1806" s="11"/>
      <c r="I1806" s="7"/>
      <c r="J1806" s="7" t="str">
        <f>IFERROR(LET(_xlpm.v,
VLOOKUP($I1806,'用語辞書'!$A:$B,COLUMN('用語辞書'!B$1),FALSE),
IF(_xlpm.v=0,"",_xlpm.v)
),"")</f>
        <v/>
      </c>
      <c r="K1806" s="17"/>
      <c r="L1806" s="17" t="str">
        <f>IF(OR(COUNTIF('クラス'!$A$1:$A$1267,$B1806)&gt;0,$B1806="",$M1806=""),"",True)</f>
        <v/>
      </c>
      <c r="M1806" s="1" t="str">
        <f t="shared" si="27"/>
        <v/>
      </c>
      <c r="N1806" s="1" t="s">
        <v>29</v>
      </c>
      <c r="O1806" s="1"/>
      <c r="P1806" s="11"/>
      <c r="Q1806" s="11"/>
      <c r="R1806" s="11"/>
      <c r="S1806" s="11"/>
      <c r="T1806" s="1"/>
      <c r="U1806" s="1"/>
      <c r="V1806" s="1"/>
      <c r="W1806" s="1"/>
      <c r="X1806" s="1"/>
      <c r="Y1806" s="1"/>
      <c r="Z1806" s="1"/>
    </row>
    <row r="1807" ht="18.0" hidden="1" customHeight="1" outlineLevel="2">
      <c r="A1807" s="1">
        <v>2.0</v>
      </c>
      <c r="B1807" s="26" t="s">
        <v>1968</v>
      </c>
      <c r="C1807" s="1"/>
      <c r="D1807" s="1"/>
      <c r="E1807" s="14"/>
      <c r="F1807" s="15"/>
      <c r="G1807" s="16"/>
      <c r="H1807" s="11"/>
      <c r="I1807" s="7"/>
      <c r="J1807" s="7" t="str">
        <f>IFERROR(LET(_xlpm.v,
VLOOKUP($I1807,'用語辞書'!$A:$B,COLUMN('用語辞書'!B$1),FALSE),
IF(_xlpm.v=0,"",_xlpm.v)
),"")</f>
        <v/>
      </c>
      <c r="K1807" s="17"/>
      <c r="L1807" s="17" t="str">
        <f>IF(OR(COUNTIF('クラス'!$A$1:$A$1267,$B1807)&gt;0,$B1807="",$M1807=""),"",True)</f>
        <v/>
      </c>
      <c r="M1807" s="1" t="str">
        <f t="shared" si="27"/>
        <v/>
      </c>
      <c r="N1807" s="1" t="s">
        <v>29</v>
      </c>
      <c r="O1807" s="1"/>
      <c r="P1807" s="11"/>
      <c r="Q1807" s="11"/>
      <c r="R1807" s="11"/>
      <c r="S1807" s="11"/>
      <c r="T1807" s="1"/>
      <c r="U1807" s="1"/>
      <c r="V1807" s="1"/>
      <c r="W1807" s="1"/>
      <c r="X1807" s="1"/>
      <c r="Y1807" s="1"/>
      <c r="Z1807" s="1"/>
    </row>
    <row r="1808" ht="18.0" hidden="1" customHeight="1" outlineLevel="2">
      <c r="A1808" s="1">
        <v>3.0</v>
      </c>
      <c r="B1808" s="26" t="s">
        <v>1970</v>
      </c>
      <c r="C1808" s="1"/>
      <c r="D1808" s="1"/>
      <c r="E1808" s="14"/>
      <c r="F1808" s="15"/>
      <c r="G1808" s="16"/>
      <c r="H1808" s="11"/>
      <c r="I1808" s="7"/>
      <c r="J1808" s="7" t="str">
        <f>IFERROR(LET(_xlpm.v,
VLOOKUP($I1808,'用語辞書'!$A:$B,COLUMN('用語辞書'!B$1),FALSE),
IF(_xlpm.v=0,"",_xlpm.v)
),"")</f>
        <v/>
      </c>
      <c r="K1808" s="17"/>
      <c r="L1808" s="17" t="str">
        <f>IF(OR(COUNTIF('クラス'!$A$1:$A$1267,$B1808)&gt;0,$B1808="",$M1808=""),"",True)</f>
        <v/>
      </c>
      <c r="M1808" s="1" t="str">
        <f t="shared" si="27"/>
        <v/>
      </c>
      <c r="N1808" s="1" t="s">
        <v>29</v>
      </c>
      <c r="O1808" s="1"/>
      <c r="P1808" s="11"/>
      <c r="Q1808" s="11"/>
      <c r="R1808" s="11"/>
      <c r="S1808" s="11"/>
      <c r="T1808" s="1"/>
      <c r="U1808" s="1"/>
      <c r="V1808" s="1"/>
      <c r="W1808" s="1"/>
      <c r="X1808" s="1"/>
      <c r="Y1808" s="1"/>
      <c r="Z1808" s="1"/>
    </row>
    <row r="1809" ht="18.0" hidden="1" customHeight="1" outlineLevel="2">
      <c r="A1809" s="1">
        <v>4.0</v>
      </c>
      <c r="B1809" s="1"/>
      <c r="C1809" s="1"/>
      <c r="D1809" s="1"/>
      <c r="E1809" s="14"/>
      <c r="F1809" s="15"/>
      <c r="G1809" s="16"/>
      <c r="H1809" s="11"/>
      <c r="I1809" s="7"/>
      <c r="J1809" s="7" t="str">
        <f>IFERROR(LET(_xlpm.v,
VLOOKUP($I1809,'用語辞書'!$A:$B,COLUMN('用語辞書'!B$1),FALSE),
IF(_xlpm.v=0,"",_xlpm.v)
),"")</f>
        <v/>
      </c>
      <c r="K1809" s="17"/>
      <c r="L1809" s="17" t="str">
        <f>IF(OR(COUNTIF('クラス'!$A$1:$A$1267,$B1809)&gt;0,$B1809="",$M1809=""),"",True)</f>
        <v/>
      </c>
      <c r="M1809" s="1" t="str">
        <f t="shared" si="27"/>
        <v>存在しない</v>
      </c>
      <c r="N1809" s="1" t="s">
        <v>29</v>
      </c>
      <c r="O1809" s="1"/>
      <c r="P1809" s="11"/>
      <c r="Q1809" s="11"/>
      <c r="R1809" s="11"/>
      <c r="S1809" s="11"/>
      <c r="T1809" s="1"/>
      <c r="U1809" s="1"/>
      <c r="V1809" s="1"/>
      <c r="W1809" s="1"/>
      <c r="X1809" s="1"/>
      <c r="Y1809" s="1"/>
      <c r="Z1809" s="1"/>
    </row>
    <row r="1810" ht="18.0" hidden="1" customHeight="1" outlineLevel="2">
      <c r="A1810" s="1">
        <v>5.0</v>
      </c>
      <c r="B1810" s="26" t="s">
        <v>1243</v>
      </c>
      <c r="C1810" s="1"/>
      <c r="D1810" s="1"/>
      <c r="E1810" s="14"/>
      <c r="F1810" s="15"/>
      <c r="G1810" s="16"/>
      <c r="H1810" s="11"/>
      <c r="I1810" s="7"/>
      <c r="J1810" s="7" t="str">
        <f>IFERROR(LET(_xlpm.v,
VLOOKUP($I1810,'用語辞書'!$A:$B,COLUMN('用語辞書'!B$1),FALSE),
IF(_xlpm.v=0,"",_xlpm.v)
),"")</f>
        <v/>
      </c>
      <c r="K1810" s="17"/>
      <c r="L1810" s="17" t="str">
        <f>IF(OR(COUNTIF('クラス'!$A$1:$A$1267,$B1810)&gt;0,$B1810="",$M1810=""),"",True)</f>
        <v/>
      </c>
      <c r="M1810" s="1" t="str">
        <f t="shared" si="27"/>
        <v/>
      </c>
      <c r="N1810" s="1" t="s">
        <v>29</v>
      </c>
      <c r="O1810" s="1"/>
      <c r="P1810" s="11"/>
      <c r="Q1810" s="11"/>
      <c r="R1810" s="11"/>
      <c r="S1810" s="11"/>
      <c r="T1810" s="1"/>
      <c r="U1810" s="1"/>
      <c r="V1810" s="1"/>
      <c r="W1810" s="1"/>
      <c r="X1810" s="1"/>
      <c r="Y1810" s="1"/>
      <c r="Z1810" s="1"/>
    </row>
    <row r="1811" ht="18.0" hidden="1" customHeight="1" outlineLevel="2">
      <c r="A1811" s="1">
        <v>6.0</v>
      </c>
      <c r="B1811" s="1"/>
      <c r="C1811" s="1"/>
      <c r="D1811" s="1"/>
      <c r="E1811" s="14"/>
      <c r="F1811" s="15"/>
      <c r="G1811" s="16"/>
      <c r="H1811" s="11"/>
      <c r="I1811" s="7"/>
      <c r="J1811" s="7" t="str">
        <f>IFERROR(LET(_xlpm.v,
VLOOKUP($I1811,'用語辞書'!$A:$B,COLUMN('用語辞書'!B$1),FALSE),
IF(_xlpm.v=0,"",_xlpm.v)
),"")</f>
        <v/>
      </c>
      <c r="K1811" s="17"/>
      <c r="L1811" s="17" t="str">
        <f>IF(OR(COUNTIF('クラス'!$A$1:$A$1267,$B1811)&gt;0,$B1811="",$M1811=""),"",True)</f>
        <v/>
      </c>
      <c r="M1811" s="1" t="str">
        <f t="shared" si="27"/>
        <v>存在しない</v>
      </c>
      <c r="N1811" s="1" t="s">
        <v>29</v>
      </c>
      <c r="O1811" s="1"/>
      <c r="P1811" s="11"/>
      <c r="Q1811" s="11"/>
      <c r="R1811" s="11"/>
      <c r="S1811" s="11"/>
      <c r="T1811" s="1"/>
      <c r="U1811" s="1"/>
      <c r="V1811" s="1"/>
      <c r="W1811" s="1"/>
      <c r="X1811" s="1"/>
      <c r="Y1811" s="1"/>
      <c r="Z1811" s="1"/>
    </row>
    <row r="1812" ht="18.0" hidden="1" customHeight="1" outlineLevel="2">
      <c r="A1812" s="1">
        <v>7.0</v>
      </c>
      <c r="B1812" s="26" t="s">
        <v>1972</v>
      </c>
      <c r="C1812" s="1"/>
      <c r="D1812" s="1"/>
      <c r="E1812" s="14"/>
      <c r="F1812" s="15"/>
      <c r="G1812" s="16"/>
      <c r="H1812" s="11"/>
      <c r="I1812" s="7"/>
      <c r="J1812" s="7" t="str">
        <f>IFERROR(LET(_xlpm.v,
VLOOKUP($I1812,'用語辞書'!$A:$B,COLUMN('用語辞書'!B$1),FALSE),
IF(_xlpm.v=0,"",_xlpm.v)
),"")</f>
        <v/>
      </c>
      <c r="K1812" s="17"/>
      <c r="L1812" s="17" t="str">
        <f>IF(OR(COUNTIF('クラス'!$A$1:$A$1267,$B1812)&gt;0,$B1812="",$M1812=""),"",True)</f>
        <v/>
      </c>
      <c r="M1812" s="1" t="str">
        <f t="shared" si="27"/>
        <v/>
      </c>
      <c r="N1812" s="1" t="s">
        <v>29</v>
      </c>
      <c r="O1812" s="1"/>
      <c r="P1812" s="11"/>
      <c r="Q1812" s="11"/>
      <c r="R1812" s="11"/>
      <c r="S1812" s="11"/>
      <c r="T1812" s="1"/>
      <c r="U1812" s="1"/>
      <c r="V1812" s="1"/>
      <c r="W1812" s="1"/>
      <c r="X1812" s="1"/>
      <c r="Y1812" s="1"/>
      <c r="Z1812" s="1"/>
    </row>
    <row r="1813" ht="18.0" hidden="1" customHeight="1" outlineLevel="2">
      <c r="A1813" s="1">
        <v>8.0</v>
      </c>
      <c r="B1813" s="1"/>
      <c r="C1813" s="1"/>
      <c r="D1813" s="1"/>
      <c r="E1813" s="14"/>
      <c r="F1813" s="15"/>
      <c r="G1813" s="16"/>
      <c r="H1813" s="11"/>
      <c r="I1813" s="7"/>
      <c r="J1813" s="7" t="str">
        <f>IFERROR(LET(_xlpm.v,
VLOOKUP($I1813,'用語辞書'!$A:$B,COLUMN('用語辞書'!B$1),FALSE),
IF(_xlpm.v=0,"",_xlpm.v)
),"")</f>
        <v/>
      </c>
      <c r="K1813" s="17"/>
      <c r="L1813" s="17" t="str">
        <f>IF(OR(COUNTIF('クラス'!$A$1:$A$1267,$B1813)&gt;0,$B1813="",$M1813=""),"",True)</f>
        <v/>
      </c>
      <c r="M1813" s="1" t="str">
        <f t="shared" si="27"/>
        <v>存在しない</v>
      </c>
      <c r="N1813" s="1" t="s">
        <v>29</v>
      </c>
      <c r="O1813" s="1"/>
      <c r="P1813" s="11"/>
      <c r="Q1813" s="11"/>
      <c r="R1813" s="11"/>
      <c r="S1813" s="11"/>
      <c r="T1813" s="1"/>
      <c r="U1813" s="1"/>
      <c r="V1813" s="1"/>
      <c r="W1813" s="1"/>
      <c r="X1813" s="1"/>
      <c r="Y1813" s="1"/>
      <c r="Z1813" s="1"/>
    </row>
    <row r="1814" ht="18.0" hidden="1" customHeight="1" outlineLevel="2">
      <c r="A1814" s="1">
        <v>9.0</v>
      </c>
      <c r="B1814" s="26" t="s">
        <v>1332</v>
      </c>
      <c r="C1814" s="1"/>
      <c r="D1814" s="1"/>
      <c r="E1814" s="14"/>
      <c r="F1814" s="15"/>
      <c r="G1814" s="16"/>
      <c r="H1814" s="11"/>
      <c r="I1814" s="7"/>
      <c r="J1814" s="7" t="str">
        <f>IFERROR(LET(_xlpm.v,
VLOOKUP($I1814,'用語辞書'!$A:$B,COLUMN('用語辞書'!B$1),FALSE),
IF(_xlpm.v=0,"",_xlpm.v)
),"")</f>
        <v/>
      </c>
      <c r="K1814" s="17"/>
      <c r="L1814" s="17" t="str">
        <f>IF(OR(COUNTIF('クラス'!$A$1:$A$1267,$B1814)&gt;0,$B1814="",$M1814=""),"",True)</f>
        <v/>
      </c>
      <c r="M1814" s="1" t="str">
        <f t="shared" si="27"/>
        <v/>
      </c>
      <c r="N1814" s="1" t="s">
        <v>29</v>
      </c>
      <c r="O1814" s="1"/>
      <c r="P1814" s="11"/>
      <c r="Q1814" s="11"/>
      <c r="R1814" s="11"/>
      <c r="S1814" s="11"/>
      <c r="T1814" s="1"/>
      <c r="U1814" s="1"/>
      <c r="V1814" s="1"/>
      <c r="W1814" s="1"/>
      <c r="X1814" s="1"/>
      <c r="Y1814" s="1"/>
      <c r="Z1814" s="1"/>
    </row>
    <row r="1815" ht="18.0" hidden="1" customHeight="1" outlineLevel="2">
      <c r="A1815" s="1">
        <v>10.0</v>
      </c>
      <c r="B1815" s="1"/>
      <c r="C1815" s="1"/>
      <c r="D1815" s="1"/>
      <c r="E1815" s="14"/>
      <c r="F1815" s="15"/>
      <c r="G1815" s="16"/>
      <c r="H1815" s="11"/>
      <c r="I1815" s="7"/>
      <c r="J1815" s="7" t="str">
        <f>IFERROR(LET(_xlpm.v,
VLOOKUP($I1815,'用語辞書'!$A:$B,COLUMN('用語辞書'!B$1),FALSE),
IF(_xlpm.v=0,"",_xlpm.v)
),"")</f>
        <v/>
      </c>
      <c r="K1815" s="17"/>
      <c r="L1815" s="17" t="str">
        <f>IF(OR(COUNTIF('クラス'!$A$1:$A$1267,$B1815)&gt;0,$B1815="",$M1815=""),"",True)</f>
        <v/>
      </c>
      <c r="M1815" s="1" t="str">
        <f t="shared" si="27"/>
        <v>存在しない</v>
      </c>
      <c r="N1815" s="1" t="s">
        <v>29</v>
      </c>
      <c r="O1815" s="1"/>
      <c r="P1815" s="11"/>
      <c r="Q1815" s="11"/>
      <c r="R1815" s="11"/>
      <c r="S1815" s="11"/>
      <c r="T1815" s="1"/>
      <c r="U1815" s="1"/>
      <c r="V1815" s="1"/>
      <c r="W1815" s="1"/>
      <c r="X1815" s="1"/>
      <c r="Y1815" s="1"/>
      <c r="Z1815" s="1"/>
    </row>
    <row r="1816" ht="18.0" customHeight="1" outlineLevel="1" collapsed="1">
      <c r="A1816" s="1"/>
      <c r="B1816" s="1"/>
      <c r="C1816" s="1"/>
      <c r="D1816" s="1"/>
      <c r="E1816" s="14"/>
      <c r="F1816" s="15"/>
      <c r="G1816" s="16"/>
      <c r="H1816" s="11"/>
      <c r="I1816" s="7"/>
      <c r="J1816" s="7" t="str">
        <f>IFERROR(LET(_xlpm.v,
VLOOKUP($I1816,'用語辞書'!$A:$B,COLUMN('用語辞書'!B$1),FALSE),
IF(_xlpm.v=0,"",_xlpm.v)
),"")</f>
        <v/>
      </c>
      <c r="K1816" s="17"/>
      <c r="L1816" s="17" t="str">
        <f>IF(OR(COUNTIF('クラス'!$A$1:$A$1267,$B1816)&gt;0,$B1816="",$M1816=""),"",True)</f>
        <v/>
      </c>
      <c r="M1816" s="1" t="str">
        <f t="shared" si="27"/>
        <v>存在しない</v>
      </c>
      <c r="N1816" s="1" t="s">
        <v>29</v>
      </c>
      <c r="O1816" s="1"/>
      <c r="P1816" s="11"/>
      <c r="Q1816" s="11"/>
      <c r="R1816" s="11"/>
      <c r="S1816" s="11"/>
      <c r="T1816" s="1"/>
      <c r="U1816" s="1"/>
      <c r="V1816" s="1"/>
      <c r="W1816" s="1"/>
      <c r="X1816" s="1"/>
      <c r="Y1816" s="1"/>
      <c r="Z1816" s="1"/>
    </row>
    <row r="1817" ht="18.0" customHeight="1" outlineLevel="1">
      <c r="A1817" s="1"/>
      <c r="B1817" s="1"/>
      <c r="C1817" s="1"/>
      <c r="D1817" s="1"/>
      <c r="E1817" s="14"/>
      <c r="F1817" s="15"/>
      <c r="G1817" s="16"/>
      <c r="H1817" s="11"/>
      <c r="I1817" s="7"/>
      <c r="J1817" s="7" t="str">
        <f>IFERROR(LET(_xlpm.v,
VLOOKUP($I1817,'用語辞書'!$A:$B,COLUMN('用語辞書'!B$1),FALSE),
IF(_xlpm.v=0,"",_xlpm.v)
),"")</f>
        <v/>
      </c>
      <c r="K1817" s="17"/>
      <c r="L1817" s="17" t="str">
        <f>IF(OR(COUNTIF('クラス'!$A$1:$A$1267,$B1817)&gt;0,$B1817="",$M1817=""),"",True)</f>
        <v/>
      </c>
      <c r="M1817" s="1" t="str">
        <f t="shared" si="27"/>
        <v>存在しない</v>
      </c>
      <c r="N1817" s="1" t="s">
        <v>29</v>
      </c>
      <c r="O1817" s="1"/>
      <c r="P1817" s="11"/>
      <c r="Q1817" s="11"/>
      <c r="R1817" s="11"/>
      <c r="S1817" s="11"/>
      <c r="T1817" s="1"/>
      <c r="U1817" s="1"/>
      <c r="V1817" s="1"/>
      <c r="W1817" s="1"/>
      <c r="X1817" s="1"/>
      <c r="Y1817" s="1"/>
      <c r="Z1817" s="1"/>
    </row>
    <row r="1818" ht="18.0" customHeight="1" outlineLevel="1">
      <c r="A1818" s="1"/>
      <c r="B1818" s="26" t="s">
        <v>1979</v>
      </c>
      <c r="C1818" s="1"/>
      <c r="D1818" s="1"/>
      <c r="E1818" s="14"/>
      <c r="F1818" s="15"/>
      <c r="G1818" s="16"/>
      <c r="H1818" s="11"/>
      <c r="I1818" s="7"/>
      <c r="J1818" s="7" t="str">
        <f>IFERROR(LET(_xlpm.v,
VLOOKUP($I1818,'用語辞書'!$A:$B,COLUMN('用語辞書'!B$1),FALSE),
IF(_xlpm.v=0,"",_xlpm.v)
),"")</f>
        <v/>
      </c>
      <c r="K1818" s="17"/>
      <c r="L1818" s="17" t="str">
        <f>IF(OR(COUNTIF('クラス'!$A$1:$A$1267,$B1818)&gt;0,$B1818="",$M1818=""),"",True)</f>
        <v/>
      </c>
      <c r="M1818" s="1" t="str">
        <f t="shared" si="27"/>
        <v>存在しない</v>
      </c>
      <c r="N1818" s="1" t="s">
        <v>29</v>
      </c>
      <c r="O1818" s="1"/>
      <c r="P1818" s="11"/>
      <c r="Q1818" s="11"/>
      <c r="R1818" s="11"/>
      <c r="S1818" s="11"/>
      <c r="T1818" s="1"/>
      <c r="U1818" s="1"/>
      <c r="V1818" s="1"/>
      <c r="W1818" s="1"/>
      <c r="X1818" s="1"/>
      <c r="Y1818" s="1"/>
      <c r="Z1818" s="1"/>
    </row>
    <row r="1819" ht="18.0" hidden="1" customHeight="1" outlineLevel="2">
      <c r="A1819" s="1">
        <v>1.0</v>
      </c>
      <c r="B1819" s="26" t="s">
        <v>1966</v>
      </c>
      <c r="C1819" s="1"/>
      <c r="D1819" s="1"/>
      <c r="E1819" s="14"/>
      <c r="F1819" s="15"/>
      <c r="G1819" s="16"/>
      <c r="H1819" s="11"/>
      <c r="I1819" s="7"/>
      <c r="J1819" s="7" t="str">
        <f>IFERROR(LET(_xlpm.v,
VLOOKUP($I1819,'用語辞書'!$A:$B,COLUMN('用語辞書'!B$1),FALSE),
IF(_xlpm.v=0,"",_xlpm.v)
),"")</f>
        <v/>
      </c>
      <c r="K1819" s="17"/>
      <c r="L1819" s="17" t="str">
        <f>IF(OR(COUNTIF('クラス'!$A$1:$A$1267,$B1819)&gt;0,$B1819="",$M1819=""),"",True)</f>
        <v/>
      </c>
      <c r="M1819" s="1" t="str">
        <f t="shared" si="27"/>
        <v/>
      </c>
      <c r="N1819" s="1" t="s">
        <v>29</v>
      </c>
      <c r="O1819" s="1"/>
      <c r="P1819" s="11"/>
      <c r="Q1819" s="11"/>
      <c r="R1819" s="11"/>
      <c r="S1819" s="11"/>
      <c r="T1819" s="1"/>
      <c r="U1819" s="1"/>
      <c r="V1819" s="1"/>
      <c r="W1819" s="1"/>
      <c r="X1819" s="1"/>
      <c r="Y1819" s="1"/>
      <c r="Z1819" s="1"/>
    </row>
    <row r="1820" ht="18.0" hidden="1" customHeight="1" outlineLevel="2">
      <c r="A1820" s="1">
        <v>2.0</v>
      </c>
      <c r="B1820" s="26" t="s">
        <v>1968</v>
      </c>
      <c r="C1820" s="1"/>
      <c r="D1820" s="1"/>
      <c r="E1820" s="14"/>
      <c r="F1820" s="15"/>
      <c r="G1820" s="16"/>
      <c r="H1820" s="11"/>
      <c r="I1820" s="7"/>
      <c r="J1820" s="7" t="str">
        <f>IFERROR(LET(_xlpm.v,
VLOOKUP($I1820,'用語辞書'!$A:$B,COLUMN('用語辞書'!B$1),FALSE),
IF(_xlpm.v=0,"",_xlpm.v)
),"")</f>
        <v/>
      </c>
      <c r="K1820" s="17"/>
      <c r="L1820" s="17" t="str">
        <f>IF(OR(COUNTIF('クラス'!$A$1:$A$1267,$B1820)&gt;0,$B1820="",$M1820=""),"",True)</f>
        <v/>
      </c>
      <c r="M1820" s="1" t="str">
        <f t="shared" si="27"/>
        <v/>
      </c>
      <c r="N1820" s="1" t="s">
        <v>29</v>
      </c>
      <c r="O1820" s="1"/>
      <c r="P1820" s="11"/>
      <c r="Q1820" s="11"/>
      <c r="R1820" s="11"/>
      <c r="S1820" s="11"/>
      <c r="T1820" s="1"/>
      <c r="U1820" s="1"/>
      <c r="V1820" s="1"/>
      <c r="W1820" s="1"/>
      <c r="X1820" s="1"/>
      <c r="Y1820" s="1"/>
      <c r="Z1820" s="1"/>
    </row>
    <row r="1821" ht="18.0" hidden="1" customHeight="1" outlineLevel="2">
      <c r="A1821" s="1">
        <v>3.0</v>
      </c>
      <c r="B1821" s="26" t="s">
        <v>1970</v>
      </c>
      <c r="C1821" s="1"/>
      <c r="D1821" s="1"/>
      <c r="E1821" s="14"/>
      <c r="F1821" s="15"/>
      <c r="G1821" s="16"/>
      <c r="H1821" s="11"/>
      <c r="I1821" s="7"/>
      <c r="J1821" s="7" t="str">
        <f>IFERROR(LET(_xlpm.v,
VLOOKUP($I1821,'用語辞書'!$A:$B,COLUMN('用語辞書'!B$1),FALSE),
IF(_xlpm.v=0,"",_xlpm.v)
),"")</f>
        <v/>
      </c>
      <c r="K1821" s="17"/>
      <c r="L1821" s="17" t="str">
        <f>IF(OR(COUNTIF('クラス'!$A$1:$A$1267,$B1821)&gt;0,$B1821="",$M1821=""),"",True)</f>
        <v/>
      </c>
      <c r="M1821" s="1" t="str">
        <f t="shared" si="27"/>
        <v/>
      </c>
      <c r="N1821" s="1" t="s">
        <v>29</v>
      </c>
      <c r="O1821" s="1"/>
      <c r="P1821" s="11"/>
      <c r="Q1821" s="11"/>
      <c r="R1821" s="11"/>
      <c r="S1821" s="11"/>
      <c r="T1821" s="1"/>
      <c r="U1821" s="1"/>
      <c r="V1821" s="1"/>
      <c r="W1821" s="1"/>
      <c r="X1821" s="1"/>
      <c r="Y1821" s="1"/>
      <c r="Z1821" s="1"/>
    </row>
    <row r="1822" ht="18.0" hidden="1" customHeight="1" outlineLevel="2">
      <c r="A1822" s="1">
        <v>4.0</v>
      </c>
      <c r="B1822" s="1"/>
      <c r="C1822" s="1"/>
      <c r="D1822" s="1"/>
      <c r="E1822" s="14"/>
      <c r="F1822" s="15"/>
      <c r="G1822" s="16"/>
      <c r="H1822" s="11"/>
      <c r="I1822" s="7"/>
      <c r="J1822" s="7" t="str">
        <f>IFERROR(LET(_xlpm.v,
VLOOKUP($I1822,'用語辞書'!$A:$B,COLUMN('用語辞書'!B$1),FALSE),
IF(_xlpm.v=0,"",_xlpm.v)
),"")</f>
        <v/>
      </c>
      <c r="K1822" s="17"/>
      <c r="L1822" s="17" t="str">
        <f>IF(OR(COUNTIF('クラス'!$A$1:$A$1267,$B1822)&gt;0,$B1822="",$M1822=""),"",True)</f>
        <v/>
      </c>
      <c r="M1822" s="1" t="str">
        <f t="shared" si="27"/>
        <v>存在しない</v>
      </c>
      <c r="N1822" s="1" t="s">
        <v>29</v>
      </c>
      <c r="O1822" s="1"/>
      <c r="P1822" s="11"/>
      <c r="Q1822" s="11"/>
      <c r="R1822" s="11"/>
      <c r="S1822" s="11"/>
      <c r="T1822" s="1"/>
      <c r="U1822" s="1"/>
      <c r="V1822" s="1"/>
      <c r="W1822" s="1"/>
      <c r="X1822" s="1"/>
      <c r="Y1822" s="1"/>
      <c r="Z1822" s="1"/>
    </row>
    <row r="1823" ht="18.0" hidden="1" customHeight="1" outlineLevel="2">
      <c r="A1823" s="1">
        <v>5.0</v>
      </c>
      <c r="B1823" s="26" t="s">
        <v>1243</v>
      </c>
      <c r="C1823" s="1"/>
      <c r="D1823" s="1"/>
      <c r="E1823" s="14"/>
      <c r="F1823" s="15"/>
      <c r="G1823" s="16"/>
      <c r="H1823" s="11"/>
      <c r="I1823" s="7"/>
      <c r="J1823" s="7" t="str">
        <f>IFERROR(LET(_xlpm.v,
VLOOKUP($I1823,'用語辞書'!$A:$B,COLUMN('用語辞書'!B$1),FALSE),
IF(_xlpm.v=0,"",_xlpm.v)
),"")</f>
        <v/>
      </c>
      <c r="K1823" s="17"/>
      <c r="L1823" s="17" t="str">
        <f>IF(OR(COUNTIF('クラス'!$A$1:$A$1267,$B1823)&gt;0,$B1823="",$M1823=""),"",True)</f>
        <v/>
      </c>
      <c r="M1823" s="1" t="str">
        <f t="shared" si="27"/>
        <v/>
      </c>
      <c r="N1823" s="1" t="s">
        <v>29</v>
      </c>
      <c r="O1823" s="1"/>
      <c r="P1823" s="11"/>
      <c r="Q1823" s="11"/>
      <c r="R1823" s="11"/>
      <c r="S1823" s="11"/>
      <c r="T1823" s="1"/>
      <c r="U1823" s="1"/>
      <c r="V1823" s="1"/>
      <c r="W1823" s="1"/>
      <c r="X1823" s="1"/>
      <c r="Y1823" s="1"/>
      <c r="Z1823" s="1"/>
    </row>
    <row r="1824" ht="18.0" hidden="1" customHeight="1" outlineLevel="2">
      <c r="A1824" s="1">
        <v>6.0</v>
      </c>
      <c r="B1824" s="1"/>
      <c r="C1824" s="1"/>
      <c r="D1824" s="1"/>
      <c r="E1824" s="14"/>
      <c r="F1824" s="15"/>
      <c r="G1824" s="16"/>
      <c r="H1824" s="11"/>
      <c r="I1824" s="7"/>
      <c r="J1824" s="7" t="str">
        <f>IFERROR(LET(_xlpm.v,
VLOOKUP($I1824,'用語辞書'!$A:$B,COLUMN('用語辞書'!B$1),FALSE),
IF(_xlpm.v=0,"",_xlpm.v)
),"")</f>
        <v/>
      </c>
      <c r="K1824" s="17"/>
      <c r="L1824" s="17" t="str">
        <f>IF(OR(COUNTIF('クラス'!$A$1:$A$1267,$B1824)&gt;0,$B1824="",$M1824=""),"",True)</f>
        <v/>
      </c>
      <c r="M1824" s="1" t="str">
        <f t="shared" si="27"/>
        <v>存在しない</v>
      </c>
      <c r="N1824" s="1" t="s">
        <v>29</v>
      </c>
      <c r="O1824" s="1"/>
      <c r="P1824" s="11"/>
      <c r="Q1824" s="11"/>
      <c r="R1824" s="11"/>
      <c r="S1824" s="11"/>
      <c r="T1824" s="1"/>
      <c r="U1824" s="1"/>
      <c r="V1824" s="1"/>
      <c r="W1824" s="1"/>
      <c r="X1824" s="1"/>
      <c r="Y1824" s="1"/>
      <c r="Z1824" s="1"/>
    </row>
    <row r="1825" ht="18.0" hidden="1" customHeight="1" outlineLevel="2">
      <c r="A1825" s="1">
        <v>7.0</v>
      </c>
      <c r="B1825" s="26" t="s">
        <v>1972</v>
      </c>
      <c r="C1825" s="1"/>
      <c r="D1825" s="1"/>
      <c r="E1825" s="14"/>
      <c r="F1825" s="15"/>
      <c r="G1825" s="16"/>
      <c r="H1825" s="11"/>
      <c r="I1825" s="7"/>
      <c r="J1825" s="7" t="str">
        <f>IFERROR(LET(_xlpm.v,
VLOOKUP($I1825,'用語辞書'!$A:$B,COLUMN('用語辞書'!B$1),FALSE),
IF(_xlpm.v=0,"",_xlpm.v)
),"")</f>
        <v/>
      </c>
      <c r="K1825" s="17"/>
      <c r="L1825" s="17" t="str">
        <f>IF(OR(COUNTIF('クラス'!$A$1:$A$1267,$B1825)&gt;0,$B1825="",$M1825=""),"",True)</f>
        <v/>
      </c>
      <c r="M1825" s="1" t="str">
        <f t="shared" si="27"/>
        <v/>
      </c>
      <c r="N1825" s="1" t="s">
        <v>29</v>
      </c>
      <c r="O1825" s="1"/>
      <c r="P1825" s="11"/>
      <c r="Q1825" s="11"/>
      <c r="R1825" s="11"/>
      <c r="S1825" s="11"/>
      <c r="T1825" s="1"/>
      <c r="U1825" s="1"/>
      <c r="V1825" s="1"/>
      <c r="W1825" s="1"/>
      <c r="X1825" s="1"/>
      <c r="Y1825" s="1"/>
      <c r="Z1825" s="1"/>
    </row>
    <row r="1826" ht="18.0" hidden="1" customHeight="1" outlineLevel="2">
      <c r="A1826" s="1">
        <v>8.0</v>
      </c>
      <c r="B1826" s="1"/>
      <c r="C1826" s="1"/>
      <c r="D1826" s="1"/>
      <c r="E1826" s="14"/>
      <c r="F1826" s="15"/>
      <c r="G1826" s="16"/>
      <c r="H1826" s="11"/>
      <c r="I1826" s="7"/>
      <c r="J1826" s="7" t="str">
        <f>IFERROR(LET(_xlpm.v,
VLOOKUP($I1826,'用語辞書'!$A:$B,COLUMN('用語辞書'!B$1),FALSE),
IF(_xlpm.v=0,"",_xlpm.v)
),"")</f>
        <v/>
      </c>
      <c r="K1826" s="17"/>
      <c r="L1826" s="17" t="str">
        <f>IF(OR(COUNTIF('クラス'!$A$1:$A$1267,$B1826)&gt;0,$B1826="",$M1826=""),"",True)</f>
        <v/>
      </c>
      <c r="M1826" s="1" t="str">
        <f t="shared" si="27"/>
        <v>存在しない</v>
      </c>
      <c r="N1826" s="1" t="s">
        <v>29</v>
      </c>
      <c r="O1826" s="1"/>
      <c r="P1826" s="11"/>
      <c r="Q1826" s="11"/>
      <c r="R1826" s="11"/>
      <c r="S1826" s="11"/>
      <c r="T1826" s="1"/>
      <c r="U1826" s="1"/>
      <c r="V1826" s="1"/>
      <c r="W1826" s="1"/>
      <c r="X1826" s="1"/>
      <c r="Y1826" s="1"/>
      <c r="Z1826" s="1"/>
    </row>
    <row r="1827" ht="18.0" hidden="1" customHeight="1" outlineLevel="2">
      <c r="A1827" s="1">
        <v>9.0</v>
      </c>
      <c r="B1827" s="26" t="s">
        <v>1948</v>
      </c>
      <c r="C1827" s="1"/>
      <c r="D1827" s="1"/>
      <c r="E1827" s="14"/>
      <c r="F1827" s="15"/>
      <c r="G1827" s="16"/>
      <c r="H1827" s="11"/>
      <c r="I1827" s="7"/>
      <c r="J1827" s="7" t="str">
        <f>IFERROR(LET(_xlpm.v,
VLOOKUP($I1827,'用語辞書'!$A:$B,COLUMN('用語辞書'!B$1),FALSE),
IF(_xlpm.v=0,"",_xlpm.v)
),"")</f>
        <v/>
      </c>
      <c r="K1827" s="17"/>
      <c r="L1827" s="17" t="str">
        <f>IF(OR(COUNTIF('クラス'!$A$1:$A$1267,$B1827)&gt;0,$B1827="",$M1827=""),"",True)</f>
        <v/>
      </c>
      <c r="M1827" s="1" t="str">
        <f t="shared" si="27"/>
        <v/>
      </c>
      <c r="N1827" s="1" t="s">
        <v>29</v>
      </c>
      <c r="O1827" s="1"/>
      <c r="P1827" s="11"/>
      <c r="Q1827" s="11"/>
      <c r="R1827" s="11"/>
      <c r="S1827" s="11"/>
      <c r="T1827" s="1"/>
      <c r="U1827" s="1"/>
      <c r="V1827" s="1"/>
      <c r="W1827" s="1"/>
      <c r="X1827" s="1"/>
      <c r="Y1827" s="1"/>
      <c r="Z1827" s="1"/>
    </row>
    <row r="1828" ht="18.0" hidden="1" customHeight="1" outlineLevel="2">
      <c r="A1828" s="1">
        <v>10.0</v>
      </c>
      <c r="B1828" s="1"/>
      <c r="C1828" s="1"/>
      <c r="D1828" s="1"/>
      <c r="E1828" s="14"/>
      <c r="F1828" s="15"/>
      <c r="G1828" s="16"/>
      <c r="H1828" s="11"/>
      <c r="I1828" s="7"/>
      <c r="J1828" s="7" t="str">
        <f>IFERROR(LET(_xlpm.v,
VLOOKUP($I1828,'用語辞書'!$A:$B,COLUMN('用語辞書'!B$1),FALSE),
IF(_xlpm.v=0,"",_xlpm.v)
),"")</f>
        <v/>
      </c>
      <c r="K1828" s="17"/>
      <c r="L1828" s="17" t="str">
        <f>IF(OR(COUNTIF('クラス'!$A$1:$A$1267,$B1828)&gt;0,$B1828="",$M1828=""),"",True)</f>
        <v/>
      </c>
      <c r="M1828" s="1" t="str">
        <f t="shared" si="27"/>
        <v>存在しない</v>
      </c>
      <c r="N1828" s="1" t="s">
        <v>29</v>
      </c>
      <c r="O1828" s="1"/>
      <c r="P1828" s="11"/>
      <c r="Q1828" s="11"/>
      <c r="R1828" s="11"/>
      <c r="S1828" s="11"/>
      <c r="T1828" s="1"/>
      <c r="U1828" s="1"/>
      <c r="V1828" s="1"/>
      <c r="W1828" s="1"/>
      <c r="X1828" s="1"/>
      <c r="Y1828" s="1"/>
      <c r="Z1828" s="1"/>
    </row>
    <row r="1829" ht="18.0" customHeight="1" outlineLevel="1" collapsed="1">
      <c r="A1829" s="1"/>
      <c r="B1829" s="1"/>
      <c r="C1829" s="1"/>
      <c r="D1829" s="1"/>
      <c r="E1829" s="14"/>
      <c r="F1829" s="15"/>
      <c r="G1829" s="16"/>
      <c r="H1829" s="11"/>
      <c r="I1829" s="7"/>
      <c r="J1829" s="7" t="str">
        <f>IFERROR(LET(_xlpm.v,
VLOOKUP($I1829,'用語辞書'!$A:$B,COLUMN('用語辞書'!B$1),FALSE),
IF(_xlpm.v=0,"",_xlpm.v)
),"")</f>
        <v/>
      </c>
      <c r="K1829" s="17"/>
      <c r="L1829" s="17" t="str">
        <f>IF(OR(COUNTIF('クラス'!$A$1:$A$1267,$B1829)&gt;0,$B1829="",$M1829=""),"",True)</f>
        <v/>
      </c>
      <c r="M1829" s="1" t="str">
        <f t="shared" si="27"/>
        <v>存在しない</v>
      </c>
      <c r="N1829" s="1" t="s">
        <v>29</v>
      </c>
      <c r="O1829" s="1"/>
      <c r="P1829" s="11"/>
      <c r="Q1829" s="11"/>
      <c r="R1829" s="11"/>
      <c r="S1829" s="11"/>
      <c r="T1829" s="1"/>
      <c r="U1829" s="1"/>
      <c r="V1829" s="1"/>
      <c r="W1829" s="1"/>
      <c r="X1829" s="1"/>
      <c r="Y1829" s="1"/>
      <c r="Z1829" s="1"/>
    </row>
    <row r="1830" ht="18.0" customHeight="1" outlineLevel="1">
      <c r="A1830" s="1"/>
      <c r="B1830" s="1"/>
      <c r="C1830" s="1"/>
      <c r="D1830" s="1"/>
      <c r="E1830" s="14"/>
      <c r="F1830" s="15"/>
      <c r="G1830" s="16"/>
      <c r="H1830" s="11"/>
      <c r="I1830" s="7"/>
      <c r="J1830" s="7" t="str">
        <f>IFERROR(LET(_xlpm.v,
VLOOKUP($I1830,'用語辞書'!$A:$B,COLUMN('用語辞書'!B$1),FALSE),
IF(_xlpm.v=0,"",_xlpm.v)
),"")</f>
        <v/>
      </c>
      <c r="K1830" s="17"/>
      <c r="L1830" s="17" t="str">
        <f>IF(OR(COUNTIF('クラス'!$A$1:$A$1267,$B1830)&gt;0,$B1830="",$M1830=""),"",True)</f>
        <v/>
      </c>
      <c r="M1830" s="1" t="str">
        <f t="shared" si="27"/>
        <v>存在しない</v>
      </c>
      <c r="N1830" s="1" t="s">
        <v>29</v>
      </c>
      <c r="O1830" s="1"/>
      <c r="P1830" s="11"/>
      <c r="Q1830" s="11"/>
      <c r="R1830" s="11"/>
      <c r="S1830" s="11"/>
      <c r="T1830" s="1"/>
      <c r="U1830" s="1"/>
      <c r="V1830" s="1"/>
      <c r="W1830" s="1"/>
      <c r="X1830" s="1"/>
      <c r="Y1830" s="1"/>
      <c r="Z1830" s="1"/>
    </row>
    <row r="1831" ht="18.0" customHeight="1" outlineLevel="1">
      <c r="A1831" s="1"/>
      <c r="B1831" s="26" t="s">
        <v>1980</v>
      </c>
      <c r="C1831" s="1"/>
      <c r="D1831" s="1"/>
      <c r="E1831" s="14"/>
      <c r="F1831" s="15"/>
      <c r="G1831" s="16"/>
      <c r="H1831" s="11"/>
      <c r="I1831" s="7"/>
      <c r="J1831" s="7" t="str">
        <f>IFERROR(LET(_xlpm.v,
VLOOKUP($I1831,'用語辞書'!$A:$B,COLUMN('用語辞書'!B$1),FALSE),
IF(_xlpm.v=0,"",_xlpm.v)
),"")</f>
        <v/>
      </c>
      <c r="K1831" s="17"/>
      <c r="L1831" s="17" t="str">
        <f>IF(OR(COUNTIF('クラス'!$A$1:$A$1267,$B1831)&gt;0,$B1831="",$M1831=""),"",True)</f>
        <v/>
      </c>
      <c r="M1831" s="1" t="str">
        <f t="shared" si="27"/>
        <v>存在しない</v>
      </c>
      <c r="N1831" s="1" t="s">
        <v>29</v>
      </c>
      <c r="O1831" s="1"/>
      <c r="P1831" s="11"/>
      <c r="Q1831" s="11"/>
      <c r="R1831" s="11"/>
      <c r="S1831" s="11"/>
      <c r="T1831" s="1"/>
      <c r="U1831" s="1"/>
      <c r="V1831" s="1"/>
      <c r="W1831" s="1"/>
      <c r="X1831" s="1"/>
      <c r="Y1831" s="1"/>
      <c r="Z1831" s="1"/>
    </row>
    <row r="1832" ht="18.0" hidden="1" customHeight="1" outlineLevel="2">
      <c r="A1832" s="1">
        <v>1.0</v>
      </c>
      <c r="B1832" s="26" t="s">
        <v>1966</v>
      </c>
      <c r="C1832" s="1"/>
      <c r="D1832" s="1"/>
      <c r="E1832" s="14"/>
      <c r="F1832" s="15"/>
      <c r="G1832" s="16"/>
      <c r="H1832" s="11"/>
      <c r="I1832" s="7"/>
      <c r="J1832" s="7" t="str">
        <f>IFERROR(LET(_xlpm.v,
VLOOKUP($I1832,'用語辞書'!$A:$B,COLUMN('用語辞書'!B$1),FALSE),
IF(_xlpm.v=0,"",_xlpm.v)
),"")</f>
        <v/>
      </c>
      <c r="K1832" s="17"/>
      <c r="L1832" s="17" t="str">
        <f>IF(OR(COUNTIF('クラス'!$A$1:$A$1267,$B1832)&gt;0,$B1832="",$M1832=""),"",True)</f>
        <v/>
      </c>
      <c r="M1832" s="1" t="str">
        <f t="shared" si="27"/>
        <v/>
      </c>
      <c r="N1832" s="1" t="s">
        <v>29</v>
      </c>
      <c r="O1832" s="1"/>
      <c r="P1832" s="11"/>
      <c r="Q1832" s="11"/>
      <c r="R1832" s="11"/>
      <c r="S1832" s="11"/>
      <c r="T1832" s="1"/>
      <c r="U1832" s="1"/>
      <c r="V1832" s="1"/>
      <c r="W1832" s="1"/>
      <c r="X1832" s="1"/>
      <c r="Y1832" s="1"/>
      <c r="Z1832" s="1"/>
    </row>
    <row r="1833" ht="18.0" hidden="1" customHeight="1" outlineLevel="2">
      <c r="A1833" s="1">
        <v>2.0</v>
      </c>
      <c r="B1833" s="26" t="s">
        <v>1968</v>
      </c>
      <c r="C1833" s="1"/>
      <c r="D1833" s="1"/>
      <c r="E1833" s="14"/>
      <c r="F1833" s="15"/>
      <c r="G1833" s="16"/>
      <c r="H1833" s="11"/>
      <c r="I1833" s="7"/>
      <c r="J1833" s="7" t="str">
        <f>IFERROR(LET(_xlpm.v,
VLOOKUP($I1833,'用語辞書'!$A:$B,COLUMN('用語辞書'!B$1),FALSE),
IF(_xlpm.v=0,"",_xlpm.v)
),"")</f>
        <v/>
      </c>
      <c r="K1833" s="17"/>
      <c r="L1833" s="17" t="str">
        <f>IF(OR(COUNTIF('クラス'!$A$1:$A$1267,$B1833)&gt;0,$B1833="",$M1833=""),"",True)</f>
        <v/>
      </c>
      <c r="M1833" s="1" t="str">
        <f t="shared" si="27"/>
        <v/>
      </c>
      <c r="N1833" s="1" t="s">
        <v>29</v>
      </c>
      <c r="O1833" s="1"/>
      <c r="P1833" s="11"/>
      <c r="Q1833" s="11"/>
      <c r="R1833" s="11"/>
      <c r="S1833" s="11"/>
      <c r="T1833" s="1"/>
      <c r="U1833" s="1"/>
      <c r="V1833" s="1"/>
      <c r="W1833" s="1"/>
      <c r="X1833" s="1"/>
      <c r="Y1833" s="1"/>
      <c r="Z1833" s="1"/>
    </row>
    <row r="1834" ht="18.0" hidden="1" customHeight="1" outlineLevel="2">
      <c r="A1834" s="1">
        <v>3.0</v>
      </c>
      <c r="B1834" s="26" t="s">
        <v>1970</v>
      </c>
      <c r="C1834" s="1"/>
      <c r="D1834" s="1"/>
      <c r="E1834" s="14"/>
      <c r="F1834" s="15"/>
      <c r="G1834" s="16"/>
      <c r="H1834" s="11"/>
      <c r="I1834" s="7"/>
      <c r="J1834" s="7" t="str">
        <f>IFERROR(LET(_xlpm.v,
VLOOKUP($I1834,'用語辞書'!$A:$B,COLUMN('用語辞書'!B$1),FALSE),
IF(_xlpm.v=0,"",_xlpm.v)
),"")</f>
        <v/>
      </c>
      <c r="K1834" s="17"/>
      <c r="L1834" s="17" t="str">
        <f>IF(OR(COUNTIF('クラス'!$A$1:$A$1267,$B1834)&gt;0,$B1834="",$M1834=""),"",True)</f>
        <v/>
      </c>
      <c r="M1834" s="1" t="str">
        <f t="shared" si="27"/>
        <v/>
      </c>
      <c r="N1834" s="1" t="s">
        <v>29</v>
      </c>
      <c r="O1834" s="1"/>
      <c r="P1834" s="11"/>
      <c r="Q1834" s="11"/>
      <c r="R1834" s="11"/>
      <c r="S1834" s="11"/>
      <c r="T1834" s="1"/>
      <c r="U1834" s="1"/>
      <c r="V1834" s="1"/>
      <c r="W1834" s="1"/>
      <c r="X1834" s="1"/>
      <c r="Y1834" s="1"/>
      <c r="Z1834" s="1"/>
    </row>
    <row r="1835" ht="18.0" hidden="1" customHeight="1" outlineLevel="2">
      <c r="A1835" s="1">
        <v>4.0</v>
      </c>
      <c r="B1835" s="1"/>
      <c r="C1835" s="1"/>
      <c r="D1835" s="1"/>
      <c r="E1835" s="14"/>
      <c r="F1835" s="15"/>
      <c r="G1835" s="16"/>
      <c r="H1835" s="11"/>
      <c r="I1835" s="7"/>
      <c r="J1835" s="7" t="str">
        <f>IFERROR(LET(_xlpm.v,
VLOOKUP($I1835,'用語辞書'!$A:$B,COLUMN('用語辞書'!B$1),FALSE),
IF(_xlpm.v=0,"",_xlpm.v)
),"")</f>
        <v/>
      </c>
      <c r="K1835" s="17"/>
      <c r="L1835" s="17" t="str">
        <f>IF(OR(COUNTIF('クラス'!$A$1:$A$1267,$B1835)&gt;0,$B1835="",$M1835=""),"",True)</f>
        <v/>
      </c>
      <c r="M1835" s="1" t="str">
        <f t="shared" si="27"/>
        <v>存在しない</v>
      </c>
      <c r="N1835" s="1" t="s">
        <v>29</v>
      </c>
      <c r="O1835" s="1"/>
      <c r="P1835" s="11"/>
      <c r="Q1835" s="11"/>
      <c r="R1835" s="11"/>
      <c r="S1835" s="11"/>
      <c r="T1835" s="1"/>
      <c r="U1835" s="1"/>
      <c r="V1835" s="1"/>
      <c r="W1835" s="1"/>
      <c r="X1835" s="1"/>
      <c r="Y1835" s="1"/>
      <c r="Z1835" s="1"/>
    </row>
    <row r="1836" ht="18.0" hidden="1" customHeight="1" outlineLevel="2">
      <c r="A1836" s="1">
        <v>5.0</v>
      </c>
      <c r="B1836" s="26" t="s">
        <v>1243</v>
      </c>
      <c r="C1836" s="1"/>
      <c r="D1836" s="1"/>
      <c r="E1836" s="14"/>
      <c r="F1836" s="15"/>
      <c r="G1836" s="16"/>
      <c r="H1836" s="11"/>
      <c r="I1836" s="7"/>
      <c r="J1836" s="7" t="str">
        <f>IFERROR(LET(_xlpm.v,
VLOOKUP($I1836,'用語辞書'!$A:$B,COLUMN('用語辞書'!B$1),FALSE),
IF(_xlpm.v=0,"",_xlpm.v)
),"")</f>
        <v/>
      </c>
      <c r="K1836" s="17"/>
      <c r="L1836" s="17" t="str">
        <f>IF(OR(COUNTIF('クラス'!$A$1:$A$1267,$B1836)&gt;0,$B1836="",$M1836=""),"",True)</f>
        <v/>
      </c>
      <c r="M1836" s="1" t="str">
        <f t="shared" si="27"/>
        <v/>
      </c>
      <c r="N1836" s="1" t="s">
        <v>29</v>
      </c>
      <c r="O1836" s="1"/>
      <c r="P1836" s="11"/>
      <c r="Q1836" s="11"/>
      <c r="R1836" s="11"/>
      <c r="S1836" s="11"/>
      <c r="T1836" s="1"/>
      <c r="U1836" s="1"/>
      <c r="V1836" s="1"/>
      <c r="W1836" s="1"/>
      <c r="X1836" s="1"/>
      <c r="Y1836" s="1"/>
      <c r="Z1836" s="1"/>
    </row>
    <row r="1837" ht="18.0" hidden="1" customHeight="1" outlineLevel="2">
      <c r="A1837" s="1">
        <v>6.0</v>
      </c>
      <c r="B1837" s="1"/>
      <c r="C1837" s="1"/>
      <c r="D1837" s="1"/>
      <c r="E1837" s="14"/>
      <c r="F1837" s="15"/>
      <c r="G1837" s="16"/>
      <c r="H1837" s="11"/>
      <c r="I1837" s="7"/>
      <c r="J1837" s="7" t="str">
        <f>IFERROR(LET(_xlpm.v,
VLOOKUP($I1837,'用語辞書'!$A:$B,COLUMN('用語辞書'!B$1),FALSE),
IF(_xlpm.v=0,"",_xlpm.v)
),"")</f>
        <v/>
      </c>
      <c r="K1837" s="17"/>
      <c r="L1837" s="17" t="str">
        <f>IF(OR(COUNTIF('クラス'!$A$1:$A$1267,$B1837)&gt;0,$B1837="",$M1837=""),"",True)</f>
        <v/>
      </c>
      <c r="M1837" s="1" t="str">
        <f t="shared" si="27"/>
        <v>存在しない</v>
      </c>
      <c r="N1837" s="1" t="s">
        <v>29</v>
      </c>
      <c r="O1837" s="1"/>
      <c r="P1837" s="11"/>
      <c r="Q1837" s="11"/>
      <c r="R1837" s="11"/>
      <c r="S1837" s="11"/>
      <c r="T1837" s="1"/>
      <c r="U1837" s="1"/>
      <c r="V1837" s="1"/>
      <c r="W1837" s="1"/>
      <c r="X1837" s="1"/>
      <c r="Y1837" s="1"/>
      <c r="Z1837" s="1"/>
    </row>
    <row r="1838" ht="18.0" hidden="1" customHeight="1" outlineLevel="2">
      <c r="A1838" s="1">
        <v>7.0</v>
      </c>
      <c r="B1838" s="26" t="s">
        <v>1972</v>
      </c>
      <c r="C1838" s="1"/>
      <c r="D1838" s="1"/>
      <c r="E1838" s="14"/>
      <c r="F1838" s="15"/>
      <c r="G1838" s="16"/>
      <c r="H1838" s="11"/>
      <c r="I1838" s="7"/>
      <c r="J1838" s="7" t="str">
        <f>IFERROR(LET(_xlpm.v,
VLOOKUP($I1838,'用語辞書'!$A:$B,COLUMN('用語辞書'!B$1),FALSE),
IF(_xlpm.v=0,"",_xlpm.v)
),"")</f>
        <v/>
      </c>
      <c r="K1838" s="17"/>
      <c r="L1838" s="17" t="str">
        <f>IF(OR(COUNTIF('クラス'!$A$1:$A$1267,$B1838)&gt;0,$B1838="",$M1838=""),"",True)</f>
        <v/>
      </c>
      <c r="M1838" s="1" t="str">
        <f t="shared" si="27"/>
        <v/>
      </c>
      <c r="N1838" s="1" t="s">
        <v>29</v>
      </c>
      <c r="O1838" s="1"/>
      <c r="P1838" s="11"/>
      <c r="Q1838" s="11"/>
      <c r="R1838" s="11"/>
      <c r="S1838" s="11"/>
      <c r="T1838" s="1"/>
      <c r="U1838" s="1"/>
      <c r="V1838" s="1"/>
      <c r="W1838" s="1"/>
      <c r="X1838" s="1"/>
      <c r="Y1838" s="1"/>
      <c r="Z1838" s="1"/>
    </row>
    <row r="1839" ht="18.0" hidden="1" customHeight="1" outlineLevel="2">
      <c r="A1839" s="1">
        <v>8.0</v>
      </c>
      <c r="B1839" s="1"/>
      <c r="C1839" s="1"/>
      <c r="D1839" s="1"/>
      <c r="E1839" s="14"/>
      <c r="F1839" s="15"/>
      <c r="G1839" s="16"/>
      <c r="H1839" s="11"/>
      <c r="I1839" s="7"/>
      <c r="J1839" s="7" t="str">
        <f>IFERROR(LET(_xlpm.v,
VLOOKUP($I1839,'用語辞書'!$A:$B,COLUMN('用語辞書'!B$1),FALSE),
IF(_xlpm.v=0,"",_xlpm.v)
),"")</f>
        <v/>
      </c>
      <c r="K1839" s="17"/>
      <c r="L1839" s="17" t="str">
        <f>IF(OR(COUNTIF('クラス'!$A$1:$A$1267,$B1839)&gt;0,$B1839="",$M1839=""),"",True)</f>
        <v/>
      </c>
      <c r="M1839" s="1" t="str">
        <f t="shared" si="27"/>
        <v>存在しない</v>
      </c>
      <c r="N1839" s="1" t="s">
        <v>29</v>
      </c>
      <c r="O1839" s="1"/>
      <c r="P1839" s="11"/>
      <c r="Q1839" s="11"/>
      <c r="R1839" s="11"/>
      <c r="S1839" s="11"/>
      <c r="T1839" s="1"/>
      <c r="U1839" s="1"/>
      <c r="V1839" s="1"/>
      <c r="W1839" s="1"/>
      <c r="X1839" s="1"/>
      <c r="Y1839" s="1"/>
      <c r="Z1839" s="1"/>
    </row>
    <row r="1840" ht="18.0" hidden="1" customHeight="1" outlineLevel="2">
      <c r="A1840" s="1">
        <v>9.0</v>
      </c>
      <c r="B1840" s="26" t="s">
        <v>1981</v>
      </c>
      <c r="C1840" s="1"/>
      <c r="D1840" s="1"/>
      <c r="E1840" s="14"/>
      <c r="F1840" s="15"/>
      <c r="G1840" s="16"/>
      <c r="H1840" s="11"/>
      <c r="I1840" s="7"/>
      <c r="J1840" s="7" t="str">
        <f>IFERROR(LET(_xlpm.v,
VLOOKUP($I1840,'用語辞書'!$A:$B,COLUMN('用語辞書'!B$1),FALSE),
IF(_xlpm.v=0,"",_xlpm.v)
),"")</f>
        <v/>
      </c>
      <c r="K1840" s="17"/>
      <c r="L1840" s="17" t="str">
        <f>IF(OR(COUNTIF('クラス'!$A$1:$A$1267,$B1840)&gt;0,$B1840="",$M1840=""),"",True)</f>
        <v/>
      </c>
      <c r="M1840" s="1" t="str">
        <f t="shared" si="27"/>
        <v/>
      </c>
      <c r="N1840" s="1" t="s">
        <v>29</v>
      </c>
      <c r="O1840" s="1"/>
      <c r="P1840" s="11"/>
      <c r="Q1840" s="11"/>
      <c r="R1840" s="11"/>
      <c r="S1840" s="11"/>
      <c r="T1840" s="1"/>
      <c r="U1840" s="1"/>
      <c r="V1840" s="1"/>
      <c r="W1840" s="1"/>
      <c r="X1840" s="1"/>
      <c r="Y1840" s="1"/>
      <c r="Z1840" s="1"/>
    </row>
    <row r="1841" ht="18.0" hidden="1" customHeight="1" outlineLevel="2">
      <c r="A1841" s="1">
        <v>10.0</v>
      </c>
      <c r="B1841" s="1"/>
      <c r="C1841" s="1"/>
      <c r="D1841" s="1"/>
      <c r="E1841" s="14"/>
      <c r="F1841" s="15"/>
      <c r="G1841" s="16"/>
      <c r="H1841" s="11"/>
      <c r="I1841" s="7"/>
      <c r="J1841" s="7" t="str">
        <f>IFERROR(LET(_xlpm.v,
VLOOKUP($I1841,'用語辞書'!$A:$B,COLUMN('用語辞書'!B$1),FALSE),
IF(_xlpm.v=0,"",_xlpm.v)
),"")</f>
        <v/>
      </c>
      <c r="K1841" s="17"/>
      <c r="L1841" s="17" t="str">
        <f>IF(OR(COUNTIF('クラス'!$A$1:$A$1267,$B1841)&gt;0,$B1841="",$M1841=""),"",True)</f>
        <v/>
      </c>
      <c r="M1841" s="1" t="str">
        <f t="shared" si="27"/>
        <v>存在しない</v>
      </c>
      <c r="N1841" s="1" t="s">
        <v>29</v>
      </c>
      <c r="O1841" s="1"/>
      <c r="P1841" s="11"/>
      <c r="Q1841" s="11"/>
      <c r="R1841" s="11"/>
      <c r="S1841" s="11"/>
      <c r="T1841" s="1"/>
      <c r="U1841" s="1"/>
      <c r="V1841" s="1"/>
      <c r="W1841" s="1"/>
      <c r="X1841" s="1"/>
      <c r="Y1841" s="1"/>
      <c r="Z1841" s="1"/>
    </row>
    <row r="1842" ht="18.0" customHeight="1" outlineLevel="1" collapsed="1">
      <c r="A1842" s="1"/>
      <c r="B1842" s="1"/>
      <c r="C1842" s="1"/>
      <c r="D1842" s="1"/>
      <c r="E1842" s="14"/>
      <c r="F1842" s="15"/>
      <c r="G1842" s="16"/>
      <c r="H1842" s="11"/>
      <c r="I1842" s="7"/>
      <c r="J1842" s="7" t="str">
        <f>IFERROR(LET(_xlpm.v,
VLOOKUP($I1842,'用語辞書'!$A:$B,COLUMN('用語辞書'!B$1),FALSE),
IF(_xlpm.v=0,"",_xlpm.v)
),"")</f>
        <v/>
      </c>
      <c r="K1842" s="17"/>
      <c r="L1842" s="17" t="str">
        <f>IF(OR(COUNTIF('クラス'!$A$1:$A$1267,$B1842)&gt;0,$B1842="",$M1842=""),"",True)</f>
        <v/>
      </c>
      <c r="M1842" s="1" t="str">
        <f t="shared" si="27"/>
        <v>存在しない</v>
      </c>
      <c r="N1842" s="1" t="s">
        <v>29</v>
      </c>
      <c r="O1842" s="1"/>
      <c r="P1842" s="11"/>
      <c r="Q1842" s="11"/>
      <c r="R1842" s="11"/>
      <c r="S1842" s="11"/>
      <c r="T1842" s="1"/>
      <c r="U1842" s="1"/>
      <c r="V1842" s="1"/>
      <c r="W1842" s="1"/>
      <c r="X1842" s="1"/>
      <c r="Y1842" s="1"/>
      <c r="Z1842" s="1"/>
    </row>
    <row r="1843" ht="18.0" customHeight="1" outlineLevel="1">
      <c r="A1843" s="1"/>
      <c r="B1843" s="1"/>
      <c r="C1843" s="1"/>
      <c r="D1843" s="1"/>
      <c r="E1843" s="14"/>
      <c r="F1843" s="15"/>
      <c r="G1843" s="16"/>
      <c r="H1843" s="11"/>
      <c r="I1843" s="7"/>
      <c r="J1843" s="7" t="str">
        <f>IFERROR(LET(_xlpm.v,
VLOOKUP($I1843,'用語辞書'!$A:$B,COLUMN('用語辞書'!B$1),FALSE),
IF(_xlpm.v=0,"",_xlpm.v)
),"")</f>
        <v/>
      </c>
      <c r="K1843" s="17"/>
      <c r="L1843" s="17" t="str">
        <f>IF(OR(COUNTIF('クラス'!$A$1:$A$1267,$B1843)&gt;0,$B1843="",$M1843=""),"",True)</f>
        <v/>
      </c>
      <c r="M1843" s="1" t="str">
        <f t="shared" si="27"/>
        <v>存在しない</v>
      </c>
      <c r="N1843" s="1" t="s">
        <v>29</v>
      </c>
      <c r="O1843" s="1"/>
      <c r="P1843" s="11"/>
      <c r="Q1843" s="11"/>
      <c r="R1843" s="11"/>
      <c r="S1843" s="11"/>
      <c r="T1843" s="1"/>
      <c r="U1843" s="1"/>
      <c r="V1843" s="1"/>
      <c r="W1843" s="1"/>
      <c r="X1843" s="1"/>
      <c r="Y1843" s="1"/>
      <c r="Z1843" s="1"/>
    </row>
    <row r="1844" ht="18.0" customHeight="1" outlineLevel="1">
      <c r="A1844" s="1"/>
      <c r="B1844" s="26" t="s">
        <v>1982</v>
      </c>
      <c r="C1844" s="1"/>
      <c r="D1844" s="1"/>
      <c r="E1844" s="14"/>
      <c r="F1844" s="15"/>
      <c r="G1844" s="16"/>
      <c r="H1844" s="11"/>
      <c r="I1844" s="7"/>
      <c r="J1844" s="7" t="str">
        <f>IFERROR(LET(_xlpm.v,
VLOOKUP($I1844,'用語辞書'!$A:$B,COLUMN('用語辞書'!B$1),FALSE),
IF(_xlpm.v=0,"",_xlpm.v)
),"")</f>
        <v/>
      </c>
      <c r="K1844" s="17"/>
      <c r="L1844" s="17" t="str">
        <f>IF(OR(COUNTIF('クラス'!$A$1:$A$1267,$B1844)&gt;0,$B1844="",$M1844=""),"",True)</f>
        <v/>
      </c>
      <c r="M1844" s="1" t="str">
        <f t="shared" si="27"/>
        <v>存在しない</v>
      </c>
      <c r="N1844" s="1" t="s">
        <v>29</v>
      </c>
      <c r="O1844" s="1"/>
      <c r="P1844" s="11"/>
      <c r="Q1844" s="11"/>
      <c r="R1844" s="11"/>
      <c r="S1844" s="11"/>
      <c r="T1844" s="1"/>
      <c r="U1844" s="1"/>
      <c r="V1844" s="1"/>
      <c r="W1844" s="1"/>
      <c r="X1844" s="1"/>
      <c r="Y1844" s="1"/>
      <c r="Z1844" s="1"/>
    </row>
    <row r="1845" ht="18.0" hidden="1" customHeight="1" outlineLevel="2">
      <c r="A1845" s="1">
        <v>1.0</v>
      </c>
      <c r="B1845" s="26" t="s">
        <v>1966</v>
      </c>
      <c r="C1845" s="1"/>
      <c r="D1845" s="1"/>
      <c r="E1845" s="14"/>
      <c r="F1845" s="15"/>
      <c r="G1845" s="16"/>
      <c r="H1845" s="11"/>
      <c r="I1845" s="7"/>
      <c r="J1845" s="7" t="str">
        <f>IFERROR(LET(_xlpm.v,
VLOOKUP($I1845,'用語辞書'!$A:$B,COLUMN('用語辞書'!B$1),FALSE),
IF(_xlpm.v=0,"",_xlpm.v)
),"")</f>
        <v/>
      </c>
      <c r="K1845" s="17"/>
      <c r="L1845" s="17" t="str">
        <f>IF(OR(COUNTIF('クラス'!$A$1:$A$1267,$B1845)&gt;0,$B1845="",$M1845=""),"",True)</f>
        <v/>
      </c>
      <c r="M1845" s="1" t="str">
        <f t="shared" si="27"/>
        <v/>
      </c>
      <c r="N1845" s="1" t="s">
        <v>29</v>
      </c>
      <c r="O1845" s="1"/>
      <c r="P1845" s="11"/>
      <c r="Q1845" s="11"/>
      <c r="R1845" s="11"/>
      <c r="S1845" s="11"/>
      <c r="T1845" s="1"/>
      <c r="U1845" s="1"/>
      <c r="V1845" s="1"/>
      <c r="W1845" s="1"/>
      <c r="X1845" s="1"/>
      <c r="Y1845" s="1"/>
      <c r="Z1845" s="1"/>
    </row>
    <row r="1846" ht="18.0" hidden="1" customHeight="1" outlineLevel="2">
      <c r="A1846" s="1">
        <v>2.0</v>
      </c>
      <c r="B1846" s="26" t="s">
        <v>1968</v>
      </c>
      <c r="C1846" s="1"/>
      <c r="D1846" s="1"/>
      <c r="E1846" s="14"/>
      <c r="F1846" s="15"/>
      <c r="G1846" s="16"/>
      <c r="H1846" s="11"/>
      <c r="I1846" s="7"/>
      <c r="J1846" s="7" t="str">
        <f>IFERROR(LET(_xlpm.v,
VLOOKUP($I1846,'用語辞書'!$A:$B,COLUMN('用語辞書'!B$1),FALSE),
IF(_xlpm.v=0,"",_xlpm.v)
),"")</f>
        <v/>
      </c>
      <c r="K1846" s="17"/>
      <c r="L1846" s="17" t="str">
        <f>IF(OR(COUNTIF('クラス'!$A$1:$A$1267,$B1846)&gt;0,$B1846="",$M1846=""),"",True)</f>
        <v/>
      </c>
      <c r="M1846" s="1" t="str">
        <f t="shared" si="27"/>
        <v/>
      </c>
      <c r="N1846" s="1" t="s">
        <v>29</v>
      </c>
      <c r="O1846" s="1"/>
      <c r="P1846" s="11"/>
      <c r="Q1846" s="11"/>
      <c r="R1846" s="11"/>
      <c r="S1846" s="11"/>
      <c r="T1846" s="1"/>
      <c r="U1846" s="1"/>
      <c r="V1846" s="1"/>
      <c r="W1846" s="1"/>
      <c r="X1846" s="1"/>
      <c r="Y1846" s="1"/>
      <c r="Z1846" s="1"/>
    </row>
    <row r="1847" ht="18.0" hidden="1" customHeight="1" outlineLevel="2">
      <c r="A1847" s="1">
        <v>3.0</v>
      </c>
      <c r="B1847" s="26" t="s">
        <v>1970</v>
      </c>
      <c r="C1847" s="1"/>
      <c r="D1847" s="1"/>
      <c r="E1847" s="14"/>
      <c r="F1847" s="15"/>
      <c r="G1847" s="16"/>
      <c r="H1847" s="11"/>
      <c r="I1847" s="7"/>
      <c r="J1847" s="7" t="str">
        <f>IFERROR(LET(_xlpm.v,
VLOOKUP($I1847,'用語辞書'!$A:$B,COLUMN('用語辞書'!B$1),FALSE),
IF(_xlpm.v=0,"",_xlpm.v)
),"")</f>
        <v/>
      </c>
      <c r="K1847" s="17"/>
      <c r="L1847" s="17" t="str">
        <f>IF(OR(COUNTIF('クラス'!$A$1:$A$1267,$B1847)&gt;0,$B1847="",$M1847=""),"",True)</f>
        <v/>
      </c>
      <c r="M1847" s="1" t="str">
        <f t="shared" si="27"/>
        <v/>
      </c>
      <c r="N1847" s="1" t="s">
        <v>29</v>
      </c>
      <c r="O1847" s="1"/>
      <c r="P1847" s="11"/>
      <c r="Q1847" s="11"/>
      <c r="R1847" s="11"/>
      <c r="S1847" s="11"/>
      <c r="T1847" s="1"/>
      <c r="U1847" s="1"/>
      <c r="V1847" s="1"/>
      <c r="W1847" s="1"/>
      <c r="X1847" s="1"/>
      <c r="Y1847" s="1"/>
      <c r="Z1847" s="1"/>
    </row>
    <row r="1848" ht="18.0" hidden="1" customHeight="1" outlineLevel="2">
      <c r="A1848" s="1">
        <v>4.0</v>
      </c>
      <c r="B1848" s="1"/>
      <c r="C1848" s="1"/>
      <c r="D1848" s="1"/>
      <c r="E1848" s="14"/>
      <c r="F1848" s="15"/>
      <c r="G1848" s="16"/>
      <c r="H1848" s="11"/>
      <c r="I1848" s="7"/>
      <c r="J1848" s="7" t="str">
        <f>IFERROR(LET(_xlpm.v,
VLOOKUP($I1848,'用語辞書'!$A:$B,COLUMN('用語辞書'!B$1),FALSE),
IF(_xlpm.v=0,"",_xlpm.v)
),"")</f>
        <v/>
      </c>
      <c r="K1848" s="17"/>
      <c r="L1848" s="17" t="str">
        <f>IF(OR(COUNTIF('クラス'!$A$1:$A$1267,$B1848)&gt;0,$B1848="",$M1848=""),"",True)</f>
        <v/>
      </c>
      <c r="M1848" s="1" t="str">
        <f t="shared" si="27"/>
        <v>存在しない</v>
      </c>
      <c r="N1848" s="1" t="s">
        <v>29</v>
      </c>
      <c r="O1848" s="1"/>
      <c r="P1848" s="11"/>
      <c r="Q1848" s="11"/>
      <c r="R1848" s="11"/>
      <c r="S1848" s="11"/>
      <c r="T1848" s="1"/>
      <c r="U1848" s="1"/>
      <c r="V1848" s="1"/>
      <c r="W1848" s="1"/>
      <c r="X1848" s="1"/>
      <c r="Y1848" s="1"/>
      <c r="Z1848" s="1"/>
    </row>
    <row r="1849" ht="18.0" hidden="1" customHeight="1" outlineLevel="2">
      <c r="A1849" s="1">
        <v>5.0</v>
      </c>
      <c r="B1849" s="26" t="s">
        <v>1243</v>
      </c>
      <c r="C1849" s="1"/>
      <c r="D1849" s="1"/>
      <c r="E1849" s="14"/>
      <c r="F1849" s="15"/>
      <c r="G1849" s="16"/>
      <c r="H1849" s="11"/>
      <c r="I1849" s="7"/>
      <c r="J1849" s="7" t="str">
        <f>IFERROR(LET(_xlpm.v,
VLOOKUP($I1849,'用語辞書'!$A:$B,COLUMN('用語辞書'!B$1),FALSE),
IF(_xlpm.v=0,"",_xlpm.v)
),"")</f>
        <v/>
      </c>
      <c r="K1849" s="17"/>
      <c r="L1849" s="17" t="str">
        <f>IF(OR(COUNTIF('クラス'!$A$1:$A$1267,$B1849)&gt;0,$B1849="",$M1849=""),"",True)</f>
        <v/>
      </c>
      <c r="M1849" s="1" t="str">
        <f t="shared" si="27"/>
        <v/>
      </c>
      <c r="N1849" s="1" t="s">
        <v>29</v>
      </c>
      <c r="O1849" s="1"/>
      <c r="P1849" s="11"/>
      <c r="Q1849" s="11"/>
      <c r="R1849" s="11"/>
      <c r="S1849" s="11"/>
      <c r="T1849" s="1"/>
      <c r="U1849" s="1"/>
      <c r="V1849" s="1"/>
      <c r="W1849" s="1"/>
      <c r="X1849" s="1"/>
      <c r="Y1849" s="1"/>
      <c r="Z1849" s="1"/>
    </row>
    <row r="1850" ht="18.0" hidden="1" customHeight="1" outlineLevel="2">
      <c r="A1850" s="1">
        <v>6.0</v>
      </c>
      <c r="B1850" s="1"/>
      <c r="C1850" s="1"/>
      <c r="D1850" s="1"/>
      <c r="E1850" s="14"/>
      <c r="F1850" s="15"/>
      <c r="G1850" s="16"/>
      <c r="H1850" s="11"/>
      <c r="I1850" s="7"/>
      <c r="J1850" s="7" t="str">
        <f>IFERROR(LET(_xlpm.v,
VLOOKUP($I1850,'用語辞書'!$A:$B,COLUMN('用語辞書'!B$1),FALSE),
IF(_xlpm.v=0,"",_xlpm.v)
),"")</f>
        <v/>
      </c>
      <c r="K1850" s="17"/>
      <c r="L1850" s="17" t="str">
        <f>IF(OR(COUNTIF('クラス'!$A$1:$A$1267,$B1850)&gt;0,$B1850="",$M1850=""),"",True)</f>
        <v/>
      </c>
      <c r="M1850" s="1" t="str">
        <f t="shared" si="27"/>
        <v>存在しない</v>
      </c>
      <c r="N1850" s="1" t="s">
        <v>29</v>
      </c>
      <c r="O1850" s="1"/>
      <c r="P1850" s="11"/>
      <c r="Q1850" s="11"/>
      <c r="R1850" s="11"/>
      <c r="S1850" s="11"/>
      <c r="T1850" s="1"/>
      <c r="U1850" s="1"/>
      <c r="V1850" s="1"/>
      <c r="W1850" s="1"/>
      <c r="X1850" s="1"/>
      <c r="Y1850" s="1"/>
      <c r="Z1850" s="1"/>
    </row>
    <row r="1851" ht="18.0" hidden="1" customHeight="1" outlineLevel="2">
      <c r="A1851" s="1">
        <v>7.0</v>
      </c>
      <c r="B1851" s="26" t="s">
        <v>1972</v>
      </c>
      <c r="C1851" s="1"/>
      <c r="D1851" s="1"/>
      <c r="E1851" s="14"/>
      <c r="F1851" s="15"/>
      <c r="G1851" s="16"/>
      <c r="H1851" s="11"/>
      <c r="I1851" s="7"/>
      <c r="J1851" s="7" t="str">
        <f>IFERROR(LET(_xlpm.v,
VLOOKUP($I1851,'用語辞書'!$A:$B,COLUMN('用語辞書'!B$1),FALSE),
IF(_xlpm.v=0,"",_xlpm.v)
),"")</f>
        <v/>
      </c>
      <c r="K1851" s="17"/>
      <c r="L1851" s="17" t="str">
        <f>IF(OR(COUNTIF('クラス'!$A$1:$A$1267,$B1851)&gt;0,$B1851="",$M1851=""),"",True)</f>
        <v/>
      </c>
      <c r="M1851" s="1" t="str">
        <f t="shared" si="27"/>
        <v/>
      </c>
      <c r="N1851" s="1" t="s">
        <v>29</v>
      </c>
      <c r="O1851" s="1"/>
      <c r="P1851" s="11"/>
      <c r="Q1851" s="11"/>
      <c r="R1851" s="11"/>
      <c r="S1851" s="11"/>
      <c r="T1851" s="1"/>
      <c r="U1851" s="1"/>
      <c r="V1851" s="1"/>
      <c r="W1851" s="1"/>
      <c r="X1851" s="1"/>
      <c r="Y1851" s="1"/>
      <c r="Z1851" s="1"/>
    </row>
    <row r="1852" ht="18.0" hidden="1" customHeight="1" outlineLevel="2">
      <c r="A1852" s="1">
        <v>8.0</v>
      </c>
      <c r="B1852" s="1"/>
      <c r="C1852" s="1"/>
      <c r="D1852" s="1"/>
      <c r="E1852" s="14"/>
      <c r="F1852" s="15"/>
      <c r="G1852" s="16"/>
      <c r="H1852" s="11"/>
      <c r="I1852" s="7"/>
      <c r="J1852" s="7" t="str">
        <f>IFERROR(LET(_xlpm.v,
VLOOKUP($I1852,'用語辞書'!$A:$B,COLUMN('用語辞書'!B$1),FALSE),
IF(_xlpm.v=0,"",_xlpm.v)
),"")</f>
        <v/>
      </c>
      <c r="K1852" s="17"/>
      <c r="L1852" s="17" t="str">
        <f>IF(OR(COUNTIF('クラス'!$A$1:$A$1267,$B1852)&gt;0,$B1852="",$M1852=""),"",True)</f>
        <v/>
      </c>
      <c r="M1852" s="1" t="str">
        <f t="shared" si="27"/>
        <v>存在しない</v>
      </c>
      <c r="N1852" s="1" t="s">
        <v>29</v>
      </c>
      <c r="O1852" s="1"/>
      <c r="P1852" s="11"/>
      <c r="Q1852" s="11"/>
      <c r="R1852" s="11"/>
      <c r="S1852" s="11"/>
      <c r="T1852" s="1"/>
      <c r="U1852" s="1"/>
      <c r="V1852" s="1"/>
      <c r="W1852" s="1"/>
      <c r="X1852" s="1"/>
      <c r="Y1852" s="1"/>
      <c r="Z1852" s="1"/>
    </row>
    <row r="1853" ht="18.0" hidden="1" customHeight="1" outlineLevel="2">
      <c r="A1853" s="1">
        <v>9.0</v>
      </c>
      <c r="B1853" s="26" t="s">
        <v>1983</v>
      </c>
      <c r="C1853" s="1"/>
      <c r="D1853" s="1"/>
      <c r="E1853" s="14"/>
      <c r="F1853" s="15"/>
      <c r="G1853" s="16"/>
      <c r="H1853" s="11"/>
      <c r="I1853" s="7"/>
      <c r="J1853" s="7" t="str">
        <f>IFERROR(LET(_xlpm.v,
VLOOKUP($I1853,'用語辞書'!$A:$B,COLUMN('用語辞書'!B$1),FALSE),
IF(_xlpm.v=0,"",_xlpm.v)
),"")</f>
        <v/>
      </c>
      <c r="K1853" s="17"/>
      <c r="L1853" s="17" t="str">
        <f>IF(OR(COUNTIF('クラス'!$A$1:$A$1267,$B1853)&gt;0,$B1853="",$M1853=""),"",True)</f>
        <v/>
      </c>
      <c r="M1853" s="1" t="str">
        <f t="shared" si="27"/>
        <v/>
      </c>
      <c r="N1853" s="1" t="s">
        <v>29</v>
      </c>
      <c r="O1853" s="1"/>
      <c r="P1853" s="11"/>
      <c r="Q1853" s="11"/>
      <c r="R1853" s="11"/>
      <c r="S1853" s="11"/>
      <c r="T1853" s="1"/>
      <c r="U1853" s="1"/>
      <c r="V1853" s="1"/>
      <c r="W1853" s="1"/>
      <c r="X1853" s="1"/>
      <c r="Y1853" s="1"/>
      <c r="Z1853" s="1"/>
    </row>
    <row r="1854" ht="18.0" hidden="1" customHeight="1" outlineLevel="2">
      <c r="A1854" s="1">
        <v>10.0</v>
      </c>
      <c r="B1854" s="1"/>
      <c r="C1854" s="1"/>
      <c r="D1854" s="1"/>
      <c r="E1854" s="14"/>
      <c r="F1854" s="15"/>
      <c r="G1854" s="16"/>
      <c r="H1854" s="11"/>
      <c r="I1854" s="7"/>
      <c r="J1854" s="7" t="str">
        <f>IFERROR(LET(_xlpm.v,
VLOOKUP($I1854,'用語辞書'!$A:$B,COLUMN('用語辞書'!B$1),FALSE),
IF(_xlpm.v=0,"",_xlpm.v)
),"")</f>
        <v/>
      </c>
      <c r="K1854" s="17"/>
      <c r="L1854" s="17" t="str">
        <f>IF(OR(COUNTIF('クラス'!$A$1:$A$1267,$B1854)&gt;0,$B1854="",$M1854=""),"",True)</f>
        <v/>
      </c>
      <c r="M1854" s="1" t="str">
        <f t="shared" si="27"/>
        <v>存在しない</v>
      </c>
      <c r="N1854" s="1" t="s">
        <v>29</v>
      </c>
      <c r="O1854" s="1"/>
      <c r="P1854" s="11"/>
      <c r="Q1854" s="11"/>
      <c r="R1854" s="11"/>
      <c r="S1854" s="11"/>
      <c r="T1854" s="1"/>
      <c r="U1854" s="1"/>
      <c r="V1854" s="1"/>
      <c r="W1854" s="1"/>
      <c r="X1854" s="1"/>
      <c r="Y1854" s="1"/>
      <c r="Z1854" s="1"/>
    </row>
    <row r="1855" ht="18.0" customHeight="1" outlineLevel="1" collapsed="1">
      <c r="A1855" s="1"/>
      <c r="B1855" s="1"/>
      <c r="C1855" s="1"/>
      <c r="D1855" s="1"/>
      <c r="E1855" s="14"/>
      <c r="F1855" s="15"/>
      <c r="G1855" s="16"/>
      <c r="H1855" s="11"/>
      <c r="I1855" s="7"/>
      <c r="J1855" s="7" t="str">
        <f>IFERROR(LET(_xlpm.v,
VLOOKUP($I1855,'用語辞書'!$A:$B,COLUMN('用語辞書'!B$1),FALSE),
IF(_xlpm.v=0,"",_xlpm.v)
),"")</f>
        <v/>
      </c>
      <c r="K1855" s="17"/>
      <c r="L1855" s="17" t="str">
        <f>IF(OR(COUNTIF('クラス'!$A$1:$A$1267,$B1855)&gt;0,$B1855="",$M1855=""),"",True)</f>
        <v/>
      </c>
      <c r="M1855" s="1" t="str">
        <f t="shared" si="27"/>
        <v>存在しない</v>
      </c>
      <c r="N1855" s="1" t="s">
        <v>29</v>
      </c>
      <c r="O1855" s="1"/>
      <c r="P1855" s="11"/>
      <c r="Q1855" s="11"/>
      <c r="R1855" s="11"/>
      <c r="S1855" s="11"/>
      <c r="T1855" s="1"/>
      <c r="U1855" s="1"/>
      <c r="V1855" s="1"/>
      <c r="W1855" s="1"/>
      <c r="X1855" s="1"/>
      <c r="Y1855" s="1"/>
      <c r="Z1855" s="1"/>
    </row>
    <row r="1856" ht="18.0" customHeight="1" outlineLevel="1">
      <c r="A1856" s="1"/>
      <c r="B1856" s="1"/>
      <c r="C1856" s="1"/>
      <c r="D1856" s="1"/>
      <c r="E1856" s="14"/>
      <c r="F1856" s="15"/>
      <c r="G1856" s="16"/>
      <c r="H1856" s="11"/>
      <c r="I1856" s="7"/>
      <c r="J1856" s="7" t="str">
        <f>IFERROR(LET(_xlpm.v,
VLOOKUP($I1856,'用語辞書'!$A:$B,COLUMN('用語辞書'!B$1),FALSE),
IF(_xlpm.v=0,"",_xlpm.v)
),"")</f>
        <v/>
      </c>
      <c r="K1856" s="17"/>
      <c r="L1856" s="17" t="str">
        <f>IF(OR(COUNTIF('クラス'!$A$1:$A$1267,$B1856)&gt;0,$B1856="",$M1856=""),"",True)</f>
        <v/>
      </c>
      <c r="M1856" s="1" t="str">
        <f t="shared" si="27"/>
        <v>存在しない</v>
      </c>
      <c r="N1856" s="1" t="s">
        <v>29</v>
      </c>
      <c r="O1856" s="1"/>
      <c r="P1856" s="11"/>
      <c r="Q1856" s="11"/>
      <c r="R1856" s="11"/>
      <c r="S1856" s="11"/>
      <c r="T1856" s="1"/>
      <c r="U1856" s="1"/>
      <c r="V1856" s="1"/>
      <c r="W1856" s="1"/>
      <c r="X1856" s="1"/>
      <c r="Y1856" s="1"/>
      <c r="Z1856" s="1"/>
    </row>
    <row r="1857" ht="18.0" customHeight="1" outlineLevel="1">
      <c r="A1857" s="1"/>
      <c r="B1857" s="26" t="s">
        <v>1984</v>
      </c>
      <c r="C1857" s="1"/>
      <c r="D1857" s="1"/>
      <c r="E1857" s="14"/>
      <c r="F1857" s="15"/>
      <c r="G1857" s="16"/>
      <c r="H1857" s="11"/>
      <c r="I1857" s="7"/>
      <c r="J1857" s="7" t="str">
        <f>IFERROR(LET(_xlpm.v,
VLOOKUP($I1857,'用語辞書'!$A:$B,COLUMN('用語辞書'!B$1),FALSE),
IF(_xlpm.v=0,"",_xlpm.v)
),"")</f>
        <v/>
      </c>
      <c r="K1857" s="17"/>
      <c r="L1857" s="17" t="str">
        <f>IF(OR(COUNTIF('クラス'!$A$1:$A$1267,$B1857)&gt;0,$B1857="",$M1857=""),"",True)</f>
        <v/>
      </c>
      <c r="M1857" s="1" t="str">
        <f t="shared" si="27"/>
        <v>存在しない</v>
      </c>
      <c r="N1857" s="1" t="s">
        <v>29</v>
      </c>
      <c r="O1857" s="1"/>
      <c r="P1857" s="11"/>
      <c r="Q1857" s="11"/>
      <c r="R1857" s="11"/>
      <c r="S1857" s="11"/>
      <c r="T1857" s="1"/>
      <c r="U1857" s="1"/>
      <c r="V1857" s="1"/>
      <c r="W1857" s="1"/>
      <c r="X1857" s="1"/>
      <c r="Y1857" s="1"/>
      <c r="Z1857" s="1"/>
    </row>
    <row r="1858" ht="18.0" hidden="1" customHeight="1" outlineLevel="2">
      <c r="A1858" s="1">
        <v>1.0</v>
      </c>
      <c r="B1858" s="26" t="s">
        <v>1966</v>
      </c>
      <c r="C1858" s="1"/>
      <c r="D1858" s="1"/>
      <c r="E1858" s="14"/>
      <c r="F1858" s="15"/>
      <c r="G1858" s="16"/>
      <c r="H1858" s="11"/>
      <c r="I1858" s="7"/>
      <c r="J1858" s="7" t="str">
        <f>IFERROR(LET(_xlpm.v,
VLOOKUP($I1858,'用語辞書'!$A:$B,COLUMN('用語辞書'!B$1),FALSE),
IF(_xlpm.v=0,"",_xlpm.v)
),"")</f>
        <v/>
      </c>
      <c r="K1858" s="17"/>
      <c r="L1858" s="17" t="str">
        <f>IF(OR(COUNTIF('クラス'!$A$1:$A$1267,$B1858)&gt;0,$B1858="",$M1858=""),"",True)</f>
        <v/>
      </c>
      <c r="M1858" s="1" t="str">
        <f t="shared" si="27"/>
        <v/>
      </c>
      <c r="N1858" s="1" t="s">
        <v>29</v>
      </c>
      <c r="O1858" s="1"/>
      <c r="P1858" s="11"/>
      <c r="Q1858" s="11"/>
      <c r="R1858" s="11"/>
      <c r="S1858" s="11"/>
      <c r="T1858" s="1"/>
      <c r="U1858" s="1"/>
      <c r="V1858" s="1"/>
      <c r="W1858" s="1"/>
      <c r="X1858" s="1"/>
      <c r="Y1858" s="1"/>
      <c r="Z1858" s="1"/>
    </row>
    <row r="1859" ht="18.0" hidden="1" customHeight="1" outlineLevel="2">
      <c r="A1859" s="1">
        <v>2.0</v>
      </c>
      <c r="B1859" s="26" t="s">
        <v>1968</v>
      </c>
      <c r="C1859" s="1"/>
      <c r="D1859" s="1"/>
      <c r="E1859" s="14"/>
      <c r="F1859" s="15"/>
      <c r="G1859" s="16"/>
      <c r="H1859" s="11"/>
      <c r="I1859" s="7"/>
      <c r="J1859" s="7" t="str">
        <f>IFERROR(LET(_xlpm.v,
VLOOKUP($I1859,'用語辞書'!$A:$B,COLUMN('用語辞書'!B$1),FALSE),
IF(_xlpm.v=0,"",_xlpm.v)
),"")</f>
        <v/>
      </c>
      <c r="K1859" s="17"/>
      <c r="L1859" s="17" t="str">
        <f>IF(OR(COUNTIF('クラス'!$A$1:$A$1267,$B1859)&gt;0,$B1859="",$M1859=""),"",True)</f>
        <v/>
      </c>
      <c r="M1859" s="1" t="str">
        <f t="shared" si="27"/>
        <v/>
      </c>
      <c r="N1859" s="1" t="s">
        <v>29</v>
      </c>
      <c r="O1859" s="1"/>
      <c r="P1859" s="11"/>
      <c r="Q1859" s="11"/>
      <c r="R1859" s="11"/>
      <c r="S1859" s="11"/>
      <c r="T1859" s="1"/>
      <c r="U1859" s="1"/>
      <c r="V1859" s="1"/>
      <c r="W1859" s="1"/>
      <c r="X1859" s="1"/>
      <c r="Y1859" s="1"/>
      <c r="Z1859" s="1"/>
    </row>
    <row r="1860" ht="18.0" hidden="1" customHeight="1" outlineLevel="2">
      <c r="A1860" s="1">
        <v>3.0</v>
      </c>
      <c r="B1860" s="26" t="s">
        <v>1970</v>
      </c>
      <c r="C1860" s="1"/>
      <c r="D1860" s="1"/>
      <c r="E1860" s="14"/>
      <c r="F1860" s="15"/>
      <c r="G1860" s="16"/>
      <c r="H1860" s="11"/>
      <c r="I1860" s="7"/>
      <c r="J1860" s="7" t="str">
        <f>IFERROR(LET(_xlpm.v,
VLOOKUP($I1860,'用語辞書'!$A:$B,COLUMN('用語辞書'!B$1),FALSE),
IF(_xlpm.v=0,"",_xlpm.v)
),"")</f>
        <v/>
      </c>
      <c r="K1860" s="17"/>
      <c r="L1860" s="17" t="str">
        <f>IF(OR(COUNTIF('クラス'!$A$1:$A$1267,$B1860)&gt;0,$B1860="",$M1860=""),"",True)</f>
        <v/>
      </c>
      <c r="M1860" s="1" t="str">
        <f t="shared" si="27"/>
        <v/>
      </c>
      <c r="N1860" s="1" t="s">
        <v>29</v>
      </c>
      <c r="O1860" s="1"/>
      <c r="P1860" s="11"/>
      <c r="Q1860" s="11"/>
      <c r="R1860" s="11"/>
      <c r="S1860" s="11"/>
      <c r="T1860" s="1"/>
      <c r="U1860" s="1"/>
      <c r="V1860" s="1"/>
      <c r="W1860" s="1"/>
      <c r="X1860" s="1"/>
      <c r="Y1860" s="1"/>
      <c r="Z1860" s="1"/>
    </row>
    <row r="1861" ht="18.0" hidden="1" customHeight="1" outlineLevel="2">
      <c r="A1861" s="1">
        <v>4.0</v>
      </c>
      <c r="B1861" s="1"/>
      <c r="C1861" s="1"/>
      <c r="D1861" s="1"/>
      <c r="E1861" s="14"/>
      <c r="F1861" s="15"/>
      <c r="G1861" s="16"/>
      <c r="H1861" s="11"/>
      <c r="I1861" s="7"/>
      <c r="J1861" s="7" t="str">
        <f>IFERROR(LET(_xlpm.v,
VLOOKUP($I1861,'用語辞書'!$A:$B,COLUMN('用語辞書'!B$1),FALSE),
IF(_xlpm.v=0,"",_xlpm.v)
),"")</f>
        <v/>
      </c>
      <c r="K1861" s="17"/>
      <c r="L1861" s="17" t="str">
        <f>IF(OR(COUNTIF('クラス'!$A$1:$A$1267,$B1861)&gt;0,$B1861="",$M1861=""),"",True)</f>
        <v/>
      </c>
      <c r="M1861" s="1" t="str">
        <f t="shared" si="27"/>
        <v>存在しない</v>
      </c>
      <c r="N1861" s="1" t="s">
        <v>29</v>
      </c>
      <c r="O1861" s="1"/>
      <c r="P1861" s="11"/>
      <c r="Q1861" s="11"/>
      <c r="R1861" s="11"/>
      <c r="S1861" s="11"/>
      <c r="T1861" s="1"/>
      <c r="U1861" s="1"/>
      <c r="V1861" s="1"/>
      <c r="W1861" s="1"/>
      <c r="X1861" s="1"/>
      <c r="Y1861" s="1"/>
      <c r="Z1861" s="1"/>
    </row>
    <row r="1862" ht="18.0" hidden="1" customHeight="1" outlineLevel="2">
      <c r="A1862" s="1">
        <v>5.0</v>
      </c>
      <c r="B1862" s="26" t="s">
        <v>1243</v>
      </c>
      <c r="C1862" s="1"/>
      <c r="D1862" s="1"/>
      <c r="E1862" s="14"/>
      <c r="F1862" s="15"/>
      <c r="G1862" s="16"/>
      <c r="H1862" s="11"/>
      <c r="I1862" s="7"/>
      <c r="J1862" s="7" t="str">
        <f>IFERROR(LET(_xlpm.v,
VLOOKUP($I1862,'用語辞書'!$A:$B,COLUMN('用語辞書'!B$1),FALSE),
IF(_xlpm.v=0,"",_xlpm.v)
),"")</f>
        <v/>
      </c>
      <c r="K1862" s="17"/>
      <c r="L1862" s="17" t="str">
        <f>IF(OR(COUNTIF('クラス'!$A$1:$A$1267,$B1862)&gt;0,$B1862="",$M1862=""),"",True)</f>
        <v/>
      </c>
      <c r="M1862" s="1" t="str">
        <f t="shared" si="27"/>
        <v/>
      </c>
      <c r="N1862" s="1" t="s">
        <v>29</v>
      </c>
      <c r="O1862" s="1"/>
      <c r="P1862" s="11"/>
      <c r="Q1862" s="11"/>
      <c r="R1862" s="11"/>
      <c r="S1862" s="11"/>
      <c r="T1862" s="1"/>
      <c r="U1862" s="1"/>
      <c r="V1862" s="1"/>
      <c r="W1862" s="1"/>
      <c r="X1862" s="1"/>
      <c r="Y1862" s="1"/>
      <c r="Z1862" s="1"/>
    </row>
    <row r="1863" ht="18.0" hidden="1" customHeight="1" outlineLevel="2">
      <c r="A1863" s="1">
        <v>6.0</v>
      </c>
      <c r="B1863" s="1"/>
      <c r="C1863" s="1"/>
      <c r="D1863" s="1"/>
      <c r="E1863" s="14"/>
      <c r="F1863" s="15"/>
      <c r="G1863" s="16"/>
      <c r="H1863" s="11"/>
      <c r="I1863" s="7"/>
      <c r="J1863" s="7" t="str">
        <f>IFERROR(LET(_xlpm.v,
VLOOKUP($I1863,'用語辞書'!$A:$B,COLUMN('用語辞書'!B$1),FALSE),
IF(_xlpm.v=0,"",_xlpm.v)
),"")</f>
        <v/>
      </c>
      <c r="K1863" s="17"/>
      <c r="L1863" s="17" t="str">
        <f>IF(OR(COUNTIF('クラス'!$A$1:$A$1267,$B1863)&gt;0,$B1863="",$M1863=""),"",True)</f>
        <v/>
      </c>
      <c r="M1863" s="1" t="str">
        <f t="shared" si="27"/>
        <v>存在しない</v>
      </c>
      <c r="N1863" s="1" t="s">
        <v>29</v>
      </c>
      <c r="O1863" s="1"/>
      <c r="P1863" s="11"/>
      <c r="Q1863" s="11"/>
      <c r="R1863" s="11"/>
      <c r="S1863" s="11"/>
      <c r="T1863" s="1"/>
      <c r="U1863" s="1"/>
      <c r="V1863" s="1"/>
      <c r="W1863" s="1"/>
      <c r="X1863" s="1"/>
      <c r="Y1863" s="1"/>
      <c r="Z1863" s="1"/>
    </row>
    <row r="1864" ht="18.0" hidden="1" customHeight="1" outlineLevel="2">
      <c r="A1864" s="1">
        <v>7.0</v>
      </c>
      <c r="B1864" s="26" t="s">
        <v>1972</v>
      </c>
      <c r="C1864" s="1"/>
      <c r="D1864" s="1"/>
      <c r="E1864" s="14"/>
      <c r="F1864" s="15"/>
      <c r="G1864" s="16"/>
      <c r="H1864" s="11"/>
      <c r="I1864" s="7"/>
      <c r="J1864" s="7" t="str">
        <f>IFERROR(LET(_xlpm.v,
VLOOKUP($I1864,'用語辞書'!$A:$B,COLUMN('用語辞書'!B$1),FALSE),
IF(_xlpm.v=0,"",_xlpm.v)
),"")</f>
        <v/>
      </c>
      <c r="K1864" s="17"/>
      <c r="L1864" s="17" t="str">
        <f>IF(OR(COUNTIF('クラス'!$A$1:$A$1267,$B1864)&gt;0,$B1864="",$M1864=""),"",True)</f>
        <v/>
      </c>
      <c r="M1864" s="1" t="str">
        <f t="shared" si="27"/>
        <v/>
      </c>
      <c r="N1864" s="1" t="s">
        <v>29</v>
      </c>
      <c r="O1864" s="1"/>
      <c r="P1864" s="11"/>
      <c r="Q1864" s="11"/>
      <c r="R1864" s="11"/>
      <c r="S1864" s="11"/>
      <c r="T1864" s="1"/>
      <c r="U1864" s="1"/>
      <c r="V1864" s="1"/>
      <c r="W1864" s="1"/>
      <c r="X1864" s="1"/>
      <c r="Y1864" s="1"/>
      <c r="Z1864" s="1"/>
    </row>
    <row r="1865" ht="18.0" hidden="1" customHeight="1" outlineLevel="2">
      <c r="A1865" s="1">
        <v>8.0</v>
      </c>
      <c r="B1865" s="1"/>
      <c r="C1865" s="1"/>
      <c r="D1865" s="1"/>
      <c r="E1865" s="14"/>
      <c r="F1865" s="15"/>
      <c r="G1865" s="16"/>
      <c r="H1865" s="11"/>
      <c r="I1865" s="7"/>
      <c r="J1865" s="7" t="str">
        <f>IFERROR(LET(_xlpm.v,
VLOOKUP($I1865,'用語辞書'!$A:$B,COLUMN('用語辞書'!B$1),FALSE),
IF(_xlpm.v=0,"",_xlpm.v)
),"")</f>
        <v/>
      </c>
      <c r="K1865" s="17"/>
      <c r="L1865" s="17" t="str">
        <f>IF(OR(COUNTIF('クラス'!$A$1:$A$1267,$B1865)&gt;0,$B1865="",$M1865=""),"",True)</f>
        <v/>
      </c>
      <c r="M1865" s="1" t="str">
        <f t="shared" si="27"/>
        <v>存在しない</v>
      </c>
      <c r="N1865" s="1" t="s">
        <v>29</v>
      </c>
      <c r="O1865" s="1"/>
      <c r="P1865" s="11"/>
      <c r="Q1865" s="11"/>
      <c r="R1865" s="11"/>
      <c r="S1865" s="11"/>
      <c r="T1865" s="1"/>
      <c r="U1865" s="1"/>
      <c r="V1865" s="1"/>
      <c r="W1865" s="1"/>
      <c r="X1865" s="1"/>
      <c r="Y1865" s="1"/>
      <c r="Z1865" s="1"/>
    </row>
    <row r="1866" ht="18.0" hidden="1" customHeight="1" outlineLevel="2">
      <c r="A1866" s="1">
        <v>9.0</v>
      </c>
      <c r="B1866" s="26" t="s">
        <v>1985</v>
      </c>
      <c r="C1866" s="1"/>
      <c r="D1866" s="1"/>
      <c r="E1866" s="14"/>
      <c r="F1866" s="15"/>
      <c r="G1866" s="16"/>
      <c r="H1866" s="11"/>
      <c r="I1866" s="7"/>
      <c r="J1866" s="7" t="str">
        <f>IFERROR(LET(_xlpm.v,
VLOOKUP($I1866,'用語辞書'!$A:$B,COLUMN('用語辞書'!B$1),FALSE),
IF(_xlpm.v=0,"",_xlpm.v)
),"")</f>
        <v/>
      </c>
      <c r="K1866" s="17"/>
      <c r="L1866" s="17" t="b">
        <f>IF(OR(COUNTIF('クラス'!$A$1:$A$1267,$B1866)&gt;0,$B1866="",$M1866=""),"",True)</f>
        <v>1</v>
      </c>
      <c r="M1866" s="1" t="str">
        <f t="shared" si="27"/>
        <v>存在しない</v>
      </c>
      <c r="N1866" s="1" t="s">
        <v>29</v>
      </c>
      <c r="O1866" s="1"/>
      <c r="P1866" s="11"/>
      <c r="Q1866" s="11"/>
      <c r="R1866" s="11"/>
      <c r="S1866" s="11"/>
      <c r="T1866" s="1"/>
      <c r="U1866" s="1"/>
      <c r="V1866" s="1"/>
      <c r="W1866" s="1"/>
      <c r="X1866" s="1"/>
      <c r="Y1866" s="1"/>
      <c r="Z1866" s="1"/>
    </row>
    <row r="1867" ht="18.0" hidden="1" customHeight="1" outlineLevel="2">
      <c r="A1867" s="1">
        <v>10.0</v>
      </c>
      <c r="B1867" s="1"/>
      <c r="C1867" s="1"/>
      <c r="D1867" s="1"/>
      <c r="E1867" s="14"/>
      <c r="F1867" s="15"/>
      <c r="G1867" s="16"/>
      <c r="H1867" s="11"/>
      <c r="I1867" s="7"/>
      <c r="J1867" s="7" t="str">
        <f>IFERROR(LET(_xlpm.v,
VLOOKUP($I1867,'用語辞書'!$A:$B,COLUMN('用語辞書'!B$1),FALSE),
IF(_xlpm.v=0,"",_xlpm.v)
),"")</f>
        <v/>
      </c>
      <c r="K1867" s="17"/>
      <c r="L1867" s="17" t="str">
        <f>IF(OR(COUNTIF('クラス'!$A$1:$A$1267,$B1867)&gt;0,$B1867="",$M1867=""),"",True)</f>
        <v/>
      </c>
      <c r="M1867" s="1" t="str">
        <f t="shared" si="27"/>
        <v>存在しない</v>
      </c>
      <c r="N1867" s="1" t="s">
        <v>29</v>
      </c>
      <c r="O1867" s="1"/>
      <c r="P1867" s="11"/>
      <c r="Q1867" s="11"/>
      <c r="R1867" s="11"/>
      <c r="S1867" s="11"/>
      <c r="T1867" s="1"/>
      <c r="U1867" s="1"/>
      <c r="V1867" s="1"/>
      <c r="W1867" s="1"/>
      <c r="X1867" s="1"/>
      <c r="Y1867" s="1"/>
      <c r="Z1867" s="1"/>
    </row>
    <row r="1868" ht="18.0" customHeight="1" outlineLevel="1" collapsed="1">
      <c r="A1868" s="1"/>
      <c r="B1868" s="1"/>
      <c r="C1868" s="1"/>
      <c r="D1868" s="1"/>
      <c r="E1868" s="14"/>
      <c r="F1868" s="15"/>
      <c r="G1868" s="16"/>
      <c r="H1868" s="11"/>
      <c r="I1868" s="7"/>
      <c r="J1868" s="7" t="str">
        <f>IFERROR(LET(_xlpm.v,
VLOOKUP($I1868,'用語辞書'!$A:$B,COLUMN('用語辞書'!B$1),FALSE),
IF(_xlpm.v=0,"",_xlpm.v)
),"")</f>
        <v/>
      </c>
      <c r="K1868" s="17"/>
      <c r="L1868" s="17" t="str">
        <f>IF(OR(COUNTIF('クラス'!$A$1:$A$1267,$B1868)&gt;0,$B1868="",$M1868=""),"",True)</f>
        <v/>
      </c>
      <c r="M1868" s="1" t="str">
        <f t="shared" si="27"/>
        <v>存在しない</v>
      </c>
      <c r="N1868" s="1" t="s">
        <v>29</v>
      </c>
      <c r="O1868" s="1"/>
      <c r="P1868" s="11"/>
      <c r="Q1868" s="11"/>
      <c r="R1868" s="11"/>
      <c r="S1868" s="11"/>
      <c r="T1868" s="1"/>
      <c r="U1868" s="1"/>
      <c r="V1868" s="1"/>
      <c r="W1868" s="1"/>
      <c r="X1868" s="1"/>
      <c r="Y1868" s="1"/>
      <c r="Z1868" s="1"/>
    </row>
    <row r="1869" ht="18.0" customHeight="1" outlineLevel="1">
      <c r="A1869" s="1"/>
      <c r="B1869" s="1"/>
      <c r="C1869" s="1"/>
      <c r="D1869" s="1"/>
      <c r="E1869" s="14"/>
      <c r="F1869" s="15"/>
      <c r="G1869" s="16"/>
      <c r="H1869" s="11"/>
      <c r="I1869" s="7"/>
      <c r="J1869" s="7" t="str">
        <f>IFERROR(LET(_xlpm.v,
VLOOKUP($I1869,'用語辞書'!$A:$B,COLUMN('用語辞書'!B$1),FALSE),
IF(_xlpm.v=0,"",_xlpm.v)
),"")</f>
        <v/>
      </c>
      <c r="K1869" s="17"/>
      <c r="L1869" s="17" t="str">
        <f>IF(OR(COUNTIF('クラス'!$A$1:$A$1267,$B1869)&gt;0,$B1869="",$M1869=""),"",True)</f>
        <v/>
      </c>
      <c r="M1869" s="1" t="str">
        <f t="shared" si="27"/>
        <v>存在しない</v>
      </c>
      <c r="N1869" s="1" t="s">
        <v>29</v>
      </c>
      <c r="O1869" s="1"/>
      <c r="P1869" s="11"/>
      <c r="Q1869" s="11"/>
      <c r="R1869" s="11"/>
      <c r="S1869" s="11"/>
      <c r="T1869" s="1"/>
      <c r="U1869" s="1"/>
      <c r="V1869" s="1"/>
      <c r="W1869" s="1"/>
      <c r="X1869" s="1"/>
      <c r="Y1869" s="1"/>
      <c r="Z1869" s="1"/>
    </row>
    <row r="1870" ht="18.0" customHeight="1" outlineLevel="1">
      <c r="A1870" s="1"/>
      <c r="B1870" s="26" t="s">
        <v>1986</v>
      </c>
      <c r="C1870" s="1"/>
      <c r="D1870" s="1"/>
      <c r="E1870" s="14"/>
      <c r="F1870" s="15"/>
      <c r="G1870" s="16"/>
      <c r="H1870" s="11"/>
      <c r="I1870" s="7"/>
      <c r="J1870" s="7" t="str">
        <f>IFERROR(LET(_xlpm.v,
VLOOKUP($I1870,'用語辞書'!$A:$B,COLUMN('用語辞書'!B$1),FALSE),
IF(_xlpm.v=0,"",_xlpm.v)
),"")</f>
        <v/>
      </c>
      <c r="K1870" s="17"/>
      <c r="L1870" s="17" t="str">
        <f>IF(OR(COUNTIF('クラス'!$A$1:$A$1267,$B1870)&gt;0,$B1870="",$M1870=""),"",True)</f>
        <v/>
      </c>
      <c r="M1870" s="1" t="str">
        <f t="shared" si="27"/>
        <v>存在しない</v>
      </c>
      <c r="N1870" s="1" t="s">
        <v>29</v>
      </c>
      <c r="O1870" s="1"/>
      <c r="P1870" s="11"/>
      <c r="Q1870" s="11"/>
      <c r="R1870" s="11"/>
      <c r="S1870" s="11"/>
      <c r="T1870" s="1"/>
      <c r="U1870" s="1"/>
      <c r="V1870" s="1"/>
      <c r="W1870" s="1"/>
      <c r="X1870" s="1"/>
      <c r="Y1870" s="1"/>
      <c r="Z1870" s="1"/>
    </row>
    <row r="1871" ht="18.0" hidden="1" customHeight="1" outlineLevel="2">
      <c r="A1871" s="1">
        <v>1.0</v>
      </c>
      <c r="B1871" s="26" t="s">
        <v>1966</v>
      </c>
      <c r="C1871" s="1"/>
      <c r="D1871" s="1"/>
      <c r="E1871" s="14"/>
      <c r="F1871" s="15"/>
      <c r="G1871" s="16"/>
      <c r="H1871" s="11"/>
      <c r="I1871" s="7"/>
      <c r="J1871" s="7" t="str">
        <f>IFERROR(LET(_xlpm.v,
VLOOKUP($I1871,'用語辞書'!$A:$B,COLUMN('用語辞書'!B$1),FALSE),
IF(_xlpm.v=0,"",_xlpm.v)
),"")</f>
        <v/>
      </c>
      <c r="K1871" s="17"/>
      <c r="L1871" s="17" t="str">
        <f>IF(OR(COUNTIF('クラス'!$A$1:$A$1267,$B1871)&gt;0,$B1871="",$M1871=""),"",True)</f>
        <v/>
      </c>
      <c r="M1871" s="1" t="str">
        <f t="shared" si="27"/>
        <v/>
      </c>
      <c r="N1871" s="1" t="s">
        <v>29</v>
      </c>
      <c r="O1871" s="1"/>
      <c r="P1871" s="11"/>
      <c r="Q1871" s="11"/>
      <c r="R1871" s="11"/>
      <c r="S1871" s="11"/>
      <c r="T1871" s="1"/>
      <c r="U1871" s="1"/>
      <c r="V1871" s="1"/>
      <c r="W1871" s="1"/>
      <c r="X1871" s="1"/>
      <c r="Y1871" s="1"/>
      <c r="Z1871" s="1"/>
    </row>
    <row r="1872" ht="18.0" hidden="1" customHeight="1" outlineLevel="2">
      <c r="A1872" s="1">
        <v>2.0</v>
      </c>
      <c r="B1872" s="26" t="s">
        <v>1968</v>
      </c>
      <c r="C1872" s="1"/>
      <c r="D1872" s="1"/>
      <c r="E1872" s="14"/>
      <c r="F1872" s="15"/>
      <c r="G1872" s="16"/>
      <c r="H1872" s="11"/>
      <c r="I1872" s="7"/>
      <c r="J1872" s="7" t="str">
        <f>IFERROR(LET(_xlpm.v,
VLOOKUP($I1872,'用語辞書'!$A:$B,COLUMN('用語辞書'!B$1),FALSE),
IF(_xlpm.v=0,"",_xlpm.v)
),"")</f>
        <v/>
      </c>
      <c r="K1872" s="17"/>
      <c r="L1872" s="17" t="str">
        <f>IF(OR(COUNTIF('クラス'!$A$1:$A$1267,$B1872)&gt;0,$B1872="",$M1872=""),"",True)</f>
        <v/>
      </c>
      <c r="M1872" s="1" t="str">
        <f t="shared" si="27"/>
        <v/>
      </c>
      <c r="N1872" s="1" t="s">
        <v>29</v>
      </c>
      <c r="O1872" s="1"/>
      <c r="P1872" s="11"/>
      <c r="Q1872" s="11"/>
      <c r="R1872" s="11"/>
      <c r="S1872" s="11"/>
      <c r="T1872" s="1"/>
      <c r="U1872" s="1"/>
      <c r="V1872" s="1"/>
      <c r="W1872" s="1"/>
      <c r="X1872" s="1"/>
      <c r="Y1872" s="1"/>
      <c r="Z1872" s="1"/>
    </row>
    <row r="1873" ht="18.0" hidden="1" customHeight="1" outlineLevel="2">
      <c r="A1873" s="1">
        <v>3.0</v>
      </c>
      <c r="B1873" s="26" t="s">
        <v>1970</v>
      </c>
      <c r="C1873" s="1"/>
      <c r="D1873" s="1"/>
      <c r="E1873" s="14"/>
      <c r="F1873" s="15"/>
      <c r="G1873" s="16"/>
      <c r="H1873" s="11"/>
      <c r="I1873" s="7"/>
      <c r="J1873" s="7" t="str">
        <f>IFERROR(LET(_xlpm.v,
VLOOKUP($I1873,'用語辞書'!$A:$B,COLUMN('用語辞書'!B$1),FALSE),
IF(_xlpm.v=0,"",_xlpm.v)
),"")</f>
        <v/>
      </c>
      <c r="K1873" s="17"/>
      <c r="L1873" s="17" t="str">
        <f>IF(OR(COUNTIF('クラス'!$A$1:$A$1267,$B1873)&gt;0,$B1873="",$M1873=""),"",True)</f>
        <v/>
      </c>
      <c r="M1873" s="1" t="str">
        <f t="shared" si="27"/>
        <v/>
      </c>
      <c r="N1873" s="1" t="s">
        <v>29</v>
      </c>
      <c r="O1873" s="1"/>
      <c r="P1873" s="11"/>
      <c r="Q1873" s="11"/>
      <c r="R1873" s="11"/>
      <c r="S1873" s="11"/>
      <c r="T1873" s="1"/>
      <c r="U1873" s="1"/>
      <c r="V1873" s="1"/>
      <c r="W1873" s="1"/>
      <c r="X1873" s="1"/>
      <c r="Y1873" s="1"/>
      <c r="Z1873" s="1"/>
    </row>
    <row r="1874" ht="18.0" hidden="1" customHeight="1" outlineLevel="2">
      <c r="A1874" s="1">
        <v>4.0</v>
      </c>
      <c r="B1874" s="1"/>
      <c r="C1874" s="1"/>
      <c r="D1874" s="1"/>
      <c r="E1874" s="14"/>
      <c r="F1874" s="15"/>
      <c r="G1874" s="16"/>
      <c r="H1874" s="11"/>
      <c r="I1874" s="7"/>
      <c r="J1874" s="7" t="str">
        <f>IFERROR(LET(_xlpm.v,
VLOOKUP($I1874,'用語辞書'!$A:$B,COLUMN('用語辞書'!B$1),FALSE),
IF(_xlpm.v=0,"",_xlpm.v)
),"")</f>
        <v/>
      </c>
      <c r="K1874" s="17"/>
      <c r="L1874" s="17" t="str">
        <f>IF(OR(COUNTIF('クラス'!$A$1:$A$1267,$B1874)&gt;0,$B1874="",$M1874=""),"",True)</f>
        <v/>
      </c>
      <c r="M1874" s="1" t="str">
        <f t="shared" si="27"/>
        <v>存在しない</v>
      </c>
      <c r="N1874" s="1" t="s">
        <v>29</v>
      </c>
      <c r="O1874" s="1"/>
      <c r="P1874" s="11"/>
      <c r="Q1874" s="11"/>
      <c r="R1874" s="11"/>
      <c r="S1874" s="11"/>
      <c r="T1874" s="1"/>
      <c r="U1874" s="1"/>
      <c r="V1874" s="1"/>
      <c r="W1874" s="1"/>
      <c r="X1874" s="1"/>
      <c r="Y1874" s="1"/>
      <c r="Z1874" s="1"/>
    </row>
    <row r="1875" ht="18.0" hidden="1" customHeight="1" outlineLevel="2">
      <c r="A1875" s="1">
        <v>5.0</v>
      </c>
      <c r="B1875" s="26" t="s">
        <v>1243</v>
      </c>
      <c r="C1875" s="1"/>
      <c r="D1875" s="1"/>
      <c r="E1875" s="14"/>
      <c r="F1875" s="15"/>
      <c r="G1875" s="16"/>
      <c r="H1875" s="11"/>
      <c r="I1875" s="7"/>
      <c r="J1875" s="7" t="str">
        <f>IFERROR(LET(_xlpm.v,
VLOOKUP($I1875,'用語辞書'!$A:$B,COLUMN('用語辞書'!B$1),FALSE),
IF(_xlpm.v=0,"",_xlpm.v)
),"")</f>
        <v/>
      </c>
      <c r="K1875" s="17"/>
      <c r="L1875" s="17" t="str">
        <f>IF(OR(COUNTIF('クラス'!$A$1:$A$1267,$B1875)&gt;0,$B1875="",$M1875=""),"",True)</f>
        <v/>
      </c>
      <c r="M1875" s="1" t="str">
        <f t="shared" si="27"/>
        <v/>
      </c>
      <c r="N1875" s="1" t="s">
        <v>29</v>
      </c>
      <c r="O1875" s="1"/>
      <c r="P1875" s="11"/>
      <c r="Q1875" s="11"/>
      <c r="R1875" s="11"/>
      <c r="S1875" s="11"/>
      <c r="T1875" s="1"/>
      <c r="U1875" s="1"/>
      <c r="V1875" s="1"/>
      <c r="W1875" s="1"/>
      <c r="X1875" s="1"/>
      <c r="Y1875" s="1"/>
      <c r="Z1875" s="1"/>
    </row>
    <row r="1876" ht="18.0" hidden="1" customHeight="1" outlineLevel="2">
      <c r="A1876" s="1">
        <v>6.0</v>
      </c>
      <c r="B1876" s="1"/>
      <c r="C1876" s="1"/>
      <c r="D1876" s="1"/>
      <c r="E1876" s="14"/>
      <c r="F1876" s="15"/>
      <c r="G1876" s="16"/>
      <c r="H1876" s="11"/>
      <c r="I1876" s="7"/>
      <c r="J1876" s="7" t="str">
        <f>IFERROR(LET(_xlpm.v,
VLOOKUP($I1876,'用語辞書'!$A:$B,COLUMN('用語辞書'!B$1),FALSE),
IF(_xlpm.v=0,"",_xlpm.v)
),"")</f>
        <v/>
      </c>
      <c r="K1876" s="17"/>
      <c r="L1876" s="17" t="str">
        <f>IF(OR(COUNTIF('クラス'!$A$1:$A$1267,$B1876)&gt;0,$B1876="",$M1876=""),"",True)</f>
        <v/>
      </c>
      <c r="M1876" s="1" t="str">
        <f t="shared" si="27"/>
        <v>存在しない</v>
      </c>
      <c r="N1876" s="1" t="s">
        <v>29</v>
      </c>
      <c r="O1876" s="1"/>
      <c r="P1876" s="11"/>
      <c r="Q1876" s="11"/>
      <c r="R1876" s="11"/>
      <c r="S1876" s="11"/>
      <c r="T1876" s="1"/>
      <c r="U1876" s="1"/>
      <c r="V1876" s="1"/>
      <c r="W1876" s="1"/>
      <c r="X1876" s="1"/>
      <c r="Y1876" s="1"/>
      <c r="Z1876" s="1"/>
    </row>
    <row r="1877" ht="18.0" hidden="1" customHeight="1" outlineLevel="2">
      <c r="A1877" s="1">
        <v>7.0</v>
      </c>
      <c r="B1877" s="26" t="s">
        <v>1972</v>
      </c>
      <c r="C1877" s="1"/>
      <c r="D1877" s="1"/>
      <c r="E1877" s="14"/>
      <c r="F1877" s="15"/>
      <c r="G1877" s="16"/>
      <c r="H1877" s="11"/>
      <c r="I1877" s="7"/>
      <c r="J1877" s="7" t="str">
        <f>IFERROR(LET(_xlpm.v,
VLOOKUP($I1877,'用語辞書'!$A:$B,COLUMN('用語辞書'!B$1),FALSE),
IF(_xlpm.v=0,"",_xlpm.v)
),"")</f>
        <v/>
      </c>
      <c r="K1877" s="17"/>
      <c r="L1877" s="17" t="str">
        <f>IF(OR(COUNTIF('クラス'!$A$1:$A$1267,$B1877)&gt;0,$B1877="",$M1877=""),"",True)</f>
        <v/>
      </c>
      <c r="M1877" s="1" t="str">
        <f t="shared" si="27"/>
        <v/>
      </c>
      <c r="N1877" s="1" t="s">
        <v>29</v>
      </c>
      <c r="O1877" s="1"/>
      <c r="P1877" s="11"/>
      <c r="Q1877" s="11"/>
      <c r="R1877" s="11"/>
      <c r="S1877" s="11"/>
      <c r="T1877" s="1"/>
      <c r="U1877" s="1"/>
      <c r="V1877" s="1"/>
      <c r="W1877" s="1"/>
      <c r="X1877" s="1"/>
      <c r="Y1877" s="1"/>
      <c r="Z1877" s="1"/>
    </row>
    <row r="1878" ht="18.0" hidden="1" customHeight="1" outlineLevel="2">
      <c r="A1878" s="1">
        <v>8.0</v>
      </c>
      <c r="B1878" s="1"/>
      <c r="C1878" s="1"/>
      <c r="D1878" s="1"/>
      <c r="E1878" s="14"/>
      <c r="F1878" s="15"/>
      <c r="G1878" s="16"/>
      <c r="H1878" s="11"/>
      <c r="I1878" s="7"/>
      <c r="J1878" s="7" t="str">
        <f>IFERROR(LET(_xlpm.v,
VLOOKUP($I1878,'用語辞書'!$A:$B,COLUMN('用語辞書'!B$1),FALSE),
IF(_xlpm.v=0,"",_xlpm.v)
),"")</f>
        <v/>
      </c>
      <c r="K1878" s="17"/>
      <c r="L1878" s="17" t="str">
        <f>IF(OR(COUNTIF('クラス'!$A$1:$A$1267,$B1878)&gt;0,$B1878="",$M1878=""),"",True)</f>
        <v/>
      </c>
      <c r="M1878" s="1" t="str">
        <f t="shared" si="27"/>
        <v>存在しない</v>
      </c>
      <c r="N1878" s="1" t="s">
        <v>29</v>
      </c>
      <c r="O1878" s="1"/>
      <c r="P1878" s="11"/>
      <c r="Q1878" s="11"/>
      <c r="R1878" s="11"/>
      <c r="S1878" s="11"/>
      <c r="T1878" s="1"/>
      <c r="U1878" s="1"/>
      <c r="V1878" s="1"/>
      <c r="W1878" s="1"/>
      <c r="X1878" s="1"/>
      <c r="Y1878" s="1"/>
      <c r="Z1878" s="1"/>
    </row>
    <row r="1879" ht="18.0" hidden="1" customHeight="1" outlineLevel="2">
      <c r="A1879" s="1">
        <v>9.0</v>
      </c>
      <c r="B1879" s="26" t="s">
        <v>275</v>
      </c>
      <c r="C1879" s="1"/>
      <c r="D1879" s="1"/>
      <c r="E1879" s="14"/>
      <c r="F1879" s="15"/>
      <c r="G1879" s="16"/>
      <c r="H1879" s="11"/>
      <c r="I1879" s="7"/>
      <c r="J1879" s="7" t="str">
        <f>IFERROR(LET(_xlpm.v,
VLOOKUP($I1879,'用語辞書'!$A:$B,COLUMN('用語辞書'!B$1),FALSE),
IF(_xlpm.v=0,"",_xlpm.v)
),"")</f>
        <v/>
      </c>
      <c r="K1879" s="17"/>
      <c r="L1879" s="17" t="str">
        <f>IF(OR(COUNTIF('クラス'!$A$1:$A$1267,$B1879)&gt;0,$B1879="",$M1879=""),"",True)</f>
        <v/>
      </c>
      <c r="M1879" s="1" t="str">
        <f t="shared" si="27"/>
        <v/>
      </c>
      <c r="N1879" s="1" t="s">
        <v>29</v>
      </c>
      <c r="O1879" s="1"/>
      <c r="P1879" s="11"/>
      <c r="Q1879" s="11"/>
      <c r="R1879" s="11"/>
      <c r="S1879" s="11"/>
      <c r="T1879" s="1"/>
      <c r="U1879" s="1"/>
      <c r="V1879" s="1"/>
      <c r="W1879" s="1"/>
      <c r="X1879" s="1"/>
      <c r="Y1879" s="1"/>
      <c r="Z1879" s="1"/>
    </row>
    <row r="1880" ht="18.0" hidden="1" customHeight="1" outlineLevel="2">
      <c r="A1880" s="1">
        <v>10.0</v>
      </c>
      <c r="B1880" s="1"/>
      <c r="C1880" s="1"/>
      <c r="D1880" s="1"/>
      <c r="E1880" s="14"/>
      <c r="F1880" s="15"/>
      <c r="G1880" s="16"/>
      <c r="H1880" s="11"/>
      <c r="I1880" s="7"/>
      <c r="J1880" s="7" t="str">
        <f>IFERROR(LET(_xlpm.v,
VLOOKUP($I1880,'用語辞書'!$A:$B,COLUMN('用語辞書'!B$1),FALSE),
IF(_xlpm.v=0,"",_xlpm.v)
),"")</f>
        <v/>
      </c>
      <c r="K1880" s="17"/>
      <c r="L1880" s="17" t="str">
        <f>IF(OR(COUNTIF('クラス'!$A$1:$A$1267,$B1880)&gt;0,$B1880="",$M1880=""),"",True)</f>
        <v/>
      </c>
      <c r="M1880" s="1" t="str">
        <f t="shared" si="27"/>
        <v>存在しない</v>
      </c>
      <c r="N1880" s="1" t="s">
        <v>29</v>
      </c>
      <c r="O1880" s="1"/>
      <c r="P1880" s="11"/>
      <c r="Q1880" s="11"/>
      <c r="R1880" s="11"/>
      <c r="S1880" s="11"/>
      <c r="T1880" s="1"/>
      <c r="U1880" s="1"/>
      <c r="V1880" s="1"/>
      <c r="W1880" s="1"/>
      <c r="X1880" s="1"/>
      <c r="Y1880" s="1"/>
      <c r="Z1880" s="1"/>
    </row>
    <row r="1881" ht="18.0" customHeight="1" outlineLevel="1" collapsed="1">
      <c r="A1881" s="1"/>
      <c r="B1881" s="1"/>
      <c r="C1881" s="1"/>
      <c r="D1881" s="1"/>
      <c r="E1881" s="14"/>
      <c r="F1881" s="15"/>
      <c r="G1881" s="16"/>
      <c r="H1881" s="11"/>
      <c r="I1881" s="7"/>
      <c r="J1881" s="7" t="str">
        <f>IFERROR(LET(_xlpm.v,
VLOOKUP($I1881,'用語辞書'!$A:$B,COLUMN('用語辞書'!B$1),FALSE),
IF(_xlpm.v=0,"",_xlpm.v)
),"")</f>
        <v/>
      </c>
      <c r="K1881" s="17"/>
      <c r="L1881" s="17" t="str">
        <f>IF(OR(COUNTIF('クラス'!$A$1:$A$1267,$B1881)&gt;0,$B1881="",$M1881=""),"",True)</f>
        <v/>
      </c>
      <c r="M1881" s="1" t="str">
        <f t="shared" si="27"/>
        <v>存在しない</v>
      </c>
      <c r="N1881" s="1" t="s">
        <v>29</v>
      </c>
      <c r="O1881" s="1"/>
      <c r="P1881" s="11"/>
      <c r="Q1881" s="11"/>
      <c r="R1881" s="11"/>
      <c r="S1881" s="11"/>
      <c r="T1881" s="1"/>
      <c r="U1881" s="1"/>
      <c r="V1881" s="1"/>
      <c r="W1881" s="1"/>
      <c r="X1881" s="1"/>
      <c r="Y1881" s="1"/>
      <c r="Z1881" s="1"/>
    </row>
    <row r="1882" ht="18.0" customHeight="1" outlineLevel="1">
      <c r="A1882" s="1"/>
      <c r="B1882" s="1"/>
      <c r="C1882" s="1"/>
      <c r="D1882" s="1"/>
      <c r="E1882" s="14"/>
      <c r="F1882" s="15"/>
      <c r="G1882" s="16"/>
      <c r="H1882" s="11"/>
      <c r="I1882" s="7"/>
      <c r="J1882" s="7" t="str">
        <f>IFERROR(LET(_xlpm.v,
VLOOKUP($I1882,'用語辞書'!$A:$B,COLUMN('用語辞書'!B$1),FALSE),
IF(_xlpm.v=0,"",_xlpm.v)
),"")</f>
        <v/>
      </c>
      <c r="K1882" s="17"/>
      <c r="L1882" s="17" t="str">
        <f>IF(OR(COUNTIF('クラス'!$A$1:$A$1267,$B1882)&gt;0,$B1882="",$M1882=""),"",True)</f>
        <v/>
      </c>
      <c r="M1882" s="1" t="str">
        <f t="shared" si="27"/>
        <v>存在しない</v>
      </c>
      <c r="N1882" s="1" t="s">
        <v>29</v>
      </c>
      <c r="O1882" s="1"/>
      <c r="P1882" s="11"/>
      <c r="Q1882" s="11"/>
      <c r="R1882" s="11"/>
      <c r="S1882" s="11"/>
      <c r="T1882" s="1"/>
      <c r="U1882" s="1"/>
      <c r="V1882" s="1"/>
      <c r="W1882" s="1"/>
      <c r="X1882" s="1"/>
      <c r="Y1882" s="1"/>
      <c r="Z1882" s="1"/>
    </row>
    <row r="1883" ht="18.0" customHeight="1" outlineLevel="1">
      <c r="A1883" s="1"/>
      <c r="B1883" s="26" t="s">
        <v>1987</v>
      </c>
      <c r="C1883" s="1"/>
      <c r="D1883" s="1"/>
      <c r="E1883" s="14"/>
      <c r="F1883" s="15"/>
      <c r="G1883" s="16"/>
      <c r="H1883" s="11"/>
      <c r="I1883" s="7"/>
      <c r="J1883" s="7" t="str">
        <f>IFERROR(LET(_xlpm.v,
VLOOKUP($I1883,'用語辞書'!$A:$B,COLUMN('用語辞書'!B$1),FALSE),
IF(_xlpm.v=0,"",_xlpm.v)
),"")</f>
        <v/>
      </c>
      <c r="K1883" s="17"/>
      <c r="L1883" s="17" t="str">
        <f>IF(OR(COUNTIF('クラス'!$A$1:$A$1267,$B1883)&gt;0,$B1883="",$M1883=""),"",True)</f>
        <v/>
      </c>
      <c r="M1883" s="1" t="str">
        <f t="shared" si="27"/>
        <v>存在しない</v>
      </c>
      <c r="N1883" s="1" t="s">
        <v>29</v>
      </c>
      <c r="O1883" s="1"/>
      <c r="P1883" s="11"/>
      <c r="Q1883" s="11"/>
      <c r="R1883" s="11"/>
      <c r="S1883" s="11"/>
      <c r="T1883" s="1"/>
      <c r="U1883" s="1"/>
      <c r="V1883" s="1"/>
      <c r="W1883" s="1"/>
      <c r="X1883" s="1"/>
      <c r="Y1883" s="1"/>
      <c r="Z1883" s="1"/>
    </row>
    <row r="1884" ht="18.0" hidden="1" customHeight="1" outlineLevel="2">
      <c r="A1884" s="1">
        <v>1.0</v>
      </c>
      <c r="B1884" s="26" t="s">
        <v>1966</v>
      </c>
      <c r="C1884" s="1"/>
      <c r="D1884" s="1"/>
      <c r="E1884" s="14"/>
      <c r="F1884" s="15"/>
      <c r="G1884" s="16"/>
      <c r="H1884" s="11"/>
      <c r="I1884" s="7"/>
      <c r="J1884" s="7" t="str">
        <f>IFERROR(LET(_xlpm.v,
VLOOKUP($I1884,'用語辞書'!$A:$B,COLUMN('用語辞書'!B$1),FALSE),
IF(_xlpm.v=0,"",_xlpm.v)
),"")</f>
        <v/>
      </c>
      <c r="K1884" s="17"/>
      <c r="L1884" s="17" t="str">
        <f>IF(OR(COUNTIF('クラス'!$A$1:$A$1267,$B1884)&gt;0,$B1884="",$M1884=""),"",True)</f>
        <v/>
      </c>
      <c r="M1884" s="1" t="str">
        <f t="shared" si="27"/>
        <v/>
      </c>
      <c r="N1884" s="1" t="s">
        <v>29</v>
      </c>
      <c r="O1884" s="1"/>
      <c r="P1884" s="11"/>
      <c r="Q1884" s="11"/>
      <c r="R1884" s="11"/>
      <c r="S1884" s="11"/>
      <c r="T1884" s="1"/>
      <c r="U1884" s="1"/>
      <c r="V1884" s="1"/>
      <c r="W1884" s="1"/>
      <c r="X1884" s="1"/>
      <c r="Y1884" s="1"/>
      <c r="Z1884" s="1"/>
    </row>
    <row r="1885" ht="18.0" hidden="1" customHeight="1" outlineLevel="2">
      <c r="A1885" s="1">
        <v>2.0</v>
      </c>
      <c r="B1885" s="26" t="s">
        <v>1968</v>
      </c>
      <c r="C1885" s="1"/>
      <c r="D1885" s="1"/>
      <c r="E1885" s="14"/>
      <c r="F1885" s="15"/>
      <c r="G1885" s="16"/>
      <c r="H1885" s="11"/>
      <c r="I1885" s="7"/>
      <c r="J1885" s="7" t="str">
        <f>IFERROR(LET(_xlpm.v,
VLOOKUP($I1885,'用語辞書'!$A:$B,COLUMN('用語辞書'!B$1),FALSE),
IF(_xlpm.v=0,"",_xlpm.v)
),"")</f>
        <v/>
      </c>
      <c r="K1885" s="17"/>
      <c r="L1885" s="17" t="str">
        <f>IF(OR(COUNTIF('クラス'!$A$1:$A$1267,$B1885)&gt;0,$B1885="",$M1885=""),"",True)</f>
        <v/>
      </c>
      <c r="M1885" s="1" t="str">
        <f t="shared" si="27"/>
        <v/>
      </c>
      <c r="N1885" s="1" t="s">
        <v>29</v>
      </c>
      <c r="O1885" s="1"/>
      <c r="P1885" s="11"/>
      <c r="Q1885" s="11"/>
      <c r="R1885" s="11"/>
      <c r="S1885" s="11"/>
      <c r="T1885" s="1"/>
      <c r="U1885" s="1"/>
      <c r="V1885" s="1"/>
      <c r="W1885" s="1"/>
      <c r="X1885" s="1"/>
      <c r="Y1885" s="1"/>
      <c r="Z1885" s="1"/>
    </row>
    <row r="1886" ht="18.0" hidden="1" customHeight="1" outlineLevel="2">
      <c r="A1886" s="1">
        <v>3.0</v>
      </c>
      <c r="B1886" s="26" t="s">
        <v>1970</v>
      </c>
      <c r="C1886" s="1"/>
      <c r="D1886" s="1"/>
      <c r="E1886" s="14"/>
      <c r="F1886" s="15"/>
      <c r="G1886" s="16"/>
      <c r="H1886" s="11"/>
      <c r="I1886" s="7"/>
      <c r="J1886" s="7" t="str">
        <f>IFERROR(LET(_xlpm.v,
VLOOKUP($I1886,'用語辞書'!$A:$B,COLUMN('用語辞書'!B$1),FALSE),
IF(_xlpm.v=0,"",_xlpm.v)
),"")</f>
        <v/>
      </c>
      <c r="K1886" s="17"/>
      <c r="L1886" s="17" t="str">
        <f>IF(OR(COUNTIF('クラス'!$A$1:$A$1267,$B1886)&gt;0,$B1886="",$M1886=""),"",True)</f>
        <v/>
      </c>
      <c r="M1886" s="1" t="str">
        <f t="shared" si="27"/>
        <v/>
      </c>
      <c r="N1886" s="1" t="s">
        <v>29</v>
      </c>
      <c r="O1886" s="1"/>
      <c r="P1886" s="11"/>
      <c r="Q1886" s="11"/>
      <c r="R1886" s="11"/>
      <c r="S1886" s="11"/>
      <c r="T1886" s="1"/>
      <c r="U1886" s="1"/>
      <c r="V1886" s="1"/>
      <c r="W1886" s="1"/>
      <c r="X1886" s="1"/>
      <c r="Y1886" s="1"/>
      <c r="Z1886" s="1"/>
    </row>
    <row r="1887" ht="18.0" hidden="1" customHeight="1" outlineLevel="2">
      <c r="A1887" s="1">
        <v>4.0</v>
      </c>
      <c r="B1887" s="1"/>
      <c r="C1887" s="1"/>
      <c r="D1887" s="1"/>
      <c r="E1887" s="14"/>
      <c r="F1887" s="15"/>
      <c r="G1887" s="16"/>
      <c r="H1887" s="11"/>
      <c r="I1887" s="7"/>
      <c r="J1887" s="7" t="str">
        <f>IFERROR(LET(_xlpm.v,
VLOOKUP($I1887,'用語辞書'!$A:$B,COLUMN('用語辞書'!B$1),FALSE),
IF(_xlpm.v=0,"",_xlpm.v)
),"")</f>
        <v/>
      </c>
      <c r="K1887" s="17"/>
      <c r="L1887" s="17" t="str">
        <f>IF(OR(COUNTIF('クラス'!$A$1:$A$1267,$B1887)&gt;0,$B1887="",$M1887=""),"",True)</f>
        <v/>
      </c>
      <c r="M1887" s="1" t="str">
        <f t="shared" si="27"/>
        <v>存在しない</v>
      </c>
      <c r="N1887" s="1" t="s">
        <v>29</v>
      </c>
      <c r="O1887" s="1"/>
      <c r="P1887" s="11"/>
      <c r="Q1887" s="11"/>
      <c r="R1887" s="11"/>
      <c r="S1887" s="11"/>
      <c r="T1887" s="1"/>
      <c r="U1887" s="1"/>
      <c r="V1887" s="1"/>
      <c r="W1887" s="1"/>
      <c r="X1887" s="1"/>
      <c r="Y1887" s="1"/>
      <c r="Z1887" s="1"/>
    </row>
    <row r="1888" ht="18.0" hidden="1" customHeight="1" outlineLevel="2">
      <c r="A1888" s="1">
        <v>5.0</v>
      </c>
      <c r="B1888" s="26" t="s">
        <v>1243</v>
      </c>
      <c r="C1888" s="1"/>
      <c r="D1888" s="1"/>
      <c r="E1888" s="14"/>
      <c r="F1888" s="15"/>
      <c r="G1888" s="16"/>
      <c r="H1888" s="11"/>
      <c r="I1888" s="7"/>
      <c r="J1888" s="7" t="str">
        <f>IFERROR(LET(_xlpm.v,
VLOOKUP($I1888,'用語辞書'!$A:$B,COLUMN('用語辞書'!B$1),FALSE),
IF(_xlpm.v=0,"",_xlpm.v)
),"")</f>
        <v/>
      </c>
      <c r="K1888" s="17"/>
      <c r="L1888" s="17" t="str">
        <f>IF(OR(COUNTIF('クラス'!$A$1:$A$1267,$B1888)&gt;0,$B1888="",$M1888=""),"",True)</f>
        <v/>
      </c>
      <c r="M1888" s="1" t="str">
        <f t="shared" si="27"/>
        <v/>
      </c>
      <c r="N1888" s="1" t="s">
        <v>29</v>
      </c>
      <c r="O1888" s="1"/>
      <c r="P1888" s="11"/>
      <c r="Q1888" s="11"/>
      <c r="R1888" s="11"/>
      <c r="S1888" s="11"/>
      <c r="T1888" s="1"/>
      <c r="U1888" s="1"/>
      <c r="V1888" s="1"/>
      <c r="W1888" s="1"/>
      <c r="X1888" s="1"/>
      <c r="Y1888" s="1"/>
      <c r="Z1888" s="1"/>
    </row>
    <row r="1889" ht="18.0" hidden="1" customHeight="1" outlineLevel="2">
      <c r="A1889" s="1">
        <v>6.0</v>
      </c>
      <c r="B1889" s="1"/>
      <c r="C1889" s="1"/>
      <c r="D1889" s="1"/>
      <c r="E1889" s="14"/>
      <c r="F1889" s="15"/>
      <c r="G1889" s="16"/>
      <c r="H1889" s="11"/>
      <c r="I1889" s="7"/>
      <c r="J1889" s="7" t="str">
        <f>IFERROR(LET(_xlpm.v,
VLOOKUP($I1889,'用語辞書'!$A:$B,COLUMN('用語辞書'!B$1),FALSE),
IF(_xlpm.v=0,"",_xlpm.v)
),"")</f>
        <v/>
      </c>
      <c r="K1889" s="17"/>
      <c r="L1889" s="17" t="str">
        <f>IF(OR(COUNTIF('クラス'!$A$1:$A$1267,$B1889)&gt;0,$B1889="",$M1889=""),"",True)</f>
        <v/>
      </c>
      <c r="M1889" s="1" t="str">
        <f t="shared" si="27"/>
        <v>存在しない</v>
      </c>
      <c r="N1889" s="1" t="s">
        <v>29</v>
      </c>
      <c r="O1889" s="1"/>
      <c r="P1889" s="11"/>
      <c r="Q1889" s="11"/>
      <c r="R1889" s="11"/>
      <c r="S1889" s="11"/>
      <c r="T1889" s="1"/>
      <c r="U1889" s="1"/>
      <c r="V1889" s="1"/>
      <c r="W1889" s="1"/>
      <c r="X1889" s="1"/>
      <c r="Y1889" s="1"/>
      <c r="Z1889" s="1"/>
    </row>
    <row r="1890" ht="18.0" hidden="1" customHeight="1" outlineLevel="2">
      <c r="A1890" s="1">
        <v>7.0</v>
      </c>
      <c r="B1890" s="26" t="s">
        <v>1972</v>
      </c>
      <c r="C1890" s="1"/>
      <c r="D1890" s="1"/>
      <c r="E1890" s="14"/>
      <c r="F1890" s="15"/>
      <c r="G1890" s="16"/>
      <c r="H1890" s="11"/>
      <c r="I1890" s="7"/>
      <c r="J1890" s="7" t="str">
        <f>IFERROR(LET(_xlpm.v,
VLOOKUP($I1890,'用語辞書'!$A:$B,COLUMN('用語辞書'!B$1),FALSE),
IF(_xlpm.v=0,"",_xlpm.v)
),"")</f>
        <v/>
      </c>
      <c r="K1890" s="17"/>
      <c r="L1890" s="17" t="str">
        <f>IF(OR(COUNTIF('クラス'!$A$1:$A$1267,$B1890)&gt;0,$B1890="",$M1890=""),"",True)</f>
        <v/>
      </c>
      <c r="M1890" s="1" t="str">
        <f t="shared" si="27"/>
        <v/>
      </c>
      <c r="N1890" s="1" t="s">
        <v>29</v>
      </c>
      <c r="O1890" s="1"/>
      <c r="P1890" s="11"/>
      <c r="Q1890" s="11"/>
      <c r="R1890" s="11"/>
      <c r="S1890" s="11"/>
      <c r="T1890" s="1"/>
      <c r="U1890" s="1"/>
      <c r="V1890" s="1"/>
      <c r="W1890" s="1"/>
      <c r="X1890" s="1"/>
      <c r="Y1890" s="1"/>
      <c r="Z1890" s="1"/>
    </row>
    <row r="1891" ht="18.0" hidden="1" customHeight="1" outlineLevel="2">
      <c r="A1891" s="1">
        <v>8.0</v>
      </c>
      <c r="B1891" s="1"/>
      <c r="C1891" s="1"/>
      <c r="D1891" s="1"/>
      <c r="E1891" s="14"/>
      <c r="F1891" s="15"/>
      <c r="G1891" s="16"/>
      <c r="H1891" s="11"/>
      <c r="I1891" s="7"/>
      <c r="J1891" s="7" t="str">
        <f>IFERROR(LET(_xlpm.v,
VLOOKUP($I1891,'用語辞書'!$A:$B,COLUMN('用語辞書'!B$1),FALSE),
IF(_xlpm.v=0,"",_xlpm.v)
),"")</f>
        <v/>
      </c>
      <c r="K1891" s="17"/>
      <c r="L1891" s="17" t="str">
        <f>IF(OR(COUNTIF('クラス'!$A$1:$A$1267,$B1891)&gt;0,$B1891="",$M1891=""),"",True)</f>
        <v/>
      </c>
      <c r="M1891" s="1" t="str">
        <f t="shared" si="27"/>
        <v>存在しない</v>
      </c>
      <c r="N1891" s="1" t="s">
        <v>29</v>
      </c>
      <c r="O1891" s="1"/>
      <c r="P1891" s="11"/>
      <c r="Q1891" s="11"/>
      <c r="R1891" s="11"/>
      <c r="S1891" s="11"/>
      <c r="T1891" s="1"/>
      <c r="U1891" s="1"/>
      <c r="V1891" s="1"/>
      <c r="W1891" s="1"/>
      <c r="X1891" s="1"/>
      <c r="Y1891" s="1"/>
      <c r="Z1891" s="1"/>
    </row>
    <row r="1892" ht="18.0" hidden="1" customHeight="1" outlineLevel="2">
      <c r="A1892" s="1">
        <v>9.0</v>
      </c>
      <c r="B1892" s="26" t="s">
        <v>1603</v>
      </c>
      <c r="C1892" s="1"/>
      <c r="D1892" s="1"/>
      <c r="E1892" s="14"/>
      <c r="F1892" s="15"/>
      <c r="G1892" s="16"/>
      <c r="H1892" s="11"/>
      <c r="I1892" s="7"/>
      <c r="J1892" s="7" t="str">
        <f>IFERROR(LET(_xlpm.v,
VLOOKUP($I1892,'用語辞書'!$A:$B,COLUMN('用語辞書'!B$1),FALSE),
IF(_xlpm.v=0,"",_xlpm.v)
),"")</f>
        <v/>
      </c>
      <c r="K1892" s="17"/>
      <c r="L1892" s="17" t="str">
        <f>IF(OR(COUNTIF('クラス'!$A$1:$A$1267,$B1892)&gt;0,$B1892="",$M1892=""),"",True)</f>
        <v/>
      </c>
      <c r="M1892" s="1" t="str">
        <f t="shared" si="27"/>
        <v/>
      </c>
      <c r="N1892" s="1" t="s">
        <v>29</v>
      </c>
      <c r="O1892" s="1"/>
      <c r="P1892" s="11"/>
      <c r="Q1892" s="11"/>
      <c r="R1892" s="11"/>
      <c r="S1892" s="11"/>
      <c r="T1892" s="1"/>
      <c r="U1892" s="1"/>
      <c r="V1892" s="1"/>
      <c r="W1892" s="1"/>
      <c r="X1892" s="1"/>
      <c r="Y1892" s="1"/>
      <c r="Z1892" s="1"/>
    </row>
    <row r="1893" ht="18.0" hidden="1" customHeight="1" outlineLevel="2">
      <c r="A1893" s="1">
        <v>10.0</v>
      </c>
      <c r="B1893" s="1"/>
      <c r="C1893" s="1"/>
      <c r="D1893" s="1"/>
      <c r="E1893" s="14"/>
      <c r="F1893" s="15"/>
      <c r="G1893" s="16"/>
      <c r="H1893" s="11"/>
      <c r="I1893" s="7"/>
      <c r="J1893" s="7" t="str">
        <f>IFERROR(LET(_xlpm.v,
VLOOKUP($I1893,'用語辞書'!$A:$B,COLUMN('用語辞書'!B$1),FALSE),
IF(_xlpm.v=0,"",_xlpm.v)
),"")</f>
        <v/>
      </c>
      <c r="K1893" s="17"/>
      <c r="L1893" s="17" t="str">
        <f>IF(OR(COUNTIF('クラス'!$A$1:$A$1267,$B1893)&gt;0,$B1893="",$M1893=""),"",True)</f>
        <v/>
      </c>
      <c r="M1893" s="1" t="str">
        <f t="shared" si="27"/>
        <v>存在しない</v>
      </c>
      <c r="N1893" s="1" t="s">
        <v>29</v>
      </c>
      <c r="O1893" s="1"/>
      <c r="P1893" s="11"/>
      <c r="Q1893" s="11"/>
      <c r="R1893" s="11"/>
      <c r="S1893" s="11"/>
      <c r="T1893" s="1"/>
      <c r="U1893" s="1"/>
      <c r="V1893" s="1"/>
      <c r="W1893" s="1"/>
      <c r="X1893" s="1"/>
      <c r="Y1893" s="1"/>
      <c r="Z1893" s="1"/>
    </row>
    <row r="1894" ht="18.0" customHeight="1" outlineLevel="1" collapsed="1">
      <c r="A1894" s="1"/>
      <c r="B1894" s="1"/>
      <c r="C1894" s="1"/>
      <c r="D1894" s="1"/>
      <c r="E1894" s="14"/>
      <c r="F1894" s="15"/>
      <c r="G1894" s="16"/>
      <c r="H1894" s="11"/>
      <c r="I1894" s="7"/>
      <c r="J1894" s="7" t="str">
        <f>IFERROR(LET(_xlpm.v,
VLOOKUP($I1894,'用語辞書'!$A:$B,COLUMN('用語辞書'!B$1),FALSE),
IF(_xlpm.v=0,"",_xlpm.v)
),"")</f>
        <v/>
      </c>
      <c r="K1894" s="17"/>
      <c r="L1894" s="17" t="str">
        <f>IF(OR(COUNTIF('クラス'!$A$1:$A$1267,$B1894)&gt;0,$B1894="",$M1894=""),"",True)</f>
        <v/>
      </c>
      <c r="M1894" s="1" t="str">
        <f t="shared" si="27"/>
        <v>存在しない</v>
      </c>
      <c r="N1894" s="1" t="s">
        <v>29</v>
      </c>
      <c r="O1894" s="1"/>
      <c r="P1894" s="11"/>
      <c r="Q1894" s="11"/>
      <c r="R1894" s="11"/>
      <c r="S1894" s="11"/>
      <c r="T1894" s="1"/>
      <c r="U1894" s="1"/>
      <c r="V1894" s="1"/>
      <c r="W1894" s="1"/>
      <c r="X1894" s="1"/>
      <c r="Y1894" s="1"/>
      <c r="Z1894" s="1"/>
    </row>
    <row r="1895" ht="18.0" customHeight="1" outlineLevel="1">
      <c r="A1895" s="1"/>
      <c r="B1895" s="1"/>
      <c r="C1895" s="1"/>
      <c r="D1895" s="1"/>
      <c r="E1895" s="14"/>
      <c r="F1895" s="15"/>
      <c r="G1895" s="16"/>
      <c r="H1895" s="11"/>
      <c r="I1895" s="7"/>
      <c r="J1895" s="7" t="str">
        <f>IFERROR(LET(_xlpm.v,
VLOOKUP($I1895,'用語辞書'!$A:$B,COLUMN('用語辞書'!B$1),FALSE),
IF(_xlpm.v=0,"",_xlpm.v)
),"")</f>
        <v/>
      </c>
      <c r="K1895" s="17"/>
      <c r="L1895" s="17" t="str">
        <f>IF(OR(COUNTIF('クラス'!$A$1:$A$1267,$B1895)&gt;0,$B1895="",$M1895=""),"",True)</f>
        <v/>
      </c>
      <c r="M1895" s="1" t="str">
        <f t="shared" si="27"/>
        <v>存在しない</v>
      </c>
      <c r="N1895" s="1" t="s">
        <v>29</v>
      </c>
      <c r="O1895" s="1"/>
      <c r="P1895" s="11"/>
      <c r="Q1895" s="11"/>
      <c r="R1895" s="11"/>
      <c r="S1895" s="11"/>
      <c r="T1895" s="1"/>
      <c r="U1895" s="1"/>
      <c r="V1895" s="1"/>
      <c r="W1895" s="1"/>
      <c r="X1895" s="1"/>
      <c r="Y1895" s="1"/>
      <c r="Z1895" s="1"/>
    </row>
    <row r="1896" ht="18.0" customHeight="1" outlineLevel="1">
      <c r="A1896" s="1"/>
      <c r="B1896" s="26" t="s">
        <v>1988</v>
      </c>
      <c r="C1896" s="1"/>
      <c r="D1896" s="1"/>
      <c r="E1896" s="14"/>
      <c r="F1896" s="15"/>
      <c r="G1896" s="16"/>
      <c r="H1896" s="11"/>
      <c r="I1896" s="7"/>
      <c r="J1896" s="7" t="str">
        <f>IFERROR(LET(_xlpm.v,
VLOOKUP($I1896,'用語辞書'!$A:$B,COLUMN('用語辞書'!B$1),FALSE),
IF(_xlpm.v=0,"",_xlpm.v)
),"")</f>
        <v/>
      </c>
      <c r="K1896" s="17"/>
      <c r="L1896" s="17" t="str">
        <f>IF(OR(COUNTIF('クラス'!$A$1:$A$1267,$B1896)&gt;0,$B1896="",$M1896=""),"",True)</f>
        <v/>
      </c>
      <c r="M1896" s="1" t="str">
        <f t="shared" si="27"/>
        <v>存在しない</v>
      </c>
      <c r="N1896" s="1" t="s">
        <v>29</v>
      </c>
      <c r="O1896" s="1"/>
      <c r="P1896" s="11"/>
      <c r="Q1896" s="11"/>
      <c r="R1896" s="11"/>
      <c r="S1896" s="11"/>
      <c r="T1896" s="1"/>
      <c r="U1896" s="1"/>
      <c r="V1896" s="1"/>
      <c r="W1896" s="1"/>
      <c r="X1896" s="1"/>
      <c r="Y1896" s="1"/>
      <c r="Z1896" s="1"/>
    </row>
    <row r="1897" ht="18.0" hidden="1" customHeight="1" outlineLevel="2">
      <c r="A1897" s="1">
        <v>1.0</v>
      </c>
      <c r="B1897" s="26" t="s">
        <v>1966</v>
      </c>
      <c r="C1897" s="1"/>
      <c r="D1897" s="1"/>
      <c r="E1897" s="14"/>
      <c r="F1897" s="15"/>
      <c r="G1897" s="16"/>
      <c r="H1897" s="11"/>
      <c r="I1897" s="7"/>
      <c r="J1897" s="7" t="str">
        <f>IFERROR(LET(_xlpm.v,
VLOOKUP($I1897,'用語辞書'!$A:$B,COLUMN('用語辞書'!B$1),FALSE),
IF(_xlpm.v=0,"",_xlpm.v)
),"")</f>
        <v/>
      </c>
      <c r="K1897" s="17"/>
      <c r="L1897" s="17" t="str">
        <f>IF(OR(COUNTIF('クラス'!$A$1:$A$1267,$B1897)&gt;0,$B1897="",$M1897=""),"",True)</f>
        <v/>
      </c>
      <c r="M1897" s="1" t="str">
        <f t="shared" si="27"/>
        <v/>
      </c>
      <c r="N1897" s="1" t="s">
        <v>29</v>
      </c>
      <c r="O1897" s="1"/>
      <c r="P1897" s="11"/>
      <c r="Q1897" s="11"/>
      <c r="R1897" s="11"/>
      <c r="S1897" s="11"/>
      <c r="T1897" s="1"/>
      <c r="U1897" s="1"/>
      <c r="V1897" s="1"/>
      <c r="W1897" s="1"/>
      <c r="X1897" s="1"/>
      <c r="Y1897" s="1"/>
      <c r="Z1897" s="1"/>
    </row>
    <row r="1898" ht="18.0" hidden="1" customHeight="1" outlineLevel="2">
      <c r="A1898" s="1">
        <v>2.0</v>
      </c>
      <c r="B1898" s="26" t="s">
        <v>1968</v>
      </c>
      <c r="C1898" s="1"/>
      <c r="D1898" s="1"/>
      <c r="E1898" s="14"/>
      <c r="F1898" s="15"/>
      <c r="G1898" s="16"/>
      <c r="H1898" s="11"/>
      <c r="I1898" s="7"/>
      <c r="J1898" s="7" t="str">
        <f>IFERROR(LET(_xlpm.v,
VLOOKUP($I1898,'用語辞書'!$A:$B,COLUMN('用語辞書'!B$1),FALSE),
IF(_xlpm.v=0,"",_xlpm.v)
),"")</f>
        <v/>
      </c>
      <c r="K1898" s="17"/>
      <c r="L1898" s="17" t="str">
        <f>IF(OR(COUNTIF('クラス'!$A$1:$A$1267,$B1898)&gt;0,$B1898="",$M1898=""),"",True)</f>
        <v/>
      </c>
      <c r="M1898" s="1" t="str">
        <f t="shared" si="27"/>
        <v/>
      </c>
      <c r="N1898" s="1" t="s">
        <v>29</v>
      </c>
      <c r="O1898" s="1"/>
      <c r="P1898" s="11"/>
      <c r="Q1898" s="11"/>
      <c r="R1898" s="11"/>
      <c r="S1898" s="11"/>
      <c r="T1898" s="1"/>
      <c r="U1898" s="1"/>
      <c r="V1898" s="1"/>
      <c r="W1898" s="1"/>
      <c r="X1898" s="1"/>
      <c r="Y1898" s="1"/>
      <c r="Z1898" s="1"/>
    </row>
    <row r="1899" ht="18.0" hidden="1" customHeight="1" outlineLevel="2">
      <c r="A1899" s="1">
        <v>3.0</v>
      </c>
      <c r="B1899" s="26" t="s">
        <v>1970</v>
      </c>
      <c r="C1899" s="1"/>
      <c r="D1899" s="1"/>
      <c r="E1899" s="14"/>
      <c r="F1899" s="15"/>
      <c r="G1899" s="16"/>
      <c r="H1899" s="11"/>
      <c r="I1899" s="7"/>
      <c r="J1899" s="7" t="str">
        <f>IFERROR(LET(_xlpm.v,
VLOOKUP($I1899,'用語辞書'!$A:$B,COLUMN('用語辞書'!B$1),FALSE),
IF(_xlpm.v=0,"",_xlpm.v)
),"")</f>
        <v/>
      </c>
      <c r="K1899" s="17"/>
      <c r="L1899" s="17" t="str">
        <f>IF(OR(COUNTIF('クラス'!$A$1:$A$1267,$B1899)&gt;0,$B1899="",$M1899=""),"",True)</f>
        <v/>
      </c>
      <c r="M1899" s="1" t="str">
        <f t="shared" si="27"/>
        <v/>
      </c>
      <c r="N1899" s="1" t="s">
        <v>29</v>
      </c>
      <c r="O1899" s="1"/>
      <c r="P1899" s="11"/>
      <c r="Q1899" s="11"/>
      <c r="R1899" s="11"/>
      <c r="S1899" s="11"/>
      <c r="T1899" s="1"/>
      <c r="U1899" s="1"/>
      <c r="V1899" s="1"/>
      <c r="W1899" s="1"/>
      <c r="X1899" s="1"/>
      <c r="Y1899" s="1"/>
      <c r="Z1899" s="1"/>
    </row>
    <row r="1900" ht="18.0" hidden="1" customHeight="1" outlineLevel="2">
      <c r="A1900" s="1">
        <v>4.0</v>
      </c>
      <c r="B1900" s="1"/>
      <c r="C1900" s="1"/>
      <c r="D1900" s="1"/>
      <c r="E1900" s="14"/>
      <c r="F1900" s="15"/>
      <c r="G1900" s="16"/>
      <c r="H1900" s="11"/>
      <c r="I1900" s="7"/>
      <c r="J1900" s="7" t="str">
        <f>IFERROR(LET(_xlpm.v,
VLOOKUP($I1900,'用語辞書'!$A:$B,COLUMN('用語辞書'!B$1),FALSE),
IF(_xlpm.v=0,"",_xlpm.v)
),"")</f>
        <v/>
      </c>
      <c r="K1900" s="17"/>
      <c r="L1900" s="17" t="str">
        <f>IF(OR(COUNTIF('クラス'!$A$1:$A$1267,$B1900)&gt;0,$B1900="",$M1900=""),"",True)</f>
        <v/>
      </c>
      <c r="M1900" s="1" t="str">
        <f t="shared" si="27"/>
        <v>存在しない</v>
      </c>
      <c r="N1900" s="1" t="s">
        <v>29</v>
      </c>
      <c r="O1900" s="1"/>
      <c r="P1900" s="11"/>
      <c r="Q1900" s="11"/>
      <c r="R1900" s="11"/>
      <c r="S1900" s="11"/>
      <c r="T1900" s="1"/>
      <c r="U1900" s="1"/>
      <c r="V1900" s="1"/>
      <c r="W1900" s="1"/>
      <c r="X1900" s="1"/>
      <c r="Y1900" s="1"/>
      <c r="Z1900" s="1"/>
    </row>
    <row r="1901" ht="18.0" hidden="1" customHeight="1" outlineLevel="2">
      <c r="A1901" s="1">
        <v>5.0</v>
      </c>
      <c r="B1901" s="26" t="s">
        <v>1243</v>
      </c>
      <c r="C1901" s="1"/>
      <c r="D1901" s="1"/>
      <c r="E1901" s="14"/>
      <c r="F1901" s="15"/>
      <c r="G1901" s="16"/>
      <c r="H1901" s="11"/>
      <c r="I1901" s="7"/>
      <c r="J1901" s="7" t="str">
        <f>IFERROR(LET(_xlpm.v,
VLOOKUP($I1901,'用語辞書'!$A:$B,COLUMN('用語辞書'!B$1),FALSE),
IF(_xlpm.v=0,"",_xlpm.v)
),"")</f>
        <v/>
      </c>
      <c r="K1901" s="17"/>
      <c r="L1901" s="17" t="str">
        <f>IF(OR(COUNTIF('クラス'!$A$1:$A$1267,$B1901)&gt;0,$B1901="",$M1901=""),"",True)</f>
        <v/>
      </c>
      <c r="M1901" s="1" t="str">
        <f t="shared" si="27"/>
        <v/>
      </c>
      <c r="N1901" s="1" t="s">
        <v>29</v>
      </c>
      <c r="O1901" s="1"/>
      <c r="P1901" s="11"/>
      <c r="Q1901" s="11"/>
      <c r="R1901" s="11"/>
      <c r="S1901" s="11"/>
      <c r="T1901" s="1"/>
      <c r="U1901" s="1"/>
      <c r="V1901" s="1"/>
      <c r="W1901" s="1"/>
      <c r="X1901" s="1"/>
      <c r="Y1901" s="1"/>
      <c r="Z1901" s="1"/>
    </row>
    <row r="1902" ht="18.0" hidden="1" customHeight="1" outlineLevel="2">
      <c r="A1902" s="1">
        <v>6.0</v>
      </c>
      <c r="B1902" s="1"/>
      <c r="C1902" s="1"/>
      <c r="D1902" s="1"/>
      <c r="E1902" s="14"/>
      <c r="F1902" s="15"/>
      <c r="G1902" s="16"/>
      <c r="H1902" s="11"/>
      <c r="I1902" s="7"/>
      <c r="J1902" s="7" t="str">
        <f>IFERROR(LET(_xlpm.v,
VLOOKUP($I1902,'用語辞書'!$A:$B,COLUMN('用語辞書'!B$1),FALSE),
IF(_xlpm.v=0,"",_xlpm.v)
),"")</f>
        <v/>
      </c>
      <c r="K1902" s="17"/>
      <c r="L1902" s="17" t="str">
        <f>IF(OR(COUNTIF('クラス'!$A$1:$A$1267,$B1902)&gt;0,$B1902="",$M1902=""),"",True)</f>
        <v/>
      </c>
      <c r="M1902" s="1" t="str">
        <f t="shared" si="27"/>
        <v>存在しない</v>
      </c>
      <c r="N1902" s="1" t="s">
        <v>29</v>
      </c>
      <c r="O1902" s="1"/>
      <c r="P1902" s="11"/>
      <c r="Q1902" s="11"/>
      <c r="R1902" s="11"/>
      <c r="S1902" s="11"/>
      <c r="T1902" s="1"/>
      <c r="U1902" s="1"/>
      <c r="V1902" s="1"/>
      <c r="W1902" s="1"/>
      <c r="X1902" s="1"/>
      <c r="Y1902" s="1"/>
      <c r="Z1902" s="1"/>
    </row>
    <row r="1903" ht="18.0" hidden="1" customHeight="1" outlineLevel="2">
      <c r="A1903" s="1">
        <v>7.0</v>
      </c>
      <c r="B1903" s="26" t="s">
        <v>1972</v>
      </c>
      <c r="C1903" s="1"/>
      <c r="D1903" s="1"/>
      <c r="E1903" s="14"/>
      <c r="F1903" s="15"/>
      <c r="G1903" s="16"/>
      <c r="H1903" s="11"/>
      <c r="I1903" s="7"/>
      <c r="J1903" s="7" t="str">
        <f>IFERROR(LET(_xlpm.v,
VLOOKUP($I1903,'用語辞書'!$A:$B,COLUMN('用語辞書'!B$1),FALSE),
IF(_xlpm.v=0,"",_xlpm.v)
),"")</f>
        <v/>
      </c>
      <c r="K1903" s="17"/>
      <c r="L1903" s="17" t="str">
        <f>IF(OR(COUNTIF('クラス'!$A$1:$A$1267,$B1903)&gt;0,$B1903="",$M1903=""),"",True)</f>
        <v/>
      </c>
      <c r="M1903" s="1" t="str">
        <f t="shared" si="27"/>
        <v/>
      </c>
      <c r="N1903" s="1" t="s">
        <v>29</v>
      </c>
      <c r="O1903" s="1"/>
      <c r="P1903" s="11"/>
      <c r="Q1903" s="11"/>
      <c r="R1903" s="11"/>
      <c r="S1903" s="11"/>
      <c r="T1903" s="1"/>
      <c r="U1903" s="1"/>
      <c r="V1903" s="1"/>
      <c r="W1903" s="1"/>
      <c r="X1903" s="1"/>
      <c r="Y1903" s="1"/>
      <c r="Z1903" s="1"/>
    </row>
    <row r="1904" ht="18.0" hidden="1" customHeight="1" outlineLevel="2">
      <c r="A1904" s="1">
        <v>8.0</v>
      </c>
      <c r="B1904" s="1"/>
      <c r="C1904" s="1"/>
      <c r="D1904" s="1"/>
      <c r="E1904" s="14"/>
      <c r="F1904" s="15"/>
      <c r="G1904" s="16"/>
      <c r="H1904" s="11"/>
      <c r="I1904" s="7"/>
      <c r="J1904" s="7" t="str">
        <f>IFERROR(LET(_xlpm.v,
VLOOKUP($I1904,'用語辞書'!$A:$B,COLUMN('用語辞書'!B$1),FALSE),
IF(_xlpm.v=0,"",_xlpm.v)
),"")</f>
        <v/>
      </c>
      <c r="K1904" s="17"/>
      <c r="L1904" s="17" t="str">
        <f>IF(OR(COUNTIF('クラス'!$A$1:$A$1267,$B1904)&gt;0,$B1904="",$M1904=""),"",True)</f>
        <v/>
      </c>
      <c r="M1904" s="1" t="str">
        <f t="shared" si="27"/>
        <v>存在しない</v>
      </c>
      <c r="N1904" s="1" t="s">
        <v>29</v>
      </c>
      <c r="O1904" s="1"/>
      <c r="P1904" s="11"/>
      <c r="Q1904" s="11"/>
      <c r="R1904" s="11"/>
      <c r="S1904" s="11"/>
      <c r="T1904" s="1"/>
      <c r="U1904" s="1"/>
      <c r="V1904" s="1"/>
      <c r="W1904" s="1"/>
      <c r="X1904" s="1"/>
      <c r="Y1904" s="1"/>
      <c r="Z1904" s="1"/>
    </row>
    <row r="1905" ht="18.0" hidden="1" customHeight="1" outlineLevel="2">
      <c r="A1905" s="1">
        <v>9.0</v>
      </c>
      <c r="B1905" s="26" t="s">
        <v>1932</v>
      </c>
      <c r="C1905" s="1"/>
      <c r="D1905" s="1"/>
      <c r="E1905" s="14"/>
      <c r="F1905" s="15"/>
      <c r="G1905" s="16"/>
      <c r="H1905" s="11"/>
      <c r="I1905" s="7"/>
      <c r="J1905" s="7" t="str">
        <f>IFERROR(LET(_xlpm.v,
VLOOKUP($I1905,'用語辞書'!$A:$B,COLUMN('用語辞書'!B$1),FALSE),
IF(_xlpm.v=0,"",_xlpm.v)
),"")</f>
        <v/>
      </c>
      <c r="K1905" s="17"/>
      <c r="L1905" s="17" t="str">
        <f>IF(OR(COUNTIF('クラス'!$A$1:$A$1267,$B1905)&gt;0,$B1905="",$M1905=""),"",True)</f>
        <v/>
      </c>
      <c r="M1905" s="1" t="str">
        <f t="shared" si="27"/>
        <v/>
      </c>
      <c r="N1905" s="1" t="s">
        <v>29</v>
      </c>
      <c r="O1905" s="1"/>
      <c r="P1905" s="11"/>
      <c r="Q1905" s="11"/>
      <c r="R1905" s="11"/>
      <c r="S1905" s="11"/>
      <c r="T1905" s="1"/>
      <c r="U1905" s="1"/>
      <c r="V1905" s="1"/>
      <c r="W1905" s="1"/>
      <c r="X1905" s="1"/>
      <c r="Y1905" s="1"/>
      <c r="Z1905" s="1"/>
    </row>
    <row r="1906" ht="18.0" hidden="1" customHeight="1" outlineLevel="2">
      <c r="A1906" s="1">
        <v>10.0</v>
      </c>
      <c r="B1906" s="1"/>
      <c r="C1906" s="1"/>
      <c r="D1906" s="1"/>
      <c r="E1906" s="14"/>
      <c r="F1906" s="15"/>
      <c r="G1906" s="16"/>
      <c r="H1906" s="11"/>
      <c r="I1906" s="7"/>
      <c r="J1906" s="7" t="str">
        <f>IFERROR(LET(_xlpm.v,
VLOOKUP($I1906,'用語辞書'!$A:$B,COLUMN('用語辞書'!B$1),FALSE),
IF(_xlpm.v=0,"",_xlpm.v)
),"")</f>
        <v/>
      </c>
      <c r="K1906" s="17"/>
      <c r="L1906" s="17" t="str">
        <f>IF(OR(COUNTIF('クラス'!$A$1:$A$1267,$B1906)&gt;0,$B1906="",$M1906=""),"",True)</f>
        <v/>
      </c>
      <c r="M1906" s="1" t="str">
        <f t="shared" si="27"/>
        <v>存在しない</v>
      </c>
      <c r="N1906" s="1" t="s">
        <v>29</v>
      </c>
      <c r="O1906" s="1"/>
      <c r="P1906" s="11"/>
      <c r="Q1906" s="11"/>
      <c r="R1906" s="11"/>
      <c r="S1906" s="11"/>
      <c r="T1906" s="1"/>
      <c r="U1906" s="1"/>
      <c r="V1906" s="1"/>
      <c r="W1906" s="1"/>
      <c r="X1906" s="1"/>
      <c r="Y1906" s="1"/>
      <c r="Z1906" s="1"/>
    </row>
    <row r="1907" ht="18.0" customHeight="1" collapsed="1">
      <c r="A1907" s="1"/>
      <c r="B1907" s="1"/>
      <c r="C1907" s="26" t="s">
        <v>1989</v>
      </c>
      <c r="D1907" s="1"/>
      <c r="E1907" s="14"/>
      <c r="F1907" s="15"/>
      <c r="G1907" s="16"/>
      <c r="H1907" s="11"/>
      <c r="I1907" s="7"/>
      <c r="J1907" s="7" t="str">
        <f>IFERROR(LET(_xlpm.v,
VLOOKUP($I1907,'用語辞書'!$A:$B,COLUMN('用語辞書'!B$1),FALSE),
IF(_xlpm.v=0,"",_xlpm.v)
),"")</f>
        <v/>
      </c>
      <c r="K1907" s="17"/>
      <c r="L1907" s="17" t="str">
        <f>IF(OR(COUNTIF('クラス'!$A$1:$A$1267,$B1907)&gt;0,$B1907="",$M1907=""),"",True)</f>
        <v/>
      </c>
      <c r="M1907" s="1" t="str">
        <f t="shared" si="27"/>
        <v>存在しない</v>
      </c>
      <c r="N1907" s="1" t="s">
        <v>29</v>
      </c>
      <c r="O1907" s="1"/>
      <c r="P1907" s="11"/>
      <c r="Q1907" s="11"/>
      <c r="R1907" s="11"/>
      <c r="S1907" s="11"/>
      <c r="T1907" s="1"/>
      <c r="U1907" s="1"/>
      <c r="V1907" s="1"/>
      <c r="W1907" s="1"/>
      <c r="X1907" s="1"/>
      <c r="Y1907" s="1"/>
      <c r="Z1907" s="1"/>
    </row>
    <row r="1908" ht="18.0" customHeight="1">
      <c r="A1908" s="1"/>
      <c r="B1908" s="26" t="s">
        <v>1990</v>
      </c>
      <c r="C1908" s="1"/>
      <c r="D1908" s="1"/>
      <c r="E1908" s="14"/>
      <c r="F1908" s="15"/>
      <c r="G1908" s="16"/>
      <c r="H1908" s="11"/>
      <c r="I1908" s="7"/>
      <c r="J1908" s="7" t="str">
        <f>IFERROR(LET(_xlpm.v,
VLOOKUP($I1908,'用語辞書'!$A:$B,COLUMN('用語辞書'!B$1),FALSE),
IF(_xlpm.v=0,"",_xlpm.v)
),"")</f>
        <v/>
      </c>
      <c r="K1908" s="17"/>
      <c r="L1908" s="17" t="str">
        <f>IF(OR(COUNTIF('クラス'!$A$1:$A$1267,$B1908)&gt;0,$B1908="",$M1908=""),"",True)</f>
        <v/>
      </c>
      <c r="M1908" s="1" t="str">
        <f t="shared" si="27"/>
        <v>存在しない</v>
      </c>
      <c r="N1908" s="1" t="s">
        <v>29</v>
      </c>
      <c r="O1908" s="1"/>
      <c r="P1908" s="11"/>
      <c r="Q1908" s="11"/>
      <c r="R1908" s="11"/>
      <c r="S1908" s="11"/>
      <c r="T1908" s="1"/>
      <c r="U1908" s="1"/>
      <c r="V1908" s="1"/>
      <c r="W1908" s="1"/>
      <c r="X1908" s="1"/>
      <c r="Y1908" s="1"/>
      <c r="Z1908" s="1"/>
    </row>
    <row r="1909" ht="18.0" customHeight="1" outlineLevel="1">
      <c r="A1909" s="1">
        <v>1.0</v>
      </c>
      <c r="B1909" s="26" t="s">
        <v>1991</v>
      </c>
      <c r="C1909" s="1"/>
      <c r="D1909" s="1"/>
      <c r="E1909" s="29" t="s">
        <v>33</v>
      </c>
      <c r="F1909" s="15"/>
      <c r="G1909" s="30">
        <v>60.0</v>
      </c>
      <c r="H1909" s="22" t="s">
        <v>1992</v>
      </c>
      <c r="I1909" s="7"/>
      <c r="J1909" s="7" t="str">
        <f>IFERROR(LET(_xlpm.v,
VLOOKUP($I1909,'用語辞書'!$A:$B,COLUMN('用語辞書'!B$1),FALSE),
IF(_xlpm.v=0,"",_xlpm.v)
),"")</f>
        <v/>
      </c>
      <c r="K1909" s="17"/>
      <c r="L1909" s="17" t="b">
        <f>IF(OR(COUNTIF('クラス'!$A$1:$A$1267,$B1909)&gt;0,$B1909="",$M1909=""),"",True)</f>
        <v>1</v>
      </c>
      <c r="M1909" s="1" t="str">
        <f t="shared" si="27"/>
        <v>存在しない</v>
      </c>
      <c r="N1909" s="1" t="s">
        <v>29</v>
      </c>
      <c r="O1909" s="1"/>
      <c r="P1909" s="11"/>
      <c r="Q1909" s="11"/>
      <c r="R1909" s="11"/>
      <c r="S1909" s="11"/>
      <c r="T1909" s="1"/>
      <c r="U1909" s="1"/>
      <c r="V1909" s="1"/>
      <c r="W1909" s="1"/>
      <c r="X1909" s="1"/>
      <c r="Y1909" s="1"/>
      <c r="Z1909" s="1"/>
    </row>
    <row r="1910" ht="18.0" customHeight="1" outlineLevel="1">
      <c r="A1910" s="1">
        <v>2.0</v>
      </c>
      <c r="B1910" s="1"/>
      <c r="C1910" s="1"/>
      <c r="D1910" s="1"/>
      <c r="E1910" s="14"/>
      <c r="F1910" s="15"/>
      <c r="G1910" s="16"/>
      <c r="H1910" s="11"/>
      <c r="I1910" s="7"/>
      <c r="J1910" s="7" t="str">
        <f>IFERROR(LET(_xlpm.v,
VLOOKUP($I1910,'用語辞書'!$A:$B,COLUMN('用語辞書'!B$1),FALSE),
IF(_xlpm.v=0,"",_xlpm.v)
),"")</f>
        <v/>
      </c>
      <c r="K1910" s="17"/>
      <c r="L1910" s="17" t="str">
        <f>IF(OR(COUNTIF('クラス'!$A$1:$A$1267,$B1910)&gt;0,$B1910="",$M1910=""),"",True)</f>
        <v/>
      </c>
      <c r="M1910" s="1" t="str">
        <f t="shared" si="27"/>
        <v>存在しない</v>
      </c>
      <c r="N1910" s="1" t="s">
        <v>29</v>
      </c>
      <c r="O1910" s="1"/>
      <c r="P1910" s="11"/>
      <c r="Q1910" s="11"/>
      <c r="R1910" s="11"/>
      <c r="S1910" s="11"/>
      <c r="T1910" s="1"/>
      <c r="U1910" s="1"/>
      <c r="V1910" s="1"/>
      <c r="W1910" s="1"/>
      <c r="X1910" s="1"/>
      <c r="Y1910" s="1"/>
      <c r="Z1910" s="1"/>
    </row>
    <row r="1911" ht="18.0" customHeight="1" outlineLevel="1">
      <c r="A1911" s="1">
        <v>3.0</v>
      </c>
      <c r="B1911" s="26" t="s">
        <v>1993</v>
      </c>
      <c r="C1911" s="1"/>
      <c r="D1911" s="1"/>
      <c r="E1911" s="29" t="s">
        <v>55</v>
      </c>
      <c r="F1911" s="15"/>
      <c r="G1911" s="16"/>
      <c r="H1911" s="22" t="s">
        <v>1994</v>
      </c>
      <c r="I1911" s="7"/>
      <c r="J1911" s="7" t="str">
        <f>IFERROR(LET(_xlpm.v,
VLOOKUP($I1911,'用語辞書'!$A:$B,COLUMN('用語辞書'!B$1),FALSE),
IF(_xlpm.v=0,"",_xlpm.v)
),"")</f>
        <v/>
      </c>
      <c r="K1911" s="17"/>
      <c r="L1911" s="17" t="b">
        <f>IF(OR(COUNTIF('クラス'!$A$1:$A$1267,$B1911)&gt;0,$B1911="",$M1911=""),"",True)</f>
        <v>1</v>
      </c>
      <c r="M1911" s="1" t="str">
        <f t="shared" si="27"/>
        <v>存在しない</v>
      </c>
      <c r="N1911" s="1" t="s">
        <v>29</v>
      </c>
      <c r="O1911" s="1"/>
      <c r="P1911" s="11"/>
      <c r="Q1911" s="11"/>
      <c r="R1911" s="11"/>
      <c r="S1911" s="11"/>
      <c r="T1911" s="1"/>
      <c r="U1911" s="1"/>
      <c r="V1911" s="1"/>
      <c r="W1911" s="1"/>
      <c r="X1911" s="1"/>
      <c r="Y1911" s="1"/>
      <c r="Z1911" s="1"/>
    </row>
    <row r="1912" ht="18.0" customHeight="1" outlineLevel="1">
      <c r="A1912" s="1">
        <v>4.0</v>
      </c>
      <c r="B1912" s="1"/>
      <c r="C1912" s="1"/>
      <c r="D1912" s="1"/>
      <c r="E1912" s="14"/>
      <c r="F1912" s="15"/>
      <c r="G1912" s="16"/>
      <c r="H1912" s="11"/>
      <c r="I1912" s="7"/>
      <c r="J1912" s="7" t="str">
        <f>IFERROR(LET(_xlpm.v,
VLOOKUP($I1912,'用語辞書'!$A:$B,COLUMN('用語辞書'!B$1),FALSE),
IF(_xlpm.v=0,"",_xlpm.v)
),"")</f>
        <v/>
      </c>
      <c r="K1912" s="17"/>
      <c r="L1912" s="17" t="str">
        <f>IF(OR(COUNTIF('クラス'!$A$1:$A$1267,$B1912)&gt;0,$B1912="",$M1912=""),"",True)</f>
        <v/>
      </c>
      <c r="M1912" s="1" t="str">
        <f t="shared" si="27"/>
        <v>存在しない</v>
      </c>
      <c r="N1912" s="1" t="s">
        <v>29</v>
      </c>
      <c r="O1912" s="1"/>
      <c r="P1912" s="11"/>
      <c r="Q1912" s="11"/>
      <c r="R1912" s="11"/>
      <c r="S1912" s="11"/>
      <c r="T1912" s="1"/>
      <c r="U1912" s="1"/>
      <c r="V1912" s="1"/>
      <c r="W1912" s="1"/>
      <c r="X1912" s="1"/>
      <c r="Y1912" s="1"/>
      <c r="Z1912" s="1"/>
    </row>
    <row r="1913" ht="18.0" customHeight="1" outlineLevel="1">
      <c r="A1913" s="1">
        <v>5.0</v>
      </c>
      <c r="B1913" s="26" t="s">
        <v>1995</v>
      </c>
      <c r="C1913" s="26" t="s">
        <v>1996</v>
      </c>
      <c r="D1913" s="1"/>
      <c r="E1913" s="29" t="s">
        <v>33</v>
      </c>
      <c r="F1913" s="15"/>
      <c r="G1913" s="30">
        <v>30.0</v>
      </c>
      <c r="H1913" s="31" t="s">
        <v>1997</v>
      </c>
      <c r="I1913" s="7"/>
      <c r="J1913" s="7" t="str">
        <f>IFERROR(LET(_xlpm.v,
VLOOKUP($I1913,'用語辞書'!$A:$B,COLUMN('用語辞書'!B$1),FALSE),
IF(_xlpm.v=0,"",_xlpm.v)
),"")</f>
        <v/>
      </c>
      <c r="K1913" s="17"/>
      <c r="L1913" s="17" t="b">
        <f>IF(OR(COUNTIF('クラス'!$A$1:$A$1267,$B1913)&gt;0,$B1913="",$M1913=""),"",True)</f>
        <v>1</v>
      </c>
      <c r="M1913" s="1" t="str">
        <f t="shared" si="27"/>
        <v>存在しない</v>
      </c>
      <c r="N1913" s="1" t="s">
        <v>29</v>
      </c>
      <c r="O1913" s="1"/>
      <c r="P1913" s="11"/>
      <c r="Q1913" s="11"/>
      <c r="R1913" s="11"/>
      <c r="S1913" s="11"/>
      <c r="T1913" s="1"/>
      <c r="U1913" s="1"/>
      <c r="V1913" s="1"/>
      <c r="W1913" s="1"/>
      <c r="X1913" s="1"/>
      <c r="Y1913" s="1"/>
      <c r="Z1913" s="1"/>
    </row>
    <row r="1914" ht="18.0" customHeight="1" outlineLevel="1">
      <c r="A1914" s="1">
        <v>6.0</v>
      </c>
      <c r="B1914" s="1"/>
      <c r="C1914" s="1"/>
      <c r="D1914" s="1"/>
      <c r="E1914" s="14"/>
      <c r="F1914" s="15"/>
      <c r="G1914" s="16"/>
      <c r="H1914" s="11"/>
      <c r="I1914" s="7"/>
      <c r="J1914" s="7" t="str">
        <f>IFERROR(LET(_xlpm.v,
VLOOKUP($I1914,'用語辞書'!$A:$B,COLUMN('用語辞書'!B$1),FALSE),
IF(_xlpm.v=0,"",_xlpm.v)
),"")</f>
        <v/>
      </c>
      <c r="K1914" s="17"/>
      <c r="L1914" s="17" t="str">
        <f>IF(OR(COUNTIF('クラス'!$A$1:$A$1267,$B1914)&gt;0,$B1914="",$M1914=""),"",True)</f>
        <v/>
      </c>
      <c r="M1914" s="1" t="str">
        <f t="shared" si="27"/>
        <v>存在しない</v>
      </c>
      <c r="N1914" s="1" t="s">
        <v>29</v>
      </c>
      <c r="O1914" s="1"/>
      <c r="P1914" s="11"/>
      <c r="Q1914" s="11"/>
      <c r="R1914" s="11"/>
      <c r="S1914" s="11"/>
      <c r="T1914" s="1"/>
      <c r="U1914" s="1"/>
      <c r="V1914" s="1"/>
      <c r="W1914" s="1"/>
      <c r="X1914" s="1"/>
      <c r="Y1914" s="1"/>
      <c r="Z1914" s="1"/>
    </row>
    <row r="1915" ht="18.0" customHeight="1" outlineLevel="1">
      <c r="A1915" s="1">
        <v>7.0</v>
      </c>
      <c r="B1915" s="26" t="s">
        <v>1998</v>
      </c>
      <c r="C1915" s="1"/>
      <c r="D1915" s="1"/>
      <c r="E1915" s="29" t="s">
        <v>55</v>
      </c>
      <c r="F1915" s="15"/>
      <c r="G1915" s="16"/>
      <c r="H1915" s="22" t="s">
        <v>1999</v>
      </c>
      <c r="I1915" s="7"/>
      <c r="J1915" s="7" t="str">
        <f>IFERROR(LET(_xlpm.v,
VLOOKUP($I1915,'用語辞書'!$A:$B,COLUMN('用語辞書'!B$1),FALSE),
IF(_xlpm.v=0,"",_xlpm.v)
),"")</f>
        <v/>
      </c>
      <c r="K1915" s="17"/>
      <c r="L1915" s="17" t="b">
        <f>IF(OR(COUNTIF('クラス'!$A$1:$A$1267,$B1915)&gt;0,$B1915="",$M1915=""),"",True)</f>
        <v>1</v>
      </c>
      <c r="M1915" s="1" t="str">
        <f t="shared" si="27"/>
        <v>存在しない</v>
      </c>
      <c r="N1915" s="1" t="s">
        <v>29</v>
      </c>
      <c r="O1915" s="1"/>
      <c r="P1915" s="11"/>
      <c r="Q1915" s="11"/>
      <c r="R1915" s="11"/>
      <c r="S1915" s="11"/>
      <c r="T1915" s="1"/>
      <c r="U1915" s="1"/>
      <c r="V1915" s="1"/>
      <c r="W1915" s="1"/>
      <c r="X1915" s="1"/>
      <c r="Y1915" s="1"/>
      <c r="Z1915" s="1"/>
    </row>
    <row r="1916" ht="18.0" customHeight="1" outlineLevel="1">
      <c r="A1916" s="1">
        <v>8.0</v>
      </c>
      <c r="B1916" s="1"/>
      <c r="C1916" s="1"/>
      <c r="D1916" s="1"/>
      <c r="E1916" s="14"/>
      <c r="F1916" s="15"/>
      <c r="G1916" s="16"/>
      <c r="H1916" s="11"/>
      <c r="I1916" s="7"/>
      <c r="J1916" s="7" t="str">
        <f>IFERROR(LET(_xlpm.v,
VLOOKUP($I1916,'用語辞書'!$A:$B,COLUMN('用語辞書'!B$1),FALSE),
IF(_xlpm.v=0,"",_xlpm.v)
),"")</f>
        <v/>
      </c>
      <c r="K1916" s="17"/>
      <c r="L1916" s="17" t="str">
        <f>IF(OR(COUNTIF('クラス'!$A$1:$A$1267,$B1916)&gt;0,$B1916="",$M1916=""),"",True)</f>
        <v/>
      </c>
      <c r="M1916" s="1" t="str">
        <f t="shared" si="27"/>
        <v>存在しない</v>
      </c>
      <c r="N1916" s="1" t="s">
        <v>29</v>
      </c>
      <c r="O1916" s="1"/>
      <c r="P1916" s="11"/>
      <c r="Q1916" s="11"/>
      <c r="R1916" s="11"/>
      <c r="S1916" s="11"/>
      <c r="T1916" s="1"/>
      <c r="U1916" s="1"/>
      <c r="V1916" s="1"/>
      <c r="W1916" s="1"/>
      <c r="X1916" s="1"/>
      <c r="Y1916" s="1"/>
      <c r="Z1916" s="1"/>
    </row>
    <row r="1917" ht="18.0" customHeight="1" outlineLevel="1">
      <c r="A1917" s="1">
        <v>9.0</v>
      </c>
      <c r="B1917" s="26" t="s">
        <v>2000</v>
      </c>
      <c r="C1917" s="26" t="s">
        <v>2001</v>
      </c>
      <c r="D1917" s="1"/>
      <c r="E1917" s="29" t="s">
        <v>33</v>
      </c>
      <c r="F1917" s="15"/>
      <c r="G1917" s="30">
        <v>60.0</v>
      </c>
      <c r="H1917" s="22" t="s">
        <v>2002</v>
      </c>
      <c r="I1917" s="7"/>
      <c r="J1917" s="7" t="str">
        <f>IFERROR(LET(_xlpm.v,
VLOOKUP($I1917,'用語辞書'!$A:$B,COLUMN('用語辞書'!B$1),FALSE),
IF(_xlpm.v=0,"",_xlpm.v)
),"")</f>
        <v/>
      </c>
      <c r="K1917" s="17"/>
      <c r="L1917" s="17" t="b">
        <f>IF(OR(COUNTIF('クラス'!$A$1:$A$1267,$B1917)&gt;0,$B1917="",$M1917=""),"",True)</f>
        <v>1</v>
      </c>
      <c r="M1917" s="1" t="str">
        <f t="shared" si="27"/>
        <v>存在しない</v>
      </c>
      <c r="N1917" s="1" t="s">
        <v>29</v>
      </c>
      <c r="O1917" s="1"/>
      <c r="P1917" s="11"/>
      <c r="Q1917" s="11"/>
      <c r="R1917" s="11"/>
      <c r="S1917" s="11"/>
      <c r="T1917" s="1"/>
      <c r="U1917" s="1"/>
      <c r="V1917" s="1"/>
      <c r="W1917" s="1"/>
      <c r="X1917" s="1"/>
      <c r="Y1917" s="1"/>
      <c r="Z1917" s="1"/>
    </row>
    <row r="1918" ht="18.0" customHeight="1" outlineLevel="1">
      <c r="A1918" s="1">
        <v>10.0</v>
      </c>
      <c r="B1918" s="26" t="s">
        <v>2003</v>
      </c>
      <c r="C1918" s="1"/>
      <c r="D1918" s="1"/>
      <c r="E1918" s="29" t="s">
        <v>55</v>
      </c>
      <c r="F1918" s="15"/>
      <c r="G1918" s="16"/>
      <c r="H1918" s="31" t="s">
        <v>2004</v>
      </c>
      <c r="I1918" s="7"/>
      <c r="J1918" s="7" t="str">
        <f>IFERROR(LET(_xlpm.v,
VLOOKUP($I1918,'用語辞書'!$A:$B,COLUMN('用語辞書'!B$1),FALSE),
IF(_xlpm.v=0,"",_xlpm.v)
),"")</f>
        <v/>
      </c>
      <c r="K1918" s="17"/>
      <c r="L1918" s="17" t="b">
        <f>IF(OR(COUNTIF('クラス'!$A$1:$A$1267,$B1918)&gt;0,$B1918="",$M1918=""),"",True)</f>
        <v>1</v>
      </c>
      <c r="M1918" s="1" t="str">
        <f t="shared" si="27"/>
        <v>存在しない</v>
      </c>
      <c r="N1918" s="1" t="s">
        <v>29</v>
      </c>
      <c r="O1918" s="1"/>
      <c r="P1918" s="11"/>
      <c r="Q1918" s="11"/>
      <c r="R1918" s="11"/>
      <c r="S1918" s="11"/>
      <c r="T1918" s="1"/>
      <c r="U1918" s="1"/>
      <c r="V1918" s="1"/>
      <c r="W1918" s="1"/>
      <c r="X1918" s="1"/>
      <c r="Y1918" s="1"/>
      <c r="Z1918" s="1"/>
    </row>
    <row r="1919" ht="18.0" customHeight="1">
      <c r="A1919" s="1"/>
      <c r="B1919" s="1"/>
      <c r="C1919" s="1"/>
      <c r="D1919" s="1"/>
      <c r="E1919" s="14"/>
      <c r="F1919" s="15"/>
      <c r="G1919" s="16"/>
      <c r="H1919" s="11"/>
      <c r="I1919" s="7"/>
      <c r="J1919" s="7" t="str">
        <f>IFERROR(LET(_xlpm.v,
VLOOKUP($I1919,'用語辞書'!$A:$B,COLUMN('用語辞書'!B$1),FALSE),
IF(_xlpm.v=0,"",_xlpm.v)
),"")</f>
        <v/>
      </c>
      <c r="K1919" s="17"/>
      <c r="L1919" s="17" t="str">
        <f>IF(OR(COUNTIF('クラス'!$A$1:$A$1267,$B1919)&gt;0,$B1919="",$M1919=""),"",True)</f>
        <v/>
      </c>
      <c r="M1919" s="1" t="str">
        <f t="shared" si="27"/>
        <v>存在しない</v>
      </c>
      <c r="N1919" s="1" t="s">
        <v>29</v>
      </c>
      <c r="O1919" s="1"/>
      <c r="P1919" s="11"/>
      <c r="Q1919" s="11"/>
      <c r="R1919" s="11"/>
      <c r="S1919" s="11"/>
      <c r="T1919" s="1"/>
      <c r="U1919" s="1"/>
      <c r="V1919" s="1"/>
      <c r="W1919" s="1"/>
      <c r="X1919" s="1"/>
      <c r="Y1919" s="1"/>
      <c r="Z1919" s="1"/>
    </row>
    <row r="1920" ht="18.0" customHeight="1">
      <c r="A1920" s="1"/>
      <c r="B1920" s="26" t="s">
        <v>2005</v>
      </c>
      <c r="C1920" s="1"/>
      <c r="D1920" s="1"/>
      <c r="E1920" s="14"/>
      <c r="F1920" s="15"/>
      <c r="G1920" s="16"/>
      <c r="H1920" s="11"/>
      <c r="I1920" s="7"/>
      <c r="J1920" s="7" t="str">
        <f>IFERROR(LET(_xlpm.v,
VLOOKUP($I1920,'用語辞書'!$A:$B,COLUMN('用語辞書'!B$1),FALSE),
IF(_xlpm.v=0,"",_xlpm.v)
),"")</f>
        <v/>
      </c>
      <c r="K1920" s="17"/>
      <c r="L1920" s="17" t="str">
        <f>IF(OR(COUNTIF('クラス'!$A$1:$A$1267,$B1920)&gt;0,$B1920="",$M1920=""),"",True)</f>
        <v/>
      </c>
      <c r="M1920" s="1" t="str">
        <f t="shared" si="27"/>
        <v>存在しない</v>
      </c>
      <c r="N1920" s="1" t="s">
        <v>29</v>
      </c>
      <c r="O1920" s="1"/>
      <c r="P1920" s="11"/>
      <c r="Q1920" s="11"/>
      <c r="R1920" s="11"/>
      <c r="S1920" s="11"/>
      <c r="T1920" s="1"/>
      <c r="U1920" s="1"/>
      <c r="V1920" s="1"/>
      <c r="W1920" s="1"/>
      <c r="X1920" s="1"/>
      <c r="Y1920" s="1"/>
      <c r="Z1920" s="1"/>
    </row>
    <row r="1921" ht="18.0" customHeight="1" outlineLevel="1">
      <c r="A1921" s="1">
        <v>1.0</v>
      </c>
      <c r="B1921" s="26" t="s">
        <v>2006</v>
      </c>
      <c r="C1921" s="26" t="s">
        <v>2007</v>
      </c>
      <c r="D1921" s="1"/>
      <c r="E1921" s="29" t="s">
        <v>33</v>
      </c>
      <c r="F1921" s="15"/>
      <c r="G1921" s="30">
        <v>60.0</v>
      </c>
      <c r="H1921" s="22" t="s">
        <v>2008</v>
      </c>
      <c r="I1921" s="7"/>
      <c r="J1921" s="7" t="str">
        <f>IFERROR(LET(_xlpm.v,
VLOOKUP($I1921,'用語辞書'!$A:$B,COLUMN('用語辞書'!B$1),FALSE),
IF(_xlpm.v=0,"",_xlpm.v)
),"")</f>
        <v/>
      </c>
      <c r="K1921" s="17"/>
      <c r="L1921" s="17" t="b">
        <f>IF(OR(COUNTIF('クラス'!$A$1:$A$1267,$B1921)&gt;0,$B1921="",$M1921=""),"",True)</f>
        <v>1</v>
      </c>
      <c r="M1921" s="1" t="str">
        <f t="shared" si="27"/>
        <v>存在しない</v>
      </c>
      <c r="N1921" s="1" t="s">
        <v>29</v>
      </c>
      <c r="O1921" s="1"/>
      <c r="P1921" s="11"/>
      <c r="Q1921" s="11"/>
      <c r="R1921" s="11"/>
      <c r="S1921" s="11"/>
      <c r="T1921" s="1"/>
      <c r="U1921" s="1"/>
      <c r="V1921" s="1"/>
      <c r="W1921" s="1"/>
      <c r="X1921" s="1"/>
      <c r="Y1921" s="1"/>
      <c r="Z1921" s="1"/>
    </row>
    <row r="1922" ht="18.0" customHeight="1" outlineLevel="1">
      <c r="A1922" s="1">
        <v>2.0</v>
      </c>
      <c r="B1922" s="1"/>
      <c r="C1922" s="1"/>
      <c r="D1922" s="1"/>
      <c r="E1922" s="14"/>
      <c r="F1922" s="15"/>
      <c r="G1922" s="16"/>
      <c r="H1922" s="11"/>
      <c r="I1922" s="7"/>
      <c r="J1922" s="7" t="str">
        <f>IFERROR(LET(_xlpm.v,
VLOOKUP($I1922,'用語辞書'!$A:$B,COLUMN('用語辞書'!B$1),FALSE),
IF(_xlpm.v=0,"",_xlpm.v)
),"")</f>
        <v/>
      </c>
      <c r="K1922" s="17"/>
      <c r="L1922" s="17" t="str">
        <f>IF(OR(COUNTIF('クラス'!$A$1:$A$1267,$B1922)&gt;0,$B1922="",$M1922=""),"",True)</f>
        <v/>
      </c>
      <c r="M1922" s="1" t="str">
        <f t="shared" si="27"/>
        <v>存在しない</v>
      </c>
      <c r="N1922" s="1" t="s">
        <v>29</v>
      </c>
      <c r="O1922" s="1"/>
      <c r="P1922" s="11"/>
      <c r="Q1922" s="11"/>
      <c r="R1922" s="11"/>
      <c r="S1922" s="11"/>
      <c r="T1922" s="1"/>
      <c r="U1922" s="1"/>
      <c r="V1922" s="1"/>
      <c r="W1922" s="1"/>
      <c r="X1922" s="1"/>
      <c r="Y1922" s="1"/>
      <c r="Z1922" s="1"/>
    </row>
    <row r="1923" ht="18.0" customHeight="1" outlineLevel="1">
      <c r="A1923" s="1">
        <v>3.0</v>
      </c>
      <c r="B1923" s="26" t="s">
        <v>2009</v>
      </c>
      <c r="C1923" s="1"/>
      <c r="D1923" s="1"/>
      <c r="E1923" s="29" t="s">
        <v>55</v>
      </c>
      <c r="F1923" s="15"/>
      <c r="G1923" s="16"/>
      <c r="H1923" s="31" t="s">
        <v>2010</v>
      </c>
      <c r="I1923" s="7"/>
      <c r="J1923" s="7" t="str">
        <f>IFERROR(LET(_xlpm.v,
VLOOKUP($I1923,'用語辞書'!$A:$B,COLUMN('用語辞書'!B$1),FALSE),
IF(_xlpm.v=0,"",_xlpm.v)
),"")</f>
        <v/>
      </c>
      <c r="K1923" s="17"/>
      <c r="L1923" s="17" t="b">
        <f>IF(OR(COUNTIF('クラス'!$A$1:$A$1267,$B1923)&gt;0,$B1923="",$M1923=""),"",True)</f>
        <v>1</v>
      </c>
      <c r="M1923" s="1" t="str">
        <f t="shared" si="27"/>
        <v>存在しない</v>
      </c>
      <c r="N1923" s="1" t="s">
        <v>29</v>
      </c>
      <c r="O1923" s="1"/>
      <c r="P1923" s="11"/>
      <c r="Q1923" s="11"/>
      <c r="R1923" s="11"/>
      <c r="S1923" s="11"/>
      <c r="T1923" s="1"/>
      <c r="U1923" s="1"/>
      <c r="V1923" s="1"/>
      <c r="W1923" s="1"/>
      <c r="X1923" s="1"/>
      <c r="Y1923" s="1"/>
      <c r="Z1923" s="1"/>
    </row>
    <row r="1924" ht="18.0" customHeight="1" outlineLevel="1">
      <c r="A1924" s="1">
        <v>4.0</v>
      </c>
      <c r="B1924" s="1"/>
      <c r="C1924" s="1"/>
      <c r="D1924" s="1"/>
      <c r="E1924" s="14"/>
      <c r="F1924" s="15"/>
      <c r="G1924" s="16"/>
      <c r="H1924" s="11"/>
      <c r="I1924" s="7"/>
      <c r="J1924" s="7" t="str">
        <f>IFERROR(LET(_xlpm.v,
VLOOKUP($I1924,'用語辞書'!$A:$B,COLUMN('用語辞書'!B$1),FALSE),
IF(_xlpm.v=0,"",_xlpm.v)
),"")</f>
        <v/>
      </c>
      <c r="K1924" s="17"/>
      <c r="L1924" s="17" t="str">
        <f>IF(OR(COUNTIF('クラス'!$A$1:$A$1267,$B1924)&gt;0,$B1924="",$M1924=""),"",True)</f>
        <v/>
      </c>
      <c r="M1924" s="1" t="str">
        <f t="shared" si="27"/>
        <v>存在しない</v>
      </c>
      <c r="N1924" s="1" t="s">
        <v>29</v>
      </c>
      <c r="O1924" s="1"/>
      <c r="P1924" s="11"/>
      <c r="Q1924" s="11"/>
      <c r="R1924" s="11"/>
      <c r="S1924" s="11"/>
      <c r="T1924" s="1"/>
      <c r="U1924" s="1"/>
      <c r="V1924" s="1"/>
      <c r="W1924" s="1"/>
      <c r="X1924" s="1"/>
      <c r="Y1924" s="1"/>
      <c r="Z1924" s="1"/>
    </row>
    <row r="1925" ht="18.0" customHeight="1" outlineLevel="1">
      <c r="A1925" s="1">
        <v>5.0</v>
      </c>
      <c r="B1925" s="26" t="s">
        <v>2011</v>
      </c>
      <c r="C1925" s="26" t="s">
        <v>2012</v>
      </c>
      <c r="D1925" s="1"/>
      <c r="E1925" s="29" t="s">
        <v>33</v>
      </c>
      <c r="F1925" s="15"/>
      <c r="G1925" s="30">
        <v>60.0</v>
      </c>
      <c r="H1925" s="22" t="s">
        <v>2013</v>
      </c>
      <c r="I1925" s="7"/>
      <c r="J1925" s="7" t="str">
        <f>IFERROR(LET(_xlpm.v,
VLOOKUP($I1925,'用語辞書'!$A:$B,COLUMN('用語辞書'!B$1),FALSE),
IF(_xlpm.v=0,"",_xlpm.v)
),"")</f>
        <v/>
      </c>
      <c r="K1925" s="17"/>
      <c r="L1925" s="17" t="b">
        <f>IF(OR(COUNTIF('クラス'!$A$1:$A$1267,$B1925)&gt;0,$B1925="",$M1925=""),"",True)</f>
        <v>1</v>
      </c>
      <c r="M1925" s="1" t="str">
        <f t="shared" si="27"/>
        <v>存在しない</v>
      </c>
      <c r="N1925" s="1" t="s">
        <v>29</v>
      </c>
      <c r="O1925" s="1"/>
      <c r="P1925" s="11"/>
      <c r="Q1925" s="11"/>
      <c r="R1925" s="11"/>
      <c r="S1925" s="11"/>
      <c r="T1925" s="1"/>
      <c r="U1925" s="1"/>
      <c r="V1925" s="1"/>
      <c r="W1925" s="1"/>
      <c r="X1925" s="1"/>
      <c r="Y1925" s="1"/>
      <c r="Z1925" s="1"/>
    </row>
    <row r="1926" ht="18.0" customHeight="1" outlineLevel="1">
      <c r="A1926" s="1">
        <v>6.0</v>
      </c>
      <c r="B1926" s="1"/>
      <c r="C1926" s="1"/>
      <c r="D1926" s="1"/>
      <c r="E1926" s="14"/>
      <c r="F1926" s="15"/>
      <c r="G1926" s="16"/>
      <c r="H1926" s="11"/>
      <c r="I1926" s="7"/>
      <c r="J1926" s="7" t="str">
        <f>IFERROR(LET(_xlpm.v,
VLOOKUP($I1926,'用語辞書'!$A:$B,COLUMN('用語辞書'!B$1),FALSE),
IF(_xlpm.v=0,"",_xlpm.v)
),"")</f>
        <v/>
      </c>
      <c r="K1926" s="17"/>
      <c r="L1926" s="17" t="str">
        <f>IF(OR(COUNTIF('クラス'!$A$1:$A$1267,$B1926)&gt;0,$B1926="",$M1926=""),"",True)</f>
        <v/>
      </c>
      <c r="M1926" s="1" t="str">
        <f t="shared" si="27"/>
        <v>存在しない</v>
      </c>
      <c r="N1926" s="1" t="s">
        <v>29</v>
      </c>
      <c r="O1926" s="1"/>
      <c r="P1926" s="11"/>
      <c r="Q1926" s="11"/>
      <c r="R1926" s="11"/>
      <c r="S1926" s="11"/>
      <c r="T1926" s="1"/>
      <c r="U1926" s="1"/>
      <c r="V1926" s="1"/>
      <c r="W1926" s="1"/>
      <c r="X1926" s="1"/>
      <c r="Y1926" s="1"/>
      <c r="Z1926" s="1"/>
    </row>
    <row r="1927" ht="18.0" customHeight="1" outlineLevel="1">
      <c r="A1927" s="1">
        <v>7.0</v>
      </c>
      <c r="B1927" s="26" t="s">
        <v>2014</v>
      </c>
      <c r="C1927" s="1"/>
      <c r="D1927" s="1"/>
      <c r="E1927" s="29" t="s">
        <v>55</v>
      </c>
      <c r="F1927" s="15"/>
      <c r="G1927" s="16"/>
      <c r="H1927" s="22" t="s">
        <v>2015</v>
      </c>
      <c r="I1927" s="7"/>
      <c r="J1927" s="7" t="str">
        <f>IFERROR(LET(_xlpm.v,
VLOOKUP($I1927,'用語辞書'!$A:$B,COLUMN('用語辞書'!B$1),FALSE),
IF(_xlpm.v=0,"",_xlpm.v)
),"")</f>
        <v/>
      </c>
      <c r="K1927" s="17"/>
      <c r="L1927" s="17" t="b">
        <f>IF(OR(COUNTIF('クラス'!$A$1:$A$1267,$B1927)&gt;0,$B1927="",$M1927=""),"",True)</f>
        <v>1</v>
      </c>
      <c r="M1927" s="1" t="str">
        <f t="shared" si="27"/>
        <v>存在しない</v>
      </c>
      <c r="N1927" s="1" t="s">
        <v>29</v>
      </c>
      <c r="O1927" s="1"/>
      <c r="P1927" s="11"/>
      <c r="Q1927" s="11"/>
      <c r="R1927" s="11"/>
      <c r="S1927" s="11"/>
      <c r="T1927" s="1"/>
      <c r="U1927" s="1"/>
      <c r="V1927" s="1"/>
      <c r="W1927" s="1"/>
      <c r="X1927" s="1"/>
      <c r="Y1927" s="1"/>
      <c r="Z1927" s="1"/>
    </row>
    <row r="1928" ht="18.0" customHeight="1" outlineLevel="1">
      <c r="A1928" s="1">
        <v>8.0</v>
      </c>
      <c r="B1928" s="1"/>
      <c r="C1928" s="1"/>
      <c r="D1928" s="1"/>
      <c r="E1928" s="14"/>
      <c r="F1928" s="15"/>
      <c r="G1928" s="16"/>
      <c r="H1928" s="11"/>
      <c r="I1928" s="7"/>
      <c r="J1928" s="7" t="str">
        <f>IFERROR(LET(_xlpm.v,
VLOOKUP($I1928,'用語辞書'!$A:$B,COLUMN('用語辞書'!B$1),FALSE),
IF(_xlpm.v=0,"",_xlpm.v)
),"")</f>
        <v/>
      </c>
      <c r="K1928" s="17"/>
      <c r="L1928" s="17" t="str">
        <f>IF(OR(COUNTIF('クラス'!$A$1:$A$1267,$B1928)&gt;0,$B1928="",$M1928=""),"",True)</f>
        <v/>
      </c>
      <c r="M1928" s="1" t="str">
        <f t="shared" si="27"/>
        <v>存在しない</v>
      </c>
      <c r="N1928" s="1" t="s">
        <v>29</v>
      </c>
      <c r="O1928" s="1"/>
      <c r="P1928" s="11"/>
      <c r="Q1928" s="11"/>
      <c r="R1928" s="11"/>
      <c r="S1928" s="11"/>
      <c r="T1928" s="1"/>
      <c r="U1928" s="1"/>
      <c r="V1928" s="1"/>
      <c r="W1928" s="1"/>
      <c r="X1928" s="1"/>
      <c r="Y1928" s="1"/>
      <c r="Z1928" s="1"/>
    </row>
    <row r="1929" ht="18.0" customHeight="1" outlineLevel="1">
      <c r="A1929" s="1">
        <v>9.0</v>
      </c>
      <c r="B1929" s="26" t="s">
        <v>2016</v>
      </c>
      <c r="C1929" s="26" t="s">
        <v>2017</v>
      </c>
      <c r="D1929" s="1"/>
      <c r="E1929" s="29" t="s">
        <v>33</v>
      </c>
      <c r="F1929" s="15"/>
      <c r="G1929" s="30">
        <v>60.0</v>
      </c>
      <c r="H1929" s="31" t="s">
        <v>2018</v>
      </c>
      <c r="I1929" s="7"/>
      <c r="J1929" s="7" t="str">
        <f>IFERROR(LET(_xlpm.v,
VLOOKUP($I1929,'用語辞書'!$A:$B,COLUMN('用語辞書'!B$1),FALSE),
IF(_xlpm.v=0,"",_xlpm.v)
),"")</f>
        <v/>
      </c>
      <c r="K1929" s="17"/>
      <c r="L1929" s="17" t="b">
        <f>IF(OR(COUNTIF('クラス'!$A$1:$A$1267,$B1929)&gt;0,$B1929="",$M1929=""),"",True)</f>
        <v>1</v>
      </c>
      <c r="M1929" s="1" t="str">
        <f t="shared" si="27"/>
        <v>存在しない</v>
      </c>
      <c r="N1929" s="1" t="s">
        <v>29</v>
      </c>
      <c r="O1929" s="1"/>
      <c r="P1929" s="11"/>
      <c r="Q1929" s="11"/>
      <c r="R1929" s="11"/>
      <c r="S1929" s="11"/>
      <c r="T1929" s="1"/>
      <c r="U1929" s="1"/>
      <c r="V1929" s="1"/>
      <c r="W1929" s="1"/>
      <c r="X1929" s="1"/>
      <c r="Y1929" s="1"/>
      <c r="Z1929" s="1"/>
    </row>
    <row r="1930" ht="18.0" customHeight="1" outlineLevel="1">
      <c r="A1930" s="1">
        <v>10.0</v>
      </c>
      <c r="B1930" s="26" t="s">
        <v>2019</v>
      </c>
      <c r="C1930" s="1"/>
      <c r="D1930" s="1"/>
      <c r="E1930" s="29" t="s">
        <v>55</v>
      </c>
      <c r="F1930" s="15"/>
      <c r="G1930" s="16"/>
      <c r="H1930" s="31" t="s">
        <v>2020</v>
      </c>
      <c r="I1930" s="7"/>
      <c r="J1930" s="7" t="str">
        <f>IFERROR(LET(_xlpm.v,
VLOOKUP($I1930,'用語辞書'!$A:$B,COLUMN('用語辞書'!B$1),FALSE),
IF(_xlpm.v=0,"",_xlpm.v)
),"")</f>
        <v/>
      </c>
      <c r="K1930" s="17"/>
      <c r="L1930" s="17" t="b">
        <f>IF(OR(COUNTIF('クラス'!$A$1:$A$1267,$B1930)&gt;0,$B1930="",$M1930=""),"",True)</f>
        <v>1</v>
      </c>
      <c r="M1930" s="1" t="str">
        <f t="shared" si="27"/>
        <v>存在しない</v>
      </c>
      <c r="N1930" s="1" t="s">
        <v>29</v>
      </c>
      <c r="O1930" s="1"/>
      <c r="P1930" s="11"/>
      <c r="Q1930" s="11"/>
      <c r="R1930" s="11"/>
      <c r="S1930" s="11"/>
      <c r="T1930" s="1"/>
      <c r="U1930" s="1"/>
      <c r="V1930" s="1"/>
      <c r="W1930" s="1"/>
      <c r="X1930" s="1"/>
      <c r="Y1930" s="1"/>
      <c r="Z1930" s="1"/>
    </row>
    <row r="1931" ht="18.0" customHeight="1">
      <c r="A1931" s="1"/>
      <c r="B1931" s="1"/>
      <c r="C1931" s="1"/>
      <c r="D1931" s="1"/>
      <c r="E1931" s="14"/>
      <c r="F1931" s="15"/>
      <c r="G1931" s="16"/>
      <c r="H1931" s="11"/>
      <c r="I1931" s="7"/>
      <c r="J1931" s="7" t="str">
        <f>IFERROR(LET(_xlpm.v,
VLOOKUP($I1931,'用語辞書'!$A:$B,COLUMN('用語辞書'!B$1),FALSE),
IF(_xlpm.v=0,"",_xlpm.v)
),"")</f>
        <v/>
      </c>
      <c r="K1931" s="17"/>
      <c r="L1931" s="17" t="str">
        <f>IF(OR(COUNTIF('クラス'!$A$1:$A$1267,$B1931)&gt;0,$B1931="",$M1931=""),"",True)</f>
        <v/>
      </c>
      <c r="M1931" s="1" t="str">
        <f t="shared" si="27"/>
        <v>存在しない</v>
      </c>
      <c r="N1931" s="1" t="s">
        <v>29</v>
      </c>
      <c r="O1931" s="1"/>
      <c r="P1931" s="11"/>
      <c r="Q1931" s="11"/>
      <c r="R1931" s="11"/>
      <c r="S1931" s="11"/>
      <c r="T1931" s="1"/>
      <c r="U1931" s="1"/>
      <c r="V1931" s="1"/>
      <c r="W1931" s="1"/>
      <c r="X1931" s="1"/>
      <c r="Y1931" s="1"/>
      <c r="Z1931" s="1"/>
    </row>
    <row r="1932" ht="18.0" customHeight="1">
      <c r="A1932" s="1"/>
      <c r="B1932" s="26" t="s">
        <v>2021</v>
      </c>
      <c r="C1932" s="1"/>
      <c r="D1932" s="1"/>
      <c r="E1932" s="14"/>
      <c r="F1932" s="15"/>
      <c r="G1932" s="16"/>
      <c r="H1932" s="11"/>
      <c r="I1932" s="7"/>
      <c r="J1932" s="7" t="str">
        <f>IFERROR(LET(_xlpm.v,
VLOOKUP($I1932,'用語辞書'!$A:$B,COLUMN('用語辞書'!B$1),FALSE),
IF(_xlpm.v=0,"",_xlpm.v)
),"")</f>
        <v/>
      </c>
      <c r="K1932" s="17"/>
      <c r="L1932" s="17" t="str">
        <f>IF(OR(COUNTIF('クラス'!$A$1:$A$1267,$B1932)&gt;0,$B1932="",$M1932=""),"",True)</f>
        <v/>
      </c>
      <c r="M1932" s="1" t="str">
        <f t="shared" si="27"/>
        <v>存在しない</v>
      </c>
      <c r="N1932" s="1" t="s">
        <v>29</v>
      </c>
      <c r="O1932" s="1"/>
      <c r="P1932" s="11"/>
      <c r="Q1932" s="11"/>
      <c r="R1932" s="11"/>
      <c r="S1932" s="11"/>
      <c r="T1932" s="1"/>
      <c r="U1932" s="1"/>
      <c r="V1932" s="1"/>
      <c r="W1932" s="1"/>
      <c r="X1932" s="1"/>
      <c r="Y1932" s="1"/>
      <c r="Z1932" s="1"/>
    </row>
    <row r="1933" ht="18.0" hidden="1" customHeight="1" outlineLevel="1">
      <c r="A1933" s="1">
        <v>1.0</v>
      </c>
      <c r="B1933" s="26" t="s">
        <v>2022</v>
      </c>
      <c r="C1933" s="26" t="s">
        <v>2023</v>
      </c>
      <c r="D1933" s="1"/>
      <c r="E1933" s="29" t="s">
        <v>33</v>
      </c>
      <c r="F1933" s="15"/>
      <c r="G1933" s="30">
        <v>60.0</v>
      </c>
      <c r="H1933" s="22" t="s">
        <v>2024</v>
      </c>
      <c r="I1933" s="7"/>
      <c r="J1933" s="7" t="str">
        <f>IFERROR(LET(_xlpm.v,
VLOOKUP($I1933,'用語辞書'!$A:$B,COLUMN('用語辞書'!B$1),FALSE),
IF(_xlpm.v=0,"",_xlpm.v)
),"")</f>
        <v/>
      </c>
      <c r="K1933" s="17"/>
      <c r="L1933" s="17" t="b">
        <f>IF(OR(COUNTIF('クラス'!$A$1:$A$1267,$B1933)&gt;0,$B1933="",$M1933=""),"",True)</f>
        <v>1</v>
      </c>
      <c r="M1933" s="1" t="str">
        <f t="shared" si="27"/>
        <v>存在しない</v>
      </c>
      <c r="N1933" s="1" t="s">
        <v>29</v>
      </c>
      <c r="O1933" s="1"/>
      <c r="P1933" s="11"/>
      <c r="Q1933" s="11"/>
      <c r="R1933" s="11"/>
      <c r="S1933" s="11"/>
      <c r="T1933" s="1"/>
      <c r="U1933" s="1"/>
      <c r="V1933" s="1"/>
      <c r="W1933" s="1"/>
      <c r="X1933" s="1"/>
      <c r="Y1933" s="1"/>
      <c r="Z1933" s="1"/>
    </row>
    <row r="1934" ht="18.0" hidden="1" customHeight="1" outlineLevel="1">
      <c r="A1934" s="1">
        <v>2.0</v>
      </c>
      <c r="B1934" s="1"/>
      <c r="C1934" s="1"/>
      <c r="D1934" s="1"/>
      <c r="E1934" s="14"/>
      <c r="F1934" s="15"/>
      <c r="G1934" s="16"/>
      <c r="H1934" s="11"/>
      <c r="I1934" s="7"/>
      <c r="J1934" s="7" t="str">
        <f>IFERROR(LET(_xlpm.v,
VLOOKUP($I1934,'用語辞書'!$A:$B,COLUMN('用語辞書'!B$1),FALSE),
IF(_xlpm.v=0,"",_xlpm.v)
),"")</f>
        <v/>
      </c>
      <c r="K1934" s="17"/>
      <c r="L1934" s="17" t="str">
        <f>IF(OR(COUNTIF('クラス'!$A$1:$A$1267,$B1934)&gt;0,$B1934="",$M1934=""),"",True)</f>
        <v/>
      </c>
      <c r="M1934" s="1" t="str">
        <f t="shared" si="27"/>
        <v>存在しない</v>
      </c>
      <c r="N1934" s="1" t="s">
        <v>29</v>
      </c>
      <c r="O1934" s="1"/>
      <c r="P1934" s="11"/>
      <c r="Q1934" s="11"/>
      <c r="R1934" s="11"/>
      <c r="S1934" s="11"/>
      <c r="T1934" s="1"/>
      <c r="U1934" s="1"/>
      <c r="V1934" s="1"/>
      <c r="W1934" s="1"/>
      <c r="X1934" s="1"/>
      <c r="Y1934" s="1"/>
      <c r="Z1934" s="1"/>
    </row>
    <row r="1935" ht="18.0" hidden="1" customHeight="1" outlineLevel="1">
      <c r="A1935" s="1">
        <v>3.0</v>
      </c>
      <c r="B1935" s="26" t="s">
        <v>2025</v>
      </c>
      <c r="C1935" s="1"/>
      <c r="D1935" s="1"/>
      <c r="E1935" s="29" t="s">
        <v>55</v>
      </c>
      <c r="F1935" s="15"/>
      <c r="G1935" s="16"/>
      <c r="H1935" s="22" t="s">
        <v>2026</v>
      </c>
      <c r="I1935" s="7"/>
      <c r="J1935" s="7" t="str">
        <f>IFERROR(LET(_xlpm.v,
VLOOKUP($I1935,'用語辞書'!$A:$B,COLUMN('用語辞書'!B$1),FALSE),
IF(_xlpm.v=0,"",_xlpm.v)
),"")</f>
        <v/>
      </c>
      <c r="K1935" s="17"/>
      <c r="L1935" s="17" t="b">
        <f>IF(OR(COUNTIF('クラス'!$A$1:$A$1267,$B1935)&gt;0,$B1935="",$M1935=""),"",True)</f>
        <v>1</v>
      </c>
      <c r="M1935" s="1" t="str">
        <f t="shared" si="27"/>
        <v>存在しない</v>
      </c>
      <c r="N1935" s="1" t="s">
        <v>29</v>
      </c>
      <c r="O1935" s="1"/>
      <c r="P1935" s="11"/>
      <c r="Q1935" s="11"/>
      <c r="R1935" s="11"/>
      <c r="S1935" s="11"/>
      <c r="T1935" s="1"/>
      <c r="U1935" s="1"/>
      <c r="V1935" s="1"/>
      <c r="W1935" s="1"/>
      <c r="X1935" s="1"/>
      <c r="Y1935" s="1"/>
      <c r="Z1935" s="1"/>
    </row>
    <row r="1936" ht="18.0" hidden="1" customHeight="1" outlineLevel="1">
      <c r="A1936" s="1">
        <v>4.0</v>
      </c>
      <c r="B1936" s="1"/>
      <c r="C1936" s="1"/>
      <c r="D1936" s="1"/>
      <c r="E1936" s="14"/>
      <c r="F1936" s="15"/>
      <c r="G1936" s="16"/>
      <c r="H1936" s="11"/>
      <c r="I1936" s="7"/>
      <c r="J1936" s="7" t="str">
        <f>IFERROR(LET(_xlpm.v,
VLOOKUP($I1936,'用語辞書'!$A:$B,COLUMN('用語辞書'!B$1),FALSE),
IF(_xlpm.v=0,"",_xlpm.v)
),"")</f>
        <v/>
      </c>
      <c r="K1936" s="17"/>
      <c r="L1936" s="17" t="str">
        <f>IF(OR(COUNTIF('クラス'!$A$1:$A$1267,$B1936)&gt;0,$B1936="",$M1936=""),"",True)</f>
        <v/>
      </c>
      <c r="M1936" s="1" t="str">
        <f t="shared" si="27"/>
        <v>存在しない</v>
      </c>
      <c r="N1936" s="1" t="s">
        <v>29</v>
      </c>
      <c r="O1936" s="1"/>
      <c r="P1936" s="11"/>
      <c r="Q1936" s="11"/>
      <c r="R1936" s="11"/>
      <c r="S1936" s="11"/>
      <c r="T1936" s="1"/>
      <c r="U1936" s="1"/>
      <c r="V1936" s="1"/>
      <c r="W1936" s="1"/>
      <c r="X1936" s="1"/>
      <c r="Y1936" s="1"/>
      <c r="Z1936" s="1"/>
    </row>
    <row r="1937" ht="18.0" hidden="1" customHeight="1" outlineLevel="1">
      <c r="A1937" s="1">
        <v>5.0</v>
      </c>
      <c r="B1937" s="26" t="s">
        <v>2027</v>
      </c>
      <c r="C1937" s="26" t="s">
        <v>2028</v>
      </c>
      <c r="D1937" s="1"/>
      <c r="E1937" s="29" t="s">
        <v>33</v>
      </c>
      <c r="F1937" s="15"/>
      <c r="G1937" s="30">
        <v>60.0</v>
      </c>
      <c r="H1937" s="22" t="s">
        <v>2029</v>
      </c>
      <c r="I1937" s="7"/>
      <c r="J1937" s="7" t="str">
        <f>IFERROR(LET(_xlpm.v,
VLOOKUP($I1937,'用語辞書'!$A:$B,COLUMN('用語辞書'!B$1),FALSE),
IF(_xlpm.v=0,"",_xlpm.v)
),"")</f>
        <v/>
      </c>
      <c r="K1937" s="17"/>
      <c r="L1937" s="17" t="b">
        <f>IF(OR(COUNTIF('クラス'!$A$1:$A$1267,$B1937)&gt;0,$B1937="",$M1937=""),"",True)</f>
        <v>1</v>
      </c>
      <c r="M1937" s="1" t="str">
        <f t="shared" si="27"/>
        <v>存在しない</v>
      </c>
      <c r="N1937" s="1" t="s">
        <v>29</v>
      </c>
      <c r="O1937" s="1"/>
      <c r="P1937" s="11"/>
      <c r="Q1937" s="11"/>
      <c r="R1937" s="11"/>
      <c r="S1937" s="11"/>
      <c r="T1937" s="1"/>
      <c r="U1937" s="1"/>
      <c r="V1937" s="1"/>
      <c r="W1937" s="1"/>
      <c r="X1937" s="1"/>
      <c r="Y1937" s="1"/>
      <c r="Z1937" s="1"/>
    </row>
    <row r="1938" ht="18.0" hidden="1" customHeight="1" outlineLevel="1">
      <c r="A1938" s="1">
        <v>6.0</v>
      </c>
      <c r="B1938" s="1"/>
      <c r="C1938" s="1"/>
      <c r="D1938" s="1"/>
      <c r="E1938" s="14"/>
      <c r="F1938" s="15"/>
      <c r="G1938" s="16"/>
      <c r="H1938" s="11"/>
      <c r="I1938" s="7"/>
      <c r="J1938" s="7" t="str">
        <f>IFERROR(LET(_xlpm.v,
VLOOKUP($I1938,'用語辞書'!$A:$B,COLUMN('用語辞書'!B$1),FALSE),
IF(_xlpm.v=0,"",_xlpm.v)
),"")</f>
        <v/>
      </c>
      <c r="K1938" s="17"/>
      <c r="L1938" s="17" t="str">
        <f>IF(OR(COUNTIF('クラス'!$A$1:$A$1267,$B1938)&gt;0,$B1938="",$M1938=""),"",True)</f>
        <v/>
      </c>
      <c r="M1938" s="1" t="str">
        <f t="shared" si="27"/>
        <v>存在しない</v>
      </c>
      <c r="N1938" s="1" t="s">
        <v>29</v>
      </c>
      <c r="O1938" s="1"/>
      <c r="P1938" s="11"/>
      <c r="Q1938" s="11"/>
      <c r="R1938" s="11"/>
      <c r="S1938" s="11"/>
      <c r="T1938" s="1"/>
      <c r="U1938" s="1"/>
      <c r="V1938" s="1"/>
      <c r="W1938" s="1"/>
      <c r="X1938" s="1"/>
      <c r="Y1938" s="1"/>
      <c r="Z1938" s="1"/>
    </row>
    <row r="1939" ht="18.0" hidden="1" customHeight="1" outlineLevel="1">
      <c r="A1939" s="1">
        <v>7.0</v>
      </c>
      <c r="B1939" s="26" t="s">
        <v>2030</v>
      </c>
      <c r="C1939" s="1"/>
      <c r="D1939" s="1"/>
      <c r="E1939" s="29" t="s">
        <v>55</v>
      </c>
      <c r="F1939" s="15"/>
      <c r="G1939" s="16"/>
      <c r="H1939" s="31" t="s">
        <v>2031</v>
      </c>
      <c r="I1939" s="7"/>
      <c r="J1939" s="7" t="str">
        <f>IFERROR(LET(_xlpm.v,
VLOOKUP($I1939,'用語辞書'!$A:$B,COLUMN('用語辞書'!B$1),FALSE),
IF(_xlpm.v=0,"",_xlpm.v)
),"")</f>
        <v/>
      </c>
      <c r="K1939" s="17"/>
      <c r="L1939" s="17" t="b">
        <f>IF(OR(COUNTIF('クラス'!$A$1:$A$1267,$B1939)&gt;0,$B1939="",$M1939=""),"",True)</f>
        <v>1</v>
      </c>
      <c r="M1939" s="1" t="str">
        <f t="shared" si="27"/>
        <v>存在しない</v>
      </c>
      <c r="N1939" s="1" t="s">
        <v>29</v>
      </c>
      <c r="O1939" s="1"/>
      <c r="P1939" s="11"/>
      <c r="Q1939" s="11"/>
      <c r="R1939" s="11"/>
      <c r="S1939" s="11"/>
      <c r="T1939" s="1"/>
      <c r="U1939" s="1"/>
      <c r="V1939" s="1"/>
      <c r="W1939" s="1"/>
      <c r="X1939" s="1"/>
      <c r="Y1939" s="1"/>
      <c r="Z1939" s="1"/>
    </row>
    <row r="1940" ht="18.0" hidden="1" customHeight="1" outlineLevel="1">
      <c r="A1940" s="1">
        <v>8.0</v>
      </c>
      <c r="B1940" s="1"/>
      <c r="C1940" s="1"/>
      <c r="D1940" s="1"/>
      <c r="E1940" s="14"/>
      <c r="F1940" s="15"/>
      <c r="G1940" s="16"/>
      <c r="H1940" s="11"/>
      <c r="I1940" s="7"/>
      <c r="J1940" s="7" t="str">
        <f>IFERROR(LET(_xlpm.v,
VLOOKUP($I1940,'用語辞書'!$A:$B,COLUMN('用語辞書'!B$1),FALSE),
IF(_xlpm.v=0,"",_xlpm.v)
),"")</f>
        <v/>
      </c>
      <c r="K1940" s="17"/>
      <c r="L1940" s="17" t="str">
        <f>IF(OR(COUNTIF('クラス'!$A$1:$A$1267,$B1940)&gt;0,$B1940="",$M1940=""),"",True)</f>
        <v/>
      </c>
      <c r="M1940" s="1" t="str">
        <f t="shared" si="27"/>
        <v>存在しない</v>
      </c>
      <c r="N1940" s="1" t="s">
        <v>29</v>
      </c>
      <c r="O1940" s="1"/>
      <c r="P1940" s="11"/>
      <c r="Q1940" s="11"/>
      <c r="R1940" s="11"/>
      <c r="S1940" s="11"/>
      <c r="T1940" s="1"/>
      <c r="U1940" s="1"/>
      <c r="V1940" s="1"/>
      <c r="W1940" s="1"/>
      <c r="X1940" s="1"/>
      <c r="Y1940" s="1"/>
      <c r="Z1940" s="1"/>
    </row>
    <row r="1941" ht="18.0" hidden="1" customHeight="1" outlineLevel="1">
      <c r="A1941" s="1">
        <v>9.0</v>
      </c>
      <c r="B1941" s="26" t="s">
        <v>2032</v>
      </c>
      <c r="C1941" s="26" t="s">
        <v>2033</v>
      </c>
      <c r="D1941" s="1"/>
      <c r="E1941" s="29" t="s">
        <v>33</v>
      </c>
      <c r="F1941" s="15"/>
      <c r="G1941" s="30">
        <v>60.0</v>
      </c>
      <c r="H1941" s="22" t="s">
        <v>2034</v>
      </c>
      <c r="I1941" s="7"/>
      <c r="J1941" s="7" t="str">
        <f>IFERROR(LET(_xlpm.v,
VLOOKUP($I1941,'用語辞書'!$A:$B,COLUMN('用語辞書'!B$1),FALSE),
IF(_xlpm.v=0,"",_xlpm.v)
),"")</f>
        <v/>
      </c>
      <c r="K1941" s="17"/>
      <c r="L1941" s="17" t="b">
        <f>IF(OR(COUNTIF('クラス'!$A$1:$A$1267,$B1941)&gt;0,$B1941="",$M1941=""),"",True)</f>
        <v>1</v>
      </c>
      <c r="M1941" s="1" t="str">
        <f t="shared" si="27"/>
        <v>存在しない</v>
      </c>
      <c r="N1941" s="1" t="s">
        <v>29</v>
      </c>
      <c r="O1941" s="1"/>
      <c r="P1941" s="11"/>
      <c r="Q1941" s="11"/>
      <c r="R1941" s="11"/>
      <c r="S1941" s="11"/>
      <c r="T1941" s="1"/>
      <c r="U1941" s="1"/>
      <c r="V1941" s="1"/>
      <c r="W1941" s="1"/>
      <c r="X1941" s="1"/>
      <c r="Y1941" s="1"/>
      <c r="Z1941" s="1"/>
    </row>
    <row r="1942" ht="18.0" hidden="1" customHeight="1" outlineLevel="1">
      <c r="A1942" s="1">
        <v>10.0</v>
      </c>
      <c r="B1942" s="26" t="s">
        <v>2035</v>
      </c>
      <c r="C1942" s="1"/>
      <c r="D1942" s="1"/>
      <c r="E1942" s="29" t="s">
        <v>55</v>
      </c>
      <c r="F1942" s="15"/>
      <c r="G1942" s="16"/>
      <c r="H1942" s="22" t="s">
        <v>2036</v>
      </c>
      <c r="I1942" s="7"/>
      <c r="J1942" s="7" t="str">
        <f>IFERROR(LET(_xlpm.v,
VLOOKUP($I1942,'用語辞書'!$A:$B,COLUMN('用語辞書'!B$1),FALSE),
IF(_xlpm.v=0,"",_xlpm.v)
),"")</f>
        <v/>
      </c>
      <c r="K1942" s="17"/>
      <c r="L1942" s="17" t="b">
        <f>IF(OR(COUNTIF('クラス'!$A$1:$A$1267,$B1942)&gt;0,$B1942="",$M1942=""),"",True)</f>
        <v>1</v>
      </c>
      <c r="M1942" s="1" t="str">
        <f t="shared" si="27"/>
        <v>存在しない</v>
      </c>
      <c r="N1942" s="1" t="s">
        <v>29</v>
      </c>
      <c r="O1942" s="1"/>
      <c r="P1942" s="11"/>
      <c r="Q1942" s="11"/>
      <c r="R1942" s="11"/>
      <c r="S1942" s="11"/>
      <c r="T1942" s="1"/>
      <c r="U1942" s="1"/>
      <c r="V1942" s="1"/>
      <c r="W1942" s="1"/>
      <c r="X1942" s="1"/>
      <c r="Y1942" s="1"/>
      <c r="Z1942" s="1"/>
    </row>
    <row r="1943" ht="18.0" customHeight="1" collapsed="1">
      <c r="A1943" s="1"/>
      <c r="B1943" s="1"/>
      <c r="C1943" s="26"/>
      <c r="D1943" s="1"/>
      <c r="E1943" s="14"/>
      <c r="F1943" s="15"/>
      <c r="G1943" s="16"/>
      <c r="H1943" s="11"/>
      <c r="I1943" s="7"/>
      <c r="J1943" s="7" t="str">
        <f>IFERROR(LET(_xlpm.v,
VLOOKUP($I1943,'用語辞書'!$A:$B,COLUMN('用語辞書'!B$1),FALSE),
IF(_xlpm.v=0,"",_xlpm.v)
),"")</f>
        <v/>
      </c>
      <c r="K1943" s="17"/>
      <c r="L1943" s="17" t="str">
        <f>IF(OR(COUNTIF('クラス'!$A$1:$A$1267,$B1943)&gt;0,$B1943="",$M1943=""),"",True)</f>
        <v/>
      </c>
      <c r="M1943" s="1" t="str">
        <f t="shared" si="27"/>
        <v>存在しない</v>
      </c>
      <c r="N1943" s="1" t="s">
        <v>29</v>
      </c>
      <c r="O1943" s="1"/>
      <c r="P1943" s="11"/>
      <c r="Q1943" s="11"/>
      <c r="R1943" s="11"/>
      <c r="S1943" s="11"/>
      <c r="T1943" s="1"/>
      <c r="U1943" s="1"/>
      <c r="V1943" s="1"/>
      <c r="W1943" s="1"/>
      <c r="X1943" s="1"/>
      <c r="Y1943" s="1"/>
      <c r="Z1943" s="1"/>
    </row>
    <row r="1944" ht="18.0" customHeight="1">
      <c r="A1944" s="1"/>
      <c r="B1944" s="26" t="s">
        <v>2037</v>
      </c>
      <c r="C1944" s="1"/>
      <c r="D1944" s="1"/>
      <c r="E1944" s="14"/>
      <c r="F1944" s="15"/>
      <c r="G1944" s="16"/>
      <c r="H1944" s="11"/>
      <c r="I1944" s="7"/>
      <c r="J1944" s="7" t="str">
        <f>IFERROR(LET(_xlpm.v,
VLOOKUP($I1944,'用語辞書'!$A:$B,COLUMN('用語辞書'!B$1),FALSE),
IF(_xlpm.v=0,"",_xlpm.v)
),"")</f>
        <v/>
      </c>
      <c r="K1944" s="17"/>
      <c r="L1944" s="17" t="str">
        <f>IF(OR(COUNTIF('クラス'!$A$1:$A$1267,$B1944)&gt;0,$B1944="",$M1944=""),"",True)</f>
        <v/>
      </c>
      <c r="M1944" s="1" t="str">
        <f t="shared" si="27"/>
        <v>存在しない</v>
      </c>
      <c r="N1944" s="1" t="s">
        <v>29</v>
      </c>
      <c r="O1944" s="1"/>
      <c r="P1944" s="11"/>
      <c r="Q1944" s="11"/>
      <c r="R1944" s="11"/>
      <c r="S1944" s="11"/>
      <c r="T1944" s="1"/>
      <c r="U1944" s="1"/>
      <c r="V1944" s="1"/>
      <c r="W1944" s="1"/>
      <c r="X1944" s="1"/>
      <c r="Y1944" s="1"/>
      <c r="Z1944" s="1"/>
    </row>
    <row r="1945" ht="18.0" hidden="1" customHeight="1" outlineLevel="1">
      <c r="A1945" s="1">
        <v>1.0</v>
      </c>
      <c r="B1945" s="26" t="s">
        <v>2038</v>
      </c>
      <c r="C1945" s="26" t="s">
        <v>2037</v>
      </c>
      <c r="D1945" s="1"/>
      <c r="E1945" s="29" t="s">
        <v>33</v>
      </c>
      <c r="F1945" s="15"/>
      <c r="G1945" s="30">
        <v>30.0</v>
      </c>
      <c r="H1945" s="22" t="s">
        <v>2039</v>
      </c>
      <c r="I1945" s="7"/>
      <c r="J1945" s="7" t="str">
        <f>IFERROR(LET(_xlpm.v,
VLOOKUP($I1945,'用語辞書'!$A:$B,COLUMN('用語辞書'!B$1),FALSE),
IF(_xlpm.v=0,"",_xlpm.v)
),"")</f>
        <v/>
      </c>
      <c r="K1945" s="17"/>
      <c r="L1945" s="17" t="b">
        <f>IF(OR(COUNTIF('クラス'!$A$1:$A$1267,$B1945)&gt;0,$B1945="",$M1945=""),"",True)</f>
        <v>1</v>
      </c>
      <c r="M1945" s="1" t="str">
        <f t="shared" si="27"/>
        <v>存在しない</v>
      </c>
      <c r="N1945" s="1" t="s">
        <v>29</v>
      </c>
      <c r="O1945" s="1"/>
      <c r="P1945" s="11"/>
      <c r="Q1945" s="11"/>
      <c r="R1945" s="11"/>
      <c r="S1945" s="11"/>
      <c r="T1945" s="1"/>
      <c r="U1945" s="1"/>
      <c r="V1945" s="1"/>
      <c r="W1945" s="1"/>
      <c r="X1945" s="1"/>
      <c r="Y1945" s="1"/>
      <c r="Z1945" s="1"/>
    </row>
    <row r="1946" ht="18.0" hidden="1" customHeight="1" outlineLevel="1">
      <c r="A1946" s="1">
        <v>2.0</v>
      </c>
      <c r="B1946" s="1"/>
      <c r="C1946" s="1"/>
      <c r="D1946" s="1"/>
      <c r="E1946" s="14"/>
      <c r="F1946" s="15"/>
      <c r="G1946" s="16"/>
      <c r="H1946" s="11"/>
      <c r="I1946" s="7"/>
      <c r="J1946" s="7" t="str">
        <f>IFERROR(LET(_xlpm.v,
VLOOKUP($I1946,'用語辞書'!$A:$B,COLUMN('用語辞書'!B$1),FALSE),
IF(_xlpm.v=0,"",_xlpm.v)
),"")</f>
        <v/>
      </c>
      <c r="K1946" s="17"/>
      <c r="L1946" s="17" t="str">
        <f>IF(OR(COUNTIF('クラス'!$A$1:$A$1267,$B1946)&gt;0,$B1946="",$M1946=""),"",True)</f>
        <v/>
      </c>
      <c r="M1946" s="1" t="str">
        <f t="shared" si="27"/>
        <v>存在しない</v>
      </c>
      <c r="N1946" s="1" t="s">
        <v>29</v>
      </c>
      <c r="O1946" s="1"/>
      <c r="P1946" s="11"/>
      <c r="Q1946" s="11"/>
      <c r="R1946" s="11"/>
      <c r="S1946" s="11"/>
      <c r="T1946" s="1"/>
      <c r="U1946" s="1"/>
      <c r="V1946" s="1"/>
      <c r="W1946" s="1"/>
      <c r="X1946" s="1"/>
      <c r="Y1946" s="1"/>
      <c r="Z1946" s="1"/>
    </row>
    <row r="1947" ht="18.0" hidden="1" customHeight="1" outlineLevel="1">
      <c r="A1947" s="1">
        <v>3.0</v>
      </c>
      <c r="B1947" s="26" t="s">
        <v>2040</v>
      </c>
      <c r="C1947" s="1"/>
      <c r="D1947" s="1"/>
      <c r="E1947" s="29" t="s">
        <v>55</v>
      </c>
      <c r="F1947" s="15"/>
      <c r="G1947" s="16"/>
      <c r="H1947" s="22" t="s">
        <v>2041</v>
      </c>
      <c r="I1947" s="7"/>
      <c r="J1947" s="7" t="str">
        <f>IFERROR(LET(_xlpm.v,
VLOOKUP($I1947,'用語辞書'!$A:$B,COLUMN('用語辞書'!B$1),FALSE),
IF(_xlpm.v=0,"",_xlpm.v)
),"")</f>
        <v/>
      </c>
      <c r="K1947" s="17"/>
      <c r="L1947" s="17" t="b">
        <f>IF(OR(COUNTIF('クラス'!$A$1:$A$1267,$B1947)&gt;0,$B1947="",$M1947=""),"",True)</f>
        <v>1</v>
      </c>
      <c r="M1947" s="1" t="str">
        <f t="shared" si="27"/>
        <v>存在しない</v>
      </c>
      <c r="N1947" s="1" t="s">
        <v>29</v>
      </c>
      <c r="O1947" s="1"/>
      <c r="P1947" s="11"/>
      <c r="Q1947" s="11"/>
      <c r="R1947" s="11"/>
      <c r="S1947" s="11"/>
      <c r="T1947" s="1"/>
      <c r="U1947" s="1"/>
      <c r="V1947" s="1"/>
      <c r="W1947" s="1"/>
      <c r="X1947" s="1"/>
      <c r="Y1947" s="1"/>
      <c r="Z1947" s="1"/>
    </row>
    <row r="1948" ht="18.0" hidden="1" customHeight="1" outlineLevel="1">
      <c r="A1948" s="1">
        <v>4.0</v>
      </c>
      <c r="B1948" s="1"/>
      <c r="C1948" s="1"/>
      <c r="D1948" s="1"/>
      <c r="E1948" s="14"/>
      <c r="F1948" s="15"/>
      <c r="G1948" s="16"/>
      <c r="H1948" s="11"/>
      <c r="I1948" s="7"/>
      <c r="J1948" s="7" t="str">
        <f>IFERROR(LET(_xlpm.v,
VLOOKUP($I1948,'用語辞書'!$A:$B,COLUMN('用語辞書'!B$1),FALSE),
IF(_xlpm.v=0,"",_xlpm.v)
),"")</f>
        <v/>
      </c>
      <c r="K1948" s="17"/>
      <c r="L1948" s="17" t="str">
        <f>IF(OR(COUNTIF('クラス'!$A$1:$A$1267,$B1948)&gt;0,$B1948="",$M1948=""),"",True)</f>
        <v/>
      </c>
      <c r="M1948" s="1" t="str">
        <f t="shared" si="27"/>
        <v>存在しない</v>
      </c>
      <c r="N1948" s="1" t="s">
        <v>29</v>
      </c>
      <c r="O1948" s="1"/>
      <c r="P1948" s="11"/>
      <c r="Q1948" s="11"/>
      <c r="R1948" s="11"/>
      <c r="S1948" s="11"/>
      <c r="T1948" s="1"/>
      <c r="U1948" s="1"/>
      <c r="V1948" s="1"/>
      <c r="W1948" s="1"/>
      <c r="X1948" s="1"/>
      <c r="Y1948" s="1"/>
      <c r="Z1948" s="1"/>
    </row>
    <row r="1949" ht="18.0" hidden="1" customHeight="1" outlineLevel="1">
      <c r="A1949" s="1">
        <v>5.0</v>
      </c>
      <c r="B1949" s="26" t="s">
        <v>2042</v>
      </c>
      <c r="C1949" s="26" t="s">
        <v>2043</v>
      </c>
      <c r="D1949" s="1"/>
      <c r="E1949" s="29" t="s">
        <v>33</v>
      </c>
      <c r="F1949" s="15"/>
      <c r="G1949" s="30">
        <v>30.0</v>
      </c>
      <c r="H1949" s="22" t="s">
        <v>2044</v>
      </c>
      <c r="I1949" s="7"/>
      <c r="J1949" s="7" t="str">
        <f>IFERROR(LET(_xlpm.v,
VLOOKUP($I1949,'用語辞書'!$A:$B,COLUMN('用語辞書'!B$1),FALSE),
IF(_xlpm.v=0,"",_xlpm.v)
),"")</f>
        <v/>
      </c>
      <c r="K1949" s="17"/>
      <c r="L1949" s="17" t="b">
        <f>IF(OR(COUNTIF('クラス'!$A$1:$A$1267,$B1949)&gt;0,$B1949="",$M1949=""),"",True)</f>
        <v>1</v>
      </c>
      <c r="M1949" s="1" t="str">
        <f t="shared" si="27"/>
        <v>存在しない</v>
      </c>
      <c r="N1949" s="1" t="s">
        <v>29</v>
      </c>
      <c r="O1949" s="1"/>
      <c r="P1949" s="11"/>
      <c r="Q1949" s="11"/>
      <c r="R1949" s="11"/>
      <c r="S1949" s="11"/>
      <c r="T1949" s="1"/>
      <c r="U1949" s="1"/>
      <c r="V1949" s="1"/>
      <c r="W1949" s="1"/>
      <c r="X1949" s="1"/>
      <c r="Y1949" s="1"/>
      <c r="Z1949" s="1"/>
    </row>
    <row r="1950" ht="18.0" hidden="1" customHeight="1" outlineLevel="1">
      <c r="A1950" s="1">
        <v>6.0</v>
      </c>
      <c r="B1950" s="1"/>
      <c r="C1950" s="1"/>
      <c r="D1950" s="1"/>
      <c r="E1950" s="14"/>
      <c r="F1950" s="15"/>
      <c r="G1950" s="16"/>
      <c r="H1950" s="11"/>
      <c r="I1950" s="7"/>
      <c r="J1950" s="7" t="str">
        <f>IFERROR(LET(_xlpm.v,
VLOOKUP($I1950,'用語辞書'!$A:$B,COLUMN('用語辞書'!B$1),FALSE),
IF(_xlpm.v=0,"",_xlpm.v)
),"")</f>
        <v/>
      </c>
      <c r="K1950" s="17"/>
      <c r="L1950" s="17" t="str">
        <f>IF(OR(COUNTIF('クラス'!$A$1:$A$1267,$B1950)&gt;0,$B1950="",$M1950=""),"",True)</f>
        <v/>
      </c>
      <c r="M1950" s="1" t="str">
        <f t="shared" si="27"/>
        <v>存在しない</v>
      </c>
      <c r="N1950" s="1" t="s">
        <v>29</v>
      </c>
      <c r="O1950" s="1"/>
      <c r="P1950" s="11"/>
      <c r="Q1950" s="11"/>
      <c r="R1950" s="11"/>
      <c r="S1950" s="11"/>
      <c r="T1950" s="1"/>
      <c r="U1950" s="1"/>
      <c r="V1950" s="1"/>
      <c r="W1950" s="1"/>
      <c r="X1950" s="1"/>
      <c r="Y1950" s="1"/>
      <c r="Z1950" s="1"/>
    </row>
    <row r="1951" ht="18.0" hidden="1" customHeight="1" outlineLevel="1">
      <c r="A1951" s="1">
        <v>7.0</v>
      </c>
      <c r="B1951" s="26" t="s">
        <v>1998</v>
      </c>
      <c r="C1951" s="1"/>
      <c r="D1951" s="1"/>
      <c r="E1951" s="29" t="s">
        <v>55</v>
      </c>
      <c r="F1951" s="15"/>
      <c r="G1951" s="16"/>
      <c r="H1951" s="22" t="s">
        <v>2045</v>
      </c>
      <c r="I1951" s="7"/>
      <c r="J1951" s="7" t="str">
        <f>IFERROR(LET(_xlpm.v,
VLOOKUP($I1951,'用語辞書'!$A:$B,COLUMN('用語辞書'!B$1),FALSE),
IF(_xlpm.v=0,"",_xlpm.v)
),"")</f>
        <v/>
      </c>
      <c r="K1951" s="17"/>
      <c r="L1951" s="17" t="str">
        <f>IF(OR(COUNTIF('クラス'!$A$1:$A$1267,$B1951)&gt;0,$B1951="",$M1951=""),"",True)</f>
        <v/>
      </c>
      <c r="M1951" s="1" t="str">
        <f t="shared" si="27"/>
        <v/>
      </c>
      <c r="N1951" s="1" t="s">
        <v>29</v>
      </c>
      <c r="O1951" s="1"/>
      <c r="P1951" s="11"/>
      <c r="Q1951" s="11"/>
      <c r="R1951" s="11"/>
      <c r="S1951" s="11"/>
      <c r="T1951" s="1"/>
      <c r="U1951" s="1"/>
      <c r="V1951" s="1"/>
      <c r="W1951" s="1"/>
      <c r="X1951" s="1"/>
      <c r="Y1951" s="1"/>
      <c r="Z1951" s="1"/>
    </row>
    <row r="1952" ht="18.0" hidden="1" customHeight="1" outlineLevel="1">
      <c r="A1952" s="1">
        <v>8.0</v>
      </c>
      <c r="B1952" s="1"/>
      <c r="C1952" s="1"/>
      <c r="D1952" s="1"/>
      <c r="E1952" s="14"/>
      <c r="F1952" s="15"/>
      <c r="G1952" s="16"/>
      <c r="H1952" s="11"/>
      <c r="I1952" s="7"/>
      <c r="J1952" s="7" t="str">
        <f>IFERROR(LET(_xlpm.v,
VLOOKUP($I1952,'用語辞書'!$A:$B,COLUMN('用語辞書'!B$1),FALSE),
IF(_xlpm.v=0,"",_xlpm.v)
),"")</f>
        <v/>
      </c>
      <c r="K1952" s="17"/>
      <c r="L1952" s="17" t="str">
        <f>IF(OR(COUNTIF('クラス'!$A$1:$A$1267,$B1952)&gt;0,$B1952="",$M1952=""),"",True)</f>
        <v/>
      </c>
      <c r="M1952" s="1" t="str">
        <f t="shared" si="27"/>
        <v>存在しない</v>
      </c>
      <c r="N1952" s="1" t="s">
        <v>29</v>
      </c>
      <c r="O1952" s="1"/>
      <c r="P1952" s="11"/>
      <c r="Q1952" s="11"/>
      <c r="R1952" s="11"/>
      <c r="S1952" s="11"/>
      <c r="T1952" s="1"/>
      <c r="U1952" s="1"/>
      <c r="V1952" s="1"/>
      <c r="W1952" s="1"/>
      <c r="X1952" s="1"/>
      <c r="Y1952" s="1"/>
      <c r="Z1952" s="1"/>
    </row>
    <row r="1953" ht="18.0" hidden="1" customHeight="1" outlineLevel="1">
      <c r="A1953" s="1">
        <v>9.0</v>
      </c>
      <c r="B1953" s="26" t="s">
        <v>2046</v>
      </c>
      <c r="C1953" s="26" t="s">
        <v>2047</v>
      </c>
      <c r="D1953" s="1"/>
      <c r="E1953" s="29" t="s">
        <v>33</v>
      </c>
      <c r="F1953" s="15"/>
      <c r="G1953" s="30">
        <v>60.0</v>
      </c>
      <c r="H1953" s="22" t="s">
        <v>2048</v>
      </c>
      <c r="I1953" s="7"/>
      <c r="J1953" s="7" t="str">
        <f>IFERROR(LET(_xlpm.v,
VLOOKUP($I1953,'用語辞書'!$A:$B,COLUMN('用語辞書'!B$1),FALSE),
IF(_xlpm.v=0,"",_xlpm.v)
),"")</f>
        <v/>
      </c>
      <c r="K1953" s="17"/>
      <c r="L1953" s="17" t="b">
        <f>IF(OR(COUNTIF('クラス'!$A$1:$A$1267,$B1953)&gt;0,$B1953="",$M1953=""),"",True)</f>
        <v>1</v>
      </c>
      <c r="M1953" s="1" t="str">
        <f t="shared" si="27"/>
        <v>存在しない</v>
      </c>
      <c r="N1953" s="1" t="s">
        <v>29</v>
      </c>
      <c r="O1953" s="1"/>
      <c r="P1953" s="11"/>
      <c r="Q1953" s="11"/>
      <c r="R1953" s="11"/>
      <c r="S1953" s="11"/>
      <c r="T1953" s="1"/>
      <c r="U1953" s="1"/>
      <c r="V1953" s="1"/>
      <c r="W1953" s="1"/>
      <c r="X1953" s="1"/>
      <c r="Y1953" s="1"/>
      <c r="Z1953" s="1"/>
    </row>
    <row r="1954" ht="18.0" hidden="1" customHeight="1" outlineLevel="1">
      <c r="A1954" s="1">
        <v>10.0</v>
      </c>
      <c r="B1954" s="26" t="s">
        <v>2049</v>
      </c>
      <c r="C1954" s="1"/>
      <c r="D1954" s="1"/>
      <c r="E1954" s="29" t="s">
        <v>55</v>
      </c>
      <c r="F1954" s="15"/>
      <c r="G1954" s="16"/>
      <c r="H1954" s="22" t="s">
        <v>2050</v>
      </c>
      <c r="I1954" s="7"/>
      <c r="J1954" s="7" t="str">
        <f>IFERROR(LET(_xlpm.v,
VLOOKUP($I1954,'用語辞書'!$A:$B,COLUMN('用語辞書'!B$1),FALSE),
IF(_xlpm.v=0,"",_xlpm.v)
),"")</f>
        <v/>
      </c>
      <c r="K1954" s="17"/>
      <c r="L1954" s="17" t="b">
        <f>IF(OR(COUNTIF('クラス'!$A$1:$A$1267,$B1954)&gt;0,$B1954="",$M1954=""),"",True)</f>
        <v>1</v>
      </c>
      <c r="M1954" s="1" t="str">
        <f t="shared" si="27"/>
        <v>存在しない</v>
      </c>
      <c r="N1954" s="1" t="s">
        <v>29</v>
      </c>
      <c r="O1954" s="1"/>
      <c r="P1954" s="11"/>
      <c r="Q1954" s="11"/>
      <c r="R1954" s="11"/>
      <c r="S1954" s="11"/>
      <c r="T1954" s="1"/>
      <c r="U1954" s="1"/>
      <c r="V1954" s="1"/>
      <c r="W1954" s="1"/>
      <c r="X1954" s="1"/>
      <c r="Y1954" s="1"/>
      <c r="Z1954" s="1"/>
    </row>
    <row r="1955" ht="18.0" customHeight="1" collapsed="1">
      <c r="A1955" s="1"/>
      <c r="B1955" s="1"/>
      <c r="C1955" s="1"/>
      <c r="D1955" s="1"/>
      <c r="E1955" s="14"/>
      <c r="F1955" s="15"/>
      <c r="G1955" s="16"/>
      <c r="H1955" s="11"/>
      <c r="I1955" s="7"/>
      <c r="J1955" s="7" t="str">
        <f>IFERROR(LET(_xlpm.v,
VLOOKUP($I1955,'用語辞書'!$A:$B,COLUMN('用語辞書'!B$1),FALSE),
IF(_xlpm.v=0,"",_xlpm.v)
),"")</f>
        <v/>
      </c>
      <c r="K1955" s="17"/>
      <c r="L1955" s="17" t="str">
        <f>IF(OR(COUNTIF('クラス'!$A$1:$A$1267,$B1955)&gt;0,$B1955="",$M1955=""),"",True)</f>
        <v/>
      </c>
      <c r="M1955" s="1" t="str">
        <f t="shared" si="27"/>
        <v>存在しない</v>
      </c>
      <c r="N1955" s="1" t="s">
        <v>29</v>
      </c>
      <c r="O1955" s="1"/>
      <c r="P1955" s="11"/>
      <c r="Q1955" s="11"/>
      <c r="R1955" s="11"/>
      <c r="S1955" s="11"/>
      <c r="T1955" s="1"/>
      <c r="U1955" s="1"/>
      <c r="V1955" s="1"/>
      <c r="W1955" s="1"/>
      <c r="X1955" s="1"/>
      <c r="Y1955" s="1"/>
      <c r="Z1955" s="1"/>
    </row>
    <row r="1956" ht="18.0" customHeight="1">
      <c r="A1956" s="1"/>
      <c r="B1956" s="26" t="s">
        <v>2051</v>
      </c>
      <c r="C1956" s="1"/>
      <c r="D1956" s="1"/>
      <c r="E1956" s="14"/>
      <c r="F1956" s="15"/>
      <c r="G1956" s="16"/>
      <c r="H1956" s="11"/>
      <c r="I1956" s="7"/>
      <c r="J1956" s="7" t="str">
        <f>IFERROR(LET(_xlpm.v,
VLOOKUP($I1956,'用語辞書'!$A:$B,COLUMN('用語辞書'!B$1),FALSE),
IF(_xlpm.v=0,"",_xlpm.v)
),"")</f>
        <v/>
      </c>
      <c r="K1956" s="17"/>
      <c r="L1956" s="17" t="str">
        <f>IF(OR(COUNTIF('クラス'!$A$1:$A$1267,$B1956)&gt;0,$B1956="",$M1956=""),"",True)</f>
        <v/>
      </c>
      <c r="M1956" s="1" t="str">
        <f t="shared" si="27"/>
        <v>存在しない</v>
      </c>
      <c r="N1956" s="1" t="s">
        <v>29</v>
      </c>
      <c r="O1956" s="1"/>
      <c r="P1956" s="11"/>
      <c r="Q1956" s="11"/>
      <c r="R1956" s="11"/>
      <c r="S1956" s="11"/>
      <c r="T1956" s="1"/>
      <c r="U1956" s="1"/>
      <c r="V1956" s="1"/>
      <c r="W1956" s="1"/>
      <c r="X1956" s="1"/>
      <c r="Y1956" s="1"/>
      <c r="Z1956" s="1"/>
    </row>
    <row r="1957" ht="18.0" hidden="1" customHeight="1" outlineLevel="1">
      <c r="A1957" s="1">
        <v>1.0</v>
      </c>
      <c r="B1957" s="26" t="s">
        <v>2052</v>
      </c>
      <c r="C1957" s="26" t="s">
        <v>2053</v>
      </c>
      <c r="D1957" s="1"/>
      <c r="E1957" s="29" t="s">
        <v>33</v>
      </c>
      <c r="F1957" s="15"/>
      <c r="G1957" s="30">
        <v>30.0</v>
      </c>
      <c r="H1957" s="22" t="s">
        <v>2054</v>
      </c>
      <c r="I1957" s="7"/>
      <c r="J1957" s="7" t="str">
        <f>IFERROR(LET(_xlpm.v,
VLOOKUP($I1957,'用語辞書'!$A:$B,COLUMN('用語辞書'!B$1),FALSE),
IF(_xlpm.v=0,"",_xlpm.v)
),"")</f>
        <v/>
      </c>
      <c r="K1957" s="17"/>
      <c r="L1957" s="17" t="b">
        <f>IF(OR(COUNTIF('クラス'!$A$1:$A$1267,$B1957)&gt;0,$B1957="",$M1957=""),"",True)</f>
        <v>1</v>
      </c>
      <c r="M1957" s="1" t="str">
        <f t="shared" si="27"/>
        <v>存在しない</v>
      </c>
      <c r="N1957" s="1" t="s">
        <v>29</v>
      </c>
      <c r="O1957" s="1"/>
      <c r="P1957" s="11"/>
      <c r="Q1957" s="11"/>
      <c r="R1957" s="11"/>
      <c r="S1957" s="11"/>
      <c r="T1957" s="1"/>
      <c r="U1957" s="1"/>
      <c r="V1957" s="1"/>
      <c r="W1957" s="1"/>
      <c r="X1957" s="1"/>
      <c r="Y1957" s="1"/>
      <c r="Z1957" s="1"/>
    </row>
    <row r="1958" ht="18.0" hidden="1" customHeight="1" outlineLevel="1">
      <c r="A1958" s="1">
        <v>2.0</v>
      </c>
      <c r="B1958" s="1"/>
      <c r="C1958" s="1"/>
      <c r="D1958" s="1"/>
      <c r="E1958" s="14"/>
      <c r="F1958" s="15"/>
      <c r="G1958" s="16"/>
      <c r="H1958" s="11"/>
      <c r="I1958" s="7"/>
      <c r="J1958" s="7" t="str">
        <f>IFERROR(LET(_xlpm.v,
VLOOKUP($I1958,'用語辞書'!$A:$B,COLUMN('用語辞書'!B$1),FALSE),
IF(_xlpm.v=0,"",_xlpm.v)
),"")</f>
        <v/>
      </c>
      <c r="K1958" s="17"/>
      <c r="L1958" s="17" t="str">
        <f>IF(OR(COUNTIF('クラス'!$A$1:$A$1267,$B1958)&gt;0,$B1958="",$M1958=""),"",True)</f>
        <v/>
      </c>
      <c r="M1958" s="1" t="str">
        <f t="shared" si="27"/>
        <v>存在しない</v>
      </c>
      <c r="N1958" s="1" t="s">
        <v>29</v>
      </c>
      <c r="O1958" s="1"/>
      <c r="P1958" s="11"/>
      <c r="Q1958" s="11"/>
      <c r="R1958" s="11"/>
      <c r="S1958" s="11"/>
      <c r="T1958" s="1"/>
      <c r="U1958" s="1"/>
      <c r="V1958" s="1"/>
      <c r="W1958" s="1"/>
      <c r="X1958" s="1"/>
      <c r="Y1958" s="1"/>
      <c r="Z1958" s="1"/>
    </row>
    <row r="1959" ht="18.0" hidden="1" customHeight="1" outlineLevel="1">
      <c r="A1959" s="1">
        <v>3.0</v>
      </c>
      <c r="B1959" s="26" t="s">
        <v>2055</v>
      </c>
      <c r="C1959" s="1"/>
      <c r="D1959" s="1"/>
      <c r="E1959" s="29" t="s">
        <v>55</v>
      </c>
      <c r="F1959" s="15"/>
      <c r="G1959" s="16"/>
      <c r="H1959" s="22" t="s">
        <v>2056</v>
      </c>
      <c r="I1959" s="7"/>
      <c r="J1959" s="7" t="str">
        <f>IFERROR(LET(_xlpm.v,
VLOOKUP($I1959,'用語辞書'!$A:$B,COLUMN('用語辞書'!B$1),FALSE),
IF(_xlpm.v=0,"",_xlpm.v)
),"")</f>
        <v/>
      </c>
      <c r="K1959" s="17"/>
      <c r="L1959" s="17" t="b">
        <f>IF(OR(COUNTIF('クラス'!$A$1:$A$1267,$B1959)&gt;0,$B1959="",$M1959=""),"",True)</f>
        <v>1</v>
      </c>
      <c r="M1959" s="1" t="str">
        <f t="shared" si="27"/>
        <v>存在しない</v>
      </c>
      <c r="N1959" s="1" t="s">
        <v>29</v>
      </c>
      <c r="O1959" s="1"/>
      <c r="P1959" s="11"/>
      <c r="Q1959" s="11"/>
      <c r="R1959" s="11"/>
      <c r="S1959" s="11"/>
      <c r="T1959" s="1"/>
      <c r="U1959" s="1"/>
      <c r="V1959" s="1"/>
      <c r="W1959" s="1"/>
      <c r="X1959" s="1"/>
      <c r="Y1959" s="1"/>
      <c r="Z1959" s="1"/>
    </row>
    <row r="1960" ht="18.0" hidden="1" customHeight="1" outlineLevel="1">
      <c r="A1960" s="1">
        <v>4.0</v>
      </c>
      <c r="B1960" s="1"/>
      <c r="C1960" s="1"/>
      <c r="D1960" s="1"/>
      <c r="E1960" s="14"/>
      <c r="F1960" s="15"/>
      <c r="G1960" s="16"/>
      <c r="H1960" s="11"/>
      <c r="I1960" s="7"/>
      <c r="J1960" s="7" t="str">
        <f>IFERROR(LET(_xlpm.v,
VLOOKUP($I1960,'用語辞書'!$A:$B,COLUMN('用語辞書'!B$1),FALSE),
IF(_xlpm.v=0,"",_xlpm.v)
),"")</f>
        <v/>
      </c>
      <c r="K1960" s="17"/>
      <c r="L1960" s="17" t="str">
        <f>IF(OR(COUNTIF('クラス'!$A$1:$A$1267,$B1960)&gt;0,$B1960="",$M1960=""),"",True)</f>
        <v/>
      </c>
      <c r="M1960" s="1" t="str">
        <f t="shared" si="27"/>
        <v>存在しない</v>
      </c>
      <c r="N1960" s="1" t="s">
        <v>29</v>
      </c>
      <c r="O1960" s="1"/>
      <c r="P1960" s="11"/>
      <c r="Q1960" s="11"/>
      <c r="R1960" s="11"/>
      <c r="S1960" s="11"/>
      <c r="T1960" s="1"/>
      <c r="U1960" s="1"/>
      <c r="V1960" s="1"/>
      <c r="W1960" s="1"/>
      <c r="X1960" s="1"/>
      <c r="Y1960" s="1"/>
      <c r="Z1960" s="1"/>
    </row>
    <row r="1961" ht="18.0" hidden="1" customHeight="1" outlineLevel="1">
      <c r="A1961" s="1">
        <v>5.0</v>
      </c>
      <c r="B1961" s="26" t="s">
        <v>2057</v>
      </c>
      <c r="C1961" s="26" t="s">
        <v>2058</v>
      </c>
      <c r="D1961" s="1"/>
      <c r="E1961" s="29" t="s">
        <v>33</v>
      </c>
      <c r="F1961" s="15"/>
      <c r="G1961" s="30">
        <v>30.0</v>
      </c>
      <c r="H1961" s="22" t="s">
        <v>2059</v>
      </c>
      <c r="I1961" s="7"/>
      <c r="J1961" s="7" t="str">
        <f>IFERROR(LET(_xlpm.v,
VLOOKUP($I1961,'用語辞書'!$A:$B,COLUMN('用語辞書'!B$1),FALSE),
IF(_xlpm.v=0,"",_xlpm.v)
),"")</f>
        <v/>
      </c>
      <c r="K1961" s="17"/>
      <c r="L1961" s="17" t="b">
        <f>IF(OR(COUNTIF('クラス'!$A$1:$A$1267,$B1961)&gt;0,$B1961="",$M1961=""),"",True)</f>
        <v>1</v>
      </c>
      <c r="M1961" s="1" t="str">
        <f t="shared" si="27"/>
        <v>存在しない</v>
      </c>
      <c r="N1961" s="1" t="s">
        <v>29</v>
      </c>
      <c r="O1961" s="1"/>
      <c r="P1961" s="11"/>
      <c r="Q1961" s="11"/>
      <c r="R1961" s="11"/>
      <c r="S1961" s="11"/>
      <c r="T1961" s="1"/>
      <c r="U1961" s="1"/>
      <c r="V1961" s="1"/>
      <c r="W1961" s="1"/>
      <c r="X1961" s="1"/>
      <c r="Y1961" s="1"/>
      <c r="Z1961" s="1"/>
    </row>
    <row r="1962" ht="18.0" hidden="1" customHeight="1" outlineLevel="1">
      <c r="A1962" s="1">
        <v>6.0</v>
      </c>
      <c r="B1962" s="1"/>
      <c r="C1962" s="1"/>
      <c r="D1962" s="1"/>
      <c r="E1962" s="14"/>
      <c r="F1962" s="15"/>
      <c r="G1962" s="16"/>
      <c r="H1962" s="11"/>
      <c r="I1962" s="7"/>
      <c r="J1962" s="7" t="str">
        <f>IFERROR(LET(_xlpm.v,
VLOOKUP($I1962,'用語辞書'!$A:$B,COLUMN('用語辞書'!B$1),FALSE),
IF(_xlpm.v=0,"",_xlpm.v)
),"")</f>
        <v/>
      </c>
      <c r="K1962" s="17"/>
      <c r="L1962" s="17" t="str">
        <f>IF(OR(COUNTIF('クラス'!$A$1:$A$1267,$B1962)&gt;0,$B1962="",$M1962=""),"",True)</f>
        <v/>
      </c>
      <c r="M1962" s="1" t="str">
        <f t="shared" si="27"/>
        <v>存在しない</v>
      </c>
      <c r="N1962" s="1" t="s">
        <v>29</v>
      </c>
      <c r="O1962" s="1"/>
      <c r="P1962" s="11"/>
      <c r="Q1962" s="11"/>
      <c r="R1962" s="11"/>
      <c r="S1962" s="11"/>
      <c r="T1962" s="1"/>
      <c r="U1962" s="1"/>
      <c r="V1962" s="1"/>
      <c r="W1962" s="1"/>
      <c r="X1962" s="1"/>
      <c r="Y1962" s="1"/>
      <c r="Z1962" s="1"/>
    </row>
    <row r="1963" ht="18.0" hidden="1" customHeight="1" outlineLevel="1">
      <c r="A1963" s="1">
        <v>7.0</v>
      </c>
      <c r="B1963" s="26" t="s">
        <v>2060</v>
      </c>
      <c r="C1963" s="26" t="s">
        <v>2061</v>
      </c>
      <c r="D1963" s="1"/>
      <c r="E1963" s="29" t="s">
        <v>55</v>
      </c>
      <c r="F1963" s="15"/>
      <c r="G1963" s="16"/>
      <c r="H1963" s="22" t="s">
        <v>2062</v>
      </c>
      <c r="I1963" s="7"/>
      <c r="J1963" s="7" t="str">
        <f>IFERROR(LET(_xlpm.v,
VLOOKUP($I1963,'用語辞書'!$A:$B,COLUMN('用語辞書'!B$1),FALSE),
IF(_xlpm.v=0,"",_xlpm.v)
),"")</f>
        <v/>
      </c>
      <c r="K1963" s="17"/>
      <c r="L1963" s="17" t="b">
        <f>IF(OR(COUNTIF('クラス'!$A$1:$A$1267,$B1963)&gt;0,$B1963="",$M1963=""),"",True)</f>
        <v>1</v>
      </c>
      <c r="M1963" s="1" t="str">
        <f t="shared" si="27"/>
        <v>存在しない</v>
      </c>
      <c r="N1963" s="1" t="s">
        <v>29</v>
      </c>
      <c r="O1963" s="1"/>
      <c r="P1963" s="11"/>
      <c r="Q1963" s="11"/>
      <c r="R1963" s="11"/>
      <c r="S1963" s="11"/>
      <c r="T1963" s="1"/>
      <c r="U1963" s="1"/>
      <c r="V1963" s="1"/>
      <c r="W1963" s="1"/>
      <c r="X1963" s="1"/>
      <c r="Y1963" s="1"/>
      <c r="Z1963" s="1"/>
    </row>
    <row r="1964" ht="18.0" hidden="1" customHeight="1" outlineLevel="1">
      <c r="A1964" s="1">
        <v>8.0</v>
      </c>
      <c r="B1964" s="1"/>
      <c r="C1964" s="1"/>
      <c r="D1964" s="1"/>
      <c r="E1964" s="14"/>
      <c r="F1964" s="15"/>
      <c r="G1964" s="16"/>
      <c r="H1964" s="11"/>
      <c r="I1964" s="7"/>
      <c r="J1964" s="7" t="str">
        <f>IFERROR(LET(_xlpm.v,
VLOOKUP($I1964,'用語辞書'!$A:$B,COLUMN('用語辞書'!B$1),FALSE),
IF(_xlpm.v=0,"",_xlpm.v)
),"")</f>
        <v/>
      </c>
      <c r="K1964" s="17"/>
      <c r="L1964" s="17" t="str">
        <f>IF(OR(COUNTIF('クラス'!$A$1:$A$1267,$B1964)&gt;0,$B1964="",$M1964=""),"",True)</f>
        <v/>
      </c>
      <c r="M1964" s="1" t="str">
        <f t="shared" si="27"/>
        <v>存在しない</v>
      </c>
      <c r="N1964" s="1" t="s">
        <v>29</v>
      </c>
      <c r="O1964" s="1"/>
      <c r="P1964" s="11"/>
      <c r="Q1964" s="11"/>
      <c r="R1964" s="11"/>
      <c r="S1964" s="11"/>
      <c r="T1964" s="1"/>
      <c r="U1964" s="1"/>
      <c r="V1964" s="1"/>
      <c r="W1964" s="1"/>
      <c r="X1964" s="1"/>
      <c r="Y1964" s="1"/>
      <c r="Z1964" s="1"/>
    </row>
    <row r="1965" ht="18.0" hidden="1" customHeight="1" outlineLevel="1">
      <c r="A1965" s="1">
        <v>9.0</v>
      </c>
      <c r="B1965" s="26" t="s">
        <v>2063</v>
      </c>
      <c r="C1965" s="26" t="s">
        <v>2064</v>
      </c>
      <c r="D1965" s="1"/>
      <c r="E1965" s="29" t="s">
        <v>33</v>
      </c>
      <c r="F1965" s="15"/>
      <c r="G1965" s="30">
        <v>60.0</v>
      </c>
      <c r="H1965" s="22" t="s">
        <v>2065</v>
      </c>
      <c r="I1965" s="7"/>
      <c r="J1965" s="7" t="str">
        <f>IFERROR(LET(_xlpm.v,
VLOOKUP($I1965,'用語辞書'!$A:$B,COLUMN('用語辞書'!B$1),FALSE),
IF(_xlpm.v=0,"",_xlpm.v)
),"")</f>
        <v/>
      </c>
      <c r="K1965" s="17"/>
      <c r="L1965" s="17" t="b">
        <f>IF(OR(COUNTIF('クラス'!$A$1:$A$1267,$B1965)&gt;0,$B1965="",$M1965=""),"",True)</f>
        <v>1</v>
      </c>
      <c r="M1965" s="1" t="str">
        <f t="shared" si="27"/>
        <v>存在しない</v>
      </c>
      <c r="N1965" s="1" t="s">
        <v>29</v>
      </c>
      <c r="O1965" s="1"/>
      <c r="P1965" s="11"/>
      <c r="Q1965" s="11"/>
      <c r="R1965" s="11"/>
      <c r="S1965" s="11"/>
      <c r="T1965" s="1"/>
      <c r="U1965" s="1"/>
      <c r="V1965" s="1"/>
      <c r="W1965" s="1"/>
      <c r="X1965" s="1"/>
      <c r="Y1965" s="1"/>
      <c r="Z1965" s="1"/>
    </row>
    <row r="1966" ht="18.0" hidden="1" customHeight="1" outlineLevel="1">
      <c r="A1966" s="1">
        <v>10.0</v>
      </c>
      <c r="B1966" s="26" t="s">
        <v>2051</v>
      </c>
      <c r="C1966" s="1"/>
      <c r="D1966" s="1"/>
      <c r="E1966" s="29" t="s">
        <v>55</v>
      </c>
      <c r="F1966" s="15"/>
      <c r="G1966" s="16"/>
      <c r="H1966" s="22" t="s">
        <v>2066</v>
      </c>
      <c r="I1966" s="7"/>
      <c r="J1966" s="7" t="str">
        <f>IFERROR(LET(_xlpm.v,
VLOOKUP($I1966,'用語辞書'!$A:$B,COLUMN('用語辞書'!B$1),FALSE),
IF(_xlpm.v=0,"",_xlpm.v)
),"")</f>
        <v/>
      </c>
      <c r="K1966" s="17"/>
      <c r="L1966" s="17" t="str">
        <f>IF(OR(COUNTIF('クラス'!$A$1:$A$1267,$B1966)&gt;0,$B1966="",$M1966=""),"",True)</f>
        <v/>
      </c>
      <c r="M1966" s="1" t="str">
        <f t="shared" si="27"/>
        <v/>
      </c>
      <c r="N1966" s="1" t="s">
        <v>29</v>
      </c>
      <c r="O1966" s="1"/>
      <c r="P1966" s="11"/>
      <c r="Q1966" s="11"/>
      <c r="R1966" s="11"/>
      <c r="S1966" s="11"/>
      <c r="T1966" s="1"/>
      <c r="U1966" s="1"/>
      <c r="V1966" s="1"/>
      <c r="W1966" s="1"/>
      <c r="X1966" s="1"/>
      <c r="Y1966" s="1"/>
      <c r="Z1966" s="1"/>
    </row>
    <row r="1967" ht="18.0" customHeight="1" collapsed="1">
      <c r="A1967" s="1"/>
      <c r="B1967" s="1"/>
      <c r="C1967" s="1"/>
      <c r="D1967" s="1"/>
      <c r="E1967" s="14"/>
      <c r="F1967" s="15"/>
      <c r="G1967" s="16"/>
      <c r="H1967" s="11"/>
      <c r="I1967" s="7"/>
      <c r="J1967" s="7" t="str">
        <f>IFERROR(LET(_xlpm.v,
VLOOKUP($I1967,'用語辞書'!$A:$B,COLUMN('用語辞書'!B$1),FALSE),
IF(_xlpm.v=0,"",_xlpm.v)
),"")</f>
        <v/>
      </c>
      <c r="K1967" s="17"/>
      <c r="L1967" s="17" t="str">
        <f>IF(OR(COUNTIF('クラス'!$A$1:$A$1267,$B1967)&gt;0,$B1967="",$M1967=""),"",True)</f>
        <v/>
      </c>
      <c r="M1967" s="1" t="str">
        <f t="shared" si="27"/>
        <v>存在しない</v>
      </c>
      <c r="N1967" s="1" t="s">
        <v>29</v>
      </c>
      <c r="O1967" s="1"/>
      <c r="P1967" s="11"/>
      <c r="Q1967" s="11"/>
      <c r="R1967" s="11"/>
      <c r="S1967" s="11"/>
      <c r="T1967" s="1"/>
      <c r="U1967" s="1"/>
      <c r="V1967" s="1"/>
      <c r="W1967" s="1"/>
      <c r="X1967" s="1"/>
      <c r="Y1967" s="1"/>
      <c r="Z1967" s="1"/>
    </row>
    <row r="1968" ht="18.0" customHeight="1">
      <c r="A1968" s="1"/>
      <c r="B1968" s="26" t="s">
        <v>2067</v>
      </c>
      <c r="C1968" s="1"/>
      <c r="D1968" s="1"/>
      <c r="E1968" s="14"/>
      <c r="F1968" s="15"/>
      <c r="G1968" s="16"/>
      <c r="H1968" s="11"/>
      <c r="I1968" s="7"/>
      <c r="J1968" s="7" t="str">
        <f>IFERROR(LET(_xlpm.v,
VLOOKUP($I1968,'用語辞書'!$A:$B,COLUMN('用語辞書'!B$1),FALSE),
IF(_xlpm.v=0,"",_xlpm.v)
),"")</f>
        <v/>
      </c>
      <c r="K1968" s="17"/>
      <c r="L1968" s="17" t="str">
        <f>IF(OR(COUNTIF('クラス'!$A$1:$A$1267,$B1968)&gt;0,$B1968="",$M1968=""),"",True)</f>
        <v/>
      </c>
      <c r="M1968" s="1" t="str">
        <f t="shared" si="27"/>
        <v>存在しない</v>
      </c>
      <c r="N1968" s="1" t="s">
        <v>29</v>
      </c>
      <c r="O1968" s="1"/>
      <c r="P1968" s="11"/>
      <c r="Q1968" s="11"/>
      <c r="R1968" s="11"/>
      <c r="S1968" s="11"/>
      <c r="T1968" s="1"/>
      <c r="U1968" s="1"/>
      <c r="V1968" s="1"/>
      <c r="W1968" s="1"/>
      <c r="X1968" s="1"/>
      <c r="Y1968" s="1"/>
      <c r="Z1968" s="1"/>
    </row>
    <row r="1969" ht="18.0" hidden="1" customHeight="1" outlineLevel="1">
      <c r="A1969" s="1">
        <v>1.0</v>
      </c>
      <c r="B1969" s="26" t="s">
        <v>2068</v>
      </c>
      <c r="C1969" s="1"/>
      <c r="D1969" s="1"/>
      <c r="E1969" s="29" t="s">
        <v>33</v>
      </c>
      <c r="F1969" s="15"/>
      <c r="G1969" s="30">
        <v>30.0</v>
      </c>
      <c r="H1969" s="22" t="s">
        <v>2069</v>
      </c>
      <c r="I1969" s="7"/>
      <c r="J1969" s="7" t="str">
        <f>IFERROR(LET(_xlpm.v,
VLOOKUP($I1969,'用語辞書'!$A:$B,COLUMN('用語辞書'!B$1),FALSE),
IF(_xlpm.v=0,"",_xlpm.v)
),"")</f>
        <v/>
      </c>
      <c r="K1969" s="17"/>
      <c r="L1969" s="17" t="b">
        <f>IF(OR(COUNTIF('クラス'!$A$1:$A$1267,$B1969)&gt;0,$B1969="",$M1969=""),"",True)</f>
        <v>1</v>
      </c>
      <c r="M1969" s="1" t="str">
        <f t="shared" si="27"/>
        <v>存在しない</v>
      </c>
      <c r="N1969" s="1" t="s">
        <v>29</v>
      </c>
      <c r="O1969" s="1"/>
      <c r="P1969" s="11"/>
      <c r="Q1969" s="11"/>
      <c r="R1969" s="11"/>
      <c r="S1969" s="11"/>
      <c r="T1969" s="1"/>
      <c r="U1969" s="1"/>
      <c r="V1969" s="1"/>
      <c r="W1969" s="1"/>
      <c r="X1969" s="1"/>
      <c r="Y1969" s="1"/>
      <c r="Z1969" s="1"/>
    </row>
    <row r="1970" ht="18.0" hidden="1" customHeight="1" outlineLevel="1">
      <c r="A1970" s="1">
        <v>2.0</v>
      </c>
      <c r="B1970" s="1"/>
      <c r="C1970" s="1"/>
      <c r="D1970" s="1"/>
      <c r="E1970" s="14"/>
      <c r="F1970" s="15"/>
      <c r="G1970" s="16"/>
      <c r="H1970" s="11"/>
      <c r="I1970" s="7"/>
      <c r="J1970" s="7" t="str">
        <f>IFERROR(LET(_xlpm.v,
VLOOKUP($I1970,'用語辞書'!$A:$B,COLUMN('用語辞書'!B$1),FALSE),
IF(_xlpm.v=0,"",_xlpm.v)
),"")</f>
        <v/>
      </c>
      <c r="K1970" s="17"/>
      <c r="L1970" s="17" t="str">
        <f>IF(OR(COUNTIF('クラス'!$A$1:$A$1267,$B1970)&gt;0,$B1970="",$M1970=""),"",True)</f>
        <v/>
      </c>
      <c r="M1970" s="1" t="str">
        <f t="shared" si="27"/>
        <v>存在しない</v>
      </c>
      <c r="N1970" s="1" t="s">
        <v>29</v>
      </c>
      <c r="O1970" s="1"/>
      <c r="P1970" s="11"/>
      <c r="Q1970" s="11"/>
      <c r="R1970" s="11"/>
      <c r="S1970" s="11"/>
      <c r="T1970" s="1"/>
      <c r="U1970" s="1"/>
      <c r="V1970" s="1"/>
      <c r="W1970" s="1"/>
      <c r="X1970" s="1"/>
      <c r="Y1970" s="1"/>
      <c r="Z1970" s="1"/>
    </row>
    <row r="1971" ht="18.0" hidden="1" customHeight="1" outlineLevel="1">
      <c r="A1971" s="1">
        <v>3.0</v>
      </c>
      <c r="B1971" s="26" t="s">
        <v>2070</v>
      </c>
      <c r="C1971" s="1"/>
      <c r="D1971" s="1"/>
      <c r="E1971" s="29" t="s">
        <v>55</v>
      </c>
      <c r="F1971" s="15"/>
      <c r="G1971" s="16"/>
      <c r="H1971" s="22" t="s">
        <v>2071</v>
      </c>
      <c r="I1971" s="7"/>
      <c r="J1971" s="7" t="str">
        <f>IFERROR(LET(_xlpm.v,
VLOOKUP($I1971,'用語辞書'!$A:$B,COLUMN('用語辞書'!B$1),FALSE),
IF(_xlpm.v=0,"",_xlpm.v)
),"")</f>
        <v/>
      </c>
      <c r="K1971" s="17"/>
      <c r="L1971" s="17" t="b">
        <f>IF(OR(COUNTIF('クラス'!$A$1:$A$1267,$B1971)&gt;0,$B1971="",$M1971=""),"",True)</f>
        <v>1</v>
      </c>
      <c r="M1971" s="1" t="str">
        <f t="shared" si="27"/>
        <v>存在しない</v>
      </c>
      <c r="N1971" s="1" t="s">
        <v>29</v>
      </c>
      <c r="O1971" s="1"/>
      <c r="P1971" s="11"/>
      <c r="Q1971" s="11"/>
      <c r="R1971" s="11"/>
      <c r="S1971" s="11"/>
      <c r="T1971" s="1"/>
      <c r="U1971" s="1"/>
      <c r="V1971" s="1"/>
      <c r="W1971" s="1"/>
      <c r="X1971" s="1"/>
      <c r="Y1971" s="1"/>
      <c r="Z1971" s="1"/>
    </row>
    <row r="1972" ht="18.0" hidden="1" customHeight="1" outlineLevel="1">
      <c r="A1972" s="1">
        <v>4.0</v>
      </c>
      <c r="B1972" s="1"/>
      <c r="C1972" s="1"/>
      <c r="D1972" s="1"/>
      <c r="E1972" s="14"/>
      <c r="F1972" s="15"/>
      <c r="G1972" s="16"/>
      <c r="H1972" s="11"/>
      <c r="I1972" s="7"/>
      <c r="J1972" s="7" t="str">
        <f>IFERROR(LET(_xlpm.v,
VLOOKUP($I1972,'用語辞書'!$A:$B,COLUMN('用語辞書'!B$1),FALSE),
IF(_xlpm.v=0,"",_xlpm.v)
),"")</f>
        <v/>
      </c>
      <c r="K1972" s="17"/>
      <c r="L1972" s="17" t="str">
        <f>IF(OR(COUNTIF('クラス'!$A$1:$A$1267,$B1972)&gt;0,$B1972="",$M1972=""),"",True)</f>
        <v/>
      </c>
      <c r="M1972" s="1" t="str">
        <f t="shared" si="27"/>
        <v>存在しない</v>
      </c>
      <c r="N1972" s="1" t="s">
        <v>29</v>
      </c>
      <c r="O1972" s="1"/>
      <c r="P1972" s="11"/>
      <c r="Q1972" s="11"/>
      <c r="R1972" s="11"/>
      <c r="S1972" s="11"/>
      <c r="T1972" s="1"/>
      <c r="U1972" s="1"/>
      <c r="V1972" s="1"/>
      <c r="W1972" s="1"/>
      <c r="X1972" s="1"/>
      <c r="Y1972" s="1"/>
      <c r="Z1972" s="1"/>
    </row>
    <row r="1973" ht="18.0" hidden="1" customHeight="1" outlineLevel="1">
      <c r="A1973" s="1">
        <v>5.0</v>
      </c>
      <c r="B1973" s="26" t="s">
        <v>2072</v>
      </c>
      <c r="C1973" s="1"/>
      <c r="D1973" s="1"/>
      <c r="E1973" s="29" t="s">
        <v>33</v>
      </c>
      <c r="F1973" s="15"/>
      <c r="G1973" s="30">
        <v>30.0</v>
      </c>
      <c r="H1973" s="22" t="s">
        <v>2073</v>
      </c>
      <c r="I1973" s="7"/>
      <c r="J1973" s="7" t="str">
        <f>IFERROR(LET(_xlpm.v,
VLOOKUP($I1973,'用語辞書'!$A:$B,COLUMN('用語辞書'!B$1),FALSE),
IF(_xlpm.v=0,"",_xlpm.v)
),"")</f>
        <v/>
      </c>
      <c r="K1973" s="17"/>
      <c r="L1973" s="17" t="b">
        <f>IF(OR(COUNTIF('クラス'!$A$1:$A$1267,$B1973)&gt;0,$B1973="",$M1973=""),"",True)</f>
        <v>1</v>
      </c>
      <c r="M1973" s="1" t="str">
        <f t="shared" si="27"/>
        <v>存在しない</v>
      </c>
      <c r="N1973" s="1" t="s">
        <v>29</v>
      </c>
      <c r="O1973" s="1"/>
      <c r="P1973" s="11"/>
      <c r="Q1973" s="11"/>
      <c r="R1973" s="11"/>
      <c r="S1973" s="11"/>
      <c r="T1973" s="1"/>
      <c r="U1973" s="1"/>
      <c r="V1973" s="1"/>
      <c r="W1973" s="1"/>
      <c r="X1973" s="1"/>
      <c r="Y1973" s="1"/>
      <c r="Z1973" s="1"/>
    </row>
    <row r="1974" ht="18.0" hidden="1" customHeight="1" outlineLevel="1">
      <c r="A1974" s="1">
        <v>6.0</v>
      </c>
      <c r="B1974" s="1"/>
      <c r="C1974" s="1"/>
      <c r="D1974" s="1"/>
      <c r="E1974" s="14"/>
      <c r="F1974" s="15"/>
      <c r="G1974" s="16"/>
      <c r="H1974" s="11"/>
      <c r="I1974" s="7"/>
      <c r="J1974" s="7" t="str">
        <f>IFERROR(LET(_xlpm.v,
VLOOKUP($I1974,'用語辞書'!$A:$B,COLUMN('用語辞書'!B$1),FALSE),
IF(_xlpm.v=0,"",_xlpm.v)
),"")</f>
        <v/>
      </c>
      <c r="K1974" s="17"/>
      <c r="L1974" s="17" t="str">
        <f>IF(OR(COUNTIF('クラス'!$A$1:$A$1267,$B1974)&gt;0,$B1974="",$M1974=""),"",True)</f>
        <v/>
      </c>
      <c r="M1974" s="1" t="str">
        <f t="shared" si="27"/>
        <v>存在しない</v>
      </c>
      <c r="N1974" s="1" t="s">
        <v>29</v>
      </c>
      <c r="O1974" s="1"/>
      <c r="P1974" s="11"/>
      <c r="Q1974" s="11"/>
      <c r="R1974" s="11"/>
      <c r="S1974" s="11"/>
      <c r="T1974" s="1"/>
      <c r="U1974" s="1"/>
      <c r="V1974" s="1"/>
      <c r="W1974" s="1"/>
      <c r="X1974" s="1"/>
      <c r="Y1974" s="1"/>
      <c r="Z1974" s="1"/>
    </row>
    <row r="1975" ht="18.0" hidden="1" customHeight="1" outlineLevel="1">
      <c r="A1975" s="1">
        <v>7.0</v>
      </c>
      <c r="B1975" s="26" t="s">
        <v>2074</v>
      </c>
      <c r="C1975" s="1"/>
      <c r="D1975" s="1"/>
      <c r="E1975" s="29" t="s">
        <v>55</v>
      </c>
      <c r="F1975" s="15"/>
      <c r="G1975" s="16"/>
      <c r="H1975" s="31" t="s">
        <v>2075</v>
      </c>
      <c r="I1975" s="7"/>
      <c r="J1975" s="7" t="str">
        <f>IFERROR(LET(_xlpm.v,
VLOOKUP($I1975,'用語辞書'!$A:$B,COLUMN('用語辞書'!B$1),FALSE),
IF(_xlpm.v=0,"",_xlpm.v)
),"")</f>
        <v/>
      </c>
      <c r="K1975" s="17"/>
      <c r="L1975" s="17" t="b">
        <f>IF(OR(COUNTIF('クラス'!$A$1:$A$1267,$B1975)&gt;0,$B1975="",$M1975=""),"",True)</f>
        <v>1</v>
      </c>
      <c r="M1975" s="1" t="str">
        <f t="shared" si="27"/>
        <v>存在しない</v>
      </c>
      <c r="N1975" s="1" t="s">
        <v>29</v>
      </c>
      <c r="O1975" s="1"/>
      <c r="P1975" s="11"/>
      <c r="Q1975" s="11"/>
      <c r="R1975" s="11"/>
      <c r="S1975" s="11"/>
      <c r="T1975" s="1"/>
      <c r="U1975" s="1"/>
      <c r="V1975" s="1"/>
      <c r="W1975" s="1"/>
      <c r="X1975" s="1"/>
      <c r="Y1975" s="1"/>
      <c r="Z1975" s="1"/>
    </row>
    <row r="1976" ht="18.0" hidden="1" customHeight="1" outlineLevel="1">
      <c r="A1976" s="1">
        <v>8.0</v>
      </c>
      <c r="B1976" s="1"/>
      <c r="C1976" s="1"/>
      <c r="D1976" s="1"/>
      <c r="E1976" s="14"/>
      <c r="F1976" s="15"/>
      <c r="G1976" s="16"/>
      <c r="H1976" s="11"/>
      <c r="I1976" s="7"/>
      <c r="J1976" s="7" t="str">
        <f>IFERROR(LET(_xlpm.v,
VLOOKUP($I1976,'用語辞書'!$A:$B,COLUMN('用語辞書'!B$1),FALSE),
IF(_xlpm.v=0,"",_xlpm.v)
),"")</f>
        <v/>
      </c>
      <c r="K1976" s="17"/>
      <c r="L1976" s="17" t="str">
        <f>IF(OR(COUNTIF('クラス'!$A$1:$A$1267,$B1976)&gt;0,$B1976="",$M1976=""),"",True)</f>
        <v/>
      </c>
      <c r="M1976" s="1" t="str">
        <f t="shared" si="27"/>
        <v>存在しない</v>
      </c>
      <c r="N1976" s="1" t="s">
        <v>29</v>
      </c>
      <c r="O1976" s="1"/>
      <c r="P1976" s="11"/>
      <c r="Q1976" s="11"/>
      <c r="R1976" s="11"/>
      <c r="S1976" s="11"/>
      <c r="T1976" s="1"/>
      <c r="U1976" s="1"/>
      <c r="V1976" s="1"/>
      <c r="W1976" s="1"/>
      <c r="X1976" s="1"/>
      <c r="Y1976" s="1"/>
      <c r="Z1976" s="1"/>
    </row>
    <row r="1977" ht="18.0" hidden="1" customHeight="1" outlineLevel="1">
      <c r="A1977" s="1">
        <v>9.0</v>
      </c>
      <c r="B1977" s="26" t="s">
        <v>2076</v>
      </c>
      <c r="C1977" s="1"/>
      <c r="D1977" s="1"/>
      <c r="E1977" s="29" t="s">
        <v>33</v>
      </c>
      <c r="F1977" s="15"/>
      <c r="G1977" s="30">
        <v>60.0</v>
      </c>
      <c r="H1977" s="22" t="s">
        <v>2077</v>
      </c>
      <c r="I1977" s="7"/>
      <c r="J1977" s="7" t="str">
        <f>IFERROR(LET(_xlpm.v,
VLOOKUP($I1977,'用語辞書'!$A:$B,COLUMN('用語辞書'!B$1),FALSE),
IF(_xlpm.v=0,"",_xlpm.v)
),"")</f>
        <v/>
      </c>
      <c r="K1977" s="17"/>
      <c r="L1977" s="17" t="b">
        <f>IF(OR(COUNTIF('クラス'!$A$1:$A$1267,$B1977)&gt;0,$B1977="",$M1977=""),"",True)</f>
        <v>1</v>
      </c>
      <c r="M1977" s="1" t="str">
        <f t="shared" si="27"/>
        <v>存在しない</v>
      </c>
      <c r="N1977" s="1" t="s">
        <v>29</v>
      </c>
      <c r="O1977" s="1"/>
      <c r="P1977" s="11"/>
      <c r="Q1977" s="11"/>
      <c r="R1977" s="11"/>
      <c r="S1977" s="11"/>
      <c r="T1977" s="1"/>
      <c r="U1977" s="1"/>
      <c r="V1977" s="1"/>
      <c r="W1977" s="1"/>
      <c r="X1977" s="1"/>
      <c r="Y1977" s="1"/>
      <c r="Z1977" s="1"/>
    </row>
    <row r="1978" ht="18.0" hidden="1" customHeight="1" outlineLevel="1">
      <c r="A1978" s="1">
        <v>10.0</v>
      </c>
      <c r="B1978" s="26" t="s">
        <v>2078</v>
      </c>
      <c r="C1978" s="1"/>
      <c r="D1978" s="1"/>
      <c r="E1978" s="29" t="s">
        <v>55</v>
      </c>
      <c r="F1978" s="15"/>
      <c r="G1978" s="16"/>
      <c r="H1978" s="22" t="s">
        <v>1258</v>
      </c>
      <c r="I1978" s="7"/>
      <c r="J1978" s="7" t="str">
        <f>IFERROR(LET(_xlpm.v,
VLOOKUP($I1978,'用語辞書'!$A:$B,COLUMN('用語辞書'!B$1),FALSE),
IF(_xlpm.v=0,"",_xlpm.v)
),"")</f>
        <v/>
      </c>
      <c r="K1978" s="17"/>
      <c r="L1978" s="17" t="b">
        <f>IF(OR(COUNTIF('クラス'!$A$1:$A$1267,$B1978)&gt;0,$B1978="",$M1978=""),"",True)</f>
        <v>1</v>
      </c>
      <c r="M1978" s="1" t="str">
        <f t="shared" si="27"/>
        <v>存在しない</v>
      </c>
      <c r="N1978" s="1" t="s">
        <v>29</v>
      </c>
      <c r="O1978" s="1"/>
      <c r="P1978" s="11"/>
      <c r="Q1978" s="11"/>
      <c r="R1978" s="11"/>
      <c r="S1978" s="11"/>
      <c r="T1978" s="1"/>
      <c r="U1978" s="1"/>
      <c r="V1978" s="1"/>
      <c r="W1978" s="1"/>
      <c r="X1978" s="1"/>
      <c r="Y1978" s="1"/>
      <c r="Z1978" s="1"/>
    </row>
    <row r="1979" ht="18.0" customHeight="1" collapsed="1">
      <c r="A1979" s="1"/>
      <c r="B1979" s="1"/>
      <c r="C1979" s="1"/>
      <c r="D1979" s="1"/>
      <c r="E1979" s="14"/>
      <c r="F1979" s="15"/>
      <c r="G1979" s="16"/>
      <c r="H1979" s="11"/>
      <c r="I1979" s="7"/>
      <c r="J1979" s="7" t="str">
        <f>IFERROR(LET(_xlpm.v,
VLOOKUP($I1979,'用語辞書'!$A:$B,COLUMN('用語辞書'!B$1),FALSE),
IF(_xlpm.v=0,"",_xlpm.v)
),"")</f>
        <v/>
      </c>
      <c r="K1979" s="17"/>
      <c r="L1979" s="17" t="str">
        <f>IF(OR(COUNTIF('クラス'!$A$1:$A$1267,$B1979)&gt;0,$B1979="",$M1979=""),"",True)</f>
        <v/>
      </c>
      <c r="M1979" s="1" t="str">
        <f t="shared" si="27"/>
        <v>存在しない</v>
      </c>
      <c r="N1979" s="1" t="s">
        <v>29</v>
      </c>
      <c r="O1979" s="1"/>
      <c r="P1979" s="11"/>
      <c r="Q1979" s="11"/>
      <c r="R1979" s="11"/>
      <c r="S1979" s="11"/>
      <c r="T1979" s="1"/>
      <c r="U1979" s="1"/>
      <c r="V1979" s="1"/>
      <c r="W1979" s="1"/>
      <c r="X1979" s="1"/>
      <c r="Y1979" s="1"/>
      <c r="Z1979" s="1"/>
    </row>
    <row r="1980" ht="18.0" customHeight="1">
      <c r="A1980" s="1"/>
      <c r="B1980" s="26" t="s">
        <v>2079</v>
      </c>
      <c r="C1980" s="1"/>
      <c r="D1980" s="1"/>
      <c r="E1980" s="14"/>
      <c r="F1980" s="15"/>
      <c r="G1980" s="16"/>
      <c r="H1980" s="11"/>
      <c r="I1980" s="7"/>
      <c r="J1980" s="7" t="str">
        <f>IFERROR(LET(_xlpm.v,
VLOOKUP($I1980,'用語辞書'!$A:$B,COLUMN('用語辞書'!B$1),FALSE),
IF(_xlpm.v=0,"",_xlpm.v)
),"")</f>
        <v/>
      </c>
      <c r="K1980" s="17"/>
      <c r="L1980" s="17" t="str">
        <f>IF(OR(COUNTIF('クラス'!$A$1:$A$1267,$B1980)&gt;0,$B1980="",$M1980=""),"",True)</f>
        <v/>
      </c>
      <c r="M1980" s="1" t="str">
        <f t="shared" si="27"/>
        <v>存在しない</v>
      </c>
      <c r="N1980" s="1" t="s">
        <v>29</v>
      </c>
      <c r="O1980" s="1"/>
      <c r="P1980" s="11"/>
      <c r="Q1980" s="11"/>
      <c r="R1980" s="11"/>
      <c r="S1980" s="11"/>
      <c r="T1980" s="1"/>
      <c r="U1980" s="1"/>
      <c r="V1980" s="1"/>
      <c r="W1980" s="1"/>
      <c r="X1980" s="1"/>
      <c r="Y1980" s="1"/>
      <c r="Z1980" s="1"/>
    </row>
    <row r="1981" ht="18.0" hidden="1" customHeight="1" outlineLevel="1">
      <c r="A1981" s="1">
        <v>1.0</v>
      </c>
      <c r="B1981" s="26" t="s">
        <v>2080</v>
      </c>
      <c r="C1981" s="26" t="s">
        <v>2081</v>
      </c>
      <c r="D1981" s="1"/>
      <c r="E1981" s="29" t="s">
        <v>33</v>
      </c>
      <c r="F1981" s="15"/>
      <c r="G1981" s="30">
        <v>60.0</v>
      </c>
      <c r="H1981" s="22" t="s">
        <v>2082</v>
      </c>
      <c r="I1981" s="7"/>
      <c r="J1981" s="7" t="str">
        <f>IFERROR(LET(_xlpm.v,
VLOOKUP($I1981,'用語辞書'!$A:$B,COLUMN('用語辞書'!B$1),FALSE),
IF(_xlpm.v=0,"",_xlpm.v)
),"")</f>
        <v/>
      </c>
      <c r="K1981" s="17"/>
      <c r="L1981" s="17" t="b">
        <f>IF(OR(COUNTIF('クラス'!$A$1:$A$1267,$B1981)&gt;0,$B1981="",$M1981=""),"",True)</f>
        <v>1</v>
      </c>
      <c r="M1981" s="1" t="str">
        <f t="shared" si="27"/>
        <v>存在しない</v>
      </c>
      <c r="N1981" s="1" t="s">
        <v>29</v>
      </c>
      <c r="O1981" s="1"/>
      <c r="P1981" s="11"/>
      <c r="Q1981" s="11"/>
      <c r="R1981" s="11"/>
      <c r="S1981" s="11"/>
      <c r="T1981" s="1"/>
      <c r="U1981" s="1"/>
      <c r="V1981" s="1"/>
      <c r="W1981" s="1"/>
      <c r="X1981" s="1"/>
      <c r="Y1981" s="1"/>
      <c r="Z1981" s="1"/>
    </row>
    <row r="1982" ht="18.0" hidden="1" customHeight="1" outlineLevel="1">
      <c r="A1982" s="1">
        <v>2.0</v>
      </c>
      <c r="B1982" s="1"/>
      <c r="C1982" s="1"/>
      <c r="D1982" s="1"/>
      <c r="E1982" s="14"/>
      <c r="F1982" s="15"/>
      <c r="G1982" s="16"/>
      <c r="H1982" s="11"/>
      <c r="I1982" s="7"/>
      <c r="J1982" s="7" t="str">
        <f>IFERROR(LET(_xlpm.v,
VLOOKUP($I1982,'用語辞書'!$A:$B,COLUMN('用語辞書'!B$1),FALSE),
IF(_xlpm.v=0,"",_xlpm.v)
),"")</f>
        <v/>
      </c>
      <c r="K1982" s="17"/>
      <c r="L1982" s="17" t="str">
        <f>IF(OR(COUNTIF('クラス'!$A$1:$A$1267,$B1982)&gt;0,$B1982="",$M1982=""),"",True)</f>
        <v/>
      </c>
      <c r="M1982" s="1" t="str">
        <f t="shared" si="27"/>
        <v>存在しない</v>
      </c>
      <c r="N1982" s="1" t="s">
        <v>29</v>
      </c>
      <c r="O1982" s="1"/>
      <c r="P1982" s="11"/>
      <c r="Q1982" s="11"/>
      <c r="R1982" s="11"/>
      <c r="S1982" s="11"/>
      <c r="T1982" s="1"/>
      <c r="U1982" s="1"/>
      <c r="V1982" s="1"/>
      <c r="W1982" s="1"/>
      <c r="X1982" s="1"/>
      <c r="Y1982" s="1"/>
      <c r="Z1982" s="1"/>
    </row>
    <row r="1983" ht="18.0" hidden="1" customHeight="1" outlineLevel="1">
      <c r="A1983" s="1">
        <v>3.0</v>
      </c>
      <c r="B1983" s="26" t="s">
        <v>2083</v>
      </c>
      <c r="C1983" s="1"/>
      <c r="D1983" s="1"/>
      <c r="E1983" s="29" t="s">
        <v>55</v>
      </c>
      <c r="F1983" s="15"/>
      <c r="G1983" s="16"/>
      <c r="H1983" s="22" t="s">
        <v>2084</v>
      </c>
      <c r="I1983" s="7"/>
      <c r="J1983" s="7" t="str">
        <f>IFERROR(LET(_xlpm.v,
VLOOKUP($I1983,'用語辞書'!$A:$B,COLUMN('用語辞書'!B$1),FALSE),
IF(_xlpm.v=0,"",_xlpm.v)
),"")</f>
        <v/>
      </c>
      <c r="K1983" s="17"/>
      <c r="L1983" s="17" t="b">
        <f>IF(OR(COUNTIF('クラス'!$A$1:$A$1267,$B1983)&gt;0,$B1983="",$M1983=""),"",True)</f>
        <v>1</v>
      </c>
      <c r="M1983" s="1" t="str">
        <f t="shared" si="27"/>
        <v>存在しない</v>
      </c>
      <c r="N1983" s="1" t="s">
        <v>29</v>
      </c>
      <c r="O1983" s="1"/>
      <c r="P1983" s="11"/>
      <c r="Q1983" s="11"/>
      <c r="R1983" s="11"/>
      <c r="S1983" s="11"/>
      <c r="T1983" s="1"/>
      <c r="U1983" s="1"/>
      <c r="V1983" s="1"/>
      <c r="W1983" s="1"/>
      <c r="X1983" s="1"/>
      <c r="Y1983" s="1"/>
      <c r="Z1983" s="1"/>
    </row>
    <row r="1984" ht="18.0" hidden="1" customHeight="1" outlineLevel="1">
      <c r="A1984" s="1">
        <v>4.0</v>
      </c>
      <c r="B1984" s="1"/>
      <c r="C1984" s="1"/>
      <c r="D1984" s="1"/>
      <c r="E1984" s="14"/>
      <c r="F1984" s="15"/>
      <c r="G1984" s="16"/>
      <c r="H1984" s="11"/>
      <c r="I1984" s="7"/>
      <c r="J1984" s="7" t="str">
        <f>IFERROR(LET(_xlpm.v,
VLOOKUP($I1984,'用語辞書'!$A:$B,COLUMN('用語辞書'!B$1),FALSE),
IF(_xlpm.v=0,"",_xlpm.v)
),"")</f>
        <v/>
      </c>
      <c r="K1984" s="17"/>
      <c r="L1984" s="17" t="str">
        <f>IF(OR(COUNTIF('クラス'!$A$1:$A$1267,$B1984)&gt;0,$B1984="",$M1984=""),"",True)</f>
        <v/>
      </c>
      <c r="M1984" s="1" t="str">
        <f t="shared" si="27"/>
        <v>存在しない</v>
      </c>
      <c r="N1984" s="1" t="s">
        <v>29</v>
      </c>
      <c r="O1984" s="1"/>
      <c r="P1984" s="11"/>
      <c r="Q1984" s="11"/>
      <c r="R1984" s="11"/>
      <c r="S1984" s="11"/>
      <c r="T1984" s="1"/>
      <c r="U1984" s="1"/>
      <c r="V1984" s="1"/>
      <c r="W1984" s="1"/>
      <c r="X1984" s="1"/>
      <c r="Y1984" s="1"/>
      <c r="Z1984" s="1"/>
    </row>
    <row r="1985" ht="18.0" hidden="1" customHeight="1" outlineLevel="1">
      <c r="A1985" s="1">
        <v>5.0</v>
      </c>
      <c r="B1985" s="26" t="s">
        <v>2085</v>
      </c>
      <c r="C1985" s="1"/>
      <c r="D1985" s="1"/>
      <c r="E1985" s="29" t="s">
        <v>33</v>
      </c>
      <c r="F1985" s="15"/>
      <c r="G1985" s="30">
        <v>30.0</v>
      </c>
      <c r="H1985" s="22" t="s">
        <v>2086</v>
      </c>
      <c r="I1985" s="7"/>
      <c r="J1985" s="7" t="str">
        <f>IFERROR(LET(_xlpm.v,
VLOOKUP($I1985,'用語辞書'!$A:$B,COLUMN('用語辞書'!B$1),FALSE),
IF(_xlpm.v=0,"",_xlpm.v)
),"")</f>
        <v/>
      </c>
      <c r="K1985" s="17"/>
      <c r="L1985" s="17" t="b">
        <f>IF(OR(COUNTIF('クラス'!$A$1:$A$1267,$B1985)&gt;0,$B1985="",$M1985=""),"",True)</f>
        <v>1</v>
      </c>
      <c r="M1985" s="1" t="str">
        <f t="shared" si="27"/>
        <v>存在しない</v>
      </c>
      <c r="N1985" s="1" t="s">
        <v>29</v>
      </c>
      <c r="O1985" s="1"/>
      <c r="P1985" s="11"/>
      <c r="Q1985" s="11"/>
      <c r="R1985" s="11"/>
      <c r="S1985" s="11"/>
      <c r="T1985" s="1"/>
      <c r="U1985" s="1"/>
      <c r="V1985" s="1"/>
      <c r="W1985" s="1"/>
      <c r="X1985" s="1"/>
      <c r="Y1985" s="1"/>
      <c r="Z1985" s="1"/>
    </row>
    <row r="1986" ht="18.0" hidden="1" customHeight="1" outlineLevel="1">
      <c r="A1986" s="1">
        <v>6.0</v>
      </c>
      <c r="B1986" s="1"/>
      <c r="C1986" s="1"/>
      <c r="D1986" s="1"/>
      <c r="E1986" s="14"/>
      <c r="F1986" s="15"/>
      <c r="G1986" s="16"/>
      <c r="H1986" s="11"/>
      <c r="I1986" s="7"/>
      <c r="J1986" s="7" t="str">
        <f>IFERROR(LET(_xlpm.v,
VLOOKUP($I1986,'用語辞書'!$A:$B,COLUMN('用語辞書'!B$1),FALSE),
IF(_xlpm.v=0,"",_xlpm.v)
),"")</f>
        <v/>
      </c>
      <c r="K1986" s="17"/>
      <c r="L1986" s="17" t="str">
        <f>IF(OR(COUNTIF('クラス'!$A$1:$A$1267,$B1986)&gt;0,$B1986="",$M1986=""),"",True)</f>
        <v/>
      </c>
      <c r="M1986" s="1" t="str">
        <f t="shared" si="27"/>
        <v>存在しない</v>
      </c>
      <c r="N1986" s="1" t="s">
        <v>29</v>
      </c>
      <c r="O1986" s="1"/>
      <c r="P1986" s="11"/>
      <c r="Q1986" s="11"/>
      <c r="R1986" s="11"/>
      <c r="S1986" s="11"/>
      <c r="T1986" s="1"/>
      <c r="U1986" s="1"/>
      <c r="V1986" s="1"/>
      <c r="W1986" s="1"/>
      <c r="X1986" s="1"/>
      <c r="Y1986" s="1"/>
      <c r="Z1986" s="1"/>
    </row>
    <row r="1987" ht="18.0" hidden="1" customHeight="1" outlineLevel="1">
      <c r="A1987" s="1">
        <v>7.0</v>
      </c>
      <c r="B1987" s="26" t="s">
        <v>2060</v>
      </c>
      <c r="C1987" s="26" t="s">
        <v>2061</v>
      </c>
      <c r="D1987" s="1"/>
      <c r="E1987" s="29" t="s">
        <v>55</v>
      </c>
      <c r="F1987" s="15"/>
      <c r="G1987" s="16"/>
      <c r="H1987" s="22" t="s">
        <v>2087</v>
      </c>
      <c r="I1987" s="7"/>
      <c r="J1987" s="7" t="str">
        <f>IFERROR(LET(_xlpm.v,
VLOOKUP($I1987,'用語辞書'!$A:$B,COLUMN('用語辞書'!B$1),FALSE),
IF(_xlpm.v=0,"",_xlpm.v)
),"")</f>
        <v/>
      </c>
      <c r="K1987" s="17"/>
      <c r="L1987" s="17" t="str">
        <f>IF(OR(COUNTIF('クラス'!$A$1:$A$1267,$B1987)&gt;0,$B1987="",$M1987=""),"",True)</f>
        <v/>
      </c>
      <c r="M1987" s="1" t="str">
        <f t="shared" si="27"/>
        <v/>
      </c>
      <c r="N1987" s="1" t="s">
        <v>29</v>
      </c>
      <c r="O1987" s="1"/>
      <c r="P1987" s="11"/>
      <c r="Q1987" s="11"/>
      <c r="R1987" s="11"/>
      <c r="S1987" s="11"/>
      <c r="T1987" s="1"/>
      <c r="U1987" s="1"/>
      <c r="V1987" s="1"/>
      <c r="W1987" s="1"/>
      <c r="X1987" s="1"/>
      <c r="Y1987" s="1"/>
      <c r="Z1987" s="1"/>
    </row>
    <row r="1988" ht="18.0" hidden="1" customHeight="1" outlineLevel="1">
      <c r="A1988" s="1">
        <v>8.0</v>
      </c>
      <c r="B1988" s="1"/>
      <c r="C1988" s="1"/>
      <c r="D1988" s="1"/>
      <c r="E1988" s="14"/>
      <c r="F1988" s="15"/>
      <c r="G1988" s="16"/>
      <c r="H1988" s="11"/>
      <c r="I1988" s="7"/>
      <c r="J1988" s="7" t="str">
        <f>IFERROR(LET(_xlpm.v,
VLOOKUP($I1988,'用語辞書'!$A:$B,COLUMN('用語辞書'!B$1),FALSE),
IF(_xlpm.v=0,"",_xlpm.v)
),"")</f>
        <v/>
      </c>
      <c r="K1988" s="17"/>
      <c r="L1988" s="17" t="str">
        <f>IF(OR(COUNTIF('クラス'!$A$1:$A$1267,$B1988)&gt;0,$B1988="",$M1988=""),"",True)</f>
        <v/>
      </c>
      <c r="M1988" s="1" t="str">
        <f t="shared" si="27"/>
        <v>存在しない</v>
      </c>
      <c r="N1988" s="1" t="s">
        <v>29</v>
      </c>
      <c r="O1988" s="1"/>
      <c r="P1988" s="11"/>
      <c r="Q1988" s="11"/>
      <c r="R1988" s="11"/>
      <c r="S1988" s="11"/>
      <c r="T1988" s="1"/>
      <c r="U1988" s="1"/>
      <c r="V1988" s="1"/>
      <c r="W1988" s="1"/>
      <c r="X1988" s="1"/>
      <c r="Y1988" s="1"/>
      <c r="Z1988" s="1"/>
    </row>
    <row r="1989" ht="18.0" hidden="1" customHeight="1" outlineLevel="1">
      <c r="A1989" s="1">
        <v>9.0</v>
      </c>
      <c r="B1989" s="26" t="s">
        <v>2088</v>
      </c>
      <c r="C1989" s="1"/>
      <c r="D1989" s="1"/>
      <c r="E1989" s="29" t="s">
        <v>33</v>
      </c>
      <c r="F1989" s="15"/>
      <c r="G1989" s="30">
        <v>60.0</v>
      </c>
      <c r="H1989" s="22" t="s">
        <v>2089</v>
      </c>
      <c r="I1989" s="7"/>
      <c r="J1989" s="7" t="str">
        <f>IFERROR(LET(_xlpm.v,
VLOOKUP($I1989,'用語辞書'!$A:$B,COLUMN('用語辞書'!B$1),FALSE),
IF(_xlpm.v=0,"",_xlpm.v)
),"")</f>
        <v/>
      </c>
      <c r="K1989" s="17"/>
      <c r="L1989" s="17" t="b">
        <f>IF(OR(COUNTIF('クラス'!$A$1:$A$1267,$B1989)&gt;0,$B1989="",$M1989=""),"",True)</f>
        <v>1</v>
      </c>
      <c r="M1989" s="1" t="str">
        <f t="shared" si="27"/>
        <v>存在しない</v>
      </c>
      <c r="N1989" s="1" t="s">
        <v>29</v>
      </c>
      <c r="O1989" s="1"/>
      <c r="P1989" s="11"/>
      <c r="Q1989" s="11"/>
      <c r="R1989" s="11"/>
      <c r="S1989" s="11"/>
      <c r="T1989" s="1"/>
      <c r="U1989" s="1"/>
      <c r="V1989" s="1"/>
      <c r="W1989" s="1"/>
      <c r="X1989" s="1"/>
      <c r="Y1989" s="1"/>
      <c r="Z1989" s="1"/>
    </row>
    <row r="1990" ht="18.0" hidden="1" customHeight="1" outlineLevel="1">
      <c r="A1990" s="1">
        <v>10.0</v>
      </c>
      <c r="B1990" s="26" t="s">
        <v>2079</v>
      </c>
      <c r="C1990" s="1"/>
      <c r="D1990" s="1"/>
      <c r="E1990" s="29" t="s">
        <v>55</v>
      </c>
      <c r="F1990" s="15"/>
      <c r="G1990" s="16"/>
      <c r="H1990" s="22" t="s">
        <v>2090</v>
      </c>
      <c r="I1990" s="7"/>
      <c r="J1990" s="7" t="str">
        <f>IFERROR(LET(_xlpm.v,
VLOOKUP($I1990,'用語辞書'!$A:$B,COLUMN('用語辞書'!B$1),FALSE),
IF(_xlpm.v=0,"",_xlpm.v)
),"")</f>
        <v/>
      </c>
      <c r="K1990" s="17"/>
      <c r="L1990" s="17" t="str">
        <f>IF(OR(COUNTIF('クラス'!$A$1:$A$1267,$B1990)&gt;0,$B1990="",$M1990=""),"",True)</f>
        <v/>
      </c>
      <c r="M1990" s="1" t="str">
        <f t="shared" si="27"/>
        <v/>
      </c>
      <c r="N1990" s="1" t="s">
        <v>29</v>
      </c>
      <c r="O1990" s="1"/>
      <c r="P1990" s="11"/>
      <c r="Q1990" s="11"/>
      <c r="R1990" s="11"/>
      <c r="S1990" s="11"/>
      <c r="T1990" s="1"/>
      <c r="U1990" s="1"/>
      <c r="V1990" s="1"/>
      <c r="W1990" s="1"/>
      <c r="X1990" s="1"/>
      <c r="Y1990" s="1"/>
      <c r="Z1990" s="1"/>
    </row>
    <row r="1991" ht="18.0" customHeight="1" collapsed="1">
      <c r="A1991" s="1"/>
      <c r="B1991" s="1"/>
      <c r="C1991" s="26" t="s">
        <v>2091</v>
      </c>
      <c r="D1991" s="1"/>
      <c r="E1991" s="14"/>
      <c r="F1991" s="15"/>
      <c r="G1991" s="16"/>
      <c r="H1991" s="11"/>
      <c r="I1991" s="7"/>
      <c r="J1991" s="7" t="str">
        <f>IFERROR(LET(_xlpm.v,
VLOOKUP($I1991,'用語辞書'!$A:$B,COLUMN('用語辞書'!B$1),FALSE),
IF(_xlpm.v=0,"",_xlpm.v)
),"")</f>
        <v/>
      </c>
      <c r="K1991" s="17"/>
      <c r="L1991" s="17" t="str">
        <f>IF(OR(COUNTIF('クラス'!$A$1:$A$1267,$B1991)&gt;0,$B1991="",$M1991=""),"",True)</f>
        <v/>
      </c>
      <c r="M1991" s="1" t="str">
        <f t="shared" si="27"/>
        <v>存在しない</v>
      </c>
      <c r="N1991" s="1" t="s">
        <v>29</v>
      </c>
      <c r="O1991" s="1"/>
      <c r="P1991" s="11"/>
      <c r="Q1991" s="11"/>
      <c r="R1991" s="11"/>
      <c r="S1991" s="11"/>
      <c r="T1991" s="1"/>
      <c r="U1991" s="1"/>
      <c r="V1991" s="1"/>
      <c r="W1991" s="1"/>
      <c r="X1991" s="1"/>
      <c r="Y1991" s="1"/>
      <c r="Z1991" s="1"/>
    </row>
    <row r="1992" ht="18.0" customHeight="1" outlineLevel="1">
      <c r="A1992" s="1"/>
      <c r="B1992" s="26" t="s">
        <v>2092</v>
      </c>
      <c r="C1992" s="26" t="s">
        <v>2093</v>
      </c>
      <c r="D1992" s="1"/>
      <c r="E1992" s="14"/>
      <c r="F1992" s="15"/>
      <c r="G1992" s="16"/>
      <c r="H1992" s="11"/>
      <c r="I1992" s="7"/>
      <c r="J1992" s="7" t="str">
        <f>IFERROR(LET(_xlpm.v,
VLOOKUP($I1992,'用語辞書'!$A:$B,COLUMN('用語辞書'!B$1),FALSE),
IF(_xlpm.v=0,"",_xlpm.v)
),"")</f>
        <v/>
      </c>
      <c r="K1992" s="17"/>
      <c r="L1992" s="17" t="str">
        <f>IF(OR(COUNTIF('クラス'!$A$1:$A$1267,$B1992)&gt;0,$B1992="",$M1992=""),"",True)</f>
        <v/>
      </c>
      <c r="M1992" s="1" t="str">
        <f t="shared" si="27"/>
        <v>存在しない</v>
      </c>
      <c r="N1992" s="1" t="s">
        <v>29</v>
      </c>
      <c r="O1992" s="1"/>
      <c r="P1992" s="11"/>
      <c r="Q1992" s="11"/>
      <c r="R1992" s="11"/>
      <c r="S1992" s="11"/>
      <c r="T1992" s="1"/>
      <c r="U1992" s="1"/>
      <c r="V1992" s="1"/>
      <c r="W1992" s="1"/>
      <c r="X1992" s="1"/>
      <c r="Y1992" s="1"/>
      <c r="Z1992" s="1"/>
    </row>
    <row r="1993" ht="18.0" hidden="1" customHeight="1" outlineLevel="2">
      <c r="A1993" s="1">
        <v>1.0</v>
      </c>
      <c r="B1993" s="26" t="s">
        <v>2094</v>
      </c>
      <c r="C1993" s="26" t="s">
        <v>2095</v>
      </c>
      <c r="D1993" s="26" t="s">
        <v>2096</v>
      </c>
      <c r="E1993" s="29" t="s">
        <v>33</v>
      </c>
      <c r="F1993" s="15"/>
      <c r="G1993" s="30">
        <v>60.0</v>
      </c>
      <c r="H1993" s="22" t="s">
        <v>2097</v>
      </c>
      <c r="I1993" s="7"/>
      <c r="J1993" s="7" t="str">
        <f>IFERROR(LET(_xlpm.v,
VLOOKUP($I1993,'用語辞書'!$A:$B,COLUMN('用語辞書'!B$1),FALSE),
IF(_xlpm.v=0,"",_xlpm.v)
),"")</f>
        <v/>
      </c>
      <c r="K1993" s="17"/>
      <c r="L1993" s="17" t="b">
        <f>IF(OR(COUNTIF('クラス'!$A$1:$A$1267,$B1993)&gt;0,$B1993="",$M1993=""),"",True)</f>
        <v>1</v>
      </c>
      <c r="M1993" s="1" t="str">
        <f t="shared" si="27"/>
        <v>存在しない</v>
      </c>
      <c r="N1993" s="1" t="s">
        <v>29</v>
      </c>
      <c r="O1993" s="1"/>
      <c r="P1993" s="11"/>
      <c r="Q1993" s="11"/>
      <c r="R1993" s="11"/>
      <c r="S1993" s="11"/>
      <c r="T1993" s="1"/>
      <c r="U1993" s="1"/>
      <c r="V1993" s="1"/>
      <c r="W1993" s="1"/>
      <c r="X1993" s="1"/>
      <c r="Y1993" s="1"/>
      <c r="Z1993" s="1"/>
    </row>
    <row r="1994" ht="18.0" hidden="1" customHeight="1" outlineLevel="2">
      <c r="A1994" s="1">
        <v>2.0</v>
      </c>
      <c r="B1994" s="1"/>
      <c r="C1994" s="1"/>
      <c r="D1994" s="1"/>
      <c r="E1994" s="14"/>
      <c r="F1994" s="15"/>
      <c r="G1994" s="16"/>
      <c r="H1994" s="11"/>
      <c r="I1994" s="7"/>
      <c r="J1994" s="7" t="str">
        <f>IFERROR(LET(_xlpm.v,
VLOOKUP($I1994,'用語辞書'!$A:$B,COLUMN('用語辞書'!B$1),FALSE),
IF(_xlpm.v=0,"",_xlpm.v)
),"")</f>
        <v/>
      </c>
      <c r="K1994" s="17"/>
      <c r="L1994" s="17" t="str">
        <f>IF(OR(COUNTIF('クラス'!$A$1:$A$1267,$B1994)&gt;0,$B1994="",$M1994=""),"",True)</f>
        <v/>
      </c>
      <c r="M1994" s="1" t="str">
        <f t="shared" si="27"/>
        <v>存在しない</v>
      </c>
      <c r="N1994" s="1" t="s">
        <v>29</v>
      </c>
      <c r="O1994" s="1"/>
      <c r="P1994" s="11"/>
      <c r="Q1994" s="11"/>
      <c r="R1994" s="11"/>
      <c r="S1994" s="11"/>
      <c r="T1994" s="1"/>
      <c r="U1994" s="1"/>
      <c r="V1994" s="1"/>
      <c r="W1994" s="1"/>
      <c r="X1994" s="1"/>
      <c r="Y1994" s="1"/>
      <c r="Z1994" s="1"/>
    </row>
    <row r="1995" ht="18.0" hidden="1" customHeight="1" outlineLevel="2">
      <c r="A1995" s="1">
        <v>3.0</v>
      </c>
      <c r="B1995" s="26" t="s">
        <v>2098</v>
      </c>
      <c r="C1995" s="1"/>
      <c r="D1995" s="1"/>
      <c r="E1995" s="29" t="s">
        <v>55</v>
      </c>
      <c r="F1995" s="15"/>
      <c r="G1995" s="16"/>
      <c r="H1995" s="22" t="s">
        <v>2099</v>
      </c>
      <c r="I1995" s="7"/>
      <c r="J1995" s="7" t="str">
        <f>IFERROR(LET(_xlpm.v,
VLOOKUP($I1995,'用語辞書'!$A:$B,COLUMN('用語辞書'!B$1),FALSE),
IF(_xlpm.v=0,"",_xlpm.v)
),"")</f>
        <v/>
      </c>
      <c r="K1995" s="17"/>
      <c r="L1995" s="17" t="b">
        <f>IF(OR(COUNTIF('クラス'!$A$1:$A$1267,$B1995)&gt;0,$B1995="",$M1995=""),"",True)</f>
        <v>1</v>
      </c>
      <c r="M1995" s="1" t="str">
        <f t="shared" si="27"/>
        <v>存在しない</v>
      </c>
      <c r="N1995" s="1" t="s">
        <v>29</v>
      </c>
      <c r="O1995" s="1"/>
      <c r="P1995" s="11"/>
      <c r="Q1995" s="11"/>
      <c r="R1995" s="11"/>
      <c r="S1995" s="11"/>
      <c r="T1995" s="1"/>
      <c r="U1995" s="1"/>
      <c r="V1995" s="1"/>
      <c r="W1995" s="1"/>
      <c r="X1995" s="1"/>
      <c r="Y1995" s="1"/>
      <c r="Z1995" s="1"/>
    </row>
    <row r="1996" ht="18.0" hidden="1" customHeight="1" outlineLevel="2">
      <c r="A1996" s="1">
        <v>4.0</v>
      </c>
      <c r="B1996" s="1"/>
      <c r="C1996" s="1"/>
      <c r="D1996" s="1"/>
      <c r="E1996" s="14"/>
      <c r="F1996" s="15"/>
      <c r="G1996" s="16"/>
      <c r="H1996" s="11"/>
      <c r="I1996" s="7"/>
      <c r="J1996" s="7" t="str">
        <f>IFERROR(LET(_xlpm.v,
VLOOKUP($I1996,'用語辞書'!$A:$B,COLUMN('用語辞書'!B$1),FALSE),
IF(_xlpm.v=0,"",_xlpm.v)
),"")</f>
        <v/>
      </c>
      <c r="K1996" s="17"/>
      <c r="L1996" s="17" t="str">
        <f>IF(OR(COUNTIF('クラス'!$A$1:$A$1267,$B1996)&gt;0,$B1996="",$M1996=""),"",True)</f>
        <v/>
      </c>
      <c r="M1996" s="1" t="str">
        <f t="shared" si="27"/>
        <v>存在しない</v>
      </c>
      <c r="N1996" s="1" t="s">
        <v>29</v>
      </c>
      <c r="O1996" s="1"/>
      <c r="P1996" s="11"/>
      <c r="Q1996" s="11"/>
      <c r="R1996" s="11"/>
      <c r="S1996" s="11"/>
      <c r="T1996" s="1"/>
      <c r="U1996" s="1"/>
      <c r="V1996" s="1"/>
      <c r="W1996" s="1"/>
      <c r="X1996" s="1"/>
      <c r="Y1996" s="1"/>
      <c r="Z1996" s="1"/>
    </row>
    <row r="1997" ht="18.0" hidden="1" customHeight="1" outlineLevel="2">
      <c r="A1997" s="1">
        <v>5.0</v>
      </c>
      <c r="B1997" s="26" t="s">
        <v>2100</v>
      </c>
      <c r="C1997" s="26" t="s">
        <v>2101</v>
      </c>
      <c r="D1997" s="26" t="s">
        <v>2102</v>
      </c>
      <c r="E1997" s="29" t="s">
        <v>33</v>
      </c>
      <c r="F1997" s="15"/>
      <c r="G1997" s="30">
        <v>30.0</v>
      </c>
      <c r="H1997" s="22" t="s">
        <v>2103</v>
      </c>
      <c r="I1997" s="7"/>
      <c r="J1997" s="7" t="str">
        <f>IFERROR(LET(_xlpm.v,
VLOOKUP($I1997,'用語辞書'!$A:$B,COLUMN('用語辞書'!B$1),FALSE),
IF(_xlpm.v=0,"",_xlpm.v)
),"")</f>
        <v/>
      </c>
      <c r="K1997" s="17"/>
      <c r="L1997" s="17" t="b">
        <f>IF(OR(COUNTIF('クラス'!$A$1:$A$1267,$B1997)&gt;0,$B1997="",$M1997=""),"",True)</f>
        <v>1</v>
      </c>
      <c r="M1997" s="1" t="str">
        <f t="shared" si="27"/>
        <v>存在しない</v>
      </c>
      <c r="N1997" s="1" t="s">
        <v>29</v>
      </c>
      <c r="O1997" s="1"/>
      <c r="P1997" s="11"/>
      <c r="Q1997" s="11"/>
      <c r="R1997" s="11"/>
      <c r="S1997" s="11"/>
      <c r="T1997" s="1"/>
      <c r="U1997" s="1"/>
      <c r="V1997" s="1"/>
      <c r="W1997" s="1"/>
      <c r="X1997" s="1"/>
      <c r="Y1997" s="1"/>
      <c r="Z1997" s="1"/>
    </row>
    <row r="1998" ht="18.0" hidden="1" customHeight="1" outlineLevel="2">
      <c r="A1998" s="1">
        <v>6.0</v>
      </c>
      <c r="B1998" s="1"/>
      <c r="C1998" s="1"/>
      <c r="D1998" s="1"/>
      <c r="E1998" s="14"/>
      <c r="F1998" s="15"/>
      <c r="G1998" s="16"/>
      <c r="H1998" s="11"/>
      <c r="I1998" s="7"/>
      <c r="J1998" s="7" t="str">
        <f>IFERROR(LET(_xlpm.v,
VLOOKUP($I1998,'用語辞書'!$A:$B,COLUMN('用語辞書'!B$1),FALSE),
IF(_xlpm.v=0,"",_xlpm.v)
),"")</f>
        <v/>
      </c>
      <c r="K1998" s="17"/>
      <c r="L1998" s="17" t="str">
        <f>IF(OR(COUNTIF('クラス'!$A$1:$A$1267,$B1998)&gt;0,$B1998="",$M1998=""),"",True)</f>
        <v/>
      </c>
      <c r="M1998" s="1" t="str">
        <f t="shared" si="27"/>
        <v>存在しない</v>
      </c>
      <c r="N1998" s="1" t="s">
        <v>29</v>
      </c>
      <c r="O1998" s="1"/>
      <c r="P1998" s="11"/>
      <c r="Q1998" s="11"/>
      <c r="R1998" s="11"/>
      <c r="S1998" s="11"/>
      <c r="T1998" s="1"/>
      <c r="U1998" s="1"/>
      <c r="V1998" s="1"/>
      <c r="W1998" s="1"/>
      <c r="X1998" s="1"/>
      <c r="Y1998" s="1"/>
      <c r="Z1998" s="1"/>
    </row>
    <row r="1999" ht="18.0" hidden="1" customHeight="1" outlineLevel="2">
      <c r="A1999" s="1">
        <v>7.0</v>
      </c>
      <c r="B1999" s="26" t="s">
        <v>2104</v>
      </c>
      <c r="C1999" s="1"/>
      <c r="D1999" s="1"/>
      <c r="E1999" s="29" t="s">
        <v>55</v>
      </c>
      <c r="F1999" s="15"/>
      <c r="G1999" s="16"/>
      <c r="H1999" s="22" t="s">
        <v>2105</v>
      </c>
      <c r="I1999" s="7"/>
      <c r="J1999" s="7" t="str">
        <f>IFERROR(LET(_xlpm.v,
VLOOKUP($I1999,'用語辞書'!$A:$B,COLUMN('用語辞書'!B$1),FALSE),
IF(_xlpm.v=0,"",_xlpm.v)
),"")</f>
        <v/>
      </c>
      <c r="K1999" s="17"/>
      <c r="L1999" s="17" t="b">
        <f>IF(OR(COUNTIF('クラス'!$A$1:$A$1267,$B1999)&gt;0,$B1999="",$M1999=""),"",True)</f>
        <v>1</v>
      </c>
      <c r="M1999" s="1" t="str">
        <f t="shared" si="27"/>
        <v>存在しない</v>
      </c>
      <c r="N1999" s="1" t="s">
        <v>29</v>
      </c>
      <c r="O1999" s="1"/>
      <c r="P1999" s="11"/>
      <c r="Q1999" s="11"/>
      <c r="R1999" s="11"/>
      <c r="S1999" s="11"/>
      <c r="T1999" s="1"/>
      <c r="U1999" s="1"/>
      <c r="V1999" s="1"/>
      <c r="W1999" s="1"/>
      <c r="X1999" s="1"/>
      <c r="Y1999" s="1"/>
      <c r="Z1999" s="1"/>
    </row>
    <row r="2000" ht="18.0" hidden="1" customHeight="1" outlineLevel="2">
      <c r="A2000" s="1">
        <v>8.0</v>
      </c>
      <c r="B2000" s="1"/>
      <c r="C2000" s="1"/>
      <c r="D2000" s="1"/>
      <c r="E2000" s="14"/>
      <c r="F2000" s="15"/>
      <c r="G2000" s="16"/>
      <c r="H2000" s="11"/>
      <c r="I2000" s="7"/>
      <c r="J2000" s="7" t="str">
        <f>IFERROR(LET(_xlpm.v,
VLOOKUP($I2000,'用語辞書'!$A:$B,COLUMN('用語辞書'!B$1),FALSE),
IF(_xlpm.v=0,"",_xlpm.v)
),"")</f>
        <v/>
      </c>
      <c r="K2000" s="17"/>
      <c r="L2000" s="17" t="str">
        <f>IF(OR(COUNTIF('クラス'!$A$1:$A$1267,$B2000)&gt;0,$B2000="",$M2000=""),"",True)</f>
        <v/>
      </c>
      <c r="M2000" s="1" t="str">
        <f t="shared" si="27"/>
        <v>存在しない</v>
      </c>
      <c r="N2000" s="1" t="s">
        <v>29</v>
      </c>
      <c r="O2000" s="1"/>
      <c r="P2000" s="11"/>
      <c r="Q2000" s="11"/>
      <c r="R2000" s="11"/>
      <c r="S2000" s="11"/>
      <c r="T2000" s="1"/>
      <c r="U2000" s="1"/>
      <c r="V2000" s="1"/>
      <c r="W2000" s="1"/>
      <c r="X2000" s="1"/>
      <c r="Y2000" s="1"/>
      <c r="Z2000" s="1"/>
    </row>
    <row r="2001" ht="18.0" hidden="1" customHeight="1" outlineLevel="2">
      <c r="A2001" s="1">
        <v>9.0</v>
      </c>
      <c r="B2001" s="26" t="s">
        <v>918</v>
      </c>
      <c r="C2001" s="26" t="s">
        <v>2106</v>
      </c>
      <c r="D2001" s="26" t="s">
        <v>2096</v>
      </c>
      <c r="E2001" s="29" t="s">
        <v>33</v>
      </c>
      <c r="F2001" s="15"/>
      <c r="G2001" s="30">
        <v>60.0</v>
      </c>
      <c r="H2001" s="31" t="s">
        <v>2107</v>
      </c>
      <c r="I2001" s="7"/>
      <c r="J2001" s="7" t="str">
        <f>IFERROR(LET(_xlpm.v,
VLOOKUP($I2001,'用語辞書'!$A:$B,COLUMN('用語辞書'!B$1),FALSE),
IF(_xlpm.v=0,"",_xlpm.v)
),"")</f>
        <v/>
      </c>
      <c r="K2001" s="17"/>
      <c r="L2001" s="17" t="str">
        <f>IF(OR(COUNTIF('クラス'!$A$1:$A$1267,$B2001)&gt;0,$B2001="",$M2001=""),"",True)</f>
        <v/>
      </c>
      <c r="M2001" s="1" t="str">
        <f t="shared" si="27"/>
        <v/>
      </c>
      <c r="N2001" s="1" t="s">
        <v>29</v>
      </c>
      <c r="O2001" s="1"/>
      <c r="P2001" s="11"/>
      <c r="Q2001" s="11"/>
      <c r="R2001" s="11"/>
      <c r="S2001" s="11"/>
      <c r="T2001" s="1"/>
      <c r="U2001" s="1"/>
      <c r="V2001" s="1"/>
      <c r="W2001" s="1"/>
      <c r="X2001" s="1"/>
      <c r="Y2001" s="1"/>
      <c r="Z2001" s="1"/>
    </row>
    <row r="2002" ht="18.0" hidden="1" customHeight="1" outlineLevel="2">
      <c r="A2002" s="1">
        <v>10.0</v>
      </c>
      <c r="B2002" s="26" t="s">
        <v>2093</v>
      </c>
      <c r="C2002" s="1"/>
      <c r="D2002" s="1"/>
      <c r="E2002" s="29" t="s">
        <v>55</v>
      </c>
      <c r="F2002" s="15"/>
      <c r="G2002" s="16"/>
      <c r="H2002" s="22" t="s">
        <v>2108</v>
      </c>
      <c r="I2002" s="7"/>
      <c r="J2002" s="7" t="str">
        <f>IFERROR(LET(_xlpm.v,
VLOOKUP($I2002,'用語辞書'!$A:$B,COLUMN('用語辞書'!B$1),FALSE),
IF(_xlpm.v=0,"",_xlpm.v)
),"")</f>
        <v/>
      </c>
      <c r="K2002" s="17"/>
      <c r="L2002" s="17" t="str">
        <f>IF(OR(COUNTIF('クラス'!$A$1:$A$1267,$B2002)&gt;0,$B2002="",$M2002=""),"",True)</f>
        <v/>
      </c>
      <c r="M2002" s="1" t="str">
        <f t="shared" si="27"/>
        <v/>
      </c>
      <c r="N2002" s="1" t="s">
        <v>29</v>
      </c>
      <c r="O2002" s="1"/>
      <c r="P2002" s="11"/>
      <c r="Q2002" s="11"/>
      <c r="R2002" s="11"/>
      <c r="S2002" s="11"/>
      <c r="T2002" s="1"/>
      <c r="U2002" s="1"/>
      <c r="V2002" s="1"/>
      <c r="W2002" s="1"/>
      <c r="X2002" s="1"/>
      <c r="Y2002" s="1"/>
      <c r="Z2002" s="1"/>
    </row>
    <row r="2003" ht="18.0" customHeight="1" outlineLevel="1" collapsed="1">
      <c r="A2003" s="1"/>
      <c r="B2003" s="1"/>
      <c r="C2003" s="1"/>
      <c r="D2003" s="1"/>
      <c r="E2003" s="14"/>
      <c r="F2003" s="15"/>
      <c r="G2003" s="16"/>
      <c r="H2003" s="11"/>
      <c r="I2003" s="7"/>
      <c r="J2003" s="7" t="str">
        <f>IFERROR(LET(_xlpm.v,
VLOOKUP($I2003,'用語辞書'!$A:$B,COLUMN('用語辞書'!B$1),FALSE),
IF(_xlpm.v=0,"",_xlpm.v)
),"")</f>
        <v/>
      </c>
      <c r="K2003" s="17"/>
      <c r="L2003" s="17" t="str">
        <f>IF(OR(COUNTIF('クラス'!$A$1:$A$1267,$B2003)&gt;0,$B2003="",$M2003=""),"",True)</f>
        <v/>
      </c>
      <c r="M2003" s="1" t="str">
        <f t="shared" si="27"/>
        <v>存在しない</v>
      </c>
      <c r="N2003" s="1" t="s">
        <v>29</v>
      </c>
      <c r="O2003" s="1"/>
      <c r="P2003" s="11"/>
      <c r="Q2003" s="11"/>
      <c r="R2003" s="11"/>
      <c r="S2003" s="11"/>
      <c r="T2003" s="1"/>
      <c r="U2003" s="1"/>
      <c r="V2003" s="1"/>
      <c r="W2003" s="1"/>
      <c r="X2003" s="1"/>
      <c r="Y2003" s="1"/>
      <c r="Z2003" s="1"/>
    </row>
    <row r="2004" ht="18.0" customHeight="1" outlineLevel="1">
      <c r="A2004" s="1"/>
      <c r="B2004" s="26" t="s">
        <v>2109</v>
      </c>
      <c r="C2004" s="26" t="s">
        <v>2110</v>
      </c>
      <c r="D2004" s="1"/>
      <c r="E2004" s="14"/>
      <c r="F2004" s="15"/>
      <c r="G2004" s="16"/>
      <c r="H2004" s="11"/>
      <c r="I2004" s="7"/>
      <c r="J2004" s="7" t="str">
        <f>IFERROR(LET(_xlpm.v,
VLOOKUP($I2004,'用語辞書'!$A:$B,COLUMN('用語辞書'!B$1),FALSE),
IF(_xlpm.v=0,"",_xlpm.v)
),"")</f>
        <v/>
      </c>
      <c r="K2004" s="17"/>
      <c r="L2004" s="17" t="str">
        <f>IF(OR(COUNTIF('クラス'!$A$1:$A$1267,$B2004)&gt;0,$B2004="",$M2004=""),"",True)</f>
        <v/>
      </c>
      <c r="M2004" s="1" t="str">
        <f t="shared" si="27"/>
        <v>存在しない</v>
      </c>
      <c r="N2004" s="1" t="s">
        <v>29</v>
      </c>
      <c r="O2004" s="1"/>
      <c r="P2004" s="11"/>
      <c r="Q2004" s="11"/>
      <c r="R2004" s="11"/>
      <c r="S2004" s="11"/>
      <c r="T2004" s="1"/>
      <c r="U2004" s="1"/>
      <c r="V2004" s="1"/>
      <c r="W2004" s="1"/>
      <c r="X2004" s="1"/>
      <c r="Y2004" s="1"/>
      <c r="Z2004" s="1"/>
    </row>
    <row r="2005" ht="18.0" hidden="1" customHeight="1" outlineLevel="2">
      <c r="A2005" s="1">
        <v>1.0</v>
      </c>
      <c r="B2005" s="26" t="s">
        <v>2111</v>
      </c>
      <c r="C2005" s="26" t="s">
        <v>2112</v>
      </c>
      <c r="D2005" s="26" t="s">
        <v>2096</v>
      </c>
      <c r="E2005" s="29" t="s">
        <v>33</v>
      </c>
      <c r="F2005" s="15"/>
      <c r="G2005" s="30">
        <v>60.0</v>
      </c>
      <c r="H2005" s="22" t="s">
        <v>2113</v>
      </c>
      <c r="I2005" s="7"/>
      <c r="J2005" s="7" t="str">
        <f>IFERROR(LET(_xlpm.v,
VLOOKUP($I2005,'用語辞書'!$A:$B,COLUMN('用語辞書'!B$1),FALSE),
IF(_xlpm.v=0,"",_xlpm.v)
),"")</f>
        <v/>
      </c>
      <c r="K2005" s="17"/>
      <c r="L2005" s="17" t="b">
        <f>IF(OR(COUNTIF('クラス'!$A$1:$A$1267,$B2005)&gt;0,$B2005="",$M2005=""),"",True)</f>
        <v>1</v>
      </c>
      <c r="M2005" s="1" t="str">
        <f t="shared" si="27"/>
        <v>存在しない</v>
      </c>
      <c r="N2005" s="1" t="s">
        <v>29</v>
      </c>
      <c r="O2005" s="1"/>
      <c r="P2005" s="11"/>
      <c r="Q2005" s="11"/>
      <c r="R2005" s="11"/>
      <c r="S2005" s="11"/>
      <c r="T2005" s="1"/>
      <c r="U2005" s="1"/>
      <c r="V2005" s="1"/>
      <c r="W2005" s="1"/>
      <c r="X2005" s="1"/>
      <c r="Y2005" s="1"/>
      <c r="Z2005" s="1"/>
    </row>
    <row r="2006" ht="18.0" hidden="1" customHeight="1" outlineLevel="2">
      <c r="A2006" s="1">
        <v>2.0</v>
      </c>
      <c r="B2006" s="1"/>
      <c r="C2006" s="1"/>
      <c r="D2006" s="1"/>
      <c r="E2006" s="14"/>
      <c r="F2006" s="15"/>
      <c r="G2006" s="16"/>
      <c r="H2006" s="11"/>
      <c r="I2006" s="7"/>
      <c r="J2006" s="7" t="str">
        <f>IFERROR(LET(_xlpm.v,
VLOOKUP($I2006,'用語辞書'!$A:$B,COLUMN('用語辞書'!B$1),FALSE),
IF(_xlpm.v=0,"",_xlpm.v)
),"")</f>
        <v/>
      </c>
      <c r="K2006" s="17"/>
      <c r="L2006" s="17" t="str">
        <f>IF(OR(COUNTIF('クラス'!$A$1:$A$1267,$B2006)&gt;0,$B2006="",$M2006=""),"",True)</f>
        <v/>
      </c>
      <c r="M2006" s="1" t="str">
        <f t="shared" si="27"/>
        <v>存在しない</v>
      </c>
      <c r="N2006" s="1" t="s">
        <v>29</v>
      </c>
      <c r="O2006" s="1"/>
      <c r="P2006" s="11"/>
      <c r="Q2006" s="11"/>
      <c r="R2006" s="11"/>
      <c r="S2006" s="11"/>
      <c r="T2006" s="1"/>
      <c r="U2006" s="1"/>
      <c r="V2006" s="1"/>
      <c r="W2006" s="1"/>
      <c r="X2006" s="1"/>
      <c r="Y2006" s="1"/>
      <c r="Z2006" s="1"/>
    </row>
    <row r="2007" ht="18.0" hidden="1" customHeight="1" outlineLevel="2">
      <c r="A2007" s="1">
        <v>3.0</v>
      </c>
      <c r="B2007" s="26" t="s">
        <v>2114</v>
      </c>
      <c r="C2007" s="1"/>
      <c r="D2007" s="1"/>
      <c r="E2007" s="29" t="s">
        <v>55</v>
      </c>
      <c r="F2007" s="15"/>
      <c r="G2007" s="16"/>
      <c r="H2007" s="22" t="s">
        <v>2115</v>
      </c>
      <c r="I2007" s="7"/>
      <c r="J2007" s="7" t="str">
        <f>IFERROR(LET(_xlpm.v,
VLOOKUP($I2007,'用語辞書'!$A:$B,COLUMN('用語辞書'!B$1),FALSE),
IF(_xlpm.v=0,"",_xlpm.v)
),"")</f>
        <v/>
      </c>
      <c r="K2007" s="17"/>
      <c r="L2007" s="17" t="b">
        <f>IF(OR(COUNTIF('クラス'!$A$1:$A$1267,$B2007)&gt;0,$B2007="",$M2007=""),"",True)</f>
        <v>1</v>
      </c>
      <c r="M2007" s="1" t="str">
        <f t="shared" si="27"/>
        <v>存在しない</v>
      </c>
      <c r="N2007" s="1" t="s">
        <v>29</v>
      </c>
      <c r="O2007" s="1"/>
      <c r="P2007" s="11"/>
      <c r="Q2007" s="11"/>
      <c r="R2007" s="11"/>
      <c r="S2007" s="11"/>
      <c r="T2007" s="1"/>
      <c r="U2007" s="1"/>
      <c r="V2007" s="1"/>
      <c r="W2007" s="1"/>
      <c r="X2007" s="1"/>
      <c r="Y2007" s="1"/>
      <c r="Z2007" s="1"/>
    </row>
    <row r="2008" ht="18.0" hidden="1" customHeight="1" outlineLevel="2">
      <c r="A2008" s="1">
        <v>4.0</v>
      </c>
      <c r="B2008" s="1"/>
      <c r="C2008" s="1"/>
      <c r="D2008" s="1"/>
      <c r="E2008" s="14"/>
      <c r="F2008" s="15"/>
      <c r="G2008" s="16"/>
      <c r="H2008" s="11"/>
      <c r="I2008" s="7"/>
      <c r="J2008" s="7" t="str">
        <f>IFERROR(LET(_xlpm.v,
VLOOKUP($I2008,'用語辞書'!$A:$B,COLUMN('用語辞書'!B$1),FALSE),
IF(_xlpm.v=0,"",_xlpm.v)
),"")</f>
        <v/>
      </c>
      <c r="K2008" s="17"/>
      <c r="L2008" s="17" t="str">
        <f>IF(OR(COUNTIF('クラス'!$A$1:$A$1267,$B2008)&gt;0,$B2008="",$M2008=""),"",True)</f>
        <v/>
      </c>
      <c r="M2008" s="1" t="str">
        <f t="shared" si="27"/>
        <v>存在しない</v>
      </c>
      <c r="N2008" s="1" t="s">
        <v>29</v>
      </c>
      <c r="O2008" s="1"/>
      <c r="P2008" s="11"/>
      <c r="Q2008" s="11"/>
      <c r="R2008" s="11"/>
      <c r="S2008" s="11"/>
      <c r="T2008" s="1"/>
      <c r="U2008" s="1"/>
      <c r="V2008" s="1"/>
      <c r="W2008" s="1"/>
      <c r="X2008" s="1"/>
      <c r="Y2008" s="1"/>
      <c r="Z2008" s="1"/>
    </row>
    <row r="2009" ht="18.0" hidden="1" customHeight="1" outlineLevel="2">
      <c r="A2009" s="1">
        <v>5.0</v>
      </c>
      <c r="B2009" s="26" t="s">
        <v>2116</v>
      </c>
      <c r="C2009" s="26" t="s">
        <v>2117</v>
      </c>
      <c r="D2009" s="26" t="s">
        <v>2102</v>
      </c>
      <c r="E2009" s="29" t="s">
        <v>33</v>
      </c>
      <c r="F2009" s="15"/>
      <c r="G2009" s="30">
        <v>30.0</v>
      </c>
      <c r="H2009" s="22" t="s">
        <v>2118</v>
      </c>
      <c r="I2009" s="7"/>
      <c r="J2009" s="7" t="str">
        <f>IFERROR(LET(_xlpm.v,
VLOOKUP($I2009,'用語辞書'!$A:$B,COLUMN('用語辞書'!B$1),FALSE),
IF(_xlpm.v=0,"",_xlpm.v)
),"")</f>
        <v/>
      </c>
      <c r="K2009" s="17"/>
      <c r="L2009" s="17" t="b">
        <f>IF(OR(COUNTIF('クラス'!$A$1:$A$1267,$B2009)&gt;0,$B2009="",$M2009=""),"",True)</f>
        <v>1</v>
      </c>
      <c r="M2009" s="1" t="str">
        <f t="shared" si="27"/>
        <v>存在しない</v>
      </c>
      <c r="N2009" s="1" t="s">
        <v>29</v>
      </c>
      <c r="O2009" s="1"/>
      <c r="P2009" s="11"/>
      <c r="Q2009" s="11"/>
      <c r="R2009" s="11"/>
      <c r="S2009" s="11"/>
      <c r="T2009" s="1"/>
      <c r="U2009" s="1"/>
      <c r="V2009" s="1"/>
      <c r="W2009" s="1"/>
      <c r="X2009" s="1"/>
      <c r="Y2009" s="1"/>
      <c r="Z2009" s="1"/>
    </row>
    <row r="2010" ht="18.0" hidden="1" customHeight="1" outlineLevel="2">
      <c r="A2010" s="1">
        <v>6.0</v>
      </c>
      <c r="B2010" s="1"/>
      <c r="C2010" s="1"/>
      <c r="D2010" s="1"/>
      <c r="E2010" s="14"/>
      <c r="F2010" s="15"/>
      <c r="G2010" s="16"/>
      <c r="H2010" s="11"/>
      <c r="I2010" s="7"/>
      <c r="J2010" s="7" t="str">
        <f>IFERROR(LET(_xlpm.v,
VLOOKUP($I2010,'用語辞書'!$A:$B,COLUMN('用語辞書'!B$1),FALSE),
IF(_xlpm.v=0,"",_xlpm.v)
),"")</f>
        <v/>
      </c>
      <c r="K2010" s="17"/>
      <c r="L2010" s="17" t="str">
        <f>IF(OR(COUNTIF('クラス'!$A$1:$A$1267,$B2010)&gt;0,$B2010="",$M2010=""),"",True)</f>
        <v/>
      </c>
      <c r="M2010" s="1" t="str">
        <f t="shared" si="27"/>
        <v>存在しない</v>
      </c>
      <c r="N2010" s="1" t="s">
        <v>29</v>
      </c>
      <c r="O2010" s="1"/>
      <c r="P2010" s="11"/>
      <c r="Q2010" s="11"/>
      <c r="R2010" s="11"/>
      <c r="S2010" s="11"/>
      <c r="T2010" s="1"/>
      <c r="U2010" s="1"/>
      <c r="V2010" s="1"/>
      <c r="W2010" s="1"/>
      <c r="X2010" s="1"/>
      <c r="Y2010" s="1"/>
      <c r="Z2010" s="1"/>
    </row>
    <row r="2011" ht="18.0" hidden="1" customHeight="1" outlineLevel="2">
      <c r="A2011" s="1">
        <v>7.0</v>
      </c>
      <c r="B2011" s="26" t="s">
        <v>2119</v>
      </c>
      <c r="C2011" s="1"/>
      <c r="D2011" s="1"/>
      <c r="E2011" s="29" t="s">
        <v>55</v>
      </c>
      <c r="F2011" s="15"/>
      <c r="G2011" s="16"/>
      <c r="H2011" s="31" t="s">
        <v>2120</v>
      </c>
      <c r="I2011" s="7"/>
      <c r="J2011" s="7" t="str">
        <f>IFERROR(LET(_xlpm.v,
VLOOKUP($I2011,'用語辞書'!$A:$B,COLUMN('用語辞書'!B$1),FALSE),
IF(_xlpm.v=0,"",_xlpm.v)
),"")</f>
        <v/>
      </c>
      <c r="K2011" s="17"/>
      <c r="L2011" s="17" t="b">
        <f>IF(OR(COUNTIF('クラス'!$A$1:$A$1267,$B2011)&gt;0,$B2011="",$M2011=""),"",True)</f>
        <v>1</v>
      </c>
      <c r="M2011" s="1" t="str">
        <f t="shared" si="27"/>
        <v>存在しない</v>
      </c>
      <c r="N2011" s="1" t="s">
        <v>29</v>
      </c>
      <c r="O2011" s="1"/>
      <c r="P2011" s="11"/>
      <c r="Q2011" s="11"/>
      <c r="R2011" s="11"/>
      <c r="S2011" s="11"/>
      <c r="T2011" s="1"/>
      <c r="U2011" s="1"/>
      <c r="V2011" s="1"/>
      <c r="W2011" s="1"/>
      <c r="X2011" s="1"/>
      <c r="Y2011" s="1"/>
      <c r="Z2011" s="1"/>
    </row>
    <row r="2012" ht="18.0" hidden="1" customHeight="1" outlineLevel="2">
      <c r="A2012" s="1">
        <v>8.0</v>
      </c>
      <c r="B2012" s="1"/>
      <c r="C2012" s="1"/>
      <c r="D2012" s="1"/>
      <c r="E2012" s="14"/>
      <c r="F2012" s="15"/>
      <c r="G2012" s="16"/>
      <c r="H2012" s="11"/>
      <c r="I2012" s="7"/>
      <c r="J2012" s="7" t="str">
        <f>IFERROR(LET(_xlpm.v,
VLOOKUP($I2012,'用語辞書'!$A:$B,COLUMN('用語辞書'!B$1),FALSE),
IF(_xlpm.v=0,"",_xlpm.v)
),"")</f>
        <v/>
      </c>
      <c r="K2012" s="17"/>
      <c r="L2012" s="17" t="str">
        <f>IF(OR(COUNTIF('クラス'!$A$1:$A$1267,$B2012)&gt;0,$B2012="",$M2012=""),"",True)</f>
        <v/>
      </c>
      <c r="M2012" s="1" t="str">
        <f t="shared" si="27"/>
        <v>存在しない</v>
      </c>
      <c r="N2012" s="1" t="s">
        <v>29</v>
      </c>
      <c r="O2012" s="1"/>
      <c r="P2012" s="11"/>
      <c r="Q2012" s="11"/>
      <c r="R2012" s="11"/>
      <c r="S2012" s="11"/>
      <c r="T2012" s="1"/>
      <c r="U2012" s="1"/>
      <c r="V2012" s="1"/>
      <c r="W2012" s="1"/>
      <c r="X2012" s="1"/>
      <c r="Y2012" s="1"/>
      <c r="Z2012" s="1"/>
    </row>
    <row r="2013" ht="18.0" hidden="1" customHeight="1" outlineLevel="2">
      <c r="A2013" s="1">
        <v>9.0</v>
      </c>
      <c r="B2013" s="26" t="s">
        <v>2121</v>
      </c>
      <c r="C2013" s="26" t="s">
        <v>2122</v>
      </c>
      <c r="D2013" s="26" t="s">
        <v>2096</v>
      </c>
      <c r="E2013" s="29" t="s">
        <v>33</v>
      </c>
      <c r="F2013" s="15"/>
      <c r="G2013" s="30">
        <v>60.0</v>
      </c>
      <c r="H2013" s="22" t="s">
        <v>2123</v>
      </c>
      <c r="I2013" s="7"/>
      <c r="J2013" s="7" t="str">
        <f>IFERROR(LET(_xlpm.v,
VLOOKUP($I2013,'用語辞書'!$A:$B,COLUMN('用語辞書'!B$1),FALSE),
IF(_xlpm.v=0,"",_xlpm.v)
),"")</f>
        <v/>
      </c>
      <c r="K2013" s="17"/>
      <c r="L2013" s="17" t="b">
        <f>IF(OR(COUNTIF('クラス'!$A$1:$A$1267,$B2013)&gt;0,$B2013="",$M2013=""),"",True)</f>
        <v>1</v>
      </c>
      <c r="M2013" s="1" t="str">
        <f t="shared" si="27"/>
        <v>存在しない</v>
      </c>
      <c r="N2013" s="1" t="s">
        <v>29</v>
      </c>
      <c r="O2013" s="1"/>
      <c r="P2013" s="11"/>
      <c r="Q2013" s="11"/>
      <c r="R2013" s="11"/>
      <c r="S2013" s="11"/>
      <c r="T2013" s="1"/>
      <c r="U2013" s="1"/>
      <c r="V2013" s="1"/>
      <c r="W2013" s="1"/>
      <c r="X2013" s="1"/>
      <c r="Y2013" s="1"/>
      <c r="Z2013" s="1"/>
    </row>
    <row r="2014" ht="18.0" hidden="1" customHeight="1" outlineLevel="2">
      <c r="A2014" s="1">
        <v>10.0</v>
      </c>
      <c r="B2014" s="26" t="s">
        <v>2110</v>
      </c>
      <c r="C2014" s="1"/>
      <c r="D2014" s="1"/>
      <c r="E2014" s="29" t="s">
        <v>55</v>
      </c>
      <c r="F2014" s="15"/>
      <c r="G2014" s="16"/>
      <c r="H2014" s="22" t="s">
        <v>2124</v>
      </c>
      <c r="I2014" s="7"/>
      <c r="J2014" s="7" t="str">
        <f>IFERROR(LET(_xlpm.v,
VLOOKUP($I2014,'用語辞書'!$A:$B,COLUMN('用語辞書'!B$1),FALSE),
IF(_xlpm.v=0,"",_xlpm.v)
),"")</f>
        <v/>
      </c>
      <c r="K2014" s="17"/>
      <c r="L2014" s="17" t="str">
        <f>IF(OR(COUNTIF('クラス'!$A$1:$A$1267,$B2014)&gt;0,$B2014="",$M2014=""),"",True)</f>
        <v/>
      </c>
      <c r="M2014" s="1" t="str">
        <f t="shared" si="27"/>
        <v/>
      </c>
      <c r="N2014" s="1" t="s">
        <v>29</v>
      </c>
      <c r="O2014" s="1"/>
      <c r="P2014" s="11"/>
      <c r="Q2014" s="11"/>
      <c r="R2014" s="11"/>
      <c r="S2014" s="11"/>
      <c r="T2014" s="1"/>
      <c r="U2014" s="1"/>
      <c r="V2014" s="1"/>
      <c r="W2014" s="1"/>
      <c r="X2014" s="1"/>
      <c r="Y2014" s="1"/>
      <c r="Z2014" s="1"/>
    </row>
    <row r="2015" ht="18.0" customHeight="1" outlineLevel="1" collapsed="1">
      <c r="A2015" s="1"/>
      <c r="B2015" s="1"/>
      <c r="C2015" s="1"/>
      <c r="D2015" s="1"/>
      <c r="E2015" s="14"/>
      <c r="F2015" s="15"/>
      <c r="G2015" s="16"/>
      <c r="H2015" s="11"/>
      <c r="I2015" s="7"/>
      <c r="J2015" s="7" t="str">
        <f>IFERROR(LET(_xlpm.v,
VLOOKUP($I2015,'用語辞書'!$A:$B,COLUMN('用語辞書'!B$1),FALSE),
IF(_xlpm.v=0,"",_xlpm.v)
),"")</f>
        <v/>
      </c>
      <c r="K2015" s="17"/>
      <c r="L2015" s="17" t="str">
        <f>IF(OR(COUNTIF('クラス'!$A$1:$A$1267,$B2015)&gt;0,$B2015="",$M2015=""),"",True)</f>
        <v/>
      </c>
      <c r="M2015" s="1" t="str">
        <f t="shared" si="27"/>
        <v>存在しない</v>
      </c>
      <c r="N2015" s="1" t="s">
        <v>29</v>
      </c>
      <c r="O2015" s="1"/>
      <c r="P2015" s="11"/>
      <c r="Q2015" s="11"/>
      <c r="R2015" s="11"/>
      <c r="S2015" s="11"/>
      <c r="T2015" s="1"/>
      <c r="U2015" s="1"/>
      <c r="V2015" s="1"/>
      <c r="W2015" s="1"/>
      <c r="X2015" s="1"/>
      <c r="Y2015" s="1"/>
      <c r="Z2015" s="1"/>
    </row>
    <row r="2016" ht="18.0" customHeight="1" outlineLevel="1">
      <c r="A2016" s="1"/>
      <c r="B2016" s="26" t="s">
        <v>2125</v>
      </c>
      <c r="C2016" s="26" t="s">
        <v>2126</v>
      </c>
      <c r="D2016" s="1"/>
      <c r="E2016" s="14"/>
      <c r="F2016" s="15"/>
      <c r="G2016" s="16"/>
      <c r="H2016" s="11"/>
      <c r="I2016" s="7"/>
      <c r="J2016" s="7" t="str">
        <f>IFERROR(LET(_xlpm.v,
VLOOKUP($I2016,'用語辞書'!$A:$B,COLUMN('用語辞書'!B$1),FALSE),
IF(_xlpm.v=0,"",_xlpm.v)
),"")</f>
        <v/>
      </c>
      <c r="K2016" s="17"/>
      <c r="L2016" s="17" t="str">
        <f>IF(OR(COUNTIF('クラス'!$A$1:$A$1267,$B2016)&gt;0,$B2016="",$M2016=""),"",True)</f>
        <v/>
      </c>
      <c r="M2016" s="1" t="str">
        <f t="shared" si="27"/>
        <v>存在しない</v>
      </c>
      <c r="N2016" s="1" t="s">
        <v>29</v>
      </c>
      <c r="O2016" s="1"/>
      <c r="P2016" s="11"/>
      <c r="Q2016" s="11"/>
      <c r="R2016" s="11"/>
      <c r="S2016" s="11"/>
      <c r="T2016" s="1"/>
      <c r="U2016" s="1"/>
      <c r="V2016" s="1"/>
      <c r="W2016" s="1"/>
      <c r="X2016" s="1"/>
      <c r="Y2016" s="1"/>
      <c r="Z2016" s="1"/>
    </row>
    <row r="2017" ht="18.0" hidden="1" customHeight="1" outlineLevel="2">
      <c r="A2017" s="1">
        <v>1.0</v>
      </c>
      <c r="B2017" s="26" t="s">
        <v>2127</v>
      </c>
      <c r="C2017" s="26" t="s">
        <v>2128</v>
      </c>
      <c r="D2017" s="26" t="s">
        <v>2096</v>
      </c>
      <c r="E2017" s="29" t="s">
        <v>33</v>
      </c>
      <c r="F2017" s="15"/>
      <c r="G2017" s="30">
        <v>60.0</v>
      </c>
      <c r="H2017" s="22" t="s">
        <v>2129</v>
      </c>
      <c r="I2017" s="7"/>
      <c r="J2017" s="7" t="str">
        <f>IFERROR(LET(_xlpm.v,
VLOOKUP($I2017,'用語辞書'!$A:$B,COLUMN('用語辞書'!B$1),FALSE),
IF(_xlpm.v=0,"",_xlpm.v)
),"")</f>
        <v/>
      </c>
      <c r="K2017" s="17"/>
      <c r="L2017" s="17" t="b">
        <f>IF(OR(COUNTIF('クラス'!$A$1:$A$1267,$B2017)&gt;0,$B2017="",$M2017=""),"",True)</f>
        <v>1</v>
      </c>
      <c r="M2017" s="1" t="str">
        <f t="shared" si="27"/>
        <v>存在しない</v>
      </c>
      <c r="N2017" s="1" t="s">
        <v>29</v>
      </c>
      <c r="O2017" s="1"/>
      <c r="P2017" s="11"/>
      <c r="Q2017" s="11"/>
      <c r="R2017" s="11"/>
      <c r="S2017" s="11"/>
      <c r="T2017" s="1"/>
      <c r="U2017" s="1"/>
      <c r="V2017" s="1"/>
      <c r="W2017" s="1"/>
      <c r="X2017" s="1"/>
      <c r="Y2017" s="1"/>
      <c r="Z2017" s="1"/>
    </row>
    <row r="2018" ht="18.0" hidden="1" customHeight="1" outlineLevel="2">
      <c r="A2018" s="1">
        <v>2.0</v>
      </c>
      <c r="B2018" s="1"/>
      <c r="C2018" s="1"/>
      <c r="D2018" s="1"/>
      <c r="E2018" s="14"/>
      <c r="F2018" s="15"/>
      <c r="G2018" s="16"/>
      <c r="H2018" s="11"/>
      <c r="I2018" s="7"/>
      <c r="J2018" s="7" t="str">
        <f>IFERROR(LET(_xlpm.v,
VLOOKUP($I2018,'用語辞書'!$A:$B,COLUMN('用語辞書'!B$1),FALSE),
IF(_xlpm.v=0,"",_xlpm.v)
),"")</f>
        <v/>
      </c>
      <c r="K2018" s="17"/>
      <c r="L2018" s="17" t="str">
        <f>IF(OR(COUNTIF('クラス'!$A$1:$A$1267,$B2018)&gt;0,$B2018="",$M2018=""),"",True)</f>
        <v/>
      </c>
      <c r="M2018" s="1" t="str">
        <f t="shared" si="27"/>
        <v>存在しない</v>
      </c>
      <c r="N2018" s="1" t="s">
        <v>29</v>
      </c>
      <c r="O2018" s="1"/>
      <c r="P2018" s="11"/>
      <c r="Q2018" s="11"/>
      <c r="R2018" s="11"/>
      <c r="S2018" s="11"/>
      <c r="T2018" s="1"/>
      <c r="U2018" s="1"/>
      <c r="V2018" s="1"/>
      <c r="W2018" s="1"/>
      <c r="X2018" s="1"/>
      <c r="Y2018" s="1"/>
      <c r="Z2018" s="1"/>
    </row>
    <row r="2019" ht="18.0" hidden="1" customHeight="1" outlineLevel="2">
      <c r="A2019" s="1">
        <v>3.0</v>
      </c>
      <c r="B2019" s="26" t="s">
        <v>2130</v>
      </c>
      <c r="C2019" s="1"/>
      <c r="D2019" s="1"/>
      <c r="E2019" s="29" t="s">
        <v>55</v>
      </c>
      <c r="F2019" s="15"/>
      <c r="G2019" s="16"/>
      <c r="H2019" s="31" t="s">
        <v>2131</v>
      </c>
      <c r="I2019" s="7"/>
      <c r="J2019" s="7" t="str">
        <f>IFERROR(LET(_xlpm.v,
VLOOKUP($I2019,'用語辞書'!$A:$B,COLUMN('用語辞書'!B$1),FALSE),
IF(_xlpm.v=0,"",_xlpm.v)
),"")</f>
        <v/>
      </c>
      <c r="K2019" s="17"/>
      <c r="L2019" s="17" t="b">
        <f>IF(OR(COUNTIF('クラス'!$A$1:$A$1267,$B2019)&gt;0,$B2019="",$M2019=""),"",True)</f>
        <v>1</v>
      </c>
      <c r="M2019" s="1" t="str">
        <f t="shared" si="27"/>
        <v>存在しない</v>
      </c>
      <c r="N2019" s="1" t="s">
        <v>29</v>
      </c>
      <c r="O2019" s="1"/>
      <c r="P2019" s="11"/>
      <c r="Q2019" s="11"/>
      <c r="R2019" s="11"/>
      <c r="S2019" s="11"/>
      <c r="T2019" s="1"/>
      <c r="U2019" s="1"/>
      <c r="V2019" s="1"/>
      <c r="W2019" s="1"/>
      <c r="X2019" s="1"/>
      <c r="Y2019" s="1"/>
      <c r="Z2019" s="1"/>
    </row>
    <row r="2020" ht="18.0" hidden="1" customHeight="1" outlineLevel="2">
      <c r="A2020" s="1">
        <v>4.0</v>
      </c>
      <c r="B2020" s="1"/>
      <c r="C2020" s="1"/>
      <c r="D2020" s="1"/>
      <c r="E2020" s="14"/>
      <c r="F2020" s="15"/>
      <c r="G2020" s="16"/>
      <c r="H2020" s="11"/>
      <c r="I2020" s="7"/>
      <c r="J2020" s="7" t="str">
        <f>IFERROR(LET(_xlpm.v,
VLOOKUP($I2020,'用語辞書'!$A:$B,COLUMN('用語辞書'!B$1),FALSE),
IF(_xlpm.v=0,"",_xlpm.v)
),"")</f>
        <v/>
      </c>
      <c r="K2020" s="17"/>
      <c r="L2020" s="17" t="str">
        <f>IF(OR(COUNTIF('クラス'!$A$1:$A$1267,$B2020)&gt;0,$B2020="",$M2020=""),"",True)</f>
        <v/>
      </c>
      <c r="M2020" s="1" t="str">
        <f t="shared" si="27"/>
        <v>存在しない</v>
      </c>
      <c r="N2020" s="1" t="s">
        <v>29</v>
      </c>
      <c r="O2020" s="1"/>
      <c r="P2020" s="11"/>
      <c r="Q2020" s="11"/>
      <c r="R2020" s="11"/>
      <c r="S2020" s="11"/>
      <c r="T2020" s="1"/>
      <c r="U2020" s="1"/>
      <c r="V2020" s="1"/>
      <c r="W2020" s="1"/>
      <c r="X2020" s="1"/>
      <c r="Y2020" s="1"/>
      <c r="Z2020" s="1"/>
    </row>
    <row r="2021" ht="18.0" hidden="1" customHeight="1" outlineLevel="2">
      <c r="A2021" s="1">
        <v>5.0</v>
      </c>
      <c r="B2021" s="26" t="s">
        <v>2132</v>
      </c>
      <c r="C2021" s="1"/>
      <c r="D2021" s="26" t="s">
        <v>2102</v>
      </c>
      <c r="E2021" s="29" t="s">
        <v>33</v>
      </c>
      <c r="F2021" s="15"/>
      <c r="G2021" s="30">
        <v>30.0</v>
      </c>
      <c r="H2021" s="22" t="s">
        <v>2133</v>
      </c>
      <c r="I2021" s="7"/>
      <c r="J2021" s="7" t="str">
        <f>IFERROR(LET(_xlpm.v,
VLOOKUP($I2021,'用語辞書'!$A:$B,COLUMN('用語辞書'!B$1),FALSE),
IF(_xlpm.v=0,"",_xlpm.v)
),"")</f>
        <v/>
      </c>
      <c r="K2021" s="17"/>
      <c r="L2021" s="17" t="b">
        <f>IF(OR(COUNTIF('クラス'!$A$1:$A$1267,$B2021)&gt;0,$B2021="",$M2021=""),"",True)</f>
        <v>1</v>
      </c>
      <c r="M2021" s="1" t="str">
        <f t="shared" si="27"/>
        <v>存在しない</v>
      </c>
      <c r="N2021" s="1" t="s">
        <v>29</v>
      </c>
      <c r="O2021" s="1"/>
      <c r="P2021" s="11"/>
      <c r="Q2021" s="11"/>
      <c r="R2021" s="11"/>
      <c r="S2021" s="11"/>
      <c r="T2021" s="1"/>
      <c r="U2021" s="1"/>
      <c r="V2021" s="1"/>
      <c r="W2021" s="1"/>
      <c r="X2021" s="1"/>
      <c r="Y2021" s="1"/>
      <c r="Z2021" s="1"/>
    </row>
    <row r="2022" ht="18.0" hidden="1" customHeight="1" outlineLevel="2">
      <c r="A2022" s="1">
        <v>6.0</v>
      </c>
      <c r="B2022" s="1"/>
      <c r="C2022" s="1"/>
      <c r="D2022" s="1"/>
      <c r="E2022" s="14"/>
      <c r="F2022" s="15"/>
      <c r="G2022" s="16"/>
      <c r="H2022" s="11"/>
      <c r="I2022" s="7"/>
      <c r="J2022" s="7" t="str">
        <f>IFERROR(LET(_xlpm.v,
VLOOKUP($I2022,'用語辞書'!$A:$B,COLUMN('用語辞書'!B$1),FALSE),
IF(_xlpm.v=0,"",_xlpm.v)
),"")</f>
        <v/>
      </c>
      <c r="K2022" s="17"/>
      <c r="L2022" s="17" t="str">
        <f>IF(OR(COUNTIF('クラス'!$A$1:$A$1267,$B2022)&gt;0,$B2022="",$M2022=""),"",True)</f>
        <v/>
      </c>
      <c r="M2022" s="1" t="str">
        <f t="shared" si="27"/>
        <v>存在しない</v>
      </c>
      <c r="N2022" s="1" t="s">
        <v>29</v>
      </c>
      <c r="O2022" s="1"/>
      <c r="P2022" s="11"/>
      <c r="Q2022" s="11"/>
      <c r="R2022" s="11"/>
      <c r="S2022" s="11"/>
      <c r="T2022" s="1"/>
      <c r="U2022" s="1"/>
      <c r="V2022" s="1"/>
      <c r="W2022" s="1"/>
      <c r="X2022" s="1"/>
      <c r="Y2022" s="1"/>
      <c r="Z2022" s="1"/>
    </row>
    <row r="2023" ht="18.0" hidden="1" customHeight="1" outlineLevel="2">
      <c r="A2023" s="1">
        <v>7.0</v>
      </c>
      <c r="B2023" s="26" t="s">
        <v>1854</v>
      </c>
      <c r="C2023" s="26" t="s">
        <v>2134</v>
      </c>
      <c r="D2023" s="1"/>
      <c r="E2023" s="29" t="s">
        <v>33</v>
      </c>
      <c r="F2023" s="15"/>
      <c r="G2023" s="30">
        <v>30.0</v>
      </c>
      <c r="H2023" s="22" t="s">
        <v>2135</v>
      </c>
      <c r="I2023" s="7"/>
      <c r="J2023" s="7" t="str">
        <f>IFERROR(LET(_xlpm.v,
VLOOKUP($I2023,'用語辞書'!$A:$B,COLUMN('用語辞書'!B$1),FALSE),
IF(_xlpm.v=0,"",_xlpm.v)
),"")</f>
        <v/>
      </c>
      <c r="K2023" s="17"/>
      <c r="L2023" s="17" t="str">
        <f>IF(OR(COUNTIF('クラス'!$A$1:$A$1267,$B2023)&gt;0,$B2023="",$M2023=""),"",True)</f>
        <v/>
      </c>
      <c r="M2023" s="1" t="str">
        <f t="shared" si="27"/>
        <v/>
      </c>
      <c r="N2023" s="1" t="s">
        <v>29</v>
      </c>
      <c r="O2023" s="1"/>
      <c r="P2023" s="11"/>
      <c r="Q2023" s="11"/>
      <c r="R2023" s="11"/>
      <c r="S2023" s="11"/>
      <c r="T2023" s="1"/>
      <c r="U2023" s="1"/>
      <c r="V2023" s="1"/>
      <c r="W2023" s="1"/>
      <c r="X2023" s="1"/>
      <c r="Y2023" s="1"/>
      <c r="Z2023" s="1"/>
    </row>
    <row r="2024" ht="18.0" hidden="1" customHeight="1" outlineLevel="2">
      <c r="A2024" s="1">
        <v>8.0</v>
      </c>
      <c r="B2024" s="1"/>
      <c r="C2024" s="1"/>
      <c r="D2024" s="1"/>
      <c r="E2024" s="14"/>
      <c r="F2024" s="15"/>
      <c r="G2024" s="16"/>
      <c r="H2024" s="11"/>
      <c r="I2024" s="7"/>
      <c r="J2024" s="7" t="str">
        <f>IFERROR(LET(_xlpm.v,
VLOOKUP($I2024,'用語辞書'!$A:$B,COLUMN('用語辞書'!B$1),FALSE),
IF(_xlpm.v=0,"",_xlpm.v)
),"")</f>
        <v/>
      </c>
      <c r="K2024" s="17"/>
      <c r="L2024" s="17" t="str">
        <f>IF(OR(COUNTIF('クラス'!$A$1:$A$1267,$B2024)&gt;0,$B2024="",$M2024=""),"",True)</f>
        <v/>
      </c>
      <c r="M2024" s="1" t="str">
        <f t="shared" si="27"/>
        <v>存在しない</v>
      </c>
      <c r="N2024" s="1" t="s">
        <v>29</v>
      </c>
      <c r="O2024" s="1"/>
      <c r="P2024" s="11"/>
      <c r="Q2024" s="11"/>
      <c r="R2024" s="11"/>
      <c r="S2024" s="11"/>
      <c r="T2024" s="1"/>
      <c r="U2024" s="1"/>
      <c r="V2024" s="1"/>
      <c r="W2024" s="1"/>
      <c r="X2024" s="1"/>
      <c r="Y2024" s="1"/>
      <c r="Z2024" s="1"/>
    </row>
    <row r="2025" ht="18.0" hidden="1" customHeight="1" outlineLevel="2">
      <c r="A2025" s="1">
        <v>9.0</v>
      </c>
      <c r="B2025" s="26" t="s">
        <v>2136</v>
      </c>
      <c r="C2025" s="1"/>
      <c r="D2025" s="1"/>
      <c r="E2025" s="29" t="s">
        <v>55</v>
      </c>
      <c r="F2025" s="15"/>
      <c r="G2025" s="16"/>
      <c r="H2025" s="22" t="s">
        <v>2137</v>
      </c>
      <c r="I2025" s="7"/>
      <c r="J2025" s="7" t="str">
        <f>IFERROR(LET(_xlpm.v,
VLOOKUP($I2025,'用語辞書'!$A:$B,COLUMN('用語辞書'!B$1),FALSE),
IF(_xlpm.v=0,"",_xlpm.v)
),"")</f>
        <v/>
      </c>
      <c r="K2025" s="17"/>
      <c r="L2025" s="17" t="b">
        <f>IF(OR(COUNTIF('クラス'!$A$1:$A$1267,$B2025)&gt;0,$B2025="",$M2025=""),"",True)</f>
        <v>1</v>
      </c>
      <c r="M2025" s="1" t="str">
        <f t="shared" si="27"/>
        <v>存在しない</v>
      </c>
      <c r="N2025" s="1" t="s">
        <v>29</v>
      </c>
      <c r="O2025" s="1"/>
      <c r="P2025" s="11"/>
      <c r="Q2025" s="11"/>
      <c r="R2025" s="11"/>
      <c r="S2025" s="11"/>
      <c r="T2025" s="1"/>
      <c r="U2025" s="1"/>
      <c r="V2025" s="1"/>
      <c r="W2025" s="1"/>
      <c r="X2025" s="1"/>
      <c r="Y2025" s="1"/>
      <c r="Z2025" s="1"/>
    </row>
    <row r="2026" ht="18.0" hidden="1" customHeight="1" outlineLevel="2">
      <c r="A2026" s="1">
        <v>10.0</v>
      </c>
      <c r="B2026" s="26" t="s">
        <v>2126</v>
      </c>
      <c r="C2026" s="1"/>
      <c r="D2026" s="1"/>
      <c r="E2026" s="29" t="s">
        <v>55</v>
      </c>
      <c r="F2026" s="15"/>
      <c r="G2026" s="16"/>
      <c r="H2026" s="22" t="s">
        <v>2138</v>
      </c>
      <c r="I2026" s="7"/>
      <c r="J2026" s="7" t="str">
        <f>IFERROR(LET(_xlpm.v,
VLOOKUP($I2026,'用語辞書'!$A:$B,COLUMN('用語辞書'!B$1),FALSE),
IF(_xlpm.v=0,"",_xlpm.v)
),"")</f>
        <v/>
      </c>
      <c r="K2026" s="17"/>
      <c r="L2026" s="17" t="str">
        <f>IF(OR(COUNTIF('クラス'!$A$1:$A$1267,$B2026)&gt;0,$B2026="",$M2026=""),"",True)</f>
        <v/>
      </c>
      <c r="M2026" s="1" t="str">
        <f t="shared" si="27"/>
        <v/>
      </c>
      <c r="N2026" s="1" t="s">
        <v>29</v>
      </c>
      <c r="O2026" s="1"/>
      <c r="P2026" s="11"/>
      <c r="Q2026" s="11"/>
      <c r="R2026" s="11"/>
      <c r="S2026" s="11"/>
      <c r="T2026" s="1"/>
      <c r="U2026" s="1"/>
      <c r="V2026" s="1"/>
      <c r="W2026" s="1"/>
      <c r="X2026" s="1"/>
      <c r="Y2026" s="1"/>
      <c r="Z2026" s="1"/>
    </row>
    <row r="2027" ht="18.0" customHeight="1" outlineLevel="1" collapsed="1">
      <c r="A2027" s="1"/>
      <c r="B2027" s="1"/>
      <c r="C2027" s="1"/>
      <c r="D2027" s="1"/>
      <c r="E2027" s="14"/>
      <c r="F2027" s="15"/>
      <c r="G2027" s="16"/>
      <c r="H2027" s="11"/>
      <c r="I2027" s="7"/>
      <c r="J2027" s="7" t="str">
        <f>IFERROR(LET(_xlpm.v,
VLOOKUP($I2027,'用語辞書'!$A:$B,COLUMN('用語辞書'!B$1),FALSE),
IF(_xlpm.v=0,"",_xlpm.v)
),"")</f>
        <v/>
      </c>
      <c r="K2027" s="17"/>
      <c r="L2027" s="17" t="str">
        <f>IF(OR(COUNTIF('クラス'!$A$1:$A$1267,$B2027)&gt;0,$B2027="",$M2027=""),"",True)</f>
        <v/>
      </c>
      <c r="M2027" s="1" t="str">
        <f t="shared" si="27"/>
        <v>存在しない</v>
      </c>
      <c r="N2027" s="1" t="s">
        <v>29</v>
      </c>
      <c r="O2027" s="1"/>
      <c r="P2027" s="11"/>
      <c r="Q2027" s="11"/>
      <c r="R2027" s="11"/>
      <c r="S2027" s="11"/>
      <c r="T2027" s="1"/>
      <c r="U2027" s="1"/>
      <c r="V2027" s="1"/>
      <c r="W2027" s="1"/>
      <c r="X2027" s="1"/>
      <c r="Y2027" s="1"/>
      <c r="Z2027" s="1"/>
    </row>
    <row r="2028" ht="18.0" customHeight="1" outlineLevel="1">
      <c r="A2028" s="1"/>
      <c r="B2028" s="26" t="s">
        <v>2139</v>
      </c>
      <c r="C2028" s="26" t="s">
        <v>2140</v>
      </c>
      <c r="D2028" s="1"/>
      <c r="E2028" s="14"/>
      <c r="F2028" s="15"/>
      <c r="G2028" s="16"/>
      <c r="H2028" s="11"/>
      <c r="I2028" s="7"/>
      <c r="J2028" s="7" t="str">
        <f>IFERROR(LET(_xlpm.v,
VLOOKUP($I2028,'用語辞書'!$A:$B,COLUMN('用語辞書'!B$1),FALSE),
IF(_xlpm.v=0,"",_xlpm.v)
),"")</f>
        <v/>
      </c>
      <c r="K2028" s="17"/>
      <c r="L2028" s="17" t="str">
        <f>IF(OR(COUNTIF('クラス'!$A$1:$A$1267,$B2028)&gt;0,$B2028="",$M2028=""),"",True)</f>
        <v/>
      </c>
      <c r="M2028" s="1" t="str">
        <f t="shared" si="27"/>
        <v>存在しない</v>
      </c>
      <c r="N2028" s="1" t="s">
        <v>29</v>
      </c>
      <c r="O2028" s="1"/>
      <c r="P2028" s="11"/>
      <c r="Q2028" s="11"/>
      <c r="R2028" s="11"/>
      <c r="S2028" s="11"/>
      <c r="T2028" s="1"/>
      <c r="U2028" s="1"/>
      <c r="V2028" s="1"/>
      <c r="W2028" s="1"/>
      <c r="X2028" s="1"/>
      <c r="Y2028" s="1"/>
      <c r="Z2028" s="1"/>
    </row>
    <row r="2029" ht="18.0" hidden="1" customHeight="1" outlineLevel="2">
      <c r="A2029" s="1">
        <v>1.0</v>
      </c>
      <c r="B2029" s="26" t="s">
        <v>2141</v>
      </c>
      <c r="C2029" s="1"/>
      <c r="D2029" s="26" t="s">
        <v>2142</v>
      </c>
      <c r="E2029" s="29" t="s">
        <v>33</v>
      </c>
      <c r="F2029" s="15"/>
      <c r="G2029" s="30">
        <v>60.0</v>
      </c>
      <c r="H2029" s="31" t="s">
        <v>2143</v>
      </c>
      <c r="I2029" s="7"/>
      <c r="J2029" s="7" t="str">
        <f>IFERROR(LET(_xlpm.v,
VLOOKUP($I2029,'用語辞書'!$A:$B,COLUMN('用語辞書'!B$1),FALSE),
IF(_xlpm.v=0,"",_xlpm.v)
),"")</f>
        <v/>
      </c>
      <c r="K2029" s="17"/>
      <c r="L2029" s="17" t="b">
        <f>IF(OR(COUNTIF('クラス'!$A$1:$A$1267,$B2029)&gt;0,$B2029="",$M2029=""),"",True)</f>
        <v>1</v>
      </c>
      <c r="M2029" s="1" t="str">
        <f t="shared" si="27"/>
        <v>存在しない</v>
      </c>
      <c r="N2029" s="1" t="s">
        <v>29</v>
      </c>
      <c r="O2029" s="1"/>
      <c r="P2029" s="11"/>
      <c r="Q2029" s="11"/>
      <c r="R2029" s="11"/>
      <c r="S2029" s="11"/>
      <c r="T2029" s="1"/>
      <c r="U2029" s="1"/>
      <c r="V2029" s="1"/>
      <c r="W2029" s="1"/>
      <c r="X2029" s="1"/>
      <c r="Y2029" s="1"/>
      <c r="Z2029" s="1"/>
    </row>
    <row r="2030" ht="18.0" hidden="1" customHeight="1" outlineLevel="2">
      <c r="A2030" s="1">
        <v>2.0</v>
      </c>
      <c r="B2030" s="1"/>
      <c r="C2030" s="1"/>
      <c r="D2030" s="1"/>
      <c r="E2030" s="14"/>
      <c r="F2030" s="15"/>
      <c r="G2030" s="16"/>
      <c r="H2030" s="11"/>
      <c r="I2030" s="7"/>
      <c r="J2030" s="7" t="str">
        <f>IFERROR(LET(_xlpm.v,
VLOOKUP($I2030,'用語辞書'!$A:$B,COLUMN('用語辞書'!B$1),FALSE),
IF(_xlpm.v=0,"",_xlpm.v)
),"")</f>
        <v/>
      </c>
      <c r="K2030" s="17"/>
      <c r="L2030" s="17" t="str">
        <f>IF(OR(COUNTIF('クラス'!$A$1:$A$1267,$B2030)&gt;0,$B2030="",$M2030=""),"",True)</f>
        <v/>
      </c>
      <c r="M2030" s="1" t="str">
        <f t="shared" si="27"/>
        <v>存在しない</v>
      </c>
      <c r="N2030" s="1" t="s">
        <v>29</v>
      </c>
      <c r="O2030" s="1"/>
      <c r="P2030" s="11"/>
      <c r="Q2030" s="11"/>
      <c r="R2030" s="11"/>
      <c r="S2030" s="11"/>
      <c r="T2030" s="1"/>
      <c r="U2030" s="1"/>
      <c r="V2030" s="1"/>
      <c r="W2030" s="1"/>
      <c r="X2030" s="1"/>
      <c r="Y2030" s="1"/>
      <c r="Z2030" s="1"/>
    </row>
    <row r="2031" ht="18.0" hidden="1" customHeight="1" outlineLevel="2">
      <c r="A2031" s="1">
        <v>3.0</v>
      </c>
      <c r="B2031" s="26" t="s">
        <v>2098</v>
      </c>
      <c r="C2031" s="1"/>
      <c r="D2031" s="1"/>
      <c r="E2031" s="29" t="s">
        <v>55</v>
      </c>
      <c r="F2031" s="15"/>
      <c r="G2031" s="16"/>
      <c r="H2031" s="22" t="s">
        <v>2099</v>
      </c>
      <c r="I2031" s="7"/>
      <c r="J2031" s="7" t="str">
        <f>IFERROR(LET(_xlpm.v,
VLOOKUP($I2031,'用語辞書'!$A:$B,COLUMN('用語辞書'!B$1),FALSE),
IF(_xlpm.v=0,"",_xlpm.v)
),"")</f>
        <v/>
      </c>
      <c r="K2031" s="17"/>
      <c r="L2031" s="17" t="str">
        <f>IF(OR(COUNTIF('クラス'!$A$1:$A$1267,$B2031)&gt;0,$B2031="",$M2031=""),"",True)</f>
        <v/>
      </c>
      <c r="M2031" s="1" t="str">
        <f t="shared" si="27"/>
        <v/>
      </c>
      <c r="N2031" s="1" t="s">
        <v>29</v>
      </c>
      <c r="O2031" s="1"/>
      <c r="P2031" s="11"/>
      <c r="Q2031" s="11"/>
      <c r="R2031" s="11"/>
      <c r="S2031" s="11"/>
      <c r="T2031" s="1"/>
      <c r="U2031" s="1"/>
      <c r="V2031" s="1"/>
      <c r="W2031" s="1"/>
      <c r="X2031" s="1"/>
      <c r="Y2031" s="1"/>
      <c r="Z2031" s="1"/>
    </row>
    <row r="2032" ht="18.0" hidden="1" customHeight="1" outlineLevel="2">
      <c r="A2032" s="1">
        <v>4.0</v>
      </c>
      <c r="B2032" s="1"/>
      <c r="C2032" s="1"/>
      <c r="D2032" s="1"/>
      <c r="E2032" s="14"/>
      <c r="F2032" s="15"/>
      <c r="G2032" s="16"/>
      <c r="H2032" s="11"/>
      <c r="I2032" s="7"/>
      <c r="J2032" s="7" t="str">
        <f>IFERROR(LET(_xlpm.v,
VLOOKUP($I2032,'用語辞書'!$A:$B,COLUMN('用語辞書'!B$1),FALSE),
IF(_xlpm.v=0,"",_xlpm.v)
),"")</f>
        <v/>
      </c>
      <c r="K2032" s="17"/>
      <c r="L2032" s="17" t="str">
        <f>IF(OR(COUNTIF('クラス'!$A$1:$A$1267,$B2032)&gt;0,$B2032="",$M2032=""),"",True)</f>
        <v/>
      </c>
      <c r="M2032" s="1" t="str">
        <f t="shared" si="27"/>
        <v>存在しない</v>
      </c>
      <c r="N2032" s="1" t="s">
        <v>29</v>
      </c>
      <c r="O2032" s="1"/>
      <c r="P2032" s="11"/>
      <c r="Q2032" s="11"/>
      <c r="R2032" s="11"/>
      <c r="S2032" s="11"/>
      <c r="T2032" s="1"/>
      <c r="U2032" s="1"/>
      <c r="V2032" s="1"/>
      <c r="W2032" s="1"/>
      <c r="X2032" s="1"/>
      <c r="Y2032" s="1"/>
      <c r="Z2032" s="1"/>
    </row>
    <row r="2033" ht="18.0" hidden="1" customHeight="1" outlineLevel="2">
      <c r="A2033" s="1">
        <v>5.0</v>
      </c>
      <c r="B2033" s="26" t="s">
        <v>2100</v>
      </c>
      <c r="C2033" s="26" t="s">
        <v>2101</v>
      </c>
      <c r="D2033" s="26" t="s">
        <v>2102</v>
      </c>
      <c r="E2033" s="29" t="s">
        <v>33</v>
      </c>
      <c r="F2033" s="15"/>
      <c r="G2033" s="30">
        <v>30.0</v>
      </c>
      <c r="H2033" s="22" t="s">
        <v>2103</v>
      </c>
      <c r="I2033" s="7"/>
      <c r="J2033" s="7" t="str">
        <f>IFERROR(LET(_xlpm.v,
VLOOKUP($I2033,'用語辞書'!$A:$B,COLUMN('用語辞書'!B$1),FALSE),
IF(_xlpm.v=0,"",_xlpm.v)
),"")</f>
        <v/>
      </c>
      <c r="K2033" s="17"/>
      <c r="L2033" s="17" t="str">
        <f>IF(OR(COUNTIF('クラス'!$A$1:$A$1267,$B2033)&gt;0,$B2033="",$M2033=""),"",True)</f>
        <v/>
      </c>
      <c r="M2033" s="1" t="str">
        <f t="shared" si="27"/>
        <v/>
      </c>
      <c r="N2033" s="1" t="s">
        <v>29</v>
      </c>
      <c r="O2033" s="1"/>
      <c r="P2033" s="11"/>
      <c r="Q2033" s="11"/>
      <c r="R2033" s="11"/>
      <c r="S2033" s="11"/>
      <c r="T2033" s="1"/>
      <c r="U2033" s="1"/>
      <c r="V2033" s="1"/>
      <c r="W2033" s="1"/>
      <c r="X2033" s="1"/>
      <c r="Y2033" s="1"/>
      <c r="Z2033" s="1"/>
    </row>
    <row r="2034" ht="18.0" hidden="1" customHeight="1" outlineLevel="2">
      <c r="A2034" s="1">
        <v>6.0</v>
      </c>
      <c r="B2034" s="1"/>
      <c r="C2034" s="1"/>
      <c r="D2034" s="1"/>
      <c r="E2034" s="14"/>
      <c r="F2034" s="15"/>
      <c r="G2034" s="16"/>
      <c r="H2034" s="11"/>
      <c r="I2034" s="7"/>
      <c r="J2034" s="7" t="str">
        <f>IFERROR(LET(_xlpm.v,
VLOOKUP($I2034,'用語辞書'!$A:$B,COLUMN('用語辞書'!B$1),FALSE),
IF(_xlpm.v=0,"",_xlpm.v)
),"")</f>
        <v/>
      </c>
      <c r="K2034" s="17"/>
      <c r="L2034" s="17" t="str">
        <f>IF(OR(COUNTIF('クラス'!$A$1:$A$1267,$B2034)&gt;0,$B2034="",$M2034=""),"",True)</f>
        <v/>
      </c>
      <c r="M2034" s="1" t="str">
        <f t="shared" si="27"/>
        <v>存在しない</v>
      </c>
      <c r="N2034" s="1" t="s">
        <v>29</v>
      </c>
      <c r="O2034" s="1"/>
      <c r="P2034" s="11"/>
      <c r="Q2034" s="11"/>
      <c r="R2034" s="11"/>
      <c r="S2034" s="11"/>
      <c r="T2034" s="1"/>
      <c r="U2034" s="1"/>
      <c r="V2034" s="1"/>
      <c r="W2034" s="1"/>
      <c r="X2034" s="1"/>
      <c r="Y2034" s="1"/>
      <c r="Z2034" s="1"/>
    </row>
    <row r="2035" ht="18.0" hidden="1" customHeight="1" outlineLevel="2">
      <c r="A2035" s="1">
        <v>7.0</v>
      </c>
      <c r="B2035" s="26" t="s">
        <v>2144</v>
      </c>
      <c r="C2035" s="1"/>
      <c r="D2035" s="1"/>
      <c r="E2035" s="29" t="s">
        <v>55</v>
      </c>
      <c r="F2035" s="15"/>
      <c r="G2035" s="16"/>
      <c r="H2035" s="31" t="s">
        <v>2145</v>
      </c>
      <c r="I2035" s="7"/>
      <c r="J2035" s="7" t="str">
        <f>IFERROR(LET(_xlpm.v,
VLOOKUP($I2035,'用語辞書'!$A:$B,COLUMN('用語辞書'!B$1),FALSE),
IF(_xlpm.v=0,"",_xlpm.v)
),"")</f>
        <v/>
      </c>
      <c r="K2035" s="17"/>
      <c r="L2035" s="17" t="b">
        <f>IF(OR(COUNTIF('クラス'!$A$1:$A$1267,$B2035)&gt;0,$B2035="",$M2035=""),"",True)</f>
        <v>1</v>
      </c>
      <c r="M2035" s="1" t="str">
        <f t="shared" si="27"/>
        <v>存在しない</v>
      </c>
      <c r="N2035" s="1" t="s">
        <v>29</v>
      </c>
      <c r="O2035" s="1"/>
      <c r="P2035" s="11"/>
      <c r="Q2035" s="11"/>
      <c r="R2035" s="11"/>
      <c r="S2035" s="11"/>
      <c r="T2035" s="1"/>
      <c r="U2035" s="1"/>
      <c r="V2035" s="1"/>
      <c r="W2035" s="1"/>
      <c r="X2035" s="1"/>
      <c r="Y2035" s="1"/>
      <c r="Z2035" s="1"/>
    </row>
    <row r="2036" ht="18.0" hidden="1" customHeight="1" outlineLevel="2">
      <c r="A2036" s="1">
        <v>8.0</v>
      </c>
      <c r="B2036" s="1"/>
      <c r="C2036" s="1"/>
      <c r="D2036" s="1"/>
      <c r="E2036" s="14"/>
      <c r="F2036" s="15"/>
      <c r="G2036" s="16"/>
      <c r="H2036" s="11"/>
      <c r="I2036" s="7"/>
      <c r="J2036" s="7" t="str">
        <f>IFERROR(LET(_xlpm.v,
VLOOKUP($I2036,'用語辞書'!$A:$B,COLUMN('用語辞書'!B$1),FALSE),
IF(_xlpm.v=0,"",_xlpm.v)
),"")</f>
        <v/>
      </c>
      <c r="K2036" s="17"/>
      <c r="L2036" s="17" t="str">
        <f>IF(OR(COUNTIF('クラス'!$A$1:$A$1267,$B2036)&gt;0,$B2036="",$M2036=""),"",True)</f>
        <v/>
      </c>
      <c r="M2036" s="1" t="str">
        <f t="shared" si="27"/>
        <v>存在しない</v>
      </c>
      <c r="N2036" s="1" t="s">
        <v>29</v>
      </c>
      <c r="O2036" s="1"/>
      <c r="P2036" s="11"/>
      <c r="Q2036" s="11"/>
      <c r="R2036" s="11"/>
      <c r="S2036" s="11"/>
      <c r="T2036" s="1"/>
      <c r="U2036" s="1"/>
      <c r="V2036" s="1"/>
      <c r="W2036" s="1"/>
      <c r="X2036" s="1"/>
      <c r="Y2036" s="1"/>
      <c r="Z2036" s="1"/>
    </row>
    <row r="2037" ht="18.0" hidden="1" customHeight="1" outlineLevel="2">
      <c r="A2037" s="1">
        <v>9.0</v>
      </c>
      <c r="B2037" s="26" t="s">
        <v>2146</v>
      </c>
      <c r="C2037" s="26" t="s">
        <v>2147</v>
      </c>
      <c r="D2037" s="26" t="s">
        <v>2142</v>
      </c>
      <c r="E2037" s="29" t="s">
        <v>33</v>
      </c>
      <c r="F2037" s="15"/>
      <c r="G2037" s="30">
        <v>60.0</v>
      </c>
      <c r="H2037" s="22" t="s">
        <v>2148</v>
      </c>
      <c r="I2037" s="7"/>
      <c r="J2037" s="7" t="str">
        <f>IFERROR(LET(_xlpm.v,
VLOOKUP($I2037,'用語辞書'!$A:$B,COLUMN('用語辞書'!B$1),FALSE),
IF(_xlpm.v=0,"",_xlpm.v)
),"")</f>
        <v/>
      </c>
      <c r="K2037" s="17"/>
      <c r="L2037" s="17" t="b">
        <f>IF(OR(COUNTIF('クラス'!$A$1:$A$1267,$B2037)&gt;0,$B2037="",$M2037=""),"",True)</f>
        <v>1</v>
      </c>
      <c r="M2037" s="1" t="str">
        <f t="shared" si="27"/>
        <v>存在しない</v>
      </c>
      <c r="N2037" s="1" t="s">
        <v>29</v>
      </c>
      <c r="O2037" s="1"/>
      <c r="P2037" s="11"/>
      <c r="Q2037" s="11"/>
      <c r="R2037" s="11"/>
      <c r="S2037" s="11"/>
      <c r="T2037" s="1"/>
      <c r="U2037" s="1"/>
      <c r="V2037" s="1"/>
      <c r="W2037" s="1"/>
      <c r="X2037" s="1"/>
      <c r="Y2037" s="1"/>
      <c r="Z2037" s="1"/>
    </row>
    <row r="2038" ht="18.0" hidden="1" customHeight="1" outlineLevel="2">
      <c r="A2038" s="1">
        <v>10.0</v>
      </c>
      <c r="B2038" s="26" t="s">
        <v>2140</v>
      </c>
      <c r="C2038" s="1"/>
      <c r="D2038" s="1"/>
      <c r="E2038" s="29" t="s">
        <v>55</v>
      </c>
      <c r="F2038" s="15"/>
      <c r="G2038" s="16"/>
      <c r="H2038" s="22" t="s">
        <v>2149</v>
      </c>
      <c r="I2038" s="7"/>
      <c r="J2038" s="7" t="str">
        <f>IFERROR(LET(_xlpm.v,
VLOOKUP($I2038,'用語辞書'!$A:$B,COLUMN('用語辞書'!B$1),FALSE),
IF(_xlpm.v=0,"",_xlpm.v)
),"")</f>
        <v/>
      </c>
      <c r="K2038" s="17"/>
      <c r="L2038" s="17" t="str">
        <f>IF(OR(COUNTIF('クラス'!$A$1:$A$1267,$B2038)&gt;0,$B2038="",$M2038=""),"",True)</f>
        <v/>
      </c>
      <c r="M2038" s="1" t="str">
        <f t="shared" si="27"/>
        <v/>
      </c>
      <c r="N2038" s="1" t="s">
        <v>29</v>
      </c>
      <c r="O2038" s="1"/>
      <c r="P2038" s="11"/>
      <c r="Q2038" s="11"/>
      <c r="R2038" s="11"/>
      <c r="S2038" s="11"/>
      <c r="T2038" s="1"/>
      <c r="U2038" s="1"/>
      <c r="V2038" s="1"/>
      <c r="W2038" s="1"/>
      <c r="X2038" s="1"/>
      <c r="Y2038" s="1"/>
      <c r="Z2038" s="1"/>
    </row>
    <row r="2039" ht="18.0" customHeight="1" outlineLevel="1" collapsed="1">
      <c r="A2039" s="1"/>
      <c r="B2039" s="1"/>
      <c r="C2039" s="1"/>
      <c r="D2039" s="1"/>
      <c r="E2039" s="14"/>
      <c r="F2039" s="15"/>
      <c r="G2039" s="16"/>
      <c r="H2039" s="11"/>
      <c r="I2039" s="7"/>
      <c r="J2039" s="7" t="str">
        <f>IFERROR(LET(_xlpm.v,
VLOOKUP($I2039,'用語辞書'!$A:$B,COLUMN('用語辞書'!B$1),FALSE),
IF(_xlpm.v=0,"",_xlpm.v)
),"")</f>
        <v/>
      </c>
      <c r="K2039" s="17"/>
      <c r="L2039" s="17" t="str">
        <f>IF(OR(COUNTIF('クラス'!$A$1:$A$1267,$B2039)&gt;0,$B2039="",$M2039=""),"",True)</f>
        <v/>
      </c>
      <c r="M2039" s="1" t="str">
        <f t="shared" si="27"/>
        <v>存在しない</v>
      </c>
      <c r="N2039" s="1" t="s">
        <v>29</v>
      </c>
      <c r="O2039" s="1"/>
      <c r="P2039" s="11"/>
      <c r="Q2039" s="11"/>
      <c r="R2039" s="11"/>
      <c r="S2039" s="11"/>
      <c r="T2039" s="1"/>
      <c r="U2039" s="1"/>
      <c r="V2039" s="1"/>
      <c r="W2039" s="1"/>
      <c r="X2039" s="1"/>
      <c r="Y2039" s="1"/>
      <c r="Z2039" s="1"/>
    </row>
    <row r="2040" ht="18.0" customHeight="1" outlineLevel="1">
      <c r="A2040" s="1"/>
      <c r="B2040" s="26" t="s">
        <v>2150</v>
      </c>
      <c r="C2040" s="26" t="s">
        <v>2151</v>
      </c>
      <c r="D2040" s="1"/>
      <c r="E2040" s="14"/>
      <c r="F2040" s="15"/>
      <c r="G2040" s="16"/>
      <c r="H2040" s="11"/>
      <c r="I2040" s="7"/>
      <c r="J2040" s="7" t="str">
        <f>IFERROR(LET(_xlpm.v,
VLOOKUP($I2040,'用語辞書'!$A:$B,COLUMN('用語辞書'!B$1),FALSE),
IF(_xlpm.v=0,"",_xlpm.v)
),"")</f>
        <v/>
      </c>
      <c r="K2040" s="17"/>
      <c r="L2040" s="17" t="str">
        <f>IF(OR(COUNTIF('クラス'!$A$1:$A$1267,$B2040)&gt;0,$B2040="",$M2040=""),"",True)</f>
        <v/>
      </c>
      <c r="M2040" s="1" t="str">
        <f t="shared" si="27"/>
        <v>存在しない</v>
      </c>
      <c r="N2040" s="1" t="s">
        <v>29</v>
      </c>
      <c r="O2040" s="1"/>
      <c r="P2040" s="11"/>
      <c r="Q2040" s="11"/>
      <c r="R2040" s="11"/>
      <c r="S2040" s="11"/>
      <c r="T2040" s="1"/>
      <c r="U2040" s="1"/>
      <c r="V2040" s="1"/>
      <c r="W2040" s="1"/>
      <c r="X2040" s="1"/>
      <c r="Y2040" s="1"/>
      <c r="Z2040" s="1"/>
    </row>
    <row r="2041" ht="18.0" hidden="1" customHeight="1" outlineLevel="2">
      <c r="A2041" s="1">
        <v>1.0</v>
      </c>
      <c r="B2041" s="26" t="s">
        <v>2152</v>
      </c>
      <c r="C2041" s="26" t="s">
        <v>2153</v>
      </c>
      <c r="D2041" s="26" t="s">
        <v>2142</v>
      </c>
      <c r="E2041" s="29" t="s">
        <v>33</v>
      </c>
      <c r="F2041" s="15"/>
      <c r="G2041" s="30">
        <v>60.0</v>
      </c>
      <c r="H2041" s="22" t="s">
        <v>2154</v>
      </c>
      <c r="I2041" s="7"/>
      <c r="J2041" s="7" t="str">
        <f>IFERROR(LET(_xlpm.v,
VLOOKUP($I2041,'用語辞書'!$A:$B,COLUMN('用語辞書'!B$1),FALSE),
IF(_xlpm.v=0,"",_xlpm.v)
),"")</f>
        <v/>
      </c>
      <c r="K2041" s="17"/>
      <c r="L2041" s="17" t="b">
        <f>IF(OR(COUNTIF('クラス'!$A$1:$A$1267,$B2041)&gt;0,$B2041="",$M2041=""),"",True)</f>
        <v>1</v>
      </c>
      <c r="M2041" s="1" t="str">
        <f t="shared" si="27"/>
        <v>存在しない</v>
      </c>
      <c r="N2041" s="1" t="s">
        <v>29</v>
      </c>
      <c r="O2041" s="1"/>
      <c r="P2041" s="11"/>
      <c r="Q2041" s="11"/>
      <c r="R2041" s="11"/>
      <c r="S2041" s="11"/>
      <c r="T2041" s="1"/>
      <c r="U2041" s="1"/>
      <c r="V2041" s="1"/>
      <c r="W2041" s="1"/>
      <c r="X2041" s="1"/>
      <c r="Y2041" s="1"/>
      <c r="Z2041" s="1"/>
    </row>
    <row r="2042" ht="18.0" hidden="1" customHeight="1" outlineLevel="2">
      <c r="A2042" s="1">
        <v>2.0</v>
      </c>
      <c r="B2042" s="1"/>
      <c r="C2042" s="1"/>
      <c r="D2042" s="1"/>
      <c r="E2042" s="14"/>
      <c r="F2042" s="15"/>
      <c r="G2042" s="16"/>
      <c r="H2042" s="11"/>
      <c r="I2042" s="7"/>
      <c r="J2042" s="7" t="str">
        <f>IFERROR(LET(_xlpm.v,
VLOOKUP($I2042,'用語辞書'!$A:$B,COLUMN('用語辞書'!B$1),FALSE),
IF(_xlpm.v=0,"",_xlpm.v)
),"")</f>
        <v/>
      </c>
      <c r="K2042" s="17"/>
      <c r="L2042" s="17" t="str">
        <f>IF(OR(COUNTIF('クラス'!$A$1:$A$1267,$B2042)&gt;0,$B2042="",$M2042=""),"",True)</f>
        <v/>
      </c>
      <c r="M2042" s="1" t="str">
        <f t="shared" si="27"/>
        <v>存在しない</v>
      </c>
      <c r="N2042" s="1" t="s">
        <v>29</v>
      </c>
      <c r="O2042" s="1"/>
      <c r="P2042" s="11"/>
      <c r="Q2042" s="11"/>
      <c r="R2042" s="11"/>
      <c r="S2042" s="11"/>
      <c r="T2042" s="1"/>
      <c r="U2042" s="1"/>
      <c r="V2042" s="1"/>
      <c r="W2042" s="1"/>
      <c r="X2042" s="1"/>
      <c r="Y2042" s="1"/>
      <c r="Z2042" s="1"/>
    </row>
    <row r="2043" ht="18.0" hidden="1" customHeight="1" outlineLevel="2">
      <c r="A2043" s="1">
        <v>3.0</v>
      </c>
      <c r="B2043" s="26" t="s">
        <v>2114</v>
      </c>
      <c r="C2043" s="1"/>
      <c r="D2043" s="1"/>
      <c r="E2043" s="29" t="s">
        <v>55</v>
      </c>
      <c r="F2043" s="15"/>
      <c r="G2043" s="16"/>
      <c r="H2043" s="22" t="s">
        <v>2115</v>
      </c>
      <c r="I2043" s="7"/>
      <c r="J2043" s="7" t="str">
        <f>IFERROR(LET(_xlpm.v,
VLOOKUP($I2043,'用語辞書'!$A:$B,COLUMN('用語辞書'!B$1),FALSE),
IF(_xlpm.v=0,"",_xlpm.v)
),"")</f>
        <v/>
      </c>
      <c r="K2043" s="17"/>
      <c r="L2043" s="17" t="str">
        <f>IF(OR(COUNTIF('クラス'!$A$1:$A$1267,$B2043)&gt;0,$B2043="",$M2043=""),"",True)</f>
        <v/>
      </c>
      <c r="M2043" s="1" t="str">
        <f t="shared" si="27"/>
        <v/>
      </c>
      <c r="N2043" s="1" t="s">
        <v>29</v>
      </c>
      <c r="O2043" s="1"/>
      <c r="P2043" s="11"/>
      <c r="Q2043" s="11"/>
      <c r="R2043" s="11"/>
      <c r="S2043" s="11"/>
      <c r="T2043" s="1"/>
      <c r="U2043" s="1"/>
      <c r="V2043" s="1"/>
      <c r="W2043" s="1"/>
      <c r="X2043" s="1"/>
      <c r="Y2043" s="1"/>
      <c r="Z2043" s="1"/>
    </row>
    <row r="2044" ht="18.0" hidden="1" customHeight="1" outlineLevel="2">
      <c r="A2044" s="1">
        <v>4.0</v>
      </c>
      <c r="B2044" s="1"/>
      <c r="C2044" s="1"/>
      <c r="D2044" s="1"/>
      <c r="E2044" s="14"/>
      <c r="F2044" s="15"/>
      <c r="G2044" s="16"/>
      <c r="H2044" s="11"/>
      <c r="I2044" s="7"/>
      <c r="J2044" s="7" t="str">
        <f>IFERROR(LET(_xlpm.v,
VLOOKUP($I2044,'用語辞書'!$A:$B,COLUMN('用語辞書'!B$1),FALSE),
IF(_xlpm.v=0,"",_xlpm.v)
),"")</f>
        <v/>
      </c>
      <c r="K2044" s="17"/>
      <c r="L2044" s="17" t="str">
        <f>IF(OR(COUNTIF('クラス'!$A$1:$A$1267,$B2044)&gt;0,$B2044="",$M2044=""),"",True)</f>
        <v/>
      </c>
      <c r="M2044" s="1" t="str">
        <f t="shared" si="27"/>
        <v>存在しない</v>
      </c>
      <c r="N2044" s="1" t="s">
        <v>29</v>
      </c>
      <c r="O2044" s="1"/>
      <c r="P2044" s="11"/>
      <c r="Q2044" s="11"/>
      <c r="R2044" s="11"/>
      <c r="S2044" s="11"/>
      <c r="T2044" s="1"/>
      <c r="U2044" s="1"/>
      <c r="V2044" s="1"/>
      <c r="W2044" s="1"/>
      <c r="X2044" s="1"/>
      <c r="Y2044" s="1"/>
      <c r="Z2044" s="1"/>
    </row>
    <row r="2045" ht="18.0" hidden="1" customHeight="1" outlineLevel="2">
      <c r="A2045" s="1">
        <v>5.0</v>
      </c>
      <c r="B2045" s="26" t="s">
        <v>2116</v>
      </c>
      <c r="C2045" s="26" t="s">
        <v>2117</v>
      </c>
      <c r="D2045" s="26" t="s">
        <v>2102</v>
      </c>
      <c r="E2045" s="29" t="s">
        <v>33</v>
      </c>
      <c r="F2045" s="15"/>
      <c r="G2045" s="30">
        <v>30.0</v>
      </c>
      <c r="H2045" s="22" t="s">
        <v>2118</v>
      </c>
      <c r="I2045" s="7"/>
      <c r="J2045" s="7" t="str">
        <f>IFERROR(LET(_xlpm.v,
VLOOKUP($I2045,'用語辞書'!$A:$B,COLUMN('用語辞書'!B$1),FALSE),
IF(_xlpm.v=0,"",_xlpm.v)
),"")</f>
        <v/>
      </c>
      <c r="K2045" s="17"/>
      <c r="L2045" s="17" t="str">
        <f>IF(OR(COUNTIF('クラス'!$A$1:$A$1267,$B2045)&gt;0,$B2045="",$M2045=""),"",True)</f>
        <v/>
      </c>
      <c r="M2045" s="1" t="str">
        <f t="shared" si="27"/>
        <v/>
      </c>
      <c r="N2045" s="1" t="s">
        <v>29</v>
      </c>
      <c r="O2045" s="1"/>
      <c r="P2045" s="11"/>
      <c r="Q2045" s="11"/>
      <c r="R2045" s="11"/>
      <c r="S2045" s="11"/>
      <c r="T2045" s="1"/>
      <c r="U2045" s="1"/>
      <c r="V2045" s="1"/>
      <c r="W2045" s="1"/>
      <c r="X2045" s="1"/>
      <c r="Y2045" s="1"/>
      <c r="Z2045" s="1"/>
    </row>
    <row r="2046" ht="18.0" hidden="1" customHeight="1" outlineLevel="2">
      <c r="A2046" s="1">
        <v>6.0</v>
      </c>
      <c r="B2046" s="1"/>
      <c r="C2046" s="1"/>
      <c r="D2046" s="1"/>
      <c r="E2046" s="14"/>
      <c r="F2046" s="15"/>
      <c r="G2046" s="16"/>
      <c r="H2046" s="11"/>
      <c r="I2046" s="7"/>
      <c r="J2046" s="7" t="str">
        <f>IFERROR(LET(_xlpm.v,
VLOOKUP($I2046,'用語辞書'!$A:$B,COLUMN('用語辞書'!B$1),FALSE),
IF(_xlpm.v=0,"",_xlpm.v)
),"")</f>
        <v/>
      </c>
      <c r="K2046" s="17"/>
      <c r="L2046" s="17" t="str">
        <f>IF(OR(COUNTIF('クラス'!$A$1:$A$1267,$B2046)&gt;0,$B2046="",$M2046=""),"",True)</f>
        <v/>
      </c>
      <c r="M2046" s="1" t="str">
        <f t="shared" si="27"/>
        <v>存在しない</v>
      </c>
      <c r="N2046" s="1" t="s">
        <v>29</v>
      </c>
      <c r="O2046" s="1"/>
      <c r="P2046" s="11"/>
      <c r="Q2046" s="11"/>
      <c r="R2046" s="11"/>
      <c r="S2046" s="11"/>
      <c r="T2046" s="1"/>
      <c r="U2046" s="1"/>
      <c r="V2046" s="1"/>
      <c r="W2046" s="1"/>
      <c r="X2046" s="1"/>
      <c r="Y2046" s="1"/>
      <c r="Z2046" s="1"/>
    </row>
    <row r="2047" ht="18.0" hidden="1" customHeight="1" outlineLevel="2">
      <c r="A2047" s="1">
        <v>7.0</v>
      </c>
      <c r="B2047" s="26" t="s">
        <v>2155</v>
      </c>
      <c r="C2047" s="1"/>
      <c r="D2047" s="1"/>
      <c r="E2047" s="29" t="s">
        <v>55</v>
      </c>
      <c r="F2047" s="15"/>
      <c r="G2047" s="16"/>
      <c r="H2047" s="31" t="s">
        <v>2156</v>
      </c>
      <c r="I2047" s="7"/>
      <c r="J2047" s="7" t="str">
        <f>IFERROR(LET(_xlpm.v,
VLOOKUP($I2047,'用語辞書'!$A:$B,COLUMN('用語辞書'!B$1),FALSE),
IF(_xlpm.v=0,"",_xlpm.v)
),"")</f>
        <v/>
      </c>
      <c r="K2047" s="17"/>
      <c r="L2047" s="17" t="b">
        <f>IF(OR(COUNTIF('クラス'!$A$1:$A$1267,$B2047)&gt;0,$B2047="",$M2047=""),"",True)</f>
        <v>1</v>
      </c>
      <c r="M2047" s="1" t="str">
        <f t="shared" si="27"/>
        <v>存在しない</v>
      </c>
      <c r="N2047" s="1" t="s">
        <v>29</v>
      </c>
      <c r="O2047" s="1"/>
      <c r="P2047" s="11"/>
      <c r="Q2047" s="11"/>
      <c r="R2047" s="11"/>
      <c r="S2047" s="11"/>
      <c r="T2047" s="1"/>
      <c r="U2047" s="1"/>
      <c r="V2047" s="1"/>
      <c r="W2047" s="1"/>
      <c r="X2047" s="1"/>
      <c r="Y2047" s="1"/>
      <c r="Z2047" s="1"/>
    </row>
    <row r="2048" ht="18.0" hidden="1" customHeight="1" outlineLevel="2">
      <c r="A2048" s="1">
        <v>8.0</v>
      </c>
      <c r="B2048" s="1"/>
      <c r="C2048" s="1"/>
      <c r="D2048" s="1"/>
      <c r="E2048" s="14"/>
      <c r="F2048" s="15"/>
      <c r="G2048" s="16"/>
      <c r="H2048" s="11"/>
      <c r="I2048" s="7"/>
      <c r="J2048" s="7" t="str">
        <f>IFERROR(LET(_xlpm.v,
VLOOKUP($I2048,'用語辞書'!$A:$B,COLUMN('用語辞書'!B$1),FALSE),
IF(_xlpm.v=0,"",_xlpm.v)
),"")</f>
        <v/>
      </c>
      <c r="K2048" s="17"/>
      <c r="L2048" s="17" t="str">
        <f>IF(OR(COUNTIF('クラス'!$A$1:$A$1267,$B2048)&gt;0,$B2048="",$M2048=""),"",True)</f>
        <v/>
      </c>
      <c r="M2048" s="1" t="str">
        <f t="shared" si="27"/>
        <v>存在しない</v>
      </c>
      <c r="N2048" s="1" t="s">
        <v>29</v>
      </c>
      <c r="O2048" s="1"/>
      <c r="P2048" s="11"/>
      <c r="Q2048" s="11"/>
      <c r="R2048" s="11"/>
      <c r="S2048" s="11"/>
      <c r="T2048" s="1"/>
      <c r="U2048" s="1"/>
      <c r="V2048" s="1"/>
      <c r="W2048" s="1"/>
      <c r="X2048" s="1"/>
      <c r="Y2048" s="1"/>
      <c r="Z2048" s="1"/>
    </row>
    <row r="2049" ht="18.0" hidden="1" customHeight="1" outlineLevel="2">
      <c r="A2049" s="1">
        <v>9.0</v>
      </c>
      <c r="B2049" s="26" t="s">
        <v>2157</v>
      </c>
      <c r="C2049" s="26" t="s">
        <v>2158</v>
      </c>
      <c r="D2049" s="26" t="s">
        <v>2142</v>
      </c>
      <c r="E2049" s="29" t="s">
        <v>33</v>
      </c>
      <c r="F2049" s="15"/>
      <c r="G2049" s="30">
        <v>60.0</v>
      </c>
      <c r="H2049" s="31" t="s">
        <v>2159</v>
      </c>
      <c r="I2049" s="7"/>
      <c r="J2049" s="7" t="str">
        <f>IFERROR(LET(_xlpm.v,
VLOOKUP($I2049,'用語辞書'!$A:$B,COLUMN('用語辞書'!B$1),FALSE),
IF(_xlpm.v=0,"",_xlpm.v)
),"")</f>
        <v/>
      </c>
      <c r="K2049" s="17"/>
      <c r="L2049" s="17" t="b">
        <f>IF(OR(COUNTIF('クラス'!$A$1:$A$1267,$B2049)&gt;0,$B2049="",$M2049=""),"",True)</f>
        <v>1</v>
      </c>
      <c r="M2049" s="1" t="str">
        <f t="shared" si="27"/>
        <v>存在しない</v>
      </c>
      <c r="N2049" s="1" t="s">
        <v>29</v>
      </c>
      <c r="O2049" s="1"/>
      <c r="P2049" s="11"/>
      <c r="Q2049" s="11"/>
      <c r="R2049" s="11"/>
      <c r="S2049" s="11"/>
      <c r="T2049" s="1"/>
      <c r="U2049" s="1"/>
      <c r="V2049" s="1"/>
      <c r="W2049" s="1"/>
      <c r="X2049" s="1"/>
      <c r="Y2049" s="1"/>
      <c r="Z2049" s="1"/>
    </row>
    <row r="2050" ht="18.0" hidden="1" customHeight="1" outlineLevel="2">
      <c r="A2050" s="1">
        <v>10.0</v>
      </c>
      <c r="B2050" s="26" t="s">
        <v>2151</v>
      </c>
      <c r="C2050" s="1"/>
      <c r="D2050" s="1"/>
      <c r="E2050" s="29" t="s">
        <v>55</v>
      </c>
      <c r="F2050" s="15"/>
      <c r="G2050" s="16"/>
      <c r="H2050" s="22" t="s">
        <v>2160</v>
      </c>
      <c r="I2050" s="7"/>
      <c r="J2050" s="7" t="str">
        <f>IFERROR(LET(_xlpm.v,
VLOOKUP($I2050,'用語辞書'!$A:$B,COLUMN('用語辞書'!B$1),FALSE),
IF(_xlpm.v=0,"",_xlpm.v)
),"")</f>
        <v/>
      </c>
      <c r="K2050" s="17"/>
      <c r="L2050" s="17" t="str">
        <f>IF(OR(COUNTIF('クラス'!$A$1:$A$1267,$B2050)&gt;0,$B2050="",$M2050=""),"",True)</f>
        <v/>
      </c>
      <c r="M2050" s="1" t="str">
        <f t="shared" si="27"/>
        <v/>
      </c>
      <c r="N2050" s="1" t="s">
        <v>29</v>
      </c>
      <c r="O2050" s="1"/>
      <c r="P2050" s="11"/>
      <c r="Q2050" s="11"/>
      <c r="R2050" s="11"/>
      <c r="S2050" s="11"/>
      <c r="T2050" s="1"/>
      <c r="U2050" s="1"/>
      <c r="V2050" s="1"/>
      <c r="W2050" s="1"/>
      <c r="X2050" s="1"/>
      <c r="Y2050" s="1"/>
      <c r="Z2050" s="1"/>
    </row>
    <row r="2051" ht="18.0" customHeight="1" outlineLevel="1" collapsed="1">
      <c r="A2051" s="1"/>
      <c r="B2051" s="1"/>
      <c r="C2051" s="1"/>
      <c r="D2051" s="1"/>
      <c r="E2051" s="14"/>
      <c r="F2051" s="15"/>
      <c r="G2051" s="16"/>
      <c r="H2051" s="11"/>
      <c r="I2051" s="7"/>
      <c r="J2051" s="7" t="str">
        <f>IFERROR(LET(_xlpm.v,
VLOOKUP($I2051,'用語辞書'!$A:$B,COLUMN('用語辞書'!B$1),FALSE),
IF(_xlpm.v=0,"",_xlpm.v)
),"")</f>
        <v/>
      </c>
      <c r="K2051" s="17"/>
      <c r="L2051" s="17" t="str">
        <f>IF(OR(COUNTIF('クラス'!$A$1:$A$1267,$B2051)&gt;0,$B2051="",$M2051=""),"",True)</f>
        <v/>
      </c>
      <c r="M2051" s="1" t="str">
        <f t="shared" si="27"/>
        <v>存在しない</v>
      </c>
      <c r="N2051" s="1" t="s">
        <v>29</v>
      </c>
      <c r="O2051" s="1"/>
      <c r="P2051" s="11"/>
      <c r="Q2051" s="11"/>
      <c r="R2051" s="11"/>
      <c r="S2051" s="11"/>
      <c r="T2051" s="1"/>
      <c r="U2051" s="1"/>
      <c r="V2051" s="1"/>
      <c r="W2051" s="1"/>
      <c r="X2051" s="1"/>
      <c r="Y2051" s="1"/>
      <c r="Z2051" s="1"/>
    </row>
    <row r="2052" ht="18.0" customHeight="1" outlineLevel="1">
      <c r="A2052" s="1"/>
      <c r="B2052" s="26" t="s">
        <v>2161</v>
      </c>
      <c r="C2052" s="26" t="s">
        <v>2162</v>
      </c>
      <c r="D2052" s="1"/>
      <c r="E2052" s="14"/>
      <c r="F2052" s="15"/>
      <c r="G2052" s="16"/>
      <c r="H2052" s="11"/>
      <c r="I2052" s="7"/>
      <c r="J2052" s="7" t="str">
        <f>IFERROR(LET(_xlpm.v,
VLOOKUP($I2052,'用語辞書'!$A:$B,COLUMN('用語辞書'!B$1),FALSE),
IF(_xlpm.v=0,"",_xlpm.v)
),"")</f>
        <v/>
      </c>
      <c r="K2052" s="17"/>
      <c r="L2052" s="17" t="str">
        <f>IF(OR(COUNTIF('クラス'!$A$1:$A$1267,$B2052)&gt;0,$B2052="",$M2052=""),"",True)</f>
        <v/>
      </c>
      <c r="M2052" s="1" t="str">
        <f t="shared" si="27"/>
        <v>存在しない</v>
      </c>
      <c r="N2052" s="1" t="s">
        <v>29</v>
      </c>
      <c r="O2052" s="1"/>
      <c r="P2052" s="11"/>
      <c r="Q2052" s="11"/>
      <c r="R2052" s="11"/>
      <c r="S2052" s="11"/>
      <c r="T2052" s="1"/>
      <c r="U2052" s="1"/>
      <c r="V2052" s="1"/>
      <c r="W2052" s="1"/>
      <c r="X2052" s="1"/>
      <c r="Y2052" s="1"/>
      <c r="Z2052" s="1"/>
    </row>
    <row r="2053" ht="18.0" hidden="1" customHeight="1" outlineLevel="2">
      <c r="A2053" s="1">
        <v>1.0</v>
      </c>
      <c r="B2053" s="26" t="s">
        <v>2163</v>
      </c>
      <c r="C2053" s="1"/>
      <c r="D2053" s="26" t="s">
        <v>2142</v>
      </c>
      <c r="E2053" s="29" t="s">
        <v>33</v>
      </c>
      <c r="F2053" s="15"/>
      <c r="G2053" s="30">
        <v>60.0</v>
      </c>
      <c r="H2053" s="31" t="s">
        <v>2164</v>
      </c>
      <c r="I2053" s="7"/>
      <c r="J2053" s="7" t="str">
        <f>IFERROR(LET(_xlpm.v,
VLOOKUP($I2053,'用語辞書'!$A:$B,COLUMN('用語辞書'!B$1),FALSE),
IF(_xlpm.v=0,"",_xlpm.v)
),"")</f>
        <v/>
      </c>
      <c r="K2053" s="17"/>
      <c r="L2053" s="17" t="b">
        <f>IF(OR(COUNTIF('クラス'!$A$1:$A$1267,$B2053)&gt;0,$B2053="",$M2053=""),"",True)</f>
        <v>1</v>
      </c>
      <c r="M2053" s="1" t="str">
        <f t="shared" si="27"/>
        <v>存在しない</v>
      </c>
      <c r="N2053" s="1" t="s">
        <v>29</v>
      </c>
      <c r="O2053" s="1"/>
      <c r="P2053" s="11"/>
      <c r="Q2053" s="11"/>
      <c r="R2053" s="11"/>
      <c r="S2053" s="11"/>
      <c r="T2053" s="1"/>
      <c r="U2053" s="1"/>
      <c r="V2053" s="1"/>
      <c r="W2053" s="1"/>
      <c r="X2053" s="1"/>
      <c r="Y2053" s="1"/>
      <c r="Z2053" s="1"/>
    </row>
    <row r="2054" ht="18.0" hidden="1" customHeight="1" outlineLevel="2">
      <c r="A2054" s="1">
        <v>2.0</v>
      </c>
      <c r="B2054" s="1"/>
      <c r="C2054" s="1"/>
      <c r="D2054" s="1"/>
      <c r="E2054" s="14"/>
      <c r="F2054" s="15"/>
      <c r="G2054" s="16"/>
      <c r="H2054" s="11"/>
      <c r="I2054" s="7"/>
      <c r="J2054" s="7" t="str">
        <f>IFERROR(LET(_xlpm.v,
VLOOKUP($I2054,'用語辞書'!$A:$B,COLUMN('用語辞書'!B$1),FALSE),
IF(_xlpm.v=0,"",_xlpm.v)
),"")</f>
        <v/>
      </c>
      <c r="K2054" s="17"/>
      <c r="L2054" s="17" t="str">
        <f>IF(OR(COUNTIF('クラス'!$A$1:$A$1267,$B2054)&gt;0,$B2054="",$M2054=""),"",True)</f>
        <v/>
      </c>
      <c r="M2054" s="1" t="str">
        <f t="shared" si="27"/>
        <v>存在しない</v>
      </c>
      <c r="N2054" s="1" t="s">
        <v>29</v>
      </c>
      <c r="O2054" s="1"/>
      <c r="P2054" s="11"/>
      <c r="Q2054" s="11"/>
      <c r="R2054" s="11"/>
      <c r="S2054" s="11"/>
      <c r="T2054" s="1"/>
      <c r="U2054" s="1"/>
      <c r="V2054" s="1"/>
      <c r="W2054" s="1"/>
      <c r="X2054" s="1"/>
      <c r="Y2054" s="1"/>
      <c r="Z2054" s="1"/>
    </row>
    <row r="2055" ht="18.0" hidden="1" customHeight="1" outlineLevel="2">
      <c r="A2055" s="1">
        <v>3.0</v>
      </c>
      <c r="B2055" s="26" t="s">
        <v>2165</v>
      </c>
      <c r="C2055" s="1"/>
      <c r="D2055" s="1"/>
      <c r="E2055" s="29" t="s">
        <v>55</v>
      </c>
      <c r="F2055" s="15"/>
      <c r="G2055" s="16"/>
      <c r="H2055" s="31" t="s">
        <v>2166</v>
      </c>
      <c r="I2055" s="7"/>
      <c r="J2055" s="7" t="str">
        <f>IFERROR(LET(_xlpm.v,
VLOOKUP($I2055,'用語辞書'!$A:$B,COLUMN('用語辞書'!B$1),FALSE),
IF(_xlpm.v=0,"",_xlpm.v)
),"")</f>
        <v/>
      </c>
      <c r="K2055" s="17"/>
      <c r="L2055" s="17" t="b">
        <f>IF(OR(COUNTIF('クラス'!$A$1:$A$1267,$B2055)&gt;0,$B2055="",$M2055=""),"",True)</f>
        <v>1</v>
      </c>
      <c r="M2055" s="1" t="str">
        <f t="shared" si="27"/>
        <v>存在しない</v>
      </c>
      <c r="N2055" s="1" t="s">
        <v>29</v>
      </c>
      <c r="O2055" s="1"/>
      <c r="P2055" s="11"/>
      <c r="Q2055" s="11"/>
      <c r="R2055" s="11"/>
      <c r="S2055" s="11"/>
      <c r="T2055" s="1"/>
      <c r="U2055" s="1"/>
      <c r="V2055" s="1"/>
      <c r="W2055" s="1"/>
      <c r="X2055" s="1"/>
      <c r="Y2055" s="1"/>
      <c r="Z2055" s="1"/>
    </row>
    <row r="2056" ht="18.0" hidden="1" customHeight="1" outlineLevel="2">
      <c r="A2056" s="1">
        <v>4.0</v>
      </c>
      <c r="B2056" s="1"/>
      <c r="C2056" s="1"/>
      <c r="D2056" s="1"/>
      <c r="E2056" s="14"/>
      <c r="F2056" s="15"/>
      <c r="G2056" s="16"/>
      <c r="H2056" s="11"/>
      <c r="I2056" s="7"/>
      <c r="J2056" s="7" t="str">
        <f>IFERROR(LET(_xlpm.v,
VLOOKUP($I2056,'用語辞書'!$A:$B,COLUMN('用語辞書'!B$1),FALSE),
IF(_xlpm.v=0,"",_xlpm.v)
),"")</f>
        <v/>
      </c>
      <c r="K2056" s="17"/>
      <c r="L2056" s="17" t="str">
        <f>IF(OR(COUNTIF('クラス'!$A$1:$A$1267,$B2056)&gt;0,$B2056="",$M2056=""),"",True)</f>
        <v/>
      </c>
      <c r="M2056" s="1" t="str">
        <f t="shared" si="27"/>
        <v>存在しない</v>
      </c>
      <c r="N2056" s="1" t="s">
        <v>29</v>
      </c>
      <c r="O2056" s="1"/>
      <c r="P2056" s="11"/>
      <c r="Q2056" s="11"/>
      <c r="R2056" s="11"/>
      <c r="S2056" s="11"/>
      <c r="T2056" s="1"/>
      <c r="U2056" s="1"/>
      <c r="V2056" s="1"/>
      <c r="W2056" s="1"/>
      <c r="X2056" s="1"/>
      <c r="Y2056" s="1"/>
      <c r="Z2056" s="1"/>
    </row>
    <row r="2057" ht="18.0" hidden="1" customHeight="1" outlineLevel="2">
      <c r="A2057" s="1">
        <v>5.0</v>
      </c>
      <c r="B2057" s="26" t="s">
        <v>2132</v>
      </c>
      <c r="C2057" s="1"/>
      <c r="D2057" s="26" t="s">
        <v>2102</v>
      </c>
      <c r="E2057" s="29" t="s">
        <v>33</v>
      </c>
      <c r="F2057" s="15"/>
      <c r="G2057" s="30">
        <v>30.0</v>
      </c>
      <c r="H2057" s="22" t="s">
        <v>2133</v>
      </c>
      <c r="I2057" s="7"/>
      <c r="J2057" s="7" t="str">
        <f>IFERROR(LET(_xlpm.v,
VLOOKUP($I2057,'用語辞書'!$A:$B,COLUMN('用語辞書'!B$1),FALSE),
IF(_xlpm.v=0,"",_xlpm.v)
),"")</f>
        <v/>
      </c>
      <c r="K2057" s="17"/>
      <c r="L2057" s="17" t="str">
        <f>IF(OR(COUNTIF('クラス'!$A$1:$A$1267,$B2057)&gt;0,$B2057="",$M2057=""),"",True)</f>
        <v/>
      </c>
      <c r="M2057" s="1" t="str">
        <f t="shared" si="27"/>
        <v/>
      </c>
      <c r="N2057" s="1" t="s">
        <v>29</v>
      </c>
      <c r="O2057" s="1"/>
      <c r="P2057" s="11"/>
      <c r="Q2057" s="11"/>
      <c r="R2057" s="11"/>
      <c r="S2057" s="11"/>
      <c r="T2057" s="1"/>
      <c r="U2057" s="1"/>
      <c r="V2057" s="1"/>
      <c r="W2057" s="1"/>
      <c r="X2057" s="1"/>
      <c r="Y2057" s="1"/>
      <c r="Z2057" s="1"/>
    </row>
    <row r="2058" ht="18.0" hidden="1" customHeight="1" outlineLevel="2">
      <c r="A2058" s="1">
        <v>6.0</v>
      </c>
      <c r="B2058" s="1"/>
      <c r="C2058" s="1"/>
      <c r="D2058" s="1"/>
      <c r="E2058" s="14"/>
      <c r="F2058" s="15"/>
      <c r="G2058" s="16"/>
      <c r="H2058" s="11"/>
      <c r="I2058" s="7"/>
      <c r="J2058" s="7" t="str">
        <f>IFERROR(LET(_xlpm.v,
VLOOKUP($I2058,'用語辞書'!$A:$B,COLUMN('用語辞書'!B$1),FALSE),
IF(_xlpm.v=0,"",_xlpm.v)
),"")</f>
        <v/>
      </c>
      <c r="K2058" s="17"/>
      <c r="L2058" s="17" t="str">
        <f>IF(OR(COUNTIF('クラス'!$A$1:$A$1267,$B2058)&gt;0,$B2058="",$M2058=""),"",True)</f>
        <v/>
      </c>
      <c r="M2058" s="1" t="str">
        <f t="shared" si="27"/>
        <v>存在しない</v>
      </c>
      <c r="N2058" s="1" t="s">
        <v>29</v>
      </c>
      <c r="O2058" s="1"/>
      <c r="P2058" s="11"/>
      <c r="Q2058" s="11"/>
      <c r="R2058" s="11"/>
      <c r="S2058" s="11"/>
      <c r="T2058" s="1"/>
      <c r="U2058" s="1"/>
      <c r="V2058" s="1"/>
      <c r="W2058" s="1"/>
      <c r="X2058" s="1"/>
      <c r="Y2058" s="1"/>
      <c r="Z2058" s="1"/>
    </row>
    <row r="2059" ht="18.0" hidden="1" customHeight="1" outlineLevel="2">
      <c r="A2059" s="1">
        <v>7.0</v>
      </c>
      <c r="B2059" s="26" t="s">
        <v>1854</v>
      </c>
      <c r="C2059" s="26" t="s">
        <v>2134</v>
      </c>
      <c r="D2059" s="1"/>
      <c r="E2059" s="29" t="s">
        <v>33</v>
      </c>
      <c r="F2059" s="15"/>
      <c r="G2059" s="30">
        <v>30.0</v>
      </c>
      <c r="H2059" s="22" t="s">
        <v>2135</v>
      </c>
      <c r="I2059" s="7"/>
      <c r="J2059" s="7" t="str">
        <f>IFERROR(LET(_xlpm.v,
VLOOKUP($I2059,'用語辞書'!$A:$B,COLUMN('用語辞書'!B$1),FALSE),
IF(_xlpm.v=0,"",_xlpm.v)
),"")</f>
        <v/>
      </c>
      <c r="K2059" s="17"/>
      <c r="L2059" s="17" t="str">
        <f>IF(OR(COUNTIF('クラス'!$A$1:$A$1267,$B2059)&gt;0,$B2059="",$M2059=""),"",True)</f>
        <v/>
      </c>
      <c r="M2059" s="1" t="str">
        <f t="shared" si="27"/>
        <v/>
      </c>
      <c r="N2059" s="1" t="s">
        <v>29</v>
      </c>
      <c r="O2059" s="1"/>
      <c r="P2059" s="11"/>
      <c r="Q2059" s="11"/>
      <c r="R2059" s="11"/>
      <c r="S2059" s="11"/>
      <c r="T2059" s="1"/>
      <c r="U2059" s="1"/>
      <c r="V2059" s="1"/>
      <c r="W2059" s="1"/>
      <c r="X2059" s="1"/>
      <c r="Y2059" s="1"/>
      <c r="Z2059" s="1"/>
    </row>
    <row r="2060" ht="18.0" hidden="1" customHeight="1" outlineLevel="2">
      <c r="A2060" s="1">
        <v>8.0</v>
      </c>
      <c r="B2060" s="1"/>
      <c r="C2060" s="1"/>
      <c r="D2060" s="1"/>
      <c r="E2060" s="14"/>
      <c r="F2060" s="15"/>
      <c r="G2060" s="16"/>
      <c r="H2060" s="11"/>
      <c r="I2060" s="7"/>
      <c r="J2060" s="7" t="str">
        <f>IFERROR(LET(_xlpm.v,
VLOOKUP($I2060,'用語辞書'!$A:$B,COLUMN('用語辞書'!B$1),FALSE),
IF(_xlpm.v=0,"",_xlpm.v)
),"")</f>
        <v/>
      </c>
      <c r="K2060" s="17"/>
      <c r="L2060" s="17" t="str">
        <f>IF(OR(COUNTIF('クラス'!$A$1:$A$1267,$B2060)&gt;0,$B2060="",$M2060=""),"",True)</f>
        <v/>
      </c>
      <c r="M2060" s="1" t="str">
        <f t="shared" si="27"/>
        <v>存在しない</v>
      </c>
      <c r="N2060" s="1" t="s">
        <v>29</v>
      </c>
      <c r="O2060" s="1"/>
      <c r="P2060" s="11"/>
      <c r="Q2060" s="11"/>
      <c r="R2060" s="11"/>
      <c r="S2060" s="11"/>
      <c r="T2060" s="1"/>
      <c r="U2060" s="1"/>
      <c r="V2060" s="1"/>
      <c r="W2060" s="1"/>
      <c r="X2060" s="1"/>
      <c r="Y2060" s="1"/>
      <c r="Z2060" s="1"/>
    </row>
    <row r="2061" ht="18.0" hidden="1" customHeight="1" outlineLevel="2">
      <c r="A2061" s="1">
        <v>9.0</v>
      </c>
      <c r="B2061" s="26" t="s">
        <v>2136</v>
      </c>
      <c r="C2061" s="1"/>
      <c r="D2061" s="1"/>
      <c r="E2061" s="29" t="s">
        <v>55</v>
      </c>
      <c r="F2061" s="15"/>
      <c r="G2061" s="16"/>
      <c r="H2061" s="22" t="s">
        <v>2137</v>
      </c>
      <c r="I2061" s="7"/>
      <c r="J2061" s="7" t="str">
        <f>IFERROR(LET(_xlpm.v,
VLOOKUP($I2061,'用語辞書'!$A:$B,COLUMN('用語辞書'!B$1),FALSE),
IF(_xlpm.v=0,"",_xlpm.v)
),"")</f>
        <v/>
      </c>
      <c r="K2061" s="17"/>
      <c r="L2061" s="17" t="str">
        <f>IF(OR(COUNTIF('クラス'!$A$1:$A$1267,$B2061)&gt;0,$B2061="",$M2061=""),"",True)</f>
        <v/>
      </c>
      <c r="M2061" s="1" t="str">
        <f t="shared" si="27"/>
        <v/>
      </c>
      <c r="N2061" s="1" t="s">
        <v>29</v>
      </c>
      <c r="O2061" s="1"/>
      <c r="P2061" s="11"/>
      <c r="Q2061" s="11"/>
      <c r="R2061" s="11"/>
      <c r="S2061" s="11"/>
      <c r="T2061" s="1"/>
      <c r="U2061" s="1"/>
      <c r="V2061" s="1"/>
      <c r="W2061" s="1"/>
      <c r="X2061" s="1"/>
      <c r="Y2061" s="1"/>
      <c r="Z2061" s="1"/>
    </row>
    <row r="2062" ht="18.0" hidden="1" customHeight="1" outlineLevel="2">
      <c r="A2062" s="1">
        <v>10.0</v>
      </c>
      <c r="B2062" s="26" t="s">
        <v>2162</v>
      </c>
      <c r="C2062" s="1"/>
      <c r="D2062" s="1"/>
      <c r="E2062" s="29" t="s">
        <v>55</v>
      </c>
      <c r="F2062" s="15"/>
      <c r="G2062" s="16"/>
      <c r="H2062" s="22" t="s">
        <v>2167</v>
      </c>
      <c r="I2062" s="7"/>
      <c r="J2062" s="7" t="str">
        <f>IFERROR(LET(_xlpm.v,
VLOOKUP($I2062,'用語辞書'!$A:$B,COLUMN('用語辞書'!B$1),FALSE),
IF(_xlpm.v=0,"",_xlpm.v)
),"")</f>
        <v/>
      </c>
      <c r="K2062" s="17"/>
      <c r="L2062" s="17" t="str">
        <f>IF(OR(COUNTIF('クラス'!$A$1:$A$1267,$B2062)&gt;0,$B2062="",$M2062=""),"",True)</f>
        <v/>
      </c>
      <c r="M2062" s="1" t="str">
        <f t="shared" si="27"/>
        <v/>
      </c>
      <c r="N2062" s="1" t="s">
        <v>29</v>
      </c>
      <c r="O2062" s="1"/>
      <c r="P2062" s="11"/>
      <c r="Q2062" s="11"/>
      <c r="R2062" s="11"/>
      <c r="S2062" s="11"/>
      <c r="T2062" s="1"/>
      <c r="U2062" s="1"/>
      <c r="V2062" s="1"/>
      <c r="W2062" s="1"/>
      <c r="X2062" s="1"/>
      <c r="Y2062" s="1"/>
      <c r="Z2062" s="1"/>
    </row>
    <row r="2063" ht="18.0" customHeight="1" outlineLevel="1" collapsed="1">
      <c r="A2063" s="1"/>
      <c r="B2063" s="1"/>
      <c r="C2063" s="1"/>
      <c r="D2063" s="1"/>
      <c r="E2063" s="14"/>
      <c r="F2063" s="15"/>
      <c r="G2063" s="16"/>
      <c r="H2063" s="11"/>
      <c r="I2063" s="7"/>
      <c r="J2063" s="7" t="str">
        <f>IFERROR(LET(_xlpm.v,
VLOOKUP($I2063,'用語辞書'!$A:$B,COLUMN('用語辞書'!B$1),FALSE),
IF(_xlpm.v=0,"",_xlpm.v)
),"")</f>
        <v/>
      </c>
      <c r="K2063" s="17"/>
      <c r="L2063" s="17" t="str">
        <f>IF(OR(COUNTIF('クラス'!$A$1:$A$1267,$B2063)&gt;0,$B2063="",$M2063=""),"",True)</f>
        <v/>
      </c>
      <c r="M2063" s="1" t="str">
        <f t="shared" si="27"/>
        <v>存在しない</v>
      </c>
      <c r="N2063" s="1" t="s">
        <v>29</v>
      </c>
      <c r="O2063" s="1"/>
      <c r="P2063" s="11"/>
      <c r="Q2063" s="11"/>
      <c r="R2063" s="11"/>
      <c r="S2063" s="11"/>
      <c r="T2063" s="1"/>
      <c r="U2063" s="1"/>
      <c r="V2063" s="1"/>
      <c r="W2063" s="1"/>
      <c r="X2063" s="1"/>
      <c r="Y2063" s="1"/>
      <c r="Z2063" s="1"/>
    </row>
    <row r="2064" ht="18.0" customHeight="1" outlineLevel="1">
      <c r="A2064" s="1"/>
      <c r="B2064" s="26" t="s">
        <v>2168</v>
      </c>
      <c r="C2064" s="1"/>
      <c r="D2064" s="1"/>
      <c r="E2064" s="14"/>
      <c r="F2064" s="15"/>
      <c r="G2064" s="16"/>
      <c r="H2064" s="11"/>
      <c r="I2064" s="7"/>
      <c r="J2064" s="7" t="str">
        <f>IFERROR(LET(_xlpm.v,
VLOOKUP($I2064,'用語辞書'!$A:$B,COLUMN('用語辞書'!B$1),FALSE),
IF(_xlpm.v=0,"",_xlpm.v)
),"")</f>
        <v/>
      </c>
      <c r="K2064" s="17"/>
      <c r="L2064" s="17" t="str">
        <f>IF(OR(COUNTIF('クラス'!$A$1:$A$1267,$B2064)&gt;0,$B2064="",$M2064=""),"",True)</f>
        <v/>
      </c>
      <c r="M2064" s="1" t="str">
        <f t="shared" si="27"/>
        <v>存在しない</v>
      </c>
      <c r="N2064" s="1" t="s">
        <v>29</v>
      </c>
      <c r="O2064" s="1"/>
      <c r="P2064" s="11"/>
      <c r="Q2064" s="11"/>
      <c r="R2064" s="11"/>
      <c r="S2064" s="11"/>
      <c r="T2064" s="1"/>
      <c r="U2064" s="1"/>
      <c r="V2064" s="1"/>
      <c r="W2064" s="1"/>
      <c r="X2064" s="1"/>
      <c r="Y2064" s="1"/>
      <c r="Z2064" s="1"/>
    </row>
    <row r="2065" ht="18.0" hidden="1" customHeight="1" outlineLevel="2">
      <c r="A2065" s="1">
        <v>1.0</v>
      </c>
      <c r="B2065" s="26" t="s">
        <v>2169</v>
      </c>
      <c r="C2065" s="26" t="s">
        <v>29</v>
      </c>
      <c r="D2065" s="26" t="s">
        <v>29</v>
      </c>
      <c r="E2065" s="29" t="s">
        <v>33</v>
      </c>
      <c r="F2065" s="34" t="s">
        <v>29</v>
      </c>
      <c r="G2065" s="30">
        <v>60.0</v>
      </c>
      <c r="H2065" s="22" t="s">
        <v>2170</v>
      </c>
      <c r="I2065" s="7"/>
      <c r="J2065" s="7" t="str">
        <f>IFERROR(LET(_xlpm.v,
VLOOKUP($I2065,'用語辞書'!$A:$B,COLUMN('用語辞書'!B$1),FALSE),
IF(_xlpm.v=0,"",_xlpm.v)
),"")</f>
        <v/>
      </c>
      <c r="K2065" s="17"/>
      <c r="L2065" s="17" t="b">
        <f>IF(OR(COUNTIF('クラス'!$A$1:$A$1267,$B2065)&gt;0,$B2065="",$M2065=""),"",True)</f>
        <v>1</v>
      </c>
      <c r="M2065" s="1" t="str">
        <f t="shared" si="27"/>
        <v>存在しない</v>
      </c>
      <c r="N2065" s="1" t="s">
        <v>29</v>
      </c>
      <c r="O2065" s="1"/>
      <c r="P2065" s="11"/>
      <c r="Q2065" s="11"/>
      <c r="R2065" s="11"/>
      <c r="S2065" s="11"/>
      <c r="T2065" s="1"/>
      <c r="U2065" s="1"/>
      <c r="V2065" s="1"/>
      <c r="W2065" s="1"/>
      <c r="X2065" s="1"/>
      <c r="Y2065" s="1"/>
      <c r="Z2065" s="1"/>
    </row>
    <row r="2066" ht="18.0" hidden="1" customHeight="1" outlineLevel="2">
      <c r="A2066" s="1">
        <v>2.0</v>
      </c>
      <c r="B2066" s="26" t="s">
        <v>29</v>
      </c>
      <c r="C2066" s="1"/>
      <c r="D2066" s="1"/>
      <c r="E2066" s="14"/>
      <c r="F2066" s="15"/>
      <c r="G2066" s="16"/>
      <c r="H2066" s="11"/>
      <c r="I2066" s="7"/>
      <c r="J2066" s="7" t="str">
        <f>IFERROR(LET(_xlpm.v,
VLOOKUP($I2066,'用語辞書'!$A:$B,COLUMN('用語辞書'!B$1),FALSE),
IF(_xlpm.v=0,"",_xlpm.v)
),"")</f>
        <v/>
      </c>
      <c r="K2066" s="17"/>
      <c r="L2066" s="17" t="str">
        <f>IF(OR(COUNTIF('クラス'!$A$1:$A$1267,$B2066)&gt;0,$B2066="",$M2066=""),"",True)</f>
        <v/>
      </c>
      <c r="M2066" s="1" t="str">
        <f t="shared" si="27"/>
        <v/>
      </c>
      <c r="N2066" s="1" t="s">
        <v>29</v>
      </c>
      <c r="O2066" s="1"/>
      <c r="P2066" s="11"/>
      <c r="Q2066" s="11"/>
      <c r="R2066" s="11"/>
      <c r="S2066" s="11"/>
      <c r="T2066" s="1"/>
      <c r="U2066" s="1"/>
      <c r="V2066" s="1"/>
      <c r="W2066" s="1"/>
      <c r="X2066" s="1"/>
      <c r="Y2066" s="1"/>
      <c r="Z2066" s="1"/>
    </row>
    <row r="2067" ht="18.0" hidden="1" customHeight="1" outlineLevel="2">
      <c r="A2067" s="1">
        <v>3.0</v>
      </c>
      <c r="B2067" s="26" t="s">
        <v>2171</v>
      </c>
      <c r="C2067" s="26" t="s">
        <v>29</v>
      </c>
      <c r="D2067" s="26" t="s">
        <v>29</v>
      </c>
      <c r="E2067" s="29" t="s">
        <v>55</v>
      </c>
      <c r="F2067" s="34" t="s">
        <v>29</v>
      </c>
      <c r="G2067" s="30" t="s">
        <v>29</v>
      </c>
      <c r="H2067" s="22" t="s">
        <v>2172</v>
      </c>
      <c r="I2067" s="7"/>
      <c r="J2067" s="7" t="str">
        <f>IFERROR(LET(_xlpm.v,
VLOOKUP($I2067,'用語辞書'!$A:$B,COLUMN('用語辞書'!B$1),FALSE),
IF(_xlpm.v=0,"",_xlpm.v)
),"")</f>
        <v/>
      </c>
      <c r="K2067" s="17"/>
      <c r="L2067" s="17" t="b">
        <f>IF(OR(COUNTIF('クラス'!$A$1:$A$1267,$B2067)&gt;0,$B2067="",$M2067=""),"",True)</f>
        <v>1</v>
      </c>
      <c r="M2067" s="1" t="str">
        <f t="shared" si="27"/>
        <v>存在しない</v>
      </c>
      <c r="N2067" s="1" t="s">
        <v>29</v>
      </c>
      <c r="O2067" s="1"/>
      <c r="P2067" s="11"/>
      <c r="Q2067" s="11"/>
      <c r="R2067" s="11"/>
      <c r="S2067" s="11"/>
      <c r="T2067" s="1"/>
      <c r="U2067" s="1"/>
      <c r="V2067" s="1"/>
      <c r="W2067" s="1"/>
      <c r="X2067" s="1"/>
      <c r="Y2067" s="1"/>
      <c r="Z2067" s="1"/>
    </row>
    <row r="2068" ht="18.0" hidden="1" customHeight="1" outlineLevel="2">
      <c r="A2068" s="1">
        <v>4.0</v>
      </c>
      <c r="B2068" s="26" t="s">
        <v>29</v>
      </c>
      <c r="C2068" s="1"/>
      <c r="D2068" s="1"/>
      <c r="E2068" s="14"/>
      <c r="F2068" s="15"/>
      <c r="G2068" s="16"/>
      <c r="H2068" s="11"/>
      <c r="I2068" s="7"/>
      <c r="J2068" s="7" t="str">
        <f>IFERROR(LET(_xlpm.v,
VLOOKUP($I2068,'用語辞書'!$A:$B,COLUMN('用語辞書'!B$1),FALSE),
IF(_xlpm.v=0,"",_xlpm.v)
),"")</f>
        <v/>
      </c>
      <c r="K2068" s="17"/>
      <c r="L2068" s="17" t="str">
        <f>IF(OR(COUNTIF('クラス'!$A$1:$A$1267,$B2068)&gt;0,$B2068="",$M2068=""),"",True)</f>
        <v/>
      </c>
      <c r="M2068" s="1" t="str">
        <f t="shared" si="27"/>
        <v/>
      </c>
      <c r="N2068" s="1" t="s">
        <v>29</v>
      </c>
      <c r="O2068" s="1"/>
      <c r="P2068" s="11"/>
      <c r="Q2068" s="11"/>
      <c r="R2068" s="11"/>
      <c r="S2068" s="11"/>
      <c r="T2068" s="1"/>
      <c r="U2068" s="1"/>
      <c r="V2068" s="1"/>
      <c r="W2068" s="1"/>
      <c r="X2068" s="1"/>
      <c r="Y2068" s="1"/>
      <c r="Z2068" s="1"/>
    </row>
    <row r="2069" ht="18.0" hidden="1" customHeight="1" outlineLevel="2">
      <c r="A2069" s="1">
        <v>5.0</v>
      </c>
      <c r="B2069" s="26" t="s">
        <v>2173</v>
      </c>
      <c r="C2069" s="26" t="s">
        <v>29</v>
      </c>
      <c r="D2069" s="26" t="s">
        <v>29</v>
      </c>
      <c r="E2069" s="29" t="s">
        <v>33</v>
      </c>
      <c r="F2069" s="34" t="s">
        <v>29</v>
      </c>
      <c r="G2069" s="30">
        <v>60.0</v>
      </c>
      <c r="H2069" s="22" t="s">
        <v>2174</v>
      </c>
      <c r="I2069" s="7"/>
      <c r="J2069" s="7" t="str">
        <f>IFERROR(LET(_xlpm.v,
VLOOKUP($I2069,'用語辞書'!$A:$B,COLUMN('用語辞書'!B$1),FALSE),
IF(_xlpm.v=0,"",_xlpm.v)
),"")</f>
        <v/>
      </c>
      <c r="K2069" s="17"/>
      <c r="L2069" s="17" t="b">
        <f>IF(OR(COUNTIF('クラス'!$A$1:$A$1267,$B2069)&gt;0,$B2069="",$M2069=""),"",True)</f>
        <v>1</v>
      </c>
      <c r="M2069" s="1" t="str">
        <f t="shared" si="27"/>
        <v>存在しない</v>
      </c>
      <c r="N2069" s="1" t="s">
        <v>29</v>
      </c>
      <c r="O2069" s="1"/>
      <c r="P2069" s="11"/>
      <c r="Q2069" s="11"/>
      <c r="R2069" s="11"/>
      <c r="S2069" s="11"/>
      <c r="T2069" s="1"/>
      <c r="U2069" s="1"/>
      <c r="V2069" s="1"/>
      <c r="W2069" s="1"/>
      <c r="X2069" s="1"/>
      <c r="Y2069" s="1"/>
      <c r="Z2069" s="1"/>
    </row>
    <row r="2070" ht="18.0" hidden="1" customHeight="1" outlineLevel="2">
      <c r="A2070" s="1">
        <v>6.0</v>
      </c>
      <c r="B2070" s="26" t="s">
        <v>29</v>
      </c>
      <c r="C2070" s="1"/>
      <c r="D2070" s="1"/>
      <c r="E2070" s="14"/>
      <c r="F2070" s="15"/>
      <c r="G2070" s="16"/>
      <c r="H2070" s="11"/>
      <c r="I2070" s="7"/>
      <c r="J2070" s="7" t="str">
        <f>IFERROR(LET(_xlpm.v,
VLOOKUP($I2070,'用語辞書'!$A:$B,COLUMN('用語辞書'!B$1),FALSE),
IF(_xlpm.v=0,"",_xlpm.v)
),"")</f>
        <v/>
      </c>
      <c r="K2070" s="17"/>
      <c r="L2070" s="17" t="str">
        <f>IF(OR(COUNTIF('クラス'!$A$1:$A$1267,$B2070)&gt;0,$B2070="",$M2070=""),"",True)</f>
        <v/>
      </c>
      <c r="M2070" s="1" t="str">
        <f t="shared" si="27"/>
        <v/>
      </c>
      <c r="N2070" s="1" t="s">
        <v>29</v>
      </c>
      <c r="O2070" s="1"/>
      <c r="P2070" s="11"/>
      <c r="Q2070" s="11"/>
      <c r="R2070" s="11"/>
      <c r="S2070" s="11"/>
      <c r="T2070" s="1"/>
      <c r="U2070" s="1"/>
      <c r="V2070" s="1"/>
      <c r="W2070" s="1"/>
      <c r="X2070" s="1"/>
      <c r="Y2070" s="1"/>
      <c r="Z2070" s="1"/>
    </row>
    <row r="2071" ht="18.0" hidden="1" customHeight="1" outlineLevel="2">
      <c r="A2071" s="1">
        <v>7.0</v>
      </c>
      <c r="B2071" s="26" t="s">
        <v>2175</v>
      </c>
      <c r="C2071" s="26" t="s">
        <v>29</v>
      </c>
      <c r="D2071" s="26" t="s">
        <v>29</v>
      </c>
      <c r="E2071" s="29" t="s">
        <v>33</v>
      </c>
      <c r="F2071" s="34" t="s">
        <v>29</v>
      </c>
      <c r="G2071" s="30">
        <v>60.0</v>
      </c>
      <c r="H2071" s="22" t="s">
        <v>2176</v>
      </c>
      <c r="I2071" s="7"/>
      <c r="J2071" s="7" t="str">
        <f>IFERROR(LET(_xlpm.v,
VLOOKUP($I2071,'用語辞書'!$A:$B,COLUMN('用語辞書'!B$1),FALSE),
IF(_xlpm.v=0,"",_xlpm.v)
),"")</f>
        <v/>
      </c>
      <c r="K2071" s="17"/>
      <c r="L2071" s="17" t="b">
        <f>IF(OR(COUNTIF('クラス'!$A$1:$A$1267,$B2071)&gt;0,$B2071="",$M2071=""),"",True)</f>
        <v>1</v>
      </c>
      <c r="M2071" s="1" t="str">
        <f t="shared" si="27"/>
        <v>存在しない</v>
      </c>
      <c r="N2071" s="1" t="s">
        <v>29</v>
      </c>
      <c r="O2071" s="1"/>
      <c r="P2071" s="11"/>
      <c r="Q2071" s="11"/>
      <c r="R2071" s="11"/>
      <c r="S2071" s="11"/>
      <c r="T2071" s="1"/>
      <c r="U2071" s="1"/>
      <c r="V2071" s="1"/>
      <c r="W2071" s="1"/>
      <c r="X2071" s="1"/>
      <c r="Y2071" s="1"/>
      <c r="Z2071" s="1"/>
    </row>
    <row r="2072" ht="18.0" hidden="1" customHeight="1" outlineLevel="2">
      <c r="A2072" s="1">
        <v>8.0</v>
      </c>
      <c r="B2072" s="26" t="s">
        <v>29</v>
      </c>
      <c r="C2072" s="1"/>
      <c r="D2072" s="1"/>
      <c r="E2072" s="14"/>
      <c r="F2072" s="15"/>
      <c r="G2072" s="16"/>
      <c r="H2072" s="11"/>
      <c r="I2072" s="7"/>
      <c r="J2072" s="7" t="str">
        <f>IFERROR(LET(_xlpm.v,
VLOOKUP($I2072,'用語辞書'!$A:$B,COLUMN('用語辞書'!B$1),FALSE),
IF(_xlpm.v=0,"",_xlpm.v)
),"")</f>
        <v/>
      </c>
      <c r="K2072" s="17"/>
      <c r="L2072" s="17" t="str">
        <f>IF(OR(COUNTIF('クラス'!$A$1:$A$1267,$B2072)&gt;0,$B2072="",$M2072=""),"",True)</f>
        <v/>
      </c>
      <c r="M2072" s="1" t="str">
        <f t="shared" si="27"/>
        <v/>
      </c>
      <c r="N2072" s="1" t="s">
        <v>29</v>
      </c>
      <c r="O2072" s="1"/>
      <c r="P2072" s="11"/>
      <c r="Q2072" s="11"/>
      <c r="R2072" s="11"/>
      <c r="S2072" s="11"/>
      <c r="T2072" s="1"/>
      <c r="U2072" s="1"/>
      <c r="V2072" s="1"/>
      <c r="W2072" s="1"/>
      <c r="X2072" s="1"/>
      <c r="Y2072" s="1"/>
      <c r="Z2072" s="1"/>
    </row>
    <row r="2073" ht="18.0" hidden="1" customHeight="1" outlineLevel="2">
      <c r="A2073" s="1">
        <v>9.0</v>
      </c>
      <c r="B2073" s="26" t="s">
        <v>2177</v>
      </c>
      <c r="C2073" s="26" t="s">
        <v>29</v>
      </c>
      <c r="D2073" s="26" t="s">
        <v>29</v>
      </c>
      <c r="E2073" s="29" t="s">
        <v>55</v>
      </c>
      <c r="F2073" s="34" t="s">
        <v>29</v>
      </c>
      <c r="G2073" s="30" t="s">
        <v>29</v>
      </c>
      <c r="H2073" s="31" t="s">
        <v>2178</v>
      </c>
      <c r="I2073" s="7"/>
      <c r="J2073" s="7" t="str">
        <f>IFERROR(LET(_xlpm.v,
VLOOKUP($I2073,'用語辞書'!$A:$B,COLUMN('用語辞書'!B$1),FALSE),
IF(_xlpm.v=0,"",_xlpm.v)
),"")</f>
        <v/>
      </c>
      <c r="K2073" s="17"/>
      <c r="L2073" s="17" t="b">
        <f>IF(OR(COUNTIF('クラス'!$A$1:$A$1267,$B2073)&gt;0,$B2073="",$M2073=""),"",True)</f>
        <v>1</v>
      </c>
      <c r="M2073" s="1" t="str">
        <f t="shared" si="27"/>
        <v>存在しない</v>
      </c>
      <c r="N2073" s="1" t="s">
        <v>29</v>
      </c>
      <c r="O2073" s="1"/>
      <c r="P2073" s="11"/>
      <c r="Q2073" s="11"/>
      <c r="R2073" s="11"/>
      <c r="S2073" s="11"/>
      <c r="T2073" s="1"/>
      <c r="U2073" s="1"/>
      <c r="V2073" s="1"/>
      <c r="W2073" s="1"/>
      <c r="X2073" s="1"/>
      <c r="Y2073" s="1"/>
      <c r="Z2073" s="1"/>
    </row>
    <row r="2074" ht="18.0" hidden="1" customHeight="1" outlineLevel="2">
      <c r="A2074" s="1">
        <v>10.0</v>
      </c>
      <c r="B2074" s="26" t="s">
        <v>2179</v>
      </c>
      <c r="C2074" s="26" t="s">
        <v>29</v>
      </c>
      <c r="D2074" s="26" t="s">
        <v>29</v>
      </c>
      <c r="E2074" s="29" t="s">
        <v>33</v>
      </c>
      <c r="F2074" s="34" t="s">
        <v>29</v>
      </c>
      <c r="G2074" s="30">
        <v>60.0</v>
      </c>
      <c r="H2074" s="22" t="s">
        <v>2180</v>
      </c>
      <c r="I2074" s="7"/>
      <c r="J2074" s="7" t="str">
        <f>IFERROR(LET(_xlpm.v,
VLOOKUP($I2074,'用語辞書'!$A:$B,COLUMN('用語辞書'!B$1),FALSE),
IF(_xlpm.v=0,"",_xlpm.v)
),"")</f>
        <v/>
      </c>
      <c r="K2074" s="17"/>
      <c r="L2074" s="17" t="b">
        <f>IF(OR(COUNTIF('クラス'!$A$1:$A$1267,$B2074)&gt;0,$B2074="",$M2074=""),"",True)</f>
        <v>1</v>
      </c>
      <c r="M2074" s="1" t="str">
        <f t="shared" si="27"/>
        <v>存在しない</v>
      </c>
      <c r="N2074" s="1" t="s">
        <v>29</v>
      </c>
      <c r="O2074" s="1"/>
      <c r="P2074" s="11"/>
      <c r="Q2074" s="11"/>
      <c r="R2074" s="11"/>
      <c r="S2074" s="11"/>
      <c r="T2074" s="1"/>
      <c r="U2074" s="1"/>
      <c r="V2074" s="1"/>
      <c r="W2074" s="1"/>
      <c r="X2074" s="1"/>
      <c r="Y2074" s="1"/>
      <c r="Z2074" s="1"/>
    </row>
    <row r="2075" ht="18.0" customHeight="1" outlineLevel="1" collapsed="1">
      <c r="A2075" s="1"/>
      <c r="B2075" s="1"/>
      <c r="C2075" s="1"/>
      <c r="D2075" s="1"/>
      <c r="E2075" s="14"/>
      <c r="F2075" s="15"/>
      <c r="G2075" s="16"/>
      <c r="H2075" s="11"/>
      <c r="I2075" s="7"/>
      <c r="J2075" s="7" t="str">
        <f>IFERROR(LET(_xlpm.v,
VLOOKUP($I2075,'用語辞書'!$A:$B,COLUMN('用語辞書'!B$1),FALSE),
IF(_xlpm.v=0,"",_xlpm.v)
),"")</f>
        <v/>
      </c>
      <c r="K2075" s="17"/>
      <c r="L2075" s="17" t="str">
        <f>IF(OR(COUNTIF('クラス'!$A$1:$A$1267,$B2075)&gt;0,$B2075="",$M2075=""),"",True)</f>
        <v/>
      </c>
      <c r="M2075" s="1" t="str">
        <f t="shared" si="27"/>
        <v>存在しない</v>
      </c>
      <c r="N2075" s="1" t="s">
        <v>29</v>
      </c>
      <c r="O2075" s="1"/>
      <c r="P2075" s="11"/>
      <c r="Q2075" s="11"/>
      <c r="R2075" s="11"/>
      <c r="S2075" s="11"/>
      <c r="T2075" s="1"/>
      <c r="U2075" s="1"/>
      <c r="V2075" s="1"/>
      <c r="W2075" s="1"/>
      <c r="X2075" s="1"/>
      <c r="Y2075" s="1"/>
      <c r="Z2075" s="1"/>
    </row>
    <row r="2076" ht="18.0" customHeight="1" outlineLevel="1">
      <c r="A2076" s="1"/>
      <c r="B2076" s="26" t="s">
        <v>2181</v>
      </c>
      <c r="C2076" s="1"/>
      <c r="D2076" s="1"/>
      <c r="E2076" s="14"/>
      <c r="F2076" s="15"/>
      <c r="G2076" s="16"/>
      <c r="H2076" s="11"/>
      <c r="I2076" s="7"/>
      <c r="J2076" s="7" t="str">
        <f>IFERROR(LET(_xlpm.v,
VLOOKUP($I2076,'用語辞書'!$A:$B,COLUMN('用語辞書'!B$1),FALSE),
IF(_xlpm.v=0,"",_xlpm.v)
),"")</f>
        <v/>
      </c>
      <c r="K2076" s="17"/>
      <c r="L2076" s="17" t="str">
        <f>IF(OR(COUNTIF('クラス'!$A$1:$A$1267,$B2076)&gt;0,$B2076="",$M2076=""),"",True)</f>
        <v/>
      </c>
      <c r="M2076" s="1" t="str">
        <f t="shared" si="27"/>
        <v>存在しない</v>
      </c>
      <c r="N2076" s="1" t="s">
        <v>29</v>
      </c>
      <c r="O2076" s="1"/>
      <c r="P2076" s="11"/>
      <c r="Q2076" s="11"/>
      <c r="R2076" s="11"/>
      <c r="S2076" s="11"/>
      <c r="T2076" s="1"/>
      <c r="U2076" s="1"/>
      <c r="V2076" s="1"/>
      <c r="W2076" s="1"/>
      <c r="X2076" s="1"/>
      <c r="Y2076" s="1"/>
      <c r="Z2076" s="1"/>
    </row>
    <row r="2077" ht="18.0" hidden="1" customHeight="1" outlineLevel="2">
      <c r="A2077" s="1">
        <v>1.0</v>
      </c>
      <c r="B2077" s="26" t="s">
        <v>2182</v>
      </c>
      <c r="C2077" s="26" t="s">
        <v>29</v>
      </c>
      <c r="D2077" s="26" t="s">
        <v>29</v>
      </c>
      <c r="E2077" s="29" t="s">
        <v>33</v>
      </c>
      <c r="F2077" s="34" t="s">
        <v>29</v>
      </c>
      <c r="G2077" s="30">
        <v>30.0</v>
      </c>
      <c r="H2077" s="22" t="s">
        <v>2183</v>
      </c>
      <c r="I2077" s="7"/>
      <c r="J2077" s="7" t="str">
        <f>IFERROR(LET(_xlpm.v,
VLOOKUP($I2077,'用語辞書'!$A:$B,COLUMN('用語辞書'!B$1),FALSE),
IF(_xlpm.v=0,"",_xlpm.v)
),"")</f>
        <v/>
      </c>
      <c r="K2077" s="17"/>
      <c r="L2077" s="17" t="b">
        <f>IF(OR(COUNTIF('クラス'!$A$1:$A$1267,$B2077)&gt;0,$B2077="",$M2077=""),"",True)</f>
        <v>1</v>
      </c>
      <c r="M2077" s="1" t="str">
        <f t="shared" si="27"/>
        <v>存在しない</v>
      </c>
      <c r="N2077" s="1" t="s">
        <v>29</v>
      </c>
      <c r="O2077" s="1"/>
      <c r="P2077" s="11"/>
      <c r="Q2077" s="11"/>
      <c r="R2077" s="11"/>
      <c r="S2077" s="11"/>
      <c r="T2077" s="1"/>
      <c r="U2077" s="1"/>
      <c r="V2077" s="1"/>
      <c r="W2077" s="1"/>
      <c r="X2077" s="1"/>
      <c r="Y2077" s="1"/>
      <c r="Z2077" s="1"/>
    </row>
    <row r="2078" ht="18.0" hidden="1" customHeight="1" outlineLevel="2">
      <c r="A2078" s="1">
        <v>2.0</v>
      </c>
      <c r="B2078" s="26" t="s">
        <v>29</v>
      </c>
      <c r="C2078" s="1"/>
      <c r="D2078" s="1"/>
      <c r="E2078" s="14"/>
      <c r="F2078" s="15"/>
      <c r="G2078" s="16"/>
      <c r="H2078" s="11"/>
      <c r="I2078" s="7"/>
      <c r="J2078" s="7" t="str">
        <f>IFERROR(LET(_xlpm.v,
VLOOKUP($I2078,'用語辞書'!$A:$B,COLUMN('用語辞書'!B$1),FALSE),
IF(_xlpm.v=0,"",_xlpm.v)
),"")</f>
        <v/>
      </c>
      <c r="K2078" s="17"/>
      <c r="L2078" s="17" t="str">
        <f>IF(OR(COUNTIF('クラス'!$A$1:$A$1267,$B2078)&gt;0,$B2078="",$M2078=""),"",True)</f>
        <v/>
      </c>
      <c r="M2078" s="1" t="str">
        <f t="shared" si="27"/>
        <v/>
      </c>
      <c r="N2078" s="1" t="s">
        <v>29</v>
      </c>
      <c r="O2078" s="1"/>
      <c r="P2078" s="11"/>
      <c r="Q2078" s="11"/>
      <c r="R2078" s="11"/>
      <c r="S2078" s="11"/>
      <c r="T2078" s="1"/>
      <c r="U2078" s="1"/>
      <c r="V2078" s="1"/>
      <c r="W2078" s="1"/>
      <c r="X2078" s="1"/>
      <c r="Y2078" s="1"/>
      <c r="Z2078" s="1"/>
    </row>
    <row r="2079" ht="18.0" hidden="1" customHeight="1" outlineLevel="2">
      <c r="A2079" s="1">
        <v>3.0</v>
      </c>
      <c r="B2079" s="26" t="s">
        <v>2184</v>
      </c>
      <c r="C2079" s="26" t="s">
        <v>29</v>
      </c>
      <c r="D2079" s="26" t="s">
        <v>29</v>
      </c>
      <c r="E2079" s="29" t="s">
        <v>55</v>
      </c>
      <c r="F2079" s="34" t="s">
        <v>29</v>
      </c>
      <c r="G2079" s="30" t="s">
        <v>29</v>
      </c>
      <c r="H2079" s="22" t="s">
        <v>2185</v>
      </c>
      <c r="I2079" s="7"/>
      <c r="J2079" s="7" t="str">
        <f>IFERROR(LET(_xlpm.v,
VLOOKUP($I2079,'用語辞書'!$A:$B,COLUMN('用語辞書'!B$1),FALSE),
IF(_xlpm.v=0,"",_xlpm.v)
),"")</f>
        <v/>
      </c>
      <c r="K2079" s="17"/>
      <c r="L2079" s="17" t="b">
        <f>IF(OR(COUNTIF('クラス'!$A$1:$A$1267,$B2079)&gt;0,$B2079="",$M2079=""),"",True)</f>
        <v>1</v>
      </c>
      <c r="M2079" s="1" t="str">
        <f t="shared" si="27"/>
        <v>存在しない</v>
      </c>
      <c r="N2079" s="1" t="s">
        <v>29</v>
      </c>
      <c r="O2079" s="1"/>
      <c r="P2079" s="11"/>
      <c r="Q2079" s="11"/>
      <c r="R2079" s="11"/>
      <c r="S2079" s="11"/>
      <c r="T2079" s="1"/>
      <c r="U2079" s="1"/>
      <c r="V2079" s="1"/>
      <c r="W2079" s="1"/>
      <c r="X2079" s="1"/>
      <c r="Y2079" s="1"/>
      <c r="Z2079" s="1"/>
    </row>
    <row r="2080" ht="18.0" hidden="1" customHeight="1" outlineLevel="2">
      <c r="A2080" s="1">
        <v>4.0</v>
      </c>
      <c r="B2080" s="26" t="s">
        <v>29</v>
      </c>
      <c r="C2080" s="1"/>
      <c r="D2080" s="1"/>
      <c r="E2080" s="14"/>
      <c r="F2080" s="15"/>
      <c r="G2080" s="16"/>
      <c r="H2080" s="11"/>
      <c r="I2080" s="7"/>
      <c r="J2080" s="7" t="str">
        <f>IFERROR(LET(_xlpm.v,
VLOOKUP($I2080,'用語辞書'!$A:$B,COLUMN('用語辞書'!B$1),FALSE),
IF(_xlpm.v=0,"",_xlpm.v)
),"")</f>
        <v/>
      </c>
      <c r="K2080" s="17"/>
      <c r="L2080" s="17" t="str">
        <f>IF(OR(COUNTIF('クラス'!$A$1:$A$1267,$B2080)&gt;0,$B2080="",$M2080=""),"",True)</f>
        <v/>
      </c>
      <c r="M2080" s="1" t="str">
        <f t="shared" si="27"/>
        <v/>
      </c>
      <c r="N2080" s="1" t="s">
        <v>29</v>
      </c>
      <c r="O2080" s="1"/>
      <c r="P2080" s="11"/>
      <c r="Q2080" s="11"/>
      <c r="R2080" s="11"/>
      <c r="S2080" s="11"/>
      <c r="T2080" s="1"/>
      <c r="U2080" s="1"/>
      <c r="V2080" s="1"/>
      <c r="W2080" s="1"/>
      <c r="X2080" s="1"/>
      <c r="Y2080" s="1"/>
      <c r="Z2080" s="1"/>
    </row>
    <row r="2081" ht="18.0" hidden="1" customHeight="1" outlineLevel="2">
      <c r="A2081" s="1">
        <v>5.0</v>
      </c>
      <c r="B2081" s="26" t="s">
        <v>2186</v>
      </c>
      <c r="C2081" s="26" t="s">
        <v>29</v>
      </c>
      <c r="D2081" s="26" t="s">
        <v>29</v>
      </c>
      <c r="E2081" s="29" t="s">
        <v>33</v>
      </c>
      <c r="F2081" s="34" t="s">
        <v>29</v>
      </c>
      <c r="G2081" s="30">
        <v>40.0</v>
      </c>
      <c r="H2081" s="22" t="s">
        <v>2187</v>
      </c>
      <c r="I2081" s="7"/>
      <c r="J2081" s="7" t="str">
        <f>IFERROR(LET(_xlpm.v,
VLOOKUP($I2081,'用語辞書'!$A:$B,COLUMN('用語辞書'!B$1),FALSE),
IF(_xlpm.v=0,"",_xlpm.v)
),"")</f>
        <v/>
      </c>
      <c r="K2081" s="17"/>
      <c r="L2081" s="17" t="b">
        <f>IF(OR(COUNTIF('クラス'!$A$1:$A$1267,$B2081)&gt;0,$B2081="",$M2081=""),"",True)</f>
        <v>1</v>
      </c>
      <c r="M2081" s="1" t="str">
        <f t="shared" si="27"/>
        <v>存在しない</v>
      </c>
      <c r="N2081" s="1" t="s">
        <v>29</v>
      </c>
      <c r="O2081" s="1"/>
      <c r="P2081" s="11"/>
      <c r="Q2081" s="11"/>
      <c r="R2081" s="11"/>
      <c r="S2081" s="11"/>
      <c r="T2081" s="1"/>
      <c r="U2081" s="1"/>
      <c r="V2081" s="1"/>
      <c r="W2081" s="1"/>
      <c r="X2081" s="1"/>
      <c r="Y2081" s="1"/>
      <c r="Z2081" s="1"/>
    </row>
    <row r="2082" ht="18.0" hidden="1" customHeight="1" outlineLevel="2">
      <c r="A2082" s="1">
        <v>6.0</v>
      </c>
      <c r="B2082" s="26" t="s">
        <v>29</v>
      </c>
      <c r="C2082" s="1"/>
      <c r="D2082" s="1"/>
      <c r="E2082" s="14"/>
      <c r="F2082" s="15"/>
      <c r="G2082" s="16"/>
      <c r="H2082" s="11"/>
      <c r="I2082" s="7"/>
      <c r="J2082" s="7" t="str">
        <f>IFERROR(LET(_xlpm.v,
VLOOKUP($I2082,'用語辞書'!$A:$B,COLUMN('用語辞書'!B$1),FALSE),
IF(_xlpm.v=0,"",_xlpm.v)
),"")</f>
        <v/>
      </c>
      <c r="K2082" s="17"/>
      <c r="L2082" s="17" t="str">
        <f>IF(OR(COUNTIF('クラス'!$A$1:$A$1267,$B2082)&gt;0,$B2082="",$M2082=""),"",True)</f>
        <v/>
      </c>
      <c r="M2082" s="1" t="str">
        <f t="shared" si="27"/>
        <v/>
      </c>
      <c r="N2082" s="1" t="s">
        <v>29</v>
      </c>
      <c r="O2082" s="1"/>
      <c r="P2082" s="11"/>
      <c r="Q2082" s="11"/>
      <c r="R2082" s="11"/>
      <c r="S2082" s="11"/>
      <c r="T2082" s="1"/>
      <c r="U2082" s="1"/>
      <c r="V2082" s="1"/>
      <c r="W2082" s="1"/>
      <c r="X2082" s="1"/>
      <c r="Y2082" s="1"/>
      <c r="Z2082" s="1"/>
    </row>
    <row r="2083" ht="18.0" hidden="1" customHeight="1" outlineLevel="2">
      <c r="A2083" s="1">
        <v>7.0</v>
      </c>
      <c r="B2083" s="26" t="s">
        <v>2188</v>
      </c>
      <c r="C2083" s="26" t="s">
        <v>29</v>
      </c>
      <c r="D2083" s="26" t="s">
        <v>29</v>
      </c>
      <c r="E2083" s="29" t="s">
        <v>33</v>
      </c>
      <c r="F2083" s="34" t="s">
        <v>29</v>
      </c>
      <c r="G2083" s="30">
        <v>30.0</v>
      </c>
      <c r="H2083" s="22" t="s">
        <v>2189</v>
      </c>
      <c r="I2083" s="7"/>
      <c r="J2083" s="7" t="str">
        <f>IFERROR(LET(_xlpm.v,
VLOOKUP($I2083,'用語辞書'!$A:$B,COLUMN('用語辞書'!B$1),FALSE),
IF(_xlpm.v=0,"",_xlpm.v)
),"")</f>
        <v/>
      </c>
      <c r="K2083" s="17"/>
      <c r="L2083" s="17" t="b">
        <f>IF(OR(COUNTIF('クラス'!$A$1:$A$1267,$B2083)&gt;0,$B2083="",$M2083=""),"",True)</f>
        <v>1</v>
      </c>
      <c r="M2083" s="1" t="str">
        <f t="shared" si="27"/>
        <v>存在しない</v>
      </c>
      <c r="N2083" s="1" t="s">
        <v>29</v>
      </c>
      <c r="O2083" s="1"/>
      <c r="P2083" s="11"/>
      <c r="Q2083" s="11"/>
      <c r="R2083" s="11"/>
      <c r="S2083" s="11"/>
      <c r="T2083" s="1"/>
      <c r="U2083" s="1"/>
      <c r="V2083" s="1"/>
      <c r="W2083" s="1"/>
      <c r="X2083" s="1"/>
      <c r="Y2083" s="1"/>
      <c r="Z2083" s="1"/>
    </row>
    <row r="2084" ht="18.0" hidden="1" customHeight="1" outlineLevel="2">
      <c r="A2084" s="1">
        <v>8.0</v>
      </c>
      <c r="B2084" s="26" t="s">
        <v>29</v>
      </c>
      <c r="C2084" s="1"/>
      <c r="D2084" s="1"/>
      <c r="E2084" s="14"/>
      <c r="F2084" s="15"/>
      <c r="G2084" s="16"/>
      <c r="H2084" s="11"/>
      <c r="I2084" s="7"/>
      <c r="J2084" s="7" t="str">
        <f>IFERROR(LET(_xlpm.v,
VLOOKUP($I2084,'用語辞書'!$A:$B,COLUMN('用語辞書'!B$1),FALSE),
IF(_xlpm.v=0,"",_xlpm.v)
),"")</f>
        <v/>
      </c>
      <c r="K2084" s="17"/>
      <c r="L2084" s="17" t="str">
        <f>IF(OR(COUNTIF('クラス'!$A$1:$A$1267,$B2084)&gt;0,$B2084="",$M2084=""),"",True)</f>
        <v/>
      </c>
      <c r="M2084" s="1" t="str">
        <f t="shared" si="27"/>
        <v/>
      </c>
      <c r="N2084" s="1" t="s">
        <v>29</v>
      </c>
      <c r="O2084" s="1"/>
      <c r="P2084" s="11"/>
      <c r="Q2084" s="11"/>
      <c r="R2084" s="11"/>
      <c r="S2084" s="11"/>
      <c r="T2084" s="1"/>
      <c r="U2084" s="1"/>
      <c r="V2084" s="1"/>
      <c r="W2084" s="1"/>
      <c r="X2084" s="1"/>
      <c r="Y2084" s="1"/>
      <c r="Z2084" s="1"/>
    </row>
    <row r="2085" ht="18.0" hidden="1" customHeight="1" outlineLevel="2">
      <c r="A2085" s="1">
        <v>9.0</v>
      </c>
      <c r="B2085" s="26" t="s">
        <v>2190</v>
      </c>
      <c r="C2085" s="26" t="s">
        <v>29</v>
      </c>
      <c r="D2085" s="26" t="s">
        <v>29</v>
      </c>
      <c r="E2085" s="29" t="s">
        <v>55</v>
      </c>
      <c r="F2085" s="34" t="s">
        <v>29</v>
      </c>
      <c r="G2085" s="30" t="s">
        <v>29</v>
      </c>
      <c r="H2085" s="22" t="s">
        <v>2191</v>
      </c>
      <c r="I2085" s="7"/>
      <c r="J2085" s="7" t="str">
        <f>IFERROR(LET(_xlpm.v,
VLOOKUP($I2085,'用語辞書'!$A:$B,COLUMN('用語辞書'!B$1),FALSE),
IF(_xlpm.v=0,"",_xlpm.v)
),"")</f>
        <v/>
      </c>
      <c r="K2085" s="17"/>
      <c r="L2085" s="17" t="b">
        <f>IF(OR(COUNTIF('クラス'!$A$1:$A$1267,$B2085)&gt;0,$B2085="",$M2085=""),"",True)</f>
        <v>1</v>
      </c>
      <c r="M2085" s="1" t="str">
        <f t="shared" si="27"/>
        <v>存在しない</v>
      </c>
      <c r="N2085" s="1" t="s">
        <v>29</v>
      </c>
      <c r="O2085" s="1"/>
      <c r="P2085" s="11"/>
      <c r="Q2085" s="11"/>
      <c r="R2085" s="11"/>
      <c r="S2085" s="11"/>
      <c r="T2085" s="1"/>
      <c r="U2085" s="1"/>
      <c r="V2085" s="1"/>
      <c r="W2085" s="1"/>
      <c r="X2085" s="1"/>
      <c r="Y2085" s="1"/>
      <c r="Z2085" s="1"/>
    </row>
    <row r="2086" ht="18.0" hidden="1" customHeight="1" outlineLevel="2">
      <c r="A2086" s="1">
        <v>10.0</v>
      </c>
      <c r="B2086" s="26" t="s">
        <v>2192</v>
      </c>
      <c r="C2086" s="26" t="s">
        <v>29</v>
      </c>
      <c r="D2086" s="26" t="s">
        <v>29</v>
      </c>
      <c r="E2086" s="29" t="s">
        <v>33</v>
      </c>
      <c r="F2086" s="34" t="s">
        <v>29</v>
      </c>
      <c r="G2086" s="30">
        <v>60.0</v>
      </c>
      <c r="H2086" s="22" t="s">
        <v>2193</v>
      </c>
      <c r="I2086" s="7"/>
      <c r="J2086" s="7" t="str">
        <f>IFERROR(LET(_xlpm.v,
VLOOKUP($I2086,'用語辞書'!$A:$B,COLUMN('用語辞書'!B$1),FALSE),
IF(_xlpm.v=0,"",_xlpm.v)
),"")</f>
        <v/>
      </c>
      <c r="K2086" s="17"/>
      <c r="L2086" s="17" t="b">
        <f>IF(OR(COUNTIF('クラス'!$A$1:$A$1267,$B2086)&gt;0,$B2086="",$M2086=""),"",True)</f>
        <v>1</v>
      </c>
      <c r="M2086" s="1" t="str">
        <f t="shared" si="27"/>
        <v>存在しない</v>
      </c>
      <c r="N2086" s="1" t="s">
        <v>29</v>
      </c>
      <c r="O2086" s="1"/>
      <c r="P2086" s="11"/>
      <c r="Q2086" s="11"/>
      <c r="R2086" s="11"/>
      <c r="S2086" s="11"/>
      <c r="T2086" s="1"/>
      <c r="U2086" s="1"/>
      <c r="V2086" s="1"/>
      <c r="W2086" s="1"/>
      <c r="X2086" s="1"/>
      <c r="Y2086" s="1"/>
      <c r="Z2086" s="1"/>
    </row>
    <row r="2087" ht="18.0" customHeight="1">
      <c r="A2087" s="1"/>
      <c r="B2087" s="1"/>
      <c r="C2087" s="26" t="s">
        <v>2194</v>
      </c>
      <c r="D2087" s="1"/>
      <c r="E2087" s="14"/>
      <c r="F2087" s="15"/>
      <c r="G2087" s="16"/>
      <c r="H2087" s="11"/>
      <c r="I2087" s="7"/>
      <c r="J2087" s="7" t="str">
        <f>IFERROR(LET(_xlpm.v,
VLOOKUP($I2087,'用語辞書'!$A:$B,COLUMN('用語辞書'!B$1),FALSE),
IF(_xlpm.v=0,"",_xlpm.v)
),"")</f>
        <v/>
      </c>
      <c r="K2087" s="17"/>
      <c r="L2087" s="17" t="str">
        <f>IF(OR(COUNTIF('クラス'!$A$1:$A$1267,$B2087)&gt;0,$B2087="",$M2087=""),"",True)</f>
        <v/>
      </c>
      <c r="M2087" s="1" t="str">
        <f t="shared" si="27"/>
        <v>存在しない</v>
      </c>
      <c r="N2087" s="1" t="s">
        <v>29</v>
      </c>
      <c r="O2087" s="1"/>
      <c r="P2087" s="11"/>
      <c r="Q2087" s="11"/>
      <c r="R2087" s="11"/>
      <c r="S2087" s="11"/>
      <c r="T2087" s="1"/>
      <c r="U2087" s="1"/>
      <c r="V2087" s="1"/>
      <c r="W2087" s="1"/>
      <c r="X2087" s="1"/>
      <c r="Y2087" s="1"/>
      <c r="Z2087" s="1"/>
    </row>
    <row r="2088" ht="18.0" customHeight="1" outlineLevel="1">
      <c r="A2088" s="1"/>
      <c r="B2088" s="26" t="s">
        <v>2195</v>
      </c>
      <c r="C2088" s="1"/>
      <c r="D2088" s="1"/>
      <c r="E2088" s="14"/>
      <c r="F2088" s="15"/>
      <c r="G2088" s="16"/>
      <c r="H2088" s="11"/>
      <c r="I2088" s="7"/>
      <c r="J2088" s="7" t="str">
        <f>IFERROR(LET(_xlpm.v,
VLOOKUP($I2088,'用語辞書'!$A:$B,COLUMN('用語辞書'!B$1),FALSE),
IF(_xlpm.v=0,"",_xlpm.v)
),"")</f>
        <v/>
      </c>
      <c r="K2088" s="17"/>
      <c r="L2088" s="17" t="str">
        <f>IF(OR(COUNTIF('クラス'!$A$1:$A$1267,$B2088)&gt;0,$B2088="",$M2088=""),"",True)</f>
        <v/>
      </c>
      <c r="M2088" s="1" t="str">
        <f t="shared" si="27"/>
        <v>存在しない</v>
      </c>
      <c r="N2088" s="1" t="s">
        <v>29</v>
      </c>
      <c r="O2088" s="1"/>
      <c r="P2088" s="11"/>
      <c r="Q2088" s="11"/>
      <c r="R2088" s="11"/>
      <c r="S2088" s="11"/>
      <c r="T2088" s="1"/>
      <c r="U2088" s="1"/>
      <c r="V2088" s="1"/>
      <c r="W2088" s="1"/>
      <c r="X2088" s="1"/>
      <c r="Y2088" s="1"/>
      <c r="Z2088" s="1"/>
    </row>
    <row r="2089" ht="18.0" hidden="1" customHeight="1" outlineLevel="2">
      <c r="A2089" s="1">
        <v>1.0</v>
      </c>
      <c r="B2089" s="26" t="s">
        <v>2196</v>
      </c>
      <c r="C2089" s="1"/>
      <c r="D2089" s="26" t="s">
        <v>284</v>
      </c>
      <c r="E2089" s="29" t="s">
        <v>33</v>
      </c>
      <c r="F2089" s="15"/>
      <c r="G2089" s="30">
        <v>60.0</v>
      </c>
      <c r="H2089" s="22" t="s">
        <v>2197</v>
      </c>
      <c r="I2089" s="7"/>
      <c r="J2089" s="7" t="str">
        <f>IFERROR(LET(_xlpm.v,
VLOOKUP($I2089,'用語辞書'!$A:$B,COLUMN('用語辞書'!B$1),FALSE),
IF(_xlpm.v=0,"",_xlpm.v)
),"")</f>
        <v/>
      </c>
      <c r="K2089" s="17"/>
      <c r="L2089" s="17" t="b">
        <f>IF(OR(COUNTIF('クラス'!$A$1:$A$1267,$B2089)&gt;0,$B2089="",$M2089=""),"",True)</f>
        <v>1</v>
      </c>
      <c r="M2089" s="1" t="str">
        <f t="shared" si="27"/>
        <v>存在しない</v>
      </c>
      <c r="N2089" s="1" t="s">
        <v>29</v>
      </c>
      <c r="O2089" s="1"/>
      <c r="P2089" s="11"/>
      <c r="Q2089" s="11"/>
      <c r="R2089" s="11"/>
      <c r="S2089" s="11"/>
      <c r="T2089" s="1"/>
      <c r="U2089" s="1"/>
      <c r="V2089" s="1"/>
      <c r="W2089" s="1"/>
      <c r="X2089" s="1"/>
      <c r="Y2089" s="1"/>
      <c r="Z2089" s="1"/>
    </row>
    <row r="2090" ht="18.0" hidden="1" customHeight="1" outlineLevel="2">
      <c r="A2090" s="1">
        <v>2.0</v>
      </c>
      <c r="B2090" s="1"/>
      <c r="C2090" s="1"/>
      <c r="D2090" s="1"/>
      <c r="E2090" s="14"/>
      <c r="F2090" s="15"/>
      <c r="G2090" s="16"/>
      <c r="H2090" s="11"/>
      <c r="I2090" s="7"/>
      <c r="J2090" s="7" t="str">
        <f>IFERROR(LET(_xlpm.v,
VLOOKUP($I2090,'用語辞書'!$A:$B,COLUMN('用語辞書'!B$1),FALSE),
IF(_xlpm.v=0,"",_xlpm.v)
),"")</f>
        <v/>
      </c>
      <c r="K2090" s="17"/>
      <c r="L2090" s="17" t="str">
        <f>IF(OR(COUNTIF('クラス'!$A$1:$A$1267,$B2090)&gt;0,$B2090="",$M2090=""),"",True)</f>
        <v/>
      </c>
      <c r="M2090" s="1" t="str">
        <f t="shared" si="27"/>
        <v>存在しない</v>
      </c>
      <c r="N2090" s="1" t="s">
        <v>29</v>
      </c>
      <c r="O2090" s="1"/>
      <c r="P2090" s="11"/>
      <c r="Q2090" s="11"/>
      <c r="R2090" s="11"/>
      <c r="S2090" s="11"/>
      <c r="T2090" s="1"/>
      <c r="U2090" s="1"/>
      <c r="V2090" s="1"/>
      <c r="W2090" s="1"/>
      <c r="X2090" s="1"/>
      <c r="Y2090" s="1"/>
      <c r="Z2090" s="1"/>
    </row>
    <row r="2091" ht="18.0" hidden="1" customHeight="1" outlineLevel="2">
      <c r="A2091" s="1">
        <v>3.0</v>
      </c>
      <c r="B2091" s="26" t="s">
        <v>282</v>
      </c>
      <c r="C2091" s="1"/>
      <c r="D2091" s="1"/>
      <c r="E2091" s="14"/>
      <c r="F2091" s="15"/>
      <c r="G2091" s="16"/>
      <c r="H2091" s="11"/>
      <c r="I2091" s="7"/>
      <c r="J2091" s="7" t="str">
        <f>IFERROR(LET(_xlpm.v,
VLOOKUP($I2091,'用語辞書'!$A:$B,COLUMN('用語辞書'!B$1),FALSE),
IF(_xlpm.v=0,"",_xlpm.v)
),"")</f>
        <v/>
      </c>
      <c r="K2091" s="17"/>
      <c r="L2091" s="17" t="str">
        <f>IF(OR(COUNTIF('クラス'!$A$1:$A$1267,$B2091)&gt;0,$B2091="",$M2091=""),"",True)</f>
        <v/>
      </c>
      <c r="M2091" s="1" t="str">
        <f t="shared" si="27"/>
        <v/>
      </c>
      <c r="N2091" s="1" t="s">
        <v>29</v>
      </c>
      <c r="O2091" s="1"/>
      <c r="P2091" s="11"/>
      <c r="Q2091" s="11"/>
      <c r="R2091" s="11"/>
      <c r="S2091" s="11"/>
      <c r="T2091" s="1"/>
      <c r="U2091" s="1"/>
      <c r="V2091" s="1"/>
      <c r="W2091" s="1"/>
      <c r="X2091" s="1"/>
      <c r="Y2091" s="1"/>
      <c r="Z2091" s="1"/>
    </row>
    <row r="2092" ht="18.0" hidden="1" customHeight="1" outlineLevel="2">
      <c r="A2092" s="1">
        <v>4.0</v>
      </c>
      <c r="B2092" s="1"/>
      <c r="C2092" s="1"/>
      <c r="D2092" s="1"/>
      <c r="E2092" s="14"/>
      <c r="F2092" s="15"/>
      <c r="G2092" s="16"/>
      <c r="H2092" s="11"/>
      <c r="I2092" s="7"/>
      <c r="J2092" s="7" t="str">
        <f>IFERROR(LET(_xlpm.v,
VLOOKUP($I2092,'用語辞書'!$A:$B,COLUMN('用語辞書'!B$1),FALSE),
IF(_xlpm.v=0,"",_xlpm.v)
),"")</f>
        <v/>
      </c>
      <c r="K2092" s="17"/>
      <c r="L2092" s="17" t="str">
        <f>IF(OR(COUNTIF('クラス'!$A$1:$A$1267,$B2092)&gt;0,$B2092="",$M2092=""),"",True)</f>
        <v/>
      </c>
      <c r="M2092" s="1" t="str">
        <f t="shared" si="27"/>
        <v>存在しない</v>
      </c>
      <c r="N2092" s="1" t="s">
        <v>29</v>
      </c>
      <c r="O2092" s="1"/>
      <c r="P2092" s="11"/>
      <c r="Q2092" s="11"/>
      <c r="R2092" s="11"/>
      <c r="S2092" s="11"/>
      <c r="T2092" s="1"/>
      <c r="U2092" s="1"/>
      <c r="V2092" s="1"/>
      <c r="W2092" s="1"/>
      <c r="X2092" s="1"/>
      <c r="Y2092" s="1"/>
      <c r="Z2092" s="1"/>
    </row>
    <row r="2093" ht="18.0" hidden="1" customHeight="1" outlineLevel="2">
      <c r="A2093" s="1">
        <v>5.0</v>
      </c>
      <c r="B2093" s="26" t="s">
        <v>2198</v>
      </c>
      <c r="C2093" s="1"/>
      <c r="D2093" s="1"/>
      <c r="E2093" s="14"/>
      <c r="F2093" s="15"/>
      <c r="G2093" s="16"/>
      <c r="H2093" s="11"/>
      <c r="I2093" s="7"/>
      <c r="J2093" s="7" t="str">
        <f>IFERROR(LET(_xlpm.v,
VLOOKUP($I2093,'用語辞書'!$A:$B,COLUMN('用語辞書'!B$1),FALSE),
IF(_xlpm.v=0,"",_xlpm.v)
),"")</f>
        <v/>
      </c>
      <c r="K2093" s="17"/>
      <c r="L2093" s="17" t="str">
        <f>IF(OR(COUNTIF('クラス'!$A$1:$A$1267,$B2093)&gt;0,$B2093="",$M2093=""),"",True)</f>
        <v/>
      </c>
      <c r="M2093" s="1" t="str">
        <f t="shared" si="27"/>
        <v/>
      </c>
      <c r="N2093" s="1" t="s">
        <v>29</v>
      </c>
      <c r="O2093" s="1"/>
      <c r="P2093" s="11"/>
      <c r="Q2093" s="11"/>
      <c r="R2093" s="11"/>
      <c r="S2093" s="11"/>
      <c r="T2093" s="1"/>
      <c r="U2093" s="1"/>
      <c r="V2093" s="1"/>
      <c r="W2093" s="1"/>
      <c r="X2093" s="1"/>
      <c r="Y2093" s="1"/>
      <c r="Z2093" s="1"/>
    </row>
    <row r="2094" ht="18.0" hidden="1" customHeight="1" outlineLevel="2">
      <c r="A2094" s="1">
        <v>6.0</v>
      </c>
      <c r="B2094" s="1"/>
      <c r="C2094" s="1"/>
      <c r="D2094" s="1"/>
      <c r="E2094" s="14"/>
      <c r="F2094" s="15"/>
      <c r="G2094" s="16"/>
      <c r="H2094" s="11"/>
      <c r="I2094" s="7"/>
      <c r="J2094" s="7" t="str">
        <f>IFERROR(LET(_xlpm.v,
VLOOKUP($I2094,'用語辞書'!$A:$B,COLUMN('用語辞書'!B$1),FALSE),
IF(_xlpm.v=0,"",_xlpm.v)
),"")</f>
        <v/>
      </c>
      <c r="K2094" s="17"/>
      <c r="L2094" s="17" t="str">
        <f>IF(OR(COUNTIF('クラス'!$A$1:$A$1267,$B2094)&gt;0,$B2094="",$M2094=""),"",True)</f>
        <v/>
      </c>
      <c r="M2094" s="1" t="str">
        <f t="shared" si="27"/>
        <v>存在しない</v>
      </c>
      <c r="N2094" s="1" t="s">
        <v>29</v>
      </c>
      <c r="O2094" s="1"/>
      <c r="P2094" s="11"/>
      <c r="Q2094" s="11"/>
      <c r="R2094" s="11"/>
      <c r="S2094" s="11"/>
      <c r="T2094" s="1"/>
      <c r="U2094" s="1"/>
      <c r="V2094" s="1"/>
      <c r="W2094" s="1"/>
      <c r="X2094" s="1"/>
      <c r="Y2094" s="1"/>
      <c r="Z2094" s="1"/>
    </row>
    <row r="2095" ht="18.0" hidden="1" customHeight="1" outlineLevel="2">
      <c r="A2095" s="1">
        <v>7.0</v>
      </c>
      <c r="B2095" s="26" t="s">
        <v>297</v>
      </c>
      <c r="C2095" s="1"/>
      <c r="D2095" s="1"/>
      <c r="E2095" s="14"/>
      <c r="F2095" s="15"/>
      <c r="G2095" s="16"/>
      <c r="H2095" s="11"/>
      <c r="I2095" s="7"/>
      <c r="J2095" s="7" t="str">
        <f>IFERROR(LET(_xlpm.v,
VLOOKUP($I2095,'用語辞書'!$A:$B,COLUMN('用語辞書'!B$1),FALSE),
IF(_xlpm.v=0,"",_xlpm.v)
),"")</f>
        <v/>
      </c>
      <c r="K2095" s="17"/>
      <c r="L2095" s="17" t="str">
        <f>IF(OR(COUNTIF('クラス'!$A$1:$A$1267,$B2095)&gt;0,$B2095="",$M2095=""),"",True)</f>
        <v/>
      </c>
      <c r="M2095" s="1" t="str">
        <f t="shared" si="27"/>
        <v/>
      </c>
      <c r="N2095" s="1" t="s">
        <v>29</v>
      </c>
      <c r="O2095" s="1"/>
      <c r="P2095" s="11"/>
      <c r="Q2095" s="11"/>
      <c r="R2095" s="11"/>
      <c r="S2095" s="11"/>
      <c r="T2095" s="1"/>
      <c r="U2095" s="1"/>
      <c r="V2095" s="1"/>
      <c r="W2095" s="1"/>
      <c r="X2095" s="1"/>
      <c r="Y2095" s="1"/>
      <c r="Z2095" s="1"/>
    </row>
    <row r="2096" ht="18.0" hidden="1" customHeight="1" outlineLevel="2">
      <c r="A2096" s="1">
        <v>8.0</v>
      </c>
      <c r="B2096" s="1"/>
      <c r="C2096" s="1"/>
      <c r="D2096" s="1"/>
      <c r="E2096" s="14"/>
      <c r="F2096" s="15"/>
      <c r="G2096" s="16"/>
      <c r="H2096" s="11"/>
      <c r="I2096" s="7"/>
      <c r="J2096" s="7" t="str">
        <f>IFERROR(LET(_xlpm.v,
VLOOKUP($I2096,'用語辞書'!$A:$B,COLUMN('用語辞書'!B$1),FALSE),
IF(_xlpm.v=0,"",_xlpm.v)
),"")</f>
        <v/>
      </c>
      <c r="K2096" s="17"/>
      <c r="L2096" s="17" t="str">
        <f>IF(OR(COUNTIF('クラス'!$A$1:$A$1267,$B2096)&gt;0,$B2096="",$M2096=""),"",True)</f>
        <v/>
      </c>
      <c r="M2096" s="1" t="str">
        <f t="shared" si="27"/>
        <v>存在しない</v>
      </c>
      <c r="N2096" s="1" t="s">
        <v>29</v>
      </c>
      <c r="O2096" s="1"/>
      <c r="P2096" s="11"/>
      <c r="Q2096" s="11"/>
      <c r="R2096" s="11"/>
      <c r="S2096" s="11"/>
      <c r="T2096" s="1"/>
      <c r="U2096" s="1"/>
      <c r="V2096" s="1"/>
      <c r="W2096" s="1"/>
      <c r="X2096" s="1"/>
      <c r="Y2096" s="1"/>
      <c r="Z2096" s="1"/>
    </row>
    <row r="2097" ht="18.0" hidden="1" customHeight="1" outlineLevel="2">
      <c r="A2097" s="1">
        <v>9.0</v>
      </c>
      <c r="B2097" s="26" t="s">
        <v>2199</v>
      </c>
      <c r="C2097" s="1"/>
      <c r="D2097" s="1"/>
      <c r="E2097" s="14"/>
      <c r="F2097" s="15"/>
      <c r="G2097" s="16"/>
      <c r="H2097" s="11"/>
      <c r="I2097" s="7"/>
      <c r="J2097" s="7" t="str">
        <f>IFERROR(LET(_xlpm.v,
VLOOKUP($I2097,'用語辞書'!$A:$B,COLUMN('用語辞書'!B$1),FALSE),
IF(_xlpm.v=0,"",_xlpm.v)
),"")</f>
        <v/>
      </c>
      <c r="K2097" s="17"/>
      <c r="L2097" s="17" t="str">
        <f>IF(OR(COUNTIF('クラス'!$A$1:$A$1267,$B2097)&gt;0,$B2097="",$M2097=""),"",True)</f>
        <v/>
      </c>
      <c r="M2097" s="1" t="str">
        <f t="shared" si="27"/>
        <v/>
      </c>
      <c r="N2097" s="1" t="s">
        <v>29</v>
      </c>
      <c r="O2097" s="1"/>
      <c r="P2097" s="11"/>
      <c r="Q2097" s="11"/>
      <c r="R2097" s="11"/>
      <c r="S2097" s="11"/>
      <c r="T2097" s="1"/>
      <c r="U2097" s="1"/>
      <c r="V2097" s="1"/>
      <c r="W2097" s="1"/>
      <c r="X2097" s="1"/>
      <c r="Y2097" s="1"/>
      <c r="Z2097" s="1"/>
    </row>
    <row r="2098" ht="18.0" hidden="1" customHeight="1" outlineLevel="2">
      <c r="A2098" s="1">
        <v>10.0</v>
      </c>
      <c r="B2098" s="26" t="s">
        <v>2200</v>
      </c>
      <c r="C2098" s="1"/>
      <c r="D2098" s="26" t="s">
        <v>284</v>
      </c>
      <c r="E2098" s="29" t="s">
        <v>33</v>
      </c>
      <c r="F2098" s="15"/>
      <c r="G2098" s="30">
        <v>60.0</v>
      </c>
      <c r="H2098" s="22" t="s">
        <v>2201</v>
      </c>
      <c r="I2098" s="7"/>
      <c r="J2098" s="7" t="str">
        <f>IFERROR(LET(_xlpm.v,
VLOOKUP($I2098,'用語辞書'!$A:$B,COLUMN('用語辞書'!B$1),FALSE),
IF(_xlpm.v=0,"",_xlpm.v)
),"")</f>
        <v/>
      </c>
      <c r="K2098" s="17"/>
      <c r="L2098" s="17" t="b">
        <f>IF(OR(COUNTIF('クラス'!$A$1:$A$1267,$B2098)&gt;0,$B2098="",$M2098=""),"",True)</f>
        <v>1</v>
      </c>
      <c r="M2098" s="1" t="str">
        <f t="shared" si="27"/>
        <v>存在しない</v>
      </c>
      <c r="N2098" s="1" t="s">
        <v>29</v>
      </c>
      <c r="O2098" s="1"/>
      <c r="P2098" s="11"/>
      <c r="Q2098" s="11"/>
      <c r="R2098" s="11"/>
      <c r="S2098" s="11"/>
      <c r="T2098" s="1"/>
      <c r="U2098" s="1"/>
      <c r="V2098" s="1"/>
      <c r="W2098" s="1"/>
      <c r="X2098" s="1"/>
      <c r="Y2098" s="1"/>
      <c r="Z2098" s="1"/>
    </row>
    <row r="2099" ht="18.0" customHeight="1" outlineLevel="1" collapsed="1">
      <c r="A2099" s="1"/>
      <c r="B2099" s="1"/>
      <c r="C2099" s="1"/>
      <c r="D2099" s="1"/>
      <c r="E2099" s="14"/>
      <c r="F2099" s="15"/>
      <c r="G2099" s="16"/>
      <c r="H2099" s="11"/>
      <c r="I2099" s="7"/>
      <c r="J2099" s="7" t="str">
        <f>IFERROR(LET(_xlpm.v,
VLOOKUP($I2099,'用語辞書'!$A:$B,COLUMN('用語辞書'!B$1),FALSE),
IF(_xlpm.v=0,"",_xlpm.v)
),"")</f>
        <v/>
      </c>
      <c r="K2099" s="17"/>
      <c r="L2099" s="17" t="str">
        <f>IF(OR(COUNTIF('クラス'!$A$1:$A$1267,$B2099)&gt;0,$B2099="",$M2099=""),"",True)</f>
        <v/>
      </c>
      <c r="M2099" s="1" t="str">
        <f t="shared" si="27"/>
        <v>存在しない</v>
      </c>
      <c r="N2099" s="1" t="s">
        <v>29</v>
      </c>
      <c r="O2099" s="1"/>
      <c r="P2099" s="11"/>
      <c r="Q2099" s="11"/>
      <c r="R2099" s="11"/>
      <c r="S2099" s="11"/>
      <c r="T2099" s="1"/>
      <c r="U2099" s="1"/>
      <c r="V2099" s="1"/>
      <c r="W2099" s="1"/>
      <c r="X2099" s="1"/>
      <c r="Y2099" s="1"/>
      <c r="Z2099" s="1"/>
    </row>
    <row r="2100" ht="18.0" customHeight="1" outlineLevel="1">
      <c r="A2100" s="1"/>
      <c r="B2100" s="26" t="s">
        <v>2202</v>
      </c>
      <c r="C2100" s="1"/>
      <c r="D2100" s="1"/>
      <c r="E2100" s="14"/>
      <c r="F2100" s="15"/>
      <c r="G2100" s="16"/>
      <c r="H2100" s="11"/>
      <c r="I2100" s="7"/>
      <c r="J2100" s="7" t="str">
        <f>IFERROR(LET(_xlpm.v,
VLOOKUP($I2100,'用語辞書'!$A:$B,COLUMN('用語辞書'!B$1),FALSE),
IF(_xlpm.v=0,"",_xlpm.v)
),"")</f>
        <v/>
      </c>
      <c r="K2100" s="17"/>
      <c r="L2100" s="17" t="str">
        <f>IF(OR(COUNTIF('クラス'!$A$1:$A$1267,$B2100)&gt;0,$B2100="",$M2100=""),"",True)</f>
        <v/>
      </c>
      <c r="M2100" s="1" t="str">
        <f t="shared" si="27"/>
        <v>存在しない</v>
      </c>
      <c r="N2100" s="1" t="s">
        <v>29</v>
      </c>
      <c r="O2100" s="1"/>
      <c r="P2100" s="11"/>
      <c r="Q2100" s="11"/>
      <c r="R2100" s="11"/>
      <c r="S2100" s="11"/>
      <c r="T2100" s="1"/>
      <c r="U2100" s="1"/>
      <c r="V2100" s="1"/>
      <c r="W2100" s="1"/>
      <c r="X2100" s="1"/>
      <c r="Y2100" s="1"/>
      <c r="Z2100" s="1"/>
    </row>
    <row r="2101" ht="18.0" hidden="1" customHeight="1" outlineLevel="2">
      <c r="A2101" s="1">
        <v>1.0</v>
      </c>
      <c r="B2101" s="26" t="s">
        <v>2203</v>
      </c>
      <c r="C2101" s="1"/>
      <c r="D2101" s="26" t="s">
        <v>370</v>
      </c>
      <c r="E2101" s="29" t="s">
        <v>33</v>
      </c>
      <c r="F2101" s="15"/>
      <c r="G2101" s="30">
        <v>60.0</v>
      </c>
      <c r="H2101" s="22" t="s">
        <v>2204</v>
      </c>
      <c r="I2101" s="7"/>
      <c r="J2101" s="7" t="str">
        <f>IFERROR(LET(_xlpm.v,
VLOOKUP($I2101,'用語辞書'!$A:$B,COLUMN('用語辞書'!B$1),FALSE),
IF(_xlpm.v=0,"",_xlpm.v)
),"")</f>
        <v/>
      </c>
      <c r="K2101" s="17"/>
      <c r="L2101" s="17" t="b">
        <f>IF(OR(COUNTIF('クラス'!$A$1:$A$1267,$B2101)&gt;0,$B2101="",$M2101=""),"",True)</f>
        <v>1</v>
      </c>
      <c r="M2101" s="1" t="str">
        <f t="shared" si="27"/>
        <v>存在しない</v>
      </c>
      <c r="N2101" s="1" t="s">
        <v>29</v>
      </c>
      <c r="O2101" s="1"/>
      <c r="P2101" s="11"/>
      <c r="Q2101" s="11"/>
      <c r="R2101" s="11"/>
      <c r="S2101" s="11"/>
      <c r="T2101" s="1"/>
      <c r="U2101" s="1"/>
      <c r="V2101" s="1"/>
      <c r="W2101" s="1"/>
      <c r="X2101" s="1"/>
      <c r="Y2101" s="1"/>
      <c r="Z2101" s="1"/>
    </row>
    <row r="2102" ht="18.0" hidden="1" customHeight="1" outlineLevel="2">
      <c r="A2102" s="1">
        <v>2.0</v>
      </c>
      <c r="B2102" s="1"/>
      <c r="C2102" s="1"/>
      <c r="D2102" s="1"/>
      <c r="E2102" s="14"/>
      <c r="F2102" s="15"/>
      <c r="G2102" s="16"/>
      <c r="H2102" s="11"/>
      <c r="I2102" s="7"/>
      <c r="J2102" s="7" t="str">
        <f>IFERROR(LET(_xlpm.v,
VLOOKUP($I2102,'用語辞書'!$A:$B,COLUMN('用語辞書'!B$1),FALSE),
IF(_xlpm.v=0,"",_xlpm.v)
),"")</f>
        <v/>
      </c>
      <c r="K2102" s="17"/>
      <c r="L2102" s="17" t="str">
        <f>IF(OR(COUNTIF('クラス'!$A$1:$A$1267,$B2102)&gt;0,$B2102="",$M2102=""),"",True)</f>
        <v/>
      </c>
      <c r="M2102" s="1" t="str">
        <f t="shared" si="27"/>
        <v>存在しない</v>
      </c>
      <c r="N2102" s="1" t="s">
        <v>29</v>
      </c>
      <c r="O2102" s="1"/>
      <c r="P2102" s="11"/>
      <c r="Q2102" s="11"/>
      <c r="R2102" s="11"/>
      <c r="S2102" s="11"/>
      <c r="T2102" s="1"/>
      <c r="U2102" s="1"/>
      <c r="V2102" s="1"/>
      <c r="W2102" s="1"/>
      <c r="X2102" s="1"/>
      <c r="Y2102" s="1"/>
      <c r="Z2102" s="1"/>
    </row>
    <row r="2103" ht="18.0" hidden="1" customHeight="1" outlineLevel="2">
      <c r="A2103" s="1">
        <v>3.0</v>
      </c>
      <c r="B2103" s="26" t="s">
        <v>372</v>
      </c>
      <c r="C2103" s="1"/>
      <c r="D2103" s="1"/>
      <c r="E2103" s="14"/>
      <c r="F2103" s="15"/>
      <c r="G2103" s="16"/>
      <c r="H2103" s="11"/>
      <c r="I2103" s="7"/>
      <c r="J2103" s="7" t="str">
        <f>IFERROR(LET(_xlpm.v,
VLOOKUP($I2103,'用語辞書'!$A:$B,COLUMN('用語辞書'!B$1),FALSE),
IF(_xlpm.v=0,"",_xlpm.v)
),"")</f>
        <v/>
      </c>
      <c r="K2103" s="17"/>
      <c r="L2103" s="17" t="str">
        <f>IF(OR(COUNTIF('クラス'!$A$1:$A$1267,$B2103)&gt;0,$B2103="",$M2103=""),"",True)</f>
        <v/>
      </c>
      <c r="M2103" s="1" t="str">
        <f t="shared" si="27"/>
        <v/>
      </c>
      <c r="N2103" s="1" t="s">
        <v>29</v>
      </c>
      <c r="O2103" s="1"/>
      <c r="P2103" s="11"/>
      <c r="Q2103" s="11"/>
      <c r="R2103" s="11"/>
      <c r="S2103" s="11"/>
      <c r="T2103" s="1"/>
      <c r="U2103" s="1"/>
      <c r="V2103" s="1"/>
      <c r="W2103" s="1"/>
      <c r="X2103" s="1"/>
      <c r="Y2103" s="1"/>
      <c r="Z2103" s="1"/>
    </row>
    <row r="2104" ht="18.0" hidden="1" customHeight="1" outlineLevel="2">
      <c r="A2104" s="1">
        <v>4.0</v>
      </c>
      <c r="B2104" s="1"/>
      <c r="C2104" s="1"/>
      <c r="D2104" s="1"/>
      <c r="E2104" s="14"/>
      <c r="F2104" s="15"/>
      <c r="G2104" s="16"/>
      <c r="H2104" s="11"/>
      <c r="I2104" s="7"/>
      <c r="J2104" s="7" t="str">
        <f>IFERROR(LET(_xlpm.v,
VLOOKUP($I2104,'用語辞書'!$A:$B,COLUMN('用語辞書'!B$1),FALSE),
IF(_xlpm.v=0,"",_xlpm.v)
),"")</f>
        <v/>
      </c>
      <c r="K2104" s="17"/>
      <c r="L2104" s="17" t="str">
        <f>IF(OR(COUNTIF('クラス'!$A$1:$A$1267,$B2104)&gt;0,$B2104="",$M2104=""),"",True)</f>
        <v/>
      </c>
      <c r="M2104" s="1" t="str">
        <f t="shared" si="27"/>
        <v>存在しない</v>
      </c>
      <c r="N2104" s="1" t="s">
        <v>29</v>
      </c>
      <c r="O2104" s="1"/>
      <c r="P2104" s="11"/>
      <c r="Q2104" s="11"/>
      <c r="R2104" s="11"/>
      <c r="S2104" s="11"/>
      <c r="T2104" s="1"/>
      <c r="U2104" s="1"/>
      <c r="V2104" s="1"/>
      <c r="W2104" s="1"/>
      <c r="X2104" s="1"/>
      <c r="Y2104" s="1"/>
      <c r="Z2104" s="1"/>
    </row>
    <row r="2105" ht="18.0" hidden="1" customHeight="1" outlineLevel="2">
      <c r="A2105" s="1">
        <v>5.0</v>
      </c>
      <c r="B2105" s="26" t="s">
        <v>2205</v>
      </c>
      <c r="C2105" s="1"/>
      <c r="D2105" s="1"/>
      <c r="E2105" s="14"/>
      <c r="F2105" s="15"/>
      <c r="G2105" s="16"/>
      <c r="H2105" s="11"/>
      <c r="I2105" s="7"/>
      <c r="J2105" s="7" t="str">
        <f>IFERROR(LET(_xlpm.v,
VLOOKUP($I2105,'用語辞書'!$A:$B,COLUMN('用語辞書'!B$1),FALSE),
IF(_xlpm.v=0,"",_xlpm.v)
),"")</f>
        <v/>
      </c>
      <c r="K2105" s="17"/>
      <c r="L2105" s="17" t="str">
        <f>IF(OR(COUNTIF('クラス'!$A$1:$A$1267,$B2105)&gt;0,$B2105="",$M2105=""),"",True)</f>
        <v/>
      </c>
      <c r="M2105" s="1" t="str">
        <f t="shared" si="27"/>
        <v/>
      </c>
      <c r="N2105" s="1" t="s">
        <v>29</v>
      </c>
      <c r="O2105" s="1"/>
      <c r="P2105" s="11"/>
      <c r="Q2105" s="11"/>
      <c r="R2105" s="11"/>
      <c r="S2105" s="11"/>
      <c r="T2105" s="1"/>
      <c r="U2105" s="1"/>
      <c r="V2105" s="1"/>
      <c r="W2105" s="1"/>
      <c r="X2105" s="1"/>
      <c r="Y2105" s="1"/>
      <c r="Z2105" s="1"/>
    </row>
    <row r="2106" ht="18.0" hidden="1" customHeight="1" outlineLevel="2">
      <c r="A2106" s="1">
        <v>6.0</v>
      </c>
      <c r="B2106" s="1"/>
      <c r="C2106" s="1"/>
      <c r="D2106" s="1"/>
      <c r="E2106" s="14"/>
      <c r="F2106" s="15"/>
      <c r="G2106" s="16"/>
      <c r="H2106" s="11"/>
      <c r="I2106" s="7"/>
      <c r="J2106" s="7" t="str">
        <f>IFERROR(LET(_xlpm.v,
VLOOKUP($I2106,'用語辞書'!$A:$B,COLUMN('用語辞書'!B$1),FALSE),
IF(_xlpm.v=0,"",_xlpm.v)
),"")</f>
        <v/>
      </c>
      <c r="K2106" s="17"/>
      <c r="L2106" s="17" t="str">
        <f>IF(OR(COUNTIF('クラス'!$A$1:$A$1267,$B2106)&gt;0,$B2106="",$M2106=""),"",True)</f>
        <v/>
      </c>
      <c r="M2106" s="1" t="str">
        <f t="shared" si="27"/>
        <v>存在しない</v>
      </c>
      <c r="N2106" s="1" t="s">
        <v>29</v>
      </c>
      <c r="O2106" s="1"/>
      <c r="P2106" s="11"/>
      <c r="Q2106" s="11"/>
      <c r="R2106" s="11"/>
      <c r="S2106" s="11"/>
      <c r="T2106" s="1"/>
      <c r="U2106" s="1"/>
      <c r="V2106" s="1"/>
      <c r="W2106" s="1"/>
      <c r="X2106" s="1"/>
      <c r="Y2106" s="1"/>
      <c r="Z2106" s="1"/>
    </row>
    <row r="2107" ht="18.0" hidden="1" customHeight="1" outlineLevel="2">
      <c r="A2107" s="1">
        <v>7.0</v>
      </c>
      <c r="B2107" s="26" t="s">
        <v>388</v>
      </c>
      <c r="C2107" s="1"/>
      <c r="D2107" s="1"/>
      <c r="E2107" s="14"/>
      <c r="F2107" s="15"/>
      <c r="G2107" s="16"/>
      <c r="H2107" s="11"/>
      <c r="I2107" s="7"/>
      <c r="J2107" s="7" t="str">
        <f>IFERROR(LET(_xlpm.v,
VLOOKUP($I2107,'用語辞書'!$A:$B,COLUMN('用語辞書'!B$1),FALSE),
IF(_xlpm.v=0,"",_xlpm.v)
),"")</f>
        <v/>
      </c>
      <c r="K2107" s="17"/>
      <c r="L2107" s="17" t="str">
        <f>IF(OR(COUNTIF('クラス'!$A$1:$A$1267,$B2107)&gt;0,$B2107="",$M2107=""),"",True)</f>
        <v/>
      </c>
      <c r="M2107" s="1" t="str">
        <f t="shared" si="27"/>
        <v/>
      </c>
      <c r="N2107" s="1" t="s">
        <v>29</v>
      </c>
      <c r="O2107" s="1"/>
      <c r="P2107" s="11"/>
      <c r="Q2107" s="11"/>
      <c r="R2107" s="11"/>
      <c r="S2107" s="11"/>
      <c r="T2107" s="1"/>
      <c r="U2107" s="1"/>
      <c r="V2107" s="1"/>
      <c r="W2107" s="1"/>
      <c r="X2107" s="1"/>
      <c r="Y2107" s="1"/>
      <c r="Z2107" s="1"/>
    </row>
    <row r="2108" ht="18.0" hidden="1" customHeight="1" outlineLevel="2">
      <c r="A2108" s="1">
        <v>8.0</v>
      </c>
      <c r="B2108" s="1"/>
      <c r="C2108" s="1"/>
      <c r="D2108" s="1"/>
      <c r="E2108" s="14"/>
      <c r="F2108" s="15"/>
      <c r="G2108" s="16"/>
      <c r="H2108" s="11"/>
      <c r="I2108" s="7"/>
      <c r="J2108" s="7" t="str">
        <f>IFERROR(LET(_xlpm.v,
VLOOKUP($I2108,'用語辞書'!$A:$B,COLUMN('用語辞書'!B$1),FALSE),
IF(_xlpm.v=0,"",_xlpm.v)
),"")</f>
        <v/>
      </c>
      <c r="K2108" s="17"/>
      <c r="L2108" s="17" t="str">
        <f>IF(OR(COUNTIF('クラス'!$A$1:$A$1267,$B2108)&gt;0,$B2108="",$M2108=""),"",True)</f>
        <v/>
      </c>
      <c r="M2108" s="1" t="str">
        <f t="shared" si="27"/>
        <v>存在しない</v>
      </c>
      <c r="N2108" s="1" t="s">
        <v>29</v>
      </c>
      <c r="O2108" s="1"/>
      <c r="P2108" s="11"/>
      <c r="Q2108" s="11"/>
      <c r="R2108" s="11"/>
      <c r="S2108" s="11"/>
      <c r="T2108" s="1"/>
      <c r="U2108" s="1"/>
      <c r="V2108" s="1"/>
      <c r="W2108" s="1"/>
      <c r="X2108" s="1"/>
      <c r="Y2108" s="1"/>
      <c r="Z2108" s="1"/>
    </row>
    <row r="2109" ht="18.0" hidden="1" customHeight="1" outlineLevel="2">
      <c r="A2109" s="1">
        <v>9.0</v>
      </c>
      <c r="B2109" s="26" t="s">
        <v>2206</v>
      </c>
      <c r="C2109" s="1"/>
      <c r="D2109" s="1"/>
      <c r="E2109" s="14"/>
      <c r="F2109" s="15"/>
      <c r="G2109" s="16"/>
      <c r="H2109" s="11"/>
      <c r="I2109" s="7"/>
      <c r="J2109" s="7" t="str">
        <f>IFERROR(LET(_xlpm.v,
VLOOKUP($I2109,'用語辞書'!$A:$B,COLUMN('用語辞書'!B$1),FALSE),
IF(_xlpm.v=0,"",_xlpm.v)
),"")</f>
        <v/>
      </c>
      <c r="K2109" s="17"/>
      <c r="L2109" s="17" t="str">
        <f>IF(OR(COUNTIF('クラス'!$A$1:$A$1267,$B2109)&gt;0,$B2109="",$M2109=""),"",True)</f>
        <v/>
      </c>
      <c r="M2109" s="1" t="str">
        <f t="shared" si="27"/>
        <v/>
      </c>
      <c r="N2109" s="1" t="s">
        <v>29</v>
      </c>
      <c r="O2109" s="1"/>
      <c r="P2109" s="11"/>
      <c r="Q2109" s="11"/>
      <c r="R2109" s="11"/>
      <c r="S2109" s="11"/>
      <c r="T2109" s="1"/>
      <c r="U2109" s="1"/>
      <c r="V2109" s="1"/>
      <c r="W2109" s="1"/>
      <c r="X2109" s="1"/>
      <c r="Y2109" s="1"/>
      <c r="Z2109" s="1"/>
    </row>
    <row r="2110" ht="18.0" hidden="1" customHeight="1" outlineLevel="2">
      <c r="A2110" s="1">
        <v>10.0</v>
      </c>
      <c r="B2110" s="26" t="s">
        <v>2207</v>
      </c>
      <c r="C2110" s="1"/>
      <c r="D2110" s="26" t="s">
        <v>370</v>
      </c>
      <c r="E2110" s="29" t="s">
        <v>33</v>
      </c>
      <c r="F2110" s="15"/>
      <c r="G2110" s="30">
        <v>60.0</v>
      </c>
      <c r="H2110" s="22" t="s">
        <v>2208</v>
      </c>
      <c r="I2110" s="7"/>
      <c r="J2110" s="7" t="str">
        <f>IFERROR(LET(_xlpm.v,
VLOOKUP($I2110,'用語辞書'!$A:$B,COLUMN('用語辞書'!B$1),FALSE),
IF(_xlpm.v=0,"",_xlpm.v)
),"")</f>
        <v/>
      </c>
      <c r="K2110" s="17"/>
      <c r="L2110" s="17" t="b">
        <f>IF(OR(COUNTIF('クラス'!$A$1:$A$1267,$B2110)&gt;0,$B2110="",$M2110=""),"",True)</f>
        <v>1</v>
      </c>
      <c r="M2110" s="1" t="str">
        <f t="shared" si="27"/>
        <v>存在しない</v>
      </c>
      <c r="N2110" s="1" t="s">
        <v>29</v>
      </c>
      <c r="O2110" s="1"/>
      <c r="P2110" s="11"/>
      <c r="Q2110" s="11"/>
      <c r="R2110" s="11"/>
      <c r="S2110" s="11"/>
      <c r="T2110" s="1"/>
      <c r="U2110" s="1"/>
      <c r="V2110" s="1"/>
      <c r="W2110" s="1"/>
      <c r="X2110" s="1"/>
      <c r="Y2110" s="1"/>
      <c r="Z2110" s="1"/>
    </row>
    <row r="2111" ht="18.0" customHeight="1" outlineLevel="1" collapsed="1">
      <c r="A2111" s="1"/>
      <c r="B2111" s="1"/>
      <c r="C2111" s="1"/>
      <c r="D2111" s="1"/>
      <c r="E2111" s="14"/>
      <c r="F2111" s="15"/>
      <c r="G2111" s="16"/>
      <c r="H2111" s="11"/>
      <c r="I2111" s="7"/>
      <c r="J2111" s="7" t="str">
        <f>IFERROR(LET(_xlpm.v,
VLOOKUP($I2111,'用語辞書'!$A:$B,COLUMN('用語辞書'!B$1),FALSE),
IF(_xlpm.v=0,"",_xlpm.v)
),"")</f>
        <v/>
      </c>
      <c r="K2111" s="17"/>
      <c r="L2111" s="17" t="str">
        <f>IF(OR(COUNTIF('クラス'!$A$1:$A$1267,$B2111)&gt;0,$B2111="",$M2111=""),"",True)</f>
        <v/>
      </c>
      <c r="M2111" s="1" t="str">
        <f t="shared" si="27"/>
        <v>存在しない</v>
      </c>
      <c r="N2111" s="1" t="s">
        <v>29</v>
      </c>
      <c r="O2111" s="1"/>
      <c r="P2111" s="11"/>
      <c r="Q2111" s="11"/>
      <c r="R2111" s="11"/>
      <c r="S2111" s="11"/>
      <c r="T2111" s="1"/>
      <c r="U2111" s="1"/>
      <c r="V2111" s="1"/>
      <c r="W2111" s="1"/>
      <c r="X2111" s="1"/>
      <c r="Y2111" s="1"/>
      <c r="Z2111" s="1"/>
    </row>
    <row r="2112" ht="18.0" customHeight="1" outlineLevel="1">
      <c r="A2112" s="1"/>
      <c r="B2112" s="26" t="s">
        <v>2209</v>
      </c>
      <c r="C2112" s="1"/>
      <c r="D2112" s="1"/>
      <c r="E2112" s="14"/>
      <c r="F2112" s="15"/>
      <c r="G2112" s="16"/>
      <c r="H2112" s="11"/>
      <c r="I2112" s="7"/>
      <c r="J2112" s="7" t="str">
        <f>IFERROR(LET(_xlpm.v,
VLOOKUP($I2112,'用語辞書'!$A:$B,COLUMN('用語辞書'!B$1),FALSE),
IF(_xlpm.v=0,"",_xlpm.v)
),"")</f>
        <v/>
      </c>
      <c r="K2112" s="17"/>
      <c r="L2112" s="17" t="str">
        <f>IF(OR(COUNTIF('クラス'!$A$1:$A$1267,$B2112)&gt;0,$B2112="",$M2112=""),"",True)</f>
        <v/>
      </c>
      <c r="M2112" s="1" t="str">
        <f t="shared" si="27"/>
        <v>存在しない</v>
      </c>
      <c r="N2112" s="1" t="s">
        <v>29</v>
      </c>
      <c r="O2112" s="1"/>
      <c r="P2112" s="11"/>
      <c r="Q2112" s="11"/>
      <c r="R2112" s="11"/>
      <c r="S2112" s="11"/>
      <c r="T2112" s="1"/>
      <c r="U2112" s="1"/>
      <c r="V2112" s="1"/>
      <c r="W2112" s="1"/>
      <c r="X2112" s="1"/>
      <c r="Y2112" s="1"/>
      <c r="Z2112" s="1"/>
    </row>
    <row r="2113" ht="18.0" hidden="1" customHeight="1" outlineLevel="2">
      <c r="A2113" s="1">
        <v>1.0</v>
      </c>
      <c r="B2113" s="26" t="s">
        <v>2210</v>
      </c>
      <c r="C2113" s="1"/>
      <c r="D2113" s="26" t="s">
        <v>518</v>
      </c>
      <c r="E2113" s="29" t="s">
        <v>33</v>
      </c>
      <c r="F2113" s="15"/>
      <c r="G2113" s="30">
        <v>60.0</v>
      </c>
      <c r="H2113" s="22" t="s">
        <v>2211</v>
      </c>
      <c r="I2113" s="7"/>
      <c r="J2113" s="7" t="str">
        <f>IFERROR(LET(_xlpm.v,
VLOOKUP($I2113,'用語辞書'!$A:$B,COLUMN('用語辞書'!B$1),FALSE),
IF(_xlpm.v=0,"",_xlpm.v)
),"")</f>
        <v/>
      </c>
      <c r="K2113" s="17"/>
      <c r="L2113" s="17" t="b">
        <f>IF(OR(COUNTIF('クラス'!$A$1:$A$1267,$B2113)&gt;0,$B2113="",$M2113=""),"",True)</f>
        <v>1</v>
      </c>
      <c r="M2113" s="1" t="str">
        <f t="shared" si="27"/>
        <v>存在しない</v>
      </c>
      <c r="N2113" s="1" t="s">
        <v>29</v>
      </c>
      <c r="O2113" s="1"/>
      <c r="P2113" s="11"/>
      <c r="Q2113" s="11"/>
      <c r="R2113" s="11"/>
      <c r="S2113" s="11"/>
      <c r="T2113" s="1"/>
      <c r="U2113" s="1"/>
      <c r="V2113" s="1"/>
      <c r="W2113" s="1"/>
      <c r="X2113" s="1"/>
      <c r="Y2113" s="1"/>
      <c r="Z2113" s="1"/>
    </row>
    <row r="2114" ht="18.0" hidden="1" customHeight="1" outlineLevel="2">
      <c r="A2114" s="1">
        <v>2.0</v>
      </c>
      <c r="B2114" s="1"/>
      <c r="C2114" s="1"/>
      <c r="D2114" s="1"/>
      <c r="E2114" s="14"/>
      <c r="F2114" s="15"/>
      <c r="G2114" s="16"/>
      <c r="H2114" s="11"/>
      <c r="I2114" s="7"/>
      <c r="J2114" s="7" t="str">
        <f>IFERROR(LET(_xlpm.v,
VLOOKUP($I2114,'用語辞書'!$A:$B,COLUMN('用語辞書'!B$1),FALSE),
IF(_xlpm.v=0,"",_xlpm.v)
),"")</f>
        <v/>
      </c>
      <c r="K2114" s="17"/>
      <c r="L2114" s="17" t="str">
        <f>IF(OR(COUNTIF('クラス'!$A$1:$A$1267,$B2114)&gt;0,$B2114="",$M2114=""),"",True)</f>
        <v/>
      </c>
      <c r="M2114" s="1" t="str">
        <f t="shared" si="27"/>
        <v>存在しない</v>
      </c>
      <c r="N2114" s="1" t="s">
        <v>29</v>
      </c>
      <c r="O2114" s="1"/>
      <c r="P2114" s="11"/>
      <c r="Q2114" s="11"/>
      <c r="R2114" s="11"/>
      <c r="S2114" s="11"/>
      <c r="T2114" s="1"/>
      <c r="U2114" s="1"/>
      <c r="V2114" s="1"/>
      <c r="W2114" s="1"/>
      <c r="X2114" s="1"/>
      <c r="Y2114" s="1"/>
      <c r="Z2114" s="1"/>
    </row>
    <row r="2115" ht="18.0" hidden="1" customHeight="1" outlineLevel="2">
      <c r="A2115" s="1">
        <v>3.0</v>
      </c>
      <c r="B2115" s="26" t="s">
        <v>516</v>
      </c>
      <c r="C2115" s="1"/>
      <c r="D2115" s="1"/>
      <c r="E2115" s="14"/>
      <c r="F2115" s="15"/>
      <c r="G2115" s="16"/>
      <c r="H2115" s="11"/>
      <c r="I2115" s="7"/>
      <c r="J2115" s="7" t="str">
        <f>IFERROR(LET(_xlpm.v,
VLOOKUP($I2115,'用語辞書'!$A:$B,COLUMN('用語辞書'!B$1),FALSE),
IF(_xlpm.v=0,"",_xlpm.v)
),"")</f>
        <v/>
      </c>
      <c r="K2115" s="17"/>
      <c r="L2115" s="17" t="str">
        <f>IF(OR(COUNTIF('クラス'!$A$1:$A$1267,$B2115)&gt;0,$B2115="",$M2115=""),"",True)</f>
        <v/>
      </c>
      <c r="M2115" s="1" t="str">
        <f t="shared" si="27"/>
        <v/>
      </c>
      <c r="N2115" s="1" t="s">
        <v>29</v>
      </c>
      <c r="O2115" s="1"/>
      <c r="P2115" s="11"/>
      <c r="Q2115" s="11"/>
      <c r="R2115" s="11"/>
      <c r="S2115" s="11"/>
      <c r="T2115" s="1"/>
      <c r="U2115" s="1"/>
      <c r="V2115" s="1"/>
      <c r="W2115" s="1"/>
      <c r="X2115" s="1"/>
      <c r="Y2115" s="1"/>
      <c r="Z2115" s="1"/>
    </row>
    <row r="2116" ht="18.0" hidden="1" customHeight="1" outlineLevel="2">
      <c r="A2116" s="1">
        <v>4.0</v>
      </c>
      <c r="B2116" s="1"/>
      <c r="C2116" s="1"/>
      <c r="D2116" s="1"/>
      <c r="E2116" s="14"/>
      <c r="F2116" s="15"/>
      <c r="G2116" s="16"/>
      <c r="H2116" s="11"/>
      <c r="I2116" s="7"/>
      <c r="J2116" s="7" t="str">
        <f>IFERROR(LET(_xlpm.v,
VLOOKUP($I2116,'用語辞書'!$A:$B,COLUMN('用語辞書'!B$1),FALSE),
IF(_xlpm.v=0,"",_xlpm.v)
),"")</f>
        <v/>
      </c>
      <c r="K2116" s="17"/>
      <c r="L2116" s="17" t="str">
        <f>IF(OR(COUNTIF('クラス'!$A$1:$A$1267,$B2116)&gt;0,$B2116="",$M2116=""),"",True)</f>
        <v/>
      </c>
      <c r="M2116" s="1" t="str">
        <f t="shared" si="27"/>
        <v>存在しない</v>
      </c>
      <c r="N2116" s="1" t="s">
        <v>29</v>
      </c>
      <c r="O2116" s="1"/>
      <c r="P2116" s="11"/>
      <c r="Q2116" s="11"/>
      <c r="R2116" s="11"/>
      <c r="S2116" s="11"/>
      <c r="T2116" s="1"/>
      <c r="U2116" s="1"/>
      <c r="V2116" s="1"/>
      <c r="W2116" s="1"/>
      <c r="X2116" s="1"/>
      <c r="Y2116" s="1"/>
      <c r="Z2116" s="1"/>
    </row>
    <row r="2117" ht="18.0" hidden="1" customHeight="1" outlineLevel="2">
      <c r="A2117" s="1">
        <v>5.0</v>
      </c>
      <c r="B2117" s="26" t="s">
        <v>2212</v>
      </c>
      <c r="C2117" s="1"/>
      <c r="D2117" s="1"/>
      <c r="E2117" s="14"/>
      <c r="F2117" s="15"/>
      <c r="G2117" s="16"/>
      <c r="H2117" s="11"/>
      <c r="I2117" s="7"/>
      <c r="J2117" s="7" t="str">
        <f>IFERROR(LET(_xlpm.v,
VLOOKUP($I2117,'用語辞書'!$A:$B,COLUMN('用語辞書'!B$1),FALSE),
IF(_xlpm.v=0,"",_xlpm.v)
),"")</f>
        <v/>
      </c>
      <c r="K2117" s="17"/>
      <c r="L2117" s="17" t="str">
        <f>IF(OR(COUNTIF('クラス'!$A$1:$A$1267,$B2117)&gt;0,$B2117="",$M2117=""),"",True)</f>
        <v/>
      </c>
      <c r="M2117" s="1" t="str">
        <f t="shared" si="27"/>
        <v/>
      </c>
      <c r="N2117" s="1" t="s">
        <v>29</v>
      </c>
      <c r="O2117" s="1"/>
      <c r="P2117" s="11"/>
      <c r="Q2117" s="11"/>
      <c r="R2117" s="11"/>
      <c r="S2117" s="11"/>
      <c r="T2117" s="1"/>
      <c r="U2117" s="1"/>
      <c r="V2117" s="1"/>
      <c r="W2117" s="1"/>
      <c r="X2117" s="1"/>
      <c r="Y2117" s="1"/>
      <c r="Z2117" s="1"/>
    </row>
    <row r="2118" ht="18.0" hidden="1" customHeight="1" outlineLevel="2">
      <c r="A2118" s="1">
        <v>6.0</v>
      </c>
      <c r="B2118" s="1"/>
      <c r="C2118" s="1"/>
      <c r="D2118" s="1"/>
      <c r="E2118" s="14"/>
      <c r="F2118" s="15"/>
      <c r="G2118" s="16"/>
      <c r="H2118" s="11"/>
      <c r="I2118" s="7"/>
      <c r="J2118" s="7" t="str">
        <f>IFERROR(LET(_xlpm.v,
VLOOKUP($I2118,'用語辞書'!$A:$B,COLUMN('用語辞書'!B$1),FALSE),
IF(_xlpm.v=0,"",_xlpm.v)
),"")</f>
        <v/>
      </c>
      <c r="K2118" s="17"/>
      <c r="L2118" s="17" t="str">
        <f>IF(OR(COUNTIF('クラス'!$A$1:$A$1267,$B2118)&gt;0,$B2118="",$M2118=""),"",True)</f>
        <v/>
      </c>
      <c r="M2118" s="1" t="str">
        <f t="shared" si="27"/>
        <v>存在しない</v>
      </c>
      <c r="N2118" s="1" t="s">
        <v>29</v>
      </c>
      <c r="O2118" s="1"/>
      <c r="P2118" s="11"/>
      <c r="Q2118" s="11"/>
      <c r="R2118" s="11"/>
      <c r="S2118" s="11"/>
      <c r="T2118" s="1"/>
      <c r="U2118" s="1"/>
      <c r="V2118" s="1"/>
      <c r="W2118" s="1"/>
      <c r="X2118" s="1"/>
      <c r="Y2118" s="1"/>
      <c r="Z2118" s="1"/>
    </row>
    <row r="2119" ht="18.0" hidden="1" customHeight="1" outlineLevel="2">
      <c r="A2119" s="1">
        <v>7.0</v>
      </c>
      <c r="B2119" s="26" t="s">
        <v>526</v>
      </c>
      <c r="C2119" s="1"/>
      <c r="D2119" s="1"/>
      <c r="E2119" s="14"/>
      <c r="F2119" s="15"/>
      <c r="G2119" s="16"/>
      <c r="H2119" s="11"/>
      <c r="I2119" s="7"/>
      <c r="J2119" s="7" t="str">
        <f>IFERROR(LET(_xlpm.v,
VLOOKUP($I2119,'用語辞書'!$A:$B,COLUMN('用語辞書'!B$1),FALSE),
IF(_xlpm.v=0,"",_xlpm.v)
),"")</f>
        <v/>
      </c>
      <c r="K2119" s="17"/>
      <c r="L2119" s="17" t="str">
        <f>IF(OR(COUNTIF('クラス'!$A$1:$A$1267,$B2119)&gt;0,$B2119="",$M2119=""),"",True)</f>
        <v/>
      </c>
      <c r="M2119" s="1" t="str">
        <f t="shared" si="27"/>
        <v/>
      </c>
      <c r="N2119" s="1" t="s">
        <v>29</v>
      </c>
      <c r="O2119" s="1"/>
      <c r="P2119" s="11"/>
      <c r="Q2119" s="11"/>
      <c r="R2119" s="11"/>
      <c r="S2119" s="11"/>
      <c r="T2119" s="1"/>
      <c r="U2119" s="1"/>
      <c r="V2119" s="1"/>
      <c r="W2119" s="1"/>
      <c r="X2119" s="1"/>
      <c r="Y2119" s="1"/>
      <c r="Z2119" s="1"/>
    </row>
    <row r="2120" ht="18.0" hidden="1" customHeight="1" outlineLevel="2">
      <c r="A2120" s="1">
        <v>8.0</v>
      </c>
      <c r="B2120" s="1"/>
      <c r="C2120" s="1"/>
      <c r="D2120" s="1"/>
      <c r="E2120" s="14"/>
      <c r="F2120" s="15"/>
      <c r="G2120" s="16"/>
      <c r="H2120" s="11"/>
      <c r="I2120" s="7"/>
      <c r="J2120" s="7" t="str">
        <f>IFERROR(LET(_xlpm.v,
VLOOKUP($I2120,'用語辞書'!$A:$B,COLUMN('用語辞書'!B$1),FALSE),
IF(_xlpm.v=0,"",_xlpm.v)
),"")</f>
        <v/>
      </c>
      <c r="K2120" s="17"/>
      <c r="L2120" s="17" t="str">
        <f>IF(OR(COUNTIF('クラス'!$A$1:$A$1267,$B2120)&gt;0,$B2120="",$M2120=""),"",True)</f>
        <v/>
      </c>
      <c r="M2120" s="1" t="str">
        <f t="shared" si="27"/>
        <v>存在しない</v>
      </c>
      <c r="N2120" s="1" t="s">
        <v>29</v>
      </c>
      <c r="O2120" s="1"/>
      <c r="P2120" s="11"/>
      <c r="Q2120" s="11"/>
      <c r="R2120" s="11"/>
      <c r="S2120" s="11"/>
      <c r="T2120" s="1"/>
      <c r="U2120" s="1"/>
      <c r="V2120" s="1"/>
      <c r="W2120" s="1"/>
      <c r="X2120" s="1"/>
      <c r="Y2120" s="1"/>
      <c r="Z2120" s="1"/>
    </row>
    <row r="2121" ht="18.0" hidden="1" customHeight="1" outlineLevel="2">
      <c r="A2121" s="1">
        <v>9.0</v>
      </c>
      <c r="B2121" s="26" t="s">
        <v>2213</v>
      </c>
      <c r="C2121" s="1"/>
      <c r="D2121" s="1"/>
      <c r="E2121" s="14"/>
      <c r="F2121" s="15"/>
      <c r="G2121" s="16"/>
      <c r="H2121" s="11"/>
      <c r="I2121" s="7"/>
      <c r="J2121" s="7" t="str">
        <f>IFERROR(LET(_xlpm.v,
VLOOKUP($I2121,'用語辞書'!$A:$B,COLUMN('用語辞書'!B$1),FALSE),
IF(_xlpm.v=0,"",_xlpm.v)
),"")</f>
        <v/>
      </c>
      <c r="K2121" s="17"/>
      <c r="L2121" s="17" t="str">
        <f>IF(OR(COUNTIF('クラス'!$A$1:$A$1267,$B2121)&gt;0,$B2121="",$M2121=""),"",True)</f>
        <v/>
      </c>
      <c r="M2121" s="1" t="str">
        <f t="shared" si="27"/>
        <v/>
      </c>
      <c r="N2121" s="1" t="s">
        <v>29</v>
      </c>
      <c r="O2121" s="1"/>
      <c r="P2121" s="11"/>
      <c r="Q2121" s="11"/>
      <c r="R2121" s="11"/>
      <c r="S2121" s="11"/>
      <c r="T2121" s="1"/>
      <c r="U2121" s="1"/>
      <c r="V2121" s="1"/>
      <c r="W2121" s="1"/>
      <c r="X2121" s="1"/>
      <c r="Y2121" s="1"/>
      <c r="Z2121" s="1"/>
    </row>
    <row r="2122" ht="18.0" hidden="1" customHeight="1" outlineLevel="2">
      <c r="A2122" s="1">
        <v>10.0</v>
      </c>
      <c r="B2122" s="26" t="s">
        <v>2214</v>
      </c>
      <c r="C2122" s="1"/>
      <c r="D2122" s="26" t="s">
        <v>518</v>
      </c>
      <c r="E2122" s="29" t="s">
        <v>33</v>
      </c>
      <c r="F2122" s="15"/>
      <c r="G2122" s="30">
        <v>60.0</v>
      </c>
      <c r="H2122" s="22" t="s">
        <v>2215</v>
      </c>
      <c r="I2122" s="7"/>
      <c r="J2122" s="7" t="str">
        <f>IFERROR(LET(_xlpm.v,
VLOOKUP($I2122,'用語辞書'!$A:$B,COLUMN('用語辞書'!B$1),FALSE),
IF(_xlpm.v=0,"",_xlpm.v)
),"")</f>
        <v/>
      </c>
      <c r="K2122" s="17"/>
      <c r="L2122" s="17" t="b">
        <f>IF(OR(COUNTIF('クラス'!$A$1:$A$1267,$B2122)&gt;0,$B2122="",$M2122=""),"",True)</f>
        <v>1</v>
      </c>
      <c r="M2122" s="1" t="str">
        <f t="shared" si="27"/>
        <v>存在しない</v>
      </c>
      <c r="N2122" s="1" t="s">
        <v>29</v>
      </c>
      <c r="O2122" s="1"/>
      <c r="P2122" s="11"/>
      <c r="Q2122" s="11"/>
      <c r="R2122" s="11"/>
      <c r="S2122" s="11"/>
      <c r="T2122" s="1"/>
      <c r="U2122" s="1"/>
      <c r="V2122" s="1"/>
      <c r="W2122" s="1"/>
      <c r="X2122" s="1"/>
      <c r="Y2122" s="1"/>
      <c r="Z2122" s="1"/>
    </row>
    <row r="2123" ht="18.0" customHeight="1" outlineLevel="1" collapsed="1">
      <c r="A2123" s="1"/>
      <c r="B2123" s="1"/>
      <c r="C2123" s="1"/>
      <c r="D2123" s="1"/>
      <c r="E2123" s="14"/>
      <c r="F2123" s="15"/>
      <c r="G2123" s="16"/>
      <c r="H2123" s="11"/>
      <c r="I2123" s="7"/>
      <c r="J2123" s="7" t="str">
        <f>IFERROR(LET(_xlpm.v,
VLOOKUP($I2123,'用語辞書'!$A:$B,COLUMN('用語辞書'!B$1),FALSE),
IF(_xlpm.v=0,"",_xlpm.v)
),"")</f>
        <v/>
      </c>
      <c r="K2123" s="17"/>
      <c r="L2123" s="17" t="str">
        <f>IF(OR(COUNTIF('クラス'!$A$1:$A$1267,$B2123)&gt;0,$B2123="",$M2123=""),"",True)</f>
        <v/>
      </c>
      <c r="M2123" s="1" t="str">
        <f t="shared" si="27"/>
        <v>存在しない</v>
      </c>
      <c r="N2123" s="1" t="s">
        <v>29</v>
      </c>
      <c r="O2123" s="1"/>
      <c r="P2123" s="11"/>
      <c r="Q2123" s="11"/>
      <c r="R2123" s="11"/>
      <c r="S2123" s="11"/>
      <c r="T2123" s="1"/>
      <c r="U2123" s="1"/>
      <c r="V2123" s="1"/>
      <c r="W2123" s="1"/>
      <c r="X2123" s="1"/>
      <c r="Y2123" s="1"/>
      <c r="Z2123" s="1"/>
    </row>
    <row r="2124" ht="18.0" customHeight="1" outlineLevel="1">
      <c r="A2124" s="1"/>
      <c r="B2124" s="26" t="s">
        <v>2216</v>
      </c>
      <c r="C2124" s="1"/>
      <c r="D2124" s="1"/>
      <c r="E2124" s="14"/>
      <c r="F2124" s="15"/>
      <c r="G2124" s="16"/>
      <c r="H2124" s="11"/>
      <c r="I2124" s="7"/>
      <c r="J2124" s="7" t="str">
        <f>IFERROR(LET(_xlpm.v,
VLOOKUP($I2124,'用語辞書'!$A:$B,COLUMN('用語辞書'!B$1),FALSE),
IF(_xlpm.v=0,"",_xlpm.v)
),"")</f>
        <v/>
      </c>
      <c r="K2124" s="17"/>
      <c r="L2124" s="17" t="str">
        <f>IF(OR(COUNTIF('クラス'!$A$1:$A$1267,$B2124)&gt;0,$B2124="",$M2124=""),"",True)</f>
        <v/>
      </c>
      <c r="M2124" s="1" t="str">
        <f t="shared" si="27"/>
        <v>存在しない</v>
      </c>
      <c r="N2124" s="1" t="s">
        <v>29</v>
      </c>
      <c r="O2124" s="1"/>
      <c r="P2124" s="11"/>
      <c r="Q2124" s="11"/>
      <c r="R2124" s="11"/>
      <c r="S2124" s="11"/>
      <c r="T2124" s="1"/>
      <c r="U2124" s="1"/>
      <c r="V2124" s="1"/>
      <c r="W2124" s="1"/>
      <c r="X2124" s="1"/>
      <c r="Y2124" s="1"/>
      <c r="Z2124" s="1"/>
    </row>
    <row r="2125" ht="18.0" hidden="1" customHeight="1" outlineLevel="2">
      <c r="A2125" s="1">
        <v>1.0</v>
      </c>
      <c r="B2125" s="26" t="s">
        <v>2217</v>
      </c>
      <c r="C2125" s="1"/>
      <c r="D2125" s="26" t="s">
        <v>644</v>
      </c>
      <c r="E2125" s="29" t="s">
        <v>33</v>
      </c>
      <c r="F2125" s="15"/>
      <c r="G2125" s="30">
        <v>60.0</v>
      </c>
      <c r="H2125" s="22" t="s">
        <v>2218</v>
      </c>
      <c r="I2125" s="7"/>
      <c r="J2125" s="7" t="str">
        <f>IFERROR(LET(_xlpm.v,
VLOOKUP($I2125,'用語辞書'!$A:$B,COLUMN('用語辞書'!B$1),FALSE),
IF(_xlpm.v=0,"",_xlpm.v)
),"")</f>
        <v/>
      </c>
      <c r="K2125" s="17"/>
      <c r="L2125" s="17" t="b">
        <f>IF(OR(COUNTIF('クラス'!$A$1:$A$1267,$B2125)&gt;0,$B2125="",$M2125=""),"",True)</f>
        <v>1</v>
      </c>
      <c r="M2125" s="1" t="str">
        <f t="shared" si="27"/>
        <v>存在しない</v>
      </c>
      <c r="N2125" s="1" t="s">
        <v>29</v>
      </c>
      <c r="O2125" s="1"/>
      <c r="P2125" s="11"/>
      <c r="Q2125" s="11"/>
      <c r="R2125" s="11"/>
      <c r="S2125" s="11"/>
      <c r="T2125" s="1"/>
      <c r="U2125" s="1"/>
      <c r="V2125" s="1"/>
      <c r="W2125" s="1"/>
      <c r="X2125" s="1"/>
      <c r="Y2125" s="1"/>
      <c r="Z2125" s="1"/>
    </row>
    <row r="2126" ht="18.0" hidden="1" customHeight="1" outlineLevel="2">
      <c r="A2126" s="1">
        <v>2.0</v>
      </c>
      <c r="B2126" s="1"/>
      <c r="C2126" s="1"/>
      <c r="D2126" s="1"/>
      <c r="E2126" s="14"/>
      <c r="F2126" s="15"/>
      <c r="G2126" s="16"/>
      <c r="H2126" s="11"/>
      <c r="I2126" s="7"/>
      <c r="J2126" s="7" t="str">
        <f>IFERROR(LET(_xlpm.v,
VLOOKUP($I2126,'用語辞書'!$A:$B,COLUMN('用語辞書'!B$1),FALSE),
IF(_xlpm.v=0,"",_xlpm.v)
),"")</f>
        <v/>
      </c>
      <c r="K2126" s="17"/>
      <c r="L2126" s="17" t="str">
        <f>IF(OR(COUNTIF('クラス'!$A$1:$A$1267,$B2126)&gt;0,$B2126="",$M2126=""),"",True)</f>
        <v/>
      </c>
      <c r="M2126" s="1" t="str">
        <f t="shared" si="27"/>
        <v>存在しない</v>
      </c>
      <c r="N2126" s="1" t="s">
        <v>29</v>
      </c>
      <c r="O2126" s="1"/>
      <c r="P2126" s="11"/>
      <c r="Q2126" s="11"/>
      <c r="R2126" s="11"/>
      <c r="S2126" s="11"/>
      <c r="T2126" s="1"/>
      <c r="U2126" s="1"/>
      <c r="V2126" s="1"/>
      <c r="W2126" s="1"/>
      <c r="X2126" s="1"/>
      <c r="Y2126" s="1"/>
      <c r="Z2126" s="1"/>
    </row>
    <row r="2127" ht="18.0" hidden="1" customHeight="1" outlineLevel="2">
      <c r="A2127" s="1">
        <v>3.0</v>
      </c>
      <c r="B2127" s="26" t="s">
        <v>646</v>
      </c>
      <c r="C2127" s="1"/>
      <c r="D2127" s="1"/>
      <c r="E2127" s="14"/>
      <c r="F2127" s="15"/>
      <c r="G2127" s="16"/>
      <c r="H2127" s="11"/>
      <c r="I2127" s="7"/>
      <c r="J2127" s="7" t="str">
        <f>IFERROR(LET(_xlpm.v,
VLOOKUP($I2127,'用語辞書'!$A:$B,COLUMN('用語辞書'!B$1),FALSE),
IF(_xlpm.v=0,"",_xlpm.v)
),"")</f>
        <v/>
      </c>
      <c r="K2127" s="17"/>
      <c r="L2127" s="17" t="str">
        <f>IF(OR(COUNTIF('クラス'!$A$1:$A$1267,$B2127)&gt;0,$B2127="",$M2127=""),"",True)</f>
        <v/>
      </c>
      <c r="M2127" s="1" t="str">
        <f t="shared" si="27"/>
        <v/>
      </c>
      <c r="N2127" s="1" t="s">
        <v>29</v>
      </c>
      <c r="O2127" s="1"/>
      <c r="P2127" s="11"/>
      <c r="Q2127" s="11"/>
      <c r="R2127" s="11"/>
      <c r="S2127" s="11"/>
      <c r="T2127" s="1"/>
      <c r="U2127" s="1"/>
      <c r="V2127" s="1"/>
      <c r="W2127" s="1"/>
      <c r="X2127" s="1"/>
      <c r="Y2127" s="1"/>
      <c r="Z2127" s="1"/>
    </row>
    <row r="2128" ht="18.0" hidden="1" customHeight="1" outlineLevel="2">
      <c r="A2128" s="1">
        <v>4.0</v>
      </c>
      <c r="B2128" s="1"/>
      <c r="C2128" s="1"/>
      <c r="D2128" s="1"/>
      <c r="E2128" s="14"/>
      <c r="F2128" s="15"/>
      <c r="G2128" s="16"/>
      <c r="H2128" s="11"/>
      <c r="I2128" s="7"/>
      <c r="J2128" s="7" t="str">
        <f>IFERROR(LET(_xlpm.v,
VLOOKUP($I2128,'用語辞書'!$A:$B,COLUMN('用語辞書'!B$1),FALSE),
IF(_xlpm.v=0,"",_xlpm.v)
),"")</f>
        <v/>
      </c>
      <c r="K2128" s="17"/>
      <c r="L2128" s="17" t="str">
        <f>IF(OR(COUNTIF('クラス'!$A$1:$A$1267,$B2128)&gt;0,$B2128="",$M2128=""),"",True)</f>
        <v/>
      </c>
      <c r="M2128" s="1" t="str">
        <f t="shared" si="27"/>
        <v>存在しない</v>
      </c>
      <c r="N2128" s="1" t="s">
        <v>29</v>
      </c>
      <c r="O2128" s="1"/>
      <c r="P2128" s="11"/>
      <c r="Q2128" s="11"/>
      <c r="R2128" s="11"/>
      <c r="S2128" s="11"/>
      <c r="T2128" s="1"/>
      <c r="U2128" s="1"/>
      <c r="V2128" s="1"/>
      <c r="W2128" s="1"/>
      <c r="X2128" s="1"/>
      <c r="Y2128" s="1"/>
      <c r="Z2128" s="1"/>
    </row>
    <row r="2129" ht="18.0" hidden="1" customHeight="1" outlineLevel="2">
      <c r="A2129" s="1">
        <v>5.0</v>
      </c>
      <c r="B2129" s="26" t="s">
        <v>2219</v>
      </c>
      <c r="C2129" s="1"/>
      <c r="D2129" s="1"/>
      <c r="E2129" s="14"/>
      <c r="F2129" s="15"/>
      <c r="G2129" s="16"/>
      <c r="H2129" s="11"/>
      <c r="I2129" s="7"/>
      <c r="J2129" s="7" t="str">
        <f>IFERROR(LET(_xlpm.v,
VLOOKUP($I2129,'用語辞書'!$A:$B,COLUMN('用語辞書'!B$1),FALSE),
IF(_xlpm.v=0,"",_xlpm.v)
),"")</f>
        <v/>
      </c>
      <c r="K2129" s="17"/>
      <c r="L2129" s="17" t="str">
        <f>IF(OR(COUNTIF('クラス'!$A$1:$A$1267,$B2129)&gt;0,$B2129="",$M2129=""),"",True)</f>
        <v/>
      </c>
      <c r="M2129" s="1" t="str">
        <f t="shared" si="27"/>
        <v/>
      </c>
      <c r="N2129" s="1" t="s">
        <v>29</v>
      </c>
      <c r="O2129" s="1"/>
      <c r="P2129" s="11"/>
      <c r="Q2129" s="11"/>
      <c r="R2129" s="11"/>
      <c r="S2129" s="11"/>
      <c r="T2129" s="1"/>
      <c r="U2129" s="1"/>
      <c r="V2129" s="1"/>
      <c r="W2129" s="1"/>
      <c r="X2129" s="1"/>
      <c r="Y2129" s="1"/>
      <c r="Z2129" s="1"/>
    </row>
    <row r="2130" ht="18.0" hidden="1" customHeight="1" outlineLevel="2">
      <c r="A2130" s="1">
        <v>6.0</v>
      </c>
      <c r="B2130" s="1"/>
      <c r="C2130" s="1"/>
      <c r="D2130" s="1"/>
      <c r="E2130" s="14"/>
      <c r="F2130" s="15"/>
      <c r="G2130" s="16"/>
      <c r="H2130" s="11"/>
      <c r="I2130" s="7"/>
      <c r="J2130" s="7" t="str">
        <f>IFERROR(LET(_xlpm.v,
VLOOKUP($I2130,'用語辞書'!$A:$B,COLUMN('用語辞書'!B$1),FALSE),
IF(_xlpm.v=0,"",_xlpm.v)
),"")</f>
        <v/>
      </c>
      <c r="K2130" s="17"/>
      <c r="L2130" s="17" t="str">
        <f>IF(OR(COUNTIF('クラス'!$A$1:$A$1267,$B2130)&gt;0,$B2130="",$M2130=""),"",True)</f>
        <v/>
      </c>
      <c r="M2130" s="1" t="str">
        <f t="shared" si="27"/>
        <v>存在しない</v>
      </c>
      <c r="N2130" s="1" t="s">
        <v>29</v>
      </c>
      <c r="O2130" s="1"/>
      <c r="P2130" s="11"/>
      <c r="Q2130" s="11"/>
      <c r="R2130" s="11"/>
      <c r="S2130" s="11"/>
      <c r="T2130" s="1"/>
      <c r="U2130" s="1"/>
      <c r="V2130" s="1"/>
      <c r="W2130" s="1"/>
      <c r="X2130" s="1"/>
      <c r="Y2130" s="1"/>
      <c r="Z2130" s="1"/>
    </row>
    <row r="2131" ht="18.0" hidden="1" customHeight="1" outlineLevel="2">
      <c r="A2131" s="1">
        <v>7.0</v>
      </c>
      <c r="B2131" s="26" t="s">
        <v>652</v>
      </c>
      <c r="C2131" s="1"/>
      <c r="D2131" s="1"/>
      <c r="E2131" s="14"/>
      <c r="F2131" s="15"/>
      <c r="G2131" s="16"/>
      <c r="H2131" s="11"/>
      <c r="I2131" s="7"/>
      <c r="J2131" s="7" t="str">
        <f>IFERROR(LET(_xlpm.v,
VLOOKUP($I2131,'用語辞書'!$A:$B,COLUMN('用語辞書'!B$1),FALSE),
IF(_xlpm.v=0,"",_xlpm.v)
),"")</f>
        <v/>
      </c>
      <c r="K2131" s="17"/>
      <c r="L2131" s="17" t="str">
        <f>IF(OR(COUNTIF('クラス'!$A$1:$A$1267,$B2131)&gt;0,$B2131="",$M2131=""),"",True)</f>
        <v/>
      </c>
      <c r="M2131" s="1" t="str">
        <f t="shared" si="27"/>
        <v/>
      </c>
      <c r="N2131" s="1" t="s">
        <v>29</v>
      </c>
      <c r="O2131" s="1"/>
      <c r="P2131" s="11"/>
      <c r="Q2131" s="11"/>
      <c r="R2131" s="11"/>
      <c r="S2131" s="11"/>
      <c r="T2131" s="1"/>
      <c r="U2131" s="1"/>
      <c r="V2131" s="1"/>
      <c r="W2131" s="1"/>
      <c r="X2131" s="1"/>
      <c r="Y2131" s="1"/>
      <c r="Z2131" s="1"/>
    </row>
    <row r="2132" ht="18.0" hidden="1" customHeight="1" outlineLevel="2">
      <c r="A2132" s="1">
        <v>8.0</v>
      </c>
      <c r="B2132" s="1"/>
      <c r="C2132" s="1"/>
      <c r="D2132" s="1"/>
      <c r="E2132" s="14"/>
      <c r="F2132" s="15"/>
      <c r="G2132" s="16"/>
      <c r="H2132" s="11"/>
      <c r="I2132" s="7"/>
      <c r="J2132" s="7" t="str">
        <f>IFERROR(LET(_xlpm.v,
VLOOKUP($I2132,'用語辞書'!$A:$B,COLUMN('用語辞書'!B$1),FALSE),
IF(_xlpm.v=0,"",_xlpm.v)
),"")</f>
        <v/>
      </c>
      <c r="K2132" s="17"/>
      <c r="L2132" s="17" t="str">
        <f>IF(OR(COUNTIF('クラス'!$A$1:$A$1267,$B2132)&gt;0,$B2132="",$M2132=""),"",True)</f>
        <v/>
      </c>
      <c r="M2132" s="1" t="str">
        <f t="shared" si="27"/>
        <v>存在しない</v>
      </c>
      <c r="N2132" s="1" t="s">
        <v>29</v>
      </c>
      <c r="O2132" s="1"/>
      <c r="P2132" s="11"/>
      <c r="Q2132" s="11"/>
      <c r="R2132" s="11"/>
      <c r="S2132" s="11"/>
      <c r="T2132" s="1"/>
      <c r="U2132" s="1"/>
      <c r="V2132" s="1"/>
      <c r="W2132" s="1"/>
      <c r="X2132" s="1"/>
      <c r="Y2132" s="1"/>
      <c r="Z2132" s="1"/>
    </row>
    <row r="2133" ht="18.0" hidden="1" customHeight="1" outlineLevel="2">
      <c r="A2133" s="1">
        <v>9.0</v>
      </c>
      <c r="B2133" s="26" t="s">
        <v>2220</v>
      </c>
      <c r="C2133" s="1"/>
      <c r="D2133" s="1"/>
      <c r="E2133" s="14"/>
      <c r="F2133" s="15"/>
      <c r="G2133" s="16"/>
      <c r="H2133" s="11"/>
      <c r="I2133" s="7"/>
      <c r="J2133" s="7" t="str">
        <f>IFERROR(LET(_xlpm.v,
VLOOKUP($I2133,'用語辞書'!$A:$B,COLUMN('用語辞書'!B$1),FALSE),
IF(_xlpm.v=0,"",_xlpm.v)
),"")</f>
        <v/>
      </c>
      <c r="K2133" s="17"/>
      <c r="L2133" s="17" t="str">
        <f>IF(OR(COUNTIF('クラス'!$A$1:$A$1267,$B2133)&gt;0,$B2133="",$M2133=""),"",True)</f>
        <v/>
      </c>
      <c r="M2133" s="1" t="str">
        <f t="shared" si="27"/>
        <v/>
      </c>
      <c r="N2133" s="1" t="s">
        <v>29</v>
      </c>
      <c r="O2133" s="1"/>
      <c r="P2133" s="11"/>
      <c r="Q2133" s="11"/>
      <c r="R2133" s="11"/>
      <c r="S2133" s="11"/>
      <c r="T2133" s="1"/>
      <c r="U2133" s="1"/>
      <c r="V2133" s="1"/>
      <c r="W2133" s="1"/>
      <c r="X2133" s="1"/>
      <c r="Y2133" s="1"/>
      <c r="Z2133" s="1"/>
    </row>
    <row r="2134" ht="18.0" hidden="1" customHeight="1" outlineLevel="2">
      <c r="A2134" s="1">
        <v>10.0</v>
      </c>
      <c r="B2134" s="26" t="s">
        <v>2221</v>
      </c>
      <c r="C2134" s="1"/>
      <c r="D2134" s="26" t="s">
        <v>644</v>
      </c>
      <c r="E2134" s="29" t="s">
        <v>33</v>
      </c>
      <c r="F2134" s="15"/>
      <c r="G2134" s="30">
        <v>60.0</v>
      </c>
      <c r="H2134" s="31" t="s">
        <v>2222</v>
      </c>
      <c r="I2134" s="7"/>
      <c r="J2134" s="7" t="str">
        <f>IFERROR(LET(_xlpm.v,
VLOOKUP($I2134,'用語辞書'!$A:$B,COLUMN('用語辞書'!B$1),FALSE),
IF(_xlpm.v=0,"",_xlpm.v)
),"")</f>
        <v/>
      </c>
      <c r="K2134" s="17"/>
      <c r="L2134" s="17" t="b">
        <f>IF(OR(COUNTIF('クラス'!$A$1:$A$1267,$B2134)&gt;0,$B2134="",$M2134=""),"",True)</f>
        <v>1</v>
      </c>
      <c r="M2134" s="1" t="str">
        <f t="shared" si="27"/>
        <v>存在しない</v>
      </c>
      <c r="N2134" s="1" t="s">
        <v>29</v>
      </c>
      <c r="O2134" s="1"/>
      <c r="P2134" s="11"/>
      <c r="Q2134" s="11"/>
      <c r="R2134" s="11"/>
      <c r="S2134" s="11"/>
      <c r="T2134" s="1"/>
      <c r="U2134" s="1"/>
      <c r="V2134" s="1"/>
      <c r="W2134" s="1"/>
      <c r="X2134" s="1"/>
      <c r="Y2134" s="1"/>
      <c r="Z2134" s="1"/>
    </row>
    <row r="2135" ht="18.0" customHeight="1" outlineLevel="1" collapsed="1">
      <c r="A2135" s="1"/>
      <c r="B2135" s="1"/>
      <c r="C2135" s="1"/>
      <c r="D2135" s="1"/>
      <c r="E2135" s="14"/>
      <c r="F2135" s="15"/>
      <c r="G2135" s="16"/>
      <c r="H2135" s="11"/>
      <c r="I2135" s="7"/>
      <c r="J2135" s="7" t="str">
        <f>IFERROR(LET(_xlpm.v,
VLOOKUP($I2135,'用語辞書'!$A:$B,COLUMN('用語辞書'!B$1),FALSE),
IF(_xlpm.v=0,"",_xlpm.v)
),"")</f>
        <v/>
      </c>
      <c r="K2135" s="17"/>
      <c r="L2135" s="17" t="str">
        <f>IF(OR(COUNTIF('クラス'!$A$1:$A$1267,$B2135)&gt;0,$B2135="",$M2135=""),"",True)</f>
        <v/>
      </c>
      <c r="M2135" s="1" t="str">
        <f t="shared" si="27"/>
        <v>存在しない</v>
      </c>
      <c r="N2135" s="1" t="s">
        <v>29</v>
      </c>
      <c r="O2135" s="1"/>
      <c r="P2135" s="11"/>
      <c r="Q2135" s="11"/>
      <c r="R2135" s="11"/>
      <c r="S2135" s="11"/>
      <c r="T2135" s="1"/>
      <c r="U2135" s="1"/>
      <c r="V2135" s="1"/>
      <c r="W2135" s="1"/>
      <c r="X2135" s="1"/>
      <c r="Y2135" s="1"/>
      <c r="Z2135" s="1"/>
    </row>
    <row r="2136" ht="18.0" customHeight="1" outlineLevel="1">
      <c r="A2136" s="1"/>
      <c r="B2136" s="26" t="s">
        <v>2223</v>
      </c>
      <c r="C2136" s="1"/>
      <c r="D2136" s="1"/>
      <c r="E2136" s="14"/>
      <c r="F2136" s="15"/>
      <c r="G2136" s="16"/>
      <c r="H2136" s="11"/>
      <c r="I2136" s="7"/>
      <c r="J2136" s="7" t="str">
        <f>IFERROR(LET(_xlpm.v,
VLOOKUP($I2136,'用語辞書'!$A:$B,COLUMN('用語辞書'!B$1),FALSE),
IF(_xlpm.v=0,"",_xlpm.v)
),"")</f>
        <v/>
      </c>
      <c r="K2136" s="17"/>
      <c r="L2136" s="17" t="str">
        <f>IF(OR(COUNTIF('クラス'!$A$1:$A$1267,$B2136)&gt;0,$B2136="",$M2136=""),"",True)</f>
        <v/>
      </c>
      <c r="M2136" s="1" t="str">
        <f t="shared" si="27"/>
        <v>存在しない</v>
      </c>
      <c r="N2136" s="1" t="s">
        <v>29</v>
      </c>
      <c r="O2136" s="1"/>
      <c r="P2136" s="11"/>
      <c r="Q2136" s="11"/>
      <c r="R2136" s="11"/>
      <c r="S2136" s="11"/>
      <c r="T2136" s="1"/>
      <c r="U2136" s="1"/>
      <c r="V2136" s="1"/>
      <c r="W2136" s="1"/>
      <c r="X2136" s="1"/>
      <c r="Y2136" s="1"/>
      <c r="Z2136" s="1"/>
    </row>
    <row r="2137" ht="18.0" hidden="1" customHeight="1" outlineLevel="2">
      <c r="A2137" s="1">
        <v>1.0</v>
      </c>
      <c r="B2137" s="26" t="s">
        <v>2224</v>
      </c>
      <c r="C2137" s="1"/>
      <c r="D2137" s="26" t="s">
        <v>908</v>
      </c>
      <c r="E2137" s="29" t="s">
        <v>33</v>
      </c>
      <c r="F2137" s="15"/>
      <c r="G2137" s="30">
        <v>60.0</v>
      </c>
      <c r="H2137" s="22" t="s">
        <v>2225</v>
      </c>
      <c r="I2137" s="7"/>
      <c r="J2137" s="7" t="str">
        <f>IFERROR(LET(_xlpm.v,
VLOOKUP($I2137,'用語辞書'!$A:$B,COLUMN('用語辞書'!B$1),FALSE),
IF(_xlpm.v=0,"",_xlpm.v)
),"")</f>
        <v/>
      </c>
      <c r="K2137" s="17"/>
      <c r="L2137" s="17" t="b">
        <f>IF(OR(COUNTIF('クラス'!$A$1:$A$1267,$B2137)&gt;0,$B2137="",$M2137=""),"",True)</f>
        <v>1</v>
      </c>
      <c r="M2137" s="1" t="str">
        <f t="shared" si="27"/>
        <v>存在しない</v>
      </c>
      <c r="N2137" s="1" t="s">
        <v>29</v>
      </c>
      <c r="O2137" s="1"/>
      <c r="P2137" s="11"/>
      <c r="Q2137" s="11"/>
      <c r="R2137" s="11"/>
      <c r="S2137" s="11"/>
      <c r="T2137" s="1"/>
      <c r="U2137" s="1"/>
      <c r="V2137" s="1"/>
      <c r="W2137" s="1"/>
      <c r="X2137" s="1"/>
      <c r="Y2137" s="1"/>
      <c r="Z2137" s="1"/>
    </row>
    <row r="2138" ht="18.0" hidden="1" customHeight="1" outlineLevel="2">
      <c r="A2138" s="1">
        <v>2.0</v>
      </c>
      <c r="B2138" s="1"/>
      <c r="C2138" s="1"/>
      <c r="D2138" s="1"/>
      <c r="E2138" s="14"/>
      <c r="F2138" s="15"/>
      <c r="G2138" s="16"/>
      <c r="H2138" s="11"/>
      <c r="I2138" s="7"/>
      <c r="J2138" s="7" t="str">
        <f>IFERROR(LET(_xlpm.v,
VLOOKUP($I2138,'用語辞書'!$A:$B,COLUMN('用語辞書'!B$1),FALSE),
IF(_xlpm.v=0,"",_xlpm.v)
),"")</f>
        <v/>
      </c>
      <c r="K2138" s="17"/>
      <c r="L2138" s="17" t="str">
        <f>IF(OR(COUNTIF('クラス'!$A$1:$A$1267,$B2138)&gt;0,$B2138="",$M2138=""),"",True)</f>
        <v/>
      </c>
      <c r="M2138" s="1" t="str">
        <f t="shared" si="27"/>
        <v>存在しない</v>
      </c>
      <c r="N2138" s="1" t="s">
        <v>29</v>
      </c>
      <c r="O2138" s="1"/>
      <c r="P2138" s="11"/>
      <c r="Q2138" s="11"/>
      <c r="R2138" s="11"/>
      <c r="S2138" s="11"/>
      <c r="T2138" s="1"/>
      <c r="U2138" s="1"/>
      <c r="V2138" s="1"/>
      <c r="W2138" s="1"/>
      <c r="X2138" s="1"/>
      <c r="Y2138" s="1"/>
      <c r="Z2138" s="1"/>
    </row>
    <row r="2139" ht="18.0" hidden="1" customHeight="1" outlineLevel="2">
      <c r="A2139" s="1">
        <v>3.0</v>
      </c>
      <c r="B2139" s="26" t="s">
        <v>898</v>
      </c>
      <c r="C2139" s="1"/>
      <c r="D2139" s="1"/>
      <c r="E2139" s="14"/>
      <c r="F2139" s="15"/>
      <c r="G2139" s="16"/>
      <c r="H2139" s="11"/>
      <c r="I2139" s="7"/>
      <c r="J2139" s="7" t="str">
        <f>IFERROR(LET(_xlpm.v,
VLOOKUP($I2139,'用語辞書'!$A:$B,COLUMN('用語辞書'!B$1),FALSE),
IF(_xlpm.v=0,"",_xlpm.v)
),"")</f>
        <v/>
      </c>
      <c r="K2139" s="17"/>
      <c r="L2139" s="17" t="str">
        <f>IF(OR(COUNTIF('クラス'!$A$1:$A$1267,$B2139)&gt;0,$B2139="",$M2139=""),"",True)</f>
        <v/>
      </c>
      <c r="M2139" s="1" t="str">
        <f t="shared" si="27"/>
        <v/>
      </c>
      <c r="N2139" s="1" t="s">
        <v>29</v>
      </c>
      <c r="O2139" s="1"/>
      <c r="P2139" s="11"/>
      <c r="Q2139" s="11"/>
      <c r="R2139" s="11"/>
      <c r="S2139" s="11"/>
      <c r="T2139" s="1"/>
      <c r="U2139" s="1"/>
      <c r="V2139" s="1"/>
      <c r="W2139" s="1"/>
      <c r="X2139" s="1"/>
      <c r="Y2139" s="1"/>
      <c r="Z2139" s="1"/>
    </row>
    <row r="2140" ht="18.0" hidden="1" customHeight="1" outlineLevel="2">
      <c r="A2140" s="1">
        <v>4.0</v>
      </c>
      <c r="B2140" s="1"/>
      <c r="C2140" s="1"/>
      <c r="D2140" s="1"/>
      <c r="E2140" s="14"/>
      <c r="F2140" s="15"/>
      <c r="G2140" s="16"/>
      <c r="H2140" s="11"/>
      <c r="I2140" s="7"/>
      <c r="J2140" s="7" t="str">
        <f>IFERROR(LET(_xlpm.v,
VLOOKUP($I2140,'用語辞書'!$A:$B,COLUMN('用語辞書'!B$1),FALSE),
IF(_xlpm.v=0,"",_xlpm.v)
),"")</f>
        <v/>
      </c>
      <c r="K2140" s="17"/>
      <c r="L2140" s="17" t="str">
        <f>IF(OR(COUNTIF('クラス'!$A$1:$A$1267,$B2140)&gt;0,$B2140="",$M2140=""),"",True)</f>
        <v/>
      </c>
      <c r="M2140" s="1" t="str">
        <f t="shared" si="27"/>
        <v>存在しない</v>
      </c>
      <c r="N2140" s="1" t="s">
        <v>29</v>
      </c>
      <c r="O2140" s="1"/>
      <c r="P2140" s="11"/>
      <c r="Q2140" s="11"/>
      <c r="R2140" s="11"/>
      <c r="S2140" s="11"/>
      <c r="T2140" s="1"/>
      <c r="U2140" s="1"/>
      <c r="V2140" s="1"/>
      <c r="W2140" s="1"/>
      <c r="X2140" s="1"/>
      <c r="Y2140" s="1"/>
      <c r="Z2140" s="1"/>
    </row>
    <row r="2141" ht="18.0" hidden="1" customHeight="1" outlineLevel="2">
      <c r="A2141" s="1">
        <v>5.0</v>
      </c>
      <c r="B2141" s="26" t="s">
        <v>1768</v>
      </c>
      <c r="C2141" s="1"/>
      <c r="D2141" s="1"/>
      <c r="E2141" s="14"/>
      <c r="F2141" s="15"/>
      <c r="G2141" s="16"/>
      <c r="H2141" s="11"/>
      <c r="I2141" s="7"/>
      <c r="J2141" s="7" t="str">
        <f>IFERROR(LET(_xlpm.v,
VLOOKUP($I2141,'用語辞書'!$A:$B,COLUMN('用語辞書'!B$1),FALSE),
IF(_xlpm.v=0,"",_xlpm.v)
),"")</f>
        <v/>
      </c>
      <c r="K2141" s="17"/>
      <c r="L2141" s="17" t="str">
        <f>IF(OR(COUNTIF('クラス'!$A$1:$A$1267,$B2141)&gt;0,$B2141="",$M2141=""),"",True)</f>
        <v/>
      </c>
      <c r="M2141" s="1" t="str">
        <f t="shared" si="27"/>
        <v/>
      </c>
      <c r="N2141" s="1" t="s">
        <v>29</v>
      </c>
      <c r="O2141" s="1"/>
      <c r="P2141" s="11"/>
      <c r="Q2141" s="11"/>
      <c r="R2141" s="11"/>
      <c r="S2141" s="11"/>
      <c r="T2141" s="1"/>
      <c r="U2141" s="1"/>
      <c r="V2141" s="1"/>
      <c r="W2141" s="1"/>
      <c r="X2141" s="1"/>
      <c r="Y2141" s="1"/>
      <c r="Z2141" s="1"/>
    </row>
    <row r="2142" ht="18.0" hidden="1" customHeight="1" outlineLevel="2">
      <c r="A2142" s="1">
        <v>6.0</v>
      </c>
      <c r="B2142" s="1"/>
      <c r="C2142" s="1"/>
      <c r="D2142" s="1"/>
      <c r="E2142" s="14"/>
      <c r="F2142" s="15"/>
      <c r="G2142" s="16"/>
      <c r="H2142" s="11"/>
      <c r="I2142" s="7"/>
      <c r="J2142" s="7" t="str">
        <f>IFERROR(LET(_xlpm.v,
VLOOKUP($I2142,'用語辞書'!$A:$B,COLUMN('用語辞書'!B$1),FALSE),
IF(_xlpm.v=0,"",_xlpm.v)
),"")</f>
        <v/>
      </c>
      <c r="K2142" s="17"/>
      <c r="L2142" s="17" t="str">
        <f>IF(OR(COUNTIF('クラス'!$A$1:$A$1267,$B2142)&gt;0,$B2142="",$M2142=""),"",True)</f>
        <v/>
      </c>
      <c r="M2142" s="1" t="str">
        <f t="shared" si="27"/>
        <v>存在しない</v>
      </c>
      <c r="N2142" s="1" t="s">
        <v>29</v>
      </c>
      <c r="O2142" s="1"/>
      <c r="P2142" s="11"/>
      <c r="Q2142" s="11"/>
      <c r="R2142" s="11"/>
      <c r="S2142" s="11"/>
      <c r="T2142" s="1"/>
      <c r="U2142" s="1"/>
      <c r="V2142" s="1"/>
      <c r="W2142" s="1"/>
      <c r="X2142" s="1"/>
      <c r="Y2142" s="1"/>
      <c r="Z2142" s="1"/>
    </row>
    <row r="2143" ht="18.0" hidden="1" customHeight="1" outlineLevel="2">
      <c r="A2143" s="1">
        <v>7.0</v>
      </c>
      <c r="B2143" s="26" t="s">
        <v>902</v>
      </c>
      <c r="C2143" s="1"/>
      <c r="D2143" s="1"/>
      <c r="E2143" s="14"/>
      <c r="F2143" s="15"/>
      <c r="G2143" s="16"/>
      <c r="H2143" s="11"/>
      <c r="I2143" s="7"/>
      <c r="J2143" s="7" t="str">
        <f>IFERROR(LET(_xlpm.v,
VLOOKUP($I2143,'用語辞書'!$A:$B,COLUMN('用語辞書'!B$1),FALSE),
IF(_xlpm.v=0,"",_xlpm.v)
),"")</f>
        <v/>
      </c>
      <c r="K2143" s="17"/>
      <c r="L2143" s="17" t="str">
        <f>IF(OR(COUNTIF('クラス'!$A$1:$A$1267,$B2143)&gt;0,$B2143="",$M2143=""),"",True)</f>
        <v/>
      </c>
      <c r="M2143" s="1" t="str">
        <f t="shared" si="27"/>
        <v/>
      </c>
      <c r="N2143" s="1" t="s">
        <v>29</v>
      </c>
      <c r="O2143" s="1"/>
      <c r="P2143" s="11"/>
      <c r="Q2143" s="11"/>
      <c r="R2143" s="11"/>
      <c r="S2143" s="11"/>
      <c r="T2143" s="1"/>
      <c r="U2143" s="1"/>
      <c r="V2143" s="1"/>
      <c r="W2143" s="1"/>
      <c r="X2143" s="1"/>
      <c r="Y2143" s="1"/>
      <c r="Z2143" s="1"/>
    </row>
    <row r="2144" ht="18.0" hidden="1" customHeight="1" outlineLevel="2">
      <c r="A2144" s="1">
        <v>8.0</v>
      </c>
      <c r="B2144" s="1"/>
      <c r="C2144" s="1"/>
      <c r="D2144" s="1"/>
      <c r="E2144" s="14"/>
      <c r="F2144" s="15"/>
      <c r="G2144" s="16"/>
      <c r="H2144" s="11"/>
      <c r="I2144" s="7"/>
      <c r="J2144" s="7" t="str">
        <f>IFERROR(LET(_xlpm.v,
VLOOKUP($I2144,'用語辞書'!$A:$B,COLUMN('用語辞書'!B$1),FALSE),
IF(_xlpm.v=0,"",_xlpm.v)
),"")</f>
        <v/>
      </c>
      <c r="K2144" s="17"/>
      <c r="L2144" s="17" t="str">
        <f>IF(OR(COUNTIF('クラス'!$A$1:$A$1267,$B2144)&gt;0,$B2144="",$M2144=""),"",True)</f>
        <v/>
      </c>
      <c r="M2144" s="1" t="str">
        <f t="shared" si="27"/>
        <v>存在しない</v>
      </c>
      <c r="N2144" s="1" t="s">
        <v>29</v>
      </c>
      <c r="O2144" s="1"/>
      <c r="P2144" s="11"/>
      <c r="Q2144" s="11"/>
      <c r="R2144" s="11"/>
      <c r="S2144" s="11"/>
      <c r="T2144" s="1"/>
      <c r="U2144" s="1"/>
      <c r="V2144" s="1"/>
      <c r="W2144" s="1"/>
      <c r="X2144" s="1"/>
      <c r="Y2144" s="1"/>
      <c r="Z2144" s="1"/>
    </row>
    <row r="2145" ht="18.0" hidden="1" customHeight="1" outlineLevel="2">
      <c r="A2145" s="1">
        <v>9.0</v>
      </c>
      <c r="B2145" s="26" t="s">
        <v>1772</v>
      </c>
      <c r="C2145" s="1"/>
      <c r="D2145" s="1"/>
      <c r="E2145" s="14"/>
      <c r="F2145" s="15"/>
      <c r="G2145" s="16"/>
      <c r="H2145" s="11"/>
      <c r="I2145" s="7"/>
      <c r="J2145" s="7" t="str">
        <f>IFERROR(LET(_xlpm.v,
VLOOKUP($I2145,'用語辞書'!$A:$B,COLUMN('用語辞書'!B$1),FALSE),
IF(_xlpm.v=0,"",_xlpm.v)
),"")</f>
        <v/>
      </c>
      <c r="K2145" s="17"/>
      <c r="L2145" s="17" t="str">
        <f>IF(OR(COUNTIF('クラス'!$A$1:$A$1267,$B2145)&gt;0,$B2145="",$M2145=""),"",True)</f>
        <v/>
      </c>
      <c r="M2145" s="1" t="str">
        <f t="shared" si="27"/>
        <v/>
      </c>
      <c r="N2145" s="1" t="s">
        <v>29</v>
      </c>
      <c r="O2145" s="1"/>
      <c r="P2145" s="11"/>
      <c r="Q2145" s="11"/>
      <c r="R2145" s="11"/>
      <c r="S2145" s="11"/>
      <c r="T2145" s="1"/>
      <c r="U2145" s="1"/>
      <c r="V2145" s="1"/>
      <c r="W2145" s="1"/>
      <c r="X2145" s="1"/>
      <c r="Y2145" s="1"/>
      <c r="Z2145" s="1"/>
    </row>
    <row r="2146" ht="18.0" hidden="1" customHeight="1" outlineLevel="2">
      <c r="A2146" s="1">
        <v>10.0</v>
      </c>
      <c r="B2146" s="26" t="s">
        <v>2226</v>
      </c>
      <c r="C2146" s="1"/>
      <c r="D2146" s="26" t="s">
        <v>908</v>
      </c>
      <c r="E2146" s="29" t="s">
        <v>33</v>
      </c>
      <c r="F2146" s="15"/>
      <c r="G2146" s="30">
        <v>60.0</v>
      </c>
      <c r="H2146" s="22" t="s">
        <v>2227</v>
      </c>
      <c r="I2146" s="7"/>
      <c r="J2146" s="7" t="str">
        <f>IFERROR(LET(_xlpm.v,
VLOOKUP($I2146,'用語辞書'!$A:$B,COLUMN('用語辞書'!B$1),FALSE),
IF(_xlpm.v=0,"",_xlpm.v)
),"")</f>
        <v/>
      </c>
      <c r="K2146" s="17"/>
      <c r="L2146" s="17" t="b">
        <f>IF(OR(COUNTIF('クラス'!$A$1:$A$1267,$B2146)&gt;0,$B2146="",$M2146=""),"",True)</f>
        <v>1</v>
      </c>
      <c r="M2146" s="1" t="str">
        <f t="shared" si="27"/>
        <v>存在しない</v>
      </c>
      <c r="N2146" s="1" t="s">
        <v>29</v>
      </c>
      <c r="O2146" s="1"/>
      <c r="P2146" s="11"/>
      <c r="Q2146" s="11"/>
      <c r="R2146" s="11"/>
      <c r="S2146" s="11"/>
      <c r="T2146" s="1"/>
      <c r="U2146" s="1"/>
      <c r="V2146" s="1"/>
      <c r="W2146" s="1"/>
      <c r="X2146" s="1"/>
      <c r="Y2146" s="1"/>
      <c r="Z2146" s="1"/>
    </row>
    <row r="2147" ht="18.0" customHeight="1" outlineLevel="1" collapsed="1">
      <c r="A2147" s="1"/>
      <c r="B2147" s="1"/>
      <c r="C2147" s="1"/>
      <c r="D2147" s="1"/>
      <c r="E2147" s="14"/>
      <c r="F2147" s="15"/>
      <c r="G2147" s="16"/>
      <c r="H2147" s="11"/>
      <c r="I2147" s="7"/>
      <c r="J2147" s="7" t="str">
        <f>IFERROR(LET(_xlpm.v,
VLOOKUP($I2147,'用語辞書'!$A:$B,COLUMN('用語辞書'!B$1),FALSE),
IF(_xlpm.v=0,"",_xlpm.v)
),"")</f>
        <v/>
      </c>
      <c r="K2147" s="17"/>
      <c r="L2147" s="17" t="str">
        <f>IF(OR(COUNTIF('クラス'!$A$1:$A$1267,$B2147)&gt;0,$B2147="",$M2147=""),"",True)</f>
        <v/>
      </c>
      <c r="M2147" s="1" t="str">
        <f t="shared" si="27"/>
        <v>存在しない</v>
      </c>
      <c r="N2147" s="1" t="s">
        <v>29</v>
      </c>
      <c r="O2147" s="1"/>
      <c r="P2147" s="11"/>
      <c r="Q2147" s="11"/>
      <c r="R2147" s="11"/>
      <c r="S2147" s="11"/>
      <c r="T2147" s="1"/>
      <c r="U2147" s="1"/>
      <c r="V2147" s="1"/>
      <c r="W2147" s="1"/>
      <c r="X2147" s="1"/>
      <c r="Y2147" s="1"/>
      <c r="Z2147" s="1"/>
    </row>
    <row r="2148" ht="18.0" customHeight="1" outlineLevel="1">
      <c r="A2148" s="1"/>
      <c r="B2148" s="26" t="s">
        <v>2228</v>
      </c>
      <c r="C2148" s="1"/>
      <c r="D2148" s="1"/>
      <c r="E2148" s="14"/>
      <c r="F2148" s="15"/>
      <c r="G2148" s="16"/>
      <c r="H2148" s="11"/>
      <c r="I2148" s="7"/>
      <c r="J2148" s="7" t="str">
        <f>IFERROR(LET(_xlpm.v,
VLOOKUP($I2148,'用語辞書'!$A:$B,COLUMN('用語辞書'!B$1),FALSE),
IF(_xlpm.v=0,"",_xlpm.v)
),"")</f>
        <v/>
      </c>
      <c r="K2148" s="17"/>
      <c r="L2148" s="17" t="str">
        <f>IF(OR(COUNTIF('クラス'!$A$1:$A$1267,$B2148)&gt;0,$B2148="",$M2148=""),"",True)</f>
        <v/>
      </c>
      <c r="M2148" s="1" t="str">
        <f t="shared" si="27"/>
        <v>存在しない</v>
      </c>
      <c r="N2148" s="1" t="s">
        <v>29</v>
      </c>
      <c r="O2148" s="1"/>
      <c r="P2148" s="11"/>
      <c r="Q2148" s="11"/>
      <c r="R2148" s="11"/>
      <c r="S2148" s="11"/>
      <c r="T2148" s="1"/>
      <c r="U2148" s="1"/>
      <c r="V2148" s="1"/>
      <c r="W2148" s="1"/>
      <c r="X2148" s="1"/>
      <c r="Y2148" s="1"/>
      <c r="Z2148" s="1"/>
    </row>
    <row r="2149" ht="18.0" hidden="1" customHeight="1" outlineLevel="2">
      <c r="A2149" s="1">
        <v>1.0</v>
      </c>
      <c r="B2149" s="26" t="s">
        <v>2229</v>
      </c>
      <c r="C2149" s="1"/>
      <c r="D2149" s="26" t="s">
        <v>965</v>
      </c>
      <c r="E2149" s="29" t="s">
        <v>33</v>
      </c>
      <c r="F2149" s="15"/>
      <c r="G2149" s="30">
        <v>60.0</v>
      </c>
      <c r="H2149" s="22" t="s">
        <v>2230</v>
      </c>
      <c r="I2149" s="7"/>
      <c r="J2149" s="7" t="str">
        <f>IFERROR(LET(_xlpm.v,
VLOOKUP($I2149,'用語辞書'!$A:$B,COLUMN('用語辞書'!B$1),FALSE),
IF(_xlpm.v=0,"",_xlpm.v)
),"")</f>
        <v/>
      </c>
      <c r="K2149" s="17"/>
      <c r="L2149" s="17" t="b">
        <f>IF(OR(COUNTIF('クラス'!$A$1:$A$1267,$B2149)&gt;0,$B2149="",$M2149=""),"",True)</f>
        <v>1</v>
      </c>
      <c r="M2149" s="1" t="str">
        <f t="shared" si="27"/>
        <v>存在しない</v>
      </c>
      <c r="N2149" s="1" t="s">
        <v>29</v>
      </c>
      <c r="O2149" s="1"/>
      <c r="P2149" s="11"/>
      <c r="Q2149" s="11"/>
      <c r="R2149" s="11"/>
      <c r="S2149" s="11"/>
      <c r="T2149" s="1"/>
      <c r="U2149" s="1"/>
      <c r="V2149" s="1"/>
      <c r="W2149" s="1"/>
      <c r="X2149" s="1"/>
      <c r="Y2149" s="1"/>
      <c r="Z2149" s="1"/>
    </row>
    <row r="2150" ht="18.0" hidden="1" customHeight="1" outlineLevel="2">
      <c r="A2150" s="1">
        <v>2.0</v>
      </c>
      <c r="B2150" s="1"/>
      <c r="C2150" s="1"/>
      <c r="D2150" s="1"/>
      <c r="E2150" s="14"/>
      <c r="F2150" s="15"/>
      <c r="G2150" s="16"/>
      <c r="H2150" s="11"/>
      <c r="I2150" s="7"/>
      <c r="J2150" s="7" t="str">
        <f>IFERROR(LET(_xlpm.v,
VLOOKUP($I2150,'用語辞書'!$A:$B,COLUMN('用語辞書'!B$1),FALSE),
IF(_xlpm.v=0,"",_xlpm.v)
),"")</f>
        <v/>
      </c>
      <c r="K2150" s="17"/>
      <c r="L2150" s="17" t="str">
        <f>IF(OR(COUNTIF('クラス'!$A$1:$A$1267,$B2150)&gt;0,$B2150="",$M2150=""),"",True)</f>
        <v/>
      </c>
      <c r="M2150" s="1" t="str">
        <f t="shared" si="27"/>
        <v>存在しない</v>
      </c>
      <c r="N2150" s="1" t="s">
        <v>29</v>
      </c>
      <c r="O2150" s="1"/>
      <c r="P2150" s="11"/>
      <c r="Q2150" s="11"/>
      <c r="R2150" s="11"/>
      <c r="S2150" s="11"/>
      <c r="T2150" s="1"/>
      <c r="U2150" s="1"/>
      <c r="V2150" s="1"/>
      <c r="W2150" s="1"/>
      <c r="X2150" s="1"/>
      <c r="Y2150" s="1"/>
      <c r="Z2150" s="1"/>
    </row>
    <row r="2151" ht="18.0" hidden="1" customHeight="1" outlineLevel="2">
      <c r="A2151" s="1">
        <v>3.0</v>
      </c>
      <c r="B2151" s="26" t="s">
        <v>966</v>
      </c>
      <c r="C2151" s="1"/>
      <c r="D2151" s="1"/>
      <c r="E2151" s="14"/>
      <c r="F2151" s="15"/>
      <c r="G2151" s="16"/>
      <c r="H2151" s="11"/>
      <c r="I2151" s="7"/>
      <c r="J2151" s="7" t="str">
        <f>IFERROR(LET(_xlpm.v,
VLOOKUP($I2151,'用語辞書'!$A:$B,COLUMN('用語辞書'!B$1),FALSE),
IF(_xlpm.v=0,"",_xlpm.v)
),"")</f>
        <v/>
      </c>
      <c r="K2151" s="17"/>
      <c r="L2151" s="17" t="str">
        <f>IF(OR(COUNTIF('クラス'!$A$1:$A$1267,$B2151)&gt;0,$B2151="",$M2151=""),"",True)</f>
        <v/>
      </c>
      <c r="M2151" s="1" t="str">
        <f t="shared" si="27"/>
        <v/>
      </c>
      <c r="N2151" s="1" t="s">
        <v>29</v>
      </c>
      <c r="O2151" s="1"/>
      <c r="P2151" s="11"/>
      <c r="Q2151" s="11"/>
      <c r="R2151" s="11"/>
      <c r="S2151" s="11"/>
      <c r="T2151" s="1"/>
      <c r="U2151" s="1"/>
      <c r="V2151" s="1"/>
      <c r="W2151" s="1"/>
      <c r="X2151" s="1"/>
      <c r="Y2151" s="1"/>
      <c r="Z2151" s="1"/>
    </row>
    <row r="2152" ht="18.0" hidden="1" customHeight="1" outlineLevel="2">
      <c r="A2152" s="1">
        <v>4.0</v>
      </c>
      <c r="B2152" s="1"/>
      <c r="C2152" s="1"/>
      <c r="D2152" s="1"/>
      <c r="E2152" s="14"/>
      <c r="F2152" s="15"/>
      <c r="G2152" s="16"/>
      <c r="H2152" s="11"/>
      <c r="I2152" s="7"/>
      <c r="J2152" s="7" t="str">
        <f>IFERROR(LET(_xlpm.v,
VLOOKUP($I2152,'用語辞書'!$A:$B,COLUMN('用語辞書'!B$1),FALSE),
IF(_xlpm.v=0,"",_xlpm.v)
),"")</f>
        <v/>
      </c>
      <c r="K2152" s="17"/>
      <c r="L2152" s="17" t="str">
        <f>IF(OR(COUNTIF('クラス'!$A$1:$A$1267,$B2152)&gt;0,$B2152="",$M2152=""),"",True)</f>
        <v/>
      </c>
      <c r="M2152" s="1" t="str">
        <f t="shared" si="27"/>
        <v>存在しない</v>
      </c>
      <c r="N2152" s="1" t="s">
        <v>29</v>
      </c>
      <c r="O2152" s="1"/>
      <c r="P2152" s="11"/>
      <c r="Q2152" s="11"/>
      <c r="R2152" s="11"/>
      <c r="S2152" s="11"/>
      <c r="T2152" s="1"/>
      <c r="U2152" s="1"/>
      <c r="V2152" s="1"/>
      <c r="W2152" s="1"/>
      <c r="X2152" s="1"/>
      <c r="Y2152" s="1"/>
      <c r="Z2152" s="1"/>
    </row>
    <row r="2153" ht="18.0" hidden="1" customHeight="1" outlineLevel="2">
      <c r="A2153" s="1">
        <v>5.0</v>
      </c>
      <c r="B2153" s="26" t="s">
        <v>1789</v>
      </c>
      <c r="C2153" s="1"/>
      <c r="D2153" s="1"/>
      <c r="E2153" s="14"/>
      <c r="F2153" s="15"/>
      <c r="G2153" s="16"/>
      <c r="H2153" s="11"/>
      <c r="I2153" s="7"/>
      <c r="J2153" s="7" t="str">
        <f>IFERROR(LET(_xlpm.v,
VLOOKUP($I2153,'用語辞書'!$A:$B,COLUMN('用語辞書'!B$1),FALSE),
IF(_xlpm.v=0,"",_xlpm.v)
),"")</f>
        <v/>
      </c>
      <c r="K2153" s="17"/>
      <c r="L2153" s="17" t="str">
        <f>IF(OR(COUNTIF('クラス'!$A$1:$A$1267,$B2153)&gt;0,$B2153="",$M2153=""),"",True)</f>
        <v/>
      </c>
      <c r="M2153" s="1" t="str">
        <f t="shared" si="27"/>
        <v/>
      </c>
      <c r="N2153" s="1" t="s">
        <v>29</v>
      </c>
      <c r="O2153" s="1"/>
      <c r="P2153" s="11"/>
      <c r="Q2153" s="11"/>
      <c r="R2153" s="11"/>
      <c r="S2153" s="11"/>
      <c r="T2153" s="1"/>
      <c r="U2153" s="1"/>
      <c r="V2153" s="1"/>
      <c r="W2153" s="1"/>
      <c r="X2153" s="1"/>
      <c r="Y2153" s="1"/>
      <c r="Z2153" s="1"/>
    </row>
    <row r="2154" ht="18.0" hidden="1" customHeight="1" outlineLevel="2">
      <c r="A2154" s="1">
        <v>6.0</v>
      </c>
      <c r="B2154" s="1"/>
      <c r="C2154" s="1"/>
      <c r="D2154" s="1"/>
      <c r="E2154" s="14"/>
      <c r="F2154" s="15"/>
      <c r="G2154" s="16"/>
      <c r="H2154" s="11"/>
      <c r="I2154" s="7"/>
      <c r="J2154" s="7" t="str">
        <f>IFERROR(LET(_xlpm.v,
VLOOKUP($I2154,'用語辞書'!$A:$B,COLUMN('用語辞書'!B$1),FALSE),
IF(_xlpm.v=0,"",_xlpm.v)
),"")</f>
        <v/>
      </c>
      <c r="K2154" s="17"/>
      <c r="L2154" s="17" t="str">
        <f>IF(OR(COUNTIF('クラス'!$A$1:$A$1267,$B2154)&gt;0,$B2154="",$M2154=""),"",True)</f>
        <v/>
      </c>
      <c r="M2154" s="1" t="str">
        <f t="shared" si="27"/>
        <v>存在しない</v>
      </c>
      <c r="N2154" s="1" t="s">
        <v>29</v>
      </c>
      <c r="O2154" s="1"/>
      <c r="P2154" s="11"/>
      <c r="Q2154" s="11"/>
      <c r="R2154" s="11"/>
      <c r="S2154" s="11"/>
      <c r="T2154" s="1"/>
      <c r="U2154" s="1"/>
      <c r="V2154" s="1"/>
      <c r="W2154" s="1"/>
      <c r="X2154" s="1"/>
      <c r="Y2154" s="1"/>
      <c r="Z2154" s="1"/>
    </row>
    <row r="2155" ht="18.0" hidden="1" customHeight="1" outlineLevel="2">
      <c r="A2155" s="1">
        <v>7.0</v>
      </c>
      <c r="B2155" s="26" t="s">
        <v>978</v>
      </c>
      <c r="C2155" s="1"/>
      <c r="D2155" s="1"/>
      <c r="E2155" s="14"/>
      <c r="F2155" s="15"/>
      <c r="G2155" s="16"/>
      <c r="H2155" s="11"/>
      <c r="I2155" s="7"/>
      <c r="J2155" s="7" t="str">
        <f>IFERROR(LET(_xlpm.v,
VLOOKUP($I2155,'用語辞書'!$A:$B,COLUMN('用語辞書'!B$1),FALSE),
IF(_xlpm.v=0,"",_xlpm.v)
),"")</f>
        <v/>
      </c>
      <c r="K2155" s="17"/>
      <c r="L2155" s="17" t="str">
        <f>IF(OR(COUNTIF('クラス'!$A$1:$A$1267,$B2155)&gt;0,$B2155="",$M2155=""),"",True)</f>
        <v/>
      </c>
      <c r="M2155" s="1" t="str">
        <f t="shared" si="27"/>
        <v/>
      </c>
      <c r="N2155" s="1" t="s">
        <v>29</v>
      </c>
      <c r="O2155" s="1"/>
      <c r="P2155" s="11"/>
      <c r="Q2155" s="11"/>
      <c r="R2155" s="11"/>
      <c r="S2155" s="11"/>
      <c r="T2155" s="1"/>
      <c r="U2155" s="1"/>
      <c r="V2155" s="1"/>
      <c r="W2155" s="1"/>
      <c r="X2155" s="1"/>
      <c r="Y2155" s="1"/>
      <c r="Z2155" s="1"/>
    </row>
    <row r="2156" ht="18.0" hidden="1" customHeight="1" outlineLevel="2">
      <c r="A2156" s="1">
        <v>8.0</v>
      </c>
      <c r="B2156" s="1"/>
      <c r="C2156" s="1"/>
      <c r="D2156" s="1"/>
      <c r="E2156" s="14"/>
      <c r="F2156" s="15"/>
      <c r="G2156" s="16"/>
      <c r="H2156" s="11"/>
      <c r="I2156" s="7"/>
      <c r="J2156" s="7" t="str">
        <f>IFERROR(LET(_xlpm.v,
VLOOKUP($I2156,'用語辞書'!$A:$B,COLUMN('用語辞書'!B$1),FALSE),
IF(_xlpm.v=0,"",_xlpm.v)
),"")</f>
        <v/>
      </c>
      <c r="K2156" s="17"/>
      <c r="L2156" s="17" t="str">
        <f>IF(OR(COUNTIF('クラス'!$A$1:$A$1267,$B2156)&gt;0,$B2156="",$M2156=""),"",True)</f>
        <v/>
      </c>
      <c r="M2156" s="1" t="str">
        <f t="shared" si="27"/>
        <v>存在しない</v>
      </c>
      <c r="N2156" s="1" t="s">
        <v>29</v>
      </c>
      <c r="O2156" s="1"/>
      <c r="P2156" s="11"/>
      <c r="Q2156" s="11"/>
      <c r="R2156" s="11"/>
      <c r="S2156" s="11"/>
      <c r="T2156" s="1"/>
      <c r="U2156" s="1"/>
      <c r="V2156" s="1"/>
      <c r="W2156" s="1"/>
      <c r="X2156" s="1"/>
      <c r="Y2156" s="1"/>
      <c r="Z2156" s="1"/>
    </row>
    <row r="2157" ht="18.0" hidden="1" customHeight="1" outlineLevel="2">
      <c r="A2157" s="1">
        <v>9.0</v>
      </c>
      <c r="B2157" s="26" t="s">
        <v>1793</v>
      </c>
      <c r="C2157" s="1"/>
      <c r="D2157" s="1"/>
      <c r="E2157" s="14"/>
      <c r="F2157" s="15"/>
      <c r="G2157" s="16"/>
      <c r="H2157" s="11"/>
      <c r="I2157" s="7"/>
      <c r="J2157" s="7" t="str">
        <f>IFERROR(LET(_xlpm.v,
VLOOKUP($I2157,'用語辞書'!$A:$B,COLUMN('用語辞書'!B$1),FALSE),
IF(_xlpm.v=0,"",_xlpm.v)
),"")</f>
        <v/>
      </c>
      <c r="K2157" s="17"/>
      <c r="L2157" s="17" t="str">
        <f>IF(OR(COUNTIF('クラス'!$A$1:$A$1267,$B2157)&gt;0,$B2157="",$M2157=""),"",True)</f>
        <v/>
      </c>
      <c r="M2157" s="1" t="str">
        <f t="shared" si="27"/>
        <v/>
      </c>
      <c r="N2157" s="1" t="s">
        <v>29</v>
      </c>
      <c r="O2157" s="1"/>
      <c r="P2157" s="11"/>
      <c r="Q2157" s="11"/>
      <c r="R2157" s="11"/>
      <c r="S2157" s="11"/>
      <c r="T2157" s="1"/>
      <c r="U2157" s="1"/>
      <c r="V2157" s="1"/>
      <c r="W2157" s="1"/>
      <c r="X2157" s="1"/>
      <c r="Y2157" s="1"/>
      <c r="Z2157" s="1"/>
    </row>
    <row r="2158" ht="18.0" hidden="1" customHeight="1" outlineLevel="2">
      <c r="A2158" s="1">
        <v>10.0</v>
      </c>
      <c r="B2158" s="26" t="s">
        <v>2231</v>
      </c>
      <c r="C2158" s="1"/>
      <c r="D2158" s="26" t="s">
        <v>965</v>
      </c>
      <c r="E2158" s="29" t="s">
        <v>33</v>
      </c>
      <c r="F2158" s="15"/>
      <c r="G2158" s="30">
        <v>60.0</v>
      </c>
      <c r="H2158" s="22" t="s">
        <v>2232</v>
      </c>
      <c r="I2158" s="7"/>
      <c r="J2158" s="7" t="str">
        <f>IFERROR(LET(_xlpm.v,
VLOOKUP($I2158,'用語辞書'!$A:$B,COLUMN('用語辞書'!B$1),FALSE),
IF(_xlpm.v=0,"",_xlpm.v)
),"")</f>
        <v/>
      </c>
      <c r="K2158" s="17"/>
      <c r="L2158" s="17" t="b">
        <f>IF(OR(COUNTIF('クラス'!$A$1:$A$1267,$B2158)&gt;0,$B2158="",$M2158=""),"",True)</f>
        <v>1</v>
      </c>
      <c r="M2158" s="1" t="str">
        <f t="shared" si="27"/>
        <v>存在しない</v>
      </c>
      <c r="N2158" s="1" t="s">
        <v>29</v>
      </c>
      <c r="O2158" s="1"/>
      <c r="P2158" s="11"/>
      <c r="Q2158" s="11"/>
      <c r="R2158" s="11"/>
      <c r="S2158" s="11"/>
      <c r="T2158" s="1"/>
      <c r="U2158" s="1"/>
      <c r="V2158" s="1"/>
      <c r="W2158" s="1"/>
      <c r="X2158" s="1"/>
      <c r="Y2158" s="1"/>
      <c r="Z2158" s="1"/>
    </row>
    <row r="2159" ht="18.0" customHeight="1" collapsed="1">
      <c r="A2159" s="1"/>
      <c r="B2159" s="1"/>
      <c r="C2159" s="26" t="s">
        <v>2233</v>
      </c>
      <c r="D2159" s="1"/>
      <c r="E2159" s="14"/>
      <c r="F2159" s="15"/>
      <c r="G2159" s="16"/>
      <c r="H2159" s="11"/>
      <c r="I2159" s="7"/>
      <c r="J2159" s="7" t="str">
        <f>IFERROR(LET(_xlpm.v,
VLOOKUP($I2159,'用語辞書'!$A:$B,COLUMN('用語辞書'!B$1),FALSE),
IF(_xlpm.v=0,"",_xlpm.v)
),"")</f>
        <v/>
      </c>
      <c r="K2159" s="17"/>
      <c r="L2159" s="17" t="str">
        <f>IF(OR(COUNTIF('クラス'!$A$1:$A$1267,$B2159)&gt;0,$B2159="",$M2159=""),"",True)</f>
        <v/>
      </c>
      <c r="M2159" s="1" t="str">
        <f t="shared" si="27"/>
        <v>存在しない</v>
      </c>
      <c r="N2159" s="1" t="s">
        <v>29</v>
      </c>
      <c r="O2159" s="1"/>
      <c r="P2159" s="11"/>
      <c r="Q2159" s="11"/>
      <c r="R2159" s="11"/>
      <c r="S2159" s="11"/>
      <c r="T2159" s="1"/>
      <c r="U2159" s="1"/>
      <c r="V2159" s="1"/>
      <c r="W2159" s="1"/>
      <c r="X2159" s="1"/>
      <c r="Y2159" s="1"/>
      <c r="Z2159" s="1"/>
    </row>
    <row r="2160" ht="18.0" customHeight="1">
      <c r="A2160" s="1"/>
      <c r="B2160" s="26" t="s">
        <v>2234</v>
      </c>
      <c r="C2160" s="26" t="s">
        <v>2235</v>
      </c>
      <c r="D2160" s="1"/>
      <c r="E2160" s="14"/>
      <c r="F2160" s="15"/>
      <c r="G2160" s="16"/>
      <c r="H2160" s="11"/>
      <c r="I2160" s="7"/>
      <c r="J2160" s="7" t="str">
        <f>IFERROR(LET(_xlpm.v,
VLOOKUP($I2160,'用語辞書'!$A:$B,COLUMN('用語辞書'!B$1),FALSE),
IF(_xlpm.v=0,"",_xlpm.v)
),"")</f>
        <v/>
      </c>
      <c r="K2160" s="17"/>
      <c r="L2160" s="17" t="str">
        <f>IF(OR(COUNTIF('クラス'!$A$1:$A$1267,$B2160)&gt;0,$B2160="",$M2160=""),"",True)</f>
        <v/>
      </c>
      <c r="M2160" s="1" t="str">
        <f t="shared" si="27"/>
        <v>存在しない</v>
      </c>
      <c r="N2160" s="1" t="s">
        <v>29</v>
      </c>
      <c r="O2160" s="1"/>
      <c r="P2160" s="11"/>
      <c r="Q2160" s="11"/>
      <c r="R2160" s="11"/>
      <c r="S2160" s="11"/>
      <c r="T2160" s="1"/>
      <c r="U2160" s="1"/>
      <c r="V2160" s="1"/>
      <c r="W2160" s="1"/>
      <c r="X2160" s="1"/>
      <c r="Y2160" s="1"/>
      <c r="Z2160" s="1"/>
    </row>
    <row r="2161" ht="18.0" hidden="1" customHeight="1" outlineLevel="1">
      <c r="A2161" s="1">
        <v>1.0</v>
      </c>
      <c r="B2161" s="26" t="s">
        <v>1136</v>
      </c>
      <c r="C2161" s="1"/>
      <c r="D2161" s="1"/>
      <c r="E2161" s="14"/>
      <c r="F2161" s="15"/>
      <c r="G2161" s="16"/>
      <c r="H2161" s="11"/>
      <c r="I2161" s="7"/>
      <c r="J2161" s="7" t="str">
        <f>IFERROR(LET(_xlpm.v,
VLOOKUP($I2161,'用語辞書'!$A:$B,COLUMN('用語辞書'!B$1),FALSE),
IF(_xlpm.v=0,"",_xlpm.v)
),"")</f>
        <v/>
      </c>
      <c r="K2161" s="17"/>
      <c r="L2161" s="17" t="str">
        <f>IF(OR(COUNTIF('クラス'!$A$1:$A$1267,$B2161)&gt;0,$B2161="",$M2161=""),"",True)</f>
        <v/>
      </c>
      <c r="M2161" s="1" t="str">
        <f t="shared" si="27"/>
        <v/>
      </c>
      <c r="N2161" s="1" t="s">
        <v>29</v>
      </c>
      <c r="O2161" s="1"/>
      <c r="P2161" s="11"/>
      <c r="Q2161" s="11"/>
      <c r="R2161" s="11"/>
      <c r="S2161" s="11"/>
      <c r="T2161" s="1"/>
      <c r="U2161" s="1"/>
      <c r="V2161" s="1"/>
      <c r="W2161" s="1"/>
      <c r="X2161" s="1"/>
      <c r="Y2161" s="1"/>
      <c r="Z2161" s="1"/>
    </row>
    <row r="2162" ht="18.0" hidden="1" customHeight="1" outlineLevel="1">
      <c r="A2162" s="1">
        <v>2.0</v>
      </c>
      <c r="B2162" s="26" t="s">
        <v>1144</v>
      </c>
      <c r="C2162" s="1"/>
      <c r="D2162" s="1"/>
      <c r="E2162" s="14"/>
      <c r="F2162" s="15"/>
      <c r="G2162" s="16"/>
      <c r="H2162" s="11"/>
      <c r="I2162" s="7"/>
      <c r="J2162" s="7" t="str">
        <f>IFERROR(LET(_xlpm.v,
VLOOKUP($I2162,'用語辞書'!$A:$B,COLUMN('用語辞書'!B$1),FALSE),
IF(_xlpm.v=0,"",_xlpm.v)
),"")</f>
        <v/>
      </c>
      <c r="K2162" s="17"/>
      <c r="L2162" s="17" t="str">
        <f>IF(OR(COUNTIF('クラス'!$A$1:$A$1267,$B2162)&gt;0,$B2162="",$M2162=""),"",True)</f>
        <v/>
      </c>
      <c r="M2162" s="1" t="str">
        <f t="shared" si="27"/>
        <v/>
      </c>
      <c r="N2162" s="1" t="s">
        <v>29</v>
      </c>
      <c r="O2162" s="1"/>
      <c r="P2162" s="11"/>
      <c r="Q2162" s="11"/>
      <c r="R2162" s="11"/>
      <c r="S2162" s="11"/>
      <c r="T2162" s="1"/>
      <c r="U2162" s="1"/>
      <c r="V2162" s="1"/>
      <c r="W2162" s="1"/>
      <c r="X2162" s="1"/>
      <c r="Y2162" s="1"/>
      <c r="Z2162" s="1"/>
    </row>
    <row r="2163" ht="18.0" hidden="1" customHeight="1" outlineLevel="1">
      <c r="A2163" s="1">
        <v>3.0</v>
      </c>
      <c r="B2163" s="26" t="s">
        <v>1139</v>
      </c>
      <c r="C2163" s="1"/>
      <c r="D2163" s="1"/>
      <c r="E2163" s="14"/>
      <c r="F2163" s="15"/>
      <c r="G2163" s="16"/>
      <c r="H2163" s="11"/>
      <c r="I2163" s="7"/>
      <c r="J2163" s="7" t="str">
        <f>IFERROR(LET(_xlpm.v,
VLOOKUP($I2163,'用語辞書'!$A:$B,COLUMN('用語辞書'!B$1),FALSE),
IF(_xlpm.v=0,"",_xlpm.v)
),"")</f>
        <v/>
      </c>
      <c r="K2163" s="17"/>
      <c r="L2163" s="17" t="str">
        <f>IF(OR(COUNTIF('クラス'!$A$1:$A$1267,$B2163)&gt;0,$B2163="",$M2163=""),"",True)</f>
        <v/>
      </c>
      <c r="M2163" s="1" t="str">
        <f t="shared" si="27"/>
        <v/>
      </c>
      <c r="N2163" s="1" t="s">
        <v>29</v>
      </c>
      <c r="O2163" s="1"/>
      <c r="P2163" s="11"/>
      <c r="Q2163" s="11"/>
      <c r="R2163" s="11"/>
      <c r="S2163" s="11"/>
      <c r="T2163" s="1"/>
      <c r="U2163" s="1"/>
      <c r="V2163" s="1"/>
      <c r="W2163" s="1"/>
      <c r="X2163" s="1"/>
      <c r="Y2163" s="1"/>
      <c r="Z2163" s="1"/>
    </row>
    <row r="2164" ht="18.0" hidden="1" customHeight="1" outlineLevel="1">
      <c r="A2164" s="1">
        <v>4.0</v>
      </c>
      <c r="B2164" s="26" t="s">
        <v>1140</v>
      </c>
      <c r="C2164" s="1"/>
      <c r="D2164" s="1"/>
      <c r="E2164" s="14"/>
      <c r="F2164" s="15"/>
      <c r="G2164" s="16"/>
      <c r="H2164" s="11"/>
      <c r="I2164" s="7"/>
      <c r="J2164" s="7" t="str">
        <f>IFERROR(LET(_xlpm.v,
VLOOKUP($I2164,'用語辞書'!$A:$B,COLUMN('用語辞書'!B$1),FALSE),
IF(_xlpm.v=0,"",_xlpm.v)
),"")</f>
        <v/>
      </c>
      <c r="K2164" s="17"/>
      <c r="L2164" s="17" t="str">
        <f>IF(OR(COUNTIF('クラス'!$A$1:$A$1267,$B2164)&gt;0,$B2164="",$M2164=""),"",True)</f>
        <v/>
      </c>
      <c r="M2164" s="1" t="str">
        <f t="shared" si="27"/>
        <v/>
      </c>
      <c r="N2164" s="1" t="s">
        <v>29</v>
      </c>
      <c r="O2164" s="1"/>
      <c r="P2164" s="11"/>
      <c r="Q2164" s="11"/>
      <c r="R2164" s="11"/>
      <c r="S2164" s="11"/>
      <c r="T2164" s="1"/>
      <c r="U2164" s="1"/>
      <c r="V2164" s="1"/>
      <c r="W2164" s="1"/>
      <c r="X2164" s="1"/>
      <c r="Y2164" s="1"/>
      <c r="Z2164" s="1"/>
    </row>
    <row r="2165" ht="18.0" hidden="1" customHeight="1" outlineLevel="1">
      <c r="A2165" s="1">
        <v>5.0</v>
      </c>
      <c r="B2165" s="26" t="s">
        <v>1209</v>
      </c>
      <c r="C2165" s="1"/>
      <c r="D2165" s="1"/>
      <c r="E2165" s="14"/>
      <c r="F2165" s="15"/>
      <c r="G2165" s="16"/>
      <c r="H2165" s="11"/>
      <c r="I2165" s="7"/>
      <c r="J2165" s="7" t="str">
        <f>IFERROR(LET(_xlpm.v,
VLOOKUP($I2165,'用語辞書'!$A:$B,COLUMN('用語辞書'!B$1),FALSE),
IF(_xlpm.v=0,"",_xlpm.v)
),"")</f>
        <v/>
      </c>
      <c r="K2165" s="17"/>
      <c r="L2165" s="17" t="str">
        <f>IF(OR(COUNTIF('クラス'!$A$1:$A$1267,$B2165)&gt;0,$B2165="",$M2165=""),"",True)</f>
        <v/>
      </c>
      <c r="M2165" s="1" t="str">
        <f t="shared" si="27"/>
        <v/>
      </c>
      <c r="N2165" s="1" t="s">
        <v>29</v>
      </c>
      <c r="O2165" s="1"/>
      <c r="P2165" s="11"/>
      <c r="Q2165" s="11"/>
      <c r="R2165" s="11"/>
      <c r="S2165" s="11"/>
      <c r="T2165" s="1"/>
      <c r="U2165" s="1"/>
      <c r="V2165" s="1"/>
      <c r="W2165" s="1"/>
      <c r="X2165" s="1"/>
      <c r="Y2165" s="1"/>
      <c r="Z2165" s="1"/>
    </row>
    <row r="2166" ht="18.0" hidden="1" customHeight="1" outlineLevel="1">
      <c r="A2166" s="1">
        <v>6.0</v>
      </c>
      <c r="B2166" s="26" t="s">
        <v>29</v>
      </c>
      <c r="C2166" s="1"/>
      <c r="D2166" s="1"/>
      <c r="E2166" s="14"/>
      <c r="F2166" s="15"/>
      <c r="G2166" s="16"/>
      <c r="H2166" s="11"/>
      <c r="I2166" s="7"/>
      <c r="J2166" s="7" t="str">
        <f>IFERROR(LET(_xlpm.v,
VLOOKUP($I2166,'用語辞書'!$A:$B,COLUMN('用語辞書'!B$1),FALSE),
IF(_xlpm.v=0,"",_xlpm.v)
),"")</f>
        <v/>
      </c>
      <c r="K2166" s="17"/>
      <c r="L2166" s="17" t="str">
        <f>IF(OR(COUNTIF('クラス'!$A$1:$A$1267,$B2166)&gt;0,$B2166="",$M2166=""),"",True)</f>
        <v/>
      </c>
      <c r="M2166" s="1" t="str">
        <f t="shared" si="27"/>
        <v/>
      </c>
      <c r="N2166" s="1" t="s">
        <v>29</v>
      </c>
      <c r="O2166" s="1"/>
      <c r="P2166" s="11"/>
      <c r="Q2166" s="11"/>
      <c r="R2166" s="11"/>
      <c r="S2166" s="11"/>
      <c r="T2166" s="1"/>
      <c r="U2166" s="1"/>
      <c r="V2166" s="1"/>
      <c r="W2166" s="1"/>
      <c r="X2166" s="1"/>
      <c r="Y2166" s="1"/>
      <c r="Z2166" s="1"/>
    </row>
    <row r="2167" ht="18.0" hidden="1" customHeight="1" outlineLevel="1">
      <c r="A2167" s="1">
        <v>7.0</v>
      </c>
      <c r="B2167" s="26" t="s">
        <v>2000</v>
      </c>
      <c r="C2167" s="1"/>
      <c r="D2167" s="1"/>
      <c r="E2167" s="14"/>
      <c r="F2167" s="15"/>
      <c r="G2167" s="16"/>
      <c r="H2167" s="11"/>
      <c r="I2167" s="7"/>
      <c r="J2167" s="7" t="str">
        <f>IFERROR(LET(_xlpm.v,
VLOOKUP($I2167,'用語辞書'!$A:$B,COLUMN('用語辞書'!B$1),FALSE),
IF(_xlpm.v=0,"",_xlpm.v)
),"")</f>
        <v/>
      </c>
      <c r="K2167" s="17"/>
      <c r="L2167" s="17" t="str">
        <f>IF(OR(COUNTIF('クラス'!$A$1:$A$1267,$B2167)&gt;0,$B2167="",$M2167=""),"",True)</f>
        <v/>
      </c>
      <c r="M2167" s="1" t="str">
        <f t="shared" si="27"/>
        <v/>
      </c>
      <c r="N2167" s="1" t="s">
        <v>29</v>
      </c>
      <c r="O2167" s="1"/>
      <c r="P2167" s="11"/>
      <c r="Q2167" s="11"/>
      <c r="R2167" s="11"/>
      <c r="S2167" s="11"/>
      <c r="T2167" s="1"/>
      <c r="U2167" s="1"/>
      <c r="V2167" s="1"/>
      <c r="W2167" s="1"/>
      <c r="X2167" s="1"/>
      <c r="Y2167" s="1"/>
      <c r="Z2167" s="1"/>
    </row>
    <row r="2168" ht="18.0" hidden="1" customHeight="1" outlineLevel="1">
      <c r="A2168" s="1">
        <v>8.0</v>
      </c>
      <c r="B2168" s="26" t="s">
        <v>29</v>
      </c>
      <c r="C2168" s="1"/>
      <c r="D2168" s="1"/>
      <c r="E2168" s="14"/>
      <c r="F2168" s="15"/>
      <c r="G2168" s="16"/>
      <c r="H2168" s="11"/>
      <c r="I2168" s="7"/>
      <c r="J2168" s="7" t="str">
        <f>IFERROR(LET(_xlpm.v,
VLOOKUP($I2168,'用語辞書'!$A:$B,COLUMN('用語辞書'!B$1),FALSE),
IF(_xlpm.v=0,"",_xlpm.v)
),"")</f>
        <v/>
      </c>
      <c r="K2168" s="17"/>
      <c r="L2168" s="17" t="str">
        <f>IF(OR(COUNTIF('クラス'!$A$1:$A$1267,$B2168)&gt;0,$B2168="",$M2168=""),"",True)</f>
        <v/>
      </c>
      <c r="M2168" s="1" t="str">
        <f t="shared" si="27"/>
        <v/>
      </c>
      <c r="N2168" s="1" t="s">
        <v>29</v>
      </c>
      <c r="O2168" s="1"/>
      <c r="P2168" s="11"/>
      <c r="Q2168" s="11"/>
      <c r="R2168" s="11"/>
      <c r="S2168" s="11"/>
      <c r="T2168" s="1"/>
      <c r="U2168" s="1"/>
      <c r="V2168" s="1"/>
      <c r="W2168" s="1"/>
      <c r="X2168" s="1"/>
      <c r="Y2168" s="1"/>
      <c r="Z2168" s="1"/>
    </row>
    <row r="2169" ht="18.0" hidden="1" customHeight="1" outlineLevel="1">
      <c r="A2169" s="1">
        <v>9.0</v>
      </c>
      <c r="B2169" s="26" t="s">
        <v>29</v>
      </c>
      <c r="C2169" s="1"/>
      <c r="D2169" s="1"/>
      <c r="E2169" s="14"/>
      <c r="F2169" s="15"/>
      <c r="G2169" s="16"/>
      <c r="H2169" s="11"/>
      <c r="I2169" s="7"/>
      <c r="J2169" s="7" t="str">
        <f>IFERROR(LET(_xlpm.v,
VLOOKUP($I2169,'用語辞書'!$A:$B,COLUMN('用語辞書'!B$1),FALSE),
IF(_xlpm.v=0,"",_xlpm.v)
),"")</f>
        <v/>
      </c>
      <c r="K2169" s="17"/>
      <c r="L2169" s="17" t="str">
        <f>IF(OR(COUNTIF('クラス'!$A$1:$A$1267,$B2169)&gt;0,$B2169="",$M2169=""),"",True)</f>
        <v/>
      </c>
      <c r="M2169" s="1" t="str">
        <f t="shared" si="27"/>
        <v/>
      </c>
      <c r="N2169" s="1" t="s">
        <v>29</v>
      </c>
      <c r="O2169" s="1"/>
      <c r="P2169" s="11"/>
      <c r="Q2169" s="11"/>
      <c r="R2169" s="11"/>
      <c r="S2169" s="11"/>
      <c r="T2169" s="1"/>
      <c r="U2169" s="1"/>
      <c r="V2169" s="1"/>
      <c r="W2169" s="1"/>
      <c r="X2169" s="1"/>
      <c r="Y2169" s="1"/>
      <c r="Z2169" s="1"/>
    </row>
    <row r="2170" ht="18.0" hidden="1" customHeight="1" outlineLevel="1">
      <c r="A2170" s="1">
        <v>10.0</v>
      </c>
      <c r="B2170" s="26" t="s">
        <v>2236</v>
      </c>
      <c r="C2170" s="26" t="s">
        <v>29</v>
      </c>
      <c r="D2170" s="26" t="s">
        <v>29</v>
      </c>
      <c r="E2170" s="29" t="s">
        <v>55</v>
      </c>
      <c r="F2170" s="34" t="s">
        <v>29</v>
      </c>
      <c r="G2170" s="30" t="s">
        <v>29</v>
      </c>
      <c r="H2170" s="22" t="s">
        <v>2237</v>
      </c>
      <c r="I2170" s="7"/>
      <c r="J2170" s="7" t="str">
        <f>IFERROR(LET(_xlpm.v,
VLOOKUP($I2170,'用語辞書'!$A:$B,COLUMN('用語辞書'!B$1),FALSE),
IF(_xlpm.v=0,"",_xlpm.v)
),"")</f>
        <v/>
      </c>
      <c r="K2170" s="17"/>
      <c r="L2170" s="17" t="b">
        <f>IF(OR(COUNTIF('クラス'!$A$1:$A$1267,$B2170)&gt;0,$B2170="",$M2170=""),"",True)</f>
        <v>1</v>
      </c>
      <c r="M2170" s="1" t="str">
        <f t="shared" si="27"/>
        <v>存在しない</v>
      </c>
      <c r="N2170" s="1" t="s">
        <v>29</v>
      </c>
      <c r="O2170" s="1"/>
      <c r="P2170" s="11"/>
      <c r="Q2170" s="11"/>
      <c r="R2170" s="11"/>
      <c r="S2170" s="11"/>
      <c r="T2170" s="1"/>
      <c r="U2170" s="1"/>
      <c r="V2170" s="1"/>
      <c r="W2170" s="1"/>
      <c r="X2170" s="1"/>
      <c r="Y2170" s="1"/>
      <c r="Z2170" s="1"/>
    </row>
    <row r="2171" ht="18.0" customHeight="1" collapsed="1">
      <c r="A2171" s="1"/>
      <c r="B2171" s="1"/>
      <c r="C2171" s="1"/>
      <c r="D2171" s="1"/>
      <c r="E2171" s="14"/>
      <c r="F2171" s="15"/>
      <c r="G2171" s="16"/>
      <c r="H2171" s="11"/>
      <c r="I2171" s="7"/>
      <c r="J2171" s="7" t="str">
        <f>IFERROR(LET(_xlpm.v,
VLOOKUP($I2171,'用語辞書'!$A:$B,COLUMN('用語辞書'!B$1),FALSE),
IF(_xlpm.v=0,"",_xlpm.v)
),"")</f>
        <v/>
      </c>
      <c r="K2171" s="17"/>
      <c r="L2171" s="17" t="str">
        <f>IF(OR(COUNTIF('クラス'!$A$1:$A$1267,$B2171)&gt;0,$B2171="",$M2171=""),"",True)</f>
        <v/>
      </c>
      <c r="M2171" s="1" t="str">
        <f t="shared" si="27"/>
        <v>存在しない</v>
      </c>
      <c r="N2171" s="1" t="s">
        <v>29</v>
      </c>
      <c r="O2171" s="1"/>
      <c r="P2171" s="11"/>
      <c r="Q2171" s="11"/>
      <c r="R2171" s="11"/>
      <c r="S2171" s="11"/>
      <c r="T2171" s="1"/>
      <c r="U2171" s="1"/>
      <c r="V2171" s="1"/>
      <c r="W2171" s="1"/>
      <c r="X2171" s="1"/>
      <c r="Y2171" s="1"/>
      <c r="Z2171" s="1"/>
    </row>
    <row r="2172" ht="18.0" customHeight="1">
      <c r="A2172" s="1"/>
      <c r="B2172" s="26" t="s">
        <v>2238</v>
      </c>
      <c r="C2172" s="26" t="s">
        <v>2235</v>
      </c>
      <c r="D2172" s="1"/>
      <c r="E2172" s="14"/>
      <c r="F2172" s="15"/>
      <c r="G2172" s="16"/>
      <c r="H2172" s="11"/>
      <c r="I2172" s="7"/>
      <c r="J2172" s="7" t="str">
        <f>IFERROR(LET(_xlpm.v,
VLOOKUP($I2172,'用語辞書'!$A:$B,COLUMN('用語辞書'!B$1),FALSE),
IF(_xlpm.v=0,"",_xlpm.v)
),"")</f>
        <v/>
      </c>
      <c r="K2172" s="17"/>
      <c r="L2172" s="17" t="str">
        <f>IF(OR(COUNTIF('クラス'!$A$1:$A$1267,$B2172)&gt;0,$B2172="",$M2172=""),"",True)</f>
        <v/>
      </c>
      <c r="M2172" s="1" t="str">
        <f t="shared" si="27"/>
        <v>存在しない</v>
      </c>
      <c r="N2172" s="1" t="s">
        <v>29</v>
      </c>
      <c r="O2172" s="1"/>
      <c r="P2172" s="11"/>
      <c r="Q2172" s="11"/>
      <c r="R2172" s="11"/>
      <c r="S2172" s="11"/>
      <c r="T2172" s="1"/>
      <c r="U2172" s="1"/>
      <c r="V2172" s="1"/>
      <c r="W2172" s="1"/>
      <c r="X2172" s="1"/>
      <c r="Y2172" s="1"/>
      <c r="Z2172" s="1"/>
    </row>
    <row r="2173" ht="18.0" hidden="1" customHeight="1" outlineLevel="1">
      <c r="A2173" s="1">
        <v>1.0</v>
      </c>
      <c r="B2173" s="26" t="s">
        <v>2239</v>
      </c>
      <c r="C2173" s="26" t="s">
        <v>29</v>
      </c>
      <c r="D2173" s="26" t="s">
        <v>29</v>
      </c>
      <c r="E2173" s="29" t="s">
        <v>55</v>
      </c>
      <c r="F2173" s="34" t="s">
        <v>29</v>
      </c>
      <c r="G2173" s="30" t="s">
        <v>29</v>
      </c>
      <c r="H2173" s="22" t="s">
        <v>1578</v>
      </c>
      <c r="I2173" s="7"/>
      <c r="J2173" s="7" t="str">
        <f>IFERROR(LET(_xlpm.v,
VLOOKUP($I2173,'用語辞書'!$A:$B,COLUMN('用語辞書'!B$1),FALSE),
IF(_xlpm.v=0,"",_xlpm.v)
),"")</f>
        <v/>
      </c>
      <c r="K2173" s="17"/>
      <c r="L2173" s="17" t="b">
        <f>IF(OR(COUNTIF('クラス'!$A$1:$A$1267,$B2173)&gt;0,$B2173="",$M2173=""),"",True)</f>
        <v>1</v>
      </c>
      <c r="M2173" s="1" t="str">
        <f t="shared" si="27"/>
        <v>存在しない</v>
      </c>
      <c r="N2173" s="1" t="s">
        <v>29</v>
      </c>
      <c r="O2173" s="1"/>
      <c r="P2173" s="11"/>
      <c r="Q2173" s="11"/>
      <c r="R2173" s="11"/>
      <c r="S2173" s="11"/>
      <c r="T2173" s="1"/>
      <c r="U2173" s="1"/>
      <c r="V2173" s="1"/>
      <c r="W2173" s="1"/>
      <c r="X2173" s="1"/>
      <c r="Y2173" s="1"/>
      <c r="Z2173" s="1"/>
    </row>
    <row r="2174" ht="18.0" hidden="1" customHeight="1" outlineLevel="1">
      <c r="A2174" s="1">
        <v>2.0</v>
      </c>
      <c r="B2174" s="26" t="s">
        <v>29</v>
      </c>
      <c r="C2174" s="1"/>
      <c r="D2174" s="1"/>
      <c r="E2174" s="14"/>
      <c r="F2174" s="15"/>
      <c r="G2174" s="16"/>
      <c r="H2174" s="11"/>
      <c r="I2174" s="7"/>
      <c r="J2174" s="7" t="str">
        <f>IFERROR(LET(_xlpm.v,
VLOOKUP($I2174,'用語辞書'!$A:$B,COLUMN('用語辞書'!B$1),FALSE),
IF(_xlpm.v=0,"",_xlpm.v)
),"")</f>
        <v/>
      </c>
      <c r="K2174" s="17"/>
      <c r="L2174" s="17" t="str">
        <f>IF(OR(COUNTIF('クラス'!$A$1:$A$1267,$B2174)&gt;0,$B2174="",$M2174=""),"",True)</f>
        <v/>
      </c>
      <c r="M2174" s="1" t="str">
        <f t="shared" si="27"/>
        <v/>
      </c>
      <c r="N2174" s="1" t="s">
        <v>29</v>
      </c>
      <c r="O2174" s="1"/>
      <c r="P2174" s="11"/>
      <c r="Q2174" s="11"/>
      <c r="R2174" s="11"/>
      <c r="S2174" s="11"/>
      <c r="T2174" s="1"/>
      <c r="U2174" s="1"/>
      <c r="V2174" s="1"/>
      <c r="W2174" s="1"/>
      <c r="X2174" s="1"/>
      <c r="Y2174" s="1"/>
      <c r="Z2174" s="1"/>
    </row>
    <row r="2175" ht="18.0" hidden="1" customHeight="1" outlineLevel="1">
      <c r="A2175" s="1">
        <v>3.0</v>
      </c>
      <c r="B2175" s="26" t="s">
        <v>1255</v>
      </c>
      <c r="C2175" s="1"/>
      <c r="D2175" s="1"/>
      <c r="E2175" s="14"/>
      <c r="F2175" s="15"/>
      <c r="G2175" s="16"/>
      <c r="H2175" s="11"/>
      <c r="I2175" s="7"/>
      <c r="J2175" s="7" t="str">
        <f>IFERROR(LET(_xlpm.v,
VLOOKUP($I2175,'用語辞書'!$A:$B,COLUMN('用語辞書'!B$1),FALSE),
IF(_xlpm.v=0,"",_xlpm.v)
),"")</f>
        <v/>
      </c>
      <c r="K2175" s="17"/>
      <c r="L2175" s="17" t="str">
        <f>IF(OR(COUNTIF('クラス'!$A$1:$A$1267,$B2175)&gt;0,$B2175="",$M2175=""),"",True)</f>
        <v/>
      </c>
      <c r="M2175" s="1" t="str">
        <f t="shared" si="27"/>
        <v/>
      </c>
      <c r="N2175" s="1" t="s">
        <v>29</v>
      </c>
      <c r="O2175" s="1"/>
      <c r="P2175" s="11"/>
      <c r="Q2175" s="11"/>
      <c r="R2175" s="11"/>
      <c r="S2175" s="11"/>
      <c r="T2175" s="1"/>
      <c r="U2175" s="1"/>
      <c r="V2175" s="1"/>
      <c r="W2175" s="1"/>
      <c r="X2175" s="1"/>
      <c r="Y2175" s="1"/>
      <c r="Z2175" s="1"/>
    </row>
    <row r="2176" ht="18.0" hidden="1" customHeight="1" outlineLevel="1">
      <c r="A2176" s="1">
        <v>4.0</v>
      </c>
      <c r="B2176" s="26" t="s">
        <v>29</v>
      </c>
      <c r="C2176" s="1"/>
      <c r="D2176" s="1"/>
      <c r="E2176" s="14"/>
      <c r="F2176" s="15"/>
      <c r="G2176" s="16"/>
      <c r="H2176" s="11"/>
      <c r="I2176" s="7"/>
      <c r="J2176" s="7" t="str">
        <f>IFERROR(LET(_xlpm.v,
VLOOKUP($I2176,'用語辞書'!$A:$B,COLUMN('用語辞書'!B$1),FALSE),
IF(_xlpm.v=0,"",_xlpm.v)
),"")</f>
        <v/>
      </c>
      <c r="K2176" s="17"/>
      <c r="L2176" s="17" t="str">
        <f>IF(OR(COUNTIF('クラス'!$A$1:$A$1267,$B2176)&gt;0,$B2176="",$M2176=""),"",True)</f>
        <v/>
      </c>
      <c r="M2176" s="1" t="str">
        <f t="shared" si="27"/>
        <v/>
      </c>
      <c r="N2176" s="1" t="s">
        <v>29</v>
      </c>
      <c r="O2176" s="1"/>
      <c r="P2176" s="11"/>
      <c r="Q2176" s="11"/>
      <c r="R2176" s="11"/>
      <c r="S2176" s="11"/>
      <c r="T2176" s="1"/>
      <c r="U2176" s="1"/>
      <c r="V2176" s="1"/>
      <c r="W2176" s="1"/>
      <c r="X2176" s="1"/>
      <c r="Y2176" s="1"/>
      <c r="Z2176" s="1"/>
    </row>
    <row r="2177" ht="18.0" hidden="1" customHeight="1" outlineLevel="1">
      <c r="A2177" s="1">
        <v>5.0</v>
      </c>
      <c r="B2177" s="26" t="s">
        <v>1144</v>
      </c>
      <c r="C2177" s="1"/>
      <c r="D2177" s="1"/>
      <c r="E2177" s="14"/>
      <c r="F2177" s="15"/>
      <c r="G2177" s="16"/>
      <c r="H2177" s="11"/>
      <c r="I2177" s="7"/>
      <c r="J2177" s="7" t="str">
        <f>IFERROR(LET(_xlpm.v,
VLOOKUP($I2177,'用語辞書'!$A:$B,COLUMN('用語辞書'!B$1),FALSE),
IF(_xlpm.v=0,"",_xlpm.v)
),"")</f>
        <v/>
      </c>
      <c r="K2177" s="17"/>
      <c r="L2177" s="17" t="str">
        <f>IF(OR(COUNTIF('クラス'!$A$1:$A$1267,$B2177)&gt;0,$B2177="",$M2177=""),"",True)</f>
        <v/>
      </c>
      <c r="M2177" s="1" t="str">
        <f t="shared" si="27"/>
        <v/>
      </c>
      <c r="N2177" s="1" t="s">
        <v>29</v>
      </c>
      <c r="O2177" s="1"/>
      <c r="P2177" s="11"/>
      <c r="Q2177" s="11"/>
      <c r="R2177" s="11"/>
      <c r="S2177" s="11"/>
      <c r="T2177" s="1"/>
      <c r="U2177" s="1"/>
      <c r="V2177" s="1"/>
      <c r="W2177" s="1"/>
      <c r="X2177" s="1"/>
      <c r="Y2177" s="1"/>
      <c r="Z2177" s="1"/>
    </row>
    <row r="2178" ht="18.0" hidden="1" customHeight="1" outlineLevel="1">
      <c r="A2178" s="1">
        <v>6.0</v>
      </c>
      <c r="B2178" s="26" t="s">
        <v>29</v>
      </c>
      <c r="C2178" s="1"/>
      <c r="D2178" s="1"/>
      <c r="E2178" s="14"/>
      <c r="F2178" s="15"/>
      <c r="G2178" s="16"/>
      <c r="H2178" s="11"/>
      <c r="I2178" s="7"/>
      <c r="J2178" s="7" t="str">
        <f>IFERROR(LET(_xlpm.v,
VLOOKUP($I2178,'用語辞書'!$A:$B,COLUMN('用語辞書'!B$1),FALSE),
IF(_xlpm.v=0,"",_xlpm.v)
),"")</f>
        <v/>
      </c>
      <c r="K2178" s="17"/>
      <c r="L2178" s="17" t="str">
        <f>IF(OR(COUNTIF('クラス'!$A$1:$A$1267,$B2178)&gt;0,$B2178="",$M2178=""),"",True)</f>
        <v/>
      </c>
      <c r="M2178" s="1" t="str">
        <f t="shared" si="27"/>
        <v/>
      </c>
      <c r="N2178" s="1" t="s">
        <v>29</v>
      </c>
      <c r="O2178" s="1"/>
      <c r="P2178" s="11"/>
      <c r="Q2178" s="11"/>
      <c r="R2178" s="11"/>
      <c r="S2178" s="11"/>
      <c r="T2178" s="1"/>
      <c r="U2178" s="1"/>
      <c r="V2178" s="1"/>
      <c r="W2178" s="1"/>
      <c r="X2178" s="1"/>
      <c r="Y2178" s="1"/>
      <c r="Z2178" s="1"/>
    </row>
    <row r="2179" ht="18.0" hidden="1" customHeight="1" outlineLevel="1">
      <c r="A2179" s="1">
        <v>7.0</v>
      </c>
      <c r="B2179" s="26" t="s">
        <v>1259</v>
      </c>
      <c r="C2179" s="1"/>
      <c r="D2179" s="1"/>
      <c r="E2179" s="14"/>
      <c r="F2179" s="15"/>
      <c r="G2179" s="16"/>
      <c r="H2179" s="11"/>
      <c r="I2179" s="7"/>
      <c r="J2179" s="7" t="str">
        <f>IFERROR(LET(_xlpm.v,
VLOOKUP($I2179,'用語辞書'!$A:$B,COLUMN('用語辞書'!B$1),FALSE),
IF(_xlpm.v=0,"",_xlpm.v)
),"")</f>
        <v/>
      </c>
      <c r="K2179" s="17"/>
      <c r="L2179" s="17" t="str">
        <f>IF(OR(COUNTIF('クラス'!$A$1:$A$1267,$B2179)&gt;0,$B2179="",$M2179=""),"",True)</f>
        <v/>
      </c>
      <c r="M2179" s="1" t="str">
        <f t="shared" si="27"/>
        <v/>
      </c>
      <c r="N2179" s="1" t="s">
        <v>29</v>
      </c>
      <c r="O2179" s="1"/>
      <c r="P2179" s="11"/>
      <c r="Q2179" s="11"/>
      <c r="R2179" s="11"/>
      <c r="S2179" s="11"/>
      <c r="T2179" s="1"/>
      <c r="U2179" s="1"/>
      <c r="V2179" s="1"/>
      <c r="W2179" s="1"/>
      <c r="X2179" s="1"/>
      <c r="Y2179" s="1"/>
      <c r="Z2179" s="1"/>
    </row>
    <row r="2180" ht="18.0" hidden="1" customHeight="1" outlineLevel="1">
      <c r="A2180" s="1">
        <v>8.0</v>
      </c>
      <c r="B2180" s="26" t="s">
        <v>29</v>
      </c>
      <c r="C2180" s="1"/>
      <c r="D2180" s="1"/>
      <c r="E2180" s="14"/>
      <c r="F2180" s="15"/>
      <c r="G2180" s="16"/>
      <c r="H2180" s="11"/>
      <c r="I2180" s="7"/>
      <c r="J2180" s="7" t="str">
        <f>IFERROR(LET(_xlpm.v,
VLOOKUP($I2180,'用語辞書'!$A:$B,COLUMN('用語辞書'!B$1),FALSE),
IF(_xlpm.v=0,"",_xlpm.v)
),"")</f>
        <v/>
      </c>
      <c r="K2180" s="17"/>
      <c r="L2180" s="17" t="str">
        <f>IF(OR(COUNTIF('クラス'!$A$1:$A$1267,$B2180)&gt;0,$B2180="",$M2180=""),"",True)</f>
        <v/>
      </c>
      <c r="M2180" s="1" t="str">
        <f t="shared" si="27"/>
        <v/>
      </c>
      <c r="N2180" s="1" t="s">
        <v>29</v>
      </c>
      <c r="O2180" s="1"/>
      <c r="P2180" s="11"/>
      <c r="Q2180" s="11"/>
      <c r="R2180" s="11"/>
      <c r="S2180" s="11"/>
      <c r="T2180" s="1"/>
      <c r="U2180" s="1"/>
      <c r="V2180" s="1"/>
      <c r="W2180" s="1"/>
      <c r="X2180" s="1"/>
      <c r="Y2180" s="1"/>
      <c r="Z2180" s="1"/>
    </row>
    <row r="2181" ht="18.0" hidden="1" customHeight="1" outlineLevel="1">
      <c r="A2181" s="1">
        <v>9.0</v>
      </c>
      <c r="B2181" s="26" t="s">
        <v>1140</v>
      </c>
      <c r="C2181" s="1"/>
      <c r="D2181" s="1"/>
      <c r="E2181" s="14"/>
      <c r="F2181" s="15"/>
      <c r="G2181" s="16"/>
      <c r="H2181" s="11"/>
      <c r="I2181" s="7"/>
      <c r="J2181" s="7" t="str">
        <f>IFERROR(LET(_xlpm.v,
VLOOKUP($I2181,'用語辞書'!$A:$B,COLUMN('用語辞書'!B$1),FALSE),
IF(_xlpm.v=0,"",_xlpm.v)
),"")</f>
        <v/>
      </c>
      <c r="K2181" s="17"/>
      <c r="L2181" s="17" t="str">
        <f>IF(OR(COUNTIF('クラス'!$A$1:$A$1267,$B2181)&gt;0,$B2181="",$M2181=""),"",True)</f>
        <v/>
      </c>
      <c r="M2181" s="1" t="str">
        <f t="shared" si="27"/>
        <v/>
      </c>
      <c r="N2181" s="1" t="s">
        <v>29</v>
      </c>
      <c r="O2181" s="1"/>
      <c r="P2181" s="11"/>
      <c r="Q2181" s="11"/>
      <c r="R2181" s="11"/>
      <c r="S2181" s="11"/>
      <c r="T2181" s="1"/>
      <c r="U2181" s="1"/>
      <c r="V2181" s="1"/>
      <c r="W2181" s="1"/>
      <c r="X2181" s="1"/>
      <c r="Y2181" s="1"/>
      <c r="Z2181" s="1"/>
    </row>
    <row r="2182" ht="18.0" hidden="1" customHeight="1" outlineLevel="1">
      <c r="A2182" s="1">
        <v>10.0</v>
      </c>
      <c r="B2182" s="26" t="s">
        <v>1263</v>
      </c>
      <c r="C2182" s="1"/>
      <c r="D2182" s="1"/>
      <c r="E2182" s="14"/>
      <c r="F2182" s="15"/>
      <c r="G2182" s="16"/>
      <c r="H2182" s="11"/>
      <c r="I2182" s="7"/>
      <c r="J2182" s="7" t="str">
        <f>IFERROR(LET(_xlpm.v,
VLOOKUP($I2182,'用語辞書'!$A:$B,COLUMN('用語辞書'!B$1),FALSE),
IF(_xlpm.v=0,"",_xlpm.v)
),"")</f>
        <v/>
      </c>
      <c r="K2182" s="17"/>
      <c r="L2182" s="17" t="str">
        <f>IF(OR(COUNTIF('クラス'!$A$1:$A$1267,$B2182)&gt;0,$B2182="",$M2182=""),"",True)</f>
        <v/>
      </c>
      <c r="M2182" s="1" t="str">
        <f t="shared" si="27"/>
        <v/>
      </c>
      <c r="N2182" s="1" t="s">
        <v>29</v>
      </c>
      <c r="O2182" s="1"/>
      <c r="P2182" s="11"/>
      <c r="Q2182" s="11"/>
      <c r="R2182" s="11"/>
      <c r="S2182" s="11"/>
      <c r="T2182" s="1"/>
      <c r="U2182" s="1"/>
      <c r="V2182" s="1"/>
      <c r="W2182" s="1"/>
      <c r="X2182" s="1"/>
      <c r="Y2182" s="1"/>
      <c r="Z2182" s="1"/>
    </row>
    <row r="2183" ht="18.0" customHeight="1" collapsed="1">
      <c r="A2183" s="1"/>
      <c r="B2183" s="1"/>
      <c r="C2183" s="1"/>
      <c r="D2183" s="1"/>
      <c r="E2183" s="14"/>
      <c r="F2183" s="15"/>
      <c r="G2183" s="16"/>
      <c r="H2183" s="11"/>
      <c r="I2183" s="7"/>
      <c r="J2183" s="7" t="str">
        <f>IFERROR(LET(_xlpm.v,
VLOOKUP($I2183,'用語辞書'!$A:$B,COLUMN('用語辞書'!B$1),FALSE),
IF(_xlpm.v=0,"",_xlpm.v)
),"")</f>
        <v/>
      </c>
      <c r="K2183" s="17"/>
      <c r="L2183" s="17" t="str">
        <f>IF(OR(COUNTIF('クラス'!$A$1:$A$1267,$B2183)&gt;0,$B2183="",$M2183=""),"",True)</f>
        <v/>
      </c>
      <c r="M2183" s="1" t="str">
        <f t="shared" si="27"/>
        <v>存在しない</v>
      </c>
      <c r="N2183" s="1" t="s">
        <v>29</v>
      </c>
      <c r="O2183" s="1"/>
      <c r="P2183" s="11"/>
      <c r="Q2183" s="11"/>
      <c r="R2183" s="11"/>
      <c r="S2183" s="11"/>
      <c r="T2183" s="1"/>
      <c r="U2183" s="1"/>
      <c r="V2183" s="1"/>
      <c r="W2183" s="1"/>
      <c r="X2183" s="1"/>
      <c r="Y2183" s="1"/>
      <c r="Z2183" s="1"/>
    </row>
    <row r="2184" ht="18.0" customHeight="1">
      <c r="A2184" s="1"/>
      <c r="B2184" s="26" t="s">
        <v>2240</v>
      </c>
      <c r="C2184" s="1"/>
      <c r="D2184" s="1"/>
      <c r="E2184" s="14"/>
      <c r="F2184" s="15"/>
      <c r="G2184" s="16"/>
      <c r="H2184" s="11"/>
      <c r="I2184" s="7"/>
      <c r="J2184" s="7" t="str">
        <f>IFERROR(LET(_xlpm.v,
VLOOKUP($I2184,'用語辞書'!$A:$B,COLUMN('用語辞書'!B$1),FALSE),
IF(_xlpm.v=0,"",_xlpm.v)
),"")</f>
        <v/>
      </c>
      <c r="K2184" s="17"/>
      <c r="L2184" s="17" t="str">
        <f>IF(OR(COUNTIF('クラス'!$A$1:$A$1267,$B2184)&gt;0,$B2184="",$M2184=""),"",True)</f>
        <v/>
      </c>
      <c r="M2184" s="1" t="str">
        <f t="shared" si="27"/>
        <v>存在しない</v>
      </c>
      <c r="N2184" s="1" t="s">
        <v>29</v>
      </c>
      <c r="O2184" s="1"/>
      <c r="P2184" s="11"/>
      <c r="Q2184" s="11"/>
      <c r="R2184" s="11"/>
      <c r="S2184" s="11"/>
      <c r="T2184" s="1"/>
      <c r="U2184" s="1"/>
      <c r="V2184" s="1"/>
      <c r="W2184" s="1"/>
      <c r="X2184" s="1"/>
      <c r="Y2184" s="1"/>
      <c r="Z2184" s="1"/>
    </row>
    <row r="2185" ht="18.0" hidden="1" customHeight="1" outlineLevel="1">
      <c r="A2185" s="1">
        <v>1.0</v>
      </c>
      <c r="B2185" s="26" t="s">
        <v>1136</v>
      </c>
      <c r="C2185" s="1"/>
      <c r="D2185" s="1"/>
      <c r="E2185" s="14"/>
      <c r="F2185" s="15"/>
      <c r="G2185" s="16"/>
      <c r="H2185" s="11"/>
      <c r="I2185" s="7"/>
      <c r="J2185" s="7" t="str">
        <f>IFERROR(LET(_xlpm.v,
VLOOKUP($I2185,'用語辞書'!$A:$B,COLUMN('用語辞書'!B$1),FALSE),
IF(_xlpm.v=0,"",_xlpm.v)
),"")</f>
        <v/>
      </c>
      <c r="K2185" s="17"/>
      <c r="L2185" s="17" t="str">
        <f>IF(OR(COUNTIF('クラス'!$A$1:$A$1267,$B2185)&gt;0,$B2185="",$M2185=""),"",True)</f>
        <v/>
      </c>
      <c r="M2185" s="1" t="str">
        <f t="shared" si="27"/>
        <v/>
      </c>
      <c r="N2185" s="1" t="s">
        <v>29</v>
      </c>
      <c r="O2185" s="1"/>
      <c r="P2185" s="11"/>
      <c r="Q2185" s="11"/>
      <c r="R2185" s="11"/>
      <c r="S2185" s="11"/>
      <c r="T2185" s="1"/>
      <c r="U2185" s="1"/>
      <c r="V2185" s="1"/>
      <c r="W2185" s="1"/>
      <c r="X2185" s="1"/>
      <c r="Y2185" s="1"/>
      <c r="Z2185" s="1"/>
    </row>
    <row r="2186" ht="18.0" hidden="1" customHeight="1" outlineLevel="1">
      <c r="A2186" s="1">
        <v>2.0</v>
      </c>
      <c r="B2186" s="26" t="s">
        <v>29</v>
      </c>
      <c r="C2186" s="1"/>
      <c r="D2186" s="1"/>
      <c r="E2186" s="14"/>
      <c r="F2186" s="15"/>
      <c r="G2186" s="16"/>
      <c r="H2186" s="11"/>
      <c r="I2186" s="7"/>
      <c r="J2186" s="7" t="str">
        <f>IFERROR(LET(_xlpm.v,
VLOOKUP($I2186,'用語辞書'!$A:$B,COLUMN('用語辞書'!B$1),FALSE),
IF(_xlpm.v=0,"",_xlpm.v)
),"")</f>
        <v/>
      </c>
      <c r="K2186" s="17"/>
      <c r="L2186" s="17" t="str">
        <f>IF(OR(COUNTIF('クラス'!$A$1:$A$1267,$B2186)&gt;0,$B2186="",$M2186=""),"",True)</f>
        <v/>
      </c>
      <c r="M2186" s="1" t="str">
        <f t="shared" si="27"/>
        <v/>
      </c>
      <c r="N2186" s="1" t="s">
        <v>29</v>
      </c>
      <c r="O2186" s="1"/>
      <c r="P2186" s="11"/>
      <c r="Q2186" s="11"/>
      <c r="R2186" s="11"/>
      <c r="S2186" s="11"/>
      <c r="T2186" s="1"/>
      <c r="U2186" s="1"/>
      <c r="V2186" s="1"/>
      <c r="W2186" s="1"/>
      <c r="X2186" s="1"/>
      <c r="Y2186" s="1"/>
      <c r="Z2186" s="1"/>
    </row>
    <row r="2187" ht="18.0" hidden="1" customHeight="1" outlineLevel="1">
      <c r="A2187" s="1">
        <v>3.0</v>
      </c>
      <c r="B2187" s="26" t="s">
        <v>2239</v>
      </c>
      <c r="C2187" s="1"/>
      <c r="D2187" s="1"/>
      <c r="E2187" s="14"/>
      <c r="F2187" s="15"/>
      <c r="G2187" s="16"/>
      <c r="H2187" s="11"/>
      <c r="I2187" s="7"/>
      <c r="J2187" s="7" t="str">
        <f>IFERROR(LET(_xlpm.v,
VLOOKUP($I2187,'用語辞書'!$A:$B,COLUMN('用語辞書'!B$1),FALSE),
IF(_xlpm.v=0,"",_xlpm.v)
),"")</f>
        <v/>
      </c>
      <c r="K2187" s="17"/>
      <c r="L2187" s="17" t="str">
        <f>IF(OR(COUNTIF('クラス'!$A$1:$A$1267,$B2187)&gt;0,$B2187="",$M2187=""),"",True)</f>
        <v/>
      </c>
      <c r="M2187" s="1" t="str">
        <f t="shared" si="27"/>
        <v/>
      </c>
      <c r="N2187" s="1" t="s">
        <v>29</v>
      </c>
      <c r="O2187" s="1"/>
      <c r="P2187" s="11"/>
      <c r="Q2187" s="11"/>
      <c r="R2187" s="11"/>
      <c r="S2187" s="11"/>
      <c r="T2187" s="1"/>
      <c r="U2187" s="1"/>
      <c r="V2187" s="1"/>
      <c r="W2187" s="1"/>
      <c r="X2187" s="1"/>
      <c r="Y2187" s="1"/>
      <c r="Z2187" s="1"/>
    </row>
    <row r="2188" ht="18.0" hidden="1" customHeight="1" outlineLevel="1">
      <c r="A2188" s="1">
        <v>4.0</v>
      </c>
      <c r="B2188" s="26" t="s">
        <v>29</v>
      </c>
      <c r="C2188" s="1"/>
      <c r="D2188" s="1"/>
      <c r="E2188" s="14"/>
      <c r="F2188" s="15"/>
      <c r="G2188" s="16"/>
      <c r="H2188" s="11"/>
      <c r="I2188" s="7"/>
      <c r="J2188" s="7" t="str">
        <f>IFERROR(LET(_xlpm.v,
VLOOKUP($I2188,'用語辞書'!$A:$B,COLUMN('用語辞書'!B$1),FALSE),
IF(_xlpm.v=0,"",_xlpm.v)
),"")</f>
        <v/>
      </c>
      <c r="K2188" s="17"/>
      <c r="L2188" s="17" t="str">
        <f>IF(OR(COUNTIF('クラス'!$A$1:$A$1267,$B2188)&gt;0,$B2188="",$M2188=""),"",True)</f>
        <v/>
      </c>
      <c r="M2188" s="1" t="str">
        <f t="shared" si="27"/>
        <v/>
      </c>
      <c r="N2188" s="1" t="s">
        <v>29</v>
      </c>
      <c r="O2188" s="1"/>
      <c r="P2188" s="11"/>
      <c r="Q2188" s="11"/>
      <c r="R2188" s="11"/>
      <c r="S2188" s="11"/>
      <c r="T2188" s="1"/>
      <c r="U2188" s="1"/>
      <c r="V2188" s="1"/>
      <c r="W2188" s="1"/>
      <c r="X2188" s="1"/>
      <c r="Y2188" s="1"/>
      <c r="Z2188" s="1"/>
    </row>
    <row r="2189" ht="18.0" hidden="1" customHeight="1" outlineLevel="1">
      <c r="A2189" s="1">
        <v>5.0</v>
      </c>
      <c r="B2189" s="26" t="s">
        <v>1140</v>
      </c>
      <c r="C2189" s="1"/>
      <c r="D2189" s="1"/>
      <c r="E2189" s="14"/>
      <c r="F2189" s="15"/>
      <c r="G2189" s="16"/>
      <c r="H2189" s="11"/>
      <c r="I2189" s="7"/>
      <c r="J2189" s="7" t="str">
        <f>IFERROR(LET(_xlpm.v,
VLOOKUP($I2189,'用語辞書'!$A:$B,COLUMN('用語辞書'!B$1),FALSE),
IF(_xlpm.v=0,"",_xlpm.v)
),"")</f>
        <v/>
      </c>
      <c r="K2189" s="17"/>
      <c r="L2189" s="17" t="str">
        <f>IF(OR(COUNTIF('クラス'!$A$1:$A$1267,$B2189)&gt;0,$B2189="",$M2189=""),"",True)</f>
        <v/>
      </c>
      <c r="M2189" s="1" t="str">
        <f t="shared" si="27"/>
        <v/>
      </c>
      <c r="N2189" s="1" t="s">
        <v>29</v>
      </c>
      <c r="O2189" s="1"/>
      <c r="P2189" s="11"/>
      <c r="Q2189" s="11"/>
      <c r="R2189" s="11"/>
      <c r="S2189" s="11"/>
      <c r="T2189" s="1"/>
      <c r="U2189" s="1"/>
      <c r="V2189" s="1"/>
      <c r="W2189" s="1"/>
      <c r="X2189" s="1"/>
      <c r="Y2189" s="1"/>
      <c r="Z2189" s="1"/>
    </row>
    <row r="2190" ht="18.0" hidden="1" customHeight="1" outlineLevel="1">
      <c r="A2190" s="1">
        <v>6.0</v>
      </c>
      <c r="B2190" s="26" t="s">
        <v>29</v>
      </c>
      <c r="C2190" s="1"/>
      <c r="D2190" s="1"/>
      <c r="E2190" s="14"/>
      <c r="F2190" s="15"/>
      <c r="G2190" s="16"/>
      <c r="H2190" s="11"/>
      <c r="I2190" s="7"/>
      <c r="J2190" s="7" t="str">
        <f>IFERROR(LET(_xlpm.v,
VLOOKUP($I2190,'用語辞書'!$A:$B,COLUMN('用語辞書'!B$1),FALSE),
IF(_xlpm.v=0,"",_xlpm.v)
),"")</f>
        <v/>
      </c>
      <c r="K2190" s="17"/>
      <c r="L2190" s="17" t="str">
        <f>IF(OR(COUNTIF('クラス'!$A$1:$A$1267,$B2190)&gt;0,$B2190="",$M2190=""),"",True)</f>
        <v/>
      </c>
      <c r="M2190" s="1" t="str">
        <f t="shared" si="27"/>
        <v/>
      </c>
      <c r="N2190" s="1" t="s">
        <v>29</v>
      </c>
      <c r="O2190" s="1"/>
      <c r="P2190" s="11"/>
      <c r="Q2190" s="11"/>
      <c r="R2190" s="11"/>
      <c r="S2190" s="11"/>
      <c r="T2190" s="1"/>
      <c r="U2190" s="1"/>
      <c r="V2190" s="1"/>
      <c r="W2190" s="1"/>
      <c r="X2190" s="1"/>
      <c r="Y2190" s="1"/>
      <c r="Z2190" s="1"/>
    </row>
    <row r="2191" ht="18.0" hidden="1" customHeight="1" outlineLevel="1">
      <c r="A2191" s="1">
        <v>7.0</v>
      </c>
      <c r="B2191" s="26" t="s">
        <v>1259</v>
      </c>
      <c r="C2191" s="1"/>
      <c r="D2191" s="1"/>
      <c r="E2191" s="14"/>
      <c r="F2191" s="15"/>
      <c r="G2191" s="16"/>
      <c r="H2191" s="11"/>
      <c r="I2191" s="7"/>
      <c r="J2191" s="7" t="str">
        <f>IFERROR(LET(_xlpm.v,
VLOOKUP($I2191,'用語辞書'!$A:$B,COLUMN('用語辞書'!B$1),FALSE),
IF(_xlpm.v=0,"",_xlpm.v)
),"")</f>
        <v/>
      </c>
      <c r="K2191" s="17"/>
      <c r="L2191" s="17" t="str">
        <f>IF(OR(COUNTIF('クラス'!$A$1:$A$1267,$B2191)&gt;0,$B2191="",$M2191=""),"",True)</f>
        <v/>
      </c>
      <c r="M2191" s="1" t="str">
        <f t="shared" si="27"/>
        <v/>
      </c>
      <c r="N2191" s="1" t="s">
        <v>29</v>
      </c>
      <c r="O2191" s="1"/>
      <c r="P2191" s="11"/>
      <c r="Q2191" s="11"/>
      <c r="R2191" s="11"/>
      <c r="S2191" s="11"/>
      <c r="T2191" s="1"/>
      <c r="U2191" s="1"/>
      <c r="V2191" s="1"/>
      <c r="W2191" s="1"/>
      <c r="X2191" s="1"/>
      <c r="Y2191" s="1"/>
      <c r="Z2191" s="1"/>
    </row>
    <row r="2192" ht="18.0" hidden="1" customHeight="1" outlineLevel="1">
      <c r="A2192" s="1">
        <v>8.0</v>
      </c>
      <c r="B2192" s="26" t="s">
        <v>29</v>
      </c>
      <c r="C2192" s="1"/>
      <c r="D2192" s="1"/>
      <c r="E2192" s="14"/>
      <c r="F2192" s="15"/>
      <c r="G2192" s="16"/>
      <c r="H2192" s="11"/>
      <c r="I2192" s="7"/>
      <c r="J2192" s="7" t="str">
        <f>IFERROR(LET(_xlpm.v,
VLOOKUP($I2192,'用語辞書'!$A:$B,COLUMN('用語辞書'!B$1),FALSE),
IF(_xlpm.v=0,"",_xlpm.v)
),"")</f>
        <v/>
      </c>
      <c r="K2192" s="17"/>
      <c r="L2192" s="17" t="str">
        <f>IF(OR(COUNTIF('クラス'!$A$1:$A$1267,$B2192)&gt;0,$B2192="",$M2192=""),"",True)</f>
        <v/>
      </c>
      <c r="M2192" s="1" t="str">
        <f t="shared" si="27"/>
        <v/>
      </c>
      <c r="N2192" s="1" t="s">
        <v>29</v>
      </c>
      <c r="O2192" s="1"/>
      <c r="P2192" s="11"/>
      <c r="Q2192" s="11"/>
      <c r="R2192" s="11"/>
      <c r="S2192" s="11"/>
      <c r="T2192" s="1"/>
      <c r="U2192" s="1"/>
      <c r="V2192" s="1"/>
      <c r="W2192" s="1"/>
      <c r="X2192" s="1"/>
      <c r="Y2192" s="1"/>
      <c r="Z2192" s="1"/>
    </row>
    <row r="2193" ht="18.0" hidden="1" customHeight="1" outlineLevel="1">
      <c r="A2193" s="1">
        <v>9.0</v>
      </c>
      <c r="B2193" s="26" t="s">
        <v>1144</v>
      </c>
      <c r="C2193" s="1"/>
      <c r="D2193" s="1"/>
      <c r="E2193" s="14"/>
      <c r="F2193" s="15"/>
      <c r="G2193" s="16"/>
      <c r="H2193" s="11"/>
      <c r="I2193" s="7"/>
      <c r="J2193" s="7" t="str">
        <f>IFERROR(LET(_xlpm.v,
VLOOKUP($I2193,'用語辞書'!$A:$B,COLUMN('用語辞書'!B$1),FALSE),
IF(_xlpm.v=0,"",_xlpm.v)
),"")</f>
        <v/>
      </c>
      <c r="K2193" s="17"/>
      <c r="L2193" s="17" t="str">
        <f>IF(OR(COUNTIF('クラス'!$A$1:$A$1267,$B2193)&gt;0,$B2193="",$M2193=""),"",True)</f>
        <v/>
      </c>
      <c r="M2193" s="1" t="str">
        <f t="shared" si="27"/>
        <v/>
      </c>
      <c r="N2193" s="1" t="s">
        <v>29</v>
      </c>
      <c r="O2193" s="1"/>
      <c r="P2193" s="11"/>
      <c r="Q2193" s="11"/>
      <c r="R2193" s="11"/>
      <c r="S2193" s="11"/>
      <c r="T2193" s="1"/>
      <c r="U2193" s="1"/>
      <c r="V2193" s="1"/>
      <c r="W2193" s="1"/>
      <c r="X2193" s="1"/>
      <c r="Y2193" s="1"/>
      <c r="Z2193" s="1"/>
    </row>
    <row r="2194" ht="18.0" hidden="1" customHeight="1" outlineLevel="1">
      <c r="A2194" s="1">
        <v>10.0</v>
      </c>
      <c r="B2194" s="26" t="s">
        <v>2241</v>
      </c>
      <c r="C2194" s="26" t="s">
        <v>29</v>
      </c>
      <c r="D2194" s="26" t="s">
        <v>29</v>
      </c>
      <c r="E2194" s="29" t="s">
        <v>55</v>
      </c>
      <c r="F2194" s="34" t="s">
        <v>29</v>
      </c>
      <c r="G2194" s="30" t="s">
        <v>29</v>
      </c>
      <c r="H2194" s="22" t="s">
        <v>2242</v>
      </c>
      <c r="I2194" s="7"/>
      <c r="J2194" s="7" t="str">
        <f>IFERROR(LET(_xlpm.v,
VLOOKUP($I2194,'用語辞書'!$A:$B,COLUMN('用語辞書'!B$1),FALSE),
IF(_xlpm.v=0,"",_xlpm.v)
),"")</f>
        <v/>
      </c>
      <c r="K2194" s="17"/>
      <c r="L2194" s="17" t="b">
        <f>IF(OR(COUNTIF('クラス'!$A$1:$A$1267,$B2194)&gt;0,$B2194="",$M2194=""),"",True)</f>
        <v>1</v>
      </c>
      <c r="M2194" s="1" t="str">
        <f t="shared" si="27"/>
        <v>存在しない</v>
      </c>
      <c r="N2194" s="1" t="s">
        <v>29</v>
      </c>
      <c r="O2194" s="1"/>
      <c r="P2194" s="11"/>
      <c r="Q2194" s="11"/>
      <c r="R2194" s="11"/>
      <c r="S2194" s="11"/>
      <c r="T2194" s="1"/>
      <c r="U2194" s="1"/>
      <c r="V2194" s="1"/>
      <c r="W2194" s="1"/>
      <c r="X2194" s="1"/>
      <c r="Y2194" s="1"/>
      <c r="Z2194" s="1"/>
    </row>
    <row r="2195" ht="18.0" customHeight="1" collapsed="1">
      <c r="A2195" s="1"/>
      <c r="B2195" s="1"/>
      <c r="C2195" s="1"/>
      <c r="D2195" s="1"/>
      <c r="E2195" s="14"/>
      <c r="F2195" s="15"/>
      <c r="G2195" s="16"/>
      <c r="H2195" s="11"/>
      <c r="I2195" s="7"/>
      <c r="J2195" s="7" t="str">
        <f>IFERROR(LET(_xlpm.v,
VLOOKUP($I2195,'用語辞書'!$A:$B,COLUMN('用語辞書'!B$1),FALSE),
IF(_xlpm.v=0,"",_xlpm.v)
),"")</f>
        <v/>
      </c>
      <c r="K2195" s="17"/>
      <c r="L2195" s="17" t="str">
        <f>IF(OR(COUNTIF('クラス'!$A$1:$A$1267,$B2195)&gt;0,$B2195="",$M2195=""),"",True)</f>
        <v/>
      </c>
      <c r="M2195" s="1" t="str">
        <f t="shared" si="27"/>
        <v>存在しない</v>
      </c>
      <c r="N2195" s="1" t="s">
        <v>29</v>
      </c>
      <c r="O2195" s="1"/>
      <c r="P2195" s="11"/>
      <c r="Q2195" s="11"/>
      <c r="R2195" s="11"/>
      <c r="S2195" s="11"/>
      <c r="T2195" s="1"/>
      <c r="U2195" s="1"/>
      <c r="V2195" s="1"/>
      <c r="W2195" s="1"/>
      <c r="X2195" s="1"/>
      <c r="Y2195" s="1"/>
      <c r="Z2195" s="1"/>
    </row>
    <row r="2196" ht="18.0" customHeight="1">
      <c r="A2196" s="1"/>
      <c r="B2196" s="26" t="s">
        <v>2243</v>
      </c>
      <c r="C2196" s="1"/>
      <c r="D2196" s="1"/>
      <c r="E2196" s="14"/>
      <c r="F2196" s="15"/>
      <c r="G2196" s="16"/>
      <c r="H2196" s="11"/>
      <c r="I2196" s="7"/>
      <c r="J2196" s="7" t="str">
        <f>IFERROR(LET(_xlpm.v,
VLOOKUP($I2196,'用語辞書'!$A:$B,COLUMN('用語辞書'!B$1),FALSE),
IF(_xlpm.v=0,"",_xlpm.v)
),"")</f>
        <v/>
      </c>
      <c r="K2196" s="17"/>
      <c r="L2196" s="17" t="str">
        <f>IF(OR(COUNTIF('クラス'!$A$1:$A$1267,$B2196)&gt;0,$B2196="",$M2196=""),"",True)</f>
        <v/>
      </c>
      <c r="M2196" s="1" t="str">
        <f t="shared" si="27"/>
        <v>存在しない</v>
      </c>
      <c r="N2196" s="1" t="s">
        <v>29</v>
      </c>
      <c r="O2196" s="1"/>
      <c r="P2196" s="11"/>
      <c r="Q2196" s="11"/>
      <c r="R2196" s="11"/>
      <c r="S2196" s="11"/>
      <c r="T2196" s="1"/>
      <c r="U2196" s="1"/>
      <c r="V2196" s="1"/>
      <c r="W2196" s="1"/>
      <c r="X2196" s="1"/>
      <c r="Y2196" s="1"/>
      <c r="Z2196" s="1"/>
    </row>
    <row r="2197" ht="18.0" hidden="1" customHeight="1" outlineLevel="1">
      <c r="A2197" s="1">
        <v>1.0</v>
      </c>
      <c r="B2197" s="26" t="s">
        <v>1259</v>
      </c>
      <c r="C2197" s="1"/>
      <c r="D2197" s="1"/>
      <c r="E2197" s="14"/>
      <c r="F2197" s="15"/>
      <c r="G2197" s="16"/>
      <c r="H2197" s="11"/>
      <c r="I2197" s="7"/>
      <c r="J2197" s="7" t="str">
        <f>IFERROR(LET(_xlpm.v,
VLOOKUP($I2197,'用語辞書'!$A:$B,COLUMN('用語辞書'!B$1),FALSE),
IF(_xlpm.v=0,"",_xlpm.v)
),"")</f>
        <v/>
      </c>
      <c r="K2197" s="17"/>
      <c r="L2197" s="17" t="str">
        <f>IF(OR(COUNTIF('クラス'!$A$1:$A$1267,$B2197)&gt;0,$B2197="",$M2197=""),"",True)</f>
        <v/>
      </c>
      <c r="M2197" s="1" t="str">
        <f t="shared" si="27"/>
        <v/>
      </c>
      <c r="N2197" s="1" t="s">
        <v>29</v>
      </c>
      <c r="O2197" s="1"/>
      <c r="P2197" s="11"/>
      <c r="Q2197" s="11"/>
      <c r="R2197" s="11"/>
      <c r="S2197" s="11"/>
      <c r="T2197" s="1"/>
      <c r="U2197" s="1"/>
      <c r="V2197" s="1"/>
      <c r="W2197" s="1"/>
      <c r="X2197" s="1"/>
      <c r="Y2197" s="1"/>
      <c r="Z2197" s="1"/>
    </row>
    <row r="2198" ht="18.0" hidden="1" customHeight="1" outlineLevel="1">
      <c r="A2198" s="1">
        <v>2.0</v>
      </c>
      <c r="B2198" s="26" t="s">
        <v>29</v>
      </c>
      <c r="C2198" s="1"/>
      <c r="D2198" s="1"/>
      <c r="E2198" s="14"/>
      <c r="F2198" s="15"/>
      <c r="G2198" s="16"/>
      <c r="H2198" s="11"/>
      <c r="I2198" s="7"/>
      <c r="J2198" s="7" t="str">
        <f>IFERROR(LET(_xlpm.v,
VLOOKUP($I2198,'用語辞書'!$A:$B,COLUMN('用語辞書'!B$1),FALSE),
IF(_xlpm.v=0,"",_xlpm.v)
),"")</f>
        <v/>
      </c>
      <c r="K2198" s="17"/>
      <c r="L2198" s="17" t="str">
        <f>IF(OR(COUNTIF('クラス'!$A$1:$A$1267,$B2198)&gt;0,$B2198="",$M2198=""),"",True)</f>
        <v/>
      </c>
      <c r="M2198" s="1" t="str">
        <f t="shared" si="27"/>
        <v/>
      </c>
      <c r="N2198" s="1" t="s">
        <v>29</v>
      </c>
      <c r="O2198" s="1"/>
      <c r="P2198" s="11"/>
      <c r="Q2198" s="11"/>
      <c r="R2198" s="11"/>
      <c r="S2198" s="11"/>
      <c r="T2198" s="1"/>
      <c r="U2198" s="1"/>
      <c r="V2198" s="1"/>
      <c r="W2198" s="1"/>
      <c r="X2198" s="1"/>
      <c r="Y2198" s="1"/>
      <c r="Z2198" s="1"/>
    </row>
    <row r="2199" ht="18.0" hidden="1" customHeight="1" outlineLevel="1">
      <c r="A2199" s="1">
        <v>3.0</v>
      </c>
      <c r="B2199" s="26" t="s">
        <v>2241</v>
      </c>
      <c r="C2199" s="1"/>
      <c r="D2199" s="1"/>
      <c r="E2199" s="14"/>
      <c r="F2199" s="15"/>
      <c r="G2199" s="16"/>
      <c r="H2199" s="11"/>
      <c r="I2199" s="7"/>
      <c r="J2199" s="7" t="str">
        <f>IFERROR(LET(_xlpm.v,
VLOOKUP($I2199,'用語辞書'!$A:$B,COLUMN('用語辞書'!B$1),FALSE),
IF(_xlpm.v=0,"",_xlpm.v)
),"")</f>
        <v/>
      </c>
      <c r="K2199" s="17"/>
      <c r="L2199" s="17" t="str">
        <f>IF(OR(COUNTIF('クラス'!$A$1:$A$1267,$B2199)&gt;0,$B2199="",$M2199=""),"",True)</f>
        <v/>
      </c>
      <c r="M2199" s="1" t="str">
        <f t="shared" si="27"/>
        <v/>
      </c>
      <c r="N2199" s="1" t="s">
        <v>29</v>
      </c>
      <c r="O2199" s="1"/>
      <c r="P2199" s="11"/>
      <c r="Q2199" s="11"/>
      <c r="R2199" s="11"/>
      <c r="S2199" s="11"/>
      <c r="T2199" s="1"/>
      <c r="U2199" s="1"/>
      <c r="V2199" s="1"/>
      <c r="W2199" s="1"/>
      <c r="X2199" s="1"/>
      <c r="Y2199" s="1"/>
      <c r="Z2199" s="1"/>
    </row>
    <row r="2200" ht="18.0" hidden="1" customHeight="1" outlineLevel="1">
      <c r="A2200" s="1">
        <v>4.0</v>
      </c>
      <c r="B2200" s="26" t="s">
        <v>29</v>
      </c>
      <c r="C2200" s="1"/>
      <c r="D2200" s="1"/>
      <c r="E2200" s="14"/>
      <c r="F2200" s="15"/>
      <c r="G2200" s="16"/>
      <c r="H2200" s="11"/>
      <c r="I2200" s="7"/>
      <c r="J2200" s="7" t="str">
        <f>IFERROR(LET(_xlpm.v,
VLOOKUP($I2200,'用語辞書'!$A:$B,COLUMN('用語辞書'!B$1),FALSE),
IF(_xlpm.v=0,"",_xlpm.v)
),"")</f>
        <v/>
      </c>
      <c r="K2200" s="17"/>
      <c r="L2200" s="17" t="str">
        <f>IF(OR(COUNTIF('クラス'!$A$1:$A$1267,$B2200)&gt;0,$B2200="",$M2200=""),"",True)</f>
        <v/>
      </c>
      <c r="M2200" s="1" t="str">
        <f t="shared" si="27"/>
        <v/>
      </c>
      <c r="N2200" s="1" t="s">
        <v>29</v>
      </c>
      <c r="O2200" s="1"/>
      <c r="P2200" s="11"/>
      <c r="Q2200" s="11"/>
      <c r="R2200" s="11"/>
      <c r="S2200" s="11"/>
      <c r="T2200" s="1"/>
      <c r="U2200" s="1"/>
      <c r="V2200" s="1"/>
      <c r="W2200" s="1"/>
      <c r="X2200" s="1"/>
      <c r="Y2200" s="1"/>
      <c r="Z2200" s="1"/>
    </row>
    <row r="2201" ht="18.0" hidden="1" customHeight="1" outlineLevel="1">
      <c r="A2201" s="1">
        <v>5.0</v>
      </c>
      <c r="B2201" s="26" t="s">
        <v>1144</v>
      </c>
      <c r="C2201" s="1"/>
      <c r="D2201" s="1"/>
      <c r="E2201" s="14"/>
      <c r="F2201" s="15"/>
      <c r="G2201" s="16"/>
      <c r="H2201" s="11"/>
      <c r="I2201" s="7"/>
      <c r="J2201" s="7" t="str">
        <f>IFERROR(LET(_xlpm.v,
VLOOKUP($I2201,'用語辞書'!$A:$B,COLUMN('用語辞書'!B$1),FALSE),
IF(_xlpm.v=0,"",_xlpm.v)
),"")</f>
        <v/>
      </c>
      <c r="K2201" s="17"/>
      <c r="L2201" s="17" t="str">
        <f>IF(OR(COUNTIF('クラス'!$A$1:$A$1267,$B2201)&gt;0,$B2201="",$M2201=""),"",True)</f>
        <v/>
      </c>
      <c r="M2201" s="1" t="str">
        <f t="shared" si="27"/>
        <v/>
      </c>
      <c r="N2201" s="1" t="s">
        <v>29</v>
      </c>
      <c r="O2201" s="1"/>
      <c r="P2201" s="11"/>
      <c r="Q2201" s="11"/>
      <c r="R2201" s="11"/>
      <c r="S2201" s="11"/>
      <c r="T2201" s="1"/>
      <c r="U2201" s="1"/>
      <c r="V2201" s="1"/>
      <c r="W2201" s="1"/>
      <c r="X2201" s="1"/>
      <c r="Y2201" s="1"/>
      <c r="Z2201" s="1"/>
    </row>
    <row r="2202" ht="18.0" hidden="1" customHeight="1" outlineLevel="1">
      <c r="A2202" s="1">
        <v>6.0</v>
      </c>
      <c r="B2202" s="26" t="s">
        <v>29</v>
      </c>
      <c r="C2202" s="1"/>
      <c r="D2202" s="1"/>
      <c r="E2202" s="14"/>
      <c r="F2202" s="15"/>
      <c r="G2202" s="16"/>
      <c r="H2202" s="11"/>
      <c r="I2202" s="7"/>
      <c r="J2202" s="7" t="str">
        <f>IFERROR(LET(_xlpm.v,
VLOOKUP($I2202,'用語辞書'!$A:$B,COLUMN('用語辞書'!B$1),FALSE),
IF(_xlpm.v=0,"",_xlpm.v)
),"")</f>
        <v/>
      </c>
      <c r="K2202" s="17"/>
      <c r="L2202" s="17" t="str">
        <f>IF(OR(COUNTIF('クラス'!$A$1:$A$1267,$B2202)&gt;0,$B2202="",$M2202=""),"",True)</f>
        <v/>
      </c>
      <c r="M2202" s="1" t="str">
        <f t="shared" si="27"/>
        <v/>
      </c>
      <c r="N2202" s="1" t="s">
        <v>29</v>
      </c>
      <c r="O2202" s="1"/>
      <c r="P2202" s="11"/>
      <c r="Q2202" s="11"/>
      <c r="R2202" s="11"/>
      <c r="S2202" s="11"/>
      <c r="T2202" s="1"/>
      <c r="U2202" s="1"/>
      <c r="V2202" s="1"/>
      <c r="W2202" s="1"/>
      <c r="X2202" s="1"/>
      <c r="Y2202" s="1"/>
      <c r="Z2202" s="1"/>
    </row>
    <row r="2203" ht="18.0" hidden="1" customHeight="1" outlineLevel="1">
      <c r="A2203" s="1">
        <v>7.0</v>
      </c>
      <c r="B2203" s="26" t="s">
        <v>1136</v>
      </c>
      <c r="C2203" s="1"/>
      <c r="D2203" s="1"/>
      <c r="E2203" s="14"/>
      <c r="F2203" s="15"/>
      <c r="G2203" s="16"/>
      <c r="H2203" s="11"/>
      <c r="I2203" s="7"/>
      <c r="J2203" s="7" t="str">
        <f>IFERROR(LET(_xlpm.v,
VLOOKUP($I2203,'用語辞書'!$A:$B,COLUMN('用語辞書'!B$1),FALSE),
IF(_xlpm.v=0,"",_xlpm.v)
),"")</f>
        <v/>
      </c>
      <c r="K2203" s="17"/>
      <c r="L2203" s="17" t="str">
        <f>IF(OR(COUNTIF('クラス'!$A$1:$A$1267,$B2203)&gt;0,$B2203="",$M2203=""),"",True)</f>
        <v/>
      </c>
      <c r="M2203" s="1" t="str">
        <f t="shared" si="27"/>
        <v/>
      </c>
      <c r="N2203" s="1" t="s">
        <v>29</v>
      </c>
      <c r="O2203" s="1"/>
      <c r="P2203" s="11"/>
      <c r="Q2203" s="11"/>
      <c r="R2203" s="11"/>
      <c r="S2203" s="11"/>
      <c r="T2203" s="1"/>
      <c r="U2203" s="1"/>
      <c r="V2203" s="1"/>
      <c r="W2203" s="1"/>
      <c r="X2203" s="1"/>
      <c r="Y2203" s="1"/>
      <c r="Z2203" s="1"/>
    </row>
    <row r="2204" ht="18.0" hidden="1" customHeight="1" outlineLevel="1">
      <c r="A2204" s="1">
        <v>8.0</v>
      </c>
      <c r="B2204" s="26" t="s">
        <v>29</v>
      </c>
      <c r="C2204" s="1"/>
      <c r="D2204" s="1"/>
      <c r="E2204" s="14"/>
      <c r="F2204" s="15"/>
      <c r="G2204" s="16"/>
      <c r="H2204" s="11"/>
      <c r="I2204" s="7"/>
      <c r="J2204" s="7" t="str">
        <f>IFERROR(LET(_xlpm.v,
VLOOKUP($I2204,'用語辞書'!$A:$B,COLUMN('用語辞書'!B$1),FALSE),
IF(_xlpm.v=0,"",_xlpm.v)
),"")</f>
        <v/>
      </c>
      <c r="K2204" s="17"/>
      <c r="L2204" s="17" t="str">
        <f>IF(OR(COUNTIF('クラス'!$A$1:$A$1267,$B2204)&gt;0,$B2204="",$M2204=""),"",True)</f>
        <v/>
      </c>
      <c r="M2204" s="1" t="str">
        <f t="shared" si="27"/>
        <v/>
      </c>
      <c r="N2204" s="1" t="s">
        <v>29</v>
      </c>
      <c r="O2204" s="1"/>
      <c r="P2204" s="11"/>
      <c r="Q2204" s="11"/>
      <c r="R2204" s="11"/>
      <c r="S2204" s="11"/>
      <c r="T2204" s="1"/>
      <c r="U2204" s="1"/>
      <c r="V2204" s="1"/>
      <c r="W2204" s="1"/>
      <c r="X2204" s="1"/>
      <c r="Y2204" s="1"/>
      <c r="Z2204" s="1"/>
    </row>
    <row r="2205" ht="18.0" hidden="1" customHeight="1" outlineLevel="1">
      <c r="A2205" s="1">
        <v>9.0</v>
      </c>
      <c r="B2205" s="26" t="s">
        <v>2136</v>
      </c>
      <c r="C2205" s="1"/>
      <c r="D2205" s="1"/>
      <c r="E2205" s="14"/>
      <c r="F2205" s="15"/>
      <c r="G2205" s="16"/>
      <c r="H2205" s="11"/>
      <c r="I2205" s="7"/>
      <c r="J2205" s="7" t="str">
        <f>IFERROR(LET(_xlpm.v,
VLOOKUP($I2205,'用語辞書'!$A:$B,COLUMN('用語辞書'!B$1),FALSE),
IF(_xlpm.v=0,"",_xlpm.v)
),"")</f>
        <v/>
      </c>
      <c r="K2205" s="17"/>
      <c r="L2205" s="17" t="str">
        <f>IF(OR(COUNTIF('クラス'!$A$1:$A$1267,$B2205)&gt;0,$B2205="",$M2205=""),"",True)</f>
        <v/>
      </c>
      <c r="M2205" s="1" t="str">
        <f t="shared" si="27"/>
        <v/>
      </c>
      <c r="N2205" s="1" t="s">
        <v>29</v>
      </c>
      <c r="O2205" s="1"/>
      <c r="P2205" s="11"/>
      <c r="Q2205" s="11"/>
      <c r="R2205" s="11"/>
      <c r="S2205" s="11"/>
      <c r="T2205" s="1"/>
      <c r="U2205" s="1"/>
      <c r="V2205" s="1"/>
      <c r="W2205" s="1"/>
      <c r="X2205" s="1"/>
      <c r="Y2205" s="1"/>
      <c r="Z2205" s="1"/>
    </row>
    <row r="2206" ht="18.0" hidden="1" customHeight="1" outlineLevel="1">
      <c r="A2206" s="1">
        <v>10.0</v>
      </c>
      <c r="B2206" s="26" t="s">
        <v>2244</v>
      </c>
      <c r="C2206" s="26" t="s">
        <v>29</v>
      </c>
      <c r="D2206" s="26" t="s">
        <v>29</v>
      </c>
      <c r="E2206" s="29" t="s">
        <v>33</v>
      </c>
      <c r="F2206" s="34" t="s">
        <v>29</v>
      </c>
      <c r="G2206" s="30">
        <v>60.0</v>
      </c>
      <c r="H2206" s="22" t="s">
        <v>2245</v>
      </c>
      <c r="I2206" s="7"/>
      <c r="J2206" s="7" t="str">
        <f>IFERROR(LET(_xlpm.v,
VLOOKUP($I2206,'用語辞書'!$A:$B,COLUMN('用語辞書'!B$1),FALSE),
IF(_xlpm.v=0,"",_xlpm.v)
),"")</f>
        <v/>
      </c>
      <c r="K2206" s="17"/>
      <c r="L2206" s="17" t="b">
        <f>IF(OR(COUNTIF('クラス'!$A$1:$A$1267,$B2206)&gt;0,$B2206="",$M2206=""),"",True)</f>
        <v>1</v>
      </c>
      <c r="M2206" s="1" t="str">
        <f t="shared" si="27"/>
        <v>存在しない</v>
      </c>
      <c r="N2206" s="1" t="s">
        <v>29</v>
      </c>
      <c r="O2206" s="1"/>
      <c r="P2206" s="11"/>
      <c r="Q2206" s="11"/>
      <c r="R2206" s="11"/>
      <c r="S2206" s="11"/>
      <c r="T2206" s="1"/>
      <c r="U2206" s="1"/>
      <c r="V2206" s="1"/>
      <c r="W2206" s="1"/>
      <c r="X2206" s="1"/>
      <c r="Y2206" s="1"/>
      <c r="Z2206" s="1"/>
    </row>
    <row r="2207" ht="18.0" customHeight="1" collapsed="1">
      <c r="A2207" s="1"/>
      <c r="B2207" s="1"/>
      <c r="C2207" s="1"/>
      <c r="D2207" s="1"/>
      <c r="E2207" s="14"/>
      <c r="F2207" s="15"/>
      <c r="G2207" s="16"/>
      <c r="H2207" s="11"/>
      <c r="I2207" s="7"/>
      <c r="J2207" s="7" t="str">
        <f>IFERROR(LET(_xlpm.v,
VLOOKUP($I2207,'用語辞書'!$A:$B,COLUMN('用語辞書'!B$1),FALSE),
IF(_xlpm.v=0,"",_xlpm.v)
),"")</f>
        <v/>
      </c>
      <c r="K2207" s="17"/>
      <c r="L2207" s="17" t="str">
        <f>IF(OR(COUNTIF('クラス'!$A$1:$A$1267,$B2207)&gt;0,$B2207="",$M2207=""),"",True)</f>
        <v/>
      </c>
      <c r="M2207" s="1" t="str">
        <f t="shared" si="27"/>
        <v>存在しない</v>
      </c>
      <c r="N2207" s="1" t="s">
        <v>29</v>
      </c>
      <c r="O2207" s="1"/>
      <c r="P2207" s="11"/>
      <c r="Q2207" s="11"/>
      <c r="R2207" s="11"/>
      <c r="S2207" s="11"/>
      <c r="T2207" s="1"/>
      <c r="U2207" s="1"/>
      <c r="V2207" s="1"/>
      <c r="W2207" s="1"/>
      <c r="X2207" s="1"/>
      <c r="Y2207" s="1"/>
      <c r="Z2207" s="1"/>
    </row>
    <row r="2208" ht="18.0" customHeight="1">
      <c r="A2208" s="1"/>
      <c r="B2208" s="26" t="s">
        <v>2246</v>
      </c>
      <c r="C2208" s="1"/>
      <c r="D2208" s="1"/>
      <c r="E2208" s="14"/>
      <c r="F2208" s="15"/>
      <c r="G2208" s="16"/>
      <c r="H2208" s="11"/>
      <c r="I2208" s="7"/>
      <c r="J2208" s="7" t="str">
        <f>IFERROR(LET(_xlpm.v,
VLOOKUP($I2208,'用語辞書'!$A:$B,COLUMN('用語辞書'!B$1),FALSE),
IF(_xlpm.v=0,"",_xlpm.v)
),"")</f>
        <v/>
      </c>
      <c r="K2208" s="17"/>
      <c r="L2208" s="17" t="str">
        <f>IF(OR(COUNTIF('クラス'!$A$1:$A$1267,$B2208)&gt;0,$B2208="",$M2208=""),"",True)</f>
        <v/>
      </c>
      <c r="M2208" s="1" t="str">
        <f t="shared" si="27"/>
        <v>存在しない</v>
      </c>
      <c r="N2208" s="1" t="s">
        <v>29</v>
      </c>
      <c r="O2208" s="1"/>
      <c r="P2208" s="11"/>
      <c r="Q2208" s="11"/>
      <c r="R2208" s="11"/>
      <c r="S2208" s="11"/>
      <c r="T2208" s="1"/>
      <c r="U2208" s="1"/>
      <c r="V2208" s="1"/>
      <c r="W2208" s="1"/>
      <c r="X2208" s="1"/>
      <c r="Y2208" s="1"/>
      <c r="Z2208" s="1"/>
    </row>
    <row r="2209" ht="18.0" hidden="1" customHeight="1" outlineLevel="1">
      <c r="A2209" s="1">
        <v>1.0</v>
      </c>
      <c r="B2209" s="26" t="s">
        <v>1144</v>
      </c>
      <c r="C2209" s="1"/>
      <c r="D2209" s="1"/>
      <c r="E2209" s="14"/>
      <c r="F2209" s="15"/>
      <c r="G2209" s="16"/>
      <c r="H2209" s="11"/>
      <c r="I2209" s="7"/>
      <c r="J2209" s="7" t="str">
        <f>IFERROR(LET(_xlpm.v,
VLOOKUP($I2209,'用語辞書'!$A:$B,COLUMN('用語辞書'!B$1),FALSE),
IF(_xlpm.v=0,"",_xlpm.v)
),"")</f>
        <v/>
      </c>
      <c r="K2209" s="17"/>
      <c r="L2209" s="17" t="str">
        <f>IF(OR(COUNTIF('クラス'!$A$1:$A$1267,$B2209)&gt;0,$B2209="",$M2209=""),"",True)</f>
        <v/>
      </c>
      <c r="M2209" s="1" t="str">
        <f t="shared" si="27"/>
        <v/>
      </c>
      <c r="N2209" s="1" t="s">
        <v>29</v>
      </c>
      <c r="O2209" s="1"/>
      <c r="P2209" s="11"/>
      <c r="Q2209" s="11"/>
      <c r="R2209" s="11"/>
      <c r="S2209" s="11"/>
      <c r="T2209" s="1"/>
      <c r="U2209" s="1"/>
      <c r="V2209" s="1"/>
      <c r="W2209" s="1"/>
      <c r="X2209" s="1"/>
      <c r="Y2209" s="1"/>
      <c r="Z2209" s="1"/>
    </row>
    <row r="2210" ht="18.0" hidden="1" customHeight="1" outlineLevel="1">
      <c r="A2210" s="1">
        <v>2.0</v>
      </c>
      <c r="B2210" s="26" t="s">
        <v>29</v>
      </c>
      <c r="C2210" s="1"/>
      <c r="D2210" s="1"/>
      <c r="E2210" s="14"/>
      <c r="F2210" s="15"/>
      <c r="G2210" s="16"/>
      <c r="H2210" s="11"/>
      <c r="I2210" s="7"/>
      <c r="J2210" s="7" t="str">
        <f>IFERROR(LET(_xlpm.v,
VLOOKUP($I2210,'用語辞書'!$A:$B,COLUMN('用語辞書'!B$1),FALSE),
IF(_xlpm.v=0,"",_xlpm.v)
),"")</f>
        <v/>
      </c>
      <c r="K2210" s="17"/>
      <c r="L2210" s="17" t="str">
        <f>IF(OR(COUNTIF('クラス'!$A$1:$A$1267,$B2210)&gt;0,$B2210="",$M2210=""),"",True)</f>
        <v/>
      </c>
      <c r="M2210" s="1" t="str">
        <f t="shared" si="27"/>
        <v/>
      </c>
      <c r="N2210" s="1" t="s">
        <v>29</v>
      </c>
      <c r="O2210" s="1"/>
      <c r="P2210" s="11"/>
      <c r="Q2210" s="11"/>
      <c r="R2210" s="11"/>
      <c r="S2210" s="11"/>
      <c r="T2210" s="1"/>
      <c r="U2210" s="1"/>
      <c r="V2210" s="1"/>
      <c r="W2210" s="1"/>
      <c r="X2210" s="1"/>
      <c r="Y2210" s="1"/>
      <c r="Z2210" s="1"/>
    </row>
    <row r="2211" ht="18.0" hidden="1" customHeight="1" outlineLevel="1">
      <c r="A2211" s="1">
        <v>3.0</v>
      </c>
      <c r="B2211" s="26" t="s">
        <v>1209</v>
      </c>
      <c r="C2211" s="1"/>
      <c r="D2211" s="1"/>
      <c r="E2211" s="14"/>
      <c r="F2211" s="15"/>
      <c r="G2211" s="16"/>
      <c r="H2211" s="11"/>
      <c r="I2211" s="7"/>
      <c r="J2211" s="7" t="str">
        <f>IFERROR(LET(_xlpm.v,
VLOOKUP($I2211,'用語辞書'!$A:$B,COLUMN('用語辞書'!B$1),FALSE),
IF(_xlpm.v=0,"",_xlpm.v)
),"")</f>
        <v/>
      </c>
      <c r="K2211" s="17"/>
      <c r="L2211" s="17" t="str">
        <f>IF(OR(COUNTIF('クラス'!$A$1:$A$1267,$B2211)&gt;0,$B2211="",$M2211=""),"",True)</f>
        <v/>
      </c>
      <c r="M2211" s="1" t="str">
        <f t="shared" si="27"/>
        <v/>
      </c>
      <c r="N2211" s="1" t="s">
        <v>29</v>
      </c>
      <c r="O2211" s="1"/>
      <c r="P2211" s="11"/>
      <c r="Q2211" s="11"/>
      <c r="R2211" s="11"/>
      <c r="S2211" s="11"/>
      <c r="T2211" s="1"/>
      <c r="U2211" s="1"/>
      <c r="V2211" s="1"/>
      <c r="W2211" s="1"/>
      <c r="X2211" s="1"/>
      <c r="Y2211" s="1"/>
      <c r="Z2211" s="1"/>
    </row>
    <row r="2212" ht="18.0" hidden="1" customHeight="1" outlineLevel="1">
      <c r="A2212" s="1">
        <v>4.0</v>
      </c>
      <c r="B2212" s="26" t="s">
        <v>29</v>
      </c>
      <c r="C2212" s="1"/>
      <c r="D2212" s="1"/>
      <c r="E2212" s="14"/>
      <c r="F2212" s="15"/>
      <c r="G2212" s="16"/>
      <c r="H2212" s="11"/>
      <c r="I2212" s="7"/>
      <c r="J2212" s="7" t="str">
        <f>IFERROR(LET(_xlpm.v,
VLOOKUP($I2212,'用語辞書'!$A:$B,COLUMN('用語辞書'!B$1),FALSE),
IF(_xlpm.v=0,"",_xlpm.v)
),"")</f>
        <v/>
      </c>
      <c r="K2212" s="17"/>
      <c r="L2212" s="17" t="str">
        <f>IF(OR(COUNTIF('クラス'!$A$1:$A$1267,$B2212)&gt;0,$B2212="",$M2212=""),"",True)</f>
        <v/>
      </c>
      <c r="M2212" s="1" t="str">
        <f t="shared" si="27"/>
        <v/>
      </c>
      <c r="N2212" s="1" t="s">
        <v>29</v>
      </c>
      <c r="O2212" s="1"/>
      <c r="P2212" s="11"/>
      <c r="Q2212" s="11"/>
      <c r="R2212" s="11"/>
      <c r="S2212" s="11"/>
      <c r="T2212" s="1"/>
      <c r="U2212" s="1"/>
      <c r="V2212" s="1"/>
      <c r="W2212" s="1"/>
      <c r="X2212" s="1"/>
      <c r="Y2212" s="1"/>
      <c r="Z2212" s="1"/>
    </row>
    <row r="2213" ht="18.0" hidden="1" customHeight="1" outlineLevel="1">
      <c r="A2213" s="1">
        <v>5.0</v>
      </c>
      <c r="B2213" s="26" t="s">
        <v>1140</v>
      </c>
      <c r="C2213" s="1"/>
      <c r="D2213" s="1"/>
      <c r="E2213" s="14"/>
      <c r="F2213" s="15"/>
      <c r="G2213" s="16"/>
      <c r="H2213" s="11"/>
      <c r="I2213" s="7"/>
      <c r="J2213" s="7" t="str">
        <f>IFERROR(LET(_xlpm.v,
VLOOKUP($I2213,'用語辞書'!$A:$B,COLUMN('用語辞書'!B$1),FALSE),
IF(_xlpm.v=0,"",_xlpm.v)
),"")</f>
        <v/>
      </c>
      <c r="K2213" s="17"/>
      <c r="L2213" s="17" t="str">
        <f>IF(OR(COUNTIF('クラス'!$A$1:$A$1267,$B2213)&gt;0,$B2213="",$M2213=""),"",True)</f>
        <v/>
      </c>
      <c r="M2213" s="1" t="str">
        <f t="shared" si="27"/>
        <v/>
      </c>
      <c r="N2213" s="1" t="s">
        <v>29</v>
      </c>
      <c r="O2213" s="1"/>
      <c r="P2213" s="11"/>
      <c r="Q2213" s="11"/>
      <c r="R2213" s="11"/>
      <c r="S2213" s="11"/>
      <c r="T2213" s="1"/>
      <c r="U2213" s="1"/>
      <c r="V2213" s="1"/>
      <c r="W2213" s="1"/>
      <c r="X2213" s="1"/>
      <c r="Y2213" s="1"/>
      <c r="Z2213" s="1"/>
    </row>
    <row r="2214" ht="18.0" hidden="1" customHeight="1" outlineLevel="1">
      <c r="A2214" s="1">
        <v>6.0</v>
      </c>
      <c r="B2214" s="26" t="s">
        <v>29</v>
      </c>
      <c r="C2214" s="1"/>
      <c r="D2214" s="1"/>
      <c r="E2214" s="14"/>
      <c r="F2214" s="15"/>
      <c r="G2214" s="16"/>
      <c r="H2214" s="11"/>
      <c r="I2214" s="7"/>
      <c r="J2214" s="7" t="str">
        <f>IFERROR(LET(_xlpm.v,
VLOOKUP($I2214,'用語辞書'!$A:$B,COLUMN('用語辞書'!B$1),FALSE),
IF(_xlpm.v=0,"",_xlpm.v)
),"")</f>
        <v/>
      </c>
      <c r="K2214" s="17"/>
      <c r="L2214" s="17" t="str">
        <f>IF(OR(COUNTIF('クラス'!$A$1:$A$1267,$B2214)&gt;0,$B2214="",$M2214=""),"",True)</f>
        <v/>
      </c>
      <c r="M2214" s="1" t="str">
        <f t="shared" si="27"/>
        <v/>
      </c>
      <c r="N2214" s="1" t="s">
        <v>29</v>
      </c>
      <c r="O2214" s="1"/>
      <c r="P2214" s="11"/>
      <c r="Q2214" s="11"/>
      <c r="R2214" s="11"/>
      <c r="S2214" s="11"/>
      <c r="T2214" s="1"/>
      <c r="U2214" s="1"/>
      <c r="V2214" s="1"/>
      <c r="W2214" s="1"/>
      <c r="X2214" s="1"/>
      <c r="Y2214" s="1"/>
      <c r="Z2214" s="1"/>
    </row>
    <row r="2215" ht="18.0" hidden="1" customHeight="1" outlineLevel="1">
      <c r="A2215" s="1">
        <v>7.0</v>
      </c>
      <c r="B2215" s="26" t="s">
        <v>1261</v>
      </c>
      <c r="C2215" s="1"/>
      <c r="D2215" s="1"/>
      <c r="E2215" s="14"/>
      <c r="F2215" s="15"/>
      <c r="G2215" s="16"/>
      <c r="H2215" s="11"/>
      <c r="I2215" s="7"/>
      <c r="J2215" s="7" t="str">
        <f>IFERROR(LET(_xlpm.v,
VLOOKUP($I2215,'用語辞書'!$A:$B,COLUMN('用語辞書'!B$1),FALSE),
IF(_xlpm.v=0,"",_xlpm.v)
),"")</f>
        <v/>
      </c>
      <c r="K2215" s="17"/>
      <c r="L2215" s="17" t="str">
        <f>IF(OR(COUNTIF('クラス'!$A$1:$A$1267,$B2215)&gt;0,$B2215="",$M2215=""),"",True)</f>
        <v/>
      </c>
      <c r="M2215" s="1" t="str">
        <f t="shared" si="27"/>
        <v/>
      </c>
      <c r="N2215" s="1" t="s">
        <v>29</v>
      </c>
      <c r="O2215" s="1"/>
      <c r="P2215" s="11"/>
      <c r="Q2215" s="11"/>
      <c r="R2215" s="11"/>
      <c r="S2215" s="11"/>
      <c r="T2215" s="1"/>
      <c r="U2215" s="1"/>
      <c r="V2215" s="1"/>
      <c r="W2215" s="1"/>
      <c r="X2215" s="1"/>
      <c r="Y2215" s="1"/>
      <c r="Z2215" s="1"/>
    </row>
    <row r="2216" ht="18.0" hidden="1" customHeight="1" outlineLevel="1">
      <c r="A2216" s="1">
        <v>8.0</v>
      </c>
      <c r="B2216" s="26" t="s">
        <v>29</v>
      </c>
      <c r="C2216" s="1"/>
      <c r="D2216" s="1"/>
      <c r="E2216" s="14"/>
      <c r="F2216" s="15"/>
      <c r="G2216" s="16"/>
      <c r="H2216" s="11"/>
      <c r="I2216" s="7"/>
      <c r="J2216" s="7" t="str">
        <f>IFERROR(LET(_xlpm.v,
VLOOKUP($I2216,'用語辞書'!$A:$B,COLUMN('用語辞書'!B$1),FALSE),
IF(_xlpm.v=0,"",_xlpm.v)
),"")</f>
        <v/>
      </c>
      <c r="K2216" s="17"/>
      <c r="L2216" s="17" t="str">
        <f>IF(OR(COUNTIF('クラス'!$A$1:$A$1267,$B2216)&gt;0,$B2216="",$M2216=""),"",True)</f>
        <v/>
      </c>
      <c r="M2216" s="1" t="str">
        <f t="shared" si="27"/>
        <v/>
      </c>
      <c r="N2216" s="1" t="s">
        <v>29</v>
      </c>
      <c r="O2216" s="1"/>
      <c r="P2216" s="11"/>
      <c r="Q2216" s="11"/>
      <c r="R2216" s="11"/>
      <c r="S2216" s="11"/>
      <c r="T2216" s="1"/>
      <c r="U2216" s="1"/>
      <c r="V2216" s="1"/>
      <c r="W2216" s="1"/>
      <c r="X2216" s="1"/>
      <c r="Y2216" s="1"/>
      <c r="Z2216" s="1"/>
    </row>
    <row r="2217" ht="18.0" hidden="1" customHeight="1" outlineLevel="1">
      <c r="A2217" s="1">
        <v>9.0</v>
      </c>
      <c r="B2217" s="26" t="s">
        <v>2000</v>
      </c>
      <c r="C2217" s="1"/>
      <c r="D2217" s="1"/>
      <c r="E2217" s="14"/>
      <c r="F2217" s="15"/>
      <c r="G2217" s="16"/>
      <c r="H2217" s="11"/>
      <c r="I2217" s="7"/>
      <c r="J2217" s="7" t="str">
        <f>IFERROR(LET(_xlpm.v,
VLOOKUP($I2217,'用語辞書'!$A:$B,COLUMN('用語辞書'!B$1),FALSE),
IF(_xlpm.v=0,"",_xlpm.v)
),"")</f>
        <v/>
      </c>
      <c r="K2217" s="17"/>
      <c r="L2217" s="17" t="str">
        <f>IF(OR(COUNTIF('クラス'!$A$1:$A$1267,$B2217)&gt;0,$B2217="",$M2217=""),"",True)</f>
        <v/>
      </c>
      <c r="M2217" s="1" t="str">
        <f t="shared" si="27"/>
        <v/>
      </c>
      <c r="N2217" s="1" t="s">
        <v>29</v>
      </c>
      <c r="O2217" s="1"/>
      <c r="P2217" s="11"/>
      <c r="Q2217" s="11"/>
      <c r="R2217" s="11"/>
      <c r="S2217" s="11"/>
      <c r="T2217" s="1"/>
      <c r="U2217" s="1"/>
      <c r="V2217" s="1"/>
      <c r="W2217" s="1"/>
      <c r="X2217" s="1"/>
      <c r="Y2217" s="1"/>
      <c r="Z2217" s="1"/>
    </row>
    <row r="2218" ht="18.0" hidden="1" customHeight="1" outlineLevel="1">
      <c r="A2218" s="1">
        <v>10.0</v>
      </c>
      <c r="B2218" s="26" t="s">
        <v>2247</v>
      </c>
      <c r="C2218" s="26" t="s">
        <v>29</v>
      </c>
      <c r="D2218" s="26" t="s">
        <v>29</v>
      </c>
      <c r="E2218" s="29" t="s">
        <v>55</v>
      </c>
      <c r="F2218" s="34" t="s">
        <v>29</v>
      </c>
      <c r="G2218" s="30" t="s">
        <v>29</v>
      </c>
      <c r="H2218" s="22" t="s">
        <v>1552</v>
      </c>
      <c r="I2218" s="7"/>
      <c r="J2218" s="7" t="str">
        <f>IFERROR(LET(_xlpm.v,
VLOOKUP($I2218,'用語辞書'!$A:$B,COLUMN('用語辞書'!B$1),FALSE),
IF(_xlpm.v=0,"",_xlpm.v)
),"")</f>
        <v/>
      </c>
      <c r="K2218" s="17"/>
      <c r="L2218" s="17" t="b">
        <f>IF(OR(COUNTIF('クラス'!$A$1:$A$1267,$B2218)&gt;0,$B2218="",$M2218=""),"",True)</f>
        <v>1</v>
      </c>
      <c r="M2218" s="1" t="str">
        <f t="shared" si="27"/>
        <v>存在しない</v>
      </c>
      <c r="N2218" s="1" t="s">
        <v>29</v>
      </c>
      <c r="O2218" s="1"/>
      <c r="P2218" s="11"/>
      <c r="Q2218" s="11"/>
      <c r="R2218" s="11"/>
      <c r="S2218" s="11"/>
      <c r="T2218" s="1"/>
      <c r="U2218" s="1"/>
      <c r="V2218" s="1"/>
      <c r="W2218" s="1"/>
      <c r="X2218" s="1"/>
      <c r="Y2218" s="1"/>
      <c r="Z2218" s="1"/>
    </row>
    <row r="2219" ht="18.0" customHeight="1" collapsed="1">
      <c r="A2219" s="1"/>
      <c r="B2219" s="1"/>
      <c r="C2219" s="1"/>
      <c r="D2219" s="1"/>
      <c r="E2219" s="14"/>
      <c r="F2219" s="15"/>
      <c r="G2219" s="16"/>
      <c r="H2219" s="11"/>
      <c r="I2219" s="7"/>
      <c r="J2219" s="7" t="str">
        <f>IFERROR(LET(_xlpm.v,
VLOOKUP($I2219,'用語辞書'!$A:$B,COLUMN('用語辞書'!B$1),FALSE),
IF(_xlpm.v=0,"",_xlpm.v)
),"")</f>
        <v/>
      </c>
      <c r="K2219" s="17"/>
      <c r="L2219" s="17" t="str">
        <f>IF(OR(COUNTIF('クラス'!$A$1:$A$1267,$B2219)&gt;0,$B2219="",$M2219=""),"",True)</f>
        <v/>
      </c>
      <c r="M2219" s="1" t="str">
        <f t="shared" si="27"/>
        <v>存在しない</v>
      </c>
      <c r="N2219" s="1" t="s">
        <v>29</v>
      </c>
      <c r="O2219" s="1"/>
      <c r="P2219" s="11"/>
      <c r="Q2219" s="11"/>
      <c r="R2219" s="11"/>
      <c r="S2219" s="11"/>
      <c r="T2219" s="1"/>
      <c r="U2219" s="1"/>
      <c r="V2219" s="1"/>
      <c r="W2219" s="1"/>
      <c r="X2219" s="1"/>
      <c r="Y2219" s="1"/>
      <c r="Z2219" s="1"/>
    </row>
    <row r="2220" ht="18.0" customHeight="1">
      <c r="A2220" s="1"/>
      <c r="B2220" s="26" t="s">
        <v>2248</v>
      </c>
      <c r="C2220" s="1"/>
      <c r="D2220" s="1"/>
      <c r="E2220" s="14"/>
      <c r="F2220" s="15"/>
      <c r="G2220" s="16"/>
      <c r="H2220" s="11"/>
      <c r="I2220" s="7"/>
      <c r="J2220" s="7" t="str">
        <f>IFERROR(LET(_xlpm.v,
VLOOKUP($I2220,'用語辞書'!$A:$B,COLUMN('用語辞書'!B$1),FALSE),
IF(_xlpm.v=0,"",_xlpm.v)
),"")</f>
        <v/>
      </c>
      <c r="K2220" s="17"/>
      <c r="L2220" s="17" t="str">
        <f>IF(OR(COUNTIF('クラス'!$A$1:$A$1267,$B2220)&gt;0,$B2220="",$M2220=""),"",True)</f>
        <v/>
      </c>
      <c r="M2220" s="1" t="str">
        <f t="shared" si="27"/>
        <v>存在しない</v>
      </c>
      <c r="N2220" s="1" t="s">
        <v>29</v>
      </c>
      <c r="O2220" s="1"/>
      <c r="P2220" s="11"/>
      <c r="Q2220" s="11"/>
      <c r="R2220" s="11"/>
      <c r="S2220" s="11"/>
      <c r="T2220" s="1"/>
      <c r="U2220" s="1"/>
      <c r="V2220" s="1"/>
      <c r="W2220" s="1"/>
      <c r="X2220" s="1"/>
      <c r="Y2220" s="1"/>
      <c r="Z2220" s="1"/>
    </row>
    <row r="2221" ht="18.0" hidden="1" customHeight="1" outlineLevel="1">
      <c r="A2221" s="1">
        <v>1.0</v>
      </c>
      <c r="B2221" s="26" t="s">
        <v>1144</v>
      </c>
      <c r="C2221" s="1"/>
      <c r="D2221" s="1"/>
      <c r="E2221" s="14"/>
      <c r="F2221" s="15"/>
      <c r="G2221" s="16"/>
      <c r="H2221" s="11"/>
      <c r="I2221" s="7"/>
      <c r="J2221" s="7" t="str">
        <f>IFERROR(LET(_xlpm.v,
VLOOKUP($I2221,'用語辞書'!$A:$B,COLUMN('用語辞書'!B$1),FALSE),
IF(_xlpm.v=0,"",_xlpm.v)
),"")</f>
        <v/>
      </c>
      <c r="K2221" s="17"/>
      <c r="L2221" s="17" t="str">
        <f>IF(OR(COUNTIF('クラス'!$A$1:$A$1267,$B2221)&gt;0,$B2221="",$M2221=""),"",True)</f>
        <v/>
      </c>
      <c r="M2221" s="1" t="str">
        <f t="shared" si="27"/>
        <v/>
      </c>
      <c r="N2221" s="1" t="s">
        <v>29</v>
      </c>
      <c r="O2221" s="1"/>
      <c r="P2221" s="11"/>
      <c r="Q2221" s="11"/>
      <c r="R2221" s="11"/>
      <c r="S2221" s="11"/>
      <c r="T2221" s="1"/>
      <c r="U2221" s="1"/>
      <c r="V2221" s="1"/>
      <c r="W2221" s="1"/>
      <c r="X2221" s="1"/>
      <c r="Y2221" s="1"/>
      <c r="Z2221" s="1"/>
    </row>
    <row r="2222" ht="18.0" hidden="1" customHeight="1" outlineLevel="1">
      <c r="A2222" s="1">
        <v>2.0</v>
      </c>
      <c r="B2222" s="26" t="s">
        <v>29</v>
      </c>
      <c r="C2222" s="1"/>
      <c r="D2222" s="1"/>
      <c r="E2222" s="14"/>
      <c r="F2222" s="15"/>
      <c r="G2222" s="16"/>
      <c r="H2222" s="11"/>
      <c r="I2222" s="7"/>
      <c r="J2222" s="7" t="str">
        <f>IFERROR(LET(_xlpm.v,
VLOOKUP($I2222,'用語辞書'!$A:$B,COLUMN('用語辞書'!B$1),FALSE),
IF(_xlpm.v=0,"",_xlpm.v)
),"")</f>
        <v/>
      </c>
      <c r="K2222" s="17"/>
      <c r="L2222" s="17" t="str">
        <f>IF(OR(COUNTIF('クラス'!$A$1:$A$1267,$B2222)&gt;0,$B2222="",$M2222=""),"",True)</f>
        <v/>
      </c>
      <c r="M2222" s="1" t="str">
        <f t="shared" si="27"/>
        <v/>
      </c>
      <c r="N2222" s="1" t="s">
        <v>29</v>
      </c>
      <c r="O2222" s="1"/>
      <c r="P2222" s="11"/>
      <c r="Q2222" s="11"/>
      <c r="R2222" s="11"/>
      <c r="S2222" s="11"/>
      <c r="T2222" s="1"/>
      <c r="U2222" s="1"/>
      <c r="V2222" s="1"/>
      <c r="W2222" s="1"/>
      <c r="X2222" s="1"/>
      <c r="Y2222" s="1"/>
      <c r="Z2222" s="1"/>
    </row>
    <row r="2223" ht="18.0" hidden="1" customHeight="1" outlineLevel="1">
      <c r="A2223" s="1">
        <v>3.0</v>
      </c>
      <c r="B2223" s="26" t="s">
        <v>2247</v>
      </c>
      <c r="C2223" s="1"/>
      <c r="D2223" s="1"/>
      <c r="E2223" s="14"/>
      <c r="F2223" s="15"/>
      <c r="G2223" s="16"/>
      <c r="H2223" s="11"/>
      <c r="I2223" s="7"/>
      <c r="J2223" s="7" t="str">
        <f>IFERROR(LET(_xlpm.v,
VLOOKUP($I2223,'用語辞書'!$A:$B,COLUMN('用語辞書'!B$1),FALSE),
IF(_xlpm.v=0,"",_xlpm.v)
),"")</f>
        <v/>
      </c>
      <c r="K2223" s="17"/>
      <c r="L2223" s="17" t="str">
        <f>IF(OR(COUNTIF('クラス'!$A$1:$A$1267,$B2223)&gt;0,$B2223="",$M2223=""),"",True)</f>
        <v/>
      </c>
      <c r="M2223" s="1" t="str">
        <f t="shared" si="27"/>
        <v/>
      </c>
      <c r="N2223" s="1" t="s">
        <v>29</v>
      </c>
      <c r="O2223" s="1"/>
      <c r="P2223" s="11"/>
      <c r="Q2223" s="11"/>
      <c r="R2223" s="11"/>
      <c r="S2223" s="11"/>
      <c r="T2223" s="1"/>
      <c r="U2223" s="1"/>
      <c r="V2223" s="1"/>
      <c r="W2223" s="1"/>
      <c r="X2223" s="1"/>
      <c r="Y2223" s="1"/>
      <c r="Z2223" s="1"/>
    </row>
    <row r="2224" ht="18.0" hidden="1" customHeight="1" outlineLevel="1">
      <c r="A2224" s="1">
        <v>4.0</v>
      </c>
      <c r="B2224" s="26" t="s">
        <v>29</v>
      </c>
      <c r="C2224" s="1"/>
      <c r="D2224" s="1"/>
      <c r="E2224" s="14"/>
      <c r="F2224" s="15"/>
      <c r="G2224" s="16"/>
      <c r="H2224" s="11"/>
      <c r="I2224" s="7"/>
      <c r="J2224" s="7" t="str">
        <f>IFERROR(LET(_xlpm.v,
VLOOKUP($I2224,'用語辞書'!$A:$B,COLUMN('用語辞書'!B$1),FALSE),
IF(_xlpm.v=0,"",_xlpm.v)
),"")</f>
        <v/>
      </c>
      <c r="K2224" s="17"/>
      <c r="L2224" s="17" t="str">
        <f>IF(OR(COUNTIF('クラス'!$A$1:$A$1267,$B2224)&gt;0,$B2224="",$M2224=""),"",True)</f>
        <v/>
      </c>
      <c r="M2224" s="1" t="str">
        <f t="shared" si="27"/>
        <v/>
      </c>
      <c r="N2224" s="1" t="s">
        <v>29</v>
      </c>
      <c r="O2224" s="1"/>
      <c r="P2224" s="11"/>
      <c r="Q2224" s="11"/>
      <c r="R2224" s="11"/>
      <c r="S2224" s="11"/>
      <c r="T2224" s="1"/>
      <c r="U2224" s="1"/>
      <c r="V2224" s="1"/>
      <c r="W2224" s="1"/>
      <c r="X2224" s="1"/>
      <c r="Y2224" s="1"/>
      <c r="Z2224" s="1"/>
    </row>
    <row r="2225" ht="18.0" hidden="1" customHeight="1" outlineLevel="1">
      <c r="A2225" s="1">
        <v>5.0</v>
      </c>
      <c r="B2225" s="26" t="s">
        <v>1259</v>
      </c>
      <c r="C2225" s="1"/>
      <c r="D2225" s="1"/>
      <c r="E2225" s="14"/>
      <c r="F2225" s="15"/>
      <c r="G2225" s="16"/>
      <c r="H2225" s="11"/>
      <c r="I2225" s="7"/>
      <c r="J2225" s="7" t="str">
        <f>IFERROR(LET(_xlpm.v,
VLOOKUP($I2225,'用語辞書'!$A:$B,COLUMN('用語辞書'!B$1),FALSE),
IF(_xlpm.v=0,"",_xlpm.v)
),"")</f>
        <v/>
      </c>
      <c r="K2225" s="17"/>
      <c r="L2225" s="17" t="str">
        <f>IF(OR(COUNTIF('クラス'!$A$1:$A$1267,$B2225)&gt;0,$B2225="",$M2225=""),"",True)</f>
        <v/>
      </c>
      <c r="M2225" s="1" t="str">
        <f t="shared" si="27"/>
        <v/>
      </c>
      <c r="N2225" s="1" t="s">
        <v>29</v>
      </c>
      <c r="O2225" s="1"/>
      <c r="P2225" s="11"/>
      <c r="Q2225" s="11"/>
      <c r="R2225" s="11"/>
      <c r="S2225" s="11"/>
      <c r="T2225" s="1"/>
      <c r="U2225" s="1"/>
      <c r="V2225" s="1"/>
      <c r="W2225" s="1"/>
      <c r="X2225" s="1"/>
      <c r="Y2225" s="1"/>
      <c r="Z2225" s="1"/>
    </row>
    <row r="2226" ht="18.0" hidden="1" customHeight="1" outlineLevel="1">
      <c r="A2226" s="1">
        <v>6.0</v>
      </c>
      <c r="B2226" s="26" t="s">
        <v>29</v>
      </c>
      <c r="C2226" s="1"/>
      <c r="D2226" s="1"/>
      <c r="E2226" s="14"/>
      <c r="F2226" s="15"/>
      <c r="G2226" s="16"/>
      <c r="H2226" s="11"/>
      <c r="I2226" s="7"/>
      <c r="J2226" s="7" t="str">
        <f>IFERROR(LET(_xlpm.v,
VLOOKUP($I2226,'用語辞書'!$A:$B,COLUMN('用語辞書'!B$1),FALSE),
IF(_xlpm.v=0,"",_xlpm.v)
),"")</f>
        <v/>
      </c>
      <c r="K2226" s="17"/>
      <c r="L2226" s="17" t="str">
        <f>IF(OR(COUNTIF('クラス'!$A$1:$A$1267,$B2226)&gt;0,$B2226="",$M2226=""),"",True)</f>
        <v/>
      </c>
      <c r="M2226" s="1" t="str">
        <f t="shared" si="27"/>
        <v/>
      </c>
      <c r="N2226" s="1" t="s">
        <v>29</v>
      </c>
      <c r="O2226" s="1"/>
      <c r="P2226" s="11"/>
      <c r="Q2226" s="11"/>
      <c r="R2226" s="11"/>
      <c r="S2226" s="11"/>
      <c r="T2226" s="1"/>
      <c r="U2226" s="1"/>
      <c r="V2226" s="1"/>
      <c r="W2226" s="1"/>
      <c r="X2226" s="1"/>
      <c r="Y2226" s="1"/>
      <c r="Z2226" s="1"/>
    </row>
    <row r="2227" ht="18.0" hidden="1" customHeight="1" outlineLevel="1">
      <c r="A2227" s="1">
        <v>7.0</v>
      </c>
      <c r="B2227" s="26" t="s">
        <v>2000</v>
      </c>
      <c r="C2227" s="1"/>
      <c r="D2227" s="1"/>
      <c r="E2227" s="14"/>
      <c r="F2227" s="15"/>
      <c r="G2227" s="16"/>
      <c r="H2227" s="11"/>
      <c r="I2227" s="7"/>
      <c r="J2227" s="7" t="str">
        <f>IFERROR(LET(_xlpm.v,
VLOOKUP($I2227,'用語辞書'!$A:$B,COLUMN('用語辞書'!B$1),FALSE),
IF(_xlpm.v=0,"",_xlpm.v)
),"")</f>
        <v/>
      </c>
      <c r="K2227" s="17"/>
      <c r="L2227" s="17" t="str">
        <f>IF(OR(COUNTIF('クラス'!$A$1:$A$1267,$B2227)&gt;0,$B2227="",$M2227=""),"",True)</f>
        <v/>
      </c>
      <c r="M2227" s="1" t="str">
        <f t="shared" si="27"/>
        <v/>
      </c>
      <c r="N2227" s="1" t="s">
        <v>29</v>
      </c>
      <c r="O2227" s="1"/>
      <c r="P2227" s="11"/>
      <c r="Q2227" s="11"/>
      <c r="R2227" s="11"/>
      <c r="S2227" s="11"/>
      <c r="T2227" s="1"/>
      <c r="U2227" s="1"/>
      <c r="V2227" s="1"/>
      <c r="W2227" s="1"/>
      <c r="X2227" s="1"/>
      <c r="Y2227" s="1"/>
      <c r="Z2227" s="1"/>
    </row>
    <row r="2228" ht="18.0" hidden="1" customHeight="1" outlineLevel="1">
      <c r="A2228" s="1">
        <v>8.0</v>
      </c>
      <c r="B2228" s="26" t="s">
        <v>29</v>
      </c>
      <c r="C2228" s="1"/>
      <c r="D2228" s="1"/>
      <c r="E2228" s="14"/>
      <c r="F2228" s="15"/>
      <c r="G2228" s="16"/>
      <c r="H2228" s="11"/>
      <c r="I2228" s="7"/>
      <c r="J2228" s="7" t="str">
        <f>IFERROR(LET(_xlpm.v,
VLOOKUP($I2228,'用語辞書'!$A:$B,COLUMN('用語辞書'!B$1),FALSE),
IF(_xlpm.v=0,"",_xlpm.v)
),"")</f>
        <v/>
      </c>
      <c r="K2228" s="17"/>
      <c r="L2228" s="17" t="str">
        <f>IF(OR(COUNTIF('クラス'!$A$1:$A$1267,$B2228)&gt;0,$B2228="",$M2228=""),"",True)</f>
        <v/>
      </c>
      <c r="M2228" s="1" t="str">
        <f t="shared" si="27"/>
        <v/>
      </c>
      <c r="N2228" s="1" t="s">
        <v>29</v>
      </c>
      <c r="O2228" s="1"/>
      <c r="P2228" s="11"/>
      <c r="Q2228" s="11"/>
      <c r="R2228" s="11"/>
      <c r="S2228" s="11"/>
      <c r="T2228" s="1"/>
      <c r="U2228" s="1"/>
      <c r="V2228" s="1"/>
      <c r="W2228" s="1"/>
      <c r="X2228" s="1"/>
      <c r="Y2228" s="1"/>
      <c r="Z2228" s="1"/>
    </row>
    <row r="2229" ht="18.0" hidden="1" customHeight="1" outlineLevel="1">
      <c r="A2229" s="1">
        <v>9.0</v>
      </c>
      <c r="B2229" s="26" t="s">
        <v>1261</v>
      </c>
      <c r="C2229" s="1"/>
      <c r="D2229" s="1"/>
      <c r="E2229" s="14"/>
      <c r="F2229" s="15"/>
      <c r="G2229" s="16"/>
      <c r="H2229" s="11"/>
      <c r="I2229" s="7"/>
      <c r="J2229" s="7" t="str">
        <f>IFERROR(LET(_xlpm.v,
VLOOKUP($I2229,'用語辞書'!$A:$B,COLUMN('用語辞書'!B$1),FALSE),
IF(_xlpm.v=0,"",_xlpm.v)
),"")</f>
        <v/>
      </c>
      <c r="K2229" s="17"/>
      <c r="L2229" s="17" t="str">
        <f>IF(OR(COUNTIF('クラス'!$A$1:$A$1267,$B2229)&gt;0,$B2229="",$M2229=""),"",True)</f>
        <v/>
      </c>
      <c r="M2229" s="1" t="str">
        <f t="shared" si="27"/>
        <v/>
      </c>
      <c r="N2229" s="1" t="s">
        <v>29</v>
      </c>
      <c r="O2229" s="1"/>
      <c r="P2229" s="11"/>
      <c r="Q2229" s="11"/>
      <c r="R2229" s="11"/>
      <c r="S2229" s="11"/>
      <c r="T2229" s="1"/>
      <c r="U2229" s="1"/>
      <c r="V2229" s="1"/>
      <c r="W2229" s="1"/>
      <c r="X2229" s="1"/>
      <c r="Y2229" s="1"/>
      <c r="Z2229" s="1"/>
    </row>
    <row r="2230" ht="18.0" hidden="1" customHeight="1" outlineLevel="1">
      <c r="A2230" s="1">
        <v>10.0</v>
      </c>
      <c r="B2230" s="26" t="s">
        <v>2249</v>
      </c>
      <c r="C2230" s="26" t="s">
        <v>29</v>
      </c>
      <c r="D2230" s="26" t="s">
        <v>29</v>
      </c>
      <c r="E2230" s="29" t="s">
        <v>55</v>
      </c>
      <c r="F2230" s="34" t="s">
        <v>29</v>
      </c>
      <c r="G2230" s="30" t="s">
        <v>29</v>
      </c>
      <c r="H2230" s="22" t="s">
        <v>2250</v>
      </c>
      <c r="I2230" s="7"/>
      <c r="J2230" s="7" t="str">
        <f>IFERROR(LET(_xlpm.v,
VLOOKUP($I2230,'用語辞書'!$A:$B,COLUMN('用語辞書'!B$1),FALSE),
IF(_xlpm.v=0,"",_xlpm.v)
),"")</f>
        <v/>
      </c>
      <c r="K2230" s="17"/>
      <c r="L2230" s="17" t="b">
        <f>IF(OR(COUNTIF('クラス'!$A$1:$A$1267,$B2230)&gt;0,$B2230="",$M2230=""),"",True)</f>
        <v>1</v>
      </c>
      <c r="M2230" s="1" t="str">
        <f t="shared" si="27"/>
        <v>存在しない</v>
      </c>
      <c r="N2230" s="1" t="s">
        <v>29</v>
      </c>
      <c r="O2230" s="1"/>
      <c r="P2230" s="11"/>
      <c r="Q2230" s="11"/>
      <c r="R2230" s="11"/>
      <c r="S2230" s="11"/>
      <c r="T2230" s="1"/>
      <c r="U2230" s="1"/>
      <c r="V2230" s="1"/>
      <c r="W2230" s="1"/>
      <c r="X2230" s="1"/>
      <c r="Y2230" s="1"/>
      <c r="Z2230" s="1"/>
    </row>
    <row r="2231" ht="18.0" customHeight="1" collapsed="1">
      <c r="A2231" s="1"/>
      <c r="B2231" s="1"/>
      <c r="C2231" s="1"/>
      <c r="D2231" s="1"/>
      <c r="E2231" s="14"/>
      <c r="F2231" s="15"/>
      <c r="G2231" s="16"/>
      <c r="H2231" s="11"/>
      <c r="I2231" s="7"/>
      <c r="J2231" s="7" t="str">
        <f>IFERROR(LET(_xlpm.v,
VLOOKUP($I2231,'用語辞書'!$A:$B,COLUMN('用語辞書'!B$1),FALSE),
IF(_xlpm.v=0,"",_xlpm.v)
),"")</f>
        <v/>
      </c>
      <c r="K2231" s="17"/>
      <c r="L2231" s="17" t="str">
        <f>IF(OR(COUNTIF('クラス'!$A$1:$A$1267,$B2231)&gt;0,$B2231="",$M2231=""),"",True)</f>
        <v/>
      </c>
      <c r="M2231" s="1" t="str">
        <f t="shared" si="27"/>
        <v>存在しない</v>
      </c>
      <c r="N2231" s="1" t="s">
        <v>29</v>
      </c>
      <c r="O2231" s="1"/>
      <c r="P2231" s="11"/>
      <c r="Q2231" s="11"/>
      <c r="R2231" s="11"/>
      <c r="S2231" s="11"/>
      <c r="T2231" s="1"/>
      <c r="U2231" s="1"/>
      <c r="V2231" s="1"/>
      <c r="W2231" s="1"/>
      <c r="X2231" s="1"/>
      <c r="Y2231" s="1"/>
      <c r="Z2231" s="1"/>
    </row>
    <row r="2232" ht="18.0" customHeight="1">
      <c r="A2232" s="1"/>
      <c r="B2232" s="26" t="s">
        <v>2251</v>
      </c>
      <c r="C2232" s="1"/>
      <c r="D2232" s="1"/>
      <c r="E2232" s="14"/>
      <c r="F2232" s="15"/>
      <c r="G2232" s="16"/>
      <c r="H2232" s="11"/>
      <c r="I2232" s="7"/>
      <c r="J2232" s="7" t="str">
        <f>IFERROR(LET(_xlpm.v,
VLOOKUP($I2232,'用語辞書'!$A:$B,COLUMN('用語辞書'!B$1),FALSE),
IF(_xlpm.v=0,"",_xlpm.v)
),"")</f>
        <v/>
      </c>
      <c r="K2232" s="17"/>
      <c r="L2232" s="17" t="str">
        <f>IF(OR(COUNTIF('クラス'!$A$1:$A$1267,$B2232)&gt;0,$B2232="",$M2232=""),"",True)</f>
        <v/>
      </c>
      <c r="M2232" s="1" t="str">
        <f t="shared" si="27"/>
        <v>存在しない</v>
      </c>
      <c r="N2232" s="1" t="s">
        <v>29</v>
      </c>
      <c r="O2232" s="1"/>
      <c r="P2232" s="11"/>
      <c r="Q2232" s="11"/>
      <c r="R2232" s="11"/>
      <c r="S2232" s="11"/>
      <c r="T2232" s="1"/>
      <c r="U2232" s="1"/>
      <c r="V2232" s="1"/>
      <c r="W2232" s="1"/>
      <c r="X2232" s="1"/>
      <c r="Y2232" s="1"/>
      <c r="Z2232" s="1"/>
    </row>
    <row r="2233" ht="18.0" hidden="1" customHeight="1" outlineLevel="1">
      <c r="A2233" s="1">
        <v>1.0</v>
      </c>
      <c r="B2233" s="26" t="s">
        <v>1144</v>
      </c>
      <c r="C2233" s="1"/>
      <c r="D2233" s="1"/>
      <c r="E2233" s="14"/>
      <c r="F2233" s="15"/>
      <c r="G2233" s="16"/>
      <c r="H2233" s="11"/>
      <c r="I2233" s="7"/>
      <c r="J2233" s="7" t="str">
        <f>IFERROR(LET(_xlpm.v,
VLOOKUP($I2233,'用語辞書'!$A:$B,COLUMN('用語辞書'!B$1),FALSE),
IF(_xlpm.v=0,"",_xlpm.v)
),"")</f>
        <v/>
      </c>
      <c r="K2233" s="17"/>
      <c r="L2233" s="17" t="str">
        <f>IF(OR(COUNTIF('クラス'!$A$1:$A$1267,$B2233)&gt;0,$B2233="",$M2233=""),"",True)</f>
        <v/>
      </c>
      <c r="M2233" s="1" t="str">
        <f t="shared" si="27"/>
        <v/>
      </c>
      <c r="N2233" s="1" t="s">
        <v>29</v>
      </c>
      <c r="O2233" s="1"/>
      <c r="P2233" s="11"/>
      <c r="Q2233" s="11"/>
      <c r="R2233" s="11"/>
      <c r="S2233" s="11"/>
      <c r="T2233" s="1"/>
      <c r="U2233" s="1"/>
      <c r="V2233" s="1"/>
      <c r="W2233" s="1"/>
      <c r="X2233" s="1"/>
      <c r="Y2233" s="1"/>
      <c r="Z2233" s="1"/>
    </row>
    <row r="2234" ht="18.0" hidden="1" customHeight="1" outlineLevel="1">
      <c r="A2234" s="1">
        <v>2.0</v>
      </c>
      <c r="B2234" s="26" t="s">
        <v>29</v>
      </c>
      <c r="C2234" s="1"/>
      <c r="D2234" s="1"/>
      <c r="E2234" s="14"/>
      <c r="F2234" s="15"/>
      <c r="G2234" s="16"/>
      <c r="H2234" s="11"/>
      <c r="I2234" s="7"/>
      <c r="J2234" s="7" t="str">
        <f>IFERROR(LET(_xlpm.v,
VLOOKUP($I2234,'用語辞書'!$A:$B,COLUMN('用語辞書'!B$1),FALSE),
IF(_xlpm.v=0,"",_xlpm.v)
),"")</f>
        <v/>
      </c>
      <c r="K2234" s="17"/>
      <c r="L2234" s="17" t="str">
        <f>IF(OR(COUNTIF('クラス'!$A$1:$A$1267,$B2234)&gt;0,$B2234="",$M2234=""),"",True)</f>
        <v/>
      </c>
      <c r="M2234" s="1" t="str">
        <f t="shared" si="27"/>
        <v/>
      </c>
      <c r="N2234" s="1" t="s">
        <v>29</v>
      </c>
      <c r="O2234" s="1"/>
      <c r="P2234" s="11"/>
      <c r="Q2234" s="11"/>
      <c r="R2234" s="11"/>
      <c r="S2234" s="11"/>
      <c r="T2234" s="1"/>
      <c r="U2234" s="1"/>
      <c r="V2234" s="1"/>
      <c r="W2234" s="1"/>
      <c r="X2234" s="1"/>
      <c r="Y2234" s="1"/>
      <c r="Z2234" s="1"/>
    </row>
    <row r="2235" ht="18.0" hidden="1" customHeight="1" outlineLevel="1">
      <c r="A2235" s="1">
        <v>3.0</v>
      </c>
      <c r="B2235" s="26" t="s">
        <v>1209</v>
      </c>
      <c r="C2235" s="1"/>
      <c r="D2235" s="1"/>
      <c r="E2235" s="14"/>
      <c r="F2235" s="15"/>
      <c r="G2235" s="16"/>
      <c r="H2235" s="11"/>
      <c r="I2235" s="7"/>
      <c r="J2235" s="7" t="str">
        <f>IFERROR(LET(_xlpm.v,
VLOOKUP($I2235,'用語辞書'!$A:$B,COLUMN('用語辞書'!B$1),FALSE),
IF(_xlpm.v=0,"",_xlpm.v)
),"")</f>
        <v/>
      </c>
      <c r="K2235" s="17"/>
      <c r="L2235" s="17" t="str">
        <f>IF(OR(COUNTIF('クラス'!$A$1:$A$1267,$B2235)&gt;0,$B2235="",$M2235=""),"",True)</f>
        <v/>
      </c>
      <c r="M2235" s="1" t="str">
        <f t="shared" si="27"/>
        <v/>
      </c>
      <c r="N2235" s="1" t="s">
        <v>29</v>
      </c>
      <c r="O2235" s="1"/>
      <c r="P2235" s="11"/>
      <c r="Q2235" s="11"/>
      <c r="R2235" s="11"/>
      <c r="S2235" s="11"/>
      <c r="T2235" s="1"/>
      <c r="U2235" s="1"/>
      <c r="V2235" s="1"/>
      <c r="W2235" s="1"/>
      <c r="X2235" s="1"/>
      <c r="Y2235" s="1"/>
      <c r="Z2235" s="1"/>
    </row>
    <row r="2236" ht="18.0" hidden="1" customHeight="1" outlineLevel="1">
      <c r="A2236" s="1">
        <v>4.0</v>
      </c>
      <c r="B2236" s="26" t="s">
        <v>29</v>
      </c>
      <c r="C2236" s="1"/>
      <c r="D2236" s="1"/>
      <c r="E2236" s="14"/>
      <c r="F2236" s="15"/>
      <c r="G2236" s="16"/>
      <c r="H2236" s="11"/>
      <c r="I2236" s="7"/>
      <c r="J2236" s="7" t="str">
        <f>IFERROR(LET(_xlpm.v,
VLOOKUP($I2236,'用語辞書'!$A:$B,COLUMN('用語辞書'!B$1),FALSE),
IF(_xlpm.v=0,"",_xlpm.v)
),"")</f>
        <v/>
      </c>
      <c r="K2236" s="17"/>
      <c r="L2236" s="17" t="str">
        <f>IF(OR(COUNTIF('クラス'!$A$1:$A$1267,$B2236)&gt;0,$B2236="",$M2236=""),"",True)</f>
        <v/>
      </c>
      <c r="M2236" s="1" t="str">
        <f t="shared" si="27"/>
        <v/>
      </c>
      <c r="N2236" s="1" t="s">
        <v>29</v>
      </c>
      <c r="O2236" s="1"/>
      <c r="P2236" s="11"/>
      <c r="Q2236" s="11"/>
      <c r="R2236" s="11"/>
      <c r="S2236" s="11"/>
      <c r="T2236" s="1"/>
      <c r="U2236" s="1"/>
      <c r="V2236" s="1"/>
      <c r="W2236" s="1"/>
      <c r="X2236" s="1"/>
      <c r="Y2236" s="1"/>
      <c r="Z2236" s="1"/>
    </row>
    <row r="2237" ht="18.0" hidden="1" customHeight="1" outlineLevel="1">
      <c r="A2237" s="1">
        <v>5.0</v>
      </c>
      <c r="B2237" s="26" t="s">
        <v>1259</v>
      </c>
      <c r="C2237" s="1"/>
      <c r="D2237" s="1"/>
      <c r="E2237" s="14"/>
      <c r="F2237" s="15"/>
      <c r="G2237" s="16"/>
      <c r="H2237" s="11"/>
      <c r="I2237" s="7"/>
      <c r="J2237" s="7" t="str">
        <f>IFERROR(LET(_xlpm.v,
VLOOKUP($I2237,'用語辞書'!$A:$B,COLUMN('用語辞書'!B$1),FALSE),
IF(_xlpm.v=0,"",_xlpm.v)
),"")</f>
        <v/>
      </c>
      <c r="K2237" s="17"/>
      <c r="L2237" s="17" t="str">
        <f>IF(OR(COUNTIF('クラス'!$A$1:$A$1267,$B2237)&gt;0,$B2237="",$M2237=""),"",True)</f>
        <v/>
      </c>
      <c r="M2237" s="1" t="str">
        <f t="shared" si="27"/>
        <v/>
      </c>
      <c r="N2237" s="1" t="s">
        <v>29</v>
      </c>
      <c r="O2237" s="1"/>
      <c r="P2237" s="11"/>
      <c r="Q2237" s="11"/>
      <c r="R2237" s="11"/>
      <c r="S2237" s="11"/>
      <c r="T2237" s="1"/>
      <c r="U2237" s="1"/>
      <c r="V2237" s="1"/>
      <c r="W2237" s="1"/>
      <c r="X2237" s="1"/>
      <c r="Y2237" s="1"/>
      <c r="Z2237" s="1"/>
    </row>
    <row r="2238" ht="18.0" hidden="1" customHeight="1" outlineLevel="1">
      <c r="A2238" s="1">
        <v>6.0</v>
      </c>
      <c r="B2238" s="26" t="s">
        <v>29</v>
      </c>
      <c r="C2238" s="1"/>
      <c r="D2238" s="1"/>
      <c r="E2238" s="14"/>
      <c r="F2238" s="15"/>
      <c r="G2238" s="16"/>
      <c r="H2238" s="11"/>
      <c r="I2238" s="7"/>
      <c r="J2238" s="7" t="str">
        <f>IFERROR(LET(_xlpm.v,
VLOOKUP($I2238,'用語辞書'!$A:$B,COLUMN('用語辞書'!B$1),FALSE),
IF(_xlpm.v=0,"",_xlpm.v)
),"")</f>
        <v/>
      </c>
      <c r="K2238" s="17"/>
      <c r="L2238" s="17" t="str">
        <f>IF(OR(COUNTIF('クラス'!$A$1:$A$1267,$B2238)&gt;0,$B2238="",$M2238=""),"",True)</f>
        <v/>
      </c>
      <c r="M2238" s="1" t="str">
        <f t="shared" si="27"/>
        <v/>
      </c>
      <c r="N2238" s="1" t="s">
        <v>29</v>
      </c>
      <c r="O2238" s="1"/>
      <c r="P2238" s="11"/>
      <c r="Q2238" s="11"/>
      <c r="R2238" s="11"/>
      <c r="S2238" s="11"/>
      <c r="T2238" s="1"/>
      <c r="U2238" s="1"/>
      <c r="V2238" s="1"/>
      <c r="W2238" s="1"/>
      <c r="X2238" s="1"/>
      <c r="Y2238" s="1"/>
      <c r="Z2238" s="1"/>
    </row>
    <row r="2239" ht="18.0" hidden="1" customHeight="1" outlineLevel="1">
      <c r="A2239" s="1">
        <v>7.0</v>
      </c>
      <c r="B2239" s="26" t="s">
        <v>2000</v>
      </c>
      <c r="C2239" s="1"/>
      <c r="D2239" s="1"/>
      <c r="E2239" s="14"/>
      <c r="F2239" s="15"/>
      <c r="G2239" s="16"/>
      <c r="H2239" s="11"/>
      <c r="I2239" s="7"/>
      <c r="J2239" s="7" t="str">
        <f>IFERROR(LET(_xlpm.v,
VLOOKUP($I2239,'用語辞書'!$A:$B,COLUMN('用語辞書'!B$1),FALSE),
IF(_xlpm.v=0,"",_xlpm.v)
),"")</f>
        <v/>
      </c>
      <c r="K2239" s="17"/>
      <c r="L2239" s="17" t="str">
        <f>IF(OR(COUNTIF('クラス'!$A$1:$A$1267,$B2239)&gt;0,$B2239="",$M2239=""),"",True)</f>
        <v/>
      </c>
      <c r="M2239" s="1" t="str">
        <f t="shared" si="27"/>
        <v/>
      </c>
      <c r="N2239" s="1" t="s">
        <v>29</v>
      </c>
      <c r="O2239" s="1"/>
      <c r="P2239" s="11"/>
      <c r="Q2239" s="11"/>
      <c r="R2239" s="11"/>
      <c r="S2239" s="11"/>
      <c r="T2239" s="1"/>
      <c r="U2239" s="1"/>
      <c r="V2239" s="1"/>
      <c r="W2239" s="1"/>
      <c r="X2239" s="1"/>
      <c r="Y2239" s="1"/>
      <c r="Z2239" s="1"/>
    </row>
    <row r="2240" ht="18.0" hidden="1" customHeight="1" outlineLevel="1">
      <c r="A2240" s="1">
        <v>8.0</v>
      </c>
      <c r="B2240" s="26" t="s">
        <v>29</v>
      </c>
      <c r="C2240" s="1"/>
      <c r="D2240" s="1"/>
      <c r="E2240" s="14"/>
      <c r="F2240" s="15"/>
      <c r="G2240" s="16"/>
      <c r="H2240" s="11"/>
      <c r="I2240" s="7"/>
      <c r="J2240" s="7" t="str">
        <f>IFERROR(LET(_xlpm.v,
VLOOKUP($I2240,'用語辞書'!$A:$B,COLUMN('用語辞書'!B$1),FALSE),
IF(_xlpm.v=0,"",_xlpm.v)
),"")</f>
        <v/>
      </c>
      <c r="K2240" s="17"/>
      <c r="L2240" s="17" t="str">
        <f>IF(OR(COUNTIF('クラス'!$A$1:$A$1267,$B2240)&gt;0,$B2240="",$M2240=""),"",True)</f>
        <v/>
      </c>
      <c r="M2240" s="1" t="str">
        <f t="shared" si="27"/>
        <v/>
      </c>
      <c r="N2240" s="1" t="s">
        <v>29</v>
      </c>
      <c r="O2240" s="1"/>
      <c r="P2240" s="11"/>
      <c r="Q2240" s="11"/>
      <c r="R2240" s="11"/>
      <c r="S2240" s="11"/>
      <c r="T2240" s="1"/>
      <c r="U2240" s="1"/>
      <c r="V2240" s="1"/>
      <c r="W2240" s="1"/>
      <c r="X2240" s="1"/>
      <c r="Y2240" s="1"/>
      <c r="Z2240" s="1"/>
    </row>
    <row r="2241" ht="18.0" hidden="1" customHeight="1" outlineLevel="1">
      <c r="A2241" s="1">
        <v>9.0</v>
      </c>
      <c r="B2241" s="26" t="s">
        <v>1500</v>
      </c>
      <c r="C2241" s="1"/>
      <c r="D2241" s="1"/>
      <c r="E2241" s="14"/>
      <c r="F2241" s="15"/>
      <c r="G2241" s="16"/>
      <c r="H2241" s="11"/>
      <c r="I2241" s="7"/>
      <c r="J2241" s="7" t="str">
        <f>IFERROR(LET(_xlpm.v,
VLOOKUP($I2241,'用語辞書'!$A:$B,COLUMN('用語辞書'!B$1),FALSE),
IF(_xlpm.v=0,"",_xlpm.v)
),"")</f>
        <v/>
      </c>
      <c r="K2241" s="17"/>
      <c r="L2241" s="17" t="str">
        <f>IF(OR(COUNTIF('クラス'!$A$1:$A$1267,$B2241)&gt;0,$B2241="",$M2241=""),"",True)</f>
        <v/>
      </c>
      <c r="M2241" s="1" t="str">
        <f t="shared" si="27"/>
        <v/>
      </c>
      <c r="N2241" s="1" t="s">
        <v>29</v>
      </c>
      <c r="O2241" s="1"/>
      <c r="P2241" s="11"/>
      <c r="Q2241" s="11"/>
      <c r="R2241" s="11"/>
      <c r="S2241" s="11"/>
      <c r="T2241" s="1"/>
      <c r="U2241" s="1"/>
      <c r="V2241" s="1"/>
      <c r="W2241" s="1"/>
      <c r="X2241" s="1"/>
      <c r="Y2241" s="1"/>
      <c r="Z2241" s="1"/>
    </row>
    <row r="2242" ht="18.0" hidden="1" customHeight="1" outlineLevel="1">
      <c r="A2242" s="1">
        <v>10.0</v>
      </c>
      <c r="B2242" s="26" t="s">
        <v>2252</v>
      </c>
      <c r="C2242" s="26" t="s">
        <v>29</v>
      </c>
      <c r="D2242" s="26" t="s">
        <v>29</v>
      </c>
      <c r="E2242" s="29" t="s">
        <v>33</v>
      </c>
      <c r="F2242" s="34" t="s">
        <v>29</v>
      </c>
      <c r="G2242" s="30">
        <v>40.0</v>
      </c>
      <c r="H2242" s="22" t="s">
        <v>2253</v>
      </c>
      <c r="I2242" s="7"/>
      <c r="J2242" s="7" t="str">
        <f>IFERROR(LET(_xlpm.v,
VLOOKUP($I2242,'用語辞書'!$A:$B,COLUMN('用語辞書'!B$1),FALSE),
IF(_xlpm.v=0,"",_xlpm.v)
),"")</f>
        <v/>
      </c>
      <c r="K2242" s="17"/>
      <c r="L2242" s="17" t="b">
        <f>IF(OR(COUNTIF('クラス'!$A$1:$A$1267,$B2242)&gt;0,$B2242="",$M2242=""),"",True)</f>
        <v>1</v>
      </c>
      <c r="M2242" s="1" t="str">
        <f t="shared" si="27"/>
        <v>存在しない</v>
      </c>
      <c r="N2242" s="1" t="s">
        <v>29</v>
      </c>
      <c r="O2242" s="1"/>
      <c r="P2242" s="11"/>
      <c r="Q2242" s="11"/>
      <c r="R2242" s="11"/>
      <c r="S2242" s="11"/>
      <c r="T2242" s="1"/>
      <c r="U2242" s="1"/>
      <c r="V2242" s="1"/>
      <c r="W2242" s="1"/>
      <c r="X2242" s="1"/>
      <c r="Y2242" s="1"/>
      <c r="Z2242" s="1"/>
    </row>
    <row r="2243" ht="18.0" customHeight="1" collapsed="1">
      <c r="A2243" s="1"/>
      <c r="B2243" s="1"/>
      <c r="C2243" s="1"/>
      <c r="D2243" s="1"/>
      <c r="E2243" s="14"/>
      <c r="F2243" s="15"/>
      <c r="G2243" s="16"/>
      <c r="H2243" s="11"/>
      <c r="I2243" s="7"/>
      <c r="J2243" s="7" t="str">
        <f>IFERROR(LET(_xlpm.v,
VLOOKUP($I2243,'用語辞書'!$A:$B,COLUMN('用語辞書'!B$1),FALSE),
IF(_xlpm.v=0,"",_xlpm.v)
),"")</f>
        <v/>
      </c>
      <c r="K2243" s="17"/>
      <c r="L2243" s="17" t="str">
        <f>IF(OR(COUNTIF('クラス'!$A$1:$A$1267,$B2243)&gt;0,$B2243="",$M2243=""),"",True)</f>
        <v/>
      </c>
      <c r="M2243" s="1" t="str">
        <f t="shared" si="27"/>
        <v>存在しない</v>
      </c>
      <c r="N2243" s="1" t="s">
        <v>29</v>
      </c>
      <c r="O2243" s="1"/>
      <c r="P2243" s="11"/>
      <c r="Q2243" s="11"/>
      <c r="R2243" s="11"/>
      <c r="S2243" s="11"/>
      <c r="T2243" s="1"/>
      <c r="U2243" s="1"/>
      <c r="V2243" s="1"/>
      <c r="W2243" s="1"/>
      <c r="X2243" s="1"/>
      <c r="Y2243" s="1"/>
      <c r="Z2243" s="1"/>
    </row>
    <row r="2244" ht="18.0" customHeight="1">
      <c r="A2244" s="1"/>
      <c r="B2244" s="26" t="s">
        <v>2254</v>
      </c>
      <c r="C2244" s="1"/>
      <c r="D2244" s="1"/>
      <c r="E2244" s="14"/>
      <c r="F2244" s="15"/>
      <c r="G2244" s="16"/>
      <c r="H2244" s="11"/>
      <c r="I2244" s="7"/>
      <c r="J2244" s="7" t="str">
        <f>IFERROR(LET(_xlpm.v,
VLOOKUP($I2244,'用語辞書'!$A:$B,COLUMN('用語辞書'!B$1),FALSE),
IF(_xlpm.v=0,"",_xlpm.v)
),"")</f>
        <v/>
      </c>
      <c r="K2244" s="17"/>
      <c r="L2244" s="17" t="str">
        <f>IF(OR(COUNTIF('クラス'!$A$1:$A$1267,$B2244)&gt;0,$B2244="",$M2244=""),"",True)</f>
        <v/>
      </c>
      <c r="M2244" s="1" t="str">
        <f t="shared" si="27"/>
        <v>存在しない</v>
      </c>
      <c r="N2244" s="1" t="s">
        <v>29</v>
      </c>
      <c r="O2244" s="1"/>
      <c r="P2244" s="11"/>
      <c r="Q2244" s="11"/>
      <c r="R2244" s="11"/>
      <c r="S2244" s="11"/>
      <c r="T2244" s="1"/>
      <c r="U2244" s="1"/>
      <c r="V2244" s="1"/>
      <c r="W2244" s="1"/>
      <c r="X2244" s="1"/>
      <c r="Y2244" s="1"/>
      <c r="Z2244" s="1"/>
    </row>
    <row r="2245" ht="18.0" hidden="1" customHeight="1" outlineLevel="1">
      <c r="A2245" s="1">
        <v>1.0</v>
      </c>
      <c r="B2245" s="26" t="s">
        <v>1144</v>
      </c>
      <c r="C2245" s="1"/>
      <c r="D2245" s="1"/>
      <c r="E2245" s="14"/>
      <c r="F2245" s="15"/>
      <c r="G2245" s="16"/>
      <c r="H2245" s="11"/>
      <c r="I2245" s="7"/>
      <c r="J2245" s="7" t="str">
        <f>IFERROR(LET(_xlpm.v,
VLOOKUP($I2245,'用語辞書'!$A:$B,COLUMN('用語辞書'!B$1),FALSE),
IF(_xlpm.v=0,"",_xlpm.v)
),"")</f>
        <v/>
      </c>
      <c r="K2245" s="17"/>
      <c r="L2245" s="17" t="str">
        <f>IF(OR(COUNTIF('クラス'!$A$1:$A$1267,$B2245)&gt;0,$B2245="",$M2245=""),"",True)</f>
        <v/>
      </c>
      <c r="M2245" s="1" t="str">
        <f t="shared" si="27"/>
        <v/>
      </c>
      <c r="N2245" s="1" t="s">
        <v>29</v>
      </c>
      <c r="O2245" s="1"/>
      <c r="P2245" s="11"/>
      <c r="Q2245" s="11"/>
      <c r="R2245" s="11"/>
      <c r="S2245" s="11"/>
      <c r="T2245" s="1"/>
      <c r="U2245" s="1"/>
      <c r="V2245" s="1"/>
      <c r="W2245" s="1"/>
      <c r="X2245" s="1"/>
      <c r="Y2245" s="1"/>
      <c r="Z2245" s="1"/>
    </row>
    <row r="2246" ht="18.0" hidden="1" customHeight="1" outlineLevel="1">
      <c r="A2246" s="1">
        <v>2.0</v>
      </c>
      <c r="B2246" s="26" t="s">
        <v>29</v>
      </c>
      <c r="C2246" s="1"/>
      <c r="D2246" s="1"/>
      <c r="E2246" s="14"/>
      <c r="F2246" s="15"/>
      <c r="G2246" s="16"/>
      <c r="H2246" s="11"/>
      <c r="I2246" s="7"/>
      <c r="J2246" s="7" t="str">
        <f>IFERROR(LET(_xlpm.v,
VLOOKUP($I2246,'用語辞書'!$A:$B,COLUMN('用語辞書'!B$1),FALSE),
IF(_xlpm.v=0,"",_xlpm.v)
),"")</f>
        <v/>
      </c>
      <c r="K2246" s="17"/>
      <c r="L2246" s="17" t="str">
        <f>IF(OR(COUNTIF('クラス'!$A$1:$A$1267,$B2246)&gt;0,$B2246="",$M2246=""),"",True)</f>
        <v/>
      </c>
      <c r="M2246" s="1" t="str">
        <f t="shared" si="27"/>
        <v/>
      </c>
      <c r="N2246" s="1" t="s">
        <v>29</v>
      </c>
      <c r="O2246" s="1"/>
      <c r="P2246" s="11"/>
      <c r="Q2246" s="11"/>
      <c r="R2246" s="11"/>
      <c r="S2246" s="11"/>
      <c r="T2246" s="1"/>
      <c r="U2246" s="1"/>
      <c r="V2246" s="1"/>
      <c r="W2246" s="1"/>
      <c r="X2246" s="1"/>
      <c r="Y2246" s="1"/>
      <c r="Z2246" s="1"/>
    </row>
    <row r="2247" ht="18.0" hidden="1" customHeight="1" outlineLevel="1">
      <c r="A2247" s="1">
        <v>3.0</v>
      </c>
      <c r="B2247" s="26" t="s">
        <v>2136</v>
      </c>
      <c r="C2247" s="1"/>
      <c r="D2247" s="1"/>
      <c r="E2247" s="14"/>
      <c r="F2247" s="15"/>
      <c r="G2247" s="16"/>
      <c r="H2247" s="11"/>
      <c r="I2247" s="7"/>
      <c r="J2247" s="7" t="str">
        <f>IFERROR(LET(_xlpm.v,
VLOOKUP($I2247,'用語辞書'!$A:$B,COLUMN('用語辞書'!B$1),FALSE),
IF(_xlpm.v=0,"",_xlpm.v)
),"")</f>
        <v/>
      </c>
      <c r="K2247" s="17"/>
      <c r="L2247" s="17" t="str">
        <f>IF(OR(COUNTIF('クラス'!$A$1:$A$1267,$B2247)&gt;0,$B2247="",$M2247=""),"",True)</f>
        <v/>
      </c>
      <c r="M2247" s="1" t="str">
        <f t="shared" si="27"/>
        <v/>
      </c>
      <c r="N2247" s="1" t="s">
        <v>29</v>
      </c>
      <c r="O2247" s="1"/>
      <c r="P2247" s="11"/>
      <c r="Q2247" s="11"/>
      <c r="R2247" s="11"/>
      <c r="S2247" s="11"/>
      <c r="T2247" s="1"/>
      <c r="U2247" s="1"/>
      <c r="V2247" s="1"/>
      <c r="W2247" s="1"/>
      <c r="X2247" s="1"/>
      <c r="Y2247" s="1"/>
      <c r="Z2247" s="1"/>
    </row>
    <row r="2248" ht="18.0" hidden="1" customHeight="1" outlineLevel="1">
      <c r="A2248" s="1">
        <v>4.0</v>
      </c>
      <c r="B2248" s="26" t="s">
        <v>29</v>
      </c>
      <c r="C2248" s="1"/>
      <c r="D2248" s="1"/>
      <c r="E2248" s="14"/>
      <c r="F2248" s="15"/>
      <c r="G2248" s="16"/>
      <c r="H2248" s="11"/>
      <c r="I2248" s="7"/>
      <c r="J2248" s="7" t="str">
        <f>IFERROR(LET(_xlpm.v,
VLOOKUP($I2248,'用語辞書'!$A:$B,COLUMN('用語辞書'!B$1),FALSE),
IF(_xlpm.v=0,"",_xlpm.v)
),"")</f>
        <v/>
      </c>
      <c r="K2248" s="17"/>
      <c r="L2248" s="17" t="str">
        <f>IF(OR(COUNTIF('クラス'!$A$1:$A$1267,$B2248)&gt;0,$B2248="",$M2248=""),"",True)</f>
        <v/>
      </c>
      <c r="M2248" s="1" t="str">
        <f t="shared" si="27"/>
        <v/>
      </c>
      <c r="N2248" s="1" t="s">
        <v>29</v>
      </c>
      <c r="O2248" s="1"/>
      <c r="P2248" s="11"/>
      <c r="Q2248" s="11"/>
      <c r="R2248" s="11"/>
      <c r="S2248" s="11"/>
      <c r="T2248" s="1"/>
      <c r="U2248" s="1"/>
      <c r="V2248" s="1"/>
      <c r="W2248" s="1"/>
      <c r="X2248" s="1"/>
      <c r="Y2248" s="1"/>
      <c r="Z2248" s="1"/>
    </row>
    <row r="2249" ht="18.0" hidden="1" customHeight="1" outlineLevel="1">
      <c r="A2249" s="1">
        <v>5.0</v>
      </c>
      <c r="B2249" s="26" t="s">
        <v>1854</v>
      </c>
      <c r="C2249" s="1"/>
      <c r="D2249" s="1"/>
      <c r="E2249" s="14"/>
      <c r="F2249" s="15"/>
      <c r="G2249" s="16"/>
      <c r="H2249" s="11"/>
      <c r="I2249" s="7"/>
      <c r="J2249" s="7" t="str">
        <f>IFERROR(LET(_xlpm.v,
VLOOKUP($I2249,'用語辞書'!$A:$B,COLUMN('用語辞書'!B$1),FALSE),
IF(_xlpm.v=0,"",_xlpm.v)
),"")</f>
        <v/>
      </c>
      <c r="K2249" s="17"/>
      <c r="L2249" s="17" t="str">
        <f>IF(OR(COUNTIF('クラス'!$A$1:$A$1267,$B2249)&gt;0,$B2249="",$M2249=""),"",True)</f>
        <v/>
      </c>
      <c r="M2249" s="1" t="str">
        <f t="shared" si="27"/>
        <v/>
      </c>
      <c r="N2249" s="1" t="s">
        <v>29</v>
      </c>
      <c r="O2249" s="1"/>
      <c r="P2249" s="11"/>
      <c r="Q2249" s="11"/>
      <c r="R2249" s="11"/>
      <c r="S2249" s="11"/>
      <c r="T2249" s="1"/>
      <c r="U2249" s="1"/>
      <c r="V2249" s="1"/>
      <c r="W2249" s="1"/>
      <c r="X2249" s="1"/>
      <c r="Y2249" s="1"/>
      <c r="Z2249" s="1"/>
    </row>
    <row r="2250" ht="18.0" hidden="1" customHeight="1" outlineLevel="1">
      <c r="A2250" s="1">
        <v>6.0</v>
      </c>
      <c r="B2250" s="26" t="s">
        <v>29</v>
      </c>
      <c r="C2250" s="1"/>
      <c r="D2250" s="1"/>
      <c r="E2250" s="14"/>
      <c r="F2250" s="15"/>
      <c r="G2250" s="16"/>
      <c r="H2250" s="11"/>
      <c r="I2250" s="7"/>
      <c r="J2250" s="7" t="str">
        <f>IFERROR(LET(_xlpm.v,
VLOOKUP($I2250,'用語辞書'!$A:$B,COLUMN('用語辞書'!B$1),FALSE),
IF(_xlpm.v=0,"",_xlpm.v)
),"")</f>
        <v/>
      </c>
      <c r="K2250" s="17"/>
      <c r="L2250" s="17" t="str">
        <f>IF(OR(COUNTIF('クラス'!$A$1:$A$1267,$B2250)&gt;0,$B2250="",$M2250=""),"",True)</f>
        <v/>
      </c>
      <c r="M2250" s="1" t="str">
        <f t="shared" si="27"/>
        <v/>
      </c>
      <c r="N2250" s="1" t="s">
        <v>29</v>
      </c>
      <c r="O2250" s="1"/>
      <c r="P2250" s="11"/>
      <c r="Q2250" s="11"/>
      <c r="R2250" s="11"/>
      <c r="S2250" s="11"/>
      <c r="T2250" s="1"/>
      <c r="U2250" s="1"/>
      <c r="V2250" s="1"/>
      <c r="W2250" s="1"/>
      <c r="X2250" s="1"/>
      <c r="Y2250" s="1"/>
      <c r="Z2250" s="1"/>
    </row>
    <row r="2251" ht="18.0" hidden="1" customHeight="1" outlineLevel="1">
      <c r="A2251" s="1">
        <v>7.0</v>
      </c>
      <c r="B2251" s="26" t="s">
        <v>2000</v>
      </c>
      <c r="C2251" s="1"/>
      <c r="D2251" s="1"/>
      <c r="E2251" s="14"/>
      <c r="F2251" s="15"/>
      <c r="G2251" s="16"/>
      <c r="H2251" s="11"/>
      <c r="I2251" s="7"/>
      <c r="J2251" s="7" t="str">
        <f>IFERROR(LET(_xlpm.v,
VLOOKUP($I2251,'用語辞書'!$A:$B,COLUMN('用語辞書'!B$1),FALSE),
IF(_xlpm.v=0,"",_xlpm.v)
),"")</f>
        <v/>
      </c>
      <c r="K2251" s="17"/>
      <c r="L2251" s="17" t="str">
        <f>IF(OR(COUNTIF('クラス'!$A$1:$A$1267,$B2251)&gt;0,$B2251="",$M2251=""),"",True)</f>
        <v/>
      </c>
      <c r="M2251" s="1" t="str">
        <f t="shared" si="27"/>
        <v/>
      </c>
      <c r="N2251" s="1" t="s">
        <v>29</v>
      </c>
      <c r="O2251" s="1"/>
      <c r="P2251" s="11"/>
      <c r="Q2251" s="11"/>
      <c r="R2251" s="11"/>
      <c r="S2251" s="11"/>
      <c r="T2251" s="1"/>
      <c r="U2251" s="1"/>
      <c r="V2251" s="1"/>
      <c r="W2251" s="1"/>
      <c r="X2251" s="1"/>
      <c r="Y2251" s="1"/>
      <c r="Z2251" s="1"/>
    </row>
    <row r="2252" ht="18.0" hidden="1" customHeight="1" outlineLevel="1">
      <c r="A2252" s="1">
        <v>8.0</v>
      </c>
      <c r="B2252" s="26" t="s">
        <v>29</v>
      </c>
      <c r="C2252" s="1"/>
      <c r="D2252" s="1"/>
      <c r="E2252" s="14"/>
      <c r="F2252" s="15"/>
      <c r="G2252" s="16"/>
      <c r="H2252" s="11"/>
      <c r="I2252" s="7"/>
      <c r="J2252" s="7" t="str">
        <f>IFERROR(LET(_xlpm.v,
VLOOKUP($I2252,'用語辞書'!$A:$B,COLUMN('用語辞書'!B$1),FALSE),
IF(_xlpm.v=0,"",_xlpm.v)
),"")</f>
        <v/>
      </c>
      <c r="K2252" s="17"/>
      <c r="L2252" s="17" t="str">
        <f>IF(OR(COUNTIF('クラス'!$A$1:$A$1267,$B2252)&gt;0,$B2252="",$M2252=""),"",True)</f>
        <v/>
      </c>
      <c r="M2252" s="1" t="str">
        <f t="shared" si="27"/>
        <v/>
      </c>
      <c r="N2252" s="1" t="s">
        <v>29</v>
      </c>
      <c r="O2252" s="1"/>
      <c r="P2252" s="11"/>
      <c r="Q2252" s="11"/>
      <c r="R2252" s="11"/>
      <c r="S2252" s="11"/>
      <c r="T2252" s="1"/>
      <c r="U2252" s="1"/>
      <c r="V2252" s="1"/>
      <c r="W2252" s="1"/>
      <c r="X2252" s="1"/>
      <c r="Y2252" s="1"/>
      <c r="Z2252" s="1"/>
    </row>
    <row r="2253" ht="18.0" hidden="1" customHeight="1" outlineLevel="1">
      <c r="A2253" s="1">
        <v>9.0</v>
      </c>
      <c r="B2253" s="26" t="s">
        <v>1209</v>
      </c>
      <c r="C2253" s="1"/>
      <c r="D2253" s="1"/>
      <c r="E2253" s="14"/>
      <c r="F2253" s="15"/>
      <c r="G2253" s="16"/>
      <c r="H2253" s="11"/>
      <c r="I2253" s="7"/>
      <c r="J2253" s="7" t="str">
        <f>IFERROR(LET(_xlpm.v,
VLOOKUP($I2253,'用語辞書'!$A:$B,COLUMN('用語辞書'!B$1),FALSE),
IF(_xlpm.v=0,"",_xlpm.v)
),"")</f>
        <v/>
      </c>
      <c r="K2253" s="17"/>
      <c r="L2253" s="17" t="str">
        <f>IF(OR(COUNTIF('クラス'!$A$1:$A$1267,$B2253)&gt;0,$B2253="",$M2253=""),"",True)</f>
        <v/>
      </c>
      <c r="M2253" s="1" t="str">
        <f t="shared" si="27"/>
        <v/>
      </c>
      <c r="N2253" s="1" t="s">
        <v>29</v>
      </c>
      <c r="O2253" s="1"/>
      <c r="P2253" s="11"/>
      <c r="Q2253" s="11"/>
      <c r="R2253" s="11"/>
      <c r="S2253" s="11"/>
      <c r="T2253" s="1"/>
      <c r="U2253" s="1"/>
      <c r="V2253" s="1"/>
      <c r="W2253" s="1"/>
      <c r="X2253" s="1"/>
      <c r="Y2253" s="1"/>
      <c r="Z2253" s="1"/>
    </row>
    <row r="2254" ht="18.0" hidden="1" customHeight="1" outlineLevel="1">
      <c r="A2254" s="1">
        <v>10.0</v>
      </c>
      <c r="B2254" s="26" t="s">
        <v>2255</v>
      </c>
      <c r="C2254" s="26" t="s">
        <v>29</v>
      </c>
      <c r="D2254" s="26" t="s">
        <v>29</v>
      </c>
      <c r="E2254" s="29" t="s">
        <v>55</v>
      </c>
      <c r="F2254" s="34" t="s">
        <v>29</v>
      </c>
      <c r="G2254" s="30" t="s">
        <v>29</v>
      </c>
      <c r="H2254" s="22" t="s">
        <v>2256</v>
      </c>
      <c r="I2254" s="7"/>
      <c r="J2254" s="7" t="str">
        <f>IFERROR(LET(_xlpm.v,
VLOOKUP($I2254,'用語辞書'!$A:$B,COLUMN('用語辞書'!B$1),FALSE),
IF(_xlpm.v=0,"",_xlpm.v)
),"")</f>
        <v/>
      </c>
      <c r="K2254" s="17"/>
      <c r="L2254" s="17" t="b">
        <f>IF(OR(COUNTIF('クラス'!$A$1:$A$1267,$B2254)&gt;0,$B2254="",$M2254=""),"",True)</f>
        <v>1</v>
      </c>
      <c r="M2254" s="1" t="str">
        <f t="shared" si="27"/>
        <v>存在しない</v>
      </c>
      <c r="N2254" s="1" t="s">
        <v>29</v>
      </c>
      <c r="O2254" s="1"/>
      <c r="P2254" s="11"/>
      <c r="Q2254" s="11"/>
      <c r="R2254" s="11"/>
      <c r="S2254" s="11"/>
      <c r="T2254" s="1"/>
      <c r="U2254" s="1"/>
      <c r="V2254" s="1"/>
      <c r="W2254" s="1"/>
      <c r="X2254" s="1"/>
      <c r="Y2254" s="1"/>
      <c r="Z2254" s="1"/>
    </row>
    <row r="2255" ht="18.0" customHeight="1" collapsed="1">
      <c r="A2255" s="1"/>
      <c r="B2255" s="1"/>
      <c r="C2255" s="1"/>
      <c r="D2255" s="1"/>
      <c r="E2255" s="14"/>
      <c r="F2255" s="15"/>
      <c r="G2255" s="16"/>
      <c r="H2255" s="11"/>
      <c r="I2255" s="7"/>
      <c r="J2255" s="7" t="str">
        <f>IFERROR(LET(_xlpm.v,
VLOOKUP($I2255,'用語辞書'!$A:$B,COLUMN('用語辞書'!B$1),FALSE),
IF(_xlpm.v=0,"",_xlpm.v)
),"")</f>
        <v/>
      </c>
      <c r="K2255" s="17"/>
      <c r="L2255" s="17" t="str">
        <f>IF(OR(COUNTIF('クラス'!$A$1:$A$1267,$B2255)&gt;0,$B2255="",$M2255=""),"",True)</f>
        <v/>
      </c>
      <c r="M2255" s="1" t="str">
        <f t="shared" si="27"/>
        <v>存在しない</v>
      </c>
      <c r="N2255" s="1" t="s">
        <v>29</v>
      </c>
      <c r="O2255" s="1"/>
      <c r="P2255" s="11"/>
      <c r="Q2255" s="11"/>
      <c r="R2255" s="11"/>
      <c r="S2255" s="11"/>
      <c r="T2255" s="1"/>
      <c r="U2255" s="1"/>
      <c r="V2255" s="1"/>
      <c r="W2255" s="1"/>
      <c r="X2255" s="1"/>
      <c r="Y2255" s="1"/>
      <c r="Z2255" s="1"/>
    </row>
    <row r="2256" ht="18.0" customHeight="1">
      <c r="A2256" s="1"/>
      <c r="B2256" s="26" t="s">
        <v>2257</v>
      </c>
      <c r="C2256" s="1"/>
      <c r="D2256" s="1"/>
      <c r="E2256" s="14"/>
      <c r="F2256" s="15"/>
      <c r="G2256" s="16"/>
      <c r="H2256" s="11"/>
      <c r="I2256" s="7"/>
      <c r="J2256" s="7" t="str">
        <f>IFERROR(LET(_xlpm.v,
VLOOKUP($I2256,'用語辞書'!$A:$B,COLUMN('用語辞書'!B$1),FALSE),
IF(_xlpm.v=0,"",_xlpm.v)
),"")</f>
        <v/>
      </c>
      <c r="K2256" s="17"/>
      <c r="L2256" s="17" t="str">
        <f>IF(OR(COUNTIF('クラス'!$A$1:$A$1267,$B2256)&gt;0,$B2256="",$M2256=""),"",True)</f>
        <v/>
      </c>
      <c r="M2256" s="1" t="str">
        <f t="shared" si="27"/>
        <v>存在しない</v>
      </c>
      <c r="N2256" s="1" t="s">
        <v>29</v>
      </c>
      <c r="O2256" s="1"/>
      <c r="P2256" s="11"/>
      <c r="Q2256" s="11"/>
      <c r="R2256" s="11"/>
      <c r="S2256" s="11"/>
      <c r="T2256" s="1"/>
      <c r="U2256" s="1"/>
      <c r="V2256" s="1"/>
      <c r="W2256" s="1"/>
      <c r="X2256" s="1"/>
      <c r="Y2256" s="1"/>
      <c r="Z2256" s="1"/>
    </row>
    <row r="2257" ht="18.0" hidden="1" customHeight="1" outlineLevel="1">
      <c r="A2257" s="1">
        <v>1.0</v>
      </c>
      <c r="B2257" s="26" t="s">
        <v>2239</v>
      </c>
      <c r="C2257" s="1"/>
      <c r="D2257" s="1"/>
      <c r="E2257" s="14"/>
      <c r="F2257" s="15"/>
      <c r="G2257" s="16"/>
      <c r="H2257" s="11"/>
      <c r="I2257" s="7"/>
      <c r="J2257" s="7" t="str">
        <f>IFERROR(LET(_xlpm.v,
VLOOKUP($I2257,'用語辞書'!$A:$B,COLUMN('用語辞書'!B$1),FALSE),
IF(_xlpm.v=0,"",_xlpm.v)
),"")</f>
        <v/>
      </c>
      <c r="K2257" s="17"/>
      <c r="L2257" s="17" t="str">
        <f>IF(OR(COUNTIF('クラス'!$A$1:$A$1267,$B2257)&gt;0,$B2257="",$M2257=""),"",True)</f>
        <v/>
      </c>
      <c r="M2257" s="1" t="str">
        <f t="shared" si="27"/>
        <v/>
      </c>
      <c r="N2257" s="1" t="s">
        <v>29</v>
      </c>
      <c r="O2257" s="1"/>
      <c r="P2257" s="11"/>
      <c r="Q2257" s="11"/>
      <c r="R2257" s="11"/>
      <c r="S2257" s="11"/>
      <c r="T2257" s="1"/>
      <c r="U2257" s="1"/>
      <c r="V2257" s="1"/>
      <c r="W2257" s="1"/>
      <c r="X2257" s="1"/>
      <c r="Y2257" s="1"/>
      <c r="Z2257" s="1"/>
    </row>
    <row r="2258" ht="18.0" hidden="1" customHeight="1" outlineLevel="1">
      <c r="A2258" s="1">
        <v>2.0</v>
      </c>
      <c r="B2258" s="26" t="s">
        <v>29</v>
      </c>
      <c r="C2258" s="1"/>
      <c r="D2258" s="1"/>
      <c r="E2258" s="14"/>
      <c r="F2258" s="15"/>
      <c r="G2258" s="16"/>
      <c r="H2258" s="11"/>
      <c r="I2258" s="7"/>
      <c r="J2258" s="7" t="str">
        <f>IFERROR(LET(_xlpm.v,
VLOOKUP($I2258,'用語辞書'!$A:$B,COLUMN('用語辞書'!B$1),FALSE),
IF(_xlpm.v=0,"",_xlpm.v)
),"")</f>
        <v/>
      </c>
      <c r="K2258" s="17"/>
      <c r="L2258" s="17" t="str">
        <f>IF(OR(COUNTIF('クラス'!$A$1:$A$1267,$B2258)&gt;0,$B2258="",$M2258=""),"",True)</f>
        <v/>
      </c>
      <c r="M2258" s="1" t="str">
        <f t="shared" si="27"/>
        <v/>
      </c>
      <c r="N2258" s="1" t="s">
        <v>29</v>
      </c>
      <c r="O2258" s="1"/>
      <c r="P2258" s="11"/>
      <c r="Q2258" s="11"/>
      <c r="R2258" s="11"/>
      <c r="S2258" s="11"/>
      <c r="T2258" s="1"/>
      <c r="U2258" s="1"/>
      <c r="V2258" s="1"/>
      <c r="W2258" s="1"/>
      <c r="X2258" s="1"/>
      <c r="Y2258" s="1"/>
      <c r="Z2258" s="1"/>
    </row>
    <row r="2259" ht="18.0" hidden="1" customHeight="1" outlineLevel="1">
      <c r="A2259" s="1">
        <v>3.0</v>
      </c>
      <c r="B2259" s="26" t="s">
        <v>1390</v>
      </c>
      <c r="C2259" s="1"/>
      <c r="D2259" s="1"/>
      <c r="E2259" s="14"/>
      <c r="F2259" s="15"/>
      <c r="G2259" s="16"/>
      <c r="H2259" s="11"/>
      <c r="I2259" s="7"/>
      <c r="J2259" s="7" t="str">
        <f>IFERROR(LET(_xlpm.v,
VLOOKUP($I2259,'用語辞書'!$A:$B,COLUMN('用語辞書'!B$1),FALSE),
IF(_xlpm.v=0,"",_xlpm.v)
),"")</f>
        <v/>
      </c>
      <c r="K2259" s="17"/>
      <c r="L2259" s="17" t="str">
        <f>IF(OR(COUNTIF('クラス'!$A$1:$A$1267,$B2259)&gt;0,$B2259="",$M2259=""),"",True)</f>
        <v/>
      </c>
      <c r="M2259" s="1" t="str">
        <f t="shared" si="27"/>
        <v/>
      </c>
      <c r="N2259" s="1" t="s">
        <v>29</v>
      </c>
      <c r="O2259" s="1"/>
      <c r="P2259" s="11"/>
      <c r="Q2259" s="11"/>
      <c r="R2259" s="11"/>
      <c r="S2259" s="11"/>
      <c r="T2259" s="1"/>
      <c r="U2259" s="1"/>
      <c r="V2259" s="1"/>
      <c r="W2259" s="1"/>
      <c r="X2259" s="1"/>
      <c r="Y2259" s="1"/>
      <c r="Z2259" s="1"/>
    </row>
    <row r="2260" ht="18.0" hidden="1" customHeight="1" outlineLevel="1">
      <c r="A2260" s="1">
        <v>4.0</v>
      </c>
      <c r="B2260" s="26" t="s">
        <v>29</v>
      </c>
      <c r="C2260" s="1"/>
      <c r="D2260" s="1"/>
      <c r="E2260" s="14"/>
      <c r="F2260" s="15"/>
      <c r="G2260" s="16"/>
      <c r="H2260" s="11"/>
      <c r="I2260" s="7"/>
      <c r="J2260" s="7" t="str">
        <f>IFERROR(LET(_xlpm.v,
VLOOKUP($I2260,'用語辞書'!$A:$B,COLUMN('用語辞書'!B$1),FALSE),
IF(_xlpm.v=0,"",_xlpm.v)
),"")</f>
        <v/>
      </c>
      <c r="K2260" s="17"/>
      <c r="L2260" s="17" t="str">
        <f>IF(OR(COUNTIF('クラス'!$A$1:$A$1267,$B2260)&gt;0,$B2260="",$M2260=""),"",True)</f>
        <v/>
      </c>
      <c r="M2260" s="1" t="str">
        <f t="shared" si="27"/>
        <v/>
      </c>
      <c r="N2260" s="1" t="s">
        <v>29</v>
      </c>
      <c r="O2260" s="1"/>
      <c r="P2260" s="11"/>
      <c r="Q2260" s="11"/>
      <c r="R2260" s="11"/>
      <c r="S2260" s="11"/>
      <c r="T2260" s="1"/>
      <c r="U2260" s="1"/>
      <c r="V2260" s="1"/>
      <c r="W2260" s="1"/>
      <c r="X2260" s="1"/>
      <c r="Y2260" s="1"/>
      <c r="Z2260" s="1"/>
    </row>
    <row r="2261" ht="18.0" hidden="1" customHeight="1" outlineLevel="1">
      <c r="A2261" s="1">
        <v>5.0</v>
      </c>
      <c r="B2261" s="26" t="s">
        <v>1259</v>
      </c>
      <c r="C2261" s="1"/>
      <c r="D2261" s="1"/>
      <c r="E2261" s="14"/>
      <c r="F2261" s="15"/>
      <c r="G2261" s="16"/>
      <c r="H2261" s="11"/>
      <c r="I2261" s="7"/>
      <c r="J2261" s="7" t="str">
        <f>IFERROR(LET(_xlpm.v,
VLOOKUP($I2261,'用語辞書'!$A:$B,COLUMN('用語辞書'!B$1),FALSE),
IF(_xlpm.v=0,"",_xlpm.v)
),"")</f>
        <v/>
      </c>
      <c r="K2261" s="17"/>
      <c r="L2261" s="17" t="str">
        <f>IF(OR(COUNTIF('クラス'!$A$1:$A$1267,$B2261)&gt;0,$B2261="",$M2261=""),"",True)</f>
        <v/>
      </c>
      <c r="M2261" s="1" t="str">
        <f t="shared" si="27"/>
        <v/>
      </c>
      <c r="N2261" s="1" t="s">
        <v>29</v>
      </c>
      <c r="O2261" s="1"/>
      <c r="P2261" s="11"/>
      <c r="Q2261" s="11"/>
      <c r="R2261" s="11"/>
      <c r="S2261" s="11"/>
      <c r="T2261" s="1"/>
      <c r="U2261" s="1"/>
      <c r="V2261" s="1"/>
      <c r="W2261" s="1"/>
      <c r="X2261" s="1"/>
      <c r="Y2261" s="1"/>
      <c r="Z2261" s="1"/>
    </row>
    <row r="2262" ht="18.0" hidden="1" customHeight="1" outlineLevel="1">
      <c r="A2262" s="1">
        <v>6.0</v>
      </c>
      <c r="B2262" s="26" t="s">
        <v>29</v>
      </c>
      <c r="C2262" s="1"/>
      <c r="D2262" s="1"/>
      <c r="E2262" s="14"/>
      <c r="F2262" s="15"/>
      <c r="G2262" s="16"/>
      <c r="H2262" s="11"/>
      <c r="I2262" s="7"/>
      <c r="J2262" s="7" t="str">
        <f>IFERROR(LET(_xlpm.v,
VLOOKUP($I2262,'用語辞書'!$A:$B,COLUMN('用語辞書'!B$1),FALSE),
IF(_xlpm.v=0,"",_xlpm.v)
),"")</f>
        <v/>
      </c>
      <c r="K2262" s="17"/>
      <c r="L2262" s="17" t="str">
        <f>IF(OR(COUNTIF('クラス'!$A$1:$A$1267,$B2262)&gt;0,$B2262="",$M2262=""),"",True)</f>
        <v/>
      </c>
      <c r="M2262" s="1" t="str">
        <f t="shared" si="27"/>
        <v/>
      </c>
      <c r="N2262" s="1" t="s">
        <v>29</v>
      </c>
      <c r="O2262" s="1"/>
      <c r="P2262" s="11"/>
      <c r="Q2262" s="11"/>
      <c r="R2262" s="11"/>
      <c r="S2262" s="11"/>
      <c r="T2262" s="1"/>
      <c r="U2262" s="1"/>
      <c r="V2262" s="1"/>
      <c r="W2262" s="1"/>
      <c r="X2262" s="1"/>
      <c r="Y2262" s="1"/>
      <c r="Z2262" s="1"/>
    </row>
    <row r="2263" ht="18.0" hidden="1" customHeight="1" outlineLevel="1">
      <c r="A2263" s="1">
        <v>7.0</v>
      </c>
      <c r="B2263" s="26" t="s">
        <v>1140</v>
      </c>
      <c r="C2263" s="1"/>
      <c r="D2263" s="1"/>
      <c r="E2263" s="14"/>
      <c r="F2263" s="15"/>
      <c r="G2263" s="16"/>
      <c r="H2263" s="11"/>
      <c r="I2263" s="7"/>
      <c r="J2263" s="7" t="str">
        <f>IFERROR(LET(_xlpm.v,
VLOOKUP($I2263,'用語辞書'!$A:$B,COLUMN('用語辞書'!B$1),FALSE),
IF(_xlpm.v=0,"",_xlpm.v)
),"")</f>
        <v/>
      </c>
      <c r="K2263" s="17"/>
      <c r="L2263" s="17" t="str">
        <f>IF(OR(COUNTIF('クラス'!$A$1:$A$1267,$B2263)&gt;0,$B2263="",$M2263=""),"",True)</f>
        <v/>
      </c>
      <c r="M2263" s="1" t="str">
        <f t="shared" si="27"/>
        <v/>
      </c>
      <c r="N2263" s="1" t="s">
        <v>29</v>
      </c>
      <c r="O2263" s="1"/>
      <c r="P2263" s="11"/>
      <c r="Q2263" s="11"/>
      <c r="R2263" s="11"/>
      <c r="S2263" s="11"/>
      <c r="T2263" s="1"/>
      <c r="U2263" s="1"/>
      <c r="V2263" s="1"/>
      <c r="W2263" s="1"/>
      <c r="X2263" s="1"/>
      <c r="Y2263" s="1"/>
      <c r="Z2263" s="1"/>
    </row>
    <row r="2264" ht="18.0" hidden="1" customHeight="1" outlineLevel="1">
      <c r="A2264" s="1">
        <v>8.0</v>
      </c>
      <c r="B2264" s="26" t="s">
        <v>29</v>
      </c>
      <c r="C2264" s="1"/>
      <c r="D2264" s="1"/>
      <c r="E2264" s="14"/>
      <c r="F2264" s="15"/>
      <c r="G2264" s="16"/>
      <c r="H2264" s="11"/>
      <c r="I2264" s="7"/>
      <c r="J2264" s="7" t="str">
        <f>IFERROR(LET(_xlpm.v,
VLOOKUP($I2264,'用語辞書'!$A:$B,COLUMN('用語辞書'!B$1),FALSE),
IF(_xlpm.v=0,"",_xlpm.v)
),"")</f>
        <v/>
      </c>
      <c r="K2264" s="17"/>
      <c r="L2264" s="17" t="str">
        <f>IF(OR(COUNTIF('クラス'!$A$1:$A$1267,$B2264)&gt;0,$B2264="",$M2264=""),"",True)</f>
        <v/>
      </c>
      <c r="M2264" s="1" t="str">
        <f t="shared" si="27"/>
        <v/>
      </c>
      <c r="N2264" s="1" t="s">
        <v>29</v>
      </c>
      <c r="O2264" s="1"/>
      <c r="P2264" s="11"/>
      <c r="Q2264" s="11"/>
      <c r="R2264" s="11"/>
      <c r="S2264" s="11"/>
      <c r="T2264" s="1"/>
      <c r="U2264" s="1"/>
      <c r="V2264" s="1"/>
      <c r="W2264" s="1"/>
      <c r="X2264" s="1"/>
      <c r="Y2264" s="1"/>
      <c r="Z2264" s="1"/>
    </row>
    <row r="2265" ht="18.0" hidden="1" customHeight="1" outlineLevel="1">
      <c r="A2265" s="1">
        <v>9.0</v>
      </c>
      <c r="B2265" s="26" t="s">
        <v>1144</v>
      </c>
      <c r="C2265" s="1"/>
      <c r="D2265" s="1"/>
      <c r="E2265" s="14"/>
      <c r="F2265" s="15"/>
      <c r="G2265" s="16"/>
      <c r="H2265" s="11"/>
      <c r="I2265" s="7"/>
      <c r="J2265" s="7" t="str">
        <f>IFERROR(LET(_xlpm.v,
VLOOKUP($I2265,'用語辞書'!$A:$B,COLUMN('用語辞書'!B$1),FALSE),
IF(_xlpm.v=0,"",_xlpm.v)
),"")</f>
        <v/>
      </c>
      <c r="K2265" s="17"/>
      <c r="L2265" s="17" t="str">
        <f>IF(OR(COUNTIF('クラス'!$A$1:$A$1267,$B2265)&gt;0,$B2265="",$M2265=""),"",True)</f>
        <v/>
      </c>
      <c r="M2265" s="1" t="str">
        <f t="shared" si="27"/>
        <v/>
      </c>
      <c r="N2265" s="1" t="s">
        <v>29</v>
      </c>
      <c r="O2265" s="1"/>
      <c r="P2265" s="11"/>
      <c r="Q2265" s="11"/>
      <c r="R2265" s="11"/>
      <c r="S2265" s="11"/>
      <c r="T2265" s="1"/>
      <c r="U2265" s="1"/>
      <c r="V2265" s="1"/>
      <c r="W2265" s="1"/>
      <c r="X2265" s="1"/>
      <c r="Y2265" s="1"/>
      <c r="Z2265" s="1"/>
    </row>
    <row r="2266" ht="18.0" hidden="1" customHeight="1" outlineLevel="1">
      <c r="A2266" s="1">
        <v>10.0</v>
      </c>
      <c r="B2266" s="26" t="s">
        <v>2258</v>
      </c>
      <c r="C2266" s="26" t="s">
        <v>29</v>
      </c>
      <c r="D2266" s="26" t="s">
        <v>29</v>
      </c>
      <c r="E2266" s="29" t="s">
        <v>55</v>
      </c>
      <c r="F2266" s="34" t="s">
        <v>29</v>
      </c>
      <c r="G2266" s="30" t="s">
        <v>29</v>
      </c>
      <c r="H2266" s="22" t="s">
        <v>2259</v>
      </c>
      <c r="I2266" s="7"/>
      <c r="J2266" s="7" t="str">
        <f>IFERROR(LET(_xlpm.v,
VLOOKUP($I2266,'用語辞書'!$A:$B,COLUMN('用語辞書'!B$1),FALSE),
IF(_xlpm.v=0,"",_xlpm.v)
),"")</f>
        <v/>
      </c>
      <c r="K2266" s="17"/>
      <c r="L2266" s="17" t="b">
        <f>IF(OR(COUNTIF('クラス'!$A$1:$A$1267,$B2266)&gt;0,$B2266="",$M2266=""),"",True)</f>
        <v>1</v>
      </c>
      <c r="M2266" s="1" t="str">
        <f t="shared" si="27"/>
        <v>存在しない</v>
      </c>
      <c r="N2266" s="1" t="s">
        <v>29</v>
      </c>
      <c r="O2266" s="1"/>
      <c r="P2266" s="11"/>
      <c r="Q2266" s="11"/>
      <c r="R2266" s="11"/>
      <c r="S2266" s="11"/>
      <c r="T2266" s="1"/>
      <c r="U2266" s="1"/>
      <c r="V2266" s="1"/>
      <c r="W2266" s="1"/>
      <c r="X2266" s="1"/>
      <c r="Y2266" s="1"/>
      <c r="Z2266" s="1"/>
    </row>
    <row r="2267" ht="18.0" customHeight="1" collapsed="1">
      <c r="A2267" s="1"/>
      <c r="B2267" s="1"/>
      <c r="C2267" s="1"/>
      <c r="D2267" s="1"/>
      <c r="E2267" s="14"/>
      <c r="F2267" s="15"/>
      <c r="G2267" s="16"/>
      <c r="H2267" s="11"/>
      <c r="I2267" s="7"/>
      <c r="J2267" s="7" t="str">
        <f>IFERROR(LET(_xlpm.v,
VLOOKUP($I2267,'用語辞書'!$A:$B,COLUMN('用語辞書'!B$1),FALSE),
IF(_xlpm.v=0,"",_xlpm.v)
),"")</f>
        <v/>
      </c>
      <c r="K2267" s="17"/>
      <c r="L2267" s="17" t="str">
        <f>IF(OR(COUNTIF('クラス'!$A$1:$A$1267,$B2267)&gt;0,$B2267="",$M2267=""),"",True)</f>
        <v/>
      </c>
      <c r="M2267" s="1" t="str">
        <f t="shared" si="27"/>
        <v>存在しない</v>
      </c>
      <c r="N2267" s="1" t="s">
        <v>29</v>
      </c>
      <c r="O2267" s="1"/>
      <c r="P2267" s="11"/>
      <c r="Q2267" s="11"/>
      <c r="R2267" s="11"/>
      <c r="S2267" s="11"/>
      <c r="T2267" s="1"/>
      <c r="U2267" s="1"/>
      <c r="V2267" s="1"/>
      <c r="W2267" s="1"/>
      <c r="X2267" s="1"/>
      <c r="Y2267" s="1"/>
      <c r="Z2267" s="1"/>
    </row>
    <row r="2268" ht="18.0" customHeight="1">
      <c r="A2268" s="1"/>
      <c r="B2268" s="26" t="s">
        <v>2260</v>
      </c>
      <c r="C2268" s="1"/>
      <c r="D2268" s="1"/>
      <c r="E2268" s="14"/>
      <c r="F2268" s="15"/>
      <c r="G2268" s="16"/>
      <c r="H2268" s="11"/>
      <c r="I2268" s="7"/>
      <c r="J2268" s="7" t="str">
        <f>IFERROR(LET(_xlpm.v,
VLOOKUP($I2268,'用語辞書'!$A:$B,COLUMN('用語辞書'!B$1),FALSE),
IF(_xlpm.v=0,"",_xlpm.v)
),"")</f>
        <v/>
      </c>
      <c r="K2268" s="17"/>
      <c r="L2268" s="17" t="str">
        <f>IF(OR(COUNTIF('クラス'!$A$1:$A$1267,$B2268)&gt;0,$B2268="",$M2268=""),"",True)</f>
        <v/>
      </c>
      <c r="M2268" s="1" t="str">
        <f t="shared" si="27"/>
        <v>存在しない</v>
      </c>
      <c r="N2268" s="1" t="s">
        <v>29</v>
      </c>
      <c r="O2268" s="1"/>
      <c r="P2268" s="11"/>
      <c r="Q2268" s="11"/>
      <c r="R2268" s="11"/>
      <c r="S2268" s="11"/>
      <c r="T2268" s="1"/>
      <c r="U2268" s="1"/>
      <c r="V2268" s="1"/>
      <c r="W2268" s="1"/>
      <c r="X2268" s="1"/>
      <c r="Y2268" s="1"/>
      <c r="Z2268" s="1"/>
    </row>
    <row r="2269" ht="18.0" hidden="1" customHeight="1" outlineLevel="1">
      <c r="A2269" s="1">
        <v>1.0</v>
      </c>
      <c r="B2269" s="26" t="s">
        <v>1136</v>
      </c>
      <c r="C2269" s="1"/>
      <c r="D2269" s="1"/>
      <c r="E2269" s="14"/>
      <c r="F2269" s="15"/>
      <c r="G2269" s="16"/>
      <c r="H2269" s="11"/>
      <c r="I2269" s="7"/>
      <c r="J2269" s="7" t="str">
        <f>IFERROR(LET(_xlpm.v,
VLOOKUP($I2269,'用語辞書'!$A:$B,COLUMN('用語辞書'!B$1),FALSE),
IF(_xlpm.v=0,"",_xlpm.v)
),"")</f>
        <v/>
      </c>
      <c r="K2269" s="17"/>
      <c r="L2269" s="17" t="str">
        <f>IF(OR(COUNTIF('クラス'!$A$1:$A$1267,$B2269)&gt;0,$B2269="",$M2269=""),"",True)</f>
        <v/>
      </c>
      <c r="M2269" s="1" t="str">
        <f t="shared" si="27"/>
        <v/>
      </c>
      <c r="N2269" s="1" t="s">
        <v>29</v>
      </c>
      <c r="O2269" s="1"/>
      <c r="P2269" s="11"/>
      <c r="Q2269" s="11"/>
      <c r="R2269" s="11"/>
      <c r="S2269" s="11"/>
      <c r="T2269" s="1"/>
      <c r="U2269" s="1"/>
      <c r="V2269" s="1"/>
      <c r="W2269" s="1"/>
      <c r="X2269" s="1"/>
      <c r="Y2269" s="1"/>
      <c r="Z2269" s="1"/>
    </row>
    <row r="2270" ht="18.0" hidden="1" customHeight="1" outlineLevel="1">
      <c r="A2270" s="1">
        <v>2.0</v>
      </c>
      <c r="B2270" s="26" t="s">
        <v>29</v>
      </c>
      <c r="C2270" s="1"/>
      <c r="D2270" s="1"/>
      <c r="E2270" s="14"/>
      <c r="F2270" s="15"/>
      <c r="G2270" s="16"/>
      <c r="H2270" s="11"/>
      <c r="I2270" s="7"/>
      <c r="J2270" s="7" t="str">
        <f>IFERROR(LET(_xlpm.v,
VLOOKUP($I2270,'用語辞書'!$A:$B,COLUMN('用語辞書'!B$1),FALSE),
IF(_xlpm.v=0,"",_xlpm.v)
),"")</f>
        <v/>
      </c>
      <c r="K2270" s="17"/>
      <c r="L2270" s="17" t="str">
        <f>IF(OR(COUNTIF('クラス'!$A$1:$A$1267,$B2270)&gt;0,$B2270="",$M2270=""),"",True)</f>
        <v/>
      </c>
      <c r="M2270" s="1" t="str">
        <f t="shared" si="27"/>
        <v/>
      </c>
      <c r="N2270" s="1" t="s">
        <v>29</v>
      </c>
      <c r="O2270" s="1"/>
      <c r="P2270" s="11"/>
      <c r="Q2270" s="11"/>
      <c r="R2270" s="11"/>
      <c r="S2270" s="11"/>
      <c r="T2270" s="1"/>
      <c r="U2270" s="1"/>
      <c r="V2270" s="1"/>
      <c r="W2270" s="1"/>
      <c r="X2270" s="1"/>
      <c r="Y2270" s="1"/>
      <c r="Z2270" s="1"/>
    </row>
    <row r="2271" ht="18.0" hidden="1" customHeight="1" outlineLevel="1">
      <c r="A2271" s="1">
        <v>3.0</v>
      </c>
      <c r="B2271" s="26" t="s">
        <v>2258</v>
      </c>
      <c r="C2271" s="1"/>
      <c r="D2271" s="1"/>
      <c r="E2271" s="14"/>
      <c r="F2271" s="15"/>
      <c r="G2271" s="16"/>
      <c r="H2271" s="11"/>
      <c r="I2271" s="7"/>
      <c r="J2271" s="7" t="str">
        <f>IFERROR(LET(_xlpm.v,
VLOOKUP($I2271,'用語辞書'!$A:$B,COLUMN('用語辞書'!B$1),FALSE),
IF(_xlpm.v=0,"",_xlpm.v)
),"")</f>
        <v/>
      </c>
      <c r="K2271" s="17"/>
      <c r="L2271" s="17" t="str">
        <f>IF(OR(COUNTIF('クラス'!$A$1:$A$1267,$B2271)&gt;0,$B2271="",$M2271=""),"",True)</f>
        <v/>
      </c>
      <c r="M2271" s="1" t="str">
        <f t="shared" si="27"/>
        <v/>
      </c>
      <c r="N2271" s="1" t="s">
        <v>29</v>
      </c>
      <c r="O2271" s="1"/>
      <c r="P2271" s="11"/>
      <c r="Q2271" s="11"/>
      <c r="R2271" s="11"/>
      <c r="S2271" s="11"/>
      <c r="T2271" s="1"/>
      <c r="U2271" s="1"/>
      <c r="V2271" s="1"/>
      <c r="W2271" s="1"/>
      <c r="X2271" s="1"/>
      <c r="Y2271" s="1"/>
      <c r="Z2271" s="1"/>
    </row>
    <row r="2272" ht="18.0" hidden="1" customHeight="1" outlineLevel="1">
      <c r="A2272" s="1">
        <v>4.0</v>
      </c>
      <c r="B2272" s="26" t="s">
        <v>29</v>
      </c>
      <c r="C2272" s="1"/>
      <c r="D2272" s="1"/>
      <c r="E2272" s="14"/>
      <c r="F2272" s="15"/>
      <c r="G2272" s="16"/>
      <c r="H2272" s="11"/>
      <c r="I2272" s="7"/>
      <c r="J2272" s="7" t="str">
        <f>IFERROR(LET(_xlpm.v,
VLOOKUP($I2272,'用語辞書'!$A:$B,COLUMN('用語辞書'!B$1),FALSE),
IF(_xlpm.v=0,"",_xlpm.v)
),"")</f>
        <v/>
      </c>
      <c r="K2272" s="17"/>
      <c r="L2272" s="17" t="str">
        <f>IF(OR(COUNTIF('クラス'!$A$1:$A$1267,$B2272)&gt;0,$B2272="",$M2272=""),"",True)</f>
        <v/>
      </c>
      <c r="M2272" s="1" t="str">
        <f t="shared" si="27"/>
        <v/>
      </c>
      <c r="N2272" s="1" t="s">
        <v>29</v>
      </c>
      <c r="O2272" s="1"/>
      <c r="P2272" s="11"/>
      <c r="Q2272" s="11"/>
      <c r="R2272" s="11"/>
      <c r="S2272" s="11"/>
      <c r="T2272" s="1"/>
      <c r="U2272" s="1"/>
      <c r="V2272" s="1"/>
      <c r="W2272" s="1"/>
      <c r="X2272" s="1"/>
      <c r="Y2272" s="1"/>
      <c r="Z2272" s="1"/>
    </row>
    <row r="2273" ht="18.0" hidden="1" customHeight="1" outlineLevel="1">
      <c r="A2273" s="1">
        <v>5.0</v>
      </c>
      <c r="B2273" s="26" t="s">
        <v>1259</v>
      </c>
      <c r="C2273" s="1"/>
      <c r="D2273" s="1"/>
      <c r="E2273" s="14"/>
      <c r="F2273" s="15"/>
      <c r="G2273" s="16"/>
      <c r="H2273" s="11"/>
      <c r="I2273" s="7"/>
      <c r="J2273" s="7" t="str">
        <f>IFERROR(LET(_xlpm.v,
VLOOKUP($I2273,'用語辞書'!$A:$B,COLUMN('用語辞書'!B$1),FALSE),
IF(_xlpm.v=0,"",_xlpm.v)
),"")</f>
        <v/>
      </c>
      <c r="K2273" s="17"/>
      <c r="L2273" s="17" t="str">
        <f>IF(OR(COUNTIF('クラス'!$A$1:$A$1267,$B2273)&gt;0,$B2273="",$M2273=""),"",True)</f>
        <v/>
      </c>
      <c r="M2273" s="1" t="str">
        <f t="shared" si="27"/>
        <v/>
      </c>
      <c r="N2273" s="1" t="s">
        <v>29</v>
      </c>
      <c r="O2273" s="1"/>
      <c r="P2273" s="11"/>
      <c r="Q2273" s="11"/>
      <c r="R2273" s="11"/>
      <c r="S2273" s="11"/>
      <c r="T2273" s="1"/>
      <c r="U2273" s="1"/>
      <c r="V2273" s="1"/>
      <c r="W2273" s="1"/>
      <c r="X2273" s="1"/>
      <c r="Y2273" s="1"/>
      <c r="Z2273" s="1"/>
    </row>
    <row r="2274" ht="18.0" hidden="1" customHeight="1" outlineLevel="1">
      <c r="A2274" s="1">
        <v>6.0</v>
      </c>
      <c r="B2274" s="26" t="s">
        <v>29</v>
      </c>
      <c r="C2274" s="1"/>
      <c r="D2274" s="1"/>
      <c r="E2274" s="14"/>
      <c r="F2274" s="15"/>
      <c r="G2274" s="16"/>
      <c r="H2274" s="11"/>
      <c r="I2274" s="7"/>
      <c r="J2274" s="7" t="str">
        <f>IFERROR(LET(_xlpm.v,
VLOOKUP($I2274,'用語辞書'!$A:$B,COLUMN('用語辞書'!B$1),FALSE),
IF(_xlpm.v=0,"",_xlpm.v)
),"")</f>
        <v/>
      </c>
      <c r="K2274" s="17"/>
      <c r="L2274" s="17" t="str">
        <f>IF(OR(COUNTIF('クラス'!$A$1:$A$1267,$B2274)&gt;0,$B2274="",$M2274=""),"",True)</f>
        <v/>
      </c>
      <c r="M2274" s="1" t="str">
        <f t="shared" si="27"/>
        <v/>
      </c>
      <c r="N2274" s="1" t="s">
        <v>29</v>
      </c>
      <c r="O2274" s="1"/>
      <c r="P2274" s="11"/>
      <c r="Q2274" s="11"/>
      <c r="R2274" s="11"/>
      <c r="S2274" s="11"/>
      <c r="T2274" s="1"/>
      <c r="U2274" s="1"/>
      <c r="V2274" s="1"/>
      <c r="W2274" s="1"/>
      <c r="X2274" s="1"/>
      <c r="Y2274" s="1"/>
      <c r="Z2274" s="1"/>
    </row>
    <row r="2275" ht="18.0" hidden="1" customHeight="1" outlineLevel="1">
      <c r="A2275" s="1">
        <v>7.0</v>
      </c>
      <c r="B2275" s="26" t="s">
        <v>1140</v>
      </c>
      <c r="C2275" s="1"/>
      <c r="D2275" s="1"/>
      <c r="E2275" s="14"/>
      <c r="F2275" s="15"/>
      <c r="G2275" s="16"/>
      <c r="H2275" s="11"/>
      <c r="I2275" s="7"/>
      <c r="J2275" s="7" t="str">
        <f>IFERROR(LET(_xlpm.v,
VLOOKUP($I2275,'用語辞書'!$A:$B,COLUMN('用語辞書'!B$1),FALSE),
IF(_xlpm.v=0,"",_xlpm.v)
),"")</f>
        <v/>
      </c>
      <c r="K2275" s="17"/>
      <c r="L2275" s="17" t="str">
        <f>IF(OR(COUNTIF('クラス'!$A$1:$A$1267,$B2275)&gt;0,$B2275="",$M2275=""),"",True)</f>
        <v/>
      </c>
      <c r="M2275" s="1" t="str">
        <f t="shared" si="27"/>
        <v/>
      </c>
      <c r="N2275" s="1" t="s">
        <v>29</v>
      </c>
      <c r="O2275" s="1"/>
      <c r="P2275" s="11"/>
      <c r="Q2275" s="11"/>
      <c r="R2275" s="11"/>
      <c r="S2275" s="11"/>
      <c r="T2275" s="1"/>
      <c r="U2275" s="1"/>
      <c r="V2275" s="1"/>
      <c r="W2275" s="1"/>
      <c r="X2275" s="1"/>
      <c r="Y2275" s="1"/>
      <c r="Z2275" s="1"/>
    </row>
    <row r="2276" ht="18.0" hidden="1" customHeight="1" outlineLevel="1">
      <c r="A2276" s="1">
        <v>8.0</v>
      </c>
      <c r="B2276" s="26" t="s">
        <v>29</v>
      </c>
      <c r="C2276" s="1"/>
      <c r="D2276" s="1"/>
      <c r="E2276" s="14"/>
      <c r="F2276" s="15"/>
      <c r="G2276" s="16"/>
      <c r="H2276" s="11"/>
      <c r="I2276" s="7"/>
      <c r="J2276" s="7" t="str">
        <f>IFERROR(LET(_xlpm.v,
VLOOKUP($I2276,'用語辞書'!$A:$B,COLUMN('用語辞書'!B$1),FALSE),
IF(_xlpm.v=0,"",_xlpm.v)
),"")</f>
        <v/>
      </c>
      <c r="K2276" s="17"/>
      <c r="L2276" s="17" t="str">
        <f>IF(OR(COUNTIF('クラス'!$A$1:$A$1267,$B2276)&gt;0,$B2276="",$M2276=""),"",True)</f>
        <v/>
      </c>
      <c r="M2276" s="1" t="str">
        <f t="shared" si="27"/>
        <v/>
      </c>
      <c r="N2276" s="1" t="s">
        <v>29</v>
      </c>
      <c r="O2276" s="1"/>
      <c r="P2276" s="11"/>
      <c r="Q2276" s="11"/>
      <c r="R2276" s="11"/>
      <c r="S2276" s="11"/>
      <c r="T2276" s="1"/>
      <c r="U2276" s="1"/>
      <c r="V2276" s="1"/>
      <c r="W2276" s="1"/>
      <c r="X2276" s="1"/>
      <c r="Y2276" s="1"/>
      <c r="Z2276" s="1"/>
    </row>
    <row r="2277" ht="18.0" hidden="1" customHeight="1" outlineLevel="1">
      <c r="A2277" s="1">
        <v>9.0</v>
      </c>
      <c r="B2277" s="26" t="s">
        <v>1144</v>
      </c>
      <c r="C2277" s="1"/>
      <c r="D2277" s="1"/>
      <c r="E2277" s="14"/>
      <c r="F2277" s="15"/>
      <c r="G2277" s="16"/>
      <c r="H2277" s="11"/>
      <c r="I2277" s="7"/>
      <c r="J2277" s="7" t="str">
        <f>IFERROR(LET(_xlpm.v,
VLOOKUP($I2277,'用語辞書'!$A:$B,COLUMN('用語辞書'!B$1),FALSE),
IF(_xlpm.v=0,"",_xlpm.v)
),"")</f>
        <v/>
      </c>
      <c r="K2277" s="17"/>
      <c r="L2277" s="17" t="str">
        <f>IF(OR(COUNTIF('クラス'!$A$1:$A$1267,$B2277)&gt;0,$B2277="",$M2277=""),"",True)</f>
        <v/>
      </c>
      <c r="M2277" s="1" t="str">
        <f t="shared" si="27"/>
        <v/>
      </c>
      <c r="N2277" s="1" t="s">
        <v>29</v>
      </c>
      <c r="O2277" s="1"/>
      <c r="P2277" s="11"/>
      <c r="Q2277" s="11"/>
      <c r="R2277" s="11"/>
      <c r="S2277" s="11"/>
      <c r="T2277" s="1"/>
      <c r="U2277" s="1"/>
      <c r="V2277" s="1"/>
      <c r="W2277" s="1"/>
      <c r="X2277" s="1"/>
      <c r="Y2277" s="1"/>
      <c r="Z2277" s="1"/>
    </row>
    <row r="2278" ht="18.0" hidden="1" customHeight="1" outlineLevel="1">
      <c r="A2278" s="1">
        <v>10.0</v>
      </c>
      <c r="B2278" s="26" t="s">
        <v>2261</v>
      </c>
      <c r="C2278" s="26" t="s">
        <v>29</v>
      </c>
      <c r="D2278" s="26" t="s">
        <v>29</v>
      </c>
      <c r="E2278" s="29" t="s">
        <v>55</v>
      </c>
      <c r="F2278" s="34" t="s">
        <v>29</v>
      </c>
      <c r="G2278" s="30" t="s">
        <v>29</v>
      </c>
      <c r="H2278" s="22" t="s">
        <v>2262</v>
      </c>
      <c r="I2278" s="7"/>
      <c r="J2278" s="7" t="str">
        <f>IFERROR(LET(_xlpm.v,
VLOOKUP($I2278,'用語辞書'!$A:$B,COLUMN('用語辞書'!B$1),FALSE),
IF(_xlpm.v=0,"",_xlpm.v)
),"")</f>
        <v/>
      </c>
      <c r="K2278" s="17"/>
      <c r="L2278" s="17" t="b">
        <f>IF(OR(COUNTIF('クラス'!$A$1:$A$1267,$B2278)&gt;0,$B2278="",$M2278=""),"",True)</f>
        <v>1</v>
      </c>
      <c r="M2278" s="1" t="str">
        <f t="shared" si="27"/>
        <v>存在しない</v>
      </c>
      <c r="N2278" s="1" t="s">
        <v>29</v>
      </c>
      <c r="O2278" s="1"/>
      <c r="P2278" s="11"/>
      <c r="Q2278" s="11"/>
      <c r="R2278" s="11"/>
      <c r="S2278" s="11"/>
      <c r="T2278" s="1"/>
      <c r="U2278" s="1"/>
      <c r="V2278" s="1"/>
      <c r="W2278" s="1"/>
      <c r="X2278" s="1"/>
      <c r="Y2278" s="1"/>
      <c r="Z2278" s="1"/>
    </row>
    <row r="2279" ht="18.0" customHeight="1" collapsed="1">
      <c r="A2279" s="1"/>
      <c r="B2279" s="1"/>
      <c r="C2279" s="26" t="s">
        <v>2263</v>
      </c>
      <c r="D2279" s="1"/>
      <c r="E2279" s="14"/>
      <c r="F2279" s="15"/>
      <c r="G2279" s="16"/>
      <c r="H2279" s="11"/>
      <c r="I2279" s="7"/>
      <c r="J2279" s="7" t="str">
        <f>IFERROR(LET(_xlpm.v,
VLOOKUP($I2279,'用語辞書'!$A:$B,COLUMN('用語辞書'!B$1),FALSE),
IF(_xlpm.v=0,"",_xlpm.v)
),"")</f>
        <v/>
      </c>
      <c r="K2279" s="17"/>
      <c r="L2279" s="17" t="str">
        <f>IF(OR(COUNTIF('クラス'!$A$1:$A$1267,$B2279)&gt;0,$B2279="",$M2279=""),"",True)</f>
        <v/>
      </c>
      <c r="M2279" s="1" t="str">
        <f t="shared" si="27"/>
        <v>存在しない</v>
      </c>
      <c r="N2279" s="1" t="s">
        <v>29</v>
      </c>
      <c r="O2279" s="1"/>
      <c r="P2279" s="11"/>
      <c r="Q2279" s="11"/>
      <c r="R2279" s="11"/>
      <c r="S2279" s="11"/>
      <c r="T2279" s="1"/>
      <c r="U2279" s="1"/>
      <c r="V2279" s="1"/>
      <c r="W2279" s="1"/>
      <c r="X2279" s="1"/>
      <c r="Y2279" s="1"/>
      <c r="Z2279" s="1"/>
    </row>
    <row r="2280" ht="18.0" customHeight="1" outlineLevel="1">
      <c r="A2280" s="1"/>
      <c r="B2280" s="26" t="s">
        <v>2264</v>
      </c>
      <c r="C2280" s="1"/>
      <c r="D2280" s="1"/>
      <c r="E2280" s="14"/>
      <c r="F2280" s="15"/>
      <c r="G2280" s="16"/>
      <c r="H2280" s="11"/>
      <c r="I2280" s="7"/>
      <c r="J2280" s="7" t="str">
        <f>IFERROR(LET(_xlpm.v,
VLOOKUP($I2280,'用語辞書'!$A:$B,COLUMN('用語辞書'!B$1),FALSE),
IF(_xlpm.v=0,"",_xlpm.v)
),"")</f>
        <v/>
      </c>
      <c r="K2280" s="17"/>
      <c r="L2280" s="17" t="str">
        <f>IF(OR(COUNTIF('クラス'!$A$1:$A$1267,$B2280)&gt;0,$B2280="",$M2280=""),"",True)</f>
        <v/>
      </c>
      <c r="M2280" s="1" t="str">
        <f t="shared" si="27"/>
        <v>存在しない</v>
      </c>
      <c r="N2280" s="1" t="s">
        <v>29</v>
      </c>
      <c r="O2280" s="1"/>
      <c r="P2280" s="11"/>
      <c r="Q2280" s="11"/>
      <c r="R2280" s="11"/>
      <c r="S2280" s="11"/>
      <c r="T2280" s="1"/>
      <c r="U2280" s="1"/>
      <c r="V2280" s="1"/>
      <c r="W2280" s="1"/>
      <c r="X2280" s="1"/>
      <c r="Y2280" s="1"/>
      <c r="Z2280" s="1"/>
    </row>
    <row r="2281" ht="18.0" hidden="1" customHeight="1" outlineLevel="2">
      <c r="A2281" s="26">
        <v>1.0</v>
      </c>
      <c r="B2281" s="26" t="s">
        <v>2265</v>
      </c>
      <c r="C2281" s="26" t="s">
        <v>29</v>
      </c>
      <c r="D2281" s="26" t="s">
        <v>29</v>
      </c>
      <c r="E2281" s="29" t="s">
        <v>33</v>
      </c>
      <c r="F2281" s="34" t="s">
        <v>29</v>
      </c>
      <c r="G2281" s="30">
        <v>40.0</v>
      </c>
      <c r="H2281" s="22" t="s">
        <v>2266</v>
      </c>
      <c r="I2281" s="7"/>
      <c r="J2281" s="7" t="str">
        <f>IFERROR(LET(_xlpm.v,
VLOOKUP($I2281,'用語辞書'!$A:$B,COLUMN('用語辞書'!B$1),FALSE),
IF(_xlpm.v=0,"",_xlpm.v)
),"")</f>
        <v/>
      </c>
      <c r="K2281" s="17"/>
      <c r="L2281" s="17" t="b">
        <f>IF(OR(COUNTIF('クラス'!$A$1:$A$1267,$B2281)&gt;0,$B2281="",$M2281=""),"",True)</f>
        <v>1</v>
      </c>
      <c r="M2281" s="1" t="str">
        <f t="shared" si="27"/>
        <v>存在しない</v>
      </c>
      <c r="N2281" s="1" t="s">
        <v>29</v>
      </c>
      <c r="O2281" s="1"/>
      <c r="P2281" s="11"/>
      <c r="Q2281" s="11"/>
      <c r="R2281" s="11"/>
      <c r="S2281" s="11"/>
      <c r="T2281" s="1"/>
      <c r="U2281" s="1"/>
      <c r="V2281" s="1"/>
      <c r="W2281" s="1"/>
      <c r="X2281" s="1"/>
      <c r="Y2281" s="1"/>
      <c r="Z2281" s="1"/>
    </row>
    <row r="2282" ht="18.0" hidden="1" customHeight="1" outlineLevel="2">
      <c r="A2282" s="26">
        <v>2.0</v>
      </c>
      <c r="B2282" s="26" t="s">
        <v>2267</v>
      </c>
      <c r="C2282" s="26" t="s">
        <v>29</v>
      </c>
      <c r="D2282" s="26" t="s">
        <v>29</v>
      </c>
      <c r="E2282" s="29" t="s">
        <v>33</v>
      </c>
      <c r="F2282" s="34" t="s">
        <v>29</v>
      </c>
      <c r="G2282" s="30">
        <v>50.0</v>
      </c>
      <c r="H2282" s="22" t="s">
        <v>2268</v>
      </c>
      <c r="I2282" s="7"/>
      <c r="J2282" s="7" t="str">
        <f>IFERROR(LET(_xlpm.v,
VLOOKUP($I2282,'用語辞書'!$A:$B,COLUMN('用語辞書'!B$1),FALSE),
IF(_xlpm.v=0,"",_xlpm.v)
),"")</f>
        <v/>
      </c>
      <c r="K2282" s="17"/>
      <c r="L2282" s="17" t="b">
        <f>IF(OR(COUNTIF('クラス'!$A$1:$A$1267,$B2282)&gt;0,$B2282="",$M2282=""),"",True)</f>
        <v>1</v>
      </c>
      <c r="M2282" s="1" t="str">
        <f t="shared" si="27"/>
        <v>存在しない</v>
      </c>
      <c r="N2282" s="1" t="s">
        <v>29</v>
      </c>
      <c r="O2282" s="1"/>
      <c r="P2282" s="11"/>
      <c r="Q2282" s="11"/>
      <c r="R2282" s="11"/>
      <c r="S2282" s="11"/>
      <c r="T2282" s="1"/>
      <c r="U2282" s="1"/>
      <c r="V2282" s="1"/>
      <c r="W2282" s="1"/>
      <c r="X2282" s="1"/>
      <c r="Y2282" s="1"/>
      <c r="Z2282" s="1"/>
    </row>
    <row r="2283" ht="18.0" hidden="1" customHeight="1" outlineLevel="2">
      <c r="A2283" s="26">
        <v>3.0</v>
      </c>
      <c r="B2283" s="26" t="s">
        <v>2269</v>
      </c>
      <c r="C2283" s="26" t="s">
        <v>29</v>
      </c>
      <c r="D2283" s="26" t="s">
        <v>29</v>
      </c>
      <c r="E2283" s="29" t="s">
        <v>55</v>
      </c>
      <c r="F2283" s="34" t="s">
        <v>29</v>
      </c>
      <c r="G2283" s="30" t="s">
        <v>29</v>
      </c>
      <c r="H2283" s="22" t="s">
        <v>2270</v>
      </c>
      <c r="I2283" s="7"/>
      <c r="J2283" s="7" t="str">
        <f>IFERROR(LET(_xlpm.v,
VLOOKUP($I2283,'用語辞書'!$A:$B,COLUMN('用語辞書'!B$1),FALSE),
IF(_xlpm.v=0,"",_xlpm.v)
),"")</f>
        <v/>
      </c>
      <c r="K2283" s="17"/>
      <c r="L2283" s="17" t="b">
        <f>IF(OR(COUNTIF('クラス'!$A$1:$A$1267,$B2283)&gt;0,$B2283="",$M2283=""),"",True)</f>
        <v>1</v>
      </c>
      <c r="M2283" s="1" t="str">
        <f t="shared" si="27"/>
        <v>存在しない</v>
      </c>
      <c r="N2283" s="1" t="s">
        <v>29</v>
      </c>
      <c r="O2283" s="1"/>
      <c r="P2283" s="11"/>
      <c r="Q2283" s="11"/>
      <c r="R2283" s="11"/>
      <c r="S2283" s="11"/>
      <c r="T2283" s="1"/>
      <c r="U2283" s="1"/>
      <c r="V2283" s="1"/>
      <c r="W2283" s="1"/>
      <c r="X2283" s="1"/>
      <c r="Y2283" s="1"/>
      <c r="Z2283" s="1"/>
    </row>
    <row r="2284" ht="18.0" hidden="1" customHeight="1" outlineLevel="2">
      <c r="A2284" s="26">
        <v>4.0</v>
      </c>
      <c r="B2284" s="26" t="s">
        <v>29</v>
      </c>
      <c r="C2284" s="1"/>
      <c r="D2284" s="1"/>
      <c r="E2284" s="14"/>
      <c r="F2284" s="15"/>
      <c r="G2284" s="16"/>
      <c r="H2284" s="11"/>
      <c r="I2284" s="7"/>
      <c r="J2284" s="7" t="str">
        <f>IFERROR(LET(_xlpm.v,
VLOOKUP($I2284,'用語辞書'!$A:$B,COLUMN('用語辞書'!B$1),FALSE),
IF(_xlpm.v=0,"",_xlpm.v)
),"")</f>
        <v/>
      </c>
      <c r="K2284" s="17"/>
      <c r="L2284" s="17" t="str">
        <f>IF(OR(COUNTIF('クラス'!$A$1:$A$1267,$B2284)&gt;0,$B2284="",$M2284=""),"",True)</f>
        <v/>
      </c>
      <c r="M2284" s="1" t="str">
        <f t="shared" si="27"/>
        <v/>
      </c>
      <c r="N2284" s="1" t="s">
        <v>29</v>
      </c>
      <c r="O2284" s="1"/>
      <c r="P2284" s="11"/>
      <c r="Q2284" s="11"/>
      <c r="R2284" s="11"/>
      <c r="S2284" s="11"/>
      <c r="T2284" s="1"/>
      <c r="U2284" s="1"/>
      <c r="V2284" s="1"/>
      <c r="W2284" s="1"/>
      <c r="X2284" s="1"/>
      <c r="Y2284" s="1"/>
      <c r="Z2284" s="1"/>
    </row>
    <row r="2285" ht="18.0" hidden="1" customHeight="1" outlineLevel="2">
      <c r="A2285" s="26">
        <v>5.0</v>
      </c>
      <c r="B2285" s="26" t="s">
        <v>2271</v>
      </c>
      <c r="C2285" s="26" t="s">
        <v>29</v>
      </c>
      <c r="D2285" s="26" t="s">
        <v>29</v>
      </c>
      <c r="E2285" s="29" t="s">
        <v>33</v>
      </c>
      <c r="F2285" s="34" t="s">
        <v>29</v>
      </c>
      <c r="G2285" s="30">
        <v>60.0</v>
      </c>
      <c r="H2285" s="31" t="s">
        <v>2272</v>
      </c>
      <c r="I2285" s="7"/>
      <c r="J2285" s="7" t="str">
        <f>IFERROR(LET(_xlpm.v,
VLOOKUP($I2285,'用語辞書'!$A:$B,COLUMN('用語辞書'!B$1),FALSE),
IF(_xlpm.v=0,"",_xlpm.v)
),"")</f>
        <v/>
      </c>
      <c r="K2285" s="17"/>
      <c r="L2285" s="17" t="b">
        <f>IF(OR(COUNTIF('クラス'!$A$1:$A$1267,$B2285)&gt;0,$B2285="",$M2285=""),"",True)</f>
        <v>1</v>
      </c>
      <c r="M2285" s="1" t="str">
        <f t="shared" si="27"/>
        <v>存在しない</v>
      </c>
      <c r="N2285" s="1" t="s">
        <v>29</v>
      </c>
      <c r="O2285" s="1"/>
      <c r="P2285" s="11"/>
      <c r="Q2285" s="11"/>
      <c r="R2285" s="11"/>
      <c r="S2285" s="11"/>
      <c r="T2285" s="1"/>
      <c r="U2285" s="1"/>
      <c r="V2285" s="1"/>
      <c r="W2285" s="1"/>
      <c r="X2285" s="1"/>
      <c r="Y2285" s="1"/>
      <c r="Z2285" s="1"/>
    </row>
    <row r="2286" ht="18.0" hidden="1" customHeight="1" outlineLevel="2">
      <c r="A2286" s="26">
        <v>6.0</v>
      </c>
      <c r="B2286" s="26" t="s">
        <v>29</v>
      </c>
      <c r="C2286" s="1"/>
      <c r="D2286" s="1"/>
      <c r="E2286" s="14"/>
      <c r="F2286" s="15"/>
      <c r="G2286" s="16"/>
      <c r="H2286" s="11"/>
      <c r="I2286" s="7"/>
      <c r="J2286" s="7" t="str">
        <f>IFERROR(LET(_xlpm.v,
VLOOKUP($I2286,'用語辞書'!$A:$B,COLUMN('用語辞書'!B$1),FALSE),
IF(_xlpm.v=0,"",_xlpm.v)
),"")</f>
        <v/>
      </c>
      <c r="K2286" s="17"/>
      <c r="L2286" s="17" t="str">
        <f>IF(OR(COUNTIF('クラス'!$A$1:$A$1267,$B2286)&gt;0,$B2286="",$M2286=""),"",True)</f>
        <v/>
      </c>
      <c r="M2286" s="1" t="str">
        <f t="shared" si="27"/>
        <v/>
      </c>
      <c r="N2286" s="1" t="s">
        <v>29</v>
      </c>
      <c r="O2286" s="1"/>
      <c r="P2286" s="11"/>
      <c r="Q2286" s="11"/>
      <c r="R2286" s="11"/>
      <c r="S2286" s="11"/>
      <c r="T2286" s="1"/>
      <c r="U2286" s="1"/>
      <c r="V2286" s="1"/>
      <c r="W2286" s="1"/>
      <c r="X2286" s="1"/>
      <c r="Y2286" s="1"/>
      <c r="Z2286" s="1"/>
    </row>
    <row r="2287" ht="18.0" hidden="1" customHeight="1" outlineLevel="2">
      <c r="A2287" s="26">
        <v>7.0</v>
      </c>
      <c r="B2287" s="26" t="s">
        <v>2273</v>
      </c>
      <c r="C2287" s="26" t="s">
        <v>29</v>
      </c>
      <c r="D2287" s="26" t="s">
        <v>29</v>
      </c>
      <c r="E2287" s="29" t="s">
        <v>33</v>
      </c>
      <c r="F2287" s="34" t="s">
        <v>29</v>
      </c>
      <c r="G2287" s="30">
        <v>60.0</v>
      </c>
      <c r="H2287" s="22" t="s">
        <v>2274</v>
      </c>
      <c r="I2287" s="7"/>
      <c r="J2287" s="7" t="str">
        <f>IFERROR(LET(_xlpm.v,
VLOOKUP($I2287,'用語辞書'!$A:$B,COLUMN('用語辞書'!B$1),FALSE),
IF(_xlpm.v=0,"",_xlpm.v)
),"")</f>
        <v/>
      </c>
      <c r="K2287" s="17"/>
      <c r="L2287" s="17" t="b">
        <f>IF(OR(COUNTIF('クラス'!$A$1:$A$1267,$B2287)&gt;0,$B2287="",$M2287=""),"",True)</f>
        <v>1</v>
      </c>
      <c r="M2287" s="1" t="str">
        <f t="shared" si="27"/>
        <v>存在しない</v>
      </c>
      <c r="N2287" s="1" t="s">
        <v>29</v>
      </c>
      <c r="O2287" s="1"/>
      <c r="P2287" s="11"/>
      <c r="Q2287" s="11"/>
      <c r="R2287" s="11"/>
      <c r="S2287" s="11"/>
      <c r="T2287" s="1"/>
      <c r="U2287" s="1"/>
      <c r="V2287" s="1"/>
      <c r="W2287" s="1"/>
      <c r="X2287" s="1"/>
      <c r="Y2287" s="1"/>
      <c r="Z2287" s="1"/>
    </row>
    <row r="2288" ht="18.0" hidden="1" customHeight="1" outlineLevel="2">
      <c r="A2288" s="26">
        <v>8.0</v>
      </c>
      <c r="B2288" s="26" t="s">
        <v>29</v>
      </c>
      <c r="C2288" s="1"/>
      <c r="D2288" s="1"/>
      <c r="E2288" s="14"/>
      <c r="F2288" s="15"/>
      <c r="G2288" s="16"/>
      <c r="H2288" s="11"/>
      <c r="I2288" s="7"/>
      <c r="J2288" s="7" t="str">
        <f>IFERROR(LET(_xlpm.v,
VLOOKUP($I2288,'用語辞書'!$A:$B,COLUMN('用語辞書'!B$1),FALSE),
IF(_xlpm.v=0,"",_xlpm.v)
),"")</f>
        <v/>
      </c>
      <c r="K2288" s="17"/>
      <c r="L2288" s="17" t="str">
        <f>IF(OR(COUNTIF('クラス'!$A$1:$A$1267,$B2288)&gt;0,$B2288="",$M2288=""),"",True)</f>
        <v/>
      </c>
      <c r="M2288" s="1" t="str">
        <f t="shared" si="27"/>
        <v/>
      </c>
      <c r="N2288" s="1" t="s">
        <v>29</v>
      </c>
      <c r="O2288" s="1"/>
      <c r="P2288" s="11"/>
      <c r="Q2288" s="11"/>
      <c r="R2288" s="11"/>
      <c r="S2288" s="11"/>
      <c r="T2288" s="1"/>
      <c r="U2288" s="1"/>
      <c r="V2288" s="1"/>
      <c r="W2288" s="1"/>
      <c r="X2288" s="1"/>
      <c r="Y2288" s="1"/>
      <c r="Z2288" s="1"/>
    </row>
    <row r="2289" ht="18.0" hidden="1" customHeight="1" outlineLevel="2">
      <c r="A2289" s="26">
        <v>9.0</v>
      </c>
      <c r="B2289" s="26" t="s">
        <v>2275</v>
      </c>
      <c r="C2289" s="26" t="s">
        <v>29</v>
      </c>
      <c r="D2289" s="26" t="s">
        <v>29</v>
      </c>
      <c r="E2289" s="29" t="s">
        <v>33</v>
      </c>
      <c r="F2289" s="34" t="s">
        <v>29</v>
      </c>
      <c r="G2289" s="30">
        <v>60.0</v>
      </c>
      <c r="H2289" s="22" t="s">
        <v>2276</v>
      </c>
      <c r="I2289" s="7"/>
      <c r="J2289" s="7" t="str">
        <f>IFERROR(LET(_xlpm.v,
VLOOKUP($I2289,'用語辞書'!$A:$B,COLUMN('用語辞書'!B$1),FALSE),
IF(_xlpm.v=0,"",_xlpm.v)
),"")</f>
        <v/>
      </c>
      <c r="K2289" s="17"/>
      <c r="L2289" s="17" t="b">
        <f>IF(OR(COUNTIF('クラス'!$A$1:$A$1267,$B2289)&gt;0,$B2289="",$M2289=""),"",True)</f>
        <v>1</v>
      </c>
      <c r="M2289" s="1" t="str">
        <f t="shared" si="27"/>
        <v>存在しない</v>
      </c>
      <c r="N2289" s="1" t="s">
        <v>29</v>
      </c>
      <c r="O2289" s="1"/>
      <c r="P2289" s="11"/>
      <c r="Q2289" s="11"/>
      <c r="R2289" s="11"/>
      <c r="S2289" s="11"/>
      <c r="T2289" s="1"/>
      <c r="U2289" s="1"/>
      <c r="V2289" s="1"/>
      <c r="W2289" s="1"/>
      <c r="X2289" s="1"/>
      <c r="Y2289" s="1"/>
      <c r="Z2289" s="1"/>
    </row>
    <row r="2290" ht="18.0" hidden="1" customHeight="1" outlineLevel="2">
      <c r="A2290" s="26">
        <v>10.0</v>
      </c>
      <c r="B2290" s="26" t="s">
        <v>2277</v>
      </c>
      <c r="C2290" s="26" t="s">
        <v>29</v>
      </c>
      <c r="D2290" s="26" t="s">
        <v>29</v>
      </c>
      <c r="E2290" s="29" t="s">
        <v>55</v>
      </c>
      <c r="F2290" s="34" t="s">
        <v>29</v>
      </c>
      <c r="G2290" s="30" t="s">
        <v>29</v>
      </c>
      <c r="H2290" s="22" t="s">
        <v>2278</v>
      </c>
      <c r="I2290" s="7"/>
      <c r="J2290" s="7" t="str">
        <f>IFERROR(LET(_xlpm.v,
VLOOKUP($I2290,'用語辞書'!$A:$B,COLUMN('用語辞書'!B$1),FALSE),
IF(_xlpm.v=0,"",_xlpm.v)
),"")</f>
        <v/>
      </c>
      <c r="K2290" s="17"/>
      <c r="L2290" s="17" t="b">
        <f>IF(OR(COUNTIF('クラス'!$A$1:$A$1267,$B2290)&gt;0,$B2290="",$M2290=""),"",True)</f>
        <v>1</v>
      </c>
      <c r="M2290" s="1" t="str">
        <f t="shared" si="27"/>
        <v>存在しない</v>
      </c>
      <c r="N2290" s="1" t="s">
        <v>29</v>
      </c>
      <c r="O2290" s="1"/>
      <c r="P2290" s="11"/>
      <c r="Q2290" s="11"/>
      <c r="R2290" s="11"/>
      <c r="S2290" s="11"/>
      <c r="T2290" s="1"/>
      <c r="U2290" s="1"/>
      <c r="V2290" s="1"/>
      <c r="W2290" s="1"/>
      <c r="X2290" s="1"/>
      <c r="Y2290" s="1"/>
      <c r="Z2290" s="1"/>
    </row>
    <row r="2291" ht="18.0" customHeight="1" outlineLevel="1" collapsed="1">
      <c r="A2291" s="1"/>
      <c r="B2291" s="1"/>
      <c r="C2291" s="1"/>
      <c r="D2291" s="1"/>
      <c r="E2291" s="14"/>
      <c r="F2291" s="15"/>
      <c r="G2291" s="16"/>
      <c r="H2291" s="11"/>
      <c r="I2291" s="7"/>
      <c r="J2291" s="7" t="str">
        <f>IFERROR(LET(_xlpm.v,
VLOOKUP($I2291,'用語辞書'!$A:$B,COLUMN('用語辞書'!B$1),FALSE),
IF(_xlpm.v=0,"",_xlpm.v)
),"")</f>
        <v/>
      </c>
      <c r="K2291" s="17"/>
      <c r="L2291" s="17" t="str">
        <f>IF(OR(COUNTIF('クラス'!$A$1:$A$1267,$B2291)&gt;0,$B2291="",$M2291=""),"",True)</f>
        <v/>
      </c>
      <c r="M2291" s="1" t="str">
        <f t="shared" si="27"/>
        <v>存在しない</v>
      </c>
      <c r="N2291" s="1" t="s">
        <v>29</v>
      </c>
      <c r="O2291" s="1"/>
      <c r="P2291" s="11"/>
      <c r="Q2291" s="11"/>
      <c r="R2291" s="11"/>
      <c r="S2291" s="11"/>
      <c r="T2291" s="1"/>
      <c r="U2291" s="1"/>
      <c r="V2291" s="1"/>
      <c r="W2291" s="1"/>
      <c r="X2291" s="1"/>
      <c r="Y2291" s="1"/>
      <c r="Z2291" s="1"/>
    </row>
    <row r="2292" ht="18.0" customHeight="1" outlineLevel="1">
      <c r="A2292" s="1"/>
      <c r="B2292" s="26" t="s">
        <v>2279</v>
      </c>
      <c r="C2292" s="1"/>
      <c r="D2292" s="1"/>
      <c r="E2292" s="14"/>
      <c r="F2292" s="15"/>
      <c r="G2292" s="16"/>
      <c r="H2292" s="11"/>
      <c r="I2292" s="7"/>
      <c r="J2292" s="7" t="str">
        <f>IFERROR(LET(_xlpm.v,
VLOOKUP($I2292,'用語辞書'!$A:$B,COLUMN('用語辞書'!B$1),FALSE),
IF(_xlpm.v=0,"",_xlpm.v)
),"")</f>
        <v/>
      </c>
      <c r="K2292" s="17"/>
      <c r="L2292" s="17" t="str">
        <f>IF(OR(COUNTIF('クラス'!$A$1:$A$1267,$B2292)&gt;0,$B2292="",$M2292=""),"",True)</f>
        <v/>
      </c>
      <c r="M2292" s="1" t="str">
        <f t="shared" si="27"/>
        <v>存在しない</v>
      </c>
      <c r="N2292" s="1" t="s">
        <v>29</v>
      </c>
      <c r="O2292" s="1"/>
      <c r="P2292" s="11"/>
      <c r="Q2292" s="11"/>
      <c r="R2292" s="11"/>
      <c r="S2292" s="11"/>
      <c r="T2292" s="1"/>
      <c r="U2292" s="1"/>
      <c r="V2292" s="1"/>
      <c r="W2292" s="1"/>
      <c r="X2292" s="1"/>
      <c r="Y2292" s="1"/>
      <c r="Z2292" s="1"/>
    </row>
    <row r="2293" ht="18.0" hidden="1" customHeight="1" outlineLevel="2">
      <c r="A2293" s="1">
        <v>1.0</v>
      </c>
      <c r="B2293" s="26" t="s">
        <v>2280</v>
      </c>
      <c r="C2293" s="26" t="s">
        <v>29</v>
      </c>
      <c r="D2293" s="26" t="s">
        <v>29</v>
      </c>
      <c r="E2293" s="29" t="s">
        <v>33</v>
      </c>
      <c r="F2293" s="34" t="s">
        <v>29</v>
      </c>
      <c r="G2293" s="30">
        <v>60.0</v>
      </c>
      <c r="H2293" s="22" t="s">
        <v>2281</v>
      </c>
      <c r="I2293" s="7"/>
      <c r="J2293" s="7" t="str">
        <f>IFERROR(LET(_xlpm.v,
VLOOKUP($I2293,'用語辞書'!$A:$B,COLUMN('用語辞書'!B$1),FALSE),
IF(_xlpm.v=0,"",_xlpm.v)
),"")</f>
        <v/>
      </c>
      <c r="K2293" s="17"/>
      <c r="L2293" s="17" t="b">
        <f>IF(OR(COUNTIF('クラス'!$A$1:$A$1267,$B2293)&gt;0,$B2293="",$M2293=""),"",True)</f>
        <v>1</v>
      </c>
      <c r="M2293" s="1" t="str">
        <f t="shared" si="27"/>
        <v>存在しない</v>
      </c>
      <c r="N2293" s="1" t="s">
        <v>29</v>
      </c>
      <c r="O2293" s="1"/>
      <c r="P2293" s="11"/>
      <c r="Q2293" s="11"/>
      <c r="R2293" s="11"/>
      <c r="S2293" s="11"/>
      <c r="T2293" s="1"/>
      <c r="U2293" s="1"/>
      <c r="V2293" s="1"/>
      <c r="W2293" s="1"/>
      <c r="X2293" s="1"/>
      <c r="Y2293" s="1"/>
      <c r="Z2293" s="1"/>
    </row>
    <row r="2294" ht="18.0" hidden="1" customHeight="1" outlineLevel="2">
      <c r="A2294" s="1">
        <v>2.0</v>
      </c>
      <c r="B2294" s="26" t="s">
        <v>29</v>
      </c>
      <c r="C2294" s="1"/>
      <c r="D2294" s="1"/>
      <c r="E2294" s="14"/>
      <c r="F2294" s="15"/>
      <c r="G2294" s="16"/>
      <c r="H2294" s="11"/>
      <c r="I2294" s="7"/>
      <c r="J2294" s="7" t="str">
        <f>IFERROR(LET(_xlpm.v,
VLOOKUP($I2294,'用語辞書'!$A:$B,COLUMN('用語辞書'!B$1),FALSE),
IF(_xlpm.v=0,"",_xlpm.v)
),"")</f>
        <v/>
      </c>
      <c r="K2294" s="17"/>
      <c r="L2294" s="17" t="str">
        <f>IF(OR(COUNTIF('クラス'!$A$1:$A$1267,$B2294)&gt;0,$B2294="",$M2294=""),"",True)</f>
        <v/>
      </c>
      <c r="M2294" s="1" t="str">
        <f t="shared" si="27"/>
        <v/>
      </c>
      <c r="N2294" s="1" t="s">
        <v>29</v>
      </c>
      <c r="O2294" s="1"/>
      <c r="P2294" s="11"/>
      <c r="Q2294" s="11"/>
      <c r="R2294" s="11"/>
      <c r="S2294" s="11"/>
      <c r="T2294" s="1"/>
      <c r="U2294" s="1"/>
      <c r="V2294" s="1"/>
      <c r="W2294" s="1"/>
      <c r="X2294" s="1"/>
      <c r="Y2294" s="1"/>
      <c r="Z2294" s="1"/>
    </row>
    <row r="2295" ht="18.0" hidden="1" customHeight="1" outlineLevel="2">
      <c r="A2295" s="1">
        <v>3.0</v>
      </c>
      <c r="B2295" s="26" t="s">
        <v>2282</v>
      </c>
      <c r="C2295" s="26" t="s">
        <v>29</v>
      </c>
      <c r="D2295" s="26" t="s">
        <v>29</v>
      </c>
      <c r="E2295" s="29" t="s">
        <v>55</v>
      </c>
      <c r="F2295" s="34" t="s">
        <v>29</v>
      </c>
      <c r="G2295" s="30" t="s">
        <v>29</v>
      </c>
      <c r="H2295" s="22" t="s">
        <v>2270</v>
      </c>
      <c r="I2295" s="7"/>
      <c r="J2295" s="7" t="str">
        <f>IFERROR(LET(_xlpm.v,
VLOOKUP($I2295,'用語辞書'!$A:$B,COLUMN('用語辞書'!B$1),FALSE),
IF(_xlpm.v=0,"",_xlpm.v)
),"")</f>
        <v/>
      </c>
      <c r="K2295" s="17"/>
      <c r="L2295" s="17" t="b">
        <f>IF(OR(COUNTIF('クラス'!$A$1:$A$1267,$B2295)&gt;0,$B2295="",$M2295=""),"",True)</f>
        <v>1</v>
      </c>
      <c r="M2295" s="1" t="str">
        <f t="shared" si="27"/>
        <v>存在しない</v>
      </c>
      <c r="N2295" s="1" t="s">
        <v>29</v>
      </c>
      <c r="O2295" s="1"/>
      <c r="P2295" s="11"/>
      <c r="Q2295" s="11"/>
      <c r="R2295" s="11"/>
      <c r="S2295" s="11"/>
      <c r="T2295" s="1"/>
      <c r="U2295" s="1"/>
      <c r="V2295" s="1"/>
      <c r="W2295" s="1"/>
      <c r="X2295" s="1"/>
      <c r="Y2295" s="1"/>
      <c r="Z2295" s="1"/>
    </row>
    <row r="2296" ht="18.0" hidden="1" customHeight="1" outlineLevel="2">
      <c r="A2296" s="1">
        <v>4.0</v>
      </c>
      <c r="B2296" s="26" t="s">
        <v>29</v>
      </c>
      <c r="C2296" s="1"/>
      <c r="D2296" s="1"/>
      <c r="E2296" s="14"/>
      <c r="F2296" s="15"/>
      <c r="G2296" s="16"/>
      <c r="H2296" s="11"/>
      <c r="I2296" s="7"/>
      <c r="J2296" s="7" t="str">
        <f>IFERROR(LET(_xlpm.v,
VLOOKUP($I2296,'用語辞書'!$A:$B,COLUMN('用語辞書'!B$1),FALSE),
IF(_xlpm.v=0,"",_xlpm.v)
),"")</f>
        <v/>
      </c>
      <c r="K2296" s="17"/>
      <c r="L2296" s="17" t="str">
        <f>IF(OR(COUNTIF('クラス'!$A$1:$A$1267,$B2296)&gt;0,$B2296="",$M2296=""),"",True)</f>
        <v/>
      </c>
      <c r="M2296" s="1" t="str">
        <f t="shared" si="27"/>
        <v/>
      </c>
      <c r="N2296" s="1" t="s">
        <v>29</v>
      </c>
      <c r="O2296" s="1"/>
      <c r="P2296" s="11"/>
      <c r="Q2296" s="11"/>
      <c r="R2296" s="11"/>
      <c r="S2296" s="11"/>
      <c r="T2296" s="1"/>
      <c r="U2296" s="1"/>
      <c r="V2296" s="1"/>
      <c r="W2296" s="1"/>
      <c r="X2296" s="1"/>
      <c r="Y2296" s="1"/>
      <c r="Z2296" s="1"/>
    </row>
    <row r="2297" ht="18.0" hidden="1" customHeight="1" outlineLevel="2">
      <c r="A2297" s="1">
        <v>5.0</v>
      </c>
      <c r="B2297" s="26" t="s">
        <v>2283</v>
      </c>
      <c r="C2297" s="26" t="s">
        <v>29</v>
      </c>
      <c r="D2297" s="26" t="s">
        <v>29</v>
      </c>
      <c r="E2297" s="29" t="s">
        <v>33</v>
      </c>
      <c r="F2297" s="34" t="s">
        <v>29</v>
      </c>
      <c r="G2297" s="30">
        <v>60.0</v>
      </c>
      <c r="H2297" s="22" t="s">
        <v>2284</v>
      </c>
      <c r="I2297" s="7"/>
      <c r="J2297" s="7" t="str">
        <f>IFERROR(LET(_xlpm.v,
VLOOKUP($I2297,'用語辞書'!$A:$B,COLUMN('用語辞書'!B$1),FALSE),
IF(_xlpm.v=0,"",_xlpm.v)
),"")</f>
        <v/>
      </c>
      <c r="K2297" s="17"/>
      <c r="L2297" s="17" t="b">
        <f>IF(OR(COUNTIF('クラス'!$A$1:$A$1267,$B2297)&gt;0,$B2297="",$M2297=""),"",True)</f>
        <v>1</v>
      </c>
      <c r="M2297" s="1" t="str">
        <f t="shared" si="27"/>
        <v>存在しない</v>
      </c>
      <c r="N2297" s="1" t="s">
        <v>29</v>
      </c>
      <c r="O2297" s="1"/>
      <c r="P2297" s="11"/>
      <c r="Q2297" s="11"/>
      <c r="R2297" s="11"/>
      <c r="S2297" s="11"/>
      <c r="T2297" s="1"/>
      <c r="U2297" s="1"/>
      <c r="V2297" s="1"/>
      <c r="W2297" s="1"/>
      <c r="X2297" s="1"/>
      <c r="Y2297" s="1"/>
      <c r="Z2297" s="1"/>
    </row>
    <row r="2298" ht="18.0" hidden="1" customHeight="1" outlineLevel="2">
      <c r="A2298" s="1">
        <v>6.0</v>
      </c>
      <c r="B2298" s="26" t="s">
        <v>29</v>
      </c>
      <c r="C2298" s="1"/>
      <c r="D2298" s="1"/>
      <c r="E2298" s="14"/>
      <c r="F2298" s="15"/>
      <c r="G2298" s="16"/>
      <c r="H2298" s="11"/>
      <c r="I2298" s="7"/>
      <c r="J2298" s="7" t="str">
        <f>IFERROR(LET(_xlpm.v,
VLOOKUP($I2298,'用語辞書'!$A:$B,COLUMN('用語辞書'!B$1),FALSE),
IF(_xlpm.v=0,"",_xlpm.v)
),"")</f>
        <v/>
      </c>
      <c r="K2298" s="17"/>
      <c r="L2298" s="17" t="str">
        <f>IF(OR(COUNTIF('クラス'!$A$1:$A$1267,$B2298)&gt;0,$B2298="",$M2298=""),"",True)</f>
        <v/>
      </c>
      <c r="M2298" s="1" t="str">
        <f t="shared" si="27"/>
        <v/>
      </c>
      <c r="N2298" s="1" t="s">
        <v>29</v>
      </c>
      <c r="O2298" s="1"/>
      <c r="P2298" s="11"/>
      <c r="Q2298" s="11"/>
      <c r="R2298" s="11"/>
      <c r="S2298" s="11"/>
      <c r="T2298" s="1"/>
      <c r="U2298" s="1"/>
      <c r="V2298" s="1"/>
      <c r="W2298" s="1"/>
      <c r="X2298" s="1"/>
      <c r="Y2298" s="1"/>
      <c r="Z2298" s="1"/>
    </row>
    <row r="2299" ht="18.0" hidden="1" customHeight="1" outlineLevel="2">
      <c r="A2299" s="1">
        <v>7.0</v>
      </c>
      <c r="B2299" s="26" t="s">
        <v>2285</v>
      </c>
      <c r="C2299" s="26" t="s">
        <v>29</v>
      </c>
      <c r="D2299" s="26" t="s">
        <v>29</v>
      </c>
      <c r="E2299" s="29" t="s">
        <v>33</v>
      </c>
      <c r="F2299" s="34" t="s">
        <v>29</v>
      </c>
      <c r="G2299" s="30">
        <v>60.0</v>
      </c>
      <c r="H2299" s="22" t="s">
        <v>2286</v>
      </c>
      <c r="I2299" s="7"/>
      <c r="J2299" s="7" t="str">
        <f>IFERROR(LET(_xlpm.v,
VLOOKUP($I2299,'用語辞書'!$A:$B,COLUMN('用語辞書'!B$1),FALSE),
IF(_xlpm.v=0,"",_xlpm.v)
),"")</f>
        <v/>
      </c>
      <c r="K2299" s="17"/>
      <c r="L2299" s="17" t="b">
        <f>IF(OR(COUNTIF('クラス'!$A$1:$A$1267,$B2299)&gt;0,$B2299="",$M2299=""),"",True)</f>
        <v>1</v>
      </c>
      <c r="M2299" s="1" t="str">
        <f t="shared" si="27"/>
        <v>存在しない</v>
      </c>
      <c r="N2299" s="1" t="s">
        <v>29</v>
      </c>
      <c r="O2299" s="1"/>
      <c r="P2299" s="11"/>
      <c r="Q2299" s="11"/>
      <c r="R2299" s="11"/>
      <c r="S2299" s="11"/>
      <c r="T2299" s="1"/>
      <c r="U2299" s="1"/>
      <c r="V2299" s="1"/>
      <c r="W2299" s="1"/>
      <c r="X2299" s="1"/>
      <c r="Y2299" s="1"/>
      <c r="Z2299" s="1"/>
    </row>
    <row r="2300" ht="18.0" hidden="1" customHeight="1" outlineLevel="2">
      <c r="A2300" s="1">
        <v>8.0</v>
      </c>
      <c r="B2300" s="26" t="s">
        <v>29</v>
      </c>
      <c r="C2300" s="1"/>
      <c r="D2300" s="1"/>
      <c r="E2300" s="14"/>
      <c r="F2300" s="15"/>
      <c r="G2300" s="16"/>
      <c r="H2300" s="11"/>
      <c r="I2300" s="7"/>
      <c r="J2300" s="7" t="str">
        <f>IFERROR(LET(_xlpm.v,
VLOOKUP($I2300,'用語辞書'!$A:$B,COLUMN('用語辞書'!B$1),FALSE),
IF(_xlpm.v=0,"",_xlpm.v)
),"")</f>
        <v/>
      </c>
      <c r="K2300" s="17"/>
      <c r="L2300" s="17" t="str">
        <f>IF(OR(COUNTIF('クラス'!$A$1:$A$1267,$B2300)&gt;0,$B2300="",$M2300=""),"",True)</f>
        <v/>
      </c>
      <c r="M2300" s="1" t="str">
        <f t="shared" si="27"/>
        <v/>
      </c>
      <c r="N2300" s="1" t="s">
        <v>29</v>
      </c>
      <c r="O2300" s="1"/>
      <c r="P2300" s="11"/>
      <c r="Q2300" s="11"/>
      <c r="R2300" s="11"/>
      <c r="S2300" s="11"/>
      <c r="T2300" s="1"/>
      <c r="U2300" s="1"/>
      <c r="V2300" s="1"/>
      <c r="W2300" s="1"/>
      <c r="X2300" s="1"/>
      <c r="Y2300" s="1"/>
      <c r="Z2300" s="1"/>
    </row>
    <row r="2301" ht="18.0" hidden="1" customHeight="1" outlineLevel="2">
      <c r="A2301" s="1">
        <v>9.0</v>
      </c>
      <c r="B2301" s="26" t="s">
        <v>2287</v>
      </c>
      <c r="C2301" s="26" t="s">
        <v>29</v>
      </c>
      <c r="D2301" s="26" t="s">
        <v>29</v>
      </c>
      <c r="E2301" s="29" t="s">
        <v>55</v>
      </c>
      <c r="F2301" s="34" t="s">
        <v>29</v>
      </c>
      <c r="G2301" s="30" t="s">
        <v>29</v>
      </c>
      <c r="H2301" s="22" t="s">
        <v>2288</v>
      </c>
      <c r="I2301" s="7"/>
      <c r="J2301" s="7" t="str">
        <f>IFERROR(LET(_xlpm.v,
VLOOKUP($I2301,'用語辞書'!$A:$B,COLUMN('用語辞書'!B$1),FALSE),
IF(_xlpm.v=0,"",_xlpm.v)
),"")</f>
        <v/>
      </c>
      <c r="K2301" s="17"/>
      <c r="L2301" s="17" t="b">
        <f>IF(OR(COUNTIF('クラス'!$A$1:$A$1267,$B2301)&gt;0,$B2301="",$M2301=""),"",True)</f>
        <v>1</v>
      </c>
      <c r="M2301" s="1" t="str">
        <f t="shared" si="27"/>
        <v>存在しない</v>
      </c>
      <c r="N2301" s="1" t="s">
        <v>29</v>
      </c>
      <c r="O2301" s="1"/>
      <c r="P2301" s="11"/>
      <c r="Q2301" s="11"/>
      <c r="R2301" s="11"/>
      <c r="S2301" s="11"/>
      <c r="T2301" s="1"/>
      <c r="U2301" s="1"/>
      <c r="V2301" s="1"/>
      <c r="W2301" s="1"/>
      <c r="X2301" s="1"/>
      <c r="Y2301" s="1"/>
      <c r="Z2301" s="1"/>
    </row>
    <row r="2302" ht="18.0" hidden="1" customHeight="1" outlineLevel="2">
      <c r="A2302" s="1">
        <v>10.0</v>
      </c>
      <c r="B2302" s="26" t="s">
        <v>2289</v>
      </c>
      <c r="C2302" s="26" t="s">
        <v>29</v>
      </c>
      <c r="D2302" s="26" t="s">
        <v>29</v>
      </c>
      <c r="E2302" s="29" t="s">
        <v>33</v>
      </c>
      <c r="F2302" s="34" t="s">
        <v>29</v>
      </c>
      <c r="G2302" s="30">
        <v>60.0</v>
      </c>
      <c r="H2302" s="22" t="s">
        <v>2290</v>
      </c>
      <c r="I2302" s="7"/>
      <c r="J2302" s="7" t="str">
        <f>IFERROR(LET(_xlpm.v,
VLOOKUP($I2302,'用語辞書'!$A:$B,COLUMN('用語辞書'!B$1),FALSE),
IF(_xlpm.v=0,"",_xlpm.v)
),"")</f>
        <v/>
      </c>
      <c r="K2302" s="17"/>
      <c r="L2302" s="17" t="b">
        <f>IF(OR(COUNTIF('クラス'!$A$1:$A$1267,$B2302)&gt;0,$B2302="",$M2302=""),"",True)</f>
        <v>1</v>
      </c>
      <c r="M2302" s="1" t="str">
        <f t="shared" si="27"/>
        <v>存在しない</v>
      </c>
      <c r="N2302" s="1" t="s">
        <v>29</v>
      </c>
      <c r="O2302" s="1"/>
      <c r="P2302" s="11"/>
      <c r="Q2302" s="11"/>
      <c r="R2302" s="11"/>
      <c r="S2302" s="11"/>
      <c r="T2302" s="1"/>
      <c r="U2302" s="1"/>
      <c r="V2302" s="1"/>
      <c r="W2302" s="1"/>
      <c r="X2302" s="1"/>
      <c r="Y2302" s="1"/>
      <c r="Z2302" s="1"/>
    </row>
    <row r="2303" ht="18.0" customHeight="1" outlineLevel="1" collapsed="1">
      <c r="A2303" s="1"/>
      <c r="B2303" s="1"/>
      <c r="C2303" s="1"/>
      <c r="D2303" s="1"/>
      <c r="E2303" s="14"/>
      <c r="F2303" s="15"/>
      <c r="G2303" s="16"/>
      <c r="H2303" s="11"/>
      <c r="I2303" s="7"/>
      <c r="J2303" s="7" t="str">
        <f>IFERROR(LET(_xlpm.v,
VLOOKUP($I2303,'用語辞書'!$A:$B,COLUMN('用語辞書'!B$1),FALSE),
IF(_xlpm.v=0,"",_xlpm.v)
),"")</f>
        <v/>
      </c>
      <c r="K2303" s="17"/>
      <c r="L2303" s="17" t="str">
        <f>IF(OR(COUNTIF('クラス'!$A$1:$A$1267,$B2303)&gt;0,$B2303="",$M2303=""),"",True)</f>
        <v/>
      </c>
      <c r="M2303" s="1" t="str">
        <f t="shared" si="27"/>
        <v>存在しない</v>
      </c>
      <c r="N2303" s="1" t="s">
        <v>29</v>
      </c>
      <c r="O2303" s="1"/>
      <c r="P2303" s="11"/>
      <c r="Q2303" s="11"/>
      <c r="R2303" s="11"/>
      <c r="S2303" s="11"/>
      <c r="T2303" s="1"/>
      <c r="U2303" s="1"/>
      <c r="V2303" s="1"/>
      <c r="W2303" s="1"/>
      <c r="X2303" s="1"/>
      <c r="Y2303" s="1"/>
      <c r="Z2303" s="1"/>
    </row>
    <row r="2304" ht="18.0" customHeight="1" outlineLevel="1">
      <c r="A2304" s="26"/>
      <c r="B2304" s="26" t="s">
        <v>2291</v>
      </c>
      <c r="C2304" s="26"/>
      <c r="D2304" s="26"/>
      <c r="E2304" s="29"/>
      <c r="F2304" s="34"/>
      <c r="G2304" s="30"/>
      <c r="H2304" s="22"/>
      <c r="I2304" s="32"/>
      <c r="J2304" s="7"/>
      <c r="K2304" s="17"/>
      <c r="L2304" s="17" t="str">
        <f>IF(OR(COUNTIF('クラス'!$A$1:$A$1267,$B2304)&gt;0,$B2304="",$M2304=""),"",True)</f>
        <v/>
      </c>
      <c r="M2304" s="1" t="str">
        <f>IF(COUNTIF($B$1:$C2291, $B2304), "", "存在しない")</f>
        <v>存在しない</v>
      </c>
      <c r="N2304" s="1" t="s">
        <v>29</v>
      </c>
      <c r="O2304" s="1"/>
      <c r="P2304" s="11"/>
      <c r="Q2304" s="11"/>
      <c r="R2304" s="11"/>
      <c r="S2304" s="11"/>
      <c r="T2304" s="1"/>
      <c r="U2304" s="1"/>
      <c r="V2304" s="1"/>
      <c r="W2304" s="1"/>
      <c r="X2304" s="1"/>
      <c r="Y2304" s="1"/>
      <c r="Z2304" s="1"/>
    </row>
    <row r="2305" ht="18.0" customHeight="1" outlineLevel="2">
      <c r="A2305" s="27" t="s">
        <v>1731</v>
      </c>
      <c r="B2305" s="26" t="s">
        <v>2292</v>
      </c>
      <c r="C2305" s="26"/>
      <c r="D2305" s="26"/>
      <c r="E2305" s="29" t="s">
        <v>33</v>
      </c>
      <c r="F2305" s="34"/>
      <c r="G2305" s="30">
        <v>50.0</v>
      </c>
      <c r="H2305" s="22" t="s">
        <v>2293</v>
      </c>
      <c r="I2305" s="32"/>
      <c r="J2305" s="32" t="s">
        <v>2294</v>
      </c>
      <c r="K2305" s="17"/>
      <c r="L2305" s="17" t="b">
        <f>IF(OR(COUNTIF('クラス'!$A$1:$A$1267,$B2305)&gt;0,$B2305="",$M2305=""),"",True)</f>
        <v>1</v>
      </c>
      <c r="M2305" s="1" t="str">
        <f t="shared" ref="M2305:M2315" si="28">IF(COUNTIF($B$1:$C2304, $B2305), "", "存在しない")</f>
        <v>存在しない</v>
      </c>
      <c r="N2305" s="1" t="s">
        <v>29</v>
      </c>
      <c r="O2305" s="1"/>
      <c r="P2305" s="11"/>
      <c r="Q2305" s="11"/>
      <c r="R2305" s="11"/>
      <c r="S2305" s="11"/>
      <c r="T2305" s="1"/>
      <c r="U2305" s="1"/>
      <c r="V2305" s="1"/>
      <c r="W2305" s="1"/>
      <c r="X2305" s="1"/>
      <c r="Y2305" s="1"/>
      <c r="Z2305" s="1"/>
    </row>
    <row r="2306" ht="18.0" customHeight="1" outlineLevel="2">
      <c r="A2306" s="27" t="s">
        <v>1735</v>
      </c>
      <c r="B2306" s="26"/>
      <c r="C2306" s="26"/>
      <c r="D2306" s="26"/>
      <c r="E2306" s="29"/>
      <c r="F2306" s="34"/>
      <c r="G2306" s="30"/>
      <c r="H2306" s="22"/>
      <c r="I2306" s="32"/>
      <c r="J2306" s="32"/>
      <c r="K2306" s="17"/>
      <c r="L2306" s="17" t="str">
        <f>IF(OR(COUNTIF('クラス'!$A$1:$A$1267,$B2306)&gt;0,$B2306="",$M2306=""),"",True)</f>
        <v/>
      </c>
      <c r="M2306" s="1" t="str">
        <f t="shared" si="28"/>
        <v>存在しない</v>
      </c>
      <c r="N2306" s="1" t="s">
        <v>29</v>
      </c>
      <c r="O2306" s="1"/>
      <c r="P2306" s="11"/>
      <c r="Q2306" s="11"/>
      <c r="R2306" s="11"/>
      <c r="S2306" s="11"/>
      <c r="T2306" s="1"/>
      <c r="U2306" s="1"/>
      <c r="V2306" s="1"/>
      <c r="W2306" s="1"/>
      <c r="X2306" s="1"/>
      <c r="Y2306" s="1"/>
      <c r="Z2306" s="1"/>
    </row>
    <row r="2307" ht="18.0" customHeight="1" outlineLevel="2">
      <c r="A2307" s="27" t="s">
        <v>1736</v>
      </c>
      <c r="B2307" s="26" t="s">
        <v>2295</v>
      </c>
      <c r="C2307" s="26"/>
      <c r="D2307" s="26"/>
      <c r="E2307" s="29" t="s">
        <v>55</v>
      </c>
      <c r="F2307" s="34"/>
      <c r="G2307" s="30"/>
      <c r="H2307" s="22" t="s">
        <v>2296</v>
      </c>
      <c r="I2307" s="32"/>
      <c r="J2307" s="32" t="s">
        <v>2297</v>
      </c>
      <c r="K2307" s="17"/>
      <c r="L2307" s="17" t="b">
        <f>IF(OR(COUNTIF('クラス'!$A$1:$A$1267,$B2307)&gt;0,$B2307="",$M2307=""),"",True)</f>
        <v>1</v>
      </c>
      <c r="M2307" s="1" t="str">
        <f t="shared" si="28"/>
        <v>存在しない</v>
      </c>
      <c r="N2307" s="1" t="s">
        <v>29</v>
      </c>
      <c r="O2307" s="1"/>
      <c r="P2307" s="11"/>
      <c r="Q2307" s="11"/>
      <c r="R2307" s="11"/>
      <c r="S2307" s="11"/>
      <c r="T2307" s="1"/>
      <c r="U2307" s="1"/>
      <c r="V2307" s="1"/>
      <c r="W2307" s="1"/>
      <c r="X2307" s="1"/>
      <c r="Y2307" s="1"/>
      <c r="Z2307" s="1"/>
    </row>
    <row r="2308" ht="18.0" customHeight="1" outlineLevel="2">
      <c r="A2308" s="27" t="s">
        <v>1740</v>
      </c>
      <c r="B2308" s="26"/>
      <c r="C2308" s="26"/>
      <c r="D2308" s="26"/>
      <c r="E2308" s="29"/>
      <c r="F2308" s="34"/>
      <c r="G2308" s="30"/>
      <c r="H2308" s="22"/>
      <c r="I2308" s="32"/>
      <c r="J2308" s="32"/>
      <c r="K2308" s="17"/>
      <c r="L2308" s="17" t="str">
        <f>IF(OR(COUNTIF('クラス'!$A$1:$A$1267,$B2308)&gt;0,$B2308="",$M2308=""),"",True)</f>
        <v/>
      </c>
      <c r="M2308" s="1" t="str">
        <f t="shared" si="28"/>
        <v>存在しない</v>
      </c>
      <c r="N2308" s="1" t="s">
        <v>29</v>
      </c>
      <c r="O2308" s="1"/>
      <c r="P2308" s="11"/>
      <c r="Q2308" s="11"/>
      <c r="R2308" s="11"/>
      <c r="S2308" s="11"/>
      <c r="T2308" s="1"/>
      <c r="U2308" s="1"/>
      <c r="V2308" s="1"/>
      <c r="W2308" s="1"/>
      <c r="X2308" s="1"/>
      <c r="Y2308" s="1"/>
      <c r="Z2308" s="1"/>
    </row>
    <row r="2309" ht="18.0" customHeight="1" outlineLevel="2">
      <c r="A2309" s="27" t="s">
        <v>1741</v>
      </c>
      <c r="B2309" s="26" t="s">
        <v>2298</v>
      </c>
      <c r="C2309" s="26"/>
      <c r="D2309" s="26"/>
      <c r="E2309" s="29" t="s">
        <v>33</v>
      </c>
      <c r="F2309" s="34"/>
      <c r="G2309" s="30">
        <v>50.0</v>
      </c>
      <c r="H2309" s="22" t="s">
        <v>2299</v>
      </c>
      <c r="I2309" s="32"/>
      <c r="J2309" s="32" t="s">
        <v>2300</v>
      </c>
      <c r="K2309" s="17"/>
      <c r="L2309" s="17" t="b">
        <f>IF(OR(COUNTIF('クラス'!$A$1:$A$1267,$B2309)&gt;0,$B2309="",$M2309=""),"",True)</f>
        <v>1</v>
      </c>
      <c r="M2309" s="1" t="str">
        <f t="shared" si="28"/>
        <v>存在しない</v>
      </c>
      <c r="N2309" s="1" t="s">
        <v>29</v>
      </c>
      <c r="O2309" s="1"/>
      <c r="P2309" s="11"/>
      <c r="Q2309" s="11"/>
      <c r="R2309" s="11"/>
      <c r="S2309" s="11"/>
      <c r="T2309" s="1"/>
      <c r="U2309" s="1"/>
      <c r="V2309" s="1"/>
      <c r="W2309" s="1"/>
      <c r="X2309" s="1"/>
      <c r="Y2309" s="1"/>
      <c r="Z2309" s="1"/>
    </row>
    <row r="2310" ht="18.0" customHeight="1" outlineLevel="2">
      <c r="A2310" s="27" t="s">
        <v>1745</v>
      </c>
      <c r="B2310" s="26"/>
      <c r="C2310" s="26"/>
      <c r="D2310" s="26"/>
      <c r="E2310" s="29"/>
      <c r="F2310" s="34"/>
      <c r="G2310" s="30"/>
      <c r="H2310" s="22"/>
      <c r="I2310" s="32"/>
      <c r="J2310" s="32"/>
      <c r="K2310" s="17"/>
      <c r="L2310" s="17" t="str">
        <f>IF(OR(COUNTIF('クラス'!$A$1:$A$1267,$B2310)&gt;0,$B2310="",$M2310=""),"",True)</f>
        <v/>
      </c>
      <c r="M2310" s="1" t="str">
        <f t="shared" si="28"/>
        <v>存在しない</v>
      </c>
      <c r="N2310" s="1" t="s">
        <v>29</v>
      </c>
      <c r="O2310" s="1"/>
      <c r="P2310" s="11"/>
      <c r="Q2310" s="11"/>
      <c r="R2310" s="11"/>
      <c r="S2310" s="11"/>
      <c r="T2310" s="1"/>
      <c r="U2310" s="1"/>
      <c r="V2310" s="1"/>
      <c r="W2310" s="1"/>
      <c r="X2310" s="1"/>
      <c r="Y2310" s="1"/>
      <c r="Z2310" s="1"/>
    </row>
    <row r="2311" ht="18.0" customHeight="1" outlineLevel="2">
      <c r="A2311" s="27" t="s">
        <v>1746</v>
      </c>
      <c r="B2311" s="26" t="s">
        <v>2301</v>
      </c>
      <c r="C2311" s="26"/>
      <c r="D2311" s="26"/>
      <c r="E2311" s="29" t="s">
        <v>55</v>
      </c>
      <c r="F2311" s="34"/>
      <c r="G2311" s="30"/>
      <c r="H2311" s="22" t="s">
        <v>2302</v>
      </c>
      <c r="I2311" s="32"/>
      <c r="J2311" s="32" t="s">
        <v>2303</v>
      </c>
      <c r="K2311" s="17"/>
      <c r="L2311" s="17" t="b">
        <f>IF(OR(COUNTIF('クラス'!$A$1:$A$1267,$B2311)&gt;0,$B2311="",$M2311=""),"",True)</f>
        <v>1</v>
      </c>
      <c r="M2311" s="1" t="str">
        <f t="shared" si="28"/>
        <v>存在しない</v>
      </c>
      <c r="N2311" s="1" t="s">
        <v>29</v>
      </c>
      <c r="O2311" s="1"/>
      <c r="P2311" s="11"/>
      <c r="Q2311" s="11"/>
      <c r="R2311" s="11"/>
      <c r="S2311" s="11"/>
      <c r="T2311" s="1"/>
      <c r="U2311" s="1"/>
      <c r="V2311" s="1"/>
      <c r="W2311" s="1"/>
      <c r="X2311" s="1"/>
      <c r="Y2311" s="1"/>
      <c r="Z2311" s="1"/>
    </row>
    <row r="2312" ht="18.0" customHeight="1" outlineLevel="2">
      <c r="A2312" s="27" t="s">
        <v>1750</v>
      </c>
      <c r="B2312" s="26"/>
      <c r="C2312" s="26"/>
      <c r="D2312" s="26"/>
      <c r="E2312" s="29"/>
      <c r="F2312" s="34"/>
      <c r="G2312" s="30"/>
      <c r="H2312" s="22"/>
      <c r="I2312" s="32"/>
      <c r="J2312" s="32"/>
      <c r="K2312" s="17"/>
      <c r="L2312" s="17" t="str">
        <f>IF(OR(COUNTIF('クラス'!$A$1:$A$1267,$B2312)&gt;0,$B2312="",$M2312=""),"",True)</f>
        <v/>
      </c>
      <c r="M2312" s="1" t="str">
        <f t="shared" si="28"/>
        <v>存在しない</v>
      </c>
      <c r="N2312" s="1" t="s">
        <v>29</v>
      </c>
      <c r="O2312" s="1"/>
      <c r="P2312" s="11"/>
      <c r="Q2312" s="11"/>
      <c r="R2312" s="11"/>
      <c r="S2312" s="11"/>
      <c r="T2312" s="1"/>
      <c r="U2312" s="1"/>
      <c r="V2312" s="1"/>
      <c r="W2312" s="1"/>
      <c r="X2312" s="1"/>
      <c r="Y2312" s="1"/>
      <c r="Z2312" s="1"/>
    </row>
    <row r="2313" ht="18.0" customHeight="1" outlineLevel="2">
      <c r="A2313" s="27" t="s">
        <v>1751</v>
      </c>
      <c r="B2313" s="26" t="s">
        <v>2304</v>
      </c>
      <c r="C2313" s="26"/>
      <c r="D2313" s="26"/>
      <c r="E2313" s="29" t="s">
        <v>33</v>
      </c>
      <c r="F2313" s="34"/>
      <c r="G2313" s="30">
        <v>60.0</v>
      </c>
      <c r="H2313" s="22" t="s">
        <v>2305</v>
      </c>
      <c r="I2313" s="32"/>
      <c r="J2313" s="32" t="s">
        <v>2306</v>
      </c>
      <c r="K2313" s="17"/>
      <c r="L2313" s="17" t="b">
        <f>IF(OR(COUNTIF('クラス'!$A$1:$A$1267,$B2313)&gt;0,$B2313="",$M2313=""),"",True)</f>
        <v>1</v>
      </c>
      <c r="M2313" s="1" t="str">
        <f t="shared" si="28"/>
        <v>存在しない</v>
      </c>
      <c r="N2313" s="1" t="s">
        <v>29</v>
      </c>
      <c r="O2313" s="1"/>
      <c r="P2313" s="11"/>
      <c r="Q2313" s="11"/>
      <c r="R2313" s="11"/>
      <c r="S2313" s="11"/>
      <c r="T2313" s="1"/>
      <c r="U2313" s="1"/>
      <c r="V2313" s="1"/>
      <c r="W2313" s="1"/>
      <c r="X2313" s="1"/>
      <c r="Y2313" s="1"/>
      <c r="Z2313" s="1"/>
    </row>
    <row r="2314" ht="18.0" customHeight="1" outlineLevel="2">
      <c r="A2314" s="27" t="s">
        <v>1755</v>
      </c>
      <c r="B2314" s="26" t="s">
        <v>2307</v>
      </c>
      <c r="C2314" s="26"/>
      <c r="D2314" s="26"/>
      <c r="E2314" s="29" t="s">
        <v>55</v>
      </c>
      <c r="F2314" s="34"/>
      <c r="G2314" s="30"/>
      <c r="H2314" s="22" t="s">
        <v>2308</v>
      </c>
      <c r="I2314" s="32"/>
      <c r="J2314" s="32" t="s">
        <v>2309</v>
      </c>
      <c r="K2314" s="17"/>
      <c r="L2314" s="17" t="b">
        <f>IF(OR(COUNTIF('クラス'!$A$1:$A$1267,$B2314)&gt;0,$B2314="",$M2314=""),"",True)</f>
        <v>1</v>
      </c>
      <c r="M2314" s="1" t="str">
        <f t="shared" si="28"/>
        <v>存在しない</v>
      </c>
      <c r="N2314" s="1" t="s">
        <v>29</v>
      </c>
      <c r="O2314" s="1"/>
      <c r="P2314" s="11"/>
      <c r="Q2314" s="11"/>
      <c r="R2314" s="11"/>
      <c r="S2314" s="11"/>
      <c r="T2314" s="1"/>
      <c r="U2314" s="1"/>
      <c r="V2314" s="1"/>
      <c r="W2314" s="1"/>
      <c r="X2314" s="1"/>
      <c r="Y2314" s="1"/>
      <c r="Z2314" s="1"/>
    </row>
    <row r="2315" ht="18.0" customHeight="1" outlineLevel="1">
      <c r="A2315" s="26"/>
      <c r="B2315" s="26"/>
      <c r="C2315" s="26"/>
      <c r="D2315" s="26"/>
      <c r="E2315" s="29"/>
      <c r="F2315" s="34"/>
      <c r="G2315" s="30"/>
      <c r="H2315" s="22"/>
      <c r="I2315" s="32"/>
      <c r="J2315" s="32"/>
      <c r="K2315" s="17"/>
      <c r="L2315" s="17" t="str">
        <f>IF(OR(COUNTIF('クラス'!$A$1:$A$1267,$B2315)&gt;0,$B2315="",$M2315=""),"",True)</f>
        <v/>
      </c>
      <c r="M2315" s="1" t="str">
        <f t="shared" si="28"/>
        <v>存在しない</v>
      </c>
      <c r="N2315" s="1" t="s">
        <v>29</v>
      </c>
      <c r="O2315" s="1"/>
      <c r="P2315" s="11"/>
      <c r="Q2315" s="11"/>
      <c r="R2315" s="11"/>
      <c r="S2315" s="11"/>
      <c r="T2315" s="1"/>
      <c r="U2315" s="1"/>
      <c r="V2315" s="1"/>
      <c r="W2315" s="1"/>
      <c r="X2315" s="1"/>
      <c r="Y2315" s="1"/>
      <c r="Z2315" s="1"/>
    </row>
    <row r="2316" ht="18.0" customHeight="1" outlineLevel="1">
      <c r="A2316" s="26"/>
      <c r="B2316" s="26" t="s">
        <v>2310</v>
      </c>
      <c r="C2316" s="26" t="s">
        <v>29</v>
      </c>
      <c r="D2316" s="26" t="s">
        <v>29</v>
      </c>
      <c r="E2316" s="29" t="s">
        <v>29</v>
      </c>
      <c r="F2316" s="34" t="s">
        <v>29</v>
      </c>
      <c r="G2316" s="30" t="s">
        <v>29</v>
      </c>
      <c r="H2316" s="22" t="s">
        <v>29</v>
      </c>
      <c r="I2316" s="32" t="s">
        <v>29</v>
      </c>
      <c r="J2316" s="7" t="str">
        <f>IFERROR(LET(_xlpm.v,
VLOOKUP($I2316,'用語辞書'!$A:$B,COLUMN('用語辞書'!B$1),FALSE),
IF(_xlpm.v=0,"",_xlpm.v)
),"")</f>
        <v/>
      </c>
      <c r="K2316" s="17"/>
      <c r="L2316" s="17" t="str">
        <f>IF(OR(COUNTIF('クラス'!$A$1:$A$1267,$B2316)&gt;0,$B2316="",$M2316=""),"",True)</f>
        <v/>
      </c>
      <c r="M2316" s="1" t="str">
        <f>IF(COUNTIF($B$1:$C2303, $B2316), "", "存在しない")</f>
        <v>存在しない</v>
      </c>
      <c r="N2316" s="1" t="s">
        <v>29</v>
      </c>
      <c r="O2316" s="1"/>
      <c r="P2316" s="11"/>
      <c r="Q2316" s="11"/>
      <c r="R2316" s="11"/>
      <c r="S2316" s="11"/>
      <c r="T2316" s="1"/>
      <c r="U2316" s="1"/>
      <c r="V2316" s="1"/>
      <c r="W2316" s="1"/>
      <c r="X2316" s="1"/>
      <c r="Y2316" s="1"/>
      <c r="Z2316" s="1"/>
    </row>
    <row r="2317" ht="18.0" customHeight="1" outlineLevel="2">
      <c r="A2317" s="27" t="s">
        <v>1731</v>
      </c>
      <c r="B2317" s="26" t="s">
        <v>2311</v>
      </c>
      <c r="C2317" s="26"/>
      <c r="D2317" s="26"/>
      <c r="E2317" s="29" t="s">
        <v>33</v>
      </c>
      <c r="F2317" s="34"/>
      <c r="G2317" s="30">
        <v>40.0</v>
      </c>
      <c r="H2317" s="22" t="s">
        <v>2312</v>
      </c>
      <c r="I2317" s="32"/>
      <c r="J2317" s="32" t="s">
        <v>2313</v>
      </c>
      <c r="K2317" s="17"/>
      <c r="L2317" s="17" t="b">
        <f>IF(OR(COUNTIF('クラス'!$A$1:$A$1267,$B2317)&gt;0,$B2317="",$M2317=""),"",True)</f>
        <v>1</v>
      </c>
      <c r="M2317" s="1" t="str">
        <f t="shared" ref="M2317:M2327" si="29">IF(COUNTIF($B$1:$C2316, $B2317), "", "存在しない")</f>
        <v>存在しない</v>
      </c>
      <c r="N2317" s="1" t="s">
        <v>29</v>
      </c>
      <c r="O2317" s="1"/>
      <c r="P2317" s="11"/>
      <c r="Q2317" s="11"/>
      <c r="R2317" s="11"/>
      <c r="S2317" s="11"/>
      <c r="T2317" s="1"/>
      <c r="U2317" s="1"/>
      <c r="V2317" s="1"/>
      <c r="W2317" s="1"/>
      <c r="X2317" s="1"/>
      <c r="Y2317" s="1"/>
      <c r="Z2317" s="1"/>
    </row>
    <row r="2318" ht="18.0" customHeight="1" outlineLevel="2">
      <c r="A2318" s="27" t="s">
        <v>1735</v>
      </c>
      <c r="B2318" s="26"/>
      <c r="C2318" s="26"/>
      <c r="D2318" s="26"/>
      <c r="E2318" s="29"/>
      <c r="F2318" s="34"/>
      <c r="G2318" s="30"/>
      <c r="H2318" s="22"/>
      <c r="I2318" s="32"/>
      <c r="J2318" s="32"/>
      <c r="K2318" s="17"/>
      <c r="L2318" s="17" t="str">
        <f>IF(OR(COUNTIF('クラス'!$A$1:$A$1267,$B2318)&gt;0,$B2318="",$M2318=""),"",True)</f>
        <v/>
      </c>
      <c r="M2318" s="1" t="str">
        <f t="shared" si="29"/>
        <v>存在しない</v>
      </c>
      <c r="N2318" s="1" t="s">
        <v>29</v>
      </c>
      <c r="O2318" s="1"/>
      <c r="P2318" s="11"/>
      <c r="Q2318" s="11"/>
      <c r="R2318" s="11"/>
      <c r="S2318" s="11"/>
      <c r="T2318" s="1"/>
      <c r="U2318" s="1"/>
      <c r="V2318" s="1"/>
      <c r="W2318" s="1"/>
      <c r="X2318" s="1"/>
      <c r="Y2318" s="1"/>
      <c r="Z2318" s="1"/>
    </row>
    <row r="2319" ht="18.0" customHeight="1" outlineLevel="2">
      <c r="A2319" s="27" t="s">
        <v>1736</v>
      </c>
      <c r="B2319" s="26" t="s">
        <v>2314</v>
      </c>
      <c r="C2319" s="26"/>
      <c r="D2319" s="26"/>
      <c r="E2319" s="29" t="s">
        <v>55</v>
      </c>
      <c r="F2319" s="34"/>
      <c r="G2319" s="30"/>
      <c r="H2319" s="22" t="s">
        <v>2315</v>
      </c>
      <c r="I2319" s="32"/>
      <c r="J2319" s="32" t="s">
        <v>2316</v>
      </c>
      <c r="K2319" s="17"/>
      <c r="L2319" s="17" t="b">
        <f>IF(OR(COUNTIF('クラス'!$A$1:$A$1267,$B2319)&gt;0,$B2319="",$M2319=""),"",True)</f>
        <v>1</v>
      </c>
      <c r="M2319" s="1" t="str">
        <f t="shared" si="29"/>
        <v>存在しない</v>
      </c>
      <c r="N2319" s="1" t="s">
        <v>29</v>
      </c>
      <c r="O2319" s="1"/>
      <c r="P2319" s="11"/>
      <c r="Q2319" s="11"/>
      <c r="R2319" s="11"/>
      <c r="S2319" s="11"/>
      <c r="T2319" s="1"/>
      <c r="U2319" s="1"/>
      <c r="V2319" s="1"/>
      <c r="W2319" s="1"/>
      <c r="X2319" s="1"/>
      <c r="Y2319" s="1"/>
      <c r="Z2319" s="1"/>
    </row>
    <row r="2320" ht="18.0" customHeight="1" outlineLevel="2">
      <c r="A2320" s="27" t="s">
        <v>1740</v>
      </c>
      <c r="B2320" s="26"/>
      <c r="C2320" s="26"/>
      <c r="D2320" s="26"/>
      <c r="E2320" s="29"/>
      <c r="F2320" s="34"/>
      <c r="G2320" s="30"/>
      <c r="H2320" s="22"/>
      <c r="I2320" s="32"/>
      <c r="J2320" s="32"/>
      <c r="K2320" s="17"/>
      <c r="L2320" s="17" t="str">
        <f>IF(OR(COUNTIF('クラス'!$A$1:$A$1267,$B2320)&gt;0,$B2320="",$M2320=""),"",True)</f>
        <v/>
      </c>
      <c r="M2320" s="1" t="str">
        <f t="shared" si="29"/>
        <v>存在しない</v>
      </c>
      <c r="N2320" s="1" t="s">
        <v>29</v>
      </c>
      <c r="O2320" s="1"/>
      <c r="P2320" s="11"/>
      <c r="Q2320" s="11"/>
      <c r="R2320" s="11"/>
      <c r="S2320" s="11"/>
      <c r="T2320" s="1"/>
      <c r="U2320" s="1"/>
      <c r="V2320" s="1"/>
      <c r="W2320" s="1"/>
      <c r="X2320" s="1"/>
      <c r="Y2320" s="1"/>
      <c r="Z2320" s="1"/>
    </row>
    <row r="2321" ht="18.0" customHeight="1" outlineLevel="2">
      <c r="A2321" s="27" t="s">
        <v>1741</v>
      </c>
      <c r="B2321" s="26" t="s">
        <v>2317</v>
      </c>
      <c r="C2321" s="26"/>
      <c r="D2321" s="26"/>
      <c r="E2321" s="29" t="s">
        <v>33</v>
      </c>
      <c r="F2321" s="34"/>
      <c r="G2321" s="30">
        <v>40.0</v>
      </c>
      <c r="H2321" s="22" t="s">
        <v>2318</v>
      </c>
      <c r="I2321" s="32"/>
      <c r="J2321" s="32" t="s">
        <v>2319</v>
      </c>
      <c r="K2321" s="17"/>
      <c r="L2321" s="17" t="b">
        <f>IF(OR(COUNTIF('クラス'!$A$1:$A$1267,$B2321)&gt;0,$B2321="",$M2321=""),"",True)</f>
        <v>1</v>
      </c>
      <c r="M2321" s="1" t="str">
        <f t="shared" si="29"/>
        <v>存在しない</v>
      </c>
      <c r="N2321" s="1" t="s">
        <v>29</v>
      </c>
      <c r="O2321" s="1"/>
      <c r="P2321" s="11"/>
      <c r="Q2321" s="11"/>
      <c r="R2321" s="11"/>
      <c r="S2321" s="11"/>
      <c r="T2321" s="1"/>
      <c r="U2321" s="1"/>
      <c r="V2321" s="1"/>
      <c r="W2321" s="1"/>
      <c r="X2321" s="1"/>
      <c r="Y2321" s="1"/>
      <c r="Z2321" s="1"/>
    </row>
    <row r="2322" ht="18.0" customHeight="1" outlineLevel="2">
      <c r="A2322" s="27" t="s">
        <v>1745</v>
      </c>
      <c r="B2322" s="26"/>
      <c r="C2322" s="26"/>
      <c r="D2322" s="26"/>
      <c r="E2322" s="29"/>
      <c r="F2322" s="34"/>
      <c r="G2322" s="30"/>
      <c r="H2322" s="22"/>
      <c r="I2322" s="32"/>
      <c r="J2322" s="32"/>
      <c r="K2322" s="17"/>
      <c r="L2322" s="17" t="str">
        <f>IF(OR(COUNTIF('クラス'!$A$1:$A$1267,$B2322)&gt;0,$B2322="",$M2322=""),"",True)</f>
        <v/>
      </c>
      <c r="M2322" s="1" t="str">
        <f t="shared" si="29"/>
        <v>存在しない</v>
      </c>
      <c r="N2322" s="1" t="s">
        <v>29</v>
      </c>
      <c r="O2322" s="1"/>
      <c r="P2322" s="11"/>
      <c r="Q2322" s="11"/>
      <c r="R2322" s="11"/>
      <c r="S2322" s="11"/>
      <c r="T2322" s="1"/>
      <c r="U2322" s="1"/>
      <c r="V2322" s="1"/>
      <c r="W2322" s="1"/>
      <c r="X2322" s="1"/>
      <c r="Y2322" s="1"/>
      <c r="Z2322" s="1"/>
    </row>
    <row r="2323" ht="18.0" customHeight="1" outlineLevel="2">
      <c r="A2323" s="27" t="s">
        <v>1746</v>
      </c>
      <c r="B2323" s="26" t="s">
        <v>2320</v>
      </c>
      <c r="C2323" s="26"/>
      <c r="D2323" s="26"/>
      <c r="E2323" s="29" t="s">
        <v>55</v>
      </c>
      <c r="F2323" s="34"/>
      <c r="G2323" s="30"/>
      <c r="H2323" s="22" t="s">
        <v>2321</v>
      </c>
      <c r="I2323" s="32"/>
      <c r="J2323" s="32" t="s">
        <v>2322</v>
      </c>
      <c r="K2323" s="17"/>
      <c r="L2323" s="17" t="b">
        <f>IF(OR(COUNTIF('クラス'!$A$1:$A$1267,$B2323)&gt;0,$B2323="",$M2323=""),"",True)</f>
        <v>1</v>
      </c>
      <c r="M2323" s="1" t="str">
        <f t="shared" si="29"/>
        <v>存在しない</v>
      </c>
      <c r="N2323" s="1" t="s">
        <v>29</v>
      </c>
      <c r="O2323" s="1"/>
      <c r="P2323" s="11"/>
      <c r="Q2323" s="11"/>
      <c r="R2323" s="11"/>
      <c r="S2323" s="11"/>
      <c r="T2323" s="1"/>
      <c r="U2323" s="1"/>
      <c r="V2323" s="1"/>
      <c r="W2323" s="1"/>
      <c r="X2323" s="1"/>
      <c r="Y2323" s="1"/>
      <c r="Z2323" s="1"/>
    </row>
    <row r="2324" ht="18.0" customHeight="1" outlineLevel="2">
      <c r="A2324" s="27" t="s">
        <v>1750</v>
      </c>
      <c r="B2324" s="26"/>
      <c r="C2324" s="26"/>
      <c r="D2324" s="26"/>
      <c r="E2324" s="29"/>
      <c r="F2324" s="34"/>
      <c r="G2324" s="30"/>
      <c r="H2324" s="22"/>
      <c r="I2324" s="32"/>
      <c r="J2324" s="32"/>
      <c r="K2324" s="17"/>
      <c r="L2324" s="17" t="str">
        <f>IF(OR(COUNTIF('クラス'!$A$1:$A$1267,$B2324)&gt;0,$B2324="",$M2324=""),"",True)</f>
        <v/>
      </c>
      <c r="M2324" s="1" t="str">
        <f t="shared" si="29"/>
        <v>存在しない</v>
      </c>
      <c r="N2324" s="1" t="s">
        <v>29</v>
      </c>
      <c r="O2324" s="1"/>
      <c r="P2324" s="11"/>
      <c r="Q2324" s="11"/>
      <c r="R2324" s="11"/>
      <c r="S2324" s="11"/>
      <c r="T2324" s="1"/>
      <c r="U2324" s="1"/>
      <c r="V2324" s="1"/>
      <c r="W2324" s="1"/>
      <c r="X2324" s="1"/>
      <c r="Y2324" s="1"/>
      <c r="Z2324" s="1"/>
    </row>
    <row r="2325" ht="18.0" customHeight="1" outlineLevel="2">
      <c r="A2325" s="27" t="s">
        <v>1751</v>
      </c>
      <c r="B2325" s="26" t="s">
        <v>2323</v>
      </c>
      <c r="C2325" s="26"/>
      <c r="D2325" s="26"/>
      <c r="E2325" s="29" t="s">
        <v>33</v>
      </c>
      <c r="F2325" s="34"/>
      <c r="G2325" s="30">
        <v>60.0</v>
      </c>
      <c r="H2325" s="22" t="s">
        <v>2324</v>
      </c>
      <c r="I2325" s="32"/>
      <c r="J2325" s="32" t="s">
        <v>2325</v>
      </c>
      <c r="K2325" s="17"/>
      <c r="L2325" s="17" t="b">
        <f>IF(OR(COUNTIF('クラス'!$A$1:$A$1267,$B2325)&gt;0,$B2325="",$M2325=""),"",True)</f>
        <v>1</v>
      </c>
      <c r="M2325" s="1" t="str">
        <f t="shared" si="29"/>
        <v>存在しない</v>
      </c>
      <c r="N2325" s="1" t="s">
        <v>29</v>
      </c>
      <c r="O2325" s="1"/>
      <c r="P2325" s="11"/>
      <c r="Q2325" s="11"/>
      <c r="R2325" s="11"/>
      <c r="S2325" s="11"/>
      <c r="T2325" s="1"/>
      <c r="U2325" s="1"/>
      <c r="V2325" s="1"/>
      <c r="W2325" s="1"/>
      <c r="X2325" s="1"/>
      <c r="Y2325" s="1"/>
      <c r="Z2325" s="1"/>
    </row>
    <row r="2326" ht="18.0" customHeight="1" outlineLevel="2">
      <c r="A2326" s="27" t="s">
        <v>1755</v>
      </c>
      <c r="B2326" s="26" t="s">
        <v>2326</v>
      </c>
      <c r="C2326" s="26"/>
      <c r="D2326" s="26"/>
      <c r="E2326" s="29" t="s">
        <v>55</v>
      </c>
      <c r="F2326" s="34"/>
      <c r="G2326" s="30"/>
      <c r="H2326" s="22" t="s">
        <v>2327</v>
      </c>
      <c r="I2326" s="32"/>
      <c r="J2326" s="32" t="s">
        <v>2328</v>
      </c>
      <c r="K2326" s="17"/>
      <c r="L2326" s="17" t="b">
        <f>IF(OR(COUNTIF('クラス'!$A$1:$A$1267,$B2326)&gt;0,$B2326="",$M2326=""),"",True)</f>
        <v>1</v>
      </c>
      <c r="M2326" s="1" t="str">
        <f t="shared" si="29"/>
        <v>存在しない</v>
      </c>
      <c r="N2326" s="1" t="s">
        <v>29</v>
      </c>
      <c r="O2326" s="1"/>
      <c r="P2326" s="11"/>
      <c r="Q2326" s="11"/>
      <c r="R2326" s="11"/>
      <c r="S2326" s="11"/>
      <c r="T2326" s="1"/>
      <c r="U2326" s="1"/>
      <c r="V2326" s="1"/>
      <c r="W2326" s="1"/>
      <c r="X2326" s="1"/>
      <c r="Y2326" s="1"/>
      <c r="Z2326" s="1"/>
    </row>
    <row r="2327" ht="18.0" customHeight="1" outlineLevel="1">
      <c r="A2327" s="26"/>
      <c r="B2327" s="26"/>
      <c r="C2327" s="26"/>
      <c r="D2327" s="26"/>
      <c r="E2327" s="29"/>
      <c r="F2327" s="34"/>
      <c r="G2327" s="30"/>
      <c r="H2327" s="22"/>
      <c r="I2327" s="32"/>
      <c r="J2327" s="32"/>
      <c r="K2327" s="17"/>
      <c r="L2327" s="17" t="str">
        <f>IF(OR(COUNTIF('クラス'!$A$1:$A$1267,$B2327)&gt;0,$B2327="",$M2327=""),"",True)</f>
        <v/>
      </c>
      <c r="M2327" s="1" t="str">
        <f t="shared" si="29"/>
        <v>存在しない</v>
      </c>
      <c r="N2327" s="1" t="s">
        <v>29</v>
      </c>
      <c r="O2327" s="1"/>
      <c r="P2327" s="11"/>
      <c r="Q2327" s="11"/>
      <c r="R2327" s="11"/>
      <c r="S2327" s="11"/>
      <c r="T2327" s="1"/>
      <c r="U2327" s="1"/>
      <c r="V2327" s="1"/>
      <c r="W2327" s="1"/>
      <c r="X2327" s="1"/>
      <c r="Y2327" s="1"/>
      <c r="Z2327" s="1"/>
    </row>
    <row r="2328" ht="18.0" customHeight="1" outlineLevel="1">
      <c r="A2328" s="1"/>
      <c r="B2328" s="26" t="s">
        <v>2329</v>
      </c>
      <c r="C2328" s="1"/>
      <c r="D2328" s="1"/>
      <c r="E2328" s="14"/>
      <c r="F2328" s="15"/>
      <c r="G2328" s="16"/>
      <c r="H2328" s="11"/>
      <c r="I2328" s="7"/>
      <c r="J2328" s="7" t="str">
        <f>IFERROR(LET(_xlpm.v,
VLOOKUP($I2328,'用語辞書'!$A:$B,COLUMN('用語辞書'!B$1),FALSE),
IF(_xlpm.v=0,"",_xlpm.v)
),"")</f>
        <v/>
      </c>
      <c r="K2328" s="17"/>
      <c r="L2328" s="17" t="str">
        <f>IF(OR(COUNTIF('クラス'!$A$1:$A$1267,$B2328)&gt;0,$B2328="",$M2328=""),"",True)</f>
        <v/>
      </c>
      <c r="M2328" s="1" t="str">
        <f>IF(COUNTIF($B$1:$C2303, $B2328), "", "存在しない")</f>
        <v>存在しない</v>
      </c>
      <c r="N2328" s="1" t="s">
        <v>29</v>
      </c>
      <c r="O2328" s="1"/>
      <c r="P2328" s="11"/>
      <c r="Q2328" s="11"/>
      <c r="R2328" s="11"/>
      <c r="S2328" s="11"/>
      <c r="T2328" s="1"/>
      <c r="U2328" s="1"/>
      <c r="V2328" s="1"/>
      <c r="W2328" s="1"/>
      <c r="X2328" s="1"/>
      <c r="Y2328" s="1"/>
      <c r="Z2328" s="1"/>
    </row>
    <row r="2329" ht="18.0" hidden="1" customHeight="1" outlineLevel="2">
      <c r="A2329" s="1">
        <v>1.0</v>
      </c>
      <c r="B2329" s="26" t="s">
        <v>2196</v>
      </c>
      <c r="C2329" s="1"/>
      <c r="D2329" s="1"/>
      <c r="E2329" s="14"/>
      <c r="F2329" s="15"/>
      <c r="G2329" s="16"/>
      <c r="H2329" s="11"/>
      <c r="I2329" s="7"/>
      <c r="J2329" s="7" t="str">
        <f>IFERROR(LET(_xlpm.v,
VLOOKUP($I2329,'用語辞書'!$A:$B,COLUMN('用語辞書'!B$1),FALSE),
IF(_xlpm.v=0,"",_xlpm.v)
),"")</f>
        <v/>
      </c>
      <c r="K2329" s="17"/>
      <c r="L2329" s="17" t="str">
        <f>IF(OR(COUNTIF('クラス'!$A$1:$A$1267,$B2329)&gt;0,$B2329="",$M2329=""),"",True)</f>
        <v/>
      </c>
      <c r="M2329" s="1" t="str">
        <f t="shared" ref="M2329:M2963" si="30">IF(COUNTIF($B$1:$C2328, $B2329), "", "存在しない")</f>
        <v/>
      </c>
      <c r="N2329" s="1" t="s">
        <v>29</v>
      </c>
      <c r="O2329" s="1"/>
      <c r="P2329" s="11"/>
      <c r="Q2329" s="11"/>
      <c r="R2329" s="11"/>
      <c r="S2329" s="11"/>
      <c r="T2329" s="1"/>
      <c r="U2329" s="1"/>
      <c r="V2329" s="1"/>
      <c r="W2329" s="1"/>
      <c r="X2329" s="1"/>
      <c r="Y2329" s="1"/>
      <c r="Z2329" s="1"/>
    </row>
    <row r="2330" ht="18.0" hidden="1" customHeight="1" outlineLevel="2">
      <c r="A2330" s="1">
        <v>2.0</v>
      </c>
      <c r="B2330" s="1"/>
      <c r="C2330" s="1"/>
      <c r="D2330" s="1"/>
      <c r="E2330" s="14"/>
      <c r="F2330" s="15"/>
      <c r="G2330" s="16"/>
      <c r="H2330" s="11"/>
      <c r="I2330" s="7"/>
      <c r="J2330" s="7" t="str">
        <f>IFERROR(LET(_xlpm.v,
VLOOKUP($I2330,'用語辞書'!$A:$B,COLUMN('用語辞書'!B$1),FALSE),
IF(_xlpm.v=0,"",_xlpm.v)
),"")</f>
        <v/>
      </c>
      <c r="K2330" s="17"/>
      <c r="L2330" s="17" t="str">
        <f>IF(OR(COUNTIF('クラス'!$A$1:$A$1267,$B2330)&gt;0,$B2330="",$M2330=""),"",True)</f>
        <v/>
      </c>
      <c r="M2330" s="1" t="str">
        <f t="shared" si="30"/>
        <v>存在しない</v>
      </c>
      <c r="N2330" s="1" t="s">
        <v>29</v>
      </c>
      <c r="O2330" s="1"/>
      <c r="P2330" s="11"/>
      <c r="Q2330" s="11"/>
      <c r="R2330" s="11"/>
      <c r="S2330" s="11"/>
      <c r="T2330" s="1"/>
      <c r="U2330" s="1"/>
      <c r="V2330" s="1"/>
      <c r="W2330" s="1"/>
      <c r="X2330" s="1"/>
      <c r="Y2330" s="1"/>
      <c r="Z2330" s="1"/>
    </row>
    <row r="2331" ht="18.0" hidden="1" customHeight="1" outlineLevel="2">
      <c r="A2331" s="1">
        <v>3.0</v>
      </c>
      <c r="B2331" s="26" t="s">
        <v>282</v>
      </c>
      <c r="C2331" s="1"/>
      <c r="D2331" s="1"/>
      <c r="E2331" s="14"/>
      <c r="F2331" s="15"/>
      <c r="G2331" s="16"/>
      <c r="H2331" s="11"/>
      <c r="I2331" s="7"/>
      <c r="J2331" s="7" t="str">
        <f>IFERROR(LET(_xlpm.v,
VLOOKUP($I2331,'用語辞書'!$A:$B,COLUMN('用語辞書'!B$1),FALSE),
IF(_xlpm.v=0,"",_xlpm.v)
),"")</f>
        <v/>
      </c>
      <c r="K2331" s="17"/>
      <c r="L2331" s="17" t="str">
        <f>IF(OR(COUNTIF('クラス'!$A$1:$A$1267,$B2331)&gt;0,$B2331="",$M2331=""),"",True)</f>
        <v/>
      </c>
      <c r="M2331" s="1" t="str">
        <f t="shared" si="30"/>
        <v/>
      </c>
      <c r="N2331" s="1" t="s">
        <v>29</v>
      </c>
      <c r="O2331" s="1"/>
      <c r="P2331" s="11"/>
      <c r="Q2331" s="11"/>
      <c r="R2331" s="11"/>
      <c r="S2331" s="11"/>
      <c r="T2331" s="1"/>
      <c r="U2331" s="1"/>
      <c r="V2331" s="1"/>
      <c r="W2331" s="1"/>
      <c r="X2331" s="1"/>
      <c r="Y2331" s="1"/>
      <c r="Z2331" s="1"/>
    </row>
    <row r="2332" ht="18.0" hidden="1" customHeight="1" outlineLevel="2">
      <c r="A2332" s="1">
        <v>4.0</v>
      </c>
      <c r="B2332" s="1"/>
      <c r="C2332" s="1"/>
      <c r="D2332" s="1"/>
      <c r="E2332" s="14"/>
      <c r="F2332" s="15"/>
      <c r="G2332" s="16"/>
      <c r="H2332" s="11"/>
      <c r="I2332" s="7"/>
      <c r="J2332" s="7" t="str">
        <f>IFERROR(LET(_xlpm.v,
VLOOKUP($I2332,'用語辞書'!$A:$B,COLUMN('用語辞書'!B$1),FALSE),
IF(_xlpm.v=0,"",_xlpm.v)
),"")</f>
        <v/>
      </c>
      <c r="K2332" s="17"/>
      <c r="L2332" s="17" t="str">
        <f>IF(OR(COUNTIF('クラス'!$A$1:$A$1267,$B2332)&gt;0,$B2332="",$M2332=""),"",True)</f>
        <v/>
      </c>
      <c r="M2332" s="1" t="str">
        <f t="shared" si="30"/>
        <v>存在しない</v>
      </c>
      <c r="N2332" s="1" t="s">
        <v>29</v>
      </c>
      <c r="O2332" s="1"/>
      <c r="P2332" s="11"/>
      <c r="Q2332" s="11"/>
      <c r="R2332" s="11"/>
      <c r="S2332" s="11"/>
      <c r="T2332" s="1"/>
      <c r="U2332" s="1"/>
      <c r="V2332" s="1"/>
      <c r="W2332" s="1"/>
      <c r="X2332" s="1"/>
      <c r="Y2332" s="1"/>
      <c r="Z2332" s="1"/>
    </row>
    <row r="2333" ht="18.0" hidden="1" customHeight="1" outlineLevel="2">
      <c r="A2333" s="1">
        <v>5.0</v>
      </c>
      <c r="B2333" s="26" t="s">
        <v>2198</v>
      </c>
      <c r="C2333" s="1"/>
      <c r="D2333" s="1"/>
      <c r="E2333" s="14"/>
      <c r="F2333" s="15"/>
      <c r="G2333" s="16"/>
      <c r="H2333" s="11"/>
      <c r="I2333" s="7"/>
      <c r="J2333" s="7" t="str">
        <f>IFERROR(LET(_xlpm.v,
VLOOKUP($I2333,'用語辞書'!$A:$B,COLUMN('用語辞書'!B$1),FALSE),
IF(_xlpm.v=0,"",_xlpm.v)
),"")</f>
        <v/>
      </c>
      <c r="K2333" s="17"/>
      <c r="L2333" s="17" t="str">
        <f>IF(OR(COUNTIF('クラス'!$A$1:$A$1267,$B2333)&gt;0,$B2333="",$M2333=""),"",True)</f>
        <v/>
      </c>
      <c r="M2333" s="1" t="str">
        <f t="shared" si="30"/>
        <v/>
      </c>
      <c r="N2333" s="1" t="s">
        <v>29</v>
      </c>
      <c r="O2333" s="1"/>
      <c r="P2333" s="11"/>
      <c r="Q2333" s="11"/>
      <c r="R2333" s="11"/>
      <c r="S2333" s="11"/>
      <c r="T2333" s="1"/>
      <c r="U2333" s="1"/>
      <c r="V2333" s="1"/>
      <c r="W2333" s="1"/>
      <c r="X2333" s="1"/>
      <c r="Y2333" s="1"/>
      <c r="Z2333" s="1"/>
    </row>
    <row r="2334" ht="18.0" hidden="1" customHeight="1" outlineLevel="2">
      <c r="A2334" s="1">
        <v>6.0</v>
      </c>
      <c r="B2334" s="1"/>
      <c r="C2334" s="1"/>
      <c r="D2334" s="1"/>
      <c r="E2334" s="14"/>
      <c r="F2334" s="15"/>
      <c r="G2334" s="16"/>
      <c r="H2334" s="11"/>
      <c r="I2334" s="7"/>
      <c r="J2334" s="7" t="str">
        <f>IFERROR(LET(_xlpm.v,
VLOOKUP($I2334,'用語辞書'!$A:$B,COLUMN('用語辞書'!B$1),FALSE),
IF(_xlpm.v=0,"",_xlpm.v)
),"")</f>
        <v/>
      </c>
      <c r="K2334" s="17"/>
      <c r="L2334" s="17" t="str">
        <f>IF(OR(COUNTIF('クラス'!$A$1:$A$1267,$B2334)&gt;0,$B2334="",$M2334=""),"",True)</f>
        <v/>
      </c>
      <c r="M2334" s="1" t="str">
        <f t="shared" si="30"/>
        <v>存在しない</v>
      </c>
      <c r="N2334" s="1" t="s">
        <v>29</v>
      </c>
      <c r="O2334" s="1"/>
      <c r="P2334" s="11"/>
      <c r="Q2334" s="11"/>
      <c r="R2334" s="11"/>
      <c r="S2334" s="11"/>
      <c r="T2334" s="1"/>
      <c r="U2334" s="1"/>
      <c r="V2334" s="1"/>
      <c r="W2334" s="1"/>
      <c r="X2334" s="1"/>
      <c r="Y2334" s="1"/>
      <c r="Z2334" s="1"/>
    </row>
    <row r="2335" ht="18.0" hidden="1" customHeight="1" outlineLevel="2">
      <c r="A2335" s="1">
        <v>7.0</v>
      </c>
      <c r="B2335" s="26" t="s">
        <v>297</v>
      </c>
      <c r="C2335" s="1"/>
      <c r="D2335" s="1"/>
      <c r="E2335" s="14"/>
      <c r="F2335" s="15"/>
      <c r="G2335" s="16"/>
      <c r="H2335" s="11"/>
      <c r="I2335" s="7"/>
      <c r="J2335" s="7" t="str">
        <f>IFERROR(LET(_xlpm.v,
VLOOKUP($I2335,'用語辞書'!$A:$B,COLUMN('用語辞書'!B$1),FALSE),
IF(_xlpm.v=0,"",_xlpm.v)
),"")</f>
        <v/>
      </c>
      <c r="K2335" s="17"/>
      <c r="L2335" s="17" t="str">
        <f>IF(OR(COUNTIF('クラス'!$A$1:$A$1267,$B2335)&gt;0,$B2335="",$M2335=""),"",True)</f>
        <v/>
      </c>
      <c r="M2335" s="1" t="str">
        <f t="shared" si="30"/>
        <v/>
      </c>
      <c r="N2335" s="1" t="s">
        <v>29</v>
      </c>
      <c r="O2335" s="1"/>
      <c r="P2335" s="11"/>
      <c r="Q2335" s="11"/>
      <c r="R2335" s="11"/>
      <c r="S2335" s="11"/>
      <c r="T2335" s="1"/>
      <c r="U2335" s="1"/>
      <c r="V2335" s="1"/>
      <c r="W2335" s="1"/>
      <c r="X2335" s="1"/>
      <c r="Y2335" s="1"/>
      <c r="Z2335" s="1"/>
    </row>
    <row r="2336" ht="18.0" hidden="1" customHeight="1" outlineLevel="2">
      <c r="A2336" s="1">
        <v>8.0</v>
      </c>
      <c r="B2336" s="1"/>
      <c r="C2336" s="1"/>
      <c r="D2336" s="1"/>
      <c r="E2336" s="14"/>
      <c r="F2336" s="15"/>
      <c r="G2336" s="16"/>
      <c r="H2336" s="11"/>
      <c r="I2336" s="7"/>
      <c r="J2336" s="7" t="str">
        <f>IFERROR(LET(_xlpm.v,
VLOOKUP($I2336,'用語辞書'!$A:$B,COLUMN('用語辞書'!B$1),FALSE),
IF(_xlpm.v=0,"",_xlpm.v)
),"")</f>
        <v/>
      </c>
      <c r="K2336" s="17"/>
      <c r="L2336" s="17" t="str">
        <f>IF(OR(COUNTIF('クラス'!$A$1:$A$1267,$B2336)&gt;0,$B2336="",$M2336=""),"",True)</f>
        <v/>
      </c>
      <c r="M2336" s="1" t="str">
        <f t="shared" si="30"/>
        <v>存在しない</v>
      </c>
      <c r="N2336" s="1" t="s">
        <v>29</v>
      </c>
      <c r="O2336" s="1"/>
      <c r="P2336" s="11"/>
      <c r="Q2336" s="11"/>
      <c r="R2336" s="11"/>
      <c r="S2336" s="11"/>
      <c r="T2336" s="1"/>
      <c r="U2336" s="1"/>
      <c r="V2336" s="1"/>
      <c r="W2336" s="1"/>
      <c r="X2336" s="1"/>
      <c r="Y2336" s="1"/>
      <c r="Z2336" s="1"/>
    </row>
    <row r="2337" ht="18.0" hidden="1" customHeight="1" outlineLevel="2">
      <c r="A2337" s="1">
        <v>9.0</v>
      </c>
      <c r="B2337" s="26" t="s">
        <v>2199</v>
      </c>
      <c r="C2337" s="1"/>
      <c r="D2337" s="1"/>
      <c r="E2337" s="14"/>
      <c r="F2337" s="15"/>
      <c r="G2337" s="16"/>
      <c r="H2337" s="11"/>
      <c r="I2337" s="7"/>
      <c r="J2337" s="7" t="str">
        <f>IFERROR(LET(_xlpm.v,
VLOOKUP($I2337,'用語辞書'!$A:$B,COLUMN('用語辞書'!B$1),FALSE),
IF(_xlpm.v=0,"",_xlpm.v)
),"")</f>
        <v/>
      </c>
      <c r="K2337" s="17"/>
      <c r="L2337" s="17" t="str">
        <f>IF(OR(COUNTIF('クラス'!$A$1:$A$1267,$B2337)&gt;0,$B2337="",$M2337=""),"",True)</f>
        <v/>
      </c>
      <c r="M2337" s="1" t="str">
        <f t="shared" si="30"/>
        <v/>
      </c>
      <c r="N2337" s="1" t="s">
        <v>29</v>
      </c>
      <c r="O2337" s="1"/>
      <c r="P2337" s="11"/>
      <c r="Q2337" s="11"/>
      <c r="R2337" s="11"/>
      <c r="S2337" s="11"/>
      <c r="T2337" s="1"/>
      <c r="U2337" s="1"/>
      <c r="V2337" s="1"/>
      <c r="W2337" s="1"/>
      <c r="X2337" s="1"/>
      <c r="Y2337" s="1"/>
      <c r="Z2337" s="1"/>
    </row>
    <row r="2338" ht="18.0" hidden="1" customHeight="1" outlineLevel="2">
      <c r="A2338" s="1">
        <v>10.0</v>
      </c>
      <c r="B2338" s="26" t="s">
        <v>2330</v>
      </c>
      <c r="C2338" s="1"/>
      <c r="D2338" s="26" t="s">
        <v>284</v>
      </c>
      <c r="E2338" s="29" t="s">
        <v>33</v>
      </c>
      <c r="F2338" s="15"/>
      <c r="G2338" s="30">
        <v>60.0</v>
      </c>
      <c r="H2338" s="22" t="s">
        <v>2331</v>
      </c>
      <c r="I2338" s="7"/>
      <c r="J2338" s="7" t="str">
        <f>IFERROR(LET(_xlpm.v,
VLOOKUP($I2338,'用語辞書'!$A:$B,COLUMN('用語辞書'!B$1),FALSE),
IF(_xlpm.v=0,"",_xlpm.v)
),"")</f>
        <v/>
      </c>
      <c r="K2338" s="17"/>
      <c r="L2338" s="17" t="b">
        <f>IF(OR(COUNTIF('クラス'!$A$1:$A$1267,$B2338)&gt;0,$B2338="",$M2338=""),"",True)</f>
        <v>1</v>
      </c>
      <c r="M2338" s="1" t="str">
        <f t="shared" si="30"/>
        <v>存在しない</v>
      </c>
      <c r="N2338" s="1" t="s">
        <v>29</v>
      </c>
      <c r="O2338" s="1"/>
      <c r="P2338" s="11"/>
      <c r="Q2338" s="11"/>
      <c r="R2338" s="11"/>
      <c r="S2338" s="11"/>
      <c r="T2338" s="1"/>
      <c r="U2338" s="1"/>
      <c r="V2338" s="1"/>
      <c r="W2338" s="1"/>
      <c r="X2338" s="1"/>
      <c r="Y2338" s="1"/>
      <c r="Z2338" s="1"/>
    </row>
    <row r="2339" ht="18.0" customHeight="1" outlineLevel="1" collapsed="1">
      <c r="A2339" s="1"/>
      <c r="B2339" s="1"/>
      <c r="C2339" s="1"/>
      <c r="D2339" s="1"/>
      <c r="E2339" s="14"/>
      <c r="F2339" s="15"/>
      <c r="G2339" s="16"/>
      <c r="H2339" s="11"/>
      <c r="I2339" s="7"/>
      <c r="J2339" s="7" t="str">
        <f>IFERROR(LET(_xlpm.v,
VLOOKUP($I2339,'用語辞書'!$A:$B,COLUMN('用語辞書'!B$1),FALSE),
IF(_xlpm.v=0,"",_xlpm.v)
),"")</f>
        <v/>
      </c>
      <c r="K2339" s="17"/>
      <c r="L2339" s="17" t="str">
        <f>IF(OR(COUNTIF('クラス'!$A$1:$A$1267,$B2339)&gt;0,$B2339="",$M2339=""),"",True)</f>
        <v/>
      </c>
      <c r="M2339" s="1" t="str">
        <f t="shared" si="30"/>
        <v>存在しない</v>
      </c>
      <c r="N2339" s="1" t="s">
        <v>29</v>
      </c>
      <c r="O2339" s="1"/>
      <c r="P2339" s="11"/>
      <c r="Q2339" s="11"/>
      <c r="R2339" s="11"/>
      <c r="S2339" s="11"/>
      <c r="T2339" s="1"/>
      <c r="U2339" s="1"/>
      <c r="V2339" s="1"/>
      <c r="W2339" s="1"/>
      <c r="X2339" s="1"/>
      <c r="Y2339" s="1"/>
      <c r="Z2339" s="1"/>
    </row>
    <row r="2340" ht="18.0" customHeight="1" outlineLevel="1">
      <c r="A2340" s="1"/>
      <c r="B2340" s="26" t="s">
        <v>2332</v>
      </c>
      <c r="C2340" s="1"/>
      <c r="D2340" s="1"/>
      <c r="E2340" s="14"/>
      <c r="F2340" s="15"/>
      <c r="G2340" s="16"/>
      <c r="H2340" s="11"/>
      <c r="I2340" s="7"/>
      <c r="J2340" s="7" t="str">
        <f>IFERROR(LET(_xlpm.v,
VLOOKUP($I2340,'用語辞書'!$A:$B,COLUMN('用語辞書'!B$1),FALSE),
IF(_xlpm.v=0,"",_xlpm.v)
),"")</f>
        <v/>
      </c>
      <c r="K2340" s="17"/>
      <c r="L2340" s="17" t="str">
        <f>IF(OR(COUNTIF('クラス'!$A$1:$A$1267,$B2340)&gt;0,$B2340="",$M2340=""),"",True)</f>
        <v/>
      </c>
      <c r="M2340" s="1" t="str">
        <f t="shared" si="30"/>
        <v>存在しない</v>
      </c>
      <c r="N2340" s="1" t="s">
        <v>29</v>
      </c>
      <c r="O2340" s="1"/>
      <c r="P2340" s="11"/>
      <c r="Q2340" s="11"/>
      <c r="R2340" s="11"/>
      <c r="S2340" s="11"/>
      <c r="T2340" s="1"/>
      <c r="U2340" s="1"/>
      <c r="V2340" s="1"/>
      <c r="W2340" s="1"/>
      <c r="X2340" s="1"/>
      <c r="Y2340" s="1"/>
      <c r="Z2340" s="1"/>
    </row>
    <row r="2341" ht="18.0" hidden="1" customHeight="1" outlineLevel="2">
      <c r="A2341" s="1">
        <v>1.0</v>
      </c>
      <c r="B2341" s="26" t="s">
        <v>2203</v>
      </c>
      <c r="C2341" s="1"/>
      <c r="D2341" s="1"/>
      <c r="E2341" s="14"/>
      <c r="F2341" s="15"/>
      <c r="G2341" s="16"/>
      <c r="H2341" s="11"/>
      <c r="I2341" s="7"/>
      <c r="J2341" s="7" t="str">
        <f>IFERROR(LET(_xlpm.v,
VLOOKUP($I2341,'用語辞書'!$A:$B,COLUMN('用語辞書'!B$1),FALSE),
IF(_xlpm.v=0,"",_xlpm.v)
),"")</f>
        <v/>
      </c>
      <c r="K2341" s="17"/>
      <c r="L2341" s="17" t="str">
        <f>IF(OR(COUNTIF('クラス'!$A$1:$A$1267,$B2341)&gt;0,$B2341="",$M2341=""),"",True)</f>
        <v/>
      </c>
      <c r="M2341" s="1" t="str">
        <f t="shared" si="30"/>
        <v/>
      </c>
      <c r="N2341" s="1" t="s">
        <v>29</v>
      </c>
      <c r="O2341" s="1"/>
      <c r="P2341" s="11"/>
      <c r="Q2341" s="11"/>
      <c r="R2341" s="11"/>
      <c r="S2341" s="11"/>
      <c r="T2341" s="1"/>
      <c r="U2341" s="1"/>
      <c r="V2341" s="1"/>
      <c r="W2341" s="1"/>
      <c r="X2341" s="1"/>
      <c r="Y2341" s="1"/>
      <c r="Z2341" s="1"/>
    </row>
    <row r="2342" ht="18.0" hidden="1" customHeight="1" outlineLevel="2">
      <c r="A2342" s="1">
        <v>2.0</v>
      </c>
      <c r="B2342" s="1"/>
      <c r="C2342" s="1"/>
      <c r="D2342" s="1"/>
      <c r="E2342" s="14"/>
      <c r="F2342" s="15"/>
      <c r="G2342" s="16"/>
      <c r="H2342" s="11"/>
      <c r="I2342" s="7"/>
      <c r="J2342" s="7" t="str">
        <f>IFERROR(LET(_xlpm.v,
VLOOKUP($I2342,'用語辞書'!$A:$B,COLUMN('用語辞書'!B$1),FALSE),
IF(_xlpm.v=0,"",_xlpm.v)
),"")</f>
        <v/>
      </c>
      <c r="K2342" s="17"/>
      <c r="L2342" s="17" t="str">
        <f>IF(OR(COUNTIF('クラス'!$A$1:$A$1267,$B2342)&gt;0,$B2342="",$M2342=""),"",True)</f>
        <v/>
      </c>
      <c r="M2342" s="1" t="str">
        <f t="shared" si="30"/>
        <v>存在しない</v>
      </c>
      <c r="N2342" s="1" t="s">
        <v>29</v>
      </c>
      <c r="O2342" s="1"/>
      <c r="P2342" s="11"/>
      <c r="Q2342" s="11"/>
      <c r="R2342" s="11"/>
      <c r="S2342" s="11"/>
      <c r="T2342" s="1"/>
      <c r="U2342" s="1"/>
      <c r="V2342" s="1"/>
      <c r="W2342" s="1"/>
      <c r="X2342" s="1"/>
      <c r="Y2342" s="1"/>
      <c r="Z2342" s="1"/>
    </row>
    <row r="2343" ht="18.0" hidden="1" customHeight="1" outlineLevel="2">
      <c r="A2343" s="1">
        <v>3.0</v>
      </c>
      <c r="B2343" s="26" t="s">
        <v>372</v>
      </c>
      <c r="C2343" s="1"/>
      <c r="D2343" s="1"/>
      <c r="E2343" s="14"/>
      <c r="F2343" s="15"/>
      <c r="G2343" s="16"/>
      <c r="H2343" s="11"/>
      <c r="I2343" s="7"/>
      <c r="J2343" s="7" t="str">
        <f>IFERROR(LET(_xlpm.v,
VLOOKUP($I2343,'用語辞書'!$A:$B,COLUMN('用語辞書'!B$1),FALSE),
IF(_xlpm.v=0,"",_xlpm.v)
),"")</f>
        <v/>
      </c>
      <c r="K2343" s="17"/>
      <c r="L2343" s="17" t="str">
        <f>IF(OR(COUNTIF('クラス'!$A$1:$A$1267,$B2343)&gt;0,$B2343="",$M2343=""),"",True)</f>
        <v/>
      </c>
      <c r="M2343" s="1" t="str">
        <f t="shared" si="30"/>
        <v/>
      </c>
      <c r="N2343" s="1" t="s">
        <v>29</v>
      </c>
      <c r="O2343" s="1"/>
      <c r="P2343" s="11"/>
      <c r="Q2343" s="11"/>
      <c r="R2343" s="11"/>
      <c r="S2343" s="11"/>
      <c r="T2343" s="1"/>
      <c r="U2343" s="1"/>
      <c r="V2343" s="1"/>
      <c r="W2343" s="1"/>
      <c r="X2343" s="1"/>
      <c r="Y2343" s="1"/>
      <c r="Z2343" s="1"/>
    </row>
    <row r="2344" ht="18.0" hidden="1" customHeight="1" outlineLevel="2">
      <c r="A2344" s="1">
        <v>4.0</v>
      </c>
      <c r="B2344" s="1"/>
      <c r="C2344" s="1"/>
      <c r="D2344" s="1"/>
      <c r="E2344" s="14"/>
      <c r="F2344" s="15"/>
      <c r="G2344" s="16"/>
      <c r="H2344" s="11"/>
      <c r="I2344" s="7"/>
      <c r="J2344" s="7" t="str">
        <f>IFERROR(LET(_xlpm.v,
VLOOKUP($I2344,'用語辞書'!$A:$B,COLUMN('用語辞書'!B$1),FALSE),
IF(_xlpm.v=0,"",_xlpm.v)
),"")</f>
        <v/>
      </c>
      <c r="K2344" s="17"/>
      <c r="L2344" s="17" t="str">
        <f>IF(OR(COUNTIF('クラス'!$A$1:$A$1267,$B2344)&gt;0,$B2344="",$M2344=""),"",True)</f>
        <v/>
      </c>
      <c r="M2344" s="1" t="str">
        <f t="shared" si="30"/>
        <v>存在しない</v>
      </c>
      <c r="N2344" s="1" t="s">
        <v>29</v>
      </c>
      <c r="O2344" s="1"/>
      <c r="P2344" s="11"/>
      <c r="Q2344" s="11"/>
      <c r="R2344" s="11"/>
      <c r="S2344" s="11"/>
      <c r="T2344" s="1"/>
      <c r="U2344" s="1"/>
      <c r="V2344" s="1"/>
      <c r="W2344" s="1"/>
      <c r="X2344" s="1"/>
      <c r="Y2344" s="1"/>
      <c r="Z2344" s="1"/>
    </row>
    <row r="2345" ht="18.0" hidden="1" customHeight="1" outlineLevel="2">
      <c r="A2345" s="1">
        <v>5.0</v>
      </c>
      <c r="B2345" s="26" t="s">
        <v>2205</v>
      </c>
      <c r="C2345" s="1"/>
      <c r="D2345" s="1"/>
      <c r="E2345" s="14"/>
      <c r="F2345" s="15"/>
      <c r="G2345" s="16"/>
      <c r="H2345" s="11"/>
      <c r="I2345" s="7"/>
      <c r="J2345" s="7" t="str">
        <f>IFERROR(LET(_xlpm.v,
VLOOKUP($I2345,'用語辞書'!$A:$B,COLUMN('用語辞書'!B$1),FALSE),
IF(_xlpm.v=0,"",_xlpm.v)
),"")</f>
        <v/>
      </c>
      <c r="K2345" s="17"/>
      <c r="L2345" s="17" t="str">
        <f>IF(OR(COUNTIF('クラス'!$A$1:$A$1267,$B2345)&gt;0,$B2345="",$M2345=""),"",True)</f>
        <v/>
      </c>
      <c r="M2345" s="1" t="str">
        <f t="shared" si="30"/>
        <v/>
      </c>
      <c r="N2345" s="1" t="s">
        <v>29</v>
      </c>
      <c r="O2345" s="1"/>
      <c r="P2345" s="11"/>
      <c r="Q2345" s="11"/>
      <c r="R2345" s="11"/>
      <c r="S2345" s="11"/>
      <c r="T2345" s="1"/>
      <c r="U2345" s="1"/>
      <c r="V2345" s="1"/>
      <c r="W2345" s="1"/>
      <c r="X2345" s="1"/>
      <c r="Y2345" s="1"/>
      <c r="Z2345" s="1"/>
    </row>
    <row r="2346" ht="18.0" hidden="1" customHeight="1" outlineLevel="2">
      <c r="A2346" s="1">
        <v>6.0</v>
      </c>
      <c r="B2346" s="1"/>
      <c r="C2346" s="1"/>
      <c r="D2346" s="1"/>
      <c r="E2346" s="14"/>
      <c r="F2346" s="15"/>
      <c r="G2346" s="16"/>
      <c r="H2346" s="11"/>
      <c r="I2346" s="7"/>
      <c r="J2346" s="7" t="str">
        <f>IFERROR(LET(_xlpm.v,
VLOOKUP($I2346,'用語辞書'!$A:$B,COLUMN('用語辞書'!B$1),FALSE),
IF(_xlpm.v=0,"",_xlpm.v)
),"")</f>
        <v/>
      </c>
      <c r="K2346" s="17"/>
      <c r="L2346" s="17" t="str">
        <f>IF(OR(COUNTIF('クラス'!$A$1:$A$1267,$B2346)&gt;0,$B2346="",$M2346=""),"",True)</f>
        <v/>
      </c>
      <c r="M2346" s="1" t="str">
        <f t="shared" si="30"/>
        <v>存在しない</v>
      </c>
      <c r="N2346" s="1" t="s">
        <v>29</v>
      </c>
      <c r="O2346" s="1"/>
      <c r="P2346" s="11"/>
      <c r="Q2346" s="11"/>
      <c r="R2346" s="11"/>
      <c r="S2346" s="11"/>
      <c r="T2346" s="1"/>
      <c r="U2346" s="1"/>
      <c r="V2346" s="1"/>
      <c r="W2346" s="1"/>
      <c r="X2346" s="1"/>
      <c r="Y2346" s="1"/>
      <c r="Z2346" s="1"/>
    </row>
    <row r="2347" ht="18.0" hidden="1" customHeight="1" outlineLevel="2">
      <c r="A2347" s="1">
        <v>7.0</v>
      </c>
      <c r="B2347" s="26" t="s">
        <v>388</v>
      </c>
      <c r="C2347" s="1"/>
      <c r="D2347" s="1"/>
      <c r="E2347" s="14"/>
      <c r="F2347" s="15"/>
      <c r="G2347" s="16"/>
      <c r="H2347" s="11"/>
      <c r="I2347" s="7"/>
      <c r="J2347" s="7" t="str">
        <f>IFERROR(LET(_xlpm.v,
VLOOKUP($I2347,'用語辞書'!$A:$B,COLUMN('用語辞書'!B$1),FALSE),
IF(_xlpm.v=0,"",_xlpm.v)
),"")</f>
        <v/>
      </c>
      <c r="K2347" s="17"/>
      <c r="L2347" s="17" t="str">
        <f>IF(OR(COUNTIF('クラス'!$A$1:$A$1267,$B2347)&gt;0,$B2347="",$M2347=""),"",True)</f>
        <v/>
      </c>
      <c r="M2347" s="1" t="str">
        <f t="shared" si="30"/>
        <v/>
      </c>
      <c r="N2347" s="1" t="s">
        <v>29</v>
      </c>
      <c r="O2347" s="1"/>
      <c r="P2347" s="11"/>
      <c r="Q2347" s="11"/>
      <c r="R2347" s="11"/>
      <c r="S2347" s="11"/>
      <c r="T2347" s="1"/>
      <c r="U2347" s="1"/>
      <c r="V2347" s="1"/>
      <c r="W2347" s="1"/>
      <c r="X2347" s="1"/>
      <c r="Y2347" s="1"/>
      <c r="Z2347" s="1"/>
    </row>
    <row r="2348" ht="18.0" hidden="1" customHeight="1" outlineLevel="2">
      <c r="A2348" s="1">
        <v>8.0</v>
      </c>
      <c r="B2348" s="1"/>
      <c r="C2348" s="1"/>
      <c r="D2348" s="1"/>
      <c r="E2348" s="14"/>
      <c r="F2348" s="15"/>
      <c r="G2348" s="16"/>
      <c r="H2348" s="11"/>
      <c r="I2348" s="7"/>
      <c r="J2348" s="7" t="str">
        <f>IFERROR(LET(_xlpm.v,
VLOOKUP($I2348,'用語辞書'!$A:$B,COLUMN('用語辞書'!B$1),FALSE),
IF(_xlpm.v=0,"",_xlpm.v)
),"")</f>
        <v/>
      </c>
      <c r="K2348" s="17"/>
      <c r="L2348" s="17" t="str">
        <f>IF(OR(COUNTIF('クラス'!$A$1:$A$1267,$B2348)&gt;0,$B2348="",$M2348=""),"",True)</f>
        <v/>
      </c>
      <c r="M2348" s="1" t="str">
        <f t="shared" si="30"/>
        <v>存在しない</v>
      </c>
      <c r="N2348" s="1" t="s">
        <v>29</v>
      </c>
      <c r="O2348" s="1"/>
      <c r="P2348" s="11"/>
      <c r="Q2348" s="11"/>
      <c r="R2348" s="11"/>
      <c r="S2348" s="11"/>
      <c r="T2348" s="1"/>
      <c r="U2348" s="1"/>
      <c r="V2348" s="1"/>
      <c r="W2348" s="1"/>
      <c r="X2348" s="1"/>
      <c r="Y2348" s="1"/>
      <c r="Z2348" s="1"/>
    </row>
    <row r="2349" ht="18.0" hidden="1" customHeight="1" outlineLevel="2">
      <c r="A2349" s="1">
        <v>9.0</v>
      </c>
      <c r="B2349" s="26" t="s">
        <v>2206</v>
      </c>
      <c r="C2349" s="1"/>
      <c r="D2349" s="1"/>
      <c r="E2349" s="14"/>
      <c r="F2349" s="15"/>
      <c r="G2349" s="16"/>
      <c r="H2349" s="11"/>
      <c r="I2349" s="7"/>
      <c r="J2349" s="7" t="str">
        <f>IFERROR(LET(_xlpm.v,
VLOOKUP($I2349,'用語辞書'!$A:$B,COLUMN('用語辞書'!B$1),FALSE),
IF(_xlpm.v=0,"",_xlpm.v)
),"")</f>
        <v/>
      </c>
      <c r="K2349" s="17"/>
      <c r="L2349" s="17" t="str">
        <f>IF(OR(COUNTIF('クラス'!$A$1:$A$1267,$B2349)&gt;0,$B2349="",$M2349=""),"",True)</f>
        <v/>
      </c>
      <c r="M2349" s="1" t="str">
        <f t="shared" si="30"/>
        <v/>
      </c>
      <c r="N2349" s="1" t="s">
        <v>29</v>
      </c>
      <c r="O2349" s="1"/>
      <c r="P2349" s="11"/>
      <c r="Q2349" s="11"/>
      <c r="R2349" s="11"/>
      <c r="S2349" s="11"/>
      <c r="T2349" s="1"/>
      <c r="U2349" s="1"/>
      <c r="V2349" s="1"/>
      <c r="W2349" s="1"/>
      <c r="X2349" s="1"/>
      <c r="Y2349" s="1"/>
      <c r="Z2349" s="1"/>
    </row>
    <row r="2350" ht="18.0" hidden="1" customHeight="1" outlineLevel="2">
      <c r="A2350" s="1">
        <v>10.0</v>
      </c>
      <c r="B2350" s="26" t="s">
        <v>2333</v>
      </c>
      <c r="C2350" s="1"/>
      <c r="D2350" s="26" t="s">
        <v>370</v>
      </c>
      <c r="E2350" s="29" t="s">
        <v>33</v>
      </c>
      <c r="F2350" s="15"/>
      <c r="G2350" s="30">
        <v>60.0</v>
      </c>
      <c r="H2350" s="22" t="s">
        <v>2334</v>
      </c>
      <c r="I2350" s="7"/>
      <c r="J2350" s="7" t="str">
        <f>IFERROR(LET(_xlpm.v,
VLOOKUP($I2350,'用語辞書'!$A:$B,COLUMN('用語辞書'!B$1),FALSE),
IF(_xlpm.v=0,"",_xlpm.v)
),"")</f>
        <v/>
      </c>
      <c r="K2350" s="17"/>
      <c r="L2350" s="17" t="b">
        <f>IF(OR(COUNTIF('クラス'!$A$1:$A$1267,$B2350)&gt;0,$B2350="",$M2350=""),"",True)</f>
        <v>1</v>
      </c>
      <c r="M2350" s="1" t="str">
        <f t="shared" si="30"/>
        <v>存在しない</v>
      </c>
      <c r="N2350" s="1" t="s">
        <v>29</v>
      </c>
      <c r="O2350" s="1"/>
      <c r="P2350" s="11"/>
      <c r="Q2350" s="11"/>
      <c r="R2350" s="11"/>
      <c r="S2350" s="11"/>
      <c r="T2350" s="1"/>
      <c r="U2350" s="1"/>
      <c r="V2350" s="1"/>
      <c r="W2350" s="1"/>
      <c r="X2350" s="1"/>
      <c r="Y2350" s="1"/>
      <c r="Z2350" s="1"/>
    </row>
    <row r="2351" ht="18.0" customHeight="1" outlineLevel="1" collapsed="1">
      <c r="A2351" s="1"/>
      <c r="B2351" s="1"/>
      <c r="C2351" s="1"/>
      <c r="D2351" s="1"/>
      <c r="E2351" s="14"/>
      <c r="F2351" s="15"/>
      <c r="G2351" s="16"/>
      <c r="H2351" s="11"/>
      <c r="I2351" s="7"/>
      <c r="J2351" s="7" t="str">
        <f>IFERROR(LET(_xlpm.v,
VLOOKUP($I2351,'用語辞書'!$A:$B,COLUMN('用語辞書'!B$1),FALSE),
IF(_xlpm.v=0,"",_xlpm.v)
),"")</f>
        <v/>
      </c>
      <c r="K2351" s="17"/>
      <c r="L2351" s="17" t="str">
        <f>IF(OR(COUNTIF('クラス'!$A$1:$A$1267,$B2351)&gt;0,$B2351="",$M2351=""),"",True)</f>
        <v/>
      </c>
      <c r="M2351" s="1" t="str">
        <f t="shared" si="30"/>
        <v>存在しない</v>
      </c>
      <c r="N2351" s="1" t="s">
        <v>29</v>
      </c>
      <c r="O2351" s="1"/>
      <c r="P2351" s="11"/>
      <c r="Q2351" s="11"/>
      <c r="R2351" s="11"/>
      <c r="S2351" s="11"/>
      <c r="T2351" s="1"/>
      <c r="U2351" s="1"/>
      <c r="V2351" s="1"/>
      <c r="W2351" s="1"/>
      <c r="X2351" s="1"/>
      <c r="Y2351" s="1"/>
      <c r="Z2351" s="1"/>
    </row>
    <row r="2352" ht="18.0" customHeight="1" outlineLevel="1">
      <c r="A2352" s="1"/>
      <c r="B2352" s="26" t="s">
        <v>2335</v>
      </c>
      <c r="C2352" s="1"/>
      <c r="D2352" s="1"/>
      <c r="E2352" s="14"/>
      <c r="F2352" s="15"/>
      <c r="G2352" s="16"/>
      <c r="H2352" s="11"/>
      <c r="I2352" s="7"/>
      <c r="J2352" s="7" t="str">
        <f>IFERROR(LET(_xlpm.v,
VLOOKUP($I2352,'用語辞書'!$A:$B,COLUMN('用語辞書'!B$1),FALSE),
IF(_xlpm.v=0,"",_xlpm.v)
),"")</f>
        <v/>
      </c>
      <c r="K2352" s="17"/>
      <c r="L2352" s="17" t="str">
        <f>IF(OR(COUNTIF('クラス'!$A$1:$A$1267,$B2352)&gt;0,$B2352="",$M2352=""),"",True)</f>
        <v/>
      </c>
      <c r="M2352" s="1" t="str">
        <f t="shared" si="30"/>
        <v>存在しない</v>
      </c>
      <c r="N2352" s="1" t="s">
        <v>29</v>
      </c>
      <c r="O2352" s="1"/>
      <c r="P2352" s="11"/>
      <c r="Q2352" s="11"/>
      <c r="R2352" s="11"/>
      <c r="S2352" s="11"/>
      <c r="T2352" s="1"/>
      <c r="U2352" s="1"/>
      <c r="V2352" s="1"/>
      <c r="W2352" s="1"/>
      <c r="X2352" s="1"/>
      <c r="Y2352" s="1"/>
      <c r="Z2352" s="1"/>
    </row>
    <row r="2353" ht="18.0" hidden="1" customHeight="1" outlineLevel="2">
      <c r="A2353" s="1">
        <v>1.0</v>
      </c>
      <c r="B2353" s="26" t="s">
        <v>2210</v>
      </c>
      <c r="C2353" s="1"/>
      <c r="D2353" s="1"/>
      <c r="E2353" s="14"/>
      <c r="F2353" s="15"/>
      <c r="G2353" s="16"/>
      <c r="H2353" s="11"/>
      <c r="I2353" s="7"/>
      <c r="J2353" s="7" t="str">
        <f>IFERROR(LET(_xlpm.v,
VLOOKUP($I2353,'用語辞書'!$A:$B,COLUMN('用語辞書'!B$1),FALSE),
IF(_xlpm.v=0,"",_xlpm.v)
),"")</f>
        <v/>
      </c>
      <c r="K2353" s="17"/>
      <c r="L2353" s="17" t="str">
        <f>IF(OR(COUNTIF('クラス'!$A$1:$A$1267,$B2353)&gt;0,$B2353="",$M2353=""),"",True)</f>
        <v/>
      </c>
      <c r="M2353" s="1" t="str">
        <f t="shared" si="30"/>
        <v/>
      </c>
      <c r="N2353" s="1" t="s">
        <v>29</v>
      </c>
      <c r="O2353" s="1"/>
      <c r="P2353" s="11"/>
      <c r="Q2353" s="11"/>
      <c r="R2353" s="11"/>
      <c r="S2353" s="11"/>
      <c r="T2353" s="1"/>
      <c r="U2353" s="1"/>
      <c r="V2353" s="1"/>
      <c r="W2353" s="1"/>
      <c r="X2353" s="1"/>
      <c r="Y2353" s="1"/>
      <c r="Z2353" s="1"/>
    </row>
    <row r="2354" ht="18.0" hidden="1" customHeight="1" outlineLevel="2">
      <c r="A2354" s="1">
        <v>2.0</v>
      </c>
      <c r="B2354" s="1"/>
      <c r="C2354" s="1"/>
      <c r="D2354" s="1"/>
      <c r="E2354" s="14"/>
      <c r="F2354" s="15"/>
      <c r="G2354" s="16"/>
      <c r="H2354" s="11"/>
      <c r="I2354" s="7"/>
      <c r="J2354" s="7" t="str">
        <f>IFERROR(LET(_xlpm.v,
VLOOKUP($I2354,'用語辞書'!$A:$B,COLUMN('用語辞書'!B$1),FALSE),
IF(_xlpm.v=0,"",_xlpm.v)
),"")</f>
        <v/>
      </c>
      <c r="K2354" s="17"/>
      <c r="L2354" s="17" t="str">
        <f>IF(OR(COUNTIF('クラス'!$A$1:$A$1267,$B2354)&gt;0,$B2354="",$M2354=""),"",True)</f>
        <v/>
      </c>
      <c r="M2354" s="1" t="str">
        <f t="shared" si="30"/>
        <v>存在しない</v>
      </c>
      <c r="N2354" s="1" t="s">
        <v>29</v>
      </c>
      <c r="O2354" s="1"/>
      <c r="P2354" s="11"/>
      <c r="Q2354" s="11"/>
      <c r="R2354" s="11"/>
      <c r="S2354" s="11"/>
      <c r="T2354" s="1"/>
      <c r="U2354" s="1"/>
      <c r="V2354" s="1"/>
      <c r="W2354" s="1"/>
      <c r="X2354" s="1"/>
      <c r="Y2354" s="1"/>
      <c r="Z2354" s="1"/>
    </row>
    <row r="2355" ht="18.0" hidden="1" customHeight="1" outlineLevel="2">
      <c r="A2355" s="1">
        <v>3.0</v>
      </c>
      <c r="B2355" s="26" t="s">
        <v>516</v>
      </c>
      <c r="C2355" s="1"/>
      <c r="D2355" s="1"/>
      <c r="E2355" s="14"/>
      <c r="F2355" s="15"/>
      <c r="G2355" s="16"/>
      <c r="H2355" s="11"/>
      <c r="I2355" s="7"/>
      <c r="J2355" s="7" t="str">
        <f>IFERROR(LET(_xlpm.v,
VLOOKUP($I2355,'用語辞書'!$A:$B,COLUMN('用語辞書'!B$1),FALSE),
IF(_xlpm.v=0,"",_xlpm.v)
),"")</f>
        <v/>
      </c>
      <c r="K2355" s="17"/>
      <c r="L2355" s="17" t="str">
        <f>IF(OR(COUNTIF('クラス'!$A$1:$A$1267,$B2355)&gt;0,$B2355="",$M2355=""),"",True)</f>
        <v/>
      </c>
      <c r="M2355" s="1" t="str">
        <f t="shared" si="30"/>
        <v/>
      </c>
      <c r="N2355" s="1" t="s">
        <v>29</v>
      </c>
      <c r="O2355" s="1"/>
      <c r="P2355" s="11"/>
      <c r="Q2355" s="11"/>
      <c r="R2355" s="11"/>
      <c r="S2355" s="11"/>
      <c r="T2355" s="1"/>
      <c r="U2355" s="1"/>
      <c r="V2355" s="1"/>
      <c r="W2355" s="1"/>
      <c r="X2355" s="1"/>
      <c r="Y2355" s="1"/>
      <c r="Z2355" s="1"/>
    </row>
    <row r="2356" ht="18.0" hidden="1" customHeight="1" outlineLevel="2">
      <c r="A2356" s="1">
        <v>4.0</v>
      </c>
      <c r="B2356" s="1"/>
      <c r="C2356" s="1"/>
      <c r="D2356" s="1"/>
      <c r="E2356" s="14"/>
      <c r="F2356" s="15"/>
      <c r="G2356" s="16"/>
      <c r="H2356" s="11"/>
      <c r="I2356" s="7"/>
      <c r="J2356" s="7" t="str">
        <f>IFERROR(LET(_xlpm.v,
VLOOKUP($I2356,'用語辞書'!$A:$B,COLUMN('用語辞書'!B$1),FALSE),
IF(_xlpm.v=0,"",_xlpm.v)
),"")</f>
        <v/>
      </c>
      <c r="K2356" s="17"/>
      <c r="L2356" s="17" t="str">
        <f>IF(OR(COUNTIF('クラス'!$A$1:$A$1267,$B2356)&gt;0,$B2356="",$M2356=""),"",True)</f>
        <v/>
      </c>
      <c r="M2356" s="1" t="str">
        <f t="shared" si="30"/>
        <v>存在しない</v>
      </c>
      <c r="N2356" s="1" t="s">
        <v>29</v>
      </c>
      <c r="O2356" s="1"/>
      <c r="P2356" s="11"/>
      <c r="Q2356" s="11"/>
      <c r="R2356" s="11"/>
      <c r="S2356" s="11"/>
      <c r="T2356" s="1"/>
      <c r="U2356" s="1"/>
      <c r="V2356" s="1"/>
      <c r="W2356" s="1"/>
      <c r="X2356" s="1"/>
      <c r="Y2356" s="1"/>
      <c r="Z2356" s="1"/>
    </row>
    <row r="2357" ht="18.0" hidden="1" customHeight="1" outlineLevel="2">
      <c r="A2357" s="1">
        <v>5.0</v>
      </c>
      <c r="B2357" s="26" t="s">
        <v>2212</v>
      </c>
      <c r="C2357" s="1"/>
      <c r="D2357" s="1"/>
      <c r="E2357" s="14"/>
      <c r="F2357" s="15"/>
      <c r="G2357" s="16"/>
      <c r="H2357" s="11"/>
      <c r="I2357" s="7"/>
      <c r="J2357" s="7" t="str">
        <f>IFERROR(LET(_xlpm.v,
VLOOKUP($I2357,'用語辞書'!$A:$B,COLUMN('用語辞書'!B$1),FALSE),
IF(_xlpm.v=0,"",_xlpm.v)
),"")</f>
        <v/>
      </c>
      <c r="K2357" s="17"/>
      <c r="L2357" s="17" t="str">
        <f>IF(OR(COUNTIF('クラス'!$A$1:$A$1267,$B2357)&gt;0,$B2357="",$M2357=""),"",True)</f>
        <v/>
      </c>
      <c r="M2357" s="1" t="str">
        <f t="shared" si="30"/>
        <v/>
      </c>
      <c r="N2357" s="1" t="s">
        <v>29</v>
      </c>
      <c r="O2357" s="1"/>
      <c r="P2357" s="11"/>
      <c r="Q2357" s="11"/>
      <c r="R2357" s="11"/>
      <c r="S2357" s="11"/>
      <c r="T2357" s="1"/>
      <c r="U2357" s="1"/>
      <c r="V2357" s="1"/>
      <c r="W2357" s="1"/>
      <c r="X2357" s="1"/>
      <c r="Y2357" s="1"/>
      <c r="Z2357" s="1"/>
    </row>
    <row r="2358" ht="18.0" hidden="1" customHeight="1" outlineLevel="2">
      <c r="A2358" s="1">
        <v>6.0</v>
      </c>
      <c r="B2358" s="1"/>
      <c r="C2358" s="1"/>
      <c r="D2358" s="1"/>
      <c r="E2358" s="14"/>
      <c r="F2358" s="15"/>
      <c r="G2358" s="16"/>
      <c r="H2358" s="11"/>
      <c r="I2358" s="7"/>
      <c r="J2358" s="7" t="str">
        <f>IFERROR(LET(_xlpm.v,
VLOOKUP($I2358,'用語辞書'!$A:$B,COLUMN('用語辞書'!B$1),FALSE),
IF(_xlpm.v=0,"",_xlpm.v)
),"")</f>
        <v/>
      </c>
      <c r="K2358" s="17"/>
      <c r="L2358" s="17" t="str">
        <f>IF(OR(COUNTIF('クラス'!$A$1:$A$1267,$B2358)&gt;0,$B2358="",$M2358=""),"",True)</f>
        <v/>
      </c>
      <c r="M2358" s="1" t="str">
        <f t="shared" si="30"/>
        <v>存在しない</v>
      </c>
      <c r="N2358" s="1" t="s">
        <v>29</v>
      </c>
      <c r="O2358" s="1"/>
      <c r="P2358" s="11"/>
      <c r="Q2358" s="11"/>
      <c r="R2358" s="11"/>
      <c r="S2358" s="11"/>
      <c r="T2358" s="1"/>
      <c r="U2358" s="1"/>
      <c r="V2358" s="1"/>
      <c r="W2358" s="1"/>
      <c r="X2358" s="1"/>
      <c r="Y2358" s="1"/>
      <c r="Z2358" s="1"/>
    </row>
    <row r="2359" ht="18.0" hidden="1" customHeight="1" outlineLevel="2">
      <c r="A2359" s="1">
        <v>7.0</v>
      </c>
      <c r="B2359" s="26" t="s">
        <v>526</v>
      </c>
      <c r="C2359" s="1"/>
      <c r="D2359" s="1"/>
      <c r="E2359" s="14"/>
      <c r="F2359" s="15"/>
      <c r="G2359" s="16"/>
      <c r="H2359" s="11"/>
      <c r="I2359" s="7"/>
      <c r="J2359" s="7" t="str">
        <f>IFERROR(LET(_xlpm.v,
VLOOKUP($I2359,'用語辞書'!$A:$B,COLUMN('用語辞書'!B$1),FALSE),
IF(_xlpm.v=0,"",_xlpm.v)
),"")</f>
        <v/>
      </c>
      <c r="K2359" s="17"/>
      <c r="L2359" s="17" t="str">
        <f>IF(OR(COUNTIF('クラス'!$A$1:$A$1267,$B2359)&gt;0,$B2359="",$M2359=""),"",True)</f>
        <v/>
      </c>
      <c r="M2359" s="1" t="str">
        <f t="shared" si="30"/>
        <v/>
      </c>
      <c r="N2359" s="1" t="s">
        <v>29</v>
      </c>
      <c r="O2359" s="1"/>
      <c r="P2359" s="11"/>
      <c r="Q2359" s="11"/>
      <c r="R2359" s="11"/>
      <c r="S2359" s="11"/>
      <c r="T2359" s="1"/>
      <c r="U2359" s="1"/>
      <c r="V2359" s="1"/>
      <c r="W2359" s="1"/>
      <c r="X2359" s="1"/>
      <c r="Y2359" s="1"/>
      <c r="Z2359" s="1"/>
    </row>
    <row r="2360" ht="18.0" hidden="1" customHeight="1" outlineLevel="2">
      <c r="A2360" s="1">
        <v>8.0</v>
      </c>
      <c r="B2360" s="1"/>
      <c r="C2360" s="1"/>
      <c r="D2360" s="1"/>
      <c r="E2360" s="14"/>
      <c r="F2360" s="15"/>
      <c r="G2360" s="16"/>
      <c r="H2360" s="11"/>
      <c r="I2360" s="7"/>
      <c r="J2360" s="7" t="str">
        <f>IFERROR(LET(_xlpm.v,
VLOOKUP($I2360,'用語辞書'!$A:$B,COLUMN('用語辞書'!B$1),FALSE),
IF(_xlpm.v=0,"",_xlpm.v)
),"")</f>
        <v/>
      </c>
      <c r="K2360" s="17"/>
      <c r="L2360" s="17" t="str">
        <f>IF(OR(COUNTIF('クラス'!$A$1:$A$1267,$B2360)&gt;0,$B2360="",$M2360=""),"",True)</f>
        <v/>
      </c>
      <c r="M2360" s="1" t="str">
        <f t="shared" si="30"/>
        <v>存在しない</v>
      </c>
      <c r="N2360" s="1" t="s">
        <v>29</v>
      </c>
      <c r="O2360" s="1"/>
      <c r="P2360" s="11"/>
      <c r="Q2360" s="11"/>
      <c r="R2360" s="11"/>
      <c r="S2360" s="11"/>
      <c r="T2360" s="1"/>
      <c r="U2360" s="1"/>
      <c r="V2360" s="1"/>
      <c r="W2360" s="1"/>
      <c r="X2360" s="1"/>
      <c r="Y2360" s="1"/>
      <c r="Z2360" s="1"/>
    </row>
    <row r="2361" ht="18.0" hidden="1" customHeight="1" outlineLevel="2">
      <c r="A2361" s="1">
        <v>9.0</v>
      </c>
      <c r="B2361" s="26" t="s">
        <v>2213</v>
      </c>
      <c r="C2361" s="1"/>
      <c r="D2361" s="1"/>
      <c r="E2361" s="14"/>
      <c r="F2361" s="15"/>
      <c r="G2361" s="16"/>
      <c r="H2361" s="11"/>
      <c r="I2361" s="7"/>
      <c r="J2361" s="7" t="str">
        <f>IFERROR(LET(_xlpm.v,
VLOOKUP($I2361,'用語辞書'!$A:$B,COLUMN('用語辞書'!B$1),FALSE),
IF(_xlpm.v=0,"",_xlpm.v)
),"")</f>
        <v/>
      </c>
      <c r="K2361" s="17"/>
      <c r="L2361" s="17" t="str">
        <f>IF(OR(COUNTIF('クラス'!$A$1:$A$1267,$B2361)&gt;0,$B2361="",$M2361=""),"",True)</f>
        <v/>
      </c>
      <c r="M2361" s="1" t="str">
        <f t="shared" si="30"/>
        <v/>
      </c>
      <c r="N2361" s="1" t="s">
        <v>29</v>
      </c>
      <c r="O2361" s="1"/>
      <c r="P2361" s="11"/>
      <c r="Q2361" s="11"/>
      <c r="R2361" s="11"/>
      <c r="S2361" s="11"/>
      <c r="T2361" s="1"/>
      <c r="U2361" s="1"/>
      <c r="V2361" s="1"/>
      <c r="W2361" s="1"/>
      <c r="X2361" s="1"/>
      <c r="Y2361" s="1"/>
      <c r="Z2361" s="1"/>
    </row>
    <row r="2362" ht="18.0" hidden="1" customHeight="1" outlineLevel="2">
      <c r="A2362" s="1">
        <v>10.0</v>
      </c>
      <c r="B2362" s="26" t="s">
        <v>2336</v>
      </c>
      <c r="C2362" s="1"/>
      <c r="D2362" s="26" t="s">
        <v>518</v>
      </c>
      <c r="E2362" s="29" t="s">
        <v>33</v>
      </c>
      <c r="F2362" s="15"/>
      <c r="G2362" s="30">
        <v>60.0</v>
      </c>
      <c r="H2362" s="22" t="s">
        <v>2337</v>
      </c>
      <c r="I2362" s="7"/>
      <c r="J2362" s="7" t="str">
        <f>IFERROR(LET(_xlpm.v,
VLOOKUP($I2362,'用語辞書'!$A:$B,COLUMN('用語辞書'!B$1),FALSE),
IF(_xlpm.v=0,"",_xlpm.v)
),"")</f>
        <v/>
      </c>
      <c r="K2362" s="17"/>
      <c r="L2362" s="17" t="b">
        <f>IF(OR(COUNTIF('クラス'!$A$1:$A$1267,$B2362)&gt;0,$B2362="",$M2362=""),"",True)</f>
        <v>1</v>
      </c>
      <c r="M2362" s="1" t="str">
        <f t="shared" si="30"/>
        <v>存在しない</v>
      </c>
      <c r="N2362" s="1" t="s">
        <v>29</v>
      </c>
      <c r="O2362" s="1"/>
      <c r="P2362" s="11"/>
      <c r="Q2362" s="11"/>
      <c r="R2362" s="11"/>
      <c r="S2362" s="11"/>
      <c r="T2362" s="1"/>
      <c r="U2362" s="1"/>
      <c r="V2362" s="1"/>
      <c r="W2362" s="1"/>
      <c r="X2362" s="1"/>
      <c r="Y2362" s="1"/>
      <c r="Z2362" s="1"/>
    </row>
    <row r="2363" ht="18.0" customHeight="1" outlineLevel="1" collapsed="1">
      <c r="A2363" s="1"/>
      <c r="B2363" s="1"/>
      <c r="C2363" s="1"/>
      <c r="D2363" s="1"/>
      <c r="E2363" s="14"/>
      <c r="F2363" s="15"/>
      <c r="G2363" s="16"/>
      <c r="H2363" s="11"/>
      <c r="I2363" s="7"/>
      <c r="J2363" s="7" t="str">
        <f>IFERROR(LET(_xlpm.v,
VLOOKUP($I2363,'用語辞書'!$A:$B,COLUMN('用語辞書'!B$1),FALSE),
IF(_xlpm.v=0,"",_xlpm.v)
),"")</f>
        <v/>
      </c>
      <c r="K2363" s="17"/>
      <c r="L2363" s="17" t="str">
        <f>IF(OR(COUNTIF('クラス'!$A$1:$A$1267,$B2363)&gt;0,$B2363="",$M2363=""),"",True)</f>
        <v/>
      </c>
      <c r="M2363" s="1" t="str">
        <f t="shared" si="30"/>
        <v>存在しない</v>
      </c>
      <c r="N2363" s="1" t="s">
        <v>29</v>
      </c>
      <c r="O2363" s="1"/>
      <c r="P2363" s="11"/>
      <c r="Q2363" s="11"/>
      <c r="R2363" s="11"/>
      <c r="S2363" s="11"/>
      <c r="T2363" s="1"/>
      <c r="U2363" s="1"/>
      <c r="V2363" s="1"/>
      <c r="W2363" s="1"/>
      <c r="X2363" s="1"/>
      <c r="Y2363" s="1"/>
      <c r="Z2363" s="1"/>
    </row>
    <row r="2364" ht="18.0" customHeight="1" outlineLevel="1">
      <c r="A2364" s="1"/>
      <c r="B2364" s="26" t="s">
        <v>2338</v>
      </c>
      <c r="C2364" s="1"/>
      <c r="D2364" s="1"/>
      <c r="E2364" s="14"/>
      <c r="F2364" s="15"/>
      <c r="G2364" s="16"/>
      <c r="H2364" s="11"/>
      <c r="I2364" s="7"/>
      <c r="J2364" s="7" t="str">
        <f>IFERROR(LET(_xlpm.v,
VLOOKUP($I2364,'用語辞書'!$A:$B,COLUMN('用語辞書'!B$1),FALSE),
IF(_xlpm.v=0,"",_xlpm.v)
),"")</f>
        <v/>
      </c>
      <c r="K2364" s="17"/>
      <c r="L2364" s="17" t="str">
        <f>IF(OR(COUNTIF('クラス'!$A$1:$A$1267,$B2364)&gt;0,$B2364="",$M2364=""),"",True)</f>
        <v/>
      </c>
      <c r="M2364" s="1" t="str">
        <f t="shared" si="30"/>
        <v>存在しない</v>
      </c>
      <c r="N2364" s="1" t="s">
        <v>29</v>
      </c>
      <c r="O2364" s="1"/>
      <c r="P2364" s="11"/>
      <c r="Q2364" s="11"/>
      <c r="R2364" s="11"/>
      <c r="S2364" s="11"/>
      <c r="T2364" s="1"/>
      <c r="U2364" s="1"/>
      <c r="V2364" s="1"/>
      <c r="W2364" s="1"/>
      <c r="X2364" s="1"/>
      <c r="Y2364" s="1"/>
      <c r="Z2364" s="1"/>
    </row>
    <row r="2365" ht="18.0" hidden="1" customHeight="1" outlineLevel="2">
      <c r="A2365" s="1">
        <v>1.0</v>
      </c>
      <c r="B2365" s="26" t="s">
        <v>2217</v>
      </c>
      <c r="C2365" s="1"/>
      <c r="D2365" s="1"/>
      <c r="E2365" s="14"/>
      <c r="F2365" s="15"/>
      <c r="G2365" s="16"/>
      <c r="H2365" s="11"/>
      <c r="I2365" s="7"/>
      <c r="J2365" s="7" t="str">
        <f>IFERROR(LET(_xlpm.v,
VLOOKUP($I2365,'用語辞書'!$A:$B,COLUMN('用語辞書'!B$1),FALSE),
IF(_xlpm.v=0,"",_xlpm.v)
),"")</f>
        <v/>
      </c>
      <c r="K2365" s="17"/>
      <c r="L2365" s="17" t="str">
        <f>IF(OR(COUNTIF('クラス'!$A$1:$A$1267,$B2365)&gt;0,$B2365="",$M2365=""),"",True)</f>
        <v/>
      </c>
      <c r="M2365" s="1" t="str">
        <f t="shared" si="30"/>
        <v/>
      </c>
      <c r="N2365" s="1" t="s">
        <v>29</v>
      </c>
      <c r="O2365" s="1"/>
      <c r="P2365" s="11"/>
      <c r="Q2365" s="11"/>
      <c r="R2365" s="11"/>
      <c r="S2365" s="11"/>
      <c r="T2365" s="1"/>
      <c r="U2365" s="1"/>
      <c r="V2365" s="1"/>
      <c r="W2365" s="1"/>
      <c r="X2365" s="1"/>
      <c r="Y2365" s="1"/>
      <c r="Z2365" s="1"/>
    </row>
    <row r="2366" ht="18.0" hidden="1" customHeight="1" outlineLevel="2">
      <c r="A2366" s="1">
        <v>2.0</v>
      </c>
      <c r="B2366" s="1"/>
      <c r="C2366" s="1"/>
      <c r="D2366" s="1"/>
      <c r="E2366" s="14"/>
      <c r="F2366" s="15"/>
      <c r="G2366" s="16"/>
      <c r="H2366" s="11"/>
      <c r="I2366" s="7"/>
      <c r="J2366" s="7" t="str">
        <f>IFERROR(LET(_xlpm.v,
VLOOKUP($I2366,'用語辞書'!$A:$B,COLUMN('用語辞書'!B$1),FALSE),
IF(_xlpm.v=0,"",_xlpm.v)
),"")</f>
        <v/>
      </c>
      <c r="K2366" s="17"/>
      <c r="L2366" s="17" t="str">
        <f>IF(OR(COUNTIF('クラス'!$A$1:$A$1267,$B2366)&gt;0,$B2366="",$M2366=""),"",True)</f>
        <v/>
      </c>
      <c r="M2366" s="1" t="str">
        <f t="shared" si="30"/>
        <v>存在しない</v>
      </c>
      <c r="N2366" s="1" t="s">
        <v>29</v>
      </c>
      <c r="O2366" s="1"/>
      <c r="P2366" s="11"/>
      <c r="Q2366" s="11"/>
      <c r="R2366" s="11"/>
      <c r="S2366" s="11"/>
      <c r="T2366" s="1"/>
      <c r="U2366" s="1"/>
      <c r="V2366" s="1"/>
      <c r="W2366" s="1"/>
      <c r="X2366" s="1"/>
      <c r="Y2366" s="1"/>
      <c r="Z2366" s="1"/>
    </row>
    <row r="2367" ht="18.0" hidden="1" customHeight="1" outlineLevel="2">
      <c r="A2367" s="1">
        <v>3.0</v>
      </c>
      <c r="B2367" s="26" t="s">
        <v>646</v>
      </c>
      <c r="C2367" s="1"/>
      <c r="D2367" s="1"/>
      <c r="E2367" s="14"/>
      <c r="F2367" s="15"/>
      <c r="G2367" s="16"/>
      <c r="H2367" s="11"/>
      <c r="I2367" s="7"/>
      <c r="J2367" s="7" t="str">
        <f>IFERROR(LET(_xlpm.v,
VLOOKUP($I2367,'用語辞書'!$A:$B,COLUMN('用語辞書'!B$1),FALSE),
IF(_xlpm.v=0,"",_xlpm.v)
),"")</f>
        <v/>
      </c>
      <c r="K2367" s="17"/>
      <c r="L2367" s="17" t="str">
        <f>IF(OR(COUNTIF('クラス'!$A$1:$A$1267,$B2367)&gt;0,$B2367="",$M2367=""),"",True)</f>
        <v/>
      </c>
      <c r="M2367" s="1" t="str">
        <f t="shared" si="30"/>
        <v/>
      </c>
      <c r="N2367" s="1" t="s">
        <v>29</v>
      </c>
      <c r="O2367" s="1"/>
      <c r="P2367" s="11"/>
      <c r="Q2367" s="11"/>
      <c r="R2367" s="11"/>
      <c r="S2367" s="11"/>
      <c r="T2367" s="1"/>
      <c r="U2367" s="1"/>
      <c r="V2367" s="1"/>
      <c r="W2367" s="1"/>
      <c r="X2367" s="1"/>
      <c r="Y2367" s="1"/>
      <c r="Z2367" s="1"/>
    </row>
    <row r="2368" ht="18.0" hidden="1" customHeight="1" outlineLevel="2">
      <c r="A2368" s="1">
        <v>4.0</v>
      </c>
      <c r="B2368" s="1"/>
      <c r="C2368" s="1"/>
      <c r="D2368" s="1"/>
      <c r="E2368" s="14"/>
      <c r="F2368" s="15"/>
      <c r="G2368" s="16"/>
      <c r="H2368" s="11"/>
      <c r="I2368" s="7"/>
      <c r="J2368" s="7" t="str">
        <f>IFERROR(LET(_xlpm.v,
VLOOKUP($I2368,'用語辞書'!$A:$B,COLUMN('用語辞書'!B$1),FALSE),
IF(_xlpm.v=0,"",_xlpm.v)
),"")</f>
        <v/>
      </c>
      <c r="K2368" s="17"/>
      <c r="L2368" s="17" t="str">
        <f>IF(OR(COUNTIF('クラス'!$A$1:$A$1267,$B2368)&gt;0,$B2368="",$M2368=""),"",True)</f>
        <v/>
      </c>
      <c r="M2368" s="1" t="str">
        <f t="shared" si="30"/>
        <v>存在しない</v>
      </c>
      <c r="N2368" s="1" t="s">
        <v>29</v>
      </c>
      <c r="O2368" s="1"/>
      <c r="P2368" s="11"/>
      <c r="Q2368" s="11"/>
      <c r="R2368" s="11"/>
      <c r="S2368" s="11"/>
      <c r="T2368" s="1"/>
      <c r="U2368" s="1"/>
      <c r="V2368" s="1"/>
      <c r="W2368" s="1"/>
      <c r="X2368" s="1"/>
      <c r="Y2368" s="1"/>
      <c r="Z2368" s="1"/>
    </row>
    <row r="2369" ht="18.0" hidden="1" customHeight="1" outlineLevel="2">
      <c r="A2369" s="1">
        <v>5.0</v>
      </c>
      <c r="B2369" s="26" t="s">
        <v>2219</v>
      </c>
      <c r="C2369" s="1"/>
      <c r="D2369" s="1"/>
      <c r="E2369" s="14"/>
      <c r="F2369" s="15"/>
      <c r="G2369" s="16"/>
      <c r="H2369" s="11"/>
      <c r="I2369" s="7"/>
      <c r="J2369" s="7" t="str">
        <f>IFERROR(LET(_xlpm.v,
VLOOKUP($I2369,'用語辞書'!$A:$B,COLUMN('用語辞書'!B$1),FALSE),
IF(_xlpm.v=0,"",_xlpm.v)
),"")</f>
        <v/>
      </c>
      <c r="K2369" s="17"/>
      <c r="L2369" s="17" t="str">
        <f>IF(OR(COUNTIF('クラス'!$A$1:$A$1267,$B2369)&gt;0,$B2369="",$M2369=""),"",True)</f>
        <v/>
      </c>
      <c r="M2369" s="1" t="str">
        <f t="shared" si="30"/>
        <v/>
      </c>
      <c r="N2369" s="1" t="s">
        <v>29</v>
      </c>
      <c r="O2369" s="1"/>
      <c r="P2369" s="11"/>
      <c r="Q2369" s="11"/>
      <c r="R2369" s="11"/>
      <c r="S2369" s="11"/>
      <c r="T2369" s="1"/>
      <c r="U2369" s="1"/>
      <c r="V2369" s="1"/>
      <c r="W2369" s="1"/>
      <c r="X2369" s="1"/>
      <c r="Y2369" s="1"/>
      <c r="Z2369" s="1"/>
    </row>
    <row r="2370" ht="18.0" hidden="1" customHeight="1" outlineLevel="2">
      <c r="A2370" s="1">
        <v>6.0</v>
      </c>
      <c r="B2370" s="1"/>
      <c r="C2370" s="1"/>
      <c r="D2370" s="1"/>
      <c r="E2370" s="14"/>
      <c r="F2370" s="15"/>
      <c r="G2370" s="16"/>
      <c r="H2370" s="11"/>
      <c r="I2370" s="7"/>
      <c r="J2370" s="7" t="str">
        <f>IFERROR(LET(_xlpm.v,
VLOOKUP($I2370,'用語辞書'!$A:$B,COLUMN('用語辞書'!B$1),FALSE),
IF(_xlpm.v=0,"",_xlpm.v)
),"")</f>
        <v/>
      </c>
      <c r="K2370" s="17"/>
      <c r="L2370" s="17" t="str">
        <f>IF(OR(COUNTIF('クラス'!$A$1:$A$1267,$B2370)&gt;0,$B2370="",$M2370=""),"",True)</f>
        <v/>
      </c>
      <c r="M2370" s="1" t="str">
        <f t="shared" si="30"/>
        <v>存在しない</v>
      </c>
      <c r="N2370" s="1" t="s">
        <v>29</v>
      </c>
      <c r="O2370" s="1"/>
      <c r="P2370" s="11"/>
      <c r="Q2370" s="11"/>
      <c r="R2370" s="11"/>
      <c r="S2370" s="11"/>
      <c r="T2370" s="1"/>
      <c r="U2370" s="1"/>
      <c r="V2370" s="1"/>
      <c r="W2370" s="1"/>
      <c r="X2370" s="1"/>
      <c r="Y2370" s="1"/>
      <c r="Z2370" s="1"/>
    </row>
    <row r="2371" ht="18.0" hidden="1" customHeight="1" outlineLevel="2">
      <c r="A2371" s="1">
        <v>7.0</v>
      </c>
      <c r="B2371" s="26" t="s">
        <v>652</v>
      </c>
      <c r="C2371" s="1"/>
      <c r="D2371" s="1"/>
      <c r="E2371" s="14"/>
      <c r="F2371" s="15"/>
      <c r="G2371" s="16"/>
      <c r="H2371" s="11"/>
      <c r="I2371" s="7"/>
      <c r="J2371" s="7" t="str">
        <f>IFERROR(LET(_xlpm.v,
VLOOKUP($I2371,'用語辞書'!$A:$B,COLUMN('用語辞書'!B$1),FALSE),
IF(_xlpm.v=0,"",_xlpm.v)
),"")</f>
        <v/>
      </c>
      <c r="K2371" s="17"/>
      <c r="L2371" s="17" t="str">
        <f>IF(OR(COUNTIF('クラス'!$A$1:$A$1267,$B2371)&gt;0,$B2371="",$M2371=""),"",True)</f>
        <v/>
      </c>
      <c r="M2371" s="1" t="str">
        <f t="shared" si="30"/>
        <v/>
      </c>
      <c r="N2371" s="1" t="s">
        <v>29</v>
      </c>
      <c r="O2371" s="1"/>
      <c r="P2371" s="11"/>
      <c r="Q2371" s="11"/>
      <c r="R2371" s="11"/>
      <c r="S2371" s="11"/>
      <c r="T2371" s="1"/>
      <c r="U2371" s="1"/>
      <c r="V2371" s="1"/>
      <c r="W2371" s="1"/>
      <c r="X2371" s="1"/>
      <c r="Y2371" s="1"/>
      <c r="Z2371" s="1"/>
    </row>
    <row r="2372" ht="18.0" hidden="1" customHeight="1" outlineLevel="2">
      <c r="A2372" s="1">
        <v>8.0</v>
      </c>
      <c r="B2372" s="1"/>
      <c r="C2372" s="1"/>
      <c r="D2372" s="1"/>
      <c r="E2372" s="14"/>
      <c r="F2372" s="15"/>
      <c r="G2372" s="16"/>
      <c r="H2372" s="11"/>
      <c r="I2372" s="7"/>
      <c r="J2372" s="7" t="str">
        <f>IFERROR(LET(_xlpm.v,
VLOOKUP($I2372,'用語辞書'!$A:$B,COLUMN('用語辞書'!B$1),FALSE),
IF(_xlpm.v=0,"",_xlpm.v)
),"")</f>
        <v/>
      </c>
      <c r="K2372" s="17"/>
      <c r="L2372" s="17" t="str">
        <f>IF(OR(COUNTIF('クラス'!$A$1:$A$1267,$B2372)&gt;0,$B2372="",$M2372=""),"",True)</f>
        <v/>
      </c>
      <c r="M2372" s="1" t="str">
        <f t="shared" si="30"/>
        <v>存在しない</v>
      </c>
      <c r="N2372" s="1" t="s">
        <v>29</v>
      </c>
      <c r="O2372" s="1"/>
      <c r="P2372" s="11"/>
      <c r="Q2372" s="11"/>
      <c r="R2372" s="11"/>
      <c r="S2372" s="11"/>
      <c r="T2372" s="1"/>
      <c r="U2372" s="1"/>
      <c r="V2372" s="1"/>
      <c r="W2372" s="1"/>
      <c r="X2372" s="1"/>
      <c r="Y2372" s="1"/>
      <c r="Z2372" s="1"/>
    </row>
    <row r="2373" ht="18.0" hidden="1" customHeight="1" outlineLevel="2">
      <c r="A2373" s="1">
        <v>9.0</v>
      </c>
      <c r="B2373" s="26" t="s">
        <v>2220</v>
      </c>
      <c r="C2373" s="1"/>
      <c r="D2373" s="1"/>
      <c r="E2373" s="14"/>
      <c r="F2373" s="15"/>
      <c r="G2373" s="16"/>
      <c r="H2373" s="11"/>
      <c r="I2373" s="7"/>
      <c r="J2373" s="7" t="str">
        <f>IFERROR(LET(_xlpm.v,
VLOOKUP($I2373,'用語辞書'!$A:$B,COLUMN('用語辞書'!B$1),FALSE),
IF(_xlpm.v=0,"",_xlpm.v)
),"")</f>
        <v/>
      </c>
      <c r="K2373" s="17"/>
      <c r="L2373" s="17" t="str">
        <f>IF(OR(COUNTIF('クラス'!$A$1:$A$1267,$B2373)&gt;0,$B2373="",$M2373=""),"",True)</f>
        <v/>
      </c>
      <c r="M2373" s="1" t="str">
        <f t="shared" si="30"/>
        <v/>
      </c>
      <c r="N2373" s="1" t="s">
        <v>29</v>
      </c>
      <c r="O2373" s="1"/>
      <c r="P2373" s="11"/>
      <c r="Q2373" s="11"/>
      <c r="R2373" s="11"/>
      <c r="S2373" s="11"/>
      <c r="T2373" s="1"/>
      <c r="U2373" s="1"/>
      <c r="V2373" s="1"/>
      <c r="W2373" s="1"/>
      <c r="X2373" s="1"/>
      <c r="Y2373" s="1"/>
      <c r="Z2373" s="1"/>
    </row>
    <row r="2374" ht="18.0" hidden="1" customHeight="1" outlineLevel="2">
      <c r="A2374" s="1">
        <v>10.0</v>
      </c>
      <c r="B2374" s="26" t="s">
        <v>2339</v>
      </c>
      <c r="C2374" s="1"/>
      <c r="D2374" s="26" t="s">
        <v>644</v>
      </c>
      <c r="E2374" s="29" t="s">
        <v>33</v>
      </c>
      <c r="F2374" s="15"/>
      <c r="G2374" s="30">
        <v>60.0</v>
      </c>
      <c r="H2374" s="31" t="s">
        <v>2340</v>
      </c>
      <c r="I2374" s="7"/>
      <c r="J2374" s="7" t="str">
        <f>IFERROR(LET(_xlpm.v,
VLOOKUP($I2374,'用語辞書'!$A:$B,COLUMN('用語辞書'!B$1),FALSE),
IF(_xlpm.v=0,"",_xlpm.v)
),"")</f>
        <v/>
      </c>
      <c r="K2374" s="17"/>
      <c r="L2374" s="17" t="b">
        <f>IF(OR(COUNTIF('クラス'!$A$1:$A$1267,$B2374)&gt;0,$B2374="",$M2374=""),"",True)</f>
        <v>1</v>
      </c>
      <c r="M2374" s="1" t="str">
        <f t="shared" si="30"/>
        <v>存在しない</v>
      </c>
      <c r="N2374" s="1" t="s">
        <v>29</v>
      </c>
      <c r="O2374" s="1"/>
      <c r="P2374" s="11"/>
      <c r="Q2374" s="11"/>
      <c r="R2374" s="11"/>
      <c r="S2374" s="11"/>
      <c r="T2374" s="1"/>
      <c r="U2374" s="1"/>
      <c r="V2374" s="1"/>
      <c r="W2374" s="1"/>
      <c r="X2374" s="1"/>
      <c r="Y2374" s="1"/>
      <c r="Z2374" s="1"/>
    </row>
    <row r="2375" ht="18.0" customHeight="1" outlineLevel="1" collapsed="1">
      <c r="A2375" s="1"/>
      <c r="B2375" s="1"/>
      <c r="C2375" s="1"/>
      <c r="D2375" s="1"/>
      <c r="E2375" s="14"/>
      <c r="F2375" s="15"/>
      <c r="G2375" s="16"/>
      <c r="H2375" s="11"/>
      <c r="I2375" s="7"/>
      <c r="J2375" s="7" t="str">
        <f>IFERROR(LET(_xlpm.v,
VLOOKUP($I2375,'用語辞書'!$A:$B,COLUMN('用語辞書'!B$1),FALSE),
IF(_xlpm.v=0,"",_xlpm.v)
),"")</f>
        <v/>
      </c>
      <c r="K2375" s="17"/>
      <c r="L2375" s="17" t="str">
        <f>IF(OR(COUNTIF('クラス'!$A$1:$A$1267,$B2375)&gt;0,$B2375="",$M2375=""),"",True)</f>
        <v/>
      </c>
      <c r="M2375" s="1" t="str">
        <f t="shared" si="30"/>
        <v>存在しない</v>
      </c>
      <c r="N2375" s="1" t="s">
        <v>29</v>
      </c>
      <c r="O2375" s="1"/>
      <c r="P2375" s="11"/>
      <c r="Q2375" s="11"/>
      <c r="R2375" s="11"/>
      <c r="S2375" s="11"/>
      <c r="T2375" s="1"/>
      <c r="U2375" s="1"/>
      <c r="V2375" s="1"/>
      <c r="W2375" s="1"/>
      <c r="X2375" s="1"/>
      <c r="Y2375" s="1"/>
      <c r="Z2375" s="1"/>
    </row>
    <row r="2376" ht="18.0" customHeight="1" outlineLevel="1">
      <c r="A2376" s="1"/>
      <c r="B2376" s="26" t="s">
        <v>2341</v>
      </c>
      <c r="C2376" s="1"/>
      <c r="D2376" s="1"/>
      <c r="E2376" s="14"/>
      <c r="F2376" s="15"/>
      <c r="G2376" s="16"/>
      <c r="H2376" s="11"/>
      <c r="I2376" s="7"/>
      <c r="J2376" s="7" t="str">
        <f>IFERROR(LET(_xlpm.v,
VLOOKUP($I2376,'用語辞書'!$A:$B,COLUMN('用語辞書'!B$1),FALSE),
IF(_xlpm.v=0,"",_xlpm.v)
),"")</f>
        <v/>
      </c>
      <c r="K2376" s="17"/>
      <c r="L2376" s="17" t="str">
        <f>IF(OR(COUNTIF('クラス'!$A$1:$A$1267,$B2376)&gt;0,$B2376="",$M2376=""),"",True)</f>
        <v/>
      </c>
      <c r="M2376" s="1" t="str">
        <f t="shared" si="30"/>
        <v>存在しない</v>
      </c>
      <c r="N2376" s="1" t="s">
        <v>29</v>
      </c>
      <c r="O2376" s="1"/>
      <c r="P2376" s="11"/>
      <c r="Q2376" s="11"/>
      <c r="R2376" s="11"/>
      <c r="S2376" s="11"/>
      <c r="T2376" s="1"/>
      <c r="U2376" s="1"/>
      <c r="V2376" s="1"/>
      <c r="W2376" s="1"/>
      <c r="X2376" s="1"/>
      <c r="Y2376" s="1"/>
      <c r="Z2376" s="1"/>
    </row>
    <row r="2377" ht="18.0" hidden="1" customHeight="1" outlineLevel="2">
      <c r="A2377" s="1">
        <v>1.0</v>
      </c>
      <c r="B2377" s="26" t="s">
        <v>2224</v>
      </c>
      <c r="C2377" s="1"/>
      <c r="D2377" s="1"/>
      <c r="E2377" s="14"/>
      <c r="F2377" s="15"/>
      <c r="G2377" s="16"/>
      <c r="H2377" s="11"/>
      <c r="I2377" s="7"/>
      <c r="J2377" s="7" t="str">
        <f>IFERROR(LET(_xlpm.v,
VLOOKUP($I2377,'用語辞書'!$A:$B,COLUMN('用語辞書'!B$1),FALSE),
IF(_xlpm.v=0,"",_xlpm.v)
),"")</f>
        <v/>
      </c>
      <c r="K2377" s="17"/>
      <c r="L2377" s="17" t="str">
        <f>IF(OR(COUNTIF('クラス'!$A$1:$A$1267,$B2377)&gt;0,$B2377="",$M2377=""),"",True)</f>
        <v/>
      </c>
      <c r="M2377" s="1" t="str">
        <f t="shared" si="30"/>
        <v/>
      </c>
      <c r="N2377" s="1" t="s">
        <v>29</v>
      </c>
      <c r="O2377" s="1"/>
      <c r="P2377" s="11"/>
      <c r="Q2377" s="11"/>
      <c r="R2377" s="11"/>
      <c r="S2377" s="11"/>
      <c r="T2377" s="1"/>
      <c r="U2377" s="1"/>
      <c r="V2377" s="1"/>
      <c r="W2377" s="1"/>
      <c r="X2377" s="1"/>
      <c r="Y2377" s="1"/>
      <c r="Z2377" s="1"/>
    </row>
    <row r="2378" ht="18.0" hidden="1" customHeight="1" outlineLevel="2">
      <c r="A2378" s="1">
        <v>2.0</v>
      </c>
      <c r="B2378" s="1"/>
      <c r="C2378" s="1"/>
      <c r="D2378" s="1"/>
      <c r="E2378" s="14"/>
      <c r="F2378" s="15"/>
      <c r="G2378" s="16"/>
      <c r="H2378" s="11"/>
      <c r="I2378" s="7"/>
      <c r="J2378" s="7" t="str">
        <f>IFERROR(LET(_xlpm.v,
VLOOKUP($I2378,'用語辞書'!$A:$B,COLUMN('用語辞書'!B$1),FALSE),
IF(_xlpm.v=0,"",_xlpm.v)
),"")</f>
        <v/>
      </c>
      <c r="K2378" s="17"/>
      <c r="L2378" s="17" t="str">
        <f>IF(OR(COUNTIF('クラス'!$A$1:$A$1267,$B2378)&gt;0,$B2378="",$M2378=""),"",True)</f>
        <v/>
      </c>
      <c r="M2378" s="1" t="str">
        <f t="shared" si="30"/>
        <v>存在しない</v>
      </c>
      <c r="N2378" s="1" t="s">
        <v>29</v>
      </c>
      <c r="O2378" s="1"/>
      <c r="P2378" s="11"/>
      <c r="Q2378" s="11"/>
      <c r="R2378" s="11"/>
      <c r="S2378" s="11"/>
      <c r="T2378" s="1"/>
      <c r="U2378" s="1"/>
      <c r="V2378" s="1"/>
      <c r="W2378" s="1"/>
      <c r="X2378" s="1"/>
      <c r="Y2378" s="1"/>
      <c r="Z2378" s="1"/>
    </row>
    <row r="2379" ht="18.0" hidden="1" customHeight="1" outlineLevel="2">
      <c r="A2379" s="1">
        <v>3.0</v>
      </c>
      <c r="B2379" s="26" t="s">
        <v>898</v>
      </c>
      <c r="C2379" s="1"/>
      <c r="D2379" s="1"/>
      <c r="E2379" s="14"/>
      <c r="F2379" s="15"/>
      <c r="G2379" s="16"/>
      <c r="H2379" s="11"/>
      <c r="I2379" s="7"/>
      <c r="J2379" s="7" t="str">
        <f>IFERROR(LET(_xlpm.v,
VLOOKUP($I2379,'用語辞書'!$A:$B,COLUMN('用語辞書'!B$1),FALSE),
IF(_xlpm.v=0,"",_xlpm.v)
),"")</f>
        <v/>
      </c>
      <c r="K2379" s="17"/>
      <c r="L2379" s="17" t="str">
        <f>IF(OR(COUNTIF('クラス'!$A$1:$A$1267,$B2379)&gt;0,$B2379="",$M2379=""),"",True)</f>
        <v/>
      </c>
      <c r="M2379" s="1" t="str">
        <f t="shared" si="30"/>
        <v/>
      </c>
      <c r="N2379" s="1" t="s">
        <v>29</v>
      </c>
      <c r="O2379" s="1"/>
      <c r="P2379" s="11"/>
      <c r="Q2379" s="11"/>
      <c r="R2379" s="11"/>
      <c r="S2379" s="11"/>
      <c r="T2379" s="1"/>
      <c r="U2379" s="1"/>
      <c r="V2379" s="1"/>
      <c r="W2379" s="1"/>
      <c r="X2379" s="1"/>
      <c r="Y2379" s="1"/>
      <c r="Z2379" s="1"/>
    </row>
    <row r="2380" ht="18.0" hidden="1" customHeight="1" outlineLevel="2">
      <c r="A2380" s="1">
        <v>4.0</v>
      </c>
      <c r="B2380" s="1"/>
      <c r="C2380" s="1"/>
      <c r="D2380" s="1"/>
      <c r="E2380" s="14"/>
      <c r="F2380" s="15"/>
      <c r="G2380" s="16"/>
      <c r="H2380" s="11"/>
      <c r="I2380" s="7"/>
      <c r="J2380" s="7" t="str">
        <f>IFERROR(LET(_xlpm.v,
VLOOKUP($I2380,'用語辞書'!$A:$B,COLUMN('用語辞書'!B$1),FALSE),
IF(_xlpm.v=0,"",_xlpm.v)
),"")</f>
        <v/>
      </c>
      <c r="K2380" s="17"/>
      <c r="L2380" s="17" t="str">
        <f>IF(OR(COUNTIF('クラス'!$A$1:$A$1267,$B2380)&gt;0,$B2380="",$M2380=""),"",True)</f>
        <v/>
      </c>
      <c r="M2380" s="1" t="str">
        <f t="shared" si="30"/>
        <v>存在しない</v>
      </c>
      <c r="N2380" s="1" t="s">
        <v>29</v>
      </c>
      <c r="O2380" s="1"/>
      <c r="P2380" s="11"/>
      <c r="Q2380" s="11"/>
      <c r="R2380" s="11"/>
      <c r="S2380" s="11"/>
      <c r="T2380" s="1"/>
      <c r="U2380" s="1"/>
      <c r="V2380" s="1"/>
      <c r="W2380" s="1"/>
      <c r="X2380" s="1"/>
      <c r="Y2380" s="1"/>
      <c r="Z2380" s="1"/>
    </row>
    <row r="2381" ht="18.0" hidden="1" customHeight="1" outlineLevel="2">
      <c r="A2381" s="1">
        <v>5.0</v>
      </c>
      <c r="B2381" s="26" t="s">
        <v>1768</v>
      </c>
      <c r="C2381" s="1"/>
      <c r="D2381" s="1"/>
      <c r="E2381" s="14"/>
      <c r="F2381" s="15"/>
      <c r="G2381" s="16"/>
      <c r="H2381" s="11"/>
      <c r="I2381" s="7"/>
      <c r="J2381" s="7" t="str">
        <f>IFERROR(LET(_xlpm.v,
VLOOKUP($I2381,'用語辞書'!$A:$B,COLUMN('用語辞書'!B$1),FALSE),
IF(_xlpm.v=0,"",_xlpm.v)
),"")</f>
        <v/>
      </c>
      <c r="K2381" s="17"/>
      <c r="L2381" s="17" t="str">
        <f>IF(OR(COUNTIF('クラス'!$A$1:$A$1267,$B2381)&gt;0,$B2381="",$M2381=""),"",True)</f>
        <v/>
      </c>
      <c r="M2381" s="1" t="str">
        <f t="shared" si="30"/>
        <v/>
      </c>
      <c r="N2381" s="1" t="s">
        <v>29</v>
      </c>
      <c r="O2381" s="1"/>
      <c r="P2381" s="11"/>
      <c r="Q2381" s="11"/>
      <c r="R2381" s="11"/>
      <c r="S2381" s="11"/>
      <c r="T2381" s="1"/>
      <c r="U2381" s="1"/>
      <c r="V2381" s="1"/>
      <c r="W2381" s="1"/>
      <c r="X2381" s="1"/>
      <c r="Y2381" s="1"/>
      <c r="Z2381" s="1"/>
    </row>
    <row r="2382" ht="18.0" hidden="1" customHeight="1" outlineLevel="2">
      <c r="A2382" s="1">
        <v>6.0</v>
      </c>
      <c r="B2382" s="1"/>
      <c r="C2382" s="1"/>
      <c r="D2382" s="1"/>
      <c r="E2382" s="14"/>
      <c r="F2382" s="15"/>
      <c r="G2382" s="16"/>
      <c r="H2382" s="11"/>
      <c r="I2382" s="7"/>
      <c r="J2382" s="7" t="str">
        <f>IFERROR(LET(_xlpm.v,
VLOOKUP($I2382,'用語辞書'!$A:$B,COLUMN('用語辞書'!B$1),FALSE),
IF(_xlpm.v=0,"",_xlpm.v)
),"")</f>
        <v/>
      </c>
      <c r="K2382" s="17"/>
      <c r="L2382" s="17" t="str">
        <f>IF(OR(COUNTIF('クラス'!$A$1:$A$1267,$B2382)&gt;0,$B2382="",$M2382=""),"",True)</f>
        <v/>
      </c>
      <c r="M2382" s="1" t="str">
        <f t="shared" si="30"/>
        <v>存在しない</v>
      </c>
      <c r="N2382" s="1" t="s">
        <v>29</v>
      </c>
      <c r="O2382" s="1"/>
      <c r="P2382" s="11"/>
      <c r="Q2382" s="11"/>
      <c r="R2382" s="11"/>
      <c r="S2382" s="11"/>
      <c r="T2382" s="1"/>
      <c r="U2382" s="1"/>
      <c r="V2382" s="1"/>
      <c r="W2382" s="1"/>
      <c r="X2382" s="1"/>
      <c r="Y2382" s="1"/>
      <c r="Z2382" s="1"/>
    </row>
    <row r="2383" ht="18.0" hidden="1" customHeight="1" outlineLevel="2">
      <c r="A2383" s="1">
        <v>7.0</v>
      </c>
      <c r="B2383" s="26" t="s">
        <v>902</v>
      </c>
      <c r="C2383" s="1"/>
      <c r="D2383" s="1"/>
      <c r="E2383" s="14"/>
      <c r="F2383" s="15"/>
      <c r="G2383" s="16"/>
      <c r="H2383" s="11"/>
      <c r="I2383" s="7"/>
      <c r="J2383" s="7" t="str">
        <f>IFERROR(LET(_xlpm.v,
VLOOKUP($I2383,'用語辞書'!$A:$B,COLUMN('用語辞書'!B$1),FALSE),
IF(_xlpm.v=0,"",_xlpm.v)
),"")</f>
        <v/>
      </c>
      <c r="K2383" s="17"/>
      <c r="L2383" s="17" t="str">
        <f>IF(OR(COUNTIF('クラス'!$A$1:$A$1267,$B2383)&gt;0,$B2383="",$M2383=""),"",True)</f>
        <v/>
      </c>
      <c r="M2383" s="1" t="str">
        <f t="shared" si="30"/>
        <v/>
      </c>
      <c r="N2383" s="1" t="s">
        <v>29</v>
      </c>
      <c r="O2383" s="1"/>
      <c r="P2383" s="11"/>
      <c r="Q2383" s="11"/>
      <c r="R2383" s="11"/>
      <c r="S2383" s="11"/>
      <c r="T2383" s="1"/>
      <c r="U2383" s="1"/>
      <c r="V2383" s="1"/>
      <c r="W2383" s="1"/>
      <c r="X2383" s="1"/>
      <c r="Y2383" s="1"/>
      <c r="Z2383" s="1"/>
    </row>
    <row r="2384" ht="18.0" hidden="1" customHeight="1" outlineLevel="2">
      <c r="A2384" s="1">
        <v>8.0</v>
      </c>
      <c r="B2384" s="1"/>
      <c r="C2384" s="1"/>
      <c r="D2384" s="1"/>
      <c r="E2384" s="14"/>
      <c r="F2384" s="15"/>
      <c r="G2384" s="16"/>
      <c r="H2384" s="11"/>
      <c r="I2384" s="7"/>
      <c r="J2384" s="7" t="str">
        <f>IFERROR(LET(_xlpm.v,
VLOOKUP($I2384,'用語辞書'!$A:$B,COLUMN('用語辞書'!B$1),FALSE),
IF(_xlpm.v=0,"",_xlpm.v)
),"")</f>
        <v/>
      </c>
      <c r="K2384" s="17"/>
      <c r="L2384" s="17" t="str">
        <f>IF(OR(COUNTIF('クラス'!$A$1:$A$1267,$B2384)&gt;0,$B2384="",$M2384=""),"",True)</f>
        <v/>
      </c>
      <c r="M2384" s="1" t="str">
        <f t="shared" si="30"/>
        <v>存在しない</v>
      </c>
      <c r="N2384" s="1" t="s">
        <v>29</v>
      </c>
      <c r="O2384" s="1"/>
      <c r="P2384" s="11"/>
      <c r="Q2384" s="11"/>
      <c r="R2384" s="11"/>
      <c r="S2384" s="11"/>
      <c r="T2384" s="1"/>
      <c r="U2384" s="1"/>
      <c r="V2384" s="1"/>
      <c r="W2384" s="1"/>
      <c r="X2384" s="1"/>
      <c r="Y2384" s="1"/>
      <c r="Z2384" s="1"/>
    </row>
    <row r="2385" ht="18.0" hidden="1" customHeight="1" outlineLevel="2">
      <c r="A2385" s="1">
        <v>9.0</v>
      </c>
      <c r="B2385" s="26" t="s">
        <v>1772</v>
      </c>
      <c r="C2385" s="1"/>
      <c r="D2385" s="1"/>
      <c r="E2385" s="14"/>
      <c r="F2385" s="15"/>
      <c r="G2385" s="16"/>
      <c r="H2385" s="11"/>
      <c r="I2385" s="7"/>
      <c r="J2385" s="7" t="str">
        <f>IFERROR(LET(_xlpm.v,
VLOOKUP($I2385,'用語辞書'!$A:$B,COLUMN('用語辞書'!B$1),FALSE),
IF(_xlpm.v=0,"",_xlpm.v)
),"")</f>
        <v/>
      </c>
      <c r="K2385" s="17"/>
      <c r="L2385" s="17" t="str">
        <f>IF(OR(COUNTIF('クラス'!$A$1:$A$1267,$B2385)&gt;0,$B2385="",$M2385=""),"",True)</f>
        <v/>
      </c>
      <c r="M2385" s="1" t="str">
        <f t="shared" si="30"/>
        <v/>
      </c>
      <c r="N2385" s="1" t="s">
        <v>29</v>
      </c>
      <c r="O2385" s="1"/>
      <c r="P2385" s="11"/>
      <c r="Q2385" s="11"/>
      <c r="R2385" s="11"/>
      <c r="S2385" s="11"/>
      <c r="T2385" s="1"/>
      <c r="U2385" s="1"/>
      <c r="V2385" s="1"/>
      <c r="W2385" s="1"/>
      <c r="X2385" s="1"/>
      <c r="Y2385" s="1"/>
      <c r="Z2385" s="1"/>
    </row>
    <row r="2386" ht="18.0" hidden="1" customHeight="1" outlineLevel="2">
      <c r="A2386" s="1">
        <v>10.0</v>
      </c>
      <c r="B2386" s="26" t="s">
        <v>2342</v>
      </c>
      <c r="C2386" s="1"/>
      <c r="D2386" s="26" t="s">
        <v>908</v>
      </c>
      <c r="E2386" s="29" t="s">
        <v>33</v>
      </c>
      <c r="F2386" s="15"/>
      <c r="G2386" s="30">
        <v>60.0</v>
      </c>
      <c r="H2386" s="22" t="s">
        <v>2343</v>
      </c>
      <c r="I2386" s="7"/>
      <c r="J2386" s="7" t="str">
        <f>IFERROR(LET(_xlpm.v,
VLOOKUP($I2386,'用語辞書'!$A:$B,COLUMN('用語辞書'!B$1),FALSE),
IF(_xlpm.v=0,"",_xlpm.v)
),"")</f>
        <v/>
      </c>
      <c r="K2386" s="17"/>
      <c r="L2386" s="17" t="b">
        <f>IF(OR(COUNTIF('クラス'!$A$1:$A$1267,$B2386)&gt;0,$B2386="",$M2386=""),"",True)</f>
        <v>1</v>
      </c>
      <c r="M2386" s="1" t="str">
        <f t="shared" si="30"/>
        <v>存在しない</v>
      </c>
      <c r="N2386" s="1" t="s">
        <v>29</v>
      </c>
      <c r="O2386" s="1"/>
      <c r="P2386" s="11"/>
      <c r="Q2386" s="11"/>
      <c r="R2386" s="11"/>
      <c r="S2386" s="11"/>
      <c r="T2386" s="1"/>
      <c r="U2386" s="1"/>
      <c r="V2386" s="1"/>
      <c r="W2386" s="1"/>
      <c r="X2386" s="1"/>
      <c r="Y2386" s="1"/>
      <c r="Z2386" s="1"/>
    </row>
    <row r="2387" ht="18.0" customHeight="1" outlineLevel="1" collapsed="1">
      <c r="A2387" s="1"/>
      <c r="B2387" s="1"/>
      <c r="C2387" s="1"/>
      <c r="D2387" s="1"/>
      <c r="E2387" s="14"/>
      <c r="F2387" s="15"/>
      <c r="G2387" s="16"/>
      <c r="H2387" s="11"/>
      <c r="I2387" s="7"/>
      <c r="J2387" s="7" t="str">
        <f>IFERROR(LET(_xlpm.v,
VLOOKUP($I2387,'用語辞書'!$A:$B,COLUMN('用語辞書'!B$1),FALSE),
IF(_xlpm.v=0,"",_xlpm.v)
),"")</f>
        <v/>
      </c>
      <c r="K2387" s="17"/>
      <c r="L2387" s="17" t="str">
        <f>IF(OR(COUNTIF('クラス'!$A$1:$A$1267,$B2387)&gt;0,$B2387="",$M2387=""),"",True)</f>
        <v/>
      </c>
      <c r="M2387" s="1" t="str">
        <f t="shared" si="30"/>
        <v>存在しない</v>
      </c>
      <c r="N2387" s="1" t="s">
        <v>29</v>
      </c>
      <c r="O2387" s="1"/>
      <c r="P2387" s="11"/>
      <c r="Q2387" s="11"/>
      <c r="R2387" s="11"/>
      <c r="S2387" s="11"/>
      <c r="T2387" s="1"/>
      <c r="U2387" s="1"/>
      <c r="V2387" s="1"/>
      <c r="W2387" s="1"/>
      <c r="X2387" s="1"/>
      <c r="Y2387" s="1"/>
      <c r="Z2387" s="1"/>
    </row>
    <row r="2388" ht="18.0" customHeight="1" outlineLevel="1">
      <c r="A2388" s="1"/>
      <c r="B2388" s="26" t="s">
        <v>2344</v>
      </c>
      <c r="C2388" s="1"/>
      <c r="D2388" s="1"/>
      <c r="E2388" s="14"/>
      <c r="F2388" s="15"/>
      <c r="G2388" s="16"/>
      <c r="H2388" s="11"/>
      <c r="I2388" s="7"/>
      <c r="J2388" s="7" t="str">
        <f>IFERROR(LET(_xlpm.v,
VLOOKUP($I2388,'用語辞書'!$A:$B,COLUMN('用語辞書'!B$1),FALSE),
IF(_xlpm.v=0,"",_xlpm.v)
),"")</f>
        <v/>
      </c>
      <c r="K2388" s="17"/>
      <c r="L2388" s="17" t="str">
        <f>IF(OR(COUNTIF('クラス'!$A$1:$A$1267,$B2388)&gt;0,$B2388="",$M2388=""),"",True)</f>
        <v/>
      </c>
      <c r="M2388" s="1" t="str">
        <f t="shared" si="30"/>
        <v>存在しない</v>
      </c>
      <c r="N2388" s="1" t="s">
        <v>29</v>
      </c>
      <c r="O2388" s="1"/>
      <c r="P2388" s="11"/>
      <c r="Q2388" s="11"/>
      <c r="R2388" s="11"/>
      <c r="S2388" s="11"/>
      <c r="T2388" s="1"/>
      <c r="U2388" s="1"/>
      <c r="V2388" s="1"/>
      <c r="W2388" s="1"/>
      <c r="X2388" s="1"/>
      <c r="Y2388" s="1"/>
      <c r="Z2388" s="1"/>
    </row>
    <row r="2389" ht="18.0" hidden="1" customHeight="1" outlineLevel="2">
      <c r="A2389" s="1">
        <v>1.0</v>
      </c>
      <c r="B2389" s="26" t="s">
        <v>2229</v>
      </c>
      <c r="C2389" s="1"/>
      <c r="D2389" s="1"/>
      <c r="E2389" s="14"/>
      <c r="F2389" s="15"/>
      <c r="G2389" s="16"/>
      <c r="H2389" s="11"/>
      <c r="I2389" s="7"/>
      <c r="J2389" s="7" t="str">
        <f>IFERROR(LET(_xlpm.v,
VLOOKUP($I2389,'用語辞書'!$A:$B,COLUMN('用語辞書'!B$1),FALSE),
IF(_xlpm.v=0,"",_xlpm.v)
),"")</f>
        <v/>
      </c>
      <c r="K2389" s="17"/>
      <c r="L2389" s="17" t="str">
        <f>IF(OR(COUNTIF('クラス'!$A$1:$A$1267,$B2389)&gt;0,$B2389="",$M2389=""),"",True)</f>
        <v/>
      </c>
      <c r="M2389" s="1" t="str">
        <f t="shared" si="30"/>
        <v/>
      </c>
      <c r="N2389" s="1" t="s">
        <v>29</v>
      </c>
      <c r="O2389" s="1"/>
      <c r="P2389" s="11"/>
      <c r="Q2389" s="11"/>
      <c r="R2389" s="11"/>
      <c r="S2389" s="11"/>
      <c r="T2389" s="1"/>
      <c r="U2389" s="1"/>
      <c r="V2389" s="1"/>
      <c r="W2389" s="1"/>
      <c r="X2389" s="1"/>
      <c r="Y2389" s="1"/>
      <c r="Z2389" s="1"/>
    </row>
    <row r="2390" ht="18.0" hidden="1" customHeight="1" outlineLevel="2">
      <c r="A2390" s="1">
        <v>2.0</v>
      </c>
      <c r="B2390" s="1"/>
      <c r="C2390" s="1"/>
      <c r="D2390" s="1"/>
      <c r="E2390" s="14"/>
      <c r="F2390" s="15"/>
      <c r="G2390" s="16"/>
      <c r="H2390" s="11"/>
      <c r="I2390" s="7"/>
      <c r="J2390" s="7" t="str">
        <f>IFERROR(LET(_xlpm.v,
VLOOKUP($I2390,'用語辞書'!$A:$B,COLUMN('用語辞書'!B$1),FALSE),
IF(_xlpm.v=0,"",_xlpm.v)
),"")</f>
        <v/>
      </c>
      <c r="K2390" s="17"/>
      <c r="L2390" s="17" t="str">
        <f>IF(OR(COUNTIF('クラス'!$A$1:$A$1267,$B2390)&gt;0,$B2390="",$M2390=""),"",True)</f>
        <v/>
      </c>
      <c r="M2390" s="1" t="str">
        <f t="shared" si="30"/>
        <v>存在しない</v>
      </c>
      <c r="N2390" s="1" t="s">
        <v>29</v>
      </c>
      <c r="O2390" s="1"/>
      <c r="P2390" s="11"/>
      <c r="Q2390" s="11"/>
      <c r="R2390" s="11"/>
      <c r="S2390" s="11"/>
      <c r="T2390" s="1"/>
      <c r="U2390" s="1"/>
      <c r="V2390" s="1"/>
      <c r="W2390" s="1"/>
      <c r="X2390" s="1"/>
      <c r="Y2390" s="1"/>
      <c r="Z2390" s="1"/>
    </row>
    <row r="2391" ht="18.0" hidden="1" customHeight="1" outlineLevel="2">
      <c r="A2391" s="1">
        <v>3.0</v>
      </c>
      <c r="B2391" s="26" t="s">
        <v>966</v>
      </c>
      <c r="C2391" s="1"/>
      <c r="D2391" s="1"/>
      <c r="E2391" s="14"/>
      <c r="F2391" s="15"/>
      <c r="G2391" s="16"/>
      <c r="H2391" s="11"/>
      <c r="I2391" s="7"/>
      <c r="J2391" s="7" t="str">
        <f>IFERROR(LET(_xlpm.v,
VLOOKUP($I2391,'用語辞書'!$A:$B,COLUMN('用語辞書'!B$1),FALSE),
IF(_xlpm.v=0,"",_xlpm.v)
),"")</f>
        <v/>
      </c>
      <c r="K2391" s="17"/>
      <c r="L2391" s="17" t="str">
        <f>IF(OR(COUNTIF('クラス'!$A$1:$A$1267,$B2391)&gt;0,$B2391="",$M2391=""),"",True)</f>
        <v/>
      </c>
      <c r="M2391" s="1" t="str">
        <f t="shared" si="30"/>
        <v/>
      </c>
      <c r="N2391" s="1" t="s">
        <v>29</v>
      </c>
      <c r="O2391" s="1"/>
      <c r="P2391" s="11"/>
      <c r="Q2391" s="11"/>
      <c r="R2391" s="11"/>
      <c r="S2391" s="11"/>
      <c r="T2391" s="1"/>
      <c r="U2391" s="1"/>
      <c r="V2391" s="1"/>
      <c r="W2391" s="1"/>
      <c r="X2391" s="1"/>
      <c r="Y2391" s="1"/>
      <c r="Z2391" s="1"/>
    </row>
    <row r="2392" ht="18.0" hidden="1" customHeight="1" outlineLevel="2">
      <c r="A2392" s="1">
        <v>4.0</v>
      </c>
      <c r="B2392" s="1"/>
      <c r="C2392" s="1"/>
      <c r="D2392" s="1"/>
      <c r="E2392" s="14"/>
      <c r="F2392" s="15"/>
      <c r="G2392" s="16"/>
      <c r="H2392" s="11"/>
      <c r="I2392" s="7"/>
      <c r="J2392" s="7" t="str">
        <f>IFERROR(LET(_xlpm.v,
VLOOKUP($I2392,'用語辞書'!$A:$B,COLUMN('用語辞書'!B$1),FALSE),
IF(_xlpm.v=0,"",_xlpm.v)
),"")</f>
        <v/>
      </c>
      <c r="K2392" s="17"/>
      <c r="L2392" s="17" t="str">
        <f>IF(OR(COUNTIF('クラス'!$A$1:$A$1267,$B2392)&gt;0,$B2392="",$M2392=""),"",True)</f>
        <v/>
      </c>
      <c r="M2392" s="1" t="str">
        <f t="shared" si="30"/>
        <v>存在しない</v>
      </c>
      <c r="N2392" s="1" t="s">
        <v>29</v>
      </c>
      <c r="O2392" s="1"/>
      <c r="P2392" s="11"/>
      <c r="Q2392" s="11"/>
      <c r="R2392" s="11"/>
      <c r="S2392" s="11"/>
      <c r="T2392" s="1"/>
      <c r="U2392" s="1"/>
      <c r="V2392" s="1"/>
      <c r="W2392" s="1"/>
      <c r="X2392" s="1"/>
      <c r="Y2392" s="1"/>
      <c r="Z2392" s="1"/>
    </row>
    <row r="2393" ht="18.0" hidden="1" customHeight="1" outlineLevel="2">
      <c r="A2393" s="1">
        <v>5.0</v>
      </c>
      <c r="B2393" s="26" t="s">
        <v>1789</v>
      </c>
      <c r="C2393" s="1"/>
      <c r="D2393" s="1"/>
      <c r="E2393" s="14"/>
      <c r="F2393" s="15"/>
      <c r="G2393" s="16"/>
      <c r="H2393" s="11"/>
      <c r="I2393" s="7"/>
      <c r="J2393" s="7" t="str">
        <f>IFERROR(LET(_xlpm.v,
VLOOKUP($I2393,'用語辞書'!$A:$B,COLUMN('用語辞書'!B$1),FALSE),
IF(_xlpm.v=0,"",_xlpm.v)
),"")</f>
        <v/>
      </c>
      <c r="K2393" s="17"/>
      <c r="L2393" s="17" t="str">
        <f>IF(OR(COUNTIF('クラス'!$A$1:$A$1267,$B2393)&gt;0,$B2393="",$M2393=""),"",True)</f>
        <v/>
      </c>
      <c r="M2393" s="1" t="str">
        <f t="shared" si="30"/>
        <v/>
      </c>
      <c r="N2393" s="1" t="s">
        <v>29</v>
      </c>
      <c r="O2393" s="1"/>
      <c r="P2393" s="11"/>
      <c r="Q2393" s="11"/>
      <c r="R2393" s="11"/>
      <c r="S2393" s="11"/>
      <c r="T2393" s="1"/>
      <c r="U2393" s="1"/>
      <c r="V2393" s="1"/>
      <c r="W2393" s="1"/>
      <c r="X2393" s="1"/>
      <c r="Y2393" s="1"/>
      <c r="Z2393" s="1"/>
    </row>
    <row r="2394" ht="18.0" hidden="1" customHeight="1" outlineLevel="2">
      <c r="A2394" s="1">
        <v>6.0</v>
      </c>
      <c r="B2394" s="1"/>
      <c r="C2394" s="1"/>
      <c r="D2394" s="1"/>
      <c r="E2394" s="14"/>
      <c r="F2394" s="15"/>
      <c r="G2394" s="16"/>
      <c r="H2394" s="11"/>
      <c r="I2394" s="7"/>
      <c r="J2394" s="7" t="str">
        <f>IFERROR(LET(_xlpm.v,
VLOOKUP($I2394,'用語辞書'!$A:$B,COLUMN('用語辞書'!B$1),FALSE),
IF(_xlpm.v=0,"",_xlpm.v)
),"")</f>
        <v/>
      </c>
      <c r="K2394" s="17"/>
      <c r="L2394" s="17" t="str">
        <f>IF(OR(COUNTIF('クラス'!$A$1:$A$1267,$B2394)&gt;0,$B2394="",$M2394=""),"",True)</f>
        <v/>
      </c>
      <c r="M2394" s="1" t="str">
        <f t="shared" si="30"/>
        <v>存在しない</v>
      </c>
      <c r="N2394" s="1" t="s">
        <v>29</v>
      </c>
      <c r="O2394" s="1"/>
      <c r="P2394" s="11"/>
      <c r="Q2394" s="11"/>
      <c r="R2394" s="11"/>
      <c r="S2394" s="11"/>
      <c r="T2394" s="1"/>
      <c r="U2394" s="1"/>
      <c r="V2394" s="1"/>
      <c r="W2394" s="1"/>
      <c r="X2394" s="1"/>
      <c r="Y2394" s="1"/>
      <c r="Z2394" s="1"/>
    </row>
    <row r="2395" ht="18.0" hidden="1" customHeight="1" outlineLevel="2">
      <c r="A2395" s="1">
        <v>7.0</v>
      </c>
      <c r="B2395" s="26" t="s">
        <v>978</v>
      </c>
      <c r="C2395" s="1"/>
      <c r="D2395" s="1"/>
      <c r="E2395" s="14"/>
      <c r="F2395" s="15"/>
      <c r="G2395" s="16"/>
      <c r="H2395" s="11"/>
      <c r="I2395" s="7"/>
      <c r="J2395" s="7" t="str">
        <f>IFERROR(LET(_xlpm.v,
VLOOKUP($I2395,'用語辞書'!$A:$B,COLUMN('用語辞書'!B$1),FALSE),
IF(_xlpm.v=0,"",_xlpm.v)
),"")</f>
        <v/>
      </c>
      <c r="K2395" s="17"/>
      <c r="L2395" s="17" t="str">
        <f>IF(OR(COUNTIF('クラス'!$A$1:$A$1267,$B2395)&gt;0,$B2395="",$M2395=""),"",True)</f>
        <v/>
      </c>
      <c r="M2395" s="1" t="str">
        <f t="shared" si="30"/>
        <v/>
      </c>
      <c r="N2395" s="1" t="s">
        <v>29</v>
      </c>
      <c r="O2395" s="1"/>
      <c r="P2395" s="11"/>
      <c r="Q2395" s="11"/>
      <c r="R2395" s="11"/>
      <c r="S2395" s="11"/>
      <c r="T2395" s="1"/>
      <c r="U2395" s="1"/>
      <c r="V2395" s="1"/>
      <c r="W2395" s="1"/>
      <c r="X2395" s="1"/>
      <c r="Y2395" s="1"/>
      <c r="Z2395" s="1"/>
    </row>
    <row r="2396" ht="18.0" hidden="1" customHeight="1" outlineLevel="2">
      <c r="A2396" s="1">
        <v>8.0</v>
      </c>
      <c r="B2396" s="1"/>
      <c r="C2396" s="1"/>
      <c r="D2396" s="1"/>
      <c r="E2396" s="14"/>
      <c r="F2396" s="15"/>
      <c r="G2396" s="16"/>
      <c r="H2396" s="11"/>
      <c r="I2396" s="7"/>
      <c r="J2396" s="7" t="str">
        <f>IFERROR(LET(_xlpm.v,
VLOOKUP($I2396,'用語辞書'!$A:$B,COLUMN('用語辞書'!B$1),FALSE),
IF(_xlpm.v=0,"",_xlpm.v)
),"")</f>
        <v/>
      </c>
      <c r="K2396" s="17"/>
      <c r="L2396" s="17" t="str">
        <f>IF(OR(COUNTIF('クラス'!$A$1:$A$1267,$B2396)&gt;0,$B2396="",$M2396=""),"",True)</f>
        <v/>
      </c>
      <c r="M2396" s="1" t="str">
        <f t="shared" si="30"/>
        <v>存在しない</v>
      </c>
      <c r="N2396" s="1" t="s">
        <v>29</v>
      </c>
      <c r="O2396" s="1"/>
      <c r="P2396" s="11"/>
      <c r="Q2396" s="11"/>
      <c r="R2396" s="11"/>
      <c r="S2396" s="11"/>
      <c r="T2396" s="1"/>
      <c r="U2396" s="1"/>
      <c r="V2396" s="1"/>
      <c r="W2396" s="1"/>
      <c r="X2396" s="1"/>
      <c r="Y2396" s="1"/>
      <c r="Z2396" s="1"/>
    </row>
    <row r="2397" ht="18.0" hidden="1" customHeight="1" outlineLevel="2">
      <c r="A2397" s="1">
        <v>9.0</v>
      </c>
      <c r="B2397" s="26" t="s">
        <v>1793</v>
      </c>
      <c r="C2397" s="1"/>
      <c r="D2397" s="1"/>
      <c r="E2397" s="14"/>
      <c r="F2397" s="15"/>
      <c r="G2397" s="16"/>
      <c r="H2397" s="11"/>
      <c r="I2397" s="7"/>
      <c r="J2397" s="7" t="str">
        <f>IFERROR(LET(_xlpm.v,
VLOOKUP($I2397,'用語辞書'!$A:$B,COLUMN('用語辞書'!B$1),FALSE),
IF(_xlpm.v=0,"",_xlpm.v)
),"")</f>
        <v/>
      </c>
      <c r="K2397" s="17"/>
      <c r="L2397" s="17" t="str">
        <f>IF(OR(COUNTIF('クラス'!$A$1:$A$1267,$B2397)&gt;0,$B2397="",$M2397=""),"",True)</f>
        <v/>
      </c>
      <c r="M2397" s="1" t="str">
        <f t="shared" si="30"/>
        <v/>
      </c>
      <c r="N2397" s="1" t="s">
        <v>29</v>
      </c>
      <c r="O2397" s="1"/>
      <c r="P2397" s="11"/>
      <c r="Q2397" s="11"/>
      <c r="R2397" s="11"/>
      <c r="S2397" s="11"/>
      <c r="T2397" s="1"/>
      <c r="U2397" s="1"/>
      <c r="V2397" s="1"/>
      <c r="W2397" s="1"/>
      <c r="X2397" s="1"/>
      <c r="Y2397" s="1"/>
      <c r="Z2397" s="1"/>
    </row>
    <row r="2398" ht="18.0" hidden="1" customHeight="1" outlineLevel="2">
      <c r="A2398" s="1">
        <v>10.0</v>
      </c>
      <c r="B2398" s="26" t="s">
        <v>2345</v>
      </c>
      <c r="C2398" s="1"/>
      <c r="D2398" s="26" t="s">
        <v>965</v>
      </c>
      <c r="E2398" s="29" t="s">
        <v>33</v>
      </c>
      <c r="F2398" s="15"/>
      <c r="G2398" s="30">
        <v>60.0</v>
      </c>
      <c r="H2398" s="22" t="s">
        <v>2346</v>
      </c>
      <c r="I2398" s="7"/>
      <c r="J2398" s="7" t="str">
        <f>IFERROR(LET(_xlpm.v,
VLOOKUP($I2398,'用語辞書'!$A:$B,COLUMN('用語辞書'!B$1),FALSE),
IF(_xlpm.v=0,"",_xlpm.v)
),"")</f>
        <v/>
      </c>
      <c r="K2398" s="17"/>
      <c r="L2398" s="17" t="b">
        <f>IF(OR(COUNTIF('クラス'!$A$1:$A$1267,$B2398)&gt;0,$B2398="",$M2398=""),"",True)</f>
        <v>1</v>
      </c>
      <c r="M2398" s="1" t="str">
        <f t="shared" si="30"/>
        <v>存在しない</v>
      </c>
      <c r="N2398" s="1" t="s">
        <v>29</v>
      </c>
      <c r="O2398" s="1"/>
      <c r="P2398" s="11"/>
      <c r="Q2398" s="11"/>
      <c r="R2398" s="11"/>
      <c r="S2398" s="11"/>
      <c r="T2398" s="1"/>
      <c r="U2398" s="1"/>
      <c r="V2398" s="1"/>
      <c r="W2398" s="1"/>
      <c r="X2398" s="1"/>
      <c r="Y2398" s="1"/>
      <c r="Z2398" s="1"/>
    </row>
    <row r="2399" ht="18.0" customHeight="1" collapsed="1">
      <c r="A2399" s="1"/>
      <c r="B2399" s="1"/>
      <c r="C2399" s="26" t="s">
        <v>2347</v>
      </c>
      <c r="D2399" s="1"/>
      <c r="E2399" s="14"/>
      <c r="F2399" s="15"/>
      <c r="G2399" s="16"/>
      <c r="H2399" s="11"/>
      <c r="I2399" s="7"/>
      <c r="J2399" s="7" t="str">
        <f>IFERROR(LET(_xlpm.v,
VLOOKUP($I2399,'用語辞書'!$A:$B,COLUMN('用語辞書'!B$1),FALSE),
IF(_xlpm.v=0,"",_xlpm.v)
),"")</f>
        <v/>
      </c>
      <c r="K2399" s="17"/>
      <c r="L2399" s="17" t="str">
        <f>IF(OR(COUNTIF('クラス'!$A$1:$A$1267,$B2399)&gt;0,$B2399="",$M2399=""),"",True)</f>
        <v/>
      </c>
      <c r="M2399" s="1" t="str">
        <f t="shared" si="30"/>
        <v>存在しない</v>
      </c>
      <c r="N2399" s="1" t="s">
        <v>29</v>
      </c>
      <c r="O2399" s="1"/>
      <c r="P2399" s="11"/>
      <c r="Q2399" s="11"/>
      <c r="R2399" s="11"/>
      <c r="S2399" s="11"/>
      <c r="T2399" s="1"/>
      <c r="U2399" s="1"/>
      <c r="V2399" s="1"/>
      <c r="W2399" s="1"/>
      <c r="X2399" s="1"/>
      <c r="Y2399" s="1"/>
      <c r="Z2399" s="1"/>
    </row>
    <row r="2400" ht="18.0" customHeight="1">
      <c r="A2400" s="1"/>
      <c r="B2400" s="26" t="s">
        <v>2348</v>
      </c>
      <c r="C2400" s="1"/>
      <c r="D2400" s="1"/>
      <c r="E2400" s="14"/>
      <c r="F2400" s="15"/>
      <c r="G2400" s="16"/>
      <c r="H2400" s="11"/>
      <c r="I2400" s="7"/>
      <c r="J2400" s="7" t="str">
        <f>IFERROR(LET(_xlpm.v,
VLOOKUP($I2400,'用語辞書'!$A:$B,COLUMN('用語辞書'!B$1),FALSE),
IF(_xlpm.v=0,"",_xlpm.v)
),"")</f>
        <v/>
      </c>
      <c r="K2400" s="17"/>
      <c r="L2400" s="17" t="str">
        <f>IF(OR(COUNTIF('クラス'!$A$1:$A$1267,$B2400)&gt;0,$B2400="",$M2400=""),"",True)</f>
        <v/>
      </c>
      <c r="M2400" s="1" t="str">
        <f t="shared" si="30"/>
        <v>存在しない</v>
      </c>
      <c r="N2400" s="1" t="s">
        <v>29</v>
      </c>
      <c r="O2400" s="1"/>
      <c r="P2400" s="11"/>
      <c r="Q2400" s="11"/>
      <c r="R2400" s="11"/>
      <c r="S2400" s="11"/>
      <c r="T2400" s="1"/>
      <c r="U2400" s="1"/>
      <c r="V2400" s="1"/>
      <c r="W2400" s="1"/>
      <c r="X2400" s="1"/>
      <c r="Y2400" s="1"/>
      <c r="Z2400" s="1"/>
    </row>
    <row r="2401" ht="18.0" hidden="1" customHeight="1" outlineLevel="1">
      <c r="A2401" s="1">
        <v>1.0</v>
      </c>
      <c r="B2401" s="26" t="s">
        <v>1103</v>
      </c>
      <c r="C2401" s="1"/>
      <c r="D2401" s="1"/>
      <c r="E2401" s="14"/>
      <c r="F2401" s="15"/>
      <c r="G2401" s="16"/>
      <c r="H2401" s="11"/>
      <c r="I2401" s="7"/>
      <c r="J2401" s="7" t="str">
        <f>IFERROR(LET(_xlpm.v,
VLOOKUP($I2401,'用語辞書'!$A:$B,COLUMN('用語辞書'!B$1),FALSE),
IF(_xlpm.v=0,"",_xlpm.v)
),"")</f>
        <v/>
      </c>
      <c r="K2401" s="17"/>
      <c r="L2401" s="17" t="str">
        <f>IF(OR(COUNTIF('クラス'!$A$1:$A$1267,$B2401)&gt;0,$B2401="",$M2401=""),"",True)</f>
        <v/>
      </c>
      <c r="M2401" s="1" t="str">
        <f t="shared" si="30"/>
        <v/>
      </c>
      <c r="N2401" s="1" t="s">
        <v>29</v>
      </c>
      <c r="O2401" s="1"/>
      <c r="P2401" s="11"/>
      <c r="Q2401" s="11"/>
      <c r="R2401" s="11"/>
      <c r="S2401" s="11"/>
      <c r="T2401" s="1"/>
      <c r="U2401" s="1"/>
      <c r="V2401" s="1"/>
      <c r="W2401" s="1"/>
      <c r="X2401" s="1"/>
      <c r="Y2401" s="1"/>
      <c r="Z2401" s="1"/>
    </row>
    <row r="2402" ht="18.0" hidden="1" customHeight="1" outlineLevel="1">
      <c r="A2402" s="1">
        <v>2.0</v>
      </c>
      <c r="B2402" s="26" t="s">
        <v>1132</v>
      </c>
      <c r="C2402" s="1"/>
      <c r="D2402" s="1"/>
      <c r="E2402" s="14"/>
      <c r="F2402" s="15"/>
      <c r="G2402" s="16"/>
      <c r="H2402" s="11"/>
      <c r="I2402" s="7"/>
      <c r="J2402" s="7" t="str">
        <f>IFERROR(LET(_xlpm.v,
VLOOKUP($I2402,'用語辞書'!$A:$B,COLUMN('用語辞書'!B$1),FALSE),
IF(_xlpm.v=0,"",_xlpm.v)
),"")</f>
        <v/>
      </c>
      <c r="K2402" s="17"/>
      <c r="L2402" s="17" t="str">
        <f>IF(OR(COUNTIF('クラス'!$A$1:$A$1267,$B2402)&gt;0,$B2402="",$M2402=""),"",True)</f>
        <v/>
      </c>
      <c r="M2402" s="1" t="str">
        <f t="shared" si="30"/>
        <v/>
      </c>
      <c r="N2402" s="1" t="s">
        <v>29</v>
      </c>
      <c r="O2402" s="1"/>
      <c r="P2402" s="11"/>
      <c r="Q2402" s="11"/>
      <c r="R2402" s="11"/>
      <c r="S2402" s="11"/>
      <c r="T2402" s="1"/>
      <c r="U2402" s="1"/>
      <c r="V2402" s="1"/>
      <c r="W2402" s="1"/>
      <c r="X2402" s="1"/>
      <c r="Y2402" s="1"/>
      <c r="Z2402" s="1"/>
    </row>
    <row r="2403" ht="18.0" hidden="1" customHeight="1" outlineLevel="1">
      <c r="A2403" s="1">
        <v>3.0</v>
      </c>
      <c r="B2403" s="26" t="s">
        <v>1125</v>
      </c>
      <c r="C2403" s="1"/>
      <c r="D2403" s="1"/>
      <c r="E2403" s="14"/>
      <c r="F2403" s="15"/>
      <c r="G2403" s="16"/>
      <c r="H2403" s="11"/>
      <c r="I2403" s="7"/>
      <c r="J2403" s="7" t="str">
        <f>IFERROR(LET(_xlpm.v,
VLOOKUP($I2403,'用語辞書'!$A:$B,COLUMN('用語辞書'!B$1),FALSE),
IF(_xlpm.v=0,"",_xlpm.v)
),"")</f>
        <v/>
      </c>
      <c r="K2403" s="17"/>
      <c r="L2403" s="17" t="str">
        <f>IF(OR(COUNTIF('クラス'!$A$1:$A$1267,$B2403)&gt;0,$B2403="",$M2403=""),"",True)</f>
        <v/>
      </c>
      <c r="M2403" s="1" t="str">
        <f t="shared" si="30"/>
        <v/>
      </c>
      <c r="N2403" s="1" t="s">
        <v>29</v>
      </c>
      <c r="O2403" s="1"/>
      <c r="P2403" s="11"/>
      <c r="Q2403" s="11"/>
      <c r="R2403" s="11"/>
      <c r="S2403" s="11"/>
      <c r="T2403" s="1"/>
      <c r="U2403" s="1"/>
      <c r="V2403" s="1"/>
      <c r="W2403" s="1"/>
      <c r="X2403" s="1"/>
      <c r="Y2403" s="1"/>
      <c r="Z2403" s="1"/>
    </row>
    <row r="2404" ht="18.0" hidden="1" customHeight="1" outlineLevel="1">
      <c r="A2404" s="1">
        <v>4.0</v>
      </c>
      <c r="B2404" s="26" t="s">
        <v>1111</v>
      </c>
      <c r="C2404" s="1"/>
      <c r="D2404" s="1"/>
      <c r="E2404" s="14"/>
      <c r="F2404" s="15"/>
      <c r="G2404" s="16"/>
      <c r="H2404" s="11"/>
      <c r="I2404" s="7"/>
      <c r="J2404" s="7" t="str">
        <f>IFERROR(LET(_xlpm.v,
VLOOKUP($I2404,'用語辞書'!$A:$B,COLUMN('用語辞書'!B$1),FALSE),
IF(_xlpm.v=0,"",_xlpm.v)
),"")</f>
        <v/>
      </c>
      <c r="K2404" s="17"/>
      <c r="L2404" s="17" t="str">
        <f>IF(OR(COUNTIF('クラス'!$A$1:$A$1267,$B2404)&gt;0,$B2404="",$M2404=""),"",True)</f>
        <v/>
      </c>
      <c r="M2404" s="1" t="str">
        <f t="shared" si="30"/>
        <v/>
      </c>
      <c r="N2404" s="1" t="s">
        <v>29</v>
      </c>
      <c r="O2404" s="1"/>
      <c r="P2404" s="11"/>
      <c r="Q2404" s="11"/>
      <c r="R2404" s="11"/>
      <c r="S2404" s="11"/>
      <c r="T2404" s="1"/>
      <c r="U2404" s="1"/>
      <c r="V2404" s="1"/>
      <c r="W2404" s="1"/>
      <c r="X2404" s="1"/>
      <c r="Y2404" s="1"/>
      <c r="Z2404" s="1"/>
    </row>
    <row r="2405" ht="18.0" hidden="1" customHeight="1" outlineLevel="1">
      <c r="A2405" s="1">
        <v>5.0</v>
      </c>
      <c r="B2405" s="26" t="s">
        <v>1500</v>
      </c>
      <c r="C2405" s="1"/>
      <c r="D2405" s="1"/>
      <c r="E2405" s="14"/>
      <c r="F2405" s="15"/>
      <c r="G2405" s="16"/>
      <c r="H2405" s="11"/>
      <c r="I2405" s="7"/>
      <c r="J2405" s="7" t="str">
        <f>IFERROR(LET(_xlpm.v,
VLOOKUP($I2405,'用語辞書'!$A:$B,COLUMN('用語辞書'!B$1),FALSE),
IF(_xlpm.v=0,"",_xlpm.v)
),"")</f>
        <v/>
      </c>
      <c r="K2405" s="17"/>
      <c r="L2405" s="17" t="str">
        <f>IF(OR(COUNTIF('クラス'!$A$1:$A$1267,$B2405)&gt;0,$B2405="",$M2405=""),"",True)</f>
        <v/>
      </c>
      <c r="M2405" s="1" t="str">
        <f t="shared" si="30"/>
        <v/>
      </c>
      <c r="N2405" s="1" t="s">
        <v>29</v>
      </c>
      <c r="O2405" s="1"/>
      <c r="P2405" s="11"/>
      <c r="Q2405" s="11"/>
      <c r="R2405" s="11"/>
      <c r="S2405" s="11"/>
      <c r="T2405" s="1"/>
      <c r="U2405" s="1"/>
      <c r="V2405" s="1"/>
      <c r="W2405" s="1"/>
      <c r="X2405" s="1"/>
      <c r="Y2405" s="1"/>
      <c r="Z2405" s="1"/>
    </row>
    <row r="2406" ht="18.0" hidden="1" customHeight="1" outlineLevel="1">
      <c r="A2406" s="1">
        <v>6.0</v>
      </c>
      <c r="B2406" s="1"/>
      <c r="C2406" s="1"/>
      <c r="D2406" s="1"/>
      <c r="E2406" s="14"/>
      <c r="F2406" s="15"/>
      <c r="G2406" s="16"/>
      <c r="H2406" s="11"/>
      <c r="I2406" s="7"/>
      <c r="J2406" s="7" t="str">
        <f>IFERROR(LET(_xlpm.v,
VLOOKUP($I2406,'用語辞書'!$A:$B,COLUMN('用語辞書'!B$1),FALSE),
IF(_xlpm.v=0,"",_xlpm.v)
),"")</f>
        <v/>
      </c>
      <c r="K2406" s="17"/>
      <c r="L2406" s="17" t="str">
        <f>IF(OR(COUNTIF('クラス'!$A$1:$A$1267,$B2406)&gt;0,$B2406="",$M2406=""),"",True)</f>
        <v/>
      </c>
      <c r="M2406" s="1" t="str">
        <f t="shared" si="30"/>
        <v>存在しない</v>
      </c>
      <c r="N2406" s="1" t="s">
        <v>29</v>
      </c>
      <c r="O2406" s="1"/>
      <c r="P2406" s="11"/>
      <c r="Q2406" s="11"/>
      <c r="R2406" s="11"/>
      <c r="S2406" s="11"/>
      <c r="T2406" s="1"/>
      <c r="U2406" s="1"/>
      <c r="V2406" s="1"/>
      <c r="W2406" s="1"/>
      <c r="X2406" s="1"/>
      <c r="Y2406" s="1"/>
      <c r="Z2406" s="1"/>
    </row>
    <row r="2407" ht="18.0" hidden="1" customHeight="1" outlineLevel="1">
      <c r="A2407" s="1">
        <v>7.0</v>
      </c>
      <c r="B2407" s="26" t="s">
        <v>1116</v>
      </c>
      <c r="C2407" s="1"/>
      <c r="D2407" s="1"/>
      <c r="E2407" s="14"/>
      <c r="F2407" s="15"/>
      <c r="G2407" s="16"/>
      <c r="H2407" s="11"/>
      <c r="I2407" s="7"/>
      <c r="J2407" s="7" t="str">
        <f>IFERROR(LET(_xlpm.v,
VLOOKUP($I2407,'用語辞書'!$A:$B,COLUMN('用語辞書'!B$1),FALSE),
IF(_xlpm.v=0,"",_xlpm.v)
),"")</f>
        <v/>
      </c>
      <c r="K2407" s="17"/>
      <c r="L2407" s="17" t="str">
        <f>IF(OR(COUNTIF('クラス'!$A$1:$A$1267,$B2407)&gt;0,$B2407="",$M2407=""),"",True)</f>
        <v/>
      </c>
      <c r="M2407" s="1" t="str">
        <f t="shared" si="30"/>
        <v/>
      </c>
      <c r="N2407" s="1" t="s">
        <v>29</v>
      </c>
      <c r="O2407" s="1"/>
      <c r="P2407" s="11"/>
      <c r="Q2407" s="11"/>
      <c r="R2407" s="11"/>
      <c r="S2407" s="11"/>
      <c r="T2407" s="1"/>
      <c r="U2407" s="1"/>
      <c r="V2407" s="1"/>
      <c r="W2407" s="1"/>
      <c r="X2407" s="1"/>
      <c r="Y2407" s="1"/>
      <c r="Z2407" s="1"/>
    </row>
    <row r="2408" ht="18.0" hidden="1" customHeight="1" outlineLevel="1">
      <c r="A2408" s="1">
        <v>8.0</v>
      </c>
      <c r="B2408" s="1"/>
      <c r="C2408" s="1"/>
      <c r="D2408" s="1"/>
      <c r="E2408" s="14"/>
      <c r="F2408" s="15"/>
      <c r="G2408" s="16"/>
      <c r="H2408" s="11"/>
      <c r="I2408" s="7"/>
      <c r="J2408" s="7" t="str">
        <f>IFERROR(LET(_xlpm.v,
VLOOKUP($I2408,'用語辞書'!$A:$B,COLUMN('用語辞書'!B$1),FALSE),
IF(_xlpm.v=0,"",_xlpm.v)
),"")</f>
        <v/>
      </c>
      <c r="K2408" s="17"/>
      <c r="L2408" s="17" t="str">
        <f>IF(OR(COUNTIF('クラス'!$A$1:$A$1267,$B2408)&gt;0,$B2408="",$M2408=""),"",True)</f>
        <v/>
      </c>
      <c r="M2408" s="1" t="str">
        <f t="shared" si="30"/>
        <v>存在しない</v>
      </c>
      <c r="N2408" s="1" t="s">
        <v>29</v>
      </c>
      <c r="O2408" s="1"/>
      <c r="P2408" s="11"/>
      <c r="Q2408" s="11"/>
      <c r="R2408" s="11"/>
      <c r="S2408" s="11"/>
      <c r="T2408" s="1"/>
      <c r="U2408" s="1"/>
      <c r="V2408" s="1"/>
      <c r="W2408" s="1"/>
      <c r="X2408" s="1"/>
      <c r="Y2408" s="1"/>
      <c r="Z2408" s="1"/>
    </row>
    <row r="2409" ht="18.0" hidden="1" customHeight="1" outlineLevel="1">
      <c r="A2409" s="1">
        <v>9.0</v>
      </c>
      <c r="B2409" s="1"/>
      <c r="C2409" s="1"/>
      <c r="D2409" s="1"/>
      <c r="E2409" s="14"/>
      <c r="F2409" s="15"/>
      <c r="G2409" s="16"/>
      <c r="H2409" s="11"/>
      <c r="I2409" s="7"/>
      <c r="J2409" s="7" t="str">
        <f>IFERROR(LET(_xlpm.v,
VLOOKUP($I2409,'用語辞書'!$A:$B,COLUMN('用語辞書'!B$1),FALSE),
IF(_xlpm.v=0,"",_xlpm.v)
),"")</f>
        <v/>
      </c>
      <c r="K2409" s="17"/>
      <c r="L2409" s="17" t="str">
        <f>IF(OR(COUNTIF('クラス'!$A$1:$A$1267,$B2409)&gt;0,$B2409="",$M2409=""),"",True)</f>
        <v/>
      </c>
      <c r="M2409" s="1" t="str">
        <f t="shared" si="30"/>
        <v>存在しない</v>
      </c>
      <c r="N2409" s="1" t="s">
        <v>29</v>
      </c>
      <c r="O2409" s="1"/>
      <c r="P2409" s="11"/>
      <c r="Q2409" s="11"/>
      <c r="R2409" s="11"/>
      <c r="S2409" s="11"/>
      <c r="T2409" s="1"/>
      <c r="U2409" s="1"/>
      <c r="V2409" s="1"/>
      <c r="W2409" s="1"/>
      <c r="X2409" s="1"/>
      <c r="Y2409" s="1"/>
      <c r="Z2409" s="1"/>
    </row>
    <row r="2410" ht="18.0" hidden="1" customHeight="1" outlineLevel="1">
      <c r="A2410" s="1">
        <v>10.0</v>
      </c>
      <c r="B2410" s="26" t="s">
        <v>2349</v>
      </c>
      <c r="C2410" s="26" t="s">
        <v>29</v>
      </c>
      <c r="D2410" s="26" t="s">
        <v>29</v>
      </c>
      <c r="E2410" s="29" t="s">
        <v>55</v>
      </c>
      <c r="F2410" s="34" t="s">
        <v>29</v>
      </c>
      <c r="G2410" s="30" t="s">
        <v>29</v>
      </c>
      <c r="H2410" s="22" t="s">
        <v>2350</v>
      </c>
      <c r="I2410" s="7"/>
      <c r="J2410" s="7" t="str">
        <f>IFERROR(LET(_xlpm.v,
VLOOKUP($I2410,'用語辞書'!$A:$B,COLUMN('用語辞書'!B$1),FALSE),
IF(_xlpm.v=0,"",_xlpm.v)
),"")</f>
        <v/>
      </c>
      <c r="K2410" s="17"/>
      <c r="L2410" s="17" t="b">
        <f>IF(OR(COUNTIF('クラス'!$A$1:$A$1267,$B2410)&gt;0,$B2410="",$M2410=""),"",True)</f>
        <v>1</v>
      </c>
      <c r="M2410" s="1" t="str">
        <f t="shared" si="30"/>
        <v>存在しない</v>
      </c>
      <c r="N2410" s="1" t="s">
        <v>29</v>
      </c>
      <c r="O2410" s="1"/>
      <c r="P2410" s="11"/>
      <c r="Q2410" s="11"/>
      <c r="R2410" s="11"/>
      <c r="S2410" s="11"/>
      <c r="T2410" s="1"/>
      <c r="U2410" s="1"/>
      <c r="V2410" s="1"/>
      <c r="W2410" s="1"/>
      <c r="X2410" s="1"/>
      <c r="Y2410" s="1"/>
      <c r="Z2410" s="1"/>
    </row>
    <row r="2411" ht="18.0" customHeight="1" collapsed="1">
      <c r="A2411" s="1"/>
      <c r="B2411" s="1"/>
      <c r="C2411" s="1"/>
      <c r="D2411" s="1"/>
      <c r="E2411" s="14"/>
      <c r="F2411" s="15"/>
      <c r="G2411" s="16"/>
      <c r="H2411" s="11"/>
      <c r="I2411" s="7"/>
      <c r="J2411" s="7" t="str">
        <f>IFERROR(LET(_xlpm.v,
VLOOKUP($I2411,'用語辞書'!$A:$B,COLUMN('用語辞書'!B$1),FALSE),
IF(_xlpm.v=0,"",_xlpm.v)
),"")</f>
        <v/>
      </c>
      <c r="K2411" s="17"/>
      <c r="L2411" s="17" t="str">
        <f>IF(OR(COUNTIF('クラス'!$A$1:$A$1267,$B2411)&gt;0,$B2411="",$M2411=""),"",True)</f>
        <v/>
      </c>
      <c r="M2411" s="1" t="str">
        <f t="shared" si="30"/>
        <v>存在しない</v>
      </c>
      <c r="N2411" s="1" t="s">
        <v>29</v>
      </c>
      <c r="O2411" s="1"/>
      <c r="P2411" s="11"/>
      <c r="Q2411" s="11"/>
      <c r="R2411" s="11"/>
      <c r="S2411" s="11"/>
      <c r="T2411" s="1"/>
      <c r="U2411" s="1"/>
      <c r="V2411" s="1"/>
      <c r="W2411" s="1"/>
      <c r="X2411" s="1"/>
      <c r="Y2411" s="1"/>
      <c r="Z2411" s="1"/>
    </row>
    <row r="2412" ht="18.0" customHeight="1">
      <c r="A2412" s="1"/>
      <c r="B2412" s="26" t="s">
        <v>2351</v>
      </c>
      <c r="C2412" s="1"/>
      <c r="D2412" s="1"/>
      <c r="E2412" s="14"/>
      <c r="F2412" s="15"/>
      <c r="G2412" s="16"/>
      <c r="H2412" s="11"/>
      <c r="I2412" s="7"/>
      <c r="J2412" s="7" t="str">
        <f>IFERROR(LET(_xlpm.v,
VLOOKUP($I2412,'用語辞書'!$A:$B,COLUMN('用語辞書'!B$1),FALSE),
IF(_xlpm.v=0,"",_xlpm.v)
),"")</f>
        <v/>
      </c>
      <c r="K2412" s="17"/>
      <c r="L2412" s="17" t="str">
        <f>IF(OR(COUNTIF('クラス'!$A$1:$A$1267,$B2412)&gt;0,$B2412="",$M2412=""),"",True)</f>
        <v/>
      </c>
      <c r="M2412" s="1" t="str">
        <f t="shared" si="30"/>
        <v>存在しない</v>
      </c>
      <c r="N2412" s="1" t="s">
        <v>29</v>
      </c>
      <c r="O2412" s="1"/>
      <c r="P2412" s="11"/>
      <c r="Q2412" s="11"/>
      <c r="R2412" s="11"/>
      <c r="S2412" s="11"/>
      <c r="T2412" s="1"/>
      <c r="U2412" s="1"/>
      <c r="V2412" s="1"/>
      <c r="W2412" s="1"/>
      <c r="X2412" s="1"/>
      <c r="Y2412" s="1"/>
      <c r="Z2412" s="1"/>
    </row>
    <row r="2413" ht="18.0" hidden="1" customHeight="1" outlineLevel="1">
      <c r="A2413" s="1">
        <v>1.0</v>
      </c>
      <c r="B2413" s="26" t="s">
        <v>2352</v>
      </c>
      <c r="C2413" s="26" t="s">
        <v>29</v>
      </c>
      <c r="D2413" s="26" t="s">
        <v>29</v>
      </c>
      <c r="E2413" s="29" t="s">
        <v>33</v>
      </c>
      <c r="F2413" s="34" t="s">
        <v>29</v>
      </c>
      <c r="G2413" s="30">
        <v>50.0</v>
      </c>
      <c r="H2413" s="22" t="s">
        <v>2353</v>
      </c>
      <c r="I2413" s="7"/>
      <c r="J2413" s="7" t="str">
        <f>IFERROR(LET(_xlpm.v,
VLOOKUP($I2413,'用語辞書'!$A:$B,COLUMN('用語辞書'!B$1),FALSE),
IF(_xlpm.v=0,"",_xlpm.v)
),"")</f>
        <v/>
      </c>
      <c r="K2413" s="17"/>
      <c r="L2413" s="17" t="b">
        <f>IF(OR(COUNTIF('クラス'!$A$1:$A$1267,$B2413)&gt;0,$B2413="",$M2413=""),"",True)</f>
        <v>1</v>
      </c>
      <c r="M2413" s="1" t="str">
        <f t="shared" si="30"/>
        <v>存在しない</v>
      </c>
      <c r="N2413" s="1" t="s">
        <v>29</v>
      </c>
      <c r="O2413" s="1"/>
      <c r="P2413" s="11"/>
      <c r="Q2413" s="11"/>
      <c r="R2413" s="11"/>
      <c r="S2413" s="11"/>
      <c r="T2413" s="1"/>
      <c r="U2413" s="1"/>
      <c r="V2413" s="1"/>
      <c r="W2413" s="1"/>
      <c r="X2413" s="1"/>
      <c r="Y2413" s="1"/>
      <c r="Z2413" s="1"/>
    </row>
    <row r="2414" ht="18.0" hidden="1" customHeight="1" outlineLevel="1">
      <c r="A2414" s="1">
        <v>2.0</v>
      </c>
      <c r="B2414" s="26" t="s">
        <v>29</v>
      </c>
      <c r="C2414" s="1"/>
      <c r="D2414" s="1"/>
      <c r="E2414" s="14"/>
      <c r="F2414" s="15"/>
      <c r="G2414" s="16"/>
      <c r="H2414" s="11"/>
      <c r="I2414" s="7"/>
      <c r="J2414" s="7" t="str">
        <f>IFERROR(LET(_xlpm.v,
VLOOKUP($I2414,'用語辞書'!$A:$B,COLUMN('用語辞書'!B$1),FALSE),
IF(_xlpm.v=0,"",_xlpm.v)
),"")</f>
        <v/>
      </c>
      <c r="K2414" s="17"/>
      <c r="L2414" s="17" t="str">
        <f>IF(OR(COUNTIF('クラス'!$A$1:$A$1267,$B2414)&gt;0,$B2414="",$M2414=""),"",True)</f>
        <v/>
      </c>
      <c r="M2414" s="1" t="str">
        <f t="shared" si="30"/>
        <v/>
      </c>
      <c r="N2414" s="1" t="s">
        <v>29</v>
      </c>
      <c r="O2414" s="1"/>
      <c r="P2414" s="11"/>
      <c r="Q2414" s="11"/>
      <c r="R2414" s="11"/>
      <c r="S2414" s="11"/>
      <c r="T2414" s="1"/>
      <c r="U2414" s="1"/>
      <c r="V2414" s="1"/>
      <c r="W2414" s="1"/>
      <c r="X2414" s="1"/>
      <c r="Y2414" s="1"/>
      <c r="Z2414" s="1"/>
    </row>
    <row r="2415" ht="18.0" hidden="1" customHeight="1" outlineLevel="1">
      <c r="A2415" s="1">
        <v>3.0</v>
      </c>
      <c r="B2415" s="26" t="s">
        <v>2354</v>
      </c>
      <c r="C2415" s="26" t="s">
        <v>29</v>
      </c>
      <c r="D2415" s="26" t="s">
        <v>29</v>
      </c>
      <c r="E2415" s="29" t="s">
        <v>55</v>
      </c>
      <c r="F2415" s="34" t="s">
        <v>29</v>
      </c>
      <c r="G2415" s="30" t="s">
        <v>29</v>
      </c>
      <c r="H2415" s="22" t="s">
        <v>2355</v>
      </c>
      <c r="I2415" s="7"/>
      <c r="J2415" s="7" t="str">
        <f>IFERROR(LET(_xlpm.v,
VLOOKUP($I2415,'用語辞書'!$A:$B,COLUMN('用語辞書'!B$1),FALSE),
IF(_xlpm.v=0,"",_xlpm.v)
),"")</f>
        <v/>
      </c>
      <c r="K2415" s="17"/>
      <c r="L2415" s="17" t="b">
        <f>IF(OR(COUNTIF('クラス'!$A$1:$A$1267,$B2415)&gt;0,$B2415="",$M2415=""),"",True)</f>
        <v>1</v>
      </c>
      <c r="M2415" s="1" t="str">
        <f t="shared" si="30"/>
        <v>存在しない</v>
      </c>
      <c r="N2415" s="1" t="s">
        <v>29</v>
      </c>
      <c r="O2415" s="1"/>
      <c r="P2415" s="11"/>
      <c r="Q2415" s="11"/>
      <c r="R2415" s="11"/>
      <c r="S2415" s="11"/>
      <c r="T2415" s="1"/>
      <c r="U2415" s="1"/>
      <c r="V2415" s="1"/>
      <c r="W2415" s="1"/>
      <c r="X2415" s="1"/>
      <c r="Y2415" s="1"/>
      <c r="Z2415" s="1"/>
    </row>
    <row r="2416" ht="18.0" hidden="1" customHeight="1" outlineLevel="1">
      <c r="A2416" s="1">
        <v>4.0</v>
      </c>
      <c r="B2416" s="26" t="s">
        <v>29</v>
      </c>
      <c r="C2416" s="1"/>
      <c r="D2416" s="1"/>
      <c r="E2416" s="14"/>
      <c r="F2416" s="15"/>
      <c r="G2416" s="16"/>
      <c r="H2416" s="11"/>
      <c r="I2416" s="7"/>
      <c r="J2416" s="7" t="str">
        <f>IFERROR(LET(_xlpm.v,
VLOOKUP($I2416,'用語辞書'!$A:$B,COLUMN('用語辞書'!B$1),FALSE),
IF(_xlpm.v=0,"",_xlpm.v)
),"")</f>
        <v/>
      </c>
      <c r="K2416" s="17"/>
      <c r="L2416" s="17" t="str">
        <f>IF(OR(COUNTIF('クラス'!$A$1:$A$1267,$B2416)&gt;0,$B2416="",$M2416=""),"",True)</f>
        <v/>
      </c>
      <c r="M2416" s="1" t="str">
        <f t="shared" si="30"/>
        <v/>
      </c>
      <c r="N2416" s="1" t="s">
        <v>29</v>
      </c>
      <c r="O2416" s="1"/>
      <c r="P2416" s="11"/>
      <c r="Q2416" s="11"/>
      <c r="R2416" s="11"/>
      <c r="S2416" s="11"/>
      <c r="T2416" s="1"/>
      <c r="U2416" s="1"/>
      <c r="V2416" s="1"/>
      <c r="W2416" s="1"/>
      <c r="X2416" s="1"/>
      <c r="Y2416" s="1"/>
      <c r="Z2416" s="1"/>
    </row>
    <row r="2417" ht="18.0" hidden="1" customHeight="1" outlineLevel="1">
      <c r="A2417" s="1">
        <v>5.0</v>
      </c>
      <c r="B2417" s="26" t="s">
        <v>2356</v>
      </c>
      <c r="C2417" s="26" t="s">
        <v>29</v>
      </c>
      <c r="D2417" s="26" t="s">
        <v>29</v>
      </c>
      <c r="E2417" s="29" t="s">
        <v>33</v>
      </c>
      <c r="F2417" s="34" t="s">
        <v>29</v>
      </c>
      <c r="G2417" s="30">
        <v>60.0</v>
      </c>
      <c r="H2417" s="22" t="s">
        <v>2357</v>
      </c>
      <c r="I2417" s="7"/>
      <c r="J2417" s="7" t="str">
        <f>IFERROR(LET(_xlpm.v,
VLOOKUP($I2417,'用語辞書'!$A:$B,COLUMN('用語辞書'!B$1),FALSE),
IF(_xlpm.v=0,"",_xlpm.v)
),"")</f>
        <v/>
      </c>
      <c r="K2417" s="17"/>
      <c r="L2417" s="17" t="b">
        <f>IF(OR(COUNTIF('クラス'!$A$1:$A$1267,$B2417)&gt;0,$B2417="",$M2417=""),"",True)</f>
        <v>1</v>
      </c>
      <c r="M2417" s="1" t="str">
        <f t="shared" si="30"/>
        <v>存在しない</v>
      </c>
      <c r="N2417" s="1" t="s">
        <v>29</v>
      </c>
      <c r="O2417" s="1"/>
      <c r="P2417" s="11"/>
      <c r="Q2417" s="11"/>
      <c r="R2417" s="11"/>
      <c r="S2417" s="11"/>
      <c r="T2417" s="1"/>
      <c r="U2417" s="1"/>
      <c r="V2417" s="1"/>
      <c r="W2417" s="1"/>
      <c r="X2417" s="1"/>
      <c r="Y2417" s="1"/>
      <c r="Z2417" s="1"/>
    </row>
    <row r="2418" ht="18.0" hidden="1" customHeight="1" outlineLevel="1">
      <c r="A2418" s="1">
        <v>6.0</v>
      </c>
      <c r="B2418" s="26" t="s">
        <v>29</v>
      </c>
      <c r="C2418" s="1"/>
      <c r="D2418" s="1"/>
      <c r="E2418" s="14"/>
      <c r="F2418" s="15"/>
      <c r="G2418" s="16"/>
      <c r="H2418" s="11"/>
      <c r="I2418" s="7"/>
      <c r="J2418" s="7" t="str">
        <f>IFERROR(LET(_xlpm.v,
VLOOKUP($I2418,'用語辞書'!$A:$B,COLUMN('用語辞書'!B$1),FALSE),
IF(_xlpm.v=0,"",_xlpm.v)
),"")</f>
        <v/>
      </c>
      <c r="K2418" s="17"/>
      <c r="L2418" s="17" t="str">
        <f>IF(OR(COUNTIF('クラス'!$A$1:$A$1267,$B2418)&gt;0,$B2418="",$M2418=""),"",True)</f>
        <v/>
      </c>
      <c r="M2418" s="1" t="str">
        <f t="shared" si="30"/>
        <v/>
      </c>
      <c r="N2418" s="1" t="s">
        <v>29</v>
      </c>
      <c r="O2418" s="1"/>
      <c r="P2418" s="11"/>
      <c r="Q2418" s="11"/>
      <c r="R2418" s="11"/>
      <c r="S2418" s="11"/>
      <c r="T2418" s="1"/>
      <c r="U2418" s="1"/>
      <c r="V2418" s="1"/>
      <c r="W2418" s="1"/>
      <c r="X2418" s="1"/>
      <c r="Y2418" s="1"/>
      <c r="Z2418" s="1"/>
    </row>
    <row r="2419" ht="18.0" hidden="1" customHeight="1" outlineLevel="1">
      <c r="A2419" s="1">
        <v>7.0</v>
      </c>
      <c r="B2419" s="26" t="s">
        <v>2358</v>
      </c>
      <c r="C2419" s="26" t="s">
        <v>29</v>
      </c>
      <c r="D2419" s="26" t="s">
        <v>29</v>
      </c>
      <c r="E2419" s="29" t="s">
        <v>33</v>
      </c>
      <c r="F2419" s="34" t="s">
        <v>29</v>
      </c>
      <c r="G2419" s="30">
        <v>40.0</v>
      </c>
      <c r="H2419" s="22" t="s">
        <v>2359</v>
      </c>
      <c r="I2419" s="7"/>
      <c r="J2419" s="7" t="str">
        <f>IFERROR(LET(_xlpm.v,
VLOOKUP($I2419,'用語辞書'!$A:$B,COLUMN('用語辞書'!B$1),FALSE),
IF(_xlpm.v=0,"",_xlpm.v)
),"")</f>
        <v/>
      </c>
      <c r="K2419" s="17"/>
      <c r="L2419" s="17" t="b">
        <f>IF(OR(COUNTIF('クラス'!$A$1:$A$1267,$B2419)&gt;0,$B2419="",$M2419=""),"",True)</f>
        <v>1</v>
      </c>
      <c r="M2419" s="1" t="str">
        <f t="shared" si="30"/>
        <v>存在しない</v>
      </c>
      <c r="N2419" s="1" t="s">
        <v>29</v>
      </c>
      <c r="O2419" s="1"/>
      <c r="P2419" s="11"/>
      <c r="Q2419" s="11"/>
      <c r="R2419" s="11"/>
      <c r="S2419" s="11"/>
      <c r="T2419" s="1"/>
      <c r="U2419" s="1"/>
      <c r="V2419" s="1"/>
      <c r="W2419" s="1"/>
      <c r="X2419" s="1"/>
      <c r="Y2419" s="1"/>
      <c r="Z2419" s="1"/>
    </row>
    <row r="2420" ht="18.0" hidden="1" customHeight="1" outlineLevel="1">
      <c r="A2420" s="1">
        <v>8.0</v>
      </c>
      <c r="B2420" s="26" t="s">
        <v>29</v>
      </c>
      <c r="C2420" s="1"/>
      <c r="D2420" s="1"/>
      <c r="E2420" s="14"/>
      <c r="F2420" s="15"/>
      <c r="G2420" s="16"/>
      <c r="H2420" s="11"/>
      <c r="I2420" s="7"/>
      <c r="J2420" s="7" t="str">
        <f>IFERROR(LET(_xlpm.v,
VLOOKUP($I2420,'用語辞書'!$A:$B,COLUMN('用語辞書'!B$1),FALSE),
IF(_xlpm.v=0,"",_xlpm.v)
),"")</f>
        <v/>
      </c>
      <c r="K2420" s="17"/>
      <c r="L2420" s="17" t="str">
        <f>IF(OR(COUNTIF('クラス'!$A$1:$A$1267,$B2420)&gt;0,$B2420="",$M2420=""),"",True)</f>
        <v/>
      </c>
      <c r="M2420" s="1" t="str">
        <f t="shared" si="30"/>
        <v/>
      </c>
      <c r="N2420" s="1" t="s">
        <v>29</v>
      </c>
      <c r="O2420" s="1"/>
      <c r="P2420" s="11"/>
      <c r="Q2420" s="11"/>
      <c r="R2420" s="11"/>
      <c r="S2420" s="11"/>
      <c r="T2420" s="1"/>
      <c r="U2420" s="1"/>
      <c r="V2420" s="1"/>
      <c r="W2420" s="1"/>
      <c r="X2420" s="1"/>
      <c r="Y2420" s="1"/>
      <c r="Z2420" s="1"/>
    </row>
    <row r="2421" ht="18.0" hidden="1" customHeight="1" outlineLevel="1">
      <c r="A2421" s="1">
        <v>9.0</v>
      </c>
      <c r="B2421" s="26" t="s">
        <v>2360</v>
      </c>
      <c r="C2421" s="26" t="s">
        <v>29</v>
      </c>
      <c r="D2421" s="26" t="s">
        <v>29</v>
      </c>
      <c r="E2421" s="29" t="s">
        <v>55</v>
      </c>
      <c r="F2421" s="34" t="s">
        <v>29</v>
      </c>
      <c r="G2421" s="30" t="s">
        <v>29</v>
      </c>
      <c r="H2421" s="22" t="s">
        <v>2361</v>
      </c>
      <c r="I2421" s="7"/>
      <c r="J2421" s="7" t="str">
        <f>IFERROR(LET(_xlpm.v,
VLOOKUP($I2421,'用語辞書'!$A:$B,COLUMN('用語辞書'!B$1),FALSE),
IF(_xlpm.v=0,"",_xlpm.v)
),"")</f>
        <v/>
      </c>
      <c r="K2421" s="17"/>
      <c r="L2421" s="17" t="b">
        <f>IF(OR(COUNTIF('クラス'!$A$1:$A$1267,$B2421)&gt;0,$B2421="",$M2421=""),"",True)</f>
        <v>1</v>
      </c>
      <c r="M2421" s="1" t="str">
        <f t="shared" si="30"/>
        <v>存在しない</v>
      </c>
      <c r="N2421" s="1" t="s">
        <v>29</v>
      </c>
      <c r="O2421" s="1"/>
      <c r="P2421" s="11"/>
      <c r="Q2421" s="11"/>
      <c r="R2421" s="11"/>
      <c r="S2421" s="11"/>
      <c r="T2421" s="1"/>
      <c r="U2421" s="1"/>
      <c r="V2421" s="1"/>
      <c r="W2421" s="1"/>
      <c r="X2421" s="1"/>
      <c r="Y2421" s="1"/>
      <c r="Z2421" s="1"/>
    </row>
    <row r="2422" ht="18.0" hidden="1" customHeight="1" outlineLevel="1">
      <c r="A2422" s="1">
        <v>10.0</v>
      </c>
      <c r="B2422" s="26" t="s">
        <v>2362</v>
      </c>
      <c r="C2422" s="26" t="s">
        <v>29</v>
      </c>
      <c r="D2422" s="26" t="s">
        <v>29</v>
      </c>
      <c r="E2422" s="29" t="s">
        <v>33</v>
      </c>
      <c r="F2422" s="34" t="s">
        <v>29</v>
      </c>
      <c r="G2422" s="30">
        <v>60.0</v>
      </c>
      <c r="H2422" s="22" t="s">
        <v>2363</v>
      </c>
      <c r="I2422" s="7"/>
      <c r="J2422" s="7" t="str">
        <f>IFERROR(LET(_xlpm.v,
VLOOKUP($I2422,'用語辞書'!$A:$B,COLUMN('用語辞書'!B$1),FALSE),
IF(_xlpm.v=0,"",_xlpm.v)
),"")</f>
        <v/>
      </c>
      <c r="K2422" s="17"/>
      <c r="L2422" s="17" t="b">
        <f>IF(OR(COUNTIF('クラス'!$A$1:$A$1267,$B2422)&gt;0,$B2422="",$M2422=""),"",True)</f>
        <v>1</v>
      </c>
      <c r="M2422" s="1" t="str">
        <f t="shared" si="30"/>
        <v>存在しない</v>
      </c>
      <c r="N2422" s="1" t="s">
        <v>29</v>
      </c>
      <c r="O2422" s="1"/>
      <c r="P2422" s="11"/>
      <c r="Q2422" s="11"/>
      <c r="R2422" s="11"/>
      <c r="S2422" s="11"/>
      <c r="T2422" s="1"/>
      <c r="U2422" s="1"/>
      <c r="V2422" s="1"/>
      <c r="W2422" s="1"/>
      <c r="X2422" s="1"/>
      <c r="Y2422" s="1"/>
      <c r="Z2422" s="1"/>
    </row>
    <row r="2423" ht="18.0" customHeight="1" collapsed="1">
      <c r="A2423" s="1"/>
      <c r="B2423" s="1"/>
      <c r="C2423" s="1"/>
      <c r="D2423" s="1"/>
      <c r="E2423" s="14"/>
      <c r="F2423" s="15"/>
      <c r="G2423" s="16"/>
      <c r="H2423" s="11"/>
      <c r="I2423" s="7"/>
      <c r="J2423" s="7" t="str">
        <f>IFERROR(LET(_xlpm.v,
VLOOKUP($I2423,'用語辞書'!$A:$B,COLUMN('用語辞書'!B$1),FALSE),
IF(_xlpm.v=0,"",_xlpm.v)
),"")</f>
        <v/>
      </c>
      <c r="K2423" s="17"/>
      <c r="L2423" s="17" t="str">
        <f>IF(OR(COUNTIF('クラス'!$A$1:$A$1267,$B2423)&gt;0,$B2423="",$M2423=""),"",True)</f>
        <v/>
      </c>
      <c r="M2423" s="1" t="str">
        <f t="shared" si="30"/>
        <v>存在しない</v>
      </c>
      <c r="N2423" s="1" t="s">
        <v>29</v>
      </c>
      <c r="O2423" s="1"/>
      <c r="P2423" s="11"/>
      <c r="Q2423" s="11"/>
      <c r="R2423" s="11"/>
      <c r="S2423" s="11"/>
      <c r="T2423" s="1"/>
      <c r="U2423" s="1"/>
      <c r="V2423" s="1"/>
      <c r="W2423" s="1"/>
      <c r="X2423" s="1"/>
      <c r="Y2423" s="1"/>
      <c r="Z2423" s="1"/>
    </row>
    <row r="2424" ht="18.0" customHeight="1">
      <c r="A2424" s="1"/>
      <c r="B2424" s="26" t="s">
        <v>2364</v>
      </c>
      <c r="C2424" s="1"/>
      <c r="D2424" s="1"/>
      <c r="E2424" s="14"/>
      <c r="F2424" s="15"/>
      <c r="G2424" s="16"/>
      <c r="H2424" s="11"/>
      <c r="I2424" s="7"/>
      <c r="J2424" s="7" t="str">
        <f>IFERROR(LET(_xlpm.v,
VLOOKUP($I2424,'用語辞書'!$A:$B,COLUMN('用語辞書'!B$1),FALSE),
IF(_xlpm.v=0,"",_xlpm.v)
),"")</f>
        <v/>
      </c>
      <c r="K2424" s="17"/>
      <c r="L2424" s="17" t="str">
        <f>IF(OR(COUNTIF('クラス'!$A$1:$A$1267,$B2424)&gt;0,$B2424="",$M2424=""),"",True)</f>
        <v/>
      </c>
      <c r="M2424" s="1" t="str">
        <f t="shared" si="30"/>
        <v>存在しない</v>
      </c>
      <c r="N2424" s="1" t="s">
        <v>29</v>
      </c>
      <c r="O2424" s="1"/>
      <c r="P2424" s="11"/>
      <c r="Q2424" s="11"/>
      <c r="R2424" s="11"/>
      <c r="S2424" s="11"/>
      <c r="T2424" s="1"/>
      <c r="U2424" s="1"/>
      <c r="V2424" s="1"/>
      <c r="W2424" s="1"/>
      <c r="X2424" s="1"/>
      <c r="Y2424" s="1"/>
      <c r="Z2424" s="1"/>
    </row>
    <row r="2425" ht="18.0" hidden="1" customHeight="1" outlineLevel="1">
      <c r="A2425" s="1">
        <v>1.0</v>
      </c>
      <c r="B2425" s="26" t="s">
        <v>2365</v>
      </c>
      <c r="C2425" s="26" t="s">
        <v>29</v>
      </c>
      <c r="D2425" s="26" t="s">
        <v>29</v>
      </c>
      <c r="E2425" s="29" t="s">
        <v>33</v>
      </c>
      <c r="F2425" s="34" t="s">
        <v>29</v>
      </c>
      <c r="G2425" s="30">
        <v>60.0</v>
      </c>
      <c r="H2425" s="22" t="s">
        <v>2366</v>
      </c>
      <c r="I2425" s="7"/>
      <c r="J2425" s="7" t="str">
        <f>IFERROR(LET(_xlpm.v,
VLOOKUP($I2425,'用語辞書'!$A:$B,COLUMN('用語辞書'!B$1),FALSE),
IF(_xlpm.v=0,"",_xlpm.v)
),"")</f>
        <v/>
      </c>
      <c r="K2425" s="17"/>
      <c r="L2425" s="17" t="b">
        <f>IF(OR(COUNTIF('クラス'!$A$1:$A$1267,$B2425)&gt;0,$B2425="",$M2425=""),"",True)</f>
        <v>1</v>
      </c>
      <c r="M2425" s="1" t="str">
        <f t="shared" si="30"/>
        <v>存在しない</v>
      </c>
      <c r="N2425" s="1" t="s">
        <v>29</v>
      </c>
      <c r="O2425" s="1"/>
      <c r="P2425" s="11"/>
      <c r="Q2425" s="11"/>
      <c r="R2425" s="11"/>
      <c r="S2425" s="11"/>
      <c r="T2425" s="1"/>
      <c r="U2425" s="1"/>
      <c r="V2425" s="1"/>
      <c r="W2425" s="1"/>
      <c r="X2425" s="1"/>
      <c r="Y2425" s="1"/>
      <c r="Z2425" s="1"/>
    </row>
    <row r="2426" ht="18.0" hidden="1" customHeight="1" outlineLevel="1">
      <c r="A2426" s="1">
        <v>2.0</v>
      </c>
      <c r="B2426" s="26" t="s">
        <v>29</v>
      </c>
      <c r="C2426" s="1"/>
      <c r="D2426" s="1"/>
      <c r="E2426" s="14"/>
      <c r="F2426" s="15"/>
      <c r="G2426" s="16"/>
      <c r="H2426" s="11"/>
      <c r="I2426" s="7"/>
      <c r="J2426" s="7" t="str">
        <f>IFERROR(LET(_xlpm.v,
VLOOKUP($I2426,'用語辞書'!$A:$B,COLUMN('用語辞書'!B$1),FALSE),
IF(_xlpm.v=0,"",_xlpm.v)
),"")</f>
        <v/>
      </c>
      <c r="K2426" s="17"/>
      <c r="L2426" s="17" t="str">
        <f>IF(OR(COUNTIF('クラス'!$A$1:$A$1267,$B2426)&gt;0,$B2426="",$M2426=""),"",True)</f>
        <v/>
      </c>
      <c r="M2426" s="1" t="str">
        <f t="shared" si="30"/>
        <v/>
      </c>
      <c r="N2426" s="1" t="s">
        <v>29</v>
      </c>
      <c r="O2426" s="1"/>
      <c r="P2426" s="11"/>
      <c r="Q2426" s="11"/>
      <c r="R2426" s="11"/>
      <c r="S2426" s="11"/>
      <c r="T2426" s="1"/>
      <c r="U2426" s="1"/>
      <c r="V2426" s="1"/>
      <c r="W2426" s="1"/>
      <c r="X2426" s="1"/>
      <c r="Y2426" s="1"/>
      <c r="Z2426" s="1"/>
    </row>
    <row r="2427" ht="18.0" hidden="1" customHeight="1" outlineLevel="1">
      <c r="A2427" s="1">
        <v>3.0</v>
      </c>
      <c r="B2427" s="26" t="s">
        <v>2367</v>
      </c>
      <c r="C2427" s="26" t="s">
        <v>29</v>
      </c>
      <c r="D2427" s="26" t="s">
        <v>29</v>
      </c>
      <c r="E2427" s="29" t="s">
        <v>55</v>
      </c>
      <c r="F2427" s="34" t="s">
        <v>29</v>
      </c>
      <c r="G2427" s="30" t="s">
        <v>29</v>
      </c>
      <c r="H2427" s="22" t="s">
        <v>2368</v>
      </c>
      <c r="I2427" s="7"/>
      <c r="J2427" s="7" t="str">
        <f>IFERROR(LET(_xlpm.v,
VLOOKUP($I2427,'用語辞書'!$A:$B,COLUMN('用語辞書'!B$1),FALSE),
IF(_xlpm.v=0,"",_xlpm.v)
),"")</f>
        <v/>
      </c>
      <c r="K2427" s="17"/>
      <c r="L2427" s="17" t="b">
        <f>IF(OR(COUNTIF('クラス'!$A$1:$A$1267,$B2427)&gt;0,$B2427="",$M2427=""),"",True)</f>
        <v>1</v>
      </c>
      <c r="M2427" s="1" t="str">
        <f t="shared" si="30"/>
        <v>存在しない</v>
      </c>
      <c r="N2427" s="1" t="s">
        <v>29</v>
      </c>
      <c r="O2427" s="1"/>
      <c r="P2427" s="11"/>
      <c r="Q2427" s="11"/>
      <c r="R2427" s="11"/>
      <c r="S2427" s="11"/>
      <c r="T2427" s="1"/>
      <c r="U2427" s="1"/>
      <c r="V2427" s="1"/>
      <c r="W2427" s="1"/>
      <c r="X2427" s="1"/>
      <c r="Y2427" s="1"/>
      <c r="Z2427" s="1"/>
    </row>
    <row r="2428" ht="18.0" hidden="1" customHeight="1" outlineLevel="1">
      <c r="A2428" s="1">
        <v>4.0</v>
      </c>
      <c r="B2428" s="26" t="s">
        <v>29</v>
      </c>
      <c r="C2428" s="1"/>
      <c r="D2428" s="1"/>
      <c r="E2428" s="14"/>
      <c r="F2428" s="15"/>
      <c r="G2428" s="16"/>
      <c r="H2428" s="11"/>
      <c r="I2428" s="7"/>
      <c r="J2428" s="7" t="str">
        <f>IFERROR(LET(_xlpm.v,
VLOOKUP($I2428,'用語辞書'!$A:$B,COLUMN('用語辞書'!B$1),FALSE),
IF(_xlpm.v=0,"",_xlpm.v)
),"")</f>
        <v/>
      </c>
      <c r="K2428" s="17"/>
      <c r="L2428" s="17" t="str">
        <f>IF(OR(COUNTIF('クラス'!$A$1:$A$1267,$B2428)&gt;0,$B2428="",$M2428=""),"",True)</f>
        <v/>
      </c>
      <c r="M2428" s="1" t="str">
        <f t="shared" si="30"/>
        <v/>
      </c>
      <c r="N2428" s="1" t="s">
        <v>29</v>
      </c>
      <c r="O2428" s="1"/>
      <c r="P2428" s="11"/>
      <c r="Q2428" s="11"/>
      <c r="R2428" s="11"/>
      <c r="S2428" s="11"/>
      <c r="T2428" s="1"/>
      <c r="U2428" s="1"/>
      <c r="V2428" s="1"/>
      <c r="W2428" s="1"/>
      <c r="X2428" s="1"/>
      <c r="Y2428" s="1"/>
      <c r="Z2428" s="1"/>
    </row>
    <row r="2429" ht="18.0" hidden="1" customHeight="1" outlineLevel="1">
      <c r="A2429" s="1">
        <v>5.0</v>
      </c>
      <c r="B2429" s="26" t="s">
        <v>2369</v>
      </c>
      <c r="C2429" s="26" t="s">
        <v>29</v>
      </c>
      <c r="D2429" s="26" t="s">
        <v>29</v>
      </c>
      <c r="E2429" s="29" t="s">
        <v>33</v>
      </c>
      <c r="F2429" s="34" t="s">
        <v>29</v>
      </c>
      <c r="G2429" s="30">
        <v>60.0</v>
      </c>
      <c r="H2429" s="22" t="s">
        <v>2370</v>
      </c>
      <c r="I2429" s="7"/>
      <c r="J2429" s="7" t="str">
        <f>IFERROR(LET(_xlpm.v,
VLOOKUP($I2429,'用語辞書'!$A:$B,COLUMN('用語辞書'!B$1),FALSE),
IF(_xlpm.v=0,"",_xlpm.v)
),"")</f>
        <v/>
      </c>
      <c r="K2429" s="17"/>
      <c r="L2429" s="17" t="b">
        <f>IF(OR(COUNTIF('クラス'!$A$1:$A$1267,$B2429)&gt;0,$B2429="",$M2429=""),"",True)</f>
        <v>1</v>
      </c>
      <c r="M2429" s="1" t="str">
        <f t="shared" si="30"/>
        <v>存在しない</v>
      </c>
      <c r="N2429" s="1" t="s">
        <v>29</v>
      </c>
      <c r="O2429" s="1"/>
      <c r="P2429" s="11"/>
      <c r="Q2429" s="11"/>
      <c r="R2429" s="11"/>
      <c r="S2429" s="11"/>
      <c r="T2429" s="1"/>
      <c r="U2429" s="1"/>
      <c r="V2429" s="1"/>
      <c r="W2429" s="1"/>
      <c r="X2429" s="1"/>
      <c r="Y2429" s="1"/>
      <c r="Z2429" s="1"/>
    </row>
    <row r="2430" ht="18.0" hidden="1" customHeight="1" outlineLevel="1">
      <c r="A2430" s="1">
        <v>6.0</v>
      </c>
      <c r="B2430" s="26" t="s">
        <v>29</v>
      </c>
      <c r="C2430" s="1"/>
      <c r="D2430" s="1"/>
      <c r="E2430" s="14"/>
      <c r="F2430" s="15"/>
      <c r="G2430" s="16"/>
      <c r="H2430" s="11"/>
      <c r="I2430" s="7"/>
      <c r="J2430" s="7" t="str">
        <f>IFERROR(LET(_xlpm.v,
VLOOKUP($I2430,'用語辞書'!$A:$B,COLUMN('用語辞書'!B$1),FALSE),
IF(_xlpm.v=0,"",_xlpm.v)
),"")</f>
        <v/>
      </c>
      <c r="K2430" s="17"/>
      <c r="L2430" s="17" t="str">
        <f>IF(OR(COUNTIF('クラス'!$A$1:$A$1267,$B2430)&gt;0,$B2430="",$M2430=""),"",True)</f>
        <v/>
      </c>
      <c r="M2430" s="1" t="str">
        <f t="shared" si="30"/>
        <v/>
      </c>
      <c r="N2430" s="1" t="s">
        <v>29</v>
      </c>
      <c r="O2430" s="1"/>
      <c r="P2430" s="11"/>
      <c r="Q2430" s="11"/>
      <c r="R2430" s="11"/>
      <c r="S2430" s="11"/>
      <c r="T2430" s="1"/>
      <c r="U2430" s="1"/>
      <c r="V2430" s="1"/>
      <c r="W2430" s="1"/>
      <c r="X2430" s="1"/>
      <c r="Y2430" s="1"/>
      <c r="Z2430" s="1"/>
    </row>
    <row r="2431" ht="18.0" hidden="1" customHeight="1" outlineLevel="1">
      <c r="A2431" s="1">
        <v>7.0</v>
      </c>
      <c r="B2431" s="26" t="s">
        <v>2371</v>
      </c>
      <c r="C2431" s="26" t="s">
        <v>29</v>
      </c>
      <c r="D2431" s="26" t="s">
        <v>29</v>
      </c>
      <c r="E2431" s="29" t="s">
        <v>33</v>
      </c>
      <c r="F2431" s="34" t="s">
        <v>29</v>
      </c>
      <c r="G2431" s="30">
        <v>60.0</v>
      </c>
      <c r="H2431" s="22" t="s">
        <v>2372</v>
      </c>
      <c r="I2431" s="7"/>
      <c r="J2431" s="7" t="str">
        <f>IFERROR(LET(_xlpm.v,
VLOOKUP($I2431,'用語辞書'!$A:$B,COLUMN('用語辞書'!B$1),FALSE),
IF(_xlpm.v=0,"",_xlpm.v)
),"")</f>
        <v/>
      </c>
      <c r="K2431" s="17"/>
      <c r="L2431" s="17" t="b">
        <f>IF(OR(COUNTIF('クラス'!$A$1:$A$1267,$B2431)&gt;0,$B2431="",$M2431=""),"",True)</f>
        <v>1</v>
      </c>
      <c r="M2431" s="1" t="str">
        <f t="shared" si="30"/>
        <v>存在しない</v>
      </c>
      <c r="N2431" s="1" t="s">
        <v>29</v>
      </c>
      <c r="O2431" s="1"/>
      <c r="P2431" s="11"/>
      <c r="Q2431" s="11"/>
      <c r="R2431" s="11"/>
      <c r="S2431" s="11"/>
      <c r="T2431" s="1"/>
      <c r="U2431" s="1"/>
      <c r="V2431" s="1"/>
      <c r="W2431" s="1"/>
      <c r="X2431" s="1"/>
      <c r="Y2431" s="1"/>
      <c r="Z2431" s="1"/>
    </row>
    <row r="2432" ht="18.0" hidden="1" customHeight="1" outlineLevel="1">
      <c r="A2432" s="1">
        <v>8.0</v>
      </c>
      <c r="B2432" s="26" t="s">
        <v>29</v>
      </c>
      <c r="C2432" s="1"/>
      <c r="D2432" s="1"/>
      <c r="E2432" s="14"/>
      <c r="F2432" s="15"/>
      <c r="G2432" s="16"/>
      <c r="H2432" s="11"/>
      <c r="I2432" s="7"/>
      <c r="J2432" s="7" t="str">
        <f>IFERROR(LET(_xlpm.v,
VLOOKUP($I2432,'用語辞書'!$A:$B,COLUMN('用語辞書'!B$1),FALSE),
IF(_xlpm.v=0,"",_xlpm.v)
),"")</f>
        <v/>
      </c>
      <c r="K2432" s="17"/>
      <c r="L2432" s="17" t="str">
        <f>IF(OR(COUNTIF('クラス'!$A$1:$A$1267,$B2432)&gt;0,$B2432="",$M2432=""),"",True)</f>
        <v/>
      </c>
      <c r="M2432" s="1" t="str">
        <f t="shared" si="30"/>
        <v/>
      </c>
      <c r="N2432" s="1" t="s">
        <v>29</v>
      </c>
      <c r="O2432" s="1"/>
      <c r="P2432" s="11"/>
      <c r="Q2432" s="11"/>
      <c r="R2432" s="11"/>
      <c r="S2432" s="11"/>
      <c r="T2432" s="1"/>
      <c r="U2432" s="1"/>
      <c r="V2432" s="1"/>
      <c r="W2432" s="1"/>
      <c r="X2432" s="1"/>
      <c r="Y2432" s="1"/>
      <c r="Z2432" s="1"/>
    </row>
    <row r="2433" ht="18.0" hidden="1" customHeight="1" outlineLevel="1">
      <c r="A2433" s="1">
        <v>9.0</v>
      </c>
      <c r="B2433" s="26" t="s">
        <v>2373</v>
      </c>
      <c r="C2433" s="26" t="s">
        <v>29</v>
      </c>
      <c r="D2433" s="26" t="s">
        <v>29</v>
      </c>
      <c r="E2433" s="29" t="s">
        <v>55</v>
      </c>
      <c r="F2433" s="34" t="s">
        <v>29</v>
      </c>
      <c r="G2433" s="30" t="s">
        <v>29</v>
      </c>
      <c r="H2433" s="22" t="s">
        <v>2374</v>
      </c>
      <c r="I2433" s="7"/>
      <c r="J2433" s="7" t="str">
        <f>IFERROR(LET(_xlpm.v,
VLOOKUP($I2433,'用語辞書'!$A:$B,COLUMN('用語辞書'!B$1),FALSE),
IF(_xlpm.v=0,"",_xlpm.v)
),"")</f>
        <v/>
      </c>
      <c r="K2433" s="17"/>
      <c r="L2433" s="17" t="b">
        <f>IF(OR(COUNTIF('クラス'!$A$1:$A$1267,$B2433)&gt;0,$B2433="",$M2433=""),"",True)</f>
        <v>1</v>
      </c>
      <c r="M2433" s="1" t="str">
        <f t="shared" si="30"/>
        <v>存在しない</v>
      </c>
      <c r="N2433" s="1" t="s">
        <v>29</v>
      </c>
      <c r="O2433" s="1"/>
      <c r="P2433" s="11"/>
      <c r="Q2433" s="11"/>
      <c r="R2433" s="11"/>
      <c r="S2433" s="11"/>
      <c r="T2433" s="1"/>
      <c r="U2433" s="1"/>
      <c r="V2433" s="1"/>
      <c r="W2433" s="1"/>
      <c r="X2433" s="1"/>
      <c r="Y2433" s="1"/>
      <c r="Z2433" s="1"/>
    </row>
    <row r="2434" ht="18.0" hidden="1" customHeight="1" outlineLevel="1">
      <c r="A2434" s="1">
        <v>10.0</v>
      </c>
      <c r="B2434" s="26" t="s">
        <v>2375</v>
      </c>
      <c r="C2434" s="26" t="s">
        <v>29</v>
      </c>
      <c r="D2434" s="26" t="s">
        <v>29</v>
      </c>
      <c r="E2434" s="29" t="s">
        <v>33</v>
      </c>
      <c r="F2434" s="34" t="s">
        <v>29</v>
      </c>
      <c r="G2434" s="30">
        <v>60.0</v>
      </c>
      <c r="H2434" s="22" t="s">
        <v>2376</v>
      </c>
      <c r="I2434" s="7"/>
      <c r="J2434" s="7" t="str">
        <f>IFERROR(LET(_xlpm.v,
VLOOKUP($I2434,'用語辞書'!$A:$B,COLUMN('用語辞書'!B$1),FALSE),
IF(_xlpm.v=0,"",_xlpm.v)
),"")</f>
        <v/>
      </c>
      <c r="K2434" s="17"/>
      <c r="L2434" s="17" t="b">
        <f>IF(OR(COUNTIF('クラス'!$A$1:$A$1267,$B2434)&gt;0,$B2434="",$M2434=""),"",True)</f>
        <v>1</v>
      </c>
      <c r="M2434" s="1" t="str">
        <f t="shared" si="30"/>
        <v>存在しない</v>
      </c>
      <c r="N2434" s="1" t="s">
        <v>29</v>
      </c>
      <c r="O2434" s="1"/>
      <c r="P2434" s="11"/>
      <c r="Q2434" s="11"/>
      <c r="R2434" s="11"/>
      <c r="S2434" s="11"/>
      <c r="T2434" s="1"/>
      <c r="U2434" s="1"/>
      <c r="V2434" s="1"/>
      <c r="W2434" s="1"/>
      <c r="X2434" s="1"/>
      <c r="Y2434" s="1"/>
      <c r="Z2434" s="1"/>
    </row>
    <row r="2435" ht="18.0" customHeight="1" collapsed="1">
      <c r="A2435" s="1"/>
      <c r="B2435" s="1"/>
      <c r="C2435" s="1"/>
      <c r="D2435" s="1"/>
      <c r="E2435" s="14"/>
      <c r="F2435" s="15"/>
      <c r="G2435" s="16"/>
      <c r="H2435" s="11"/>
      <c r="I2435" s="7"/>
      <c r="J2435" s="7" t="str">
        <f>IFERROR(LET(_xlpm.v,
VLOOKUP($I2435,'用語辞書'!$A:$B,COLUMN('用語辞書'!B$1),FALSE),
IF(_xlpm.v=0,"",_xlpm.v)
),"")</f>
        <v/>
      </c>
      <c r="K2435" s="17"/>
      <c r="L2435" s="17" t="str">
        <f>IF(OR(COUNTIF('クラス'!$A$1:$A$1267,$B2435)&gt;0,$B2435="",$M2435=""),"",True)</f>
        <v/>
      </c>
      <c r="M2435" s="1" t="str">
        <f t="shared" si="30"/>
        <v>存在しない</v>
      </c>
      <c r="N2435" s="1" t="s">
        <v>29</v>
      </c>
      <c r="O2435" s="1"/>
      <c r="P2435" s="11"/>
      <c r="Q2435" s="11"/>
      <c r="R2435" s="11"/>
      <c r="S2435" s="11"/>
      <c r="T2435" s="1"/>
      <c r="U2435" s="1"/>
      <c r="V2435" s="1"/>
      <c r="W2435" s="1"/>
      <c r="X2435" s="1"/>
      <c r="Y2435" s="1"/>
      <c r="Z2435" s="1"/>
    </row>
    <row r="2436" ht="18.0" customHeight="1">
      <c r="A2436" s="1"/>
      <c r="B2436" s="26" t="s">
        <v>2377</v>
      </c>
      <c r="C2436" s="1"/>
      <c r="D2436" s="1"/>
      <c r="E2436" s="14"/>
      <c r="F2436" s="15"/>
      <c r="G2436" s="16"/>
      <c r="H2436" s="11"/>
      <c r="I2436" s="7"/>
      <c r="J2436" s="7" t="str">
        <f>IFERROR(LET(_xlpm.v,
VLOOKUP($I2436,'用語辞書'!$A:$B,COLUMN('用語辞書'!B$1),FALSE),
IF(_xlpm.v=0,"",_xlpm.v)
),"")</f>
        <v/>
      </c>
      <c r="K2436" s="17"/>
      <c r="L2436" s="17" t="str">
        <f>IF(OR(COUNTIF('クラス'!$A$1:$A$1267,$B2436)&gt;0,$B2436="",$M2436=""),"",True)</f>
        <v/>
      </c>
      <c r="M2436" s="1" t="str">
        <f t="shared" si="30"/>
        <v>存在しない</v>
      </c>
      <c r="N2436" s="1" t="s">
        <v>29</v>
      </c>
      <c r="O2436" s="1"/>
      <c r="P2436" s="11"/>
      <c r="Q2436" s="11"/>
      <c r="R2436" s="11"/>
      <c r="S2436" s="11"/>
      <c r="T2436" s="1"/>
      <c r="U2436" s="1"/>
      <c r="V2436" s="1"/>
      <c r="W2436" s="1"/>
      <c r="X2436" s="1"/>
      <c r="Y2436" s="1"/>
      <c r="Z2436" s="1"/>
    </row>
    <row r="2437" ht="18.0" hidden="1" customHeight="1" outlineLevel="1">
      <c r="A2437" s="1">
        <v>1.0</v>
      </c>
      <c r="B2437" s="26" t="s">
        <v>2369</v>
      </c>
      <c r="C2437" s="1"/>
      <c r="D2437" s="1"/>
      <c r="E2437" s="14"/>
      <c r="F2437" s="15"/>
      <c r="G2437" s="16"/>
      <c r="H2437" s="11"/>
      <c r="I2437" s="7"/>
      <c r="J2437" s="7" t="str">
        <f>IFERROR(LET(_xlpm.v,
VLOOKUP($I2437,'用語辞書'!$A:$B,COLUMN('用語辞書'!B$1),FALSE),
IF(_xlpm.v=0,"",_xlpm.v)
),"")</f>
        <v/>
      </c>
      <c r="K2437" s="17"/>
      <c r="L2437" s="17" t="str">
        <f>IF(OR(COUNTIF('クラス'!$A$1:$A$1267,$B2437)&gt;0,$B2437="",$M2437=""),"",True)</f>
        <v/>
      </c>
      <c r="M2437" s="1" t="str">
        <f t="shared" si="30"/>
        <v/>
      </c>
      <c r="N2437" s="1" t="s">
        <v>29</v>
      </c>
      <c r="O2437" s="1"/>
      <c r="P2437" s="11"/>
      <c r="Q2437" s="11"/>
      <c r="R2437" s="11"/>
      <c r="S2437" s="11"/>
      <c r="T2437" s="1"/>
      <c r="U2437" s="1"/>
      <c r="V2437" s="1"/>
      <c r="W2437" s="1"/>
      <c r="X2437" s="1"/>
      <c r="Y2437" s="1"/>
      <c r="Z2437" s="1"/>
    </row>
    <row r="2438" ht="18.0" hidden="1" customHeight="1" outlineLevel="1">
      <c r="A2438" s="1">
        <v>2.0</v>
      </c>
      <c r="B2438" s="26" t="s">
        <v>29</v>
      </c>
      <c r="C2438" s="1"/>
      <c r="D2438" s="1"/>
      <c r="E2438" s="14"/>
      <c r="F2438" s="15"/>
      <c r="G2438" s="16"/>
      <c r="H2438" s="11"/>
      <c r="I2438" s="7"/>
      <c r="J2438" s="7" t="str">
        <f>IFERROR(LET(_xlpm.v,
VLOOKUP($I2438,'用語辞書'!$A:$B,COLUMN('用語辞書'!B$1),FALSE),
IF(_xlpm.v=0,"",_xlpm.v)
),"")</f>
        <v/>
      </c>
      <c r="K2438" s="17"/>
      <c r="L2438" s="17" t="str">
        <f>IF(OR(COUNTIF('クラス'!$A$1:$A$1267,$B2438)&gt;0,$B2438="",$M2438=""),"",True)</f>
        <v/>
      </c>
      <c r="M2438" s="1" t="str">
        <f t="shared" si="30"/>
        <v/>
      </c>
      <c r="N2438" s="1" t="s">
        <v>29</v>
      </c>
      <c r="O2438" s="1"/>
      <c r="P2438" s="11"/>
      <c r="Q2438" s="11"/>
      <c r="R2438" s="11"/>
      <c r="S2438" s="11"/>
      <c r="T2438" s="1"/>
      <c r="U2438" s="1"/>
      <c r="V2438" s="1"/>
      <c r="W2438" s="1"/>
      <c r="X2438" s="1"/>
      <c r="Y2438" s="1"/>
      <c r="Z2438" s="1"/>
    </row>
    <row r="2439" ht="18.0" hidden="1" customHeight="1" outlineLevel="1">
      <c r="A2439" s="1">
        <v>3.0</v>
      </c>
      <c r="B2439" s="26" t="s">
        <v>2378</v>
      </c>
      <c r="C2439" s="26" t="s">
        <v>29</v>
      </c>
      <c r="D2439" s="26" t="s">
        <v>29</v>
      </c>
      <c r="E2439" s="29" t="s">
        <v>55</v>
      </c>
      <c r="F2439" s="34" t="s">
        <v>29</v>
      </c>
      <c r="G2439" s="30" t="s">
        <v>29</v>
      </c>
      <c r="H2439" s="22" t="s">
        <v>2379</v>
      </c>
      <c r="I2439" s="7"/>
      <c r="J2439" s="7" t="str">
        <f>IFERROR(LET(_xlpm.v,
VLOOKUP($I2439,'用語辞書'!$A:$B,COLUMN('用語辞書'!B$1),FALSE),
IF(_xlpm.v=0,"",_xlpm.v)
),"")</f>
        <v/>
      </c>
      <c r="K2439" s="17"/>
      <c r="L2439" s="17" t="b">
        <f>IF(OR(COUNTIF('クラス'!$A$1:$A$1267,$B2439)&gt;0,$B2439="",$M2439=""),"",True)</f>
        <v>1</v>
      </c>
      <c r="M2439" s="1" t="str">
        <f t="shared" si="30"/>
        <v>存在しない</v>
      </c>
      <c r="N2439" s="1" t="s">
        <v>29</v>
      </c>
      <c r="O2439" s="1"/>
      <c r="P2439" s="11"/>
      <c r="Q2439" s="11"/>
      <c r="R2439" s="11"/>
      <c r="S2439" s="11"/>
      <c r="T2439" s="1"/>
      <c r="U2439" s="1"/>
      <c r="V2439" s="1"/>
      <c r="W2439" s="1"/>
      <c r="X2439" s="1"/>
      <c r="Y2439" s="1"/>
      <c r="Z2439" s="1"/>
    </row>
    <row r="2440" ht="18.0" hidden="1" customHeight="1" outlineLevel="1">
      <c r="A2440" s="1">
        <v>4.0</v>
      </c>
      <c r="B2440" s="26" t="s">
        <v>29</v>
      </c>
      <c r="C2440" s="1"/>
      <c r="D2440" s="1"/>
      <c r="E2440" s="14"/>
      <c r="F2440" s="15"/>
      <c r="G2440" s="16"/>
      <c r="H2440" s="11"/>
      <c r="I2440" s="7"/>
      <c r="J2440" s="7" t="str">
        <f>IFERROR(LET(_xlpm.v,
VLOOKUP($I2440,'用語辞書'!$A:$B,COLUMN('用語辞書'!B$1),FALSE),
IF(_xlpm.v=0,"",_xlpm.v)
),"")</f>
        <v/>
      </c>
      <c r="K2440" s="17"/>
      <c r="L2440" s="17" t="str">
        <f>IF(OR(COUNTIF('クラス'!$A$1:$A$1267,$B2440)&gt;0,$B2440="",$M2440=""),"",True)</f>
        <v/>
      </c>
      <c r="M2440" s="1" t="str">
        <f t="shared" si="30"/>
        <v/>
      </c>
      <c r="N2440" s="1" t="s">
        <v>29</v>
      </c>
      <c r="O2440" s="1"/>
      <c r="P2440" s="11"/>
      <c r="Q2440" s="11"/>
      <c r="R2440" s="11"/>
      <c r="S2440" s="11"/>
      <c r="T2440" s="1"/>
      <c r="U2440" s="1"/>
      <c r="V2440" s="1"/>
      <c r="W2440" s="1"/>
      <c r="X2440" s="1"/>
      <c r="Y2440" s="1"/>
      <c r="Z2440" s="1"/>
    </row>
    <row r="2441" ht="18.0" hidden="1" customHeight="1" outlineLevel="1">
      <c r="A2441" s="1">
        <v>5.0</v>
      </c>
      <c r="B2441" s="26" t="s">
        <v>2362</v>
      </c>
      <c r="C2441" s="1"/>
      <c r="D2441" s="1"/>
      <c r="E2441" s="14"/>
      <c r="F2441" s="15"/>
      <c r="G2441" s="16"/>
      <c r="H2441" s="11"/>
      <c r="I2441" s="7"/>
      <c r="J2441" s="7" t="str">
        <f>IFERROR(LET(_xlpm.v,
VLOOKUP($I2441,'用語辞書'!$A:$B,COLUMN('用語辞書'!B$1),FALSE),
IF(_xlpm.v=0,"",_xlpm.v)
),"")</f>
        <v/>
      </c>
      <c r="K2441" s="17"/>
      <c r="L2441" s="17" t="str">
        <f>IF(OR(COUNTIF('クラス'!$A$1:$A$1267,$B2441)&gt;0,$B2441="",$M2441=""),"",True)</f>
        <v/>
      </c>
      <c r="M2441" s="1" t="str">
        <f t="shared" si="30"/>
        <v/>
      </c>
      <c r="N2441" s="1" t="s">
        <v>29</v>
      </c>
      <c r="O2441" s="1"/>
      <c r="P2441" s="11"/>
      <c r="Q2441" s="11"/>
      <c r="R2441" s="11"/>
      <c r="S2441" s="11"/>
      <c r="T2441" s="1"/>
      <c r="U2441" s="1"/>
      <c r="V2441" s="1"/>
      <c r="W2441" s="1"/>
      <c r="X2441" s="1"/>
      <c r="Y2441" s="1"/>
      <c r="Z2441" s="1"/>
    </row>
    <row r="2442" ht="18.0" hidden="1" customHeight="1" outlineLevel="1">
      <c r="A2442" s="1">
        <v>6.0</v>
      </c>
      <c r="B2442" s="26" t="s">
        <v>29</v>
      </c>
      <c r="C2442" s="1"/>
      <c r="D2442" s="1"/>
      <c r="E2442" s="14"/>
      <c r="F2442" s="15"/>
      <c r="G2442" s="16"/>
      <c r="H2442" s="11"/>
      <c r="I2442" s="7"/>
      <c r="J2442" s="7" t="str">
        <f>IFERROR(LET(_xlpm.v,
VLOOKUP($I2442,'用語辞書'!$A:$B,COLUMN('用語辞書'!B$1),FALSE),
IF(_xlpm.v=0,"",_xlpm.v)
),"")</f>
        <v/>
      </c>
      <c r="K2442" s="17"/>
      <c r="L2442" s="17" t="str">
        <f>IF(OR(COUNTIF('クラス'!$A$1:$A$1267,$B2442)&gt;0,$B2442="",$M2442=""),"",True)</f>
        <v/>
      </c>
      <c r="M2442" s="1" t="str">
        <f t="shared" si="30"/>
        <v/>
      </c>
      <c r="N2442" s="1" t="s">
        <v>29</v>
      </c>
      <c r="O2442" s="1"/>
      <c r="P2442" s="11"/>
      <c r="Q2442" s="11"/>
      <c r="R2442" s="11"/>
      <c r="S2442" s="11"/>
      <c r="T2442" s="1"/>
      <c r="U2442" s="1"/>
      <c r="V2442" s="1"/>
      <c r="W2442" s="1"/>
      <c r="X2442" s="1"/>
      <c r="Y2442" s="1"/>
      <c r="Z2442" s="1"/>
    </row>
    <row r="2443" ht="18.0" hidden="1" customHeight="1" outlineLevel="1">
      <c r="A2443" s="1">
        <v>7.0</v>
      </c>
      <c r="B2443" s="26" t="s">
        <v>2100</v>
      </c>
      <c r="C2443" s="1"/>
      <c r="D2443" s="1"/>
      <c r="E2443" s="14"/>
      <c r="F2443" s="15"/>
      <c r="G2443" s="16"/>
      <c r="H2443" s="11"/>
      <c r="I2443" s="7"/>
      <c r="J2443" s="7" t="str">
        <f>IFERROR(LET(_xlpm.v,
VLOOKUP($I2443,'用語辞書'!$A:$B,COLUMN('用語辞書'!B$1),FALSE),
IF(_xlpm.v=0,"",_xlpm.v)
),"")</f>
        <v/>
      </c>
      <c r="K2443" s="17"/>
      <c r="L2443" s="17" t="str">
        <f>IF(OR(COUNTIF('クラス'!$A$1:$A$1267,$B2443)&gt;0,$B2443="",$M2443=""),"",True)</f>
        <v/>
      </c>
      <c r="M2443" s="1" t="str">
        <f t="shared" si="30"/>
        <v/>
      </c>
      <c r="N2443" s="1" t="s">
        <v>29</v>
      </c>
      <c r="O2443" s="1"/>
      <c r="P2443" s="11"/>
      <c r="Q2443" s="11"/>
      <c r="R2443" s="11"/>
      <c r="S2443" s="11"/>
      <c r="T2443" s="1"/>
      <c r="U2443" s="1"/>
      <c r="V2443" s="1"/>
      <c r="W2443" s="1"/>
      <c r="X2443" s="1"/>
      <c r="Y2443" s="1"/>
      <c r="Z2443" s="1"/>
    </row>
    <row r="2444" ht="18.0" hidden="1" customHeight="1" outlineLevel="1">
      <c r="A2444" s="1">
        <v>8.0</v>
      </c>
      <c r="B2444" s="26" t="s">
        <v>29</v>
      </c>
      <c r="C2444" s="1"/>
      <c r="D2444" s="1"/>
      <c r="E2444" s="14"/>
      <c r="F2444" s="15"/>
      <c r="G2444" s="16"/>
      <c r="H2444" s="11"/>
      <c r="I2444" s="7"/>
      <c r="J2444" s="7" t="str">
        <f>IFERROR(LET(_xlpm.v,
VLOOKUP($I2444,'用語辞書'!$A:$B,COLUMN('用語辞書'!B$1),FALSE),
IF(_xlpm.v=0,"",_xlpm.v)
),"")</f>
        <v/>
      </c>
      <c r="K2444" s="17"/>
      <c r="L2444" s="17" t="str">
        <f>IF(OR(COUNTIF('クラス'!$A$1:$A$1267,$B2444)&gt;0,$B2444="",$M2444=""),"",True)</f>
        <v/>
      </c>
      <c r="M2444" s="1" t="str">
        <f t="shared" si="30"/>
        <v/>
      </c>
      <c r="N2444" s="1" t="s">
        <v>29</v>
      </c>
      <c r="O2444" s="1"/>
      <c r="P2444" s="11"/>
      <c r="Q2444" s="11"/>
      <c r="R2444" s="11"/>
      <c r="S2444" s="11"/>
      <c r="T2444" s="1"/>
      <c r="U2444" s="1"/>
      <c r="V2444" s="1"/>
      <c r="W2444" s="1"/>
      <c r="X2444" s="1"/>
      <c r="Y2444" s="1"/>
      <c r="Z2444" s="1"/>
    </row>
    <row r="2445" ht="18.0" hidden="1" customHeight="1" outlineLevel="1">
      <c r="A2445" s="1">
        <v>9.0</v>
      </c>
      <c r="B2445" s="26" t="s">
        <v>2136</v>
      </c>
      <c r="C2445" s="1"/>
      <c r="D2445" s="1"/>
      <c r="E2445" s="14"/>
      <c r="F2445" s="15"/>
      <c r="G2445" s="16"/>
      <c r="H2445" s="11"/>
      <c r="I2445" s="7"/>
      <c r="J2445" s="7" t="str">
        <f>IFERROR(LET(_xlpm.v,
VLOOKUP($I2445,'用語辞書'!$A:$B,COLUMN('用語辞書'!B$1),FALSE),
IF(_xlpm.v=0,"",_xlpm.v)
),"")</f>
        <v/>
      </c>
      <c r="K2445" s="17"/>
      <c r="L2445" s="17" t="str">
        <f>IF(OR(COUNTIF('クラス'!$A$1:$A$1267,$B2445)&gt;0,$B2445="",$M2445=""),"",True)</f>
        <v/>
      </c>
      <c r="M2445" s="1" t="str">
        <f t="shared" si="30"/>
        <v/>
      </c>
      <c r="N2445" s="1" t="s">
        <v>29</v>
      </c>
      <c r="O2445" s="1"/>
      <c r="P2445" s="11"/>
      <c r="Q2445" s="11"/>
      <c r="R2445" s="11"/>
      <c r="S2445" s="11"/>
      <c r="T2445" s="1"/>
      <c r="U2445" s="1"/>
      <c r="V2445" s="1"/>
      <c r="W2445" s="1"/>
      <c r="X2445" s="1"/>
      <c r="Y2445" s="1"/>
      <c r="Z2445" s="1"/>
    </row>
    <row r="2446" ht="18.0" hidden="1" customHeight="1" outlineLevel="1">
      <c r="A2446" s="1">
        <v>10.0</v>
      </c>
      <c r="B2446" s="26" t="s">
        <v>2380</v>
      </c>
      <c r="C2446" s="26" t="s">
        <v>29</v>
      </c>
      <c r="D2446" s="26" t="s">
        <v>29</v>
      </c>
      <c r="E2446" s="29" t="s">
        <v>33</v>
      </c>
      <c r="F2446" s="34" t="s">
        <v>29</v>
      </c>
      <c r="G2446" s="30">
        <v>60.0</v>
      </c>
      <c r="H2446" s="22" t="s">
        <v>2381</v>
      </c>
      <c r="I2446" s="7"/>
      <c r="J2446" s="7" t="str">
        <f>IFERROR(LET(_xlpm.v,
VLOOKUP($I2446,'用語辞書'!$A:$B,COLUMN('用語辞書'!B$1),FALSE),
IF(_xlpm.v=0,"",_xlpm.v)
),"")</f>
        <v/>
      </c>
      <c r="K2446" s="17"/>
      <c r="L2446" s="17" t="b">
        <f>IF(OR(COUNTIF('クラス'!$A$1:$A$1267,$B2446)&gt;0,$B2446="",$M2446=""),"",True)</f>
        <v>1</v>
      </c>
      <c r="M2446" s="1" t="str">
        <f t="shared" si="30"/>
        <v>存在しない</v>
      </c>
      <c r="N2446" s="1" t="s">
        <v>29</v>
      </c>
      <c r="O2446" s="1"/>
      <c r="P2446" s="11"/>
      <c r="Q2446" s="11"/>
      <c r="R2446" s="11"/>
      <c r="S2446" s="11"/>
      <c r="T2446" s="1"/>
      <c r="U2446" s="1"/>
      <c r="V2446" s="1"/>
      <c r="W2446" s="1"/>
      <c r="X2446" s="1"/>
      <c r="Y2446" s="1"/>
      <c r="Z2446" s="1"/>
    </row>
    <row r="2447" ht="18.0" customHeight="1" collapsed="1">
      <c r="A2447" s="1"/>
      <c r="B2447" s="1"/>
      <c r="C2447" s="1"/>
      <c r="D2447" s="1"/>
      <c r="E2447" s="14"/>
      <c r="F2447" s="15"/>
      <c r="G2447" s="16"/>
      <c r="H2447" s="11"/>
      <c r="I2447" s="7"/>
      <c r="J2447" s="7" t="str">
        <f>IFERROR(LET(_xlpm.v,
VLOOKUP($I2447,'用語辞書'!$A:$B,COLUMN('用語辞書'!B$1),FALSE),
IF(_xlpm.v=0,"",_xlpm.v)
),"")</f>
        <v/>
      </c>
      <c r="K2447" s="17"/>
      <c r="L2447" s="17" t="str">
        <f>IF(OR(COUNTIF('クラス'!$A$1:$A$1267,$B2447)&gt;0,$B2447="",$M2447=""),"",True)</f>
        <v/>
      </c>
      <c r="M2447" s="1" t="str">
        <f t="shared" si="30"/>
        <v>存在しない</v>
      </c>
      <c r="N2447" s="1" t="s">
        <v>29</v>
      </c>
      <c r="O2447" s="1"/>
      <c r="P2447" s="11"/>
      <c r="Q2447" s="11"/>
      <c r="R2447" s="11"/>
      <c r="S2447" s="11"/>
      <c r="T2447" s="1"/>
      <c r="U2447" s="1"/>
      <c r="V2447" s="1"/>
      <c r="W2447" s="1"/>
      <c r="X2447" s="1"/>
      <c r="Y2447" s="1"/>
      <c r="Z2447" s="1"/>
    </row>
    <row r="2448" ht="18.0" customHeight="1">
      <c r="A2448" s="1"/>
      <c r="B2448" s="26" t="s">
        <v>2382</v>
      </c>
      <c r="C2448" s="1"/>
      <c r="D2448" s="1"/>
      <c r="E2448" s="14"/>
      <c r="F2448" s="15"/>
      <c r="G2448" s="16"/>
      <c r="H2448" s="11"/>
      <c r="I2448" s="7"/>
      <c r="J2448" s="7" t="str">
        <f>IFERROR(LET(_xlpm.v,
VLOOKUP($I2448,'用語辞書'!$A:$B,COLUMN('用語辞書'!B$1),FALSE),
IF(_xlpm.v=0,"",_xlpm.v)
),"")</f>
        <v/>
      </c>
      <c r="K2448" s="17"/>
      <c r="L2448" s="17" t="str">
        <f>IF(OR(COUNTIF('クラス'!$A$1:$A$1267,$B2448)&gt;0,$B2448="",$M2448=""),"",True)</f>
        <v/>
      </c>
      <c r="M2448" s="1" t="str">
        <f t="shared" si="30"/>
        <v>存在しない</v>
      </c>
      <c r="N2448" s="1" t="s">
        <v>29</v>
      </c>
      <c r="O2448" s="1"/>
      <c r="P2448" s="11"/>
      <c r="Q2448" s="11"/>
      <c r="R2448" s="11"/>
      <c r="S2448" s="11"/>
      <c r="T2448" s="1"/>
      <c r="U2448" s="1"/>
      <c r="V2448" s="1"/>
      <c r="W2448" s="1"/>
      <c r="X2448" s="1"/>
      <c r="Y2448" s="1"/>
      <c r="Z2448" s="1"/>
    </row>
    <row r="2449" ht="18.0" hidden="1" customHeight="1" outlineLevel="1">
      <c r="A2449" s="1">
        <v>1.0</v>
      </c>
      <c r="B2449" s="26" t="s">
        <v>2375</v>
      </c>
      <c r="C2449" s="1"/>
      <c r="D2449" s="1"/>
      <c r="E2449" s="14"/>
      <c r="F2449" s="15"/>
      <c r="G2449" s="16"/>
      <c r="H2449" s="11"/>
      <c r="I2449" s="7"/>
      <c r="J2449" s="7" t="str">
        <f>IFERROR(LET(_xlpm.v,
VLOOKUP($I2449,'用語辞書'!$A:$B,COLUMN('用語辞書'!B$1),FALSE),
IF(_xlpm.v=0,"",_xlpm.v)
),"")</f>
        <v/>
      </c>
      <c r="K2449" s="17"/>
      <c r="L2449" s="17" t="str">
        <f>IF(OR(COUNTIF('クラス'!$A$1:$A$1267,$B2449)&gt;0,$B2449="",$M2449=""),"",True)</f>
        <v/>
      </c>
      <c r="M2449" s="1" t="str">
        <f t="shared" si="30"/>
        <v/>
      </c>
      <c r="N2449" s="1" t="s">
        <v>29</v>
      </c>
      <c r="O2449" s="1"/>
      <c r="P2449" s="11"/>
      <c r="Q2449" s="11"/>
      <c r="R2449" s="11"/>
      <c r="S2449" s="11"/>
      <c r="T2449" s="1"/>
      <c r="U2449" s="1"/>
      <c r="V2449" s="1"/>
      <c r="W2449" s="1"/>
      <c r="X2449" s="1"/>
      <c r="Y2449" s="1"/>
      <c r="Z2449" s="1"/>
    </row>
    <row r="2450" ht="18.0" hidden="1" customHeight="1" outlineLevel="1">
      <c r="A2450" s="1">
        <v>2.0</v>
      </c>
      <c r="B2450" s="26" t="s">
        <v>29</v>
      </c>
      <c r="C2450" s="1"/>
      <c r="D2450" s="1"/>
      <c r="E2450" s="14"/>
      <c r="F2450" s="15"/>
      <c r="G2450" s="16"/>
      <c r="H2450" s="11"/>
      <c r="I2450" s="7"/>
      <c r="J2450" s="7" t="str">
        <f>IFERROR(LET(_xlpm.v,
VLOOKUP($I2450,'用語辞書'!$A:$B,COLUMN('用語辞書'!B$1),FALSE),
IF(_xlpm.v=0,"",_xlpm.v)
),"")</f>
        <v/>
      </c>
      <c r="K2450" s="17"/>
      <c r="L2450" s="17" t="str">
        <f>IF(OR(COUNTIF('クラス'!$A$1:$A$1267,$B2450)&gt;0,$B2450="",$M2450=""),"",True)</f>
        <v/>
      </c>
      <c r="M2450" s="1" t="str">
        <f t="shared" si="30"/>
        <v/>
      </c>
      <c r="N2450" s="1" t="s">
        <v>29</v>
      </c>
      <c r="O2450" s="1"/>
      <c r="P2450" s="11"/>
      <c r="Q2450" s="11"/>
      <c r="R2450" s="11"/>
      <c r="S2450" s="11"/>
      <c r="T2450" s="1"/>
      <c r="U2450" s="1"/>
      <c r="V2450" s="1"/>
      <c r="W2450" s="1"/>
      <c r="X2450" s="1"/>
      <c r="Y2450" s="1"/>
      <c r="Z2450" s="1"/>
    </row>
    <row r="2451" ht="18.0" hidden="1" customHeight="1" outlineLevel="1">
      <c r="A2451" s="1">
        <v>3.0</v>
      </c>
      <c r="B2451" s="26" t="s">
        <v>2378</v>
      </c>
      <c r="C2451" s="1"/>
      <c r="D2451" s="1"/>
      <c r="E2451" s="14"/>
      <c r="F2451" s="15"/>
      <c r="G2451" s="16"/>
      <c r="H2451" s="11"/>
      <c r="I2451" s="7"/>
      <c r="J2451" s="7" t="str">
        <f>IFERROR(LET(_xlpm.v,
VLOOKUP($I2451,'用語辞書'!$A:$B,COLUMN('用語辞書'!B$1),FALSE),
IF(_xlpm.v=0,"",_xlpm.v)
),"")</f>
        <v/>
      </c>
      <c r="K2451" s="17"/>
      <c r="L2451" s="17" t="str">
        <f>IF(OR(COUNTIF('クラス'!$A$1:$A$1267,$B2451)&gt;0,$B2451="",$M2451=""),"",True)</f>
        <v/>
      </c>
      <c r="M2451" s="1" t="str">
        <f t="shared" si="30"/>
        <v/>
      </c>
      <c r="N2451" s="1" t="s">
        <v>29</v>
      </c>
      <c r="O2451" s="1"/>
      <c r="P2451" s="11"/>
      <c r="Q2451" s="11"/>
      <c r="R2451" s="11"/>
      <c r="S2451" s="11"/>
      <c r="T2451" s="1"/>
      <c r="U2451" s="1"/>
      <c r="V2451" s="1"/>
      <c r="W2451" s="1"/>
      <c r="X2451" s="1"/>
      <c r="Y2451" s="1"/>
      <c r="Z2451" s="1"/>
    </row>
    <row r="2452" ht="18.0" hidden="1" customHeight="1" outlineLevel="1">
      <c r="A2452" s="1">
        <v>4.0</v>
      </c>
      <c r="B2452" s="26" t="s">
        <v>29</v>
      </c>
      <c r="C2452" s="1"/>
      <c r="D2452" s="1"/>
      <c r="E2452" s="14"/>
      <c r="F2452" s="15"/>
      <c r="G2452" s="16"/>
      <c r="H2452" s="11"/>
      <c r="I2452" s="7"/>
      <c r="J2452" s="7" t="str">
        <f>IFERROR(LET(_xlpm.v,
VLOOKUP($I2452,'用語辞書'!$A:$B,COLUMN('用語辞書'!B$1),FALSE),
IF(_xlpm.v=0,"",_xlpm.v)
),"")</f>
        <v/>
      </c>
      <c r="K2452" s="17"/>
      <c r="L2452" s="17" t="str">
        <f>IF(OR(COUNTIF('クラス'!$A$1:$A$1267,$B2452)&gt;0,$B2452="",$M2452=""),"",True)</f>
        <v/>
      </c>
      <c r="M2452" s="1" t="str">
        <f t="shared" si="30"/>
        <v/>
      </c>
      <c r="N2452" s="1" t="s">
        <v>29</v>
      </c>
      <c r="O2452" s="1"/>
      <c r="P2452" s="11"/>
      <c r="Q2452" s="11"/>
      <c r="R2452" s="11"/>
      <c r="S2452" s="11"/>
      <c r="T2452" s="1"/>
      <c r="U2452" s="1"/>
      <c r="V2452" s="1"/>
      <c r="W2452" s="1"/>
      <c r="X2452" s="1"/>
      <c r="Y2452" s="1"/>
      <c r="Z2452" s="1"/>
    </row>
    <row r="2453" ht="18.0" hidden="1" customHeight="1" outlineLevel="1">
      <c r="A2453" s="1">
        <v>5.0</v>
      </c>
      <c r="B2453" s="26" t="s">
        <v>2132</v>
      </c>
      <c r="C2453" s="1"/>
      <c r="D2453" s="1"/>
      <c r="E2453" s="14"/>
      <c r="F2453" s="15"/>
      <c r="G2453" s="16"/>
      <c r="H2453" s="11"/>
      <c r="I2453" s="7"/>
      <c r="J2453" s="7" t="str">
        <f>IFERROR(LET(_xlpm.v,
VLOOKUP($I2453,'用語辞書'!$A:$B,COLUMN('用語辞書'!B$1),FALSE),
IF(_xlpm.v=0,"",_xlpm.v)
),"")</f>
        <v/>
      </c>
      <c r="K2453" s="17"/>
      <c r="L2453" s="17" t="str">
        <f>IF(OR(COUNTIF('クラス'!$A$1:$A$1267,$B2453)&gt;0,$B2453="",$M2453=""),"",True)</f>
        <v/>
      </c>
      <c r="M2453" s="1" t="str">
        <f t="shared" si="30"/>
        <v/>
      </c>
      <c r="N2453" s="1" t="s">
        <v>29</v>
      </c>
      <c r="O2453" s="1"/>
      <c r="P2453" s="11"/>
      <c r="Q2453" s="11"/>
      <c r="R2453" s="11"/>
      <c r="S2453" s="11"/>
      <c r="T2453" s="1"/>
      <c r="U2453" s="1"/>
      <c r="V2453" s="1"/>
      <c r="W2453" s="1"/>
      <c r="X2453" s="1"/>
      <c r="Y2453" s="1"/>
      <c r="Z2453" s="1"/>
    </row>
    <row r="2454" ht="18.0" hidden="1" customHeight="1" outlineLevel="1">
      <c r="A2454" s="1">
        <v>6.0</v>
      </c>
      <c r="B2454" s="26" t="s">
        <v>29</v>
      </c>
      <c r="C2454" s="1"/>
      <c r="D2454" s="1"/>
      <c r="E2454" s="14"/>
      <c r="F2454" s="15"/>
      <c r="G2454" s="16"/>
      <c r="H2454" s="11"/>
      <c r="I2454" s="7"/>
      <c r="J2454" s="7" t="str">
        <f>IFERROR(LET(_xlpm.v,
VLOOKUP($I2454,'用語辞書'!$A:$B,COLUMN('用語辞書'!B$1),FALSE),
IF(_xlpm.v=0,"",_xlpm.v)
),"")</f>
        <v/>
      </c>
      <c r="K2454" s="17"/>
      <c r="L2454" s="17" t="str">
        <f>IF(OR(COUNTIF('クラス'!$A$1:$A$1267,$B2454)&gt;0,$B2454="",$M2454=""),"",True)</f>
        <v/>
      </c>
      <c r="M2454" s="1" t="str">
        <f t="shared" si="30"/>
        <v/>
      </c>
      <c r="N2454" s="1" t="s">
        <v>29</v>
      </c>
      <c r="O2454" s="1"/>
      <c r="P2454" s="11"/>
      <c r="Q2454" s="11"/>
      <c r="R2454" s="11"/>
      <c r="S2454" s="11"/>
      <c r="T2454" s="1"/>
      <c r="U2454" s="1"/>
      <c r="V2454" s="1"/>
      <c r="W2454" s="1"/>
      <c r="X2454" s="1"/>
      <c r="Y2454" s="1"/>
      <c r="Z2454" s="1"/>
    </row>
    <row r="2455" ht="18.0" hidden="1" customHeight="1" outlineLevel="1">
      <c r="A2455" s="1">
        <v>7.0</v>
      </c>
      <c r="B2455" s="26" t="s">
        <v>1854</v>
      </c>
      <c r="C2455" s="1"/>
      <c r="D2455" s="1"/>
      <c r="E2455" s="14"/>
      <c r="F2455" s="15"/>
      <c r="G2455" s="16"/>
      <c r="H2455" s="11"/>
      <c r="I2455" s="7"/>
      <c r="J2455" s="7" t="str">
        <f>IFERROR(LET(_xlpm.v,
VLOOKUP($I2455,'用語辞書'!$A:$B,COLUMN('用語辞書'!B$1),FALSE),
IF(_xlpm.v=0,"",_xlpm.v)
),"")</f>
        <v/>
      </c>
      <c r="K2455" s="17"/>
      <c r="L2455" s="17" t="str">
        <f>IF(OR(COUNTIF('クラス'!$A$1:$A$1267,$B2455)&gt;0,$B2455="",$M2455=""),"",True)</f>
        <v/>
      </c>
      <c r="M2455" s="1" t="str">
        <f t="shared" si="30"/>
        <v/>
      </c>
      <c r="N2455" s="1" t="s">
        <v>29</v>
      </c>
      <c r="O2455" s="1"/>
      <c r="P2455" s="11"/>
      <c r="Q2455" s="11"/>
      <c r="R2455" s="11"/>
      <c r="S2455" s="11"/>
      <c r="T2455" s="1"/>
      <c r="U2455" s="1"/>
      <c r="V2455" s="1"/>
      <c r="W2455" s="1"/>
      <c r="X2455" s="1"/>
      <c r="Y2455" s="1"/>
      <c r="Z2455" s="1"/>
    </row>
    <row r="2456" ht="18.0" hidden="1" customHeight="1" outlineLevel="1">
      <c r="A2456" s="1">
        <v>8.0</v>
      </c>
      <c r="B2456" s="26" t="s">
        <v>29</v>
      </c>
      <c r="C2456" s="1"/>
      <c r="D2456" s="1"/>
      <c r="E2456" s="14"/>
      <c r="F2456" s="15"/>
      <c r="G2456" s="16"/>
      <c r="H2456" s="11"/>
      <c r="I2456" s="7"/>
      <c r="J2456" s="7" t="str">
        <f>IFERROR(LET(_xlpm.v,
VLOOKUP($I2456,'用語辞書'!$A:$B,COLUMN('用語辞書'!B$1),FALSE),
IF(_xlpm.v=0,"",_xlpm.v)
),"")</f>
        <v/>
      </c>
      <c r="K2456" s="17"/>
      <c r="L2456" s="17" t="str">
        <f>IF(OR(COUNTIF('クラス'!$A$1:$A$1267,$B2456)&gt;0,$B2456="",$M2456=""),"",True)</f>
        <v/>
      </c>
      <c r="M2456" s="1" t="str">
        <f t="shared" si="30"/>
        <v/>
      </c>
      <c r="N2456" s="1" t="s">
        <v>29</v>
      </c>
      <c r="O2456" s="1"/>
      <c r="P2456" s="11"/>
      <c r="Q2456" s="11"/>
      <c r="R2456" s="11"/>
      <c r="S2456" s="11"/>
      <c r="T2456" s="1"/>
      <c r="U2456" s="1"/>
      <c r="V2456" s="1"/>
      <c r="W2456" s="1"/>
      <c r="X2456" s="1"/>
      <c r="Y2456" s="1"/>
      <c r="Z2456" s="1"/>
    </row>
    <row r="2457" ht="18.0" hidden="1" customHeight="1" outlineLevel="1">
      <c r="A2457" s="1">
        <v>9.0</v>
      </c>
      <c r="B2457" s="26" t="s">
        <v>2136</v>
      </c>
      <c r="C2457" s="1"/>
      <c r="D2457" s="1"/>
      <c r="E2457" s="14"/>
      <c r="F2457" s="15"/>
      <c r="G2457" s="16"/>
      <c r="H2457" s="11"/>
      <c r="I2457" s="7"/>
      <c r="J2457" s="7" t="str">
        <f>IFERROR(LET(_xlpm.v,
VLOOKUP($I2457,'用語辞書'!$A:$B,COLUMN('用語辞書'!B$1),FALSE),
IF(_xlpm.v=0,"",_xlpm.v)
),"")</f>
        <v/>
      </c>
      <c r="K2457" s="17"/>
      <c r="L2457" s="17" t="str">
        <f>IF(OR(COUNTIF('クラス'!$A$1:$A$1267,$B2457)&gt;0,$B2457="",$M2457=""),"",True)</f>
        <v/>
      </c>
      <c r="M2457" s="1" t="str">
        <f t="shared" si="30"/>
        <v/>
      </c>
      <c r="N2457" s="1" t="s">
        <v>29</v>
      </c>
      <c r="O2457" s="1"/>
      <c r="P2457" s="11"/>
      <c r="Q2457" s="11"/>
      <c r="R2457" s="11"/>
      <c r="S2457" s="11"/>
      <c r="T2457" s="1"/>
      <c r="U2457" s="1"/>
      <c r="V2457" s="1"/>
      <c r="W2457" s="1"/>
      <c r="X2457" s="1"/>
      <c r="Y2457" s="1"/>
      <c r="Z2457" s="1"/>
    </row>
    <row r="2458" ht="18.0" hidden="1" customHeight="1" outlineLevel="1">
      <c r="A2458" s="1">
        <v>10.0</v>
      </c>
      <c r="B2458" s="26" t="s">
        <v>2383</v>
      </c>
      <c r="C2458" s="26" t="s">
        <v>29</v>
      </c>
      <c r="D2458" s="26" t="s">
        <v>29</v>
      </c>
      <c r="E2458" s="29" t="s">
        <v>33</v>
      </c>
      <c r="F2458" s="34" t="s">
        <v>29</v>
      </c>
      <c r="G2458" s="30">
        <v>60.0</v>
      </c>
      <c r="H2458" s="22" t="s">
        <v>2384</v>
      </c>
      <c r="I2458" s="7"/>
      <c r="J2458" s="7" t="str">
        <f>IFERROR(LET(_xlpm.v,
VLOOKUP($I2458,'用語辞書'!$A:$B,COLUMN('用語辞書'!B$1),FALSE),
IF(_xlpm.v=0,"",_xlpm.v)
),"")</f>
        <v/>
      </c>
      <c r="K2458" s="17"/>
      <c r="L2458" s="17" t="b">
        <f>IF(OR(COUNTIF('クラス'!$A$1:$A$1267,$B2458)&gt;0,$B2458="",$M2458=""),"",True)</f>
        <v>1</v>
      </c>
      <c r="M2458" s="1" t="str">
        <f t="shared" si="30"/>
        <v>存在しない</v>
      </c>
      <c r="N2458" s="1" t="s">
        <v>29</v>
      </c>
      <c r="O2458" s="1"/>
      <c r="P2458" s="11"/>
      <c r="Q2458" s="11"/>
      <c r="R2458" s="11"/>
      <c r="S2458" s="11"/>
      <c r="T2458" s="1"/>
      <c r="U2458" s="1"/>
      <c r="V2458" s="1"/>
      <c r="W2458" s="1"/>
      <c r="X2458" s="1"/>
      <c r="Y2458" s="1"/>
      <c r="Z2458" s="1"/>
    </row>
    <row r="2459" ht="18.0" customHeight="1" collapsed="1">
      <c r="A2459" s="1"/>
      <c r="B2459" s="1"/>
      <c r="C2459" s="26" t="s">
        <v>2385</v>
      </c>
      <c r="D2459" s="1"/>
      <c r="E2459" s="14"/>
      <c r="F2459" s="15"/>
      <c r="G2459" s="16"/>
      <c r="H2459" s="11"/>
      <c r="I2459" s="7"/>
      <c r="J2459" s="7" t="str">
        <f>IFERROR(LET(_xlpm.v,
VLOOKUP($I2459,'用語辞書'!$A:$B,COLUMN('用語辞書'!B$1),FALSE),
IF(_xlpm.v=0,"",_xlpm.v)
),"")</f>
        <v/>
      </c>
      <c r="K2459" s="17"/>
      <c r="L2459" s="17" t="str">
        <f>IF(OR(COUNTIF('クラス'!$A$1:$A$1267,$B2459)&gt;0,$B2459="",$M2459=""),"",True)</f>
        <v/>
      </c>
      <c r="M2459" s="1" t="str">
        <f t="shared" si="30"/>
        <v>存在しない</v>
      </c>
      <c r="N2459" s="1" t="s">
        <v>29</v>
      </c>
      <c r="O2459" s="1"/>
      <c r="P2459" s="11"/>
      <c r="Q2459" s="11"/>
      <c r="R2459" s="11"/>
      <c r="S2459" s="11"/>
      <c r="T2459" s="1"/>
      <c r="U2459" s="1"/>
      <c r="V2459" s="1"/>
      <c r="W2459" s="1"/>
      <c r="X2459" s="1"/>
      <c r="Y2459" s="1"/>
      <c r="Z2459" s="1"/>
    </row>
    <row r="2460" ht="18.0" customHeight="1" outlineLevel="1">
      <c r="A2460" s="1"/>
      <c r="B2460" s="26" t="s">
        <v>2386</v>
      </c>
      <c r="C2460" s="1"/>
      <c r="D2460" s="1"/>
      <c r="E2460" s="14"/>
      <c r="F2460" s="15"/>
      <c r="G2460" s="16"/>
      <c r="H2460" s="11"/>
      <c r="I2460" s="7"/>
      <c r="J2460" s="7" t="str">
        <f>IFERROR(LET(_xlpm.v,
VLOOKUP($I2460,'用語辞書'!$A:$B,COLUMN('用語辞書'!B$1),FALSE),
IF(_xlpm.v=0,"",_xlpm.v)
),"")</f>
        <v/>
      </c>
      <c r="K2460" s="17"/>
      <c r="L2460" s="17" t="str">
        <f>IF(OR(COUNTIF('クラス'!$A$1:$A$1267,$B2460)&gt;0,$B2460="",$M2460=""),"",True)</f>
        <v/>
      </c>
      <c r="M2460" s="1" t="str">
        <f t="shared" si="30"/>
        <v>存在しない</v>
      </c>
      <c r="N2460" s="1" t="s">
        <v>29</v>
      </c>
      <c r="O2460" s="1"/>
      <c r="P2460" s="11"/>
      <c r="Q2460" s="11"/>
      <c r="R2460" s="11"/>
      <c r="S2460" s="11"/>
      <c r="T2460" s="1"/>
      <c r="U2460" s="1"/>
      <c r="V2460" s="1"/>
      <c r="W2460" s="1"/>
      <c r="X2460" s="1"/>
      <c r="Y2460" s="1"/>
      <c r="Z2460" s="1"/>
    </row>
    <row r="2461" ht="18.0" hidden="1" customHeight="1" outlineLevel="2">
      <c r="A2461" s="1">
        <v>1.0</v>
      </c>
      <c r="B2461" s="26" t="s">
        <v>2239</v>
      </c>
      <c r="C2461" s="1"/>
      <c r="D2461" s="1"/>
      <c r="E2461" s="14"/>
      <c r="F2461" s="15"/>
      <c r="G2461" s="16"/>
      <c r="H2461" s="11"/>
      <c r="I2461" s="7"/>
      <c r="J2461" s="7" t="str">
        <f>IFERROR(LET(_xlpm.v,
VLOOKUP($I2461,'用語辞書'!$A:$B,COLUMN('用語辞書'!B$1),FALSE),
IF(_xlpm.v=0,"",_xlpm.v)
),"")</f>
        <v/>
      </c>
      <c r="K2461" s="17"/>
      <c r="L2461" s="17" t="str">
        <f>IF(OR(COUNTIF('クラス'!$A$1:$A$1267,$B2461)&gt;0,$B2461="",$M2461=""),"",True)</f>
        <v/>
      </c>
      <c r="M2461" s="1" t="str">
        <f t="shared" si="30"/>
        <v/>
      </c>
      <c r="N2461" s="1" t="s">
        <v>29</v>
      </c>
      <c r="O2461" s="1"/>
      <c r="P2461" s="11"/>
      <c r="Q2461" s="11"/>
      <c r="R2461" s="11"/>
      <c r="S2461" s="11"/>
      <c r="T2461" s="1"/>
      <c r="U2461" s="1"/>
      <c r="V2461" s="1"/>
      <c r="W2461" s="1"/>
      <c r="X2461" s="1"/>
      <c r="Y2461" s="1"/>
      <c r="Z2461" s="1"/>
    </row>
    <row r="2462" ht="18.0" hidden="1" customHeight="1" outlineLevel="2">
      <c r="A2462" s="1">
        <v>2.0</v>
      </c>
      <c r="B2462" s="26" t="s">
        <v>29</v>
      </c>
      <c r="C2462" s="1"/>
      <c r="D2462" s="1"/>
      <c r="E2462" s="14"/>
      <c r="F2462" s="15"/>
      <c r="G2462" s="16"/>
      <c r="H2462" s="11"/>
      <c r="I2462" s="7"/>
      <c r="J2462" s="7" t="str">
        <f>IFERROR(LET(_xlpm.v,
VLOOKUP($I2462,'用語辞書'!$A:$B,COLUMN('用語辞書'!B$1),FALSE),
IF(_xlpm.v=0,"",_xlpm.v)
),"")</f>
        <v/>
      </c>
      <c r="K2462" s="17"/>
      <c r="L2462" s="17" t="str">
        <f>IF(OR(COUNTIF('クラス'!$A$1:$A$1267,$B2462)&gt;0,$B2462="",$M2462=""),"",True)</f>
        <v/>
      </c>
      <c r="M2462" s="1" t="str">
        <f t="shared" si="30"/>
        <v/>
      </c>
      <c r="N2462" s="1" t="s">
        <v>29</v>
      </c>
      <c r="O2462" s="1"/>
      <c r="P2462" s="11"/>
      <c r="Q2462" s="11"/>
      <c r="R2462" s="11"/>
      <c r="S2462" s="11"/>
      <c r="T2462" s="1"/>
      <c r="U2462" s="1"/>
      <c r="V2462" s="1"/>
      <c r="W2462" s="1"/>
      <c r="X2462" s="1"/>
      <c r="Y2462" s="1"/>
      <c r="Z2462" s="1"/>
    </row>
    <row r="2463" ht="18.0" hidden="1" customHeight="1" outlineLevel="2">
      <c r="A2463" s="1">
        <v>3.0</v>
      </c>
      <c r="B2463" s="26" t="s">
        <v>1259</v>
      </c>
      <c r="C2463" s="1"/>
      <c r="D2463" s="1"/>
      <c r="E2463" s="14"/>
      <c r="F2463" s="15"/>
      <c r="G2463" s="16"/>
      <c r="H2463" s="11"/>
      <c r="I2463" s="7"/>
      <c r="J2463" s="7" t="str">
        <f>IFERROR(LET(_xlpm.v,
VLOOKUP($I2463,'用語辞書'!$A:$B,COLUMN('用語辞書'!B$1),FALSE),
IF(_xlpm.v=0,"",_xlpm.v)
),"")</f>
        <v/>
      </c>
      <c r="K2463" s="17"/>
      <c r="L2463" s="17" t="str">
        <f>IF(OR(COUNTIF('クラス'!$A$1:$A$1267,$B2463)&gt;0,$B2463="",$M2463=""),"",True)</f>
        <v/>
      </c>
      <c r="M2463" s="1" t="str">
        <f t="shared" si="30"/>
        <v/>
      </c>
      <c r="N2463" s="1" t="s">
        <v>29</v>
      </c>
      <c r="O2463" s="1"/>
      <c r="P2463" s="11"/>
      <c r="Q2463" s="11"/>
      <c r="R2463" s="11"/>
      <c r="S2463" s="11"/>
      <c r="T2463" s="1"/>
      <c r="U2463" s="1"/>
      <c r="V2463" s="1"/>
      <c r="W2463" s="1"/>
      <c r="X2463" s="1"/>
      <c r="Y2463" s="1"/>
      <c r="Z2463" s="1"/>
    </row>
    <row r="2464" ht="18.0" hidden="1" customHeight="1" outlineLevel="2">
      <c r="A2464" s="1">
        <v>4.0</v>
      </c>
      <c r="B2464" s="26" t="s">
        <v>29</v>
      </c>
      <c r="C2464" s="1"/>
      <c r="D2464" s="1"/>
      <c r="E2464" s="14"/>
      <c r="F2464" s="15"/>
      <c r="G2464" s="16"/>
      <c r="H2464" s="11"/>
      <c r="I2464" s="7"/>
      <c r="J2464" s="7" t="str">
        <f>IFERROR(LET(_xlpm.v,
VLOOKUP($I2464,'用語辞書'!$A:$B,COLUMN('用語辞書'!B$1),FALSE),
IF(_xlpm.v=0,"",_xlpm.v)
),"")</f>
        <v/>
      </c>
      <c r="K2464" s="17"/>
      <c r="L2464" s="17" t="str">
        <f>IF(OR(COUNTIF('クラス'!$A$1:$A$1267,$B2464)&gt;0,$B2464="",$M2464=""),"",True)</f>
        <v/>
      </c>
      <c r="M2464" s="1" t="str">
        <f t="shared" si="30"/>
        <v/>
      </c>
      <c r="N2464" s="1" t="s">
        <v>29</v>
      </c>
      <c r="O2464" s="1"/>
      <c r="P2464" s="11"/>
      <c r="Q2464" s="11"/>
      <c r="R2464" s="11"/>
      <c r="S2464" s="11"/>
      <c r="T2464" s="1"/>
      <c r="U2464" s="1"/>
      <c r="V2464" s="1"/>
      <c r="W2464" s="1"/>
      <c r="X2464" s="1"/>
      <c r="Y2464" s="1"/>
      <c r="Z2464" s="1"/>
    </row>
    <row r="2465" ht="18.0" hidden="1" customHeight="1" outlineLevel="2">
      <c r="A2465" s="1">
        <v>5.0</v>
      </c>
      <c r="B2465" s="26" t="s">
        <v>2100</v>
      </c>
      <c r="C2465" s="1"/>
      <c r="D2465" s="1"/>
      <c r="E2465" s="14"/>
      <c r="F2465" s="15"/>
      <c r="G2465" s="16"/>
      <c r="H2465" s="11"/>
      <c r="I2465" s="7"/>
      <c r="J2465" s="7" t="str">
        <f>IFERROR(LET(_xlpm.v,
VLOOKUP($I2465,'用語辞書'!$A:$B,COLUMN('用語辞書'!B$1),FALSE),
IF(_xlpm.v=0,"",_xlpm.v)
),"")</f>
        <v/>
      </c>
      <c r="K2465" s="17"/>
      <c r="L2465" s="17" t="str">
        <f>IF(OR(COUNTIF('クラス'!$A$1:$A$1267,$B2465)&gt;0,$B2465="",$M2465=""),"",True)</f>
        <v/>
      </c>
      <c r="M2465" s="1" t="str">
        <f t="shared" si="30"/>
        <v/>
      </c>
      <c r="N2465" s="1" t="s">
        <v>29</v>
      </c>
      <c r="O2465" s="1"/>
      <c r="P2465" s="11"/>
      <c r="Q2465" s="11"/>
      <c r="R2465" s="11"/>
      <c r="S2465" s="11"/>
      <c r="T2465" s="1"/>
      <c r="U2465" s="1"/>
      <c r="V2465" s="1"/>
      <c r="W2465" s="1"/>
      <c r="X2465" s="1"/>
      <c r="Y2465" s="1"/>
      <c r="Z2465" s="1"/>
    </row>
    <row r="2466" ht="18.0" hidden="1" customHeight="1" outlineLevel="2">
      <c r="A2466" s="1">
        <v>6.0</v>
      </c>
      <c r="B2466" s="26" t="s">
        <v>29</v>
      </c>
      <c r="C2466" s="1"/>
      <c r="D2466" s="1"/>
      <c r="E2466" s="14"/>
      <c r="F2466" s="15"/>
      <c r="G2466" s="16"/>
      <c r="H2466" s="11"/>
      <c r="I2466" s="7"/>
      <c r="J2466" s="7" t="str">
        <f>IFERROR(LET(_xlpm.v,
VLOOKUP($I2466,'用語辞書'!$A:$B,COLUMN('用語辞書'!B$1),FALSE),
IF(_xlpm.v=0,"",_xlpm.v)
),"")</f>
        <v/>
      </c>
      <c r="K2466" s="17"/>
      <c r="L2466" s="17" t="str">
        <f>IF(OR(COUNTIF('クラス'!$A$1:$A$1267,$B2466)&gt;0,$B2466="",$M2466=""),"",True)</f>
        <v/>
      </c>
      <c r="M2466" s="1" t="str">
        <f t="shared" si="30"/>
        <v/>
      </c>
      <c r="N2466" s="1" t="s">
        <v>29</v>
      </c>
      <c r="O2466" s="1"/>
      <c r="P2466" s="11"/>
      <c r="Q2466" s="11"/>
      <c r="R2466" s="11"/>
      <c r="S2466" s="11"/>
      <c r="T2466" s="1"/>
      <c r="U2466" s="1"/>
      <c r="V2466" s="1"/>
      <c r="W2466" s="1"/>
      <c r="X2466" s="1"/>
      <c r="Y2466" s="1"/>
      <c r="Z2466" s="1"/>
    </row>
    <row r="2467" ht="18.0" hidden="1" customHeight="1" outlineLevel="2">
      <c r="A2467" s="1">
        <v>7.0</v>
      </c>
      <c r="B2467" s="26" t="s">
        <v>2387</v>
      </c>
      <c r="C2467" s="26" t="s">
        <v>29</v>
      </c>
      <c r="D2467" s="26" t="s">
        <v>29</v>
      </c>
      <c r="E2467" s="29" t="s">
        <v>33</v>
      </c>
      <c r="F2467" s="34" t="s">
        <v>29</v>
      </c>
      <c r="G2467" s="30">
        <v>40.0</v>
      </c>
      <c r="H2467" s="22" t="s">
        <v>2388</v>
      </c>
      <c r="I2467" s="7"/>
      <c r="J2467" s="7" t="str">
        <f>IFERROR(LET(_xlpm.v,
VLOOKUP($I2467,'用語辞書'!$A:$B,COLUMN('用語辞書'!B$1),FALSE),
IF(_xlpm.v=0,"",_xlpm.v)
),"")</f>
        <v/>
      </c>
      <c r="K2467" s="17"/>
      <c r="L2467" s="17" t="b">
        <f>IF(OR(COUNTIF('クラス'!$A$1:$A$1267,$B2467)&gt;0,$B2467="",$M2467=""),"",True)</f>
        <v>1</v>
      </c>
      <c r="M2467" s="1" t="str">
        <f t="shared" si="30"/>
        <v>存在しない</v>
      </c>
      <c r="N2467" s="1" t="s">
        <v>29</v>
      </c>
      <c r="O2467" s="1"/>
      <c r="P2467" s="11"/>
      <c r="Q2467" s="11"/>
      <c r="R2467" s="11"/>
      <c r="S2467" s="11"/>
      <c r="T2467" s="1"/>
      <c r="U2467" s="1"/>
      <c r="V2467" s="1"/>
      <c r="W2467" s="1"/>
      <c r="X2467" s="1"/>
      <c r="Y2467" s="1"/>
      <c r="Z2467" s="1"/>
    </row>
    <row r="2468" ht="18.0" hidden="1" customHeight="1" outlineLevel="2">
      <c r="A2468" s="1">
        <v>8.0</v>
      </c>
      <c r="B2468" s="26" t="s">
        <v>29</v>
      </c>
      <c r="C2468" s="1"/>
      <c r="D2468" s="1"/>
      <c r="E2468" s="14"/>
      <c r="F2468" s="15"/>
      <c r="G2468" s="16"/>
      <c r="H2468" s="11"/>
      <c r="I2468" s="7"/>
      <c r="J2468" s="7" t="str">
        <f>IFERROR(LET(_xlpm.v,
VLOOKUP($I2468,'用語辞書'!$A:$B,COLUMN('用語辞書'!B$1),FALSE),
IF(_xlpm.v=0,"",_xlpm.v)
),"")</f>
        <v/>
      </c>
      <c r="K2468" s="17"/>
      <c r="L2468" s="17" t="str">
        <f>IF(OR(COUNTIF('クラス'!$A$1:$A$1267,$B2468)&gt;0,$B2468="",$M2468=""),"",True)</f>
        <v/>
      </c>
      <c r="M2468" s="1" t="str">
        <f t="shared" si="30"/>
        <v/>
      </c>
      <c r="N2468" s="1" t="s">
        <v>29</v>
      </c>
      <c r="O2468" s="1"/>
      <c r="P2468" s="11"/>
      <c r="Q2468" s="11"/>
      <c r="R2468" s="11"/>
      <c r="S2468" s="11"/>
      <c r="T2468" s="1"/>
      <c r="U2468" s="1"/>
      <c r="V2468" s="1"/>
      <c r="W2468" s="1"/>
      <c r="X2468" s="1"/>
      <c r="Y2468" s="1"/>
      <c r="Z2468" s="1"/>
    </row>
    <row r="2469" ht="18.0" hidden="1" customHeight="1" outlineLevel="2">
      <c r="A2469" s="1">
        <v>9.0</v>
      </c>
      <c r="B2469" s="26" t="s">
        <v>1500</v>
      </c>
      <c r="C2469" s="1"/>
      <c r="D2469" s="1"/>
      <c r="E2469" s="14"/>
      <c r="F2469" s="15"/>
      <c r="G2469" s="16"/>
      <c r="H2469" s="11"/>
      <c r="I2469" s="7"/>
      <c r="J2469" s="7" t="str">
        <f>IFERROR(LET(_xlpm.v,
VLOOKUP($I2469,'用語辞書'!$A:$B,COLUMN('用語辞書'!B$1),FALSE),
IF(_xlpm.v=0,"",_xlpm.v)
),"")</f>
        <v/>
      </c>
      <c r="K2469" s="17"/>
      <c r="L2469" s="17" t="str">
        <f>IF(OR(COUNTIF('クラス'!$A$1:$A$1267,$B2469)&gt;0,$B2469="",$M2469=""),"",True)</f>
        <v/>
      </c>
      <c r="M2469" s="1" t="str">
        <f t="shared" si="30"/>
        <v/>
      </c>
      <c r="N2469" s="1" t="s">
        <v>29</v>
      </c>
      <c r="O2469" s="1"/>
      <c r="P2469" s="11"/>
      <c r="Q2469" s="11"/>
      <c r="R2469" s="11"/>
      <c r="S2469" s="11"/>
      <c r="T2469" s="1"/>
      <c r="U2469" s="1"/>
      <c r="V2469" s="1"/>
      <c r="W2469" s="1"/>
      <c r="X2469" s="1"/>
      <c r="Y2469" s="1"/>
      <c r="Z2469" s="1"/>
    </row>
    <row r="2470" ht="18.0" hidden="1" customHeight="1" outlineLevel="2">
      <c r="A2470" s="1">
        <v>10.0</v>
      </c>
      <c r="B2470" s="26" t="s">
        <v>2389</v>
      </c>
      <c r="C2470" s="26" t="s">
        <v>29</v>
      </c>
      <c r="D2470" s="26" t="s">
        <v>29</v>
      </c>
      <c r="E2470" s="29" t="s">
        <v>33</v>
      </c>
      <c r="F2470" s="34" t="s">
        <v>29</v>
      </c>
      <c r="G2470" s="30">
        <v>60.0</v>
      </c>
      <c r="H2470" s="22" t="s">
        <v>2390</v>
      </c>
      <c r="I2470" s="7"/>
      <c r="J2470" s="7" t="str">
        <f>IFERROR(LET(_xlpm.v,
VLOOKUP($I2470,'用語辞書'!$A:$B,COLUMN('用語辞書'!B$1),FALSE),
IF(_xlpm.v=0,"",_xlpm.v)
),"")</f>
        <v/>
      </c>
      <c r="K2470" s="17"/>
      <c r="L2470" s="17" t="b">
        <f>IF(OR(COUNTIF('クラス'!$A$1:$A$1267,$B2470)&gt;0,$B2470="",$M2470=""),"",True)</f>
        <v>1</v>
      </c>
      <c r="M2470" s="1" t="str">
        <f t="shared" si="30"/>
        <v>存在しない</v>
      </c>
      <c r="N2470" s="1" t="s">
        <v>29</v>
      </c>
      <c r="O2470" s="1"/>
      <c r="P2470" s="11"/>
      <c r="Q2470" s="11"/>
      <c r="R2470" s="11"/>
      <c r="S2470" s="11"/>
      <c r="T2470" s="1"/>
      <c r="U2470" s="1"/>
      <c r="V2470" s="1"/>
      <c r="W2470" s="1"/>
      <c r="X2470" s="1"/>
      <c r="Y2470" s="1"/>
      <c r="Z2470" s="1"/>
    </row>
    <row r="2471" ht="18.0" customHeight="1" outlineLevel="1" collapsed="1">
      <c r="A2471" s="1"/>
      <c r="B2471" s="1"/>
      <c r="C2471" s="1"/>
      <c r="D2471" s="1"/>
      <c r="E2471" s="14"/>
      <c r="F2471" s="15"/>
      <c r="G2471" s="16"/>
      <c r="H2471" s="11"/>
      <c r="I2471" s="7"/>
      <c r="J2471" s="7" t="str">
        <f>IFERROR(LET(_xlpm.v,
VLOOKUP($I2471,'用語辞書'!$A:$B,COLUMN('用語辞書'!B$1),FALSE),
IF(_xlpm.v=0,"",_xlpm.v)
),"")</f>
        <v/>
      </c>
      <c r="K2471" s="17"/>
      <c r="L2471" s="17" t="str">
        <f>IF(OR(COUNTIF('クラス'!$A$1:$A$1267,$B2471)&gt;0,$B2471="",$M2471=""),"",True)</f>
        <v/>
      </c>
      <c r="M2471" s="1" t="str">
        <f t="shared" si="30"/>
        <v>存在しない</v>
      </c>
      <c r="N2471" s="1" t="s">
        <v>29</v>
      </c>
      <c r="O2471" s="1"/>
      <c r="P2471" s="11"/>
      <c r="Q2471" s="11"/>
      <c r="R2471" s="11"/>
      <c r="S2471" s="11"/>
      <c r="T2471" s="1"/>
      <c r="U2471" s="1"/>
      <c r="V2471" s="1"/>
      <c r="W2471" s="1"/>
      <c r="X2471" s="1"/>
      <c r="Y2471" s="1"/>
      <c r="Z2471" s="1"/>
    </row>
    <row r="2472" ht="18.0" customHeight="1" outlineLevel="1">
      <c r="A2472" s="1"/>
      <c r="B2472" s="26" t="s">
        <v>2391</v>
      </c>
      <c r="C2472" s="1"/>
      <c r="D2472" s="1"/>
      <c r="E2472" s="14"/>
      <c r="F2472" s="15"/>
      <c r="G2472" s="16"/>
      <c r="H2472" s="11"/>
      <c r="I2472" s="7"/>
      <c r="J2472" s="7" t="str">
        <f>IFERROR(LET(_xlpm.v,
VLOOKUP($I2472,'用語辞書'!$A:$B,COLUMN('用語辞書'!B$1),FALSE),
IF(_xlpm.v=0,"",_xlpm.v)
),"")</f>
        <v/>
      </c>
      <c r="K2472" s="17"/>
      <c r="L2472" s="17" t="str">
        <f>IF(OR(COUNTIF('クラス'!$A$1:$A$1267,$B2472)&gt;0,$B2472="",$M2472=""),"",True)</f>
        <v/>
      </c>
      <c r="M2472" s="1" t="str">
        <f t="shared" si="30"/>
        <v>存在しない</v>
      </c>
      <c r="N2472" s="1" t="s">
        <v>29</v>
      </c>
      <c r="O2472" s="1"/>
      <c r="P2472" s="11"/>
      <c r="Q2472" s="11"/>
      <c r="R2472" s="11"/>
      <c r="S2472" s="11"/>
      <c r="T2472" s="1"/>
      <c r="U2472" s="1"/>
      <c r="V2472" s="1"/>
      <c r="W2472" s="1"/>
      <c r="X2472" s="1"/>
      <c r="Y2472" s="1"/>
      <c r="Z2472" s="1"/>
    </row>
    <row r="2473" ht="18.0" hidden="1" customHeight="1" outlineLevel="2">
      <c r="A2473" s="1">
        <v>1.0</v>
      </c>
      <c r="B2473" s="26" t="s">
        <v>2239</v>
      </c>
      <c r="C2473" s="1"/>
      <c r="D2473" s="1"/>
      <c r="E2473" s="14"/>
      <c r="F2473" s="15"/>
      <c r="G2473" s="16"/>
      <c r="H2473" s="11"/>
      <c r="I2473" s="7"/>
      <c r="J2473" s="7" t="str">
        <f>IFERROR(LET(_xlpm.v,
VLOOKUP($I2473,'用語辞書'!$A:$B,COLUMN('用語辞書'!B$1),FALSE),
IF(_xlpm.v=0,"",_xlpm.v)
),"")</f>
        <v/>
      </c>
      <c r="K2473" s="17"/>
      <c r="L2473" s="17" t="str">
        <f>IF(OR(COUNTIF('クラス'!$A$1:$A$1267,$B2473)&gt;0,$B2473="",$M2473=""),"",True)</f>
        <v/>
      </c>
      <c r="M2473" s="1" t="str">
        <f t="shared" si="30"/>
        <v/>
      </c>
      <c r="N2473" s="1" t="s">
        <v>29</v>
      </c>
      <c r="O2473" s="1"/>
      <c r="P2473" s="11"/>
      <c r="Q2473" s="11"/>
      <c r="R2473" s="11"/>
      <c r="S2473" s="11"/>
      <c r="T2473" s="1"/>
      <c r="U2473" s="1"/>
      <c r="V2473" s="1"/>
      <c r="W2473" s="1"/>
      <c r="X2473" s="1"/>
      <c r="Y2473" s="1"/>
      <c r="Z2473" s="1"/>
    </row>
    <row r="2474" ht="18.0" hidden="1" customHeight="1" outlineLevel="2">
      <c r="A2474" s="1">
        <v>2.0</v>
      </c>
      <c r="B2474" s="26" t="s">
        <v>29</v>
      </c>
      <c r="C2474" s="1"/>
      <c r="D2474" s="1"/>
      <c r="E2474" s="14"/>
      <c r="F2474" s="15"/>
      <c r="G2474" s="16"/>
      <c r="H2474" s="11"/>
      <c r="I2474" s="7"/>
      <c r="J2474" s="7" t="str">
        <f>IFERROR(LET(_xlpm.v,
VLOOKUP($I2474,'用語辞書'!$A:$B,COLUMN('用語辞書'!B$1),FALSE),
IF(_xlpm.v=0,"",_xlpm.v)
),"")</f>
        <v/>
      </c>
      <c r="K2474" s="17"/>
      <c r="L2474" s="17" t="str">
        <f>IF(OR(COUNTIF('クラス'!$A$1:$A$1267,$B2474)&gt;0,$B2474="",$M2474=""),"",True)</f>
        <v/>
      </c>
      <c r="M2474" s="1" t="str">
        <f t="shared" si="30"/>
        <v/>
      </c>
      <c r="N2474" s="1" t="s">
        <v>29</v>
      </c>
      <c r="O2474" s="1"/>
      <c r="P2474" s="11"/>
      <c r="Q2474" s="11"/>
      <c r="R2474" s="11"/>
      <c r="S2474" s="11"/>
      <c r="T2474" s="1"/>
      <c r="U2474" s="1"/>
      <c r="V2474" s="1"/>
      <c r="W2474" s="1"/>
      <c r="X2474" s="1"/>
      <c r="Y2474" s="1"/>
      <c r="Z2474" s="1"/>
    </row>
    <row r="2475" ht="18.0" hidden="1" customHeight="1" outlineLevel="2">
      <c r="A2475" s="1">
        <v>3.0</v>
      </c>
      <c r="B2475" s="26" t="s">
        <v>2387</v>
      </c>
      <c r="C2475" s="1"/>
      <c r="D2475" s="1"/>
      <c r="E2475" s="14"/>
      <c r="F2475" s="15"/>
      <c r="G2475" s="16"/>
      <c r="H2475" s="11"/>
      <c r="I2475" s="7"/>
      <c r="J2475" s="7" t="str">
        <f>IFERROR(LET(_xlpm.v,
VLOOKUP($I2475,'用語辞書'!$A:$B,COLUMN('用語辞書'!B$1),FALSE),
IF(_xlpm.v=0,"",_xlpm.v)
),"")</f>
        <v/>
      </c>
      <c r="K2475" s="17"/>
      <c r="L2475" s="17" t="str">
        <f>IF(OR(COUNTIF('クラス'!$A$1:$A$1267,$B2475)&gt;0,$B2475="",$M2475=""),"",True)</f>
        <v/>
      </c>
      <c r="M2475" s="1" t="str">
        <f t="shared" si="30"/>
        <v/>
      </c>
      <c r="N2475" s="1" t="s">
        <v>29</v>
      </c>
      <c r="O2475" s="1"/>
      <c r="P2475" s="11"/>
      <c r="Q2475" s="11"/>
      <c r="R2475" s="11"/>
      <c r="S2475" s="11"/>
      <c r="T2475" s="1"/>
      <c r="U2475" s="1"/>
      <c r="V2475" s="1"/>
      <c r="W2475" s="1"/>
      <c r="X2475" s="1"/>
      <c r="Y2475" s="1"/>
      <c r="Z2475" s="1"/>
    </row>
    <row r="2476" ht="18.0" hidden="1" customHeight="1" outlineLevel="2">
      <c r="A2476" s="1">
        <v>4.0</v>
      </c>
      <c r="B2476" s="26" t="s">
        <v>29</v>
      </c>
      <c r="C2476" s="1"/>
      <c r="D2476" s="1"/>
      <c r="E2476" s="14"/>
      <c r="F2476" s="15"/>
      <c r="G2476" s="16"/>
      <c r="H2476" s="11"/>
      <c r="I2476" s="7"/>
      <c r="J2476" s="7" t="str">
        <f>IFERROR(LET(_xlpm.v,
VLOOKUP($I2476,'用語辞書'!$A:$B,COLUMN('用語辞書'!B$1),FALSE),
IF(_xlpm.v=0,"",_xlpm.v)
),"")</f>
        <v/>
      </c>
      <c r="K2476" s="17"/>
      <c r="L2476" s="17" t="str">
        <f>IF(OR(COUNTIF('クラス'!$A$1:$A$1267,$B2476)&gt;0,$B2476="",$M2476=""),"",True)</f>
        <v/>
      </c>
      <c r="M2476" s="1" t="str">
        <f t="shared" si="30"/>
        <v/>
      </c>
      <c r="N2476" s="1" t="s">
        <v>29</v>
      </c>
      <c r="O2476" s="1"/>
      <c r="P2476" s="11"/>
      <c r="Q2476" s="11"/>
      <c r="R2476" s="11"/>
      <c r="S2476" s="11"/>
      <c r="T2476" s="1"/>
      <c r="U2476" s="1"/>
      <c r="V2476" s="1"/>
      <c r="W2476" s="1"/>
      <c r="X2476" s="1"/>
      <c r="Y2476" s="1"/>
      <c r="Z2476" s="1"/>
    </row>
    <row r="2477" ht="18.0" hidden="1" customHeight="1" outlineLevel="2">
      <c r="A2477" s="1">
        <v>5.0</v>
      </c>
      <c r="B2477" s="26" t="s">
        <v>1399</v>
      </c>
      <c r="C2477" s="1"/>
      <c r="D2477" s="1"/>
      <c r="E2477" s="14"/>
      <c r="F2477" s="15"/>
      <c r="G2477" s="16"/>
      <c r="H2477" s="11"/>
      <c r="I2477" s="7"/>
      <c r="J2477" s="7" t="str">
        <f>IFERROR(LET(_xlpm.v,
VLOOKUP($I2477,'用語辞書'!$A:$B,COLUMN('用語辞書'!B$1),FALSE),
IF(_xlpm.v=0,"",_xlpm.v)
),"")</f>
        <v/>
      </c>
      <c r="K2477" s="17"/>
      <c r="L2477" s="17" t="str">
        <f>IF(OR(COUNTIF('クラス'!$A$1:$A$1267,$B2477)&gt;0,$B2477="",$M2477=""),"",True)</f>
        <v/>
      </c>
      <c r="M2477" s="1" t="str">
        <f t="shared" si="30"/>
        <v/>
      </c>
      <c r="N2477" s="1" t="s">
        <v>29</v>
      </c>
      <c r="O2477" s="1"/>
      <c r="P2477" s="11"/>
      <c r="Q2477" s="11"/>
      <c r="R2477" s="11"/>
      <c r="S2477" s="11"/>
      <c r="T2477" s="1"/>
      <c r="U2477" s="1"/>
      <c r="V2477" s="1"/>
      <c r="W2477" s="1"/>
      <c r="X2477" s="1"/>
      <c r="Y2477" s="1"/>
      <c r="Z2477" s="1"/>
    </row>
    <row r="2478" ht="18.0" hidden="1" customHeight="1" outlineLevel="2">
      <c r="A2478" s="1">
        <v>6.0</v>
      </c>
      <c r="B2478" s="26" t="s">
        <v>29</v>
      </c>
      <c r="C2478" s="1"/>
      <c r="D2478" s="1"/>
      <c r="E2478" s="14"/>
      <c r="F2478" s="15"/>
      <c r="G2478" s="16"/>
      <c r="H2478" s="11"/>
      <c r="I2478" s="7"/>
      <c r="J2478" s="7" t="str">
        <f>IFERROR(LET(_xlpm.v,
VLOOKUP($I2478,'用語辞書'!$A:$B,COLUMN('用語辞書'!B$1),FALSE),
IF(_xlpm.v=0,"",_xlpm.v)
),"")</f>
        <v/>
      </c>
      <c r="K2478" s="17"/>
      <c r="L2478" s="17" t="str">
        <f>IF(OR(COUNTIF('クラス'!$A$1:$A$1267,$B2478)&gt;0,$B2478="",$M2478=""),"",True)</f>
        <v/>
      </c>
      <c r="M2478" s="1" t="str">
        <f t="shared" si="30"/>
        <v/>
      </c>
      <c r="N2478" s="1" t="s">
        <v>29</v>
      </c>
      <c r="O2478" s="1"/>
      <c r="P2478" s="11"/>
      <c r="Q2478" s="11"/>
      <c r="R2478" s="11"/>
      <c r="S2478" s="11"/>
      <c r="T2478" s="1"/>
      <c r="U2478" s="1"/>
      <c r="V2478" s="1"/>
      <c r="W2478" s="1"/>
      <c r="X2478" s="1"/>
      <c r="Y2478" s="1"/>
      <c r="Z2478" s="1"/>
    </row>
    <row r="2479" ht="18.0" hidden="1" customHeight="1" outlineLevel="2">
      <c r="A2479" s="1">
        <v>7.0</v>
      </c>
      <c r="B2479" s="26" t="s">
        <v>1854</v>
      </c>
      <c r="C2479" s="1"/>
      <c r="D2479" s="1"/>
      <c r="E2479" s="14"/>
      <c r="F2479" s="15"/>
      <c r="G2479" s="16"/>
      <c r="H2479" s="11"/>
      <c r="I2479" s="7"/>
      <c r="J2479" s="7" t="str">
        <f>IFERROR(LET(_xlpm.v,
VLOOKUP($I2479,'用語辞書'!$A:$B,COLUMN('用語辞書'!B$1),FALSE),
IF(_xlpm.v=0,"",_xlpm.v)
),"")</f>
        <v/>
      </c>
      <c r="K2479" s="17"/>
      <c r="L2479" s="17" t="str">
        <f>IF(OR(COUNTIF('クラス'!$A$1:$A$1267,$B2479)&gt;0,$B2479="",$M2479=""),"",True)</f>
        <v/>
      </c>
      <c r="M2479" s="1" t="str">
        <f t="shared" si="30"/>
        <v/>
      </c>
      <c r="N2479" s="1" t="s">
        <v>29</v>
      </c>
      <c r="O2479" s="1"/>
      <c r="P2479" s="11"/>
      <c r="Q2479" s="11"/>
      <c r="R2479" s="11"/>
      <c r="S2479" s="11"/>
      <c r="T2479" s="1"/>
      <c r="U2479" s="1"/>
      <c r="V2479" s="1"/>
      <c r="W2479" s="1"/>
      <c r="X2479" s="1"/>
      <c r="Y2479" s="1"/>
      <c r="Z2479" s="1"/>
    </row>
    <row r="2480" ht="18.0" hidden="1" customHeight="1" outlineLevel="2">
      <c r="A2480" s="1">
        <v>8.0</v>
      </c>
      <c r="B2480" s="26" t="s">
        <v>29</v>
      </c>
      <c r="C2480" s="1"/>
      <c r="D2480" s="1"/>
      <c r="E2480" s="14"/>
      <c r="F2480" s="15"/>
      <c r="G2480" s="16"/>
      <c r="H2480" s="11"/>
      <c r="I2480" s="7"/>
      <c r="J2480" s="7" t="str">
        <f>IFERROR(LET(_xlpm.v,
VLOOKUP($I2480,'用語辞書'!$A:$B,COLUMN('用語辞書'!B$1),FALSE),
IF(_xlpm.v=0,"",_xlpm.v)
),"")</f>
        <v/>
      </c>
      <c r="K2480" s="17"/>
      <c r="L2480" s="17" t="str">
        <f>IF(OR(COUNTIF('クラス'!$A$1:$A$1267,$B2480)&gt;0,$B2480="",$M2480=""),"",True)</f>
        <v/>
      </c>
      <c r="M2480" s="1" t="str">
        <f t="shared" si="30"/>
        <v/>
      </c>
      <c r="N2480" s="1" t="s">
        <v>29</v>
      </c>
      <c r="O2480" s="1"/>
      <c r="P2480" s="11"/>
      <c r="Q2480" s="11"/>
      <c r="R2480" s="11"/>
      <c r="S2480" s="11"/>
      <c r="T2480" s="1"/>
      <c r="U2480" s="1"/>
      <c r="V2480" s="1"/>
      <c r="W2480" s="1"/>
      <c r="X2480" s="1"/>
      <c r="Y2480" s="1"/>
      <c r="Z2480" s="1"/>
    </row>
    <row r="2481" ht="18.0" hidden="1" customHeight="1" outlineLevel="2">
      <c r="A2481" s="1">
        <v>9.0</v>
      </c>
      <c r="B2481" s="26" t="s">
        <v>1263</v>
      </c>
      <c r="C2481" s="1"/>
      <c r="D2481" s="1"/>
      <c r="E2481" s="14"/>
      <c r="F2481" s="15"/>
      <c r="G2481" s="16"/>
      <c r="H2481" s="11"/>
      <c r="I2481" s="7"/>
      <c r="J2481" s="7" t="str">
        <f>IFERROR(LET(_xlpm.v,
VLOOKUP($I2481,'用語辞書'!$A:$B,COLUMN('用語辞書'!B$1),FALSE),
IF(_xlpm.v=0,"",_xlpm.v)
),"")</f>
        <v/>
      </c>
      <c r="K2481" s="17"/>
      <c r="L2481" s="17" t="str">
        <f>IF(OR(COUNTIF('クラス'!$A$1:$A$1267,$B2481)&gt;0,$B2481="",$M2481=""),"",True)</f>
        <v/>
      </c>
      <c r="M2481" s="1" t="str">
        <f t="shared" si="30"/>
        <v/>
      </c>
      <c r="N2481" s="1" t="s">
        <v>29</v>
      </c>
      <c r="O2481" s="1"/>
      <c r="P2481" s="11"/>
      <c r="Q2481" s="11"/>
      <c r="R2481" s="11"/>
      <c r="S2481" s="11"/>
      <c r="T2481" s="1"/>
      <c r="U2481" s="1"/>
      <c r="V2481" s="1"/>
      <c r="W2481" s="1"/>
      <c r="X2481" s="1"/>
      <c r="Y2481" s="1"/>
      <c r="Z2481" s="1"/>
    </row>
    <row r="2482" ht="18.0" hidden="1" customHeight="1" outlineLevel="2">
      <c r="A2482" s="1">
        <v>10.0</v>
      </c>
      <c r="B2482" s="26" t="s">
        <v>2392</v>
      </c>
      <c r="C2482" s="26" t="s">
        <v>29</v>
      </c>
      <c r="D2482" s="26" t="s">
        <v>29</v>
      </c>
      <c r="E2482" s="29" t="s">
        <v>33</v>
      </c>
      <c r="F2482" s="34" t="s">
        <v>29</v>
      </c>
      <c r="G2482" s="30">
        <v>60.0</v>
      </c>
      <c r="H2482" s="22" t="s">
        <v>2393</v>
      </c>
      <c r="I2482" s="7"/>
      <c r="J2482" s="7" t="str">
        <f>IFERROR(LET(_xlpm.v,
VLOOKUP($I2482,'用語辞書'!$A:$B,COLUMN('用語辞書'!B$1),FALSE),
IF(_xlpm.v=0,"",_xlpm.v)
),"")</f>
        <v/>
      </c>
      <c r="K2482" s="17"/>
      <c r="L2482" s="17" t="b">
        <f>IF(OR(COUNTIF('クラス'!$A$1:$A$1267,$B2482)&gt;0,$B2482="",$M2482=""),"",True)</f>
        <v>1</v>
      </c>
      <c r="M2482" s="1" t="str">
        <f t="shared" si="30"/>
        <v>存在しない</v>
      </c>
      <c r="N2482" s="1" t="s">
        <v>29</v>
      </c>
      <c r="O2482" s="1"/>
      <c r="P2482" s="11"/>
      <c r="Q2482" s="11"/>
      <c r="R2482" s="11"/>
      <c r="S2482" s="11"/>
      <c r="T2482" s="1"/>
      <c r="U2482" s="1"/>
      <c r="V2482" s="1"/>
      <c r="W2482" s="1"/>
      <c r="X2482" s="1"/>
      <c r="Y2482" s="1"/>
      <c r="Z2482" s="1"/>
    </row>
    <row r="2483" ht="18.0" customHeight="1" collapsed="1">
      <c r="A2483" s="1"/>
      <c r="B2483" s="1"/>
      <c r="C2483" s="26" t="s">
        <v>2394</v>
      </c>
      <c r="D2483" s="1"/>
      <c r="E2483" s="14"/>
      <c r="F2483" s="15"/>
      <c r="G2483" s="16"/>
      <c r="H2483" s="11"/>
      <c r="I2483" s="7"/>
      <c r="J2483" s="7" t="str">
        <f>IFERROR(LET(_xlpm.v,
VLOOKUP($I2483,'用語辞書'!$A:$B,COLUMN('用語辞書'!B$1),FALSE),
IF(_xlpm.v=0,"",_xlpm.v)
),"")</f>
        <v/>
      </c>
      <c r="K2483" s="17"/>
      <c r="L2483" s="17" t="str">
        <f>IF(OR(COUNTIF('クラス'!$A$1:$A$1267,$B2483)&gt;0,$B2483="",$M2483=""),"",True)</f>
        <v/>
      </c>
      <c r="M2483" s="1" t="str">
        <f t="shared" si="30"/>
        <v>存在しない</v>
      </c>
      <c r="N2483" s="1" t="s">
        <v>29</v>
      </c>
      <c r="O2483" s="1"/>
      <c r="P2483" s="11"/>
      <c r="Q2483" s="11"/>
      <c r="R2483" s="11"/>
      <c r="S2483" s="11"/>
      <c r="T2483" s="1"/>
      <c r="U2483" s="1"/>
      <c r="V2483" s="1"/>
      <c r="W2483" s="1"/>
      <c r="X2483" s="1"/>
      <c r="Y2483" s="1"/>
      <c r="Z2483" s="1"/>
    </row>
    <row r="2484" ht="18.0" customHeight="1" outlineLevel="1">
      <c r="A2484" s="1"/>
      <c r="B2484" s="26" t="s">
        <v>2395</v>
      </c>
      <c r="C2484" s="1"/>
      <c r="D2484" s="1"/>
      <c r="E2484" s="14"/>
      <c r="F2484" s="15"/>
      <c r="G2484" s="16"/>
      <c r="H2484" s="11"/>
      <c r="I2484" s="7"/>
      <c r="J2484" s="7" t="str">
        <f>IFERROR(LET(_xlpm.v,
VLOOKUP($I2484,'用語辞書'!$A:$B,COLUMN('用語辞書'!B$1),FALSE),
IF(_xlpm.v=0,"",_xlpm.v)
),"")</f>
        <v/>
      </c>
      <c r="K2484" s="17"/>
      <c r="L2484" s="17" t="str">
        <f>IF(OR(COUNTIF('クラス'!$A$1:$A$1267,$B2484)&gt;0,$B2484="",$M2484=""),"",True)</f>
        <v/>
      </c>
      <c r="M2484" s="1" t="str">
        <f t="shared" si="30"/>
        <v>存在しない</v>
      </c>
      <c r="N2484" s="1" t="s">
        <v>29</v>
      </c>
      <c r="O2484" s="1"/>
      <c r="P2484" s="11"/>
      <c r="Q2484" s="11"/>
      <c r="R2484" s="11"/>
      <c r="S2484" s="11"/>
      <c r="T2484" s="1"/>
      <c r="U2484" s="1"/>
      <c r="V2484" s="1"/>
      <c r="W2484" s="1"/>
      <c r="X2484" s="1"/>
      <c r="Y2484" s="1"/>
      <c r="Z2484" s="1"/>
    </row>
    <row r="2485" ht="18.0" hidden="1" customHeight="1" outlineLevel="2">
      <c r="A2485" s="1">
        <v>1.0</v>
      </c>
      <c r="B2485" s="26" t="s">
        <v>2396</v>
      </c>
      <c r="C2485" s="1"/>
      <c r="D2485" s="1"/>
      <c r="E2485" s="14"/>
      <c r="F2485" s="15"/>
      <c r="G2485" s="16"/>
      <c r="H2485" s="11"/>
      <c r="I2485" s="7"/>
      <c r="J2485" s="7" t="str">
        <f>IFERROR(LET(_xlpm.v,
VLOOKUP($I2485,'用語辞書'!$A:$B,COLUMN('用語辞書'!B$1),FALSE),
IF(_xlpm.v=0,"",_xlpm.v)
),"")</f>
        <v/>
      </c>
      <c r="K2485" s="17"/>
      <c r="L2485" s="17" t="str">
        <f>IF(OR(COUNTIF('クラス'!$A$1:$A$1267,$B2485)&gt;0,$B2485="",$M2485=""),"",True)</f>
        <v/>
      </c>
      <c r="M2485" s="1" t="str">
        <f t="shared" si="30"/>
        <v/>
      </c>
      <c r="N2485" s="1" t="s">
        <v>29</v>
      </c>
      <c r="O2485" s="1"/>
      <c r="P2485" s="11"/>
      <c r="Q2485" s="11"/>
      <c r="R2485" s="11"/>
      <c r="S2485" s="11"/>
      <c r="T2485" s="1"/>
      <c r="U2485" s="1"/>
      <c r="V2485" s="1"/>
      <c r="W2485" s="1"/>
      <c r="X2485" s="1"/>
      <c r="Y2485" s="1"/>
      <c r="Z2485" s="1"/>
    </row>
    <row r="2486" ht="18.0" hidden="1" customHeight="1" outlineLevel="2">
      <c r="A2486" s="1">
        <v>2.0</v>
      </c>
      <c r="B2486" s="26" t="s">
        <v>29</v>
      </c>
      <c r="C2486" s="1"/>
      <c r="D2486" s="1"/>
      <c r="E2486" s="14"/>
      <c r="F2486" s="15"/>
      <c r="G2486" s="16"/>
      <c r="H2486" s="11"/>
      <c r="I2486" s="7"/>
      <c r="J2486" s="7" t="str">
        <f>IFERROR(LET(_xlpm.v,
VLOOKUP($I2486,'用語辞書'!$A:$B,COLUMN('用語辞書'!B$1),FALSE),
IF(_xlpm.v=0,"",_xlpm.v)
),"")</f>
        <v/>
      </c>
      <c r="K2486" s="17"/>
      <c r="L2486" s="17" t="str">
        <f>IF(OR(COUNTIF('クラス'!$A$1:$A$1267,$B2486)&gt;0,$B2486="",$M2486=""),"",True)</f>
        <v/>
      </c>
      <c r="M2486" s="1" t="str">
        <f t="shared" si="30"/>
        <v/>
      </c>
      <c r="N2486" s="1" t="s">
        <v>29</v>
      </c>
      <c r="O2486" s="1"/>
      <c r="P2486" s="11"/>
      <c r="Q2486" s="11"/>
      <c r="R2486" s="11"/>
      <c r="S2486" s="11"/>
      <c r="T2486" s="1"/>
      <c r="U2486" s="1"/>
      <c r="V2486" s="1"/>
      <c r="W2486" s="1"/>
      <c r="X2486" s="1"/>
      <c r="Y2486" s="1"/>
      <c r="Z2486" s="1"/>
    </row>
    <row r="2487" ht="18.0" hidden="1" customHeight="1" outlineLevel="2">
      <c r="A2487" s="1">
        <v>3.0</v>
      </c>
      <c r="B2487" s="26" t="s">
        <v>282</v>
      </c>
      <c r="C2487" s="1"/>
      <c r="D2487" s="1"/>
      <c r="E2487" s="14"/>
      <c r="F2487" s="15"/>
      <c r="G2487" s="16"/>
      <c r="H2487" s="11"/>
      <c r="I2487" s="7"/>
      <c r="J2487" s="7" t="str">
        <f>IFERROR(LET(_xlpm.v,
VLOOKUP($I2487,'用語辞書'!$A:$B,COLUMN('用語辞書'!B$1),FALSE),
IF(_xlpm.v=0,"",_xlpm.v)
),"")</f>
        <v/>
      </c>
      <c r="K2487" s="17"/>
      <c r="L2487" s="17" t="str">
        <f>IF(OR(COUNTIF('クラス'!$A$1:$A$1267,$B2487)&gt;0,$B2487="",$M2487=""),"",True)</f>
        <v/>
      </c>
      <c r="M2487" s="1" t="str">
        <f t="shared" si="30"/>
        <v/>
      </c>
      <c r="N2487" s="1" t="s">
        <v>29</v>
      </c>
      <c r="O2487" s="1"/>
      <c r="P2487" s="11"/>
      <c r="Q2487" s="11"/>
      <c r="R2487" s="11"/>
      <c r="S2487" s="11"/>
      <c r="T2487" s="1"/>
      <c r="U2487" s="1"/>
      <c r="V2487" s="1"/>
      <c r="W2487" s="1"/>
      <c r="X2487" s="1"/>
      <c r="Y2487" s="1"/>
      <c r="Z2487" s="1"/>
    </row>
    <row r="2488" ht="18.0" hidden="1" customHeight="1" outlineLevel="2">
      <c r="A2488" s="1">
        <v>4.0</v>
      </c>
      <c r="B2488" s="26" t="s">
        <v>29</v>
      </c>
      <c r="C2488" s="1"/>
      <c r="D2488" s="1"/>
      <c r="E2488" s="14"/>
      <c r="F2488" s="15"/>
      <c r="G2488" s="16"/>
      <c r="H2488" s="11"/>
      <c r="I2488" s="7"/>
      <c r="J2488" s="7" t="str">
        <f>IFERROR(LET(_xlpm.v,
VLOOKUP($I2488,'用語辞書'!$A:$B,COLUMN('用語辞書'!B$1),FALSE),
IF(_xlpm.v=0,"",_xlpm.v)
),"")</f>
        <v/>
      </c>
      <c r="K2488" s="17"/>
      <c r="L2488" s="17" t="str">
        <f>IF(OR(COUNTIF('クラス'!$A$1:$A$1267,$B2488)&gt;0,$B2488="",$M2488=""),"",True)</f>
        <v/>
      </c>
      <c r="M2488" s="1" t="str">
        <f t="shared" si="30"/>
        <v/>
      </c>
      <c r="N2488" s="1" t="s">
        <v>29</v>
      </c>
      <c r="O2488" s="1"/>
      <c r="P2488" s="11"/>
      <c r="Q2488" s="11"/>
      <c r="R2488" s="11"/>
      <c r="S2488" s="11"/>
      <c r="T2488" s="1"/>
      <c r="U2488" s="1"/>
      <c r="V2488" s="1"/>
      <c r="W2488" s="1"/>
      <c r="X2488" s="1"/>
      <c r="Y2488" s="1"/>
      <c r="Z2488" s="1"/>
    </row>
    <row r="2489" ht="18.0" hidden="1" customHeight="1" outlineLevel="2">
      <c r="A2489" s="1">
        <v>5.0</v>
      </c>
      <c r="B2489" s="26" t="s">
        <v>2198</v>
      </c>
      <c r="C2489" s="1"/>
      <c r="D2489" s="1"/>
      <c r="E2489" s="14"/>
      <c r="F2489" s="15"/>
      <c r="G2489" s="16"/>
      <c r="H2489" s="11"/>
      <c r="I2489" s="7"/>
      <c r="J2489" s="7" t="str">
        <f>IFERROR(LET(_xlpm.v,
VLOOKUP($I2489,'用語辞書'!$A:$B,COLUMN('用語辞書'!B$1),FALSE),
IF(_xlpm.v=0,"",_xlpm.v)
),"")</f>
        <v/>
      </c>
      <c r="K2489" s="17"/>
      <c r="L2489" s="17" t="str">
        <f>IF(OR(COUNTIF('クラス'!$A$1:$A$1267,$B2489)&gt;0,$B2489="",$M2489=""),"",True)</f>
        <v/>
      </c>
      <c r="M2489" s="1" t="str">
        <f t="shared" si="30"/>
        <v/>
      </c>
      <c r="N2489" s="1" t="s">
        <v>29</v>
      </c>
      <c r="O2489" s="1"/>
      <c r="P2489" s="11"/>
      <c r="Q2489" s="11"/>
      <c r="R2489" s="11"/>
      <c r="S2489" s="11"/>
      <c r="T2489" s="1"/>
      <c r="U2489" s="1"/>
      <c r="V2489" s="1"/>
      <c r="W2489" s="1"/>
      <c r="X2489" s="1"/>
      <c r="Y2489" s="1"/>
      <c r="Z2489" s="1"/>
    </row>
    <row r="2490" ht="18.0" hidden="1" customHeight="1" outlineLevel="2">
      <c r="A2490" s="1">
        <v>6.0</v>
      </c>
      <c r="B2490" s="26" t="s">
        <v>29</v>
      </c>
      <c r="C2490" s="1"/>
      <c r="D2490" s="1"/>
      <c r="E2490" s="14"/>
      <c r="F2490" s="15"/>
      <c r="G2490" s="16"/>
      <c r="H2490" s="11"/>
      <c r="I2490" s="7"/>
      <c r="J2490" s="7" t="str">
        <f>IFERROR(LET(_xlpm.v,
VLOOKUP($I2490,'用語辞書'!$A:$B,COLUMN('用語辞書'!B$1),FALSE),
IF(_xlpm.v=0,"",_xlpm.v)
),"")</f>
        <v/>
      </c>
      <c r="K2490" s="17"/>
      <c r="L2490" s="17" t="str">
        <f>IF(OR(COUNTIF('クラス'!$A$1:$A$1267,$B2490)&gt;0,$B2490="",$M2490=""),"",True)</f>
        <v/>
      </c>
      <c r="M2490" s="1" t="str">
        <f t="shared" si="30"/>
        <v/>
      </c>
      <c r="N2490" s="1" t="s">
        <v>29</v>
      </c>
      <c r="O2490" s="1"/>
      <c r="P2490" s="11"/>
      <c r="Q2490" s="11"/>
      <c r="R2490" s="11"/>
      <c r="S2490" s="11"/>
      <c r="T2490" s="1"/>
      <c r="U2490" s="1"/>
      <c r="V2490" s="1"/>
      <c r="W2490" s="1"/>
      <c r="X2490" s="1"/>
      <c r="Y2490" s="1"/>
      <c r="Z2490" s="1"/>
    </row>
    <row r="2491" ht="18.0" hidden="1" customHeight="1" outlineLevel="2">
      <c r="A2491" s="1">
        <v>7.0</v>
      </c>
      <c r="B2491" s="26" t="s">
        <v>297</v>
      </c>
      <c r="C2491" s="1"/>
      <c r="D2491" s="1"/>
      <c r="E2491" s="14"/>
      <c r="F2491" s="15"/>
      <c r="G2491" s="16"/>
      <c r="H2491" s="11"/>
      <c r="I2491" s="7"/>
      <c r="J2491" s="7" t="str">
        <f>IFERROR(LET(_xlpm.v,
VLOOKUP($I2491,'用語辞書'!$A:$B,COLUMN('用語辞書'!B$1),FALSE),
IF(_xlpm.v=0,"",_xlpm.v)
),"")</f>
        <v/>
      </c>
      <c r="K2491" s="17"/>
      <c r="L2491" s="17" t="str">
        <f>IF(OR(COUNTIF('クラス'!$A$1:$A$1267,$B2491)&gt;0,$B2491="",$M2491=""),"",True)</f>
        <v/>
      </c>
      <c r="M2491" s="1" t="str">
        <f t="shared" si="30"/>
        <v/>
      </c>
      <c r="N2491" s="1" t="s">
        <v>29</v>
      </c>
      <c r="O2491" s="1"/>
      <c r="P2491" s="11"/>
      <c r="Q2491" s="11"/>
      <c r="R2491" s="11"/>
      <c r="S2491" s="11"/>
      <c r="T2491" s="1"/>
      <c r="U2491" s="1"/>
      <c r="V2491" s="1"/>
      <c r="W2491" s="1"/>
      <c r="X2491" s="1"/>
      <c r="Y2491" s="1"/>
      <c r="Z2491" s="1"/>
    </row>
    <row r="2492" ht="18.0" hidden="1" customHeight="1" outlineLevel="2">
      <c r="A2492" s="1">
        <v>8.0</v>
      </c>
      <c r="B2492" s="26" t="s">
        <v>29</v>
      </c>
      <c r="C2492" s="1"/>
      <c r="D2492" s="1"/>
      <c r="E2492" s="14"/>
      <c r="F2492" s="15"/>
      <c r="G2492" s="16"/>
      <c r="H2492" s="11"/>
      <c r="I2492" s="7"/>
      <c r="J2492" s="7" t="str">
        <f>IFERROR(LET(_xlpm.v,
VLOOKUP($I2492,'用語辞書'!$A:$B,COLUMN('用語辞書'!B$1),FALSE),
IF(_xlpm.v=0,"",_xlpm.v)
),"")</f>
        <v/>
      </c>
      <c r="K2492" s="17"/>
      <c r="L2492" s="17" t="str">
        <f>IF(OR(COUNTIF('クラス'!$A$1:$A$1267,$B2492)&gt;0,$B2492="",$M2492=""),"",True)</f>
        <v/>
      </c>
      <c r="M2492" s="1" t="str">
        <f t="shared" si="30"/>
        <v/>
      </c>
      <c r="N2492" s="1" t="s">
        <v>29</v>
      </c>
      <c r="O2492" s="1"/>
      <c r="P2492" s="11"/>
      <c r="Q2492" s="11"/>
      <c r="R2492" s="11"/>
      <c r="S2492" s="11"/>
      <c r="T2492" s="1"/>
      <c r="U2492" s="1"/>
      <c r="V2492" s="1"/>
      <c r="W2492" s="1"/>
      <c r="X2492" s="1"/>
      <c r="Y2492" s="1"/>
      <c r="Z2492" s="1"/>
    </row>
    <row r="2493" ht="18.0" hidden="1" customHeight="1" outlineLevel="2">
      <c r="A2493" s="1">
        <v>9.0</v>
      </c>
      <c r="B2493" s="26" t="s">
        <v>2199</v>
      </c>
      <c r="C2493" s="1"/>
      <c r="D2493" s="1"/>
      <c r="E2493" s="14"/>
      <c r="F2493" s="15"/>
      <c r="G2493" s="16"/>
      <c r="H2493" s="11"/>
      <c r="I2493" s="7"/>
      <c r="J2493" s="7" t="str">
        <f>IFERROR(LET(_xlpm.v,
VLOOKUP($I2493,'用語辞書'!$A:$B,COLUMN('用語辞書'!B$1),FALSE),
IF(_xlpm.v=0,"",_xlpm.v)
),"")</f>
        <v/>
      </c>
      <c r="K2493" s="17"/>
      <c r="L2493" s="17" t="str">
        <f>IF(OR(COUNTIF('クラス'!$A$1:$A$1267,$B2493)&gt;0,$B2493="",$M2493=""),"",True)</f>
        <v/>
      </c>
      <c r="M2493" s="1" t="str">
        <f t="shared" si="30"/>
        <v/>
      </c>
      <c r="N2493" s="1" t="s">
        <v>29</v>
      </c>
      <c r="O2493" s="1"/>
      <c r="P2493" s="11"/>
      <c r="Q2493" s="11"/>
      <c r="R2493" s="11"/>
      <c r="S2493" s="11"/>
      <c r="T2493" s="1"/>
      <c r="U2493" s="1"/>
      <c r="V2493" s="1"/>
      <c r="W2493" s="1"/>
      <c r="X2493" s="1"/>
      <c r="Y2493" s="1"/>
      <c r="Z2493" s="1"/>
    </row>
    <row r="2494" ht="18.0" hidden="1" customHeight="1" outlineLevel="2">
      <c r="A2494" s="1">
        <v>10.0</v>
      </c>
      <c r="B2494" s="26" t="s">
        <v>2397</v>
      </c>
      <c r="C2494" s="26" t="s">
        <v>29</v>
      </c>
      <c r="D2494" s="26" t="s">
        <v>284</v>
      </c>
      <c r="E2494" s="29" t="s">
        <v>33</v>
      </c>
      <c r="F2494" s="34" t="s">
        <v>29</v>
      </c>
      <c r="G2494" s="30">
        <v>60.0</v>
      </c>
      <c r="H2494" s="22" t="s">
        <v>2398</v>
      </c>
      <c r="I2494" s="7"/>
      <c r="J2494" s="7" t="str">
        <f>IFERROR(LET(_xlpm.v,
VLOOKUP($I2494,'用語辞書'!$A:$B,COLUMN('用語辞書'!B$1),FALSE),
IF(_xlpm.v=0,"",_xlpm.v)
),"")</f>
        <v/>
      </c>
      <c r="K2494" s="17"/>
      <c r="L2494" s="17" t="b">
        <f>IF(OR(COUNTIF('クラス'!$A$1:$A$1267,$B2494)&gt;0,$B2494="",$M2494=""),"",True)</f>
        <v>1</v>
      </c>
      <c r="M2494" s="1" t="str">
        <f t="shared" si="30"/>
        <v>存在しない</v>
      </c>
      <c r="N2494" s="1" t="s">
        <v>29</v>
      </c>
      <c r="O2494" s="1"/>
      <c r="P2494" s="11"/>
      <c r="Q2494" s="11"/>
      <c r="R2494" s="11"/>
      <c r="S2494" s="11"/>
      <c r="T2494" s="1"/>
      <c r="U2494" s="1"/>
      <c r="V2494" s="1"/>
      <c r="W2494" s="1"/>
      <c r="X2494" s="1"/>
      <c r="Y2494" s="1"/>
      <c r="Z2494" s="1"/>
    </row>
    <row r="2495" ht="18.0" customHeight="1" outlineLevel="1" collapsed="1">
      <c r="A2495" s="1"/>
      <c r="B2495" s="1"/>
      <c r="C2495" s="1"/>
      <c r="D2495" s="1"/>
      <c r="E2495" s="14"/>
      <c r="F2495" s="15"/>
      <c r="G2495" s="16"/>
      <c r="H2495" s="11"/>
      <c r="I2495" s="7"/>
      <c r="J2495" s="7" t="str">
        <f>IFERROR(LET(_xlpm.v,
VLOOKUP($I2495,'用語辞書'!$A:$B,COLUMN('用語辞書'!B$1),FALSE),
IF(_xlpm.v=0,"",_xlpm.v)
),"")</f>
        <v/>
      </c>
      <c r="K2495" s="17"/>
      <c r="L2495" s="17" t="str">
        <f>IF(OR(COUNTIF('クラス'!$A$1:$A$1267,$B2495)&gt;0,$B2495="",$M2495=""),"",True)</f>
        <v/>
      </c>
      <c r="M2495" s="1" t="str">
        <f t="shared" si="30"/>
        <v>存在しない</v>
      </c>
      <c r="N2495" s="1" t="s">
        <v>29</v>
      </c>
      <c r="O2495" s="1"/>
      <c r="P2495" s="11"/>
      <c r="Q2495" s="11"/>
      <c r="R2495" s="11"/>
      <c r="S2495" s="11"/>
      <c r="T2495" s="1"/>
      <c r="U2495" s="1"/>
      <c r="V2495" s="1"/>
      <c r="W2495" s="1"/>
      <c r="X2495" s="1"/>
      <c r="Y2495" s="1"/>
      <c r="Z2495" s="1"/>
    </row>
    <row r="2496" ht="18.0" customHeight="1" outlineLevel="1">
      <c r="A2496" s="1"/>
      <c r="B2496" s="26" t="s">
        <v>2399</v>
      </c>
      <c r="C2496" s="1"/>
      <c r="D2496" s="1"/>
      <c r="E2496" s="14"/>
      <c r="F2496" s="15"/>
      <c r="G2496" s="16"/>
      <c r="H2496" s="11"/>
      <c r="I2496" s="7"/>
      <c r="J2496" s="7" t="str">
        <f>IFERROR(LET(_xlpm.v,
VLOOKUP($I2496,'用語辞書'!$A:$B,COLUMN('用語辞書'!B$1),FALSE),
IF(_xlpm.v=0,"",_xlpm.v)
),"")</f>
        <v/>
      </c>
      <c r="K2496" s="17"/>
      <c r="L2496" s="17" t="str">
        <f>IF(OR(COUNTIF('クラス'!$A$1:$A$1267,$B2496)&gt;0,$B2496="",$M2496=""),"",True)</f>
        <v/>
      </c>
      <c r="M2496" s="1" t="str">
        <f t="shared" si="30"/>
        <v>存在しない</v>
      </c>
      <c r="N2496" s="1" t="s">
        <v>29</v>
      </c>
      <c r="O2496" s="1"/>
      <c r="P2496" s="11"/>
      <c r="Q2496" s="11"/>
      <c r="R2496" s="11"/>
      <c r="S2496" s="11"/>
      <c r="T2496" s="1"/>
      <c r="U2496" s="1"/>
      <c r="V2496" s="1"/>
      <c r="W2496" s="1"/>
      <c r="X2496" s="1"/>
      <c r="Y2496" s="1"/>
      <c r="Z2496" s="1"/>
    </row>
    <row r="2497" ht="18.0" hidden="1" customHeight="1" outlineLevel="2">
      <c r="A2497" s="1">
        <v>1.0</v>
      </c>
      <c r="B2497" s="26" t="s">
        <v>2400</v>
      </c>
      <c r="C2497" s="1"/>
      <c r="D2497" s="1"/>
      <c r="E2497" s="14"/>
      <c r="F2497" s="15"/>
      <c r="G2497" s="16"/>
      <c r="H2497" s="11"/>
      <c r="I2497" s="7"/>
      <c r="J2497" s="7" t="str">
        <f>IFERROR(LET(_xlpm.v,
VLOOKUP($I2497,'用語辞書'!$A:$B,COLUMN('用語辞書'!B$1),FALSE),
IF(_xlpm.v=0,"",_xlpm.v)
),"")</f>
        <v/>
      </c>
      <c r="K2497" s="17"/>
      <c r="L2497" s="17" t="str">
        <f>IF(OR(COUNTIF('クラス'!$A$1:$A$1267,$B2497)&gt;0,$B2497="",$M2497=""),"",True)</f>
        <v/>
      </c>
      <c r="M2497" s="1" t="str">
        <f t="shared" si="30"/>
        <v/>
      </c>
      <c r="N2497" s="1" t="s">
        <v>29</v>
      </c>
      <c r="O2497" s="1"/>
      <c r="P2497" s="11"/>
      <c r="Q2497" s="11"/>
      <c r="R2497" s="11"/>
      <c r="S2497" s="11"/>
      <c r="T2497" s="1"/>
      <c r="U2497" s="1"/>
      <c r="V2497" s="1"/>
      <c r="W2497" s="1"/>
      <c r="X2497" s="1"/>
      <c r="Y2497" s="1"/>
      <c r="Z2497" s="1"/>
    </row>
    <row r="2498" ht="18.0" hidden="1" customHeight="1" outlineLevel="2">
      <c r="A2498" s="1">
        <v>2.0</v>
      </c>
      <c r="B2498" s="26" t="s">
        <v>29</v>
      </c>
      <c r="C2498" s="1"/>
      <c r="D2498" s="1"/>
      <c r="E2498" s="14"/>
      <c r="F2498" s="15"/>
      <c r="G2498" s="16"/>
      <c r="H2498" s="11"/>
      <c r="I2498" s="7"/>
      <c r="J2498" s="7" t="str">
        <f>IFERROR(LET(_xlpm.v,
VLOOKUP($I2498,'用語辞書'!$A:$B,COLUMN('用語辞書'!B$1),FALSE),
IF(_xlpm.v=0,"",_xlpm.v)
),"")</f>
        <v/>
      </c>
      <c r="K2498" s="17"/>
      <c r="L2498" s="17" t="str">
        <f>IF(OR(COUNTIF('クラス'!$A$1:$A$1267,$B2498)&gt;0,$B2498="",$M2498=""),"",True)</f>
        <v/>
      </c>
      <c r="M2498" s="1" t="str">
        <f t="shared" si="30"/>
        <v/>
      </c>
      <c r="N2498" s="1" t="s">
        <v>29</v>
      </c>
      <c r="O2498" s="1"/>
      <c r="P2498" s="11"/>
      <c r="Q2498" s="11"/>
      <c r="R2498" s="11"/>
      <c r="S2498" s="11"/>
      <c r="T2498" s="1"/>
      <c r="U2498" s="1"/>
      <c r="V2498" s="1"/>
      <c r="W2498" s="1"/>
      <c r="X2498" s="1"/>
      <c r="Y2498" s="1"/>
      <c r="Z2498" s="1"/>
    </row>
    <row r="2499" ht="18.0" hidden="1" customHeight="1" outlineLevel="2">
      <c r="A2499" s="1">
        <v>3.0</v>
      </c>
      <c r="B2499" s="26" t="s">
        <v>372</v>
      </c>
      <c r="C2499" s="1"/>
      <c r="D2499" s="1"/>
      <c r="E2499" s="14"/>
      <c r="F2499" s="15"/>
      <c r="G2499" s="16"/>
      <c r="H2499" s="11"/>
      <c r="I2499" s="7"/>
      <c r="J2499" s="7" t="str">
        <f>IFERROR(LET(_xlpm.v,
VLOOKUP($I2499,'用語辞書'!$A:$B,COLUMN('用語辞書'!B$1),FALSE),
IF(_xlpm.v=0,"",_xlpm.v)
),"")</f>
        <v/>
      </c>
      <c r="K2499" s="17"/>
      <c r="L2499" s="17" t="str">
        <f>IF(OR(COUNTIF('クラス'!$A$1:$A$1267,$B2499)&gt;0,$B2499="",$M2499=""),"",True)</f>
        <v/>
      </c>
      <c r="M2499" s="1" t="str">
        <f t="shared" si="30"/>
        <v/>
      </c>
      <c r="N2499" s="1" t="s">
        <v>29</v>
      </c>
      <c r="O2499" s="1"/>
      <c r="P2499" s="11"/>
      <c r="Q2499" s="11"/>
      <c r="R2499" s="11"/>
      <c r="S2499" s="11"/>
      <c r="T2499" s="1"/>
      <c r="U2499" s="1"/>
      <c r="V2499" s="1"/>
      <c r="W2499" s="1"/>
      <c r="X2499" s="1"/>
      <c r="Y2499" s="1"/>
      <c r="Z2499" s="1"/>
    </row>
    <row r="2500" ht="18.0" hidden="1" customHeight="1" outlineLevel="2">
      <c r="A2500" s="1">
        <v>4.0</v>
      </c>
      <c r="B2500" s="26" t="s">
        <v>29</v>
      </c>
      <c r="C2500" s="1"/>
      <c r="D2500" s="1"/>
      <c r="E2500" s="14"/>
      <c r="F2500" s="15"/>
      <c r="G2500" s="16"/>
      <c r="H2500" s="11"/>
      <c r="I2500" s="7"/>
      <c r="J2500" s="7" t="str">
        <f>IFERROR(LET(_xlpm.v,
VLOOKUP($I2500,'用語辞書'!$A:$B,COLUMN('用語辞書'!B$1),FALSE),
IF(_xlpm.v=0,"",_xlpm.v)
),"")</f>
        <v/>
      </c>
      <c r="K2500" s="17"/>
      <c r="L2500" s="17" t="str">
        <f>IF(OR(COUNTIF('クラス'!$A$1:$A$1267,$B2500)&gt;0,$B2500="",$M2500=""),"",True)</f>
        <v/>
      </c>
      <c r="M2500" s="1" t="str">
        <f t="shared" si="30"/>
        <v/>
      </c>
      <c r="N2500" s="1" t="s">
        <v>29</v>
      </c>
      <c r="O2500" s="1"/>
      <c r="P2500" s="11"/>
      <c r="Q2500" s="11"/>
      <c r="R2500" s="11"/>
      <c r="S2500" s="11"/>
      <c r="T2500" s="1"/>
      <c r="U2500" s="1"/>
      <c r="V2500" s="1"/>
      <c r="W2500" s="1"/>
      <c r="X2500" s="1"/>
      <c r="Y2500" s="1"/>
      <c r="Z2500" s="1"/>
    </row>
    <row r="2501" ht="18.0" hidden="1" customHeight="1" outlineLevel="2">
      <c r="A2501" s="1">
        <v>5.0</v>
      </c>
      <c r="B2501" s="26" t="s">
        <v>2205</v>
      </c>
      <c r="C2501" s="1"/>
      <c r="D2501" s="1"/>
      <c r="E2501" s="14"/>
      <c r="F2501" s="15"/>
      <c r="G2501" s="16"/>
      <c r="H2501" s="11"/>
      <c r="I2501" s="7"/>
      <c r="J2501" s="7" t="str">
        <f>IFERROR(LET(_xlpm.v,
VLOOKUP($I2501,'用語辞書'!$A:$B,COLUMN('用語辞書'!B$1),FALSE),
IF(_xlpm.v=0,"",_xlpm.v)
),"")</f>
        <v/>
      </c>
      <c r="K2501" s="17"/>
      <c r="L2501" s="17" t="str">
        <f>IF(OR(COUNTIF('クラス'!$A$1:$A$1267,$B2501)&gt;0,$B2501="",$M2501=""),"",True)</f>
        <v/>
      </c>
      <c r="M2501" s="1" t="str">
        <f t="shared" si="30"/>
        <v/>
      </c>
      <c r="N2501" s="1" t="s">
        <v>29</v>
      </c>
      <c r="O2501" s="1"/>
      <c r="P2501" s="11"/>
      <c r="Q2501" s="11"/>
      <c r="R2501" s="11"/>
      <c r="S2501" s="11"/>
      <c r="T2501" s="1"/>
      <c r="U2501" s="1"/>
      <c r="V2501" s="1"/>
      <c r="W2501" s="1"/>
      <c r="X2501" s="1"/>
      <c r="Y2501" s="1"/>
      <c r="Z2501" s="1"/>
    </row>
    <row r="2502" ht="18.0" hidden="1" customHeight="1" outlineLevel="2">
      <c r="A2502" s="1">
        <v>6.0</v>
      </c>
      <c r="B2502" s="26" t="s">
        <v>29</v>
      </c>
      <c r="C2502" s="1"/>
      <c r="D2502" s="1"/>
      <c r="E2502" s="14"/>
      <c r="F2502" s="15"/>
      <c r="G2502" s="16"/>
      <c r="H2502" s="11"/>
      <c r="I2502" s="7"/>
      <c r="J2502" s="7" t="str">
        <f>IFERROR(LET(_xlpm.v,
VLOOKUP($I2502,'用語辞書'!$A:$B,COLUMN('用語辞書'!B$1),FALSE),
IF(_xlpm.v=0,"",_xlpm.v)
),"")</f>
        <v/>
      </c>
      <c r="K2502" s="17"/>
      <c r="L2502" s="17" t="str">
        <f>IF(OR(COUNTIF('クラス'!$A$1:$A$1267,$B2502)&gt;0,$B2502="",$M2502=""),"",True)</f>
        <v/>
      </c>
      <c r="M2502" s="1" t="str">
        <f t="shared" si="30"/>
        <v/>
      </c>
      <c r="N2502" s="1" t="s">
        <v>29</v>
      </c>
      <c r="O2502" s="1"/>
      <c r="P2502" s="11"/>
      <c r="Q2502" s="11"/>
      <c r="R2502" s="11"/>
      <c r="S2502" s="11"/>
      <c r="T2502" s="1"/>
      <c r="U2502" s="1"/>
      <c r="V2502" s="1"/>
      <c r="W2502" s="1"/>
      <c r="X2502" s="1"/>
      <c r="Y2502" s="1"/>
      <c r="Z2502" s="1"/>
    </row>
    <row r="2503" ht="18.0" hidden="1" customHeight="1" outlineLevel="2">
      <c r="A2503" s="1">
        <v>7.0</v>
      </c>
      <c r="B2503" s="26" t="s">
        <v>388</v>
      </c>
      <c r="C2503" s="1"/>
      <c r="D2503" s="1"/>
      <c r="E2503" s="14"/>
      <c r="F2503" s="15"/>
      <c r="G2503" s="16"/>
      <c r="H2503" s="11"/>
      <c r="I2503" s="7"/>
      <c r="J2503" s="7" t="str">
        <f>IFERROR(LET(_xlpm.v,
VLOOKUP($I2503,'用語辞書'!$A:$B,COLUMN('用語辞書'!B$1),FALSE),
IF(_xlpm.v=0,"",_xlpm.v)
),"")</f>
        <v/>
      </c>
      <c r="K2503" s="17"/>
      <c r="L2503" s="17" t="str">
        <f>IF(OR(COUNTIF('クラス'!$A$1:$A$1267,$B2503)&gt;0,$B2503="",$M2503=""),"",True)</f>
        <v/>
      </c>
      <c r="M2503" s="1" t="str">
        <f t="shared" si="30"/>
        <v/>
      </c>
      <c r="N2503" s="1" t="s">
        <v>29</v>
      </c>
      <c r="O2503" s="1"/>
      <c r="P2503" s="11"/>
      <c r="Q2503" s="11"/>
      <c r="R2503" s="11"/>
      <c r="S2503" s="11"/>
      <c r="T2503" s="1"/>
      <c r="U2503" s="1"/>
      <c r="V2503" s="1"/>
      <c r="W2503" s="1"/>
      <c r="X2503" s="1"/>
      <c r="Y2503" s="1"/>
      <c r="Z2503" s="1"/>
    </row>
    <row r="2504" ht="18.0" hidden="1" customHeight="1" outlineLevel="2">
      <c r="A2504" s="1">
        <v>8.0</v>
      </c>
      <c r="B2504" s="26" t="s">
        <v>29</v>
      </c>
      <c r="C2504" s="1"/>
      <c r="D2504" s="1"/>
      <c r="E2504" s="14"/>
      <c r="F2504" s="15"/>
      <c r="G2504" s="16"/>
      <c r="H2504" s="11"/>
      <c r="I2504" s="7"/>
      <c r="J2504" s="7" t="str">
        <f>IFERROR(LET(_xlpm.v,
VLOOKUP($I2504,'用語辞書'!$A:$B,COLUMN('用語辞書'!B$1),FALSE),
IF(_xlpm.v=0,"",_xlpm.v)
),"")</f>
        <v/>
      </c>
      <c r="K2504" s="17"/>
      <c r="L2504" s="17" t="str">
        <f>IF(OR(COUNTIF('クラス'!$A$1:$A$1267,$B2504)&gt;0,$B2504="",$M2504=""),"",True)</f>
        <v/>
      </c>
      <c r="M2504" s="1" t="str">
        <f t="shared" si="30"/>
        <v/>
      </c>
      <c r="N2504" s="1" t="s">
        <v>29</v>
      </c>
      <c r="O2504" s="1"/>
      <c r="P2504" s="11"/>
      <c r="Q2504" s="11"/>
      <c r="R2504" s="11"/>
      <c r="S2504" s="11"/>
      <c r="T2504" s="1"/>
      <c r="U2504" s="1"/>
      <c r="V2504" s="1"/>
      <c r="W2504" s="1"/>
      <c r="X2504" s="1"/>
      <c r="Y2504" s="1"/>
      <c r="Z2504" s="1"/>
    </row>
    <row r="2505" ht="18.0" hidden="1" customHeight="1" outlineLevel="2">
      <c r="A2505" s="1">
        <v>9.0</v>
      </c>
      <c r="B2505" s="26" t="s">
        <v>2206</v>
      </c>
      <c r="C2505" s="1"/>
      <c r="D2505" s="1"/>
      <c r="E2505" s="14"/>
      <c r="F2505" s="15"/>
      <c r="G2505" s="16"/>
      <c r="H2505" s="11"/>
      <c r="I2505" s="7"/>
      <c r="J2505" s="7" t="str">
        <f>IFERROR(LET(_xlpm.v,
VLOOKUP($I2505,'用語辞書'!$A:$B,COLUMN('用語辞書'!B$1),FALSE),
IF(_xlpm.v=0,"",_xlpm.v)
),"")</f>
        <v/>
      </c>
      <c r="K2505" s="17"/>
      <c r="L2505" s="17" t="str">
        <f>IF(OR(COUNTIF('クラス'!$A$1:$A$1267,$B2505)&gt;0,$B2505="",$M2505=""),"",True)</f>
        <v/>
      </c>
      <c r="M2505" s="1" t="str">
        <f t="shared" si="30"/>
        <v/>
      </c>
      <c r="N2505" s="1" t="s">
        <v>29</v>
      </c>
      <c r="O2505" s="1"/>
      <c r="P2505" s="11"/>
      <c r="Q2505" s="11"/>
      <c r="R2505" s="11"/>
      <c r="S2505" s="11"/>
      <c r="T2505" s="1"/>
      <c r="U2505" s="1"/>
      <c r="V2505" s="1"/>
      <c r="W2505" s="1"/>
      <c r="X2505" s="1"/>
      <c r="Y2505" s="1"/>
      <c r="Z2505" s="1"/>
    </row>
    <row r="2506" ht="18.0" hidden="1" customHeight="1" outlineLevel="2">
      <c r="A2506" s="1">
        <v>10.0</v>
      </c>
      <c r="B2506" s="26" t="s">
        <v>2401</v>
      </c>
      <c r="C2506" s="26" t="s">
        <v>29</v>
      </c>
      <c r="D2506" s="26" t="s">
        <v>370</v>
      </c>
      <c r="E2506" s="29" t="s">
        <v>33</v>
      </c>
      <c r="F2506" s="34" t="s">
        <v>29</v>
      </c>
      <c r="G2506" s="30">
        <v>60.0</v>
      </c>
      <c r="H2506" s="22" t="s">
        <v>2402</v>
      </c>
      <c r="I2506" s="7"/>
      <c r="J2506" s="7" t="str">
        <f>IFERROR(LET(_xlpm.v,
VLOOKUP($I2506,'用語辞書'!$A:$B,COLUMN('用語辞書'!B$1),FALSE),
IF(_xlpm.v=0,"",_xlpm.v)
),"")</f>
        <v/>
      </c>
      <c r="K2506" s="17"/>
      <c r="L2506" s="17" t="b">
        <f>IF(OR(COUNTIF('クラス'!$A$1:$A$1267,$B2506)&gt;0,$B2506="",$M2506=""),"",True)</f>
        <v>1</v>
      </c>
      <c r="M2506" s="1" t="str">
        <f t="shared" si="30"/>
        <v>存在しない</v>
      </c>
      <c r="N2506" s="1" t="s">
        <v>29</v>
      </c>
      <c r="O2506" s="1"/>
      <c r="P2506" s="11"/>
      <c r="Q2506" s="11"/>
      <c r="R2506" s="11"/>
      <c r="S2506" s="11"/>
      <c r="T2506" s="1"/>
      <c r="U2506" s="1"/>
      <c r="V2506" s="1"/>
      <c r="W2506" s="1"/>
      <c r="X2506" s="1"/>
      <c r="Y2506" s="1"/>
      <c r="Z2506" s="1"/>
    </row>
    <row r="2507" ht="18.0" customHeight="1" outlineLevel="1" collapsed="1">
      <c r="A2507" s="1"/>
      <c r="B2507" s="1"/>
      <c r="C2507" s="1"/>
      <c r="D2507" s="1"/>
      <c r="E2507" s="14"/>
      <c r="F2507" s="15"/>
      <c r="G2507" s="16"/>
      <c r="H2507" s="11"/>
      <c r="I2507" s="7"/>
      <c r="J2507" s="7" t="str">
        <f>IFERROR(LET(_xlpm.v,
VLOOKUP($I2507,'用語辞書'!$A:$B,COLUMN('用語辞書'!B$1),FALSE),
IF(_xlpm.v=0,"",_xlpm.v)
),"")</f>
        <v/>
      </c>
      <c r="K2507" s="17"/>
      <c r="L2507" s="17" t="str">
        <f>IF(OR(COUNTIF('クラス'!$A$1:$A$1267,$B2507)&gt;0,$B2507="",$M2507=""),"",True)</f>
        <v/>
      </c>
      <c r="M2507" s="1" t="str">
        <f t="shared" si="30"/>
        <v>存在しない</v>
      </c>
      <c r="N2507" s="1" t="s">
        <v>29</v>
      </c>
      <c r="O2507" s="1"/>
      <c r="P2507" s="11"/>
      <c r="Q2507" s="11"/>
      <c r="R2507" s="11"/>
      <c r="S2507" s="11"/>
      <c r="T2507" s="1"/>
      <c r="U2507" s="1"/>
      <c r="V2507" s="1"/>
      <c r="W2507" s="1"/>
      <c r="X2507" s="1"/>
      <c r="Y2507" s="1"/>
      <c r="Z2507" s="1"/>
    </row>
    <row r="2508" ht="18.0" customHeight="1" outlineLevel="1">
      <c r="A2508" s="1"/>
      <c r="B2508" s="26" t="s">
        <v>2403</v>
      </c>
      <c r="C2508" s="1"/>
      <c r="D2508" s="1"/>
      <c r="E2508" s="14"/>
      <c r="F2508" s="15"/>
      <c r="G2508" s="16"/>
      <c r="H2508" s="11"/>
      <c r="I2508" s="7"/>
      <c r="J2508" s="7" t="str">
        <f>IFERROR(LET(_xlpm.v,
VLOOKUP($I2508,'用語辞書'!$A:$B,COLUMN('用語辞書'!B$1),FALSE),
IF(_xlpm.v=0,"",_xlpm.v)
),"")</f>
        <v/>
      </c>
      <c r="K2508" s="17"/>
      <c r="L2508" s="17" t="str">
        <f>IF(OR(COUNTIF('クラス'!$A$1:$A$1267,$B2508)&gt;0,$B2508="",$M2508=""),"",True)</f>
        <v/>
      </c>
      <c r="M2508" s="1" t="str">
        <f t="shared" si="30"/>
        <v>存在しない</v>
      </c>
      <c r="N2508" s="1" t="s">
        <v>29</v>
      </c>
      <c r="O2508" s="1"/>
      <c r="P2508" s="11"/>
      <c r="Q2508" s="11"/>
      <c r="R2508" s="11"/>
      <c r="S2508" s="11"/>
      <c r="T2508" s="1"/>
      <c r="U2508" s="1"/>
      <c r="V2508" s="1"/>
      <c r="W2508" s="1"/>
      <c r="X2508" s="1"/>
      <c r="Y2508" s="1"/>
      <c r="Z2508" s="1"/>
    </row>
    <row r="2509" ht="18.0" hidden="1" customHeight="1" outlineLevel="2">
      <c r="A2509" s="1">
        <v>1.0</v>
      </c>
      <c r="B2509" s="26" t="s">
        <v>2404</v>
      </c>
      <c r="C2509" s="26" t="s">
        <v>29</v>
      </c>
      <c r="D2509" s="26" t="s">
        <v>518</v>
      </c>
      <c r="E2509" s="29" t="s">
        <v>33</v>
      </c>
      <c r="F2509" s="34" t="s">
        <v>29</v>
      </c>
      <c r="G2509" s="30">
        <v>60.0</v>
      </c>
      <c r="H2509" s="22" t="s">
        <v>2405</v>
      </c>
      <c r="I2509" s="7"/>
      <c r="J2509" s="7" t="str">
        <f>IFERROR(LET(_xlpm.v,
VLOOKUP($I2509,'用語辞書'!$A:$B,COLUMN('用語辞書'!B$1),FALSE),
IF(_xlpm.v=0,"",_xlpm.v)
),"")</f>
        <v/>
      </c>
      <c r="K2509" s="17"/>
      <c r="L2509" s="17" t="b">
        <f>IF(OR(COUNTIF('クラス'!$A$1:$A$1267,$B2509)&gt;0,$B2509="",$M2509=""),"",True)</f>
        <v>1</v>
      </c>
      <c r="M2509" s="1" t="str">
        <f t="shared" si="30"/>
        <v>存在しない</v>
      </c>
      <c r="N2509" s="1" t="s">
        <v>29</v>
      </c>
      <c r="O2509" s="1"/>
      <c r="P2509" s="11"/>
      <c r="Q2509" s="11"/>
      <c r="R2509" s="11"/>
      <c r="S2509" s="11"/>
      <c r="T2509" s="1"/>
      <c r="U2509" s="1"/>
      <c r="V2509" s="1"/>
      <c r="W2509" s="1"/>
      <c r="X2509" s="1"/>
      <c r="Y2509" s="1"/>
      <c r="Z2509" s="1"/>
    </row>
    <row r="2510" ht="18.0" hidden="1" customHeight="1" outlineLevel="2">
      <c r="A2510" s="1">
        <v>2.0</v>
      </c>
      <c r="B2510" s="26" t="s">
        <v>29</v>
      </c>
      <c r="C2510" s="1"/>
      <c r="D2510" s="1"/>
      <c r="E2510" s="14"/>
      <c r="F2510" s="15"/>
      <c r="G2510" s="16"/>
      <c r="H2510" s="11"/>
      <c r="I2510" s="7"/>
      <c r="J2510" s="7" t="str">
        <f>IFERROR(LET(_xlpm.v,
VLOOKUP($I2510,'用語辞書'!$A:$B,COLUMN('用語辞書'!B$1),FALSE),
IF(_xlpm.v=0,"",_xlpm.v)
),"")</f>
        <v/>
      </c>
      <c r="K2510" s="17"/>
      <c r="L2510" s="17" t="str">
        <f>IF(OR(COUNTIF('クラス'!$A$1:$A$1267,$B2510)&gt;0,$B2510="",$M2510=""),"",True)</f>
        <v/>
      </c>
      <c r="M2510" s="1" t="str">
        <f t="shared" si="30"/>
        <v/>
      </c>
      <c r="N2510" s="1" t="s">
        <v>29</v>
      </c>
      <c r="O2510" s="1"/>
      <c r="P2510" s="11"/>
      <c r="Q2510" s="11"/>
      <c r="R2510" s="11"/>
      <c r="S2510" s="11"/>
      <c r="T2510" s="1"/>
      <c r="U2510" s="1"/>
      <c r="V2510" s="1"/>
      <c r="W2510" s="1"/>
      <c r="X2510" s="1"/>
      <c r="Y2510" s="1"/>
      <c r="Z2510" s="1"/>
    </row>
    <row r="2511" ht="18.0" hidden="1" customHeight="1" outlineLevel="2">
      <c r="A2511" s="1">
        <v>3.0</v>
      </c>
      <c r="B2511" s="26" t="s">
        <v>516</v>
      </c>
      <c r="C2511" s="1"/>
      <c r="D2511" s="1"/>
      <c r="E2511" s="14"/>
      <c r="F2511" s="15"/>
      <c r="G2511" s="16"/>
      <c r="H2511" s="11"/>
      <c r="I2511" s="7"/>
      <c r="J2511" s="7" t="str">
        <f>IFERROR(LET(_xlpm.v,
VLOOKUP($I2511,'用語辞書'!$A:$B,COLUMN('用語辞書'!B$1),FALSE),
IF(_xlpm.v=0,"",_xlpm.v)
),"")</f>
        <v/>
      </c>
      <c r="K2511" s="17"/>
      <c r="L2511" s="17" t="str">
        <f>IF(OR(COUNTIF('クラス'!$A$1:$A$1267,$B2511)&gt;0,$B2511="",$M2511=""),"",True)</f>
        <v/>
      </c>
      <c r="M2511" s="1" t="str">
        <f t="shared" si="30"/>
        <v/>
      </c>
      <c r="N2511" s="1" t="s">
        <v>29</v>
      </c>
      <c r="O2511" s="1"/>
      <c r="P2511" s="11"/>
      <c r="Q2511" s="11"/>
      <c r="R2511" s="11"/>
      <c r="S2511" s="11"/>
      <c r="T2511" s="1"/>
      <c r="U2511" s="1"/>
      <c r="V2511" s="1"/>
      <c r="W2511" s="1"/>
      <c r="X2511" s="1"/>
      <c r="Y2511" s="1"/>
      <c r="Z2511" s="1"/>
    </row>
    <row r="2512" ht="18.0" hidden="1" customHeight="1" outlineLevel="2">
      <c r="A2512" s="1">
        <v>4.0</v>
      </c>
      <c r="B2512" s="26" t="s">
        <v>29</v>
      </c>
      <c r="C2512" s="1"/>
      <c r="D2512" s="1"/>
      <c r="E2512" s="14"/>
      <c r="F2512" s="15"/>
      <c r="G2512" s="16"/>
      <c r="H2512" s="11"/>
      <c r="I2512" s="7"/>
      <c r="J2512" s="7" t="str">
        <f>IFERROR(LET(_xlpm.v,
VLOOKUP($I2512,'用語辞書'!$A:$B,COLUMN('用語辞書'!B$1),FALSE),
IF(_xlpm.v=0,"",_xlpm.v)
),"")</f>
        <v/>
      </c>
      <c r="K2512" s="17"/>
      <c r="L2512" s="17" t="str">
        <f>IF(OR(COUNTIF('クラス'!$A$1:$A$1267,$B2512)&gt;0,$B2512="",$M2512=""),"",True)</f>
        <v/>
      </c>
      <c r="M2512" s="1" t="str">
        <f t="shared" si="30"/>
        <v/>
      </c>
      <c r="N2512" s="1" t="s">
        <v>29</v>
      </c>
      <c r="O2512" s="1"/>
      <c r="P2512" s="11"/>
      <c r="Q2512" s="11"/>
      <c r="R2512" s="11"/>
      <c r="S2512" s="11"/>
      <c r="T2512" s="1"/>
      <c r="U2512" s="1"/>
      <c r="V2512" s="1"/>
      <c r="W2512" s="1"/>
      <c r="X2512" s="1"/>
      <c r="Y2512" s="1"/>
      <c r="Z2512" s="1"/>
    </row>
    <row r="2513" ht="18.0" hidden="1" customHeight="1" outlineLevel="2">
      <c r="A2513" s="1">
        <v>5.0</v>
      </c>
      <c r="B2513" s="26" t="s">
        <v>2212</v>
      </c>
      <c r="C2513" s="1"/>
      <c r="D2513" s="1"/>
      <c r="E2513" s="14"/>
      <c r="F2513" s="15"/>
      <c r="G2513" s="16"/>
      <c r="H2513" s="11"/>
      <c r="I2513" s="7"/>
      <c r="J2513" s="7" t="str">
        <f>IFERROR(LET(_xlpm.v,
VLOOKUP($I2513,'用語辞書'!$A:$B,COLUMN('用語辞書'!B$1),FALSE),
IF(_xlpm.v=0,"",_xlpm.v)
),"")</f>
        <v/>
      </c>
      <c r="K2513" s="17"/>
      <c r="L2513" s="17" t="str">
        <f>IF(OR(COUNTIF('クラス'!$A$1:$A$1267,$B2513)&gt;0,$B2513="",$M2513=""),"",True)</f>
        <v/>
      </c>
      <c r="M2513" s="1" t="str">
        <f t="shared" si="30"/>
        <v/>
      </c>
      <c r="N2513" s="1" t="s">
        <v>29</v>
      </c>
      <c r="O2513" s="1"/>
      <c r="P2513" s="11"/>
      <c r="Q2513" s="11"/>
      <c r="R2513" s="11"/>
      <c r="S2513" s="11"/>
      <c r="T2513" s="1"/>
      <c r="U2513" s="1"/>
      <c r="V2513" s="1"/>
      <c r="W2513" s="1"/>
      <c r="X2513" s="1"/>
      <c r="Y2513" s="1"/>
      <c r="Z2513" s="1"/>
    </row>
    <row r="2514" ht="18.0" hidden="1" customHeight="1" outlineLevel="2">
      <c r="A2514" s="1">
        <v>6.0</v>
      </c>
      <c r="B2514" s="26" t="s">
        <v>29</v>
      </c>
      <c r="C2514" s="1"/>
      <c r="D2514" s="1"/>
      <c r="E2514" s="14"/>
      <c r="F2514" s="15"/>
      <c r="G2514" s="16"/>
      <c r="H2514" s="11"/>
      <c r="I2514" s="7"/>
      <c r="J2514" s="7" t="str">
        <f>IFERROR(LET(_xlpm.v,
VLOOKUP($I2514,'用語辞書'!$A:$B,COLUMN('用語辞書'!B$1),FALSE),
IF(_xlpm.v=0,"",_xlpm.v)
),"")</f>
        <v/>
      </c>
      <c r="K2514" s="17"/>
      <c r="L2514" s="17" t="str">
        <f>IF(OR(COUNTIF('クラス'!$A$1:$A$1267,$B2514)&gt;0,$B2514="",$M2514=""),"",True)</f>
        <v/>
      </c>
      <c r="M2514" s="1" t="str">
        <f t="shared" si="30"/>
        <v/>
      </c>
      <c r="N2514" s="1" t="s">
        <v>29</v>
      </c>
      <c r="O2514" s="1"/>
      <c r="P2514" s="11"/>
      <c r="Q2514" s="11"/>
      <c r="R2514" s="11"/>
      <c r="S2514" s="11"/>
      <c r="T2514" s="1"/>
      <c r="U2514" s="1"/>
      <c r="V2514" s="1"/>
      <c r="W2514" s="1"/>
      <c r="X2514" s="1"/>
      <c r="Y2514" s="1"/>
      <c r="Z2514" s="1"/>
    </row>
    <row r="2515" ht="18.0" hidden="1" customHeight="1" outlineLevel="2">
      <c r="A2515" s="1">
        <v>7.0</v>
      </c>
      <c r="B2515" s="26" t="s">
        <v>526</v>
      </c>
      <c r="C2515" s="1"/>
      <c r="D2515" s="1"/>
      <c r="E2515" s="14"/>
      <c r="F2515" s="15"/>
      <c r="G2515" s="16"/>
      <c r="H2515" s="11"/>
      <c r="I2515" s="7"/>
      <c r="J2515" s="7" t="str">
        <f>IFERROR(LET(_xlpm.v,
VLOOKUP($I2515,'用語辞書'!$A:$B,COLUMN('用語辞書'!B$1),FALSE),
IF(_xlpm.v=0,"",_xlpm.v)
),"")</f>
        <v/>
      </c>
      <c r="K2515" s="17"/>
      <c r="L2515" s="17" t="str">
        <f>IF(OR(COUNTIF('クラス'!$A$1:$A$1267,$B2515)&gt;0,$B2515="",$M2515=""),"",True)</f>
        <v/>
      </c>
      <c r="M2515" s="1" t="str">
        <f t="shared" si="30"/>
        <v/>
      </c>
      <c r="N2515" s="1" t="s">
        <v>29</v>
      </c>
      <c r="O2515" s="1"/>
      <c r="P2515" s="11"/>
      <c r="Q2515" s="11"/>
      <c r="R2515" s="11"/>
      <c r="S2515" s="11"/>
      <c r="T2515" s="1"/>
      <c r="U2515" s="1"/>
      <c r="V2515" s="1"/>
      <c r="W2515" s="1"/>
      <c r="X2515" s="1"/>
      <c r="Y2515" s="1"/>
      <c r="Z2515" s="1"/>
    </row>
    <row r="2516" ht="18.0" hidden="1" customHeight="1" outlineLevel="2">
      <c r="A2516" s="1">
        <v>8.0</v>
      </c>
      <c r="B2516" s="26" t="s">
        <v>29</v>
      </c>
      <c r="C2516" s="1"/>
      <c r="D2516" s="1"/>
      <c r="E2516" s="14"/>
      <c r="F2516" s="15"/>
      <c r="G2516" s="16"/>
      <c r="H2516" s="11"/>
      <c r="I2516" s="7"/>
      <c r="J2516" s="7" t="str">
        <f>IFERROR(LET(_xlpm.v,
VLOOKUP($I2516,'用語辞書'!$A:$B,COLUMN('用語辞書'!B$1),FALSE),
IF(_xlpm.v=0,"",_xlpm.v)
),"")</f>
        <v/>
      </c>
      <c r="K2516" s="17"/>
      <c r="L2516" s="17" t="str">
        <f>IF(OR(COUNTIF('クラス'!$A$1:$A$1267,$B2516)&gt;0,$B2516="",$M2516=""),"",True)</f>
        <v/>
      </c>
      <c r="M2516" s="1" t="str">
        <f t="shared" si="30"/>
        <v/>
      </c>
      <c r="N2516" s="1" t="s">
        <v>29</v>
      </c>
      <c r="O2516" s="1"/>
      <c r="P2516" s="11"/>
      <c r="Q2516" s="11"/>
      <c r="R2516" s="11"/>
      <c r="S2516" s="11"/>
      <c r="T2516" s="1"/>
      <c r="U2516" s="1"/>
      <c r="V2516" s="1"/>
      <c r="W2516" s="1"/>
      <c r="X2516" s="1"/>
      <c r="Y2516" s="1"/>
      <c r="Z2516" s="1"/>
    </row>
    <row r="2517" ht="18.0" hidden="1" customHeight="1" outlineLevel="2">
      <c r="A2517" s="1">
        <v>9.0</v>
      </c>
      <c r="B2517" s="26" t="s">
        <v>2213</v>
      </c>
      <c r="C2517" s="1"/>
      <c r="D2517" s="1"/>
      <c r="E2517" s="14"/>
      <c r="F2517" s="15"/>
      <c r="G2517" s="16"/>
      <c r="H2517" s="11"/>
      <c r="I2517" s="7"/>
      <c r="J2517" s="7" t="str">
        <f>IFERROR(LET(_xlpm.v,
VLOOKUP($I2517,'用語辞書'!$A:$B,COLUMN('用語辞書'!B$1),FALSE),
IF(_xlpm.v=0,"",_xlpm.v)
),"")</f>
        <v/>
      </c>
      <c r="K2517" s="17"/>
      <c r="L2517" s="17" t="str">
        <f>IF(OR(COUNTIF('クラス'!$A$1:$A$1267,$B2517)&gt;0,$B2517="",$M2517=""),"",True)</f>
        <v/>
      </c>
      <c r="M2517" s="1" t="str">
        <f t="shared" si="30"/>
        <v/>
      </c>
      <c r="N2517" s="1" t="s">
        <v>29</v>
      </c>
      <c r="O2517" s="1"/>
      <c r="P2517" s="11"/>
      <c r="Q2517" s="11"/>
      <c r="R2517" s="11"/>
      <c r="S2517" s="11"/>
      <c r="T2517" s="1"/>
      <c r="U2517" s="1"/>
      <c r="V2517" s="1"/>
      <c r="W2517" s="1"/>
      <c r="X2517" s="1"/>
      <c r="Y2517" s="1"/>
      <c r="Z2517" s="1"/>
    </row>
    <row r="2518" ht="18.0" hidden="1" customHeight="1" outlineLevel="2">
      <c r="A2518" s="1">
        <v>10.0</v>
      </c>
      <c r="B2518" s="26" t="s">
        <v>2406</v>
      </c>
      <c r="C2518" s="26" t="s">
        <v>29</v>
      </c>
      <c r="D2518" s="26" t="s">
        <v>518</v>
      </c>
      <c r="E2518" s="29" t="s">
        <v>33</v>
      </c>
      <c r="F2518" s="34" t="s">
        <v>29</v>
      </c>
      <c r="G2518" s="30">
        <v>60.0</v>
      </c>
      <c r="H2518" s="22" t="s">
        <v>2407</v>
      </c>
      <c r="I2518" s="7"/>
      <c r="J2518" s="7" t="str">
        <f>IFERROR(LET(_xlpm.v,
VLOOKUP($I2518,'用語辞書'!$A:$B,COLUMN('用語辞書'!B$1),FALSE),
IF(_xlpm.v=0,"",_xlpm.v)
),"")</f>
        <v/>
      </c>
      <c r="K2518" s="17"/>
      <c r="L2518" s="17" t="b">
        <f>IF(OR(COUNTIF('クラス'!$A$1:$A$1267,$B2518)&gt;0,$B2518="",$M2518=""),"",True)</f>
        <v>1</v>
      </c>
      <c r="M2518" s="1" t="str">
        <f t="shared" si="30"/>
        <v>存在しない</v>
      </c>
      <c r="N2518" s="1" t="s">
        <v>29</v>
      </c>
      <c r="O2518" s="1"/>
      <c r="P2518" s="11"/>
      <c r="Q2518" s="11"/>
      <c r="R2518" s="11"/>
      <c r="S2518" s="11"/>
      <c r="T2518" s="1"/>
      <c r="U2518" s="1"/>
      <c r="V2518" s="1"/>
      <c r="W2518" s="1"/>
      <c r="X2518" s="1"/>
      <c r="Y2518" s="1"/>
      <c r="Z2518" s="1"/>
    </row>
    <row r="2519" ht="18.0" customHeight="1" outlineLevel="1" collapsed="1">
      <c r="A2519" s="1"/>
      <c r="B2519" s="1"/>
      <c r="C2519" s="1"/>
      <c r="D2519" s="1"/>
      <c r="E2519" s="14"/>
      <c r="F2519" s="15"/>
      <c r="G2519" s="16"/>
      <c r="H2519" s="11"/>
      <c r="I2519" s="7"/>
      <c r="J2519" s="7" t="str">
        <f>IFERROR(LET(_xlpm.v,
VLOOKUP($I2519,'用語辞書'!$A:$B,COLUMN('用語辞書'!B$1),FALSE),
IF(_xlpm.v=0,"",_xlpm.v)
),"")</f>
        <v/>
      </c>
      <c r="K2519" s="17"/>
      <c r="L2519" s="17" t="str">
        <f>IF(OR(COUNTIF('クラス'!$A$1:$A$1267,$B2519)&gt;0,$B2519="",$M2519=""),"",True)</f>
        <v/>
      </c>
      <c r="M2519" s="1" t="str">
        <f t="shared" si="30"/>
        <v>存在しない</v>
      </c>
      <c r="N2519" s="1" t="s">
        <v>29</v>
      </c>
      <c r="O2519" s="1"/>
      <c r="P2519" s="11"/>
      <c r="Q2519" s="11"/>
      <c r="R2519" s="11"/>
      <c r="S2519" s="11"/>
      <c r="T2519" s="1"/>
      <c r="U2519" s="1"/>
      <c r="V2519" s="1"/>
      <c r="W2519" s="1"/>
      <c r="X2519" s="1"/>
      <c r="Y2519" s="1"/>
      <c r="Z2519" s="1"/>
    </row>
    <row r="2520" ht="18.0" customHeight="1" outlineLevel="1">
      <c r="A2520" s="1"/>
      <c r="B2520" s="26" t="s">
        <v>2408</v>
      </c>
      <c r="C2520" s="1"/>
      <c r="D2520" s="1"/>
      <c r="E2520" s="14"/>
      <c r="F2520" s="15"/>
      <c r="G2520" s="16"/>
      <c r="H2520" s="11"/>
      <c r="I2520" s="7"/>
      <c r="J2520" s="7" t="str">
        <f>IFERROR(LET(_xlpm.v,
VLOOKUP($I2520,'用語辞書'!$A:$B,COLUMN('用語辞書'!B$1),FALSE),
IF(_xlpm.v=0,"",_xlpm.v)
),"")</f>
        <v/>
      </c>
      <c r="K2520" s="17"/>
      <c r="L2520" s="17" t="str">
        <f>IF(OR(COUNTIF('クラス'!$A$1:$A$1267,$B2520)&gt;0,$B2520="",$M2520=""),"",True)</f>
        <v/>
      </c>
      <c r="M2520" s="1" t="str">
        <f t="shared" si="30"/>
        <v>存在しない</v>
      </c>
      <c r="N2520" s="1" t="s">
        <v>29</v>
      </c>
      <c r="O2520" s="1"/>
      <c r="P2520" s="11"/>
      <c r="Q2520" s="11"/>
      <c r="R2520" s="11"/>
      <c r="S2520" s="11"/>
      <c r="T2520" s="1"/>
      <c r="U2520" s="1"/>
      <c r="V2520" s="1"/>
      <c r="W2520" s="1"/>
      <c r="X2520" s="1"/>
      <c r="Y2520" s="1"/>
      <c r="Z2520" s="1"/>
    </row>
    <row r="2521" ht="18.0" hidden="1" customHeight="1" outlineLevel="2">
      <c r="A2521" s="1">
        <v>1.0</v>
      </c>
      <c r="B2521" s="26" t="s">
        <v>2409</v>
      </c>
      <c r="C2521" s="26" t="s">
        <v>29</v>
      </c>
      <c r="D2521" s="26" t="s">
        <v>644</v>
      </c>
      <c r="E2521" s="29" t="s">
        <v>33</v>
      </c>
      <c r="F2521" s="34" t="s">
        <v>29</v>
      </c>
      <c r="G2521" s="30">
        <v>60.0</v>
      </c>
      <c r="H2521" s="22" t="s">
        <v>2410</v>
      </c>
      <c r="I2521" s="7"/>
      <c r="J2521" s="7" t="str">
        <f>IFERROR(LET(_xlpm.v,
VLOOKUP($I2521,'用語辞書'!$A:$B,COLUMN('用語辞書'!B$1),FALSE),
IF(_xlpm.v=0,"",_xlpm.v)
),"")</f>
        <v/>
      </c>
      <c r="K2521" s="17"/>
      <c r="L2521" s="17" t="b">
        <f>IF(OR(COUNTIF('クラス'!$A$1:$A$1267,$B2521)&gt;0,$B2521="",$M2521=""),"",True)</f>
        <v>1</v>
      </c>
      <c r="M2521" s="1" t="str">
        <f t="shared" si="30"/>
        <v>存在しない</v>
      </c>
      <c r="N2521" s="1" t="s">
        <v>29</v>
      </c>
      <c r="O2521" s="1"/>
      <c r="P2521" s="11"/>
      <c r="Q2521" s="11"/>
      <c r="R2521" s="11"/>
      <c r="S2521" s="11"/>
      <c r="T2521" s="1"/>
      <c r="U2521" s="1"/>
      <c r="V2521" s="1"/>
      <c r="W2521" s="1"/>
      <c r="X2521" s="1"/>
      <c r="Y2521" s="1"/>
      <c r="Z2521" s="1"/>
    </row>
    <row r="2522" ht="18.0" hidden="1" customHeight="1" outlineLevel="2">
      <c r="A2522" s="1">
        <v>2.0</v>
      </c>
      <c r="B2522" s="26" t="s">
        <v>29</v>
      </c>
      <c r="C2522" s="1"/>
      <c r="D2522" s="1"/>
      <c r="E2522" s="14"/>
      <c r="F2522" s="15"/>
      <c r="G2522" s="16"/>
      <c r="H2522" s="11"/>
      <c r="I2522" s="7"/>
      <c r="J2522" s="7" t="str">
        <f>IFERROR(LET(_xlpm.v,
VLOOKUP($I2522,'用語辞書'!$A:$B,COLUMN('用語辞書'!B$1),FALSE),
IF(_xlpm.v=0,"",_xlpm.v)
),"")</f>
        <v/>
      </c>
      <c r="K2522" s="17"/>
      <c r="L2522" s="17" t="str">
        <f>IF(OR(COUNTIF('クラス'!$A$1:$A$1267,$B2522)&gt;0,$B2522="",$M2522=""),"",True)</f>
        <v/>
      </c>
      <c r="M2522" s="1" t="str">
        <f t="shared" si="30"/>
        <v/>
      </c>
      <c r="N2522" s="1" t="s">
        <v>29</v>
      </c>
      <c r="O2522" s="1"/>
      <c r="P2522" s="11"/>
      <c r="Q2522" s="11"/>
      <c r="R2522" s="11"/>
      <c r="S2522" s="11"/>
      <c r="T2522" s="1"/>
      <c r="U2522" s="1"/>
      <c r="V2522" s="1"/>
      <c r="W2522" s="1"/>
      <c r="X2522" s="1"/>
      <c r="Y2522" s="1"/>
      <c r="Z2522" s="1"/>
    </row>
    <row r="2523" ht="18.0" hidden="1" customHeight="1" outlineLevel="2">
      <c r="A2523" s="1">
        <v>3.0</v>
      </c>
      <c r="B2523" s="26" t="s">
        <v>646</v>
      </c>
      <c r="C2523" s="1"/>
      <c r="D2523" s="1"/>
      <c r="E2523" s="14"/>
      <c r="F2523" s="15"/>
      <c r="G2523" s="16"/>
      <c r="H2523" s="11"/>
      <c r="I2523" s="7"/>
      <c r="J2523" s="7" t="str">
        <f>IFERROR(LET(_xlpm.v,
VLOOKUP($I2523,'用語辞書'!$A:$B,COLUMN('用語辞書'!B$1),FALSE),
IF(_xlpm.v=0,"",_xlpm.v)
),"")</f>
        <v/>
      </c>
      <c r="K2523" s="17"/>
      <c r="L2523" s="17" t="str">
        <f>IF(OR(COUNTIF('クラス'!$A$1:$A$1267,$B2523)&gt;0,$B2523="",$M2523=""),"",True)</f>
        <v/>
      </c>
      <c r="M2523" s="1" t="str">
        <f t="shared" si="30"/>
        <v/>
      </c>
      <c r="N2523" s="1" t="s">
        <v>29</v>
      </c>
      <c r="O2523" s="1"/>
      <c r="P2523" s="11"/>
      <c r="Q2523" s="11"/>
      <c r="R2523" s="11"/>
      <c r="S2523" s="11"/>
      <c r="T2523" s="1"/>
      <c r="U2523" s="1"/>
      <c r="V2523" s="1"/>
      <c r="W2523" s="1"/>
      <c r="X2523" s="1"/>
      <c r="Y2523" s="1"/>
      <c r="Z2523" s="1"/>
    </row>
    <row r="2524" ht="18.0" hidden="1" customHeight="1" outlineLevel="2">
      <c r="A2524" s="1">
        <v>4.0</v>
      </c>
      <c r="B2524" s="26" t="s">
        <v>29</v>
      </c>
      <c r="C2524" s="1"/>
      <c r="D2524" s="1"/>
      <c r="E2524" s="14"/>
      <c r="F2524" s="15"/>
      <c r="G2524" s="16"/>
      <c r="H2524" s="11"/>
      <c r="I2524" s="7"/>
      <c r="J2524" s="7" t="str">
        <f>IFERROR(LET(_xlpm.v,
VLOOKUP($I2524,'用語辞書'!$A:$B,COLUMN('用語辞書'!B$1),FALSE),
IF(_xlpm.v=0,"",_xlpm.v)
),"")</f>
        <v/>
      </c>
      <c r="K2524" s="17"/>
      <c r="L2524" s="17" t="str">
        <f>IF(OR(COUNTIF('クラス'!$A$1:$A$1267,$B2524)&gt;0,$B2524="",$M2524=""),"",True)</f>
        <v/>
      </c>
      <c r="M2524" s="1" t="str">
        <f t="shared" si="30"/>
        <v/>
      </c>
      <c r="N2524" s="1" t="s">
        <v>29</v>
      </c>
      <c r="O2524" s="1"/>
      <c r="P2524" s="11"/>
      <c r="Q2524" s="11"/>
      <c r="R2524" s="11"/>
      <c r="S2524" s="11"/>
      <c r="T2524" s="1"/>
      <c r="U2524" s="1"/>
      <c r="V2524" s="1"/>
      <c r="W2524" s="1"/>
      <c r="X2524" s="1"/>
      <c r="Y2524" s="1"/>
      <c r="Z2524" s="1"/>
    </row>
    <row r="2525" ht="18.0" hidden="1" customHeight="1" outlineLevel="2">
      <c r="A2525" s="1">
        <v>5.0</v>
      </c>
      <c r="B2525" s="26" t="s">
        <v>2219</v>
      </c>
      <c r="C2525" s="1"/>
      <c r="D2525" s="1"/>
      <c r="E2525" s="14"/>
      <c r="F2525" s="15"/>
      <c r="G2525" s="16"/>
      <c r="H2525" s="11"/>
      <c r="I2525" s="7"/>
      <c r="J2525" s="7" t="str">
        <f>IFERROR(LET(_xlpm.v,
VLOOKUP($I2525,'用語辞書'!$A:$B,COLUMN('用語辞書'!B$1),FALSE),
IF(_xlpm.v=0,"",_xlpm.v)
),"")</f>
        <v/>
      </c>
      <c r="K2525" s="17"/>
      <c r="L2525" s="17" t="str">
        <f>IF(OR(COUNTIF('クラス'!$A$1:$A$1267,$B2525)&gt;0,$B2525="",$M2525=""),"",True)</f>
        <v/>
      </c>
      <c r="M2525" s="1" t="str">
        <f t="shared" si="30"/>
        <v/>
      </c>
      <c r="N2525" s="1" t="s">
        <v>29</v>
      </c>
      <c r="O2525" s="1"/>
      <c r="P2525" s="11"/>
      <c r="Q2525" s="11"/>
      <c r="R2525" s="11"/>
      <c r="S2525" s="11"/>
      <c r="T2525" s="1"/>
      <c r="U2525" s="1"/>
      <c r="V2525" s="1"/>
      <c r="W2525" s="1"/>
      <c r="X2525" s="1"/>
      <c r="Y2525" s="1"/>
      <c r="Z2525" s="1"/>
    </row>
    <row r="2526" ht="18.0" hidden="1" customHeight="1" outlineLevel="2">
      <c r="A2526" s="1">
        <v>6.0</v>
      </c>
      <c r="B2526" s="26" t="s">
        <v>29</v>
      </c>
      <c r="C2526" s="1"/>
      <c r="D2526" s="1"/>
      <c r="E2526" s="14"/>
      <c r="F2526" s="15"/>
      <c r="G2526" s="16"/>
      <c r="H2526" s="11"/>
      <c r="I2526" s="7"/>
      <c r="J2526" s="7" t="str">
        <f>IFERROR(LET(_xlpm.v,
VLOOKUP($I2526,'用語辞書'!$A:$B,COLUMN('用語辞書'!B$1),FALSE),
IF(_xlpm.v=0,"",_xlpm.v)
),"")</f>
        <v/>
      </c>
      <c r="K2526" s="17"/>
      <c r="L2526" s="17" t="str">
        <f>IF(OR(COUNTIF('クラス'!$A$1:$A$1267,$B2526)&gt;0,$B2526="",$M2526=""),"",True)</f>
        <v/>
      </c>
      <c r="M2526" s="1" t="str">
        <f t="shared" si="30"/>
        <v/>
      </c>
      <c r="N2526" s="1" t="s">
        <v>29</v>
      </c>
      <c r="O2526" s="1"/>
      <c r="P2526" s="11"/>
      <c r="Q2526" s="11"/>
      <c r="R2526" s="11"/>
      <c r="S2526" s="11"/>
      <c r="T2526" s="1"/>
      <c r="U2526" s="1"/>
      <c r="V2526" s="1"/>
      <c r="W2526" s="1"/>
      <c r="X2526" s="1"/>
      <c r="Y2526" s="1"/>
      <c r="Z2526" s="1"/>
    </row>
    <row r="2527" ht="18.0" hidden="1" customHeight="1" outlineLevel="2">
      <c r="A2527" s="1">
        <v>7.0</v>
      </c>
      <c r="B2527" s="26" t="s">
        <v>652</v>
      </c>
      <c r="C2527" s="1"/>
      <c r="D2527" s="1"/>
      <c r="E2527" s="14"/>
      <c r="F2527" s="15"/>
      <c r="G2527" s="16"/>
      <c r="H2527" s="11"/>
      <c r="I2527" s="7"/>
      <c r="J2527" s="7" t="str">
        <f>IFERROR(LET(_xlpm.v,
VLOOKUP($I2527,'用語辞書'!$A:$B,COLUMN('用語辞書'!B$1),FALSE),
IF(_xlpm.v=0,"",_xlpm.v)
),"")</f>
        <v/>
      </c>
      <c r="K2527" s="17"/>
      <c r="L2527" s="17" t="str">
        <f>IF(OR(COUNTIF('クラス'!$A$1:$A$1267,$B2527)&gt;0,$B2527="",$M2527=""),"",True)</f>
        <v/>
      </c>
      <c r="M2527" s="1" t="str">
        <f t="shared" si="30"/>
        <v/>
      </c>
      <c r="N2527" s="1" t="s">
        <v>29</v>
      </c>
      <c r="O2527" s="1"/>
      <c r="P2527" s="11"/>
      <c r="Q2527" s="11"/>
      <c r="R2527" s="11"/>
      <c r="S2527" s="11"/>
      <c r="T2527" s="1"/>
      <c r="U2527" s="1"/>
      <c r="V2527" s="1"/>
      <c r="W2527" s="1"/>
      <c r="X2527" s="1"/>
      <c r="Y2527" s="1"/>
      <c r="Z2527" s="1"/>
    </row>
    <row r="2528" ht="18.0" hidden="1" customHeight="1" outlineLevel="2">
      <c r="A2528" s="1">
        <v>8.0</v>
      </c>
      <c r="B2528" s="26" t="s">
        <v>29</v>
      </c>
      <c r="C2528" s="1"/>
      <c r="D2528" s="1"/>
      <c r="E2528" s="14"/>
      <c r="F2528" s="15"/>
      <c r="G2528" s="16"/>
      <c r="H2528" s="11"/>
      <c r="I2528" s="7"/>
      <c r="J2528" s="7" t="str">
        <f>IFERROR(LET(_xlpm.v,
VLOOKUP($I2528,'用語辞書'!$A:$B,COLUMN('用語辞書'!B$1),FALSE),
IF(_xlpm.v=0,"",_xlpm.v)
),"")</f>
        <v/>
      </c>
      <c r="K2528" s="17"/>
      <c r="L2528" s="17" t="str">
        <f>IF(OR(COUNTIF('クラス'!$A$1:$A$1267,$B2528)&gt;0,$B2528="",$M2528=""),"",True)</f>
        <v/>
      </c>
      <c r="M2528" s="1" t="str">
        <f t="shared" si="30"/>
        <v/>
      </c>
      <c r="N2528" s="1" t="s">
        <v>29</v>
      </c>
      <c r="O2528" s="1"/>
      <c r="P2528" s="11"/>
      <c r="Q2528" s="11"/>
      <c r="R2528" s="11"/>
      <c r="S2528" s="11"/>
      <c r="T2528" s="1"/>
      <c r="U2528" s="1"/>
      <c r="V2528" s="1"/>
      <c r="W2528" s="1"/>
      <c r="X2528" s="1"/>
      <c r="Y2528" s="1"/>
      <c r="Z2528" s="1"/>
    </row>
    <row r="2529" ht="18.0" hidden="1" customHeight="1" outlineLevel="2">
      <c r="A2529" s="1">
        <v>9.0</v>
      </c>
      <c r="B2529" s="26" t="s">
        <v>2220</v>
      </c>
      <c r="C2529" s="1"/>
      <c r="D2529" s="1"/>
      <c r="E2529" s="14"/>
      <c r="F2529" s="15"/>
      <c r="G2529" s="16"/>
      <c r="H2529" s="11"/>
      <c r="I2529" s="7"/>
      <c r="J2529" s="7" t="str">
        <f>IFERROR(LET(_xlpm.v,
VLOOKUP($I2529,'用語辞書'!$A:$B,COLUMN('用語辞書'!B$1),FALSE),
IF(_xlpm.v=0,"",_xlpm.v)
),"")</f>
        <v/>
      </c>
      <c r="K2529" s="17"/>
      <c r="L2529" s="17" t="str">
        <f>IF(OR(COUNTIF('クラス'!$A$1:$A$1267,$B2529)&gt;0,$B2529="",$M2529=""),"",True)</f>
        <v/>
      </c>
      <c r="M2529" s="1" t="str">
        <f t="shared" si="30"/>
        <v/>
      </c>
      <c r="N2529" s="1" t="s">
        <v>29</v>
      </c>
      <c r="O2529" s="1"/>
      <c r="P2529" s="11"/>
      <c r="Q2529" s="11"/>
      <c r="R2529" s="11"/>
      <c r="S2529" s="11"/>
      <c r="T2529" s="1"/>
      <c r="U2529" s="1"/>
      <c r="V2529" s="1"/>
      <c r="W2529" s="1"/>
      <c r="X2529" s="1"/>
      <c r="Y2529" s="1"/>
      <c r="Z2529" s="1"/>
    </row>
    <row r="2530" ht="18.0" hidden="1" customHeight="1" outlineLevel="2">
      <c r="A2530" s="1">
        <v>10.0</v>
      </c>
      <c r="B2530" s="26" t="s">
        <v>2411</v>
      </c>
      <c r="C2530" s="26" t="s">
        <v>29</v>
      </c>
      <c r="D2530" s="26" t="s">
        <v>644</v>
      </c>
      <c r="E2530" s="29" t="s">
        <v>33</v>
      </c>
      <c r="F2530" s="34" t="s">
        <v>29</v>
      </c>
      <c r="G2530" s="30">
        <v>60.0</v>
      </c>
      <c r="H2530" s="31" t="s">
        <v>2412</v>
      </c>
      <c r="I2530" s="7"/>
      <c r="J2530" s="7" t="str">
        <f>IFERROR(LET(_xlpm.v,
VLOOKUP($I2530,'用語辞書'!$A:$B,COLUMN('用語辞書'!B$1),FALSE),
IF(_xlpm.v=0,"",_xlpm.v)
),"")</f>
        <v/>
      </c>
      <c r="K2530" s="17"/>
      <c r="L2530" s="17" t="b">
        <f>IF(OR(COUNTIF('クラス'!$A$1:$A$1267,$B2530)&gt;0,$B2530="",$M2530=""),"",True)</f>
        <v>1</v>
      </c>
      <c r="M2530" s="1" t="str">
        <f t="shared" si="30"/>
        <v>存在しない</v>
      </c>
      <c r="N2530" s="1" t="s">
        <v>29</v>
      </c>
      <c r="O2530" s="1"/>
      <c r="P2530" s="11"/>
      <c r="Q2530" s="11"/>
      <c r="R2530" s="11"/>
      <c r="S2530" s="11"/>
      <c r="T2530" s="1"/>
      <c r="U2530" s="1"/>
      <c r="V2530" s="1"/>
      <c r="W2530" s="1"/>
      <c r="X2530" s="1"/>
      <c r="Y2530" s="1"/>
      <c r="Z2530" s="1"/>
    </row>
    <row r="2531" ht="18.0" customHeight="1" outlineLevel="1" collapsed="1">
      <c r="A2531" s="1"/>
      <c r="B2531" s="1"/>
      <c r="C2531" s="1"/>
      <c r="D2531" s="1"/>
      <c r="E2531" s="14"/>
      <c r="F2531" s="15"/>
      <c r="G2531" s="16"/>
      <c r="H2531" s="11"/>
      <c r="I2531" s="7"/>
      <c r="J2531" s="7" t="str">
        <f>IFERROR(LET(_xlpm.v,
VLOOKUP($I2531,'用語辞書'!$A:$B,COLUMN('用語辞書'!B$1),FALSE),
IF(_xlpm.v=0,"",_xlpm.v)
),"")</f>
        <v/>
      </c>
      <c r="K2531" s="17"/>
      <c r="L2531" s="17" t="str">
        <f>IF(OR(COUNTIF('クラス'!$A$1:$A$1267,$B2531)&gt;0,$B2531="",$M2531=""),"",True)</f>
        <v/>
      </c>
      <c r="M2531" s="1" t="str">
        <f t="shared" si="30"/>
        <v>存在しない</v>
      </c>
      <c r="N2531" s="1" t="s">
        <v>29</v>
      </c>
      <c r="O2531" s="1"/>
      <c r="P2531" s="11"/>
      <c r="Q2531" s="11"/>
      <c r="R2531" s="11"/>
      <c r="S2531" s="11"/>
      <c r="T2531" s="1"/>
      <c r="U2531" s="1"/>
      <c r="V2531" s="1"/>
      <c r="W2531" s="1"/>
      <c r="X2531" s="1"/>
      <c r="Y2531" s="1"/>
      <c r="Z2531" s="1"/>
    </row>
    <row r="2532" ht="18.0" customHeight="1" outlineLevel="1">
      <c r="A2532" s="1"/>
      <c r="B2532" s="26" t="s">
        <v>2413</v>
      </c>
      <c r="C2532" s="1"/>
      <c r="D2532" s="1"/>
      <c r="E2532" s="14"/>
      <c r="F2532" s="15"/>
      <c r="G2532" s="16"/>
      <c r="H2532" s="11"/>
      <c r="I2532" s="7"/>
      <c r="J2532" s="7" t="str">
        <f>IFERROR(LET(_xlpm.v,
VLOOKUP($I2532,'用語辞書'!$A:$B,COLUMN('用語辞書'!B$1),FALSE),
IF(_xlpm.v=0,"",_xlpm.v)
),"")</f>
        <v/>
      </c>
      <c r="K2532" s="17"/>
      <c r="L2532" s="17" t="str">
        <f>IF(OR(COUNTIF('クラス'!$A$1:$A$1267,$B2532)&gt;0,$B2532="",$M2532=""),"",True)</f>
        <v/>
      </c>
      <c r="M2532" s="1" t="str">
        <f t="shared" si="30"/>
        <v>存在しない</v>
      </c>
      <c r="N2532" s="1" t="s">
        <v>29</v>
      </c>
      <c r="O2532" s="1"/>
      <c r="P2532" s="11"/>
      <c r="Q2532" s="11"/>
      <c r="R2532" s="11"/>
      <c r="S2532" s="11"/>
      <c r="T2532" s="1"/>
      <c r="U2532" s="1"/>
      <c r="V2532" s="1"/>
      <c r="W2532" s="1"/>
      <c r="X2532" s="1"/>
      <c r="Y2532" s="1"/>
      <c r="Z2532" s="1"/>
    </row>
    <row r="2533" ht="18.0" hidden="1" customHeight="1" outlineLevel="2">
      <c r="A2533" s="1">
        <v>1.0</v>
      </c>
      <c r="B2533" s="26" t="s">
        <v>2414</v>
      </c>
      <c r="C2533" s="26" t="s">
        <v>29</v>
      </c>
      <c r="D2533" s="26" t="s">
        <v>908</v>
      </c>
      <c r="E2533" s="29" t="s">
        <v>33</v>
      </c>
      <c r="F2533" s="34" t="s">
        <v>29</v>
      </c>
      <c r="G2533" s="30">
        <v>60.0</v>
      </c>
      <c r="H2533" s="22" t="s">
        <v>2415</v>
      </c>
      <c r="I2533" s="7"/>
      <c r="J2533" s="7" t="str">
        <f>IFERROR(LET(_xlpm.v,
VLOOKUP($I2533,'用語辞書'!$A:$B,COLUMN('用語辞書'!B$1),FALSE),
IF(_xlpm.v=0,"",_xlpm.v)
),"")</f>
        <v/>
      </c>
      <c r="K2533" s="17"/>
      <c r="L2533" s="17" t="b">
        <f>IF(OR(COUNTIF('クラス'!$A$1:$A$1267,$B2533)&gt;0,$B2533="",$M2533=""),"",True)</f>
        <v>1</v>
      </c>
      <c r="M2533" s="1" t="str">
        <f t="shared" si="30"/>
        <v>存在しない</v>
      </c>
      <c r="N2533" s="1" t="s">
        <v>29</v>
      </c>
      <c r="O2533" s="1"/>
      <c r="P2533" s="11"/>
      <c r="Q2533" s="11"/>
      <c r="R2533" s="11"/>
      <c r="S2533" s="11"/>
      <c r="T2533" s="1"/>
      <c r="U2533" s="1"/>
      <c r="V2533" s="1"/>
      <c r="W2533" s="1"/>
      <c r="X2533" s="1"/>
      <c r="Y2533" s="1"/>
      <c r="Z2533" s="1"/>
    </row>
    <row r="2534" ht="18.0" hidden="1" customHeight="1" outlineLevel="2">
      <c r="A2534" s="1">
        <v>2.0</v>
      </c>
      <c r="B2534" s="26" t="s">
        <v>29</v>
      </c>
      <c r="C2534" s="1"/>
      <c r="D2534" s="1"/>
      <c r="E2534" s="14"/>
      <c r="F2534" s="15"/>
      <c r="G2534" s="16"/>
      <c r="H2534" s="11"/>
      <c r="I2534" s="7"/>
      <c r="J2534" s="7" t="str">
        <f>IFERROR(LET(_xlpm.v,
VLOOKUP($I2534,'用語辞書'!$A:$B,COLUMN('用語辞書'!B$1),FALSE),
IF(_xlpm.v=0,"",_xlpm.v)
),"")</f>
        <v/>
      </c>
      <c r="K2534" s="17"/>
      <c r="L2534" s="17" t="str">
        <f>IF(OR(COUNTIF('クラス'!$A$1:$A$1267,$B2534)&gt;0,$B2534="",$M2534=""),"",True)</f>
        <v/>
      </c>
      <c r="M2534" s="1" t="str">
        <f t="shared" si="30"/>
        <v/>
      </c>
      <c r="N2534" s="1" t="s">
        <v>29</v>
      </c>
      <c r="O2534" s="1"/>
      <c r="P2534" s="11"/>
      <c r="Q2534" s="11"/>
      <c r="R2534" s="11"/>
      <c r="S2534" s="11"/>
      <c r="T2534" s="1"/>
      <c r="U2534" s="1"/>
      <c r="V2534" s="1"/>
      <c r="W2534" s="1"/>
      <c r="X2534" s="1"/>
      <c r="Y2534" s="1"/>
      <c r="Z2534" s="1"/>
    </row>
    <row r="2535" ht="18.0" hidden="1" customHeight="1" outlineLevel="2">
      <c r="A2535" s="1">
        <v>3.0</v>
      </c>
      <c r="B2535" s="26" t="s">
        <v>898</v>
      </c>
      <c r="C2535" s="1"/>
      <c r="D2535" s="1"/>
      <c r="E2535" s="14"/>
      <c r="F2535" s="15"/>
      <c r="G2535" s="16"/>
      <c r="H2535" s="11"/>
      <c r="I2535" s="7"/>
      <c r="J2535" s="7" t="str">
        <f>IFERROR(LET(_xlpm.v,
VLOOKUP($I2535,'用語辞書'!$A:$B,COLUMN('用語辞書'!B$1),FALSE),
IF(_xlpm.v=0,"",_xlpm.v)
),"")</f>
        <v/>
      </c>
      <c r="K2535" s="17"/>
      <c r="L2535" s="17" t="str">
        <f>IF(OR(COUNTIF('クラス'!$A$1:$A$1267,$B2535)&gt;0,$B2535="",$M2535=""),"",True)</f>
        <v/>
      </c>
      <c r="M2535" s="1" t="str">
        <f t="shared" si="30"/>
        <v/>
      </c>
      <c r="N2535" s="1" t="s">
        <v>29</v>
      </c>
      <c r="O2535" s="1"/>
      <c r="P2535" s="11"/>
      <c r="Q2535" s="11"/>
      <c r="R2535" s="11"/>
      <c r="S2535" s="11"/>
      <c r="T2535" s="1"/>
      <c r="U2535" s="1"/>
      <c r="V2535" s="1"/>
      <c r="W2535" s="1"/>
      <c r="X2535" s="1"/>
      <c r="Y2535" s="1"/>
      <c r="Z2535" s="1"/>
    </row>
    <row r="2536" ht="18.0" hidden="1" customHeight="1" outlineLevel="2">
      <c r="A2536" s="1">
        <v>4.0</v>
      </c>
      <c r="B2536" s="26" t="s">
        <v>29</v>
      </c>
      <c r="C2536" s="1"/>
      <c r="D2536" s="1"/>
      <c r="E2536" s="14"/>
      <c r="F2536" s="15"/>
      <c r="G2536" s="16"/>
      <c r="H2536" s="11"/>
      <c r="I2536" s="7"/>
      <c r="J2536" s="7" t="str">
        <f>IFERROR(LET(_xlpm.v,
VLOOKUP($I2536,'用語辞書'!$A:$B,COLUMN('用語辞書'!B$1),FALSE),
IF(_xlpm.v=0,"",_xlpm.v)
),"")</f>
        <v/>
      </c>
      <c r="K2536" s="17"/>
      <c r="L2536" s="17" t="str">
        <f>IF(OR(COUNTIF('クラス'!$A$1:$A$1267,$B2536)&gt;0,$B2536="",$M2536=""),"",True)</f>
        <v/>
      </c>
      <c r="M2536" s="1" t="str">
        <f t="shared" si="30"/>
        <v/>
      </c>
      <c r="N2536" s="1" t="s">
        <v>29</v>
      </c>
      <c r="O2536" s="1"/>
      <c r="P2536" s="11"/>
      <c r="Q2536" s="11"/>
      <c r="R2536" s="11"/>
      <c r="S2536" s="11"/>
      <c r="T2536" s="1"/>
      <c r="U2536" s="1"/>
      <c r="V2536" s="1"/>
      <c r="W2536" s="1"/>
      <c r="X2536" s="1"/>
      <c r="Y2536" s="1"/>
      <c r="Z2536" s="1"/>
    </row>
    <row r="2537" ht="18.0" hidden="1" customHeight="1" outlineLevel="2">
      <c r="A2537" s="1">
        <v>5.0</v>
      </c>
      <c r="B2537" s="26" t="s">
        <v>1768</v>
      </c>
      <c r="C2537" s="1"/>
      <c r="D2537" s="1"/>
      <c r="E2537" s="14"/>
      <c r="F2537" s="15"/>
      <c r="G2537" s="16"/>
      <c r="H2537" s="11"/>
      <c r="I2537" s="7"/>
      <c r="J2537" s="7" t="str">
        <f>IFERROR(LET(_xlpm.v,
VLOOKUP($I2537,'用語辞書'!$A:$B,COLUMN('用語辞書'!B$1),FALSE),
IF(_xlpm.v=0,"",_xlpm.v)
),"")</f>
        <v/>
      </c>
      <c r="K2537" s="17"/>
      <c r="L2537" s="17" t="str">
        <f>IF(OR(COUNTIF('クラス'!$A$1:$A$1267,$B2537)&gt;0,$B2537="",$M2537=""),"",True)</f>
        <v/>
      </c>
      <c r="M2537" s="1" t="str">
        <f t="shared" si="30"/>
        <v/>
      </c>
      <c r="N2537" s="1" t="s">
        <v>29</v>
      </c>
      <c r="O2537" s="1"/>
      <c r="P2537" s="11"/>
      <c r="Q2537" s="11"/>
      <c r="R2537" s="11"/>
      <c r="S2537" s="11"/>
      <c r="T2537" s="1"/>
      <c r="U2537" s="1"/>
      <c r="V2537" s="1"/>
      <c r="W2537" s="1"/>
      <c r="X2537" s="1"/>
      <c r="Y2537" s="1"/>
      <c r="Z2537" s="1"/>
    </row>
    <row r="2538" ht="18.0" hidden="1" customHeight="1" outlineLevel="2">
      <c r="A2538" s="1">
        <v>6.0</v>
      </c>
      <c r="B2538" s="26" t="s">
        <v>29</v>
      </c>
      <c r="C2538" s="1"/>
      <c r="D2538" s="1"/>
      <c r="E2538" s="14"/>
      <c r="F2538" s="15"/>
      <c r="G2538" s="16"/>
      <c r="H2538" s="11"/>
      <c r="I2538" s="7"/>
      <c r="J2538" s="7" t="str">
        <f>IFERROR(LET(_xlpm.v,
VLOOKUP($I2538,'用語辞書'!$A:$B,COLUMN('用語辞書'!B$1),FALSE),
IF(_xlpm.v=0,"",_xlpm.v)
),"")</f>
        <v/>
      </c>
      <c r="K2538" s="17"/>
      <c r="L2538" s="17" t="str">
        <f>IF(OR(COUNTIF('クラス'!$A$1:$A$1267,$B2538)&gt;0,$B2538="",$M2538=""),"",True)</f>
        <v/>
      </c>
      <c r="M2538" s="1" t="str">
        <f t="shared" si="30"/>
        <v/>
      </c>
      <c r="N2538" s="1" t="s">
        <v>29</v>
      </c>
      <c r="O2538" s="1"/>
      <c r="P2538" s="11"/>
      <c r="Q2538" s="11"/>
      <c r="R2538" s="11"/>
      <c r="S2538" s="11"/>
      <c r="T2538" s="1"/>
      <c r="U2538" s="1"/>
      <c r="V2538" s="1"/>
      <c r="W2538" s="1"/>
      <c r="X2538" s="1"/>
      <c r="Y2538" s="1"/>
      <c r="Z2538" s="1"/>
    </row>
    <row r="2539" ht="18.0" hidden="1" customHeight="1" outlineLevel="2">
      <c r="A2539" s="1">
        <v>7.0</v>
      </c>
      <c r="B2539" s="26" t="s">
        <v>902</v>
      </c>
      <c r="C2539" s="1"/>
      <c r="D2539" s="1"/>
      <c r="E2539" s="14"/>
      <c r="F2539" s="15"/>
      <c r="G2539" s="16"/>
      <c r="H2539" s="11"/>
      <c r="I2539" s="7"/>
      <c r="J2539" s="7" t="str">
        <f>IFERROR(LET(_xlpm.v,
VLOOKUP($I2539,'用語辞書'!$A:$B,COLUMN('用語辞書'!B$1),FALSE),
IF(_xlpm.v=0,"",_xlpm.v)
),"")</f>
        <v/>
      </c>
      <c r="K2539" s="17"/>
      <c r="L2539" s="17" t="str">
        <f>IF(OR(COUNTIF('クラス'!$A$1:$A$1267,$B2539)&gt;0,$B2539="",$M2539=""),"",True)</f>
        <v/>
      </c>
      <c r="M2539" s="1" t="str">
        <f t="shared" si="30"/>
        <v/>
      </c>
      <c r="N2539" s="1" t="s">
        <v>29</v>
      </c>
      <c r="O2539" s="1"/>
      <c r="P2539" s="11"/>
      <c r="Q2539" s="11"/>
      <c r="R2539" s="11"/>
      <c r="S2539" s="11"/>
      <c r="T2539" s="1"/>
      <c r="U2539" s="1"/>
      <c r="V2539" s="1"/>
      <c r="W2539" s="1"/>
      <c r="X2539" s="1"/>
      <c r="Y2539" s="1"/>
      <c r="Z2539" s="1"/>
    </row>
    <row r="2540" ht="18.0" hidden="1" customHeight="1" outlineLevel="2">
      <c r="A2540" s="1">
        <v>8.0</v>
      </c>
      <c r="B2540" s="26" t="s">
        <v>29</v>
      </c>
      <c r="C2540" s="1"/>
      <c r="D2540" s="1"/>
      <c r="E2540" s="14"/>
      <c r="F2540" s="15"/>
      <c r="G2540" s="16"/>
      <c r="H2540" s="11"/>
      <c r="I2540" s="7"/>
      <c r="J2540" s="7" t="str">
        <f>IFERROR(LET(_xlpm.v,
VLOOKUP($I2540,'用語辞書'!$A:$B,COLUMN('用語辞書'!B$1),FALSE),
IF(_xlpm.v=0,"",_xlpm.v)
),"")</f>
        <v/>
      </c>
      <c r="K2540" s="17"/>
      <c r="L2540" s="17" t="str">
        <f>IF(OR(COUNTIF('クラス'!$A$1:$A$1267,$B2540)&gt;0,$B2540="",$M2540=""),"",True)</f>
        <v/>
      </c>
      <c r="M2540" s="1" t="str">
        <f t="shared" si="30"/>
        <v/>
      </c>
      <c r="N2540" s="1" t="s">
        <v>29</v>
      </c>
      <c r="O2540" s="1"/>
      <c r="P2540" s="11"/>
      <c r="Q2540" s="11"/>
      <c r="R2540" s="11"/>
      <c r="S2540" s="11"/>
      <c r="T2540" s="1"/>
      <c r="U2540" s="1"/>
      <c r="V2540" s="1"/>
      <c r="W2540" s="1"/>
      <c r="X2540" s="1"/>
      <c r="Y2540" s="1"/>
      <c r="Z2540" s="1"/>
    </row>
    <row r="2541" ht="18.0" hidden="1" customHeight="1" outlineLevel="2">
      <c r="A2541" s="1">
        <v>9.0</v>
      </c>
      <c r="B2541" s="26" t="s">
        <v>1772</v>
      </c>
      <c r="C2541" s="1"/>
      <c r="D2541" s="1"/>
      <c r="E2541" s="14"/>
      <c r="F2541" s="15"/>
      <c r="G2541" s="16"/>
      <c r="H2541" s="11"/>
      <c r="I2541" s="7"/>
      <c r="J2541" s="7" t="str">
        <f>IFERROR(LET(_xlpm.v,
VLOOKUP($I2541,'用語辞書'!$A:$B,COLUMN('用語辞書'!B$1),FALSE),
IF(_xlpm.v=0,"",_xlpm.v)
),"")</f>
        <v/>
      </c>
      <c r="K2541" s="17"/>
      <c r="L2541" s="17" t="str">
        <f>IF(OR(COUNTIF('クラス'!$A$1:$A$1267,$B2541)&gt;0,$B2541="",$M2541=""),"",True)</f>
        <v/>
      </c>
      <c r="M2541" s="1" t="str">
        <f t="shared" si="30"/>
        <v/>
      </c>
      <c r="N2541" s="1" t="s">
        <v>29</v>
      </c>
      <c r="O2541" s="1"/>
      <c r="P2541" s="11"/>
      <c r="Q2541" s="11"/>
      <c r="R2541" s="11"/>
      <c r="S2541" s="11"/>
      <c r="T2541" s="1"/>
      <c r="U2541" s="1"/>
      <c r="V2541" s="1"/>
      <c r="W2541" s="1"/>
      <c r="X2541" s="1"/>
      <c r="Y2541" s="1"/>
      <c r="Z2541" s="1"/>
    </row>
    <row r="2542" ht="18.0" hidden="1" customHeight="1" outlineLevel="2">
      <c r="A2542" s="1">
        <v>10.0</v>
      </c>
      <c r="B2542" s="26" t="s">
        <v>2416</v>
      </c>
      <c r="C2542" s="26" t="s">
        <v>29</v>
      </c>
      <c r="D2542" s="26" t="s">
        <v>908</v>
      </c>
      <c r="E2542" s="29" t="s">
        <v>33</v>
      </c>
      <c r="F2542" s="34" t="s">
        <v>29</v>
      </c>
      <c r="G2542" s="30">
        <v>60.0</v>
      </c>
      <c r="H2542" s="22" t="s">
        <v>2417</v>
      </c>
      <c r="I2542" s="7"/>
      <c r="J2542" s="7" t="str">
        <f>IFERROR(LET(_xlpm.v,
VLOOKUP($I2542,'用語辞書'!$A:$B,COLUMN('用語辞書'!B$1),FALSE),
IF(_xlpm.v=0,"",_xlpm.v)
),"")</f>
        <v/>
      </c>
      <c r="K2542" s="17"/>
      <c r="L2542" s="17" t="b">
        <f>IF(OR(COUNTIF('クラス'!$A$1:$A$1267,$B2542)&gt;0,$B2542="",$M2542=""),"",True)</f>
        <v>1</v>
      </c>
      <c r="M2542" s="1" t="str">
        <f t="shared" si="30"/>
        <v>存在しない</v>
      </c>
      <c r="N2542" s="1" t="s">
        <v>29</v>
      </c>
      <c r="O2542" s="1"/>
      <c r="P2542" s="11"/>
      <c r="Q2542" s="11"/>
      <c r="R2542" s="11"/>
      <c r="S2542" s="11"/>
      <c r="T2542" s="1"/>
      <c r="U2542" s="1"/>
      <c r="V2542" s="1"/>
      <c r="W2542" s="1"/>
      <c r="X2542" s="1"/>
      <c r="Y2542" s="1"/>
      <c r="Z2542" s="1"/>
    </row>
    <row r="2543" ht="18.0" customHeight="1" outlineLevel="1" collapsed="1">
      <c r="A2543" s="1"/>
      <c r="B2543" s="1"/>
      <c r="C2543" s="1"/>
      <c r="D2543" s="1"/>
      <c r="E2543" s="14"/>
      <c r="F2543" s="15"/>
      <c r="G2543" s="16"/>
      <c r="H2543" s="11"/>
      <c r="I2543" s="7"/>
      <c r="J2543" s="7" t="str">
        <f>IFERROR(LET(_xlpm.v,
VLOOKUP($I2543,'用語辞書'!$A:$B,COLUMN('用語辞書'!B$1),FALSE),
IF(_xlpm.v=0,"",_xlpm.v)
),"")</f>
        <v/>
      </c>
      <c r="K2543" s="17"/>
      <c r="L2543" s="17" t="str">
        <f>IF(OR(COUNTIF('クラス'!$A$1:$A$1267,$B2543)&gt;0,$B2543="",$M2543=""),"",True)</f>
        <v/>
      </c>
      <c r="M2543" s="1" t="str">
        <f t="shared" si="30"/>
        <v>存在しない</v>
      </c>
      <c r="N2543" s="1" t="s">
        <v>29</v>
      </c>
      <c r="O2543" s="1"/>
      <c r="P2543" s="11"/>
      <c r="Q2543" s="11"/>
      <c r="R2543" s="11"/>
      <c r="S2543" s="11"/>
      <c r="T2543" s="1"/>
      <c r="U2543" s="1"/>
      <c r="V2543" s="1"/>
      <c r="W2543" s="1"/>
      <c r="X2543" s="1"/>
      <c r="Y2543" s="1"/>
      <c r="Z2543" s="1"/>
    </row>
    <row r="2544" ht="18.0" customHeight="1" outlineLevel="1">
      <c r="A2544" s="1"/>
      <c r="B2544" s="26" t="s">
        <v>2418</v>
      </c>
      <c r="C2544" s="1"/>
      <c r="D2544" s="1"/>
      <c r="E2544" s="14"/>
      <c r="F2544" s="15"/>
      <c r="G2544" s="16"/>
      <c r="H2544" s="11"/>
      <c r="I2544" s="7"/>
      <c r="J2544" s="7" t="str">
        <f>IFERROR(LET(_xlpm.v,
VLOOKUP($I2544,'用語辞書'!$A:$B,COLUMN('用語辞書'!B$1),FALSE),
IF(_xlpm.v=0,"",_xlpm.v)
),"")</f>
        <v/>
      </c>
      <c r="K2544" s="17"/>
      <c r="L2544" s="17" t="str">
        <f>IF(OR(COUNTIF('クラス'!$A$1:$A$1267,$B2544)&gt;0,$B2544="",$M2544=""),"",True)</f>
        <v/>
      </c>
      <c r="M2544" s="1" t="str">
        <f t="shared" si="30"/>
        <v>存在しない</v>
      </c>
      <c r="N2544" s="1" t="s">
        <v>29</v>
      </c>
      <c r="O2544" s="1"/>
      <c r="P2544" s="11"/>
      <c r="Q2544" s="11"/>
      <c r="R2544" s="11"/>
      <c r="S2544" s="11"/>
      <c r="T2544" s="1"/>
      <c r="U2544" s="1"/>
      <c r="V2544" s="1"/>
      <c r="W2544" s="1"/>
      <c r="X2544" s="1"/>
      <c r="Y2544" s="1"/>
      <c r="Z2544" s="1"/>
    </row>
    <row r="2545" ht="18.0" hidden="1" customHeight="1" outlineLevel="2">
      <c r="A2545" s="1">
        <v>1.0</v>
      </c>
      <c r="B2545" s="26" t="s">
        <v>2419</v>
      </c>
      <c r="C2545" s="26" t="s">
        <v>29</v>
      </c>
      <c r="D2545" s="26" t="s">
        <v>965</v>
      </c>
      <c r="E2545" s="29" t="s">
        <v>33</v>
      </c>
      <c r="F2545" s="34" t="s">
        <v>29</v>
      </c>
      <c r="G2545" s="30">
        <v>60.0</v>
      </c>
      <c r="H2545" s="22" t="s">
        <v>2420</v>
      </c>
      <c r="I2545" s="7"/>
      <c r="J2545" s="7" t="str">
        <f>IFERROR(LET(_xlpm.v,
VLOOKUP($I2545,'用語辞書'!$A:$B,COLUMN('用語辞書'!B$1),FALSE),
IF(_xlpm.v=0,"",_xlpm.v)
),"")</f>
        <v/>
      </c>
      <c r="K2545" s="17"/>
      <c r="L2545" s="17" t="b">
        <f>IF(OR(COUNTIF('クラス'!$A$1:$A$1267,$B2545)&gt;0,$B2545="",$M2545=""),"",True)</f>
        <v>1</v>
      </c>
      <c r="M2545" s="1" t="str">
        <f t="shared" si="30"/>
        <v>存在しない</v>
      </c>
      <c r="N2545" s="1" t="s">
        <v>29</v>
      </c>
      <c r="O2545" s="1"/>
      <c r="P2545" s="11"/>
      <c r="Q2545" s="11"/>
      <c r="R2545" s="11"/>
      <c r="S2545" s="11"/>
      <c r="T2545" s="1"/>
      <c r="U2545" s="1"/>
      <c r="V2545" s="1"/>
      <c r="W2545" s="1"/>
      <c r="X2545" s="1"/>
      <c r="Y2545" s="1"/>
      <c r="Z2545" s="1"/>
    </row>
    <row r="2546" ht="18.0" hidden="1" customHeight="1" outlineLevel="2">
      <c r="A2546" s="1">
        <v>2.0</v>
      </c>
      <c r="B2546" s="26" t="s">
        <v>29</v>
      </c>
      <c r="C2546" s="1"/>
      <c r="D2546" s="1"/>
      <c r="E2546" s="14"/>
      <c r="F2546" s="15"/>
      <c r="G2546" s="16"/>
      <c r="H2546" s="11"/>
      <c r="I2546" s="7"/>
      <c r="J2546" s="7" t="str">
        <f>IFERROR(LET(_xlpm.v,
VLOOKUP($I2546,'用語辞書'!$A:$B,COLUMN('用語辞書'!B$1),FALSE),
IF(_xlpm.v=0,"",_xlpm.v)
),"")</f>
        <v/>
      </c>
      <c r="K2546" s="17"/>
      <c r="L2546" s="17" t="str">
        <f>IF(OR(COUNTIF('クラス'!$A$1:$A$1267,$B2546)&gt;0,$B2546="",$M2546=""),"",True)</f>
        <v/>
      </c>
      <c r="M2546" s="1" t="str">
        <f t="shared" si="30"/>
        <v/>
      </c>
      <c r="N2546" s="1" t="s">
        <v>29</v>
      </c>
      <c r="O2546" s="1"/>
      <c r="P2546" s="11"/>
      <c r="Q2546" s="11"/>
      <c r="R2546" s="11"/>
      <c r="S2546" s="11"/>
      <c r="T2546" s="1"/>
      <c r="U2546" s="1"/>
      <c r="V2546" s="1"/>
      <c r="W2546" s="1"/>
      <c r="X2546" s="1"/>
      <c r="Y2546" s="1"/>
      <c r="Z2546" s="1"/>
    </row>
    <row r="2547" ht="18.0" hidden="1" customHeight="1" outlineLevel="2">
      <c r="A2547" s="1">
        <v>3.0</v>
      </c>
      <c r="B2547" s="26" t="s">
        <v>966</v>
      </c>
      <c r="C2547" s="1"/>
      <c r="D2547" s="1"/>
      <c r="E2547" s="14"/>
      <c r="F2547" s="15"/>
      <c r="G2547" s="16"/>
      <c r="H2547" s="11"/>
      <c r="I2547" s="7"/>
      <c r="J2547" s="7" t="str">
        <f>IFERROR(LET(_xlpm.v,
VLOOKUP($I2547,'用語辞書'!$A:$B,COLUMN('用語辞書'!B$1),FALSE),
IF(_xlpm.v=0,"",_xlpm.v)
),"")</f>
        <v/>
      </c>
      <c r="K2547" s="17"/>
      <c r="L2547" s="17" t="str">
        <f>IF(OR(COUNTIF('クラス'!$A$1:$A$1267,$B2547)&gt;0,$B2547="",$M2547=""),"",True)</f>
        <v/>
      </c>
      <c r="M2547" s="1" t="str">
        <f t="shared" si="30"/>
        <v/>
      </c>
      <c r="N2547" s="1" t="s">
        <v>29</v>
      </c>
      <c r="O2547" s="1"/>
      <c r="P2547" s="11"/>
      <c r="Q2547" s="11"/>
      <c r="R2547" s="11"/>
      <c r="S2547" s="11"/>
      <c r="T2547" s="1"/>
      <c r="U2547" s="1"/>
      <c r="V2547" s="1"/>
      <c r="W2547" s="1"/>
      <c r="X2547" s="1"/>
      <c r="Y2547" s="1"/>
      <c r="Z2547" s="1"/>
    </row>
    <row r="2548" ht="18.0" hidden="1" customHeight="1" outlineLevel="2">
      <c r="A2548" s="1">
        <v>4.0</v>
      </c>
      <c r="B2548" s="26" t="s">
        <v>29</v>
      </c>
      <c r="C2548" s="1"/>
      <c r="D2548" s="1"/>
      <c r="E2548" s="14"/>
      <c r="F2548" s="15"/>
      <c r="G2548" s="16"/>
      <c r="H2548" s="11"/>
      <c r="I2548" s="7"/>
      <c r="J2548" s="7" t="str">
        <f>IFERROR(LET(_xlpm.v,
VLOOKUP($I2548,'用語辞書'!$A:$B,COLUMN('用語辞書'!B$1),FALSE),
IF(_xlpm.v=0,"",_xlpm.v)
),"")</f>
        <v/>
      </c>
      <c r="K2548" s="17"/>
      <c r="L2548" s="17" t="str">
        <f>IF(OR(COUNTIF('クラス'!$A$1:$A$1267,$B2548)&gt;0,$B2548="",$M2548=""),"",True)</f>
        <v/>
      </c>
      <c r="M2548" s="1" t="str">
        <f t="shared" si="30"/>
        <v/>
      </c>
      <c r="N2548" s="1" t="s">
        <v>29</v>
      </c>
      <c r="O2548" s="1"/>
      <c r="P2548" s="11"/>
      <c r="Q2548" s="11"/>
      <c r="R2548" s="11"/>
      <c r="S2548" s="11"/>
      <c r="T2548" s="1"/>
      <c r="U2548" s="1"/>
      <c r="V2548" s="1"/>
      <c r="W2548" s="1"/>
      <c r="X2548" s="1"/>
      <c r="Y2548" s="1"/>
      <c r="Z2548" s="1"/>
    </row>
    <row r="2549" ht="18.0" hidden="1" customHeight="1" outlineLevel="2">
      <c r="A2549" s="1">
        <v>5.0</v>
      </c>
      <c r="B2549" s="26" t="s">
        <v>1789</v>
      </c>
      <c r="C2549" s="1"/>
      <c r="D2549" s="1"/>
      <c r="E2549" s="14"/>
      <c r="F2549" s="15"/>
      <c r="G2549" s="16"/>
      <c r="H2549" s="11"/>
      <c r="I2549" s="7"/>
      <c r="J2549" s="7" t="str">
        <f>IFERROR(LET(_xlpm.v,
VLOOKUP($I2549,'用語辞書'!$A:$B,COLUMN('用語辞書'!B$1),FALSE),
IF(_xlpm.v=0,"",_xlpm.v)
),"")</f>
        <v/>
      </c>
      <c r="K2549" s="17"/>
      <c r="L2549" s="17" t="str">
        <f>IF(OR(COUNTIF('クラス'!$A$1:$A$1267,$B2549)&gt;0,$B2549="",$M2549=""),"",True)</f>
        <v/>
      </c>
      <c r="M2549" s="1" t="str">
        <f t="shared" si="30"/>
        <v/>
      </c>
      <c r="N2549" s="1" t="s">
        <v>29</v>
      </c>
      <c r="O2549" s="1"/>
      <c r="P2549" s="11"/>
      <c r="Q2549" s="11"/>
      <c r="R2549" s="11"/>
      <c r="S2549" s="11"/>
      <c r="T2549" s="1"/>
      <c r="U2549" s="1"/>
      <c r="V2549" s="1"/>
      <c r="W2549" s="1"/>
      <c r="X2549" s="1"/>
      <c r="Y2549" s="1"/>
      <c r="Z2549" s="1"/>
    </row>
    <row r="2550" ht="18.0" hidden="1" customHeight="1" outlineLevel="2">
      <c r="A2550" s="1">
        <v>6.0</v>
      </c>
      <c r="B2550" s="26" t="s">
        <v>29</v>
      </c>
      <c r="C2550" s="1"/>
      <c r="D2550" s="1"/>
      <c r="E2550" s="14"/>
      <c r="F2550" s="15"/>
      <c r="G2550" s="16"/>
      <c r="H2550" s="11"/>
      <c r="I2550" s="7"/>
      <c r="J2550" s="7" t="str">
        <f>IFERROR(LET(_xlpm.v,
VLOOKUP($I2550,'用語辞書'!$A:$B,COLUMN('用語辞書'!B$1),FALSE),
IF(_xlpm.v=0,"",_xlpm.v)
),"")</f>
        <v/>
      </c>
      <c r="K2550" s="17"/>
      <c r="L2550" s="17" t="str">
        <f>IF(OR(COUNTIF('クラス'!$A$1:$A$1267,$B2550)&gt;0,$B2550="",$M2550=""),"",True)</f>
        <v/>
      </c>
      <c r="M2550" s="1" t="str">
        <f t="shared" si="30"/>
        <v/>
      </c>
      <c r="N2550" s="1" t="s">
        <v>29</v>
      </c>
      <c r="O2550" s="1"/>
      <c r="P2550" s="11"/>
      <c r="Q2550" s="11"/>
      <c r="R2550" s="11"/>
      <c r="S2550" s="11"/>
      <c r="T2550" s="1"/>
      <c r="U2550" s="1"/>
      <c r="V2550" s="1"/>
      <c r="W2550" s="1"/>
      <c r="X2550" s="1"/>
      <c r="Y2550" s="1"/>
      <c r="Z2550" s="1"/>
    </row>
    <row r="2551" ht="18.0" hidden="1" customHeight="1" outlineLevel="2">
      <c r="A2551" s="1">
        <v>7.0</v>
      </c>
      <c r="B2551" s="26" t="s">
        <v>978</v>
      </c>
      <c r="C2551" s="1"/>
      <c r="D2551" s="1"/>
      <c r="E2551" s="14"/>
      <c r="F2551" s="15"/>
      <c r="G2551" s="16"/>
      <c r="H2551" s="11"/>
      <c r="I2551" s="7"/>
      <c r="J2551" s="7" t="str">
        <f>IFERROR(LET(_xlpm.v,
VLOOKUP($I2551,'用語辞書'!$A:$B,COLUMN('用語辞書'!B$1),FALSE),
IF(_xlpm.v=0,"",_xlpm.v)
),"")</f>
        <v/>
      </c>
      <c r="K2551" s="17"/>
      <c r="L2551" s="17" t="str">
        <f>IF(OR(COUNTIF('クラス'!$A$1:$A$1267,$B2551)&gt;0,$B2551="",$M2551=""),"",True)</f>
        <v/>
      </c>
      <c r="M2551" s="1" t="str">
        <f t="shared" si="30"/>
        <v/>
      </c>
      <c r="N2551" s="1" t="s">
        <v>29</v>
      </c>
      <c r="O2551" s="1"/>
      <c r="P2551" s="11"/>
      <c r="Q2551" s="11"/>
      <c r="R2551" s="11"/>
      <c r="S2551" s="11"/>
      <c r="T2551" s="1"/>
      <c r="U2551" s="1"/>
      <c r="V2551" s="1"/>
      <c r="W2551" s="1"/>
      <c r="X2551" s="1"/>
      <c r="Y2551" s="1"/>
      <c r="Z2551" s="1"/>
    </row>
    <row r="2552" ht="18.0" hidden="1" customHeight="1" outlineLevel="2">
      <c r="A2552" s="1">
        <v>8.0</v>
      </c>
      <c r="B2552" s="26" t="s">
        <v>29</v>
      </c>
      <c r="C2552" s="1"/>
      <c r="D2552" s="1"/>
      <c r="E2552" s="14"/>
      <c r="F2552" s="15"/>
      <c r="G2552" s="16"/>
      <c r="H2552" s="11"/>
      <c r="I2552" s="7"/>
      <c r="J2552" s="7" t="str">
        <f>IFERROR(LET(_xlpm.v,
VLOOKUP($I2552,'用語辞書'!$A:$B,COLUMN('用語辞書'!B$1),FALSE),
IF(_xlpm.v=0,"",_xlpm.v)
),"")</f>
        <v/>
      </c>
      <c r="K2552" s="17"/>
      <c r="L2552" s="17" t="str">
        <f>IF(OR(COUNTIF('クラス'!$A$1:$A$1267,$B2552)&gt;0,$B2552="",$M2552=""),"",True)</f>
        <v/>
      </c>
      <c r="M2552" s="1" t="str">
        <f t="shared" si="30"/>
        <v/>
      </c>
      <c r="N2552" s="1" t="s">
        <v>29</v>
      </c>
      <c r="O2552" s="1"/>
      <c r="P2552" s="11"/>
      <c r="Q2552" s="11"/>
      <c r="R2552" s="11"/>
      <c r="S2552" s="11"/>
      <c r="T2552" s="1"/>
      <c r="U2552" s="1"/>
      <c r="V2552" s="1"/>
      <c r="W2552" s="1"/>
      <c r="X2552" s="1"/>
      <c r="Y2552" s="1"/>
      <c r="Z2552" s="1"/>
    </row>
    <row r="2553" ht="18.0" hidden="1" customHeight="1" outlineLevel="2">
      <c r="A2553" s="1">
        <v>9.0</v>
      </c>
      <c r="B2553" s="26" t="s">
        <v>1793</v>
      </c>
      <c r="C2553" s="1"/>
      <c r="D2553" s="1"/>
      <c r="E2553" s="14"/>
      <c r="F2553" s="15"/>
      <c r="G2553" s="16"/>
      <c r="H2553" s="11"/>
      <c r="I2553" s="7"/>
      <c r="J2553" s="7" t="str">
        <f>IFERROR(LET(_xlpm.v,
VLOOKUP($I2553,'用語辞書'!$A:$B,COLUMN('用語辞書'!B$1),FALSE),
IF(_xlpm.v=0,"",_xlpm.v)
),"")</f>
        <v/>
      </c>
      <c r="K2553" s="17"/>
      <c r="L2553" s="17" t="str">
        <f>IF(OR(COUNTIF('クラス'!$A$1:$A$1267,$B2553)&gt;0,$B2553="",$M2553=""),"",True)</f>
        <v/>
      </c>
      <c r="M2553" s="1" t="str">
        <f t="shared" si="30"/>
        <v/>
      </c>
      <c r="N2553" s="1" t="s">
        <v>29</v>
      </c>
      <c r="O2553" s="1"/>
      <c r="P2553" s="11"/>
      <c r="Q2553" s="11"/>
      <c r="R2553" s="11"/>
      <c r="S2553" s="11"/>
      <c r="T2553" s="1"/>
      <c r="U2553" s="1"/>
      <c r="V2553" s="1"/>
      <c r="W2553" s="1"/>
      <c r="X2553" s="1"/>
      <c r="Y2553" s="1"/>
      <c r="Z2553" s="1"/>
    </row>
    <row r="2554" ht="18.0" hidden="1" customHeight="1" outlineLevel="2">
      <c r="A2554" s="1">
        <v>10.0</v>
      </c>
      <c r="B2554" s="26" t="s">
        <v>2421</v>
      </c>
      <c r="C2554" s="26" t="s">
        <v>29</v>
      </c>
      <c r="D2554" s="26" t="s">
        <v>965</v>
      </c>
      <c r="E2554" s="29" t="s">
        <v>33</v>
      </c>
      <c r="F2554" s="34" t="s">
        <v>29</v>
      </c>
      <c r="G2554" s="30">
        <v>60.0</v>
      </c>
      <c r="H2554" s="22" t="s">
        <v>2422</v>
      </c>
      <c r="I2554" s="7"/>
      <c r="J2554" s="7" t="str">
        <f>IFERROR(LET(_xlpm.v,
VLOOKUP($I2554,'用語辞書'!$A:$B,COLUMN('用語辞書'!B$1),FALSE),
IF(_xlpm.v=0,"",_xlpm.v)
),"")</f>
        <v/>
      </c>
      <c r="K2554" s="17"/>
      <c r="L2554" s="17" t="b">
        <f>IF(OR(COUNTIF('クラス'!$A$1:$A$1267,$B2554)&gt;0,$B2554="",$M2554=""),"",True)</f>
        <v>1</v>
      </c>
      <c r="M2554" s="1" t="str">
        <f t="shared" si="30"/>
        <v>存在しない</v>
      </c>
      <c r="N2554" s="1" t="s">
        <v>29</v>
      </c>
      <c r="O2554" s="1"/>
      <c r="P2554" s="11"/>
      <c r="Q2554" s="11"/>
      <c r="R2554" s="11"/>
      <c r="S2554" s="11"/>
      <c r="T2554" s="1"/>
      <c r="U2554" s="1"/>
      <c r="V2554" s="1"/>
      <c r="W2554" s="1"/>
      <c r="X2554" s="1"/>
      <c r="Y2554" s="1"/>
      <c r="Z2554" s="1"/>
    </row>
    <row r="2555" ht="18.0" customHeight="1" collapsed="1">
      <c r="A2555" s="1"/>
      <c r="B2555" s="1"/>
      <c r="C2555" s="26" t="s">
        <v>2423</v>
      </c>
      <c r="D2555" s="1"/>
      <c r="E2555" s="14"/>
      <c r="F2555" s="15"/>
      <c r="G2555" s="16"/>
      <c r="H2555" s="11"/>
      <c r="I2555" s="7"/>
      <c r="J2555" s="7" t="str">
        <f>IFERROR(LET(_xlpm.v,
VLOOKUP($I2555,'用語辞書'!$A:$B,COLUMN('用語辞書'!B$1),FALSE),
IF(_xlpm.v=0,"",_xlpm.v)
),"")</f>
        <v/>
      </c>
      <c r="K2555" s="17"/>
      <c r="L2555" s="17" t="str">
        <f>IF(OR(COUNTIF('クラス'!$A$1:$A$1267,$B2555)&gt;0,$B2555="",$M2555=""),"",True)</f>
        <v/>
      </c>
      <c r="M2555" s="1" t="str">
        <f t="shared" si="30"/>
        <v>存在しない</v>
      </c>
      <c r="N2555" s="1" t="s">
        <v>29</v>
      </c>
      <c r="O2555" s="1"/>
      <c r="P2555" s="11"/>
      <c r="Q2555" s="11"/>
      <c r="R2555" s="11"/>
      <c r="S2555" s="11"/>
      <c r="T2555" s="1"/>
      <c r="U2555" s="1"/>
      <c r="V2555" s="1"/>
      <c r="W2555" s="1"/>
      <c r="X2555" s="1"/>
      <c r="Y2555" s="1"/>
      <c r="Z2555" s="1"/>
    </row>
    <row r="2556" ht="18.0" customHeight="1">
      <c r="A2556" s="1"/>
      <c r="B2556" s="26" t="s">
        <v>2424</v>
      </c>
      <c r="C2556" s="26" t="s">
        <v>2425</v>
      </c>
      <c r="D2556" s="1"/>
      <c r="E2556" s="14"/>
      <c r="F2556" s="15"/>
      <c r="G2556" s="16"/>
      <c r="H2556" s="11"/>
      <c r="I2556" s="7"/>
      <c r="J2556" s="7" t="str">
        <f>IFERROR(LET(_xlpm.v,
VLOOKUP($I2556,'用語辞書'!$A:$B,COLUMN('用語辞書'!B$1),FALSE),
IF(_xlpm.v=0,"",_xlpm.v)
),"")</f>
        <v/>
      </c>
      <c r="K2556" s="17"/>
      <c r="L2556" s="17" t="str">
        <f>IF(OR(COUNTIF('クラス'!$A$1:$A$1267,$B2556)&gt;0,$B2556="",$M2556=""),"",True)</f>
        <v/>
      </c>
      <c r="M2556" s="1" t="str">
        <f t="shared" si="30"/>
        <v>存在しない</v>
      </c>
      <c r="N2556" s="1" t="s">
        <v>29</v>
      </c>
      <c r="O2556" s="1"/>
      <c r="P2556" s="11"/>
      <c r="Q2556" s="11"/>
      <c r="R2556" s="11"/>
      <c r="S2556" s="11"/>
      <c r="T2556" s="1"/>
      <c r="U2556" s="1"/>
      <c r="V2556" s="1"/>
      <c r="W2556" s="1"/>
      <c r="X2556" s="1"/>
      <c r="Y2556" s="1"/>
      <c r="Z2556" s="1"/>
    </row>
    <row r="2557" ht="18.0" hidden="1" customHeight="1" outlineLevel="1">
      <c r="A2557" s="1">
        <v>1.0</v>
      </c>
      <c r="B2557" s="26" t="s">
        <v>297</v>
      </c>
      <c r="C2557" s="1"/>
      <c r="D2557" s="1"/>
      <c r="E2557" s="14"/>
      <c r="F2557" s="15"/>
      <c r="G2557" s="16"/>
      <c r="H2557" s="11"/>
      <c r="I2557" s="7"/>
      <c r="J2557" s="7" t="str">
        <f>IFERROR(LET(_xlpm.v,
VLOOKUP($I2557,'用語辞書'!$A:$B,COLUMN('用語辞書'!B$1),FALSE),
IF(_xlpm.v=0,"",_xlpm.v)
),"")</f>
        <v/>
      </c>
      <c r="K2557" s="17"/>
      <c r="L2557" s="17" t="str">
        <f>IF(OR(COUNTIF('クラス'!$A$1:$A$1267,$B2557)&gt;0,$B2557="",$M2557=""),"",True)</f>
        <v/>
      </c>
      <c r="M2557" s="1" t="str">
        <f t="shared" si="30"/>
        <v/>
      </c>
      <c r="N2557" s="1" t="s">
        <v>29</v>
      </c>
      <c r="O2557" s="1"/>
      <c r="P2557" s="11"/>
      <c r="Q2557" s="11"/>
      <c r="R2557" s="11"/>
      <c r="S2557" s="11"/>
      <c r="T2557" s="1"/>
      <c r="U2557" s="1"/>
      <c r="V2557" s="1"/>
      <c r="W2557" s="1"/>
      <c r="X2557" s="1"/>
      <c r="Y2557" s="1"/>
      <c r="Z2557" s="1"/>
    </row>
    <row r="2558" ht="18.0" hidden="1" customHeight="1" outlineLevel="1">
      <c r="A2558" s="1">
        <v>2.0</v>
      </c>
      <c r="B2558" s="26" t="s">
        <v>388</v>
      </c>
      <c r="C2558" s="1"/>
      <c r="D2558" s="1"/>
      <c r="E2558" s="14"/>
      <c r="F2558" s="15"/>
      <c r="G2558" s="16"/>
      <c r="H2558" s="11"/>
      <c r="I2558" s="7"/>
      <c r="J2558" s="7" t="str">
        <f>IFERROR(LET(_xlpm.v,
VLOOKUP($I2558,'用語辞書'!$A:$B,COLUMN('用語辞書'!B$1),FALSE),
IF(_xlpm.v=0,"",_xlpm.v)
),"")</f>
        <v/>
      </c>
      <c r="K2558" s="17"/>
      <c r="L2558" s="17" t="str">
        <f>IF(OR(COUNTIF('クラス'!$A$1:$A$1267,$B2558)&gt;0,$B2558="",$M2558=""),"",True)</f>
        <v/>
      </c>
      <c r="M2558" s="1" t="str">
        <f t="shared" si="30"/>
        <v/>
      </c>
      <c r="N2558" s="1" t="s">
        <v>29</v>
      </c>
      <c r="O2558" s="1"/>
      <c r="P2558" s="11"/>
      <c r="Q2558" s="11"/>
      <c r="R2558" s="11"/>
      <c r="S2558" s="11"/>
      <c r="T2558" s="1"/>
      <c r="U2558" s="1"/>
      <c r="V2558" s="1"/>
      <c r="W2558" s="1"/>
      <c r="X2558" s="1"/>
      <c r="Y2558" s="1"/>
      <c r="Z2558" s="1"/>
    </row>
    <row r="2559" ht="18.0" hidden="1" customHeight="1" outlineLevel="1">
      <c r="A2559" s="1">
        <v>3.0</v>
      </c>
      <c r="B2559" s="26" t="s">
        <v>465</v>
      </c>
      <c r="C2559" s="1"/>
      <c r="D2559" s="1"/>
      <c r="E2559" s="14"/>
      <c r="F2559" s="15"/>
      <c r="G2559" s="16"/>
      <c r="H2559" s="11"/>
      <c r="I2559" s="7"/>
      <c r="J2559" s="7" t="str">
        <f>IFERROR(LET(_xlpm.v,
VLOOKUP($I2559,'用語辞書'!$A:$B,COLUMN('用語辞書'!B$1),FALSE),
IF(_xlpm.v=0,"",_xlpm.v)
),"")</f>
        <v/>
      </c>
      <c r="K2559" s="17"/>
      <c r="L2559" s="17" t="str">
        <f>IF(OR(COUNTIF('クラス'!$A$1:$A$1267,$B2559)&gt;0,$B2559="",$M2559=""),"",True)</f>
        <v/>
      </c>
      <c r="M2559" s="1" t="str">
        <f t="shared" si="30"/>
        <v/>
      </c>
      <c r="N2559" s="1" t="s">
        <v>29</v>
      </c>
      <c r="O2559" s="1"/>
      <c r="P2559" s="11"/>
      <c r="Q2559" s="11"/>
      <c r="R2559" s="11"/>
      <c r="S2559" s="11"/>
      <c r="T2559" s="1"/>
      <c r="U2559" s="1"/>
      <c r="V2559" s="1"/>
      <c r="W2559" s="1"/>
      <c r="X2559" s="1"/>
      <c r="Y2559" s="1"/>
      <c r="Z2559" s="1"/>
    </row>
    <row r="2560" ht="18.0" hidden="1" customHeight="1" outlineLevel="1">
      <c r="A2560" s="1">
        <v>4.0</v>
      </c>
      <c r="B2560" s="26" t="s">
        <v>526</v>
      </c>
      <c r="C2560" s="1"/>
      <c r="D2560" s="1"/>
      <c r="E2560" s="14"/>
      <c r="F2560" s="15"/>
      <c r="G2560" s="16"/>
      <c r="H2560" s="11"/>
      <c r="I2560" s="7"/>
      <c r="J2560" s="7" t="str">
        <f>IFERROR(LET(_xlpm.v,
VLOOKUP($I2560,'用語辞書'!$A:$B,COLUMN('用語辞書'!B$1),FALSE),
IF(_xlpm.v=0,"",_xlpm.v)
),"")</f>
        <v/>
      </c>
      <c r="K2560" s="17"/>
      <c r="L2560" s="17" t="str">
        <f>IF(OR(COUNTIF('クラス'!$A$1:$A$1267,$B2560)&gt;0,$B2560="",$M2560=""),"",True)</f>
        <v/>
      </c>
      <c r="M2560" s="1" t="str">
        <f t="shared" si="30"/>
        <v/>
      </c>
      <c r="N2560" s="1" t="s">
        <v>29</v>
      </c>
      <c r="O2560" s="1"/>
      <c r="P2560" s="11"/>
      <c r="Q2560" s="11"/>
      <c r="R2560" s="11"/>
      <c r="S2560" s="11"/>
      <c r="T2560" s="1"/>
      <c r="U2560" s="1"/>
      <c r="V2560" s="1"/>
      <c r="W2560" s="1"/>
      <c r="X2560" s="1"/>
      <c r="Y2560" s="1"/>
      <c r="Z2560" s="1"/>
    </row>
    <row r="2561" ht="18.0" hidden="1" customHeight="1" outlineLevel="1">
      <c r="A2561" s="1">
        <v>5.0</v>
      </c>
      <c r="B2561" s="26" t="s">
        <v>902</v>
      </c>
      <c r="C2561" s="1"/>
      <c r="D2561" s="1"/>
      <c r="E2561" s="14"/>
      <c r="F2561" s="15"/>
      <c r="G2561" s="16"/>
      <c r="H2561" s="11"/>
      <c r="I2561" s="7"/>
      <c r="J2561" s="7" t="str">
        <f>IFERROR(LET(_xlpm.v,
VLOOKUP($I2561,'用語辞書'!$A:$B,COLUMN('用語辞書'!B$1),FALSE),
IF(_xlpm.v=0,"",_xlpm.v)
),"")</f>
        <v/>
      </c>
      <c r="K2561" s="17"/>
      <c r="L2561" s="17" t="str">
        <f>IF(OR(COUNTIF('クラス'!$A$1:$A$1267,$B2561)&gt;0,$B2561="",$M2561=""),"",True)</f>
        <v/>
      </c>
      <c r="M2561" s="1" t="str">
        <f t="shared" si="30"/>
        <v/>
      </c>
      <c r="N2561" s="1" t="s">
        <v>29</v>
      </c>
      <c r="O2561" s="1"/>
      <c r="P2561" s="11"/>
      <c r="Q2561" s="11"/>
      <c r="R2561" s="11"/>
      <c r="S2561" s="11"/>
      <c r="T2561" s="1"/>
      <c r="U2561" s="1"/>
      <c r="V2561" s="1"/>
      <c r="W2561" s="1"/>
      <c r="X2561" s="1"/>
      <c r="Y2561" s="1"/>
      <c r="Z2561" s="1"/>
    </row>
    <row r="2562" ht="18.0" hidden="1" customHeight="1" outlineLevel="1">
      <c r="A2562" s="1">
        <v>6.0</v>
      </c>
      <c r="B2562" s="1"/>
      <c r="C2562" s="1"/>
      <c r="D2562" s="1"/>
      <c r="E2562" s="14"/>
      <c r="F2562" s="15"/>
      <c r="G2562" s="16"/>
      <c r="H2562" s="11"/>
      <c r="I2562" s="7"/>
      <c r="J2562" s="7" t="str">
        <f>IFERROR(LET(_xlpm.v,
VLOOKUP($I2562,'用語辞書'!$A:$B,COLUMN('用語辞書'!B$1),FALSE),
IF(_xlpm.v=0,"",_xlpm.v)
),"")</f>
        <v/>
      </c>
      <c r="K2562" s="17"/>
      <c r="L2562" s="17" t="str">
        <f>IF(OR(COUNTIF('クラス'!$A$1:$A$1267,$B2562)&gt;0,$B2562="",$M2562=""),"",True)</f>
        <v/>
      </c>
      <c r="M2562" s="1" t="str">
        <f t="shared" si="30"/>
        <v>存在しない</v>
      </c>
      <c r="N2562" s="1" t="s">
        <v>29</v>
      </c>
      <c r="O2562" s="1"/>
      <c r="P2562" s="11"/>
      <c r="Q2562" s="11"/>
      <c r="R2562" s="11"/>
      <c r="S2562" s="11"/>
      <c r="T2562" s="1"/>
      <c r="U2562" s="1"/>
      <c r="V2562" s="1"/>
      <c r="W2562" s="1"/>
      <c r="X2562" s="1"/>
      <c r="Y2562" s="1"/>
      <c r="Z2562" s="1"/>
    </row>
    <row r="2563" ht="18.0" hidden="1" customHeight="1" outlineLevel="1">
      <c r="A2563" s="1">
        <v>7.0</v>
      </c>
      <c r="B2563" s="26" t="s">
        <v>978</v>
      </c>
      <c r="C2563" s="1"/>
      <c r="D2563" s="1"/>
      <c r="E2563" s="14"/>
      <c r="F2563" s="15"/>
      <c r="G2563" s="16"/>
      <c r="H2563" s="11"/>
      <c r="I2563" s="7"/>
      <c r="J2563" s="7" t="str">
        <f>IFERROR(LET(_xlpm.v,
VLOOKUP($I2563,'用語辞書'!$A:$B,COLUMN('用語辞書'!B$1),FALSE),
IF(_xlpm.v=0,"",_xlpm.v)
),"")</f>
        <v/>
      </c>
      <c r="K2563" s="17"/>
      <c r="L2563" s="17" t="str">
        <f>IF(OR(COUNTIF('クラス'!$A$1:$A$1267,$B2563)&gt;0,$B2563="",$M2563=""),"",True)</f>
        <v/>
      </c>
      <c r="M2563" s="1" t="str">
        <f t="shared" si="30"/>
        <v/>
      </c>
      <c r="N2563" s="1" t="s">
        <v>29</v>
      </c>
      <c r="O2563" s="1"/>
      <c r="P2563" s="11"/>
      <c r="Q2563" s="11"/>
      <c r="R2563" s="11"/>
      <c r="S2563" s="11"/>
      <c r="T2563" s="1"/>
      <c r="U2563" s="1"/>
      <c r="V2563" s="1"/>
      <c r="W2563" s="1"/>
      <c r="X2563" s="1"/>
      <c r="Y2563" s="1"/>
      <c r="Z2563" s="1"/>
    </row>
    <row r="2564" ht="18.0" hidden="1" customHeight="1" outlineLevel="1">
      <c r="A2564" s="1">
        <v>8.0</v>
      </c>
      <c r="B2564" s="1"/>
      <c r="C2564" s="1"/>
      <c r="D2564" s="1"/>
      <c r="E2564" s="14"/>
      <c r="F2564" s="15"/>
      <c r="G2564" s="16"/>
      <c r="H2564" s="11"/>
      <c r="I2564" s="7"/>
      <c r="J2564" s="7" t="str">
        <f>IFERROR(LET(_xlpm.v,
VLOOKUP($I2564,'用語辞書'!$A:$B,COLUMN('用語辞書'!B$1),FALSE),
IF(_xlpm.v=0,"",_xlpm.v)
),"")</f>
        <v/>
      </c>
      <c r="K2564" s="17"/>
      <c r="L2564" s="17" t="str">
        <f>IF(OR(COUNTIF('クラス'!$A$1:$A$1267,$B2564)&gt;0,$B2564="",$M2564=""),"",True)</f>
        <v/>
      </c>
      <c r="M2564" s="1" t="str">
        <f t="shared" si="30"/>
        <v>存在しない</v>
      </c>
      <c r="N2564" s="1" t="s">
        <v>29</v>
      </c>
      <c r="O2564" s="1"/>
      <c r="P2564" s="11"/>
      <c r="Q2564" s="11"/>
      <c r="R2564" s="11"/>
      <c r="S2564" s="11"/>
      <c r="T2564" s="1"/>
      <c r="U2564" s="1"/>
      <c r="V2564" s="1"/>
      <c r="W2564" s="1"/>
      <c r="X2564" s="1"/>
      <c r="Y2564" s="1"/>
      <c r="Z2564" s="1"/>
    </row>
    <row r="2565" ht="18.0" hidden="1" customHeight="1" outlineLevel="1">
      <c r="A2565" s="1">
        <v>9.0</v>
      </c>
      <c r="B2565" s="26" t="s">
        <v>788</v>
      </c>
      <c r="C2565" s="1"/>
      <c r="D2565" s="1"/>
      <c r="E2565" s="14"/>
      <c r="F2565" s="15"/>
      <c r="G2565" s="16"/>
      <c r="H2565" s="11"/>
      <c r="I2565" s="7"/>
      <c r="J2565" s="7" t="str">
        <f>IFERROR(LET(_xlpm.v,
VLOOKUP($I2565,'用語辞書'!$A:$B,COLUMN('用語辞書'!B$1),FALSE),
IF(_xlpm.v=0,"",_xlpm.v)
),"")</f>
        <v/>
      </c>
      <c r="K2565" s="17"/>
      <c r="L2565" s="17" t="str">
        <f>IF(OR(COUNTIF('クラス'!$A$1:$A$1267,$B2565)&gt;0,$B2565="",$M2565=""),"",True)</f>
        <v/>
      </c>
      <c r="M2565" s="1" t="str">
        <f t="shared" si="30"/>
        <v/>
      </c>
      <c r="N2565" s="1" t="s">
        <v>29</v>
      </c>
      <c r="O2565" s="1"/>
      <c r="P2565" s="11"/>
      <c r="Q2565" s="11"/>
      <c r="R2565" s="11"/>
      <c r="S2565" s="11"/>
      <c r="T2565" s="1"/>
      <c r="U2565" s="1"/>
      <c r="V2565" s="1"/>
      <c r="W2565" s="1"/>
      <c r="X2565" s="1"/>
      <c r="Y2565" s="1"/>
      <c r="Z2565" s="1"/>
    </row>
    <row r="2566" ht="18.0" hidden="1" customHeight="1" outlineLevel="1">
      <c r="A2566" s="1">
        <v>10.0</v>
      </c>
      <c r="B2566" s="1"/>
      <c r="C2566" s="1"/>
      <c r="D2566" s="1"/>
      <c r="E2566" s="14"/>
      <c r="F2566" s="15"/>
      <c r="G2566" s="16"/>
      <c r="H2566" s="11"/>
      <c r="I2566" s="7"/>
      <c r="J2566" s="7" t="str">
        <f>IFERROR(LET(_xlpm.v,
VLOOKUP($I2566,'用語辞書'!$A:$B,COLUMN('用語辞書'!B$1),FALSE),
IF(_xlpm.v=0,"",_xlpm.v)
),"")</f>
        <v/>
      </c>
      <c r="K2566" s="17"/>
      <c r="L2566" s="17" t="str">
        <f>IF(OR(COUNTIF('クラス'!$A$1:$A$1267,$B2566)&gt;0,$B2566="",$M2566=""),"",True)</f>
        <v/>
      </c>
      <c r="M2566" s="1" t="str">
        <f t="shared" si="30"/>
        <v>存在しない</v>
      </c>
      <c r="N2566" s="1" t="s">
        <v>29</v>
      </c>
      <c r="O2566" s="1"/>
      <c r="P2566" s="11"/>
      <c r="Q2566" s="11"/>
      <c r="R2566" s="11"/>
      <c r="S2566" s="11"/>
      <c r="T2566" s="1"/>
      <c r="U2566" s="1"/>
      <c r="V2566" s="1"/>
      <c r="W2566" s="1"/>
      <c r="X2566" s="1"/>
      <c r="Y2566" s="1"/>
      <c r="Z2566" s="1"/>
    </row>
    <row r="2567" ht="18.0" customHeight="1" collapsed="1">
      <c r="A2567" s="1"/>
      <c r="B2567" s="1"/>
      <c r="C2567" s="1"/>
      <c r="D2567" s="1"/>
      <c r="E2567" s="14"/>
      <c r="F2567" s="15"/>
      <c r="G2567" s="16"/>
      <c r="H2567" s="11"/>
      <c r="I2567" s="7"/>
      <c r="J2567" s="7" t="str">
        <f>IFERROR(LET(_xlpm.v,
VLOOKUP($I2567,'用語辞書'!$A:$B,COLUMN('用語辞書'!B$1),FALSE),
IF(_xlpm.v=0,"",_xlpm.v)
),"")</f>
        <v/>
      </c>
      <c r="K2567" s="17"/>
      <c r="L2567" s="17" t="str">
        <f>IF(OR(COUNTIF('クラス'!$A$1:$A$1267,$B2567)&gt;0,$B2567="",$M2567=""),"",True)</f>
        <v/>
      </c>
      <c r="M2567" s="1" t="str">
        <f t="shared" si="30"/>
        <v>存在しない</v>
      </c>
      <c r="N2567" s="1" t="s">
        <v>29</v>
      </c>
      <c r="O2567" s="1"/>
      <c r="P2567" s="11"/>
      <c r="Q2567" s="11"/>
      <c r="R2567" s="11"/>
      <c r="S2567" s="11"/>
      <c r="T2567" s="1"/>
      <c r="U2567" s="1"/>
      <c r="V2567" s="1"/>
      <c r="W2567" s="1"/>
      <c r="X2567" s="1"/>
      <c r="Y2567" s="1"/>
      <c r="Z2567" s="1"/>
    </row>
    <row r="2568" ht="18.0" customHeight="1">
      <c r="A2568" s="1"/>
      <c r="B2568" s="26" t="s">
        <v>2426</v>
      </c>
      <c r="C2568" s="1"/>
      <c r="D2568" s="1"/>
      <c r="E2568" s="14"/>
      <c r="F2568" s="15"/>
      <c r="G2568" s="16"/>
      <c r="H2568" s="11"/>
      <c r="I2568" s="7"/>
      <c r="J2568" s="7" t="str">
        <f>IFERROR(LET(_xlpm.v,
VLOOKUP($I2568,'用語辞書'!$A:$B,COLUMN('用語辞書'!B$1),FALSE),
IF(_xlpm.v=0,"",_xlpm.v)
),"")</f>
        <v/>
      </c>
      <c r="K2568" s="17"/>
      <c r="L2568" s="17" t="str">
        <f>IF(OR(COUNTIF('クラス'!$A$1:$A$1267,$B2568)&gt;0,$B2568="",$M2568=""),"",True)</f>
        <v/>
      </c>
      <c r="M2568" s="1" t="str">
        <f t="shared" si="30"/>
        <v>存在しない</v>
      </c>
      <c r="N2568" s="1" t="s">
        <v>29</v>
      </c>
      <c r="O2568" s="1"/>
      <c r="P2568" s="11"/>
      <c r="Q2568" s="11"/>
      <c r="R2568" s="11"/>
      <c r="S2568" s="11"/>
      <c r="T2568" s="1"/>
      <c r="U2568" s="1"/>
      <c r="V2568" s="1"/>
      <c r="W2568" s="1"/>
      <c r="X2568" s="1"/>
      <c r="Y2568" s="1"/>
      <c r="Z2568" s="1"/>
    </row>
    <row r="2569" ht="18.0" hidden="1" customHeight="1" outlineLevel="1">
      <c r="A2569" s="26">
        <v>1.0</v>
      </c>
      <c r="B2569" s="26" t="s">
        <v>310</v>
      </c>
      <c r="C2569" s="1"/>
      <c r="D2569" s="1"/>
      <c r="E2569" s="14"/>
      <c r="F2569" s="15"/>
      <c r="G2569" s="16"/>
      <c r="H2569" s="11"/>
      <c r="I2569" s="7"/>
      <c r="J2569" s="7" t="str">
        <f>IFERROR(LET(_xlpm.v,
VLOOKUP($I2569,'用語辞書'!$A:$B,COLUMN('用語辞書'!B$1),FALSE),
IF(_xlpm.v=0,"",_xlpm.v)
),"")</f>
        <v/>
      </c>
      <c r="K2569" s="17"/>
      <c r="L2569" s="17" t="str">
        <f>IF(OR(COUNTIF('クラス'!$A$1:$A$1267,$B2569)&gt;0,$B2569="",$M2569=""),"",True)</f>
        <v/>
      </c>
      <c r="M2569" s="1" t="str">
        <f t="shared" si="30"/>
        <v/>
      </c>
      <c r="N2569" s="1" t="s">
        <v>29</v>
      </c>
      <c r="O2569" s="1"/>
      <c r="P2569" s="11"/>
      <c r="Q2569" s="11"/>
      <c r="R2569" s="11"/>
      <c r="S2569" s="11"/>
      <c r="T2569" s="1"/>
      <c r="U2569" s="1"/>
      <c r="V2569" s="1"/>
      <c r="W2569" s="1"/>
      <c r="X2569" s="1"/>
      <c r="Y2569" s="1"/>
      <c r="Z2569" s="1"/>
    </row>
    <row r="2570" ht="18.0" hidden="1" customHeight="1" outlineLevel="1">
      <c r="A2570" s="26">
        <v>2.0</v>
      </c>
      <c r="B2570" s="26" t="s">
        <v>401</v>
      </c>
      <c r="C2570" s="1"/>
      <c r="D2570" s="1"/>
      <c r="E2570" s="14"/>
      <c r="F2570" s="15"/>
      <c r="G2570" s="16"/>
      <c r="H2570" s="11"/>
      <c r="I2570" s="7"/>
      <c r="J2570" s="7" t="str">
        <f>IFERROR(LET(_xlpm.v,
VLOOKUP($I2570,'用語辞書'!$A:$B,COLUMN('用語辞書'!B$1),FALSE),
IF(_xlpm.v=0,"",_xlpm.v)
),"")</f>
        <v/>
      </c>
      <c r="K2570" s="17"/>
      <c r="L2570" s="17" t="str">
        <f>IF(OR(COUNTIF('クラス'!$A$1:$A$1267,$B2570)&gt;0,$B2570="",$M2570=""),"",True)</f>
        <v/>
      </c>
      <c r="M2570" s="1" t="str">
        <f t="shared" si="30"/>
        <v/>
      </c>
      <c r="N2570" s="1" t="s">
        <v>29</v>
      </c>
      <c r="O2570" s="1"/>
      <c r="P2570" s="11"/>
      <c r="Q2570" s="11"/>
      <c r="R2570" s="11"/>
      <c r="S2570" s="11"/>
      <c r="T2570" s="1"/>
      <c r="U2570" s="1"/>
      <c r="V2570" s="1"/>
      <c r="W2570" s="1"/>
      <c r="X2570" s="1"/>
      <c r="Y2570" s="1"/>
      <c r="Z2570" s="1"/>
    </row>
    <row r="2571" ht="18.0" hidden="1" customHeight="1" outlineLevel="1">
      <c r="A2571" s="26">
        <v>3.0</v>
      </c>
      <c r="B2571" s="26" t="s">
        <v>537</v>
      </c>
      <c r="C2571" s="1"/>
      <c r="D2571" s="1"/>
      <c r="E2571" s="14"/>
      <c r="F2571" s="15"/>
      <c r="G2571" s="16"/>
      <c r="H2571" s="11"/>
      <c r="I2571" s="7"/>
      <c r="J2571" s="7" t="str">
        <f>IFERROR(LET(_xlpm.v,
VLOOKUP($I2571,'用語辞書'!$A:$B,COLUMN('用語辞書'!B$1),FALSE),
IF(_xlpm.v=0,"",_xlpm.v)
),"")</f>
        <v/>
      </c>
      <c r="K2571" s="17"/>
      <c r="L2571" s="17" t="str">
        <f>IF(OR(COUNTIF('クラス'!$A$1:$A$1267,$B2571)&gt;0,$B2571="",$M2571=""),"",True)</f>
        <v/>
      </c>
      <c r="M2571" s="1" t="str">
        <f t="shared" si="30"/>
        <v/>
      </c>
      <c r="N2571" s="1" t="s">
        <v>29</v>
      </c>
      <c r="O2571" s="1"/>
      <c r="P2571" s="11"/>
      <c r="Q2571" s="11"/>
      <c r="R2571" s="11"/>
      <c r="S2571" s="11"/>
      <c r="T2571" s="1"/>
      <c r="U2571" s="1"/>
      <c r="V2571" s="1"/>
      <c r="W2571" s="1"/>
      <c r="X2571" s="1"/>
      <c r="Y2571" s="1"/>
      <c r="Z2571" s="1"/>
    </row>
    <row r="2572" ht="18.0" hidden="1" customHeight="1" outlineLevel="1">
      <c r="A2572" s="26">
        <v>4.0</v>
      </c>
      <c r="B2572" s="1"/>
      <c r="C2572" s="1"/>
      <c r="D2572" s="1"/>
      <c r="E2572" s="14"/>
      <c r="F2572" s="15"/>
      <c r="G2572" s="16"/>
      <c r="H2572" s="11"/>
      <c r="I2572" s="7"/>
      <c r="J2572" s="7" t="str">
        <f>IFERROR(LET(_xlpm.v,
VLOOKUP($I2572,'用語辞書'!$A:$B,COLUMN('用語辞書'!B$1),FALSE),
IF(_xlpm.v=0,"",_xlpm.v)
),"")</f>
        <v/>
      </c>
      <c r="K2572" s="17"/>
      <c r="L2572" s="17" t="str">
        <f>IF(OR(COUNTIF('クラス'!$A$1:$A$1267,$B2572)&gt;0,$B2572="",$M2572=""),"",True)</f>
        <v/>
      </c>
      <c r="M2572" s="1" t="str">
        <f t="shared" si="30"/>
        <v>存在しない</v>
      </c>
      <c r="N2572" s="1" t="s">
        <v>29</v>
      </c>
      <c r="O2572" s="1"/>
      <c r="P2572" s="11"/>
      <c r="Q2572" s="11"/>
      <c r="R2572" s="11"/>
      <c r="S2572" s="11"/>
      <c r="T2572" s="1"/>
      <c r="U2572" s="1"/>
      <c r="V2572" s="1"/>
      <c r="W2572" s="1"/>
      <c r="X2572" s="1"/>
      <c r="Y2572" s="1"/>
      <c r="Z2572" s="1"/>
    </row>
    <row r="2573" ht="18.0" hidden="1" customHeight="1" outlineLevel="1">
      <c r="A2573" s="26">
        <v>5.0</v>
      </c>
      <c r="B2573" s="26" t="s">
        <v>655</v>
      </c>
      <c r="C2573" s="1"/>
      <c r="D2573" s="1"/>
      <c r="E2573" s="14"/>
      <c r="F2573" s="15"/>
      <c r="G2573" s="16"/>
      <c r="H2573" s="11"/>
      <c r="I2573" s="7"/>
      <c r="J2573" s="7" t="str">
        <f>IFERROR(LET(_xlpm.v,
VLOOKUP($I2573,'用語辞書'!$A:$B,COLUMN('用語辞書'!B$1),FALSE),
IF(_xlpm.v=0,"",_xlpm.v)
),"")</f>
        <v/>
      </c>
      <c r="K2573" s="17"/>
      <c r="L2573" s="17" t="str">
        <f>IF(OR(COUNTIF('クラス'!$A$1:$A$1267,$B2573)&gt;0,$B2573="",$M2573=""),"",True)</f>
        <v/>
      </c>
      <c r="M2573" s="1" t="str">
        <f t="shared" si="30"/>
        <v/>
      </c>
      <c r="N2573" s="1" t="s">
        <v>29</v>
      </c>
      <c r="O2573" s="1"/>
      <c r="P2573" s="11"/>
      <c r="Q2573" s="11"/>
      <c r="R2573" s="11"/>
      <c r="S2573" s="11"/>
      <c r="T2573" s="1"/>
      <c r="U2573" s="1"/>
      <c r="V2573" s="1"/>
      <c r="W2573" s="1"/>
      <c r="X2573" s="1"/>
      <c r="Y2573" s="1"/>
      <c r="Z2573" s="1"/>
    </row>
    <row r="2574" ht="18.0" hidden="1" customHeight="1" outlineLevel="1">
      <c r="A2574" s="26">
        <v>6.0</v>
      </c>
      <c r="B2574" s="1"/>
      <c r="C2574" s="1"/>
      <c r="D2574" s="1"/>
      <c r="E2574" s="14"/>
      <c r="F2574" s="15"/>
      <c r="G2574" s="16"/>
      <c r="H2574" s="11"/>
      <c r="I2574" s="7"/>
      <c r="J2574" s="7" t="str">
        <f>IFERROR(LET(_xlpm.v,
VLOOKUP($I2574,'用語辞書'!$A:$B,COLUMN('用語辞書'!B$1),FALSE),
IF(_xlpm.v=0,"",_xlpm.v)
),"")</f>
        <v/>
      </c>
      <c r="K2574" s="17"/>
      <c r="L2574" s="17" t="str">
        <f>IF(OR(COUNTIF('クラス'!$A$1:$A$1267,$B2574)&gt;0,$B2574="",$M2574=""),"",True)</f>
        <v/>
      </c>
      <c r="M2574" s="1" t="str">
        <f t="shared" si="30"/>
        <v>存在しない</v>
      </c>
      <c r="N2574" s="1" t="s">
        <v>29</v>
      </c>
      <c r="O2574" s="1"/>
      <c r="P2574" s="11"/>
      <c r="Q2574" s="11"/>
      <c r="R2574" s="11"/>
      <c r="S2574" s="11"/>
      <c r="T2574" s="1"/>
      <c r="U2574" s="1"/>
      <c r="V2574" s="1"/>
      <c r="W2574" s="1"/>
      <c r="X2574" s="1"/>
      <c r="Y2574" s="1"/>
      <c r="Z2574" s="1"/>
    </row>
    <row r="2575" ht="18.0" hidden="1" customHeight="1" outlineLevel="1">
      <c r="A2575" s="26">
        <v>7.0</v>
      </c>
      <c r="B2575" s="26" t="s">
        <v>918</v>
      </c>
      <c r="C2575" s="1"/>
      <c r="D2575" s="1"/>
      <c r="E2575" s="14"/>
      <c r="F2575" s="15"/>
      <c r="G2575" s="16"/>
      <c r="H2575" s="11"/>
      <c r="I2575" s="7"/>
      <c r="J2575" s="7" t="str">
        <f>IFERROR(LET(_xlpm.v,
VLOOKUP($I2575,'用語辞書'!$A:$B,COLUMN('用語辞書'!B$1),FALSE),
IF(_xlpm.v=0,"",_xlpm.v)
),"")</f>
        <v/>
      </c>
      <c r="K2575" s="17"/>
      <c r="L2575" s="17" t="str">
        <f>IF(OR(COUNTIF('クラス'!$A$1:$A$1267,$B2575)&gt;0,$B2575="",$M2575=""),"",True)</f>
        <v/>
      </c>
      <c r="M2575" s="1" t="str">
        <f t="shared" si="30"/>
        <v/>
      </c>
      <c r="N2575" s="1" t="s">
        <v>29</v>
      </c>
      <c r="O2575" s="1"/>
      <c r="P2575" s="11"/>
      <c r="Q2575" s="11"/>
      <c r="R2575" s="11"/>
      <c r="S2575" s="11"/>
      <c r="T2575" s="1"/>
      <c r="U2575" s="1"/>
      <c r="V2575" s="1"/>
      <c r="W2575" s="1"/>
      <c r="X2575" s="1"/>
      <c r="Y2575" s="1"/>
      <c r="Z2575" s="1"/>
    </row>
    <row r="2576" ht="18.0" hidden="1" customHeight="1" outlineLevel="1">
      <c r="A2576" s="26">
        <v>8.0</v>
      </c>
      <c r="B2576" s="1"/>
      <c r="C2576" s="1"/>
      <c r="D2576" s="1"/>
      <c r="E2576" s="14"/>
      <c r="F2576" s="15"/>
      <c r="G2576" s="16"/>
      <c r="H2576" s="11"/>
      <c r="I2576" s="7"/>
      <c r="J2576" s="7" t="str">
        <f>IFERROR(LET(_xlpm.v,
VLOOKUP($I2576,'用語辞書'!$A:$B,COLUMN('用語辞書'!B$1),FALSE),
IF(_xlpm.v=0,"",_xlpm.v)
),"")</f>
        <v/>
      </c>
      <c r="K2576" s="17"/>
      <c r="L2576" s="17" t="str">
        <f>IF(OR(COUNTIF('クラス'!$A$1:$A$1267,$B2576)&gt;0,$B2576="",$M2576=""),"",True)</f>
        <v/>
      </c>
      <c r="M2576" s="1" t="str">
        <f t="shared" si="30"/>
        <v>存在しない</v>
      </c>
      <c r="N2576" s="1" t="s">
        <v>29</v>
      </c>
      <c r="O2576" s="1"/>
      <c r="P2576" s="11"/>
      <c r="Q2576" s="11"/>
      <c r="R2576" s="11"/>
      <c r="S2576" s="11"/>
      <c r="T2576" s="1"/>
      <c r="U2576" s="1"/>
      <c r="V2576" s="1"/>
      <c r="W2576" s="1"/>
      <c r="X2576" s="1"/>
      <c r="Y2576" s="1"/>
      <c r="Z2576" s="1"/>
    </row>
    <row r="2577" ht="18.0" hidden="1" customHeight="1" outlineLevel="1">
      <c r="A2577" s="26">
        <v>9.0</v>
      </c>
      <c r="B2577" s="26" t="s">
        <v>994</v>
      </c>
      <c r="C2577" s="1"/>
      <c r="D2577" s="1"/>
      <c r="E2577" s="14"/>
      <c r="F2577" s="15"/>
      <c r="G2577" s="16"/>
      <c r="H2577" s="11"/>
      <c r="I2577" s="7"/>
      <c r="J2577" s="7" t="str">
        <f>IFERROR(LET(_xlpm.v,
VLOOKUP($I2577,'用語辞書'!$A:$B,COLUMN('用語辞書'!B$1),FALSE),
IF(_xlpm.v=0,"",_xlpm.v)
),"")</f>
        <v/>
      </c>
      <c r="K2577" s="17"/>
      <c r="L2577" s="17" t="str">
        <f>IF(OR(COUNTIF('クラス'!$A$1:$A$1267,$B2577)&gt;0,$B2577="",$M2577=""),"",True)</f>
        <v/>
      </c>
      <c r="M2577" s="1" t="str">
        <f t="shared" si="30"/>
        <v/>
      </c>
      <c r="N2577" s="1" t="s">
        <v>29</v>
      </c>
      <c r="O2577" s="1"/>
      <c r="P2577" s="11"/>
      <c r="Q2577" s="11"/>
      <c r="R2577" s="11"/>
      <c r="S2577" s="11"/>
      <c r="T2577" s="1"/>
      <c r="U2577" s="1"/>
      <c r="V2577" s="1"/>
      <c r="W2577" s="1"/>
      <c r="X2577" s="1"/>
      <c r="Y2577" s="1"/>
      <c r="Z2577" s="1"/>
    </row>
    <row r="2578" ht="18.0" hidden="1" customHeight="1" outlineLevel="1">
      <c r="A2578" s="26">
        <v>10.0</v>
      </c>
      <c r="B2578" s="26" t="s">
        <v>157</v>
      </c>
      <c r="C2578" s="1"/>
      <c r="D2578" s="1"/>
      <c r="E2578" s="14"/>
      <c r="F2578" s="15"/>
      <c r="G2578" s="16"/>
      <c r="H2578" s="11"/>
      <c r="I2578" s="7"/>
      <c r="J2578" s="7" t="str">
        <f>IFERROR(LET(_xlpm.v,
VLOOKUP($I2578,'用語辞書'!$A:$B,COLUMN('用語辞書'!B$1),FALSE),
IF(_xlpm.v=0,"",_xlpm.v)
),"")</f>
        <v/>
      </c>
      <c r="K2578" s="17"/>
      <c r="L2578" s="17" t="str">
        <f>IF(OR(COUNTIF('クラス'!$A$1:$A$1267,$B2578)&gt;0,$B2578="",$M2578=""),"",True)</f>
        <v/>
      </c>
      <c r="M2578" s="1" t="str">
        <f t="shared" si="30"/>
        <v/>
      </c>
      <c r="N2578" s="1" t="s">
        <v>29</v>
      </c>
      <c r="O2578" s="1"/>
      <c r="P2578" s="11"/>
      <c r="Q2578" s="11"/>
      <c r="R2578" s="11"/>
      <c r="S2578" s="11"/>
      <c r="T2578" s="1"/>
      <c r="U2578" s="1"/>
      <c r="V2578" s="1"/>
      <c r="W2578" s="1"/>
      <c r="X2578" s="1"/>
      <c r="Y2578" s="1"/>
      <c r="Z2578" s="1"/>
    </row>
    <row r="2579" ht="18.0" customHeight="1" collapsed="1">
      <c r="A2579" s="1"/>
      <c r="B2579" s="1"/>
      <c r="C2579" s="1"/>
      <c r="D2579" s="1"/>
      <c r="E2579" s="14"/>
      <c r="F2579" s="15"/>
      <c r="G2579" s="16"/>
      <c r="H2579" s="11"/>
      <c r="I2579" s="7"/>
      <c r="J2579" s="7" t="str">
        <f>IFERROR(LET(_xlpm.v,
VLOOKUP($I2579,'用語辞書'!$A:$B,COLUMN('用語辞書'!B$1),FALSE),
IF(_xlpm.v=0,"",_xlpm.v)
),"")</f>
        <v/>
      </c>
      <c r="K2579" s="17"/>
      <c r="L2579" s="17" t="str">
        <f>IF(OR(COUNTIF('クラス'!$A$1:$A$1267,$B2579)&gt;0,$B2579="",$M2579=""),"",True)</f>
        <v/>
      </c>
      <c r="M2579" s="1" t="str">
        <f t="shared" si="30"/>
        <v>存在しない</v>
      </c>
      <c r="N2579" s="1" t="s">
        <v>29</v>
      </c>
      <c r="O2579" s="1"/>
      <c r="P2579" s="11"/>
      <c r="Q2579" s="11"/>
      <c r="R2579" s="11"/>
      <c r="S2579" s="11"/>
      <c r="T2579" s="1"/>
      <c r="U2579" s="1"/>
      <c r="V2579" s="1"/>
      <c r="W2579" s="1"/>
      <c r="X2579" s="1"/>
      <c r="Y2579" s="1"/>
      <c r="Z2579" s="1"/>
    </row>
    <row r="2580" ht="18.0" customHeight="1">
      <c r="A2580" s="1"/>
      <c r="B2580" s="26" t="s">
        <v>2427</v>
      </c>
      <c r="C2580" s="1"/>
      <c r="D2580" s="1"/>
      <c r="E2580" s="14"/>
      <c r="F2580" s="15"/>
      <c r="G2580" s="16"/>
      <c r="H2580" s="11"/>
      <c r="I2580" s="7"/>
      <c r="J2580" s="7" t="str">
        <f>IFERROR(LET(_xlpm.v,
VLOOKUP($I2580,'用語辞書'!$A:$B,COLUMN('用語辞書'!B$1),FALSE),
IF(_xlpm.v=0,"",_xlpm.v)
),"")</f>
        <v/>
      </c>
      <c r="K2580" s="17"/>
      <c r="L2580" s="17" t="str">
        <f>IF(OR(COUNTIF('クラス'!$A$1:$A$1267,$B2580)&gt;0,$B2580="",$M2580=""),"",True)</f>
        <v/>
      </c>
      <c r="M2580" s="1" t="str">
        <f t="shared" si="30"/>
        <v>存在しない</v>
      </c>
      <c r="N2580" s="1" t="s">
        <v>29</v>
      </c>
      <c r="O2580" s="1"/>
      <c r="P2580" s="11"/>
      <c r="Q2580" s="11"/>
      <c r="R2580" s="11"/>
      <c r="S2580" s="11"/>
      <c r="T2580" s="1"/>
      <c r="U2580" s="1"/>
      <c r="V2580" s="1"/>
      <c r="W2580" s="1"/>
      <c r="X2580" s="1"/>
      <c r="Y2580" s="1"/>
      <c r="Z2580" s="1"/>
    </row>
    <row r="2581" ht="18.0" hidden="1" customHeight="1" outlineLevel="1">
      <c r="A2581" s="26">
        <v>1.0</v>
      </c>
      <c r="B2581" s="26" t="s">
        <v>137</v>
      </c>
      <c r="C2581" s="1"/>
      <c r="D2581" s="1"/>
      <c r="E2581" s="14"/>
      <c r="F2581" s="15"/>
      <c r="G2581" s="16"/>
      <c r="H2581" s="11"/>
      <c r="I2581" s="7"/>
      <c r="J2581" s="7" t="str">
        <f>IFERROR(LET(_xlpm.v,
VLOOKUP($I2581,'用語辞書'!$A:$B,COLUMN('用語辞書'!B$1),FALSE),
IF(_xlpm.v=0,"",_xlpm.v)
),"")</f>
        <v/>
      </c>
      <c r="K2581" s="17"/>
      <c r="L2581" s="17" t="str">
        <f>IF(OR(COUNTIF('クラス'!$A$1:$A$1267,$B2581)&gt;0,$B2581="",$M2581=""),"",True)</f>
        <v/>
      </c>
      <c r="M2581" s="1" t="str">
        <f t="shared" si="30"/>
        <v/>
      </c>
      <c r="N2581" s="1" t="s">
        <v>29</v>
      </c>
      <c r="O2581" s="1"/>
      <c r="P2581" s="11"/>
      <c r="Q2581" s="11"/>
      <c r="R2581" s="11"/>
      <c r="S2581" s="11"/>
      <c r="T2581" s="1"/>
      <c r="U2581" s="1"/>
      <c r="V2581" s="1"/>
      <c r="W2581" s="1"/>
      <c r="X2581" s="1"/>
      <c r="Y2581" s="1"/>
      <c r="Z2581" s="1"/>
    </row>
    <row r="2582" ht="18.0" hidden="1" customHeight="1" outlineLevel="1">
      <c r="A2582" s="26">
        <v>2.0</v>
      </c>
      <c r="B2582" s="1"/>
      <c r="C2582" s="1"/>
      <c r="D2582" s="1"/>
      <c r="E2582" s="14"/>
      <c r="F2582" s="15"/>
      <c r="G2582" s="16"/>
      <c r="H2582" s="11"/>
      <c r="I2582" s="7"/>
      <c r="J2582" s="7" t="str">
        <f>IFERROR(LET(_xlpm.v,
VLOOKUP($I2582,'用語辞書'!$A:$B,COLUMN('用語辞書'!B$1),FALSE),
IF(_xlpm.v=0,"",_xlpm.v)
),"")</f>
        <v/>
      </c>
      <c r="K2582" s="17"/>
      <c r="L2582" s="17" t="str">
        <f>IF(OR(COUNTIF('クラス'!$A$1:$A$1267,$B2582)&gt;0,$B2582="",$M2582=""),"",True)</f>
        <v/>
      </c>
      <c r="M2582" s="1" t="str">
        <f t="shared" si="30"/>
        <v>存在しない</v>
      </c>
      <c r="N2582" s="1" t="s">
        <v>29</v>
      </c>
      <c r="O2582" s="1"/>
      <c r="P2582" s="11"/>
      <c r="Q2582" s="11"/>
      <c r="R2582" s="11"/>
      <c r="S2582" s="11"/>
      <c r="T2582" s="1"/>
      <c r="U2582" s="1"/>
      <c r="V2582" s="1"/>
      <c r="W2582" s="1"/>
      <c r="X2582" s="1"/>
      <c r="Y2582" s="1"/>
      <c r="Z2582" s="1"/>
    </row>
    <row r="2583" ht="18.0" hidden="1" customHeight="1" outlineLevel="1">
      <c r="A2583" s="26">
        <v>3.0</v>
      </c>
      <c r="B2583" s="26" t="s">
        <v>150</v>
      </c>
      <c r="C2583" s="1"/>
      <c r="D2583" s="1"/>
      <c r="E2583" s="14"/>
      <c r="F2583" s="15"/>
      <c r="G2583" s="16"/>
      <c r="H2583" s="11"/>
      <c r="I2583" s="7"/>
      <c r="J2583" s="7" t="str">
        <f>IFERROR(LET(_xlpm.v,
VLOOKUP($I2583,'用語辞書'!$A:$B,COLUMN('用語辞書'!B$1),FALSE),
IF(_xlpm.v=0,"",_xlpm.v)
),"")</f>
        <v/>
      </c>
      <c r="K2583" s="17"/>
      <c r="L2583" s="17" t="str">
        <f>IF(OR(COUNTIF('クラス'!$A$1:$A$1267,$B2583)&gt;0,$B2583="",$M2583=""),"",True)</f>
        <v/>
      </c>
      <c r="M2583" s="1" t="str">
        <f t="shared" si="30"/>
        <v/>
      </c>
      <c r="N2583" s="1" t="s">
        <v>29</v>
      </c>
      <c r="O2583" s="1"/>
      <c r="P2583" s="11"/>
      <c r="Q2583" s="11"/>
      <c r="R2583" s="11"/>
      <c r="S2583" s="11"/>
      <c r="T2583" s="1"/>
      <c r="U2583" s="1"/>
      <c r="V2583" s="1"/>
      <c r="W2583" s="1"/>
      <c r="X2583" s="1"/>
      <c r="Y2583" s="1"/>
      <c r="Z2583" s="1"/>
    </row>
    <row r="2584" ht="18.0" hidden="1" customHeight="1" outlineLevel="1">
      <c r="A2584" s="26">
        <v>4.0</v>
      </c>
      <c r="B2584" s="1"/>
      <c r="C2584" s="1"/>
      <c r="D2584" s="1"/>
      <c r="E2584" s="14"/>
      <c r="F2584" s="15"/>
      <c r="G2584" s="16"/>
      <c r="H2584" s="11"/>
      <c r="I2584" s="7"/>
      <c r="J2584" s="7" t="str">
        <f>IFERROR(LET(_xlpm.v,
VLOOKUP($I2584,'用語辞書'!$A:$B,COLUMN('用語辞書'!B$1),FALSE),
IF(_xlpm.v=0,"",_xlpm.v)
),"")</f>
        <v/>
      </c>
      <c r="K2584" s="17"/>
      <c r="L2584" s="17" t="str">
        <f>IF(OR(COUNTIF('クラス'!$A$1:$A$1267,$B2584)&gt;0,$B2584="",$M2584=""),"",True)</f>
        <v/>
      </c>
      <c r="M2584" s="1" t="str">
        <f t="shared" si="30"/>
        <v>存在しない</v>
      </c>
      <c r="N2584" s="1" t="s">
        <v>29</v>
      </c>
      <c r="O2584" s="1"/>
      <c r="P2584" s="11"/>
      <c r="Q2584" s="11"/>
      <c r="R2584" s="11"/>
      <c r="S2584" s="11"/>
      <c r="T2584" s="1"/>
      <c r="U2584" s="1"/>
      <c r="V2584" s="1"/>
      <c r="W2584" s="1"/>
      <c r="X2584" s="1"/>
      <c r="Y2584" s="1"/>
      <c r="Z2584" s="1"/>
    </row>
    <row r="2585" ht="18.0" hidden="1" customHeight="1" outlineLevel="1">
      <c r="A2585" s="26">
        <v>5.0</v>
      </c>
      <c r="B2585" s="26" t="s">
        <v>153</v>
      </c>
      <c r="C2585" s="1"/>
      <c r="D2585" s="1"/>
      <c r="E2585" s="14"/>
      <c r="F2585" s="15"/>
      <c r="G2585" s="16"/>
      <c r="H2585" s="11"/>
      <c r="I2585" s="7"/>
      <c r="J2585" s="7" t="str">
        <f>IFERROR(LET(_xlpm.v,
VLOOKUP($I2585,'用語辞書'!$A:$B,COLUMN('用語辞書'!B$1),FALSE),
IF(_xlpm.v=0,"",_xlpm.v)
),"")</f>
        <v/>
      </c>
      <c r="K2585" s="17"/>
      <c r="L2585" s="17" t="str">
        <f>IF(OR(COUNTIF('クラス'!$A$1:$A$1267,$B2585)&gt;0,$B2585="",$M2585=""),"",True)</f>
        <v/>
      </c>
      <c r="M2585" s="1" t="str">
        <f t="shared" si="30"/>
        <v/>
      </c>
      <c r="N2585" s="1" t="s">
        <v>29</v>
      </c>
      <c r="O2585" s="1"/>
      <c r="P2585" s="11"/>
      <c r="Q2585" s="11"/>
      <c r="R2585" s="11"/>
      <c r="S2585" s="11"/>
      <c r="T2585" s="1"/>
      <c r="U2585" s="1"/>
      <c r="V2585" s="1"/>
      <c r="W2585" s="1"/>
      <c r="X2585" s="1"/>
      <c r="Y2585" s="1"/>
      <c r="Z2585" s="1"/>
    </row>
    <row r="2586" ht="18.0" hidden="1" customHeight="1" outlineLevel="1">
      <c r="A2586" s="26">
        <v>6.0</v>
      </c>
      <c r="B2586" s="1"/>
      <c r="C2586" s="1"/>
      <c r="D2586" s="1"/>
      <c r="E2586" s="14"/>
      <c r="F2586" s="15"/>
      <c r="G2586" s="16"/>
      <c r="H2586" s="11"/>
      <c r="I2586" s="7"/>
      <c r="J2586" s="7" t="str">
        <f>IFERROR(LET(_xlpm.v,
VLOOKUP($I2586,'用語辞書'!$A:$B,COLUMN('用語辞書'!B$1),FALSE),
IF(_xlpm.v=0,"",_xlpm.v)
),"")</f>
        <v/>
      </c>
      <c r="K2586" s="17"/>
      <c r="L2586" s="17" t="str">
        <f>IF(OR(COUNTIF('クラス'!$A$1:$A$1267,$B2586)&gt;0,$B2586="",$M2586=""),"",True)</f>
        <v/>
      </c>
      <c r="M2586" s="1" t="str">
        <f t="shared" si="30"/>
        <v>存在しない</v>
      </c>
      <c r="N2586" s="1" t="s">
        <v>29</v>
      </c>
      <c r="O2586" s="1"/>
      <c r="P2586" s="11"/>
      <c r="Q2586" s="11"/>
      <c r="R2586" s="11"/>
      <c r="S2586" s="11"/>
      <c r="T2586" s="1"/>
      <c r="U2586" s="1"/>
      <c r="V2586" s="1"/>
      <c r="W2586" s="1"/>
      <c r="X2586" s="1"/>
      <c r="Y2586" s="1"/>
      <c r="Z2586" s="1"/>
    </row>
    <row r="2587" ht="18.0" hidden="1" customHeight="1" outlineLevel="1">
      <c r="A2587" s="26">
        <v>7.0</v>
      </c>
      <c r="B2587" s="26" t="s">
        <v>143</v>
      </c>
      <c r="C2587" s="1"/>
      <c r="D2587" s="1"/>
      <c r="E2587" s="14"/>
      <c r="F2587" s="15"/>
      <c r="G2587" s="16"/>
      <c r="H2587" s="11"/>
      <c r="I2587" s="7"/>
      <c r="J2587" s="7" t="str">
        <f>IFERROR(LET(_xlpm.v,
VLOOKUP($I2587,'用語辞書'!$A:$B,COLUMN('用語辞書'!B$1),FALSE),
IF(_xlpm.v=0,"",_xlpm.v)
),"")</f>
        <v/>
      </c>
      <c r="K2587" s="17"/>
      <c r="L2587" s="17" t="str">
        <f>IF(OR(COUNTIF('クラス'!$A$1:$A$1267,$B2587)&gt;0,$B2587="",$M2587=""),"",True)</f>
        <v/>
      </c>
      <c r="M2587" s="1" t="str">
        <f t="shared" si="30"/>
        <v/>
      </c>
      <c r="N2587" s="1" t="s">
        <v>29</v>
      </c>
      <c r="O2587" s="1"/>
      <c r="P2587" s="11"/>
      <c r="Q2587" s="11"/>
      <c r="R2587" s="11"/>
      <c r="S2587" s="11"/>
      <c r="T2587" s="1"/>
      <c r="U2587" s="1"/>
      <c r="V2587" s="1"/>
      <c r="W2587" s="1"/>
      <c r="X2587" s="1"/>
      <c r="Y2587" s="1"/>
      <c r="Z2587" s="1"/>
    </row>
    <row r="2588" ht="18.0" hidden="1" customHeight="1" outlineLevel="1">
      <c r="A2588" s="26">
        <v>8.0</v>
      </c>
      <c r="B2588" s="1"/>
      <c r="C2588" s="1"/>
      <c r="D2588" s="1"/>
      <c r="E2588" s="14"/>
      <c r="F2588" s="15"/>
      <c r="G2588" s="16"/>
      <c r="H2588" s="11"/>
      <c r="I2588" s="7"/>
      <c r="J2588" s="7" t="str">
        <f>IFERROR(LET(_xlpm.v,
VLOOKUP($I2588,'用語辞書'!$A:$B,COLUMN('用語辞書'!B$1),FALSE),
IF(_xlpm.v=0,"",_xlpm.v)
),"")</f>
        <v/>
      </c>
      <c r="K2588" s="17"/>
      <c r="L2588" s="17" t="str">
        <f>IF(OR(COUNTIF('クラス'!$A$1:$A$1267,$B2588)&gt;0,$B2588="",$M2588=""),"",True)</f>
        <v/>
      </c>
      <c r="M2588" s="1" t="str">
        <f t="shared" si="30"/>
        <v>存在しない</v>
      </c>
      <c r="N2588" s="1" t="s">
        <v>29</v>
      </c>
      <c r="O2588" s="1"/>
      <c r="P2588" s="11"/>
      <c r="Q2588" s="11"/>
      <c r="R2588" s="11"/>
      <c r="S2588" s="11"/>
      <c r="T2588" s="1"/>
      <c r="U2588" s="1"/>
      <c r="V2588" s="1"/>
      <c r="W2588" s="1"/>
      <c r="X2588" s="1"/>
      <c r="Y2588" s="1"/>
      <c r="Z2588" s="1"/>
    </row>
    <row r="2589" ht="18.0" hidden="1" customHeight="1" outlineLevel="1">
      <c r="A2589" s="26">
        <v>9.0</v>
      </c>
      <c r="B2589" s="26" t="s">
        <v>157</v>
      </c>
      <c r="C2589" s="1"/>
      <c r="D2589" s="1"/>
      <c r="E2589" s="14"/>
      <c r="F2589" s="15"/>
      <c r="G2589" s="16"/>
      <c r="H2589" s="11"/>
      <c r="I2589" s="7"/>
      <c r="J2589" s="7" t="str">
        <f>IFERROR(LET(_xlpm.v,
VLOOKUP($I2589,'用語辞書'!$A:$B,COLUMN('用語辞書'!B$1),FALSE),
IF(_xlpm.v=0,"",_xlpm.v)
),"")</f>
        <v/>
      </c>
      <c r="K2589" s="17"/>
      <c r="L2589" s="17" t="str">
        <f>IF(OR(COUNTIF('クラス'!$A$1:$A$1267,$B2589)&gt;0,$B2589="",$M2589=""),"",True)</f>
        <v/>
      </c>
      <c r="M2589" s="1" t="str">
        <f t="shared" si="30"/>
        <v/>
      </c>
      <c r="N2589" s="1" t="s">
        <v>29</v>
      </c>
      <c r="O2589" s="1"/>
      <c r="P2589" s="11"/>
      <c r="Q2589" s="11"/>
      <c r="R2589" s="11"/>
      <c r="S2589" s="11"/>
      <c r="T2589" s="1"/>
      <c r="U2589" s="1"/>
      <c r="V2589" s="1"/>
      <c r="W2589" s="1"/>
      <c r="X2589" s="1"/>
      <c r="Y2589" s="1"/>
      <c r="Z2589" s="1"/>
    </row>
    <row r="2590" ht="18.0" hidden="1" customHeight="1" outlineLevel="1">
      <c r="A2590" s="26">
        <v>10.0</v>
      </c>
      <c r="B2590" s="26" t="s">
        <v>2428</v>
      </c>
      <c r="C2590" s="26" t="s">
        <v>29</v>
      </c>
      <c r="D2590" s="26" t="s">
        <v>2429</v>
      </c>
      <c r="E2590" s="29" t="s">
        <v>55</v>
      </c>
      <c r="F2590" s="34" t="s">
        <v>29</v>
      </c>
      <c r="G2590" s="30" t="s">
        <v>29</v>
      </c>
      <c r="H2590" s="22" t="s">
        <v>2430</v>
      </c>
      <c r="I2590" s="7"/>
      <c r="J2590" s="7" t="str">
        <f>IFERROR(LET(_xlpm.v,
VLOOKUP($I2590,'用語辞書'!$A:$B,COLUMN('用語辞書'!B$1),FALSE),
IF(_xlpm.v=0,"",_xlpm.v)
),"")</f>
        <v/>
      </c>
      <c r="K2590" s="17"/>
      <c r="L2590" s="17" t="b">
        <f>IF(OR(COUNTIF('クラス'!$A$1:$A$1267,$B2590)&gt;0,$B2590="",$M2590=""),"",True)</f>
        <v>1</v>
      </c>
      <c r="M2590" s="1" t="str">
        <f t="shared" si="30"/>
        <v>存在しない</v>
      </c>
      <c r="N2590" s="1" t="s">
        <v>29</v>
      </c>
      <c r="O2590" s="1"/>
      <c r="P2590" s="11"/>
      <c r="Q2590" s="11"/>
      <c r="R2590" s="11"/>
      <c r="S2590" s="11"/>
      <c r="T2590" s="1"/>
      <c r="U2590" s="1"/>
      <c r="V2590" s="1"/>
      <c r="W2590" s="1"/>
      <c r="X2590" s="1"/>
      <c r="Y2590" s="1"/>
      <c r="Z2590" s="1"/>
    </row>
    <row r="2591" ht="18.0" customHeight="1" collapsed="1">
      <c r="A2591" s="1"/>
      <c r="B2591" s="1"/>
      <c r="C2591" s="1"/>
      <c r="D2591" s="1"/>
      <c r="E2591" s="14"/>
      <c r="F2591" s="15"/>
      <c r="G2591" s="16"/>
      <c r="H2591" s="11"/>
      <c r="I2591" s="7"/>
      <c r="J2591" s="7" t="str">
        <f>IFERROR(LET(_xlpm.v,
VLOOKUP($I2591,'用語辞書'!$A:$B,COLUMN('用語辞書'!B$1),FALSE),
IF(_xlpm.v=0,"",_xlpm.v)
),"")</f>
        <v/>
      </c>
      <c r="K2591" s="17"/>
      <c r="L2591" s="17" t="str">
        <f>IF(OR(COUNTIF('クラス'!$A$1:$A$1267,$B2591)&gt;0,$B2591="",$M2591=""),"",True)</f>
        <v/>
      </c>
      <c r="M2591" s="1" t="str">
        <f t="shared" si="30"/>
        <v>存在しない</v>
      </c>
      <c r="N2591" s="1" t="s">
        <v>29</v>
      </c>
      <c r="O2591" s="1"/>
      <c r="P2591" s="11"/>
      <c r="Q2591" s="11"/>
      <c r="R2591" s="11"/>
      <c r="S2591" s="11"/>
      <c r="T2591" s="1"/>
      <c r="U2591" s="1"/>
      <c r="V2591" s="1"/>
      <c r="W2591" s="1"/>
      <c r="X2591" s="1"/>
      <c r="Y2591" s="1"/>
      <c r="Z2591" s="1"/>
    </row>
    <row r="2592" ht="18.0" customHeight="1">
      <c r="A2592" s="1"/>
      <c r="B2592" s="26" t="s">
        <v>2431</v>
      </c>
      <c r="C2592" s="1"/>
      <c r="D2592" s="1"/>
      <c r="E2592" s="14"/>
      <c r="F2592" s="15"/>
      <c r="G2592" s="16"/>
      <c r="H2592" s="11"/>
      <c r="I2592" s="7"/>
      <c r="J2592" s="7" t="str">
        <f>IFERROR(LET(_xlpm.v,
VLOOKUP($I2592,'用語辞書'!$A:$B,COLUMN('用語辞書'!B$1),FALSE),
IF(_xlpm.v=0,"",_xlpm.v)
),"")</f>
        <v/>
      </c>
      <c r="K2592" s="17"/>
      <c r="L2592" s="17" t="str">
        <f>IF(OR(COUNTIF('クラス'!$A$1:$A$1267,$B2592)&gt;0,$B2592="",$M2592=""),"",True)</f>
        <v/>
      </c>
      <c r="M2592" s="1" t="str">
        <f t="shared" si="30"/>
        <v>存在しない</v>
      </c>
      <c r="N2592" s="1" t="s">
        <v>29</v>
      </c>
      <c r="O2592" s="1"/>
      <c r="P2592" s="11"/>
      <c r="Q2592" s="11"/>
      <c r="R2592" s="11"/>
      <c r="S2592" s="11"/>
      <c r="T2592" s="1"/>
      <c r="U2592" s="1"/>
      <c r="V2592" s="1"/>
      <c r="W2592" s="1"/>
      <c r="X2592" s="1"/>
      <c r="Y2592" s="1"/>
      <c r="Z2592" s="1"/>
    </row>
    <row r="2593" ht="18.0" hidden="1" customHeight="1" outlineLevel="1">
      <c r="A2593" s="26">
        <v>1.0</v>
      </c>
      <c r="B2593" s="26" t="s">
        <v>150</v>
      </c>
      <c r="C2593" s="1"/>
      <c r="D2593" s="1"/>
      <c r="E2593" s="14"/>
      <c r="F2593" s="15"/>
      <c r="G2593" s="16"/>
      <c r="H2593" s="11"/>
      <c r="I2593" s="7"/>
      <c r="J2593" s="7" t="str">
        <f>IFERROR(LET(_xlpm.v,
VLOOKUP($I2593,'用語辞書'!$A:$B,COLUMN('用語辞書'!B$1),FALSE),
IF(_xlpm.v=0,"",_xlpm.v)
),"")</f>
        <v/>
      </c>
      <c r="K2593" s="17"/>
      <c r="L2593" s="17" t="str">
        <f>IF(OR(COUNTIF('クラス'!$A$1:$A$1267,$B2593)&gt;0,$B2593="",$M2593=""),"",True)</f>
        <v/>
      </c>
      <c r="M2593" s="1" t="str">
        <f t="shared" si="30"/>
        <v/>
      </c>
      <c r="N2593" s="1" t="s">
        <v>29</v>
      </c>
      <c r="O2593" s="1"/>
      <c r="P2593" s="11"/>
      <c r="Q2593" s="11"/>
      <c r="R2593" s="11"/>
      <c r="S2593" s="11"/>
      <c r="T2593" s="1"/>
      <c r="U2593" s="1"/>
      <c r="V2593" s="1"/>
      <c r="W2593" s="1"/>
      <c r="X2593" s="1"/>
      <c r="Y2593" s="1"/>
      <c r="Z2593" s="1"/>
    </row>
    <row r="2594" ht="18.0" hidden="1" customHeight="1" outlineLevel="1">
      <c r="A2594" s="26">
        <v>2.0</v>
      </c>
      <c r="B2594" s="1"/>
      <c r="C2594" s="1"/>
      <c r="D2594" s="1"/>
      <c r="E2594" s="14"/>
      <c r="F2594" s="15"/>
      <c r="G2594" s="16"/>
      <c r="H2594" s="11"/>
      <c r="I2594" s="7"/>
      <c r="J2594" s="7" t="str">
        <f>IFERROR(LET(_xlpm.v,
VLOOKUP($I2594,'用語辞書'!$A:$B,COLUMN('用語辞書'!B$1),FALSE),
IF(_xlpm.v=0,"",_xlpm.v)
),"")</f>
        <v/>
      </c>
      <c r="K2594" s="17"/>
      <c r="L2594" s="17" t="str">
        <f>IF(OR(COUNTIF('クラス'!$A$1:$A$1267,$B2594)&gt;0,$B2594="",$M2594=""),"",True)</f>
        <v/>
      </c>
      <c r="M2594" s="1" t="str">
        <f t="shared" si="30"/>
        <v>存在しない</v>
      </c>
      <c r="N2594" s="1" t="s">
        <v>29</v>
      </c>
      <c r="O2594" s="1"/>
      <c r="P2594" s="11"/>
      <c r="Q2594" s="11"/>
      <c r="R2594" s="11"/>
      <c r="S2594" s="11"/>
      <c r="T2594" s="1"/>
      <c r="U2594" s="1"/>
      <c r="V2594" s="1"/>
      <c r="W2594" s="1"/>
      <c r="X2594" s="1"/>
      <c r="Y2594" s="1"/>
      <c r="Z2594" s="1"/>
    </row>
    <row r="2595" ht="18.0" hidden="1" customHeight="1" outlineLevel="1">
      <c r="A2595" s="26">
        <v>3.0</v>
      </c>
      <c r="B2595" s="26" t="s">
        <v>137</v>
      </c>
      <c r="C2595" s="1"/>
      <c r="D2595" s="1"/>
      <c r="E2595" s="14"/>
      <c r="F2595" s="15"/>
      <c r="G2595" s="16"/>
      <c r="H2595" s="11"/>
      <c r="I2595" s="7"/>
      <c r="J2595" s="7" t="str">
        <f>IFERROR(LET(_xlpm.v,
VLOOKUP($I2595,'用語辞書'!$A:$B,COLUMN('用語辞書'!B$1),FALSE),
IF(_xlpm.v=0,"",_xlpm.v)
),"")</f>
        <v/>
      </c>
      <c r="K2595" s="17"/>
      <c r="L2595" s="17" t="str">
        <f>IF(OR(COUNTIF('クラス'!$A$1:$A$1267,$B2595)&gt;0,$B2595="",$M2595=""),"",True)</f>
        <v/>
      </c>
      <c r="M2595" s="1" t="str">
        <f t="shared" si="30"/>
        <v/>
      </c>
      <c r="N2595" s="1" t="s">
        <v>29</v>
      </c>
      <c r="O2595" s="1"/>
      <c r="P2595" s="11"/>
      <c r="Q2595" s="11"/>
      <c r="R2595" s="11"/>
      <c r="S2595" s="11"/>
      <c r="T2595" s="1"/>
      <c r="U2595" s="1"/>
      <c r="V2595" s="1"/>
      <c r="W2595" s="1"/>
      <c r="X2595" s="1"/>
      <c r="Y2595" s="1"/>
      <c r="Z2595" s="1"/>
    </row>
    <row r="2596" ht="18.0" hidden="1" customHeight="1" outlineLevel="1">
      <c r="A2596" s="26">
        <v>4.0</v>
      </c>
      <c r="B2596" s="1"/>
      <c r="C2596" s="1"/>
      <c r="D2596" s="1"/>
      <c r="E2596" s="14"/>
      <c r="F2596" s="15"/>
      <c r="G2596" s="16"/>
      <c r="H2596" s="11"/>
      <c r="I2596" s="7"/>
      <c r="J2596" s="7" t="str">
        <f>IFERROR(LET(_xlpm.v,
VLOOKUP($I2596,'用語辞書'!$A:$B,COLUMN('用語辞書'!B$1),FALSE),
IF(_xlpm.v=0,"",_xlpm.v)
),"")</f>
        <v/>
      </c>
      <c r="K2596" s="17"/>
      <c r="L2596" s="17" t="str">
        <f>IF(OR(COUNTIF('クラス'!$A$1:$A$1267,$B2596)&gt;0,$B2596="",$M2596=""),"",True)</f>
        <v/>
      </c>
      <c r="M2596" s="1" t="str">
        <f t="shared" si="30"/>
        <v>存在しない</v>
      </c>
      <c r="N2596" s="1" t="s">
        <v>29</v>
      </c>
      <c r="O2596" s="1"/>
      <c r="P2596" s="11"/>
      <c r="Q2596" s="11"/>
      <c r="R2596" s="11"/>
      <c r="S2596" s="11"/>
      <c r="T2596" s="1"/>
      <c r="U2596" s="1"/>
      <c r="V2596" s="1"/>
      <c r="W2596" s="1"/>
      <c r="X2596" s="1"/>
      <c r="Y2596" s="1"/>
      <c r="Z2596" s="1"/>
    </row>
    <row r="2597" ht="18.0" hidden="1" customHeight="1" outlineLevel="1">
      <c r="A2597" s="26">
        <v>5.0</v>
      </c>
      <c r="B2597" s="26" t="s">
        <v>2432</v>
      </c>
      <c r="C2597" s="26" t="s">
        <v>29</v>
      </c>
      <c r="D2597" s="26" t="s">
        <v>2429</v>
      </c>
      <c r="E2597" s="29" t="s">
        <v>55</v>
      </c>
      <c r="F2597" s="34" t="s">
        <v>29</v>
      </c>
      <c r="G2597" s="30" t="s">
        <v>29</v>
      </c>
      <c r="H2597" s="22" t="s">
        <v>2433</v>
      </c>
      <c r="I2597" s="7"/>
      <c r="J2597" s="7" t="str">
        <f>IFERROR(LET(_xlpm.v,
VLOOKUP($I2597,'用語辞書'!$A:$B,COLUMN('用語辞書'!B$1),FALSE),
IF(_xlpm.v=0,"",_xlpm.v)
),"")</f>
        <v/>
      </c>
      <c r="K2597" s="17"/>
      <c r="L2597" s="17" t="b">
        <f>IF(OR(COUNTIF('クラス'!$A$1:$A$1267,$B2597)&gt;0,$B2597="",$M2597=""),"",True)</f>
        <v>1</v>
      </c>
      <c r="M2597" s="1" t="str">
        <f t="shared" si="30"/>
        <v>存在しない</v>
      </c>
      <c r="N2597" s="1" t="s">
        <v>29</v>
      </c>
      <c r="O2597" s="1"/>
      <c r="P2597" s="11"/>
      <c r="Q2597" s="11"/>
      <c r="R2597" s="11"/>
      <c r="S2597" s="11"/>
      <c r="T2597" s="1"/>
      <c r="U2597" s="1"/>
      <c r="V2597" s="1"/>
      <c r="W2597" s="1"/>
      <c r="X2597" s="1"/>
      <c r="Y2597" s="1"/>
      <c r="Z2597" s="1"/>
    </row>
    <row r="2598" ht="18.0" hidden="1" customHeight="1" outlineLevel="1">
      <c r="A2598" s="26">
        <v>6.0</v>
      </c>
      <c r="B2598" s="1"/>
      <c r="C2598" s="1"/>
      <c r="D2598" s="1"/>
      <c r="E2598" s="14"/>
      <c r="F2598" s="15"/>
      <c r="G2598" s="16"/>
      <c r="H2598" s="11"/>
      <c r="I2598" s="7"/>
      <c r="J2598" s="7" t="str">
        <f>IFERROR(LET(_xlpm.v,
VLOOKUP($I2598,'用語辞書'!$A:$B,COLUMN('用語辞書'!B$1),FALSE),
IF(_xlpm.v=0,"",_xlpm.v)
),"")</f>
        <v/>
      </c>
      <c r="K2598" s="17"/>
      <c r="L2598" s="17" t="str">
        <f>IF(OR(COUNTIF('クラス'!$A$1:$A$1267,$B2598)&gt;0,$B2598="",$M2598=""),"",True)</f>
        <v/>
      </c>
      <c r="M2598" s="1" t="str">
        <f t="shared" si="30"/>
        <v>存在しない</v>
      </c>
      <c r="N2598" s="1" t="s">
        <v>29</v>
      </c>
      <c r="O2598" s="1"/>
      <c r="P2598" s="11"/>
      <c r="Q2598" s="11"/>
      <c r="R2598" s="11"/>
      <c r="S2598" s="11"/>
      <c r="T2598" s="1"/>
      <c r="U2598" s="1"/>
      <c r="V2598" s="1"/>
      <c r="W2598" s="1"/>
      <c r="X2598" s="1"/>
      <c r="Y2598" s="1"/>
      <c r="Z2598" s="1"/>
    </row>
    <row r="2599" ht="18.0" hidden="1" customHeight="1" outlineLevel="1">
      <c r="A2599" s="26">
        <v>7.0</v>
      </c>
      <c r="B2599" s="26" t="s">
        <v>167</v>
      </c>
      <c r="C2599" s="1"/>
      <c r="D2599" s="1"/>
      <c r="E2599" s="14"/>
      <c r="F2599" s="15"/>
      <c r="G2599" s="16"/>
      <c r="H2599" s="11"/>
      <c r="I2599" s="7"/>
      <c r="J2599" s="7" t="str">
        <f>IFERROR(LET(_xlpm.v,
VLOOKUP($I2599,'用語辞書'!$A:$B,COLUMN('用語辞書'!B$1),FALSE),
IF(_xlpm.v=0,"",_xlpm.v)
),"")</f>
        <v/>
      </c>
      <c r="K2599" s="17"/>
      <c r="L2599" s="17" t="str">
        <f>IF(OR(COUNTIF('クラス'!$A$1:$A$1267,$B2599)&gt;0,$B2599="",$M2599=""),"",True)</f>
        <v/>
      </c>
      <c r="M2599" s="1" t="str">
        <f t="shared" si="30"/>
        <v/>
      </c>
      <c r="N2599" s="1" t="s">
        <v>29</v>
      </c>
      <c r="O2599" s="1"/>
      <c r="P2599" s="11"/>
      <c r="Q2599" s="11"/>
      <c r="R2599" s="11"/>
      <c r="S2599" s="11"/>
      <c r="T2599" s="1"/>
      <c r="U2599" s="1"/>
      <c r="V2599" s="1"/>
      <c r="W2599" s="1"/>
      <c r="X2599" s="1"/>
      <c r="Y2599" s="1"/>
      <c r="Z2599" s="1"/>
    </row>
    <row r="2600" ht="18.0" hidden="1" customHeight="1" outlineLevel="1">
      <c r="A2600" s="26">
        <v>8.0</v>
      </c>
      <c r="B2600" s="1"/>
      <c r="C2600" s="1"/>
      <c r="D2600" s="1"/>
      <c r="E2600" s="14"/>
      <c r="F2600" s="15"/>
      <c r="G2600" s="16"/>
      <c r="H2600" s="11"/>
      <c r="I2600" s="7"/>
      <c r="J2600" s="7" t="str">
        <f>IFERROR(LET(_xlpm.v,
VLOOKUP($I2600,'用語辞書'!$A:$B,COLUMN('用語辞書'!B$1),FALSE),
IF(_xlpm.v=0,"",_xlpm.v)
),"")</f>
        <v/>
      </c>
      <c r="K2600" s="17"/>
      <c r="L2600" s="17" t="str">
        <f>IF(OR(COUNTIF('クラス'!$A$1:$A$1267,$B2600)&gt;0,$B2600="",$M2600=""),"",True)</f>
        <v/>
      </c>
      <c r="M2600" s="1" t="str">
        <f t="shared" si="30"/>
        <v>存在しない</v>
      </c>
      <c r="N2600" s="1" t="s">
        <v>29</v>
      </c>
      <c r="O2600" s="1"/>
      <c r="P2600" s="11"/>
      <c r="Q2600" s="11"/>
      <c r="R2600" s="11"/>
      <c r="S2600" s="11"/>
      <c r="T2600" s="1"/>
      <c r="U2600" s="1"/>
      <c r="V2600" s="1"/>
      <c r="W2600" s="1"/>
      <c r="X2600" s="1"/>
      <c r="Y2600" s="1"/>
      <c r="Z2600" s="1"/>
    </row>
    <row r="2601" ht="18.0" hidden="1" customHeight="1" outlineLevel="1">
      <c r="A2601" s="26">
        <v>9.0</v>
      </c>
      <c r="B2601" s="26" t="s">
        <v>157</v>
      </c>
      <c r="C2601" s="1"/>
      <c r="D2601" s="1"/>
      <c r="E2601" s="14"/>
      <c r="F2601" s="15"/>
      <c r="G2601" s="16"/>
      <c r="H2601" s="11"/>
      <c r="I2601" s="7"/>
      <c r="J2601" s="7" t="str">
        <f>IFERROR(LET(_xlpm.v,
VLOOKUP($I2601,'用語辞書'!$A:$B,COLUMN('用語辞書'!B$1),FALSE),
IF(_xlpm.v=0,"",_xlpm.v)
),"")</f>
        <v/>
      </c>
      <c r="K2601" s="17"/>
      <c r="L2601" s="17" t="str">
        <f>IF(OR(COUNTIF('クラス'!$A$1:$A$1267,$B2601)&gt;0,$B2601="",$M2601=""),"",True)</f>
        <v/>
      </c>
      <c r="M2601" s="1" t="str">
        <f t="shared" si="30"/>
        <v/>
      </c>
      <c r="N2601" s="1" t="s">
        <v>29</v>
      </c>
      <c r="O2601" s="1"/>
      <c r="P2601" s="11"/>
      <c r="Q2601" s="11"/>
      <c r="R2601" s="11"/>
      <c r="S2601" s="11"/>
      <c r="T2601" s="1"/>
      <c r="U2601" s="1"/>
      <c r="V2601" s="1"/>
      <c r="W2601" s="1"/>
      <c r="X2601" s="1"/>
      <c r="Y2601" s="1"/>
      <c r="Z2601" s="1"/>
    </row>
    <row r="2602" ht="18.0" hidden="1" customHeight="1" outlineLevel="1">
      <c r="A2602" s="26">
        <v>10.0</v>
      </c>
      <c r="B2602" s="26" t="s">
        <v>2434</v>
      </c>
      <c r="C2602" s="26" t="s">
        <v>29</v>
      </c>
      <c r="D2602" s="26" t="s">
        <v>2429</v>
      </c>
      <c r="E2602" s="29" t="s">
        <v>55</v>
      </c>
      <c r="F2602" s="34" t="s">
        <v>29</v>
      </c>
      <c r="G2602" s="30" t="s">
        <v>29</v>
      </c>
      <c r="H2602" s="22" t="s">
        <v>2435</v>
      </c>
      <c r="I2602" s="7"/>
      <c r="J2602" s="7" t="str">
        <f>IFERROR(LET(_xlpm.v,
VLOOKUP($I2602,'用語辞書'!$A:$B,COLUMN('用語辞書'!B$1),FALSE),
IF(_xlpm.v=0,"",_xlpm.v)
),"")</f>
        <v/>
      </c>
      <c r="K2602" s="17"/>
      <c r="L2602" s="17" t="b">
        <f>IF(OR(COUNTIF('クラス'!$A$1:$A$1267,$B2602)&gt;0,$B2602="",$M2602=""),"",True)</f>
        <v>1</v>
      </c>
      <c r="M2602" s="1" t="str">
        <f t="shared" si="30"/>
        <v>存在しない</v>
      </c>
      <c r="N2602" s="1" t="s">
        <v>29</v>
      </c>
      <c r="O2602" s="1"/>
      <c r="P2602" s="11"/>
      <c r="Q2602" s="11"/>
      <c r="R2602" s="11"/>
      <c r="S2602" s="11"/>
      <c r="T2602" s="1"/>
      <c r="U2602" s="1"/>
      <c r="V2602" s="1"/>
      <c r="W2602" s="1"/>
      <c r="X2602" s="1"/>
      <c r="Y2602" s="1"/>
      <c r="Z2602" s="1"/>
    </row>
    <row r="2603" ht="18.0" customHeight="1" collapsed="1">
      <c r="A2603" s="1"/>
      <c r="B2603" s="1"/>
      <c r="C2603" s="1"/>
      <c r="D2603" s="1"/>
      <c r="E2603" s="14"/>
      <c r="F2603" s="15"/>
      <c r="G2603" s="16"/>
      <c r="H2603" s="11"/>
      <c r="I2603" s="7"/>
      <c r="J2603" s="7" t="str">
        <f>IFERROR(LET(_xlpm.v,
VLOOKUP($I2603,'用語辞書'!$A:$B,COLUMN('用語辞書'!B$1),FALSE),
IF(_xlpm.v=0,"",_xlpm.v)
),"")</f>
        <v/>
      </c>
      <c r="K2603" s="17"/>
      <c r="L2603" s="17" t="str">
        <f>IF(OR(COUNTIF('クラス'!$A$1:$A$1267,$B2603)&gt;0,$B2603="",$M2603=""),"",True)</f>
        <v/>
      </c>
      <c r="M2603" s="1" t="str">
        <f t="shared" si="30"/>
        <v>存在しない</v>
      </c>
      <c r="N2603" s="1" t="s">
        <v>29</v>
      </c>
      <c r="O2603" s="1"/>
      <c r="P2603" s="11"/>
      <c r="Q2603" s="11"/>
      <c r="R2603" s="11"/>
      <c r="S2603" s="11"/>
      <c r="T2603" s="1"/>
      <c r="U2603" s="1"/>
      <c r="V2603" s="1"/>
      <c r="W2603" s="1"/>
      <c r="X2603" s="1"/>
      <c r="Y2603" s="1"/>
      <c r="Z2603" s="1"/>
    </row>
    <row r="2604" ht="18.0" customHeight="1">
      <c r="A2604" s="1"/>
      <c r="B2604" s="26" t="s">
        <v>2436</v>
      </c>
      <c r="C2604" s="1"/>
      <c r="D2604" s="1"/>
      <c r="E2604" s="14"/>
      <c r="F2604" s="15"/>
      <c r="G2604" s="16"/>
      <c r="H2604" s="11"/>
      <c r="I2604" s="7"/>
      <c r="J2604" s="7" t="str">
        <f>IFERROR(LET(_xlpm.v,
VLOOKUP($I2604,'用語辞書'!$A:$B,COLUMN('用語辞書'!B$1),FALSE),
IF(_xlpm.v=0,"",_xlpm.v)
),"")</f>
        <v/>
      </c>
      <c r="K2604" s="17"/>
      <c r="L2604" s="17" t="str">
        <f>IF(OR(COUNTIF('クラス'!$A$1:$A$1267,$B2604)&gt;0,$B2604="",$M2604=""),"",True)</f>
        <v/>
      </c>
      <c r="M2604" s="1" t="str">
        <f t="shared" si="30"/>
        <v>存在しない</v>
      </c>
      <c r="N2604" s="1" t="s">
        <v>29</v>
      </c>
      <c r="O2604" s="1"/>
      <c r="P2604" s="11"/>
      <c r="Q2604" s="11"/>
      <c r="R2604" s="11"/>
      <c r="S2604" s="11"/>
      <c r="T2604" s="1"/>
      <c r="U2604" s="1"/>
      <c r="V2604" s="1"/>
      <c r="W2604" s="1"/>
      <c r="X2604" s="1"/>
      <c r="Y2604" s="1"/>
      <c r="Z2604" s="1"/>
    </row>
    <row r="2605" ht="18.0" hidden="1" customHeight="1" outlineLevel="1">
      <c r="A2605" s="26">
        <v>1.0</v>
      </c>
      <c r="B2605" s="26" t="s">
        <v>2437</v>
      </c>
      <c r="C2605" s="26" t="s">
        <v>29</v>
      </c>
      <c r="D2605" s="26" t="s">
        <v>711</v>
      </c>
      <c r="E2605" s="29" t="s">
        <v>33</v>
      </c>
      <c r="F2605" s="34" t="s">
        <v>29</v>
      </c>
      <c r="G2605" s="30">
        <v>60.0</v>
      </c>
      <c r="H2605" s="22" t="s">
        <v>2438</v>
      </c>
      <c r="I2605" s="7"/>
      <c r="J2605" s="7" t="str">
        <f>IFERROR(LET(_xlpm.v,
VLOOKUP($I2605,'用語辞書'!$A:$B,COLUMN('用語辞書'!B$1),FALSE),
IF(_xlpm.v=0,"",_xlpm.v)
),"")</f>
        <v/>
      </c>
      <c r="K2605" s="17"/>
      <c r="L2605" s="17" t="b">
        <f>IF(OR(COUNTIF('クラス'!$A$1:$A$1267,$B2605)&gt;0,$B2605="",$M2605=""),"",True)</f>
        <v>1</v>
      </c>
      <c r="M2605" s="1" t="str">
        <f t="shared" si="30"/>
        <v>存在しない</v>
      </c>
      <c r="N2605" s="1" t="s">
        <v>29</v>
      </c>
      <c r="O2605" s="1"/>
      <c r="P2605" s="11"/>
      <c r="Q2605" s="11"/>
      <c r="R2605" s="11"/>
      <c r="S2605" s="11"/>
      <c r="T2605" s="1"/>
      <c r="U2605" s="1"/>
      <c r="V2605" s="1"/>
      <c r="W2605" s="1"/>
      <c r="X2605" s="1"/>
      <c r="Y2605" s="1"/>
      <c r="Z2605" s="1"/>
    </row>
    <row r="2606" ht="18.0" hidden="1" customHeight="1" outlineLevel="1">
      <c r="A2606" s="26">
        <v>2.0</v>
      </c>
      <c r="B2606" s="1"/>
      <c r="C2606" s="1"/>
      <c r="D2606" s="1"/>
      <c r="E2606" s="14"/>
      <c r="F2606" s="15"/>
      <c r="G2606" s="16"/>
      <c r="H2606" s="11"/>
      <c r="I2606" s="7"/>
      <c r="J2606" s="7" t="str">
        <f>IFERROR(LET(_xlpm.v,
VLOOKUP($I2606,'用語辞書'!$A:$B,COLUMN('用語辞書'!B$1),FALSE),
IF(_xlpm.v=0,"",_xlpm.v)
),"")</f>
        <v/>
      </c>
      <c r="K2606" s="17"/>
      <c r="L2606" s="17" t="str">
        <f>IF(OR(COUNTIF('クラス'!$A$1:$A$1267,$B2606)&gt;0,$B2606="",$M2606=""),"",True)</f>
        <v/>
      </c>
      <c r="M2606" s="1" t="str">
        <f t="shared" si="30"/>
        <v>存在しない</v>
      </c>
      <c r="N2606" s="1" t="s">
        <v>29</v>
      </c>
      <c r="O2606" s="1"/>
      <c r="P2606" s="11"/>
      <c r="Q2606" s="11"/>
      <c r="R2606" s="11"/>
      <c r="S2606" s="11"/>
      <c r="T2606" s="1"/>
      <c r="U2606" s="1"/>
      <c r="V2606" s="1"/>
      <c r="W2606" s="1"/>
      <c r="X2606" s="1"/>
      <c r="Y2606" s="1"/>
      <c r="Z2606" s="1"/>
    </row>
    <row r="2607" ht="18.0" hidden="1" customHeight="1" outlineLevel="1">
      <c r="A2607" s="26">
        <v>3.0</v>
      </c>
      <c r="B2607" s="26" t="s">
        <v>2439</v>
      </c>
      <c r="C2607" s="26" t="s">
        <v>29</v>
      </c>
      <c r="D2607" s="26" t="s">
        <v>711</v>
      </c>
      <c r="E2607" s="29" t="s">
        <v>33</v>
      </c>
      <c r="F2607" s="34" t="s">
        <v>29</v>
      </c>
      <c r="G2607" s="30">
        <v>60.0</v>
      </c>
      <c r="H2607" s="22" t="s">
        <v>2440</v>
      </c>
      <c r="I2607" s="7"/>
      <c r="J2607" s="7" t="str">
        <f>IFERROR(LET(_xlpm.v,
VLOOKUP($I2607,'用語辞書'!$A:$B,COLUMN('用語辞書'!B$1),FALSE),
IF(_xlpm.v=0,"",_xlpm.v)
),"")</f>
        <v/>
      </c>
      <c r="K2607" s="17"/>
      <c r="L2607" s="17" t="b">
        <f>IF(OR(COUNTIF('クラス'!$A$1:$A$1267,$B2607)&gt;0,$B2607="",$M2607=""),"",True)</f>
        <v>1</v>
      </c>
      <c r="M2607" s="1" t="str">
        <f t="shared" si="30"/>
        <v>存在しない</v>
      </c>
      <c r="N2607" s="1" t="s">
        <v>29</v>
      </c>
      <c r="O2607" s="1"/>
      <c r="P2607" s="11"/>
      <c r="Q2607" s="11"/>
      <c r="R2607" s="11"/>
      <c r="S2607" s="11"/>
      <c r="T2607" s="1"/>
      <c r="U2607" s="1"/>
      <c r="V2607" s="1"/>
      <c r="W2607" s="1"/>
      <c r="X2607" s="1"/>
      <c r="Y2607" s="1"/>
      <c r="Z2607" s="1"/>
    </row>
    <row r="2608" ht="18.0" hidden="1" customHeight="1" outlineLevel="1">
      <c r="A2608" s="26">
        <v>4.0</v>
      </c>
      <c r="B2608" s="1"/>
      <c r="C2608" s="1"/>
      <c r="D2608" s="1"/>
      <c r="E2608" s="14"/>
      <c r="F2608" s="15"/>
      <c r="G2608" s="16"/>
      <c r="H2608" s="11"/>
      <c r="I2608" s="7"/>
      <c r="J2608" s="7" t="str">
        <f>IFERROR(LET(_xlpm.v,
VLOOKUP($I2608,'用語辞書'!$A:$B,COLUMN('用語辞書'!B$1),FALSE),
IF(_xlpm.v=0,"",_xlpm.v)
),"")</f>
        <v/>
      </c>
      <c r="K2608" s="17"/>
      <c r="L2608" s="17" t="str">
        <f>IF(OR(COUNTIF('クラス'!$A$1:$A$1267,$B2608)&gt;0,$B2608="",$M2608=""),"",True)</f>
        <v/>
      </c>
      <c r="M2608" s="1" t="str">
        <f t="shared" si="30"/>
        <v>存在しない</v>
      </c>
      <c r="N2608" s="1" t="s">
        <v>29</v>
      </c>
      <c r="O2608" s="1"/>
      <c r="P2608" s="11"/>
      <c r="Q2608" s="11"/>
      <c r="R2608" s="11"/>
      <c r="S2608" s="11"/>
      <c r="T2608" s="1"/>
      <c r="U2608" s="1"/>
      <c r="V2608" s="1"/>
      <c r="W2608" s="1"/>
      <c r="X2608" s="1"/>
      <c r="Y2608" s="1"/>
      <c r="Z2608" s="1"/>
    </row>
    <row r="2609" ht="18.0" hidden="1" customHeight="1" outlineLevel="1">
      <c r="A2609" s="26">
        <v>5.0</v>
      </c>
      <c r="B2609" s="26" t="s">
        <v>2441</v>
      </c>
      <c r="C2609" s="26" t="s">
        <v>29</v>
      </c>
      <c r="D2609" s="26" t="s">
        <v>711</v>
      </c>
      <c r="E2609" s="29" t="s">
        <v>33</v>
      </c>
      <c r="F2609" s="34" t="s">
        <v>29</v>
      </c>
      <c r="G2609" s="30">
        <v>60.0</v>
      </c>
      <c r="H2609" s="22" t="s">
        <v>2442</v>
      </c>
      <c r="I2609" s="7"/>
      <c r="J2609" s="7" t="str">
        <f>IFERROR(LET(_xlpm.v,
VLOOKUP($I2609,'用語辞書'!$A:$B,COLUMN('用語辞書'!B$1),FALSE),
IF(_xlpm.v=0,"",_xlpm.v)
),"")</f>
        <v/>
      </c>
      <c r="K2609" s="17"/>
      <c r="L2609" s="17" t="b">
        <f>IF(OR(COUNTIF('クラス'!$A$1:$A$1267,$B2609)&gt;0,$B2609="",$M2609=""),"",True)</f>
        <v>1</v>
      </c>
      <c r="M2609" s="1" t="str">
        <f t="shared" si="30"/>
        <v>存在しない</v>
      </c>
      <c r="N2609" s="1" t="s">
        <v>29</v>
      </c>
      <c r="O2609" s="1"/>
      <c r="P2609" s="11"/>
      <c r="Q2609" s="11"/>
      <c r="R2609" s="11"/>
      <c r="S2609" s="11"/>
      <c r="T2609" s="1"/>
      <c r="U2609" s="1"/>
      <c r="V2609" s="1"/>
      <c r="W2609" s="1"/>
      <c r="X2609" s="1"/>
      <c r="Y2609" s="1"/>
      <c r="Z2609" s="1"/>
    </row>
    <row r="2610" ht="18.0" hidden="1" customHeight="1" outlineLevel="1">
      <c r="A2610" s="26">
        <v>6.0</v>
      </c>
      <c r="B2610" s="1"/>
      <c r="C2610" s="1"/>
      <c r="D2610" s="1"/>
      <c r="E2610" s="14"/>
      <c r="F2610" s="15"/>
      <c r="G2610" s="16"/>
      <c r="H2610" s="11"/>
      <c r="I2610" s="7"/>
      <c r="J2610" s="7" t="str">
        <f>IFERROR(LET(_xlpm.v,
VLOOKUP($I2610,'用語辞書'!$A:$B,COLUMN('用語辞書'!B$1),FALSE),
IF(_xlpm.v=0,"",_xlpm.v)
),"")</f>
        <v/>
      </c>
      <c r="K2610" s="17"/>
      <c r="L2610" s="17" t="str">
        <f>IF(OR(COUNTIF('クラス'!$A$1:$A$1267,$B2610)&gt;0,$B2610="",$M2610=""),"",True)</f>
        <v/>
      </c>
      <c r="M2610" s="1" t="str">
        <f t="shared" si="30"/>
        <v>存在しない</v>
      </c>
      <c r="N2610" s="1" t="s">
        <v>29</v>
      </c>
      <c r="O2610" s="1"/>
      <c r="P2610" s="11"/>
      <c r="Q2610" s="11"/>
      <c r="R2610" s="11"/>
      <c r="S2610" s="11"/>
      <c r="T2610" s="1"/>
      <c r="U2610" s="1"/>
      <c r="V2610" s="1"/>
      <c r="W2610" s="1"/>
      <c r="X2610" s="1"/>
      <c r="Y2610" s="1"/>
      <c r="Z2610" s="1"/>
    </row>
    <row r="2611" ht="18.0" hidden="1" customHeight="1" outlineLevel="1">
      <c r="A2611" s="26">
        <v>7.0</v>
      </c>
      <c r="B2611" s="26" t="s">
        <v>2443</v>
      </c>
      <c r="C2611" s="26" t="s">
        <v>29</v>
      </c>
      <c r="D2611" s="26" t="s">
        <v>711</v>
      </c>
      <c r="E2611" s="29" t="s">
        <v>33</v>
      </c>
      <c r="F2611" s="34" t="s">
        <v>29</v>
      </c>
      <c r="G2611" s="30">
        <v>60.0</v>
      </c>
      <c r="H2611" s="22" t="s">
        <v>2444</v>
      </c>
      <c r="I2611" s="7"/>
      <c r="J2611" s="7" t="str">
        <f>IFERROR(LET(_xlpm.v,
VLOOKUP($I2611,'用語辞書'!$A:$B,COLUMN('用語辞書'!B$1),FALSE),
IF(_xlpm.v=0,"",_xlpm.v)
),"")</f>
        <v/>
      </c>
      <c r="K2611" s="17"/>
      <c r="L2611" s="17" t="b">
        <f>IF(OR(COUNTIF('クラス'!$A$1:$A$1267,$B2611)&gt;0,$B2611="",$M2611=""),"",True)</f>
        <v>1</v>
      </c>
      <c r="M2611" s="1" t="str">
        <f t="shared" si="30"/>
        <v>存在しない</v>
      </c>
      <c r="N2611" s="1" t="s">
        <v>29</v>
      </c>
      <c r="O2611" s="1"/>
      <c r="P2611" s="11"/>
      <c r="Q2611" s="11"/>
      <c r="R2611" s="11"/>
      <c r="S2611" s="11"/>
      <c r="T2611" s="1"/>
      <c r="U2611" s="1"/>
      <c r="V2611" s="1"/>
      <c r="W2611" s="1"/>
      <c r="X2611" s="1"/>
      <c r="Y2611" s="1"/>
      <c r="Z2611" s="1"/>
    </row>
    <row r="2612" ht="18.0" hidden="1" customHeight="1" outlineLevel="1">
      <c r="A2612" s="26">
        <v>8.0</v>
      </c>
      <c r="B2612" s="1"/>
      <c r="C2612" s="1"/>
      <c r="D2612" s="1"/>
      <c r="E2612" s="14"/>
      <c r="F2612" s="15"/>
      <c r="G2612" s="16"/>
      <c r="H2612" s="11"/>
      <c r="I2612" s="7"/>
      <c r="J2612" s="7" t="str">
        <f>IFERROR(LET(_xlpm.v,
VLOOKUP($I2612,'用語辞書'!$A:$B,COLUMN('用語辞書'!B$1),FALSE),
IF(_xlpm.v=0,"",_xlpm.v)
),"")</f>
        <v/>
      </c>
      <c r="K2612" s="17"/>
      <c r="L2612" s="17" t="str">
        <f>IF(OR(COUNTIF('クラス'!$A$1:$A$1267,$B2612)&gt;0,$B2612="",$M2612=""),"",True)</f>
        <v/>
      </c>
      <c r="M2612" s="1" t="str">
        <f t="shared" si="30"/>
        <v>存在しない</v>
      </c>
      <c r="N2612" s="1" t="s">
        <v>29</v>
      </c>
      <c r="O2612" s="1"/>
      <c r="P2612" s="11"/>
      <c r="Q2612" s="11"/>
      <c r="R2612" s="11"/>
      <c r="S2612" s="11"/>
      <c r="T2612" s="1"/>
      <c r="U2612" s="1"/>
      <c r="V2612" s="1"/>
      <c r="W2612" s="1"/>
      <c r="X2612" s="1"/>
      <c r="Y2612" s="1"/>
      <c r="Z2612" s="1"/>
    </row>
    <row r="2613" ht="18.0" hidden="1" customHeight="1" outlineLevel="1">
      <c r="A2613" s="26">
        <v>9.0</v>
      </c>
      <c r="B2613" s="26" t="s">
        <v>2445</v>
      </c>
      <c r="C2613" s="26" t="s">
        <v>29</v>
      </c>
      <c r="D2613" s="26" t="s">
        <v>711</v>
      </c>
      <c r="E2613" s="29" t="s">
        <v>55</v>
      </c>
      <c r="F2613" s="34" t="s">
        <v>29</v>
      </c>
      <c r="G2613" s="30" t="s">
        <v>29</v>
      </c>
      <c r="H2613" s="22" t="s">
        <v>2446</v>
      </c>
      <c r="I2613" s="7"/>
      <c r="J2613" s="7" t="str">
        <f>IFERROR(LET(_xlpm.v,
VLOOKUP($I2613,'用語辞書'!$A:$B,COLUMN('用語辞書'!B$1),FALSE),
IF(_xlpm.v=0,"",_xlpm.v)
),"")</f>
        <v/>
      </c>
      <c r="K2613" s="17"/>
      <c r="L2613" s="17" t="b">
        <f>IF(OR(COUNTIF('クラス'!$A$1:$A$1267,$B2613)&gt;0,$B2613="",$M2613=""),"",True)</f>
        <v>1</v>
      </c>
      <c r="M2613" s="1" t="str">
        <f t="shared" si="30"/>
        <v>存在しない</v>
      </c>
      <c r="N2613" s="1" t="s">
        <v>29</v>
      </c>
      <c r="O2613" s="1"/>
      <c r="P2613" s="11"/>
      <c r="Q2613" s="11"/>
      <c r="R2613" s="11"/>
      <c r="S2613" s="11"/>
      <c r="T2613" s="1"/>
      <c r="U2613" s="1"/>
      <c r="V2613" s="1"/>
      <c r="W2613" s="1"/>
      <c r="X2613" s="1"/>
      <c r="Y2613" s="1"/>
      <c r="Z2613" s="1"/>
    </row>
    <row r="2614" ht="18.0" hidden="1" customHeight="1" outlineLevel="1">
      <c r="A2614" s="26">
        <v>10.0</v>
      </c>
      <c r="B2614" s="26" t="s">
        <v>710</v>
      </c>
      <c r="C2614" s="1"/>
      <c r="D2614" s="1"/>
      <c r="E2614" s="14"/>
      <c r="F2614" s="15"/>
      <c r="G2614" s="16"/>
      <c r="H2614" s="11"/>
      <c r="I2614" s="7"/>
      <c r="J2614" s="7" t="str">
        <f>IFERROR(LET(_xlpm.v,
VLOOKUP($I2614,'用語辞書'!$A:$B,COLUMN('用語辞書'!B$1),FALSE),
IF(_xlpm.v=0,"",_xlpm.v)
),"")</f>
        <v/>
      </c>
      <c r="K2614" s="17"/>
      <c r="L2614" s="17" t="str">
        <f>IF(OR(COUNTIF('クラス'!$A$1:$A$1267,$B2614)&gt;0,$B2614="",$M2614=""),"",True)</f>
        <v/>
      </c>
      <c r="M2614" s="1" t="str">
        <f t="shared" si="30"/>
        <v/>
      </c>
      <c r="N2614" s="1" t="s">
        <v>29</v>
      </c>
      <c r="O2614" s="1"/>
      <c r="P2614" s="11"/>
      <c r="Q2614" s="11"/>
      <c r="R2614" s="11"/>
      <c r="S2614" s="11"/>
      <c r="T2614" s="1"/>
      <c r="U2614" s="1"/>
      <c r="V2614" s="1"/>
      <c r="W2614" s="1"/>
      <c r="X2614" s="1"/>
      <c r="Y2614" s="1"/>
      <c r="Z2614" s="1"/>
    </row>
    <row r="2615" ht="18.0" customHeight="1" collapsed="1">
      <c r="A2615" s="1"/>
      <c r="B2615" s="1"/>
      <c r="C2615" s="26" t="s">
        <v>2447</v>
      </c>
      <c r="D2615" s="1"/>
      <c r="E2615" s="14"/>
      <c r="F2615" s="15"/>
      <c r="G2615" s="16"/>
      <c r="H2615" s="11"/>
      <c r="I2615" s="7"/>
      <c r="J2615" s="7" t="str">
        <f>IFERROR(LET(_xlpm.v,
VLOOKUP($I2615,'用語辞書'!$A:$B,COLUMN('用語辞書'!B$1),FALSE),
IF(_xlpm.v=0,"",_xlpm.v)
),"")</f>
        <v/>
      </c>
      <c r="K2615" s="17"/>
      <c r="L2615" s="17" t="str">
        <f>IF(OR(COUNTIF('クラス'!$A$1:$A$1267,$B2615)&gt;0,$B2615="",$M2615=""),"",True)</f>
        <v/>
      </c>
      <c r="M2615" s="1" t="str">
        <f t="shared" si="30"/>
        <v>存在しない</v>
      </c>
      <c r="N2615" s="1" t="s">
        <v>29</v>
      </c>
      <c r="O2615" s="1"/>
      <c r="P2615" s="11"/>
      <c r="Q2615" s="11"/>
      <c r="R2615" s="11"/>
      <c r="S2615" s="11"/>
      <c r="T2615" s="1"/>
      <c r="U2615" s="1"/>
      <c r="V2615" s="1"/>
      <c r="W2615" s="1"/>
      <c r="X2615" s="1"/>
      <c r="Y2615" s="1"/>
      <c r="Z2615" s="1"/>
    </row>
    <row r="2616" ht="18.0" customHeight="1" outlineLevel="1">
      <c r="A2616" s="1"/>
      <c r="B2616" s="26" t="s">
        <v>2448</v>
      </c>
      <c r="C2616" s="1"/>
      <c r="D2616" s="1"/>
      <c r="E2616" s="14"/>
      <c r="F2616" s="15"/>
      <c r="G2616" s="16"/>
      <c r="H2616" s="11"/>
      <c r="I2616" s="7"/>
      <c r="J2616" s="7" t="str">
        <f>IFERROR(LET(_xlpm.v,
VLOOKUP($I2616,'用語辞書'!$A:$B,COLUMN('用語辞書'!B$1),FALSE),
IF(_xlpm.v=0,"",_xlpm.v)
),"")</f>
        <v/>
      </c>
      <c r="K2616" s="17"/>
      <c r="L2616" s="17" t="str">
        <f>IF(OR(COUNTIF('クラス'!$A$1:$A$1267,$B2616)&gt;0,$B2616="",$M2616=""),"",True)</f>
        <v/>
      </c>
      <c r="M2616" s="1" t="str">
        <f t="shared" si="30"/>
        <v>存在しない</v>
      </c>
      <c r="N2616" s="1" t="s">
        <v>29</v>
      </c>
      <c r="O2616" s="1"/>
      <c r="P2616" s="11"/>
      <c r="Q2616" s="11"/>
      <c r="R2616" s="11"/>
      <c r="S2616" s="11"/>
      <c r="T2616" s="1"/>
      <c r="U2616" s="1"/>
      <c r="V2616" s="1"/>
      <c r="W2616" s="1"/>
      <c r="X2616" s="1"/>
      <c r="Y2616" s="1"/>
      <c r="Z2616" s="1"/>
    </row>
    <row r="2617" ht="18.0" hidden="1" customHeight="1" outlineLevel="2">
      <c r="A2617" s="26">
        <v>1.0</v>
      </c>
      <c r="B2617" s="26" t="s">
        <v>104</v>
      </c>
      <c r="C2617" s="1"/>
      <c r="D2617" s="1"/>
      <c r="E2617" s="14"/>
      <c r="F2617" s="15"/>
      <c r="G2617" s="16"/>
      <c r="H2617" s="11"/>
      <c r="I2617" s="7"/>
      <c r="J2617" s="7" t="str">
        <f>IFERROR(LET(_xlpm.v,
VLOOKUP($I2617,'用語辞書'!$A:$B,COLUMN('用語辞書'!B$1),FALSE),
IF(_xlpm.v=0,"",_xlpm.v)
),"")</f>
        <v/>
      </c>
      <c r="K2617" s="17"/>
      <c r="L2617" s="17" t="str">
        <f>IF(OR(COUNTIF('クラス'!$A$1:$A$1267,$B2617)&gt;0,$B2617="",$M2617=""),"",True)</f>
        <v/>
      </c>
      <c r="M2617" s="1" t="str">
        <f t="shared" si="30"/>
        <v/>
      </c>
      <c r="N2617" s="1" t="s">
        <v>29</v>
      </c>
      <c r="O2617" s="1"/>
      <c r="P2617" s="11"/>
      <c r="Q2617" s="11"/>
      <c r="R2617" s="11"/>
      <c r="S2617" s="11"/>
      <c r="T2617" s="1"/>
      <c r="U2617" s="1"/>
      <c r="V2617" s="1"/>
      <c r="W2617" s="1"/>
      <c r="X2617" s="1"/>
      <c r="Y2617" s="1"/>
      <c r="Z2617" s="1"/>
    </row>
    <row r="2618" ht="18.0" hidden="1" customHeight="1" outlineLevel="2">
      <c r="A2618" s="26">
        <v>2.0</v>
      </c>
      <c r="B2618" s="1"/>
      <c r="C2618" s="1"/>
      <c r="D2618" s="1"/>
      <c r="E2618" s="14"/>
      <c r="F2618" s="15"/>
      <c r="G2618" s="16"/>
      <c r="H2618" s="11"/>
      <c r="I2618" s="7"/>
      <c r="J2618" s="7" t="str">
        <f>IFERROR(LET(_xlpm.v,
VLOOKUP($I2618,'用語辞書'!$A:$B,COLUMN('用語辞書'!B$1),FALSE),
IF(_xlpm.v=0,"",_xlpm.v)
),"")</f>
        <v/>
      </c>
      <c r="K2618" s="17"/>
      <c r="L2618" s="17" t="str">
        <f>IF(OR(COUNTIF('クラス'!$A$1:$A$1267,$B2618)&gt;0,$B2618="",$M2618=""),"",True)</f>
        <v/>
      </c>
      <c r="M2618" s="1" t="str">
        <f t="shared" si="30"/>
        <v>存在しない</v>
      </c>
      <c r="N2618" s="1" t="s">
        <v>29</v>
      </c>
      <c r="O2618" s="1"/>
      <c r="P2618" s="11"/>
      <c r="Q2618" s="11"/>
      <c r="R2618" s="11"/>
      <c r="S2618" s="11"/>
      <c r="T2618" s="1"/>
      <c r="U2618" s="1"/>
      <c r="V2618" s="1"/>
      <c r="W2618" s="1"/>
      <c r="X2618" s="1"/>
      <c r="Y2618" s="1"/>
      <c r="Z2618" s="1"/>
    </row>
    <row r="2619" ht="18.0" hidden="1" customHeight="1" outlineLevel="2">
      <c r="A2619" s="26">
        <v>3.0</v>
      </c>
      <c r="B2619" s="26" t="s">
        <v>98</v>
      </c>
      <c r="C2619" s="1"/>
      <c r="D2619" s="1"/>
      <c r="E2619" s="14"/>
      <c r="F2619" s="15"/>
      <c r="G2619" s="16"/>
      <c r="H2619" s="11"/>
      <c r="I2619" s="7"/>
      <c r="J2619" s="7" t="str">
        <f>IFERROR(LET(_xlpm.v,
VLOOKUP($I2619,'用語辞書'!$A:$B,COLUMN('用語辞書'!B$1),FALSE),
IF(_xlpm.v=0,"",_xlpm.v)
),"")</f>
        <v/>
      </c>
      <c r="K2619" s="17"/>
      <c r="L2619" s="17" t="str">
        <f>IF(OR(COUNTIF('クラス'!$A$1:$A$1267,$B2619)&gt;0,$B2619="",$M2619=""),"",True)</f>
        <v/>
      </c>
      <c r="M2619" s="1" t="str">
        <f t="shared" si="30"/>
        <v/>
      </c>
      <c r="N2619" s="1" t="s">
        <v>29</v>
      </c>
      <c r="O2619" s="1"/>
      <c r="P2619" s="11"/>
      <c r="Q2619" s="11"/>
      <c r="R2619" s="11"/>
      <c r="S2619" s="11"/>
      <c r="T2619" s="1"/>
      <c r="U2619" s="1"/>
      <c r="V2619" s="1"/>
      <c r="W2619" s="1"/>
      <c r="X2619" s="1"/>
      <c r="Y2619" s="1"/>
      <c r="Z2619" s="1"/>
    </row>
    <row r="2620" ht="18.0" hidden="1" customHeight="1" outlineLevel="2">
      <c r="A2620" s="26">
        <v>4.0</v>
      </c>
      <c r="B2620" s="1"/>
      <c r="C2620" s="1"/>
      <c r="D2620" s="1"/>
      <c r="E2620" s="14"/>
      <c r="F2620" s="15"/>
      <c r="G2620" s="16"/>
      <c r="H2620" s="11"/>
      <c r="I2620" s="7"/>
      <c r="J2620" s="7" t="str">
        <f>IFERROR(LET(_xlpm.v,
VLOOKUP($I2620,'用語辞書'!$A:$B,COLUMN('用語辞書'!B$1),FALSE),
IF(_xlpm.v=0,"",_xlpm.v)
),"")</f>
        <v/>
      </c>
      <c r="K2620" s="17"/>
      <c r="L2620" s="17" t="str">
        <f>IF(OR(COUNTIF('クラス'!$A$1:$A$1267,$B2620)&gt;0,$B2620="",$M2620=""),"",True)</f>
        <v/>
      </c>
      <c r="M2620" s="1" t="str">
        <f t="shared" si="30"/>
        <v>存在しない</v>
      </c>
      <c r="N2620" s="1" t="s">
        <v>29</v>
      </c>
      <c r="O2620" s="1"/>
      <c r="P2620" s="11"/>
      <c r="Q2620" s="11"/>
      <c r="R2620" s="11"/>
      <c r="S2620" s="11"/>
      <c r="T2620" s="1"/>
      <c r="U2620" s="1"/>
      <c r="V2620" s="1"/>
      <c r="W2620" s="1"/>
      <c r="X2620" s="1"/>
      <c r="Y2620" s="1"/>
      <c r="Z2620" s="1"/>
    </row>
    <row r="2621" ht="18.0" hidden="1" customHeight="1" outlineLevel="2">
      <c r="A2621" s="26">
        <v>5.0</v>
      </c>
      <c r="B2621" s="26" t="s">
        <v>108</v>
      </c>
      <c r="C2621" s="1"/>
      <c r="D2621" s="1"/>
      <c r="E2621" s="14"/>
      <c r="F2621" s="15"/>
      <c r="G2621" s="16"/>
      <c r="H2621" s="11"/>
      <c r="I2621" s="7"/>
      <c r="J2621" s="7" t="str">
        <f>IFERROR(LET(_xlpm.v,
VLOOKUP($I2621,'用語辞書'!$A:$B,COLUMN('用語辞書'!B$1),FALSE),
IF(_xlpm.v=0,"",_xlpm.v)
),"")</f>
        <v/>
      </c>
      <c r="K2621" s="17"/>
      <c r="L2621" s="17" t="str">
        <f>IF(OR(COUNTIF('クラス'!$A$1:$A$1267,$B2621)&gt;0,$B2621="",$M2621=""),"",True)</f>
        <v/>
      </c>
      <c r="M2621" s="1" t="str">
        <f t="shared" si="30"/>
        <v/>
      </c>
      <c r="N2621" s="1" t="s">
        <v>29</v>
      </c>
      <c r="O2621" s="1"/>
      <c r="P2621" s="11"/>
      <c r="Q2621" s="11"/>
      <c r="R2621" s="11"/>
      <c r="S2621" s="11"/>
      <c r="T2621" s="1"/>
      <c r="U2621" s="1"/>
      <c r="V2621" s="1"/>
      <c r="W2621" s="1"/>
      <c r="X2621" s="1"/>
      <c r="Y2621" s="1"/>
      <c r="Z2621" s="1"/>
    </row>
    <row r="2622" ht="18.0" hidden="1" customHeight="1" outlineLevel="2">
      <c r="A2622" s="26">
        <v>6.0</v>
      </c>
      <c r="B2622" s="1"/>
      <c r="C2622" s="1"/>
      <c r="D2622" s="1"/>
      <c r="E2622" s="14"/>
      <c r="F2622" s="15"/>
      <c r="G2622" s="16"/>
      <c r="H2622" s="11"/>
      <c r="I2622" s="7"/>
      <c r="J2622" s="7" t="str">
        <f>IFERROR(LET(_xlpm.v,
VLOOKUP($I2622,'用語辞書'!$A:$B,COLUMN('用語辞書'!B$1),FALSE),
IF(_xlpm.v=0,"",_xlpm.v)
),"")</f>
        <v/>
      </c>
      <c r="K2622" s="17"/>
      <c r="L2622" s="17" t="str">
        <f>IF(OR(COUNTIF('クラス'!$A$1:$A$1267,$B2622)&gt;0,$B2622="",$M2622=""),"",True)</f>
        <v/>
      </c>
      <c r="M2622" s="1" t="str">
        <f t="shared" si="30"/>
        <v>存在しない</v>
      </c>
      <c r="N2622" s="1" t="s">
        <v>29</v>
      </c>
      <c r="O2622" s="1"/>
      <c r="P2622" s="11"/>
      <c r="Q2622" s="11"/>
      <c r="R2622" s="11"/>
      <c r="S2622" s="11"/>
      <c r="T2622" s="1"/>
      <c r="U2622" s="1"/>
      <c r="V2622" s="1"/>
      <c r="W2622" s="1"/>
      <c r="X2622" s="1"/>
      <c r="Y2622" s="1"/>
      <c r="Z2622" s="1"/>
    </row>
    <row r="2623" ht="18.0" hidden="1" customHeight="1" outlineLevel="2">
      <c r="A2623" s="26">
        <v>7.0</v>
      </c>
      <c r="B2623" s="26" t="s">
        <v>101</v>
      </c>
      <c r="C2623" s="1"/>
      <c r="D2623" s="1"/>
      <c r="E2623" s="14"/>
      <c r="F2623" s="15"/>
      <c r="G2623" s="16"/>
      <c r="H2623" s="11"/>
      <c r="I2623" s="7"/>
      <c r="J2623" s="7" t="str">
        <f>IFERROR(LET(_xlpm.v,
VLOOKUP($I2623,'用語辞書'!$A:$B,COLUMN('用語辞書'!B$1),FALSE),
IF(_xlpm.v=0,"",_xlpm.v)
),"")</f>
        <v/>
      </c>
      <c r="K2623" s="17"/>
      <c r="L2623" s="17" t="str">
        <f>IF(OR(COUNTIF('クラス'!$A$1:$A$1267,$B2623)&gt;0,$B2623="",$M2623=""),"",True)</f>
        <v/>
      </c>
      <c r="M2623" s="1" t="str">
        <f t="shared" si="30"/>
        <v/>
      </c>
      <c r="N2623" s="1" t="s">
        <v>29</v>
      </c>
      <c r="O2623" s="1"/>
      <c r="P2623" s="11"/>
      <c r="Q2623" s="11"/>
      <c r="R2623" s="11"/>
      <c r="S2623" s="11"/>
      <c r="T2623" s="1"/>
      <c r="U2623" s="1"/>
      <c r="V2623" s="1"/>
      <c r="W2623" s="1"/>
      <c r="X2623" s="1"/>
      <c r="Y2623" s="1"/>
      <c r="Z2623" s="1"/>
    </row>
    <row r="2624" ht="18.0" hidden="1" customHeight="1" outlineLevel="2">
      <c r="A2624" s="26">
        <v>8.0</v>
      </c>
      <c r="B2624" s="1"/>
      <c r="C2624" s="1"/>
      <c r="D2624" s="1"/>
      <c r="E2624" s="14"/>
      <c r="F2624" s="15"/>
      <c r="G2624" s="16"/>
      <c r="H2624" s="11"/>
      <c r="I2624" s="7"/>
      <c r="J2624" s="7" t="str">
        <f>IFERROR(LET(_xlpm.v,
VLOOKUP($I2624,'用語辞書'!$A:$B,COLUMN('用語辞書'!B$1),FALSE),
IF(_xlpm.v=0,"",_xlpm.v)
),"")</f>
        <v/>
      </c>
      <c r="K2624" s="17"/>
      <c r="L2624" s="17" t="str">
        <f>IF(OR(COUNTIF('クラス'!$A$1:$A$1267,$B2624)&gt;0,$B2624="",$M2624=""),"",True)</f>
        <v/>
      </c>
      <c r="M2624" s="1" t="str">
        <f t="shared" si="30"/>
        <v>存在しない</v>
      </c>
      <c r="N2624" s="1" t="s">
        <v>29</v>
      </c>
      <c r="O2624" s="1"/>
      <c r="P2624" s="11"/>
      <c r="Q2624" s="11"/>
      <c r="R2624" s="11"/>
      <c r="S2624" s="11"/>
      <c r="T2624" s="1"/>
      <c r="U2624" s="1"/>
      <c r="V2624" s="1"/>
      <c r="W2624" s="1"/>
      <c r="X2624" s="1"/>
      <c r="Y2624" s="1"/>
      <c r="Z2624" s="1"/>
    </row>
    <row r="2625" ht="18.0" hidden="1" customHeight="1" outlineLevel="2">
      <c r="A2625" s="26">
        <v>9.0</v>
      </c>
      <c r="B2625" s="26" t="s">
        <v>111</v>
      </c>
      <c r="C2625" s="1"/>
      <c r="D2625" s="1"/>
      <c r="E2625" s="14"/>
      <c r="F2625" s="15"/>
      <c r="G2625" s="16"/>
      <c r="H2625" s="11"/>
      <c r="I2625" s="7"/>
      <c r="J2625" s="7" t="str">
        <f>IFERROR(LET(_xlpm.v,
VLOOKUP($I2625,'用語辞書'!$A:$B,COLUMN('用語辞書'!B$1),FALSE),
IF(_xlpm.v=0,"",_xlpm.v)
),"")</f>
        <v/>
      </c>
      <c r="K2625" s="17"/>
      <c r="L2625" s="17" t="str">
        <f>IF(OR(COUNTIF('クラス'!$A$1:$A$1267,$B2625)&gt;0,$B2625="",$M2625=""),"",True)</f>
        <v/>
      </c>
      <c r="M2625" s="1" t="str">
        <f t="shared" si="30"/>
        <v/>
      </c>
      <c r="N2625" s="1" t="s">
        <v>29</v>
      </c>
      <c r="O2625" s="1"/>
      <c r="P2625" s="11"/>
      <c r="Q2625" s="11"/>
      <c r="R2625" s="11"/>
      <c r="S2625" s="11"/>
      <c r="T2625" s="1"/>
      <c r="U2625" s="1"/>
      <c r="V2625" s="1"/>
      <c r="W2625" s="1"/>
      <c r="X2625" s="1"/>
      <c r="Y2625" s="1"/>
      <c r="Z2625" s="1"/>
    </row>
    <row r="2626" ht="18.0" hidden="1" customHeight="1" outlineLevel="2">
      <c r="A2626" s="26">
        <v>10.0</v>
      </c>
      <c r="B2626" s="26" t="s">
        <v>118</v>
      </c>
      <c r="C2626" s="1"/>
      <c r="D2626" s="1"/>
      <c r="E2626" s="14"/>
      <c r="F2626" s="15"/>
      <c r="G2626" s="16"/>
      <c r="H2626" s="11"/>
      <c r="I2626" s="7"/>
      <c r="J2626" s="7" t="str">
        <f>IFERROR(LET(_xlpm.v,
VLOOKUP($I2626,'用語辞書'!$A:$B,COLUMN('用語辞書'!B$1),FALSE),
IF(_xlpm.v=0,"",_xlpm.v)
),"")</f>
        <v/>
      </c>
      <c r="K2626" s="17"/>
      <c r="L2626" s="17" t="str">
        <f>IF(OR(COUNTIF('クラス'!$A$1:$A$1267,$B2626)&gt;0,$B2626="",$M2626=""),"",True)</f>
        <v/>
      </c>
      <c r="M2626" s="1" t="str">
        <f t="shared" si="30"/>
        <v/>
      </c>
      <c r="N2626" s="1" t="s">
        <v>29</v>
      </c>
      <c r="O2626" s="1"/>
      <c r="P2626" s="11"/>
      <c r="Q2626" s="11"/>
      <c r="R2626" s="11"/>
      <c r="S2626" s="11"/>
      <c r="T2626" s="1"/>
      <c r="U2626" s="1"/>
      <c r="V2626" s="1"/>
      <c r="W2626" s="1"/>
      <c r="X2626" s="1"/>
      <c r="Y2626" s="1"/>
      <c r="Z2626" s="1"/>
    </row>
    <row r="2627" ht="18.0" customHeight="1" outlineLevel="1" collapsed="1">
      <c r="A2627" s="1"/>
      <c r="B2627" s="1"/>
      <c r="C2627" s="1"/>
      <c r="D2627" s="1"/>
      <c r="E2627" s="14"/>
      <c r="F2627" s="15"/>
      <c r="G2627" s="16"/>
      <c r="H2627" s="11"/>
      <c r="I2627" s="7"/>
      <c r="J2627" s="7" t="str">
        <f>IFERROR(LET(_xlpm.v,
VLOOKUP($I2627,'用語辞書'!$A:$B,COLUMN('用語辞書'!B$1),FALSE),
IF(_xlpm.v=0,"",_xlpm.v)
),"")</f>
        <v/>
      </c>
      <c r="K2627" s="17"/>
      <c r="L2627" s="17" t="str">
        <f>IF(OR(COUNTIF('クラス'!$A$1:$A$1267,$B2627)&gt;0,$B2627="",$M2627=""),"",True)</f>
        <v/>
      </c>
      <c r="M2627" s="1" t="str">
        <f t="shared" si="30"/>
        <v>存在しない</v>
      </c>
      <c r="N2627" s="1" t="s">
        <v>29</v>
      </c>
      <c r="O2627" s="1"/>
      <c r="P2627" s="11"/>
      <c r="Q2627" s="11"/>
      <c r="R2627" s="11"/>
      <c r="S2627" s="11"/>
      <c r="T2627" s="1"/>
      <c r="U2627" s="1"/>
      <c r="V2627" s="1"/>
      <c r="W2627" s="1"/>
      <c r="X2627" s="1"/>
      <c r="Y2627" s="1"/>
      <c r="Z2627" s="1"/>
    </row>
    <row r="2628" ht="18.0" customHeight="1" outlineLevel="1">
      <c r="A2628" s="1"/>
      <c r="B2628" s="26" t="s">
        <v>2449</v>
      </c>
      <c r="C2628" s="1"/>
      <c r="D2628" s="1"/>
      <c r="E2628" s="14"/>
      <c r="F2628" s="15"/>
      <c r="G2628" s="16"/>
      <c r="H2628" s="11"/>
      <c r="I2628" s="7"/>
      <c r="J2628" s="7" t="str">
        <f>IFERROR(LET(_xlpm.v,
VLOOKUP($I2628,'用語辞書'!$A:$B,COLUMN('用語辞書'!B$1),FALSE),
IF(_xlpm.v=0,"",_xlpm.v)
),"")</f>
        <v/>
      </c>
      <c r="K2628" s="17"/>
      <c r="L2628" s="17" t="str">
        <f>IF(OR(COUNTIF('クラス'!$A$1:$A$1267,$B2628)&gt;0,$B2628="",$M2628=""),"",True)</f>
        <v/>
      </c>
      <c r="M2628" s="1" t="str">
        <f t="shared" si="30"/>
        <v>存在しない</v>
      </c>
      <c r="N2628" s="1" t="s">
        <v>29</v>
      </c>
      <c r="O2628" s="1"/>
      <c r="P2628" s="11"/>
      <c r="Q2628" s="11"/>
      <c r="R2628" s="11"/>
      <c r="S2628" s="11"/>
      <c r="T2628" s="1"/>
      <c r="U2628" s="1"/>
      <c r="V2628" s="1"/>
      <c r="W2628" s="1"/>
      <c r="X2628" s="1"/>
      <c r="Y2628" s="1"/>
      <c r="Z2628" s="1"/>
    </row>
    <row r="2629" ht="18.0" hidden="1" customHeight="1" outlineLevel="2">
      <c r="A2629" s="26">
        <v>1.0</v>
      </c>
      <c r="B2629" s="26" t="s">
        <v>111</v>
      </c>
      <c r="C2629" s="1"/>
      <c r="D2629" s="1"/>
      <c r="E2629" s="14"/>
      <c r="F2629" s="15"/>
      <c r="G2629" s="16"/>
      <c r="H2629" s="11"/>
      <c r="I2629" s="7"/>
      <c r="J2629" s="7" t="str">
        <f>IFERROR(LET(_xlpm.v,
VLOOKUP($I2629,'用語辞書'!$A:$B,COLUMN('用語辞書'!B$1),FALSE),
IF(_xlpm.v=0,"",_xlpm.v)
),"")</f>
        <v/>
      </c>
      <c r="K2629" s="17"/>
      <c r="L2629" s="17" t="str">
        <f>IF(OR(COUNTIF('クラス'!$A$1:$A$1267,$B2629)&gt;0,$B2629="",$M2629=""),"",True)</f>
        <v/>
      </c>
      <c r="M2629" s="1" t="str">
        <f t="shared" si="30"/>
        <v/>
      </c>
      <c r="N2629" s="1" t="s">
        <v>29</v>
      </c>
      <c r="O2629" s="1"/>
      <c r="P2629" s="11"/>
      <c r="Q2629" s="11"/>
      <c r="R2629" s="11"/>
      <c r="S2629" s="11"/>
      <c r="T2629" s="1"/>
      <c r="U2629" s="1"/>
      <c r="V2629" s="1"/>
      <c r="W2629" s="1"/>
      <c r="X2629" s="1"/>
      <c r="Y2629" s="1"/>
      <c r="Z2629" s="1"/>
    </row>
    <row r="2630" ht="18.0" hidden="1" customHeight="1" outlineLevel="2">
      <c r="A2630" s="26">
        <v>2.0</v>
      </c>
      <c r="B2630" s="1"/>
      <c r="C2630" s="1"/>
      <c r="D2630" s="1"/>
      <c r="E2630" s="14"/>
      <c r="F2630" s="15"/>
      <c r="G2630" s="16"/>
      <c r="H2630" s="11"/>
      <c r="I2630" s="7"/>
      <c r="J2630" s="7" t="str">
        <f>IFERROR(LET(_xlpm.v,
VLOOKUP($I2630,'用語辞書'!$A:$B,COLUMN('用語辞書'!B$1),FALSE),
IF(_xlpm.v=0,"",_xlpm.v)
),"")</f>
        <v/>
      </c>
      <c r="K2630" s="17"/>
      <c r="L2630" s="17" t="str">
        <f>IF(OR(COUNTIF('クラス'!$A$1:$A$1267,$B2630)&gt;0,$B2630="",$M2630=""),"",True)</f>
        <v/>
      </c>
      <c r="M2630" s="1" t="str">
        <f t="shared" si="30"/>
        <v>存在しない</v>
      </c>
      <c r="N2630" s="1" t="s">
        <v>29</v>
      </c>
      <c r="O2630" s="1"/>
      <c r="P2630" s="11"/>
      <c r="Q2630" s="11"/>
      <c r="R2630" s="11"/>
      <c r="S2630" s="11"/>
      <c r="T2630" s="1"/>
      <c r="U2630" s="1"/>
      <c r="V2630" s="1"/>
      <c r="W2630" s="1"/>
      <c r="X2630" s="1"/>
      <c r="Y2630" s="1"/>
      <c r="Z2630" s="1"/>
    </row>
    <row r="2631" ht="18.0" hidden="1" customHeight="1" outlineLevel="2">
      <c r="A2631" s="26">
        <v>3.0</v>
      </c>
      <c r="B2631" s="26" t="s">
        <v>115</v>
      </c>
      <c r="C2631" s="1"/>
      <c r="D2631" s="1"/>
      <c r="E2631" s="14"/>
      <c r="F2631" s="15"/>
      <c r="G2631" s="16"/>
      <c r="H2631" s="11"/>
      <c r="I2631" s="7"/>
      <c r="J2631" s="7" t="str">
        <f>IFERROR(LET(_xlpm.v,
VLOOKUP($I2631,'用語辞書'!$A:$B,COLUMN('用語辞書'!B$1),FALSE),
IF(_xlpm.v=0,"",_xlpm.v)
),"")</f>
        <v/>
      </c>
      <c r="K2631" s="17"/>
      <c r="L2631" s="17" t="str">
        <f>IF(OR(COUNTIF('クラス'!$A$1:$A$1267,$B2631)&gt;0,$B2631="",$M2631=""),"",True)</f>
        <v/>
      </c>
      <c r="M2631" s="1" t="str">
        <f t="shared" si="30"/>
        <v/>
      </c>
      <c r="N2631" s="1" t="s">
        <v>29</v>
      </c>
      <c r="O2631" s="1"/>
      <c r="P2631" s="11"/>
      <c r="Q2631" s="11"/>
      <c r="R2631" s="11"/>
      <c r="S2631" s="11"/>
      <c r="T2631" s="1"/>
      <c r="U2631" s="1"/>
      <c r="V2631" s="1"/>
      <c r="W2631" s="1"/>
      <c r="X2631" s="1"/>
      <c r="Y2631" s="1"/>
      <c r="Z2631" s="1"/>
    </row>
    <row r="2632" ht="18.0" hidden="1" customHeight="1" outlineLevel="2">
      <c r="A2632" s="26">
        <v>4.0</v>
      </c>
      <c r="B2632" s="1"/>
      <c r="C2632" s="1"/>
      <c r="D2632" s="1"/>
      <c r="E2632" s="14"/>
      <c r="F2632" s="15"/>
      <c r="G2632" s="16"/>
      <c r="H2632" s="11"/>
      <c r="I2632" s="7"/>
      <c r="J2632" s="7" t="str">
        <f>IFERROR(LET(_xlpm.v,
VLOOKUP($I2632,'用語辞書'!$A:$B,COLUMN('用語辞書'!B$1),FALSE),
IF(_xlpm.v=0,"",_xlpm.v)
),"")</f>
        <v/>
      </c>
      <c r="K2632" s="17"/>
      <c r="L2632" s="17" t="str">
        <f>IF(OR(COUNTIF('クラス'!$A$1:$A$1267,$B2632)&gt;0,$B2632="",$M2632=""),"",True)</f>
        <v/>
      </c>
      <c r="M2632" s="1" t="str">
        <f t="shared" si="30"/>
        <v>存在しない</v>
      </c>
      <c r="N2632" s="1" t="s">
        <v>29</v>
      </c>
      <c r="O2632" s="1"/>
      <c r="P2632" s="11"/>
      <c r="Q2632" s="11"/>
      <c r="R2632" s="11"/>
      <c r="S2632" s="11"/>
      <c r="T2632" s="1"/>
      <c r="U2632" s="1"/>
      <c r="V2632" s="1"/>
      <c r="W2632" s="1"/>
      <c r="X2632" s="1"/>
      <c r="Y2632" s="1"/>
      <c r="Z2632" s="1"/>
    </row>
    <row r="2633" ht="18.0" hidden="1" customHeight="1" outlineLevel="2">
      <c r="A2633" s="26">
        <v>5.0</v>
      </c>
      <c r="B2633" s="26" t="s">
        <v>118</v>
      </c>
      <c r="C2633" s="1"/>
      <c r="D2633" s="1"/>
      <c r="E2633" s="14"/>
      <c r="F2633" s="15"/>
      <c r="G2633" s="16"/>
      <c r="H2633" s="11"/>
      <c r="I2633" s="7"/>
      <c r="J2633" s="7" t="str">
        <f>IFERROR(LET(_xlpm.v,
VLOOKUP($I2633,'用語辞書'!$A:$B,COLUMN('用語辞書'!B$1),FALSE),
IF(_xlpm.v=0,"",_xlpm.v)
),"")</f>
        <v/>
      </c>
      <c r="K2633" s="17"/>
      <c r="L2633" s="17" t="str">
        <f>IF(OR(COUNTIF('クラス'!$A$1:$A$1267,$B2633)&gt;0,$B2633="",$M2633=""),"",True)</f>
        <v/>
      </c>
      <c r="M2633" s="1" t="str">
        <f t="shared" si="30"/>
        <v/>
      </c>
      <c r="N2633" s="1" t="s">
        <v>29</v>
      </c>
      <c r="O2633" s="1"/>
      <c r="P2633" s="11"/>
      <c r="Q2633" s="11"/>
      <c r="R2633" s="11"/>
      <c r="S2633" s="11"/>
      <c r="T2633" s="1"/>
      <c r="U2633" s="1"/>
      <c r="V2633" s="1"/>
      <c r="W2633" s="1"/>
      <c r="X2633" s="1"/>
      <c r="Y2633" s="1"/>
      <c r="Z2633" s="1"/>
    </row>
    <row r="2634" ht="18.0" hidden="1" customHeight="1" outlineLevel="2">
      <c r="A2634" s="26">
        <v>6.0</v>
      </c>
      <c r="B2634" s="1"/>
      <c r="C2634" s="1"/>
      <c r="D2634" s="1"/>
      <c r="E2634" s="14"/>
      <c r="F2634" s="15"/>
      <c r="G2634" s="16"/>
      <c r="H2634" s="11"/>
      <c r="I2634" s="7"/>
      <c r="J2634" s="7" t="str">
        <f>IFERROR(LET(_xlpm.v,
VLOOKUP($I2634,'用語辞書'!$A:$B,COLUMN('用語辞書'!B$1),FALSE),
IF(_xlpm.v=0,"",_xlpm.v)
),"")</f>
        <v/>
      </c>
      <c r="K2634" s="17"/>
      <c r="L2634" s="17" t="str">
        <f>IF(OR(COUNTIF('クラス'!$A$1:$A$1267,$B2634)&gt;0,$B2634="",$M2634=""),"",True)</f>
        <v/>
      </c>
      <c r="M2634" s="1" t="str">
        <f t="shared" si="30"/>
        <v>存在しない</v>
      </c>
      <c r="N2634" s="1" t="s">
        <v>29</v>
      </c>
      <c r="O2634" s="1"/>
      <c r="P2634" s="11"/>
      <c r="Q2634" s="11"/>
      <c r="R2634" s="11"/>
      <c r="S2634" s="11"/>
      <c r="T2634" s="1"/>
      <c r="U2634" s="1"/>
      <c r="V2634" s="1"/>
      <c r="W2634" s="1"/>
      <c r="X2634" s="1"/>
      <c r="Y2634" s="1"/>
      <c r="Z2634" s="1"/>
    </row>
    <row r="2635" ht="18.0" hidden="1" customHeight="1" outlineLevel="2">
      <c r="A2635" s="26">
        <v>7.0</v>
      </c>
      <c r="B2635" s="26" t="s">
        <v>108</v>
      </c>
      <c r="C2635" s="1"/>
      <c r="D2635" s="1"/>
      <c r="E2635" s="14"/>
      <c r="F2635" s="15"/>
      <c r="G2635" s="16"/>
      <c r="H2635" s="11"/>
      <c r="I2635" s="7"/>
      <c r="J2635" s="7" t="str">
        <f>IFERROR(LET(_xlpm.v,
VLOOKUP($I2635,'用語辞書'!$A:$B,COLUMN('用語辞書'!B$1),FALSE),
IF(_xlpm.v=0,"",_xlpm.v)
),"")</f>
        <v/>
      </c>
      <c r="K2635" s="17"/>
      <c r="L2635" s="17" t="str">
        <f>IF(OR(COUNTIF('クラス'!$A$1:$A$1267,$B2635)&gt;0,$B2635="",$M2635=""),"",True)</f>
        <v/>
      </c>
      <c r="M2635" s="1" t="str">
        <f t="shared" si="30"/>
        <v/>
      </c>
      <c r="N2635" s="1" t="s">
        <v>29</v>
      </c>
      <c r="O2635" s="1"/>
      <c r="P2635" s="11"/>
      <c r="Q2635" s="11"/>
      <c r="R2635" s="11"/>
      <c r="S2635" s="11"/>
      <c r="T2635" s="1"/>
      <c r="U2635" s="1"/>
      <c r="V2635" s="1"/>
      <c r="W2635" s="1"/>
      <c r="X2635" s="1"/>
      <c r="Y2635" s="1"/>
      <c r="Z2635" s="1"/>
    </row>
    <row r="2636" ht="18.0" hidden="1" customHeight="1" outlineLevel="2">
      <c r="A2636" s="26">
        <v>8.0</v>
      </c>
      <c r="B2636" s="1"/>
      <c r="C2636" s="1"/>
      <c r="D2636" s="1"/>
      <c r="E2636" s="14"/>
      <c r="F2636" s="15"/>
      <c r="G2636" s="16"/>
      <c r="H2636" s="11"/>
      <c r="I2636" s="7"/>
      <c r="J2636" s="7" t="str">
        <f>IFERROR(LET(_xlpm.v,
VLOOKUP($I2636,'用語辞書'!$A:$B,COLUMN('用語辞書'!B$1),FALSE),
IF(_xlpm.v=0,"",_xlpm.v)
),"")</f>
        <v/>
      </c>
      <c r="K2636" s="17"/>
      <c r="L2636" s="17" t="str">
        <f>IF(OR(COUNTIF('クラス'!$A$1:$A$1267,$B2636)&gt;0,$B2636="",$M2636=""),"",True)</f>
        <v/>
      </c>
      <c r="M2636" s="1" t="str">
        <f t="shared" si="30"/>
        <v>存在しない</v>
      </c>
      <c r="N2636" s="1" t="s">
        <v>29</v>
      </c>
      <c r="O2636" s="1"/>
      <c r="P2636" s="11"/>
      <c r="Q2636" s="11"/>
      <c r="R2636" s="11"/>
      <c r="S2636" s="11"/>
      <c r="T2636" s="1"/>
      <c r="U2636" s="1"/>
      <c r="V2636" s="1"/>
      <c r="W2636" s="1"/>
      <c r="X2636" s="1"/>
      <c r="Y2636" s="1"/>
      <c r="Z2636" s="1"/>
    </row>
    <row r="2637" ht="18.0" hidden="1" customHeight="1" outlineLevel="2">
      <c r="A2637" s="26">
        <v>9.0</v>
      </c>
      <c r="B2637" s="26" t="s">
        <v>98</v>
      </c>
      <c r="C2637" s="1"/>
      <c r="D2637" s="1"/>
      <c r="E2637" s="14"/>
      <c r="F2637" s="15"/>
      <c r="G2637" s="16"/>
      <c r="H2637" s="11"/>
      <c r="I2637" s="7"/>
      <c r="J2637" s="7" t="str">
        <f>IFERROR(LET(_xlpm.v,
VLOOKUP($I2637,'用語辞書'!$A:$B,COLUMN('用語辞書'!B$1),FALSE),
IF(_xlpm.v=0,"",_xlpm.v)
),"")</f>
        <v/>
      </c>
      <c r="K2637" s="17"/>
      <c r="L2637" s="17" t="str">
        <f>IF(OR(COUNTIF('クラス'!$A$1:$A$1267,$B2637)&gt;0,$B2637="",$M2637=""),"",True)</f>
        <v/>
      </c>
      <c r="M2637" s="1" t="str">
        <f t="shared" si="30"/>
        <v/>
      </c>
      <c r="N2637" s="1" t="s">
        <v>29</v>
      </c>
      <c r="O2637" s="1"/>
      <c r="P2637" s="11"/>
      <c r="Q2637" s="11"/>
      <c r="R2637" s="11"/>
      <c r="S2637" s="11"/>
      <c r="T2637" s="1"/>
      <c r="U2637" s="1"/>
      <c r="V2637" s="1"/>
      <c r="W2637" s="1"/>
      <c r="X2637" s="1"/>
      <c r="Y2637" s="1"/>
      <c r="Z2637" s="1"/>
    </row>
    <row r="2638" ht="18.0" hidden="1" customHeight="1" outlineLevel="2">
      <c r="A2638" s="26">
        <v>10.0</v>
      </c>
      <c r="B2638" s="26" t="s">
        <v>2450</v>
      </c>
      <c r="C2638" s="26" t="s">
        <v>29</v>
      </c>
      <c r="D2638" s="26" t="s">
        <v>76</v>
      </c>
      <c r="E2638" s="29" t="s">
        <v>55</v>
      </c>
      <c r="F2638" s="34" t="s">
        <v>29</v>
      </c>
      <c r="G2638" s="30" t="s">
        <v>29</v>
      </c>
      <c r="H2638" s="22" t="s">
        <v>2451</v>
      </c>
      <c r="I2638" s="7"/>
      <c r="J2638" s="7" t="str">
        <f>IFERROR(LET(_xlpm.v,
VLOOKUP($I2638,'用語辞書'!$A:$B,COLUMN('用語辞書'!B$1),FALSE),
IF(_xlpm.v=0,"",_xlpm.v)
),"")</f>
        <v/>
      </c>
      <c r="K2638" s="17"/>
      <c r="L2638" s="17" t="b">
        <f>IF(OR(COUNTIF('クラス'!$A$1:$A$1267,$B2638)&gt;0,$B2638="",$M2638=""),"",True)</f>
        <v>1</v>
      </c>
      <c r="M2638" s="1" t="str">
        <f t="shared" si="30"/>
        <v>存在しない</v>
      </c>
      <c r="N2638" s="1" t="s">
        <v>29</v>
      </c>
      <c r="O2638" s="1"/>
      <c r="P2638" s="11"/>
      <c r="Q2638" s="11"/>
      <c r="R2638" s="11"/>
      <c r="S2638" s="11"/>
      <c r="T2638" s="1"/>
      <c r="U2638" s="1"/>
      <c r="V2638" s="1"/>
      <c r="W2638" s="1"/>
      <c r="X2638" s="1"/>
      <c r="Y2638" s="1"/>
      <c r="Z2638" s="1"/>
    </row>
    <row r="2639" ht="18.0" customHeight="1" collapsed="1">
      <c r="A2639" s="1"/>
      <c r="B2639" s="1"/>
      <c r="C2639" s="26" t="s">
        <v>2452</v>
      </c>
      <c r="D2639" s="1"/>
      <c r="E2639" s="14"/>
      <c r="F2639" s="15"/>
      <c r="G2639" s="16"/>
      <c r="H2639" s="11"/>
      <c r="I2639" s="7"/>
      <c r="J2639" s="7" t="str">
        <f>IFERROR(LET(_xlpm.v,
VLOOKUP($I2639,'用語辞書'!$A:$B,COLUMN('用語辞書'!B$1),FALSE),
IF(_xlpm.v=0,"",_xlpm.v)
),"")</f>
        <v/>
      </c>
      <c r="K2639" s="17"/>
      <c r="L2639" s="17" t="str">
        <f>IF(OR(COUNTIF('クラス'!$A$1:$A$1267,$B2639)&gt;0,$B2639="",$M2639=""),"",True)</f>
        <v/>
      </c>
      <c r="M2639" s="1" t="str">
        <f t="shared" si="30"/>
        <v>存在しない</v>
      </c>
      <c r="N2639" s="1" t="s">
        <v>29</v>
      </c>
      <c r="O2639" s="1"/>
      <c r="P2639" s="11"/>
      <c r="Q2639" s="11"/>
      <c r="R2639" s="11"/>
      <c r="S2639" s="11"/>
      <c r="T2639" s="1"/>
      <c r="U2639" s="1"/>
      <c r="V2639" s="1"/>
      <c r="W2639" s="1"/>
      <c r="X2639" s="1"/>
      <c r="Y2639" s="1"/>
      <c r="Z2639" s="1"/>
    </row>
    <row r="2640" ht="18.0" customHeight="1">
      <c r="A2640" s="1"/>
      <c r="B2640" s="26" t="s">
        <v>2453</v>
      </c>
      <c r="C2640" s="1"/>
      <c r="D2640" s="1"/>
      <c r="E2640" s="14"/>
      <c r="F2640" s="15"/>
      <c r="G2640" s="16"/>
      <c r="H2640" s="11"/>
      <c r="I2640" s="7"/>
      <c r="J2640" s="7" t="str">
        <f>IFERROR(LET(_xlpm.v,
VLOOKUP($I2640,'用語辞書'!$A:$B,COLUMN('用語辞書'!B$1),FALSE),
IF(_xlpm.v=0,"",_xlpm.v)
),"")</f>
        <v/>
      </c>
      <c r="K2640" s="17"/>
      <c r="L2640" s="17" t="str">
        <f>IF(OR(COUNTIF('クラス'!$A$1:$A$1267,$B2640)&gt;0,$B2640="",$M2640=""),"",True)</f>
        <v/>
      </c>
      <c r="M2640" s="1" t="str">
        <f t="shared" si="30"/>
        <v>存在しない</v>
      </c>
      <c r="N2640" s="1" t="s">
        <v>29</v>
      </c>
      <c r="O2640" s="1"/>
      <c r="P2640" s="11"/>
      <c r="Q2640" s="11"/>
      <c r="R2640" s="11"/>
      <c r="S2640" s="11"/>
      <c r="T2640" s="1"/>
      <c r="U2640" s="1"/>
      <c r="V2640" s="1"/>
      <c r="W2640" s="1"/>
      <c r="X2640" s="1"/>
      <c r="Y2640" s="1"/>
      <c r="Z2640" s="1"/>
    </row>
    <row r="2641" ht="18.0" hidden="1" customHeight="1" outlineLevel="1">
      <c r="A2641" s="1">
        <v>1.0</v>
      </c>
      <c r="B2641" s="26" t="s">
        <v>788</v>
      </c>
      <c r="C2641" s="1"/>
      <c r="D2641" s="1"/>
      <c r="E2641" s="14"/>
      <c r="F2641" s="15"/>
      <c r="G2641" s="16"/>
      <c r="H2641" s="11"/>
      <c r="I2641" s="7"/>
      <c r="J2641" s="7" t="str">
        <f>IFERROR(LET(_xlpm.v,
VLOOKUP($I2641,'用語辞書'!$A:$B,COLUMN('用語辞書'!B$1),FALSE),
IF(_xlpm.v=0,"",_xlpm.v)
),"")</f>
        <v/>
      </c>
      <c r="K2641" s="17"/>
      <c r="L2641" s="17" t="str">
        <f>IF(OR(COUNTIF('クラス'!$A$1:$A$1267,$B2641)&gt;0,$B2641="",$M2641=""),"",True)</f>
        <v/>
      </c>
      <c r="M2641" s="1" t="str">
        <f t="shared" si="30"/>
        <v/>
      </c>
      <c r="N2641" s="1" t="s">
        <v>29</v>
      </c>
      <c r="O2641" s="1"/>
      <c r="P2641" s="11"/>
      <c r="Q2641" s="11"/>
      <c r="R2641" s="11"/>
      <c r="S2641" s="11"/>
      <c r="T2641" s="1"/>
      <c r="U2641" s="1"/>
      <c r="V2641" s="1"/>
      <c r="W2641" s="1"/>
      <c r="X2641" s="1"/>
      <c r="Y2641" s="1"/>
      <c r="Z2641" s="1"/>
    </row>
    <row r="2642" ht="18.0" hidden="1" customHeight="1" outlineLevel="1">
      <c r="A2642" s="1">
        <v>2.0</v>
      </c>
      <c r="B2642" s="26" t="s">
        <v>854</v>
      </c>
      <c r="C2642" s="1"/>
      <c r="D2642" s="1"/>
      <c r="E2642" s="14"/>
      <c r="F2642" s="15"/>
      <c r="G2642" s="16"/>
      <c r="H2642" s="11"/>
      <c r="I2642" s="7"/>
      <c r="J2642" s="7" t="str">
        <f>IFERROR(LET(_xlpm.v,
VLOOKUP($I2642,'用語辞書'!$A:$B,COLUMN('用語辞書'!B$1),FALSE),
IF(_xlpm.v=0,"",_xlpm.v)
),"")</f>
        <v/>
      </c>
      <c r="K2642" s="17"/>
      <c r="L2642" s="17" t="str">
        <f>IF(OR(COUNTIF('クラス'!$A$1:$A$1267,$B2642)&gt;0,$B2642="",$M2642=""),"",True)</f>
        <v/>
      </c>
      <c r="M2642" s="1" t="str">
        <f t="shared" si="30"/>
        <v/>
      </c>
      <c r="N2642" s="1" t="s">
        <v>29</v>
      </c>
      <c r="O2642" s="1"/>
      <c r="P2642" s="11"/>
      <c r="Q2642" s="11"/>
      <c r="R2642" s="11"/>
      <c r="S2642" s="11"/>
      <c r="T2642" s="1"/>
      <c r="U2642" s="1"/>
      <c r="V2642" s="1"/>
      <c r="W2642" s="1"/>
      <c r="X2642" s="1"/>
      <c r="Y2642" s="1"/>
      <c r="Z2642" s="1"/>
    </row>
    <row r="2643" ht="18.0" hidden="1" customHeight="1" outlineLevel="1">
      <c r="A2643" s="1">
        <v>3.0</v>
      </c>
      <c r="B2643" s="26" t="s">
        <v>857</v>
      </c>
      <c r="C2643" s="1"/>
      <c r="D2643" s="1"/>
      <c r="E2643" s="14"/>
      <c r="F2643" s="15"/>
      <c r="G2643" s="16"/>
      <c r="H2643" s="11"/>
      <c r="I2643" s="7"/>
      <c r="J2643" s="7" t="str">
        <f>IFERROR(LET(_xlpm.v,
VLOOKUP($I2643,'用語辞書'!$A:$B,COLUMN('用語辞書'!B$1),FALSE),
IF(_xlpm.v=0,"",_xlpm.v)
),"")</f>
        <v/>
      </c>
      <c r="K2643" s="17"/>
      <c r="L2643" s="17" t="str">
        <f>IF(OR(COUNTIF('クラス'!$A$1:$A$1267,$B2643)&gt;0,$B2643="",$M2643=""),"",True)</f>
        <v/>
      </c>
      <c r="M2643" s="1" t="str">
        <f t="shared" si="30"/>
        <v/>
      </c>
      <c r="N2643" s="1" t="s">
        <v>29</v>
      </c>
      <c r="O2643" s="1"/>
      <c r="P2643" s="11"/>
      <c r="Q2643" s="11"/>
      <c r="R2643" s="11"/>
      <c r="S2643" s="11"/>
      <c r="T2643" s="1"/>
      <c r="U2643" s="1"/>
      <c r="V2643" s="1"/>
      <c r="W2643" s="1"/>
      <c r="X2643" s="1"/>
      <c r="Y2643" s="1"/>
      <c r="Z2643" s="1"/>
    </row>
    <row r="2644" ht="18.0" hidden="1" customHeight="1" outlineLevel="1">
      <c r="A2644" s="1">
        <v>4.0</v>
      </c>
      <c r="B2644" s="26" t="s">
        <v>860</v>
      </c>
      <c r="C2644" s="1"/>
      <c r="D2644" s="1"/>
      <c r="E2644" s="14"/>
      <c r="F2644" s="15"/>
      <c r="G2644" s="16"/>
      <c r="H2644" s="11"/>
      <c r="I2644" s="7"/>
      <c r="J2644" s="7" t="str">
        <f>IFERROR(LET(_xlpm.v,
VLOOKUP($I2644,'用語辞書'!$A:$B,COLUMN('用語辞書'!B$1),FALSE),
IF(_xlpm.v=0,"",_xlpm.v)
),"")</f>
        <v/>
      </c>
      <c r="K2644" s="17"/>
      <c r="L2644" s="17" t="str">
        <f>IF(OR(COUNTIF('クラス'!$A$1:$A$1267,$B2644)&gt;0,$B2644="",$M2644=""),"",True)</f>
        <v/>
      </c>
      <c r="M2644" s="1" t="str">
        <f t="shared" si="30"/>
        <v/>
      </c>
      <c r="N2644" s="1" t="s">
        <v>29</v>
      </c>
      <c r="O2644" s="1"/>
      <c r="P2644" s="11"/>
      <c r="Q2644" s="11"/>
      <c r="R2644" s="11"/>
      <c r="S2644" s="11"/>
      <c r="T2644" s="1"/>
      <c r="U2644" s="1"/>
      <c r="V2644" s="1"/>
      <c r="W2644" s="1"/>
      <c r="X2644" s="1"/>
      <c r="Y2644" s="1"/>
      <c r="Z2644" s="1"/>
    </row>
    <row r="2645" ht="18.0" hidden="1" customHeight="1" outlineLevel="1">
      <c r="A2645" s="1">
        <v>5.0</v>
      </c>
      <c r="B2645" s="26" t="s">
        <v>863</v>
      </c>
      <c r="C2645" s="1"/>
      <c r="D2645" s="1"/>
      <c r="E2645" s="14"/>
      <c r="F2645" s="15"/>
      <c r="G2645" s="16"/>
      <c r="H2645" s="11"/>
      <c r="I2645" s="7"/>
      <c r="J2645" s="7" t="str">
        <f>IFERROR(LET(_xlpm.v,
VLOOKUP($I2645,'用語辞書'!$A:$B,COLUMN('用語辞書'!B$1),FALSE),
IF(_xlpm.v=0,"",_xlpm.v)
),"")</f>
        <v/>
      </c>
      <c r="K2645" s="17"/>
      <c r="L2645" s="17" t="str">
        <f>IF(OR(COUNTIF('クラス'!$A$1:$A$1267,$B2645)&gt;0,$B2645="",$M2645=""),"",True)</f>
        <v/>
      </c>
      <c r="M2645" s="1" t="str">
        <f t="shared" si="30"/>
        <v/>
      </c>
      <c r="N2645" s="1" t="s">
        <v>29</v>
      </c>
      <c r="O2645" s="1"/>
      <c r="P2645" s="11"/>
      <c r="Q2645" s="11"/>
      <c r="R2645" s="11"/>
      <c r="S2645" s="11"/>
      <c r="T2645" s="1"/>
      <c r="U2645" s="1"/>
      <c r="V2645" s="1"/>
      <c r="W2645" s="1"/>
      <c r="X2645" s="1"/>
      <c r="Y2645" s="1"/>
      <c r="Z2645" s="1"/>
    </row>
    <row r="2646" ht="18.0" hidden="1" customHeight="1" outlineLevel="1">
      <c r="A2646" s="1">
        <v>6.0</v>
      </c>
      <c r="B2646" s="1"/>
      <c r="C2646" s="1"/>
      <c r="D2646" s="1"/>
      <c r="E2646" s="14"/>
      <c r="F2646" s="15"/>
      <c r="G2646" s="16"/>
      <c r="H2646" s="11"/>
      <c r="I2646" s="7"/>
      <c r="J2646" s="7" t="str">
        <f>IFERROR(LET(_xlpm.v,
VLOOKUP($I2646,'用語辞書'!$A:$B,COLUMN('用語辞書'!B$1),FALSE),
IF(_xlpm.v=0,"",_xlpm.v)
),"")</f>
        <v/>
      </c>
      <c r="K2646" s="17"/>
      <c r="L2646" s="17" t="str">
        <f>IF(OR(COUNTIF('クラス'!$A$1:$A$1267,$B2646)&gt;0,$B2646="",$M2646=""),"",True)</f>
        <v/>
      </c>
      <c r="M2646" s="1" t="str">
        <f t="shared" si="30"/>
        <v>存在しない</v>
      </c>
      <c r="N2646" s="1" t="s">
        <v>29</v>
      </c>
      <c r="O2646" s="1"/>
      <c r="P2646" s="11"/>
      <c r="Q2646" s="11"/>
      <c r="R2646" s="11"/>
      <c r="S2646" s="11"/>
      <c r="T2646" s="1"/>
      <c r="U2646" s="1"/>
      <c r="V2646" s="1"/>
      <c r="W2646" s="1"/>
      <c r="X2646" s="1"/>
      <c r="Y2646" s="1"/>
      <c r="Z2646" s="1"/>
    </row>
    <row r="2647" ht="18.0" hidden="1" customHeight="1" outlineLevel="1">
      <c r="A2647" s="1">
        <v>7.0</v>
      </c>
      <c r="B2647" s="26" t="s">
        <v>866</v>
      </c>
      <c r="C2647" s="1"/>
      <c r="D2647" s="1"/>
      <c r="E2647" s="14"/>
      <c r="F2647" s="15"/>
      <c r="G2647" s="16"/>
      <c r="H2647" s="11"/>
      <c r="I2647" s="7"/>
      <c r="J2647" s="7" t="str">
        <f>IFERROR(LET(_xlpm.v,
VLOOKUP($I2647,'用語辞書'!$A:$B,COLUMN('用語辞書'!B$1),FALSE),
IF(_xlpm.v=0,"",_xlpm.v)
),"")</f>
        <v/>
      </c>
      <c r="K2647" s="17"/>
      <c r="L2647" s="17" t="str">
        <f>IF(OR(COUNTIF('クラス'!$A$1:$A$1267,$B2647)&gt;0,$B2647="",$M2647=""),"",True)</f>
        <v/>
      </c>
      <c r="M2647" s="1" t="str">
        <f t="shared" si="30"/>
        <v/>
      </c>
      <c r="N2647" s="1" t="s">
        <v>29</v>
      </c>
      <c r="O2647" s="1"/>
      <c r="P2647" s="11"/>
      <c r="Q2647" s="11"/>
      <c r="R2647" s="11"/>
      <c r="S2647" s="11"/>
      <c r="T2647" s="1"/>
      <c r="U2647" s="1"/>
      <c r="V2647" s="1"/>
      <c r="W2647" s="1"/>
      <c r="X2647" s="1"/>
      <c r="Y2647" s="1"/>
      <c r="Z2647" s="1"/>
    </row>
    <row r="2648" ht="18.0" hidden="1" customHeight="1" outlineLevel="1">
      <c r="A2648" s="1">
        <v>8.0</v>
      </c>
      <c r="B2648" s="1"/>
      <c r="C2648" s="1"/>
      <c r="D2648" s="1"/>
      <c r="E2648" s="14"/>
      <c r="F2648" s="15"/>
      <c r="G2648" s="16"/>
      <c r="H2648" s="11"/>
      <c r="I2648" s="7"/>
      <c r="J2648" s="7" t="str">
        <f>IFERROR(LET(_xlpm.v,
VLOOKUP($I2648,'用語辞書'!$A:$B,COLUMN('用語辞書'!B$1),FALSE),
IF(_xlpm.v=0,"",_xlpm.v)
),"")</f>
        <v/>
      </c>
      <c r="K2648" s="17"/>
      <c r="L2648" s="17" t="str">
        <f>IF(OR(COUNTIF('クラス'!$A$1:$A$1267,$B2648)&gt;0,$B2648="",$M2648=""),"",True)</f>
        <v/>
      </c>
      <c r="M2648" s="1" t="str">
        <f t="shared" si="30"/>
        <v>存在しない</v>
      </c>
      <c r="N2648" s="1" t="s">
        <v>29</v>
      </c>
      <c r="O2648" s="1"/>
      <c r="P2648" s="11"/>
      <c r="Q2648" s="11"/>
      <c r="R2648" s="11"/>
      <c r="S2648" s="11"/>
      <c r="T2648" s="1"/>
      <c r="U2648" s="1"/>
      <c r="V2648" s="1"/>
      <c r="W2648" s="1"/>
      <c r="X2648" s="1"/>
      <c r="Y2648" s="1"/>
      <c r="Z2648" s="1"/>
    </row>
    <row r="2649" ht="18.0" hidden="1" customHeight="1" outlineLevel="1">
      <c r="A2649" s="1">
        <v>9.0</v>
      </c>
      <c r="B2649" s="26" t="s">
        <v>797</v>
      </c>
      <c r="C2649" s="1"/>
      <c r="D2649" s="1"/>
      <c r="E2649" s="14"/>
      <c r="F2649" s="15"/>
      <c r="G2649" s="16"/>
      <c r="H2649" s="11"/>
      <c r="I2649" s="7"/>
      <c r="J2649" s="7" t="str">
        <f>IFERROR(LET(_xlpm.v,
VLOOKUP($I2649,'用語辞書'!$A:$B,COLUMN('用語辞書'!B$1),FALSE),
IF(_xlpm.v=0,"",_xlpm.v)
),"")</f>
        <v/>
      </c>
      <c r="K2649" s="17"/>
      <c r="L2649" s="17" t="str">
        <f>IF(OR(COUNTIF('クラス'!$A$1:$A$1267,$B2649)&gt;0,$B2649="",$M2649=""),"",True)</f>
        <v/>
      </c>
      <c r="M2649" s="1" t="str">
        <f t="shared" si="30"/>
        <v/>
      </c>
      <c r="N2649" s="1" t="s">
        <v>29</v>
      </c>
      <c r="O2649" s="1"/>
      <c r="P2649" s="11"/>
      <c r="Q2649" s="11"/>
      <c r="R2649" s="11"/>
      <c r="S2649" s="11"/>
      <c r="T2649" s="1"/>
      <c r="U2649" s="1"/>
      <c r="V2649" s="1"/>
      <c r="W2649" s="1"/>
      <c r="X2649" s="1"/>
      <c r="Y2649" s="1"/>
      <c r="Z2649" s="1"/>
    </row>
    <row r="2650" ht="18.0" hidden="1" customHeight="1" outlineLevel="1">
      <c r="A2650" s="26">
        <v>10.0</v>
      </c>
      <c r="B2650" s="26" t="s">
        <v>202</v>
      </c>
      <c r="C2650" s="1"/>
      <c r="D2650" s="1"/>
      <c r="E2650" s="14"/>
      <c r="F2650" s="15"/>
      <c r="G2650" s="16"/>
      <c r="H2650" s="11"/>
      <c r="I2650" s="7"/>
      <c r="J2650" s="7" t="str">
        <f>IFERROR(LET(_xlpm.v,
VLOOKUP($I2650,'用語辞書'!$A:$B,COLUMN('用語辞書'!B$1),FALSE),
IF(_xlpm.v=0,"",_xlpm.v)
),"")</f>
        <v/>
      </c>
      <c r="K2650" s="17"/>
      <c r="L2650" s="17" t="str">
        <f>IF(OR(COUNTIF('クラス'!$A$1:$A$1267,$B2650)&gt;0,$B2650="",$M2650=""),"",True)</f>
        <v/>
      </c>
      <c r="M2650" s="1" t="str">
        <f t="shared" si="30"/>
        <v/>
      </c>
      <c r="N2650" s="1" t="s">
        <v>29</v>
      </c>
      <c r="O2650" s="1"/>
      <c r="P2650" s="11"/>
      <c r="Q2650" s="11"/>
      <c r="R2650" s="11"/>
      <c r="S2650" s="11"/>
      <c r="T2650" s="1"/>
      <c r="U2650" s="1"/>
      <c r="V2650" s="1"/>
      <c r="W2650" s="1"/>
      <c r="X2650" s="1"/>
      <c r="Y2650" s="1"/>
      <c r="Z2650" s="1"/>
    </row>
    <row r="2651" ht="18.0" customHeight="1" collapsed="1">
      <c r="A2651" s="1"/>
      <c r="B2651" s="1"/>
      <c r="C2651" s="1"/>
      <c r="D2651" s="1"/>
      <c r="E2651" s="14"/>
      <c r="F2651" s="15"/>
      <c r="G2651" s="16"/>
      <c r="H2651" s="11"/>
      <c r="I2651" s="7"/>
      <c r="J2651" s="7" t="str">
        <f>IFERROR(LET(_xlpm.v,
VLOOKUP($I2651,'用語辞書'!$A:$B,COLUMN('用語辞書'!B$1),FALSE),
IF(_xlpm.v=0,"",_xlpm.v)
),"")</f>
        <v/>
      </c>
      <c r="K2651" s="17"/>
      <c r="L2651" s="17" t="str">
        <f>IF(OR(COUNTIF('クラス'!$A$1:$A$1267,$B2651)&gt;0,$B2651="",$M2651=""),"",True)</f>
        <v/>
      </c>
      <c r="M2651" s="1" t="str">
        <f t="shared" si="30"/>
        <v>存在しない</v>
      </c>
      <c r="N2651" s="1" t="s">
        <v>29</v>
      </c>
      <c r="O2651" s="1"/>
      <c r="P2651" s="11"/>
      <c r="Q2651" s="11"/>
      <c r="R2651" s="11"/>
      <c r="S2651" s="11"/>
      <c r="T2651" s="1"/>
      <c r="U2651" s="1"/>
      <c r="V2651" s="1"/>
      <c r="W2651" s="1"/>
      <c r="X2651" s="1"/>
      <c r="Y2651" s="1"/>
      <c r="Z2651" s="1"/>
    </row>
    <row r="2652" ht="18.0" customHeight="1">
      <c r="A2652" s="1"/>
      <c r="B2652" s="26" t="s">
        <v>2454</v>
      </c>
      <c r="C2652" s="1"/>
      <c r="D2652" s="1"/>
      <c r="E2652" s="14"/>
      <c r="F2652" s="15"/>
      <c r="G2652" s="16"/>
      <c r="H2652" s="11"/>
      <c r="I2652" s="7"/>
      <c r="J2652" s="7" t="str">
        <f>IFERROR(LET(_xlpm.v,
VLOOKUP($I2652,'用語辞書'!$A:$B,COLUMN('用語辞書'!B$1),FALSE),
IF(_xlpm.v=0,"",_xlpm.v)
),"")</f>
        <v/>
      </c>
      <c r="K2652" s="17"/>
      <c r="L2652" s="17" t="str">
        <f>IF(OR(COUNTIF('クラス'!$A$1:$A$1267,$B2652)&gt;0,$B2652="",$M2652=""),"",True)</f>
        <v/>
      </c>
      <c r="M2652" s="1" t="str">
        <f t="shared" si="30"/>
        <v>存在しない</v>
      </c>
      <c r="N2652" s="1" t="s">
        <v>29</v>
      </c>
      <c r="O2652" s="1"/>
      <c r="P2652" s="11"/>
      <c r="Q2652" s="11"/>
      <c r="R2652" s="11"/>
      <c r="S2652" s="11"/>
      <c r="T2652" s="1"/>
      <c r="U2652" s="1"/>
      <c r="V2652" s="1"/>
      <c r="W2652" s="1"/>
      <c r="X2652" s="1"/>
      <c r="Y2652" s="1"/>
      <c r="Z2652" s="1"/>
    </row>
    <row r="2653" ht="18.0" hidden="1" customHeight="1" outlineLevel="1">
      <c r="A2653" s="26">
        <v>1.0</v>
      </c>
      <c r="B2653" s="26" t="s">
        <v>182</v>
      </c>
      <c r="C2653" s="1"/>
      <c r="D2653" s="1"/>
      <c r="E2653" s="14"/>
      <c r="F2653" s="15"/>
      <c r="G2653" s="16"/>
      <c r="H2653" s="11"/>
      <c r="I2653" s="7"/>
      <c r="J2653" s="7" t="str">
        <f>IFERROR(LET(_xlpm.v,
VLOOKUP($I2653,'用語辞書'!$A:$B,COLUMN('用語辞書'!B$1),FALSE),
IF(_xlpm.v=0,"",_xlpm.v)
),"")</f>
        <v/>
      </c>
      <c r="K2653" s="17"/>
      <c r="L2653" s="17" t="str">
        <f>IF(OR(COUNTIF('クラス'!$A$1:$A$1267,$B2653)&gt;0,$B2653="",$M2653=""),"",True)</f>
        <v/>
      </c>
      <c r="M2653" s="1" t="str">
        <f t="shared" si="30"/>
        <v/>
      </c>
      <c r="N2653" s="1" t="s">
        <v>29</v>
      </c>
      <c r="O2653" s="1"/>
      <c r="P2653" s="11"/>
      <c r="Q2653" s="11"/>
      <c r="R2653" s="11"/>
      <c r="S2653" s="11"/>
      <c r="T2653" s="1"/>
      <c r="U2653" s="1"/>
      <c r="V2653" s="1"/>
      <c r="W2653" s="1"/>
      <c r="X2653" s="1"/>
      <c r="Y2653" s="1"/>
      <c r="Z2653" s="1"/>
    </row>
    <row r="2654" ht="18.0" hidden="1" customHeight="1" outlineLevel="1">
      <c r="A2654" s="26">
        <v>2.0</v>
      </c>
      <c r="B2654" s="1"/>
      <c r="C2654" s="1"/>
      <c r="D2654" s="1"/>
      <c r="E2654" s="14"/>
      <c r="F2654" s="15"/>
      <c r="G2654" s="16"/>
      <c r="H2654" s="11"/>
      <c r="I2654" s="7"/>
      <c r="J2654" s="7" t="str">
        <f>IFERROR(LET(_xlpm.v,
VLOOKUP($I2654,'用語辞書'!$A:$B,COLUMN('用語辞書'!B$1),FALSE),
IF(_xlpm.v=0,"",_xlpm.v)
),"")</f>
        <v/>
      </c>
      <c r="K2654" s="17"/>
      <c r="L2654" s="17" t="str">
        <f>IF(OR(COUNTIF('クラス'!$A$1:$A$1267,$B2654)&gt;0,$B2654="",$M2654=""),"",True)</f>
        <v/>
      </c>
      <c r="M2654" s="1" t="str">
        <f t="shared" si="30"/>
        <v>存在しない</v>
      </c>
      <c r="N2654" s="1" t="s">
        <v>29</v>
      </c>
      <c r="O2654" s="1"/>
      <c r="P2654" s="11"/>
      <c r="Q2654" s="11"/>
      <c r="R2654" s="11"/>
      <c r="S2654" s="11"/>
      <c r="T2654" s="1"/>
      <c r="U2654" s="1"/>
      <c r="V2654" s="1"/>
      <c r="W2654" s="1"/>
      <c r="X2654" s="1"/>
      <c r="Y2654" s="1"/>
      <c r="Z2654" s="1"/>
    </row>
    <row r="2655" ht="18.0" hidden="1" customHeight="1" outlineLevel="1">
      <c r="A2655" s="26">
        <v>3.0</v>
      </c>
      <c r="B2655" s="26" t="s">
        <v>2182</v>
      </c>
      <c r="C2655" s="1"/>
      <c r="D2655" s="1"/>
      <c r="E2655" s="14"/>
      <c r="F2655" s="15"/>
      <c r="G2655" s="16"/>
      <c r="H2655" s="11"/>
      <c r="I2655" s="7"/>
      <c r="J2655" s="7" t="str">
        <f>IFERROR(LET(_xlpm.v,
VLOOKUP($I2655,'用語辞書'!$A:$B,COLUMN('用語辞書'!B$1),FALSE),
IF(_xlpm.v=0,"",_xlpm.v)
),"")</f>
        <v/>
      </c>
      <c r="K2655" s="17"/>
      <c r="L2655" s="17" t="str">
        <f>IF(OR(COUNTIF('クラス'!$A$1:$A$1267,$B2655)&gt;0,$B2655="",$M2655=""),"",True)</f>
        <v/>
      </c>
      <c r="M2655" s="1" t="str">
        <f t="shared" si="30"/>
        <v/>
      </c>
      <c r="N2655" s="1" t="s">
        <v>29</v>
      </c>
      <c r="O2655" s="1"/>
      <c r="P2655" s="11"/>
      <c r="Q2655" s="11"/>
      <c r="R2655" s="11"/>
      <c r="S2655" s="11"/>
      <c r="T2655" s="1"/>
      <c r="U2655" s="1"/>
      <c r="V2655" s="1"/>
      <c r="W2655" s="1"/>
      <c r="X2655" s="1"/>
      <c r="Y2655" s="1"/>
      <c r="Z2655" s="1"/>
    </row>
    <row r="2656" ht="18.0" hidden="1" customHeight="1" outlineLevel="1">
      <c r="A2656" s="26">
        <v>4.0</v>
      </c>
      <c r="B2656" s="1"/>
      <c r="C2656" s="1"/>
      <c r="D2656" s="1"/>
      <c r="E2656" s="14"/>
      <c r="F2656" s="15"/>
      <c r="G2656" s="16"/>
      <c r="H2656" s="11"/>
      <c r="I2656" s="7"/>
      <c r="J2656" s="7" t="str">
        <f>IFERROR(LET(_xlpm.v,
VLOOKUP($I2656,'用語辞書'!$A:$B,COLUMN('用語辞書'!B$1),FALSE),
IF(_xlpm.v=0,"",_xlpm.v)
),"")</f>
        <v/>
      </c>
      <c r="K2656" s="17"/>
      <c r="L2656" s="17" t="str">
        <f>IF(OR(COUNTIF('クラス'!$A$1:$A$1267,$B2656)&gt;0,$B2656="",$M2656=""),"",True)</f>
        <v/>
      </c>
      <c r="M2656" s="1" t="str">
        <f t="shared" si="30"/>
        <v>存在しない</v>
      </c>
      <c r="N2656" s="1" t="s">
        <v>29</v>
      </c>
      <c r="O2656" s="1"/>
      <c r="P2656" s="11"/>
      <c r="Q2656" s="11"/>
      <c r="R2656" s="11"/>
      <c r="S2656" s="11"/>
      <c r="T2656" s="1"/>
      <c r="U2656" s="1"/>
      <c r="V2656" s="1"/>
      <c r="W2656" s="1"/>
      <c r="X2656" s="1"/>
      <c r="Y2656" s="1"/>
      <c r="Z2656" s="1"/>
    </row>
    <row r="2657" ht="18.0" hidden="1" customHeight="1" outlineLevel="1">
      <c r="A2657" s="26">
        <v>5.0</v>
      </c>
      <c r="B2657" s="26" t="s">
        <v>202</v>
      </c>
      <c r="C2657" s="1"/>
      <c r="D2657" s="1"/>
      <c r="E2657" s="14"/>
      <c r="F2657" s="15"/>
      <c r="G2657" s="16"/>
      <c r="H2657" s="11"/>
      <c r="I2657" s="7"/>
      <c r="J2657" s="7" t="str">
        <f>IFERROR(LET(_xlpm.v,
VLOOKUP($I2657,'用語辞書'!$A:$B,COLUMN('用語辞書'!B$1),FALSE),
IF(_xlpm.v=0,"",_xlpm.v)
),"")</f>
        <v/>
      </c>
      <c r="K2657" s="17"/>
      <c r="L2657" s="17" t="str">
        <f>IF(OR(COUNTIF('クラス'!$A$1:$A$1267,$B2657)&gt;0,$B2657="",$M2657=""),"",True)</f>
        <v/>
      </c>
      <c r="M2657" s="1" t="str">
        <f t="shared" si="30"/>
        <v/>
      </c>
      <c r="N2657" s="1" t="s">
        <v>29</v>
      </c>
      <c r="O2657" s="1"/>
      <c r="P2657" s="11"/>
      <c r="Q2657" s="11"/>
      <c r="R2657" s="11"/>
      <c r="S2657" s="11"/>
      <c r="T2657" s="1"/>
      <c r="U2657" s="1"/>
      <c r="V2657" s="1"/>
      <c r="W2657" s="1"/>
      <c r="X2657" s="1"/>
      <c r="Y2657" s="1"/>
      <c r="Z2657" s="1"/>
    </row>
    <row r="2658" ht="18.0" hidden="1" customHeight="1" outlineLevel="1">
      <c r="A2658" s="26">
        <v>6.0</v>
      </c>
      <c r="B2658" s="1"/>
      <c r="C2658" s="1"/>
      <c r="D2658" s="1"/>
      <c r="E2658" s="14"/>
      <c r="F2658" s="15"/>
      <c r="G2658" s="16"/>
      <c r="H2658" s="11"/>
      <c r="I2658" s="7"/>
      <c r="J2658" s="7" t="str">
        <f>IFERROR(LET(_xlpm.v,
VLOOKUP($I2658,'用語辞書'!$A:$B,COLUMN('用語辞書'!B$1),FALSE),
IF(_xlpm.v=0,"",_xlpm.v)
),"")</f>
        <v/>
      </c>
      <c r="K2658" s="17"/>
      <c r="L2658" s="17" t="str">
        <f>IF(OR(COUNTIF('クラス'!$A$1:$A$1267,$B2658)&gt;0,$B2658="",$M2658=""),"",True)</f>
        <v/>
      </c>
      <c r="M2658" s="1" t="str">
        <f t="shared" si="30"/>
        <v>存在しない</v>
      </c>
      <c r="N2658" s="1" t="s">
        <v>29</v>
      </c>
      <c r="O2658" s="1"/>
      <c r="P2658" s="11"/>
      <c r="Q2658" s="11"/>
      <c r="R2658" s="11"/>
      <c r="S2658" s="11"/>
      <c r="T2658" s="1"/>
      <c r="U2658" s="1"/>
      <c r="V2658" s="1"/>
      <c r="W2658" s="1"/>
      <c r="X2658" s="1"/>
      <c r="Y2658" s="1"/>
      <c r="Z2658" s="1"/>
    </row>
    <row r="2659" ht="18.0" hidden="1" customHeight="1" outlineLevel="1">
      <c r="A2659" s="26">
        <v>7.0</v>
      </c>
      <c r="B2659" s="26" t="s">
        <v>2192</v>
      </c>
      <c r="C2659" s="1"/>
      <c r="D2659" s="1"/>
      <c r="E2659" s="14"/>
      <c r="F2659" s="15"/>
      <c r="G2659" s="16"/>
      <c r="H2659" s="11"/>
      <c r="I2659" s="7"/>
      <c r="J2659" s="7" t="str">
        <f>IFERROR(LET(_xlpm.v,
VLOOKUP($I2659,'用語辞書'!$A:$B,COLUMN('用語辞書'!B$1),FALSE),
IF(_xlpm.v=0,"",_xlpm.v)
),"")</f>
        <v/>
      </c>
      <c r="K2659" s="17"/>
      <c r="L2659" s="17" t="str">
        <f>IF(OR(COUNTIF('クラス'!$A$1:$A$1267,$B2659)&gt;0,$B2659="",$M2659=""),"",True)</f>
        <v/>
      </c>
      <c r="M2659" s="1" t="str">
        <f t="shared" si="30"/>
        <v/>
      </c>
      <c r="N2659" s="1" t="s">
        <v>29</v>
      </c>
      <c r="O2659" s="1"/>
      <c r="P2659" s="11"/>
      <c r="Q2659" s="11"/>
      <c r="R2659" s="11"/>
      <c r="S2659" s="11"/>
      <c r="T2659" s="1"/>
      <c r="U2659" s="1"/>
      <c r="V2659" s="1"/>
      <c r="W2659" s="1"/>
      <c r="X2659" s="1"/>
      <c r="Y2659" s="1"/>
      <c r="Z2659" s="1"/>
    </row>
    <row r="2660" ht="18.0" hidden="1" customHeight="1" outlineLevel="1">
      <c r="A2660" s="26">
        <v>8.0</v>
      </c>
      <c r="B2660" s="1"/>
      <c r="C2660" s="1"/>
      <c r="D2660" s="1"/>
      <c r="E2660" s="14"/>
      <c r="F2660" s="15"/>
      <c r="G2660" s="16"/>
      <c r="H2660" s="11"/>
      <c r="I2660" s="7"/>
      <c r="J2660" s="7" t="str">
        <f>IFERROR(LET(_xlpm.v,
VLOOKUP($I2660,'用語辞書'!$A:$B,COLUMN('用語辞書'!B$1),FALSE),
IF(_xlpm.v=0,"",_xlpm.v)
),"")</f>
        <v/>
      </c>
      <c r="K2660" s="17"/>
      <c r="L2660" s="17" t="str">
        <f>IF(OR(COUNTIF('クラス'!$A$1:$A$1267,$B2660)&gt;0,$B2660="",$M2660=""),"",True)</f>
        <v/>
      </c>
      <c r="M2660" s="1" t="str">
        <f t="shared" si="30"/>
        <v>存在しない</v>
      </c>
      <c r="N2660" s="1" t="s">
        <v>29</v>
      </c>
      <c r="O2660" s="1"/>
      <c r="P2660" s="11"/>
      <c r="Q2660" s="11"/>
      <c r="R2660" s="11"/>
      <c r="S2660" s="11"/>
      <c r="T2660" s="1"/>
      <c r="U2660" s="1"/>
      <c r="V2660" s="1"/>
      <c r="W2660" s="1"/>
      <c r="X2660" s="1"/>
      <c r="Y2660" s="1"/>
      <c r="Z2660" s="1"/>
    </row>
    <row r="2661" ht="18.0" hidden="1" customHeight="1" outlineLevel="1">
      <c r="A2661" s="26">
        <v>9.0</v>
      </c>
      <c r="B2661" s="26" t="s">
        <v>217</v>
      </c>
      <c r="C2661" s="1"/>
      <c r="D2661" s="1"/>
      <c r="E2661" s="14"/>
      <c r="F2661" s="15"/>
      <c r="G2661" s="16"/>
      <c r="H2661" s="11"/>
      <c r="I2661" s="7"/>
      <c r="J2661" s="7" t="str">
        <f>IFERROR(LET(_xlpm.v,
VLOOKUP($I2661,'用語辞書'!$A:$B,COLUMN('用語辞書'!B$1),FALSE),
IF(_xlpm.v=0,"",_xlpm.v)
),"")</f>
        <v/>
      </c>
      <c r="K2661" s="17"/>
      <c r="L2661" s="17" t="str">
        <f>IF(OR(COUNTIF('クラス'!$A$1:$A$1267,$B2661)&gt;0,$B2661="",$M2661=""),"",True)</f>
        <v/>
      </c>
      <c r="M2661" s="1" t="str">
        <f t="shared" si="30"/>
        <v/>
      </c>
      <c r="N2661" s="1" t="s">
        <v>29</v>
      </c>
      <c r="O2661" s="1"/>
      <c r="P2661" s="11"/>
      <c r="Q2661" s="11"/>
      <c r="R2661" s="11"/>
      <c r="S2661" s="11"/>
      <c r="T2661" s="1"/>
      <c r="U2661" s="1"/>
      <c r="V2661" s="1"/>
      <c r="W2661" s="1"/>
      <c r="X2661" s="1"/>
      <c r="Y2661" s="1"/>
      <c r="Z2661" s="1"/>
    </row>
    <row r="2662" ht="18.0" hidden="1" customHeight="1" outlineLevel="1">
      <c r="A2662" s="26">
        <v>10.0</v>
      </c>
      <c r="B2662" s="26" t="s">
        <v>2455</v>
      </c>
      <c r="C2662" s="26" t="s">
        <v>29</v>
      </c>
      <c r="D2662" s="26" t="s">
        <v>1179</v>
      </c>
      <c r="E2662" s="29" t="s">
        <v>55</v>
      </c>
      <c r="F2662" s="34" t="s">
        <v>29</v>
      </c>
      <c r="G2662" s="30" t="s">
        <v>29</v>
      </c>
      <c r="H2662" s="22" t="s">
        <v>2456</v>
      </c>
      <c r="I2662" s="7"/>
      <c r="J2662" s="7" t="str">
        <f>IFERROR(LET(_xlpm.v,
VLOOKUP($I2662,'用語辞書'!$A:$B,COLUMN('用語辞書'!B$1),FALSE),
IF(_xlpm.v=0,"",_xlpm.v)
),"")</f>
        <v/>
      </c>
      <c r="K2662" s="17"/>
      <c r="L2662" s="17" t="b">
        <f>IF(OR(COUNTIF('クラス'!$A$1:$A$1267,$B2662)&gt;0,$B2662="",$M2662=""),"",True)</f>
        <v>1</v>
      </c>
      <c r="M2662" s="1" t="str">
        <f t="shared" si="30"/>
        <v>存在しない</v>
      </c>
      <c r="N2662" s="1" t="s">
        <v>29</v>
      </c>
      <c r="O2662" s="1"/>
      <c r="P2662" s="11"/>
      <c r="Q2662" s="11"/>
      <c r="R2662" s="11"/>
      <c r="S2662" s="11"/>
      <c r="T2662" s="1"/>
      <c r="U2662" s="1"/>
      <c r="V2662" s="1"/>
      <c r="W2662" s="1"/>
      <c r="X2662" s="1"/>
      <c r="Y2662" s="1"/>
      <c r="Z2662" s="1"/>
    </row>
    <row r="2663" ht="18.0" customHeight="1" collapsed="1">
      <c r="A2663" s="1"/>
      <c r="B2663" s="1"/>
      <c r="C2663" s="1"/>
      <c r="D2663" s="1"/>
      <c r="E2663" s="14"/>
      <c r="F2663" s="15"/>
      <c r="G2663" s="16"/>
      <c r="H2663" s="11"/>
      <c r="I2663" s="7"/>
      <c r="J2663" s="7" t="str">
        <f>IFERROR(LET(_xlpm.v,
VLOOKUP($I2663,'用語辞書'!$A:$B,COLUMN('用語辞書'!B$1),FALSE),
IF(_xlpm.v=0,"",_xlpm.v)
),"")</f>
        <v/>
      </c>
      <c r="K2663" s="17"/>
      <c r="L2663" s="17" t="str">
        <f>IF(OR(COUNTIF('クラス'!$A$1:$A$1267,$B2663)&gt;0,$B2663="",$M2663=""),"",True)</f>
        <v/>
      </c>
      <c r="M2663" s="1" t="str">
        <f t="shared" si="30"/>
        <v>存在しない</v>
      </c>
      <c r="N2663" s="1" t="s">
        <v>29</v>
      </c>
      <c r="O2663" s="1"/>
      <c r="P2663" s="11"/>
      <c r="Q2663" s="11"/>
      <c r="R2663" s="11"/>
      <c r="S2663" s="11"/>
      <c r="T2663" s="1"/>
      <c r="U2663" s="1"/>
      <c r="V2663" s="1"/>
      <c r="W2663" s="1"/>
      <c r="X2663" s="1"/>
      <c r="Y2663" s="1"/>
      <c r="Z2663" s="1"/>
    </row>
    <row r="2664" ht="18.0" customHeight="1">
      <c r="A2664" s="1"/>
      <c r="B2664" s="26" t="s">
        <v>2457</v>
      </c>
      <c r="C2664" s="1"/>
      <c r="D2664" s="1"/>
      <c r="E2664" s="14"/>
      <c r="F2664" s="15"/>
      <c r="G2664" s="16"/>
      <c r="H2664" s="11"/>
      <c r="I2664" s="7"/>
      <c r="J2664" s="7" t="str">
        <f>IFERROR(LET(_xlpm.v,
VLOOKUP($I2664,'用語辞書'!$A:$B,COLUMN('用語辞書'!B$1),FALSE),
IF(_xlpm.v=0,"",_xlpm.v)
),"")</f>
        <v/>
      </c>
      <c r="K2664" s="17"/>
      <c r="L2664" s="17" t="str">
        <f>IF(OR(COUNTIF('クラス'!$A$1:$A$1267,$B2664)&gt;0,$B2664="",$M2664=""),"",True)</f>
        <v/>
      </c>
      <c r="M2664" s="1" t="str">
        <f t="shared" si="30"/>
        <v>存在しない</v>
      </c>
      <c r="N2664" s="1" t="s">
        <v>29</v>
      </c>
      <c r="O2664" s="1"/>
      <c r="P2664" s="11"/>
      <c r="Q2664" s="11"/>
      <c r="R2664" s="11"/>
      <c r="S2664" s="11"/>
      <c r="T2664" s="1"/>
      <c r="U2664" s="1"/>
      <c r="V2664" s="1"/>
      <c r="W2664" s="1"/>
      <c r="X2664" s="1"/>
      <c r="Y2664" s="1"/>
      <c r="Z2664" s="1"/>
    </row>
    <row r="2665" ht="18.0" hidden="1" customHeight="1" outlineLevel="1">
      <c r="A2665" s="26">
        <v>1.0</v>
      </c>
      <c r="B2665" s="26" t="s">
        <v>188</v>
      </c>
      <c r="C2665" s="1"/>
      <c r="D2665" s="1"/>
      <c r="E2665" s="14"/>
      <c r="F2665" s="15"/>
      <c r="G2665" s="16"/>
      <c r="H2665" s="11"/>
      <c r="I2665" s="7"/>
      <c r="J2665" s="7" t="str">
        <f>IFERROR(LET(_xlpm.v,
VLOOKUP($I2665,'用語辞書'!$A:$B,COLUMN('用語辞書'!B$1),FALSE),
IF(_xlpm.v=0,"",_xlpm.v)
),"")</f>
        <v/>
      </c>
      <c r="K2665" s="17"/>
      <c r="L2665" s="17" t="str">
        <f>IF(OR(COUNTIF('クラス'!$A$1:$A$1267,$B2665)&gt;0,$B2665="",$M2665=""),"",True)</f>
        <v/>
      </c>
      <c r="M2665" s="1" t="str">
        <f t="shared" si="30"/>
        <v/>
      </c>
      <c r="N2665" s="1" t="s">
        <v>29</v>
      </c>
      <c r="O2665" s="1"/>
      <c r="P2665" s="11"/>
      <c r="Q2665" s="11"/>
      <c r="R2665" s="11"/>
      <c r="S2665" s="11"/>
      <c r="T2665" s="1"/>
      <c r="U2665" s="1"/>
      <c r="V2665" s="1"/>
      <c r="W2665" s="1"/>
      <c r="X2665" s="1"/>
      <c r="Y2665" s="1"/>
      <c r="Z2665" s="1"/>
    </row>
    <row r="2666" ht="18.0" hidden="1" customHeight="1" outlineLevel="1">
      <c r="A2666" s="26">
        <v>2.0</v>
      </c>
      <c r="B2666" s="1"/>
      <c r="C2666" s="1"/>
      <c r="D2666" s="1"/>
      <c r="E2666" s="14"/>
      <c r="F2666" s="15"/>
      <c r="G2666" s="16"/>
      <c r="H2666" s="11"/>
      <c r="I2666" s="7"/>
      <c r="J2666" s="7" t="str">
        <f>IFERROR(LET(_xlpm.v,
VLOOKUP($I2666,'用語辞書'!$A:$B,COLUMN('用語辞書'!B$1),FALSE),
IF(_xlpm.v=0,"",_xlpm.v)
),"")</f>
        <v/>
      </c>
      <c r="K2666" s="17"/>
      <c r="L2666" s="17" t="str">
        <f>IF(OR(COUNTIF('クラス'!$A$1:$A$1267,$B2666)&gt;0,$B2666="",$M2666=""),"",True)</f>
        <v/>
      </c>
      <c r="M2666" s="1" t="str">
        <f t="shared" si="30"/>
        <v>存在しない</v>
      </c>
      <c r="N2666" s="1" t="s">
        <v>29</v>
      </c>
      <c r="O2666" s="1"/>
      <c r="P2666" s="11"/>
      <c r="Q2666" s="11"/>
      <c r="R2666" s="11"/>
      <c r="S2666" s="11"/>
      <c r="T2666" s="1"/>
      <c r="U2666" s="1"/>
      <c r="V2666" s="1"/>
      <c r="W2666" s="1"/>
      <c r="X2666" s="1"/>
      <c r="Y2666" s="1"/>
      <c r="Z2666" s="1"/>
    </row>
    <row r="2667" ht="18.0" hidden="1" customHeight="1" outlineLevel="1">
      <c r="A2667" s="26">
        <v>3.0</v>
      </c>
      <c r="B2667" s="26" t="s">
        <v>194</v>
      </c>
      <c r="C2667" s="1"/>
      <c r="D2667" s="1"/>
      <c r="E2667" s="14"/>
      <c r="F2667" s="15"/>
      <c r="G2667" s="16"/>
      <c r="H2667" s="11"/>
      <c r="I2667" s="7"/>
      <c r="J2667" s="7" t="str">
        <f>IFERROR(LET(_xlpm.v,
VLOOKUP($I2667,'用語辞書'!$A:$B,COLUMN('用語辞書'!B$1),FALSE),
IF(_xlpm.v=0,"",_xlpm.v)
),"")</f>
        <v/>
      </c>
      <c r="K2667" s="17"/>
      <c r="L2667" s="17" t="str">
        <f>IF(OR(COUNTIF('クラス'!$A$1:$A$1267,$B2667)&gt;0,$B2667="",$M2667=""),"",True)</f>
        <v/>
      </c>
      <c r="M2667" s="1" t="str">
        <f t="shared" si="30"/>
        <v/>
      </c>
      <c r="N2667" s="1" t="s">
        <v>29</v>
      </c>
      <c r="O2667" s="1"/>
      <c r="P2667" s="11"/>
      <c r="Q2667" s="11"/>
      <c r="R2667" s="11"/>
      <c r="S2667" s="11"/>
      <c r="T2667" s="1"/>
      <c r="U2667" s="1"/>
      <c r="V2667" s="1"/>
      <c r="W2667" s="1"/>
      <c r="X2667" s="1"/>
      <c r="Y2667" s="1"/>
      <c r="Z2667" s="1"/>
    </row>
    <row r="2668" ht="18.0" hidden="1" customHeight="1" outlineLevel="1">
      <c r="A2668" s="26">
        <v>4.0</v>
      </c>
      <c r="B2668" s="1"/>
      <c r="C2668" s="1"/>
      <c r="D2668" s="1"/>
      <c r="E2668" s="14"/>
      <c r="F2668" s="15"/>
      <c r="G2668" s="16"/>
      <c r="H2668" s="11"/>
      <c r="I2668" s="7"/>
      <c r="J2668" s="7" t="str">
        <f>IFERROR(LET(_xlpm.v,
VLOOKUP($I2668,'用語辞書'!$A:$B,COLUMN('用語辞書'!B$1),FALSE),
IF(_xlpm.v=0,"",_xlpm.v)
),"")</f>
        <v/>
      </c>
      <c r="K2668" s="17"/>
      <c r="L2668" s="17" t="str">
        <f>IF(OR(COUNTIF('クラス'!$A$1:$A$1267,$B2668)&gt;0,$B2668="",$M2668=""),"",True)</f>
        <v/>
      </c>
      <c r="M2668" s="1" t="str">
        <f t="shared" si="30"/>
        <v>存在しない</v>
      </c>
      <c r="N2668" s="1" t="s">
        <v>29</v>
      </c>
      <c r="O2668" s="1"/>
      <c r="P2668" s="11"/>
      <c r="Q2668" s="11"/>
      <c r="R2668" s="11"/>
      <c r="S2668" s="11"/>
      <c r="T2668" s="1"/>
      <c r="U2668" s="1"/>
      <c r="V2668" s="1"/>
      <c r="W2668" s="1"/>
      <c r="X2668" s="1"/>
      <c r="Y2668" s="1"/>
      <c r="Z2668" s="1"/>
    </row>
    <row r="2669" ht="18.0" hidden="1" customHeight="1" outlineLevel="1">
      <c r="A2669" s="26">
        <v>5.0</v>
      </c>
      <c r="B2669" s="26" t="s">
        <v>788</v>
      </c>
      <c r="C2669" s="1"/>
      <c r="D2669" s="1"/>
      <c r="E2669" s="14"/>
      <c r="F2669" s="15"/>
      <c r="G2669" s="16"/>
      <c r="H2669" s="11"/>
      <c r="I2669" s="7"/>
      <c r="J2669" s="7" t="str">
        <f>IFERROR(LET(_xlpm.v,
VLOOKUP($I2669,'用語辞書'!$A:$B,COLUMN('用語辞書'!B$1),FALSE),
IF(_xlpm.v=0,"",_xlpm.v)
),"")</f>
        <v/>
      </c>
      <c r="K2669" s="17"/>
      <c r="L2669" s="17" t="str">
        <f>IF(OR(COUNTIF('クラス'!$A$1:$A$1267,$B2669)&gt;0,$B2669="",$M2669=""),"",True)</f>
        <v/>
      </c>
      <c r="M2669" s="1" t="str">
        <f t="shared" si="30"/>
        <v/>
      </c>
      <c r="N2669" s="1" t="s">
        <v>29</v>
      </c>
      <c r="O2669" s="1"/>
      <c r="P2669" s="11"/>
      <c r="Q2669" s="11"/>
      <c r="R2669" s="11"/>
      <c r="S2669" s="11"/>
      <c r="T2669" s="1"/>
      <c r="U2669" s="1"/>
      <c r="V2669" s="1"/>
      <c r="W2669" s="1"/>
      <c r="X2669" s="1"/>
      <c r="Y2669" s="1"/>
      <c r="Z2669" s="1"/>
    </row>
    <row r="2670" ht="18.0" hidden="1" customHeight="1" outlineLevel="1">
      <c r="A2670" s="26">
        <v>6.0</v>
      </c>
      <c r="B2670" s="1"/>
      <c r="C2670" s="1"/>
      <c r="D2670" s="1"/>
      <c r="E2670" s="14"/>
      <c r="F2670" s="15"/>
      <c r="G2670" s="16"/>
      <c r="H2670" s="11"/>
      <c r="I2670" s="7"/>
      <c r="J2670" s="7" t="str">
        <f>IFERROR(LET(_xlpm.v,
VLOOKUP($I2670,'用語辞書'!$A:$B,COLUMN('用語辞書'!B$1),FALSE),
IF(_xlpm.v=0,"",_xlpm.v)
),"")</f>
        <v/>
      </c>
      <c r="K2670" s="17"/>
      <c r="L2670" s="17" t="str">
        <f>IF(OR(COUNTIF('クラス'!$A$1:$A$1267,$B2670)&gt;0,$B2670="",$M2670=""),"",True)</f>
        <v/>
      </c>
      <c r="M2670" s="1" t="str">
        <f t="shared" si="30"/>
        <v>存在しない</v>
      </c>
      <c r="N2670" s="1" t="s">
        <v>29</v>
      </c>
      <c r="O2670" s="1"/>
      <c r="P2670" s="11"/>
      <c r="Q2670" s="11"/>
      <c r="R2670" s="11"/>
      <c r="S2670" s="11"/>
      <c r="T2670" s="1"/>
      <c r="U2670" s="1"/>
      <c r="V2670" s="1"/>
      <c r="W2670" s="1"/>
      <c r="X2670" s="1"/>
      <c r="Y2670" s="1"/>
      <c r="Z2670" s="1"/>
    </row>
    <row r="2671" ht="18.0" hidden="1" customHeight="1" outlineLevel="1">
      <c r="A2671" s="26">
        <v>7.0</v>
      </c>
      <c r="B2671" s="26" t="s">
        <v>199</v>
      </c>
      <c r="C2671" s="1"/>
      <c r="D2671" s="1"/>
      <c r="E2671" s="14"/>
      <c r="F2671" s="15"/>
      <c r="G2671" s="16"/>
      <c r="H2671" s="11"/>
      <c r="I2671" s="7"/>
      <c r="J2671" s="7" t="str">
        <f>IFERROR(LET(_xlpm.v,
VLOOKUP($I2671,'用語辞書'!$A:$B,COLUMN('用語辞書'!B$1),FALSE),
IF(_xlpm.v=0,"",_xlpm.v)
),"")</f>
        <v/>
      </c>
      <c r="K2671" s="17"/>
      <c r="L2671" s="17" t="str">
        <f>IF(OR(COUNTIF('クラス'!$A$1:$A$1267,$B2671)&gt;0,$B2671="",$M2671=""),"",True)</f>
        <v/>
      </c>
      <c r="M2671" s="1" t="str">
        <f t="shared" si="30"/>
        <v/>
      </c>
      <c r="N2671" s="1" t="s">
        <v>29</v>
      </c>
      <c r="O2671" s="1"/>
      <c r="P2671" s="11"/>
      <c r="Q2671" s="11"/>
      <c r="R2671" s="11"/>
      <c r="S2671" s="11"/>
      <c r="T2671" s="1"/>
      <c r="U2671" s="1"/>
      <c r="V2671" s="1"/>
      <c r="W2671" s="1"/>
      <c r="X2671" s="1"/>
      <c r="Y2671" s="1"/>
      <c r="Z2671" s="1"/>
    </row>
    <row r="2672" ht="18.0" hidden="1" customHeight="1" outlineLevel="1">
      <c r="A2672" s="26">
        <v>8.0</v>
      </c>
      <c r="B2672" s="1"/>
      <c r="C2672" s="1"/>
      <c r="D2672" s="1"/>
      <c r="E2672" s="14"/>
      <c r="F2672" s="15"/>
      <c r="G2672" s="16"/>
      <c r="H2672" s="11"/>
      <c r="I2672" s="7"/>
      <c r="J2672" s="7" t="str">
        <f>IFERROR(LET(_xlpm.v,
VLOOKUP($I2672,'用語辞書'!$A:$B,COLUMN('用語辞書'!B$1),FALSE),
IF(_xlpm.v=0,"",_xlpm.v)
),"")</f>
        <v/>
      </c>
      <c r="K2672" s="17"/>
      <c r="L2672" s="17" t="str">
        <f>IF(OR(COUNTIF('クラス'!$A$1:$A$1267,$B2672)&gt;0,$B2672="",$M2672=""),"",True)</f>
        <v/>
      </c>
      <c r="M2672" s="1" t="str">
        <f t="shared" si="30"/>
        <v>存在しない</v>
      </c>
      <c r="N2672" s="1" t="s">
        <v>29</v>
      </c>
      <c r="O2672" s="1"/>
      <c r="P2672" s="11"/>
      <c r="Q2672" s="11"/>
      <c r="R2672" s="11"/>
      <c r="S2672" s="11"/>
      <c r="T2672" s="1"/>
      <c r="U2672" s="1"/>
      <c r="V2672" s="1"/>
      <c r="W2672" s="1"/>
      <c r="X2672" s="1"/>
      <c r="Y2672" s="1"/>
      <c r="Z2672" s="1"/>
    </row>
    <row r="2673" ht="18.0" hidden="1" customHeight="1" outlineLevel="1">
      <c r="A2673" s="26">
        <v>9.0</v>
      </c>
      <c r="B2673" s="26" t="s">
        <v>143</v>
      </c>
      <c r="C2673" s="1"/>
      <c r="D2673" s="1"/>
      <c r="E2673" s="14"/>
      <c r="F2673" s="15"/>
      <c r="G2673" s="16"/>
      <c r="H2673" s="11"/>
      <c r="I2673" s="7"/>
      <c r="J2673" s="7" t="str">
        <f>IFERROR(LET(_xlpm.v,
VLOOKUP($I2673,'用語辞書'!$A:$B,COLUMN('用語辞書'!B$1),FALSE),
IF(_xlpm.v=0,"",_xlpm.v)
),"")</f>
        <v/>
      </c>
      <c r="K2673" s="17"/>
      <c r="L2673" s="17" t="str">
        <f>IF(OR(COUNTIF('クラス'!$A$1:$A$1267,$B2673)&gt;0,$B2673="",$M2673=""),"",True)</f>
        <v/>
      </c>
      <c r="M2673" s="1" t="str">
        <f t="shared" si="30"/>
        <v/>
      </c>
      <c r="N2673" s="1" t="s">
        <v>29</v>
      </c>
      <c r="O2673" s="1"/>
      <c r="P2673" s="11"/>
      <c r="Q2673" s="11"/>
      <c r="R2673" s="11"/>
      <c r="S2673" s="11"/>
      <c r="T2673" s="1"/>
      <c r="U2673" s="1"/>
      <c r="V2673" s="1"/>
      <c r="W2673" s="1"/>
      <c r="X2673" s="1"/>
      <c r="Y2673" s="1"/>
      <c r="Z2673" s="1"/>
    </row>
    <row r="2674" ht="18.0" hidden="1" customHeight="1" outlineLevel="1">
      <c r="A2674" s="26">
        <v>10.0</v>
      </c>
      <c r="B2674" s="26" t="s">
        <v>2458</v>
      </c>
      <c r="C2674" s="26" t="s">
        <v>29</v>
      </c>
      <c r="D2674" s="26" t="s">
        <v>1179</v>
      </c>
      <c r="E2674" s="29" t="s">
        <v>33</v>
      </c>
      <c r="F2674" s="34" t="s">
        <v>29</v>
      </c>
      <c r="G2674" s="30">
        <v>60.0</v>
      </c>
      <c r="H2674" s="22" t="s">
        <v>2459</v>
      </c>
      <c r="I2674" s="7"/>
      <c r="J2674" s="7" t="str">
        <f>IFERROR(LET(_xlpm.v,
VLOOKUP($I2674,'用語辞書'!$A:$B,COLUMN('用語辞書'!B$1),FALSE),
IF(_xlpm.v=0,"",_xlpm.v)
),"")</f>
        <v/>
      </c>
      <c r="K2674" s="17"/>
      <c r="L2674" s="17" t="b">
        <f>IF(OR(COUNTIF('クラス'!$A$1:$A$1267,$B2674)&gt;0,$B2674="",$M2674=""),"",True)</f>
        <v>1</v>
      </c>
      <c r="M2674" s="1" t="str">
        <f t="shared" si="30"/>
        <v>存在しない</v>
      </c>
      <c r="N2674" s="1" t="s">
        <v>29</v>
      </c>
      <c r="O2674" s="1"/>
      <c r="P2674" s="11"/>
      <c r="Q2674" s="11"/>
      <c r="R2674" s="11"/>
      <c r="S2674" s="11"/>
      <c r="T2674" s="1"/>
      <c r="U2674" s="1"/>
      <c r="V2674" s="1"/>
      <c r="W2674" s="1"/>
      <c r="X2674" s="1"/>
      <c r="Y2674" s="1"/>
      <c r="Z2674" s="1"/>
    </row>
    <row r="2675" ht="18.0" customHeight="1" collapsed="1">
      <c r="A2675" s="1"/>
      <c r="B2675" s="1"/>
      <c r="C2675" s="1"/>
      <c r="D2675" s="1"/>
      <c r="E2675" s="14"/>
      <c r="F2675" s="15"/>
      <c r="G2675" s="16"/>
      <c r="H2675" s="11"/>
      <c r="I2675" s="7"/>
      <c r="J2675" s="7" t="str">
        <f>IFERROR(LET(_xlpm.v,
VLOOKUP($I2675,'用語辞書'!$A:$B,COLUMN('用語辞書'!B$1),FALSE),
IF(_xlpm.v=0,"",_xlpm.v)
),"")</f>
        <v/>
      </c>
      <c r="K2675" s="17"/>
      <c r="L2675" s="17" t="str">
        <f>IF(OR(COUNTIF('クラス'!$A$1:$A$1267,$B2675)&gt;0,$B2675="",$M2675=""),"",True)</f>
        <v/>
      </c>
      <c r="M2675" s="1" t="str">
        <f t="shared" si="30"/>
        <v>存在しない</v>
      </c>
      <c r="N2675" s="1" t="s">
        <v>29</v>
      </c>
      <c r="O2675" s="1"/>
      <c r="P2675" s="11"/>
      <c r="Q2675" s="11"/>
      <c r="R2675" s="11"/>
      <c r="S2675" s="11"/>
      <c r="T2675" s="1"/>
      <c r="U2675" s="1"/>
      <c r="V2675" s="1"/>
      <c r="W2675" s="1"/>
      <c r="X2675" s="1"/>
      <c r="Y2675" s="1"/>
      <c r="Z2675" s="1"/>
    </row>
    <row r="2676" ht="18.0" customHeight="1">
      <c r="A2676" s="1"/>
      <c r="B2676" s="26" t="s">
        <v>2460</v>
      </c>
      <c r="C2676" s="1"/>
      <c r="D2676" s="1"/>
      <c r="E2676" s="14"/>
      <c r="F2676" s="15"/>
      <c r="G2676" s="16"/>
      <c r="H2676" s="11"/>
      <c r="I2676" s="7"/>
      <c r="J2676" s="7" t="str">
        <f>IFERROR(LET(_xlpm.v,
VLOOKUP($I2676,'用語辞書'!$A:$B,COLUMN('用語辞書'!B$1),FALSE),
IF(_xlpm.v=0,"",_xlpm.v)
),"")</f>
        <v/>
      </c>
      <c r="K2676" s="17"/>
      <c r="L2676" s="17" t="str">
        <f>IF(OR(COUNTIF('クラス'!$A$1:$A$1267,$B2676)&gt;0,$B2676="",$M2676=""),"",True)</f>
        <v/>
      </c>
      <c r="M2676" s="1" t="str">
        <f t="shared" si="30"/>
        <v>存在しない</v>
      </c>
      <c r="N2676" s="1" t="s">
        <v>29</v>
      </c>
      <c r="O2676" s="1"/>
      <c r="P2676" s="11"/>
      <c r="Q2676" s="11"/>
      <c r="R2676" s="11"/>
      <c r="S2676" s="11"/>
      <c r="T2676" s="1"/>
      <c r="U2676" s="1"/>
      <c r="V2676" s="1"/>
      <c r="W2676" s="1"/>
      <c r="X2676" s="1"/>
      <c r="Y2676" s="1"/>
      <c r="Z2676" s="1"/>
    </row>
    <row r="2677" ht="18.0" hidden="1" customHeight="1" outlineLevel="1">
      <c r="A2677" s="26">
        <v>1.0</v>
      </c>
      <c r="B2677" s="26" t="s">
        <v>857</v>
      </c>
      <c r="C2677" s="1"/>
      <c r="D2677" s="1"/>
      <c r="E2677" s="14"/>
      <c r="F2677" s="15"/>
      <c r="G2677" s="16"/>
      <c r="H2677" s="11"/>
      <c r="I2677" s="7"/>
      <c r="J2677" s="7" t="str">
        <f>IFERROR(LET(_xlpm.v,
VLOOKUP($I2677,'用語辞書'!$A:$B,COLUMN('用語辞書'!B$1),FALSE),
IF(_xlpm.v=0,"",_xlpm.v)
),"")</f>
        <v/>
      </c>
      <c r="K2677" s="17"/>
      <c r="L2677" s="17" t="str">
        <f>IF(OR(COUNTIF('クラス'!$A$1:$A$1267,$B2677)&gt;0,$B2677="",$M2677=""),"",True)</f>
        <v/>
      </c>
      <c r="M2677" s="1" t="str">
        <f t="shared" si="30"/>
        <v/>
      </c>
      <c r="N2677" s="1" t="s">
        <v>29</v>
      </c>
      <c r="O2677" s="1"/>
      <c r="P2677" s="11"/>
      <c r="Q2677" s="11"/>
      <c r="R2677" s="11"/>
      <c r="S2677" s="11"/>
      <c r="T2677" s="1"/>
      <c r="U2677" s="1"/>
      <c r="V2677" s="1"/>
      <c r="W2677" s="1"/>
      <c r="X2677" s="1"/>
      <c r="Y2677" s="1"/>
      <c r="Z2677" s="1"/>
    </row>
    <row r="2678" ht="18.0" hidden="1" customHeight="1" outlineLevel="1">
      <c r="A2678" s="26">
        <v>2.0</v>
      </c>
      <c r="B2678" s="1"/>
      <c r="C2678" s="1"/>
      <c r="D2678" s="1"/>
      <c r="E2678" s="14"/>
      <c r="F2678" s="15"/>
      <c r="G2678" s="16"/>
      <c r="H2678" s="11"/>
      <c r="I2678" s="7"/>
      <c r="J2678" s="7" t="str">
        <f>IFERROR(LET(_xlpm.v,
VLOOKUP($I2678,'用語辞書'!$A:$B,COLUMN('用語辞書'!B$1),FALSE),
IF(_xlpm.v=0,"",_xlpm.v)
),"")</f>
        <v/>
      </c>
      <c r="K2678" s="17"/>
      <c r="L2678" s="17" t="str">
        <f>IF(OR(COUNTIF('クラス'!$A$1:$A$1267,$B2678)&gt;0,$B2678="",$M2678=""),"",True)</f>
        <v/>
      </c>
      <c r="M2678" s="1" t="str">
        <f t="shared" si="30"/>
        <v>存在しない</v>
      </c>
      <c r="N2678" s="1" t="s">
        <v>29</v>
      </c>
      <c r="O2678" s="1"/>
      <c r="P2678" s="11"/>
      <c r="Q2678" s="11"/>
      <c r="R2678" s="11"/>
      <c r="S2678" s="11"/>
      <c r="T2678" s="1"/>
      <c r="U2678" s="1"/>
      <c r="V2678" s="1"/>
      <c r="W2678" s="1"/>
      <c r="X2678" s="1"/>
      <c r="Y2678" s="1"/>
      <c r="Z2678" s="1"/>
    </row>
    <row r="2679" ht="18.0" hidden="1" customHeight="1" outlineLevel="1">
      <c r="A2679" s="26">
        <v>3.0</v>
      </c>
      <c r="B2679" s="26" t="s">
        <v>860</v>
      </c>
      <c r="C2679" s="1"/>
      <c r="D2679" s="1"/>
      <c r="E2679" s="14"/>
      <c r="F2679" s="15"/>
      <c r="G2679" s="16"/>
      <c r="H2679" s="11"/>
      <c r="I2679" s="7"/>
      <c r="J2679" s="7" t="str">
        <f>IFERROR(LET(_xlpm.v,
VLOOKUP($I2679,'用語辞書'!$A:$B,COLUMN('用語辞書'!B$1),FALSE),
IF(_xlpm.v=0,"",_xlpm.v)
),"")</f>
        <v/>
      </c>
      <c r="K2679" s="17"/>
      <c r="L2679" s="17" t="str">
        <f>IF(OR(COUNTIF('クラス'!$A$1:$A$1267,$B2679)&gt;0,$B2679="",$M2679=""),"",True)</f>
        <v/>
      </c>
      <c r="M2679" s="1" t="str">
        <f t="shared" si="30"/>
        <v/>
      </c>
      <c r="N2679" s="1" t="s">
        <v>29</v>
      </c>
      <c r="O2679" s="1"/>
      <c r="P2679" s="11"/>
      <c r="Q2679" s="11"/>
      <c r="R2679" s="11"/>
      <c r="S2679" s="11"/>
      <c r="T2679" s="1"/>
      <c r="U2679" s="1"/>
      <c r="V2679" s="1"/>
      <c r="W2679" s="1"/>
      <c r="X2679" s="1"/>
      <c r="Y2679" s="1"/>
      <c r="Z2679" s="1"/>
    </row>
    <row r="2680" ht="18.0" hidden="1" customHeight="1" outlineLevel="1">
      <c r="A2680" s="26">
        <v>4.0</v>
      </c>
      <c r="B2680" s="1"/>
      <c r="C2680" s="1"/>
      <c r="D2680" s="1"/>
      <c r="E2680" s="14"/>
      <c r="F2680" s="15"/>
      <c r="G2680" s="16"/>
      <c r="H2680" s="11"/>
      <c r="I2680" s="7"/>
      <c r="J2680" s="7" t="str">
        <f>IFERROR(LET(_xlpm.v,
VLOOKUP($I2680,'用語辞書'!$A:$B,COLUMN('用語辞書'!B$1),FALSE),
IF(_xlpm.v=0,"",_xlpm.v)
),"")</f>
        <v/>
      </c>
      <c r="K2680" s="17"/>
      <c r="L2680" s="17" t="str">
        <f>IF(OR(COUNTIF('クラス'!$A$1:$A$1267,$B2680)&gt;0,$B2680="",$M2680=""),"",True)</f>
        <v/>
      </c>
      <c r="M2680" s="1" t="str">
        <f t="shared" si="30"/>
        <v>存在しない</v>
      </c>
      <c r="N2680" s="1" t="s">
        <v>29</v>
      </c>
      <c r="O2680" s="1"/>
      <c r="P2680" s="11"/>
      <c r="Q2680" s="11"/>
      <c r="R2680" s="11"/>
      <c r="S2680" s="11"/>
      <c r="T2680" s="1"/>
      <c r="U2680" s="1"/>
      <c r="V2680" s="1"/>
      <c r="W2680" s="1"/>
      <c r="X2680" s="1"/>
      <c r="Y2680" s="1"/>
      <c r="Z2680" s="1"/>
    </row>
    <row r="2681" ht="18.0" hidden="1" customHeight="1" outlineLevel="1">
      <c r="A2681" s="26">
        <v>5.0</v>
      </c>
      <c r="B2681" s="26" t="s">
        <v>851</v>
      </c>
      <c r="C2681" s="1"/>
      <c r="D2681" s="1"/>
      <c r="E2681" s="14"/>
      <c r="F2681" s="15"/>
      <c r="G2681" s="16"/>
      <c r="H2681" s="11"/>
      <c r="I2681" s="7"/>
      <c r="J2681" s="7" t="str">
        <f>IFERROR(LET(_xlpm.v,
VLOOKUP($I2681,'用語辞書'!$A:$B,COLUMN('用語辞書'!B$1),FALSE),
IF(_xlpm.v=0,"",_xlpm.v)
),"")</f>
        <v/>
      </c>
      <c r="K2681" s="17"/>
      <c r="L2681" s="17" t="str">
        <f>IF(OR(COUNTIF('クラス'!$A$1:$A$1267,$B2681)&gt;0,$B2681="",$M2681=""),"",True)</f>
        <v/>
      </c>
      <c r="M2681" s="1" t="str">
        <f t="shared" si="30"/>
        <v/>
      </c>
      <c r="N2681" s="1" t="s">
        <v>29</v>
      </c>
      <c r="O2681" s="1"/>
      <c r="P2681" s="11"/>
      <c r="Q2681" s="11"/>
      <c r="R2681" s="11"/>
      <c r="S2681" s="11"/>
      <c r="T2681" s="1"/>
      <c r="U2681" s="1"/>
      <c r="V2681" s="1"/>
      <c r="W2681" s="1"/>
      <c r="X2681" s="1"/>
      <c r="Y2681" s="1"/>
      <c r="Z2681" s="1"/>
    </row>
    <row r="2682" ht="18.0" hidden="1" customHeight="1" outlineLevel="1">
      <c r="A2682" s="26">
        <v>6.0</v>
      </c>
      <c r="B2682" s="1"/>
      <c r="C2682" s="1"/>
      <c r="D2682" s="1"/>
      <c r="E2682" s="14"/>
      <c r="F2682" s="15"/>
      <c r="G2682" s="16"/>
      <c r="H2682" s="11"/>
      <c r="I2682" s="7"/>
      <c r="J2682" s="7" t="str">
        <f>IFERROR(LET(_xlpm.v,
VLOOKUP($I2682,'用語辞書'!$A:$B,COLUMN('用語辞書'!B$1),FALSE),
IF(_xlpm.v=0,"",_xlpm.v)
),"")</f>
        <v/>
      </c>
      <c r="K2682" s="17"/>
      <c r="L2682" s="17" t="str">
        <f>IF(OR(COUNTIF('クラス'!$A$1:$A$1267,$B2682)&gt;0,$B2682="",$M2682=""),"",True)</f>
        <v/>
      </c>
      <c r="M2682" s="1" t="str">
        <f t="shared" si="30"/>
        <v>存在しない</v>
      </c>
      <c r="N2682" s="1" t="s">
        <v>29</v>
      </c>
      <c r="O2682" s="1"/>
      <c r="P2682" s="11"/>
      <c r="Q2682" s="11"/>
      <c r="R2682" s="11"/>
      <c r="S2682" s="11"/>
      <c r="T2682" s="1"/>
      <c r="U2682" s="1"/>
      <c r="V2682" s="1"/>
      <c r="W2682" s="1"/>
      <c r="X2682" s="1"/>
      <c r="Y2682" s="1"/>
      <c r="Z2682" s="1"/>
    </row>
    <row r="2683" ht="18.0" hidden="1" customHeight="1" outlineLevel="1">
      <c r="A2683" s="26">
        <v>7.0</v>
      </c>
      <c r="B2683" s="26" t="s">
        <v>876</v>
      </c>
      <c r="C2683" s="1"/>
      <c r="D2683" s="1"/>
      <c r="E2683" s="14"/>
      <c r="F2683" s="15"/>
      <c r="G2683" s="16"/>
      <c r="H2683" s="11"/>
      <c r="I2683" s="7"/>
      <c r="J2683" s="7" t="str">
        <f>IFERROR(LET(_xlpm.v,
VLOOKUP($I2683,'用語辞書'!$A:$B,COLUMN('用語辞書'!B$1),FALSE),
IF(_xlpm.v=0,"",_xlpm.v)
),"")</f>
        <v/>
      </c>
      <c r="K2683" s="17"/>
      <c r="L2683" s="17" t="str">
        <f>IF(OR(COUNTIF('クラス'!$A$1:$A$1267,$B2683)&gt;0,$B2683="",$M2683=""),"",True)</f>
        <v/>
      </c>
      <c r="M2683" s="1" t="str">
        <f t="shared" si="30"/>
        <v/>
      </c>
      <c r="N2683" s="1" t="s">
        <v>29</v>
      </c>
      <c r="O2683" s="1"/>
      <c r="P2683" s="11"/>
      <c r="Q2683" s="11"/>
      <c r="R2683" s="11"/>
      <c r="S2683" s="11"/>
      <c r="T2683" s="1"/>
      <c r="U2683" s="1"/>
      <c r="V2683" s="1"/>
      <c r="W2683" s="1"/>
      <c r="X2683" s="1"/>
      <c r="Y2683" s="1"/>
      <c r="Z2683" s="1"/>
    </row>
    <row r="2684" ht="18.0" hidden="1" customHeight="1" outlineLevel="1">
      <c r="A2684" s="26">
        <v>8.0</v>
      </c>
      <c r="B2684" s="1"/>
      <c r="C2684" s="1"/>
      <c r="D2684" s="1"/>
      <c r="E2684" s="14"/>
      <c r="F2684" s="15"/>
      <c r="G2684" s="16"/>
      <c r="H2684" s="11"/>
      <c r="I2684" s="7"/>
      <c r="J2684" s="7" t="str">
        <f>IFERROR(LET(_xlpm.v,
VLOOKUP($I2684,'用語辞書'!$A:$B,COLUMN('用語辞書'!B$1),FALSE),
IF(_xlpm.v=0,"",_xlpm.v)
),"")</f>
        <v/>
      </c>
      <c r="K2684" s="17"/>
      <c r="L2684" s="17" t="str">
        <f>IF(OR(COUNTIF('クラス'!$A$1:$A$1267,$B2684)&gt;0,$B2684="",$M2684=""),"",True)</f>
        <v/>
      </c>
      <c r="M2684" s="1" t="str">
        <f t="shared" si="30"/>
        <v>存在しない</v>
      </c>
      <c r="N2684" s="1" t="s">
        <v>29</v>
      </c>
      <c r="O2684" s="1"/>
      <c r="P2684" s="11"/>
      <c r="Q2684" s="11"/>
      <c r="R2684" s="11"/>
      <c r="S2684" s="11"/>
      <c r="T2684" s="1"/>
      <c r="U2684" s="1"/>
      <c r="V2684" s="1"/>
      <c r="W2684" s="1"/>
      <c r="X2684" s="1"/>
      <c r="Y2684" s="1"/>
      <c r="Z2684" s="1"/>
    </row>
    <row r="2685" ht="18.0" hidden="1" customHeight="1" outlineLevel="1">
      <c r="A2685" s="26">
        <v>9.0</v>
      </c>
      <c r="B2685" s="26" t="s">
        <v>873</v>
      </c>
      <c r="C2685" s="1"/>
      <c r="D2685" s="1"/>
      <c r="E2685" s="14"/>
      <c r="F2685" s="15"/>
      <c r="G2685" s="16"/>
      <c r="H2685" s="11"/>
      <c r="I2685" s="7"/>
      <c r="J2685" s="7" t="str">
        <f>IFERROR(LET(_xlpm.v,
VLOOKUP($I2685,'用語辞書'!$A:$B,COLUMN('用語辞書'!B$1),FALSE),
IF(_xlpm.v=0,"",_xlpm.v)
),"")</f>
        <v/>
      </c>
      <c r="K2685" s="17"/>
      <c r="L2685" s="17" t="str">
        <f>IF(OR(COUNTIF('クラス'!$A$1:$A$1267,$B2685)&gt;0,$B2685="",$M2685=""),"",True)</f>
        <v/>
      </c>
      <c r="M2685" s="1" t="str">
        <f t="shared" si="30"/>
        <v/>
      </c>
      <c r="N2685" s="1" t="s">
        <v>29</v>
      </c>
      <c r="O2685" s="1"/>
      <c r="P2685" s="11"/>
      <c r="Q2685" s="11"/>
      <c r="R2685" s="11"/>
      <c r="S2685" s="11"/>
      <c r="T2685" s="1"/>
      <c r="U2685" s="1"/>
      <c r="V2685" s="1"/>
      <c r="W2685" s="1"/>
      <c r="X2685" s="1"/>
      <c r="Y2685" s="1"/>
      <c r="Z2685" s="1"/>
    </row>
    <row r="2686" ht="18.0" hidden="1" customHeight="1" outlineLevel="1">
      <c r="A2686" s="26">
        <v>10.0</v>
      </c>
      <c r="B2686" s="26" t="s">
        <v>892</v>
      </c>
      <c r="C2686" s="1"/>
      <c r="D2686" s="1"/>
      <c r="E2686" s="14"/>
      <c r="F2686" s="15"/>
      <c r="G2686" s="16"/>
      <c r="H2686" s="11"/>
      <c r="I2686" s="7"/>
      <c r="J2686" s="7" t="str">
        <f>IFERROR(LET(_xlpm.v,
VLOOKUP($I2686,'用語辞書'!$A:$B,COLUMN('用語辞書'!B$1),FALSE),
IF(_xlpm.v=0,"",_xlpm.v)
),"")</f>
        <v/>
      </c>
      <c r="K2686" s="17"/>
      <c r="L2686" s="17" t="str">
        <f>IF(OR(COUNTIF('クラス'!$A$1:$A$1267,$B2686)&gt;0,$B2686="",$M2686=""),"",True)</f>
        <v/>
      </c>
      <c r="M2686" s="1" t="str">
        <f t="shared" si="30"/>
        <v/>
      </c>
      <c r="N2686" s="1" t="s">
        <v>29</v>
      </c>
      <c r="O2686" s="1"/>
      <c r="P2686" s="11"/>
      <c r="Q2686" s="11"/>
      <c r="R2686" s="11"/>
      <c r="S2686" s="11"/>
      <c r="T2686" s="1"/>
      <c r="U2686" s="1"/>
      <c r="V2686" s="1"/>
      <c r="W2686" s="1"/>
      <c r="X2686" s="1"/>
      <c r="Y2686" s="1"/>
      <c r="Z2686" s="1"/>
    </row>
    <row r="2687" ht="18.0" customHeight="1" collapsed="1">
      <c r="A2687" s="1"/>
      <c r="B2687" s="1"/>
      <c r="C2687" s="1"/>
      <c r="D2687" s="1"/>
      <c r="E2687" s="14"/>
      <c r="F2687" s="15"/>
      <c r="G2687" s="16"/>
      <c r="H2687" s="11"/>
      <c r="I2687" s="7"/>
      <c r="J2687" s="7" t="str">
        <f>IFERROR(LET(_xlpm.v,
VLOOKUP($I2687,'用語辞書'!$A:$B,COLUMN('用語辞書'!B$1),FALSE),
IF(_xlpm.v=0,"",_xlpm.v)
),"")</f>
        <v/>
      </c>
      <c r="K2687" s="17"/>
      <c r="L2687" s="17" t="str">
        <f>IF(OR(COUNTIF('クラス'!$A$1:$A$1267,$B2687)&gt;0,$B2687="",$M2687=""),"",True)</f>
        <v/>
      </c>
      <c r="M2687" s="1" t="str">
        <f t="shared" si="30"/>
        <v>存在しない</v>
      </c>
      <c r="N2687" s="1" t="s">
        <v>29</v>
      </c>
      <c r="O2687" s="1"/>
      <c r="P2687" s="11"/>
      <c r="Q2687" s="11"/>
      <c r="R2687" s="11"/>
      <c r="S2687" s="11"/>
      <c r="T2687" s="1"/>
      <c r="U2687" s="1"/>
      <c r="V2687" s="1"/>
      <c r="W2687" s="1"/>
      <c r="X2687" s="1"/>
      <c r="Y2687" s="1"/>
      <c r="Z2687" s="1"/>
    </row>
    <row r="2688" ht="18.0" customHeight="1">
      <c r="A2688" s="1"/>
      <c r="B2688" s="26" t="s">
        <v>2461</v>
      </c>
      <c r="C2688" s="1"/>
      <c r="D2688" s="1"/>
      <c r="E2688" s="14"/>
      <c r="F2688" s="15"/>
      <c r="G2688" s="16"/>
      <c r="H2688" s="11"/>
      <c r="I2688" s="7"/>
      <c r="J2688" s="7" t="str">
        <f>IFERROR(LET(_xlpm.v,
VLOOKUP($I2688,'用語辞書'!$A:$B,COLUMN('用語辞書'!B$1),FALSE),
IF(_xlpm.v=0,"",_xlpm.v)
),"")</f>
        <v/>
      </c>
      <c r="K2688" s="17"/>
      <c r="L2688" s="17" t="str">
        <f>IF(OR(COUNTIF('クラス'!$A$1:$A$1267,$B2688)&gt;0,$B2688="",$M2688=""),"",True)</f>
        <v/>
      </c>
      <c r="M2688" s="1" t="str">
        <f t="shared" si="30"/>
        <v>存在しない</v>
      </c>
      <c r="N2688" s="1" t="s">
        <v>29</v>
      </c>
      <c r="O2688" s="1"/>
      <c r="P2688" s="11"/>
      <c r="Q2688" s="11"/>
      <c r="R2688" s="11"/>
      <c r="S2688" s="11"/>
      <c r="T2688" s="1"/>
      <c r="U2688" s="1"/>
      <c r="V2688" s="1"/>
      <c r="W2688" s="1"/>
      <c r="X2688" s="1"/>
      <c r="Y2688" s="1"/>
      <c r="Z2688" s="1"/>
    </row>
    <row r="2689" ht="18.0" hidden="1" customHeight="1" outlineLevel="1">
      <c r="A2689" s="26">
        <v>1.0</v>
      </c>
      <c r="B2689" s="26" t="s">
        <v>188</v>
      </c>
      <c r="C2689" s="1"/>
      <c r="D2689" s="1"/>
      <c r="E2689" s="14"/>
      <c r="F2689" s="15"/>
      <c r="G2689" s="16"/>
      <c r="H2689" s="11"/>
      <c r="I2689" s="7"/>
      <c r="J2689" s="7" t="str">
        <f>IFERROR(LET(_xlpm.v,
VLOOKUP($I2689,'用語辞書'!$A:$B,COLUMN('用語辞書'!B$1),FALSE),
IF(_xlpm.v=0,"",_xlpm.v)
),"")</f>
        <v/>
      </c>
      <c r="K2689" s="17"/>
      <c r="L2689" s="17" t="str">
        <f>IF(OR(COUNTIF('クラス'!$A$1:$A$1267,$B2689)&gt;0,$B2689="",$M2689=""),"",True)</f>
        <v/>
      </c>
      <c r="M2689" s="1" t="str">
        <f t="shared" si="30"/>
        <v/>
      </c>
      <c r="N2689" s="1" t="s">
        <v>29</v>
      </c>
      <c r="O2689" s="1"/>
      <c r="P2689" s="11"/>
      <c r="Q2689" s="11"/>
      <c r="R2689" s="11"/>
      <c r="S2689" s="11"/>
      <c r="T2689" s="1"/>
      <c r="U2689" s="1"/>
      <c r="V2689" s="1"/>
      <c r="W2689" s="1"/>
      <c r="X2689" s="1"/>
      <c r="Y2689" s="1"/>
      <c r="Z2689" s="1"/>
    </row>
    <row r="2690" ht="18.0" hidden="1" customHeight="1" outlineLevel="1">
      <c r="A2690" s="26">
        <v>2.0</v>
      </c>
      <c r="B2690" s="1"/>
      <c r="C2690" s="1"/>
      <c r="D2690" s="1"/>
      <c r="E2690" s="14"/>
      <c r="F2690" s="15"/>
      <c r="G2690" s="16"/>
      <c r="H2690" s="11"/>
      <c r="I2690" s="7"/>
      <c r="J2690" s="7" t="str">
        <f>IFERROR(LET(_xlpm.v,
VLOOKUP($I2690,'用語辞書'!$A:$B,COLUMN('用語辞書'!B$1),FALSE),
IF(_xlpm.v=0,"",_xlpm.v)
),"")</f>
        <v/>
      </c>
      <c r="K2690" s="17"/>
      <c r="L2690" s="17" t="str">
        <f>IF(OR(COUNTIF('クラス'!$A$1:$A$1267,$B2690)&gt;0,$B2690="",$M2690=""),"",True)</f>
        <v/>
      </c>
      <c r="M2690" s="1" t="str">
        <f t="shared" si="30"/>
        <v>存在しない</v>
      </c>
      <c r="N2690" s="1" t="s">
        <v>29</v>
      </c>
      <c r="O2690" s="1"/>
      <c r="P2690" s="11"/>
      <c r="Q2690" s="11"/>
      <c r="R2690" s="11"/>
      <c r="S2690" s="11"/>
      <c r="T2690" s="1"/>
      <c r="U2690" s="1"/>
      <c r="V2690" s="1"/>
      <c r="W2690" s="1"/>
      <c r="X2690" s="1"/>
      <c r="Y2690" s="1"/>
      <c r="Z2690" s="1"/>
    </row>
    <row r="2691" ht="18.0" hidden="1" customHeight="1" outlineLevel="1">
      <c r="A2691" s="26">
        <v>3.0</v>
      </c>
      <c r="B2691" s="26" t="s">
        <v>206</v>
      </c>
      <c r="C2691" s="1"/>
      <c r="D2691" s="1"/>
      <c r="E2691" s="14"/>
      <c r="F2691" s="15"/>
      <c r="G2691" s="16"/>
      <c r="H2691" s="11"/>
      <c r="I2691" s="7"/>
      <c r="J2691" s="7" t="str">
        <f>IFERROR(LET(_xlpm.v,
VLOOKUP($I2691,'用語辞書'!$A:$B,COLUMN('用語辞書'!B$1),FALSE),
IF(_xlpm.v=0,"",_xlpm.v)
),"")</f>
        <v/>
      </c>
      <c r="K2691" s="17"/>
      <c r="L2691" s="17" t="str">
        <f>IF(OR(COUNTIF('クラス'!$A$1:$A$1267,$B2691)&gt;0,$B2691="",$M2691=""),"",True)</f>
        <v/>
      </c>
      <c r="M2691" s="1" t="str">
        <f t="shared" si="30"/>
        <v/>
      </c>
      <c r="N2691" s="1" t="s">
        <v>29</v>
      </c>
      <c r="O2691" s="1"/>
      <c r="P2691" s="11"/>
      <c r="Q2691" s="11"/>
      <c r="R2691" s="11"/>
      <c r="S2691" s="11"/>
      <c r="T2691" s="1"/>
      <c r="U2691" s="1"/>
      <c r="V2691" s="1"/>
      <c r="W2691" s="1"/>
      <c r="X2691" s="1"/>
      <c r="Y2691" s="1"/>
      <c r="Z2691" s="1"/>
    </row>
    <row r="2692" ht="18.0" hidden="1" customHeight="1" outlineLevel="1">
      <c r="A2692" s="26">
        <v>4.0</v>
      </c>
      <c r="B2692" s="1"/>
      <c r="C2692" s="1"/>
      <c r="D2692" s="1"/>
      <c r="E2692" s="14"/>
      <c r="F2692" s="15"/>
      <c r="G2692" s="16"/>
      <c r="H2692" s="11"/>
      <c r="I2692" s="7"/>
      <c r="J2692" s="7" t="str">
        <f>IFERROR(LET(_xlpm.v,
VLOOKUP($I2692,'用語辞書'!$A:$B,COLUMN('用語辞書'!B$1),FALSE),
IF(_xlpm.v=0,"",_xlpm.v)
),"")</f>
        <v/>
      </c>
      <c r="K2692" s="17"/>
      <c r="L2692" s="17" t="str">
        <f>IF(OR(COUNTIF('クラス'!$A$1:$A$1267,$B2692)&gt;0,$B2692="",$M2692=""),"",True)</f>
        <v/>
      </c>
      <c r="M2692" s="1" t="str">
        <f t="shared" si="30"/>
        <v>存在しない</v>
      </c>
      <c r="N2692" s="1" t="s">
        <v>29</v>
      </c>
      <c r="O2692" s="1"/>
      <c r="P2692" s="11"/>
      <c r="Q2692" s="11"/>
      <c r="R2692" s="11"/>
      <c r="S2692" s="11"/>
      <c r="T2692" s="1"/>
      <c r="U2692" s="1"/>
      <c r="V2692" s="1"/>
      <c r="W2692" s="1"/>
      <c r="X2692" s="1"/>
      <c r="Y2692" s="1"/>
      <c r="Z2692" s="1"/>
    </row>
    <row r="2693" ht="18.0" hidden="1" customHeight="1" outlineLevel="1">
      <c r="A2693" s="26">
        <v>5.0</v>
      </c>
      <c r="B2693" s="26" t="s">
        <v>208</v>
      </c>
      <c r="C2693" s="1"/>
      <c r="D2693" s="1"/>
      <c r="E2693" s="14"/>
      <c r="F2693" s="15"/>
      <c r="G2693" s="16"/>
      <c r="H2693" s="11"/>
      <c r="I2693" s="7"/>
      <c r="J2693" s="7" t="str">
        <f>IFERROR(LET(_xlpm.v,
VLOOKUP($I2693,'用語辞書'!$A:$B,COLUMN('用語辞書'!B$1),FALSE),
IF(_xlpm.v=0,"",_xlpm.v)
),"")</f>
        <v/>
      </c>
      <c r="K2693" s="17"/>
      <c r="L2693" s="17" t="str">
        <f>IF(OR(COUNTIF('クラス'!$A$1:$A$1267,$B2693)&gt;0,$B2693="",$M2693=""),"",True)</f>
        <v/>
      </c>
      <c r="M2693" s="1" t="str">
        <f t="shared" si="30"/>
        <v/>
      </c>
      <c r="N2693" s="1" t="s">
        <v>29</v>
      </c>
      <c r="O2693" s="1"/>
      <c r="P2693" s="11"/>
      <c r="Q2693" s="11"/>
      <c r="R2693" s="11"/>
      <c r="S2693" s="11"/>
      <c r="T2693" s="1"/>
      <c r="U2693" s="1"/>
      <c r="V2693" s="1"/>
      <c r="W2693" s="1"/>
      <c r="X2693" s="1"/>
      <c r="Y2693" s="1"/>
      <c r="Z2693" s="1"/>
    </row>
    <row r="2694" ht="18.0" hidden="1" customHeight="1" outlineLevel="1">
      <c r="A2694" s="26">
        <v>6.0</v>
      </c>
      <c r="B2694" s="1"/>
      <c r="C2694" s="1"/>
      <c r="D2694" s="1"/>
      <c r="E2694" s="14"/>
      <c r="F2694" s="15"/>
      <c r="G2694" s="16"/>
      <c r="H2694" s="11"/>
      <c r="I2694" s="7"/>
      <c r="J2694" s="7" t="str">
        <f>IFERROR(LET(_xlpm.v,
VLOOKUP($I2694,'用語辞書'!$A:$B,COLUMN('用語辞書'!B$1),FALSE),
IF(_xlpm.v=0,"",_xlpm.v)
),"")</f>
        <v/>
      </c>
      <c r="K2694" s="17"/>
      <c r="L2694" s="17" t="str">
        <f>IF(OR(COUNTIF('クラス'!$A$1:$A$1267,$B2694)&gt;0,$B2694="",$M2694=""),"",True)</f>
        <v/>
      </c>
      <c r="M2694" s="1" t="str">
        <f t="shared" si="30"/>
        <v>存在しない</v>
      </c>
      <c r="N2694" s="1" t="s">
        <v>29</v>
      </c>
      <c r="O2694" s="1"/>
      <c r="P2694" s="11"/>
      <c r="Q2694" s="11"/>
      <c r="R2694" s="11"/>
      <c r="S2694" s="11"/>
      <c r="T2694" s="1"/>
      <c r="U2694" s="1"/>
      <c r="V2694" s="1"/>
      <c r="W2694" s="1"/>
      <c r="X2694" s="1"/>
      <c r="Y2694" s="1"/>
      <c r="Z2694" s="1"/>
    </row>
    <row r="2695" ht="18.0" hidden="1" customHeight="1" outlineLevel="1">
      <c r="A2695" s="26">
        <v>7.0</v>
      </c>
      <c r="B2695" s="26" t="s">
        <v>194</v>
      </c>
      <c r="C2695" s="1"/>
      <c r="D2695" s="1"/>
      <c r="E2695" s="14"/>
      <c r="F2695" s="15"/>
      <c r="G2695" s="16"/>
      <c r="H2695" s="11"/>
      <c r="I2695" s="7"/>
      <c r="J2695" s="7" t="str">
        <f>IFERROR(LET(_xlpm.v,
VLOOKUP($I2695,'用語辞書'!$A:$B,COLUMN('用語辞書'!B$1),FALSE),
IF(_xlpm.v=0,"",_xlpm.v)
),"")</f>
        <v/>
      </c>
      <c r="K2695" s="17"/>
      <c r="L2695" s="17" t="str">
        <f>IF(OR(COUNTIF('クラス'!$A$1:$A$1267,$B2695)&gt;0,$B2695="",$M2695=""),"",True)</f>
        <v/>
      </c>
      <c r="M2695" s="1" t="str">
        <f t="shared" si="30"/>
        <v/>
      </c>
      <c r="N2695" s="1" t="s">
        <v>29</v>
      </c>
      <c r="O2695" s="1"/>
      <c r="P2695" s="11"/>
      <c r="Q2695" s="11"/>
      <c r="R2695" s="11"/>
      <c r="S2695" s="11"/>
      <c r="T2695" s="1"/>
      <c r="U2695" s="1"/>
      <c r="V2695" s="1"/>
      <c r="W2695" s="1"/>
      <c r="X2695" s="1"/>
      <c r="Y2695" s="1"/>
      <c r="Z2695" s="1"/>
    </row>
    <row r="2696" ht="18.0" hidden="1" customHeight="1" outlineLevel="1">
      <c r="A2696" s="26">
        <v>8.0</v>
      </c>
      <c r="B2696" s="1"/>
      <c r="C2696" s="1"/>
      <c r="D2696" s="1"/>
      <c r="E2696" s="14"/>
      <c r="F2696" s="15"/>
      <c r="G2696" s="16"/>
      <c r="H2696" s="11"/>
      <c r="I2696" s="7"/>
      <c r="J2696" s="7" t="str">
        <f>IFERROR(LET(_xlpm.v,
VLOOKUP($I2696,'用語辞書'!$A:$B,COLUMN('用語辞書'!B$1),FALSE),
IF(_xlpm.v=0,"",_xlpm.v)
),"")</f>
        <v/>
      </c>
      <c r="K2696" s="17"/>
      <c r="L2696" s="17" t="str">
        <f>IF(OR(COUNTIF('クラス'!$A$1:$A$1267,$B2696)&gt;0,$B2696="",$M2696=""),"",True)</f>
        <v/>
      </c>
      <c r="M2696" s="1" t="str">
        <f t="shared" si="30"/>
        <v>存在しない</v>
      </c>
      <c r="N2696" s="1" t="s">
        <v>29</v>
      </c>
      <c r="O2696" s="1"/>
      <c r="P2696" s="11"/>
      <c r="Q2696" s="11"/>
      <c r="R2696" s="11"/>
      <c r="S2696" s="11"/>
      <c r="T2696" s="1"/>
      <c r="U2696" s="1"/>
      <c r="V2696" s="1"/>
      <c r="W2696" s="1"/>
      <c r="X2696" s="1"/>
      <c r="Y2696" s="1"/>
      <c r="Z2696" s="1"/>
    </row>
    <row r="2697" ht="18.0" hidden="1" customHeight="1" outlineLevel="1">
      <c r="A2697" s="26">
        <v>9.0</v>
      </c>
      <c r="B2697" s="26" t="s">
        <v>143</v>
      </c>
      <c r="C2697" s="1"/>
      <c r="D2697" s="1"/>
      <c r="E2697" s="14"/>
      <c r="F2697" s="15"/>
      <c r="G2697" s="16"/>
      <c r="H2697" s="11"/>
      <c r="I2697" s="7"/>
      <c r="J2697" s="7" t="str">
        <f>IFERROR(LET(_xlpm.v,
VLOOKUP($I2697,'用語辞書'!$A:$B,COLUMN('用語辞書'!B$1),FALSE),
IF(_xlpm.v=0,"",_xlpm.v)
),"")</f>
        <v/>
      </c>
      <c r="K2697" s="17"/>
      <c r="L2697" s="17" t="str">
        <f>IF(OR(COUNTIF('クラス'!$A$1:$A$1267,$B2697)&gt;0,$B2697="",$M2697=""),"",True)</f>
        <v/>
      </c>
      <c r="M2697" s="1" t="str">
        <f t="shared" si="30"/>
        <v/>
      </c>
      <c r="N2697" s="1" t="s">
        <v>29</v>
      </c>
      <c r="O2697" s="1"/>
      <c r="P2697" s="11"/>
      <c r="Q2697" s="11"/>
      <c r="R2697" s="11"/>
      <c r="S2697" s="11"/>
      <c r="T2697" s="1"/>
      <c r="U2697" s="1"/>
      <c r="V2697" s="1"/>
      <c r="W2697" s="1"/>
      <c r="X2697" s="1"/>
      <c r="Y2697" s="1"/>
      <c r="Z2697" s="1"/>
    </row>
    <row r="2698" ht="18.0" hidden="1" customHeight="1" outlineLevel="1">
      <c r="A2698" s="26">
        <v>10.0</v>
      </c>
      <c r="B2698" s="26" t="s">
        <v>2462</v>
      </c>
      <c r="C2698" s="26" t="s">
        <v>29</v>
      </c>
      <c r="D2698" s="26" t="s">
        <v>1179</v>
      </c>
      <c r="E2698" s="29" t="s">
        <v>33</v>
      </c>
      <c r="F2698" s="34" t="s">
        <v>29</v>
      </c>
      <c r="G2698" s="30">
        <v>60.0</v>
      </c>
      <c r="H2698" s="22" t="s">
        <v>2463</v>
      </c>
      <c r="I2698" s="7"/>
      <c r="J2698" s="7" t="str">
        <f>IFERROR(LET(_xlpm.v,
VLOOKUP($I2698,'用語辞書'!$A:$B,COLUMN('用語辞書'!B$1),FALSE),
IF(_xlpm.v=0,"",_xlpm.v)
),"")</f>
        <v/>
      </c>
      <c r="K2698" s="17"/>
      <c r="L2698" s="17" t="b">
        <f>IF(OR(COUNTIF('クラス'!$A$1:$A$1267,$B2698)&gt;0,$B2698="",$M2698=""),"",True)</f>
        <v>1</v>
      </c>
      <c r="M2698" s="1" t="str">
        <f t="shared" si="30"/>
        <v>存在しない</v>
      </c>
      <c r="N2698" s="1" t="s">
        <v>29</v>
      </c>
      <c r="O2698" s="1"/>
      <c r="P2698" s="11"/>
      <c r="Q2698" s="11"/>
      <c r="R2698" s="11"/>
      <c r="S2698" s="11"/>
      <c r="T2698" s="1"/>
      <c r="U2698" s="1"/>
      <c r="V2698" s="1"/>
      <c r="W2698" s="1"/>
      <c r="X2698" s="1"/>
      <c r="Y2698" s="1"/>
      <c r="Z2698" s="1"/>
    </row>
    <row r="2699" ht="18.0" customHeight="1" collapsed="1">
      <c r="A2699" s="1"/>
      <c r="B2699" s="1"/>
      <c r="C2699" s="1"/>
      <c r="D2699" s="1"/>
      <c r="E2699" s="14"/>
      <c r="F2699" s="15"/>
      <c r="G2699" s="16"/>
      <c r="H2699" s="11"/>
      <c r="I2699" s="7"/>
      <c r="J2699" s="7" t="str">
        <f>IFERROR(LET(_xlpm.v,
VLOOKUP($I2699,'用語辞書'!$A:$B,COLUMN('用語辞書'!B$1),FALSE),
IF(_xlpm.v=0,"",_xlpm.v)
),"")</f>
        <v/>
      </c>
      <c r="K2699" s="17"/>
      <c r="L2699" s="17" t="str">
        <f>IF(OR(COUNTIF('クラス'!$A$1:$A$1267,$B2699)&gt;0,$B2699="",$M2699=""),"",True)</f>
        <v/>
      </c>
      <c r="M2699" s="1" t="str">
        <f t="shared" si="30"/>
        <v>存在しない</v>
      </c>
      <c r="N2699" s="1" t="s">
        <v>29</v>
      </c>
      <c r="O2699" s="1"/>
      <c r="P2699" s="11"/>
      <c r="Q2699" s="11"/>
      <c r="R2699" s="11"/>
      <c r="S2699" s="11"/>
      <c r="T2699" s="1"/>
      <c r="U2699" s="1"/>
      <c r="V2699" s="1"/>
      <c r="W2699" s="1"/>
      <c r="X2699" s="1"/>
      <c r="Y2699" s="1"/>
      <c r="Z2699" s="1"/>
    </row>
    <row r="2700" ht="18.0" customHeight="1">
      <c r="A2700" s="1"/>
      <c r="B2700" s="26" t="s">
        <v>2464</v>
      </c>
      <c r="C2700" s="1"/>
      <c r="D2700" s="1"/>
      <c r="E2700" s="14"/>
      <c r="F2700" s="15"/>
      <c r="G2700" s="16"/>
      <c r="H2700" s="11"/>
      <c r="I2700" s="7"/>
      <c r="J2700" s="7" t="str">
        <f>IFERROR(LET(_xlpm.v,
VLOOKUP($I2700,'用語辞書'!$A:$B,COLUMN('用語辞書'!B$1),FALSE),
IF(_xlpm.v=0,"",_xlpm.v)
),"")</f>
        <v/>
      </c>
      <c r="K2700" s="17"/>
      <c r="L2700" s="17" t="str">
        <f>IF(OR(COUNTIF('クラス'!$A$1:$A$1267,$B2700)&gt;0,$B2700="",$M2700=""),"",True)</f>
        <v/>
      </c>
      <c r="M2700" s="1" t="str">
        <f t="shared" si="30"/>
        <v>存在しない</v>
      </c>
      <c r="N2700" s="1" t="s">
        <v>29</v>
      </c>
      <c r="O2700" s="1"/>
      <c r="P2700" s="11"/>
      <c r="Q2700" s="11"/>
      <c r="R2700" s="11"/>
      <c r="S2700" s="11"/>
      <c r="T2700" s="1"/>
      <c r="U2700" s="1"/>
      <c r="V2700" s="1"/>
      <c r="W2700" s="1"/>
      <c r="X2700" s="1"/>
      <c r="Y2700" s="1"/>
      <c r="Z2700" s="1"/>
    </row>
    <row r="2701" ht="18.0" hidden="1" customHeight="1" outlineLevel="1">
      <c r="A2701" s="26">
        <v>1.0</v>
      </c>
      <c r="B2701" s="26" t="s">
        <v>797</v>
      </c>
      <c r="C2701" s="1"/>
      <c r="D2701" s="1"/>
      <c r="E2701" s="14"/>
      <c r="F2701" s="15"/>
      <c r="G2701" s="16"/>
      <c r="H2701" s="11"/>
      <c r="I2701" s="7"/>
      <c r="J2701" s="7" t="str">
        <f>IFERROR(LET(_xlpm.v,
VLOOKUP($I2701,'用語辞書'!$A:$B,COLUMN('用語辞書'!B$1),FALSE),
IF(_xlpm.v=0,"",_xlpm.v)
),"")</f>
        <v/>
      </c>
      <c r="K2701" s="17"/>
      <c r="L2701" s="17" t="str">
        <f>IF(OR(COUNTIF('クラス'!$A$1:$A$1267,$B2701)&gt;0,$B2701="",$M2701=""),"",True)</f>
        <v/>
      </c>
      <c r="M2701" s="1" t="str">
        <f t="shared" si="30"/>
        <v/>
      </c>
      <c r="N2701" s="1" t="s">
        <v>29</v>
      </c>
      <c r="O2701" s="1"/>
      <c r="P2701" s="11"/>
      <c r="Q2701" s="11"/>
      <c r="R2701" s="11"/>
      <c r="S2701" s="11"/>
      <c r="T2701" s="1"/>
      <c r="U2701" s="1"/>
      <c r="V2701" s="1"/>
      <c r="W2701" s="1"/>
      <c r="X2701" s="1"/>
      <c r="Y2701" s="1"/>
      <c r="Z2701" s="1"/>
    </row>
    <row r="2702" ht="18.0" hidden="1" customHeight="1" outlineLevel="1">
      <c r="A2702" s="26">
        <v>2.0</v>
      </c>
      <c r="B2702" s="1"/>
      <c r="C2702" s="1"/>
      <c r="D2702" s="1"/>
      <c r="E2702" s="14"/>
      <c r="F2702" s="15"/>
      <c r="G2702" s="16"/>
      <c r="H2702" s="11"/>
      <c r="I2702" s="7"/>
      <c r="J2702" s="7" t="str">
        <f>IFERROR(LET(_xlpm.v,
VLOOKUP($I2702,'用語辞書'!$A:$B,COLUMN('用語辞書'!B$1),FALSE),
IF(_xlpm.v=0,"",_xlpm.v)
),"")</f>
        <v/>
      </c>
      <c r="K2702" s="17"/>
      <c r="L2702" s="17" t="str">
        <f>IF(OR(COUNTIF('クラス'!$A$1:$A$1267,$B2702)&gt;0,$B2702="",$M2702=""),"",True)</f>
        <v/>
      </c>
      <c r="M2702" s="1" t="str">
        <f t="shared" si="30"/>
        <v>存在しない</v>
      </c>
      <c r="N2702" s="1" t="s">
        <v>29</v>
      </c>
      <c r="O2702" s="1"/>
      <c r="P2702" s="11"/>
      <c r="Q2702" s="11"/>
      <c r="R2702" s="11"/>
      <c r="S2702" s="11"/>
      <c r="T2702" s="1"/>
      <c r="U2702" s="1"/>
      <c r="V2702" s="1"/>
      <c r="W2702" s="1"/>
      <c r="X2702" s="1"/>
      <c r="Y2702" s="1"/>
      <c r="Z2702" s="1"/>
    </row>
    <row r="2703" ht="18.0" hidden="1" customHeight="1" outlineLevel="1">
      <c r="A2703" s="26">
        <v>3.0</v>
      </c>
      <c r="B2703" s="26" t="s">
        <v>817</v>
      </c>
      <c r="C2703" s="1"/>
      <c r="D2703" s="1"/>
      <c r="E2703" s="14"/>
      <c r="F2703" s="15"/>
      <c r="G2703" s="16"/>
      <c r="H2703" s="11"/>
      <c r="I2703" s="7"/>
      <c r="J2703" s="7" t="str">
        <f>IFERROR(LET(_xlpm.v,
VLOOKUP($I2703,'用語辞書'!$A:$B,COLUMN('用語辞書'!B$1),FALSE),
IF(_xlpm.v=0,"",_xlpm.v)
),"")</f>
        <v/>
      </c>
      <c r="K2703" s="17"/>
      <c r="L2703" s="17" t="str">
        <f>IF(OR(COUNTIF('クラス'!$A$1:$A$1267,$B2703)&gt;0,$B2703="",$M2703=""),"",True)</f>
        <v/>
      </c>
      <c r="M2703" s="1" t="str">
        <f t="shared" si="30"/>
        <v/>
      </c>
      <c r="N2703" s="1" t="s">
        <v>29</v>
      </c>
      <c r="O2703" s="1"/>
      <c r="P2703" s="11"/>
      <c r="Q2703" s="11"/>
      <c r="R2703" s="11"/>
      <c r="S2703" s="11"/>
      <c r="T2703" s="1"/>
      <c r="U2703" s="1"/>
      <c r="V2703" s="1"/>
      <c r="W2703" s="1"/>
      <c r="X2703" s="1"/>
      <c r="Y2703" s="1"/>
      <c r="Z2703" s="1"/>
    </row>
    <row r="2704" ht="18.0" hidden="1" customHeight="1" outlineLevel="1">
      <c r="A2704" s="26">
        <v>4.0</v>
      </c>
      <c r="B2704" s="1"/>
      <c r="C2704" s="1"/>
      <c r="D2704" s="1"/>
      <c r="E2704" s="14"/>
      <c r="F2704" s="15"/>
      <c r="G2704" s="16"/>
      <c r="H2704" s="11"/>
      <c r="I2704" s="7"/>
      <c r="J2704" s="7" t="str">
        <f>IFERROR(LET(_xlpm.v,
VLOOKUP($I2704,'用語辞書'!$A:$B,COLUMN('用語辞書'!B$1),FALSE),
IF(_xlpm.v=0,"",_xlpm.v)
),"")</f>
        <v/>
      </c>
      <c r="K2704" s="17"/>
      <c r="L2704" s="17" t="str">
        <f>IF(OR(COUNTIF('クラス'!$A$1:$A$1267,$B2704)&gt;0,$B2704="",$M2704=""),"",True)</f>
        <v/>
      </c>
      <c r="M2704" s="1" t="str">
        <f t="shared" si="30"/>
        <v>存在しない</v>
      </c>
      <c r="N2704" s="1" t="s">
        <v>29</v>
      </c>
      <c r="O2704" s="1"/>
      <c r="P2704" s="11"/>
      <c r="Q2704" s="11"/>
      <c r="R2704" s="11"/>
      <c r="S2704" s="11"/>
      <c r="T2704" s="1"/>
      <c r="U2704" s="1"/>
      <c r="V2704" s="1"/>
      <c r="W2704" s="1"/>
      <c r="X2704" s="1"/>
      <c r="Y2704" s="1"/>
      <c r="Z2704" s="1"/>
    </row>
    <row r="2705" ht="18.0" hidden="1" customHeight="1" outlineLevel="1">
      <c r="A2705" s="26">
        <v>5.0</v>
      </c>
      <c r="B2705" s="26" t="s">
        <v>212</v>
      </c>
      <c r="C2705" s="1"/>
      <c r="D2705" s="1"/>
      <c r="E2705" s="14"/>
      <c r="F2705" s="15"/>
      <c r="G2705" s="16"/>
      <c r="H2705" s="11"/>
      <c r="I2705" s="7"/>
      <c r="J2705" s="7" t="str">
        <f>IFERROR(LET(_xlpm.v,
VLOOKUP($I2705,'用語辞書'!$A:$B,COLUMN('用語辞書'!B$1),FALSE),
IF(_xlpm.v=0,"",_xlpm.v)
),"")</f>
        <v/>
      </c>
      <c r="K2705" s="17"/>
      <c r="L2705" s="17" t="str">
        <f>IF(OR(COUNTIF('クラス'!$A$1:$A$1267,$B2705)&gt;0,$B2705="",$M2705=""),"",True)</f>
        <v/>
      </c>
      <c r="M2705" s="1" t="str">
        <f t="shared" si="30"/>
        <v/>
      </c>
      <c r="N2705" s="1" t="s">
        <v>29</v>
      </c>
      <c r="O2705" s="1"/>
      <c r="P2705" s="11"/>
      <c r="Q2705" s="11"/>
      <c r="R2705" s="11"/>
      <c r="S2705" s="11"/>
      <c r="T2705" s="1"/>
      <c r="U2705" s="1"/>
      <c r="V2705" s="1"/>
      <c r="W2705" s="1"/>
      <c r="X2705" s="1"/>
      <c r="Y2705" s="1"/>
      <c r="Z2705" s="1"/>
    </row>
    <row r="2706" ht="18.0" hidden="1" customHeight="1" outlineLevel="1">
      <c r="A2706" s="26">
        <v>6.0</v>
      </c>
      <c r="B2706" s="1"/>
      <c r="C2706" s="1"/>
      <c r="D2706" s="1"/>
      <c r="E2706" s="14"/>
      <c r="F2706" s="15"/>
      <c r="G2706" s="16"/>
      <c r="H2706" s="11"/>
      <c r="I2706" s="7"/>
      <c r="J2706" s="7" t="str">
        <f>IFERROR(LET(_xlpm.v,
VLOOKUP($I2706,'用語辞書'!$A:$B,COLUMN('用語辞書'!B$1),FALSE),
IF(_xlpm.v=0,"",_xlpm.v)
),"")</f>
        <v/>
      </c>
      <c r="K2706" s="17"/>
      <c r="L2706" s="17" t="str">
        <f>IF(OR(COUNTIF('クラス'!$A$1:$A$1267,$B2706)&gt;0,$B2706="",$M2706=""),"",True)</f>
        <v/>
      </c>
      <c r="M2706" s="1" t="str">
        <f t="shared" si="30"/>
        <v>存在しない</v>
      </c>
      <c r="N2706" s="1" t="s">
        <v>29</v>
      </c>
      <c r="O2706" s="1"/>
      <c r="P2706" s="11"/>
      <c r="Q2706" s="11"/>
      <c r="R2706" s="11"/>
      <c r="S2706" s="11"/>
      <c r="T2706" s="1"/>
      <c r="U2706" s="1"/>
      <c r="V2706" s="1"/>
      <c r="W2706" s="1"/>
      <c r="X2706" s="1"/>
      <c r="Y2706" s="1"/>
      <c r="Z2706" s="1"/>
    </row>
    <row r="2707" ht="18.0" hidden="1" customHeight="1" outlineLevel="1">
      <c r="A2707" s="26">
        <v>7.0</v>
      </c>
      <c r="B2707" s="26" t="s">
        <v>827</v>
      </c>
      <c r="C2707" s="1"/>
      <c r="D2707" s="1"/>
      <c r="E2707" s="14"/>
      <c r="F2707" s="15"/>
      <c r="G2707" s="16"/>
      <c r="H2707" s="11"/>
      <c r="I2707" s="7"/>
      <c r="J2707" s="7" t="str">
        <f>IFERROR(LET(_xlpm.v,
VLOOKUP($I2707,'用語辞書'!$A:$B,COLUMN('用語辞書'!B$1),FALSE),
IF(_xlpm.v=0,"",_xlpm.v)
),"")</f>
        <v/>
      </c>
      <c r="K2707" s="17"/>
      <c r="L2707" s="17" t="str">
        <f>IF(OR(COUNTIF('クラス'!$A$1:$A$1267,$B2707)&gt;0,$B2707="",$M2707=""),"",True)</f>
        <v/>
      </c>
      <c r="M2707" s="1" t="str">
        <f t="shared" si="30"/>
        <v/>
      </c>
      <c r="N2707" s="1" t="s">
        <v>29</v>
      </c>
      <c r="O2707" s="1"/>
      <c r="P2707" s="11"/>
      <c r="Q2707" s="11"/>
      <c r="R2707" s="11"/>
      <c r="S2707" s="11"/>
      <c r="T2707" s="1"/>
      <c r="U2707" s="1"/>
      <c r="V2707" s="1"/>
      <c r="W2707" s="1"/>
      <c r="X2707" s="1"/>
      <c r="Y2707" s="1"/>
      <c r="Z2707" s="1"/>
    </row>
    <row r="2708" ht="18.0" hidden="1" customHeight="1" outlineLevel="1">
      <c r="A2708" s="26">
        <v>8.0</v>
      </c>
      <c r="B2708" s="1"/>
      <c r="C2708" s="1"/>
      <c r="D2708" s="1"/>
      <c r="E2708" s="14"/>
      <c r="F2708" s="15"/>
      <c r="G2708" s="16"/>
      <c r="H2708" s="11"/>
      <c r="I2708" s="7"/>
      <c r="J2708" s="7" t="str">
        <f>IFERROR(LET(_xlpm.v,
VLOOKUP($I2708,'用語辞書'!$A:$B,COLUMN('用語辞書'!B$1),FALSE),
IF(_xlpm.v=0,"",_xlpm.v)
),"")</f>
        <v/>
      </c>
      <c r="K2708" s="17"/>
      <c r="L2708" s="17" t="str">
        <f>IF(OR(COUNTIF('クラス'!$A$1:$A$1267,$B2708)&gt;0,$B2708="",$M2708=""),"",True)</f>
        <v/>
      </c>
      <c r="M2708" s="1" t="str">
        <f t="shared" si="30"/>
        <v>存在しない</v>
      </c>
      <c r="N2708" s="1" t="s">
        <v>29</v>
      </c>
      <c r="O2708" s="1"/>
      <c r="P2708" s="11"/>
      <c r="Q2708" s="11"/>
      <c r="R2708" s="11"/>
      <c r="S2708" s="11"/>
      <c r="T2708" s="1"/>
      <c r="U2708" s="1"/>
      <c r="V2708" s="1"/>
      <c r="W2708" s="1"/>
      <c r="X2708" s="1"/>
      <c r="Y2708" s="1"/>
      <c r="Z2708" s="1"/>
    </row>
    <row r="2709" ht="18.0" hidden="1" customHeight="1" outlineLevel="1">
      <c r="A2709" s="26">
        <v>9.0</v>
      </c>
      <c r="B2709" s="26" t="s">
        <v>194</v>
      </c>
      <c r="C2709" s="1"/>
      <c r="D2709" s="1"/>
      <c r="E2709" s="14"/>
      <c r="F2709" s="15"/>
      <c r="G2709" s="16"/>
      <c r="H2709" s="11"/>
      <c r="I2709" s="7"/>
      <c r="J2709" s="7" t="str">
        <f>IFERROR(LET(_xlpm.v,
VLOOKUP($I2709,'用語辞書'!$A:$B,COLUMN('用語辞書'!B$1),FALSE),
IF(_xlpm.v=0,"",_xlpm.v)
),"")</f>
        <v/>
      </c>
      <c r="K2709" s="17"/>
      <c r="L2709" s="17" t="str">
        <f>IF(OR(COUNTIF('クラス'!$A$1:$A$1267,$B2709)&gt;0,$B2709="",$M2709=""),"",True)</f>
        <v/>
      </c>
      <c r="M2709" s="1" t="str">
        <f t="shared" si="30"/>
        <v/>
      </c>
      <c r="N2709" s="1" t="s">
        <v>29</v>
      </c>
      <c r="O2709" s="1"/>
      <c r="P2709" s="11"/>
      <c r="Q2709" s="11"/>
      <c r="R2709" s="11"/>
      <c r="S2709" s="11"/>
      <c r="T2709" s="1"/>
      <c r="U2709" s="1"/>
      <c r="V2709" s="1"/>
      <c r="W2709" s="1"/>
      <c r="X2709" s="1"/>
      <c r="Y2709" s="1"/>
      <c r="Z2709" s="1"/>
    </row>
    <row r="2710" ht="18.0" hidden="1" customHeight="1" outlineLevel="1">
      <c r="A2710" s="26">
        <v>10.0</v>
      </c>
      <c r="B2710" s="26" t="s">
        <v>2465</v>
      </c>
      <c r="C2710" s="26" t="s">
        <v>29</v>
      </c>
      <c r="D2710" s="26" t="s">
        <v>1179</v>
      </c>
      <c r="E2710" s="29" t="s">
        <v>33</v>
      </c>
      <c r="F2710" s="34" t="s">
        <v>29</v>
      </c>
      <c r="G2710" s="30">
        <v>60.0</v>
      </c>
      <c r="H2710" s="22" t="s">
        <v>2466</v>
      </c>
      <c r="I2710" s="7"/>
      <c r="J2710" s="7" t="str">
        <f>IFERROR(LET(_xlpm.v,
VLOOKUP($I2710,'用語辞書'!$A:$B,COLUMN('用語辞書'!B$1),FALSE),
IF(_xlpm.v=0,"",_xlpm.v)
),"")</f>
        <v/>
      </c>
      <c r="K2710" s="17"/>
      <c r="L2710" s="17" t="b">
        <f>IF(OR(COUNTIF('クラス'!$A$1:$A$1267,$B2710)&gt;0,$B2710="",$M2710=""),"",True)</f>
        <v>1</v>
      </c>
      <c r="M2710" s="1" t="str">
        <f t="shared" si="30"/>
        <v>存在しない</v>
      </c>
      <c r="N2710" s="1" t="s">
        <v>29</v>
      </c>
      <c r="O2710" s="1"/>
      <c r="P2710" s="11"/>
      <c r="Q2710" s="11"/>
      <c r="R2710" s="11"/>
      <c r="S2710" s="11"/>
      <c r="T2710" s="1"/>
      <c r="U2710" s="1"/>
      <c r="V2710" s="1"/>
      <c r="W2710" s="1"/>
      <c r="X2710" s="1"/>
      <c r="Y2710" s="1"/>
      <c r="Z2710" s="1"/>
    </row>
    <row r="2711" ht="18.0" customHeight="1" collapsed="1">
      <c r="A2711" s="1"/>
      <c r="B2711" s="1"/>
      <c r="C2711" s="26" t="s">
        <v>2467</v>
      </c>
      <c r="D2711" s="1"/>
      <c r="E2711" s="14"/>
      <c r="F2711" s="15"/>
      <c r="G2711" s="16"/>
      <c r="H2711" s="11"/>
      <c r="I2711" s="7"/>
      <c r="J2711" s="7" t="str">
        <f>IFERROR(LET(_xlpm.v,
VLOOKUP($I2711,'用語辞書'!$A:$B,COLUMN('用語辞書'!B$1),FALSE),
IF(_xlpm.v=0,"",_xlpm.v)
),"")</f>
        <v/>
      </c>
      <c r="K2711" s="17"/>
      <c r="L2711" s="17" t="str">
        <f>IF(OR(COUNTIF('クラス'!$A$1:$A$1267,$B2711)&gt;0,$B2711="",$M2711=""),"",True)</f>
        <v/>
      </c>
      <c r="M2711" s="1" t="str">
        <f t="shared" si="30"/>
        <v>存在しない</v>
      </c>
      <c r="N2711" s="1" t="s">
        <v>29</v>
      </c>
      <c r="O2711" s="1"/>
      <c r="P2711" s="11"/>
      <c r="Q2711" s="11"/>
      <c r="R2711" s="11"/>
      <c r="S2711" s="11"/>
      <c r="T2711" s="1"/>
      <c r="U2711" s="1"/>
      <c r="V2711" s="1"/>
      <c r="W2711" s="1"/>
      <c r="X2711" s="1"/>
      <c r="Y2711" s="1"/>
      <c r="Z2711" s="1"/>
    </row>
    <row r="2712" ht="18.0" customHeight="1" outlineLevel="1">
      <c r="A2712" s="1"/>
      <c r="B2712" s="26" t="s">
        <v>2468</v>
      </c>
      <c r="C2712" s="1"/>
      <c r="D2712" s="1"/>
      <c r="E2712" s="14"/>
      <c r="F2712" s="15"/>
      <c r="G2712" s="16"/>
      <c r="H2712" s="11"/>
      <c r="I2712" s="7"/>
      <c r="J2712" s="7" t="str">
        <f>IFERROR(LET(_xlpm.v,
VLOOKUP($I2712,'用語辞書'!$A:$B,COLUMN('用語辞書'!B$1),FALSE),
IF(_xlpm.v=0,"",_xlpm.v)
),"")</f>
        <v/>
      </c>
      <c r="K2712" s="17"/>
      <c r="L2712" s="17" t="str">
        <f>IF(OR(COUNTIF('クラス'!$A$1:$A$1267,$B2712)&gt;0,$B2712="",$M2712=""),"",True)</f>
        <v/>
      </c>
      <c r="M2712" s="1" t="str">
        <f t="shared" si="30"/>
        <v>存在しない</v>
      </c>
      <c r="N2712" s="1" t="s">
        <v>29</v>
      </c>
      <c r="O2712" s="1"/>
      <c r="P2712" s="11"/>
      <c r="Q2712" s="11"/>
      <c r="R2712" s="11"/>
      <c r="S2712" s="11"/>
      <c r="T2712" s="1"/>
      <c r="U2712" s="1"/>
      <c r="V2712" s="1"/>
      <c r="W2712" s="1"/>
      <c r="X2712" s="1"/>
      <c r="Y2712" s="1"/>
      <c r="Z2712" s="1"/>
    </row>
    <row r="2713" ht="18.0" hidden="1" customHeight="1" outlineLevel="2">
      <c r="A2713" s="1">
        <v>1.0</v>
      </c>
      <c r="B2713" s="26" t="s">
        <v>2469</v>
      </c>
      <c r="C2713" s="1"/>
      <c r="D2713" s="26" t="s">
        <v>783</v>
      </c>
      <c r="E2713" s="29" t="s">
        <v>125</v>
      </c>
      <c r="F2713" s="15"/>
      <c r="G2713" s="30">
        <v>60.0</v>
      </c>
      <c r="H2713" s="22" t="s">
        <v>2470</v>
      </c>
      <c r="I2713" s="7"/>
      <c r="J2713" s="7" t="str">
        <f>IFERROR(LET(_xlpm.v,
VLOOKUP($I2713,'用語辞書'!$A:$B,COLUMN('用語辞書'!B$1),FALSE),
IF(_xlpm.v=0,"",_xlpm.v)
),"")</f>
        <v/>
      </c>
      <c r="K2713" s="17"/>
      <c r="L2713" s="17" t="b">
        <f>IF(OR(COUNTIF('クラス'!$A$1:$A$1267,$B2713)&gt;0,$B2713="",$M2713=""),"",True)</f>
        <v>1</v>
      </c>
      <c r="M2713" s="1" t="str">
        <f t="shared" si="30"/>
        <v>存在しない</v>
      </c>
      <c r="N2713" s="1" t="s">
        <v>29</v>
      </c>
      <c r="O2713" s="1"/>
      <c r="P2713" s="11"/>
      <c r="Q2713" s="11"/>
      <c r="R2713" s="11"/>
      <c r="S2713" s="11"/>
      <c r="T2713" s="1"/>
      <c r="U2713" s="1"/>
      <c r="V2713" s="1"/>
      <c r="W2713" s="1"/>
      <c r="X2713" s="1"/>
      <c r="Y2713" s="1"/>
      <c r="Z2713" s="1"/>
    </row>
    <row r="2714" ht="18.0" hidden="1" customHeight="1" outlineLevel="2">
      <c r="A2714" s="1">
        <v>2.0</v>
      </c>
      <c r="B2714" s="1"/>
      <c r="C2714" s="1"/>
      <c r="D2714" s="1"/>
      <c r="E2714" s="14"/>
      <c r="F2714" s="15"/>
      <c r="G2714" s="16"/>
      <c r="H2714" s="11"/>
      <c r="I2714" s="7"/>
      <c r="J2714" s="7" t="str">
        <f>IFERROR(LET(_xlpm.v,
VLOOKUP($I2714,'用語辞書'!$A:$B,COLUMN('用語辞書'!B$1),FALSE),
IF(_xlpm.v=0,"",_xlpm.v)
),"")</f>
        <v/>
      </c>
      <c r="K2714" s="17"/>
      <c r="L2714" s="17" t="str">
        <f>IF(OR(COUNTIF('クラス'!$A$1:$A$1267,$B2714)&gt;0,$B2714="",$M2714=""),"",True)</f>
        <v/>
      </c>
      <c r="M2714" s="1" t="str">
        <f t="shared" si="30"/>
        <v>存在しない</v>
      </c>
      <c r="N2714" s="1" t="s">
        <v>29</v>
      </c>
      <c r="O2714" s="1"/>
      <c r="P2714" s="11"/>
      <c r="Q2714" s="11"/>
      <c r="R2714" s="11"/>
      <c r="S2714" s="11"/>
      <c r="T2714" s="1"/>
      <c r="U2714" s="1"/>
      <c r="V2714" s="1"/>
      <c r="W2714" s="1"/>
      <c r="X2714" s="1"/>
      <c r="Y2714" s="1"/>
      <c r="Z2714" s="1"/>
    </row>
    <row r="2715" ht="18.0" hidden="1" customHeight="1" outlineLevel="2">
      <c r="A2715" s="1">
        <v>3.0</v>
      </c>
      <c r="B2715" s="26" t="s">
        <v>2471</v>
      </c>
      <c r="C2715" s="1"/>
      <c r="D2715" s="26" t="s">
        <v>783</v>
      </c>
      <c r="E2715" s="29" t="s">
        <v>33</v>
      </c>
      <c r="F2715" s="15"/>
      <c r="G2715" s="30">
        <v>60.0</v>
      </c>
      <c r="H2715" s="22" t="s">
        <v>2472</v>
      </c>
      <c r="I2715" s="7"/>
      <c r="J2715" s="7" t="str">
        <f>IFERROR(LET(_xlpm.v,
VLOOKUP($I2715,'用語辞書'!$A:$B,COLUMN('用語辞書'!B$1),FALSE),
IF(_xlpm.v=0,"",_xlpm.v)
),"")</f>
        <v/>
      </c>
      <c r="K2715" s="17"/>
      <c r="L2715" s="17" t="b">
        <f>IF(OR(COUNTIF('クラス'!$A$1:$A$1267,$B2715)&gt;0,$B2715="",$M2715=""),"",True)</f>
        <v>1</v>
      </c>
      <c r="M2715" s="1" t="str">
        <f t="shared" si="30"/>
        <v>存在しない</v>
      </c>
      <c r="N2715" s="1" t="s">
        <v>29</v>
      </c>
      <c r="O2715" s="1"/>
      <c r="P2715" s="11"/>
      <c r="Q2715" s="11"/>
      <c r="R2715" s="11"/>
      <c r="S2715" s="11"/>
      <c r="T2715" s="1"/>
      <c r="U2715" s="1"/>
      <c r="V2715" s="1"/>
      <c r="W2715" s="1"/>
      <c r="X2715" s="1"/>
      <c r="Y2715" s="1"/>
      <c r="Z2715" s="1"/>
    </row>
    <row r="2716" ht="18.0" hidden="1" customHeight="1" outlineLevel="2">
      <c r="A2716" s="1">
        <v>4.0</v>
      </c>
      <c r="B2716" s="1"/>
      <c r="C2716" s="1"/>
      <c r="D2716" s="1"/>
      <c r="E2716" s="14"/>
      <c r="F2716" s="15"/>
      <c r="G2716" s="16"/>
      <c r="H2716" s="11"/>
      <c r="I2716" s="7"/>
      <c r="J2716" s="7" t="str">
        <f>IFERROR(LET(_xlpm.v,
VLOOKUP($I2716,'用語辞書'!$A:$B,COLUMN('用語辞書'!B$1),FALSE),
IF(_xlpm.v=0,"",_xlpm.v)
),"")</f>
        <v/>
      </c>
      <c r="K2716" s="17"/>
      <c r="L2716" s="17" t="str">
        <f>IF(OR(COUNTIF('クラス'!$A$1:$A$1267,$B2716)&gt;0,$B2716="",$M2716=""),"",True)</f>
        <v/>
      </c>
      <c r="M2716" s="1" t="str">
        <f t="shared" si="30"/>
        <v>存在しない</v>
      </c>
      <c r="N2716" s="1" t="s">
        <v>29</v>
      </c>
      <c r="O2716" s="1"/>
      <c r="P2716" s="11"/>
      <c r="Q2716" s="11"/>
      <c r="R2716" s="11"/>
      <c r="S2716" s="11"/>
      <c r="T2716" s="1"/>
      <c r="U2716" s="1"/>
      <c r="V2716" s="1"/>
      <c r="W2716" s="1"/>
      <c r="X2716" s="1"/>
      <c r="Y2716" s="1"/>
      <c r="Z2716" s="1"/>
    </row>
    <row r="2717" ht="18.0" hidden="1" customHeight="1" outlineLevel="2">
      <c r="A2717" s="1">
        <v>5.0</v>
      </c>
      <c r="B2717" s="26" t="s">
        <v>1114</v>
      </c>
      <c r="C2717" s="1"/>
      <c r="D2717" s="1"/>
      <c r="E2717" s="14"/>
      <c r="F2717" s="15"/>
      <c r="G2717" s="16"/>
      <c r="H2717" s="11"/>
      <c r="I2717" s="7"/>
      <c r="J2717" s="7" t="str">
        <f>IFERROR(LET(_xlpm.v,
VLOOKUP($I2717,'用語辞書'!$A:$B,COLUMN('用語辞書'!B$1),FALSE),
IF(_xlpm.v=0,"",_xlpm.v)
),"")</f>
        <v/>
      </c>
      <c r="K2717" s="17"/>
      <c r="L2717" s="17" t="str">
        <f>IF(OR(COUNTIF('クラス'!$A$1:$A$1267,$B2717)&gt;0,$B2717="",$M2717=""),"",True)</f>
        <v/>
      </c>
      <c r="M2717" s="1" t="str">
        <f t="shared" si="30"/>
        <v/>
      </c>
      <c r="N2717" s="1" t="s">
        <v>29</v>
      </c>
      <c r="O2717" s="1"/>
      <c r="P2717" s="11"/>
      <c r="Q2717" s="11"/>
      <c r="R2717" s="11"/>
      <c r="S2717" s="11"/>
      <c r="T2717" s="1"/>
      <c r="U2717" s="1"/>
      <c r="V2717" s="1"/>
      <c r="W2717" s="1"/>
      <c r="X2717" s="1"/>
      <c r="Y2717" s="1"/>
      <c r="Z2717" s="1"/>
    </row>
    <row r="2718" ht="18.0" hidden="1" customHeight="1" outlineLevel="2">
      <c r="A2718" s="1">
        <v>6.0</v>
      </c>
      <c r="B2718" s="1"/>
      <c r="C2718" s="1"/>
      <c r="D2718" s="1"/>
      <c r="E2718" s="14"/>
      <c r="F2718" s="15"/>
      <c r="G2718" s="16"/>
      <c r="H2718" s="11"/>
      <c r="I2718" s="7"/>
      <c r="J2718" s="7" t="str">
        <f>IFERROR(LET(_xlpm.v,
VLOOKUP($I2718,'用語辞書'!$A:$B,COLUMN('用語辞書'!B$1),FALSE),
IF(_xlpm.v=0,"",_xlpm.v)
),"")</f>
        <v/>
      </c>
      <c r="K2718" s="17"/>
      <c r="L2718" s="17" t="str">
        <f>IF(OR(COUNTIF('クラス'!$A$1:$A$1267,$B2718)&gt;0,$B2718="",$M2718=""),"",True)</f>
        <v/>
      </c>
      <c r="M2718" s="1" t="str">
        <f t="shared" si="30"/>
        <v>存在しない</v>
      </c>
      <c r="N2718" s="1" t="s">
        <v>29</v>
      </c>
      <c r="O2718" s="1"/>
      <c r="P2718" s="11"/>
      <c r="Q2718" s="11"/>
      <c r="R2718" s="11"/>
      <c r="S2718" s="11"/>
      <c r="T2718" s="1"/>
      <c r="U2718" s="1"/>
      <c r="V2718" s="1"/>
      <c r="W2718" s="1"/>
      <c r="X2718" s="1"/>
      <c r="Y2718" s="1"/>
      <c r="Z2718" s="1"/>
    </row>
    <row r="2719" ht="18.0" hidden="1" customHeight="1" outlineLevel="2">
      <c r="A2719" s="1">
        <v>7.0</v>
      </c>
      <c r="B2719" s="26" t="s">
        <v>1120</v>
      </c>
      <c r="C2719" s="1"/>
      <c r="D2719" s="1"/>
      <c r="E2719" s="14"/>
      <c r="F2719" s="15"/>
      <c r="G2719" s="16"/>
      <c r="H2719" s="11"/>
      <c r="I2719" s="7"/>
      <c r="J2719" s="7" t="str">
        <f>IFERROR(LET(_xlpm.v,
VLOOKUP($I2719,'用語辞書'!$A:$B,COLUMN('用語辞書'!B$1),FALSE),
IF(_xlpm.v=0,"",_xlpm.v)
),"")</f>
        <v/>
      </c>
      <c r="K2719" s="17"/>
      <c r="L2719" s="17" t="str">
        <f>IF(OR(COUNTIF('クラス'!$A$1:$A$1267,$B2719)&gt;0,$B2719="",$M2719=""),"",True)</f>
        <v/>
      </c>
      <c r="M2719" s="1" t="str">
        <f t="shared" si="30"/>
        <v/>
      </c>
      <c r="N2719" s="1" t="s">
        <v>29</v>
      </c>
      <c r="O2719" s="1"/>
      <c r="P2719" s="11"/>
      <c r="Q2719" s="11"/>
      <c r="R2719" s="11"/>
      <c r="S2719" s="11"/>
      <c r="T2719" s="1"/>
      <c r="U2719" s="1"/>
      <c r="V2719" s="1"/>
      <c r="W2719" s="1"/>
      <c r="X2719" s="1"/>
      <c r="Y2719" s="1"/>
      <c r="Z2719" s="1"/>
    </row>
    <row r="2720" ht="18.0" hidden="1" customHeight="1" outlineLevel="2">
      <c r="A2720" s="1">
        <v>8.0</v>
      </c>
      <c r="B2720" s="1"/>
      <c r="C2720" s="1"/>
      <c r="D2720" s="1"/>
      <c r="E2720" s="14"/>
      <c r="F2720" s="15"/>
      <c r="G2720" s="16"/>
      <c r="H2720" s="11"/>
      <c r="I2720" s="7"/>
      <c r="J2720" s="7" t="str">
        <f>IFERROR(LET(_xlpm.v,
VLOOKUP($I2720,'用語辞書'!$A:$B,COLUMN('用語辞書'!B$1),FALSE),
IF(_xlpm.v=0,"",_xlpm.v)
),"")</f>
        <v/>
      </c>
      <c r="K2720" s="17"/>
      <c r="L2720" s="17" t="str">
        <f>IF(OR(COUNTIF('クラス'!$A$1:$A$1267,$B2720)&gt;0,$B2720="",$M2720=""),"",True)</f>
        <v/>
      </c>
      <c r="M2720" s="1" t="str">
        <f t="shared" si="30"/>
        <v>存在しない</v>
      </c>
      <c r="N2720" s="1" t="s">
        <v>29</v>
      </c>
      <c r="O2720" s="1"/>
      <c r="P2720" s="11"/>
      <c r="Q2720" s="11"/>
      <c r="R2720" s="11"/>
      <c r="S2720" s="11"/>
      <c r="T2720" s="1"/>
      <c r="U2720" s="1"/>
      <c r="V2720" s="1"/>
      <c r="W2720" s="1"/>
      <c r="X2720" s="1"/>
      <c r="Y2720" s="1"/>
      <c r="Z2720" s="1"/>
    </row>
    <row r="2721" ht="18.0" hidden="1" customHeight="1" outlineLevel="2">
      <c r="A2721" s="1">
        <v>9.0</v>
      </c>
      <c r="B2721" s="26" t="s">
        <v>1116</v>
      </c>
      <c r="C2721" s="1"/>
      <c r="D2721" s="1"/>
      <c r="E2721" s="14"/>
      <c r="F2721" s="15"/>
      <c r="G2721" s="16"/>
      <c r="H2721" s="11"/>
      <c r="I2721" s="7"/>
      <c r="J2721" s="7" t="str">
        <f>IFERROR(LET(_xlpm.v,
VLOOKUP($I2721,'用語辞書'!$A:$B,COLUMN('用語辞書'!B$1),FALSE),
IF(_xlpm.v=0,"",_xlpm.v)
),"")</f>
        <v/>
      </c>
      <c r="K2721" s="17"/>
      <c r="L2721" s="17" t="str">
        <f>IF(OR(COUNTIF('クラス'!$A$1:$A$1267,$B2721)&gt;0,$B2721="",$M2721=""),"",True)</f>
        <v/>
      </c>
      <c r="M2721" s="1" t="str">
        <f t="shared" si="30"/>
        <v/>
      </c>
      <c r="N2721" s="1" t="s">
        <v>29</v>
      </c>
      <c r="O2721" s="1"/>
      <c r="P2721" s="11"/>
      <c r="Q2721" s="11"/>
      <c r="R2721" s="11"/>
      <c r="S2721" s="11"/>
      <c r="T2721" s="1"/>
      <c r="U2721" s="1"/>
      <c r="V2721" s="1"/>
      <c r="W2721" s="1"/>
      <c r="X2721" s="1"/>
      <c r="Y2721" s="1"/>
      <c r="Z2721" s="1"/>
    </row>
    <row r="2722" ht="18.0" hidden="1" customHeight="1" outlineLevel="2">
      <c r="A2722" s="1">
        <v>10.0</v>
      </c>
      <c r="B2722" s="26" t="s">
        <v>2473</v>
      </c>
      <c r="C2722" s="1"/>
      <c r="D2722" s="26" t="s">
        <v>783</v>
      </c>
      <c r="E2722" s="29" t="s">
        <v>33</v>
      </c>
      <c r="F2722" s="15"/>
      <c r="G2722" s="30">
        <v>60.0</v>
      </c>
      <c r="H2722" s="22" t="s">
        <v>2474</v>
      </c>
      <c r="I2722" s="7"/>
      <c r="J2722" s="7" t="str">
        <f>IFERROR(LET(_xlpm.v,
VLOOKUP($I2722,'用語辞書'!$A:$B,COLUMN('用語辞書'!B$1),FALSE),
IF(_xlpm.v=0,"",_xlpm.v)
),"")</f>
        <v/>
      </c>
      <c r="K2722" s="17"/>
      <c r="L2722" s="17" t="b">
        <f>IF(OR(COUNTIF('クラス'!$A$1:$A$1267,$B2722)&gt;0,$B2722="",$M2722=""),"",True)</f>
        <v>1</v>
      </c>
      <c r="M2722" s="1" t="str">
        <f t="shared" si="30"/>
        <v>存在しない</v>
      </c>
      <c r="N2722" s="1" t="s">
        <v>29</v>
      </c>
      <c r="O2722" s="1"/>
      <c r="P2722" s="11"/>
      <c r="Q2722" s="11"/>
      <c r="R2722" s="11"/>
      <c r="S2722" s="11"/>
      <c r="T2722" s="1"/>
      <c r="U2722" s="1"/>
      <c r="V2722" s="1"/>
      <c r="W2722" s="1"/>
      <c r="X2722" s="1"/>
      <c r="Y2722" s="1"/>
      <c r="Z2722" s="1"/>
    </row>
    <row r="2723" ht="18.0" customHeight="1" outlineLevel="1" collapsed="1">
      <c r="A2723" s="1"/>
      <c r="B2723" s="1"/>
      <c r="C2723" s="1"/>
      <c r="D2723" s="1"/>
      <c r="E2723" s="14"/>
      <c r="F2723" s="15"/>
      <c r="G2723" s="16"/>
      <c r="H2723" s="11"/>
      <c r="I2723" s="7"/>
      <c r="J2723" s="7" t="str">
        <f>IFERROR(LET(_xlpm.v,
VLOOKUP($I2723,'用語辞書'!$A:$B,COLUMN('用語辞書'!B$1),FALSE),
IF(_xlpm.v=0,"",_xlpm.v)
),"")</f>
        <v/>
      </c>
      <c r="K2723" s="17"/>
      <c r="L2723" s="17" t="str">
        <f>IF(OR(COUNTIF('クラス'!$A$1:$A$1267,$B2723)&gt;0,$B2723="",$M2723=""),"",True)</f>
        <v/>
      </c>
      <c r="M2723" s="1" t="str">
        <f t="shared" si="30"/>
        <v>存在しない</v>
      </c>
      <c r="N2723" s="1" t="s">
        <v>29</v>
      </c>
      <c r="O2723" s="1"/>
      <c r="P2723" s="11"/>
      <c r="Q2723" s="11"/>
      <c r="R2723" s="11"/>
      <c r="S2723" s="11"/>
      <c r="T2723" s="1"/>
      <c r="U2723" s="1"/>
      <c r="V2723" s="1"/>
      <c r="W2723" s="1"/>
      <c r="X2723" s="1"/>
      <c r="Y2723" s="1"/>
      <c r="Z2723" s="1"/>
    </row>
    <row r="2724" ht="18.0" customHeight="1" outlineLevel="1">
      <c r="A2724" s="1"/>
      <c r="B2724" s="26" t="s">
        <v>2475</v>
      </c>
      <c r="C2724" s="1"/>
      <c r="D2724" s="1"/>
      <c r="E2724" s="14"/>
      <c r="F2724" s="15"/>
      <c r="G2724" s="16"/>
      <c r="H2724" s="11"/>
      <c r="I2724" s="7"/>
      <c r="J2724" s="7" t="str">
        <f>IFERROR(LET(_xlpm.v,
VLOOKUP($I2724,'用語辞書'!$A:$B,COLUMN('用語辞書'!B$1),FALSE),
IF(_xlpm.v=0,"",_xlpm.v)
),"")</f>
        <v/>
      </c>
      <c r="K2724" s="17"/>
      <c r="L2724" s="17" t="str">
        <f>IF(OR(COUNTIF('クラス'!$A$1:$A$1267,$B2724)&gt;0,$B2724="",$M2724=""),"",True)</f>
        <v/>
      </c>
      <c r="M2724" s="1" t="str">
        <f t="shared" si="30"/>
        <v>存在しない</v>
      </c>
      <c r="N2724" s="1" t="s">
        <v>29</v>
      </c>
      <c r="O2724" s="1"/>
      <c r="P2724" s="11"/>
      <c r="Q2724" s="11"/>
      <c r="R2724" s="11"/>
      <c r="S2724" s="11"/>
      <c r="T2724" s="1"/>
      <c r="U2724" s="1"/>
      <c r="V2724" s="1"/>
      <c r="W2724" s="1"/>
      <c r="X2724" s="1"/>
      <c r="Y2724" s="1"/>
      <c r="Z2724" s="1"/>
    </row>
    <row r="2725" ht="18.0" hidden="1" customHeight="1" outlineLevel="2">
      <c r="A2725" s="1">
        <v>1.0</v>
      </c>
      <c r="B2725" s="26" t="s">
        <v>2476</v>
      </c>
      <c r="C2725" s="1"/>
      <c r="D2725" s="26" t="s">
        <v>783</v>
      </c>
      <c r="E2725" s="29" t="s">
        <v>33</v>
      </c>
      <c r="F2725" s="15"/>
      <c r="G2725" s="30">
        <v>60.0</v>
      </c>
      <c r="H2725" s="22" t="s">
        <v>2477</v>
      </c>
      <c r="I2725" s="7"/>
      <c r="J2725" s="7" t="str">
        <f>IFERROR(LET(_xlpm.v,
VLOOKUP($I2725,'用語辞書'!$A:$B,COLUMN('用語辞書'!B$1),FALSE),
IF(_xlpm.v=0,"",_xlpm.v)
),"")</f>
        <v/>
      </c>
      <c r="K2725" s="17"/>
      <c r="L2725" s="17" t="b">
        <f>IF(OR(COUNTIF('クラス'!$A$1:$A$1267,$B2725)&gt;0,$B2725="",$M2725=""),"",True)</f>
        <v>1</v>
      </c>
      <c r="M2725" s="1" t="str">
        <f t="shared" si="30"/>
        <v>存在しない</v>
      </c>
      <c r="N2725" s="1" t="s">
        <v>29</v>
      </c>
      <c r="O2725" s="1"/>
      <c r="P2725" s="11"/>
      <c r="Q2725" s="11"/>
      <c r="R2725" s="11"/>
      <c r="S2725" s="11"/>
      <c r="T2725" s="1"/>
      <c r="U2725" s="1"/>
      <c r="V2725" s="1"/>
      <c r="W2725" s="1"/>
      <c r="X2725" s="1"/>
      <c r="Y2725" s="1"/>
      <c r="Z2725" s="1"/>
    </row>
    <row r="2726" ht="18.0" hidden="1" customHeight="1" outlineLevel="2">
      <c r="A2726" s="1">
        <v>2.0</v>
      </c>
      <c r="B2726" s="1"/>
      <c r="C2726" s="1"/>
      <c r="D2726" s="1"/>
      <c r="E2726" s="14"/>
      <c r="F2726" s="15"/>
      <c r="G2726" s="16"/>
      <c r="H2726" s="11"/>
      <c r="I2726" s="7"/>
      <c r="J2726" s="7" t="str">
        <f>IFERROR(LET(_xlpm.v,
VLOOKUP($I2726,'用語辞書'!$A:$B,COLUMN('用語辞書'!B$1),FALSE),
IF(_xlpm.v=0,"",_xlpm.v)
),"")</f>
        <v/>
      </c>
      <c r="K2726" s="17"/>
      <c r="L2726" s="17" t="str">
        <f>IF(OR(COUNTIF('クラス'!$A$1:$A$1267,$B2726)&gt;0,$B2726="",$M2726=""),"",True)</f>
        <v/>
      </c>
      <c r="M2726" s="1" t="str">
        <f t="shared" si="30"/>
        <v>存在しない</v>
      </c>
      <c r="N2726" s="1" t="s">
        <v>29</v>
      </c>
      <c r="O2726" s="1"/>
      <c r="P2726" s="11"/>
      <c r="Q2726" s="11"/>
      <c r="R2726" s="11"/>
      <c r="S2726" s="11"/>
      <c r="T2726" s="1"/>
      <c r="U2726" s="1"/>
      <c r="V2726" s="1"/>
      <c r="W2726" s="1"/>
      <c r="X2726" s="1"/>
      <c r="Y2726" s="1"/>
      <c r="Z2726" s="1"/>
    </row>
    <row r="2727" ht="18.0" hidden="1" customHeight="1" outlineLevel="2">
      <c r="A2727" s="1">
        <v>3.0</v>
      </c>
      <c r="B2727" s="26" t="s">
        <v>2478</v>
      </c>
      <c r="C2727" s="1"/>
      <c r="D2727" s="26" t="s">
        <v>1179</v>
      </c>
      <c r="E2727" s="29" t="s">
        <v>55</v>
      </c>
      <c r="F2727" s="15"/>
      <c r="G2727" s="16"/>
      <c r="H2727" s="22" t="s">
        <v>2479</v>
      </c>
      <c r="I2727" s="7"/>
      <c r="J2727" s="7" t="str">
        <f>IFERROR(LET(_xlpm.v,
VLOOKUP($I2727,'用語辞書'!$A:$B,COLUMN('用語辞書'!B$1),FALSE),
IF(_xlpm.v=0,"",_xlpm.v)
),"")</f>
        <v/>
      </c>
      <c r="K2727" s="17"/>
      <c r="L2727" s="17" t="b">
        <f>IF(OR(COUNTIF('クラス'!$A$1:$A$1267,$B2727)&gt;0,$B2727="",$M2727=""),"",True)</f>
        <v>1</v>
      </c>
      <c r="M2727" s="1" t="str">
        <f t="shared" si="30"/>
        <v>存在しない</v>
      </c>
      <c r="N2727" s="1" t="s">
        <v>29</v>
      </c>
      <c r="O2727" s="1"/>
      <c r="P2727" s="11"/>
      <c r="Q2727" s="11"/>
      <c r="R2727" s="11"/>
      <c r="S2727" s="11"/>
      <c r="T2727" s="1"/>
      <c r="U2727" s="1"/>
      <c r="V2727" s="1"/>
      <c r="W2727" s="1"/>
      <c r="X2727" s="1"/>
      <c r="Y2727" s="1"/>
      <c r="Z2727" s="1"/>
    </row>
    <row r="2728" ht="18.0" hidden="1" customHeight="1" outlineLevel="2">
      <c r="A2728" s="1">
        <v>4.0</v>
      </c>
      <c r="B2728" s="1"/>
      <c r="C2728" s="1"/>
      <c r="D2728" s="1"/>
      <c r="E2728" s="14"/>
      <c r="F2728" s="15"/>
      <c r="G2728" s="16"/>
      <c r="H2728" s="11"/>
      <c r="I2728" s="7"/>
      <c r="J2728" s="7" t="str">
        <f>IFERROR(LET(_xlpm.v,
VLOOKUP($I2728,'用語辞書'!$A:$B,COLUMN('用語辞書'!B$1),FALSE),
IF(_xlpm.v=0,"",_xlpm.v)
),"")</f>
        <v/>
      </c>
      <c r="K2728" s="17"/>
      <c r="L2728" s="17" t="str">
        <f>IF(OR(COUNTIF('クラス'!$A$1:$A$1267,$B2728)&gt;0,$B2728="",$M2728=""),"",True)</f>
        <v/>
      </c>
      <c r="M2728" s="1" t="str">
        <f t="shared" si="30"/>
        <v>存在しない</v>
      </c>
      <c r="N2728" s="1" t="s">
        <v>29</v>
      </c>
      <c r="O2728" s="1"/>
      <c r="P2728" s="11"/>
      <c r="Q2728" s="11"/>
      <c r="R2728" s="11"/>
      <c r="S2728" s="11"/>
      <c r="T2728" s="1"/>
      <c r="U2728" s="1"/>
      <c r="V2728" s="1"/>
      <c r="W2728" s="1"/>
      <c r="X2728" s="1"/>
      <c r="Y2728" s="1"/>
      <c r="Z2728" s="1"/>
    </row>
    <row r="2729" ht="18.0" hidden="1" customHeight="1" outlineLevel="2">
      <c r="A2729" s="1">
        <v>5.0</v>
      </c>
      <c r="B2729" s="26" t="s">
        <v>1120</v>
      </c>
      <c r="C2729" s="1"/>
      <c r="D2729" s="1"/>
      <c r="E2729" s="14"/>
      <c r="F2729" s="15"/>
      <c r="G2729" s="16"/>
      <c r="H2729" s="11"/>
      <c r="I2729" s="7"/>
      <c r="J2729" s="7" t="str">
        <f>IFERROR(LET(_xlpm.v,
VLOOKUP($I2729,'用語辞書'!$A:$B,COLUMN('用語辞書'!B$1),FALSE),
IF(_xlpm.v=0,"",_xlpm.v)
),"")</f>
        <v/>
      </c>
      <c r="K2729" s="17"/>
      <c r="L2729" s="17" t="str">
        <f>IF(OR(COUNTIF('クラス'!$A$1:$A$1267,$B2729)&gt;0,$B2729="",$M2729=""),"",True)</f>
        <v/>
      </c>
      <c r="M2729" s="1" t="str">
        <f t="shared" si="30"/>
        <v/>
      </c>
      <c r="N2729" s="1" t="s">
        <v>29</v>
      </c>
      <c r="O2729" s="1"/>
      <c r="P2729" s="11"/>
      <c r="Q2729" s="11"/>
      <c r="R2729" s="11"/>
      <c r="S2729" s="11"/>
      <c r="T2729" s="1"/>
      <c r="U2729" s="1"/>
      <c r="V2729" s="1"/>
      <c r="W2729" s="1"/>
      <c r="X2729" s="1"/>
      <c r="Y2729" s="1"/>
      <c r="Z2729" s="1"/>
    </row>
    <row r="2730" ht="18.0" hidden="1" customHeight="1" outlineLevel="2">
      <c r="A2730" s="1">
        <v>6.0</v>
      </c>
      <c r="B2730" s="1"/>
      <c r="C2730" s="1"/>
      <c r="D2730" s="1"/>
      <c r="E2730" s="14"/>
      <c r="F2730" s="15"/>
      <c r="G2730" s="16"/>
      <c r="H2730" s="11"/>
      <c r="I2730" s="7"/>
      <c r="J2730" s="7" t="str">
        <f>IFERROR(LET(_xlpm.v,
VLOOKUP($I2730,'用語辞書'!$A:$B,COLUMN('用語辞書'!B$1),FALSE),
IF(_xlpm.v=0,"",_xlpm.v)
),"")</f>
        <v/>
      </c>
      <c r="K2730" s="17"/>
      <c r="L2730" s="17" t="str">
        <f>IF(OR(COUNTIF('クラス'!$A$1:$A$1267,$B2730)&gt;0,$B2730="",$M2730=""),"",True)</f>
        <v/>
      </c>
      <c r="M2730" s="1" t="str">
        <f t="shared" si="30"/>
        <v>存在しない</v>
      </c>
      <c r="N2730" s="1" t="s">
        <v>29</v>
      </c>
      <c r="O2730" s="1"/>
      <c r="P2730" s="11"/>
      <c r="Q2730" s="11"/>
      <c r="R2730" s="11"/>
      <c r="S2730" s="11"/>
      <c r="T2730" s="1"/>
      <c r="U2730" s="1"/>
      <c r="V2730" s="1"/>
      <c r="W2730" s="1"/>
      <c r="X2730" s="1"/>
      <c r="Y2730" s="1"/>
      <c r="Z2730" s="1"/>
    </row>
    <row r="2731" ht="18.0" hidden="1" customHeight="1" outlineLevel="2">
      <c r="A2731" s="1">
        <v>7.0</v>
      </c>
      <c r="B2731" s="26" t="s">
        <v>196</v>
      </c>
      <c r="C2731" s="1"/>
      <c r="D2731" s="1"/>
      <c r="E2731" s="14"/>
      <c r="F2731" s="15"/>
      <c r="G2731" s="16"/>
      <c r="H2731" s="11"/>
      <c r="I2731" s="7"/>
      <c r="J2731" s="7" t="str">
        <f>IFERROR(LET(_xlpm.v,
VLOOKUP($I2731,'用語辞書'!$A:$B,COLUMN('用語辞書'!B$1),FALSE),
IF(_xlpm.v=0,"",_xlpm.v)
),"")</f>
        <v/>
      </c>
      <c r="K2731" s="17"/>
      <c r="L2731" s="17" t="str">
        <f>IF(OR(COUNTIF('クラス'!$A$1:$A$1267,$B2731)&gt;0,$B2731="",$M2731=""),"",True)</f>
        <v/>
      </c>
      <c r="M2731" s="1" t="str">
        <f t="shared" si="30"/>
        <v/>
      </c>
      <c r="N2731" s="1" t="s">
        <v>29</v>
      </c>
      <c r="O2731" s="1"/>
      <c r="P2731" s="11"/>
      <c r="Q2731" s="11"/>
      <c r="R2731" s="11"/>
      <c r="S2731" s="11"/>
      <c r="T2731" s="1"/>
      <c r="U2731" s="1"/>
      <c r="V2731" s="1"/>
      <c r="W2731" s="1"/>
      <c r="X2731" s="1"/>
      <c r="Y2731" s="1"/>
      <c r="Z2731" s="1"/>
    </row>
    <row r="2732" ht="18.0" hidden="1" customHeight="1" outlineLevel="2">
      <c r="A2732" s="1">
        <v>8.0</v>
      </c>
      <c r="B2732" s="1"/>
      <c r="C2732" s="1"/>
      <c r="D2732" s="1"/>
      <c r="E2732" s="14"/>
      <c r="F2732" s="15"/>
      <c r="G2732" s="16"/>
      <c r="H2732" s="11"/>
      <c r="I2732" s="7"/>
      <c r="J2732" s="7" t="str">
        <f>IFERROR(LET(_xlpm.v,
VLOOKUP($I2732,'用語辞書'!$A:$B,COLUMN('用語辞書'!B$1),FALSE),
IF(_xlpm.v=0,"",_xlpm.v)
),"")</f>
        <v/>
      </c>
      <c r="K2732" s="17"/>
      <c r="L2732" s="17" t="str">
        <f>IF(OR(COUNTIF('クラス'!$A$1:$A$1267,$B2732)&gt;0,$B2732="",$M2732=""),"",True)</f>
        <v/>
      </c>
      <c r="M2732" s="1" t="str">
        <f t="shared" si="30"/>
        <v>存在しない</v>
      </c>
      <c r="N2732" s="1" t="s">
        <v>29</v>
      </c>
      <c r="O2732" s="1"/>
      <c r="P2732" s="11"/>
      <c r="Q2732" s="11"/>
      <c r="R2732" s="11"/>
      <c r="S2732" s="11"/>
      <c r="T2732" s="1"/>
      <c r="U2732" s="1"/>
      <c r="V2732" s="1"/>
      <c r="W2732" s="1"/>
      <c r="X2732" s="1"/>
      <c r="Y2732" s="1"/>
      <c r="Z2732" s="1"/>
    </row>
    <row r="2733" ht="18.0" hidden="1" customHeight="1" outlineLevel="2">
      <c r="A2733" s="1">
        <v>9.0</v>
      </c>
      <c r="B2733" s="26" t="s">
        <v>2480</v>
      </c>
      <c r="C2733" s="1"/>
      <c r="D2733" s="26" t="s">
        <v>783</v>
      </c>
      <c r="E2733" s="29" t="s">
        <v>33</v>
      </c>
      <c r="F2733" s="15"/>
      <c r="G2733" s="30">
        <v>60.0</v>
      </c>
      <c r="H2733" s="22" t="s">
        <v>2481</v>
      </c>
      <c r="I2733" s="7"/>
      <c r="J2733" s="7" t="str">
        <f>IFERROR(LET(_xlpm.v,
VLOOKUP($I2733,'用語辞書'!$A:$B,COLUMN('用語辞書'!B$1),FALSE),
IF(_xlpm.v=0,"",_xlpm.v)
),"")</f>
        <v/>
      </c>
      <c r="K2733" s="17"/>
      <c r="L2733" s="17" t="b">
        <f>IF(OR(COUNTIF('クラス'!$A$1:$A$1267,$B2733)&gt;0,$B2733="",$M2733=""),"",True)</f>
        <v>1</v>
      </c>
      <c r="M2733" s="1" t="str">
        <f t="shared" si="30"/>
        <v>存在しない</v>
      </c>
      <c r="N2733" s="1" t="s">
        <v>29</v>
      </c>
      <c r="O2733" s="1"/>
      <c r="P2733" s="11"/>
      <c r="Q2733" s="11"/>
      <c r="R2733" s="11"/>
      <c r="S2733" s="11"/>
      <c r="T2733" s="1"/>
      <c r="U2733" s="1"/>
      <c r="V2733" s="1"/>
      <c r="W2733" s="1"/>
      <c r="X2733" s="1"/>
      <c r="Y2733" s="1"/>
      <c r="Z2733" s="1"/>
    </row>
    <row r="2734" ht="18.0" hidden="1" customHeight="1" outlineLevel="2">
      <c r="A2734" s="1">
        <v>10.0</v>
      </c>
      <c r="B2734" s="26" t="s">
        <v>2482</v>
      </c>
      <c r="C2734" s="1"/>
      <c r="D2734" s="26" t="s">
        <v>783</v>
      </c>
      <c r="E2734" s="29" t="s">
        <v>33</v>
      </c>
      <c r="F2734" s="15"/>
      <c r="G2734" s="30">
        <v>60.0</v>
      </c>
      <c r="H2734" s="22" t="s">
        <v>2483</v>
      </c>
      <c r="I2734" s="7"/>
      <c r="J2734" s="7" t="str">
        <f>IFERROR(LET(_xlpm.v,
VLOOKUP($I2734,'用語辞書'!$A:$B,COLUMN('用語辞書'!B$1),FALSE),
IF(_xlpm.v=0,"",_xlpm.v)
),"")</f>
        <v/>
      </c>
      <c r="K2734" s="17"/>
      <c r="L2734" s="17" t="b">
        <f>IF(OR(COUNTIF('クラス'!$A$1:$A$1267,$B2734)&gt;0,$B2734="",$M2734=""),"",True)</f>
        <v>1</v>
      </c>
      <c r="M2734" s="1" t="str">
        <f t="shared" si="30"/>
        <v>存在しない</v>
      </c>
      <c r="N2734" s="1" t="s">
        <v>29</v>
      </c>
      <c r="O2734" s="1"/>
      <c r="P2734" s="11"/>
      <c r="Q2734" s="11"/>
      <c r="R2734" s="11"/>
      <c r="S2734" s="11"/>
      <c r="T2734" s="1"/>
      <c r="U2734" s="1"/>
      <c r="V2734" s="1"/>
      <c r="W2734" s="1"/>
      <c r="X2734" s="1"/>
      <c r="Y2734" s="1"/>
      <c r="Z2734" s="1"/>
    </row>
    <row r="2735" ht="18.0" customHeight="1" outlineLevel="1" collapsed="1">
      <c r="A2735" s="1"/>
      <c r="B2735" s="1"/>
      <c r="C2735" s="1"/>
      <c r="D2735" s="1"/>
      <c r="E2735" s="14"/>
      <c r="F2735" s="15"/>
      <c r="G2735" s="16"/>
      <c r="H2735" s="11"/>
      <c r="I2735" s="7"/>
      <c r="J2735" s="7" t="str">
        <f>IFERROR(LET(_xlpm.v,
VLOOKUP($I2735,'用語辞書'!$A:$B,COLUMN('用語辞書'!B$1),FALSE),
IF(_xlpm.v=0,"",_xlpm.v)
),"")</f>
        <v/>
      </c>
      <c r="K2735" s="17"/>
      <c r="L2735" s="17" t="str">
        <f>IF(OR(COUNTIF('クラス'!$A$1:$A$1267,$B2735)&gt;0,$B2735="",$M2735=""),"",True)</f>
        <v/>
      </c>
      <c r="M2735" s="1" t="str">
        <f t="shared" si="30"/>
        <v>存在しない</v>
      </c>
      <c r="N2735" s="1" t="s">
        <v>29</v>
      </c>
      <c r="O2735" s="1"/>
      <c r="P2735" s="11"/>
      <c r="Q2735" s="11"/>
      <c r="R2735" s="11"/>
      <c r="S2735" s="11"/>
      <c r="T2735" s="1"/>
      <c r="U2735" s="1"/>
      <c r="V2735" s="1"/>
      <c r="W2735" s="1"/>
      <c r="X2735" s="1"/>
      <c r="Y2735" s="1"/>
      <c r="Z2735" s="1"/>
    </row>
    <row r="2736" ht="18.0" customHeight="1" outlineLevel="1">
      <c r="A2736" s="1"/>
      <c r="B2736" s="26" t="s">
        <v>2484</v>
      </c>
      <c r="C2736" s="1"/>
      <c r="D2736" s="1"/>
      <c r="E2736" s="14"/>
      <c r="F2736" s="15"/>
      <c r="G2736" s="16"/>
      <c r="H2736" s="11"/>
      <c r="I2736" s="7"/>
      <c r="J2736" s="7" t="str">
        <f>IFERROR(LET(_xlpm.v,
VLOOKUP($I2736,'用語辞書'!$A:$B,COLUMN('用語辞書'!B$1),FALSE),
IF(_xlpm.v=0,"",_xlpm.v)
),"")</f>
        <v/>
      </c>
      <c r="K2736" s="17"/>
      <c r="L2736" s="17" t="str">
        <f>IF(OR(COUNTIF('クラス'!$A$1:$A$1267,$B2736)&gt;0,$B2736="",$M2736=""),"",True)</f>
        <v/>
      </c>
      <c r="M2736" s="1" t="str">
        <f t="shared" si="30"/>
        <v>存在しない</v>
      </c>
      <c r="N2736" s="1" t="s">
        <v>29</v>
      </c>
      <c r="O2736" s="1"/>
      <c r="P2736" s="11"/>
      <c r="Q2736" s="11"/>
      <c r="R2736" s="11"/>
      <c r="S2736" s="11"/>
      <c r="T2736" s="1"/>
      <c r="U2736" s="1"/>
      <c r="V2736" s="1"/>
      <c r="W2736" s="1"/>
      <c r="X2736" s="1"/>
      <c r="Y2736" s="1"/>
      <c r="Z2736" s="1"/>
    </row>
    <row r="2737" ht="18.0" hidden="1" customHeight="1" outlineLevel="2">
      <c r="A2737" s="1">
        <v>1.0</v>
      </c>
      <c r="B2737" s="26" t="s">
        <v>2038</v>
      </c>
      <c r="C2737" s="1"/>
      <c r="D2737" s="1"/>
      <c r="E2737" s="14"/>
      <c r="F2737" s="15"/>
      <c r="G2737" s="16"/>
      <c r="H2737" s="11"/>
      <c r="I2737" s="7"/>
      <c r="J2737" s="7" t="str">
        <f>IFERROR(LET(_xlpm.v,
VLOOKUP($I2737,'用語辞書'!$A:$B,COLUMN('用語辞書'!B$1),FALSE),
IF(_xlpm.v=0,"",_xlpm.v)
),"")</f>
        <v/>
      </c>
      <c r="K2737" s="17"/>
      <c r="L2737" s="17" t="str">
        <f>IF(OR(COUNTIF('クラス'!$A$1:$A$1267,$B2737)&gt;0,$B2737="",$M2737=""),"",True)</f>
        <v/>
      </c>
      <c r="M2737" s="1" t="str">
        <f t="shared" si="30"/>
        <v/>
      </c>
      <c r="N2737" s="1" t="s">
        <v>29</v>
      </c>
      <c r="O2737" s="1"/>
      <c r="P2737" s="11"/>
      <c r="Q2737" s="11"/>
      <c r="R2737" s="11"/>
      <c r="S2737" s="11"/>
      <c r="T2737" s="1"/>
      <c r="U2737" s="1"/>
      <c r="V2737" s="1"/>
      <c r="W2737" s="1"/>
      <c r="X2737" s="1"/>
      <c r="Y2737" s="1"/>
      <c r="Z2737" s="1"/>
    </row>
    <row r="2738" ht="18.0" hidden="1" customHeight="1" outlineLevel="2">
      <c r="A2738" s="1">
        <v>2.0</v>
      </c>
      <c r="B2738" s="1"/>
      <c r="C2738" s="1"/>
      <c r="D2738" s="1"/>
      <c r="E2738" s="14"/>
      <c r="F2738" s="15"/>
      <c r="G2738" s="16"/>
      <c r="H2738" s="11"/>
      <c r="I2738" s="7"/>
      <c r="J2738" s="7" t="str">
        <f>IFERROR(LET(_xlpm.v,
VLOOKUP($I2738,'用語辞書'!$A:$B,COLUMN('用語辞書'!B$1),FALSE),
IF(_xlpm.v=0,"",_xlpm.v)
),"")</f>
        <v/>
      </c>
      <c r="K2738" s="17"/>
      <c r="L2738" s="17" t="str">
        <f>IF(OR(COUNTIF('クラス'!$A$1:$A$1267,$B2738)&gt;0,$B2738="",$M2738=""),"",True)</f>
        <v/>
      </c>
      <c r="M2738" s="1" t="str">
        <f t="shared" si="30"/>
        <v>存在しない</v>
      </c>
      <c r="N2738" s="1" t="s">
        <v>29</v>
      </c>
      <c r="O2738" s="1"/>
      <c r="P2738" s="11"/>
      <c r="Q2738" s="11"/>
      <c r="R2738" s="11"/>
      <c r="S2738" s="11"/>
      <c r="T2738" s="1"/>
      <c r="U2738" s="1"/>
      <c r="V2738" s="1"/>
      <c r="W2738" s="1"/>
      <c r="X2738" s="1"/>
      <c r="Y2738" s="1"/>
      <c r="Z2738" s="1"/>
    </row>
    <row r="2739" ht="18.0" hidden="1" customHeight="1" outlineLevel="2">
      <c r="A2739" s="1">
        <v>3.0</v>
      </c>
      <c r="B2739" s="26" t="s">
        <v>1120</v>
      </c>
      <c r="C2739" s="1"/>
      <c r="D2739" s="1"/>
      <c r="E2739" s="14"/>
      <c r="F2739" s="15"/>
      <c r="G2739" s="16"/>
      <c r="H2739" s="11"/>
      <c r="I2739" s="7"/>
      <c r="J2739" s="7" t="str">
        <f>IFERROR(LET(_xlpm.v,
VLOOKUP($I2739,'用語辞書'!$A:$B,COLUMN('用語辞書'!B$1),FALSE),
IF(_xlpm.v=0,"",_xlpm.v)
),"")</f>
        <v/>
      </c>
      <c r="K2739" s="17"/>
      <c r="L2739" s="17" t="str">
        <f>IF(OR(COUNTIF('クラス'!$A$1:$A$1267,$B2739)&gt;0,$B2739="",$M2739=""),"",True)</f>
        <v/>
      </c>
      <c r="M2739" s="1" t="str">
        <f t="shared" si="30"/>
        <v/>
      </c>
      <c r="N2739" s="1" t="s">
        <v>29</v>
      </c>
      <c r="O2739" s="1"/>
      <c r="P2739" s="11"/>
      <c r="Q2739" s="11"/>
      <c r="R2739" s="11"/>
      <c r="S2739" s="11"/>
      <c r="T2739" s="1"/>
      <c r="U2739" s="1"/>
      <c r="V2739" s="1"/>
      <c r="W2739" s="1"/>
      <c r="X2739" s="1"/>
      <c r="Y2739" s="1"/>
      <c r="Z2739" s="1"/>
    </row>
    <row r="2740" ht="18.0" hidden="1" customHeight="1" outlineLevel="2">
      <c r="A2740" s="1">
        <v>4.0</v>
      </c>
      <c r="B2740" s="1"/>
      <c r="C2740" s="1"/>
      <c r="D2740" s="1"/>
      <c r="E2740" s="14"/>
      <c r="F2740" s="15"/>
      <c r="G2740" s="16"/>
      <c r="H2740" s="11"/>
      <c r="I2740" s="7"/>
      <c r="J2740" s="7" t="str">
        <f>IFERROR(LET(_xlpm.v,
VLOOKUP($I2740,'用語辞書'!$A:$B,COLUMN('用語辞書'!B$1),FALSE),
IF(_xlpm.v=0,"",_xlpm.v)
),"")</f>
        <v/>
      </c>
      <c r="K2740" s="17"/>
      <c r="L2740" s="17" t="str">
        <f>IF(OR(COUNTIF('クラス'!$A$1:$A$1267,$B2740)&gt;0,$B2740="",$M2740=""),"",True)</f>
        <v/>
      </c>
      <c r="M2740" s="1" t="str">
        <f t="shared" si="30"/>
        <v>存在しない</v>
      </c>
      <c r="N2740" s="1" t="s">
        <v>29</v>
      </c>
      <c r="O2740" s="1"/>
      <c r="P2740" s="11"/>
      <c r="Q2740" s="11"/>
      <c r="R2740" s="11"/>
      <c r="S2740" s="11"/>
      <c r="T2740" s="1"/>
      <c r="U2740" s="1"/>
      <c r="V2740" s="1"/>
      <c r="W2740" s="1"/>
      <c r="X2740" s="1"/>
      <c r="Y2740" s="1"/>
      <c r="Z2740" s="1"/>
    </row>
    <row r="2741" ht="18.0" hidden="1" customHeight="1" outlineLevel="2">
      <c r="A2741" s="1">
        <v>5.0</v>
      </c>
      <c r="B2741" s="26" t="s">
        <v>182</v>
      </c>
      <c r="C2741" s="1"/>
      <c r="D2741" s="1"/>
      <c r="E2741" s="14"/>
      <c r="F2741" s="15"/>
      <c r="G2741" s="16"/>
      <c r="H2741" s="11"/>
      <c r="I2741" s="7"/>
      <c r="J2741" s="7" t="str">
        <f>IFERROR(LET(_xlpm.v,
VLOOKUP($I2741,'用語辞書'!$A:$B,COLUMN('用語辞書'!B$1),FALSE),
IF(_xlpm.v=0,"",_xlpm.v)
),"")</f>
        <v/>
      </c>
      <c r="K2741" s="17"/>
      <c r="L2741" s="17" t="str">
        <f>IF(OR(COUNTIF('クラス'!$A$1:$A$1267,$B2741)&gt;0,$B2741="",$M2741=""),"",True)</f>
        <v/>
      </c>
      <c r="M2741" s="1" t="str">
        <f t="shared" si="30"/>
        <v/>
      </c>
      <c r="N2741" s="1" t="s">
        <v>29</v>
      </c>
      <c r="O2741" s="1"/>
      <c r="P2741" s="11"/>
      <c r="Q2741" s="11"/>
      <c r="R2741" s="11"/>
      <c r="S2741" s="11"/>
      <c r="T2741" s="1"/>
      <c r="U2741" s="1"/>
      <c r="V2741" s="1"/>
      <c r="W2741" s="1"/>
      <c r="X2741" s="1"/>
      <c r="Y2741" s="1"/>
      <c r="Z2741" s="1"/>
    </row>
    <row r="2742" ht="18.0" hidden="1" customHeight="1" outlineLevel="2">
      <c r="A2742" s="1">
        <v>6.0</v>
      </c>
      <c r="B2742" s="1"/>
      <c r="C2742" s="1"/>
      <c r="D2742" s="1"/>
      <c r="E2742" s="14"/>
      <c r="F2742" s="15"/>
      <c r="G2742" s="16"/>
      <c r="H2742" s="11"/>
      <c r="I2742" s="7"/>
      <c r="J2742" s="7" t="str">
        <f>IFERROR(LET(_xlpm.v,
VLOOKUP($I2742,'用語辞書'!$A:$B,COLUMN('用語辞書'!B$1),FALSE),
IF(_xlpm.v=0,"",_xlpm.v)
),"")</f>
        <v/>
      </c>
      <c r="K2742" s="17"/>
      <c r="L2742" s="17" t="str">
        <f>IF(OR(COUNTIF('クラス'!$A$1:$A$1267,$B2742)&gt;0,$B2742="",$M2742=""),"",True)</f>
        <v/>
      </c>
      <c r="M2742" s="1" t="str">
        <f t="shared" si="30"/>
        <v>存在しない</v>
      </c>
      <c r="N2742" s="1" t="s">
        <v>29</v>
      </c>
      <c r="O2742" s="1"/>
      <c r="P2742" s="11"/>
      <c r="Q2742" s="11"/>
      <c r="R2742" s="11"/>
      <c r="S2742" s="11"/>
      <c r="T2742" s="1"/>
      <c r="U2742" s="1"/>
      <c r="V2742" s="1"/>
      <c r="W2742" s="1"/>
      <c r="X2742" s="1"/>
      <c r="Y2742" s="1"/>
      <c r="Z2742" s="1"/>
    </row>
    <row r="2743" ht="18.0" hidden="1" customHeight="1" outlineLevel="2">
      <c r="A2743" s="1">
        <v>7.0</v>
      </c>
      <c r="B2743" s="26" t="s">
        <v>2485</v>
      </c>
      <c r="C2743" s="1"/>
      <c r="D2743" s="26" t="s">
        <v>1179</v>
      </c>
      <c r="E2743" s="29" t="s">
        <v>55</v>
      </c>
      <c r="F2743" s="15"/>
      <c r="G2743" s="16"/>
      <c r="H2743" s="22" t="s">
        <v>2486</v>
      </c>
      <c r="I2743" s="7"/>
      <c r="J2743" s="7" t="str">
        <f>IFERROR(LET(_xlpm.v,
VLOOKUP($I2743,'用語辞書'!$A:$B,COLUMN('用語辞書'!B$1),FALSE),
IF(_xlpm.v=0,"",_xlpm.v)
),"")</f>
        <v/>
      </c>
      <c r="K2743" s="17"/>
      <c r="L2743" s="17" t="b">
        <f>IF(OR(COUNTIF('クラス'!$A$1:$A$1267,$B2743)&gt;0,$B2743="",$M2743=""),"",True)</f>
        <v>1</v>
      </c>
      <c r="M2743" s="1" t="str">
        <f t="shared" si="30"/>
        <v>存在しない</v>
      </c>
      <c r="N2743" s="1" t="s">
        <v>29</v>
      </c>
      <c r="O2743" s="1"/>
      <c r="P2743" s="11"/>
      <c r="Q2743" s="11"/>
      <c r="R2743" s="11"/>
      <c r="S2743" s="11"/>
      <c r="T2743" s="1"/>
      <c r="U2743" s="1"/>
      <c r="V2743" s="1"/>
      <c r="W2743" s="1"/>
      <c r="X2743" s="1"/>
      <c r="Y2743" s="1"/>
      <c r="Z2743" s="1"/>
    </row>
    <row r="2744" ht="18.0" hidden="1" customHeight="1" outlineLevel="2">
      <c r="A2744" s="1">
        <v>8.0</v>
      </c>
      <c r="B2744" s="1"/>
      <c r="C2744" s="1"/>
      <c r="D2744" s="1"/>
      <c r="E2744" s="14"/>
      <c r="F2744" s="15"/>
      <c r="G2744" s="16"/>
      <c r="H2744" s="11"/>
      <c r="I2744" s="7"/>
      <c r="J2744" s="7" t="str">
        <f>IFERROR(LET(_xlpm.v,
VLOOKUP($I2744,'用語辞書'!$A:$B,COLUMN('用語辞書'!B$1),FALSE),
IF(_xlpm.v=0,"",_xlpm.v)
),"")</f>
        <v/>
      </c>
      <c r="K2744" s="17"/>
      <c r="L2744" s="17" t="str">
        <f>IF(OR(COUNTIF('クラス'!$A$1:$A$1267,$B2744)&gt;0,$B2744="",$M2744=""),"",True)</f>
        <v/>
      </c>
      <c r="M2744" s="1" t="str">
        <f t="shared" si="30"/>
        <v>存在しない</v>
      </c>
      <c r="N2744" s="1" t="s">
        <v>29</v>
      </c>
      <c r="O2744" s="1"/>
      <c r="P2744" s="11"/>
      <c r="Q2744" s="11"/>
      <c r="R2744" s="11"/>
      <c r="S2744" s="11"/>
      <c r="T2744" s="1"/>
      <c r="U2744" s="1"/>
      <c r="V2744" s="1"/>
      <c r="W2744" s="1"/>
      <c r="X2744" s="1"/>
      <c r="Y2744" s="1"/>
      <c r="Z2744" s="1"/>
    </row>
    <row r="2745" ht="18.0" hidden="1" customHeight="1" outlineLevel="2">
      <c r="A2745" s="1">
        <v>9.0</v>
      </c>
      <c r="B2745" s="26" t="s">
        <v>196</v>
      </c>
      <c r="C2745" s="1"/>
      <c r="D2745" s="1"/>
      <c r="E2745" s="14"/>
      <c r="F2745" s="15"/>
      <c r="G2745" s="16"/>
      <c r="H2745" s="11"/>
      <c r="I2745" s="7"/>
      <c r="J2745" s="7" t="str">
        <f>IFERROR(LET(_xlpm.v,
VLOOKUP($I2745,'用語辞書'!$A:$B,COLUMN('用語辞書'!B$1),FALSE),
IF(_xlpm.v=0,"",_xlpm.v)
),"")</f>
        <v/>
      </c>
      <c r="K2745" s="17"/>
      <c r="L2745" s="17" t="str">
        <f>IF(OR(COUNTIF('クラス'!$A$1:$A$1267,$B2745)&gt;0,$B2745="",$M2745=""),"",True)</f>
        <v/>
      </c>
      <c r="M2745" s="1" t="str">
        <f t="shared" si="30"/>
        <v/>
      </c>
      <c r="N2745" s="1" t="s">
        <v>29</v>
      </c>
      <c r="O2745" s="1"/>
      <c r="P2745" s="11"/>
      <c r="Q2745" s="11"/>
      <c r="R2745" s="11"/>
      <c r="S2745" s="11"/>
      <c r="T2745" s="1"/>
      <c r="U2745" s="1"/>
      <c r="V2745" s="1"/>
      <c r="W2745" s="1"/>
      <c r="X2745" s="1"/>
      <c r="Y2745" s="1"/>
      <c r="Z2745" s="1"/>
    </row>
    <row r="2746" ht="18.0" hidden="1" customHeight="1" outlineLevel="2">
      <c r="A2746" s="1">
        <v>10.0</v>
      </c>
      <c r="B2746" s="26" t="s">
        <v>2487</v>
      </c>
      <c r="C2746" s="1"/>
      <c r="D2746" s="26" t="s">
        <v>1179</v>
      </c>
      <c r="E2746" s="29" t="s">
        <v>33</v>
      </c>
      <c r="F2746" s="15"/>
      <c r="G2746" s="30">
        <v>60.0</v>
      </c>
      <c r="H2746" s="22" t="s">
        <v>2488</v>
      </c>
      <c r="I2746" s="7"/>
      <c r="J2746" s="7" t="str">
        <f>IFERROR(LET(_xlpm.v,
VLOOKUP($I2746,'用語辞書'!$A:$B,COLUMN('用語辞書'!B$1),FALSE),
IF(_xlpm.v=0,"",_xlpm.v)
),"")</f>
        <v/>
      </c>
      <c r="K2746" s="17"/>
      <c r="L2746" s="17" t="b">
        <f>IF(OR(COUNTIF('クラス'!$A$1:$A$1267,$B2746)&gt;0,$B2746="",$M2746=""),"",True)</f>
        <v>1</v>
      </c>
      <c r="M2746" s="1" t="str">
        <f t="shared" si="30"/>
        <v>存在しない</v>
      </c>
      <c r="N2746" s="1" t="s">
        <v>29</v>
      </c>
      <c r="O2746" s="1"/>
      <c r="P2746" s="11"/>
      <c r="Q2746" s="11"/>
      <c r="R2746" s="11"/>
      <c r="S2746" s="11"/>
      <c r="T2746" s="1"/>
      <c r="U2746" s="1"/>
      <c r="V2746" s="1"/>
      <c r="W2746" s="1"/>
      <c r="X2746" s="1"/>
      <c r="Y2746" s="1"/>
      <c r="Z2746" s="1"/>
    </row>
    <row r="2747" ht="18.0" customHeight="1" outlineLevel="1" collapsed="1">
      <c r="A2747" s="1"/>
      <c r="B2747" s="1"/>
      <c r="C2747" s="1"/>
      <c r="D2747" s="1"/>
      <c r="E2747" s="14"/>
      <c r="F2747" s="15"/>
      <c r="G2747" s="16"/>
      <c r="H2747" s="11"/>
      <c r="I2747" s="7"/>
      <c r="J2747" s="7" t="str">
        <f>IFERROR(LET(_xlpm.v,
VLOOKUP($I2747,'用語辞書'!$A:$B,COLUMN('用語辞書'!B$1),FALSE),
IF(_xlpm.v=0,"",_xlpm.v)
),"")</f>
        <v/>
      </c>
      <c r="K2747" s="17"/>
      <c r="L2747" s="17" t="str">
        <f>IF(OR(COUNTIF('クラス'!$A$1:$A$1267,$B2747)&gt;0,$B2747="",$M2747=""),"",True)</f>
        <v/>
      </c>
      <c r="M2747" s="1" t="str">
        <f t="shared" si="30"/>
        <v>存在しない</v>
      </c>
      <c r="N2747" s="1" t="s">
        <v>29</v>
      </c>
      <c r="O2747" s="1"/>
      <c r="P2747" s="11"/>
      <c r="Q2747" s="11"/>
      <c r="R2747" s="11"/>
      <c r="S2747" s="11"/>
      <c r="T2747" s="1"/>
      <c r="U2747" s="1"/>
      <c r="V2747" s="1"/>
      <c r="W2747" s="1"/>
      <c r="X2747" s="1"/>
      <c r="Y2747" s="1"/>
      <c r="Z2747" s="1"/>
    </row>
    <row r="2748" ht="18.0" customHeight="1" outlineLevel="1">
      <c r="A2748" s="1"/>
      <c r="B2748" s="26" t="s">
        <v>2489</v>
      </c>
      <c r="C2748" s="1"/>
      <c r="D2748" s="1"/>
      <c r="E2748" s="14"/>
      <c r="F2748" s="15"/>
      <c r="G2748" s="16"/>
      <c r="H2748" s="11"/>
      <c r="I2748" s="7"/>
      <c r="J2748" s="7" t="str">
        <f>IFERROR(LET(_xlpm.v,
VLOOKUP($I2748,'用語辞書'!$A:$B,COLUMN('用語辞書'!B$1),FALSE),
IF(_xlpm.v=0,"",_xlpm.v)
),"")</f>
        <v/>
      </c>
      <c r="K2748" s="17"/>
      <c r="L2748" s="17" t="str">
        <f>IF(OR(COUNTIF('クラス'!$A$1:$A$1267,$B2748)&gt;0,$B2748="",$M2748=""),"",True)</f>
        <v/>
      </c>
      <c r="M2748" s="1" t="str">
        <f t="shared" si="30"/>
        <v>存在しない</v>
      </c>
      <c r="N2748" s="1" t="s">
        <v>29</v>
      </c>
      <c r="O2748" s="1"/>
      <c r="P2748" s="11"/>
      <c r="Q2748" s="11"/>
      <c r="R2748" s="11"/>
      <c r="S2748" s="11"/>
      <c r="T2748" s="1"/>
      <c r="U2748" s="1"/>
      <c r="V2748" s="1"/>
      <c r="W2748" s="1"/>
      <c r="X2748" s="1"/>
      <c r="Y2748" s="1"/>
      <c r="Z2748" s="1"/>
    </row>
    <row r="2749" ht="18.0" hidden="1" customHeight="1" outlineLevel="2">
      <c r="A2749" s="1">
        <v>1.0</v>
      </c>
      <c r="B2749" s="26" t="s">
        <v>2046</v>
      </c>
      <c r="C2749" s="1"/>
      <c r="D2749" s="1"/>
      <c r="E2749" s="14"/>
      <c r="F2749" s="15"/>
      <c r="G2749" s="16"/>
      <c r="H2749" s="11"/>
      <c r="I2749" s="7"/>
      <c r="J2749" s="7" t="str">
        <f>IFERROR(LET(_xlpm.v,
VLOOKUP($I2749,'用語辞書'!$A:$B,COLUMN('用語辞書'!B$1),FALSE),
IF(_xlpm.v=0,"",_xlpm.v)
),"")</f>
        <v/>
      </c>
      <c r="K2749" s="17"/>
      <c r="L2749" s="17" t="str">
        <f>IF(OR(COUNTIF('クラス'!$A$1:$A$1267,$B2749)&gt;0,$B2749="",$M2749=""),"",True)</f>
        <v/>
      </c>
      <c r="M2749" s="1" t="str">
        <f t="shared" si="30"/>
        <v/>
      </c>
      <c r="N2749" s="1" t="s">
        <v>29</v>
      </c>
      <c r="O2749" s="1"/>
      <c r="P2749" s="11"/>
      <c r="Q2749" s="11"/>
      <c r="R2749" s="11"/>
      <c r="S2749" s="11"/>
      <c r="T2749" s="1"/>
      <c r="U2749" s="1"/>
      <c r="V2749" s="1"/>
      <c r="W2749" s="1"/>
      <c r="X2749" s="1"/>
      <c r="Y2749" s="1"/>
      <c r="Z2749" s="1"/>
    </row>
    <row r="2750" ht="18.0" hidden="1" customHeight="1" outlineLevel="2">
      <c r="A2750" s="1">
        <v>2.0</v>
      </c>
      <c r="B2750" s="1"/>
      <c r="C2750" s="1"/>
      <c r="D2750" s="1"/>
      <c r="E2750" s="14"/>
      <c r="F2750" s="15"/>
      <c r="G2750" s="16"/>
      <c r="H2750" s="11"/>
      <c r="I2750" s="7"/>
      <c r="J2750" s="7" t="str">
        <f>IFERROR(LET(_xlpm.v,
VLOOKUP($I2750,'用語辞書'!$A:$B,COLUMN('用語辞書'!B$1),FALSE),
IF(_xlpm.v=0,"",_xlpm.v)
),"")</f>
        <v/>
      </c>
      <c r="K2750" s="17"/>
      <c r="L2750" s="17" t="str">
        <f>IF(OR(COUNTIF('クラス'!$A$1:$A$1267,$B2750)&gt;0,$B2750="",$M2750=""),"",True)</f>
        <v/>
      </c>
      <c r="M2750" s="1" t="str">
        <f t="shared" si="30"/>
        <v>存在しない</v>
      </c>
      <c r="N2750" s="1" t="s">
        <v>29</v>
      </c>
      <c r="O2750" s="1"/>
      <c r="P2750" s="11"/>
      <c r="Q2750" s="11"/>
      <c r="R2750" s="11"/>
      <c r="S2750" s="11"/>
      <c r="T2750" s="1"/>
      <c r="U2750" s="1"/>
      <c r="V2750" s="1"/>
      <c r="W2750" s="1"/>
      <c r="X2750" s="1"/>
      <c r="Y2750" s="1"/>
      <c r="Z2750" s="1"/>
    </row>
    <row r="2751" ht="18.0" hidden="1" customHeight="1" outlineLevel="2">
      <c r="A2751" s="1">
        <v>3.0</v>
      </c>
      <c r="B2751" s="26" t="s">
        <v>2184</v>
      </c>
      <c r="C2751" s="1"/>
      <c r="D2751" s="1"/>
      <c r="E2751" s="14"/>
      <c r="F2751" s="15"/>
      <c r="G2751" s="16"/>
      <c r="H2751" s="11"/>
      <c r="I2751" s="7"/>
      <c r="J2751" s="7" t="str">
        <f>IFERROR(LET(_xlpm.v,
VLOOKUP($I2751,'用語辞書'!$A:$B,COLUMN('用語辞書'!B$1),FALSE),
IF(_xlpm.v=0,"",_xlpm.v)
),"")</f>
        <v/>
      </c>
      <c r="K2751" s="17"/>
      <c r="L2751" s="17" t="str">
        <f>IF(OR(COUNTIF('クラス'!$A$1:$A$1267,$B2751)&gt;0,$B2751="",$M2751=""),"",True)</f>
        <v/>
      </c>
      <c r="M2751" s="1" t="str">
        <f t="shared" si="30"/>
        <v/>
      </c>
      <c r="N2751" s="1" t="s">
        <v>29</v>
      </c>
      <c r="O2751" s="1"/>
      <c r="P2751" s="11"/>
      <c r="Q2751" s="11"/>
      <c r="R2751" s="11"/>
      <c r="S2751" s="11"/>
      <c r="T2751" s="1"/>
      <c r="U2751" s="1"/>
      <c r="V2751" s="1"/>
      <c r="W2751" s="1"/>
      <c r="X2751" s="1"/>
      <c r="Y2751" s="1"/>
      <c r="Z2751" s="1"/>
    </row>
    <row r="2752" ht="18.0" hidden="1" customHeight="1" outlineLevel="2">
      <c r="A2752" s="1">
        <v>4.0</v>
      </c>
      <c r="B2752" s="1"/>
      <c r="C2752" s="1"/>
      <c r="D2752" s="1"/>
      <c r="E2752" s="14"/>
      <c r="F2752" s="15"/>
      <c r="G2752" s="16"/>
      <c r="H2752" s="11"/>
      <c r="I2752" s="7"/>
      <c r="J2752" s="7" t="str">
        <f>IFERROR(LET(_xlpm.v,
VLOOKUP($I2752,'用語辞書'!$A:$B,COLUMN('用語辞書'!B$1),FALSE),
IF(_xlpm.v=0,"",_xlpm.v)
),"")</f>
        <v/>
      </c>
      <c r="K2752" s="17"/>
      <c r="L2752" s="17" t="str">
        <f>IF(OR(COUNTIF('クラス'!$A$1:$A$1267,$B2752)&gt;0,$B2752="",$M2752=""),"",True)</f>
        <v/>
      </c>
      <c r="M2752" s="1" t="str">
        <f t="shared" si="30"/>
        <v>存在しない</v>
      </c>
      <c r="N2752" s="1" t="s">
        <v>29</v>
      </c>
      <c r="O2752" s="1"/>
      <c r="P2752" s="11"/>
      <c r="Q2752" s="11"/>
      <c r="R2752" s="11"/>
      <c r="S2752" s="11"/>
      <c r="T2752" s="1"/>
      <c r="U2752" s="1"/>
      <c r="V2752" s="1"/>
      <c r="W2752" s="1"/>
      <c r="X2752" s="1"/>
      <c r="Y2752" s="1"/>
      <c r="Z2752" s="1"/>
    </row>
    <row r="2753" ht="18.0" hidden="1" customHeight="1" outlineLevel="2">
      <c r="A2753" s="1">
        <v>5.0</v>
      </c>
      <c r="B2753" s="26" t="s">
        <v>2192</v>
      </c>
      <c r="C2753" s="1"/>
      <c r="D2753" s="1"/>
      <c r="E2753" s="14"/>
      <c r="F2753" s="15"/>
      <c r="G2753" s="16"/>
      <c r="H2753" s="11"/>
      <c r="I2753" s="7"/>
      <c r="J2753" s="7" t="str">
        <f>IFERROR(LET(_xlpm.v,
VLOOKUP($I2753,'用語辞書'!$A:$B,COLUMN('用語辞書'!B$1),FALSE),
IF(_xlpm.v=0,"",_xlpm.v)
),"")</f>
        <v/>
      </c>
      <c r="K2753" s="17"/>
      <c r="L2753" s="17" t="str">
        <f>IF(OR(COUNTIF('クラス'!$A$1:$A$1267,$B2753)&gt;0,$B2753="",$M2753=""),"",True)</f>
        <v/>
      </c>
      <c r="M2753" s="1" t="str">
        <f t="shared" si="30"/>
        <v/>
      </c>
      <c r="N2753" s="1" t="s">
        <v>29</v>
      </c>
      <c r="O2753" s="1"/>
      <c r="P2753" s="11"/>
      <c r="Q2753" s="11"/>
      <c r="R2753" s="11"/>
      <c r="S2753" s="11"/>
      <c r="T2753" s="1"/>
      <c r="U2753" s="1"/>
      <c r="V2753" s="1"/>
      <c r="W2753" s="1"/>
      <c r="X2753" s="1"/>
      <c r="Y2753" s="1"/>
      <c r="Z2753" s="1"/>
    </row>
    <row r="2754" ht="18.0" hidden="1" customHeight="1" outlineLevel="2">
      <c r="A2754" s="1">
        <v>6.0</v>
      </c>
      <c r="B2754" s="1"/>
      <c r="C2754" s="1"/>
      <c r="D2754" s="1"/>
      <c r="E2754" s="14"/>
      <c r="F2754" s="15"/>
      <c r="G2754" s="16"/>
      <c r="H2754" s="11"/>
      <c r="I2754" s="7"/>
      <c r="J2754" s="7" t="str">
        <f>IFERROR(LET(_xlpm.v,
VLOOKUP($I2754,'用語辞書'!$A:$B,COLUMN('用語辞書'!B$1),FALSE),
IF(_xlpm.v=0,"",_xlpm.v)
),"")</f>
        <v/>
      </c>
      <c r="K2754" s="17"/>
      <c r="L2754" s="17" t="str">
        <f>IF(OR(COUNTIF('クラス'!$A$1:$A$1267,$B2754)&gt;0,$B2754="",$M2754=""),"",True)</f>
        <v/>
      </c>
      <c r="M2754" s="1" t="str">
        <f t="shared" si="30"/>
        <v>存在しない</v>
      </c>
      <c r="N2754" s="1" t="s">
        <v>29</v>
      </c>
      <c r="O2754" s="1"/>
      <c r="P2754" s="11"/>
      <c r="Q2754" s="11"/>
      <c r="R2754" s="11"/>
      <c r="S2754" s="11"/>
      <c r="T2754" s="1"/>
      <c r="U2754" s="1"/>
      <c r="V2754" s="1"/>
      <c r="W2754" s="1"/>
      <c r="X2754" s="1"/>
      <c r="Y2754" s="1"/>
      <c r="Z2754" s="1"/>
    </row>
    <row r="2755" ht="18.0" hidden="1" customHeight="1" outlineLevel="2">
      <c r="A2755" s="1">
        <v>7.0</v>
      </c>
      <c r="B2755" s="26" t="s">
        <v>217</v>
      </c>
      <c r="C2755" s="1"/>
      <c r="D2755" s="1"/>
      <c r="E2755" s="14"/>
      <c r="F2755" s="15"/>
      <c r="G2755" s="16"/>
      <c r="H2755" s="11"/>
      <c r="I2755" s="7"/>
      <c r="J2755" s="7" t="str">
        <f>IFERROR(LET(_xlpm.v,
VLOOKUP($I2755,'用語辞書'!$A:$B,COLUMN('用語辞書'!B$1),FALSE),
IF(_xlpm.v=0,"",_xlpm.v)
),"")</f>
        <v/>
      </c>
      <c r="K2755" s="17"/>
      <c r="L2755" s="17" t="str">
        <f>IF(OR(COUNTIF('クラス'!$A$1:$A$1267,$B2755)&gt;0,$B2755="",$M2755=""),"",True)</f>
        <v/>
      </c>
      <c r="M2755" s="1" t="str">
        <f t="shared" si="30"/>
        <v/>
      </c>
      <c r="N2755" s="1" t="s">
        <v>29</v>
      </c>
      <c r="O2755" s="1"/>
      <c r="P2755" s="11"/>
      <c r="Q2755" s="11"/>
      <c r="R2755" s="11"/>
      <c r="S2755" s="11"/>
      <c r="T2755" s="1"/>
      <c r="U2755" s="1"/>
      <c r="V2755" s="1"/>
      <c r="W2755" s="1"/>
      <c r="X2755" s="1"/>
      <c r="Y2755" s="1"/>
      <c r="Z2755" s="1"/>
    </row>
    <row r="2756" ht="18.0" hidden="1" customHeight="1" outlineLevel="2">
      <c r="A2756" s="1">
        <v>8.0</v>
      </c>
      <c r="B2756" s="1"/>
      <c r="C2756" s="1"/>
      <c r="D2756" s="1"/>
      <c r="E2756" s="14"/>
      <c r="F2756" s="15"/>
      <c r="G2756" s="16"/>
      <c r="H2756" s="11"/>
      <c r="I2756" s="7"/>
      <c r="J2756" s="7" t="str">
        <f>IFERROR(LET(_xlpm.v,
VLOOKUP($I2756,'用語辞書'!$A:$B,COLUMN('用語辞書'!B$1),FALSE),
IF(_xlpm.v=0,"",_xlpm.v)
),"")</f>
        <v/>
      </c>
      <c r="K2756" s="17"/>
      <c r="L2756" s="17" t="str">
        <f>IF(OR(COUNTIF('クラス'!$A$1:$A$1267,$B2756)&gt;0,$B2756="",$M2756=""),"",True)</f>
        <v/>
      </c>
      <c r="M2756" s="1" t="str">
        <f t="shared" si="30"/>
        <v>存在しない</v>
      </c>
      <c r="N2756" s="1" t="s">
        <v>29</v>
      </c>
      <c r="O2756" s="1"/>
      <c r="P2756" s="11"/>
      <c r="Q2756" s="11"/>
      <c r="R2756" s="11"/>
      <c r="S2756" s="11"/>
      <c r="T2756" s="1"/>
      <c r="U2756" s="1"/>
      <c r="V2756" s="1"/>
      <c r="W2756" s="1"/>
      <c r="X2756" s="1"/>
      <c r="Y2756" s="1"/>
      <c r="Z2756" s="1"/>
    </row>
    <row r="2757" ht="18.0" hidden="1" customHeight="1" outlineLevel="2">
      <c r="A2757" s="1">
        <v>9.0</v>
      </c>
      <c r="B2757" s="26" t="s">
        <v>2490</v>
      </c>
      <c r="C2757" s="1"/>
      <c r="D2757" s="26" t="s">
        <v>1179</v>
      </c>
      <c r="E2757" s="29" t="s">
        <v>55</v>
      </c>
      <c r="F2757" s="15"/>
      <c r="G2757" s="16"/>
      <c r="H2757" s="22" t="s">
        <v>2491</v>
      </c>
      <c r="I2757" s="7"/>
      <c r="J2757" s="7" t="str">
        <f>IFERROR(LET(_xlpm.v,
VLOOKUP($I2757,'用語辞書'!$A:$B,COLUMN('用語辞書'!B$1),FALSE),
IF(_xlpm.v=0,"",_xlpm.v)
),"")</f>
        <v/>
      </c>
      <c r="K2757" s="17"/>
      <c r="L2757" s="17" t="b">
        <f>IF(OR(COUNTIF('クラス'!$A$1:$A$1267,$B2757)&gt;0,$B2757="",$M2757=""),"",True)</f>
        <v>1</v>
      </c>
      <c r="M2757" s="1" t="str">
        <f t="shared" si="30"/>
        <v>存在しない</v>
      </c>
      <c r="N2757" s="1" t="s">
        <v>29</v>
      </c>
      <c r="O2757" s="1"/>
      <c r="P2757" s="11"/>
      <c r="Q2757" s="11"/>
      <c r="R2757" s="11"/>
      <c r="S2757" s="11"/>
      <c r="T2757" s="1"/>
      <c r="U2757" s="1"/>
      <c r="V2757" s="1"/>
      <c r="W2757" s="1"/>
      <c r="X2757" s="1"/>
      <c r="Y2757" s="1"/>
      <c r="Z2757" s="1"/>
    </row>
    <row r="2758" ht="18.0" hidden="1" customHeight="1" outlineLevel="2">
      <c r="A2758" s="1">
        <v>10.0</v>
      </c>
      <c r="B2758" s="26" t="s">
        <v>2492</v>
      </c>
      <c r="C2758" s="1"/>
      <c r="D2758" s="26" t="s">
        <v>1179</v>
      </c>
      <c r="E2758" s="29" t="s">
        <v>33</v>
      </c>
      <c r="F2758" s="15"/>
      <c r="G2758" s="30">
        <v>60.0</v>
      </c>
      <c r="H2758" s="22" t="s">
        <v>2493</v>
      </c>
      <c r="I2758" s="7"/>
      <c r="J2758" s="7" t="str">
        <f>IFERROR(LET(_xlpm.v,
VLOOKUP($I2758,'用語辞書'!$A:$B,COLUMN('用語辞書'!B$1),FALSE),
IF(_xlpm.v=0,"",_xlpm.v)
),"")</f>
        <v/>
      </c>
      <c r="K2758" s="17"/>
      <c r="L2758" s="17" t="b">
        <f>IF(OR(COUNTIF('クラス'!$A$1:$A$1267,$B2758)&gt;0,$B2758="",$M2758=""),"",True)</f>
        <v>1</v>
      </c>
      <c r="M2758" s="1" t="str">
        <f t="shared" si="30"/>
        <v>存在しない</v>
      </c>
      <c r="N2758" s="1" t="s">
        <v>29</v>
      </c>
      <c r="O2758" s="1"/>
      <c r="P2758" s="11"/>
      <c r="Q2758" s="11"/>
      <c r="R2758" s="11"/>
      <c r="S2758" s="11"/>
      <c r="T2758" s="1"/>
      <c r="U2758" s="1"/>
      <c r="V2758" s="1"/>
      <c r="W2758" s="1"/>
      <c r="X2758" s="1"/>
      <c r="Y2758" s="1"/>
      <c r="Z2758" s="1"/>
    </row>
    <row r="2759" ht="18.0" customHeight="1" outlineLevel="1" collapsed="1">
      <c r="A2759" s="1"/>
      <c r="B2759" s="1"/>
      <c r="C2759" s="1"/>
      <c r="D2759" s="1"/>
      <c r="E2759" s="14"/>
      <c r="F2759" s="15"/>
      <c r="G2759" s="16"/>
      <c r="H2759" s="11"/>
      <c r="I2759" s="7"/>
      <c r="J2759" s="7" t="str">
        <f>IFERROR(LET(_xlpm.v,
VLOOKUP($I2759,'用語辞書'!$A:$B,COLUMN('用語辞書'!B$1),FALSE),
IF(_xlpm.v=0,"",_xlpm.v)
),"")</f>
        <v/>
      </c>
      <c r="K2759" s="17"/>
      <c r="L2759" s="17" t="str">
        <f>IF(OR(COUNTIF('クラス'!$A$1:$A$1267,$B2759)&gt;0,$B2759="",$M2759=""),"",True)</f>
        <v/>
      </c>
      <c r="M2759" s="1" t="str">
        <f t="shared" si="30"/>
        <v>存在しない</v>
      </c>
      <c r="N2759" s="1" t="s">
        <v>29</v>
      </c>
      <c r="O2759" s="1"/>
      <c r="P2759" s="11"/>
      <c r="Q2759" s="11"/>
      <c r="R2759" s="11"/>
      <c r="S2759" s="11"/>
      <c r="T2759" s="1"/>
      <c r="U2759" s="1"/>
      <c r="V2759" s="1"/>
      <c r="W2759" s="1"/>
      <c r="X2759" s="1"/>
      <c r="Y2759" s="1"/>
      <c r="Z2759" s="1"/>
    </row>
    <row r="2760" ht="18.0" customHeight="1" outlineLevel="1">
      <c r="A2760" s="1"/>
      <c r="B2760" s="26" t="s">
        <v>2494</v>
      </c>
      <c r="C2760" s="1"/>
      <c r="D2760" s="1"/>
      <c r="E2760" s="14"/>
      <c r="F2760" s="15"/>
      <c r="G2760" s="16"/>
      <c r="H2760" s="11"/>
      <c r="I2760" s="7"/>
      <c r="J2760" s="7" t="str">
        <f>IFERROR(LET(_xlpm.v,
VLOOKUP($I2760,'用語辞書'!$A:$B,COLUMN('用語辞書'!B$1),FALSE),
IF(_xlpm.v=0,"",_xlpm.v)
),"")</f>
        <v/>
      </c>
      <c r="K2760" s="17"/>
      <c r="L2760" s="17" t="str">
        <f>IF(OR(COUNTIF('クラス'!$A$1:$A$1267,$B2760)&gt;0,$B2760="",$M2760=""),"",True)</f>
        <v/>
      </c>
      <c r="M2760" s="1" t="str">
        <f t="shared" si="30"/>
        <v>存在しない</v>
      </c>
      <c r="N2760" s="1" t="s">
        <v>29</v>
      </c>
      <c r="O2760" s="1"/>
      <c r="P2760" s="11"/>
      <c r="Q2760" s="11"/>
      <c r="R2760" s="11"/>
      <c r="S2760" s="11"/>
      <c r="T2760" s="1"/>
      <c r="U2760" s="1"/>
      <c r="V2760" s="1"/>
      <c r="W2760" s="1"/>
      <c r="X2760" s="1"/>
      <c r="Y2760" s="1"/>
      <c r="Z2760" s="1"/>
    </row>
    <row r="2761" ht="18.0" hidden="1" customHeight="1" outlineLevel="2">
      <c r="A2761" s="1">
        <v>1.0</v>
      </c>
      <c r="B2761" s="26" t="s">
        <v>2495</v>
      </c>
      <c r="C2761" s="1"/>
      <c r="D2761" s="26" t="s">
        <v>716</v>
      </c>
      <c r="E2761" s="29" t="s">
        <v>125</v>
      </c>
      <c r="F2761" s="15"/>
      <c r="G2761" s="30">
        <v>60.0</v>
      </c>
      <c r="H2761" s="22" t="s">
        <v>2496</v>
      </c>
      <c r="I2761" s="7"/>
      <c r="J2761" s="7" t="str">
        <f>IFERROR(LET(_xlpm.v,
VLOOKUP($I2761,'用語辞書'!$A:$B,COLUMN('用語辞書'!B$1),FALSE),
IF(_xlpm.v=0,"",_xlpm.v)
),"")</f>
        <v/>
      </c>
      <c r="K2761" s="17"/>
      <c r="L2761" s="17" t="b">
        <f>IF(OR(COUNTIF('クラス'!$A$1:$A$1267,$B2761)&gt;0,$B2761="",$M2761=""),"",True)</f>
        <v>1</v>
      </c>
      <c r="M2761" s="1" t="str">
        <f t="shared" si="30"/>
        <v>存在しない</v>
      </c>
      <c r="N2761" s="1" t="s">
        <v>29</v>
      </c>
      <c r="O2761" s="1"/>
      <c r="P2761" s="11"/>
      <c r="Q2761" s="11"/>
      <c r="R2761" s="11"/>
      <c r="S2761" s="11"/>
      <c r="T2761" s="1"/>
      <c r="U2761" s="1"/>
      <c r="V2761" s="1"/>
      <c r="W2761" s="1"/>
      <c r="X2761" s="1"/>
      <c r="Y2761" s="1"/>
      <c r="Z2761" s="1"/>
    </row>
    <row r="2762" ht="18.0" hidden="1" customHeight="1" outlineLevel="2">
      <c r="A2762" s="1">
        <v>2.0</v>
      </c>
      <c r="B2762" s="1"/>
      <c r="C2762" s="1"/>
      <c r="D2762" s="1"/>
      <c r="E2762" s="14"/>
      <c r="F2762" s="15"/>
      <c r="G2762" s="16"/>
      <c r="H2762" s="11"/>
      <c r="I2762" s="7"/>
      <c r="J2762" s="7" t="str">
        <f>IFERROR(LET(_xlpm.v,
VLOOKUP($I2762,'用語辞書'!$A:$B,COLUMN('用語辞書'!B$1),FALSE),
IF(_xlpm.v=0,"",_xlpm.v)
),"")</f>
        <v/>
      </c>
      <c r="K2762" s="17"/>
      <c r="L2762" s="17" t="str">
        <f>IF(OR(COUNTIF('クラス'!$A$1:$A$1267,$B2762)&gt;0,$B2762="",$M2762=""),"",True)</f>
        <v/>
      </c>
      <c r="M2762" s="1" t="str">
        <f t="shared" si="30"/>
        <v>存在しない</v>
      </c>
      <c r="N2762" s="1" t="s">
        <v>29</v>
      </c>
      <c r="O2762" s="1"/>
      <c r="P2762" s="11"/>
      <c r="Q2762" s="11"/>
      <c r="R2762" s="11"/>
      <c r="S2762" s="11"/>
      <c r="T2762" s="1"/>
      <c r="U2762" s="1"/>
      <c r="V2762" s="1"/>
      <c r="W2762" s="1"/>
      <c r="X2762" s="1"/>
      <c r="Y2762" s="1"/>
      <c r="Z2762" s="1"/>
    </row>
    <row r="2763" ht="18.0" hidden="1" customHeight="1" outlineLevel="2">
      <c r="A2763" s="1">
        <v>3.0</v>
      </c>
      <c r="B2763" s="26" t="s">
        <v>2497</v>
      </c>
      <c r="C2763" s="1"/>
      <c r="D2763" s="26" t="s">
        <v>716</v>
      </c>
      <c r="E2763" s="29" t="s">
        <v>33</v>
      </c>
      <c r="F2763" s="15"/>
      <c r="G2763" s="30">
        <v>60.0</v>
      </c>
      <c r="H2763" s="22" t="s">
        <v>2498</v>
      </c>
      <c r="I2763" s="7"/>
      <c r="J2763" s="7" t="str">
        <f>IFERROR(LET(_xlpm.v,
VLOOKUP($I2763,'用語辞書'!$A:$B,COLUMN('用語辞書'!B$1),FALSE),
IF(_xlpm.v=0,"",_xlpm.v)
),"")</f>
        <v/>
      </c>
      <c r="K2763" s="17"/>
      <c r="L2763" s="17" t="b">
        <f>IF(OR(COUNTIF('クラス'!$A$1:$A$1267,$B2763)&gt;0,$B2763="",$M2763=""),"",True)</f>
        <v>1</v>
      </c>
      <c r="M2763" s="1" t="str">
        <f t="shared" si="30"/>
        <v>存在しない</v>
      </c>
      <c r="N2763" s="1" t="s">
        <v>29</v>
      </c>
      <c r="O2763" s="1"/>
      <c r="P2763" s="11"/>
      <c r="Q2763" s="11"/>
      <c r="R2763" s="11"/>
      <c r="S2763" s="11"/>
      <c r="T2763" s="1"/>
      <c r="U2763" s="1"/>
      <c r="V2763" s="1"/>
      <c r="W2763" s="1"/>
      <c r="X2763" s="1"/>
      <c r="Y2763" s="1"/>
      <c r="Z2763" s="1"/>
    </row>
    <row r="2764" ht="18.0" hidden="1" customHeight="1" outlineLevel="2">
      <c r="A2764" s="1">
        <v>4.0</v>
      </c>
      <c r="B2764" s="1"/>
      <c r="C2764" s="1"/>
      <c r="D2764" s="1"/>
      <c r="E2764" s="14"/>
      <c r="F2764" s="15"/>
      <c r="G2764" s="16"/>
      <c r="H2764" s="11"/>
      <c r="I2764" s="7"/>
      <c r="J2764" s="7" t="str">
        <f>IFERROR(LET(_xlpm.v,
VLOOKUP($I2764,'用語辞書'!$A:$B,COLUMN('用語辞書'!B$1),FALSE),
IF(_xlpm.v=0,"",_xlpm.v)
),"")</f>
        <v/>
      </c>
      <c r="K2764" s="17"/>
      <c r="L2764" s="17" t="str">
        <f>IF(OR(COUNTIF('クラス'!$A$1:$A$1267,$B2764)&gt;0,$B2764="",$M2764=""),"",True)</f>
        <v/>
      </c>
      <c r="M2764" s="1" t="str">
        <f t="shared" si="30"/>
        <v>存在しない</v>
      </c>
      <c r="N2764" s="1" t="s">
        <v>29</v>
      </c>
      <c r="O2764" s="1"/>
      <c r="P2764" s="11"/>
      <c r="Q2764" s="11"/>
      <c r="R2764" s="11"/>
      <c r="S2764" s="11"/>
      <c r="T2764" s="1"/>
      <c r="U2764" s="1"/>
      <c r="V2764" s="1"/>
      <c r="W2764" s="1"/>
      <c r="X2764" s="1"/>
      <c r="Y2764" s="1"/>
      <c r="Z2764" s="1"/>
    </row>
    <row r="2765" ht="18.0" hidden="1" customHeight="1" outlineLevel="2">
      <c r="A2765" s="1">
        <v>5.0</v>
      </c>
      <c r="B2765" s="26" t="s">
        <v>1114</v>
      </c>
      <c r="C2765" s="1"/>
      <c r="D2765" s="1"/>
      <c r="E2765" s="14"/>
      <c r="F2765" s="15"/>
      <c r="G2765" s="16"/>
      <c r="H2765" s="11"/>
      <c r="I2765" s="7"/>
      <c r="J2765" s="7" t="str">
        <f>IFERROR(LET(_xlpm.v,
VLOOKUP($I2765,'用語辞書'!$A:$B,COLUMN('用語辞書'!B$1),FALSE),
IF(_xlpm.v=0,"",_xlpm.v)
),"")</f>
        <v/>
      </c>
      <c r="K2765" s="17"/>
      <c r="L2765" s="17" t="str">
        <f>IF(OR(COUNTIF('クラス'!$A$1:$A$1267,$B2765)&gt;0,$B2765="",$M2765=""),"",True)</f>
        <v/>
      </c>
      <c r="M2765" s="1" t="str">
        <f t="shared" si="30"/>
        <v/>
      </c>
      <c r="N2765" s="1" t="s">
        <v>29</v>
      </c>
      <c r="O2765" s="1"/>
      <c r="P2765" s="11"/>
      <c r="Q2765" s="11"/>
      <c r="R2765" s="11"/>
      <c r="S2765" s="11"/>
      <c r="T2765" s="1"/>
      <c r="U2765" s="1"/>
      <c r="V2765" s="1"/>
      <c r="W2765" s="1"/>
      <c r="X2765" s="1"/>
      <c r="Y2765" s="1"/>
      <c r="Z2765" s="1"/>
    </row>
    <row r="2766" ht="18.0" hidden="1" customHeight="1" outlineLevel="2">
      <c r="A2766" s="1">
        <v>6.0</v>
      </c>
      <c r="B2766" s="1"/>
      <c r="C2766" s="1"/>
      <c r="D2766" s="1"/>
      <c r="E2766" s="14"/>
      <c r="F2766" s="15"/>
      <c r="G2766" s="16"/>
      <c r="H2766" s="11"/>
      <c r="I2766" s="7"/>
      <c r="J2766" s="7" t="str">
        <f>IFERROR(LET(_xlpm.v,
VLOOKUP($I2766,'用語辞書'!$A:$B,COLUMN('用語辞書'!B$1),FALSE),
IF(_xlpm.v=0,"",_xlpm.v)
),"")</f>
        <v/>
      </c>
      <c r="K2766" s="17"/>
      <c r="L2766" s="17" t="str">
        <f>IF(OR(COUNTIF('クラス'!$A$1:$A$1267,$B2766)&gt;0,$B2766="",$M2766=""),"",True)</f>
        <v/>
      </c>
      <c r="M2766" s="1" t="str">
        <f t="shared" si="30"/>
        <v>存在しない</v>
      </c>
      <c r="N2766" s="1" t="s">
        <v>29</v>
      </c>
      <c r="O2766" s="1"/>
      <c r="P2766" s="11"/>
      <c r="Q2766" s="11"/>
      <c r="R2766" s="11"/>
      <c r="S2766" s="11"/>
      <c r="T2766" s="1"/>
      <c r="U2766" s="1"/>
      <c r="V2766" s="1"/>
      <c r="W2766" s="1"/>
      <c r="X2766" s="1"/>
      <c r="Y2766" s="1"/>
      <c r="Z2766" s="1"/>
    </row>
    <row r="2767" ht="18.0" hidden="1" customHeight="1" outlineLevel="2">
      <c r="A2767" s="1">
        <v>7.0</v>
      </c>
      <c r="B2767" s="26" t="s">
        <v>1120</v>
      </c>
      <c r="C2767" s="1"/>
      <c r="D2767" s="1"/>
      <c r="E2767" s="14"/>
      <c r="F2767" s="15"/>
      <c r="G2767" s="16"/>
      <c r="H2767" s="11"/>
      <c r="I2767" s="7"/>
      <c r="J2767" s="7" t="str">
        <f>IFERROR(LET(_xlpm.v,
VLOOKUP($I2767,'用語辞書'!$A:$B,COLUMN('用語辞書'!B$1),FALSE),
IF(_xlpm.v=0,"",_xlpm.v)
),"")</f>
        <v/>
      </c>
      <c r="K2767" s="17"/>
      <c r="L2767" s="17" t="str">
        <f>IF(OR(COUNTIF('クラス'!$A$1:$A$1267,$B2767)&gt;0,$B2767="",$M2767=""),"",True)</f>
        <v/>
      </c>
      <c r="M2767" s="1" t="str">
        <f t="shared" si="30"/>
        <v/>
      </c>
      <c r="N2767" s="1" t="s">
        <v>29</v>
      </c>
      <c r="O2767" s="1"/>
      <c r="P2767" s="11"/>
      <c r="Q2767" s="11"/>
      <c r="R2767" s="11"/>
      <c r="S2767" s="11"/>
      <c r="T2767" s="1"/>
      <c r="U2767" s="1"/>
      <c r="V2767" s="1"/>
      <c r="W2767" s="1"/>
      <c r="X2767" s="1"/>
      <c r="Y2767" s="1"/>
      <c r="Z2767" s="1"/>
    </row>
    <row r="2768" ht="18.0" hidden="1" customHeight="1" outlineLevel="2">
      <c r="A2768" s="1">
        <v>8.0</v>
      </c>
      <c r="B2768" s="1"/>
      <c r="C2768" s="1"/>
      <c r="D2768" s="1"/>
      <c r="E2768" s="14"/>
      <c r="F2768" s="15"/>
      <c r="G2768" s="16"/>
      <c r="H2768" s="11"/>
      <c r="I2768" s="7"/>
      <c r="J2768" s="7" t="str">
        <f>IFERROR(LET(_xlpm.v,
VLOOKUP($I2768,'用語辞書'!$A:$B,COLUMN('用語辞書'!B$1),FALSE),
IF(_xlpm.v=0,"",_xlpm.v)
),"")</f>
        <v/>
      </c>
      <c r="K2768" s="17"/>
      <c r="L2768" s="17" t="str">
        <f>IF(OR(COUNTIF('クラス'!$A$1:$A$1267,$B2768)&gt;0,$B2768="",$M2768=""),"",True)</f>
        <v/>
      </c>
      <c r="M2768" s="1" t="str">
        <f t="shared" si="30"/>
        <v>存在しない</v>
      </c>
      <c r="N2768" s="1" t="s">
        <v>29</v>
      </c>
      <c r="O2768" s="1"/>
      <c r="P2768" s="11"/>
      <c r="Q2768" s="11"/>
      <c r="R2768" s="11"/>
      <c r="S2768" s="11"/>
      <c r="T2768" s="1"/>
      <c r="U2768" s="1"/>
      <c r="V2768" s="1"/>
      <c r="W2768" s="1"/>
      <c r="X2768" s="1"/>
      <c r="Y2768" s="1"/>
      <c r="Z2768" s="1"/>
    </row>
    <row r="2769" ht="18.0" hidden="1" customHeight="1" outlineLevel="2">
      <c r="A2769" s="1">
        <v>9.0</v>
      </c>
      <c r="B2769" s="26" t="s">
        <v>1116</v>
      </c>
      <c r="C2769" s="1"/>
      <c r="D2769" s="1"/>
      <c r="E2769" s="14"/>
      <c r="F2769" s="15"/>
      <c r="G2769" s="16"/>
      <c r="H2769" s="11"/>
      <c r="I2769" s="7"/>
      <c r="J2769" s="7" t="str">
        <f>IFERROR(LET(_xlpm.v,
VLOOKUP($I2769,'用語辞書'!$A:$B,COLUMN('用語辞書'!B$1),FALSE),
IF(_xlpm.v=0,"",_xlpm.v)
),"")</f>
        <v/>
      </c>
      <c r="K2769" s="17"/>
      <c r="L2769" s="17" t="str">
        <f>IF(OR(COUNTIF('クラス'!$A$1:$A$1267,$B2769)&gt;0,$B2769="",$M2769=""),"",True)</f>
        <v/>
      </c>
      <c r="M2769" s="1" t="str">
        <f t="shared" si="30"/>
        <v/>
      </c>
      <c r="N2769" s="1" t="s">
        <v>29</v>
      </c>
      <c r="O2769" s="1"/>
      <c r="P2769" s="11"/>
      <c r="Q2769" s="11"/>
      <c r="R2769" s="11"/>
      <c r="S2769" s="11"/>
      <c r="T2769" s="1"/>
      <c r="U2769" s="1"/>
      <c r="V2769" s="1"/>
      <c r="W2769" s="1"/>
      <c r="X2769" s="1"/>
      <c r="Y2769" s="1"/>
      <c r="Z2769" s="1"/>
    </row>
    <row r="2770" ht="18.0" hidden="1" customHeight="1" outlineLevel="2">
      <c r="A2770" s="1">
        <v>10.0</v>
      </c>
      <c r="B2770" s="26" t="s">
        <v>2499</v>
      </c>
      <c r="C2770" s="1"/>
      <c r="D2770" s="26" t="s">
        <v>716</v>
      </c>
      <c r="E2770" s="29" t="s">
        <v>33</v>
      </c>
      <c r="F2770" s="15"/>
      <c r="G2770" s="30">
        <v>60.0</v>
      </c>
      <c r="H2770" s="22" t="s">
        <v>2500</v>
      </c>
      <c r="I2770" s="7"/>
      <c r="J2770" s="7" t="str">
        <f>IFERROR(LET(_xlpm.v,
VLOOKUP($I2770,'用語辞書'!$A:$B,COLUMN('用語辞書'!B$1),FALSE),
IF(_xlpm.v=0,"",_xlpm.v)
),"")</f>
        <v/>
      </c>
      <c r="K2770" s="17"/>
      <c r="L2770" s="17" t="b">
        <f>IF(OR(COUNTIF('クラス'!$A$1:$A$1267,$B2770)&gt;0,$B2770="",$M2770=""),"",True)</f>
        <v>1</v>
      </c>
      <c r="M2770" s="1" t="str">
        <f t="shared" si="30"/>
        <v>存在しない</v>
      </c>
      <c r="N2770" s="1" t="s">
        <v>29</v>
      </c>
      <c r="O2770" s="1"/>
      <c r="P2770" s="11"/>
      <c r="Q2770" s="11"/>
      <c r="R2770" s="11"/>
      <c r="S2770" s="11"/>
      <c r="T2770" s="1"/>
      <c r="U2770" s="1"/>
      <c r="V2770" s="1"/>
      <c r="W2770" s="1"/>
      <c r="X2770" s="1"/>
      <c r="Y2770" s="1"/>
      <c r="Z2770" s="1"/>
    </row>
    <row r="2771" ht="18.0" customHeight="1" collapsed="1">
      <c r="A2771" s="1"/>
      <c r="B2771" s="1"/>
      <c r="C2771" s="26" t="s">
        <v>2501</v>
      </c>
      <c r="D2771" s="1"/>
      <c r="E2771" s="14"/>
      <c r="F2771" s="15"/>
      <c r="G2771" s="16"/>
      <c r="H2771" s="11"/>
      <c r="I2771" s="7"/>
      <c r="J2771" s="7" t="str">
        <f>IFERROR(LET(_xlpm.v,
VLOOKUP($I2771,'用語辞書'!$A:$B,COLUMN('用語辞書'!B$1),FALSE),
IF(_xlpm.v=0,"",_xlpm.v)
),"")</f>
        <v/>
      </c>
      <c r="K2771" s="17"/>
      <c r="L2771" s="17" t="str">
        <f>IF(OR(COUNTIF('クラス'!$A$1:$A$1267,$B2771)&gt;0,$B2771="",$M2771=""),"",True)</f>
        <v/>
      </c>
      <c r="M2771" s="1" t="str">
        <f t="shared" si="30"/>
        <v>存在しない</v>
      </c>
      <c r="N2771" s="1" t="s">
        <v>29</v>
      </c>
      <c r="O2771" s="1"/>
      <c r="P2771" s="11"/>
      <c r="Q2771" s="11"/>
      <c r="R2771" s="11"/>
      <c r="S2771" s="11"/>
      <c r="T2771" s="1"/>
      <c r="U2771" s="1"/>
      <c r="V2771" s="1"/>
      <c r="W2771" s="1"/>
      <c r="X2771" s="1"/>
      <c r="Y2771" s="1"/>
      <c r="Z2771" s="1"/>
    </row>
    <row r="2772" ht="18.0" customHeight="1" outlineLevel="1">
      <c r="A2772" s="1"/>
      <c r="B2772" s="26" t="s">
        <v>2502</v>
      </c>
      <c r="C2772" s="1"/>
      <c r="D2772" s="1"/>
      <c r="E2772" s="14"/>
      <c r="F2772" s="15"/>
      <c r="G2772" s="16"/>
      <c r="H2772" s="11"/>
      <c r="I2772" s="7"/>
      <c r="J2772" s="7" t="str">
        <f>IFERROR(LET(_xlpm.v,
VLOOKUP($I2772,'用語辞書'!$A:$B,COLUMN('用語辞書'!B$1),FALSE),
IF(_xlpm.v=0,"",_xlpm.v)
),"")</f>
        <v/>
      </c>
      <c r="K2772" s="17"/>
      <c r="L2772" s="17" t="str">
        <f>IF(OR(COUNTIF('クラス'!$A$1:$A$1267,$B2772)&gt;0,$B2772="",$M2772=""),"",True)</f>
        <v/>
      </c>
      <c r="M2772" s="1" t="str">
        <f t="shared" si="30"/>
        <v>存在しない</v>
      </c>
      <c r="N2772" s="1" t="s">
        <v>29</v>
      </c>
      <c r="O2772" s="1"/>
      <c r="P2772" s="11"/>
      <c r="Q2772" s="11"/>
      <c r="R2772" s="11"/>
      <c r="S2772" s="11"/>
      <c r="T2772" s="1"/>
      <c r="U2772" s="1"/>
      <c r="V2772" s="1"/>
      <c r="W2772" s="1"/>
      <c r="X2772" s="1"/>
      <c r="Y2772" s="1"/>
      <c r="Z2772" s="1"/>
    </row>
    <row r="2773" ht="18.0" hidden="1" customHeight="1" outlineLevel="2">
      <c r="A2773" s="1">
        <v>1.0</v>
      </c>
      <c r="B2773" s="1"/>
      <c r="C2773" s="1"/>
      <c r="D2773" s="1"/>
      <c r="E2773" s="14"/>
      <c r="F2773" s="15"/>
      <c r="G2773" s="16"/>
      <c r="H2773" s="11"/>
      <c r="I2773" s="7"/>
      <c r="J2773" s="7" t="str">
        <f>IFERROR(LET(_xlpm.v,
VLOOKUP($I2773,'用語辞書'!$A:$B,COLUMN('用語辞書'!B$1),FALSE),
IF(_xlpm.v=0,"",_xlpm.v)
),"")</f>
        <v/>
      </c>
      <c r="K2773" s="17"/>
      <c r="L2773" s="17" t="str">
        <f>IF(OR(COUNTIF('クラス'!$A$1:$A$1267,$B2773)&gt;0,$B2773="",$M2773=""),"",True)</f>
        <v/>
      </c>
      <c r="M2773" s="1" t="str">
        <f t="shared" si="30"/>
        <v>存在しない</v>
      </c>
      <c r="N2773" s="1" t="s">
        <v>29</v>
      </c>
      <c r="O2773" s="1"/>
      <c r="P2773" s="11"/>
      <c r="Q2773" s="11"/>
      <c r="R2773" s="11"/>
      <c r="S2773" s="11"/>
      <c r="T2773" s="1"/>
      <c r="U2773" s="1"/>
      <c r="V2773" s="1"/>
      <c r="W2773" s="1"/>
      <c r="X2773" s="1"/>
      <c r="Y2773" s="1"/>
      <c r="Z2773" s="1"/>
    </row>
    <row r="2774" ht="18.0" hidden="1" customHeight="1" outlineLevel="2">
      <c r="A2774" s="1">
        <v>2.0</v>
      </c>
      <c r="B2774" s="1"/>
      <c r="C2774" s="1"/>
      <c r="D2774" s="1"/>
      <c r="E2774" s="14"/>
      <c r="F2774" s="15"/>
      <c r="G2774" s="16"/>
      <c r="H2774" s="11"/>
      <c r="I2774" s="7"/>
      <c r="J2774" s="7" t="str">
        <f>IFERROR(LET(_xlpm.v,
VLOOKUP($I2774,'用語辞書'!$A:$B,COLUMN('用語辞書'!B$1),FALSE),
IF(_xlpm.v=0,"",_xlpm.v)
),"")</f>
        <v/>
      </c>
      <c r="K2774" s="17"/>
      <c r="L2774" s="17" t="str">
        <f>IF(OR(COUNTIF('クラス'!$A$1:$A$1267,$B2774)&gt;0,$B2774="",$M2774=""),"",True)</f>
        <v/>
      </c>
      <c r="M2774" s="1" t="str">
        <f t="shared" si="30"/>
        <v>存在しない</v>
      </c>
      <c r="N2774" s="1" t="s">
        <v>29</v>
      </c>
      <c r="O2774" s="1"/>
      <c r="P2774" s="11"/>
      <c r="Q2774" s="11"/>
      <c r="R2774" s="11"/>
      <c r="S2774" s="11"/>
      <c r="T2774" s="1"/>
      <c r="U2774" s="1"/>
      <c r="V2774" s="1"/>
      <c r="W2774" s="1"/>
      <c r="X2774" s="1"/>
      <c r="Y2774" s="1"/>
      <c r="Z2774" s="1"/>
    </row>
    <row r="2775" ht="18.0" hidden="1" customHeight="1" outlineLevel="2">
      <c r="A2775" s="1">
        <v>3.0</v>
      </c>
      <c r="B2775" s="1"/>
      <c r="C2775" s="1"/>
      <c r="D2775" s="1"/>
      <c r="E2775" s="14"/>
      <c r="F2775" s="15"/>
      <c r="G2775" s="16"/>
      <c r="H2775" s="11"/>
      <c r="I2775" s="7"/>
      <c r="J2775" s="7" t="str">
        <f>IFERROR(LET(_xlpm.v,
VLOOKUP($I2775,'用語辞書'!$A:$B,COLUMN('用語辞書'!B$1),FALSE),
IF(_xlpm.v=0,"",_xlpm.v)
),"")</f>
        <v/>
      </c>
      <c r="K2775" s="17"/>
      <c r="L2775" s="17" t="str">
        <f>IF(OR(COUNTIF('クラス'!$A$1:$A$1267,$B2775)&gt;0,$B2775="",$M2775=""),"",True)</f>
        <v/>
      </c>
      <c r="M2775" s="1" t="str">
        <f t="shared" si="30"/>
        <v>存在しない</v>
      </c>
      <c r="N2775" s="1" t="s">
        <v>29</v>
      </c>
      <c r="O2775" s="1"/>
      <c r="P2775" s="11"/>
      <c r="Q2775" s="11"/>
      <c r="R2775" s="11"/>
      <c r="S2775" s="11"/>
      <c r="T2775" s="1"/>
      <c r="U2775" s="1"/>
      <c r="V2775" s="1"/>
      <c r="W2775" s="1"/>
      <c r="X2775" s="1"/>
      <c r="Y2775" s="1"/>
      <c r="Z2775" s="1"/>
    </row>
    <row r="2776" ht="18.0" hidden="1" customHeight="1" outlineLevel="2">
      <c r="A2776" s="1">
        <v>4.0</v>
      </c>
      <c r="B2776" s="1"/>
      <c r="C2776" s="1"/>
      <c r="D2776" s="1"/>
      <c r="E2776" s="14"/>
      <c r="F2776" s="15"/>
      <c r="G2776" s="16"/>
      <c r="H2776" s="11"/>
      <c r="I2776" s="7"/>
      <c r="J2776" s="7" t="str">
        <f>IFERROR(LET(_xlpm.v,
VLOOKUP($I2776,'用語辞書'!$A:$B,COLUMN('用語辞書'!B$1),FALSE),
IF(_xlpm.v=0,"",_xlpm.v)
),"")</f>
        <v/>
      </c>
      <c r="K2776" s="17"/>
      <c r="L2776" s="17" t="str">
        <f>IF(OR(COUNTIF('クラス'!$A$1:$A$1267,$B2776)&gt;0,$B2776="",$M2776=""),"",True)</f>
        <v/>
      </c>
      <c r="M2776" s="1" t="str">
        <f t="shared" si="30"/>
        <v>存在しない</v>
      </c>
      <c r="N2776" s="1" t="s">
        <v>29</v>
      </c>
      <c r="O2776" s="1"/>
      <c r="P2776" s="11"/>
      <c r="Q2776" s="11"/>
      <c r="R2776" s="11"/>
      <c r="S2776" s="11"/>
      <c r="T2776" s="1"/>
      <c r="U2776" s="1"/>
      <c r="V2776" s="1"/>
      <c r="W2776" s="1"/>
      <c r="X2776" s="1"/>
      <c r="Y2776" s="1"/>
      <c r="Z2776" s="1"/>
    </row>
    <row r="2777" ht="18.0" hidden="1" customHeight="1" outlineLevel="2">
      <c r="A2777" s="1">
        <v>5.0</v>
      </c>
      <c r="B2777" s="1"/>
      <c r="C2777" s="1"/>
      <c r="D2777" s="1"/>
      <c r="E2777" s="14"/>
      <c r="F2777" s="15"/>
      <c r="G2777" s="16"/>
      <c r="H2777" s="11"/>
      <c r="I2777" s="7"/>
      <c r="J2777" s="7" t="str">
        <f>IFERROR(LET(_xlpm.v,
VLOOKUP($I2777,'用語辞書'!$A:$B,COLUMN('用語辞書'!B$1),FALSE),
IF(_xlpm.v=0,"",_xlpm.v)
),"")</f>
        <v/>
      </c>
      <c r="K2777" s="17"/>
      <c r="L2777" s="17" t="str">
        <f>IF(OR(COUNTIF('クラス'!$A$1:$A$1267,$B2777)&gt;0,$B2777="",$M2777=""),"",True)</f>
        <v/>
      </c>
      <c r="M2777" s="1" t="str">
        <f t="shared" si="30"/>
        <v>存在しない</v>
      </c>
      <c r="N2777" s="1" t="s">
        <v>29</v>
      </c>
      <c r="O2777" s="1"/>
      <c r="P2777" s="11"/>
      <c r="Q2777" s="11"/>
      <c r="R2777" s="11"/>
      <c r="S2777" s="11"/>
      <c r="T2777" s="1"/>
      <c r="U2777" s="1"/>
      <c r="V2777" s="1"/>
      <c r="W2777" s="1"/>
      <c r="X2777" s="1"/>
      <c r="Y2777" s="1"/>
      <c r="Z2777" s="1"/>
    </row>
    <row r="2778" ht="18.0" hidden="1" customHeight="1" outlineLevel="2">
      <c r="A2778" s="1">
        <v>6.0</v>
      </c>
      <c r="B2778" s="1"/>
      <c r="C2778" s="1"/>
      <c r="D2778" s="1"/>
      <c r="E2778" s="14"/>
      <c r="F2778" s="15"/>
      <c r="G2778" s="16"/>
      <c r="H2778" s="11"/>
      <c r="I2778" s="7"/>
      <c r="J2778" s="7" t="str">
        <f>IFERROR(LET(_xlpm.v,
VLOOKUP($I2778,'用語辞書'!$A:$B,COLUMN('用語辞書'!B$1),FALSE),
IF(_xlpm.v=0,"",_xlpm.v)
),"")</f>
        <v/>
      </c>
      <c r="K2778" s="17"/>
      <c r="L2778" s="17" t="str">
        <f>IF(OR(COUNTIF('クラス'!$A$1:$A$1267,$B2778)&gt;0,$B2778="",$M2778=""),"",True)</f>
        <v/>
      </c>
      <c r="M2778" s="1" t="str">
        <f t="shared" si="30"/>
        <v>存在しない</v>
      </c>
      <c r="N2778" s="1" t="s">
        <v>29</v>
      </c>
      <c r="O2778" s="1"/>
      <c r="P2778" s="11"/>
      <c r="Q2778" s="11"/>
      <c r="R2778" s="11"/>
      <c r="S2778" s="11"/>
      <c r="T2778" s="1"/>
      <c r="U2778" s="1"/>
      <c r="V2778" s="1"/>
      <c r="W2778" s="1"/>
      <c r="X2778" s="1"/>
      <c r="Y2778" s="1"/>
      <c r="Z2778" s="1"/>
    </row>
    <row r="2779" ht="18.0" hidden="1" customHeight="1" outlineLevel="2">
      <c r="A2779" s="1">
        <v>7.0</v>
      </c>
      <c r="B2779" s="1"/>
      <c r="C2779" s="1"/>
      <c r="D2779" s="1"/>
      <c r="E2779" s="14"/>
      <c r="F2779" s="15"/>
      <c r="G2779" s="16"/>
      <c r="H2779" s="11"/>
      <c r="I2779" s="7"/>
      <c r="J2779" s="7" t="str">
        <f>IFERROR(LET(_xlpm.v,
VLOOKUP($I2779,'用語辞書'!$A:$B,COLUMN('用語辞書'!B$1),FALSE),
IF(_xlpm.v=0,"",_xlpm.v)
),"")</f>
        <v/>
      </c>
      <c r="K2779" s="17"/>
      <c r="L2779" s="17" t="str">
        <f>IF(OR(COUNTIF('クラス'!$A$1:$A$1267,$B2779)&gt;0,$B2779="",$M2779=""),"",True)</f>
        <v/>
      </c>
      <c r="M2779" s="1" t="str">
        <f t="shared" si="30"/>
        <v>存在しない</v>
      </c>
      <c r="N2779" s="1" t="s">
        <v>29</v>
      </c>
      <c r="O2779" s="1"/>
      <c r="P2779" s="11"/>
      <c r="Q2779" s="11"/>
      <c r="R2779" s="11"/>
      <c r="S2779" s="11"/>
      <c r="T2779" s="1"/>
      <c r="U2779" s="1"/>
      <c r="V2779" s="1"/>
      <c r="W2779" s="1"/>
      <c r="X2779" s="1"/>
      <c r="Y2779" s="1"/>
      <c r="Z2779" s="1"/>
    </row>
    <row r="2780" ht="18.0" hidden="1" customHeight="1" outlineLevel="2">
      <c r="A2780" s="1">
        <v>8.0</v>
      </c>
      <c r="B2780" s="1"/>
      <c r="C2780" s="1"/>
      <c r="D2780" s="1"/>
      <c r="E2780" s="14"/>
      <c r="F2780" s="15"/>
      <c r="G2780" s="16"/>
      <c r="H2780" s="11"/>
      <c r="I2780" s="7"/>
      <c r="J2780" s="7" t="str">
        <f>IFERROR(LET(_xlpm.v,
VLOOKUP($I2780,'用語辞書'!$A:$B,COLUMN('用語辞書'!B$1),FALSE),
IF(_xlpm.v=0,"",_xlpm.v)
),"")</f>
        <v/>
      </c>
      <c r="K2780" s="17"/>
      <c r="L2780" s="17" t="str">
        <f>IF(OR(COUNTIF('クラス'!$A$1:$A$1267,$B2780)&gt;0,$B2780="",$M2780=""),"",True)</f>
        <v/>
      </c>
      <c r="M2780" s="1" t="str">
        <f t="shared" si="30"/>
        <v>存在しない</v>
      </c>
      <c r="N2780" s="1" t="s">
        <v>29</v>
      </c>
      <c r="O2780" s="1"/>
      <c r="P2780" s="11"/>
      <c r="Q2780" s="11"/>
      <c r="R2780" s="11"/>
      <c r="S2780" s="11"/>
      <c r="T2780" s="1"/>
      <c r="U2780" s="1"/>
      <c r="V2780" s="1"/>
      <c r="W2780" s="1"/>
      <c r="X2780" s="1"/>
      <c r="Y2780" s="1"/>
      <c r="Z2780" s="1"/>
    </row>
    <row r="2781" ht="18.0" hidden="1" customHeight="1" outlineLevel="2">
      <c r="A2781" s="1">
        <v>9.0</v>
      </c>
      <c r="B2781" s="1"/>
      <c r="C2781" s="1"/>
      <c r="D2781" s="1"/>
      <c r="E2781" s="14"/>
      <c r="F2781" s="15"/>
      <c r="G2781" s="16"/>
      <c r="H2781" s="11"/>
      <c r="I2781" s="7"/>
      <c r="J2781" s="7" t="str">
        <f>IFERROR(LET(_xlpm.v,
VLOOKUP($I2781,'用語辞書'!$A:$B,COLUMN('用語辞書'!B$1),FALSE),
IF(_xlpm.v=0,"",_xlpm.v)
),"")</f>
        <v/>
      </c>
      <c r="K2781" s="17"/>
      <c r="L2781" s="17" t="str">
        <f>IF(OR(COUNTIF('クラス'!$A$1:$A$1267,$B2781)&gt;0,$B2781="",$M2781=""),"",True)</f>
        <v/>
      </c>
      <c r="M2781" s="1" t="str">
        <f t="shared" si="30"/>
        <v>存在しない</v>
      </c>
      <c r="N2781" s="1" t="s">
        <v>29</v>
      </c>
      <c r="O2781" s="1"/>
      <c r="P2781" s="11"/>
      <c r="Q2781" s="11"/>
      <c r="R2781" s="11"/>
      <c r="S2781" s="11"/>
      <c r="T2781" s="1"/>
      <c r="U2781" s="1"/>
      <c r="V2781" s="1"/>
      <c r="W2781" s="1"/>
      <c r="X2781" s="1"/>
      <c r="Y2781" s="1"/>
      <c r="Z2781" s="1"/>
    </row>
    <row r="2782" ht="18.0" hidden="1" customHeight="1" outlineLevel="2">
      <c r="A2782" s="1">
        <v>10.0</v>
      </c>
      <c r="B2782" s="1"/>
      <c r="C2782" s="1"/>
      <c r="D2782" s="1"/>
      <c r="E2782" s="14"/>
      <c r="F2782" s="15"/>
      <c r="G2782" s="16"/>
      <c r="H2782" s="11"/>
      <c r="I2782" s="7"/>
      <c r="J2782" s="7" t="str">
        <f>IFERROR(LET(_xlpm.v,
VLOOKUP($I2782,'用語辞書'!$A:$B,COLUMN('用語辞書'!B$1),FALSE),
IF(_xlpm.v=0,"",_xlpm.v)
),"")</f>
        <v/>
      </c>
      <c r="K2782" s="17"/>
      <c r="L2782" s="17" t="str">
        <f>IF(OR(COUNTIF('クラス'!$A$1:$A$1267,$B2782)&gt;0,$B2782="",$M2782=""),"",True)</f>
        <v/>
      </c>
      <c r="M2782" s="1" t="str">
        <f t="shared" si="30"/>
        <v>存在しない</v>
      </c>
      <c r="N2782" s="1" t="s">
        <v>29</v>
      </c>
      <c r="O2782" s="1"/>
      <c r="P2782" s="11"/>
      <c r="Q2782" s="11"/>
      <c r="R2782" s="11"/>
      <c r="S2782" s="11"/>
      <c r="T2782" s="1"/>
      <c r="U2782" s="1"/>
      <c r="V2782" s="1"/>
      <c r="W2782" s="1"/>
      <c r="X2782" s="1"/>
      <c r="Y2782" s="1"/>
      <c r="Z2782" s="1"/>
    </row>
    <row r="2783" ht="18.0" customHeight="1" outlineLevel="1" collapsed="1">
      <c r="A2783" s="1"/>
      <c r="B2783" s="1"/>
      <c r="C2783" s="1"/>
      <c r="D2783" s="1"/>
      <c r="E2783" s="14"/>
      <c r="F2783" s="15"/>
      <c r="G2783" s="16"/>
      <c r="H2783" s="11"/>
      <c r="I2783" s="7"/>
      <c r="J2783" s="7" t="str">
        <f>IFERROR(LET(_xlpm.v,
VLOOKUP($I2783,'用語辞書'!$A:$B,COLUMN('用語辞書'!B$1),FALSE),
IF(_xlpm.v=0,"",_xlpm.v)
),"")</f>
        <v/>
      </c>
      <c r="K2783" s="17"/>
      <c r="L2783" s="17" t="str">
        <f>IF(OR(COUNTIF('クラス'!$A$1:$A$1267,$B2783)&gt;0,$B2783="",$M2783=""),"",True)</f>
        <v/>
      </c>
      <c r="M2783" s="1" t="str">
        <f t="shared" si="30"/>
        <v>存在しない</v>
      </c>
      <c r="N2783" s="1" t="s">
        <v>29</v>
      </c>
      <c r="O2783" s="1"/>
      <c r="P2783" s="11"/>
      <c r="Q2783" s="11"/>
      <c r="R2783" s="11"/>
      <c r="S2783" s="11"/>
      <c r="T2783" s="1"/>
      <c r="U2783" s="1"/>
      <c r="V2783" s="1"/>
      <c r="W2783" s="1"/>
      <c r="X2783" s="1"/>
      <c r="Y2783" s="1"/>
      <c r="Z2783" s="1"/>
    </row>
    <row r="2784" ht="18.0" customHeight="1" outlineLevel="1">
      <c r="A2784" s="1"/>
      <c r="B2784" s="26" t="s">
        <v>2503</v>
      </c>
      <c r="C2784" s="1"/>
      <c r="D2784" s="1"/>
      <c r="E2784" s="14"/>
      <c r="F2784" s="15"/>
      <c r="G2784" s="16"/>
      <c r="H2784" s="11"/>
      <c r="I2784" s="7"/>
      <c r="J2784" s="7" t="str">
        <f>IFERROR(LET(_xlpm.v,
VLOOKUP($I2784,'用語辞書'!$A:$B,COLUMN('用語辞書'!B$1),FALSE),
IF(_xlpm.v=0,"",_xlpm.v)
),"")</f>
        <v/>
      </c>
      <c r="K2784" s="17"/>
      <c r="L2784" s="17" t="str">
        <f>IF(OR(COUNTIF('クラス'!$A$1:$A$1267,$B2784)&gt;0,$B2784="",$M2784=""),"",True)</f>
        <v/>
      </c>
      <c r="M2784" s="1" t="str">
        <f t="shared" si="30"/>
        <v>存在しない</v>
      </c>
      <c r="N2784" s="1" t="s">
        <v>29</v>
      </c>
      <c r="O2784" s="1"/>
      <c r="P2784" s="11"/>
      <c r="Q2784" s="11"/>
      <c r="R2784" s="11"/>
      <c r="S2784" s="11"/>
      <c r="T2784" s="1"/>
      <c r="U2784" s="1"/>
      <c r="V2784" s="1"/>
      <c r="W2784" s="1"/>
      <c r="X2784" s="1"/>
      <c r="Y2784" s="1"/>
      <c r="Z2784" s="1"/>
    </row>
    <row r="2785" ht="18.0" hidden="1" customHeight="1" outlineLevel="2">
      <c r="A2785" s="1">
        <v>1.0</v>
      </c>
      <c r="B2785" s="1"/>
      <c r="C2785" s="1"/>
      <c r="D2785" s="1"/>
      <c r="E2785" s="14"/>
      <c r="F2785" s="15"/>
      <c r="G2785" s="16"/>
      <c r="H2785" s="11"/>
      <c r="I2785" s="7"/>
      <c r="J2785" s="7" t="str">
        <f>IFERROR(LET(_xlpm.v,
VLOOKUP($I2785,'用語辞書'!$A:$B,COLUMN('用語辞書'!B$1),FALSE),
IF(_xlpm.v=0,"",_xlpm.v)
),"")</f>
        <v/>
      </c>
      <c r="K2785" s="17"/>
      <c r="L2785" s="17" t="str">
        <f>IF(OR(COUNTIF('クラス'!$A$1:$A$1267,$B2785)&gt;0,$B2785="",$M2785=""),"",True)</f>
        <v/>
      </c>
      <c r="M2785" s="1" t="str">
        <f t="shared" si="30"/>
        <v>存在しない</v>
      </c>
      <c r="N2785" s="1" t="s">
        <v>29</v>
      </c>
      <c r="O2785" s="1"/>
      <c r="P2785" s="11"/>
      <c r="Q2785" s="11"/>
      <c r="R2785" s="11"/>
      <c r="S2785" s="11"/>
      <c r="T2785" s="1"/>
      <c r="U2785" s="1"/>
      <c r="V2785" s="1"/>
      <c r="W2785" s="1"/>
      <c r="X2785" s="1"/>
      <c r="Y2785" s="1"/>
      <c r="Z2785" s="1"/>
    </row>
    <row r="2786" ht="18.0" hidden="1" customHeight="1" outlineLevel="2">
      <c r="A2786" s="1">
        <v>2.0</v>
      </c>
      <c r="B2786" s="1"/>
      <c r="C2786" s="1"/>
      <c r="D2786" s="1"/>
      <c r="E2786" s="14"/>
      <c r="F2786" s="15"/>
      <c r="G2786" s="16"/>
      <c r="H2786" s="11"/>
      <c r="I2786" s="7"/>
      <c r="J2786" s="7" t="str">
        <f>IFERROR(LET(_xlpm.v,
VLOOKUP($I2786,'用語辞書'!$A:$B,COLUMN('用語辞書'!B$1),FALSE),
IF(_xlpm.v=0,"",_xlpm.v)
),"")</f>
        <v/>
      </c>
      <c r="K2786" s="17"/>
      <c r="L2786" s="17" t="str">
        <f>IF(OR(COUNTIF('クラス'!$A$1:$A$1267,$B2786)&gt;0,$B2786="",$M2786=""),"",True)</f>
        <v/>
      </c>
      <c r="M2786" s="1" t="str">
        <f t="shared" si="30"/>
        <v>存在しない</v>
      </c>
      <c r="N2786" s="1" t="s">
        <v>29</v>
      </c>
      <c r="O2786" s="1"/>
      <c r="P2786" s="11"/>
      <c r="Q2786" s="11"/>
      <c r="R2786" s="11"/>
      <c r="S2786" s="11"/>
      <c r="T2786" s="1"/>
      <c r="U2786" s="1"/>
      <c r="V2786" s="1"/>
      <c r="W2786" s="1"/>
      <c r="X2786" s="1"/>
      <c r="Y2786" s="1"/>
      <c r="Z2786" s="1"/>
    </row>
    <row r="2787" ht="18.0" hidden="1" customHeight="1" outlineLevel="2">
      <c r="A2787" s="1">
        <v>3.0</v>
      </c>
      <c r="B2787" s="1"/>
      <c r="C2787" s="1"/>
      <c r="D2787" s="1"/>
      <c r="E2787" s="14"/>
      <c r="F2787" s="15"/>
      <c r="G2787" s="16"/>
      <c r="H2787" s="11"/>
      <c r="I2787" s="7"/>
      <c r="J2787" s="7" t="str">
        <f>IFERROR(LET(_xlpm.v,
VLOOKUP($I2787,'用語辞書'!$A:$B,COLUMN('用語辞書'!B$1),FALSE),
IF(_xlpm.v=0,"",_xlpm.v)
),"")</f>
        <v/>
      </c>
      <c r="K2787" s="17"/>
      <c r="L2787" s="17" t="str">
        <f>IF(OR(COUNTIF('クラス'!$A$1:$A$1267,$B2787)&gt;0,$B2787="",$M2787=""),"",True)</f>
        <v/>
      </c>
      <c r="M2787" s="1" t="str">
        <f t="shared" si="30"/>
        <v>存在しない</v>
      </c>
      <c r="N2787" s="1" t="s">
        <v>29</v>
      </c>
      <c r="O2787" s="1"/>
      <c r="P2787" s="11"/>
      <c r="Q2787" s="11"/>
      <c r="R2787" s="11"/>
      <c r="S2787" s="11"/>
      <c r="T2787" s="1"/>
      <c r="U2787" s="1"/>
      <c r="V2787" s="1"/>
      <c r="W2787" s="1"/>
      <c r="X2787" s="1"/>
      <c r="Y2787" s="1"/>
      <c r="Z2787" s="1"/>
    </row>
    <row r="2788" ht="18.0" hidden="1" customHeight="1" outlineLevel="2">
      <c r="A2788" s="1">
        <v>4.0</v>
      </c>
      <c r="B2788" s="1"/>
      <c r="C2788" s="1"/>
      <c r="D2788" s="1"/>
      <c r="E2788" s="14"/>
      <c r="F2788" s="15"/>
      <c r="G2788" s="16"/>
      <c r="H2788" s="11"/>
      <c r="I2788" s="7"/>
      <c r="J2788" s="7" t="str">
        <f>IFERROR(LET(_xlpm.v,
VLOOKUP($I2788,'用語辞書'!$A:$B,COLUMN('用語辞書'!B$1),FALSE),
IF(_xlpm.v=0,"",_xlpm.v)
),"")</f>
        <v/>
      </c>
      <c r="K2788" s="17"/>
      <c r="L2788" s="17" t="str">
        <f>IF(OR(COUNTIF('クラス'!$A$1:$A$1267,$B2788)&gt;0,$B2788="",$M2788=""),"",True)</f>
        <v/>
      </c>
      <c r="M2788" s="1" t="str">
        <f t="shared" si="30"/>
        <v>存在しない</v>
      </c>
      <c r="N2788" s="1" t="s">
        <v>29</v>
      </c>
      <c r="O2788" s="1"/>
      <c r="P2788" s="11"/>
      <c r="Q2788" s="11"/>
      <c r="R2788" s="11"/>
      <c r="S2788" s="11"/>
      <c r="T2788" s="1"/>
      <c r="U2788" s="1"/>
      <c r="V2788" s="1"/>
      <c r="W2788" s="1"/>
      <c r="X2788" s="1"/>
      <c r="Y2788" s="1"/>
      <c r="Z2788" s="1"/>
    </row>
    <row r="2789" ht="18.0" hidden="1" customHeight="1" outlineLevel="2">
      <c r="A2789" s="1">
        <v>5.0</v>
      </c>
      <c r="B2789" s="1"/>
      <c r="C2789" s="1"/>
      <c r="D2789" s="1"/>
      <c r="E2789" s="14"/>
      <c r="F2789" s="15"/>
      <c r="G2789" s="16"/>
      <c r="H2789" s="11"/>
      <c r="I2789" s="7"/>
      <c r="J2789" s="7" t="str">
        <f>IFERROR(LET(_xlpm.v,
VLOOKUP($I2789,'用語辞書'!$A:$B,COLUMN('用語辞書'!B$1),FALSE),
IF(_xlpm.v=0,"",_xlpm.v)
),"")</f>
        <v/>
      </c>
      <c r="K2789" s="17"/>
      <c r="L2789" s="17" t="str">
        <f>IF(OR(COUNTIF('クラス'!$A$1:$A$1267,$B2789)&gt;0,$B2789="",$M2789=""),"",True)</f>
        <v/>
      </c>
      <c r="M2789" s="1" t="str">
        <f t="shared" si="30"/>
        <v>存在しない</v>
      </c>
      <c r="N2789" s="1" t="s">
        <v>29</v>
      </c>
      <c r="O2789" s="1"/>
      <c r="P2789" s="11"/>
      <c r="Q2789" s="11"/>
      <c r="R2789" s="11"/>
      <c r="S2789" s="11"/>
      <c r="T2789" s="1"/>
      <c r="U2789" s="1"/>
      <c r="V2789" s="1"/>
      <c r="W2789" s="1"/>
      <c r="X2789" s="1"/>
      <c r="Y2789" s="1"/>
      <c r="Z2789" s="1"/>
    </row>
    <row r="2790" ht="18.0" hidden="1" customHeight="1" outlineLevel="2">
      <c r="A2790" s="1">
        <v>6.0</v>
      </c>
      <c r="B2790" s="1"/>
      <c r="C2790" s="1"/>
      <c r="D2790" s="1"/>
      <c r="E2790" s="14"/>
      <c r="F2790" s="15"/>
      <c r="G2790" s="16"/>
      <c r="H2790" s="11"/>
      <c r="I2790" s="7"/>
      <c r="J2790" s="7" t="str">
        <f>IFERROR(LET(_xlpm.v,
VLOOKUP($I2790,'用語辞書'!$A:$B,COLUMN('用語辞書'!B$1),FALSE),
IF(_xlpm.v=0,"",_xlpm.v)
),"")</f>
        <v/>
      </c>
      <c r="K2790" s="17"/>
      <c r="L2790" s="17" t="str">
        <f>IF(OR(COUNTIF('クラス'!$A$1:$A$1267,$B2790)&gt;0,$B2790="",$M2790=""),"",True)</f>
        <v/>
      </c>
      <c r="M2790" s="1" t="str">
        <f t="shared" si="30"/>
        <v>存在しない</v>
      </c>
      <c r="N2790" s="1" t="s">
        <v>29</v>
      </c>
      <c r="O2790" s="1"/>
      <c r="P2790" s="11"/>
      <c r="Q2790" s="11"/>
      <c r="R2790" s="11"/>
      <c r="S2790" s="11"/>
      <c r="T2790" s="1"/>
      <c r="U2790" s="1"/>
      <c r="V2790" s="1"/>
      <c r="W2790" s="1"/>
      <c r="X2790" s="1"/>
      <c r="Y2790" s="1"/>
      <c r="Z2790" s="1"/>
    </row>
    <row r="2791" ht="18.0" hidden="1" customHeight="1" outlineLevel="2">
      <c r="A2791" s="1">
        <v>7.0</v>
      </c>
      <c r="B2791" s="1"/>
      <c r="C2791" s="1"/>
      <c r="D2791" s="1"/>
      <c r="E2791" s="14"/>
      <c r="F2791" s="15"/>
      <c r="G2791" s="16"/>
      <c r="H2791" s="11"/>
      <c r="I2791" s="7"/>
      <c r="J2791" s="7" t="str">
        <f>IFERROR(LET(_xlpm.v,
VLOOKUP($I2791,'用語辞書'!$A:$B,COLUMN('用語辞書'!B$1),FALSE),
IF(_xlpm.v=0,"",_xlpm.v)
),"")</f>
        <v/>
      </c>
      <c r="K2791" s="17"/>
      <c r="L2791" s="17" t="str">
        <f>IF(OR(COUNTIF('クラス'!$A$1:$A$1267,$B2791)&gt;0,$B2791="",$M2791=""),"",True)</f>
        <v/>
      </c>
      <c r="M2791" s="1" t="str">
        <f t="shared" si="30"/>
        <v>存在しない</v>
      </c>
      <c r="N2791" s="1" t="s">
        <v>29</v>
      </c>
      <c r="O2791" s="1"/>
      <c r="P2791" s="11"/>
      <c r="Q2791" s="11"/>
      <c r="R2791" s="11"/>
      <c r="S2791" s="11"/>
      <c r="T2791" s="1"/>
      <c r="U2791" s="1"/>
      <c r="V2791" s="1"/>
      <c r="W2791" s="1"/>
      <c r="X2791" s="1"/>
      <c r="Y2791" s="1"/>
      <c r="Z2791" s="1"/>
    </row>
    <row r="2792" ht="18.0" hidden="1" customHeight="1" outlineLevel="2">
      <c r="A2792" s="1">
        <v>8.0</v>
      </c>
      <c r="B2792" s="1"/>
      <c r="C2792" s="1"/>
      <c r="D2792" s="1"/>
      <c r="E2792" s="14"/>
      <c r="F2792" s="15"/>
      <c r="G2792" s="16"/>
      <c r="H2792" s="11"/>
      <c r="I2792" s="7"/>
      <c r="J2792" s="7" t="str">
        <f>IFERROR(LET(_xlpm.v,
VLOOKUP($I2792,'用語辞書'!$A:$B,COLUMN('用語辞書'!B$1),FALSE),
IF(_xlpm.v=0,"",_xlpm.v)
),"")</f>
        <v/>
      </c>
      <c r="K2792" s="17"/>
      <c r="L2792" s="17" t="str">
        <f>IF(OR(COUNTIF('クラス'!$A$1:$A$1267,$B2792)&gt;0,$B2792="",$M2792=""),"",True)</f>
        <v/>
      </c>
      <c r="M2792" s="1" t="str">
        <f t="shared" si="30"/>
        <v>存在しない</v>
      </c>
      <c r="N2792" s="1" t="s">
        <v>29</v>
      </c>
      <c r="O2792" s="1"/>
      <c r="P2792" s="11"/>
      <c r="Q2792" s="11"/>
      <c r="R2792" s="11"/>
      <c r="S2792" s="11"/>
      <c r="T2792" s="1"/>
      <c r="U2792" s="1"/>
      <c r="V2792" s="1"/>
      <c r="W2792" s="1"/>
      <c r="X2792" s="1"/>
      <c r="Y2792" s="1"/>
      <c r="Z2792" s="1"/>
    </row>
    <row r="2793" ht="18.0" hidden="1" customHeight="1" outlineLevel="2">
      <c r="A2793" s="1">
        <v>9.0</v>
      </c>
      <c r="B2793" s="1"/>
      <c r="C2793" s="1"/>
      <c r="D2793" s="1"/>
      <c r="E2793" s="14"/>
      <c r="F2793" s="15"/>
      <c r="G2793" s="16"/>
      <c r="H2793" s="11"/>
      <c r="I2793" s="7"/>
      <c r="J2793" s="7" t="str">
        <f>IFERROR(LET(_xlpm.v,
VLOOKUP($I2793,'用語辞書'!$A:$B,COLUMN('用語辞書'!B$1),FALSE),
IF(_xlpm.v=0,"",_xlpm.v)
),"")</f>
        <v/>
      </c>
      <c r="K2793" s="17"/>
      <c r="L2793" s="17" t="str">
        <f>IF(OR(COUNTIF('クラス'!$A$1:$A$1267,$B2793)&gt;0,$B2793="",$M2793=""),"",True)</f>
        <v/>
      </c>
      <c r="M2793" s="1" t="str">
        <f t="shared" si="30"/>
        <v>存在しない</v>
      </c>
      <c r="N2793" s="1" t="s">
        <v>29</v>
      </c>
      <c r="O2793" s="1"/>
      <c r="P2793" s="11"/>
      <c r="Q2793" s="11"/>
      <c r="R2793" s="11"/>
      <c r="S2793" s="11"/>
      <c r="T2793" s="1"/>
      <c r="U2793" s="1"/>
      <c r="V2793" s="1"/>
      <c r="W2793" s="1"/>
      <c r="X2793" s="1"/>
      <c r="Y2793" s="1"/>
      <c r="Z2793" s="1"/>
    </row>
    <row r="2794" ht="18.0" hidden="1" customHeight="1" outlineLevel="2">
      <c r="A2794" s="1">
        <v>10.0</v>
      </c>
      <c r="B2794" s="1"/>
      <c r="C2794" s="1"/>
      <c r="D2794" s="1"/>
      <c r="E2794" s="14"/>
      <c r="F2794" s="15"/>
      <c r="G2794" s="16"/>
      <c r="H2794" s="11"/>
      <c r="I2794" s="7"/>
      <c r="J2794" s="7" t="str">
        <f>IFERROR(LET(_xlpm.v,
VLOOKUP($I2794,'用語辞書'!$A:$B,COLUMN('用語辞書'!B$1),FALSE),
IF(_xlpm.v=0,"",_xlpm.v)
),"")</f>
        <v/>
      </c>
      <c r="K2794" s="17"/>
      <c r="L2794" s="17" t="str">
        <f>IF(OR(COUNTIF('クラス'!$A$1:$A$1267,$B2794)&gt;0,$B2794="",$M2794=""),"",True)</f>
        <v/>
      </c>
      <c r="M2794" s="1" t="str">
        <f t="shared" si="30"/>
        <v>存在しない</v>
      </c>
      <c r="N2794" s="1" t="s">
        <v>29</v>
      </c>
      <c r="O2794" s="1"/>
      <c r="P2794" s="11"/>
      <c r="Q2794" s="11"/>
      <c r="R2794" s="11"/>
      <c r="S2794" s="11"/>
      <c r="T2794" s="1"/>
      <c r="U2794" s="1"/>
      <c r="V2794" s="1"/>
      <c r="W2794" s="1"/>
      <c r="X2794" s="1"/>
      <c r="Y2794" s="1"/>
      <c r="Z2794" s="1"/>
    </row>
    <row r="2795" ht="18.0" customHeight="1" collapsed="1">
      <c r="A2795" s="1"/>
      <c r="B2795" s="1"/>
      <c r="C2795" s="26" t="s">
        <v>2504</v>
      </c>
      <c r="D2795" s="1"/>
      <c r="E2795" s="14"/>
      <c r="F2795" s="15"/>
      <c r="G2795" s="16"/>
      <c r="H2795" s="11"/>
      <c r="I2795" s="7"/>
      <c r="J2795" s="7" t="str">
        <f>IFERROR(LET(_xlpm.v,
VLOOKUP($I2795,'用語辞書'!$A:$B,COLUMN('用語辞書'!B$1),FALSE),
IF(_xlpm.v=0,"",_xlpm.v)
),"")</f>
        <v/>
      </c>
      <c r="K2795" s="17"/>
      <c r="L2795" s="17" t="str">
        <f>IF(OR(COUNTIF('クラス'!$A$1:$A$1267,$B2795)&gt;0,$B2795="",$M2795=""),"",True)</f>
        <v/>
      </c>
      <c r="M2795" s="1" t="str">
        <f t="shared" si="30"/>
        <v>存在しない</v>
      </c>
      <c r="N2795" s="1" t="s">
        <v>29</v>
      </c>
      <c r="O2795" s="1"/>
      <c r="P2795" s="11"/>
      <c r="Q2795" s="11"/>
      <c r="R2795" s="11"/>
      <c r="S2795" s="11"/>
      <c r="T2795" s="1"/>
      <c r="U2795" s="1"/>
      <c r="V2795" s="1"/>
      <c r="W2795" s="1"/>
      <c r="X2795" s="1"/>
      <c r="Y2795" s="1"/>
      <c r="Z2795" s="1"/>
    </row>
    <row r="2796" ht="18.0" customHeight="1">
      <c r="A2796" s="1"/>
      <c r="B2796" s="26" t="s">
        <v>2505</v>
      </c>
      <c r="C2796" s="1"/>
      <c r="D2796" s="1"/>
      <c r="E2796" s="14"/>
      <c r="F2796" s="15"/>
      <c r="G2796" s="16"/>
      <c r="H2796" s="11"/>
      <c r="I2796" s="7"/>
      <c r="J2796" s="7" t="str">
        <f>IFERROR(LET(_xlpm.v,
VLOOKUP($I2796,'用語辞書'!$A:$B,COLUMN('用語辞書'!B$1),FALSE),
IF(_xlpm.v=0,"",_xlpm.v)
),"")</f>
        <v/>
      </c>
      <c r="K2796" s="17"/>
      <c r="L2796" s="17" t="str">
        <f>IF(OR(COUNTIF('クラス'!$A$1:$A$1267,$B2796)&gt;0,$B2796="",$M2796=""),"",True)</f>
        <v/>
      </c>
      <c r="M2796" s="1" t="str">
        <f t="shared" si="30"/>
        <v>存在しない</v>
      </c>
      <c r="N2796" s="1" t="s">
        <v>29</v>
      </c>
      <c r="O2796" s="1"/>
      <c r="P2796" s="11"/>
      <c r="Q2796" s="11"/>
      <c r="R2796" s="11"/>
      <c r="S2796" s="11"/>
      <c r="T2796" s="1"/>
      <c r="U2796" s="1"/>
      <c r="V2796" s="1"/>
      <c r="W2796" s="1"/>
      <c r="X2796" s="1"/>
      <c r="Y2796" s="1"/>
      <c r="Z2796" s="1"/>
    </row>
    <row r="2797" ht="18.0" hidden="1" customHeight="1" outlineLevel="1">
      <c r="A2797" s="1">
        <v>1.0</v>
      </c>
      <c r="B2797" s="26" t="s">
        <v>902</v>
      </c>
      <c r="C2797" s="1"/>
      <c r="D2797" s="1"/>
      <c r="E2797" s="14"/>
      <c r="F2797" s="15"/>
      <c r="G2797" s="16"/>
      <c r="H2797" s="11"/>
      <c r="I2797" s="7"/>
      <c r="J2797" s="7" t="str">
        <f>IFERROR(LET(_xlpm.v,
VLOOKUP($I2797,'用語辞書'!$A:$B,COLUMN('用語辞書'!B$1),FALSE),
IF(_xlpm.v=0,"",_xlpm.v)
),"")</f>
        <v/>
      </c>
      <c r="K2797" s="17"/>
      <c r="L2797" s="17" t="str">
        <f>IF(OR(COUNTIF('クラス'!$A$1:$A$1267,$B2797)&gt;0,$B2797="",$M2797=""),"",True)</f>
        <v/>
      </c>
      <c r="M2797" s="1" t="str">
        <f t="shared" si="30"/>
        <v/>
      </c>
      <c r="N2797" s="1" t="s">
        <v>29</v>
      </c>
      <c r="O2797" s="1"/>
      <c r="P2797" s="11"/>
      <c r="Q2797" s="11"/>
      <c r="R2797" s="11"/>
      <c r="S2797" s="11"/>
      <c r="T2797" s="1"/>
      <c r="U2797" s="1"/>
      <c r="V2797" s="1"/>
      <c r="W2797" s="1"/>
      <c r="X2797" s="1"/>
      <c r="Y2797" s="1"/>
      <c r="Z2797" s="1"/>
    </row>
    <row r="2798" ht="18.0" hidden="1" customHeight="1" outlineLevel="1">
      <c r="A2798" s="1">
        <v>2.0</v>
      </c>
      <c r="B2798" s="26" t="s">
        <v>465</v>
      </c>
      <c r="C2798" s="1"/>
      <c r="D2798" s="1"/>
      <c r="E2798" s="14"/>
      <c r="F2798" s="15"/>
      <c r="G2798" s="16"/>
      <c r="H2798" s="11"/>
      <c r="I2798" s="7"/>
      <c r="J2798" s="7" t="str">
        <f>IFERROR(LET(_xlpm.v,
VLOOKUP($I2798,'用語辞書'!$A:$B,COLUMN('用語辞書'!B$1),FALSE),
IF(_xlpm.v=0,"",_xlpm.v)
),"")</f>
        <v/>
      </c>
      <c r="K2798" s="17"/>
      <c r="L2798" s="17" t="str">
        <f>IF(OR(COUNTIF('クラス'!$A$1:$A$1267,$B2798)&gt;0,$B2798="",$M2798=""),"",True)</f>
        <v/>
      </c>
      <c r="M2798" s="1" t="str">
        <f t="shared" si="30"/>
        <v/>
      </c>
      <c r="N2798" s="1" t="s">
        <v>29</v>
      </c>
      <c r="O2798" s="1"/>
      <c r="P2798" s="11"/>
      <c r="Q2798" s="11"/>
      <c r="R2798" s="11"/>
      <c r="S2798" s="11"/>
      <c r="T2798" s="1"/>
      <c r="U2798" s="1"/>
      <c r="V2798" s="1"/>
      <c r="W2798" s="1"/>
      <c r="X2798" s="1"/>
      <c r="Y2798" s="1"/>
      <c r="Z2798" s="1"/>
    </row>
    <row r="2799" ht="18.0" hidden="1" customHeight="1" outlineLevel="1">
      <c r="A2799" s="1">
        <v>3.0</v>
      </c>
      <c r="B2799" s="26" t="s">
        <v>1186</v>
      </c>
      <c r="C2799" s="1"/>
      <c r="D2799" s="1"/>
      <c r="E2799" s="14"/>
      <c r="F2799" s="15"/>
      <c r="G2799" s="16"/>
      <c r="H2799" s="11"/>
      <c r="I2799" s="7"/>
      <c r="J2799" s="7" t="str">
        <f>IFERROR(LET(_xlpm.v,
VLOOKUP($I2799,'用語辞書'!$A:$B,COLUMN('用語辞書'!B$1),FALSE),
IF(_xlpm.v=0,"",_xlpm.v)
),"")</f>
        <v/>
      </c>
      <c r="K2799" s="17"/>
      <c r="L2799" s="17" t="str">
        <f>IF(OR(COUNTIF('クラス'!$A$1:$A$1267,$B2799)&gt;0,$B2799="",$M2799=""),"",True)</f>
        <v/>
      </c>
      <c r="M2799" s="1" t="str">
        <f t="shared" si="30"/>
        <v/>
      </c>
      <c r="N2799" s="1" t="s">
        <v>29</v>
      </c>
      <c r="O2799" s="1"/>
      <c r="P2799" s="11"/>
      <c r="Q2799" s="11"/>
      <c r="R2799" s="11"/>
      <c r="S2799" s="11"/>
      <c r="T2799" s="1"/>
      <c r="U2799" s="1"/>
      <c r="V2799" s="1"/>
      <c r="W2799" s="1"/>
      <c r="X2799" s="1"/>
      <c r="Y2799" s="1"/>
      <c r="Z2799" s="1"/>
    </row>
    <row r="2800" ht="18.0" hidden="1" customHeight="1" outlineLevel="1">
      <c r="A2800" s="1">
        <v>4.0</v>
      </c>
      <c r="B2800" s="26" t="s">
        <v>978</v>
      </c>
      <c r="C2800" s="1"/>
      <c r="D2800" s="1"/>
      <c r="E2800" s="14"/>
      <c r="F2800" s="15"/>
      <c r="G2800" s="16"/>
      <c r="H2800" s="11"/>
      <c r="I2800" s="7"/>
      <c r="J2800" s="7" t="str">
        <f>IFERROR(LET(_xlpm.v,
VLOOKUP($I2800,'用語辞書'!$A:$B,COLUMN('用語辞書'!B$1),FALSE),
IF(_xlpm.v=0,"",_xlpm.v)
),"")</f>
        <v/>
      </c>
      <c r="K2800" s="17"/>
      <c r="L2800" s="17" t="str">
        <f>IF(OR(COUNTIF('クラス'!$A$1:$A$1267,$B2800)&gt;0,$B2800="",$M2800=""),"",True)</f>
        <v/>
      </c>
      <c r="M2800" s="1" t="str">
        <f t="shared" si="30"/>
        <v/>
      </c>
      <c r="N2800" s="1" t="s">
        <v>29</v>
      </c>
      <c r="O2800" s="1"/>
      <c r="P2800" s="11"/>
      <c r="Q2800" s="11"/>
      <c r="R2800" s="11"/>
      <c r="S2800" s="11"/>
      <c r="T2800" s="1"/>
      <c r="U2800" s="1"/>
      <c r="V2800" s="1"/>
      <c r="W2800" s="1"/>
      <c r="X2800" s="1"/>
      <c r="Y2800" s="1"/>
      <c r="Z2800" s="1"/>
    </row>
    <row r="2801" ht="18.0" hidden="1" customHeight="1" outlineLevel="1">
      <c r="A2801" s="1">
        <v>5.0</v>
      </c>
      <c r="B2801" s="26" t="s">
        <v>904</v>
      </c>
      <c r="C2801" s="1"/>
      <c r="D2801" s="1"/>
      <c r="E2801" s="14"/>
      <c r="F2801" s="15"/>
      <c r="G2801" s="16"/>
      <c r="H2801" s="11"/>
      <c r="I2801" s="7"/>
      <c r="J2801" s="7" t="str">
        <f>IFERROR(LET(_xlpm.v,
VLOOKUP($I2801,'用語辞書'!$A:$B,COLUMN('用語辞書'!B$1),FALSE),
IF(_xlpm.v=0,"",_xlpm.v)
),"")</f>
        <v/>
      </c>
      <c r="K2801" s="17"/>
      <c r="L2801" s="17" t="str">
        <f>IF(OR(COUNTIF('クラス'!$A$1:$A$1267,$B2801)&gt;0,$B2801="",$M2801=""),"",True)</f>
        <v/>
      </c>
      <c r="M2801" s="1" t="str">
        <f t="shared" si="30"/>
        <v/>
      </c>
      <c r="N2801" s="1" t="s">
        <v>29</v>
      </c>
      <c r="O2801" s="1"/>
      <c r="P2801" s="11"/>
      <c r="Q2801" s="11"/>
      <c r="R2801" s="11"/>
      <c r="S2801" s="11"/>
      <c r="T2801" s="1"/>
      <c r="U2801" s="1"/>
      <c r="V2801" s="1"/>
      <c r="W2801" s="1"/>
      <c r="X2801" s="1"/>
      <c r="Y2801" s="1"/>
      <c r="Z2801" s="1"/>
    </row>
    <row r="2802" ht="18.0" hidden="1" customHeight="1" outlineLevel="1">
      <c r="A2802" s="1">
        <v>6.0</v>
      </c>
      <c r="B2802" s="1"/>
      <c r="C2802" s="1"/>
      <c r="D2802" s="1"/>
      <c r="E2802" s="14"/>
      <c r="F2802" s="15"/>
      <c r="G2802" s="16"/>
      <c r="H2802" s="11"/>
      <c r="I2802" s="7"/>
      <c r="J2802" s="7" t="str">
        <f>IFERROR(LET(_xlpm.v,
VLOOKUP($I2802,'用語辞書'!$A:$B,COLUMN('用語辞書'!B$1),FALSE),
IF(_xlpm.v=0,"",_xlpm.v)
),"")</f>
        <v/>
      </c>
      <c r="K2802" s="17"/>
      <c r="L2802" s="17" t="str">
        <f>IF(OR(COUNTIF('クラス'!$A$1:$A$1267,$B2802)&gt;0,$B2802="",$M2802=""),"",True)</f>
        <v/>
      </c>
      <c r="M2802" s="1" t="str">
        <f t="shared" si="30"/>
        <v>存在しない</v>
      </c>
      <c r="N2802" s="1" t="s">
        <v>29</v>
      </c>
      <c r="O2802" s="1"/>
      <c r="P2802" s="11"/>
      <c r="Q2802" s="11"/>
      <c r="R2802" s="11"/>
      <c r="S2802" s="11"/>
      <c r="T2802" s="1"/>
      <c r="U2802" s="1"/>
      <c r="V2802" s="1"/>
      <c r="W2802" s="1"/>
      <c r="X2802" s="1"/>
      <c r="Y2802" s="1"/>
      <c r="Z2802" s="1"/>
    </row>
    <row r="2803" ht="18.0" hidden="1" customHeight="1" outlineLevel="1">
      <c r="A2803" s="1">
        <v>7.0</v>
      </c>
      <c r="B2803" s="26" t="s">
        <v>451</v>
      </c>
      <c r="C2803" s="1"/>
      <c r="D2803" s="1"/>
      <c r="E2803" s="14"/>
      <c r="F2803" s="15"/>
      <c r="G2803" s="16"/>
      <c r="H2803" s="11"/>
      <c r="I2803" s="7"/>
      <c r="J2803" s="7" t="str">
        <f>IFERROR(LET(_xlpm.v,
VLOOKUP($I2803,'用語辞書'!$A:$B,COLUMN('用語辞書'!B$1),FALSE),
IF(_xlpm.v=0,"",_xlpm.v)
),"")</f>
        <v/>
      </c>
      <c r="K2803" s="17"/>
      <c r="L2803" s="17" t="str">
        <f>IF(OR(COUNTIF('クラス'!$A$1:$A$1267,$B2803)&gt;0,$B2803="",$M2803=""),"",True)</f>
        <v/>
      </c>
      <c r="M2803" s="1" t="str">
        <f t="shared" si="30"/>
        <v/>
      </c>
      <c r="N2803" s="1" t="s">
        <v>29</v>
      </c>
      <c r="O2803" s="1"/>
      <c r="P2803" s="11"/>
      <c r="Q2803" s="11"/>
      <c r="R2803" s="11"/>
      <c r="S2803" s="11"/>
      <c r="T2803" s="1"/>
      <c r="U2803" s="1"/>
      <c r="V2803" s="1"/>
      <c r="W2803" s="1"/>
      <c r="X2803" s="1"/>
      <c r="Y2803" s="1"/>
      <c r="Z2803" s="1"/>
    </row>
    <row r="2804" ht="18.0" hidden="1" customHeight="1" outlineLevel="1">
      <c r="A2804" s="1">
        <v>8.0</v>
      </c>
      <c r="B2804" s="1"/>
      <c r="C2804" s="1"/>
      <c r="D2804" s="1"/>
      <c r="E2804" s="14"/>
      <c r="F2804" s="15"/>
      <c r="G2804" s="16"/>
      <c r="H2804" s="11"/>
      <c r="I2804" s="7"/>
      <c r="J2804" s="7" t="str">
        <f>IFERROR(LET(_xlpm.v,
VLOOKUP($I2804,'用語辞書'!$A:$B,COLUMN('用語辞書'!B$1),FALSE),
IF(_xlpm.v=0,"",_xlpm.v)
),"")</f>
        <v/>
      </c>
      <c r="K2804" s="17"/>
      <c r="L2804" s="17" t="str">
        <f>IF(OR(COUNTIF('クラス'!$A$1:$A$1267,$B2804)&gt;0,$B2804="",$M2804=""),"",True)</f>
        <v/>
      </c>
      <c r="M2804" s="1" t="str">
        <f t="shared" si="30"/>
        <v>存在しない</v>
      </c>
      <c r="N2804" s="1" t="s">
        <v>29</v>
      </c>
      <c r="O2804" s="1"/>
      <c r="P2804" s="11"/>
      <c r="Q2804" s="11"/>
      <c r="R2804" s="11"/>
      <c r="S2804" s="11"/>
      <c r="T2804" s="1"/>
      <c r="U2804" s="1"/>
      <c r="V2804" s="1"/>
      <c r="W2804" s="1"/>
      <c r="X2804" s="1"/>
      <c r="Y2804" s="1"/>
      <c r="Z2804" s="1"/>
    </row>
    <row r="2805" ht="18.0" hidden="1" customHeight="1" outlineLevel="1">
      <c r="A2805" s="1">
        <v>9.0</v>
      </c>
      <c r="B2805" s="26" t="s">
        <v>384</v>
      </c>
      <c r="C2805" s="1"/>
      <c r="D2805" s="1"/>
      <c r="E2805" s="14"/>
      <c r="F2805" s="15"/>
      <c r="G2805" s="16"/>
      <c r="H2805" s="11"/>
      <c r="I2805" s="7"/>
      <c r="J2805" s="7" t="str">
        <f>IFERROR(LET(_xlpm.v,
VLOOKUP($I2805,'用語辞書'!$A:$B,COLUMN('用語辞書'!B$1),FALSE),
IF(_xlpm.v=0,"",_xlpm.v)
),"")</f>
        <v/>
      </c>
      <c r="K2805" s="17"/>
      <c r="L2805" s="17" t="str">
        <f>IF(OR(COUNTIF('クラス'!$A$1:$A$1267,$B2805)&gt;0,$B2805="",$M2805=""),"",True)</f>
        <v/>
      </c>
      <c r="M2805" s="1" t="str">
        <f t="shared" si="30"/>
        <v/>
      </c>
      <c r="N2805" s="1" t="s">
        <v>29</v>
      </c>
      <c r="O2805" s="1"/>
      <c r="P2805" s="11"/>
      <c r="Q2805" s="11"/>
      <c r="R2805" s="11"/>
      <c r="S2805" s="11"/>
      <c r="T2805" s="1"/>
      <c r="U2805" s="1"/>
      <c r="V2805" s="1"/>
      <c r="W2805" s="1"/>
      <c r="X2805" s="1"/>
      <c r="Y2805" s="1"/>
      <c r="Z2805" s="1"/>
    </row>
    <row r="2806" ht="18.0" hidden="1" customHeight="1" outlineLevel="1">
      <c r="A2806" s="1">
        <v>10.0</v>
      </c>
      <c r="B2806" s="1"/>
      <c r="C2806" s="1"/>
      <c r="D2806" s="1"/>
      <c r="E2806" s="14"/>
      <c r="F2806" s="15"/>
      <c r="G2806" s="16"/>
      <c r="H2806" s="11"/>
      <c r="I2806" s="7"/>
      <c r="J2806" s="7" t="str">
        <f>IFERROR(LET(_xlpm.v,
VLOOKUP($I2806,'用語辞書'!$A:$B,COLUMN('用語辞書'!B$1),FALSE),
IF(_xlpm.v=0,"",_xlpm.v)
),"")</f>
        <v/>
      </c>
      <c r="K2806" s="17"/>
      <c r="L2806" s="17" t="str">
        <f>IF(OR(COUNTIF('クラス'!$A$1:$A$1267,$B2806)&gt;0,$B2806="",$M2806=""),"",True)</f>
        <v/>
      </c>
      <c r="M2806" s="1" t="str">
        <f t="shared" si="30"/>
        <v>存在しない</v>
      </c>
      <c r="N2806" s="1" t="s">
        <v>29</v>
      </c>
      <c r="O2806" s="1"/>
      <c r="P2806" s="11"/>
      <c r="Q2806" s="11"/>
      <c r="R2806" s="11"/>
      <c r="S2806" s="11"/>
      <c r="T2806" s="1"/>
      <c r="U2806" s="1"/>
      <c r="V2806" s="1"/>
      <c r="W2806" s="1"/>
      <c r="X2806" s="1"/>
      <c r="Y2806" s="1"/>
      <c r="Z2806" s="1"/>
    </row>
    <row r="2807" ht="18.0" customHeight="1" collapsed="1">
      <c r="A2807" s="1"/>
      <c r="B2807" s="1"/>
      <c r="C2807" s="1"/>
      <c r="D2807" s="1"/>
      <c r="E2807" s="14"/>
      <c r="F2807" s="15"/>
      <c r="G2807" s="16"/>
      <c r="H2807" s="11"/>
      <c r="I2807" s="7"/>
      <c r="J2807" s="7" t="str">
        <f>IFERROR(LET(_xlpm.v,
VLOOKUP($I2807,'用語辞書'!$A:$B,COLUMN('用語辞書'!B$1),FALSE),
IF(_xlpm.v=0,"",_xlpm.v)
),"")</f>
        <v/>
      </c>
      <c r="K2807" s="17"/>
      <c r="L2807" s="17" t="str">
        <f>IF(OR(COUNTIF('クラス'!$A$1:$A$1267,$B2807)&gt;0,$B2807="",$M2807=""),"",True)</f>
        <v/>
      </c>
      <c r="M2807" s="1" t="str">
        <f t="shared" si="30"/>
        <v>存在しない</v>
      </c>
      <c r="N2807" s="1" t="s">
        <v>29</v>
      </c>
      <c r="O2807" s="1"/>
      <c r="P2807" s="11"/>
      <c r="Q2807" s="11"/>
      <c r="R2807" s="11"/>
      <c r="S2807" s="11"/>
      <c r="T2807" s="1"/>
      <c r="U2807" s="1"/>
      <c r="V2807" s="1"/>
      <c r="W2807" s="1"/>
      <c r="X2807" s="1"/>
      <c r="Y2807" s="1"/>
      <c r="Z2807" s="1"/>
    </row>
    <row r="2808" ht="18.0" customHeight="1">
      <c r="A2808" s="1"/>
      <c r="B2808" s="26" t="s">
        <v>2506</v>
      </c>
      <c r="C2808" s="1"/>
      <c r="D2808" s="1"/>
      <c r="E2808" s="14"/>
      <c r="F2808" s="15"/>
      <c r="G2808" s="16"/>
      <c r="H2808" s="11"/>
      <c r="I2808" s="7"/>
      <c r="J2808" s="7" t="str">
        <f>IFERROR(LET(_xlpm.v,
VLOOKUP($I2808,'用語辞書'!$A:$B,COLUMN('用語辞書'!B$1),FALSE),
IF(_xlpm.v=0,"",_xlpm.v)
),"")</f>
        <v/>
      </c>
      <c r="K2808" s="17"/>
      <c r="L2808" s="17" t="str">
        <f>IF(OR(COUNTIF('クラス'!$A$1:$A$1267,$B2808)&gt;0,$B2808="",$M2808=""),"",True)</f>
        <v/>
      </c>
      <c r="M2808" s="1" t="str">
        <f t="shared" si="30"/>
        <v>存在しない</v>
      </c>
      <c r="N2808" s="1" t="s">
        <v>29</v>
      </c>
      <c r="O2808" s="1"/>
      <c r="P2808" s="11"/>
      <c r="Q2808" s="11"/>
      <c r="R2808" s="11"/>
      <c r="S2808" s="11"/>
      <c r="T2808" s="1"/>
      <c r="U2808" s="1"/>
      <c r="V2808" s="1"/>
      <c r="W2808" s="1"/>
      <c r="X2808" s="1"/>
      <c r="Y2808" s="1"/>
      <c r="Z2808" s="1"/>
    </row>
    <row r="2809" ht="18.0" hidden="1" customHeight="1" outlineLevel="1">
      <c r="A2809" s="1">
        <v>1.0</v>
      </c>
      <c r="B2809" s="1"/>
      <c r="C2809" s="1"/>
      <c r="D2809" s="1"/>
      <c r="E2809" s="14"/>
      <c r="F2809" s="15"/>
      <c r="G2809" s="16"/>
      <c r="H2809" s="11"/>
      <c r="I2809" s="7"/>
      <c r="J2809" s="7" t="str">
        <f>IFERROR(LET(_xlpm.v,
VLOOKUP($I2809,'用語辞書'!$A:$B,COLUMN('用語辞書'!B$1),FALSE),
IF(_xlpm.v=0,"",_xlpm.v)
),"")</f>
        <v/>
      </c>
      <c r="K2809" s="17"/>
      <c r="L2809" s="17" t="str">
        <f>IF(OR(COUNTIF('クラス'!$A$1:$A$1267,$B2809)&gt;0,$B2809="",$M2809=""),"",True)</f>
        <v/>
      </c>
      <c r="M2809" s="1" t="str">
        <f t="shared" si="30"/>
        <v>存在しない</v>
      </c>
      <c r="N2809" s="1" t="s">
        <v>29</v>
      </c>
      <c r="O2809" s="1"/>
      <c r="P2809" s="11"/>
      <c r="Q2809" s="11"/>
      <c r="R2809" s="11"/>
      <c r="S2809" s="11"/>
      <c r="T2809" s="1"/>
      <c r="U2809" s="1"/>
      <c r="V2809" s="1"/>
      <c r="W2809" s="1"/>
      <c r="X2809" s="1"/>
      <c r="Y2809" s="1"/>
      <c r="Z2809" s="1"/>
    </row>
    <row r="2810" ht="18.0" hidden="1" customHeight="1" outlineLevel="1">
      <c r="A2810" s="1">
        <v>2.0</v>
      </c>
      <c r="B2810" s="1"/>
      <c r="C2810" s="1"/>
      <c r="D2810" s="1"/>
      <c r="E2810" s="14"/>
      <c r="F2810" s="15"/>
      <c r="G2810" s="16"/>
      <c r="H2810" s="11"/>
      <c r="I2810" s="7"/>
      <c r="J2810" s="7" t="str">
        <f>IFERROR(LET(_xlpm.v,
VLOOKUP($I2810,'用語辞書'!$A:$B,COLUMN('用語辞書'!B$1),FALSE),
IF(_xlpm.v=0,"",_xlpm.v)
),"")</f>
        <v/>
      </c>
      <c r="K2810" s="17"/>
      <c r="L2810" s="17" t="str">
        <f>IF(OR(COUNTIF('クラス'!$A$1:$A$1267,$B2810)&gt;0,$B2810="",$M2810=""),"",True)</f>
        <v/>
      </c>
      <c r="M2810" s="1" t="str">
        <f t="shared" si="30"/>
        <v>存在しない</v>
      </c>
      <c r="N2810" s="1" t="s">
        <v>29</v>
      </c>
      <c r="O2810" s="1"/>
      <c r="P2810" s="11"/>
      <c r="Q2810" s="11"/>
      <c r="R2810" s="11"/>
      <c r="S2810" s="11"/>
      <c r="T2810" s="1"/>
      <c r="U2810" s="1"/>
      <c r="V2810" s="1"/>
      <c r="W2810" s="1"/>
      <c r="X2810" s="1"/>
      <c r="Y2810" s="1"/>
      <c r="Z2810" s="1"/>
    </row>
    <row r="2811" ht="18.0" hidden="1" customHeight="1" outlineLevel="1">
      <c r="A2811" s="1">
        <v>3.0</v>
      </c>
      <c r="B2811" s="1"/>
      <c r="C2811" s="1"/>
      <c r="D2811" s="1"/>
      <c r="E2811" s="14"/>
      <c r="F2811" s="15"/>
      <c r="G2811" s="16"/>
      <c r="H2811" s="11"/>
      <c r="I2811" s="7"/>
      <c r="J2811" s="7" t="str">
        <f>IFERROR(LET(_xlpm.v,
VLOOKUP($I2811,'用語辞書'!$A:$B,COLUMN('用語辞書'!B$1),FALSE),
IF(_xlpm.v=0,"",_xlpm.v)
),"")</f>
        <v/>
      </c>
      <c r="K2811" s="17"/>
      <c r="L2811" s="17" t="str">
        <f>IF(OR(COUNTIF('クラス'!$A$1:$A$1267,$B2811)&gt;0,$B2811="",$M2811=""),"",True)</f>
        <v/>
      </c>
      <c r="M2811" s="1" t="str">
        <f t="shared" si="30"/>
        <v>存在しない</v>
      </c>
      <c r="N2811" s="1" t="s">
        <v>29</v>
      </c>
      <c r="O2811" s="1"/>
      <c r="P2811" s="11"/>
      <c r="Q2811" s="11"/>
      <c r="R2811" s="11"/>
      <c r="S2811" s="11"/>
      <c r="T2811" s="1"/>
      <c r="U2811" s="1"/>
      <c r="V2811" s="1"/>
      <c r="W2811" s="1"/>
      <c r="X2811" s="1"/>
      <c r="Y2811" s="1"/>
      <c r="Z2811" s="1"/>
    </row>
    <row r="2812" ht="18.0" hidden="1" customHeight="1" outlineLevel="1">
      <c r="A2812" s="1">
        <v>4.0</v>
      </c>
      <c r="B2812" s="1"/>
      <c r="C2812" s="1"/>
      <c r="D2812" s="1"/>
      <c r="E2812" s="14"/>
      <c r="F2812" s="15"/>
      <c r="G2812" s="16"/>
      <c r="H2812" s="11"/>
      <c r="I2812" s="7"/>
      <c r="J2812" s="7" t="str">
        <f>IFERROR(LET(_xlpm.v,
VLOOKUP($I2812,'用語辞書'!$A:$B,COLUMN('用語辞書'!B$1),FALSE),
IF(_xlpm.v=0,"",_xlpm.v)
),"")</f>
        <v/>
      </c>
      <c r="K2812" s="17"/>
      <c r="L2812" s="17" t="str">
        <f>IF(OR(COUNTIF('クラス'!$A$1:$A$1267,$B2812)&gt;0,$B2812="",$M2812=""),"",True)</f>
        <v/>
      </c>
      <c r="M2812" s="1" t="str">
        <f t="shared" si="30"/>
        <v>存在しない</v>
      </c>
      <c r="N2812" s="1" t="s">
        <v>29</v>
      </c>
      <c r="O2812" s="1"/>
      <c r="P2812" s="11"/>
      <c r="Q2812" s="11"/>
      <c r="R2812" s="11"/>
      <c r="S2812" s="11"/>
      <c r="T2812" s="1"/>
      <c r="U2812" s="1"/>
      <c r="V2812" s="1"/>
      <c r="W2812" s="1"/>
      <c r="X2812" s="1"/>
      <c r="Y2812" s="1"/>
      <c r="Z2812" s="1"/>
    </row>
    <row r="2813" ht="18.0" hidden="1" customHeight="1" outlineLevel="1">
      <c r="A2813" s="1">
        <v>5.0</v>
      </c>
      <c r="B2813" s="1"/>
      <c r="C2813" s="1"/>
      <c r="D2813" s="1"/>
      <c r="E2813" s="14"/>
      <c r="F2813" s="15"/>
      <c r="G2813" s="16"/>
      <c r="H2813" s="11"/>
      <c r="I2813" s="7"/>
      <c r="J2813" s="7" t="str">
        <f>IFERROR(LET(_xlpm.v,
VLOOKUP($I2813,'用語辞書'!$A:$B,COLUMN('用語辞書'!B$1),FALSE),
IF(_xlpm.v=0,"",_xlpm.v)
),"")</f>
        <v/>
      </c>
      <c r="K2813" s="17"/>
      <c r="L2813" s="17" t="str">
        <f>IF(OR(COUNTIF('クラス'!$A$1:$A$1267,$B2813)&gt;0,$B2813="",$M2813=""),"",True)</f>
        <v/>
      </c>
      <c r="M2813" s="1" t="str">
        <f t="shared" si="30"/>
        <v>存在しない</v>
      </c>
      <c r="N2813" s="1" t="s">
        <v>29</v>
      </c>
      <c r="O2813" s="1"/>
      <c r="P2813" s="11"/>
      <c r="Q2813" s="11"/>
      <c r="R2813" s="11"/>
      <c r="S2813" s="11"/>
      <c r="T2813" s="1"/>
      <c r="U2813" s="1"/>
      <c r="V2813" s="1"/>
      <c r="W2813" s="1"/>
      <c r="X2813" s="1"/>
      <c r="Y2813" s="1"/>
      <c r="Z2813" s="1"/>
    </row>
    <row r="2814" ht="18.0" hidden="1" customHeight="1" outlineLevel="1">
      <c r="A2814" s="1">
        <v>6.0</v>
      </c>
      <c r="B2814" s="1"/>
      <c r="C2814" s="1"/>
      <c r="D2814" s="1"/>
      <c r="E2814" s="14"/>
      <c r="F2814" s="15"/>
      <c r="G2814" s="16"/>
      <c r="H2814" s="11"/>
      <c r="I2814" s="7"/>
      <c r="J2814" s="7" t="str">
        <f>IFERROR(LET(_xlpm.v,
VLOOKUP($I2814,'用語辞書'!$A:$B,COLUMN('用語辞書'!B$1),FALSE),
IF(_xlpm.v=0,"",_xlpm.v)
),"")</f>
        <v/>
      </c>
      <c r="K2814" s="17"/>
      <c r="L2814" s="17" t="str">
        <f>IF(OR(COUNTIF('クラス'!$A$1:$A$1267,$B2814)&gt;0,$B2814="",$M2814=""),"",True)</f>
        <v/>
      </c>
      <c r="M2814" s="1" t="str">
        <f t="shared" si="30"/>
        <v>存在しない</v>
      </c>
      <c r="N2814" s="1" t="s">
        <v>29</v>
      </c>
      <c r="O2814" s="1"/>
      <c r="P2814" s="11"/>
      <c r="Q2814" s="11"/>
      <c r="R2814" s="11"/>
      <c r="S2814" s="11"/>
      <c r="T2814" s="1"/>
      <c r="U2814" s="1"/>
      <c r="V2814" s="1"/>
      <c r="W2814" s="1"/>
      <c r="X2814" s="1"/>
      <c r="Y2814" s="1"/>
      <c r="Z2814" s="1"/>
    </row>
    <row r="2815" ht="18.0" hidden="1" customHeight="1" outlineLevel="1">
      <c r="A2815" s="1">
        <v>7.0</v>
      </c>
      <c r="B2815" s="1"/>
      <c r="C2815" s="1"/>
      <c r="D2815" s="1"/>
      <c r="E2815" s="14"/>
      <c r="F2815" s="15"/>
      <c r="G2815" s="16"/>
      <c r="H2815" s="11"/>
      <c r="I2815" s="7"/>
      <c r="J2815" s="7" t="str">
        <f>IFERROR(LET(_xlpm.v,
VLOOKUP($I2815,'用語辞書'!$A:$B,COLUMN('用語辞書'!B$1),FALSE),
IF(_xlpm.v=0,"",_xlpm.v)
),"")</f>
        <v/>
      </c>
      <c r="K2815" s="17"/>
      <c r="L2815" s="17" t="str">
        <f>IF(OR(COUNTIF('クラス'!$A$1:$A$1267,$B2815)&gt;0,$B2815="",$M2815=""),"",True)</f>
        <v/>
      </c>
      <c r="M2815" s="1" t="str">
        <f t="shared" si="30"/>
        <v>存在しない</v>
      </c>
      <c r="N2815" s="1" t="s">
        <v>29</v>
      </c>
      <c r="O2815" s="1"/>
      <c r="P2815" s="11"/>
      <c r="Q2815" s="11"/>
      <c r="R2815" s="11"/>
      <c r="S2815" s="11"/>
      <c r="T2815" s="1"/>
      <c r="U2815" s="1"/>
      <c r="V2815" s="1"/>
      <c r="W2815" s="1"/>
      <c r="X2815" s="1"/>
      <c r="Y2815" s="1"/>
      <c r="Z2815" s="1"/>
    </row>
    <row r="2816" ht="18.0" hidden="1" customHeight="1" outlineLevel="1">
      <c r="A2816" s="1">
        <v>8.0</v>
      </c>
      <c r="B2816" s="1"/>
      <c r="C2816" s="1"/>
      <c r="D2816" s="1"/>
      <c r="E2816" s="14"/>
      <c r="F2816" s="15"/>
      <c r="G2816" s="16"/>
      <c r="H2816" s="11"/>
      <c r="I2816" s="7"/>
      <c r="J2816" s="7" t="str">
        <f>IFERROR(LET(_xlpm.v,
VLOOKUP($I2816,'用語辞書'!$A:$B,COLUMN('用語辞書'!B$1),FALSE),
IF(_xlpm.v=0,"",_xlpm.v)
),"")</f>
        <v/>
      </c>
      <c r="K2816" s="17"/>
      <c r="L2816" s="17" t="str">
        <f>IF(OR(COUNTIF('クラス'!$A$1:$A$1267,$B2816)&gt;0,$B2816="",$M2816=""),"",True)</f>
        <v/>
      </c>
      <c r="M2816" s="1" t="str">
        <f t="shared" si="30"/>
        <v>存在しない</v>
      </c>
      <c r="N2816" s="1" t="s">
        <v>29</v>
      </c>
      <c r="O2816" s="1"/>
      <c r="P2816" s="11"/>
      <c r="Q2816" s="11"/>
      <c r="R2816" s="11"/>
      <c r="S2816" s="11"/>
      <c r="T2816" s="1"/>
      <c r="U2816" s="1"/>
      <c r="V2816" s="1"/>
      <c r="W2816" s="1"/>
      <c r="X2816" s="1"/>
      <c r="Y2816" s="1"/>
      <c r="Z2816" s="1"/>
    </row>
    <row r="2817" ht="18.0" hidden="1" customHeight="1" outlineLevel="1">
      <c r="A2817" s="1">
        <v>9.0</v>
      </c>
      <c r="B2817" s="1"/>
      <c r="C2817" s="1"/>
      <c r="D2817" s="1"/>
      <c r="E2817" s="14"/>
      <c r="F2817" s="15"/>
      <c r="G2817" s="16"/>
      <c r="H2817" s="11"/>
      <c r="I2817" s="7"/>
      <c r="J2817" s="7" t="str">
        <f>IFERROR(LET(_xlpm.v,
VLOOKUP($I2817,'用語辞書'!$A:$B,COLUMN('用語辞書'!B$1),FALSE),
IF(_xlpm.v=0,"",_xlpm.v)
),"")</f>
        <v/>
      </c>
      <c r="K2817" s="17"/>
      <c r="L2817" s="17" t="str">
        <f>IF(OR(COUNTIF('クラス'!$A$1:$A$1267,$B2817)&gt;0,$B2817="",$M2817=""),"",True)</f>
        <v/>
      </c>
      <c r="M2817" s="1" t="str">
        <f t="shared" si="30"/>
        <v>存在しない</v>
      </c>
      <c r="N2817" s="1" t="s">
        <v>29</v>
      </c>
      <c r="O2817" s="1"/>
      <c r="P2817" s="11"/>
      <c r="Q2817" s="11"/>
      <c r="R2817" s="11"/>
      <c r="S2817" s="11"/>
      <c r="T2817" s="1"/>
      <c r="U2817" s="1"/>
      <c r="V2817" s="1"/>
      <c r="W2817" s="1"/>
      <c r="X2817" s="1"/>
      <c r="Y2817" s="1"/>
      <c r="Z2817" s="1"/>
    </row>
    <row r="2818" ht="18.0" hidden="1" customHeight="1" outlineLevel="1">
      <c r="A2818" s="1">
        <v>10.0</v>
      </c>
      <c r="B2818" s="1"/>
      <c r="C2818" s="1"/>
      <c r="D2818" s="1"/>
      <c r="E2818" s="14"/>
      <c r="F2818" s="15"/>
      <c r="G2818" s="16"/>
      <c r="H2818" s="11"/>
      <c r="I2818" s="7"/>
      <c r="J2818" s="7" t="str">
        <f>IFERROR(LET(_xlpm.v,
VLOOKUP($I2818,'用語辞書'!$A:$B,COLUMN('用語辞書'!B$1),FALSE),
IF(_xlpm.v=0,"",_xlpm.v)
),"")</f>
        <v/>
      </c>
      <c r="K2818" s="17"/>
      <c r="L2818" s="17" t="str">
        <f>IF(OR(COUNTIF('クラス'!$A$1:$A$1267,$B2818)&gt;0,$B2818="",$M2818=""),"",True)</f>
        <v/>
      </c>
      <c r="M2818" s="1" t="str">
        <f t="shared" si="30"/>
        <v>存在しない</v>
      </c>
      <c r="N2818" s="1" t="s">
        <v>29</v>
      </c>
      <c r="O2818" s="1"/>
      <c r="P2818" s="11"/>
      <c r="Q2818" s="11"/>
      <c r="R2818" s="11"/>
      <c r="S2818" s="11"/>
      <c r="T2818" s="1"/>
      <c r="U2818" s="1"/>
      <c r="V2818" s="1"/>
      <c r="W2818" s="1"/>
      <c r="X2818" s="1"/>
      <c r="Y2818" s="1"/>
      <c r="Z2818" s="1"/>
    </row>
    <row r="2819" ht="18.0" customHeight="1" collapsed="1">
      <c r="A2819" s="1"/>
      <c r="B2819" s="1"/>
      <c r="C2819" s="1"/>
      <c r="D2819" s="1"/>
      <c r="E2819" s="14"/>
      <c r="F2819" s="15"/>
      <c r="G2819" s="16"/>
      <c r="H2819" s="11"/>
      <c r="I2819" s="7"/>
      <c r="J2819" s="7" t="str">
        <f>IFERROR(LET(_xlpm.v,
VLOOKUP($I2819,'用語辞書'!$A:$B,COLUMN('用語辞書'!B$1),FALSE),
IF(_xlpm.v=0,"",_xlpm.v)
),"")</f>
        <v/>
      </c>
      <c r="K2819" s="17"/>
      <c r="L2819" s="17" t="str">
        <f>IF(OR(COUNTIF('クラス'!$A$1:$A$1267,$B2819)&gt;0,$B2819="",$M2819=""),"",True)</f>
        <v/>
      </c>
      <c r="M2819" s="1" t="str">
        <f t="shared" si="30"/>
        <v>存在しない</v>
      </c>
      <c r="N2819" s="1" t="s">
        <v>29</v>
      </c>
      <c r="O2819" s="1"/>
      <c r="P2819" s="11"/>
      <c r="Q2819" s="11"/>
      <c r="R2819" s="11"/>
      <c r="S2819" s="11"/>
      <c r="T2819" s="1"/>
      <c r="U2819" s="1"/>
      <c r="V2819" s="1"/>
      <c r="W2819" s="1"/>
      <c r="X2819" s="1"/>
      <c r="Y2819" s="1"/>
      <c r="Z2819" s="1"/>
    </row>
    <row r="2820" ht="18.0" customHeight="1">
      <c r="A2820" s="1"/>
      <c r="B2820" s="26" t="s">
        <v>2507</v>
      </c>
      <c r="C2820" s="1"/>
      <c r="D2820" s="1"/>
      <c r="E2820" s="14"/>
      <c r="F2820" s="15"/>
      <c r="G2820" s="16"/>
      <c r="H2820" s="11"/>
      <c r="I2820" s="7"/>
      <c r="J2820" s="7" t="str">
        <f>IFERROR(LET(_xlpm.v,
VLOOKUP($I2820,'用語辞書'!$A:$B,COLUMN('用語辞書'!B$1),FALSE),
IF(_xlpm.v=0,"",_xlpm.v)
),"")</f>
        <v/>
      </c>
      <c r="K2820" s="17"/>
      <c r="L2820" s="17" t="str">
        <f>IF(OR(COUNTIF('クラス'!$A$1:$A$1267,$B2820)&gt;0,$B2820="",$M2820=""),"",True)</f>
        <v/>
      </c>
      <c r="M2820" s="1" t="str">
        <f t="shared" si="30"/>
        <v>存在しない</v>
      </c>
      <c r="N2820" s="1" t="s">
        <v>29</v>
      </c>
      <c r="O2820" s="1"/>
      <c r="P2820" s="11"/>
      <c r="Q2820" s="11"/>
      <c r="R2820" s="11"/>
      <c r="S2820" s="11"/>
      <c r="T2820" s="1"/>
      <c r="U2820" s="1"/>
      <c r="V2820" s="1"/>
      <c r="W2820" s="1"/>
      <c r="X2820" s="1"/>
      <c r="Y2820" s="1"/>
      <c r="Z2820" s="1"/>
    </row>
    <row r="2821" ht="18.0" hidden="1" customHeight="1" outlineLevel="1">
      <c r="A2821" s="1">
        <v>1.0</v>
      </c>
      <c r="B2821" s="1"/>
      <c r="C2821" s="1"/>
      <c r="D2821" s="1"/>
      <c r="E2821" s="14"/>
      <c r="F2821" s="15"/>
      <c r="G2821" s="16"/>
      <c r="H2821" s="11"/>
      <c r="I2821" s="7"/>
      <c r="J2821" s="7" t="str">
        <f>IFERROR(LET(_xlpm.v,
VLOOKUP($I2821,'用語辞書'!$A:$B,COLUMN('用語辞書'!B$1),FALSE),
IF(_xlpm.v=0,"",_xlpm.v)
),"")</f>
        <v/>
      </c>
      <c r="K2821" s="17"/>
      <c r="L2821" s="17" t="str">
        <f>IF(OR(COUNTIF('クラス'!$A$1:$A$1267,$B2821)&gt;0,$B2821="",$M2821=""),"",True)</f>
        <v/>
      </c>
      <c r="M2821" s="1" t="str">
        <f t="shared" si="30"/>
        <v>存在しない</v>
      </c>
      <c r="N2821" s="1" t="s">
        <v>29</v>
      </c>
      <c r="O2821" s="1"/>
      <c r="P2821" s="11"/>
      <c r="Q2821" s="11"/>
      <c r="R2821" s="11"/>
      <c r="S2821" s="11"/>
      <c r="T2821" s="1"/>
      <c r="U2821" s="1"/>
      <c r="V2821" s="1"/>
      <c r="W2821" s="1"/>
      <c r="X2821" s="1"/>
      <c r="Y2821" s="1"/>
      <c r="Z2821" s="1"/>
    </row>
    <row r="2822" ht="18.0" hidden="1" customHeight="1" outlineLevel="1">
      <c r="A2822" s="1">
        <v>2.0</v>
      </c>
      <c r="B2822" s="1"/>
      <c r="C2822" s="1"/>
      <c r="D2822" s="1"/>
      <c r="E2822" s="14"/>
      <c r="F2822" s="15"/>
      <c r="G2822" s="16"/>
      <c r="H2822" s="11"/>
      <c r="I2822" s="7"/>
      <c r="J2822" s="7" t="str">
        <f>IFERROR(LET(_xlpm.v,
VLOOKUP($I2822,'用語辞書'!$A:$B,COLUMN('用語辞書'!B$1),FALSE),
IF(_xlpm.v=0,"",_xlpm.v)
),"")</f>
        <v/>
      </c>
      <c r="K2822" s="17"/>
      <c r="L2822" s="17" t="str">
        <f>IF(OR(COUNTIF('クラス'!$A$1:$A$1267,$B2822)&gt;0,$B2822="",$M2822=""),"",True)</f>
        <v/>
      </c>
      <c r="M2822" s="1" t="str">
        <f t="shared" si="30"/>
        <v>存在しない</v>
      </c>
      <c r="N2822" s="1" t="s">
        <v>29</v>
      </c>
      <c r="O2822" s="1"/>
      <c r="P2822" s="11"/>
      <c r="Q2822" s="11"/>
      <c r="R2822" s="11"/>
      <c r="S2822" s="11"/>
      <c r="T2822" s="1"/>
      <c r="U2822" s="1"/>
      <c r="V2822" s="1"/>
      <c r="W2822" s="1"/>
      <c r="X2822" s="1"/>
      <c r="Y2822" s="1"/>
      <c r="Z2822" s="1"/>
    </row>
    <row r="2823" ht="18.0" hidden="1" customHeight="1" outlineLevel="1">
      <c r="A2823" s="1">
        <v>3.0</v>
      </c>
      <c r="B2823" s="1"/>
      <c r="C2823" s="1"/>
      <c r="D2823" s="1"/>
      <c r="E2823" s="14"/>
      <c r="F2823" s="15"/>
      <c r="G2823" s="16"/>
      <c r="H2823" s="11"/>
      <c r="I2823" s="7"/>
      <c r="J2823" s="7" t="str">
        <f>IFERROR(LET(_xlpm.v,
VLOOKUP($I2823,'用語辞書'!$A:$B,COLUMN('用語辞書'!B$1),FALSE),
IF(_xlpm.v=0,"",_xlpm.v)
),"")</f>
        <v/>
      </c>
      <c r="K2823" s="17"/>
      <c r="L2823" s="17" t="str">
        <f>IF(OR(COUNTIF('クラス'!$A$1:$A$1267,$B2823)&gt;0,$B2823="",$M2823=""),"",True)</f>
        <v/>
      </c>
      <c r="M2823" s="1" t="str">
        <f t="shared" si="30"/>
        <v>存在しない</v>
      </c>
      <c r="N2823" s="1" t="s">
        <v>29</v>
      </c>
      <c r="O2823" s="1"/>
      <c r="P2823" s="11"/>
      <c r="Q2823" s="11"/>
      <c r="R2823" s="11"/>
      <c r="S2823" s="11"/>
      <c r="T2823" s="1"/>
      <c r="U2823" s="1"/>
      <c r="V2823" s="1"/>
      <c r="W2823" s="1"/>
      <c r="X2823" s="1"/>
      <c r="Y2823" s="1"/>
      <c r="Z2823" s="1"/>
    </row>
    <row r="2824" ht="18.0" hidden="1" customHeight="1" outlineLevel="1">
      <c r="A2824" s="1">
        <v>4.0</v>
      </c>
      <c r="B2824" s="1"/>
      <c r="C2824" s="1"/>
      <c r="D2824" s="1"/>
      <c r="E2824" s="14"/>
      <c r="F2824" s="15"/>
      <c r="G2824" s="16"/>
      <c r="H2824" s="11"/>
      <c r="I2824" s="7"/>
      <c r="J2824" s="7" t="str">
        <f>IFERROR(LET(_xlpm.v,
VLOOKUP($I2824,'用語辞書'!$A:$B,COLUMN('用語辞書'!B$1),FALSE),
IF(_xlpm.v=0,"",_xlpm.v)
),"")</f>
        <v/>
      </c>
      <c r="K2824" s="17"/>
      <c r="L2824" s="17" t="str">
        <f>IF(OR(COUNTIF('クラス'!$A$1:$A$1267,$B2824)&gt;0,$B2824="",$M2824=""),"",True)</f>
        <v/>
      </c>
      <c r="M2824" s="1" t="str">
        <f t="shared" si="30"/>
        <v>存在しない</v>
      </c>
      <c r="N2824" s="1" t="s">
        <v>29</v>
      </c>
      <c r="O2824" s="1"/>
      <c r="P2824" s="11"/>
      <c r="Q2824" s="11"/>
      <c r="R2824" s="11"/>
      <c r="S2824" s="11"/>
      <c r="T2824" s="1"/>
      <c r="U2824" s="1"/>
      <c r="V2824" s="1"/>
      <c r="W2824" s="1"/>
      <c r="X2824" s="1"/>
      <c r="Y2824" s="1"/>
      <c r="Z2824" s="1"/>
    </row>
    <row r="2825" ht="18.0" hidden="1" customHeight="1" outlineLevel="1">
      <c r="A2825" s="1">
        <v>5.0</v>
      </c>
      <c r="B2825" s="1"/>
      <c r="C2825" s="1"/>
      <c r="D2825" s="1"/>
      <c r="E2825" s="14"/>
      <c r="F2825" s="15"/>
      <c r="G2825" s="16"/>
      <c r="H2825" s="11"/>
      <c r="I2825" s="7"/>
      <c r="J2825" s="7" t="str">
        <f>IFERROR(LET(_xlpm.v,
VLOOKUP($I2825,'用語辞書'!$A:$B,COLUMN('用語辞書'!B$1),FALSE),
IF(_xlpm.v=0,"",_xlpm.v)
),"")</f>
        <v/>
      </c>
      <c r="K2825" s="17"/>
      <c r="L2825" s="17" t="str">
        <f>IF(OR(COUNTIF('クラス'!$A$1:$A$1267,$B2825)&gt;0,$B2825="",$M2825=""),"",True)</f>
        <v/>
      </c>
      <c r="M2825" s="1" t="str">
        <f t="shared" si="30"/>
        <v>存在しない</v>
      </c>
      <c r="N2825" s="1" t="s">
        <v>29</v>
      </c>
      <c r="O2825" s="1"/>
      <c r="P2825" s="11"/>
      <c r="Q2825" s="11"/>
      <c r="R2825" s="11"/>
      <c r="S2825" s="11"/>
      <c r="T2825" s="1"/>
      <c r="U2825" s="1"/>
      <c r="V2825" s="1"/>
      <c r="W2825" s="1"/>
      <c r="X2825" s="1"/>
      <c r="Y2825" s="1"/>
      <c r="Z2825" s="1"/>
    </row>
    <row r="2826" ht="18.0" hidden="1" customHeight="1" outlineLevel="1">
      <c r="A2826" s="1">
        <v>6.0</v>
      </c>
      <c r="B2826" s="1"/>
      <c r="C2826" s="1"/>
      <c r="D2826" s="1"/>
      <c r="E2826" s="14"/>
      <c r="F2826" s="15"/>
      <c r="G2826" s="16"/>
      <c r="H2826" s="11"/>
      <c r="I2826" s="7"/>
      <c r="J2826" s="7" t="str">
        <f>IFERROR(LET(_xlpm.v,
VLOOKUP($I2826,'用語辞書'!$A:$B,COLUMN('用語辞書'!B$1),FALSE),
IF(_xlpm.v=0,"",_xlpm.v)
),"")</f>
        <v/>
      </c>
      <c r="K2826" s="17"/>
      <c r="L2826" s="17" t="str">
        <f>IF(OR(COUNTIF('クラス'!$A$1:$A$1267,$B2826)&gt;0,$B2826="",$M2826=""),"",True)</f>
        <v/>
      </c>
      <c r="M2826" s="1" t="str">
        <f t="shared" si="30"/>
        <v>存在しない</v>
      </c>
      <c r="N2826" s="1" t="s">
        <v>29</v>
      </c>
      <c r="O2826" s="1"/>
      <c r="P2826" s="11"/>
      <c r="Q2826" s="11"/>
      <c r="R2826" s="11"/>
      <c r="S2826" s="11"/>
      <c r="T2826" s="1"/>
      <c r="U2826" s="1"/>
      <c r="V2826" s="1"/>
      <c r="W2826" s="1"/>
      <c r="X2826" s="1"/>
      <c r="Y2826" s="1"/>
      <c r="Z2826" s="1"/>
    </row>
    <row r="2827" ht="18.0" hidden="1" customHeight="1" outlineLevel="1">
      <c r="A2827" s="1">
        <v>7.0</v>
      </c>
      <c r="B2827" s="1"/>
      <c r="C2827" s="1"/>
      <c r="D2827" s="1"/>
      <c r="E2827" s="14"/>
      <c r="F2827" s="15"/>
      <c r="G2827" s="16"/>
      <c r="H2827" s="11"/>
      <c r="I2827" s="7"/>
      <c r="J2827" s="7" t="str">
        <f>IFERROR(LET(_xlpm.v,
VLOOKUP($I2827,'用語辞書'!$A:$B,COLUMN('用語辞書'!B$1),FALSE),
IF(_xlpm.v=0,"",_xlpm.v)
),"")</f>
        <v/>
      </c>
      <c r="K2827" s="17"/>
      <c r="L2827" s="17" t="str">
        <f>IF(OR(COUNTIF('クラス'!$A$1:$A$1267,$B2827)&gt;0,$B2827="",$M2827=""),"",True)</f>
        <v/>
      </c>
      <c r="M2827" s="1" t="str">
        <f t="shared" si="30"/>
        <v>存在しない</v>
      </c>
      <c r="N2827" s="1" t="s">
        <v>29</v>
      </c>
      <c r="O2827" s="1"/>
      <c r="P2827" s="11"/>
      <c r="Q2827" s="11"/>
      <c r="R2827" s="11"/>
      <c r="S2827" s="11"/>
      <c r="T2827" s="1"/>
      <c r="U2827" s="1"/>
      <c r="V2827" s="1"/>
      <c r="W2827" s="1"/>
      <c r="X2827" s="1"/>
      <c r="Y2827" s="1"/>
      <c r="Z2827" s="1"/>
    </row>
    <row r="2828" ht="18.0" hidden="1" customHeight="1" outlineLevel="1">
      <c r="A2828" s="1">
        <v>8.0</v>
      </c>
      <c r="B2828" s="1"/>
      <c r="C2828" s="1"/>
      <c r="D2828" s="1"/>
      <c r="E2828" s="14"/>
      <c r="F2828" s="15"/>
      <c r="G2828" s="16"/>
      <c r="H2828" s="11"/>
      <c r="I2828" s="7"/>
      <c r="J2828" s="7" t="str">
        <f>IFERROR(LET(_xlpm.v,
VLOOKUP($I2828,'用語辞書'!$A:$B,COLUMN('用語辞書'!B$1),FALSE),
IF(_xlpm.v=0,"",_xlpm.v)
),"")</f>
        <v/>
      </c>
      <c r="K2828" s="17"/>
      <c r="L2828" s="17" t="str">
        <f>IF(OR(COUNTIF('クラス'!$A$1:$A$1267,$B2828)&gt;0,$B2828="",$M2828=""),"",True)</f>
        <v/>
      </c>
      <c r="M2828" s="1" t="str">
        <f t="shared" si="30"/>
        <v>存在しない</v>
      </c>
      <c r="N2828" s="1" t="s">
        <v>29</v>
      </c>
      <c r="O2828" s="1"/>
      <c r="P2828" s="11"/>
      <c r="Q2828" s="11"/>
      <c r="R2828" s="11"/>
      <c r="S2828" s="11"/>
      <c r="T2828" s="1"/>
      <c r="U2828" s="1"/>
      <c r="V2828" s="1"/>
      <c r="W2828" s="1"/>
      <c r="X2828" s="1"/>
      <c r="Y2828" s="1"/>
      <c r="Z2828" s="1"/>
    </row>
    <row r="2829" ht="18.0" hidden="1" customHeight="1" outlineLevel="1">
      <c r="A2829" s="1">
        <v>9.0</v>
      </c>
      <c r="B2829" s="1"/>
      <c r="C2829" s="1"/>
      <c r="D2829" s="1"/>
      <c r="E2829" s="14"/>
      <c r="F2829" s="15"/>
      <c r="G2829" s="16"/>
      <c r="H2829" s="11"/>
      <c r="I2829" s="7"/>
      <c r="J2829" s="7" t="str">
        <f>IFERROR(LET(_xlpm.v,
VLOOKUP($I2829,'用語辞書'!$A:$B,COLUMN('用語辞書'!B$1),FALSE),
IF(_xlpm.v=0,"",_xlpm.v)
),"")</f>
        <v/>
      </c>
      <c r="K2829" s="17"/>
      <c r="L2829" s="17" t="str">
        <f>IF(OR(COUNTIF('クラス'!$A$1:$A$1267,$B2829)&gt;0,$B2829="",$M2829=""),"",True)</f>
        <v/>
      </c>
      <c r="M2829" s="1" t="str">
        <f t="shared" si="30"/>
        <v>存在しない</v>
      </c>
      <c r="N2829" s="1" t="s">
        <v>29</v>
      </c>
      <c r="O2829" s="1"/>
      <c r="P2829" s="11"/>
      <c r="Q2829" s="11"/>
      <c r="R2829" s="11"/>
      <c r="S2829" s="11"/>
      <c r="T2829" s="1"/>
      <c r="U2829" s="1"/>
      <c r="V2829" s="1"/>
      <c r="W2829" s="1"/>
      <c r="X2829" s="1"/>
      <c r="Y2829" s="1"/>
      <c r="Z2829" s="1"/>
    </row>
    <row r="2830" ht="18.0" hidden="1" customHeight="1" outlineLevel="1">
      <c r="A2830" s="1">
        <v>10.0</v>
      </c>
      <c r="B2830" s="1"/>
      <c r="C2830" s="1"/>
      <c r="D2830" s="1"/>
      <c r="E2830" s="14"/>
      <c r="F2830" s="15"/>
      <c r="G2830" s="16"/>
      <c r="H2830" s="11"/>
      <c r="I2830" s="7"/>
      <c r="J2830" s="7" t="str">
        <f>IFERROR(LET(_xlpm.v,
VLOOKUP($I2830,'用語辞書'!$A:$B,COLUMN('用語辞書'!B$1),FALSE),
IF(_xlpm.v=0,"",_xlpm.v)
),"")</f>
        <v/>
      </c>
      <c r="K2830" s="17"/>
      <c r="L2830" s="17" t="str">
        <f>IF(OR(COUNTIF('クラス'!$A$1:$A$1267,$B2830)&gt;0,$B2830="",$M2830=""),"",True)</f>
        <v/>
      </c>
      <c r="M2830" s="1" t="str">
        <f t="shared" si="30"/>
        <v>存在しない</v>
      </c>
      <c r="N2830" s="1" t="s">
        <v>29</v>
      </c>
      <c r="O2830" s="1"/>
      <c r="P2830" s="11"/>
      <c r="Q2830" s="11"/>
      <c r="R2830" s="11"/>
      <c r="S2830" s="11"/>
      <c r="T2830" s="1"/>
      <c r="U2830" s="1"/>
      <c r="V2830" s="1"/>
      <c r="W2830" s="1"/>
      <c r="X2830" s="1"/>
      <c r="Y2830" s="1"/>
      <c r="Z2830" s="1"/>
    </row>
    <row r="2831" ht="18.0" customHeight="1" collapsed="1">
      <c r="A2831" s="1"/>
      <c r="B2831" s="1"/>
      <c r="C2831" s="1"/>
      <c r="D2831" s="1"/>
      <c r="E2831" s="14"/>
      <c r="F2831" s="15"/>
      <c r="G2831" s="16"/>
      <c r="H2831" s="11"/>
      <c r="I2831" s="7"/>
      <c r="J2831" s="7" t="str">
        <f>IFERROR(LET(_xlpm.v,
VLOOKUP($I2831,'用語辞書'!$A:$B,COLUMN('用語辞書'!B$1),FALSE),
IF(_xlpm.v=0,"",_xlpm.v)
),"")</f>
        <v/>
      </c>
      <c r="K2831" s="17"/>
      <c r="L2831" s="17" t="str">
        <f>IF(OR(COUNTIF('クラス'!$A$1:$A$1267,$B2831)&gt;0,$B2831="",$M2831=""),"",True)</f>
        <v/>
      </c>
      <c r="M2831" s="1" t="str">
        <f t="shared" si="30"/>
        <v>存在しない</v>
      </c>
      <c r="N2831" s="1" t="s">
        <v>29</v>
      </c>
      <c r="O2831" s="1"/>
      <c r="P2831" s="11"/>
      <c r="Q2831" s="11"/>
      <c r="R2831" s="11"/>
      <c r="S2831" s="11"/>
      <c r="T2831" s="1"/>
      <c r="U2831" s="1"/>
      <c r="V2831" s="1"/>
      <c r="W2831" s="1"/>
      <c r="X2831" s="1"/>
      <c r="Y2831" s="1"/>
      <c r="Z2831" s="1"/>
    </row>
    <row r="2832" ht="18.0" customHeight="1">
      <c r="A2832" s="1"/>
      <c r="B2832" s="26" t="s">
        <v>2508</v>
      </c>
      <c r="C2832" s="1"/>
      <c r="D2832" s="1"/>
      <c r="E2832" s="14"/>
      <c r="F2832" s="15"/>
      <c r="G2832" s="16"/>
      <c r="H2832" s="11"/>
      <c r="I2832" s="7"/>
      <c r="J2832" s="7" t="str">
        <f>IFERROR(LET(_xlpm.v,
VLOOKUP($I2832,'用語辞書'!$A:$B,COLUMN('用語辞書'!B$1),FALSE),
IF(_xlpm.v=0,"",_xlpm.v)
),"")</f>
        <v/>
      </c>
      <c r="K2832" s="17"/>
      <c r="L2832" s="17" t="str">
        <f>IF(OR(COUNTIF('クラス'!$A$1:$A$1267,$B2832)&gt;0,$B2832="",$M2832=""),"",True)</f>
        <v/>
      </c>
      <c r="M2832" s="1" t="str">
        <f t="shared" si="30"/>
        <v>存在しない</v>
      </c>
      <c r="N2832" s="1" t="s">
        <v>29</v>
      </c>
      <c r="O2832" s="1"/>
      <c r="P2832" s="11"/>
      <c r="Q2832" s="11"/>
      <c r="R2832" s="11"/>
      <c r="S2832" s="11"/>
      <c r="T2832" s="1"/>
      <c r="U2832" s="1"/>
      <c r="V2832" s="1"/>
      <c r="W2832" s="1"/>
      <c r="X2832" s="1"/>
      <c r="Y2832" s="1"/>
      <c r="Z2832" s="1"/>
    </row>
    <row r="2833" ht="18.0" hidden="1" customHeight="1" outlineLevel="1">
      <c r="A2833" s="1">
        <v>1.0</v>
      </c>
      <c r="B2833" s="1"/>
      <c r="C2833" s="1"/>
      <c r="D2833" s="1"/>
      <c r="E2833" s="14"/>
      <c r="F2833" s="15"/>
      <c r="G2833" s="16"/>
      <c r="H2833" s="11"/>
      <c r="I2833" s="7"/>
      <c r="J2833" s="7" t="str">
        <f>IFERROR(LET(_xlpm.v,
VLOOKUP($I2833,'用語辞書'!$A:$B,COLUMN('用語辞書'!B$1),FALSE),
IF(_xlpm.v=0,"",_xlpm.v)
),"")</f>
        <v/>
      </c>
      <c r="K2833" s="17"/>
      <c r="L2833" s="17" t="str">
        <f>IF(OR(COUNTIF('クラス'!$A$1:$A$1267,$B2833)&gt;0,$B2833="",$M2833=""),"",True)</f>
        <v/>
      </c>
      <c r="M2833" s="1" t="str">
        <f t="shared" si="30"/>
        <v>存在しない</v>
      </c>
      <c r="N2833" s="1" t="s">
        <v>29</v>
      </c>
      <c r="O2833" s="1"/>
      <c r="P2833" s="11"/>
      <c r="Q2833" s="11"/>
      <c r="R2833" s="11"/>
      <c r="S2833" s="11"/>
      <c r="T2833" s="1"/>
      <c r="U2833" s="1"/>
      <c r="V2833" s="1"/>
      <c r="W2833" s="1"/>
      <c r="X2833" s="1"/>
      <c r="Y2833" s="1"/>
      <c r="Z2833" s="1"/>
    </row>
    <row r="2834" ht="18.0" hidden="1" customHeight="1" outlineLevel="1">
      <c r="A2834" s="1">
        <v>2.0</v>
      </c>
      <c r="B2834" s="1"/>
      <c r="C2834" s="1"/>
      <c r="D2834" s="1"/>
      <c r="E2834" s="14"/>
      <c r="F2834" s="15"/>
      <c r="G2834" s="16"/>
      <c r="H2834" s="11"/>
      <c r="I2834" s="7"/>
      <c r="J2834" s="7" t="str">
        <f>IFERROR(LET(_xlpm.v,
VLOOKUP($I2834,'用語辞書'!$A:$B,COLUMN('用語辞書'!B$1),FALSE),
IF(_xlpm.v=0,"",_xlpm.v)
),"")</f>
        <v/>
      </c>
      <c r="K2834" s="17"/>
      <c r="L2834" s="17" t="str">
        <f>IF(OR(COUNTIF('クラス'!$A$1:$A$1267,$B2834)&gt;0,$B2834="",$M2834=""),"",True)</f>
        <v/>
      </c>
      <c r="M2834" s="1" t="str">
        <f t="shared" si="30"/>
        <v>存在しない</v>
      </c>
      <c r="N2834" s="1" t="s">
        <v>29</v>
      </c>
      <c r="O2834" s="1"/>
      <c r="P2834" s="11"/>
      <c r="Q2834" s="11"/>
      <c r="R2834" s="11"/>
      <c r="S2834" s="11"/>
      <c r="T2834" s="1"/>
      <c r="U2834" s="1"/>
      <c r="V2834" s="1"/>
      <c r="W2834" s="1"/>
      <c r="X2834" s="1"/>
      <c r="Y2834" s="1"/>
      <c r="Z2834" s="1"/>
    </row>
    <row r="2835" ht="18.0" hidden="1" customHeight="1" outlineLevel="1">
      <c r="A2835" s="1">
        <v>3.0</v>
      </c>
      <c r="B2835" s="1"/>
      <c r="C2835" s="1"/>
      <c r="D2835" s="1"/>
      <c r="E2835" s="14"/>
      <c r="F2835" s="15"/>
      <c r="G2835" s="16"/>
      <c r="H2835" s="11"/>
      <c r="I2835" s="7"/>
      <c r="J2835" s="7" t="str">
        <f>IFERROR(LET(_xlpm.v,
VLOOKUP($I2835,'用語辞書'!$A:$B,COLUMN('用語辞書'!B$1),FALSE),
IF(_xlpm.v=0,"",_xlpm.v)
),"")</f>
        <v/>
      </c>
      <c r="K2835" s="17"/>
      <c r="L2835" s="17" t="str">
        <f>IF(OR(COUNTIF('クラス'!$A$1:$A$1267,$B2835)&gt;0,$B2835="",$M2835=""),"",True)</f>
        <v/>
      </c>
      <c r="M2835" s="1" t="str">
        <f t="shared" si="30"/>
        <v>存在しない</v>
      </c>
      <c r="N2835" s="1" t="s">
        <v>29</v>
      </c>
      <c r="O2835" s="1"/>
      <c r="P2835" s="11"/>
      <c r="Q2835" s="11"/>
      <c r="R2835" s="11"/>
      <c r="S2835" s="11"/>
      <c r="T2835" s="1"/>
      <c r="U2835" s="1"/>
      <c r="V2835" s="1"/>
      <c r="W2835" s="1"/>
      <c r="X2835" s="1"/>
      <c r="Y2835" s="1"/>
      <c r="Z2835" s="1"/>
    </row>
    <row r="2836" ht="18.0" hidden="1" customHeight="1" outlineLevel="1">
      <c r="A2836" s="1">
        <v>4.0</v>
      </c>
      <c r="B2836" s="1"/>
      <c r="C2836" s="1"/>
      <c r="D2836" s="1"/>
      <c r="E2836" s="14"/>
      <c r="F2836" s="15"/>
      <c r="G2836" s="16"/>
      <c r="H2836" s="11"/>
      <c r="I2836" s="7"/>
      <c r="J2836" s="7" t="str">
        <f>IFERROR(LET(_xlpm.v,
VLOOKUP($I2836,'用語辞書'!$A:$B,COLUMN('用語辞書'!B$1),FALSE),
IF(_xlpm.v=0,"",_xlpm.v)
),"")</f>
        <v/>
      </c>
      <c r="K2836" s="17"/>
      <c r="L2836" s="17" t="str">
        <f>IF(OR(COUNTIF('クラス'!$A$1:$A$1267,$B2836)&gt;0,$B2836="",$M2836=""),"",True)</f>
        <v/>
      </c>
      <c r="M2836" s="1" t="str">
        <f t="shared" si="30"/>
        <v>存在しない</v>
      </c>
      <c r="N2836" s="1" t="s">
        <v>29</v>
      </c>
      <c r="O2836" s="1"/>
      <c r="P2836" s="11"/>
      <c r="Q2836" s="11"/>
      <c r="R2836" s="11"/>
      <c r="S2836" s="11"/>
      <c r="T2836" s="1"/>
      <c r="U2836" s="1"/>
      <c r="V2836" s="1"/>
      <c r="W2836" s="1"/>
      <c r="X2836" s="1"/>
      <c r="Y2836" s="1"/>
      <c r="Z2836" s="1"/>
    </row>
    <row r="2837" ht="18.0" hidden="1" customHeight="1" outlineLevel="1">
      <c r="A2837" s="1">
        <v>5.0</v>
      </c>
      <c r="B2837" s="1"/>
      <c r="C2837" s="1"/>
      <c r="D2837" s="1"/>
      <c r="E2837" s="14"/>
      <c r="F2837" s="15"/>
      <c r="G2837" s="16"/>
      <c r="H2837" s="11"/>
      <c r="I2837" s="7"/>
      <c r="J2837" s="7" t="str">
        <f>IFERROR(LET(_xlpm.v,
VLOOKUP($I2837,'用語辞書'!$A:$B,COLUMN('用語辞書'!B$1),FALSE),
IF(_xlpm.v=0,"",_xlpm.v)
),"")</f>
        <v/>
      </c>
      <c r="K2837" s="17"/>
      <c r="L2837" s="17" t="str">
        <f>IF(OR(COUNTIF('クラス'!$A$1:$A$1267,$B2837)&gt;0,$B2837="",$M2837=""),"",True)</f>
        <v/>
      </c>
      <c r="M2837" s="1" t="str">
        <f t="shared" si="30"/>
        <v>存在しない</v>
      </c>
      <c r="N2837" s="1" t="s">
        <v>29</v>
      </c>
      <c r="O2837" s="1"/>
      <c r="P2837" s="11"/>
      <c r="Q2837" s="11"/>
      <c r="R2837" s="11"/>
      <c r="S2837" s="11"/>
      <c r="T2837" s="1"/>
      <c r="U2837" s="1"/>
      <c r="V2837" s="1"/>
      <c r="W2837" s="1"/>
      <c r="X2837" s="1"/>
      <c r="Y2837" s="1"/>
      <c r="Z2837" s="1"/>
    </row>
    <row r="2838" ht="18.0" hidden="1" customHeight="1" outlineLevel="1">
      <c r="A2838" s="1">
        <v>6.0</v>
      </c>
      <c r="B2838" s="1"/>
      <c r="C2838" s="1"/>
      <c r="D2838" s="1"/>
      <c r="E2838" s="14"/>
      <c r="F2838" s="15"/>
      <c r="G2838" s="16"/>
      <c r="H2838" s="11"/>
      <c r="I2838" s="7"/>
      <c r="J2838" s="7" t="str">
        <f>IFERROR(LET(_xlpm.v,
VLOOKUP($I2838,'用語辞書'!$A:$B,COLUMN('用語辞書'!B$1),FALSE),
IF(_xlpm.v=0,"",_xlpm.v)
),"")</f>
        <v/>
      </c>
      <c r="K2838" s="17"/>
      <c r="L2838" s="17" t="str">
        <f>IF(OR(COUNTIF('クラス'!$A$1:$A$1267,$B2838)&gt;0,$B2838="",$M2838=""),"",True)</f>
        <v/>
      </c>
      <c r="M2838" s="1" t="str">
        <f t="shared" si="30"/>
        <v>存在しない</v>
      </c>
      <c r="N2838" s="1" t="s">
        <v>29</v>
      </c>
      <c r="O2838" s="1"/>
      <c r="P2838" s="11"/>
      <c r="Q2838" s="11"/>
      <c r="R2838" s="11"/>
      <c r="S2838" s="11"/>
      <c r="T2838" s="1"/>
      <c r="U2838" s="1"/>
      <c r="V2838" s="1"/>
      <c r="W2838" s="1"/>
      <c r="X2838" s="1"/>
      <c r="Y2838" s="1"/>
      <c r="Z2838" s="1"/>
    </row>
    <row r="2839" ht="18.0" hidden="1" customHeight="1" outlineLevel="1">
      <c r="A2839" s="1">
        <v>7.0</v>
      </c>
      <c r="B2839" s="1"/>
      <c r="C2839" s="1"/>
      <c r="D2839" s="1"/>
      <c r="E2839" s="14"/>
      <c r="F2839" s="15"/>
      <c r="G2839" s="16"/>
      <c r="H2839" s="11"/>
      <c r="I2839" s="7"/>
      <c r="J2839" s="7" t="str">
        <f>IFERROR(LET(_xlpm.v,
VLOOKUP($I2839,'用語辞書'!$A:$B,COLUMN('用語辞書'!B$1),FALSE),
IF(_xlpm.v=0,"",_xlpm.v)
),"")</f>
        <v/>
      </c>
      <c r="K2839" s="17"/>
      <c r="L2839" s="17" t="str">
        <f>IF(OR(COUNTIF('クラス'!$A$1:$A$1267,$B2839)&gt;0,$B2839="",$M2839=""),"",True)</f>
        <v/>
      </c>
      <c r="M2839" s="1" t="str">
        <f t="shared" si="30"/>
        <v>存在しない</v>
      </c>
      <c r="N2839" s="1" t="s">
        <v>29</v>
      </c>
      <c r="O2839" s="1"/>
      <c r="P2839" s="11"/>
      <c r="Q2839" s="11"/>
      <c r="R2839" s="11"/>
      <c r="S2839" s="11"/>
      <c r="T2839" s="1"/>
      <c r="U2839" s="1"/>
      <c r="V2839" s="1"/>
      <c r="W2839" s="1"/>
      <c r="X2839" s="1"/>
      <c r="Y2839" s="1"/>
      <c r="Z2839" s="1"/>
    </row>
    <row r="2840" ht="18.0" hidden="1" customHeight="1" outlineLevel="1">
      <c r="A2840" s="1">
        <v>8.0</v>
      </c>
      <c r="B2840" s="1"/>
      <c r="C2840" s="1"/>
      <c r="D2840" s="1"/>
      <c r="E2840" s="14"/>
      <c r="F2840" s="15"/>
      <c r="G2840" s="16"/>
      <c r="H2840" s="11"/>
      <c r="I2840" s="7"/>
      <c r="J2840" s="7" t="str">
        <f>IFERROR(LET(_xlpm.v,
VLOOKUP($I2840,'用語辞書'!$A:$B,COLUMN('用語辞書'!B$1),FALSE),
IF(_xlpm.v=0,"",_xlpm.v)
),"")</f>
        <v/>
      </c>
      <c r="K2840" s="17"/>
      <c r="L2840" s="17" t="str">
        <f>IF(OR(COUNTIF('クラス'!$A$1:$A$1267,$B2840)&gt;0,$B2840="",$M2840=""),"",True)</f>
        <v/>
      </c>
      <c r="M2840" s="1" t="str">
        <f t="shared" si="30"/>
        <v>存在しない</v>
      </c>
      <c r="N2840" s="1" t="s">
        <v>29</v>
      </c>
      <c r="O2840" s="1"/>
      <c r="P2840" s="11"/>
      <c r="Q2840" s="11"/>
      <c r="R2840" s="11"/>
      <c r="S2840" s="11"/>
      <c r="T2840" s="1"/>
      <c r="U2840" s="1"/>
      <c r="V2840" s="1"/>
      <c r="W2840" s="1"/>
      <c r="X2840" s="1"/>
      <c r="Y2840" s="1"/>
      <c r="Z2840" s="1"/>
    </row>
    <row r="2841" ht="18.0" hidden="1" customHeight="1" outlineLevel="1">
      <c r="A2841" s="1">
        <v>9.0</v>
      </c>
      <c r="B2841" s="1"/>
      <c r="C2841" s="1"/>
      <c r="D2841" s="1"/>
      <c r="E2841" s="14"/>
      <c r="F2841" s="15"/>
      <c r="G2841" s="16"/>
      <c r="H2841" s="11"/>
      <c r="I2841" s="7"/>
      <c r="J2841" s="7" t="str">
        <f>IFERROR(LET(_xlpm.v,
VLOOKUP($I2841,'用語辞書'!$A:$B,COLUMN('用語辞書'!B$1),FALSE),
IF(_xlpm.v=0,"",_xlpm.v)
),"")</f>
        <v/>
      </c>
      <c r="K2841" s="17"/>
      <c r="L2841" s="17" t="str">
        <f>IF(OR(COUNTIF('クラス'!$A$1:$A$1267,$B2841)&gt;0,$B2841="",$M2841=""),"",True)</f>
        <v/>
      </c>
      <c r="M2841" s="1" t="str">
        <f t="shared" si="30"/>
        <v>存在しない</v>
      </c>
      <c r="N2841" s="1" t="s">
        <v>29</v>
      </c>
      <c r="O2841" s="1"/>
      <c r="P2841" s="11"/>
      <c r="Q2841" s="11"/>
      <c r="R2841" s="11"/>
      <c r="S2841" s="11"/>
      <c r="T2841" s="1"/>
      <c r="U2841" s="1"/>
      <c r="V2841" s="1"/>
      <c r="W2841" s="1"/>
      <c r="X2841" s="1"/>
      <c r="Y2841" s="1"/>
      <c r="Z2841" s="1"/>
    </row>
    <row r="2842" ht="18.0" hidden="1" customHeight="1" outlineLevel="1">
      <c r="A2842" s="1">
        <v>10.0</v>
      </c>
      <c r="B2842" s="1"/>
      <c r="C2842" s="1"/>
      <c r="D2842" s="1"/>
      <c r="E2842" s="14"/>
      <c r="F2842" s="15"/>
      <c r="G2842" s="16"/>
      <c r="H2842" s="11"/>
      <c r="I2842" s="7"/>
      <c r="J2842" s="7" t="str">
        <f>IFERROR(LET(_xlpm.v,
VLOOKUP($I2842,'用語辞書'!$A:$B,COLUMN('用語辞書'!B$1),FALSE),
IF(_xlpm.v=0,"",_xlpm.v)
),"")</f>
        <v/>
      </c>
      <c r="K2842" s="17"/>
      <c r="L2842" s="17" t="str">
        <f>IF(OR(COUNTIF('クラス'!$A$1:$A$1267,$B2842)&gt;0,$B2842="",$M2842=""),"",True)</f>
        <v/>
      </c>
      <c r="M2842" s="1" t="str">
        <f t="shared" si="30"/>
        <v>存在しない</v>
      </c>
      <c r="N2842" s="1" t="s">
        <v>29</v>
      </c>
      <c r="O2842" s="1"/>
      <c r="P2842" s="11"/>
      <c r="Q2842" s="11"/>
      <c r="R2842" s="11"/>
      <c r="S2842" s="11"/>
      <c r="T2842" s="1"/>
      <c r="U2842" s="1"/>
      <c r="V2842" s="1"/>
      <c r="W2842" s="1"/>
      <c r="X2842" s="1"/>
      <c r="Y2842" s="1"/>
      <c r="Z2842" s="1"/>
    </row>
    <row r="2843" ht="18.0" customHeight="1" collapsed="1">
      <c r="A2843" s="1"/>
      <c r="B2843" s="1"/>
      <c r="C2843" s="1"/>
      <c r="D2843" s="1"/>
      <c r="E2843" s="14"/>
      <c r="F2843" s="15"/>
      <c r="G2843" s="16"/>
      <c r="H2843" s="11"/>
      <c r="I2843" s="7"/>
      <c r="J2843" s="7" t="str">
        <f>IFERROR(LET(_xlpm.v,
VLOOKUP($I2843,'用語辞書'!$A:$B,COLUMN('用語辞書'!B$1),FALSE),
IF(_xlpm.v=0,"",_xlpm.v)
),"")</f>
        <v/>
      </c>
      <c r="K2843" s="17"/>
      <c r="L2843" s="17" t="str">
        <f>IF(OR(COUNTIF('クラス'!$A$1:$A$1267,$B2843)&gt;0,$B2843="",$M2843=""),"",True)</f>
        <v/>
      </c>
      <c r="M2843" s="1" t="str">
        <f t="shared" si="30"/>
        <v>存在しない</v>
      </c>
      <c r="N2843" s="1" t="s">
        <v>29</v>
      </c>
      <c r="O2843" s="1"/>
      <c r="P2843" s="11"/>
      <c r="Q2843" s="11"/>
      <c r="R2843" s="11"/>
      <c r="S2843" s="11"/>
      <c r="T2843" s="1"/>
      <c r="U2843" s="1"/>
      <c r="V2843" s="1"/>
      <c r="W2843" s="1"/>
      <c r="X2843" s="1"/>
      <c r="Y2843" s="1"/>
      <c r="Z2843" s="1"/>
    </row>
    <row r="2844" ht="18.0" customHeight="1">
      <c r="A2844" s="1"/>
      <c r="B2844" s="26" t="s">
        <v>2509</v>
      </c>
      <c r="C2844" s="1"/>
      <c r="D2844" s="1"/>
      <c r="E2844" s="14"/>
      <c r="F2844" s="15"/>
      <c r="G2844" s="16"/>
      <c r="H2844" s="11"/>
      <c r="I2844" s="7"/>
      <c r="J2844" s="7" t="str">
        <f>IFERROR(LET(_xlpm.v,
VLOOKUP($I2844,'用語辞書'!$A:$B,COLUMN('用語辞書'!B$1),FALSE),
IF(_xlpm.v=0,"",_xlpm.v)
),"")</f>
        <v/>
      </c>
      <c r="K2844" s="17"/>
      <c r="L2844" s="17" t="str">
        <f>IF(OR(COUNTIF('クラス'!$A$1:$A$1267,$B2844)&gt;0,$B2844="",$M2844=""),"",True)</f>
        <v/>
      </c>
      <c r="M2844" s="1" t="str">
        <f t="shared" si="30"/>
        <v>存在しない</v>
      </c>
      <c r="N2844" s="1" t="s">
        <v>29</v>
      </c>
      <c r="O2844" s="1"/>
      <c r="P2844" s="11"/>
      <c r="Q2844" s="11"/>
      <c r="R2844" s="11"/>
      <c r="S2844" s="11"/>
      <c r="T2844" s="1"/>
      <c r="U2844" s="1"/>
      <c r="V2844" s="1"/>
      <c r="W2844" s="1"/>
      <c r="X2844" s="1"/>
      <c r="Y2844" s="1"/>
      <c r="Z2844" s="1"/>
    </row>
    <row r="2845" ht="18.0" hidden="1" customHeight="1" outlineLevel="1">
      <c r="A2845" s="1">
        <v>1.0</v>
      </c>
      <c r="B2845" s="1"/>
      <c r="C2845" s="1"/>
      <c r="D2845" s="1"/>
      <c r="E2845" s="14"/>
      <c r="F2845" s="15"/>
      <c r="G2845" s="16"/>
      <c r="H2845" s="11"/>
      <c r="I2845" s="7"/>
      <c r="J2845" s="7" t="str">
        <f>IFERROR(LET(_xlpm.v,
VLOOKUP($I2845,'用語辞書'!$A:$B,COLUMN('用語辞書'!B$1),FALSE),
IF(_xlpm.v=0,"",_xlpm.v)
),"")</f>
        <v/>
      </c>
      <c r="K2845" s="17"/>
      <c r="L2845" s="17" t="str">
        <f>IF(OR(COUNTIF('クラス'!$A$1:$A$1267,$B2845)&gt;0,$B2845="",$M2845=""),"",True)</f>
        <v/>
      </c>
      <c r="M2845" s="1" t="str">
        <f t="shared" si="30"/>
        <v>存在しない</v>
      </c>
      <c r="N2845" s="1" t="s">
        <v>29</v>
      </c>
      <c r="O2845" s="1"/>
      <c r="P2845" s="11"/>
      <c r="Q2845" s="11"/>
      <c r="R2845" s="11"/>
      <c r="S2845" s="11"/>
      <c r="T2845" s="1"/>
      <c r="U2845" s="1"/>
      <c r="V2845" s="1"/>
      <c r="W2845" s="1"/>
      <c r="X2845" s="1"/>
      <c r="Y2845" s="1"/>
      <c r="Z2845" s="1"/>
    </row>
    <row r="2846" ht="18.0" hidden="1" customHeight="1" outlineLevel="1">
      <c r="A2846" s="1">
        <v>2.0</v>
      </c>
      <c r="B2846" s="1"/>
      <c r="C2846" s="1"/>
      <c r="D2846" s="1"/>
      <c r="E2846" s="14"/>
      <c r="F2846" s="15"/>
      <c r="G2846" s="16"/>
      <c r="H2846" s="11"/>
      <c r="I2846" s="7"/>
      <c r="J2846" s="7" t="str">
        <f>IFERROR(LET(_xlpm.v,
VLOOKUP($I2846,'用語辞書'!$A:$B,COLUMN('用語辞書'!B$1),FALSE),
IF(_xlpm.v=0,"",_xlpm.v)
),"")</f>
        <v/>
      </c>
      <c r="K2846" s="17"/>
      <c r="L2846" s="17" t="str">
        <f>IF(OR(COUNTIF('クラス'!$A$1:$A$1267,$B2846)&gt;0,$B2846="",$M2846=""),"",True)</f>
        <v/>
      </c>
      <c r="M2846" s="1" t="str">
        <f t="shared" si="30"/>
        <v>存在しない</v>
      </c>
      <c r="N2846" s="1" t="s">
        <v>29</v>
      </c>
      <c r="O2846" s="1"/>
      <c r="P2846" s="11"/>
      <c r="Q2846" s="11"/>
      <c r="R2846" s="11"/>
      <c r="S2846" s="11"/>
      <c r="T2846" s="1"/>
      <c r="U2846" s="1"/>
      <c r="V2846" s="1"/>
      <c r="W2846" s="1"/>
      <c r="X2846" s="1"/>
      <c r="Y2846" s="1"/>
      <c r="Z2846" s="1"/>
    </row>
    <row r="2847" ht="18.0" hidden="1" customHeight="1" outlineLevel="1">
      <c r="A2847" s="1">
        <v>3.0</v>
      </c>
      <c r="B2847" s="1"/>
      <c r="C2847" s="1"/>
      <c r="D2847" s="1"/>
      <c r="E2847" s="14"/>
      <c r="F2847" s="15"/>
      <c r="G2847" s="16"/>
      <c r="H2847" s="11"/>
      <c r="I2847" s="7"/>
      <c r="J2847" s="7" t="str">
        <f>IFERROR(LET(_xlpm.v,
VLOOKUP($I2847,'用語辞書'!$A:$B,COLUMN('用語辞書'!B$1),FALSE),
IF(_xlpm.v=0,"",_xlpm.v)
),"")</f>
        <v/>
      </c>
      <c r="K2847" s="17"/>
      <c r="L2847" s="17" t="str">
        <f>IF(OR(COUNTIF('クラス'!$A$1:$A$1267,$B2847)&gt;0,$B2847="",$M2847=""),"",True)</f>
        <v/>
      </c>
      <c r="M2847" s="1" t="str">
        <f t="shared" si="30"/>
        <v>存在しない</v>
      </c>
      <c r="N2847" s="1" t="s">
        <v>29</v>
      </c>
      <c r="O2847" s="1"/>
      <c r="P2847" s="11"/>
      <c r="Q2847" s="11"/>
      <c r="R2847" s="11"/>
      <c r="S2847" s="11"/>
      <c r="T2847" s="1"/>
      <c r="U2847" s="1"/>
      <c r="V2847" s="1"/>
      <c r="W2847" s="1"/>
      <c r="X2847" s="1"/>
      <c r="Y2847" s="1"/>
      <c r="Z2847" s="1"/>
    </row>
    <row r="2848" ht="18.0" hidden="1" customHeight="1" outlineLevel="1">
      <c r="A2848" s="1">
        <v>4.0</v>
      </c>
      <c r="B2848" s="1"/>
      <c r="C2848" s="1"/>
      <c r="D2848" s="1"/>
      <c r="E2848" s="14"/>
      <c r="F2848" s="15"/>
      <c r="G2848" s="16"/>
      <c r="H2848" s="11"/>
      <c r="I2848" s="7"/>
      <c r="J2848" s="7" t="str">
        <f>IFERROR(LET(_xlpm.v,
VLOOKUP($I2848,'用語辞書'!$A:$B,COLUMN('用語辞書'!B$1),FALSE),
IF(_xlpm.v=0,"",_xlpm.v)
),"")</f>
        <v/>
      </c>
      <c r="K2848" s="17"/>
      <c r="L2848" s="17" t="str">
        <f>IF(OR(COUNTIF('クラス'!$A$1:$A$1267,$B2848)&gt;0,$B2848="",$M2848=""),"",True)</f>
        <v/>
      </c>
      <c r="M2848" s="1" t="str">
        <f t="shared" si="30"/>
        <v>存在しない</v>
      </c>
      <c r="N2848" s="1" t="s">
        <v>29</v>
      </c>
      <c r="O2848" s="1"/>
      <c r="P2848" s="11"/>
      <c r="Q2848" s="11"/>
      <c r="R2848" s="11"/>
      <c r="S2848" s="11"/>
      <c r="T2848" s="1"/>
      <c r="U2848" s="1"/>
      <c r="V2848" s="1"/>
      <c r="W2848" s="1"/>
      <c r="X2848" s="1"/>
      <c r="Y2848" s="1"/>
      <c r="Z2848" s="1"/>
    </row>
    <row r="2849" ht="18.0" hidden="1" customHeight="1" outlineLevel="1">
      <c r="A2849" s="1">
        <v>5.0</v>
      </c>
      <c r="B2849" s="1"/>
      <c r="C2849" s="1"/>
      <c r="D2849" s="1"/>
      <c r="E2849" s="14"/>
      <c r="F2849" s="15"/>
      <c r="G2849" s="16"/>
      <c r="H2849" s="11"/>
      <c r="I2849" s="7"/>
      <c r="J2849" s="7" t="str">
        <f>IFERROR(LET(_xlpm.v,
VLOOKUP($I2849,'用語辞書'!$A:$B,COLUMN('用語辞書'!B$1),FALSE),
IF(_xlpm.v=0,"",_xlpm.v)
),"")</f>
        <v/>
      </c>
      <c r="K2849" s="17"/>
      <c r="L2849" s="17" t="str">
        <f>IF(OR(COUNTIF('クラス'!$A$1:$A$1267,$B2849)&gt;0,$B2849="",$M2849=""),"",True)</f>
        <v/>
      </c>
      <c r="M2849" s="1" t="str">
        <f t="shared" si="30"/>
        <v>存在しない</v>
      </c>
      <c r="N2849" s="1" t="s">
        <v>29</v>
      </c>
      <c r="O2849" s="1"/>
      <c r="P2849" s="11"/>
      <c r="Q2849" s="11"/>
      <c r="R2849" s="11"/>
      <c r="S2849" s="11"/>
      <c r="T2849" s="1"/>
      <c r="U2849" s="1"/>
      <c r="V2849" s="1"/>
      <c r="W2849" s="1"/>
      <c r="X2849" s="1"/>
      <c r="Y2849" s="1"/>
      <c r="Z2849" s="1"/>
    </row>
    <row r="2850" ht="18.0" hidden="1" customHeight="1" outlineLevel="1">
      <c r="A2850" s="1">
        <v>6.0</v>
      </c>
      <c r="B2850" s="1"/>
      <c r="C2850" s="1"/>
      <c r="D2850" s="1"/>
      <c r="E2850" s="14"/>
      <c r="F2850" s="15"/>
      <c r="G2850" s="16"/>
      <c r="H2850" s="11"/>
      <c r="I2850" s="7"/>
      <c r="J2850" s="7" t="str">
        <f>IFERROR(LET(_xlpm.v,
VLOOKUP($I2850,'用語辞書'!$A:$B,COLUMN('用語辞書'!B$1),FALSE),
IF(_xlpm.v=0,"",_xlpm.v)
),"")</f>
        <v/>
      </c>
      <c r="K2850" s="17"/>
      <c r="L2850" s="17" t="str">
        <f>IF(OR(COUNTIF('クラス'!$A$1:$A$1267,$B2850)&gt;0,$B2850="",$M2850=""),"",True)</f>
        <v/>
      </c>
      <c r="M2850" s="1" t="str">
        <f t="shared" si="30"/>
        <v>存在しない</v>
      </c>
      <c r="N2850" s="1" t="s">
        <v>29</v>
      </c>
      <c r="O2850" s="1"/>
      <c r="P2850" s="11"/>
      <c r="Q2850" s="11"/>
      <c r="R2850" s="11"/>
      <c r="S2850" s="11"/>
      <c r="T2850" s="1"/>
      <c r="U2850" s="1"/>
      <c r="V2850" s="1"/>
      <c r="W2850" s="1"/>
      <c r="X2850" s="1"/>
      <c r="Y2850" s="1"/>
      <c r="Z2850" s="1"/>
    </row>
    <row r="2851" ht="18.0" hidden="1" customHeight="1" outlineLevel="1">
      <c r="A2851" s="1">
        <v>7.0</v>
      </c>
      <c r="B2851" s="1"/>
      <c r="C2851" s="1"/>
      <c r="D2851" s="1"/>
      <c r="E2851" s="14"/>
      <c r="F2851" s="15"/>
      <c r="G2851" s="16"/>
      <c r="H2851" s="11"/>
      <c r="I2851" s="7"/>
      <c r="J2851" s="7" t="str">
        <f>IFERROR(LET(_xlpm.v,
VLOOKUP($I2851,'用語辞書'!$A:$B,COLUMN('用語辞書'!B$1),FALSE),
IF(_xlpm.v=0,"",_xlpm.v)
),"")</f>
        <v/>
      </c>
      <c r="K2851" s="17"/>
      <c r="L2851" s="17" t="str">
        <f>IF(OR(COUNTIF('クラス'!$A$1:$A$1267,$B2851)&gt;0,$B2851="",$M2851=""),"",True)</f>
        <v/>
      </c>
      <c r="M2851" s="1" t="str">
        <f t="shared" si="30"/>
        <v>存在しない</v>
      </c>
      <c r="N2851" s="1" t="s">
        <v>29</v>
      </c>
      <c r="O2851" s="1"/>
      <c r="P2851" s="11"/>
      <c r="Q2851" s="11"/>
      <c r="R2851" s="11"/>
      <c r="S2851" s="11"/>
      <c r="T2851" s="1"/>
      <c r="U2851" s="1"/>
      <c r="V2851" s="1"/>
      <c r="W2851" s="1"/>
      <c r="X2851" s="1"/>
      <c r="Y2851" s="1"/>
      <c r="Z2851" s="1"/>
    </row>
    <row r="2852" ht="18.0" hidden="1" customHeight="1" outlineLevel="1">
      <c r="A2852" s="1">
        <v>8.0</v>
      </c>
      <c r="B2852" s="1"/>
      <c r="C2852" s="1"/>
      <c r="D2852" s="1"/>
      <c r="E2852" s="14"/>
      <c r="F2852" s="15"/>
      <c r="G2852" s="16"/>
      <c r="H2852" s="11"/>
      <c r="I2852" s="7"/>
      <c r="J2852" s="7" t="str">
        <f>IFERROR(LET(_xlpm.v,
VLOOKUP($I2852,'用語辞書'!$A:$B,COLUMN('用語辞書'!B$1),FALSE),
IF(_xlpm.v=0,"",_xlpm.v)
),"")</f>
        <v/>
      </c>
      <c r="K2852" s="17"/>
      <c r="L2852" s="17" t="str">
        <f>IF(OR(COUNTIF('クラス'!$A$1:$A$1267,$B2852)&gt;0,$B2852="",$M2852=""),"",True)</f>
        <v/>
      </c>
      <c r="M2852" s="1" t="str">
        <f t="shared" si="30"/>
        <v>存在しない</v>
      </c>
      <c r="N2852" s="1" t="s">
        <v>29</v>
      </c>
      <c r="O2852" s="1"/>
      <c r="P2852" s="11"/>
      <c r="Q2852" s="11"/>
      <c r="R2852" s="11"/>
      <c r="S2852" s="11"/>
      <c r="T2852" s="1"/>
      <c r="U2852" s="1"/>
      <c r="V2852" s="1"/>
      <c r="W2852" s="1"/>
      <c r="X2852" s="1"/>
      <c r="Y2852" s="1"/>
      <c r="Z2852" s="1"/>
    </row>
    <row r="2853" ht="18.0" hidden="1" customHeight="1" outlineLevel="1">
      <c r="A2853" s="1">
        <v>9.0</v>
      </c>
      <c r="B2853" s="1"/>
      <c r="C2853" s="1"/>
      <c r="D2853" s="1"/>
      <c r="E2853" s="14"/>
      <c r="F2853" s="15"/>
      <c r="G2853" s="16"/>
      <c r="H2853" s="11"/>
      <c r="I2853" s="7"/>
      <c r="J2853" s="7" t="str">
        <f>IFERROR(LET(_xlpm.v,
VLOOKUP($I2853,'用語辞書'!$A:$B,COLUMN('用語辞書'!B$1),FALSE),
IF(_xlpm.v=0,"",_xlpm.v)
),"")</f>
        <v/>
      </c>
      <c r="K2853" s="17"/>
      <c r="L2853" s="17" t="str">
        <f>IF(OR(COUNTIF('クラス'!$A$1:$A$1267,$B2853)&gt;0,$B2853="",$M2853=""),"",True)</f>
        <v/>
      </c>
      <c r="M2853" s="1" t="str">
        <f t="shared" si="30"/>
        <v>存在しない</v>
      </c>
      <c r="N2853" s="1" t="s">
        <v>29</v>
      </c>
      <c r="O2853" s="1"/>
      <c r="P2853" s="11"/>
      <c r="Q2853" s="11"/>
      <c r="R2853" s="11"/>
      <c r="S2853" s="11"/>
      <c r="T2853" s="1"/>
      <c r="U2853" s="1"/>
      <c r="V2853" s="1"/>
      <c r="W2853" s="1"/>
      <c r="X2853" s="1"/>
      <c r="Y2853" s="1"/>
      <c r="Z2853" s="1"/>
    </row>
    <row r="2854" ht="18.0" hidden="1" customHeight="1" outlineLevel="1">
      <c r="A2854" s="1">
        <v>10.0</v>
      </c>
      <c r="B2854" s="1"/>
      <c r="C2854" s="1"/>
      <c r="D2854" s="1"/>
      <c r="E2854" s="14"/>
      <c r="F2854" s="15"/>
      <c r="G2854" s="16"/>
      <c r="H2854" s="11"/>
      <c r="I2854" s="7"/>
      <c r="J2854" s="7" t="str">
        <f>IFERROR(LET(_xlpm.v,
VLOOKUP($I2854,'用語辞書'!$A:$B,COLUMN('用語辞書'!B$1),FALSE),
IF(_xlpm.v=0,"",_xlpm.v)
),"")</f>
        <v/>
      </c>
      <c r="K2854" s="17"/>
      <c r="L2854" s="17" t="str">
        <f>IF(OR(COUNTIF('クラス'!$A$1:$A$1267,$B2854)&gt;0,$B2854="",$M2854=""),"",True)</f>
        <v/>
      </c>
      <c r="M2854" s="1" t="str">
        <f t="shared" si="30"/>
        <v>存在しない</v>
      </c>
      <c r="N2854" s="1" t="s">
        <v>29</v>
      </c>
      <c r="O2854" s="1"/>
      <c r="P2854" s="11"/>
      <c r="Q2854" s="11"/>
      <c r="R2854" s="11"/>
      <c r="S2854" s="11"/>
      <c r="T2854" s="1"/>
      <c r="U2854" s="1"/>
      <c r="V2854" s="1"/>
      <c r="W2854" s="1"/>
      <c r="X2854" s="1"/>
      <c r="Y2854" s="1"/>
      <c r="Z2854" s="1"/>
    </row>
    <row r="2855" ht="18.0" customHeight="1" collapsed="1">
      <c r="A2855" s="1"/>
      <c r="B2855" s="1"/>
      <c r="C2855" s="1"/>
      <c r="D2855" s="1"/>
      <c r="E2855" s="14"/>
      <c r="F2855" s="15"/>
      <c r="G2855" s="16"/>
      <c r="H2855" s="11"/>
      <c r="I2855" s="7"/>
      <c r="J2855" s="7" t="str">
        <f>IFERROR(LET(_xlpm.v,
VLOOKUP($I2855,'用語辞書'!$A:$B,COLUMN('用語辞書'!B$1),FALSE),
IF(_xlpm.v=0,"",_xlpm.v)
),"")</f>
        <v/>
      </c>
      <c r="K2855" s="17"/>
      <c r="L2855" s="17" t="str">
        <f>IF(OR(COUNTIF('クラス'!$A$1:$A$1267,$B2855)&gt;0,$B2855="",$M2855=""),"",True)</f>
        <v/>
      </c>
      <c r="M2855" s="1" t="str">
        <f t="shared" si="30"/>
        <v>存在しない</v>
      </c>
      <c r="N2855" s="1" t="s">
        <v>29</v>
      </c>
      <c r="O2855" s="1"/>
      <c r="P2855" s="11"/>
      <c r="Q2855" s="11"/>
      <c r="R2855" s="11"/>
      <c r="S2855" s="11"/>
      <c r="T2855" s="1"/>
      <c r="U2855" s="1"/>
      <c r="V2855" s="1"/>
      <c r="W2855" s="1"/>
      <c r="X2855" s="1"/>
      <c r="Y2855" s="1"/>
      <c r="Z2855" s="1"/>
    </row>
    <row r="2856" ht="18.0" customHeight="1">
      <c r="A2856" s="1"/>
      <c r="B2856" s="26" t="s">
        <v>2510</v>
      </c>
      <c r="C2856" s="1"/>
      <c r="D2856" s="1"/>
      <c r="E2856" s="14"/>
      <c r="F2856" s="15"/>
      <c r="G2856" s="16"/>
      <c r="H2856" s="11"/>
      <c r="I2856" s="7"/>
      <c r="J2856" s="7" t="str">
        <f>IFERROR(LET(_xlpm.v,
VLOOKUP($I2856,'用語辞書'!$A:$B,COLUMN('用語辞書'!B$1),FALSE),
IF(_xlpm.v=0,"",_xlpm.v)
),"")</f>
        <v/>
      </c>
      <c r="K2856" s="17"/>
      <c r="L2856" s="17" t="str">
        <f>IF(OR(COUNTIF('クラス'!$A$1:$A$1267,$B2856)&gt;0,$B2856="",$M2856=""),"",True)</f>
        <v/>
      </c>
      <c r="M2856" s="1" t="str">
        <f t="shared" si="30"/>
        <v>存在しない</v>
      </c>
      <c r="N2856" s="1" t="s">
        <v>29</v>
      </c>
      <c r="O2856" s="1"/>
      <c r="P2856" s="11"/>
      <c r="Q2856" s="11"/>
      <c r="R2856" s="11"/>
      <c r="S2856" s="11"/>
      <c r="T2856" s="1"/>
      <c r="U2856" s="1"/>
      <c r="V2856" s="1"/>
      <c r="W2856" s="1"/>
      <c r="X2856" s="1"/>
      <c r="Y2856" s="1"/>
      <c r="Z2856" s="1"/>
    </row>
    <row r="2857" ht="18.0" hidden="1" customHeight="1" outlineLevel="1">
      <c r="A2857" s="1">
        <v>1.0</v>
      </c>
      <c r="B2857" s="1"/>
      <c r="C2857" s="1"/>
      <c r="D2857" s="1"/>
      <c r="E2857" s="14"/>
      <c r="F2857" s="15"/>
      <c r="G2857" s="16"/>
      <c r="H2857" s="11"/>
      <c r="I2857" s="7"/>
      <c r="J2857" s="7" t="str">
        <f>IFERROR(LET(_xlpm.v,
VLOOKUP($I2857,'用語辞書'!$A:$B,COLUMN('用語辞書'!B$1),FALSE),
IF(_xlpm.v=0,"",_xlpm.v)
),"")</f>
        <v/>
      </c>
      <c r="K2857" s="17"/>
      <c r="L2857" s="17" t="str">
        <f>IF(OR(COUNTIF('クラス'!$A$1:$A$1267,$B2857)&gt;0,$B2857="",$M2857=""),"",True)</f>
        <v/>
      </c>
      <c r="M2857" s="1" t="str">
        <f t="shared" si="30"/>
        <v>存在しない</v>
      </c>
      <c r="N2857" s="1" t="s">
        <v>29</v>
      </c>
      <c r="O2857" s="1"/>
      <c r="P2857" s="11"/>
      <c r="Q2857" s="11"/>
      <c r="R2857" s="11"/>
      <c r="S2857" s="11"/>
      <c r="T2857" s="1"/>
      <c r="U2857" s="1"/>
      <c r="V2857" s="1"/>
      <c r="W2857" s="1"/>
      <c r="X2857" s="1"/>
      <c r="Y2857" s="1"/>
      <c r="Z2857" s="1"/>
    </row>
    <row r="2858" ht="18.0" hidden="1" customHeight="1" outlineLevel="1">
      <c r="A2858" s="1">
        <v>2.0</v>
      </c>
      <c r="B2858" s="1"/>
      <c r="C2858" s="1"/>
      <c r="D2858" s="1"/>
      <c r="E2858" s="14"/>
      <c r="F2858" s="15"/>
      <c r="G2858" s="16"/>
      <c r="H2858" s="11"/>
      <c r="I2858" s="7"/>
      <c r="J2858" s="7" t="str">
        <f>IFERROR(LET(_xlpm.v,
VLOOKUP($I2858,'用語辞書'!$A:$B,COLUMN('用語辞書'!B$1),FALSE),
IF(_xlpm.v=0,"",_xlpm.v)
),"")</f>
        <v/>
      </c>
      <c r="K2858" s="17"/>
      <c r="L2858" s="17" t="str">
        <f>IF(OR(COUNTIF('クラス'!$A$1:$A$1267,$B2858)&gt;0,$B2858="",$M2858=""),"",True)</f>
        <v/>
      </c>
      <c r="M2858" s="1" t="str">
        <f t="shared" si="30"/>
        <v>存在しない</v>
      </c>
      <c r="N2858" s="1" t="s">
        <v>29</v>
      </c>
      <c r="O2858" s="1"/>
      <c r="P2858" s="11"/>
      <c r="Q2858" s="11"/>
      <c r="R2858" s="11"/>
      <c r="S2858" s="11"/>
      <c r="T2858" s="1"/>
      <c r="U2858" s="1"/>
      <c r="V2858" s="1"/>
      <c r="W2858" s="1"/>
      <c r="X2858" s="1"/>
      <c r="Y2858" s="1"/>
      <c r="Z2858" s="1"/>
    </row>
    <row r="2859" ht="18.0" hidden="1" customHeight="1" outlineLevel="1">
      <c r="A2859" s="1">
        <v>3.0</v>
      </c>
      <c r="B2859" s="1"/>
      <c r="C2859" s="1"/>
      <c r="D2859" s="1"/>
      <c r="E2859" s="14"/>
      <c r="F2859" s="15"/>
      <c r="G2859" s="16"/>
      <c r="H2859" s="11"/>
      <c r="I2859" s="7"/>
      <c r="J2859" s="7" t="str">
        <f>IFERROR(LET(_xlpm.v,
VLOOKUP($I2859,'用語辞書'!$A:$B,COLUMN('用語辞書'!B$1),FALSE),
IF(_xlpm.v=0,"",_xlpm.v)
),"")</f>
        <v/>
      </c>
      <c r="K2859" s="17"/>
      <c r="L2859" s="17" t="str">
        <f>IF(OR(COUNTIF('クラス'!$A$1:$A$1267,$B2859)&gt;0,$B2859="",$M2859=""),"",True)</f>
        <v/>
      </c>
      <c r="M2859" s="1" t="str">
        <f t="shared" si="30"/>
        <v>存在しない</v>
      </c>
      <c r="N2859" s="1" t="s">
        <v>29</v>
      </c>
      <c r="O2859" s="1"/>
      <c r="P2859" s="11"/>
      <c r="Q2859" s="11"/>
      <c r="R2859" s="11"/>
      <c r="S2859" s="11"/>
      <c r="T2859" s="1"/>
      <c r="U2859" s="1"/>
      <c r="V2859" s="1"/>
      <c r="W2859" s="1"/>
      <c r="X2859" s="1"/>
      <c r="Y2859" s="1"/>
      <c r="Z2859" s="1"/>
    </row>
    <row r="2860" ht="18.0" hidden="1" customHeight="1" outlineLevel="1">
      <c r="A2860" s="1">
        <v>4.0</v>
      </c>
      <c r="B2860" s="1"/>
      <c r="C2860" s="1"/>
      <c r="D2860" s="1"/>
      <c r="E2860" s="14"/>
      <c r="F2860" s="15"/>
      <c r="G2860" s="16"/>
      <c r="H2860" s="11"/>
      <c r="I2860" s="7"/>
      <c r="J2860" s="7" t="str">
        <f>IFERROR(LET(_xlpm.v,
VLOOKUP($I2860,'用語辞書'!$A:$B,COLUMN('用語辞書'!B$1),FALSE),
IF(_xlpm.v=0,"",_xlpm.v)
),"")</f>
        <v/>
      </c>
      <c r="K2860" s="17"/>
      <c r="L2860" s="17" t="str">
        <f>IF(OR(COUNTIF('クラス'!$A$1:$A$1267,$B2860)&gt;0,$B2860="",$M2860=""),"",True)</f>
        <v/>
      </c>
      <c r="M2860" s="1" t="str">
        <f t="shared" si="30"/>
        <v>存在しない</v>
      </c>
      <c r="N2860" s="1" t="s">
        <v>29</v>
      </c>
      <c r="O2860" s="1"/>
      <c r="P2860" s="11"/>
      <c r="Q2860" s="11"/>
      <c r="R2860" s="11"/>
      <c r="S2860" s="11"/>
      <c r="T2860" s="1"/>
      <c r="U2860" s="1"/>
      <c r="V2860" s="1"/>
      <c r="W2860" s="1"/>
      <c r="X2860" s="1"/>
      <c r="Y2860" s="1"/>
      <c r="Z2860" s="1"/>
    </row>
    <row r="2861" ht="18.0" hidden="1" customHeight="1" outlineLevel="1">
      <c r="A2861" s="1">
        <v>5.0</v>
      </c>
      <c r="B2861" s="1"/>
      <c r="C2861" s="1"/>
      <c r="D2861" s="1"/>
      <c r="E2861" s="14"/>
      <c r="F2861" s="15"/>
      <c r="G2861" s="16"/>
      <c r="H2861" s="11"/>
      <c r="I2861" s="7"/>
      <c r="J2861" s="7" t="str">
        <f>IFERROR(LET(_xlpm.v,
VLOOKUP($I2861,'用語辞書'!$A:$B,COLUMN('用語辞書'!B$1),FALSE),
IF(_xlpm.v=0,"",_xlpm.v)
),"")</f>
        <v/>
      </c>
      <c r="K2861" s="17"/>
      <c r="L2861" s="17" t="str">
        <f>IF(OR(COUNTIF('クラス'!$A$1:$A$1267,$B2861)&gt;0,$B2861="",$M2861=""),"",True)</f>
        <v/>
      </c>
      <c r="M2861" s="1" t="str">
        <f t="shared" si="30"/>
        <v>存在しない</v>
      </c>
      <c r="N2861" s="1" t="s">
        <v>29</v>
      </c>
      <c r="O2861" s="1"/>
      <c r="P2861" s="11"/>
      <c r="Q2861" s="11"/>
      <c r="R2861" s="11"/>
      <c r="S2861" s="11"/>
      <c r="T2861" s="1"/>
      <c r="U2861" s="1"/>
      <c r="V2861" s="1"/>
      <c r="W2861" s="1"/>
      <c r="X2861" s="1"/>
      <c r="Y2861" s="1"/>
      <c r="Z2861" s="1"/>
    </row>
    <row r="2862" ht="18.0" hidden="1" customHeight="1" outlineLevel="1">
      <c r="A2862" s="1">
        <v>6.0</v>
      </c>
      <c r="B2862" s="1"/>
      <c r="C2862" s="1"/>
      <c r="D2862" s="1"/>
      <c r="E2862" s="14"/>
      <c r="F2862" s="15"/>
      <c r="G2862" s="16"/>
      <c r="H2862" s="11"/>
      <c r="I2862" s="7"/>
      <c r="J2862" s="7" t="str">
        <f>IFERROR(LET(_xlpm.v,
VLOOKUP($I2862,'用語辞書'!$A:$B,COLUMN('用語辞書'!B$1),FALSE),
IF(_xlpm.v=0,"",_xlpm.v)
),"")</f>
        <v/>
      </c>
      <c r="K2862" s="17"/>
      <c r="L2862" s="17" t="str">
        <f>IF(OR(COUNTIF('クラス'!$A$1:$A$1267,$B2862)&gt;0,$B2862="",$M2862=""),"",True)</f>
        <v/>
      </c>
      <c r="M2862" s="1" t="str">
        <f t="shared" si="30"/>
        <v>存在しない</v>
      </c>
      <c r="N2862" s="1" t="s">
        <v>29</v>
      </c>
      <c r="O2862" s="1"/>
      <c r="P2862" s="11"/>
      <c r="Q2862" s="11"/>
      <c r="R2862" s="11"/>
      <c r="S2862" s="11"/>
      <c r="T2862" s="1"/>
      <c r="U2862" s="1"/>
      <c r="V2862" s="1"/>
      <c r="W2862" s="1"/>
      <c r="X2862" s="1"/>
      <c r="Y2862" s="1"/>
      <c r="Z2862" s="1"/>
    </row>
    <row r="2863" ht="18.0" hidden="1" customHeight="1" outlineLevel="1">
      <c r="A2863" s="1">
        <v>7.0</v>
      </c>
      <c r="B2863" s="1"/>
      <c r="C2863" s="1"/>
      <c r="D2863" s="1"/>
      <c r="E2863" s="14"/>
      <c r="F2863" s="15"/>
      <c r="G2863" s="16"/>
      <c r="H2863" s="11"/>
      <c r="I2863" s="7"/>
      <c r="J2863" s="7" t="str">
        <f>IFERROR(LET(_xlpm.v,
VLOOKUP($I2863,'用語辞書'!$A:$B,COLUMN('用語辞書'!B$1),FALSE),
IF(_xlpm.v=0,"",_xlpm.v)
),"")</f>
        <v/>
      </c>
      <c r="K2863" s="17"/>
      <c r="L2863" s="17" t="str">
        <f>IF(OR(COUNTIF('クラス'!$A$1:$A$1267,$B2863)&gt;0,$B2863="",$M2863=""),"",True)</f>
        <v/>
      </c>
      <c r="M2863" s="1" t="str">
        <f t="shared" si="30"/>
        <v>存在しない</v>
      </c>
      <c r="N2863" s="1" t="s">
        <v>29</v>
      </c>
      <c r="O2863" s="1"/>
      <c r="P2863" s="11"/>
      <c r="Q2863" s="11"/>
      <c r="R2863" s="11"/>
      <c r="S2863" s="11"/>
      <c r="T2863" s="1"/>
      <c r="U2863" s="1"/>
      <c r="V2863" s="1"/>
      <c r="W2863" s="1"/>
      <c r="X2863" s="1"/>
      <c r="Y2863" s="1"/>
      <c r="Z2863" s="1"/>
    </row>
    <row r="2864" ht="18.0" hidden="1" customHeight="1" outlineLevel="1">
      <c r="A2864" s="1">
        <v>8.0</v>
      </c>
      <c r="B2864" s="1"/>
      <c r="C2864" s="1"/>
      <c r="D2864" s="1"/>
      <c r="E2864" s="14"/>
      <c r="F2864" s="15"/>
      <c r="G2864" s="16"/>
      <c r="H2864" s="11"/>
      <c r="I2864" s="7"/>
      <c r="J2864" s="7" t="str">
        <f>IFERROR(LET(_xlpm.v,
VLOOKUP($I2864,'用語辞書'!$A:$B,COLUMN('用語辞書'!B$1),FALSE),
IF(_xlpm.v=0,"",_xlpm.v)
),"")</f>
        <v/>
      </c>
      <c r="K2864" s="17"/>
      <c r="L2864" s="17" t="str">
        <f>IF(OR(COUNTIF('クラス'!$A$1:$A$1267,$B2864)&gt;0,$B2864="",$M2864=""),"",True)</f>
        <v/>
      </c>
      <c r="M2864" s="1" t="str">
        <f t="shared" si="30"/>
        <v>存在しない</v>
      </c>
      <c r="N2864" s="1" t="s">
        <v>29</v>
      </c>
      <c r="O2864" s="1"/>
      <c r="P2864" s="11"/>
      <c r="Q2864" s="11"/>
      <c r="R2864" s="11"/>
      <c r="S2864" s="11"/>
      <c r="T2864" s="1"/>
      <c r="U2864" s="1"/>
      <c r="V2864" s="1"/>
      <c r="W2864" s="1"/>
      <c r="X2864" s="1"/>
      <c r="Y2864" s="1"/>
      <c r="Z2864" s="1"/>
    </row>
    <row r="2865" ht="18.0" hidden="1" customHeight="1" outlineLevel="1">
      <c r="A2865" s="1">
        <v>9.0</v>
      </c>
      <c r="B2865" s="1"/>
      <c r="C2865" s="1"/>
      <c r="D2865" s="1"/>
      <c r="E2865" s="14"/>
      <c r="F2865" s="15"/>
      <c r="G2865" s="16"/>
      <c r="H2865" s="11"/>
      <c r="I2865" s="7"/>
      <c r="J2865" s="7" t="str">
        <f>IFERROR(LET(_xlpm.v,
VLOOKUP($I2865,'用語辞書'!$A:$B,COLUMN('用語辞書'!B$1),FALSE),
IF(_xlpm.v=0,"",_xlpm.v)
),"")</f>
        <v/>
      </c>
      <c r="K2865" s="17"/>
      <c r="L2865" s="17" t="str">
        <f>IF(OR(COUNTIF('クラス'!$A$1:$A$1267,$B2865)&gt;0,$B2865="",$M2865=""),"",True)</f>
        <v/>
      </c>
      <c r="M2865" s="1" t="str">
        <f t="shared" si="30"/>
        <v>存在しない</v>
      </c>
      <c r="N2865" s="1" t="s">
        <v>29</v>
      </c>
      <c r="O2865" s="1"/>
      <c r="P2865" s="11"/>
      <c r="Q2865" s="11"/>
      <c r="R2865" s="11"/>
      <c r="S2865" s="11"/>
      <c r="T2865" s="1"/>
      <c r="U2865" s="1"/>
      <c r="V2865" s="1"/>
      <c r="W2865" s="1"/>
      <c r="X2865" s="1"/>
      <c r="Y2865" s="1"/>
      <c r="Z2865" s="1"/>
    </row>
    <row r="2866" ht="18.0" hidden="1" customHeight="1" outlineLevel="1">
      <c r="A2866" s="1">
        <v>10.0</v>
      </c>
      <c r="B2866" s="1"/>
      <c r="C2866" s="1"/>
      <c r="D2866" s="1"/>
      <c r="E2866" s="14"/>
      <c r="F2866" s="15"/>
      <c r="G2866" s="16"/>
      <c r="H2866" s="11"/>
      <c r="I2866" s="7"/>
      <c r="J2866" s="7" t="str">
        <f>IFERROR(LET(_xlpm.v,
VLOOKUP($I2866,'用語辞書'!$A:$B,COLUMN('用語辞書'!B$1),FALSE),
IF(_xlpm.v=0,"",_xlpm.v)
),"")</f>
        <v/>
      </c>
      <c r="K2866" s="17"/>
      <c r="L2866" s="17" t="str">
        <f>IF(OR(COUNTIF('クラス'!$A$1:$A$1267,$B2866)&gt;0,$B2866="",$M2866=""),"",True)</f>
        <v/>
      </c>
      <c r="M2866" s="1" t="str">
        <f t="shared" si="30"/>
        <v>存在しない</v>
      </c>
      <c r="N2866" s="1" t="s">
        <v>29</v>
      </c>
      <c r="O2866" s="1"/>
      <c r="P2866" s="11"/>
      <c r="Q2866" s="11"/>
      <c r="R2866" s="11"/>
      <c r="S2866" s="11"/>
      <c r="T2866" s="1"/>
      <c r="U2866" s="1"/>
      <c r="V2866" s="1"/>
      <c r="W2866" s="1"/>
      <c r="X2866" s="1"/>
      <c r="Y2866" s="1"/>
      <c r="Z2866" s="1"/>
    </row>
    <row r="2867" ht="18.0" customHeight="1" collapsed="1">
      <c r="A2867" s="1"/>
      <c r="B2867" s="1"/>
      <c r="C2867" s="1"/>
      <c r="D2867" s="1"/>
      <c r="E2867" s="14"/>
      <c r="F2867" s="15"/>
      <c r="G2867" s="16"/>
      <c r="H2867" s="11"/>
      <c r="I2867" s="7"/>
      <c r="J2867" s="7" t="str">
        <f>IFERROR(LET(_xlpm.v,
VLOOKUP($I2867,'用語辞書'!$A:$B,COLUMN('用語辞書'!B$1),FALSE),
IF(_xlpm.v=0,"",_xlpm.v)
),"")</f>
        <v/>
      </c>
      <c r="K2867" s="17"/>
      <c r="L2867" s="17" t="str">
        <f>IF(OR(COUNTIF('クラス'!$A$1:$A$1267,$B2867)&gt;0,$B2867="",$M2867=""),"",True)</f>
        <v/>
      </c>
      <c r="M2867" s="1" t="str">
        <f t="shared" si="30"/>
        <v>存在しない</v>
      </c>
      <c r="N2867" s="1" t="s">
        <v>29</v>
      </c>
      <c r="O2867" s="1"/>
      <c r="P2867" s="11"/>
      <c r="Q2867" s="11"/>
      <c r="R2867" s="11"/>
      <c r="S2867" s="11"/>
      <c r="T2867" s="1"/>
      <c r="U2867" s="1"/>
      <c r="V2867" s="1"/>
      <c r="W2867" s="1"/>
      <c r="X2867" s="1"/>
      <c r="Y2867" s="1"/>
      <c r="Z2867" s="1"/>
    </row>
    <row r="2868" ht="18.0" customHeight="1">
      <c r="A2868" s="1"/>
      <c r="B2868" s="26" t="s">
        <v>2511</v>
      </c>
      <c r="C2868" s="1"/>
      <c r="D2868" s="1"/>
      <c r="E2868" s="14"/>
      <c r="F2868" s="15"/>
      <c r="G2868" s="16"/>
      <c r="H2868" s="11"/>
      <c r="I2868" s="7"/>
      <c r="J2868" s="7" t="str">
        <f>IFERROR(LET(_xlpm.v,
VLOOKUP($I2868,'用語辞書'!$A:$B,COLUMN('用語辞書'!B$1),FALSE),
IF(_xlpm.v=0,"",_xlpm.v)
),"")</f>
        <v/>
      </c>
      <c r="K2868" s="17"/>
      <c r="L2868" s="17" t="str">
        <f>IF(OR(COUNTIF('クラス'!$A$1:$A$1267,$B2868)&gt;0,$B2868="",$M2868=""),"",True)</f>
        <v/>
      </c>
      <c r="M2868" s="1" t="str">
        <f t="shared" si="30"/>
        <v>存在しない</v>
      </c>
      <c r="N2868" s="1" t="s">
        <v>29</v>
      </c>
      <c r="O2868" s="1"/>
      <c r="P2868" s="11"/>
      <c r="Q2868" s="11"/>
      <c r="R2868" s="11"/>
      <c r="S2868" s="11"/>
      <c r="T2868" s="1"/>
      <c r="U2868" s="1"/>
      <c r="V2868" s="1"/>
      <c r="W2868" s="1"/>
      <c r="X2868" s="1"/>
      <c r="Y2868" s="1"/>
      <c r="Z2868" s="1"/>
    </row>
    <row r="2869" ht="18.0" hidden="1" customHeight="1" outlineLevel="1">
      <c r="A2869" s="1">
        <v>1.0</v>
      </c>
      <c r="B2869" s="1"/>
      <c r="C2869" s="1"/>
      <c r="D2869" s="1"/>
      <c r="E2869" s="14"/>
      <c r="F2869" s="15"/>
      <c r="G2869" s="16"/>
      <c r="H2869" s="11"/>
      <c r="I2869" s="7"/>
      <c r="J2869" s="7" t="str">
        <f>IFERROR(LET(_xlpm.v,
VLOOKUP($I2869,'用語辞書'!$A:$B,COLUMN('用語辞書'!B$1),FALSE),
IF(_xlpm.v=0,"",_xlpm.v)
),"")</f>
        <v/>
      </c>
      <c r="K2869" s="17"/>
      <c r="L2869" s="17" t="str">
        <f>IF(OR(COUNTIF('クラス'!$A$1:$A$1267,$B2869)&gt;0,$B2869="",$M2869=""),"",True)</f>
        <v/>
      </c>
      <c r="M2869" s="1" t="str">
        <f t="shared" si="30"/>
        <v>存在しない</v>
      </c>
      <c r="N2869" s="1" t="s">
        <v>29</v>
      </c>
      <c r="O2869" s="1"/>
      <c r="P2869" s="11"/>
      <c r="Q2869" s="11"/>
      <c r="R2869" s="11"/>
      <c r="S2869" s="11"/>
      <c r="T2869" s="1"/>
      <c r="U2869" s="1"/>
      <c r="V2869" s="1"/>
      <c r="W2869" s="1"/>
      <c r="X2869" s="1"/>
      <c r="Y2869" s="1"/>
      <c r="Z2869" s="1"/>
    </row>
    <row r="2870" ht="18.0" hidden="1" customHeight="1" outlineLevel="1">
      <c r="A2870" s="1">
        <v>2.0</v>
      </c>
      <c r="B2870" s="1"/>
      <c r="C2870" s="1"/>
      <c r="D2870" s="1"/>
      <c r="E2870" s="14"/>
      <c r="F2870" s="15"/>
      <c r="G2870" s="16"/>
      <c r="H2870" s="11"/>
      <c r="I2870" s="7"/>
      <c r="J2870" s="7" t="str">
        <f>IFERROR(LET(_xlpm.v,
VLOOKUP($I2870,'用語辞書'!$A:$B,COLUMN('用語辞書'!B$1),FALSE),
IF(_xlpm.v=0,"",_xlpm.v)
),"")</f>
        <v/>
      </c>
      <c r="K2870" s="17"/>
      <c r="L2870" s="17" t="str">
        <f>IF(OR(COUNTIF('クラス'!$A$1:$A$1267,$B2870)&gt;0,$B2870="",$M2870=""),"",True)</f>
        <v/>
      </c>
      <c r="M2870" s="1" t="str">
        <f t="shared" si="30"/>
        <v>存在しない</v>
      </c>
      <c r="N2870" s="1" t="s">
        <v>29</v>
      </c>
      <c r="O2870" s="1"/>
      <c r="P2870" s="11"/>
      <c r="Q2870" s="11"/>
      <c r="R2870" s="11"/>
      <c r="S2870" s="11"/>
      <c r="T2870" s="1"/>
      <c r="U2870" s="1"/>
      <c r="V2870" s="1"/>
      <c r="W2870" s="1"/>
      <c r="X2870" s="1"/>
      <c r="Y2870" s="1"/>
      <c r="Z2870" s="1"/>
    </row>
    <row r="2871" ht="18.0" hidden="1" customHeight="1" outlineLevel="1">
      <c r="A2871" s="1">
        <v>3.0</v>
      </c>
      <c r="B2871" s="1"/>
      <c r="C2871" s="1"/>
      <c r="D2871" s="1"/>
      <c r="E2871" s="14"/>
      <c r="F2871" s="15"/>
      <c r="G2871" s="16"/>
      <c r="H2871" s="11"/>
      <c r="I2871" s="7"/>
      <c r="J2871" s="7" t="str">
        <f>IFERROR(LET(_xlpm.v,
VLOOKUP($I2871,'用語辞書'!$A:$B,COLUMN('用語辞書'!B$1),FALSE),
IF(_xlpm.v=0,"",_xlpm.v)
),"")</f>
        <v/>
      </c>
      <c r="K2871" s="17"/>
      <c r="L2871" s="17" t="str">
        <f>IF(OR(COUNTIF('クラス'!$A$1:$A$1267,$B2871)&gt;0,$B2871="",$M2871=""),"",True)</f>
        <v/>
      </c>
      <c r="M2871" s="1" t="str">
        <f t="shared" si="30"/>
        <v>存在しない</v>
      </c>
      <c r="N2871" s="1" t="s">
        <v>29</v>
      </c>
      <c r="O2871" s="1"/>
      <c r="P2871" s="11"/>
      <c r="Q2871" s="11"/>
      <c r="R2871" s="11"/>
      <c r="S2871" s="11"/>
      <c r="T2871" s="1"/>
      <c r="U2871" s="1"/>
      <c r="V2871" s="1"/>
      <c r="W2871" s="1"/>
      <c r="X2871" s="1"/>
      <c r="Y2871" s="1"/>
      <c r="Z2871" s="1"/>
    </row>
    <row r="2872" ht="18.0" hidden="1" customHeight="1" outlineLevel="1">
      <c r="A2872" s="1">
        <v>4.0</v>
      </c>
      <c r="B2872" s="1"/>
      <c r="C2872" s="1"/>
      <c r="D2872" s="1"/>
      <c r="E2872" s="14"/>
      <c r="F2872" s="15"/>
      <c r="G2872" s="16"/>
      <c r="H2872" s="11"/>
      <c r="I2872" s="7"/>
      <c r="J2872" s="7" t="str">
        <f>IFERROR(LET(_xlpm.v,
VLOOKUP($I2872,'用語辞書'!$A:$B,COLUMN('用語辞書'!B$1),FALSE),
IF(_xlpm.v=0,"",_xlpm.v)
),"")</f>
        <v/>
      </c>
      <c r="K2872" s="17"/>
      <c r="L2872" s="17" t="str">
        <f>IF(OR(COUNTIF('クラス'!$A$1:$A$1267,$B2872)&gt;0,$B2872="",$M2872=""),"",True)</f>
        <v/>
      </c>
      <c r="M2872" s="1" t="str">
        <f t="shared" si="30"/>
        <v>存在しない</v>
      </c>
      <c r="N2872" s="1" t="s">
        <v>29</v>
      </c>
      <c r="O2872" s="1"/>
      <c r="P2872" s="11"/>
      <c r="Q2872" s="11"/>
      <c r="R2872" s="11"/>
      <c r="S2872" s="11"/>
      <c r="T2872" s="1"/>
      <c r="U2872" s="1"/>
      <c r="V2872" s="1"/>
      <c r="W2872" s="1"/>
      <c r="X2872" s="1"/>
      <c r="Y2872" s="1"/>
      <c r="Z2872" s="1"/>
    </row>
    <row r="2873" ht="18.0" hidden="1" customHeight="1" outlineLevel="1">
      <c r="A2873" s="1">
        <v>5.0</v>
      </c>
      <c r="B2873" s="1"/>
      <c r="C2873" s="1"/>
      <c r="D2873" s="1"/>
      <c r="E2873" s="14"/>
      <c r="F2873" s="15"/>
      <c r="G2873" s="16"/>
      <c r="H2873" s="11"/>
      <c r="I2873" s="7"/>
      <c r="J2873" s="7" t="str">
        <f>IFERROR(LET(_xlpm.v,
VLOOKUP($I2873,'用語辞書'!$A:$B,COLUMN('用語辞書'!B$1),FALSE),
IF(_xlpm.v=0,"",_xlpm.v)
),"")</f>
        <v/>
      </c>
      <c r="K2873" s="17"/>
      <c r="L2873" s="17" t="str">
        <f>IF(OR(COUNTIF('クラス'!$A$1:$A$1267,$B2873)&gt;0,$B2873="",$M2873=""),"",True)</f>
        <v/>
      </c>
      <c r="M2873" s="1" t="str">
        <f t="shared" si="30"/>
        <v>存在しない</v>
      </c>
      <c r="N2873" s="1" t="s">
        <v>29</v>
      </c>
      <c r="O2873" s="1"/>
      <c r="P2873" s="11"/>
      <c r="Q2873" s="11"/>
      <c r="R2873" s="11"/>
      <c r="S2873" s="11"/>
      <c r="T2873" s="1"/>
      <c r="U2873" s="1"/>
      <c r="V2873" s="1"/>
      <c r="W2873" s="1"/>
      <c r="X2873" s="1"/>
      <c r="Y2873" s="1"/>
      <c r="Z2873" s="1"/>
    </row>
    <row r="2874" ht="18.0" hidden="1" customHeight="1" outlineLevel="1">
      <c r="A2874" s="1">
        <v>6.0</v>
      </c>
      <c r="B2874" s="1"/>
      <c r="C2874" s="1"/>
      <c r="D2874" s="1"/>
      <c r="E2874" s="14"/>
      <c r="F2874" s="15"/>
      <c r="G2874" s="16"/>
      <c r="H2874" s="11"/>
      <c r="I2874" s="7"/>
      <c r="J2874" s="7" t="str">
        <f>IFERROR(LET(_xlpm.v,
VLOOKUP($I2874,'用語辞書'!$A:$B,COLUMN('用語辞書'!B$1),FALSE),
IF(_xlpm.v=0,"",_xlpm.v)
),"")</f>
        <v/>
      </c>
      <c r="K2874" s="17"/>
      <c r="L2874" s="17" t="str">
        <f>IF(OR(COUNTIF('クラス'!$A$1:$A$1267,$B2874)&gt;0,$B2874="",$M2874=""),"",True)</f>
        <v/>
      </c>
      <c r="M2874" s="1" t="str">
        <f t="shared" si="30"/>
        <v>存在しない</v>
      </c>
      <c r="N2874" s="1" t="s">
        <v>29</v>
      </c>
      <c r="O2874" s="1"/>
      <c r="P2874" s="11"/>
      <c r="Q2874" s="11"/>
      <c r="R2874" s="11"/>
      <c r="S2874" s="11"/>
      <c r="T2874" s="1"/>
      <c r="U2874" s="1"/>
      <c r="V2874" s="1"/>
      <c r="W2874" s="1"/>
      <c r="X2874" s="1"/>
      <c r="Y2874" s="1"/>
      <c r="Z2874" s="1"/>
    </row>
    <row r="2875" ht="18.0" hidden="1" customHeight="1" outlineLevel="1">
      <c r="A2875" s="1">
        <v>7.0</v>
      </c>
      <c r="B2875" s="1"/>
      <c r="C2875" s="1"/>
      <c r="D2875" s="1"/>
      <c r="E2875" s="14"/>
      <c r="F2875" s="15"/>
      <c r="G2875" s="16"/>
      <c r="H2875" s="11"/>
      <c r="I2875" s="7"/>
      <c r="J2875" s="7" t="str">
        <f>IFERROR(LET(_xlpm.v,
VLOOKUP($I2875,'用語辞書'!$A:$B,COLUMN('用語辞書'!B$1),FALSE),
IF(_xlpm.v=0,"",_xlpm.v)
),"")</f>
        <v/>
      </c>
      <c r="K2875" s="17"/>
      <c r="L2875" s="17" t="str">
        <f>IF(OR(COUNTIF('クラス'!$A$1:$A$1267,$B2875)&gt;0,$B2875="",$M2875=""),"",True)</f>
        <v/>
      </c>
      <c r="M2875" s="1" t="str">
        <f t="shared" si="30"/>
        <v>存在しない</v>
      </c>
      <c r="N2875" s="1" t="s">
        <v>29</v>
      </c>
      <c r="O2875" s="1"/>
      <c r="P2875" s="11"/>
      <c r="Q2875" s="11"/>
      <c r="R2875" s="11"/>
      <c r="S2875" s="11"/>
      <c r="T2875" s="1"/>
      <c r="U2875" s="1"/>
      <c r="V2875" s="1"/>
      <c r="W2875" s="1"/>
      <c r="X2875" s="1"/>
      <c r="Y2875" s="1"/>
      <c r="Z2875" s="1"/>
    </row>
    <row r="2876" ht="18.0" hidden="1" customHeight="1" outlineLevel="1">
      <c r="A2876" s="1">
        <v>8.0</v>
      </c>
      <c r="B2876" s="1"/>
      <c r="C2876" s="1"/>
      <c r="D2876" s="1"/>
      <c r="E2876" s="14"/>
      <c r="F2876" s="15"/>
      <c r="G2876" s="16"/>
      <c r="H2876" s="11"/>
      <c r="I2876" s="7"/>
      <c r="J2876" s="7" t="str">
        <f>IFERROR(LET(_xlpm.v,
VLOOKUP($I2876,'用語辞書'!$A:$B,COLUMN('用語辞書'!B$1),FALSE),
IF(_xlpm.v=0,"",_xlpm.v)
),"")</f>
        <v/>
      </c>
      <c r="K2876" s="17"/>
      <c r="L2876" s="17" t="str">
        <f>IF(OR(COUNTIF('クラス'!$A$1:$A$1267,$B2876)&gt;0,$B2876="",$M2876=""),"",True)</f>
        <v/>
      </c>
      <c r="M2876" s="1" t="str">
        <f t="shared" si="30"/>
        <v>存在しない</v>
      </c>
      <c r="N2876" s="1" t="s">
        <v>29</v>
      </c>
      <c r="O2876" s="1"/>
      <c r="P2876" s="11"/>
      <c r="Q2876" s="11"/>
      <c r="R2876" s="11"/>
      <c r="S2876" s="11"/>
      <c r="T2876" s="1"/>
      <c r="U2876" s="1"/>
      <c r="V2876" s="1"/>
      <c r="W2876" s="1"/>
      <c r="X2876" s="1"/>
      <c r="Y2876" s="1"/>
      <c r="Z2876" s="1"/>
    </row>
    <row r="2877" ht="18.0" hidden="1" customHeight="1" outlineLevel="1">
      <c r="A2877" s="1">
        <v>9.0</v>
      </c>
      <c r="B2877" s="1"/>
      <c r="C2877" s="1"/>
      <c r="D2877" s="1"/>
      <c r="E2877" s="14"/>
      <c r="F2877" s="15"/>
      <c r="G2877" s="16"/>
      <c r="H2877" s="11"/>
      <c r="I2877" s="7"/>
      <c r="J2877" s="7" t="str">
        <f>IFERROR(LET(_xlpm.v,
VLOOKUP($I2877,'用語辞書'!$A:$B,COLUMN('用語辞書'!B$1),FALSE),
IF(_xlpm.v=0,"",_xlpm.v)
),"")</f>
        <v/>
      </c>
      <c r="K2877" s="17"/>
      <c r="L2877" s="17" t="str">
        <f>IF(OR(COUNTIF('クラス'!$A$1:$A$1267,$B2877)&gt;0,$B2877="",$M2877=""),"",True)</f>
        <v/>
      </c>
      <c r="M2877" s="1" t="str">
        <f t="shared" si="30"/>
        <v>存在しない</v>
      </c>
      <c r="N2877" s="1" t="s">
        <v>29</v>
      </c>
      <c r="O2877" s="1"/>
      <c r="P2877" s="11"/>
      <c r="Q2877" s="11"/>
      <c r="R2877" s="11"/>
      <c r="S2877" s="11"/>
      <c r="T2877" s="1"/>
      <c r="U2877" s="1"/>
      <c r="V2877" s="1"/>
      <c r="W2877" s="1"/>
      <c r="X2877" s="1"/>
      <c r="Y2877" s="1"/>
      <c r="Z2877" s="1"/>
    </row>
    <row r="2878" ht="18.0" hidden="1" customHeight="1" outlineLevel="1">
      <c r="A2878" s="1">
        <v>10.0</v>
      </c>
      <c r="B2878" s="1"/>
      <c r="C2878" s="1"/>
      <c r="D2878" s="1"/>
      <c r="E2878" s="14"/>
      <c r="F2878" s="15"/>
      <c r="G2878" s="16"/>
      <c r="H2878" s="11"/>
      <c r="I2878" s="7"/>
      <c r="J2878" s="7" t="str">
        <f>IFERROR(LET(_xlpm.v,
VLOOKUP($I2878,'用語辞書'!$A:$B,COLUMN('用語辞書'!B$1),FALSE),
IF(_xlpm.v=0,"",_xlpm.v)
),"")</f>
        <v/>
      </c>
      <c r="K2878" s="17"/>
      <c r="L2878" s="17" t="str">
        <f>IF(OR(COUNTIF('クラス'!$A$1:$A$1267,$B2878)&gt;0,$B2878="",$M2878=""),"",True)</f>
        <v/>
      </c>
      <c r="M2878" s="1" t="str">
        <f t="shared" si="30"/>
        <v>存在しない</v>
      </c>
      <c r="N2878" s="1" t="s">
        <v>29</v>
      </c>
      <c r="O2878" s="1"/>
      <c r="P2878" s="11"/>
      <c r="Q2878" s="11"/>
      <c r="R2878" s="11"/>
      <c r="S2878" s="11"/>
      <c r="T2878" s="1"/>
      <c r="U2878" s="1"/>
      <c r="V2878" s="1"/>
      <c r="W2878" s="1"/>
      <c r="X2878" s="1"/>
      <c r="Y2878" s="1"/>
      <c r="Z2878" s="1"/>
    </row>
    <row r="2879" ht="18.0" customHeight="1" collapsed="1">
      <c r="A2879" s="1"/>
      <c r="B2879" s="1"/>
      <c r="C2879" s="26" t="s">
        <v>2512</v>
      </c>
      <c r="D2879" s="1"/>
      <c r="E2879" s="14"/>
      <c r="F2879" s="15"/>
      <c r="G2879" s="16"/>
      <c r="H2879" s="11"/>
      <c r="I2879" s="7"/>
      <c r="J2879" s="7" t="str">
        <f>IFERROR(LET(_xlpm.v,
VLOOKUP($I2879,'用語辞書'!$A:$B,COLUMN('用語辞書'!B$1),FALSE),
IF(_xlpm.v=0,"",_xlpm.v)
),"")</f>
        <v/>
      </c>
      <c r="K2879" s="17"/>
      <c r="L2879" s="17" t="str">
        <f>IF(OR(COUNTIF('クラス'!$A$1:$A$1267,$B2879)&gt;0,$B2879="",$M2879=""),"",True)</f>
        <v/>
      </c>
      <c r="M2879" s="1" t="str">
        <f t="shared" si="30"/>
        <v>存在しない</v>
      </c>
      <c r="N2879" s="1" t="s">
        <v>29</v>
      </c>
      <c r="O2879" s="1"/>
      <c r="P2879" s="11"/>
      <c r="Q2879" s="11"/>
      <c r="R2879" s="11"/>
      <c r="S2879" s="11"/>
      <c r="T2879" s="1"/>
      <c r="U2879" s="1"/>
      <c r="V2879" s="1"/>
      <c r="W2879" s="1"/>
      <c r="X2879" s="1"/>
      <c r="Y2879" s="1"/>
      <c r="Z2879" s="1"/>
    </row>
    <row r="2880" ht="18.0" hidden="1" customHeight="1" outlineLevel="1">
      <c r="A2880" s="1"/>
      <c r="B2880" s="26" t="s">
        <v>2513</v>
      </c>
      <c r="C2880" s="1"/>
      <c r="D2880" s="1"/>
      <c r="E2880" s="14"/>
      <c r="F2880" s="15"/>
      <c r="G2880" s="16"/>
      <c r="H2880" s="11"/>
      <c r="I2880" s="7"/>
      <c r="J2880" s="7" t="str">
        <f>IFERROR(LET(_xlpm.v,
VLOOKUP($I2880,'用語辞書'!$A:$B,COLUMN('用語辞書'!B$1),FALSE),
IF(_xlpm.v=0,"",_xlpm.v)
),"")</f>
        <v/>
      </c>
      <c r="K2880" s="17"/>
      <c r="L2880" s="17" t="str">
        <f>IF(OR(COUNTIF('クラス'!$A$1:$A$1267,$B2880)&gt;0,$B2880="",$M2880=""),"",True)</f>
        <v/>
      </c>
      <c r="M2880" s="1" t="str">
        <f t="shared" si="30"/>
        <v>存在しない</v>
      </c>
      <c r="N2880" s="1" t="s">
        <v>29</v>
      </c>
      <c r="O2880" s="1"/>
      <c r="P2880" s="11"/>
      <c r="Q2880" s="11"/>
      <c r="R2880" s="11"/>
      <c r="S2880" s="11"/>
      <c r="T2880" s="1"/>
      <c r="U2880" s="1"/>
      <c r="V2880" s="1"/>
      <c r="W2880" s="1"/>
      <c r="X2880" s="1"/>
      <c r="Y2880" s="1"/>
      <c r="Z2880" s="1"/>
    </row>
    <row r="2881" ht="18.0" hidden="1" customHeight="1" outlineLevel="2">
      <c r="A2881" s="1">
        <v>1.0</v>
      </c>
      <c r="B2881" s="1"/>
      <c r="C2881" s="1"/>
      <c r="D2881" s="1"/>
      <c r="E2881" s="14"/>
      <c r="F2881" s="15"/>
      <c r="G2881" s="16"/>
      <c r="H2881" s="11"/>
      <c r="I2881" s="7"/>
      <c r="J2881" s="7" t="str">
        <f>IFERROR(LET(_xlpm.v,
VLOOKUP($I2881,'用語辞書'!$A:$B,COLUMN('用語辞書'!B$1),FALSE),
IF(_xlpm.v=0,"",_xlpm.v)
),"")</f>
        <v/>
      </c>
      <c r="K2881" s="17"/>
      <c r="L2881" s="17" t="str">
        <f>IF(OR(COUNTIF('クラス'!$A$1:$A$1267,$B2881)&gt;0,$B2881="",$M2881=""),"",True)</f>
        <v/>
      </c>
      <c r="M2881" s="1" t="str">
        <f t="shared" si="30"/>
        <v>存在しない</v>
      </c>
      <c r="N2881" s="1" t="s">
        <v>29</v>
      </c>
      <c r="O2881" s="1"/>
      <c r="P2881" s="11"/>
      <c r="Q2881" s="11"/>
      <c r="R2881" s="11"/>
      <c r="S2881" s="11"/>
      <c r="T2881" s="1"/>
      <c r="U2881" s="1"/>
      <c r="V2881" s="1"/>
      <c r="W2881" s="1"/>
      <c r="X2881" s="1"/>
      <c r="Y2881" s="1"/>
      <c r="Z2881" s="1"/>
    </row>
    <row r="2882" ht="18.0" hidden="1" customHeight="1" outlineLevel="2">
      <c r="A2882" s="1">
        <v>2.0</v>
      </c>
      <c r="B2882" s="1"/>
      <c r="C2882" s="1"/>
      <c r="D2882" s="1"/>
      <c r="E2882" s="14"/>
      <c r="F2882" s="15"/>
      <c r="G2882" s="16"/>
      <c r="H2882" s="11"/>
      <c r="I2882" s="7"/>
      <c r="J2882" s="7" t="str">
        <f>IFERROR(LET(_xlpm.v,
VLOOKUP($I2882,'用語辞書'!$A:$B,COLUMN('用語辞書'!B$1),FALSE),
IF(_xlpm.v=0,"",_xlpm.v)
),"")</f>
        <v/>
      </c>
      <c r="K2882" s="17"/>
      <c r="L2882" s="17" t="str">
        <f>IF(OR(COUNTIF('クラス'!$A$1:$A$1267,$B2882)&gt;0,$B2882="",$M2882=""),"",True)</f>
        <v/>
      </c>
      <c r="M2882" s="1" t="str">
        <f t="shared" si="30"/>
        <v>存在しない</v>
      </c>
      <c r="N2882" s="1" t="s">
        <v>29</v>
      </c>
      <c r="O2882" s="1"/>
      <c r="P2882" s="11"/>
      <c r="Q2882" s="11"/>
      <c r="R2882" s="11"/>
      <c r="S2882" s="11"/>
      <c r="T2882" s="1"/>
      <c r="U2882" s="1"/>
      <c r="V2882" s="1"/>
      <c r="W2882" s="1"/>
      <c r="X2882" s="1"/>
      <c r="Y2882" s="1"/>
      <c r="Z2882" s="1"/>
    </row>
    <row r="2883" ht="18.0" hidden="1" customHeight="1" outlineLevel="2">
      <c r="A2883" s="1">
        <v>3.0</v>
      </c>
      <c r="B2883" s="1"/>
      <c r="C2883" s="1"/>
      <c r="D2883" s="1"/>
      <c r="E2883" s="14"/>
      <c r="F2883" s="15"/>
      <c r="G2883" s="16"/>
      <c r="H2883" s="11"/>
      <c r="I2883" s="7"/>
      <c r="J2883" s="7" t="str">
        <f>IFERROR(LET(_xlpm.v,
VLOOKUP($I2883,'用語辞書'!$A:$B,COLUMN('用語辞書'!B$1),FALSE),
IF(_xlpm.v=0,"",_xlpm.v)
),"")</f>
        <v/>
      </c>
      <c r="K2883" s="17"/>
      <c r="L2883" s="17" t="str">
        <f>IF(OR(COUNTIF('クラス'!$A$1:$A$1267,$B2883)&gt;0,$B2883="",$M2883=""),"",True)</f>
        <v/>
      </c>
      <c r="M2883" s="1" t="str">
        <f t="shared" si="30"/>
        <v>存在しない</v>
      </c>
      <c r="N2883" s="1" t="s">
        <v>29</v>
      </c>
      <c r="O2883" s="1"/>
      <c r="P2883" s="11"/>
      <c r="Q2883" s="11"/>
      <c r="R2883" s="11"/>
      <c r="S2883" s="11"/>
      <c r="T2883" s="1"/>
      <c r="U2883" s="1"/>
      <c r="V2883" s="1"/>
      <c r="W2883" s="1"/>
      <c r="X2883" s="1"/>
      <c r="Y2883" s="1"/>
      <c r="Z2883" s="1"/>
    </row>
    <row r="2884" ht="18.0" hidden="1" customHeight="1" outlineLevel="2">
      <c r="A2884" s="1">
        <v>4.0</v>
      </c>
      <c r="B2884" s="1"/>
      <c r="C2884" s="1"/>
      <c r="D2884" s="1"/>
      <c r="E2884" s="14"/>
      <c r="F2884" s="15"/>
      <c r="G2884" s="16"/>
      <c r="H2884" s="11"/>
      <c r="I2884" s="7"/>
      <c r="J2884" s="7" t="str">
        <f>IFERROR(LET(_xlpm.v,
VLOOKUP($I2884,'用語辞書'!$A:$B,COLUMN('用語辞書'!B$1),FALSE),
IF(_xlpm.v=0,"",_xlpm.v)
),"")</f>
        <v/>
      </c>
      <c r="K2884" s="17"/>
      <c r="L2884" s="17" t="str">
        <f>IF(OR(COUNTIF('クラス'!$A$1:$A$1267,$B2884)&gt;0,$B2884="",$M2884=""),"",True)</f>
        <v/>
      </c>
      <c r="M2884" s="1" t="str">
        <f t="shared" si="30"/>
        <v>存在しない</v>
      </c>
      <c r="N2884" s="1" t="s">
        <v>29</v>
      </c>
      <c r="O2884" s="1"/>
      <c r="P2884" s="11"/>
      <c r="Q2884" s="11"/>
      <c r="R2884" s="11"/>
      <c r="S2884" s="11"/>
      <c r="T2884" s="1"/>
      <c r="U2884" s="1"/>
      <c r="V2884" s="1"/>
      <c r="W2884" s="1"/>
      <c r="X2884" s="1"/>
      <c r="Y2884" s="1"/>
      <c r="Z2884" s="1"/>
    </row>
    <row r="2885" ht="18.0" hidden="1" customHeight="1" outlineLevel="2">
      <c r="A2885" s="1">
        <v>5.0</v>
      </c>
      <c r="B2885" s="1"/>
      <c r="C2885" s="1"/>
      <c r="D2885" s="1"/>
      <c r="E2885" s="14"/>
      <c r="F2885" s="15"/>
      <c r="G2885" s="16"/>
      <c r="H2885" s="11"/>
      <c r="I2885" s="7"/>
      <c r="J2885" s="7" t="str">
        <f>IFERROR(LET(_xlpm.v,
VLOOKUP($I2885,'用語辞書'!$A:$B,COLUMN('用語辞書'!B$1),FALSE),
IF(_xlpm.v=0,"",_xlpm.v)
),"")</f>
        <v/>
      </c>
      <c r="K2885" s="17"/>
      <c r="L2885" s="17" t="str">
        <f>IF(OR(COUNTIF('クラス'!$A$1:$A$1267,$B2885)&gt;0,$B2885="",$M2885=""),"",True)</f>
        <v/>
      </c>
      <c r="M2885" s="1" t="str">
        <f t="shared" si="30"/>
        <v>存在しない</v>
      </c>
      <c r="N2885" s="1" t="s">
        <v>29</v>
      </c>
      <c r="O2885" s="1"/>
      <c r="P2885" s="11"/>
      <c r="Q2885" s="11"/>
      <c r="R2885" s="11"/>
      <c r="S2885" s="11"/>
      <c r="T2885" s="1"/>
      <c r="U2885" s="1"/>
      <c r="V2885" s="1"/>
      <c r="W2885" s="1"/>
      <c r="X2885" s="1"/>
      <c r="Y2885" s="1"/>
      <c r="Z2885" s="1"/>
    </row>
    <row r="2886" ht="18.0" hidden="1" customHeight="1" outlineLevel="2">
      <c r="A2886" s="1">
        <v>6.0</v>
      </c>
      <c r="B2886" s="1"/>
      <c r="C2886" s="1"/>
      <c r="D2886" s="1"/>
      <c r="E2886" s="14"/>
      <c r="F2886" s="15"/>
      <c r="G2886" s="16"/>
      <c r="H2886" s="11"/>
      <c r="I2886" s="7"/>
      <c r="J2886" s="7" t="str">
        <f>IFERROR(LET(_xlpm.v,
VLOOKUP($I2886,'用語辞書'!$A:$B,COLUMN('用語辞書'!B$1),FALSE),
IF(_xlpm.v=0,"",_xlpm.v)
),"")</f>
        <v/>
      </c>
      <c r="K2886" s="17"/>
      <c r="L2886" s="17" t="str">
        <f>IF(OR(COUNTIF('クラス'!$A$1:$A$1267,$B2886)&gt;0,$B2886="",$M2886=""),"",True)</f>
        <v/>
      </c>
      <c r="M2886" s="1" t="str">
        <f t="shared" si="30"/>
        <v>存在しない</v>
      </c>
      <c r="N2886" s="1" t="s">
        <v>29</v>
      </c>
      <c r="O2886" s="1"/>
      <c r="P2886" s="11"/>
      <c r="Q2886" s="11"/>
      <c r="R2886" s="11"/>
      <c r="S2886" s="11"/>
      <c r="T2886" s="1"/>
      <c r="U2886" s="1"/>
      <c r="V2886" s="1"/>
      <c r="W2886" s="1"/>
      <c r="X2886" s="1"/>
      <c r="Y2886" s="1"/>
      <c r="Z2886" s="1"/>
    </row>
    <row r="2887" ht="18.0" hidden="1" customHeight="1" outlineLevel="2">
      <c r="A2887" s="1">
        <v>7.0</v>
      </c>
      <c r="B2887" s="1"/>
      <c r="C2887" s="1"/>
      <c r="D2887" s="1"/>
      <c r="E2887" s="14"/>
      <c r="F2887" s="15"/>
      <c r="G2887" s="16"/>
      <c r="H2887" s="11"/>
      <c r="I2887" s="7"/>
      <c r="J2887" s="7" t="str">
        <f>IFERROR(LET(_xlpm.v,
VLOOKUP($I2887,'用語辞書'!$A:$B,COLUMN('用語辞書'!B$1),FALSE),
IF(_xlpm.v=0,"",_xlpm.v)
),"")</f>
        <v/>
      </c>
      <c r="K2887" s="17"/>
      <c r="L2887" s="17" t="str">
        <f>IF(OR(COUNTIF('クラス'!$A$1:$A$1267,$B2887)&gt;0,$B2887="",$M2887=""),"",True)</f>
        <v/>
      </c>
      <c r="M2887" s="1" t="str">
        <f t="shared" si="30"/>
        <v>存在しない</v>
      </c>
      <c r="N2887" s="1" t="s">
        <v>29</v>
      </c>
      <c r="O2887" s="1"/>
      <c r="P2887" s="11"/>
      <c r="Q2887" s="11"/>
      <c r="R2887" s="11"/>
      <c r="S2887" s="11"/>
      <c r="T2887" s="1"/>
      <c r="U2887" s="1"/>
      <c r="V2887" s="1"/>
      <c r="W2887" s="1"/>
      <c r="X2887" s="1"/>
      <c r="Y2887" s="1"/>
      <c r="Z2887" s="1"/>
    </row>
    <row r="2888" ht="18.0" hidden="1" customHeight="1" outlineLevel="2">
      <c r="A2888" s="1">
        <v>8.0</v>
      </c>
      <c r="B2888" s="1"/>
      <c r="C2888" s="1"/>
      <c r="D2888" s="1"/>
      <c r="E2888" s="14"/>
      <c r="F2888" s="15"/>
      <c r="G2888" s="16"/>
      <c r="H2888" s="11"/>
      <c r="I2888" s="7"/>
      <c r="J2888" s="7" t="str">
        <f>IFERROR(LET(_xlpm.v,
VLOOKUP($I2888,'用語辞書'!$A:$B,COLUMN('用語辞書'!B$1),FALSE),
IF(_xlpm.v=0,"",_xlpm.v)
),"")</f>
        <v/>
      </c>
      <c r="K2888" s="17"/>
      <c r="L2888" s="17" t="str">
        <f>IF(OR(COUNTIF('クラス'!$A$1:$A$1267,$B2888)&gt;0,$B2888="",$M2888=""),"",True)</f>
        <v/>
      </c>
      <c r="M2888" s="1" t="str">
        <f t="shared" si="30"/>
        <v>存在しない</v>
      </c>
      <c r="N2888" s="1" t="s">
        <v>29</v>
      </c>
      <c r="O2888" s="1"/>
      <c r="P2888" s="11"/>
      <c r="Q2888" s="11"/>
      <c r="R2888" s="11"/>
      <c r="S2888" s="11"/>
      <c r="T2888" s="1"/>
      <c r="U2888" s="1"/>
      <c r="V2888" s="1"/>
      <c r="W2888" s="1"/>
      <c r="X2888" s="1"/>
      <c r="Y2888" s="1"/>
      <c r="Z2888" s="1"/>
    </row>
    <row r="2889" ht="18.0" hidden="1" customHeight="1" outlineLevel="2">
      <c r="A2889" s="1">
        <v>9.0</v>
      </c>
      <c r="B2889" s="1"/>
      <c r="C2889" s="1"/>
      <c r="D2889" s="1"/>
      <c r="E2889" s="14"/>
      <c r="F2889" s="15"/>
      <c r="G2889" s="16"/>
      <c r="H2889" s="11"/>
      <c r="I2889" s="7"/>
      <c r="J2889" s="7" t="str">
        <f>IFERROR(LET(_xlpm.v,
VLOOKUP($I2889,'用語辞書'!$A:$B,COLUMN('用語辞書'!B$1),FALSE),
IF(_xlpm.v=0,"",_xlpm.v)
),"")</f>
        <v/>
      </c>
      <c r="K2889" s="17"/>
      <c r="L2889" s="17" t="str">
        <f>IF(OR(COUNTIF('クラス'!$A$1:$A$1267,$B2889)&gt;0,$B2889="",$M2889=""),"",True)</f>
        <v/>
      </c>
      <c r="M2889" s="1" t="str">
        <f t="shared" si="30"/>
        <v>存在しない</v>
      </c>
      <c r="N2889" s="1" t="s">
        <v>29</v>
      </c>
      <c r="O2889" s="1"/>
      <c r="P2889" s="11"/>
      <c r="Q2889" s="11"/>
      <c r="R2889" s="11"/>
      <c r="S2889" s="11"/>
      <c r="T2889" s="1"/>
      <c r="U2889" s="1"/>
      <c r="V2889" s="1"/>
      <c r="W2889" s="1"/>
      <c r="X2889" s="1"/>
      <c r="Y2889" s="1"/>
      <c r="Z2889" s="1"/>
    </row>
    <row r="2890" ht="18.0" hidden="1" customHeight="1" outlineLevel="2">
      <c r="A2890" s="1">
        <v>10.0</v>
      </c>
      <c r="B2890" s="1"/>
      <c r="C2890" s="1"/>
      <c r="D2890" s="1"/>
      <c r="E2890" s="14"/>
      <c r="F2890" s="15"/>
      <c r="G2890" s="16"/>
      <c r="H2890" s="11"/>
      <c r="I2890" s="7"/>
      <c r="J2890" s="7" t="str">
        <f>IFERROR(LET(_xlpm.v,
VLOOKUP($I2890,'用語辞書'!$A:$B,COLUMN('用語辞書'!B$1),FALSE),
IF(_xlpm.v=0,"",_xlpm.v)
),"")</f>
        <v/>
      </c>
      <c r="K2890" s="17"/>
      <c r="L2890" s="17" t="str">
        <f>IF(OR(COUNTIF('クラス'!$A$1:$A$1267,$B2890)&gt;0,$B2890="",$M2890=""),"",True)</f>
        <v/>
      </c>
      <c r="M2890" s="1" t="str">
        <f t="shared" si="30"/>
        <v>存在しない</v>
      </c>
      <c r="N2890" s="1" t="s">
        <v>29</v>
      </c>
      <c r="O2890" s="1"/>
      <c r="P2890" s="11"/>
      <c r="Q2890" s="11"/>
      <c r="R2890" s="11"/>
      <c r="S2890" s="11"/>
      <c r="T2890" s="1"/>
      <c r="U2890" s="1"/>
      <c r="V2890" s="1"/>
      <c r="W2890" s="1"/>
      <c r="X2890" s="1"/>
      <c r="Y2890" s="1"/>
      <c r="Z2890" s="1"/>
    </row>
    <row r="2891" ht="18.0" hidden="1" customHeight="1" outlineLevel="1">
      <c r="A2891" s="1"/>
      <c r="B2891" s="1"/>
      <c r="C2891" s="1"/>
      <c r="D2891" s="1"/>
      <c r="E2891" s="14"/>
      <c r="F2891" s="15"/>
      <c r="G2891" s="16"/>
      <c r="H2891" s="11"/>
      <c r="I2891" s="7"/>
      <c r="J2891" s="7" t="str">
        <f>IFERROR(LET(_xlpm.v,
VLOOKUP($I2891,'用語辞書'!$A:$B,COLUMN('用語辞書'!B$1),FALSE),
IF(_xlpm.v=0,"",_xlpm.v)
),"")</f>
        <v/>
      </c>
      <c r="K2891" s="17"/>
      <c r="L2891" s="17" t="str">
        <f>IF(OR(COUNTIF('クラス'!$A$1:$A$1267,$B2891)&gt;0,$B2891="",$M2891=""),"",True)</f>
        <v/>
      </c>
      <c r="M2891" s="1" t="str">
        <f t="shared" si="30"/>
        <v>存在しない</v>
      </c>
      <c r="N2891" s="1" t="s">
        <v>29</v>
      </c>
      <c r="O2891" s="1"/>
      <c r="P2891" s="11"/>
      <c r="Q2891" s="11"/>
      <c r="R2891" s="11"/>
      <c r="S2891" s="11"/>
      <c r="T2891" s="1"/>
      <c r="U2891" s="1"/>
      <c r="V2891" s="1"/>
      <c r="W2891" s="1"/>
      <c r="X2891" s="1"/>
      <c r="Y2891" s="1"/>
      <c r="Z2891" s="1"/>
    </row>
    <row r="2892" ht="18.0" hidden="1" customHeight="1" outlineLevel="1">
      <c r="A2892" s="1"/>
      <c r="B2892" s="26" t="s">
        <v>2514</v>
      </c>
      <c r="C2892" s="1"/>
      <c r="D2892" s="1"/>
      <c r="E2892" s="14"/>
      <c r="F2892" s="15"/>
      <c r="G2892" s="16"/>
      <c r="H2892" s="11"/>
      <c r="I2892" s="7"/>
      <c r="J2892" s="7" t="str">
        <f>IFERROR(LET(_xlpm.v,
VLOOKUP($I2892,'用語辞書'!$A:$B,COLUMN('用語辞書'!B$1),FALSE),
IF(_xlpm.v=0,"",_xlpm.v)
),"")</f>
        <v/>
      </c>
      <c r="K2892" s="17"/>
      <c r="L2892" s="17" t="str">
        <f>IF(OR(COUNTIF('クラス'!$A$1:$A$1267,$B2892)&gt;0,$B2892="",$M2892=""),"",True)</f>
        <v/>
      </c>
      <c r="M2892" s="1" t="str">
        <f t="shared" si="30"/>
        <v>存在しない</v>
      </c>
      <c r="N2892" s="1" t="s">
        <v>29</v>
      </c>
      <c r="O2892" s="1"/>
      <c r="P2892" s="11"/>
      <c r="Q2892" s="11"/>
      <c r="R2892" s="11"/>
      <c r="S2892" s="11"/>
      <c r="T2892" s="1"/>
      <c r="U2892" s="1"/>
      <c r="V2892" s="1"/>
      <c r="W2892" s="1"/>
      <c r="X2892" s="1"/>
      <c r="Y2892" s="1"/>
      <c r="Z2892" s="1"/>
    </row>
    <row r="2893" ht="18.0" hidden="1" customHeight="1" outlineLevel="2">
      <c r="A2893" s="1">
        <v>1.0</v>
      </c>
      <c r="B2893" s="1"/>
      <c r="C2893" s="1"/>
      <c r="D2893" s="1"/>
      <c r="E2893" s="14"/>
      <c r="F2893" s="15"/>
      <c r="G2893" s="16"/>
      <c r="H2893" s="11"/>
      <c r="I2893" s="7"/>
      <c r="J2893" s="7" t="str">
        <f>IFERROR(LET(_xlpm.v,
VLOOKUP($I2893,'用語辞書'!$A:$B,COLUMN('用語辞書'!B$1),FALSE),
IF(_xlpm.v=0,"",_xlpm.v)
),"")</f>
        <v/>
      </c>
      <c r="K2893" s="17"/>
      <c r="L2893" s="17" t="str">
        <f>IF(OR(COUNTIF('クラス'!$A$1:$A$1267,$B2893)&gt;0,$B2893="",$M2893=""),"",True)</f>
        <v/>
      </c>
      <c r="M2893" s="1" t="str">
        <f t="shared" si="30"/>
        <v>存在しない</v>
      </c>
      <c r="N2893" s="1" t="s">
        <v>29</v>
      </c>
      <c r="O2893" s="1"/>
      <c r="P2893" s="11"/>
      <c r="Q2893" s="11"/>
      <c r="R2893" s="11"/>
      <c r="S2893" s="11"/>
      <c r="T2893" s="1"/>
      <c r="U2893" s="1"/>
      <c r="V2893" s="1"/>
      <c r="W2893" s="1"/>
      <c r="X2893" s="1"/>
      <c r="Y2893" s="1"/>
      <c r="Z2893" s="1"/>
    </row>
    <row r="2894" ht="18.0" hidden="1" customHeight="1" outlineLevel="2">
      <c r="A2894" s="1">
        <v>2.0</v>
      </c>
      <c r="B2894" s="1"/>
      <c r="C2894" s="1"/>
      <c r="D2894" s="1"/>
      <c r="E2894" s="14"/>
      <c r="F2894" s="15"/>
      <c r="G2894" s="16"/>
      <c r="H2894" s="11"/>
      <c r="I2894" s="7"/>
      <c r="J2894" s="7" t="str">
        <f>IFERROR(LET(_xlpm.v,
VLOOKUP($I2894,'用語辞書'!$A:$B,COLUMN('用語辞書'!B$1),FALSE),
IF(_xlpm.v=0,"",_xlpm.v)
),"")</f>
        <v/>
      </c>
      <c r="K2894" s="17"/>
      <c r="L2894" s="17" t="str">
        <f>IF(OR(COUNTIF('クラス'!$A$1:$A$1267,$B2894)&gt;0,$B2894="",$M2894=""),"",True)</f>
        <v/>
      </c>
      <c r="M2894" s="1" t="str">
        <f t="shared" si="30"/>
        <v>存在しない</v>
      </c>
      <c r="N2894" s="1" t="s">
        <v>29</v>
      </c>
      <c r="O2894" s="1"/>
      <c r="P2894" s="11"/>
      <c r="Q2894" s="11"/>
      <c r="R2894" s="11"/>
      <c r="S2894" s="11"/>
      <c r="T2894" s="1"/>
      <c r="U2894" s="1"/>
      <c r="V2894" s="1"/>
      <c r="W2894" s="1"/>
      <c r="X2894" s="1"/>
      <c r="Y2894" s="1"/>
      <c r="Z2894" s="1"/>
    </row>
    <row r="2895" ht="18.0" hidden="1" customHeight="1" outlineLevel="2">
      <c r="A2895" s="1">
        <v>3.0</v>
      </c>
      <c r="B2895" s="1"/>
      <c r="C2895" s="1"/>
      <c r="D2895" s="1"/>
      <c r="E2895" s="14"/>
      <c r="F2895" s="15"/>
      <c r="G2895" s="16"/>
      <c r="H2895" s="11"/>
      <c r="I2895" s="7"/>
      <c r="J2895" s="7" t="str">
        <f>IFERROR(LET(_xlpm.v,
VLOOKUP($I2895,'用語辞書'!$A:$B,COLUMN('用語辞書'!B$1),FALSE),
IF(_xlpm.v=0,"",_xlpm.v)
),"")</f>
        <v/>
      </c>
      <c r="K2895" s="17"/>
      <c r="L2895" s="17" t="str">
        <f>IF(OR(COUNTIF('クラス'!$A$1:$A$1267,$B2895)&gt;0,$B2895="",$M2895=""),"",True)</f>
        <v/>
      </c>
      <c r="M2895" s="1" t="str">
        <f t="shared" si="30"/>
        <v>存在しない</v>
      </c>
      <c r="N2895" s="1" t="s">
        <v>29</v>
      </c>
      <c r="O2895" s="1"/>
      <c r="P2895" s="11"/>
      <c r="Q2895" s="11"/>
      <c r="R2895" s="11"/>
      <c r="S2895" s="11"/>
      <c r="T2895" s="1"/>
      <c r="U2895" s="1"/>
      <c r="V2895" s="1"/>
      <c r="W2895" s="1"/>
      <c r="X2895" s="1"/>
      <c r="Y2895" s="1"/>
      <c r="Z2895" s="1"/>
    </row>
    <row r="2896" ht="18.0" hidden="1" customHeight="1" outlineLevel="2">
      <c r="A2896" s="1">
        <v>4.0</v>
      </c>
      <c r="B2896" s="1"/>
      <c r="C2896" s="1"/>
      <c r="D2896" s="1"/>
      <c r="E2896" s="14"/>
      <c r="F2896" s="15"/>
      <c r="G2896" s="16"/>
      <c r="H2896" s="11"/>
      <c r="I2896" s="7"/>
      <c r="J2896" s="7" t="str">
        <f>IFERROR(LET(_xlpm.v,
VLOOKUP($I2896,'用語辞書'!$A:$B,COLUMN('用語辞書'!B$1),FALSE),
IF(_xlpm.v=0,"",_xlpm.v)
),"")</f>
        <v/>
      </c>
      <c r="K2896" s="17"/>
      <c r="L2896" s="17" t="str">
        <f>IF(OR(COUNTIF('クラス'!$A$1:$A$1267,$B2896)&gt;0,$B2896="",$M2896=""),"",True)</f>
        <v/>
      </c>
      <c r="M2896" s="1" t="str">
        <f t="shared" si="30"/>
        <v>存在しない</v>
      </c>
      <c r="N2896" s="1" t="s">
        <v>29</v>
      </c>
      <c r="O2896" s="1"/>
      <c r="P2896" s="11"/>
      <c r="Q2896" s="11"/>
      <c r="R2896" s="11"/>
      <c r="S2896" s="11"/>
      <c r="T2896" s="1"/>
      <c r="U2896" s="1"/>
      <c r="V2896" s="1"/>
      <c r="W2896" s="1"/>
      <c r="X2896" s="1"/>
      <c r="Y2896" s="1"/>
      <c r="Z2896" s="1"/>
    </row>
    <row r="2897" ht="18.0" hidden="1" customHeight="1" outlineLevel="2">
      <c r="A2897" s="1">
        <v>5.0</v>
      </c>
      <c r="B2897" s="1"/>
      <c r="C2897" s="1"/>
      <c r="D2897" s="1"/>
      <c r="E2897" s="14"/>
      <c r="F2897" s="15"/>
      <c r="G2897" s="16"/>
      <c r="H2897" s="11"/>
      <c r="I2897" s="7"/>
      <c r="J2897" s="7" t="str">
        <f>IFERROR(LET(_xlpm.v,
VLOOKUP($I2897,'用語辞書'!$A:$B,COLUMN('用語辞書'!B$1),FALSE),
IF(_xlpm.v=0,"",_xlpm.v)
),"")</f>
        <v/>
      </c>
      <c r="K2897" s="17"/>
      <c r="L2897" s="17" t="str">
        <f>IF(OR(COUNTIF('クラス'!$A$1:$A$1267,$B2897)&gt;0,$B2897="",$M2897=""),"",True)</f>
        <v/>
      </c>
      <c r="M2897" s="1" t="str">
        <f t="shared" si="30"/>
        <v>存在しない</v>
      </c>
      <c r="N2897" s="1" t="s">
        <v>29</v>
      </c>
      <c r="O2897" s="1"/>
      <c r="P2897" s="11"/>
      <c r="Q2897" s="11"/>
      <c r="R2897" s="11"/>
      <c r="S2897" s="11"/>
      <c r="T2897" s="1"/>
      <c r="U2897" s="1"/>
      <c r="V2897" s="1"/>
      <c r="W2897" s="1"/>
      <c r="X2897" s="1"/>
      <c r="Y2897" s="1"/>
      <c r="Z2897" s="1"/>
    </row>
    <row r="2898" ht="18.0" hidden="1" customHeight="1" outlineLevel="2">
      <c r="A2898" s="1">
        <v>6.0</v>
      </c>
      <c r="B2898" s="1"/>
      <c r="C2898" s="1"/>
      <c r="D2898" s="1"/>
      <c r="E2898" s="14"/>
      <c r="F2898" s="15"/>
      <c r="G2898" s="16"/>
      <c r="H2898" s="11"/>
      <c r="I2898" s="7"/>
      <c r="J2898" s="7" t="str">
        <f>IFERROR(LET(_xlpm.v,
VLOOKUP($I2898,'用語辞書'!$A:$B,COLUMN('用語辞書'!B$1),FALSE),
IF(_xlpm.v=0,"",_xlpm.v)
),"")</f>
        <v/>
      </c>
      <c r="K2898" s="17"/>
      <c r="L2898" s="17" t="str">
        <f>IF(OR(COUNTIF('クラス'!$A$1:$A$1267,$B2898)&gt;0,$B2898="",$M2898=""),"",True)</f>
        <v/>
      </c>
      <c r="M2898" s="1" t="str">
        <f t="shared" si="30"/>
        <v>存在しない</v>
      </c>
      <c r="N2898" s="1" t="s">
        <v>29</v>
      </c>
      <c r="O2898" s="1"/>
      <c r="P2898" s="11"/>
      <c r="Q2898" s="11"/>
      <c r="R2898" s="11"/>
      <c r="S2898" s="11"/>
      <c r="T2898" s="1"/>
      <c r="U2898" s="1"/>
      <c r="V2898" s="1"/>
      <c r="W2898" s="1"/>
      <c r="X2898" s="1"/>
      <c r="Y2898" s="1"/>
      <c r="Z2898" s="1"/>
    </row>
    <row r="2899" ht="18.0" hidden="1" customHeight="1" outlineLevel="2">
      <c r="A2899" s="1">
        <v>7.0</v>
      </c>
      <c r="B2899" s="1"/>
      <c r="C2899" s="1"/>
      <c r="D2899" s="1"/>
      <c r="E2899" s="14"/>
      <c r="F2899" s="15"/>
      <c r="G2899" s="16"/>
      <c r="H2899" s="11"/>
      <c r="I2899" s="7"/>
      <c r="J2899" s="7" t="str">
        <f>IFERROR(LET(_xlpm.v,
VLOOKUP($I2899,'用語辞書'!$A:$B,COLUMN('用語辞書'!B$1),FALSE),
IF(_xlpm.v=0,"",_xlpm.v)
),"")</f>
        <v/>
      </c>
      <c r="K2899" s="17"/>
      <c r="L2899" s="17" t="str">
        <f>IF(OR(COUNTIF('クラス'!$A$1:$A$1267,$B2899)&gt;0,$B2899="",$M2899=""),"",True)</f>
        <v/>
      </c>
      <c r="M2899" s="1" t="str">
        <f t="shared" si="30"/>
        <v>存在しない</v>
      </c>
      <c r="N2899" s="1" t="s">
        <v>29</v>
      </c>
      <c r="O2899" s="1"/>
      <c r="P2899" s="11"/>
      <c r="Q2899" s="11"/>
      <c r="R2899" s="11"/>
      <c r="S2899" s="11"/>
      <c r="T2899" s="1"/>
      <c r="U2899" s="1"/>
      <c r="V2899" s="1"/>
      <c r="W2899" s="1"/>
      <c r="X2899" s="1"/>
      <c r="Y2899" s="1"/>
      <c r="Z2899" s="1"/>
    </row>
    <row r="2900" ht="18.0" hidden="1" customHeight="1" outlineLevel="2">
      <c r="A2900" s="1">
        <v>8.0</v>
      </c>
      <c r="B2900" s="1"/>
      <c r="C2900" s="1"/>
      <c r="D2900" s="1"/>
      <c r="E2900" s="14"/>
      <c r="F2900" s="15"/>
      <c r="G2900" s="16"/>
      <c r="H2900" s="11"/>
      <c r="I2900" s="7"/>
      <c r="J2900" s="7" t="str">
        <f>IFERROR(LET(_xlpm.v,
VLOOKUP($I2900,'用語辞書'!$A:$B,COLUMN('用語辞書'!B$1),FALSE),
IF(_xlpm.v=0,"",_xlpm.v)
),"")</f>
        <v/>
      </c>
      <c r="K2900" s="17"/>
      <c r="L2900" s="17" t="str">
        <f>IF(OR(COUNTIF('クラス'!$A$1:$A$1267,$B2900)&gt;0,$B2900="",$M2900=""),"",True)</f>
        <v/>
      </c>
      <c r="M2900" s="1" t="str">
        <f t="shared" si="30"/>
        <v>存在しない</v>
      </c>
      <c r="N2900" s="1" t="s">
        <v>29</v>
      </c>
      <c r="O2900" s="1"/>
      <c r="P2900" s="11"/>
      <c r="Q2900" s="11"/>
      <c r="R2900" s="11"/>
      <c r="S2900" s="11"/>
      <c r="T2900" s="1"/>
      <c r="U2900" s="1"/>
      <c r="V2900" s="1"/>
      <c r="W2900" s="1"/>
      <c r="X2900" s="1"/>
      <c r="Y2900" s="1"/>
      <c r="Z2900" s="1"/>
    </row>
    <row r="2901" ht="18.0" hidden="1" customHeight="1" outlineLevel="2">
      <c r="A2901" s="1">
        <v>9.0</v>
      </c>
      <c r="B2901" s="1"/>
      <c r="C2901" s="1"/>
      <c r="D2901" s="1"/>
      <c r="E2901" s="14"/>
      <c r="F2901" s="15"/>
      <c r="G2901" s="16"/>
      <c r="H2901" s="11"/>
      <c r="I2901" s="7"/>
      <c r="J2901" s="7" t="str">
        <f>IFERROR(LET(_xlpm.v,
VLOOKUP($I2901,'用語辞書'!$A:$B,COLUMN('用語辞書'!B$1),FALSE),
IF(_xlpm.v=0,"",_xlpm.v)
),"")</f>
        <v/>
      </c>
      <c r="K2901" s="17"/>
      <c r="L2901" s="17" t="str">
        <f>IF(OR(COUNTIF('クラス'!$A$1:$A$1267,$B2901)&gt;0,$B2901="",$M2901=""),"",True)</f>
        <v/>
      </c>
      <c r="M2901" s="1" t="str">
        <f t="shared" si="30"/>
        <v>存在しない</v>
      </c>
      <c r="N2901" s="1" t="s">
        <v>29</v>
      </c>
      <c r="O2901" s="1"/>
      <c r="P2901" s="11"/>
      <c r="Q2901" s="11"/>
      <c r="R2901" s="11"/>
      <c r="S2901" s="11"/>
      <c r="T2901" s="1"/>
      <c r="U2901" s="1"/>
      <c r="V2901" s="1"/>
      <c r="W2901" s="1"/>
      <c r="X2901" s="1"/>
      <c r="Y2901" s="1"/>
      <c r="Z2901" s="1"/>
    </row>
    <row r="2902" ht="18.0" hidden="1" customHeight="1" outlineLevel="2">
      <c r="A2902" s="1">
        <v>10.0</v>
      </c>
      <c r="B2902" s="1"/>
      <c r="C2902" s="1"/>
      <c r="D2902" s="1"/>
      <c r="E2902" s="14"/>
      <c r="F2902" s="15"/>
      <c r="G2902" s="16"/>
      <c r="H2902" s="11"/>
      <c r="I2902" s="7"/>
      <c r="J2902" s="7" t="str">
        <f>IFERROR(LET(_xlpm.v,
VLOOKUP($I2902,'用語辞書'!$A:$B,COLUMN('用語辞書'!B$1),FALSE),
IF(_xlpm.v=0,"",_xlpm.v)
),"")</f>
        <v/>
      </c>
      <c r="K2902" s="17"/>
      <c r="L2902" s="17" t="str">
        <f>IF(OR(COUNTIF('クラス'!$A$1:$A$1267,$B2902)&gt;0,$B2902="",$M2902=""),"",True)</f>
        <v/>
      </c>
      <c r="M2902" s="1" t="str">
        <f t="shared" si="30"/>
        <v>存在しない</v>
      </c>
      <c r="N2902" s="1" t="s">
        <v>29</v>
      </c>
      <c r="O2902" s="1"/>
      <c r="P2902" s="11"/>
      <c r="Q2902" s="11"/>
      <c r="R2902" s="11"/>
      <c r="S2902" s="11"/>
      <c r="T2902" s="1"/>
      <c r="U2902" s="1"/>
      <c r="V2902" s="1"/>
      <c r="W2902" s="1"/>
      <c r="X2902" s="1"/>
      <c r="Y2902" s="1"/>
      <c r="Z2902" s="1"/>
    </row>
    <row r="2903" ht="18.0" hidden="1" customHeight="1" outlineLevel="1">
      <c r="A2903" s="1"/>
      <c r="B2903" s="1"/>
      <c r="C2903" s="1"/>
      <c r="D2903" s="1"/>
      <c r="E2903" s="14"/>
      <c r="F2903" s="15"/>
      <c r="G2903" s="16"/>
      <c r="H2903" s="11"/>
      <c r="I2903" s="7"/>
      <c r="J2903" s="7" t="str">
        <f>IFERROR(LET(_xlpm.v,
VLOOKUP($I2903,'用語辞書'!$A:$B,COLUMN('用語辞書'!B$1),FALSE),
IF(_xlpm.v=0,"",_xlpm.v)
),"")</f>
        <v/>
      </c>
      <c r="K2903" s="17"/>
      <c r="L2903" s="17" t="str">
        <f>IF(OR(COUNTIF('クラス'!$A$1:$A$1267,$B2903)&gt;0,$B2903="",$M2903=""),"",True)</f>
        <v/>
      </c>
      <c r="M2903" s="1" t="str">
        <f t="shared" si="30"/>
        <v>存在しない</v>
      </c>
      <c r="N2903" s="1" t="s">
        <v>29</v>
      </c>
      <c r="O2903" s="1"/>
      <c r="P2903" s="11"/>
      <c r="Q2903" s="11"/>
      <c r="R2903" s="11"/>
      <c r="S2903" s="11"/>
      <c r="T2903" s="1"/>
      <c r="U2903" s="1"/>
      <c r="V2903" s="1"/>
      <c r="W2903" s="1"/>
      <c r="X2903" s="1"/>
      <c r="Y2903" s="1"/>
      <c r="Z2903" s="1"/>
    </row>
    <row r="2904" ht="18.0" hidden="1" customHeight="1" outlineLevel="1">
      <c r="A2904" s="1"/>
      <c r="B2904" s="26" t="s">
        <v>2515</v>
      </c>
      <c r="C2904" s="1"/>
      <c r="D2904" s="1"/>
      <c r="E2904" s="14"/>
      <c r="F2904" s="15"/>
      <c r="G2904" s="16"/>
      <c r="H2904" s="11"/>
      <c r="I2904" s="7"/>
      <c r="J2904" s="7" t="str">
        <f>IFERROR(LET(_xlpm.v,
VLOOKUP($I2904,'用語辞書'!$A:$B,COLUMN('用語辞書'!B$1),FALSE),
IF(_xlpm.v=0,"",_xlpm.v)
),"")</f>
        <v/>
      </c>
      <c r="K2904" s="17"/>
      <c r="L2904" s="17" t="str">
        <f>IF(OR(COUNTIF('クラス'!$A$1:$A$1267,$B2904)&gt;0,$B2904="",$M2904=""),"",True)</f>
        <v/>
      </c>
      <c r="M2904" s="1" t="str">
        <f t="shared" si="30"/>
        <v>存在しない</v>
      </c>
      <c r="N2904" s="1" t="s">
        <v>29</v>
      </c>
      <c r="O2904" s="1"/>
      <c r="P2904" s="11"/>
      <c r="Q2904" s="11"/>
      <c r="R2904" s="11"/>
      <c r="S2904" s="11"/>
      <c r="T2904" s="1"/>
      <c r="U2904" s="1"/>
      <c r="V2904" s="1"/>
      <c r="W2904" s="1"/>
      <c r="X2904" s="1"/>
      <c r="Y2904" s="1"/>
      <c r="Z2904" s="1"/>
    </row>
    <row r="2905" ht="18.0" hidden="1" customHeight="1" outlineLevel="2">
      <c r="A2905" s="1">
        <v>1.0</v>
      </c>
      <c r="B2905" s="1"/>
      <c r="C2905" s="1"/>
      <c r="D2905" s="1"/>
      <c r="E2905" s="14"/>
      <c r="F2905" s="15"/>
      <c r="G2905" s="16"/>
      <c r="H2905" s="11"/>
      <c r="I2905" s="7"/>
      <c r="J2905" s="7" t="str">
        <f>IFERROR(LET(_xlpm.v,
VLOOKUP($I2905,'用語辞書'!$A:$B,COLUMN('用語辞書'!B$1),FALSE),
IF(_xlpm.v=0,"",_xlpm.v)
),"")</f>
        <v/>
      </c>
      <c r="K2905" s="17"/>
      <c r="L2905" s="17" t="str">
        <f>IF(OR(COUNTIF('クラス'!$A$1:$A$1267,$B2905)&gt;0,$B2905="",$M2905=""),"",True)</f>
        <v/>
      </c>
      <c r="M2905" s="1" t="str">
        <f t="shared" si="30"/>
        <v>存在しない</v>
      </c>
      <c r="N2905" s="1" t="s">
        <v>29</v>
      </c>
      <c r="O2905" s="1"/>
      <c r="P2905" s="11"/>
      <c r="Q2905" s="11"/>
      <c r="R2905" s="11"/>
      <c r="S2905" s="11"/>
      <c r="T2905" s="1"/>
      <c r="U2905" s="1"/>
      <c r="V2905" s="1"/>
      <c r="W2905" s="1"/>
      <c r="X2905" s="1"/>
      <c r="Y2905" s="1"/>
      <c r="Z2905" s="1"/>
    </row>
    <row r="2906" ht="18.0" hidden="1" customHeight="1" outlineLevel="2">
      <c r="A2906" s="1">
        <v>2.0</v>
      </c>
      <c r="B2906" s="1"/>
      <c r="C2906" s="1"/>
      <c r="D2906" s="1"/>
      <c r="E2906" s="14"/>
      <c r="F2906" s="15"/>
      <c r="G2906" s="16"/>
      <c r="H2906" s="11"/>
      <c r="I2906" s="7"/>
      <c r="J2906" s="7" t="str">
        <f>IFERROR(LET(_xlpm.v,
VLOOKUP($I2906,'用語辞書'!$A:$B,COLUMN('用語辞書'!B$1),FALSE),
IF(_xlpm.v=0,"",_xlpm.v)
),"")</f>
        <v/>
      </c>
      <c r="K2906" s="17"/>
      <c r="L2906" s="17" t="str">
        <f>IF(OR(COUNTIF('クラス'!$A$1:$A$1267,$B2906)&gt;0,$B2906="",$M2906=""),"",True)</f>
        <v/>
      </c>
      <c r="M2906" s="1" t="str">
        <f t="shared" si="30"/>
        <v>存在しない</v>
      </c>
      <c r="N2906" s="1" t="s">
        <v>29</v>
      </c>
      <c r="O2906" s="1"/>
      <c r="P2906" s="11"/>
      <c r="Q2906" s="11"/>
      <c r="R2906" s="11"/>
      <c r="S2906" s="11"/>
      <c r="T2906" s="1"/>
      <c r="U2906" s="1"/>
      <c r="V2906" s="1"/>
      <c r="W2906" s="1"/>
      <c r="X2906" s="1"/>
      <c r="Y2906" s="1"/>
      <c r="Z2906" s="1"/>
    </row>
    <row r="2907" ht="18.0" hidden="1" customHeight="1" outlineLevel="2">
      <c r="A2907" s="1">
        <v>3.0</v>
      </c>
      <c r="B2907" s="1"/>
      <c r="C2907" s="1"/>
      <c r="D2907" s="1"/>
      <c r="E2907" s="14"/>
      <c r="F2907" s="15"/>
      <c r="G2907" s="16"/>
      <c r="H2907" s="11"/>
      <c r="I2907" s="7"/>
      <c r="J2907" s="7" t="str">
        <f>IFERROR(LET(_xlpm.v,
VLOOKUP($I2907,'用語辞書'!$A:$B,COLUMN('用語辞書'!B$1),FALSE),
IF(_xlpm.v=0,"",_xlpm.v)
),"")</f>
        <v/>
      </c>
      <c r="K2907" s="17"/>
      <c r="L2907" s="17" t="str">
        <f>IF(OR(COUNTIF('クラス'!$A$1:$A$1267,$B2907)&gt;0,$B2907="",$M2907=""),"",True)</f>
        <v/>
      </c>
      <c r="M2907" s="1" t="str">
        <f t="shared" si="30"/>
        <v>存在しない</v>
      </c>
      <c r="N2907" s="1" t="s">
        <v>29</v>
      </c>
      <c r="O2907" s="1"/>
      <c r="P2907" s="11"/>
      <c r="Q2907" s="11"/>
      <c r="R2907" s="11"/>
      <c r="S2907" s="11"/>
      <c r="T2907" s="1"/>
      <c r="U2907" s="1"/>
      <c r="V2907" s="1"/>
      <c r="W2907" s="1"/>
      <c r="X2907" s="1"/>
      <c r="Y2907" s="1"/>
      <c r="Z2907" s="1"/>
    </row>
    <row r="2908" ht="18.0" hidden="1" customHeight="1" outlineLevel="2">
      <c r="A2908" s="1">
        <v>4.0</v>
      </c>
      <c r="B2908" s="1"/>
      <c r="C2908" s="1"/>
      <c r="D2908" s="1"/>
      <c r="E2908" s="14"/>
      <c r="F2908" s="15"/>
      <c r="G2908" s="16"/>
      <c r="H2908" s="11"/>
      <c r="I2908" s="7"/>
      <c r="J2908" s="7" t="str">
        <f>IFERROR(LET(_xlpm.v,
VLOOKUP($I2908,'用語辞書'!$A:$B,COLUMN('用語辞書'!B$1),FALSE),
IF(_xlpm.v=0,"",_xlpm.v)
),"")</f>
        <v/>
      </c>
      <c r="K2908" s="17"/>
      <c r="L2908" s="17" t="str">
        <f>IF(OR(COUNTIF('クラス'!$A$1:$A$1267,$B2908)&gt;0,$B2908="",$M2908=""),"",True)</f>
        <v/>
      </c>
      <c r="M2908" s="1" t="str">
        <f t="shared" si="30"/>
        <v>存在しない</v>
      </c>
      <c r="N2908" s="1" t="s">
        <v>29</v>
      </c>
      <c r="O2908" s="1"/>
      <c r="P2908" s="11"/>
      <c r="Q2908" s="11"/>
      <c r="R2908" s="11"/>
      <c r="S2908" s="11"/>
      <c r="T2908" s="1"/>
      <c r="U2908" s="1"/>
      <c r="V2908" s="1"/>
      <c r="W2908" s="1"/>
      <c r="X2908" s="1"/>
      <c r="Y2908" s="1"/>
      <c r="Z2908" s="1"/>
    </row>
    <row r="2909" ht="18.0" hidden="1" customHeight="1" outlineLevel="2">
      <c r="A2909" s="1">
        <v>5.0</v>
      </c>
      <c r="B2909" s="1"/>
      <c r="C2909" s="1"/>
      <c r="D2909" s="1"/>
      <c r="E2909" s="14"/>
      <c r="F2909" s="15"/>
      <c r="G2909" s="16"/>
      <c r="H2909" s="11"/>
      <c r="I2909" s="7"/>
      <c r="J2909" s="7" t="str">
        <f>IFERROR(LET(_xlpm.v,
VLOOKUP($I2909,'用語辞書'!$A:$B,COLUMN('用語辞書'!B$1),FALSE),
IF(_xlpm.v=0,"",_xlpm.v)
),"")</f>
        <v/>
      </c>
      <c r="K2909" s="17"/>
      <c r="L2909" s="17" t="str">
        <f>IF(OR(COUNTIF('クラス'!$A$1:$A$1267,$B2909)&gt;0,$B2909="",$M2909=""),"",True)</f>
        <v/>
      </c>
      <c r="M2909" s="1" t="str">
        <f t="shared" si="30"/>
        <v>存在しない</v>
      </c>
      <c r="N2909" s="1" t="s">
        <v>29</v>
      </c>
      <c r="O2909" s="1"/>
      <c r="P2909" s="11"/>
      <c r="Q2909" s="11"/>
      <c r="R2909" s="11"/>
      <c r="S2909" s="11"/>
      <c r="T2909" s="1"/>
      <c r="U2909" s="1"/>
      <c r="V2909" s="1"/>
      <c r="W2909" s="1"/>
      <c r="X2909" s="1"/>
      <c r="Y2909" s="1"/>
      <c r="Z2909" s="1"/>
    </row>
    <row r="2910" ht="18.0" hidden="1" customHeight="1" outlineLevel="2">
      <c r="A2910" s="1">
        <v>6.0</v>
      </c>
      <c r="B2910" s="1"/>
      <c r="C2910" s="1"/>
      <c r="D2910" s="1"/>
      <c r="E2910" s="14"/>
      <c r="F2910" s="15"/>
      <c r="G2910" s="16"/>
      <c r="H2910" s="11"/>
      <c r="I2910" s="7"/>
      <c r="J2910" s="7" t="str">
        <f>IFERROR(LET(_xlpm.v,
VLOOKUP($I2910,'用語辞書'!$A:$B,COLUMN('用語辞書'!B$1),FALSE),
IF(_xlpm.v=0,"",_xlpm.v)
),"")</f>
        <v/>
      </c>
      <c r="K2910" s="17"/>
      <c r="L2910" s="17" t="str">
        <f>IF(OR(COUNTIF('クラス'!$A$1:$A$1267,$B2910)&gt;0,$B2910="",$M2910=""),"",True)</f>
        <v/>
      </c>
      <c r="M2910" s="1" t="str">
        <f t="shared" si="30"/>
        <v>存在しない</v>
      </c>
      <c r="N2910" s="1" t="s">
        <v>29</v>
      </c>
      <c r="O2910" s="1"/>
      <c r="P2910" s="11"/>
      <c r="Q2910" s="11"/>
      <c r="R2910" s="11"/>
      <c r="S2910" s="11"/>
      <c r="T2910" s="1"/>
      <c r="U2910" s="1"/>
      <c r="V2910" s="1"/>
      <c r="W2910" s="1"/>
      <c r="X2910" s="1"/>
      <c r="Y2910" s="1"/>
      <c r="Z2910" s="1"/>
    </row>
    <row r="2911" ht="18.0" hidden="1" customHeight="1" outlineLevel="2">
      <c r="A2911" s="1">
        <v>7.0</v>
      </c>
      <c r="B2911" s="1"/>
      <c r="C2911" s="1"/>
      <c r="D2911" s="1"/>
      <c r="E2911" s="14"/>
      <c r="F2911" s="15"/>
      <c r="G2911" s="16"/>
      <c r="H2911" s="11"/>
      <c r="I2911" s="7"/>
      <c r="J2911" s="7" t="str">
        <f>IFERROR(LET(_xlpm.v,
VLOOKUP($I2911,'用語辞書'!$A:$B,COLUMN('用語辞書'!B$1),FALSE),
IF(_xlpm.v=0,"",_xlpm.v)
),"")</f>
        <v/>
      </c>
      <c r="K2911" s="17"/>
      <c r="L2911" s="17" t="str">
        <f>IF(OR(COUNTIF('クラス'!$A$1:$A$1267,$B2911)&gt;0,$B2911="",$M2911=""),"",True)</f>
        <v/>
      </c>
      <c r="M2911" s="1" t="str">
        <f t="shared" si="30"/>
        <v>存在しない</v>
      </c>
      <c r="N2911" s="1" t="s">
        <v>29</v>
      </c>
      <c r="O2911" s="1"/>
      <c r="P2911" s="11"/>
      <c r="Q2911" s="11"/>
      <c r="R2911" s="11"/>
      <c r="S2911" s="11"/>
      <c r="T2911" s="1"/>
      <c r="U2911" s="1"/>
      <c r="V2911" s="1"/>
      <c r="W2911" s="1"/>
      <c r="X2911" s="1"/>
      <c r="Y2911" s="1"/>
      <c r="Z2911" s="1"/>
    </row>
    <row r="2912" ht="18.0" hidden="1" customHeight="1" outlineLevel="2">
      <c r="A2912" s="1">
        <v>8.0</v>
      </c>
      <c r="B2912" s="1"/>
      <c r="C2912" s="1"/>
      <c r="D2912" s="1"/>
      <c r="E2912" s="14"/>
      <c r="F2912" s="15"/>
      <c r="G2912" s="16"/>
      <c r="H2912" s="11"/>
      <c r="I2912" s="7"/>
      <c r="J2912" s="7" t="str">
        <f>IFERROR(LET(_xlpm.v,
VLOOKUP($I2912,'用語辞書'!$A:$B,COLUMN('用語辞書'!B$1),FALSE),
IF(_xlpm.v=0,"",_xlpm.v)
),"")</f>
        <v/>
      </c>
      <c r="K2912" s="17"/>
      <c r="L2912" s="17" t="str">
        <f>IF(OR(COUNTIF('クラス'!$A$1:$A$1267,$B2912)&gt;0,$B2912="",$M2912=""),"",True)</f>
        <v/>
      </c>
      <c r="M2912" s="1" t="str">
        <f t="shared" si="30"/>
        <v>存在しない</v>
      </c>
      <c r="N2912" s="1" t="s">
        <v>29</v>
      </c>
      <c r="O2912" s="1"/>
      <c r="P2912" s="11"/>
      <c r="Q2912" s="11"/>
      <c r="R2912" s="11"/>
      <c r="S2912" s="11"/>
      <c r="T2912" s="1"/>
      <c r="U2912" s="1"/>
      <c r="V2912" s="1"/>
      <c r="W2912" s="1"/>
      <c r="X2912" s="1"/>
      <c r="Y2912" s="1"/>
      <c r="Z2912" s="1"/>
    </row>
    <row r="2913" ht="18.0" hidden="1" customHeight="1" outlineLevel="2">
      <c r="A2913" s="1">
        <v>9.0</v>
      </c>
      <c r="B2913" s="1"/>
      <c r="C2913" s="1"/>
      <c r="D2913" s="1"/>
      <c r="E2913" s="14"/>
      <c r="F2913" s="15"/>
      <c r="G2913" s="16"/>
      <c r="H2913" s="11"/>
      <c r="I2913" s="7"/>
      <c r="J2913" s="7" t="str">
        <f>IFERROR(LET(_xlpm.v,
VLOOKUP($I2913,'用語辞書'!$A:$B,COLUMN('用語辞書'!B$1),FALSE),
IF(_xlpm.v=0,"",_xlpm.v)
),"")</f>
        <v/>
      </c>
      <c r="K2913" s="17"/>
      <c r="L2913" s="17" t="str">
        <f>IF(OR(COUNTIF('クラス'!$A$1:$A$1267,$B2913)&gt;0,$B2913="",$M2913=""),"",True)</f>
        <v/>
      </c>
      <c r="M2913" s="1" t="str">
        <f t="shared" si="30"/>
        <v>存在しない</v>
      </c>
      <c r="N2913" s="1" t="s">
        <v>29</v>
      </c>
      <c r="O2913" s="1"/>
      <c r="P2913" s="11"/>
      <c r="Q2913" s="11"/>
      <c r="R2913" s="11"/>
      <c r="S2913" s="11"/>
      <c r="T2913" s="1"/>
      <c r="U2913" s="1"/>
      <c r="V2913" s="1"/>
      <c r="W2913" s="1"/>
      <c r="X2913" s="1"/>
      <c r="Y2913" s="1"/>
      <c r="Z2913" s="1"/>
    </row>
    <row r="2914" ht="18.0" hidden="1" customHeight="1" outlineLevel="2">
      <c r="A2914" s="1">
        <v>10.0</v>
      </c>
      <c r="B2914" s="1"/>
      <c r="C2914" s="1"/>
      <c r="D2914" s="1"/>
      <c r="E2914" s="14"/>
      <c r="F2914" s="15"/>
      <c r="G2914" s="16"/>
      <c r="H2914" s="11"/>
      <c r="I2914" s="7"/>
      <c r="J2914" s="7" t="str">
        <f>IFERROR(LET(_xlpm.v,
VLOOKUP($I2914,'用語辞書'!$A:$B,COLUMN('用語辞書'!B$1),FALSE),
IF(_xlpm.v=0,"",_xlpm.v)
),"")</f>
        <v/>
      </c>
      <c r="K2914" s="17"/>
      <c r="L2914" s="17" t="str">
        <f>IF(OR(COUNTIF('クラス'!$A$1:$A$1267,$B2914)&gt;0,$B2914="",$M2914=""),"",True)</f>
        <v/>
      </c>
      <c r="M2914" s="1" t="str">
        <f t="shared" si="30"/>
        <v>存在しない</v>
      </c>
      <c r="N2914" s="1" t="s">
        <v>29</v>
      </c>
      <c r="O2914" s="1"/>
      <c r="P2914" s="11"/>
      <c r="Q2914" s="11"/>
      <c r="R2914" s="11"/>
      <c r="S2914" s="11"/>
      <c r="T2914" s="1"/>
      <c r="U2914" s="1"/>
      <c r="V2914" s="1"/>
      <c r="W2914" s="1"/>
      <c r="X2914" s="1"/>
      <c r="Y2914" s="1"/>
      <c r="Z2914" s="1"/>
    </row>
    <row r="2915" ht="18.0" hidden="1" customHeight="1" outlineLevel="1">
      <c r="A2915" s="1"/>
      <c r="B2915" s="1"/>
      <c r="C2915" s="1"/>
      <c r="D2915" s="1"/>
      <c r="E2915" s="14"/>
      <c r="F2915" s="15"/>
      <c r="G2915" s="16"/>
      <c r="H2915" s="11"/>
      <c r="I2915" s="7"/>
      <c r="J2915" s="7" t="str">
        <f>IFERROR(LET(_xlpm.v,
VLOOKUP($I2915,'用語辞書'!$A:$B,COLUMN('用語辞書'!B$1),FALSE),
IF(_xlpm.v=0,"",_xlpm.v)
),"")</f>
        <v/>
      </c>
      <c r="K2915" s="17"/>
      <c r="L2915" s="17" t="str">
        <f>IF(OR(COUNTIF('クラス'!$A$1:$A$1267,$B2915)&gt;0,$B2915="",$M2915=""),"",True)</f>
        <v/>
      </c>
      <c r="M2915" s="1" t="str">
        <f t="shared" si="30"/>
        <v>存在しない</v>
      </c>
      <c r="N2915" s="1" t="s">
        <v>29</v>
      </c>
      <c r="O2915" s="1"/>
      <c r="P2915" s="11"/>
      <c r="Q2915" s="11"/>
      <c r="R2915" s="11"/>
      <c r="S2915" s="11"/>
      <c r="T2915" s="1"/>
      <c r="U2915" s="1"/>
      <c r="V2915" s="1"/>
      <c r="W2915" s="1"/>
      <c r="X2915" s="1"/>
      <c r="Y2915" s="1"/>
      <c r="Z2915" s="1"/>
    </row>
    <row r="2916" ht="18.0" hidden="1" customHeight="1" outlineLevel="1">
      <c r="A2916" s="1"/>
      <c r="B2916" s="26" t="s">
        <v>2516</v>
      </c>
      <c r="C2916" s="1"/>
      <c r="D2916" s="1"/>
      <c r="E2916" s="14"/>
      <c r="F2916" s="15"/>
      <c r="G2916" s="16"/>
      <c r="H2916" s="11"/>
      <c r="I2916" s="7"/>
      <c r="J2916" s="7" t="str">
        <f>IFERROR(LET(_xlpm.v,
VLOOKUP($I2916,'用語辞書'!$A:$B,COLUMN('用語辞書'!B$1),FALSE),
IF(_xlpm.v=0,"",_xlpm.v)
),"")</f>
        <v/>
      </c>
      <c r="K2916" s="17"/>
      <c r="L2916" s="17" t="str">
        <f>IF(OR(COUNTIF('クラス'!$A$1:$A$1267,$B2916)&gt;0,$B2916="",$M2916=""),"",True)</f>
        <v/>
      </c>
      <c r="M2916" s="1" t="str">
        <f t="shared" si="30"/>
        <v>存在しない</v>
      </c>
      <c r="N2916" s="1" t="s">
        <v>29</v>
      </c>
      <c r="O2916" s="1"/>
      <c r="P2916" s="11"/>
      <c r="Q2916" s="11"/>
      <c r="R2916" s="11"/>
      <c r="S2916" s="11"/>
      <c r="T2916" s="1"/>
      <c r="U2916" s="1"/>
      <c r="V2916" s="1"/>
      <c r="W2916" s="1"/>
      <c r="X2916" s="1"/>
      <c r="Y2916" s="1"/>
      <c r="Z2916" s="1"/>
    </row>
    <row r="2917" ht="18.0" hidden="1" customHeight="1" outlineLevel="2">
      <c r="A2917" s="1">
        <v>1.0</v>
      </c>
      <c r="B2917" s="1"/>
      <c r="C2917" s="1"/>
      <c r="D2917" s="1"/>
      <c r="E2917" s="14"/>
      <c r="F2917" s="15"/>
      <c r="G2917" s="16"/>
      <c r="H2917" s="11"/>
      <c r="I2917" s="7"/>
      <c r="J2917" s="7" t="str">
        <f>IFERROR(LET(_xlpm.v,
VLOOKUP($I2917,'用語辞書'!$A:$B,COLUMN('用語辞書'!B$1),FALSE),
IF(_xlpm.v=0,"",_xlpm.v)
),"")</f>
        <v/>
      </c>
      <c r="K2917" s="17"/>
      <c r="L2917" s="17" t="str">
        <f>IF(OR(COUNTIF('クラス'!$A$1:$A$1267,$B2917)&gt;0,$B2917="",$M2917=""),"",True)</f>
        <v/>
      </c>
      <c r="M2917" s="1" t="str">
        <f t="shared" si="30"/>
        <v>存在しない</v>
      </c>
      <c r="N2917" s="1" t="s">
        <v>29</v>
      </c>
      <c r="O2917" s="1"/>
      <c r="P2917" s="11"/>
      <c r="Q2917" s="11"/>
      <c r="R2917" s="11"/>
      <c r="S2917" s="11"/>
      <c r="T2917" s="1"/>
      <c r="U2917" s="1"/>
      <c r="V2917" s="1"/>
      <c r="W2917" s="1"/>
      <c r="X2917" s="1"/>
      <c r="Y2917" s="1"/>
      <c r="Z2917" s="1"/>
    </row>
    <row r="2918" ht="18.0" hidden="1" customHeight="1" outlineLevel="2">
      <c r="A2918" s="1">
        <v>2.0</v>
      </c>
      <c r="B2918" s="1"/>
      <c r="C2918" s="1"/>
      <c r="D2918" s="1"/>
      <c r="E2918" s="14"/>
      <c r="F2918" s="15"/>
      <c r="G2918" s="16"/>
      <c r="H2918" s="11"/>
      <c r="I2918" s="7"/>
      <c r="J2918" s="7" t="str">
        <f>IFERROR(LET(_xlpm.v,
VLOOKUP($I2918,'用語辞書'!$A:$B,COLUMN('用語辞書'!B$1),FALSE),
IF(_xlpm.v=0,"",_xlpm.v)
),"")</f>
        <v/>
      </c>
      <c r="K2918" s="17"/>
      <c r="L2918" s="17" t="str">
        <f>IF(OR(COUNTIF('クラス'!$A$1:$A$1267,$B2918)&gt;0,$B2918="",$M2918=""),"",True)</f>
        <v/>
      </c>
      <c r="M2918" s="1" t="str">
        <f t="shared" si="30"/>
        <v>存在しない</v>
      </c>
      <c r="N2918" s="1" t="s">
        <v>29</v>
      </c>
      <c r="O2918" s="1"/>
      <c r="P2918" s="11"/>
      <c r="Q2918" s="11"/>
      <c r="R2918" s="11"/>
      <c r="S2918" s="11"/>
      <c r="T2918" s="1"/>
      <c r="U2918" s="1"/>
      <c r="V2918" s="1"/>
      <c r="W2918" s="1"/>
      <c r="X2918" s="1"/>
      <c r="Y2918" s="1"/>
      <c r="Z2918" s="1"/>
    </row>
    <row r="2919" ht="18.0" hidden="1" customHeight="1" outlineLevel="2">
      <c r="A2919" s="1">
        <v>3.0</v>
      </c>
      <c r="B2919" s="1"/>
      <c r="C2919" s="1"/>
      <c r="D2919" s="1"/>
      <c r="E2919" s="14"/>
      <c r="F2919" s="15"/>
      <c r="G2919" s="16"/>
      <c r="H2919" s="11"/>
      <c r="I2919" s="7"/>
      <c r="J2919" s="7" t="str">
        <f>IFERROR(LET(_xlpm.v,
VLOOKUP($I2919,'用語辞書'!$A:$B,COLUMN('用語辞書'!B$1),FALSE),
IF(_xlpm.v=0,"",_xlpm.v)
),"")</f>
        <v/>
      </c>
      <c r="K2919" s="17"/>
      <c r="L2919" s="17" t="str">
        <f>IF(OR(COUNTIF('クラス'!$A$1:$A$1267,$B2919)&gt;0,$B2919="",$M2919=""),"",True)</f>
        <v/>
      </c>
      <c r="M2919" s="1" t="str">
        <f t="shared" si="30"/>
        <v>存在しない</v>
      </c>
      <c r="N2919" s="1" t="s">
        <v>29</v>
      </c>
      <c r="O2919" s="1"/>
      <c r="P2919" s="11"/>
      <c r="Q2919" s="11"/>
      <c r="R2919" s="11"/>
      <c r="S2919" s="11"/>
      <c r="T2919" s="1"/>
      <c r="U2919" s="1"/>
      <c r="V2919" s="1"/>
      <c r="W2919" s="1"/>
      <c r="X2919" s="1"/>
      <c r="Y2919" s="1"/>
      <c r="Z2919" s="1"/>
    </row>
    <row r="2920" ht="18.0" hidden="1" customHeight="1" outlineLevel="2">
      <c r="A2920" s="1">
        <v>4.0</v>
      </c>
      <c r="B2920" s="1"/>
      <c r="C2920" s="1"/>
      <c r="D2920" s="1"/>
      <c r="E2920" s="14"/>
      <c r="F2920" s="15"/>
      <c r="G2920" s="16"/>
      <c r="H2920" s="11"/>
      <c r="I2920" s="7"/>
      <c r="J2920" s="7" t="str">
        <f>IFERROR(LET(_xlpm.v,
VLOOKUP($I2920,'用語辞書'!$A:$B,COLUMN('用語辞書'!B$1),FALSE),
IF(_xlpm.v=0,"",_xlpm.v)
),"")</f>
        <v/>
      </c>
      <c r="K2920" s="17"/>
      <c r="L2920" s="17" t="str">
        <f>IF(OR(COUNTIF('クラス'!$A$1:$A$1267,$B2920)&gt;0,$B2920="",$M2920=""),"",True)</f>
        <v/>
      </c>
      <c r="M2920" s="1" t="str">
        <f t="shared" si="30"/>
        <v>存在しない</v>
      </c>
      <c r="N2920" s="1" t="s">
        <v>29</v>
      </c>
      <c r="O2920" s="1"/>
      <c r="P2920" s="11"/>
      <c r="Q2920" s="11"/>
      <c r="R2920" s="11"/>
      <c r="S2920" s="11"/>
      <c r="T2920" s="1"/>
      <c r="U2920" s="1"/>
      <c r="V2920" s="1"/>
      <c r="W2920" s="1"/>
      <c r="X2920" s="1"/>
      <c r="Y2920" s="1"/>
      <c r="Z2920" s="1"/>
    </row>
    <row r="2921" ht="18.0" hidden="1" customHeight="1" outlineLevel="2">
      <c r="A2921" s="1">
        <v>5.0</v>
      </c>
      <c r="B2921" s="1"/>
      <c r="C2921" s="1"/>
      <c r="D2921" s="1"/>
      <c r="E2921" s="14"/>
      <c r="F2921" s="15"/>
      <c r="G2921" s="16"/>
      <c r="H2921" s="11"/>
      <c r="I2921" s="7"/>
      <c r="J2921" s="7" t="str">
        <f>IFERROR(LET(_xlpm.v,
VLOOKUP($I2921,'用語辞書'!$A:$B,COLUMN('用語辞書'!B$1),FALSE),
IF(_xlpm.v=0,"",_xlpm.v)
),"")</f>
        <v/>
      </c>
      <c r="K2921" s="17"/>
      <c r="L2921" s="17" t="str">
        <f>IF(OR(COUNTIF('クラス'!$A$1:$A$1267,$B2921)&gt;0,$B2921="",$M2921=""),"",True)</f>
        <v/>
      </c>
      <c r="M2921" s="1" t="str">
        <f t="shared" si="30"/>
        <v>存在しない</v>
      </c>
      <c r="N2921" s="1" t="s">
        <v>29</v>
      </c>
      <c r="O2921" s="1"/>
      <c r="P2921" s="11"/>
      <c r="Q2921" s="11"/>
      <c r="R2921" s="11"/>
      <c r="S2921" s="11"/>
      <c r="T2921" s="1"/>
      <c r="U2921" s="1"/>
      <c r="V2921" s="1"/>
      <c r="W2921" s="1"/>
      <c r="X2921" s="1"/>
      <c r="Y2921" s="1"/>
      <c r="Z2921" s="1"/>
    </row>
    <row r="2922" ht="18.0" hidden="1" customHeight="1" outlineLevel="2">
      <c r="A2922" s="1">
        <v>6.0</v>
      </c>
      <c r="B2922" s="1"/>
      <c r="C2922" s="1"/>
      <c r="D2922" s="1"/>
      <c r="E2922" s="14"/>
      <c r="F2922" s="15"/>
      <c r="G2922" s="16"/>
      <c r="H2922" s="11"/>
      <c r="I2922" s="7"/>
      <c r="J2922" s="7" t="str">
        <f>IFERROR(LET(_xlpm.v,
VLOOKUP($I2922,'用語辞書'!$A:$B,COLUMN('用語辞書'!B$1),FALSE),
IF(_xlpm.v=0,"",_xlpm.v)
),"")</f>
        <v/>
      </c>
      <c r="K2922" s="17"/>
      <c r="L2922" s="17" t="str">
        <f>IF(OR(COUNTIF('クラス'!$A$1:$A$1267,$B2922)&gt;0,$B2922="",$M2922=""),"",True)</f>
        <v/>
      </c>
      <c r="M2922" s="1" t="str">
        <f t="shared" si="30"/>
        <v>存在しない</v>
      </c>
      <c r="N2922" s="1" t="s">
        <v>29</v>
      </c>
      <c r="O2922" s="1"/>
      <c r="P2922" s="11"/>
      <c r="Q2922" s="11"/>
      <c r="R2922" s="11"/>
      <c r="S2922" s="11"/>
      <c r="T2922" s="1"/>
      <c r="U2922" s="1"/>
      <c r="V2922" s="1"/>
      <c r="W2922" s="1"/>
      <c r="X2922" s="1"/>
      <c r="Y2922" s="1"/>
      <c r="Z2922" s="1"/>
    </row>
    <row r="2923" ht="18.0" hidden="1" customHeight="1" outlineLevel="2">
      <c r="A2923" s="1">
        <v>7.0</v>
      </c>
      <c r="B2923" s="1"/>
      <c r="C2923" s="1"/>
      <c r="D2923" s="1"/>
      <c r="E2923" s="14"/>
      <c r="F2923" s="15"/>
      <c r="G2923" s="16"/>
      <c r="H2923" s="11"/>
      <c r="I2923" s="7"/>
      <c r="J2923" s="7" t="str">
        <f>IFERROR(LET(_xlpm.v,
VLOOKUP($I2923,'用語辞書'!$A:$B,COLUMN('用語辞書'!B$1),FALSE),
IF(_xlpm.v=0,"",_xlpm.v)
),"")</f>
        <v/>
      </c>
      <c r="K2923" s="17"/>
      <c r="L2923" s="17" t="str">
        <f>IF(OR(COUNTIF('クラス'!$A$1:$A$1267,$B2923)&gt;0,$B2923="",$M2923=""),"",True)</f>
        <v/>
      </c>
      <c r="M2923" s="1" t="str">
        <f t="shared" si="30"/>
        <v>存在しない</v>
      </c>
      <c r="N2923" s="1" t="s">
        <v>29</v>
      </c>
      <c r="O2923" s="1"/>
      <c r="P2923" s="11"/>
      <c r="Q2923" s="11"/>
      <c r="R2923" s="11"/>
      <c r="S2923" s="11"/>
      <c r="T2923" s="1"/>
      <c r="U2923" s="1"/>
      <c r="V2923" s="1"/>
      <c r="W2923" s="1"/>
      <c r="X2923" s="1"/>
      <c r="Y2923" s="1"/>
      <c r="Z2923" s="1"/>
    </row>
    <row r="2924" ht="18.0" hidden="1" customHeight="1" outlineLevel="2">
      <c r="A2924" s="1">
        <v>8.0</v>
      </c>
      <c r="B2924" s="1"/>
      <c r="C2924" s="1"/>
      <c r="D2924" s="1"/>
      <c r="E2924" s="14"/>
      <c r="F2924" s="15"/>
      <c r="G2924" s="16"/>
      <c r="H2924" s="11"/>
      <c r="I2924" s="7"/>
      <c r="J2924" s="7" t="str">
        <f>IFERROR(LET(_xlpm.v,
VLOOKUP($I2924,'用語辞書'!$A:$B,COLUMN('用語辞書'!B$1),FALSE),
IF(_xlpm.v=0,"",_xlpm.v)
),"")</f>
        <v/>
      </c>
      <c r="K2924" s="17"/>
      <c r="L2924" s="17" t="str">
        <f>IF(OR(COUNTIF('クラス'!$A$1:$A$1267,$B2924)&gt;0,$B2924="",$M2924=""),"",True)</f>
        <v/>
      </c>
      <c r="M2924" s="1" t="str">
        <f t="shared" si="30"/>
        <v>存在しない</v>
      </c>
      <c r="N2924" s="1" t="s">
        <v>29</v>
      </c>
      <c r="O2924" s="1"/>
      <c r="P2924" s="11"/>
      <c r="Q2924" s="11"/>
      <c r="R2924" s="11"/>
      <c r="S2924" s="11"/>
      <c r="T2924" s="1"/>
      <c r="U2924" s="1"/>
      <c r="V2924" s="1"/>
      <c r="W2924" s="1"/>
      <c r="X2924" s="1"/>
      <c r="Y2924" s="1"/>
      <c r="Z2924" s="1"/>
    </row>
    <row r="2925" ht="18.0" hidden="1" customHeight="1" outlineLevel="2">
      <c r="A2925" s="1">
        <v>9.0</v>
      </c>
      <c r="B2925" s="1"/>
      <c r="C2925" s="1"/>
      <c r="D2925" s="1"/>
      <c r="E2925" s="14"/>
      <c r="F2925" s="15"/>
      <c r="G2925" s="16"/>
      <c r="H2925" s="11"/>
      <c r="I2925" s="7"/>
      <c r="J2925" s="7" t="str">
        <f>IFERROR(LET(_xlpm.v,
VLOOKUP($I2925,'用語辞書'!$A:$B,COLUMN('用語辞書'!B$1),FALSE),
IF(_xlpm.v=0,"",_xlpm.v)
),"")</f>
        <v/>
      </c>
      <c r="K2925" s="17"/>
      <c r="L2925" s="17" t="str">
        <f>IF(OR(COUNTIF('クラス'!$A$1:$A$1267,$B2925)&gt;0,$B2925="",$M2925=""),"",True)</f>
        <v/>
      </c>
      <c r="M2925" s="1" t="str">
        <f t="shared" si="30"/>
        <v>存在しない</v>
      </c>
      <c r="N2925" s="1" t="s">
        <v>29</v>
      </c>
      <c r="O2925" s="1"/>
      <c r="P2925" s="11"/>
      <c r="Q2925" s="11"/>
      <c r="R2925" s="11"/>
      <c r="S2925" s="11"/>
      <c r="T2925" s="1"/>
      <c r="U2925" s="1"/>
      <c r="V2925" s="1"/>
      <c r="W2925" s="1"/>
      <c r="X2925" s="1"/>
      <c r="Y2925" s="1"/>
      <c r="Z2925" s="1"/>
    </row>
    <row r="2926" ht="18.0" hidden="1" customHeight="1" outlineLevel="2">
      <c r="A2926" s="1">
        <v>10.0</v>
      </c>
      <c r="B2926" s="1"/>
      <c r="C2926" s="1"/>
      <c r="D2926" s="1"/>
      <c r="E2926" s="14"/>
      <c r="F2926" s="15"/>
      <c r="G2926" s="16"/>
      <c r="H2926" s="11"/>
      <c r="I2926" s="7"/>
      <c r="J2926" s="7" t="str">
        <f>IFERROR(LET(_xlpm.v,
VLOOKUP($I2926,'用語辞書'!$A:$B,COLUMN('用語辞書'!B$1),FALSE),
IF(_xlpm.v=0,"",_xlpm.v)
),"")</f>
        <v/>
      </c>
      <c r="K2926" s="17"/>
      <c r="L2926" s="17" t="str">
        <f>IF(OR(COUNTIF('クラス'!$A$1:$A$1267,$B2926)&gt;0,$B2926="",$M2926=""),"",True)</f>
        <v/>
      </c>
      <c r="M2926" s="1" t="str">
        <f t="shared" si="30"/>
        <v>存在しない</v>
      </c>
      <c r="N2926" s="1" t="s">
        <v>29</v>
      </c>
      <c r="O2926" s="1"/>
      <c r="P2926" s="11"/>
      <c r="Q2926" s="11"/>
      <c r="R2926" s="11"/>
      <c r="S2926" s="11"/>
      <c r="T2926" s="1"/>
      <c r="U2926" s="1"/>
      <c r="V2926" s="1"/>
      <c r="W2926" s="1"/>
      <c r="X2926" s="1"/>
      <c r="Y2926" s="1"/>
      <c r="Z2926" s="1"/>
    </row>
    <row r="2927" ht="18.0" hidden="1" customHeight="1" outlineLevel="1">
      <c r="A2927" s="1"/>
      <c r="B2927" s="1"/>
      <c r="C2927" s="1"/>
      <c r="D2927" s="1"/>
      <c r="E2927" s="14"/>
      <c r="F2927" s="15"/>
      <c r="G2927" s="16"/>
      <c r="H2927" s="11"/>
      <c r="I2927" s="7"/>
      <c r="J2927" s="7" t="str">
        <f>IFERROR(LET(_xlpm.v,
VLOOKUP($I2927,'用語辞書'!$A:$B,COLUMN('用語辞書'!B$1),FALSE),
IF(_xlpm.v=0,"",_xlpm.v)
),"")</f>
        <v/>
      </c>
      <c r="K2927" s="17"/>
      <c r="L2927" s="17" t="str">
        <f>IF(OR(COUNTIF('クラス'!$A$1:$A$1267,$B2927)&gt;0,$B2927="",$M2927=""),"",True)</f>
        <v/>
      </c>
      <c r="M2927" s="1" t="str">
        <f t="shared" si="30"/>
        <v>存在しない</v>
      </c>
      <c r="N2927" s="1" t="s">
        <v>29</v>
      </c>
      <c r="O2927" s="1"/>
      <c r="P2927" s="11"/>
      <c r="Q2927" s="11"/>
      <c r="R2927" s="11"/>
      <c r="S2927" s="11"/>
      <c r="T2927" s="1"/>
      <c r="U2927" s="1"/>
      <c r="V2927" s="1"/>
      <c r="W2927" s="1"/>
      <c r="X2927" s="1"/>
      <c r="Y2927" s="1"/>
      <c r="Z2927" s="1"/>
    </row>
    <row r="2928" ht="18.0" hidden="1" customHeight="1" outlineLevel="1">
      <c r="A2928" s="1"/>
      <c r="B2928" s="26" t="s">
        <v>2517</v>
      </c>
      <c r="C2928" s="1"/>
      <c r="D2928" s="1"/>
      <c r="E2928" s="14"/>
      <c r="F2928" s="15"/>
      <c r="G2928" s="16"/>
      <c r="H2928" s="11"/>
      <c r="I2928" s="7"/>
      <c r="J2928" s="7" t="str">
        <f>IFERROR(LET(_xlpm.v,
VLOOKUP($I2928,'用語辞書'!$A:$B,COLUMN('用語辞書'!B$1),FALSE),
IF(_xlpm.v=0,"",_xlpm.v)
),"")</f>
        <v/>
      </c>
      <c r="K2928" s="17"/>
      <c r="L2928" s="17" t="str">
        <f>IF(OR(COUNTIF('クラス'!$A$1:$A$1267,$B2928)&gt;0,$B2928="",$M2928=""),"",True)</f>
        <v/>
      </c>
      <c r="M2928" s="1" t="str">
        <f t="shared" si="30"/>
        <v>存在しない</v>
      </c>
      <c r="N2928" s="1" t="s">
        <v>29</v>
      </c>
      <c r="O2928" s="1"/>
      <c r="P2928" s="11"/>
      <c r="Q2928" s="11"/>
      <c r="R2928" s="11"/>
      <c r="S2928" s="11"/>
      <c r="T2928" s="1"/>
      <c r="U2928" s="1"/>
      <c r="V2928" s="1"/>
      <c r="W2928" s="1"/>
      <c r="X2928" s="1"/>
      <c r="Y2928" s="1"/>
      <c r="Z2928" s="1"/>
    </row>
    <row r="2929" ht="18.0" hidden="1" customHeight="1" outlineLevel="2">
      <c r="A2929" s="1">
        <v>1.0</v>
      </c>
      <c r="B2929" s="1"/>
      <c r="C2929" s="1"/>
      <c r="D2929" s="1"/>
      <c r="E2929" s="14"/>
      <c r="F2929" s="15"/>
      <c r="G2929" s="16"/>
      <c r="H2929" s="11"/>
      <c r="I2929" s="7"/>
      <c r="J2929" s="7" t="str">
        <f>IFERROR(LET(_xlpm.v,
VLOOKUP($I2929,'用語辞書'!$A:$B,COLUMN('用語辞書'!B$1),FALSE),
IF(_xlpm.v=0,"",_xlpm.v)
),"")</f>
        <v/>
      </c>
      <c r="K2929" s="17"/>
      <c r="L2929" s="17" t="str">
        <f>IF(OR(COUNTIF('クラス'!$A$1:$A$1267,$B2929)&gt;0,$B2929="",$M2929=""),"",True)</f>
        <v/>
      </c>
      <c r="M2929" s="1" t="str">
        <f t="shared" si="30"/>
        <v>存在しない</v>
      </c>
      <c r="N2929" s="1" t="s">
        <v>29</v>
      </c>
      <c r="O2929" s="1"/>
      <c r="P2929" s="11"/>
      <c r="Q2929" s="11"/>
      <c r="R2929" s="11"/>
      <c r="S2929" s="11"/>
      <c r="T2929" s="1"/>
      <c r="U2929" s="1"/>
      <c r="V2929" s="1"/>
      <c r="W2929" s="1"/>
      <c r="X2929" s="1"/>
      <c r="Y2929" s="1"/>
      <c r="Z2929" s="1"/>
    </row>
    <row r="2930" ht="18.0" hidden="1" customHeight="1" outlineLevel="2">
      <c r="A2930" s="1">
        <v>2.0</v>
      </c>
      <c r="B2930" s="1"/>
      <c r="C2930" s="1"/>
      <c r="D2930" s="1"/>
      <c r="E2930" s="14"/>
      <c r="F2930" s="15"/>
      <c r="G2930" s="16"/>
      <c r="H2930" s="11"/>
      <c r="I2930" s="7"/>
      <c r="J2930" s="7" t="str">
        <f>IFERROR(LET(_xlpm.v,
VLOOKUP($I2930,'用語辞書'!$A:$B,COLUMN('用語辞書'!B$1),FALSE),
IF(_xlpm.v=0,"",_xlpm.v)
),"")</f>
        <v/>
      </c>
      <c r="K2930" s="17"/>
      <c r="L2930" s="17" t="str">
        <f>IF(OR(COUNTIF('クラス'!$A$1:$A$1267,$B2930)&gt;0,$B2930="",$M2930=""),"",True)</f>
        <v/>
      </c>
      <c r="M2930" s="1" t="str">
        <f t="shared" si="30"/>
        <v>存在しない</v>
      </c>
      <c r="N2930" s="1" t="s">
        <v>29</v>
      </c>
      <c r="O2930" s="1"/>
      <c r="P2930" s="11"/>
      <c r="Q2930" s="11"/>
      <c r="R2930" s="11"/>
      <c r="S2930" s="11"/>
      <c r="T2930" s="1"/>
      <c r="U2930" s="1"/>
      <c r="V2930" s="1"/>
      <c r="W2930" s="1"/>
      <c r="X2930" s="1"/>
      <c r="Y2930" s="1"/>
      <c r="Z2930" s="1"/>
    </row>
    <row r="2931" ht="18.0" hidden="1" customHeight="1" outlineLevel="2">
      <c r="A2931" s="1">
        <v>3.0</v>
      </c>
      <c r="B2931" s="1"/>
      <c r="C2931" s="1"/>
      <c r="D2931" s="1"/>
      <c r="E2931" s="14"/>
      <c r="F2931" s="15"/>
      <c r="G2931" s="16"/>
      <c r="H2931" s="11"/>
      <c r="I2931" s="7"/>
      <c r="J2931" s="7" t="str">
        <f>IFERROR(LET(_xlpm.v,
VLOOKUP($I2931,'用語辞書'!$A:$B,COLUMN('用語辞書'!B$1),FALSE),
IF(_xlpm.v=0,"",_xlpm.v)
),"")</f>
        <v/>
      </c>
      <c r="K2931" s="17"/>
      <c r="L2931" s="17" t="str">
        <f>IF(OR(COUNTIF('クラス'!$A$1:$A$1267,$B2931)&gt;0,$B2931="",$M2931=""),"",True)</f>
        <v/>
      </c>
      <c r="M2931" s="1" t="str">
        <f t="shared" si="30"/>
        <v>存在しない</v>
      </c>
      <c r="N2931" s="1" t="s">
        <v>29</v>
      </c>
      <c r="O2931" s="1"/>
      <c r="P2931" s="11"/>
      <c r="Q2931" s="11"/>
      <c r="R2931" s="11"/>
      <c r="S2931" s="11"/>
      <c r="T2931" s="1"/>
      <c r="U2931" s="1"/>
      <c r="V2931" s="1"/>
      <c r="W2931" s="1"/>
      <c r="X2931" s="1"/>
      <c r="Y2931" s="1"/>
      <c r="Z2931" s="1"/>
    </row>
    <row r="2932" ht="18.0" hidden="1" customHeight="1" outlineLevel="2">
      <c r="A2932" s="1">
        <v>4.0</v>
      </c>
      <c r="B2932" s="1"/>
      <c r="C2932" s="1"/>
      <c r="D2932" s="1"/>
      <c r="E2932" s="14"/>
      <c r="F2932" s="15"/>
      <c r="G2932" s="16"/>
      <c r="H2932" s="11"/>
      <c r="I2932" s="7"/>
      <c r="J2932" s="7" t="str">
        <f>IFERROR(LET(_xlpm.v,
VLOOKUP($I2932,'用語辞書'!$A:$B,COLUMN('用語辞書'!B$1),FALSE),
IF(_xlpm.v=0,"",_xlpm.v)
),"")</f>
        <v/>
      </c>
      <c r="K2932" s="17"/>
      <c r="L2932" s="17" t="str">
        <f>IF(OR(COUNTIF('クラス'!$A$1:$A$1267,$B2932)&gt;0,$B2932="",$M2932=""),"",True)</f>
        <v/>
      </c>
      <c r="M2932" s="1" t="str">
        <f t="shared" si="30"/>
        <v>存在しない</v>
      </c>
      <c r="N2932" s="1" t="s">
        <v>29</v>
      </c>
      <c r="O2932" s="1"/>
      <c r="P2932" s="11"/>
      <c r="Q2932" s="11"/>
      <c r="R2932" s="11"/>
      <c r="S2932" s="11"/>
      <c r="T2932" s="1"/>
      <c r="U2932" s="1"/>
      <c r="V2932" s="1"/>
      <c r="W2932" s="1"/>
      <c r="X2932" s="1"/>
      <c r="Y2932" s="1"/>
      <c r="Z2932" s="1"/>
    </row>
    <row r="2933" ht="18.0" hidden="1" customHeight="1" outlineLevel="2">
      <c r="A2933" s="1">
        <v>5.0</v>
      </c>
      <c r="B2933" s="1"/>
      <c r="C2933" s="1"/>
      <c r="D2933" s="1"/>
      <c r="E2933" s="14"/>
      <c r="F2933" s="15"/>
      <c r="G2933" s="16"/>
      <c r="H2933" s="11"/>
      <c r="I2933" s="7"/>
      <c r="J2933" s="7" t="str">
        <f>IFERROR(LET(_xlpm.v,
VLOOKUP($I2933,'用語辞書'!$A:$B,COLUMN('用語辞書'!B$1),FALSE),
IF(_xlpm.v=0,"",_xlpm.v)
),"")</f>
        <v/>
      </c>
      <c r="K2933" s="17"/>
      <c r="L2933" s="17" t="str">
        <f>IF(OR(COUNTIF('クラス'!$A$1:$A$1267,$B2933)&gt;0,$B2933="",$M2933=""),"",True)</f>
        <v/>
      </c>
      <c r="M2933" s="1" t="str">
        <f t="shared" si="30"/>
        <v>存在しない</v>
      </c>
      <c r="N2933" s="1" t="s">
        <v>29</v>
      </c>
      <c r="O2933" s="1"/>
      <c r="P2933" s="11"/>
      <c r="Q2933" s="11"/>
      <c r="R2933" s="11"/>
      <c r="S2933" s="11"/>
      <c r="T2933" s="1"/>
      <c r="U2933" s="1"/>
      <c r="V2933" s="1"/>
      <c r="W2933" s="1"/>
      <c r="X2933" s="1"/>
      <c r="Y2933" s="1"/>
      <c r="Z2933" s="1"/>
    </row>
    <row r="2934" ht="18.0" hidden="1" customHeight="1" outlineLevel="2">
      <c r="A2934" s="1">
        <v>6.0</v>
      </c>
      <c r="B2934" s="1"/>
      <c r="C2934" s="1"/>
      <c r="D2934" s="1"/>
      <c r="E2934" s="14"/>
      <c r="F2934" s="15"/>
      <c r="G2934" s="16"/>
      <c r="H2934" s="11"/>
      <c r="I2934" s="7"/>
      <c r="J2934" s="7" t="str">
        <f>IFERROR(LET(_xlpm.v,
VLOOKUP($I2934,'用語辞書'!$A:$B,COLUMN('用語辞書'!B$1),FALSE),
IF(_xlpm.v=0,"",_xlpm.v)
),"")</f>
        <v/>
      </c>
      <c r="K2934" s="17"/>
      <c r="L2934" s="17" t="str">
        <f>IF(OR(COUNTIF('クラス'!$A$1:$A$1267,$B2934)&gt;0,$B2934="",$M2934=""),"",True)</f>
        <v/>
      </c>
      <c r="M2934" s="1" t="str">
        <f t="shared" si="30"/>
        <v>存在しない</v>
      </c>
      <c r="N2934" s="1" t="s">
        <v>29</v>
      </c>
      <c r="O2934" s="1"/>
      <c r="P2934" s="11"/>
      <c r="Q2934" s="11"/>
      <c r="R2934" s="11"/>
      <c r="S2934" s="11"/>
      <c r="T2934" s="1"/>
      <c r="U2934" s="1"/>
      <c r="V2934" s="1"/>
      <c r="W2934" s="1"/>
      <c r="X2934" s="1"/>
      <c r="Y2934" s="1"/>
      <c r="Z2934" s="1"/>
    </row>
    <row r="2935" ht="18.0" hidden="1" customHeight="1" outlineLevel="2">
      <c r="A2935" s="1">
        <v>7.0</v>
      </c>
      <c r="B2935" s="1"/>
      <c r="C2935" s="1"/>
      <c r="D2935" s="1"/>
      <c r="E2935" s="14"/>
      <c r="F2935" s="15"/>
      <c r="G2935" s="16"/>
      <c r="H2935" s="11"/>
      <c r="I2935" s="7"/>
      <c r="J2935" s="7" t="str">
        <f>IFERROR(LET(_xlpm.v,
VLOOKUP($I2935,'用語辞書'!$A:$B,COLUMN('用語辞書'!B$1),FALSE),
IF(_xlpm.v=0,"",_xlpm.v)
),"")</f>
        <v/>
      </c>
      <c r="K2935" s="17"/>
      <c r="L2935" s="17" t="str">
        <f>IF(OR(COUNTIF('クラス'!$A$1:$A$1267,$B2935)&gt;0,$B2935="",$M2935=""),"",True)</f>
        <v/>
      </c>
      <c r="M2935" s="1" t="str">
        <f t="shared" si="30"/>
        <v>存在しない</v>
      </c>
      <c r="N2935" s="1" t="s">
        <v>29</v>
      </c>
      <c r="O2935" s="1"/>
      <c r="P2935" s="11"/>
      <c r="Q2935" s="11"/>
      <c r="R2935" s="11"/>
      <c r="S2935" s="11"/>
      <c r="T2935" s="1"/>
      <c r="U2935" s="1"/>
      <c r="V2935" s="1"/>
      <c r="W2935" s="1"/>
      <c r="X2935" s="1"/>
      <c r="Y2935" s="1"/>
      <c r="Z2935" s="1"/>
    </row>
    <row r="2936" ht="18.0" hidden="1" customHeight="1" outlineLevel="2">
      <c r="A2936" s="1">
        <v>8.0</v>
      </c>
      <c r="B2936" s="1"/>
      <c r="C2936" s="1"/>
      <c r="D2936" s="1"/>
      <c r="E2936" s="14"/>
      <c r="F2936" s="15"/>
      <c r="G2936" s="16"/>
      <c r="H2936" s="11"/>
      <c r="I2936" s="7"/>
      <c r="J2936" s="7" t="str">
        <f>IFERROR(LET(_xlpm.v,
VLOOKUP($I2936,'用語辞書'!$A:$B,COLUMN('用語辞書'!B$1),FALSE),
IF(_xlpm.v=0,"",_xlpm.v)
),"")</f>
        <v/>
      </c>
      <c r="K2936" s="17"/>
      <c r="L2936" s="17" t="str">
        <f>IF(OR(COUNTIF('クラス'!$A$1:$A$1267,$B2936)&gt;0,$B2936="",$M2936=""),"",True)</f>
        <v/>
      </c>
      <c r="M2936" s="1" t="str">
        <f t="shared" si="30"/>
        <v>存在しない</v>
      </c>
      <c r="N2936" s="1" t="s">
        <v>29</v>
      </c>
      <c r="O2936" s="1"/>
      <c r="P2936" s="11"/>
      <c r="Q2936" s="11"/>
      <c r="R2936" s="11"/>
      <c r="S2936" s="11"/>
      <c r="T2936" s="1"/>
      <c r="U2936" s="1"/>
      <c r="V2936" s="1"/>
      <c r="W2936" s="1"/>
      <c r="X2936" s="1"/>
      <c r="Y2936" s="1"/>
      <c r="Z2936" s="1"/>
    </row>
    <row r="2937" ht="18.0" hidden="1" customHeight="1" outlineLevel="2">
      <c r="A2937" s="1">
        <v>9.0</v>
      </c>
      <c r="B2937" s="1"/>
      <c r="C2937" s="1"/>
      <c r="D2937" s="1"/>
      <c r="E2937" s="14"/>
      <c r="F2937" s="15"/>
      <c r="G2937" s="16"/>
      <c r="H2937" s="11"/>
      <c r="I2937" s="7"/>
      <c r="J2937" s="7" t="str">
        <f>IFERROR(LET(_xlpm.v,
VLOOKUP($I2937,'用語辞書'!$A:$B,COLUMN('用語辞書'!B$1),FALSE),
IF(_xlpm.v=0,"",_xlpm.v)
),"")</f>
        <v/>
      </c>
      <c r="K2937" s="17"/>
      <c r="L2937" s="17" t="str">
        <f>IF(OR(COUNTIF('クラス'!$A$1:$A$1267,$B2937)&gt;0,$B2937="",$M2937=""),"",True)</f>
        <v/>
      </c>
      <c r="M2937" s="1" t="str">
        <f t="shared" si="30"/>
        <v>存在しない</v>
      </c>
      <c r="N2937" s="1" t="s">
        <v>29</v>
      </c>
      <c r="O2937" s="1"/>
      <c r="P2937" s="11"/>
      <c r="Q2937" s="11"/>
      <c r="R2937" s="11"/>
      <c r="S2937" s="11"/>
      <c r="T2937" s="1"/>
      <c r="U2937" s="1"/>
      <c r="V2937" s="1"/>
      <c r="W2937" s="1"/>
      <c r="X2937" s="1"/>
      <c r="Y2937" s="1"/>
      <c r="Z2937" s="1"/>
    </row>
    <row r="2938" ht="18.0" hidden="1" customHeight="1" outlineLevel="2">
      <c r="A2938" s="1">
        <v>10.0</v>
      </c>
      <c r="B2938" s="1"/>
      <c r="C2938" s="1"/>
      <c r="D2938" s="1"/>
      <c r="E2938" s="14"/>
      <c r="F2938" s="15"/>
      <c r="G2938" s="16"/>
      <c r="H2938" s="11"/>
      <c r="I2938" s="7"/>
      <c r="J2938" s="7" t="str">
        <f>IFERROR(LET(_xlpm.v,
VLOOKUP($I2938,'用語辞書'!$A:$B,COLUMN('用語辞書'!B$1),FALSE),
IF(_xlpm.v=0,"",_xlpm.v)
),"")</f>
        <v/>
      </c>
      <c r="K2938" s="17"/>
      <c r="L2938" s="17" t="str">
        <f>IF(OR(COUNTIF('クラス'!$A$1:$A$1267,$B2938)&gt;0,$B2938="",$M2938=""),"",True)</f>
        <v/>
      </c>
      <c r="M2938" s="1" t="str">
        <f t="shared" si="30"/>
        <v>存在しない</v>
      </c>
      <c r="N2938" s="1" t="s">
        <v>29</v>
      </c>
      <c r="O2938" s="1"/>
      <c r="P2938" s="11"/>
      <c r="Q2938" s="11"/>
      <c r="R2938" s="11"/>
      <c r="S2938" s="11"/>
      <c r="T2938" s="1"/>
      <c r="U2938" s="1"/>
      <c r="V2938" s="1"/>
      <c r="W2938" s="1"/>
      <c r="X2938" s="1"/>
      <c r="Y2938" s="1"/>
      <c r="Z2938" s="1"/>
    </row>
    <row r="2939" ht="18.0" hidden="1" customHeight="1" outlineLevel="1">
      <c r="A2939" s="1"/>
      <c r="B2939" s="1"/>
      <c r="C2939" s="1"/>
      <c r="D2939" s="1"/>
      <c r="E2939" s="14"/>
      <c r="F2939" s="15"/>
      <c r="G2939" s="16"/>
      <c r="H2939" s="11"/>
      <c r="I2939" s="7"/>
      <c r="J2939" s="7" t="str">
        <f>IFERROR(LET(_xlpm.v,
VLOOKUP($I2939,'用語辞書'!$A:$B,COLUMN('用語辞書'!B$1),FALSE),
IF(_xlpm.v=0,"",_xlpm.v)
),"")</f>
        <v/>
      </c>
      <c r="K2939" s="17"/>
      <c r="L2939" s="17" t="str">
        <f>IF(OR(COUNTIF('クラス'!$A$1:$A$1267,$B2939)&gt;0,$B2939="",$M2939=""),"",True)</f>
        <v/>
      </c>
      <c r="M2939" s="1" t="str">
        <f t="shared" si="30"/>
        <v>存在しない</v>
      </c>
      <c r="N2939" s="1" t="s">
        <v>29</v>
      </c>
      <c r="O2939" s="1"/>
      <c r="P2939" s="11"/>
      <c r="Q2939" s="11"/>
      <c r="R2939" s="11"/>
      <c r="S2939" s="11"/>
      <c r="T2939" s="1"/>
      <c r="U2939" s="1"/>
      <c r="V2939" s="1"/>
      <c r="W2939" s="1"/>
      <c r="X2939" s="1"/>
      <c r="Y2939" s="1"/>
      <c r="Z2939" s="1"/>
    </row>
    <row r="2940" ht="18.0" hidden="1" customHeight="1" outlineLevel="1">
      <c r="A2940" s="1"/>
      <c r="B2940" s="26" t="s">
        <v>2518</v>
      </c>
      <c r="C2940" s="1"/>
      <c r="D2940" s="1"/>
      <c r="E2940" s="14"/>
      <c r="F2940" s="15"/>
      <c r="G2940" s="16"/>
      <c r="H2940" s="11"/>
      <c r="I2940" s="7"/>
      <c r="J2940" s="7" t="str">
        <f>IFERROR(LET(_xlpm.v,
VLOOKUP($I2940,'用語辞書'!$A:$B,COLUMN('用語辞書'!B$1),FALSE),
IF(_xlpm.v=0,"",_xlpm.v)
),"")</f>
        <v/>
      </c>
      <c r="K2940" s="17"/>
      <c r="L2940" s="17" t="str">
        <f>IF(OR(COUNTIF('クラス'!$A$1:$A$1267,$B2940)&gt;0,$B2940="",$M2940=""),"",True)</f>
        <v/>
      </c>
      <c r="M2940" s="1" t="str">
        <f t="shared" si="30"/>
        <v>存在しない</v>
      </c>
      <c r="N2940" s="1" t="s">
        <v>29</v>
      </c>
      <c r="O2940" s="1"/>
      <c r="P2940" s="11"/>
      <c r="Q2940" s="11"/>
      <c r="R2940" s="11"/>
      <c r="S2940" s="11"/>
      <c r="T2940" s="1"/>
      <c r="U2940" s="1"/>
      <c r="V2940" s="1"/>
      <c r="W2940" s="1"/>
      <c r="X2940" s="1"/>
      <c r="Y2940" s="1"/>
      <c r="Z2940" s="1"/>
    </row>
    <row r="2941" ht="18.0" hidden="1" customHeight="1" outlineLevel="2">
      <c r="A2941" s="1">
        <v>1.0</v>
      </c>
      <c r="B2941" s="1"/>
      <c r="C2941" s="1"/>
      <c r="D2941" s="1"/>
      <c r="E2941" s="14"/>
      <c r="F2941" s="15"/>
      <c r="G2941" s="16"/>
      <c r="H2941" s="11"/>
      <c r="I2941" s="7"/>
      <c r="J2941" s="7" t="str">
        <f>IFERROR(LET(_xlpm.v,
VLOOKUP($I2941,'用語辞書'!$A:$B,COLUMN('用語辞書'!B$1),FALSE),
IF(_xlpm.v=0,"",_xlpm.v)
),"")</f>
        <v/>
      </c>
      <c r="K2941" s="17"/>
      <c r="L2941" s="17" t="str">
        <f>IF(OR(COUNTIF('クラス'!$A$1:$A$1267,$B2941)&gt;0,$B2941="",$M2941=""),"",True)</f>
        <v/>
      </c>
      <c r="M2941" s="1" t="str">
        <f t="shared" si="30"/>
        <v>存在しない</v>
      </c>
      <c r="N2941" s="1" t="s">
        <v>29</v>
      </c>
      <c r="O2941" s="1"/>
      <c r="P2941" s="11"/>
      <c r="Q2941" s="11"/>
      <c r="R2941" s="11"/>
      <c r="S2941" s="11"/>
      <c r="T2941" s="1"/>
      <c r="U2941" s="1"/>
      <c r="V2941" s="1"/>
      <c r="W2941" s="1"/>
      <c r="X2941" s="1"/>
      <c r="Y2941" s="1"/>
      <c r="Z2941" s="1"/>
    </row>
    <row r="2942" ht="18.0" hidden="1" customHeight="1" outlineLevel="2">
      <c r="A2942" s="1">
        <v>2.0</v>
      </c>
      <c r="B2942" s="1"/>
      <c r="C2942" s="1"/>
      <c r="D2942" s="1"/>
      <c r="E2942" s="14"/>
      <c r="F2942" s="15"/>
      <c r="G2942" s="16"/>
      <c r="H2942" s="11"/>
      <c r="I2942" s="7"/>
      <c r="J2942" s="7" t="str">
        <f>IFERROR(LET(_xlpm.v,
VLOOKUP($I2942,'用語辞書'!$A:$B,COLUMN('用語辞書'!B$1),FALSE),
IF(_xlpm.v=0,"",_xlpm.v)
),"")</f>
        <v/>
      </c>
      <c r="K2942" s="17"/>
      <c r="L2942" s="17" t="str">
        <f>IF(OR(COUNTIF('クラス'!$A$1:$A$1267,$B2942)&gt;0,$B2942="",$M2942=""),"",True)</f>
        <v/>
      </c>
      <c r="M2942" s="1" t="str">
        <f t="shared" si="30"/>
        <v>存在しない</v>
      </c>
      <c r="N2942" s="1" t="s">
        <v>29</v>
      </c>
      <c r="O2942" s="1"/>
      <c r="P2942" s="11"/>
      <c r="Q2942" s="11"/>
      <c r="R2942" s="11"/>
      <c r="S2942" s="11"/>
      <c r="T2942" s="1"/>
      <c r="U2942" s="1"/>
      <c r="V2942" s="1"/>
      <c r="W2942" s="1"/>
      <c r="X2942" s="1"/>
      <c r="Y2942" s="1"/>
      <c r="Z2942" s="1"/>
    </row>
    <row r="2943" ht="18.0" hidden="1" customHeight="1" outlineLevel="2">
      <c r="A2943" s="1">
        <v>3.0</v>
      </c>
      <c r="B2943" s="1"/>
      <c r="C2943" s="1"/>
      <c r="D2943" s="1"/>
      <c r="E2943" s="14"/>
      <c r="F2943" s="15"/>
      <c r="G2943" s="16"/>
      <c r="H2943" s="11"/>
      <c r="I2943" s="7"/>
      <c r="J2943" s="7" t="str">
        <f>IFERROR(LET(_xlpm.v,
VLOOKUP($I2943,'用語辞書'!$A:$B,COLUMN('用語辞書'!B$1),FALSE),
IF(_xlpm.v=0,"",_xlpm.v)
),"")</f>
        <v/>
      </c>
      <c r="K2943" s="17"/>
      <c r="L2943" s="17" t="str">
        <f>IF(OR(COUNTIF('クラス'!$A$1:$A$1267,$B2943)&gt;0,$B2943="",$M2943=""),"",True)</f>
        <v/>
      </c>
      <c r="M2943" s="1" t="str">
        <f t="shared" si="30"/>
        <v>存在しない</v>
      </c>
      <c r="N2943" s="1" t="s">
        <v>29</v>
      </c>
      <c r="O2943" s="1"/>
      <c r="P2943" s="11"/>
      <c r="Q2943" s="11"/>
      <c r="R2943" s="11"/>
      <c r="S2943" s="11"/>
      <c r="T2943" s="1"/>
      <c r="U2943" s="1"/>
      <c r="V2943" s="1"/>
      <c r="W2943" s="1"/>
      <c r="X2943" s="1"/>
      <c r="Y2943" s="1"/>
      <c r="Z2943" s="1"/>
    </row>
    <row r="2944" ht="18.0" hidden="1" customHeight="1" outlineLevel="2">
      <c r="A2944" s="1">
        <v>4.0</v>
      </c>
      <c r="B2944" s="1"/>
      <c r="C2944" s="1"/>
      <c r="D2944" s="1"/>
      <c r="E2944" s="14"/>
      <c r="F2944" s="15"/>
      <c r="G2944" s="16"/>
      <c r="H2944" s="11"/>
      <c r="I2944" s="7"/>
      <c r="J2944" s="7" t="str">
        <f>IFERROR(LET(_xlpm.v,
VLOOKUP($I2944,'用語辞書'!$A:$B,COLUMN('用語辞書'!B$1),FALSE),
IF(_xlpm.v=0,"",_xlpm.v)
),"")</f>
        <v/>
      </c>
      <c r="K2944" s="17"/>
      <c r="L2944" s="17" t="str">
        <f>IF(OR(COUNTIF('クラス'!$A$1:$A$1267,$B2944)&gt;0,$B2944="",$M2944=""),"",True)</f>
        <v/>
      </c>
      <c r="M2944" s="1" t="str">
        <f t="shared" si="30"/>
        <v>存在しない</v>
      </c>
      <c r="N2944" s="1" t="s">
        <v>29</v>
      </c>
      <c r="O2944" s="1"/>
      <c r="P2944" s="11"/>
      <c r="Q2944" s="11"/>
      <c r="R2944" s="11"/>
      <c r="S2944" s="11"/>
      <c r="T2944" s="1"/>
      <c r="U2944" s="1"/>
      <c r="V2944" s="1"/>
      <c r="W2944" s="1"/>
      <c r="X2944" s="1"/>
      <c r="Y2944" s="1"/>
      <c r="Z2944" s="1"/>
    </row>
    <row r="2945" ht="18.0" hidden="1" customHeight="1" outlineLevel="2">
      <c r="A2945" s="1">
        <v>5.0</v>
      </c>
      <c r="B2945" s="1"/>
      <c r="C2945" s="1"/>
      <c r="D2945" s="1"/>
      <c r="E2945" s="14"/>
      <c r="F2945" s="15"/>
      <c r="G2945" s="16"/>
      <c r="H2945" s="11"/>
      <c r="I2945" s="7"/>
      <c r="J2945" s="7" t="str">
        <f>IFERROR(LET(_xlpm.v,
VLOOKUP($I2945,'用語辞書'!$A:$B,COLUMN('用語辞書'!B$1),FALSE),
IF(_xlpm.v=0,"",_xlpm.v)
),"")</f>
        <v/>
      </c>
      <c r="K2945" s="17"/>
      <c r="L2945" s="17" t="str">
        <f>IF(OR(COUNTIF('クラス'!$A$1:$A$1267,$B2945)&gt;0,$B2945="",$M2945=""),"",True)</f>
        <v/>
      </c>
      <c r="M2945" s="1" t="str">
        <f t="shared" si="30"/>
        <v>存在しない</v>
      </c>
      <c r="N2945" s="1" t="s">
        <v>29</v>
      </c>
      <c r="O2945" s="1"/>
      <c r="P2945" s="11"/>
      <c r="Q2945" s="11"/>
      <c r="R2945" s="11"/>
      <c r="S2945" s="11"/>
      <c r="T2945" s="1"/>
      <c r="U2945" s="1"/>
      <c r="V2945" s="1"/>
      <c r="W2945" s="1"/>
      <c r="X2945" s="1"/>
      <c r="Y2945" s="1"/>
      <c r="Z2945" s="1"/>
    </row>
    <row r="2946" ht="18.0" hidden="1" customHeight="1" outlineLevel="2">
      <c r="A2946" s="1">
        <v>6.0</v>
      </c>
      <c r="B2946" s="1"/>
      <c r="C2946" s="1"/>
      <c r="D2946" s="1"/>
      <c r="E2946" s="14"/>
      <c r="F2946" s="15"/>
      <c r="G2946" s="16"/>
      <c r="H2946" s="11"/>
      <c r="I2946" s="7"/>
      <c r="J2946" s="7" t="str">
        <f>IFERROR(LET(_xlpm.v,
VLOOKUP($I2946,'用語辞書'!$A:$B,COLUMN('用語辞書'!B$1),FALSE),
IF(_xlpm.v=0,"",_xlpm.v)
),"")</f>
        <v/>
      </c>
      <c r="K2946" s="17"/>
      <c r="L2946" s="17" t="str">
        <f>IF(OR(COUNTIF('クラス'!$A$1:$A$1267,$B2946)&gt;0,$B2946="",$M2946=""),"",True)</f>
        <v/>
      </c>
      <c r="M2946" s="1" t="str">
        <f t="shared" si="30"/>
        <v>存在しない</v>
      </c>
      <c r="N2946" s="1" t="s">
        <v>29</v>
      </c>
      <c r="O2946" s="1"/>
      <c r="P2946" s="11"/>
      <c r="Q2946" s="11"/>
      <c r="R2946" s="11"/>
      <c r="S2946" s="11"/>
      <c r="T2946" s="1"/>
      <c r="U2946" s="1"/>
      <c r="V2946" s="1"/>
      <c r="W2946" s="1"/>
      <c r="X2946" s="1"/>
      <c r="Y2946" s="1"/>
      <c r="Z2946" s="1"/>
    </row>
    <row r="2947" ht="18.0" hidden="1" customHeight="1" outlineLevel="2">
      <c r="A2947" s="1">
        <v>7.0</v>
      </c>
      <c r="B2947" s="1"/>
      <c r="C2947" s="1"/>
      <c r="D2947" s="1"/>
      <c r="E2947" s="14"/>
      <c r="F2947" s="15"/>
      <c r="G2947" s="16"/>
      <c r="H2947" s="11"/>
      <c r="I2947" s="7"/>
      <c r="J2947" s="7" t="str">
        <f>IFERROR(LET(_xlpm.v,
VLOOKUP($I2947,'用語辞書'!$A:$B,COLUMN('用語辞書'!B$1),FALSE),
IF(_xlpm.v=0,"",_xlpm.v)
),"")</f>
        <v/>
      </c>
      <c r="K2947" s="17"/>
      <c r="L2947" s="17" t="str">
        <f>IF(OR(COUNTIF('クラス'!$A$1:$A$1267,$B2947)&gt;0,$B2947="",$M2947=""),"",True)</f>
        <v/>
      </c>
      <c r="M2947" s="1" t="str">
        <f t="shared" si="30"/>
        <v>存在しない</v>
      </c>
      <c r="N2947" s="1" t="s">
        <v>29</v>
      </c>
      <c r="O2947" s="1"/>
      <c r="P2947" s="11"/>
      <c r="Q2947" s="11"/>
      <c r="R2947" s="11"/>
      <c r="S2947" s="11"/>
      <c r="T2947" s="1"/>
      <c r="U2947" s="1"/>
      <c r="V2947" s="1"/>
      <c r="W2947" s="1"/>
      <c r="X2947" s="1"/>
      <c r="Y2947" s="1"/>
      <c r="Z2947" s="1"/>
    </row>
    <row r="2948" ht="18.0" hidden="1" customHeight="1" outlineLevel="2">
      <c r="A2948" s="1">
        <v>8.0</v>
      </c>
      <c r="B2948" s="1"/>
      <c r="C2948" s="1"/>
      <c r="D2948" s="1"/>
      <c r="E2948" s="14"/>
      <c r="F2948" s="15"/>
      <c r="G2948" s="16"/>
      <c r="H2948" s="11"/>
      <c r="I2948" s="7"/>
      <c r="J2948" s="7" t="str">
        <f>IFERROR(LET(_xlpm.v,
VLOOKUP($I2948,'用語辞書'!$A:$B,COLUMN('用語辞書'!B$1),FALSE),
IF(_xlpm.v=0,"",_xlpm.v)
),"")</f>
        <v/>
      </c>
      <c r="K2948" s="17"/>
      <c r="L2948" s="17" t="str">
        <f>IF(OR(COUNTIF('クラス'!$A$1:$A$1267,$B2948)&gt;0,$B2948="",$M2948=""),"",True)</f>
        <v/>
      </c>
      <c r="M2948" s="1" t="str">
        <f t="shared" si="30"/>
        <v>存在しない</v>
      </c>
      <c r="N2948" s="1" t="s">
        <v>29</v>
      </c>
      <c r="O2948" s="1"/>
      <c r="P2948" s="11"/>
      <c r="Q2948" s="11"/>
      <c r="R2948" s="11"/>
      <c r="S2948" s="11"/>
      <c r="T2948" s="1"/>
      <c r="U2948" s="1"/>
      <c r="V2948" s="1"/>
      <c r="W2948" s="1"/>
      <c r="X2948" s="1"/>
      <c r="Y2948" s="1"/>
      <c r="Z2948" s="1"/>
    </row>
    <row r="2949" ht="18.0" hidden="1" customHeight="1" outlineLevel="2">
      <c r="A2949" s="1">
        <v>9.0</v>
      </c>
      <c r="B2949" s="1"/>
      <c r="C2949" s="1"/>
      <c r="D2949" s="1"/>
      <c r="E2949" s="14"/>
      <c r="F2949" s="15"/>
      <c r="G2949" s="16"/>
      <c r="H2949" s="11"/>
      <c r="I2949" s="7"/>
      <c r="J2949" s="7" t="str">
        <f>IFERROR(LET(_xlpm.v,
VLOOKUP($I2949,'用語辞書'!$A:$B,COLUMN('用語辞書'!B$1),FALSE),
IF(_xlpm.v=0,"",_xlpm.v)
),"")</f>
        <v/>
      </c>
      <c r="K2949" s="17"/>
      <c r="L2949" s="17" t="str">
        <f>IF(OR(COUNTIF('クラス'!$A$1:$A$1267,$B2949)&gt;0,$B2949="",$M2949=""),"",True)</f>
        <v/>
      </c>
      <c r="M2949" s="1" t="str">
        <f t="shared" si="30"/>
        <v>存在しない</v>
      </c>
      <c r="N2949" s="1" t="s">
        <v>29</v>
      </c>
      <c r="O2949" s="1"/>
      <c r="P2949" s="11"/>
      <c r="Q2949" s="11"/>
      <c r="R2949" s="11"/>
      <c r="S2949" s="11"/>
      <c r="T2949" s="1"/>
      <c r="U2949" s="1"/>
      <c r="V2949" s="1"/>
      <c r="W2949" s="1"/>
      <c r="X2949" s="1"/>
      <c r="Y2949" s="1"/>
      <c r="Z2949" s="1"/>
    </row>
    <row r="2950" ht="18.0" hidden="1" customHeight="1" outlineLevel="2">
      <c r="A2950" s="1">
        <v>10.0</v>
      </c>
      <c r="B2950" s="1"/>
      <c r="C2950" s="1"/>
      <c r="D2950" s="1"/>
      <c r="E2950" s="14"/>
      <c r="F2950" s="15"/>
      <c r="G2950" s="16"/>
      <c r="H2950" s="11"/>
      <c r="I2950" s="7"/>
      <c r="J2950" s="7" t="str">
        <f>IFERROR(LET(_xlpm.v,
VLOOKUP($I2950,'用語辞書'!$A:$B,COLUMN('用語辞書'!B$1),FALSE),
IF(_xlpm.v=0,"",_xlpm.v)
),"")</f>
        <v/>
      </c>
      <c r="K2950" s="17"/>
      <c r="L2950" s="17" t="str">
        <f>IF(OR(COUNTIF('クラス'!$A$1:$A$1267,$B2950)&gt;0,$B2950="",$M2950=""),"",True)</f>
        <v/>
      </c>
      <c r="M2950" s="1" t="str">
        <f t="shared" si="30"/>
        <v>存在しない</v>
      </c>
      <c r="N2950" s="1" t="s">
        <v>29</v>
      </c>
      <c r="O2950" s="1"/>
      <c r="P2950" s="11"/>
      <c r="Q2950" s="11"/>
      <c r="R2950" s="11"/>
      <c r="S2950" s="11"/>
      <c r="T2950" s="1"/>
      <c r="U2950" s="1"/>
      <c r="V2950" s="1"/>
      <c r="W2950" s="1"/>
      <c r="X2950" s="1"/>
      <c r="Y2950" s="1"/>
      <c r="Z2950" s="1"/>
    </row>
    <row r="2951" ht="18.0" customHeight="1" collapsed="1">
      <c r="A2951" s="1"/>
      <c r="B2951" s="1"/>
      <c r="C2951" s="1"/>
      <c r="D2951" s="1"/>
      <c r="E2951" s="14"/>
      <c r="F2951" s="15"/>
      <c r="G2951" s="16"/>
      <c r="H2951" s="11"/>
      <c r="I2951" s="7"/>
      <c r="J2951" s="7" t="str">
        <f>IFERROR(LET(_xlpm.v,
VLOOKUP($I2951,'用語辞書'!$A:$B,COLUMN('用語辞書'!B$1),FALSE),
IF(_xlpm.v=0,"",_xlpm.v)
),"")</f>
        <v/>
      </c>
      <c r="K2951" s="17"/>
      <c r="L2951" s="17" t="str">
        <f>IF(OR(COUNTIF('クラス'!$A$1:$A$1267,$B2951)&gt;0,$B2951="",$M2951=""),"",True)</f>
        <v/>
      </c>
      <c r="M2951" s="1" t="str">
        <f t="shared" si="30"/>
        <v>存在しない</v>
      </c>
      <c r="N2951" s="1" t="s">
        <v>29</v>
      </c>
      <c r="O2951" s="1"/>
      <c r="P2951" s="11"/>
      <c r="Q2951" s="11"/>
      <c r="R2951" s="11"/>
      <c r="S2951" s="11"/>
      <c r="T2951" s="1"/>
      <c r="U2951" s="1"/>
      <c r="V2951" s="1"/>
      <c r="W2951" s="1"/>
      <c r="X2951" s="1"/>
      <c r="Y2951" s="1"/>
      <c r="Z2951" s="1"/>
    </row>
    <row r="2952" ht="18.0" customHeight="1">
      <c r="A2952" s="1"/>
      <c r="B2952" s="26" t="s">
        <v>2519</v>
      </c>
      <c r="C2952" s="1"/>
      <c r="D2952" s="1"/>
      <c r="E2952" s="14"/>
      <c r="F2952" s="15"/>
      <c r="G2952" s="16"/>
      <c r="H2952" s="11"/>
      <c r="I2952" s="7"/>
      <c r="J2952" s="7" t="str">
        <f>IFERROR(LET(_xlpm.v,
VLOOKUP($I2952,'用語辞書'!$A:$B,COLUMN('用語辞書'!B$1),FALSE),
IF(_xlpm.v=0,"",_xlpm.v)
),"")</f>
        <v/>
      </c>
      <c r="K2952" s="17"/>
      <c r="L2952" s="17" t="str">
        <f>IF(OR(COUNTIF('クラス'!$A$1:$A$1267,$B2952)&gt;0,$B2952="",$M2952=""),"",True)</f>
        <v/>
      </c>
      <c r="M2952" s="1" t="str">
        <f t="shared" si="30"/>
        <v>存在しない</v>
      </c>
      <c r="N2952" s="1" t="s">
        <v>29</v>
      </c>
      <c r="O2952" s="1"/>
      <c r="P2952" s="11"/>
      <c r="Q2952" s="11"/>
      <c r="R2952" s="11"/>
      <c r="S2952" s="11"/>
      <c r="T2952" s="1"/>
      <c r="U2952" s="1"/>
      <c r="V2952" s="1"/>
      <c r="W2952" s="1"/>
      <c r="X2952" s="1"/>
      <c r="Y2952" s="1"/>
      <c r="Z2952" s="1"/>
    </row>
    <row r="2953" ht="18.0" customHeight="1">
      <c r="A2953" s="1">
        <v>1.0</v>
      </c>
      <c r="B2953" s="26" t="s">
        <v>261</v>
      </c>
      <c r="C2953" s="1"/>
      <c r="D2953" s="1"/>
      <c r="E2953" s="14"/>
      <c r="F2953" s="15"/>
      <c r="G2953" s="16"/>
      <c r="H2953" s="11"/>
      <c r="I2953" s="7"/>
      <c r="J2953" s="7" t="str">
        <f>IFERROR(LET(_xlpm.v,
VLOOKUP($I2953,'用語辞書'!$A:$B,COLUMN('用語辞書'!B$1),FALSE),
IF(_xlpm.v=0,"",_xlpm.v)
),"")</f>
        <v/>
      </c>
      <c r="K2953" s="17"/>
      <c r="L2953" s="17" t="str">
        <f>IF(OR(COUNTIF('クラス'!$A$1:$A$1267,$B2953)&gt;0,$B2953="",$M2953=""),"",True)</f>
        <v/>
      </c>
      <c r="M2953" s="1" t="str">
        <f t="shared" si="30"/>
        <v/>
      </c>
      <c r="N2953" s="1" t="s">
        <v>29</v>
      </c>
      <c r="O2953" s="1"/>
      <c r="P2953" s="11"/>
      <c r="Q2953" s="11"/>
      <c r="R2953" s="11"/>
      <c r="S2953" s="11"/>
      <c r="T2953" s="1"/>
      <c r="U2953" s="1"/>
      <c r="V2953" s="1"/>
      <c r="W2953" s="1"/>
      <c r="X2953" s="1"/>
      <c r="Y2953" s="1"/>
      <c r="Z2953" s="1"/>
    </row>
    <row r="2954" ht="18.0" customHeight="1">
      <c r="A2954" s="1">
        <v>2.0</v>
      </c>
      <c r="B2954" s="26" t="s">
        <v>1064</v>
      </c>
      <c r="C2954" s="1"/>
      <c r="D2954" s="1"/>
      <c r="E2954" s="14"/>
      <c r="F2954" s="15"/>
      <c r="G2954" s="16"/>
      <c r="H2954" s="11"/>
      <c r="I2954" s="7"/>
      <c r="J2954" s="7" t="str">
        <f>IFERROR(LET(_xlpm.v,
VLOOKUP($I2954,'用語辞書'!$A:$B,COLUMN('用語辞書'!B$1),FALSE),
IF(_xlpm.v=0,"",_xlpm.v)
),"")</f>
        <v/>
      </c>
      <c r="K2954" s="17"/>
      <c r="L2954" s="17" t="str">
        <f>IF(OR(COUNTIF('クラス'!$A$1:$A$1267,$B2954)&gt;0,$B2954="",$M2954=""),"",True)</f>
        <v/>
      </c>
      <c r="M2954" s="1" t="str">
        <f t="shared" si="30"/>
        <v/>
      </c>
      <c r="N2954" s="1" t="s">
        <v>29</v>
      </c>
      <c r="O2954" s="1"/>
      <c r="P2954" s="11"/>
      <c r="Q2954" s="11"/>
      <c r="R2954" s="11"/>
      <c r="S2954" s="11"/>
      <c r="T2954" s="1"/>
      <c r="U2954" s="1"/>
      <c r="V2954" s="1"/>
      <c r="W2954" s="1"/>
      <c r="X2954" s="1"/>
      <c r="Y2954" s="1"/>
      <c r="Z2954" s="1"/>
    </row>
    <row r="2955" ht="18.0" customHeight="1">
      <c r="A2955" s="1">
        <v>3.0</v>
      </c>
      <c r="B2955" s="26" t="s">
        <v>512</v>
      </c>
      <c r="C2955" s="1"/>
      <c r="D2955" s="1"/>
      <c r="E2955" s="14"/>
      <c r="F2955" s="15"/>
      <c r="G2955" s="16"/>
      <c r="H2955" s="11"/>
      <c r="I2955" s="7"/>
      <c r="J2955" s="7" t="str">
        <f>IFERROR(LET(_xlpm.v,
VLOOKUP($I2955,'用語辞書'!$A:$B,COLUMN('用語辞書'!B$1),FALSE),
IF(_xlpm.v=0,"",_xlpm.v)
),"")</f>
        <v/>
      </c>
      <c r="K2955" s="17"/>
      <c r="L2955" s="17" t="str">
        <f>IF(OR(COUNTIF('クラス'!$A$1:$A$1267,$B2955)&gt;0,$B2955="",$M2955=""),"",True)</f>
        <v/>
      </c>
      <c r="M2955" s="1" t="str">
        <f t="shared" si="30"/>
        <v/>
      </c>
      <c r="N2955" s="1" t="s">
        <v>29</v>
      </c>
      <c r="O2955" s="1"/>
      <c r="P2955" s="11"/>
      <c r="Q2955" s="11"/>
      <c r="R2955" s="11"/>
      <c r="S2955" s="11"/>
      <c r="T2955" s="1"/>
      <c r="U2955" s="1"/>
      <c r="V2955" s="1"/>
      <c r="W2955" s="1"/>
      <c r="X2955" s="1"/>
      <c r="Y2955" s="1"/>
      <c r="Z2955" s="1"/>
    </row>
    <row r="2956" ht="18.0" customHeight="1">
      <c r="A2956" s="1">
        <v>4.0</v>
      </c>
      <c r="B2956" s="1"/>
      <c r="C2956" s="1"/>
      <c r="D2956" s="1"/>
      <c r="E2956" s="14"/>
      <c r="F2956" s="15"/>
      <c r="G2956" s="16"/>
      <c r="H2956" s="11"/>
      <c r="I2956" s="7"/>
      <c r="J2956" s="7" t="str">
        <f>IFERROR(LET(_xlpm.v,
VLOOKUP($I2956,'用語辞書'!$A:$B,COLUMN('用語辞書'!B$1),FALSE),
IF(_xlpm.v=0,"",_xlpm.v)
),"")</f>
        <v/>
      </c>
      <c r="K2956" s="17"/>
      <c r="L2956" s="17" t="str">
        <f>IF(OR(COUNTIF('クラス'!$A$1:$A$1267,$B2956)&gt;0,$B2956="",$M2956=""),"",True)</f>
        <v/>
      </c>
      <c r="M2956" s="1" t="str">
        <f t="shared" si="30"/>
        <v>存在しない</v>
      </c>
      <c r="N2956" s="1" t="s">
        <v>29</v>
      </c>
      <c r="O2956" s="1"/>
      <c r="P2956" s="11"/>
      <c r="Q2956" s="11"/>
      <c r="R2956" s="11"/>
      <c r="S2956" s="11"/>
      <c r="T2956" s="1"/>
      <c r="U2956" s="1"/>
      <c r="V2956" s="1"/>
      <c r="W2956" s="1"/>
      <c r="X2956" s="1"/>
      <c r="Y2956" s="1"/>
      <c r="Z2956" s="1"/>
    </row>
    <row r="2957" ht="18.0" customHeight="1">
      <c r="A2957" s="1">
        <v>5.0</v>
      </c>
      <c r="B2957" s="26" t="s">
        <v>1073</v>
      </c>
      <c r="C2957" s="1"/>
      <c r="D2957" s="1"/>
      <c r="E2957" s="14"/>
      <c r="F2957" s="15"/>
      <c r="G2957" s="16"/>
      <c r="H2957" s="11"/>
      <c r="I2957" s="7"/>
      <c r="J2957" s="7" t="str">
        <f>IFERROR(LET(_xlpm.v,
VLOOKUP($I2957,'用語辞書'!$A:$B,COLUMN('用語辞書'!B$1),FALSE),
IF(_xlpm.v=0,"",_xlpm.v)
),"")</f>
        <v/>
      </c>
      <c r="K2957" s="17"/>
      <c r="L2957" s="17" t="str">
        <f>IF(OR(COUNTIF('クラス'!$A$1:$A$1267,$B2957)&gt;0,$B2957="",$M2957=""),"",True)</f>
        <v/>
      </c>
      <c r="M2957" s="1" t="str">
        <f t="shared" si="30"/>
        <v/>
      </c>
      <c r="N2957" s="1" t="s">
        <v>29</v>
      </c>
      <c r="O2957" s="1"/>
      <c r="P2957" s="11"/>
      <c r="Q2957" s="11"/>
      <c r="R2957" s="11"/>
      <c r="S2957" s="11"/>
      <c r="T2957" s="1"/>
      <c r="U2957" s="1"/>
      <c r="V2957" s="1"/>
      <c r="W2957" s="1"/>
      <c r="X2957" s="1"/>
      <c r="Y2957" s="1"/>
      <c r="Z2957" s="1"/>
    </row>
    <row r="2958" ht="18.0" customHeight="1">
      <c r="A2958" s="1">
        <v>6.0</v>
      </c>
      <c r="B2958" s="1"/>
      <c r="C2958" s="1"/>
      <c r="D2958" s="1"/>
      <c r="E2958" s="14"/>
      <c r="F2958" s="15"/>
      <c r="G2958" s="16"/>
      <c r="H2958" s="11"/>
      <c r="I2958" s="7"/>
      <c r="J2958" s="7" t="str">
        <f>IFERROR(LET(_xlpm.v,
VLOOKUP($I2958,'用語辞書'!$A:$B,COLUMN('用語辞書'!B$1),FALSE),
IF(_xlpm.v=0,"",_xlpm.v)
),"")</f>
        <v/>
      </c>
      <c r="K2958" s="17"/>
      <c r="L2958" s="17" t="str">
        <f>IF(OR(COUNTIF('クラス'!$A$1:$A$1267,$B2958)&gt;0,$B2958="",$M2958=""),"",True)</f>
        <v/>
      </c>
      <c r="M2958" s="1" t="str">
        <f t="shared" si="30"/>
        <v>存在しない</v>
      </c>
      <c r="N2958" s="1" t="s">
        <v>29</v>
      </c>
      <c r="O2958" s="1"/>
      <c r="P2958" s="11"/>
      <c r="Q2958" s="11"/>
      <c r="R2958" s="11"/>
      <c r="S2958" s="11"/>
      <c r="T2958" s="1"/>
      <c r="U2958" s="1"/>
      <c r="V2958" s="1"/>
      <c r="W2958" s="1"/>
      <c r="X2958" s="1"/>
      <c r="Y2958" s="1"/>
      <c r="Z2958" s="1"/>
    </row>
    <row r="2959" ht="18.0" customHeight="1">
      <c r="A2959" s="1">
        <v>7.0</v>
      </c>
      <c r="B2959" s="26" t="s">
        <v>446</v>
      </c>
      <c r="C2959" s="1"/>
      <c r="D2959" s="1"/>
      <c r="E2959" s="14"/>
      <c r="F2959" s="15"/>
      <c r="G2959" s="16"/>
      <c r="H2959" s="11"/>
      <c r="I2959" s="7"/>
      <c r="J2959" s="7" t="str">
        <f>IFERROR(LET(_xlpm.v,
VLOOKUP($I2959,'用語辞書'!$A:$B,COLUMN('用語辞書'!B$1),FALSE),
IF(_xlpm.v=0,"",_xlpm.v)
),"")</f>
        <v/>
      </c>
      <c r="K2959" s="17"/>
      <c r="L2959" s="17" t="str">
        <f>IF(OR(COUNTIF('クラス'!$A$1:$A$1267,$B2959)&gt;0,$B2959="",$M2959=""),"",True)</f>
        <v/>
      </c>
      <c r="M2959" s="1" t="str">
        <f t="shared" si="30"/>
        <v/>
      </c>
      <c r="N2959" s="1" t="s">
        <v>29</v>
      </c>
      <c r="O2959" s="1"/>
      <c r="P2959" s="11"/>
      <c r="Q2959" s="11"/>
      <c r="R2959" s="11"/>
      <c r="S2959" s="11"/>
      <c r="T2959" s="1"/>
      <c r="U2959" s="1"/>
      <c r="V2959" s="1"/>
      <c r="W2959" s="1"/>
      <c r="X2959" s="1"/>
      <c r="Y2959" s="1"/>
      <c r="Z2959" s="1"/>
    </row>
    <row r="2960" ht="18.0" customHeight="1">
      <c r="A2960" s="1">
        <v>8.0</v>
      </c>
      <c r="B2960" s="1"/>
      <c r="C2960" s="1"/>
      <c r="D2960" s="1"/>
      <c r="E2960" s="14"/>
      <c r="F2960" s="15"/>
      <c r="G2960" s="16"/>
      <c r="H2960" s="11"/>
      <c r="I2960" s="7"/>
      <c r="J2960" s="7" t="str">
        <f>IFERROR(LET(_xlpm.v,
VLOOKUP($I2960,'用語辞書'!$A:$B,COLUMN('用語辞書'!B$1),FALSE),
IF(_xlpm.v=0,"",_xlpm.v)
),"")</f>
        <v/>
      </c>
      <c r="K2960" s="17"/>
      <c r="L2960" s="17" t="str">
        <f>IF(OR(COUNTIF('クラス'!$A$1:$A$1267,$B2960)&gt;0,$B2960="",$M2960=""),"",True)</f>
        <v/>
      </c>
      <c r="M2960" s="1" t="str">
        <f t="shared" si="30"/>
        <v>存在しない</v>
      </c>
      <c r="N2960" s="1" t="s">
        <v>29</v>
      </c>
      <c r="O2960" s="1"/>
      <c r="P2960" s="11"/>
      <c r="Q2960" s="11"/>
      <c r="R2960" s="11"/>
      <c r="S2960" s="11"/>
      <c r="T2960" s="1"/>
      <c r="U2960" s="1"/>
      <c r="V2960" s="1"/>
      <c r="W2960" s="1"/>
      <c r="X2960" s="1"/>
      <c r="Y2960" s="1"/>
      <c r="Z2960" s="1"/>
    </row>
    <row r="2961" ht="18.0" customHeight="1">
      <c r="A2961" s="1">
        <v>9.0</v>
      </c>
      <c r="B2961" s="26" t="s">
        <v>364</v>
      </c>
      <c r="C2961" s="1"/>
      <c r="D2961" s="1"/>
      <c r="E2961" s="14"/>
      <c r="F2961" s="15"/>
      <c r="G2961" s="16"/>
      <c r="H2961" s="11"/>
      <c r="I2961" s="7"/>
      <c r="J2961" s="7" t="str">
        <f>IFERROR(LET(_xlpm.v,
VLOOKUP($I2961,'用語辞書'!$A:$B,COLUMN('用語辞書'!B$1),FALSE),
IF(_xlpm.v=0,"",_xlpm.v)
),"")</f>
        <v/>
      </c>
      <c r="K2961" s="17"/>
      <c r="L2961" s="17" t="str">
        <f>IF(OR(COUNTIF('クラス'!$A$1:$A$1267,$B2961)&gt;0,$B2961="",$M2961=""),"",True)</f>
        <v/>
      </c>
      <c r="M2961" s="1" t="str">
        <f t="shared" si="30"/>
        <v/>
      </c>
      <c r="N2961" s="1" t="s">
        <v>29</v>
      </c>
      <c r="O2961" s="1"/>
      <c r="P2961" s="11"/>
      <c r="Q2961" s="11"/>
      <c r="R2961" s="11"/>
      <c r="S2961" s="11"/>
      <c r="T2961" s="1"/>
      <c r="U2961" s="1"/>
      <c r="V2961" s="1"/>
      <c r="W2961" s="1"/>
      <c r="X2961" s="1"/>
      <c r="Y2961" s="1"/>
      <c r="Z2961" s="1"/>
    </row>
    <row r="2962" ht="18.0" customHeight="1">
      <c r="A2962" s="1">
        <v>10.0</v>
      </c>
      <c r="B2962" s="26" t="s">
        <v>2520</v>
      </c>
      <c r="C2962" s="1"/>
      <c r="D2962" s="1"/>
      <c r="E2962" s="29" t="s">
        <v>55</v>
      </c>
      <c r="F2962" s="15"/>
      <c r="G2962" s="16"/>
      <c r="H2962" s="22" t="s">
        <v>2521</v>
      </c>
      <c r="I2962" s="7"/>
      <c r="J2962" s="7" t="str">
        <f>IFERROR(LET(_xlpm.v,
VLOOKUP($I2962,'用語辞書'!$A:$B,COLUMN('用語辞書'!B$1),FALSE),
IF(_xlpm.v=0,"",_xlpm.v)
),"")</f>
        <v/>
      </c>
      <c r="K2962" s="17"/>
      <c r="L2962" s="17" t="b">
        <f>IF(OR(COUNTIF('クラス'!$A$1:$A$1267,$B2962)&gt;0,$B2962="",$M2962=""),"",True)</f>
        <v>1</v>
      </c>
      <c r="M2962" s="1" t="str">
        <f t="shared" si="30"/>
        <v>存在しない</v>
      </c>
      <c r="N2962" s="1" t="s">
        <v>29</v>
      </c>
      <c r="O2962" s="1"/>
      <c r="P2962" s="11"/>
      <c r="Q2962" s="11"/>
      <c r="R2962" s="11"/>
      <c r="S2962" s="11"/>
      <c r="T2962" s="1"/>
      <c r="U2962" s="1"/>
      <c r="V2962" s="1"/>
      <c r="W2962" s="1"/>
      <c r="X2962" s="1"/>
      <c r="Y2962" s="1"/>
      <c r="Z2962" s="1"/>
    </row>
    <row r="2963" ht="18.0" customHeight="1">
      <c r="A2963" s="1"/>
      <c r="B2963" s="1"/>
      <c r="C2963" s="1"/>
      <c r="D2963" s="1"/>
      <c r="E2963" s="14"/>
      <c r="F2963" s="15"/>
      <c r="G2963" s="16"/>
      <c r="H2963" s="11"/>
      <c r="I2963" s="7"/>
      <c r="J2963" s="7" t="str">
        <f>IFERROR(LET(_xlpm.v,
VLOOKUP($I2963,'用語辞書'!$A:$B,COLUMN('用語辞書'!B$1),FALSE),
IF(_xlpm.v=0,"",_xlpm.v)
),"")</f>
        <v/>
      </c>
      <c r="K2963" s="17"/>
      <c r="L2963" s="17" t="str">
        <f>IF(OR(COUNTIF('クラス'!$A$1:$A$1267,$B2963)&gt;0,$B2963="",$M2963=""),"",True)</f>
        <v/>
      </c>
      <c r="M2963" s="1" t="str">
        <f t="shared" si="30"/>
        <v>存在しない</v>
      </c>
      <c r="N2963" s="1" t="s">
        <v>29</v>
      </c>
      <c r="O2963" s="1"/>
      <c r="P2963" s="11"/>
      <c r="Q2963" s="11"/>
      <c r="R2963" s="11"/>
      <c r="S2963" s="11"/>
      <c r="T2963" s="1"/>
      <c r="U2963" s="1"/>
      <c r="V2963" s="1"/>
      <c r="W2963" s="1"/>
      <c r="X2963" s="1"/>
      <c r="Y2963" s="1"/>
      <c r="Z2963" s="1"/>
    </row>
    <row r="2964" ht="18.0" customHeight="1">
      <c r="A2964" s="1"/>
      <c r="B2964" s="26" t="s">
        <v>2522</v>
      </c>
      <c r="C2964" s="1"/>
      <c r="D2964" s="1"/>
      <c r="E2964" s="14"/>
      <c r="F2964" s="15"/>
      <c r="G2964" s="16"/>
      <c r="H2964" s="11"/>
      <c r="I2964" s="7"/>
      <c r="J2964" s="7" t="str">
        <f>IFERROR(LET(_xlpm.v,
VLOOKUP($I2964,'用語辞書'!$A:$B,COLUMN('用語辞書'!B$1),FALSE),
IF(_xlpm.v=0,"",_xlpm.v)
),"")</f>
        <v/>
      </c>
      <c r="K2964" s="17"/>
      <c r="L2964" s="17" t="str">
        <f>IF(OR(COUNTIF('クラス'!$A$1:$A$1267,$B2964)&gt;0,$B2964="",$M2964=""),"",True)</f>
        <v/>
      </c>
      <c r="M2964" s="1" t="str">
        <f>IF(COUNTIF($B$1:$C2951, $B2964), "", "存在しない")</f>
        <v>存在しない</v>
      </c>
      <c r="N2964" s="1" t="s">
        <v>29</v>
      </c>
      <c r="O2964" s="1"/>
      <c r="P2964" s="11"/>
      <c r="Q2964" s="11"/>
      <c r="R2964" s="11"/>
      <c r="S2964" s="11"/>
      <c r="T2964" s="1"/>
      <c r="U2964" s="1"/>
      <c r="V2964" s="1"/>
      <c r="W2964" s="1"/>
      <c r="X2964" s="1"/>
      <c r="Y2964" s="1"/>
      <c r="Z2964" s="1"/>
    </row>
    <row r="2965" ht="18.0" hidden="1" customHeight="1" outlineLevel="1">
      <c r="A2965" s="1">
        <v>1.0</v>
      </c>
      <c r="B2965" s="1"/>
      <c r="C2965" s="1"/>
      <c r="D2965" s="1"/>
      <c r="E2965" s="14"/>
      <c r="F2965" s="15"/>
      <c r="G2965" s="16"/>
      <c r="H2965" s="11"/>
      <c r="I2965" s="7"/>
      <c r="J2965" s="7" t="str">
        <f>IFERROR(LET(_xlpm.v,
VLOOKUP($I2965,'用語辞書'!$A:$B,COLUMN('用語辞書'!B$1),FALSE),
IF(_xlpm.v=0,"",_xlpm.v)
),"")</f>
        <v/>
      </c>
      <c r="K2965" s="17"/>
      <c r="L2965" s="17" t="str">
        <f>IF(OR(COUNTIF('クラス'!$A$1:$A$1267,$B2965)&gt;0,$B2965="",$M2965=""),"",True)</f>
        <v/>
      </c>
      <c r="M2965" s="1" t="str">
        <f t="shared" ref="M2965:M3084" si="31">IF(COUNTIF($B$1:$C2964, $B2965), "", "存在しない")</f>
        <v>存在しない</v>
      </c>
      <c r="N2965" s="1" t="s">
        <v>29</v>
      </c>
      <c r="O2965" s="1"/>
      <c r="P2965" s="11"/>
      <c r="Q2965" s="11"/>
      <c r="R2965" s="11"/>
      <c r="S2965" s="11"/>
      <c r="T2965" s="1"/>
      <c r="U2965" s="1"/>
      <c r="V2965" s="1"/>
      <c r="W2965" s="1"/>
      <c r="X2965" s="1"/>
      <c r="Y2965" s="1"/>
      <c r="Z2965" s="1"/>
    </row>
    <row r="2966" ht="18.0" hidden="1" customHeight="1" outlineLevel="1">
      <c r="A2966" s="1">
        <v>2.0</v>
      </c>
      <c r="B2966" s="1"/>
      <c r="C2966" s="1"/>
      <c r="D2966" s="1"/>
      <c r="E2966" s="14"/>
      <c r="F2966" s="15"/>
      <c r="G2966" s="16"/>
      <c r="H2966" s="11"/>
      <c r="I2966" s="7"/>
      <c r="J2966" s="7" t="str">
        <f>IFERROR(LET(_xlpm.v,
VLOOKUP($I2966,'用語辞書'!$A:$B,COLUMN('用語辞書'!B$1),FALSE),
IF(_xlpm.v=0,"",_xlpm.v)
),"")</f>
        <v/>
      </c>
      <c r="K2966" s="17"/>
      <c r="L2966" s="17" t="str">
        <f>IF(OR(COUNTIF('クラス'!$A$1:$A$1267,$B2966)&gt;0,$B2966="",$M2966=""),"",True)</f>
        <v/>
      </c>
      <c r="M2966" s="1" t="str">
        <f t="shared" si="31"/>
        <v>存在しない</v>
      </c>
      <c r="N2966" s="1" t="s">
        <v>29</v>
      </c>
      <c r="O2966" s="1"/>
      <c r="P2966" s="11"/>
      <c r="Q2966" s="11"/>
      <c r="R2966" s="11"/>
      <c r="S2966" s="11"/>
      <c r="T2966" s="1"/>
      <c r="U2966" s="1"/>
      <c r="V2966" s="1"/>
      <c r="W2966" s="1"/>
      <c r="X2966" s="1"/>
      <c r="Y2966" s="1"/>
      <c r="Z2966" s="1"/>
    </row>
    <row r="2967" ht="18.0" hidden="1" customHeight="1" outlineLevel="1">
      <c r="A2967" s="1">
        <v>3.0</v>
      </c>
      <c r="B2967" s="1"/>
      <c r="C2967" s="1"/>
      <c r="D2967" s="1"/>
      <c r="E2967" s="14"/>
      <c r="F2967" s="15"/>
      <c r="G2967" s="16"/>
      <c r="H2967" s="11"/>
      <c r="I2967" s="7"/>
      <c r="J2967" s="7" t="str">
        <f>IFERROR(LET(_xlpm.v,
VLOOKUP($I2967,'用語辞書'!$A:$B,COLUMN('用語辞書'!B$1),FALSE),
IF(_xlpm.v=0,"",_xlpm.v)
),"")</f>
        <v/>
      </c>
      <c r="K2967" s="17"/>
      <c r="L2967" s="17" t="str">
        <f>IF(OR(COUNTIF('クラス'!$A$1:$A$1267,$B2967)&gt;0,$B2967="",$M2967=""),"",True)</f>
        <v/>
      </c>
      <c r="M2967" s="1" t="str">
        <f t="shared" si="31"/>
        <v>存在しない</v>
      </c>
      <c r="N2967" s="1" t="s">
        <v>29</v>
      </c>
      <c r="O2967" s="1"/>
      <c r="P2967" s="11"/>
      <c r="Q2967" s="11"/>
      <c r="R2967" s="11"/>
      <c r="S2967" s="11"/>
      <c r="T2967" s="1"/>
      <c r="U2967" s="1"/>
      <c r="V2967" s="1"/>
      <c r="W2967" s="1"/>
      <c r="X2967" s="1"/>
      <c r="Y2967" s="1"/>
      <c r="Z2967" s="1"/>
    </row>
    <row r="2968" ht="18.0" hidden="1" customHeight="1" outlineLevel="1">
      <c r="A2968" s="1">
        <v>4.0</v>
      </c>
      <c r="B2968" s="1"/>
      <c r="C2968" s="1"/>
      <c r="D2968" s="1"/>
      <c r="E2968" s="14"/>
      <c r="F2968" s="15"/>
      <c r="G2968" s="16"/>
      <c r="H2968" s="11"/>
      <c r="I2968" s="7"/>
      <c r="J2968" s="7" t="str">
        <f>IFERROR(LET(_xlpm.v,
VLOOKUP($I2968,'用語辞書'!$A:$B,COLUMN('用語辞書'!B$1),FALSE),
IF(_xlpm.v=0,"",_xlpm.v)
),"")</f>
        <v/>
      </c>
      <c r="K2968" s="17"/>
      <c r="L2968" s="17" t="str">
        <f>IF(OR(COUNTIF('クラス'!$A$1:$A$1267,$B2968)&gt;0,$B2968="",$M2968=""),"",True)</f>
        <v/>
      </c>
      <c r="M2968" s="1" t="str">
        <f t="shared" si="31"/>
        <v>存在しない</v>
      </c>
      <c r="N2968" s="1" t="s">
        <v>29</v>
      </c>
      <c r="O2968" s="1"/>
      <c r="P2968" s="11"/>
      <c r="Q2968" s="11"/>
      <c r="R2968" s="11"/>
      <c r="S2968" s="11"/>
      <c r="T2968" s="1"/>
      <c r="U2968" s="1"/>
      <c r="V2968" s="1"/>
      <c r="W2968" s="1"/>
      <c r="X2968" s="1"/>
      <c r="Y2968" s="1"/>
      <c r="Z2968" s="1"/>
    </row>
    <row r="2969" ht="18.0" hidden="1" customHeight="1" outlineLevel="1">
      <c r="A2969" s="1">
        <v>5.0</v>
      </c>
      <c r="B2969" s="1"/>
      <c r="C2969" s="1"/>
      <c r="D2969" s="1"/>
      <c r="E2969" s="14"/>
      <c r="F2969" s="15"/>
      <c r="G2969" s="16"/>
      <c r="H2969" s="11"/>
      <c r="I2969" s="7"/>
      <c r="J2969" s="7" t="str">
        <f>IFERROR(LET(_xlpm.v,
VLOOKUP($I2969,'用語辞書'!$A:$B,COLUMN('用語辞書'!B$1),FALSE),
IF(_xlpm.v=0,"",_xlpm.v)
),"")</f>
        <v/>
      </c>
      <c r="K2969" s="17"/>
      <c r="L2969" s="17" t="str">
        <f>IF(OR(COUNTIF('クラス'!$A$1:$A$1267,$B2969)&gt;0,$B2969="",$M2969=""),"",True)</f>
        <v/>
      </c>
      <c r="M2969" s="1" t="str">
        <f t="shared" si="31"/>
        <v>存在しない</v>
      </c>
      <c r="N2969" s="1" t="s">
        <v>29</v>
      </c>
      <c r="O2969" s="1"/>
      <c r="P2969" s="11"/>
      <c r="Q2969" s="11"/>
      <c r="R2969" s="11"/>
      <c r="S2969" s="11"/>
      <c r="T2969" s="1"/>
      <c r="U2969" s="1"/>
      <c r="V2969" s="1"/>
      <c r="W2969" s="1"/>
      <c r="X2969" s="1"/>
      <c r="Y2969" s="1"/>
      <c r="Z2969" s="1"/>
    </row>
    <row r="2970" ht="18.0" hidden="1" customHeight="1" outlineLevel="1">
      <c r="A2970" s="1">
        <v>6.0</v>
      </c>
      <c r="B2970" s="1"/>
      <c r="C2970" s="1"/>
      <c r="D2970" s="1"/>
      <c r="E2970" s="14"/>
      <c r="F2970" s="15"/>
      <c r="G2970" s="16"/>
      <c r="H2970" s="11"/>
      <c r="I2970" s="7"/>
      <c r="J2970" s="7" t="str">
        <f>IFERROR(LET(_xlpm.v,
VLOOKUP($I2970,'用語辞書'!$A:$B,COLUMN('用語辞書'!B$1),FALSE),
IF(_xlpm.v=0,"",_xlpm.v)
),"")</f>
        <v/>
      </c>
      <c r="K2970" s="17"/>
      <c r="L2970" s="17" t="str">
        <f>IF(OR(COUNTIF('クラス'!$A$1:$A$1267,$B2970)&gt;0,$B2970="",$M2970=""),"",True)</f>
        <v/>
      </c>
      <c r="M2970" s="1" t="str">
        <f t="shared" si="31"/>
        <v>存在しない</v>
      </c>
      <c r="N2970" s="1" t="s">
        <v>29</v>
      </c>
      <c r="O2970" s="1"/>
      <c r="P2970" s="11"/>
      <c r="Q2970" s="11"/>
      <c r="R2970" s="11"/>
      <c r="S2970" s="11"/>
      <c r="T2970" s="1"/>
      <c r="U2970" s="1"/>
      <c r="V2970" s="1"/>
      <c r="W2970" s="1"/>
      <c r="X2970" s="1"/>
      <c r="Y2970" s="1"/>
      <c r="Z2970" s="1"/>
    </row>
    <row r="2971" ht="18.0" hidden="1" customHeight="1" outlineLevel="1">
      <c r="A2971" s="1">
        <v>7.0</v>
      </c>
      <c r="B2971" s="1"/>
      <c r="C2971" s="1"/>
      <c r="D2971" s="1"/>
      <c r="E2971" s="14"/>
      <c r="F2971" s="15"/>
      <c r="G2971" s="16"/>
      <c r="H2971" s="11"/>
      <c r="I2971" s="7"/>
      <c r="J2971" s="7" t="str">
        <f>IFERROR(LET(_xlpm.v,
VLOOKUP($I2971,'用語辞書'!$A:$B,COLUMN('用語辞書'!B$1),FALSE),
IF(_xlpm.v=0,"",_xlpm.v)
),"")</f>
        <v/>
      </c>
      <c r="K2971" s="17"/>
      <c r="L2971" s="17" t="str">
        <f>IF(OR(COUNTIF('クラス'!$A$1:$A$1267,$B2971)&gt;0,$B2971="",$M2971=""),"",True)</f>
        <v/>
      </c>
      <c r="M2971" s="1" t="str">
        <f t="shared" si="31"/>
        <v>存在しない</v>
      </c>
      <c r="N2971" s="1" t="s">
        <v>29</v>
      </c>
      <c r="O2971" s="1"/>
      <c r="P2971" s="11"/>
      <c r="Q2971" s="11"/>
      <c r="R2971" s="11"/>
      <c r="S2971" s="11"/>
      <c r="T2971" s="1"/>
      <c r="U2971" s="1"/>
      <c r="V2971" s="1"/>
      <c r="W2971" s="1"/>
      <c r="X2971" s="1"/>
      <c r="Y2971" s="1"/>
      <c r="Z2971" s="1"/>
    </row>
    <row r="2972" ht="18.0" hidden="1" customHeight="1" outlineLevel="1">
      <c r="A2972" s="1">
        <v>8.0</v>
      </c>
      <c r="B2972" s="1"/>
      <c r="C2972" s="1"/>
      <c r="D2972" s="1"/>
      <c r="E2972" s="14"/>
      <c r="F2972" s="15"/>
      <c r="G2972" s="16"/>
      <c r="H2972" s="11"/>
      <c r="I2972" s="7"/>
      <c r="J2972" s="7" t="str">
        <f>IFERROR(LET(_xlpm.v,
VLOOKUP($I2972,'用語辞書'!$A:$B,COLUMN('用語辞書'!B$1),FALSE),
IF(_xlpm.v=0,"",_xlpm.v)
),"")</f>
        <v/>
      </c>
      <c r="K2972" s="17"/>
      <c r="L2972" s="17" t="str">
        <f>IF(OR(COUNTIF('クラス'!$A$1:$A$1267,$B2972)&gt;0,$B2972="",$M2972=""),"",True)</f>
        <v/>
      </c>
      <c r="M2972" s="1" t="str">
        <f t="shared" si="31"/>
        <v>存在しない</v>
      </c>
      <c r="N2972" s="1" t="s">
        <v>29</v>
      </c>
      <c r="O2972" s="1"/>
      <c r="P2972" s="11"/>
      <c r="Q2972" s="11"/>
      <c r="R2972" s="11"/>
      <c r="S2972" s="11"/>
      <c r="T2972" s="1"/>
      <c r="U2972" s="1"/>
      <c r="V2972" s="1"/>
      <c r="W2972" s="1"/>
      <c r="X2972" s="1"/>
      <c r="Y2972" s="1"/>
      <c r="Z2972" s="1"/>
    </row>
    <row r="2973" ht="18.0" hidden="1" customHeight="1" outlineLevel="1">
      <c r="A2973" s="1">
        <v>9.0</v>
      </c>
      <c r="B2973" s="1"/>
      <c r="C2973" s="1"/>
      <c r="D2973" s="1"/>
      <c r="E2973" s="14"/>
      <c r="F2973" s="15"/>
      <c r="G2973" s="16"/>
      <c r="H2973" s="11"/>
      <c r="I2973" s="7"/>
      <c r="J2973" s="7" t="str">
        <f>IFERROR(LET(_xlpm.v,
VLOOKUP($I2973,'用語辞書'!$A:$B,COLUMN('用語辞書'!B$1),FALSE),
IF(_xlpm.v=0,"",_xlpm.v)
),"")</f>
        <v/>
      </c>
      <c r="K2973" s="17"/>
      <c r="L2973" s="17" t="str">
        <f>IF(OR(COUNTIF('クラス'!$A$1:$A$1267,$B2973)&gt;0,$B2973="",$M2973=""),"",True)</f>
        <v/>
      </c>
      <c r="M2973" s="1" t="str">
        <f t="shared" si="31"/>
        <v>存在しない</v>
      </c>
      <c r="N2973" s="1" t="s">
        <v>29</v>
      </c>
      <c r="O2973" s="1"/>
      <c r="P2973" s="11"/>
      <c r="Q2973" s="11"/>
      <c r="R2973" s="11"/>
      <c r="S2973" s="11"/>
      <c r="T2973" s="1"/>
      <c r="U2973" s="1"/>
      <c r="V2973" s="1"/>
      <c r="W2973" s="1"/>
      <c r="X2973" s="1"/>
      <c r="Y2973" s="1"/>
      <c r="Z2973" s="1"/>
    </row>
    <row r="2974" ht="18.0" hidden="1" customHeight="1" outlineLevel="1">
      <c r="A2974" s="1">
        <v>10.0</v>
      </c>
      <c r="B2974" s="1"/>
      <c r="C2974" s="1"/>
      <c r="D2974" s="1"/>
      <c r="E2974" s="14"/>
      <c r="F2974" s="15"/>
      <c r="G2974" s="16"/>
      <c r="H2974" s="11"/>
      <c r="I2974" s="7"/>
      <c r="J2974" s="7" t="str">
        <f>IFERROR(LET(_xlpm.v,
VLOOKUP($I2974,'用語辞書'!$A:$B,COLUMN('用語辞書'!B$1),FALSE),
IF(_xlpm.v=0,"",_xlpm.v)
),"")</f>
        <v/>
      </c>
      <c r="K2974" s="17"/>
      <c r="L2974" s="17" t="str">
        <f>IF(OR(COUNTIF('クラス'!$A$1:$A$1267,$B2974)&gt;0,$B2974="",$M2974=""),"",True)</f>
        <v/>
      </c>
      <c r="M2974" s="1" t="str">
        <f t="shared" si="31"/>
        <v>存在しない</v>
      </c>
      <c r="N2974" s="1" t="s">
        <v>29</v>
      </c>
      <c r="O2974" s="1"/>
      <c r="P2974" s="11"/>
      <c r="Q2974" s="11"/>
      <c r="R2974" s="11"/>
      <c r="S2974" s="11"/>
      <c r="T2974" s="1"/>
      <c r="U2974" s="1"/>
      <c r="V2974" s="1"/>
      <c r="W2974" s="1"/>
      <c r="X2974" s="1"/>
      <c r="Y2974" s="1"/>
      <c r="Z2974" s="1"/>
    </row>
    <row r="2975" ht="18.0" customHeight="1" collapsed="1">
      <c r="A2975" s="1"/>
      <c r="B2975" s="1"/>
      <c r="C2975" s="26" t="s">
        <v>2523</v>
      </c>
      <c r="D2975" s="1"/>
      <c r="E2975" s="14"/>
      <c r="F2975" s="15"/>
      <c r="G2975" s="16"/>
      <c r="H2975" s="11"/>
      <c r="I2975" s="7"/>
      <c r="J2975" s="7" t="str">
        <f>IFERROR(LET(_xlpm.v,
VLOOKUP($I2975,'用語辞書'!$A:$B,COLUMN('用語辞書'!B$1),FALSE),
IF(_xlpm.v=0,"",_xlpm.v)
),"")</f>
        <v/>
      </c>
      <c r="K2975" s="17"/>
      <c r="L2975" s="17" t="str">
        <f>IF(OR(COUNTIF('クラス'!$A$1:$A$1267,$B2975)&gt;0,$B2975="",$M2975=""),"",True)</f>
        <v/>
      </c>
      <c r="M2975" s="1" t="str">
        <f t="shared" si="31"/>
        <v>存在しない</v>
      </c>
      <c r="N2975" s="1" t="s">
        <v>29</v>
      </c>
      <c r="O2975" s="1"/>
      <c r="P2975" s="11"/>
      <c r="Q2975" s="11"/>
      <c r="R2975" s="11"/>
      <c r="S2975" s="11"/>
      <c r="T2975" s="1"/>
      <c r="U2975" s="1"/>
      <c r="V2975" s="1"/>
      <c r="W2975" s="1"/>
      <c r="X2975" s="1"/>
      <c r="Y2975" s="1"/>
      <c r="Z2975" s="1"/>
    </row>
    <row r="2976" ht="18.0" customHeight="1">
      <c r="A2976" s="1"/>
      <c r="B2976" s="26" t="s">
        <v>2524</v>
      </c>
      <c r="C2976" s="1"/>
      <c r="D2976" s="1"/>
      <c r="E2976" s="14"/>
      <c r="F2976" s="15"/>
      <c r="G2976" s="16"/>
      <c r="H2976" s="11"/>
      <c r="I2976" s="7"/>
      <c r="J2976" s="7" t="str">
        <f>IFERROR(LET(_xlpm.v,
VLOOKUP($I2976,'用語辞書'!$A:$B,COLUMN('用語辞書'!B$1),FALSE),
IF(_xlpm.v=0,"",_xlpm.v)
),"")</f>
        <v/>
      </c>
      <c r="K2976" s="17"/>
      <c r="L2976" s="17" t="str">
        <f>IF(OR(COUNTIF('クラス'!$A$1:$A$1267,$B2976)&gt;0,$B2976="",$M2976=""),"",True)</f>
        <v/>
      </c>
      <c r="M2976" s="1" t="str">
        <f t="shared" si="31"/>
        <v>存在しない</v>
      </c>
      <c r="N2976" s="1" t="s">
        <v>29</v>
      </c>
      <c r="O2976" s="1"/>
      <c r="P2976" s="11"/>
      <c r="Q2976" s="11"/>
      <c r="R2976" s="11"/>
      <c r="S2976" s="11"/>
      <c r="T2976" s="1"/>
      <c r="U2976" s="1"/>
      <c r="V2976" s="1"/>
      <c r="W2976" s="1"/>
      <c r="X2976" s="1"/>
      <c r="Y2976" s="1"/>
      <c r="Z2976" s="1"/>
    </row>
    <row r="2977" ht="18.0" hidden="1" customHeight="1" outlineLevel="1">
      <c r="A2977" s="26">
        <v>1.0</v>
      </c>
      <c r="B2977" s="26" t="s">
        <v>2525</v>
      </c>
      <c r="C2977" s="26" t="s">
        <v>33</v>
      </c>
      <c r="D2977" s="26">
        <v>50.0</v>
      </c>
      <c r="E2977" s="29" t="s">
        <v>2526</v>
      </c>
      <c r="F2977" s="15"/>
      <c r="G2977" s="16"/>
      <c r="H2977" s="11"/>
      <c r="I2977" s="7"/>
      <c r="J2977" s="7" t="str">
        <f>IFERROR(LET(_xlpm.v,
VLOOKUP($I2977,'用語辞書'!$A:$B,COLUMN('用語辞書'!B$1),FALSE),
IF(_xlpm.v=0,"",_xlpm.v)
),"")</f>
        <v/>
      </c>
      <c r="K2977" s="17"/>
      <c r="L2977" s="17" t="b">
        <f>IF(OR(COUNTIF('クラス'!$A$1:$A$1267,$B2977)&gt;0,$B2977="",$M2977=""),"",True)</f>
        <v>1</v>
      </c>
      <c r="M2977" s="1" t="str">
        <f t="shared" si="31"/>
        <v>存在しない</v>
      </c>
      <c r="N2977" s="1" t="s">
        <v>29</v>
      </c>
      <c r="O2977" s="1"/>
      <c r="P2977" s="11"/>
      <c r="Q2977" s="11"/>
      <c r="R2977" s="11"/>
      <c r="S2977" s="11"/>
      <c r="T2977" s="1"/>
      <c r="U2977" s="1"/>
      <c r="V2977" s="1"/>
      <c r="W2977" s="1"/>
      <c r="X2977" s="1"/>
      <c r="Y2977" s="1"/>
      <c r="Z2977" s="1"/>
    </row>
    <row r="2978" ht="18.0" hidden="1" customHeight="1" outlineLevel="1">
      <c r="A2978" s="26">
        <v>2.0</v>
      </c>
      <c r="B2978" s="26" t="s">
        <v>2527</v>
      </c>
      <c r="C2978" s="26" t="s">
        <v>33</v>
      </c>
      <c r="D2978" s="26">
        <v>50.0</v>
      </c>
      <c r="E2978" s="29" t="s">
        <v>2528</v>
      </c>
      <c r="F2978" s="15"/>
      <c r="G2978" s="16"/>
      <c r="H2978" s="11"/>
      <c r="I2978" s="7"/>
      <c r="J2978" s="7" t="str">
        <f>IFERROR(LET(_xlpm.v,
VLOOKUP($I2978,'用語辞書'!$A:$B,COLUMN('用語辞書'!B$1),FALSE),
IF(_xlpm.v=0,"",_xlpm.v)
),"")</f>
        <v/>
      </c>
      <c r="K2978" s="17"/>
      <c r="L2978" s="17" t="b">
        <f>IF(OR(COUNTIF('クラス'!$A$1:$A$1267,$B2978)&gt;0,$B2978="",$M2978=""),"",True)</f>
        <v>1</v>
      </c>
      <c r="M2978" s="1" t="str">
        <f t="shared" si="31"/>
        <v>存在しない</v>
      </c>
      <c r="N2978" s="1" t="s">
        <v>29</v>
      </c>
      <c r="O2978" s="1"/>
      <c r="P2978" s="11"/>
      <c r="Q2978" s="11"/>
      <c r="R2978" s="11"/>
      <c r="S2978" s="11"/>
      <c r="T2978" s="1"/>
      <c r="U2978" s="1"/>
      <c r="V2978" s="1"/>
      <c r="W2978" s="1"/>
      <c r="X2978" s="1"/>
      <c r="Y2978" s="1"/>
      <c r="Z2978" s="1"/>
    </row>
    <row r="2979" ht="18.0" hidden="1" customHeight="1" outlineLevel="1">
      <c r="A2979" s="26">
        <v>3.0</v>
      </c>
      <c r="B2979" s="26" t="s">
        <v>2529</v>
      </c>
      <c r="C2979" s="26" t="s">
        <v>55</v>
      </c>
      <c r="D2979" s="26" t="s">
        <v>2530</v>
      </c>
      <c r="E2979" s="14"/>
      <c r="F2979" s="15"/>
      <c r="G2979" s="16"/>
      <c r="H2979" s="11"/>
      <c r="I2979" s="7"/>
      <c r="J2979" s="7" t="str">
        <f>IFERROR(LET(_xlpm.v,
VLOOKUP($I2979,'用語辞書'!$A:$B,COLUMN('用語辞書'!B$1),FALSE),
IF(_xlpm.v=0,"",_xlpm.v)
),"")</f>
        <v/>
      </c>
      <c r="K2979" s="17"/>
      <c r="L2979" s="17" t="b">
        <f>IF(OR(COUNTIF('クラス'!$A$1:$A$1267,$B2979)&gt;0,$B2979="",$M2979=""),"",True)</f>
        <v>1</v>
      </c>
      <c r="M2979" s="1" t="str">
        <f t="shared" si="31"/>
        <v>存在しない</v>
      </c>
      <c r="N2979" s="1" t="s">
        <v>29</v>
      </c>
      <c r="O2979" s="1"/>
      <c r="P2979" s="11"/>
      <c r="Q2979" s="11"/>
      <c r="R2979" s="11"/>
      <c r="S2979" s="11"/>
      <c r="T2979" s="1"/>
      <c r="U2979" s="1"/>
      <c r="V2979" s="1"/>
      <c r="W2979" s="1"/>
      <c r="X2979" s="1"/>
      <c r="Y2979" s="1"/>
      <c r="Z2979" s="1"/>
    </row>
    <row r="2980" ht="18.0" hidden="1" customHeight="1" outlineLevel="1">
      <c r="A2980" s="26">
        <v>4.0</v>
      </c>
      <c r="B2980" s="1"/>
      <c r="C2980" s="1"/>
      <c r="D2980" s="1"/>
      <c r="E2980" s="14"/>
      <c r="F2980" s="15"/>
      <c r="G2980" s="16"/>
      <c r="H2980" s="11"/>
      <c r="I2980" s="7"/>
      <c r="J2980" s="7" t="str">
        <f>IFERROR(LET(_xlpm.v,
VLOOKUP($I2980,'用語辞書'!$A:$B,COLUMN('用語辞書'!B$1),FALSE),
IF(_xlpm.v=0,"",_xlpm.v)
),"")</f>
        <v/>
      </c>
      <c r="K2980" s="17"/>
      <c r="L2980" s="17" t="str">
        <f>IF(OR(COUNTIF('クラス'!$A$1:$A$1267,$B2980)&gt;0,$B2980="",$M2980=""),"",True)</f>
        <v/>
      </c>
      <c r="M2980" s="1" t="str">
        <f t="shared" si="31"/>
        <v>存在しない</v>
      </c>
      <c r="N2980" s="1" t="s">
        <v>29</v>
      </c>
      <c r="O2980" s="1"/>
      <c r="P2980" s="11"/>
      <c r="Q2980" s="11"/>
      <c r="R2980" s="11"/>
      <c r="S2980" s="11"/>
      <c r="T2980" s="1"/>
      <c r="U2980" s="1"/>
      <c r="V2980" s="1"/>
      <c r="W2980" s="1"/>
      <c r="X2980" s="1"/>
      <c r="Y2980" s="1"/>
      <c r="Z2980" s="1"/>
    </row>
    <row r="2981" ht="18.0" hidden="1" customHeight="1" outlineLevel="1">
      <c r="A2981" s="26">
        <v>5.0</v>
      </c>
      <c r="B2981" s="26" t="s">
        <v>2531</v>
      </c>
      <c r="C2981" s="26" t="s">
        <v>33</v>
      </c>
      <c r="D2981" s="26">
        <v>50.0</v>
      </c>
      <c r="E2981" s="29" t="s">
        <v>2532</v>
      </c>
      <c r="F2981" s="15"/>
      <c r="G2981" s="16"/>
      <c r="H2981" s="11"/>
      <c r="I2981" s="7"/>
      <c r="J2981" s="7" t="str">
        <f>IFERROR(LET(_xlpm.v,
VLOOKUP($I2981,'用語辞書'!$A:$B,COLUMN('用語辞書'!B$1),FALSE),
IF(_xlpm.v=0,"",_xlpm.v)
),"")</f>
        <v/>
      </c>
      <c r="K2981" s="17"/>
      <c r="L2981" s="17" t="b">
        <f>IF(OR(COUNTIF('クラス'!$A$1:$A$1267,$B2981)&gt;0,$B2981="",$M2981=""),"",True)</f>
        <v>1</v>
      </c>
      <c r="M2981" s="1" t="str">
        <f t="shared" si="31"/>
        <v>存在しない</v>
      </c>
      <c r="N2981" s="1" t="s">
        <v>29</v>
      </c>
      <c r="O2981" s="1"/>
      <c r="P2981" s="11"/>
      <c r="Q2981" s="11"/>
      <c r="R2981" s="11"/>
      <c r="S2981" s="11"/>
      <c r="T2981" s="1"/>
      <c r="U2981" s="1"/>
      <c r="V2981" s="1"/>
      <c r="W2981" s="1"/>
      <c r="X2981" s="1"/>
      <c r="Y2981" s="1"/>
      <c r="Z2981" s="1"/>
    </row>
    <row r="2982" ht="18.0" hidden="1" customHeight="1" outlineLevel="1">
      <c r="A2982" s="26">
        <v>6.0</v>
      </c>
      <c r="B2982" s="1"/>
      <c r="C2982" s="1"/>
      <c r="D2982" s="1"/>
      <c r="E2982" s="14"/>
      <c r="F2982" s="15"/>
      <c r="G2982" s="16"/>
      <c r="H2982" s="11"/>
      <c r="I2982" s="7"/>
      <c r="J2982" s="7" t="str">
        <f>IFERROR(LET(_xlpm.v,
VLOOKUP($I2982,'用語辞書'!$A:$B,COLUMN('用語辞書'!B$1),FALSE),
IF(_xlpm.v=0,"",_xlpm.v)
),"")</f>
        <v/>
      </c>
      <c r="K2982" s="17"/>
      <c r="L2982" s="17" t="str">
        <f>IF(OR(COUNTIF('クラス'!$A$1:$A$1267,$B2982)&gt;0,$B2982="",$M2982=""),"",True)</f>
        <v/>
      </c>
      <c r="M2982" s="1" t="str">
        <f t="shared" si="31"/>
        <v>存在しない</v>
      </c>
      <c r="N2982" s="1" t="s">
        <v>29</v>
      </c>
      <c r="O2982" s="1"/>
      <c r="P2982" s="11"/>
      <c r="Q2982" s="11"/>
      <c r="R2982" s="11"/>
      <c r="S2982" s="11"/>
      <c r="T2982" s="1"/>
      <c r="U2982" s="1"/>
      <c r="V2982" s="1"/>
      <c r="W2982" s="1"/>
      <c r="X2982" s="1"/>
      <c r="Y2982" s="1"/>
      <c r="Z2982" s="1"/>
    </row>
    <row r="2983" ht="18.0" hidden="1" customHeight="1" outlineLevel="1">
      <c r="A2983" s="26">
        <v>7.0</v>
      </c>
      <c r="B2983" s="26" t="s">
        <v>2533</v>
      </c>
      <c r="C2983" s="26" t="s">
        <v>33</v>
      </c>
      <c r="D2983" s="26">
        <v>60.0</v>
      </c>
      <c r="E2983" s="29" t="s">
        <v>2534</v>
      </c>
      <c r="F2983" s="15"/>
      <c r="G2983" s="16"/>
      <c r="H2983" s="11"/>
      <c r="I2983" s="7"/>
      <c r="J2983" s="7" t="str">
        <f>IFERROR(LET(_xlpm.v,
VLOOKUP($I2983,'用語辞書'!$A:$B,COLUMN('用語辞書'!B$1),FALSE),
IF(_xlpm.v=0,"",_xlpm.v)
),"")</f>
        <v/>
      </c>
      <c r="K2983" s="17"/>
      <c r="L2983" s="17" t="b">
        <f>IF(OR(COUNTIF('クラス'!$A$1:$A$1267,$B2983)&gt;0,$B2983="",$M2983=""),"",True)</f>
        <v>1</v>
      </c>
      <c r="M2983" s="1" t="str">
        <f t="shared" si="31"/>
        <v>存在しない</v>
      </c>
      <c r="N2983" s="1" t="s">
        <v>29</v>
      </c>
      <c r="O2983" s="1"/>
      <c r="P2983" s="11"/>
      <c r="Q2983" s="11"/>
      <c r="R2983" s="11"/>
      <c r="S2983" s="11"/>
      <c r="T2983" s="1"/>
      <c r="U2983" s="1"/>
      <c r="V2983" s="1"/>
      <c r="W2983" s="1"/>
      <c r="X2983" s="1"/>
      <c r="Y2983" s="1"/>
      <c r="Z2983" s="1"/>
    </row>
    <row r="2984" ht="18.0" hidden="1" customHeight="1" outlineLevel="1">
      <c r="A2984" s="26">
        <v>8.0</v>
      </c>
      <c r="B2984" s="1"/>
      <c r="C2984" s="1"/>
      <c r="D2984" s="1"/>
      <c r="E2984" s="14"/>
      <c r="F2984" s="15"/>
      <c r="G2984" s="16"/>
      <c r="H2984" s="11"/>
      <c r="I2984" s="7"/>
      <c r="J2984" s="7" t="str">
        <f>IFERROR(LET(_xlpm.v,
VLOOKUP($I2984,'用語辞書'!$A:$B,COLUMN('用語辞書'!B$1),FALSE),
IF(_xlpm.v=0,"",_xlpm.v)
),"")</f>
        <v/>
      </c>
      <c r="K2984" s="17"/>
      <c r="L2984" s="17" t="str">
        <f>IF(OR(COUNTIF('クラス'!$A$1:$A$1267,$B2984)&gt;0,$B2984="",$M2984=""),"",True)</f>
        <v/>
      </c>
      <c r="M2984" s="1" t="str">
        <f t="shared" si="31"/>
        <v>存在しない</v>
      </c>
      <c r="N2984" s="1" t="s">
        <v>29</v>
      </c>
      <c r="O2984" s="1"/>
      <c r="P2984" s="11"/>
      <c r="Q2984" s="11"/>
      <c r="R2984" s="11"/>
      <c r="S2984" s="11"/>
      <c r="T2984" s="1"/>
      <c r="U2984" s="1"/>
      <c r="V2984" s="1"/>
      <c r="W2984" s="1"/>
      <c r="X2984" s="1"/>
      <c r="Y2984" s="1"/>
      <c r="Z2984" s="1"/>
    </row>
    <row r="2985" ht="18.0" hidden="1" customHeight="1" outlineLevel="1">
      <c r="A2985" s="26">
        <v>9.0</v>
      </c>
      <c r="B2985" s="26" t="s">
        <v>2535</v>
      </c>
      <c r="C2985" s="26" t="s">
        <v>33</v>
      </c>
      <c r="D2985" s="26">
        <v>60.0</v>
      </c>
      <c r="E2985" s="29" t="s">
        <v>2536</v>
      </c>
      <c r="F2985" s="15"/>
      <c r="G2985" s="16"/>
      <c r="H2985" s="11"/>
      <c r="I2985" s="7"/>
      <c r="J2985" s="7" t="str">
        <f>IFERROR(LET(_xlpm.v,
VLOOKUP($I2985,'用語辞書'!$A:$B,COLUMN('用語辞書'!B$1),FALSE),
IF(_xlpm.v=0,"",_xlpm.v)
),"")</f>
        <v/>
      </c>
      <c r="K2985" s="17"/>
      <c r="L2985" s="17" t="b">
        <f>IF(OR(COUNTIF('クラス'!$A$1:$A$1267,$B2985)&gt;0,$B2985="",$M2985=""),"",True)</f>
        <v>1</v>
      </c>
      <c r="M2985" s="1" t="str">
        <f t="shared" si="31"/>
        <v>存在しない</v>
      </c>
      <c r="N2985" s="1" t="s">
        <v>29</v>
      </c>
      <c r="O2985" s="1"/>
      <c r="P2985" s="11"/>
      <c r="Q2985" s="11"/>
      <c r="R2985" s="11"/>
      <c r="S2985" s="11"/>
      <c r="T2985" s="1"/>
      <c r="U2985" s="1"/>
      <c r="V2985" s="1"/>
      <c r="W2985" s="1"/>
      <c r="X2985" s="1"/>
      <c r="Y2985" s="1"/>
      <c r="Z2985" s="1"/>
    </row>
    <row r="2986" ht="18.0" hidden="1" customHeight="1" outlineLevel="1">
      <c r="A2986" s="26">
        <v>10.0</v>
      </c>
      <c r="B2986" s="1"/>
      <c r="C2986" s="1"/>
      <c r="D2986" s="1"/>
      <c r="E2986" s="14"/>
      <c r="F2986" s="15"/>
      <c r="G2986" s="16"/>
      <c r="H2986" s="11"/>
      <c r="I2986" s="7"/>
      <c r="J2986" s="7" t="str">
        <f>IFERROR(LET(_xlpm.v,
VLOOKUP($I2986,'用語辞書'!$A:$B,COLUMN('用語辞書'!B$1),FALSE),
IF(_xlpm.v=0,"",_xlpm.v)
),"")</f>
        <v/>
      </c>
      <c r="K2986" s="17"/>
      <c r="L2986" s="17" t="str">
        <f>IF(OR(COUNTIF('クラス'!$A$1:$A$1267,$B2986)&gt;0,$B2986="",$M2986=""),"",True)</f>
        <v/>
      </c>
      <c r="M2986" s="1" t="str">
        <f t="shared" si="31"/>
        <v>存在しない</v>
      </c>
      <c r="N2986" s="1" t="s">
        <v>29</v>
      </c>
      <c r="O2986" s="1"/>
      <c r="P2986" s="11"/>
      <c r="Q2986" s="11"/>
      <c r="R2986" s="11"/>
      <c r="S2986" s="11"/>
      <c r="T2986" s="1"/>
      <c r="U2986" s="1"/>
      <c r="V2986" s="1"/>
      <c r="W2986" s="1"/>
      <c r="X2986" s="1"/>
      <c r="Y2986" s="1"/>
      <c r="Z2986" s="1"/>
    </row>
    <row r="2987" ht="18.0" customHeight="1" collapsed="1">
      <c r="A2987" s="1"/>
      <c r="B2987" s="1"/>
      <c r="C2987" s="1"/>
      <c r="D2987" s="1"/>
      <c r="E2987" s="14"/>
      <c r="F2987" s="15"/>
      <c r="G2987" s="16"/>
      <c r="H2987" s="11"/>
      <c r="I2987" s="7"/>
      <c r="J2987" s="7" t="str">
        <f>IFERROR(LET(_xlpm.v,
VLOOKUP($I2987,'用語辞書'!$A:$B,COLUMN('用語辞書'!B$1),FALSE),
IF(_xlpm.v=0,"",_xlpm.v)
),"")</f>
        <v/>
      </c>
      <c r="K2987" s="17"/>
      <c r="L2987" s="17" t="str">
        <f>IF(OR(COUNTIF('クラス'!$A$1:$A$1267,$B2987)&gt;0,$B2987="",$M2987=""),"",True)</f>
        <v/>
      </c>
      <c r="M2987" s="1" t="str">
        <f t="shared" si="31"/>
        <v>存在しない</v>
      </c>
      <c r="N2987" s="1" t="s">
        <v>29</v>
      </c>
      <c r="O2987" s="1"/>
      <c r="P2987" s="11"/>
      <c r="Q2987" s="11"/>
      <c r="R2987" s="11"/>
      <c r="S2987" s="11"/>
      <c r="T2987" s="1"/>
      <c r="U2987" s="1"/>
      <c r="V2987" s="1"/>
      <c r="W2987" s="1"/>
      <c r="X2987" s="1"/>
      <c r="Y2987" s="1"/>
      <c r="Z2987" s="1"/>
    </row>
    <row r="2988" ht="18.0" customHeight="1">
      <c r="A2988" s="1"/>
      <c r="B2988" s="26" t="s">
        <v>2537</v>
      </c>
      <c r="C2988" s="1"/>
      <c r="D2988" s="1"/>
      <c r="E2988" s="14"/>
      <c r="F2988" s="15"/>
      <c r="G2988" s="16"/>
      <c r="H2988" s="11"/>
      <c r="I2988" s="7"/>
      <c r="J2988" s="7" t="str">
        <f>IFERROR(LET(_xlpm.v,
VLOOKUP($I2988,'用語辞書'!$A:$B,COLUMN('用語辞書'!B$1),FALSE),
IF(_xlpm.v=0,"",_xlpm.v)
),"")</f>
        <v/>
      </c>
      <c r="K2988" s="17"/>
      <c r="L2988" s="17" t="str">
        <f>IF(OR(COUNTIF('クラス'!$A$1:$A$1267,$B2988)&gt;0,$B2988="",$M2988=""),"",True)</f>
        <v/>
      </c>
      <c r="M2988" s="1" t="str">
        <f t="shared" si="31"/>
        <v>存在しない</v>
      </c>
      <c r="N2988" s="1" t="s">
        <v>29</v>
      </c>
      <c r="O2988" s="1"/>
      <c r="P2988" s="11"/>
      <c r="Q2988" s="11"/>
      <c r="R2988" s="11"/>
      <c r="S2988" s="11"/>
      <c r="T2988" s="1"/>
      <c r="U2988" s="1"/>
      <c r="V2988" s="1"/>
      <c r="W2988" s="1"/>
      <c r="X2988" s="1"/>
      <c r="Y2988" s="1"/>
      <c r="Z2988" s="1"/>
    </row>
    <row r="2989" ht="18.0" hidden="1" customHeight="1" outlineLevel="1">
      <c r="A2989" s="1">
        <v>1.0</v>
      </c>
      <c r="B2989" s="1"/>
      <c r="C2989" s="1"/>
      <c r="D2989" s="1"/>
      <c r="E2989" s="14"/>
      <c r="F2989" s="15"/>
      <c r="G2989" s="16"/>
      <c r="H2989" s="11"/>
      <c r="I2989" s="7"/>
      <c r="J2989" s="7" t="str">
        <f>IFERROR(LET(_xlpm.v,
VLOOKUP($I2989,'用語辞書'!$A:$B,COLUMN('用語辞書'!B$1),FALSE),
IF(_xlpm.v=0,"",_xlpm.v)
),"")</f>
        <v/>
      </c>
      <c r="K2989" s="17"/>
      <c r="L2989" s="17" t="str">
        <f>IF(OR(COUNTIF('クラス'!$A$1:$A$1267,$B2989)&gt;0,$B2989="",$M2989=""),"",True)</f>
        <v/>
      </c>
      <c r="M2989" s="1" t="str">
        <f t="shared" si="31"/>
        <v>存在しない</v>
      </c>
      <c r="N2989" s="1" t="s">
        <v>29</v>
      </c>
      <c r="O2989" s="1"/>
      <c r="P2989" s="11"/>
      <c r="Q2989" s="11"/>
      <c r="R2989" s="11"/>
      <c r="S2989" s="11"/>
      <c r="T2989" s="1"/>
      <c r="U2989" s="1"/>
      <c r="V2989" s="1"/>
      <c r="W2989" s="1"/>
      <c r="X2989" s="1"/>
      <c r="Y2989" s="1"/>
      <c r="Z2989" s="1"/>
    </row>
    <row r="2990" ht="18.0" hidden="1" customHeight="1" outlineLevel="1">
      <c r="A2990" s="1">
        <v>2.0</v>
      </c>
      <c r="B2990" s="1"/>
      <c r="C2990" s="1"/>
      <c r="D2990" s="1"/>
      <c r="E2990" s="14"/>
      <c r="F2990" s="15"/>
      <c r="G2990" s="16"/>
      <c r="H2990" s="11"/>
      <c r="I2990" s="7"/>
      <c r="J2990" s="7" t="str">
        <f>IFERROR(LET(_xlpm.v,
VLOOKUP($I2990,'用語辞書'!$A:$B,COLUMN('用語辞書'!B$1),FALSE),
IF(_xlpm.v=0,"",_xlpm.v)
),"")</f>
        <v/>
      </c>
      <c r="K2990" s="17"/>
      <c r="L2990" s="17" t="str">
        <f>IF(OR(COUNTIF('クラス'!$A$1:$A$1267,$B2990)&gt;0,$B2990="",$M2990=""),"",True)</f>
        <v/>
      </c>
      <c r="M2990" s="1" t="str">
        <f t="shared" si="31"/>
        <v>存在しない</v>
      </c>
      <c r="N2990" s="1" t="s">
        <v>29</v>
      </c>
      <c r="O2990" s="1"/>
      <c r="P2990" s="11"/>
      <c r="Q2990" s="11"/>
      <c r="R2990" s="11"/>
      <c r="S2990" s="11"/>
      <c r="T2990" s="1"/>
      <c r="U2990" s="1"/>
      <c r="V2990" s="1"/>
      <c r="W2990" s="1"/>
      <c r="X2990" s="1"/>
      <c r="Y2990" s="1"/>
      <c r="Z2990" s="1"/>
    </row>
    <row r="2991" ht="18.0" hidden="1" customHeight="1" outlineLevel="1">
      <c r="A2991" s="1">
        <v>3.0</v>
      </c>
      <c r="B2991" s="1"/>
      <c r="C2991" s="1"/>
      <c r="D2991" s="1"/>
      <c r="E2991" s="14"/>
      <c r="F2991" s="15"/>
      <c r="G2991" s="16"/>
      <c r="H2991" s="11"/>
      <c r="I2991" s="7"/>
      <c r="J2991" s="7" t="str">
        <f>IFERROR(LET(_xlpm.v,
VLOOKUP($I2991,'用語辞書'!$A:$B,COLUMN('用語辞書'!B$1),FALSE),
IF(_xlpm.v=0,"",_xlpm.v)
),"")</f>
        <v/>
      </c>
      <c r="K2991" s="17"/>
      <c r="L2991" s="17" t="str">
        <f>IF(OR(COUNTIF('クラス'!$A$1:$A$1267,$B2991)&gt;0,$B2991="",$M2991=""),"",True)</f>
        <v/>
      </c>
      <c r="M2991" s="1" t="str">
        <f t="shared" si="31"/>
        <v>存在しない</v>
      </c>
      <c r="N2991" s="1" t="s">
        <v>29</v>
      </c>
      <c r="O2991" s="1"/>
      <c r="P2991" s="11"/>
      <c r="Q2991" s="11"/>
      <c r="R2991" s="11"/>
      <c r="S2991" s="11"/>
      <c r="T2991" s="1"/>
      <c r="U2991" s="1"/>
      <c r="V2991" s="1"/>
      <c r="W2991" s="1"/>
      <c r="X2991" s="1"/>
      <c r="Y2991" s="1"/>
      <c r="Z2991" s="1"/>
    </row>
    <row r="2992" ht="18.0" hidden="1" customHeight="1" outlineLevel="1">
      <c r="A2992" s="1">
        <v>4.0</v>
      </c>
      <c r="B2992" s="1"/>
      <c r="C2992" s="1"/>
      <c r="D2992" s="1"/>
      <c r="E2992" s="14"/>
      <c r="F2992" s="15"/>
      <c r="G2992" s="16"/>
      <c r="H2992" s="11"/>
      <c r="I2992" s="7"/>
      <c r="J2992" s="7" t="str">
        <f>IFERROR(LET(_xlpm.v,
VLOOKUP($I2992,'用語辞書'!$A:$B,COLUMN('用語辞書'!B$1),FALSE),
IF(_xlpm.v=0,"",_xlpm.v)
),"")</f>
        <v/>
      </c>
      <c r="K2992" s="17"/>
      <c r="L2992" s="17" t="str">
        <f>IF(OR(COUNTIF('クラス'!$A$1:$A$1267,$B2992)&gt;0,$B2992="",$M2992=""),"",True)</f>
        <v/>
      </c>
      <c r="M2992" s="1" t="str">
        <f t="shared" si="31"/>
        <v>存在しない</v>
      </c>
      <c r="N2992" s="1" t="s">
        <v>29</v>
      </c>
      <c r="O2992" s="1"/>
      <c r="P2992" s="11"/>
      <c r="Q2992" s="11"/>
      <c r="R2992" s="11"/>
      <c r="S2992" s="11"/>
      <c r="T2992" s="1"/>
      <c r="U2992" s="1"/>
      <c r="V2992" s="1"/>
      <c r="W2992" s="1"/>
      <c r="X2992" s="1"/>
      <c r="Y2992" s="1"/>
      <c r="Z2992" s="1"/>
    </row>
    <row r="2993" ht="18.0" hidden="1" customHeight="1" outlineLevel="1">
      <c r="A2993" s="1">
        <v>5.0</v>
      </c>
      <c r="B2993" s="1"/>
      <c r="C2993" s="1"/>
      <c r="D2993" s="1"/>
      <c r="E2993" s="14"/>
      <c r="F2993" s="15"/>
      <c r="G2993" s="16"/>
      <c r="H2993" s="11"/>
      <c r="I2993" s="7"/>
      <c r="J2993" s="7" t="str">
        <f>IFERROR(LET(_xlpm.v,
VLOOKUP($I2993,'用語辞書'!$A:$B,COLUMN('用語辞書'!B$1),FALSE),
IF(_xlpm.v=0,"",_xlpm.v)
),"")</f>
        <v/>
      </c>
      <c r="K2993" s="17"/>
      <c r="L2993" s="17" t="str">
        <f>IF(OR(COUNTIF('クラス'!$A$1:$A$1267,$B2993)&gt;0,$B2993="",$M2993=""),"",True)</f>
        <v/>
      </c>
      <c r="M2993" s="1" t="str">
        <f t="shared" si="31"/>
        <v>存在しない</v>
      </c>
      <c r="N2993" s="1" t="s">
        <v>29</v>
      </c>
      <c r="O2993" s="1"/>
      <c r="P2993" s="11"/>
      <c r="Q2993" s="11"/>
      <c r="R2993" s="11"/>
      <c r="S2993" s="11"/>
      <c r="T2993" s="1"/>
      <c r="U2993" s="1"/>
      <c r="V2993" s="1"/>
      <c r="W2993" s="1"/>
      <c r="X2993" s="1"/>
      <c r="Y2993" s="1"/>
      <c r="Z2993" s="1"/>
    </row>
    <row r="2994" ht="18.0" hidden="1" customHeight="1" outlineLevel="1">
      <c r="A2994" s="1">
        <v>6.0</v>
      </c>
      <c r="B2994" s="1"/>
      <c r="C2994" s="1"/>
      <c r="D2994" s="1"/>
      <c r="E2994" s="14"/>
      <c r="F2994" s="15"/>
      <c r="G2994" s="16"/>
      <c r="H2994" s="11"/>
      <c r="I2994" s="7"/>
      <c r="J2994" s="7" t="str">
        <f>IFERROR(LET(_xlpm.v,
VLOOKUP($I2994,'用語辞書'!$A:$B,COLUMN('用語辞書'!B$1),FALSE),
IF(_xlpm.v=0,"",_xlpm.v)
),"")</f>
        <v/>
      </c>
      <c r="K2994" s="17"/>
      <c r="L2994" s="17" t="str">
        <f>IF(OR(COUNTIF('クラス'!$A$1:$A$1267,$B2994)&gt;0,$B2994="",$M2994=""),"",True)</f>
        <v/>
      </c>
      <c r="M2994" s="1" t="str">
        <f t="shared" si="31"/>
        <v>存在しない</v>
      </c>
      <c r="N2994" s="1" t="s">
        <v>29</v>
      </c>
      <c r="O2994" s="1"/>
      <c r="P2994" s="11"/>
      <c r="Q2994" s="11"/>
      <c r="R2994" s="11"/>
      <c r="S2994" s="11"/>
      <c r="T2994" s="1"/>
      <c r="U2994" s="1"/>
      <c r="V2994" s="1"/>
      <c r="W2994" s="1"/>
      <c r="X2994" s="1"/>
      <c r="Y2994" s="1"/>
      <c r="Z2994" s="1"/>
    </row>
    <row r="2995" ht="18.0" hidden="1" customHeight="1" outlineLevel="1">
      <c r="A2995" s="1">
        <v>7.0</v>
      </c>
      <c r="B2995" s="1"/>
      <c r="C2995" s="1"/>
      <c r="D2995" s="1"/>
      <c r="E2995" s="14"/>
      <c r="F2995" s="15"/>
      <c r="G2995" s="16"/>
      <c r="H2995" s="11"/>
      <c r="I2995" s="7"/>
      <c r="J2995" s="7" t="str">
        <f>IFERROR(LET(_xlpm.v,
VLOOKUP($I2995,'用語辞書'!$A:$B,COLUMN('用語辞書'!B$1),FALSE),
IF(_xlpm.v=0,"",_xlpm.v)
),"")</f>
        <v/>
      </c>
      <c r="K2995" s="17"/>
      <c r="L2995" s="17" t="str">
        <f>IF(OR(COUNTIF('クラス'!$A$1:$A$1267,$B2995)&gt;0,$B2995="",$M2995=""),"",True)</f>
        <v/>
      </c>
      <c r="M2995" s="1" t="str">
        <f t="shared" si="31"/>
        <v>存在しない</v>
      </c>
      <c r="N2995" s="1" t="s">
        <v>29</v>
      </c>
      <c r="O2995" s="1"/>
      <c r="P2995" s="11"/>
      <c r="Q2995" s="11"/>
      <c r="R2995" s="11"/>
      <c r="S2995" s="11"/>
      <c r="T2995" s="1"/>
      <c r="U2995" s="1"/>
      <c r="V2995" s="1"/>
      <c r="W2995" s="1"/>
      <c r="X2995" s="1"/>
      <c r="Y2995" s="1"/>
      <c r="Z2995" s="1"/>
    </row>
    <row r="2996" ht="18.0" hidden="1" customHeight="1" outlineLevel="1">
      <c r="A2996" s="1">
        <v>8.0</v>
      </c>
      <c r="B2996" s="1"/>
      <c r="C2996" s="1"/>
      <c r="D2996" s="1"/>
      <c r="E2996" s="14"/>
      <c r="F2996" s="15"/>
      <c r="G2996" s="16"/>
      <c r="H2996" s="11"/>
      <c r="I2996" s="7"/>
      <c r="J2996" s="7" t="str">
        <f>IFERROR(LET(_xlpm.v,
VLOOKUP($I2996,'用語辞書'!$A:$B,COLUMN('用語辞書'!B$1),FALSE),
IF(_xlpm.v=0,"",_xlpm.v)
),"")</f>
        <v/>
      </c>
      <c r="K2996" s="17"/>
      <c r="L2996" s="17" t="str">
        <f>IF(OR(COUNTIF('クラス'!$A$1:$A$1267,$B2996)&gt;0,$B2996="",$M2996=""),"",True)</f>
        <v/>
      </c>
      <c r="M2996" s="1" t="str">
        <f t="shared" si="31"/>
        <v>存在しない</v>
      </c>
      <c r="N2996" s="1" t="s">
        <v>29</v>
      </c>
      <c r="O2996" s="1"/>
      <c r="P2996" s="11"/>
      <c r="Q2996" s="11"/>
      <c r="R2996" s="11"/>
      <c r="S2996" s="11"/>
      <c r="T2996" s="1"/>
      <c r="U2996" s="1"/>
      <c r="V2996" s="1"/>
      <c r="W2996" s="1"/>
      <c r="X2996" s="1"/>
      <c r="Y2996" s="1"/>
      <c r="Z2996" s="1"/>
    </row>
    <row r="2997" ht="18.0" hidden="1" customHeight="1" outlineLevel="1">
      <c r="A2997" s="1">
        <v>9.0</v>
      </c>
      <c r="B2997" s="1"/>
      <c r="C2997" s="1"/>
      <c r="D2997" s="1"/>
      <c r="E2997" s="14"/>
      <c r="F2997" s="15"/>
      <c r="G2997" s="16"/>
      <c r="H2997" s="11"/>
      <c r="I2997" s="7"/>
      <c r="J2997" s="7" t="str">
        <f>IFERROR(LET(_xlpm.v,
VLOOKUP($I2997,'用語辞書'!$A:$B,COLUMN('用語辞書'!B$1),FALSE),
IF(_xlpm.v=0,"",_xlpm.v)
),"")</f>
        <v/>
      </c>
      <c r="K2997" s="17"/>
      <c r="L2997" s="17" t="str">
        <f>IF(OR(COUNTIF('クラス'!$A$1:$A$1267,$B2997)&gt;0,$B2997="",$M2997=""),"",True)</f>
        <v/>
      </c>
      <c r="M2997" s="1" t="str">
        <f t="shared" si="31"/>
        <v>存在しない</v>
      </c>
      <c r="N2997" s="1" t="s">
        <v>29</v>
      </c>
      <c r="O2997" s="1"/>
      <c r="P2997" s="11"/>
      <c r="Q2997" s="11"/>
      <c r="R2997" s="11"/>
      <c r="S2997" s="11"/>
      <c r="T2997" s="1"/>
      <c r="U2997" s="1"/>
      <c r="V2997" s="1"/>
      <c r="W2997" s="1"/>
      <c r="X2997" s="1"/>
      <c r="Y2997" s="1"/>
      <c r="Z2997" s="1"/>
    </row>
    <row r="2998" ht="18.0" hidden="1" customHeight="1" outlineLevel="1">
      <c r="A2998" s="1">
        <v>10.0</v>
      </c>
      <c r="B2998" s="1"/>
      <c r="C2998" s="1"/>
      <c r="D2998" s="1"/>
      <c r="E2998" s="14"/>
      <c r="F2998" s="15"/>
      <c r="G2998" s="16"/>
      <c r="H2998" s="11"/>
      <c r="I2998" s="7"/>
      <c r="J2998" s="7" t="str">
        <f>IFERROR(LET(_xlpm.v,
VLOOKUP($I2998,'用語辞書'!$A:$B,COLUMN('用語辞書'!B$1),FALSE),
IF(_xlpm.v=0,"",_xlpm.v)
),"")</f>
        <v/>
      </c>
      <c r="K2998" s="17"/>
      <c r="L2998" s="17" t="str">
        <f>IF(OR(COUNTIF('クラス'!$A$1:$A$1267,$B2998)&gt;0,$B2998="",$M2998=""),"",True)</f>
        <v/>
      </c>
      <c r="M2998" s="1" t="str">
        <f t="shared" si="31"/>
        <v>存在しない</v>
      </c>
      <c r="N2998" s="1" t="s">
        <v>29</v>
      </c>
      <c r="O2998" s="1"/>
      <c r="P2998" s="11"/>
      <c r="Q2998" s="11"/>
      <c r="R2998" s="11"/>
      <c r="S2998" s="11"/>
      <c r="T2998" s="1"/>
      <c r="U2998" s="1"/>
      <c r="V2998" s="1"/>
      <c r="W2998" s="1"/>
      <c r="X2998" s="1"/>
      <c r="Y2998" s="1"/>
      <c r="Z2998" s="1"/>
    </row>
    <row r="2999" ht="18.0" customHeight="1" collapsed="1">
      <c r="A2999" s="1"/>
      <c r="B2999" s="1"/>
      <c r="C2999" s="1"/>
      <c r="D2999" s="1"/>
      <c r="E2999" s="14"/>
      <c r="F2999" s="15"/>
      <c r="G2999" s="16"/>
      <c r="H2999" s="11"/>
      <c r="I2999" s="7"/>
      <c r="J2999" s="7" t="str">
        <f>IFERROR(LET(_xlpm.v,
VLOOKUP($I2999,'用語辞書'!$A:$B,COLUMN('用語辞書'!B$1),FALSE),
IF(_xlpm.v=0,"",_xlpm.v)
),"")</f>
        <v/>
      </c>
      <c r="K2999" s="17"/>
      <c r="L2999" s="17" t="str">
        <f>IF(OR(COUNTIF('クラス'!$A$1:$A$1267,$B2999)&gt;0,$B2999="",$M2999=""),"",True)</f>
        <v/>
      </c>
      <c r="M2999" s="1" t="str">
        <f t="shared" si="31"/>
        <v>存在しない</v>
      </c>
      <c r="N2999" s="1" t="s">
        <v>29</v>
      </c>
      <c r="O2999" s="1"/>
      <c r="P2999" s="11"/>
      <c r="Q2999" s="11"/>
      <c r="R2999" s="11"/>
      <c r="S2999" s="11"/>
      <c r="T2999" s="1"/>
      <c r="U2999" s="1"/>
      <c r="V2999" s="1"/>
      <c r="W2999" s="1"/>
      <c r="X2999" s="1"/>
      <c r="Y2999" s="1"/>
      <c r="Z2999" s="1"/>
    </row>
    <row r="3000" ht="18.0" customHeight="1">
      <c r="A3000" s="1"/>
      <c r="B3000" s="26" t="s">
        <v>2538</v>
      </c>
      <c r="C3000" s="1"/>
      <c r="D3000" s="1"/>
      <c r="E3000" s="14"/>
      <c r="F3000" s="15"/>
      <c r="G3000" s="16"/>
      <c r="H3000" s="11"/>
      <c r="I3000" s="7"/>
      <c r="J3000" s="7" t="str">
        <f>IFERROR(LET(_xlpm.v,
VLOOKUP($I3000,'用語辞書'!$A:$B,COLUMN('用語辞書'!B$1),FALSE),
IF(_xlpm.v=0,"",_xlpm.v)
),"")</f>
        <v/>
      </c>
      <c r="K3000" s="17"/>
      <c r="L3000" s="17" t="str">
        <f>IF(OR(COUNTIF('クラス'!$A$1:$A$1267,$B3000)&gt;0,$B3000="",$M3000=""),"",True)</f>
        <v/>
      </c>
      <c r="M3000" s="1" t="str">
        <f t="shared" si="31"/>
        <v>存在しない</v>
      </c>
      <c r="N3000" s="1" t="s">
        <v>29</v>
      </c>
      <c r="O3000" s="1"/>
      <c r="P3000" s="11"/>
      <c r="Q3000" s="11"/>
      <c r="R3000" s="11"/>
      <c r="S3000" s="11"/>
      <c r="T3000" s="1"/>
      <c r="U3000" s="1"/>
      <c r="V3000" s="1"/>
      <c r="W3000" s="1"/>
      <c r="X3000" s="1"/>
      <c r="Y3000" s="1"/>
      <c r="Z3000" s="1"/>
    </row>
    <row r="3001" ht="18.0" hidden="1" customHeight="1" outlineLevel="1">
      <c r="A3001" s="1">
        <v>1.0</v>
      </c>
      <c r="B3001" s="1"/>
      <c r="C3001" s="1"/>
      <c r="D3001" s="1"/>
      <c r="E3001" s="14"/>
      <c r="F3001" s="15"/>
      <c r="G3001" s="16"/>
      <c r="H3001" s="11"/>
      <c r="I3001" s="7"/>
      <c r="J3001" s="7" t="str">
        <f>IFERROR(LET(_xlpm.v,
VLOOKUP($I3001,'用語辞書'!$A:$B,COLUMN('用語辞書'!B$1),FALSE),
IF(_xlpm.v=0,"",_xlpm.v)
),"")</f>
        <v/>
      </c>
      <c r="K3001" s="17"/>
      <c r="L3001" s="17" t="str">
        <f>IF(OR(COUNTIF('クラス'!$A$1:$A$1267,$B3001)&gt;0,$B3001="",$M3001=""),"",True)</f>
        <v/>
      </c>
      <c r="M3001" s="1" t="str">
        <f t="shared" si="31"/>
        <v>存在しない</v>
      </c>
      <c r="N3001" s="1" t="s">
        <v>29</v>
      </c>
      <c r="O3001" s="1"/>
      <c r="P3001" s="11"/>
      <c r="Q3001" s="11"/>
      <c r="R3001" s="11"/>
      <c r="S3001" s="11"/>
      <c r="T3001" s="1"/>
      <c r="U3001" s="1"/>
      <c r="V3001" s="1"/>
      <c r="W3001" s="1"/>
      <c r="X3001" s="1"/>
      <c r="Y3001" s="1"/>
      <c r="Z3001" s="1"/>
    </row>
    <row r="3002" ht="18.0" hidden="1" customHeight="1" outlineLevel="1">
      <c r="A3002" s="1">
        <v>2.0</v>
      </c>
      <c r="B3002" s="1"/>
      <c r="C3002" s="1"/>
      <c r="D3002" s="1"/>
      <c r="E3002" s="14"/>
      <c r="F3002" s="15"/>
      <c r="G3002" s="16"/>
      <c r="H3002" s="11"/>
      <c r="I3002" s="7"/>
      <c r="J3002" s="7" t="str">
        <f>IFERROR(LET(_xlpm.v,
VLOOKUP($I3002,'用語辞書'!$A:$B,COLUMN('用語辞書'!B$1),FALSE),
IF(_xlpm.v=0,"",_xlpm.v)
),"")</f>
        <v/>
      </c>
      <c r="K3002" s="17"/>
      <c r="L3002" s="17" t="str">
        <f>IF(OR(COUNTIF('クラス'!$A$1:$A$1267,$B3002)&gt;0,$B3002="",$M3002=""),"",True)</f>
        <v/>
      </c>
      <c r="M3002" s="1" t="str">
        <f t="shared" si="31"/>
        <v>存在しない</v>
      </c>
      <c r="N3002" s="1" t="s">
        <v>29</v>
      </c>
      <c r="O3002" s="1"/>
      <c r="P3002" s="11"/>
      <c r="Q3002" s="11"/>
      <c r="R3002" s="11"/>
      <c r="S3002" s="11"/>
      <c r="T3002" s="1"/>
      <c r="U3002" s="1"/>
      <c r="V3002" s="1"/>
      <c r="W3002" s="1"/>
      <c r="X3002" s="1"/>
      <c r="Y3002" s="1"/>
      <c r="Z3002" s="1"/>
    </row>
    <row r="3003" ht="18.0" hidden="1" customHeight="1" outlineLevel="1">
      <c r="A3003" s="1">
        <v>3.0</v>
      </c>
      <c r="B3003" s="1"/>
      <c r="C3003" s="1"/>
      <c r="D3003" s="1"/>
      <c r="E3003" s="14"/>
      <c r="F3003" s="15"/>
      <c r="G3003" s="16"/>
      <c r="H3003" s="11"/>
      <c r="I3003" s="7"/>
      <c r="J3003" s="7" t="str">
        <f>IFERROR(LET(_xlpm.v,
VLOOKUP($I3003,'用語辞書'!$A:$B,COLUMN('用語辞書'!B$1),FALSE),
IF(_xlpm.v=0,"",_xlpm.v)
),"")</f>
        <v/>
      </c>
      <c r="K3003" s="17"/>
      <c r="L3003" s="17" t="str">
        <f>IF(OR(COUNTIF('クラス'!$A$1:$A$1267,$B3003)&gt;0,$B3003="",$M3003=""),"",True)</f>
        <v/>
      </c>
      <c r="M3003" s="1" t="str">
        <f t="shared" si="31"/>
        <v>存在しない</v>
      </c>
      <c r="N3003" s="1" t="s">
        <v>29</v>
      </c>
      <c r="O3003" s="1"/>
      <c r="P3003" s="11"/>
      <c r="Q3003" s="11"/>
      <c r="R3003" s="11"/>
      <c r="S3003" s="11"/>
      <c r="T3003" s="1"/>
      <c r="U3003" s="1"/>
      <c r="V3003" s="1"/>
      <c r="W3003" s="1"/>
      <c r="X3003" s="1"/>
      <c r="Y3003" s="1"/>
      <c r="Z3003" s="1"/>
    </row>
    <row r="3004" ht="18.0" hidden="1" customHeight="1" outlineLevel="1">
      <c r="A3004" s="1">
        <v>4.0</v>
      </c>
      <c r="B3004" s="1"/>
      <c r="C3004" s="1"/>
      <c r="D3004" s="1"/>
      <c r="E3004" s="14"/>
      <c r="F3004" s="15"/>
      <c r="G3004" s="16"/>
      <c r="H3004" s="11"/>
      <c r="I3004" s="7"/>
      <c r="J3004" s="7" t="str">
        <f>IFERROR(LET(_xlpm.v,
VLOOKUP($I3004,'用語辞書'!$A:$B,COLUMN('用語辞書'!B$1),FALSE),
IF(_xlpm.v=0,"",_xlpm.v)
),"")</f>
        <v/>
      </c>
      <c r="K3004" s="17"/>
      <c r="L3004" s="17" t="str">
        <f>IF(OR(COUNTIF('クラス'!$A$1:$A$1267,$B3004)&gt;0,$B3004="",$M3004=""),"",True)</f>
        <v/>
      </c>
      <c r="M3004" s="1" t="str">
        <f t="shared" si="31"/>
        <v>存在しない</v>
      </c>
      <c r="N3004" s="1" t="s">
        <v>29</v>
      </c>
      <c r="O3004" s="1"/>
      <c r="P3004" s="11"/>
      <c r="Q3004" s="11"/>
      <c r="R3004" s="11"/>
      <c r="S3004" s="11"/>
      <c r="T3004" s="1"/>
      <c r="U3004" s="1"/>
      <c r="V3004" s="1"/>
      <c r="W3004" s="1"/>
      <c r="X3004" s="1"/>
      <c r="Y3004" s="1"/>
      <c r="Z3004" s="1"/>
    </row>
    <row r="3005" ht="18.0" hidden="1" customHeight="1" outlineLevel="1">
      <c r="A3005" s="1">
        <v>5.0</v>
      </c>
      <c r="B3005" s="1"/>
      <c r="C3005" s="1"/>
      <c r="D3005" s="1"/>
      <c r="E3005" s="14"/>
      <c r="F3005" s="15"/>
      <c r="G3005" s="16"/>
      <c r="H3005" s="11"/>
      <c r="I3005" s="7"/>
      <c r="J3005" s="7" t="str">
        <f>IFERROR(LET(_xlpm.v,
VLOOKUP($I3005,'用語辞書'!$A:$B,COLUMN('用語辞書'!B$1),FALSE),
IF(_xlpm.v=0,"",_xlpm.v)
),"")</f>
        <v/>
      </c>
      <c r="K3005" s="17"/>
      <c r="L3005" s="17" t="str">
        <f>IF(OR(COUNTIF('クラス'!$A$1:$A$1267,$B3005)&gt;0,$B3005="",$M3005=""),"",True)</f>
        <v/>
      </c>
      <c r="M3005" s="1" t="str">
        <f t="shared" si="31"/>
        <v>存在しない</v>
      </c>
      <c r="N3005" s="1" t="s">
        <v>29</v>
      </c>
      <c r="O3005" s="1"/>
      <c r="P3005" s="11"/>
      <c r="Q3005" s="11"/>
      <c r="R3005" s="11"/>
      <c r="S3005" s="11"/>
      <c r="T3005" s="1"/>
      <c r="U3005" s="1"/>
      <c r="V3005" s="1"/>
      <c r="W3005" s="1"/>
      <c r="X3005" s="1"/>
      <c r="Y3005" s="1"/>
      <c r="Z3005" s="1"/>
    </row>
    <row r="3006" ht="18.0" hidden="1" customHeight="1" outlineLevel="1">
      <c r="A3006" s="1">
        <v>6.0</v>
      </c>
      <c r="B3006" s="1"/>
      <c r="C3006" s="1"/>
      <c r="D3006" s="1"/>
      <c r="E3006" s="14"/>
      <c r="F3006" s="15"/>
      <c r="G3006" s="16"/>
      <c r="H3006" s="11"/>
      <c r="I3006" s="7"/>
      <c r="J3006" s="7" t="str">
        <f>IFERROR(LET(_xlpm.v,
VLOOKUP($I3006,'用語辞書'!$A:$B,COLUMN('用語辞書'!B$1),FALSE),
IF(_xlpm.v=0,"",_xlpm.v)
),"")</f>
        <v/>
      </c>
      <c r="K3006" s="17"/>
      <c r="L3006" s="17" t="str">
        <f>IF(OR(COUNTIF('クラス'!$A$1:$A$1267,$B3006)&gt;0,$B3006="",$M3006=""),"",True)</f>
        <v/>
      </c>
      <c r="M3006" s="1" t="str">
        <f t="shared" si="31"/>
        <v>存在しない</v>
      </c>
      <c r="N3006" s="1" t="s">
        <v>29</v>
      </c>
      <c r="O3006" s="1"/>
      <c r="P3006" s="11"/>
      <c r="Q3006" s="11"/>
      <c r="R3006" s="11"/>
      <c r="S3006" s="11"/>
      <c r="T3006" s="1"/>
      <c r="U3006" s="1"/>
      <c r="V3006" s="1"/>
      <c r="W3006" s="1"/>
      <c r="X3006" s="1"/>
      <c r="Y3006" s="1"/>
      <c r="Z3006" s="1"/>
    </row>
    <row r="3007" ht="18.0" hidden="1" customHeight="1" outlineLevel="1">
      <c r="A3007" s="1">
        <v>7.0</v>
      </c>
      <c r="B3007" s="1"/>
      <c r="C3007" s="1"/>
      <c r="D3007" s="1"/>
      <c r="E3007" s="14"/>
      <c r="F3007" s="15"/>
      <c r="G3007" s="16"/>
      <c r="H3007" s="11"/>
      <c r="I3007" s="7"/>
      <c r="J3007" s="7" t="str">
        <f>IFERROR(LET(_xlpm.v,
VLOOKUP($I3007,'用語辞書'!$A:$B,COLUMN('用語辞書'!B$1),FALSE),
IF(_xlpm.v=0,"",_xlpm.v)
),"")</f>
        <v/>
      </c>
      <c r="K3007" s="17"/>
      <c r="L3007" s="17" t="str">
        <f>IF(OR(COUNTIF('クラス'!$A$1:$A$1267,$B3007)&gt;0,$B3007="",$M3007=""),"",True)</f>
        <v/>
      </c>
      <c r="M3007" s="1" t="str">
        <f t="shared" si="31"/>
        <v>存在しない</v>
      </c>
      <c r="N3007" s="1" t="s">
        <v>29</v>
      </c>
      <c r="O3007" s="1"/>
      <c r="P3007" s="11"/>
      <c r="Q3007" s="11"/>
      <c r="R3007" s="11"/>
      <c r="S3007" s="11"/>
      <c r="T3007" s="1"/>
      <c r="U3007" s="1"/>
      <c r="V3007" s="1"/>
      <c r="W3007" s="1"/>
      <c r="X3007" s="1"/>
      <c r="Y3007" s="1"/>
      <c r="Z3007" s="1"/>
    </row>
    <row r="3008" ht="18.0" hidden="1" customHeight="1" outlineLevel="1">
      <c r="A3008" s="1">
        <v>8.0</v>
      </c>
      <c r="B3008" s="1"/>
      <c r="C3008" s="1"/>
      <c r="D3008" s="1"/>
      <c r="E3008" s="14"/>
      <c r="F3008" s="15"/>
      <c r="G3008" s="16"/>
      <c r="H3008" s="11"/>
      <c r="I3008" s="7"/>
      <c r="J3008" s="7" t="str">
        <f>IFERROR(LET(_xlpm.v,
VLOOKUP($I3008,'用語辞書'!$A:$B,COLUMN('用語辞書'!B$1),FALSE),
IF(_xlpm.v=0,"",_xlpm.v)
),"")</f>
        <v/>
      </c>
      <c r="K3008" s="17"/>
      <c r="L3008" s="17" t="str">
        <f>IF(OR(COUNTIF('クラス'!$A$1:$A$1267,$B3008)&gt;0,$B3008="",$M3008=""),"",True)</f>
        <v/>
      </c>
      <c r="M3008" s="1" t="str">
        <f t="shared" si="31"/>
        <v>存在しない</v>
      </c>
      <c r="N3008" s="1" t="s">
        <v>29</v>
      </c>
      <c r="O3008" s="1"/>
      <c r="P3008" s="11"/>
      <c r="Q3008" s="11"/>
      <c r="R3008" s="11"/>
      <c r="S3008" s="11"/>
      <c r="T3008" s="1"/>
      <c r="U3008" s="1"/>
      <c r="V3008" s="1"/>
      <c r="W3008" s="1"/>
      <c r="X3008" s="1"/>
      <c r="Y3008" s="1"/>
      <c r="Z3008" s="1"/>
    </row>
    <row r="3009" ht="18.0" hidden="1" customHeight="1" outlineLevel="1">
      <c r="A3009" s="1">
        <v>9.0</v>
      </c>
      <c r="B3009" s="1"/>
      <c r="C3009" s="1"/>
      <c r="D3009" s="1"/>
      <c r="E3009" s="14"/>
      <c r="F3009" s="15"/>
      <c r="G3009" s="16"/>
      <c r="H3009" s="11"/>
      <c r="I3009" s="7"/>
      <c r="J3009" s="7" t="str">
        <f>IFERROR(LET(_xlpm.v,
VLOOKUP($I3009,'用語辞書'!$A:$B,COLUMN('用語辞書'!B$1),FALSE),
IF(_xlpm.v=0,"",_xlpm.v)
),"")</f>
        <v/>
      </c>
      <c r="K3009" s="17"/>
      <c r="L3009" s="17" t="str">
        <f>IF(OR(COUNTIF('クラス'!$A$1:$A$1267,$B3009)&gt;0,$B3009="",$M3009=""),"",True)</f>
        <v/>
      </c>
      <c r="M3009" s="1" t="str">
        <f t="shared" si="31"/>
        <v>存在しない</v>
      </c>
      <c r="N3009" s="1" t="s">
        <v>29</v>
      </c>
      <c r="O3009" s="1"/>
      <c r="P3009" s="11"/>
      <c r="Q3009" s="11"/>
      <c r="R3009" s="11"/>
      <c r="S3009" s="11"/>
      <c r="T3009" s="1"/>
      <c r="U3009" s="1"/>
      <c r="V3009" s="1"/>
      <c r="W3009" s="1"/>
      <c r="X3009" s="1"/>
      <c r="Y3009" s="1"/>
      <c r="Z3009" s="1"/>
    </row>
    <row r="3010" ht="18.0" hidden="1" customHeight="1" outlineLevel="1">
      <c r="A3010" s="1">
        <v>10.0</v>
      </c>
      <c r="B3010" s="1"/>
      <c r="C3010" s="1"/>
      <c r="D3010" s="1"/>
      <c r="E3010" s="14"/>
      <c r="F3010" s="15"/>
      <c r="G3010" s="16"/>
      <c r="H3010" s="11"/>
      <c r="I3010" s="7"/>
      <c r="J3010" s="7" t="str">
        <f>IFERROR(LET(_xlpm.v,
VLOOKUP($I3010,'用語辞書'!$A:$B,COLUMN('用語辞書'!B$1),FALSE),
IF(_xlpm.v=0,"",_xlpm.v)
),"")</f>
        <v/>
      </c>
      <c r="K3010" s="17"/>
      <c r="L3010" s="17" t="str">
        <f>IF(OR(COUNTIF('クラス'!$A$1:$A$1267,$B3010)&gt;0,$B3010="",$M3010=""),"",True)</f>
        <v/>
      </c>
      <c r="M3010" s="1" t="str">
        <f t="shared" si="31"/>
        <v>存在しない</v>
      </c>
      <c r="N3010" s="1" t="s">
        <v>29</v>
      </c>
      <c r="O3010" s="1"/>
      <c r="P3010" s="11"/>
      <c r="Q3010" s="11"/>
      <c r="R3010" s="11"/>
      <c r="S3010" s="11"/>
      <c r="T3010" s="1"/>
      <c r="U3010" s="1"/>
      <c r="V3010" s="1"/>
      <c r="W3010" s="1"/>
      <c r="X3010" s="1"/>
      <c r="Y3010" s="1"/>
      <c r="Z3010" s="1"/>
    </row>
    <row r="3011" ht="18.0" customHeight="1" collapsed="1">
      <c r="A3011" s="1"/>
      <c r="B3011" s="1"/>
      <c r="C3011" s="26" t="s">
        <v>2539</v>
      </c>
      <c r="D3011" s="1"/>
      <c r="E3011" s="14"/>
      <c r="F3011" s="15"/>
      <c r="G3011" s="16"/>
      <c r="H3011" s="11"/>
      <c r="I3011" s="7"/>
      <c r="J3011" s="7" t="str">
        <f>IFERROR(LET(_xlpm.v,
VLOOKUP($I3011,'用語辞書'!$A:$B,COLUMN('用語辞書'!B$1),FALSE),
IF(_xlpm.v=0,"",_xlpm.v)
),"")</f>
        <v/>
      </c>
      <c r="K3011" s="17"/>
      <c r="L3011" s="17" t="str">
        <f>IF(OR(COUNTIF('クラス'!$A$1:$A$1267,$B3011)&gt;0,$B3011="",$M3011=""),"",True)</f>
        <v/>
      </c>
      <c r="M3011" s="1" t="str">
        <f t="shared" si="31"/>
        <v>存在しない</v>
      </c>
      <c r="N3011" s="1" t="s">
        <v>29</v>
      </c>
      <c r="O3011" s="1"/>
      <c r="P3011" s="11"/>
      <c r="Q3011" s="11"/>
      <c r="R3011" s="11"/>
      <c r="S3011" s="11"/>
      <c r="T3011" s="1"/>
      <c r="U3011" s="1"/>
      <c r="V3011" s="1"/>
      <c r="W3011" s="1"/>
      <c r="X3011" s="1"/>
      <c r="Y3011" s="1"/>
      <c r="Z3011" s="1"/>
    </row>
    <row r="3012" ht="18.0" hidden="1" customHeight="1" outlineLevel="1">
      <c r="A3012" s="1"/>
      <c r="B3012" s="26" t="s">
        <v>2540</v>
      </c>
      <c r="C3012" s="1"/>
      <c r="D3012" s="1"/>
      <c r="E3012" s="14"/>
      <c r="F3012" s="15"/>
      <c r="G3012" s="16"/>
      <c r="H3012" s="11"/>
      <c r="I3012" s="7"/>
      <c r="J3012" s="7" t="str">
        <f>IFERROR(LET(_xlpm.v,
VLOOKUP($I3012,'用語辞書'!$A:$B,COLUMN('用語辞書'!B$1),FALSE),
IF(_xlpm.v=0,"",_xlpm.v)
),"")</f>
        <v/>
      </c>
      <c r="K3012" s="17"/>
      <c r="L3012" s="17" t="str">
        <f>IF(OR(COUNTIF('クラス'!$A$1:$A$1267,$B3012)&gt;0,$B3012="",$M3012=""),"",True)</f>
        <v/>
      </c>
      <c r="M3012" s="1" t="str">
        <f t="shared" si="31"/>
        <v>存在しない</v>
      </c>
      <c r="N3012" s="1" t="s">
        <v>29</v>
      </c>
      <c r="O3012" s="1"/>
      <c r="P3012" s="11"/>
      <c r="Q3012" s="11"/>
      <c r="R3012" s="11"/>
      <c r="S3012" s="11"/>
      <c r="T3012" s="1"/>
      <c r="U3012" s="1"/>
      <c r="V3012" s="1"/>
      <c r="W3012" s="1"/>
      <c r="X3012" s="1"/>
      <c r="Y3012" s="1"/>
      <c r="Z3012" s="1"/>
    </row>
    <row r="3013" ht="18.0" hidden="1" customHeight="1" outlineLevel="2">
      <c r="A3013" s="1">
        <v>1.0</v>
      </c>
      <c r="B3013" s="1"/>
      <c r="C3013" s="1"/>
      <c r="D3013" s="1"/>
      <c r="E3013" s="14"/>
      <c r="F3013" s="15"/>
      <c r="G3013" s="16"/>
      <c r="H3013" s="11"/>
      <c r="I3013" s="7"/>
      <c r="J3013" s="7" t="str">
        <f>IFERROR(LET(_xlpm.v,
VLOOKUP($I3013,'用語辞書'!$A:$B,COLUMN('用語辞書'!B$1),FALSE),
IF(_xlpm.v=0,"",_xlpm.v)
),"")</f>
        <v/>
      </c>
      <c r="K3013" s="17"/>
      <c r="L3013" s="17" t="str">
        <f>IF(OR(COUNTIF('クラス'!$A$1:$A$1267,$B3013)&gt;0,$B3013="",$M3013=""),"",True)</f>
        <v/>
      </c>
      <c r="M3013" s="1" t="str">
        <f t="shared" si="31"/>
        <v>存在しない</v>
      </c>
      <c r="N3013" s="1" t="s">
        <v>29</v>
      </c>
      <c r="O3013" s="1"/>
      <c r="P3013" s="11"/>
      <c r="Q3013" s="11"/>
      <c r="R3013" s="11"/>
      <c r="S3013" s="11"/>
      <c r="T3013" s="1"/>
      <c r="U3013" s="1"/>
      <c r="V3013" s="1"/>
      <c r="W3013" s="1"/>
      <c r="X3013" s="1"/>
      <c r="Y3013" s="1"/>
      <c r="Z3013" s="1"/>
    </row>
    <row r="3014" ht="18.0" hidden="1" customHeight="1" outlineLevel="2">
      <c r="A3014" s="1">
        <v>2.0</v>
      </c>
      <c r="B3014" s="1"/>
      <c r="C3014" s="1"/>
      <c r="D3014" s="1"/>
      <c r="E3014" s="14"/>
      <c r="F3014" s="15"/>
      <c r="G3014" s="16"/>
      <c r="H3014" s="11"/>
      <c r="I3014" s="7"/>
      <c r="J3014" s="7" t="str">
        <f>IFERROR(LET(_xlpm.v,
VLOOKUP($I3014,'用語辞書'!$A:$B,COLUMN('用語辞書'!B$1),FALSE),
IF(_xlpm.v=0,"",_xlpm.v)
),"")</f>
        <v/>
      </c>
      <c r="K3014" s="17"/>
      <c r="L3014" s="17" t="str">
        <f>IF(OR(COUNTIF('クラス'!$A$1:$A$1267,$B3014)&gt;0,$B3014="",$M3014=""),"",True)</f>
        <v/>
      </c>
      <c r="M3014" s="1" t="str">
        <f t="shared" si="31"/>
        <v>存在しない</v>
      </c>
      <c r="N3014" s="1" t="s">
        <v>29</v>
      </c>
      <c r="O3014" s="1"/>
      <c r="P3014" s="11"/>
      <c r="Q3014" s="11"/>
      <c r="R3014" s="11"/>
      <c r="S3014" s="11"/>
      <c r="T3014" s="1"/>
      <c r="U3014" s="1"/>
      <c r="V3014" s="1"/>
      <c r="W3014" s="1"/>
      <c r="X3014" s="1"/>
      <c r="Y3014" s="1"/>
      <c r="Z3014" s="1"/>
    </row>
    <row r="3015" ht="18.0" hidden="1" customHeight="1" outlineLevel="2">
      <c r="A3015" s="1">
        <v>3.0</v>
      </c>
      <c r="B3015" s="1"/>
      <c r="C3015" s="1"/>
      <c r="D3015" s="1"/>
      <c r="E3015" s="14"/>
      <c r="F3015" s="15"/>
      <c r="G3015" s="16"/>
      <c r="H3015" s="11"/>
      <c r="I3015" s="7"/>
      <c r="J3015" s="7" t="str">
        <f>IFERROR(LET(_xlpm.v,
VLOOKUP($I3015,'用語辞書'!$A:$B,COLUMN('用語辞書'!B$1),FALSE),
IF(_xlpm.v=0,"",_xlpm.v)
),"")</f>
        <v/>
      </c>
      <c r="K3015" s="17"/>
      <c r="L3015" s="17" t="str">
        <f>IF(OR(COUNTIF('クラス'!$A$1:$A$1267,$B3015)&gt;0,$B3015="",$M3015=""),"",True)</f>
        <v/>
      </c>
      <c r="M3015" s="1" t="str">
        <f t="shared" si="31"/>
        <v>存在しない</v>
      </c>
      <c r="N3015" s="1" t="s">
        <v>29</v>
      </c>
      <c r="O3015" s="1"/>
      <c r="P3015" s="11"/>
      <c r="Q3015" s="11"/>
      <c r="R3015" s="11"/>
      <c r="S3015" s="11"/>
      <c r="T3015" s="1"/>
      <c r="U3015" s="1"/>
      <c r="V3015" s="1"/>
      <c r="W3015" s="1"/>
      <c r="X3015" s="1"/>
      <c r="Y3015" s="1"/>
      <c r="Z3015" s="1"/>
    </row>
    <row r="3016" ht="18.0" hidden="1" customHeight="1" outlineLevel="2">
      <c r="A3016" s="1">
        <v>4.0</v>
      </c>
      <c r="B3016" s="1"/>
      <c r="C3016" s="1"/>
      <c r="D3016" s="1"/>
      <c r="E3016" s="14"/>
      <c r="F3016" s="15"/>
      <c r="G3016" s="16"/>
      <c r="H3016" s="11"/>
      <c r="I3016" s="7"/>
      <c r="J3016" s="7" t="str">
        <f>IFERROR(LET(_xlpm.v,
VLOOKUP($I3016,'用語辞書'!$A:$B,COLUMN('用語辞書'!B$1),FALSE),
IF(_xlpm.v=0,"",_xlpm.v)
),"")</f>
        <v/>
      </c>
      <c r="K3016" s="17"/>
      <c r="L3016" s="17" t="str">
        <f>IF(OR(COUNTIF('クラス'!$A$1:$A$1267,$B3016)&gt;0,$B3016="",$M3016=""),"",True)</f>
        <v/>
      </c>
      <c r="M3016" s="1" t="str">
        <f t="shared" si="31"/>
        <v>存在しない</v>
      </c>
      <c r="N3016" s="1" t="s">
        <v>29</v>
      </c>
      <c r="O3016" s="1"/>
      <c r="P3016" s="11"/>
      <c r="Q3016" s="11"/>
      <c r="R3016" s="11"/>
      <c r="S3016" s="11"/>
      <c r="T3016" s="1"/>
      <c r="U3016" s="1"/>
      <c r="V3016" s="1"/>
      <c r="W3016" s="1"/>
      <c r="X3016" s="1"/>
      <c r="Y3016" s="1"/>
      <c r="Z3016" s="1"/>
    </row>
    <row r="3017" ht="18.0" hidden="1" customHeight="1" outlineLevel="2">
      <c r="A3017" s="1">
        <v>5.0</v>
      </c>
      <c r="B3017" s="1"/>
      <c r="C3017" s="1"/>
      <c r="D3017" s="1"/>
      <c r="E3017" s="14"/>
      <c r="F3017" s="15"/>
      <c r="G3017" s="16"/>
      <c r="H3017" s="11"/>
      <c r="I3017" s="7"/>
      <c r="J3017" s="7" t="str">
        <f>IFERROR(LET(_xlpm.v,
VLOOKUP($I3017,'用語辞書'!$A:$B,COLUMN('用語辞書'!B$1),FALSE),
IF(_xlpm.v=0,"",_xlpm.v)
),"")</f>
        <v/>
      </c>
      <c r="K3017" s="17"/>
      <c r="L3017" s="17" t="str">
        <f>IF(OR(COUNTIF('クラス'!$A$1:$A$1267,$B3017)&gt;0,$B3017="",$M3017=""),"",True)</f>
        <v/>
      </c>
      <c r="M3017" s="1" t="str">
        <f t="shared" si="31"/>
        <v>存在しない</v>
      </c>
      <c r="N3017" s="1" t="s">
        <v>29</v>
      </c>
      <c r="O3017" s="1"/>
      <c r="P3017" s="11"/>
      <c r="Q3017" s="11"/>
      <c r="R3017" s="11"/>
      <c r="S3017" s="11"/>
      <c r="T3017" s="1"/>
      <c r="U3017" s="1"/>
      <c r="V3017" s="1"/>
      <c r="W3017" s="1"/>
      <c r="X3017" s="1"/>
      <c r="Y3017" s="1"/>
      <c r="Z3017" s="1"/>
    </row>
    <row r="3018" ht="18.0" hidden="1" customHeight="1" outlineLevel="2">
      <c r="A3018" s="1">
        <v>6.0</v>
      </c>
      <c r="B3018" s="1"/>
      <c r="C3018" s="1"/>
      <c r="D3018" s="1"/>
      <c r="E3018" s="14"/>
      <c r="F3018" s="15"/>
      <c r="G3018" s="16"/>
      <c r="H3018" s="11"/>
      <c r="I3018" s="7"/>
      <c r="J3018" s="7" t="str">
        <f>IFERROR(LET(_xlpm.v,
VLOOKUP($I3018,'用語辞書'!$A:$B,COLUMN('用語辞書'!B$1),FALSE),
IF(_xlpm.v=0,"",_xlpm.v)
),"")</f>
        <v/>
      </c>
      <c r="K3018" s="17"/>
      <c r="L3018" s="17" t="str">
        <f>IF(OR(COUNTIF('クラス'!$A$1:$A$1267,$B3018)&gt;0,$B3018="",$M3018=""),"",True)</f>
        <v/>
      </c>
      <c r="M3018" s="1" t="str">
        <f t="shared" si="31"/>
        <v>存在しない</v>
      </c>
      <c r="N3018" s="1" t="s">
        <v>29</v>
      </c>
      <c r="O3018" s="1"/>
      <c r="P3018" s="11"/>
      <c r="Q3018" s="11"/>
      <c r="R3018" s="11"/>
      <c r="S3018" s="11"/>
      <c r="T3018" s="1"/>
      <c r="U3018" s="1"/>
      <c r="V3018" s="1"/>
      <c r="W3018" s="1"/>
      <c r="X3018" s="1"/>
      <c r="Y3018" s="1"/>
      <c r="Z3018" s="1"/>
    </row>
    <row r="3019" ht="18.0" hidden="1" customHeight="1" outlineLevel="2">
      <c r="A3019" s="1">
        <v>7.0</v>
      </c>
      <c r="B3019" s="1"/>
      <c r="C3019" s="1"/>
      <c r="D3019" s="1"/>
      <c r="E3019" s="14"/>
      <c r="F3019" s="15"/>
      <c r="G3019" s="16"/>
      <c r="H3019" s="11"/>
      <c r="I3019" s="7"/>
      <c r="J3019" s="7" t="str">
        <f>IFERROR(LET(_xlpm.v,
VLOOKUP($I3019,'用語辞書'!$A:$B,COLUMN('用語辞書'!B$1),FALSE),
IF(_xlpm.v=0,"",_xlpm.v)
),"")</f>
        <v/>
      </c>
      <c r="K3019" s="17"/>
      <c r="L3019" s="17" t="str">
        <f>IF(OR(COUNTIF('クラス'!$A$1:$A$1267,$B3019)&gt;0,$B3019="",$M3019=""),"",True)</f>
        <v/>
      </c>
      <c r="M3019" s="1" t="str">
        <f t="shared" si="31"/>
        <v>存在しない</v>
      </c>
      <c r="N3019" s="1" t="s">
        <v>29</v>
      </c>
      <c r="O3019" s="1"/>
      <c r="P3019" s="11"/>
      <c r="Q3019" s="11"/>
      <c r="R3019" s="11"/>
      <c r="S3019" s="11"/>
      <c r="T3019" s="1"/>
      <c r="U3019" s="1"/>
      <c r="V3019" s="1"/>
      <c r="W3019" s="1"/>
      <c r="X3019" s="1"/>
      <c r="Y3019" s="1"/>
      <c r="Z3019" s="1"/>
    </row>
    <row r="3020" ht="18.0" hidden="1" customHeight="1" outlineLevel="2">
      <c r="A3020" s="1">
        <v>8.0</v>
      </c>
      <c r="B3020" s="1"/>
      <c r="C3020" s="1"/>
      <c r="D3020" s="1"/>
      <c r="E3020" s="14"/>
      <c r="F3020" s="15"/>
      <c r="G3020" s="16"/>
      <c r="H3020" s="11"/>
      <c r="I3020" s="7"/>
      <c r="J3020" s="7" t="str">
        <f>IFERROR(LET(_xlpm.v,
VLOOKUP($I3020,'用語辞書'!$A:$B,COLUMN('用語辞書'!B$1),FALSE),
IF(_xlpm.v=0,"",_xlpm.v)
),"")</f>
        <v/>
      </c>
      <c r="K3020" s="17"/>
      <c r="L3020" s="17" t="str">
        <f>IF(OR(COUNTIF('クラス'!$A$1:$A$1267,$B3020)&gt;0,$B3020="",$M3020=""),"",True)</f>
        <v/>
      </c>
      <c r="M3020" s="1" t="str">
        <f t="shared" si="31"/>
        <v>存在しない</v>
      </c>
      <c r="N3020" s="1" t="s">
        <v>29</v>
      </c>
      <c r="O3020" s="1"/>
      <c r="P3020" s="11"/>
      <c r="Q3020" s="11"/>
      <c r="R3020" s="11"/>
      <c r="S3020" s="11"/>
      <c r="T3020" s="1"/>
      <c r="U3020" s="1"/>
      <c r="V3020" s="1"/>
      <c r="W3020" s="1"/>
      <c r="X3020" s="1"/>
      <c r="Y3020" s="1"/>
      <c r="Z3020" s="1"/>
    </row>
    <row r="3021" ht="18.0" hidden="1" customHeight="1" outlineLevel="2">
      <c r="A3021" s="1">
        <v>9.0</v>
      </c>
      <c r="B3021" s="1"/>
      <c r="C3021" s="1"/>
      <c r="D3021" s="1"/>
      <c r="E3021" s="14"/>
      <c r="F3021" s="15"/>
      <c r="G3021" s="16"/>
      <c r="H3021" s="11"/>
      <c r="I3021" s="7"/>
      <c r="J3021" s="7" t="str">
        <f>IFERROR(LET(_xlpm.v,
VLOOKUP($I3021,'用語辞書'!$A:$B,COLUMN('用語辞書'!B$1),FALSE),
IF(_xlpm.v=0,"",_xlpm.v)
),"")</f>
        <v/>
      </c>
      <c r="K3021" s="17"/>
      <c r="L3021" s="17" t="str">
        <f>IF(OR(COUNTIF('クラス'!$A$1:$A$1267,$B3021)&gt;0,$B3021="",$M3021=""),"",True)</f>
        <v/>
      </c>
      <c r="M3021" s="1" t="str">
        <f t="shared" si="31"/>
        <v>存在しない</v>
      </c>
      <c r="N3021" s="1" t="s">
        <v>29</v>
      </c>
      <c r="O3021" s="1"/>
      <c r="P3021" s="11"/>
      <c r="Q3021" s="11"/>
      <c r="R3021" s="11"/>
      <c r="S3021" s="11"/>
      <c r="T3021" s="1"/>
      <c r="U3021" s="1"/>
      <c r="V3021" s="1"/>
      <c r="W3021" s="1"/>
      <c r="X3021" s="1"/>
      <c r="Y3021" s="1"/>
      <c r="Z3021" s="1"/>
    </row>
    <row r="3022" ht="18.0" hidden="1" customHeight="1" outlineLevel="2">
      <c r="A3022" s="1">
        <v>10.0</v>
      </c>
      <c r="B3022" s="1"/>
      <c r="C3022" s="1"/>
      <c r="D3022" s="1"/>
      <c r="E3022" s="14"/>
      <c r="F3022" s="15"/>
      <c r="G3022" s="16"/>
      <c r="H3022" s="11"/>
      <c r="I3022" s="7"/>
      <c r="J3022" s="7" t="str">
        <f>IFERROR(LET(_xlpm.v,
VLOOKUP($I3022,'用語辞書'!$A:$B,COLUMN('用語辞書'!B$1),FALSE),
IF(_xlpm.v=0,"",_xlpm.v)
),"")</f>
        <v/>
      </c>
      <c r="K3022" s="17"/>
      <c r="L3022" s="17" t="str">
        <f>IF(OR(COUNTIF('クラス'!$A$1:$A$1267,$B3022)&gt;0,$B3022="",$M3022=""),"",True)</f>
        <v/>
      </c>
      <c r="M3022" s="1" t="str">
        <f t="shared" si="31"/>
        <v>存在しない</v>
      </c>
      <c r="N3022" s="1" t="s">
        <v>29</v>
      </c>
      <c r="O3022" s="1"/>
      <c r="P3022" s="11"/>
      <c r="Q3022" s="11"/>
      <c r="R3022" s="11"/>
      <c r="S3022" s="11"/>
      <c r="T3022" s="1"/>
      <c r="U3022" s="1"/>
      <c r="V3022" s="1"/>
      <c r="W3022" s="1"/>
      <c r="X3022" s="1"/>
      <c r="Y3022" s="1"/>
      <c r="Z3022" s="1"/>
    </row>
    <row r="3023" ht="18.0" hidden="1" customHeight="1" outlineLevel="1">
      <c r="A3023" s="1"/>
      <c r="B3023" s="1"/>
      <c r="C3023" s="1"/>
      <c r="D3023" s="1"/>
      <c r="E3023" s="14"/>
      <c r="F3023" s="15"/>
      <c r="G3023" s="16"/>
      <c r="H3023" s="11"/>
      <c r="I3023" s="7"/>
      <c r="J3023" s="7" t="str">
        <f>IFERROR(LET(_xlpm.v,
VLOOKUP($I3023,'用語辞書'!$A:$B,COLUMN('用語辞書'!B$1),FALSE),
IF(_xlpm.v=0,"",_xlpm.v)
),"")</f>
        <v/>
      </c>
      <c r="K3023" s="17"/>
      <c r="L3023" s="17" t="str">
        <f>IF(OR(COUNTIF('クラス'!$A$1:$A$1267,$B3023)&gt;0,$B3023="",$M3023=""),"",True)</f>
        <v/>
      </c>
      <c r="M3023" s="1" t="str">
        <f t="shared" si="31"/>
        <v>存在しない</v>
      </c>
      <c r="N3023" s="1" t="s">
        <v>29</v>
      </c>
      <c r="O3023" s="1"/>
      <c r="P3023" s="11"/>
      <c r="Q3023" s="11"/>
      <c r="R3023" s="11"/>
      <c r="S3023" s="11"/>
      <c r="T3023" s="1"/>
      <c r="U3023" s="1"/>
      <c r="V3023" s="1"/>
      <c r="W3023" s="1"/>
      <c r="X3023" s="1"/>
      <c r="Y3023" s="1"/>
      <c r="Z3023" s="1"/>
    </row>
    <row r="3024" ht="18.0" hidden="1" customHeight="1" outlineLevel="1">
      <c r="A3024" s="1"/>
      <c r="B3024" s="26" t="s">
        <v>2541</v>
      </c>
      <c r="C3024" s="1"/>
      <c r="D3024" s="1"/>
      <c r="E3024" s="14"/>
      <c r="F3024" s="15"/>
      <c r="G3024" s="16"/>
      <c r="H3024" s="11"/>
      <c r="I3024" s="7"/>
      <c r="J3024" s="7" t="str">
        <f>IFERROR(LET(_xlpm.v,
VLOOKUP($I3024,'用語辞書'!$A:$B,COLUMN('用語辞書'!B$1),FALSE),
IF(_xlpm.v=0,"",_xlpm.v)
),"")</f>
        <v/>
      </c>
      <c r="K3024" s="17"/>
      <c r="L3024" s="17" t="str">
        <f>IF(OR(COUNTIF('クラス'!$A$1:$A$1267,$B3024)&gt;0,$B3024="",$M3024=""),"",True)</f>
        <v/>
      </c>
      <c r="M3024" s="1" t="str">
        <f t="shared" si="31"/>
        <v>存在しない</v>
      </c>
      <c r="N3024" s="1" t="s">
        <v>29</v>
      </c>
      <c r="O3024" s="1"/>
      <c r="P3024" s="11"/>
      <c r="Q3024" s="11"/>
      <c r="R3024" s="11"/>
      <c r="S3024" s="11"/>
      <c r="T3024" s="1"/>
      <c r="U3024" s="1"/>
      <c r="V3024" s="1"/>
      <c r="W3024" s="1"/>
      <c r="X3024" s="1"/>
      <c r="Y3024" s="1"/>
      <c r="Z3024" s="1"/>
    </row>
    <row r="3025" ht="18.0" hidden="1" customHeight="1" outlineLevel="2">
      <c r="A3025" s="1">
        <v>1.0</v>
      </c>
      <c r="B3025" s="1"/>
      <c r="C3025" s="1"/>
      <c r="D3025" s="1"/>
      <c r="E3025" s="14"/>
      <c r="F3025" s="15"/>
      <c r="G3025" s="16"/>
      <c r="H3025" s="11"/>
      <c r="I3025" s="7"/>
      <c r="J3025" s="7" t="str">
        <f>IFERROR(LET(_xlpm.v,
VLOOKUP($I3025,'用語辞書'!$A:$B,COLUMN('用語辞書'!B$1),FALSE),
IF(_xlpm.v=0,"",_xlpm.v)
),"")</f>
        <v/>
      </c>
      <c r="K3025" s="17"/>
      <c r="L3025" s="17" t="str">
        <f>IF(OR(COUNTIF('クラス'!$A$1:$A$1267,$B3025)&gt;0,$B3025="",$M3025=""),"",True)</f>
        <v/>
      </c>
      <c r="M3025" s="1" t="str">
        <f t="shared" si="31"/>
        <v>存在しない</v>
      </c>
      <c r="N3025" s="1" t="s">
        <v>29</v>
      </c>
      <c r="O3025" s="1"/>
      <c r="P3025" s="11"/>
      <c r="Q3025" s="11"/>
      <c r="R3025" s="11"/>
      <c r="S3025" s="11"/>
      <c r="T3025" s="1"/>
      <c r="U3025" s="1"/>
      <c r="V3025" s="1"/>
      <c r="W3025" s="1"/>
      <c r="X3025" s="1"/>
      <c r="Y3025" s="1"/>
      <c r="Z3025" s="1"/>
    </row>
    <row r="3026" ht="18.0" hidden="1" customHeight="1" outlineLevel="2">
      <c r="A3026" s="1">
        <v>2.0</v>
      </c>
      <c r="B3026" s="1"/>
      <c r="C3026" s="1"/>
      <c r="D3026" s="1"/>
      <c r="E3026" s="14"/>
      <c r="F3026" s="15"/>
      <c r="G3026" s="16"/>
      <c r="H3026" s="11"/>
      <c r="I3026" s="7"/>
      <c r="J3026" s="7" t="str">
        <f>IFERROR(LET(_xlpm.v,
VLOOKUP($I3026,'用語辞書'!$A:$B,COLUMN('用語辞書'!B$1),FALSE),
IF(_xlpm.v=0,"",_xlpm.v)
),"")</f>
        <v/>
      </c>
      <c r="K3026" s="17"/>
      <c r="L3026" s="17" t="str">
        <f>IF(OR(COUNTIF('クラス'!$A$1:$A$1267,$B3026)&gt;0,$B3026="",$M3026=""),"",True)</f>
        <v/>
      </c>
      <c r="M3026" s="1" t="str">
        <f t="shared" si="31"/>
        <v>存在しない</v>
      </c>
      <c r="N3026" s="1" t="s">
        <v>29</v>
      </c>
      <c r="O3026" s="1"/>
      <c r="P3026" s="11"/>
      <c r="Q3026" s="11"/>
      <c r="R3026" s="11"/>
      <c r="S3026" s="11"/>
      <c r="T3026" s="1"/>
      <c r="U3026" s="1"/>
      <c r="V3026" s="1"/>
      <c r="W3026" s="1"/>
      <c r="X3026" s="1"/>
      <c r="Y3026" s="1"/>
      <c r="Z3026" s="1"/>
    </row>
    <row r="3027" ht="18.0" hidden="1" customHeight="1" outlineLevel="2">
      <c r="A3027" s="1">
        <v>3.0</v>
      </c>
      <c r="B3027" s="1"/>
      <c r="C3027" s="1"/>
      <c r="D3027" s="1"/>
      <c r="E3027" s="14"/>
      <c r="F3027" s="15"/>
      <c r="G3027" s="16"/>
      <c r="H3027" s="11"/>
      <c r="I3027" s="7"/>
      <c r="J3027" s="7" t="str">
        <f>IFERROR(LET(_xlpm.v,
VLOOKUP($I3027,'用語辞書'!$A:$B,COLUMN('用語辞書'!B$1),FALSE),
IF(_xlpm.v=0,"",_xlpm.v)
),"")</f>
        <v/>
      </c>
      <c r="K3027" s="17"/>
      <c r="L3027" s="17" t="str">
        <f>IF(OR(COUNTIF('クラス'!$A$1:$A$1267,$B3027)&gt;0,$B3027="",$M3027=""),"",True)</f>
        <v/>
      </c>
      <c r="M3027" s="1" t="str">
        <f t="shared" si="31"/>
        <v>存在しない</v>
      </c>
      <c r="N3027" s="1" t="s">
        <v>29</v>
      </c>
      <c r="O3027" s="1"/>
      <c r="P3027" s="11"/>
      <c r="Q3027" s="11"/>
      <c r="R3027" s="11"/>
      <c r="S3027" s="11"/>
      <c r="T3027" s="1"/>
      <c r="U3027" s="1"/>
      <c r="V3027" s="1"/>
      <c r="W3027" s="1"/>
      <c r="X3027" s="1"/>
      <c r="Y3027" s="1"/>
      <c r="Z3027" s="1"/>
    </row>
    <row r="3028" ht="18.0" hidden="1" customHeight="1" outlineLevel="2">
      <c r="A3028" s="1">
        <v>4.0</v>
      </c>
      <c r="B3028" s="1"/>
      <c r="C3028" s="1"/>
      <c r="D3028" s="1"/>
      <c r="E3028" s="14"/>
      <c r="F3028" s="15"/>
      <c r="G3028" s="16"/>
      <c r="H3028" s="11"/>
      <c r="I3028" s="7"/>
      <c r="J3028" s="7" t="str">
        <f>IFERROR(LET(_xlpm.v,
VLOOKUP($I3028,'用語辞書'!$A:$B,COLUMN('用語辞書'!B$1),FALSE),
IF(_xlpm.v=0,"",_xlpm.v)
),"")</f>
        <v/>
      </c>
      <c r="K3028" s="17"/>
      <c r="L3028" s="17" t="str">
        <f>IF(OR(COUNTIF('クラス'!$A$1:$A$1267,$B3028)&gt;0,$B3028="",$M3028=""),"",True)</f>
        <v/>
      </c>
      <c r="M3028" s="1" t="str">
        <f t="shared" si="31"/>
        <v>存在しない</v>
      </c>
      <c r="N3028" s="1" t="s">
        <v>29</v>
      </c>
      <c r="O3028" s="1"/>
      <c r="P3028" s="11"/>
      <c r="Q3028" s="11"/>
      <c r="R3028" s="11"/>
      <c r="S3028" s="11"/>
      <c r="T3028" s="1"/>
      <c r="U3028" s="1"/>
      <c r="V3028" s="1"/>
      <c r="W3028" s="1"/>
      <c r="X3028" s="1"/>
      <c r="Y3028" s="1"/>
      <c r="Z3028" s="1"/>
    </row>
    <row r="3029" ht="18.0" hidden="1" customHeight="1" outlineLevel="2">
      <c r="A3029" s="1">
        <v>5.0</v>
      </c>
      <c r="B3029" s="1"/>
      <c r="C3029" s="1"/>
      <c r="D3029" s="1"/>
      <c r="E3029" s="14"/>
      <c r="F3029" s="15"/>
      <c r="G3029" s="16"/>
      <c r="H3029" s="11"/>
      <c r="I3029" s="7"/>
      <c r="J3029" s="7" t="str">
        <f>IFERROR(LET(_xlpm.v,
VLOOKUP($I3029,'用語辞書'!$A:$B,COLUMN('用語辞書'!B$1),FALSE),
IF(_xlpm.v=0,"",_xlpm.v)
),"")</f>
        <v/>
      </c>
      <c r="K3029" s="17"/>
      <c r="L3029" s="17" t="str">
        <f>IF(OR(COUNTIF('クラス'!$A$1:$A$1267,$B3029)&gt;0,$B3029="",$M3029=""),"",True)</f>
        <v/>
      </c>
      <c r="M3029" s="1" t="str">
        <f t="shared" si="31"/>
        <v>存在しない</v>
      </c>
      <c r="N3029" s="1" t="s">
        <v>29</v>
      </c>
      <c r="O3029" s="1"/>
      <c r="P3029" s="11"/>
      <c r="Q3029" s="11"/>
      <c r="R3029" s="11"/>
      <c r="S3029" s="11"/>
      <c r="T3029" s="1"/>
      <c r="U3029" s="1"/>
      <c r="V3029" s="1"/>
      <c r="W3029" s="1"/>
      <c r="X3029" s="1"/>
      <c r="Y3029" s="1"/>
      <c r="Z3029" s="1"/>
    </row>
    <row r="3030" ht="18.0" hidden="1" customHeight="1" outlineLevel="2">
      <c r="A3030" s="1">
        <v>6.0</v>
      </c>
      <c r="B3030" s="1"/>
      <c r="C3030" s="1"/>
      <c r="D3030" s="1"/>
      <c r="E3030" s="14"/>
      <c r="F3030" s="15"/>
      <c r="G3030" s="16"/>
      <c r="H3030" s="11"/>
      <c r="I3030" s="7"/>
      <c r="J3030" s="7" t="str">
        <f>IFERROR(LET(_xlpm.v,
VLOOKUP($I3030,'用語辞書'!$A:$B,COLUMN('用語辞書'!B$1),FALSE),
IF(_xlpm.v=0,"",_xlpm.v)
),"")</f>
        <v/>
      </c>
      <c r="K3030" s="17"/>
      <c r="L3030" s="17" t="str">
        <f>IF(OR(COUNTIF('クラス'!$A$1:$A$1267,$B3030)&gt;0,$B3030="",$M3030=""),"",True)</f>
        <v/>
      </c>
      <c r="M3030" s="1" t="str">
        <f t="shared" si="31"/>
        <v>存在しない</v>
      </c>
      <c r="N3030" s="1" t="s">
        <v>29</v>
      </c>
      <c r="O3030" s="1"/>
      <c r="P3030" s="11"/>
      <c r="Q3030" s="11"/>
      <c r="R3030" s="11"/>
      <c r="S3030" s="11"/>
      <c r="T3030" s="1"/>
      <c r="U3030" s="1"/>
      <c r="V3030" s="1"/>
      <c r="W3030" s="1"/>
      <c r="X3030" s="1"/>
      <c r="Y3030" s="1"/>
      <c r="Z3030" s="1"/>
    </row>
    <row r="3031" ht="18.0" hidden="1" customHeight="1" outlineLevel="2">
      <c r="A3031" s="1">
        <v>7.0</v>
      </c>
      <c r="B3031" s="1"/>
      <c r="C3031" s="1"/>
      <c r="D3031" s="1"/>
      <c r="E3031" s="14"/>
      <c r="F3031" s="15"/>
      <c r="G3031" s="16"/>
      <c r="H3031" s="11"/>
      <c r="I3031" s="7"/>
      <c r="J3031" s="7" t="str">
        <f>IFERROR(LET(_xlpm.v,
VLOOKUP($I3031,'用語辞書'!$A:$B,COLUMN('用語辞書'!B$1),FALSE),
IF(_xlpm.v=0,"",_xlpm.v)
),"")</f>
        <v/>
      </c>
      <c r="K3031" s="17"/>
      <c r="L3031" s="17" t="str">
        <f>IF(OR(COUNTIF('クラス'!$A$1:$A$1267,$B3031)&gt;0,$B3031="",$M3031=""),"",True)</f>
        <v/>
      </c>
      <c r="M3031" s="1" t="str">
        <f t="shared" si="31"/>
        <v>存在しない</v>
      </c>
      <c r="N3031" s="1" t="s">
        <v>29</v>
      </c>
      <c r="O3031" s="1"/>
      <c r="P3031" s="11"/>
      <c r="Q3031" s="11"/>
      <c r="R3031" s="11"/>
      <c r="S3031" s="11"/>
      <c r="T3031" s="1"/>
      <c r="U3031" s="1"/>
      <c r="V3031" s="1"/>
      <c r="W3031" s="1"/>
      <c r="X3031" s="1"/>
      <c r="Y3031" s="1"/>
      <c r="Z3031" s="1"/>
    </row>
    <row r="3032" ht="18.0" hidden="1" customHeight="1" outlineLevel="2">
      <c r="A3032" s="1">
        <v>8.0</v>
      </c>
      <c r="B3032" s="1"/>
      <c r="C3032" s="1"/>
      <c r="D3032" s="1"/>
      <c r="E3032" s="14"/>
      <c r="F3032" s="15"/>
      <c r="G3032" s="16"/>
      <c r="H3032" s="11"/>
      <c r="I3032" s="7"/>
      <c r="J3032" s="7" t="str">
        <f>IFERROR(LET(_xlpm.v,
VLOOKUP($I3032,'用語辞書'!$A:$B,COLUMN('用語辞書'!B$1),FALSE),
IF(_xlpm.v=0,"",_xlpm.v)
),"")</f>
        <v/>
      </c>
      <c r="K3032" s="17"/>
      <c r="L3032" s="17" t="str">
        <f>IF(OR(COUNTIF('クラス'!$A$1:$A$1267,$B3032)&gt;0,$B3032="",$M3032=""),"",True)</f>
        <v/>
      </c>
      <c r="M3032" s="1" t="str">
        <f t="shared" si="31"/>
        <v>存在しない</v>
      </c>
      <c r="N3032" s="1" t="s">
        <v>29</v>
      </c>
      <c r="O3032" s="1"/>
      <c r="P3032" s="11"/>
      <c r="Q3032" s="11"/>
      <c r="R3032" s="11"/>
      <c r="S3032" s="11"/>
      <c r="T3032" s="1"/>
      <c r="U3032" s="1"/>
      <c r="V3032" s="1"/>
      <c r="W3032" s="1"/>
      <c r="X3032" s="1"/>
      <c r="Y3032" s="1"/>
      <c r="Z3032" s="1"/>
    </row>
    <row r="3033" ht="18.0" hidden="1" customHeight="1" outlineLevel="2">
      <c r="A3033" s="1">
        <v>9.0</v>
      </c>
      <c r="B3033" s="1"/>
      <c r="C3033" s="1"/>
      <c r="D3033" s="1"/>
      <c r="E3033" s="14"/>
      <c r="F3033" s="15"/>
      <c r="G3033" s="16"/>
      <c r="H3033" s="11"/>
      <c r="I3033" s="7"/>
      <c r="J3033" s="7" t="str">
        <f>IFERROR(LET(_xlpm.v,
VLOOKUP($I3033,'用語辞書'!$A:$B,COLUMN('用語辞書'!B$1),FALSE),
IF(_xlpm.v=0,"",_xlpm.v)
),"")</f>
        <v/>
      </c>
      <c r="K3033" s="17"/>
      <c r="L3033" s="17" t="str">
        <f>IF(OR(COUNTIF('クラス'!$A$1:$A$1267,$B3033)&gt;0,$B3033="",$M3033=""),"",True)</f>
        <v/>
      </c>
      <c r="M3033" s="1" t="str">
        <f t="shared" si="31"/>
        <v>存在しない</v>
      </c>
      <c r="N3033" s="1" t="s">
        <v>29</v>
      </c>
      <c r="O3033" s="1"/>
      <c r="P3033" s="11"/>
      <c r="Q3033" s="11"/>
      <c r="R3033" s="11"/>
      <c r="S3033" s="11"/>
      <c r="T3033" s="1"/>
      <c r="U3033" s="1"/>
      <c r="V3033" s="1"/>
      <c r="W3033" s="1"/>
      <c r="X3033" s="1"/>
      <c r="Y3033" s="1"/>
      <c r="Z3033" s="1"/>
    </row>
    <row r="3034" ht="18.0" hidden="1" customHeight="1" outlineLevel="2">
      <c r="A3034" s="1">
        <v>10.0</v>
      </c>
      <c r="B3034" s="1"/>
      <c r="C3034" s="1"/>
      <c r="D3034" s="1"/>
      <c r="E3034" s="14"/>
      <c r="F3034" s="15"/>
      <c r="G3034" s="16"/>
      <c r="H3034" s="11"/>
      <c r="I3034" s="7"/>
      <c r="J3034" s="7" t="str">
        <f>IFERROR(LET(_xlpm.v,
VLOOKUP($I3034,'用語辞書'!$A:$B,COLUMN('用語辞書'!B$1),FALSE),
IF(_xlpm.v=0,"",_xlpm.v)
),"")</f>
        <v/>
      </c>
      <c r="K3034" s="17"/>
      <c r="L3034" s="17" t="str">
        <f>IF(OR(COUNTIF('クラス'!$A$1:$A$1267,$B3034)&gt;0,$B3034="",$M3034=""),"",True)</f>
        <v/>
      </c>
      <c r="M3034" s="1" t="str">
        <f t="shared" si="31"/>
        <v>存在しない</v>
      </c>
      <c r="N3034" s="1" t="s">
        <v>29</v>
      </c>
      <c r="O3034" s="1"/>
      <c r="P3034" s="11"/>
      <c r="Q3034" s="11"/>
      <c r="R3034" s="11"/>
      <c r="S3034" s="11"/>
      <c r="T3034" s="1"/>
      <c r="U3034" s="1"/>
      <c r="V3034" s="1"/>
      <c r="W3034" s="1"/>
      <c r="X3034" s="1"/>
      <c r="Y3034" s="1"/>
      <c r="Z3034" s="1"/>
    </row>
    <row r="3035" ht="18.0" customHeight="1" collapsed="1">
      <c r="A3035" s="1"/>
      <c r="B3035" s="1"/>
      <c r="C3035" s="26" t="s">
        <v>2542</v>
      </c>
      <c r="D3035" s="1"/>
      <c r="E3035" s="14"/>
      <c r="F3035" s="15"/>
      <c r="G3035" s="16"/>
      <c r="H3035" s="11"/>
      <c r="I3035" s="7"/>
      <c r="J3035" s="7" t="str">
        <f>IFERROR(LET(_xlpm.v,
VLOOKUP($I3035,'用語辞書'!$A:$B,COLUMN('用語辞書'!B$1),FALSE),
IF(_xlpm.v=0,"",_xlpm.v)
),"")</f>
        <v/>
      </c>
      <c r="K3035" s="17"/>
      <c r="L3035" s="17" t="str">
        <f>IF(OR(COUNTIF('クラス'!$A$1:$A$1267,$B3035)&gt;0,$B3035="",$M3035=""),"",True)</f>
        <v/>
      </c>
      <c r="M3035" s="1" t="str">
        <f t="shared" si="31"/>
        <v>存在しない</v>
      </c>
      <c r="N3035" s="1" t="s">
        <v>29</v>
      </c>
      <c r="O3035" s="1"/>
      <c r="P3035" s="11"/>
      <c r="Q3035" s="11"/>
      <c r="R3035" s="11"/>
      <c r="S3035" s="11"/>
      <c r="T3035" s="1"/>
      <c r="U3035" s="1"/>
      <c r="V3035" s="1"/>
      <c r="W3035" s="1"/>
      <c r="X3035" s="1"/>
      <c r="Y3035" s="1"/>
      <c r="Z3035" s="1"/>
    </row>
    <row r="3036" ht="18.0" customHeight="1" outlineLevel="1">
      <c r="A3036" s="1"/>
      <c r="B3036" s="26" t="s">
        <v>2543</v>
      </c>
      <c r="C3036" s="1"/>
      <c r="D3036" s="1"/>
      <c r="E3036" s="14"/>
      <c r="F3036" s="15"/>
      <c r="G3036" s="16"/>
      <c r="H3036" s="11"/>
      <c r="I3036" s="7"/>
      <c r="J3036" s="7" t="str">
        <f>IFERROR(LET(_xlpm.v,
VLOOKUP($I3036,'用語辞書'!$A:$B,COLUMN('用語辞書'!B$1),FALSE),
IF(_xlpm.v=0,"",_xlpm.v)
),"")</f>
        <v/>
      </c>
      <c r="K3036" s="17"/>
      <c r="L3036" s="17" t="str">
        <f>IF(OR(COUNTIF('クラス'!$A$1:$A$1267,$B3036)&gt;0,$B3036="",$M3036=""),"",True)</f>
        <v/>
      </c>
      <c r="M3036" s="1" t="str">
        <f t="shared" si="31"/>
        <v>存在しない</v>
      </c>
      <c r="N3036" s="1" t="s">
        <v>29</v>
      </c>
      <c r="O3036" s="1"/>
      <c r="P3036" s="11"/>
      <c r="Q3036" s="11"/>
      <c r="R3036" s="11"/>
      <c r="S3036" s="11"/>
      <c r="T3036" s="1"/>
      <c r="U3036" s="1"/>
      <c r="V3036" s="1"/>
      <c r="W3036" s="1"/>
      <c r="X3036" s="1"/>
      <c r="Y3036" s="1"/>
      <c r="Z3036" s="1"/>
    </row>
    <row r="3037" ht="18.0" hidden="1" customHeight="1" outlineLevel="2">
      <c r="A3037" s="1">
        <v>1.0</v>
      </c>
      <c r="B3037" s="1"/>
      <c r="C3037" s="1"/>
      <c r="D3037" s="1"/>
      <c r="E3037" s="14"/>
      <c r="F3037" s="15"/>
      <c r="G3037" s="16"/>
      <c r="H3037" s="11"/>
      <c r="I3037" s="7"/>
      <c r="J3037" s="7" t="str">
        <f>IFERROR(LET(_xlpm.v,
VLOOKUP($I3037,'用語辞書'!$A:$B,COLUMN('用語辞書'!B$1),FALSE),
IF(_xlpm.v=0,"",_xlpm.v)
),"")</f>
        <v/>
      </c>
      <c r="K3037" s="17"/>
      <c r="L3037" s="17" t="str">
        <f>IF(OR(COUNTIF('クラス'!$A$1:$A$1267,$B3037)&gt;0,$B3037="",$M3037=""),"",True)</f>
        <v/>
      </c>
      <c r="M3037" s="1" t="str">
        <f t="shared" si="31"/>
        <v>存在しない</v>
      </c>
      <c r="N3037" s="1" t="s">
        <v>29</v>
      </c>
      <c r="O3037" s="1"/>
      <c r="P3037" s="11"/>
      <c r="Q3037" s="11"/>
      <c r="R3037" s="11"/>
      <c r="S3037" s="11"/>
      <c r="T3037" s="1"/>
      <c r="U3037" s="1"/>
      <c r="V3037" s="1"/>
      <c r="W3037" s="1"/>
      <c r="X3037" s="1"/>
      <c r="Y3037" s="1"/>
      <c r="Z3037" s="1"/>
    </row>
    <row r="3038" ht="18.0" hidden="1" customHeight="1" outlineLevel="2">
      <c r="A3038" s="1">
        <v>2.0</v>
      </c>
      <c r="B3038" s="1"/>
      <c r="C3038" s="1"/>
      <c r="D3038" s="1"/>
      <c r="E3038" s="14"/>
      <c r="F3038" s="15"/>
      <c r="G3038" s="16"/>
      <c r="H3038" s="11"/>
      <c r="I3038" s="7"/>
      <c r="J3038" s="7" t="str">
        <f>IFERROR(LET(_xlpm.v,
VLOOKUP($I3038,'用語辞書'!$A:$B,COLUMN('用語辞書'!B$1),FALSE),
IF(_xlpm.v=0,"",_xlpm.v)
),"")</f>
        <v/>
      </c>
      <c r="K3038" s="17"/>
      <c r="L3038" s="17" t="str">
        <f>IF(OR(COUNTIF('クラス'!$A$1:$A$1267,$B3038)&gt;0,$B3038="",$M3038=""),"",True)</f>
        <v/>
      </c>
      <c r="M3038" s="1" t="str">
        <f t="shared" si="31"/>
        <v>存在しない</v>
      </c>
      <c r="N3038" s="1" t="s">
        <v>29</v>
      </c>
      <c r="O3038" s="1"/>
      <c r="P3038" s="11"/>
      <c r="Q3038" s="11"/>
      <c r="R3038" s="11"/>
      <c r="S3038" s="11"/>
      <c r="T3038" s="1"/>
      <c r="U3038" s="1"/>
      <c r="V3038" s="1"/>
      <c r="W3038" s="1"/>
      <c r="X3038" s="1"/>
      <c r="Y3038" s="1"/>
      <c r="Z3038" s="1"/>
    </row>
    <row r="3039" ht="18.0" hidden="1" customHeight="1" outlineLevel="2">
      <c r="A3039" s="1">
        <v>3.0</v>
      </c>
      <c r="B3039" s="1"/>
      <c r="C3039" s="1"/>
      <c r="D3039" s="1"/>
      <c r="E3039" s="14"/>
      <c r="F3039" s="15"/>
      <c r="G3039" s="16"/>
      <c r="H3039" s="11"/>
      <c r="I3039" s="7"/>
      <c r="J3039" s="7" t="str">
        <f>IFERROR(LET(_xlpm.v,
VLOOKUP($I3039,'用語辞書'!$A:$B,COLUMN('用語辞書'!B$1),FALSE),
IF(_xlpm.v=0,"",_xlpm.v)
),"")</f>
        <v/>
      </c>
      <c r="K3039" s="17"/>
      <c r="L3039" s="17" t="str">
        <f>IF(OR(COUNTIF('クラス'!$A$1:$A$1267,$B3039)&gt;0,$B3039="",$M3039=""),"",True)</f>
        <v/>
      </c>
      <c r="M3039" s="1" t="str">
        <f t="shared" si="31"/>
        <v>存在しない</v>
      </c>
      <c r="N3039" s="1" t="s">
        <v>29</v>
      </c>
      <c r="O3039" s="1"/>
      <c r="P3039" s="11"/>
      <c r="Q3039" s="11"/>
      <c r="R3039" s="11"/>
      <c r="S3039" s="11"/>
      <c r="T3039" s="1"/>
      <c r="U3039" s="1"/>
      <c r="V3039" s="1"/>
      <c r="W3039" s="1"/>
      <c r="X3039" s="1"/>
      <c r="Y3039" s="1"/>
      <c r="Z3039" s="1"/>
    </row>
    <row r="3040" ht="18.0" hidden="1" customHeight="1" outlineLevel="2">
      <c r="A3040" s="1">
        <v>4.0</v>
      </c>
      <c r="B3040" s="1"/>
      <c r="C3040" s="1"/>
      <c r="D3040" s="1"/>
      <c r="E3040" s="14"/>
      <c r="F3040" s="15"/>
      <c r="G3040" s="16"/>
      <c r="H3040" s="11"/>
      <c r="I3040" s="7"/>
      <c r="J3040" s="7" t="str">
        <f>IFERROR(LET(_xlpm.v,
VLOOKUP($I3040,'用語辞書'!$A:$B,COLUMN('用語辞書'!B$1),FALSE),
IF(_xlpm.v=0,"",_xlpm.v)
),"")</f>
        <v/>
      </c>
      <c r="K3040" s="17"/>
      <c r="L3040" s="17" t="str">
        <f>IF(OR(COUNTIF('クラス'!$A$1:$A$1267,$B3040)&gt;0,$B3040="",$M3040=""),"",True)</f>
        <v/>
      </c>
      <c r="M3040" s="1" t="str">
        <f t="shared" si="31"/>
        <v>存在しない</v>
      </c>
      <c r="N3040" s="1" t="s">
        <v>29</v>
      </c>
      <c r="O3040" s="1"/>
      <c r="P3040" s="11"/>
      <c r="Q3040" s="11"/>
      <c r="R3040" s="11"/>
      <c r="S3040" s="11"/>
      <c r="T3040" s="1"/>
      <c r="U3040" s="1"/>
      <c r="V3040" s="1"/>
      <c r="W3040" s="1"/>
      <c r="X3040" s="1"/>
      <c r="Y3040" s="1"/>
      <c r="Z3040" s="1"/>
    </row>
    <row r="3041" ht="18.0" hidden="1" customHeight="1" outlineLevel="2">
      <c r="A3041" s="1">
        <v>5.0</v>
      </c>
      <c r="B3041" s="1"/>
      <c r="C3041" s="1"/>
      <c r="D3041" s="1"/>
      <c r="E3041" s="14"/>
      <c r="F3041" s="15"/>
      <c r="G3041" s="16"/>
      <c r="H3041" s="11"/>
      <c r="I3041" s="7"/>
      <c r="J3041" s="7" t="str">
        <f>IFERROR(LET(_xlpm.v,
VLOOKUP($I3041,'用語辞書'!$A:$B,COLUMN('用語辞書'!B$1),FALSE),
IF(_xlpm.v=0,"",_xlpm.v)
),"")</f>
        <v/>
      </c>
      <c r="K3041" s="17"/>
      <c r="L3041" s="17" t="str">
        <f>IF(OR(COUNTIF('クラス'!$A$1:$A$1267,$B3041)&gt;0,$B3041="",$M3041=""),"",True)</f>
        <v/>
      </c>
      <c r="M3041" s="1" t="str">
        <f t="shared" si="31"/>
        <v>存在しない</v>
      </c>
      <c r="N3041" s="1" t="s">
        <v>29</v>
      </c>
      <c r="O3041" s="1"/>
      <c r="P3041" s="11"/>
      <c r="Q3041" s="11"/>
      <c r="R3041" s="11"/>
      <c r="S3041" s="11"/>
      <c r="T3041" s="1"/>
      <c r="U3041" s="1"/>
      <c r="V3041" s="1"/>
      <c r="W3041" s="1"/>
      <c r="X3041" s="1"/>
      <c r="Y3041" s="1"/>
      <c r="Z3041" s="1"/>
    </row>
    <row r="3042" ht="18.0" hidden="1" customHeight="1" outlineLevel="2">
      <c r="A3042" s="1">
        <v>6.0</v>
      </c>
      <c r="B3042" s="1"/>
      <c r="C3042" s="1"/>
      <c r="D3042" s="1"/>
      <c r="E3042" s="14"/>
      <c r="F3042" s="15"/>
      <c r="G3042" s="16"/>
      <c r="H3042" s="11"/>
      <c r="I3042" s="7"/>
      <c r="J3042" s="7" t="str">
        <f>IFERROR(LET(_xlpm.v,
VLOOKUP($I3042,'用語辞書'!$A:$B,COLUMN('用語辞書'!B$1),FALSE),
IF(_xlpm.v=0,"",_xlpm.v)
),"")</f>
        <v/>
      </c>
      <c r="K3042" s="17"/>
      <c r="L3042" s="17" t="str">
        <f>IF(OR(COUNTIF('クラス'!$A$1:$A$1267,$B3042)&gt;0,$B3042="",$M3042=""),"",True)</f>
        <v/>
      </c>
      <c r="M3042" s="1" t="str">
        <f t="shared" si="31"/>
        <v>存在しない</v>
      </c>
      <c r="N3042" s="1" t="s">
        <v>29</v>
      </c>
      <c r="O3042" s="1"/>
      <c r="P3042" s="11"/>
      <c r="Q3042" s="11"/>
      <c r="R3042" s="11"/>
      <c r="S3042" s="11"/>
      <c r="T3042" s="1"/>
      <c r="U3042" s="1"/>
      <c r="V3042" s="1"/>
      <c r="W3042" s="1"/>
      <c r="X3042" s="1"/>
      <c r="Y3042" s="1"/>
      <c r="Z3042" s="1"/>
    </row>
    <row r="3043" ht="18.0" hidden="1" customHeight="1" outlineLevel="2">
      <c r="A3043" s="1">
        <v>7.0</v>
      </c>
      <c r="B3043" s="1"/>
      <c r="C3043" s="1"/>
      <c r="D3043" s="1"/>
      <c r="E3043" s="14"/>
      <c r="F3043" s="15"/>
      <c r="G3043" s="16"/>
      <c r="H3043" s="11"/>
      <c r="I3043" s="7"/>
      <c r="J3043" s="7" t="str">
        <f>IFERROR(LET(_xlpm.v,
VLOOKUP($I3043,'用語辞書'!$A:$B,COLUMN('用語辞書'!B$1),FALSE),
IF(_xlpm.v=0,"",_xlpm.v)
),"")</f>
        <v/>
      </c>
      <c r="K3043" s="17"/>
      <c r="L3043" s="17" t="str">
        <f>IF(OR(COUNTIF('クラス'!$A$1:$A$1267,$B3043)&gt;0,$B3043="",$M3043=""),"",True)</f>
        <v/>
      </c>
      <c r="M3043" s="1" t="str">
        <f t="shared" si="31"/>
        <v>存在しない</v>
      </c>
      <c r="N3043" s="1" t="s">
        <v>29</v>
      </c>
      <c r="O3043" s="1"/>
      <c r="P3043" s="11"/>
      <c r="Q3043" s="11"/>
      <c r="R3043" s="11"/>
      <c r="S3043" s="11"/>
      <c r="T3043" s="1"/>
      <c r="U3043" s="1"/>
      <c r="V3043" s="1"/>
      <c r="W3043" s="1"/>
      <c r="X3043" s="1"/>
      <c r="Y3043" s="1"/>
      <c r="Z3043" s="1"/>
    </row>
    <row r="3044" ht="18.0" hidden="1" customHeight="1" outlineLevel="2">
      <c r="A3044" s="1">
        <v>8.0</v>
      </c>
      <c r="B3044" s="1"/>
      <c r="C3044" s="1"/>
      <c r="D3044" s="1"/>
      <c r="E3044" s="14"/>
      <c r="F3044" s="15"/>
      <c r="G3044" s="16"/>
      <c r="H3044" s="11"/>
      <c r="I3044" s="7"/>
      <c r="J3044" s="7" t="str">
        <f>IFERROR(LET(_xlpm.v,
VLOOKUP($I3044,'用語辞書'!$A:$B,COLUMN('用語辞書'!B$1),FALSE),
IF(_xlpm.v=0,"",_xlpm.v)
),"")</f>
        <v/>
      </c>
      <c r="K3044" s="17"/>
      <c r="L3044" s="17" t="str">
        <f>IF(OR(COUNTIF('クラス'!$A$1:$A$1267,$B3044)&gt;0,$B3044="",$M3044=""),"",True)</f>
        <v/>
      </c>
      <c r="M3044" s="1" t="str">
        <f t="shared" si="31"/>
        <v>存在しない</v>
      </c>
      <c r="N3044" s="1" t="s">
        <v>29</v>
      </c>
      <c r="O3044" s="1"/>
      <c r="P3044" s="11"/>
      <c r="Q3044" s="11"/>
      <c r="R3044" s="11"/>
      <c r="S3044" s="11"/>
      <c r="T3044" s="1"/>
      <c r="U3044" s="1"/>
      <c r="V3044" s="1"/>
      <c r="W3044" s="1"/>
      <c r="X3044" s="1"/>
      <c r="Y3044" s="1"/>
      <c r="Z3044" s="1"/>
    </row>
    <row r="3045" ht="18.0" hidden="1" customHeight="1" outlineLevel="2">
      <c r="A3045" s="1">
        <v>9.0</v>
      </c>
      <c r="B3045" s="1"/>
      <c r="C3045" s="1"/>
      <c r="D3045" s="1"/>
      <c r="E3045" s="14"/>
      <c r="F3045" s="15"/>
      <c r="G3045" s="16"/>
      <c r="H3045" s="11"/>
      <c r="I3045" s="7"/>
      <c r="J3045" s="7" t="str">
        <f>IFERROR(LET(_xlpm.v,
VLOOKUP($I3045,'用語辞書'!$A:$B,COLUMN('用語辞書'!B$1),FALSE),
IF(_xlpm.v=0,"",_xlpm.v)
),"")</f>
        <v/>
      </c>
      <c r="K3045" s="17"/>
      <c r="L3045" s="17" t="str">
        <f>IF(OR(COUNTIF('クラス'!$A$1:$A$1267,$B3045)&gt;0,$B3045="",$M3045=""),"",True)</f>
        <v/>
      </c>
      <c r="M3045" s="1" t="str">
        <f t="shared" si="31"/>
        <v>存在しない</v>
      </c>
      <c r="N3045" s="1" t="s">
        <v>29</v>
      </c>
      <c r="O3045" s="1"/>
      <c r="P3045" s="11"/>
      <c r="Q3045" s="11"/>
      <c r="R3045" s="11"/>
      <c r="S3045" s="11"/>
      <c r="T3045" s="1"/>
      <c r="U3045" s="1"/>
      <c r="V3045" s="1"/>
      <c r="W3045" s="1"/>
      <c r="X3045" s="1"/>
      <c r="Y3045" s="1"/>
      <c r="Z3045" s="1"/>
    </row>
    <row r="3046" ht="18.0" hidden="1" customHeight="1" outlineLevel="2">
      <c r="A3046" s="1">
        <v>10.0</v>
      </c>
      <c r="B3046" s="1"/>
      <c r="C3046" s="1"/>
      <c r="D3046" s="1"/>
      <c r="E3046" s="14"/>
      <c r="F3046" s="15"/>
      <c r="G3046" s="16"/>
      <c r="H3046" s="11"/>
      <c r="I3046" s="7"/>
      <c r="J3046" s="7" t="str">
        <f>IFERROR(LET(_xlpm.v,
VLOOKUP($I3046,'用語辞書'!$A:$B,COLUMN('用語辞書'!B$1),FALSE),
IF(_xlpm.v=0,"",_xlpm.v)
),"")</f>
        <v/>
      </c>
      <c r="K3046" s="17"/>
      <c r="L3046" s="17" t="str">
        <f>IF(OR(COUNTIF('クラス'!$A$1:$A$1267,$B3046)&gt;0,$B3046="",$M3046=""),"",True)</f>
        <v/>
      </c>
      <c r="M3046" s="1" t="str">
        <f t="shared" si="31"/>
        <v>存在しない</v>
      </c>
      <c r="N3046" s="1" t="s">
        <v>29</v>
      </c>
      <c r="O3046" s="1"/>
      <c r="P3046" s="11"/>
      <c r="Q3046" s="11"/>
      <c r="R3046" s="11"/>
      <c r="S3046" s="11"/>
      <c r="T3046" s="1"/>
      <c r="U3046" s="1"/>
      <c r="V3046" s="1"/>
      <c r="W3046" s="1"/>
      <c r="X3046" s="1"/>
      <c r="Y3046" s="1"/>
      <c r="Z3046" s="1"/>
    </row>
    <row r="3047" ht="18.0" customHeight="1" outlineLevel="1" collapsed="1">
      <c r="A3047" s="1"/>
      <c r="B3047" s="1"/>
      <c r="C3047" s="1"/>
      <c r="D3047" s="1"/>
      <c r="E3047" s="14"/>
      <c r="F3047" s="15"/>
      <c r="G3047" s="16"/>
      <c r="H3047" s="11"/>
      <c r="I3047" s="7"/>
      <c r="J3047" s="7" t="str">
        <f>IFERROR(LET(_xlpm.v,
VLOOKUP($I3047,'用語辞書'!$A:$B,COLUMN('用語辞書'!B$1),FALSE),
IF(_xlpm.v=0,"",_xlpm.v)
),"")</f>
        <v/>
      </c>
      <c r="K3047" s="17"/>
      <c r="L3047" s="17" t="str">
        <f>IF(OR(COUNTIF('クラス'!$A$1:$A$1267,$B3047)&gt;0,$B3047="",$M3047=""),"",True)</f>
        <v/>
      </c>
      <c r="M3047" s="1" t="str">
        <f t="shared" si="31"/>
        <v>存在しない</v>
      </c>
      <c r="N3047" s="1" t="s">
        <v>29</v>
      </c>
      <c r="O3047" s="1"/>
      <c r="P3047" s="11"/>
      <c r="Q3047" s="11"/>
      <c r="R3047" s="11"/>
      <c r="S3047" s="11"/>
      <c r="T3047" s="1"/>
      <c r="U3047" s="1"/>
      <c r="V3047" s="1"/>
      <c r="W3047" s="1"/>
      <c r="X3047" s="1"/>
      <c r="Y3047" s="1"/>
      <c r="Z3047" s="1"/>
    </row>
    <row r="3048" ht="18.0" customHeight="1" outlineLevel="1">
      <c r="A3048" s="1"/>
      <c r="B3048" s="26" t="s">
        <v>2544</v>
      </c>
      <c r="C3048" s="1"/>
      <c r="D3048" s="1"/>
      <c r="E3048" s="14"/>
      <c r="F3048" s="15"/>
      <c r="G3048" s="16"/>
      <c r="H3048" s="11"/>
      <c r="I3048" s="7"/>
      <c r="J3048" s="7" t="str">
        <f>IFERROR(LET(_xlpm.v,
VLOOKUP($I3048,'用語辞書'!$A:$B,COLUMN('用語辞書'!B$1),FALSE),
IF(_xlpm.v=0,"",_xlpm.v)
),"")</f>
        <v/>
      </c>
      <c r="K3048" s="17"/>
      <c r="L3048" s="17" t="str">
        <f>IF(OR(COUNTIF('クラス'!$A$1:$A$1267,$B3048)&gt;0,$B3048="",$M3048=""),"",True)</f>
        <v/>
      </c>
      <c r="M3048" s="1" t="str">
        <f t="shared" si="31"/>
        <v>存在しない</v>
      </c>
      <c r="N3048" s="1" t="s">
        <v>29</v>
      </c>
      <c r="O3048" s="1"/>
      <c r="P3048" s="11"/>
      <c r="Q3048" s="11"/>
      <c r="R3048" s="11"/>
      <c r="S3048" s="11"/>
      <c r="T3048" s="1"/>
      <c r="U3048" s="1"/>
      <c r="V3048" s="1"/>
      <c r="W3048" s="1"/>
      <c r="X3048" s="1"/>
      <c r="Y3048" s="1"/>
      <c r="Z3048" s="1"/>
    </row>
    <row r="3049" ht="18.0" hidden="1" customHeight="1" outlineLevel="2">
      <c r="A3049" s="1">
        <v>1.0</v>
      </c>
      <c r="B3049" s="1"/>
      <c r="C3049" s="1"/>
      <c r="D3049" s="1"/>
      <c r="E3049" s="14"/>
      <c r="F3049" s="15"/>
      <c r="G3049" s="16"/>
      <c r="H3049" s="11"/>
      <c r="I3049" s="7"/>
      <c r="J3049" s="7" t="str">
        <f>IFERROR(LET(_xlpm.v,
VLOOKUP($I3049,'用語辞書'!$A:$B,COLUMN('用語辞書'!B$1),FALSE),
IF(_xlpm.v=0,"",_xlpm.v)
),"")</f>
        <v/>
      </c>
      <c r="K3049" s="17"/>
      <c r="L3049" s="17" t="str">
        <f>IF(OR(COUNTIF('クラス'!$A$1:$A$1267,$B3049)&gt;0,$B3049="",$M3049=""),"",True)</f>
        <v/>
      </c>
      <c r="M3049" s="1" t="str">
        <f t="shared" si="31"/>
        <v>存在しない</v>
      </c>
      <c r="N3049" s="1" t="s">
        <v>29</v>
      </c>
      <c r="O3049" s="1"/>
      <c r="P3049" s="11"/>
      <c r="Q3049" s="11"/>
      <c r="R3049" s="11"/>
      <c r="S3049" s="11"/>
      <c r="T3049" s="1"/>
      <c r="U3049" s="1"/>
      <c r="V3049" s="1"/>
      <c r="W3049" s="1"/>
      <c r="X3049" s="1"/>
      <c r="Y3049" s="1"/>
      <c r="Z3049" s="1"/>
    </row>
    <row r="3050" ht="18.0" hidden="1" customHeight="1" outlineLevel="2">
      <c r="A3050" s="1">
        <v>2.0</v>
      </c>
      <c r="B3050" s="1"/>
      <c r="C3050" s="1"/>
      <c r="D3050" s="1"/>
      <c r="E3050" s="14"/>
      <c r="F3050" s="15"/>
      <c r="G3050" s="16"/>
      <c r="H3050" s="11"/>
      <c r="I3050" s="7"/>
      <c r="J3050" s="7" t="str">
        <f>IFERROR(LET(_xlpm.v,
VLOOKUP($I3050,'用語辞書'!$A:$B,COLUMN('用語辞書'!B$1),FALSE),
IF(_xlpm.v=0,"",_xlpm.v)
),"")</f>
        <v/>
      </c>
      <c r="K3050" s="17"/>
      <c r="L3050" s="17" t="str">
        <f>IF(OR(COUNTIF('クラス'!$A$1:$A$1267,$B3050)&gt;0,$B3050="",$M3050=""),"",True)</f>
        <v/>
      </c>
      <c r="M3050" s="1" t="str">
        <f t="shared" si="31"/>
        <v>存在しない</v>
      </c>
      <c r="N3050" s="1" t="s">
        <v>29</v>
      </c>
      <c r="O3050" s="1"/>
      <c r="P3050" s="11"/>
      <c r="Q3050" s="11"/>
      <c r="R3050" s="11"/>
      <c r="S3050" s="11"/>
      <c r="T3050" s="1"/>
      <c r="U3050" s="1"/>
      <c r="V3050" s="1"/>
      <c r="W3050" s="1"/>
      <c r="X3050" s="1"/>
      <c r="Y3050" s="1"/>
      <c r="Z3050" s="1"/>
    </row>
    <row r="3051" ht="18.0" hidden="1" customHeight="1" outlineLevel="2">
      <c r="A3051" s="1">
        <v>3.0</v>
      </c>
      <c r="B3051" s="1"/>
      <c r="C3051" s="1"/>
      <c r="D3051" s="1"/>
      <c r="E3051" s="14"/>
      <c r="F3051" s="15"/>
      <c r="G3051" s="16"/>
      <c r="H3051" s="11"/>
      <c r="I3051" s="7"/>
      <c r="J3051" s="7" t="str">
        <f>IFERROR(LET(_xlpm.v,
VLOOKUP($I3051,'用語辞書'!$A:$B,COLUMN('用語辞書'!B$1),FALSE),
IF(_xlpm.v=0,"",_xlpm.v)
),"")</f>
        <v/>
      </c>
      <c r="K3051" s="17"/>
      <c r="L3051" s="17" t="str">
        <f>IF(OR(COUNTIF('クラス'!$A$1:$A$1267,$B3051)&gt;0,$B3051="",$M3051=""),"",True)</f>
        <v/>
      </c>
      <c r="M3051" s="1" t="str">
        <f t="shared" si="31"/>
        <v>存在しない</v>
      </c>
      <c r="N3051" s="1" t="s">
        <v>29</v>
      </c>
      <c r="O3051" s="1"/>
      <c r="P3051" s="11"/>
      <c r="Q3051" s="11"/>
      <c r="R3051" s="11"/>
      <c r="S3051" s="11"/>
      <c r="T3051" s="1"/>
      <c r="U3051" s="1"/>
      <c r="V3051" s="1"/>
      <c r="W3051" s="1"/>
      <c r="X3051" s="1"/>
      <c r="Y3051" s="1"/>
      <c r="Z3051" s="1"/>
    </row>
    <row r="3052" ht="18.0" hidden="1" customHeight="1" outlineLevel="2">
      <c r="A3052" s="1">
        <v>4.0</v>
      </c>
      <c r="B3052" s="1"/>
      <c r="C3052" s="1"/>
      <c r="D3052" s="1"/>
      <c r="E3052" s="14"/>
      <c r="F3052" s="15"/>
      <c r="G3052" s="16"/>
      <c r="H3052" s="11"/>
      <c r="I3052" s="7"/>
      <c r="J3052" s="7" t="str">
        <f>IFERROR(LET(_xlpm.v,
VLOOKUP($I3052,'用語辞書'!$A:$B,COLUMN('用語辞書'!B$1),FALSE),
IF(_xlpm.v=0,"",_xlpm.v)
),"")</f>
        <v/>
      </c>
      <c r="K3052" s="17"/>
      <c r="L3052" s="17" t="str">
        <f>IF(OR(COUNTIF('クラス'!$A$1:$A$1267,$B3052)&gt;0,$B3052="",$M3052=""),"",True)</f>
        <v/>
      </c>
      <c r="M3052" s="1" t="str">
        <f t="shared" si="31"/>
        <v>存在しない</v>
      </c>
      <c r="N3052" s="1" t="s">
        <v>29</v>
      </c>
      <c r="O3052" s="1"/>
      <c r="P3052" s="11"/>
      <c r="Q3052" s="11"/>
      <c r="R3052" s="11"/>
      <c r="S3052" s="11"/>
      <c r="T3052" s="1"/>
      <c r="U3052" s="1"/>
      <c r="V3052" s="1"/>
      <c r="W3052" s="1"/>
      <c r="X3052" s="1"/>
      <c r="Y3052" s="1"/>
      <c r="Z3052" s="1"/>
    </row>
    <row r="3053" ht="18.0" hidden="1" customHeight="1" outlineLevel="2">
      <c r="A3053" s="1">
        <v>5.0</v>
      </c>
      <c r="B3053" s="1"/>
      <c r="C3053" s="1"/>
      <c r="D3053" s="1"/>
      <c r="E3053" s="14"/>
      <c r="F3053" s="15"/>
      <c r="G3053" s="16"/>
      <c r="H3053" s="11"/>
      <c r="I3053" s="7"/>
      <c r="J3053" s="7" t="str">
        <f>IFERROR(LET(_xlpm.v,
VLOOKUP($I3053,'用語辞書'!$A:$B,COLUMN('用語辞書'!B$1),FALSE),
IF(_xlpm.v=0,"",_xlpm.v)
),"")</f>
        <v/>
      </c>
      <c r="K3053" s="17"/>
      <c r="L3053" s="17" t="str">
        <f>IF(OR(COUNTIF('クラス'!$A$1:$A$1267,$B3053)&gt;0,$B3053="",$M3053=""),"",True)</f>
        <v/>
      </c>
      <c r="M3053" s="1" t="str">
        <f t="shared" si="31"/>
        <v>存在しない</v>
      </c>
      <c r="N3053" s="1" t="s">
        <v>29</v>
      </c>
      <c r="O3053" s="1"/>
      <c r="P3053" s="11"/>
      <c r="Q3053" s="11"/>
      <c r="R3053" s="11"/>
      <c r="S3053" s="11"/>
      <c r="T3053" s="1"/>
      <c r="U3053" s="1"/>
      <c r="V3053" s="1"/>
      <c r="W3053" s="1"/>
      <c r="X3053" s="1"/>
      <c r="Y3053" s="1"/>
      <c r="Z3053" s="1"/>
    </row>
    <row r="3054" ht="18.0" hidden="1" customHeight="1" outlineLevel="2">
      <c r="A3054" s="1">
        <v>6.0</v>
      </c>
      <c r="B3054" s="1"/>
      <c r="C3054" s="1"/>
      <c r="D3054" s="1"/>
      <c r="E3054" s="14"/>
      <c r="F3054" s="15"/>
      <c r="G3054" s="16"/>
      <c r="H3054" s="11"/>
      <c r="I3054" s="7"/>
      <c r="J3054" s="7" t="str">
        <f>IFERROR(LET(_xlpm.v,
VLOOKUP($I3054,'用語辞書'!$A:$B,COLUMN('用語辞書'!B$1),FALSE),
IF(_xlpm.v=0,"",_xlpm.v)
),"")</f>
        <v/>
      </c>
      <c r="K3054" s="17"/>
      <c r="L3054" s="17" t="str">
        <f>IF(OR(COUNTIF('クラス'!$A$1:$A$1267,$B3054)&gt;0,$B3054="",$M3054=""),"",True)</f>
        <v/>
      </c>
      <c r="M3054" s="1" t="str">
        <f t="shared" si="31"/>
        <v>存在しない</v>
      </c>
      <c r="N3054" s="1" t="s">
        <v>29</v>
      </c>
      <c r="O3054" s="1"/>
      <c r="P3054" s="11"/>
      <c r="Q3054" s="11"/>
      <c r="R3054" s="11"/>
      <c r="S3054" s="11"/>
      <c r="T3054" s="1"/>
      <c r="U3054" s="1"/>
      <c r="V3054" s="1"/>
      <c r="W3054" s="1"/>
      <c r="X3054" s="1"/>
      <c r="Y3054" s="1"/>
      <c r="Z3054" s="1"/>
    </row>
    <row r="3055" ht="18.0" hidden="1" customHeight="1" outlineLevel="2">
      <c r="A3055" s="1">
        <v>7.0</v>
      </c>
      <c r="B3055" s="1"/>
      <c r="C3055" s="1"/>
      <c r="D3055" s="1"/>
      <c r="E3055" s="14"/>
      <c r="F3055" s="15"/>
      <c r="G3055" s="16"/>
      <c r="H3055" s="11"/>
      <c r="I3055" s="7"/>
      <c r="J3055" s="7" t="str">
        <f>IFERROR(LET(_xlpm.v,
VLOOKUP($I3055,'用語辞書'!$A:$B,COLUMN('用語辞書'!B$1),FALSE),
IF(_xlpm.v=0,"",_xlpm.v)
),"")</f>
        <v/>
      </c>
      <c r="K3055" s="17"/>
      <c r="L3055" s="17" t="str">
        <f>IF(OR(COUNTIF('クラス'!$A$1:$A$1267,$B3055)&gt;0,$B3055="",$M3055=""),"",True)</f>
        <v/>
      </c>
      <c r="M3055" s="1" t="str">
        <f t="shared" si="31"/>
        <v>存在しない</v>
      </c>
      <c r="N3055" s="1" t="s">
        <v>29</v>
      </c>
      <c r="O3055" s="1"/>
      <c r="P3055" s="11"/>
      <c r="Q3055" s="11"/>
      <c r="R3055" s="11"/>
      <c r="S3055" s="11"/>
      <c r="T3055" s="1"/>
      <c r="U3055" s="1"/>
      <c r="V3055" s="1"/>
      <c r="W3055" s="1"/>
      <c r="X3055" s="1"/>
      <c r="Y3055" s="1"/>
      <c r="Z3055" s="1"/>
    </row>
    <row r="3056" ht="18.0" hidden="1" customHeight="1" outlineLevel="2">
      <c r="A3056" s="1">
        <v>8.0</v>
      </c>
      <c r="B3056" s="1"/>
      <c r="C3056" s="1"/>
      <c r="D3056" s="1"/>
      <c r="E3056" s="14"/>
      <c r="F3056" s="15"/>
      <c r="G3056" s="16"/>
      <c r="H3056" s="11"/>
      <c r="I3056" s="7"/>
      <c r="J3056" s="7" t="str">
        <f>IFERROR(LET(_xlpm.v,
VLOOKUP($I3056,'用語辞書'!$A:$B,COLUMN('用語辞書'!B$1),FALSE),
IF(_xlpm.v=0,"",_xlpm.v)
),"")</f>
        <v/>
      </c>
      <c r="K3056" s="17"/>
      <c r="L3056" s="17" t="str">
        <f>IF(OR(COUNTIF('クラス'!$A$1:$A$1267,$B3056)&gt;0,$B3056="",$M3056=""),"",True)</f>
        <v/>
      </c>
      <c r="M3056" s="1" t="str">
        <f t="shared" si="31"/>
        <v>存在しない</v>
      </c>
      <c r="N3056" s="1" t="s">
        <v>29</v>
      </c>
      <c r="O3056" s="1"/>
      <c r="P3056" s="11"/>
      <c r="Q3056" s="11"/>
      <c r="R3056" s="11"/>
      <c r="S3056" s="11"/>
      <c r="T3056" s="1"/>
      <c r="U3056" s="1"/>
      <c r="V3056" s="1"/>
      <c r="W3056" s="1"/>
      <c r="X3056" s="1"/>
      <c r="Y3056" s="1"/>
      <c r="Z3056" s="1"/>
    </row>
    <row r="3057" ht="18.0" hidden="1" customHeight="1" outlineLevel="2">
      <c r="A3057" s="1">
        <v>9.0</v>
      </c>
      <c r="B3057" s="1"/>
      <c r="C3057" s="1"/>
      <c r="D3057" s="1"/>
      <c r="E3057" s="14"/>
      <c r="F3057" s="15"/>
      <c r="G3057" s="16"/>
      <c r="H3057" s="11"/>
      <c r="I3057" s="7"/>
      <c r="J3057" s="7" t="str">
        <f>IFERROR(LET(_xlpm.v,
VLOOKUP($I3057,'用語辞書'!$A:$B,COLUMN('用語辞書'!B$1),FALSE),
IF(_xlpm.v=0,"",_xlpm.v)
),"")</f>
        <v/>
      </c>
      <c r="K3057" s="17"/>
      <c r="L3057" s="17" t="str">
        <f>IF(OR(COUNTIF('クラス'!$A$1:$A$1267,$B3057)&gt;0,$B3057="",$M3057=""),"",True)</f>
        <v/>
      </c>
      <c r="M3057" s="1" t="str">
        <f t="shared" si="31"/>
        <v>存在しない</v>
      </c>
      <c r="N3057" s="1" t="s">
        <v>29</v>
      </c>
      <c r="O3057" s="1"/>
      <c r="P3057" s="11"/>
      <c r="Q3057" s="11"/>
      <c r="R3057" s="11"/>
      <c r="S3057" s="11"/>
      <c r="T3057" s="1"/>
      <c r="U3057" s="1"/>
      <c r="V3057" s="1"/>
      <c r="W3057" s="1"/>
      <c r="X3057" s="1"/>
      <c r="Y3057" s="1"/>
      <c r="Z3057" s="1"/>
    </row>
    <row r="3058" ht="18.0" hidden="1" customHeight="1" outlineLevel="2">
      <c r="A3058" s="1">
        <v>10.0</v>
      </c>
      <c r="B3058" s="1"/>
      <c r="C3058" s="1"/>
      <c r="D3058" s="1"/>
      <c r="E3058" s="14"/>
      <c r="F3058" s="15"/>
      <c r="G3058" s="16"/>
      <c r="H3058" s="11"/>
      <c r="I3058" s="7"/>
      <c r="J3058" s="7" t="str">
        <f>IFERROR(LET(_xlpm.v,
VLOOKUP($I3058,'用語辞書'!$A:$B,COLUMN('用語辞書'!B$1),FALSE),
IF(_xlpm.v=0,"",_xlpm.v)
),"")</f>
        <v/>
      </c>
      <c r="K3058" s="17"/>
      <c r="L3058" s="17" t="str">
        <f>IF(OR(COUNTIF('クラス'!$A$1:$A$1267,$B3058)&gt;0,$B3058="",$M3058=""),"",True)</f>
        <v/>
      </c>
      <c r="M3058" s="1" t="str">
        <f t="shared" si="31"/>
        <v>存在しない</v>
      </c>
      <c r="N3058" s="1" t="s">
        <v>29</v>
      </c>
      <c r="O3058" s="1"/>
      <c r="P3058" s="11"/>
      <c r="Q3058" s="11"/>
      <c r="R3058" s="11"/>
      <c r="S3058" s="11"/>
      <c r="T3058" s="1"/>
      <c r="U3058" s="1"/>
      <c r="V3058" s="1"/>
      <c r="W3058" s="1"/>
      <c r="X3058" s="1"/>
      <c r="Y3058" s="1"/>
      <c r="Z3058" s="1"/>
    </row>
    <row r="3059" ht="18.0" customHeight="1" outlineLevel="1" collapsed="1">
      <c r="A3059" s="1"/>
      <c r="B3059" s="1"/>
      <c r="C3059" s="1"/>
      <c r="D3059" s="1"/>
      <c r="E3059" s="14"/>
      <c r="F3059" s="15"/>
      <c r="G3059" s="16"/>
      <c r="H3059" s="11"/>
      <c r="I3059" s="7"/>
      <c r="J3059" s="7" t="str">
        <f>IFERROR(LET(_xlpm.v,
VLOOKUP($I3059,'用語辞書'!$A:$B,COLUMN('用語辞書'!B$1),FALSE),
IF(_xlpm.v=0,"",_xlpm.v)
),"")</f>
        <v/>
      </c>
      <c r="K3059" s="17"/>
      <c r="L3059" s="17" t="str">
        <f>IF(OR(COUNTIF('クラス'!$A$1:$A$1267,$B3059)&gt;0,$B3059="",$M3059=""),"",True)</f>
        <v/>
      </c>
      <c r="M3059" s="1" t="str">
        <f t="shared" si="31"/>
        <v>存在しない</v>
      </c>
      <c r="N3059" s="1" t="s">
        <v>29</v>
      </c>
      <c r="O3059" s="1"/>
      <c r="P3059" s="11"/>
      <c r="Q3059" s="11"/>
      <c r="R3059" s="11"/>
      <c r="S3059" s="11"/>
      <c r="T3059" s="1"/>
      <c r="U3059" s="1"/>
      <c r="V3059" s="1"/>
      <c r="W3059" s="1"/>
      <c r="X3059" s="1"/>
      <c r="Y3059" s="1"/>
      <c r="Z3059" s="1"/>
    </row>
    <row r="3060" ht="18.0" customHeight="1" outlineLevel="1">
      <c r="A3060" s="1"/>
      <c r="B3060" s="26" t="s">
        <v>2545</v>
      </c>
      <c r="C3060" s="1"/>
      <c r="D3060" s="1"/>
      <c r="E3060" s="14"/>
      <c r="F3060" s="15"/>
      <c r="G3060" s="16"/>
      <c r="H3060" s="11"/>
      <c r="I3060" s="7"/>
      <c r="J3060" s="7" t="str">
        <f>IFERROR(LET(_xlpm.v,
VLOOKUP($I3060,'用語辞書'!$A:$B,COLUMN('用語辞書'!B$1),FALSE),
IF(_xlpm.v=0,"",_xlpm.v)
),"")</f>
        <v/>
      </c>
      <c r="K3060" s="17"/>
      <c r="L3060" s="17" t="str">
        <f>IF(OR(COUNTIF('クラス'!$A$1:$A$1267,$B3060)&gt;0,$B3060="",$M3060=""),"",True)</f>
        <v/>
      </c>
      <c r="M3060" s="1" t="str">
        <f t="shared" si="31"/>
        <v>存在しない</v>
      </c>
      <c r="N3060" s="1" t="s">
        <v>29</v>
      </c>
      <c r="O3060" s="1"/>
      <c r="P3060" s="11"/>
      <c r="Q3060" s="11"/>
      <c r="R3060" s="11"/>
      <c r="S3060" s="11"/>
      <c r="T3060" s="1"/>
      <c r="U3060" s="1"/>
      <c r="V3060" s="1"/>
      <c r="W3060" s="1"/>
      <c r="X3060" s="1"/>
      <c r="Y3060" s="1"/>
      <c r="Z3060" s="1"/>
    </row>
    <row r="3061" ht="18.0" hidden="1" customHeight="1" outlineLevel="2">
      <c r="A3061" s="1">
        <v>1.0</v>
      </c>
      <c r="B3061" s="1"/>
      <c r="C3061" s="1"/>
      <c r="D3061" s="1"/>
      <c r="E3061" s="14"/>
      <c r="F3061" s="15"/>
      <c r="G3061" s="16"/>
      <c r="H3061" s="11"/>
      <c r="I3061" s="7"/>
      <c r="J3061" s="7" t="str">
        <f>IFERROR(LET(_xlpm.v,
VLOOKUP($I3061,'用語辞書'!$A:$B,COLUMN('用語辞書'!B$1),FALSE),
IF(_xlpm.v=0,"",_xlpm.v)
),"")</f>
        <v/>
      </c>
      <c r="K3061" s="17"/>
      <c r="L3061" s="17" t="str">
        <f>IF(OR(COUNTIF('クラス'!$A$1:$A$1267,$B3061)&gt;0,$B3061="",$M3061=""),"",True)</f>
        <v/>
      </c>
      <c r="M3061" s="1" t="str">
        <f t="shared" si="31"/>
        <v>存在しない</v>
      </c>
      <c r="N3061" s="1" t="s">
        <v>29</v>
      </c>
      <c r="O3061" s="1"/>
      <c r="P3061" s="11"/>
      <c r="Q3061" s="11"/>
      <c r="R3061" s="11"/>
      <c r="S3061" s="11"/>
      <c r="T3061" s="1"/>
      <c r="U3061" s="1"/>
      <c r="V3061" s="1"/>
      <c r="W3061" s="1"/>
      <c r="X3061" s="1"/>
      <c r="Y3061" s="1"/>
      <c r="Z3061" s="1"/>
    </row>
    <row r="3062" ht="18.0" hidden="1" customHeight="1" outlineLevel="2">
      <c r="A3062" s="1">
        <v>2.0</v>
      </c>
      <c r="B3062" s="1"/>
      <c r="C3062" s="1"/>
      <c r="D3062" s="1"/>
      <c r="E3062" s="14"/>
      <c r="F3062" s="15"/>
      <c r="G3062" s="16"/>
      <c r="H3062" s="11"/>
      <c r="I3062" s="7"/>
      <c r="J3062" s="7" t="str">
        <f>IFERROR(LET(_xlpm.v,
VLOOKUP($I3062,'用語辞書'!$A:$B,COLUMN('用語辞書'!B$1),FALSE),
IF(_xlpm.v=0,"",_xlpm.v)
),"")</f>
        <v/>
      </c>
      <c r="K3062" s="17"/>
      <c r="L3062" s="17" t="str">
        <f>IF(OR(COUNTIF('クラス'!$A$1:$A$1267,$B3062)&gt;0,$B3062="",$M3062=""),"",True)</f>
        <v/>
      </c>
      <c r="M3062" s="1" t="str">
        <f t="shared" si="31"/>
        <v>存在しない</v>
      </c>
      <c r="N3062" s="1" t="s">
        <v>29</v>
      </c>
      <c r="O3062" s="1"/>
      <c r="P3062" s="11"/>
      <c r="Q3062" s="11"/>
      <c r="R3062" s="11"/>
      <c r="S3062" s="11"/>
      <c r="T3062" s="1"/>
      <c r="U3062" s="1"/>
      <c r="V3062" s="1"/>
      <c r="W3062" s="1"/>
      <c r="X3062" s="1"/>
      <c r="Y3062" s="1"/>
      <c r="Z3062" s="1"/>
    </row>
    <row r="3063" ht="18.0" hidden="1" customHeight="1" outlineLevel="2">
      <c r="A3063" s="1">
        <v>3.0</v>
      </c>
      <c r="B3063" s="1"/>
      <c r="C3063" s="1"/>
      <c r="D3063" s="1"/>
      <c r="E3063" s="14"/>
      <c r="F3063" s="15"/>
      <c r="G3063" s="16"/>
      <c r="H3063" s="11"/>
      <c r="I3063" s="7"/>
      <c r="J3063" s="7" t="str">
        <f>IFERROR(LET(_xlpm.v,
VLOOKUP($I3063,'用語辞書'!$A:$B,COLUMN('用語辞書'!B$1),FALSE),
IF(_xlpm.v=0,"",_xlpm.v)
),"")</f>
        <v/>
      </c>
      <c r="K3063" s="17"/>
      <c r="L3063" s="17" t="str">
        <f>IF(OR(COUNTIF('クラス'!$A$1:$A$1267,$B3063)&gt;0,$B3063="",$M3063=""),"",True)</f>
        <v/>
      </c>
      <c r="M3063" s="1" t="str">
        <f t="shared" si="31"/>
        <v>存在しない</v>
      </c>
      <c r="N3063" s="1" t="s">
        <v>29</v>
      </c>
      <c r="O3063" s="1"/>
      <c r="P3063" s="11"/>
      <c r="Q3063" s="11"/>
      <c r="R3063" s="11"/>
      <c r="S3063" s="11"/>
      <c r="T3063" s="1"/>
      <c r="U3063" s="1"/>
      <c r="V3063" s="1"/>
      <c r="W3063" s="1"/>
      <c r="X3063" s="1"/>
      <c r="Y3063" s="1"/>
      <c r="Z3063" s="1"/>
    </row>
    <row r="3064" ht="18.0" hidden="1" customHeight="1" outlineLevel="2">
      <c r="A3064" s="1">
        <v>4.0</v>
      </c>
      <c r="B3064" s="1"/>
      <c r="C3064" s="1"/>
      <c r="D3064" s="1"/>
      <c r="E3064" s="14"/>
      <c r="F3064" s="15"/>
      <c r="G3064" s="16"/>
      <c r="H3064" s="11"/>
      <c r="I3064" s="7"/>
      <c r="J3064" s="7" t="str">
        <f>IFERROR(LET(_xlpm.v,
VLOOKUP($I3064,'用語辞書'!$A:$B,COLUMN('用語辞書'!B$1),FALSE),
IF(_xlpm.v=0,"",_xlpm.v)
),"")</f>
        <v/>
      </c>
      <c r="K3064" s="17"/>
      <c r="L3064" s="17" t="str">
        <f>IF(OR(COUNTIF('クラス'!$A$1:$A$1267,$B3064)&gt;0,$B3064="",$M3064=""),"",True)</f>
        <v/>
      </c>
      <c r="M3064" s="1" t="str">
        <f t="shared" si="31"/>
        <v>存在しない</v>
      </c>
      <c r="N3064" s="1" t="s">
        <v>29</v>
      </c>
      <c r="O3064" s="1"/>
      <c r="P3064" s="11"/>
      <c r="Q3064" s="11"/>
      <c r="R3064" s="11"/>
      <c r="S3064" s="11"/>
      <c r="T3064" s="1"/>
      <c r="U3064" s="1"/>
      <c r="V3064" s="1"/>
      <c r="W3064" s="1"/>
      <c r="X3064" s="1"/>
      <c r="Y3064" s="1"/>
      <c r="Z3064" s="1"/>
    </row>
    <row r="3065" ht="18.0" hidden="1" customHeight="1" outlineLevel="2">
      <c r="A3065" s="1">
        <v>5.0</v>
      </c>
      <c r="B3065" s="1"/>
      <c r="C3065" s="1"/>
      <c r="D3065" s="1"/>
      <c r="E3065" s="14"/>
      <c r="F3065" s="15"/>
      <c r="G3065" s="16"/>
      <c r="H3065" s="11"/>
      <c r="I3065" s="7"/>
      <c r="J3065" s="7" t="str">
        <f>IFERROR(LET(_xlpm.v,
VLOOKUP($I3065,'用語辞書'!$A:$B,COLUMN('用語辞書'!B$1),FALSE),
IF(_xlpm.v=0,"",_xlpm.v)
),"")</f>
        <v/>
      </c>
      <c r="K3065" s="17"/>
      <c r="L3065" s="17" t="str">
        <f>IF(OR(COUNTIF('クラス'!$A$1:$A$1267,$B3065)&gt;0,$B3065="",$M3065=""),"",True)</f>
        <v/>
      </c>
      <c r="M3065" s="1" t="str">
        <f t="shared" si="31"/>
        <v>存在しない</v>
      </c>
      <c r="N3065" s="1" t="s">
        <v>29</v>
      </c>
      <c r="O3065" s="1"/>
      <c r="P3065" s="11"/>
      <c r="Q3065" s="11"/>
      <c r="R3065" s="11"/>
      <c r="S3065" s="11"/>
      <c r="T3065" s="1"/>
      <c r="U3065" s="1"/>
      <c r="V3065" s="1"/>
      <c r="W3065" s="1"/>
      <c r="X3065" s="1"/>
      <c r="Y3065" s="1"/>
      <c r="Z3065" s="1"/>
    </row>
    <row r="3066" ht="18.0" hidden="1" customHeight="1" outlineLevel="2">
      <c r="A3066" s="1">
        <v>6.0</v>
      </c>
      <c r="B3066" s="1"/>
      <c r="C3066" s="1"/>
      <c r="D3066" s="1"/>
      <c r="E3066" s="14"/>
      <c r="F3066" s="15"/>
      <c r="G3066" s="16"/>
      <c r="H3066" s="11"/>
      <c r="I3066" s="7"/>
      <c r="J3066" s="7" t="str">
        <f>IFERROR(LET(_xlpm.v,
VLOOKUP($I3066,'用語辞書'!$A:$B,COLUMN('用語辞書'!B$1),FALSE),
IF(_xlpm.v=0,"",_xlpm.v)
),"")</f>
        <v/>
      </c>
      <c r="K3066" s="17"/>
      <c r="L3066" s="17" t="str">
        <f>IF(OR(COUNTIF('クラス'!$A$1:$A$1267,$B3066)&gt;0,$B3066="",$M3066=""),"",True)</f>
        <v/>
      </c>
      <c r="M3066" s="1" t="str">
        <f t="shared" si="31"/>
        <v>存在しない</v>
      </c>
      <c r="N3066" s="1" t="s">
        <v>29</v>
      </c>
      <c r="O3066" s="1"/>
      <c r="P3066" s="11"/>
      <c r="Q3066" s="11"/>
      <c r="R3066" s="11"/>
      <c r="S3066" s="11"/>
      <c r="T3066" s="1"/>
      <c r="U3066" s="1"/>
      <c r="V3066" s="1"/>
      <c r="W3066" s="1"/>
      <c r="X3066" s="1"/>
      <c r="Y3066" s="1"/>
      <c r="Z3066" s="1"/>
    </row>
    <row r="3067" ht="18.0" hidden="1" customHeight="1" outlineLevel="2">
      <c r="A3067" s="1">
        <v>7.0</v>
      </c>
      <c r="B3067" s="1"/>
      <c r="C3067" s="1"/>
      <c r="D3067" s="1"/>
      <c r="E3067" s="14"/>
      <c r="F3067" s="15"/>
      <c r="G3067" s="16"/>
      <c r="H3067" s="11"/>
      <c r="I3067" s="7"/>
      <c r="J3067" s="7" t="str">
        <f>IFERROR(LET(_xlpm.v,
VLOOKUP($I3067,'用語辞書'!$A:$B,COLUMN('用語辞書'!B$1),FALSE),
IF(_xlpm.v=0,"",_xlpm.v)
),"")</f>
        <v/>
      </c>
      <c r="K3067" s="17"/>
      <c r="L3067" s="17" t="str">
        <f>IF(OR(COUNTIF('クラス'!$A$1:$A$1267,$B3067)&gt;0,$B3067="",$M3067=""),"",True)</f>
        <v/>
      </c>
      <c r="M3067" s="1" t="str">
        <f t="shared" si="31"/>
        <v>存在しない</v>
      </c>
      <c r="N3067" s="1" t="s">
        <v>29</v>
      </c>
      <c r="O3067" s="1"/>
      <c r="P3067" s="11"/>
      <c r="Q3067" s="11"/>
      <c r="R3067" s="11"/>
      <c r="S3067" s="11"/>
      <c r="T3067" s="1"/>
      <c r="U3067" s="1"/>
      <c r="V3067" s="1"/>
      <c r="W3067" s="1"/>
      <c r="X3067" s="1"/>
      <c r="Y3067" s="1"/>
      <c r="Z3067" s="1"/>
    </row>
    <row r="3068" ht="18.0" hidden="1" customHeight="1" outlineLevel="2">
      <c r="A3068" s="1">
        <v>8.0</v>
      </c>
      <c r="B3068" s="1"/>
      <c r="C3068" s="1"/>
      <c r="D3068" s="1"/>
      <c r="E3068" s="14"/>
      <c r="F3068" s="15"/>
      <c r="G3068" s="16"/>
      <c r="H3068" s="11"/>
      <c r="I3068" s="7"/>
      <c r="J3068" s="7" t="str">
        <f>IFERROR(LET(_xlpm.v,
VLOOKUP($I3068,'用語辞書'!$A:$B,COLUMN('用語辞書'!B$1),FALSE),
IF(_xlpm.v=0,"",_xlpm.v)
),"")</f>
        <v/>
      </c>
      <c r="K3068" s="17"/>
      <c r="L3068" s="17" t="str">
        <f>IF(OR(COUNTIF('クラス'!$A$1:$A$1267,$B3068)&gt;0,$B3068="",$M3068=""),"",True)</f>
        <v/>
      </c>
      <c r="M3068" s="1" t="str">
        <f t="shared" si="31"/>
        <v>存在しない</v>
      </c>
      <c r="N3068" s="1" t="s">
        <v>29</v>
      </c>
      <c r="O3068" s="1"/>
      <c r="P3068" s="11"/>
      <c r="Q3068" s="11"/>
      <c r="R3068" s="11"/>
      <c r="S3068" s="11"/>
      <c r="T3068" s="1"/>
      <c r="U3068" s="1"/>
      <c r="V3068" s="1"/>
      <c r="W3068" s="1"/>
      <c r="X3068" s="1"/>
      <c r="Y3068" s="1"/>
      <c r="Z3068" s="1"/>
    </row>
    <row r="3069" ht="18.0" hidden="1" customHeight="1" outlineLevel="2">
      <c r="A3069" s="1">
        <v>9.0</v>
      </c>
      <c r="B3069" s="1"/>
      <c r="C3069" s="1"/>
      <c r="D3069" s="1"/>
      <c r="E3069" s="14"/>
      <c r="F3069" s="15"/>
      <c r="G3069" s="16"/>
      <c r="H3069" s="11"/>
      <c r="I3069" s="7"/>
      <c r="J3069" s="7" t="str">
        <f>IFERROR(LET(_xlpm.v,
VLOOKUP($I3069,'用語辞書'!$A:$B,COLUMN('用語辞書'!B$1),FALSE),
IF(_xlpm.v=0,"",_xlpm.v)
),"")</f>
        <v/>
      </c>
      <c r="K3069" s="17"/>
      <c r="L3069" s="17" t="str">
        <f>IF(OR(COUNTIF('クラス'!$A$1:$A$1267,$B3069)&gt;0,$B3069="",$M3069=""),"",True)</f>
        <v/>
      </c>
      <c r="M3069" s="1" t="str">
        <f t="shared" si="31"/>
        <v>存在しない</v>
      </c>
      <c r="N3069" s="1" t="s">
        <v>29</v>
      </c>
      <c r="O3069" s="1"/>
      <c r="P3069" s="11"/>
      <c r="Q3069" s="11"/>
      <c r="R3069" s="11"/>
      <c r="S3069" s="11"/>
      <c r="T3069" s="1"/>
      <c r="U3069" s="1"/>
      <c r="V3069" s="1"/>
      <c r="W3069" s="1"/>
      <c r="X3069" s="1"/>
      <c r="Y3069" s="1"/>
      <c r="Z3069" s="1"/>
    </row>
    <row r="3070" ht="18.0" hidden="1" customHeight="1" outlineLevel="2">
      <c r="A3070" s="1">
        <v>10.0</v>
      </c>
      <c r="B3070" s="1"/>
      <c r="C3070" s="1"/>
      <c r="D3070" s="1"/>
      <c r="E3070" s="14"/>
      <c r="F3070" s="15"/>
      <c r="G3070" s="16"/>
      <c r="H3070" s="11"/>
      <c r="I3070" s="7"/>
      <c r="J3070" s="7" t="str">
        <f>IFERROR(LET(_xlpm.v,
VLOOKUP($I3070,'用語辞書'!$A:$B,COLUMN('用語辞書'!B$1),FALSE),
IF(_xlpm.v=0,"",_xlpm.v)
),"")</f>
        <v/>
      </c>
      <c r="K3070" s="17"/>
      <c r="L3070" s="17" t="str">
        <f>IF(OR(COUNTIF('クラス'!$A$1:$A$1267,$B3070)&gt;0,$B3070="",$M3070=""),"",True)</f>
        <v/>
      </c>
      <c r="M3070" s="1" t="str">
        <f t="shared" si="31"/>
        <v>存在しない</v>
      </c>
      <c r="N3070" s="1" t="s">
        <v>29</v>
      </c>
      <c r="O3070" s="1"/>
      <c r="P3070" s="11"/>
      <c r="Q3070" s="11"/>
      <c r="R3070" s="11"/>
      <c r="S3070" s="11"/>
      <c r="T3070" s="1"/>
      <c r="U3070" s="1"/>
      <c r="V3070" s="1"/>
      <c r="W3070" s="1"/>
      <c r="X3070" s="1"/>
      <c r="Y3070" s="1"/>
      <c r="Z3070" s="1"/>
    </row>
    <row r="3071" ht="18.0" customHeight="1" collapsed="1">
      <c r="A3071" s="1"/>
      <c r="B3071" s="1"/>
      <c r="C3071" s="1"/>
      <c r="D3071" s="1"/>
      <c r="E3071" s="14"/>
      <c r="F3071" s="15"/>
      <c r="G3071" s="16"/>
      <c r="H3071" s="11"/>
      <c r="I3071" s="7"/>
      <c r="J3071" s="7" t="str">
        <f>IFERROR(LET(_xlpm.v,
VLOOKUP($I3071,'用語辞書'!$A:$B,COLUMN('用語辞書'!B$1),FALSE),
IF(_xlpm.v=0,"",_xlpm.v)
),"")</f>
        <v/>
      </c>
      <c r="K3071" s="17"/>
      <c r="L3071" s="17" t="str">
        <f>IF(OR(COUNTIF('クラス'!$A$1:$A$1267,$B3071)&gt;0,$B3071="",$M3071=""),"",True)</f>
        <v/>
      </c>
      <c r="M3071" s="1" t="str">
        <f t="shared" si="31"/>
        <v>存在しない</v>
      </c>
      <c r="N3071" s="1" t="s">
        <v>29</v>
      </c>
      <c r="O3071" s="1"/>
      <c r="P3071" s="11"/>
      <c r="Q3071" s="11"/>
      <c r="R3071" s="11"/>
      <c r="S3071" s="11"/>
      <c r="T3071" s="1"/>
      <c r="U3071" s="1"/>
      <c r="V3071" s="1"/>
      <c r="W3071" s="1"/>
      <c r="X3071" s="1"/>
      <c r="Y3071" s="1"/>
      <c r="Z3071" s="1"/>
    </row>
    <row r="3072" ht="18.0" customHeight="1">
      <c r="A3072" s="1"/>
      <c r="B3072" s="1"/>
      <c r="C3072" s="1"/>
      <c r="D3072" s="1"/>
      <c r="E3072" s="14"/>
      <c r="F3072" s="15"/>
      <c r="G3072" s="16"/>
      <c r="H3072" s="11"/>
      <c r="I3072" s="7"/>
      <c r="J3072" s="7" t="str">
        <f>IFERROR(LET(_xlpm.v,
VLOOKUP($I3072,'用語辞書'!$A:$B,COLUMN('用語辞書'!B$1),FALSE),
IF(_xlpm.v=0,"",_xlpm.v)
),"")</f>
        <v/>
      </c>
      <c r="K3072" s="17"/>
      <c r="L3072" s="17" t="str">
        <f>IF(OR(COUNTIF('クラス'!$A$1:$A$1267,$B3072)&gt;0,$B3072="",$M3072=""),"",True)</f>
        <v/>
      </c>
      <c r="M3072" s="1" t="str">
        <f t="shared" si="31"/>
        <v>存在しない</v>
      </c>
      <c r="N3072" s="1" t="s">
        <v>29</v>
      </c>
      <c r="O3072" s="1"/>
      <c r="P3072" s="11"/>
      <c r="Q3072" s="11"/>
      <c r="R3072" s="11"/>
      <c r="S3072" s="11"/>
      <c r="T3072" s="1"/>
      <c r="U3072" s="1"/>
      <c r="V3072" s="1"/>
      <c r="W3072" s="1"/>
      <c r="X3072" s="1"/>
      <c r="Y3072" s="1"/>
      <c r="Z3072" s="1"/>
    </row>
    <row r="3073" ht="18.0" customHeight="1">
      <c r="A3073" s="1"/>
      <c r="B3073" s="1"/>
      <c r="C3073" s="1"/>
      <c r="D3073" s="1"/>
      <c r="E3073" s="14"/>
      <c r="F3073" s="42"/>
      <c r="G3073" s="43"/>
      <c r="H3073" s="11"/>
      <c r="I3073" s="44"/>
      <c r="J3073" s="44"/>
      <c r="K3073" s="17"/>
      <c r="L3073" s="17" t="str">
        <f>IF(OR(COUNTIF('クラス'!$A$1:$A$1267,$B3073)&gt;0,$B3073="",$M3073=""),"",True)</f>
        <v/>
      </c>
      <c r="M3073" s="1" t="str">
        <f t="shared" si="31"/>
        <v>存在しない</v>
      </c>
      <c r="N3073" s="1"/>
      <c r="O3073" s="1"/>
      <c r="P3073" s="11"/>
      <c r="Q3073" s="11"/>
      <c r="R3073" s="11"/>
      <c r="S3073" s="11"/>
      <c r="T3073" s="1"/>
      <c r="U3073" s="1"/>
      <c r="V3073" s="1"/>
      <c r="W3073" s="1"/>
      <c r="X3073" s="1"/>
      <c r="Y3073" s="1"/>
      <c r="Z3073" s="1"/>
    </row>
    <row r="3074" ht="18.0" customHeight="1">
      <c r="A3074" s="1"/>
      <c r="B3074" s="26" t="s">
        <v>2546</v>
      </c>
      <c r="C3074" s="1"/>
      <c r="D3074" s="1"/>
      <c r="E3074" s="14"/>
      <c r="F3074" s="15"/>
      <c r="G3074" s="16"/>
      <c r="H3074" s="11"/>
      <c r="I3074" s="7"/>
      <c r="J3074" s="7" t="str">
        <f>IFERROR(LET(_xlpm.v,
VLOOKUP($I3074,'用語辞書'!$A:$B,COLUMN('用語辞書'!B$1),FALSE),
IF(_xlpm.v=0,"",_xlpm.v)
),"")</f>
        <v/>
      </c>
      <c r="K3074" s="17"/>
      <c r="L3074" s="17" t="str">
        <f>IF(OR(COUNTIF('クラス'!$A$1:$A$1267,$B3074)&gt;0,$B3074="",$M3074=""),"",True)</f>
        <v/>
      </c>
      <c r="M3074" s="1" t="str">
        <f t="shared" si="31"/>
        <v>存在しない</v>
      </c>
      <c r="N3074" s="1"/>
      <c r="O3074" s="1"/>
      <c r="P3074" s="11"/>
      <c r="Q3074" s="11"/>
      <c r="R3074" s="11"/>
      <c r="S3074" s="11"/>
      <c r="T3074" s="1"/>
      <c r="U3074" s="1"/>
      <c r="V3074" s="1"/>
      <c r="W3074" s="1"/>
      <c r="X3074" s="1"/>
      <c r="Y3074" s="1"/>
      <c r="Z3074" s="1"/>
    </row>
    <row r="3075" ht="18.0" customHeight="1">
      <c r="A3075" s="26">
        <v>1.0</v>
      </c>
      <c r="B3075" s="26" t="s">
        <v>2547</v>
      </c>
      <c r="C3075" s="1"/>
      <c r="D3075" s="26"/>
      <c r="E3075" s="29" t="s">
        <v>55</v>
      </c>
      <c r="F3075" s="15"/>
      <c r="G3075" s="30"/>
      <c r="H3075" s="22" t="s">
        <v>1291</v>
      </c>
      <c r="I3075" s="7"/>
      <c r="J3075" s="7" t="str">
        <f>IFERROR(LET(_xlpm.v,
VLOOKUP($I3075,'用語辞書'!$A:$B,COLUMN('用語辞書'!B$1),FALSE),
IF(_xlpm.v=0,"",_xlpm.v)
),"")</f>
        <v/>
      </c>
      <c r="K3075" s="17"/>
      <c r="L3075" s="17" t="b">
        <f>IF(OR(COUNTIF('クラス'!$A$1:$A$1267,$B3075)&gt;0,$B3075="",$M3075=""),"",True)</f>
        <v>1</v>
      </c>
      <c r="M3075" s="1" t="str">
        <f t="shared" si="31"/>
        <v>存在しない</v>
      </c>
      <c r="N3075" s="1"/>
      <c r="O3075" s="1"/>
      <c r="P3075" s="11"/>
      <c r="Q3075" s="11"/>
      <c r="R3075" s="11"/>
      <c r="S3075" s="11"/>
      <c r="T3075" s="1"/>
      <c r="U3075" s="1"/>
      <c r="V3075" s="1"/>
      <c r="W3075" s="1"/>
      <c r="X3075" s="1"/>
      <c r="Y3075" s="1"/>
      <c r="Z3075" s="1"/>
    </row>
    <row r="3076" ht="18.0" customHeight="1">
      <c r="A3076" s="26">
        <v>2.0</v>
      </c>
      <c r="B3076" s="1"/>
      <c r="C3076" s="1"/>
      <c r="D3076" s="1"/>
      <c r="E3076" s="14"/>
      <c r="F3076" s="15"/>
      <c r="G3076" s="16"/>
      <c r="H3076" s="11"/>
      <c r="I3076" s="7"/>
      <c r="J3076" s="7" t="str">
        <f>IFERROR(LET(_xlpm.v,
VLOOKUP($I3076,'用語辞書'!$A:$B,COLUMN('用語辞書'!B$1),FALSE),
IF(_xlpm.v=0,"",_xlpm.v)
),"")</f>
        <v/>
      </c>
      <c r="K3076" s="17"/>
      <c r="L3076" s="17" t="str">
        <f>IF(OR(COUNTIF('クラス'!$A$1:$A$1267,$B3076)&gt;0,$B3076="",$M3076=""),"",True)</f>
        <v/>
      </c>
      <c r="M3076" s="1" t="str">
        <f t="shared" si="31"/>
        <v>存在しない</v>
      </c>
      <c r="N3076" s="1"/>
      <c r="O3076" s="1"/>
      <c r="P3076" s="11"/>
      <c r="Q3076" s="11"/>
      <c r="R3076" s="11"/>
      <c r="S3076" s="11"/>
      <c r="T3076" s="1"/>
      <c r="U3076" s="1"/>
      <c r="V3076" s="1"/>
      <c r="W3076" s="1"/>
      <c r="X3076" s="1"/>
      <c r="Y3076" s="1"/>
      <c r="Z3076" s="1"/>
    </row>
    <row r="3077" ht="18.0" customHeight="1">
      <c r="A3077" s="26">
        <v>3.0</v>
      </c>
      <c r="B3077" s="26" t="s">
        <v>2548</v>
      </c>
      <c r="C3077" s="1"/>
      <c r="D3077" s="26" t="s">
        <v>644</v>
      </c>
      <c r="E3077" s="29" t="s">
        <v>33</v>
      </c>
      <c r="F3077" s="15"/>
      <c r="G3077" s="30">
        <v>60.0</v>
      </c>
      <c r="H3077" s="22" t="s">
        <v>2549</v>
      </c>
      <c r="I3077" s="7"/>
      <c r="J3077" s="7" t="str">
        <f>IFERROR(LET(_xlpm.v,
VLOOKUP($I3077,'用語辞書'!$A:$B,COLUMN('用語辞書'!B$1),FALSE),
IF(_xlpm.v=0,"",_xlpm.v)
),"")</f>
        <v/>
      </c>
      <c r="K3077" s="17"/>
      <c r="L3077" s="17" t="b">
        <f>IF(OR(COUNTIF('クラス'!$A$1:$A$1267,$B3077)&gt;0,$B3077="",$M3077=""),"",True)</f>
        <v>1</v>
      </c>
      <c r="M3077" s="1" t="str">
        <f t="shared" si="31"/>
        <v>存在しない</v>
      </c>
      <c r="N3077" s="1"/>
      <c r="O3077" s="1"/>
      <c r="P3077" s="11"/>
      <c r="Q3077" s="11"/>
      <c r="R3077" s="11"/>
      <c r="S3077" s="11"/>
      <c r="T3077" s="1"/>
      <c r="U3077" s="1"/>
      <c r="V3077" s="1"/>
      <c r="W3077" s="1"/>
      <c r="X3077" s="1"/>
      <c r="Y3077" s="1"/>
      <c r="Z3077" s="1"/>
    </row>
    <row r="3078" ht="18.0" customHeight="1">
      <c r="A3078" s="26">
        <v>4.0</v>
      </c>
      <c r="B3078" s="1"/>
      <c r="C3078" s="1"/>
      <c r="D3078" s="1"/>
      <c r="E3078" s="14"/>
      <c r="F3078" s="15"/>
      <c r="G3078" s="16"/>
      <c r="H3078" s="11"/>
      <c r="I3078" s="7"/>
      <c r="J3078" s="7" t="str">
        <f>IFERROR(LET(_xlpm.v,
VLOOKUP($I3078,'用語辞書'!$A:$B,COLUMN('用語辞書'!B$1),FALSE),
IF(_xlpm.v=0,"",_xlpm.v)
),"")</f>
        <v/>
      </c>
      <c r="K3078" s="17"/>
      <c r="L3078" s="17" t="str">
        <f>IF(OR(COUNTIF('クラス'!$A$1:$A$1267,$B3078)&gt;0,$B3078="",$M3078=""),"",True)</f>
        <v/>
      </c>
      <c r="M3078" s="1" t="str">
        <f t="shared" si="31"/>
        <v>存在しない</v>
      </c>
      <c r="N3078" s="1"/>
      <c r="O3078" s="1"/>
      <c r="P3078" s="11"/>
      <c r="Q3078" s="11"/>
      <c r="R3078" s="11"/>
      <c r="S3078" s="11"/>
      <c r="T3078" s="1"/>
      <c r="U3078" s="1"/>
      <c r="V3078" s="1"/>
      <c r="W3078" s="1"/>
      <c r="X3078" s="1"/>
      <c r="Y3078" s="1"/>
      <c r="Z3078" s="1"/>
    </row>
    <row r="3079" ht="18.0" customHeight="1">
      <c r="A3079" s="26">
        <v>5.0</v>
      </c>
      <c r="B3079" s="26" t="s">
        <v>2550</v>
      </c>
      <c r="C3079" s="1"/>
      <c r="D3079" s="26"/>
      <c r="E3079" s="29" t="s">
        <v>33</v>
      </c>
      <c r="F3079" s="15"/>
      <c r="G3079" s="30">
        <v>60.0</v>
      </c>
      <c r="H3079" s="22" t="s">
        <v>2551</v>
      </c>
      <c r="I3079" s="7"/>
      <c r="J3079" s="7" t="str">
        <f>IFERROR(LET(_xlpm.v,
VLOOKUP($I3079,'用語辞書'!$A:$B,COLUMN('用語辞書'!B$1),FALSE),
IF(_xlpm.v=0,"",_xlpm.v)
),"")</f>
        <v/>
      </c>
      <c r="K3079" s="17"/>
      <c r="L3079" s="17" t="b">
        <f>IF(OR(COUNTIF('クラス'!$A$1:$A$1267,$B3079)&gt;0,$B3079="",$M3079=""),"",True)</f>
        <v>1</v>
      </c>
      <c r="M3079" s="1" t="str">
        <f t="shared" si="31"/>
        <v>存在しない</v>
      </c>
      <c r="N3079" s="1"/>
      <c r="O3079" s="1"/>
      <c r="P3079" s="11"/>
      <c r="Q3079" s="11"/>
      <c r="R3079" s="11"/>
      <c r="S3079" s="11"/>
      <c r="T3079" s="1"/>
      <c r="U3079" s="1"/>
      <c r="V3079" s="1"/>
      <c r="W3079" s="1"/>
      <c r="X3079" s="1"/>
      <c r="Y3079" s="1"/>
      <c r="Z3079" s="1"/>
    </row>
    <row r="3080" ht="18.0" customHeight="1">
      <c r="A3080" s="26">
        <v>6.0</v>
      </c>
      <c r="B3080" s="1"/>
      <c r="C3080" s="1"/>
      <c r="D3080" s="1"/>
      <c r="E3080" s="14"/>
      <c r="F3080" s="15"/>
      <c r="G3080" s="16"/>
      <c r="H3080" s="11"/>
      <c r="I3080" s="7"/>
      <c r="J3080" s="7" t="str">
        <f>IFERROR(LET(_xlpm.v,
VLOOKUP($I3080,'用語辞書'!$A:$B,COLUMN('用語辞書'!B$1),FALSE),
IF(_xlpm.v=0,"",_xlpm.v)
),"")</f>
        <v/>
      </c>
      <c r="K3080" s="17"/>
      <c r="L3080" s="17" t="str">
        <f>IF(OR(COUNTIF('クラス'!$A$1:$A$1267,$B3080)&gt;0,$B3080="",$M3080=""),"",True)</f>
        <v/>
      </c>
      <c r="M3080" s="1" t="str">
        <f t="shared" si="31"/>
        <v>存在しない</v>
      </c>
      <c r="N3080" s="1"/>
      <c r="O3080" s="1"/>
      <c r="P3080" s="11"/>
      <c r="Q3080" s="11"/>
      <c r="R3080" s="11"/>
      <c r="S3080" s="11"/>
      <c r="T3080" s="1"/>
      <c r="U3080" s="1"/>
      <c r="V3080" s="1"/>
      <c r="W3080" s="1"/>
      <c r="X3080" s="1"/>
      <c r="Y3080" s="1"/>
      <c r="Z3080" s="1"/>
    </row>
    <row r="3081" ht="18.0" customHeight="1">
      <c r="A3081" s="26">
        <v>7.0</v>
      </c>
      <c r="B3081" s="26" t="s">
        <v>2552</v>
      </c>
      <c r="C3081" s="1"/>
      <c r="D3081" s="1"/>
      <c r="E3081" s="29" t="s">
        <v>55</v>
      </c>
      <c r="F3081" s="15"/>
      <c r="G3081" s="30"/>
      <c r="H3081" s="22" t="s">
        <v>2553</v>
      </c>
      <c r="I3081" s="7"/>
      <c r="J3081" s="7" t="str">
        <f>IFERROR(LET(_xlpm.v,
VLOOKUP($I3081,'用語辞書'!$A:$B,COLUMN('用語辞書'!B$1),FALSE),
IF(_xlpm.v=0,"",_xlpm.v)
),"")</f>
        <v/>
      </c>
      <c r="K3081" s="17"/>
      <c r="L3081" s="17" t="b">
        <f>IF(OR(COUNTIF('クラス'!$A$1:$A$1267,$B3081)&gt;0,$B3081="",$M3081=""),"",True)</f>
        <v>1</v>
      </c>
      <c r="M3081" s="1" t="str">
        <f t="shared" si="31"/>
        <v>存在しない</v>
      </c>
      <c r="N3081" s="1"/>
      <c r="O3081" s="1"/>
      <c r="P3081" s="11"/>
      <c r="Q3081" s="11"/>
      <c r="R3081" s="11"/>
      <c r="S3081" s="11"/>
      <c r="T3081" s="1"/>
      <c r="U3081" s="1"/>
      <c r="V3081" s="1"/>
      <c r="W3081" s="1"/>
      <c r="X3081" s="1"/>
      <c r="Y3081" s="1"/>
      <c r="Z3081" s="1"/>
    </row>
    <row r="3082" ht="18.0" customHeight="1">
      <c r="A3082" s="26">
        <v>8.0</v>
      </c>
      <c r="B3082" s="1"/>
      <c r="C3082" s="1"/>
      <c r="D3082" s="1"/>
      <c r="E3082" s="14"/>
      <c r="F3082" s="15"/>
      <c r="G3082" s="16"/>
      <c r="H3082" s="11"/>
      <c r="I3082" s="7"/>
      <c r="J3082" s="7" t="str">
        <f>IFERROR(LET(_xlpm.v,
VLOOKUP($I3082,'用語辞書'!$A:$B,COLUMN('用語辞書'!B$1),FALSE),
IF(_xlpm.v=0,"",_xlpm.v)
),"")</f>
        <v/>
      </c>
      <c r="K3082" s="17"/>
      <c r="L3082" s="17" t="str">
        <f>IF(OR(COUNTIF('クラス'!$A$1:$A$1267,$B3082)&gt;0,$B3082="",$M3082=""),"",True)</f>
        <v/>
      </c>
      <c r="M3082" s="1" t="str">
        <f t="shared" si="31"/>
        <v>存在しない</v>
      </c>
      <c r="N3082" s="1"/>
      <c r="O3082" s="1"/>
      <c r="P3082" s="11"/>
      <c r="Q3082" s="11"/>
      <c r="R3082" s="11"/>
      <c r="S3082" s="11"/>
      <c r="T3082" s="1"/>
      <c r="U3082" s="1"/>
      <c r="V3082" s="1"/>
      <c r="W3082" s="1"/>
      <c r="X3082" s="1"/>
      <c r="Y3082" s="1"/>
      <c r="Z3082" s="1"/>
    </row>
    <row r="3083" ht="18.0" customHeight="1">
      <c r="A3083" s="26">
        <v>9.0</v>
      </c>
      <c r="B3083" s="26" t="s">
        <v>2554</v>
      </c>
      <c r="C3083" s="1"/>
      <c r="D3083" s="1"/>
      <c r="E3083" s="29" t="s">
        <v>55</v>
      </c>
      <c r="F3083" s="15"/>
      <c r="G3083" s="16"/>
      <c r="H3083" s="22" t="s">
        <v>2555</v>
      </c>
      <c r="I3083" s="7"/>
      <c r="J3083" s="7" t="str">
        <f>IFERROR(LET(_xlpm.v,
VLOOKUP($I3083,'用語辞書'!$A:$B,COLUMN('用語辞書'!B$1),FALSE),
IF(_xlpm.v=0,"",_xlpm.v)
),"")</f>
        <v/>
      </c>
      <c r="K3083" s="17"/>
      <c r="L3083" s="17" t="b">
        <f>IF(OR(COUNTIF('クラス'!$A$1:$A$1267,$B3083)&gt;0,$B3083="",$M3083=""),"",True)</f>
        <v>1</v>
      </c>
      <c r="M3083" s="1" t="str">
        <f t="shared" si="31"/>
        <v>存在しない</v>
      </c>
      <c r="N3083" s="1"/>
      <c r="O3083" s="1"/>
      <c r="P3083" s="11"/>
      <c r="Q3083" s="11"/>
      <c r="R3083" s="11"/>
      <c r="S3083" s="11"/>
      <c r="T3083" s="1"/>
      <c r="U3083" s="1"/>
      <c r="V3083" s="1"/>
      <c r="W3083" s="1"/>
      <c r="X3083" s="1"/>
      <c r="Y3083" s="1"/>
      <c r="Z3083" s="1"/>
    </row>
    <row r="3084" ht="18.0" customHeight="1">
      <c r="A3084" s="26">
        <v>10.0</v>
      </c>
      <c r="B3084" s="26" t="s">
        <v>2556</v>
      </c>
      <c r="C3084" s="1"/>
      <c r="D3084" s="1"/>
      <c r="E3084" s="29" t="s">
        <v>33</v>
      </c>
      <c r="F3084" s="15"/>
      <c r="G3084" s="30">
        <v>80.0</v>
      </c>
      <c r="H3084" s="22" t="s">
        <v>2557</v>
      </c>
      <c r="I3084" s="32"/>
      <c r="J3084" s="7" t="str">
        <f>IFERROR(LET(_xlpm.v,
VLOOKUP($I3084,'用語辞書'!$A:$B,COLUMN('用語辞書'!B$1),FALSE),
IF(_xlpm.v=0,"",_xlpm.v)
),"")</f>
        <v/>
      </c>
      <c r="K3084" s="17"/>
      <c r="L3084" s="17" t="b">
        <f>IF(OR(COUNTIF('クラス'!$A$1:$A$1267,$B3084)&gt;0,$B3084="",$M3084=""),"",True)</f>
        <v>1</v>
      </c>
      <c r="M3084" s="1" t="str">
        <f t="shared" si="31"/>
        <v>存在しない</v>
      </c>
      <c r="N3084" s="1"/>
      <c r="O3084" s="1"/>
      <c r="P3084" s="11"/>
      <c r="Q3084" s="11"/>
      <c r="R3084" s="11"/>
      <c r="S3084" s="11"/>
      <c r="T3084" s="1"/>
      <c r="U3084" s="1"/>
      <c r="V3084" s="1"/>
      <c r="W3084" s="1"/>
      <c r="X3084" s="1"/>
      <c r="Y3084" s="1"/>
      <c r="Z3084" s="1"/>
    </row>
    <row r="3085">
      <c r="A3085" s="26"/>
      <c r="B3085" s="26" t="s">
        <v>2558</v>
      </c>
      <c r="C3085" s="1"/>
      <c r="D3085" s="1"/>
      <c r="E3085" s="29"/>
      <c r="F3085" s="15"/>
      <c r="G3085" s="30"/>
      <c r="H3085" s="22"/>
      <c r="I3085" s="32"/>
      <c r="J3085" s="7"/>
      <c r="K3085" s="17"/>
      <c r="L3085" s="17"/>
      <c r="M3085" s="1"/>
      <c r="N3085" s="1"/>
      <c r="O3085" s="1"/>
      <c r="P3085" s="11"/>
      <c r="Q3085" s="11"/>
      <c r="R3085" s="11"/>
      <c r="S3085" s="11"/>
      <c r="T3085" s="1"/>
      <c r="U3085" s="1"/>
      <c r="V3085" s="1"/>
      <c r="W3085" s="1"/>
      <c r="X3085" s="1"/>
      <c r="Y3085" s="1"/>
      <c r="Z3085" s="1"/>
    </row>
    <row r="3086">
      <c r="A3086" s="26">
        <v>1.0</v>
      </c>
      <c r="B3086" s="26" t="s">
        <v>2559</v>
      </c>
      <c r="C3086" s="1"/>
      <c r="D3086" s="26" t="s">
        <v>1342</v>
      </c>
      <c r="E3086" s="29" t="s">
        <v>33</v>
      </c>
      <c r="F3086" s="15"/>
      <c r="G3086" s="30">
        <v>20.0</v>
      </c>
      <c r="H3086" s="22" t="s">
        <v>2560</v>
      </c>
      <c r="I3086" s="32"/>
      <c r="J3086" s="7" t="str">
        <f>IFERROR(LET(_xlpm.v,
VLOOKUP($I3086,'用語辞書'!$A:$B,COLUMN('用語辞書'!B$1),FALSE),
IF(_xlpm.v=0,"",_xlpm.v)
),"")</f>
        <v/>
      </c>
      <c r="K3086" s="17"/>
      <c r="L3086" s="33" t="b">
        <v>1</v>
      </c>
      <c r="M3086" s="1" t="str">
        <f>IF(COUNTIF($B$1:$C3085, $B3086), "", "存在しない")</f>
        <v>存在しない</v>
      </c>
      <c r="N3086" s="1"/>
      <c r="O3086" s="1"/>
      <c r="P3086" s="11"/>
      <c r="Q3086" s="11"/>
      <c r="R3086" s="11"/>
      <c r="S3086" s="11"/>
      <c r="T3086" s="1"/>
      <c r="U3086" s="1"/>
      <c r="V3086" s="1"/>
      <c r="W3086" s="1"/>
      <c r="X3086" s="1"/>
      <c r="Y3086" s="1"/>
      <c r="Z3086" s="1"/>
    </row>
  </sheetData>
  <autoFilter ref="$A$4:$T$1661"/>
  <dataValidations>
    <dataValidation type="list" allowBlank="1" showErrorMessage="1" sqref="I5:I3072 I3074:I3086">
      <formula1>'用語辞書'!$A:$A</formula1>
    </dataValidation>
  </dataValidations>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5.0" ySplit="17.0" topLeftCell="F18" activePane="bottomRight" state="frozen"/>
      <selection activeCell="F1" sqref="F1" pane="topRight"/>
      <selection activeCell="A18" sqref="A18" pane="bottomLeft"/>
      <selection activeCell="F18" sqref="F18" pane="bottomRight"/>
    </sheetView>
  </sheetViews>
  <sheetFormatPr customHeight="1" defaultColWidth="12.63" defaultRowHeight="15.0" outlineLevelCol="1" outlineLevelRow="2"/>
  <cols>
    <col customWidth="1" min="1" max="1" width="13.63"/>
    <col customWidth="1" min="2" max="2" width="7.63"/>
    <col customWidth="1" min="3" max="3" width="6.25"/>
    <col customWidth="1" min="4" max="4" width="10.0"/>
    <col customWidth="1" min="5" max="5" width="3.0"/>
    <col customWidth="1" min="6" max="6" width="3.88"/>
    <col customWidth="1" hidden="1" min="7" max="8" width="3.88" outlineLevel="1"/>
    <col customWidth="1" hidden="1" min="9" max="16" width="4.63" outlineLevel="1"/>
    <col collapsed="1" customWidth="1" min="17" max="17" width="4.25"/>
    <col customWidth="1" min="18" max="33" width="4.25" outlineLevel="1"/>
    <col customWidth="1" min="34" max="34" width="4.38" outlineLevel="1"/>
    <col customWidth="1" min="35" max="35" width="5.75" outlineLevel="1"/>
    <col customWidth="1" min="36" max="36" width="4.63"/>
    <col customWidth="1" hidden="1" min="37" max="44" width="4.63" outlineLevel="1"/>
    <col collapsed="1" customWidth="1" min="45" max="45" width="4.75"/>
    <col customWidth="1" min="46" max="52" width="4.63" outlineLevel="1"/>
    <col customWidth="1" min="53" max="53" width="4.63"/>
    <col customWidth="1" min="54" max="58" width="4.63" outlineLevel="1"/>
    <col customWidth="1" min="59" max="59" width="7.63"/>
    <col customWidth="1" min="60" max="68" width="7.88" outlineLevel="1"/>
    <col customWidth="1" min="69" max="70" width="6.63"/>
    <col customWidth="1" min="71" max="71" width="4.75"/>
    <col customWidth="1" min="72" max="72" width="6.63" outlineLevel="1"/>
    <col customWidth="1" min="73" max="73" width="31.88"/>
    <col customWidth="1" min="74" max="74" width="7.63"/>
    <col customWidth="1" min="75" max="75" width="7.88" outlineLevel="1"/>
    <col customWidth="1" min="76" max="77" width="4.75" outlineLevel="1"/>
    <col customWidth="1" min="78" max="78" width="3.88" outlineLevel="1"/>
    <col customWidth="1" min="79" max="81" width="3.13" outlineLevel="1"/>
    <col customWidth="1" min="82" max="83" width="7.25" outlineLevel="1"/>
    <col customWidth="1" min="84" max="84" width="7.88"/>
    <col customWidth="1" min="85" max="92" width="7.63"/>
    <col customWidth="1" min="93" max="94" width="10.5"/>
    <col customWidth="1" min="95" max="96" width="18.88"/>
  </cols>
  <sheetData>
    <row r="1" ht="30.0" customHeight="1">
      <c r="A1" s="11" t="s">
        <v>2561</v>
      </c>
      <c r="B1" s="2" t="s">
        <v>2</v>
      </c>
      <c r="C1" s="11" t="s">
        <v>2562</v>
      </c>
      <c r="D1" s="11" t="s">
        <v>2563</v>
      </c>
      <c r="E1" s="11" t="s">
        <v>2564</v>
      </c>
      <c r="F1" s="45" t="s">
        <v>2565</v>
      </c>
      <c r="G1" s="45" t="s">
        <v>2566</v>
      </c>
      <c r="H1" s="45" t="s">
        <v>2567</v>
      </c>
      <c r="I1" s="45" t="s">
        <v>2568</v>
      </c>
      <c r="J1" s="45" t="s">
        <v>81</v>
      </c>
      <c r="K1" s="46" t="s">
        <v>2569</v>
      </c>
      <c r="L1" s="45" t="s">
        <v>1348</v>
      </c>
      <c r="M1" s="45" t="s">
        <v>2570</v>
      </c>
      <c r="N1" s="45" t="s">
        <v>2571</v>
      </c>
      <c r="O1" s="45" t="s">
        <v>2572</v>
      </c>
      <c r="P1" s="47" t="s">
        <v>2573</v>
      </c>
      <c r="Q1" s="48" t="s">
        <v>2574</v>
      </c>
      <c r="R1" s="48" t="s">
        <v>2575</v>
      </c>
      <c r="S1" s="48" t="s">
        <v>2576</v>
      </c>
      <c r="T1" s="48" t="s">
        <v>2577</v>
      </c>
      <c r="U1" s="48" t="s">
        <v>2578</v>
      </c>
      <c r="V1" s="48" t="s">
        <v>2579</v>
      </c>
      <c r="W1" s="48" t="s">
        <v>2580</v>
      </c>
      <c r="X1" s="48" t="s">
        <v>2581</v>
      </c>
      <c r="Y1" s="48" t="s">
        <v>2582</v>
      </c>
      <c r="Z1" s="48" t="s">
        <v>2583</v>
      </c>
      <c r="AA1" s="48" t="s">
        <v>2584</v>
      </c>
      <c r="AB1" s="48" t="s">
        <v>2585</v>
      </c>
      <c r="AC1" s="48" t="s">
        <v>2586</v>
      </c>
      <c r="AD1" s="48" t="s">
        <v>2587</v>
      </c>
      <c r="AE1" s="48" t="s">
        <v>2588</v>
      </c>
      <c r="AF1" s="48" t="s">
        <v>2589</v>
      </c>
      <c r="AG1" s="48" t="s">
        <v>2590</v>
      </c>
      <c r="AH1" s="48" t="s">
        <v>2591</v>
      </c>
      <c r="AI1" s="48" t="s">
        <v>2592</v>
      </c>
      <c r="AJ1" s="49" t="s">
        <v>2593</v>
      </c>
      <c r="AK1" s="49" t="s">
        <v>1921</v>
      </c>
      <c r="AL1" s="49" t="s">
        <v>2594</v>
      </c>
      <c r="AM1" s="49" t="s">
        <v>2595</v>
      </c>
      <c r="AN1" s="49" t="s">
        <v>2596</v>
      </c>
      <c r="AO1" s="50" t="s">
        <v>2597</v>
      </c>
      <c r="AP1" s="50" t="s">
        <v>131</v>
      </c>
      <c r="AQ1" s="51" t="s">
        <v>1139</v>
      </c>
      <c r="AR1" s="51" t="s">
        <v>2598</v>
      </c>
      <c r="AS1" s="52" t="s">
        <v>2599</v>
      </c>
      <c r="AT1" s="52" t="s">
        <v>2600</v>
      </c>
      <c r="AU1" s="52" t="s">
        <v>2601</v>
      </c>
      <c r="AV1" s="52" t="s">
        <v>2602</v>
      </c>
      <c r="AW1" s="53" t="s">
        <v>2603</v>
      </c>
      <c r="AX1" s="53" t="s">
        <v>2604</v>
      </c>
      <c r="AY1" s="53" t="s">
        <v>2429</v>
      </c>
      <c r="AZ1" s="53" t="s">
        <v>1179</v>
      </c>
      <c r="BA1" s="54" t="s">
        <v>32</v>
      </c>
      <c r="BB1" s="54" t="s">
        <v>35</v>
      </c>
      <c r="BC1" s="54" t="s">
        <v>37</v>
      </c>
      <c r="BD1" s="54" t="s">
        <v>39</v>
      </c>
      <c r="BE1" s="54" t="s">
        <v>45</v>
      </c>
      <c r="BF1" s="54" t="s">
        <v>2605</v>
      </c>
      <c r="BG1" s="55" t="s">
        <v>2606</v>
      </c>
      <c r="BH1" s="55" t="s">
        <v>2607</v>
      </c>
      <c r="BI1" s="55" t="s">
        <v>2608</v>
      </c>
      <c r="BJ1" s="55" t="s">
        <v>2609</v>
      </c>
      <c r="BK1" s="55" t="s">
        <v>2610</v>
      </c>
      <c r="BL1" s="55" t="s">
        <v>2611</v>
      </c>
      <c r="BM1" s="55" t="s">
        <v>2612</v>
      </c>
      <c r="BN1" s="55" t="s">
        <v>2613</v>
      </c>
      <c r="BO1" s="55" t="s">
        <v>2614</v>
      </c>
      <c r="BP1" s="55" t="s">
        <v>2615</v>
      </c>
      <c r="BQ1" s="22" t="s">
        <v>2616</v>
      </c>
      <c r="BR1" s="22" t="s">
        <v>2617</v>
      </c>
      <c r="BS1" s="56" t="s">
        <v>2618</v>
      </c>
      <c r="BT1" s="22" t="s">
        <v>2619</v>
      </c>
      <c r="BU1" s="11" t="s">
        <v>2620</v>
      </c>
      <c r="BV1" s="11" t="s">
        <v>2621</v>
      </c>
      <c r="BW1" s="11" t="s">
        <v>2622</v>
      </c>
      <c r="BX1" s="57" t="s">
        <v>2623</v>
      </c>
      <c r="BY1" s="57" t="s">
        <v>2624</v>
      </c>
      <c r="BZ1" s="57" t="s">
        <v>2625</v>
      </c>
      <c r="CA1" s="57" t="s">
        <v>2626</v>
      </c>
      <c r="CB1" s="11" t="s">
        <v>2627</v>
      </c>
      <c r="CC1" s="11" t="s">
        <v>2628</v>
      </c>
      <c r="CD1" s="11" t="s">
        <v>2629</v>
      </c>
      <c r="CE1" s="11" t="s">
        <v>2630</v>
      </c>
      <c r="CF1" s="11" t="s">
        <v>2631</v>
      </c>
      <c r="CG1" s="11" t="s">
        <v>2632</v>
      </c>
      <c r="CH1" s="11" t="s">
        <v>2633</v>
      </c>
      <c r="CI1" s="11" t="s">
        <v>2634</v>
      </c>
      <c r="CJ1" s="11" t="s">
        <v>2635</v>
      </c>
      <c r="CK1" s="11" t="s">
        <v>2636</v>
      </c>
      <c r="CL1" s="11" t="s">
        <v>2637</v>
      </c>
      <c r="CM1" s="11" t="s">
        <v>2638</v>
      </c>
      <c r="CN1" s="11" t="s">
        <v>2639</v>
      </c>
      <c r="CO1" s="22" t="s">
        <v>2640</v>
      </c>
      <c r="CP1" s="22" t="s">
        <v>2641</v>
      </c>
      <c r="CQ1" s="22" t="s">
        <v>2642</v>
      </c>
      <c r="CR1" s="22" t="s">
        <v>2643</v>
      </c>
    </row>
    <row r="2" ht="14.25" hidden="1" customHeight="1" outlineLevel="1">
      <c r="A2" s="11"/>
      <c r="B2" s="2"/>
      <c r="C2" s="11"/>
      <c r="D2" s="58"/>
      <c r="E2" s="11"/>
      <c r="F2" s="45"/>
      <c r="G2" s="45"/>
      <c r="H2" s="45"/>
      <c r="I2" s="45"/>
      <c r="J2" s="45"/>
      <c r="K2" s="46"/>
      <c r="L2" s="45"/>
      <c r="M2" s="45"/>
      <c r="N2" s="45"/>
      <c r="O2" s="45"/>
      <c r="P2" s="45"/>
      <c r="Q2" s="37">
        <v>50.0</v>
      </c>
      <c r="R2" s="37">
        <v>51.0</v>
      </c>
      <c r="T2" s="37">
        <v>52.0</v>
      </c>
      <c r="U2" s="37">
        <v>53.0</v>
      </c>
      <c r="V2" s="37">
        <v>54.0</v>
      </c>
      <c r="W2" s="37">
        <v>52.0</v>
      </c>
      <c r="X2" s="37">
        <v>53.0</v>
      </c>
      <c r="Y2" s="37">
        <v>54.0</v>
      </c>
      <c r="Z2" s="37">
        <v>55.0</v>
      </c>
      <c r="AA2" s="37">
        <v>56.0</v>
      </c>
      <c r="AB2" s="37">
        <v>57.0</v>
      </c>
      <c r="AC2" s="37">
        <v>58.0</v>
      </c>
      <c r="AD2" s="37">
        <v>59.0</v>
      </c>
      <c r="AE2" s="37">
        <v>60.0</v>
      </c>
      <c r="AF2" s="37">
        <v>61.0</v>
      </c>
      <c r="AG2" s="37">
        <v>62.0</v>
      </c>
      <c r="AH2" s="37">
        <v>63.0</v>
      </c>
      <c r="AI2" s="37">
        <v>64.0</v>
      </c>
      <c r="AJ2" s="59" t="s">
        <v>2593</v>
      </c>
      <c r="AK2" s="60" t="s">
        <v>2644</v>
      </c>
      <c r="AL2" s="61"/>
      <c r="AM2" s="61"/>
      <c r="AN2" s="61"/>
      <c r="AO2" s="61"/>
      <c r="AP2" s="61"/>
      <c r="AQ2" s="61"/>
      <c r="AR2" s="61"/>
      <c r="AS2" s="61"/>
      <c r="AT2" s="61"/>
      <c r="AU2" s="61"/>
      <c r="AV2" s="61"/>
      <c r="AW2" s="61"/>
      <c r="AX2" s="61"/>
      <c r="AY2" s="61"/>
      <c r="AZ2" s="61"/>
      <c r="BA2" s="61"/>
      <c r="BB2" s="61"/>
      <c r="BC2" s="61"/>
      <c r="BD2" s="61"/>
      <c r="BE2" s="61"/>
      <c r="BF2" s="61"/>
      <c r="BG2" s="61"/>
      <c r="BH2" s="62"/>
      <c r="BI2" s="11"/>
      <c r="BJ2" s="11"/>
      <c r="BK2" s="11"/>
      <c r="BL2" s="11"/>
      <c r="BM2" s="11"/>
      <c r="BN2" s="11"/>
      <c r="BO2" s="11"/>
      <c r="BP2" s="11"/>
      <c r="BQ2" s="11"/>
      <c r="BR2" s="11"/>
      <c r="BS2" s="63"/>
      <c r="BT2" s="11"/>
      <c r="BU2" s="11"/>
      <c r="BV2" s="11"/>
      <c r="BW2" s="11"/>
      <c r="BX2" s="11"/>
      <c r="BY2" s="11"/>
      <c r="BZ2" s="11"/>
      <c r="CA2" s="11"/>
      <c r="CB2" s="11"/>
      <c r="CC2" s="11"/>
      <c r="CD2" s="11"/>
      <c r="CE2" s="11"/>
      <c r="CF2" s="11"/>
      <c r="CG2" s="11"/>
      <c r="CH2" s="11"/>
      <c r="CI2" s="11"/>
      <c r="CJ2" s="11"/>
      <c r="CK2" s="11"/>
      <c r="CL2" s="11"/>
      <c r="CM2" s="11"/>
      <c r="CN2" s="11"/>
      <c r="CO2" s="11"/>
      <c r="CP2" s="11"/>
      <c r="CQ2" s="11"/>
      <c r="CR2" s="11"/>
    </row>
    <row r="3" ht="14.25" hidden="1" customHeight="1" outlineLevel="1">
      <c r="A3" s="11"/>
      <c r="B3" s="2"/>
      <c r="C3" s="11"/>
      <c r="D3" s="58"/>
      <c r="E3" s="11"/>
      <c r="F3" s="45"/>
      <c r="G3" s="45"/>
      <c r="H3" s="45"/>
      <c r="I3" s="45"/>
      <c r="J3" s="45"/>
      <c r="K3" s="46"/>
      <c r="L3" s="45"/>
      <c r="M3" s="45"/>
      <c r="N3" s="45"/>
      <c r="O3" s="45"/>
      <c r="P3" s="45"/>
      <c r="Q3" s="64"/>
      <c r="R3" s="64"/>
      <c r="S3" s="64"/>
      <c r="T3" s="64"/>
      <c r="U3" s="64"/>
      <c r="V3" s="64"/>
      <c r="W3" s="64"/>
      <c r="X3" s="64"/>
      <c r="Y3" s="64"/>
      <c r="Z3" s="64"/>
      <c r="AA3" s="64"/>
      <c r="AJ3" s="59" t="s">
        <v>1921</v>
      </c>
      <c r="AK3" s="60" t="s">
        <v>2645</v>
      </c>
      <c r="AL3" s="61"/>
      <c r="AM3" s="61"/>
      <c r="AN3" s="61"/>
      <c r="AO3" s="61"/>
      <c r="AP3" s="61"/>
      <c r="AQ3" s="61"/>
      <c r="AR3" s="61"/>
      <c r="AS3" s="61"/>
      <c r="AT3" s="61"/>
      <c r="AU3" s="61"/>
      <c r="AV3" s="61"/>
      <c r="AW3" s="61"/>
      <c r="AX3" s="61"/>
      <c r="AY3" s="61"/>
      <c r="AZ3" s="61"/>
      <c r="BA3" s="61"/>
      <c r="BB3" s="61"/>
      <c r="BC3" s="61"/>
      <c r="BD3" s="61"/>
      <c r="BE3" s="61"/>
      <c r="BF3" s="61"/>
      <c r="BG3" s="61"/>
      <c r="BH3" s="62"/>
      <c r="BI3" s="11"/>
      <c r="BJ3" s="11"/>
      <c r="BK3" s="11"/>
      <c r="BL3" s="11"/>
      <c r="BM3" s="11"/>
      <c r="BN3" s="11"/>
      <c r="BO3" s="11"/>
      <c r="BP3" s="11"/>
      <c r="BQ3" s="11"/>
      <c r="BR3" s="11"/>
      <c r="BS3" s="63"/>
      <c r="BT3" s="11"/>
      <c r="BU3" s="11"/>
      <c r="BV3" s="11"/>
      <c r="BW3" s="11"/>
      <c r="BX3" s="11"/>
      <c r="BY3" s="11"/>
      <c r="BZ3" s="11"/>
      <c r="CA3" s="11"/>
      <c r="CB3" s="11"/>
      <c r="CC3" s="11"/>
      <c r="CD3" s="11"/>
      <c r="CE3" s="11"/>
      <c r="CF3" s="11"/>
      <c r="CG3" s="11"/>
      <c r="CH3" s="11"/>
      <c r="CI3" s="11"/>
      <c r="CJ3" s="11"/>
      <c r="CK3" s="11"/>
      <c r="CL3" s="11"/>
      <c r="CM3" s="11"/>
      <c r="CN3" s="11"/>
      <c r="CO3" s="11"/>
      <c r="CP3" s="11"/>
      <c r="CQ3" s="11"/>
      <c r="CR3" s="11"/>
    </row>
    <row r="4" ht="14.25" hidden="1" customHeight="1" outlineLevel="1">
      <c r="A4" s="11"/>
      <c r="B4" s="2"/>
      <c r="C4" s="11"/>
      <c r="D4" s="58"/>
      <c r="E4" s="11"/>
      <c r="F4" s="45"/>
      <c r="G4" s="45"/>
      <c r="H4" s="45"/>
      <c r="I4" s="45"/>
      <c r="J4" s="45"/>
      <c r="K4" s="46"/>
      <c r="L4" s="45"/>
      <c r="M4" s="45"/>
      <c r="N4" s="45"/>
      <c r="O4" s="45"/>
      <c r="P4" s="45"/>
      <c r="Q4" s="64"/>
      <c r="R4" s="64"/>
      <c r="S4" s="64"/>
      <c r="T4" s="64"/>
      <c r="U4" s="64"/>
      <c r="V4" s="64"/>
      <c r="W4" s="64"/>
      <c r="X4" s="64"/>
      <c r="Y4" s="64"/>
      <c r="Z4" s="64"/>
      <c r="AA4" s="64"/>
      <c r="AJ4" s="59" t="s">
        <v>2594</v>
      </c>
      <c r="AK4" s="60" t="s">
        <v>2646</v>
      </c>
      <c r="AL4" s="61"/>
      <c r="AM4" s="61"/>
      <c r="AN4" s="61"/>
      <c r="AO4" s="61"/>
      <c r="AP4" s="61"/>
      <c r="AQ4" s="61"/>
      <c r="AR4" s="61"/>
      <c r="AS4" s="61"/>
      <c r="AT4" s="61"/>
      <c r="AU4" s="61"/>
      <c r="AV4" s="61"/>
      <c r="AW4" s="61"/>
      <c r="AX4" s="61"/>
      <c r="AY4" s="61"/>
      <c r="AZ4" s="61"/>
      <c r="BA4" s="61"/>
      <c r="BB4" s="61"/>
      <c r="BC4" s="61"/>
      <c r="BD4" s="61"/>
      <c r="BE4" s="61"/>
      <c r="BF4" s="61"/>
      <c r="BG4" s="61"/>
      <c r="BH4" s="62"/>
      <c r="BI4" s="11"/>
      <c r="BJ4" s="11"/>
      <c r="BK4" s="11"/>
      <c r="BL4" s="11"/>
      <c r="BM4" s="11"/>
      <c r="BN4" s="11"/>
      <c r="BO4" s="11"/>
      <c r="BP4" s="11"/>
      <c r="BQ4" s="11"/>
      <c r="BR4" s="11"/>
      <c r="BS4" s="63"/>
      <c r="BT4" s="11"/>
      <c r="BU4" s="11"/>
      <c r="BV4" s="11"/>
      <c r="BW4" s="11"/>
      <c r="BX4" s="11"/>
      <c r="BY4" s="11"/>
      <c r="BZ4" s="11"/>
      <c r="CA4" s="11"/>
      <c r="CB4" s="11"/>
      <c r="CC4" s="11"/>
      <c r="CD4" s="11"/>
      <c r="CE4" s="11"/>
      <c r="CF4" s="11"/>
      <c r="CG4" s="11"/>
      <c r="CH4" s="11"/>
      <c r="CI4" s="11"/>
      <c r="CJ4" s="11"/>
      <c r="CK4" s="11"/>
      <c r="CL4" s="11"/>
      <c r="CM4" s="11"/>
      <c r="CN4" s="11"/>
      <c r="CO4" s="11"/>
      <c r="CP4" s="11"/>
      <c r="CQ4" s="11"/>
      <c r="CR4" s="11"/>
    </row>
    <row r="5" ht="14.25" hidden="1" customHeight="1" outlineLevel="1">
      <c r="A5" s="11"/>
      <c r="B5" s="2"/>
      <c r="C5" s="11"/>
      <c r="D5" s="58"/>
      <c r="E5" s="11"/>
      <c r="F5" s="45"/>
      <c r="G5" s="45"/>
      <c r="H5" s="45"/>
      <c r="I5" s="45"/>
      <c r="J5" s="45"/>
      <c r="K5" s="46"/>
      <c r="L5" s="45"/>
      <c r="M5" s="45"/>
      <c r="N5" s="45"/>
      <c r="O5" s="45"/>
      <c r="P5" s="45"/>
      <c r="Q5" s="64"/>
      <c r="R5" s="64"/>
      <c r="S5" s="64"/>
      <c r="T5" s="64"/>
      <c r="U5" s="64"/>
      <c r="V5" s="64"/>
      <c r="W5" s="64"/>
      <c r="X5" s="64"/>
      <c r="Y5" s="64"/>
      <c r="Z5" s="64"/>
      <c r="AA5" s="64"/>
      <c r="AJ5" s="59" t="s">
        <v>2595</v>
      </c>
      <c r="AK5" s="60" t="s">
        <v>2647</v>
      </c>
      <c r="AL5" s="61"/>
      <c r="AM5" s="61"/>
      <c r="AN5" s="61"/>
      <c r="AO5" s="61"/>
      <c r="AP5" s="61"/>
      <c r="AQ5" s="61"/>
      <c r="AR5" s="61"/>
      <c r="AS5" s="61"/>
      <c r="AT5" s="61"/>
      <c r="AU5" s="61"/>
      <c r="AV5" s="61"/>
      <c r="AW5" s="61"/>
      <c r="AX5" s="61"/>
      <c r="AY5" s="61"/>
      <c r="AZ5" s="61"/>
      <c r="BA5" s="61"/>
      <c r="BB5" s="61"/>
      <c r="BC5" s="61"/>
      <c r="BD5" s="61"/>
      <c r="BE5" s="61"/>
      <c r="BF5" s="61"/>
      <c r="BG5" s="61"/>
      <c r="BH5" s="62"/>
      <c r="BI5" s="11"/>
      <c r="BJ5" s="11"/>
      <c r="BK5" s="11"/>
      <c r="BL5" s="11"/>
      <c r="BM5" s="11"/>
      <c r="BN5" s="11"/>
      <c r="BO5" s="11"/>
      <c r="BP5" s="11"/>
      <c r="BQ5" s="11"/>
      <c r="BR5" s="11"/>
      <c r="BS5" s="63"/>
      <c r="BT5" s="11"/>
      <c r="BU5" s="11"/>
      <c r="BV5" s="11"/>
      <c r="BW5" s="11"/>
      <c r="BX5" s="11"/>
      <c r="BY5" s="11"/>
      <c r="BZ5" s="11"/>
      <c r="CA5" s="11"/>
      <c r="CB5" s="11"/>
      <c r="CC5" s="11"/>
      <c r="CD5" s="11"/>
      <c r="CE5" s="11"/>
      <c r="CF5" s="11"/>
      <c r="CG5" s="11"/>
      <c r="CH5" s="11"/>
      <c r="CI5" s="11"/>
      <c r="CJ5" s="11"/>
      <c r="CK5" s="11"/>
      <c r="CL5" s="11"/>
      <c r="CM5" s="11"/>
      <c r="CN5" s="11"/>
      <c r="CO5" s="11"/>
      <c r="CP5" s="11"/>
      <c r="CQ5" s="11"/>
      <c r="CR5" s="11"/>
    </row>
    <row r="6" ht="14.25" hidden="1" customHeight="1" outlineLevel="1">
      <c r="A6" s="11"/>
      <c r="B6" s="2"/>
      <c r="C6" s="11"/>
      <c r="D6" s="58"/>
      <c r="E6" s="11"/>
      <c r="F6" s="45"/>
      <c r="G6" s="45"/>
      <c r="H6" s="45"/>
      <c r="I6" s="45"/>
      <c r="J6" s="45"/>
      <c r="K6" s="46"/>
      <c r="L6" s="45"/>
      <c r="M6" s="45"/>
      <c r="N6" s="45"/>
      <c r="O6" s="45"/>
      <c r="P6" s="45"/>
      <c r="Q6" s="64"/>
      <c r="R6" s="64"/>
      <c r="S6" s="64"/>
      <c r="T6" s="64"/>
      <c r="U6" s="64"/>
      <c r="V6" s="64"/>
      <c r="W6" s="64"/>
      <c r="X6" s="64"/>
      <c r="Y6" s="64"/>
      <c r="Z6" s="64"/>
      <c r="AA6" s="64"/>
      <c r="AJ6" s="59" t="s">
        <v>2596</v>
      </c>
      <c r="AK6" s="60" t="s">
        <v>2648</v>
      </c>
      <c r="AL6" s="61"/>
      <c r="AM6" s="61"/>
      <c r="AN6" s="61"/>
      <c r="AO6" s="61"/>
      <c r="AP6" s="61"/>
      <c r="AQ6" s="61"/>
      <c r="AR6" s="61"/>
      <c r="AS6" s="61"/>
      <c r="AT6" s="61"/>
      <c r="AU6" s="61"/>
      <c r="AV6" s="61"/>
      <c r="AW6" s="61"/>
      <c r="AX6" s="61"/>
      <c r="AY6" s="61"/>
      <c r="AZ6" s="61"/>
      <c r="BA6" s="61"/>
      <c r="BB6" s="61"/>
      <c r="BC6" s="61"/>
      <c r="BD6" s="61"/>
      <c r="BE6" s="61"/>
      <c r="BF6" s="61"/>
      <c r="BG6" s="61"/>
      <c r="BH6" s="62"/>
      <c r="BI6" s="11"/>
      <c r="BJ6" s="11"/>
      <c r="BK6" s="11"/>
      <c r="BL6" s="11"/>
      <c r="BM6" s="11"/>
      <c r="BN6" s="11"/>
      <c r="BO6" s="11"/>
      <c r="BP6" s="11"/>
      <c r="BQ6" s="11"/>
      <c r="BR6" s="11"/>
      <c r="BS6" s="63"/>
      <c r="BT6" s="11"/>
      <c r="BU6" s="11"/>
      <c r="BV6" s="11"/>
      <c r="BW6" s="11"/>
      <c r="BX6" s="11"/>
      <c r="BY6" s="11"/>
      <c r="BZ6" s="11"/>
      <c r="CA6" s="11"/>
      <c r="CB6" s="11"/>
      <c r="CC6" s="11"/>
      <c r="CD6" s="11"/>
      <c r="CE6" s="11"/>
      <c r="CF6" s="11"/>
      <c r="CG6" s="11"/>
      <c r="CH6" s="11"/>
      <c r="CI6" s="11"/>
      <c r="CJ6" s="11"/>
      <c r="CK6" s="11"/>
      <c r="CL6" s="11"/>
      <c r="CM6" s="11"/>
      <c r="CN6" s="11"/>
      <c r="CO6" s="11"/>
      <c r="CP6" s="11"/>
      <c r="CQ6" s="11"/>
      <c r="CR6" s="11"/>
    </row>
    <row r="7" ht="14.25" hidden="1" customHeight="1" outlineLevel="1">
      <c r="A7" s="11"/>
      <c r="B7" s="2"/>
      <c r="C7" s="11"/>
      <c r="D7" s="58"/>
      <c r="E7" s="11"/>
      <c r="F7" s="45"/>
      <c r="G7" s="45"/>
      <c r="H7" s="45"/>
      <c r="I7" s="45"/>
      <c r="J7" s="45"/>
      <c r="K7" s="46"/>
      <c r="L7" s="45"/>
      <c r="M7" s="45"/>
      <c r="N7" s="45"/>
      <c r="O7" s="45"/>
      <c r="P7" s="45"/>
      <c r="Q7" s="64"/>
      <c r="R7" s="64"/>
      <c r="S7" s="64"/>
      <c r="T7" s="64"/>
      <c r="U7" s="64"/>
      <c r="V7" s="64"/>
      <c r="W7" s="64"/>
      <c r="X7" s="64"/>
      <c r="Y7" s="64"/>
      <c r="Z7" s="64"/>
      <c r="AA7" s="64"/>
      <c r="AJ7" s="65" t="s">
        <v>1139</v>
      </c>
      <c r="AK7" s="66" t="s">
        <v>2649</v>
      </c>
      <c r="AL7" s="61"/>
      <c r="AM7" s="61"/>
      <c r="AN7" s="61"/>
      <c r="AO7" s="61"/>
      <c r="AP7" s="61"/>
      <c r="AQ7" s="61"/>
      <c r="AR7" s="61"/>
      <c r="AS7" s="61"/>
      <c r="AT7" s="61"/>
      <c r="AU7" s="61"/>
      <c r="AV7" s="61"/>
      <c r="AW7" s="61"/>
      <c r="AX7" s="61"/>
      <c r="AY7" s="61"/>
      <c r="AZ7" s="61"/>
      <c r="BA7" s="61"/>
      <c r="BB7" s="61"/>
      <c r="BC7" s="61"/>
      <c r="BD7" s="61"/>
      <c r="BE7" s="61"/>
      <c r="BF7" s="61"/>
      <c r="BG7" s="61"/>
      <c r="BH7" s="62"/>
      <c r="BI7" s="11"/>
      <c r="BJ7" s="11"/>
      <c r="BK7" s="11"/>
      <c r="BL7" s="11"/>
      <c r="BM7" s="11"/>
      <c r="BN7" s="11"/>
      <c r="BO7" s="11"/>
      <c r="BP7" s="11"/>
      <c r="BQ7" s="11"/>
      <c r="BR7" s="11"/>
      <c r="BS7" s="63"/>
      <c r="BT7" s="11"/>
      <c r="BU7" s="11"/>
      <c r="BV7" s="11"/>
      <c r="BW7" s="11"/>
      <c r="BX7" s="11"/>
      <c r="BY7" s="11"/>
      <c r="BZ7" s="11"/>
      <c r="CA7" s="11"/>
      <c r="CB7" s="11"/>
      <c r="CC7" s="11"/>
      <c r="CD7" s="11"/>
      <c r="CE7" s="11"/>
      <c r="CF7" s="11"/>
      <c r="CG7" s="11"/>
      <c r="CH7" s="11"/>
      <c r="CI7" s="11"/>
      <c r="CJ7" s="11"/>
      <c r="CK7" s="11"/>
      <c r="CL7" s="11"/>
      <c r="CM7" s="11"/>
      <c r="CN7" s="11"/>
      <c r="CO7" s="11"/>
      <c r="CP7" s="11"/>
      <c r="CQ7" s="11"/>
      <c r="CR7" s="11"/>
    </row>
    <row r="8" ht="14.25" hidden="1" customHeight="1" outlineLevel="1">
      <c r="A8" s="11"/>
      <c r="B8" s="2"/>
      <c r="C8" s="11"/>
      <c r="D8" s="58"/>
      <c r="E8" s="11"/>
      <c r="F8" s="45"/>
      <c r="G8" s="45"/>
      <c r="H8" s="45"/>
      <c r="I8" s="45"/>
      <c r="J8" s="45"/>
      <c r="K8" s="46"/>
      <c r="L8" s="45"/>
      <c r="M8" s="45"/>
      <c r="N8" s="45"/>
      <c r="O8" s="45"/>
      <c r="P8" s="45"/>
      <c r="Q8" s="64"/>
      <c r="R8" s="64"/>
      <c r="S8" s="64"/>
      <c r="T8" s="64"/>
      <c r="U8" s="64"/>
      <c r="V8" s="64"/>
      <c r="W8" s="64"/>
      <c r="X8" s="64"/>
      <c r="Y8" s="64"/>
      <c r="Z8" s="64"/>
      <c r="AA8" s="64"/>
      <c r="AJ8" s="65" t="s">
        <v>2598</v>
      </c>
      <c r="AK8" s="66" t="s">
        <v>2650</v>
      </c>
      <c r="AL8" s="61"/>
      <c r="AM8" s="61"/>
      <c r="AN8" s="61"/>
      <c r="AO8" s="61"/>
      <c r="AP8" s="61"/>
      <c r="AQ8" s="61"/>
      <c r="AR8" s="61"/>
      <c r="AS8" s="61"/>
      <c r="AT8" s="61"/>
      <c r="AU8" s="61"/>
      <c r="AV8" s="61"/>
      <c r="AW8" s="61"/>
      <c r="AX8" s="61"/>
      <c r="AY8" s="61"/>
      <c r="AZ8" s="61"/>
      <c r="BA8" s="61"/>
      <c r="BB8" s="61"/>
      <c r="BC8" s="61"/>
      <c r="BD8" s="61"/>
      <c r="BE8" s="61"/>
      <c r="BF8" s="61"/>
      <c r="BG8" s="61"/>
      <c r="BH8" s="62"/>
      <c r="BI8" s="11"/>
      <c r="BJ8" s="11"/>
      <c r="BK8" s="11"/>
      <c r="BL8" s="11"/>
      <c r="BM8" s="11"/>
      <c r="BN8" s="11"/>
      <c r="BO8" s="11"/>
      <c r="BP8" s="11"/>
      <c r="BQ8" s="11"/>
      <c r="BR8" s="11"/>
      <c r="BS8" s="63"/>
      <c r="BT8" s="11"/>
      <c r="BU8" s="11"/>
      <c r="BV8" s="11"/>
      <c r="BW8" s="11"/>
      <c r="BX8" s="11"/>
      <c r="BY8" s="11"/>
      <c r="BZ8" s="11"/>
      <c r="CA8" s="11"/>
      <c r="CB8" s="11"/>
      <c r="CC8" s="11"/>
      <c r="CD8" s="11"/>
      <c r="CE8" s="11"/>
      <c r="CF8" s="11"/>
      <c r="CG8" s="11"/>
      <c r="CH8" s="11"/>
      <c r="CI8" s="11"/>
      <c r="CJ8" s="11"/>
      <c r="CK8" s="11"/>
      <c r="CL8" s="11"/>
      <c r="CM8" s="11"/>
      <c r="CN8" s="11"/>
      <c r="CO8" s="11"/>
      <c r="CP8" s="11"/>
      <c r="CQ8" s="11"/>
      <c r="CR8" s="11"/>
    </row>
    <row r="9" ht="14.25" hidden="1" customHeight="1" outlineLevel="1">
      <c r="A9" s="11"/>
      <c r="B9" s="2"/>
      <c r="C9" s="11"/>
      <c r="D9" s="58"/>
      <c r="E9" s="11"/>
      <c r="F9" s="45"/>
      <c r="G9" s="45"/>
      <c r="H9" s="45"/>
      <c r="I9" s="45"/>
      <c r="J9" s="45"/>
      <c r="K9" s="46"/>
      <c r="L9" s="45"/>
      <c r="M9" s="45"/>
      <c r="N9" s="45"/>
      <c r="O9" s="45"/>
      <c r="P9" s="45"/>
      <c r="Q9" s="64"/>
      <c r="R9" s="64"/>
      <c r="S9" s="64"/>
      <c r="T9" s="64"/>
      <c r="U9" s="64"/>
      <c r="V9" s="64"/>
      <c r="W9" s="64"/>
      <c r="X9" s="64"/>
      <c r="Y9" s="64"/>
      <c r="Z9" s="64"/>
      <c r="AA9" s="64"/>
      <c r="AJ9" s="67" t="s">
        <v>2599</v>
      </c>
      <c r="AK9" s="68" t="s">
        <v>2651</v>
      </c>
      <c r="AL9" s="61"/>
      <c r="AM9" s="61"/>
      <c r="AN9" s="61"/>
      <c r="AO9" s="61"/>
      <c r="AP9" s="61"/>
      <c r="AQ9" s="61"/>
      <c r="AR9" s="61"/>
      <c r="AS9" s="61"/>
      <c r="AT9" s="61"/>
      <c r="AU9" s="61"/>
      <c r="AV9" s="61"/>
      <c r="AW9" s="61"/>
      <c r="AX9" s="61"/>
      <c r="AY9" s="61"/>
      <c r="AZ9" s="61"/>
      <c r="BA9" s="61"/>
      <c r="BB9" s="61"/>
      <c r="BC9" s="61"/>
      <c r="BD9" s="61"/>
      <c r="BE9" s="61"/>
      <c r="BF9" s="61"/>
      <c r="BG9" s="61"/>
      <c r="BH9" s="62"/>
      <c r="BI9" s="11"/>
      <c r="BJ9" s="11"/>
      <c r="BK9" s="11"/>
      <c r="BL9" s="11"/>
      <c r="BM9" s="11"/>
      <c r="BN9" s="11"/>
      <c r="BO9" s="11"/>
      <c r="BP9" s="11"/>
      <c r="BQ9" s="11"/>
      <c r="BR9" s="11"/>
      <c r="BS9" s="63"/>
      <c r="BT9" s="11"/>
      <c r="BU9" s="11"/>
      <c r="BV9" s="11"/>
      <c r="BW9" s="11"/>
      <c r="BX9" s="11"/>
      <c r="BY9" s="11"/>
      <c r="BZ9" s="11"/>
      <c r="CA9" s="11"/>
      <c r="CB9" s="11"/>
      <c r="CC9" s="11"/>
      <c r="CD9" s="11"/>
      <c r="CE9" s="11"/>
      <c r="CF9" s="11"/>
      <c r="CG9" s="11"/>
      <c r="CH9" s="11"/>
      <c r="CI9" s="11"/>
      <c r="CJ9" s="11"/>
      <c r="CK9" s="11"/>
      <c r="CL9" s="11"/>
      <c r="CM9" s="11"/>
      <c r="CN9" s="11"/>
      <c r="CO9" s="11"/>
      <c r="CP9" s="11"/>
      <c r="CQ9" s="11"/>
      <c r="CR9" s="11"/>
    </row>
    <row r="10" ht="14.25" hidden="1" customHeight="1" outlineLevel="1">
      <c r="A10" s="11"/>
      <c r="B10" s="2"/>
      <c r="C10" s="11"/>
      <c r="D10" s="58"/>
      <c r="E10" s="11"/>
      <c r="F10" s="45"/>
      <c r="G10" s="45"/>
      <c r="H10" s="45"/>
      <c r="I10" s="45"/>
      <c r="J10" s="45"/>
      <c r="K10" s="46"/>
      <c r="L10" s="45"/>
      <c r="M10" s="45"/>
      <c r="N10" s="45"/>
      <c r="O10" s="45"/>
      <c r="P10" s="45"/>
      <c r="Q10" s="64"/>
      <c r="R10" s="64"/>
      <c r="S10" s="64"/>
      <c r="T10" s="64"/>
      <c r="U10" s="64"/>
      <c r="V10" s="64"/>
      <c r="W10" s="64"/>
      <c r="X10" s="64"/>
      <c r="Y10" s="64"/>
      <c r="Z10" s="64"/>
      <c r="AA10" s="64"/>
      <c r="AJ10" s="67" t="s">
        <v>2600</v>
      </c>
      <c r="AK10" s="68" t="s">
        <v>2652</v>
      </c>
      <c r="AL10" s="61"/>
      <c r="AM10" s="61"/>
      <c r="AN10" s="61"/>
      <c r="AO10" s="61"/>
      <c r="AP10" s="61"/>
      <c r="AQ10" s="61"/>
      <c r="AR10" s="61"/>
      <c r="AS10" s="61"/>
      <c r="AT10" s="61"/>
      <c r="AU10" s="61"/>
      <c r="AV10" s="61"/>
      <c r="AW10" s="61"/>
      <c r="AX10" s="61"/>
      <c r="AY10" s="61"/>
      <c r="AZ10" s="61"/>
      <c r="BA10" s="61"/>
      <c r="BB10" s="61"/>
      <c r="BC10" s="61"/>
      <c r="BD10" s="61"/>
      <c r="BE10" s="61"/>
      <c r="BF10" s="61"/>
      <c r="BG10" s="61"/>
      <c r="BH10" s="62"/>
      <c r="BI10" s="11"/>
      <c r="BJ10" s="11"/>
      <c r="BK10" s="11"/>
      <c r="BL10" s="11"/>
      <c r="BM10" s="11"/>
      <c r="BN10" s="11"/>
      <c r="BO10" s="11"/>
      <c r="BP10" s="11"/>
      <c r="BQ10" s="11"/>
      <c r="BR10" s="11"/>
      <c r="BS10" s="63"/>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row>
    <row r="11" ht="14.25" hidden="1" customHeight="1" outlineLevel="1">
      <c r="A11" s="11"/>
      <c r="B11" s="2"/>
      <c r="C11" s="11"/>
      <c r="D11" s="58"/>
      <c r="E11" s="11"/>
      <c r="F11" s="45"/>
      <c r="G11" s="45"/>
      <c r="H11" s="45"/>
      <c r="I11" s="45"/>
      <c r="J11" s="45"/>
      <c r="K11" s="46"/>
      <c r="L11" s="45"/>
      <c r="M11" s="45"/>
      <c r="N11" s="45"/>
      <c r="O11" s="45"/>
      <c r="P11" s="45"/>
      <c r="Q11" s="64"/>
      <c r="R11" s="64"/>
      <c r="S11" s="64"/>
      <c r="T11" s="64"/>
      <c r="U11" s="64"/>
      <c r="V11" s="64"/>
      <c r="W11" s="64"/>
      <c r="X11" s="64"/>
      <c r="Y11" s="64"/>
      <c r="Z11" s="64"/>
      <c r="AA11" s="64"/>
      <c r="AJ11" s="67" t="s">
        <v>2601</v>
      </c>
      <c r="AK11" s="68" t="s">
        <v>2653</v>
      </c>
      <c r="AL11" s="61"/>
      <c r="AM11" s="61"/>
      <c r="AN11" s="61"/>
      <c r="AO11" s="61"/>
      <c r="AP11" s="61"/>
      <c r="AQ11" s="61"/>
      <c r="AR11" s="61"/>
      <c r="AS11" s="61"/>
      <c r="AT11" s="61"/>
      <c r="AU11" s="61"/>
      <c r="AV11" s="61"/>
      <c r="AW11" s="61"/>
      <c r="AX11" s="61"/>
      <c r="AY11" s="61"/>
      <c r="AZ11" s="61"/>
      <c r="BA11" s="61"/>
      <c r="BB11" s="61"/>
      <c r="BC11" s="61"/>
      <c r="BD11" s="61"/>
      <c r="BE11" s="61"/>
      <c r="BF11" s="61"/>
      <c r="BG11" s="61"/>
      <c r="BH11" s="62"/>
      <c r="BI11" s="11"/>
      <c r="BJ11" s="11"/>
      <c r="BK11" s="11"/>
      <c r="BL11" s="11"/>
      <c r="BM11" s="11"/>
      <c r="BN11" s="11"/>
      <c r="BO11" s="11"/>
      <c r="BP11" s="11"/>
      <c r="BQ11" s="11"/>
      <c r="BR11" s="11"/>
      <c r="BS11" s="63"/>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row>
    <row r="12" ht="14.25" hidden="1" customHeight="1" outlineLevel="1">
      <c r="A12" s="11"/>
      <c r="B12" s="2"/>
      <c r="C12" s="11"/>
      <c r="D12" s="58"/>
      <c r="E12" s="11"/>
      <c r="F12" s="45"/>
      <c r="G12" s="45"/>
      <c r="H12" s="45"/>
      <c r="I12" s="45"/>
      <c r="J12" s="45"/>
      <c r="K12" s="46"/>
      <c r="L12" s="45"/>
      <c r="M12" s="45"/>
      <c r="N12" s="45"/>
      <c r="O12" s="45"/>
      <c r="P12" s="45"/>
      <c r="Q12" s="64"/>
      <c r="R12" s="64"/>
      <c r="S12" s="64"/>
      <c r="T12" s="64"/>
      <c r="U12" s="64"/>
      <c r="V12" s="64"/>
      <c r="W12" s="64"/>
      <c r="X12" s="64"/>
      <c r="Y12" s="64"/>
      <c r="Z12" s="64"/>
      <c r="AA12" s="64"/>
      <c r="AJ12" s="67" t="s">
        <v>2602</v>
      </c>
      <c r="AK12" s="68" t="s">
        <v>2654</v>
      </c>
      <c r="AL12" s="61"/>
      <c r="AM12" s="61"/>
      <c r="AN12" s="61"/>
      <c r="AO12" s="61"/>
      <c r="AP12" s="61"/>
      <c r="AQ12" s="61"/>
      <c r="AR12" s="61"/>
      <c r="AS12" s="61"/>
      <c r="AT12" s="61"/>
      <c r="AU12" s="61"/>
      <c r="AV12" s="61"/>
      <c r="AW12" s="61"/>
      <c r="AX12" s="61"/>
      <c r="AY12" s="61"/>
      <c r="AZ12" s="61"/>
      <c r="BA12" s="61"/>
      <c r="BB12" s="61"/>
      <c r="BC12" s="61"/>
      <c r="BD12" s="61"/>
      <c r="BE12" s="61"/>
      <c r="BF12" s="61"/>
      <c r="BG12" s="61"/>
      <c r="BH12" s="62"/>
      <c r="BI12" s="11"/>
      <c r="BJ12" s="11"/>
      <c r="BK12" s="11"/>
      <c r="BL12" s="11"/>
      <c r="BM12" s="11"/>
      <c r="BN12" s="11"/>
      <c r="BO12" s="11"/>
      <c r="BP12" s="11"/>
      <c r="BQ12" s="11"/>
      <c r="BR12" s="11"/>
      <c r="BS12" s="63"/>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row>
    <row r="13" ht="14.25" hidden="1" customHeight="1" outlineLevel="1">
      <c r="A13" s="11"/>
      <c r="B13" s="2"/>
      <c r="C13" s="11"/>
      <c r="D13" s="58"/>
      <c r="E13" s="11"/>
      <c r="F13" s="45"/>
      <c r="G13" s="45"/>
      <c r="H13" s="45"/>
      <c r="I13" s="45"/>
      <c r="J13" s="45"/>
      <c r="K13" s="46"/>
      <c r="L13" s="45"/>
      <c r="M13" s="45"/>
      <c r="N13" s="45"/>
      <c r="O13" s="45"/>
      <c r="P13" s="45"/>
      <c r="Q13" s="64"/>
      <c r="R13" s="64"/>
      <c r="S13" s="64"/>
      <c r="T13" s="64"/>
      <c r="U13" s="64"/>
      <c r="V13" s="64"/>
      <c r="W13" s="64"/>
      <c r="X13" s="64"/>
      <c r="Y13" s="64"/>
      <c r="Z13" s="64"/>
      <c r="AA13" s="64"/>
      <c r="AJ13" s="69" t="s">
        <v>2603</v>
      </c>
      <c r="AK13" s="70" t="s">
        <v>2655</v>
      </c>
      <c r="AL13" s="61"/>
      <c r="AM13" s="61"/>
      <c r="AN13" s="61"/>
      <c r="AO13" s="61"/>
      <c r="AP13" s="61"/>
      <c r="AQ13" s="61"/>
      <c r="AR13" s="61"/>
      <c r="AS13" s="61"/>
      <c r="AT13" s="61"/>
      <c r="AU13" s="61"/>
      <c r="AV13" s="61"/>
      <c r="AW13" s="61"/>
      <c r="AX13" s="61"/>
      <c r="AY13" s="61"/>
      <c r="AZ13" s="61"/>
      <c r="BA13" s="61"/>
      <c r="BB13" s="61"/>
      <c r="BC13" s="61"/>
      <c r="BD13" s="61"/>
      <c r="BE13" s="61"/>
      <c r="BF13" s="61"/>
      <c r="BG13" s="61"/>
      <c r="BH13" s="62"/>
      <c r="BI13" s="11"/>
      <c r="BJ13" s="11"/>
      <c r="BK13" s="11"/>
      <c r="BL13" s="11"/>
      <c r="BM13" s="11"/>
      <c r="BN13" s="11"/>
      <c r="BO13" s="11"/>
      <c r="BP13" s="11"/>
      <c r="BQ13" s="11"/>
      <c r="BR13" s="11"/>
      <c r="BS13" s="63"/>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row>
    <row r="14" ht="14.25" hidden="1" customHeight="1" outlineLevel="1">
      <c r="A14" s="11"/>
      <c r="B14" s="2"/>
      <c r="C14" s="11"/>
      <c r="D14" s="58"/>
      <c r="E14" s="11"/>
      <c r="F14" s="45"/>
      <c r="G14" s="45"/>
      <c r="H14" s="45"/>
      <c r="I14" s="45"/>
      <c r="J14" s="45"/>
      <c r="K14" s="46"/>
      <c r="L14" s="45"/>
      <c r="M14" s="45"/>
      <c r="N14" s="45"/>
      <c r="O14" s="45"/>
      <c r="P14" s="45"/>
      <c r="Q14" s="64"/>
      <c r="R14" s="64"/>
      <c r="S14" s="64"/>
      <c r="T14" s="64"/>
      <c r="U14" s="64"/>
      <c r="V14" s="64"/>
      <c r="W14" s="64"/>
      <c r="X14" s="64"/>
      <c r="Y14" s="64"/>
      <c r="Z14" s="64"/>
      <c r="AA14" s="64"/>
      <c r="AJ14" s="69" t="s">
        <v>2604</v>
      </c>
      <c r="AK14" s="70" t="s">
        <v>2656</v>
      </c>
      <c r="AL14" s="61"/>
      <c r="AM14" s="61"/>
      <c r="AN14" s="61"/>
      <c r="AO14" s="61"/>
      <c r="AP14" s="61"/>
      <c r="AQ14" s="61"/>
      <c r="AR14" s="61"/>
      <c r="AS14" s="61"/>
      <c r="AT14" s="61"/>
      <c r="AU14" s="61"/>
      <c r="AV14" s="61"/>
      <c r="AW14" s="61"/>
      <c r="AX14" s="61"/>
      <c r="AY14" s="61"/>
      <c r="AZ14" s="61"/>
      <c r="BA14" s="61"/>
      <c r="BB14" s="61"/>
      <c r="BC14" s="61"/>
      <c r="BD14" s="61"/>
      <c r="BE14" s="61"/>
      <c r="BF14" s="61"/>
      <c r="BG14" s="61"/>
      <c r="BH14" s="62"/>
      <c r="BI14" s="11"/>
      <c r="BJ14" s="11"/>
      <c r="BK14" s="11"/>
      <c r="BL14" s="11"/>
      <c r="BM14" s="11"/>
      <c r="BN14" s="11"/>
      <c r="BO14" s="11"/>
      <c r="BP14" s="11"/>
      <c r="BQ14" s="11"/>
      <c r="BR14" s="11"/>
      <c r="BS14" s="63"/>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row>
    <row r="15" ht="14.25" hidden="1" customHeight="1" outlineLevel="1">
      <c r="A15" s="11"/>
      <c r="B15" s="2"/>
      <c r="C15" s="11"/>
      <c r="D15" s="58"/>
      <c r="E15" s="11"/>
      <c r="F15" s="45"/>
      <c r="G15" s="45"/>
      <c r="H15" s="45"/>
      <c r="I15" s="45"/>
      <c r="J15" s="45"/>
      <c r="K15" s="46"/>
      <c r="L15" s="45"/>
      <c r="M15" s="45"/>
      <c r="N15" s="45"/>
      <c r="O15" s="45"/>
      <c r="P15" s="45"/>
      <c r="Q15" s="64"/>
      <c r="R15" s="64"/>
      <c r="S15" s="64"/>
      <c r="T15" s="64"/>
      <c r="U15" s="64"/>
      <c r="V15" s="64"/>
      <c r="W15" s="64"/>
      <c r="X15" s="64"/>
      <c r="Y15" s="64"/>
      <c r="Z15" s="64"/>
      <c r="AA15" s="64"/>
      <c r="AJ15" s="69" t="s">
        <v>2429</v>
      </c>
      <c r="AK15" s="70" t="s">
        <v>2657</v>
      </c>
      <c r="AL15" s="61"/>
      <c r="AM15" s="61"/>
      <c r="AN15" s="61"/>
      <c r="AO15" s="61"/>
      <c r="AP15" s="61"/>
      <c r="AQ15" s="61"/>
      <c r="AR15" s="61"/>
      <c r="AS15" s="61"/>
      <c r="AT15" s="61"/>
      <c r="AU15" s="61"/>
      <c r="AV15" s="61"/>
      <c r="AW15" s="61"/>
      <c r="AX15" s="61"/>
      <c r="AY15" s="61"/>
      <c r="AZ15" s="61"/>
      <c r="BA15" s="61"/>
      <c r="BB15" s="61"/>
      <c r="BC15" s="61"/>
      <c r="BD15" s="61"/>
      <c r="BE15" s="61"/>
      <c r="BF15" s="61"/>
      <c r="BG15" s="61"/>
      <c r="BH15" s="62"/>
      <c r="BI15" s="11"/>
      <c r="BJ15" s="11"/>
      <c r="BK15" s="11"/>
      <c r="BL15" s="11"/>
      <c r="BM15" s="11"/>
      <c r="BN15" s="11"/>
      <c r="BO15" s="11"/>
      <c r="BP15" s="11"/>
      <c r="BQ15" s="11"/>
      <c r="BR15" s="11"/>
      <c r="BS15" s="63"/>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row>
    <row r="16" ht="14.25" hidden="1" customHeight="1" outlineLevel="1">
      <c r="A16" s="11"/>
      <c r="B16" s="2"/>
      <c r="C16" s="11"/>
      <c r="D16" s="58"/>
      <c r="E16" s="11"/>
      <c r="F16" s="45"/>
      <c r="G16" s="45"/>
      <c r="H16" s="45"/>
      <c r="I16" s="45"/>
      <c r="J16" s="45"/>
      <c r="K16" s="46"/>
      <c r="L16" s="45"/>
      <c r="M16" s="45"/>
      <c r="N16" s="45"/>
      <c r="O16" s="45"/>
      <c r="P16" s="45"/>
      <c r="Q16" s="64"/>
      <c r="R16" s="64"/>
      <c r="S16" s="64"/>
      <c r="T16" s="64"/>
      <c r="U16" s="64"/>
      <c r="V16" s="64"/>
      <c r="W16" s="64"/>
      <c r="X16" s="64"/>
      <c r="Y16" s="64"/>
      <c r="Z16" s="64"/>
      <c r="AA16" s="64"/>
      <c r="AJ16" s="69" t="s">
        <v>1179</v>
      </c>
      <c r="AK16" s="70" t="s">
        <v>2658</v>
      </c>
      <c r="AL16" s="61"/>
      <c r="AM16" s="61"/>
      <c r="AN16" s="61"/>
      <c r="AO16" s="61"/>
      <c r="AP16" s="61"/>
      <c r="AQ16" s="61"/>
      <c r="AR16" s="61"/>
      <c r="AS16" s="61"/>
      <c r="AT16" s="61"/>
      <c r="AU16" s="61"/>
      <c r="AV16" s="61"/>
      <c r="AW16" s="61"/>
      <c r="AX16" s="61"/>
      <c r="AY16" s="61"/>
      <c r="AZ16" s="61"/>
      <c r="BA16" s="61"/>
      <c r="BB16" s="61"/>
      <c r="BC16" s="61"/>
      <c r="BD16" s="61"/>
      <c r="BE16" s="61"/>
      <c r="BF16" s="61"/>
      <c r="BG16" s="61"/>
      <c r="BH16" s="62"/>
      <c r="BI16" s="11"/>
      <c r="BJ16" s="11"/>
      <c r="BK16" s="11"/>
      <c r="BL16" s="11"/>
      <c r="BM16" s="11"/>
      <c r="BN16" s="11"/>
      <c r="BO16" s="11"/>
      <c r="BP16" s="11"/>
      <c r="BQ16" s="11"/>
      <c r="BR16" s="11"/>
      <c r="BS16" s="63"/>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row>
    <row r="17" ht="18.75" customHeight="1" collapsed="1">
      <c r="B17" s="71"/>
      <c r="D17" s="72"/>
      <c r="K17" s="73"/>
      <c r="Q17" s="64"/>
      <c r="R17" s="64"/>
      <c r="S17" s="64"/>
      <c r="T17" s="64"/>
      <c r="U17" s="64"/>
      <c r="V17" s="64"/>
      <c r="W17" s="64"/>
      <c r="X17" s="64"/>
      <c r="Y17" s="64"/>
      <c r="Z17" s="64"/>
      <c r="AA17" s="64"/>
      <c r="BS17" s="74"/>
      <c r="BW17" s="2" t="s">
        <v>2659</v>
      </c>
      <c r="BX17" s="57" t="s">
        <v>2623</v>
      </c>
      <c r="BY17" s="57" t="s">
        <v>2624</v>
      </c>
      <c r="BZ17" s="57" t="s">
        <v>2625</v>
      </c>
      <c r="CA17" s="57" t="s">
        <v>2626</v>
      </c>
      <c r="CQ17" s="37"/>
      <c r="CR17" s="37"/>
    </row>
    <row r="18" ht="18.75" customHeight="1">
      <c r="A18" s="37" t="s">
        <v>1204</v>
      </c>
      <c r="B18" s="71"/>
      <c r="C18" s="37" t="s">
        <v>2660</v>
      </c>
      <c r="D18" s="72" t="str">
        <f t="shared" ref="D18:D112" si="1">SUM(AJ18:AZ18,F18:N18)&amp;"/"&amp;SUM(F18:N18)&amp;"/"&amp;SUM(AJ18:AZ18)</f>
        <v>775/460/315</v>
      </c>
      <c r="E18" s="37">
        <v>1.0</v>
      </c>
      <c r="F18" s="37">
        <v>75.0</v>
      </c>
      <c r="I18" s="37">
        <v>70.0</v>
      </c>
      <c r="J18" s="37">
        <v>70.0</v>
      </c>
      <c r="K18" s="73">
        <v>25.0</v>
      </c>
      <c r="L18" s="37">
        <v>70.0</v>
      </c>
      <c r="M18" s="37">
        <v>70.0</v>
      </c>
      <c r="N18" s="37">
        <v>80.0</v>
      </c>
      <c r="O18" s="37">
        <v>170.0</v>
      </c>
      <c r="P18" s="37">
        <v>0.0</v>
      </c>
      <c r="Q18" s="64"/>
      <c r="R18" s="64"/>
      <c r="S18" s="64"/>
      <c r="T18" s="64"/>
      <c r="U18" s="64"/>
      <c r="V18" s="64"/>
      <c r="W18" s="64"/>
      <c r="X18" s="64"/>
      <c r="Y18" s="64"/>
      <c r="Z18" s="64"/>
      <c r="AA18" s="64"/>
      <c r="AJ18" s="39">
        <v>35.0</v>
      </c>
      <c r="AK18" s="39">
        <v>35.0</v>
      </c>
      <c r="AL18" s="39">
        <v>35.0</v>
      </c>
      <c r="AM18" s="39">
        <v>35.0</v>
      </c>
      <c r="AN18" s="39">
        <v>35.0</v>
      </c>
      <c r="AO18" s="39">
        <v>0.0</v>
      </c>
      <c r="AP18" s="39">
        <v>0.0</v>
      </c>
      <c r="AQ18" s="39">
        <v>35.0</v>
      </c>
      <c r="AR18" s="39">
        <v>35.0</v>
      </c>
      <c r="AS18" s="39">
        <v>0.0</v>
      </c>
      <c r="AT18" s="39">
        <v>0.0</v>
      </c>
      <c r="AU18" s="39">
        <v>0.0</v>
      </c>
      <c r="AV18" s="39">
        <v>0.0</v>
      </c>
      <c r="AW18" s="39">
        <v>35.0</v>
      </c>
      <c r="AX18" s="39">
        <v>35.0</v>
      </c>
      <c r="AY18" s="39">
        <v>0.0</v>
      </c>
      <c r="AZ18" s="39">
        <v>0.0</v>
      </c>
      <c r="BA18" s="39">
        <v>0.0</v>
      </c>
      <c r="BB18" s="39">
        <v>0.0</v>
      </c>
      <c r="BC18" s="39">
        <v>0.0</v>
      </c>
      <c r="BD18" s="39">
        <v>0.0</v>
      </c>
      <c r="BE18" s="39">
        <v>0.0</v>
      </c>
      <c r="BF18" s="39">
        <v>0.0</v>
      </c>
      <c r="BG18" s="37" t="str">
        <f t="array" ref="BG18">IF($A18="","", INDEX(CS!$B$1:$B$15025,MATCH($A18,CS!$B:$B,0)+COLUMN(A$1),1))</f>
        <v/>
      </c>
      <c r="BH18" s="37" t="str">
        <f t="array" ref="BH18">IF($A18="","", INDEX(CS!$B$1:$B$15025,MATCH($A18,CS!$B:$B,0)+COLUMN(B$1),1))</f>
        <v/>
      </c>
      <c r="BI18" s="37" t="str">
        <f t="array" ref="BI18">IF($A18="","", INDEX(CS!$B$1:$B$15025,MATCH($A18,CS!$B:$B,0)+COLUMN(C$1),1))</f>
        <v/>
      </c>
      <c r="BJ18" s="37" t="str">
        <f t="array" ref="BJ18">IF($A18="","", INDEX(CS!$B$1:$B$15025,MATCH($A18,CS!$B:$B,0)+COLUMN(D$1),1))</f>
        <v/>
      </c>
      <c r="BK18" s="37" t="str">
        <f t="array" ref="BK18">IF($A18="","", INDEX(CS!$B$1:$B$15025,MATCH($A18,CS!$B:$B,0)+COLUMN(E$1),1))</f>
        <v/>
      </c>
      <c r="BL18" s="37" t="str">
        <f t="array" ref="BL18">IF($A18="","", INDEX(CS!$B$1:$B$15025,MATCH($A18,CS!$B:$B,0)+COLUMN(F$1),1))</f>
        <v/>
      </c>
      <c r="BM18" s="37" t="str">
        <f t="array" ref="BM18">IF($A18="","", INDEX(CS!$B$1:$B$15025,MATCH($A18,CS!$B:$B,0)+COLUMN(G$1),1))</f>
        <v/>
      </c>
      <c r="BN18" s="37" t="str">
        <f t="array" ref="BN18">IF($A18="","", INDEX(CS!$B$1:$B$15025,MATCH($A18,CS!$B:$B,0)+COLUMN(H$1),1))</f>
        <v/>
      </c>
      <c r="BO18" s="37" t="str">
        <f t="array" ref="BO18">IF($A18="","", INDEX(CS!$B$1:$B$15025,MATCH($A18,CS!$B:$B,0)+COLUMN(I$1),1))</f>
        <v/>
      </c>
      <c r="BP18" s="37" t="str">
        <f t="array" ref="BP18">IF($A18="","", INDEX(CS!$B$1:$B$15025,MATCH($A18,CS!$B:$B,0)+COLUMN(J$1),1))</f>
        <v/>
      </c>
      <c r="BS18" s="74"/>
      <c r="BV18" s="37" t="s">
        <v>2661</v>
      </c>
      <c r="BW18" s="57">
        <v>100.0</v>
      </c>
      <c r="BX18" s="75">
        <v>40.0</v>
      </c>
      <c r="BY18" s="75">
        <v>30.0</v>
      </c>
      <c r="BZ18" s="75">
        <v>20.0</v>
      </c>
      <c r="CA18" s="75">
        <v>10.0</v>
      </c>
      <c r="CD18" s="75">
        <v>2.0</v>
      </c>
      <c r="CE18" s="75"/>
      <c r="CN18" s="37" t="s">
        <v>2662</v>
      </c>
      <c r="CO18" s="39" t="s">
        <v>2663</v>
      </c>
      <c r="CQ18" s="37"/>
      <c r="CR18" s="37"/>
    </row>
    <row r="19" ht="18.75" customHeight="1" outlineLevel="1">
      <c r="A19" s="37" t="s">
        <v>1205</v>
      </c>
      <c r="B19" s="71"/>
      <c r="C19" s="37" t="s">
        <v>2660</v>
      </c>
      <c r="D19" s="72" t="str">
        <f t="shared" si="1"/>
        <v>775/460/315</v>
      </c>
      <c r="E19" s="37">
        <v>1.0</v>
      </c>
      <c r="F19" s="37">
        <v>65.0</v>
      </c>
      <c r="I19" s="37">
        <v>65.0</v>
      </c>
      <c r="J19" s="37">
        <v>70.0</v>
      </c>
      <c r="K19" s="73">
        <v>25.0</v>
      </c>
      <c r="L19" s="37">
        <v>70.0</v>
      </c>
      <c r="M19" s="37">
        <v>85.0</v>
      </c>
      <c r="N19" s="37">
        <v>80.0</v>
      </c>
      <c r="O19" s="37">
        <v>170.0</v>
      </c>
      <c r="P19" s="37">
        <v>0.0</v>
      </c>
      <c r="Q19" s="64"/>
      <c r="R19" s="64"/>
      <c r="S19" s="64"/>
      <c r="T19" s="64"/>
      <c r="U19" s="64"/>
      <c r="V19" s="64"/>
      <c r="W19" s="64"/>
      <c r="X19" s="64"/>
      <c r="Y19" s="64"/>
      <c r="Z19" s="64"/>
      <c r="AA19" s="64"/>
      <c r="AJ19" s="39">
        <v>35.0</v>
      </c>
      <c r="AK19" s="39">
        <v>0.0</v>
      </c>
      <c r="AL19" s="39">
        <v>35.0</v>
      </c>
      <c r="AM19" s="39">
        <v>35.0</v>
      </c>
      <c r="AN19" s="39">
        <v>0.0</v>
      </c>
      <c r="AO19" s="39">
        <v>0.0</v>
      </c>
      <c r="AP19" s="39">
        <v>0.0</v>
      </c>
      <c r="AQ19" s="39">
        <v>35.0</v>
      </c>
      <c r="AR19" s="39">
        <v>35.0</v>
      </c>
      <c r="AS19" s="39">
        <v>35.0</v>
      </c>
      <c r="AT19" s="39">
        <v>35.0</v>
      </c>
      <c r="AU19" s="39">
        <v>0.0</v>
      </c>
      <c r="AV19" s="39">
        <v>0.0</v>
      </c>
      <c r="AW19" s="39">
        <v>0.0</v>
      </c>
      <c r="AX19" s="39">
        <v>0.0</v>
      </c>
      <c r="AY19" s="39">
        <v>35.0</v>
      </c>
      <c r="AZ19" s="39">
        <v>35.0</v>
      </c>
      <c r="BA19" s="39">
        <v>0.0</v>
      </c>
      <c r="BB19" s="39">
        <v>0.0</v>
      </c>
      <c r="BC19" s="39">
        <v>0.0</v>
      </c>
      <c r="BD19" s="39">
        <v>0.0</v>
      </c>
      <c r="BE19" s="39">
        <v>0.0</v>
      </c>
      <c r="BF19" s="39">
        <v>0.0</v>
      </c>
      <c r="BG19" s="37" t="str">
        <f t="array" ref="BG19">IF($A19="","", INDEX(CS!$B$1:$B$15025,MATCH($A19,CS!$B:$B,0)+COLUMN(A$1),1))</f>
        <v/>
      </c>
      <c r="BH19" s="37" t="str">
        <f t="array" ref="BH19">IF($A19="","", INDEX(CS!$B$1:$B$15025,MATCH($A19,CS!$B:$B,0)+COLUMN(B$1),1))</f>
        <v/>
      </c>
      <c r="BI19" s="37" t="str">
        <f t="array" ref="BI19">IF($A19="","", INDEX(CS!$B$1:$B$15025,MATCH($A19,CS!$B:$B,0)+COLUMN(C$1),1))</f>
        <v/>
      </c>
      <c r="BJ19" s="37" t="str">
        <f t="array" ref="BJ19">IF($A19="","", INDEX(CS!$B$1:$B$15025,MATCH($A19,CS!$B:$B,0)+COLUMN(D$1),1))</f>
        <v/>
      </c>
      <c r="BK19" s="37" t="str">
        <f t="array" ref="BK19">IF($A19="","", INDEX(CS!$B$1:$B$15025,MATCH($A19,CS!$B:$B,0)+COLUMN(E$1),1))</f>
        <v/>
      </c>
      <c r="BL19" s="37" t="str">
        <f t="array" ref="BL19">IF($A19="","", INDEX(CS!$B$1:$B$15025,MATCH($A19,CS!$B:$B,0)+COLUMN(F$1),1))</f>
        <v/>
      </c>
      <c r="BM19" s="37" t="str">
        <f t="array" ref="BM19">IF($A19="","", INDEX(CS!$B$1:$B$15025,MATCH($A19,CS!$B:$B,0)+COLUMN(G$1),1))</f>
        <v/>
      </c>
      <c r="BN19" s="37" t="str">
        <f t="array" ref="BN19">IF($A19="","", INDEX(CS!$B$1:$B$15025,MATCH($A19,CS!$B:$B,0)+COLUMN(H$1),1))</f>
        <v/>
      </c>
      <c r="BO19" s="37" t="str">
        <f t="array" ref="BO19">IF($A19="","", INDEX(CS!$B$1:$B$15025,MATCH($A19,CS!$B:$B,0)+COLUMN(I$1),1))</f>
        <v/>
      </c>
      <c r="BP19" s="37" t="str">
        <f t="array" ref="BP19">IF($A19="","", INDEX(CS!$B$1:$B$15025,MATCH($A19,CS!$B:$B,0)+COLUMN(J$1),1))</f>
        <v/>
      </c>
      <c r="BS19" s="74"/>
      <c r="BV19" s="37" t="s">
        <v>2661</v>
      </c>
      <c r="BW19" s="57">
        <v>100.0</v>
      </c>
      <c r="BX19" s="75">
        <v>20.0</v>
      </c>
      <c r="BY19" s="75">
        <v>50.0</v>
      </c>
      <c r="BZ19" s="75">
        <v>10.0</v>
      </c>
      <c r="CA19" s="75">
        <v>20.0</v>
      </c>
      <c r="CD19" s="75">
        <v>2.0</v>
      </c>
      <c r="CE19" s="75"/>
      <c r="CN19" s="37" t="s">
        <v>2664</v>
      </c>
      <c r="CO19" s="39" t="s">
        <v>2665</v>
      </c>
      <c r="CP19" s="39" t="s">
        <v>2666</v>
      </c>
      <c r="CQ19" s="39"/>
      <c r="CR19" s="39"/>
    </row>
    <row r="20" ht="18.75" customHeight="1" outlineLevel="1">
      <c r="A20" s="37" t="s">
        <v>1206</v>
      </c>
      <c r="B20" s="71"/>
      <c r="C20" s="37" t="s">
        <v>2660</v>
      </c>
      <c r="D20" s="72" t="str">
        <f t="shared" si="1"/>
        <v>775/460/315</v>
      </c>
      <c r="E20" s="37">
        <v>1.0</v>
      </c>
      <c r="F20" s="37">
        <v>85.0</v>
      </c>
      <c r="I20" s="37">
        <v>80.0</v>
      </c>
      <c r="J20" s="37">
        <v>80.0</v>
      </c>
      <c r="K20" s="73">
        <v>25.0</v>
      </c>
      <c r="L20" s="37">
        <v>60.0</v>
      </c>
      <c r="M20" s="37">
        <v>50.0</v>
      </c>
      <c r="N20" s="37">
        <v>80.0</v>
      </c>
      <c r="O20" s="37">
        <v>140.0</v>
      </c>
      <c r="P20" s="37">
        <v>0.0</v>
      </c>
      <c r="Q20" s="64"/>
      <c r="R20" s="64"/>
      <c r="S20" s="64"/>
      <c r="T20" s="64"/>
      <c r="U20" s="64"/>
      <c r="V20" s="64"/>
      <c r="W20" s="64"/>
      <c r="X20" s="64"/>
      <c r="Y20" s="64"/>
      <c r="Z20" s="64"/>
      <c r="AA20" s="64"/>
      <c r="AJ20" s="39">
        <v>35.0</v>
      </c>
      <c r="AK20" s="39">
        <v>35.0</v>
      </c>
      <c r="AL20" s="39">
        <v>35.0</v>
      </c>
      <c r="AM20" s="39">
        <v>0.0</v>
      </c>
      <c r="AN20" s="39">
        <v>70.0</v>
      </c>
      <c r="AO20" s="39">
        <v>0.0</v>
      </c>
      <c r="AP20" s="39">
        <v>0.0</v>
      </c>
      <c r="AQ20" s="39">
        <v>0.0</v>
      </c>
      <c r="AR20" s="39">
        <v>35.0</v>
      </c>
      <c r="AS20" s="39">
        <v>0.0</v>
      </c>
      <c r="AT20" s="39">
        <v>0.0</v>
      </c>
      <c r="AU20" s="39">
        <v>0.0</v>
      </c>
      <c r="AV20" s="39">
        <v>70.0</v>
      </c>
      <c r="AW20" s="39">
        <v>35.0</v>
      </c>
      <c r="AX20" s="39">
        <v>0.0</v>
      </c>
      <c r="AY20" s="39">
        <v>0.0</v>
      </c>
      <c r="AZ20" s="39">
        <v>0.0</v>
      </c>
      <c r="BA20" s="39">
        <v>0.0</v>
      </c>
      <c r="BB20" s="39">
        <v>0.0</v>
      </c>
      <c r="BC20" s="39">
        <v>0.0</v>
      </c>
      <c r="BD20" s="39">
        <v>0.0</v>
      </c>
      <c r="BE20" s="39">
        <v>0.0</v>
      </c>
      <c r="BF20" s="39">
        <v>0.0</v>
      </c>
      <c r="BG20" s="37" t="str">
        <f t="array" ref="BG20">IF($A20="","", INDEX(CS!$B$1:$B$15025,MATCH($A20,CS!$B:$B,0)+COLUMN(A$1),1))</f>
        <v/>
      </c>
      <c r="BH20" s="37" t="str">
        <f t="array" ref="BH20">IF($A20="","", INDEX(CS!$B$1:$B$15025,MATCH($A20,CS!$B:$B,0)+COLUMN(B$1),1))</f>
        <v/>
      </c>
      <c r="BI20" s="37" t="str">
        <f t="array" ref="BI20">IF($A20="","", INDEX(CS!$B$1:$B$15025,MATCH($A20,CS!$B:$B,0)+COLUMN(C$1),1))</f>
        <v/>
      </c>
      <c r="BJ20" s="37" t="str">
        <f t="array" ref="BJ20">IF($A20="","", INDEX(CS!$B$1:$B$15025,MATCH($A20,CS!$B:$B,0)+COLUMN(D$1),1))</f>
        <v/>
      </c>
      <c r="BK20" s="37" t="str">
        <f t="array" ref="BK20">IF($A20="","", INDEX(CS!$B$1:$B$15025,MATCH($A20,CS!$B:$B,0)+COLUMN(E$1),1))</f>
        <v/>
      </c>
      <c r="BL20" s="37" t="str">
        <f t="array" ref="BL20">IF($A20="","", INDEX(CS!$B$1:$B$15025,MATCH($A20,CS!$B:$B,0)+COLUMN(F$1),1))</f>
        <v/>
      </c>
      <c r="BM20" s="37" t="str">
        <f t="array" ref="BM20">IF($A20="","", INDEX(CS!$B$1:$B$15025,MATCH($A20,CS!$B:$B,0)+COLUMN(G$1),1))</f>
        <v/>
      </c>
      <c r="BN20" s="37" t="str">
        <f t="array" ref="BN20">IF($A20="","", INDEX(CS!$B$1:$B$15025,MATCH($A20,CS!$B:$B,0)+COLUMN(H$1),1))</f>
        <v/>
      </c>
      <c r="BO20" s="37" t="str">
        <f t="array" ref="BO20">IF($A20="","", INDEX(CS!$B$1:$B$15025,MATCH($A20,CS!$B:$B,0)+COLUMN(I$1),1))</f>
        <v/>
      </c>
      <c r="BP20" s="37" t="str">
        <f t="array" ref="BP20">IF($A20="","", INDEX(CS!$B$1:$B$15025,MATCH($A20,CS!$B:$B,0)+COLUMN(J$1),1))</f>
        <v/>
      </c>
      <c r="BS20" s="74"/>
      <c r="BV20" s="37" t="s">
        <v>2661</v>
      </c>
      <c r="BW20" s="57">
        <v>100.0</v>
      </c>
      <c r="BX20" s="75">
        <v>30.0</v>
      </c>
      <c r="BY20" s="75">
        <v>20.0</v>
      </c>
      <c r="BZ20" s="75">
        <v>40.0</v>
      </c>
      <c r="CA20" s="75">
        <v>10.0</v>
      </c>
      <c r="CD20" s="75">
        <v>2.0</v>
      </c>
      <c r="CE20" s="75"/>
      <c r="CN20" s="37" t="s">
        <v>2667</v>
      </c>
      <c r="CO20" s="39" t="s">
        <v>2668</v>
      </c>
      <c r="CP20" s="39" t="s">
        <v>2669</v>
      </c>
      <c r="CQ20" s="39"/>
      <c r="CR20" s="39"/>
    </row>
    <row r="21" ht="18.75" customHeight="1" outlineLevel="1">
      <c r="B21" s="71"/>
      <c r="D21" s="72" t="str">
        <f t="shared" si="1"/>
        <v>0/0/0</v>
      </c>
      <c r="K21" s="73"/>
      <c r="P21" s="37" t="s">
        <v>29</v>
      </c>
      <c r="Q21" s="64"/>
      <c r="R21" s="64"/>
      <c r="S21" s="64"/>
      <c r="T21" s="64"/>
      <c r="U21" s="64"/>
      <c r="V21" s="64"/>
      <c r="W21" s="64"/>
      <c r="X21" s="64"/>
      <c r="Y21" s="64"/>
      <c r="Z21" s="64"/>
      <c r="AA21" s="64"/>
      <c r="BG21" s="37" t="str">
        <f t="array" ref="BG21">IF($A21="","", INDEX(CS!$B$1:$B$15025,MATCH($A21,CS!$B:$B,0)+COLUMN(A$1),1))</f>
        <v/>
      </c>
      <c r="BH21" s="37" t="str">
        <f t="array" ref="BH21">IF($A21="","", INDEX(CS!$B$1:$B$15025,MATCH($A21,CS!$B:$B,0)+COLUMN(B$1),1))</f>
        <v/>
      </c>
      <c r="BI21" s="37" t="str">
        <f t="array" ref="BI21">IF($A21="","", INDEX(CS!$B$1:$B$15025,MATCH($A21,CS!$B:$B,0)+COLUMN(C$1),1))</f>
        <v/>
      </c>
      <c r="BJ21" s="37" t="str">
        <f t="array" ref="BJ21">IF($A21="","", INDEX(CS!$B$1:$B$15025,MATCH($A21,CS!$B:$B,0)+COLUMN(D$1),1))</f>
        <v/>
      </c>
      <c r="BK21" s="37" t="str">
        <f t="array" ref="BK21">IF($A21="","", INDEX(CS!$B$1:$B$15025,MATCH($A21,CS!$B:$B,0)+COLUMN(E$1),1))</f>
        <v/>
      </c>
      <c r="BL21" s="37" t="str">
        <f t="array" ref="BL21">IF($A21="","", INDEX(CS!$B$1:$B$15025,MATCH($A21,CS!$B:$B,0)+COLUMN(F$1),1))</f>
        <v/>
      </c>
      <c r="BM21" s="37" t="str">
        <f t="array" ref="BM21">IF($A21="","", INDEX(CS!$B$1:$B$15025,MATCH($A21,CS!$B:$B,0)+COLUMN(G$1),1))</f>
        <v/>
      </c>
      <c r="BN21" s="37" t="str">
        <f t="array" ref="BN21">IF($A21="","", INDEX(CS!$B$1:$B$15025,MATCH($A21,CS!$B:$B,0)+COLUMN(H$1),1))</f>
        <v/>
      </c>
      <c r="BO21" s="37" t="str">
        <f t="array" ref="BO21">IF($A21="","", INDEX(CS!$B$1:$B$15025,MATCH($A21,CS!$B:$B,0)+COLUMN(I$1),1))</f>
        <v/>
      </c>
      <c r="BP21" s="37" t="str">
        <f t="array" ref="BP21">IF($A21="","", INDEX(CS!$B$1:$B$15025,MATCH($A21,CS!$B:$B,0)+COLUMN(J$1),1))</f>
        <v/>
      </c>
      <c r="BS21" s="74"/>
      <c r="BW21" s="57"/>
      <c r="BX21" s="75"/>
      <c r="BY21" s="75"/>
      <c r="BZ21" s="75"/>
      <c r="CA21" s="75"/>
      <c r="CQ21" s="37"/>
      <c r="CR21" s="37"/>
    </row>
    <row r="22" ht="18.75" customHeight="1" outlineLevel="1">
      <c r="A22" s="37" t="s">
        <v>1208</v>
      </c>
      <c r="B22" s="71"/>
      <c r="C22" s="37" t="s">
        <v>2670</v>
      </c>
      <c r="D22" s="72" t="str">
        <f t="shared" si="1"/>
        <v>710/490/220</v>
      </c>
      <c r="E22" s="37">
        <v>1.0</v>
      </c>
      <c r="F22" s="37">
        <v>85.0</v>
      </c>
      <c r="I22" s="37">
        <v>85.0</v>
      </c>
      <c r="J22" s="37">
        <v>65.0</v>
      </c>
      <c r="K22" s="73">
        <v>35.0</v>
      </c>
      <c r="L22" s="37">
        <v>50.0</v>
      </c>
      <c r="M22" s="37">
        <v>100.0</v>
      </c>
      <c r="N22" s="37">
        <v>70.0</v>
      </c>
      <c r="P22" s="37">
        <v>0.0</v>
      </c>
      <c r="Q22" s="64"/>
      <c r="R22" s="64"/>
      <c r="S22" s="64"/>
      <c r="T22" s="64"/>
      <c r="U22" s="64"/>
      <c r="V22" s="64"/>
      <c r="W22" s="64"/>
      <c r="X22" s="64"/>
      <c r="Y22" s="64"/>
      <c r="Z22" s="64"/>
      <c r="AA22" s="64"/>
      <c r="AC22" s="37">
        <v>-20.0</v>
      </c>
      <c r="AD22" s="37">
        <v>10.0</v>
      </c>
      <c r="AF22" s="37">
        <v>10.0</v>
      </c>
      <c r="AJ22" s="39">
        <v>0.0</v>
      </c>
      <c r="AK22" s="39">
        <v>50.0</v>
      </c>
      <c r="AL22" s="39">
        <v>0.0</v>
      </c>
      <c r="AM22" s="39">
        <v>50.0</v>
      </c>
      <c r="AN22" s="39">
        <v>0.0</v>
      </c>
      <c r="AO22" s="39">
        <v>0.0</v>
      </c>
      <c r="AP22" s="39">
        <v>0.0</v>
      </c>
      <c r="AQ22" s="39">
        <v>70.0</v>
      </c>
      <c r="AR22" s="39">
        <v>50.0</v>
      </c>
      <c r="AS22" s="39">
        <v>0.0</v>
      </c>
      <c r="AT22" s="39">
        <v>0.0</v>
      </c>
      <c r="AU22" s="39">
        <v>0.0</v>
      </c>
      <c r="AV22" s="39">
        <v>0.0</v>
      </c>
      <c r="AW22" s="39">
        <v>0.0</v>
      </c>
      <c r="AX22" s="39">
        <v>0.0</v>
      </c>
      <c r="AY22" s="39">
        <v>0.0</v>
      </c>
      <c r="AZ22" s="39">
        <v>0.0</v>
      </c>
      <c r="BA22" s="39">
        <v>0.0</v>
      </c>
      <c r="BB22" s="39">
        <v>60.0</v>
      </c>
      <c r="BC22" s="39">
        <v>70.0</v>
      </c>
      <c r="BD22" s="39">
        <v>0.0</v>
      </c>
      <c r="BE22" s="39">
        <v>0.0</v>
      </c>
      <c r="BF22" s="39">
        <v>20.0</v>
      </c>
      <c r="BG22" s="37" t="str">
        <f t="array" ref="BG22">IF($A22="","", INDEX(CS!$B$1:$B$15025,MATCH($A22,CS!$B:$B,0)+COLUMN(A$1),1))</f>
        <v>爪</v>
      </c>
      <c r="BH22" s="37" t="str">
        <f t="array" ref="BH22">IF($A22="","", INDEX(CS!$B$1:$B$15025,MATCH($A22,CS!$B:$B,0)+COLUMN(B$1),1))</f>
        <v>牙</v>
      </c>
      <c r="BI22" s="37" t="str">
        <f t="array" ref="BI22">IF($A22="","", INDEX(CS!$B$1:$B$15025,MATCH($A22,CS!$B:$B,0)+COLUMN(C$1),1))</f>
        <v>野生感覚</v>
      </c>
      <c r="BJ22" s="37" t="str">
        <f t="array" ref="BJ22">IF($A22="","", INDEX(CS!$B$1:$B$15025,MATCH($A22,CS!$B:$B,0)+COLUMN(D$1),1))</f>
        <v/>
      </c>
      <c r="BK22" s="37" t="str">
        <f t="array" ref="BK22">IF($A22="","", INDEX(CS!$B$1:$B$15025,MATCH($A22,CS!$B:$B,0)+COLUMN(E$1),1))</f>
        <v>獣の身軽さ</v>
      </c>
      <c r="BL22" s="37" t="str">
        <f t="array" ref="BL22">IF($A22="","", INDEX(CS!$B$1:$B$15025,MATCH($A22,CS!$B:$B,0)+COLUMN(F$1),1))</f>
        <v/>
      </c>
      <c r="BM22" s="37" t="str">
        <f t="array" ref="BM22">IF($A22="","", INDEX(CS!$B$1:$B$15025,MATCH($A22,CS!$B:$B,0)+COLUMN(G$1),1))</f>
        <v>獣性</v>
      </c>
      <c r="BN22" s="37" t="str">
        <f t="array" ref="BN22">IF($A22="","", INDEX(CS!$B$1:$B$15025,MATCH($A22,CS!$B:$B,0)+COLUMN(H$1),1))</f>
        <v/>
      </c>
      <c r="BO22" s="37" t="str">
        <f t="array" ref="BO22">IF($A22="","", INDEX(CS!$B$1:$B$15025,MATCH($A22,CS!$B:$B,0)+COLUMN(I$1),1))</f>
        <v/>
      </c>
      <c r="BP22" s="37" t="str">
        <f t="array" ref="BP22">IF($A22="","", INDEX(CS!$B$1:$B$15025,MATCH($A22,CS!$B:$B,0)+COLUMN(J$1),1))</f>
        <v>獣の本能</v>
      </c>
      <c r="BS22" s="74"/>
      <c r="BV22" s="37" t="s">
        <v>2661</v>
      </c>
      <c r="BW22" s="57">
        <v>110.0</v>
      </c>
      <c r="BX22" s="75">
        <v>20.0</v>
      </c>
      <c r="BY22" s="75">
        <v>20.0</v>
      </c>
      <c r="BZ22" s="75">
        <v>50.0</v>
      </c>
      <c r="CA22" s="75">
        <v>20.0</v>
      </c>
      <c r="CD22" s="75">
        <v>2.0</v>
      </c>
      <c r="CE22" s="75"/>
      <c r="CN22" s="37" t="s">
        <v>2671</v>
      </c>
      <c r="CO22" s="39" t="s">
        <v>2672</v>
      </c>
      <c r="CQ22" s="37"/>
      <c r="CR22" s="37"/>
    </row>
    <row r="23" ht="18.75" customHeight="1" outlineLevel="1">
      <c r="A23" s="41" t="s">
        <v>1217</v>
      </c>
      <c r="B23" s="71"/>
      <c r="C23" s="37" t="s">
        <v>2670</v>
      </c>
      <c r="D23" s="72" t="str">
        <f t="shared" si="1"/>
        <v>710/490/220</v>
      </c>
      <c r="E23" s="37">
        <v>1.0</v>
      </c>
      <c r="F23" s="37">
        <v>90.0</v>
      </c>
      <c r="I23" s="37">
        <v>90.0</v>
      </c>
      <c r="J23" s="37">
        <v>75.0</v>
      </c>
      <c r="K23" s="73">
        <v>35.0</v>
      </c>
      <c r="L23" s="37">
        <v>70.0</v>
      </c>
      <c r="M23" s="37">
        <v>55.0</v>
      </c>
      <c r="N23" s="37">
        <v>75.0</v>
      </c>
      <c r="O23" s="37">
        <v>170.0</v>
      </c>
      <c r="P23" s="37">
        <v>0.0</v>
      </c>
      <c r="Q23" s="64">
        <v>5.0</v>
      </c>
      <c r="R23" s="64">
        <v>5.0</v>
      </c>
      <c r="S23" s="64"/>
      <c r="T23" s="64"/>
      <c r="U23" s="64"/>
      <c r="V23" s="64"/>
      <c r="W23" s="64"/>
      <c r="X23" s="64"/>
      <c r="Y23" s="64"/>
      <c r="Z23" s="64"/>
      <c r="AA23" s="64"/>
      <c r="AD23" s="37">
        <v>15.0</v>
      </c>
      <c r="AG23" s="37">
        <v>-15.0</v>
      </c>
      <c r="AJ23" s="39">
        <v>0.0</v>
      </c>
      <c r="AK23" s="39">
        <v>75.0</v>
      </c>
      <c r="AL23" s="39">
        <v>45.0</v>
      </c>
      <c r="AM23" s="39">
        <v>25.0</v>
      </c>
      <c r="AN23" s="39">
        <v>0.0</v>
      </c>
      <c r="AO23" s="39">
        <v>0.0</v>
      </c>
      <c r="AP23" s="39">
        <v>0.0</v>
      </c>
      <c r="AQ23" s="39">
        <v>0.0</v>
      </c>
      <c r="AR23" s="39">
        <v>50.0</v>
      </c>
      <c r="AS23" s="39">
        <v>0.0</v>
      </c>
      <c r="AT23" s="39">
        <v>0.0</v>
      </c>
      <c r="AU23" s="39">
        <v>0.0</v>
      </c>
      <c r="AV23" s="39">
        <v>0.0</v>
      </c>
      <c r="AW23" s="39">
        <v>0.0</v>
      </c>
      <c r="AX23" s="39">
        <v>0.0</v>
      </c>
      <c r="AY23" s="39">
        <v>25.0</v>
      </c>
      <c r="AZ23" s="39">
        <v>0.0</v>
      </c>
      <c r="BA23" s="39">
        <v>0.0</v>
      </c>
      <c r="BB23" s="39">
        <v>100.0</v>
      </c>
      <c r="BC23" s="39">
        <v>90.0</v>
      </c>
      <c r="BD23" s="39">
        <v>80.0</v>
      </c>
      <c r="BE23" s="39">
        <v>0.0</v>
      </c>
      <c r="BF23" s="39">
        <v>100.0</v>
      </c>
      <c r="BG23" s="37" t="str">
        <f t="array" ref="BG23">IF($A23="","", INDEX(CS!$B$1:$B$15025,MATCH($A23,CS!$B:$B,0)+COLUMN(A$1),1))</f>
        <v>牙</v>
      </c>
      <c r="BH23" s="37" t="str">
        <f t="array" ref="BH23">IF($A23="","", INDEX(CS!$B$1:$B$15025,MATCH($A23,CS!$B:$B,0)+COLUMN(B$1),1))</f>
        <v>爪</v>
      </c>
      <c r="BI23" s="37" t="str">
        <f t="array" ref="BI23">IF($A23="","", INDEX(CS!$B$1:$B$15025,MATCH($A23,CS!$B:$B,0)+COLUMN(C$1),1))</f>
        <v>尾</v>
      </c>
      <c r="BJ23" s="37" t="str">
        <f t="array" ref="BJ23">IF($A23="","", INDEX(CS!$B$1:$B$15025,MATCH($A23,CS!$B:$B,0)+COLUMN(D$1),1))</f>
        <v/>
      </c>
      <c r="BK23" s="37" t="str">
        <f t="array" ref="BK23">IF($A23="","", INDEX(CS!$B$1:$B$15025,MATCH($A23,CS!$B:$B,0)+COLUMN(E$1),1))</f>
        <v>竜鱗</v>
      </c>
      <c r="BL23" s="37" t="str">
        <f t="array" ref="BL23">IF($A23="","", INDEX(CS!$B$1:$B$15025,MATCH($A23,CS!$B:$B,0)+COLUMN(F$1),1))</f>
        <v/>
      </c>
      <c r="BM23" s="37" t="str">
        <f t="array" ref="BM23">IF($A23="","", INDEX(CS!$B$1:$B$15025,MATCH($A23,CS!$B:$B,0)+COLUMN(G$1),1))</f>
        <v>竜人の咆哮</v>
      </c>
      <c r="BN23" s="37" t="str">
        <f t="array" ref="BN23">IF($A23="","", INDEX(CS!$B$1:$B$15025,MATCH($A23,CS!$B:$B,0)+COLUMN(H$1),1))</f>
        <v/>
      </c>
      <c r="BO23" s="37" t="str">
        <f t="array" ref="BO23">IF($A23="","", INDEX(CS!$B$1:$B$15025,MATCH($A23,CS!$B:$B,0)+COLUMN(I$1),1))</f>
        <v/>
      </c>
      <c r="BP23" s="37" t="str">
        <f t="array" ref="BP23">IF($A23="","", INDEX(CS!$B$1:$B$15025,MATCH($A23,CS!$B:$B,0)+COLUMN(J$1),1))</f>
        <v>竜の肉体</v>
      </c>
      <c r="BS23" s="74"/>
      <c r="BV23" s="37" t="s">
        <v>2661</v>
      </c>
      <c r="BW23" s="57">
        <v>110.0</v>
      </c>
      <c r="BX23" s="75">
        <v>15.0</v>
      </c>
      <c r="BY23" s="75">
        <v>10.0</v>
      </c>
      <c r="BZ23" s="75">
        <v>70.0</v>
      </c>
      <c r="CA23" s="75">
        <v>15.0</v>
      </c>
      <c r="CD23" s="75">
        <v>2.0</v>
      </c>
      <c r="CE23" s="75"/>
      <c r="CN23" s="37" t="s">
        <v>2673</v>
      </c>
      <c r="CO23" s="39" t="s">
        <v>2674</v>
      </c>
      <c r="CP23" s="39" t="s">
        <v>2675</v>
      </c>
      <c r="CQ23" s="39"/>
      <c r="CR23" s="39"/>
    </row>
    <row r="24" ht="18.75" customHeight="1" outlineLevel="1">
      <c r="A24" s="37" t="s">
        <v>1225</v>
      </c>
      <c r="B24" s="71"/>
      <c r="C24" s="37" t="s">
        <v>2670</v>
      </c>
      <c r="D24" s="72" t="str">
        <f t="shared" si="1"/>
        <v>710/490/220</v>
      </c>
      <c r="E24" s="37">
        <v>1.0</v>
      </c>
      <c r="F24" s="41">
        <v>110.0</v>
      </c>
      <c r="I24" s="37">
        <v>105.0</v>
      </c>
      <c r="J24" s="37">
        <v>65.0</v>
      </c>
      <c r="K24" s="73">
        <v>50.0</v>
      </c>
      <c r="L24" s="37">
        <v>45.0</v>
      </c>
      <c r="M24" s="37">
        <v>55.0</v>
      </c>
      <c r="N24" s="37">
        <v>60.0</v>
      </c>
      <c r="O24" s="37">
        <v>300.0</v>
      </c>
      <c r="P24" s="39">
        <v>-25.0</v>
      </c>
      <c r="Q24" s="64"/>
      <c r="R24" s="64"/>
      <c r="S24" s="64"/>
      <c r="T24" s="64"/>
      <c r="U24" s="64"/>
      <c r="V24" s="64"/>
      <c r="W24" s="64">
        <v>10.0</v>
      </c>
      <c r="X24" s="64"/>
      <c r="Y24" s="64"/>
      <c r="Z24" s="64"/>
      <c r="AA24" s="64"/>
      <c r="AC24" s="37">
        <v>-15.0</v>
      </c>
      <c r="AD24" s="37">
        <v>15.0</v>
      </c>
      <c r="AG24" s="37">
        <v>-15.0</v>
      </c>
      <c r="AJ24" s="41">
        <v>20.0</v>
      </c>
      <c r="AK24" s="41">
        <v>100.0</v>
      </c>
      <c r="AL24" s="39">
        <v>25.0</v>
      </c>
      <c r="AM24" s="41">
        <v>-30.0</v>
      </c>
      <c r="AN24" s="39">
        <v>-25.0</v>
      </c>
      <c r="AO24" s="39">
        <v>0.0</v>
      </c>
      <c r="AP24" s="39">
        <v>0.0</v>
      </c>
      <c r="AQ24" s="39">
        <v>25.0</v>
      </c>
      <c r="AR24" s="39">
        <v>25.0</v>
      </c>
      <c r="AS24" s="39">
        <v>0.0</v>
      </c>
      <c r="AT24" s="39">
        <v>0.0</v>
      </c>
      <c r="AU24" s="39">
        <v>0.0</v>
      </c>
      <c r="AV24" s="39">
        <v>0.0</v>
      </c>
      <c r="AW24" s="41">
        <v>25.0</v>
      </c>
      <c r="AX24" s="39">
        <v>15.0</v>
      </c>
      <c r="AY24" s="39">
        <v>40.0</v>
      </c>
      <c r="AZ24" s="39">
        <v>0.0</v>
      </c>
      <c r="BA24" s="39">
        <v>0.0</v>
      </c>
      <c r="BB24" s="39">
        <v>0.0</v>
      </c>
      <c r="BC24" s="39">
        <v>0.0</v>
      </c>
      <c r="BD24" s="39">
        <v>0.0</v>
      </c>
      <c r="BE24" s="39">
        <v>0.0</v>
      </c>
      <c r="BF24" s="39">
        <v>20.0</v>
      </c>
      <c r="BG24" s="37" t="str">
        <f t="array" ref="BG24">IF($A24="","", INDEX(CS!$B$1:$B$15025,MATCH($A24,CS!$B:$B,0)+COLUMN(A$1),1))</f>
        <v>豪腕</v>
      </c>
      <c r="BH24" s="37" t="str">
        <f t="array" ref="BH24">IF($A24="","", INDEX(CS!$B$1:$B$15025,MATCH($A24,CS!$B:$B,0)+COLUMN(B$1),1))</f>
        <v/>
      </c>
      <c r="BI24" s="37" t="str">
        <f t="array" ref="BI24">IF($A24="","", INDEX(CS!$B$1:$B$15025,MATCH($A24,CS!$B:$B,0)+COLUMN(C$1),1))</f>
        <v>強靭な肉体</v>
      </c>
      <c r="BJ24" s="37" t="str">
        <f t="array" ref="BJ24">IF($A24="","", INDEX(CS!$B$1:$B$15025,MATCH($A24,CS!$B:$B,0)+COLUMN(D$1),1))</f>
        <v/>
      </c>
      <c r="BK24" s="37" t="str">
        <f t="array" ref="BK24">IF($A24="","", INDEX(CS!$B$1:$B$15025,MATCH($A24,CS!$B:$B,0)+COLUMN(E$1),1))</f>
        <v>叩き潰し</v>
      </c>
      <c r="BL24" s="37" t="str">
        <f t="array" ref="BL24">IF($A24="","", INDEX(CS!$B$1:$B$15025,MATCH($A24,CS!$B:$B,0)+COLUMN(F$1),1))</f>
        <v/>
      </c>
      <c r="BM24" s="37" t="str">
        <f t="array" ref="BM24">IF($A24="","", INDEX(CS!$B$1:$B$15025,MATCH($A24,CS!$B:$B,0)+COLUMN(G$1),1))</f>
        <v>大鬼の咆哮</v>
      </c>
      <c r="BN24" s="37" t="str">
        <f t="array" ref="BN24">IF($A24="","", INDEX(CS!$B$1:$B$15025,MATCH($A24,CS!$B:$B,0)+COLUMN(H$1),1))</f>
        <v/>
      </c>
      <c r="BO24" s="37" t="str">
        <f t="array" ref="BO24">IF($A24="","", INDEX(CS!$B$1:$B$15025,MATCH($A24,CS!$B:$B,0)+COLUMN(I$1),1))</f>
        <v>圧砕撃</v>
      </c>
      <c r="BP24" s="37" t="str">
        <f t="array" ref="BP24">IF($A24="","", INDEX(CS!$B$1:$B$15025,MATCH($A24,CS!$B:$B,0)+COLUMN(J$1),1))</f>
        <v>鬼の怪力</v>
      </c>
      <c r="BS24" s="74"/>
      <c r="BV24" s="37" t="s">
        <v>2661</v>
      </c>
      <c r="BW24" s="57">
        <v>200.0</v>
      </c>
      <c r="BX24" s="75">
        <v>40.0</v>
      </c>
      <c r="BY24" s="75">
        <v>10.0</v>
      </c>
      <c r="BZ24" s="75">
        <v>100.0</v>
      </c>
      <c r="CA24" s="75">
        <v>10.0</v>
      </c>
      <c r="CD24" s="75">
        <v>2.0</v>
      </c>
      <c r="CE24" s="75"/>
      <c r="CN24" s="37" t="s">
        <v>2676</v>
      </c>
      <c r="CO24" s="39" t="s">
        <v>2677</v>
      </c>
      <c r="CP24" s="39" t="s">
        <v>2669</v>
      </c>
      <c r="CQ24" s="39"/>
      <c r="CR24" s="39"/>
    </row>
    <row r="25" ht="18.75" customHeight="1" outlineLevel="1">
      <c r="A25" s="37" t="s">
        <v>1238</v>
      </c>
      <c r="B25" s="71"/>
      <c r="C25" s="37" t="s">
        <v>2670</v>
      </c>
      <c r="D25" s="72" t="str">
        <f t="shared" si="1"/>
        <v>710/490/220</v>
      </c>
      <c r="E25" s="37">
        <v>1.0</v>
      </c>
      <c r="F25" s="37">
        <v>90.0</v>
      </c>
      <c r="I25" s="37">
        <v>90.0</v>
      </c>
      <c r="J25" s="37">
        <v>70.0</v>
      </c>
      <c r="K25" s="73">
        <v>25.0</v>
      </c>
      <c r="L25" s="37">
        <v>70.0</v>
      </c>
      <c r="M25" s="37">
        <v>70.0</v>
      </c>
      <c r="N25" s="37">
        <v>75.0</v>
      </c>
      <c r="O25" s="37">
        <v>550.0</v>
      </c>
      <c r="P25" s="37">
        <v>0.0</v>
      </c>
      <c r="Q25" s="64"/>
      <c r="R25" s="64"/>
      <c r="S25" s="64"/>
      <c r="T25" s="64"/>
      <c r="U25" s="64"/>
      <c r="V25" s="64"/>
      <c r="W25" s="64"/>
      <c r="X25" s="64"/>
      <c r="Y25" s="64"/>
      <c r="Z25" s="64"/>
      <c r="AA25" s="64"/>
      <c r="AJ25" s="41">
        <v>35.0</v>
      </c>
      <c r="AK25" s="41">
        <v>35.0</v>
      </c>
      <c r="AL25" s="41">
        <v>35.0</v>
      </c>
      <c r="AM25" s="41">
        <v>-15.0</v>
      </c>
      <c r="AN25" s="39">
        <v>35.0</v>
      </c>
      <c r="AO25" s="39">
        <v>0.0</v>
      </c>
      <c r="AP25" s="39">
        <v>0.0</v>
      </c>
      <c r="AQ25" s="39">
        <v>0.0</v>
      </c>
      <c r="AR25" s="41">
        <v>35.0</v>
      </c>
      <c r="AS25" s="39">
        <v>0.0</v>
      </c>
      <c r="AT25" s="39">
        <v>0.0</v>
      </c>
      <c r="AU25" s="39">
        <v>0.0</v>
      </c>
      <c r="AV25" s="39">
        <v>0.0</v>
      </c>
      <c r="AW25" s="39">
        <v>35.0</v>
      </c>
      <c r="AX25" s="39">
        <v>0.0</v>
      </c>
      <c r="AY25" s="39">
        <v>25.0</v>
      </c>
      <c r="AZ25" s="39">
        <v>0.0</v>
      </c>
      <c r="BA25" s="39">
        <v>0.0</v>
      </c>
      <c r="BB25" s="39">
        <v>0.0</v>
      </c>
      <c r="BC25" s="39">
        <v>0.0</v>
      </c>
      <c r="BD25" s="39">
        <v>0.0</v>
      </c>
      <c r="BE25" s="39">
        <v>0.0</v>
      </c>
      <c r="BF25" s="39">
        <v>20.0</v>
      </c>
      <c r="BG25" s="37" t="str">
        <f t="array" ref="BG25">IF($A25="","", INDEX(CS!$B$1:$B$15025,MATCH($A25,CS!$B:$B,0)+COLUMN(A$1),1))</f>
        <v>巨人の膂力</v>
      </c>
      <c r="BH25" s="37" t="str">
        <f t="array" ref="BH25">IF($A25="","", INDEX(CS!$B$1:$B$15025,MATCH($A25,CS!$B:$B,0)+COLUMN(B$1),1))</f>
        <v/>
      </c>
      <c r="BI25" s="37" t="str">
        <f t="array" ref="BI25">IF($A25="","", INDEX(CS!$B$1:$B$15025,MATCH($A25,CS!$B:$B,0)+COLUMN(C$1),1))</f>
        <v>巨大な体躯</v>
      </c>
      <c r="BJ25" s="37" t="str">
        <f t="array" ref="BJ25">IF($A25="","", INDEX(CS!$B$1:$B$15025,MATCH($A25,CS!$B:$B,0)+COLUMN(D$1),1))</f>
        <v/>
      </c>
      <c r="BK25" s="37" t="str">
        <f t="array" ref="BK25">IF($A25="","", INDEX(CS!$B$1:$B$15025,MATCH($A25,CS!$B:$B,0)+COLUMN(E$1),1))</f>
        <v>踏みつけ</v>
      </c>
      <c r="BL25" s="37" t="str">
        <f t="array" ref="BL25">IF($A25="","", INDEX(CS!$B$1:$B$15025,MATCH($A25,CS!$B:$B,0)+COLUMN(F$1),1))</f>
        <v/>
      </c>
      <c r="BM25" s="37" t="str">
        <f t="array" ref="BM25">IF($A25="","", INDEX(CS!$B$1:$B$15025,MATCH($A25,CS!$B:$B,0)+COLUMN(G$1),1))</f>
        <v>巨腕薙ぎ</v>
      </c>
      <c r="BN25" s="37" t="str">
        <f t="array" ref="BN25">IF($A25="","", INDEX(CS!$B$1:$B$15025,MATCH($A25,CS!$B:$B,0)+COLUMN(H$1),1))</f>
        <v/>
      </c>
      <c r="BO25" s="37" t="str">
        <f t="array" ref="BO25">IF($A25="","", INDEX(CS!$B$1:$B$15025,MATCH($A25,CS!$B:$B,0)+COLUMN(I$1),1))</f>
        <v>地踏み</v>
      </c>
      <c r="BP25" s="37" t="str">
        <f t="array" ref="BP25">IF($A25="","", INDEX(CS!$B$1:$B$15025,MATCH($A25,CS!$B:$B,0)+COLUMN(J$1),1))</f>
        <v>巨躯</v>
      </c>
      <c r="BS25" s="74"/>
      <c r="BV25" s="37" t="s">
        <v>2661</v>
      </c>
      <c r="BW25" s="57">
        <v>250.0</v>
      </c>
      <c r="BX25" s="75">
        <v>60.0</v>
      </c>
      <c r="BY25" s="75">
        <v>30.0</v>
      </c>
      <c r="BZ25" s="75">
        <v>200.0</v>
      </c>
      <c r="CA25" s="75">
        <v>30.0</v>
      </c>
      <c r="CD25" s="75">
        <v>2.0</v>
      </c>
      <c r="CE25" s="75"/>
      <c r="CN25" s="37" t="s">
        <v>2678</v>
      </c>
      <c r="CO25" s="39" t="s">
        <v>2679</v>
      </c>
      <c r="CP25" s="39" t="s">
        <v>2680</v>
      </c>
      <c r="CQ25" s="39"/>
      <c r="CR25" s="39"/>
    </row>
    <row r="26" ht="18.75" customHeight="1" outlineLevel="1">
      <c r="A26" s="37" t="s">
        <v>1252</v>
      </c>
      <c r="B26" s="71"/>
      <c r="C26" s="37" t="s">
        <v>2670</v>
      </c>
      <c r="D26" s="72" t="str">
        <f t="shared" si="1"/>
        <v>710/490/220</v>
      </c>
      <c r="E26" s="37">
        <v>1.0</v>
      </c>
      <c r="F26" s="37">
        <v>90.0</v>
      </c>
      <c r="I26" s="37">
        <v>90.0</v>
      </c>
      <c r="J26" s="41">
        <v>65.0</v>
      </c>
      <c r="K26" s="76">
        <v>30.0</v>
      </c>
      <c r="L26" s="37">
        <v>55.0</v>
      </c>
      <c r="M26" s="37">
        <v>85.0</v>
      </c>
      <c r="N26" s="37">
        <v>75.0</v>
      </c>
      <c r="O26" s="37">
        <v>100.0</v>
      </c>
      <c r="P26" s="39">
        <v>-25.0</v>
      </c>
      <c r="Q26" s="64"/>
      <c r="R26" s="64"/>
      <c r="S26" s="64"/>
      <c r="T26" s="64"/>
      <c r="U26" s="64"/>
      <c r="V26" s="64"/>
      <c r="W26" s="64"/>
      <c r="X26" s="64"/>
      <c r="Y26" s="64"/>
      <c r="Z26" s="64">
        <v>15.0</v>
      </c>
      <c r="AA26" s="64"/>
      <c r="AC26" s="37">
        <v>-15.0</v>
      </c>
      <c r="AJ26" s="39">
        <v>25.0</v>
      </c>
      <c r="AK26" s="39">
        <v>0.0</v>
      </c>
      <c r="AL26" s="41">
        <v>25.0</v>
      </c>
      <c r="AM26" s="41">
        <v>35.0</v>
      </c>
      <c r="AN26" s="41">
        <v>35.0</v>
      </c>
      <c r="AO26" s="39">
        <v>0.0</v>
      </c>
      <c r="AP26" s="39">
        <v>0.0</v>
      </c>
      <c r="AQ26" s="39">
        <v>75.0</v>
      </c>
      <c r="AR26" s="39">
        <v>75.0</v>
      </c>
      <c r="AS26" s="39">
        <v>0.0</v>
      </c>
      <c r="AT26" s="39">
        <v>0.0</v>
      </c>
      <c r="AU26" s="39">
        <v>0.0</v>
      </c>
      <c r="AV26" s="39">
        <v>0.0</v>
      </c>
      <c r="AW26" s="39">
        <v>-25.0</v>
      </c>
      <c r="AX26" s="39">
        <v>-25.0</v>
      </c>
      <c r="AY26" s="39">
        <v>0.0</v>
      </c>
      <c r="AZ26" s="39">
        <v>0.0</v>
      </c>
      <c r="BA26" s="39">
        <v>0.0</v>
      </c>
      <c r="BB26" s="39">
        <v>0.0</v>
      </c>
      <c r="BC26" s="39">
        <v>0.0</v>
      </c>
      <c r="BD26" s="39">
        <v>0.0</v>
      </c>
      <c r="BE26" s="39">
        <v>0.0</v>
      </c>
      <c r="BF26" s="39">
        <v>0.0</v>
      </c>
      <c r="BG26" s="37" t="str">
        <f t="array" ref="BG26">IF($A26="","", INDEX(CS!$B$1:$B$15025,MATCH($A26,CS!$B:$B,0)+COLUMN(A$1),1))</f>
        <v>小柄</v>
      </c>
      <c r="BH26" s="37" t="str">
        <f t="array" ref="BH26">IF($A26="","", INDEX(CS!$B$1:$B$15025,MATCH($A26,CS!$B:$B,0)+COLUMN(B$1),1))</f>
        <v/>
      </c>
      <c r="BI26" s="37" t="str">
        <f t="array" ref="BI26">IF($A26="","", INDEX(CS!$B$1:$B$15025,MATCH($A26,CS!$B:$B,0)+COLUMN(C$1),1))</f>
        <v>悪知恵</v>
      </c>
      <c r="BJ26" s="37" t="str">
        <f t="array" ref="BJ26">IF($A26="","", INDEX(CS!$B$1:$B$15025,MATCH($A26,CS!$B:$B,0)+COLUMN(D$1),1))</f>
        <v/>
      </c>
      <c r="BK26" s="37" t="str">
        <f t="array" ref="BK26">IF($A26="","", INDEX(CS!$B$1:$B$15025,MATCH($A26,CS!$B:$B,0)+COLUMN(E$1),1))</f>
        <v>逃げ足</v>
      </c>
      <c r="BL26" s="37" t="str">
        <f t="array" ref="BL26">IF($A26="","", INDEX(CS!$B$1:$B$15025,MATCH($A26,CS!$B:$B,0)+COLUMN(F$1),1))</f>
        <v/>
      </c>
      <c r="BM26" s="37" t="str">
        <f t="array" ref="BM26">IF($A26="","", INDEX(CS!$B$1:$B$15025,MATCH($A26,CS!$B:$B,0)+COLUMN(G$1),1))</f>
        <v>奇襲</v>
      </c>
      <c r="BN26" s="37" t="str">
        <f t="array" ref="BN26">IF($A26="","", INDEX(CS!$B$1:$B$15025,MATCH($A26,CS!$B:$B,0)+COLUMN(H$1),1))</f>
        <v/>
      </c>
      <c r="BO26" s="37" t="str">
        <f t="array" ref="BO26">IF($A26="","", INDEX(CS!$B$1:$B$15025,MATCH($A26,CS!$B:$B,0)+COLUMN(I$1),1))</f>
        <v>罠師</v>
      </c>
      <c r="BP26" s="37" t="str">
        <f t="array" ref="BP26">IF($A26="","", INDEX(CS!$B$1:$B$15025,MATCH($A26,CS!$B:$B,0)+COLUMN(J$1),1))</f>
        <v>狡猾</v>
      </c>
      <c r="BS26" s="74"/>
      <c r="BV26" s="37" t="s">
        <v>2661</v>
      </c>
      <c r="BW26" s="57">
        <v>70.0</v>
      </c>
      <c r="BX26" s="75">
        <v>30.0</v>
      </c>
      <c r="BY26" s="75">
        <v>20.0</v>
      </c>
      <c r="BZ26" s="75">
        <v>10.0</v>
      </c>
      <c r="CA26" s="75">
        <v>10.0</v>
      </c>
      <c r="CD26" s="75">
        <v>2.0</v>
      </c>
      <c r="CE26" s="75"/>
      <c r="CN26" s="37" t="s">
        <v>2681</v>
      </c>
      <c r="CO26" s="39" t="s">
        <v>2682</v>
      </c>
      <c r="CP26" s="39" t="s">
        <v>2675</v>
      </c>
      <c r="CQ26" s="39"/>
      <c r="CR26" s="39"/>
    </row>
    <row r="27" ht="18.75" customHeight="1" outlineLevel="1">
      <c r="A27" s="37" t="s">
        <v>1265</v>
      </c>
      <c r="B27" s="71"/>
      <c r="C27" s="37" t="s">
        <v>2670</v>
      </c>
      <c r="D27" s="72" t="str">
        <f t="shared" si="1"/>
        <v>710/490/220</v>
      </c>
      <c r="E27" s="37">
        <v>1.0</v>
      </c>
      <c r="F27" s="37">
        <v>90.0</v>
      </c>
      <c r="I27" s="37">
        <v>90.0</v>
      </c>
      <c r="J27" s="37">
        <v>70.0</v>
      </c>
      <c r="K27" s="73">
        <v>25.0</v>
      </c>
      <c r="L27" s="37">
        <v>55.0</v>
      </c>
      <c r="M27" s="37">
        <v>85.0</v>
      </c>
      <c r="N27" s="37">
        <v>75.0</v>
      </c>
      <c r="O27" s="37">
        <v>100.0</v>
      </c>
      <c r="P27" s="39">
        <v>25.0</v>
      </c>
      <c r="Q27" s="64"/>
      <c r="R27" s="64"/>
      <c r="S27" s="64"/>
      <c r="T27" s="64"/>
      <c r="U27" s="64"/>
      <c r="V27" s="64"/>
      <c r="W27" s="64"/>
      <c r="X27" s="64"/>
      <c r="Y27" s="64"/>
      <c r="Z27" s="64">
        <v>15.0</v>
      </c>
      <c r="AA27" s="64"/>
      <c r="AC27" s="37">
        <v>-15.0</v>
      </c>
      <c r="AJ27" s="39">
        <v>0.0</v>
      </c>
      <c r="AK27" s="39">
        <v>-25.0</v>
      </c>
      <c r="AL27" s="41">
        <v>35.0</v>
      </c>
      <c r="AM27" s="39">
        <v>0.0</v>
      </c>
      <c r="AN27" s="39">
        <v>50.0</v>
      </c>
      <c r="AO27" s="39">
        <v>0.0</v>
      </c>
      <c r="AP27" s="39">
        <v>0.0</v>
      </c>
      <c r="AQ27" s="39">
        <v>75.0</v>
      </c>
      <c r="AR27" s="41">
        <v>25.0</v>
      </c>
      <c r="AS27" s="41">
        <v>75.0</v>
      </c>
      <c r="AT27" s="41">
        <v>0.0</v>
      </c>
      <c r="AU27" s="39">
        <v>0.0</v>
      </c>
      <c r="AV27" s="39">
        <v>0.0</v>
      </c>
      <c r="AW27" s="39">
        <v>-25.0</v>
      </c>
      <c r="AX27" s="39">
        <v>-25.0</v>
      </c>
      <c r="AY27" s="39">
        <v>0.0</v>
      </c>
      <c r="AZ27" s="41">
        <v>35.0</v>
      </c>
      <c r="BA27" s="39">
        <v>0.0</v>
      </c>
      <c r="BB27" s="39">
        <v>0.0</v>
      </c>
      <c r="BC27" s="39">
        <v>0.0</v>
      </c>
      <c r="BD27" s="39">
        <v>0.0</v>
      </c>
      <c r="BE27" s="39">
        <v>0.0</v>
      </c>
      <c r="BF27" s="39">
        <v>120.0</v>
      </c>
      <c r="BG27" s="37" t="str">
        <f t="array" ref="BG27">IF($A27="","", INDEX(CS!$B$1:$B$15025,MATCH($A27,CS!$B:$B,0)+COLUMN(A$1),1))</f>
        <v>樹皮</v>
      </c>
      <c r="BH27" s="37" t="str">
        <f t="array" ref="BH27">IF($A27="","", INDEX(CS!$B$1:$B$15025,MATCH($A27,CS!$B:$B,0)+COLUMN(B$1),1))</f>
        <v/>
      </c>
      <c r="BI27" s="37" t="str">
        <f t="array" ref="BI27">IF($A27="","", INDEX(CS!$B$1:$B$15025,MATCH($A27,CS!$B:$B,0)+COLUMN(C$1),1))</f>
        <v>根張り</v>
      </c>
      <c r="BJ27" s="37" t="str">
        <f t="array" ref="BJ27">IF($A27="","", INDEX(CS!$B$1:$B$15025,MATCH($A27,CS!$B:$B,0)+COLUMN(D$1),1))</f>
        <v/>
      </c>
      <c r="BK27" s="37" t="str">
        <f t="array" ref="BK27">IF($A27="","", INDEX(CS!$B$1:$B$15025,MATCH($A27,CS!$B:$B,0)+COLUMN(E$1),1))</f>
        <v>枝打ち</v>
      </c>
      <c r="BL27" s="37" t="str">
        <f t="array" ref="BL27">IF($A27="","", INDEX(CS!$B$1:$B$15025,MATCH($A27,CS!$B:$B,0)+COLUMN(F$1),1))</f>
        <v/>
      </c>
      <c r="BM27" s="37" t="str">
        <f t="array" ref="BM27">IF($A27="","", INDEX(CS!$B$1:$B$15025,MATCH($A27,CS!$B:$B,0)+COLUMN(G$1),1))</f>
        <v>森との同化</v>
      </c>
      <c r="BN27" s="37" t="str">
        <f t="array" ref="BN27">IF($A27="","", INDEX(CS!$B$1:$B$15025,MATCH($A27,CS!$B:$B,0)+COLUMN(H$1),1))</f>
        <v/>
      </c>
      <c r="BO27" s="37" t="str">
        <f t="array" ref="BO27">IF($A27="","", INDEX(CS!$B$1:$B$15025,MATCH($A27,CS!$B:$B,0)+COLUMN(I$1),1))</f>
        <v>生命樹液</v>
      </c>
      <c r="BP27" s="37" t="str">
        <f t="array" ref="BP27">IF($A27="","", INDEX(CS!$B$1:$B$15025,MATCH($A27,CS!$B:$B,0)+COLUMN(J$1),1))</f>
        <v>古木の生命力</v>
      </c>
      <c r="BS27" s="74"/>
      <c r="BV27" s="37" t="s">
        <v>2661</v>
      </c>
      <c r="BW27" s="57">
        <v>70.0</v>
      </c>
      <c r="BX27" s="75">
        <v>30.0</v>
      </c>
      <c r="BY27" s="75">
        <v>20.0</v>
      </c>
      <c r="BZ27" s="75">
        <v>10.0</v>
      </c>
      <c r="CA27" s="75">
        <v>10.0</v>
      </c>
      <c r="CD27" s="75">
        <v>2.0</v>
      </c>
      <c r="CE27" s="75"/>
      <c r="CN27" s="37" t="s">
        <v>2681</v>
      </c>
      <c r="CO27" s="39" t="s">
        <v>2683</v>
      </c>
      <c r="CP27" s="39" t="s">
        <v>2684</v>
      </c>
      <c r="CQ27" s="39"/>
      <c r="CR27" s="39"/>
    </row>
    <row r="28" ht="18.75" customHeight="1" outlineLevel="1">
      <c r="A28" s="39"/>
      <c r="B28" s="71"/>
      <c r="C28" s="39"/>
      <c r="D28" s="72" t="str">
        <f t="shared" si="1"/>
        <v>0/0/0</v>
      </c>
      <c r="E28" s="37">
        <v>1.0</v>
      </c>
      <c r="K28" s="73"/>
      <c r="P28" s="37" t="s">
        <v>29</v>
      </c>
      <c r="Q28" s="64"/>
      <c r="R28" s="64"/>
      <c r="S28" s="64"/>
      <c r="T28" s="64"/>
      <c r="U28" s="64"/>
      <c r="V28" s="64"/>
      <c r="W28" s="64"/>
      <c r="X28" s="64"/>
      <c r="Y28" s="64"/>
      <c r="Z28" s="64"/>
      <c r="AA28" s="64"/>
      <c r="BG28" s="37" t="str">
        <f t="array" ref="BG28">IF($A28="","", INDEX(CS!$B$1:$B$15025,MATCH($A28,CS!$B:$B,0)+COLUMN(A$1),1))</f>
        <v/>
      </c>
      <c r="BH28" s="37" t="str">
        <f t="array" ref="BH28">IF($A28="","", INDEX(CS!$B$1:$B$15025,MATCH($A28,CS!$B:$B,0)+COLUMN(B$1),1))</f>
        <v/>
      </c>
      <c r="BI28" s="37" t="str">
        <f t="array" ref="BI28">IF($A28="","", INDEX(CS!$B$1:$B$15025,MATCH($A28,CS!$B:$B,0)+COLUMN(C$1),1))</f>
        <v/>
      </c>
      <c r="BJ28" s="37" t="str">
        <f t="array" ref="BJ28">IF($A28="","", INDEX(CS!$B$1:$B$15025,MATCH($A28,CS!$B:$B,0)+COLUMN(D$1),1))</f>
        <v/>
      </c>
      <c r="BK28" s="37" t="str">
        <f t="array" ref="BK28">IF($A28="","", INDEX(CS!$B$1:$B$15025,MATCH($A28,CS!$B:$B,0)+COLUMN(E$1),1))</f>
        <v/>
      </c>
      <c r="BL28" s="37" t="str">
        <f t="array" ref="BL28">IF($A28="","", INDEX(CS!$B$1:$B$15025,MATCH($A28,CS!$B:$B,0)+COLUMN(F$1),1))</f>
        <v/>
      </c>
      <c r="BM28" s="37" t="str">
        <f t="array" ref="BM28">IF($A28="","", INDEX(CS!$B$1:$B$15025,MATCH($A28,CS!$B:$B,0)+COLUMN(G$1),1))</f>
        <v/>
      </c>
      <c r="BN28" s="37" t="str">
        <f t="array" ref="BN28">IF($A28="","", INDEX(CS!$B$1:$B$15025,MATCH($A28,CS!$B:$B,0)+COLUMN(H$1),1))</f>
        <v/>
      </c>
      <c r="BO28" s="37" t="str">
        <f t="array" ref="BO28">IF($A28="","", INDEX(CS!$B$1:$B$15025,MATCH($A28,CS!$B:$B,0)+COLUMN(I$1),1))</f>
        <v/>
      </c>
      <c r="BP28" s="37" t="str">
        <f t="array" ref="BP28">IF($A28="","", INDEX(CS!$B$1:$B$15025,MATCH($A28,CS!$B:$B,0)+COLUMN(J$1),1))</f>
        <v/>
      </c>
      <c r="BS28" s="74"/>
      <c r="BW28" s="57"/>
      <c r="BX28" s="75"/>
      <c r="BY28" s="75"/>
      <c r="BZ28" s="75"/>
      <c r="CA28" s="75"/>
      <c r="CQ28" s="37"/>
      <c r="CR28" s="37"/>
    </row>
    <row r="29" ht="18.75" customHeight="1" outlineLevel="1">
      <c r="A29" s="77"/>
      <c r="B29" s="78" t="s">
        <v>2685</v>
      </c>
      <c r="C29" s="79"/>
      <c r="D29" s="80" t="str">
        <f t="shared" si="1"/>
        <v>0/0/0</v>
      </c>
      <c r="E29" s="79"/>
      <c r="F29" s="79"/>
      <c r="G29" s="79"/>
      <c r="H29" s="79"/>
      <c r="I29" s="79"/>
      <c r="J29" s="79"/>
      <c r="K29" s="81"/>
      <c r="L29" s="79"/>
      <c r="M29" s="79"/>
      <c r="N29" s="79"/>
      <c r="O29" s="79"/>
      <c r="P29" s="79" t="s">
        <v>29</v>
      </c>
      <c r="Q29" s="82"/>
      <c r="R29" s="82"/>
      <c r="S29" s="82"/>
      <c r="T29" s="82"/>
      <c r="U29" s="82"/>
      <c r="V29" s="82"/>
      <c r="W29" s="82"/>
      <c r="X29" s="82"/>
      <c r="Y29" s="82"/>
      <c r="Z29" s="82"/>
      <c r="AA29" s="82"/>
      <c r="AB29" s="79"/>
      <c r="AC29" s="79"/>
      <c r="AD29" s="79"/>
      <c r="AE29" s="79"/>
      <c r="AF29" s="79"/>
      <c r="AG29" s="79"/>
      <c r="AH29" s="79"/>
      <c r="AI29" s="79"/>
      <c r="AJ29" s="77"/>
      <c r="AK29" s="77"/>
      <c r="AL29" s="77"/>
      <c r="AM29" s="77"/>
      <c r="AN29" s="79"/>
      <c r="AO29" s="77"/>
      <c r="AP29" s="77"/>
      <c r="AQ29" s="77"/>
      <c r="AR29" s="77"/>
      <c r="AS29" s="77"/>
      <c r="AT29" s="77"/>
      <c r="AU29" s="77"/>
      <c r="AV29" s="77"/>
      <c r="AW29" s="79"/>
      <c r="AX29" s="79"/>
      <c r="AY29" s="77"/>
      <c r="AZ29" s="79"/>
      <c r="BA29" s="79"/>
      <c r="BB29" s="79"/>
      <c r="BC29" s="79"/>
      <c r="BD29" s="79"/>
      <c r="BE29" s="79"/>
      <c r="BF29" s="79"/>
      <c r="BG29" s="79" t="str">
        <f t="array" ref="BG29">IF($A29="","", INDEX(CS!$B$1:$B$15025,MATCH($A29,CS!$B:$B,0)+COLUMN(A$1),1))</f>
        <v/>
      </c>
      <c r="BH29" s="79" t="str">
        <f t="array" ref="BH29">IF($A29="","", INDEX(CS!$B$1:$B$15025,MATCH($A29,CS!$B:$B,0)+COLUMN(B$1),1))</f>
        <v/>
      </c>
      <c r="BI29" s="79" t="str">
        <f t="array" ref="BI29">IF($A29="","", INDEX(CS!$B$1:$B$15025,MATCH($A29,CS!$B:$B,0)+COLUMN(C$1),1))</f>
        <v/>
      </c>
      <c r="BJ29" s="79" t="str">
        <f t="array" ref="BJ29">IF($A29="","", INDEX(CS!$B$1:$B$15025,MATCH($A29,CS!$B:$B,0)+COLUMN(D$1),1))</f>
        <v/>
      </c>
      <c r="BK29" s="79" t="str">
        <f t="array" ref="BK29">IF($A29="","", INDEX(CS!$B$1:$B$15025,MATCH($A29,CS!$B:$B,0)+COLUMN(E$1),1))</f>
        <v/>
      </c>
      <c r="BL29" s="79" t="str">
        <f t="array" ref="BL29">IF($A29="","", INDEX(CS!$B$1:$B$15025,MATCH($A29,CS!$B:$B,0)+COLUMN(F$1),1))</f>
        <v/>
      </c>
      <c r="BM29" s="79" t="str">
        <f t="array" ref="BM29">IF($A29="","", INDEX(CS!$B$1:$B$15025,MATCH($A29,CS!$B:$B,0)+COLUMN(G$1),1))</f>
        <v/>
      </c>
      <c r="BN29" s="79" t="str">
        <f t="array" ref="BN29">IF($A29="","", INDEX(CS!$B$1:$B$15025,MATCH($A29,CS!$B:$B,0)+COLUMN(H$1),1))</f>
        <v/>
      </c>
      <c r="BO29" s="79" t="str">
        <f t="array" ref="BO29">IF($A29="","", INDEX(CS!$B$1:$B$15025,MATCH($A29,CS!$B:$B,0)+COLUMN(I$1),1))</f>
        <v/>
      </c>
      <c r="BP29" s="79" t="str">
        <f t="array" ref="BP29">IF($A29="","", INDEX(CS!$B$1:$B$15025,MATCH($A29,CS!$B:$B,0)+COLUMN(J$1),1))</f>
        <v/>
      </c>
      <c r="BQ29" s="79"/>
      <c r="BR29" s="79"/>
      <c r="BS29" s="83"/>
      <c r="BT29" s="79"/>
      <c r="BU29" s="79"/>
      <c r="BV29" s="79"/>
      <c r="BW29" s="82"/>
      <c r="BX29" s="82"/>
      <c r="BY29" s="82"/>
      <c r="BZ29" s="77"/>
      <c r="CA29" s="77"/>
      <c r="CB29" s="82"/>
      <c r="CC29" s="79"/>
      <c r="CD29" s="82"/>
      <c r="CE29" s="82"/>
      <c r="CF29" s="79"/>
      <c r="CG29" s="79"/>
      <c r="CH29" s="79"/>
      <c r="CI29" s="79"/>
      <c r="CJ29" s="79"/>
      <c r="CK29" s="79"/>
      <c r="CL29" s="79"/>
      <c r="CM29" s="79"/>
      <c r="CN29" s="79"/>
      <c r="CO29" s="79"/>
      <c r="CP29" s="79"/>
      <c r="CQ29" s="79"/>
      <c r="CR29" s="79"/>
    </row>
    <row r="30" ht="18.75" customHeight="1" outlineLevel="1">
      <c r="A30" s="41" t="s">
        <v>1280</v>
      </c>
      <c r="B30" s="71"/>
      <c r="C30" s="37" t="s">
        <v>2686</v>
      </c>
      <c r="D30" s="72" t="str">
        <f t="shared" si="1"/>
        <v>710/515/195</v>
      </c>
      <c r="E30" s="37">
        <v>1.0</v>
      </c>
      <c r="F30" s="37">
        <v>90.0</v>
      </c>
      <c r="I30" s="37">
        <v>80.0</v>
      </c>
      <c r="J30" s="37">
        <v>70.0</v>
      </c>
      <c r="K30" s="73">
        <v>80.0</v>
      </c>
      <c r="L30" s="37">
        <v>60.0</v>
      </c>
      <c r="M30" s="37">
        <v>70.0</v>
      </c>
      <c r="N30" s="37">
        <v>65.0</v>
      </c>
      <c r="O30" s="37">
        <v>170.0</v>
      </c>
      <c r="P30" s="39">
        <v>-100.0</v>
      </c>
      <c r="Q30" s="64">
        <v>10.0</v>
      </c>
      <c r="R30" s="64">
        <v>5.0</v>
      </c>
      <c r="S30" s="64"/>
      <c r="T30" s="64"/>
      <c r="U30" s="64"/>
      <c r="V30" s="64"/>
      <c r="W30" s="64">
        <v>15.0</v>
      </c>
      <c r="X30" s="64">
        <v>15.0</v>
      </c>
      <c r="Y30" s="64"/>
      <c r="Z30" s="64"/>
      <c r="AA30" s="64">
        <v>-30.0</v>
      </c>
      <c r="AB30" s="37">
        <v>15.0</v>
      </c>
      <c r="AJ30" s="41">
        <v>50.0</v>
      </c>
      <c r="AK30" s="41">
        <v>50.0</v>
      </c>
      <c r="AL30" s="41">
        <v>35.0</v>
      </c>
      <c r="AM30" s="41">
        <v>15.0</v>
      </c>
      <c r="AN30" s="39">
        <v>0.0</v>
      </c>
      <c r="AO30" s="41">
        <v>0.0</v>
      </c>
      <c r="AP30" s="41">
        <v>0.0</v>
      </c>
      <c r="AQ30" s="41">
        <v>35.0</v>
      </c>
      <c r="AR30" s="41">
        <v>35.0</v>
      </c>
      <c r="AS30" s="41">
        <v>-25.0</v>
      </c>
      <c r="AT30" s="41">
        <v>-25.0</v>
      </c>
      <c r="AU30" s="41">
        <v>-25.0</v>
      </c>
      <c r="AV30" s="41">
        <v>-25.0</v>
      </c>
      <c r="AW30" s="39">
        <v>0.0</v>
      </c>
      <c r="AX30" s="39">
        <v>0.0</v>
      </c>
      <c r="AY30" s="41">
        <v>75.0</v>
      </c>
      <c r="AZ30" s="39">
        <v>0.0</v>
      </c>
      <c r="BA30" s="39">
        <v>0.0</v>
      </c>
      <c r="BB30" s="39">
        <v>100.0</v>
      </c>
      <c r="BC30" s="39">
        <v>100.0</v>
      </c>
      <c r="BD30" s="39">
        <v>0.0</v>
      </c>
      <c r="BE30" s="39">
        <v>0.0</v>
      </c>
      <c r="BF30" s="39">
        <v>50.0</v>
      </c>
      <c r="BG30" s="37" t="str">
        <f t="array" ref="BG30">IF($A30="","", INDEX(CS!$B$1:$B$15025,MATCH($A30,CS!$B:$B,0)+COLUMN(A$1),1))</f>
        <v>牙</v>
      </c>
      <c r="BH30" s="37" t="str">
        <f t="array" ref="BH30">IF($A30="","", INDEX(CS!$B$1:$B$15025,MATCH($A30,CS!$B:$B,0)+COLUMN(B$1),1))</f>
        <v>邪視</v>
      </c>
      <c r="BI30" s="37" t="str">
        <f t="array" ref="BI30">IF($A30="","", INDEX(CS!$B$1:$B$15025,MATCH($A30,CS!$B:$B,0)+COLUMN(C$1),1))</f>
        <v>爪</v>
      </c>
      <c r="BJ30" s="37" t="str">
        <f t="array" ref="BJ30">IF($A30="","", INDEX(CS!$B$1:$B$15025,MATCH($A30,CS!$B:$B,0)+COLUMN(D$1),1))</f>
        <v/>
      </c>
      <c r="BK30" s="37" t="str">
        <f t="array" ref="BK30">IF($A30="","", INDEX(CS!$B$1:$B$15025,MATCH($A30,CS!$B:$B,0)+COLUMN(E$1),1))</f>
        <v>悪魔の槍</v>
      </c>
      <c r="BL30" s="37" t="str">
        <f t="array" ref="BL30">IF($A30="","", INDEX(CS!$B$1:$B$15025,MATCH($A30,CS!$B:$B,0)+COLUMN(F$1),1))</f>
        <v>悪の魔力</v>
      </c>
      <c r="BM30" s="37" t="str">
        <f t="array" ref="BM30">IF($A30="","", INDEX(CS!$B$1:$B$15025,MATCH($A30,CS!$B:$B,0)+COLUMN(G$1),1))</f>
        <v>悪魔の外皮</v>
      </c>
      <c r="BN30" s="37" t="str">
        <f t="array" ref="BN30">IF($A30="","", INDEX(CS!$B$1:$B$15025,MATCH($A30,CS!$B:$B,0)+COLUMN(H$1),1))</f>
        <v/>
      </c>
      <c r="BO30" s="37" t="str">
        <f t="array" ref="BO30">IF($A30="","", INDEX(CS!$B$1:$B$15025,MATCH($A30,CS!$B:$B,0)+COLUMN(I$1),1))</f>
        <v>悪魔の威圧</v>
      </c>
      <c r="BP30" s="37" t="str">
        <f t="array" ref="BP30">IF($A30="","", INDEX(CS!$B$1:$B$15025,MATCH($A30,CS!$B:$B,0)+COLUMN(J$1),1))</f>
        <v>次元の扉</v>
      </c>
      <c r="BS30" s="74"/>
      <c r="BV30" s="37" t="s">
        <v>2627</v>
      </c>
      <c r="BW30" s="57">
        <v>30.0</v>
      </c>
      <c r="BX30" s="75">
        <v>0.0</v>
      </c>
      <c r="BY30" s="75">
        <v>0.0</v>
      </c>
      <c r="BZ30" s="84">
        <v>35.0</v>
      </c>
      <c r="CA30" s="84">
        <v>15.0</v>
      </c>
      <c r="CB30" s="75">
        <v>10.0</v>
      </c>
      <c r="CD30" s="75">
        <v>2.0</v>
      </c>
      <c r="CE30" s="75"/>
      <c r="CN30" s="37" t="s">
        <v>2687</v>
      </c>
      <c r="CO30" s="39" t="s">
        <v>2688</v>
      </c>
      <c r="CP30" s="39" t="s">
        <v>2675</v>
      </c>
      <c r="CQ30" s="39"/>
      <c r="CR30" s="39"/>
    </row>
    <row r="31" ht="18.75" customHeight="1" outlineLevel="1">
      <c r="A31" s="41" t="s">
        <v>2689</v>
      </c>
      <c r="B31" s="71"/>
      <c r="C31" s="37" t="s">
        <v>2686</v>
      </c>
      <c r="D31" s="72" t="str">
        <f t="shared" si="1"/>
        <v>710/515/195</v>
      </c>
      <c r="E31" s="41">
        <v>2.0</v>
      </c>
      <c r="F31" s="37">
        <v>90.0</v>
      </c>
      <c r="I31" s="37">
        <v>80.0</v>
      </c>
      <c r="J31" s="37">
        <v>70.0</v>
      </c>
      <c r="K31" s="73">
        <v>80.0</v>
      </c>
      <c r="L31" s="37">
        <v>60.0</v>
      </c>
      <c r="M31" s="37">
        <v>70.0</v>
      </c>
      <c r="N31" s="37">
        <v>65.0</v>
      </c>
      <c r="O31" s="37">
        <v>170.0</v>
      </c>
      <c r="P31" s="39">
        <v>-100.0</v>
      </c>
      <c r="Q31" s="64">
        <v>10.0</v>
      </c>
      <c r="R31" s="64">
        <v>5.0</v>
      </c>
      <c r="S31" s="64"/>
      <c r="T31" s="64"/>
      <c r="U31" s="64"/>
      <c r="V31" s="64"/>
      <c r="W31" s="64">
        <v>15.0</v>
      </c>
      <c r="X31" s="64">
        <v>15.0</v>
      </c>
      <c r="Y31" s="64"/>
      <c r="Z31" s="64"/>
      <c r="AA31" s="64">
        <v>-30.0</v>
      </c>
      <c r="AB31" s="37">
        <v>15.0</v>
      </c>
      <c r="AJ31" s="41">
        <v>50.0</v>
      </c>
      <c r="AK31" s="41">
        <v>50.0</v>
      </c>
      <c r="AL31" s="41">
        <v>35.0</v>
      </c>
      <c r="AM31" s="41">
        <v>15.0</v>
      </c>
      <c r="AN31" s="39">
        <v>0.0</v>
      </c>
      <c r="AO31" s="41">
        <v>0.0</v>
      </c>
      <c r="AP31" s="41">
        <v>0.0</v>
      </c>
      <c r="AQ31" s="41">
        <v>35.0</v>
      </c>
      <c r="AR31" s="41">
        <v>35.0</v>
      </c>
      <c r="AS31" s="41">
        <v>-25.0</v>
      </c>
      <c r="AT31" s="41">
        <v>-25.0</v>
      </c>
      <c r="AU31" s="41">
        <v>-25.0</v>
      </c>
      <c r="AV31" s="41">
        <v>-25.0</v>
      </c>
      <c r="AW31" s="39">
        <v>0.0</v>
      </c>
      <c r="AX31" s="39">
        <v>0.0</v>
      </c>
      <c r="AY31" s="41">
        <v>75.0</v>
      </c>
      <c r="AZ31" s="39">
        <v>0.0</v>
      </c>
      <c r="BA31" s="39">
        <v>0.0</v>
      </c>
      <c r="BB31" s="39">
        <v>100.0</v>
      </c>
      <c r="BC31" s="39">
        <v>100.0</v>
      </c>
      <c r="BD31" s="39">
        <v>0.0</v>
      </c>
      <c r="BE31" s="39">
        <v>0.0</v>
      </c>
      <c r="BF31" s="39">
        <v>50.0</v>
      </c>
      <c r="BG31" s="37" t="str">
        <f t="array" ref="BG31">IF($A31="","", INDEX(CS!$B$1:$B$15025,MATCH($A31,CS!$B:$B,0)+COLUMN(A$1),1))</f>
        <v>#N/A</v>
      </c>
      <c r="BH31" s="37" t="str">
        <f t="array" ref="BH31">IF($A31="","", INDEX(CS!$B$1:$B$15025,MATCH($A31,CS!$B:$B,0)+COLUMN(B$1),1))</f>
        <v>#N/A</v>
      </c>
      <c r="BI31" s="37" t="str">
        <f t="array" ref="BI31">IF($A31="","", INDEX(CS!$B$1:$B$15025,MATCH($A31,CS!$B:$B,0)+COLUMN(C$1),1))</f>
        <v>#N/A</v>
      </c>
      <c r="BJ31" s="37" t="str">
        <f t="array" ref="BJ31">IF($A31="","", INDEX(CS!$B$1:$B$15025,MATCH($A31,CS!$B:$B,0)+COLUMN(D$1),1))</f>
        <v>#N/A</v>
      </c>
      <c r="BK31" s="37" t="str">
        <f t="array" ref="BK31">IF($A31="","", INDEX(CS!$B$1:$B$15025,MATCH($A31,CS!$B:$B,0)+COLUMN(E$1),1))</f>
        <v>#N/A</v>
      </c>
      <c r="BL31" s="37" t="str">
        <f t="array" ref="BL31">IF($A31="","", INDEX(CS!$B$1:$B$15025,MATCH($A31,CS!$B:$B,0)+COLUMN(F$1),1))</f>
        <v>#N/A</v>
      </c>
      <c r="BM31" s="37" t="str">
        <f t="array" ref="BM31">IF($A31="","", INDEX(CS!$B$1:$B$15025,MATCH($A31,CS!$B:$B,0)+COLUMN(G$1),1))</f>
        <v>#N/A</v>
      </c>
      <c r="BN31" s="37" t="str">
        <f t="array" ref="BN31">IF($A31="","", INDEX(CS!$B$1:$B$15025,MATCH($A31,CS!$B:$B,0)+COLUMN(H$1),1))</f>
        <v>#N/A</v>
      </c>
      <c r="BO31" s="37" t="str">
        <f t="array" ref="BO31">IF($A31="","", INDEX(CS!$B$1:$B$15025,MATCH($A31,CS!$B:$B,0)+COLUMN(I$1),1))</f>
        <v>#N/A</v>
      </c>
      <c r="BP31" s="37" t="str">
        <f t="array" ref="BP31">IF($A31="","", INDEX(CS!$B$1:$B$15025,MATCH($A31,CS!$B:$B,0)+COLUMN(J$1),1))</f>
        <v>#N/A</v>
      </c>
      <c r="BQ31" s="41">
        <v>20.0</v>
      </c>
      <c r="BR31" s="39" t="s">
        <v>2690</v>
      </c>
      <c r="BS31" s="74"/>
      <c r="BW31" s="57"/>
      <c r="BX31" s="75">
        <v>0.0</v>
      </c>
      <c r="BY31" s="75">
        <v>0.0</v>
      </c>
      <c r="BZ31" s="84">
        <v>35.0</v>
      </c>
      <c r="CA31" s="84">
        <v>15.0</v>
      </c>
      <c r="CB31" s="75">
        <v>10.0</v>
      </c>
      <c r="CD31" s="75">
        <v>2.0</v>
      </c>
      <c r="CE31" s="75"/>
      <c r="CN31" s="37" t="s">
        <v>2687</v>
      </c>
      <c r="CO31" s="39" t="s">
        <v>2688</v>
      </c>
      <c r="CP31" s="39" t="s">
        <v>2675</v>
      </c>
      <c r="CQ31" s="39"/>
      <c r="CR31" s="39"/>
    </row>
    <row r="32" ht="18.75" customHeight="1" outlineLevel="1">
      <c r="A32" s="41" t="s">
        <v>2691</v>
      </c>
      <c r="B32" s="71"/>
      <c r="C32" s="37" t="s">
        <v>2686</v>
      </c>
      <c r="D32" s="72" t="str">
        <f t="shared" si="1"/>
        <v>710/515/195</v>
      </c>
      <c r="E32" s="41">
        <v>3.0</v>
      </c>
      <c r="F32" s="37">
        <v>90.0</v>
      </c>
      <c r="I32" s="37">
        <v>80.0</v>
      </c>
      <c r="J32" s="37">
        <v>70.0</v>
      </c>
      <c r="K32" s="73">
        <v>80.0</v>
      </c>
      <c r="L32" s="37">
        <v>60.0</v>
      </c>
      <c r="M32" s="37">
        <v>70.0</v>
      </c>
      <c r="N32" s="37">
        <v>65.0</v>
      </c>
      <c r="O32" s="37">
        <v>170.0</v>
      </c>
      <c r="P32" s="39">
        <v>-100.0</v>
      </c>
      <c r="Q32" s="64">
        <v>10.0</v>
      </c>
      <c r="R32" s="64">
        <v>5.0</v>
      </c>
      <c r="S32" s="64"/>
      <c r="T32" s="64"/>
      <c r="U32" s="64"/>
      <c r="V32" s="64"/>
      <c r="W32" s="64">
        <v>15.0</v>
      </c>
      <c r="X32" s="64">
        <v>15.0</v>
      </c>
      <c r="Y32" s="64"/>
      <c r="Z32" s="64"/>
      <c r="AA32" s="64">
        <v>-30.0</v>
      </c>
      <c r="AB32" s="37">
        <v>15.0</v>
      </c>
      <c r="AJ32" s="41">
        <v>50.0</v>
      </c>
      <c r="AK32" s="41">
        <v>50.0</v>
      </c>
      <c r="AL32" s="41">
        <v>35.0</v>
      </c>
      <c r="AM32" s="41">
        <v>15.0</v>
      </c>
      <c r="AN32" s="39">
        <v>0.0</v>
      </c>
      <c r="AO32" s="41">
        <v>0.0</v>
      </c>
      <c r="AP32" s="41">
        <v>0.0</v>
      </c>
      <c r="AQ32" s="41">
        <v>35.0</v>
      </c>
      <c r="AR32" s="41">
        <v>35.0</v>
      </c>
      <c r="AS32" s="41">
        <v>-25.0</v>
      </c>
      <c r="AT32" s="41">
        <v>-25.0</v>
      </c>
      <c r="AU32" s="41">
        <v>-25.0</v>
      </c>
      <c r="AV32" s="41">
        <v>-25.0</v>
      </c>
      <c r="AW32" s="39">
        <v>0.0</v>
      </c>
      <c r="AX32" s="39">
        <v>0.0</v>
      </c>
      <c r="AY32" s="41">
        <v>75.0</v>
      </c>
      <c r="AZ32" s="39">
        <v>0.0</v>
      </c>
      <c r="BA32" s="39">
        <v>0.0</v>
      </c>
      <c r="BB32" s="39">
        <v>100.0</v>
      </c>
      <c r="BC32" s="39">
        <v>100.0</v>
      </c>
      <c r="BD32" s="39">
        <v>0.0</v>
      </c>
      <c r="BE32" s="39">
        <v>0.0</v>
      </c>
      <c r="BF32" s="39">
        <v>50.0</v>
      </c>
      <c r="BG32" s="37" t="str">
        <f t="array" ref="BG32">IF($A32="","", INDEX(CS!$B$1:$B$15025,MATCH($A32,CS!$B:$B,0)+COLUMN(A$1),1))</f>
        <v>#N/A</v>
      </c>
      <c r="BH32" s="37" t="str">
        <f t="array" ref="BH32">IF($A32="","", INDEX(CS!$B$1:$B$15025,MATCH($A32,CS!$B:$B,0)+COLUMN(B$1),1))</f>
        <v>#N/A</v>
      </c>
      <c r="BI32" s="37" t="str">
        <f t="array" ref="BI32">IF($A32="","", INDEX(CS!$B$1:$B$15025,MATCH($A32,CS!$B:$B,0)+COLUMN(C$1),1))</f>
        <v>#N/A</v>
      </c>
      <c r="BJ32" s="37" t="str">
        <f t="array" ref="BJ32">IF($A32="","", INDEX(CS!$B$1:$B$15025,MATCH($A32,CS!$B:$B,0)+COLUMN(D$1),1))</f>
        <v>#N/A</v>
      </c>
      <c r="BK32" s="37" t="str">
        <f t="array" ref="BK32">IF($A32="","", INDEX(CS!$B$1:$B$15025,MATCH($A32,CS!$B:$B,0)+COLUMN(E$1),1))</f>
        <v>#N/A</v>
      </c>
      <c r="BL32" s="37" t="str">
        <f t="array" ref="BL32">IF($A32="","", INDEX(CS!$B$1:$B$15025,MATCH($A32,CS!$B:$B,0)+COLUMN(F$1),1))</f>
        <v>#N/A</v>
      </c>
      <c r="BM32" s="37" t="str">
        <f t="array" ref="BM32">IF($A32="","", INDEX(CS!$B$1:$B$15025,MATCH($A32,CS!$B:$B,0)+COLUMN(G$1),1))</f>
        <v>#N/A</v>
      </c>
      <c r="BN32" s="37" t="str">
        <f t="array" ref="BN32">IF($A32="","", INDEX(CS!$B$1:$B$15025,MATCH($A32,CS!$B:$B,0)+COLUMN(H$1),1))</f>
        <v>#N/A</v>
      </c>
      <c r="BO32" s="37" t="str">
        <f t="array" ref="BO32">IF($A32="","", INDEX(CS!$B$1:$B$15025,MATCH($A32,CS!$B:$B,0)+COLUMN(I$1),1))</f>
        <v>#N/A</v>
      </c>
      <c r="BP32" s="37" t="str">
        <f t="array" ref="BP32">IF($A32="","", INDEX(CS!$B$1:$B$15025,MATCH($A32,CS!$B:$B,0)+COLUMN(J$1),1))</f>
        <v>#N/A</v>
      </c>
      <c r="BQ32" s="41">
        <v>30.0</v>
      </c>
      <c r="BR32" s="41" t="s">
        <v>2692</v>
      </c>
      <c r="BS32" s="74"/>
      <c r="BW32" s="57"/>
      <c r="BX32" s="75">
        <v>0.0</v>
      </c>
      <c r="BY32" s="75">
        <v>0.0</v>
      </c>
      <c r="BZ32" s="84">
        <v>35.0</v>
      </c>
      <c r="CA32" s="84">
        <v>15.0</v>
      </c>
      <c r="CB32" s="75">
        <v>10.0</v>
      </c>
      <c r="CD32" s="75">
        <v>2.0</v>
      </c>
      <c r="CE32" s="75"/>
      <c r="CN32" s="37" t="s">
        <v>2687</v>
      </c>
      <c r="CO32" s="39" t="s">
        <v>2688</v>
      </c>
      <c r="CP32" s="39" t="s">
        <v>2675</v>
      </c>
      <c r="CQ32" s="39"/>
      <c r="CR32" s="39">
        <v>500.0</v>
      </c>
    </row>
    <row r="33" ht="18.75" customHeight="1" outlineLevel="1">
      <c r="A33" s="39" t="s">
        <v>2693</v>
      </c>
      <c r="B33" s="71"/>
      <c r="C33" s="37" t="s">
        <v>2686</v>
      </c>
      <c r="D33" s="72" t="str">
        <f t="shared" si="1"/>
        <v>710/515/195</v>
      </c>
      <c r="E33" s="41">
        <v>4.0</v>
      </c>
      <c r="F33" s="37">
        <v>90.0</v>
      </c>
      <c r="I33" s="37">
        <v>80.0</v>
      </c>
      <c r="J33" s="37">
        <v>70.0</v>
      </c>
      <c r="K33" s="73">
        <v>80.0</v>
      </c>
      <c r="L33" s="37">
        <v>60.0</v>
      </c>
      <c r="M33" s="37">
        <v>70.0</v>
      </c>
      <c r="N33" s="37">
        <v>65.0</v>
      </c>
      <c r="O33" s="37">
        <v>170.0</v>
      </c>
      <c r="P33" s="39">
        <v>-100.0</v>
      </c>
      <c r="Q33" s="64"/>
      <c r="R33" s="64"/>
      <c r="S33" s="64"/>
      <c r="T33" s="64"/>
      <c r="U33" s="64"/>
      <c r="V33" s="64"/>
      <c r="W33" s="64"/>
      <c r="X33" s="64"/>
      <c r="Y33" s="64"/>
      <c r="Z33" s="64"/>
      <c r="AA33" s="64"/>
      <c r="AJ33" s="41">
        <v>50.0</v>
      </c>
      <c r="AK33" s="41">
        <v>50.0</v>
      </c>
      <c r="AL33" s="41">
        <v>35.0</v>
      </c>
      <c r="AM33" s="41">
        <v>15.0</v>
      </c>
      <c r="AN33" s="39">
        <v>0.0</v>
      </c>
      <c r="AO33" s="41">
        <v>0.0</v>
      </c>
      <c r="AP33" s="41">
        <v>0.0</v>
      </c>
      <c r="AQ33" s="41">
        <v>35.0</v>
      </c>
      <c r="AR33" s="41">
        <v>35.0</v>
      </c>
      <c r="AS33" s="41">
        <v>-25.0</v>
      </c>
      <c r="AT33" s="41">
        <v>-25.0</v>
      </c>
      <c r="AU33" s="41">
        <v>-25.0</v>
      </c>
      <c r="AV33" s="41">
        <v>-25.0</v>
      </c>
      <c r="AW33" s="39">
        <v>0.0</v>
      </c>
      <c r="AX33" s="39">
        <v>0.0</v>
      </c>
      <c r="AY33" s="41">
        <v>75.0</v>
      </c>
      <c r="AZ33" s="39">
        <v>0.0</v>
      </c>
      <c r="BA33" s="39">
        <v>0.0</v>
      </c>
      <c r="BB33" s="39">
        <v>100.0</v>
      </c>
      <c r="BC33" s="39">
        <v>100.0</v>
      </c>
      <c r="BD33" s="39">
        <v>0.0</v>
      </c>
      <c r="BE33" s="39">
        <v>0.0</v>
      </c>
      <c r="BF33" s="39">
        <v>50.0</v>
      </c>
      <c r="BQ33" s="41">
        <v>40.0</v>
      </c>
      <c r="BR33" s="41" t="s">
        <v>2694</v>
      </c>
      <c r="BS33" s="74"/>
      <c r="BU33" s="39" t="s">
        <v>2695</v>
      </c>
      <c r="BW33" s="57"/>
      <c r="BX33" s="75">
        <v>0.0</v>
      </c>
      <c r="BY33" s="75">
        <v>0.0</v>
      </c>
      <c r="BZ33" s="84">
        <v>35.0</v>
      </c>
      <c r="CA33" s="84">
        <v>15.0</v>
      </c>
      <c r="CB33" s="75">
        <v>10.0</v>
      </c>
      <c r="CD33" s="75">
        <v>2.0</v>
      </c>
      <c r="CE33" s="75"/>
      <c r="CN33" s="37" t="s">
        <v>2687</v>
      </c>
      <c r="CO33" s="39" t="s">
        <v>2688</v>
      </c>
      <c r="CP33" s="39" t="s">
        <v>2675</v>
      </c>
      <c r="CQ33" s="39"/>
      <c r="CR33" s="39">
        <v>1000.0</v>
      </c>
    </row>
    <row r="34" ht="18.75" customHeight="1" outlineLevel="1">
      <c r="A34" s="39" t="s">
        <v>2696</v>
      </c>
      <c r="B34" s="71"/>
      <c r="C34" s="37" t="s">
        <v>2686</v>
      </c>
      <c r="D34" s="72" t="str">
        <f t="shared" si="1"/>
        <v>710/515/195</v>
      </c>
      <c r="E34" s="39">
        <v>2.0</v>
      </c>
      <c r="F34" s="37">
        <v>90.0</v>
      </c>
      <c r="I34" s="37">
        <v>80.0</v>
      </c>
      <c r="J34" s="37">
        <v>70.0</v>
      </c>
      <c r="K34" s="73">
        <v>80.0</v>
      </c>
      <c r="L34" s="37">
        <v>60.0</v>
      </c>
      <c r="M34" s="37">
        <v>70.0</v>
      </c>
      <c r="N34" s="37">
        <v>65.0</v>
      </c>
      <c r="O34" s="37">
        <v>170.0</v>
      </c>
      <c r="P34" s="39">
        <v>-100.0</v>
      </c>
      <c r="Q34" s="64"/>
      <c r="R34" s="64"/>
      <c r="S34" s="64"/>
      <c r="T34" s="64"/>
      <c r="U34" s="64"/>
      <c r="V34" s="64"/>
      <c r="W34" s="64"/>
      <c r="X34" s="64"/>
      <c r="Y34" s="64"/>
      <c r="Z34" s="64"/>
      <c r="AA34" s="64"/>
      <c r="AJ34" s="41">
        <v>50.0</v>
      </c>
      <c r="AK34" s="41">
        <v>50.0</v>
      </c>
      <c r="AL34" s="41">
        <v>35.0</v>
      </c>
      <c r="AM34" s="41">
        <v>15.0</v>
      </c>
      <c r="AN34" s="39">
        <v>0.0</v>
      </c>
      <c r="AO34" s="41">
        <v>0.0</v>
      </c>
      <c r="AP34" s="41">
        <v>0.0</v>
      </c>
      <c r="AQ34" s="41">
        <v>35.0</v>
      </c>
      <c r="AR34" s="41">
        <v>35.0</v>
      </c>
      <c r="AS34" s="41">
        <v>-25.0</v>
      </c>
      <c r="AT34" s="41">
        <v>-25.0</v>
      </c>
      <c r="AU34" s="41">
        <v>-25.0</v>
      </c>
      <c r="AV34" s="41">
        <v>-25.0</v>
      </c>
      <c r="AW34" s="39">
        <v>0.0</v>
      </c>
      <c r="AX34" s="39">
        <v>0.0</v>
      </c>
      <c r="AY34" s="41">
        <v>75.0</v>
      </c>
      <c r="AZ34" s="39">
        <v>0.0</v>
      </c>
      <c r="BA34" s="39">
        <v>0.0</v>
      </c>
      <c r="BB34" s="39">
        <v>100.0</v>
      </c>
      <c r="BC34" s="39">
        <v>100.0</v>
      </c>
      <c r="BD34" s="39">
        <v>0.0</v>
      </c>
      <c r="BE34" s="39">
        <v>0.0</v>
      </c>
      <c r="BF34" s="39">
        <v>50.0</v>
      </c>
      <c r="BR34" s="39" t="s">
        <v>2690</v>
      </c>
      <c r="BS34" s="74"/>
      <c r="BU34" s="39" t="s">
        <v>2695</v>
      </c>
      <c r="BW34" s="57"/>
      <c r="BX34" s="75">
        <v>0.0</v>
      </c>
      <c r="BY34" s="75">
        <v>0.0</v>
      </c>
      <c r="BZ34" s="84">
        <v>35.0</v>
      </c>
      <c r="CA34" s="84">
        <v>15.0</v>
      </c>
      <c r="CB34" s="75">
        <v>10.0</v>
      </c>
      <c r="CD34" s="75">
        <v>2.0</v>
      </c>
      <c r="CE34" s="75"/>
      <c r="CN34" s="37" t="s">
        <v>2687</v>
      </c>
      <c r="CO34" s="39" t="s">
        <v>2688</v>
      </c>
      <c r="CP34" s="39" t="s">
        <v>2675</v>
      </c>
      <c r="CQ34" s="39"/>
      <c r="CR34" s="39"/>
    </row>
    <row r="35" ht="18.75" customHeight="1" outlineLevel="1">
      <c r="A35" s="39" t="s">
        <v>2697</v>
      </c>
      <c r="B35" s="71"/>
      <c r="C35" s="37" t="s">
        <v>2686</v>
      </c>
      <c r="D35" s="72" t="str">
        <f t="shared" si="1"/>
        <v>710/515/195</v>
      </c>
      <c r="E35" s="39">
        <v>2.0</v>
      </c>
      <c r="F35" s="37">
        <v>90.0</v>
      </c>
      <c r="I35" s="37">
        <v>80.0</v>
      </c>
      <c r="J35" s="37">
        <v>70.0</v>
      </c>
      <c r="K35" s="73">
        <v>80.0</v>
      </c>
      <c r="L35" s="37">
        <v>60.0</v>
      </c>
      <c r="M35" s="37">
        <v>70.0</v>
      </c>
      <c r="N35" s="37">
        <v>65.0</v>
      </c>
      <c r="O35" s="37">
        <v>170.0</v>
      </c>
      <c r="P35" s="39">
        <v>-100.0</v>
      </c>
      <c r="Q35" s="64"/>
      <c r="R35" s="64"/>
      <c r="S35" s="64"/>
      <c r="T35" s="64"/>
      <c r="U35" s="64"/>
      <c r="V35" s="64"/>
      <c r="W35" s="64"/>
      <c r="X35" s="64"/>
      <c r="Y35" s="64"/>
      <c r="Z35" s="64"/>
      <c r="AA35" s="64"/>
      <c r="AJ35" s="41">
        <v>50.0</v>
      </c>
      <c r="AK35" s="41">
        <v>50.0</v>
      </c>
      <c r="AL35" s="41">
        <v>35.0</v>
      </c>
      <c r="AM35" s="41">
        <v>15.0</v>
      </c>
      <c r="AN35" s="39">
        <v>0.0</v>
      </c>
      <c r="AO35" s="41">
        <v>0.0</v>
      </c>
      <c r="AP35" s="41">
        <v>0.0</v>
      </c>
      <c r="AQ35" s="41">
        <v>35.0</v>
      </c>
      <c r="AR35" s="41">
        <v>35.0</v>
      </c>
      <c r="AS35" s="41">
        <v>-25.0</v>
      </c>
      <c r="AT35" s="41">
        <v>-25.0</v>
      </c>
      <c r="AU35" s="41">
        <v>-25.0</v>
      </c>
      <c r="AV35" s="41">
        <v>-25.0</v>
      </c>
      <c r="AW35" s="39">
        <v>0.0</v>
      </c>
      <c r="AX35" s="39">
        <v>0.0</v>
      </c>
      <c r="AY35" s="41">
        <v>75.0</v>
      </c>
      <c r="AZ35" s="39">
        <v>0.0</v>
      </c>
      <c r="BA35" s="39">
        <v>0.0</v>
      </c>
      <c r="BB35" s="39">
        <v>100.0</v>
      </c>
      <c r="BC35" s="39">
        <v>100.0</v>
      </c>
      <c r="BD35" s="39">
        <v>0.0</v>
      </c>
      <c r="BE35" s="39">
        <v>0.0</v>
      </c>
      <c r="BF35" s="39">
        <v>50.0</v>
      </c>
      <c r="BR35" s="39" t="s">
        <v>2690</v>
      </c>
      <c r="BS35" s="74"/>
      <c r="BU35" s="39" t="s">
        <v>2695</v>
      </c>
      <c r="BW35" s="57"/>
      <c r="BX35" s="75">
        <v>0.0</v>
      </c>
      <c r="BY35" s="75">
        <v>0.0</v>
      </c>
      <c r="BZ35" s="84">
        <v>35.0</v>
      </c>
      <c r="CA35" s="84">
        <v>15.0</v>
      </c>
      <c r="CB35" s="75">
        <v>10.0</v>
      </c>
      <c r="CD35" s="75">
        <v>2.0</v>
      </c>
      <c r="CE35" s="75"/>
      <c r="CN35" s="37" t="s">
        <v>2687</v>
      </c>
      <c r="CO35" s="39" t="s">
        <v>2688</v>
      </c>
      <c r="CP35" s="39" t="s">
        <v>2675</v>
      </c>
      <c r="CQ35" s="39"/>
      <c r="CR35" s="39"/>
    </row>
    <row r="36" ht="18.75" customHeight="1" outlineLevel="1">
      <c r="A36" s="39" t="s">
        <v>2698</v>
      </c>
      <c r="B36" s="71"/>
      <c r="C36" s="37" t="s">
        <v>2686</v>
      </c>
      <c r="D36" s="72" t="str">
        <f t="shared" si="1"/>
        <v>710/515/195</v>
      </c>
      <c r="E36" s="39">
        <v>2.0</v>
      </c>
      <c r="F36" s="37">
        <v>90.0</v>
      </c>
      <c r="I36" s="37">
        <v>80.0</v>
      </c>
      <c r="J36" s="37">
        <v>70.0</v>
      </c>
      <c r="K36" s="73">
        <v>80.0</v>
      </c>
      <c r="L36" s="37">
        <v>60.0</v>
      </c>
      <c r="M36" s="37">
        <v>70.0</v>
      </c>
      <c r="N36" s="37">
        <v>65.0</v>
      </c>
      <c r="O36" s="37">
        <v>170.0</v>
      </c>
      <c r="P36" s="39">
        <v>-100.0</v>
      </c>
      <c r="Q36" s="64"/>
      <c r="R36" s="64"/>
      <c r="S36" s="64"/>
      <c r="T36" s="64"/>
      <c r="U36" s="64"/>
      <c r="V36" s="64"/>
      <c r="W36" s="64"/>
      <c r="X36" s="64"/>
      <c r="Y36" s="64"/>
      <c r="Z36" s="64"/>
      <c r="AA36" s="64"/>
      <c r="AJ36" s="41">
        <v>50.0</v>
      </c>
      <c r="AK36" s="41">
        <v>50.0</v>
      </c>
      <c r="AL36" s="41">
        <v>35.0</v>
      </c>
      <c r="AM36" s="41">
        <v>15.0</v>
      </c>
      <c r="AN36" s="39">
        <v>0.0</v>
      </c>
      <c r="AO36" s="41">
        <v>0.0</v>
      </c>
      <c r="AP36" s="41">
        <v>0.0</v>
      </c>
      <c r="AQ36" s="41">
        <v>35.0</v>
      </c>
      <c r="AR36" s="41">
        <v>35.0</v>
      </c>
      <c r="AS36" s="41">
        <v>-25.0</v>
      </c>
      <c r="AT36" s="41">
        <v>-25.0</v>
      </c>
      <c r="AU36" s="41">
        <v>-25.0</v>
      </c>
      <c r="AV36" s="41">
        <v>-25.0</v>
      </c>
      <c r="AW36" s="39">
        <v>0.0</v>
      </c>
      <c r="AX36" s="39">
        <v>0.0</v>
      </c>
      <c r="AY36" s="41">
        <v>75.0</v>
      </c>
      <c r="AZ36" s="39">
        <v>0.0</v>
      </c>
      <c r="BA36" s="39">
        <v>0.0</v>
      </c>
      <c r="BB36" s="39">
        <v>100.0</v>
      </c>
      <c r="BC36" s="39">
        <v>100.0</v>
      </c>
      <c r="BD36" s="39">
        <v>0.0</v>
      </c>
      <c r="BE36" s="39">
        <v>0.0</v>
      </c>
      <c r="BF36" s="39">
        <v>50.0</v>
      </c>
      <c r="BR36" s="39" t="s">
        <v>2690</v>
      </c>
      <c r="BS36" s="74"/>
      <c r="BU36" s="39" t="s">
        <v>2695</v>
      </c>
      <c r="BW36" s="57"/>
      <c r="BX36" s="75">
        <v>0.0</v>
      </c>
      <c r="BY36" s="75">
        <v>0.0</v>
      </c>
      <c r="BZ36" s="84">
        <v>35.0</v>
      </c>
      <c r="CA36" s="84">
        <v>15.0</v>
      </c>
      <c r="CB36" s="75">
        <v>10.0</v>
      </c>
      <c r="CD36" s="75">
        <v>2.0</v>
      </c>
      <c r="CE36" s="75"/>
      <c r="CN36" s="37" t="s">
        <v>2687</v>
      </c>
      <c r="CO36" s="39" t="s">
        <v>2688</v>
      </c>
      <c r="CP36" s="39" t="s">
        <v>2675</v>
      </c>
      <c r="CQ36" s="39"/>
      <c r="CR36" s="39"/>
    </row>
    <row r="37" ht="18.75" customHeight="1" outlineLevel="1">
      <c r="A37" s="39" t="s">
        <v>2699</v>
      </c>
      <c r="B37" s="71"/>
      <c r="C37" s="37" t="s">
        <v>2686</v>
      </c>
      <c r="D37" s="72" t="str">
        <f t="shared" si="1"/>
        <v>710/515/195</v>
      </c>
      <c r="E37" s="39">
        <v>2.0</v>
      </c>
      <c r="F37" s="37">
        <v>90.0</v>
      </c>
      <c r="I37" s="37">
        <v>80.0</v>
      </c>
      <c r="J37" s="37">
        <v>70.0</v>
      </c>
      <c r="K37" s="73">
        <v>80.0</v>
      </c>
      <c r="L37" s="37">
        <v>60.0</v>
      </c>
      <c r="M37" s="37">
        <v>70.0</v>
      </c>
      <c r="N37" s="37">
        <v>65.0</v>
      </c>
      <c r="O37" s="37">
        <v>170.0</v>
      </c>
      <c r="P37" s="39">
        <v>-100.0</v>
      </c>
      <c r="Q37" s="64"/>
      <c r="R37" s="64"/>
      <c r="S37" s="64"/>
      <c r="T37" s="64"/>
      <c r="U37" s="64"/>
      <c r="V37" s="64"/>
      <c r="W37" s="64"/>
      <c r="X37" s="64"/>
      <c r="Y37" s="64"/>
      <c r="Z37" s="64"/>
      <c r="AA37" s="64"/>
      <c r="AJ37" s="41">
        <v>50.0</v>
      </c>
      <c r="AK37" s="41">
        <v>50.0</v>
      </c>
      <c r="AL37" s="41">
        <v>35.0</v>
      </c>
      <c r="AM37" s="41">
        <v>15.0</v>
      </c>
      <c r="AN37" s="39">
        <v>0.0</v>
      </c>
      <c r="AO37" s="41">
        <v>0.0</v>
      </c>
      <c r="AP37" s="41">
        <v>0.0</v>
      </c>
      <c r="AQ37" s="41">
        <v>35.0</v>
      </c>
      <c r="AR37" s="41">
        <v>35.0</v>
      </c>
      <c r="AS37" s="41">
        <v>-25.0</v>
      </c>
      <c r="AT37" s="41">
        <v>-25.0</v>
      </c>
      <c r="AU37" s="41">
        <v>-25.0</v>
      </c>
      <c r="AV37" s="41">
        <v>-25.0</v>
      </c>
      <c r="AW37" s="39">
        <v>0.0</v>
      </c>
      <c r="AX37" s="39">
        <v>0.0</v>
      </c>
      <c r="AY37" s="41">
        <v>75.0</v>
      </c>
      <c r="AZ37" s="39">
        <v>0.0</v>
      </c>
      <c r="BA37" s="39">
        <v>0.0</v>
      </c>
      <c r="BB37" s="39">
        <v>100.0</v>
      </c>
      <c r="BC37" s="39">
        <v>100.0</v>
      </c>
      <c r="BD37" s="39">
        <v>0.0</v>
      </c>
      <c r="BE37" s="39">
        <v>0.0</v>
      </c>
      <c r="BF37" s="39">
        <v>50.0</v>
      </c>
      <c r="BR37" s="39" t="s">
        <v>2690</v>
      </c>
      <c r="BS37" s="74"/>
      <c r="BU37" s="39" t="s">
        <v>2695</v>
      </c>
      <c r="BW37" s="57"/>
      <c r="BX37" s="75">
        <v>0.0</v>
      </c>
      <c r="BY37" s="75">
        <v>0.0</v>
      </c>
      <c r="BZ37" s="84">
        <v>35.0</v>
      </c>
      <c r="CA37" s="84">
        <v>15.0</v>
      </c>
      <c r="CB37" s="75">
        <v>10.0</v>
      </c>
      <c r="CD37" s="75">
        <v>2.0</v>
      </c>
      <c r="CE37" s="75"/>
      <c r="CN37" s="37" t="s">
        <v>2687</v>
      </c>
      <c r="CO37" s="39" t="s">
        <v>2688</v>
      </c>
      <c r="CP37" s="39" t="s">
        <v>2675</v>
      </c>
      <c r="CQ37" s="39"/>
      <c r="CR37" s="39"/>
    </row>
    <row r="38" ht="18.75" customHeight="1" outlineLevel="1">
      <c r="A38" s="39" t="s">
        <v>2700</v>
      </c>
      <c r="B38" s="71"/>
      <c r="C38" s="37" t="s">
        <v>2686</v>
      </c>
      <c r="D38" s="72" t="str">
        <f t="shared" si="1"/>
        <v>710/515/195</v>
      </c>
      <c r="E38" s="39">
        <v>2.0</v>
      </c>
      <c r="F38" s="37">
        <v>90.0</v>
      </c>
      <c r="I38" s="37">
        <v>80.0</v>
      </c>
      <c r="J38" s="37">
        <v>70.0</v>
      </c>
      <c r="K38" s="73">
        <v>80.0</v>
      </c>
      <c r="L38" s="37">
        <v>60.0</v>
      </c>
      <c r="M38" s="37">
        <v>70.0</v>
      </c>
      <c r="N38" s="37">
        <v>65.0</v>
      </c>
      <c r="O38" s="37">
        <v>170.0</v>
      </c>
      <c r="P38" s="39">
        <v>-100.0</v>
      </c>
      <c r="Q38" s="64"/>
      <c r="R38" s="64"/>
      <c r="S38" s="64"/>
      <c r="T38" s="64"/>
      <c r="U38" s="64"/>
      <c r="V38" s="64"/>
      <c r="W38" s="64"/>
      <c r="X38" s="64"/>
      <c r="Y38" s="64"/>
      <c r="Z38" s="64"/>
      <c r="AA38" s="64"/>
      <c r="AJ38" s="41">
        <v>50.0</v>
      </c>
      <c r="AK38" s="41">
        <v>50.0</v>
      </c>
      <c r="AL38" s="41">
        <v>35.0</v>
      </c>
      <c r="AM38" s="41">
        <v>15.0</v>
      </c>
      <c r="AN38" s="39">
        <v>0.0</v>
      </c>
      <c r="AO38" s="41">
        <v>0.0</v>
      </c>
      <c r="AP38" s="41">
        <v>0.0</v>
      </c>
      <c r="AQ38" s="41">
        <v>35.0</v>
      </c>
      <c r="AR38" s="41">
        <v>35.0</v>
      </c>
      <c r="AS38" s="41">
        <v>-25.0</v>
      </c>
      <c r="AT38" s="41">
        <v>-25.0</v>
      </c>
      <c r="AU38" s="41">
        <v>-25.0</v>
      </c>
      <c r="AV38" s="41">
        <v>-25.0</v>
      </c>
      <c r="AW38" s="39">
        <v>0.0</v>
      </c>
      <c r="AX38" s="39">
        <v>0.0</v>
      </c>
      <c r="AY38" s="41">
        <v>75.0</v>
      </c>
      <c r="AZ38" s="39">
        <v>0.0</v>
      </c>
      <c r="BA38" s="39">
        <v>0.0</v>
      </c>
      <c r="BB38" s="39">
        <v>100.0</v>
      </c>
      <c r="BC38" s="39">
        <v>100.0</v>
      </c>
      <c r="BD38" s="39">
        <v>0.0</v>
      </c>
      <c r="BE38" s="39">
        <v>0.0</v>
      </c>
      <c r="BF38" s="39">
        <v>50.0</v>
      </c>
      <c r="BR38" s="39" t="s">
        <v>2690</v>
      </c>
      <c r="BS38" s="74"/>
      <c r="BU38" s="39" t="s">
        <v>2701</v>
      </c>
      <c r="BW38" s="57"/>
      <c r="BX38" s="75">
        <v>0.0</v>
      </c>
      <c r="BY38" s="75">
        <v>0.0</v>
      </c>
      <c r="BZ38" s="84">
        <v>35.0</v>
      </c>
      <c r="CA38" s="84">
        <v>15.0</v>
      </c>
      <c r="CB38" s="75">
        <v>10.0</v>
      </c>
      <c r="CD38" s="75">
        <v>2.0</v>
      </c>
      <c r="CE38" s="75"/>
      <c r="CN38" s="37" t="s">
        <v>2687</v>
      </c>
      <c r="CO38" s="39" t="s">
        <v>2688</v>
      </c>
      <c r="CP38" s="39" t="s">
        <v>2675</v>
      </c>
      <c r="CQ38" s="39"/>
      <c r="CR38" s="39"/>
    </row>
    <row r="39" ht="18.75" customHeight="1" outlineLevel="1">
      <c r="A39" s="39" t="s">
        <v>147</v>
      </c>
      <c r="B39" s="71"/>
      <c r="C39" s="37" t="s">
        <v>2686</v>
      </c>
      <c r="D39" s="72" t="str">
        <f t="shared" si="1"/>
        <v>710/515/195</v>
      </c>
      <c r="E39" s="39">
        <v>2.0</v>
      </c>
      <c r="F39" s="37">
        <v>90.0</v>
      </c>
      <c r="I39" s="37">
        <v>80.0</v>
      </c>
      <c r="J39" s="37">
        <v>70.0</v>
      </c>
      <c r="K39" s="73">
        <v>80.0</v>
      </c>
      <c r="L39" s="37">
        <v>60.0</v>
      </c>
      <c r="M39" s="37">
        <v>70.0</v>
      </c>
      <c r="N39" s="37">
        <v>65.0</v>
      </c>
      <c r="O39" s="37">
        <v>170.0</v>
      </c>
      <c r="P39" s="39">
        <v>-100.0</v>
      </c>
      <c r="Q39" s="64"/>
      <c r="R39" s="64"/>
      <c r="S39" s="64"/>
      <c r="T39" s="64"/>
      <c r="U39" s="64"/>
      <c r="V39" s="64"/>
      <c r="W39" s="64"/>
      <c r="X39" s="64"/>
      <c r="Y39" s="64"/>
      <c r="Z39" s="64"/>
      <c r="AA39" s="64"/>
      <c r="AJ39" s="41">
        <v>50.0</v>
      </c>
      <c r="AK39" s="41">
        <v>50.0</v>
      </c>
      <c r="AL39" s="41">
        <v>35.0</v>
      </c>
      <c r="AM39" s="41">
        <v>15.0</v>
      </c>
      <c r="AN39" s="39">
        <v>0.0</v>
      </c>
      <c r="AO39" s="41">
        <v>0.0</v>
      </c>
      <c r="AP39" s="41">
        <v>0.0</v>
      </c>
      <c r="AQ39" s="41">
        <v>35.0</v>
      </c>
      <c r="AR39" s="41">
        <v>35.0</v>
      </c>
      <c r="AS39" s="41">
        <v>-25.0</v>
      </c>
      <c r="AT39" s="41">
        <v>-25.0</v>
      </c>
      <c r="AU39" s="41">
        <v>-25.0</v>
      </c>
      <c r="AV39" s="41">
        <v>-25.0</v>
      </c>
      <c r="AW39" s="39">
        <v>0.0</v>
      </c>
      <c r="AX39" s="39">
        <v>0.0</v>
      </c>
      <c r="AY39" s="41">
        <v>75.0</v>
      </c>
      <c r="AZ39" s="39">
        <v>0.0</v>
      </c>
      <c r="BA39" s="39">
        <v>0.0</v>
      </c>
      <c r="BB39" s="39">
        <v>100.0</v>
      </c>
      <c r="BC39" s="39">
        <v>100.0</v>
      </c>
      <c r="BD39" s="39">
        <v>0.0</v>
      </c>
      <c r="BE39" s="39">
        <v>0.0</v>
      </c>
      <c r="BF39" s="39">
        <v>50.0</v>
      </c>
      <c r="BR39" s="39" t="s">
        <v>2690</v>
      </c>
      <c r="BS39" s="74"/>
      <c r="BU39" s="39" t="s">
        <v>2701</v>
      </c>
      <c r="BW39" s="57"/>
      <c r="BX39" s="75">
        <v>0.0</v>
      </c>
      <c r="BY39" s="75">
        <v>0.0</v>
      </c>
      <c r="BZ39" s="84">
        <v>35.0</v>
      </c>
      <c r="CA39" s="84">
        <v>15.0</v>
      </c>
      <c r="CB39" s="75">
        <v>10.0</v>
      </c>
      <c r="CD39" s="75">
        <v>2.0</v>
      </c>
      <c r="CE39" s="75"/>
      <c r="CN39" s="37" t="s">
        <v>2687</v>
      </c>
      <c r="CO39" s="39" t="s">
        <v>2688</v>
      </c>
      <c r="CP39" s="39" t="s">
        <v>2675</v>
      </c>
      <c r="CQ39" s="39"/>
      <c r="CR39" s="39"/>
    </row>
    <row r="40" ht="18.75" customHeight="1" outlineLevel="1">
      <c r="A40" s="39" t="s">
        <v>2702</v>
      </c>
      <c r="B40" s="71"/>
      <c r="C40" s="37" t="s">
        <v>2686</v>
      </c>
      <c r="D40" s="72" t="str">
        <f t="shared" si="1"/>
        <v>710/515/195</v>
      </c>
      <c r="E40" s="39">
        <v>2.0</v>
      </c>
      <c r="F40" s="37">
        <v>90.0</v>
      </c>
      <c r="I40" s="37">
        <v>80.0</v>
      </c>
      <c r="J40" s="37">
        <v>70.0</v>
      </c>
      <c r="K40" s="73">
        <v>80.0</v>
      </c>
      <c r="L40" s="37">
        <v>60.0</v>
      </c>
      <c r="M40" s="37">
        <v>70.0</v>
      </c>
      <c r="N40" s="37">
        <v>65.0</v>
      </c>
      <c r="O40" s="37">
        <v>170.0</v>
      </c>
      <c r="P40" s="39">
        <v>-100.0</v>
      </c>
      <c r="Q40" s="64"/>
      <c r="R40" s="64"/>
      <c r="S40" s="64"/>
      <c r="T40" s="64"/>
      <c r="U40" s="64"/>
      <c r="V40" s="64"/>
      <c r="W40" s="64"/>
      <c r="X40" s="64"/>
      <c r="Y40" s="64"/>
      <c r="Z40" s="64"/>
      <c r="AA40" s="64"/>
      <c r="AJ40" s="41">
        <v>50.0</v>
      </c>
      <c r="AK40" s="41">
        <v>50.0</v>
      </c>
      <c r="AL40" s="41">
        <v>35.0</v>
      </c>
      <c r="AM40" s="41">
        <v>15.0</v>
      </c>
      <c r="AN40" s="39">
        <v>0.0</v>
      </c>
      <c r="AO40" s="41">
        <v>0.0</v>
      </c>
      <c r="AP40" s="41">
        <v>0.0</v>
      </c>
      <c r="AQ40" s="41">
        <v>35.0</v>
      </c>
      <c r="AR40" s="41">
        <v>35.0</v>
      </c>
      <c r="AS40" s="41">
        <v>-25.0</v>
      </c>
      <c r="AT40" s="41">
        <v>-25.0</v>
      </c>
      <c r="AU40" s="41">
        <v>-25.0</v>
      </c>
      <c r="AV40" s="41">
        <v>-25.0</v>
      </c>
      <c r="AW40" s="39">
        <v>0.0</v>
      </c>
      <c r="AX40" s="39">
        <v>0.0</v>
      </c>
      <c r="AY40" s="41">
        <v>75.0</v>
      </c>
      <c r="AZ40" s="39">
        <v>0.0</v>
      </c>
      <c r="BA40" s="39">
        <v>0.0</v>
      </c>
      <c r="BB40" s="39">
        <v>100.0</v>
      </c>
      <c r="BC40" s="39">
        <v>100.0</v>
      </c>
      <c r="BD40" s="39">
        <v>0.0</v>
      </c>
      <c r="BE40" s="39">
        <v>0.0</v>
      </c>
      <c r="BF40" s="39">
        <v>50.0</v>
      </c>
      <c r="BR40" s="39" t="s">
        <v>2690</v>
      </c>
      <c r="BS40" s="74"/>
      <c r="BU40" s="39" t="s">
        <v>2701</v>
      </c>
      <c r="BW40" s="57"/>
      <c r="BX40" s="75">
        <v>0.0</v>
      </c>
      <c r="BY40" s="75">
        <v>0.0</v>
      </c>
      <c r="BZ40" s="84">
        <v>35.0</v>
      </c>
      <c r="CA40" s="84">
        <v>15.0</v>
      </c>
      <c r="CB40" s="75">
        <v>10.0</v>
      </c>
      <c r="CD40" s="75">
        <v>2.0</v>
      </c>
      <c r="CE40" s="75"/>
      <c r="CN40" s="37" t="s">
        <v>2687</v>
      </c>
      <c r="CO40" s="39" t="s">
        <v>2688</v>
      </c>
      <c r="CP40" s="39" t="s">
        <v>2675</v>
      </c>
      <c r="CQ40" s="39"/>
      <c r="CR40" s="39"/>
    </row>
    <row r="41" ht="18.75" customHeight="1" outlineLevel="1">
      <c r="A41" s="39" t="s">
        <v>2703</v>
      </c>
      <c r="B41" s="71"/>
      <c r="C41" s="37" t="s">
        <v>2686</v>
      </c>
      <c r="D41" s="72" t="str">
        <f t="shared" si="1"/>
        <v>710/515/195</v>
      </c>
      <c r="E41" s="39">
        <v>2.0</v>
      </c>
      <c r="F41" s="37">
        <v>90.0</v>
      </c>
      <c r="I41" s="37">
        <v>80.0</v>
      </c>
      <c r="J41" s="37">
        <v>70.0</v>
      </c>
      <c r="K41" s="73">
        <v>80.0</v>
      </c>
      <c r="L41" s="37">
        <v>60.0</v>
      </c>
      <c r="M41" s="37">
        <v>70.0</v>
      </c>
      <c r="N41" s="37">
        <v>65.0</v>
      </c>
      <c r="O41" s="37">
        <v>170.0</v>
      </c>
      <c r="P41" s="39">
        <v>-100.0</v>
      </c>
      <c r="Q41" s="64"/>
      <c r="R41" s="64"/>
      <c r="S41" s="64"/>
      <c r="T41" s="64"/>
      <c r="U41" s="64"/>
      <c r="V41" s="64"/>
      <c r="W41" s="64"/>
      <c r="X41" s="64"/>
      <c r="Y41" s="64"/>
      <c r="Z41" s="64"/>
      <c r="AA41" s="64"/>
      <c r="AJ41" s="41">
        <v>50.0</v>
      </c>
      <c r="AK41" s="41">
        <v>50.0</v>
      </c>
      <c r="AL41" s="41">
        <v>35.0</v>
      </c>
      <c r="AM41" s="41">
        <v>15.0</v>
      </c>
      <c r="AN41" s="39">
        <v>0.0</v>
      </c>
      <c r="AO41" s="41">
        <v>0.0</v>
      </c>
      <c r="AP41" s="41">
        <v>0.0</v>
      </c>
      <c r="AQ41" s="41">
        <v>35.0</v>
      </c>
      <c r="AR41" s="41">
        <v>35.0</v>
      </c>
      <c r="AS41" s="41">
        <v>-25.0</v>
      </c>
      <c r="AT41" s="41">
        <v>-25.0</v>
      </c>
      <c r="AU41" s="41">
        <v>-25.0</v>
      </c>
      <c r="AV41" s="41">
        <v>-25.0</v>
      </c>
      <c r="AW41" s="39">
        <v>0.0</v>
      </c>
      <c r="AX41" s="39">
        <v>0.0</v>
      </c>
      <c r="AY41" s="41">
        <v>75.0</v>
      </c>
      <c r="AZ41" s="39">
        <v>0.0</v>
      </c>
      <c r="BA41" s="39">
        <v>0.0</v>
      </c>
      <c r="BB41" s="39">
        <v>100.0</v>
      </c>
      <c r="BC41" s="39">
        <v>100.0</v>
      </c>
      <c r="BD41" s="39">
        <v>0.0</v>
      </c>
      <c r="BE41" s="39">
        <v>0.0</v>
      </c>
      <c r="BF41" s="39">
        <v>50.0</v>
      </c>
      <c r="BR41" s="39" t="s">
        <v>2690</v>
      </c>
      <c r="BS41" s="74"/>
      <c r="BU41" s="39" t="s">
        <v>2701</v>
      </c>
      <c r="BW41" s="57"/>
      <c r="BX41" s="75">
        <v>0.0</v>
      </c>
      <c r="BY41" s="75">
        <v>0.0</v>
      </c>
      <c r="BZ41" s="84">
        <v>35.0</v>
      </c>
      <c r="CA41" s="84">
        <v>15.0</v>
      </c>
      <c r="CB41" s="75">
        <v>10.0</v>
      </c>
      <c r="CD41" s="75">
        <v>2.0</v>
      </c>
      <c r="CE41" s="75"/>
      <c r="CN41" s="37" t="s">
        <v>2687</v>
      </c>
      <c r="CO41" s="39" t="s">
        <v>2688</v>
      </c>
      <c r="CP41" s="39" t="s">
        <v>2675</v>
      </c>
      <c r="CQ41" s="39"/>
      <c r="CR41" s="39"/>
    </row>
    <row r="42" ht="18.75" customHeight="1" outlineLevel="1">
      <c r="A42" s="39"/>
      <c r="B42" s="71"/>
      <c r="C42" s="39"/>
      <c r="D42" s="72" t="str">
        <f t="shared" si="1"/>
        <v>0/0/0</v>
      </c>
      <c r="E42" s="37">
        <v>1.0</v>
      </c>
      <c r="K42" s="73"/>
      <c r="P42" s="37" t="s">
        <v>29</v>
      </c>
      <c r="Q42" s="64"/>
      <c r="R42" s="64"/>
      <c r="S42" s="64"/>
      <c r="T42" s="64"/>
      <c r="U42" s="64"/>
      <c r="V42" s="64"/>
      <c r="W42" s="64"/>
      <c r="X42" s="64"/>
      <c r="Y42" s="64"/>
      <c r="Z42" s="64"/>
      <c r="AA42" s="64"/>
      <c r="BG42" s="37" t="str">
        <f t="array" ref="BG42">IF($A42="","", INDEX(CS!$B$1:$B$15025,MATCH($A42,CS!$B:$B,0)+COLUMN(A$1),1))</f>
        <v/>
      </c>
      <c r="BH42" s="37" t="str">
        <f t="array" ref="BH42">IF($A42="","", INDEX(CS!$B$1:$B$15025,MATCH($A42,CS!$B:$B,0)+COLUMN(B$1),1))</f>
        <v/>
      </c>
      <c r="BI42" s="37" t="str">
        <f t="array" ref="BI42">IF($A42="","", INDEX(CS!$B$1:$B$15025,MATCH($A42,CS!$B:$B,0)+COLUMN(C$1),1))</f>
        <v/>
      </c>
      <c r="BJ42" s="37" t="str">
        <f t="array" ref="BJ42">IF($A42="","", INDEX(CS!$B$1:$B$15025,MATCH($A42,CS!$B:$B,0)+COLUMN(D$1),1))</f>
        <v/>
      </c>
      <c r="BK42" s="37" t="str">
        <f t="array" ref="BK42">IF($A42="","", INDEX(CS!$B$1:$B$15025,MATCH($A42,CS!$B:$B,0)+COLUMN(E$1),1))</f>
        <v/>
      </c>
      <c r="BL42" s="37" t="str">
        <f t="array" ref="BL42">IF($A42="","", INDEX(CS!$B$1:$B$15025,MATCH($A42,CS!$B:$B,0)+COLUMN(F$1),1))</f>
        <v/>
      </c>
      <c r="BM42" s="37" t="str">
        <f t="array" ref="BM42">IF($A42="","", INDEX(CS!$B$1:$B$15025,MATCH($A42,CS!$B:$B,0)+COLUMN(G$1),1))</f>
        <v/>
      </c>
      <c r="BN42" s="37" t="str">
        <f t="array" ref="BN42">IF($A42="","", INDEX(CS!$B$1:$B$15025,MATCH($A42,CS!$B:$B,0)+COLUMN(H$1),1))</f>
        <v/>
      </c>
      <c r="BO42" s="37" t="str">
        <f t="array" ref="BO42">IF($A42="","", INDEX(CS!$B$1:$B$15025,MATCH($A42,CS!$B:$B,0)+COLUMN(I$1),1))</f>
        <v/>
      </c>
      <c r="BP42" s="37" t="str">
        <f t="array" ref="BP42">IF($A42="","", INDEX(CS!$B$1:$B$15025,MATCH($A42,CS!$B:$B,0)+COLUMN(J$1),1))</f>
        <v/>
      </c>
      <c r="BS42" s="74"/>
      <c r="BW42" s="57"/>
      <c r="BX42" s="75"/>
      <c r="BY42" s="75"/>
      <c r="BZ42" s="75"/>
      <c r="CA42" s="75"/>
      <c r="CQ42" s="37"/>
      <c r="CR42" s="37"/>
    </row>
    <row r="43" ht="18.75" customHeight="1" outlineLevel="1">
      <c r="A43" s="79"/>
      <c r="B43" s="78" t="s">
        <v>2704</v>
      </c>
      <c r="C43" s="79"/>
      <c r="D43" s="80" t="str">
        <f t="shared" si="1"/>
        <v>0/0/0</v>
      </c>
      <c r="E43" s="79"/>
      <c r="F43" s="79"/>
      <c r="G43" s="79"/>
      <c r="H43" s="79"/>
      <c r="I43" s="79"/>
      <c r="J43" s="79"/>
      <c r="K43" s="81"/>
      <c r="L43" s="79"/>
      <c r="M43" s="79"/>
      <c r="N43" s="79"/>
      <c r="O43" s="79"/>
      <c r="P43" s="79" t="s">
        <v>29</v>
      </c>
      <c r="Q43" s="82"/>
      <c r="R43" s="82"/>
      <c r="S43" s="82"/>
      <c r="T43" s="82"/>
      <c r="U43" s="82"/>
      <c r="V43" s="82"/>
      <c r="W43" s="82"/>
      <c r="X43" s="82"/>
      <c r="Y43" s="82"/>
      <c r="Z43" s="82"/>
      <c r="AA43" s="82"/>
      <c r="AB43" s="82"/>
      <c r="AC43" s="79"/>
      <c r="AD43" s="79"/>
      <c r="AE43" s="79"/>
      <c r="AF43" s="79"/>
      <c r="AG43" s="79"/>
      <c r="AH43" s="79"/>
      <c r="AI43" s="79"/>
      <c r="AJ43" s="77"/>
      <c r="AK43" s="79"/>
      <c r="AL43" s="79"/>
      <c r="AM43" s="77"/>
      <c r="AN43" s="77"/>
      <c r="AO43" s="77"/>
      <c r="AP43" s="77"/>
      <c r="AQ43" s="77"/>
      <c r="AR43" s="77"/>
      <c r="AS43" s="77"/>
      <c r="AT43" s="77"/>
      <c r="AU43" s="77"/>
      <c r="AV43" s="77"/>
      <c r="AW43" s="79"/>
      <c r="AX43" s="79"/>
      <c r="AY43" s="79"/>
      <c r="AZ43" s="77"/>
      <c r="BA43" s="79"/>
      <c r="BB43" s="79"/>
      <c r="BC43" s="79"/>
      <c r="BD43" s="79"/>
      <c r="BE43" s="79"/>
      <c r="BF43" s="79"/>
      <c r="BG43" s="79" t="str">
        <f t="array" ref="BG43">IF($A43="","", INDEX(CS!$B$1:$B$15025,MATCH($A43,CS!$B:$B,0)+COLUMN(A$1),1))</f>
        <v/>
      </c>
      <c r="BH43" s="79" t="str">
        <f t="array" ref="BH43">IF($A43="","", INDEX(CS!$B$1:$B$15025,MATCH($A43,CS!$B:$B,0)+COLUMN(B$1),1))</f>
        <v/>
      </c>
      <c r="BI43" s="79" t="str">
        <f t="array" ref="BI43">IF($A43="","", INDEX(CS!$B$1:$B$15025,MATCH($A43,CS!$B:$B,0)+COLUMN(C$1),1))</f>
        <v/>
      </c>
      <c r="BJ43" s="79" t="str">
        <f t="array" ref="BJ43">IF($A43="","", INDEX(CS!$B$1:$B$15025,MATCH($A43,CS!$B:$B,0)+COLUMN(D$1),1))</f>
        <v/>
      </c>
      <c r="BK43" s="79" t="str">
        <f t="array" ref="BK43">IF($A43="","", INDEX(CS!$B$1:$B$15025,MATCH($A43,CS!$B:$B,0)+COLUMN(E$1),1))</f>
        <v/>
      </c>
      <c r="BL43" s="79" t="str">
        <f t="array" ref="BL43">IF($A43="","", INDEX(CS!$B$1:$B$15025,MATCH($A43,CS!$B:$B,0)+COLUMN(F$1),1))</f>
        <v/>
      </c>
      <c r="BM43" s="79" t="str">
        <f t="array" ref="BM43">IF($A43="","", INDEX(CS!$B$1:$B$15025,MATCH($A43,CS!$B:$B,0)+COLUMN(G$1),1))</f>
        <v/>
      </c>
      <c r="BN43" s="79" t="str">
        <f t="array" ref="BN43">IF($A43="","", INDEX(CS!$B$1:$B$15025,MATCH($A43,CS!$B:$B,0)+COLUMN(H$1),1))</f>
        <v/>
      </c>
      <c r="BO43" s="79" t="str">
        <f t="array" ref="BO43">IF($A43="","", INDEX(CS!$B$1:$B$15025,MATCH($A43,CS!$B:$B,0)+COLUMN(I$1),1))</f>
        <v/>
      </c>
      <c r="BP43" s="79" t="str">
        <f t="array" ref="BP43">IF($A43="","", INDEX(CS!$B$1:$B$15025,MATCH($A43,CS!$B:$B,0)+COLUMN(J$1),1))</f>
        <v/>
      </c>
      <c r="BQ43" s="79"/>
      <c r="BR43" s="79"/>
      <c r="BS43" s="83"/>
      <c r="BT43" s="79"/>
      <c r="BU43" s="79"/>
      <c r="BV43" s="79"/>
      <c r="BW43" s="82"/>
      <c r="BX43" s="77"/>
      <c r="BY43" s="77"/>
      <c r="BZ43" s="77"/>
      <c r="CA43" s="77"/>
      <c r="CB43" s="82"/>
      <c r="CC43" s="79"/>
      <c r="CD43" s="82"/>
      <c r="CE43" s="82"/>
      <c r="CF43" s="79"/>
      <c r="CG43" s="79"/>
      <c r="CH43" s="79"/>
      <c r="CI43" s="79"/>
      <c r="CJ43" s="79"/>
      <c r="CK43" s="79"/>
      <c r="CL43" s="79"/>
      <c r="CM43" s="79"/>
      <c r="CN43" s="79"/>
      <c r="CO43" s="79"/>
      <c r="CP43" s="79"/>
      <c r="CQ43" s="79"/>
      <c r="CR43" s="79"/>
    </row>
    <row r="44" ht="18.75" customHeight="1" outlineLevel="1">
      <c r="A44" s="37" t="s">
        <v>1295</v>
      </c>
      <c r="B44" s="71"/>
      <c r="C44" s="37" t="s">
        <v>2686</v>
      </c>
      <c r="D44" s="72" t="str">
        <f t="shared" si="1"/>
        <v>710/515/195</v>
      </c>
      <c r="E44" s="37">
        <v>1.0</v>
      </c>
      <c r="F44" s="37">
        <v>75.0</v>
      </c>
      <c r="I44" s="37">
        <v>70.0</v>
      </c>
      <c r="J44" s="37">
        <v>80.0</v>
      </c>
      <c r="K44" s="73">
        <v>80.0</v>
      </c>
      <c r="L44" s="37">
        <v>80.0</v>
      </c>
      <c r="M44" s="37">
        <v>65.0</v>
      </c>
      <c r="N44" s="37">
        <v>65.0</v>
      </c>
      <c r="O44" s="37">
        <v>170.0</v>
      </c>
      <c r="P44" s="39">
        <v>100.0</v>
      </c>
      <c r="Q44" s="64">
        <v>5.0</v>
      </c>
      <c r="R44" s="64">
        <v>10.0</v>
      </c>
      <c r="S44" s="64"/>
      <c r="T44" s="64"/>
      <c r="U44" s="64"/>
      <c r="V44" s="64"/>
      <c r="W44" s="64"/>
      <c r="X44" s="64"/>
      <c r="Y44" s="64">
        <v>15.0</v>
      </c>
      <c r="Z44" s="64">
        <v>15.0</v>
      </c>
      <c r="AA44" s="64">
        <v>15.0</v>
      </c>
      <c r="AB44" s="64">
        <v>-30.0</v>
      </c>
      <c r="AJ44" s="41">
        <v>50.0</v>
      </c>
      <c r="AK44" s="39">
        <v>0.0</v>
      </c>
      <c r="AL44" s="39">
        <v>75.0</v>
      </c>
      <c r="AM44" s="41">
        <v>0.0</v>
      </c>
      <c r="AN44" s="41">
        <v>25.0</v>
      </c>
      <c r="AO44" s="41">
        <v>0.0</v>
      </c>
      <c r="AP44" s="41">
        <v>0.0</v>
      </c>
      <c r="AQ44" s="41">
        <v>35.0</v>
      </c>
      <c r="AR44" s="41">
        <v>35.0</v>
      </c>
      <c r="AS44" s="41">
        <v>-25.0</v>
      </c>
      <c r="AT44" s="41">
        <v>-25.0</v>
      </c>
      <c r="AU44" s="41">
        <v>-25.0</v>
      </c>
      <c r="AV44" s="41">
        <v>-25.0</v>
      </c>
      <c r="AW44" s="39">
        <v>0.0</v>
      </c>
      <c r="AX44" s="39">
        <v>0.0</v>
      </c>
      <c r="AY44" s="39">
        <v>0.0</v>
      </c>
      <c r="AZ44" s="41">
        <v>75.0</v>
      </c>
      <c r="BA44" s="39">
        <v>0.0</v>
      </c>
      <c r="BB44" s="39">
        <v>0.0</v>
      </c>
      <c r="BC44" s="39">
        <v>0.0</v>
      </c>
      <c r="BD44" s="39">
        <v>0.0</v>
      </c>
      <c r="BE44" s="39">
        <v>0.0</v>
      </c>
      <c r="BF44" s="39">
        <v>20.0</v>
      </c>
      <c r="BG44" s="37" t="str">
        <f t="array" ref="BG44">IF($A44="","", INDEX(CS!$B$1:$B$15025,MATCH($A44,CS!$B:$B,0)+COLUMN(A$1),1))</f>
        <v>浮遊</v>
      </c>
      <c r="BH44" s="37" t="str">
        <f t="array" ref="BH44">IF($A44="","", INDEX(CS!$B$1:$B$15025,MATCH($A44,CS!$B:$B,0)+COLUMN(B$1),1))</f>
        <v/>
      </c>
      <c r="BI44" s="37" t="str">
        <f t="array" ref="BI44">IF($A44="","", INDEX(CS!$B$1:$B$15025,MATCH($A44,CS!$B:$B,0)+COLUMN(C$1),1))</f>
        <v>光粒</v>
      </c>
      <c r="BJ44" s="37" t="str">
        <f t="array" ref="BJ44">IF($A44="","", INDEX(CS!$B$1:$B$15025,MATCH($A44,CS!$B:$B,0)+COLUMN(D$1),1))</f>
        <v/>
      </c>
      <c r="BK44" s="37" t="str">
        <f t="array" ref="BK44">IF($A44="","", INDEX(CS!$B$1:$B$15025,MATCH($A44,CS!$B:$B,0)+COLUMN(E$1),1))</f>
        <v>天使の矢</v>
      </c>
      <c r="BL44" s="37" t="str">
        <f t="array" ref="BL44">IF($A44="","", INDEX(CS!$B$1:$B$15025,MATCH($A44,CS!$B:$B,0)+COLUMN(F$1),1))</f>
        <v/>
      </c>
      <c r="BM44" s="37" t="str">
        <f t="array" ref="BM44">IF($A44="","", INDEX(CS!$B$1:$B$15025,MATCH($A44,CS!$B:$B,0)+COLUMN(G$1),1))</f>
        <v>軽回復</v>
      </c>
      <c r="BN44" s="37" t="str">
        <f t="array" ref="BN44">IF($A44="","", INDEX(CS!$B$1:$B$15025,MATCH($A44,CS!$B:$B,0)+COLUMN(H$1),1))</f>
        <v/>
      </c>
      <c r="BO44" s="37" t="str">
        <f t="array" ref="BO44">IF($A44="","", INDEX(CS!$B$1:$B$15025,MATCH($A44,CS!$B:$B,0)+COLUMN(I$1),1))</f>
        <v>聖光</v>
      </c>
      <c r="BP44" s="37" t="str">
        <f t="array" ref="BP44">IF($A44="","", INDEX(CS!$B$1:$B$15025,MATCH($A44,CS!$B:$B,0)+COLUMN(J$1),1))</f>
        <v>天使の祝福</v>
      </c>
      <c r="BS44" s="74"/>
      <c r="BV44" s="37" t="s">
        <v>2627</v>
      </c>
      <c r="BW44" s="57">
        <v>30.0</v>
      </c>
      <c r="BX44" s="84">
        <v>5.0</v>
      </c>
      <c r="BY44" s="84">
        <v>25.0</v>
      </c>
      <c r="BZ44" s="84">
        <v>5.0</v>
      </c>
      <c r="CA44" s="84">
        <v>5.0</v>
      </c>
      <c r="CB44" s="75">
        <v>10.0</v>
      </c>
      <c r="CD44" s="75">
        <v>2.0</v>
      </c>
      <c r="CE44" s="75"/>
      <c r="CN44" s="37" t="s">
        <v>2705</v>
      </c>
      <c r="CO44" s="39" t="s">
        <v>2679</v>
      </c>
      <c r="CP44" s="39" t="s">
        <v>2706</v>
      </c>
      <c r="CQ44" s="39"/>
      <c r="CR44" s="39"/>
    </row>
    <row r="45" ht="18.75" customHeight="1" outlineLevel="1">
      <c r="A45" s="41" t="s">
        <v>2707</v>
      </c>
      <c r="B45" s="71"/>
      <c r="C45" s="37" t="s">
        <v>2686</v>
      </c>
      <c r="D45" s="72" t="str">
        <f t="shared" si="1"/>
        <v>710/515/195</v>
      </c>
      <c r="E45" s="41">
        <v>2.0</v>
      </c>
      <c r="F45" s="37">
        <v>75.0</v>
      </c>
      <c r="I45" s="37">
        <v>70.0</v>
      </c>
      <c r="J45" s="37">
        <v>80.0</v>
      </c>
      <c r="K45" s="73">
        <v>80.0</v>
      </c>
      <c r="L45" s="37">
        <v>80.0</v>
      </c>
      <c r="M45" s="37">
        <v>65.0</v>
      </c>
      <c r="N45" s="37">
        <v>65.0</v>
      </c>
      <c r="O45" s="37">
        <v>170.0</v>
      </c>
      <c r="P45" s="39">
        <v>100.0</v>
      </c>
      <c r="Q45" s="64"/>
      <c r="R45" s="64"/>
      <c r="S45" s="64"/>
      <c r="T45" s="64"/>
      <c r="U45" s="64"/>
      <c r="V45" s="64"/>
      <c r="W45" s="64"/>
      <c r="X45" s="64"/>
      <c r="Y45" s="64"/>
      <c r="Z45" s="64"/>
      <c r="AA45" s="64"/>
      <c r="AB45" s="64"/>
      <c r="AJ45" s="41">
        <v>50.0</v>
      </c>
      <c r="AK45" s="39">
        <v>0.0</v>
      </c>
      <c r="AL45" s="39">
        <v>75.0</v>
      </c>
      <c r="AM45" s="41">
        <v>0.0</v>
      </c>
      <c r="AN45" s="41">
        <v>25.0</v>
      </c>
      <c r="AO45" s="41">
        <v>0.0</v>
      </c>
      <c r="AP45" s="41">
        <v>0.0</v>
      </c>
      <c r="AQ45" s="41">
        <v>35.0</v>
      </c>
      <c r="AR45" s="41">
        <v>35.0</v>
      </c>
      <c r="AS45" s="41">
        <v>-25.0</v>
      </c>
      <c r="AT45" s="41">
        <v>-25.0</v>
      </c>
      <c r="AU45" s="41">
        <v>-25.0</v>
      </c>
      <c r="AV45" s="41">
        <v>-25.0</v>
      </c>
      <c r="AW45" s="39">
        <v>0.0</v>
      </c>
      <c r="AX45" s="39">
        <v>0.0</v>
      </c>
      <c r="AY45" s="39">
        <v>0.0</v>
      </c>
      <c r="AZ45" s="41">
        <v>75.0</v>
      </c>
      <c r="BA45" s="39">
        <v>0.0</v>
      </c>
      <c r="BB45" s="39">
        <v>0.0</v>
      </c>
      <c r="BC45" s="39">
        <v>0.0</v>
      </c>
      <c r="BD45" s="39">
        <v>0.0</v>
      </c>
      <c r="BE45" s="39">
        <v>0.0</v>
      </c>
      <c r="BF45" s="39">
        <v>20.0</v>
      </c>
      <c r="BG45" s="37" t="str">
        <f t="array" ref="BG45">IF($A45="","", INDEX(CS!$B$1:$B$15025,MATCH($A45,CS!$B:$B,0)+COLUMN(A$1),1))</f>
        <v>#N/A</v>
      </c>
      <c r="BH45" s="37" t="str">
        <f t="array" ref="BH45">IF($A45="","", INDEX(CS!$B$1:$B$15025,MATCH($A45,CS!$B:$B,0)+COLUMN(B$1),1))</f>
        <v>#N/A</v>
      </c>
      <c r="BI45" s="37" t="str">
        <f t="array" ref="BI45">IF($A45="","", INDEX(CS!$B$1:$B$15025,MATCH($A45,CS!$B:$B,0)+COLUMN(C$1),1))</f>
        <v>#N/A</v>
      </c>
      <c r="BJ45" s="37" t="str">
        <f t="array" ref="BJ45">IF($A45="","", INDEX(CS!$B$1:$B$15025,MATCH($A45,CS!$B:$B,0)+COLUMN(D$1),1))</f>
        <v>#N/A</v>
      </c>
      <c r="BK45" s="37" t="str">
        <f t="array" ref="BK45">IF($A45="","", INDEX(CS!$B$1:$B$15025,MATCH($A45,CS!$B:$B,0)+COLUMN(E$1),1))</f>
        <v>#N/A</v>
      </c>
      <c r="BL45" s="37" t="str">
        <f t="array" ref="BL45">IF($A45="","", INDEX(CS!$B$1:$B$15025,MATCH($A45,CS!$B:$B,0)+COLUMN(F$1),1))</f>
        <v>#N/A</v>
      </c>
      <c r="BM45" s="37" t="str">
        <f t="array" ref="BM45">IF($A45="","", INDEX(CS!$B$1:$B$15025,MATCH($A45,CS!$B:$B,0)+COLUMN(G$1),1))</f>
        <v>#N/A</v>
      </c>
      <c r="BN45" s="37" t="str">
        <f t="array" ref="BN45">IF($A45="","", INDEX(CS!$B$1:$B$15025,MATCH($A45,CS!$B:$B,0)+COLUMN(H$1),1))</f>
        <v>#N/A</v>
      </c>
      <c r="BO45" s="37" t="str">
        <f t="array" ref="BO45">IF($A45="","", INDEX(CS!$B$1:$B$15025,MATCH($A45,CS!$B:$B,0)+COLUMN(I$1),1))</f>
        <v>#N/A</v>
      </c>
      <c r="BP45" s="37" t="str">
        <f t="array" ref="BP45">IF($A45="","", INDEX(CS!$B$1:$B$15025,MATCH($A45,CS!$B:$B,0)+COLUMN(J$1),1))</f>
        <v>#N/A</v>
      </c>
      <c r="BS45" s="74"/>
      <c r="BW45" s="57"/>
      <c r="BX45" s="84">
        <v>5.0</v>
      </c>
      <c r="BY45" s="84">
        <v>25.0</v>
      </c>
      <c r="BZ45" s="84">
        <v>5.0</v>
      </c>
      <c r="CA45" s="84">
        <v>5.0</v>
      </c>
      <c r="CB45" s="75">
        <v>10.0</v>
      </c>
      <c r="CD45" s="75">
        <v>2.0</v>
      </c>
      <c r="CE45" s="75"/>
      <c r="CN45" s="37" t="s">
        <v>2705</v>
      </c>
      <c r="CO45" s="39" t="s">
        <v>2679</v>
      </c>
      <c r="CP45" s="39" t="s">
        <v>2706</v>
      </c>
      <c r="CQ45" s="39"/>
      <c r="CR45" s="39"/>
    </row>
    <row r="46" ht="18.75" customHeight="1" outlineLevel="1">
      <c r="A46" s="41" t="s">
        <v>2708</v>
      </c>
      <c r="B46" s="71"/>
      <c r="C46" s="37" t="s">
        <v>2686</v>
      </c>
      <c r="D46" s="72" t="str">
        <f t="shared" si="1"/>
        <v>710/515/195</v>
      </c>
      <c r="E46" s="41">
        <v>3.0</v>
      </c>
      <c r="F46" s="37">
        <v>75.0</v>
      </c>
      <c r="I46" s="37">
        <v>70.0</v>
      </c>
      <c r="J46" s="37">
        <v>80.0</v>
      </c>
      <c r="K46" s="73">
        <v>80.0</v>
      </c>
      <c r="L46" s="37">
        <v>80.0</v>
      </c>
      <c r="M46" s="37">
        <v>65.0</v>
      </c>
      <c r="N46" s="37">
        <v>65.0</v>
      </c>
      <c r="O46" s="37">
        <v>170.0</v>
      </c>
      <c r="P46" s="39">
        <v>100.0</v>
      </c>
      <c r="Q46" s="64"/>
      <c r="R46" s="64"/>
      <c r="S46" s="64"/>
      <c r="T46" s="64"/>
      <c r="U46" s="64"/>
      <c r="V46" s="64"/>
      <c r="W46" s="64"/>
      <c r="X46" s="64"/>
      <c r="Y46" s="64"/>
      <c r="Z46" s="64"/>
      <c r="AA46" s="64"/>
      <c r="AB46" s="64"/>
      <c r="AJ46" s="41">
        <v>50.0</v>
      </c>
      <c r="AK46" s="39">
        <v>0.0</v>
      </c>
      <c r="AL46" s="39">
        <v>75.0</v>
      </c>
      <c r="AM46" s="41">
        <v>0.0</v>
      </c>
      <c r="AN46" s="41">
        <v>25.0</v>
      </c>
      <c r="AO46" s="41">
        <v>0.0</v>
      </c>
      <c r="AP46" s="41">
        <v>0.0</v>
      </c>
      <c r="AQ46" s="41">
        <v>35.0</v>
      </c>
      <c r="AR46" s="41">
        <v>35.0</v>
      </c>
      <c r="AS46" s="41">
        <v>-25.0</v>
      </c>
      <c r="AT46" s="41">
        <v>-25.0</v>
      </c>
      <c r="AU46" s="41">
        <v>-25.0</v>
      </c>
      <c r="AV46" s="41">
        <v>-25.0</v>
      </c>
      <c r="AW46" s="39">
        <v>0.0</v>
      </c>
      <c r="AX46" s="39">
        <v>0.0</v>
      </c>
      <c r="AY46" s="39">
        <v>0.0</v>
      </c>
      <c r="AZ46" s="41">
        <v>75.0</v>
      </c>
      <c r="BA46" s="39">
        <v>0.0</v>
      </c>
      <c r="BB46" s="39">
        <v>0.0</v>
      </c>
      <c r="BC46" s="39">
        <v>0.0</v>
      </c>
      <c r="BD46" s="39">
        <v>0.0</v>
      </c>
      <c r="BE46" s="39">
        <v>0.0</v>
      </c>
      <c r="BF46" s="39">
        <v>20.0</v>
      </c>
      <c r="BG46" s="37" t="str">
        <f t="array" ref="BG46">IF($A46="","", INDEX(CS!$B$1:$B$15025,MATCH($A46,CS!$B:$B,0)+COLUMN(A$1),1))</f>
        <v>#N/A</v>
      </c>
      <c r="BH46" s="37" t="str">
        <f t="array" ref="BH46">IF($A46="","", INDEX(CS!$B$1:$B$15025,MATCH($A46,CS!$B:$B,0)+COLUMN(B$1),1))</f>
        <v>#N/A</v>
      </c>
      <c r="BI46" s="37" t="str">
        <f t="array" ref="BI46">IF($A46="","", INDEX(CS!$B$1:$B$15025,MATCH($A46,CS!$B:$B,0)+COLUMN(C$1),1))</f>
        <v>#N/A</v>
      </c>
      <c r="BJ46" s="37" t="str">
        <f t="array" ref="BJ46">IF($A46="","", INDEX(CS!$B$1:$B$15025,MATCH($A46,CS!$B:$B,0)+COLUMN(D$1),1))</f>
        <v>#N/A</v>
      </c>
      <c r="BK46" s="37" t="str">
        <f t="array" ref="BK46">IF($A46="","", INDEX(CS!$B$1:$B$15025,MATCH($A46,CS!$B:$B,0)+COLUMN(E$1),1))</f>
        <v>#N/A</v>
      </c>
      <c r="BL46" s="37" t="str">
        <f t="array" ref="BL46">IF($A46="","", INDEX(CS!$B$1:$B$15025,MATCH($A46,CS!$B:$B,0)+COLUMN(F$1),1))</f>
        <v>#N/A</v>
      </c>
      <c r="BM46" s="37" t="str">
        <f t="array" ref="BM46">IF($A46="","", INDEX(CS!$B$1:$B$15025,MATCH($A46,CS!$B:$B,0)+COLUMN(G$1),1))</f>
        <v>#N/A</v>
      </c>
      <c r="BN46" s="37" t="str">
        <f t="array" ref="BN46">IF($A46="","", INDEX(CS!$B$1:$B$15025,MATCH($A46,CS!$B:$B,0)+COLUMN(H$1),1))</f>
        <v>#N/A</v>
      </c>
      <c r="BO46" s="37" t="str">
        <f t="array" ref="BO46">IF($A46="","", INDEX(CS!$B$1:$B$15025,MATCH($A46,CS!$B:$B,0)+COLUMN(I$1),1))</f>
        <v>#N/A</v>
      </c>
      <c r="BP46" s="37" t="str">
        <f t="array" ref="BP46">IF($A46="","", INDEX(CS!$B$1:$B$15025,MATCH($A46,CS!$B:$B,0)+COLUMN(J$1),1))</f>
        <v>#N/A</v>
      </c>
      <c r="BS46" s="74"/>
      <c r="BW46" s="57"/>
      <c r="BX46" s="84">
        <v>5.0</v>
      </c>
      <c r="BY46" s="84">
        <v>25.0</v>
      </c>
      <c r="BZ46" s="84">
        <v>5.0</v>
      </c>
      <c r="CA46" s="84">
        <v>5.0</v>
      </c>
      <c r="CB46" s="75">
        <v>10.0</v>
      </c>
      <c r="CD46" s="75">
        <v>2.0</v>
      </c>
      <c r="CE46" s="75"/>
      <c r="CN46" s="37" t="s">
        <v>2705</v>
      </c>
      <c r="CO46" s="39" t="s">
        <v>2679</v>
      </c>
      <c r="CP46" s="39" t="s">
        <v>2706</v>
      </c>
      <c r="CQ46" s="39">
        <v>500.0</v>
      </c>
      <c r="CR46" s="39"/>
    </row>
    <row r="47" ht="18.75" customHeight="1" outlineLevel="1">
      <c r="A47" s="41" t="s">
        <v>2709</v>
      </c>
      <c r="B47" s="71"/>
      <c r="C47" s="37" t="s">
        <v>2686</v>
      </c>
      <c r="D47" s="72" t="str">
        <f t="shared" si="1"/>
        <v>710/515/195</v>
      </c>
      <c r="E47" s="41">
        <v>4.0</v>
      </c>
      <c r="F47" s="37">
        <v>75.0</v>
      </c>
      <c r="I47" s="37">
        <v>70.0</v>
      </c>
      <c r="J47" s="37">
        <v>80.0</v>
      </c>
      <c r="K47" s="73">
        <v>80.0</v>
      </c>
      <c r="L47" s="37">
        <v>80.0</v>
      </c>
      <c r="M47" s="37">
        <v>65.0</v>
      </c>
      <c r="N47" s="37">
        <v>65.0</v>
      </c>
      <c r="O47" s="37">
        <v>170.0</v>
      </c>
      <c r="P47" s="39">
        <v>100.0</v>
      </c>
      <c r="Q47" s="64"/>
      <c r="R47" s="64"/>
      <c r="S47" s="64"/>
      <c r="T47" s="64"/>
      <c r="U47" s="64"/>
      <c r="V47" s="64"/>
      <c r="W47" s="64"/>
      <c r="X47" s="64"/>
      <c r="Y47" s="64"/>
      <c r="Z47" s="64"/>
      <c r="AA47" s="64"/>
      <c r="AB47" s="64"/>
      <c r="AJ47" s="41">
        <v>50.0</v>
      </c>
      <c r="AK47" s="39">
        <v>0.0</v>
      </c>
      <c r="AL47" s="39">
        <v>75.0</v>
      </c>
      <c r="AM47" s="41">
        <v>0.0</v>
      </c>
      <c r="AN47" s="41">
        <v>25.0</v>
      </c>
      <c r="AO47" s="41">
        <v>0.0</v>
      </c>
      <c r="AP47" s="41">
        <v>0.0</v>
      </c>
      <c r="AQ47" s="41">
        <v>35.0</v>
      </c>
      <c r="AR47" s="41">
        <v>35.0</v>
      </c>
      <c r="AS47" s="41">
        <v>-25.0</v>
      </c>
      <c r="AT47" s="41">
        <v>-25.0</v>
      </c>
      <c r="AU47" s="41">
        <v>-25.0</v>
      </c>
      <c r="AV47" s="41">
        <v>-25.0</v>
      </c>
      <c r="AW47" s="39">
        <v>0.0</v>
      </c>
      <c r="AX47" s="39">
        <v>0.0</v>
      </c>
      <c r="AY47" s="39">
        <v>0.0</v>
      </c>
      <c r="AZ47" s="41">
        <v>75.0</v>
      </c>
      <c r="BA47" s="39">
        <v>0.0</v>
      </c>
      <c r="BB47" s="39">
        <v>0.0</v>
      </c>
      <c r="BC47" s="39">
        <v>0.0</v>
      </c>
      <c r="BD47" s="39">
        <v>0.0</v>
      </c>
      <c r="BE47" s="39">
        <v>0.0</v>
      </c>
      <c r="BF47" s="39">
        <v>20.0</v>
      </c>
      <c r="BG47" s="37" t="str">
        <f t="array" ref="BG47">IF($A47="","", INDEX(CS!$B$1:$B$15025,MATCH($A47,CS!$B:$B,0)+COLUMN(A$1),1))</f>
        <v>#N/A</v>
      </c>
      <c r="BH47" s="37" t="str">
        <f t="array" ref="BH47">IF($A47="","", INDEX(CS!$B$1:$B$15025,MATCH($A47,CS!$B:$B,0)+COLUMN(B$1),1))</f>
        <v>#N/A</v>
      </c>
      <c r="BI47" s="37" t="str">
        <f t="array" ref="BI47">IF($A47="","", INDEX(CS!$B$1:$B$15025,MATCH($A47,CS!$B:$B,0)+COLUMN(C$1),1))</f>
        <v>#N/A</v>
      </c>
      <c r="BJ47" s="37" t="str">
        <f t="array" ref="BJ47">IF($A47="","", INDEX(CS!$B$1:$B$15025,MATCH($A47,CS!$B:$B,0)+COLUMN(D$1),1))</f>
        <v>#N/A</v>
      </c>
      <c r="BK47" s="37" t="str">
        <f t="array" ref="BK47">IF($A47="","", INDEX(CS!$B$1:$B$15025,MATCH($A47,CS!$B:$B,0)+COLUMN(E$1),1))</f>
        <v>#N/A</v>
      </c>
      <c r="BL47" s="37" t="str">
        <f t="array" ref="BL47">IF($A47="","", INDEX(CS!$B$1:$B$15025,MATCH($A47,CS!$B:$B,0)+COLUMN(F$1),1))</f>
        <v>#N/A</v>
      </c>
      <c r="BM47" s="37" t="str">
        <f t="array" ref="BM47">IF($A47="","", INDEX(CS!$B$1:$B$15025,MATCH($A47,CS!$B:$B,0)+COLUMN(G$1),1))</f>
        <v>#N/A</v>
      </c>
      <c r="BN47" s="37" t="str">
        <f t="array" ref="BN47">IF($A47="","", INDEX(CS!$B$1:$B$15025,MATCH($A47,CS!$B:$B,0)+COLUMN(H$1),1))</f>
        <v>#N/A</v>
      </c>
      <c r="BO47" s="37" t="str">
        <f t="array" ref="BO47">IF($A47="","", INDEX(CS!$B$1:$B$15025,MATCH($A47,CS!$B:$B,0)+COLUMN(I$1),1))</f>
        <v>#N/A</v>
      </c>
      <c r="BP47" s="37" t="str">
        <f t="array" ref="BP47">IF($A47="","", INDEX(CS!$B$1:$B$15025,MATCH($A47,CS!$B:$B,0)+COLUMN(J$1),1))</f>
        <v>#N/A</v>
      </c>
      <c r="BS47" s="74"/>
      <c r="BW47" s="57"/>
      <c r="BX47" s="84">
        <v>5.0</v>
      </c>
      <c r="BY47" s="84">
        <v>25.0</v>
      </c>
      <c r="BZ47" s="84">
        <v>5.0</v>
      </c>
      <c r="CA47" s="84">
        <v>5.0</v>
      </c>
      <c r="CB47" s="75">
        <v>10.0</v>
      </c>
      <c r="CD47" s="75">
        <v>2.0</v>
      </c>
      <c r="CE47" s="75"/>
      <c r="CN47" s="37" t="s">
        <v>2705</v>
      </c>
      <c r="CO47" s="39" t="s">
        <v>2679</v>
      </c>
      <c r="CP47" s="39" t="s">
        <v>2706</v>
      </c>
      <c r="CQ47" s="39">
        <v>1000.0</v>
      </c>
      <c r="CR47" s="39"/>
    </row>
    <row r="48" ht="18.75" customHeight="1" outlineLevel="1">
      <c r="A48" s="39" t="s">
        <v>2710</v>
      </c>
      <c r="B48" s="71"/>
      <c r="C48" s="37" t="s">
        <v>2686</v>
      </c>
      <c r="D48" s="72" t="str">
        <f t="shared" si="1"/>
        <v>710/515/195</v>
      </c>
      <c r="E48" s="39">
        <v>2.0</v>
      </c>
      <c r="F48" s="37">
        <v>75.0</v>
      </c>
      <c r="I48" s="37">
        <v>70.0</v>
      </c>
      <c r="J48" s="37">
        <v>80.0</v>
      </c>
      <c r="K48" s="73">
        <v>80.0</v>
      </c>
      <c r="L48" s="37">
        <v>80.0</v>
      </c>
      <c r="M48" s="37">
        <v>65.0</v>
      </c>
      <c r="N48" s="37">
        <v>65.0</v>
      </c>
      <c r="O48" s="37">
        <v>170.0</v>
      </c>
      <c r="P48" s="39">
        <v>100.0</v>
      </c>
      <c r="Q48" s="64"/>
      <c r="R48" s="64"/>
      <c r="S48" s="64"/>
      <c r="T48" s="64"/>
      <c r="U48" s="64"/>
      <c r="V48" s="64"/>
      <c r="W48" s="64"/>
      <c r="X48" s="64"/>
      <c r="Y48" s="64"/>
      <c r="Z48" s="64"/>
      <c r="AA48" s="64"/>
      <c r="AB48" s="64"/>
      <c r="AJ48" s="41">
        <v>50.0</v>
      </c>
      <c r="AK48" s="39">
        <v>0.0</v>
      </c>
      <c r="AL48" s="39">
        <v>75.0</v>
      </c>
      <c r="AM48" s="41">
        <v>0.0</v>
      </c>
      <c r="AN48" s="41">
        <v>25.0</v>
      </c>
      <c r="AO48" s="41">
        <v>0.0</v>
      </c>
      <c r="AP48" s="41">
        <v>0.0</v>
      </c>
      <c r="AQ48" s="41">
        <v>35.0</v>
      </c>
      <c r="AR48" s="41">
        <v>35.0</v>
      </c>
      <c r="AS48" s="41">
        <v>-25.0</v>
      </c>
      <c r="AT48" s="41">
        <v>-25.0</v>
      </c>
      <c r="AU48" s="41">
        <v>-25.0</v>
      </c>
      <c r="AV48" s="41">
        <v>-25.0</v>
      </c>
      <c r="AW48" s="39">
        <v>0.0</v>
      </c>
      <c r="AX48" s="39">
        <v>0.0</v>
      </c>
      <c r="AY48" s="39">
        <v>0.0</v>
      </c>
      <c r="AZ48" s="41">
        <v>75.0</v>
      </c>
      <c r="BA48" s="39">
        <v>0.0</v>
      </c>
      <c r="BB48" s="39">
        <v>0.0</v>
      </c>
      <c r="BC48" s="39">
        <v>0.0</v>
      </c>
      <c r="BD48" s="39">
        <v>0.0</v>
      </c>
      <c r="BE48" s="39">
        <v>0.0</v>
      </c>
      <c r="BF48" s="39">
        <v>20.0</v>
      </c>
      <c r="BR48" s="39" t="s">
        <v>2711</v>
      </c>
      <c r="BS48" s="74"/>
      <c r="BU48" s="39" t="s">
        <v>2712</v>
      </c>
      <c r="BW48" s="57"/>
      <c r="BX48" s="84">
        <v>5.0</v>
      </c>
      <c r="BY48" s="84">
        <v>25.0</v>
      </c>
      <c r="BZ48" s="84">
        <v>5.0</v>
      </c>
      <c r="CA48" s="84">
        <v>5.0</v>
      </c>
      <c r="CB48" s="75">
        <v>10.0</v>
      </c>
      <c r="CD48" s="75">
        <v>2.0</v>
      </c>
      <c r="CE48" s="75"/>
      <c r="CN48" s="37" t="s">
        <v>2705</v>
      </c>
      <c r="CO48" s="39" t="s">
        <v>2679</v>
      </c>
      <c r="CP48" s="39" t="s">
        <v>2706</v>
      </c>
      <c r="CQ48" s="39"/>
      <c r="CR48" s="39"/>
    </row>
    <row r="49" ht="18.75" customHeight="1" outlineLevel="1">
      <c r="A49" s="39" t="s">
        <v>2713</v>
      </c>
      <c r="B49" s="71"/>
      <c r="C49" s="37" t="s">
        <v>2686</v>
      </c>
      <c r="D49" s="72" t="str">
        <f t="shared" si="1"/>
        <v>710/515/195</v>
      </c>
      <c r="E49" s="39">
        <v>3.0</v>
      </c>
      <c r="F49" s="37">
        <v>75.0</v>
      </c>
      <c r="I49" s="37">
        <v>70.0</v>
      </c>
      <c r="J49" s="37">
        <v>80.0</v>
      </c>
      <c r="K49" s="73">
        <v>80.0</v>
      </c>
      <c r="L49" s="37">
        <v>80.0</v>
      </c>
      <c r="M49" s="37">
        <v>65.0</v>
      </c>
      <c r="N49" s="37">
        <v>65.0</v>
      </c>
      <c r="O49" s="37">
        <v>170.0</v>
      </c>
      <c r="P49" s="39">
        <v>100.0</v>
      </c>
      <c r="Q49" s="64"/>
      <c r="R49" s="64"/>
      <c r="S49" s="64"/>
      <c r="T49" s="64"/>
      <c r="U49" s="64"/>
      <c r="V49" s="64"/>
      <c r="W49" s="64"/>
      <c r="X49" s="64"/>
      <c r="Y49" s="64"/>
      <c r="Z49" s="64"/>
      <c r="AA49" s="64"/>
      <c r="AB49" s="64"/>
      <c r="AJ49" s="41">
        <v>50.0</v>
      </c>
      <c r="AK49" s="39">
        <v>0.0</v>
      </c>
      <c r="AL49" s="39">
        <v>75.0</v>
      </c>
      <c r="AM49" s="41">
        <v>0.0</v>
      </c>
      <c r="AN49" s="41">
        <v>25.0</v>
      </c>
      <c r="AO49" s="41">
        <v>0.0</v>
      </c>
      <c r="AP49" s="41">
        <v>0.0</v>
      </c>
      <c r="AQ49" s="41">
        <v>35.0</v>
      </c>
      <c r="AR49" s="41">
        <v>35.0</v>
      </c>
      <c r="AS49" s="41">
        <v>-25.0</v>
      </c>
      <c r="AT49" s="41">
        <v>-25.0</v>
      </c>
      <c r="AU49" s="41">
        <v>-25.0</v>
      </c>
      <c r="AV49" s="41">
        <v>-25.0</v>
      </c>
      <c r="AW49" s="39">
        <v>0.0</v>
      </c>
      <c r="AX49" s="39">
        <v>0.0</v>
      </c>
      <c r="AY49" s="39">
        <v>0.0</v>
      </c>
      <c r="AZ49" s="41">
        <v>75.0</v>
      </c>
      <c r="BA49" s="39">
        <v>0.0</v>
      </c>
      <c r="BB49" s="39">
        <v>0.0</v>
      </c>
      <c r="BC49" s="39">
        <v>0.0</v>
      </c>
      <c r="BD49" s="39">
        <v>0.0</v>
      </c>
      <c r="BE49" s="39">
        <v>0.0</v>
      </c>
      <c r="BF49" s="39">
        <v>20.0</v>
      </c>
      <c r="BR49" s="39" t="s">
        <v>2714</v>
      </c>
      <c r="BS49" s="74"/>
      <c r="BU49" s="39" t="s">
        <v>2715</v>
      </c>
      <c r="BW49" s="57"/>
      <c r="BX49" s="84">
        <v>5.0</v>
      </c>
      <c r="BY49" s="84">
        <v>25.0</v>
      </c>
      <c r="BZ49" s="84">
        <v>5.0</v>
      </c>
      <c r="CA49" s="84">
        <v>5.0</v>
      </c>
      <c r="CB49" s="75">
        <v>10.0</v>
      </c>
      <c r="CD49" s="75">
        <v>2.0</v>
      </c>
      <c r="CE49" s="75"/>
      <c r="CN49" s="37" t="s">
        <v>2705</v>
      </c>
      <c r="CO49" s="39" t="s">
        <v>2679</v>
      </c>
      <c r="CP49" s="39" t="s">
        <v>2706</v>
      </c>
      <c r="CQ49" s="39"/>
      <c r="CR49" s="39"/>
    </row>
    <row r="50" ht="18.75" customHeight="1" outlineLevel="1">
      <c r="A50" s="39" t="s">
        <v>2716</v>
      </c>
      <c r="B50" s="71"/>
      <c r="C50" s="37" t="s">
        <v>2686</v>
      </c>
      <c r="D50" s="72" t="str">
        <f t="shared" si="1"/>
        <v>710/515/195</v>
      </c>
      <c r="E50" s="39">
        <v>4.0</v>
      </c>
      <c r="F50" s="37">
        <v>75.0</v>
      </c>
      <c r="I50" s="37">
        <v>70.0</v>
      </c>
      <c r="J50" s="37">
        <v>80.0</v>
      </c>
      <c r="K50" s="73">
        <v>80.0</v>
      </c>
      <c r="L50" s="37">
        <v>80.0</v>
      </c>
      <c r="M50" s="37">
        <v>65.0</v>
      </c>
      <c r="N50" s="37">
        <v>65.0</v>
      </c>
      <c r="O50" s="37">
        <v>170.0</v>
      </c>
      <c r="P50" s="39">
        <v>100.0</v>
      </c>
      <c r="Q50" s="64"/>
      <c r="R50" s="64"/>
      <c r="S50" s="64"/>
      <c r="T50" s="64"/>
      <c r="U50" s="64"/>
      <c r="V50" s="64"/>
      <c r="W50" s="64"/>
      <c r="X50" s="64"/>
      <c r="Y50" s="64"/>
      <c r="Z50" s="64"/>
      <c r="AA50" s="64"/>
      <c r="AB50" s="64"/>
      <c r="AJ50" s="41">
        <v>50.0</v>
      </c>
      <c r="AK50" s="39">
        <v>0.0</v>
      </c>
      <c r="AL50" s="39">
        <v>75.0</v>
      </c>
      <c r="AM50" s="41">
        <v>0.0</v>
      </c>
      <c r="AN50" s="41">
        <v>25.0</v>
      </c>
      <c r="AO50" s="41">
        <v>0.0</v>
      </c>
      <c r="AP50" s="41">
        <v>0.0</v>
      </c>
      <c r="AQ50" s="41">
        <v>35.0</v>
      </c>
      <c r="AR50" s="41">
        <v>35.0</v>
      </c>
      <c r="AS50" s="41">
        <v>-25.0</v>
      </c>
      <c r="AT50" s="41">
        <v>-25.0</v>
      </c>
      <c r="AU50" s="41">
        <v>-25.0</v>
      </c>
      <c r="AV50" s="41">
        <v>-25.0</v>
      </c>
      <c r="AW50" s="39">
        <v>0.0</v>
      </c>
      <c r="AX50" s="39">
        <v>0.0</v>
      </c>
      <c r="AY50" s="39">
        <v>0.0</v>
      </c>
      <c r="AZ50" s="41">
        <v>75.0</v>
      </c>
      <c r="BA50" s="39">
        <v>0.0</v>
      </c>
      <c r="BB50" s="39">
        <v>0.0</v>
      </c>
      <c r="BC50" s="39">
        <v>0.0</v>
      </c>
      <c r="BD50" s="39">
        <v>0.0</v>
      </c>
      <c r="BE50" s="39">
        <v>0.0</v>
      </c>
      <c r="BF50" s="39">
        <v>20.0</v>
      </c>
      <c r="BR50" s="39" t="s">
        <v>2717</v>
      </c>
      <c r="BS50" s="74"/>
      <c r="BU50" s="39" t="s">
        <v>2718</v>
      </c>
      <c r="BW50" s="57"/>
      <c r="BX50" s="84">
        <v>5.0</v>
      </c>
      <c r="BY50" s="84">
        <v>25.0</v>
      </c>
      <c r="BZ50" s="84">
        <v>5.0</v>
      </c>
      <c r="CA50" s="84">
        <v>5.0</v>
      </c>
      <c r="CB50" s="75">
        <v>10.0</v>
      </c>
      <c r="CD50" s="75">
        <v>2.0</v>
      </c>
      <c r="CE50" s="75"/>
      <c r="CN50" s="37" t="s">
        <v>2705</v>
      </c>
      <c r="CO50" s="39" t="s">
        <v>2679</v>
      </c>
      <c r="CP50" s="39" t="s">
        <v>2706</v>
      </c>
      <c r="CQ50" s="39"/>
      <c r="CR50" s="39"/>
    </row>
    <row r="51" ht="18.75" customHeight="1" outlineLevel="1">
      <c r="A51" s="39" t="s">
        <v>2719</v>
      </c>
      <c r="B51" s="71"/>
      <c r="C51" s="37" t="s">
        <v>2686</v>
      </c>
      <c r="D51" s="72" t="str">
        <f t="shared" si="1"/>
        <v>710/515/195</v>
      </c>
      <c r="E51" s="39">
        <v>5.0</v>
      </c>
      <c r="F51" s="37">
        <v>75.0</v>
      </c>
      <c r="I51" s="37">
        <v>70.0</v>
      </c>
      <c r="J51" s="37">
        <v>80.0</v>
      </c>
      <c r="K51" s="73">
        <v>80.0</v>
      </c>
      <c r="L51" s="37">
        <v>80.0</v>
      </c>
      <c r="M51" s="37">
        <v>65.0</v>
      </c>
      <c r="N51" s="37">
        <v>65.0</v>
      </c>
      <c r="O51" s="37">
        <v>170.0</v>
      </c>
      <c r="P51" s="39">
        <v>100.0</v>
      </c>
      <c r="Q51" s="64"/>
      <c r="R51" s="64"/>
      <c r="S51" s="64"/>
      <c r="T51" s="64"/>
      <c r="U51" s="64"/>
      <c r="V51" s="64"/>
      <c r="W51" s="64"/>
      <c r="X51" s="64"/>
      <c r="Y51" s="64"/>
      <c r="Z51" s="64"/>
      <c r="AA51" s="64"/>
      <c r="AB51" s="64"/>
      <c r="AJ51" s="41">
        <v>50.0</v>
      </c>
      <c r="AK51" s="39">
        <v>0.0</v>
      </c>
      <c r="AL51" s="39">
        <v>75.0</v>
      </c>
      <c r="AM51" s="41">
        <v>0.0</v>
      </c>
      <c r="AN51" s="41">
        <v>25.0</v>
      </c>
      <c r="AO51" s="41">
        <v>0.0</v>
      </c>
      <c r="AP51" s="41">
        <v>0.0</v>
      </c>
      <c r="AQ51" s="41">
        <v>35.0</v>
      </c>
      <c r="AR51" s="41">
        <v>35.0</v>
      </c>
      <c r="AS51" s="41">
        <v>-25.0</v>
      </c>
      <c r="AT51" s="41">
        <v>-25.0</v>
      </c>
      <c r="AU51" s="41">
        <v>-25.0</v>
      </c>
      <c r="AV51" s="41">
        <v>-25.0</v>
      </c>
      <c r="AW51" s="39">
        <v>0.0</v>
      </c>
      <c r="AX51" s="39">
        <v>0.0</v>
      </c>
      <c r="AY51" s="39">
        <v>0.0</v>
      </c>
      <c r="AZ51" s="41">
        <v>75.0</v>
      </c>
      <c r="BA51" s="39">
        <v>0.0</v>
      </c>
      <c r="BB51" s="39">
        <v>0.0</v>
      </c>
      <c r="BC51" s="39">
        <v>0.0</v>
      </c>
      <c r="BD51" s="39">
        <v>0.0</v>
      </c>
      <c r="BE51" s="39">
        <v>0.0</v>
      </c>
      <c r="BF51" s="39">
        <v>20.0</v>
      </c>
      <c r="BR51" s="39" t="s">
        <v>2720</v>
      </c>
      <c r="BS51" s="74"/>
      <c r="BU51" s="39" t="s">
        <v>2721</v>
      </c>
      <c r="BW51" s="57"/>
      <c r="BX51" s="84">
        <v>5.0</v>
      </c>
      <c r="BY51" s="84">
        <v>25.0</v>
      </c>
      <c r="BZ51" s="84">
        <v>5.0</v>
      </c>
      <c r="CA51" s="84">
        <v>5.0</v>
      </c>
      <c r="CB51" s="75">
        <v>10.0</v>
      </c>
      <c r="CD51" s="75">
        <v>2.0</v>
      </c>
      <c r="CE51" s="75"/>
      <c r="CN51" s="37" t="s">
        <v>2705</v>
      </c>
      <c r="CO51" s="39" t="s">
        <v>2679</v>
      </c>
      <c r="CP51" s="39" t="s">
        <v>2706</v>
      </c>
      <c r="CQ51" s="39"/>
      <c r="CR51" s="39"/>
    </row>
    <row r="52" ht="18.75" customHeight="1" outlineLevel="1">
      <c r="A52" s="39" t="s">
        <v>2722</v>
      </c>
      <c r="B52" s="71"/>
      <c r="C52" s="37" t="s">
        <v>2686</v>
      </c>
      <c r="D52" s="72" t="str">
        <f t="shared" si="1"/>
        <v>710/515/195</v>
      </c>
      <c r="E52" s="39">
        <v>6.0</v>
      </c>
      <c r="F52" s="37">
        <v>75.0</v>
      </c>
      <c r="I52" s="37">
        <v>70.0</v>
      </c>
      <c r="J52" s="37">
        <v>80.0</v>
      </c>
      <c r="K52" s="73">
        <v>80.0</v>
      </c>
      <c r="L52" s="37">
        <v>80.0</v>
      </c>
      <c r="M52" s="37">
        <v>65.0</v>
      </c>
      <c r="N52" s="37">
        <v>65.0</v>
      </c>
      <c r="O52" s="37">
        <v>170.0</v>
      </c>
      <c r="P52" s="39">
        <v>100.0</v>
      </c>
      <c r="Q52" s="64"/>
      <c r="R52" s="64"/>
      <c r="S52" s="64"/>
      <c r="T52" s="64"/>
      <c r="U52" s="64"/>
      <c r="V52" s="64"/>
      <c r="W52" s="64"/>
      <c r="X52" s="64"/>
      <c r="Y52" s="64"/>
      <c r="Z52" s="64"/>
      <c r="AA52" s="64"/>
      <c r="AB52" s="64"/>
      <c r="AJ52" s="41">
        <v>50.0</v>
      </c>
      <c r="AK52" s="39">
        <v>0.0</v>
      </c>
      <c r="AL52" s="39">
        <v>75.0</v>
      </c>
      <c r="AM52" s="41">
        <v>0.0</v>
      </c>
      <c r="AN52" s="41">
        <v>25.0</v>
      </c>
      <c r="AO52" s="41">
        <v>0.0</v>
      </c>
      <c r="AP52" s="41">
        <v>0.0</v>
      </c>
      <c r="AQ52" s="41">
        <v>35.0</v>
      </c>
      <c r="AR52" s="41">
        <v>35.0</v>
      </c>
      <c r="AS52" s="41">
        <v>-25.0</v>
      </c>
      <c r="AT52" s="41">
        <v>-25.0</v>
      </c>
      <c r="AU52" s="41">
        <v>-25.0</v>
      </c>
      <c r="AV52" s="41">
        <v>-25.0</v>
      </c>
      <c r="AW52" s="39">
        <v>0.0</v>
      </c>
      <c r="AX52" s="39">
        <v>0.0</v>
      </c>
      <c r="AY52" s="39">
        <v>0.0</v>
      </c>
      <c r="AZ52" s="41">
        <v>75.0</v>
      </c>
      <c r="BA52" s="39">
        <v>0.0</v>
      </c>
      <c r="BB52" s="39">
        <v>0.0</v>
      </c>
      <c r="BC52" s="39">
        <v>0.0</v>
      </c>
      <c r="BD52" s="39">
        <v>0.0</v>
      </c>
      <c r="BE52" s="39">
        <v>0.0</v>
      </c>
      <c r="BF52" s="39">
        <v>20.0</v>
      </c>
      <c r="BR52" s="39" t="s">
        <v>2723</v>
      </c>
      <c r="BS52" s="74"/>
      <c r="BU52" s="39" t="s">
        <v>2724</v>
      </c>
      <c r="BW52" s="57"/>
      <c r="BX52" s="84">
        <v>5.0</v>
      </c>
      <c r="BY52" s="84">
        <v>25.0</v>
      </c>
      <c r="BZ52" s="84">
        <v>5.0</v>
      </c>
      <c r="CA52" s="84">
        <v>5.0</v>
      </c>
      <c r="CB52" s="75">
        <v>10.0</v>
      </c>
      <c r="CD52" s="75">
        <v>2.0</v>
      </c>
      <c r="CE52" s="75"/>
      <c r="CN52" s="37" t="s">
        <v>2705</v>
      </c>
      <c r="CO52" s="39" t="s">
        <v>2679</v>
      </c>
      <c r="CP52" s="39" t="s">
        <v>2706</v>
      </c>
      <c r="CQ52" s="39"/>
      <c r="CR52" s="39"/>
    </row>
    <row r="53" ht="18.75" customHeight="1" outlineLevel="1">
      <c r="A53" s="39"/>
      <c r="B53" s="71"/>
      <c r="C53" s="39"/>
      <c r="D53" s="72" t="str">
        <f t="shared" si="1"/>
        <v>0/0/0</v>
      </c>
      <c r="E53" s="37">
        <v>1.0</v>
      </c>
      <c r="K53" s="73"/>
      <c r="P53" s="37" t="s">
        <v>29</v>
      </c>
      <c r="Q53" s="64"/>
      <c r="R53" s="64"/>
      <c r="S53" s="64"/>
      <c r="T53" s="64"/>
      <c r="U53" s="64"/>
      <c r="V53" s="64"/>
      <c r="W53" s="64"/>
      <c r="X53" s="64"/>
      <c r="Y53" s="64"/>
      <c r="Z53" s="64"/>
      <c r="AA53" s="64"/>
      <c r="BG53" s="37" t="str">
        <f t="array" ref="BG53">IF($A53="","", INDEX(CS!$B$1:$B$15025,MATCH($A53,CS!$B:$B,0)+COLUMN(A$1),1))</f>
        <v/>
      </c>
      <c r="BH53" s="37" t="str">
        <f t="array" ref="BH53">IF($A53="","", INDEX(CS!$B$1:$B$15025,MATCH($A53,CS!$B:$B,0)+COLUMN(B$1),1))</f>
        <v/>
      </c>
      <c r="BI53" s="37" t="str">
        <f t="array" ref="BI53">IF($A53="","", INDEX(CS!$B$1:$B$15025,MATCH($A53,CS!$B:$B,0)+COLUMN(C$1),1))</f>
        <v/>
      </c>
      <c r="BJ53" s="37" t="str">
        <f t="array" ref="BJ53">IF($A53="","", INDEX(CS!$B$1:$B$15025,MATCH($A53,CS!$B:$B,0)+COLUMN(D$1),1))</f>
        <v/>
      </c>
      <c r="BK53" s="37" t="str">
        <f t="array" ref="BK53">IF($A53="","", INDEX(CS!$B$1:$B$15025,MATCH($A53,CS!$B:$B,0)+COLUMN(E$1),1))</f>
        <v/>
      </c>
      <c r="BL53" s="37" t="str">
        <f t="array" ref="BL53">IF($A53="","", INDEX(CS!$B$1:$B$15025,MATCH($A53,CS!$B:$B,0)+COLUMN(F$1),1))</f>
        <v/>
      </c>
      <c r="BM53" s="37" t="str">
        <f t="array" ref="BM53">IF($A53="","", INDEX(CS!$B$1:$B$15025,MATCH($A53,CS!$B:$B,0)+COLUMN(G$1),1))</f>
        <v/>
      </c>
      <c r="BN53" s="37" t="str">
        <f t="array" ref="BN53">IF($A53="","", INDEX(CS!$B$1:$B$15025,MATCH($A53,CS!$B:$B,0)+COLUMN(H$1),1))</f>
        <v/>
      </c>
      <c r="BO53" s="37" t="str">
        <f t="array" ref="BO53">IF($A53="","", INDEX(CS!$B$1:$B$15025,MATCH($A53,CS!$B:$B,0)+COLUMN(I$1),1))</f>
        <v/>
      </c>
      <c r="BP53" s="37" t="str">
        <f t="array" ref="BP53">IF($A53="","", INDEX(CS!$B$1:$B$15025,MATCH($A53,CS!$B:$B,0)+COLUMN(J$1),1))</f>
        <v/>
      </c>
      <c r="BS53" s="74"/>
      <c r="BW53" s="57"/>
      <c r="BX53" s="75"/>
      <c r="BY53" s="75"/>
      <c r="BZ53" s="75"/>
      <c r="CA53" s="75"/>
      <c r="CQ53" s="37"/>
      <c r="CR53" s="37"/>
    </row>
    <row r="54" ht="18.75" customHeight="1" outlineLevel="1">
      <c r="B54" s="85" t="s">
        <v>2725</v>
      </c>
      <c r="D54" s="72" t="str">
        <f t="shared" si="1"/>
        <v>0/0/0</v>
      </c>
      <c r="K54" s="73"/>
      <c r="P54" s="37" t="s">
        <v>29</v>
      </c>
      <c r="Q54" s="64"/>
      <c r="R54" s="64"/>
      <c r="S54" s="64"/>
      <c r="T54" s="64"/>
      <c r="U54" s="64"/>
      <c r="V54" s="64"/>
      <c r="W54" s="64"/>
      <c r="X54" s="64"/>
      <c r="Y54" s="64"/>
      <c r="Z54" s="64"/>
      <c r="AA54" s="64"/>
      <c r="BG54" s="37" t="str">
        <f t="array" ref="BG54">IF($A54="","", INDEX(CS!$B$1:$B$15025,MATCH($A54,CS!$B:$B,0)+COLUMN(A$1),1))</f>
        <v/>
      </c>
      <c r="BH54" s="37" t="str">
        <f t="array" ref="BH54">IF($A54="","", INDEX(CS!$B$1:$B$15025,MATCH($A54,CS!$B:$B,0)+COLUMN(B$1),1))</f>
        <v/>
      </c>
      <c r="BI54" s="37" t="str">
        <f t="array" ref="BI54">IF($A54="","", INDEX(CS!$B$1:$B$15025,MATCH($A54,CS!$B:$B,0)+COLUMN(C$1),1))</f>
        <v/>
      </c>
      <c r="BJ54" s="37" t="str">
        <f t="array" ref="BJ54">IF($A54="","", INDEX(CS!$B$1:$B$15025,MATCH($A54,CS!$B:$B,0)+COLUMN(D$1),1))</f>
        <v/>
      </c>
      <c r="BK54" s="37" t="str">
        <f t="array" ref="BK54">IF($A54="","", INDEX(CS!$B$1:$B$15025,MATCH($A54,CS!$B:$B,0)+COLUMN(E$1),1))</f>
        <v/>
      </c>
      <c r="BL54" s="37" t="str">
        <f t="array" ref="BL54">IF($A54="","", INDEX(CS!$B$1:$B$15025,MATCH($A54,CS!$B:$B,0)+COLUMN(F$1),1))</f>
        <v/>
      </c>
      <c r="BM54" s="37" t="str">
        <f t="array" ref="BM54">IF($A54="","", INDEX(CS!$B$1:$B$15025,MATCH($A54,CS!$B:$B,0)+COLUMN(G$1),1))</f>
        <v/>
      </c>
      <c r="BN54" s="37" t="str">
        <f t="array" ref="BN54">IF($A54="","", INDEX(CS!$B$1:$B$15025,MATCH($A54,CS!$B:$B,0)+COLUMN(H$1),1))</f>
        <v/>
      </c>
      <c r="BO54" s="37" t="str">
        <f t="array" ref="BO54">IF($A54="","", INDEX(CS!$B$1:$B$15025,MATCH($A54,CS!$B:$B,0)+COLUMN(I$1),1))</f>
        <v/>
      </c>
      <c r="BP54" s="37" t="str">
        <f t="array" ref="BP54">IF($A54="","", INDEX(CS!$B$1:$B$15025,MATCH($A54,CS!$B:$B,0)+COLUMN(J$1),1))</f>
        <v/>
      </c>
      <c r="BS54" s="74"/>
      <c r="CQ54" s="37"/>
      <c r="CR54" s="37"/>
    </row>
    <row r="55" ht="18.75" customHeight="1" outlineLevel="1">
      <c r="A55" s="37" t="s">
        <v>1302</v>
      </c>
      <c r="B55" s="71"/>
      <c r="C55" s="37" t="s">
        <v>2686</v>
      </c>
      <c r="D55" s="72" t="str">
        <f t="shared" si="1"/>
        <v>710/515/195</v>
      </c>
      <c r="E55" s="37">
        <v>1.0</v>
      </c>
      <c r="F55" s="37">
        <v>90.0</v>
      </c>
      <c r="I55" s="37">
        <v>80.0</v>
      </c>
      <c r="J55" s="37">
        <v>60.0</v>
      </c>
      <c r="K55" s="73">
        <v>80.0</v>
      </c>
      <c r="L55" s="37">
        <v>60.0</v>
      </c>
      <c r="M55" s="37">
        <v>80.0</v>
      </c>
      <c r="N55" s="37">
        <v>65.0</v>
      </c>
      <c r="O55" s="37">
        <v>170.0</v>
      </c>
      <c r="P55" s="39">
        <v>-75.0</v>
      </c>
      <c r="Q55" s="64">
        <v>15.0</v>
      </c>
      <c r="R55" s="64"/>
      <c r="S55" s="64"/>
      <c r="T55" s="64"/>
      <c r="U55" s="64"/>
      <c r="V55" s="64"/>
      <c r="W55" s="64">
        <v>-30.0</v>
      </c>
      <c r="X55" s="64"/>
      <c r="Y55" s="64"/>
      <c r="Z55" s="64">
        <v>100.0</v>
      </c>
      <c r="AA55" s="64">
        <v>-30.0</v>
      </c>
      <c r="AC55" s="37">
        <v>100.0</v>
      </c>
      <c r="AE55" s="37">
        <v>25.0</v>
      </c>
      <c r="AJ55" s="41">
        <v>50.0</v>
      </c>
      <c r="AK55" s="39">
        <v>45.0</v>
      </c>
      <c r="AL55" s="39">
        <v>50.0</v>
      </c>
      <c r="AM55" s="39">
        <v>0.0</v>
      </c>
      <c r="AN55" s="39">
        <v>0.0</v>
      </c>
      <c r="AO55" s="39">
        <v>0.0</v>
      </c>
      <c r="AP55" s="39">
        <v>0.0</v>
      </c>
      <c r="AQ55" s="39">
        <v>50.0</v>
      </c>
      <c r="AR55" s="39">
        <v>50.0</v>
      </c>
      <c r="AS55" s="41">
        <v>-25.0</v>
      </c>
      <c r="AT55" s="41">
        <v>-25.0</v>
      </c>
      <c r="AU55" s="41">
        <v>-25.0</v>
      </c>
      <c r="AV55" s="41">
        <v>-25.0</v>
      </c>
      <c r="AW55" s="39">
        <v>0.0</v>
      </c>
      <c r="AX55" s="39">
        <v>0.0</v>
      </c>
      <c r="AY55" s="41">
        <v>50.0</v>
      </c>
      <c r="AZ55" s="39">
        <v>0.0</v>
      </c>
      <c r="BA55" s="39">
        <v>0.0</v>
      </c>
      <c r="BB55" s="39">
        <v>100.0</v>
      </c>
      <c r="BC55" s="39">
        <v>0.0</v>
      </c>
      <c r="BD55" s="39">
        <v>0.0</v>
      </c>
      <c r="BE55" s="39">
        <v>0.0</v>
      </c>
      <c r="BF55" s="39">
        <v>20.0</v>
      </c>
      <c r="BG55" s="37" t="str">
        <f t="array" ref="BG55">IF($A55="","", INDEX(CS!$B$1:$B$15025,MATCH($A55,CS!$B:$B,0)+COLUMN(A$1),1))</f>
        <v>吸血</v>
      </c>
      <c r="BH55" s="37" t="str">
        <f t="array" ref="BH55">IF($A55="","", INDEX(CS!$B$1:$B$15025,MATCH($A55,CS!$B:$B,0)+COLUMN(B$1),1))</f>
        <v/>
      </c>
      <c r="BI55" s="37" t="str">
        <f t="array" ref="BI55">IF($A55="","", INDEX(CS!$B$1:$B$15025,MATCH($A55,CS!$B:$B,0)+COLUMN(C$1),1))</f>
        <v>夜の狩人</v>
      </c>
      <c r="BJ55" s="37" t="str">
        <f t="array" ref="BJ55">IF($A55="","", INDEX(CS!$B$1:$B$15025,MATCH($A55,CS!$B:$B,0)+COLUMN(D$1),1))</f>
        <v/>
      </c>
      <c r="BK55" s="37" t="str">
        <f t="array" ref="BK55">IF($A55="","", INDEX(CS!$B$1:$B$15025,MATCH($A55,CS!$B:$B,0)+COLUMN(E$1),1))</f>
        <v>眷族化-ゾンビ</v>
      </c>
      <c r="BL55" s="37" t="str">
        <f t="array" ref="BL55">IF($A55="","", INDEX(CS!$B$1:$B$15025,MATCH($A55,CS!$B:$B,0)+COLUMN(F$1),1))</f>
        <v/>
      </c>
      <c r="BM55" s="37" t="str">
        <f t="array" ref="BM55">IF($A55="","", INDEX(CS!$B$1:$B$15025,MATCH($A55,CS!$B:$B,0)+COLUMN(G$1),1))</f>
        <v>不死の肉体</v>
      </c>
      <c r="BN55" s="37" t="str">
        <f t="array" ref="BN55">IF($A55="","", INDEX(CS!$B$1:$B$15025,MATCH($A55,CS!$B:$B,0)+COLUMN(H$1),1))</f>
        <v/>
      </c>
      <c r="BO55" s="37" t="str">
        <f t="array" ref="BO55">IF($A55="","", INDEX(CS!$B$1:$B$15025,MATCH($A55,CS!$B:$B,0)+COLUMN(I$1),1))</f>
        <v>霧化</v>
      </c>
      <c r="BP55" s="37" t="str">
        <f t="array" ref="BP55">IF($A55="","", INDEX(CS!$B$1:$B$15025,MATCH($A55,CS!$B:$B,0)+COLUMN(J$1),1))</f>
        <v>眷族化-グール</v>
      </c>
      <c r="BS55" s="74"/>
      <c r="BV55" s="37" t="s">
        <v>2628</v>
      </c>
      <c r="BW55" s="57">
        <v>50.0</v>
      </c>
      <c r="BX55" s="75">
        <v>0.0</v>
      </c>
      <c r="BY55" s="75">
        <v>0.0</v>
      </c>
      <c r="BZ55" s="84">
        <v>10.0</v>
      </c>
      <c r="CA55" s="84">
        <v>5.0</v>
      </c>
      <c r="CB55" s="75">
        <v>0.0</v>
      </c>
      <c r="CC55" s="84">
        <v>35.0</v>
      </c>
      <c r="CD55" s="75">
        <v>2.0</v>
      </c>
      <c r="CE55" s="75"/>
      <c r="CN55" s="37" t="s">
        <v>2726</v>
      </c>
      <c r="CO55" s="39" t="s">
        <v>2727</v>
      </c>
      <c r="CP55" s="39" t="s">
        <v>2728</v>
      </c>
      <c r="CQ55" s="39"/>
      <c r="CR55" s="39"/>
    </row>
    <row r="56" ht="18.75" customHeight="1" outlineLevel="1">
      <c r="A56" s="37" t="s">
        <v>1317</v>
      </c>
      <c r="B56" s="71"/>
      <c r="C56" s="37" t="s">
        <v>2686</v>
      </c>
      <c r="D56" s="72" t="str">
        <f t="shared" si="1"/>
        <v>540/465/75</v>
      </c>
      <c r="E56" s="39">
        <v>1.0</v>
      </c>
      <c r="F56" s="37">
        <v>110.0</v>
      </c>
      <c r="I56" s="37">
        <v>110.0</v>
      </c>
      <c r="J56" s="41">
        <v>50.0</v>
      </c>
      <c r="K56" s="73">
        <v>50.0</v>
      </c>
      <c r="L56" s="37">
        <v>50.0</v>
      </c>
      <c r="M56" s="41">
        <v>35.0</v>
      </c>
      <c r="N56" s="37">
        <v>60.0</v>
      </c>
      <c r="O56" s="37">
        <v>170.0</v>
      </c>
      <c r="P56" s="39">
        <v>-50.0</v>
      </c>
      <c r="Q56" s="64"/>
      <c r="R56" s="64"/>
      <c r="S56" s="64"/>
      <c r="T56" s="64"/>
      <c r="U56" s="64"/>
      <c r="V56" s="64"/>
      <c r="W56" s="64">
        <v>-25.0</v>
      </c>
      <c r="X56" s="64"/>
      <c r="Y56" s="64"/>
      <c r="Z56" s="86">
        <v>35.0</v>
      </c>
      <c r="AA56" s="64">
        <v>-25.0</v>
      </c>
      <c r="AB56" s="41">
        <v>25.0</v>
      </c>
      <c r="AC56" s="37">
        <v>100.0</v>
      </c>
      <c r="AD56" s="41">
        <v>35.0</v>
      </c>
      <c r="AE56" s="37">
        <v>25.0</v>
      </c>
      <c r="AG56" s="37">
        <v>25.0</v>
      </c>
      <c r="AI56" s="37">
        <v>-25.0</v>
      </c>
      <c r="AJ56" s="39">
        <v>0.0</v>
      </c>
      <c r="AK56" s="41">
        <v>75.0</v>
      </c>
      <c r="AL56" s="39">
        <v>0.0</v>
      </c>
      <c r="AM56" s="41">
        <v>0.0</v>
      </c>
      <c r="AN56" s="39">
        <v>0.0</v>
      </c>
      <c r="AO56" s="39">
        <v>0.0</v>
      </c>
      <c r="AP56" s="39">
        <v>0.0</v>
      </c>
      <c r="AQ56" s="39">
        <v>75.0</v>
      </c>
      <c r="AR56" s="39">
        <v>25.0</v>
      </c>
      <c r="AS56" s="39">
        <v>-25.0</v>
      </c>
      <c r="AT56" s="39">
        <v>-25.0</v>
      </c>
      <c r="AU56" s="39">
        <v>-25.0</v>
      </c>
      <c r="AV56" s="39">
        <v>-25.0</v>
      </c>
      <c r="AW56" s="39">
        <v>0.0</v>
      </c>
      <c r="AX56" s="39">
        <v>0.0</v>
      </c>
      <c r="AY56" s="39">
        <v>0.0</v>
      </c>
      <c r="AZ56" s="39">
        <v>0.0</v>
      </c>
      <c r="BA56" s="39">
        <v>0.0</v>
      </c>
      <c r="BB56" s="41">
        <v>100.0</v>
      </c>
      <c r="BC56" s="41">
        <v>100.0</v>
      </c>
      <c r="BD56" s="39">
        <v>0.0</v>
      </c>
      <c r="BE56" s="39">
        <v>0.0</v>
      </c>
      <c r="BF56" s="39">
        <v>20.0</v>
      </c>
      <c r="BG56" s="37" t="str">
        <f t="array" ref="BG56">IF($A56="","", INDEX(CS!$B$1:$B$15025,MATCH($A56,CS!$B:$B,0)+COLUMN(A$1),1))</f>
        <v>屍者の肉体</v>
      </c>
      <c r="BH56" s="37" t="str">
        <f t="array" ref="BH56">IF($A56="","", INDEX(CS!$B$1:$B$15025,MATCH($A56,CS!$B:$B,0)+COLUMN(B$1),1))</f>
        <v/>
      </c>
      <c r="BI56" s="37" t="str">
        <f t="array" ref="BI56">IF($A56="","", INDEX(CS!$B$1:$B$15025,MATCH($A56,CS!$B:$B,0)+COLUMN(C$1),1))</f>
        <v>痛覚鈍化</v>
      </c>
      <c r="BJ56" s="37" t="str">
        <f t="array" ref="BJ56">IF($A56="","", INDEX(CS!$B$1:$B$15025,MATCH($A56,CS!$B:$B,0)+COLUMN(D$1),1))</f>
        <v/>
      </c>
      <c r="BK56" s="37" t="str">
        <f t="array" ref="BK56">IF($A56="","", INDEX(CS!$B$1:$B$15025,MATCH($A56,CS!$B:$B,0)+COLUMN(E$1),1))</f>
        <v>腐敗打撃</v>
      </c>
      <c r="BL56" s="37" t="str">
        <f t="array" ref="BL56">IF($A56="","", INDEX(CS!$B$1:$B$15025,MATCH($A56,CS!$B:$B,0)+COLUMN(F$1),1))</f>
        <v/>
      </c>
      <c r="BM56" s="37" t="str">
        <f t="array" ref="BM56">IF($A56="","", INDEX(CS!$B$1:$B$15025,MATCH($A56,CS!$B:$B,0)+COLUMN(G$1),1))</f>
        <v>死体喰らい</v>
      </c>
      <c r="BN56" s="37" t="str">
        <f t="array" ref="BN56">IF($A56="","", INDEX(CS!$B$1:$B$15025,MATCH($A56,CS!$B:$B,0)+COLUMN(H$1),1))</f>
        <v/>
      </c>
      <c r="BO56" s="37" t="str">
        <f t="array" ref="BO56">IF($A56="","", INDEX(CS!$B$1:$B$15025,MATCH($A56,CS!$B:$B,0)+COLUMN(I$1),1))</f>
        <v>死者の執念</v>
      </c>
      <c r="BP56" s="37" t="str">
        <f t="array" ref="BP56">IF($A56="","", INDEX(CS!$B$1:$B$15025,MATCH($A56,CS!$B:$B,0)+COLUMN(J$1),1))</f>
        <v>不死者</v>
      </c>
      <c r="BS56" s="74"/>
      <c r="BU56" s="39" t="s">
        <v>2729</v>
      </c>
      <c r="BV56" s="37" t="s">
        <v>2628</v>
      </c>
      <c r="BW56" s="57">
        <v>50.0</v>
      </c>
      <c r="BZ56" s="75">
        <v>75.0</v>
      </c>
      <c r="CD56" s="75">
        <v>2.0</v>
      </c>
      <c r="CE56" s="75"/>
      <c r="CN56" s="37" t="s">
        <v>2730</v>
      </c>
      <c r="CQ56" s="37"/>
      <c r="CR56" s="37"/>
    </row>
    <row r="57" ht="18.75" customHeight="1" outlineLevel="1">
      <c r="A57" s="37" t="s">
        <v>1331</v>
      </c>
      <c r="B57" s="71"/>
      <c r="C57" s="37" t="s">
        <v>2686</v>
      </c>
      <c r="D57" s="72" t="str">
        <f t="shared" si="1"/>
        <v>655/505/150</v>
      </c>
      <c r="E57" s="39">
        <v>1.0</v>
      </c>
      <c r="F57" s="37">
        <v>80.0</v>
      </c>
      <c r="I57" s="37">
        <v>75.0</v>
      </c>
      <c r="J57" s="37">
        <v>75.0</v>
      </c>
      <c r="K57" s="73">
        <v>50.0</v>
      </c>
      <c r="L57" s="37">
        <v>75.0</v>
      </c>
      <c r="M57" s="37">
        <v>75.0</v>
      </c>
      <c r="N57" s="37">
        <v>75.0</v>
      </c>
      <c r="O57" s="37">
        <v>170.0</v>
      </c>
      <c r="P57" s="39">
        <v>-50.0</v>
      </c>
      <c r="Q57" s="64">
        <v>10.0</v>
      </c>
      <c r="R57" s="64"/>
      <c r="S57" s="64"/>
      <c r="T57" s="64"/>
      <c r="U57" s="64"/>
      <c r="V57" s="64"/>
      <c r="W57" s="64">
        <v>-35.0</v>
      </c>
      <c r="X57" s="64"/>
      <c r="Y57" s="64"/>
      <c r="Z57" s="86">
        <v>100.0</v>
      </c>
      <c r="AA57" s="64">
        <v>-35.0</v>
      </c>
      <c r="AB57" s="41">
        <v>25.0</v>
      </c>
      <c r="AC57" s="41">
        <v>100.0</v>
      </c>
      <c r="AE57" s="41">
        <v>100.0</v>
      </c>
      <c r="AJ57" s="39">
        <v>0.0</v>
      </c>
      <c r="AK57" s="39">
        <v>50.0</v>
      </c>
      <c r="AL57" s="39">
        <v>50.0</v>
      </c>
      <c r="AM57" s="41">
        <v>25.0</v>
      </c>
      <c r="AN57" s="39">
        <v>25.0</v>
      </c>
      <c r="AO57" s="39">
        <v>0.0</v>
      </c>
      <c r="AP57" s="39">
        <v>0.0</v>
      </c>
      <c r="AQ57" s="39">
        <v>50.0</v>
      </c>
      <c r="AR57" s="39">
        <v>50.0</v>
      </c>
      <c r="AS57" s="39">
        <v>-25.0</v>
      </c>
      <c r="AT57" s="39">
        <v>-25.0</v>
      </c>
      <c r="AU57" s="39">
        <v>-25.0</v>
      </c>
      <c r="AV57" s="39">
        <v>-25.0</v>
      </c>
      <c r="AW57" s="39">
        <v>0.0</v>
      </c>
      <c r="AX57" s="39">
        <v>0.0</v>
      </c>
      <c r="AY57" s="39">
        <v>0.0</v>
      </c>
      <c r="AZ57" s="39">
        <v>0.0</v>
      </c>
      <c r="BA57" s="39">
        <v>0.0</v>
      </c>
      <c r="BB57" s="39">
        <v>0.0</v>
      </c>
      <c r="BC57" s="39">
        <v>10.0</v>
      </c>
      <c r="BD57" s="39">
        <v>0.0</v>
      </c>
      <c r="BE57" s="39">
        <v>0.0</v>
      </c>
      <c r="BF57" s="39">
        <v>40.0</v>
      </c>
      <c r="BG57" s="37" t="str">
        <f t="array" ref="BG57">IF($A57="","", INDEX(CS!$B$1:$B$15025,MATCH($A57,CS!$B:$B,0)+COLUMN(A$1),1))</f>
        <v>骨の身体</v>
      </c>
      <c r="BH57" s="37" t="str">
        <f t="array" ref="BH57">IF($A57="","", INDEX(CS!$B$1:$B$15025,MATCH($A57,CS!$B:$B,0)+COLUMN(B$1),1))</f>
        <v/>
      </c>
      <c r="BI57" s="37" t="str">
        <f t="array" ref="BI57">IF($A57="","", INDEX(CS!$B$1:$B$15025,MATCH($A57,CS!$B:$B,0)+COLUMN(C$1),1))</f>
        <v>骨格強化</v>
      </c>
      <c r="BJ57" s="37" t="str">
        <f t="array" ref="BJ57">IF($A57="","", INDEX(CS!$B$1:$B$15025,MATCH($A57,CS!$B:$B,0)+COLUMN(D$1),1))</f>
        <v/>
      </c>
      <c r="BK57" s="37" t="str">
        <f t="array" ref="BK57">IF($A57="","", INDEX(CS!$B$1:$B$15025,MATCH($A57,CS!$B:$B,0)+COLUMN(E$1),1))</f>
        <v>骸骨兵</v>
      </c>
      <c r="BL57" s="37" t="str">
        <f t="array" ref="BL57">IF($A57="","", INDEX(CS!$B$1:$B$15025,MATCH($A57,CS!$B:$B,0)+COLUMN(F$1),1))</f>
        <v/>
      </c>
      <c r="BM57" s="37" t="str">
        <f t="array" ref="BM57">IF($A57="","", INDEX(CS!$B$1:$B$15025,MATCH($A57,CS!$B:$B,0)+COLUMN(G$1),1))</f>
        <v>死者の眼</v>
      </c>
      <c r="BN57" s="37" t="str">
        <f t="array" ref="BN57">IF($A57="","", INDEX(CS!$B$1:$B$15025,MATCH($A57,CS!$B:$B,0)+COLUMN(H$1),1))</f>
        <v/>
      </c>
      <c r="BO57" s="37" t="str">
        <f t="array" ref="BO57">IF($A57="","", INDEX(CS!$B$1:$B$15025,MATCH($A57,CS!$B:$B,0)+COLUMN(I$1),1))</f>
        <v>骨盾</v>
      </c>
      <c r="BP57" s="37" t="str">
        <f t="array" ref="BP57">IF($A57="","", INDEX(CS!$B$1:$B$15025,MATCH($A57,CS!$B:$B,0)+COLUMN(J$1),1))</f>
        <v>死者の呼び声</v>
      </c>
      <c r="BS57" s="74"/>
      <c r="BU57" s="39" t="s">
        <v>2731</v>
      </c>
      <c r="BV57" s="37" t="s">
        <v>2628</v>
      </c>
      <c r="BW57" s="57">
        <v>50.0</v>
      </c>
      <c r="CD57" s="75">
        <v>2.0</v>
      </c>
      <c r="CE57" s="75"/>
      <c r="CN57" s="37" t="s">
        <v>2732</v>
      </c>
      <c r="CQ57" s="37"/>
      <c r="CR57" s="37"/>
    </row>
    <row r="58" ht="18.75" customHeight="1" outlineLevel="1">
      <c r="A58" s="37" t="s">
        <v>1344</v>
      </c>
      <c r="B58" s="71"/>
      <c r="C58" s="37" t="s">
        <v>2686</v>
      </c>
      <c r="D58" s="72" t="str">
        <f t="shared" si="1"/>
        <v>710/515/195</v>
      </c>
      <c r="E58" s="39">
        <v>1.0</v>
      </c>
      <c r="F58" s="37">
        <v>65.0</v>
      </c>
      <c r="I58" s="37">
        <v>65.0</v>
      </c>
      <c r="J58" s="37">
        <v>50.0</v>
      </c>
      <c r="K58" s="73">
        <v>90.0</v>
      </c>
      <c r="L58" s="37">
        <v>90.0</v>
      </c>
      <c r="M58" s="37">
        <v>90.0</v>
      </c>
      <c r="N58" s="37">
        <v>65.0</v>
      </c>
      <c r="O58" s="37">
        <v>170.0</v>
      </c>
      <c r="P58" s="39">
        <v>-25.0</v>
      </c>
      <c r="Q58" s="64">
        <v>25.0</v>
      </c>
      <c r="R58" s="64"/>
      <c r="S58" s="64"/>
      <c r="T58" s="64"/>
      <c r="U58" s="64"/>
      <c r="V58" s="64"/>
      <c r="W58" s="64"/>
      <c r="X58" s="64"/>
      <c r="Y58" s="64"/>
      <c r="Z58" s="86">
        <v>100.0</v>
      </c>
      <c r="AA58" s="86">
        <v>-45.0</v>
      </c>
      <c r="AB58" s="41">
        <v>25.0</v>
      </c>
      <c r="AJ58" s="39">
        <v>0.0</v>
      </c>
      <c r="AK58" s="39">
        <v>0.0</v>
      </c>
      <c r="AL58" s="39">
        <v>50.0</v>
      </c>
      <c r="AM58" s="39">
        <v>0.0</v>
      </c>
      <c r="AN58" s="39">
        <v>0.0</v>
      </c>
      <c r="AO58" s="39">
        <v>0.0</v>
      </c>
      <c r="AP58" s="39">
        <v>0.0</v>
      </c>
      <c r="AQ58" s="39">
        <v>100.0</v>
      </c>
      <c r="AR58" s="39">
        <v>50.0</v>
      </c>
      <c r="AS58" s="39">
        <v>-25.0</v>
      </c>
      <c r="AT58" s="39">
        <v>-25.0</v>
      </c>
      <c r="AU58" s="39">
        <v>-25.0</v>
      </c>
      <c r="AV58" s="39">
        <v>-25.0</v>
      </c>
      <c r="AW58" s="39">
        <v>0.0</v>
      </c>
      <c r="AX58" s="39">
        <v>0.0</v>
      </c>
      <c r="AY58" s="39">
        <v>95.0</v>
      </c>
      <c r="AZ58" s="39">
        <v>0.0</v>
      </c>
      <c r="BA58" s="39">
        <v>0.0</v>
      </c>
      <c r="BB58" s="39">
        <v>0.0</v>
      </c>
      <c r="BC58" s="39">
        <v>0.0</v>
      </c>
      <c r="BD58" s="39">
        <v>0.0</v>
      </c>
      <c r="BE58" s="39">
        <v>0.0</v>
      </c>
      <c r="BF58" s="39">
        <v>0.0</v>
      </c>
      <c r="BG58" s="37" t="str">
        <f t="array" ref="BG58">IF($A58="","", INDEX(CS!$B$1:$B$15025,MATCH($A58,CS!$B:$B,0)+COLUMN(A$1),1))</f>
        <v>浮遊</v>
      </c>
      <c r="BH58" s="37" t="str">
        <f t="array" ref="BH58">IF($A58="","", INDEX(CS!$B$1:$B$15025,MATCH($A58,CS!$B:$B,0)+COLUMN(B$1),1))</f>
        <v/>
      </c>
      <c r="BI58" s="37" t="str">
        <f t="array" ref="BI58">IF($A58="","", INDEX(CS!$B$1:$B$15025,MATCH($A58,CS!$B:$B,0)+COLUMN(C$1),1))</f>
        <v>霊体</v>
      </c>
      <c r="BJ58" s="37" t="str">
        <f t="array" ref="BJ58">IF($A58="","", INDEX(CS!$B$1:$B$15025,MATCH($A58,CS!$B:$B,0)+COLUMN(D$1),1))</f>
        <v/>
      </c>
      <c r="BK58" s="37" t="str">
        <f t="array" ref="BK58">IF($A58="","", INDEX(CS!$B$1:$B$15025,MATCH($A58,CS!$B:$B,0)+COLUMN(E$1),1))</f>
        <v>恐怖の囁き</v>
      </c>
      <c r="BL58" s="37" t="str">
        <f t="array" ref="BL58">IF($A58="","", INDEX(CS!$B$1:$B$15025,MATCH($A58,CS!$B:$B,0)+COLUMN(F$1),1))</f>
        <v/>
      </c>
      <c r="BM58" s="37" t="str">
        <f t="array" ref="BM58">IF($A58="","", INDEX(CS!$B$1:$B$15025,MATCH($A58,CS!$B:$B,0)+COLUMN(G$1),1))</f>
        <v>透過</v>
      </c>
      <c r="BN58" s="37" t="str">
        <f t="array" ref="BN58">IF($A58="","", INDEX(CS!$B$1:$B$15025,MATCH($A58,CS!$B:$B,0)+COLUMN(H$1),1))</f>
        <v/>
      </c>
      <c r="BO58" s="37" t="str">
        <f t="array" ref="BO58">IF($A58="","", INDEX(CS!$B$1:$B$15025,MATCH($A58,CS!$B:$B,0)+COLUMN(I$1),1))</f>
        <v>憑依</v>
      </c>
      <c r="BP58" s="37" t="str">
        <f t="array" ref="BP58">IF($A58="","", INDEX(CS!$B$1:$B$15025,MATCH($A58,CS!$B:$B,0)+COLUMN(J$1),1))</f>
        <v>完全霊体</v>
      </c>
      <c r="BS58" s="74"/>
      <c r="BU58" s="39" t="s">
        <v>2733</v>
      </c>
      <c r="BV58" s="37" t="s">
        <v>2627</v>
      </c>
      <c r="BW58" s="57">
        <v>25.0</v>
      </c>
      <c r="CB58" s="37">
        <v>25.0</v>
      </c>
      <c r="CD58" s="75">
        <v>2.0</v>
      </c>
      <c r="CE58" s="75"/>
      <c r="CI58" s="37" t="s">
        <v>2734</v>
      </c>
      <c r="CJ58" s="37" t="s">
        <v>2734</v>
      </c>
      <c r="CK58" s="37" t="s">
        <v>2734</v>
      </c>
      <c r="CN58" s="37" t="s">
        <v>2735</v>
      </c>
      <c r="CQ58" s="37"/>
      <c r="CR58" s="37"/>
    </row>
    <row r="59" ht="18.75" customHeight="1" outlineLevel="1">
      <c r="A59" s="39" t="s">
        <v>1357</v>
      </c>
      <c r="B59" s="71"/>
      <c r="C59" s="39" t="s">
        <v>2686</v>
      </c>
      <c r="D59" s="72" t="str">
        <f t="shared" si="1"/>
        <v>605/530/75</v>
      </c>
      <c r="E59" s="39">
        <v>2.0</v>
      </c>
      <c r="F59" s="37">
        <v>110.0</v>
      </c>
      <c r="I59" s="41">
        <v>100.0</v>
      </c>
      <c r="J59" s="41">
        <v>50.0</v>
      </c>
      <c r="K59" s="73">
        <v>50.0</v>
      </c>
      <c r="L59" s="37">
        <v>50.0</v>
      </c>
      <c r="M59" s="41">
        <v>100.0</v>
      </c>
      <c r="N59" s="41">
        <v>70.0</v>
      </c>
      <c r="O59" s="37">
        <v>170.0</v>
      </c>
      <c r="P59" s="39">
        <v>-75.0</v>
      </c>
      <c r="Q59" s="64"/>
      <c r="R59" s="64"/>
      <c r="S59" s="64"/>
      <c r="T59" s="64"/>
      <c r="U59" s="64"/>
      <c r="V59" s="64"/>
      <c r="W59" s="64">
        <v>-25.0</v>
      </c>
      <c r="X59" s="64"/>
      <c r="Y59" s="64"/>
      <c r="Z59" s="86">
        <v>35.0</v>
      </c>
      <c r="AA59" s="64">
        <v>-25.0</v>
      </c>
      <c r="AB59" s="41">
        <v>25.0</v>
      </c>
      <c r="AC59" s="37">
        <v>100.0</v>
      </c>
      <c r="AD59" s="41">
        <v>35.0</v>
      </c>
      <c r="AE59" s="37">
        <v>25.0</v>
      </c>
      <c r="AG59" s="37">
        <v>25.0</v>
      </c>
      <c r="AI59" s="37">
        <v>-25.0</v>
      </c>
      <c r="AJ59" s="39">
        <v>0.0</v>
      </c>
      <c r="AK59" s="41">
        <v>50.0</v>
      </c>
      <c r="AL59" s="39">
        <v>0.0</v>
      </c>
      <c r="AM59" s="41">
        <v>25.0</v>
      </c>
      <c r="AN59" s="39">
        <v>0.0</v>
      </c>
      <c r="AO59" s="39">
        <v>0.0</v>
      </c>
      <c r="AP59" s="39">
        <v>0.0</v>
      </c>
      <c r="AQ59" s="39">
        <v>75.0</v>
      </c>
      <c r="AR59" s="39">
        <v>25.0</v>
      </c>
      <c r="AS59" s="39">
        <v>-25.0</v>
      </c>
      <c r="AT59" s="39">
        <v>-25.0</v>
      </c>
      <c r="AU59" s="39">
        <v>-25.0</v>
      </c>
      <c r="AV59" s="39">
        <v>-25.0</v>
      </c>
      <c r="AW59" s="39">
        <v>0.0</v>
      </c>
      <c r="AX59" s="39">
        <v>0.0</v>
      </c>
      <c r="AY59" s="39">
        <v>0.0</v>
      </c>
      <c r="AZ59" s="39">
        <v>0.0</v>
      </c>
      <c r="BG59" s="37" t="str">
        <f t="array" ref="BG59">IF($A59="","", INDEX(CS!$B$1:$B$15025,MATCH($A59,CS!$B:$B,0)+COLUMN(A$1),1))</f>
        <v>屍肉の爪</v>
      </c>
      <c r="BH59" s="37" t="str">
        <f t="array" ref="BH59">IF($A59="","", INDEX(CS!$B$1:$B$15025,MATCH($A59,CS!$B:$B,0)+COLUMN(B$1),1))</f>
        <v/>
      </c>
      <c r="BI59" s="37" t="str">
        <f t="array" ref="BI59">IF($A59="","", INDEX(CS!$B$1:$B$15025,MATCH($A59,CS!$B:$B,0)+COLUMN(C$1),1))</f>
        <v>屍肉喰らい</v>
      </c>
      <c r="BJ59" s="37" t="str">
        <f t="array" ref="BJ59">IF($A59="","", INDEX(CS!$B$1:$B$15025,MATCH($A59,CS!$B:$B,0)+COLUMN(D$1),1))</f>
        <v/>
      </c>
      <c r="BK59" s="37" t="str">
        <f t="array" ref="BK59">IF($A59="","", INDEX(CS!$B$1:$B$15025,MATCH($A59,CS!$B:$B,0)+COLUMN(E$1),1))</f>
        <v>腐毒爪</v>
      </c>
      <c r="BL59" s="37" t="str">
        <f t="array" ref="BL59">IF($A59="","", INDEX(CS!$B$1:$B$15025,MATCH($A59,CS!$B:$B,0)+COLUMN(F$1),1))</f>
        <v/>
      </c>
      <c r="BM59" s="37" t="str">
        <f t="array" ref="BM59">IF($A59="","", INDEX(CS!$B$1:$B$15025,MATCH($A59,CS!$B:$B,0)+COLUMN(G$1),1))</f>
        <v>飢餓の嗅覚</v>
      </c>
      <c r="BN59" s="37" t="str">
        <f t="array" ref="BN59">IF($A59="","", INDEX(CS!$B$1:$B$15025,MATCH($A59,CS!$B:$B,0)+COLUMN(H$1),1))</f>
        <v/>
      </c>
      <c r="BO59" s="37" t="str">
        <f t="array" ref="BO59">IF($A59="","", INDEX(CS!$B$1:$B$15025,MATCH($A59,CS!$B:$B,0)+COLUMN(I$1),1))</f>
        <v>四足疾走</v>
      </c>
      <c r="BP59" s="37" t="str">
        <f t="array" ref="BP59">IF($A59="","", INDEX(CS!$B$1:$B$15025,MATCH($A59,CS!$B:$B,0)+COLUMN(J$1),1))</f>
        <v>飢餓の狂乱</v>
      </c>
      <c r="BR59" s="39" t="s">
        <v>2736</v>
      </c>
      <c r="BS59" s="74"/>
      <c r="BU59" s="39" t="s">
        <v>2737</v>
      </c>
      <c r="CQ59" s="37"/>
      <c r="CR59" s="37"/>
    </row>
    <row r="60" ht="18.75" customHeight="1" outlineLevel="1">
      <c r="A60" s="41" t="s">
        <v>2546</v>
      </c>
      <c r="B60" s="71"/>
      <c r="C60" s="39" t="s">
        <v>2686</v>
      </c>
      <c r="D60" s="72" t="str">
        <f t="shared" si="1"/>
        <v>685/560/125</v>
      </c>
      <c r="E60" s="41">
        <v>3.0</v>
      </c>
      <c r="F60" s="39">
        <v>105.0</v>
      </c>
      <c r="I60" s="41">
        <v>110.0</v>
      </c>
      <c r="J60" s="41">
        <v>50.0</v>
      </c>
      <c r="K60" s="76">
        <v>50.0</v>
      </c>
      <c r="L60" s="41">
        <v>55.0</v>
      </c>
      <c r="M60" s="41">
        <v>110.0</v>
      </c>
      <c r="N60" s="41">
        <v>80.0</v>
      </c>
      <c r="O60" s="37">
        <v>170.0</v>
      </c>
      <c r="P60" s="39">
        <v>-75.0</v>
      </c>
      <c r="Q60" s="64"/>
      <c r="R60" s="64"/>
      <c r="S60" s="64"/>
      <c r="T60" s="64"/>
      <c r="U60" s="64"/>
      <c r="V60" s="64"/>
      <c r="W60" s="64">
        <v>-25.0</v>
      </c>
      <c r="X60" s="64"/>
      <c r="Y60" s="64"/>
      <c r="Z60" s="86">
        <v>35.0</v>
      </c>
      <c r="AA60" s="64">
        <v>-25.0</v>
      </c>
      <c r="AB60" s="41">
        <v>25.0</v>
      </c>
      <c r="AC60" s="37">
        <v>100.0</v>
      </c>
      <c r="AD60" s="41">
        <v>35.0</v>
      </c>
      <c r="AE60" s="37">
        <v>25.0</v>
      </c>
      <c r="AG60" s="37">
        <v>25.0</v>
      </c>
      <c r="AI60" s="37">
        <v>-25.0</v>
      </c>
      <c r="AJ60" s="39">
        <v>0.0</v>
      </c>
      <c r="AK60" s="41">
        <v>50.0</v>
      </c>
      <c r="AL60" s="39">
        <v>0.0</v>
      </c>
      <c r="AM60" s="41">
        <v>50.0</v>
      </c>
      <c r="AN60" s="39">
        <v>0.0</v>
      </c>
      <c r="AO60" s="39">
        <v>0.0</v>
      </c>
      <c r="AP60" s="39">
        <v>0.0</v>
      </c>
      <c r="AQ60" s="39">
        <v>75.0</v>
      </c>
      <c r="AR60" s="39">
        <v>50.0</v>
      </c>
      <c r="AS60" s="39">
        <v>-25.0</v>
      </c>
      <c r="AT60" s="39">
        <v>-25.0</v>
      </c>
      <c r="AU60" s="39">
        <v>-25.0</v>
      </c>
      <c r="AV60" s="39">
        <v>-25.0</v>
      </c>
      <c r="AW60" s="39">
        <v>0.0</v>
      </c>
      <c r="AX60" s="39">
        <v>0.0</v>
      </c>
      <c r="AY60" s="39">
        <v>0.0</v>
      </c>
      <c r="AZ60" s="39">
        <v>0.0</v>
      </c>
      <c r="BG60" s="37" t="str">
        <f t="array" ref="BG60">IF($A60="","", INDEX(CS!$B$1:$B$15025,MATCH($A60,CS!$B:$B,0)+COLUMN(A$1),1))</f>
        <v>腐臭</v>
      </c>
      <c r="BH60" s="37" t="str">
        <f t="array" ref="BH60">IF($A60="","", INDEX(CS!$B$1:$B$15025,MATCH($A60,CS!$B:$B,0)+COLUMN(B$1),1))</f>
        <v/>
      </c>
      <c r="BI60" s="37" t="str">
        <f t="array" ref="BI60">IF($A60="","", INDEX(CS!$B$1:$B$15025,MATCH($A60,CS!$B:$B,0)+COLUMN(C$1),1))</f>
        <v>壊死爪</v>
      </c>
      <c r="BJ60" s="37" t="str">
        <f t="array" ref="BJ60">IF($A60="","", INDEX(CS!$B$1:$B$15025,MATCH($A60,CS!$B:$B,0)+COLUMN(D$1),1))</f>
        <v/>
      </c>
      <c r="BK60" s="37" t="str">
        <f t="array" ref="BK60">IF($A60="","", INDEX(CS!$B$1:$B$15025,MATCH($A60,CS!$B:$B,0)+COLUMN(E$1),1))</f>
        <v>死肉再生</v>
      </c>
      <c r="BL60" s="37" t="str">
        <f t="array" ref="BL60">IF($A60="","", INDEX(CS!$B$1:$B$15025,MATCH($A60,CS!$B:$B,0)+COLUMN(F$1),1))</f>
        <v/>
      </c>
      <c r="BM60" s="37" t="str">
        <f t="array" ref="BM60">IF($A60="","", INDEX(CS!$B$1:$B$15025,MATCH($A60,CS!$B:$B,0)+COLUMN(G$1),1))</f>
        <v>飢餓感知</v>
      </c>
      <c r="BN60" s="37" t="str">
        <f t="array" ref="BN60">IF($A60="","", INDEX(CS!$B$1:$B$15025,MATCH($A60,CS!$B:$B,0)+COLUMN(H$1),1))</f>
        <v/>
      </c>
      <c r="BO60" s="37" t="str">
        <f t="array" ref="BO60">IF($A60="","", INDEX(CS!$B$1:$B$15025,MATCH($A60,CS!$B:$B,0)+COLUMN(I$1),1))</f>
        <v>四足猛襲</v>
      </c>
      <c r="BP60" s="37" t="str">
        <f t="array" ref="BP60">IF($A60="","", INDEX(CS!$B$1:$B$15025,MATCH($A60,CS!$B:$B,0)+COLUMN(J$1),1))</f>
        <v>腐乱の狂宴</v>
      </c>
      <c r="BR60" s="39" t="s">
        <v>2738</v>
      </c>
      <c r="BS60" s="74"/>
      <c r="BU60" s="39" t="s">
        <v>2739</v>
      </c>
      <c r="CQ60" s="37"/>
      <c r="CR60" s="37"/>
    </row>
    <row r="61" ht="18.75" customHeight="1" outlineLevel="1">
      <c r="B61" s="71"/>
      <c r="C61" s="39" t="s">
        <v>2686</v>
      </c>
      <c r="D61" s="72" t="str">
        <f t="shared" si="1"/>
        <v>0/0/0</v>
      </c>
      <c r="K61" s="73"/>
      <c r="P61" s="39"/>
      <c r="Q61" s="64"/>
      <c r="R61" s="64"/>
      <c r="S61" s="64"/>
      <c r="T61" s="64"/>
      <c r="U61" s="64"/>
      <c r="V61" s="64"/>
      <c r="W61" s="64"/>
      <c r="X61" s="64"/>
      <c r="Y61" s="64"/>
      <c r="Z61" s="64"/>
      <c r="AA61" s="64"/>
      <c r="BG61" s="37" t="str">
        <f t="array" ref="BG61">IF($A61="","", INDEX(CS!$B$1:$B$15025,MATCH($A61,CS!$B:$B,0)+COLUMN(A$1),1))</f>
        <v/>
      </c>
      <c r="BH61" s="37" t="str">
        <f t="array" ref="BH61">IF($A61="","", INDEX(CS!$B$1:$B$15025,MATCH($A61,CS!$B:$B,0)+COLUMN(B$1),1))</f>
        <v/>
      </c>
      <c r="BI61" s="37" t="str">
        <f t="array" ref="BI61">IF($A61="","", INDEX(CS!$B$1:$B$15025,MATCH($A61,CS!$B:$B,0)+COLUMN(C$1),1))</f>
        <v/>
      </c>
      <c r="BJ61" s="37" t="str">
        <f t="array" ref="BJ61">IF($A61="","", INDEX(CS!$B$1:$B$15025,MATCH($A61,CS!$B:$B,0)+COLUMN(D$1),1))</f>
        <v/>
      </c>
      <c r="BK61" s="37" t="str">
        <f t="array" ref="BK61">IF($A61="","", INDEX(CS!$B$1:$B$15025,MATCH($A61,CS!$B:$B,0)+COLUMN(E$1),1))</f>
        <v/>
      </c>
      <c r="BL61" s="37" t="str">
        <f t="array" ref="BL61">IF($A61="","", INDEX(CS!$B$1:$B$15025,MATCH($A61,CS!$B:$B,0)+COLUMN(F$1),1))</f>
        <v/>
      </c>
      <c r="BM61" s="37" t="str">
        <f t="array" ref="BM61">IF($A61="","", INDEX(CS!$B$1:$B$15025,MATCH($A61,CS!$B:$B,0)+COLUMN(G$1),1))</f>
        <v/>
      </c>
      <c r="BN61" s="37" t="str">
        <f t="array" ref="BN61">IF($A61="","", INDEX(CS!$B$1:$B$15025,MATCH($A61,CS!$B:$B,0)+COLUMN(H$1),1))</f>
        <v/>
      </c>
      <c r="BO61" s="37" t="str">
        <f t="array" ref="BO61">IF($A61="","", INDEX(CS!$B$1:$B$15025,MATCH($A61,CS!$B:$B,0)+COLUMN(I$1),1))</f>
        <v/>
      </c>
      <c r="BP61" s="37" t="str">
        <f t="array" ref="BP61">IF($A61="","", INDEX(CS!$B$1:$B$15025,MATCH($A61,CS!$B:$B,0)+COLUMN(J$1),1))</f>
        <v/>
      </c>
      <c r="BR61" s="39" t="s">
        <v>2736</v>
      </c>
      <c r="BS61" s="74"/>
      <c r="BU61" s="39" t="s">
        <v>2737</v>
      </c>
      <c r="CQ61" s="37"/>
      <c r="CR61" s="37"/>
    </row>
    <row r="62" ht="18.75" customHeight="1" outlineLevel="1">
      <c r="A62" s="39" t="s">
        <v>1370</v>
      </c>
      <c r="B62" s="71"/>
      <c r="C62" s="39" t="s">
        <v>2686</v>
      </c>
      <c r="D62" s="72" t="str">
        <f t="shared" si="1"/>
        <v>530/530/0</v>
      </c>
      <c r="E62" s="39">
        <v>2.0</v>
      </c>
      <c r="F62" s="41">
        <v>70.0</v>
      </c>
      <c r="I62" s="37">
        <v>65.0</v>
      </c>
      <c r="J62" s="41">
        <v>60.0</v>
      </c>
      <c r="K62" s="73">
        <v>90.0</v>
      </c>
      <c r="L62" s="37">
        <v>90.0</v>
      </c>
      <c r="M62" s="37">
        <v>90.0</v>
      </c>
      <c r="N62" s="37">
        <v>65.0</v>
      </c>
      <c r="O62" s="37">
        <v>170.0</v>
      </c>
      <c r="P62" s="39">
        <v>-75.0</v>
      </c>
      <c r="Q62" s="64">
        <v>25.0</v>
      </c>
      <c r="R62" s="64"/>
      <c r="S62" s="64"/>
      <c r="T62" s="64"/>
      <c r="U62" s="64"/>
      <c r="V62" s="64"/>
      <c r="W62" s="64"/>
      <c r="X62" s="64"/>
      <c r="Y62" s="64"/>
      <c r="Z62" s="64"/>
      <c r="AA62" s="64"/>
      <c r="AJ62" s="39">
        <v>0.0</v>
      </c>
      <c r="AK62" s="39">
        <v>50.0</v>
      </c>
      <c r="AL62" s="39">
        <v>0.0</v>
      </c>
      <c r="AM62" s="39">
        <v>0.0</v>
      </c>
      <c r="AN62" s="39">
        <v>0.0</v>
      </c>
      <c r="AO62" s="39">
        <v>0.0</v>
      </c>
      <c r="AP62" s="39">
        <v>0.0</v>
      </c>
      <c r="AQ62" s="39">
        <v>0.0</v>
      </c>
      <c r="AR62" s="39">
        <v>0.0</v>
      </c>
      <c r="AS62" s="39">
        <v>-25.0</v>
      </c>
      <c r="AT62" s="39">
        <v>-25.0</v>
      </c>
      <c r="AU62" s="39">
        <v>-25.0</v>
      </c>
      <c r="AV62" s="39">
        <v>-25.0</v>
      </c>
      <c r="AW62" s="39">
        <v>0.0</v>
      </c>
      <c r="AX62" s="39">
        <v>0.0</v>
      </c>
      <c r="AY62" s="39">
        <v>50.0</v>
      </c>
      <c r="AZ62" s="39">
        <v>0.0</v>
      </c>
      <c r="BG62" s="37" t="str">
        <f t="array" ref="BG62">IF($A62="","", INDEX(CS!$B$1:$B$15025,MATCH($A62,CS!$B:$B,0)+COLUMN(A$1),1))</f>
        <v>冷気の手</v>
      </c>
      <c r="BH62" s="37" t="str">
        <f t="array" ref="BH62">IF($A62="","", INDEX(CS!$B$1:$B$15025,MATCH($A62,CS!$B:$B,0)+COLUMN(B$1),1))</f>
        <v/>
      </c>
      <c r="BI62" s="37" t="str">
        <f t="array" ref="BI62">IF($A62="","", INDEX(CS!$B$1:$B$15025,MATCH($A62,CS!$B:$B,0)+COLUMN(C$1),1))</f>
        <v>生命力吸収</v>
      </c>
      <c r="BJ62" s="37" t="str">
        <f t="array" ref="BJ62">IF($A62="","", INDEX(CS!$B$1:$B$15025,MATCH($A62,CS!$B:$B,0)+COLUMN(D$1),1))</f>
        <v/>
      </c>
      <c r="BK62" s="37" t="str">
        <f t="array" ref="BK62">IF($A62="","", INDEX(CS!$B$1:$B$15025,MATCH($A62,CS!$B:$B,0)+COLUMN(E$1),1))</f>
        <v>死者の威圧</v>
      </c>
      <c r="BL62" s="37" t="str">
        <f t="array" ref="BL62">IF($A62="","", INDEX(CS!$B$1:$B$15025,MATCH($A62,CS!$B:$B,0)+COLUMN(F$1),1))</f>
        <v/>
      </c>
      <c r="BM62" s="37" t="str">
        <f t="array" ref="BM62">IF($A62="","", INDEX(CS!$B$1:$B$15025,MATCH($A62,CS!$B:$B,0)+COLUMN(G$1),1))</f>
        <v>冷気纏い</v>
      </c>
      <c r="BN62" s="37" t="str">
        <f t="array" ref="BN62">IF($A62="","", INDEX(CS!$B$1:$B$15025,MATCH($A62,CS!$B:$B,0)+COLUMN(H$1),1))</f>
        <v/>
      </c>
      <c r="BO62" s="37" t="str">
        <f t="array" ref="BO62">IF($A62="","", INDEX(CS!$B$1:$B$15025,MATCH($A62,CS!$B:$B,0)+COLUMN(I$1),1))</f>
        <v>不浄の刃</v>
      </c>
      <c r="BP62" s="37" t="str">
        <f t="array" ref="BP62">IF($A62="","", INDEX(CS!$B$1:$B$15025,MATCH($A62,CS!$B:$B,0)+COLUMN(J$1),1))</f>
        <v>死者の号令</v>
      </c>
      <c r="BR62" s="39" t="s">
        <v>2736</v>
      </c>
      <c r="BS62" s="74"/>
      <c r="BU62" s="39" t="s">
        <v>2737</v>
      </c>
      <c r="CQ62" s="37"/>
      <c r="CR62" s="37"/>
    </row>
    <row r="63" ht="18.75" customHeight="1" outlineLevel="1">
      <c r="A63" s="39" t="s">
        <v>1435</v>
      </c>
      <c r="B63" s="71"/>
      <c r="C63" s="39" t="s">
        <v>2686</v>
      </c>
      <c r="D63" s="72" t="str">
        <f t="shared" si="1"/>
        <v>545/545/0</v>
      </c>
      <c r="E63" s="41">
        <v>3.0</v>
      </c>
      <c r="F63" s="41">
        <v>70.0</v>
      </c>
      <c r="I63" s="41">
        <v>65.0</v>
      </c>
      <c r="J63" s="41">
        <v>70.0</v>
      </c>
      <c r="K63" s="73">
        <v>90.0</v>
      </c>
      <c r="L63" s="37">
        <v>90.0</v>
      </c>
      <c r="M63" s="37">
        <v>90.0</v>
      </c>
      <c r="N63" s="41">
        <v>70.0</v>
      </c>
      <c r="O63" s="37">
        <v>170.0</v>
      </c>
      <c r="P63" s="39">
        <v>-100.0</v>
      </c>
      <c r="Q63" s="64">
        <v>25.0</v>
      </c>
      <c r="R63" s="64"/>
      <c r="S63" s="64"/>
      <c r="T63" s="64"/>
      <c r="U63" s="64"/>
      <c r="V63" s="64"/>
      <c r="W63" s="64"/>
      <c r="X63" s="64"/>
      <c r="Y63" s="64"/>
      <c r="Z63" s="64"/>
      <c r="AA63" s="64"/>
      <c r="AJ63" s="39">
        <v>0.0</v>
      </c>
      <c r="AK63" s="39">
        <v>0.0</v>
      </c>
      <c r="AL63" s="39">
        <v>75.0</v>
      </c>
      <c r="AM63" s="39">
        <v>0.0</v>
      </c>
      <c r="AN63" s="39">
        <v>25.0</v>
      </c>
      <c r="AO63" s="39">
        <v>0.0</v>
      </c>
      <c r="AP63" s="39">
        <v>0.0</v>
      </c>
      <c r="AQ63" s="39">
        <v>0.0</v>
      </c>
      <c r="AR63" s="39">
        <v>0.0</v>
      </c>
      <c r="AS63" s="39">
        <v>-25.0</v>
      </c>
      <c r="AT63" s="39">
        <v>-25.0</v>
      </c>
      <c r="AU63" s="39">
        <v>-25.0</v>
      </c>
      <c r="AV63" s="39">
        <v>-25.0</v>
      </c>
      <c r="AW63" s="39">
        <v>25.0</v>
      </c>
      <c r="AX63" s="39">
        <v>0.0</v>
      </c>
      <c r="AY63" s="39">
        <v>75.0</v>
      </c>
      <c r="AZ63" s="39">
        <v>-100.0</v>
      </c>
      <c r="BG63" s="37" t="str">
        <f t="array" ref="BG63">IF($A63="","", INDEX(CS!$B$1:$B$15025,MATCH($A63,CS!$B:$B,0)+COLUMN(A$1),1))</f>
        <v>死霊魔力</v>
      </c>
      <c r="BH63" s="37" t="str">
        <f t="array" ref="BH63">IF($A63="","", INDEX(CS!$B$1:$B$15025,MATCH($A63,CS!$B:$B,0)+COLUMN(B$1),1))</f>
        <v/>
      </c>
      <c r="BI63" s="37" t="str">
        <f t="array" ref="BI63">IF($A63="","", INDEX(CS!$B$1:$B$15025,MATCH($A63,CS!$B:$B,0)+COLUMN(C$1),1))</f>
        <v>骨魂障壁</v>
      </c>
      <c r="BJ63" s="37" t="str">
        <f t="array" ref="BJ63">IF($A63="","", INDEX(CS!$B$1:$B$15025,MATCH($A63,CS!$B:$B,0)+COLUMN(D$1),1))</f>
        <v/>
      </c>
      <c r="BK63" s="37" t="str">
        <f t="array" ref="BK63">IF($A63="","", INDEX(CS!$B$1:$B$15025,MATCH($A63,CS!$B:$B,0)+COLUMN(E$1),1))</f>
        <v>魂吸収</v>
      </c>
      <c r="BL63" s="37" t="str">
        <f t="array" ref="BL63">IF($A63="","", INDEX(CS!$B$1:$B$15025,MATCH($A63,CS!$B:$B,0)+COLUMN(F$1),1))</f>
        <v/>
      </c>
      <c r="BM63" s="37" t="str">
        <f t="array" ref="BM63">IF($A63="","", INDEX(CS!$B$1:$B$15025,MATCH($A63,CS!$B:$B,0)+COLUMN(G$1),1))</f>
        <v>死霊術師</v>
      </c>
      <c r="BN63" s="37" t="str">
        <f t="array" ref="BN63">IF($A63="","", INDEX(CS!$B$1:$B$15025,MATCH($A63,CS!$B:$B,0)+COLUMN(H$1),1))</f>
        <v/>
      </c>
      <c r="BO63" s="37" t="str">
        <f t="array" ref="BO63">IF($A63="","", INDEX(CS!$B$1:$B$15025,MATCH($A63,CS!$B:$B,0)+COLUMN(I$1),1))</f>
        <v>骸骨召喚</v>
      </c>
      <c r="BP63" s="37" t="str">
        <f t="array" ref="BP63">IF($A63="","", INDEX(CS!$B$1:$B$15025,MATCH($A63,CS!$B:$B,0)+COLUMN(J$1),1))</f>
        <v>不死の魔導核</v>
      </c>
      <c r="BR63" s="39" t="s">
        <v>2740</v>
      </c>
      <c r="BS63" s="74"/>
      <c r="BU63" s="39" t="s">
        <v>2741</v>
      </c>
      <c r="CQ63" s="37"/>
      <c r="CR63" s="37"/>
    </row>
    <row r="64" ht="18.75" customHeight="1" outlineLevel="1">
      <c r="A64" s="39" t="s">
        <v>1383</v>
      </c>
      <c r="B64" s="71"/>
      <c r="C64" s="39" t="s">
        <v>2686</v>
      </c>
      <c r="D64" s="72" t="str">
        <f t="shared" si="1"/>
        <v>580/505/75</v>
      </c>
      <c r="E64" s="39">
        <v>2.0</v>
      </c>
      <c r="F64" s="37">
        <v>110.0</v>
      </c>
      <c r="I64" s="37">
        <v>110.0</v>
      </c>
      <c r="J64" s="41">
        <v>60.0</v>
      </c>
      <c r="K64" s="73">
        <v>50.0</v>
      </c>
      <c r="L64" s="41">
        <v>60.0</v>
      </c>
      <c r="M64" s="41">
        <v>50.0</v>
      </c>
      <c r="N64" s="41">
        <v>65.0</v>
      </c>
      <c r="O64" s="37">
        <v>170.0</v>
      </c>
      <c r="P64" s="39">
        <v>-50.0</v>
      </c>
      <c r="Q64" s="64"/>
      <c r="R64" s="64"/>
      <c r="S64" s="64"/>
      <c r="T64" s="64"/>
      <c r="U64" s="64"/>
      <c r="V64" s="64"/>
      <c r="W64" s="64">
        <v>-25.0</v>
      </c>
      <c r="X64" s="64"/>
      <c r="Y64" s="64"/>
      <c r="Z64" s="86">
        <v>35.0</v>
      </c>
      <c r="AA64" s="64">
        <v>-25.0</v>
      </c>
      <c r="AB64" s="41">
        <v>25.0</v>
      </c>
      <c r="AC64" s="37">
        <v>100.0</v>
      </c>
      <c r="AD64" s="41">
        <v>35.0</v>
      </c>
      <c r="AE64" s="37">
        <v>25.0</v>
      </c>
      <c r="AG64" s="37">
        <v>25.0</v>
      </c>
      <c r="AI64" s="37">
        <v>-25.0</v>
      </c>
      <c r="AJ64" s="39">
        <v>0.0</v>
      </c>
      <c r="AK64" s="41">
        <v>50.0</v>
      </c>
      <c r="AL64" s="39">
        <v>0.0</v>
      </c>
      <c r="AM64" s="41">
        <v>25.0</v>
      </c>
      <c r="AN64" s="39">
        <v>0.0</v>
      </c>
      <c r="AO64" s="39">
        <v>0.0</v>
      </c>
      <c r="AP64" s="39">
        <v>0.0</v>
      </c>
      <c r="AQ64" s="39">
        <v>50.0</v>
      </c>
      <c r="AR64" s="39">
        <v>25.0</v>
      </c>
      <c r="AS64" s="39">
        <v>-25.0</v>
      </c>
      <c r="AT64" s="39">
        <v>-25.0</v>
      </c>
      <c r="AU64" s="39">
        <v>-25.0</v>
      </c>
      <c r="AV64" s="39">
        <v>-25.0</v>
      </c>
      <c r="AW64" s="39">
        <v>25.0</v>
      </c>
      <c r="AX64" s="39">
        <v>0.0</v>
      </c>
      <c r="AY64" s="39">
        <v>0.0</v>
      </c>
      <c r="AZ64" s="39">
        <v>0.0</v>
      </c>
      <c r="BG64" s="37" t="str">
        <f t="array" ref="BG64">IF($A64="","", INDEX(CS!$B$1:$B$15025,MATCH($A64,CS!$B:$B,0)+COLUMN(A$1),1))</f>
        <v>執念打撃</v>
      </c>
      <c r="BH64" s="37" t="str">
        <f t="array" ref="BH64">IF($A64="","", INDEX(CS!$B$1:$B$15025,MATCH($A64,CS!$B:$B,0)+COLUMN(B$1),1))</f>
        <v/>
      </c>
      <c r="BI64" s="37" t="str">
        <f t="array" ref="BI64">IF($A64="","", INDEX(CS!$B$1:$B$15025,MATCH($A64,CS!$B:$B,0)+COLUMN(C$1),1))</f>
        <v>復讐の執念</v>
      </c>
      <c r="BJ64" s="37" t="str">
        <f t="array" ref="BJ64">IF($A64="","", INDEX(CS!$B$1:$B$15025,MATCH($A64,CS!$B:$B,0)+COLUMN(D$1),1))</f>
        <v/>
      </c>
      <c r="BK64" s="37" t="str">
        <f t="array" ref="BK64">IF($A64="","", INDEX(CS!$B$1:$B$15025,MATCH($A64,CS!$B:$B,0)+COLUMN(E$1),1))</f>
        <v>死なずの肉体</v>
      </c>
      <c r="BL64" s="37" t="str">
        <f t="array" ref="BL64">IF($A64="","", INDEX(CS!$B$1:$B$15025,MATCH($A64,CS!$B:$B,0)+COLUMN(F$1),1))</f>
        <v/>
      </c>
      <c r="BM64" s="37" t="str">
        <f t="array" ref="BM64">IF($A64="","", INDEX(CS!$B$1:$B$15025,MATCH($A64,CS!$B:$B,0)+COLUMN(G$1),1))</f>
        <v>執念の追跡</v>
      </c>
      <c r="BN64" s="37" t="str">
        <f t="array" ref="BN64">IF($A64="","", INDEX(CS!$B$1:$B$15025,MATCH($A64,CS!$B:$B,0)+COLUMN(H$1),1))</f>
        <v/>
      </c>
      <c r="BO64" s="37" t="str">
        <f t="array" ref="BO64">IF($A64="","", INDEX(CS!$B$1:$B$15025,MATCH($A64,CS!$B:$B,0)+COLUMN(I$1),1))</f>
        <v>復讐の一撃</v>
      </c>
      <c r="BP64" s="37" t="str">
        <f t="array" ref="BP64">IF($A64="","", INDEX(CS!$B$1:$B$15025,MATCH($A64,CS!$B:$B,0)+COLUMN(J$1),1))</f>
        <v>黄泉返り</v>
      </c>
      <c r="BR64" s="39" t="s">
        <v>2736</v>
      </c>
      <c r="BS64" s="74"/>
      <c r="BU64" s="39" t="s">
        <v>2737</v>
      </c>
      <c r="CQ64" s="37"/>
      <c r="CR64" s="37"/>
    </row>
    <row r="65" ht="18.75" customHeight="1" outlineLevel="1">
      <c r="A65" s="41" t="s">
        <v>2742</v>
      </c>
      <c r="B65" s="71"/>
      <c r="C65" s="37" t="s">
        <v>2686</v>
      </c>
      <c r="D65" s="72" t="str">
        <f t="shared" si="1"/>
        <v>635/560/75</v>
      </c>
      <c r="E65" s="41">
        <v>3.0</v>
      </c>
      <c r="F65" s="41">
        <v>115.0</v>
      </c>
      <c r="I65" s="37">
        <v>110.0</v>
      </c>
      <c r="J65" s="41">
        <v>65.0</v>
      </c>
      <c r="K65" s="73">
        <v>50.0</v>
      </c>
      <c r="L65" s="41">
        <v>75.0</v>
      </c>
      <c r="M65" s="41">
        <v>75.0</v>
      </c>
      <c r="N65" s="41">
        <v>70.0</v>
      </c>
      <c r="O65" s="37">
        <v>170.0</v>
      </c>
      <c r="P65" s="39">
        <v>-75.0</v>
      </c>
      <c r="Q65" s="64"/>
      <c r="R65" s="64"/>
      <c r="S65" s="64"/>
      <c r="T65" s="64"/>
      <c r="U65" s="64"/>
      <c r="V65" s="64"/>
      <c r="W65" s="64">
        <v>-25.0</v>
      </c>
      <c r="X65" s="64"/>
      <c r="Y65" s="64"/>
      <c r="Z65" s="86">
        <v>35.0</v>
      </c>
      <c r="AA65" s="64">
        <v>-25.0</v>
      </c>
      <c r="AB65" s="41">
        <v>25.0</v>
      </c>
      <c r="AC65" s="37">
        <v>100.0</v>
      </c>
      <c r="AD65" s="41">
        <v>35.0</v>
      </c>
      <c r="AE65" s="37">
        <v>25.0</v>
      </c>
      <c r="AG65" s="37">
        <v>25.0</v>
      </c>
      <c r="AI65" s="37">
        <v>-25.0</v>
      </c>
      <c r="AJ65" s="39">
        <v>0.0</v>
      </c>
      <c r="AK65" s="41">
        <v>75.0</v>
      </c>
      <c r="AL65" s="39">
        <v>0.0</v>
      </c>
      <c r="AM65" s="41">
        <v>0.0</v>
      </c>
      <c r="AN65" s="39">
        <v>0.0</v>
      </c>
      <c r="AO65" s="39">
        <v>0.0</v>
      </c>
      <c r="AP65" s="39">
        <v>0.0</v>
      </c>
      <c r="AQ65" s="39">
        <v>75.0</v>
      </c>
      <c r="AR65" s="39">
        <v>25.0</v>
      </c>
      <c r="AS65" s="39">
        <v>-25.0</v>
      </c>
      <c r="AT65" s="39">
        <v>-25.0</v>
      </c>
      <c r="AU65" s="39">
        <v>-25.0</v>
      </c>
      <c r="AV65" s="39">
        <v>-25.0</v>
      </c>
      <c r="AW65" s="39">
        <v>0.0</v>
      </c>
      <c r="AX65" s="39">
        <v>0.0</v>
      </c>
      <c r="AY65" s="39">
        <v>0.0</v>
      </c>
      <c r="AZ65" s="39">
        <v>0.0</v>
      </c>
      <c r="BG65" s="37" t="str">
        <f t="array" ref="BG65">IF($A65="","", INDEX(CS!$B$1:$B$15025,MATCH($A65,CS!$B:$B,0)+COLUMN(A$1),1))</f>
        <v>#N/A</v>
      </c>
      <c r="BH65" s="37" t="str">
        <f t="array" ref="BH65">IF($A65="","", INDEX(CS!$B$1:$B$15025,MATCH($A65,CS!$B:$B,0)+COLUMN(B$1),1))</f>
        <v>#N/A</v>
      </c>
      <c r="BI65" s="37" t="str">
        <f t="array" ref="BI65">IF($A65="","", INDEX(CS!$B$1:$B$15025,MATCH($A65,CS!$B:$B,0)+COLUMN(C$1),1))</f>
        <v>#N/A</v>
      </c>
      <c r="BJ65" s="37" t="str">
        <f t="array" ref="BJ65">IF($A65="","", INDEX(CS!$B$1:$B$15025,MATCH($A65,CS!$B:$B,0)+COLUMN(D$1),1))</f>
        <v>#N/A</v>
      </c>
      <c r="BK65" s="37" t="str">
        <f t="array" ref="BK65">IF($A65="","", INDEX(CS!$B$1:$B$15025,MATCH($A65,CS!$B:$B,0)+COLUMN(E$1),1))</f>
        <v>#N/A</v>
      </c>
      <c r="BL65" s="37" t="str">
        <f t="array" ref="BL65">IF($A65="","", INDEX(CS!$B$1:$B$15025,MATCH($A65,CS!$B:$B,0)+COLUMN(F$1),1))</f>
        <v>#N/A</v>
      </c>
      <c r="BM65" s="37" t="str">
        <f t="array" ref="BM65">IF($A65="","", INDEX(CS!$B$1:$B$15025,MATCH($A65,CS!$B:$B,0)+COLUMN(G$1),1))</f>
        <v>#N/A</v>
      </c>
      <c r="BN65" s="37" t="str">
        <f t="array" ref="BN65">IF($A65="","", INDEX(CS!$B$1:$B$15025,MATCH($A65,CS!$B:$B,0)+COLUMN(H$1),1))</f>
        <v>#N/A</v>
      </c>
      <c r="BO65" s="37" t="str">
        <f t="array" ref="BO65">IF($A65="","", INDEX(CS!$B$1:$B$15025,MATCH($A65,CS!$B:$B,0)+COLUMN(I$1),1))</f>
        <v>#N/A</v>
      </c>
      <c r="BP65" s="37" t="str">
        <f t="array" ref="BP65">IF($A65="","", INDEX(CS!$B$1:$B$15025,MATCH($A65,CS!$B:$B,0)+COLUMN(J$1),1))</f>
        <v>#N/A</v>
      </c>
      <c r="BR65" s="41" t="s">
        <v>2743</v>
      </c>
      <c r="BS65" s="74"/>
      <c r="CQ65" s="37"/>
      <c r="CR65" s="37"/>
    </row>
    <row r="66" ht="18.75" customHeight="1" outlineLevel="1">
      <c r="A66" s="39" t="s">
        <v>1396</v>
      </c>
      <c r="B66" s="71"/>
      <c r="C66" s="39" t="s">
        <v>2686</v>
      </c>
      <c r="D66" s="72" t="str">
        <f t="shared" si="1"/>
        <v>530/530/0</v>
      </c>
      <c r="E66" s="39">
        <v>2.0</v>
      </c>
      <c r="F66" s="39">
        <v>65.0</v>
      </c>
      <c r="I66" s="39">
        <v>65.0</v>
      </c>
      <c r="J66" s="39">
        <v>45.0</v>
      </c>
      <c r="K66" s="87">
        <v>95.0</v>
      </c>
      <c r="L66" s="39">
        <v>95.0</v>
      </c>
      <c r="M66" s="39">
        <v>90.0</v>
      </c>
      <c r="N66" s="39">
        <v>75.0</v>
      </c>
      <c r="O66" s="39">
        <v>170.0</v>
      </c>
      <c r="P66" s="39">
        <v>-75.0</v>
      </c>
      <c r="Q66" s="64"/>
      <c r="R66" s="64"/>
      <c r="S66" s="64"/>
      <c r="T66" s="64"/>
      <c r="U66" s="64"/>
      <c r="V66" s="64"/>
      <c r="W66" s="64"/>
      <c r="X66" s="64"/>
      <c r="Y66" s="64"/>
      <c r="Z66" s="64"/>
      <c r="AA66" s="64"/>
      <c r="AJ66" s="39">
        <v>0.0</v>
      </c>
      <c r="AK66" s="39">
        <v>0.0</v>
      </c>
      <c r="AL66" s="39">
        <v>0.0</v>
      </c>
      <c r="AM66" s="39">
        <v>0.0</v>
      </c>
      <c r="AN66" s="39">
        <v>0.0</v>
      </c>
      <c r="AO66" s="39">
        <v>0.0</v>
      </c>
      <c r="AP66" s="39">
        <v>0.0</v>
      </c>
      <c r="AQ66" s="39">
        <v>50.0</v>
      </c>
      <c r="AR66" s="39">
        <v>0.0</v>
      </c>
      <c r="AS66" s="39">
        <v>-25.0</v>
      </c>
      <c r="AT66" s="39">
        <v>-25.0</v>
      </c>
      <c r="AU66" s="39">
        <v>-25.0</v>
      </c>
      <c r="AV66" s="39">
        <v>-25.0</v>
      </c>
      <c r="AW66" s="39">
        <v>0.0</v>
      </c>
      <c r="AX66" s="39">
        <v>0.0</v>
      </c>
      <c r="AY66" s="39">
        <v>50.0</v>
      </c>
      <c r="AZ66" s="39">
        <v>0.0</v>
      </c>
      <c r="BG66" s="37" t="str">
        <f t="array" ref="BG66">IF($A66="","", INDEX(CS!$B$1:$B$15025,MATCH($A66,CS!$B:$B,0)+COLUMN(A$1),1))</f>
        <v>霊刃</v>
      </c>
      <c r="BH66" s="37" t="str">
        <f t="array" ref="BH66">IF($A66="","", INDEX(CS!$B$1:$B$15025,MATCH($A66,CS!$B:$B,0)+COLUMN(B$1),1))</f>
        <v/>
      </c>
      <c r="BI66" s="37" t="str">
        <f t="array" ref="BI66">IF($A66="","", INDEX(CS!$B$1:$B$15025,MATCH($A66,CS!$B:$B,0)+COLUMN(C$1),1))</f>
        <v>影潜り</v>
      </c>
      <c r="BJ66" s="37" t="str">
        <f t="array" ref="BJ66">IF($A66="","", INDEX(CS!$B$1:$B$15025,MATCH($A66,CS!$B:$B,0)+COLUMN(D$1),1))</f>
        <v/>
      </c>
      <c r="BK66" s="37" t="str">
        <f t="array" ref="BK66">IF($A66="","", INDEX(CS!$B$1:$B$15025,MATCH($A66,CS!$B:$B,0)+COLUMN(E$1),1))</f>
        <v>霊体強化</v>
      </c>
      <c r="BL66" s="37" t="str">
        <f t="array" ref="BL66">IF($A66="","", INDEX(CS!$B$1:$B$15025,MATCH($A66,CS!$B:$B,0)+COLUMN(F$1),1))</f>
        <v/>
      </c>
      <c r="BM66" s="37" t="str">
        <f t="array" ref="BM66">IF($A66="","", INDEX(CS!$B$1:$B$15025,MATCH($A66,CS!$B:$B,0)+COLUMN(G$1),1))</f>
        <v>魂削り</v>
      </c>
      <c r="BN66" s="37" t="str">
        <f t="array" ref="BN66">IF($A66="","", INDEX(CS!$B$1:$B$15025,MATCH($A66,CS!$B:$B,0)+COLUMN(H$1),1))</f>
        <v/>
      </c>
      <c r="BO66" s="37" t="str">
        <f t="array" ref="BO66">IF($A66="","", INDEX(CS!$B$1:$B$15025,MATCH($A66,CS!$B:$B,0)+COLUMN(I$1),1))</f>
        <v>恐慌の気配</v>
      </c>
      <c r="BP66" s="37" t="str">
        <f t="array" ref="BP66">IF($A66="","", INDEX(CS!$B$1:$B$15025,MATCH($A66,CS!$B:$B,0)+COLUMN(J$1),1))</f>
        <v>死の接触</v>
      </c>
      <c r="BR66" s="39" t="s">
        <v>2744</v>
      </c>
      <c r="BS66" s="74"/>
      <c r="BU66" s="39" t="s">
        <v>2745</v>
      </c>
      <c r="CQ66" s="37"/>
      <c r="CR66" s="37"/>
    </row>
    <row r="67" ht="18.75" customHeight="1" outlineLevel="1">
      <c r="A67" s="39" t="s">
        <v>1409</v>
      </c>
      <c r="B67" s="71"/>
      <c r="C67" s="39" t="s">
        <v>2686</v>
      </c>
      <c r="D67" s="72" t="str">
        <f t="shared" si="1"/>
        <v>555/555/0</v>
      </c>
      <c r="E67" s="41">
        <v>3.0</v>
      </c>
      <c r="F67" s="39">
        <v>60.0</v>
      </c>
      <c r="I67" s="39">
        <v>55.0</v>
      </c>
      <c r="J67" s="39">
        <v>40.0</v>
      </c>
      <c r="K67" s="87">
        <v>110.0</v>
      </c>
      <c r="L67" s="39">
        <v>115.0</v>
      </c>
      <c r="M67" s="39">
        <v>100.0</v>
      </c>
      <c r="N67" s="39">
        <v>75.0</v>
      </c>
      <c r="O67" s="39">
        <v>170.0</v>
      </c>
      <c r="P67" s="39">
        <v>-75.0</v>
      </c>
      <c r="Q67" s="64"/>
      <c r="R67" s="64"/>
      <c r="S67" s="64"/>
      <c r="T67" s="64"/>
      <c r="U67" s="64"/>
      <c r="V67" s="64"/>
      <c r="W67" s="64"/>
      <c r="X67" s="64"/>
      <c r="Y67" s="64"/>
      <c r="Z67" s="64"/>
      <c r="AA67" s="64"/>
      <c r="AJ67" s="39">
        <v>0.0</v>
      </c>
      <c r="AK67" s="39">
        <v>50.0</v>
      </c>
      <c r="AL67" s="39">
        <v>0.0</v>
      </c>
      <c r="AM67" s="39">
        <v>0.0</v>
      </c>
      <c r="AN67" s="39">
        <v>0.0</v>
      </c>
      <c r="AO67" s="39">
        <v>0.0</v>
      </c>
      <c r="AP67" s="39">
        <v>0.0</v>
      </c>
      <c r="AQ67" s="39">
        <v>0.0</v>
      </c>
      <c r="AR67" s="39">
        <v>0.0</v>
      </c>
      <c r="AS67" s="39">
        <v>-25.0</v>
      </c>
      <c r="AT67" s="39">
        <v>-25.0</v>
      </c>
      <c r="AU67" s="39">
        <v>-25.0</v>
      </c>
      <c r="AV67" s="39">
        <v>-25.0</v>
      </c>
      <c r="AW67" s="39">
        <v>0.0</v>
      </c>
      <c r="AX67" s="39">
        <v>0.0</v>
      </c>
      <c r="AY67" s="39">
        <v>50.0</v>
      </c>
      <c r="AZ67" s="39">
        <v>0.0</v>
      </c>
      <c r="BG67" s="37" t="str">
        <f t="array" ref="BG67">IF($A67="","", INDEX(CS!$B$1:$B$15025,MATCH($A67,CS!$B:$B,0)+COLUMN(A$1),1))</f>
        <v>嘆きの声</v>
      </c>
      <c r="BH67" s="37" t="str">
        <f t="array" ref="BH67">IF($A67="","", INDEX(CS!$B$1:$B$15025,MATCH($A67,CS!$B:$B,0)+COLUMN(B$1),1))</f>
        <v/>
      </c>
      <c r="BI67" s="37" t="str">
        <f t="array" ref="BI67">IF($A67="","", INDEX(CS!$B$1:$B$15025,MATCH($A67,CS!$B:$B,0)+COLUMN(C$1),1))</f>
        <v>バンシーの絶叫</v>
      </c>
      <c r="BJ67" s="37" t="str">
        <f t="array" ref="BJ67">IF($A67="","", INDEX(CS!$B$1:$B$15025,MATCH($A67,CS!$B:$B,0)+COLUMN(D$1),1))</f>
        <v/>
      </c>
      <c r="BK67" s="37" t="str">
        <f t="array" ref="BK67">IF($A67="","", INDEX(CS!$B$1:$B$15025,MATCH($A67,CS!$B:$B,0)+COLUMN(E$1),1))</f>
        <v>悲嘆の霊体</v>
      </c>
      <c r="BL67" s="37" t="str">
        <f t="array" ref="BL67">IF($A67="","", INDEX(CS!$B$1:$B$15025,MATCH($A67,CS!$B:$B,0)+COLUMN(F$1),1))</f>
        <v/>
      </c>
      <c r="BM67" s="37" t="str">
        <f t="array" ref="BM67">IF($A67="","", INDEX(CS!$B$1:$B$15025,MATCH($A67,CS!$B:$B,0)+COLUMN(G$1),1))</f>
        <v>予兆の泣き声</v>
      </c>
      <c r="BN67" s="37" t="str">
        <f t="array" ref="BN67">IF($A67="","", INDEX(CS!$B$1:$B$15025,MATCH($A67,CS!$B:$B,0)+COLUMN(H$1),1))</f>
        <v/>
      </c>
      <c r="BO67" s="37" t="str">
        <f t="array" ref="BO67">IF($A67="","", INDEX(CS!$B$1:$B$15025,MATCH($A67,CS!$B:$B,0)+COLUMN(I$1),1))</f>
        <v>魂震え</v>
      </c>
      <c r="BP67" s="37" t="str">
        <f t="array" ref="BP67">IF($A67="","", INDEX(CS!$B$1:$B$15025,MATCH($A67,CS!$B:$B,0)+COLUMN(J$1),1))</f>
        <v>死を告げる絶叫</v>
      </c>
      <c r="BR67" s="39" t="s">
        <v>2744</v>
      </c>
      <c r="BS67" s="74"/>
      <c r="BU67" s="39" t="s">
        <v>2745</v>
      </c>
      <c r="CQ67" s="37"/>
      <c r="CR67" s="37"/>
    </row>
    <row r="68" ht="18.75" customHeight="1">
      <c r="A68" s="41" t="s">
        <v>2746</v>
      </c>
      <c r="B68" s="71"/>
      <c r="C68" s="39" t="s">
        <v>2686</v>
      </c>
      <c r="D68" s="72" t="str">
        <f t="shared" si="1"/>
        <v>565/565/0</v>
      </c>
      <c r="E68" s="41">
        <v>3.0</v>
      </c>
      <c r="F68" s="39">
        <v>85.0</v>
      </c>
      <c r="I68" s="39">
        <v>70.0</v>
      </c>
      <c r="J68" s="39">
        <v>50.0</v>
      </c>
      <c r="K68" s="87">
        <v>100.0</v>
      </c>
      <c r="L68" s="39">
        <v>110.0</v>
      </c>
      <c r="M68" s="39">
        <v>80.0</v>
      </c>
      <c r="N68" s="39">
        <v>70.0</v>
      </c>
      <c r="O68" s="39">
        <v>170.0</v>
      </c>
      <c r="P68" s="39">
        <v>-100.0</v>
      </c>
      <c r="Q68" s="64"/>
      <c r="R68" s="64"/>
      <c r="S68" s="64"/>
      <c r="T68" s="64"/>
      <c r="U68" s="64"/>
      <c r="V68" s="64"/>
      <c r="W68" s="64"/>
      <c r="X68" s="64"/>
      <c r="Y68" s="64"/>
      <c r="Z68" s="64"/>
      <c r="AA68" s="64"/>
      <c r="AJ68" s="39">
        <v>0.0</v>
      </c>
      <c r="AK68" s="39">
        <v>75.0</v>
      </c>
      <c r="AL68" s="39">
        <v>0.0</v>
      </c>
      <c r="AM68" s="39">
        <v>0.0</v>
      </c>
      <c r="AN68" s="39">
        <v>0.0</v>
      </c>
      <c r="AO68" s="39">
        <v>0.0</v>
      </c>
      <c r="AP68" s="39">
        <v>0.0</v>
      </c>
      <c r="AQ68" s="39">
        <v>0.0</v>
      </c>
      <c r="AR68" s="39">
        <v>0.0</v>
      </c>
      <c r="AS68" s="39">
        <v>-25.0</v>
      </c>
      <c r="AT68" s="39">
        <v>-25.0</v>
      </c>
      <c r="AU68" s="39">
        <v>-25.0</v>
      </c>
      <c r="AV68" s="39">
        <v>-25.0</v>
      </c>
      <c r="AW68" s="39">
        <v>0.0</v>
      </c>
      <c r="AX68" s="39">
        <v>0.0</v>
      </c>
      <c r="AY68" s="39">
        <v>25.0</v>
      </c>
      <c r="AZ68" s="39">
        <v>0.0</v>
      </c>
      <c r="BG68" s="37" t="str">
        <f t="array" ref="BG68">IF($A68="","", INDEX(CS!$B$1:$B$15025,MATCH($A68,CS!$B:$B,0)+COLUMN(A$1),1))</f>
        <v>#N/A</v>
      </c>
      <c r="BH68" s="37" t="str">
        <f t="array" ref="BH68">IF($A68="","", INDEX(CS!$B$1:$B$15025,MATCH($A68,CS!$B:$B,0)+COLUMN(B$1),1))</f>
        <v>#N/A</v>
      </c>
      <c r="BI68" s="37" t="str">
        <f t="array" ref="BI68">IF($A68="","", INDEX(CS!$B$1:$B$15025,MATCH($A68,CS!$B:$B,0)+COLUMN(C$1),1))</f>
        <v>#N/A</v>
      </c>
      <c r="BJ68" s="37" t="str">
        <f t="array" ref="BJ68">IF($A68="","", INDEX(CS!$B$1:$B$15025,MATCH($A68,CS!$B:$B,0)+COLUMN(D$1),1))</f>
        <v>#N/A</v>
      </c>
      <c r="BK68" s="37" t="str">
        <f t="array" ref="BK68">IF($A68="","", INDEX(CS!$B$1:$B$15025,MATCH($A68,CS!$B:$B,0)+COLUMN(E$1),1))</f>
        <v>#N/A</v>
      </c>
      <c r="BL68" s="37" t="str">
        <f t="array" ref="BL68">IF($A68="","", INDEX(CS!$B$1:$B$15025,MATCH($A68,CS!$B:$B,0)+COLUMN(F$1),1))</f>
        <v>#N/A</v>
      </c>
      <c r="BM68" s="37" t="str">
        <f t="array" ref="BM68">IF($A68="","", INDEX(CS!$B$1:$B$15025,MATCH($A68,CS!$B:$B,0)+COLUMN(G$1),1))</f>
        <v>#N/A</v>
      </c>
      <c r="BN68" s="37" t="str">
        <f t="array" ref="BN68">IF($A68="","", INDEX(CS!$B$1:$B$15025,MATCH($A68,CS!$B:$B,0)+COLUMN(H$1),1))</f>
        <v>#N/A</v>
      </c>
      <c r="BO68" s="37" t="str">
        <f t="array" ref="BO68">IF($A68="","", INDEX(CS!$B$1:$B$15025,MATCH($A68,CS!$B:$B,0)+COLUMN(I$1),1))</f>
        <v>#N/A</v>
      </c>
      <c r="BP68" s="37" t="str">
        <f t="array" ref="BP68">IF($A68="","", INDEX(CS!$B$1:$B$15025,MATCH($A68,CS!$B:$B,0)+COLUMN(J$1),1))</f>
        <v>#N/A</v>
      </c>
      <c r="BR68" s="39" t="s">
        <v>2747</v>
      </c>
      <c r="BS68" s="74"/>
      <c r="BU68" s="39" t="s">
        <v>2748</v>
      </c>
      <c r="CQ68" s="37"/>
      <c r="CR68" s="37"/>
    </row>
    <row r="69" ht="18.75" customHeight="1">
      <c r="A69" s="39" t="s">
        <v>1448</v>
      </c>
      <c r="B69" s="71"/>
      <c r="C69" s="39" t="s">
        <v>2686</v>
      </c>
      <c r="D69" s="72" t="str">
        <f t="shared" si="1"/>
        <v>535/535/0</v>
      </c>
      <c r="E69" s="39">
        <v>2.0</v>
      </c>
      <c r="F69" s="39">
        <v>100.0</v>
      </c>
      <c r="I69" s="39">
        <v>105.0</v>
      </c>
      <c r="J69" s="39">
        <v>80.0</v>
      </c>
      <c r="K69" s="87">
        <v>50.0</v>
      </c>
      <c r="L69" s="39">
        <v>65.0</v>
      </c>
      <c r="M69" s="39">
        <v>65.0</v>
      </c>
      <c r="N69" s="39">
        <v>70.0</v>
      </c>
      <c r="O69" s="39">
        <v>170.0</v>
      </c>
      <c r="P69" s="39">
        <v>-50.0</v>
      </c>
      <c r="Q69" s="64"/>
      <c r="R69" s="64"/>
      <c r="S69" s="64"/>
      <c r="T69" s="64"/>
      <c r="U69" s="64"/>
      <c r="V69" s="64"/>
      <c r="W69" s="64"/>
      <c r="X69" s="64"/>
      <c r="Y69" s="64"/>
      <c r="Z69" s="64"/>
      <c r="AA69" s="64"/>
      <c r="AJ69" s="39">
        <v>25.0</v>
      </c>
      <c r="AK69" s="39">
        <v>25.0</v>
      </c>
      <c r="AL69" s="39">
        <v>0.0</v>
      </c>
      <c r="AM69" s="39">
        <v>0.0</v>
      </c>
      <c r="AN69" s="39">
        <v>25.0</v>
      </c>
      <c r="AO69" s="39">
        <v>0.0</v>
      </c>
      <c r="AP69" s="39">
        <v>0.0</v>
      </c>
      <c r="AQ69" s="39">
        <v>0.0</v>
      </c>
      <c r="AR69" s="39">
        <v>25.0</v>
      </c>
      <c r="AS69" s="39">
        <v>-25.0</v>
      </c>
      <c r="AT69" s="39">
        <v>-25.0</v>
      </c>
      <c r="AU69" s="39">
        <v>-25.0</v>
      </c>
      <c r="AV69" s="39">
        <v>-25.0</v>
      </c>
      <c r="AW69" s="39">
        <v>0.0</v>
      </c>
      <c r="AX69" s="39">
        <v>0.0</v>
      </c>
      <c r="AY69" s="39">
        <v>0.0</v>
      </c>
      <c r="AZ69" s="39">
        <v>0.0</v>
      </c>
      <c r="BG69" s="37" t="str">
        <f t="array" ref="BG69">IF($A69="","", INDEX(CS!$B$1:$B$15025,MATCH($A69,CS!$B:$B,0)+COLUMN(A$1),1))</f>
        <v>首無し騎士</v>
      </c>
      <c r="BH69" s="37" t="str">
        <f t="array" ref="BH69">IF($A69="","", INDEX(CS!$B$1:$B$15025,MATCH($A69,CS!$B:$B,0)+COLUMN(B$1),1))</f>
        <v/>
      </c>
      <c r="BI69" s="37" t="str">
        <f t="array" ref="BI69">IF($A69="","", INDEX(CS!$B$1:$B$15025,MATCH($A69,CS!$B:$B,0)+COLUMN(C$1),1))</f>
        <v>首狩り</v>
      </c>
      <c r="BJ69" s="37" t="str">
        <f t="array" ref="BJ69">IF($A69="","", INDEX(CS!$B$1:$B$15025,MATCH($A69,CS!$B:$B,0)+COLUMN(D$1),1))</f>
        <v/>
      </c>
      <c r="BK69" s="37" t="str">
        <f t="array" ref="BK69">IF($A69="","", INDEX(CS!$B$1:$B$15025,MATCH($A69,CS!$B:$B,0)+COLUMN(E$1),1))</f>
        <v>黒鎧</v>
      </c>
      <c r="BL69" s="37" t="str">
        <f t="array" ref="BL69">IF($A69="","", INDEX(CS!$B$1:$B$15025,MATCH($A69,CS!$B:$B,0)+COLUMN(F$1),1))</f>
        <v/>
      </c>
      <c r="BM69" s="37" t="str">
        <f t="array" ref="BM69">IF($A69="","", INDEX(CS!$B$1:$B$15025,MATCH($A69,CS!$B:$B,0)+COLUMN(G$1),1))</f>
        <v>死騎士の突撃</v>
      </c>
      <c r="BN69" s="37" t="str">
        <f t="array" ref="BN69">IF($A69="","", INDEX(CS!$B$1:$B$15025,MATCH($A69,CS!$B:$B,0)+COLUMN(H$1),1))</f>
        <v/>
      </c>
      <c r="BO69" s="37" t="str">
        <f t="array" ref="BO69">IF($A69="","", INDEX(CS!$B$1:$B$15025,MATCH($A69,CS!$B:$B,0)+COLUMN(I$1),1))</f>
        <v>首無しの眼</v>
      </c>
      <c r="BP69" s="37" t="str">
        <f t="array" ref="BP69">IF($A69="","", INDEX(CS!$B$1:$B$15025,MATCH($A69,CS!$B:$B,0)+COLUMN(J$1),1))</f>
        <v>死騎士の威光</v>
      </c>
      <c r="BR69" s="39" t="s">
        <v>2736</v>
      </c>
      <c r="BS69" s="74"/>
      <c r="BU69" s="39" t="s">
        <v>2749</v>
      </c>
      <c r="CQ69" s="37"/>
      <c r="CR69" s="37"/>
    </row>
    <row r="70" ht="18.75" customHeight="1">
      <c r="A70" s="39" t="s">
        <v>1462</v>
      </c>
      <c r="B70" s="71"/>
      <c r="C70" s="39" t="s">
        <v>2686</v>
      </c>
      <c r="D70" s="72" t="str">
        <f t="shared" si="1"/>
        <v>560/560/0</v>
      </c>
      <c r="E70" s="39">
        <v>3.0</v>
      </c>
      <c r="F70" s="39">
        <v>100.0</v>
      </c>
      <c r="I70" s="39">
        <v>105.0</v>
      </c>
      <c r="J70" s="39">
        <v>80.0</v>
      </c>
      <c r="K70" s="87">
        <v>60.0</v>
      </c>
      <c r="L70" s="39">
        <v>70.0</v>
      </c>
      <c r="M70" s="39">
        <v>70.0</v>
      </c>
      <c r="N70" s="39">
        <v>75.0</v>
      </c>
      <c r="O70" s="39">
        <v>170.0</v>
      </c>
      <c r="P70" s="39">
        <v>-50.0</v>
      </c>
      <c r="Q70" s="64"/>
      <c r="R70" s="64"/>
      <c r="S70" s="64"/>
      <c r="T70" s="64"/>
      <c r="U70" s="64"/>
      <c r="V70" s="64"/>
      <c r="W70" s="64"/>
      <c r="X70" s="64"/>
      <c r="Y70" s="64"/>
      <c r="Z70" s="64"/>
      <c r="AA70" s="64"/>
      <c r="AJ70" s="39">
        <v>25.0</v>
      </c>
      <c r="AK70" s="39">
        <v>25.0</v>
      </c>
      <c r="AL70" s="39">
        <v>0.0</v>
      </c>
      <c r="AM70" s="39">
        <v>0.0</v>
      </c>
      <c r="AN70" s="39">
        <v>0.0</v>
      </c>
      <c r="AO70" s="39">
        <v>0.0</v>
      </c>
      <c r="AP70" s="39">
        <v>0.0</v>
      </c>
      <c r="AQ70" s="39">
        <v>0.0</v>
      </c>
      <c r="AR70" s="39">
        <v>25.0</v>
      </c>
      <c r="AS70" s="39">
        <v>-25.0</v>
      </c>
      <c r="AT70" s="39">
        <v>-25.0</v>
      </c>
      <c r="AU70" s="39">
        <v>-25.0</v>
      </c>
      <c r="AV70" s="39">
        <v>-25.0</v>
      </c>
      <c r="AW70" s="39">
        <v>0.0</v>
      </c>
      <c r="AX70" s="39">
        <v>0.0</v>
      </c>
      <c r="AY70" s="39">
        <v>25.0</v>
      </c>
      <c r="AZ70" s="39">
        <v>0.0</v>
      </c>
      <c r="BG70" s="37" t="str">
        <f t="array" ref="BG70">IF($A70="","", INDEX(CS!$B$1:$B$15025,MATCH($A70,CS!$B:$B,0)+COLUMN(A$1),1))</f>
        <v>蒼炎の鎧</v>
      </c>
      <c r="BH70" s="37" t="str">
        <f t="array" ref="BH70">IF($A70="","", INDEX(CS!$B$1:$B$15025,MATCH($A70,CS!$B:$B,0)+COLUMN(B$1),1))</f>
        <v/>
      </c>
      <c r="BI70" s="37" t="str">
        <f t="array" ref="BI70">IF($A70="","", INDEX(CS!$B$1:$B$15025,MATCH($A70,CS!$B:$B,0)+COLUMN(C$1),1))</f>
        <v>蒼炎斬</v>
      </c>
      <c r="BJ70" s="37" t="str">
        <f t="array" ref="BJ70">IF($A70="","", INDEX(CS!$B$1:$B$15025,MATCH($A70,CS!$B:$B,0)+COLUMN(D$1),1))</f>
        <v/>
      </c>
      <c r="BK70" s="37" t="str">
        <f t="array" ref="BK70">IF($A70="","", INDEX(CS!$B$1:$B$15025,MATCH($A70,CS!$B:$B,0)+COLUMN(E$1),1))</f>
        <v>蒼炎纏い</v>
      </c>
      <c r="BL70" s="37" t="str">
        <f t="array" ref="BL70">IF($A70="","", INDEX(CS!$B$1:$B$15025,MATCH($A70,CS!$B:$B,0)+COLUMN(F$1),1))</f>
        <v/>
      </c>
      <c r="BM70" s="37" t="str">
        <f t="array" ref="BM70">IF($A70="","", INDEX(CS!$B$1:$B$15025,MATCH($A70,CS!$B:$B,0)+COLUMN(G$1),1))</f>
        <v>鬼火突撃</v>
      </c>
      <c r="BN70" s="37" t="str">
        <f t="array" ref="BN70">IF($A70="","", INDEX(CS!$B$1:$B$15025,MATCH($A70,CS!$B:$B,0)+COLUMN(H$1),1))</f>
        <v/>
      </c>
      <c r="BO70" s="37" t="str">
        <f t="array" ref="BO70">IF($A70="","", INDEX(CS!$B$1:$B$15025,MATCH($A70,CS!$B:$B,0)+COLUMN(I$1),1))</f>
        <v>蒼炎の首狩り</v>
      </c>
      <c r="BP70" s="37" t="str">
        <f t="array" ref="BP70">IF($A70="","", INDEX(CS!$B$1:$B$15025,MATCH($A70,CS!$B:$B,0)+COLUMN(J$1),1))</f>
        <v>蒼炎騎士王</v>
      </c>
      <c r="BR70" s="39" t="s">
        <v>2750</v>
      </c>
      <c r="BS70" s="74"/>
      <c r="BU70" s="39" t="s">
        <v>2751</v>
      </c>
      <c r="CQ70" s="37"/>
      <c r="CR70" s="37"/>
    </row>
    <row r="71" ht="18.75" customHeight="1">
      <c r="A71" s="41"/>
      <c r="B71" s="71"/>
      <c r="C71" s="37" t="s">
        <v>2686</v>
      </c>
      <c r="D71" s="72" t="str">
        <f t="shared" si="1"/>
        <v>0/0/0</v>
      </c>
      <c r="E71" s="37">
        <v>1.0</v>
      </c>
      <c r="K71" s="73"/>
      <c r="P71" s="37" t="s">
        <v>29</v>
      </c>
      <c r="Q71" s="64"/>
      <c r="R71" s="64"/>
      <c r="S71" s="64"/>
      <c r="T71" s="64"/>
      <c r="U71" s="64"/>
      <c r="V71" s="64"/>
      <c r="W71" s="64"/>
      <c r="X71" s="64"/>
      <c r="Y71" s="64"/>
      <c r="Z71" s="64"/>
      <c r="AA71" s="64"/>
      <c r="BG71" s="37" t="str">
        <f t="array" ref="BG71">IF($A71="","", INDEX(CS!$B$1:$B$15025,MATCH($A71,CS!$B:$B,0)+COLUMN(A$1),1))</f>
        <v/>
      </c>
      <c r="BH71" s="37" t="str">
        <f t="array" ref="BH71">IF($A71="","", INDEX(CS!$B$1:$B$15025,MATCH($A71,CS!$B:$B,0)+COLUMN(B$1),1))</f>
        <v/>
      </c>
      <c r="BI71" s="37" t="str">
        <f t="array" ref="BI71">IF($A71="","", INDEX(CS!$B$1:$B$15025,MATCH($A71,CS!$B:$B,0)+COLUMN(C$1),1))</f>
        <v/>
      </c>
      <c r="BJ71" s="37" t="str">
        <f t="array" ref="BJ71">IF($A71="","", INDEX(CS!$B$1:$B$15025,MATCH($A71,CS!$B:$B,0)+COLUMN(D$1),1))</f>
        <v/>
      </c>
      <c r="BK71" s="37" t="str">
        <f t="array" ref="BK71">IF($A71="","", INDEX(CS!$B$1:$B$15025,MATCH($A71,CS!$B:$B,0)+COLUMN(E$1),1))</f>
        <v/>
      </c>
      <c r="BL71" s="37" t="str">
        <f t="array" ref="BL71">IF($A71="","", INDEX(CS!$B$1:$B$15025,MATCH($A71,CS!$B:$B,0)+COLUMN(F$1),1))</f>
        <v/>
      </c>
      <c r="BM71" s="37" t="str">
        <f t="array" ref="BM71">IF($A71="","", INDEX(CS!$B$1:$B$15025,MATCH($A71,CS!$B:$B,0)+COLUMN(G$1),1))</f>
        <v/>
      </c>
      <c r="BN71" s="37" t="str">
        <f t="array" ref="BN71">IF($A71="","", INDEX(CS!$B$1:$B$15025,MATCH($A71,CS!$B:$B,0)+COLUMN(H$1),1))</f>
        <v/>
      </c>
      <c r="BO71" s="37" t="str">
        <f t="array" ref="BO71">IF($A71="","", INDEX(CS!$B$1:$B$15025,MATCH($A71,CS!$B:$B,0)+COLUMN(I$1),1))</f>
        <v/>
      </c>
      <c r="BP71" s="37" t="str">
        <f t="array" ref="BP71">IF($A71="","", INDEX(CS!$B$1:$B$15025,MATCH($A71,CS!$B:$B,0)+COLUMN(J$1),1))</f>
        <v/>
      </c>
      <c r="BS71" s="74"/>
      <c r="CQ71" s="37"/>
      <c r="CR71" s="37"/>
    </row>
    <row r="72" ht="18.75" customHeight="1">
      <c r="A72" s="41"/>
      <c r="B72" s="71"/>
      <c r="C72" s="37" t="s">
        <v>2686</v>
      </c>
      <c r="D72" s="72" t="str">
        <f t="shared" si="1"/>
        <v>0/0/0</v>
      </c>
      <c r="E72" s="37">
        <v>1.0</v>
      </c>
      <c r="K72" s="73"/>
      <c r="P72" s="37" t="s">
        <v>29</v>
      </c>
      <c r="Q72" s="64"/>
      <c r="R72" s="64"/>
      <c r="S72" s="64"/>
      <c r="T72" s="64"/>
      <c r="U72" s="64"/>
      <c r="V72" s="64"/>
      <c r="W72" s="64"/>
      <c r="X72" s="64"/>
      <c r="Y72" s="64"/>
      <c r="Z72" s="64"/>
      <c r="AA72" s="64"/>
      <c r="BG72" s="37" t="str">
        <f t="array" ref="BG72">IF($A72="","", INDEX(CS!$B$1:$B$15025,MATCH($A72,CS!$B:$B,0)+COLUMN(A$1),1))</f>
        <v/>
      </c>
      <c r="BH72" s="37" t="str">
        <f t="array" ref="BH72">IF($A72="","", INDEX(CS!$B$1:$B$15025,MATCH($A72,CS!$B:$B,0)+COLUMN(B$1),1))</f>
        <v/>
      </c>
      <c r="BI72" s="37" t="str">
        <f t="array" ref="BI72">IF($A72="","", INDEX(CS!$B$1:$B$15025,MATCH($A72,CS!$B:$B,0)+COLUMN(C$1),1))</f>
        <v/>
      </c>
      <c r="BJ72" s="37" t="str">
        <f t="array" ref="BJ72">IF($A72="","", INDEX(CS!$B$1:$B$15025,MATCH($A72,CS!$B:$B,0)+COLUMN(D$1),1))</f>
        <v/>
      </c>
      <c r="BK72" s="37" t="str">
        <f t="array" ref="BK72">IF($A72="","", INDEX(CS!$B$1:$B$15025,MATCH($A72,CS!$B:$B,0)+COLUMN(E$1),1))</f>
        <v/>
      </c>
      <c r="BL72" s="37" t="str">
        <f t="array" ref="BL72">IF($A72="","", INDEX(CS!$B$1:$B$15025,MATCH($A72,CS!$B:$B,0)+COLUMN(F$1),1))</f>
        <v/>
      </c>
      <c r="BM72" s="37" t="str">
        <f t="array" ref="BM72">IF($A72="","", INDEX(CS!$B$1:$B$15025,MATCH($A72,CS!$B:$B,0)+COLUMN(G$1),1))</f>
        <v/>
      </c>
      <c r="BN72" s="37" t="str">
        <f t="array" ref="BN72">IF($A72="","", INDEX(CS!$B$1:$B$15025,MATCH($A72,CS!$B:$B,0)+COLUMN(H$1),1))</f>
        <v/>
      </c>
      <c r="BO72" s="37" t="str">
        <f t="array" ref="BO72">IF($A72="","", INDEX(CS!$B$1:$B$15025,MATCH($A72,CS!$B:$B,0)+COLUMN(I$1),1))</f>
        <v/>
      </c>
      <c r="BP72" s="37" t="str">
        <f t="array" ref="BP72">IF($A72="","", INDEX(CS!$B$1:$B$15025,MATCH($A72,CS!$B:$B,0)+COLUMN(J$1),1))</f>
        <v/>
      </c>
      <c r="BS72" s="74"/>
      <c r="CQ72" s="37"/>
      <c r="CR72" s="37"/>
    </row>
    <row r="73" ht="18.75" customHeight="1">
      <c r="A73" s="41"/>
      <c r="B73" s="71"/>
      <c r="C73" s="37" t="s">
        <v>2686</v>
      </c>
      <c r="D73" s="72" t="str">
        <f t="shared" si="1"/>
        <v>0/0/0</v>
      </c>
      <c r="E73" s="37">
        <v>1.0</v>
      </c>
      <c r="K73" s="73"/>
      <c r="P73" s="37" t="s">
        <v>29</v>
      </c>
      <c r="Q73" s="64"/>
      <c r="R73" s="64"/>
      <c r="S73" s="64"/>
      <c r="T73" s="64"/>
      <c r="U73" s="64"/>
      <c r="V73" s="64"/>
      <c r="W73" s="64"/>
      <c r="X73" s="64"/>
      <c r="Y73" s="64"/>
      <c r="Z73" s="64"/>
      <c r="AA73" s="64"/>
      <c r="BG73" s="37" t="str">
        <f t="array" ref="BG73">IF($A73="","", INDEX(CS!$B$1:$B$15025,MATCH($A73,CS!$B:$B,0)+COLUMN(A$1),1))</f>
        <v/>
      </c>
      <c r="BH73" s="37" t="str">
        <f t="array" ref="BH73">IF($A73="","", INDEX(CS!$B$1:$B$15025,MATCH($A73,CS!$B:$B,0)+COLUMN(B$1),1))</f>
        <v/>
      </c>
      <c r="BI73" s="37" t="str">
        <f t="array" ref="BI73">IF($A73="","", INDEX(CS!$B$1:$B$15025,MATCH($A73,CS!$B:$B,0)+COLUMN(C$1),1))</f>
        <v/>
      </c>
      <c r="BJ73" s="37" t="str">
        <f t="array" ref="BJ73">IF($A73="","", INDEX(CS!$B$1:$B$15025,MATCH($A73,CS!$B:$B,0)+COLUMN(D$1),1))</f>
        <v/>
      </c>
      <c r="BK73" s="37" t="str">
        <f t="array" ref="BK73">IF($A73="","", INDEX(CS!$B$1:$B$15025,MATCH($A73,CS!$B:$B,0)+COLUMN(E$1),1))</f>
        <v/>
      </c>
      <c r="BL73" s="37" t="str">
        <f t="array" ref="BL73">IF($A73="","", INDEX(CS!$B$1:$B$15025,MATCH($A73,CS!$B:$B,0)+COLUMN(F$1),1))</f>
        <v/>
      </c>
      <c r="BM73" s="37" t="str">
        <f t="array" ref="BM73">IF($A73="","", INDEX(CS!$B$1:$B$15025,MATCH($A73,CS!$B:$B,0)+COLUMN(G$1),1))</f>
        <v/>
      </c>
      <c r="BN73" s="37" t="str">
        <f t="array" ref="BN73">IF($A73="","", INDEX(CS!$B$1:$B$15025,MATCH($A73,CS!$B:$B,0)+COLUMN(H$1),1))</f>
        <v/>
      </c>
      <c r="BO73" s="37" t="str">
        <f t="array" ref="BO73">IF($A73="","", INDEX(CS!$B$1:$B$15025,MATCH($A73,CS!$B:$B,0)+COLUMN(I$1),1))</f>
        <v/>
      </c>
      <c r="BP73" s="37" t="str">
        <f t="array" ref="BP73">IF($A73="","", INDEX(CS!$B$1:$B$15025,MATCH($A73,CS!$B:$B,0)+COLUMN(J$1),1))</f>
        <v/>
      </c>
      <c r="BS73" s="74"/>
      <c r="CQ73" s="37"/>
      <c r="CR73" s="37"/>
    </row>
    <row r="74" ht="18.75" customHeight="1">
      <c r="A74" s="25" t="s">
        <v>1477</v>
      </c>
      <c r="B74" s="71" t="s">
        <v>2752</v>
      </c>
      <c r="C74" s="37" t="s">
        <v>2686</v>
      </c>
      <c r="D74" s="72" t="str">
        <f t="shared" si="1"/>
        <v>690/515/175</v>
      </c>
      <c r="E74" s="37">
        <v>1.0</v>
      </c>
      <c r="F74" s="37">
        <v>75.0</v>
      </c>
      <c r="I74" s="37">
        <v>55.0</v>
      </c>
      <c r="J74" s="37">
        <v>60.0</v>
      </c>
      <c r="K74" s="73">
        <v>100.0</v>
      </c>
      <c r="L74" s="37">
        <v>85.0</v>
      </c>
      <c r="M74" s="37">
        <v>75.0</v>
      </c>
      <c r="N74" s="37">
        <v>65.0</v>
      </c>
      <c r="O74" s="37">
        <v>140.0</v>
      </c>
      <c r="P74" s="37">
        <v>0.0</v>
      </c>
      <c r="Q74" s="64">
        <v>15.0</v>
      </c>
      <c r="R74" s="64"/>
      <c r="S74" s="64"/>
      <c r="T74" s="64">
        <v>100.0</v>
      </c>
      <c r="U74" s="64">
        <v>-45.0</v>
      </c>
      <c r="V74" s="64"/>
      <c r="W74" s="64">
        <v>100.0</v>
      </c>
      <c r="X74" s="64">
        <v>-45.0</v>
      </c>
      <c r="Y74" s="64"/>
      <c r="Z74" s="64"/>
      <c r="AA74" s="64"/>
      <c r="AE74" s="37">
        <v>100.0</v>
      </c>
      <c r="AJ74" s="39">
        <v>0.0</v>
      </c>
      <c r="AK74" s="39">
        <v>0.0</v>
      </c>
      <c r="AL74" s="39">
        <v>75.0</v>
      </c>
      <c r="AM74" s="39">
        <v>0.0</v>
      </c>
      <c r="AN74" s="39">
        <v>0.0</v>
      </c>
      <c r="AO74" s="39">
        <v>0.0</v>
      </c>
      <c r="AP74" s="39">
        <v>0.0</v>
      </c>
      <c r="AQ74" s="39">
        <v>75.0</v>
      </c>
      <c r="AR74" s="39">
        <v>25.0</v>
      </c>
      <c r="AS74" s="39">
        <v>-25.0</v>
      </c>
      <c r="AT74" s="39">
        <v>-25.0</v>
      </c>
      <c r="AU74" s="39">
        <v>-25.0</v>
      </c>
      <c r="AV74" s="39">
        <v>-25.0</v>
      </c>
      <c r="AW74" s="39">
        <v>0.0</v>
      </c>
      <c r="AX74" s="39">
        <v>0.0</v>
      </c>
      <c r="AY74" s="39">
        <v>100.0</v>
      </c>
      <c r="AZ74" s="39">
        <v>0.0</v>
      </c>
      <c r="BG74" s="37" t="str">
        <f t="array" ref="BG74">IF($A74="","", INDEX(CS!$B$1:$B$15025,MATCH($A74,CS!$B:$B,0)+COLUMN(A$1),1))</f>
        <v>炎の拳</v>
      </c>
      <c r="BH74" s="37" t="str">
        <f t="array" ref="BH74">IF($A74="","", INDEX(CS!$B$1:$B$15025,MATCH($A74,CS!$B:$B,0)+COLUMN(B$1),1))</f>
        <v/>
      </c>
      <c r="BI74" s="37" t="str">
        <f t="array" ref="BI74">IF($A74="","", INDEX(CS!$B$1:$B$15025,MATCH($A74,CS!$B:$B,0)+COLUMN(C$1),1))</f>
        <v>浮遊</v>
      </c>
      <c r="BJ74" s="37" t="str">
        <f t="array" ref="BJ74">IF($A74="","", INDEX(CS!$B$1:$B$15025,MATCH($A74,CS!$B:$B,0)+COLUMN(D$1),1))</f>
        <v/>
      </c>
      <c r="BK74" s="37" t="str">
        <f t="array" ref="BK74">IF($A74="","", INDEX(CS!$B$1:$B$15025,MATCH($A74,CS!$B:$B,0)+COLUMN(E$1),1))</f>
        <v>火炎</v>
      </c>
      <c r="BL74" s="37" t="str">
        <f t="array" ref="BL74">IF($A74="","", INDEX(CS!$B$1:$B$15025,MATCH($A74,CS!$B:$B,0)+COLUMN(F$1),1))</f>
        <v>炎の魔力</v>
      </c>
      <c r="BM74" s="37" t="str">
        <f t="array" ref="BM74">IF($A74="","", INDEX(CS!$B$1:$B$15025,MATCH($A74,CS!$B:$B,0)+COLUMN(G$1),1))</f>
        <v/>
      </c>
      <c r="BN74" s="37" t="str">
        <f t="array" ref="BN74">IF($A74="","", INDEX(CS!$B$1:$B$15025,MATCH($A74,CS!$B:$B,0)+COLUMN(H$1),1))</f>
        <v/>
      </c>
      <c r="BO74" s="37" t="str">
        <f t="array" ref="BO74">IF($A74="","", INDEX(CS!$B$1:$B$15025,MATCH($A74,CS!$B:$B,0)+COLUMN(I$1),1))</f>
        <v>炎の力</v>
      </c>
      <c r="BP74" s="37" t="str">
        <f t="array" ref="BP74">IF($A74="","", INDEX(CS!$B$1:$B$15025,MATCH($A74,CS!$B:$B,0)+COLUMN(J$1),1))</f>
        <v>炎の吐息</v>
      </c>
      <c r="BS74" s="74"/>
      <c r="CD74" s="37">
        <v>1.0</v>
      </c>
      <c r="CI74" s="37" t="s">
        <v>2734</v>
      </c>
      <c r="CJ74" s="37" t="s">
        <v>2734</v>
      </c>
      <c r="CK74" s="37" t="s">
        <v>2734</v>
      </c>
      <c r="CN74" s="37" t="s">
        <v>2752</v>
      </c>
      <c r="CQ74" s="37"/>
      <c r="CR74" s="37"/>
    </row>
    <row r="75" ht="18.75" customHeight="1">
      <c r="A75" s="25" t="s">
        <v>1479</v>
      </c>
      <c r="B75" s="71" t="s">
        <v>2752</v>
      </c>
      <c r="C75" s="37" t="s">
        <v>2686</v>
      </c>
      <c r="D75" s="72" t="str">
        <f t="shared" si="1"/>
        <v>690/515/175</v>
      </c>
      <c r="E75" s="37">
        <v>1.0</v>
      </c>
      <c r="F75" s="37">
        <v>75.0</v>
      </c>
      <c r="I75" s="37">
        <v>55.0</v>
      </c>
      <c r="J75" s="37">
        <v>60.0</v>
      </c>
      <c r="K75" s="73">
        <v>100.0</v>
      </c>
      <c r="L75" s="37">
        <v>85.0</v>
      </c>
      <c r="M75" s="37">
        <v>75.0</v>
      </c>
      <c r="N75" s="37">
        <v>65.0</v>
      </c>
      <c r="O75" s="37">
        <v>140.0</v>
      </c>
      <c r="P75" s="37">
        <v>0.0</v>
      </c>
      <c r="Q75" s="64">
        <v>15.0</v>
      </c>
      <c r="R75" s="64"/>
      <c r="S75" s="64"/>
      <c r="T75" s="64">
        <v>-45.0</v>
      </c>
      <c r="U75" s="64">
        <v>100.0</v>
      </c>
      <c r="V75" s="64"/>
      <c r="W75" s="64">
        <v>-45.0</v>
      </c>
      <c r="X75" s="64">
        <v>100.0</v>
      </c>
      <c r="Y75" s="64"/>
      <c r="Z75" s="64"/>
      <c r="AA75" s="64"/>
      <c r="AE75" s="37">
        <v>100.0</v>
      </c>
      <c r="AJ75" s="39">
        <v>0.0</v>
      </c>
      <c r="AK75" s="39">
        <v>0.0</v>
      </c>
      <c r="AL75" s="39">
        <v>75.0</v>
      </c>
      <c r="AM75" s="39">
        <v>0.0</v>
      </c>
      <c r="AN75" s="39">
        <v>0.0</v>
      </c>
      <c r="AO75" s="39">
        <v>0.0</v>
      </c>
      <c r="AP75" s="39">
        <v>0.0</v>
      </c>
      <c r="AQ75" s="39">
        <v>75.0</v>
      </c>
      <c r="AR75" s="39">
        <v>25.0</v>
      </c>
      <c r="AS75" s="39">
        <v>-25.0</v>
      </c>
      <c r="AT75" s="39">
        <v>-25.0</v>
      </c>
      <c r="AU75" s="39">
        <v>-25.0</v>
      </c>
      <c r="AV75" s="39">
        <v>-25.0</v>
      </c>
      <c r="AW75" s="39">
        <v>0.0</v>
      </c>
      <c r="AX75" s="39">
        <v>0.0</v>
      </c>
      <c r="AY75" s="39">
        <v>100.0</v>
      </c>
      <c r="AZ75" s="39">
        <v>0.0</v>
      </c>
      <c r="BG75" s="37" t="str">
        <f t="array" ref="BG75">IF($A75="","", INDEX(CS!$B$1:$B$15025,MATCH($A75,CS!$B:$B,0)+COLUMN(A$1),1))</f>
        <v>氷の拳</v>
      </c>
      <c r="BH75" s="37" t="str">
        <f t="array" ref="BH75">IF($A75="","", INDEX(CS!$B$1:$B$15025,MATCH($A75,CS!$B:$B,0)+COLUMN(B$1),1))</f>
        <v/>
      </c>
      <c r="BI75" s="37" t="str">
        <f t="array" ref="BI75">IF($A75="","", INDEX(CS!$B$1:$B$15025,MATCH($A75,CS!$B:$B,0)+COLUMN(C$1),1))</f>
        <v>浮遊</v>
      </c>
      <c r="BJ75" s="37" t="str">
        <f t="array" ref="BJ75">IF($A75="","", INDEX(CS!$B$1:$B$15025,MATCH($A75,CS!$B:$B,0)+COLUMN(D$1),1))</f>
        <v/>
      </c>
      <c r="BK75" s="37" t="str">
        <f t="array" ref="BK75">IF($A75="","", INDEX(CS!$B$1:$B$15025,MATCH($A75,CS!$B:$B,0)+COLUMN(E$1),1))</f>
        <v>冷気の光線</v>
      </c>
      <c r="BL75" s="37" t="str">
        <f t="array" ref="BL75">IF($A75="","", INDEX(CS!$B$1:$B$15025,MATCH($A75,CS!$B:$B,0)+COLUMN(F$1),1))</f>
        <v>氷の魔力</v>
      </c>
      <c r="BM75" s="37" t="str">
        <f t="array" ref="BM75">IF($A75="","", INDEX(CS!$B$1:$B$15025,MATCH($A75,CS!$B:$B,0)+COLUMN(G$1),1))</f>
        <v/>
      </c>
      <c r="BN75" s="37" t="str">
        <f t="array" ref="BN75">IF($A75="","", INDEX(CS!$B$1:$B$15025,MATCH($A75,CS!$B:$B,0)+COLUMN(H$1),1))</f>
        <v/>
      </c>
      <c r="BO75" s="37" t="str">
        <f t="array" ref="BO75">IF($A75="","", INDEX(CS!$B$1:$B$15025,MATCH($A75,CS!$B:$B,0)+COLUMN(I$1),1))</f>
        <v>氷の力</v>
      </c>
      <c r="BP75" s="37" t="str">
        <f t="array" ref="BP75">IF($A75="","", INDEX(CS!$B$1:$B$15025,MATCH($A75,CS!$B:$B,0)+COLUMN(J$1),1))</f>
        <v>氷の吐息</v>
      </c>
      <c r="BS75" s="74"/>
      <c r="CD75" s="37">
        <v>1.0</v>
      </c>
      <c r="CN75" s="37" t="s">
        <v>2752</v>
      </c>
      <c r="CQ75" s="37"/>
      <c r="CR75" s="37"/>
    </row>
    <row r="76" ht="18.75" customHeight="1">
      <c r="A76" s="25" t="s">
        <v>1480</v>
      </c>
      <c r="B76" s="71" t="s">
        <v>2752</v>
      </c>
      <c r="C76" s="37" t="s">
        <v>2686</v>
      </c>
      <c r="D76" s="72" t="str">
        <f t="shared" si="1"/>
        <v>690/515/175</v>
      </c>
      <c r="E76" s="37">
        <v>1.0</v>
      </c>
      <c r="F76" s="37">
        <v>75.0</v>
      </c>
      <c r="I76" s="37">
        <v>55.0</v>
      </c>
      <c r="J76" s="37">
        <v>60.0</v>
      </c>
      <c r="K76" s="73">
        <v>100.0</v>
      </c>
      <c r="L76" s="37">
        <v>85.0</v>
      </c>
      <c r="M76" s="37">
        <v>75.0</v>
      </c>
      <c r="N76" s="37">
        <v>65.0</v>
      </c>
      <c r="O76" s="37">
        <v>140.0</v>
      </c>
      <c r="P76" s="37">
        <v>0.0</v>
      </c>
      <c r="Q76" s="64">
        <v>15.0</v>
      </c>
      <c r="R76" s="64"/>
      <c r="S76" s="64"/>
      <c r="T76" s="64">
        <v>-45.0</v>
      </c>
      <c r="U76" s="64">
        <v>100.0</v>
      </c>
      <c r="V76" s="64"/>
      <c r="W76" s="64">
        <v>-45.0</v>
      </c>
      <c r="X76" s="64">
        <v>100.0</v>
      </c>
      <c r="Y76" s="64"/>
      <c r="Z76" s="64"/>
      <c r="AA76" s="64"/>
      <c r="AE76" s="37">
        <v>100.0</v>
      </c>
      <c r="AJ76" s="39">
        <v>0.0</v>
      </c>
      <c r="AK76" s="39">
        <v>0.0</v>
      </c>
      <c r="AL76" s="39">
        <v>75.0</v>
      </c>
      <c r="AM76" s="39">
        <v>0.0</v>
      </c>
      <c r="AN76" s="39">
        <v>0.0</v>
      </c>
      <c r="AO76" s="39">
        <v>0.0</v>
      </c>
      <c r="AP76" s="39">
        <v>0.0</v>
      </c>
      <c r="AQ76" s="39">
        <v>75.0</v>
      </c>
      <c r="AR76" s="39">
        <v>25.0</v>
      </c>
      <c r="AS76" s="39">
        <v>-25.0</v>
      </c>
      <c r="AT76" s="39">
        <v>-25.0</v>
      </c>
      <c r="AU76" s="39">
        <v>-25.0</v>
      </c>
      <c r="AV76" s="39">
        <v>-25.0</v>
      </c>
      <c r="AW76" s="39">
        <v>0.0</v>
      </c>
      <c r="AX76" s="39">
        <v>0.0</v>
      </c>
      <c r="AY76" s="39">
        <v>100.0</v>
      </c>
      <c r="AZ76" s="39">
        <v>0.0</v>
      </c>
      <c r="BG76" s="37" t="str">
        <f t="array" ref="BG76">IF($A76="","", INDEX(CS!$B$1:$B$15025,MATCH($A76,CS!$B:$B,0)+COLUMN(A$1),1))</f>
        <v>水の拳</v>
      </c>
      <c r="BH76" s="37" t="str">
        <f t="array" ref="BH76">IF($A76="","", INDEX(CS!$B$1:$B$15025,MATCH($A76,CS!$B:$B,0)+COLUMN(B$1),1))</f>
        <v/>
      </c>
      <c r="BI76" s="37" t="str">
        <f t="array" ref="BI76">IF($A76="","", INDEX(CS!$B$1:$B$15025,MATCH($A76,CS!$B:$B,0)+COLUMN(C$1),1))</f>
        <v>水の精霊</v>
      </c>
      <c r="BJ76" s="37" t="str">
        <f t="array" ref="BJ76">IF($A76="","", INDEX(CS!$B$1:$B$15025,MATCH($A76,CS!$B:$B,0)+COLUMN(D$1),1))</f>
        <v/>
      </c>
      <c r="BK76" s="37" t="str">
        <f t="array" ref="BK76">IF($A76="","", INDEX(CS!$B$1:$B$15025,MATCH($A76,CS!$B:$B,0)+COLUMN(E$1),1))</f>
        <v>水力</v>
      </c>
      <c r="BL76" s="37" t="str">
        <f t="array" ref="BL76">IF($A76="","", INDEX(CS!$B$1:$B$15025,MATCH($A76,CS!$B:$B,0)+COLUMN(F$1),1))</f>
        <v>水の魔力</v>
      </c>
      <c r="BM76" s="37" t="str">
        <f t="array" ref="BM76">IF($A76="","", INDEX(CS!$B$1:$B$15025,MATCH($A76,CS!$B:$B,0)+COLUMN(G$1),1))</f>
        <v/>
      </c>
      <c r="BN76" s="37" t="str">
        <f t="array" ref="BN76">IF($A76="","", INDEX(CS!$B$1:$B$15025,MATCH($A76,CS!$B:$B,0)+COLUMN(H$1),1))</f>
        <v/>
      </c>
      <c r="BO76" s="37" t="str">
        <f t="array" ref="BO76">IF($A76="","", INDEX(CS!$B$1:$B$15025,MATCH($A76,CS!$B:$B,0)+COLUMN(I$1),1))</f>
        <v>水の力</v>
      </c>
      <c r="BP76" s="37" t="str">
        <f t="array" ref="BP76">IF($A76="","", INDEX(CS!$B$1:$B$15025,MATCH($A76,CS!$B:$B,0)+COLUMN(J$1),1))</f>
        <v>水の吐息</v>
      </c>
      <c r="BS76" s="74"/>
      <c r="CD76" s="37">
        <v>1.0</v>
      </c>
      <c r="CN76" s="37" t="s">
        <v>2752</v>
      </c>
      <c r="CQ76" s="37"/>
      <c r="CR76" s="37"/>
    </row>
    <row r="77" ht="18.75" customHeight="1">
      <c r="A77" s="25" t="s">
        <v>1489</v>
      </c>
      <c r="B77" s="71" t="s">
        <v>2752</v>
      </c>
      <c r="C77" s="37" t="s">
        <v>2686</v>
      </c>
      <c r="D77" s="72" t="str">
        <f t="shared" si="1"/>
        <v>690/515/175</v>
      </c>
      <c r="E77" s="37">
        <v>1.0</v>
      </c>
      <c r="F77" s="37">
        <v>75.0</v>
      </c>
      <c r="I77" s="37">
        <v>55.0</v>
      </c>
      <c r="J77" s="37">
        <v>60.0</v>
      </c>
      <c r="K77" s="73">
        <v>100.0</v>
      </c>
      <c r="L77" s="37">
        <v>85.0</v>
      </c>
      <c r="M77" s="37">
        <v>75.0</v>
      </c>
      <c r="N77" s="37">
        <v>65.0</v>
      </c>
      <c r="O77" s="37">
        <v>140.0</v>
      </c>
      <c r="P77" s="37">
        <v>0.0</v>
      </c>
      <c r="Q77" s="64">
        <v>-15.0</v>
      </c>
      <c r="R77" s="64"/>
      <c r="S77" s="64"/>
      <c r="T77" s="64"/>
      <c r="U77" s="64"/>
      <c r="V77" s="64">
        <v>100.0</v>
      </c>
      <c r="W77" s="64"/>
      <c r="X77" s="64"/>
      <c r="Y77" s="64">
        <v>100.0</v>
      </c>
      <c r="Z77" s="64"/>
      <c r="AA77" s="64"/>
      <c r="AE77" s="37">
        <v>100.0</v>
      </c>
      <c r="AJ77" s="39">
        <v>0.0</v>
      </c>
      <c r="AK77" s="39">
        <v>0.0</v>
      </c>
      <c r="AL77" s="39">
        <v>75.0</v>
      </c>
      <c r="AM77" s="39">
        <v>0.0</v>
      </c>
      <c r="AN77" s="39">
        <v>0.0</v>
      </c>
      <c r="AO77" s="39">
        <v>0.0</v>
      </c>
      <c r="AP77" s="39">
        <v>0.0</v>
      </c>
      <c r="AQ77" s="39">
        <v>75.0</v>
      </c>
      <c r="AR77" s="39">
        <v>25.0</v>
      </c>
      <c r="AS77" s="39">
        <v>-25.0</v>
      </c>
      <c r="AT77" s="39">
        <v>-25.0</v>
      </c>
      <c r="AU77" s="39">
        <v>-25.0</v>
      </c>
      <c r="AV77" s="39">
        <v>-25.0</v>
      </c>
      <c r="AW77" s="39">
        <v>0.0</v>
      </c>
      <c r="AX77" s="39">
        <v>0.0</v>
      </c>
      <c r="AY77" s="39">
        <v>100.0</v>
      </c>
      <c r="AZ77" s="39">
        <v>0.0</v>
      </c>
      <c r="BG77" s="37" t="str">
        <f t="array" ref="BG77">IF($A77="","", INDEX(CS!$B$1:$B$15025,MATCH($A77,CS!$B:$B,0)+COLUMN(A$1),1))</f>
        <v>風の拳</v>
      </c>
      <c r="BH77" s="37" t="str">
        <f t="array" ref="BH77">IF($A77="","", INDEX(CS!$B$1:$B$15025,MATCH($A77,CS!$B:$B,0)+COLUMN(B$1),1))</f>
        <v/>
      </c>
      <c r="BI77" s="37" t="str">
        <f t="array" ref="BI77">IF($A77="","", INDEX(CS!$B$1:$B$15025,MATCH($A77,CS!$B:$B,0)+COLUMN(C$1),1))</f>
        <v>浮遊</v>
      </c>
      <c r="BJ77" s="37" t="str">
        <f t="array" ref="BJ77">IF($A77="","", INDEX(CS!$B$1:$B$15025,MATCH($A77,CS!$B:$B,0)+COLUMN(D$1),1))</f>
        <v/>
      </c>
      <c r="BK77" s="37" t="str">
        <f t="array" ref="BK77">IF($A77="","", INDEX(CS!$B$1:$B$15025,MATCH($A77,CS!$B:$B,0)+COLUMN(E$1),1))</f>
        <v>突風</v>
      </c>
      <c r="BL77" s="37" t="str">
        <f t="array" ref="BL77">IF($A77="","", INDEX(CS!$B$1:$B$15025,MATCH($A77,CS!$B:$B,0)+COLUMN(F$1),1))</f>
        <v>風の魔力</v>
      </c>
      <c r="BM77" s="37" t="str">
        <f t="array" ref="BM77">IF($A77="","", INDEX(CS!$B$1:$B$15025,MATCH($A77,CS!$B:$B,0)+COLUMN(G$1),1))</f>
        <v/>
      </c>
      <c r="BN77" s="37" t="str">
        <f t="array" ref="BN77">IF($A77="","", INDEX(CS!$B$1:$B$15025,MATCH($A77,CS!$B:$B,0)+COLUMN(H$1),1))</f>
        <v/>
      </c>
      <c r="BO77" s="37" t="str">
        <f t="array" ref="BO77">IF($A77="","", INDEX(CS!$B$1:$B$15025,MATCH($A77,CS!$B:$B,0)+COLUMN(I$1),1))</f>
        <v>風の力</v>
      </c>
      <c r="BP77" s="37" t="str">
        <f t="array" ref="BP77">IF($A77="","", INDEX(CS!$B$1:$B$15025,MATCH($A77,CS!$B:$B,0)+COLUMN(J$1),1))</f>
        <v>風の吐息</v>
      </c>
      <c r="BS77" s="74"/>
      <c r="CD77" s="37">
        <v>1.0</v>
      </c>
      <c r="CN77" s="37" t="s">
        <v>2752</v>
      </c>
      <c r="CQ77" s="37"/>
      <c r="CR77" s="37"/>
    </row>
    <row r="78" ht="18.75" customHeight="1">
      <c r="A78" s="25" t="s">
        <v>1491</v>
      </c>
      <c r="B78" s="71" t="s">
        <v>2752</v>
      </c>
      <c r="C78" s="37" t="s">
        <v>2686</v>
      </c>
      <c r="D78" s="72" t="str">
        <f t="shared" si="1"/>
        <v>700/525/175</v>
      </c>
      <c r="E78" s="37">
        <v>1.0</v>
      </c>
      <c r="F78" s="37">
        <v>90.0</v>
      </c>
      <c r="I78" s="37">
        <v>90.0</v>
      </c>
      <c r="J78" s="37">
        <v>80.0</v>
      </c>
      <c r="K78" s="73">
        <v>100.0</v>
      </c>
      <c r="L78" s="37">
        <v>50.0</v>
      </c>
      <c r="M78" s="37">
        <v>50.0</v>
      </c>
      <c r="N78" s="37">
        <v>65.0</v>
      </c>
      <c r="O78" s="37">
        <v>140.0</v>
      </c>
      <c r="P78" s="37">
        <v>0.0</v>
      </c>
      <c r="Q78" s="64">
        <v>15.0</v>
      </c>
      <c r="R78" s="64"/>
      <c r="S78" s="64"/>
      <c r="T78" s="64"/>
      <c r="U78" s="64"/>
      <c r="V78" s="64"/>
      <c r="W78" s="64"/>
      <c r="X78" s="64"/>
      <c r="Y78" s="64"/>
      <c r="Z78" s="64">
        <v>-45.0</v>
      </c>
      <c r="AA78" s="64"/>
      <c r="AE78" s="37">
        <v>100.0</v>
      </c>
      <c r="AJ78" s="39">
        <v>0.0</v>
      </c>
      <c r="AK78" s="39">
        <v>0.0</v>
      </c>
      <c r="AL78" s="39">
        <v>75.0</v>
      </c>
      <c r="AM78" s="39">
        <v>0.0</v>
      </c>
      <c r="AN78" s="39">
        <v>0.0</v>
      </c>
      <c r="AO78" s="39">
        <v>0.0</v>
      </c>
      <c r="AP78" s="39">
        <v>0.0</v>
      </c>
      <c r="AQ78" s="39">
        <v>75.0</v>
      </c>
      <c r="AR78" s="39">
        <v>25.0</v>
      </c>
      <c r="AS78" s="39">
        <v>-25.0</v>
      </c>
      <c r="AT78" s="39">
        <v>-25.0</v>
      </c>
      <c r="AU78" s="39">
        <v>-25.0</v>
      </c>
      <c r="AV78" s="39">
        <v>-25.0</v>
      </c>
      <c r="AW78" s="39">
        <v>0.0</v>
      </c>
      <c r="AX78" s="39">
        <v>0.0</v>
      </c>
      <c r="AY78" s="39">
        <v>100.0</v>
      </c>
      <c r="AZ78" s="39">
        <v>0.0</v>
      </c>
      <c r="BG78" s="37" t="str">
        <f t="array" ref="BG78">IF($A78="","", INDEX(CS!$B$1:$B$15025,MATCH($A78,CS!$B:$B,0)+COLUMN(A$1),1))</f>
        <v>地の拳</v>
      </c>
      <c r="BH78" s="37" t="str">
        <f t="array" ref="BH78">IF($A78="","", INDEX(CS!$B$1:$B$15025,MATCH($A78,CS!$B:$B,0)+COLUMN(B$1),1))</f>
        <v/>
      </c>
      <c r="BI78" s="37" t="str">
        <f t="array" ref="BI78">IF($A78="","", INDEX(CS!$B$1:$B$15025,MATCH($A78,CS!$B:$B,0)+COLUMN(C$1),1))</f>
        <v>浮遊</v>
      </c>
      <c r="BJ78" s="37" t="str">
        <f t="array" ref="BJ78">IF($A78="","", INDEX(CS!$B$1:$B$15025,MATCH($A78,CS!$B:$B,0)+COLUMN(D$1),1))</f>
        <v/>
      </c>
      <c r="BK78" s="37" t="str">
        <f t="array" ref="BK78">IF($A78="","", INDEX(CS!$B$1:$B$15025,MATCH($A78,CS!$B:$B,0)+COLUMN(E$1),1))</f>
        <v>魔法の石</v>
      </c>
      <c r="BL78" s="37" t="str">
        <f t="array" ref="BL78">IF($A78="","", INDEX(CS!$B$1:$B$15025,MATCH($A78,CS!$B:$B,0)+COLUMN(F$1),1))</f>
        <v>地の魔力</v>
      </c>
      <c r="BM78" s="37" t="str">
        <f t="array" ref="BM78">IF($A78="","", INDEX(CS!$B$1:$B$15025,MATCH($A78,CS!$B:$B,0)+COLUMN(G$1),1))</f>
        <v/>
      </c>
      <c r="BN78" s="37" t="str">
        <f t="array" ref="BN78">IF($A78="","", INDEX(CS!$B$1:$B$15025,MATCH($A78,CS!$B:$B,0)+COLUMN(H$1),1))</f>
        <v/>
      </c>
      <c r="BO78" s="37" t="str">
        <f t="array" ref="BO78">IF($A78="","", INDEX(CS!$B$1:$B$15025,MATCH($A78,CS!$B:$B,0)+COLUMN(I$1),1))</f>
        <v>地の力</v>
      </c>
      <c r="BP78" s="37" t="str">
        <f t="array" ref="BP78">IF($A78="","", INDEX(CS!$B$1:$B$15025,MATCH($A78,CS!$B:$B,0)+COLUMN(J$1),1))</f>
        <v>石礫の吐息</v>
      </c>
      <c r="BS78" s="74"/>
      <c r="CD78" s="37">
        <v>1.0</v>
      </c>
      <c r="CN78" s="37" t="s">
        <v>2752</v>
      </c>
      <c r="CQ78" s="37"/>
      <c r="CR78" s="37"/>
    </row>
    <row r="79" ht="18.75" customHeight="1">
      <c r="A79" s="88" t="s">
        <v>2753</v>
      </c>
      <c r="B79" s="71" t="s">
        <v>2752</v>
      </c>
      <c r="C79" s="37" t="s">
        <v>2686</v>
      </c>
      <c r="D79" s="72" t="str">
        <f t="shared" si="1"/>
        <v>690/515/175</v>
      </c>
      <c r="E79" s="39">
        <v>2.0</v>
      </c>
      <c r="F79" s="37">
        <v>75.0</v>
      </c>
      <c r="I79" s="37">
        <v>55.0</v>
      </c>
      <c r="J79" s="37">
        <v>60.0</v>
      </c>
      <c r="K79" s="73">
        <v>100.0</v>
      </c>
      <c r="L79" s="37">
        <v>85.0</v>
      </c>
      <c r="M79" s="37">
        <v>75.0</v>
      </c>
      <c r="N79" s="37">
        <v>65.0</v>
      </c>
      <c r="O79" s="37">
        <v>140.0</v>
      </c>
      <c r="P79" s="37">
        <v>0.0</v>
      </c>
      <c r="Q79" s="64">
        <v>15.0</v>
      </c>
      <c r="R79" s="64"/>
      <c r="S79" s="64"/>
      <c r="T79" s="64">
        <v>100.0</v>
      </c>
      <c r="U79" s="64">
        <v>-45.0</v>
      </c>
      <c r="V79" s="64"/>
      <c r="W79" s="64">
        <v>100.0</v>
      </c>
      <c r="X79" s="64">
        <v>-45.0</v>
      </c>
      <c r="Y79" s="64"/>
      <c r="Z79" s="64"/>
      <c r="AA79" s="64"/>
      <c r="AE79" s="37">
        <v>100.0</v>
      </c>
      <c r="AJ79" s="39">
        <v>0.0</v>
      </c>
      <c r="AK79" s="39">
        <v>0.0</v>
      </c>
      <c r="AL79" s="39">
        <v>75.0</v>
      </c>
      <c r="AM79" s="39">
        <v>0.0</v>
      </c>
      <c r="AN79" s="39">
        <v>0.0</v>
      </c>
      <c r="AO79" s="39">
        <v>0.0</v>
      </c>
      <c r="AP79" s="39">
        <v>0.0</v>
      </c>
      <c r="AQ79" s="39">
        <v>75.0</v>
      </c>
      <c r="AR79" s="39">
        <v>25.0</v>
      </c>
      <c r="AS79" s="39">
        <v>-25.0</v>
      </c>
      <c r="AT79" s="39">
        <v>-25.0</v>
      </c>
      <c r="AU79" s="39">
        <v>-25.0</v>
      </c>
      <c r="AV79" s="39">
        <v>-25.0</v>
      </c>
      <c r="AW79" s="39">
        <v>0.0</v>
      </c>
      <c r="AX79" s="39">
        <v>0.0</v>
      </c>
      <c r="AY79" s="39">
        <v>100.0</v>
      </c>
      <c r="AZ79" s="39">
        <v>0.0</v>
      </c>
      <c r="BR79" s="39" t="s">
        <v>2754</v>
      </c>
      <c r="BS79" s="74"/>
      <c r="BU79" s="39" t="s">
        <v>2755</v>
      </c>
      <c r="CD79" s="37">
        <v>1.0</v>
      </c>
      <c r="CI79" s="37" t="s">
        <v>2734</v>
      </c>
      <c r="CJ79" s="37" t="s">
        <v>2734</v>
      </c>
      <c r="CK79" s="37" t="s">
        <v>2734</v>
      </c>
      <c r="CN79" s="37" t="s">
        <v>2752</v>
      </c>
      <c r="CQ79" s="37"/>
      <c r="CR79" s="37"/>
    </row>
    <row r="80" ht="18.75" customHeight="1">
      <c r="A80" s="88" t="s">
        <v>2756</v>
      </c>
      <c r="B80" s="71" t="s">
        <v>2752</v>
      </c>
      <c r="C80" s="37" t="s">
        <v>2686</v>
      </c>
      <c r="D80" s="72" t="str">
        <f t="shared" si="1"/>
        <v>690/515/175</v>
      </c>
      <c r="E80" s="39">
        <v>3.0</v>
      </c>
      <c r="F80" s="37">
        <v>75.0</v>
      </c>
      <c r="I80" s="37">
        <v>55.0</v>
      </c>
      <c r="J80" s="37">
        <v>60.0</v>
      </c>
      <c r="K80" s="73">
        <v>100.0</v>
      </c>
      <c r="L80" s="37">
        <v>85.0</v>
      </c>
      <c r="M80" s="37">
        <v>75.0</v>
      </c>
      <c r="N80" s="37">
        <v>65.0</v>
      </c>
      <c r="O80" s="37">
        <v>140.0</v>
      </c>
      <c r="P80" s="37">
        <v>0.0</v>
      </c>
      <c r="Q80" s="64">
        <v>15.0</v>
      </c>
      <c r="R80" s="64"/>
      <c r="S80" s="64"/>
      <c r="T80" s="64">
        <v>100.0</v>
      </c>
      <c r="U80" s="64">
        <v>-45.0</v>
      </c>
      <c r="V80" s="64"/>
      <c r="W80" s="64">
        <v>100.0</v>
      </c>
      <c r="X80" s="64">
        <v>-45.0</v>
      </c>
      <c r="Y80" s="64"/>
      <c r="Z80" s="64"/>
      <c r="AA80" s="64"/>
      <c r="AE80" s="37">
        <v>100.0</v>
      </c>
      <c r="AJ80" s="39">
        <v>0.0</v>
      </c>
      <c r="AK80" s="39">
        <v>0.0</v>
      </c>
      <c r="AL80" s="39">
        <v>75.0</v>
      </c>
      <c r="AM80" s="39">
        <v>0.0</v>
      </c>
      <c r="AN80" s="39">
        <v>0.0</v>
      </c>
      <c r="AO80" s="39">
        <v>0.0</v>
      </c>
      <c r="AP80" s="39">
        <v>0.0</v>
      </c>
      <c r="AQ80" s="39">
        <v>75.0</v>
      </c>
      <c r="AR80" s="39">
        <v>25.0</v>
      </c>
      <c r="AS80" s="39">
        <v>-25.0</v>
      </c>
      <c r="AT80" s="39">
        <v>-25.0</v>
      </c>
      <c r="AU80" s="39">
        <v>-25.0</v>
      </c>
      <c r="AV80" s="39">
        <v>-25.0</v>
      </c>
      <c r="AW80" s="39">
        <v>0.0</v>
      </c>
      <c r="AX80" s="39">
        <v>0.0</v>
      </c>
      <c r="AY80" s="39">
        <v>100.0</v>
      </c>
      <c r="AZ80" s="39">
        <v>0.0</v>
      </c>
      <c r="BR80" s="39" t="s">
        <v>2757</v>
      </c>
      <c r="BS80" s="74"/>
      <c r="BU80" s="39" t="s">
        <v>2758</v>
      </c>
      <c r="CD80" s="37">
        <v>1.0</v>
      </c>
      <c r="CI80" s="37" t="s">
        <v>2734</v>
      </c>
      <c r="CJ80" s="37" t="s">
        <v>2734</v>
      </c>
      <c r="CK80" s="37" t="s">
        <v>2734</v>
      </c>
      <c r="CN80" s="37" t="s">
        <v>2752</v>
      </c>
      <c r="CQ80" s="37"/>
      <c r="CR80" s="37"/>
    </row>
    <row r="81" ht="18.75" customHeight="1">
      <c r="A81" s="88" t="s">
        <v>2759</v>
      </c>
      <c r="B81" s="71" t="s">
        <v>2752</v>
      </c>
      <c r="C81" s="37" t="s">
        <v>2686</v>
      </c>
      <c r="D81" s="72" t="str">
        <f t="shared" si="1"/>
        <v>690/515/175</v>
      </c>
      <c r="E81" s="39">
        <v>4.0</v>
      </c>
      <c r="F81" s="37">
        <v>75.0</v>
      </c>
      <c r="I81" s="37">
        <v>55.0</v>
      </c>
      <c r="J81" s="37">
        <v>60.0</v>
      </c>
      <c r="K81" s="73">
        <v>100.0</v>
      </c>
      <c r="L81" s="37">
        <v>85.0</v>
      </c>
      <c r="M81" s="37">
        <v>75.0</v>
      </c>
      <c r="N81" s="37">
        <v>65.0</v>
      </c>
      <c r="O81" s="37">
        <v>140.0</v>
      </c>
      <c r="P81" s="37">
        <v>0.0</v>
      </c>
      <c r="Q81" s="64">
        <v>15.0</v>
      </c>
      <c r="R81" s="64"/>
      <c r="S81" s="64"/>
      <c r="T81" s="64">
        <v>100.0</v>
      </c>
      <c r="U81" s="64">
        <v>-45.0</v>
      </c>
      <c r="V81" s="64"/>
      <c r="W81" s="64">
        <v>100.0</v>
      </c>
      <c r="X81" s="64">
        <v>-45.0</v>
      </c>
      <c r="Y81" s="64"/>
      <c r="Z81" s="64"/>
      <c r="AA81" s="64"/>
      <c r="AE81" s="37">
        <v>100.0</v>
      </c>
      <c r="AJ81" s="39">
        <v>0.0</v>
      </c>
      <c r="AK81" s="39">
        <v>0.0</v>
      </c>
      <c r="AL81" s="39">
        <v>75.0</v>
      </c>
      <c r="AM81" s="39">
        <v>0.0</v>
      </c>
      <c r="AN81" s="39">
        <v>0.0</v>
      </c>
      <c r="AO81" s="39">
        <v>0.0</v>
      </c>
      <c r="AP81" s="39">
        <v>0.0</v>
      </c>
      <c r="AQ81" s="39">
        <v>75.0</v>
      </c>
      <c r="AR81" s="39">
        <v>25.0</v>
      </c>
      <c r="AS81" s="39">
        <v>-25.0</v>
      </c>
      <c r="AT81" s="39">
        <v>-25.0</v>
      </c>
      <c r="AU81" s="39">
        <v>-25.0</v>
      </c>
      <c r="AV81" s="39">
        <v>-25.0</v>
      </c>
      <c r="AW81" s="39">
        <v>0.0</v>
      </c>
      <c r="AX81" s="39">
        <v>0.0</v>
      </c>
      <c r="AY81" s="39">
        <v>100.0</v>
      </c>
      <c r="AZ81" s="39">
        <v>0.0</v>
      </c>
      <c r="BR81" s="39" t="s">
        <v>2760</v>
      </c>
      <c r="BS81" s="74"/>
      <c r="BU81" s="39" t="s">
        <v>2761</v>
      </c>
      <c r="CD81" s="37">
        <v>1.0</v>
      </c>
      <c r="CI81" s="37" t="s">
        <v>2734</v>
      </c>
      <c r="CJ81" s="37" t="s">
        <v>2734</v>
      </c>
      <c r="CK81" s="37" t="s">
        <v>2734</v>
      </c>
      <c r="CN81" s="37" t="s">
        <v>2752</v>
      </c>
      <c r="CQ81" s="37"/>
      <c r="CR81" s="37"/>
    </row>
    <row r="82" ht="18.75" customHeight="1">
      <c r="A82" s="88" t="s">
        <v>2762</v>
      </c>
      <c r="B82" s="71" t="s">
        <v>2752</v>
      </c>
      <c r="C82" s="37" t="s">
        <v>2686</v>
      </c>
      <c r="D82" s="72" t="str">
        <f t="shared" si="1"/>
        <v>690/515/175</v>
      </c>
      <c r="E82" s="39">
        <v>2.0</v>
      </c>
      <c r="F82" s="37">
        <v>75.0</v>
      </c>
      <c r="I82" s="37">
        <v>55.0</v>
      </c>
      <c r="J82" s="37">
        <v>60.0</v>
      </c>
      <c r="K82" s="73">
        <v>100.0</v>
      </c>
      <c r="L82" s="37">
        <v>85.0</v>
      </c>
      <c r="M82" s="37">
        <v>75.0</v>
      </c>
      <c r="N82" s="37">
        <v>65.0</v>
      </c>
      <c r="O82" s="37">
        <v>140.0</v>
      </c>
      <c r="P82" s="37">
        <v>0.0</v>
      </c>
      <c r="Q82" s="64">
        <v>15.0</v>
      </c>
      <c r="R82" s="64"/>
      <c r="S82" s="64"/>
      <c r="T82" s="64">
        <v>-45.0</v>
      </c>
      <c r="U82" s="64">
        <v>100.0</v>
      </c>
      <c r="V82" s="64"/>
      <c r="W82" s="64">
        <v>-45.0</v>
      </c>
      <c r="X82" s="64">
        <v>100.0</v>
      </c>
      <c r="Y82" s="64"/>
      <c r="Z82" s="64"/>
      <c r="AA82" s="64"/>
      <c r="AE82" s="37">
        <v>100.0</v>
      </c>
      <c r="AJ82" s="39">
        <v>0.0</v>
      </c>
      <c r="AK82" s="39">
        <v>0.0</v>
      </c>
      <c r="AL82" s="39">
        <v>75.0</v>
      </c>
      <c r="AM82" s="39">
        <v>0.0</v>
      </c>
      <c r="AN82" s="39">
        <v>0.0</v>
      </c>
      <c r="AO82" s="39">
        <v>0.0</v>
      </c>
      <c r="AP82" s="39">
        <v>0.0</v>
      </c>
      <c r="AQ82" s="39">
        <v>75.0</v>
      </c>
      <c r="AR82" s="39">
        <v>25.0</v>
      </c>
      <c r="AS82" s="39">
        <v>-25.0</v>
      </c>
      <c r="AT82" s="39">
        <v>-25.0</v>
      </c>
      <c r="AU82" s="39">
        <v>-25.0</v>
      </c>
      <c r="AV82" s="39">
        <v>-25.0</v>
      </c>
      <c r="AW82" s="39">
        <v>0.0</v>
      </c>
      <c r="AX82" s="39">
        <v>0.0</v>
      </c>
      <c r="AY82" s="39">
        <v>100.0</v>
      </c>
      <c r="AZ82" s="39">
        <v>0.0</v>
      </c>
      <c r="BR82" s="39" t="s">
        <v>2763</v>
      </c>
      <c r="BS82" s="74"/>
      <c r="BU82" s="39" t="s">
        <v>2764</v>
      </c>
      <c r="CD82" s="37">
        <v>1.0</v>
      </c>
      <c r="CN82" s="37" t="s">
        <v>2752</v>
      </c>
      <c r="CQ82" s="37"/>
      <c r="CR82" s="37"/>
    </row>
    <row r="83" ht="18.75" customHeight="1">
      <c r="A83" s="88" t="s">
        <v>2765</v>
      </c>
      <c r="B83" s="71" t="s">
        <v>2752</v>
      </c>
      <c r="C83" s="37" t="s">
        <v>2686</v>
      </c>
      <c r="D83" s="72" t="str">
        <f t="shared" si="1"/>
        <v>690/515/175</v>
      </c>
      <c r="E83" s="39">
        <v>3.0</v>
      </c>
      <c r="F83" s="37">
        <v>75.0</v>
      </c>
      <c r="I83" s="37">
        <v>55.0</v>
      </c>
      <c r="J83" s="37">
        <v>60.0</v>
      </c>
      <c r="K83" s="73">
        <v>100.0</v>
      </c>
      <c r="L83" s="37">
        <v>85.0</v>
      </c>
      <c r="M83" s="37">
        <v>75.0</v>
      </c>
      <c r="N83" s="37">
        <v>65.0</v>
      </c>
      <c r="O83" s="37">
        <v>140.0</v>
      </c>
      <c r="P83" s="37">
        <v>0.0</v>
      </c>
      <c r="Q83" s="64">
        <v>15.0</v>
      </c>
      <c r="R83" s="64"/>
      <c r="S83" s="64"/>
      <c r="T83" s="64">
        <v>-45.0</v>
      </c>
      <c r="U83" s="64">
        <v>100.0</v>
      </c>
      <c r="V83" s="64"/>
      <c r="W83" s="64">
        <v>-45.0</v>
      </c>
      <c r="X83" s="64">
        <v>100.0</v>
      </c>
      <c r="Y83" s="64"/>
      <c r="Z83" s="64"/>
      <c r="AA83" s="64"/>
      <c r="AE83" s="37">
        <v>100.0</v>
      </c>
      <c r="AJ83" s="39">
        <v>0.0</v>
      </c>
      <c r="AK83" s="39">
        <v>0.0</v>
      </c>
      <c r="AL83" s="39">
        <v>75.0</v>
      </c>
      <c r="AM83" s="39">
        <v>0.0</v>
      </c>
      <c r="AN83" s="39">
        <v>0.0</v>
      </c>
      <c r="AO83" s="39">
        <v>0.0</v>
      </c>
      <c r="AP83" s="39">
        <v>0.0</v>
      </c>
      <c r="AQ83" s="39">
        <v>75.0</v>
      </c>
      <c r="AR83" s="39">
        <v>25.0</v>
      </c>
      <c r="AS83" s="39">
        <v>-25.0</v>
      </c>
      <c r="AT83" s="39">
        <v>-25.0</v>
      </c>
      <c r="AU83" s="39">
        <v>-25.0</v>
      </c>
      <c r="AV83" s="39">
        <v>-25.0</v>
      </c>
      <c r="AW83" s="39">
        <v>0.0</v>
      </c>
      <c r="AX83" s="39">
        <v>0.0</v>
      </c>
      <c r="AY83" s="39">
        <v>100.0</v>
      </c>
      <c r="AZ83" s="39">
        <v>0.0</v>
      </c>
      <c r="BR83" s="39" t="s">
        <v>2766</v>
      </c>
      <c r="BS83" s="74"/>
      <c r="BU83" s="39" t="s">
        <v>2767</v>
      </c>
      <c r="CD83" s="37">
        <v>1.0</v>
      </c>
      <c r="CN83" s="37" t="s">
        <v>2752</v>
      </c>
      <c r="CQ83" s="37"/>
      <c r="CR83" s="37"/>
    </row>
    <row r="84" ht="18.75" customHeight="1">
      <c r="A84" s="88" t="s">
        <v>2768</v>
      </c>
      <c r="B84" s="71" t="s">
        <v>2752</v>
      </c>
      <c r="C84" s="37" t="s">
        <v>2686</v>
      </c>
      <c r="D84" s="72" t="str">
        <f t="shared" si="1"/>
        <v>690/515/175</v>
      </c>
      <c r="E84" s="39">
        <v>4.0</v>
      </c>
      <c r="F84" s="37">
        <v>75.0</v>
      </c>
      <c r="I84" s="37">
        <v>55.0</v>
      </c>
      <c r="J84" s="37">
        <v>60.0</v>
      </c>
      <c r="K84" s="73">
        <v>100.0</v>
      </c>
      <c r="L84" s="37">
        <v>85.0</v>
      </c>
      <c r="M84" s="37">
        <v>75.0</v>
      </c>
      <c r="N84" s="37">
        <v>65.0</v>
      </c>
      <c r="O84" s="37">
        <v>140.0</v>
      </c>
      <c r="P84" s="37">
        <v>0.0</v>
      </c>
      <c r="Q84" s="64">
        <v>15.0</v>
      </c>
      <c r="R84" s="64"/>
      <c r="S84" s="64"/>
      <c r="T84" s="64">
        <v>-45.0</v>
      </c>
      <c r="U84" s="64">
        <v>100.0</v>
      </c>
      <c r="V84" s="64"/>
      <c r="W84" s="64">
        <v>-45.0</v>
      </c>
      <c r="X84" s="64">
        <v>100.0</v>
      </c>
      <c r="Y84" s="64"/>
      <c r="Z84" s="64"/>
      <c r="AA84" s="64"/>
      <c r="AE84" s="37">
        <v>100.0</v>
      </c>
      <c r="AJ84" s="39">
        <v>0.0</v>
      </c>
      <c r="AK84" s="39">
        <v>0.0</v>
      </c>
      <c r="AL84" s="39">
        <v>75.0</v>
      </c>
      <c r="AM84" s="39">
        <v>0.0</v>
      </c>
      <c r="AN84" s="39">
        <v>0.0</v>
      </c>
      <c r="AO84" s="39">
        <v>0.0</v>
      </c>
      <c r="AP84" s="39">
        <v>0.0</v>
      </c>
      <c r="AQ84" s="39">
        <v>75.0</v>
      </c>
      <c r="AR84" s="39">
        <v>25.0</v>
      </c>
      <c r="AS84" s="39">
        <v>-25.0</v>
      </c>
      <c r="AT84" s="39">
        <v>-25.0</v>
      </c>
      <c r="AU84" s="39">
        <v>-25.0</v>
      </c>
      <c r="AV84" s="39">
        <v>-25.0</v>
      </c>
      <c r="AW84" s="39">
        <v>0.0</v>
      </c>
      <c r="AX84" s="39">
        <v>0.0</v>
      </c>
      <c r="AY84" s="39">
        <v>100.0</v>
      </c>
      <c r="AZ84" s="39">
        <v>0.0</v>
      </c>
      <c r="BR84" s="39" t="s">
        <v>2769</v>
      </c>
      <c r="BS84" s="74"/>
      <c r="BU84" s="39" t="s">
        <v>2770</v>
      </c>
      <c r="CD84" s="37">
        <v>1.0</v>
      </c>
      <c r="CN84" s="37" t="s">
        <v>2752</v>
      </c>
      <c r="CQ84" s="37"/>
      <c r="CR84" s="37"/>
    </row>
    <row r="85" ht="18.75" customHeight="1">
      <c r="A85" s="88" t="s">
        <v>2771</v>
      </c>
      <c r="B85" s="71" t="s">
        <v>2752</v>
      </c>
      <c r="C85" s="37" t="s">
        <v>2686</v>
      </c>
      <c r="D85" s="72" t="str">
        <f t="shared" si="1"/>
        <v>690/515/175</v>
      </c>
      <c r="E85" s="39">
        <v>2.0</v>
      </c>
      <c r="F85" s="37">
        <v>75.0</v>
      </c>
      <c r="I85" s="37">
        <v>55.0</v>
      </c>
      <c r="J85" s="37">
        <v>60.0</v>
      </c>
      <c r="K85" s="73">
        <v>100.0</v>
      </c>
      <c r="L85" s="37">
        <v>85.0</v>
      </c>
      <c r="M85" s="37">
        <v>75.0</v>
      </c>
      <c r="N85" s="37">
        <v>65.0</v>
      </c>
      <c r="O85" s="37">
        <v>140.0</v>
      </c>
      <c r="P85" s="37">
        <v>0.0</v>
      </c>
      <c r="Q85" s="64">
        <v>15.0</v>
      </c>
      <c r="R85" s="64"/>
      <c r="S85" s="64"/>
      <c r="T85" s="64">
        <v>-45.0</v>
      </c>
      <c r="U85" s="64">
        <v>100.0</v>
      </c>
      <c r="V85" s="64"/>
      <c r="W85" s="64">
        <v>-45.0</v>
      </c>
      <c r="X85" s="64">
        <v>100.0</v>
      </c>
      <c r="Y85" s="64"/>
      <c r="Z85" s="64"/>
      <c r="AA85" s="64"/>
      <c r="AE85" s="37">
        <v>100.0</v>
      </c>
      <c r="AJ85" s="39">
        <v>0.0</v>
      </c>
      <c r="AK85" s="39">
        <v>0.0</v>
      </c>
      <c r="AL85" s="39">
        <v>75.0</v>
      </c>
      <c r="AM85" s="39">
        <v>0.0</v>
      </c>
      <c r="AN85" s="39">
        <v>0.0</v>
      </c>
      <c r="AO85" s="39">
        <v>0.0</v>
      </c>
      <c r="AP85" s="39">
        <v>0.0</v>
      </c>
      <c r="AQ85" s="39">
        <v>75.0</v>
      </c>
      <c r="AR85" s="39">
        <v>25.0</v>
      </c>
      <c r="AS85" s="39">
        <v>-25.0</v>
      </c>
      <c r="AT85" s="39">
        <v>-25.0</v>
      </c>
      <c r="AU85" s="39">
        <v>-25.0</v>
      </c>
      <c r="AV85" s="39">
        <v>-25.0</v>
      </c>
      <c r="AW85" s="39">
        <v>0.0</v>
      </c>
      <c r="AX85" s="39">
        <v>0.0</v>
      </c>
      <c r="AY85" s="39">
        <v>100.0</v>
      </c>
      <c r="AZ85" s="39">
        <v>0.0</v>
      </c>
      <c r="BR85" s="39" t="s">
        <v>2772</v>
      </c>
      <c r="BS85" s="74"/>
      <c r="BU85" s="39" t="s">
        <v>2773</v>
      </c>
      <c r="CD85" s="37">
        <v>1.0</v>
      </c>
      <c r="CN85" s="37" t="s">
        <v>2752</v>
      </c>
      <c r="CQ85" s="37"/>
      <c r="CR85" s="37"/>
    </row>
    <row r="86" ht="18.75" customHeight="1">
      <c r="A86" s="88" t="s">
        <v>2774</v>
      </c>
      <c r="B86" s="71" t="s">
        <v>2752</v>
      </c>
      <c r="C86" s="37" t="s">
        <v>2686</v>
      </c>
      <c r="D86" s="72" t="str">
        <f t="shared" si="1"/>
        <v>690/515/175</v>
      </c>
      <c r="E86" s="39">
        <v>3.0</v>
      </c>
      <c r="F86" s="37">
        <v>75.0</v>
      </c>
      <c r="I86" s="37">
        <v>55.0</v>
      </c>
      <c r="J86" s="37">
        <v>60.0</v>
      </c>
      <c r="K86" s="73">
        <v>100.0</v>
      </c>
      <c r="L86" s="37">
        <v>85.0</v>
      </c>
      <c r="M86" s="37">
        <v>75.0</v>
      </c>
      <c r="N86" s="37">
        <v>65.0</v>
      </c>
      <c r="O86" s="37">
        <v>140.0</v>
      </c>
      <c r="P86" s="37">
        <v>0.0</v>
      </c>
      <c r="Q86" s="64">
        <v>15.0</v>
      </c>
      <c r="R86" s="64"/>
      <c r="S86" s="64"/>
      <c r="T86" s="64">
        <v>-45.0</v>
      </c>
      <c r="U86" s="64">
        <v>100.0</v>
      </c>
      <c r="V86" s="64"/>
      <c r="W86" s="64">
        <v>-45.0</v>
      </c>
      <c r="X86" s="64">
        <v>100.0</v>
      </c>
      <c r="Y86" s="64"/>
      <c r="Z86" s="64"/>
      <c r="AA86" s="64"/>
      <c r="AE86" s="37">
        <v>100.0</v>
      </c>
      <c r="AJ86" s="39">
        <v>0.0</v>
      </c>
      <c r="AK86" s="39">
        <v>0.0</v>
      </c>
      <c r="AL86" s="39">
        <v>75.0</v>
      </c>
      <c r="AM86" s="39">
        <v>0.0</v>
      </c>
      <c r="AN86" s="39">
        <v>0.0</v>
      </c>
      <c r="AO86" s="39">
        <v>0.0</v>
      </c>
      <c r="AP86" s="39">
        <v>0.0</v>
      </c>
      <c r="AQ86" s="39">
        <v>75.0</v>
      </c>
      <c r="AR86" s="39">
        <v>25.0</v>
      </c>
      <c r="AS86" s="39">
        <v>-25.0</v>
      </c>
      <c r="AT86" s="39">
        <v>-25.0</v>
      </c>
      <c r="AU86" s="39">
        <v>-25.0</v>
      </c>
      <c r="AV86" s="39">
        <v>-25.0</v>
      </c>
      <c r="AW86" s="39">
        <v>0.0</v>
      </c>
      <c r="AX86" s="39">
        <v>0.0</v>
      </c>
      <c r="AY86" s="39">
        <v>100.0</v>
      </c>
      <c r="AZ86" s="39">
        <v>0.0</v>
      </c>
      <c r="BR86" s="39" t="s">
        <v>2775</v>
      </c>
      <c r="BS86" s="74"/>
      <c r="BU86" s="39" t="s">
        <v>2776</v>
      </c>
      <c r="CD86" s="37">
        <v>1.0</v>
      </c>
      <c r="CN86" s="37" t="s">
        <v>2752</v>
      </c>
      <c r="CQ86" s="37"/>
      <c r="CR86" s="37"/>
    </row>
    <row r="87" ht="18.75" customHeight="1">
      <c r="A87" s="88" t="s">
        <v>2777</v>
      </c>
      <c r="B87" s="71" t="s">
        <v>2752</v>
      </c>
      <c r="C87" s="37" t="s">
        <v>2686</v>
      </c>
      <c r="D87" s="72" t="str">
        <f t="shared" si="1"/>
        <v>690/515/175</v>
      </c>
      <c r="E87" s="39">
        <v>4.0</v>
      </c>
      <c r="F87" s="37">
        <v>75.0</v>
      </c>
      <c r="I87" s="37">
        <v>55.0</v>
      </c>
      <c r="J87" s="37">
        <v>60.0</v>
      </c>
      <c r="K87" s="73">
        <v>100.0</v>
      </c>
      <c r="L87" s="37">
        <v>85.0</v>
      </c>
      <c r="M87" s="37">
        <v>75.0</v>
      </c>
      <c r="N87" s="37">
        <v>65.0</v>
      </c>
      <c r="O87" s="37">
        <v>140.0</v>
      </c>
      <c r="P87" s="37">
        <v>0.0</v>
      </c>
      <c r="Q87" s="64">
        <v>15.0</v>
      </c>
      <c r="R87" s="64"/>
      <c r="S87" s="64"/>
      <c r="T87" s="64">
        <v>-45.0</v>
      </c>
      <c r="U87" s="64">
        <v>100.0</v>
      </c>
      <c r="V87" s="64"/>
      <c r="W87" s="64">
        <v>-45.0</v>
      </c>
      <c r="X87" s="64">
        <v>100.0</v>
      </c>
      <c r="Y87" s="64"/>
      <c r="Z87" s="64"/>
      <c r="AA87" s="64"/>
      <c r="AE87" s="37">
        <v>100.0</v>
      </c>
      <c r="AJ87" s="39">
        <v>0.0</v>
      </c>
      <c r="AK87" s="39">
        <v>0.0</v>
      </c>
      <c r="AL87" s="39">
        <v>75.0</v>
      </c>
      <c r="AM87" s="39">
        <v>0.0</v>
      </c>
      <c r="AN87" s="39">
        <v>0.0</v>
      </c>
      <c r="AO87" s="39">
        <v>0.0</v>
      </c>
      <c r="AP87" s="39">
        <v>0.0</v>
      </c>
      <c r="AQ87" s="39">
        <v>75.0</v>
      </c>
      <c r="AR87" s="39">
        <v>25.0</v>
      </c>
      <c r="AS87" s="39">
        <v>-25.0</v>
      </c>
      <c r="AT87" s="39">
        <v>-25.0</v>
      </c>
      <c r="AU87" s="39">
        <v>-25.0</v>
      </c>
      <c r="AV87" s="39">
        <v>-25.0</v>
      </c>
      <c r="AW87" s="39">
        <v>0.0</v>
      </c>
      <c r="AX87" s="39">
        <v>0.0</v>
      </c>
      <c r="AY87" s="39">
        <v>100.0</v>
      </c>
      <c r="AZ87" s="39">
        <v>0.0</v>
      </c>
      <c r="BR87" s="39" t="s">
        <v>2778</v>
      </c>
      <c r="BS87" s="74"/>
      <c r="BU87" s="39" t="s">
        <v>2779</v>
      </c>
      <c r="CD87" s="37">
        <v>1.0</v>
      </c>
      <c r="CN87" s="37" t="s">
        <v>2752</v>
      </c>
      <c r="CQ87" s="37"/>
      <c r="CR87" s="37"/>
    </row>
    <row r="88" ht="18.75" customHeight="1">
      <c r="A88" s="88" t="s">
        <v>2780</v>
      </c>
      <c r="B88" s="71" t="s">
        <v>2752</v>
      </c>
      <c r="C88" s="37" t="s">
        <v>2686</v>
      </c>
      <c r="D88" s="72" t="str">
        <f t="shared" si="1"/>
        <v>690/515/175</v>
      </c>
      <c r="E88" s="39">
        <v>2.0</v>
      </c>
      <c r="F88" s="37">
        <v>75.0</v>
      </c>
      <c r="I88" s="37">
        <v>55.0</v>
      </c>
      <c r="J88" s="37">
        <v>60.0</v>
      </c>
      <c r="K88" s="73">
        <v>100.0</v>
      </c>
      <c r="L88" s="37">
        <v>85.0</v>
      </c>
      <c r="M88" s="37">
        <v>75.0</v>
      </c>
      <c r="N88" s="37">
        <v>65.0</v>
      </c>
      <c r="O88" s="37">
        <v>140.0</v>
      </c>
      <c r="P88" s="37">
        <v>0.0</v>
      </c>
      <c r="Q88" s="64">
        <v>-15.0</v>
      </c>
      <c r="R88" s="64"/>
      <c r="S88" s="64"/>
      <c r="T88" s="64"/>
      <c r="U88" s="64"/>
      <c r="V88" s="64">
        <v>100.0</v>
      </c>
      <c r="W88" s="64"/>
      <c r="X88" s="64"/>
      <c r="Y88" s="64">
        <v>100.0</v>
      </c>
      <c r="Z88" s="64"/>
      <c r="AA88" s="64"/>
      <c r="AE88" s="37">
        <v>100.0</v>
      </c>
      <c r="AJ88" s="39">
        <v>0.0</v>
      </c>
      <c r="AK88" s="39">
        <v>0.0</v>
      </c>
      <c r="AL88" s="39">
        <v>75.0</v>
      </c>
      <c r="AM88" s="39">
        <v>0.0</v>
      </c>
      <c r="AN88" s="39">
        <v>0.0</v>
      </c>
      <c r="AO88" s="39">
        <v>0.0</v>
      </c>
      <c r="AP88" s="39">
        <v>0.0</v>
      </c>
      <c r="AQ88" s="39">
        <v>75.0</v>
      </c>
      <c r="AR88" s="39">
        <v>25.0</v>
      </c>
      <c r="AS88" s="39">
        <v>-25.0</v>
      </c>
      <c r="AT88" s="39">
        <v>-25.0</v>
      </c>
      <c r="AU88" s="39">
        <v>-25.0</v>
      </c>
      <c r="AV88" s="39">
        <v>-25.0</v>
      </c>
      <c r="AW88" s="39">
        <v>0.0</v>
      </c>
      <c r="AX88" s="39">
        <v>0.0</v>
      </c>
      <c r="AY88" s="39">
        <v>100.0</v>
      </c>
      <c r="AZ88" s="39">
        <v>0.0</v>
      </c>
      <c r="BR88" s="39" t="s">
        <v>2781</v>
      </c>
      <c r="BS88" s="74"/>
      <c r="BU88" s="39" t="s">
        <v>2782</v>
      </c>
      <c r="CD88" s="37">
        <v>1.0</v>
      </c>
      <c r="CN88" s="37" t="s">
        <v>2752</v>
      </c>
      <c r="CQ88" s="37"/>
      <c r="CR88" s="37"/>
    </row>
    <row r="89" ht="18.75" customHeight="1">
      <c r="A89" s="88" t="s">
        <v>2783</v>
      </c>
      <c r="B89" s="71" t="s">
        <v>2752</v>
      </c>
      <c r="C89" s="37" t="s">
        <v>2686</v>
      </c>
      <c r="D89" s="72" t="str">
        <f t="shared" si="1"/>
        <v>690/515/175</v>
      </c>
      <c r="E89" s="39">
        <v>3.0</v>
      </c>
      <c r="F89" s="37">
        <v>75.0</v>
      </c>
      <c r="I89" s="37">
        <v>55.0</v>
      </c>
      <c r="J89" s="37">
        <v>60.0</v>
      </c>
      <c r="K89" s="73">
        <v>100.0</v>
      </c>
      <c r="L89" s="37">
        <v>85.0</v>
      </c>
      <c r="M89" s="37">
        <v>75.0</v>
      </c>
      <c r="N89" s="37">
        <v>65.0</v>
      </c>
      <c r="O89" s="37">
        <v>140.0</v>
      </c>
      <c r="P89" s="37">
        <v>0.0</v>
      </c>
      <c r="Q89" s="64">
        <v>-15.0</v>
      </c>
      <c r="R89" s="64"/>
      <c r="S89" s="64"/>
      <c r="T89" s="64"/>
      <c r="U89" s="64"/>
      <c r="V89" s="64">
        <v>100.0</v>
      </c>
      <c r="W89" s="64"/>
      <c r="X89" s="64"/>
      <c r="Y89" s="64">
        <v>100.0</v>
      </c>
      <c r="Z89" s="64"/>
      <c r="AA89" s="64"/>
      <c r="AE89" s="37">
        <v>100.0</v>
      </c>
      <c r="AJ89" s="39">
        <v>0.0</v>
      </c>
      <c r="AK89" s="39">
        <v>0.0</v>
      </c>
      <c r="AL89" s="39">
        <v>75.0</v>
      </c>
      <c r="AM89" s="39">
        <v>0.0</v>
      </c>
      <c r="AN89" s="39">
        <v>0.0</v>
      </c>
      <c r="AO89" s="39">
        <v>0.0</v>
      </c>
      <c r="AP89" s="39">
        <v>0.0</v>
      </c>
      <c r="AQ89" s="39">
        <v>75.0</v>
      </c>
      <c r="AR89" s="39">
        <v>25.0</v>
      </c>
      <c r="AS89" s="39">
        <v>-25.0</v>
      </c>
      <c r="AT89" s="39">
        <v>-25.0</v>
      </c>
      <c r="AU89" s="39">
        <v>-25.0</v>
      </c>
      <c r="AV89" s="39">
        <v>-25.0</v>
      </c>
      <c r="AW89" s="39">
        <v>0.0</v>
      </c>
      <c r="AX89" s="39">
        <v>0.0</v>
      </c>
      <c r="AY89" s="39">
        <v>100.0</v>
      </c>
      <c r="AZ89" s="39">
        <v>0.0</v>
      </c>
      <c r="BR89" s="39" t="s">
        <v>2784</v>
      </c>
      <c r="BS89" s="74"/>
      <c r="BU89" s="39" t="s">
        <v>2785</v>
      </c>
      <c r="CD89" s="37">
        <v>1.0</v>
      </c>
      <c r="CN89" s="37" t="s">
        <v>2752</v>
      </c>
      <c r="CQ89" s="37"/>
      <c r="CR89" s="37"/>
    </row>
    <row r="90" ht="18.75" customHeight="1">
      <c r="A90" s="88" t="s">
        <v>2786</v>
      </c>
      <c r="B90" s="71" t="s">
        <v>2752</v>
      </c>
      <c r="C90" s="37" t="s">
        <v>2686</v>
      </c>
      <c r="D90" s="72" t="str">
        <f t="shared" si="1"/>
        <v>690/515/175</v>
      </c>
      <c r="E90" s="39">
        <v>4.0</v>
      </c>
      <c r="F90" s="37">
        <v>75.0</v>
      </c>
      <c r="I90" s="37">
        <v>55.0</v>
      </c>
      <c r="J90" s="37">
        <v>60.0</v>
      </c>
      <c r="K90" s="73">
        <v>100.0</v>
      </c>
      <c r="L90" s="37">
        <v>85.0</v>
      </c>
      <c r="M90" s="37">
        <v>75.0</v>
      </c>
      <c r="N90" s="37">
        <v>65.0</v>
      </c>
      <c r="O90" s="37">
        <v>140.0</v>
      </c>
      <c r="P90" s="37">
        <v>0.0</v>
      </c>
      <c r="Q90" s="64">
        <v>-15.0</v>
      </c>
      <c r="R90" s="64"/>
      <c r="S90" s="64"/>
      <c r="T90" s="64"/>
      <c r="U90" s="64"/>
      <c r="V90" s="64">
        <v>100.0</v>
      </c>
      <c r="W90" s="64"/>
      <c r="X90" s="64"/>
      <c r="Y90" s="64">
        <v>100.0</v>
      </c>
      <c r="Z90" s="64"/>
      <c r="AA90" s="64"/>
      <c r="AE90" s="37">
        <v>100.0</v>
      </c>
      <c r="AJ90" s="39">
        <v>0.0</v>
      </c>
      <c r="AK90" s="39">
        <v>0.0</v>
      </c>
      <c r="AL90" s="39">
        <v>75.0</v>
      </c>
      <c r="AM90" s="39">
        <v>0.0</v>
      </c>
      <c r="AN90" s="39">
        <v>0.0</v>
      </c>
      <c r="AO90" s="39">
        <v>0.0</v>
      </c>
      <c r="AP90" s="39">
        <v>0.0</v>
      </c>
      <c r="AQ90" s="39">
        <v>75.0</v>
      </c>
      <c r="AR90" s="39">
        <v>25.0</v>
      </c>
      <c r="AS90" s="39">
        <v>-25.0</v>
      </c>
      <c r="AT90" s="39">
        <v>-25.0</v>
      </c>
      <c r="AU90" s="39">
        <v>-25.0</v>
      </c>
      <c r="AV90" s="39">
        <v>-25.0</v>
      </c>
      <c r="AW90" s="39">
        <v>0.0</v>
      </c>
      <c r="AX90" s="39">
        <v>0.0</v>
      </c>
      <c r="AY90" s="39">
        <v>100.0</v>
      </c>
      <c r="AZ90" s="39">
        <v>0.0</v>
      </c>
      <c r="BR90" s="39" t="s">
        <v>2787</v>
      </c>
      <c r="BS90" s="74"/>
      <c r="BU90" s="39" t="s">
        <v>2788</v>
      </c>
      <c r="CD90" s="37">
        <v>1.0</v>
      </c>
      <c r="CN90" s="37" t="s">
        <v>2752</v>
      </c>
      <c r="CQ90" s="37"/>
      <c r="CR90" s="37"/>
    </row>
    <row r="91" ht="18.75" customHeight="1">
      <c r="A91" s="88" t="s">
        <v>2789</v>
      </c>
      <c r="B91" s="71" t="s">
        <v>2752</v>
      </c>
      <c r="C91" s="37" t="s">
        <v>2686</v>
      </c>
      <c r="D91" s="72" t="str">
        <f t="shared" si="1"/>
        <v>700/525/175</v>
      </c>
      <c r="E91" s="39">
        <v>2.0</v>
      </c>
      <c r="F91" s="37">
        <v>90.0</v>
      </c>
      <c r="I91" s="37">
        <v>90.0</v>
      </c>
      <c r="J91" s="37">
        <v>80.0</v>
      </c>
      <c r="K91" s="73">
        <v>100.0</v>
      </c>
      <c r="L91" s="37">
        <v>50.0</v>
      </c>
      <c r="M91" s="37">
        <v>50.0</v>
      </c>
      <c r="N91" s="37">
        <v>65.0</v>
      </c>
      <c r="O91" s="37">
        <v>140.0</v>
      </c>
      <c r="P91" s="37">
        <v>0.0</v>
      </c>
      <c r="Q91" s="64">
        <v>15.0</v>
      </c>
      <c r="R91" s="64"/>
      <c r="S91" s="64"/>
      <c r="T91" s="64"/>
      <c r="U91" s="64"/>
      <c r="V91" s="64"/>
      <c r="W91" s="64"/>
      <c r="X91" s="64"/>
      <c r="Y91" s="64"/>
      <c r="Z91" s="64">
        <v>-45.0</v>
      </c>
      <c r="AA91" s="64"/>
      <c r="AE91" s="37">
        <v>100.0</v>
      </c>
      <c r="AJ91" s="39">
        <v>0.0</v>
      </c>
      <c r="AK91" s="39">
        <v>0.0</v>
      </c>
      <c r="AL91" s="39">
        <v>75.0</v>
      </c>
      <c r="AM91" s="39">
        <v>0.0</v>
      </c>
      <c r="AN91" s="39">
        <v>0.0</v>
      </c>
      <c r="AO91" s="39">
        <v>0.0</v>
      </c>
      <c r="AP91" s="39">
        <v>0.0</v>
      </c>
      <c r="AQ91" s="39">
        <v>75.0</v>
      </c>
      <c r="AR91" s="39">
        <v>25.0</v>
      </c>
      <c r="AS91" s="39">
        <v>-25.0</v>
      </c>
      <c r="AT91" s="39">
        <v>-25.0</v>
      </c>
      <c r="AU91" s="39">
        <v>-25.0</v>
      </c>
      <c r="AV91" s="39">
        <v>-25.0</v>
      </c>
      <c r="AW91" s="39">
        <v>0.0</v>
      </c>
      <c r="AX91" s="39">
        <v>0.0</v>
      </c>
      <c r="AY91" s="39">
        <v>100.0</v>
      </c>
      <c r="AZ91" s="39">
        <v>0.0</v>
      </c>
      <c r="BR91" s="39" t="s">
        <v>2790</v>
      </c>
      <c r="BS91" s="74"/>
      <c r="BU91" s="39" t="s">
        <v>2791</v>
      </c>
      <c r="CD91" s="37">
        <v>1.0</v>
      </c>
      <c r="CN91" s="37" t="s">
        <v>2752</v>
      </c>
      <c r="CQ91" s="37"/>
      <c r="CR91" s="37"/>
    </row>
    <row r="92" ht="18.75" customHeight="1">
      <c r="A92" s="88" t="s">
        <v>2792</v>
      </c>
      <c r="B92" s="71" t="s">
        <v>2752</v>
      </c>
      <c r="C92" s="37" t="s">
        <v>2686</v>
      </c>
      <c r="D92" s="72" t="str">
        <f t="shared" si="1"/>
        <v>700/525/175</v>
      </c>
      <c r="E92" s="39">
        <v>3.0</v>
      </c>
      <c r="F92" s="37">
        <v>90.0</v>
      </c>
      <c r="I92" s="37">
        <v>90.0</v>
      </c>
      <c r="J92" s="37">
        <v>80.0</v>
      </c>
      <c r="K92" s="73">
        <v>100.0</v>
      </c>
      <c r="L92" s="37">
        <v>50.0</v>
      </c>
      <c r="M92" s="37">
        <v>50.0</v>
      </c>
      <c r="N92" s="37">
        <v>65.0</v>
      </c>
      <c r="O92" s="37">
        <v>140.0</v>
      </c>
      <c r="P92" s="37">
        <v>0.0</v>
      </c>
      <c r="Q92" s="64">
        <v>15.0</v>
      </c>
      <c r="R92" s="64"/>
      <c r="S92" s="64"/>
      <c r="T92" s="64"/>
      <c r="U92" s="64"/>
      <c r="V92" s="64"/>
      <c r="W92" s="64"/>
      <c r="X92" s="64"/>
      <c r="Y92" s="64"/>
      <c r="Z92" s="64">
        <v>-45.0</v>
      </c>
      <c r="AA92" s="64"/>
      <c r="AE92" s="37">
        <v>100.0</v>
      </c>
      <c r="AJ92" s="39">
        <v>0.0</v>
      </c>
      <c r="AK92" s="39">
        <v>0.0</v>
      </c>
      <c r="AL92" s="39">
        <v>75.0</v>
      </c>
      <c r="AM92" s="39">
        <v>0.0</v>
      </c>
      <c r="AN92" s="39">
        <v>0.0</v>
      </c>
      <c r="AO92" s="39">
        <v>0.0</v>
      </c>
      <c r="AP92" s="39">
        <v>0.0</v>
      </c>
      <c r="AQ92" s="39">
        <v>75.0</v>
      </c>
      <c r="AR92" s="39">
        <v>25.0</v>
      </c>
      <c r="AS92" s="39">
        <v>-25.0</v>
      </c>
      <c r="AT92" s="39">
        <v>-25.0</v>
      </c>
      <c r="AU92" s="39">
        <v>-25.0</v>
      </c>
      <c r="AV92" s="39">
        <v>-25.0</v>
      </c>
      <c r="AW92" s="39">
        <v>0.0</v>
      </c>
      <c r="AX92" s="39">
        <v>0.0</v>
      </c>
      <c r="AY92" s="39">
        <v>100.0</v>
      </c>
      <c r="AZ92" s="39">
        <v>0.0</v>
      </c>
      <c r="BR92" s="39" t="s">
        <v>2793</v>
      </c>
      <c r="BS92" s="74"/>
      <c r="BU92" s="39" t="s">
        <v>2794</v>
      </c>
      <c r="CD92" s="37">
        <v>1.0</v>
      </c>
      <c r="CN92" s="37" t="s">
        <v>2752</v>
      </c>
      <c r="CQ92" s="37"/>
      <c r="CR92" s="37"/>
    </row>
    <row r="93" ht="18.75" customHeight="1">
      <c r="A93" s="88" t="s">
        <v>2795</v>
      </c>
      <c r="B93" s="71" t="s">
        <v>2752</v>
      </c>
      <c r="C93" s="37" t="s">
        <v>2686</v>
      </c>
      <c r="D93" s="72" t="str">
        <f t="shared" si="1"/>
        <v>700/525/175</v>
      </c>
      <c r="E93" s="39">
        <v>4.0</v>
      </c>
      <c r="F93" s="37">
        <v>90.0</v>
      </c>
      <c r="I93" s="37">
        <v>90.0</v>
      </c>
      <c r="J93" s="37">
        <v>80.0</v>
      </c>
      <c r="K93" s="73">
        <v>100.0</v>
      </c>
      <c r="L93" s="37">
        <v>50.0</v>
      </c>
      <c r="M93" s="37">
        <v>50.0</v>
      </c>
      <c r="N93" s="37">
        <v>65.0</v>
      </c>
      <c r="O93" s="37">
        <v>140.0</v>
      </c>
      <c r="P93" s="37">
        <v>0.0</v>
      </c>
      <c r="Q93" s="64">
        <v>15.0</v>
      </c>
      <c r="R93" s="64"/>
      <c r="S93" s="64"/>
      <c r="T93" s="64"/>
      <c r="U93" s="64"/>
      <c r="V93" s="64"/>
      <c r="W93" s="64"/>
      <c r="X93" s="64"/>
      <c r="Y93" s="64"/>
      <c r="Z93" s="64">
        <v>-45.0</v>
      </c>
      <c r="AA93" s="64"/>
      <c r="AE93" s="37">
        <v>100.0</v>
      </c>
      <c r="AJ93" s="39">
        <v>0.0</v>
      </c>
      <c r="AK93" s="39">
        <v>0.0</v>
      </c>
      <c r="AL93" s="39">
        <v>75.0</v>
      </c>
      <c r="AM93" s="39">
        <v>0.0</v>
      </c>
      <c r="AN93" s="39">
        <v>0.0</v>
      </c>
      <c r="AO93" s="39">
        <v>0.0</v>
      </c>
      <c r="AP93" s="39">
        <v>0.0</v>
      </c>
      <c r="AQ93" s="39">
        <v>75.0</v>
      </c>
      <c r="AR93" s="39">
        <v>25.0</v>
      </c>
      <c r="AS93" s="39">
        <v>-25.0</v>
      </c>
      <c r="AT93" s="39">
        <v>-25.0</v>
      </c>
      <c r="AU93" s="39">
        <v>-25.0</v>
      </c>
      <c r="AV93" s="39">
        <v>-25.0</v>
      </c>
      <c r="AW93" s="39">
        <v>0.0</v>
      </c>
      <c r="AX93" s="39">
        <v>0.0</v>
      </c>
      <c r="AY93" s="39">
        <v>100.0</v>
      </c>
      <c r="AZ93" s="39">
        <v>0.0</v>
      </c>
      <c r="BR93" s="39" t="s">
        <v>2796</v>
      </c>
      <c r="BS93" s="74"/>
      <c r="BU93" s="39" t="s">
        <v>2797</v>
      </c>
      <c r="CD93" s="37">
        <v>1.0</v>
      </c>
      <c r="CN93" s="37" t="s">
        <v>2752</v>
      </c>
      <c r="CQ93" s="37"/>
      <c r="CR93" s="37"/>
    </row>
    <row r="94" ht="18.75" customHeight="1">
      <c r="B94" s="71"/>
      <c r="C94" s="37" t="s">
        <v>2686</v>
      </c>
      <c r="D94" s="72" t="str">
        <f t="shared" si="1"/>
        <v>0/0/0</v>
      </c>
      <c r="E94" s="37">
        <v>1.0</v>
      </c>
      <c r="K94" s="73"/>
      <c r="P94" s="37" t="s">
        <v>29</v>
      </c>
      <c r="Q94" s="64"/>
      <c r="R94" s="64"/>
      <c r="S94" s="64"/>
      <c r="T94" s="64"/>
      <c r="U94" s="64"/>
      <c r="V94" s="64"/>
      <c r="W94" s="64"/>
      <c r="X94" s="64"/>
      <c r="Y94" s="64"/>
      <c r="Z94" s="64"/>
      <c r="AA94" s="64"/>
      <c r="BG94" s="37" t="str">
        <f t="array" ref="BG94">IF($A94="","", INDEX(CS!$B$1:$B$15025,MATCH($A94,CS!$B:$B,0)+COLUMN(A$1),1))</f>
        <v/>
      </c>
      <c r="BH94" s="37" t="str">
        <f t="array" ref="BH94">IF($A94="","", INDEX(CS!$B$1:$B$15025,MATCH($A94,CS!$B:$B,0)+COLUMN(B$1),1))</f>
        <v/>
      </c>
      <c r="BI94" s="37" t="str">
        <f t="array" ref="BI94">IF($A94="","", INDEX(CS!$B$1:$B$15025,MATCH($A94,CS!$B:$B,0)+COLUMN(C$1),1))</f>
        <v/>
      </c>
      <c r="BJ94" s="37" t="str">
        <f t="array" ref="BJ94">IF($A94="","", INDEX(CS!$B$1:$B$15025,MATCH($A94,CS!$B:$B,0)+COLUMN(D$1),1))</f>
        <v/>
      </c>
      <c r="BK94" s="37" t="str">
        <f t="array" ref="BK94">IF($A94="","", INDEX(CS!$B$1:$B$15025,MATCH($A94,CS!$B:$B,0)+COLUMN(E$1),1))</f>
        <v/>
      </c>
      <c r="BL94" s="37" t="str">
        <f t="array" ref="BL94">IF($A94="","", INDEX(CS!$B$1:$B$15025,MATCH($A94,CS!$B:$B,0)+COLUMN(F$1),1))</f>
        <v/>
      </c>
      <c r="BM94" s="37" t="str">
        <f t="array" ref="BM94">IF($A94="","", INDEX(CS!$B$1:$B$15025,MATCH($A94,CS!$B:$B,0)+COLUMN(G$1),1))</f>
        <v/>
      </c>
      <c r="BN94" s="37" t="str">
        <f t="array" ref="BN94">IF($A94="","", INDEX(CS!$B$1:$B$15025,MATCH($A94,CS!$B:$B,0)+COLUMN(H$1),1))</f>
        <v/>
      </c>
      <c r="BO94" s="37" t="str">
        <f t="array" ref="BO94">IF($A94="","", INDEX(CS!$B$1:$B$15025,MATCH($A94,CS!$B:$B,0)+COLUMN(I$1),1))</f>
        <v/>
      </c>
      <c r="BP94" s="37" t="str">
        <f t="array" ref="BP94">IF($A94="","", INDEX(CS!$B$1:$B$15025,MATCH($A94,CS!$B:$B,0)+COLUMN(J$1),1))</f>
        <v/>
      </c>
      <c r="BS94" s="74"/>
      <c r="CQ94" s="37"/>
      <c r="CR94" s="37"/>
    </row>
    <row r="95" ht="18.75" customHeight="1">
      <c r="B95" s="71"/>
      <c r="C95" s="37" t="s">
        <v>2686</v>
      </c>
      <c r="D95" s="72" t="str">
        <f t="shared" si="1"/>
        <v>0/0/0</v>
      </c>
      <c r="E95" s="37">
        <v>1.0</v>
      </c>
      <c r="K95" s="73"/>
      <c r="P95" s="37" t="s">
        <v>29</v>
      </c>
      <c r="Q95" s="64"/>
      <c r="R95" s="64"/>
      <c r="S95" s="64"/>
      <c r="T95" s="64"/>
      <c r="U95" s="64"/>
      <c r="V95" s="64"/>
      <c r="W95" s="64"/>
      <c r="X95" s="64"/>
      <c r="Y95" s="64"/>
      <c r="Z95" s="64"/>
      <c r="AA95" s="64"/>
      <c r="BG95" s="37" t="str">
        <f t="array" ref="BG95">IF($A95="","", INDEX(CS!$B$1:$B$15025,MATCH($A95,CS!$B:$B,0)+COLUMN(A$1),1))</f>
        <v/>
      </c>
      <c r="BH95" s="37" t="str">
        <f t="array" ref="BH95">IF($A95="","", INDEX(CS!$B$1:$B$15025,MATCH($A95,CS!$B:$B,0)+COLUMN(B$1),1))</f>
        <v/>
      </c>
      <c r="BI95" s="37" t="str">
        <f t="array" ref="BI95">IF($A95="","", INDEX(CS!$B$1:$B$15025,MATCH($A95,CS!$B:$B,0)+COLUMN(C$1),1))</f>
        <v/>
      </c>
      <c r="BJ95" s="37" t="str">
        <f t="array" ref="BJ95">IF($A95="","", INDEX(CS!$B$1:$B$15025,MATCH($A95,CS!$B:$B,0)+COLUMN(D$1),1))</f>
        <v/>
      </c>
      <c r="BK95" s="37" t="str">
        <f t="array" ref="BK95">IF($A95="","", INDEX(CS!$B$1:$B$15025,MATCH($A95,CS!$B:$B,0)+COLUMN(E$1),1))</f>
        <v/>
      </c>
      <c r="BL95" s="37" t="str">
        <f t="array" ref="BL95">IF($A95="","", INDEX(CS!$B$1:$B$15025,MATCH($A95,CS!$B:$B,0)+COLUMN(F$1),1))</f>
        <v/>
      </c>
      <c r="BM95" s="37" t="str">
        <f t="array" ref="BM95">IF($A95="","", INDEX(CS!$B$1:$B$15025,MATCH($A95,CS!$B:$B,0)+COLUMN(G$1),1))</f>
        <v/>
      </c>
      <c r="BN95" s="37" t="str">
        <f t="array" ref="BN95">IF($A95="","", INDEX(CS!$B$1:$B$15025,MATCH($A95,CS!$B:$B,0)+COLUMN(H$1),1))</f>
        <v/>
      </c>
      <c r="BO95" s="37" t="str">
        <f t="array" ref="BO95">IF($A95="","", INDEX(CS!$B$1:$B$15025,MATCH($A95,CS!$B:$B,0)+COLUMN(I$1),1))</f>
        <v/>
      </c>
      <c r="BP95" s="37" t="str">
        <f t="array" ref="BP95">IF($A95="","", INDEX(CS!$B$1:$B$15025,MATCH($A95,CS!$B:$B,0)+COLUMN(J$1),1))</f>
        <v/>
      </c>
      <c r="BS95" s="74"/>
      <c r="CQ95" s="37"/>
      <c r="CR95" s="37"/>
    </row>
    <row r="96" ht="18.75" customHeight="1">
      <c r="B96" s="71"/>
      <c r="C96" s="37" t="s">
        <v>2686</v>
      </c>
      <c r="D96" s="72" t="str">
        <f t="shared" si="1"/>
        <v>0/0/0</v>
      </c>
      <c r="E96" s="37">
        <v>1.0</v>
      </c>
      <c r="K96" s="73"/>
      <c r="P96" s="37" t="s">
        <v>29</v>
      </c>
      <c r="Q96" s="64"/>
      <c r="R96" s="64"/>
      <c r="S96" s="64"/>
      <c r="T96" s="64"/>
      <c r="U96" s="64"/>
      <c r="V96" s="64"/>
      <c r="W96" s="64"/>
      <c r="X96" s="64"/>
      <c r="Y96" s="64"/>
      <c r="Z96" s="64"/>
      <c r="AA96" s="64"/>
      <c r="BG96" s="37" t="str">
        <f t="array" ref="BG96">IF($A96="","", INDEX(CS!$B$1:$B$15025,MATCH($A96,CS!$B:$B,0)+COLUMN(A$1),1))</f>
        <v/>
      </c>
      <c r="BH96" s="37" t="str">
        <f t="array" ref="BH96">IF($A96="","", INDEX(CS!$B$1:$B$15025,MATCH($A96,CS!$B:$B,0)+COLUMN(B$1),1))</f>
        <v/>
      </c>
      <c r="BI96" s="37" t="str">
        <f t="array" ref="BI96">IF($A96="","", INDEX(CS!$B$1:$B$15025,MATCH($A96,CS!$B:$B,0)+COLUMN(C$1),1))</f>
        <v/>
      </c>
      <c r="BJ96" s="37" t="str">
        <f t="array" ref="BJ96">IF($A96="","", INDEX(CS!$B$1:$B$15025,MATCH($A96,CS!$B:$B,0)+COLUMN(D$1),1))</f>
        <v/>
      </c>
      <c r="BK96" s="37" t="str">
        <f t="array" ref="BK96">IF($A96="","", INDEX(CS!$B$1:$B$15025,MATCH($A96,CS!$B:$B,0)+COLUMN(E$1),1))</f>
        <v/>
      </c>
      <c r="BL96" s="37" t="str">
        <f t="array" ref="BL96">IF($A96="","", INDEX(CS!$B$1:$B$15025,MATCH($A96,CS!$B:$B,0)+COLUMN(F$1),1))</f>
        <v/>
      </c>
      <c r="BM96" s="37" t="str">
        <f t="array" ref="BM96">IF($A96="","", INDEX(CS!$B$1:$B$15025,MATCH($A96,CS!$B:$B,0)+COLUMN(G$1),1))</f>
        <v/>
      </c>
      <c r="BN96" s="37" t="str">
        <f t="array" ref="BN96">IF($A96="","", INDEX(CS!$B$1:$B$15025,MATCH($A96,CS!$B:$B,0)+COLUMN(H$1),1))</f>
        <v/>
      </c>
      <c r="BO96" s="37" t="str">
        <f t="array" ref="BO96">IF($A96="","", INDEX(CS!$B$1:$B$15025,MATCH($A96,CS!$B:$B,0)+COLUMN(I$1),1))</f>
        <v/>
      </c>
      <c r="BP96" s="37" t="str">
        <f t="array" ref="BP96">IF($A96="","", INDEX(CS!$B$1:$B$15025,MATCH($A96,CS!$B:$B,0)+COLUMN(J$1),1))</f>
        <v/>
      </c>
      <c r="BS96" s="74"/>
      <c r="CQ96" s="37"/>
      <c r="CR96" s="37"/>
    </row>
    <row r="97" ht="18.75" customHeight="1">
      <c r="B97" s="71"/>
      <c r="C97" s="37" t="s">
        <v>2686</v>
      </c>
      <c r="D97" s="72" t="str">
        <f t="shared" si="1"/>
        <v>0/0/0</v>
      </c>
      <c r="E97" s="37">
        <v>1.0</v>
      </c>
      <c r="K97" s="73"/>
      <c r="P97" s="37" t="s">
        <v>29</v>
      </c>
      <c r="Q97" s="64"/>
      <c r="R97" s="64"/>
      <c r="S97" s="64"/>
      <c r="T97" s="64"/>
      <c r="U97" s="64"/>
      <c r="V97" s="64"/>
      <c r="W97" s="64"/>
      <c r="X97" s="64"/>
      <c r="Y97" s="64"/>
      <c r="Z97" s="64"/>
      <c r="AA97" s="64"/>
      <c r="BG97" s="37" t="str">
        <f t="array" ref="BG97">IF($A97="","", INDEX(CS!$B$1:$B$15025,MATCH($A97,CS!$B:$B,0)+COLUMN(A$1),1))</f>
        <v/>
      </c>
      <c r="BH97" s="37" t="str">
        <f t="array" ref="BH97">IF($A97="","", INDEX(CS!$B$1:$B$15025,MATCH($A97,CS!$B:$B,0)+COLUMN(B$1),1))</f>
        <v/>
      </c>
      <c r="BI97" s="37" t="str">
        <f t="array" ref="BI97">IF($A97="","", INDEX(CS!$B$1:$B$15025,MATCH($A97,CS!$B:$B,0)+COLUMN(C$1),1))</f>
        <v/>
      </c>
      <c r="BJ97" s="37" t="str">
        <f t="array" ref="BJ97">IF($A97="","", INDEX(CS!$B$1:$B$15025,MATCH($A97,CS!$B:$B,0)+COLUMN(D$1),1))</f>
        <v/>
      </c>
      <c r="BK97" s="37" t="str">
        <f t="array" ref="BK97">IF($A97="","", INDEX(CS!$B$1:$B$15025,MATCH($A97,CS!$B:$B,0)+COLUMN(E$1),1))</f>
        <v/>
      </c>
      <c r="BL97" s="37" t="str">
        <f t="array" ref="BL97">IF($A97="","", INDEX(CS!$B$1:$B$15025,MATCH($A97,CS!$B:$B,0)+COLUMN(F$1),1))</f>
        <v/>
      </c>
      <c r="BM97" s="37" t="str">
        <f t="array" ref="BM97">IF($A97="","", INDEX(CS!$B$1:$B$15025,MATCH($A97,CS!$B:$B,0)+COLUMN(G$1),1))</f>
        <v/>
      </c>
      <c r="BN97" s="37" t="str">
        <f t="array" ref="BN97">IF($A97="","", INDEX(CS!$B$1:$B$15025,MATCH($A97,CS!$B:$B,0)+COLUMN(H$1),1))</f>
        <v/>
      </c>
      <c r="BO97" s="37" t="str">
        <f t="array" ref="BO97">IF($A97="","", INDEX(CS!$B$1:$B$15025,MATCH($A97,CS!$B:$B,0)+COLUMN(I$1),1))</f>
        <v/>
      </c>
      <c r="BP97" s="37" t="str">
        <f t="array" ref="BP97">IF($A97="","", INDEX(CS!$B$1:$B$15025,MATCH($A97,CS!$B:$B,0)+COLUMN(J$1),1))</f>
        <v/>
      </c>
      <c r="BS97" s="74"/>
      <c r="CQ97" s="37"/>
      <c r="CR97" s="37"/>
    </row>
    <row r="98" ht="18.75" customHeight="1">
      <c r="B98" s="71"/>
      <c r="C98" s="37" t="s">
        <v>2686</v>
      </c>
      <c r="D98" s="72" t="str">
        <f t="shared" si="1"/>
        <v>0/0/0</v>
      </c>
      <c r="E98" s="37">
        <v>1.0</v>
      </c>
      <c r="K98" s="73"/>
      <c r="P98" s="37" t="s">
        <v>29</v>
      </c>
      <c r="Q98" s="64"/>
      <c r="R98" s="64"/>
      <c r="S98" s="64"/>
      <c r="T98" s="64"/>
      <c r="U98" s="64"/>
      <c r="V98" s="64"/>
      <c r="W98" s="64"/>
      <c r="X98" s="64"/>
      <c r="Y98" s="64"/>
      <c r="Z98" s="64"/>
      <c r="AA98" s="64"/>
      <c r="BG98" s="37" t="str">
        <f t="array" ref="BG98">IF($A98="","", INDEX(CS!$B$1:$B$15025,MATCH($A98,CS!$B:$B,0)+COLUMN(A$1),1))</f>
        <v/>
      </c>
      <c r="BH98" s="37" t="str">
        <f t="array" ref="BH98">IF($A98="","", INDEX(CS!$B$1:$B$15025,MATCH($A98,CS!$B:$B,0)+COLUMN(B$1),1))</f>
        <v/>
      </c>
      <c r="BI98" s="37" t="str">
        <f t="array" ref="BI98">IF($A98="","", INDEX(CS!$B$1:$B$15025,MATCH($A98,CS!$B:$B,0)+COLUMN(C$1),1))</f>
        <v/>
      </c>
      <c r="BJ98" s="37" t="str">
        <f t="array" ref="BJ98">IF($A98="","", INDEX(CS!$B$1:$B$15025,MATCH($A98,CS!$B:$B,0)+COLUMN(D$1),1))</f>
        <v/>
      </c>
      <c r="BK98" s="37" t="str">
        <f t="array" ref="BK98">IF($A98="","", INDEX(CS!$B$1:$B$15025,MATCH($A98,CS!$B:$B,0)+COLUMN(E$1),1))</f>
        <v/>
      </c>
      <c r="BL98" s="37" t="str">
        <f t="array" ref="BL98">IF($A98="","", INDEX(CS!$B$1:$B$15025,MATCH($A98,CS!$B:$B,0)+COLUMN(F$1),1))</f>
        <v/>
      </c>
      <c r="BM98" s="37" t="str">
        <f t="array" ref="BM98">IF($A98="","", INDEX(CS!$B$1:$B$15025,MATCH($A98,CS!$B:$B,0)+COLUMN(G$1),1))</f>
        <v/>
      </c>
      <c r="BN98" s="37" t="str">
        <f t="array" ref="BN98">IF($A98="","", INDEX(CS!$B$1:$B$15025,MATCH($A98,CS!$B:$B,0)+COLUMN(H$1),1))</f>
        <v/>
      </c>
      <c r="BO98" s="37" t="str">
        <f t="array" ref="BO98">IF($A98="","", INDEX(CS!$B$1:$B$15025,MATCH($A98,CS!$B:$B,0)+COLUMN(I$1),1))</f>
        <v/>
      </c>
      <c r="BP98" s="37" t="str">
        <f t="array" ref="BP98">IF($A98="","", INDEX(CS!$B$1:$B$15025,MATCH($A98,CS!$B:$B,0)+COLUMN(J$1),1))</f>
        <v/>
      </c>
      <c r="BS98" s="74"/>
      <c r="CQ98" s="37"/>
      <c r="CR98" s="37"/>
    </row>
    <row r="99" ht="18.75" customHeight="1">
      <c r="B99" s="85" t="s">
        <v>2798</v>
      </c>
      <c r="D99" s="72" t="str">
        <f t="shared" si="1"/>
        <v>0/0/0</v>
      </c>
      <c r="E99" s="37">
        <v>1.0</v>
      </c>
      <c r="K99" s="73"/>
      <c r="P99" s="37" t="s">
        <v>29</v>
      </c>
      <c r="Q99" s="64"/>
      <c r="R99" s="64"/>
      <c r="S99" s="64"/>
      <c r="T99" s="64"/>
      <c r="U99" s="64"/>
      <c r="V99" s="64"/>
      <c r="W99" s="64"/>
      <c r="X99" s="64"/>
      <c r="Y99" s="64"/>
      <c r="Z99" s="64"/>
      <c r="AA99" s="64"/>
      <c r="BG99" s="37" t="str">
        <f t="array" ref="BG99">IF($A99="","", INDEX(CS!$B$1:$B$15025,MATCH($A99,CS!$B:$B,0)+COLUMN(A$1),1))</f>
        <v/>
      </c>
      <c r="BH99" s="37" t="str">
        <f t="array" ref="BH99">IF($A99="","", INDEX(CS!$B$1:$B$15025,MATCH($A99,CS!$B:$B,0)+COLUMN(B$1),1))</f>
        <v/>
      </c>
      <c r="BI99" s="37" t="str">
        <f t="array" ref="BI99">IF($A99="","", INDEX(CS!$B$1:$B$15025,MATCH($A99,CS!$B:$B,0)+COLUMN(C$1),1))</f>
        <v/>
      </c>
      <c r="BJ99" s="37" t="str">
        <f t="array" ref="BJ99">IF($A99="","", INDEX(CS!$B$1:$B$15025,MATCH($A99,CS!$B:$B,0)+COLUMN(D$1),1))</f>
        <v/>
      </c>
      <c r="BK99" s="37" t="str">
        <f t="array" ref="BK99">IF($A99="","", INDEX(CS!$B$1:$B$15025,MATCH($A99,CS!$B:$B,0)+COLUMN(E$1),1))</f>
        <v/>
      </c>
      <c r="BL99" s="37" t="str">
        <f t="array" ref="BL99">IF($A99="","", INDEX(CS!$B$1:$B$15025,MATCH($A99,CS!$B:$B,0)+COLUMN(F$1),1))</f>
        <v/>
      </c>
      <c r="BM99" s="37" t="str">
        <f t="array" ref="BM99">IF($A99="","", INDEX(CS!$B$1:$B$15025,MATCH($A99,CS!$B:$B,0)+COLUMN(G$1),1))</f>
        <v/>
      </c>
      <c r="BN99" s="37" t="str">
        <f t="array" ref="BN99">IF($A99="","", INDEX(CS!$B$1:$B$15025,MATCH($A99,CS!$B:$B,0)+COLUMN(H$1),1))</f>
        <v/>
      </c>
      <c r="BO99" s="37" t="str">
        <f t="array" ref="BO99">IF($A99="","", INDEX(CS!$B$1:$B$15025,MATCH($A99,CS!$B:$B,0)+COLUMN(I$1),1))</f>
        <v/>
      </c>
      <c r="BP99" s="37" t="str">
        <f t="array" ref="BP99">IF($A99="","", INDEX(CS!$B$1:$B$15025,MATCH($A99,CS!$B:$B,0)+COLUMN(J$1),1))</f>
        <v/>
      </c>
      <c r="BS99" s="74"/>
      <c r="CQ99" s="37"/>
      <c r="CR99" s="37"/>
    </row>
    <row r="100" ht="18.75" customHeight="1" outlineLevel="1">
      <c r="A100" s="37" t="s">
        <v>1101</v>
      </c>
      <c r="B100" s="71" t="s">
        <v>1102</v>
      </c>
      <c r="C100" s="39" t="s">
        <v>2799</v>
      </c>
      <c r="D100" s="72" t="str">
        <f t="shared" si="1"/>
        <v>710/460/250</v>
      </c>
      <c r="E100" s="37">
        <v>1.0</v>
      </c>
      <c r="F100" s="37">
        <v>85.0</v>
      </c>
      <c r="I100" s="37">
        <v>90.0</v>
      </c>
      <c r="J100" s="37">
        <v>80.0</v>
      </c>
      <c r="K100" s="73">
        <v>25.0</v>
      </c>
      <c r="L100" s="37">
        <v>50.0</v>
      </c>
      <c r="M100" s="37">
        <v>55.0</v>
      </c>
      <c r="N100" s="37">
        <v>75.0</v>
      </c>
      <c r="P100" s="37">
        <v>0.0</v>
      </c>
      <c r="Q100" s="64"/>
      <c r="R100" s="64"/>
      <c r="S100" s="64"/>
      <c r="T100" s="64"/>
      <c r="U100" s="64"/>
      <c r="V100" s="64"/>
      <c r="W100" s="64"/>
      <c r="X100" s="64"/>
      <c r="Y100" s="64"/>
      <c r="Z100" s="64"/>
      <c r="AA100" s="64"/>
      <c r="AJ100" s="39">
        <v>75.0</v>
      </c>
      <c r="AK100" s="39">
        <v>50.0</v>
      </c>
      <c r="AL100" s="39">
        <v>25.0</v>
      </c>
      <c r="AM100" s="39">
        <v>25.0</v>
      </c>
      <c r="AN100" s="39">
        <v>25.0</v>
      </c>
      <c r="AO100" s="39">
        <v>0.0</v>
      </c>
      <c r="AP100" s="39">
        <v>0.0</v>
      </c>
      <c r="AQ100" s="39">
        <v>0.0</v>
      </c>
      <c r="AR100" s="39">
        <v>25.0</v>
      </c>
      <c r="AS100" s="39">
        <v>0.0</v>
      </c>
      <c r="AT100" s="39">
        <v>0.0</v>
      </c>
      <c r="AU100" s="39">
        <v>0.0</v>
      </c>
      <c r="AV100" s="39">
        <v>0.0</v>
      </c>
      <c r="AW100" s="39">
        <v>25.0</v>
      </c>
      <c r="AX100" s="39">
        <v>0.0</v>
      </c>
      <c r="AY100" s="39">
        <v>0.0</v>
      </c>
      <c r="AZ100" s="39">
        <v>0.0</v>
      </c>
      <c r="BG100" s="37" t="str">
        <f t="array" ref="BG100">IF($A100="","", INDEX(CS!$B$1:$B$15025,MATCH($A100,CS!$B:$B,0)+COLUMN(A$1),1))</f>
        <v/>
      </c>
      <c r="BH100" s="37" t="str">
        <f t="array" ref="BH100">IF($A100="","", INDEX(CS!$B$1:$B$15025,MATCH($A100,CS!$B:$B,0)+COLUMN(B$1),1))</f>
        <v>闘気撃</v>
      </c>
      <c r="BI100" s="37" t="str">
        <f t="array" ref="BI100">IF($A100="","", INDEX(CS!$B$1:$B$15025,MATCH($A100,CS!$B:$B,0)+COLUMN(C$1),1))</f>
        <v>武器の扱い</v>
      </c>
      <c r="BJ100" s="37" t="str">
        <f t="array" ref="BJ100">IF($A100="","", INDEX(CS!$B$1:$B$15025,MATCH($A100,CS!$B:$B,0)+COLUMN(D$1),1))</f>
        <v/>
      </c>
      <c r="BK100" s="37" t="str">
        <f t="array" ref="BK100">IF($A100="","", INDEX(CS!$B$1:$B$15025,MATCH($A100,CS!$B:$B,0)+COLUMN(E$1),1))</f>
        <v>闘気守</v>
      </c>
      <c r="BL100" s="37" t="str">
        <f t="array" ref="BL100">IF($A100="","", INDEX(CS!$B$1:$B$15025,MATCH($A100,CS!$B:$B,0)+COLUMN(F$1),1))</f>
        <v/>
      </c>
      <c r="BM100" s="37" t="str">
        <f t="array" ref="BM100">IF($A100="","", INDEX(CS!$B$1:$B$15025,MATCH($A100,CS!$B:$B,0)+COLUMN(G$1),1))</f>
        <v/>
      </c>
      <c r="BN100" s="37" t="str">
        <f t="array" ref="BN100">IF($A100="","", INDEX(CS!$B$1:$B$15025,MATCH($A100,CS!$B:$B,0)+COLUMN(H$1),1))</f>
        <v>雄叫び</v>
      </c>
      <c r="BO100" s="37" t="str">
        <f t="array" ref="BO100">IF($A100="","", INDEX(CS!$B$1:$B$15025,MATCH($A100,CS!$B:$B,0)+COLUMN(I$1),1))</f>
        <v>武器の攻め</v>
      </c>
      <c r="BP100" s="37" t="str">
        <f t="array" ref="BP100">IF($A100="","", INDEX(CS!$B$1:$B$15025,MATCH($A100,CS!$B:$B,0)+COLUMN(J$1),1))</f>
        <v>一閃撃</v>
      </c>
      <c r="BS100" s="74"/>
      <c r="CG100" s="37" t="s">
        <v>2800</v>
      </c>
      <c r="CJ100" s="37" t="s">
        <v>2801</v>
      </c>
      <c r="CK100" s="37" t="s">
        <v>2802</v>
      </c>
      <c r="CN100" s="37" t="s">
        <v>1102</v>
      </c>
      <c r="CQ100" s="37"/>
      <c r="CR100" s="37"/>
    </row>
    <row r="101" ht="18.75" customHeight="1" outlineLevel="1">
      <c r="A101" s="37" t="s">
        <v>1119</v>
      </c>
      <c r="B101" s="71" t="s">
        <v>2803</v>
      </c>
      <c r="C101" s="39" t="s">
        <v>2799</v>
      </c>
      <c r="D101" s="72" t="str">
        <f t="shared" si="1"/>
        <v>710/460/250</v>
      </c>
      <c r="E101" s="37">
        <v>1.0</v>
      </c>
      <c r="F101" s="37">
        <v>85.0</v>
      </c>
      <c r="I101" s="37">
        <v>80.0</v>
      </c>
      <c r="J101" s="37">
        <v>90.0</v>
      </c>
      <c r="K101" s="73">
        <v>25.0</v>
      </c>
      <c r="L101" s="37">
        <v>55.0</v>
      </c>
      <c r="M101" s="37">
        <v>50.0</v>
      </c>
      <c r="N101" s="37">
        <v>75.0</v>
      </c>
      <c r="P101" s="37">
        <v>0.0</v>
      </c>
      <c r="Q101" s="64"/>
      <c r="R101" s="64"/>
      <c r="S101" s="64"/>
      <c r="T101" s="64"/>
      <c r="U101" s="64"/>
      <c r="V101" s="64"/>
      <c r="W101" s="64"/>
      <c r="X101" s="64"/>
      <c r="Y101" s="64"/>
      <c r="Z101" s="64"/>
      <c r="AA101" s="64"/>
      <c r="AJ101" s="39">
        <v>100.0</v>
      </c>
      <c r="AK101" s="39">
        <v>0.0</v>
      </c>
      <c r="AL101" s="39">
        <v>25.0</v>
      </c>
      <c r="AM101" s="39">
        <v>25.0</v>
      </c>
      <c r="AN101" s="39">
        <v>25.0</v>
      </c>
      <c r="AO101" s="39">
        <v>0.0</v>
      </c>
      <c r="AP101" s="39">
        <v>0.0</v>
      </c>
      <c r="AQ101" s="39">
        <v>0.0</v>
      </c>
      <c r="AR101" s="39">
        <v>25.0</v>
      </c>
      <c r="AS101" s="39">
        <v>0.0</v>
      </c>
      <c r="AT101" s="39">
        <v>0.0</v>
      </c>
      <c r="AU101" s="39">
        <v>0.0</v>
      </c>
      <c r="AV101" s="39">
        <v>0.0</v>
      </c>
      <c r="AW101" s="39">
        <v>50.0</v>
      </c>
      <c r="AX101" s="39">
        <v>0.0</v>
      </c>
      <c r="AY101" s="39">
        <v>0.0</v>
      </c>
      <c r="AZ101" s="39">
        <v>0.0</v>
      </c>
      <c r="BG101" s="37" t="str">
        <f t="array" ref="BG101">IF($A101="","", INDEX(CS!$B$1:$B$15025,MATCH($A101,CS!$B:$B,0)+COLUMN(A$1),1))</f>
        <v/>
      </c>
      <c r="BH101" s="37" t="str">
        <f t="array" ref="BH101">IF($A101="","", INDEX(CS!$B$1:$B$15025,MATCH($A101,CS!$B:$B,0)+COLUMN(B$1),1))</f>
        <v>闘気守</v>
      </c>
      <c r="BI101" s="37" t="str">
        <f t="array" ref="BI101">IF($A101="","", INDEX(CS!$B$1:$B$15025,MATCH($A101,CS!$B:$B,0)+COLUMN(C$1),1))</f>
        <v>武器の扱い</v>
      </c>
      <c r="BJ101" s="37" t="str">
        <f t="array" ref="BJ101">IF($A101="","", INDEX(CS!$B$1:$B$15025,MATCH($A101,CS!$B:$B,0)+COLUMN(D$1),1))</f>
        <v/>
      </c>
      <c r="BK101" s="37" t="str">
        <f t="array" ref="BK101">IF($A101="","", INDEX(CS!$B$1:$B$15025,MATCH($A101,CS!$B:$B,0)+COLUMN(E$1),1))</f>
        <v>闘気撃</v>
      </c>
      <c r="BL101" s="37" t="str">
        <f t="array" ref="BL101">IF($A101="","", INDEX(CS!$B$1:$B$15025,MATCH($A101,CS!$B:$B,0)+COLUMN(F$1),1))</f>
        <v>反撃</v>
      </c>
      <c r="BM101" s="37" t="str">
        <f t="array" ref="BM101">IF($A101="","", INDEX(CS!$B$1:$B$15025,MATCH($A101,CS!$B:$B,0)+COLUMN(G$1),1))</f>
        <v/>
      </c>
      <c r="BN101" s="37" t="str">
        <f t="array" ref="BN101">IF($A101="","", INDEX(CS!$B$1:$B$15025,MATCH($A101,CS!$B:$B,0)+COLUMN(H$1),1))</f>
        <v>雄叫び</v>
      </c>
      <c r="BO101" s="37" t="str">
        <f t="array" ref="BO101">IF($A101="","", INDEX(CS!$B$1:$B$15025,MATCH($A101,CS!$B:$B,0)+COLUMN(I$1),1))</f>
        <v>武器の守り</v>
      </c>
      <c r="BP101" s="37" t="str">
        <f t="array" ref="BP101">IF($A101="","", INDEX(CS!$B$1:$B$15025,MATCH($A101,CS!$B:$B,0)+COLUMN(J$1),1))</f>
        <v>一閃撃</v>
      </c>
      <c r="BS101" s="74"/>
      <c r="CG101" s="37" t="s">
        <v>2804</v>
      </c>
      <c r="CH101" s="37" t="s">
        <v>2805</v>
      </c>
      <c r="CJ101" s="37" t="s">
        <v>2801</v>
      </c>
      <c r="CK101" s="37" t="s">
        <v>2802</v>
      </c>
      <c r="CN101" s="37" t="s">
        <v>1102</v>
      </c>
      <c r="CQ101" s="37"/>
      <c r="CR101" s="37"/>
    </row>
    <row r="102" ht="18.75" customHeight="1" outlineLevel="1">
      <c r="A102" s="37" t="s">
        <v>1124</v>
      </c>
      <c r="B102" s="71" t="s">
        <v>2806</v>
      </c>
      <c r="C102" s="39" t="s">
        <v>2799</v>
      </c>
      <c r="D102" s="72" t="str">
        <f t="shared" si="1"/>
        <v>710/460/250</v>
      </c>
      <c r="E102" s="37">
        <v>1.0</v>
      </c>
      <c r="F102" s="37">
        <v>85.0</v>
      </c>
      <c r="I102" s="37">
        <v>80.0</v>
      </c>
      <c r="J102" s="37">
        <v>55.0</v>
      </c>
      <c r="K102" s="73">
        <v>25.0</v>
      </c>
      <c r="L102" s="37">
        <v>50.0</v>
      </c>
      <c r="M102" s="37">
        <v>90.0</v>
      </c>
      <c r="N102" s="37">
        <v>75.0</v>
      </c>
      <c r="P102" s="37">
        <v>0.0</v>
      </c>
      <c r="Q102" s="64"/>
      <c r="R102" s="64"/>
      <c r="S102" s="64"/>
      <c r="T102" s="64"/>
      <c r="U102" s="64"/>
      <c r="V102" s="64"/>
      <c r="W102" s="64"/>
      <c r="X102" s="64"/>
      <c r="Y102" s="64"/>
      <c r="Z102" s="64"/>
      <c r="AA102" s="64"/>
      <c r="AJ102" s="39">
        <v>50.0</v>
      </c>
      <c r="AK102" s="39">
        <v>50.0</v>
      </c>
      <c r="AL102" s="39">
        <v>25.0</v>
      </c>
      <c r="AM102" s="39">
        <v>50.0</v>
      </c>
      <c r="AN102" s="39">
        <v>25.0</v>
      </c>
      <c r="AO102" s="39">
        <v>0.0</v>
      </c>
      <c r="AP102" s="39">
        <v>0.0</v>
      </c>
      <c r="AQ102" s="39">
        <v>0.0</v>
      </c>
      <c r="AR102" s="39">
        <v>25.0</v>
      </c>
      <c r="AS102" s="39">
        <v>0.0</v>
      </c>
      <c r="AT102" s="39">
        <v>0.0</v>
      </c>
      <c r="AU102" s="39">
        <v>0.0</v>
      </c>
      <c r="AV102" s="39">
        <v>0.0</v>
      </c>
      <c r="AW102" s="39">
        <v>25.0</v>
      </c>
      <c r="AX102" s="39">
        <v>0.0</v>
      </c>
      <c r="AY102" s="39">
        <v>0.0</v>
      </c>
      <c r="AZ102" s="39">
        <v>0.0</v>
      </c>
      <c r="BG102" s="37" t="str">
        <f t="array" ref="BG102">IF($A102="","", INDEX(CS!$B$1:$B$15025,MATCH($A102,CS!$B:$B,0)+COLUMN(A$1),1))</f>
        <v/>
      </c>
      <c r="BH102" s="37" t="str">
        <f t="array" ref="BH102">IF($A102="","", INDEX(CS!$B$1:$B$15025,MATCH($A102,CS!$B:$B,0)+COLUMN(B$1),1))</f>
        <v>闘気撃</v>
      </c>
      <c r="BI102" s="37" t="str">
        <f t="array" ref="BI102">IF($A102="","", INDEX(CS!$B$1:$B$15025,MATCH($A102,CS!$B:$B,0)+COLUMN(C$1),1))</f>
        <v>武器の扱い</v>
      </c>
      <c r="BJ102" s="37" t="str">
        <f t="array" ref="BJ102">IF($A102="","", INDEX(CS!$B$1:$B$15025,MATCH($A102,CS!$B:$B,0)+COLUMN(D$1),1))</f>
        <v/>
      </c>
      <c r="BK102" s="37" t="str">
        <f t="array" ref="BK102">IF($A102="","", INDEX(CS!$B$1:$B$15025,MATCH($A102,CS!$B:$B,0)+COLUMN(E$1),1))</f>
        <v>闘気速</v>
      </c>
      <c r="BL102" s="37" t="str">
        <f t="array" ref="BL102">IF($A102="","", INDEX(CS!$B$1:$B$15025,MATCH($A102,CS!$B:$B,0)+COLUMN(F$1),1))</f>
        <v/>
      </c>
      <c r="BM102" s="37" t="str">
        <f t="array" ref="BM102">IF($A102="","", INDEX(CS!$B$1:$B$15025,MATCH($A102,CS!$B:$B,0)+COLUMN(G$1),1))</f>
        <v/>
      </c>
      <c r="BN102" s="37" t="str">
        <f t="array" ref="BN102">IF($A102="","", INDEX(CS!$B$1:$B$15025,MATCH($A102,CS!$B:$B,0)+COLUMN(H$1),1))</f>
        <v>雄叫び</v>
      </c>
      <c r="BO102" s="37" t="str">
        <f t="array" ref="BO102">IF($A102="","", INDEX(CS!$B$1:$B$15025,MATCH($A102,CS!$B:$B,0)+COLUMN(I$1),1))</f>
        <v>武器の攻め</v>
      </c>
      <c r="BP102" s="37" t="str">
        <f t="array" ref="BP102">IF($A102="","", INDEX(CS!$B$1:$B$15025,MATCH($A102,CS!$B:$B,0)+COLUMN(J$1),1))</f>
        <v>一閃撃</v>
      </c>
      <c r="BS102" s="74"/>
      <c r="CG102" s="37" t="s">
        <v>2807</v>
      </c>
      <c r="CI102" s="37" t="s">
        <v>2808</v>
      </c>
      <c r="CJ102" s="37" t="s">
        <v>2809</v>
      </c>
      <c r="CK102" s="37" t="s">
        <v>2802</v>
      </c>
      <c r="CN102" s="37" t="s">
        <v>1102</v>
      </c>
      <c r="CQ102" s="37"/>
      <c r="CR102" s="37"/>
    </row>
    <row r="103" ht="18.75" customHeight="1" outlineLevel="1">
      <c r="A103" s="39" t="s">
        <v>1129</v>
      </c>
      <c r="B103" s="89" t="s">
        <v>1130</v>
      </c>
      <c r="C103" s="39" t="s">
        <v>2810</v>
      </c>
      <c r="D103" s="72" t="str">
        <f t="shared" si="1"/>
        <v>710/455/255</v>
      </c>
      <c r="E103" s="39">
        <v>1.0</v>
      </c>
      <c r="F103" s="39">
        <v>80.0</v>
      </c>
      <c r="I103" s="39">
        <v>80.0</v>
      </c>
      <c r="J103" s="39">
        <v>75.0</v>
      </c>
      <c r="K103" s="87">
        <v>25.0</v>
      </c>
      <c r="L103" s="39">
        <v>45.0</v>
      </c>
      <c r="M103" s="39">
        <v>75.0</v>
      </c>
      <c r="N103" s="39">
        <v>75.0</v>
      </c>
      <c r="P103" s="37">
        <v>0.0</v>
      </c>
      <c r="Q103" s="64"/>
      <c r="R103" s="64"/>
      <c r="S103" s="64"/>
      <c r="T103" s="64"/>
      <c r="U103" s="64"/>
      <c r="V103" s="64"/>
      <c r="W103" s="64"/>
      <c r="X103" s="64"/>
      <c r="Y103" s="64"/>
      <c r="Z103" s="64"/>
      <c r="AA103" s="64"/>
      <c r="AJ103" s="39">
        <v>50.0</v>
      </c>
      <c r="AK103" s="39">
        <v>50.0</v>
      </c>
      <c r="AL103" s="39">
        <v>25.0</v>
      </c>
      <c r="AM103" s="39">
        <v>55.0</v>
      </c>
      <c r="AN103" s="39">
        <v>25.0</v>
      </c>
      <c r="AO103" s="39">
        <v>0.0</v>
      </c>
      <c r="AP103" s="39">
        <v>0.0</v>
      </c>
      <c r="AQ103" s="39">
        <v>0.0</v>
      </c>
      <c r="AR103" s="39">
        <v>25.0</v>
      </c>
      <c r="AS103" s="39">
        <v>0.0</v>
      </c>
      <c r="AT103" s="39">
        <v>0.0</v>
      </c>
      <c r="AU103" s="39">
        <v>0.0</v>
      </c>
      <c r="AV103" s="39">
        <v>0.0</v>
      </c>
      <c r="AW103" s="39">
        <v>25.0</v>
      </c>
      <c r="AX103" s="39">
        <v>0.0</v>
      </c>
      <c r="AY103" s="39">
        <v>0.0</v>
      </c>
      <c r="AZ103" s="39">
        <v>0.0</v>
      </c>
      <c r="BG103" s="37" t="str">
        <f t="array" ref="BG103">IF($A103="","",IFERROR(INDEX(CS!$B$1:$B$15025,MATCH($A103,CS!$B:$B,0)+COLUMN(A$1),1),""))</f>
        <v/>
      </c>
      <c r="BH103" s="37" t="str">
        <f t="array" ref="BH103">IF($A103="","",IFERROR(INDEX(CS!$B$1:$B$15025,MATCH($A103,CS!$B:$B,0)+COLUMN(B$1),1),""))</f>
        <v>闘気撃</v>
      </c>
      <c r="BI103" s="37" t="str">
        <f t="array" ref="BI103">IF($A103="","",IFERROR(INDEX(CS!$B$1:$B$15025,MATCH($A103,CS!$B:$B,0)+COLUMN(C$1),1),""))</f>
        <v>素手の扱い</v>
      </c>
      <c r="BJ103" s="37" t="str">
        <f t="array" ref="BJ103">IF($A103="","",IFERROR(INDEX(CS!$B$1:$B$15025,MATCH($A103,CS!$B:$B,0)+COLUMN(D$1),1),""))</f>
        <v/>
      </c>
      <c r="BK103" s="37" t="str">
        <f t="array" ref="BK103">IF($A103="","",IFERROR(INDEX(CS!$B$1:$B$15025,MATCH($A103,CS!$B:$B,0)+COLUMN(E$1),1),""))</f>
        <v>闘気速</v>
      </c>
      <c r="BL103" s="37" t="str">
        <f t="array" ref="BL103">IF($A103="","",IFERROR(INDEX(CS!$B$1:$B$15025,MATCH($A103,CS!$B:$B,0)+COLUMN(F$1),1),""))</f>
        <v/>
      </c>
      <c r="BM103" s="37" t="str">
        <f t="array" ref="BM103">IF($A103="","",IFERROR(INDEX(CS!$B$1:$B$15025,MATCH($A103,CS!$B:$B,0)+COLUMN(G$1),1),""))</f>
        <v/>
      </c>
      <c r="BN103" s="37" t="str">
        <f t="array" ref="BN103">IF($A103="","",IFERROR(INDEX(CS!$B$1:$B$15025,MATCH($A103,CS!$B:$B,0)+COLUMN(H$1),1),""))</f>
        <v>雄叫び</v>
      </c>
      <c r="BO103" s="37" t="str">
        <f t="array" ref="BO103">IF($A103="","",IFERROR(INDEX(CS!$B$1:$B$15025,MATCH($A103,CS!$B:$B,0)+COLUMN(I$1),1),""))</f>
        <v>武器の攻め</v>
      </c>
      <c r="BP103" s="37" t="str">
        <f t="array" ref="BP103">IF($A103="","",IFERROR(INDEX(CS!$B$1:$B$15025,MATCH($A103,CS!$B:$B,0)+COLUMN(J$1),1),""))</f>
        <v>一閃撃</v>
      </c>
      <c r="BS103" s="74"/>
      <c r="CQ103" s="37"/>
      <c r="CR103" s="37"/>
    </row>
    <row r="104" ht="18.75" customHeight="1" outlineLevel="2">
      <c r="A104" s="37" t="s">
        <v>1135</v>
      </c>
      <c r="B104" s="71" t="s">
        <v>2811</v>
      </c>
      <c r="C104" s="39" t="s">
        <v>2812</v>
      </c>
      <c r="D104" s="72" t="str">
        <f t="shared" si="1"/>
        <v>710/445/265</v>
      </c>
      <c r="E104" s="37">
        <v>1.0</v>
      </c>
      <c r="F104" s="37">
        <v>75.0</v>
      </c>
      <c r="I104" s="37">
        <v>75.0</v>
      </c>
      <c r="J104" s="37">
        <v>50.0</v>
      </c>
      <c r="K104" s="73">
        <v>25.0</v>
      </c>
      <c r="L104" s="37">
        <v>50.0</v>
      </c>
      <c r="M104" s="37">
        <v>85.0</v>
      </c>
      <c r="N104" s="37">
        <v>85.0</v>
      </c>
      <c r="P104" s="37">
        <v>0.0</v>
      </c>
      <c r="Q104" s="64"/>
      <c r="R104" s="64"/>
      <c r="S104" s="64"/>
      <c r="T104" s="64"/>
      <c r="U104" s="64"/>
      <c r="V104" s="64"/>
      <c r="W104" s="64"/>
      <c r="X104" s="64"/>
      <c r="Y104" s="64"/>
      <c r="Z104" s="64"/>
      <c r="AA104" s="64"/>
      <c r="AJ104" s="39">
        <v>0.0</v>
      </c>
      <c r="AK104" s="39">
        <v>25.0</v>
      </c>
      <c r="AL104" s="39">
        <v>0.0</v>
      </c>
      <c r="AM104" s="39">
        <v>50.0</v>
      </c>
      <c r="AN104" s="39">
        <v>25.0</v>
      </c>
      <c r="AO104" s="39">
        <v>0.0</v>
      </c>
      <c r="AP104" s="39">
        <v>0.0</v>
      </c>
      <c r="AQ104" s="39">
        <v>90.0</v>
      </c>
      <c r="AR104" s="39">
        <v>75.0</v>
      </c>
      <c r="AS104" s="39">
        <v>0.0</v>
      </c>
      <c r="AT104" s="39">
        <v>0.0</v>
      </c>
      <c r="AU104" s="39">
        <v>0.0</v>
      </c>
      <c r="AV104" s="39">
        <v>0.0</v>
      </c>
      <c r="AW104" s="39">
        <v>0.0</v>
      </c>
      <c r="AX104" s="39">
        <v>0.0</v>
      </c>
      <c r="AY104" s="39">
        <v>0.0</v>
      </c>
      <c r="AZ104" s="39">
        <v>0.0</v>
      </c>
      <c r="BG104" s="37" t="str">
        <f t="array" ref="BG104">IF($A104="","", INDEX(CS!$B$1:$B$15025,MATCH($A104,CS!$B:$B,0)+COLUMN(A$1),1))</f>
        <v/>
      </c>
      <c r="BH104" s="37" t="str">
        <f t="array" ref="BH104">IF($A104="","", INDEX(CS!$B$1:$B$15025,MATCH($A104,CS!$B:$B,0)+COLUMN(B$1),1))</f>
        <v>急所撃</v>
      </c>
      <c r="BI104" s="37" t="str">
        <f t="array" ref="BI104">IF($A104="","", INDEX(CS!$B$1:$B$15025,MATCH($A104,CS!$B:$B,0)+COLUMN(C$1),1))</f>
        <v>隠密</v>
      </c>
      <c r="BJ104" s="37" t="str">
        <f t="array" ref="BJ104">IF($A104="","", INDEX(CS!$B$1:$B$15025,MATCH($A104,CS!$B:$B,0)+COLUMN(D$1),1))</f>
        <v/>
      </c>
      <c r="BK104" s="37" t="str">
        <f t="array" ref="BK104">IF($A104="","", INDEX(CS!$B$1:$B$15025,MATCH($A104,CS!$B:$B,0)+COLUMN(E$1),1))</f>
        <v>痛撃</v>
      </c>
      <c r="BL104" s="37" t="str">
        <f t="array" ref="BL104">IF($A104="","", INDEX(CS!$B$1:$B$15025,MATCH($A104,CS!$B:$B,0)+COLUMN(F$1),1))</f>
        <v>罠技術</v>
      </c>
      <c r="BM104" s="37" t="str">
        <f t="array" ref="BM104">IF($A104="","", INDEX(CS!$B$1:$B$15025,MATCH($A104,CS!$B:$B,0)+COLUMN(G$1),1))</f>
        <v/>
      </c>
      <c r="BN104" s="37" t="str">
        <f t="array" ref="BN104">IF($A104="","", INDEX(CS!$B$1:$B$15025,MATCH($A104,CS!$B:$B,0)+COLUMN(H$1),1))</f>
        <v>狙い</v>
      </c>
      <c r="BO104" s="37" t="str">
        <f t="array" ref="BO104">IF($A104="","", INDEX(CS!$B$1:$B$15025,MATCH($A104,CS!$B:$B,0)+COLUMN(I$1),1))</f>
        <v/>
      </c>
      <c r="BP104" s="37" t="str">
        <f t="array" ref="BP104">IF($A104="","", INDEX(CS!$B$1:$B$15025,MATCH($A104,CS!$B:$B,0)+COLUMN(J$1),1))</f>
        <v/>
      </c>
      <c r="BS104" s="74"/>
      <c r="CG104" s="37" t="s">
        <v>2813</v>
      </c>
      <c r="CJ104" s="37" t="s">
        <v>2809</v>
      </c>
      <c r="CK104" s="37" t="s">
        <v>2802</v>
      </c>
      <c r="CN104" s="37" t="s">
        <v>2814</v>
      </c>
      <c r="CQ104" s="37"/>
      <c r="CR104" s="37"/>
    </row>
    <row r="105" ht="18.75" customHeight="1" outlineLevel="2">
      <c r="A105" s="37" t="s">
        <v>1147</v>
      </c>
      <c r="B105" s="71" t="s">
        <v>2814</v>
      </c>
      <c r="C105" s="39" t="s">
        <v>2812</v>
      </c>
      <c r="D105" s="72" t="str">
        <f t="shared" si="1"/>
        <v>710/460/250</v>
      </c>
      <c r="E105" s="37">
        <v>1.0</v>
      </c>
      <c r="F105" s="37">
        <v>75.0</v>
      </c>
      <c r="I105" s="37">
        <v>75.0</v>
      </c>
      <c r="J105" s="37">
        <v>75.0</v>
      </c>
      <c r="K105" s="73">
        <v>25.0</v>
      </c>
      <c r="L105" s="37">
        <v>50.0</v>
      </c>
      <c r="M105" s="37">
        <v>75.0</v>
      </c>
      <c r="N105" s="37">
        <v>85.0</v>
      </c>
      <c r="P105" s="37">
        <v>0.0</v>
      </c>
      <c r="Q105" s="64"/>
      <c r="R105" s="64"/>
      <c r="S105" s="64"/>
      <c r="T105" s="64"/>
      <c r="U105" s="64"/>
      <c r="V105" s="64"/>
      <c r="W105" s="64"/>
      <c r="X105" s="64"/>
      <c r="Y105" s="64"/>
      <c r="Z105" s="64"/>
      <c r="AA105" s="64"/>
      <c r="AJ105" s="39">
        <v>0.0</v>
      </c>
      <c r="AK105" s="39">
        <v>0.0</v>
      </c>
      <c r="AL105" s="39">
        <v>0.0</v>
      </c>
      <c r="AM105" s="39">
        <v>50.0</v>
      </c>
      <c r="AN105" s="39">
        <v>35.0</v>
      </c>
      <c r="AO105" s="39">
        <v>0.0</v>
      </c>
      <c r="AP105" s="39">
        <v>0.0</v>
      </c>
      <c r="AQ105" s="39">
        <v>75.0</v>
      </c>
      <c r="AR105" s="39">
        <v>90.0</v>
      </c>
      <c r="AS105" s="39">
        <v>0.0</v>
      </c>
      <c r="AT105" s="39">
        <v>0.0</v>
      </c>
      <c r="AU105" s="39">
        <v>0.0</v>
      </c>
      <c r="AV105" s="39">
        <v>0.0</v>
      </c>
      <c r="AW105" s="39">
        <v>0.0</v>
      </c>
      <c r="AX105" s="39">
        <v>0.0</v>
      </c>
      <c r="AY105" s="39">
        <v>0.0</v>
      </c>
      <c r="AZ105" s="39">
        <v>0.0</v>
      </c>
      <c r="BG105" s="37" t="str">
        <f t="array" ref="BG105">IF($A105="","", INDEX(CS!$B$1:$B$15025,MATCH($A105,CS!$B:$B,0)+COLUMN(A$1),1))</f>
        <v>急所撃</v>
      </c>
      <c r="BH105" s="37" t="str">
        <f t="array" ref="BH105">IF($A105="","", INDEX(CS!$B$1:$B$15025,MATCH($A105,CS!$B:$B,0)+COLUMN(B$1),1))</f>
        <v>狙い</v>
      </c>
      <c r="BI105" s="37" t="str">
        <f t="array" ref="BI105">IF($A105="","", INDEX(CS!$B$1:$B$15025,MATCH($A105,CS!$B:$B,0)+COLUMN(C$1),1))</f>
        <v>隠密</v>
      </c>
      <c r="BJ105" s="37" t="str">
        <f t="array" ref="BJ105">IF($A105="","", INDEX(CS!$B$1:$B$15025,MATCH($A105,CS!$B:$B,0)+COLUMN(D$1),1))</f>
        <v>痛撃</v>
      </c>
      <c r="BK105" s="37" t="str">
        <f t="array" ref="BK105">IF($A105="","", INDEX(CS!$B$1:$B$15025,MATCH($A105,CS!$B:$B,0)+COLUMN(E$1),1))</f>
        <v>罠技術</v>
      </c>
      <c r="BL105" s="37" t="str">
        <f t="array" ref="BL105">IF($A105="","", INDEX(CS!$B$1:$B$15025,MATCH($A105,CS!$B:$B,0)+COLUMN(F$1),1))</f>
        <v/>
      </c>
      <c r="BM105" s="37" t="str">
        <f t="array" ref="BM105">IF($A105="","", INDEX(CS!$B$1:$B$15025,MATCH($A105,CS!$B:$B,0)+COLUMN(G$1),1))</f>
        <v>一閃撃</v>
      </c>
      <c r="BN105" s="37" t="str">
        <f t="array" ref="BN105">IF($A105="","", INDEX(CS!$B$1:$B$15025,MATCH($A105,CS!$B:$B,0)+COLUMN(H$1),1))</f>
        <v/>
      </c>
      <c r="BO105" s="37" t="str">
        <f t="array" ref="BO105">IF($A105="","", INDEX(CS!$B$1:$B$15025,MATCH($A105,CS!$B:$B,0)+COLUMN(I$1),1))</f>
        <v/>
      </c>
      <c r="BP105" s="37" t="str">
        <f t="array" ref="BP105">IF($A105="","", INDEX(CS!$B$1:$B$15025,MATCH($A105,CS!$B:$B,0)+COLUMN(J$1),1))</f>
        <v/>
      </c>
      <c r="BS105" s="74"/>
      <c r="CG105" s="37" t="s">
        <v>2815</v>
      </c>
      <c r="CJ105" s="37" t="s">
        <v>2809</v>
      </c>
      <c r="CK105" s="37" t="s">
        <v>2802</v>
      </c>
      <c r="CN105" s="37" t="s">
        <v>2814</v>
      </c>
      <c r="CQ105" s="37"/>
      <c r="CR105" s="37"/>
    </row>
    <row r="106" ht="18.75" customHeight="1" outlineLevel="2">
      <c r="A106" s="39" t="s">
        <v>1148</v>
      </c>
      <c r="B106" s="89" t="s">
        <v>1149</v>
      </c>
      <c r="C106" s="39" t="s">
        <v>2799</v>
      </c>
      <c r="D106" s="72" t="str">
        <f t="shared" si="1"/>
        <v>710/470/240</v>
      </c>
      <c r="E106" s="39">
        <v>1.0</v>
      </c>
      <c r="F106" s="39">
        <v>90.0</v>
      </c>
      <c r="I106" s="39">
        <v>80.0</v>
      </c>
      <c r="J106" s="39">
        <v>75.0</v>
      </c>
      <c r="K106" s="87">
        <v>25.0</v>
      </c>
      <c r="L106" s="39">
        <v>50.0</v>
      </c>
      <c r="M106" s="39">
        <v>75.0</v>
      </c>
      <c r="N106" s="39">
        <v>75.0</v>
      </c>
      <c r="P106" s="37">
        <v>0.0</v>
      </c>
      <c r="Q106" s="64"/>
      <c r="R106" s="64"/>
      <c r="S106" s="64"/>
      <c r="T106" s="64"/>
      <c r="U106" s="64"/>
      <c r="V106" s="64"/>
      <c r="W106" s="64"/>
      <c r="X106" s="64"/>
      <c r="Y106" s="64"/>
      <c r="Z106" s="64"/>
      <c r="AA106" s="64"/>
      <c r="AJ106" s="39">
        <v>0.0</v>
      </c>
      <c r="AK106" s="39">
        <v>0.0</v>
      </c>
      <c r="AL106" s="39">
        <v>0.0</v>
      </c>
      <c r="AM106" s="39">
        <v>50.0</v>
      </c>
      <c r="AN106" s="39">
        <v>35.0</v>
      </c>
      <c r="AO106" s="39">
        <v>0.0</v>
      </c>
      <c r="AP106" s="39">
        <v>0.0</v>
      </c>
      <c r="AQ106" s="39">
        <v>65.0</v>
      </c>
      <c r="AR106" s="39">
        <v>90.0</v>
      </c>
      <c r="AS106" s="39">
        <v>0.0</v>
      </c>
      <c r="AT106" s="39">
        <v>0.0</v>
      </c>
      <c r="AU106" s="39">
        <v>0.0</v>
      </c>
      <c r="AV106" s="39">
        <v>0.0</v>
      </c>
      <c r="AW106" s="39">
        <v>0.0</v>
      </c>
      <c r="AX106" s="39">
        <v>0.0</v>
      </c>
      <c r="AY106" s="39">
        <v>0.0</v>
      </c>
      <c r="AZ106" s="39">
        <v>0.0</v>
      </c>
      <c r="BG106" s="37" t="str">
        <f t="array" ref="BG106">IF($A106="","",IFERROR(INDEX(CS!$B$1:$B$15025,MATCH($A106,CS!$B:$B,0)+COLUMN(A$1),1),""))</f>
        <v>貫通矢</v>
      </c>
      <c r="BH106" s="37" t="str">
        <f t="array" ref="BH106">IF($A106="","",IFERROR(INDEX(CS!$B$1:$B$15025,MATCH($A106,CS!$B:$B,0)+COLUMN(B$1),1),""))</f>
        <v>狙い</v>
      </c>
      <c r="BI106" s="37" t="str">
        <f t="array" ref="BI106">IF($A106="","",IFERROR(INDEX(CS!$B$1:$B$15025,MATCH($A106,CS!$B:$B,0)+COLUMN(C$1),1),""))</f>
        <v>武器の扱い</v>
      </c>
      <c r="BJ106" s="37" t="str">
        <f t="array" ref="BJ106">IF($A106="","",IFERROR(INDEX(CS!$B$1:$B$15025,MATCH($A106,CS!$B:$B,0)+COLUMN(D$1),1),""))</f>
        <v/>
      </c>
      <c r="BK106" s="37" t="str">
        <f t="array" ref="BK106">IF($A106="","",IFERROR(INDEX(CS!$B$1:$B$15025,MATCH($A106,CS!$B:$B,0)+COLUMN(E$1),1),""))</f>
        <v>弓の使い手</v>
      </c>
      <c r="BL106" s="37" t="str">
        <f t="array" ref="BL106">IF($A106="","",IFERROR(INDEX(CS!$B$1:$B$15025,MATCH($A106,CS!$B:$B,0)+COLUMN(F$1),1),""))</f>
        <v/>
      </c>
      <c r="BM106" s="37" t="str">
        <f t="array" ref="BM106">IF($A106="","",IFERROR(INDEX(CS!$B$1:$B$15025,MATCH($A106,CS!$B:$B,0)+COLUMN(G$1),1),""))</f>
        <v>一閃撃</v>
      </c>
      <c r="BN106" s="37" t="str">
        <f t="array" ref="BN106">IF($A106="","",IFERROR(INDEX(CS!$B$1:$B$15025,MATCH($A106,CS!$B:$B,0)+COLUMN(H$1),1),""))</f>
        <v/>
      </c>
      <c r="BO106" s="37" t="str">
        <f t="array" ref="BO106">IF($A106="","",IFERROR(INDEX(CS!$B$1:$B$15025,MATCH($A106,CS!$B:$B,0)+COLUMN(I$1),1),""))</f>
        <v>精度</v>
      </c>
      <c r="BP106" s="37" t="str">
        <f t="array" ref="BP106">IF($A106="","",IFERROR(INDEX(CS!$B$1:$B$15025,MATCH($A106,CS!$B:$B,0)+COLUMN(J$1),1),""))</f>
        <v>射出</v>
      </c>
      <c r="BS106" s="74"/>
      <c r="CG106" s="37" t="s">
        <v>2815</v>
      </c>
      <c r="CJ106" s="37" t="s">
        <v>2809</v>
      </c>
      <c r="CK106" s="37" t="s">
        <v>2802</v>
      </c>
      <c r="CN106" s="37" t="s">
        <v>2814</v>
      </c>
      <c r="CQ106" s="37"/>
      <c r="CR106" s="37"/>
    </row>
    <row r="107" ht="18.75" customHeight="1" outlineLevel="2">
      <c r="A107" s="37" t="s">
        <v>1159</v>
      </c>
      <c r="B107" s="71" t="s">
        <v>2816</v>
      </c>
      <c r="C107" s="39" t="s">
        <v>2817</v>
      </c>
      <c r="D107" s="72" t="str">
        <f t="shared" si="1"/>
        <v>710/470/240</v>
      </c>
      <c r="E107" s="37">
        <v>1.0</v>
      </c>
      <c r="F107" s="37">
        <v>60.0</v>
      </c>
      <c r="I107" s="37">
        <v>50.0</v>
      </c>
      <c r="J107" s="37">
        <v>55.0</v>
      </c>
      <c r="K107" s="73">
        <v>90.0</v>
      </c>
      <c r="L107" s="37">
        <v>90.0</v>
      </c>
      <c r="M107" s="37">
        <v>50.0</v>
      </c>
      <c r="N107" s="37">
        <v>75.0</v>
      </c>
      <c r="P107" s="37">
        <v>0.0</v>
      </c>
      <c r="Q107" s="64"/>
      <c r="R107" s="64"/>
      <c r="S107" s="64"/>
      <c r="T107" s="64"/>
      <c r="U107" s="64"/>
      <c r="V107" s="64"/>
      <c r="W107" s="64"/>
      <c r="X107" s="64"/>
      <c r="Y107" s="64"/>
      <c r="Z107" s="64"/>
      <c r="AA107" s="64"/>
      <c r="AJ107" s="39">
        <v>0.0</v>
      </c>
      <c r="AK107" s="39">
        <v>0.0</v>
      </c>
      <c r="AL107" s="39">
        <v>90.0</v>
      </c>
      <c r="AM107" s="39">
        <v>0.0</v>
      </c>
      <c r="AN107" s="39">
        <v>50.0</v>
      </c>
      <c r="AO107" s="39">
        <v>0.0</v>
      </c>
      <c r="AP107" s="39">
        <v>0.0</v>
      </c>
      <c r="AQ107" s="39">
        <v>0.0</v>
      </c>
      <c r="AR107" s="39">
        <v>0.0</v>
      </c>
      <c r="AS107" s="39">
        <v>0.0</v>
      </c>
      <c r="AT107" s="39">
        <v>0.0</v>
      </c>
      <c r="AU107" s="39">
        <v>0.0</v>
      </c>
      <c r="AV107" s="39">
        <v>0.0</v>
      </c>
      <c r="AW107" s="39">
        <v>0.0</v>
      </c>
      <c r="AX107" s="39">
        <v>0.0</v>
      </c>
      <c r="AY107" s="39">
        <v>100.0</v>
      </c>
      <c r="AZ107" s="39">
        <v>0.0</v>
      </c>
      <c r="BG107" s="37" t="str">
        <f t="array" ref="BG107">IF($A107="","", INDEX(CS!$B$1:$B$15025,MATCH($A107,CS!$B:$B,0)+COLUMN(A$1),1))</f>
        <v>力場弾</v>
      </c>
      <c r="BH107" s="37" t="str">
        <f t="array" ref="BH107">IF($A107="","", INDEX(CS!$B$1:$B$15025,MATCH($A107,CS!$B:$B,0)+COLUMN(B$1),1))</f>
        <v>火炎</v>
      </c>
      <c r="BI107" s="37" t="str">
        <f t="array" ref="BI107">IF($A107="","", INDEX(CS!$B$1:$B$15025,MATCH($A107,CS!$B:$B,0)+COLUMN(C$1),1))</f>
        <v>冷気の光線</v>
      </c>
      <c r="BJ107" s="39" t="str">
        <f t="array" ref="BJ107">IF($A107="","", INDEX(CS!$B$1:$B$15025,MATCH($A107,CS!$B:$B,0)+COLUMN(D$1),1))</f>
        <v>氷柱弾</v>
      </c>
      <c r="BK107" s="37" t="str">
        <f t="array" ref="BK107">IF($A107="","", INDEX(CS!$B$1:$B$15025,MATCH($A107,CS!$B:$B,0)+COLUMN(E$1),1))</f>
        <v>放電</v>
      </c>
      <c r="BL107" s="37" t="str">
        <f t="array" ref="BL107">IF($A107="","", INDEX(CS!$B$1:$B$15025,MATCH($A107,CS!$B:$B,0)+COLUMN(F$1),1))</f>
        <v/>
      </c>
      <c r="BM107" s="37" t="str">
        <f t="array" ref="BM107">IF($A107="","", INDEX(CS!$B$1:$B$15025,MATCH($A107,CS!$B:$B,0)+COLUMN(G$1),1))</f>
        <v>魔法の守り</v>
      </c>
      <c r="BN107" s="37" t="str">
        <f t="array" ref="BN107">IF($A107="","", INDEX(CS!$B$1:$B$15025,MATCH($A107,CS!$B:$B,0)+COLUMN(H$1),1))</f>
        <v/>
      </c>
      <c r="BO107" s="39" t="str">
        <f t="array" ref="BO107">IF($A107="","", INDEX(CS!$B$1:$B$15025,MATCH($A107,CS!$B:$B,0)+COLUMN(I$1),1))</f>
        <v>酸滴</v>
      </c>
      <c r="BP107" s="37" t="str">
        <f t="array" ref="BP107">IF($A107="","", INDEX(CS!$B$1:$B$15025,MATCH($A107,CS!$B:$B,0)+COLUMN(J$1),1))</f>
        <v/>
      </c>
      <c r="BS107" s="74"/>
      <c r="CG107" s="37" t="s">
        <v>2818</v>
      </c>
      <c r="CI107" s="37" t="s">
        <v>2808</v>
      </c>
      <c r="CJ107" s="37" t="s">
        <v>2819</v>
      </c>
      <c r="CK107" s="37" t="s">
        <v>2802</v>
      </c>
      <c r="CN107" s="37" t="s">
        <v>2816</v>
      </c>
      <c r="CQ107" s="37"/>
      <c r="CR107" s="37"/>
    </row>
    <row r="108" ht="18.75" customHeight="1" outlineLevel="2">
      <c r="A108" s="37" t="s">
        <v>1160</v>
      </c>
      <c r="B108" s="71" t="s">
        <v>2820</v>
      </c>
      <c r="C108" s="39" t="s">
        <v>2817</v>
      </c>
      <c r="D108" s="72" t="str">
        <f t="shared" si="1"/>
        <v>710/465/245</v>
      </c>
      <c r="E108" s="37">
        <v>1.0</v>
      </c>
      <c r="F108" s="37">
        <v>65.0</v>
      </c>
      <c r="I108" s="37">
        <v>55.0</v>
      </c>
      <c r="J108" s="37">
        <v>65.0</v>
      </c>
      <c r="K108" s="73">
        <v>85.0</v>
      </c>
      <c r="L108" s="37">
        <v>70.0</v>
      </c>
      <c r="M108" s="37">
        <v>50.0</v>
      </c>
      <c r="N108" s="37">
        <v>75.0</v>
      </c>
      <c r="P108" s="37">
        <v>0.0</v>
      </c>
      <c r="Q108" s="64"/>
      <c r="R108" s="64"/>
      <c r="S108" s="64"/>
      <c r="T108" s="64"/>
      <c r="U108" s="64"/>
      <c r="V108" s="64"/>
      <c r="W108" s="64"/>
      <c r="X108" s="64"/>
      <c r="Y108" s="64"/>
      <c r="Z108" s="64"/>
      <c r="AA108" s="64"/>
      <c r="AJ108" s="39">
        <v>0.0</v>
      </c>
      <c r="AK108" s="39">
        <v>0.0</v>
      </c>
      <c r="AL108" s="39">
        <v>50.0</v>
      </c>
      <c r="AM108" s="39">
        <v>0.0</v>
      </c>
      <c r="AN108" s="39">
        <v>95.0</v>
      </c>
      <c r="AO108" s="39">
        <v>0.0</v>
      </c>
      <c r="AP108" s="39">
        <v>0.0</v>
      </c>
      <c r="AQ108" s="39">
        <v>0.0</v>
      </c>
      <c r="AR108" s="39">
        <v>0.0</v>
      </c>
      <c r="AS108" s="39">
        <v>0.0</v>
      </c>
      <c r="AT108" s="39">
        <v>0.0</v>
      </c>
      <c r="AU108" s="39">
        <v>0.0</v>
      </c>
      <c r="AV108" s="39">
        <v>0.0</v>
      </c>
      <c r="AW108" s="39">
        <v>0.0</v>
      </c>
      <c r="AX108" s="39">
        <v>0.0</v>
      </c>
      <c r="AY108" s="39">
        <v>100.0</v>
      </c>
      <c r="AZ108" s="39">
        <v>0.0</v>
      </c>
      <c r="BG108" s="37" t="str">
        <f t="array" ref="BG108">IF($A108="","", INDEX(CS!$B$1:$B$15025,MATCH($A108,CS!$B:$B,0)+COLUMN(A$1),1))</f>
        <v>爆薬</v>
      </c>
      <c r="BH108" s="37" t="str">
        <f t="array" ref="BH108">IF($A108="","", INDEX(CS!$B$1:$B$15025,MATCH($A108,CS!$B:$B,0)+COLUMN(B$1),1))</f>
        <v>闘気撃</v>
      </c>
      <c r="BI108" s="37" t="str">
        <f t="array" ref="BI108">IF($A108="","", INDEX(CS!$B$1:$B$15025,MATCH($A108,CS!$B:$B,0)+COLUMN(C$1),1))</f>
        <v>闘気速</v>
      </c>
      <c r="BJ108" s="37" t="str">
        <f t="array" ref="BJ108">IF($A108="","", INDEX(CS!$B$1:$B$15025,MATCH($A108,CS!$B:$B,0)+COLUMN(D$1),1))</f>
        <v>雄叫び</v>
      </c>
      <c r="BK108" s="37" t="str">
        <f t="array" ref="BK108">IF($A108="","", INDEX(CS!$B$1:$B$15025,MATCH($A108,CS!$B:$B,0)+COLUMN(E$1),1))</f>
        <v>一閃撃</v>
      </c>
      <c r="BL108" s="37" t="str">
        <f t="array" ref="BL108">IF($A108="","", INDEX(CS!$B$1:$B$15025,MATCH($A108,CS!$B:$B,0)+COLUMN(F$1),1))</f>
        <v>急所撃</v>
      </c>
      <c r="BM108" s="37" t="str">
        <f t="array" ref="BM108">IF($A108="","", INDEX(CS!$B$1:$B$15025,MATCH($A108,CS!$B:$B,0)+COLUMN(G$1),1))</f>
        <v>炎の雨</v>
      </c>
      <c r="BN108" s="37" t="str">
        <f t="array" ref="BN108">IF($A108="","", INDEX(CS!$B$1:$B$15025,MATCH($A108,CS!$B:$B,0)+COLUMN(H$1),1))</f>
        <v>火球</v>
      </c>
      <c r="BO108" s="37" t="str">
        <f t="array" ref="BO108">IF($A108="","", INDEX(CS!$B$1:$B$15025,MATCH($A108,CS!$B:$B,0)+COLUMN(I$1),1))</f>
        <v>落下火球</v>
      </c>
      <c r="BP108" s="37" t="str">
        <f t="array" ref="BP108">IF($A108="","", INDEX(CS!$B$1:$B$15025,MATCH($A108,CS!$B:$B,0)+COLUMN(J$1),1))</f>
        <v>爆裂</v>
      </c>
      <c r="BS108" s="74"/>
      <c r="CG108" s="37" t="s">
        <v>2818</v>
      </c>
      <c r="CI108" s="37" t="s">
        <v>2808</v>
      </c>
      <c r="CJ108" s="37" t="s">
        <v>2819</v>
      </c>
      <c r="CK108" s="37" t="s">
        <v>2802</v>
      </c>
      <c r="CN108" s="37" t="s">
        <v>2816</v>
      </c>
      <c r="CQ108" s="37"/>
      <c r="CR108" s="37"/>
    </row>
    <row r="109" ht="18.75" customHeight="1" outlineLevel="2">
      <c r="A109" s="37" t="s">
        <v>1167</v>
      </c>
      <c r="B109" s="71" t="s">
        <v>2821</v>
      </c>
      <c r="C109" s="39" t="s">
        <v>2822</v>
      </c>
      <c r="D109" s="72" t="str">
        <f t="shared" si="1"/>
        <v>710/485/225</v>
      </c>
      <c r="E109" s="37">
        <v>1.0</v>
      </c>
      <c r="F109" s="37">
        <v>75.0</v>
      </c>
      <c r="I109" s="37">
        <v>70.0</v>
      </c>
      <c r="J109" s="37">
        <v>70.0</v>
      </c>
      <c r="K109" s="73">
        <v>75.0</v>
      </c>
      <c r="L109" s="37">
        <v>70.0</v>
      </c>
      <c r="M109" s="37">
        <v>50.0</v>
      </c>
      <c r="N109" s="37">
        <v>75.0</v>
      </c>
      <c r="P109" s="39">
        <v>25.0</v>
      </c>
      <c r="Q109" s="64"/>
      <c r="R109" s="64"/>
      <c r="S109" s="64"/>
      <c r="T109" s="64"/>
      <c r="U109" s="64"/>
      <c r="V109" s="64"/>
      <c r="W109" s="64"/>
      <c r="X109" s="64"/>
      <c r="Y109" s="64"/>
      <c r="Z109" s="64"/>
      <c r="AA109" s="64"/>
      <c r="AJ109" s="39">
        <v>0.0</v>
      </c>
      <c r="AK109" s="39">
        <v>0.0</v>
      </c>
      <c r="AL109" s="39">
        <v>75.0</v>
      </c>
      <c r="AM109" s="39">
        <v>0.0</v>
      </c>
      <c r="AN109" s="39">
        <v>0.0</v>
      </c>
      <c r="AO109" s="39">
        <v>0.0</v>
      </c>
      <c r="AP109" s="39">
        <v>0.0</v>
      </c>
      <c r="AQ109" s="39">
        <v>0.0</v>
      </c>
      <c r="AR109" s="39">
        <v>0.0</v>
      </c>
      <c r="AS109" s="39">
        <v>0.0</v>
      </c>
      <c r="AT109" s="39">
        <v>0.0</v>
      </c>
      <c r="AU109" s="39">
        <v>0.0</v>
      </c>
      <c r="AV109" s="39">
        <v>0.0</v>
      </c>
      <c r="AW109" s="39">
        <v>50.0</v>
      </c>
      <c r="AX109" s="39">
        <v>0.0</v>
      </c>
      <c r="AY109" s="39">
        <v>0.0</v>
      </c>
      <c r="AZ109" s="39">
        <v>100.0</v>
      </c>
      <c r="BG109" s="37" t="str">
        <f t="array" ref="BG109">IF($A109="","", INDEX(CS!$B$1:$B$15025,MATCH($A109,CS!$B:$B,0)+COLUMN(A$1),1))</f>
        <v>光粒</v>
      </c>
      <c r="BH109" s="37" t="str">
        <f t="array" ref="BH109">IF($A109="","", INDEX(CS!$B$1:$B$15025,MATCH($A109,CS!$B:$B,0)+COLUMN(B$1),1))</f>
        <v>軽傷治癒</v>
      </c>
      <c r="BI109" s="37" t="str">
        <f t="array" ref="BI109">IF($A109="","", INDEX(CS!$B$1:$B$15025,MATCH($A109,CS!$B:$B,0)+COLUMN(C$1),1))</f>
        <v>信仰心</v>
      </c>
      <c r="BJ109" s="37" t="str">
        <f t="array" ref="BJ109">IF($A109="","", INDEX(CS!$B$1:$B$15025,MATCH($A109,CS!$B:$B,0)+COLUMN(D$1),1))</f>
        <v/>
      </c>
      <c r="BK109" s="37" t="str">
        <f t="array" ref="BK109">IF($A109="","", INDEX(CS!$B$1:$B$15025,MATCH($A109,CS!$B:$B,0)+COLUMN(E$1),1))</f>
        <v>回復術</v>
      </c>
      <c r="BL109" s="37" t="str">
        <f t="array" ref="BL109">IF($A109="","", INDEX(CS!$B$1:$B$15025,MATCH($A109,CS!$B:$B,0)+COLUMN(F$1),1))</f>
        <v>治癒強化</v>
      </c>
      <c r="BM109" s="37" t="str">
        <f t="array" ref="BM109">IF($A109="","", INDEX(CS!$B$1:$B$15025,MATCH($A109,CS!$B:$B,0)+COLUMN(G$1),1))</f>
        <v/>
      </c>
      <c r="BN109" s="37" t="str">
        <f t="array" ref="BN109">IF($A109="","", INDEX(CS!$B$1:$B$15025,MATCH($A109,CS!$B:$B,0)+COLUMN(H$1),1))</f>
        <v/>
      </c>
      <c r="BO109" s="37" t="str">
        <f t="array" ref="BO109">IF($A109="","", INDEX(CS!$B$1:$B$15025,MATCH($A109,CS!$B:$B,0)+COLUMN(I$1),1))</f>
        <v>光の加護</v>
      </c>
      <c r="BP109" s="37" t="str">
        <f t="array" ref="BP109">IF($A109="","", INDEX(CS!$B$1:$B$15025,MATCH($A109,CS!$B:$B,0)+COLUMN(J$1),1))</f>
        <v>信仰の護り</v>
      </c>
      <c r="BS109" s="74"/>
      <c r="CG109" s="37" t="s">
        <v>2823</v>
      </c>
      <c r="CI109" s="37" t="s">
        <v>2808</v>
      </c>
      <c r="CJ109" s="37" t="s">
        <v>2819</v>
      </c>
      <c r="CK109" s="37" t="s">
        <v>2802</v>
      </c>
      <c r="CN109" s="37" t="s">
        <v>2821</v>
      </c>
      <c r="CQ109" s="37"/>
      <c r="CR109" s="37"/>
    </row>
    <row r="110" ht="18.75" customHeight="1" outlineLevel="2">
      <c r="A110" s="37" t="s">
        <v>1176</v>
      </c>
      <c r="B110" s="71" t="s">
        <v>2824</v>
      </c>
      <c r="C110" s="39" t="s">
        <v>2822</v>
      </c>
      <c r="D110" s="72" t="str">
        <f t="shared" si="1"/>
        <v>710/485/225</v>
      </c>
      <c r="E110" s="37">
        <v>1.0</v>
      </c>
      <c r="F110" s="37">
        <v>85.0</v>
      </c>
      <c r="I110" s="37">
        <v>70.0</v>
      </c>
      <c r="J110" s="37">
        <v>85.0</v>
      </c>
      <c r="K110" s="73">
        <v>55.0</v>
      </c>
      <c r="L110" s="37">
        <v>60.0</v>
      </c>
      <c r="M110" s="37">
        <v>55.0</v>
      </c>
      <c r="N110" s="37">
        <v>75.0</v>
      </c>
      <c r="P110" s="39">
        <v>50.0</v>
      </c>
      <c r="Q110" s="64"/>
      <c r="R110" s="64"/>
      <c r="S110" s="64"/>
      <c r="T110" s="64"/>
      <c r="U110" s="64"/>
      <c r="V110" s="64"/>
      <c r="W110" s="64"/>
      <c r="X110" s="64"/>
      <c r="Y110" s="64"/>
      <c r="Z110" s="64"/>
      <c r="AA110" s="64"/>
      <c r="AJ110" s="39">
        <v>50.0</v>
      </c>
      <c r="AK110" s="39">
        <v>0.0</v>
      </c>
      <c r="AL110" s="39">
        <v>50.0</v>
      </c>
      <c r="AM110" s="39">
        <v>0.0</v>
      </c>
      <c r="AN110" s="39">
        <v>0.0</v>
      </c>
      <c r="AO110" s="39">
        <v>0.0</v>
      </c>
      <c r="AP110" s="39">
        <v>0.0</v>
      </c>
      <c r="AQ110" s="39">
        <v>0.0</v>
      </c>
      <c r="AR110" s="39">
        <v>0.0</v>
      </c>
      <c r="AS110" s="39">
        <v>0.0</v>
      </c>
      <c r="AT110" s="39">
        <v>0.0</v>
      </c>
      <c r="AU110" s="39">
        <v>0.0</v>
      </c>
      <c r="AV110" s="39">
        <v>0.0</v>
      </c>
      <c r="AW110" s="39">
        <v>50.0</v>
      </c>
      <c r="AX110" s="39">
        <v>0.0</v>
      </c>
      <c r="AY110" s="39">
        <v>0.0</v>
      </c>
      <c r="AZ110" s="39">
        <v>75.0</v>
      </c>
      <c r="BG110" s="37" t="str">
        <f t="array" ref="BG110">IF($A110="","", INDEX(CS!$B$1:$B$15025,MATCH($A110,CS!$B:$B,0)+COLUMN(A$1),1))</f>
        <v>闘気守</v>
      </c>
      <c r="BH110" s="37" t="str">
        <f t="array" ref="BH110">IF($A110="","", INDEX(CS!$B$1:$B$15025,MATCH($A110,CS!$B:$B,0)+COLUMN(B$1),1))</f>
        <v>光粒</v>
      </c>
      <c r="BI110" s="37" t="str">
        <f t="array" ref="BI110">IF($A110="","", INDEX(CS!$B$1:$B$15025,MATCH($A110,CS!$B:$B,0)+COLUMN(C$1),1))</f>
        <v>反撃</v>
      </c>
      <c r="BJ110" s="37" t="str">
        <f t="array" ref="BJ110">IF($A110="","", INDEX(CS!$B$1:$B$15025,MATCH($A110,CS!$B:$B,0)+COLUMN(D$1),1))</f>
        <v/>
      </c>
      <c r="BK110" s="37" t="str">
        <f t="array" ref="BK110">IF($A110="","", INDEX(CS!$B$1:$B$15025,MATCH($A110,CS!$B:$B,0)+COLUMN(E$1),1))</f>
        <v>軽回復</v>
      </c>
      <c r="BL110" s="37" t="str">
        <f t="array" ref="BL110">IF($A110="","", INDEX(CS!$B$1:$B$15025,MATCH($A110,CS!$B:$B,0)+COLUMN(F$1),1))</f>
        <v/>
      </c>
      <c r="BM110" s="37" t="str">
        <f t="array" ref="BM110">IF($A110="","", INDEX(CS!$B$1:$B$15025,MATCH($A110,CS!$B:$B,0)+COLUMN(G$1),1))</f>
        <v>一閃撃</v>
      </c>
      <c r="BN110" s="37" t="str">
        <f t="array" ref="BN110">IF($A110="","", INDEX(CS!$B$1:$B$15025,MATCH($A110,CS!$B:$B,0)+COLUMN(H$1),1))</f>
        <v/>
      </c>
      <c r="BO110" s="37" t="str">
        <f t="array" ref="BO110">IF($A110="","", INDEX(CS!$B$1:$B$15025,MATCH($A110,CS!$B:$B,0)+COLUMN(I$1),1))</f>
        <v>魔法の守り</v>
      </c>
      <c r="BP110" s="37" t="str">
        <f t="array" ref="BP110">IF($A110="","", INDEX(CS!$B$1:$B$15025,MATCH($A110,CS!$B:$B,0)+COLUMN(J$1),1))</f>
        <v>聖騎士の心得</v>
      </c>
      <c r="BS110" s="74"/>
      <c r="CG110" s="37" t="s">
        <v>2804</v>
      </c>
      <c r="CH110" s="37" t="s">
        <v>2805</v>
      </c>
      <c r="CI110" s="37" t="s">
        <v>2808</v>
      </c>
      <c r="CJ110" s="37" t="s">
        <v>2819</v>
      </c>
      <c r="CK110" s="37" t="s">
        <v>2802</v>
      </c>
      <c r="CN110" s="37" t="s">
        <v>2821</v>
      </c>
      <c r="CQ110" s="37"/>
      <c r="CR110" s="37"/>
    </row>
    <row r="111" ht="18.75" customHeight="1" outlineLevel="2">
      <c r="A111" s="37" t="s">
        <v>1182</v>
      </c>
      <c r="B111" s="71" t="s">
        <v>2825</v>
      </c>
      <c r="C111" s="39" t="s">
        <v>2826</v>
      </c>
      <c r="D111" s="72" t="str">
        <f t="shared" si="1"/>
        <v>710/485/225</v>
      </c>
      <c r="E111" s="37">
        <v>1.0</v>
      </c>
      <c r="F111" s="37">
        <v>75.0</v>
      </c>
      <c r="I111" s="37">
        <v>65.0</v>
      </c>
      <c r="J111" s="37">
        <v>65.0</v>
      </c>
      <c r="K111" s="73">
        <v>85.0</v>
      </c>
      <c r="L111" s="37">
        <v>70.0</v>
      </c>
      <c r="M111" s="37">
        <v>50.0</v>
      </c>
      <c r="N111" s="37">
        <v>75.0</v>
      </c>
      <c r="P111" s="37">
        <v>0.0</v>
      </c>
      <c r="Q111" s="64"/>
      <c r="R111" s="64"/>
      <c r="S111" s="64"/>
      <c r="T111" s="64"/>
      <c r="U111" s="64"/>
      <c r="V111" s="64"/>
      <c r="W111" s="64"/>
      <c r="X111" s="64"/>
      <c r="Y111" s="64"/>
      <c r="Z111" s="64"/>
      <c r="AA111" s="64"/>
      <c r="AJ111" s="39">
        <v>0.0</v>
      </c>
      <c r="AK111" s="39">
        <v>0.0</v>
      </c>
      <c r="AL111" s="39">
        <v>75.0</v>
      </c>
      <c r="AM111" s="39">
        <v>25.0</v>
      </c>
      <c r="AN111" s="39">
        <v>25.0</v>
      </c>
      <c r="AO111" s="39">
        <v>0.0</v>
      </c>
      <c r="AP111" s="39">
        <v>0.0</v>
      </c>
      <c r="AQ111" s="39">
        <v>0.0</v>
      </c>
      <c r="AR111" s="39">
        <v>50.0</v>
      </c>
      <c r="AS111" s="39">
        <v>0.0</v>
      </c>
      <c r="AT111" s="39">
        <v>0.0</v>
      </c>
      <c r="AU111" s="39">
        <v>0.0</v>
      </c>
      <c r="AV111" s="39">
        <v>0.0</v>
      </c>
      <c r="AW111" s="39">
        <v>0.0</v>
      </c>
      <c r="AX111" s="39">
        <v>0.0</v>
      </c>
      <c r="AY111" s="39">
        <v>0.0</v>
      </c>
      <c r="AZ111" s="39">
        <v>50.0</v>
      </c>
      <c r="BG111" s="37" t="str">
        <f t="array" ref="BG111">IF($A111="","", INDEX(CS!$B$1:$B$15025,MATCH($A111,CS!$B:$B,0)+COLUMN(A$1),1))</f>
        <v>植物の絡み</v>
      </c>
      <c r="BH111" s="37" t="str">
        <f t="array" ref="BH111">IF($A111="","", INDEX(CS!$B$1:$B$15025,MATCH($A111,CS!$B:$B,0)+COLUMN(B$1),1))</f>
        <v>突風</v>
      </c>
      <c r="BI111" s="37" t="str">
        <f t="array" ref="BI111">IF($A111="","", INDEX(CS!$B$1:$B$15025,MATCH($A111,CS!$B:$B,0)+COLUMN(C$1),1))</f>
        <v>森の歩み</v>
      </c>
      <c r="BJ111" s="37" t="str">
        <f t="array" ref="BJ111">IF($A111="","", INDEX(CS!$B$1:$B$15025,MATCH($A111,CS!$B:$B,0)+COLUMN(D$1),1))</f>
        <v/>
      </c>
      <c r="BK111" s="37" t="str">
        <f t="array" ref="BK111">IF($A111="","", INDEX(CS!$B$1:$B$15025,MATCH($A111,CS!$B:$B,0)+COLUMN(E$1),1))</f>
        <v>水力</v>
      </c>
      <c r="BL111" s="37" t="str">
        <f t="array" ref="BL111">IF($A111="","", INDEX(CS!$B$1:$B$15025,MATCH($A111,CS!$B:$B,0)+COLUMN(F$1),1))</f>
        <v/>
      </c>
      <c r="BM111" s="37" t="str">
        <f t="array" ref="BM111">IF($A111="","", INDEX(CS!$B$1:$B$15025,MATCH($A111,CS!$B:$B,0)+COLUMN(G$1),1))</f>
        <v>魔法の石</v>
      </c>
      <c r="BN111" s="37" t="str">
        <f t="array" ref="BN111">IF($A111="","", INDEX(CS!$B$1:$B$15025,MATCH($A111,CS!$B:$B,0)+COLUMN(H$1),1))</f>
        <v/>
      </c>
      <c r="BO111" s="37" t="str">
        <f t="array" ref="BO111">IF($A111="","", INDEX(CS!$B$1:$B$15025,MATCH($A111,CS!$B:$B,0)+COLUMN(I$1),1))</f>
        <v>風足</v>
      </c>
      <c r="BP111" s="37" t="str">
        <f t="array" ref="BP111">IF($A111="","", INDEX(CS!$B$1:$B$15025,MATCH($A111,CS!$B:$B,0)+COLUMN(J$1),1))</f>
        <v/>
      </c>
      <c r="BS111" s="74"/>
      <c r="CG111" s="37" t="s">
        <v>2823</v>
      </c>
      <c r="CI111" s="37" t="s">
        <v>2808</v>
      </c>
      <c r="CJ111" s="37" t="s">
        <v>2819</v>
      </c>
      <c r="CK111" s="37" t="s">
        <v>2802</v>
      </c>
      <c r="CN111" s="37" t="s">
        <v>2821</v>
      </c>
      <c r="CQ111" s="37"/>
      <c r="CR111" s="37"/>
    </row>
    <row r="112" ht="18.75" customHeight="1" outlineLevel="2">
      <c r="A112" s="39" t="s">
        <v>1189</v>
      </c>
      <c r="B112" s="71"/>
      <c r="C112" s="39" t="s">
        <v>2827</v>
      </c>
      <c r="D112" s="72" t="str">
        <f t="shared" si="1"/>
        <v>710/480/230</v>
      </c>
      <c r="E112" s="39">
        <v>1.0</v>
      </c>
      <c r="F112" s="39">
        <v>75.0</v>
      </c>
      <c r="I112" s="39">
        <v>75.0</v>
      </c>
      <c r="J112" s="39">
        <v>75.0</v>
      </c>
      <c r="K112" s="87">
        <v>50.0</v>
      </c>
      <c r="L112" s="39">
        <v>60.0</v>
      </c>
      <c r="M112" s="39">
        <v>65.0</v>
      </c>
      <c r="N112" s="39">
        <v>80.0</v>
      </c>
      <c r="P112" s="37">
        <v>0.0</v>
      </c>
      <c r="Q112" s="64"/>
      <c r="R112" s="64"/>
      <c r="S112" s="64"/>
      <c r="T112" s="64"/>
      <c r="U112" s="64"/>
      <c r="V112" s="64"/>
      <c r="W112" s="64"/>
      <c r="X112" s="64"/>
      <c r="Y112" s="64"/>
      <c r="Z112" s="64"/>
      <c r="AA112" s="64"/>
      <c r="AJ112" s="39">
        <v>25.0</v>
      </c>
      <c r="AK112" s="39">
        <v>0.0</v>
      </c>
      <c r="AL112" s="39">
        <v>25.0</v>
      </c>
      <c r="AM112" s="39">
        <v>25.0</v>
      </c>
      <c r="AN112" s="39">
        <v>25.0</v>
      </c>
      <c r="AO112" s="39">
        <v>0.0</v>
      </c>
      <c r="AP112" s="39">
        <v>0.0</v>
      </c>
      <c r="AQ112" s="39">
        <v>0.0</v>
      </c>
      <c r="AR112" s="39">
        <v>25.0</v>
      </c>
      <c r="AS112" s="39">
        <v>0.0</v>
      </c>
      <c r="AT112" s="39">
        <v>0.0</v>
      </c>
      <c r="AU112" s="39">
        <v>0.0</v>
      </c>
      <c r="AV112" s="39">
        <v>0.0</v>
      </c>
      <c r="AW112" s="39">
        <v>25.0</v>
      </c>
      <c r="AX112" s="39">
        <v>80.0</v>
      </c>
      <c r="AY112" s="39">
        <v>0.0</v>
      </c>
      <c r="AZ112" s="39">
        <v>0.0</v>
      </c>
      <c r="BA112" s="39"/>
      <c r="BB112" s="39"/>
      <c r="BC112" s="39"/>
      <c r="BD112" s="39"/>
      <c r="BE112" s="39"/>
      <c r="BF112" s="39"/>
      <c r="BG112" s="37" t="str">
        <f t="array" ref="BG112">IF($A112="","",IFERROR(INDEX(CS!$B$1:$B$15025,MATCH($A112,CS!$B:$B,0)+COLUMN(A$1),1),""))</f>
        <v>鼓舞の歌</v>
      </c>
      <c r="BH112" s="37" t="str">
        <f t="array" ref="BH112">IF($A112="","",IFERROR(INDEX(CS!$B$1:$B$15025,MATCH($A112,CS!$B:$B,0)+COLUMN(B$1),1),""))</f>
        <v>音波</v>
      </c>
      <c r="BI112" s="37" t="str">
        <f t="array" ref="BI112">IF($A112="","",IFERROR(INDEX(CS!$B$1:$B$15025,MATCH($A112,CS!$B:$B,0)+COLUMN(C$1),1),""))</f>
        <v>演奏技術</v>
      </c>
      <c r="BJ112" s="37" t="str">
        <f t="array" ref="BJ112">IF($A112="","",IFERROR(INDEX(CS!$B$1:$B$15025,MATCH($A112,CS!$B:$B,0)+COLUMN(D$1),1),""))</f>
        <v/>
      </c>
      <c r="BK112" s="37" t="str">
        <f t="array" ref="BK112">IF($A112="","",IFERROR(INDEX(CS!$B$1:$B$15025,MATCH($A112,CS!$B:$B,0)+COLUMN(E$1),1),""))</f>
        <v>音響障壁</v>
      </c>
      <c r="BL112" s="37" t="str">
        <f t="array" ref="BL112">IF($A112="","",IFERROR(INDEX(CS!$B$1:$B$15025,MATCH($A112,CS!$B:$B,0)+COLUMN(F$1),1),""))</f>
        <v/>
      </c>
      <c r="BM112" s="37" t="str">
        <f t="array" ref="BM112">IF($A112="","",IFERROR(INDEX(CS!$B$1:$B$15025,MATCH($A112,CS!$B:$B,0)+COLUMN(G$1),1),""))</f>
        <v>勇壮の歌</v>
      </c>
      <c r="BN112" s="37" t="str">
        <f t="array" ref="BN112">IF($A112="","",IFERROR(INDEX(CS!$B$1:$B$15025,MATCH($A112,CS!$B:$B,0)+COLUMN(H$1),1),""))</f>
        <v/>
      </c>
      <c r="BO112" s="37" t="str">
        <f t="array" ref="BO112">IF($A112="","",IFERROR(INDEX(CS!$B$1:$B$15025,MATCH($A112,CS!$B:$B,0)+COLUMN(I$1),1),""))</f>
        <v>大合奏</v>
      </c>
      <c r="BP112" s="37" t="str">
        <f t="array" ref="BP112">IF($A112="","",IFERROR(INDEX(CS!$B$1:$B$15025,MATCH($A112,CS!$B:$B,0)+COLUMN(J$1),1),""))</f>
        <v/>
      </c>
      <c r="BS112" s="74"/>
      <c r="CQ112" s="37"/>
      <c r="CR112" s="37"/>
    </row>
    <row r="113" ht="18.75" customHeight="1" outlineLevel="1">
      <c r="B113" s="71"/>
      <c r="D113" s="72"/>
      <c r="K113" s="73"/>
      <c r="P113" s="37" t="s">
        <v>29</v>
      </c>
      <c r="Q113" s="64"/>
      <c r="R113" s="64"/>
      <c r="S113" s="64"/>
      <c r="T113" s="64"/>
      <c r="U113" s="64"/>
      <c r="V113" s="64"/>
      <c r="W113" s="64"/>
      <c r="X113" s="64"/>
      <c r="Y113" s="64"/>
      <c r="Z113" s="64"/>
      <c r="AA113" s="64"/>
      <c r="BG113" s="37" t="str">
        <f t="array" ref="BG113">IF($A113="","", INDEX(CS!$B$1:$B$15025,MATCH($A113,CS!$B:$B,0)+COLUMN(A$1),1))</f>
        <v/>
      </c>
      <c r="BH113" s="37" t="str">
        <f t="array" ref="BH113">IF($A113="","", INDEX(CS!$B$1:$B$15025,MATCH($A113,CS!$B:$B,0)+COLUMN(B$1),1))</f>
        <v/>
      </c>
      <c r="BI113" s="37" t="str">
        <f t="array" ref="BI113">IF($A113="","", INDEX(CS!$B$1:$B$15025,MATCH($A113,CS!$B:$B,0)+COLUMN(C$1),1))</f>
        <v/>
      </c>
      <c r="BJ113" s="37" t="str">
        <f t="array" ref="BJ113">IF($A113="","", INDEX(CS!$B$1:$B$15025,MATCH($A113,CS!$B:$B,0)+COLUMN(D$1),1))</f>
        <v/>
      </c>
      <c r="BK113" s="37" t="str">
        <f t="array" ref="BK113">IF($A113="","", INDEX(CS!$B$1:$B$15025,MATCH($A113,CS!$B:$B,0)+COLUMN(E$1),1))</f>
        <v/>
      </c>
      <c r="BL113" s="37" t="str">
        <f t="array" ref="BL113">IF($A113="","", INDEX(CS!$B$1:$B$15025,MATCH($A113,CS!$B:$B,0)+COLUMN(F$1),1))</f>
        <v/>
      </c>
      <c r="BM113" s="37" t="str">
        <f t="array" ref="BM113">IF($A113="","", INDEX(CS!$B$1:$B$15025,MATCH($A113,CS!$B:$B,0)+COLUMN(G$1),1))</f>
        <v/>
      </c>
      <c r="BN113" s="37" t="str">
        <f t="array" ref="BN113">IF($A113="","", INDEX(CS!$B$1:$B$15025,MATCH($A113,CS!$B:$B,0)+COLUMN(H$1),1))</f>
        <v/>
      </c>
      <c r="BO113" s="37" t="str">
        <f t="array" ref="BO113">IF($A113="","", INDEX(CS!$B$1:$B$15025,MATCH($A113,CS!$B:$B,0)+COLUMN(I$1),1))</f>
        <v/>
      </c>
      <c r="BP113" s="37" t="str">
        <f t="array" ref="BP113">IF($A113="","", INDEX(CS!$B$1:$B$15025,MATCH($A113,CS!$B:$B,0)+COLUMN(J$1),1))</f>
        <v/>
      </c>
      <c r="BS113" s="74"/>
      <c r="CI113" s="37" t="s">
        <v>2828</v>
      </c>
      <c r="CJ113" s="37" t="s">
        <v>2809</v>
      </c>
      <c r="CK113" s="37" t="s">
        <v>2802</v>
      </c>
      <c r="CQ113" s="37"/>
      <c r="CR113" s="37"/>
    </row>
    <row r="114" ht="18.75" customHeight="1" outlineLevel="1">
      <c r="B114" s="85" t="s">
        <v>2829</v>
      </c>
      <c r="D114" s="72" t="str">
        <f t="shared" ref="D114:D121" si="2">SUM(AJ114:AZ114,F114:N114)&amp;"/"&amp;SUM(F114:N114)&amp;"/"&amp;SUM(AJ114:AZ114)</f>
        <v>0/0/0</v>
      </c>
      <c r="E114" s="37">
        <v>1.0</v>
      </c>
      <c r="K114" s="73"/>
      <c r="P114" s="37" t="s">
        <v>29</v>
      </c>
      <c r="Q114" s="64"/>
      <c r="R114" s="64"/>
      <c r="S114" s="64"/>
      <c r="T114" s="64"/>
      <c r="U114" s="64"/>
      <c r="V114" s="64"/>
      <c r="W114" s="64"/>
      <c r="X114" s="64"/>
      <c r="Y114" s="64"/>
      <c r="Z114" s="64"/>
      <c r="AA114" s="64"/>
      <c r="BG114" s="37" t="str">
        <f t="array" ref="BG114">IF($A114="","", INDEX(CS!$B$1:$B$15025,MATCH($A114,CS!$B:$B,0)+COLUMN(A$1),1))</f>
        <v/>
      </c>
      <c r="BH114" s="37" t="str">
        <f t="array" ref="BH114">IF($A114="","", INDEX(CS!$B$1:$B$15025,MATCH($A114,CS!$B:$B,0)+COLUMN(B$1),1))</f>
        <v/>
      </c>
      <c r="BI114" s="37" t="str">
        <f t="array" ref="BI114">IF($A114="","", INDEX(CS!$B$1:$B$15025,MATCH($A114,CS!$B:$B,0)+COLUMN(C$1),1))</f>
        <v/>
      </c>
      <c r="BJ114" s="37" t="str">
        <f t="array" ref="BJ114">IF($A114="","", INDEX(CS!$B$1:$B$15025,MATCH($A114,CS!$B:$B,0)+COLUMN(D$1),1))</f>
        <v/>
      </c>
      <c r="BK114" s="37" t="str">
        <f t="array" ref="BK114">IF($A114="","", INDEX(CS!$B$1:$B$15025,MATCH($A114,CS!$B:$B,0)+COLUMN(E$1),1))</f>
        <v/>
      </c>
      <c r="BL114" s="37" t="str">
        <f t="array" ref="BL114">IF($A114="","", INDEX(CS!$B$1:$B$15025,MATCH($A114,CS!$B:$B,0)+COLUMN(F$1),1))</f>
        <v/>
      </c>
      <c r="BM114" s="37" t="str">
        <f t="array" ref="BM114">IF($A114="","", INDEX(CS!$B$1:$B$15025,MATCH($A114,CS!$B:$B,0)+COLUMN(G$1),1))</f>
        <v/>
      </c>
      <c r="BN114" s="37" t="str">
        <f t="array" ref="BN114">IF($A114="","", INDEX(CS!$B$1:$B$15025,MATCH($A114,CS!$B:$B,0)+COLUMN(H$1),1))</f>
        <v/>
      </c>
      <c r="BO114" s="37" t="str">
        <f t="array" ref="BO114">IF($A114="","", INDEX(CS!$B$1:$B$15025,MATCH($A114,CS!$B:$B,0)+COLUMN(I$1),1))</f>
        <v/>
      </c>
      <c r="BP114" s="37" t="str">
        <f t="array" ref="BP114">IF($A114="","", INDEX(CS!$B$1:$B$15025,MATCH($A114,CS!$B:$B,0)+COLUMN(J$1),1))</f>
        <v/>
      </c>
      <c r="BS114" s="74"/>
      <c r="CQ114" s="37"/>
      <c r="CR114" s="37"/>
    </row>
    <row r="115" ht="18.75" customHeight="1" outlineLevel="2">
      <c r="A115" s="39" t="s">
        <v>1990</v>
      </c>
      <c r="B115" s="71"/>
      <c r="C115" s="39" t="s">
        <v>2799</v>
      </c>
      <c r="D115" s="72" t="str">
        <f t="shared" si="2"/>
        <v>725/475/250</v>
      </c>
      <c r="E115" s="39">
        <v>2.0</v>
      </c>
      <c r="F115" s="39">
        <v>90.0</v>
      </c>
      <c r="I115" s="39">
        <v>95.0</v>
      </c>
      <c r="J115" s="39">
        <v>85.0</v>
      </c>
      <c r="K115" s="87">
        <v>25.0</v>
      </c>
      <c r="L115" s="39">
        <v>50.0</v>
      </c>
      <c r="M115" s="39">
        <v>55.0</v>
      </c>
      <c r="N115" s="39">
        <v>75.0</v>
      </c>
      <c r="P115" s="37">
        <v>0.0</v>
      </c>
      <c r="Q115" s="64"/>
      <c r="R115" s="64"/>
      <c r="S115" s="64"/>
      <c r="T115" s="64"/>
      <c r="U115" s="64"/>
      <c r="V115" s="64"/>
      <c r="W115" s="64"/>
      <c r="X115" s="64"/>
      <c r="Y115" s="64"/>
      <c r="Z115" s="64"/>
      <c r="AA115" s="64"/>
      <c r="AJ115" s="39">
        <v>75.0</v>
      </c>
      <c r="AK115" s="39">
        <v>50.0</v>
      </c>
      <c r="AL115" s="39">
        <v>25.0</v>
      </c>
      <c r="AM115" s="39">
        <v>25.0</v>
      </c>
      <c r="AN115" s="39">
        <v>25.0</v>
      </c>
      <c r="AO115" s="39">
        <v>0.0</v>
      </c>
      <c r="AP115" s="39">
        <v>0.0</v>
      </c>
      <c r="AQ115" s="39">
        <v>0.0</v>
      </c>
      <c r="AR115" s="39">
        <v>25.0</v>
      </c>
      <c r="AS115" s="39">
        <v>0.0</v>
      </c>
      <c r="AT115" s="39">
        <v>0.0</v>
      </c>
      <c r="AU115" s="39">
        <v>0.0</v>
      </c>
      <c r="AV115" s="39">
        <v>0.0</v>
      </c>
      <c r="AW115" s="39">
        <v>25.0</v>
      </c>
      <c r="AX115" s="39">
        <v>0.0</v>
      </c>
      <c r="AY115" s="39">
        <v>0.0</v>
      </c>
      <c r="AZ115" s="39">
        <v>0.0</v>
      </c>
      <c r="BG115" s="37" t="str">
        <f t="array" ref="BG115">IF($A115="","",IFERROR(INDEX(CS!$B$1:$B$15025,MATCH($A115,CS!$B:$B,0)+COLUMN(A$1),1),""))</f>
        <v>戦う者</v>
      </c>
      <c r="BH115" s="37" t="str">
        <f t="array" ref="BH115">IF($A115="","",IFERROR(INDEX(CS!$B$1:$B$15025,MATCH($A115,CS!$B:$B,0)+COLUMN(B$1),1),""))</f>
        <v/>
      </c>
      <c r="BI115" s="37" t="str">
        <f t="array" ref="BI115">IF($A115="","",IFERROR(INDEX(CS!$B$1:$B$15025,MATCH($A115,CS!$B:$B,0)+COLUMN(C$1),1),""))</f>
        <v>戦いの精神</v>
      </c>
      <c r="BJ115" s="37" t="str">
        <f t="array" ref="BJ115">IF($A115="","",IFERROR(INDEX(CS!$B$1:$B$15025,MATCH($A115,CS!$B:$B,0)+COLUMN(D$1),1),""))</f>
        <v/>
      </c>
      <c r="BK115" s="37" t="str">
        <f t="array" ref="BK115">IF($A115="","",IFERROR(INDEX(CS!$B$1:$B$15025,MATCH($A115,CS!$B:$B,0)+COLUMN(E$1),1),""))</f>
        <v>闘気纏い</v>
      </c>
      <c r="BL115" s="37" t="str">
        <f t="array" ref="BL115">IF($A115="","",IFERROR(INDEX(CS!$B$1:$B$15025,MATCH($A115,CS!$B:$B,0)+COLUMN(F$1),1),""))</f>
        <v/>
      </c>
      <c r="BM115" s="37" t="str">
        <f t="array" ref="BM115">IF($A115="","",IFERROR(INDEX(CS!$B$1:$B$15025,MATCH($A115,CS!$B:$B,0)+COLUMN(G$1),1),""))</f>
        <v>明確な心</v>
      </c>
      <c r="BN115" s="37" t="str">
        <f t="array" ref="BN115">IF($A115="","",IFERROR(INDEX(CS!$B$1:$B$15025,MATCH($A115,CS!$B:$B,0)+COLUMN(H$1),1),""))</f>
        <v/>
      </c>
      <c r="BO115" s="37" t="str">
        <f t="array" ref="BO115">IF($A115="","",IFERROR(INDEX(CS!$B$1:$B$15025,MATCH($A115,CS!$B:$B,0)+COLUMN(I$1),1),""))</f>
        <v>空撃</v>
      </c>
      <c r="BP115" s="37" t="str">
        <f t="array" ref="BP115">IF($A115="","",IFERROR(INDEX(CS!$B$1:$B$15025,MATCH($A115,CS!$B:$B,0)+COLUMN(J$1),1),""))</f>
        <v>闘戦士</v>
      </c>
      <c r="BR115" s="39" t="s">
        <v>2830</v>
      </c>
      <c r="BS115" s="74"/>
      <c r="CG115" s="37" t="s">
        <v>2800</v>
      </c>
      <c r="CJ115" s="37" t="s">
        <v>2801</v>
      </c>
      <c r="CK115" s="37" t="s">
        <v>2802</v>
      </c>
      <c r="CN115" s="37" t="s">
        <v>1102</v>
      </c>
      <c r="CQ115" s="37"/>
      <c r="CR115" s="37"/>
    </row>
    <row r="116" ht="18.75" customHeight="1" outlineLevel="2">
      <c r="A116" s="39" t="s">
        <v>2005</v>
      </c>
      <c r="B116" s="71"/>
      <c r="C116" s="39" t="s">
        <v>2799</v>
      </c>
      <c r="D116" s="72" t="str">
        <f t="shared" si="2"/>
        <v>740/490/250</v>
      </c>
      <c r="E116" s="39">
        <v>3.0</v>
      </c>
      <c r="F116" s="39">
        <v>95.0</v>
      </c>
      <c r="I116" s="39">
        <v>100.0</v>
      </c>
      <c r="J116" s="39">
        <v>90.0</v>
      </c>
      <c r="K116" s="87">
        <v>25.0</v>
      </c>
      <c r="L116" s="39">
        <v>50.0</v>
      </c>
      <c r="M116" s="39">
        <v>55.0</v>
      </c>
      <c r="N116" s="39">
        <v>75.0</v>
      </c>
      <c r="P116" s="37">
        <v>0.0</v>
      </c>
      <c r="Q116" s="64"/>
      <c r="R116" s="64"/>
      <c r="S116" s="64"/>
      <c r="T116" s="64"/>
      <c r="U116" s="64"/>
      <c r="V116" s="64"/>
      <c r="W116" s="64"/>
      <c r="X116" s="64"/>
      <c r="Y116" s="64"/>
      <c r="Z116" s="64"/>
      <c r="AA116" s="64"/>
      <c r="AJ116" s="39">
        <v>75.0</v>
      </c>
      <c r="AK116" s="39">
        <v>50.0</v>
      </c>
      <c r="AL116" s="39">
        <v>25.0</v>
      </c>
      <c r="AM116" s="39">
        <v>25.0</v>
      </c>
      <c r="AN116" s="39">
        <v>25.0</v>
      </c>
      <c r="AO116" s="39">
        <v>0.0</v>
      </c>
      <c r="AP116" s="39">
        <v>0.0</v>
      </c>
      <c r="AQ116" s="39">
        <v>0.0</v>
      </c>
      <c r="AR116" s="39">
        <v>25.0</v>
      </c>
      <c r="AS116" s="39">
        <v>0.0</v>
      </c>
      <c r="AT116" s="39">
        <v>0.0</v>
      </c>
      <c r="AU116" s="39">
        <v>0.0</v>
      </c>
      <c r="AV116" s="39">
        <v>0.0</v>
      </c>
      <c r="AW116" s="39">
        <v>25.0</v>
      </c>
      <c r="AX116" s="39">
        <v>0.0</v>
      </c>
      <c r="AY116" s="39">
        <v>0.0</v>
      </c>
      <c r="AZ116" s="39">
        <v>0.0</v>
      </c>
      <c r="BG116" s="37" t="str">
        <f t="array" ref="BG116">IF($A116="","",IFERROR(INDEX(CS!$B$1:$B$15025,MATCH($A116,CS!$B:$B,0)+COLUMN(A$1),1),""))</f>
        <v>打ち倒す一撃</v>
      </c>
      <c r="BH116" s="37" t="str">
        <f t="array" ref="BH116">IF($A116="","",IFERROR(INDEX(CS!$B$1:$B$15025,MATCH($A116,CS!$B:$B,0)+COLUMN(B$1),1),""))</f>
        <v/>
      </c>
      <c r="BI116" s="37" t="str">
        <f t="array" ref="BI116">IF($A116="","",IFERROR(INDEX(CS!$B$1:$B$15025,MATCH($A116,CS!$B:$B,0)+COLUMN(C$1),1),""))</f>
        <v>攻撃の精神</v>
      </c>
      <c r="BJ116" s="37" t="str">
        <f t="array" ref="BJ116">IF($A116="","",IFERROR(INDEX(CS!$B$1:$B$15025,MATCH($A116,CS!$B:$B,0)+COLUMN(D$1),1),""))</f>
        <v/>
      </c>
      <c r="BK116" s="37" t="str">
        <f t="array" ref="BK116">IF($A116="","",IFERROR(INDEX(CS!$B$1:$B$15025,MATCH($A116,CS!$B:$B,0)+COLUMN(E$1),1),""))</f>
        <v>重動剛撃</v>
      </c>
      <c r="BL116" s="37" t="str">
        <f t="array" ref="BL116">IF($A116="","",IFERROR(INDEX(CS!$B$1:$B$15025,MATCH($A116,CS!$B:$B,0)+COLUMN(F$1),1),""))</f>
        <v/>
      </c>
      <c r="BM116" s="37" t="str">
        <f t="array" ref="BM116">IF($A116="","",IFERROR(INDEX(CS!$B$1:$B$15025,MATCH($A116,CS!$B:$B,0)+COLUMN(G$1),1),""))</f>
        <v>武器の圧力</v>
      </c>
      <c r="BN116" s="37" t="str">
        <f t="array" ref="BN116">IF($A116="","",IFERROR(INDEX(CS!$B$1:$B$15025,MATCH($A116,CS!$B:$B,0)+COLUMN(H$1),1),""))</f>
        <v/>
      </c>
      <c r="BO116" s="37" t="str">
        <f t="array" ref="BO116">IF($A116="","",IFERROR(INDEX(CS!$B$1:$B$15025,MATCH($A116,CS!$B:$B,0)+COLUMN(I$1),1),""))</f>
        <v>破壊力</v>
      </c>
      <c r="BP116" s="37" t="str">
        <f t="array" ref="BP116">IF($A116="","",IFERROR(INDEX(CS!$B$1:$B$15025,MATCH($A116,CS!$B:$B,0)+COLUMN(J$1),1),""))</f>
        <v>破壊者</v>
      </c>
      <c r="BR116" s="39" t="s">
        <v>2831</v>
      </c>
      <c r="BS116" s="74"/>
      <c r="CG116" s="37" t="s">
        <v>2800</v>
      </c>
      <c r="CJ116" s="37" t="s">
        <v>2801</v>
      </c>
      <c r="CK116" s="37" t="s">
        <v>2802</v>
      </c>
      <c r="CN116" s="37" t="s">
        <v>1102</v>
      </c>
      <c r="CQ116" s="37"/>
      <c r="CR116" s="37"/>
    </row>
    <row r="117" ht="18.75" customHeight="1" outlineLevel="2">
      <c r="A117" s="39" t="s">
        <v>2021</v>
      </c>
      <c r="B117" s="71"/>
      <c r="C117" s="39" t="s">
        <v>2799</v>
      </c>
      <c r="D117" s="72" t="str">
        <f t="shared" si="2"/>
        <v>755/505/250</v>
      </c>
      <c r="E117" s="39">
        <v>4.0</v>
      </c>
      <c r="F117" s="39">
        <v>100.0</v>
      </c>
      <c r="I117" s="39">
        <v>105.0</v>
      </c>
      <c r="J117" s="39">
        <v>90.0</v>
      </c>
      <c r="K117" s="87">
        <v>25.0</v>
      </c>
      <c r="L117" s="39">
        <v>50.0</v>
      </c>
      <c r="M117" s="39">
        <v>60.0</v>
      </c>
      <c r="N117" s="39">
        <v>75.0</v>
      </c>
      <c r="P117" s="37">
        <v>0.0</v>
      </c>
      <c r="Q117" s="64"/>
      <c r="R117" s="64"/>
      <c r="S117" s="64"/>
      <c r="T117" s="64"/>
      <c r="U117" s="64"/>
      <c r="V117" s="64"/>
      <c r="W117" s="64"/>
      <c r="X117" s="64"/>
      <c r="Y117" s="64"/>
      <c r="Z117" s="64"/>
      <c r="AA117" s="64"/>
      <c r="AJ117" s="39">
        <v>75.0</v>
      </c>
      <c r="AK117" s="39">
        <v>50.0</v>
      </c>
      <c r="AL117" s="39">
        <v>25.0</v>
      </c>
      <c r="AM117" s="39">
        <v>25.0</v>
      </c>
      <c r="AN117" s="39">
        <v>25.0</v>
      </c>
      <c r="AO117" s="39">
        <v>0.0</v>
      </c>
      <c r="AP117" s="39">
        <v>0.0</v>
      </c>
      <c r="AQ117" s="39">
        <v>0.0</v>
      </c>
      <c r="AR117" s="39">
        <v>25.0</v>
      </c>
      <c r="AS117" s="39">
        <v>0.0</v>
      </c>
      <c r="AT117" s="39">
        <v>0.0</v>
      </c>
      <c r="AU117" s="39">
        <v>0.0</v>
      </c>
      <c r="AV117" s="39">
        <v>0.0</v>
      </c>
      <c r="AW117" s="39">
        <v>25.0</v>
      </c>
      <c r="AX117" s="39">
        <v>0.0</v>
      </c>
      <c r="AY117" s="39">
        <v>0.0</v>
      </c>
      <c r="AZ117" s="39">
        <v>0.0</v>
      </c>
      <c r="BG117" s="37" t="str">
        <f t="array" ref="BG117">IF($A117="","",IFERROR(INDEX(CS!$B$1:$B$15025,MATCH($A117,CS!$B:$B,0)+COLUMN(A$1),1),""))</f>
        <v>不動明王撃</v>
      </c>
      <c r="BH117" s="37" t="str">
        <f t="array" ref="BH117">IF($A117="","",IFERROR(INDEX(CS!$B$1:$B$15025,MATCH($A117,CS!$B:$B,0)+COLUMN(B$1),1),""))</f>
        <v/>
      </c>
      <c r="BI117" s="37" t="str">
        <f t="array" ref="BI117">IF($A117="","",IFERROR(INDEX(CS!$B$1:$B$15025,MATCH($A117,CS!$B:$B,0)+COLUMN(C$1),1),""))</f>
        <v>屈強な肉体</v>
      </c>
      <c r="BJ117" s="37" t="str">
        <f t="array" ref="BJ117">IF($A117="","",IFERROR(INDEX(CS!$B$1:$B$15025,MATCH($A117,CS!$B:$B,0)+COLUMN(D$1),1),""))</f>
        <v/>
      </c>
      <c r="BK117" s="37" t="str">
        <f t="array" ref="BK117">IF($A117="","",IFERROR(INDEX(CS!$B$1:$B$15025,MATCH($A117,CS!$B:$B,0)+COLUMN(E$1),1),""))</f>
        <v>降三世明王撃</v>
      </c>
      <c r="BL117" s="37" t="str">
        <f t="array" ref="BL117">IF($A117="","",IFERROR(INDEX(CS!$B$1:$B$15025,MATCH($A117,CS!$B:$B,0)+COLUMN(F$1),1),""))</f>
        <v/>
      </c>
      <c r="BM117" s="37" t="str">
        <f t="array" ref="BM117">IF($A117="","",IFERROR(INDEX(CS!$B$1:$B$15025,MATCH($A117,CS!$B:$B,0)+COLUMN(G$1),1),""))</f>
        <v>朱羅</v>
      </c>
      <c r="BN117" s="37" t="str">
        <f t="array" ref="BN117">IF($A117="","",IFERROR(INDEX(CS!$B$1:$B$15025,MATCH($A117,CS!$B:$B,0)+COLUMN(H$1),1),""))</f>
        <v/>
      </c>
      <c r="BO117" s="37" t="str">
        <f t="array" ref="BO117">IF($A117="","",IFERROR(INDEX(CS!$B$1:$B$15025,MATCH($A117,CS!$B:$B,0)+COLUMN(I$1),1),""))</f>
        <v>大威徳明王撃</v>
      </c>
      <c r="BP117" s="37" t="str">
        <f t="array" ref="BP117">IF($A117="","",IFERROR(INDEX(CS!$B$1:$B$15025,MATCH($A117,CS!$B:$B,0)+COLUMN(J$1),1),""))</f>
        <v>阿修羅</v>
      </c>
      <c r="BR117" s="39" t="s">
        <v>2832</v>
      </c>
      <c r="BS117" s="74"/>
      <c r="CG117" s="37" t="s">
        <v>2800</v>
      </c>
      <c r="CJ117" s="37" t="s">
        <v>2801</v>
      </c>
      <c r="CK117" s="37" t="s">
        <v>2802</v>
      </c>
      <c r="CN117" s="37" t="s">
        <v>1102</v>
      </c>
      <c r="CQ117" s="37"/>
      <c r="CR117" s="37"/>
    </row>
    <row r="118" ht="18.75" customHeight="1" outlineLevel="2">
      <c r="A118" s="39" t="s">
        <v>2037</v>
      </c>
      <c r="B118" s="71"/>
      <c r="C118" s="39" t="s">
        <v>2799</v>
      </c>
      <c r="D118" s="72" t="str">
        <f t="shared" si="2"/>
        <v>725/475/250</v>
      </c>
      <c r="E118" s="39">
        <v>2.0</v>
      </c>
      <c r="F118" s="39">
        <v>90.0</v>
      </c>
      <c r="I118" s="39">
        <v>80.0</v>
      </c>
      <c r="J118" s="39">
        <v>95.0</v>
      </c>
      <c r="K118" s="87">
        <v>25.0</v>
      </c>
      <c r="L118" s="39">
        <v>60.0</v>
      </c>
      <c r="M118" s="39">
        <v>50.0</v>
      </c>
      <c r="N118" s="39">
        <v>75.0</v>
      </c>
      <c r="P118" s="37">
        <v>0.0</v>
      </c>
      <c r="Q118" s="64"/>
      <c r="R118" s="64"/>
      <c r="S118" s="64"/>
      <c r="T118" s="64"/>
      <c r="U118" s="64"/>
      <c r="V118" s="64"/>
      <c r="W118" s="64"/>
      <c r="X118" s="64"/>
      <c r="Y118" s="64"/>
      <c r="Z118" s="64"/>
      <c r="AA118" s="64"/>
      <c r="AJ118" s="39">
        <v>100.0</v>
      </c>
      <c r="AK118" s="39">
        <v>0.0</v>
      </c>
      <c r="AL118" s="39">
        <v>25.0</v>
      </c>
      <c r="AM118" s="39">
        <v>25.0</v>
      </c>
      <c r="AN118" s="39">
        <v>25.0</v>
      </c>
      <c r="AO118" s="39">
        <v>0.0</v>
      </c>
      <c r="AP118" s="39">
        <v>0.0</v>
      </c>
      <c r="AQ118" s="39">
        <v>0.0</v>
      </c>
      <c r="AR118" s="39">
        <v>25.0</v>
      </c>
      <c r="AS118" s="39">
        <v>0.0</v>
      </c>
      <c r="AT118" s="39">
        <v>0.0</v>
      </c>
      <c r="AU118" s="39">
        <v>0.0</v>
      </c>
      <c r="AV118" s="39">
        <v>0.0</v>
      </c>
      <c r="AW118" s="39">
        <v>50.0</v>
      </c>
      <c r="AX118" s="39">
        <v>0.0</v>
      </c>
      <c r="AY118" s="39">
        <v>0.0</v>
      </c>
      <c r="AZ118" s="39">
        <v>0.0</v>
      </c>
      <c r="BG118" s="37" t="str">
        <f t="array" ref="BG118">IF($A118="","",IFERROR(INDEX(CS!$B$1:$B$15025,MATCH($A118,CS!$B:$B,0)+COLUMN(A$1),1),""))</f>
        <v>守る者</v>
      </c>
      <c r="BH118" s="37" t="str">
        <f t="array" ref="BH118">IF($A118="","",IFERROR(INDEX(CS!$B$1:$B$15025,MATCH($A118,CS!$B:$B,0)+COLUMN(B$1),1),""))</f>
        <v/>
      </c>
      <c r="BI118" s="37" t="str">
        <f t="array" ref="BI118">IF($A118="","",IFERROR(INDEX(CS!$B$1:$B$15025,MATCH($A118,CS!$B:$B,0)+COLUMN(C$1),1),""))</f>
        <v>守護精神</v>
      </c>
      <c r="BJ118" s="37" t="str">
        <f t="array" ref="BJ118">IF($A118="","",IFERROR(INDEX(CS!$B$1:$B$15025,MATCH($A118,CS!$B:$B,0)+COLUMN(D$1),1),""))</f>
        <v/>
      </c>
      <c r="BK118" s="37" t="str">
        <f t="array" ref="BK118">IF($A118="","",IFERROR(INDEX(CS!$B$1:$B$15025,MATCH($A118,CS!$B:$B,0)+COLUMN(E$1),1),""))</f>
        <v>不落要塞</v>
      </c>
      <c r="BL118" s="37" t="str">
        <f t="array" ref="BL118">IF($A118="","",IFERROR(INDEX(CS!$B$1:$B$15025,MATCH($A118,CS!$B:$B,0)+COLUMN(F$1),1),""))</f>
        <v/>
      </c>
      <c r="BM118" s="37" t="str">
        <f t="array" ref="BM118">IF($A118="","",IFERROR(INDEX(CS!$B$1:$B$15025,MATCH($A118,CS!$B:$B,0)+COLUMN(G$1),1),""))</f>
        <v>明確な心</v>
      </c>
      <c r="BN118" s="37" t="str">
        <f t="array" ref="BN118">IF($A118="","",IFERROR(INDEX(CS!$B$1:$B$15025,MATCH($A118,CS!$B:$B,0)+COLUMN(H$1),1),""))</f>
        <v/>
      </c>
      <c r="BO118" s="37" t="str">
        <f t="array" ref="BO118">IF($A118="","",IFERROR(INDEX(CS!$B$1:$B$15025,MATCH($A118,CS!$B:$B,0)+COLUMN(I$1),1),""))</f>
        <v>真なる護り手</v>
      </c>
      <c r="BP118" s="37" t="str">
        <f t="array" ref="BP118">IF($A118="","",IFERROR(INDEX(CS!$B$1:$B$15025,MATCH($A118,CS!$B:$B,0)+COLUMN(J$1),1),""))</f>
        <v>守護者</v>
      </c>
      <c r="BR118" s="39" t="s">
        <v>2833</v>
      </c>
      <c r="BS118" s="74"/>
      <c r="CG118" s="37" t="s">
        <v>2804</v>
      </c>
      <c r="CH118" s="37" t="s">
        <v>2805</v>
      </c>
      <c r="CJ118" s="37" t="s">
        <v>2801</v>
      </c>
      <c r="CK118" s="37" t="s">
        <v>2802</v>
      </c>
      <c r="CN118" s="37" t="s">
        <v>1102</v>
      </c>
      <c r="CQ118" s="37"/>
      <c r="CR118" s="37"/>
    </row>
    <row r="119" ht="18.75" customHeight="1" outlineLevel="1">
      <c r="A119" s="39" t="s">
        <v>2051</v>
      </c>
      <c r="B119" s="71"/>
      <c r="C119" s="39" t="s">
        <v>2799</v>
      </c>
      <c r="D119" s="72" t="str">
        <f t="shared" si="2"/>
        <v>740/490/250</v>
      </c>
      <c r="E119" s="39">
        <v>3.0</v>
      </c>
      <c r="F119" s="39">
        <v>95.0</v>
      </c>
      <c r="I119" s="39">
        <v>80.0</v>
      </c>
      <c r="J119" s="39">
        <v>100.0</v>
      </c>
      <c r="K119" s="87">
        <v>25.0</v>
      </c>
      <c r="L119" s="39">
        <v>65.0</v>
      </c>
      <c r="M119" s="39">
        <v>50.0</v>
      </c>
      <c r="N119" s="39">
        <v>75.0</v>
      </c>
      <c r="P119" s="37">
        <v>0.0</v>
      </c>
      <c r="Q119" s="64"/>
      <c r="R119" s="64"/>
      <c r="S119" s="64"/>
      <c r="T119" s="64"/>
      <c r="U119" s="64"/>
      <c r="V119" s="64"/>
      <c r="W119" s="64"/>
      <c r="X119" s="64"/>
      <c r="Y119" s="64"/>
      <c r="Z119" s="64"/>
      <c r="AA119" s="64"/>
      <c r="AJ119" s="39">
        <v>100.0</v>
      </c>
      <c r="AK119" s="39">
        <v>0.0</v>
      </c>
      <c r="AL119" s="39">
        <v>25.0</v>
      </c>
      <c r="AM119" s="39">
        <v>25.0</v>
      </c>
      <c r="AN119" s="39">
        <v>25.0</v>
      </c>
      <c r="AO119" s="39">
        <v>0.0</v>
      </c>
      <c r="AP119" s="39">
        <v>0.0</v>
      </c>
      <c r="AQ119" s="39">
        <v>0.0</v>
      </c>
      <c r="AR119" s="39">
        <v>25.0</v>
      </c>
      <c r="AS119" s="39">
        <v>0.0</v>
      </c>
      <c r="AT119" s="39">
        <v>0.0</v>
      </c>
      <c r="AU119" s="39">
        <v>0.0</v>
      </c>
      <c r="AV119" s="39">
        <v>0.0</v>
      </c>
      <c r="AW119" s="39">
        <v>50.0</v>
      </c>
      <c r="AX119" s="39">
        <v>0.0</v>
      </c>
      <c r="AY119" s="39">
        <v>0.0</v>
      </c>
      <c r="AZ119" s="39">
        <v>0.0</v>
      </c>
      <c r="BG119" s="37" t="str">
        <f t="array" ref="BG119">IF($A119="","",IFERROR(INDEX(CS!$B$1:$B$15025,MATCH($A119,CS!$B:$B,0)+COLUMN(A$1),1),""))</f>
        <v>不動反射</v>
      </c>
      <c r="BH119" s="37" t="str">
        <f t="array" ref="BH119">IF($A119="","",IFERROR(INDEX(CS!$B$1:$B$15025,MATCH($A119,CS!$B:$B,0)+COLUMN(B$1),1),""))</f>
        <v/>
      </c>
      <c r="BI119" s="37" t="str">
        <f t="array" ref="BI119">IF($A119="","",IFERROR(INDEX(CS!$B$1:$B$15025,MATCH($A119,CS!$B:$B,0)+COLUMN(C$1),1),""))</f>
        <v>護りの精神</v>
      </c>
      <c r="BJ119" s="37" t="str">
        <f t="array" ref="BJ119">IF($A119="","",IFERROR(INDEX(CS!$B$1:$B$15025,MATCH($A119,CS!$B:$B,0)+COLUMN(D$1),1),""))</f>
        <v/>
      </c>
      <c r="BK119" s="37" t="str">
        <f t="array" ref="BK119">IF($A119="","",IFERROR(INDEX(CS!$B$1:$B$15025,MATCH($A119,CS!$B:$B,0)+COLUMN(E$1),1),""))</f>
        <v>急所遮断</v>
      </c>
      <c r="BL119" s="37" t="str">
        <f t="array" ref="BL119">IF($A119="","",IFERROR(INDEX(CS!$B$1:$B$15025,MATCH($A119,CS!$B:$B,0)+COLUMN(F$1),1),""))</f>
        <v/>
      </c>
      <c r="BM119" s="37" t="str">
        <f t="array" ref="BM119">IF($A119="","",IFERROR(INDEX(CS!$B$1:$B$15025,MATCH($A119,CS!$B:$B,0)+COLUMN(G$1),1),""))</f>
        <v>有り余る体力</v>
      </c>
      <c r="BN119" s="37" t="str">
        <f t="array" ref="BN119">IF($A119="","",IFERROR(INDEX(CS!$B$1:$B$15025,MATCH($A119,CS!$B:$B,0)+COLUMN(H$1),1),""))</f>
        <v/>
      </c>
      <c r="BO119" s="37" t="str">
        <f t="array" ref="BO119">IF($A119="","",IFERROR(INDEX(CS!$B$1:$B$15025,MATCH($A119,CS!$B:$B,0)+COLUMN(I$1),1),""))</f>
        <v>守りの去なし</v>
      </c>
      <c r="BP119" s="37" t="str">
        <f t="array" ref="BP119">IF($A119="","",IFERROR(INDEX(CS!$B$1:$B$15025,MATCH($A119,CS!$B:$B,0)+COLUMN(J$1),1),""))</f>
        <v>シャットアウター</v>
      </c>
      <c r="BR119" s="39" t="s">
        <v>2834</v>
      </c>
      <c r="BS119" s="74"/>
      <c r="CG119" s="37" t="s">
        <v>2804</v>
      </c>
      <c r="CH119" s="37" t="s">
        <v>2805</v>
      </c>
      <c r="CJ119" s="37" t="s">
        <v>2801</v>
      </c>
      <c r="CK119" s="37" t="s">
        <v>2802</v>
      </c>
      <c r="CN119" s="37" t="s">
        <v>1102</v>
      </c>
      <c r="CQ119" s="37"/>
      <c r="CR119" s="37"/>
    </row>
    <row r="120" ht="18.75" customHeight="1" outlineLevel="1">
      <c r="A120" s="39" t="s">
        <v>2067</v>
      </c>
      <c r="B120" s="71"/>
      <c r="C120" s="39" t="s">
        <v>2799</v>
      </c>
      <c r="D120" s="72" t="str">
        <f t="shared" si="2"/>
        <v>725/475/250</v>
      </c>
      <c r="E120" s="39">
        <v>2.0</v>
      </c>
      <c r="F120" s="39">
        <v>85.0</v>
      </c>
      <c r="I120" s="39">
        <v>85.0</v>
      </c>
      <c r="J120" s="39">
        <v>55.0</v>
      </c>
      <c r="K120" s="87">
        <v>25.0</v>
      </c>
      <c r="L120" s="39">
        <v>50.0</v>
      </c>
      <c r="M120" s="39">
        <v>95.0</v>
      </c>
      <c r="N120" s="39">
        <v>80.0</v>
      </c>
      <c r="P120" s="37">
        <v>0.0</v>
      </c>
      <c r="Q120" s="64"/>
      <c r="R120" s="64"/>
      <c r="S120" s="64"/>
      <c r="T120" s="64"/>
      <c r="U120" s="64"/>
      <c r="V120" s="64"/>
      <c r="W120" s="64"/>
      <c r="X120" s="64"/>
      <c r="Y120" s="64"/>
      <c r="Z120" s="64"/>
      <c r="AA120" s="64"/>
      <c r="AJ120" s="39">
        <v>50.0</v>
      </c>
      <c r="AK120" s="39">
        <v>50.0</v>
      </c>
      <c r="AL120" s="39">
        <v>25.0</v>
      </c>
      <c r="AM120" s="39">
        <v>50.0</v>
      </c>
      <c r="AN120" s="39">
        <v>25.0</v>
      </c>
      <c r="AO120" s="39">
        <v>0.0</v>
      </c>
      <c r="AP120" s="39">
        <v>0.0</v>
      </c>
      <c r="AQ120" s="39">
        <v>0.0</v>
      </c>
      <c r="AR120" s="39">
        <v>25.0</v>
      </c>
      <c r="AS120" s="39">
        <v>0.0</v>
      </c>
      <c r="AT120" s="39">
        <v>0.0</v>
      </c>
      <c r="AU120" s="39">
        <v>0.0</v>
      </c>
      <c r="AV120" s="39">
        <v>0.0</v>
      </c>
      <c r="AW120" s="39">
        <v>25.0</v>
      </c>
      <c r="AX120" s="39">
        <v>0.0</v>
      </c>
      <c r="AY120" s="39">
        <v>0.0</v>
      </c>
      <c r="AZ120" s="39">
        <v>0.0</v>
      </c>
      <c r="BG120" s="37" t="str">
        <f t="array" ref="BG120">IF($A120="","",IFERROR(INDEX(CS!$B$1:$B$15025,MATCH($A120,CS!$B:$B,0)+COLUMN(A$1),1),""))</f>
        <v>加速</v>
      </c>
      <c r="BH120" s="37" t="str">
        <f t="array" ref="BH120">IF($A120="","",IFERROR(INDEX(CS!$B$1:$B$15025,MATCH($A120,CS!$B:$B,0)+COLUMN(B$1),1),""))</f>
        <v/>
      </c>
      <c r="BI120" s="37" t="str">
        <f t="array" ref="BI120">IF($A120="","",IFERROR(INDEX(CS!$B$1:$B$15025,MATCH($A120,CS!$B:$B,0)+COLUMN(C$1),1),""))</f>
        <v>回避の精神</v>
      </c>
      <c r="BJ120" s="37" t="str">
        <f t="array" ref="BJ120">IF($A120="","",IFERROR(INDEX(CS!$B$1:$B$15025,MATCH($A120,CS!$B:$B,0)+COLUMN(D$1),1),""))</f>
        <v/>
      </c>
      <c r="BK120" s="37" t="str">
        <f t="array" ref="BK120">IF($A120="","",IFERROR(INDEX(CS!$B$1:$B$15025,MATCH($A120,CS!$B:$B,0)+COLUMN(E$1),1),""))</f>
        <v>疾風回避</v>
      </c>
      <c r="BL120" s="37" t="str">
        <f t="array" ref="BL120">IF($A120="","",IFERROR(INDEX(CS!$B$1:$B$15025,MATCH($A120,CS!$B:$B,0)+COLUMN(F$1),1),""))</f>
        <v/>
      </c>
      <c r="BM120" s="37" t="str">
        <f t="array" ref="BM120">IF($A120="","",IFERROR(INDEX(CS!$B$1:$B$15025,MATCH($A120,CS!$B:$B,0)+COLUMN(G$1),1),""))</f>
        <v>戦闘軽戦士</v>
      </c>
      <c r="BN120" s="37" t="str">
        <f t="array" ref="BN120">IF($A120="","",IFERROR(INDEX(CS!$B$1:$B$15025,MATCH($A120,CS!$B:$B,0)+COLUMN(H$1),1),""))</f>
        <v/>
      </c>
      <c r="BO120" s="37" t="str">
        <f t="array" ref="BO120">IF($A120="","",IFERROR(INDEX(CS!$B$1:$B$15025,MATCH($A120,CS!$B:$B,0)+COLUMN(I$1),1),""))</f>
        <v>機動乱撃</v>
      </c>
      <c r="BP120" s="37" t="str">
        <f t="array" ref="BP120">IF($A120="","",IFERROR(INDEX(CS!$B$1:$B$15025,MATCH($A120,CS!$B:$B,0)+COLUMN(J$1),1),""))</f>
        <v>超機動</v>
      </c>
      <c r="BR120" s="39" t="s">
        <v>2835</v>
      </c>
      <c r="BS120" s="74"/>
      <c r="CG120" s="37" t="s">
        <v>2807</v>
      </c>
      <c r="CI120" s="37" t="s">
        <v>2808</v>
      </c>
      <c r="CJ120" s="37" t="s">
        <v>2809</v>
      </c>
      <c r="CK120" s="37" t="s">
        <v>2802</v>
      </c>
      <c r="CN120" s="37" t="s">
        <v>1102</v>
      </c>
      <c r="CQ120" s="37"/>
      <c r="CR120" s="37"/>
    </row>
    <row r="121" ht="18.75" customHeight="1" outlineLevel="2">
      <c r="A121" s="39" t="s">
        <v>2079</v>
      </c>
      <c r="B121" s="71"/>
      <c r="C121" s="39" t="s">
        <v>2799</v>
      </c>
      <c r="D121" s="72" t="str">
        <f t="shared" si="2"/>
        <v>740/490/250</v>
      </c>
      <c r="E121" s="39">
        <v>3.0</v>
      </c>
      <c r="F121" s="39">
        <v>85.0</v>
      </c>
      <c r="I121" s="39">
        <v>90.0</v>
      </c>
      <c r="J121" s="39">
        <v>55.0</v>
      </c>
      <c r="K121" s="87">
        <v>25.0</v>
      </c>
      <c r="L121" s="39">
        <v>50.0</v>
      </c>
      <c r="M121" s="39">
        <v>100.0</v>
      </c>
      <c r="N121" s="39">
        <v>85.0</v>
      </c>
      <c r="P121" s="37">
        <v>0.0</v>
      </c>
      <c r="Q121" s="64"/>
      <c r="R121" s="64"/>
      <c r="S121" s="64"/>
      <c r="T121" s="64"/>
      <c r="U121" s="64"/>
      <c r="V121" s="64"/>
      <c r="W121" s="64"/>
      <c r="X121" s="64"/>
      <c r="Y121" s="64"/>
      <c r="Z121" s="64"/>
      <c r="AA121" s="64"/>
      <c r="AJ121" s="39">
        <v>50.0</v>
      </c>
      <c r="AK121" s="39">
        <v>50.0</v>
      </c>
      <c r="AL121" s="39">
        <v>25.0</v>
      </c>
      <c r="AM121" s="39">
        <v>50.0</v>
      </c>
      <c r="AN121" s="39">
        <v>25.0</v>
      </c>
      <c r="AO121" s="39">
        <v>0.0</v>
      </c>
      <c r="AP121" s="39">
        <v>0.0</v>
      </c>
      <c r="AQ121" s="39">
        <v>0.0</v>
      </c>
      <c r="AR121" s="39">
        <v>25.0</v>
      </c>
      <c r="AS121" s="39">
        <v>0.0</v>
      </c>
      <c r="AT121" s="39">
        <v>0.0</v>
      </c>
      <c r="AU121" s="39">
        <v>0.0</v>
      </c>
      <c r="AV121" s="39">
        <v>0.0</v>
      </c>
      <c r="AW121" s="39">
        <v>25.0</v>
      </c>
      <c r="AX121" s="39">
        <v>0.0</v>
      </c>
      <c r="AY121" s="39">
        <v>0.0</v>
      </c>
      <c r="AZ121" s="39">
        <v>0.0</v>
      </c>
      <c r="BG121" s="37" t="str">
        <f t="array" ref="BG121">IF($A121="","",IFERROR(INDEX(CS!$B$1:$B$15025,MATCH($A121,CS!$B:$B,0)+COLUMN(A$1),1),""))</f>
        <v>加速撃</v>
      </c>
      <c r="BH121" s="37" t="str">
        <f t="array" ref="BH121">IF($A121="","",IFERROR(INDEX(CS!$B$1:$B$15025,MATCH($A121,CS!$B:$B,0)+COLUMN(B$1),1),""))</f>
        <v/>
      </c>
      <c r="BI121" s="37" t="str">
        <f t="array" ref="BI121">IF($A121="","",IFERROR(INDEX(CS!$B$1:$B$15025,MATCH($A121,CS!$B:$B,0)+COLUMN(C$1),1),""))</f>
        <v>武器の回避</v>
      </c>
      <c r="BJ121" s="37" t="str">
        <f t="array" ref="BJ121">IF($A121="","",IFERROR(INDEX(CS!$B$1:$B$15025,MATCH($A121,CS!$B:$B,0)+COLUMN(D$1),1),""))</f>
        <v/>
      </c>
      <c r="BK121" s="37" t="str">
        <f t="array" ref="BK121">IF($A121="","",IFERROR(INDEX(CS!$B$1:$B$15025,MATCH($A121,CS!$B:$B,0)+COLUMN(E$1),1),""))</f>
        <v>超加速</v>
      </c>
      <c r="BL121" s="37" t="str">
        <f t="array" ref="BL121">IF($A121="","",IFERROR(INDEX(CS!$B$1:$B$15025,MATCH($A121,CS!$B:$B,0)+COLUMN(F$1),1),""))</f>
        <v/>
      </c>
      <c r="BM121" s="37" t="str">
        <f t="array" ref="BM121">IF($A121="","",IFERROR(INDEX(CS!$B$1:$B$15025,MATCH($A121,CS!$B:$B,0)+COLUMN(G$1),1),""))</f>
        <v>有り余る体力</v>
      </c>
      <c r="BN121" s="37" t="str">
        <f t="array" ref="BN121">IF($A121="","",IFERROR(INDEX(CS!$B$1:$B$15025,MATCH($A121,CS!$B:$B,0)+COLUMN(H$1),1),""))</f>
        <v/>
      </c>
      <c r="BO121" s="37" t="str">
        <f t="array" ref="BO121">IF($A121="","",IFERROR(INDEX(CS!$B$1:$B$15025,MATCH($A121,CS!$B:$B,0)+COLUMN(I$1),1),""))</f>
        <v>残像乱撃</v>
      </c>
      <c r="BP121" s="37" t="str">
        <f t="array" ref="BP121">IF($A121="","",IFERROR(INDEX(CS!$B$1:$B$15025,MATCH($A121,CS!$B:$B,0)+COLUMN(J$1),1),""))</f>
        <v>ラピッドストライカー</v>
      </c>
      <c r="BR121" s="39" t="s">
        <v>2836</v>
      </c>
      <c r="BS121" s="74"/>
      <c r="CG121" s="37" t="s">
        <v>2807</v>
      </c>
      <c r="CI121" s="37" t="s">
        <v>2808</v>
      </c>
      <c r="CJ121" s="37" t="s">
        <v>2809</v>
      </c>
      <c r="CK121" s="37" t="s">
        <v>2802</v>
      </c>
      <c r="CN121" s="37" t="s">
        <v>1102</v>
      </c>
      <c r="CQ121" s="37"/>
      <c r="CR121" s="37"/>
    </row>
    <row r="122" ht="18.75" customHeight="1" outlineLevel="1">
      <c r="B122" s="71"/>
      <c r="C122" s="39" t="s">
        <v>2799</v>
      </c>
      <c r="D122" s="72"/>
      <c r="K122" s="73"/>
      <c r="P122" s="37" t="s">
        <v>29</v>
      </c>
      <c r="Q122" s="64"/>
      <c r="R122" s="64"/>
      <c r="S122" s="64"/>
      <c r="T122" s="64"/>
      <c r="U122" s="64"/>
      <c r="V122" s="64"/>
      <c r="W122" s="64"/>
      <c r="X122" s="64"/>
      <c r="Y122" s="64"/>
      <c r="Z122" s="64"/>
      <c r="AA122" s="64"/>
      <c r="BG122" s="37" t="str">
        <f t="array" ref="BG122">IF($A122="","", INDEX(CS!$B$1:$B$15025,MATCH($A122,CS!$B:$B,0)+COLUMN(A$1),1))</f>
        <v/>
      </c>
      <c r="BH122" s="37" t="str">
        <f t="array" ref="BH122">IF($A122="","", INDEX(CS!$B$1:$B$15025,MATCH($A122,CS!$B:$B,0)+COLUMN(B$1),1))</f>
        <v/>
      </c>
      <c r="BI122" s="37" t="str">
        <f t="array" ref="BI122">IF($A122="","", INDEX(CS!$B$1:$B$15025,MATCH($A122,CS!$B:$B,0)+COLUMN(C$1),1))</f>
        <v/>
      </c>
      <c r="BJ122" s="37" t="str">
        <f t="array" ref="BJ122">IF($A122="","", INDEX(CS!$B$1:$B$15025,MATCH($A122,CS!$B:$B,0)+COLUMN(D$1),1))</f>
        <v/>
      </c>
      <c r="BK122" s="37" t="str">
        <f t="array" ref="BK122">IF($A122="","", INDEX(CS!$B$1:$B$15025,MATCH($A122,CS!$B:$B,0)+COLUMN(E$1),1))</f>
        <v/>
      </c>
      <c r="BL122" s="37" t="str">
        <f t="array" ref="BL122">IF($A122="","", INDEX(CS!$B$1:$B$15025,MATCH($A122,CS!$B:$B,0)+COLUMN(F$1),1))</f>
        <v/>
      </c>
      <c r="BM122" s="37" t="str">
        <f t="array" ref="BM122">IF($A122="","", INDEX(CS!$B$1:$B$15025,MATCH($A122,CS!$B:$B,0)+COLUMN(G$1),1))</f>
        <v/>
      </c>
      <c r="BN122" s="37" t="str">
        <f t="array" ref="BN122">IF($A122="","", INDEX(CS!$B$1:$B$15025,MATCH($A122,CS!$B:$B,0)+COLUMN(H$1),1))</f>
        <v/>
      </c>
      <c r="BO122" s="37" t="str">
        <f t="array" ref="BO122">IF($A122="","", INDEX(CS!$B$1:$B$15025,MATCH($A122,CS!$B:$B,0)+COLUMN(I$1),1))</f>
        <v/>
      </c>
      <c r="BP122" s="37" t="str">
        <f t="array" ref="BP122">IF($A122="","", INDEX(CS!$B$1:$B$15025,MATCH($A122,CS!$B:$B,0)+COLUMN(J$1),1))</f>
        <v/>
      </c>
      <c r="BS122" s="74"/>
      <c r="CI122" s="37" t="s">
        <v>2828</v>
      </c>
      <c r="CJ122" s="37" t="s">
        <v>2809</v>
      </c>
      <c r="CK122" s="37" t="s">
        <v>2802</v>
      </c>
      <c r="CQ122" s="37"/>
      <c r="CR122" s="37"/>
    </row>
    <row r="123" ht="18.75" customHeight="1" outlineLevel="1">
      <c r="B123" s="85" t="s">
        <v>2837</v>
      </c>
      <c r="C123" s="39" t="s">
        <v>2799</v>
      </c>
      <c r="D123" s="72" t="str">
        <f t="shared" ref="D123:D131" si="3">SUM(AJ123:AZ123,F123:N123)&amp;"/"&amp;SUM(F123:N123)&amp;"/"&amp;SUM(AJ123:AZ123)</f>
        <v>0/0/0</v>
      </c>
      <c r="E123" s="37">
        <v>1.0</v>
      </c>
      <c r="K123" s="73"/>
      <c r="P123" s="37" t="s">
        <v>29</v>
      </c>
      <c r="Q123" s="64"/>
      <c r="R123" s="64"/>
      <c r="S123" s="64"/>
      <c r="T123" s="64"/>
      <c r="U123" s="64"/>
      <c r="V123" s="64"/>
      <c r="W123" s="64"/>
      <c r="X123" s="64"/>
      <c r="Y123" s="64"/>
      <c r="Z123" s="64"/>
      <c r="AA123" s="64"/>
      <c r="BG123" s="37" t="str">
        <f t="array" ref="BG123">IF($A123="","", INDEX(CS!$B$1:$B$15025,MATCH($A123,CS!$B:$B,0)+COLUMN(A$1),1))</f>
        <v/>
      </c>
      <c r="BH123" s="37" t="str">
        <f t="array" ref="BH123">IF($A123="","", INDEX(CS!$B$1:$B$15025,MATCH($A123,CS!$B:$B,0)+COLUMN(B$1),1))</f>
        <v/>
      </c>
      <c r="BI123" s="37" t="str">
        <f t="array" ref="BI123">IF($A123="","", INDEX(CS!$B$1:$B$15025,MATCH($A123,CS!$B:$B,0)+COLUMN(C$1),1))</f>
        <v/>
      </c>
      <c r="BJ123" s="37" t="str">
        <f t="array" ref="BJ123">IF($A123="","", INDEX(CS!$B$1:$B$15025,MATCH($A123,CS!$B:$B,0)+COLUMN(D$1),1))</f>
        <v/>
      </c>
      <c r="BK123" s="37" t="str">
        <f t="array" ref="BK123">IF($A123="","", INDEX(CS!$B$1:$B$15025,MATCH($A123,CS!$B:$B,0)+COLUMN(E$1),1))</f>
        <v/>
      </c>
      <c r="BL123" s="37" t="str">
        <f t="array" ref="BL123">IF($A123="","", INDEX(CS!$B$1:$B$15025,MATCH($A123,CS!$B:$B,0)+COLUMN(F$1),1))</f>
        <v/>
      </c>
      <c r="BM123" s="37" t="str">
        <f t="array" ref="BM123">IF($A123="","", INDEX(CS!$B$1:$B$15025,MATCH($A123,CS!$B:$B,0)+COLUMN(G$1),1))</f>
        <v/>
      </c>
      <c r="BN123" s="37" t="str">
        <f t="array" ref="BN123">IF($A123="","", INDEX(CS!$B$1:$B$15025,MATCH($A123,CS!$B:$B,0)+COLUMN(H$1),1))</f>
        <v/>
      </c>
      <c r="BO123" s="37" t="str">
        <f t="array" ref="BO123">IF($A123="","", INDEX(CS!$B$1:$B$15025,MATCH($A123,CS!$B:$B,0)+COLUMN(I$1),1))</f>
        <v/>
      </c>
      <c r="BP123" s="37" t="str">
        <f t="array" ref="BP123">IF($A123="","", INDEX(CS!$B$1:$B$15025,MATCH($A123,CS!$B:$B,0)+COLUMN(J$1),1))</f>
        <v/>
      </c>
      <c r="BS123" s="74"/>
      <c r="CQ123" s="37"/>
      <c r="CR123" s="37"/>
    </row>
    <row r="124" ht="18.75" customHeight="1" outlineLevel="2">
      <c r="A124" s="39" t="s">
        <v>2092</v>
      </c>
      <c r="B124" s="89" t="s">
        <v>2093</v>
      </c>
      <c r="C124" s="39" t="s">
        <v>2799</v>
      </c>
      <c r="D124" s="72" t="str">
        <f t="shared" si="3"/>
        <v>735/475/260</v>
      </c>
      <c r="E124" s="39">
        <v>2.0</v>
      </c>
      <c r="F124" s="39">
        <v>85.0</v>
      </c>
      <c r="I124" s="39">
        <v>95.0</v>
      </c>
      <c r="J124" s="39">
        <v>85.0</v>
      </c>
      <c r="K124" s="87">
        <v>25.0</v>
      </c>
      <c r="L124" s="39">
        <v>50.0</v>
      </c>
      <c r="M124" s="39">
        <v>55.0</v>
      </c>
      <c r="N124" s="39">
        <v>80.0</v>
      </c>
      <c r="P124" s="37">
        <v>0.0</v>
      </c>
      <c r="Q124" s="64"/>
      <c r="R124" s="64"/>
      <c r="S124" s="64"/>
      <c r="T124" s="64"/>
      <c r="U124" s="64"/>
      <c r="V124" s="64"/>
      <c r="W124" s="64"/>
      <c r="X124" s="64"/>
      <c r="Y124" s="64"/>
      <c r="Z124" s="64"/>
      <c r="AA124" s="64"/>
      <c r="AJ124" s="37">
        <v>75.0</v>
      </c>
      <c r="AK124" s="37">
        <v>50.0</v>
      </c>
      <c r="AL124" s="37">
        <v>25.0</v>
      </c>
      <c r="AM124" s="37">
        <v>30.0</v>
      </c>
      <c r="AN124" s="37">
        <v>30.0</v>
      </c>
      <c r="AO124" s="37">
        <v>0.0</v>
      </c>
      <c r="AP124" s="37">
        <v>0.0</v>
      </c>
      <c r="AQ124" s="37">
        <v>0.0</v>
      </c>
      <c r="AR124" s="37">
        <v>25.0</v>
      </c>
      <c r="AS124" s="37">
        <v>0.0</v>
      </c>
      <c r="AT124" s="37">
        <v>0.0</v>
      </c>
      <c r="AU124" s="37">
        <v>0.0</v>
      </c>
      <c r="AV124" s="37">
        <v>0.0</v>
      </c>
      <c r="AW124" s="37">
        <v>25.0</v>
      </c>
      <c r="AX124" s="37">
        <v>0.0</v>
      </c>
      <c r="AY124" s="37">
        <v>0.0</v>
      </c>
      <c r="AZ124" s="37">
        <v>0.0</v>
      </c>
      <c r="BG124" s="37" t="str">
        <f t="array" ref="BG124">IF($A124="","",IFERROR(INDEX(CS!$B$1:$B$15025,MATCH($A124,CS!$B:$B,0)+COLUMN(A$1),1),""))</f>
        <v>塵風</v>
      </c>
      <c r="BH124" s="37" t="str">
        <f t="array" ref="BH124">IF($A124="","",IFERROR(INDEX(CS!$B$1:$B$15025,MATCH($A124,CS!$B:$B,0)+COLUMN(B$1),1),""))</f>
        <v/>
      </c>
      <c r="BI124" s="37" t="str">
        <f t="array" ref="BI124">IF($A124="","",IFERROR(INDEX(CS!$B$1:$B$15025,MATCH($A124,CS!$B:$B,0)+COLUMN(C$1),1),""))</f>
        <v>集中力</v>
      </c>
      <c r="BJ124" s="37" t="str">
        <f t="array" ref="BJ124">IF($A124="","",IFERROR(INDEX(CS!$B$1:$B$15025,MATCH($A124,CS!$B:$B,0)+COLUMN(D$1),1),""))</f>
        <v/>
      </c>
      <c r="BK124" s="37" t="str">
        <f t="array" ref="BK124">IF($A124="","",IFERROR(INDEX(CS!$B$1:$B$15025,MATCH($A124,CS!$B:$B,0)+COLUMN(E$1),1),""))</f>
        <v>縮地</v>
      </c>
      <c r="BL124" s="37" t="str">
        <f t="array" ref="BL124">IF($A124="","",IFERROR(INDEX(CS!$B$1:$B$15025,MATCH($A124,CS!$B:$B,0)+COLUMN(F$1),1),""))</f>
        <v/>
      </c>
      <c r="BM124" s="37" t="str">
        <f t="array" ref="BM124">IF($A124="","",IFERROR(INDEX(CS!$B$1:$B$15025,MATCH($A124,CS!$B:$B,0)+COLUMN(G$1),1),""))</f>
        <v>斬撃の使い方</v>
      </c>
      <c r="BN124" s="37" t="str">
        <f t="array" ref="BN124">IF($A124="","",IFERROR(INDEX(CS!$B$1:$B$15025,MATCH($A124,CS!$B:$B,0)+COLUMN(H$1),1),""))</f>
        <v/>
      </c>
      <c r="BO124" s="37" t="str">
        <f t="array" ref="BO124">IF($A124="","",IFERROR(INDEX(CS!$B$1:$B$15025,MATCH($A124,CS!$B:$B,0)+COLUMN(I$1),1),""))</f>
        <v>塵旋風</v>
      </c>
      <c r="BP124" s="37" t="str">
        <f t="array" ref="BP124">IF($A124="","",IFERROR(INDEX(CS!$B$1:$B$15025,MATCH($A124,CS!$B:$B,0)+COLUMN(J$1),1),""))</f>
        <v>剣使い</v>
      </c>
      <c r="BR124" s="39" t="s">
        <v>2838</v>
      </c>
      <c r="BS124" s="74"/>
      <c r="BU124" s="39" t="s">
        <v>2839</v>
      </c>
      <c r="CG124" s="37" t="s">
        <v>2800</v>
      </c>
      <c r="CJ124" s="37" t="s">
        <v>2801</v>
      </c>
      <c r="CK124" s="37" t="s">
        <v>2802</v>
      </c>
      <c r="CN124" s="37" t="s">
        <v>1102</v>
      </c>
      <c r="CQ124" s="37"/>
      <c r="CR124" s="37"/>
    </row>
    <row r="125" ht="18.75" customHeight="1" outlineLevel="1">
      <c r="A125" s="39" t="s">
        <v>2109</v>
      </c>
      <c r="B125" s="89" t="s">
        <v>2110</v>
      </c>
      <c r="C125" s="39" t="s">
        <v>2799</v>
      </c>
      <c r="D125" s="72" t="str">
        <f t="shared" si="3"/>
        <v>760/490/270</v>
      </c>
      <c r="E125" s="39">
        <v>3.0</v>
      </c>
      <c r="F125" s="39">
        <v>85.0</v>
      </c>
      <c r="I125" s="39">
        <v>100.0</v>
      </c>
      <c r="J125" s="39">
        <v>90.0</v>
      </c>
      <c r="K125" s="87">
        <v>25.0</v>
      </c>
      <c r="L125" s="39">
        <v>50.0</v>
      </c>
      <c r="M125" s="39">
        <v>55.0</v>
      </c>
      <c r="N125" s="39">
        <v>85.0</v>
      </c>
      <c r="P125" s="37">
        <v>0.0</v>
      </c>
      <c r="Q125" s="64"/>
      <c r="R125" s="64"/>
      <c r="S125" s="64"/>
      <c r="T125" s="64"/>
      <c r="U125" s="64"/>
      <c r="V125" s="64"/>
      <c r="W125" s="64"/>
      <c r="X125" s="64"/>
      <c r="Y125" s="64"/>
      <c r="Z125" s="64"/>
      <c r="AA125" s="64"/>
      <c r="AJ125" s="37">
        <v>75.0</v>
      </c>
      <c r="AK125" s="37">
        <v>50.0</v>
      </c>
      <c r="AL125" s="37">
        <v>25.0</v>
      </c>
      <c r="AM125" s="37">
        <v>35.0</v>
      </c>
      <c r="AN125" s="37">
        <v>35.0</v>
      </c>
      <c r="AO125" s="37">
        <v>0.0</v>
      </c>
      <c r="AP125" s="37">
        <v>0.0</v>
      </c>
      <c r="AQ125" s="37">
        <v>0.0</v>
      </c>
      <c r="AR125" s="37">
        <v>25.0</v>
      </c>
      <c r="AS125" s="37">
        <v>0.0</v>
      </c>
      <c r="AT125" s="37">
        <v>0.0</v>
      </c>
      <c r="AU125" s="37">
        <v>0.0</v>
      </c>
      <c r="AV125" s="37">
        <v>0.0</v>
      </c>
      <c r="AW125" s="37">
        <v>25.0</v>
      </c>
      <c r="AX125" s="37">
        <v>0.0</v>
      </c>
      <c r="AY125" s="37">
        <v>0.0</v>
      </c>
      <c r="AZ125" s="37">
        <v>0.0</v>
      </c>
      <c r="BG125" s="37" t="str">
        <f t="array" ref="BG125">IF($A125="","",IFERROR(INDEX(CS!$B$1:$B$15025,MATCH($A125,CS!$B:$B,0)+COLUMN(A$1),1),""))</f>
        <v>狼牙</v>
      </c>
      <c r="BH125" s="37" t="str">
        <f t="array" ref="BH125">IF($A125="","",IFERROR(INDEX(CS!$B$1:$B$15025,MATCH($A125,CS!$B:$B,0)+COLUMN(B$1),1),""))</f>
        <v/>
      </c>
      <c r="BI125" s="37" t="str">
        <f t="array" ref="BI125">IF($A125="","",IFERROR(INDEX(CS!$B$1:$B$15025,MATCH($A125,CS!$B:$B,0)+COLUMN(C$1),1),""))</f>
        <v>集中力2</v>
      </c>
      <c r="BJ125" s="37" t="str">
        <f t="array" ref="BJ125">IF($A125="","",IFERROR(INDEX(CS!$B$1:$B$15025,MATCH($A125,CS!$B:$B,0)+COLUMN(D$1),1),""))</f>
        <v/>
      </c>
      <c r="BK125" s="37" t="str">
        <f t="array" ref="BK125">IF($A125="","",IFERROR(INDEX(CS!$B$1:$B$15025,MATCH($A125,CS!$B:$B,0)+COLUMN(E$1),1),""))</f>
        <v>縮地改</v>
      </c>
      <c r="BL125" s="37" t="str">
        <f t="array" ref="BL125">IF($A125="","",IFERROR(INDEX(CS!$B$1:$B$15025,MATCH($A125,CS!$B:$B,0)+COLUMN(F$1),1),""))</f>
        <v/>
      </c>
      <c r="BM125" s="37" t="str">
        <f t="array" ref="BM125">IF($A125="","",IFERROR(INDEX(CS!$B$1:$B$15025,MATCH($A125,CS!$B:$B,0)+COLUMN(G$1),1),""))</f>
        <v>斬撃の極み</v>
      </c>
      <c r="BN125" s="37" t="str">
        <f t="array" ref="BN125">IF($A125="","",IFERROR(INDEX(CS!$B$1:$B$15025,MATCH($A125,CS!$B:$B,0)+COLUMN(H$1),1),""))</f>
        <v/>
      </c>
      <c r="BO125" s="37" t="str">
        <f t="array" ref="BO125">IF($A125="","",IFERROR(INDEX(CS!$B$1:$B$15025,MATCH($A125,CS!$B:$B,0)+COLUMN(I$1),1),""))</f>
        <v>波切</v>
      </c>
      <c r="BP125" s="37" t="str">
        <f t="array" ref="BP125">IF($A125="","",IFERROR(INDEX(CS!$B$1:$B$15025,MATCH($A125,CS!$B:$B,0)+COLUMN(J$1),1),""))</f>
        <v>剣聖</v>
      </c>
      <c r="BR125" s="39" t="s">
        <v>2840</v>
      </c>
      <c r="BS125" s="74"/>
      <c r="BU125" s="39"/>
      <c r="CG125" s="37" t="s">
        <v>2800</v>
      </c>
      <c r="CJ125" s="37" t="s">
        <v>2801</v>
      </c>
      <c r="CK125" s="37" t="s">
        <v>2802</v>
      </c>
      <c r="CN125" s="37" t="s">
        <v>1102</v>
      </c>
      <c r="CQ125" s="37"/>
      <c r="CR125" s="37"/>
    </row>
    <row r="126" ht="18.75" customHeight="1" outlineLevel="1">
      <c r="A126" s="39" t="s">
        <v>2125</v>
      </c>
      <c r="B126" s="89" t="s">
        <v>2126</v>
      </c>
      <c r="C126" s="39" t="s">
        <v>2799</v>
      </c>
      <c r="D126" s="72" t="str">
        <f t="shared" si="3"/>
        <v>785/505/280</v>
      </c>
      <c r="E126" s="39">
        <v>4.0</v>
      </c>
      <c r="F126" s="39">
        <v>85.0</v>
      </c>
      <c r="I126" s="39">
        <v>105.0</v>
      </c>
      <c r="J126" s="39">
        <v>95.0</v>
      </c>
      <c r="K126" s="87">
        <v>25.0</v>
      </c>
      <c r="L126" s="39">
        <v>50.0</v>
      </c>
      <c r="M126" s="39">
        <v>55.0</v>
      </c>
      <c r="N126" s="39">
        <v>90.0</v>
      </c>
      <c r="P126" s="37">
        <v>0.0</v>
      </c>
      <c r="Q126" s="64"/>
      <c r="R126" s="64"/>
      <c r="S126" s="64"/>
      <c r="T126" s="64"/>
      <c r="U126" s="64"/>
      <c r="V126" s="64"/>
      <c r="W126" s="64"/>
      <c r="X126" s="64"/>
      <c r="Y126" s="64"/>
      <c r="Z126" s="64"/>
      <c r="AA126" s="64"/>
      <c r="AJ126" s="37">
        <v>75.0</v>
      </c>
      <c r="AK126" s="37">
        <v>50.0</v>
      </c>
      <c r="AL126" s="37">
        <v>25.0</v>
      </c>
      <c r="AM126" s="37">
        <v>40.0</v>
      </c>
      <c r="AN126" s="37">
        <v>40.0</v>
      </c>
      <c r="AO126" s="37">
        <v>0.0</v>
      </c>
      <c r="AP126" s="37">
        <v>0.0</v>
      </c>
      <c r="AQ126" s="37">
        <v>0.0</v>
      </c>
      <c r="AR126" s="37">
        <v>25.0</v>
      </c>
      <c r="AS126" s="37">
        <v>0.0</v>
      </c>
      <c r="AT126" s="37">
        <v>0.0</v>
      </c>
      <c r="AU126" s="37">
        <v>0.0</v>
      </c>
      <c r="AV126" s="37">
        <v>0.0</v>
      </c>
      <c r="AW126" s="37">
        <v>25.0</v>
      </c>
      <c r="AX126" s="37">
        <v>0.0</v>
      </c>
      <c r="AY126" s="37">
        <v>0.0</v>
      </c>
      <c r="AZ126" s="37">
        <v>0.0</v>
      </c>
      <c r="BG126" s="37" t="str">
        <f t="array" ref="BG126">IF($A126="","",IFERROR(INDEX(CS!$B$1:$B$15025,MATCH($A126,CS!$B:$B,0)+COLUMN(A$1),1),""))</f>
        <v>神斬</v>
      </c>
      <c r="BH126" s="37" t="str">
        <f t="array" ref="BH126">IF($A126="","",IFERROR(INDEX(CS!$B$1:$B$15025,MATCH($A126,CS!$B:$B,0)+COLUMN(B$1),1),""))</f>
        <v/>
      </c>
      <c r="BI126" s="37" t="str">
        <f t="array" ref="BI126">IF($A126="","",IFERROR(INDEX(CS!$B$1:$B$15025,MATCH($A126,CS!$B:$B,0)+COLUMN(C$1),1),""))</f>
        <v>極斬</v>
      </c>
      <c r="BJ126" s="37" t="str">
        <f t="array" ref="BJ126">IF($A126="","",IFERROR(INDEX(CS!$B$1:$B$15025,MATCH($A126,CS!$B:$B,0)+COLUMN(D$1),1),""))</f>
        <v/>
      </c>
      <c r="BK126" s="37" t="str">
        <f t="array" ref="BK126">IF($A126="","",IFERROR(INDEX(CS!$B$1:$B$15025,MATCH($A126,CS!$B:$B,0)+COLUMN(E$1),1),""))</f>
        <v>縮地・空</v>
      </c>
      <c r="BL126" s="37" t="str">
        <f t="array" ref="BL126">IF($A126="","",IFERROR(INDEX(CS!$B$1:$B$15025,MATCH($A126,CS!$B:$B,0)+COLUMN(F$1),1),""))</f>
        <v/>
      </c>
      <c r="BM126" s="37" t="str">
        <f t="array" ref="BM126">IF($A126="","",IFERROR(INDEX(CS!$B$1:$B$15025,MATCH($A126,CS!$B:$B,0)+COLUMN(G$1),1),""))</f>
        <v>神眼</v>
      </c>
      <c r="BN126" s="37" t="str">
        <f t="array" ref="BN126">IF($A126="","",IFERROR(INDEX(CS!$B$1:$B$15025,MATCH($A126,CS!$B:$B,0)+COLUMN(H$1),1),""))</f>
        <v/>
      </c>
      <c r="BO126" s="37" t="str">
        <f t="array" ref="BO126">IF($A126="","",IFERROR(INDEX(CS!$B$1:$B$15025,MATCH($A126,CS!$B:$B,0)+COLUMN(I$1),1),""))</f>
        <v>見極</v>
      </c>
      <c r="BP126" s="37" t="str">
        <f t="array" ref="BP126">IF($A126="","",IFERROR(INDEX(CS!$B$1:$B$15025,MATCH($A126,CS!$B:$B,0)+COLUMN(J$1),1),""))</f>
        <v>剣神</v>
      </c>
      <c r="BR126" s="39" t="s">
        <v>2841</v>
      </c>
      <c r="BS126" s="74"/>
      <c r="BU126" s="39"/>
      <c r="CG126" s="37" t="s">
        <v>2800</v>
      </c>
      <c r="CJ126" s="37" t="s">
        <v>2801</v>
      </c>
      <c r="CK126" s="37" t="s">
        <v>2802</v>
      </c>
      <c r="CN126" s="37" t="s">
        <v>1102</v>
      </c>
      <c r="CQ126" s="37"/>
      <c r="CR126" s="37"/>
    </row>
    <row r="127" ht="18.75" customHeight="1" outlineLevel="1">
      <c r="A127" s="39" t="s">
        <v>2139</v>
      </c>
      <c r="B127" s="89" t="s">
        <v>2140</v>
      </c>
      <c r="C127" s="39" t="s">
        <v>2799</v>
      </c>
      <c r="D127" s="72" t="str">
        <f t="shared" si="3"/>
        <v>735/475/260</v>
      </c>
      <c r="E127" s="39">
        <v>2.0</v>
      </c>
      <c r="F127" s="39">
        <v>85.0</v>
      </c>
      <c r="I127" s="39">
        <v>85.0</v>
      </c>
      <c r="J127" s="39">
        <v>55.0</v>
      </c>
      <c r="K127" s="87">
        <v>25.0</v>
      </c>
      <c r="L127" s="39">
        <v>50.0</v>
      </c>
      <c r="M127" s="39">
        <v>95.0</v>
      </c>
      <c r="N127" s="39">
        <v>80.0</v>
      </c>
      <c r="P127" s="37">
        <v>0.0</v>
      </c>
      <c r="Q127" s="64"/>
      <c r="R127" s="64"/>
      <c r="S127" s="64"/>
      <c r="T127" s="64"/>
      <c r="U127" s="64"/>
      <c r="V127" s="64"/>
      <c r="W127" s="64"/>
      <c r="X127" s="64"/>
      <c r="Y127" s="64"/>
      <c r="Z127" s="64"/>
      <c r="AA127" s="64"/>
      <c r="AJ127" s="37">
        <v>50.0</v>
      </c>
      <c r="AK127" s="37">
        <v>50.0</v>
      </c>
      <c r="AL127" s="37">
        <v>25.0</v>
      </c>
      <c r="AM127" s="37">
        <v>55.0</v>
      </c>
      <c r="AN127" s="37">
        <v>30.0</v>
      </c>
      <c r="AO127" s="37">
        <v>0.0</v>
      </c>
      <c r="AP127" s="37">
        <v>0.0</v>
      </c>
      <c r="AQ127" s="37">
        <v>0.0</v>
      </c>
      <c r="AR127" s="37">
        <v>25.0</v>
      </c>
      <c r="AS127" s="37">
        <v>0.0</v>
      </c>
      <c r="AT127" s="37">
        <v>0.0</v>
      </c>
      <c r="AU127" s="37">
        <v>0.0</v>
      </c>
      <c r="AV127" s="37">
        <v>0.0</v>
      </c>
      <c r="AW127" s="37">
        <v>25.0</v>
      </c>
      <c r="AX127" s="37">
        <v>0.0</v>
      </c>
      <c r="AY127" s="37">
        <v>0.0</v>
      </c>
      <c r="AZ127" s="37">
        <v>0.0</v>
      </c>
      <c r="BG127" s="37" t="str">
        <f t="array" ref="BG127">IF($A127="","",IFERROR(INDEX(CS!$B$1:$B$15025,MATCH($A127,CS!$B:$B,0)+COLUMN(A$1),1),""))</f>
        <v>熱界雷</v>
      </c>
      <c r="BH127" s="37" t="str">
        <f t="array" ref="BH127">IF($A127="","",IFERROR(INDEX(CS!$B$1:$B$15025,MATCH($A127,CS!$B:$B,0)+COLUMN(B$1),1),""))</f>
        <v/>
      </c>
      <c r="BI127" s="37" t="str">
        <f t="array" ref="BI127">IF($A127="","",IFERROR(INDEX(CS!$B$1:$B$15025,MATCH($A127,CS!$B:$B,0)+COLUMN(C$1),1),""))</f>
        <v>集中力</v>
      </c>
      <c r="BJ127" s="37" t="str">
        <f t="array" ref="BJ127">IF($A127="","",IFERROR(INDEX(CS!$B$1:$B$15025,MATCH($A127,CS!$B:$B,0)+COLUMN(D$1),1),""))</f>
        <v/>
      </c>
      <c r="BK127" s="37" t="str">
        <f t="array" ref="BK127">IF($A127="","",IFERROR(INDEX(CS!$B$1:$B$15025,MATCH($A127,CS!$B:$B,0)+COLUMN(E$1),1),""))</f>
        <v>縮地</v>
      </c>
      <c r="BL127" s="37" t="str">
        <f t="array" ref="BL127">IF($A127="","",IFERROR(INDEX(CS!$B$1:$B$15025,MATCH($A127,CS!$B:$B,0)+COLUMN(F$1),1),""))</f>
        <v/>
      </c>
      <c r="BM127" s="37" t="str">
        <f t="array" ref="BM127">IF($A127="","",IFERROR(INDEX(CS!$B$1:$B$15025,MATCH($A127,CS!$B:$B,0)+COLUMN(G$1),1),""))</f>
        <v>刺突の使い方</v>
      </c>
      <c r="BN127" s="37" t="str">
        <f t="array" ref="BN127">IF($A127="","",IFERROR(INDEX(CS!$B$1:$B$15025,MATCH($A127,CS!$B:$B,0)+COLUMN(H$1),1),""))</f>
        <v/>
      </c>
      <c r="BO127" s="37" t="str">
        <f t="array" ref="BO127">IF($A127="","",IFERROR(INDEX(CS!$B$1:$B$15025,MATCH($A127,CS!$B:$B,0)+COLUMN(I$1),1),""))</f>
        <v>刺一閃</v>
      </c>
      <c r="BP127" s="37" t="str">
        <f t="array" ref="BP127">IF($A127="","",IFERROR(INDEX(CS!$B$1:$B$15025,MATCH($A127,CS!$B:$B,0)+COLUMN(J$1),1),""))</f>
        <v>槍使い</v>
      </c>
      <c r="BR127" s="39" t="s">
        <v>2838</v>
      </c>
      <c r="BS127" s="74"/>
      <c r="BU127" s="39" t="s">
        <v>2839</v>
      </c>
      <c r="CG127" s="37" t="s">
        <v>2807</v>
      </c>
      <c r="CI127" s="37" t="s">
        <v>2808</v>
      </c>
      <c r="CJ127" s="37" t="s">
        <v>2809</v>
      </c>
      <c r="CK127" s="37" t="s">
        <v>2802</v>
      </c>
      <c r="CN127" s="37" t="s">
        <v>1102</v>
      </c>
      <c r="CQ127" s="37"/>
      <c r="CR127" s="37"/>
    </row>
    <row r="128" ht="18.75" customHeight="1" outlineLevel="1">
      <c r="A128" s="39" t="s">
        <v>2150</v>
      </c>
      <c r="B128" s="89" t="s">
        <v>2151</v>
      </c>
      <c r="C128" s="39" t="s">
        <v>2799</v>
      </c>
      <c r="D128" s="72" t="str">
        <f t="shared" si="3"/>
        <v>760/490/270</v>
      </c>
      <c r="E128" s="39">
        <v>3.0</v>
      </c>
      <c r="F128" s="39">
        <v>85.0</v>
      </c>
      <c r="I128" s="39">
        <v>90.0</v>
      </c>
      <c r="J128" s="39">
        <v>55.0</v>
      </c>
      <c r="K128" s="87">
        <v>25.0</v>
      </c>
      <c r="L128" s="39">
        <v>50.0</v>
      </c>
      <c r="M128" s="39">
        <v>100.0</v>
      </c>
      <c r="N128" s="39">
        <v>85.0</v>
      </c>
      <c r="P128" s="37">
        <v>0.0</v>
      </c>
      <c r="Q128" s="64"/>
      <c r="R128" s="64"/>
      <c r="S128" s="64"/>
      <c r="T128" s="64"/>
      <c r="U128" s="64"/>
      <c r="V128" s="64"/>
      <c r="W128" s="64"/>
      <c r="X128" s="64"/>
      <c r="Y128" s="64"/>
      <c r="Z128" s="64"/>
      <c r="AA128" s="64"/>
      <c r="AJ128" s="37">
        <v>50.0</v>
      </c>
      <c r="AK128" s="37">
        <v>50.0</v>
      </c>
      <c r="AL128" s="37">
        <v>25.0</v>
      </c>
      <c r="AM128" s="37">
        <v>60.0</v>
      </c>
      <c r="AN128" s="37">
        <v>35.0</v>
      </c>
      <c r="AO128" s="37">
        <v>0.0</v>
      </c>
      <c r="AP128" s="37">
        <v>0.0</v>
      </c>
      <c r="AQ128" s="37">
        <v>0.0</v>
      </c>
      <c r="AR128" s="37">
        <v>25.0</v>
      </c>
      <c r="AS128" s="37">
        <v>0.0</v>
      </c>
      <c r="AT128" s="37">
        <v>0.0</v>
      </c>
      <c r="AU128" s="37">
        <v>0.0</v>
      </c>
      <c r="AV128" s="37">
        <v>0.0</v>
      </c>
      <c r="AW128" s="37">
        <v>25.0</v>
      </c>
      <c r="AX128" s="37">
        <v>0.0</v>
      </c>
      <c r="AY128" s="37">
        <v>0.0</v>
      </c>
      <c r="AZ128" s="37">
        <v>0.0</v>
      </c>
      <c r="BG128" s="37" t="str">
        <f t="array" ref="BG128">IF($A128="","",IFERROR(INDEX(CS!$B$1:$B$15025,MATCH($A128,CS!$B:$B,0)+COLUMN(A$1),1),""))</f>
        <v>鷹嘴</v>
      </c>
      <c r="BH128" s="37" t="str">
        <f t="array" ref="BH128">IF($A128="","",IFERROR(INDEX(CS!$B$1:$B$15025,MATCH($A128,CS!$B:$B,0)+COLUMN(B$1),1),""))</f>
        <v/>
      </c>
      <c r="BI128" s="37" t="str">
        <f t="array" ref="BI128">IF($A128="","",IFERROR(INDEX(CS!$B$1:$B$15025,MATCH($A128,CS!$B:$B,0)+COLUMN(C$1),1),""))</f>
        <v>集中力2</v>
      </c>
      <c r="BJ128" s="37" t="str">
        <f t="array" ref="BJ128">IF($A128="","",IFERROR(INDEX(CS!$B$1:$B$15025,MATCH($A128,CS!$B:$B,0)+COLUMN(D$1),1),""))</f>
        <v/>
      </c>
      <c r="BK128" s="37" t="str">
        <f t="array" ref="BK128">IF($A128="","",IFERROR(INDEX(CS!$B$1:$B$15025,MATCH($A128,CS!$B:$B,0)+COLUMN(E$1),1),""))</f>
        <v>縮地改</v>
      </c>
      <c r="BL128" s="37" t="str">
        <f t="array" ref="BL128">IF($A128="","",IFERROR(INDEX(CS!$B$1:$B$15025,MATCH($A128,CS!$B:$B,0)+COLUMN(F$1),1),""))</f>
        <v/>
      </c>
      <c r="BM128" s="37" t="str">
        <f t="array" ref="BM128">IF($A128="","",IFERROR(INDEX(CS!$B$1:$B$15025,MATCH($A128,CS!$B:$B,0)+COLUMN(G$1),1),""))</f>
        <v>刺突の極み</v>
      </c>
      <c r="BN128" s="37" t="str">
        <f t="array" ref="BN128">IF($A128="","",IFERROR(INDEX(CS!$B$1:$B$15025,MATCH($A128,CS!$B:$B,0)+COLUMN(H$1),1),""))</f>
        <v/>
      </c>
      <c r="BO128" s="37" t="str">
        <f t="array" ref="BO128">IF($A128="","",IFERROR(INDEX(CS!$B$1:$B$15025,MATCH($A128,CS!$B:$B,0)+COLUMN(I$1),1),""))</f>
        <v>渦突き</v>
      </c>
      <c r="BP128" s="37" t="str">
        <f t="array" ref="BP128">IF($A128="","",IFERROR(INDEX(CS!$B$1:$B$15025,MATCH($A128,CS!$B:$B,0)+COLUMN(J$1),1),""))</f>
        <v>槍聖</v>
      </c>
      <c r="BR128" s="39" t="s">
        <v>2842</v>
      </c>
      <c r="BS128" s="74"/>
      <c r="BU128" s="39"/>
      <c r="CG128" s="37" t="s">
        <v>2807</v>
      </c>
      <c r="CI128" s="37" t="s">
        <v>2808</v>
      </c>
      <c r="CJ128" s="37" t="s">
        <v>2809</v>
      </c>
      <c r="CK128" s="37" t="s">
        <v>2802</v>
      </c>
      <c r="CN128" s="37" t="s">
        <v>1102</v>
      </c>
      <c r="CQ128" s="37"/>
      <c r="CR128" s="37"/>
    </row>
    <row r="129" ht="18.75" customHeight="1" outlineLevel="1">
      <c r="A129" s="39" t="s">
        <v>2161</v>
      </c>
      <c r="B129" s="89" t="s">
        <v>2162</v>
      </c>
      <c r="C129" s="39" t="s">
        <v>2799</v>
      </c>
      <c r="D129" s="72" t="str">
        <f t="shared" si="3"/>
        <v>785/505/280</v>
      </c>
      <c r="E129" s="39">
        <v>4.0</v>
      </c>
      <c r="F129" s="39">
        <v>85.0</v>
      </c>
      <c r="I129" s="39">
        <v>95.0</v>
      </c>
      <c r="J129" s="39">
        <v>55.0</v>
      </c>
      <c r="K129" s="87">
        <v>25.0</v>
      </c>
      <c r="L129" s="39">
        <v>50.0</v>
      </c>
      <c r="M129" s="39">
        <v>105.0</v>
      </c>
      <c r="N129" s="39">
        <v>90.0</v>
      </c>
      <c r="P129" s="37">
        <v>0.0</v>
      </c>
      <c r="Q129" s="64"/>
      <c r="R129" s="64"/>
      <c r="S129" s="64"/>
      <c r="T129" s="64"/>
      <c r="U129" s="64"/>
      <c r="V129" s="64"/>
      <c r="W129" s="64"/>
      <c r="X129" s="64"/>
      <c r="Y129" s="64"/>
      <c r="Z129" s="64"/>
      <c r="AA129" s="64"/>
      <c r="AJ129" s="37">
        <v>50.0</v>
      </c>
      <c r="AK129" s="37">
        <v>50.0</v>
      </c>
      <c r="AL129" s="37">
        <v>25.0</v>
      </c>
      <c r="AM129" s="37">
        <v>65.0</v>
      </c>
      <c r="AN129" s="37">
        <v>40.0</v>
      </c>
      <c r="AO129" s="37">
        <v>0.0</v>
      </c>
      <c r="AP129" s="37">
        <v>0.0</v>
      </c>
      <c r="AQ129" s="37">
        <v>0.0</v>
      </c>
      <c r="AR129" s="37">
        <v>25.0</v>
      </c>
      <c r="AS129" s="37">
        <v>0.0</v>
      </c>
      <c r="AT129" s="37">
        <v>0.0</v>
      </c>
      <c r="AU129" s="37">
        <v>0.0</v>
      </c>
      <c r="AV129" s="37">
        <v>0.0</v>
      </c>
      <c r="AW129" s="37">
        <v>25.0</v>
      </c>
      <c r="AX129" s="37">
        <v>0.0</v>
      </c>
      <c r="AY129" s="37">
        <v>0.0</v>
      </c>
      <c r="AZ129" s="37">
        <v>0.0</v>
      </c>
      <c r="BG129" s="37" t="str">
        <f t="array" ref="BG129">IF($A129="","",IFERROR(INDEX(CS!$B$1:$B$15025,MATCH($A129,CS!$B:$B,0)+COLUMN(A$1),1),""))</f>
        <v>神穿</v>
      </c>
      <c r="BH129" s="37" t="str">
        <f t="array" ref="BH129">IF($A129="","",IFERROR(INDEX(CS!$B$1:$B$15025,MATCH($A129,CS!$B:$B,0)+COLUMN(B$1),1),""))</f>
        <v/>
      </c>
      <c r="BI129" s="37" t="str">
        <f t="array" ref="BI129">IF($A129="","",IFERROR(INDEX(CS!$B$1:$B$15025,MATCH($A129,CS!$B:$B,0)+COLUMN(C$1),1),""))</f>
        <v>極刺</v>
      </c>
      <c r="BJ129" s="37" t="str">
        <f t="array" ref="BJ129">IF($A129="","",IFERROR(INDEX(CS!$B$1:$B$15025,MATCH($A129,CS!$B:$B,0)+COLUMN(D$1),1),""))</f>
        <v/>
      </c>
      <c r="BK129" s="37" t="str">
        <f t="array" ref="BK129">IF($A129="","",IFERROR(INDEX(CS!$B$1:$B$15025,MATCH($A129,CS!$B:$B,0)+COLUMN(E$1),1),""))</f>
        <v>縮地・空</v>
      </c>
      <c r="BL129" s="37" t="str">
        <f t="array" ref="BL129">IF($A129="","",IFERROR(INDEX(CS!$B$1:$B$15025,MATCH($A129,CS!$B:$B,0)+COLUMN(F$1),1),""))</f>
        <v/>
      </c>
      <c r="BM129" s="37" t="str">
        <f t="array" ref="BM129">IF($A129="","",IFERROR(INDEX(CS!$B$1:$B$15025,MATCH($A129,CS!$B:$B,0)+COLUMN(G$1),1),""))</f>
        <v>神眼</v>
      </c>
      <c r="BN129" s="37" t="str">
        <f t="array" ref="BN129">IF($A129="","",IFERROR(INDEX(CS!$B$1:$B$15025,MATCH($A129,CS!$B:$B,0)+COLUMN(H$1),1),""))</f>
        <v/>
      </c>
      <c r="BO129" s="37" t="str">
        <f t="array" ref="BO129">IF($A129="","",IFERROR(INDEX(CS!$B$1:$B$15025,MATCH($A129,CS!$B:$B,0)+COLUMN(I$1),1),""))</f>
        <v>見極</v>
      </c>
      <c r="BP129" s="37" t="str">
        <f t="array" ref="BP129">IF($A129="","",IFERROR(INDEX(CS!$B$1:$B$15025,MATCH($A129,CS!$B:$B,0)+COLUMN(J$1),1),""))</f>
        <v>槍神</v>
      </c>
      <c r="BR129" s="39" t="s">
        <v>2843</v>
      </c>
      <c r="BS129" s="74"/>
      <c r="BU129" s="39"/>
      <c r="CG129" s="37" t="s">
        <v>2807</v>
      </c>
      <c r="CI129" s="37" t="s">
        <v>2808</v>
      </c>
      <c r="CJ129" s="37" t="s">
        <v>2809</v>
      </c>
      <c r="CK129" s="37" t="s">
        <v>2802</v>
      </c>
      <c r="CN129" s="37" t="s">
        <v>1102</v>
      </c>
      <c r="CQ129" s="37"/>
      <c r="CR129" s="37"/>
    </row>
    <row r="130" ht="18.75" customHeight="1" outlineLevel="1">
      <c r="A130" s="39" t="s">
        <v>2168</v>
      </c>
      <c r="B130" s="71"/>
      <c r="C130" s="39" t="s">
        <v>2799</v>
      </c>
      <c r="D130" s="72" t="str">
        <f t="shared" si="3"/>
        <v>735/475/260</v>
      </c>
      <c r="E130" s="39">
        <v>2.0</v>
      </c>
      <c r="F130" s="39">
        <v>90.0</v>
      </c>
      <c r="I130" s="39">
        <v>95.0</v>
      </c>
      <c r="J130" s="39">
        <v>85.0</v>
      </c>
      <c r="K130" s="87">
        <v>25.0</v>
      </c>
      <c r="L130" s="39">
        <v>50.0</v>
      </c>
      <c r="M130" s="39">
        <v>55.0</v>
      </c>
      <c r="N130" s="39">
        <v>75.0</v>
      </c>
      <c r="P130" s="37">
        <v>0.0</v>
      </c>
      <c r="Q130" s="64"/>
      <c r="R130" s="64"/>
      <c r="S130" s="64"/>
      <c r="T130" s="64"/>
      <c r="U130" s="64"/>
      <c r="V130" s="64"/>
      <c r="W130" s="64"/>
      <c r="X130" s="64"/>
      <c r="Y130" s="64"/>
      <c r="Z130" s="64"/>
      <c r="AA130" s="64"/>
      <c r="AJ130" s="37">
        <v>75.0</v>
      </c>
      <c r="AK130" s="37">
        <v>55.0</v>
      </c>
      <c r="AL130" s="37">
        <v>25.0</v>
      </c>
      <c r="AM130" s="37">
        <v>25.0</v>
      </c>
      <c r="AN130" s="37">
        <v>30.0</v>
      </c>
      <c r="AO130" s="37">
        <v>0.0</v>
      </c>
      <c r="AP130" s="37">
        <v>0.0</v>
      </c>
      <c r="AQ130" s="37">
        <v>0.0</v>
      </c>
      <c r="AR130" s="37">
        <v>25.0</v>
      </c>
      <c r="AS130" s="37">
        <v>0.0</v>
      </c>
      <c r="AT130" s="37">
        <v>0.0</v>
      </c>
      <c r="AU130" s="37">
        <v>0.0</v>
      </c>
      <c r="AV130" s="37">
        <v>0.0</v>
      </c>
      <c r="AW130" s="37">
        <v>25.0</v>
      </c>
      <c r="AX130" s="37">
        <v>0.0</v>
      </c>
      <c r="AY130" s="37">
        <v>0.0</v>
      </c>
      <c r="AZ130" s="37">
        <v>0.0</v>
      </c>
      <c r="BG130" s="37" t="str">
        <f t="array" ref="BG130">IF($A130="","",IFERROR(INDEX(CS!$B$1:$B$15025,MATCH($A130,CS!$B:$B,0)+COLUMN(A$1),1),""))</f>
        <v>粉砕撃</v>
      </c>
      <c r="BH130" s="37" t="str">
        <f t="array" ref="BH130">IF($A130="","",IFERROR(INDEX(CS!$B$1:$B$15025,MATCH($A130,CS!$B:$B,0)+COLUMN(B$1),1),""))</f>
        <v/>
      </c>
      <c r="BI130" s="37" t="str">
        <f t="array" ref="BI130">IF($A130="","",IFERROR(INDEX(CS!$B$1:$B$15025,MATCH($A130,CS!$B:$B,0)+COLUMN(C$1),1),""))</f>
        <v>打撃武器の扱い</v>
      </c>
      <c r="BJ130" s="37" t="str">
        <f t="array" ref="BJ130">IF($A130="","",IFERROR(INDEX(CS!$B$1:$B$15025,MATCH($A130,CS!$B:$B,0)+COLUMN(D$1),1),""))</f>
        <v/>
      </c>
      <c r="BK130" s="37" t="str">
        <f t="array" ref="BK130">IF($A130="","",IFERROR(INDEX(CS!$B$1:$B$15025,MATCH($A130,CS!$B:$B,0)+COLUMN(E$1),1),""))</f>
        <v>崩し撃</v>
      </c>
      <c r="BL130" s="37" t="str">
        <f t="array" ref="BL130">IF($A130="","",IFERROR(INDEX(CS!$B$1:$B$15025,MATCH($A130,CS!$B:$B,0)+COLUMN(F$1),1),""))</f>
        <v/>
      </c>
      <c r="BM130" s="37" t="str">
        <f t="array" ref="BM130">IF($A130="","",IFERROR(INDEX(CS!$B$1:$B$15025,MATCH($A130,CS!$B:$B,0)+COLUMN(G$1),1),""))</f>
        <v>重打</v>
      </c>
      <c r="BN130" s="37" t="str">
        <f t="array" ref="BN130">IF($A130="","",IFERROR(INDEX(CS!$B$1:$B$15025,MATCH($A130,CS!$B:$B,0)+COLUMN(H$1),1),""))</f>
        <v/>
      </c>
      <c r="BO130" s="37" t="str">
        <f t="array" ref="BO130">IF($A130="","",IFERROR(INDEX(CS!$B$1:$B$15025,MATCH($A130,CS!$B:$B,0)+COLUMN(I$1),1),""))</f>
        <v>打撃の極み</v>
      </c>
      <c r="BP130" s="37" t="str">
        <f t="array" ref="BP130">IF($A130="","",IFERROR(INDEX(CS!$B$1:$B$15025,MATCH($A130,CS!$B:$B,0)+COLUMN(J$1),1),""))</f>
        <v>震砕撃</v>
      </c>
      <c r="BR130" s="39" t="s">
        <v>2838</v>
      </c>
      <c r="BS130" s="74"/>
      <c r="BU130" s="39" t="s">
        <v>2839</v>
      </c>
      <c r="CG130" s="37" t="s">
        <v>2800</v>
      </c>
      <c r="CJ130" s="37" t="s">
        <v>2801</v>
      </c>
      <c r="CK130" s="37" t="s">
        <v>2802</v>
      </c>
      <c r="CN130" s="37" t="s">
        <v>1102</v>
      </c>
      <c r="CQ130" s="37"/>
      <c r="CR130" s="37"/>
    </row>
    <row r="131" ht="18.75" customHeight="1" outlineLevel="1">
      <c r="A131" s="39" t="s">
        <v>2181</v>
      </c>
      <c r="B131" s="71"/>
      <c r="C131" s="39" t="s">
        <v>2799</v>
      </c>
      <c r="D131" s="72" t="str">
        <f t="shared" si="3"/>
        <v>735/475/260</v>
      </c>
      <c r="E131" s="39">
        <v>2.0</v>
      </c>
      <c r="F131" s="39">
        <v>90.0</v>
      </c>
      <c r="I131" s="39">
        <v>80.0</v>
      </c>
      <c r="J131" s="39">
        <v>95.0</v>
      </c>
      <c r="K131" s="87">
        <v>25.0</v>
      </c>
      <c r="L131" s="39">
        <v>60.0</v>
      </c>
      <c r="M131" s="39">
        <v>50.0</v>
      </c>
      <c r="N131" s="39">
        <v>75.0</v>
      </c>
      <c r="P131" s="37">
        <v>0.0</v>
      </c>
      <c r="Q131" s="64"/>
      <c r="R131" s="64"/>
      <c r="S131" s="64"/>
      <c r="T131" s="64"/>
      <c r="U131" s="64"/>
      <c r="V131" s="64"/>
      <c r="W131" s="64"/>
      <c r="X131" s="64"/>
      <c r="Y131" s="64"/>
      <c r="Z131" s="64"/>
      <c r="AA131" s="64"/>
      <c r="AJ131" s="37">
        <v>105.0</v>
      </c>
      <c r="AK131" s="37">
        <v>0.0</v>
      </c>
      <c r="AL131" s="37">
        <v>25.0</v>
      </c>
      <c r="AM131" s="37">
        <v>25.0</v>
      </c>
      <c r="AN131" s="37">
        <v>25.0</v>
      </c>
      <c r="AO131" s="37">
        <v>0.0</v>
      </c>
      <c r="AP131" s="37">
        <v>0.0</v>
      </c>
      <c r="AQ131" s="37">
        <v>0.0</v>
      </c>
      <c r="AR131" s="37">
        <v>25.0</v>
      </c>
      <c r="AS131" s="37">
        <v>0.0</v>
      </c>
      <c r="AT131" s="37">
        <v>0.0</v>
      </c>
      <c r="AU131" s="37">
        <v>0.0</v>
      </c>
      <c r="AV131" s="37">
        <v>0.0</v>
      </c>
      <c r="AW131" s="37">
        <v>55.0</v>
      </c>
      <c r="AX131" s="37">
        <v>0.0</v>
      </c>
      <c r="AY131" s="37">
        <v>0.0</v>
      </c>
      <c r="AZ131" s="37">
        <v>0.0</v>
      </c>
      <c r="BG131" s="37" t="str">
        <f t="array" ref="BG131">IF($A131="","",IFERROR(INDEX(CS!$B$1:$B$15025,MATCH($A131,CS!$B:$B,0)+COLUMN(A$1),1),""))</f>
        <v>盾構え</v>
      </c>
      <c r="BH131" s="37" t="str">
        <f t="array" ref="BH131">IF($A131="","",IFERROR(INDEX(CS!$B$1:$B$15025,MATCH($A131,CS!$B:$B,0)+COLUMN(B$1),1),""))</f>
        <v/>
      </c>
      <c r="BI131" s="37" t="str">
        <f t="array" ref="BI131">IF($A131="","",IFERROR(INDEX(CS!$B$1:$B$15025,MATCH($A131,CS!$B:$B,0)+COLUMN(C$1),1),""))</f>
        <v>盾の扱い</v>
      </c>
      <c r="BJ131" s="37" t="str">
        <f t="array" ref="BJ131">IF($A131="","",IFERROR(INDEX(CS!$B$1:$B$15025,MATCH($A131,CS!$B:$B,0)+COLUMN(D$1),1),""))</f>
        <v/>
      </c>
      <c r="BK131" s="37" t="str">
        <f t="array" ref="BK131">IF($A131="","",IFERROR(INDEX(CS!$B$1:$B$15025,MATCH($A131,CS!$B:$B,0)+COLUMN(E$1),1),""))</f>
        <v>盾打ち</v>
      </c>
      <c r="BL131" s="37" t="str">
        <f t="array" ref="BL131">IF($A131="","",IFERROR(INDEX(CS!$B$1:$B$15025,MATCH($A131,CS!$B:$B,0)+COLUMN(F$1),1),""))</f>
        <v/>
      </c>
      <c r="BM131" s="37" t="str">
        <f t="array" ref="BM131">IF($A131="","",IFERROR(INDEX(CS!$B$1:$B$15025,MATCH($A131,CS!$B:$B,0)+COLUMN(G$1),1),""))</f>
        <v>受け流し</v>
      </c>
      <c r="BN131" s="37" t="str">
        <f t="array" ref="BN131">IF($A131="","",IFERROR(INDEX(CS!$B$1:$B$15025,MATCH($A131,CS!$B:$B,0)+COLUMN(H$1),1),""))</f>
        <v/>
      </c>
      <c r="BO131" s="37" t="str">
        <f t="array" ref="BO131">IF($A131="","",IFERROR(INDEX(CS!$B$1:$B$15025,MATCH($A131,CS!$B:$B,0)+COLUMN(I$1),1),""))</f>
        <v>鉄壁</v>
      </c>
      <c r="BP131" s="37" t="str">
        <f t="array" ref="BP131">IF($A131="","",IFERROR(INDEX(CS!$B$1:$B$15025,MATCH($A131,CS!$B:$B,0)+COLUMN(J$1),1),""))</f>
        <v>完全防御</v>
      </c>
      <c r="BR131" s="39" t="s">
        <v>2838</v>
      </c>
      <c r="BS131" s="74"/>
      <c r="BU131" s="39" t="s">
        <v>2839</v>
      </c>
      <c r="CG131" s="37" t="s">
        <v>2804</v>
      </c>
      <c r="CH131" s="37" t="s">
        <v>2805</v>
      </c>
      <c r="CJ131" s="37" t="s">
        <v>2801</v>
      </c>
      <c r="CK131" s="37" t="s">
        <v>2802</v>
      </c>
      <c r="CN131" s="37" t="s">
        <v>1102</v>
      </c>
      <c r="CQ131" s="37"/>
      <c r="CR131" s="37"/>
    </row>
    <row r="132" ht="18.75" customHeight="1">
      <c r="B132" s="71"/>
      <c r="C132" s="39" t="s">
        <v>2799</v>
      </c>
      <c r="D132" s="72"/>
      <c r="K132" s="73"/>
      <c r="P132" s="37" t="s">
        <v>29</v>
      </c>
      <c r="Q132" s="64"/>
      <c r="R132" s="64"/>
      <c r="S132" s="64"/>
      <c r="T132" s="64"/>
      <c r="U132" s="64"/>
      <c r="V132" s="64"/>
      <c r="W132" s="64"/>
      <c r="X132" s="64"/>
      <c r="Y132" s="64"/>
      <c r="Z132" s="64"/>
      <c r="AA132" s="64"/>
      <c r="AJ132" s="37" t="s">
        <v>29</v>
      </c>
      <c r="AK132" s="37" t="s">
        <v>29</v>
      </c>
      <c r="AL132" s="37" t="s">
        <v>29</v>
      </c>
      <c r="AM132" s="37" t="s">
        <v>29</v>
      </c>
      <c r="AN132" s="37" t="s">
        <v>29</v>
      </c>
      <c r="AO132" s="37" t="s">
        <v>29</v>
      </c>
      <c r="AP132" s="37" t="s">
        <v>29</v>
      </c>
      <c r="AQ132" s="37" t="s">
        <v>29</v>
      </c>
      <c r="AR132" s="37" t="s">
        <v>29</v>
      </c>
      <c r="AS132" s="37" t="s">
        <v>29</v>
      </c>
      <c r="AT132" s="37" t="s">
        <v>29</v>
      </c>
      <c r="AU132" s="37" t="s">
        <v>29</v>
      </c>
      <c r="AV132" s="37" t="s">
        <v>29</v>
      </c>
      <c r="AW132" s="37" t="s">
        <v>29</v>
      </c>
      <c r="AX132" s="37" t="s">
        <v>29</v>
      </c>
      <c r="AY132" s="37" t="s">
        <v>29</v>
      </c>
      <c r="AZ132" s="37" t="s">
        <v>29</v>
      </c>
      <c r="BG132" s="37" t="str">
        <f t="array" ref="BG132">IF($A132="","", INDEX(CS!$B$1:$B$15025,MATCH($A132,CS!$B:$B,0)+COLUMN(A$1),1))</f>
        <v/>
      </c>
      <c r="BH132" s="37" t="str">
        <f t="array" ref="BH132">IF($A132="","", INDEX(CS!$B$1:$B$15025,MATCH($A132,CS!$B:$B,0)+COLUMN(B$1),1))</f>
        <v/>
      </c>
      <c r="BI132" s="37" t="str">
        <f t="array" ref="BI132">IF($A132="","", INDEX(CS!$B$1:$B$15025,MATCH($A132,CS!$B:$B,0)+COLUMN(C$1),1))</f>
        <v/>
      </c>
      <c r="BJ132" s="37" t="str">
        <f t="array" ref="BJ132">IF($A132="","", INDEX(CS!$B$1:$B$15025,MATCH($A132,CS!$B:$B,0)+COLUMN(D$1),1))</f>
        <v/>
      </c>
      <c r="BK132" s="37" t="str">
        <f t="array" ref="BK132">IF($A132="","", INDEX(CS!$B$1:$B$15025,MATCH($A132,CS!$B:$B,0)+COLUMN(E$1),1))</f>
        <v/>
      </c>
      <c r="BL132" s="37" t="str">
        <f t="array" ref="BL132">IF($A132="","", INDEX(CS!$B$1:$B$15025,MATCH($A132,CS!$B:$B,0)+COLUMN(F$1),1))</f>
        <v/>
      </c>
      <c r="BM132" s="37" t="str">
        <f t="array" ref="BM132">IF($A132="","", INDEX(CS!$B$1:$B$15025,MATCH($A132,CS!$B:$B,0)+COLUMN(G$1),1))</f>
        <v/>
      </c>
      <c r="BN132" s="37" t="str">
        <f t="array" ref="BN132">IF($A132="","", INDEX(CS!$B$1:$B$15025,MATCH($A132,CS!$B:$B,0)+COLUMN(H$1),1))</f>
        <v/>
      </c>
      <c r="BO132" s="37" t="str">
        <f t="array" ref="BO132">IF($A132="","", INDEX(CS!$B$1:$B$15025,MATCH($A132,CS!$B:$B,0)+COLUMN(I$1),1))</f>
        <v/>
      </c>
      <c r="BP132" s="37" t="str">
        <f t="array" ref="BP132">IF($A132="","", INDEX(CS!$B$1:$B$15025,MATCH($A132,CS!$B:$B,0)+COLUMN(J$1),1))</f>
        <v/>
      </c>
      <c r="BS132" s="74"/>
      <c r="CI132" s="37" t="s">
        <v>2828</v>
      </c>
      <c r="CJ132" s="37" t="s">
        <v>2809</v>
      </c>
      <c r="CK132" s="37" t="s">
        <v>2802</v>
      </c>
      <c r="CQ132" s="37"/>
      <c r="CR132" s="37"/>
    </row>
    <row r="133" ht="18.75" customHeight="1">
      <c r="B133" s="85" t="s">
        <v>2844</v>
      </c>
      <c r="C133" s="39" t="s">
        <v>2799</v>
      </c>
      <c r="D133" s="72" t="str">
        <f t="shared" ref="D133:D139" si="4">SUM(AJ133:AZ133,F133:N133)&amp;"/"&amp;SUM(F133:N133)&amp;"/"&amp;SUM(AJ133:AZ133)</f>
        <v>0/0/0</v>
      </c>
      <c r="E133" s="37">
        <v>1.0</v>
      </c>
      <c r="K133" s="73"/>
      <c r="P133" s="37" t="s">
        <v>29</v>
      </c>
      <c r="Q133" s="64"/>
      <c r="R133" s="64"/>
      <c r="S133" s="64"/>
      <c r="T133" s="64"/>
      <c r="U133" s="64"/>
      <c r="V133" s="64"/>
      <c r="W133" s="64"/>
      <c r="X133" s="64"/>
      <c r="Y133" s="64"/>
      <c r="Z133" s="64"/>
      <c r="AA133" s="64"/>
      <c r="AJ133" s="37" t="s">
        <v>29</v>
      </c>
      <c r="AK133" s="37" t="s">
        <v>29</v>
      </c>
      <c r="AL133" s="37" t="s">
        <v>29</v>
      </c>
      <c r="AM133" s="37" t="s">
        <v>29</v>
      </c>
      <c r="AN133" s="37" t="s">
        <v>29</v>
      </c>
      <c r="AO133" s="37" t="s">
        <v>29</v>
      </c>
      <c r="AP133" s="37" t="s">
        <v>29</v>
      </c>
      <c r="AQ133" s="37" t="s">
        <v>29</v>
      </c>
      <c r="AR133" s="37" t="s">
        <v>29</v>
      </c>
      <c r="AS133" s="37" t="s">
        <v>29</v>
      </c>
      <c r="AT133" s="37" t="s">
        <v>29</v>
      </c>
      <c r="AU133" s="37" t="s">
        <v>29</v>
      </c>
      <c r="AV133" s="37" t="s">
        <v>29</v>
      </c>
      <c r="AW133" s="37" t="s">
        <v>29</v>
      </c>
      <c r="AX133" s="37" t="s">
        <v>29</v>
      </c>
      <c r="AY133" s="37" t="s">
        <v>29</v>
      </c>
      <c r="AZ133" s="37" t="s">
        <v>29</v>
      </c>
      <c r="BG133" s="37" t="str">
        <f t="array" ref="BG133">IF($A133="","", INDEX(CS!$B$1:$B$15025,MATCH($A133,CS!$B:$B,0)+COLUMN(A$1),1))</f>
        <v/>
      </c>
      <c r="BH133" s="37" t="str">
        <f t="array" ref="BH133">IF($A133="","", INDEX(CS!$B$1:$B$15025,MATCH($A133,CS!$B:$B,0)+COLUMN(B$1),1))</f>
        <v/>
      </c>
      <c r="BI133" s="37" t="str">
        <f t="array" ref="BI133">IF($A133="","", INDEX(CS!$B$1:$B$15025,MATCH($A133,CS!$B:$B,0)+COLUMN(C$1),1))</f>
        <v/>
      </c>
      <c r="BJ133" s="37" t="str">
        <f t="array" ref="BJ133">IF($A133="","", INDEX(CS!$B$1:$B$15025,MATCH($A133,CS!$B:$B,0)+COLUMN(D$1),1))</f>
        <v/>
      </c>
      <c r="BK133" s="37" t="str">
        <f t="array" ref="BK133">IF($A133="","", INDEX(CS!$B$1:$B$15025,MATCH($A133,CS!$B:$B,0)+COLUMN(E$1),1))</f>
        <v/>
      </c>
      <c r="BL133" s="37" t="str">
        <f t="array" ref="BL133">IF($A133="","", INDEX(CS!$B$1:$B$15025,MATCH($A133,CS!$B:$B,0)+COLUMN(F$1),1))</f>
        <v/>
      </c>
      <c r="BM133" s="37" t="str">
        <f t="array" ref="BM133">IF($A133="","", INDEX(CS!$B$1:$B$15025,MATCH($A133,CS!$B:$B,0)+COLUMN(G$1),1))</f>
        <v/>
      </c>
      <c r="BN133" s="37" t="str">
        <f t="array" ref="BN133">IF($A133="","", INDEX(CS!$B$1:$B$15025,MATCH($A133,CS!$B:$B,0)+COLUMN(H$1),1))</f>
        <v/>
      </c>
      <c r="BO133" s="37" t="str">
        <f t="array" ref="BO133">IF($A133="","", INDEX(CS!$B$1:$B$15025,MATCH($A133,CS!$B:$B,0)+COLUMN(I$1),1))</f>
        <v/>
      </c>
      <c r="BP133" s="37" t="str">
        <f t="array" ref="BP133">IF($A133="","", INDEX(CS!$B$1:$B$15025,MATCH($A133,CS!$B:$B,0)+COLUMN(J$1),1))</f>
        <v/>
      </c>
      <c r="BS133" s="74"/>
      <c r="CQ133" s="37"/>
      <c r="CR133" s="37"/>
    </row>
    <row r="134" ht="18.75" customHeight="1" outlineLevel="1">
      <c r="A134" s="39" t="s">
        <v>2195</v>
      </c>
      <c r="B134" s="71"/>
      <c r="C134" s="39" t="s">
        <v>2799</v>
      </c>
      <c r="D134" s="72" t="str">
        <f t="shared" si="4"/>
        <v>760/480/280</v>
      </c>
      <c r="E134" s="39">
        <v>2.0</v>
      </c>
      <c r="F134" s="39">
        <v>75.0</v>
      </c>
      <c r="I134" s="39">
        <v>70.0</v>
      </c>
      <c r="J134" s="39">
        <v>70.0</v>
      </c>
      <c r="K134" s="87">
        <v>60.0</v>
      </c>
      <c r="L134" s="39">
        <v>70.0</v>
      </c>
      <c r="M134" s="39">
        <v>55.0</v>
      </c>
      <c r="N134" s="39">
        <v>80.0</v>
      </c>
      <c r="P134" s="37">
        <v>0.0</v>
      </c>
      <c r="Q134" s="64"/>
      <c r="R134" s="64"/>
      <c r="S134" s="64"/>
      <c r="T134" s="64"/>
      <c r="U134" s="64"/>
      <c r="V134" s="64"/>
      <c r="W134" s="64"/>
      <c r="X134" s="64"/>
      <c r="Y134" s="64"/>
      <c r="Z134" s="64"/>
      <c r="AA134" s="64"/>
      <c r="AJ134" s="37">
        <v>40.0</v>
      </c>
      <c r="AK134" s="37">
        <v>25.0</v>
      </c>
      <c r="AL134" s="37">
        <v>65.0</v>
      </c>
      <c r="AM134" s="37">
        <v>20.0</v>
      </c>
      <c r="AN134" s="37">
        <v>20.0</v>
      </c>
      <c r="AO134" s="37">
        <v>0.0</v>
      </c>
      <c r="AP134" s="37">
        <v>0.0</v>
      </c>
      <c r="AQ134" s="37">
        <v>0.0</v>
      </c>
      <c r="AR134" s="37">
        <v>15.0</v>
      </c>
      <c r="AS134" s="37">
        <v>0.0</v>
      </c>
      <c r="AT134" s="37">
        <v>0.0</v>
      </c>
      <c r="AU134" s="37">
        <v>0.0</v>
      </c>
      <c r="AV134" s="37">
        <v>0.0</v>
      </c>
      <c r="AW134" s="37">
        <v>40.0</v>
      </c>
      <c r="AX134" s="37">
        <v>0.0</v>
      </c>
      <c r="AY134" s="37">
        <v>55.0</v>
      </c>
      <c r="AZ134" s="37">
        <v>0.0</v>
      </c>
      <c r="BG134" s="37" t="str">
        <f t="array" ref="BG134">IF($A134="","",IFERROR(INDEX(CS!$B$1:$B$15025,MATCH($A134,CS!$B:$B,0)+COLUMN(A$1),1),""))</f>
        <v>炎の武器</v>
      </c>
      <c r="BH134" s="37" t="str">
        <f t="array" ref="BH134">IF($A134="","",IFERROR(INDEX(CS!$B$1:$B$15025,MATCH($A134,CS!$B:$B,0)+COLUMN(B$1),1),""))</f>
        <v/>
      </c>
      <c r="BI134" s="37" t="str">
        <f t="array" ref="BI134">IF($A134="","",IFERROR(INDEX(CS!$B$1:$B$15025,MATCH($A134,CS!$B:$B,0)+COLUMN(C$1),1),""))</f>
        <v>火炎</v>
      </c>
      <c r="BJ134" s="37" t="str">
        <f t="array" ref="BJ134">IF($A134="","",IFERROR(INDEX(CS!$B$1:$B$15025,MATCH($A134,CS!$B:$B,0)+COLUMN(D$1),1),""))</f>
        <v/>
      </c>
      <c r="BK134" s="37" t="str">
        <f t="array" ref="BK134">IF($A134="","",IFERROR(INDEX(CS!$B$1:$B$15025,MATCH($A134,CS!$B:$B,0)+COLUMN(E$1),1),""))</f>
        <v>炎の適用</v>
      </c>
      <c r="BL134" s="37" t="str">
        <f t="array" ref="BL134">IF($A134="","",IFERROR(INDEX(CS!$B$1:$B$15025,MATCH($A134,CS!$B:$B,0)+COLUMN(F$1),1),""))</f>
        <v/>
      </c>
      <c r="BM134" s="37" t="str">
        <f t="array" ref="BM134">IF($A134="","",IFERROR(INDEX(CS!$B$1:$B$15025,MATCH($A134,CS!$B:$B,0)+COLUMN(G$1),1),""))</f>
        <v>火球</v>
      </c>
      <c r="BN134" s="37" t="str">
        <f t="array" ref="BN134">IF($A134="","",IFERROR(INDEX(CS!$B$1:$B$15025,MATCH($A134,CS!$B:$B,0)+COLUMN(H$1),1),""))</f>
        <v/>
      </c>
      <c r="BO134" s="37" t="str">
        <f t="array" ref="BO134">IF($A134="","",IFERROR(INDEX(CS!$B$1:$B$15025,MATCH($A134,CS!$B:$B,0)+COLUMN(I$1),1),""))</f>
        <v>炎強化</v>
      </c>
      <c r="BP134" s="37" t="str">
        <f t="array" ref="BP134">IF($A134="","",IFERROR(INDEX(CS!$B$1:$B$15025,MATCH($A134,CS!$B:$B,0)+COLUMN(J$1),1),""))</f>
        <v>炎撃</v>
      </c>
      <c r="BR134" s="39" t="s">
        <v>2845</v>
      </c>
      <c r="BS134" s="74"/>
      <c r="CG134" s="37" t="s">
        <v>2800</v>
      </c>
      <c r="CJ134" s="37" t="s">
        <v>2801</v>
      </c>
      <c r="CK134" s="37" t="s">
        <v>2802</v>
      </c>
      <c r="CN134" s="37" t="s">
        <v>1102</v>
      </c>
      <c r="CQ134" s="37"/>
      <c r="CR134" s="37"/>
    </row>
    <row r="135" ht="18.75" customHeight="1" outlineLevel="1">
      <c r="A135" s="39" t="s">
        <v>2202</v>
      </c>
      <c r="B135" s="71"/>
      <c r="C135" s="39" t="s">
        <v>2799</v>
      </c>
      <c r="D135" s="72" t="str">
        <f t="shared" si="4"/>
        <v>760/480/280</v>
      </c>
      <c r="E135" s="39">
        <v>2.0</v>
      </c>
      <c r="F135" s="39">
        <v>75.0</v>
      </c>
      <c r="I135" s="39">
        <v>70.0</v>
      </c>
      <c r="J135" s="39">
        <v>70.0</v>
      </c>
      <c r="K135" s="87">
        <v>60.0</v>
      </c>
      <c r="L135" s="39">
        <v>70.0</v>
      </c>
      <c r="M135" s="39">
        <v>55.0</v>
      </c>
      <c r="N135" s="39">
        <v>80.0</v>
      </c>
      <c r="P135" s="37">
        <v>0.0</v>
      </c>
      <c r="Q135" s="64"/>
      <c r="R135" s="64"/>
      <c r="S135" s="64"/>
      <c r="T135" s="64"/>
      <c r="U135" s="64"/>
      <c r="V135" s="64"/>
      <c r="W135" s="64"/>
      <c r="X135" s="64"/>
      <c r="Y135" s="64"/>
      <c r="Z135" s="64"/>
      <c r="AA135" s="64"/>
      <c r="AJ135" s="37">
        <v>40.0</v>
      </c>
      <c r="AK135" s="37">
        <v>25.0</v>
      </c>
      <c r="AL135" s="37">
        <v>65.0</v>
      </c>
      <c r="AM135" s="37">
        <v>20.0</v>
      </c>
      <c r="AN135" s="37">
        <v>20.0</v>
      </c>
      <c r="AO135" s="37">
        <v>0.0</v>
      </c>
      <c r="AP135" s="37">
        <v>0.0</v>
      </c>
      <c r="AQ135" s="37">
        <v>0.0</v>
      </c>
      <c r="AR135" s="37">
        <v>15.0</v>
      </c>
      <c r="AS135" s="37">
        <v>0.0</v>
      </c>
      <c r="AT135" s="37">
        <v>0.0</v>
      </c>
      <c r="AU135" s="37">
        <v>0.0</v>
      </c>
      <c r="AV135" s="37">
        <v>0.0</v>
      </c>
      <c r="AW135" s="37">
        <v>40.0</v>
      </c>
      <c r="AX135" s="37">
        <v>0.0</v>
      </c>
      <c r="AY135" s="37">
        <v>55.0</v>
      </c>
      <c r="AZ135" s="37">
        <v>0.0</v>
      </c>
      <c r="BG135" s="37" t="str">
        <f t="array" ref="BG135">IF($A135="","",IFERROR(INDEX(CS!$B$1:$B$15025,MATCH($A135,CS!$B:$B,0)+COLUMN(A$1),1),""))</f>
        <v>氷の武器</v>
      </c>
      <c r="BH135" s="37" t="str">
        <f t="array" ref="BH135">IF($A135="","",IFERROR(INDEX(CS!$B$1:$B$15025,MATCH($A135,CS!$B:$B,0)+COLUMN(B$1),1),""))</f>
        <v/>
      </c>
      <c r="BI135" s="37" t="str">
        <f t="array" ref="BI135">IF($A135="","",IFERROR(INDEX(CS!$B$1:$B$15025,MATCH($A135,CS!$B:$B,0)+COLUMN(C$1),1),""))</f>
        <v>冷気の光線</v>
      </c>
      <c r="BJ135" s="37" t="str">
        <f t="array" ref="BJ135">IF($A135="","",IFERROR(INDEX(CS!$B$1:$B$15025,MATCH($A135,CS!$B:$B,0)+COLUMN(D$1),1),""))</f>
        <v/>
      </c>
      <c r="BK135" s="37" t="str">
        <f t="array" ref="BK135">IF($A135="","",IFERROR(INDEX(CS!$B$1:$B$15025,MATCH($A135,CS!$B:$B,0)+COLUMN(E$1),1),""))</f>
        <v>氷の適用</v>
      </c>
      <c r="BL135" s="37" t="str">
        <f t="array" ref="BL135">IF($A135="","",IFERROR(INDEX(CS!$B$1:$B$15025,MATCH($A135,CS!$B:$B,0)+COLUMN(F$1),1),""))</f>
        <v/>
      </c>
      <c r="BM135" s="37" t="str">
        <f t="array" ref="BM135">IF($A135="","",IFERROR(INDEX(CS!$B$1:$B$15025,MATCH($A135,CS!$B:$B,0)+COLUMN(G$1),1),""))</f>
        <v>氷柱弾</v>
      </c>
      <c r="BN135" s="37" t="str">
        <f t="array" ref="BN135">IF($A135="","",IFERROR(INDEX(CS!$B$1:$B$15025,MATCH($A135,CS!$B:$B,0)+COLUMN(H$1),1),""))</f>
        <v/>
      </c>
      <c r="BO135" s="37" t="str">
        <f t="array" ref="BO135">IF($A135="","",IFERROR(INDEX(CS!$B$1:$B$15025,MATCH($A135,CS!$B:$B,0)+COLUMN(I$1),1),""))</f>
        <v>氷強化</v>
      </c>
      <c r="BP135" s="37" t="str">
        <f t="array" ref="BP135">IF($A135="","",IFERROR(INDEX(CS!$B$1:$B$15025,MATCH($A135,CS!$B:$B,0)+COLUMN(J$1),1),""))</f>
        <v>氷結撃</v>
      </c>
      <c r="BR135" s="39" t="s">
        <v>2845</v>
      </c>
      <c r="BS135" s="74"/>
      <c r="CG135" s="37" t="s">
        <v>2800</v>
      </c>
      <c r="CJ135" s="37" t="s">
        <v>2801</v>
      </c>
      <c r="CK135" s="37" t="s">
        <v>2802</v>
      </c>
      <c r="CN135" s="37" t="s">
        <v>1102</v>
      </c>
      <c r="CQ135" s="37"/>
      <c r="CR135" s="37"/>
    </row>
    <row r="136" ht="18.75" customHeight="1" outlineLevel="1">
      <c r="A136" s="39" t="s">
        <v>2209</v>
      </c>
      <c r="B136" s="71"/>
      <c r="C136" s="39" t="s">
        <v>2799</v>
      </c>
      <c r="D136" s="72" t="str">
        <f t="shared" si="4"/>
        <v>760/480/280</v>
      </c>
      <c r="E136" s="39">
        <v>2.0</v>
      </c>
      <c r="F136" s="39">
        <v>75.0</v>
      </c>
      <c r="I136" s="39">
        <v>70.0</v>
      </c>
      <c r="J136" s="39">
        <v>70.0</v>
      </c>
      <c r="K136" s="87">
        <v>60.0</v>
      </c>
      <c r="L136" s="39">
        <v>70.0</v>
      </c>
      <c r="M136" s="39">
        <v>55.0</v>
      </c>
      <c r="N136" s="39">
        <v>80.0</v>
      </c>
      <c r="P136" s="37">
        <v>0.0</v>
      </c>
      <c r="Q136" s="64"/>
      <c r="R136" s="64"/>
      <c r="S136" s="64"/>
      <c r="T136" s="64"/>
      <c r="U136" s="64"/>
      <c r="V136" s="64"/>
      <c r="W136" s="64"/>
      <c r="X136" s="64"/>
      <c r="Y136" s="64"/>
      <c r="Z136" s="64"/>
      <c r="AA136" s="64"/>
      <c r="AJ136" s="37">
        <v>40.0</v>
      </c>
      <c r="AK136" s="37">
        <v>25.0</v>
      </c>
      <c r="AL136" s="37">
        <v>65.0</v>
      </c>
      <c r="AM136" s="37">
        <v>20.0</v>
      </c>
      <c r="AN136" s="37">
        <v>20.0</v>
      </c>
      <c r="AO136" s="37">
        <v>0.0</v>
      </c>
      <c r="AP136" s="37">
        <v>0.0</v>
      </c>
      <c r="AQ136" s="37">
        <v>0.0</v>
      </c>
      <c r="AR136" s="37">
        <v>15.0</v>
      </c>
      <c r="AS136" s="37">
        <v>0.0</v>
      </c>
      <c r="AT136" s="37">
        <v>0.0</v>
      </c>
      <c r="AU136" s="37">
        <v>0.0</v>
      </c>
      <c r="AV136" s="37">
        <v>0.0</v>
      </c>
      <c r="AW136" s="37">
        <v>40.0</v>
      </c>
      <c r="AX136" s="37">
        <v>0.0</v>
      </c>
      <c r="AY136" s="37">
        <v>55.0</v>
      </c>
      <c r="AZ136" s="37">
        <v>0.0</v>
      </c>
      <c r="BG136" s="37" t="str">
        <f t="array" ref="BG136">IF($A136="","",IFERROR(INDEX(CS!$B$1:$B$15025,MATCH($A136,CS!$B:$B,0)+COLUMN(A$1),1),""))</f>
        <v>雷の武器</v>
      </c>
      <c r="BH136" s="37" t="str">
        <f t="array" ref="BH136">IF($A136="","",IFERROR(INDEX(CS!$B$1:$B$15025,MATCH($A136,CS!$B:$B,0)+COLUMN(B$1),1),""))</f>
        <v/>
      </c>
      <c r="BI136" s="37" t="str">
        <f t="array" ref="BI136">IF($A136="","",IFERROR(INDEX(CS!$B$1:$B$15025,MATCH($A136,CS!$B:$B,0)+COLUMN(C$1),1),""))</f>
        <v>放電</v>
      </c>
      <c r="BJ136" s="37" t="str">
        <f t="array" ref="BJ136">IF($A136="","",IFERROR(INDEX(CS!$B$1:$B$15025,MATCH($A136,CS!$B:$B,0)+COLUMN(D$1),1),""))</f>
        <v/>
      </c>
      <c r="BK136" s="37" t="str">
        <f t="array" ref="BK136">IF($A136="","",IFERROR(INDEX(CS!$B$1:$B$15025,MATCH($A136,CS!$B:$B,0)+COLUMN(E$1),1),""))</f>
        <v>雷の適用</v>
      </c>
      <c r="BL136" s="37" t="str">
        <f t="array" ref="BL136">IF($A136="","",IFERROR(INDEX(CS!$B$1:$B$15025,MATCH($A136,CS!$B:$B,0)+COLUMN(F$1),1),""))</f>
        <v/>
      </c>
      <c r="BM136" s="37" t="str">
        <f t="array" ref="BM136">IF($A136="","",IFERROR(INDEX(CS!$B$1:$B$15025,MATCH($A136,CS!$B:$B,0)+COLUMN(G$1),1),""))</f>
        <v>電弧放電</v>
      </c>
      <c r="BN136" s="37" t="str">
        <f t="array" ref="BN136">IF($A136="","",IFERROR(INDEX(CS!$B$1:$B$15025,MATCH($A136,CS!$B:$B,0)+COLUMN(H$1),1),""))</f>
        <v/>
      </c>
      <c r="BO136" s="37" t="str">
        <f t="array" ref="BO136">IF($A136="","",IFERROR(INDEX(CS!$B$1:$B$15025,MATCH($A136,CS!$B:$B,0)+COLUMN(I$1),1),""))</f>
        <v>雷強化</v>
      </c>
      <c r="BP136" s="37" t="str">
        <f t="array" ref="BP136">IF($A136="","",IFERROR(INDEX(CS!$B$1:$B$15025,MATCH($A136,CS!$B:$B,0)+COLUMN(J$1),1),""))</f>
        <v>雷鳴撃</v>
      </c>
      <c r="BR136" s="39" t="s">
        <v>2845</v>
      </c>
      <c r="BS136" s="74"/>
      <c r="CG136" s="37" t="s">
        <v>2800</v>
      </c>
      <c r="CJ136" s="37" t="s">
        <v>2801</v>
      </c>
      <c r="CK136" s="37" t="s">
        <v>2802</v>
      </c>
      <c r="CN136" s="37" t="s">
        <v>1102</v>
      </c>
      <c r="CQ136" s="37"/>
      <c r="CR136" s="37"/>
    </row>
    <row r="137" ht="18.75" customHeight="1" outlineLevel="1">
      <c r="A137" s="39" t="s">
        <v>2216</v>
      </c>
      <c r="B137" s="71"/>
      <c r="C137" s="39" t="s">
        <v>2799</v>
      </c>
      <c r="D137" s="72" t="str">
        <f t="shared" si="4"/>
        <v>760/480/280</v>
      </c>
      <c r="E137" s="39">
        <v>2.0</v>
      </c>
      <c r="F137" s="39">
        <v>75.0</v>
      </c>
      <c r="I137" s="39">
        <v>70.0</v>
      </c>
      <c r="J137" s="39">
        <v>70.0</v>
      </c>
      <c r="K137" s="87">
        <v>60.0</v>
      </c>
      <c r="L137" s="39">
        <v>70.0</v>
      </c>
      <c r="M137" s="39">
        <v>55.0</v>
      </c>
      <c r="N137" s="39">
        <v>80.0</v>
      </c>
      <c r="P137" s="37">
        <v>0.0</v>
      </c>
      <c r="Q137" s="64"/>
      <c r="R137" s="64"/>
      <c r="S137" s="64"/>
      <c r="T137" s="64"/>
      <c r="U137" s="64"/>
      <c r="V137" s="64"/>
      <c r="W137" s="64"/>
      <c r="X137" s="64"/>
      <c r="Y137" s="64"/>
      <c r="Z137" s="64"/>
      <c r="AA137" s="64"/>
      <c r="AJ137" s="37">
        <v>40.0</v>
      </c>
      <c r="AK137" s="37">
        <v>25.0</v>
      </c>
      <c r="AL137" s="37">
        <v>65.0</v>
      </c>
      <c r="AM137" s="37">
        <v>20.0</v>
      </c>
      <c r="AN137" s="37">
        <v>20.0</v>
      </c>
      <c r="AO137" s="37">
        <v>0.0</v>
      </c>
      <c r="AP137" s="37">
        <v>0.0</v>
      </c>
      <c r="AQ137" s="37">
        <v>0.0</v>
      </c>
      <c r="AR137" s="37">
        <v>15.0</v>
      </c>
      <c r="AS137" s="37">
        <v>0.0</v>
      </c>
      <c r="AT137" s="37">
        <v>0.0</v>
      </c>
      <c r="AU137" s="37">
        <v>0.0</v>
      </c>
      <c r="AV137" s="37">
        <v>0.0</v>
      </c>
      <c r="AW137" s="37">
        <v>40.0</v>
      </c>
      <c r="AX137" s="37">
        <v>0.0</v>
      </c>
      <c r="AY137" s="37">
        <v>55.0</v>
      </c>
      <c r="AZ137" s="37">
        <v>0.0</v>
      </c>
      <c r="BG137" s="37" t="str">
        <f t="array" ref="BG137">IF($A137="","",IFERROR(INDEX(CS!$B$1:$B$15025,MATCH($A137,CS!$B:$B,0)+COLUMN(A$1),1),""))</f>
        <v>酸の武器</v>
      </c>
      <c r="BH137" s="37" t="str">
        <f t="array" ref="BH137">IF($A137="","",IFERROR(INDEX(CS!$B$1:$B$15025,MATCH($A137,CS!$B:$B,0)+COLUMN(B$1),1),""))</f>
        <v/>
      </c>
      <c r="BI137" s="37" t="str">
        <f t="array" ref="BI137">IF($A137="","",IFERROR(INDEX(CS!$B$1:$B$15025,MATCH($A137,CS!$B:$B,0)+COLUMN(C$1),1),""))</f>
        <v>酸滴</v>
      </c>
      <c r="BJ137" s="37" t="str">
        <f t="array" ref="BJ137">IF($A137="","",IFERROR(INDEX(CS!$B$1:$B$15025,MATCH($A137,CS!$B:$B,0)+COLUMN(D$1),1),""))</f>
        <v/>
      </c>
      <c r="BK137" s="37" t="str">
        <f t="array" ref="BK137">IF($A137="","",IFERROR(INDEX(CS!$B$1:$B$15025,MATCH($A137,CS!$B:$B,0)+COLUMN(E$1),1),""))</f>
        <v>毒の適用</v>
      </c>
      <c r="BL137" s="37" t="str">
        <f t="array" ref="BL137">IF($A137="","",IFERROR(INDEX(CS!$B$1:$B$15025,MATCH($A137,CS!$B:$B,0)+COLUMN(F$1),1),""))</f>
        <v/>
      </c>
      <c r="BM137" s="37" t="str">
        <f t="array" ref="BM137">IF($A137="","",IFERROR(INDEX(CS!$B$1:$B$15025,MATCH($A137,CS!$B:$B,0)+COLUMN(G$1),1),""))</f>
        <v>酸の落流</v>
      </c>
      <c r="BN137" s="37" t="str">
        <f t="array" ref="BN137">IF($A137="","",IFERROR(INDEX(CS!$B$1:$B$15025,MATCH($A137,CS!$B:$B,0)+COLUMN(H$1),1),""))</f>
        <v/>
      </c>
      <c r="BO137" s="37" t="str">
        <f t="array" ref="BO137">IF($A137="","",IFERROR(INDEX(CS!$B$1:$B$15025,MATCH($A137,CS!$B:$B,0)+COLUMN(I$1),1),""))</f>
        <v>毒強化</v>
      </c>
      <c r="BP137" s="37" t="str">
        <f t="array" ref="BP137">IF($A137="","",IFERROR(INDEX(CS!$B$1:$B$15025,MATCH($A137,CS!$B:$B,0)+COLUMN(J$1),1),""))</f>
        <v>腐食撃</v>
      </c>
      <c r="BR137" s="39" t="s">
        <v>2845</v>
      </c>
      <c r="BS137" s="74"/>
      <c r="CG137" s="37" t="s">
        <v>2800</v>
      </c>
      <c r="CJ137" s="37" t="s">
        <v>2801</v>
      </c>
      <c r="CK137" s="37" t="s">
        <v>2802</v>
      </c>
      <c r="CN137" s="37" t="s">
        <v>1102</v>
      </c>
      <c r="CQ137" s="37"/>
      <c r="CR137" s="37"/>
    </row>
    <row r="138" ht="18.75" customHeight="1" outlineLevel="1">
      <c r="A138" s="39" t="s">
        <v>2223</v>
      </c>
      <c r="B138" s="71"/>
      <c r="C138" s="39" t="s">
        <v>2799</v>
      </c>
      <c r="D138" s="72" t="str">
        <f t="shared" si="4"/>
        <v>760/480/280</v>
      </c>
      <c r="E138" s="39">
        <v>2.0</v>
      </c>
      <c r="F138" s="39">
        <v>75.0</v>
      </c>
      <c r="I138" s="39">
        <v>70.0</v>
      </c>
      <c r="J138" s="39">
        <v>70.0</v>
      </c>
      <c r="K138" s="87">
        <v>60.0</v>
      </c>
      <c r="L138" s="39">
        <v>70.0</v>
      </c>
      <c r="M138" s="39">
        <v>55.0</v>
      </c>
      <c r="N138" s="39">
        <v>80.0</v>
      </c>
      <c r="P138" s="37">
        <v>0.0</v>
      </c>
      <c r="Q138" s="64"/>
      <c r="R138" s="64"/>
      <c r="S138" s="64"/>
      <c r="T138" s="64"/>
      <c r="U138" s="64"/>
      <c r="V138" s="64"/>
      <c r="W138" s="64"/>
      <c r="X138" s="64"/>
      <c r="Y138" s="64"/>
      <c r="Z138" s="64"/>
      <c r="AA138" s="64"/>
      <c r="AJ138" s="37">
        <v>40.0</v>
      </c>
      <c r="AK138" s="37">
        <v>25.0</v>
      </c>
      <c r="AL138" s="37">
        <v>65.0</v>
      </c>
      <c r="AM138" s="37">
        <v>20.0</v>
      </c>
      <c r="AN138" s="37">
        <v>20.0</v>
      </c>
      <c r="AO138" s="37">
        <v>0.0</v>
      </c>
      <c r="AP138" s="37">
        <v>0.0</v>
      </c>
      <c r="AQ138" s="37">
        <v>0.0</v>
      </c>
      <c r="AR138" s="37">
        <v>15.0</v>
      </c>
      <c r="AS138" s="37">
        <v>0.0</v>
      </c>
      <c r="AT138" s="37">
        <v>0.0</v>
      </c>
      <c r="AU138" s="37">
        <v>0.0</v>
      </c>
      <c r="AV138" s="37">
        <v>0.0</v>
      </c>
      <c r="AW138" s="37">
        <v>40.0</v>
      </c>
      <c r="AX138" s="37">
        <v>0.0</v>
      </c>
      <c r="AY138" s="37">
        <v>55.0</v>
      </c>
      <c r="AZ138" s="37">
        <v>0.0</v>
      </c>
      <c r="BG138" s="37" t="str">
        <f t="array" ref="BG138">IF($A138="","",IFERROR(INDEX(CS!$B$1:$B$15025,MATCH($A138,CS!$B:$B,0)+COLUMN(A$1),1),""))</f>
        <v>風の武器</v>
      </c>
      <c r="BH138" s="37" t="str">
        <f t="array" ref="BH138">IF($A138="","",IFERROR(INDEX(CS!$B$1:$B$15025,MATCH($A138,CS!$B:$B,0)+COLUMN(B$1),1),""))</f>
        <v/>
      </c>
      <c r="BI138" s="37" t="str">
        <f t="array" ref="BI138">IF($A138="","",IFERROR(INDEX(CS!$B$1:$B$15025,MATCH($A138,CS!$B:$B,0)+COLUMN(C$1),1),""))</f>
        <v>突風</v>
      </c>
      <c r="BJ138" s="37" t="str">
        <f t="array" ref="BJ138">IF($A138="","",IFERROR(INDEX(CS!$B$1:$B$15025,MATCH($A138,CS!$B:$B,0)+COLUMN(D$1),1),""))</f>
        <v/>
      </c>
      <c r="BK138" s="37" t="str">
        <f t="array" ref="BK138">IF($A138="","",IFERROR(INDEX(CS!$B$1:$B$15025,MATCH($A138,CS!$B:$B,0)+COLUMN(E$1),1),""))</f>
        <v>風の適用</v>
      </c>
      <c r="BL138" s="37" t="str">
        <f t="array" ref="BL138">IF($A138="","",IFERROR(INDEX(CS!$B$1:$B$15025,MATCH($A138,CS!$B:$B,0)+COLUMN(F$1),1),""))</f>
        <v/>
      </c>
      <c r="BM138" s="37" t="str">
        <f t="array" ref="BM138">IF($A138="","",IFERROR(INDEX(CS!$B$1:$B$15025,MATCH($A138,CS!$B:$B,0)+COLUMN(G$1),1),""))</f>
        <v>上昇烈風</v>
      </c>
      <c r="BN138" s="37" t="str">
        <f t="array" ref="BN138">IF($A138="","",IFERROR(INDEX(CS!$B$1:$B$15025,MATCH($A138,CS!$B:$B,0)+COLUMN(H$1),1),""))</f>
        <v/>
      </c>
      <c r="BO138" s="37" t="str">
        <f t="array" ref="BO138">IF($A138="","",IFERROR(INDEX(CS!$B$1:$B$15025,MATCH($A138,CS!$B:$B,0)+COLUMN(I$1),1),""))</f>
        <v>風強化</v>
      </c>
      <c r="BP138" s="37" t="str">
        <f t="array" ref="BP138">IF($A138="","",IFERROR(INDEX(CS!$B$1:$B$15025,MATCH($A138,CS!$B:$B,0)+COLUMN(J$1),1),""))</f>
        <v>烈風撃</v>
      </c>
      <c r="BR138" s="39" t="s">
        <v>2845</v>
      </c>
      <c r="BS138" s="74"/>
      <c r="CG138" s="37" t="s">
        <v>2800</v>
      </c>
      <c r="CJ138" s="37" t="s">
        <v>2801</v>
      </c>
      <c r="CK138" s="37" t="s">
        <v>2802</v>
      </c>
      <c r="CN138" s="37" t="s">
        <v>1102</v>
      </c>
      <c r="CQ138" s="37"/>
      <c r="CR138" s="37"/>
    </row>
    <row r="139" ht="18.75" customHeight="1" outlineLevel="1">
      <c r="A139" s="39" t="s">
        <v>2228</v>
      </c>
      <c r="B139" s="71"/>
      <c r="C139" s="39" t="s">
        <v>2799</v>
      </c>
      <c r="D139" s="72" t="str">
        <f t="shared" si="4"/>
        <v>760/480/280</v>
      </c>
      <c r="E139" s="39">
        <v>2.0</v>
      </c>
      <c r="F139" s="39">
        <v>75.0</v>
      </c>
      <c r="I139" s="39">
        <v>70.0</v>
      </c>
      <c r="J139" s="39">
        <v>70.0</v>
      </c>
      <c r="K139" s="87">
        <v>60.0</v>
      </c>
      <c r="L139" s="39">
        <v>70.0</v>
      </c>
      <c r="M139" s="39">
        <v>55.0</v>
      </c>
      <c r="N139" s="39">
        <v>80.0</v>
      </c>
      <c r="P139" s="37">
        <v>0.0</v>
      </c>
      <c r="Q139" s="64"/>
      <c r="R139" s="64"/>
      <c r="S139" s="64"/>
      <c r="T139" s="64"/>
      <c r="U139" s="64"/>
      <c r="V139" s="64"/>
      <c r="W139" s="64"/>
      <c r="X139" s="64"/>
      <c r="Y139" s="64"/>
      <c r="Z139" s="64"/>
      <c r="AA139" s="64"/>
      <c r="AJ139" s="37">
        <v>40.0</v>
      </c>
      <c r="AK139" s="37">
        <v>25.0</v>
      </c>
      <c r="AL139" s="37">
        <v>65.0</v>
      </c>
      <c r="AM139" s="37">
        <v>20.0</v>
      </c>
      <c r="AN139" s="37">
        <v>20.0</v>
      </c>
      <c r="AO139" s="37">
        <v>0.0</v>
      </c>
      <c r="AP139" s="37">
        <v>0.0</v>
      </c>
      <c r="AQ139" s="37">
        <v>0.0</v>
      </c>
      <c r="AR139" s="37">
        <v>15.0</v>
      </c>
      <c r="AS139" s="37">
        <v>0.0</v>
      </c>
      <c r="AT139" s="37">
        <v>0.0</v>
      </c>
      <c r="AU139" s="37">
        <v>0.0</v>
      </c>
      <c r="AV139" s="37">
        <v>0.0</v>
      </c>
      <c r="AW139" s="37">
        <v>40.0</v>
      </c>
      <c r="AX139" s="37">
        <v>0.0</v>
      </c>
      <c r="AY139" s="37">
        <v>55.0</v>
      </c>
      <c r="AZ139" s="37">
        <v>0.0</v>
      </c>
      <c r="BG139" s="37" t="str">
        <f t="array" ref="BG139">IF($A139="","",IFERROR(INDEX(CS!$B$1:$B$15025,MATCH($A139,CS!$B:$B,0)+COLUMN(A$1),1),""))</f>
        <v>岩の武器</v>
      </c>
      <c r="BH139" s="37" t="str">
        <f t="array" ref="BH139">IF($A139="","",IFERROR(INDEX(CS!$B$1:$B$15025,MATCH($A139,CS!$B:$B,0)+COLUMN(B$1),1),""))</f>
        <v/>
      </c>
      <c r="BI139" s="37" t="str">
        <f t="array" ref="BI139">IF($A139="","",IFERROR(INDEX(CS!$B$1:$B$15025,MATCH($A139,CS!$B:$B,0)+COLUMN(C$1),1),""))</f>
        <v>魔法の石</v>
      </c>
      <c r="BJ139" s="37" t="str">
        <f t="array" ref="BJ139">IF($A139="","",IFERROR(INDEX(CS!$B$1:$B$15025,MATCH($A139,CS!$B:$B,0)+COLUMN(D$1),1),""))</f>
        <v/>
      </c>
      <c r="BK139" s="37" t="str">
        <f t="array" ref="BK139">IF($A139="","",IFERROR(INDEX(CS!$B$1:$B$15025,MATCH($A139,CS!$B:$B,0)+COLUMN(E$1),1),""))</f>
        <v>石の適用</v>
      </c>
      <c r="BL139" s="37" t="str">
        <f t="array" ref="BL139">IF($A139="","",IFERROR(INDEX(CS!$B$1:$B$15025,MATCH($A139,CS!$B:$B,0)+COLUMN(F$1),1),""))</f>
        <v/>
      </c>
      <c r="BM139" s="37" t="str">
        <f t="array" ref="BM139">IF($A139="","",IFERROR(INDEX(CS!$B$1:$B$15025,MATCH($A139,CS!$B:$B,0)+COLUMN(G$1),1),""))</f>
        <v>水晶片</v>
      </c>
      <c r="BN139" s="37" t="str">
        <f t="array" ref="BN139">IF($A139="","",IFERROR(INDEX(CS!$B$1:$B$15025,MATCH($A139,CS!$B:$B,0)+COLUMN(H$1),1),""))</f>
        <v/>
      </c>
      <c r="BO139" s="37" t="str">
        <f t="array" ref="BO139">IF($A139="","",IFERROR(INDEX(CS!$B$1:$B$15025,MATCH($A139,CS!$B:$B,0)+COLUMN(I$1),1),""))</f>
        <v>地強化</v>
      </c>
      <c r="BP139" s="37" t="str">
        <f t="array" ref="BP139">IF($A139="","",IFERROR(INDEX(CS!$B$1:$B$15025,MATCH($A139,CS!$B:$B,0)+COLUMN(J$1),1),""))</f>
        <v>岩砕撃</v>
      </c>
      <c r="BR139" s="39" t="s">
        <v>2845</v>
      </c>
      <c r="BS139" s="74"/>
      <c r="CG139" s="37" t="s">
        <v>2800</v>
      </c>
      <c r="CJ139" s="37" t="s">
        <v>2801</v>
      </c>
      <c r="CK139" s="37" t="s">
        <v>2802</v>
      </c>
      <c r="CN139" s="37" t="s">
        <v>1102</v>
      </c>
      <c r="CQ139" s="37"/>
      <c r="CR139" s="37"/>
    </row>
    <row r="140" ht="18.75" customHeight="1">
      <c r="B140" s="71"/>
      <c r="D140" s="72"/>
      <c r="K140" s="73"/>
      <c r="P140" s="37" t="s">
        <v>29</v>
      </c>
      <c r="Q140" s="64"/>
      <c r="R140" s="64"/>
      <c r="S140" s="64"/>
      <c r="T140" s="64"/>
      <c r="U140" s="64"/>
      <c r="V140" s="64"/>
      <c r="W140" s="64"/>
      <c r="X140" s="64"/>
      <c r="Y140" s="64"/>
      <c r="Z140" s="64"/>
      <c r="AA140" s="64"/>
      <c r="AJ140" s="37" t="s">
        <v>29</v>
      </c>
      <c r="AK140" s="37" t="s">
        <v>29</v>
      </c>
      <c r="AL140" s="37" t="s">
        <v>29</v>
      </c>
      <c r="AM140" s="37" t="s">
        <v>29</v>
      </c>
      <c r="AN140" s="37" t="s">
        <v>29</v>
      </c>
      <c r="AO140" s="37" t="s">
        <v>29</v>
      </c>
      <c r="AP140" s="37" t="s">
        <v>29</v>
      </c>
      <c r="AQ140" s="37" t="s">
        <v>29</v>
      </c>
      <c r="AR140" s="37" t="s">
        <v>29</v>
      </c>
      <c r="AS140" s="37" t="s">
        <v>29</v>
      </c>
      <c r="AT140" s="37" t="s">
        <v>29</v>
      </c>
      <c r="AU140" s="37" t="s">
        <v>29</v>
      </c>
      <c r="AV140" s="37" t="s">
        <v>29</v>
      </c>
      <c r="AW140" s="37" t="s">
        <v>29</v>
      </c>
      <c r="AX140" s="37" t="s">
        <v>29</v>
      </c>
      <c r="AY140" s="37" t="s">
        <v>29</v>
      </c>
      <c r="AZ140" s="37" t="s">
        <v>29</v>
      </c>
      <c r="BG140" s="37" t="str">
        <f t="array" ref="BG140">IF($A140="","", INDEX(CS!$B$1:$B$15025,MATCH($A140,CS!$B:$B,0)+COLUMN(A$1),1))</f>
        <v/>
      </c>
      <c r="BH140" s="37" t="str">
        <f t="array" ref="BH140">IF($A140="","", INDEX(CS!$B$1:$B$15025,MATCH($A140,CS!$B:$B,0)+COLUMN(B$1),1))</f>
        <v/>
      </c>
      <c r="BI140" s="37" t="str">
        <f t="array" ref="BI140">IF($A140="","", INDEX(CS!$B$1:$B$15025,MATCH($A140,CS!$B:$B,0)+COLUMN(C$1),1))</f>
        <v/>
      </c>
      <c r="BJ140" s="37" t="str">
        <f t="array" ref="BJ140">IF($A140="","", INDEX(CS!$B$1:$B$15025,MATCH($A140,CS!$B:$B,0)+COLUMN(D$1),1))</f>
        <v/>
      </c>
      <c r="BK140" s="37" t="str">
        <f t="array" ref="BK140">IF($A140="","", INDEX(CS!$B$1:$B$15025,MATCH($A140,CS!$B:$B,0)+COLUMN(E$1),1))</f>
        <v/>
      </c>
      <c r="BL140" s="37" t="str">
        <f t="array" ref="BL140">IF($A140="","", INDEX(CS!$B$1:$B$15025,MATCH($A140,CS!$B:$B,0)+COLUMN(F$1),1))</f>
        <v/>
      </c>
      <c r="BM140" s="37" t="str">
        <f t="array" ref="BM140">IF($A140="","", INDEX(CS!$B$1:$B$15025,MATCH($A140,CS!$B:$B,0)+COLUMN(G$1),1))</f>
        <v/>
      </c>
      <c r="BN140" s="37" t="str">
        <f t="array" ref="BN140">IF($A140="","", INDEX(CS!$B$1:$B$15025,MATCH($A140,CS!$B:$B,0)+COLUMN(H$1),1))</f>
        <v/>
      </c>
      <c r="BO140" s="37" t="str">
        <f t="array" ref="BO140">IF($A140="","", INDEX(CS!$B$1:$B$15025,MATCH($A140,CS!$B:$B,0)+COLUMN(I$1),1))</f>
        <v/>
      </c>
      <c r="BP140" s="37" t="str">
        <f t="array" ref="BP140">IF($A140="","", INDEX(CS!$B$1:$B$15025,MATCH($A140,CS!$B:$B,0)+COLUMN(J$1),1))</f>
        <v/>
      </c>
      <c r="BS140" s="74"/>
      <c r="CI140" s="37" t="s">
        <v>2828</v>
      </c>
      <c r="CJ140" s="37" t="s">
        <v>2809</v>
      </c>
      <c r="CK140" s="37" t="s">
        <v>2802</v>
      </c>
      <c r="CQ140" s="37"/>
      <c r="CR140" s="37"/>
    </row>
    <row r="141" ht="18.75" customHeight="1">
      <c r="B141" s="85" t="s">
        <v>2846</v>
      </c>
      <c r="D141" s="72" t="str">
        <f t="shared" ref="D141:D151" si="5">SUM(AJ141:AZ141,F141:N141)&amp;"/"&amp;SUM(F141:N141)&amp;"/"&amp;SUM(AJ141:AZ141)</f>
        <v>0/0/0</v>
      </c>
      <c r="E141" s="37">
        <v>1.0</v>
      </c>
      <c r="K141" s="73"/>
      <c r="P141" s="37" t="s">
        <v>29</v>
      </c>
      <c r="Q141" s="64"/>
      <c r="R141" s="64"/>
      <c r="S141" s="64"/>
      <c r="T141" s="64"/>
      <c r="U141" s="64"/>
      <c r="V141" s="64"/>
      <c r="W141" s="64"/>
      <c r="X141" s="64"/>
      <c r="Y141" s="64"/>
      <c r="Z141" s="64"/>
      <c r="AA141" s="64"/>
      <c r="AJ141" s="37" t="s">
        <v>29</v>
      </c>
      <c r="AK141" s="37" t="s">
        <v>29</v>
      </c>
      <c r="AL141" s="37" t="s">
        <v>29</v>
      </c>
      <c r="AM141" s="37" t="s">
        <v>29</v>
      </c>
      <c r="AN141" s="37" t="s">
        <v>29</v>
      </c>
      <c r="AO141" s="37" t="s">
        <v>29</v>
      </c>
      <c r="AP141" s="37" t="s">
        <v>29</v>
      </c>
      <c r="AQ141" s="37" t="s">
        <v>29</v>
      </c>
      <c r="AR141" s="37" t="s">
        <v>29</v>
      </c>
      <c r="AS141" s="37" t="s">
        <v>29</v>
      </c>
      <c r="AT141" s="37" t="s">
        <v>29</v>
      </c>
      <c r="AU141" s="37" t="s">
        <v>29</v>
      </c>
      <c r="AV141" s="37" t="s">
        <v>29</v>
      </c>
      <c r="AW141" s="37" t="s">
        <v>29</v>
      </c>
      <c r="AX141" s="37" t="s">
        <v>29</v>
      </c>
      <c r="AY141" s="37" t="s">
        <v>29</v>
      </c>
      <c r="AZ141" s="37" t="s">
        <v>29</v>
      </c>
      <c r="BG141" s="37" t="str">
        <f t="array" ref="BG141">IF($A141="","", INDEX(CS!$B$1:$B$15025,MATCH($A141,CS!$B:$B,0)+COLUMN(A$1),1))</f>
        <v/>
      </c>
      <c r="BH141" s="37" t="str">
        <f t="array" ref="BH141">IF($A141="","", INDEX(CS!$B$1:$B$15025,MATCH($A141,CS!$B:$B,0)+COLUMN(B$1),1))</f>
        <v/>
      </c>
      <c r="BI141" s="37" t="str">
        <f t="array" ref="BI141">IF($A141="","", INDEX(CS!$B$1:$B$15025,MATCH($A141,CS!$B:$B,0)+COLUMN(C$1),1))</f>
        <v/>
      </c>
      <c r="BJ141" s="37" t="str">
        <f t="array" ref="BJ141">IF($A141="","", INDEX(CS!$B$1:$B$15025,MATCH($A141,CS!$B:$B,0)+COLUMN(D$1),1))</f>
        <v/>
      </c>
      <c r="BK141" s="37" t="str">
        <f t="array" ref="BK141">IF($A141="","", INDEX(CS!$B$1:$B$15025,MATCH($A141,CS!$B:$B,0)+COLUMN(E$1),1))</f>
        <v/>
      </c>
      <c r="BL141" s="37" t="str">
        <f t="array" ref="BL141">IF($A141="","", INDEX(CS!$B$1:$B$15025,MATCH($A141,CS!$B:$B,0)+COLUMN(F$1),1))</f>
        <v/>
      </c>
      <c r="BM141" s="37" t="str">
        <f t="array" ref="BM141">IF($A141="","", INDEX(CS!$B$1:$B$15025,MATCH($A141,CS!$B:$B,0)+COLUMN(G$1),1))</f>
        <v/>
      </c>
      <c r="BN141" s="37" t="str">
        <f t="array" ref="BN141">IF($A141="","", INDEX(CS!$B$1:$B$15025,MATCH($A141,CS!$B:$B,0)+COLUMN(H$1),1))</f>
        <v/>
      </c>
      <c r="BO141" s="37" t="str">
        <f t="array" ref="BO141">IF($A141="","", INDEX(CS!$B$1:$B$15025,MATCH($A141,CS!$B:$B,0)+COLUMN(I$1),1))</f>
        <v/>
      </c>
      <c r="BP141" s="37" t="str">
        <f t="array" ref="BP141">IF($A141="","", INDEX(CS!$B$1:$B$15025,MATCH($A141,CS!$B:$B,0)+COLUMN(J$1),1))</f>
        <v/>
      </c>
      <c r="BS141" s="74"/>
      <c r="CQ141" s="37"/>
      <c r="CR141" s="37"/>
    </row>
    <row r="142" ht="18.75" customHeight="1" outlineLevel="1">
      <c r="A142" s="37" t="s">
        <v>2234</v>
      </c>
      <c r="B142" s="71" t="s">
        <v>2235</v>
      </c>
      <c r="C142" s="39" t="s">
        <v>2812</v>
      </c>
      <c r="D142" s="72" t="str">
        <f t="shared" si="5"/>
        <v>710/445/265</v>
      </c>
      <c r="E142" s="37">
        <v>1.0</v>
      </c>
      <c r="F142" s="37">
        <v>75.0</v>
      </c>
      <c r="I142" s="37">
        <v>75.0</v>
      </c>
      <c r="J142" s="37">
        <v>50.0</v>
      </c>
      <c r="K142" s="73">
        <v>25.0</v>
      </c>
      <c r="L142" s="37">
        <v>50.0</v>
      </c>
      <c r="M142" s="37">
        <v>85.0</v>
      </c>
      <c r="N142" s="37">
        <v>85.0</v>
      </c>
      <c r="P142" s="37">
        <v>0.0</v>
      </c>
      <c r="Q142" s="64"/>
      <c r="R142" s="64"/>
      <c r="S142" s="64"/>
      <c r="T142" s="64"/>
      <c r="U142" s="64"/>
      <c r="V142" s="64"/>
      <c r="W142" s="64"/>
      <c r="X142" s="64"/>
      <c r="Y142" s="64"/>
      <c r="Z142" s="64"/>
      <c r="AA142" s="64"/>
      <c r="AJ142" s="37">
        <v>0.0</v>
      </c>
      <c r="AK142" s="37">
        <v>0.0</v>
      </c>
      <c r="AL142" s="37">
        <v>0.0</v>
      </c>
      <c r="AM142" s="37">
        <v>50.0</v>
      </c>
      <c r="AN142" s="37">
        <v>65.0</v>
      </c>
      <c r="AO142" s="37">
        <v>0.0</v>
      </c>
      <c r="AP142" s="37">
        <v>0.0</v>
      </c>
      <c r="AQ142" s="37">
        <v>75.0</v>
      </c>
      <c r="AR142" s="37">
        <v>75.0</v>
      </c>
      <c r="AS142" s="37">
        <v>0.0</v>
      </c>
      <c r="AT142" s="37">
        <v>0.0</v>
      </c>
      <c r="AU142" s="37">
        <v>0.0</v>
      </c>
      <c r="AV142" s="37">
        <v>0.0</v>
      </c>
      <c r="AW142" s="37">
        <v>0.0</v>
      </c>
      <c r="AX142" s="37">
        <v>0.0</v>
      </c>
      <c r="AY142" s="37">
        <v>0.0</v>
      </c>
      <c r="AZ142" s="37">
        <v>0.0</v>
      </c>
      <c r="BG142" s="37" t="str">
        <f t="array" ref="BG142">IF($A142="","", INDEX(CS!$B$1:$B$15025,MATCH($A142,CS!$B:$B,0)+COLUMN(A$1),1))</f>
        <v>急所撃</v>
      </c>
      <c r="BH142" s="37" t="str">
        <f t="array" ref="BH142">IF($A142="","", INDEX(CS!$B$1:$B$15025,MATCH($A142,CS!$B:$B,0)+COLUMN(B$1),1))</f>
        <v>狙い</v>
      </c>
      <c r="BI142" s="37" t="str">
        <f t="array" ref="BI142">IF($A142="","", INDEX(CS!$B$1:$B$15025,MATCH($A142,CS!$B:$B,0)+COLUMN(C$1),1))</f>
        <v>隠密</v>
      </c>
      <c r="BJ142" s="37" t="str">
        <f t="array" ref="BJ142">IF($A142="","", INDEX(CS!$B$1:$B$15025,MATCH($A142,CS!$B:$B,0)+COLUMN(D$1),1))</f>
        <v>痛撃</v>
      </c>
      <c r="BK142" s="37" t="str">
        <f t="array" ref="BK142">IF($A142="","", INDEX(CS!$B$1:$B$15025,MATCH($A142,CS!$B:$B,0)+COLUMN(E$1),1))</f>
        <v>野生感覚</v>
      </c>
      <c r="BL142" s="37" t="str">
        <f t="array" ref="BL142">IF($A142="","", INDEX(CS!$B$1:$B$15025,MATCH($A142,CS!$B:$B,0)+COLUMN(F$1),1))</f>
        <v/>
      </c>
      <c r="BM142" s="37" t="str">
        <f t="array" ref="BM142">IF($A142="","", INDEX(CS!$B$1:$B$15025,MATCH($A142,CS!$B:$B,0)+COLUMN(G$1),1))</f>
        <v>空撃</v>
      </c>
      <c r="BN142" s="37" t="str">
        <f t="array" ref="BN142">IF($A142="","", INDEX(CS!$B$1:$B$15025,MATCH($A142,CS!$B:$B,0)+COLUMN(H$1),1))</f>
        <v/>
      </c>
      <c r="BO142" s="37" t="str">
        <f t="array" ref="BO142">IF($A142="","", INDEX(CS!$B$1:$B$15025,MATCH($A142,CS!$B:$B,0)+COLUMN(I$1),1))</f>
        <v/>
      </c>
      <c r="BP142" s="37" t="str">
        <f t="array" ref="BP142">IF($A142="","", INDEX(CS!$B$1:$B$15025,MATCH($A142,CS!$B:$B,0)+COLUMN(J$1),1))</f>
        <v>斥候の極意</v>
      </c>
      <c r="BS142" s="74"/>
      <c r="CG142" s="37" t="s">
        <v>2813</v>
      </c>
      <c r="CJ142" s="37" t="s">
        <v>2809</v>
      </c>
      <c r="CK142" s="37" t="s">
        <v>2802</v>
      </c>
      <c r="CN142" s="37" t="s">
        <v>2814</v>
      </c>
      <c r="CQ142" s="37"/>
      <c r="CR142" s="37"/>
    </row>
    <row r="143" ht="18.75" customHeight="1" outlineLevel="1">
      <c r="A143" s="37" t="s">
        <v>2238</v>
      </c>
      <c r="B143" s="71" t="s">
        <v>2235</v>
      </c>
      <c r="C143" s="39" t="s">
        <v>2812</v>
      </c>
      <c r="D143" s="72" t="str">
        <f t="shared" si="5"/>
        <v>710/445/265</v>
      </c>
      <c r="E143" s="37">
        <v>1.0</v>
      </c>
      <c r="F143" s="37">
        <v>75.0</v>
      </c>
      <c r="I143" s="37">
        <v>75.0</v>
      </c>
      <c r="J143" s="37">
        <v>50.0</v>
      </c>
      <c r="K143" s="73">
        <v>25.0</v>
      </c>
      <c r="L143" s="37">
        <v>50.0</v>
      </c>
      <c r="M143" s="37">
        <v>85.0</v>
      </c>
      <c r="N143" s="37">
        <v>85.0</v>
      </c>
      <c r="P143" s="37">
        <v>0.0</v>
      </c>
      <c r="Q143" s="64"/>
      <c r="R143" s="64"/>
      <c r="S143" s="64"/>
      <c r="T143" s="64"/>
      <c r="U143" s="64"/>
      <c r="V143" s="64"/>
      <c r="W143" s="64"/>
      <c r="X143" s="64"/>
      <c r="Y143" s="64"/>
      <c r="Z143" s="64"/>
      <c r="AA143" s="64"/>
      <c r="AJ143" s="37">
        <v>0.0</v>
      </c>
      <c r="AK143" s="37">
        <v>25.0</v>
      </c>
      <c r="AL143" s="37">
        <v>0.0</v>
      </c>
      <c r="AM143" s="37">
        <v>50.0</v>
      </c>
      <c r="AN143" s="37">
        <v>25.0</v>
      </c>
      <c r="AO143" s="37">
        <v>0.0</v>
      </c>
      <c r="AP143" s="37">
        <v>0.0</v>
      </c>
      <c r="AQ143" s="37">
        <v>90.0</v>
      </c>
      <c r="AR143" s="37">
        <v>75.0</v>
      </c>
      <c r="AS143" s="37">
        <v>0.0</v>
      </c>
      <c r="AT143" s="37">
        <v>0.0</v>
      </c>
      <c r="AU143" s="37">
        <v>0.0</v>
      </c>
      <c r="AV143" s="37">
        <v>0.0</v>
      </c>
      <c r="AW143" s="37">
        <v>0.0</v>
      </c>
      <c r="AX143" s="37">
        <v>0.0</v>
      </c>
      <c r="AY143" s="37">
        <v>0.0</v>
      </c>
      <c r="AZ143" s="37">
        <v>0.0</v>
      </c>
      <c r="BG143" s="37" t="str">
        <f t="array" ref="BG143">IF($A143="","",IFERROR(INDEX(CS!$B$1:$B$15025,MATCH($A143,CS!$B:$B,0)+COLUMN(A$1),1),""))</f>
        <v>潜伏</v>
      </c>
      <c r="BH143" s="37" t="str">
        <f t="array" ref="BH143">IF($A143="","",IFERROR(INDEX(CS!$B$1:$B$15025,MATCH($A143,CS!$B:$B,0)+COLUMN(B$1),1),""))</f>
        <v/>
      </c>
      <c r="BI143" s="37" t="str">
        <f t="array" ref="BI143">IF($A143="","",IFERROR(INDEX(CS!$B$1:$B$15025,MATCH($A143,CS!$B:$B,0)+COLUMN(C$1),1),""))</f>
        <v>悪知恵</v>
      </c>
      <c r="BJ143" s="37" t="str">
        <f t="array" ref="BJ143">IF($A143="","",IFERROR(INDEX(CS!$B$1:$B$15025,MATCH($A143,CS!$B:$B,0)+COLUMN(D$1),1),""))</f>
        <v/>
      </c>
      <c r="BK143" s="37" t="str">
        <f t="array" ref="BK143">IF($A143="","",IFERROR(INDEX(CS!$B$1:$B$15025,MATCH($A143,CS!$B:$B,0)+COLUMN(E$1),1),""))</f>
        <v>狙い</v>
      </c>
      <c r="BL143" s="37" t="str">
        <f t="array" ref="BL143">IF($A143="","",IFERROR(INDEX(CS!$B$1:$B$15025,MATCH($A143,CS!$B:$B,0)+COLUMN(F$1),1),""))</f>
        <v/>
      </c>
      <c r="BM143" s="37" t="str">
        <f t="array" ref="BM143">IF($A143="","",IFERROR(INDEX(CS!$B$1:$B$15025,MATCH($A143,CS!$B:$B,0)+COLUMN(G$1),1),""))</f>
        <v>奇襲</v>
      </c>
      <c r="BN143" s="37" t="str">
        <f t="array" ref="BN143">IF($A143="","",IFERROR(INDEX(CS!$B$1:$B$15025,MATCH($A143,CS!$B:$B,0)+COLUMN(H$1),1),""))</f>
        <v/>
      </c>
      <c r="BO143" s="37" t="str">
        <f t="array" ref="BO143">IF($A143="","",IFERROR(INDEX(CS!$B$1:$B$15025,MATCH($A143,CS!$B:$B,0)+COLUMN(I$1),1),""))</f>
        <v>痛撃</v>
      </c>
      <c r="BP143" s="37" t="str">
        <f t="array" ref="BP143">IF($A143="","",IFERROR(INDEX(CS!$B$1:$B$15025,MATCH($A143,CS!$B:$B,0)+COLUMN(J$1),1),""))</f>
        <v>狡猾</v>
      </c>
      <c r="BS143" s="74"/>
      <c r="BT143" s="39" t="s">
        <v>2847</v>
      </c>
      <c r="CG143" s="37" t="s">
        <v>2813</v>
      </c>
      <c r="CJ143" s="37" t="s">
        <v>2809</v>
      </c>
      <c r="CK143" s="37" t="s">
        <v>2802</v>
      </c>
      <c r="CN143" s="37" t="s">
        <v>2814</v>
      </c>
      <c r="CQ143" s="37"/>
      <c r="CR143" s="37"/>
    </row>
    <row r="144" ht="18.75" customHeight="1" outlineLevel="1">
      <c r="A144" s="39" t="s">
        <v>2240</v>
      </c>
      <c r="B144" s="71"/>
      <c r="C144" s="39" t="s">
        <v>2812</v>
      </c>
      <c r="D144" s="72" t="str">
        <f t="shared" si="5"/>
        <v>725/460/265</v>
      </c>
      <c r="E144" s="39">
        <v>2.0</v>
      </c>
      <c r="F144" s="39">
        <v>75.0</v>
      </c>
      <c r="I144" s="39">
        <v>80.0</v>
      </c>
      <c r="J144" s="39">
        <v>50.0</v>
      </c>
      <c r="K144" s="87">
        <v>25.0</v>
      </c>
      <c r="L144" s="39">
        <v>50.0</v>
      </c>
      <c r="M144" s="39">
        <v>90.0</v>
      </c>
      <c r="N144" s="39">
        <v>90.0</v>
      </c>
      <c r="P144" s="39">
        <v>-25.0</v>
      </c>
      <c r="Q144" s="64"/>
      <c r="R144" s="64"/>
      <c r="S144" s="64"/>
      <c r="T144" s="64"/>
      <c r="U144" s="64"/>
      <c r="V144" s="64"/>
      <c r="W144" s="64"/>
      <c r="X144" s="64"/>
      <c r="Y144" s="64"/>
      <c r="Z144" s="64"/>
      <c r="AA144" s="64"/>
      <c r="AJ144" s="37">
        <v>0.0</v>
      </c>
      <c r="AK144" s="37">
        <v>25.0</v>
      </c>
      <c r="AL144" s="37">
        <v>0.0</v>
      </c>
      <c r="AM144" s="37">
        <v>50.0</v>
      </c>
      <c r="AN144" s="37">
        <v>25.0</v>
      </c>
      <c r="AO144" s="37">
        <v>0.0</v>
      </c>
      <c r="AP144" s="37">
        <v>0.0</v>
      </c>
      <c r="AQ144" s="37">
        <v>90.0</v>
      </c>
      <c r="AR144" s="37">
        <v>75.0</v>
      </c>
      <c r="AS144" s="37">
        <v>0.0</v>
      </c>
      <c r="AT144" s="37">
        <v>0.0</v>
      </c>
      <c r="AU144" s="37">
        <v>0.0</v>
      </c>
      <c r="AV144" s="37">
        <v>0.0</v>
      </c>
      <c r="AW144" s="37">
        <v>0.0</v>
      </c>
      <c r="AX144" s="37">
        <v>0.0</v>
      </c>
      <c r="AY144" s="37">
        <v>0.0</v>
      </c>
      <c r="AZ144" s="37">
        <v>0.0</v>
      </c>
      <c r="BG144" s="37" t="str">
        <f t="array" ref="BG144">IF($A144="","",IFERROR(INDEX(CS!$B$1:$B$15025,MATCH($A144,CS!$B:$B,0)+COLUMN(A$1),1),""))</f>
        <v>急所撃</v>
      </c>
      <c r="BH144" s="37" t="str">
        <f t="array" ref="BH144">IF($A144="","",IFERROR(INDEX(CS!$B$1:$B$15025,MATCH($A144,CS!$B:$B,0)+COLUMN(B$1),1),""))</f>
        <v/>
      </c>
      <c r="BI144" s="37" t="str">
        <f t="array" ref="BI144">IF($A144="","",IFERROR(INDEX(CS!$B$1:$B$15025,MATCH($A144,CS!$B:$B,0)+COLUMN(C$1),1),""))</f>
        <v>潜伏</v>
      </c>
      <c r="BJ144" s="37" t="str">
        <f t="array" ref="BJ144">IF($A144="","",IFERROR(INDEX(CS!$B$1:$B$15025,MATCH($A144,CS!$B:$B,0)+COLUMN(D$1),1),""))</f>
        <v/>
      </c>
      <c r="BK144" s="37" t="str">
        <f t="array" ref="BK144">IF($A144="","",IFERROR(INDEX(CS!$B$1:$B$15025,MATCH($A144,CS!$B:$B,0)+COLUMN(E$1),1),""))</f>
        <v>痛撃</v>
      </c>
      <c r="BL144" s="37" t="str">
        <f t="array" ref="BL144">IF($A144="","",IFERROR(INDEX(CS!$B$1:$B$15025,MATCH($A144,CS!$B:$B,0)+COLUMN(F$1),1),""))</f>
        <v/>
      </c>
      <c r="BM144" s="37" t="str">
        <f t="array" ref="BM144">IF($A144="","",IFERROR(INDEX(CS!$B$1:$B$15025,MATCH($A144,CS!$B:$B,0)+COLUMN(G$1),1),""))</f>
        <v>奇襲</v>
      </c>
      <c r="BN144" s="37" t="str">
        <f t="array" ref="BN144">IF($A144="","",IFERROR(INDEX(CS!$B$1:$B$15025,MATCH($A144,CS!$B:$B,0)+COLUMN(H$1),1),""))</f>
        <v/>
      </c>
      <c r="BO144" s="37" t="str">
        <f t="array" ref="BO144">IF($A144="","",IFERROR(INDEX(CS!$B$1:$B$15025,MATCH($A144,CS!$B:$B,0)+COLUMN(I$1),1),""))</f>
        <v>狙い</v>
      </c>
      <c r="BP144" s="37" t="str">
        <f t="array" ref="BP144">IF($A144="","",IFERROR(INDEX(CS!$B$1:$B$15025,MATCH($A144,CS!$B:$B,0)+COLUMN(J$1),1),""))</f>
        <v>暗殺術</v>
      </c>
      <c r="BR144" s="39" t="s">
        <v>2848</v>
      </c>
      <c r="BS144" s="74"/>
      <c r="CG144" s="37" t="s">
        <v>2813</v>
      </c>
      <c r="CJ144" s="37" t="s">
        <v>2809</v>
      </c>
      <c r="CK144" s="37" t="s">
        <v>2802</v>
      </c>
      <c r="CN144" s="37" t="s">
        <v>2814</v>
      </c>
      <c r="CQ144" s="37"/>
      <c r="CR144" s="37"/>
    </row>
    <row r="145" ht="18.75" customHeight="1" outlineLevel="1">
      <c r="A145" s="39" t="s">
        <v>2243</v>
      </c>
      <c r="B145" s="71"/>
      <c r="C145" s="39" t="s">
        <v>2812</v>
      </c>
      <c r="D145" s="72" t="str">
        <f t="shared" si="5"/>
        <v>740/475/265</v>
      </c>
      <c r="E145" s="39">
        <v>3.0</v>
      </c>
      <c r="F145" s="39">
        <v>75.0</v>
      </c>
      <c r="I145" s="39">
        <v>85.0</v>
      </c>
      <c r="J145" s="39">
        <v>50.0</v>
      </c>
      <c r="K145" s="87">
        <v>25.0</v>
      </c>
      <c r="L145" s="39">
        <v>50.0</v>
      </c>
      <c r="M145" s="39">
        <v>95.0</v>
      </c>
      <c r="N145" s="39">
        <v>95.0</v>
      </c>
      <c r="P145" s="39">
        <v>-50.0</v>
      </c>
      <c r="Q145" s="64"/>
      <c r="R145" s="64"/>
      <c r="S145" s="64"/>
      <c r="T145" s="64"/>
      <c r="U145" s="64"/>
      <c r="V145" s="64"/>
      <c r="W145" s="64"/>
      <c r="X145" s="64"/>
      <c r="Y145" s="64"/>
      <c r="Z145" s="64"/>
      <c r="AA145" s="64"/>
      <c r="AJ145" s="37">
        <v>0.0</v>
      </c>
      <c r="AK145" s="37">
        <v>25.0</v>
      </c>
      <c r="AL145" s="37">
        <v>0.0</v>
      </c>
      <c r="AM145" s="37">
        <v>50.0</v>
      </c>
      <c r="AN145" s="37">
        <v>25.0</v>
      </c>
      <c r="AO145" s="37">
        <v>0.0</v>
      </c>
      <c r="AP145" s="37">
        <v>0.0</v>
      </c>
      <c r="AQ145" s="37">
        <v>90.0</v>
      </c>
      <c r="AR145" s="37">
        <v>75.0</v>
      </c>
      <c r="AS145" s="37">
        <v>0.0</v>
      </c>
      <c r="AT145" s="37">
        <v>0.0</v>
      </c>
      <c r="AU145" s="37">
        <v>0.0</v>
      </c>
      <c r="AV145" s="37">
        <v>0.0</v>
      </c>
      <c r="AW145" s="37">
        <v>0.0</v>
      </c>
      <c r="AX145" s="37">
        <v>0.0</v>
      </c>
      <c r="AY145" s="37">
        <v>0.0</v>
      </c>
      <c r="AZ145" s="37">
        <v>0.0</v>
      </c>
      <c r="BG145" s="37" t="str">
        <f t="array" ref="BG145">IF($A145="","",IFERROR(INDEX(CS!$B$1:$B$15025,MATCH($A145,CS!$B:$B,0)+COLUMN(A$1),1),""))</f>
        <v>奇襲</v>
      </c>
      <c r="BH145" s="37" t="str">
        <f t="array" ref="BH145">IF($A145="","",IFERROR(INDEX(CS!$B$1:$B$15025,MATCH($A145,CS!$B:$B,0)+COLUMN(B$1),1),""))</f>
        <v/>
      </c>
      <c r="BI145" s="37" t="str">
        <f t="array" ref="BI145">IF($A145="","",IFERROR(INDEX(CS!$B$1:$B$15025,MATCH($A145,CS!$B:$B,0)+COLUMN(C$1),1),""))</f>
        <v>暗殺術</v>
      </c>
      <c r="BJ145" s="37" t="str">
        <f t="array" ref="BJ145">IF($A145="","",IFERROR(INDEX(CS!$B$1:$B$15025,MATCH($A145,CS!$B:$B,0)+COLUMN(D$1),1),""))</f>
        <v/>
      </c>
      <c r="BK145" s="37" t="str">
        <f t="array" ref="BK145">IF($A145="","",IFERROR(INDEX(CS!$B$1:$B$15025,MATCH($A145,CS!$B:$B,0)+COLUMN(E$1),1),""))</f>
        <v>狙い</v>
      </c>
      <c r="BL145" s="37" t="str">
        <f t="array" ref="BL145">IF($A145="","",IFERROR(INDEX(CS!$B$1:$B$15025,MATCH($A145,CS!$B:$B,0)+COLUMN(F$1),1),""))</f>
        <v/>
      </c>
      <c r="BM145" s="37" t="str">
        <f t="array" ref="BM145">IF($A145="","",IFERROR(INDEX(CS!$B$1:$B$15025,MATCH($A145,CS!$B:$B,0)+COLUMN(G$1),1),""))</f>
        <v>急所撃</v>
      </c>
      <c r="BN145" s="37" t="str">
        <f t="array" ref="BN145">IF($A145="","",IFERROR(INDEX(CS!$B$1:$B$15025,MATCH($A145,CS!$B:$B,0)+COLUMN(H$1),1),""))</f>
        <v/>
      </c>
      <c r="BO145" s="37" t="str">
        <f t="array" ref="BO145">IF($A145="","",IFERROR(INDEX(CS!$B$1:$B$15025,MATCH($A145,CS!$B:$B,0)+COLUMN(I$1),1),""))</f>
        <v>見極</v>
      </c>
      <c r="BP145" s="37" t="str">
        <f t="array" ref="BP145">IF($A145="","",IFERROR(INDEX(CS!$B$1:$B$15025,MATCH($A145,CS!$B:$B,0)+COLUMN(J$1),1),""))</f>
        <v>絶命撃</v>
      </c>
      <c r="BR145" s="39" t="s">
        <v>2849</v>
      </c>
      <c r="BS145" s="74"/>
      <c r="CG145" s="37" t="s">
        <v>2813</v>
      </c>
      <c r="CJ145" s="37" t="s">
        <v>2809</v>
      </c>
      <c r="CK145" s="37" t="s">
        <v>2802</v>
      </c>
      <c r="CN145" s="37" t="s">
        <v>2814</v>
      </c>
      <c r="CQ145" s="37"/>
      <c r="CR145" s="37"/>
    </row>
    <row r="146" ht="18.75" customHeight="1" outlineLevel="1">
      <c r="A146" s="39" t="s">
        <v>2246</v>
      </c>
      <c r="B146" s="71"/>
      <c r="C146" s="39" t="s">
        <v>2812</v>
      </c>
      <c r="D146" s="72" t="str">
        <f t="shared" si="5"/>
        <v>725/475/250</v>
      </c>
      <c r="E146" s="39">
        <v>2.0</v>
      </c>
      <c r="F146" s="39">
        <v>75.0</v>
      </c>
      <c r="I146" s="39">
        <v>80.0</v>
      </c>
      <c r="J146" s="39">
        <v>75.0</v>
      </c>
      <c r="K146" s="87">
        <v>25.0</v>
      </c>
      <c r="L146" s="39">
        <v>50.0</v>
      </c>
      <c r="M146" s="39">
        <v>80.0</v>
      </c>
      <c r="N146" s="39">
        <v>90.0</v>
      </c>
      <c r="P146" s="37">
        <v>0.0</v>
      </c>
      <c r="Q146" s="64"/>
      <c r="R146" s="64"/>
      <c r="S146" s="64"/>
      <c r="T146" s="64"/>
      <c r="U146" s="64"/>
      <c r="V146" s="64"/>
      <c r="W146" s="64"/>
      <c r="X146" s="64"/>
      <c r="Y146" s="64"/>
      <c r="Z146" s="64"/>
      <c r="AA146" s="64"/>
      <c r="AJ146" s="37">
        <v>0.0</v>
      </c>
      <c r="AK146" s="37">
        <v>0.0</v>
      </c>
      <c r="AL146" s="37">
        <v>0.0</v>
      </c>
      <c r="AM146" s="37">
        <v>50.0</v>
      </c>
      <c r="AN146" s="37">
        <v>35.0</v>
      </c>
      <c r="AO146" s="37">
        <v>0.0</v>
      </c>
      <c r="AP146" s="37">
        <v>0.0</v>
      </c>
      <c r="AQ146" s="37">
        <v>75.0</v>
      </c>
      <c r="AR146" s="37">
        <v>90.0</v>
      </c>
      <c r="AS146" s="37">
        <v>0.0</v>
      </c>
      <c r="AT146" s="37">
        <v>0.0</v>
      </c>
      <c r="AU146" s="37">
        <v>0.0</v>
      </c>
      <c r="AV146" s="37">
        <v>0.0</v>
      </c>
      <c r="AW146" s="37">
        <v>0.0</v>
      </c>
      <c r="AX146" s="37">
        <v>0.0</v>
      </c>
      <c r="AY146" s="37">
        <v>0.0</v>
      </c>
      <c r="AZ146" s="37">
        <v>0.0</v>
      </c>
      <c r="BG146" s="37" t="str">
        <f t="array" ref="BG146">IF($A146="","",IFERROR(INDEX(CS!$B$1:$B$15025,MATCH($A146,CS!$B:$B,0)+COLUMN(A$1),1),""))</f>
        <v>狙い</v>
      </c>
      <c r="BH146" s="37" t="str">
        <f t="array" ref="BH146">IF($A146="","",IFERROR(INDEX(CS!$B$1:$B$15025,MATCH($A146,CS!$B:$B,0)+COLUMN(B$1),1),""))</f>
        <v/>
      </c>
      <c r="BI146" s="37" t="str">
        <f t="array" ref="BI146">IF($A146="","",IFERROR(INDEX(CS!$B$1:$B$15025,MATCH($A146,CS!$B:$B,0)+COLUMN(C$1),1),""))</f>
        <v>野生感覚</v>
      </c>
      <c r="BJ146" s="37" t="str">
        <f t="array" ref="BJ146">IF($A146="","",IFERROR(INDEX(CS!$B$1:$B$15025,MATCH($A146,CS!$B:$B,0)+COLUMN(D$1),1),""))</f>
        <v/>
      </c>
      <c r="BK146" s="37" t="str">
        <f t="array" ref="BK146">IF($A146="","",IFERROR(INDEX(CS!$B$1:$B$15025,MATCH($A146,CS!$B:$B,0)+COLUMN(E$1),1),""))</f>
        <v>痛撃</v>
      </c>
      <c r="BL146" s="37" t="str">
        <f t="array" ref="BL146">IF($A146="","",IFERROR(INDEX(CS!$B$1:$B$15025,MATCH($A146,CS!$B:$B,0)+COLUMN(F$1),1),""))</f>
        <v/>
      </c>
      <c r="BM146" s="37" t="str">
        <f t="array" ref="BM146">IF($A146="","",IFERROR(INDEX(CS!$B$1:$B$15025,MATCH($A146,CS!$B:$B,0)+COLUMN(G$1),1),""))</f>
        <v>罠師</v>
      </c>
      <c r="BN146" s="37" t="str">
        <f t="array" ref="BN146">IF($A146="","",IFERROR(INDEX(CS!$B$1:$B$15025,MATCH($A146,CS!$B:$B,0)+COLUMN(H$1),1),""))</f>
        <v/>
      </c>
      <c r="BO146" s="37" t="str">
        <f t="array" ref="BO146">IF($A146="","",IFERROR(INDEX(CS!$B$1:$B$15025,MATCH($A146,CS!$B:$B,0)+COLUMN(I$1),1),""))</f>
        <v>空撃</v>
      </c>
      <c r="BP146" s="37" t="str">
        <f t="array" ref="BP146">IF($A146="","",IFERROR(INDEX(CS!$B$1:$B$15025,MATCH($A146,CS!$B:$B,0)+COLUMN(J$1),1),""))</f>
        <v>追跡術</v>
      </c>
      <c r="BR146" s="39" t="s">
        <v>2850</v>
      </c>
      <c r="BS146" s="74"/>
      <c r="CG146" s="37" t="s">
        <v>2815</v>
      </c>
      <c r="CJ146" s="37" t="s">
        <v>2809</v>
      </c>
      <c r="CK146" s="37" t="s">
        <v>2802</v>
      </c>
      <c r="CN146" s="37" t="s">
        <v>2814</v>
      </c>
      <c r="CQ146" s="37"/>
      <c r="CR146" s="37"/>
    </row>
    <row r="147" ht="18.75" customHeight="1" outlineLevel="1">
      <c r="A147" s="39" t="s">
        <v>2248</v>
      </c>
      <c r="B147" s="71"/>
      <c r="C147" s="39" t="s">
        <v>2812</v>
      </c>
      <c r="D147" s="72" t="str">
        <f t="shared" si="5"/>
        <v>740/490/250</v>
      </c>
      <c r="E147" s="39">
        <v>3.0</v>
      </c>
      <c r="F147" s="39">
        <v>75.0</v>
      </c>
      <c r="I147" s="39">
        <v>85.0</v>
      </c>
      <c r="J147" s="39">
        <v>75.0</v>
      </c>
      <c r="K147" s="87">
        <v>25.0</v>
      </c>
      <c r="L147" s="39">
        <v>50.0</v>
      </c>
      <c r="M147" s="39">
        <v>85.0</v>
      </c>
      <c r="N147" s="39">
        <v>95.0</v>
      </c>
      <c r="P147" s="37">
        <v>0.0</v>
      </c>
      <c r="Q147" s="64"/>
      <c r="R147" s="64"/>
      <c r="S147" s="64"/>
      <c r="T147" s="64"/>
      <c r="U147" s="64"/>
      <c r="V147" s="64"/>
      <c r="W147" s="64"/>
      <c r="X147" s="64"/>
      <c r="Y147" s="64"/>
      <c r="Z147" s="64"/>
      <c r="AA147" s="64"/>
      <c r="AJ147" s="37">
        <v>0.0</v>
      </c>
      <c r="AK147" s="37">
        <v>0.0</v>
      </c>
      <c r="AL147" s="37">
        <v>0.0</v>
      </c>
      <c r="AM147" s="37">
        <v>50.0</v>
      </c>
      <c r="AN147" s="37">
        <v>35.0</v>
      </c>
      <c r="AO147" s="37">
        <v>0.0</v>
      </c>
      <c r="AP147" s="37">
        <v>0.0</v>
      </c>
      <c r="AQ147" s="37">
        <v>75.0</v>
      </c>
      <c r="AR147" s="37">
        <v>90.0</v>
      </c>
      <c r="AS147" s="37">
        <v>0.0</v>
      </c>
      <c r="AT147" s="37">
        <v>0.0</v>
      </c>
      <c r="AU147" s="37">
        <v>0.0</v>
      </c>
      <c r="AV147" s="37">
        <v>0.0</v>
      </c>
      <c r="AW147" s="37">
        <v>0.0</v>
      </c>
      <c r="AX147" s="37">
        <v>0.0</v>
      </c>
      <c r="AY147" s="37">
        <v>0.0</v>
      </c>
      <c r="AZ147" s="37">
        <v>0.0</v>
      </c>
      <c r="BG147" s="37" t="str">
        <f t="array" ref="BG147">IF($A147="","",IFERROR(INDEX(CS!$B$1:$B$15025,MATCH($A147,CS!$B:$B,0)+COLUMN(A$1),1),""))</f>
        <v>狙い</v>
      </c>
      <c r="BH147" s="37" t="str">
        <f t="array" ref="BH147">IF($A147="","",IFERROR(INDEX(CS!$B$1:$B$15025,MATCH($A147,CS!$B:$B,0)+COLUMN(B$1),1),""))</f>
        <v/>
      </c>
      <c r="BI147" s="37" t="str">
        <f t="array" ref="BI147">IF($A147="","",IFERROR(INDEX(CS!$B$1:$B$15025,MATCH($A147,CS!$B:$B,0)+COLUMN(C$1),1),""))</f>
        <v>追跡術</v>
      </c>
      <c r="BJ147" s="37" t="str">
        <f t="array" ref="BJ147">IF($A147="","",IFERROR(INDEX(CS!$B$1:$B$15025,MATCH($A147,CS!$B:$B,0)+COLUMN(D$1),1),""))</f>
        <v/>
      </c>
      <c r="BK147" s="37" t="str">
        <f t="array" ref="BK147">IF($A147="","",IFERROR(INDEX(CS!$B$1:$B$15025,MATCH($A147,CS!$B:$B,0)+COLUMN(E$1),1),""))</f>
        <v>奇襲</v>
      </c>
      <c r="BL147" s="37" t="str">
        <f t="array" ref="BL147">IF($A147="","",IFERROR(INDEX(CS!$B$1:$B$15025,MATCH($A147,CS!$B:$B,0)+COLUMN(F$1),1),""))</f>
        <v/>
      </c>
      <c r="BM147" s="37" t="str">
        <f t="array" ref="BM147">IF($A147="","",IFERROR(INDEX(CS!$B$1:$B$15025,MATCH($A147,CS!$B:$B,0)+COLUMN(G$1),1),""))</f>
        <v>空撃</v>
      </c>
      <c r="BN147" s="37" t="str">
        <f t="array" ref="BN147">IF($A147="","",IFERROR(INDEX(CS!$B$1:$B$15025,MATCH($A147,CS!$B:$B,0)+COLUMN(H$1),1),""))</f>
        <v/>
      </c>
      <c r="BO147" s="37" t="str">
        <f t="array" ref="BO147">IF($A147="","",IFERROR(INDEX(CS!$B$1:$B$15025,MATCH($A147,CS!$B:$B,0)+COLUMN(I$1),1),""))</f>
        <v>罠師</v>
      </c>
      <c r="BP147" s="37" t="str">
        <f t="array" ref="BP147">IF($A147="","",IFERROR(INDEX(CS!$B$1:$B$15025,MATCH($A147,CS!$B:$B,0)+COLUMN(J$1),1),""))</f>
        <v>狩人の極意</v>
      </c>
      <c r="BR147" s="39" t="s">
        <v>2851</v>
      </c>
      <c r="BS147" s="74"/>
      <c r="CG147" s="37" t="s">
        <v>2815</v>
      </c>
      <c r="CJ147" s="37" t="s">
        <v>2809</v>
      </c>
      <c r="CK147" s="37" t="s">
        <v>2802</v>
      </c>
      <c r="CN147" s="37" t="s">
        <v>2814</v>
      </c>
      <c r="CQ147" s="37"/>
      <c r="CR147" s="37"/>
    </row>
    <row r="148" ht="18.75" customHeight="1" outlineLevel="1">
      <c r="A148" s="39" t="s">
        <v>2251</v>
      </c>
      <c r="B148" s="71"/>
      <c r="C148" s="39" t="s">
        <v>2812</v>
      </c>
      <c r="D148" s="72" t="str">
        <f t="shared" si="5"/>
        <v>760/470/290</v>
      </c>
      <c r="E148" s="39">
        <v>2.0</v>
      </c>
      <c r="F148" s="39">
        <v>75.0</v>
      </c>
      <c r="I148" s="39">
        <v>80.0</v>
      </c>
      <c r="J148" s="39">
        <v>70.0</v>
      </c>
      <c r="K148" s="87">
        <v>25.0</v>
      </c>
      <c r="L148" s="39">
        <v>55.0</v>
      </c>
      <c r="M148" s="39">
        <v>80.0</v>
      </c>
      <c r="N148" s="39">
        <v>85.0</v>
      </c>
      <c r="P148" s="37">
        <v>0.0</v>
      </c>
      <c r="Q148" s="64"/>
      <c r="R148" s="64"/>
      <c r="S148" s="64"/>
      <c r="T148" s="64"/>
      <c r="U148" s="64"/>
      <c r="V148" s="64"/>
      <c r="W148" s="64"/>
      <c r="X148" s="64"/>
      <c r="Y148" s="64"/>
      <c r="Z148" s="64"/>
      <c r="AA148" s="64"/>
      <c r="AJ148" s="37">
        <v>0.0</v>
      </c>
      <c r="AK148" s="37">
        <v>15.0</v>
      </c>
      <c r="AL148" s="37">
        <v>5.0</v>
      </c>
      <c r="AM148" s="37">
        <v>55.0</v>
      </c>
      <c r="AN148" s="37">
        <v>35.0</v>
      </c>
      <c r="AO148" s="37">
        <v>0.0</v>
      </c>
      <c r="AP148" s="37">
        <v>0.0</v>
      </c>
      <c r="AQ148" s="37">
        <v>90.0</v>
      </c>
      <c r="AR148" s="37">
        <v>90.0</v>
      </c>
      <c r="AS148" s="37">
        <v>0.0</v>
      </c>
      <c r="AT148" s="37">
        <v>0.0</v>
      </c>
      <c r="AU148" s="37">
        <v>0.0</v>
      </c>
      <c r="AV148" s="37">
        <v>0.0</v>
      </c>
      <c r="AW148" s="37">
        <v>0.0</v>
      </c>
      <c r="AX148" s="37">
        <v>0.0</v>
      </c>
      <c r="AY148" s="37">
        <v>0.0</v>
      </c>
      <c r="AZ148" s="37">
        <v>0.0</v>
      </c>
      <c r="BG148" s="37" t="str">
        <f t="array" ref="BG148">IF($A148="","",IFERROR(INDEX(CS!$B$1:$B$15025,MATCH($A148,CS!$B:$B,0)+COLUMN(A$1),1),""))</f>
        <v>狙い</v>
      </c>
      <c r="BH148" s="37" t="str">
        <f t="array" ref="BH148">IF($A148="","",IFERROR(INDEX(CS!$B$1:$B$15025,MATCH($A148,CS!$B:$B,0)+COLUMN(B$1),1),""))</f>
        <v/>
      </c>
      <c r="BI148" s="37" t="str">
        <f t="array" ref="BI148">IF($A148="","",IFERROR(INDEX(CS!$B$1:$B$15025,MATCH($A148,CS!$B:$B,0)+COLUMN(C$1),1),""))</f>
        <v>野生感覚</v>
      </c>
      <c r="BJ148" s="37" t="str">
        <f t="array" ref="BJ148">IF($A148="","",IFERROR(INDEX(CS!$B$1:$B$15025,MATCH($A148,CS!$B:$B,0)+COLUMN(D$1),1),""))</f>
        <v/>
      </c>
      <c r="BK148" s="37" t="str">
        <f t="array" ref="BK148">IF($A148="","",IFERROR(INDEX(CS!$B$1:$B$15025,MATCH($A148,CS!$B:$B,0)+COLUMN(E$1),1),""))</f>
        <v>奇襲</v>
      </c>
      <c r="BL148" s="37" t="str">
        <f t="array" ref="BL148">IF($A148="","",IFERROR(INDEX(CS!$B$1:$B$15025,MATCH($A148,CS!$B:$B,0)+COLUMN(F$1),1),""))</f>
        <v/>
      </c>
      <c r="BM148" s="37" t="str">
        <f t="array" ref="BM148">IF($A148="","",IFERROR(INDEX(CS!$B$1:$B$15025,MATCH($A148,CS!$B:$B,0)+COLUMN(G$1),1),""))</f>
        <v>空撃</v>
      </c>
      <c r="BN148" s="37" t="str">
        <f t="array" ref="BN148">IF($A148="","",IFERROR(INDEX(CS!$B$1:$B$15025,MATCH($A148,CS!$B:$B,0)+COLUMN(H$1),1),""))</f>
        <v/>
      </c>
      <c r="BO148" s="37" t="str">
        <f t="array" ref="BO148">IF($A148="","",IFERROR(INDEX(CS!$B$1:$B$15025,MATCH($A148,CS!$B:$B,0)+COLUMN(I$1),1),""))</f>
        <v>反応</v>
      </c>
      <c r="BP148" s="37" t="str">
        <f t="array" ref="BP148">IF($A148="","",IFERROR(INDEX(CS!$B$1:$B$15025,MATCH($A148,CS!$B:$B,0)+COLUMN(J$1),1),""))</f>
        <v>広域索敵</v>
      </c>
      <c r="BR148" s="39" t="s">
        <v>2852</v>
      </c>
      <c r="BS148" s="74"/>
      <c r="CG148" s="37" t="s">
        <v>2815</v>
      </c>
      <c r="CJ148" s="37" t="s">
        <v>2809</v>
      </c>
      <c r="CK148" s="37" t="s">
        <v>2802</v>
      </c>
      <c r="CN148" s="37" t="s">
        <v>2814</v>
      </c>
      <c r="CQ148" s="37"/>
      <c r="CR148" s="37"/>
    </row>
    <row r="149" ht="18.75" customHeight="1" outlineLevel="1">
      <c r="A149" s="39" t="s">
        <v>2254</v>
      </c>
      <c r="B149" s="71"/>
      <c r="C149" s="39" t="s">
        <v>2812</v>
      </c>
      <c r="D149" s="72" t="str">
        <f t="shared" si="5"/>
        <v>765/475/290</v>
      </c>
      <c r="E149" s="39">
        <v>3.0</v>
      </c>
      <c r="F149" s="39">
        <v>75.0</v>
      </c>
      <c r="I149" s="39">
        <v>75.0</v>
      </c>
      <c r="J149" s="39">
        <v>65.0</v>
      </c>
      <c r="K149" s="87">
        <v>25.0</v>
      </c>
      <c r="L149" s="39">
        <v>50.0</v>
      </c>
      <c r="M149" s="39">
        <v>90.0</v>
      </c>
      <c r="N149" s="39">
        <v>95.0</v>
      </c>
      <c r="P149" s="37">
        <v>0.0</v>
      </c>
      <c r="Q149" s="64"/>
      <c r="R149" s="64"/>
      <c r="S149" s="64"/>
      <c r="T149" s="64"/>
      <c r="U149" s="64"/>
      <c r="V149" s="64"/>
      <c r="W149" s="64"/>
      <c r="X149" s="64"/>
      <c r="Y149" s="64"/>
      <c r="Z149" s="64"/>
      <c r="AA149" s="64"/>
      <c r="AJ149" s="37">
        <v>0.0</v>
      </c>
      <c r="AK149" s="37">
        <v>15.0</v>
      </c>
      <c r="AL149" s="37">
        <v>5.0</v>
      </c>
      <c r="AM149" s="37">
        <v>55.0</v>
      </c>
      <c r="AN149" s="37">
        <v>35.0</v>
      </c>
      <c r="AO149" s="37">
        <v>0.0</v>
      </c>
      <c r="AP149" s="37">
        <v>0.0</v>
      </c>
      <c r="AQ149" s="37">
        <v>90.0</v>
      </c>
      <c r="AR149" s="37">
        <v>90.0</v>
      </c>
      <c r="AS149" s="37">
        <v>0.0</v>
      </c>
      <c r="AT149" s="37">
        <v>0.0</v>
      </c>
      <c r="AU149" s="37">
        <v>0.0</v>
      </c>
      <c r="AV149" s="37">
        <v>0.0</v>
      </c>
      <c r="AW149" s="37">
        <v>0.0</v>
      </c>
      <c r="AX149" s="37">
        <v>0.0</v>
      </c>
      <c r="AY149" s="37">
        <v>0.0</v>
      </c>
      <c r="AZ149" s="37">
        <v>0.0</v>
      </c>
      <c r="BG149" s="37" t="str">
        <f t="array" ref="BG149">IF($A149="","",IFERROR(INDEX(CS!$B$1:$B$15025,MATCH($A149,CS!$B:$B,0)+COLUMN(A$1),1),""))</f>
        <v>狙い</v>
      </c>
      <c r="BH149" s="37" t="str">
        <f t="array" ref="BH149">IF($A149="","",IFERROR(INDEX(CS!$B$1:$B$15025,MATCH($A149,CS!$B:$B,0)+COLUMN(B$1),1),""))</f>
        <v/>
      </c>
      <c r="BI149" s="37" t="str">
        <f t="array" ref="BI149">IF($A149="","",IFERROR(INDEX(CS!$B$1:$B$15025,MATCH($A149,CS!$B:$B,0)+COLUMN(C$1),1),""))</f>
        <v>見極</v>
      </c>
      <c r="BJ149" s="37" t="str">
        <f t="array" ref="BJ149">IF($A149="","",IFERROR(INDEX(CS!$B$1:$B$15025,MATCH($A149,CS!$B:$B,0)+COLUMN(D$1),1),""))</f>
        <v/>
      </c>
      <c r="BK149" s="37" t="str">
        <f t="array" ref="BK149">IF($A149="","",IFERROR(INDEX(CS!$B$1:$B$15025,MATCH($A149,CS!$B:$B,0)+COLUMN(E$1),1),""))</f>
        <v>神眼</v>
      </c>
      <c r="BL149" s="37" t="str">
        <f t="array" ref="BL149">IF($A149="","",IFERROR(INDEX(CS!$B$1:$B$15025,MATCH($A149,CS!$B:$B,0)+COLUMN(F$1),1),""))</f>
        <v/>
      </c>
      <c r="BM149" s="37" t="str">
        <f t="array" ref="BM149">IF($A149="","",IFERROR(INDEX(CS!$B$1:$B$15025,MATCH($A149,CS!$B:$B,0)+COLUMN(G$1),1),""))</f>
        <v>空撃</v>
      </c>
      <c r="BN149" s="37" t="str">
        <f t="array" ref="BN149">IF($A149="","",IFERROR(INDEX(CS!$B$1:$B$15025,MATCH($A149,CS!$B:$B,0)+COLUMN(H$1),1),""))</f>
        <v/>
      </c>
      <c r="BO149" s="37" t="str">
        <f t="array" ref="BO149">IF($A149="","",IFERROR(INDEX(CS!$B$1:$B$15025,MATCH($A149,CS!$B:$B,0)+COLUMN(I$1),1),""))</f>
        <v>野生感覚</v>
      </c>
      <c r="BP149" s="37" t="str">
        <f t="array" ref="BP149">IF($A149="","",IFERROR(INDEX(CS!$B$1:$B$15025,MATCH($A149,CS!$B:$B,0)+COLUMN(J$1),1),""))</f>
        <v>観測者</v>
      </c>
      <c r="BR149" s="39" t="s">
        <v>2853</v>
      </c>
      <c r="BS149" s="74"/>
      <c r="CG149" s="37" t="s">
        <v>2815</v>
      </c>
      <c r="CJ149" s="37" t="s">
        <v>2809</v>
      </c>
      <c r="CK149" s="37" t="s">
        <v>2802</v>
      </c>
      <c r="CN149" s="37" t="s">
        <v>2814</v>
      </c>
      <c r="CQ149" s="37"/>
      <c r="CR149" s="37"/>
    </row>
    <row r="150" ht="18.75" customHeight="1" outlineLevel="1">
      <c r="A150" s="39" t="s">
        <v>2257</v>
      </c>
      <c r="B150" s="71"/>
      <c r="C150" s="39" t="s">
        <v>2812</v>
      </c>
      <c r="D150" s="72" t="str">
        <f t="shared" si="5"/>
        <v>760/465/295</v>
      </c>
      <c r="E150" s="39">
        <v>2.0</v>
      </c>
      <c r="F150" s="39">
        <v>75.0</v>
      </c>
      <c r="I150" s="39">
        <v>75.0</v>
      </c>
      <c r="J150" s="39">
        <v>65.0</v>
      </c>
      <c r="K150" s="87">
        <v>25.0</v>
      </c>
      <c r="L150" s="39">
        <v>55.0</v>
      </c>
      <c r="M150" s="39">
        <v>80.0</v>
      </c>
      <c r="N150" s="39">
        <v>90.0</v>
      </c>
      <c r="P150" s="37">
        <v>0.0</v>
      </c>
      <c r="Q150" s="64"/>
      <c r="R150" s="64"/>
      <c r="S150" s="64"/>
      <c r="T150" s="64"/>
      <c r="U150" s="64"/>
      <c r="V150" s="64"/>
      <c r="W150" s="64"/>
      <c r="X150" s="64"/>
      <c r="Y150" s="64"/>
      <c r="Z150" s="64"/>
      <c r="AA150" s="64"/>
      <c r="AJ150" s="37">
        <v>0.0</v>
      </c>
      <c r="AK150" s="37">
        <v>20.0</v>
      </c>
      <c r="AL150" s="37">
        <v>5.0</v>
      </c>
      <c r="AM150" s="37">
        <v>55.0</v>
      </c>
      <c r="AN150" s="37">
        <v>35.0</v>
      </c>
      <c r="AO150" s="37">
        <v>0.0</v>
      </c>
      <c r="AP150" s="37">
        <v>0.0</v>
      </c>
      <c r="AQ150" s="37">
        <v>90.0</v>
      </c>
      <c r="AR150" s="37">
        <v>90.0</v>
      </c>
      <c r="AS150" s="37">
        <v>0.0</v>
      </c>
      <c r="AT150" s="37">
        <v>0.0</v>
      </c>
      <c r="AU150" s="37">
        <v>0.0</v>
      </c>
      <c r="AV150" s="37">
        <v>0.0</v>
      </c>
      <c r="AW150" s="37">
        <v>0.0</v>
      </c>
      <c r="AX150" s="37">
        <v>0.0</v>
      </c>
      <c r="AY150" s="37">
        <v>0.0</v>
      </c>
      <c r="AZ150" s="37">
        <v>0.0</v>
      </c>
      <c r="BG150" s="37" t="str">
        <f t="array" ref="BG150">IF($A150="","",IFERROR(INDEX(CS!$B$1:$B$15025,MATCH($A150,CS!$B:$B,0)+COLUMN(A$1),1),""))</f>
        <v>潜伏</v>
      </c>
      <c r="BH150" s="37" t="str">
        <f t="array" ref="BH150">IF($A150="","",IFERROR(INDEX(CS!$B$1:$B$15025,MATCH($A150,CS!$B:$B,0)+COLUMN(B$1),1),""))</f>
        <v/>
      </c>
      <c r="BI150" s="37" t="str">
        <f t="array" ref="BI150">IF($A150="","",IFERROR(INDEX(CS!$B$1:$B$15025,MATCH($A150,CS!$B:$B,0)+COLUMN(C$1),1),""))</f>
        <v>執念の追跡</v>
      </c>
      <c r="BJ150" s="37" t="str">
        <f t="array" ref="BJ150">IF($A150="","",IFERROR(INDEX(CS!$B$1:$B$15025,MATCH($A150,CS!$B:$B,0)+COLUMN(D$1),1),""))</f>
        <v/>
      </c>
      <c r="BK150" s="37" t="str">
        <f t="array" ref="BK150">IF($A150="","",IFERROR(INDEX(CS!$B$1:$B$15025,MATCH($A150,CS!$B:$B,0)+COLUMN(E$1),1),""))</f>
        <v>奇襲</v>
      </c>
      <c r="BL150" s="37" t="str">
        <f t="array" ref="BL150">IF($A150="","",IFERROR(INDEX(CS!$B$1:$B$15025,MATCH($A150,CS!$B:$B,0)+COLUMN(F$1),1),""))</f>
        <v/>
      </c>
      <c r="BM150" s="37" t="str">
        <f t="array" ref="BM150">IF($A150="","",IFERROR(INDEX(CS!$B$1:$B$15025,MATCH($A150,CS!$B:$B,0)+COLUMN(G$1),1),""))</f>
        <v>痛撃</v>
      </c>
      <c r="BN150" s="37" t="str">
        <f t="array" ref="BN150">IF($A150="","",IFERROR(INDEX(CS!$B$1:$B$15025,MATCH($A150,CS!$B:$B,0)+COLUMN(H$1),1),""))</f>
        <v/>
      </c>
      <c r="BO150" s="37" t="str">
        <f t="array" ref="BO150">IF($A150="","",IFERROR(INDEX(CS!$B$1:$B$15025,MATCH($A150,CS!$B:$B,0)+COLUMN(I$1),1),""))</f>
        <v>狙い</v>
      </c>
      <c r="BP150" s="37" t="str">
        <f t="array" ref="BP150">IF($A150="","",IFERROR(INDEX(CS!$B$1:$B$15025,MATCH($A150,CS!$B:$B,0)+COLUMN(J$1),1),""))</f>
        <v>追跡者</v>
      </c>
      <c r="BR150" s="39" t="s">
        <v>2852</v>
      </c>
      <c r="BS150" s="74"/>
      <c r="CG150" s="37" t="s">
        <v>2815</v>
      </c>
      <c r="CJ150" s="37" t="s">
        <v>2809</v>
      </c>
      <c r="CK150" s="37" t="s">
        <v>2802</v>
      </c>
      <c r="CN150" s="37" t="s">
        <v>2814</v>
      </c>
      <c r="CQ150" s="37"/>
      <c r="CR150" s="37"/>
    </row>
    <row r="151" ht="18.75" customHeight="1" outlineLevel="1">
      <c r="A151" s="39" t="s">
        <v>2260</v>
      </c>
      <c r="B151" s="71"/>
      <c r="C151" s="39" t="s">
        <v>2812</v>
      </c>
      <c r="D151" s="72" t="str">
        <f t="shared" si="5"/>
        <v>780/485/295</v>
      </c>
      <c r="E151" s="39">
        <v>3.0</v>
      </c>
      <c r="F151" s="39">
        <v>75.0</v>
      </c>
      <c r="I151" s="39">
        <v>85.0</v>
      </c>
      <c r="J151" s="39">
        <v>65.0</v>
      </c>
      <c r="K151" s="87">
        <v>25.0</v>
      </c>
      <c r="L151" s="39">
        <v>50.0</v>
      </c>
      <c r="M151" s="39">
        <v>90.0</v>
      </c>
      <c r="N151" s="39">
        <v>95.0</v>
      </c>
      <c r="P151" s="37">
        <v>0.0</v>
      </c>
      <c r="Q151" s="64"/>
      <c r="R151" s="64"/>
      <c r="S151" s="64"/>
      <c r="T151" s="64"/>
      <c r="U151" s="64"/>
      <c r="V151" s="64"/>
      <c r="W151" s="64"/>
      <c r="X151" s="64"/>
      <c r="Y151" s="64"/>
      <c r="Z151" s="64"/>
      <c r="AA151" s="64"/>
      <c r="AJ151" s="37">
        <v>0.0</v>
      </c>
      <c r="AK151" s="37">
        <v>20.0</v>
      </c>
      <c r="AL151" s="37">
        <v>5.0</v>
      </c>
      <c r="AM151" s="37">
        <v>55.0</v>
      </c>
      <c r="AN151" s="37">
        <v>35.0</v>
      </c>
      <c r="AO151" s="37">
        <v>0.0</v>
      </c>
      <c r="AP151" s="37">
        <v>0.0</v>
      </c>
      <c r="AQ151" s="37">
        <v>90.0</v>
      </c>
      <c r="AR151" s="37">
        <v>90.0</v>
      </c>
      <c r="AS151" s="37">
        <v>0.0</v>
      </c>
      <c r="AT151" s="37">
        <v>0.0</v>
      </c>
      <c r="AU151" s="37">
        <v>0.0</v>
      </c>
      <c r="AV151" s="37">
        <v>0.0</v>
      </c>
      <c r="AW151" s="37">
        <v>0.0</v>
      </c>
      <c r="AX151" s="37">
        <v>0.0</v>
      </c>
      <c r="AY151" s="37">
        <v>0.0</v>
      </c>
      <c r="AZ151" s="37">
        <v>0.0</v>
      </c>
      <c r="BG151" s="37" t="str">
        <f t="array" ref="BG151">IF($A151="","",IFERROR(INDEX(CS!$B$1:$B$15025,MATCH($A151,CS!$B:$B,0)+COLUMN(A$1),1),""))</f>
        <v>急所撃</v>
      </c>
      <c r="BH151" s="37" t="str">
        <f t="array" ref="BH151">IF($A151="","",IFERROR(INDEX(CS!$B$1:$B$15025,MATCH($A151,CS!$B:$B,0)+COLUMN(B$1),1),""))</f>
        <v/>
      </c>
      <c r="BI151" s="37" t="str">
        <f t="array" ref="BI151">IF($A151="","",IFERROR(INDEX(CS!$B$1:$B$15025,MATCH($A151,CS!$B:$B,0)+COLUMN(C$1),1),""))</f>
        <v>追跡者</v>
      </c>
      <c r="BJ151" s="37" t="str">
        <f t="array" ref="BJ151">IF($A151="","",IFERROR(INDEX(CS!$B$1:$B$15025,MATCH($A151,CS!$B:$B,0)+COLUMN(D$1),1),""))</f>
        <v/>
      </c>
      <c r="BK151" s="37" t="str">
        <f t="array" ref="BK151">IF($A151="","",IFERROR(INDEX(CS!$B$1:$B$15025,MATCH($A151,CS!$B:$B,0)+COLUMN(E$1),1),""))</f>
        <v>奇襲</v>
      </c>
      <c r="BL151" s="37" t="str">
        <f t="array" ref="BL151">IF($A151="","",IFERROR(INDEX(CS!$B$1:$B$15025,MATCH($A151,CS!$B:$B,0)+COLUMN(F$1),1),""))</f>
        <v/>
      </c>
      <c r="BM151" s="37" t="str">
        <f t="array" ref="BM151">IF($A151="","",IFERROR(INDEX(CS!$B$1:$B$15025,MATCH($A151,CS!$B:$B,0)+COLUMN(G$1),1),""))</f>
        <v>痛撃</v>
      </c>
      <c r="BN151" s="37" t="str">
        <f t="array" ref="BN151">IF($A151="","",IFERROR(INDEX(CS!$B$1:$B$15025,MATCH($A151,CS!$B:$B,0)+COLUMN(H$1),1),""))</f>
        <v/>
      </c>
      <c r="BO151" s="37" t="str">
        <f t="array" ref="BO151">IF($A151="","",IFERROR(INDEX(CS!$B$1:$B$15025,MATCH($A151,CS!$B:$B,0)+COLUMN(I$1),1),""))</f>
        <v>狙い</v>
      </c>
      <c r="BP151" s="37" t="str">
        <f t="array" ref="BP151">IF($A151="","",IFERROR(INDEX(CS!$B$1:$B$15025,MATCH($A151,CS!$B:$B,0)+COLUMN(J$1),1),""))</f>
        <v>捕食者</v>
      </c>
      <c r="BR151" s="39" t="s">
        <v>2854</v>
      </c>
      <c r="BS151" s="74"/>
      <c r="CG151" s="37" t="s">
        <v>2815</v>
      </c>
      <c r="CJ151" s="37" t="s">
        <v>2809</v>
      </c>
      <c r="CK151" s="37" t="s">
        <v>2802</v>
      </c>
      <c r="CN151" s="37" t="s">
        <v>2814</v>
      </c>
      <c r="CQ151" s="37"/>
      <c r="CR151" s="37"/>
    </row>
    <row r="152" ht="18.75" customHeight="1">
      <c r="B152" s="71"/>
      <c r="D152" s="72"/>
      <c r="K152" s="73"/>
      <c r="P152" s="37" t="s">
        <v>29</v>
      </c>
      <c r="Q152" s="64"/>
      <c r="R152" s="64"/>
      <c r="S152" s="64"/>
      <c r="T152" s="64"/>
      <c r="U152" s="64"/>
      <c r="V152" s="64"/>
      <c r="W152" s="64"/>
      <c r="X152" s="64"/>
      <c r="Y152" s="64"/>
      <c r="Z152" s="64"/>
      <c r="AA152" s="64"/>
      <c r="AJ152" s="37" t="s">
        <v>29</v>
      </c>
      <c r="AK152" s="37" t="s">
        <v>29</v>
      </c>
      <c r="AL152" s="37" t="s">
        <v>29</v>
      </c>
      <c r="AM152" s="37" t="s">
        <v>29</v>
      </c>
      <c r="AN152" s="37" t="s">
        <v>29</v>
      </c>
      <c r="AO152" s="37" t="s">
        <v>29</v>
      </c>
      <c r="AP152" s="37" t="s">
        <v>29</v>
      </c>
      <c r="AQ152" s="37" t="s">
        <v>29</v>
      </c>
      <c r="AR152" s="37" t="s">
        <v>29</v>
      </c>
      <c r="AS152" s="37" t="s">
        <v>29</v>
      </c>
      <c r="AT152" s="37" t="s">
        <v>29</v>
      </c>
      <c r="AU152" s="37" t="s">
        <v>29</v>
      </c>
      <c r="AV152" s="37" t="s">
        <v>29</v>
      </c>
      <c r="AW152" s="37" t="s">
        <v>29</v>
      </c>
      <c r="AX152" s="37" t="s">
        <v>29</v>
      </c>
      <c r="AY152" s="37" t="s">
        <v>29</v>
      </c>
      <c r="AZ152" s="37" t="s">
        <v>29</v>
      </c>
      <c r="BG152" s="37" t="str">
        <f t="array" ref="BG152">IF($A152="","", INDEX(CS!$B$1:$B$15025,MATCH($A152,CS!$B:$B,0)+COLUMN(A$1),1))</f>
        <v/>
      </c>
      <c r="BH152" s="37" t="str">
        <f t="array" ref="BH152">IF($A152="","", INDEX(CS!$B$1:$B$15025,MATCH($A152,CS!$B:$B,0)+COLUMN(B$1),1))</f>
        <v/>
      </c>
      <c r="BI152" s="37" t="str">
        <f t="array" ref="BI152">IF($A152="","", INDEX(CS!$B$1:$B$15025,MATCH($A152,CS!$B:$B,0)+COLUMN(C$1),1))</f>
        <v/>
      </c>
      <c r="BJ152" s="37" t="str">
        <f t="array" ref="BJ152">IF($A152="","", INDEX(CS!$B$1:$B$15025,MATCH($A152,CS!$B:$B,0)+COLUMN(D$1),1))</f>
        <v/>
      </c>
      <c r="BK152" s="37" t="str">
        <f t="array" ref="BK152">IF($A152="","", INDEX(CS!$B$1:$B$15025,MATCH($A152,CS!$B:$B,0)+COLUMN(E$1),1))</f>
        <v/>
      </c>
      <c r="BL152" s="37" t="str">
        <f t="array" ref="BL152">IF($A152="","", INDEX(CS!$B$1:$B$15025,MATCH($A152,CS!$B:$B,0)+COLUMN(F$1),1))</f>
        <v/>
      </c>
      <c r="BM152" s="37" t="str">
        <f t="array" ref="BM152">IF($A152="","", INDEX(CS!$B$1:$B$15025,MATCH($A152,CS!$B:$B,0)+COLUMN(G$1),1))</f>
        <v/>
      </c>
      <c r="BN152" s="37" t="str">
        <f t="array" ref="BN152">IF($A152="","", INDEX(CS!$B$1:$B$15025,MATCH($A152,CS!$B:$B,0)+COLUMN(H$1),1))</f>
        <v/>
      </c>
      <c r="BO152" s="37" t="str">
        <f t="array" ref="BO152">IF($A152="","", INDEX(CS!$B$1:$B$15025,MATCH($A152,CS!$B:$B,0)+COLUMN(I$1),1))</f>
        <v/>
      </c>
      <c r="BP152" s="37" t="str">
        <f t="array" ref="BP152">IF($A152="","", INDEX(CS!$B$1:$B$15025,MATCH($A152,CS!$B:$B,0)+COLUMN(J$1),1))</f>
        <v/>
      </c>
      <c r="BS152" s="74"/>
      <c r="CI152" s="37" t="s">
        <v>2828</v>
      </c>
      <c r="CJ152" s="37" t="s">
        <v>2809</v>
      </c>
      <c r="CK152" s="37" t="s">
        <v>2802</v>
      </c>
      <c r="CQ152" s="37"/>
      <c r="CR152" s="37"/>
    </row>
    <row r="153" ht="18.75" customHeight="1">
      <c r="B153" s="85" t="s">
        <v>2855</v>
      </c>
      <c r="D153" s="72" t="str">
        <f t="shared" ref="D153:D166" si="6">SUM(AJ153:AZ153,F153:N153)&amp;"/"&amp;SUM(F153:N153)&amp;"/"&amp;SUM(AJ153:AZ153)</f>
        <v>0/0/0</v>
      </c>
      <c r="E153" s="37">
        <v>1.0</v>
      </c>
      <c r="K153" s="73"/>
      <c r="P153" s="37" t="s">
        <v>29</v>
      </c>
      <c r="Q153" s="64"/>
      <c r="R153" s="64"/>
      <c r="S153" s="64"/>
      <c r="T153" s="64"/>
      <c r="U153" s="64"/>
      <c r="V153" s="64"/>
      <c r="W153" s="64"/>
      <c r="X153" s="64"/>
      <c r="Y153" s="64"/>
      <c r="Z153" s="64"/>
      <c r="AA153" s="64"/>
      <c r="AJ153" s="37" t="s">
        <v>29</v>
      </c>
      <c r="AK153" s="37" t="s">
        <v>29</v>
      </c>
      <c r="AL153" s="37" t="s">
        <v>29</v>
      </c>
      <c r="AM153" s="37" t="s">
        <v>29</v>
      </c>
      <c r="AN153" s="37" t="s">
        <v>29</v>
      </c>
      <c r="AO153" s="37" t="s">
        <v>29</v>
      </c>
      <c r="AP153" s="37" t="s">
        <v>29</v>
      </c>
      <c r="AQ153" s="37" t="s">
        <v>29</v>
      </c>
      <c r="AR153" s="37" t="s">
        <v>29</v>
      </c>
      <c r="AS153" s="37" t="s">
        <v>29</v>
      </c>
      <c r="AT153" s="37" t="s">
        <v>29</v>
      </c>
      <c r="AU153" s="37" t="s">
        <v>29</v>
      </c>
      <c r="AV153" s="37" t="s">
        <v>29</v>
      </c>
      <c r="AW153" s="37" t="s">
        <v>29</v>
      </c>
      <c r="AX153" s="37" t="s">
        <v>29</v>
      </c>
      <c r="AY153" s="37" t="s">
        <v>29</v>
      </c>
      <c r="AZ153" s="37" t="s">
        <v>29</v>
      </c>
      <c r="BG153" s="37" t="str">
        <f t="array" ref="BG153">IF($A153="","", INDEX(CS!$B$1:$B$15025,MATCH($A153,CS!$B:$B,0)+COLUMN(A$1),1))</f>
        <v/>
      </c>
      <c r="BH153" s="37" t="str">
        <f t="array" ref="BH153">IF($A153="","", INDEX(CS!$B$1:$B$15025,MATCH($A153,CS!$B:$B,0)+COLUMN(B$1),1))</f>
        <v/>
      </c>
      <c r="BI153" s="37" t="str">
        <f t="array" ref="BI153">IF($A153="","", INDEX(CS!$B$1:$B$15025,MATCH($A153,CS!$B:$B,0)+COLUMN(C$1),1))</f>
        <v/>
      </c>
      <c r="BJ153" s="37" t="str">
        <f t="array" ref="BJ153">IF($A153="","", INDEX(CS!$B$1:$B$15025,MATCH($A153,CS!$B:$B,0)+COLUMN(D$1),1))</f>
        <v/>
      </c>
      <c r="BK153" s="37" t="str">
        <f t="array" ref="BK153">IF($A153="","", INDEX(CS!$B$1:$B$15025,MATCH($A153,CS!$B:$B,0)+COLUMN(E$1),1))</f>
        <v/>
      </c>
      <c r="BL153" s="37" t="str">
        <f t="array" ref="BL153">IF($A153="","", INDEX(CS!$B$1:$B$15025,MATCH($A153,CS!$B:$B,0)+COLUMN(F$1),1))</f>
        <v/>
      </c>
      <c r="BM153" s="37" t="str">
        <f t="array" ref="BM153">IF($A153="","", INDEX(CS!$B$1:$B$15025,MATCH($A153,CS!$B:$B,0)+COLUMN(G$1),1))</f>
        <v/>
      </c>
      <c r="BN153" s="37" t="str">
        <f t="array" ref="BN153">IF($A153="","", INDEX(CS!$B$1:$B$15025,MATCH($A153,CS!$B:$B,0)+COLUMN(H$1),1))</f>
        <v/>
      </c>
      <c r="BO153" s="37" t="str">
        <f t="array" ref="BO153">IF($A153="","", INDEX(CS!$B$1:$B$15025,MATCH($A153,CS!$B:$B,0)+COLUMN(I$1),1))</f>
        <v/>
      </c>
      <c r="BP153" s="37" t="str">
        <f t="array" ref="BP153">IF($A153="","", INDEX(CS!$B$1:$B$15025,MATCH($A153,CS!$B:$B,0)+COLUMN(J$1),1))</f>
        <v/>
      </c>
      <c r="BS153" s="74"/>
      <c r="CQ153" s="37"/>
      <c r="CR153" s="37"/>
    </row>
    <row r="154" ht="18.75" customHeight="1" outlineLevel="1">
      <c r="A154" s="39" t="s">
        <v>2348</v>
      </c>
      <c r="B154" s="89"/>
      <c r="C154" s="39" t="s">
        <v>2810</v>
      </c>
      <c r="D154" s="72" t="str">
        <f t="shared" si="6"/>
        <v>725/470/255</v>
      </c>
      <c r="E154" s="39">
        <v>2.0</v>
      </c>
      <c r="F154" s="39">
        <v>85.0</v>
      </c>
      <c r="I154" s="39">
        <v>85.0</v>
      </c>
      <c r="J154" s="39">
        <v>75.0</v>
      </c>
      <c r="K154" s="87">
        <v>25.0</v>
      </c>
      <c r="L154" s="39">
        <v>45.0</v>
      </c>
      <c r="M154" s="39">
        <v>80.0</v>
      </c>
      <c r="N154" s="39">
        <v>75.0</v>
      </c>
      <c r="P154" s="37">
        <v>0.0</v>
      </c>
      <c r="Q154" s="64"/>
      <c r="R154" s="64"/>
      <c r="S154" s="64"/>
      <c r="T154" s="64"/>
      <c r="U154" s="64"/>
      <c r="V154" s="64"/>
      <c r="W154" s="64"/>
      <c r="X154" s="64"/>
      <c r="Y154" s="64"/>
      <c r="Z154" s="64"/>
      <c r="AA154" s="64"/>
      <c r="AJ154" s="37">
        <v>50.0</v>
      </c>
      <c r="AK154" s="37">
        <v>50.0</v>
      </c>
      <c r="AL154" s="37">
        <v>25.0</v>
      </c>
      <c r="AM154" s="37">
        <v>55.0</v>
      </c>
      <c r="AN154" s="37">
        <v>25.0</v>
      </c>
      <c r="AO154" s="37">
        <v>0.0</v>
      </c>
      <c r="AP154" s="37">
        <v>0.0</v>
      </c>
      <c r="AQ154" s="37">
        <v>0.0</v>
      </c>
      <c r="AR154" s="37">
        <v>25.0</v>
      </c>
      <c r="AS154" s="37">
        <v>0.0</v>
      </c>
      <c r="AT154" s="37">
        <v>0.0</v>
      </c>
      <c r="AU154" s="37">
        <v>0.0</v>
      </c>
      <c r="AV154" s="37">
        <v>0.0</v>
      </c>
      <c r="AW154" s="37">
        <v>25.0</v>
      </c>
      <c r="AX154" s="37">
        <v>0.0</v>
      </c>
      <c r="AY154" s="37">
        <v>0.0</v>
      </c>
      <c r="AZ154" s="37">
        <v>0.0</v>
      </c>
      <c r="BG154" s="37" t="str">
        <f t="array" ref="BG154">IF($A154="","",IFERROR(INDEX(CS!$B$1:$B$15025,MATCH($A154,CS!$B:$B,0)+COLUMN(A$1),1),""))</f>
        <v>闘気撃</v>
      </c>
      <c r="BH154" s="37" t="str">
        <f t="array" ref="BH154">IF($A154="","",IFERROR(INDEX(CS!$B$1:$B$15025,MATCH($A154,CS!$B:$B,0)+COLUMN(B$1),1),""))</f>
        <v>素手の扱い</v>
      </c>
      <c r="BI154" s="37" t="str">
        <f t="array" ref="BI154">IF($A154="","",IFERROR(INDEX(CS!$B$1:$B$15025,MATCH($A154,CS!$B:$B,0)+COLUMN(C$1),1),""))</f>
        <v>闘気速</v>
      </c>
      <c r="BJ154" s="37" t="str">
        <f t="array" ref="BJ154">IF($A154="","",IFERROR(INDEX(CS!$B$1:$B$15025,MATCH($A154,CS!$B:$B,0)+COLUMN(D$1),1),""))</f>
        <v>雄叫び</v>
      </c>
      <c r="BK154" s="37" t="str">
        <f t="array" ref="BK154">IF($A154="","",IFERROR(INDEX(CS!$B$1:$B$15025,MATCH($A154,CS!$B:$B,0)+COLUMN(E$1),1),""))</f>
        <v>反応</v>
      </c>
      <c r="BL154" s="37" t="str">
        <f t="array" ref="BL154">IF($A154="","",IFERROR(INDEX(CS!$B$1:$B$15025,MATCH($A154,CS!$B:$B,0)+COLUMN(F$1),1),""))</f>
        <v/>
      </c>
      <c r="BM154" s="37" t="str">
        <f t="array" ref="BM154">IF($A154="","",IFERROR(INDEX(CS!$B$1:$B$15025,MATCH($A154,CS!$B:$B,0)+COLUMN(G$1),1),""))</f>
        <v>一閃撃</v>
      </c>
      <c r="BN154" s="37" t="str">
        <f t="array" ref="BN154">IF($A154="","",IFERROR(INDEX(CS!$B$1:$B$15025,MATCH($A154,CS!$B:$B,0)+COLUMN(H$1),1),""))</f>
        <v/>
      </c>
      <c r="BO154" s="37" t="str">
        <f t="array" ref="BO154">IF($A154="","",IFERROR(INDEX(CS!$B$1:$B$15025,MATCH($A154,CS!$B:$B,0)+COLUMN(I$1),1),""))</f>
        <v/>
      </c>
      <c r="BP154" s="37" t="str">
        <f t="array" ref="BP154">IF($A154="","",IFERROR(INDEX(CS!$B$1:$B$15025,MATCH($A154,CS!$B:$B,0)+COLUMN(J$1),1),""))</f>
        <v>気の極意</v>
      </c>
      <c r="BR154" s="39" t="s">
        <v>2856</v>
      </c>
      <c r="BS154" s="74"/>
      <c r="CQ154" s="37"/>
      <c r="CR154" s="37"/>
    </row>
    <row r="155" ht="18.75" customHeight="1" outlineLevel="1">
      <c r="A155" s="39" t="s">
        <v>2351</v>
      </c>
      <c r="B155" s="89"/>
      <c r="C155" s="39" t="s">
        <v>2810</v>
      </c>
      <c r="D155" s="72" t="str">
        <f t="shared" si="6"/>
        <v>725/470/255</v>
      </c>
      <c r="E155" s="39">
        <v>2.0</v>
      </c>
      <c r="F155" s="39">
        <v>85.0</v>
      </c>
      <c r="I155" s="39">
        <v>85.0</v>
      </c>
      <c r="J155" s="39">
        <v>75.0</v>
      </c>
      <c r="K155" s="87">
        <v>25.0</v>
      </c>
      <c r="L155" s="39">
        <v>45.0</v>
      </c>
      <c r="M155" s="39">
        <v>80.0</v>
      </c>
      <c r="N155" s="39">
        <v>75.0</v>
      </c>
      <c r="P155" s="37">
        <v>0.0</v>
      </c>
      <c r="Q155" s="64"/>
      <c r="R155" s="64"/>
      <c r="S155" s="64"/>
      <c r="T155" s="64"/>
      <c r="U155" s="64"/>
      <c r="V155" s="64"/>
      <c r="W155" s="64"/>
      <c r="X155" s="64"/>
      <c r="Y155" s="64"/>
      <c r="Z155" s="64"/>
      <c r="AA155" s="64"/>
      <c r="AJ155" s="37">
        <v>50.0</v>
      </c>
      <c r="AK155" s="37">
        <v>50.0</v>
      </c>
      <c r="AL155" s="37">
        <v>25.0</v>
      </c>
      <c r="AM155" s="37">
        <v>55.0</v>
      </c>
      <c r="AN155" s="37">
        <v>25.0</v>
      </c>
      <c r="AO155" s="37">
        <v>0.0</v>
      </c>
      <c r="AP155" s="37">
        <v>0.0</v>
      </c>
      <c r="AQ155" s="37">
        <v>0.0</v>
      </c>
      <c r="AR155" s="37">
        <v>25.0</v>
      </c>
      <c r="AS155" s="37">
        <v>0.0</v>
      </c>
      <c r="AT155" s="37">
        <v>0.0</v>
      </c>
      <c r="AU155" s="37">
        <v>0.0</v>
      </c>
      <c r="AV155" s="37">
        <v>0.0</v>
      </c>
      <c r="AW155" s="37">
        <v>25.0</v>
      </c>
      <c r="AX155" s="37">
        <v>0.0</v>
      </c>
      <c r="AY155" s="37">
        <v>0.0</v>
      </c>
      <c r="AZ155" s="37">
        <v>0.0</v>
      </c>
      <c r="BG155" s="37" t="str">
        <f t="array" ref="BG155">IF($A155="","",IFERROR(INDEX(CS!$B$1:$B$15025,MATCH($A155,CS!$B:$B,0)+COLUMN(A$1),1),""))</f>
        <v>連打</v>
      </c>
      <c r="BH155" s="37" t="str">
        <f t="array" ref="BH155">IF($A155="","",IFERROR(INDEX(CS!$B$1:$B$15025,MATCH($A155,CS!$B:$B,0)+COLUMN(B$1),1),""))</f>
        <v/>
      </c>
      <c r="BI155" s="37" t="str">
        <f t="array" ref="BI155">IF($A155="","",IFERROR(INDEX(CS!$B$1:$B$15025,MATCH($A155,CS!$B:$B,0)+COLUMN(C$1),1),""))</f>
        <v>打撃姿勢</v>
      </c>
      <c r="BJ155" s="37" t="str">
        <f t="array" ref="BJ155">IF($A155="","",IFERROR(INDEX(CS!$B$1:$B$15025,MATCH($A155,CS!$B:$B,0)+COLUMN(D$1),1),""))</f>
        <v/>
      </c>
      <c r="BK155" s="37" t="str">
        <f t="array" ref="BK155">IF($A155="","",IFERROR(INDEX(CS!$B$1:$B$15025,MATCH($A155,CS!$B:$B,0)+COLUMN(E$1),1),""))</f>
        <v>強打</v>
      </c>
      <c r="BL155" s="37" t="str">
        <f t="array" ref="BL155">IF($A155="","",IFERROR(INDEX(CS!$B$1:$B$15025,MATCH($A155,CS!$B:$B,0)+COLUMN(F$1),1),""))</f>
        <v/>
      </c>
      <c r="BM155" s="37" t="str">
        <f t="array" ref="BM155">IF($A155="","",IFERROR(INDEX(CS!$B$1:$B$15025,MATCH($A155,CS!$B:$B,0)+COLUMN(G$1),1),""))</f>
        <v>踏み込み</v>
      </c>
      <c r="BN155" s="37" t="str">
        <f t="array" ref="BN155">IF($A155="","",IFERROR(INDEX(CS!$B$1:$B$15025,MATCH($A155,CS!$B:$B,0)+COLUMN(H$1),1),""))</f>
        <v/>
      </c>
      <c r="BO155" s="37" t="str">
        <f t="array" ref="BO155">IF($A155="","",IFERROR(INDEX(CS!$B$1:$B$15025,MATCH($A155,CS!$B:$B,0)+COLUMN(I$1),1),""))</f>
        <v>拳の極み</v>
      </c>
      <c r="BP155" s="37" t="str">
        <f t="array" ref="BP155">IF($A155="","",IFERROR(INDEX(CS!$B$1:$B$15025,MATCH($A155,CS!$B:$B,0)+COLUMN(J$1),1),""))</f>
        <v>連環撃</v>
      </c>
      <c r="BR155" s="39" t="s">
        <v>2856</v>
      </c>
      <c r="BS155" s="74"/>
      <c r="CQ155" s="37"/>
      <c r="CR155" s="37"/>
    </row>
    <row r="156" ht="18.75" customHeight="1" outlineLevel="1">
      <c r="A156" s="39" t="s">
        <v>2364</v>
      </c>
      <c r="B156" s="89"/>
      <c r="C156" s="39" t="s">
        <v>2810</v>
      </c>
      <c r="D156" s="72" t="str">
        <f t="shared" si="6"/>
        <v>725/470/255</v>
      </c>
      <c r="E156" s="39">
        <v>2.0</v>
      </c>
      <c r="F156" s="39">
        <v>85.0</v>
      </c>
      <c r="I156" s="39">
        <v>85.0</v>
      </c>
      <c r="J156" s="39">
        <v>75.0</v>
      </c>
      <c r="K156" s="87">
        <v>25.0</v>
      </c>
      <c r="L156" s="39">
        <v>45.0</v>
      </c>
      <c r="M156" s="39">
        <v>80.0</v>
      </c>
      <c r="N156" s="39">
        <v>75.0</v>
      </c>
      <c r="P156" s="37">
        <v>0.0</v>
      </c>
      <c r="Q156" s="64"/>
      <c r="R156" s="64"/>
      <c r="S156" s="64"/>
      <c r="T156" s="64"/>
      <c r="U156" s="64"/>
      <c r="V156" s="64"/>
      <c r="W156" s="64"/>
      <c r="X156" s="64"/>
      <c r="Y156" s="64"/>
      <c r="Z156" s="64"/>
      <c r="AA156" s="64"/>
      <c r="AJ156" s="37">
        <v>50.0</v>
      </c>
      <c r="AK156" s="37">
        <v>50.0</v>
      </c>
      <c r="AL156" s="37">
        <v>25.0</v>
      </c>
      <c r="AM156" s="37">
        <v>55.0</v>
      </c>
      <c r="AN156" s="37">
        <v>25.0</v>
      </c>
      <c r="AO156" s="37">
        <v>0.0</v>
      </c>
      <c r="AP156" s="37">
        <v>0.0</v>
      </c>
      <c r="AQ156" s="37">
        <v>0.0</v>
      </c>
      <c r="AR156" s="37">
        <v>25.0</v>
      </c>
      <c r="AS156" s="37">
        <v>0.0</v>
      </c>
      <c r="AT156" s="37">
        <v>0.0</v>
      </c>
      <c r="AU156" s="37">
        <v>0.0</v>
      </c>
      <c r="AV156" s="37">
        <v>0.0</v>
      </c>
      <c r="AW156" s="37">
        <v>25.0</v>
      </c>
      <c r="AX156" s="37">
        <v>0.0</v>
      </c>
      <c r="AY156" s="37">
        <v>0.0</v>
      </c>
      <c r="AZ156" s="37">
        <v>0.0</v>
      </c>
      <c r="BG156" s="37" t="str">
        <f t="array" ref="BG156">IF($A156="","",IFERROR(INDEX(CS!$B$1:$B$15025,MATCH($A156,CS!$B:$B,0)+COLUMN(A$1),1),""))</f>
        <v>掌打</v>
      </c>
      <c r="BH156" s="37" t="str">
        <f t="array" ref="BH156">IF($A156="","",IFERROR(INDEX(CS!$B$1:$B$15025,MATCH($A156,CS!$B:$B,0)+COLUMN(B$1),1),""))</f>
        <v/>
      </c>
      <c r="BI156" s="37" t="str">
        <f t="array" ref="BI156">IF($A156="","",IFERROR(INDEX(CS!$B$1:$B$15025,MATCH($A156,CS!$B:$B,0)+COLUMN(C$1),1),""))</f>
        <v>武術の構え</v>
      </c>
      <c r="BJ156" s="37" t="str">
        <f t="array" ref="BJ156">IF($A156="","",IFERROR(INDEX(CS!$B$1:$B$15025,MATCH($A156,CS!$B:$B,0)+COLUMN(D$1),1),""))</f>
        <v/>
      </c>
      <c r="BK156" s="37" t="str">
        <f t="array" ref="BK156">IF($A156="","",IFERROR(INDEX(CS!$B$1:$B$15025,MATCH($A156,CS!$B:$B,0)+COLUMN(E$1),1),""))</f>
        <v>崩拳</v>
      </c>
      <c r="BL156" s="37" t="str">
        <f t="array" ref="BL156">IF($A156="","",IFERROR(INDEX(CS!$B$1:$B$15025,MATCH($A156,CS!$B:$B,0)+COLUMN(F$1),1),""))</f>
        <v/>
      </c>
      <c r="BM156" s="37" t="str">
        <f t="array" ref="BM156">IF($A156="","",IFERROR(INDEX(CS!$B$1:$B$15025,MATCH($A156,CS!$B:$B,0)+COLUMN(G$1),1),""))</f>
        <v>回し蹴り</v>
      </c>
      <c r="BN156" s="37" t="str">
        <f t="array" ref="BN156">IF($A156="","",IFERROR(INDEX(CS!$B$1:$B$15025,MATCH($A156,CS!$B:$B,0)+COLUMN(H$1),1),""))</f>
        <v/>
      </c>
      <c r="BO156" s="37" t="str">
        <f t="array" ref="BO156">IF($A156="","",IFERROR(INDEX(CS!$B$1:$B$15025,MATCH($A156,CS!$B:$B,0)+COLUMN(I$1),1),""))</f>
        <v>武術の心得</v>
      </c>
      <c r="BP156" s="37" t="str">
        <f t="array" ref="BP156">IF($A156="","",IFERROR(INDEX(CS!$B$1:$B$15025,MATCH($A156,CS!$B:$B,0)+COLUMN(J$1),1),""))</f>
        <v>無拍子</v>
      </c>
      <c r="BR156" s="39" t="s">
        <v>2856</v>
      </c>
      <c r="BS156" s="74"/>
      <c r="CQ156" s="37"/>
      <c r="CR156" s="37"/>
    </row>
    <row r="157" ht="18.75" customHeight="1" outlineLevel="1">
      <c r="A157" s="39" t="s">
        <v>2377</v>
      </c>
      <c r="B157" s="89"/>
      <c r="C157" s="39" t="s">
        <v>2810</v>
      </c>
      <c r="D157" s="72" t="str">
        <f t="shared" si="6"/>
        <v>740/485/255</v>
      </c>
      <c r="E157" s="39">
        <v>3.0</v>
      </c>
      <c r="F157" s="39">
        <v>90.0</v>
      </c>
      <c r="I157" s="39">
        <v>90.0</v>
      </c>
      <c r="J157" s="39">
        <v>75.0</v>
      </c>
      <c r="K157" s="87">
        <v>25.0</v>
      </c>
      <c r="L157" s="39">
        <v>45.0</v>
      </c>
      <c r="M157" s="39">
        <v>85.0</v>
      </c>
      <c r="N157" s="39">
        <v>75.0</v>
      </c>
      <c r="P157" s="37">
        <v>0.0</v>
      </c>
      <c r="Q157" s="64"/>
      <c r="R157" s="64"/>
      <c r="S157" s="64"/>
      <c r="T157" s="64"/>
      <c r="U157" s="64"/>
      <c r="V157" s="64"/>
      <c r="W157" s="64"/>
      <c r="X157" s="64"/>
      <c r="Y157" s="64"/>
      <c r="Z157" s="64"/>
      <c r="AA157" s="64"/>
      <c r="AJ157" s="37">
        <v>50.0</v>
      </c>
      <c r="AK157" s="37">
        <v>50.0</v>
      </c>
      <c r="AL157" s="37">
        <v>25.0</v>
      </c>
      <c r="AM157" s="37">
        <v>55.0</v>
      </c>
      <c r="AN157" s="37">
        <v>25.0</v>
      </c>
      <c r="AO157" s="37">
        <v>0.0</v>
      </c>
      <c r="AP157" s="37">
        <v>0.0</v>
      </c>
      <c r="AQ157" s="37">
        <v>0.0</v>
      </c>
      <c r="AR157" s="37">
        <v>25.0</v>
      </c>
      <c r="AS157" s="37">
        <v>0.0</v>
      </c>
      <c r="AT157" s="37">
        <v>0.0</v>
      </c>
      <c r="AU157" s="37">
        <v>0.0</v>
      </c>
      <c r="AV157" s="37">
        <v>0.0</v>
      </c>
      <c r="AW157" s="37">
        <v>25.0</v>
      </c>
      <c r="AX157" s="37">
        <v>0.0</v>
      </c>
      <c r="AY157" s="37">
        <v>0.0</v>
      </c>
      <c r="AZ157" s="37">
        <v>0.0</v>
      </c>
      <c r="BG157" s="37" t="str">
        <f t="array" ref="BG157">IF($A157="","",IFERROR(INDEX(CS!$B$1:$B$15025,MATCH($A157,CS!$B:$B,0)+COLUMN(A$1),1),""))</f>
        <v>崩拳</v>
      </c>
      <c r="BH157" s="37" t="str">
        <f t="array" ref="BH157">IF($A157="","",IFERROR(INDEX(CS!$B$1:$B$15025,MATCH($A157,CS!$B:$B,0)+COLUMN(B$1),1),""))</f>
        <v/>
      </c>
      <c r="BI157" s="37" t="str">
        <f t="array" ref="BI157">IF($A157="","",IFERROR(INDEX(CS!$B$1:$B$15025,MATCH($A157,CS!$B:$B,0)+COLUMN(C$1),1),""))</f>
        <v>達人の構え</v>
      </c>
      <c r="BJ157" s="37" t="str">
        <f t="array" ref="BJ157">IF($A157="","",IFERROR(INDEX(CS!$B$1:$B$15025,MATCH($A157,CS!$B:$B,0)+COLUMN(D$1),1),""))</f>
        <v/>
      </c>
      <c r="BK157" s="37" t="str">
        <f t="array" ref="BK157">IF($A157="","",IFERROR(INDEX(CS!$B$1:$B$15025,MATCH($A157,CS!$B:$B,0)+COLUMN(E$1),1),""))</f>
        <v>連環撃</v>
      </c>
      <c r="BL157" s="37" t="str">
        <f t="array" ref="BL157">IF($A157="","",IFERROR(INDEX(CS!$B$1:$B$15025,MATCH($A157,CS!$B:$B,0)+COLUMN(F$1),1),""))</f>
        <v/>
      </c>
      <c r="BM157" s="37" t="str">
        <f t="array" ref="BM157">IF($A157="","",IFERROR(INDEX(CS!$B$1:$B$15025,MATCH($A157,CS!$B:$B,0)+COLUMN(G$1),1),""))</f>
        <v>縮地</v>
      </c>
      <c r="BN157" s="37" t="str">
        <f t="array" ref="BN157">IF($A157="","",IFERROR(INDEX(CS!$B$1:$B$15025,MATCH($A157,CS!$B:$B,0)+COLUMN(H$1),1),""))</f>
        <v/>
      </c>
      <c r="BO157" s="37" t="str">
        <f t="array" ref="BO157">IF($A157="","",IFERROR(INDEX(CS!$B$1:$B$15025,MATCH($A157,CS!$B:$B,0)+COLUMN(I$1),1),""))</f>
        <v>見極</v>
      </c>
      <c r="BP157" s="37" t="str">
        <f t="array" ref="BP157">IF($A157="","",IFERROR(INDEX(CS!$B$1:$B$15025,MATCH($A157,CS!$B:$B,0)+COLUMN(J$1),1),""))</f>
        <v>奥義・震脚</v>
      </c>
      <c r="BR157" s="39" t="s">
        <v>2857</v>
      </c>
      <c r="BS157" s="74"/>
      <c r="CQ157" s="37"/>
      <c r="CR157" s="37"/>
    </row>
    <row r="158" ht="18.75" customHeight="1" outlineLevel="1">
      <c r="A158" s="39" t="s">
        <v>2382</v>
      </c>
      <c r="B158" s="89"/>
      <c r="C158" s="39" t="s">
        <v>2810</v>
      </c>
      <c r="D158" s="72" t="str">
        <f t="shared" si="6"/>
        <v>755/500/255</v>
      </c>
      <c r="E158" s="39">
        <v>4.0</v>
      </c>
      <c r="F158" s="39">
        <v>95.0</v>
      </c>
      <c r="I158" s="39">
        <v>95.0</v>
      </c>
      <c r="J158" s="39">
        <v>75.0</v>
      </c>
      <c r="K158" s="87">
        <v>25.0</v>
      </c>
      <c r="L158" s="39">
        <v>45.0</v>
      </c>
      <c r="M158" s="39">
        <v>90.0</v>
      </c>
      <c r="N158" s="39">
        <v>75.0</v>
      </c>
      <c r="P158" s="37">
        <v>0.0</v>
      </c>
      <c r="Q158" s="64"/>
      <c r="R158" s="64"/>
      <c r="S158" s="64"/>
      <c r="T158" s="64"/>
      <c r="U158" s="64"/>
      <c r="V158" s="64"/>
      <c r="W158" s="64"/>
      <c r="X158" s="64"/>
      <c r="Y158" s="64"/>
      <c r="Z158" s="64"/>
      <c r="AA158" s="64"/>
      <c r="AJ158" s="37">
        <v>50.0</v>
      </c>
      <c r="AK158" s="37">
        <v>50.0</v>
      </c>
      <c r="AL158" s="37">
        <v>25.0</v>
      </c>
      <c r="AM158" s="37">
        <v>55.0</v>
      </c>
      <c r="AN158" s="37">
        <v>25.0</v>
      </c>
      <c r="AO158" s="37">
        <v>0.0</v>
      </c>
      <c r="AP158" s="37">
        <v>0.0</v>
      </c>
      <c r="AQ158" s="37">
        <v>0.0</v>
      </c>
      <c r="AR158" s="37">
        <v>25.0</v>
      </c>
      <c r="AS158" s="37">
        <v>0.0</v>
      </c>
      <c r="AT158" s="37">
        <v>0.0</v>
      </c>
      <c r="AU158" s="37">
        <v>0.0</v>
      </c>
      <c r="AV158" s="37">
        <v>0.0</v>
      </c>
      <c r="AW158" s="37">
        <v>25.0</v>
      </c>
      <c r="AX158" s="37">
        <v>0.0</v>
      </c>
      <c r="AY158" s="37">
        <v>0.0</v>
      </c>
      <c r="AZ158" s="37">
        <v>0.0</v>
      </c>
      <c r="BG158" s="37" t="str">
        <f t="array" ref="BG158">IF($A158="","",IFERROR(INDEX(CS!$B$1:$B$15025,MATCH($A158,CS!$B:$B,0)+COLUMN(A$1),1),""))</f>
        <v>無拍子</v>
      </c>
      <c r="BH158" s="37" t="str">
        <f t="array" ref="BH158">IF($A158="","",IFERROR(INDEX(CS!$B$1:$B$15025,MATCH($A158,CS!$B:$B,0)+COLUMN(B$1),1),""))</f>
        <v/>
      </c>
      <c r="BI158" s="37" t="str">
        <f t="array" ref="BI158">IF($A158="","",IFERROR(INDEX(CS!$B$1:$B$15025,MATCH($A158,CS!$B:$B,0)+COLUMN(C$1),1),""))</f>
        <v>達人の構え</v>
      </c>
      <c r="BJ158" s="37" t="str">
        <f t="array" ref="BJ158">IF($A158="","",IFERROR(INDEX(CS!$B$1:$B$15025,MATCH($A158,CS!$B:$B,0)+COLUMN(D$1),1),""))</f>
        <v/>
      </c>
      <c r="BK158" s="37" t="str">
        <f t="array" ref="BK158">IF($A158="","",IFERROR(INDEX(CS!$B$1:$B$15025,MATCH($A158,CS!$B:$B,0)+COLUMN(E$1),1),""))</f>
        <v>縮地・空</v>
      </c>
      <c r="BL158" s="37" t="str">
        <f t="array" ref="BL158">IF($A158="","",IFERROR(INDEX(CS!$B$1:$B$15025,MATCH($A158,CS!$B:$B,0)+COLUMN(F$1),1),""))</f>
        <v/>
      </c>
      <c r="BM158" s="37" t="str">
        <f t="array" ref="BM158">IF($A158="","",IFERROR(INDEX(CS!$B$1:$B$15025,MATCH($A158,CS!$B:$B,0)+COLUMN(G$1),1),""))</f>
        <v>神眼</v>
      </c>
      <c r="BN158" s="37" t="str">
        <f t="array" ref="BN158">IF($A158="","",IFERROR(INDEX(CS!$B$1:$B$15025,MATCH($A158,CS!$B:$B,0)+COLUMN(H$1),1),""))</f>
        <v/>
      </c>
      <c r="BO158" s="37" t="str">
        <f t="array" ref="BO158">IF($A158="","",IFERROR(INDEX(CS!$B$1:$B$15025,MATCH($A158,CS!$B:$B,0)+COLUMN(I$1),1),""))</f>
        <v>見極</v>
      </c>
      <c r="BP158" s="37" t="str">
        <f t="array" ref="BP158">IF($A158="","",IFERROR(INDEX(CS!$B$1:$B$15025,MATCH($A158,CS!$B:$B,0)+COLUMN(J$1),1),""))</f>
        <v>武神撃</v>
      </c>
      <c r="BR158" s="39" t="s">
        <v>2858</v>
      </c>
      <c r="BS158" s="74"/>
      <c r="CQ158" s="37"/>
      <c r="CR158" s="37"/>
    </row>
    <row r="159" ht="18.75" customHeight="1" outlineLevel="1">
      <c r="A159" s="39" t="s">
        <v>2386</v>
      </c>
      <c r="B159" s="89"/>
      <c r="C159" s="39" t="s">
        <v>2810</v>
      </c>
      <c r="D159" s="72" t="str">
        <f t="shared" si="6"/>
        <v>760/465/295</v>
      </c>
      <c r="E159" s="39">
        <v>2.0</v>
      </c>
      <c r="F159" s="39">
        <v>80.0</v>
      </c>
      <c r="I159" s="39">
        <v>80.0</v>
      </c>
      <c r="J159" s="39">
        <v>65.0</v>
      </c>
      <c r="K159" s="87">
        <v>25.0</v>
      </c>
      <c r="L159" s="39">
        <v>55.0</v>
      </c>
      <c r="M159" s="39">
        <v>80.0</v>
      </c>
      <c r="N159" s="39">
        <v>80.0</v>
      </c>
      <c r="P159" s="37">
        <v>0.0</v>
      </c>
      <c r="Q159" s="64"/>
      <c r="R159" s="64"/>
      <c r="S159" s="64"/>
      <c r="T159" s="64"/>
      <c r="U159" s="64"/>
      <c r="V159" s="64"/>
      <c r="W159" s="64"/>
      <c r="X159" s="64"/>
      <c r="Y159" s="64"/>
      <c r="Z159" s="64"/>
      <c r="AA159" s="64"/>
      <c r="AJ159" s="37">
        <v>25.0</v>
      </c>
      <c r="AK159" s="37">
        <v>45.0</v>
      </c>
      <c r="AL159" s="37">
        <v>20.0</v>
      </c>
      <c r="AM159" s="37">
        <v>55.0</v>
      </c>
      <c r="AN159" s="37">
        <v>30.0</v>
      </c>
      <c r="AO159" s="37">
        <v>0.0</v>
      </c>
      <c r="AP159" s="37">
        <v>0.0</v>
      </c>
      <c r="AQ159" s="37">
        <v>50.0</v>
      </c>
      <c r="AR159" s="37">
        <v>55.0</v>
      </c>
      <c r="AS159" s="37">
        <v>0.0</v>
      </c>
      <c r="AT159" s="37">
        <v>0.0</v>
      </c>
      <c r="AU159" s="37">
        <v>0.0</v>
      </c>
      <c r="AV159" s="37">
        <v>0.0</v>
      </c>
      <c r="AW159" s="37">
        <v>15.0</v>
      </c>
      <c r="AX159" s="37">
        <v>0.0</v>
      </c>
      <c r="AY159" s="37">
        <v>0.0</v>
      </c>
      <c r="AZ159" s="37">
        <v>0.0</v>
      </c>
      <c r="BG159" s="37" t="str">
        <f t="array" ref="BG159">IF($A159="","",IFERROR(INDEX(CS!$B$1:$B$15025,MATCH($A159,CS!$B:$B,0)+COLUMN(A$1),1),""))</f>
        <v>潜伏</v>
      </c>
      <c r="BH159" s="37" t="str">
        <f t="array" ref="BH159">IF($A159="","",IFERROR(INDEX(CS!$B$1:$B$15025,MATCH($A159,CS!$B:$B,0)+COLUMN(B$1),1),""))</f>
        <v/>
      </c>
      <c r="BI159" s="37" t="str">
        <f t="array" ref="BI159">IF($A159="","",IFERROR(INDEX(CS!$B$1:$B$15025,MATCH($A159,CS!$B:$B,0)+COLUMN(C$1),1),""))</f>
        <v>奇襲</v>
      </c>
      <c r="BJ159" s="37" t="str">
        <f t="array" ref="BJ159">IF($A159="","",IFERROR(INDEX(CS!$B$1:$B$15025,MATCH($A159,CS!$B:$B,0)+COLUMN(D$1),1),""))</f>
        <v/>
      </c>
      <c r="BK159" s="37" t="str">
        <f t="array" ref="BK159">IF($A159="","",IFERROR(INDEX(CS!$B$1:$B$15025,MATCH($A159,CS!$B:$B,0)+COLUMN(E$1),1),""))</f>
        <v>縮地</v>
      </c>
      <c r="BL159" s="37" t="str">
        <f t="array" ref="BL159">IF($A159="","",IFERROR(INDEX(CS!$B$1:$B$15025,MATCH($A159,CS!$B:$B,0)+COLUMN(F$1),1),""))</f>
        <v/>
      </c>
      <c r="BM159" s="37" t="str">
        <f t="array" ref="BM159">IF($A159="","",IFERROR(INDEX(CS!$B$1:$B$15025,MATCH($A159,CS!$B:$B,0)+COLUMN(G$1),1),""))</f>
        <v>手裏剣</v>
      </c>
      <c r="BN159" s="37" t="str">
        <f t="array" ref="BN159">IF($A159="","",IFERROR(INDEX(CS!$B$1:$B$15025,MATCH($A159,CS!$B:$B,0)+COLUMN(H$1),1),""))</f>
        <v/>
      </c>
      <c r="BO159" s="37" t="str">
        <f t="array" ref="BO159">IF($A159="","",IFERROR(INDEX(CS!$B$1:$B$15025,MATCH($A159,CS!$B:$B,0)+COLUMN(I$1),1),""))</f>
        <v>反応</v>
      </c>
      <c r="BP159" s="37" t="str">
        <f t="array" ref="BP159">IF($A159="","",IFERROR(INDEX(CS!$B$1:$B$15025,MATCH($A159,CS!$B:$B,0)+COLUMN(J$1),1),""))</f>
        <v>忍殺</v>
      </c>
      <c r="BR159" s="39" t="s">
        <v>2859</v>
      </c>
      <c r="BS159" s="74"/>
      <c r="CQ159" s="37"/>
      <c r="CR159" s="37"/>
    </row>
    <row r="160" ht="18.75" customHeight="1" outlineLevel="1">
      <c r="A160" s="39" t="s">
        <v>2391</v>
      </c>
      <c r="B160" s="89"/>
      <c r="C160" s="39" t="s">
        <v>2810</v>
      </c>
      <c r="D160" s="72" t="str">
        <f t="shared" si="6"/>
        <v>790/495/295</v>
      </c>
      <c r="E160" s="39">
        <v>3.0</v>
      </c>
      <c r="F160" s="39">
        <v>80.0</v>
      </c>
      <c r="I160" s="39">
        <v>90.0</v>
      </c>
      <c r="J160" s="39">
        <v>65.0</v>
      </c>
      <c r="K160" s="87">
        <v>25.0</v>
      </c>
      <c r="L160" s="39">
        <v>55.0</v>
      </c>
      <c r="M160" s="39">
        <v>90.0</v>
      </c>
      <c r="N160" s="39">
        <v>90.0</v>
      </c>
      <c r="P160" s="37">
        <v>0.0</v>
      </c>
      <c r="Q160" s="64"/>
      <c r="R160" s="64"/>
      <c r="S160" s="64"/>
      <c r="T160" s="64"/>
      <c r="U160" s="64"/>
      <c r="V160" s="64"/>
      <c r="W160" s="64"/>
      <c r="X160" s="64"/>
      <c r="Y160" s="64"/>
      <c r="Z160" s="64"/>
      <c r="AA160" s="64"/>
      <c r="AJ160" s="37">
        <v>25.0</v>
      </c>
      <c r="AK160" s="37">
        <v>45.0</v>
      </c>
      <c r="AL160" s="37">
        <v>20.0</v>
      </c>
      <c r="AM160" s="37">
        <v>55.0</v>
      </c>
      <c r="AN160" s="37">
        <v>30.0</v>
      </c>
      <c r="AO160" s="37">
        <v>0.0</v>
      </c>
      <c r="AP160" s="37">
        <v>0.0</v>
      </c>
      <c r="AQ160" s="37">
        <v>50.0</v>
      </c>
      <c r="AR160" s="37">
        <v>55.0</v>
      </c>
      <c r="AS160" s="37">
        <v>0.0</v>
      </c>
      <c r="AT160" s="37">
        <v>0.0</v>
      </c>
      <c r="AU160" s="37">
        <v>0.0</v>
      </c>
      <c r="AV160" s="37">
        <v>0.0</v>
      </c>
      <c r="AW160" s="37">
        <v>15.0</v>
      </c>
      <c r="AX160" s="37">
        <v>0.0</v>
      </c>
      <c r="AY160" s="37">
        <v>0.0</v>
      </c>
      <c r="AZ160" s="37">
        <v>0.0</v>
      </c>
      <c r="BG160" s="37" t="str">
        <f t="array" ref="BG160">IF($A160="","",IFERROR(INDEX(CS!$B$1:$B$15025,MATCH($A160,CS!$B:$B,0)+COLUMN(A$1),1),""))</f>
        <v>潜伏</v>
      </c>
      <c r="BH160" s="37" t="str">
        <f t="array" ref="BH160">IF($A160="","",IFERROR(INDEX(CS!$B$1:$B$15025,MATCH($A160,CS!$B:$B,0)+COLUMN(B$1),1),""))</f>
        <v/>
      </c>
      <c r="BI160" s="37" t="str">
        <f t="array" ref="BI160">IF($A160="","",IFERROR(INDEX(CS!$B$1:$B$15025,MATCH($A160,CS!$B:$B,0)+COLUMN(C$1),1),""))</f>
        <v>手裏剣</v>
      </c>
      <c r="BJ160" s="37" t="str">
        <f t="array" ref="BJ160">IF($A160="","",IFERROR(INDEX(CS!$B$1:$B$15025,MATCH($A160,CS!$B:$B,0)+COLUMN(D$1),1),""))</f>
        <v/>
      </c>
      <c r="BK160" s="37" t="str">
        <f t="array" ref="BK160">IF($A160="","",IFERROR(INDEX(CS!$B$1:$B$15025,MATCH($A160,CS!$B:$B,0)+COLUMN(E$1),1),""))</f>
        <v>影潜り</v>
      </c>
      <c r="BL160" s="37" t="str">
        <f t="array" ref="BL160">IF($A160="","",IFERROR(INDEX(CS!$B$1:$B$15025,MATCH($A160,CS!$B:$B,0)+COLUMN(F$1),1),""))</f>
        <v/>
      </c>
      <c r="BM160" s="37" t="str">
        <f t="array" ref="BM160">IF($A160="","",IFERROR(INDEX(CS!$B$1:$B$15025,MATCH($A160,CS!$B:$B,0)+COLUMN(G$1),1),""))</f>
        <v>神眼</v>
      </c>
      <c r="BN160" s="37" t="str">
        <f t="array" ref="BN160">IF($A160="","",IFERROR(INDEX(CS!$B$1:$B$15025,MATCH($A160,CS!$B:$B,0)+COLUMN(H$1),1),""))</f>
        <v/>
      </c>
      <c r="BO160" s="37" t="str">
        <f t="array" ref="BO160">IF($A160="","",IFERROR(INDEX(CS!$B$1:$B$15025,MATCH($A160,CS!$B:$B,0)+COLUMN(I$1),1),""))</f>
        <v>狡猾</v>
      </c>
      <c r="BP160" s="37" t="str">
        <f t="array" ref="BP160">IF($A160="","",IFERROR(INDEX(CS!$B$1:$B$15025,MATCH($A160,CS!$B:$B,0)+COLUMN(J$1),1),""))</f>
        <v>影殺</v>
      </c>
      <c r="BR160" s="39" t="s">
        <v>2860</v>
      </c>
      <c r="BS160" s="74"/>
      <c r="CQ160" s="37"/>
      <c r="CR160" s="37"/>
    </row>
    <row r="161" ht="18.75" customHeight="1" outlineLevel="1">
      <c r="A161" s="39" t="s">
        <v>2395</v>
      </c>
      <c r="B161" s="89"/>
      <c r="C161" s="39" t="s">
        <v>2810</v>
      </c>
      <c r="D161" s="72" t="str">
        <f t="shared" si="6"/>
        <v>760/475/285</v>
      </c>
      <c r="E161" s="39">
        <v>2.0</v>
      </c>
      <c r="F161" s="39">
        <v>70.0</v>
      </c>
      <c r="I161" s="39">
        <v>65.0</v>
      </c>
      <c r="J161" s="39">
        <v>65.0</v>
      </c>
      <c r="K161" s="87">
        <v>60.0</v>
      </c>
      <c r="L161" s="39">
        <v>70.0</v>
      </c>
      <c r="M161" s="39">
        <v>65.0</v>
      </c>
      <c r="N161" s="39">
        <v>80.0</v>
      </c>
      <c r="P161" s="37">
        <v>0.0</v>
      </c>
      <c r="Q161" s="64"/>
      <c r="R161" s="64"/>
      <c r="S161" s="64"/>
      <c r="T161" s="64"/>
      <c r="U161" s="64"/>
      <c r="V161" s="64"/>
      <c r="W161" s="64"/>
      <c r="X161" s="64"/>
      <c r="Y161" s="64"/>
      <c r="Z161" s="64"/>
      <c r="AA161" s="64"/>
      <c r="AJ161" s="37">
        <v>25.0</v>
      </c>
      <c r="AK161" s="37">
        <v>30.0</v>
      </c>
      <c r="AL161" s="37">
        <v>65.0</v>
      </c>
      <c r="AM161" s="37">
        <v>35.0</v>
      </c>
      <c r="AN161" s="37">
        <v>20.0</v>
      </c>
      <c r="AO161" s="37">
        <v>0.0</v>
      </c>
      <c r="AP161" s="37">
        <v>0.0</v>
      </c>
      <c r="AQ161" s="37">
        <v>0.0</v>
      </c>
      <c r="AR161" s="37">
        <v>15.0</v>
      </c>
      <c r="AS161" s="37">
        <v>0.0</v>
      </c>
      <c r="AT161" s="37">
        <v>0.0</v>
      </c>
      <c r="AU161" s="37">
        <v>0.0</v>
      </c>
      <c r="AV161" s="37">
        <v>0.0</v>
      </c>
      <c r="AW161" s="37">
        <v>40.0</v>
      </c>
      <c r="AX161" s="37">
        <v>0.0</v>
      </c>
      <c r="AY161" s="37">
        <v>55.0</v>
      </c>
      <c r="AZ161" s="37">
        <v>0.0</v>
      </c>
      <c r="BG161" s="37" t="str">
        <f t="array" ref="BG161">IF($A161="","",IFERROR(INDEX(CS!$B$1:$B$15025,MATCH($A161,CS!$B:$B,0)+COLUMN(A$1),1),""))</f>
        <v>炎の拳</v>
      </c>
      <c r="BH161" s="37" t="str">
        <f t="array" ref="BH161">IF($A161="","",IFERROR(INDEX(CS!$B$1:$B$15025,MATCH($A161,CS!$B:$B,0)+COLUMN(B$1),1),""))</f>
        <v/>
      </c>
      <c r="BI161" s="37" t="str">
        <f t="array" ref="BI161">IF($A161="","",IFERROR(INDEX(CS!$B$1:$B$15025,MATCH($A161,CS!$B:$B,0)+COLUMN(C$1),1),""))</f>
        <v>火炎</v>
      </c>
      <c r="BJ161" s="37" t="str">
        <f t="array" ref="BJ161">IF($A161="","",IFERROR(INDEX(CS!$B$1:$B$15025,MATCH($A161,CS!$B:$B,0)+COLUMN(D$1),1),""))</f>
        <v/>
      </c>
      <c r="BK161" s="37" t="str">
        <f t="array" ref="BK161">IF($A161="","",IFERROR(INDEX(CS!$B$1:$B$15025,MATCH($A161,CS!$B:$B,0)+COLUMN(E$1),1),""))</f>
        <v>炎の適用</v>
      </c>
      <c r="BL161" s="37" t="str">
        <f t="array" ref="BL161">IF($A161="","",IFERROR(INDEX(CS!$B$1:$B$15025,MATCH($A161,CS!$B:$B,0)+COLUMN(F$1),1),""))</f>
        <v/>
      </c>
      <c r="BM161" s="37" t="str">
        <f t="array" ref="BM161">IF($A161="","",IFERROR(INDEX(CS!$B$1:$B$15025,MATCH($A161,CS!$B:$B,0)+COLUMN(G$1),1),""))</f>
        <v>火球</v>
      </c>
      <c r="BN161" s="37" t="str">
        <f t="array" ref="BN161">IF($A161="","",IFERROR(INDEX(CS!$B$1:$B$15025,MATCH($A161,CS!$B:$B,0)+COLUMN(H$1),1),""))</f>
        <v/>
      </c>
      <c r="BO161" s="37" t="str">
        <f t="array" ref="BO161">IF($A161="","",IFERROR(INDEX(CS!$B$1:$B$15025,MATCH($A161,CS!$B:$B,0)+COLUMN(I$1),1),""))</f>
        <v>炎強化</v>
      </c>
      <c r="BP161" s="37" t="str">
        <f t="array" ref="BP161">IF($A161="","",IFERROR(INDEX(CS!$B$1:$B$15025,MATCH($A161,CS!$B:$B,0)+COLUMN(J$1),1),""))</f>
        <v>爆炎拳</v>
      </c>
      <c r="BR161" s="39" t="s">
        <v>2861</v>
      </c>
      <c r="BS161" s="74"/>
      <c r="CQ161" s="37"/>
      <c r="CR161" s="37"/>
    </row>
    <row r="162" ht="18.75" customHeight="1" outlineLevel="1">
      <c r="A162" s="39" t="s">
        <v>2399</v>
      </c>
      <c r="B162" s="89"/>
      <c r="C162" s="39" t="s">
        <v>2810</v>
      </c>
      <c r="D162" s="72" t="str">
        <f t="shared" si="6"/>
        <v>760/475/285</v>
      </c>
      <c r="E162" s="39">
        <v>2.0</v>
      </c>
      <c r="F162" s="39">
        <v>70.0</v>
      </c>
      <c r="I162" s="39">
        <v>65.0</v>
      </c>
      <c r="J162" s="39">
        <v>65.0</v>
      </c>
      <c r="K162" s="87">
        <v>60.0</v>
      </c>
      <c r="L162" s="39">
        <v>70.0</v>
      </c>
      <c r="M162" s="39">
        <v>65.0</v>
      </c>
      <c r="N162" s="39">
        <v>80.0</v>
      </c>
      <c r="P162" s="37">
        <v>0.0</v>
      </c>
      <c r="Q162" s="64"/>
      <c r="R162" s="64"/>
      <c r="S162" s="64"/>
      <c r="T162" s="64"/>
      <c r="U162" s="64"/>
      <c r="V162" s="64"/>
      <c r="W162" s="64"/>
      <c r="X162" s="64"/>
      <c r="Y162" s="64"/>
      <c r="Z162" s="64"/>
      <c r="AA162" s="64"/>
      <c r="AJ162" s="37">
        <v>25.0</v>
      </c>
      <c r="AK162" s="37">
        <v>30.0</v>
      </c>
      <c r="AL162" s="37">
        <v>65.0</v>
      </c>
      <c r="AM162" s="37">
        <v>35.0</v>
      </c>
      <c r="AN162" s="37">
        <v>20.0</v>
      </c>
      <c r="AO162" s="37">
        <v>0.0</v>
      </c>
      <c r="AP162" s="37">
        <v>0.0</v>
      </c>
      <c r="AQ162" s="37">
        <v>0.0</v>
      </c>
      <c r="AR162" s="37">
        <v>15.0</v>
      </c>
      <c r="AS162" s="37">
        <v>0.0</v>
      </c>
      <c r="AT162" s="37">
        <v>0.0</v>
      </c>
      <c r="AU162" s="37">
        <v>0.0</v>
      </c>
      <c r="AV162" s="37">
        <v>0.0</v>
      </c>
      <c r="AW162" s="37">
        <v>40.0</v>
      </c>
      <c r="AX162" s="37">
        <v>0.0</v>
      </c>
      <c r="AY162" s="37">
        <v>55.0</v>
      </c>
      <c r="AZ162" s="37">
        <v>0.0</v>
      </c>
      <c r="BG162" s="37" t="str">
        <f t="array" ref="BG162">IF($A162="","",IFERROR(INDEX(CS!$B$1:$B$15025,MATCH($A162,CS!$B:$B,0)+COLUMN(A$1),1),""))</f>
        <v>氷の拳</v>
      </c>
      <c r="BH162" s="37" t="str">
        <f t="array" ref="BH162">IF($A162="","",IFERROR(INDEX(CS!$B$1:$B$15025,MATCH($A162,CS!$B:$B,0)+COLUMN(B$1),1),""))</f>
        <v/>
      </c>
      <c r="BI162" s="37" t="str">
        <f t="array" ref="BI162">IF($A162="","",IFERROR(INDEX(CS!$B$1:$B$15025,MATCH($A162,CS!$B:$B,0)+COLUMN(C$1),1),""))</f>
        <v>冷気の光線</v>
      </c>
      <c r="BJ162" s="37" t="str">
        <f t="array" ref="BJ162">IF($A162="","",IFERROR(INDEX(CS!$B$1:$B$15025,MATCH($A162,CS!$B:$B,0)+COLUMN(D$1),1),""))</f>
        <v/>
      </c>
      <c r="BK162" s="37" t="str">
        <f t="array" ref="BK162">IF($A162="","",IFERROR(INDEX(CS!$B$1:$B$15025,MATCH($A162,CS!$B:$B,0)+COLUMN(E$1),1),""))</f>
        <v>氷の適用</v>
      </c>
      <c r="BL162" s="37" t="str">
        <f t="array" ref="BL162">IF($A162="","",IFERROR(INDEX(CS!$B$1:$B$15025,MATCH($A162,CS!$B:$B,0)+COLUMN(F$1),1),""))</f>
        <v/>
      </c>
      <c r="BM162" s="37" t="str">
        <f t="array" ref="BM162">IF($A162="","",IFERROR(INDEX(CS!$B$1:$B$15025,MATCH($A162,CS!$B:$B,0)+COLUMN(G$1),1),""))</f>
        <v>氷柱弾</v>
      </c>
      <c r="BN162" s="37" t="str">
        <f t="array" ref="BN162">IF($A162="","",IFERROR(INDEX(CS!$B$1:$B$15025,MATCH($A162,CS!$B:$B,0)+COLUMN(H$1),1),""))</f>
        <v/>
      </c>
      <c r="BO162" s="37" t="str">
        <f t="array" ref="BO162">IF($A162="","",IFERROR(INDEX(CS!$B$1:$B$15025,MATCH($A162,CS!$B:$B,0)+COLUMN(I$1),1),""))</f>
        <v>氷強化</v>
      </c>
      <c r="BP162" s="37" t="str">
        <f t="array" ref="BP162">IF($A162="","",IFERROR(INDEX(CS!$B$1:$B$15025,MATCH($A162,CS!$B:$B,0)+COLUMN(J$1),1),""))</f>
        <v>氷砕拳</v>
      </c>
      <c r="BR162" s="39" t="s">
        <v>2861</v>
      </c>
      <c r="BS162" s="74"/>
      <c r="CQ162" s="37"/>
      <c r="CR162" s="37"/>
    </row>
    <row r="163" ht="18.75" customHeight="1" outlineLevel="1">
      <c r="A163" s="39" t="s">
        <v>2403</v>
      </c>
      <c r="B163" s="89"/>
      <c r="C163" s="39" t="s">
        <v>2810</v>
      </c>
      <c r="D163" s="72" t="str">
        <f t="shared" si="6"/>
        <v>760/475/285</v>
      </c>
      <c r="E163" s="39">
        <v>2.0</v>
      </c>
      <c r="F163" s="39">
        <v>70.0</v>
      </c>
      <c r="I163" s="39">
        <v>65.0</v>
      </c>
      <c r="J163" s="39">
        <v>65.0</v>
      </c>
      <c r="K163" s="87">
        <v>60.0</v>
      </c>
      <c r="L163" s="39">
        <v>70.0</v>
      </c>
      <c r="M163" s="39">
        <v>65.0</v>
      </c>
      <c r="N163" s="39">
        <v>80.0</v>
      </c>
      <c r="P163" s="37">
        <v>0.0</v>
      </c>
      <c r="Q163" s="64"/>
      <c r="R163" s="64"/>
      <c r="S163" s="64"/>
      <c r="T163" s="64"/>
      <c r="U163" s="64"/>
      <c r="V163" s="64"/>
      <c r="W163" s="64"/>
      <c r="X163" s="64"/>
      <c r="Y163" s="64"/>
      <c r="Z163" s="64"/>
      <c r="AA163" s="64"/>
      <c r="AJ163" s="37">
        <v>25.0</v>
      </c>
      <c r="AK163" s="37">
        <v>30.0</v>
      </c>
      <c r="AL163" s="37">
        <v>65.0</v>
      </c>
      <c r="AM163" s="37">
        <v>35.0</v>
      </c>
      <c r="AN163" s="37">
        <v>20.0</v>
      </c>
      <c r="AO163" s="37">
        <v>0.0</v>
      </c>
      <c r="AP163" s="37">
        <v>0.0</v>
      </c>
      <c r="AQ163" s="37">
        <v>0.0</v>
      </c>
      <c r="AR163" s="37">
        <v>15.0</v>
      </c>
      <c r="AS163" s="37">
        <v>0.0</v>
      </c>
      <c r="AT163" s="37">
        <v>0.0</v>
      </c>
      <c r="AU163" s="37">
        <v>0.0</v>
      </c>
      <c r="AV163" s="37">
        <v>0.0</v>
      </c>
      <c r="AW163" s="37">
        <v>40.0</v>
      </c>
      <c r="AX163" s="37">
        <v>0.0</v>
      </c>
      <c r="AY163" s="37">
        <v>55.0</v>
      </c>
      <c r="AZ163" s="37">
        <v>0.0</v>
      </c>
      <c r="BG163" s="37" t="str">
        <f t="array" ref="BG163">IF($A163="","",IFERROR(INDEX(CS!$B$1:$B$15025,MATCH($A163,CS!$B:$B,0)+COLUMN(A$1),1),""))</f>
        <v>雷の拳</v>
      </c>
      <c r="BH163" s="37" t="str">
        <f t="array" ref="BH163">IF($A163="","",IFERROR(INDEX(CS!$B$1:$B$15025,MATCH($A163,CS!$B:$B,0)+COLUMN(B$1),1),""))</f>
        <v/>
      </c>
      <c r="BI163" s="37" t="str">
        <f t="array" ref="BI163">IF($A163="","",IFERROR(INDEX(CS!$B$1:$B$15025,MATCH($A163,CS!$B:$B,0)+COLUMN(C$1),1),""))</f>
        <v>放電</v>
      </c>
      <c r="BJ163" s="37" t="str">
        <f t="array" ref="BJ163">IF($A163="","",IFERROR(INDEX(CS!$B$1:$B$15025,MATCH($A163,CS!$B:$B,0)+COLUMN(D$1),1),""))</f>
        <v/>
      </c>
      <c r="BK163" s="37" t="str">
        <f t="array" ref="BK163">IF($A163="","",IFERROR(INDEX(CS!$B$1:$B$15025,MATCH($A163,CS!$B:$B,0)+COLUMN(E$1),1),""))</f>
        <v>雷の適用</v>
      </c>
      <c r="BL163" s="37" t="str">
        <f t="array" ref="BL163">IF($A163="","",IFERROR(INDEX(CS!$B$1:$B$15025,MATCH($A163,CS!$B:$B,0)+COLUMN(F$1),1),""))</f>
        <v/>
      </c>
      <c r="BM163" s="37" t="str">
        <f t="array" ref="BM163">IF($A163="","",IFERROR(INDEX(CS!$B$1:$B$15025,MATCH($A163,CS!$B:$B,0)+COLUMN(G$1),1),""))</f>
        <v>電弧放電</v>
      </c>
      <c r="BN163" s="37" t="str">
        <f t="array" ref="BN163">IF($A163="","",IFERROR(INDEX(CS!$B$1:$B$15025,MATCH($A163,CS!$B:$B,0)+COLUMN(H$1),1),""))</f>
        <v/>
      </c>
      <c r="BO163" s="37" t="str">
        <f t="array" ref="BO163">IF($A163="","",IFERROR(INDEX(CS!$B$1:$B$15025,MATCH($A163,CS!$B:$B,0)+COLUMN(I$1),1),""))</f>
        <v>雷強化</v>
      </c>
      <c r="BP163" s="37" t="str">
        <f t="array" ref="BP163">IF($A163="","",IFERROR(INDEX(CS!$B$1:$B$15025,MATCH($A163,CS!$B:$B,0)+COLUMN(J$1),1),""))</f>
        <v>雷震拳</v>
      </c>
      <c r="BR163" s="39" t="s">
        <v>2861</v>
      </c>
      <c r="BS163" s="74"/>
      <c r="CQ163" s="37"/>
      <c r="CR163" s="37"/>
    </row>
    <row r="164" ht="18.75" customHeight="1" outlineLevel="1">
      <c r="A164" s="39" t="s">
        <v>2408</v>
      </c>
      <c r="B164" s="89"/>
      <c r="C164" s="39" t="s">
        <v>2810</v>
      </c>
      <c r="D164" s="72" t="str">
        <f t="shared" si="6"/>
        <v>760/475/285</v>
      </c>
      <c r="E164" s="39">
        <v>2.0</v>
      </c>
      <c r="F164" s="39">
        <v>70.0</v>
      </c>
      <c r="I164" s="39">
        <v>65.0</v>
      </c>
      <c r="J164" s="39">
        <v>65.0</v>
      </c>
      <c r="K164" s="87">
        <v>60.0</v>
      </c>
      <c r="L164" s="39">
        <v>70.0</v>
      </c>
      <c r="M164" s="39">
        <v>65.0</v>
      </c>
      <c r="N164" s="39">
        <v>80.0</v>
      </c>
      <c r="P164" s="37">
        <v>0.0</v>
      </c>
      <c r="Q164" s="64"/>
      <c r="R164" s="64"/>
      <c r="S164" s="64"/>
      <c r="T164" s="64"/>
      <c r="U164" s="64"/>
      <c r="V164" s="64"/>
      <c r="W164" s="64"/>
      <c r="X164" s="64"/>
      <c r="Y164" s="64"/>
      <c r="Z164" s="64"/>
      <c r="AA164" s="64"/>
      <c r="AJ164" s="37">
        <v>25.0</v>
      </c>
      <c r="AK164" s="37">
        <v>30.0</v>
      </c>
      <c r="AL164" s="37">
        <v>65.0</v>
      </c>
      <c r="AM164" s="37">
        <v>35.0</v>
      </c>
      <c r="AN164" s="37">
        <v>20.0</v>
      </c>
      <c r="AO164" s="37">
        <v>0.0</v>
      </c>
      <c r="AP164" s="37">
        <v>0.0</v>
      </c>
      <c r="AQ164" s="37">
        <v>0.0</v>
      </c>
      <c r="AR164" s="37">
        <v>15.0</v>
      </c>
      <c r="AS164" s="37">
        <v>0.0</v>
      </c>
      <c r="AT164" s="37">
        <v>0.0</v>
      </c>
      <c r="AU164" s="37">
        <v>0.0</v>
      </c>
      <c r="AV164" s="37">
        <v>0.0</v>
      </c>
      <c r="AW164" s="37">
        <v>40.0</v>
      </c>
      <c r="AX164" s="37">
        <v>0.0</v>
      </c>
      <c r="AY164" s="37">
        <v>55.0</v>
      </c>
      <c r="AZ164" s="37">
        <v>0.0</v>
      </c>
      <c r="BG164" s="37" t="str">
        <f t="array" ref="BG164">IF($A164="","",IFERROR(INDEX(CS!$B$1:$B$15025,MATCH($A164,CS!$B:$B,0)+COLUMN(A$1),1),""))</f>
        <v>酸の拳</v>
      </c>
      <c r="BH164" s="37" t="str">
        <f t="array" ref="BH164">IF($A164="","",IFERROR(INDEX(CS!$B$1:$B$15025,MATCH($A164,CS!$B:$B,0)+COLUMN(B$1),1),""))</f>
        <v/>
      </c>
      <c r="BI164" s="37" t="str">
        <f t="array" ref="BI164">IF($A164="","",IFERROR(INDEX(CS!$B$1:$B$15025,MATCH($A164,CS!$B:$B,0)+COLUMN(C$1),1),""))</f>
        <v>酸滴</v>
      </c>
      <c r="BJ164" s="37" t="str">
        <f t="array" ref="BJ164">IF($A164="","",IFERROR(INDEX(CS!$B$1:$B$15025,MATCH($A164,CS!$B:$B,0)+COLUMN(D$1),1),""))</f>
        <v/>
      </c>
      <c r="BK164" s="37" t="str">
        <f t="array" ref="BK164">IF($A164="","",IFERROR(INDEX(CS!$B$1:$B$15025,MATCH($A164,CS!$B:$B,0)+COLUMN(E$1),1),""))</f>
        <v>毒の適用</v>
      </c>
      <c r="BL164" s="37" t="str">
        <f t="array" ref="BL164">IF($A164="","",IFERROR(INDEX(CS!$B$1:$B$15025,MATCH($A164,CS!$B:$B,0)+COLUMN(F$1),1),""))</f>
        <v/>
      </c>
      <c r="BM164" s="37" t="str">
        <f t="array" ref="BM164">IF($A164="","",IFERROR(INDEX(CS!$B$1:$B$15025,MATCH($A164,CS!$B:$B,0)+COLUMN(G$1),1),""))</f>
        <v>酸の落流</v>
      </c>
      <c r="BN164" s="37" t="str">
        <f t="array" ref="BN164">IF($A164="","",IFERROR(INDEX(CS!$B$1:$B$15025,MATCH($A164,CS!$B:$B,0)+COLUMN(H$1),1),""))</f>
        <v/>
      </c>
      <c r="BO164" s="37" t="str">
        <f t="array" ref="BO164">IF($A164="","",IFERROR(INDEX(CS!$B$1:$B$15025,MATCH($A164,CS!$B:$B,0)+COLUMN(I$1),1),""))</f>
        <v>毒強化</v>
      </c>
      <c r="BP164" s="37" t="str">
        <f t="array" ref="BP164">IF($A164="","",IFERROR(INDEX(CS!$B$1:$B$15025,MATCH($A164,CS!$B:$B,0)+COLUMN(J$1),1),""))</f>
        <v>腐食拳</v>
      </c>
      <c r="BR164" s="39" t="s">
        <v>2861</v>
      </c>
      <c r="BS164" s="74"/>
      <c r="CQ164" s="37"/>
      <c r="CR164" s="37"/>
    </row>
    <row r="165" ht="18.75" customHeight="1" outlineLevel="1">
      <c r="A165" s="39" t="s">
        <v>2413</v>
      </c>
      <c r="B165" s="89"/>
      <c r="C165" s="39" t="s">
        <v>2810</v>
      </c>
      <c r="D165" s="72" t="str">
        <f t="shared" si="6"/>
        <v>760/475/285</v>
      </c>
      <c r="E165" s="39">
        <v>2.0</v>
      </c>
      <c r="F165" s="39">
        <v>70.0</v>
      </c>
      <c r="I165" s="39">
        <v>65.0</v>
      </c>
      <c r="J165" s="39">
        <v>65.0</v>
      </c>
      <c r="K165" s="87">
        <v>60.0</v>
      </c>
      <c r="L165" s="39">
        <v>70.0</v>
      </c>
      <c r="M165" s="39">
        <v>65.0</v>
      </c>
      <c r="N165" s="39">
        <v>80.0</v>
      </c>
      <c r="P165" s="37">
        <v>0.0</v>
      </c>
      <c r="Q165" s="64"/>
      <c r="R165" s="64"/>
      <c r="S165" s="64"/>
      <c r="T165" s="64"/>
      <c r="U165" s="64"/>
      <c r="V165" s="64"/>
      <c r="W165" s="64"/>
      <c r="X165" s="64"/>
      <c r="Y165" s="64"/>
      <c r="Z165" s="64"/>
      <c r="AA165" s="64"/>
      <c r="AJ165" s="37">
        <v>25.0</v>
      </c>
      <c r="AK165" s="37">
        <v>30.0</v>
      </c>
      <c r="AL165" s="37">
        <v>65.0</v>
      </c>
      <c r="AM165" s="37">
        <v>35.0</v>
      </c>
      <c r="AN165" s="37">
        <v>20.0</v>
      </c>
      <c r="AO165" s="37">
        <v>0.0</v>
      </c>
      <c r="AP165" s="37">
        <v>0.0</v>
      </c>
      <c r="AQ165" s="37">
        <v>0.0</v>
      </c>
      <c r="AR165" s="37">
        <v>15.0</v>
      </c>
      <c r="AS165" s="37">
        <v>0.0</v>
      </c>
      <c r="AT165" s="37">
        <v>0.0</v>
      </c>
      <c r="AU165" s="37">
        <v>0.0</v>
      </c>
      <c r="AV165" s="37">
        <v>0.0</v>
      </c>
      <c r="AW165" s="37">
        <v>40.0</v>
      </c>
      <c r="AX165" s="37">
        <v>0.0</v>
      </c>
      <c r="AY165" s="37">
        <v>55.0</v>
      </c>
      <c r="AZ165" s="37">
        <v>0.0</v>
      </c>
      <c r="BG165" s="37" t="str">
        <f t="array" ref="BG165">IF($A165="","",IFERROR(INDEX(CS!$B$1:$B$15025,MATCH($A165,CS!$B:$B,0)+COLUMN(A$1),1),""))</f>
        <v>烈風の拳</v>
      </c>
      <c r="BH165" s="37" t="str">
        <f t="array" ref="BH165">IF($A165="","",IFERROR(INDEX(CS!$B$1:$B$15025,MATCH($A165,CS!$B:$B,0)+COLUMN(B$1),1),""))</f>
        <v/>
      </c>
      <c r="BI165" s="37" t="str">
        <f t="array" ref="BI165">IF($A165="","",IFERROR(INDEX(CS!$B$1:$B$15025,MATCH($A165,CS!$B:$B,0)+COLUMN(C$1),1),""))</f>
        <v>突風</v>
      </c>
      <c r="BJ165" s="37" t="str">
        <f t="array" ref="BJ165">IF($A165="","",IFERROR(INDEX(CS!$B$1:$B$15025,MATCH($A165,CS!$B:$B,0)+COLUMN(D$1),1),""))</f>
        <v/>
      </c>
      <c r="BK165" s="37" t="str">
        <f t="array" ref="BK165">IF($A165="","",IFERROR(INDEX(CS!$B$1:$B$15025,MATCH($A165,CS!$B:$B,0)+COLUMN(E$1),1),""))</f>
        <v>風の適用</v>
      </c>
      <c r="BL165" s="37" t="str">
        <f t="array" ref="BL165">IF($A165="","",IFERROR(INDEX(CS!$B$1:$B$15025,MATCH($A165,CS!$B:$B,0)+COLUMN(F$1),1),""))</f>
        <v/>
      </c>
      <c r="BM165" s="37" t="str">
        <f t="array" ref="BM165">IF($A165="","",IFERROR(INDEX(CS!$B$1:$B$15025,MATCH($A165,CS!$B:$B,0)+COLUMN(G$1),1),""))</f>
        <v>上昇烈風</v>
      </c>
      <c r="BN165" s="37" t="str">
        <f t="array" ref="BN165">IF($A165="","",IFERROR(INDEX(CS!$B$1:$B$15025,MATCH($A165,CS!$B:$B,0)+COLUMN(H$1),1),""))</f>
        <v/>
      </c>
      <c r="BO165" s="37" t="str">
        <f t="array" ref="BO165">IF($A165="","",IFERROR(INDEX(CS!$B$1:$B$15025,MATCH($A165,CS!$B:$B,0)+COLUMN(I$1),1),""))</f>
        <v>風強化</v>
      </c>
      <c r="BP165" s="37" t="str">
        <f t="array" ref="BP165">IF($A165="","",IFERROR(INDEX(CS!$B$1:$B$15025,MATCH($A165,CS!$B:$B,0)+COLUMN(J$1),1),""))</f>
        <v>風圧拳</v>
      </c>
      <c r="BR165" s="39" t="s">
        <v>2861</v>
      </c>
      <c r="BS165" s="74"/>
      <c r="CQ165" s="37"/>
      <c r="CR165" s="37"/>
    </row>
    <row r="166" ht="18.75" customHeight="1" outlineLevel="1">
      <c r="A166" s="39" t="s">
        <v>2418</v>
      </c>
      <c r="B166" s="89"/>
      <c r="C166" s="39" t="s">
        <v>2810</v>
      </c>
      <c r="D166" s="72" t="str">
        <f t="shared" si="6"/>
        <v>760/475/285</v>
      </c>
      <c r="E166" s="39">
        <v>2.0</v>
      </c>
      <c r="F166" s="39">
        <v>70.0</v>
      </c>
      <c r="I166" s="39">
        <v>65.0</v>
      </c>
      <c r="J166" s="39">
        <v>65.0</v>
      </c>
      <c r="K166" s="87">
        <v>60.0</v>
      </c>
      <c r="L166" s="39">
        <v>70.0</v>
      </c>
      <c r="M166" s="39">
        <v>65.0</v>
      </c>
      <c r="N166" s="39">
        <v>80.0</v>
      </c>
      <c r="P166" s="37">
        <v>0.0</v>
      </c>
      <c r="Q166" s="64"/>
      <c r="R166" s="64"/>
      <c r="S166" s="64"/>
      <c r="T166" s="64"/>
      <c r="U166" s="64"/>
      <c r="V166" s="64"/>
      <c r="W166" s="64"/>
      <c r="X166" s="64"/>
      <c r="Y166" s="64"/>
      <c r="Z166" s="64"/>
      <c r="AA166" s="64"/>
      <c r="AJ166" s="37">
        <v>25.0</v>
      </c>
      <c r="AK166" s="37">
        <v>30.0</v>
      </c>
      <c r="AL166" s="37">
        <v>65.0</v>
      </c>
      <c r="AM166" s="37">
        <v>35.0</v>
      </c>
      <c r="AN166" s="37">
        <v>20.0</v>
      </c>
      <c r="AO166" s="37">
        <v>0.0</v>
      </c>
      <c r="AP166" s="37">
        <v>0.0</v>
      </c>
      <c r="AQ166" s="37">
        <v>0.0</v>
      </c>
      <c r="AR166" s="37">
        <v>15.0</v>
      </c>
      <c r="AS166" s="37">
        <v>0.0</v>
      </c>
      <c r="AT166" s="37">
        <v>0.0</v>
      </c>
      <c r="AU166" s="37">
        <v>0.0</v>
      </c>
      <c r="AV166" s="37">
        <v>0.0</v>
      </c>
      <c r="AW166" s="37">
        <v>40.0</v>
      </c>
      <c r="AX166" s="37">
        <v>0.0</v>
      </c>
      <c r="AY166" s="37">
        <v>55.0</v>
      </c>
      <c r="AZ166" s="37">
        <v>0.0</v>
      </c>
      <c r="BG166" s="37" t="str">
        <f t="array" ref="BG166">IF($A166="","",IFERROR(INDEX(CS!$B$1:$B$15025,MATCH($A166,CS!$B:$B,0)+COLUMN(A$1),1),""))</f>
        <v>岩の拳</v>
      </c>
      <c r="BH166" s="37" t="str">
        <f t="array" ref="BH166">IF($A166="","",IFERROR(INDEX(CS!$B$1:$B$15025,MATCH($A166,CS!$B:$B,0)+COLUMN(B$1),1),""))</f>
        <v/>
      </c>
      <c r="BI166" s="37" t="str">
        <f t="array" ref="BI166">IF($A166="","",IFERROR(INDEX(CS!$B$1:$B$15025,MATCH($A166,CS!$B:$B,0)+COLUMN(C$1),1),""))</f>
        <v>魔法の石</v>
      </c>
      <c r="BJ166" s="37" t="str">
        <f t="array" ref="BJ166">IF($A166="","",IFERROR(INDEX(CS!$B$1:$B$15025,MATCH($A166,CS!$B:$B,0)+COLUMN(D$1),1),""))</f>
        <v/>
      </c>
      <c r="BK166" s="37" t="str">
        <f t="array" ref="BK166">IF($A166="","",IFERROR(INDEX(CS!$B$1:$B$15025,MATCH($A166,CS!$B:$B,0)+COLUMN(E$1),1),""))</f>
        <v>石の適用</v>
      </c>
      <c r="BL166" s="37" t="str">
        <f t="array" ref="BL166">IF($A166="","",IFERROR(INDEX(CS!$B$1:$B$15025,MATCH($A166,CS!$B:$B,0)+COLUMN(F$1),1),""))</f>
        <v/>
      </c>
      <c r="BM166" s="37" t="str">
        <f t="array" ref="BM166">IF($A166="","",IFERROR(INDEX(CS!$B$1:$B$15025,MATCH($A166,CS!$B:$B,0)+COLUMN(G$1),1),""))</f>
        <v>水晶片</v>
      </c>
      <c r="BN166" s="37" t="str">
        <f t="array" ref="BN166">IF($A166="","",IFERROR(INDEX(CS!$B$1:$B$15025,MATCH($A166,CS!$B:$B,0)+COLUMN(H$1),1),""))</f>
        <v/>
      </c>
      <c r="BO166" s="37" t="str">
        <f t="array" ref="BO166">IF($A166="","",IFERROR(INDEX(CS!$B$1:$B$15025,MATCH($A166,CS!$B:$B,0)+COLUMN(I$1),1),""))</f>
        <v>地強化</v>
      </c>
      <c r="BP166" s="37" t="str">
        <f t="array" ref="BP166">IF($A166="","",IFERROR(INDEX(CS!$B$1:$B$15025,MATCH($A166,CS!$B:$B,0)+COLUMN(J$1),1),""))</f>
        <v>岩砕拳</v>
      </c>
      <c r="BR166" s="39" t="s">
        <v>2861</v>
      </c>
      <c r="BS166" s="74"/>
      <c r="CQ166" s="37"/>
      <c r="CR166" s="37"/>
    </row>
    <row r="167" ht="18.75" customHeight="1">
      <c r="B167" s="71"/>
      <c r="D167" s="72"/>
      <c r="K167" s="73"/>
      <c r="P167" s="37" t="s">
        <v>29</v>
      </c>
      <c r="Q167" s="64"/>
      <c r="R167" s="64"/>
      <c r="S167" s="64"/>
      <c r="T167" s="64"/>
      <c r="U167" s="64"/>
      <c r="V167" s="64"/>
      <c r="W167" s="64"/>
      <c r="X167" s="64"/>
      <c r="Y167" s="64"/>
      <c r="Z167" s="64"/>
      <c r="AA167" s="64"/>
      <c r="AJ167" s="37" t="s">
        <v>29</v>
      </c>
      <c r="AK167" s="37" t="s">
        <v>29</v>
      </c>
      <c r="AL167" s="37" t="s">
        <v>29</v>
      </c>
      <c r="AM167" s="37" t="s">
        <v>29</v>
      </c>
      <c r="AN167" s="37" t="s">
        <v>29</v>
      </c>
      <c r="AO167" s="37" t="s">
        <v>29</v>
      </c>
      <c r="AP167" s="37" t="s">
        <v>29</v>
      </c>
      <c r="AQ167" s="37" t="s">
        <v>29</v>
      </c>
      <c r="AR167" s="37" t="s">
        <v>29</v>
      </c>
      <c r="AS167" s="37" t="s">
        <v>29</v>
      </c>
      <c r="AT167" s="37" t="s">
        <v>29</v>
      </c>
      <c r="AU167" s="37" t="s">
        <v>29</v>
      </c>
      <c r="AV167" s="37" t="s">
        <v>29</v>
      </c>
      <c r="AW167" s="37" t="s">
        <v>29</v>
      </c>
      <c r="AX167" s="37" t="s">
        <v>29</v>
      </c>
      <c r="AY167" s="37" t="s">
        <v>29</v>
      </c>
      <c r="AZ167" s="37" t="s">
        <v>29</v>
      </c>
      <c r="BG167" s="37" t="str">
        <f t="array" ref="BG167">IF($A167="","", INDEX(CS!$B$1:$B$15025,MATCH($A167,CS!$B:$B,0)+COLUMN(A$1),1))</f>
        <v/>
      </c>
      <c r="BH167" s="37" t="str">
        <f t="array" ref="BH167">IF($A167="","", INDEX(CS!$B$1:$B$15025,MATCH($A167,CS!$B:$B,0)+COLUMN(B$1),1))</f>
        <v/>
      </c>
      <c r="BI167" s="37" t="str">
        <f t="array" ref="BI167">IF($A167="","", INDEX(CS!$B$1:$B$15025,MATCH($A167,CS!$B:$B,0)+COLUMN(C$1),1))</f>
        <v/>
      </c>
      <c r="BJ167" s="37" t="str">
        <f t="array" ref="BJ167">IF($A167="","", INDEX(CS!$B$1:$B$15025,MATCH($A167,CS!$B:$B,0)+COLUMN(D$1),1))</f>
        <v/>
      </c>
      <c r="BK167" s="37" t="str">
        <f t="array" ref="BK167">IF($A167="","", INDEX(CS!$B$1:$B$15025,MATCH($A167,CS!$B:$B,0)+COLUMN(E$1),1))</f>
        <v/>
      </c>
      <c r="BL167" s="37" t="str">
        <f t="array" ref="BL167">IF($A167="","", INDEX(CS!$B$1:$B$15025,MATCH($A167,CS!$B:$B,0)+COLUMN(F$1),1))</f>
        <v/>
      </c>
      <c r="BM167" s="37" t="str">
        <f t="array" ref="BM167">IF($A167="","", INDEX(CS!$B$1:$B$15025,MATCH($A167,CS!$B:$B,0)+COLUMN(G$1),1))</f>
        <v/>
      </c>
      <c r="BN167" s="37" t="str">
        <f t="array" ref="BN167">IF($A167="","", INDEX(CS!$B$1:$B$15025,MATCH($A167,CS!$B:$B,0)+COLUMN(H$1),1))</f>
        <v/>
      </c>
      <c r="BO167" s="37" t="str">
        <f t="array" ref="BO167">IF($A167="","", INDEX(CS!$B$1:$B$15025,MATCH($A167,CS!$B:$B,0)+COLUMN(I$1),1))</f>
        <v/>
      </c>
      <c r="BP167" s="37" t="str">
        <f t="array" ref="BP167">IF($A167="","", INDEX(CS!$B$1:$B$15025,MATCH($A167,CS!$B:$B,0)+COLUMN(J$1),1))</f>
        <v/>
      </c>
      <c r="BS167" s="74"/>
      <c r="CI167" s="37" t="s">
        <v>2828</v>
      </c>
      <c r="CJ167" s="37" t="s">
        <v>2809</v>
      </c>
      <c r="CK167" s="37" t="s">
        <v>2802</v>
      </c>
      <c r="CQ167" s="37"/>
      <c r="CR167" s="37"/>
    </row>
    <row r="168" ht="18.75" customHeight="1">
      <c r="B168" s="85" t="s">
        <v>2862</v>
      </c>
      <c r="D168" s="72" t="str">
        <f t="shared" ref="D168:D176" si="7">SUM(AJ168:AZ168,F168:N168)&amp;"/"&amp;SUM(F168:N168)&amp;"/"&amp;SUM(AJ168:AZ168)</f>
        <v>0/0/0</v>
      </c>
      <c r="E168" s="37">
        <v>1.0</v>
      </c>
      <c r="K168" s="73"/>
      <c r="P168" s="37" t="s">
        <v>29</v>
      </c>
      <c r="Q168" s="64"/>
      <c r="R168" s="64"/>
      <c r="S168" s="64"/>
      <c r="T168" s="64"/>
      <c r="U168" s="64"/>
      <c r="V168" s="64"/>
      <c r="W168" s="64"/>
      <c r="X168" s="64"/>
      <c r="Y168" s="64"/>
      <c r="Z168" s="64"/>
      <c r="AA168" s="64"/>
      <c r="AJ168" s="37" t="s">
        <v>29</v>
      </c>
      <c r="AK168" s="37" t="s">
        <v>29</v>
      </c>
      <c r="AL168" s="37" t="s">
        <v>29</v>
      </c>
      <c r="AM168" s="37" t="s">
        <v>29</v>
      </c>
      <c r="AN168" s="37" t="s">
        <v>29</v>
      </c>
      <c r="AO168" s="37" t="s">
        <v>29</v>
      </c>
      <c r="AP168" s="37" t="s">
        <v>29</v>
      </c>
      <c r="AQ168" s="37" t="s">
        <v>29</v>
      </c>
      <c r="AR168" s="37" t="s">
        <v>29</v>
      </c>
      <c r="AS168" s="37" t="s">
        <v>29</v>
      </c>
      <c r="AT168" s="37" t="s">
        <v>29</v>
      </c>
      <c r="AU168" s="37" t="s">
        <v>29</v>
      </c>
      <c r="AV168" s="37" t="s">
        <v>29</v>
      </c>
      <c r="AW168" s="37" t="s">
        <v>29</v>
      </c>
      <c r="AX168" s="37" t="s">
        <v>29</v>
      </c>
      <c r="AY168" s="37" t="s">
        <v>29</v>
      </c>
      <c r="AZ168" s="37" t="s">
        <v>29</v>
      </c>
      <c r="BG168" s="37" t="str">
        <f t="array" ref="BG168">IF($A168="","", INDEX(CS!$B$1:$B$15025,MATCH($A168,CS!$B:$B,0)+COLUMN(A$1),1))</f>
        <v/>
      </c>
      <c r="BH168" s="37" t="str">
        <f t="array" ref="BH168">IF($A168="","", INDEX(CS!$B$1:$B$15025,MATCH($A168,CS!$B:$B,0)+COLUMN(B$1),1))</f>
        <v/>
      </c>
      <c r="BI168" s="37" t="str">
        <f t="array" ref="BI168">IF($A168="","", INDEX(CS!$B$1:$B$15025,MATCH($A168,CS!$B:$B,0)+COLUMN(C$1),1))</f>
        <v/>
      </c>
      <c r="BJ168" s="37" t="str">
        <f t="array" ref="BJ168">IF($A168="","", INDEX(CS!$B$1:$B$15025,MATCH($A168,CS!$B:$B,0)+COLUMN(D$1),1))</f>
        <v/>
      </c>
      <c r="BK168" s="37" t="str">
        <f t="array" ref="BK168">IF($A168="","", INDEX(CS!$B$1:$B$15025,MATCH($A168,CS!$B:$B,0)+COLUMN(E$1),1))</f>
        <v/>
      </c>
      <c r="BL168" s="37" t="str">
        <f t="array" ref="BL168">IF($A168="","", INDEX(CS!$B$1:$B$15025,MATCH($A168,CS!$B:$B,0)+COLUMN(F$1),1))</f>
        <v/>
      </c>
      <c r="BM168" s="37" t="str">
        <f t="array" ref="BM168">IF($A168="","", INDEX(CS!$B$1:$B$15025,MATCH($A168,CS!$B:$B,0)+COLUMN(G$1),1))</f>
        <v/>
      </c>
      <c r="BN168" s="37" t="str">
        <f t="array" ref="BN168">IF($A168="","", INDEX(CS!$B$1:$B$15025,MATCH($A168,CS!$B:$B,0)+COLUMN(H$1),1))</f>
        <v/>
      </c>
      <c r="BO168" s="37" t="str">
        <f t="array" ref="BO168">IF($A168="","", INDEX(CS!$B$1:$B$15025,MATCH($A168,CS!$B:$B,0)+COLUMN(I$1),1))</f>
        <v/>
      </c>
      <c r="BP168" s="37" t="str">
        <f t="array" ref="BP168">IF($A168="","", INDEX(CS!$B$1:$B$15025,MATCH($A168,CS!$B:$B,0)+COLUMN(J$1),1))</f>
        <v/>
      </c>
      <c r="BS168" s="74"/>
      <c r="CQ168" s="37"/>
      <c r="CR168" s="37"/>
    </row>
    <row r="169" ht="18.75" customHeight="1" outlineLevel="1">
      <c r="A169" s="37" t="s">
        <v>2424</v>
      </c>
      <c r="B169" s="71" t="s">
        <v>2425</v>
      </c>
      <c r="C169" s="39" t="s">
        <v>2817</v>
      </c>
      <c r="D169" s="72" t="str">
        <f t="shared" si="7"/>
        <v>710/465/245</v>
      </c>
      <c r="E169" s="37">
        <v>1.0</v>
      </c>
      <c r="F169" s="37">
        <v>60.0</v>
      </c>
      <c r="I169" s="37">
        <v>50.0</v>
      </c>
      <c r="J169" s="37">
        <v>55.0</v>
      </c>
      <c r="K169" s="73">
        <v>85.0</v>
      </c>
      <c r="L169" s="37">
        <v>90.0</v>
      </c>
      <c r="M169" s="37">
        <v>50.0</v>
      </c>
      <c r="N169" s="37">
        <v>75.0</v>
      </c>
      <c r="P169" s="37">
        <v>0.0</v>
      </c>
      <c r="Q169" s="64"/>
      <c r="R169" s="64"/>
      <c r="S169" s="64"/>
      <c r="T169" s="64"/>
      <c r="U169" s="64"/>
      <c r="V169" s="64"/>
      <c r="W169" s="64"/>
      <c r="X169" s="64"/>
      <c r="Y169" s="64"/>
      <c r="Z169" s="64"/>
      <c r="AA169" s="64"/>
      <c r="AJ169" s="37">
        <v>0.0</v>
      </c>
      <c r="AK169" s="37">
        <v>0.0</v>
      </c>
      <c r="AL169" s="37">
        <v>75.0</v>
      </c>
      <c r="AM169" s="37">
        <v>50.0</v>
      </c>
      <c r="AN169" s="37">
        <v>20.0</v>
      </c>
      <c r="AO169" s="37">
        <v>0.0</v>
      </c>
      <c r="AP169" s="37">
        <v>0.0</v>
      </c>
      <c r="AQ169" s="37">
        <v>0.0</v>
      </c>
      <c r="AR169" s="37">
        <v>0.0</v>
      </c>
      <c r="AS169" s="37">
        <v>0.0</v>
      </c>
      <c r="AT169" s="37">
        <v>0.0</v>
      </c>
      <c r="AU169" s="37">
        <v>0.0</v>
      </c>
      <c r="AV169" s="37">
        <v>0.0</v>
      </c>
      <c r="AW169" s="37">
        <v>0.0</v>
      </c>
      <c r="AX169" s="37">
        <v>0.0</v>
      </c>
      <c r="AY169" s="37">
        <v>100.0</v>
      </c>
      <c r="AZ169" s="37">
        <v>0.0</v>
      </c>
      <c r="BG169" s="37" t="str">
        <f t="array" ref="BG169">IF($A169="","", INDEX(CS!$B$1:$B$15025,MATCH($A169,CS!$B:$B,0)+COLUMN(A$1),1))</f>
        <v>火球</v>
      </c>
      <c r="BH169" s="37" t="str">
        <f t="array" ref="BH169">IF($A169="","", INDEX(CS!$B$1:$B$15025,MATCH($A169,CS!$B:$B,0)+COLUMN(B$1),1))</f>
        <v>氷柱弾</v>
      </c>
      <c r="BI169" s="37" t="str">
        <f t="array" ref="BI169">IF($A169="","", INDEX(CS!$B$1:$B$15025,MATCH($A169,CS!$B:$B,0)+COLUMN(C$1),1))</f>
        <v>川の鞭</v>
      </c>
      <c r="BJ169" s="37" t="str">
        <f t="array" ref="BJ169">IF($A169="","", INDEX(CS!$B$1:$B$15025,MATCH($A169,CS!$B:$B,0)+COLUMN(D$1),1))</f>
        <v>電弧放電</v>
      </c>
      <c r="BK169" s="37" t="str">
        <f t="array" ref="BK169">IF($A169="","", INDEX(CS!$B$1:$B$15025,MATCH($A169,CS!$B:$B,0)+COLUMN(E$1),1))</f>
        <v>上昇烈風</v>
      </c>
      <c r="BL169" s="37" t="str">
        <f t="array" ref="BL169">IF($A169="","", INDEX(CS!$B$1:$B$15025,MATCH($A169,CS!$B:$B,0)+COLUMN(F$1),1))</f>
        <v/>
      </c>
      <c r="BM169" s="37" t="str">
        <f t="array" ref="BM169">IF($A169="","", INDEX(CS!$B$1:$B$15025,MATCH($A169,CS!$B:$B,0)+COLUMN(G$1),1))</f>
        <v>水晶片</v>
      </c>
      <c r="BN169" s="37" t="str">
        <f t="array" ref="BN169">IF($A169="","", INDEX(CS!$B$1:$B$15025,MATCH($A169,CS!$B:$B,0)+COLUMN(H$1),1))</f>
        <v/>
      </c>
      <c r="BO169" s="37" t="str">
        <f t="array" ref="BO169">IF($A169="","", INDEX(CS!$B$1:$B$15025,MATCH($A169,CS!$B:$B,0)+COLUMN(I$1),1))</f>
        <v>光線</v>
      </c>
      <c r="BP169" s="37" t="str">
        <f t="array" ref="BP169">IF($A169="","", INDEX(CS!$B$1:$B$15025,MATCH($A169,CS!$B:$B,0)+COLUMN(J$1),1))</f>
        <v/>
      </c>
      <c r="BS169" s="74"/>
      <c r="CG169" s="37" t="s">
        <v>2818</v>
      </c>
      <c r="CI169" s="37" t="s">
        <v>2808</v>
      </c>
      <c r="CJ169" s="37" t="s">
        <v>2819</v>
      </c>
      <c r="CK169" s="37" t="s">
        <v>2802</v>
      </c>
      <c r="CN169" s="37" t="s">
        <v>2816</v>
      </c>
      <c r="CQ169" s="37"/>
      <c r="CR169" s="37"/>
    </row>
    <row r="170" ht="18.75" customHeight="1" outlineLevel="1">
      <c r="A170" s="88" t="s">
        <v>70</v>
      </c>
      <c r="B170" s="71"/>
      <c r="C170" s="39" t="s">
        <v>2817</v>
      </c>
      <c r="D170" s="72" t="str">
        <f t="shared" si="7"/>
        <v>760/490/270</v>
      </c>
      <c r="E170" s="39">
        <v>2.0</v>
      </c>
      <c r="F170" s="39">
        <v>70.0</v>
      </c>
      <c r="I170" s="39">
        <v>60.0</v>
      </c>
      <c r="J170" s="39">
        <v>60.0</v>
      </c>
      <c r="K170" s="87">
        <v>90.0</v>
      </c>
      <c r="L170" s="39">
        <v>80.0</v>
      </c>
      <c r="M170" s="39">
        <v>50.0</v>
      </c>
      <c r="N170" s="39">
        <v>80.0</v>
      </c>
      <c r="O170" s="37">
        <v>140.0</v>
      </c>
      <c r="P170" s="37">
        <v>0.0</v>
      </c>
      <c r="Q170" s="64">
        <v>15.0</v>
      </c>
      <c r="R170" s="64"/>
      <c r="S170" s="64"/>
      <c r="T170" s="64"/>
      <c r="U170" s="64"/>
      <c r="V170" s="64"/>
      <c r="W170" s="64"/>
      <c r="X170" s="64"/>
      <c r="Y170" s="64"/>
      <c r="Z170" s="64"/>
      <c r="AA170" s="64"/>
      <c r="AB170" s="64"/>
      <c r="AC170" s="64"/>
      <c r="AD170" s="64"/>
      <c r="AE170" s="64"/>
      <c r="AF170" s="64"/>
      <c r="AG170" s="64"/>
      <c r="AH170" s="64"/>
      <c r="AI170" s="64"/>
      <c r="AJ170" s="64">
        <v>0.0</v>
      </c>
      <c r="AK170" s="37">
        <v>0.0</v>
      </c>
      <c r="AL170" s="37">
        <v>90.0</v>
      </c>
      <c r="AM170" s="37">
        <v>15.0</v>
      </c>
      <c r="AN170" s="37">
        <v>20.0</v>
      </c>
      <c r="AO170" s="37">
        <v>0.0</v>
      </c>
      <c r="AP170" s="37">
        <v>0.0</v>
      </c>
      <c r="AQ170" s="37">
        <v>0.0</v>
      </c>
      <c r="AR170" s="37">
        <v>30.0</v>
      </c>
      <c r="AS170" s="37">
        <v>0.0</v>
      </c>
      <c r="AT170" s="37">
        <v>0.0</v>
      </c>
      <c r="AU170" s="37">
        <v>0.0</v>
      </c>
      <c r="AV170" s="37">
        <v>0.0</v>
      </c>
      <c r="AW170" s="37">
        <v>30.0</v>
      </c>
      <c r="AX170" s="37">
        <v>0.0</v>
      </c>
      <c r="AY170" s="37">
        <v>55.0</v>
      </c>
      <c r="AZ170" s="37">
        <v>30.0</v>
      </c>
      <c r="BA170" s="39"/>
      <c r="BB170" s="39"/>
      <c r="BC170" s="39"/>
      <c r="BD170" s="39"/>
      <c r="BE170" s="39"/>
      <c r="BF170" s="39"/>
      <c r="BG170" s="37" t="str">
        <f t="array" ref="BG170">IF($A170="","",IFERROR(INDEX(CS!$B$1:$B$15025,MATCH($A170,CS!$B:$B,0)+COLUMN(A$1),1),""))</f>
        <v>平地化</v>
      </c>
      <c r="BH170" s="37" t="str">
        <f t="array" ref="BH170">IF($A170="","",IFERROR(INDEX(CS!$B$1:$B$15025,MATCH($A170,CS!$B:$B,0)+COLUMN(B$1),1),""))</f>
        <v>森化</v>
      </c>
      <c r="BI170" s="37" t="str">
        <f t="array" ref="BI170">IF($A170="","",IFERROR(INDEX(CS!$B$1:$B$15025,MATCH($A170,CS!$B:$B,0)+COLUMN(C$1),1),""))</f>
        <v>山岳化</v>
      </c>
      <c r="BJ170" s="37" t="str">
        <f t="array" ref="BJ170">IF($A170="","",IFERROR(INDEX(CS!$B$1:$B$15025,MATCH($A170,CS!$B:$B,0)+COLUMN(D$1),1),""))</f>
        <v>丘陵化</v>
      </c>
      <c r="BK170" s="37" t="str">
        <f t="array" ref="BK170">IF($A170="","",IFERROR(INDEX(CS!$B$1:$B$15025,MATCH($A170,CS!$B:$B,0)+COLUMN(E$1),1),""))</f>
        <v>河川化</v>
      </c>
      <c r="BL170" s="37" t="str">
        <f t="array" ref="BL170">IF($A170="","",IFERROR(INDEX(CS!$B$1:$B$15025,MATCH($A170,CS!$B:$B,0)+COLUMN(F$1),1),""))</f>
        <v>湖化</v>
      </c>
      <c r="BM170" s="37" t="str">
        <f t="array" ref="BM170">IF($A170="","",IFERROR(INDEX(CS!$B$1:$B$15025,MATCH($A170,CS!$B:$B,0)+COLUMN(G$1),1),""))</f>
        <v>海化</v>
      </c>
      <c r="BN170" s="37" t="str">
        <f t="array" ref="BN170">IF($A170="","",IFERROR(INDEX(CS!$B$1:$B$15025,MATCH($A170,CS!$B:$B,0)+COLUMN(H$1),1),""))</f>
        <v>砂漠化</v>
      </c>
      <c r="BO170" s="37" t="str">
        <f t="array" ref="BO170">IF($A170="","",IFERROR(INDEX(CS!$B$1:$B$15025,MATCH($A170,CS!$B:$B,0)+COLUMN(I$1),1),""))</f>
        <v>沼地化</v>
      </c>
      <c r="BP170" s="37" t="str">
        <f t="array" ref="BP170">IF($A170="","",IFERROR(INDEX(CS!$B$1:$B$15025,MATCH($A170,CS!$B:$B,0)+COLUMN(J$1),1),""))</f>
        <v>薬草繁茂化</v>
      </c>
      <c r="BR170" s="39" t="s">
        <v>2863</v>
      </c>
      <c r="BS170" s="74"/>
      <c r="CN170" s="37" t="s">
        <v>2752</v>
      </c>
      <c r="CQ170" s="37"/>
      <c r="CR170" s="37"/>
    </row>
    <row r="171" ht="18.75" customHeight="1" outlineLevel="1">
      <c r="A171" s="39" t="s">
        <v>2426</v>
      </c>
      <c r="B171" s="71"/>
      <c r="C171" s="39" t="s">
        <v>2817</v>
      </c>
      <c r="D171" s="72" t="str">
        <f t="shared" si="7"/>
        <v>725/485/240</v>
      </c>
      <c r="E171" s="39">
        <v>2.0</v>
      </c>
      <c r="F171" s="39">
        <v>60.0</v>
      </c>
      <c r="I171" s="39">
        <v>50.0</v>
      </c>
      <c r="J171" s="39">
        <v>55.0</v>
      </c>
      <c r="K171" s="87">
        <v>95.0</v>
      </c>
      <c r="L171" s="39">
        <v>95.0</v>
      </c>
      <c r="M171" s="39">
        <v>50.0</v>
      </c>
      <c r="N171" s="39">
        <v>80.0</v>
      </c>
      <c r="P171" s="37">
        <v>0.0</v>
      </c>
      <c r="Q171" s="64"/>
      <c r="R171" s="64"/>
      <c r="S171" s="64"/>
      <c r="T171" s="64"/>
      <c r="U171" s="64"/>
      <c r="V171" s="64"/>
      <c r="W171" s="64"/>
      <c r="X171" s="64"/>
      <c r="Y171" s="64"/>
      <c r="Z171" s="64"/>
      <c r="AA171" s="64"/>
      <c r="AJ171" s="37">
        <v>0.0</v>
      </c>
      <c r="AK171" s="37">
        <v>0.0</v>
      </c>
      <c r="AL171" s="37">
        <v>90.0</v>
      </c>
      <c r="AM171" s="37">
        <v>0.0</v>
      </c>
      <c r="AN171" s="37">
        <v>50.0</v>
      </c>
      <c r="AO171" s="37">
        <v>0.0</v>
      </c>
      <c r="AP171" s="37">
        <v>0.0</v>
      </c>
      <c r="AQ171" s="37">
        <v>0.0</v>
      </c>
      <c r="AR171" s="37">
        <v>0.0</v>
      </c>
      <c r="AS171" s="37">
        <v>0.0</v>
      </c>
      <c r="AT171" s="37">
        <v>0.0</v>
      </c>
      <c r="AU171" s="37">
        <v>0.0</v>
      </c>
      <c r="AV171" s="37">
        <v>0.0</v>
      </c>
      <c r="AW171" s="37">
        <v>0.0</v>
      </c>
      <c r="AX171" s="37">
        <v>0.0</v>
      </c>
      <c r="AY171" s="37">
        <v>100.0</v>
      </c>
      <c r="AZ171" s="37">
        <v>0.0</v>
      </c>
      <c r="BG171" s="37" t="str">
        <f t="array" ref="BG171">IF($A171="","",IFERROR(INDEX(CS!$B$1:$B$15025,MATCH($A171,CS!$B:$B,0)+COLUMN(A$1),1),""))</f>
        <v>落下火球</v>
      </c>
      <c r="BH171" s="37" t="str">
        <f t="array" ref="BH171">IF($A171="","",IFERROR(INDEX(CS!$B$1:$B$15025,MATCH($A171,CS!$B:$B,0)+COLUMN(B$1),1),""))</f>
        <v>氷柱の拡散</v>
      </c>
      <c r="BI171" s="37" t="str">
        <f t="array" ref="BI171">IF($A171="","",IFERROR(INDEX(CS!$B$1:$B$15025,MATCH($A171,CS!$B:$B,0)+COLUMN(C$1),1),""))</f>
        <v>落雷</v>
      </c>
      <c r="BJ171" s="37" t="str">
        <f t="array" ref="BJ171">IF($A171="","",IFERROR(INDEX(CS!$B$1:$B$15025,MATCH($A171,CS!$B:$B,0)+COLUMN(D$1),1),""))</f>
        <v/>
      </c>
      <c r="BK171" s="37" t="str">
        <f t="array" ref="BK171">IF($A171="","",IFERROR(INDEX(CS!$B$1:$B$15025,MATCH($A171,CS!$B:$B,0)+COLUMN(E$1),1),""))</f>
        <v>腐蝕の雨</v>
      </c>
      <c r="BL171" s="37" t="str">
        <f t="array" ref="BL171">IF($A171="","",IFERROR(INDEX(CS!$B$1:$B$15025,MATCH($A171,CS!$B:$B,0)+COLUMN(F$1),1),""))</f>
        <v/>
      </c>
      <c r="BM171" s="37" t="str">
        <f t="array" ref="BM171">IF($A171="","",IFERROR(INDEX(CS!$B$1:$B$15025,MATCH($A171,CS!$B:$B,0)+COLUMN(G$1),1),""))</f>
        <v>塵旋風</v>
      </c>
      <c r="BN171" s="37" t="str">
        <f t="array" ref="BN171">IF($A171="","",IFERROR(INDEX(CS!$B$1:$B$15025,MATCH($A171,CS!$B:$B,0)+COLUMN(H$1),1),""))</f>
        <v/>
      </c>
      <c r="BO171" s="37" t="str">
        <f t="array" ref="BO171">IF($A171="","",IFERROR(INDEX(CS!$B$1:$B$15025,MATCH($A171,CS!$B:$B,0)+COLUMN(I$1),1),""))</f>
        <v>水晶槍</v>
      </c>
      <c r="BP171" s="37" t="str">
        <f t="array" ref="BP171">IF($A171="","",IFERROR(INDEX(CS!$B$1:$B$15025,MATCH($A171,CS!$B:$B,0)+COLUMN(J$1),1),""))</f>
        <v>魔力増幅</v>
      </c>
      <c r="BR171" s="39" t="s">
        <v>2864</v>
      </c>
      <c r="BS171" s="74"/>
      <c r="CG171" s="37" t="s">
        <v>2818</v>
      </c>
      <c r="CI171" s="37" t="s">
        <v>2808</v>
      </c>
      <c r="CJ171" s="37" t="s">
        <v>2819</v>
      </c>
      <c r="CK171" s="37" t="s">
        <v>2802</v>
      </c>
      <c r="CN171" s="37" t="s">
        <v>2816</v>
      </c>
      <c r="CQ171" s="37"/>
      <c r="CR171" s="37"/>
    </row>
    <row r="172" ht="18.75" customHeight="1" outlineLevel="1">
      <c r="A172" s="39" t="s">
        <v>2427</v>
      </c>
      <c r="B172" s="71"/>
      <c r="C172" s="39" t="s">
        <v>2817</v>
      </c>
      <c r="D172" s="72" t="str">
        <f t="shared" si="7"/>
        <v>720/480/240</v>
      </c>
      <c r="E172" s="39">
        <v>2.0</v>
      </c>
      <c r="F172" s="39">
        <v>60.0</v>
      </c>
      <c r="I172" s="39">
        <v>50.0</v>
      </c>
      <c r="J172" s="39">
        <v>55.0</v>
      </c>
      <c r="K172" s="87">
        <v>95.0</v>
      </c>
      <c r="L172" s="39">
        <v>95.0</v>
      </c>
      <c r="M172" s="39">
        <v>50.0</v>
      </c>
      <c r="N172" s="39">
        <v>75.0</v>
      </c>
      <c r="P172" s="37">
        <v>0.0</v>
      </c>
      <c r="Q172" s="64"/>
      <c r="R172" s="64"/>
      <c r="S172" s="64"/>
      <c r="T172" s="64"/>
      <c r="U172" s="64"/>
      <c r="V172" s="64"/>
      <c r="W172" s="64"/>
      <c r="X172" s="64"/>
      <c r="Y172" s="64"/>
      <c r="Z172" s="64"/>
      <c r="AA172" s="64"/>
      <c r="AJ172" s="37">
        <v>0.0</v>
      </c>
      <c r="AK172" s="37">
        <v>0.0</v>
      </c>
      <c r="AL172" s="37">
        <v>90.0</v>
      </c>
      <c r="AM172" s="37">
        <v>0.0</v>
      </c>
      <c r="AN172" s="37">
        <v>50.0</v>
      </c>
      <c r="AO172" s="37">
        <v>0.0</v>
      </c>
      <c r="AP172" s="37">
        <v>0.0</v>
      </c>
      <c r="AQ172" s="37">
        <v>0.0</v>
      </c>
      <c r="AR172" s="37">
        <v>0.0</v>
      </c>
      <c r="AS172" s="37">
        <v>0.0</v>
      </c>
      <c r="AT172" s="37">
        <v>0.0</v>
      </c>
      <c r="AU172" s="37">
        <v>0.0</v>
      </c>
      <c r="AV172" s="37">
        <v>0.0</v>
      </c>
      <c r="AW172" s="37">
        <v>0.0</v>
      </c>
      <c r="AX172" s="37">
        <v>0.0</v>
      </c>
      <c r="AY172" s="37">
        <v>100.0</v>
      </c>
      <c r="AZ172" s="37">
        <v>0.0</v>
      </c>
      <c r="BG172" s="37" t="str">
        <f t="array" ref="BG172">IF($A172="","",IFERROR(INDEX(CS!$B$1:$B$15025,MATCH($A172,CS!$B:$B,0)+COLUMN(A$1),1),""))</f>
        <v>魔力強化</v>
      </c>
      <c r="BH172" s="37" t="str">
        <f t="array" ref="BH172">IF($A172="","",IFERROR(INDEX(CS!$B$1:$B$15025,MATCH($A172,CS!$B:$B,0)+COLUMN(B$1),1),""))</f>
        <v/>
      </c>
      <c r="BI172" s="37" t="str">
        <f t="array" ref="BI172">IF($A172="","",IFERROR(INDEX(CS!$B$1:$B$15025,MATCH($A172,CS!$B:$B,0)+COLUMN(C$1),1),""))</f>
        <v>魔法陣</v>
      </c>
      <c r="BJ172" s="37" t="str">
        <f t="array" ref="BJ172">IF($A172="","",IFERROR(INDEX(CS!$B$1:$B$15025,MATCH($A172,CS!$B:$B,0)+COLUMN(D$1),1),""))</f>
        <v/>
      </c>
      <c r="BK172" s="37" t="str">
        <f t="array" ref="BK172">IF($A172="","",IFERROR(INDEX(CS!$B$1:$B$15025,MATCH($A172,CS!$B:$B,0)+COLUMN(E$1),1),""))</f>
        <v>呪文杖</v>
      </c>
      <c r="BL172" s="37" t="str">
        <f t="array" ref="BL172">IF($A172="","",IFERROR(INDEX(CS!$B$1:$B$15025,MATCH($A172,CS!$B:$B,0)+COLUMN(F$1),1),""))</f>
        <v/>
      </c>
      <c r="BM172" s="37" t="str">
        <f t="array" ref="BM172">IF($A172="","",IFERROR(INDEX(CS!$B$1:$B$15025,MATCH($A172,CS!$B:$B,0)+COLUMN(G$1),1),""))</f>
        <v>強化破り</v>
      </c>
      <c r="BN172" s="37" t="str">
        <f t="array" ref="BN172">IF($A172="","",IFERROR(INDEX(CS!$B$1:$B$15025,MATCH($A172,CS!$B:$B,0)+COLUMN(H$1),1),""))</f>
        <v/>
      </c>
      <c r="BO172" s="37" t="str">
        <f t="array" ref="BO172">IF($A172="","",IFERROR(INDEX(CS!$B$1:$B$15025,MATCH($A172,CS!$B:$B,0)+COLUMN(I$1),1),""))</f>
        <v>魔力増幅</v>
      </c>
      <c r="BP172" s="37" t="str">
        <f t="array" ref="BP172">IF($A172="","",IFERROR(INDEX(CS!$B$1:$B$15025,MATCH($A172,CS!$B:$B,0)+COLUMN(J$1),1),""))</f>
        <v>高速詠唱</v>
      </c>
      <c r="BR172" s="39" t="s">
        <v>2864</v>
      </c>
      <c r="BS172" s="74"/>
      <c r="CG172" s="37" t="s">
        <v>2818</v>
      </c>
      <c r="CI172" s="37" t="s">
        <v>2808</v>
      </c>
      <c r="CJ172" s="37" t="s">
        <v>2819</v>
      </c>
      <c r="CK172" s="37" t="s">
        <v>2802</v>
      </c>
      <c r="CN172" s="37" t="s">
        <v>2816</v>
      </c>
      <c r="CQ172" s="37"/>
      <c r="CR172" s="37"/>
    </row>
    <row r="173" ht="18.75" customHeight="1" outlineLevel="1">
      <c r="A173" s="39" t="s">
        <v>2431</v>
      </c>
      <c r="B173" s="71"/>
      <c r="C173" s="39" t="s">
        <v>2817</v>
      </c>
      <c r="D173" s="72" t="str">
        <f t="shared" si="7"/>
        <v>730/490/240</v>
      </c>
      <c r="E173" s="39">
        <v>3.0</v>
      </c>
      <c r="F173" s="39">
        <v>60.0</v>
      </c>
      <c r="I173" s="39">
        <v>50.0</v>
      </c>
      <c r="J173" s="39">
        <v>55.0</v>
      </c>
      <c r="K173" s="87">
        <v>100.0</v>
      </c>
      <c r="L173" s="39">
        <v>100.0</v>
      </c>
      <c r="M173" s="39">
        <v>50.0</v>
      </c>
      <c r="N173" s="39">
        <v>75.0</v>
      </c>
      <c r="P173" s="37">
        <v>0.0</v>
      </c>
      <c r="Q173" s="64"/>
      <c r="R173" s="64"/>
      <c r="S173" s="64"/>
      <c r="T173" s="64"/>
      <c r="U173" s="64"/>
      <c r="V173" s="64"/>
      <c r="W173" s="64"/>
      <c r="X173" s="64"/>
      <c r="Y173" s="64"/>
      <c r="Z173" s="64"/>
      <c r="AA173" s="64"/>
      <c r="AJ173" s="37">
        <v>0.0</v>
      </c>
      <c r="AK173" s="37">
        <v>0.0</v>
      </c>
      <c r="AL173" s="37">
        <v>90.0</v>
      </c>
      <c r="AM173" s="37">
        <v>0.0</v>
      </c>
      <c r="AN173" s="37">
        <v>50.0</v>
      </c>
      <c r="AO173" s="37">
        <v>0.0</v>
      </c>
      <c r="AP173" s="37">
        <v>0.0</v>
      </c>
      <c r="AQ173" s="37">
        <v>0.0</v>
      </c>
      <c r="AR173" s="37">
        <v>0.0</v>
      </c>
      <c r="AS173" s="37">
        <v>0.0</v>
      </c>
      <c r="AT173" s="37">
        <v>0.0</v>
      </c>
      <c r="AU173" s="37">
        <v>0.0</v>
      </c>
      <c r="AV173" s="37">
        <v>0.0</v>
      </c>
      <c r="AW173" s="37">
        <v>0.0</v>
      </c>
      <c r="AX173" s="37">
        <v>0.0</v>
      </c>
      <c r="AY173" s="37">
        <v>100.0</v>
      </c>
      <c r="AZ173" s="37">
        <v>0.0</v>
      </c>
      <c r="BG173" s="37" t="str">
        <f t="array" ref="BG173">IF($A173="","",IFERROR(INDEX(CS!$B$1:$B$15025,MATCH($A173,CS!$B:$B,0)+COLUMN(A$1),1),""))</f>
        <v>魔法陣</v>
      </c>
      <c r="BH173" s="37" t="str">
        <f t="array" ref="BH173">IF($A173="","",IFERROR(INDEX(CS!$B$1:$B$15025,MATCH($A173,CS!$B:$B,0)+COLUMN(B$1),1),""))</f>
        <v/>
      </c>
      <c r="BI173" s="37" t="str">
        <f t="array" ref="BI173">IF($A173="","",IFERROR(INDEX(CS!$B$1:$B$15025,MATCH($A173,CS!$B:$B,0)+COLUMN(C$1),1),""))</f>
        <v>魔力強化</v>
      </c>
      <c r="BJ173" s="37" t="str">
        <f t="array" ref="BJ173">IF($A173="","",IFERROR(INDEX(CS!$B$1:$B$15025,MATCH($A173,CS!$B:$B,0)+COLUMN(D$1),1),""))</f>
        <v/>
      </c>
      <c r="BK173" s="37" t="str">
        <f t="array" ref="BK173">IF($A173="","",IFERROR(INDEX(CS!$B$1:$B$15025,MATCH($A173,CS!$B:$B,0)+COLUMN(E$1),1),""))</f>
        <v>賢者の知識</v>
      </c>
      <c r="BL173" s="37" t="str">
        <f t="array" ref="BL173">IF($A173="","",IFERROR(INDEX(CS!$B$1:$B$15025,MATCH($A173,CS!$B:$B,0)+COLUMN(F$1),1),""))</f>
        <v/>
      </c>
      <c r="BM173" s="37" t="str">
        <f t="array" ref="BM173">IF($A173="","",IFERROR(INDEX(CS!$B$1:$B$15025,MATCH($A173,CS!$B:$B,0)+COLUMN(G$1),1),""))</f>
        <v>魔法無効化</v>
      </c>
      <c r="BN173" s="37" t="str">
        <f t="array" ref="BN173">IF($A173="","",IFERROR(INDEX(CS!$B$1:$B$15025,MATCH($A173,CS!$B:$B,0)+COLUMN(H$1),1),""))</f>
        <v/>
      </c>
      <c r="BO173" s="37" t="str">
        <f t="array" ref="BO173">IF($A173="","",IFERROR(INDEX(CS!$B$1:$B$15025,MATCH($A173,CS!$B:$B,0)+COLUMN(I$1),1),""))</f>
        <v>魔力増幅</v>
      </c>
      <c r="BP173" s="37" t="str">
        <f t="array" ref="BP173">IF($A173="","",IFERROR(INDEX(CS!$B$1:$B$15025,MATCH($A173,CS!$B:$B,0)+COLUMN(J$1),1),""))</f>
        <v>大賢者</v>
      </c>
      <c r="BR173" s="39" t="s">
        <v>2865</v>
      </c>
      <c r="BS173" s="74"/>
      <c r="CG173" s="37" t="s">
        <v>2818</v>
      </c>
      <c r="CI173" s="37" t="s">
        <v>2808</v>
      </c>
      <c r="CJ173" s="37" t="s">
        <v>2819</v>
      </c>
      <c r="CK173" s="37" t="s">
        <v>2802</v>
      </c>
      <c r="CN173" s="37" t="s">
        <v>2816</v>
      </c>
      <c r="CQ173" s="37"/>
      <c r="CR173" s="37"/>
    </row>
    <row r="174" ht="18.75" customHeight="1" outlineLevel="1">
      <c r="A174" s="39" t="s">
        <v>2436</v>
      </c>
      <c r="B174" s="71"/>
      <c r="C174" s="39" t="s">
        <v>2817</v>
      </c>
      <c r="D174" s="72" t="str">
        <f t="shared" si="7"/>
        <v>730/490/240</v>
      </c>
      <c r="E174" s="39">
        <v>3.0</v>
      </c>
      <c r="F174" s="39">
        <v>60.0</v>
      </c>
      <c r="I174" s="39">
        <v>50.0</v>
      </c>
      <c r="J174" s="39">
        <v>55.0</v>
      </c>
      <c r="K174" s="87">
        <v>100.0</v>
      </c>
      <c r="L174" s="39">
        <v>100.0</v>
      </c>
      <c r="M174" s="39">
        <v>50.0</v>
      </c>
      <c r="N174" s="39">
        <v>75.0</v>
      </c>
      <c r="P174" s="37">
        <v>0.0</v>
      </c>
      <c r="Q174" s="64"/>
      <c r="R174" s="64"/>
      <c r="S174" s="64"/>
      <c r="T174" s="64"/>
      <c r="U174" s="64"/>
      <c r="V174" s="64"/>
      <c r="W174" s="64"/>
      <c r="X174" s="64"/>
      <c r="Y174" s="64"/>
      <c r="Z174" s="64"/>
      <c r="AA174" s="64"/>
      <c r="AJ174" s="37">
        <v>0.0</v>
      </c>
      <c r="AK174" s="37">
        <v>0.0</v>
      </c>
      <c r="AL174" s="37">
        <v>90.0</v>
      </c>
      <c r="AM174" s="37">
        <v>0.0</v>
      </c>
      <c r="AN174" s="37">
        <v>50.0</v>
      </c>
      <c r="AO174" s="37">
        <v>0.0</v>
      </c>
      <c r="AP174" s="37">
        <v>0.0</v>
      </c>
      <c r="AQ174" s="37">
        <v>0.0</v>
      </c>
      <c r="AR174" s="37">
        <v>0.0</v>
      </c>
      <c r="AS174" s="37">
        <v>0.0</v>
      </c>
      <c r="AT174" s="37">
        <v>0.0</v>
      </c>
      <c r="AU174" s="37">
        <v>0.0</v>
      </c>
      <c r="AV174" s="37">
        <v>0.0</v>
      </c>
      <c r="AW174" s="37">
        <v>0.0</v>
      </c>
      <c r="AX174" s="37">
        <v>0.0</v>
      </c>
      <c r="AY174" s="37">
        <v>100.0</v>
      </c>
      <c r="AZ174" s="37">
        <v>0.0</v>
      </c>
      <c r="BG174" s="37" t="str">
        <f t="array" ref="BG174">IF($A174="","",IFERROR(INDEX(CS!$B$1:$B$15025,MATCH($A174,CS!$B:$B,0)+COLUMN(A$1),1),""))</f>
        <v>言霊・命</v>
      </c>
      <c r="BH174" s="37" t="str">
        <f t="array" ref="BH174">IF($A174="","",IFERROR(INDEX(CS!$B$1:$B$15025,MATCH($A174,CS!$B:$B,0)+COLUMN(B$1),1),""))</f>
        <v/>
      </c>
      <c r="BI174" s="37" t="str">
        <f t="array" ref="BI174">IF($A174="","",IFERROR(INDEX(CS!$B$1:$B$15025,MATCH($A174,CS!$B:$B,0)+COLUMN(C$1),1),""))</f>
        <v>言霊・縛</v>
      </c>
      <c r="BJ174" s="37" t="str">
        <f t="array" ref="BJ174">IF($A174="","",IFERROR(INDEX(CS!$B$1:$B$15025,MATCH($A174,CS!$B:$B,0)+COLUMN(D$1),1),""))</f>
        <v/>
      </c>
      <c r="BK174" s="37" t="str">
        <f t="array" ref="BK174">IF($A174="","",IFERROR(INDEX(CS!$B$1:$B$15025,MATCH($A174,CS!$B:$B,0)+COLUMN(E$1),1),""))</f>
        <v>言霊・黙</v>
      </c>
      <c r="BL174" s="37" t="str">
        <f t="array" ref="BL174">IF($A174="","",IFERROR(INDEX(CS!$B$1:$B$15025,MATCH($A174,CS!$B:$B,0)+COLUMN(F$1),1),""))</f>
        <v/>
      </c>
      <c r="BM174" s="37" t="str">
        <f t="array" ref="BM174">IF($A174="","",IFERROR(INDEX(CS!$B$1:$B$15025,MATCH($A174,CS!$B:$B,0)+COLUMN(G$1),1),""))</f>
        <v>言霊・退</v>
      </c>
      <c r="BN174" s="37" t="str">
        <f t="array" ref="BN174">IF($A174="","",IFERROR(INDEX(CS!$B$1:$B$15025,MATCH($A174,CS!$B:$B,0)+COLUMN(H$1),1),""))</f>
        <v/>
      </c>
      <c r="BO174" s="37" t="str">
        <f t="array" ref="BO174">IF($A174="","",IFERROR(INDEX(CS!$B$1:$B$15025,MATCH($A174,CS!$B:$B,0)+COLUMN(I$1),1),""))</f>
        <v>言霊の極意</v>
      </c>
      <c r="BP174" s="37" t="str">
        <f t="array" ref="BP174">IF($A174="","",IFERROR(INDEX(CS!$B$1:$B$15025,MATCH($A174,CS!$B:$B,0)+COLUMN(J$1),1),""))</f>
        <v>力の言葉</v>
      </c>
      <c r="BR174" s="39" t="s">
        <v>2865</v>
      </c>
      <c r="BS174" s="74"/>
      <c r="CG174" s="37" t="s">
        <v>2818</v>
      </c>
      <c r="CI174" s="37" t="s">
        <v>2808</v>
      </c>
      <c r="CJ174" s="37" t="s">
        <v>2819</v>
      </c>
      <c r="CK174" s="37" t="s">
        <v>2802</v>
      </c>
      <c r="CN174" s="37" t="s">
        <v>2816</v>
      </c>
      <c r="CQ174" s="37"/>
      <c r="CR174" s="37"/>
    </row>
    <row r="175" ht="18.75" customHeight="1" outlineLevel="1">
      <c r="A175" s="39" t="s">
        <v>2448</v>
      </c>
      <c r="B175" s="71"/>
      <c r="C175" s="39" t="s">
        <v>2817</v>
      </c>
      <c r="D175" s="72" t="str">
        <f t="shared" si="7"/>
        <v>725/485/240</v>
      </c>
      <c r="E175" s="39">
        <v>2.0</v>
      </c>
      <c r="F175" s="39">
        <v>60.0</v>
      </c>
      <c r="I175" s="39">
        <v>55.0</v>
      </c>
      <c r="J175" s="39">
        <v>55.0</v>
      </c>
      <c r="K175" s="87">
        <v>95.0</v>
      </c>
      <c r="L175" s="39">
        <v>90.0</v>
      </c>
      <c r="M175" s="39">
        <v>50.0</v>
      </c>
      <c r="N175" s="39">
        <v>80.0</v>
      </c>
      <c r="P175" s="37">
        <v>0.0</v>
      </c>
      <c r="Q175" s="64"/>
      <c r="R175" s="64"/>
      <c r="S175" s="64"/>
      <c r="T175" s="64"/>
      <c r="U175" s="64"/>
      <c r="V175" s="64"/>
      <c r="W175" s="64"/>
      <c r="X175" s="64"/>
      <c r="Y175" s="64"/>
      <c r="Z175" s="64"/>
      <c r="AA175" s="64"/>
      <c r="AJ175" s="37">
        <v>0.0</v>
      </c>
      <c r="AK175" s="37">
        <v>0.0</v>
      </c>
      <c r="AL175" s="37">
        <v>90.0</v>
      </c>
      <c r="AM175" s="37">
        <v>0.0</v>
      </c>
      <c r="AN175" s="37">
        <v>50.0</v>
      </c>
      <c r="AO175" s="37">
        <v>0.0</v>
      </c>
      <c r="AP175" s="37">
        <v>0.0</v>
      </c>
      <c r="AQ175" s="37">
        <v>0.0</v>
      </c>
      <c r="AR175" s="37">
        <v>0.0</v>
      </c>
      <c r="AS175" s="37">
        <v>0.0</v>
      </c>
      <c r="AT175" s="37">
        <v>0.0</v>
      </c>
      <c r="AU175" s="37">
        <v>0.0</v>
      </c>
      <c r="AV175" s="37">
        <v>0.0</v>
      </c>
      <c r="AW175" s="37">
        <v>0.0</v>
      </c>
      <c r="AX175" s="37">
        <v>0.0</v>
      </c>
      <c r="AY175" s="37">
        <v>100.0</v>
      </c>
      <c r="AZ175" s="37">
        <v>0.0</v>
      </c>
      <c r="BG175" s="37" t="str">
        <f t="array" ref="BG175">IF($A175="","",IFERROR(INDEX(CS!$B$1:$B$15025,MATCH($A175,CS!$B:$B,0)+COLUMN(A$1),1),""))</f>
        <v>場断裂</v>
      </c>
      <c r="BH175" s="37" t="str">
        <f t="array" ref="BH175">IF($A175="","",IFERROR(INDEX(CS!$B$1:$B$15025,MATCH($A175,CS!$B:$B,0)+COLUMN(B$1),1),""))</f>
        <v/>
      </c>
      <c r="BI175" s="37" t="str">
        <f t="array" ref="BI175">IF($A175="","",IFERROR(INDEX(CS!$B$1:$B$15025,MATCH($A175,CS!$B:$B,0)+COLUMN(C$1),1),""))</f>
        <v>偏向膜</v>
      </c>
      <c r="BJ175" s="37" t="str">
        <f t="array" ref="BJ175">IF($A175="","",IFERROR(INDEX(CS!$B$1:$B$15025,MATCH($A175,CS!$B:$B,0)+COLUMN(D$1),1),""))</f>
        <v/>
      </c>
      <c r="BK175" s="37" t="str">
        <f t="array" ref="BK175">IF($A175="","",IFERROR(INDEX(CS!$B$1:$B$15025,MATCH($A175,CS!$B:$B,0)+COLUMN(E$1),1),""))</f>
        <v>衝圧</v>
      </c>
      <c r="BL175" s="37" t="str">
        <f t="array" ref="BL175">IF($A175="","",IFERROR(INDEX(CS!$B$1:$B$15025,MATCH($A175,CS!$B:$B,0)+COLUMN(F$1),1),""))</f>
        <v/>
      </c>
      <c r="BM175" s="37" t="str">
        <f t="array" ref="BM175">IF($A175="","",IFERROR(INDEX(CS!$B$1:$B$15025,MATCH($A175,CS!$B:$B,0)+COLUMN(G$1),1),""))</f>
        <v>拘束界</v>
      </c>
      <c r="BN175" s="37" t="str">
        <f t="array" ref="BN175">IF($A175="","",IFERROR(INDEX(CS!$B$1:$B$15025,MATCH($A175,CS!$B:$B,0)+COLUMN(H$1),1),""))</f>
        <v/>
      </c>
      <c r="BO175" s="37" t="str">
        <f t="array" ref="BO175">IF($A175="","",IFERROR(INDEX(CS!$B$1:$B$15025,MATCH($A175,CS!$B:$B,0)+COLUMN(I$1),1),""))</f>
        <v>分解</v>
      </c>
      <c r="BP175" s="37" t="str">
        <f t="array" ref="BP175">IF($A175="","",IFERROR(INDEX(CS!$B$1:$B$15025,MATCH($A175,CS!$B:$B,0)+COLUMN(J$1),1),""))</f>
        <v>圧壊掌</v>
      </c>
      <c r="BR175" s="39" t="s">
        <v>2864</v>
      </c>
      <c r="BS175" s="74"/>
      <c r="CG175" s="37" t="s">
        <v>2818</v>
      </c>
      <c r="CI175" s="37" t="s">
        <v>2808</v>
      </c>
      <c r="CJ175" s="37" t="s">
        <v>2819</v>
      </c>
      <c r="CK175" s="37" t="s">
        <v>2802</v>
      </c>
      <c r="CN175" s="37" t="s">
        <v>2816</v>
      </c>
      <c r="CQ175" s="37"/>
      <c r="CR175" s="37"/>
    </row>
    <row r="176" ht="18.75" customHeight="1" outlineLevel="1">
      <c r="A176" s="39" t="s">
        <v>2449</v>
      </c>
      <c r="B176" s="71"/>
      <c r="C176" s="39" t="s">
        <v>2817</v>
      </c>
      <c r="D176" s="72" t="str">
        <f t="shared" si="7"/>
        <v>740/500/240</v>
      </c>
      <c r="E176" s="39">
        <v>3.0</v>
      </c>
      <c r="F176" s="39">
        <v>60.0</v>
      </c>
      <c r="I176" s="39">
        <v>60.0</v>
      </c>
      <c r="J176" s="39">
        <v>55.0</v>
      </c>
      <c r="K176" s="87">
        <v>100.0</v>
      </c>
      <c r="L176" s="39">
        <v>90.0</v>
      </c>
      <c r="M176" s="39">
        <v>50.0</v>
      </c>
      <c r="N176" s="39">
        <v>85.0</v>
      </c>
      <c r="P176" s="37">
        <v>0.0</v>
      </c>
      <c r="Q176" s="64"/>
      <c r="R176" s="64"/>
      <c r="S176" s="64"/>
      <c r="T176" s="64"/>
      <c r="U176" s="64"/>
      <c r="V176" s="64"/>
      <c r="W176" s="64"/>
      <c r="X176" s="64"/>
      <c r="Y176" s="64"/>
      <c r="Z176" s="64"/>
      <c r="AA176" s="64"/>
      <c r="AJ176" s="37">
        <v>0.0</v>
      </c>
      <c r="AK176" s="37">
        <v>0.0</v>
      </c>
      <c r="AL176" s="37">
        <v>90.0</v>
      </c>
      <c r="AM176" s="37">
        <v>0.0</v>
      </c>
      <c r="AN176" s="37">
        <v>50.0</v>
      </c>
      <c r="AO176" s="37">
        <v>0.0</v>
      </c>
      <c r="AP176" s="37">
        <v>0.0</v>
      </c>
      <c r="AQ176" s="37">
        <v>0.0</v>
      </c>
      <c r="AR176" s="37">
        <v>0.0</v>
      </c>
      <c r="AS176" s="37">
        <v>0.0</v>
      </c>
      <c r="AT176" s="37">
        <v>0.0</v>
      </c>
      <c r="AU176" s="37">
        <v>0.0</v>
      </c>
      <c r="AV176" s="37">
        <v>0.0</v>
      </c>
      <c r="AW176" s="37">
        <v>0.0</v>
      </c>
      <c r="AX176" s="37">
        <v>0.0</v>
      </c>
      <c r="AY176" s="37">
        <v>100.0</v>
      </c>
      <c r="AZ176" s="37">
        <v>0.0</v>
      </c>
      <c r="BG176" s="37" t="str">
        <f t="array" ref="BG176">IF($A176="","",IFERROR(INDEX(CS!$B$1:$B$15025,MATCH($A176,CS!$B:$B,0)+COLUMN(A$1),1),""))</f>
        <v>分解</v>
      </c>
      <c r="BH176" s="37" t="str">
        <f t="array" ref="BH176">IF($A176="","",IFERROR(INDEX(CS!$B$1:$B$15025,MATCH($A176,CS!$B:$B,0)+COLUMN(B$1),1),""))</f>
        <v/>
      </c>
      <c r="BI176" s="37" t="str">
        <f t="array" ref="BI176">IF($A176="","",IFERROR(INDEX(CS!$B$1:$B$15025,MATCH($A176,CS!$B:$B,0)+COLUMN(C$1),1),""))</f>
        <v>圧縮界</v>
      </c>
      <c r="BJ176" s="37" t="str">
        <f t="array" ref="BJ176">IF($A176="","",IFERROR(INDEX(CS!$B$1:$B$15025,MATCH($A176,CS!$B:$B,0)+COLUMN(D$1),1),""))</f>
        <v/>
      </c>
      <c r="BK176" s="37" t="str">
        <f t="array" ref="BK176">IF($A176="","",IFERROR(INDEX(CS!$B$1:$B$15025,MATCH($A176,CS!$B:$B,0)+COLUMN(E$1),1),""))</f>
        <v>圧壊掌</v>
      </c>
      <c r="BL176" s="37" t="str">
        <f t="array" ref="BL176">IF($A176="","",IFERROR(INDEX(CS!$B$1:$B$15025,MATCH($A176,CS!$B:$B,0)+COLUMN(F$1),1),""))</f>
        <v/>
      </c>
      <c r="BM176" s="37" t="str">
        <f t="array" ref="BM176">IF($A176="","",IFERROR(INDEX(CS!$B$1:$B$15025,MATCH($A176,CS!$B:$B,0)+COLUMN(G$1),1),""))</f>
        <v>衝圧</v>
      </c>
      <c r="BN176" s="37" t="str">
        <f t="array" ref="BN176">IF($A176="","",IFERROR(INDEX(CS!$B$1:$B$15025,MATCH($A176,CS!$B:$B,0)+COLUMN(H$1),1),""))</f>
        <v/>
      </c>
      <c r="BO176" s="37" t="str">
        <f t="array" ref="BO176">IF($A176="","",IFERROR(INDEX(CS!$B$1:$B$15025,MATCH($A176,CS!$B:$B,0)+COLUMN(I$1),1),""))</f>
        <v>偏向膜</v>
      </c>
      <c r="BP176" s="37" t="str">
        <f t="array" ref="BP176">IF($A176="","",IFERROR(INDEX(CS!$B$1:$B$15025,MATCH($A176,CS!$B:$B,0)+COLUMN(J$1),1),""))</f>
        <v>力場支配</v>
      </c>
      <c r="BR176" s="39" t="s">
        <v>2866</v>
      </c>
      <c r="BS176" s="74"/>
      <c r="CG176" s="37" t="s">
        <v>2818</v>
      </c>
      <c r="CI176" s="37" t="s">
        <v>2808</v>
      </c>
      <c r="CJ176" s="37" t="s">
        <v>2819</v>
      </c>
      <c r="CK176" s="37" t="s">
        <v>2802</v>
      </c>
      <c r="CN176" s="37" t="s">
        <v>2816</v>
      </c>
      <c r="CQ176" s="37"/>
      <c r="CR176" s="37"/>
    </row>
    <row r="177" ht="18.75" customHeight="1">
      <c r="B177" s="71"/>
      <c r="D177" s="72"/>
      <c r="K177" s="73"/>
      <c r="P177" s="37" t="s">
        <v>29</v>
      </c>
      <c r="Q177" s="64"/>
      <c r="R177" s="64"/>
      <c r="S177" s="64"/>
      <c r="T177" s="64"/>
      <c r="U177" s="64"/>
      <c r="V177" s="64"/>
      <c r="W177" s="64"/>
      <c r="X177" s="64"/>
      <c r="Y177" s="64"/>
      <c r="Z177" s="64"/>
      <c r="AA177" s="64"/>
      <c r="AJ177" s="37" t="s">
        <v>29</v>
      </c>
      <c r="AK177" s="37" t="s">
        <v>29</v>
      </c>
      <c r="AL177" s="37" t="s">
        <v>29</v>
      </c>
      <c r="AM177" s="37" t="s">
        <v>29</v>
      </c>
      <c r="AN177" s="37" t="s">
        <v>29</v>
      </c>
      <c r="AO177" s="37" t="s">
        <v>29</v>
      </c>
      <c r="AP177" s="37" t="s">
        <v>29</v>
      </c>
      <c r="AQ177" s="37" t="s">
        <v>29</v>
      </c>
      <c r="AR177" s="37" t="s">
        <v>29</v>
      </c>
      <c r="AS177" s="37" t="s">
        <v>29</v>
      </c>
      <c r="AT177" s="37" t="s">
        <v>29</v>
      </c>
      <c r="AU177" s="37" t="s">
        <v>29</v>
      </c>
      <c r="AV177" s="37" t="s">
        <v>29</v>
      </c>
      <c r="AW177" s="37" t="s">
        <v>29</v>
      </c>
      <c r="AX177" s="37" t="s">
        <v>29</v>
      </c>
      <c r="AY177" s="37" t="s">
        <v>29</v>
      </c>
      <c r="AZ177" s="37" t="s">
        <v>29</v>
      </c>
      <c r="BG177" s="37" t="str">
        <f t="array" ref="BG177">IF($A177="","", INDEX(CS!$B$1:$B$15025,MATCH($A177,CS!$B:$B,0)+COLUMN(A$1),1))</f>
        <v/>
      </c>
      <c r="BH177" s="37" t="str">
        <f t="array" ref="BH177">IF($A177="","", INDEX(CS!$B$1:$B$15025,MATCH($A177,CS!$B:$B,0)+COLUMN(B$1),1))</f>
        <v/>
      </c>
      <c r="BI177" s="37" t="str">
        <f t="array" ref="BI177">IF($A177="","", INDEX(CS!$B$1:$B$15025,MATCH($A177,CS!$B:$B,0)+COLUMN(C$1),1))</f>
        <v/>
      </c>
      <c r="BJ177" s="37" t="str">
        <f t="array" ref="BJ177">IF($A177="","", INDEX(CS!$B$1:$B$15025,MATCH($A177,CS!$B:$B,0)+COLUMN(D$1),1))</f>
        <v/>
      </c>
      <c r="BK177" s="37" t="str">
        <f t="array" ref="BK177">IF($A177="","", INDEX(CS!$B$1:$B$15025,MATCH($A177,CS!$B:$B,0)+COLUMN(E$1),1))</f>
        <v/>
      </c>
      <c r="BL177" s="37" t="str">
        <f t="array" ref="BL177">IF($A177="","", INDEX(CS!$B$1:$B$15025,MATCH($A177,CS!$B:$B,0)+COLUMN(F$1),1))</f>
        <v/>
      </c>
      <c r="BM177" s="37" t="str">
        <f t="array" ref="BM177">IF($A177="","", INDEX(CS!$B$1:$B$15025,MATCH($A177,CS!$B:$B,0)+COLUMN(G$1),1))</f>
        <v/>
      </c>
      <c r="BN177" s="37" t="str">
        <f t="array" ref="BN177">IF($A177="","", INDEX(CS!$B$1:$B$15025,MATCH($A177,CS!$B:$B,0)+COLUMN(H$1),1))</f>
        <v/>
      </c>
      <c r="BO177" s="37" t="str">
        <f t="array" ref="BO177">IF($A177="","", INDEX(CS!$B$1:$B$15025,MATCH($A177,CS!$B:$B,0)+COLUMN(I$1),1))</f>
        <v/>
      </c>
      <c r="BP177" s="37" t="str">
        <f t="array" ref="BP177">IF($A177="","", INDEX(CS!$B$1:$B$15025,MATCH($A177,CS!$B:$B,0)+COLUMN(J$1),1))</f>
        <v/>
      </c>
      <c r="BS177" s="74"/>
      <c r="CI177" s="37" t="s">
        <v>2828</v>
      </c>
      <c r="CJ177" s="37" t="s">
        <v>2809</v>
      </c>
      <c r="CK177" s="37" t="s">
        <v>2802</v>
      </c>
      <c r="CQ177" s="37"/>
      <c r="CR177" s="37"/>
    </row>
    <row r="178" ht="18.75" customHeight="1">
      <c r="B178" s="85" t="s">
        <v>2867</v>
      </c>
      <c r="D178" s="72" t="str">
        <f t="shared" ref="D178:D191" si="8">SUM(AJ178:AZ178,F178:N178)&amp;"/"&amp;SUM(F178:N178)&amp;"/"&amp;SUM(AJ178:AZ178)</f>
        <v>0/0/0</v>
      </c>
      <c r="E178" s="37">
        <v>1.0</v>
      </c>
      <c r="K178" s="73"/>
      <c r="P178" s="37" t="s">
        <v>29</v>
      </c>
      <c r="Q178" s="64"/>
      <c r="R178" s="64"/>
      <c r="S178" s="64"/>
      <c r="T178" s="64"/>
      <c r="U178" s="64"/>
      <c r="V178" s="64"/>
      <c r="W178" s="64"/>
      <c r="X178" s="64"/>
      <c r="Y178" s="64"/>
      <c r="Z178" s="64"/>
      <c r="AA178" s="64"/>
      <c r="AJ178" s="37" t="s">
        <v>29</v>
      </c>
      <c r="AK178" s="37" t="s">
        <v>29</v>
      </c>
      <c r="AL178" s="37" t="s">
        <v>29</v>
      </c>
      <c r="AM178" s="37" t="s">
        <v>29</v>
      </c>
      <c r="AN178" s="37" t="s">
        <v>29</v>
      </c>
      <c r="AO178" s="37" t="s">
        <v>29</v>
      </c>
      <c r="AP178" s="37" t="s">
        <v>29</v>
      </c>
      <c r="AQ178" s="37" t="s">
        <v>29</v>
      </c>
      <c r="AR178" s="37" t="s">
        <v>29</v>
      </c>
      <c r="AS178" s="37" t="s">
        <v>29</v>
      </c>
      <c r="AT178" s="37" t="s">
        <v>29</v>
      </c>
      <c r="AU178" s="37" t="s">
        <v>29</v>
      </c>
      <c r="AV178" s="37" t="s">
        <v>29</v>
      </c>
      <c r="AW178" s="37" t="s">
        <v>29</v>
      </c>
      <c r="AX178" s="37" t="s">
        <v>29</v>
      </c>
      <c r="AY178" s="37" t="s">
        <v>29</v>
      </c>
      <c r="AZ178" s="37" t="s">
        <v>29</v>
      </c>
      <c r="BG178" s="37" t="str">
        <f t="array" ref="BG178">IF($A178="","", INDEX(CS!$B$1:$B$15025,MATCH($A178,CS!$B:$B,0)+COLUMN(A$1),1))</f>
        <v/>
      </c>
      <c r="BH178" s="37" t="str">
        <f t="array" ref="BH178">IF($A178="","", INDEX(CS!$B$1:$B$15025,MATCH($A178,CS!$B:$B,0)+COLUMN(B$1),1))</f>
        <v/>
      </c>
      <c r="BI178" s="37" t="str">
        <f t="array" ref="BI178">IF($A178="","", INDEX(CS!$B$1:$B$15025,MATCH($A178,CS!$B:$B,0)+COLUMN(C$1),1))</f>
        <v/>
      </c>
      <c r="BJ178" s="37" t="str">
        <f t="array" ref="BJ178">IF($A178="","", INDEX(CS!$B$1:$B$15025,MATCH($A178,CS!$B:$B,0)+COLUMN(D$1),1))</f>
        <v/>
      </c>
      <c r="BK178" s="37" t="str">
        <f t="array" ref="BK178">IF($A178="","", INDEX(CS!$B$1:$B$15025,MATCH($A178,CS!$B:$B,0)+COLUMN(E$1),1))</f>
        <v/>
      </c>
      <c r="BL178" s="37" t="str">
        <f t="array" ref="BL178">IF($A178="","", INDEX(CS!$B$1:$B$15025,MATCH($A178,CS!$B:$B,0)+COLUMN(F$1),1))</f>
        <v/>
      </c>
      <c r="BM178" s="37" t="str">
        <f t="array" ref="BM178">IF($A178="","", INDEX(CS!$B$1:$B$15025,MATCH($A178,CS!$B:$B,0)+COLUMN(G$1),1))</f>
        <v/>
      </c>
      <c r="BN178" s="37" t="str">
        <f t="array" ref="BN178">IF($A178="","", INDEX(CS!$B$1:$B$15025,MATCH($A178,CS!$B:$B,0)+COLUMN(H$1),1))</f>
        <v/>
      </c>
      <c r="BO178" s="37" t="str">
        <f t="array" ref="BO178">IF($A178="","", INDEX(CS!$B$1:$B$15025,MATCH($A178,CS!$B:$B,0)+COLUMN(I$1),1))</f>
        <v/>
      </c>
      <c r="BP178" s="37" t="str">
        <f t="array" ref="BP178">IF($A178="","", INDEX(CS!$B$1:$B$15025,MATCH($A178,CS!$B:$B,0)+COLUMN(J$1),1))</f>
        <v/>
      </c>
      <c r="BS178" s="74"/>
      <c r="CQ178" s="37"/>
      <c r="CR178" s="37"/>
    </row>
    <row r="179" ht="18.75" customHeight="1" outlineLevel="1">
      <c r="A179" s="39" t="s">
        <v>2453</v>
      </c>
      <c r="B179" s="71"/>
      <c r="C179" s="39" t="s">
        <v>2822</v>
      </c>
      <c r="D179" s="72" t="str">
        <f t="shared" si="8"/>
        <v>730/505/225</v>
      </c>
      <c r="E179" s="39">
        <v>2.0</v>
      </c>
      <c r="F179" s="39">
        <v>80.0</v>
      </c>
      <c r="I179" s="39">
        <v>70.0</v>
      </c>
      <c r="J179" s="39">
        <v>75.0</v>
      </c>
      <c r="K179" s="87">
        <v>80.0</v>
      </c>
      <c r="L179" s="39">
        <v>75.0</v>
      </c>
      <c r="M179" s="39">
        <v>50.0</v>
      </c>
      <c r="N179" s="39">
        <v>75.0</v>
      </c>
      <c r="P179" s="39">
        <v>50.0</v>
      </c>
      <c r="Q179" s="64"/>
      <c r="R179" s="64"/>
      <c r="S179" s="64"/>
      <c r="T179" s="64"/>
      <c r="U179" s="64"/>
      <c r="V179" s="64"/>
      <c r="W179" s="64"/>
      <c r="X179" s="64"/>
      <c r="Y179" s="64"/>
      <c r="Z179" s="64"/>
      <c r="AA179" s="64"/>
      <c r="AJ179" s="37">
        <v>0.0</v>
      </c>
      <c r="AK179" s="37">
        <v>0.0</v>
      </c>
      <c r="AL179" s="37">
        <v>75.0</v>
      </c>
      <c r="AM179" s="37">
        <v>0.0</v>
      </c>
      <c r="AN179" s="37">
        <v>0.0</v>
      </c>
      <c r="AO179" s="37">
        <v>0.0</v>
      </c>
      <c r="AP179" s="37">
        <v>0.0</v>
      </c>
      <c r="AQ179" s="37">
        <v>0.0</v>
      </c>
      <c r="AR179" s="37">
        <v>0.0</v>
      </c>
      <c r="AS179" s="37">
        <v>0.0</v>
      </c>
      <c r="AT179" s="37">
        <v>0.0</v>
      </c>
      <c r="AU179" s="37">
        <v>0.0</v>
      </c>
      <c r="AV179" s="37">
        <v>0.0</v>
      </c>
      <c r="AW179" s="37">
        <v>50.0</v>
      </c>
      <c r="AX179" s="37">
        <v>0.0</v>
      </c>
      <c r="AY179" s="37">
        <v>0.0</v>
      </c>
      <c r="AZ179" s="37">
        <v>100.0</v>
      </c>
      <c r="BA179" s="39"/>
      <c r="BB179" s="39"/>
      <c r="BC179" s="39"/>
      <c r="BD179" s="39"/>
      <c r="BE179" s="39"/>
      <c r="BF179" s="39"/>
      <c r="BG179" s="37" t="str">
        <f t="array" ref="BG179">IF($A179="","",IFERROR(INDEX(CS!$B$1:$B$15025,MATCH($A179,CS!$B:$B,0)+COLUMN(A$1),1),""))</f>
        <v>光線</v>
      </c>
      <c r="BH179" s="37" t="str">
        <f t="array" ref="BH179">IF($A179="","",IFERROR(INDEX(CS!$B$1:$B$15025,MATCH($A179,CS!$B:$B,0)+COLUMN(B$1),1),""))</f>
        <v>中傷治癒</v>
      </c>
      <c r="BI179" s="37" t="str">
        <f t="array" ref="BI179">IF($A179="","",IFERROR(INDEX(CS!$B$1:$B$15025,MATCH($A179,CS!$B:$B,0)+COLUMN(C$1),1),""))</f>
        <v>毒治癒</v>
      </c>
      <c r="BJ179" s="37" t="str">
        <f t="array" ref="BJ179">IF($A179="","",IFERROR(INDEX(CS!$B$1:$B$15025,MATCH($A179,CS!$B:$B,0)+COLUMN(D$1),1),""))</f>
        <v>麻痺治癒</v>
      </c>
      <c r="BK179" s="37" t="str">
        <f t="array" ref="BK179">IF($A179="","",IFERROR(INDEX(CS!$B$1:$B$15025,MATCH($A179,CS!$B:$B,0)+COLUMN(E$1),1),""))</f>
        <v>重傷治癒</v>
      </c>
      <c r="BL179" s="37" t="str">
        <f t="array" ref="BL179">IF($A179="","",IFERROR(INDEX(CS!$B$1:$B$15025,MATCH($A179,CS!$B:$B,0)+COLUMN(F$1),1),""))</f>
        <v/>
      </c>
      <c r="BM179" s="37" t="str">
        <f t="array" ref="BM179">IF($A179="","",IFERROR(INDEX(CS!$B$1:$B$15025,MATCH($A179,CS!$B:$B,0)+COLUMN(G$1),1),""))</f>
        <v>軽傷治癒・範囲</v>
      </c>
      <c r="BN179" s="37" t="str">
        <f t="array" ref="BN179">IF($A179="","",IFERROR(INDEX(CS!$B$1:$B$15025,MATCH($A179,CS!$B:$B,0)+COLUMN(H$1),1),""))</f>
        <v/>
      </c>
      <c r="BO179" s="37" t="str">
        <f t="array" ref="BO179">IF($A179="","",IFERROR(INDEX(CS!$B$1:$B$15025,MATCH($A179,CS!$B:$B,0)+COLUMN(I$1),1),""))</f>
        <v>焼け付く光</v>
      </c>
      <c r="BP179" s="37" t="str">
        <f t="array" ref="BP179">IF($A179="","",IFERROR(INDEX(CS!$B$1:$B$15025,MATCH($A179,CS!$B:$B,0)+COLUMN(J$1),1),""))</f>
        <v>信仰の聖域</v>
      </c>
      <c r="BR179" s="39" t="s">
        <v>2868</v>
      </c>
      <c r="BS179" s="74"/>
      <c r="CG179" s="37" t="s">
        <v>2823</v>
      </c>
      <c r="CI179" s="37" t="s">
        <v>2808</v>
      </c>
      <c r="CJ179" s="37" t="s">
        <v>2819</v>
      </c>
      <c r="CK179" s="37" t="s">
        <v>2802</v>
      </c>
      <c r="CN179" s="37" t="s">
        <v>2821</v>
      </c>
      <c r="CQ179" s="37"/>
      <c r="CR179" s="37"/>
    </row>
    <row r="180" ht="18.75" customHeight="1" outlineLevel="1">
      <c r="A180" s="39" t="s">
        <v>2454</v>
      </c>
      <c r="B180" s="71"/>
      <c r="C180" s="39" t="s">
        <v>2822</v>
      </c>
      <c r="D180" s="72" t="str">
        <f t="shared" si="8"/>
        <v>745/520/225</v>
      </c>
      <c r="E180" s="39">
        <v>3.0</v>
      </c>
      <c r="F180" s="39">
        <v>85.0</v>
      </c>
      <c r="I180" s="39">
        <v>70.0</v>
      </c>
      <c r="J180" s="39">
        <v>80.0</v>
      </c>
      <c r="K180" s="87">
        <v>80.0</v>
      </c>
      <c r="L180" s="39">
        <v>80.0</v>
      </c>
      <c r="M180" s="39">
        <v>50.0</v>
      </c>
      <c r="N180" s="39">
        <v>75.0</v>
      </c>
      <c r="P180" s="39">
        <v>50.0</v>
      </c>
      <c r="Q180" s="64"/>
      <c r="R180" s="64"/>
      <c r="S180" s="64"/>
      <c r="T180" s="64"/>
      <c r="U180" s="64"/>
      <c r="V180" s="64"/>
      <c r="W180" s="64"/>
      <c r="X180" s="64"/>
      <c r="Y180" s="64"/>
      <c r="Z180" s="64"/>
      <c r="AA180" s="64"/>
      <c r="AJ180" s="37">
        <v>0.0</v>
      </c>
      <c r="AK180" s="37">
        <v>0.0</v>
      </c>
      <c r="AL180" s="37">
        <v>75.0</v>
      </c>
      <c r="AM180" s="37">
        <v>0.0</v>
      </c>
      <c r="AN180" s="37">
        <v>0.0</v>
      </c>
      <c r="AO180" s="37">
        <v>0.0</v>
      </c>
      <c r="AP180" s="37">
        <v>0.0</v>
      </c>
      <c r="AQ180" s="37">
        <v>0.0</v>
      </c>
      <c r="AR180" s="37">
        <v>0.0</v>
      </c>
      <c r="AS180" s="37">
        <v>0.0</v>
      </c>
      <c r="AT180" s="37">
        <v>0.0</v>
      </c>
      <c r="AU180" s="37">
        <v>0.0</v>
      </c>
      <c r="AV180" s="37">
        <v>0.0</v>
      </c>
      <c r="AW180" s="37">
        <v>50.0</v>
      </c>
      <c r="AX180" s="37">
        <v>0.0</v>
      </c>
      <c r="AY180" s="37">
        <v>0.0</v>
      </c>
      <c r="AZ180" s="37">
        <v>100.0</v>
      </c>
      <c r="BA180" s="39"/>
      <c r="BB180" s="39"/>
      <c r="BC180" s="39"/>
      <c r="BD180" s="39"/>
      <c r="BE180" s="39"/>
      <c r="BF180" s="39"/>
      <c r="BG180" s="37" t="str">
        <f t="array" ref="BG180">IF($A180="","",IFERROR(INDEX(CS!$B$1:$B$15025,MATCH($A180,CS!$B:$B,0)+COLUMN(A$1),1),""))</f>
        <v>信仰の盾</v>
      </c>
      <c r="BH180" s="37" t="str">
        <f t="array" ref="BH180">IF($A180="","",IFERROR(INDEX(CS!$B$1:$B$15025,MATCH($A180,CS!$B:$B,0)+COLUMN(B$1),1),""))</f>
        <v/>
      </c>
      <c r="BI180" s="37" t="str">
        <f t="array" ref="BI180">IF($A180="","",IFERROR(INDEX(CS!$B$1:$B$15025,MATCH($A180,CS!$B:$B,0)+COLUMN(C$1),1),""))</f>
        <v>盾構え</v>
      </c>
      <c r="BJ180" s="37" t="str">
        <f t="array" ref="BJ180">IF($A180="","",IFERROR(INDEX(CS!$B$1:$B$15025,MATCH($A180,CS!$B:$B,0)+COLUMN(D$1),1),""))</f>
        <v/>
      </c>
      <c r="BK180" s="37" t="str">
        <f t="array" ref="BK180">IF($A180="","",IFERROR(INDEX(CS!$B$1:$B$15025,MATCH($A180,CS!$B:$B,0)+COLUMN(E$1),1),""))</f>
        <v>信仰の聖域</v>
      </c>
      <c r="BL180" s="37" t="str">
        <f t="array" ref="BL180">IF($A180="","",IFERROR(INDEX(CS!$B$1:$B$15025,MATCH($A180,CS!$B:$B,0)+COLUMN(F$1),1),""))</f>
        <v/>
      </c>
      <c r="BM180" s="37" t="str">
        <f t="array" ref="BM180">IF($A180="","",IFERROR(INDEX(CS!$B$1:$B$15025,MATCH($A180,CS!$B:$B,0)+COLUMN(G$1),1),""))</f>
        <v>完全防御</v>
      </c>
      <c r="BN180" s="37" t="str">
        <f t="array" ref="BN180">IF($A180="","",IFERROR(INDEX(CS!$B$1:$B$15025,MATCH($A180,CS!$B:$B,0)+COLUMN(H$1),1),""))</f>
        <v/>
      </c>
      <c r="BO180" s="37" t="str">
        <f t="array" ref="BO180">IF($A180="","",IFERROR(INDEX(CS!$B$1:$B$15025,MATCH($A180,CS!$B:$B,0)+COLUMN(I$1),1),""))</f>
        <v>奇跡の護り</v>
      </c>
      <c r="BP180" s="37" t="str">
        <f t="array" ref="BP180">IF($A180="","",IFERROR(INDEX(CS!$B$1:$B$15025,MATCH($A180,CS!$B:$B,0)+COLUMN(J$1),1),""))</f>
        <v>聖堂の守護者</v>
      </c>
      <c r="BR180" s="39" t="s">
        <v>2869</v>
      </c>
      <c r="BS180" s="74"/>
      <c r="CG180" s="37" t="s">
        <v>2823</v>
      </c>
      <c r="CI180" s="37" t="s">
        <v>2808</v>
      </c>
      <c r="CJ180" s="37" t="s">
        <v>2819</v>
      </c>
      <c r="CK180" s="37" t="s">
        <v>2802</v>
      </c>
      <c r="CN180" s="37" t="s">
        <v>2821</v>
      </c>
      <c r="CQ180" s="37"/>
      <c r="CR180" s="37"/>
    </row>
    <row r="181" ht="18.75" customHeight="1" outlineLevel="1">
      <c r="A181" s="39" t="s">
        <v>2457</v>
      </c>
      <c r="B181" s="71"/>
      <c r="C181" s="39" t="s">
        <v>2822</v>
      </c>
      <c r="D181" s="72" t="str">
        <f t="shared" si="8"/>
        <v>720/495/225</v>
      </c>
      <c r="E181" s="39">
        <v>2.0</v>
      </c>
      <c r="F181" s="39">
        <v>75.0</v>
      </c>
      <c r="I181" s="39">
        <v>70.0</v>
      </c>
      <c r="J181" s="39">
        <v>70.0</v>
      </c>
      <c r="K181" s="87">
        <v>80.0</v>
      </c>
      <c r="L181" s="39">
        <v>75.0</v>
      </c>
      <c r="M181" s="39">
        <v>50.0</v>
      </c>
      <c r="N181" s="39">
        <v>75.0</v>
      </c>
      <c r="P181" s="39">
        <v>50.0</v>
      </c>
      <c r="Q181" s="64"/>
      <c r="R181" s="64"/>
      <c r="S181" s="64"/>
      <c r="T181" s="64"/>
      <c r="U181" s="64"/>
      <c r="V181" s="64"/>
      <c r="W181" s="64"/>
      <c r="X181" s="64"/>
      <c r="Y181" s="64"/>
      <c r="Z181" s="64"/>
      <c r="AA181" s="64"/>
      <c r="AJ181" s="37">
        <v>0.0</v>
      </c>
      <c r="AK181" s="37">
        <v>0.0</v>
      </c>
      <c r="AL181" s="37">
        <v>75.0</v>
      </c>
      <c r="AM181" s="37">
        <v>0.0</v>
      </c>
      <c r="AN181" s="37">
        <v>0.0</v>
      </c>
      <c r="AO181" s="37">
        <v>0.0</v>
      </c>
      <c r="AP181" s="37">
        <v>0.0</v>
      </c>
      <c r="AQ181" s="37">
        <v>0.0</v>
      </c>
      <c r="AR181" s="37">
        <v>0.0</v>
      </c>
      <c r="AS181" s="37">
        <v>0.0</v>
      </c>
      <c r="AT181" s="37">
        <v>0.0</v>
      </c>
      <c r="AU181" s="37">
        <v>0.0</v>
      </c>
      <c r="AV181" s="37">
        <v>0.0</v>
      </c>
      <c r="AW181" s="37">
        <v>50.0</v>
      </c>
      <c r="AX181" s="37">
        <v>0.0</v>
      </c>
      <c r="AY181" s="37">
        <v>0.0</v>
      </c>
      <c r="AZ181" s="37">
        <v>100.0</v>
      </c>
      <c r="BA181" s="39"/>
      <c r="BB181" s="39"/>
      <c r="BC181" s="39"/>
      <c r="BD181" s="39"/>
      <c r="BE181" s="39"/>
      <c r="BF181" s="39"/>
      <c r="BG181" s="37" t="str">
        <f t="array" ref="BG181">IF($A181="","",IFERROR(INDEX(CS!$B$1:$B$15025,MATCH($A181,CS!$B:$B,0)+COLUMN(A$1),1),""))</f>
        <v>沈黙</v>
      </c>
      <c r="BH181" s="37" t="str">
        <f t="array" ref="BH181">IF($A181="","",IFERROR(INDEX(CS!$B$1:$B$15025,MATCH($A181,CS!$B:$B,0)+COLUMN(B$1),1),""))</f>
        <v/>
      </c>
      <c r="BI181" s="37" t="str">
        <f t="array" ref="BI181">IF($A181="","",IFERROR(INDEX(CS!$B$1:$B$15025,MATCH($A181,CS!$B:$B,0)+COLUMN(C$1),1),""))</f>
        <v>正しき天秤</v>
      </c>
      <c r="BJ181" s="37" t="str">
        <f t="array" ref="BJ181">IF($A181="","",IFERROR(INDEX(CS!$B$1:$B$15025,MATCH($A181,CS!$B:$B,0)+COLUMN(D$1),1),""))</f>
        <v/>
      </c>
      <c r="BK181" s="37" t="str">
        <f t="array" ref="BK181">IF($A181="","",IFERROR(INDEX(CS!$B$1:$B$15025,MATCH($A181,CS!$B:$B,0)+COLUMN(E$1),1),""))</f>
        <v>光線</v>
      </c>
      <c r="BL181" s="37" t="str">
        <f t="array" ref="BL181">IF($A181="","",IFERROR(INDEX(CS!$B$1:$B$15025,MATCH($A181,CS!$B:$B,0)+COLUMN(F$1),1),""))</f>
        <v/>
      </c>
      <c r="BM181" s="37" t="str">
        <f t="array" ref="BM181">IF($A181="","",IFERROR(INDEX(CS!$B$1:$B$15025,MATCH($A181,CS!$B:$B,0)+COLUMN(G$1),1),""))</f>
        <v>信仰の魂</v>
      </c>
      <c r="BN181" s="37" t="str">
        <f t="array" ref="BN181">IF($A181="","",IFERROR(INDEX(CS!$B$1:$B$15025,MATCH($A181,CS!$B:$B,0)+COLUMN(H$1),1),""))</f>
        <v/>
      </c>
      <c r="BO181" s="37" t="str">
        <f t="array" ref="BO181">IF($A181="","",IFERROR(INDEX(CS!$B$1:$B$15025,MATCH($A181,CS!$B:$B,0)+COLUMN(I$1),1),""))</f>
        <v>強化破り</v>
      </c>
      <c r="BP181" s="37" t="str">
        <f t="array" ref="BP181">IF($A181="","",IFERROR(INDEX(CS!$B$1:$B$15025,MATCH($A181,CS!$B:$B,0)+COLUMN(J$1),1),""))</f>
        <v>祓魔</v>
      </c>
      <c r="BR181" s="39" t="s">
        <v>2868</v>
      </c>
      <c r="BS181" s="74"/>
      <c r="CG181" s="37" t="s">
        <v>2823</v>
      </c>
      <c r="CI181" s="37" t="s">
        <v>2808</v>
      </c>
      <c r="CJ181" s="37" t="s">
        <v>2819</v>
      </c>
      <c r="CK181" s="37" t="s">
        <v>2802</v>
      </c>
      <c r="CN181" s="37" t="s">
        <v>2821</v>
      </c>
      <c r="CQ181" s="37"/>
      <c r="CR181" s="37"/>
    </row>
    <row r="182" ht="18.75" customHeight="1" outlineLevel="1">
      <c r="A182" s="39" t="s">
        <v>2460</v>
      </c>
      <c r="B182" s="71"/>
      <c r="C182" s="39" t="s">
        <v>2822</v>
      </c>
      <c r="D182" s="72" t="str">
        <f t="shared" si="8"/>
        <v>730/505/225</v>
      </c>
      <c r="E182" s="39">
        <v>3.0</v>
      </c>
      <c r="F182" s="39">
        <v>75.0</v>
      </c>
      <c r="I182" s="39">
        <v>70.0</v>
      </c>
      <c r="J182" s="39">
        <v>70.0</v>
      </c>
      <c r="K182" s="87">
        <v>85.0</v>
      </c>
      <c r="L182" s="39">
        <v>80.0</v>
      </c>
      <c r="M182" s="39">
        <v>50.0</v>
      </c>
      <c r="N182" s="39">
        <v>75.0</v>
      </c>
      <c r="P182" s="39">
        <v>50.0</v>
      </c>
      <c r="Q182" s="64"/>
      <c r="R182" s="64"/>
      <c r="S182" s="64"/>
      <c r="T182" s="64"/>
      <c r="U182" s="64"/>
      <c r="V182" s="64"/>
      <c r="W182" s="64"/>
      <c r="X182" s="64"/>
      <c r="Y182" s="64"/>
      <c r="Z182" s="64"/>
      <c r="AA182" s="64"/>
      <c r="AJ182" s="37">
        <v>0.0</v>
      </c>
      <c r="AK182" s="37">
        <v>0.0</v>
      </c>
      <c r="AL182" s="37">
        <v>75.0</v>
      </c>
      <c r="AM182" s="37">
        <v>0.0</v>
      </c>
      <c r="AN182" s="37">
        <v>0.0</v>
      </c>
      <c r="AO182" s="37">
        <v>0.0</v>
      </c>
      <c r="AP182" s="37">
        <v>0.0</v>
      </c>
      <c r="AQ182" s="37">
        <v>0.0</v>
      </c>
      <c r="AR182" s="37">
        <v>0.0</v>
      </c>
      <c r="AS182" s="37">
        <v>0.0</v>
      </c>
      <c r="AT182" s="37">
        <v>0.0</v>
      </c>
      <c r="AU182" s="37">
        <v>0.0</v>
      </c>
      <c r="AV182" s="37">
        <v>0.0</v>
      </c>
      <c r="AW182" s="37">
        <v>50.0</v>
      </c>
      <c r="AX182" s="37">
        <v>0.0</v>
      </c>
      <c r="AY182" s="37">
        <v>0.0</v>
      </c>
      <c r="AZ182" s="37">
        <v>100.0</v>
      </c>
      <c r="BA182" s="39"/>
      <c r="BB182" s="39"/>
      <c r="BC182" s="39"/>
      <c r="BD182" s="39"/>
      <c r="BE182" s="39"/>
      <c r="BF182" s="39"/>
      <c r="BG182" s="37" t="str">
        <f t="array" ref="BG182">IF($A182="","",IFERROR(INDEX(CS!$B$1:$B$15025,MATCH($A182,CS!$B:$B,0)+COLUMN(A$1),1),""))</f>
        <v>毒治癒</v>
      </c>
      <c r="BH182" s="37" t="str">
        <f t="array" ref="BH182">IF($A182="","",IFERROR(INDEX(CS!$B$1:$B$15025,MATCH($A182,CS!$B:$B,0)+COLUMN(B$1),1),""))</f>
        <v/>
      </c>
      <c r="BI182" s="37" t="str">
        <f t="array" ref="BI182">IF($A182="","",IFERROR(INDEX(CS!$B$1:$B$15025,MATCH($A182,CS!$B:$B,0)+COLUMN(C$1),1),""))</f>
        <v>麻痺治癒</v>
      </c>
      <c r="BJ182" s="37" t="str">
        <f t="array" ref="BJ182">IF($A182="","",IFERROR(INDEX(CS!$B$1:$B$15025,MATCH($A182,CS!$B:$B,0)+COLUMN(D$1),1),""))</f>
        <v/>
      </c>
      <c r="BK182" s="37" t="str">
        <f t="array" ref="BK182">IF($A182="","",IFERROR(INDEX(CS!$B$1:$B$15025,MATCH($A182,CS!$B:$B,0)+COLUMN(E$1),1),""))</f>
        <v>回復術</v>
      </c>
      <c r="BL182" s="37" t="str">
        <f t="array" ref="BL182">IF($A182="","",IFERROR(INDEX(CS!$B$1:$B$15025,MATCH($A182,CS!$B:$B,0)+COLUMN(F$1),1),""))</f>
        <v/>
      </c>
      <c r="BM182" s="37" t="str">
        <f t="array" ref="BM182">IF($A182="","",IFERROR(INDEX(CS!$B$1:$B$15025,MATCH($A182,CS!$B:$B,0)+COLUMN(G$1),1),""))</f>
        <v>洗浄</v>
      </c>
      <c r="BN182" s="37" t="str">
        <f t="array" ref="BN182">IF($A182="","",IFERROR(INDEX(CS!$B$1:$B$15025,MATCH($A182,CS!$B:$B,0)+COLUMN(H$1),1),""))</f>
        <v/>
      </c>
      <c r="BO182" s="37" t="str">
        <f t="array" ref="BO182">IF($A182="","",IFERROR(INDEX(CS!$B$1:$B$15025,MATCH($A182,CS!$B:$B,0)+COLUMN(I$1),1),""))</f>
        <v>大回復術</v>
      </c>
      <c r="BP182" s="37" t="str">
        <f t="array" ref="BP182">IF($A182="","",IFERROR(INDEX(CS!$B$1:$B$15025,MATCH($A182,CS!$B:$B,0)+COLUMN(J$1),1),""))</f>
        <v>真の蘇生</v>
      </c>
      <c r="BR182" s="39" t="s">
        <v>2870</v>
      </c>
      <c r="BS182" s="74"/>
      <c r="CG182" s="37" t="s">
        <v>2823</v>
      </c>
      <c r="CI182" s="37" t="s">
        <v>2808</v>
      </c>
      <c r="CJ182" s="37" t="s">
        <v>2819</v>
      </c>
      <c r="CK182" s="37" t="s">
        <v>2802</v>
      </c>
      <c r="CN182" s="37" t="s">
        <v>2821</v>
      </c>
      <c r="CQ182" s="37"/>
      <c r="CR182" s="37"/>
    </row>
    <row r="183" ht="18.75" customHeight="1" outlineLevel="1">
      <c r="A183" s="39" t="s">
        <v>2461</v>
      </c>
      <c r="B183" s="71"/>
      <c r="C183" s="39" t="s">
        <v>2822</v>
      </c>
      <c r="D183" s="72" t="str">
        <f t="shared" si="8"/>
        <v>725/500/225</v>
      </c>
      <c r="E183" s="39">
        <v>2.0</v>
      </c>
      <c r="F183" s="39">
        <v>75.0</v>
      </c>
      <c r="I183" s="39">
        <v>75.0</v>
      </c>
      <c r="J183" s="39">
        <v>70.0</v>
      </c>
      <c r="K183" s="87">
        <v>80.0</v>
      </c>
      <c r="L183" s="39">
        <v>75.0</v>
      </c>
      <c r="M183" s="39">
        <v>50.0</v>
      </c>
      <c r="N183" s="39">
        <v>75.0</v>
      </c>
      <c r="P183" s="39">
        <v>25.0</v>
      </c>
      <c r="Q183" s="64"/>
      <c r="R183" s="64"/>
      <c r="S183" s="64"/>
      <c r="T183" s="64"/>
      <c r="U183" s="64"/>
      <c r="V183" s="64"/>
      <c r="W183" s="64"/>
      <c r="X183" s="64"/>
      <c r="Y183" s="64"/>
      <c r="Z183" s="64"/>
      <c r="AA183" s="64"/>
      <c r="AJ183" s="37">
        <v>0.0</v>
      </c>
      <c r="AK183" s="37">
        <v>0.0</v>
      </c>
      <c r="AL183" s="37">
        <v>75.0</v>
      </c>
      <c r="AM183" s="37">
        <v>0.0</v>
      </c>
      <c r="AN183" s="37">
        <v>0.0</v>
      </c>
      <c r="AO183" s="37">
        <v>0.0</v>
      </c>
      <c r="AP183" s="37">
        <v>0.0</v>
      </c>
      <c r="AQ183" s="37">
        <v>0.0</v>
      </c>
      <c r="AR183" s="37">
        <v>0.0</v>
      </c>
      <c r="AS183" s="37">
        <v>0.0</v>
      </c>
      <c r="AT183" s="37">
        <v>0.0</v>
      </c>
      <c r="AU183" s="37">
        <v>0.0</v>
      </c>
      <c r="AV183" s="37">
        <v>0.0</v>
      </c>
      <c r="AW183" s="37">
        <v>50.0</v>
      </c>
      <c r="AX183" s="37">
        <v>0.0</v>
      </c>
      <c r="AY183" s="37">
        <v>0.0</v>
      </c>
      <c r="AZ183" s="37">
        <v>100.0</v>
      </c>
      <c r="BA183" s="39"/>
      <c r="BB183" s="39"/>
      <c r="BC183" s="39"/>
      <c r="BD183" s="39"/>
      <c r="BE183" s="39"/>
      <c r="BF183" s="39"/>
      <c r="BG183" s="37" t="str">
        <f t="array" ref="BG183">IF($A183="","",IFERROR(INDEX(CS!$B$1:$B$15025,MATCH($A183,CS!$B:$B,0)+COLUMN(A$1),1),""))</f>
        <v>沈黙</v>
      </c>
      <c r="BH183" s="37" t="str">
        <f t="array" ref="BH183">IF($A183="","",IFERROR(INDEX(CS!$B$1:$B$15025,MATCH($A183,CS!$B:$B,0)+COLUMN(B$1),1),""))</f>
        <v/>
      </c>
      <c r="BI183" s="37" t="str">
        <f t="array" ref="BI183">IF($A183="","",IFERROR(INDEX(CS!$B$1:$B$15025,MATCH($A183,CS!$B:$B,0)+COLUMN(C$1),1),""))</f>
        <v>叱責</v>
      </c>
      <c r="BJ183" s="37" t="str">
        <f t="array" ref="BJ183">IF($A183="","",IFERROR(INDEX(CS!$B$1:$B$15025,MATCH($A183,CS!$B:$B,0)+COLUMN(D$1),1),""))</f>
        <v/>
      </c>
      <c r="BK183" s="37" t="str">
        <f t="array" ref="BK183">IF($A183="","",IFERROR(INDEX(CS!$B$1:$B$15025,MATCH($A183,CS!$B:$B,0)+COLUMN(E$1),1),""))</f>
        <v>弱体化</v>
      </c>
      <c r="BL183" s="37" t="str">
        <f t="array" ref="BL183">IF($A183="","",IFERROR(INDEX(CS!$B$1:$B$15025,MATCH($A183,CS!$B:$B,0)+COLUMN(F$1),1),""))</f>
        <v/>
      </c>
      <c r="BM183" s="37" t="str">
        <f t="array" ref="BM183">IF($A183="","",IFERROR(INDEX(CS!$B$1:$B$15025,MATCH($A183,CS!$B:$B,0)+COLUMN(G$1),1),""))</f>
        <v>正しき天秤</v>
      </c>
      <c r="BN183" s="37" t="str">
        <f t="array" ref="BN183">IF($A183="","",IFERROR(INDEX(CS!$B$1:$B$15025,MATCH($A183,CS!$B:$B,0)+COLUMN(H$1),1),""))</f>
        <v/>
      </c>
      <c r="BO183" s="37" t="str">
        <f t="array" ref="BO183">IF($A183="","",IFERROR(INDEX(CS!$B$1:$B$15025,MATCH($A183,CS!$B:$B,0)+COLUMN(I$1),1),""))</f>
        <v>強化破り</v>
      </c>
      <c r="BP183" s="37" t="str">
        <f t="array" ref="BP183">IF($A183="","",IFERROR(INDEX(CS!$B$1:$B$15025,MATCH($A183,CS!$B:$B,0)+COLUMN(J$1),1),""))</f>
        <v>罪の烙印</v>
      </c>
      <c r="BR183" s="39" t="s">
        <v>2868</v>
      </c>
      <c r="BS183" s="74"/>
      <c r="CG183" s="37" t="s">
        <v>2823</v>
      </c>
      <c r="CI183" s="37" t="s">
        <v>2808</v>
      </c>
      <c r="CJ183" s="37" t="s">
        <v>2819</v>
      </c>
      <c r="CK183" s="37" t="s">
        <v>2802</v>
      </c>
      <c r="CN183" s="37" t="s">
        <v>2821</v>
      </c>
      <c r="CQ183" s="37"/>
      <c r="CR183" s="37"/>
    </row>
    <row r="184" ht="18.75" customHeight="1" outlineLevel="1">
      <c r="A184" s="39" t="s">
        <v>2464</v>
      </c>
      <c r="B184" s="71"/>
      <c r="C184" s="39" t="s">
        <v>2822</v>
      </c>
      <c r="D184" s="72" t="str">
        <f t="shared" si="8"/>
        <v>740/515/225</v>
      </c>
      <c r="E184" s="39">
        <v>3.0</v>
      </c>
      <c r="F184" s="39">
        <v>75.0</v>
      </c>
      <c r="I184" s="39">
        <v>80.0</v>
      </c>
      <c r="J184" s="39">
        <v>70.0</v>
      </c>
      <c r="K184" s="87">
        <v>85.0</v>
      </c>
      <c r="L184" s="39">
        <v>80.0</v>
      </c>
      <c r="M184" s="39">
        <v>50.0</v>
      </c>
      <c r="N184" s="39">
        <v>75.0</v>
      </c>
      <c r="P184" s="39">
        <v>50.0</v>
      </c>
      <c r="Q184" s="64"/>
      <c r="R184" s="64"/>
      <c r="S184" s="64"/>
      <c r="T184" s="64"/>
      <c r="U184" s="64"/>
      <c r="V184" s="64"/>
      <c r="W184" s="64"/>
      <c r="X184" s="64"/>
      <c r="Y184" s="64"/>
      <c r="Z184" s="64"/>
      <c r="AA184" s="64"/>
      <c r="AJ184" s="37">
        <v>0.0</v>
      </c>
      <c r="AK184" s="37">
        <v>0.0</v>
      </c>
      <c r="AL184" s="37">
        <v>75.0</v>
      </c>
      <c r="AM184" s="37">
        <v>0.0</v>
      </c>
      <c r="AN184" s="37">
        <v>0.0</v>
      </c>
      <c r="AO184" s="37">
        <v>0.0</v>
      </c>
      <c r="AP184" s="37">
        <v>0.0</v>
      </c>
      <c r="AQ184" s="37">
        <v>0.0</v>
      </c>
      <c r="AR184" s="37">
        <v>0.0</v>
      </c>
      <c r="AS184" s="37">
        <v>0.0</v>
      </c>
      <c r="AT184" s="37">
        <v>0.0</v>
      </c>
      <c r="AU184" s="37">
        <v>0.0</v>
      </c>
      <c r="AV184" s="37">
        <v>0.0</v>
      </c>
      <c r="AW184" s="37">
        <v>50.0</v>
      </c>
      <c r="AX184" s="37">
        <v>0.0</v>
      </c>
      <c r="AY184" s="37">
        <v>0.0</v>
      </c>
      <c r="AZ184" s="37">
        <v>100.0</v>
      </c>
      <c r="BA184" s="39"/>
      <c r="BB184" s="39"/>
      <c r="BC184" s="39"/>
      <c r="BD184" s="39"/>
      <c r="BE184" s="39"/>
      <c r="BF184" s="39"/>
      <c r="BG184" s="37" t="str">
        <f t="array" ref="BG184">IF($A184="","",IFERROR(INDEX(CS!$B$1:$B$15025,MATCH($A184,CS!$B:$B,0)+COLUMN(A$1),1),""))</f>
        <v>焼け付く光</v>
      </c>
      <c r="BH184" s="37" t="str">
        <f t="array" ref="BH184">IF($A184="","",IFERROR(INDEX(CS!$B$1:$B$15025,MATCH($A184,CS!$B:$B,0)+COLUMN(B$1),1),""))</f>
        <v/>
      </c>
      <c r="BI184" s="37" t="str">
        <f t="array" ref="BI184">IF($A184="","",IFERROR(INDEX(CS!$B$1:$B$15025,MATCH($A184,CS!$B:$B,0)+COLUMN(C$1),1),""))</f>
        <v>光柱</v>
      </c>
      <c r="BJ184" s="37" t="str">
        <f t="array" ref="BJ184">IF($A184="","",IFERROR(INDEX(CS!$B$1:$B$15025,MATCH($A184,CS!$B:$B,0)+COLUMN(D$1),1),""))</f>
        <v/>
      </c>
      <c r="BK184" s="37" t="str">
        <f t="array" ref="BK184">IF($A184="","",IFERROR(INDEX(CS!$B$1:$B$15025,MATCH($A184,CS!$B:$B,0)+COLUMN(E$1),1),""))</f>
        <v>神聖武器</v>
      </c>
      <c r="BL184" s="37" t="str">
        <f t="array" ref="BL184">IF($A184="","",IFERROR(INDEX(CS!$B$1:$B$15025,MATCH($A184,CS!$B:$B,0)+COLUMN(F$1),1),""))</f>
        <v/>
      </c>
      <c r="BM184" s="37" t="str">
        <f t="array" ref="BM184">IF($A184="","",IFERROR(INDEX(CS!$B$1:$B$15025,MATCH($A184,CS!$B:$B,0)+COLUMN(G$1),1),""))</f>
        <v>光の奔流</v>
      </c>
      <c r="BN184" s="37" t="str">
        <f t="array" ref="BN184">IF($A184="","",IFERROR(INDEX(CS!$B$1:$B$15025,MATCH($A184,CS!$B:$B,0)+COLUMN(H$1),1),""))</f>
        <v/>
      </c>
      <c r="BO184" s="37" t="str">
        <f t="array" ref="BO184">IF($A184="","",IFERROR(INDEX(CS!$B$1:$B$15025,MATCH($A184,CS!$B:$B,0)+COLUMN(I$1),1),""))</f>
        <v>正しき天秤</v>
      </c>
      <c r="BP184" s="37" t="str">
        <f t="array" ref="BP184">IF($A184="","",IFERROR(INDEX(CS!$B$1:$B$15025,MATCH($A184,CS!$B:$B,0)+COLUMN(J$1),1),""))</f>
        <v>神罰</v>
      </c>
      <c r="BR184" s="39" t="s">
        <v>2871</v>
      </c>
      <c r="BS184" s="74"/>
      <c r="CG184" s="37" t="s">
        <v>2823</v>
      </c>
      <c r="CI184" s="37" t="s">
        <v>2808</v>
      </c>
      <c r="CJ184" s="37" t="s">
        <v>2819</v>
      </c>
      <c r="CK184" s="37" t="s">
        <v>2802</v>
      </c>
      <c r="CN184" s="37" t="s">
        <v>2821</v>
      </c>
      <c r="CQ184" s="37"/>
      <c r="CR184" s="37"/>
    </row>
    <row r="185" ht="18.75" customHeight="1" outlineLevel="1">
      <c r="A185" s="39" t="s">
        <v>2468</v>
      </c>
      <c r="B185" s="71"/>
      <c r="C185" s="39" t="s">
        <v>2822</v>
      </c>
      <c r="D185" s="72" t="str">
        <f t="shared" si="8"/>
        <v>725/500/225</v>
      </c>
      <c r="E185" s="39">
        <v>2.0</v>
      </c>
      <c r="F185" s="39">
        <v>85.0</v>
      </c>
      <c r="I185" s="39">
        <v>75.0</v>
      </c>
      <c r="J185" s="39">
        <v>90.0</v>
      </c>
      <c r="K185" s="87">
        <v>60.0</v>
      </c>
      <c r="L185" s="39">
        <v>60.0</v>
      </c>
      <c r="M185" s="39">
        <v>55.0</v>
      </c>
      <c r="N185" s="39">
        <v>75.0</v>
      </c>
      <c r="P185" s="39">
        <v>50.0</v>
      </c>
      <c r="Q185" s="64"/>
      <c r="R185" s="64"/>
      <c r="S185" s="64"/>
      <c r="T185" s="64"/>
      <c r="U185" s="64"/>
      <c r="V185" s="64"/>
      <c r="W185" s="64"/>
      <c r="X185" s="64"/>
      <c r="Y185" s="64"/>
      <c r="Z185" s="64"/>
      <c r="AA185" s="64"/>
      <c r="AJ185" s="37">
        <v>50.0</v>
      </c>
      <c r="AK185" s="37">
        <v>0.0</v>
      </c>
      <c r="AL185" s="37">
        <v>50.0</v>
      </c>
      <c r="AM185" s="37">
        <v>0.0</v>
      </c>
      <c r="AN185" s="37">
        <v>0.0</v>
      </c>
      <c r="AO185" s="37">
        <v>0.0</v>
      </c>
      <c r="AP185" s="37">
        <v>0.0</v>
      </c>
      <c r="AQ185" s="37">
        <v>0.0</v>
      </c>
      <c r="AR185" s="37">
        <v>0.0</v>
      </c>
      <c r="AS185" s="37">
        <v>0.0</v>
      </c>
      <c r="AT185" s="37">
        <v>0.0</v>
      </c>
      <c r="AU185" s="37">
        <v>0.0</v>
      </c>
      <c r="AV185" s="37">
        <v>0.0</v>
      </c>
      <c r="AW185" s="37">
        <v>50.0</v>
      </c>
      <c r="AX185" s="37">
        <v>0.0</v>
      </c>
      <c r="AY185" s="37">
        <v>0.0</v>
      </c>
      <c r="AZ185" s="37">
        <v>75.0</v>
      </c>
      <c r="BA185" s="39"/>
      <c r="BB185" s="39"/>
      <c r="BC185" s="39"/>
      <c r="BD185" s="39"/>
      <c r="BE185" s="39"/>
      <c r="BF185" s="39"/>
      <c r="BG185" s="37" t="str">
        <f t="array" ref="BG185">IF($A185="","",IFERROR(INDEX(CS!$B$1:$B$15025,MATCH($A185,CS!$B:$B,0)+COLUMN(A$1),1),""))</f>
        <v>光の武器</v>
      </c>
      <c r="BH185" s="37" t="str">
        <f t="array" ref="BH185">IF($A185="","",IFERROR(INDEX(CS!$B$1:$B$15025,MATCH($A185,CS!$B:$B,0)+COLUMN(B$1),1),""))</f>
        <v/>
      </c>
      <c r="BI185" s="37" t="str">
        <f t="array" ref="BI185">IF($A185="","",IFERROR(INDEX(CS!$B$1:$B$15025,MATCH($A185,CS!$B:$B,0)+COLUMN(C$1),1),""))</f>
        <v>光刃撃</v>
      </c>
      <c r="BJ185" s="37" t="str">
        <f t="array" ref="BJ185">IF($A185="","",IFERROR(INDEX(CS!$B$1:$B$15025,MATCH($A185,CS!$B:$B,0)+COLUMN(D$1),1),""))</f>
        <v/>
      </c>
      <c r="BK185" s="37" t="str">
        <f t="array" ref="BK185">IF($A185="","",IFERROR(INDEX(CS!$B$1:$B$15025,MATCH($A185,CS!$B:$B,0)+COLUMN(E$1),1),""))</f>
        <v>武器の攻め</v>
      </c>
      <c r="BL185" s="37" t="str">
        <f t="array" ref="BL185">IF($A185="","",IFERROR(INDEX(CS!$B$1:$B$15025,MATCH($A185,CS!$B:$B,0)+COLUMN(F$1),1),""))</f>
        <v/>
      </c>
      <c r="BM185" s="37" t="str">
        <f t="array" ref="BM185">IF($A185="","",IFERROR(INDEX(CS!$B$1:$B$15025,MATCH($A185,CS!$B:$B,0)+COLUMN(G$1),1),""))</f>
        <v>反撃</v>
      </c>
      <c r="BN185" s="37" t="str">
        <f t="array" ref="BN185">IF($A185="","",IFERROR(INDEX(CS!$B$1:$B$15025,MATCH($A185,CS!$B:$B,0)+COLUMN(H$1),1),""))</f>
        <v/>
      </c>
      <c r="BO185" s="37" t="str">
        <f t="array" ref="BO185">IF($A185="","",IFERROR(INDEX(CS!$B$1:$B$15025,MATCH($A185,CS!$B:$B,0)+COLUMN(I$1),1),""))</f>
        <v>一閃撃</v>
      </c>
      <c r="BP185" s="37" t="str">
        <f t="array" ref="BP185">IF($A185="","",IFERROR(INDEX(CS!$B$1:$B$15025,MATCH($A185,CS!$B:$B,0)+COLUMN(J$1),1),""))</f>
        <v>聖断</v>
      </c>
      <c r="BR185" s="39" t="s">
        <v>2872</v>
      </c>
      <c r="BS185" s="74"/>
      <c r="CG185" s="37" t="s">
        <v>2804</v>
      </c>
      <c r="CH185" s="37" t="s">
        <v>2805</v>
      </c>
      <c r="CI185" s="37" t="s">
        <v>2808</v>
      </c>
      <c r="CJ185" s="37" t="s">
        <v>2819</v>
      </c>
      <c r="CK185" s="37" t="s">
        <v>2802</v>
      </c>
      <c r="CN185" s="37" t="s">
        <v>2821</v>
      </c>
      <c r="CQ185" s="37"/>
      <c r="CR185" s="37"/>
    </row>
    <row r="186" ht="18.75" customHeight="1" outlineLevel="1">
      <c r="A186" s="39" t="s">
        <v>2475</v>
      </c>
      <c r="B186" s="71"/>
      <c r="C186" s="39" t="s">
        <v>2822</v>
      </c>
      <c r="D186" s="72" t="str">
        <f t="shared" si="8"/>
        <v>740/515/225</v>
      </c>
      <c r="E186" s="39">
        <v>3.0</v>
      </c>
      <c r="F186" s="39">
        <v>85.0</v>
      </c>
      <c r="I186" s="39">
        <v>80.0</v>
      </c>
      <c r="J186" s="39">
        <v>95.0</v>
      </c>
      <c r="K186" s="87">
        <v>65.0</v>
      </c>
      <c r="L186" s="39">
        <v>60.0</v>
      </c>
      <c r="M186" s="39">
        <v>55.0</v>
      </c>
      <c r="N186" s="39">
        <v>75.0</v>
      </c>
      <c r="P186" s="39">
        <v>50.0</v>
      </c>
      <c r="Q186" s="64"/>
      <c r="R186" s="64"/>
      <c r="S186" s="64"/>
      <c r="T186" s="64"/>
      <c r="U186" s="64"/>
      <c r="V186" s="64"/>
      <c r="W186" s="64"/>
      <c r="X186" s="64"/>
      <c r="Y186" s="64"/>
      <c r="Z186" s="64"/>
      <c r="AA186" s="64"/>
      <c r="AJ186" s="37">
        <v>50.0</v>
      </c>
      <c r="AK186" s="37">
        <v>0.0</v>
      </c>
      <c r="AL186" s="37">
        <v>50.0</v>
      </c>
      <c r="AM186" s="37">
        <v>0.0</v>
      </c>
      <c r="AN186" s="37">
        <v>0.0</v>
      </c>
      <c r="AO186" s="37">
        <v>0.0</v>
      </c>
      <c r="AP186" s="37">
        <v>0.0</v>
      </c>
      <c r="AQ186" s="37">
        <v>0.0</v>
      </c>
      <c r="AR186" s="37">
        <v>0.0</v>
      </c>
      <c r="AS186" s="37">
        <v>0.0</v>
      </c>
      <c r="AT186" s="37">
        <v>0.0</v>
      </c>
      <c r="AU186" s="37">
        <v>0.0</v>
      </c>
      <c r="AV186" s="37">
        <v>0.0</v>
      </c>
      <c r="AW186" s="37">
        <v>50.0</v>
      </c>
      <c r="AX186" s="37">
        <v>0.0</v>
      </c>
      <c r="AY186" s="37">
        <v>0.0</v>
      </c>
      <c r="AZ186" s="37">
        <v>75.0</v>
      </c>
      <c r="BA186" s="39"/>
      <c r="BB186" s="39"/>
      <c r="BC186" s="39"/>
      <c r="BD186" s="39"/>
      <c r="BE186" s="39"/>
      <c r="BF186" s="39"/>
      <c r="BG186" s="37" t="str">
        <f t="array" ref="BG186">IF($A186="","",IFERROR(INDEX(CS!$B$1:$B$15025,MATCH($A186,CS!$B:$B,0)+COLUMN(A$1),1),""))</f>
        <v>聖戦撃</v>
      </c>
      <c r="BH186" s="37" t="str">
        <f t="array" ref="BH186">IF($A186="","",IFERROR(INDEX(CS!$B$1:$B$15025,MATCH($A186,CS!$B:$B,0)+COLUMN(B$1),1),""))</f>
        <v/>
      </c>
      <c r="BI186" s="37" t="str">
        <f t="array" ref="BI186">IF($A186="","",IFERROR(INDEX(CS!$B$1:$B$15025,MATCH($A186,CS!$B:$B,0)+COLUMN(C$1),1),""))</f>
        <v>聖戦士</v>
      </c>
      <c r="BJ186" s="37" t="str">
        <f t="array" ref="BJ186">IF($A186="","",IFERROR(INDEX(CS!$B$1:$B$15025,MATCH($A186,CS!$B:$B,0)+COLUMN(D$1),1),""))</f>
        <v/>
      </c>
      <c r="BK186" s="37" t="str">
        <f t="array" ref="BK186">IF($A186="","",IFERROR(INDEX(CS!$B$1:$B$15025,MATCH($A186,CS!$B:$B,0)+COLUMN(E$1),1),""))</f>
        <v>反撃</v>
      </c>
      <c r="BL186" s="37" t="str">
        <f t="array" ref="BL186">IF($A186="","",IFERROR(INDEX(CS!$B$1:$B$15025,MATCH($A186,CS!$B:$B,0)+COLUMN(F$1),1),""))</f>
        <v/>
      </c>
      <c r="BM186" s="37" t="str">
        <f t="array" ref="BM186">IF($A186="","",IFERROR(INDEX(CS!$B$1:$B$15025,MATCH($A186,CS!$B:$B,0)+COLUMN(G$1),1),""))</f>
        <v>信仰の護り</v>
      </c>
      <c r="BN186" s="37" t="str">
        <f t="array" ref="BN186">IF($A186="","",IFERROR(INDEX(CS!$B$1:$B$15025,MATCH($A186,CS!$B:$B,0)+COLUMN(H$1),1),""))</f>
        <v/>
      </c>
      <c r="BO186" s="37" t="str">
        <f t="array" ref="BO186">IF($A186="","",IFERROR(INDEX(CS!$B$1:$B$15025,MATCH($A186,CS!$B:$B,0)+COLUMN(I$1),1),""))</f>
        <v>十字斬</v>
      </c>
      <c r="BP186" s="37" t="str">
        <f t="array" ref="BP186">IF($A186="","",IFERROR(INDEX(CS!$B$1:$B$15025,MATCH($A186,CS!$B:$B,0)+COLUMN(J$1),1),""))</f>
        <v>十字聖撃</v>
      </c>
      <c r="BR186" s="39" t="s">
        <v>2873</v>
      </c>
      <c r="BS186" s="74"/>
      <c r="CG186" s="37" t="s">
        <v>2804</v>
      </c>
      <c r="CH186" s="37" t="s">
        <v>2805</v>
      </c>
      <c r="CI186" s="37" t="s">
        <v>2808</v>
      </c>
      <c r="CJ186" s="37" t="s">
        <v>2819</v>
      </c>
      <c r="CK186" s="37" t="s">
        <v>2802</v>
      </c>
      <c r="CN186" s="37" t="s">
        <v>2821</v>
      </c>
      <c r="CQ186" s="37"/>
      <c r="CR186" s="37"/>
    </row>
    <row r="187" ht="18.75" customHeight="1" outlineLevel="1">
      <c r="A187" s="39" t="s">
        <v>2484</v>
      </c>
      <c r="B187" s="71"/>
      <c r="C187" s="39" t="s">
        <v>2822</v>
      </c>
      <c r="D187" s="72" t="str">
        <f t="shared" si="8"/>
        <v>725/500/225</v>
      </c>
      <c r="E187" s="39">
        <v>2.0</v>
      </c>
      <c r="F187" s="39">
        <v>90.0</v>
      </c>
      <c r="I187" s="39">
        <v>70.0</v>
      </c>
      <c r="J187" s="39">
        <v>90.0</v>
      </c>
      <c r="K187" s="87">
        <v>55.0</v>
      </c>
      <c r="L187" s="39">
        <v>65.0</v>
      </c>
      <c r="M187" s="39">
        <v>55.0</v>
      </c>
      <c r="N187" s="39">
        <v>75.0</v>
      </c>
      <c r="P187" s="39">
        <v>75.0</v>
      </c>
      <c r="Q187" s="64"/>
      <c r="R187" s="64"/>
      <c r="S187" s="64"/>
      <c r="T187" s="64"/>
      <c r="U187" s="64"/>
      <c r="V187" s="64"/>
      <c r="W187" s="64"/>
      <c r="X187" s="64"/>
      <c r="Y187" s="64"/>
      <c r="Z187" s="64"/>
      <c r="AA187" s="64"/>
      <c r="AJ187" s="37">
        <v>50.0</v>
      </c>
      <c r="AK187" s="37">
        <v>0.0</v>
      </c>
      <c r="AL187" s="37">
        <v>50.0</v>
      </c>
      <c r="AM187" s="37">
        <v>0.0</v>
      </c>
      <c r="AN187" s="37">
        <v>0.0</v>
      </c>
      <c r="AO187" s="37">
        <v>0.0</v>
      </c>
      <c r="AP187" s="37">
        <v>0.0</v>
      </c>
      <c r="AQ187" s="37">
        <v>0.0</v>
      </c>
      <c r="AR187" s="37">
        <v>0.0</v>
      </c>
      <c r="AS187" s="37">
        <v>0.0</v>
      </c>
      <c r="AT187" s="37">
        <v>0.0</v>
      </c>
      <c r="AU187" s="37">
        <v>0.0</v>
      </c>
      <c r="AV187" s="37">
        <v>0.0</v>
      </c>
      <c r="AW187" s="37">
        <v>50.0</v>
      </c>
      <c r="AX187" s="37">
        <v>0.0</v>
      </c>
      <c r="AY187" s="37">
        <v>0.0</v>
      </c>
      <c r="AZ187" s="37">
        <v>75.0</v>
      </c>
      <c r="BA187" s="39"/>
      <c r="BB187" s="39"/>
      <c r="BC187" s="39"/>
      <c r="BD187" s="39"/>
      <c r="BE187" s="39"/>
      <c r="BF187" s="39"/>
      <c r="BG187" s="37" t="str">
        <f t="array" ref="BG187">IF($A187="","",IFERROR(INDEX(CS!$B$1:$B$15025,MATCH($A187,CS!$B:$B,0)+COLUMN(A$1),1),""))</f>
        <v>守る者</v>
      </c>
      <c r="BH187" s="37" t="str">
        <f t="array" ref="BH187">IF($A187="","",IFERROR(INDEX(CS!$B$1:$B$15025,MATCH($A187,CS!$B:$B,0)+COLUMN(B$1),1),""))</f>
        <v/>
      </c>
      <c r="BI187" s="37" t="str">
        <f t="array" ref="BI187">IF($A187="","",IFERROR(INDEX(CS!$B$1:$B$15025,MATCH($A187,CS!$B:$B,0)+COLUMN(C$1),1),""))</f>
        <v>反撃</v>
      </c>
      <c r="BJ187" s="37" t="str">
        <f t="array" ref="BJ187">IF($A187="","",IFERROR(INDEX(CS!$B$1:$B$15025,MATCH($A187,CS!$B:$B,0)+COLUMN(D$1),1),""))</f>
        <v/>
      </c>
      <c r="BK187" s="37" t="str">
        <f t="array" ref="BK187">IF($A187="","",IFERROR(INDEX(CS!$B$1:$B$15025,MATCH($A187,CS!$B:$B,0)+COLUMN(E$1),1),""))</f>
        <v>信仰の盾</v>
      </c>
      <c r="BL187" s="37" t="str">
        <f t="array" ref="BL187">IF($A187="","",IFERROR(INDEX(CS!$B$1:$B$15025,MATCH($A187,CS!$B:$B,0)+COLUMN(F$1),1),""))</f>
        <v/>
      </c>
      <c r="BM187" s="37" t="str">
        <f t="array" ref="BM187">IF($A187="","",IFERROR(INDEX(CS!$B$1:$B$15025,MATCH($A187,CS!$B:$B,0)+COLUMN(G$1),1),""))</f>
        <v>聖騎士の守り</v>
      </c>
      <c r="BN187" s="37" t="str">
        <f t="array" ref="BN187">IF($A187="","",IFERROR(INDEX(CS!$B$1:$B$15025,MATCH($A187,CS!$B:$B,0)+COLUMN(H$1),1),""))</f>
        <v/>
      </c>
      <c r="BO187" s="37" t="str">
        <f t="array" ref="BO187">IF($A187="","",IFERROR(INDEX(CS!$B$1:$B$15025,MATCH($A187,CS!$B:$B,0)+COLUMN(I$1),1),""))</f>
        <v>信仰の護り</v>
      </c>
      <c r="BP187" s="37" t="str">
        <f t="array" ref="BP187">IF($A187="","",IFERROR(INDEX(CS!$B$1:$B$15025,MATCH($A187,CS!$B:$B,0)+COLUMN(J$1),1),""))</f>
        <v>聖盾</v>
      </c>
      <c r="BR187" s="39" t="s">
        <v>2872</v>
      </c>
      <c r="BS187" s="74"/>
      <c r="CG187" s="37" t="s">
        <v>2804</v>
      </c>
      <c r="CH187" s="37" t="s">
        <v>2805</v>
      </c>
      <c r="CI187" s="37" t="s">
        <v>2808</v>
      </c>
      <c r="CJ187" s="37" t="s">
        <v>2819</v>
      </c>
      <c r="CK187" s="37" t="s">
        <v>2802</v>
      </c>
      <c r="CN187" s="37" t="s">
        <v>2821</v>
      </c>
      <c r="CQ187" s="37"/>
      <c r="CR187" s="37"/>
    </row>
    <row r="188" ht="18.75" customHeight="1" outlineLevel="1">
      <c r="A188" s="39" t="s">
        <v>2489</v>
      </c>
      <c r="B188" s="71"/>
      <c r="C188" s="39" t="s">
        <v>2822</v>
      </c>
      <c r="D188" s="72" t="str">
        <f t="shared" si="8"/>
        <v>740/515/225</v>
      </c>
      <c r="E188" s="39">
        <v>3.0</v>
      </c>
      <c r="F188" s="39">
        <v>95.0</v>
      </c>
      <c r="I188" s="39">
        <v>70.0</v>
      </c>
      <c r="J188" s="39">
        <v>95.0</v>
      </c>
      <c r="K188" s="87">
        <v>55.0</v>
      </c>
      <c r="L188" s="39">
        <v>70.0</v>
      </c>
      <c r="M188" s="39">
        <v>55.0</v>
      </c>
      <c r="N188" s="39">
        <v>75.0</v>
      </c>
      <c r="P188" s="39">
        <v>75.0</v>
      </c>
      <c r="Q188" s="64"/>
      <c r="R188" s="64"/>
      <c r="S188" s="64"/>
      <c r="T188" s="64"/>
      <c r="U188" s="64"/>
      <c r="V188" s="64"/>
      <c r="W188" s="64"/>
      <c r="X188" s="64"/>
      <c r="Y188" s="64"/>
      <c r="Z188" s="64"/>
      <c r="AA188" s="64"/>
      <c r="AJ188" s="37">
        <v>50.0</v>
      </c>
      <c r="AK188" s="37">
        <v>0.0</v>
      </c>
      <c r="AL188" s="37">
        <v>50.0</v>
      </c>
      <c r="AM188" s="37">
        <v>0.0</v>
      </c>
      <c r="AN188" s="37">
        <v>0.0</v>
      </c>
      <c r="AO188" s="37">
        <v>0.0</v>
      </c>
      <c r="AP188" s="37">
        <v>0.0</v>
      </c>
      <c r="AQ188" s="37">
        <v>0.0</v>
      </c>
      <c r="AR188" s="37">
        <v>0.0</v>
      </c>
      <c r="AS188" s="37">
        <v>0.0</v>
      </c>
      <c r="AT188" s="37">
        <v>0.0</v>
      </c>
      <c r="AU188" s="37">
        <v>0.0</v>
      </c>
      <c r="AV188" s="37">
        <v>0.0</v>
      </c>
      <c r="AW188" s="37">
        <v>50.0</v>
      </c>
      <c r="AX188" s="37">
        <v>0.0</v>
      </c>
      <c r="AY188" s="37">
        <v>0.0</v>
      </c>
      <c r="AZ188" s="37">
        <v>75.0</v>
      </c>
      <c r="BA188" s="39"/>
      <c r="BB188" s="39"/>
      <c r="BC188" s="39"/>
      <c r="BD188" s="39"/>
      <c r="BE188" s="39"/>
      <c r="BF188" s="39"/>
      <c r="BG188" s="37" t="str">
        <f t="array" ref="BG188">IF($A188="","",IFERROR(INDEX(CS!$B$1:$B$15025,MATCH($A188,CS!$B:$B,0)+COLUMN(A$1),1),""))</f>
        <v>真なる護り手</v>
      </c>
      <c r="BH188" s="37" t="str">
        <f t="array" ref="BH188">IF($A188="","",IFERROR(INDEX(CS!$B$1:$B$15025,MATCH($A188,CS!$B:$B,0)+COLUMN(B$1),1),""))</f>
        <v/>
      </c>
      <c r="BI188" s="37" t="str">
        <f t="array" ref="BI188">IF($A188="","",IFERROR(INDEX(CS!$B$1:$B$15025,MATCH($A188,CS!$B:$B,0)+COLUMN(C$1),1),""))</f>
        <v>盾の扱い</v>
      </c>
      <c r="BJ188" s="37" t="str">
        <f t="array" ref="BJ188">IF($A188="","",IFERROR(INDEX(CS!$B$1:$B$15025,MATCH($A188,CS!$B:$B,0)+COLUMN(D$1),1),""))</f>
        <v/>
      </c>
      <c r="BK188" s="37" t="str">
        <f t="array" ref="BK188">IF($A188="","",IFERROR(INDEX(CS!$B$1:$B$15025,MATCH($A188,CS!$B:$B,0)+COLUMN(E$1),1),""))</f>
        <v>完全防御</v>
      </c>
      <c r="BL188" s="37" t="str">
        <f t="array" ref="BL188">IF($A188="","",IFERROR(INDEX(CS!$B$1:$B$15025,MATCH($A188,CS!$B:$B,0)+COLUMN(F$1),1),""))</f>
        <v/>
      </c>
      <c r="BM188" s="37" t="str">
        <f t="array" ref="BM188">IF($A188="","",IFERROR(INDEX(CS!$B$1:$B$15025,MATCH($A188,CS!$B:$B,0)+COLUMN(G$1),1),""))</f>
        <v>奇跡の護り</v>
      </c>
      <c r="BN188" s="37" t="str">
        <f t="array" ref="BN188">IF($A188="","",IFERROR(INDEX(CS!$B$1:$B$15025,MATCH($A188,CS!$B:$B,0)+COLUMN(H$1),1),""))</f>
        <v/>
      </c>
      <c r="BO188" s="37" t="str">
        <f t="array" ref="BO188">IF($A188="","",IFERROR(INDEX(CS!$B$1:$B$15025,MATCH($A188,CS!$B:$B,0)+COLUMN(I$1),1),""))</f>
        <v>白き守護</v>
      </c>
      <c r="BP188" s="37" t="str">
        <f t="array" ref="BP188">IF($A188="","",IFERROR(INDEX(CS!$B$1:$B$15025,MATCH($A188,CS!$B:$B,0)+COLUMN(J$1),1),""))</f>
        <v>白銀要塞</v>
      </c>
      <c r="BR188" s="39" t="s">
        <v>2874</v>
      </c>
      <c r="BS188" s="74"/>
      <c r="CG188" s="37" t="s">
        <v>2804</v>
      </c>
      <c r="CH188" s="37" t="s">
        <v>2805</v>
      </c>
      <c r="CI188" s="37" t="s">
        <v>2808</v>
      </c>
      <c r="CJ188" s="37" t="s">
        <v>2819</v>
      </c>
      <c r="CK188" s="37" t="s">
        <v>2802</v>
      </c>
      <c r="CN188" s="37" t="s">
        <v>2821</v>
      </c>
      <c r="CQ188" s="37"/>
      <c r="CR188" s="37"/>
    </row>
    <row r="189" ht="18.75" customHeight="1" outlineLevel="1">
      <c r="A189" s="39" t="s">
        <v>2494</v>
      </c>
      <c r="B189" s="71"/>
      <c r="C189" s="39" t="s">
        <v>2822</v>
      </c>
      <c r="D189" s="72" t="str">
        <f t="shared" si="8"/>
        <v>725/500/225</v>
      </c>
      <c r="E189" s="39">
        <v>2.0</v>
      </c>
      <c r="F189" s="39">
        <v>85.0</v>
      </c>
      <c r="I189" s="39">
        <v>75.0</v>
      </c>
      <c r="J189" s="39">
        <v>90.0</v>
      </c>
      <c r="K189" s="87">
        <v>60.0</v>
      </c>
      <c r="L189" s="39">
        <v>60.0</v>
      </c>
      <c r="M189" s="39">
        <v>55.0</v>
      </c>
      <c r="N189" s="39">
        <v>75.0</v>
      </c>
      <c r="P189" s="39">
        <v>-75.0</v>
      </c>
      <c r="Q189" s="64"/>
      <c r="R189" s="64"/>
      <c r="S189" s="64"/>
      <c r="T189" s="64"/>
      <c r="U189" s="64"/>
      <c r="V189" s="64"/>
      <c r="W189" s="64"/>
      <c r="X189" s="64"/>
      <c r="Y189" s="64"/>
      <c r="Z189" s="64"/>
      <c r="AA189" s="64"/>
      <c r="AJ189" s="37">
        <v>50.0</v>
      </c>
      <c r="AK189" s="37">
        <v>0.0</v>
      </c>
      <c r="AL189" s="37">
        <v>50.0</v>
      </c>
      <c r="AM189" s="37">
        <v>0.0</v>
      </c>
      <c r="AN189" s="37">
        <v>0.0</v>
      </c>
      <c r="AO189" s="37">
        <v>0.0</v>
      </c>
      <c r="AP189" s="37">
        <v>0.0</v>
      </c>
      <c r="AQ189" s="37">
        <v>0.0</v>
      </c>
      <c r="AR189" s="37">
        <v>0.0</v>
      </c>
      <c r="AS189" s="37">
        <v>0.0</v>
      </c>
      <c r="AT189" s="37">
        <v>0.0</v>
      </c>
      <c r="AU189" s="37">
        <v>0.0</v>
      </c>
      <c r="AV189" s="37">
        <v>0.0</v>
      </c>
      <c r="AW189" s="37">
        <v>50.0</v>
      </c>
      <c r="AX189" s="37">
        <v>0.0</v>
      </c>
      <c r="AY189" s="37">
        <v>0.0</v>
      </c>
      <c r="AZ189" s="37">
        <v>75.0</v>
      </c>
      <c r="BA189" s="39"/>
      <c r="BB189" s="39"/>
      <c r="BC189" s="39"/>
      <c r="BD189" s="39"/>
      <c r="BE189" s="39"/>
      <c r="BF189" s="39"/>
      <c r="BG189" s="37" t="str">
        <f t="array" ref="BG189">IF($A189="","",IFERROR(INDEX(CS!$B$1:$B$15025,MATCH($A189,CS!$B:$B,0)+COLUMN(A$1),1),""))</f>
        <v>闇の武器</v>
      </c>
      <c r="BH189" s="37" t="str">
        <f t="array" ref="BH189">IF($A189="","",IFERROR(INDEX(CS!$B$1:$B$15025,MATCH($A189,CS!$B:$B,0)+COLUMN(B$1),1),""))</f>
        <v/>
      </c>
      <c r="BI189" s="37" t="str">
        <f t="array" ref="BI189">IF($A189="","",IFERROR(INDEX(CS!$B$1:$B$15025,MATCH($A189,CS!$B:$B,0)+COLUMN(C$1),1),""))</f>
        <v>闇刃撃</v>
      </c>
      <c r="BJ189" s="37" t="str">
        <f t="array" ref="BJ189">IF($A189="","",IFERROR(INDEX(CS!$B$1:$B$15025,MATCH($A189,CS!$B:$B,0)+COLUMN(D$1),1),""))</f>
        <v/>
      </c>
      <c r="BK189" s="37" t="str">
        <f t="array" ref="BK189">IF($A189="","",IFERROR(INDEX(CS!$B$1:$B$15025,MATCH($A189,CS!$B:$B,0)+COLUMN(E$1),1),""))</f>
        <v>武器の攻め</v>
      </c>
      <c r="BL189" s="37" t="str">
        <f t="array" ref="BL189">IF($A189="","",IFERROR(INDEX(CS!$B$1:$B$15025,MATCH($A189,CS!$B:$B,0)+COLUMN(F$1),1),""))</f>
        <v/>
      </c>
      <c r="BM189" s="37" t="str">
        <f t="array" ref="BM189">IF($A189="","",IFERROR(INDEX(CS!$B$1:$B$15025,MATCH($A189,CS!$B:$B,0)+COLUMN(G$1),1),""))</f>
        <v>反撃</v>
      </c>
      <c r="BN189" s="37" t="str">
        <f t="array" ref="BN189">IF($A189="","",IFERROR(INDEX(CS!$B$1:$B$15025,MATCH($A189,CS!$B:$B,0)+COLUMN(H$1),1),""))</f>
        <v/>
      </c>
      <c r="BO189" s="37" t="str">
        <f t="array" ref="BO189">IF($A189="","",IFERROR(INDEX(CS!$B$1:$B$15025,MATCH($A189,CS!$B:$B,0)+COLUMN(I$1),1),""))</f>
        <v>一閃撃</v>
      </c>
      <c r="BP189" s="37" t="str">
        <f t="array" ref="BP189">IF($A189="","",IFERROR(INDEX(CS!$B$1:$B$15025,MATCH($A189,CS!$B:$B,0)+COLUMN(J$1),1),""))</f>
        <v>闇断</v>
      </c>
      <c r="BR189" s="39" t="s">
        <v>2872</v>
      </c>
      <c r="BS189" s="74"/>
      <c r="CG189" s="37" t="s">
        <v>2804</v>
      </c>
      <c r="CH189" s="37" t="s">
        <v>2805</v>
      </c>
      <c r="CI189" s="37" t="s">
        <v>2808</v>
      </c>
      <c r="CJ189" s="37" t="s">
        <v>2819</v>
      </c>
      <c r="CK189" s="37" t="s">
        <v>2802</v>
      </c>
      <c r="CN189" s="37" t="s">
        <v>2821</v>
      </c>
      <c r="CQ189" s="37"/>
      <c r="CR189" s="37"/>
    </row>
    <row r="190" ht="18.75" customHeight="1" outlineLevel="1">
      <c r="A190" s="39" t="s">
        <v>2502</v>
      </c>
      <c r="B190" s="71"/>
      <c r="C190" s="39" t="s">
        <v>2822</v>
      </c>
      <c r="D190" s="72" t="str">
        <f t="shared" si="8"/>
        <v>750/525/225</v>
      </c>
      <c r="E190" s="39">
        <v>3.0</v>
      </c>
      <c r="F190" s="39">
        <v>85.0</v>
      </c>
      <c r="I190" s="39">
        <v>70.0</v>
      </c>
      <c r="J190" s="39">
        <v>80.0</v>
      </c>
      <c r="K190" s="87">
        <v>85.0</v>
      </c>
      <c r="L190" s="39">
        <v>80.0</v>
      </c>
      <c r="M190" s="39">
        <v>50.0</v>
      </c>
      <c r="N190" s="39">
        <v>75.0</v>
      </c>
      <c r="P190" s="39">
        <v>50.0</v>
      </c>
      <c r="Q190" s="64"/>
      <c r="R190" s="64"/>
      <c r="S190" s="64"/>
      <c r="T190" s="64"/>
      <c r="U190" s="64"/>
      <c r="V190" s="64"/>
      <c r="W190" s="64"/>
      <c r="X190" s="64"/>
      <c r="Y190" s="64"/>
      <c r="Z190" s="64"/>
      <c r="AA190" s="64"/>
      <c r="AJ190" s="37">
        <v>0.0</v>
      </c>
      <c r="AK190" s="37">
        <v>0.0</v>
      </c>
      <c r="AL190" s="37">
        <v>75.0</v>
      </c>
      <c r="AM190" s="37">
        <v>0.0</v>
      </c>
      <c r="AN190" s="37">
        <v>0.0</v>
      </c>
      <c r="AO190" s="37">
        <v>0.0</v>
      </c>
      <c r="AP190" s="37">
        <v>0.0</v>
      </c>
      <c r="AQ190" s="37">
        <v>0.0</v>
      </c>
      <c r="AR190" s="37">
        <v>0.0</v>
      </c>
      <c r="AS190" s="37">
        <v>0.0</v>
      </c>
      <c r="AT190" s="37">
        <v>0.0</v>
      </c>
      <c r="AU190" s="37">
        <v>0.0</v>
      </c>
      <c r="AV190" s="37">
        <v>0.0</v>
      </c>
      <c r="AW190" s="37">
        <v>50.0</v>
      </c>
      <c r="AX190" s="37">
        <v>0.0</v>
      </c>
      <c r="AY190" s="37">
        <v>0.0</v>
      </c>
      <c r="AZ190" s="37">
        <v>100.0</v>
      </c>
      <c r="BA190" s="39"/>
      <c r="BB190" s="39"/>
      <c r="BC190" s="39"/>
      <c r="BD190" s="39"/>
      <c r="BE190" s="39"/>
      <c r="BF190" s="39"/>
      <c r="BG190" s="37" t="str">
        <f t="array" ref="BG190">IF($A190="","",IFERROR(INDEX(CS!$B$1:$B$15025,MATCH($A190,CS!$B:$B,0)+COLUMN(A$1),1),""))</f>
        <v/>
      </c>
      <c r="BH190" s="37" t="str">
        <f t="array" ref="BH190">IF($A190="","",IFERROR(INDEX(CS!$B$1:$B$15025,MATCH($A190,CS!$B:$B,0)+COLUMN(B$1),1),""))</f>
        <v/>
      </c>
      <c r="BI190" s="37" t="str">
        <f t="array" ref="BI190">IF($A190="","",IFERROR(INDEX(CS!$B$1:$B$15025,MATCH($A190,CS!$B:$B,0)+COLUMN(C$1),1),""))</f>
        <v/>
      </c>
      <c r="BJ190" s="37" t="str">
        <f t="array" ref="BJ190">IF($A190="","",IFERROR(INDEX(CS!$B$1:$B$15025,MATCH($A190,CS!$B:$B,0)+COLUMN(D$1),1),""))</f>
        <v/>
      </c>
      <c r="BK190" s="37" t="str">
        <f t="array" ref="BK190">IF($A190="","",IFERROR(INDEX(CS!$B$1:$B$15025,MATCH($A190,CS!$B:$B,0)+COLUMN(E$1),1),""))</f>
        <v/>
      </c>
      <c r="BL190" s="37" t="str">
        <f t="array" ref="BL190">IF($A190="","",IFERROR(INDEX(CS!$B$1:$B$15025,MATCH($A190,CS!$B:$B,0)+COLUMN(F$1),1),""))</f>
        <v/>
      </c>
      <c r="BM190" s="37" t="str">
        <f t="array" ref="BM190">IF($A190="","",IFERROR(INDEX(CS!$B$1:$B$15025,MATCH($A190,CS!$B:$B,0)+COLUMN(G$1),1),""))</f>
        <v/>
      </c>
      <c r="BN190" s="37" t="str">
        <f t="array" ref="BN190">IF($A190="","",IFERROR(INDEX(CS!$B$1:$B$15025,MATCH($A190,CS!$B:$B,0)+COLUMN(H$1),1),""))</f>
        <v/>
      </c>
      <c r="BO190" s="37" t="str">
        <f t="array" ref="BO190">IF($A190="","",IFERROR(INDEX(CS!$B$1:$B$15025,MATCH($A190,CS!$B:$B,0)+COLUMN(I$1),1),""))</f>
        <v/>
      </c>
      <c r="BP190" s="37" t="str">
        <f t="array" ref="BP190">IF($A190="","",IFERROR(INDEX(CS!$B$1:$B$15025,MATCH($A190,CS!$B:$B,0)+COLUMN(J$1),1),""))</f>
        <v/>
      </c>
      <c r="BR190" s="39" t="s">
        <v>2869</v>
      </c>
      <c r="BS190" s="74"/>
      <c r="BU190" s="39" t="s">
        <v>2875</v>
      </c>
      <c r="CG190" s="37" t="s">
        <v>2823</v>
      </c>
      <c r="CI190" s="37" t="s">
        <v>2808</v>
      </c>
      <c r="CJ190" s="37" t="s">
        <v>2819</v>
      </c>
      <c r="CK190" s="37" t="s">
        <v>2802</v>
      </c>
      <c r="CN190" s="37" t="s">
        <v>2821</v>
      </c>
      <c r="CQ190" s="37"/>
      <c r="CR190" s="37"/>
    </row>
    <row r="191" ht="18.75" customHeight="1" outlineLevel="1">
      <c r="A191" s="39" t="s">
        <v>2503</v>
      </c>
      <c r="B191" s="71"/>
      <c r="C191" s="39" t="s">
        <v>2822</v>
      </c>
      <c r="D191" s="72" t="str">
        <f t="shared" si="8"/>
        <v>785/545/240</v>
      </c>
      <c r="E191" s="39">
        <v>4.0</v>
      </c>
      <c r="F191" s="39">
        <v>90.0</v>
      </c>
      <c r="I191" s="39">
        <v>70.0</v>
      </c>
      <c r="J191" s="39">
        <v>85.0</v>
      </c>
      <c r="K191" s="87">
        <v>90.0</v>
      </c>
      <c r="L191" s="39">
        <v>85.0</v>
      </c>
      <c r="M191" s="39">
        <v>50.0</v>
      </c>
      <c r="N191" s="39">
        <v>75.0</v>
      </c>
      <c r="P191" s="39">
        <v>75.0</v>
      </c>
      <c r="Q191" s="64"/>
      <c r="R191" s="64"/>
      <c r="S191" s="64"/>
      <c r="T191" s="64"/>
      <c r="U191" s="64"/>
      <c r="V191" s="64"/>
      <c r="W191" s="64"/>
      <c r="X191" s="64"/>
      <c r="Y191" s="64"/>
      <c r="Z191" s="64"/>
      <c r="AA191" s="64"/>
      <c r="AJ191" s="37">
        <v>0.0</v>
      </c>
      <c r="AK191" s="37">
        <v>0.0</v>
      </c>
      <c r="AL191" s="37">
        <v>75.0</v>
      </c>
      <c r="AM191" s="37">
        <v>0.0</v>
      </c>
      <c r="AN191" s="37">
        <v>0.0</v>
      </c>
      <c r="AO191" s="37">
        <v>0.0</v>
      </c>
      <c r="AP191" s="37">
        <v>0.0</v>
      </c>
      <c r="AQ191" s="37">
        <v>0.0</v>
      </c>
      <c r="AR191" s="37">
        <v>0.0</v>
      </c>
      <c r="AS191" s="37">
        <v>0.0</v>
      </c>
      <c r="AT191" s="37">
        <v>0.0</v>
      </c>
      <c r="AU191" s="37">
        <v>0.0</v>
      </c>
      <c r="AV191" s="37">
        <v>0.0</v>
      </c>
      <c r="AW191" s="37">
        <v>50.0</v>
      </c>
      <c r="AX191" s="37">
        <v>0.0</v>
      </c>
      <c r="AY191" s="37">
        <v>0.0</v>
      </c>
      <c r="AZ191" s="37">
        <v>115.0</v>
      </c>
      <c r="BA191" s="39"/>
      <c r="BB191" s="39"/>
      <c r="BC191" s="39"/>
      <c r="BD191" s="39"/>
      <c r="BE191" s="39"/>
      <c r="BF191" s="39"/>
      <c r="BG191" s="37" t="str">
        <f t="array" ref="BG191">IF($A191="","",IFERROR(INDEX(CS!$B$1:$B$15025,MATCH($A191,CS!$B:$B,0)+COLUMN(A$1),1),""))</f>
        <v/>
      </c>
      <c r="BH191" s="37" t="str">
        <f t="array" ref="BH191">IF($A191="","",IFERROR(INDEX(CS!$B$1:$B$15025,MATCH($A191,CS!$B:$B,0)+COLUMN(B$1),1),""))</f>
        <v/>
      </c>
      <c r="BI191" s="37" t="str">
        <f t="array" ref="BI191">IF($A191="","",IFERROR(INDEX(CS!$B$1:$B$15025,MATCH($A191,CS!$B:$B,0)+COLUMN(C$1),1),""))</f>
        <v/>
      </c>
      <c r="BJ191" s="37" t="str">
        <f t="array" ref="BJ191">IF($A191="","",IFERROR(INDEX(CS!$B$1:$B$15025,MATCH($A191,CS!$B:$B,0)+COLUMN(D$1),1),""))</f>
        <v/>
      </c>
      <c r="BK191" s="37" t="str">
        <f t="array" ref="BK191">IF($A191="","",IFERROR(INDEX(CS!$B$1:$B$15025,MATCH($A191,CS!$B:$B,0)+COLUMN(E$1),1),""))</f>
        <v/>
      </c>
      <c r="BL191" s="37" t="str">
        <f t="array" ref="BL191">IF($A191="","",IFERROR(INDEX(CS!$B$1:$B$15025,MATCH($A191,CS!$B:$B,0)+COLUMN(F$1),1),""))</f>
        <v/>
      </c>
      <c r="BM191" s="37" t="str">
        <f t="array" ref="BM191">IF($A191="","",IFERROR(INDEX(CS!$B$1:$B$15025,MATCH($A191,CS!$B:$B,0)+COLUMN(G$1),1),""))</f>
        <v/>
      </c>
      <c r="BN191" s="37" t="str">
        <f t="array" ref="BN191">IF($A191="","",IFERROR(INDEX(CS!$B$1:$B$15025,MATCH($A191,CS!$B:$B,0)+COLUMN(H$1),1),""))</f>
        <v/>
      </c>
      <c r="BO191" s="37" t="str">
        <f t="array" ref="BO191">IF($A191="","",IFERROR(INDEX(CS!$B$1:$B$15025,MATCH($A191,CS!$B:$B,0)+COLUMN(I$1),1),""))</f>
        <v/>
      </c>
      <c r="BP191" s="37" t="str">
        <f t="array" ref="BP191">IF($A191="","",IFERROR(INDEX(CS!$B$1:$B$15025,MATCH($A191,CS!$B:$B,0)+COLUMN(J$1),1),""))</f>
        <v/>
      </c>
      <c r="BR191" s="39"/>
      <c r="BS191" s="74"/>
      <c r="BU191" s="39" t="s">
        <v>2876</v>
      </c>
      <c r="CG191" s="37" t="s">
        <v>2823</v>
      </c>
      <c r="CI191" s="37" t="s">
        <v>2808</v>
      </c>
      <c r="CJ191" s="37" t="s">
        <v>2819</v>
      </c>
      <c r="CK191" s="37" t="s">
        <v>2802</v>
      </c>
      <c r="CN191" s="37" t="s">
        <v>2821</v>
      </c>
      <c r="CQ191" s="37"/>
      <c r="CR191" s="37"/>
    </row>
    <row r="192" ht="18.75" customHeight="1">
      <c r="B192" s="71"/>
      <c r="D192" s="72"/>
      <c r="K192" s="73"/>
      <c r="P192" s="37" t="s">
        <v>29</v>
      </c>
      <c r="Q192" s="64"/>
      <c r="R192" s="64"/>
      <c r="S192" s="64"/>
      <c r="T192" s="64"/>
      <c r="U192" s="64"/>
      <c r="V192" s="64"/>
      <c r="W192" s="64"/>
      <c r="X192" s="64"/>
      <c r="Y192" s="64"/>
      <c r="Z192" s="64"/>
      <c r="AA192" s="64"/>
      <c r="AJ192" s="37" t="s">
        <v>29</v>
      </c>
      <c r="AK192" s="37" t="s">
        <v>29</v>
      </c>
      <c r="AL192" s="37" t="s">
        <v>29</v>
      </c>
      <c r="AM192" s="37" t="s">
        <v>29</v>
      </c>
      <c r="AN192" s="37" t="s">
        <v>29</v>
      </c>
      <c r="AO192" s="37" t="s">
        <v>29</v>
      </c>
      <c r="AP192" s="37" t="s">
        <v>29</v>
      </c>
      <c r="AQ192" s="37" t="s">
        <v>29</v>
      </c>
      <c r="AR192" s="37" t="s">
        <v>29</v>
      </c>
      <c r="AS192" s="37" t="s">
        <v>29</v>
      </c>
      <c r="AT192" s="37" t="s">
        <v>29</v>
      </c>
      <c r="AU192" s="37" t="s">
        <v>29</v>
      </c>
      <c r="AV192" s="37" t="s">
        <v>29</v>
      </c>
      <c r="AW192" s="37" t="s">
        <v>29</v>
      </c>
      <c r="AX192" s="37" t="s">
        <v>29</v>
      </c>
      <c r="AY192" s="37" t="s">
        <v>29</v>
      </c>
      <c r="AZ192" s="37" t="s">
        <v>29</v>
      </c>
      <c r="BG192" s="37" t="str">
        <f t="array" ref="BG192">IF($A192="","", INDEX(CS!$B$1:$B$15025,MATCH($A192,CS!$B:$B,0)+COLUMN(A$1),1))</f>
        <v/>
      </c>
      <c r="BH192" s="37" t="str">
        <f t="array" ref="BH192">IF($A192="","", INDEX(CS!$B$1:$B$15025,MATCH($A192,CS!$B:$B,0)+COLUMN(B$1),1))</f>
        <v/>
      </c>
      <c r="BI192" s="37" t="str">
        <f t="array" ref="BI192">IF($A192="","", INDEX(CS!$B$1:$B$15025,MATCH($A192,CS!$B:$B,0)+COLUMN(C$1),1))</f>
        <v/>
      </c>
      <c r="BJ192" s="37" t="str">
        <f t="array" ref="BJ192">IF($A192="","", INDEX(CS!$B$1:$B$15025,MATCH($A192,CS!$B:$B,0)+COLUMN(D$1),1))</f>
        <v/>
      </c>
      <c r="BK192" s="37" t="str">
        <f t="array" ref="BK192">IF($A192="","", INDEX(CS!$B$1:$B$15025,MATCH($A192,CS!$B:$B,0)+COLUMN(E$1),1))</f>
        <v/>
      </c>
      <c r="BL192" s="37" t="str">
        <f t="array" ref="BL192">IF($A192="","", INDEX(CS!$B$1:$B$15025,MATCH($A192,CS!$B:$B,0)+COLUMN(F$1),1))</f>
        <v/>
      </c>
      <c r="BM192" s="37" t="str">
        <f t="array" ref="BM192">IF($A192="","", INDEX(CS!$B$1:$B$15025,MATCH($A192,CS!$B:$B,0)+COLUMN(G$1),1))</f>
        <v/>
      </c>
      <c r="BN192" s="37" t="str">
        <f t="array" ref="BN192">IF($A192="","", INDEX(CS!$B$1:$B$15025,MATCH($A192,CS!$B:$B,0)+COLUMN(H$1),1))</f>
        <v/>
      </c>
      <c r="BO192" s="37" t="str">
        <f t="array" ref="BO192">IF($A192="","", INDEX(CS!$B$1:$B$15025,MATCH($A192,CS!$B:$B,0)+COLUMN(I$1),1))</f>
        <v/>
      </c>
      <c r="BP192" s="37" t="str">
        <f t="array" ref="BP192">IF($A192="","", INDEX(CS!$B$1:$B$15025,MATCH($A192,CS!$B:$B,0)+COLUMN(J$1),1))</f>
        <v/>
      </c>
      <c r="BS192" s="74"/>
      <c r="CI192" s="37" t="s">
        <v>2828</v>
      </c>
      <c r="CJ192" s="37" t="s">
        <v>2809</v>
      </c>
      <c r="CK192" s="37" t="s">
        <v>2802</v>
      </c>
      <c r="CQ192" s="37"/>
      <c r="CR192" s="37"/>
    </row>
    <row r="193" ht="18.75" customHeight="1">
      <c r="B193" s="85" t="s">
        <v>2877</v>
      </c>
      <c r="D193" s="72" t="str">
        <f t="shared" ref="D193:D208" si="9">SUM(AJ193:AZ193,F193:N193)&amp;"/"&amp;SUM(F193:N193)&amp;"/"&amp;SUM(AJ193:AZ193)</f>
        <v>0/0/0</v>
      </c>
      <c r="E193" s="37">
        <v>1.0</v>
      </c>
      <c r="K193" s="73"/>
      <c r="P193" s="37" t="s">
        <v>29</v>
      </c>
      <c r="Q193" s="64"/>
      <c r="R193" s="64"/>
      <c r="S193" s="64"/>
      <c r="T193" s="64"/>
      <c r="U193" s="64"/>
      <c r="V193" s="64"/>
      <c r="W193" s="64"/>
      <c r="X193" s="64"/>
      <c r="Y193" s="64"/>
      <c r="Z193" s="64"/>
      <c r="AA193" s="64"/>
      <c r="AJ193" s="37" t="s">
        <v>29</v>
      </c>
      <c r="AK193" s="37" t="s">
        <v>29</v>
      </c>
      <c r="AL193" s="37" t="s">
        <v>29</v>
      </c>
      <c r="AM193" s="37" t="s">
        <v>29</v>
      </c>
      <c r="AN193" s="37" t="s">
        <v>29</v>
      </c>
      <c r="AO193" s="37" t="s">
        <v>29</v>
      </c>
      <c r="AP193" s="37" t="s">
        <v>29</v>
      </c>
      <c r="AQ193" s="37" t="s">
        <v>29</v>
      </c>
      <c r="AR193" s="37" t="s">
        <v>29</v>
      </c>
      <c r="AS193" s="37" t="s">
        <v>29</v>
      </c>
      <c r="AT193" s="37" t="s">
        <v>29</v>
      </c>
      <c r="AU193" s="37" t="s">
        <v>29</v>
      </c>
      <c r="AV193" s="37" t="s">
        <v>29</v>
      </c>
      <c r="AW193" s="37" t="s">
        <v>29</v>
      </c>
      <c r="AX193" s="37" t="s">
        <v>29</v>
      </c>
      <c r="AY193" s="37" t="s">
        <v>29</v>
      </c>
      <c r="AZ193" s="37" t="s">
        <v>29</v>
      </c>
      <c r="BG193" s="37" t="str">
        <f t="array" ref="BG193">IF($A193="","", INDEX(CS!$B$1:$B$15025,MATCH($A193,CS!$B:$B,0)+COLUMN(A$1),1))</f>
        <v/>
      </c>
      <c r="BH193" s="37" t="str">
        <f t="array" ref="BH193">IF($A193="","", INDEX(CS!$B$1:$B$15025,MATCH($A193,CS!$B:$B,0)+COLUMN(B$1),1))</f>
        <v/>
      </c>
      <c r="BI193" s="37" t="str">
        <f t="array" ref="BI193">IF($A193="","", INDEX(CS!$B$1:$B$15025,MATCH($A193,CS!$B:$B,0)+COLUMN(C$1),1))</f>
        <v/>
      </c>
      <c r="BJ193" s="37" t="str">
        <f t="array" ref="BJ193">IF($A193="","", INDEX(CS!$B$1:$B$15025,MATCH($A193,CS!$B:$B,0)+COLUMN(D$1),1))</f>
        <v/>
      </c>
      <c r="BK193" s="37" t="str">
        <f t="array" ref="BK193">IF($A193="","", INDEX(CS!$B$1:$B$15025,MATCH($A193,CS!$B:$B,0)+COLUMN(E$1),1))</f>
        <v/>
      </c>
      <c r="BL193" s="37" t="str">
        <f t="array" ref="BL193">IF($A193="","", INDEX(CS!$B$1:$B$15025,MATCH($A193,CS!$B:$B,0)+COLUMN(F$1),1))</f>
        <v/>
      </c>
      <c r="BM193" s="37" t="str">
        <f t="array" ref="BM193">IF($A193="","", INDEX(CS!$B$1:$B$15025,MATCH($A193,CS!$B:$B,0)+COLUMN(G$1),1))</f>
        <v/>
      </c>
      <c r="BN193" s="37" t="str">
        <f t="array" ref="BN193">IF($A193="","", INDEX(CS!$B$1:$B$15025,MATCH($A193,CS!$B:$B,0)+COLUMN(H$1),1))</f>
        <v/>
      </c>
      <c r="BO193" s="37" t="str">
        <f t="array" ref="BO193">IF($A193="","", INDEX(CS!$B$1:$B$15025,MATCH($A193,CS!$B:$B,0)+COLUMN(I$1),1))</f>
        <v/>
      </c>
      <c r="BP193" s="37" t="str">
        <f t="array" ref="BP193">IF($A193="","", INDEX(CS!$B$1:$B$15025,MATCH($A193,CS!$B:$B,0)+COLUMN(J$1),1))</f>
        <v/>
      </c>
      <c r="BS193" s="74"/>
      <c r="CQ193" s="37"/>
      <c r="CR193" s="37"/>
    </row>
    <row r="194" ht="18.75" customHeight="1" outlineLevel="1">
      <c r="A194" s="39" t="s">
        <v>2505</v>
      </c>
      <c r="B194" s="71"/>
      <c r="C194" s="39" t="s">
        <v>2826</v>
      </c>
      <c r="D194" s="72" t="str">
        <f t="shared" si="9"/>
        <v>725/500/225</v>
      </c>
      <c r="E194" s="39">
        <v>2.0</v>
      </c>
      <c r="F194" s="39">
        <v>75.0</v>
      </c>
      <c r="I194" s="39">
        <v>65.0</v>
      </c>
      <c r="J194" s="39">
        <v>70.0</v>
      </c>
      <c r="K194" s="87">
        <v>90.0</v>
      </c>
      <c r="L194" s="39">
        <v>75.0</v>
      </c>
      <c r="M194" s="39">
        <v>50.0</v>
      </c>
      <c r="N194" s="39">
        <v>75.0</v>
      </c>
      <c r="P194" s="37">
        <v>0.0</v>
      </c>
      <c r="Q194" s="64"/>
      <c r="R194" s="64"/>
      <c r="S194" s="64"/>
      <c r="T194" s="64"/>
      <c r="U194" s="64"/>
      <c r="V194" s="64"/>
      <c r="W194" s="64"/>
      <c r="X194" s="64"/>
      <c r="Y194" s="64"/>
      <c r="Z194" s="64"/>
      <c r="AA194" s="64"/>
      <c r="AJ194" s="37">
        <v>0.0</v>
      </c>
      <c r="AK194" s="37">
        <v>0.0</v>
      </c>
      <c r="AL194" s="37">
        <v>75.0</v>
      </c>
      <c r="AM194" s="37">
        <v>25.0</v>
      </c>
      <c r="AN194" s="37">
        <v>25.0</v>
      </c>
      <c r="AO194" s="37">
        <v>0.0</v>
      </c>
      <c r="AP194" s="37">
        <v>0.0</v>
      </c>
      <c r="AQ194" s="37">
        <v>0.0</v>
      </c>
      <c r="AR194" s="37">
        <v>50.0</v>
      </c>
      <c r="AS194" s="37">
        <v>0.0</v>
      </c>
      <c r="AT194" s="37">
        <v>0.0</v>
      </c>
      <c r="AU194" s="37">
        <v>0.0</v>
      </c>
      <c r="AV194" s="37">
        <v>0.0</v>
      </c>
      <c r="AW194" s="37">
        <v>0.0</v>
      </c>
      <c r="AX194" s="37">
        <v>0.0</v>
      </c>
      <c r="AY194" s="37">
        <v>0.0</v>
      </c>
      <c r="AZ194" s="37">
        <v>50.0</v>
      </c>
      <c r="BA194" s="39"/>
      <c r="BB194" s="39"/>
      <c r="BC194" s="39"/>
      <c r="BD194" s="39"/>
      <c r="BE194" s="39"/>
      <c r="BF194" s="39"/>
      <c r="BG194" s="37" t="str">
        <f t="array" ref="BG194">IF($A194="","",IFERROR(INDEX(CS!$B$1:$B$15025,MATCH($A194,CS!$B:$B,0)+COLUMN(A$1),1),""))</f>
        <v>上昇烈風</v>
      </c>
      <c r="BH194" s="37" t="str">
        <f t="array" ref="BH194">IF($A194="","",IFERROR(INDEX(CS!$B$1:$B$15025,MATCH($A194,CS!$B:$B,0)+COLUMN(B$1),1),""))</f>
        <v>川の鞭</v>
      </c>
      <c r="BI194" s="37" t="str">
        <f t="array" ref="BI194">IF($A194="","",IFERROR(INDEX(CS!$B$1:$B$15025,MATCH($A194,CS!$B:$B,0)+COLUMN(C$1),1),""))</f>
        <v>森の歩み</v>
      </c>
      <c r="BJ194" s="37" t="str">
        <f t="array" ref="BJ194">IF($A194="","",IFERROR(INDEX(CS!$B$1:$B$15025,MATCH($A194,CS!$B:$B,0)+COLUMN(D$1),1),""))</f>
        <v>水晶片</v>
      </c>
      <c r="BK194" s="37" t="str">
        <f t="array" ref="BK194">IF($A194="","",IFERROR(INDEX(CS!$B$1:$B$15025,MATCH($A194,CS!$B:$B,0)+COLUMN(E$1),1),""))</f>
        <v>風足</v>
      </c>
      <c r="BL194" s="37" t="str">
        <f t="array" ref="BL194">IF($A194="","",IFERROR(INDEX(CS!$B$1:$B$15025,MATCH($A194,CS!$B:$B,0)+COLUMN(F$1),1),""))</f>
        <v/>
      </c>
      <c r="BM194" s="37" t="str">
        <f t="array" ref="BM194">IF($A194="","",IFERROR(INDEX(CS!$B$1:$B$15025,MATCH($A194,CS!$B:$B,0)+COLUMN(G$1),1),""))</f>
        <v>波の盾</v>
      </c>
      <c r="BN194" s="37" t="str">
        <f t="array" ref="BN194">IF($A194="","",IFERROR(INDEX(CS!$B$1:$B$15025,MATCH($A194,CS!$B:$B,0)+COLUMN(H$1),1),""))</f>
        <v/>
      </c>
      <c r="BO194" s="37" t="str">
        <f t="array" ref="BO194">IF($A194="","",IFERROR(INDEX(CS!$B$1:$B$15025,MATCH($A194,CS!$B:$B,0)+COLUMN(I$1),1),""))</f>
        <v>冷気の風</v>
      </c>
      <c r="BP194" s="37" t="str">
        <f t="array" ref="BP194">IF($A194="","",IFERROR(INDEX(CS!$B$1:$B$15025,MATCH($A194,CS!$B:$B,0)+COLUMN(J$1),1),""))</f>
        <v/>
      </c>
      <c r="BR194" s="39" t="s">
        <v>2878</v>
      </c>
      <c r="BS194" s="74"/>
      <c r="CG194" s="37" t="s">
        <v>2823</v>
      </c>
      <c r="CI194" s="37" t="s">
        <v>2808</v>
      </c>
      <c r="CJ194" s="37" t="s">
        <v>2819</v>
      </c>
      <c r="CK194" s="37" t="s">
        <v>2802</v>
      </c>
      <c r="CN194" s="37" t="s">
        <v>2821</v>
      </c>
      <c r="CQ194" s="37"/>
      <c r="CR194" s="37"/>
    </row>
    <row r="195" ht="18.75" customHeight="1" outlineLevel="1">
      <c r="A195" s="39" t="s">
        <v>2506</v>
      </c>
      <c r="B195" s="71"/>
      <c r="C195" s="39" t="s">
        <v>2826</v>
      </c>
      <c r="D195" s="72" t="str">
        <f t="shared" si="9"/>
        <v>725/500/225</v>
      </c>
      <c r="E195" s="39">
        <v>2.0</v>
      </c>
      <c r="F195" s="39">
        <v>75.0</v>
      </c>
      <c r="I195" s="39">
        <v>65.0</v>
      </c>
      <c r="J195" s="39">
        <v>70.0</v>
      </c>
      <c r="K195" s="87">
        <v>90.0</v>
      </c>
      <c r="L195" s="39">
        <v>75.0</v>
      </c>
      <c r="M195" s="39">
        <v>50.0</v>
      </c>
      <c r="N195" s="39">
        <v>75.0</v>
      </c>
      <c r="P195" s="37">
        <v>0.0</v>
      </c>
      <c r="Q195" s="64"/>
      <c r="R195" s="64"/>
      <c r="S195" s="64"/>
      <c r="T195" s="64"/>
      <c r="U195" s="64"/>
      <c r="V195" s="64"/>
      <c r="W195" s="64"/>
      <c r="X195" s="64"/>
      <c r="Y195" s="64"/>
      <c r="Z195" s="64"/>
      <c r="AA195" s="64"/>
      <c r="AJ195" s="37">
        <v>0.0</v>
      </c>
      <c r="AK195" s="37">
        <v>0.0</v>
      </c>
      <c r="AL195" s="37">
        <v>75.0</v>
      </c>
      <c r="AM195" s="37">
        <v>25.0</v>
      </c>
      <c r="AN195" s="37">
        <v>25.0</v>
      </c>
      <c r="AO195" s="37">
        <v>0.0</v>
      </c>
      <c r="AP195" s="37">
        <v>0.0</v>
      </c>
      <c r="AQ195" s="37">
        <v>0.0</v>
      </c>
      <c r="AR195" s="37">
        <v>50.0</v>
      </c>
      <c r="AS195" s="37">
        <v>0.0</v>
      </c>
      <c r="AT195" s="37">
        <v>0.0</v>
      </c>
      <c r="AU195" s="37">
        <v>0.0</v>
      </c>
      <c r="AV195" s="37">
        <v>0.0</v>
      </c>
      <c r="AW195" s="37">
        <v>0.0</v>
      </c>
      <c r="AX195" s="37">
        <v>0.0</v>
      </c>
      <c r="AY195" s="37">
        <v>0.0</v>
      </c>
      <c r="AZ195" s="37">
        <v>50.0</v>
      </c>
      <c r="BA195" s="39"/>
      <c r="BB195" s="39"/>
      <c r="BC195" s="39"/>
      <c r="BD195" s="39"/>
      <c r="BE195" s="39"/>
      <c r="BF195" s="39"/>
      <c r="BG195" s="37" t="str">
        <f t="array" ref="BG195">IF($A195="","",IFERROR(INDEX(CS!$B$1:$B$15025,MATCH($A195,CS!$B:$B,0)+COLUMN(A$1),1),""))</f>
        <v/>
      </c>
      <c r="BH195" s="37" t="str">
        <f t="array" ref="BH195">IF($A195="","",IFERROR(INDEX(CS!$B$1:$B$15025,MATCH($A195,CS!$B:$B,0)+COLUMN(B$1),1),""))</f>
        <v/>
      </c>
      <c r="BI195" s="37" t="str">
        <f t="array" ref="BI195">IF($A195="","",IFERROR(INDEX(CS!$B$1:$B$15025,MATCH($A195,CS!$B:$B,0)+COLUMN(C$1),1),""))</f>
        <v/>
      </c>
      <c r="BJ195" s="37" t="str">
        <f t="array" ref="BJ195">IF($A195="","",IFERROR(INDEX(CS!$B$1:$B$15025,MATCH($A195,CS!$B:$B,0)+COLUMN(D$1),1),""))</f>
        <v/>
      </c>
      <c r="BK195" s="37" t="str">
        <f t="array" ref="BK195">IF($A195="","",IFERROR(INDEX(CS!$B$1:$B$15025,MATCH($A195,CS!$B:$B,0)+COLUMN(E$1),1),""))</f>
        <v/>
      </c>
      <c r="BL195" s="37" t="str">
        <f t="array" ref="BL195">IF($A195="","",IFERROR(INDEX(CS!$B$1:$B$15025,MATCH($A195,CS!$B:$B,0)+COLUMN(F$1),1),""))</f>
        <v/>
      </c>
      <c r="BM195" s="37" t="str">
        <f t="array" ref="BM195">IF($A195="","",IFERROR(INDEX(CS!$B$1:$B$15025,MATCH($A195,CS!$B:$B,0)+COLUMN(G$1),1),""))</f>
        <v/>
      </c>
      <c r="BN195" s="37" t="str">
        <f t="array" ref="BN195">IF($A195="","",IFERROR(INDEX(CS!$B$1:$B$15025,MATCH($A195,CS!$B:$B,0)+COLUMN(H$1),1),""))</f>
        <v/>
      </c>
      <c r="BO195" s="37" t="str">
        <f t="array" ref="BO195">IF($A195="","",IFERROR(INDEX(CS!$B$1:$B$15025,MATCH($A195,CS!$B:$B,0)+COLUMN(I$1),1),""))</f>
        <v/>
      </c>
      <c r="BP195" s="37" t="str">
        <f t="array" ref="BP195">IF($A195="","",IFERROR(INDEX(CS!$B$1:$B$15025,MATCH($A195,CS!$B:$B,0)+COLUMN(J$1),1),""))</f>
        <v/>
      </c>
      <c r="BR195" s="39" t="s">
        <v>2878</v>
      </c>
      <c r="BS195" s="74"/>
      <c r="CG195" s="37" t="s">
        <v>2823</v>
      </c>
      <c r="CI195" s="37" t="s">
        <v>2808</v>
      </c>
      <c r="CJ195" s="37" t="s">
        <v>2819</v>
      </c>
      <c r="CK195" s="37" t="s">
        <v>2802</v>
      </c>
      <c r="CN195" s="37" t="s">
        <v>2821</v>
      </c>
      <c r="CQ195" s="37"/>
      <c r="CR195" s="37"/>
    </row>
    <row r="196" ht="18.75" customHeight="1" outlineLevel="1">
      <c r="A196" s="39" t="s">
        <v>2507</v>
      </c>
      <c r="B196" s="71"/>
      <c r="C196" s="39" t="s">
        <v>2826</v>
      </c>
      <c r="D196" s="72" t="str">
        <f t="shared" si="9"/>
        <v>725/500/225</v>
      </c>
      <c r="E196" s="39">
        <v>2.0</v>
      </c>
      <c r="F196" s="39">
        <v>75.0</v>
      </c>
      <c r="I196" s="39">
        <v>65.0</v>
      </c>
      <c r="J196" s="39">
        <v>70.0</v>
      </c>
      <c r="K196" s="87">
        <v>90.0</v>
      </c>
      <c r="L196" s="39">
        <v>75.0</v>
      </c>
      <c r="M196" s="39">
        <v>50.0</v>
      </c>
      <c r="N196" s="39">
        <v>75.0</v>
      </c>
      <c r="P196" s="37">
        <v>0.0</v>
      </c>
      <c r="Q196" s="64"/>
      <c r="R196" s="64"/>
      <c r="S196" s="64"/>
      <c r="T196" s="64"/>
      <c r="U196" s="64"/>
      <c r="V196" s="64"/>
      <c r="W196" s="64"/>
      <c r="X196" s="64"/>
      <c r="Y196" s="64"/>
      <c r="Z196" s="64"/>
      <c r="AA196" s="64"/>
      <c r="AJ196" s="37">
        <v>0.0</v>
      </c>
      <c r="AK196" s="37">
        <v>0.0</v>
      </c>
      <c r="AL196" s="37">
        <v>75.0</v>
      </c>
      <c r="AM196" s="37">
        <v>25.0</v>
      </c>
      <c r="AN196" s="37">
        <v>25.0</v>
      </c>
      <c r="AO196" s="37">
        <v>0.0</v>
      </c>
      <c r="AP196" s="37">
        <v>0.0</v>
      </c>
      <c r="AQ196" s="37">
        <v>0.0</v>
      </c>
      <c r="AR196" s="37">
        <v>50.0</v>
      </c>
      <c r="AS196" s="37">
        <v>0.0</v>
      </c>
      <c r="AT196" s="37">
        <v>0.0</v>
      </c>
      <c r="AU196" s="37">
        <v>0.0</v>
      </c>
      <c r="AV196" s="37">
        <v>0.0</v>
      </c>
      <c r="AW196" s="37">
        <v>0.0</v>
      </c>
      <c r="AX196" s="37">
        <v>0.0</v>
      </c>
      <c r="AY196" s="37">
        <v>0.0</v>
      </c>
      <c r="AZ196" s="37">
        <v>50.0</v>
      </c>
      <c r="BA196" s="39"/>
      <c r="BB196" s="39"/>
      <c r="BC196" s="39"/>
      <c r="BD196" s="39"/>
      <c r="BE196" s="39"/>
      <c r="BF196" s="39"/>
      <c r="BG196" s="37" t="str">
        <f t="array" ref="BG196">IF($A196="","",IFERROR(INDEX(CS!$B$1:$B$15025,MATCH($A196,CS!$B:$B,0)+COLUMN(A$1),1),""))</f>
        <v/>
      </c>
      <c r="BH196" s="37" t="str">
        <f t="array" ref="BH196">IF($A196="","",IFERROR(INDEX(CS!$B$1:$B$15025,MATCH($A196,CS!$B:$B,0)+COLUMN(B$1),1),""))</f>
        <v/>
      </c>
      <c r="BI196" s="37" t="str">
        <f t="array" ref="BI196">IF($A196="","",IFERROR(INDEX(CS!$B$1:$B$15025,MATCH($A196,CS!$B:$B,0)+COLUMN(C$1),1),""))</f>
        <v/>
      </c>
      <c r="BJ196" s="37" t="str">
        <f t="array" ref="BJ196">IF($A196="","",IFERROR(INDEX(CS!$B$1:$B$15025,MATCH($A196,CS!$B:$B,0)+COLUMN(D$1),1),""))</f>
        <v/>
      </c>
      <c r="BK196" s="37" t="str">
        <f t="array" ref="BK196">IF($A196="","",IFERROR(INDEX(CS!$B$1:$B$15025,MATCH($A196,CS!$B:$B,0)+COLUMN(E$1),1),""))</f>
        <v/>
      </c>
      <c r="BL196" s="37" t="str">
        <f t="array" ref="BL196">IF($A196="","",IFERROR(INDEX(CS!$B$1:$B$15025,MATCH($A196,CS!$B:$B,0)+COLUMN(F$1),1),""))</f>
        <v/>
      </c>
      <c r="BM196" s="37" t="str">
        <f t="array" ref="BM196">IF($A196="","",IFERROR(INDEX(CS!$B$1:$B$15025,MATCH($A196,CS!$B:$B,0)+COLUMN(G$1),1),""))</f>
        <v/>
      </c>
      <c r="BN196" s="37" t="str">
        <f t="array" ref="BN196">IF($A196="","",IFERROR(INDEX(CS!$B$1:$B$15025,MATCH($A196,CS!$B:$B,0)+COLUMN(H$1),1),""))</f>
        <v/>
      </c>
      <c r="BO196" s="37" t="str">
        <f t="array" ref="BO196">IF($A196="","",IFERROR(INDEX(CS!$B$1:$B$15025,MATCH($A196,CS!$B:$B,0)+COLUMN(I$1),1),""))</f>
        <v/>
      </c>
      <c r="BP196" s="37" t="str">
        <f t="array" ref="BP196">IF($A196="","",IFERROR(INDEX(CS!$B$1:$B$15025,MATCH($A196,CS!$B:$B,0)+COLUMN(J$1),1),""))</f>
        <v/>
      </c>
      <c r="BR196" s="39" t="s">
        <v>2878</v>
      </c>
      <c r="BS196" s="74"/>
      <c r="CG196" s="37" t="s">
        <v>2823</v>
      </c>
      <c r="CI196" s="37" t="s">
        <v>2808</v>
      </c>
      <c r="CJ196" s="37" t="s">
        <v>2819</v>
      </c>
      <c r="CK196" s="37" t="s">
        <v>2802</v>
      </c>
      <c r="CN196" s="37" t="s">
        <v>2821</v>
      </c>
      <c r="CQ196" s="37"/>
      <c r="CR196" s="37"/>
    </row>
    <row r="197" ht="18.75" customHeight="1" outlineLevel="1">
      <c r="A197" s="39" t="s">
        <v>2508</v>
      </c>
      <c r="B197" s="71"/>
      <c r="C197" s="39" t="s">
        <v>2826</v>
      </c>
      <c r="D197" s="72" t="str">
        <f t="shared" si="9"/>
        <v>725/500/225</v>
      </c>
      <c r="E197" s="39">
        <v>2.0</v>
      </c>
      <c r="F197" s="39">
        <v>75.0</v>
      </c>
      <c r="I197" s="39">
        <v>65.0</v>
      </c>
      <c r="J197" s="39">
        <v>70.0</v>
      </c>
      <c r="K197" s="87">
        <v>90.0</v>
      </c>
      <c r="L197" s="39">
        <v>75.0</v>
      </c>
      <c r="M197" s="39">
        <v>50.0</v>
      </c>
      <c r="N197" s="39">
        <v>75.0</v>
      </c>
      <c r="P197" s="37">
        <v>0.0</v>
      </c>
      <c r="Q197" s="64"/>
      <c r="R197" s="64"/>
      <c r="S197" s="64"/>
      <c r="T197" s="64"/>
      <c r="U197" s="64"/>
      <c r="V197" s="64"/>
      <c r="W197" s="64"/>
      <c r="X197" s="64"/>
      <c r="Y197" s="64"/>
      <c r="Z197" s="64"/>
      <c r="AA197" s="64"/>
      <c r="AJ197" s="37">
        <v>0.0</v>
      </c>
      <c r="AK197" s="37">
        <v>0.0</v>
      </c>
      <c r="AL197" s="37">
        <v>75.0</v>
      </c>
      <c r="AM197" s="37">
        <v>25.0</v>
      </c>
      <c r="AN197" s="37">
        <v>25.0</v>
      </c>
      <c r="AO197" s="37">
        <v>0.0</v>
      </c>
      <c r="AP197" s="37">
        <v>0.0</v>
      </c>
      <c r="AQ197" s="37">
        <v>0.0</v>
      </c>
      <c r="AR197" s="37">
        <v>50.0</v>
      </c>
      <c r="AS197" s="37">
        <v>0.0</v>
      </c>
      <c r="AT197" s="37">
        <v>0.0</v>
      </c>
      <c r="AU197" s="37">
        <v>0.0</v>
      </c>
      <c r="AV197" s="37">
        <v>0.0</v>
      </c>
      <c r="AW197" s="37">
        <v>0.0</v>
      </c>
      <c r="AX197" s="37">
        <v>0.0</v>
      </c>
      <c r="AY197" s="37">
        <v>0.0</v>
      </c>
      <c r="AZ197" s="37">
        <v>50.0</v>
      </c>
      <c r="BA197" s="39"/>
      <c r="BB197" s="39"/>
      <c r="BC197" s="39"/>
      <c r="BD197" s="39"/>
      <c r="BE197" s="39"/>
      <c r="BF197" s="39"/>
      <c r="BG197" s="37" t="str">
        <f t="array" ref="BG197">IF($A197="","",IFERROR(INDEX(CS!$B$1:$B$15025,MATCH($A197,CS!$B:$B,0)+COLUMN(A$1),1),""))</f>
        <v/>
      </c>
      <c r="BH197" s="37" t="str">
        <f t="array" ref="BH197">IF($A197="","",IFERROR(INDEX(CS!$B$1:$B$15025,MATCH($A197,CS!$B:$B,0)+COLUMN(B$1),1),""))</f>
        <v/>
      </c>
      <c r="BI197" s="37" t="str">
        <f t="array" ref="BI197">IF($A197="","",IFERROR(INDEX(CS!$B$1:$B$15025,MATCH($A197,CS!$B:$B,0)+COLUMN(C$1),1),""))</f>
        <v/>
      </c>
      <c r="BJ197" s="37" t="str">
        <f t="array" ref="BJ197">IF($A197="","",IFERROR(INDEX(CS!$B$1:$B$15025,MATCH($A197,CS!$B:$B,0)+COLUMN(D$1),1),""))</f>
        <v/>
      </c>
      <c r="BK197" s="37" t="str">
        <f t="array" ref="BK197">IF($A197="","",IFERROR(INDEX(CS!$B$1:$B$15025,MATCH($A197,CS!$B:$B,0)+COLUMN(E$1),1),""))</f>
        <v/>
      </c>
      <c r="BL197" s="37" t="str">
        <f t="array" ref="BL197">IF($A197="","",IFERROR(INDEX(CS!$B$1:$B$15025,MATCH($A197,CS!$B:$B,0)+COLUMN(F$1),1),""))</f>
        <v/>
      </c>
      <c r="BM197" s="37" t="str">
        <f t="array" ref="BM197">IF($A197="","",IFERROR(INDEX(CS!$B$1:$B$15025,MATCH($A197,CS!$B:$B,0)+COLUMN(G$1),1),""))</f>
        <v/>
      </c>
      <c r="BN197" s="37" t="str">
        <f t="array" ref="BN197">IF($A197="","",IFERROR(INDEX(CS!$B$1:$B$15025,MATCH($A197,CS!$B:$B,0)+COLUMN(H$1),1),""))</f>
        <v/>
      </c>
      <c r="BO197" s="37" t="str">
        <f t="array" ref="BO197">IF($A197="","",IFERROR(INDEX(CS!$B$1:$B$15025,MATCH($A197,CS!$B:$B,0)+COLUMN(I$1),1),""))</f>
        <v/>
      </c>
      <c r="BP197" s="37" t="str">
        <f t="array" ref="BP197">IF($A197="","",IFERROR(INDEX(CS!$B$1:$B$15025,MATCH($A197,CS!$B:$B,0)+COLUMN(J$1),1),""))</f>
        <v/>
      </c>
      <c r="BR197" s="39" t="s">
        <v>2878</v>
      </c>
      <c r="BS197" s="74"/>
      <c r="CG197" s="37" t="s">
        <v>2823</v>
      </c>
      <c r="CI197" s="37" t="s">
        <v>2808</v>
      </c>
      <c r="CJ197" s="37" t="s">
        <v>2819</v>
      </c>
      <c r="CK197" s="37" t="s">
        <v>2802</v>
      </c>
      <c r="CN197" s="37" t="s">
        <v>2821</v>
      </c>
      <c r="CQ197" s="37"/>
      <c r="CR197" s="37"/>
    </row>
    <row r="198" ht="18.75" customHeight="1" outlineLevel="1">
      <c r="A198" s="39" t="s">
        <v>2509</v>
      </c>
      <c r="B198" s="71"/>
      <c r="C198" s="39" t="s">
        <v>2826</v>
      </c>
      <c r="D198" s="72" t="str">
        <f t="shared" si="9"/>
        <v>725/500/225</v>
      </c>
      <c r="E198" s="39">
        <v>2.0</v>
      </c>
      <c r="F198" s="39">
        <v>75.0</v>
      </c>
      <c r="I198" s="39">
        <v>65.0</v>
      </c>
      <c r="J198" s="39">
        <v>70.0</v>
      </c>
      <c r="K198" s="87">
        <v>90.0</v>
      </c>
      <c r="L198" s="39">
        <v>75.0</v>
      </c>
      <c r="M198" s="39">
        <v>50.0</v>
      </c>
      <c r="N198" s="39">
        <v>75.0</v>
      </c>
      <c r="P198" s="37">
        <v>0.0</v>
      </c>
      <c r="Q198" s="64"/>
      <c r="R198" s="64"/>
      <c r="S198" s="64"/>
      <c r="T198" s="64"/>
      <c r="U198" s="64"/>
      <c r="V198" s="64"/>
      <c r="W198" s="64"/>
      <c r="X198" s="64"/>
      <c r="Y198" s="64"/>
      <c r="Z198" s="64"/>
      <c r="AA198" s="64"/>
      <c r="AJ198" s="37">
        <v>0.0</v>
      </c>
      <c r="AK198" s="37">
        <v>0.0</v>
      </c>
      <c r="AL198" s="37">
        <v>75.0</v>
      </c>
      <c r="AM198" s="37">
        <v>25.0</v>
      </c>
      <c r="AN198" s="37">
        <v>25.0</v>
      </c>
      <c r="AO198" s="37">
        <v>0.0</v>
      </c>
      <c r="AP198" s="37">
        <v>0.0</v>
      </c>
      <c r="AQ198" s="37">
        <v>0.0</v>
      </c>
      <c r="AR198" s="37">
        <v>50.0</v>
      </c>
      <c r="AS198" s="37">
        <v>0.0</v>
      </c>
      <c r="AT198" s="37">
        <v>0.0</v>
      </c>
      <c r="AU198" s="37">
        <v>0.0</v>
      </c>
      <c r="AV198" s="37">
        <v>0.0</v>
      </c>
      <c r="AW198" s="37">
        <v>0.0</v>
      </c>
      <c r="AX198" s="37">
        <v>0.0</v>
      </c>
      <c r="AY198" s="37">
        <v>0.0</v>
      </c>
      <c r="AZ198" s="37">
        <v>50.0</v>
      </c>
      <c r="BA198" s="39"/>
      <c r="BB198" s="39"/>
      <c r="BC198" s="39"/>
      <c r="BD198" s="39"/>
      <c r="BE198" s="39"/>
      <c r="BF198" s="39"/>
      <c r="BG198" s="37" t="str">
        <f t="array" ref="BG198">IF($A198="","",IFERROR(INDEX(CS!$B$1:$B$15025,MATCH($A198,CS!$B:$B,0)+COLUMN(A$1),1),""))</f>
        <v/>
      </c>
      <c r="BH198" s="37" t="str">
        <f t="array" ref="BH198">IF($A198="","",IFERROR(INDEX(CS!$B$1:$B$15025,MATCH($A198,CS!$B:$B,0)+COLUMN(B$1),1),""))</f>
        <v/>
      </c>
      <c r="BI198" s="37" t="str">
        <f t="array" ref="BI198">IF($A198="","",IFERROR(INDEX(CS!$B$1:$B$15025,MATCH($A198,CS!$B:$B,0)+COLUMN(C$1),1),""))</f>
        <v/>
      </c>
      <c r="BJ198" s="37" t="str">
        <f t="array" ref="BJ198">IF($A198="","",IFERROR(INDEX(CS!$B$1:$B$15025,MATCH($A198,CS!$B:$B,0)+COLUMN(D$1),1),""))</f>
        <v/>
      </c>
      <c r="BK198" s="37" t="str">
        <f t="array" ref="BK198">IF($A198="","",IFERROR(INDEX(CS!$B$1:$B$15025,MATCH($A198,CS!$B:$B,0)+COLUMN(E$1),1),""))</f>
        <v/>
      </c>
      <c r="BL198" s="37" t="str">
        <f t="array" ref="BL198">IF($A198="","",IFERROR(INDEX(CS!$B$1:$B$15025,MATCH($A198,CS!$B:$B,0)+COLUMN(F$1),1),""))</f>
        <v/>
      </c>
      <c r="BM198" s="37" t="str">
        <f t="array" ref="BM198">IF($A198="","",IFERROR(INDEX(CS!$B$1:$B$15025,MATCH($A198,CS!$B:$B,0)+COLUMN(G$1),1),""))</f>
        <v/>
      </c>
      <c r="BN198" s="37" t="str">
        <f t="array" ref="BN198">IF($A198="","",IFERROR(INDEX(CS!$B$1:$B$15025,MATCH($A198,CS!$B:$B,0)+COLUMN(H$1),1),""))</f>
        <v/>
      </c>
      <c r="BO198" s="37" t="str">
        <f t="array" ref="BO198">IF($A198="","",IFERROR(INDEX(CS!$B$1:$B$15025,MATCH($A198,CS!$B:$B,0)+COLUMN(I$1),1),""))</f>
        <v/>
      </c>
      <c r="BP198" s="37" t="str">
        <f t="array" ref="BP198">IF($A198="","",IFERROR(INDEX(CS!$B$1:$B$15025,MATCH($A198,CS!$B:$B,0)+COLUMN(J$1),1),""))</f>
        <v/>
      </c>
      <c r="BR198" s="39" t="s">
        <v>2878</v>
      </c>
      <c r="BS198" s="74"/>
      <c r="CG198" s="37" t="s">
        <v>2823</v>
      </c>
      <c r="CI198" s="37" t="s">
        <v>2808</v>
      </c>
      <c r="CJ198" s="37" t="s">
        <v>2819</v>
      </c>
      <c r="CK198" s="37" t="s">
        <v>2802</v>
      </c>
      <c r="CN198" s="37" t="s">
        <v>2821</v>
      </c>
      <c r="CQ198" s="37"/>
      <c r="CR198" s="37"/>
    </row>
    <row r="199" ht="18.75" customHeight="1" outlineLevel="1">
      <c r="A199" s="39" t="s">
        <v>2510</v>
      </c>
      <c r="B199" s="71"/>
      <c r="C199" s="39" t="s">
        <v>2826</v>
      </c>
      <c r="D199" s="72" t="str">
        <f t="shared" si="9"/>
        <v>725/500/225</v>
      </c>
      <c r="E199" s="39">
        <v>2.0</v>
      </c>
      <c r="F199" s="39">
        <v>75.0</v>
      </c>
      <c r="I199" s="39">
        <v>65.0</v>
      </c>
      <c r="J199" s="39">
        <v>70.0</v>
      </c>
      <c r="K199" s="87">
        <v>90.0</v>
      </c>
      <c r="L199" s="39">
        <v>75.0</v>
      </c>
      <c r="M199" s="39">
        <v>50.0</v>
      </c>
      <c r="N199" s="39">
        <v>75.0</v>
      </c>
      <c r="P199" s="37">
        <v>0.0</v>
      </c>
      <c r="Q199" s="64"/>
      <c r="R199" s="64"/>
      <c r="S199" s="64"/>
      <c r="T199" s="64"/>
      <c r="U199" s="64"/>
      <c r="V199" s="64"/>
      <c r="W199" s="64"/>
      <c r="X199" s="64"/>
      <c r="Y199" s="64"/>
      <c r="Z199" s="64"/>
      <c r="AA199" s="64"/>
      <c r="AJ199" s="37">
        <v>0.0</v>
      </c>
      <c r="AK199" s="37">
        <v>0.0</v>
      </c>
      <c r="AL199" s="37">
        <v>75.0</v>
      </c>
      <c r="AM199" s="37">
        <v>25.0</v>
      </c>
      <c r="AN199" s="37">
        <v>25.0</v>
      </c>
      <c r="AO199" s="37">
        <v>0.0</v>
      </c>
      <c r="AP199" s="37">
        <v>0.0</v>
      </c>
      <c r="AQ199" s="37">
        <v>0.0</v>
      </c>
      <c r="AR199" s="37">
        <v>50.0</v>
      </c>
      <c r="AS199" s="37">
        <v>0.0</v>
      </c>
      <c r="AT199" s="37">
        <v>0.0</v>
      </c>
      <c r="AU199" s="37">
        <v>0.0</v>
      </c>
      <c r="AV199" s="37">
        <v>0.0</v>
      </c>
      <c r="AW199" s="37">
        <v>0.0</v>
      </c>
      <c r="AX199" s="37">
        <v>0.0</v>
      </c>
      <c r="AY199" s="37">
        <v>0.0</v>
      </c>
      <c r="AZ199" s="37">
        <v>50.0</v>
      </c>
      <c r="BA199" s="39"/>
      <c r="BB199" s="39"/>
      <c r="BC199" s="39"/>
      <c r="BD199" s="39"/>
      <c r="BE199" s="39"/>
      <c r="BF199" s="39"/>
      <c r="BG199" s="37" t="str">
        <f t="array" ref="BG199">IF($A199="","",IFERROR(INDEX(CS!$B$1:$B$15025,MATCH($A199,CS!$B:$B,0)+COLUMN(A$1),1),""))</f>
        <v/>
      </c>
      <c r="BH199" s="37" t="str">
        <f t="array" ref="BH199">IF($A199="","",IFERROR(INDEX(CS!$B$1:$B$15025,MATCH($A199,CS!$B:$B,0)+COLUMN(B$1),1),""))</f>
        <v/>
      </c>
      <c r="BI199" s="37" t="str">
        <f t="array" ref="BI199">IF($A199="","",IFERROR(INDEX(CS!$B$1:$B$15025,MATCH($A199,CS!$B:$B,0)+COLUMN(C$1),1),""))</f>
        <v/>
      </c>
      <c r="BJ199" s="37" t="str">
        <f t="array" ref="BJ199">IF($A199="","",IFERROR(INDEX(CS!$B$1:$B$15025,MATCH($A199,CS!$B:$B,0)+COLUMN(D$1),1),""))</f>
        <v/>
      </c>
      <c r="BK199" s="37" t="str">
        <f t="array" ref="BK199">IF($A199="","",IFERROR(INDEX(CS!$B$1:$B$15025,MATCH($A199,CS!$B:$B,0)+COLUMN(E$1),1),""))</f>
        <v/>
      </c>
      <c r="BL199" s="37" t="str">
        <f t="array" ref="BL199">IF($A199="","",IFERROR(INDEX(CS!$B$1:$B$15025,MATCH($A199,CS!$B:$B,0)+COLUMN(F$1),1),""))</f>
        <v/>
      </c>
      <c r="BM199" s="37" t="str">
        <f t="array" ref="BM199">IF($A199="","",IFERROR(INDEX(CS!$B$1:$B$15025,MATCH($A199,CS!$B:$B,0)+COLUMN(G$1),1),""))</f>
        <v/>
      </c>
      <c r="BN199" s="37" t="str">
        <f t="array" ref="BN199">IF($A199="","",IFERROR(INDEX(CS!$B$1:$B$15025,MATCH($A199,CS!$B:$B,0)+COLUMN(H$1),1),""))</f>
        <v/>
      </c>
      <c r="BO199" s="37" t="str">
        <f t="array" ref="BO199">IF($A199="","",IFERROR(INDEX(CS!$B$1:$B$15025,MATCH($A199,CS!$B:$B,0)+COLUMN(I$1),1),""))</f>
        <v/>
      </c>
      <c r="BP199" s="37" t="str">
        <f t="array" ref="BP199">IF($A199="","",IFERROR(INDEX(CS!$B$1:$B$15025,MATCH($A199,CS!$B:$B,0)+COLUMN(J$1),1),""))</f>
        <v/>
      </c>
      <c r="BR199" s="39" t="s">
        <v>2878</v>
      </c>
      <c r="BS199" s="74"/>
      <c r="CG199" s="37" t="s">
        <v>2823</v>
      </c>
      <c r="CI199" s="37" t="s">
        <v>2808</v>
      </c>
      <c r="CJ199" s="37" t="s">
        <v>2819</v>
      </c>
      <c r="CK199" s="37" t="s">
        <v>2802</v>
      </c>
      <c r="CN199" s="37" t="s">
        <v>2821</v>
      </c>
      <c r="CQ199" s="37"/>
      <c r="CR199" s="37"/>
    </row>
    <row r="200" ht="18.75" customHeight="1" outlineLevel="1">
      <c r="A200" s="39" t="s">
        <v>2511</v>
      </c>
      <c r="B200" s="71"/>
      <c r="C200" s="39" t="s">
        <v>2826</v>
      </c>
      <c r="D200" s="72" t="str">
        <f t="shared" si="9"/>
        <v>725/500/225</v>
      </c>
      <c r="E200" s="39">
        <v>2.0</v>
      </c>
      <c r="F200" s="39">
        <v>75.0</v>
      </c>
      <c r="I200" s="39">
        <v>65.0</v>
      </c>
      <c r="J200" s="39">
        <v>70.0</v>
      </c>
      <c r="K200" s="87">
        <v>90.0</v>
      </c>
      <c r="L200" s="39">
        <v>75.0</v>
      </c>
      <c r="M200" s="39">
        <v>50.0</v>
      </c>
      <c r="N200" s="39">
        <v>75.0</v>
      </c>
      <c r="P200" s="37">
        <v>0.0</v>
      </c>
      <c r="Q200" s="64"/>
      <c r="R200" s="64"/>
      <c r="S200" s="64"/>
      <c r="T200" s="64"/>
      <c r="U200" s="64"/>
      <c r="V200" s="64"/>
      <c r="W200" s="64"/>
      <c r="X200" s="64"/>
      <c r="Y200" s="64"/>
      <c r="Z200" s="64"/>
      <c r="AA200" s="64"/>
      <c r="AJ200" s="37">
        <v>0.0</v>
      </c>
      <c r="AK200" s="37">
        <v>0.0</v>
      </c>
      <c r="AL200" s="37">
        <v>75.0</v>
      </c>
      <c r="AM200" s="37">
        <v>25.0</v>
      </c>
      <c r="AN200" s="37">
        <v>25.0</v>
      </c>
      <c r="AO200" s="37">
        <v>0.0</v>
      </c>
      <c r="AP200" s="37">
        <v>0.0</v>
      </c>
      <c r="AQ200" s="37">
        <v>0.0</v>
      </c>
      <c r="AR200" s="37">
        <v>50.0</v>
      </c>
      <c r="AS200" s="37">
        <v>0.0</v>
      </c>
      <c r="AT200" s="37">
        <v>0.0</v>
      </c>
      <c r="AU200" s="37">
        <v>0.0</v>
      </c>
      <c r="AV200" s="37">
        <v>0.0</v>
      </c>
      <c r="AW200" s="37">
        <v>0.0</v>
      </c>
      <c r="AX200" s="37">
        <v>0.0</v>
      </c>
      <c r="AY200" s="37">
        <v>0.0</v>
      </c>
      <c r="AZ200" s="37">
        <v>50.0</v>
      </c>
      <c r="BA200" s="39"/>
      <c r="BB200" s="39"/>
      <c r="BC200" s="39"/>
      <c r="BD200" s="39"/>
      <c r="BE200" s="39"/>
      <c r="BF200" s="39"/>
      <c r="BG200" s="37" t="str">
        <f t="array" ref="BG200">IF($A200="","",IFERROR(INDEX(CS!$B$1:$B$15025,MATCH($A200,CS!$B:$B,0)+COLUMN(A$1),1),""))</f>
        <v/>
      </c>
      <c r="BH200" s="37" t="str">
        <f t="array" ref="BH200">IF($A200="","",IFERROR(INDEX(CS!$B$1:$B$15025,MATCH($A200,CS!$B:$B,0)+COLUMN(B$1),1),""))</f>
        <v/>
      </c>
      <c r="BI200" s="37" t="str">
        <f t="array" ref="BI200">IF($A200="","",IFERROR(INDEX(CS!$B$1:$B$15025,MATCH($A200,CS!$B:$B,0)+COLUMN(C$1),1),""))</f>
        <v/>
      </c>
      <c r="BJ200" s="37" t="str">
        <f t="array" ref="BJ200">IF($A200="","",IFERROR(INDEX(CS!$B$1:$B$15025,MATCH($A200,CS!$B:$B,0)+COLUMN(D$1),1),""))</f>
        <v/>
      </c>
      <c r="BK200" s="37" t="str">
        <f t="array" ref="BK200">IF($A200="","",IFERROR(INDEX(CS!$B$1:$B$15025,MATCH($A200,CS!$B:$B,0)+COLUMN(E$1),1),""))</f>
        <v/>
      </c>
      <c r="BL200" s="37" t="str">
        <f t="array" ref="BL200">IF($A200="","",IFERROR(INDEX(CS!$B$1:$B$15025,MATCH($A200,CS!$B:$B,0)+COLUMN(F$1),1),""))</f>
        <v/>
      </c>
      <c r="BM200" s="37" t="str">
        <f t="array" ref="BM200">IF($A200="","",IFERROR(INDEX(CS!$B$1:$B$15025,MATCH($A200,CS!$B:$B,0)+COLUMN(G$1),1),""))</f>
        <v/>
      </c>
      <c r="BN200" s="37" t="str">
        <f t="array" ref="BN200">IF($A200="","",IFERROR(INDEX(CS!$B$1:$B$15025,MATCH($A200,CS!$B:$B,0)+COLUMN(H$1),1),""))</f>
        <v/>
      </c>
      <c r="BO200" s="37" t="str">
        <f t="array" ref="BO200">IF($A200="","",IFERROR(INDEX(CS!$B$1:$B$15025,MATCH($A200,CS!$B:$B,0)+COLUMN(I$1),1),""))</f>
        <v/>
      </c>
      <c r="BP200" s="37" t="str">
        <f t="array" ref="BP200">IF($A200="","",IFERROR(INDEX(CS!$B$1:$B$15025,MATCH($A200,CS!$B:$B,0)+COLUMN(J$1),1),""))</f>
        <v/>
      </c>
      <c r="BR200" s="39" t="s">
        <v>2878</v>
      </c>
      <c r="BS200" s="74"/>
      <c r="CG200" s="37" t="s">
        <v>2823</v>
      </c>
      <c r="CI200" s="37" t="s">
        <v>2808</v>
      </c>
      <c r="CJ200" s="37" t="s">
        <v>2819</v>
      </c>
      <c r="CK200" s="37" t="s">
        <v>2802</v>
      </c>
      <c r="CN200" s="37" t="s">
        <v>2821</v>
      </c>
      <c r="CQ200" s="37"/>
      <c r="CR200" s="37"/>
    </row>
    <row r="201" ht="18.75" customHeight="1" outlineLevel="1">
      <c r="A201" s="39" t="s">
        <v>2513</v>
      </c>
      <c r="B201" s="71"/>
      <c r="C201" s="39" t="s">
        <v>2826</v>
      </c>
      <c r="D201" s="72" t="str">
        <f t="shared" si="9"/>
        <v>740/515/225</v>
      </c>
      <c r="E201" s="39">
        <v>3.0</v>
      </c>
      <c r="F201" s="39">
        <v>75.0</v>
      </c>
      <c r="I201" s="39">
        <v>65.0</v>
      </c>
      <c r="J201" s="39">
        <v>75.0</v>
      </c>
      <c r="K201" s="87">
        <v>95.0</v>
      </c>
      <c r="L201" s="39">
        <v>80.0</v>
      </c>
      <c r="M201" s="39">
        <v>50.0</v>
      </c>
      <c r="N201" s="39">
        <v>75.0</v>
      </c>
      <c r="P201" s="37">
        <v>0.0</v>
      </c>
      <c r="Q201" s="64"/>
      <c r="R201" s="64"/>
      <c r="S201" s="64"/>
      <c r="T201" s="64"/>
      <c r="U201" s="64"/>
      <c r="V201" s="64"/>
      <c r="W201" s="64"/>
      <c r="X201" s="64"/>
      <c r="Y201" s="64"/>
      <c r="Z201" s="64"/>
      <c r="AA201" s="64"/>
      <c r="AJ201" s="37">
        <v>0.0</v>
      </c>
      <c r="AK201" s="37">
        <v>0.0</v>
      </c>
      <c r="AL201" s="37">
        <v>75.0</v>
      </c>
      <c r="AM201" s="37">
        <v>25.0</v>
      </c>
      <c r="AN201" s="37">
        <v>25.0</v>
      </c>
      <c r="AO201" s="37">
        <v>0.0</v>
      </c>
      <c r="AP201" s="37">
        <v>0.0</v>
      </c>
      <c r="AQ201" s="37">
        <v>0.0</v>
      </c>
      <c r="AR201" s="37">
        <v>50.0</v>
      </c>
      <c r="AS201" s="37">
        <v>0.0</v>
      </c>
      <c r="AT201" s="37">
        <v>0.0</v>
      </c>
      <c r="AU201" s="37">
        <v>0.0</v>
      </c>
      <c r="AV201" s="37">
        <v>0.0</v>
      </c>
      <c r="AW201" s="37">
        <v>0.0</v>
      </c>
      <c r="AX201" s="37">
        <v>0.0</v>
      </c>
      <c r="AY201" s="37">
        <v>0.0</v>
      </c>
      <c r="AZ201" s="37">
        <v>50.0</v>
      </c>
      <c r="BA201" s="39"/>
      <c r="BB201" s="39"/>
      <c r="BC201" s="39"/>
      <c r="BD201" s="39"/>
      <c r="BE201" s="39"/>
      <c r="BF201" s="39"/>
      <c r="BG201" s="37" t="str">
        <f t="array" ref="BG201">IF($A201="","",IFERROR(INDEX(CS!$B$1:$B$15025,MATCH($A201,CS!$B:$B,0)+COLUMN(A$1),1),""))</f>
        <v/>
      </c>
      <c r="BH201" s="37" t="str">
        <f t="array" ref="BH201">IF($A201="","",IFERROR(INDEX(CS!$B$1:$B$15025,MATCH($A201,CS!$B:$B,0)+COLUMN(B$1),1),""))</f>
        <v/>
      </c>
      <c r="BI201" s="37" t="str">
        <f t="array" ref="BI201">IF($A201="","",IFERROR(INDEX(CS!$B$1:$B$15025,MATCH($A201,CS!$B:$B,0)+COLUMN(C$1),1),""))</f>
        <v/>
      </c>
      <c r="BJ201" s="37" t="str">
        <f t="array" ref="BJ201">IF($A201="","",IFERROR(INDEX(CS!$B$1:$B$15025,MATCH($A201,CS!$B:$B,0)+COLUMN(D$1),1),""))</f>
        <v/>
      </c>
      <c r="BK201" s="37" t="str">
        <f t="array" ref="BK201">IF($A201="","",IFERROR(INDEX(CS!$B$1:$B$15025,MATCH($A201,CS!$B:$B,0)+COLUMN(E$1),1),""))</f>
        <v/>
      </c>
      <c r="BL201" s="37" t="str">
        <f t="array" ref="BL201">IF($A201="","",IFERROR(INDEX(CS!$B$1:$B$15025,MATCH($A201,CS!$B:$B,0)+COLUMN(F$1),1),""))</f>
        <v/>
      </c>
      <c r="BM201" s="37" t="str">
        <f t="array" ref="BM201">IF($A201="","",IFERROR(INDEX(CS!$B$1:$B$15025,MATCH($A201,CS!$B:$B,0)+COLUMN(G$1),1),""))</f>
        <v/>
      </c>
      <c r="BN201" s="37" t="str">
        <f t="array" ref="BN201">IF($A201="","",IFERROR(INDEX(CS!$B$1:$B$15025,MATCH($A201,CS!$B:$B,0)+COLUMN(H$1),1),""))</f>
        <v/>
      </c>
      <c r="BO201" s="37" t="str">
        <f t="array" ref="BO201">IF($A201="","",IFERROR(INDEX(CS!$B$1:$B$15025,MATCH($A201,CS!$B:$B,0)+COLUMN(I$1),1),""))</f>
        <v/>
      </c>
      <c r="BP201" s="37" t="str">
        <f t="array" ref="BP201">IF($A201="","",IFERROR(INDEX(CS!$B$1:$B$15025,MATCH($A201,CS!$B:$B,0)+COLUMN(J$1),1),""))</f>
        <v/>
      </c>
      <c r="BR201" s="39" t="s">
        <v>2879</v>
      </c>
      <c r="BS201" s="74"/>
      <c r="CG201" s="37" t="s">
        <v>2823</v>
      </c>
      <c r="CI201" s="37" t="s">
        <v>2808</v>
      </c>
      <c r="CJ201" s="37" t="s">
        <v>2819</v>
      </c>
      <c r="CK201" s="37" t="s">
        <v>2802</v>
      </c>
      <c r="CN201" s="37" t="s">
        <v>2821</v>
      </c>
      <c r="CQ201" s="37"/>
      <c r="CR201" s="37"/>
    </row>
    <row r="202" ht="18.75" customHeight="1" outlineLevel="1">
      <c r="A202" s="39" t="s">
        <v>2514</v>
      </c>
      <c r="B202" s="71"/>
      <c r="C202" s="39" t="s">
        <v>2826</v>
      </c>
      <c r="D202" s="72" t="str">
        <f t="shared" si="9"/>
        <v>740/515/225</v>
      </c>
      <c r="E202" s="39">
        <v>3.0</v>
      </c>
      <c r="F202" s="39">
        <v>75.0</v>
      </c>
      <c r="I202" s="39">
        <v>65.0</v>
      </c>
      <c r="J202" s="39">
        <v>75.0</v>
      </c>
      <c r="K202" s="87">
        <v>95.0</v>
      </c>
      <c r="L202" s="39">
        <v>80.0</v>
      </c>
      <c r="M202" s="39">
        <v>50.0</v>
      </c>
      <c r="N202" s="39">
        <v>75.0</v>
      </c>
      <c r="P202" s="37">
        <v>0.0</v>
      </c>
      <c r="Q202" s="64"/>
      <c r="R202" s="64"/>
      <c r="S202" s="64"/>
      <c r="T202" s="64"/>
      <c r="U202" s="64"/>
      <c r="V202" s="64"/>
      <c r="W202" s="64"/>
      <c r="X202" s="64"/>
      <c r="Y202" s="64"/>
      <c r="Z202" s="64"/>
      <c r="AA202" s="64"/>
      <c r="AJ202" s="37">
        <v>0.0</v>
      </c>
      <c r="AK202" s="37">
        <v>0.0</v>
      </c>
      <c r="AL202" s="37">
        <v>75.0</v>
      </c>
      <c r="AM202" s="37">
        <v>25.0</v>
      </c>
      <c r="AN202" s="37">
        <v>25.0</v>
      </c>
      <c r="AO202" s="37">
        <v>0.0</v>
      </c>
      <c r="AP202" s="37">
        <v>0.0</v>
      </c>
      <c r="AQ202" s="37">
        <v>0.0</v>
      </c>
      <c r="AR202" s="37">
        <v>50.0</v>
      </c>
      <c r="AS202" s="37">
        <v>0.0</v>
      </c>
      <c r="AT202" s="37">
        <v>0.0</v>
      </c>
      <c r="AU202" s="37">
        <v>0.0</v>
      </c>
      <c r="AV202" s="37">
        <v>0.0</v>
      </c>
      <c r="AW202" s="37">
        <v>0.0</v>
      </c>
      <c r="AX202" s="37">
        <v>0.0</v>
      </c>
      <c r="AY202" s="37">
        <v>0.0</v>
      </c>
      <c r="AZ202" s="37">
        <v>50.0</v>
      </c>
      <c r="BA202" s="39"/>
      <c r="BB202" s="39"/>
      <c r="BC202" s="39"/>
      <c r="BD202" s="39"/>
      <c r="BE202" s="39"/>
      <c r="BF202" s="39"/>
      <c r="BG202" s="37" t="str">
        <f t="array" ref="BG202">IF($A202="","",IFERROR(INDEX(CS!$B$1:$B$15025,MATCH($A202,CS!$B:$B,0)+COLUMN(A$1),1),""))</f>
        <v/>
      </c>
      <c r="BH202" s="37" t="str">
        <f t="array" ref="BH202">IF($A202="","",IFERROR(INDEX(CS!$B$1:$B$15025,MATCH($A202,CS!$B:$B,0)+COLUMN(B$1),1),""))</f>
        <v/>
      </c>
      <c r="BI202" s="37" t="str">
        <f t="array" ref="BI202">IF($A202="","",IFERROR(INDEX(CS!$B$1:$B$15025,MATCH($A202,CS!$B:$B,0)+COLUMN(C$1),1),""))</f>
        <v/>
      </c>
      <c r="BJ202" s="37" t="str">
        <f t="array" ref="BJ202">IF($A202="","",IFERROR(INDEX(CS!$B$1:$B$15025,MATCH($A202,CS!$B:$B,0)+COLUMN(D$1),1),""))</f>
        <v/>
      </c>
      <c r="BK202" s="37" t="str">
        <f t="array" ref="BK202">IF($A202="","",IFERROR(INDEX(CS!$B$1:$B$15025,MATCH($A202,CS!$B:$B,0)+COLUMN(E$1),1),""))</f>
        <v/>
      </c>
      <c r="BL202" s="37" t="str">
        <f t="array" ref="BL202">IF($A202="","",IFERROR(INDEX(CS!$B$1:$B$15025,MATCH($A202,CS!$B:$B,0)+COLUMN(F$1),1),""))</f>
        <v/>
      </c>
      <c r="BM202" s="37" t="str">
        <f t="array" ref="BM202">IF($A202="","",IFERROR(INDEX(CS!$B$1:$B$15025,MATCH($A202,CS!$B:$B,0)+COLUMN(G$1),1),""))</f>
        <v/>
      </c>
      <c r="BN202" s="37" t="str">
        <f t="array" ref="BN202">IF($A202="","",IFERROR(INDEX(CS!$B$1:$B$15025,MATCH($A202,CS!$B:$B,0)+COLUMN(H$1),1),""))</f>
        <v/>
      </c>
      <c r="BO202" s="37" t="str">
        <f t="array" ref="BO202">IF($A202="","",IFERROR(INDEX(CS!$B$1:$B$15025,MATCH($A202,CS!$B:$B,0)+COLUMN(I$1),1),""))</f>
        <v/>
      </c>
      <c r="BP202" s="37" t="str">
        <f t="array" ref="BP202">IF($A202="","",IFERROR(INDEX(CS!$B$1:$B$15025,MATCH($A202,CS!$B:$B,0)+COLUMN(J$1),1),""))</f>
        <v/>
      </c>
      <c r="BR202" s="39" t="s">
        <v>2880</v>
      </c>
      <c r="BS202" s="74"/>
      <c r="CG202" s="37" t="s">
        <v>2823</v>
      </c>
      <c r="CI202" s="37" t="s">
        <v>2808</v>
      </c>
      <c r="CJ202" s="37" t="s">
        <v>2819</v>
      </c>
      <c r="CK202" s="37" t="s">
        <v>2802</v>
      </c>
      <c r="CN202" s="37" t="s">
        <v>2821</v>
      </c>
      <c r="CQ202" s="37"/>
      <c r="CR202" s="37"/>
    </row>
    <row r="203" ht="18.75" customHeight="1" outlineLevel="1">
      <c r="A203" s="39" t="s">
        <v>2515</v>
      </c>
      <c r="B203" s="71"/>
      <c r="C203" s="39" t="s">
        <v>2826</v>
      </c>
      <c r="D203" s="72" t="str">
        <f t="shared" si="9"/>
        <v>740/515/225</v>
      </c>
      <c r="E203" s="39">
        <v>3.0</v>
      </c>
      <c r="F203" s="39">
        <v>75.0</v>
      </c>
      <c r="I203" s="39">
        <v>65.0</v>
      </c>
      <c r="J203" s="39">
        <v>75.0</v>
      </c>
      <c r="K203" s="87">
        <v>95.0</v>
      </c>
      <c r="L203" s="39">
        <v>80.0</v>
      </c>
      <c r="M203" s="39">
        <v>50.0</v>
      </c>
      <c r="N203" s="39">
        <v>75.0</v>
      </c>
      <c r="P203" s="37">
        <v>0.0</v>
      </c>
      <c r="Q203" s="64"/>
      <c r="R203" s="64"/>
      <c r="S203" s="64"/>
      <c r="T203" s="64"/>
      <c r="U203" s="64"/>
      <c r="V203" s="64"/>
      <c r="W203" s="64"/>
      <c r="X203" s="64"/>
      <c r="Y203" s="64"/>
      <c r="Z203" s="64"/>
      <c r="AA203" s="64"/>
      <c r="AJ203" s="37">
        <v>0.0</v>
      </c>
      <c r="AK203" s="37">
        <v>0.0</v>
      </c>
      <c r="AL203" s="37">
        <v>75.0</v>
      </c>
      <c r="AM203" s="37">
        <v>25.0</v>
      </c>
      <c r="AN203" s="37">
        <v>25.0</v>
      </c>
      <c r="AO203" s="37">
        <v>0.0</v>
      </c>
      <c r="AP203" s="37">
        <v>0.0</v>
      </c>
      <c r="AQ203" s="37">
        <v>0.0</v>
      </c>
      <c r="AR203" s="37">
        <v>50.0</v>
      </c>
      <c r="AS203" s="37">
        <v>0.0</v>
      </c>
      <c r="AT203" s="37">
        <v>0.0</v>
      </c>
      <c r="AU203" s="37">
        <v>0.0</v>
      </c>
      <c r="AV203" s="37">
        <v>0.0</v>
      </c>
      <c r="AW203" s="37">
        <v>0.0</v>
      </c>
      <c r="AX203" s="37">
        <v>0.0</v>
      </c>
      <c r="AY203" s="37">
        <v>0.0</v>
      </c>
      <c r="AZ203" s="37">
        <v>50.0</v>
      </c>
      <c r="BA203" s="39"/>
      <c r="BB203" s="39"/>
      <c r="BC203" s="39"/>
      <c r="BD203" s="39"/>
      <c r="BE203" s="39"/>
      <c r="BF203" s="39"/>
      <c r="BG203" s="37" t="str">
        <f t="array" ref="BG203">IF($A203="","",IFERROR(INDEX(CS!$B$1:$B$15025,MATCH($A203,CS!$B:$B,0)+COLUMN(A$1),1),""))</f>
        <v/>
      </c>
      <c r="BH203" s="37" t="str">
        <f t="array" ref="BH203">IF($A203="","",IFERROR(INDEX(CS!$B$1:$B$15025,MATCH($A203,CS!$B:$B,0)+COLUMN(B$1),1),""))</f>
        <v/>
      </c>
      <c r="BI203" s="37" t="str">
        <f t="array" ref="BI203">IF($A203="","",IFERROR(INDEX(CS!$B$1:$B$15025,MATCH($A203,CS!$B:$B,0)+COLUMN(C$1),1),""))</f>
        <v/>
      </c>
      <c r="BJ203" s="37" t="str">
        <f t="array" ref="BJ203">IF($A203="","",IFERROR(INDEX(CS!$B$1:$B$15025,MATCH($A203,CS!$B:$B,0)+COLUMN(D$1),1),""))</f>
        <v/>
      </c>
      <c r="BK203" s="37" t="str">
        <f t="array" ref="BK203">IF($A203="","",IFERROR(INDEX(CS!$B$1:$B$15025,MATCH($A203,CS!$B:$B,0)+COLUMN(E$1),1),""))</f>
        <v/>
      </c>
      <c r="BL203" s="37" t="str">
        <f t="array" ref="BL203">IF($A203="","",IFERROR(INDEX(CS!$B$1:$B$15025,MATCH($A203,CS!$B:$B,0)+COLUMN(F$1),1),""))</f>
        <v/>
      </c>
      <c r="BM203" s="37" t="str">
        <f t="array" ref="BM203">IF($A203="","",IFERROR(INDEX(CS!$B$1:$B$15025,MATCH($A203,CS!$B:$B,0)+COLUMN(G$1),1),""))</f>
        <v/>
      </c>
      <c r="BN203" s="37" t="str">
        <f t="array" ref="BN203">IF($A203="","",IFERROR(INDEX(CS!$B$1:$B$15025,MATCH($A203,CS!$B:$B,0)+COLUMN(H$1),1),""))</f>
        <v/>
      </c>
      <c r="BO203" s="37" t="str">
        <f t="array" ref="BO203">IF($A203="","",IFERROR(INDEX(CS!$B$1:$B$15025,MATCH($A203,CS!$B:$B,0)+COLUMN(I$1),1),""))</f>
        <v/>
      </c>
      <c r="BP203" s="37" t="str">
        <f t="array" ref="BP203">IF($A203="","",IFERROR(INDEX(CS!$B$1:$B$15025,MATCH($A203,CS!$B:$B,0)+COLUMN(J$1),1),""))</f>
        <v/>
      </c>
      <c r="BR203" s="39" t="s">
        <v>2881</v>
      </c>
      <c r="BS203" s="74"/>
      <c r="CG203" s="37" t="s">
        <v>2823</v>
      </c>
      <c r="CI203" s="37" t="s">
        <v>2808</v>
      </c>
      <c r="CJ203" s="37" t="s">
        <v>2819</v>
      </c>
      <c r="CK203" s="37" t="s">
        <v>2802</v>
      </c>
      <c r="CN203" s="37" t="s">
        <v>2821</v>
      </c>
      <c r="CQ203" s="37"/>
      <c r="CR203" s="37"/>
    </row>
    <row r="204" ht="18.75" customHeight="1" outlineLevel="1">
      <c r="A204" s="39" t="s">
        <v>2516</v>
      </c>
      <c r="B204" s="71"/>
      <c r="C204" s="39" t="s">
        <v>2826</v>
      </c>
      <c r="D204" s="72" t="str">
        <f t="shared" si="9"/>
        <v>740/515/225</v>
      </c>
      <c r="E204" s="39">
        <v>3.0</v>
      </c>
      <c r="F204" s="39">
        <v>75.0</v>
      </c>
      <c r="I204" s="39">
        <v>65.0</v>
      </c>
      <c r="J204" s="39">
        <v>75.0</v>
      </c>
      <c r="K204" s="87">
        <v>95.0</v>
      </c>
      <c r="L204" s="39">
        <v>80.0</v>
      </c>
      <c r="M204" s="39">
        <v>50.0</v>
      </c>
      <c r="N204" s="39">
        <v>75.0</v>
      </c>
      <c r="P204" s="37">
        <v>0.0</v>
      </c>
      <c r="Q204" s="64"/>
      <c r="R204" s="64"/>
      <c r="S204" s="64"/>
      <c r="T204" s="64"/>
      <c r="U204" s="64"/>
      <c r="V204" s="64"/>
      <c r="W204" s="64"/>
      <c r="X204" s="64"/>
      <c r="Y204" s="64"/>
      <c r="Z204" s="64"/>
      <c r="AA204" s="64"/>
      <c r="AJ204" s="37">
        <v>0.0</v>
      </c>
      <c r="AK204" s="37">
        <v>0.0</v>
      </c>
      <c r="AL204" s="37">
        <v>75.0</v>
      </c>
      <c r="AM204" s="37">
        <v>25.0</v>
      </c>
      <c r="AN204" s="37">
        <v>25.0</v>
      </c>
      <c r="AO204" s="37">
        <v>0.0</v>
      </c>
      <c r="AP204" s="37">
        <v>0.0</v>
      </c>
      <c r="AQ204" s="37">
        <v>0.0</v>
      </c>
      <c r="AR204" s="37">
        <v>50.0</v>
      </c>
      <c r="AS204" s="37">
        <v>0.0</v>
      </c>
      <c r="AT204" s="37">
        <v>0.0</v>
      </c>
      <c r="AU204" s="37">
        <v>0.0</v>
      </c>
      <c r="AV204" s="37">
        <v>0.0</v>
      </c>
      <c r="AW204" s="37">
        <v>0.0</v>
      </c>
      <c r="AX204" s="37">
        <v>0.0</v>
      </c>
      <c r="AY204" s="37">
        <v>0.0</v>
      </c>
      <c r="AZ204" s="37">
        <v>50.0</v>
      </c>
      <c r="BA204" s="39"/>
      <c r="BB204" s="39"/>
      <c r="BC204" s="39"/>
      <c r="BD204" s="39"/>
      <c r="BE204" s="39"/>
      <c r="BF204" s="39"/>
      <c r="BG204" s="37" t="str">
        <f t="array" ref="BG204">IF($A204="","",IFERROR(INDEX(CS!$B$1:$B$15025,MATCH($A204,CS!$B:$B,0)+COLUMN(A$1),1),""))</f>
        <v/>
      </c>
      <c r="BH204" s="37" t="str">
        <f t="array" ref="BH204">IF($A204="","",IFERROR(INDEX(CS!$B$1:$B$15025,MATCH($A204,CS!$B:$B,0)+COLUMN(B$1),1),""))</f>
        <v/>
      </c>
      <c r="BI204" s="37" t="str">
        <f t="array" ref="BI204">IF($A204="","",IFERROR(INDEX(CS!$B$1:$B$15025,MATCH($A204,CS!$B:$B,0)+COLUMN(C$1),1),""))</f>
        <v/>
      </c>
      <c r="BJ204" s="37" t="str">
        <f t="array" ref="BJ204">IF($A204="","",IFERROR(INDEX(CS!$B$1:$B$15025,MATCH($A204,CS!$B:$B,0)+COLUMN(D$1),1),""))</f>
        <v/>
      </c>
      <c r="BK204" s="37" t="str">
        <f t="array" ref="BK204">IF($A204="","",IFERROR(INDEX(CS!$B$1:$B$15025,MATCH($A204,CS!$B:$B,0)+COLUMN(E$1),1),""))</f>
        <v/>
      </c>
      <c r="BL204" s="37" t="str">
        <f t="array" ref="BL204">IF($A204="","",IFERROR(INDEX(CS!$B$1:$B$15025,MATCH($A204,CS!$B:$B,0)+COLUMN(F$1),1),""))</f>
        <v/>
      </c>
      <c r="BM204" s="37" t="str">
        <f t="array" ref="BM204">IF($A204="","",IFERROR(INDEX(CS!$B$1:$B$15025,MATCH($A204,CS!$B:$B,0)+COLUMN(G$1),1),""))</f>
        <v/>
      </c>
      <c r="BN204" s="37" t="str">
        <f t="array" ref="BN204">IF($A204="","",IFERROR(INDEX(CS!$B$1:$B$15025,MATCH($A204,CS!$B:$B,0)+COLUMN(H$1),1),""))</f>
        <v/>
      </c>
      <c r="BO204" s="37" t="str">
        <f t="array" ref="BO204">IF($A204="","",IFERROR(INDEX(CS!$B$1:$B$15025,MATCH($A204,CS!$B:$B,0)+COLUMN(I$1),1),""))</f>
        <v/>
      </c>
      <c r="BP204" s="37" t="str">
        <f t="array" ref="BP204">IF($A204="","",IFERROR(INDEX(CS!$B$1:$B$15025,MATCH($A204,CS!$B:$B,0)+COLUMN(J$1),1),""))</f>
        <v/>
      </c>
      <c r="BR204" s="39" t="s">
        <v>2882</v>
      </c>
      <c r="BS204" s="74"/>
      <c r="CG204" s="37" t="s">
        <v>2823</v>
      </c>
      <c r="CI204" s="37" t="s">
        <v>2808</v>
      </c>
      <c r="CJ204" s="37" t="s">
        <v>2819</v>
      </c>
      <c r="CK204" s="37" t="s">
        <v>2802</v>
      </c>
      <c r="CN204" s="37" t="s">
        <v>2821</v>
      </c>
      <c r="CQ204" s="37"/>
      <c r="CR204" s="37"/>
    </row>
    <row r="205" ht="18.75" customHeight="1" outlineLevel="1">
      <c r="A205" s="39" t="s">
        <v>2517</v>
      </c>
      <c r="B205" s="71"/>
      <c r="C205" s="39" t="s">
        <v>2826</v>
      </c>
      <c r="D205" s="72" t="str">
        <f t="shared" si="9"/>
        <v>740/515/225</v>
      </c>
      <c r="E205" s="39">
        <v>3.0</v>
      </c>
      <c r="F205" s="39">
        <v>75.0</v>
      </c>
      <c r="I205" s="39">
        <v>65.0</v>
      </c>
      <c r="J205" s="39">
        <v>75.0</v>
      </c>
      <c r="K205" s="87">
        <v>95.0</v>
      </c>
      <c r="L205" s="39">
        <v>80.0</v>
      </c>
      <c r="M205" s="39">
        <v>50.0</v>
      </c>
      <c r="N205" s="39">
        <v>75.0</v>
      </c>
      <c r="P205" s="37">
        <v>0.0</v>
      </c>
      <c r="Q205" s="64"/>
      <c r="R205" s="64"/>
      <c r="S205" s="64"/>
      <c r="T205" s="64"/>
      <c r="U205" s="64"/>
      <c r="V205" s="64"/>
      <c r="W205" s="64"/>
      <c r="X205" s="64"/>
      <c r="Y205" s="64"/>
      <c r="Z205" s="64"/>
      <c r="AA205" s="64"/>
      <c r="AJ205" s="37">
        <v>0.0</v>
      </c>
      <c r="AK205" s="37">
        <v>0.0</v>
      </c>
      <c r="AL205" s="37">
        <v>75.0</v>
      </c>
      <c r="AM205" s="37">
        <v>25.0</v>
      </c>
      <c r="AN205" s="37">
        <v>25.0</v>
      </c>
      <c r="AO205" s="37">
        <v>0.0</v>
      </c>
      <c r="AP205" s="37">
        <v>0.0</v>
      </c>
      <c r="AQ205" s="37">
        <v>0.0</v>
      </c>
      <c r="AR205" s="37">
        <v>50.0</v>
      </c>
      <c r="AS205" s="37">
        <v>0.0</v>
      </c>
      <c r="AT205" s="37">
        <v>0.0</v>
      </c>
      <c r="AU205" s="37">
        <v>0.0</v>
      </c>
      <c r="AV205" s="37">
        <v>0.0</v>
      </c>
      <c r="AW205" s="37">
        <v>0.0</v>
      </c>
      <c r="AX205" s="37">
        <v>0.0</v>
      </c>
      <c r="AY205" s="37">
        <v>0.0</v>
      </c>
      <c r="AZ205" s="37">
        <v>50.0</v>
      </c>
      <c r="BA205" s="39"/>
      <c r="BB205" s="39"/>
      <c r="BC205" s="39"/>
      <c r="BD205" s="39"/>
      <c r="BE205" s="39"/>
      <c r="BF205" s="39"/>
      <c r="BG205" s="37" t="str">
        <f t="array" ref="BG205">IF($A205="","",IFERROR(INDEX(CS!$B$1:$B$15025,MATCH($A205,CS!$B:$B,0)+COLUMN(A$1),1),""))</f>
        <v/>
      </c>
      <c r="BH205" s="37" t="str">
        <f t="array" ref="BH205">IF($A205="","",IFERROR(INDEX(CS!$B$1:$B$15025,MATCH($A205,CS!$B:$B,0)+COLUMN(B$1),1),""))</f>
        <v/>
      </c>
      <c r="BI205" s="37" t="str">
        <f t="array" ref="BI205">IF($A205="","",IFERROR(INDEX(CS!$B$1:$B$15025,MATCH($A205,CS!$B:$B,0)+COLUMN(C$1),1),""))</f>
        <v/>
      </c>
      <c r="BJ205" s="37" t="str">
        <f t="array" ref="BJ205">IF($A205="","",IFERROR(INDEX(CS!$B$1:$B$15025,MATCH($A205,CS!$B:$B,0)+COLUMN(D$1),1),""))</f>
        <v/>
      </c>
      <c r="BK205" s="37" t="str">
        <f t="array" ref="BK205">IF($A205="","",IFERROR(INDEX(CS!$B$1:$B$15025,MATCH($A205,CS!$B:$B,0)+COLUMN(E$1),1),""))</f>
        <v/>
      </c>
      <c r="BL205" s="37" t="str">
        <f t="array" ref="BL205">IF($A205="","",IFERROR(INDEX(CS!$B$1:$B$15025,MATCH($A205,CS!$B:$B,0)+COLUMN(F$1),1),""))</f>
        <v/>
      </c>
      <c r="BM205" s="37" t="str">
        <f t="array" ref="BM205">IF($A205="","",IFERROR(INDEX(CS!$B$1:$B$15025,MATCH($A205,CS!$B:$B,0)+COLUMN(G$1),1),""))</f>
        <v/>
      </c>
      <c r="BN205" s="37" t="str">
        <f t="array" ref="BN205">IF($A205="","",IFERROR(INDEX(CS!$B$1:$B$15025,MATCH($A205,CS!$B:$B,0)+COLUMN(H$1),1),""))</f>
        <v/>
      </c>
      <c r="BO205" s="37" t="str">
        <f t="array" ref="BO205">IF($A205="","",IFERROR(INDEX(CS!$B$1:$B$15025,MATCH($A205,CS!$B:$B,0)+COLUMN(I$1),1),""))</f>
        <v/>
      </c>
      <c r="BP205" s="37" t="str">
        <f t="array" ref="BP205">IF($A205="","",IFERROR(INDEX(CS!$B$1:$B$15025,MATCH($A205,CS!$B:$B,0)+COLUMN(J$1),1),""))</f>
        <v/>
      </c>
      <c r="BR205" s="39" t="s">
        <v>2883</v>
      </c>
      <c r="BS205" s="74"/>
      <c r="CG205" s="37" t="s">
        <v>2823</v>
      </c>
      <c r="CI205" s="37" t="s">
        <v>2808</v>
      </c>
      <c r="CJ205" s="37" t="s">
        <v>2819</v>
      </c>
      <c r="CK205" s="37" t="s">
        <v>2802</v>
      </c>
      <c r="CN205" s="37" t="s">
        <v>2821</v>
      </c>
      <c r="CQ205" s="37"/>
      <c r="CR205" s="37"/>
    </row>
    <row r="206" ht="18.75" customHeight="1" outlineLevel="1">
      <c r="A206" s="39" t="s">
        <v>2518</v>
      </c>
      <c r="B206" s="71"/>
      <c r="C206" s="39" t="s">
        <v>2826</v>
      </c>
      <c r="D206" s="72" t="str">
        <f t="shared" si="9"/>
        <v>740/515/225</v>
      </c>
      <c r="E206" s="39">
        <v>3.0</v>
      </c>
      <c r="F206" s="39">
        <v>75.0</v>
      </c>
      <c r="I206" s="39">
        <v>65.0</v>
      </c>
      <c r="J206" s="39">
        <v>75.0</v>
      </c>
      <c r="K206" s="87">
        <v>95.0</v>
      </c>
      <c r="L206" s="39">
        <v>80.0</v>
      </c>
      <c r="M206" s="39">
        <v>50.0</v>
      </c>
      <c r="N206" s="39">
        <v>75.0</v>
      </c>
      <c r="P206" s="37">
        <v>0.0</v>
      </c>
      <c r="Q206" s="64"/>
      <c r="R206" s="64"/>
      <c r="S206" s="64"/>
      <c r="T206" s="64"/>
      <c r="U206" s="64"/>
      <c r="V206" s="64"/>
      <c r="W206" s="64"/>
      <c r="X206" s="64"/>
      <c r="Y206" s="64"/>
      <c r="Z206" s="64"/>
      <c r="AA206" s="64"/>
      <c r="AJ206" s="37">
        <v>0.0</v>
      </c>
      <c r="AK206" s="37">
        <v>0.0</v>
      </c>
      <c r="AL206" s="37">
        <v>75.0</v>
      </c>
      <c r="AM206" s="37">
        <v>25.0</v>
      </c>
      <c r="AN206" s="37">
        <v>25.0</v>
      </c>
      <c r="AO206" s="37">
        <v>0.0</v>
      </c>
      <c r="AP206" s="37">
        <v>0.0</v>
      </c>
      <c r="AQ206" s="37">
        <v>0.0</v>
      </c>
      <c r="AR206" s="37">
        <v>50.0</v>
      </c>
      <c r="AS206" s="37">
        <v>0.0</v>
      </c>
      <c r="AT206" s="37">
        <v>0.0</v>
      </c>
      <c r="AU206" s="37">
        <v>0.0</v>
      </c>
      <c r="AV206" s="37">
        <v>0.0</v>
      </c>
      <c r="AW206" s="37">
        <v>0.0</v>
      </c>
      <c r="AX206" s="37">
        <v>0.0</v>
      </c>
      <c r="AY206" s="37">
        <v>0.0</v>
      </c>
      <c r="AZ206" s="37">
        <v>50.0</v>
      </c>
      <c r="BA206" s="39"/>
      <c r="BB206" s="39"/>
      <c r="BC206" s="39"/>
      <c r="BD206" s="39"/>
      <c r="BE206" s="39"/>
      <c r="BF206" s="39"/>
      <c r="BG206" s="37" t="str">
        <f t="array" ref="BG206">IF($A206="","",IFERROR(INDEX(CS!$B$1:$B$15025,MATCH($A206,CS!$B:$B,0)+COLUMN(A$1),1),""))</f>
        <v/>
      </c>
      <c r="BH206" s="37" t="str">
        <f t="array" ref="BH206">IF($A206="","",IFERROR(INDEX(CS!$B$1:$B$15025,MATCH($A206,CS!$B:$B,0)+COLUMN(B$1),1),""))</f>
        <v/>
      </c>
      <c r="BI206" s="37" t="str">
        <f t="array" ref="BI206">IF($A206="","",IFERROR(INDEX(CS!$B$1:$B$15025,MATCH($A206,CS!$B:$B,0)+COLUMN(C$1),1),""))</f>
        <v/>
      </c>
      <c r="BJ206" s="37" t="str">
        <f t="array" ref="BJ206">IF($A206="","",IFERROR(INDEX(CS!$B$1:$B$15025,MATCH($A206,CS!$B:$B,0)+COLUMN(D$1),1),""))</f>
        <v/>
      </c>
      <c r="BK206" s="37" t="str">
        <f t="array" ref="BK206">IF($A206="","",IFERROR(INDEX(CS!$B$1:$B$15025,MATCH($A206,CS!$B:$B,0)+COLUMN(E$1),1),""))</f>
        <v/>
      </c>
      <c r="BL206" s="37" t="str">
        <f t="array" ref="BL206">IF($A206="","",IFERROR(INDEX(CS!$B$1:$B$15025,MATCH($A206,CS!$B:$B,0)+COLUMN(F$1),1),""))</f>
        <v/>
      </c>
      <c r="BM206" s="37" t="str">
        <f t="array" ref="BM206">IF($A206="","",IFERROR(INDEX(CS!$B$1:$B$15025,MATCH($A206,CS!$B:$B,0)+COLUMN(G$1),1),""))</f>
        <v/>
      </c>
      <c r="BN206" s="37" t="str">
        <f t="array" ref="BN206">IF($A206="","",IFERROR(INDEX(CS!$B$1:$B$15025,MATCH($A206,CS!$B:$B,0)+COLUMN(H$1),1),""))</f>
        <v/>
      </c>
      <c r="BO206" s="37" t="str">
        <f t="array" ref="BO206">IF($A206="","",IFERROR(INDEX(CS!$B$1:$B$15025,MATCH($A206,CS!$B:$B,0)+COLUMN(I$1),1),""))</f>
        <v/>
      </c>
      <c r="BP206" s="37" t="str">
        <f t="array" ref="BP206">IF($A206="","",IFERROR(INDEX(CS!$B$1:$B$15025,MATCH($A206,CS!$B:$B,0)+COLUMN(J$1),1),""))</f>
        <v/>
      </c>
      <c r="BR206" s="39" t="s">
        <v>2884</v>
      </c>
      <c r="BS206" s="74"/>
      <c r="CG206" s="37" t="s">
        <v>2823</v>
      </c>
      <c r="CI206" s="37" t="s">
        <v>2808</v>
      </c>
      <c r="CJ206" s="37" t="s">
        <v>2819</v>
      </c>
      <c r="CK206" s="37" t="s">
        <v>2802</v>
      </c>
      <c r="CN206" s="37" t="s">
        <v>2821</v>
      </c>
      <c r="CQ206" s="37"/>
      <c r="CR206" s="37"/>
    </row>
    <row r="207" ht="18.75" customHeight="1" outlineLevel="1">
      <c r="A207" s="39" t="s">
        <v>2519</v>
      </c>
      <c r="B207" s="71"/>
      <c r="C207" s="39" t="s">
        <v>2826</v>
      </c>
      <c r="D207" s="72" t="str">
        <f t="shared" si="9"/>
        <v>785/535/250</v>
      </c>
      <c r="E207" s="39">
        <v>4.0</v>
      </c>
      <c r="F207" s="39">
        <v>80.0</v>
      </c>
      <c r="I207" s="39">
        <v>65.0</v>
      </c>
      <c r="J207" s="39">
        <v>80.0</v>
      </c>
      <c r="K207" s="87">
        <v>100.0</v>
      </c>
      <c r="L207" s="39">
        <v>85.0</v>
      </c>
      <c r="M207" s="39">
        <v>50.0</v>
      </c>
      <c r="N207" s="39">
        <v>75.0</v>
      </c>
      <c r="P207" s="37">
        <v>0.0</v>
      </c>
      <c r="Q207" s="64"/>
      <c r="R207" s="64"/>
      <c r="S207" s="64"/>
      <c r="T207" s="64"/>
      <c r="U207" s="64"/>
      <c r="V207" s="64"/>
      <c r="W207" s="64"/>
      <c r="X207" s="64"/>
      <c r="Y207" s="64"/>
      <c r="Z207" s="64"/>
      <c r="AA207" s="64"/>
      <c r="AJ207" s="37">
        <v>0.0</v>
      </c>
      <c r="AK207" s="37">
        <v>0.0</v>
      </c>
      <c r="AL207" s="37">
        <v>75.0</v>
      </c>
      <c r="AM207" s="37">
        <v>25.0</v>
      </c>
      <c r="AN207" s="37">
        <v>25.0</v>
      </c>
      <c r="AO207" s="37">
        <v>0.0</v>
      </c>
      <c r="AP207" s="37">
        <v>0.0</v>
      </c>
      <c r="AQ207" s="37">
        <v>0.0</v>
      </c>
      <c r="AR207" s="37">
        <v>60.0</v>
      </c>
      <c r="AS207" s="37">
        <v>0.0</v>
      </c>
      <c r="AT207" s="37">
        <v>0.0</v>
      </c>
      <c r="AU207" s="37">
        <v>0.0</v>
      </c>
      <c r="AV207" s="37">
        <v>0.0</v>
      </c>
      <c r="AW207" s="37">
        <v>0.0</v>
      </c>
      <c r="AX207" s="37">
        <v>0.0</v>
      </c>
      <c r="AY207" s="37">
        <v>0.0</v>
      </c>
      <c r="AZ207" s="37">
        <v>65.0</v>
      </c>
      <c r="BA207" s="39"/>
      <c r="BB207" s="39"/>
      <c r="BC207" s="39"/>
      <c r="BD207" s="39"/>
      <c r="BE207" s="39"/>
      <c r="BF207" s="39"/>
      <c r="BG207" s="37" t="str">
        <f t="array" ref="BG207">IF($A207="","",IFERROR(INDEX(CS!$B$1:$B$15025,MATCH($A207,CS!$B:$B,0)+COLUMN(A$1),1),""))</f>
        <v>広大な森</v>
      </c>
      <c r="BH207" s="37" t="str">
        <f t="array" ref="BH207">IF($A207="","",IFERROR(INDEX(CS!$B$1:$B$15025,MATCH($A207,CS!$B:$B,0)+COLUMN(B$1),1),""))</f>
        <v>大地震</v>
      </c>
      <c r="BI207" s="37" t="str">
        <f t="array" ref="BI207">IF($A207="","",IFERROR(INDEX(CS!$B$1:$B$15025,MATCH($A207,CS!$B:$B,0)+COLUMN(C$1),1),""))</f>
        <v>大津波</v>
      </c>
      <c r="BJ207" s="37" t="str">
        <f t="array" ref="BJ207">IF($A207="","",IFERROR(INDEX(CS!$B$1:$B$15025,MATCH($A207,CS!$B:$B,0)+COLUMN(D$1),1),""))</f>
        <v/>
      </c>
      <c r="BK207" s="37" t="str">
        <f t="array" ref="BK207">IF($A207="","",IFERROR(INDEX(CS!$B$1:$B$15025,MATCH($A207,CS!$B:$B,0)+COLUMN(E$1),1),""))</f>
        <v>砂界</v>
      </c>
      <c r="BL207" s="37" t="str">
        <f t="array" ref="BL207">IF($A207="","",IFERROR(INDEX(CS!$B$1:$B$15025,MATCH($A207,CS!$B:$B,0)+COLUMN(F$1),1),""))</f>
        <v/>
      </c>
      <c r="BM207" s="37" t="str">
        <f t="array" ref="BM207">IF($A207="","",IFERROR(INDEX(CS!$B$1:$B$15025,MATCH($A207,CS!$B:$B,0)+COLUMN(G$1),1),""))</f>
        <v>極渦</v>
      </c>
      <c r="BN207" s="37" t="str">
        <f t="array" ref="BN207">IF($A207="","",IFERROR(INDEX(CS!$B$1:$B$15025,MATCH($A207,CS!$B:$B,0)+COLUMN(H$1),1),""))</f>
        <v/>
      </c>
      <c r="BO207" s="37" t="str">
        <f t="array" ref="BO207">IF($A207="","",IFERROR(INDEX(CS!$B$1:$B$15025,MATCH($A207,CS!$B:$B,0)+COLUMN(I$1),1),""))</f>
        <v>地底噴火</v>
      </c>
      <c r="BP207" s="37" t="str">
        <f t="array" ref="BP207">IF($A207="","",IFERROR(INDEX(CS!$B$1:$B$15025,MATCH($A207,CS!$B:$B,0)+COLUMN(J$1),1),""))</f>
        <v>原初の理</v>
      </c>
      <c r="BR207" s="39"/>
      <c r="BS207" s="74"/>
      <c r="BU207" s="39" t="s">
        <v>2885</v>
      </c>
      <c r="CG207" s="37" t="s">
        <v>2823</v>
      </c>
      <c r="CI207" s="37" t="s">
        <v>2808</v>
      </c>
      <c r="CJ207" s="37" t="s">
        <v>2819</v>
      </c>
      <c r="CK207" s="37" t="s">
        <v>2802</v>
      </c>
      <c r="CN207" s="37" t="s">
        <v>2821</v>
      </c>
      <c r="CQ207" s="37"/>
      <c r="CR207" s="37"/>
    </row>
    <row r="208" ht="18.75" customHeight="1" outlineLevel="1">
      <c r="A208" s="39" t="s">
        <v>2522</v>
      </c>
      <c r="B208" s="71"/>
      <c r="C208" s="39" t="s">
        <v>2826</v>
      </c>
      <c r="D208" s="72" t="str">
        <f t="shared" si="9"/>
        <v>775/490/285</v>
      </c>
      <c r="E208" s="39">
        <v>3.0</v>
      </c>
      <c r="F208" s="39">
        <v>75.0</v>
      </c>
      <c r="I208" s="39">
        <v>75.0</v>
      </c>
      <c r="J208" s="39">
        <v>60.0</v>
      </c>
      <c r="K208" s="87">
        <v>55.0</v>
      </c>
      <c r="L208" s="39">
        <v>60.0</v>
      </c>
      <c r="M208" s="39">
        <v>75.0</v>
      </c>
      <c r="N208" s="39">
        <v>90.0</v>
      </c>
      <c r="P208" s="37">
        <v>0.0</v>
      </c>
      <c r="Q208" s="64"/>
      <c r="R208" s="64"/>
      <c r="S208" s="64"/>
      <c r="T208" s="64"/>
      <c r="U208" s="64"/>
      <c r="V208" s="64"/>
      <c r="W208" s="64"/>
      <c r="X208" s="64"/>
      <c r="Y208" s="64"/>
      <c r="Z208" s="64"/>
      <c r="AA208" s="64"/>
      <c r="AJ208" s="37">
        <v>0.0</v>
      </c>
      <c r="AK208" s="37">
        <v>15.0</v>
      </c>
      <c r="AL208" s="37">
        <v>40.0</v>
      </c>
      <c r="AM208" s="37">
        <v>45.0</v>
      </c>
      <c r="AN208" s="37">
        <v>25.0</v>
      </c>
      <c r="AO208" s="37">
        <v>0.0</v>
      </c>
      <c r="AP208" s="37">
        <v>0.0</v>
      </c>
      <c r="AQ208" s="37">
        <v>55.0</v>
      </c>
      <c r="AR208" s="37">
        <v>70.0</v>
      </c>
      <c r="AS208" s="37">
        <v>0.0</v>
      </c>
      <c r="AT208" s="37">
        <v>0.0</v>
      </c>
      <c r="AU208" s="37">
        <v>0.0</v>
      </c>
      <c r="AV208" s="37">
        <v>0.0</v>
      </c>
      <c r="AW208" s="37">
        <v>0.0</v>
      </c>
      <c r="AX208" s="37">
        <v>0.0</v>
      </c>
      <c r="AY208" s="37">
        <v>5.0</v>
      </c>
      <c r="AZ208" s="37">
        <v>30.0</v>
      </c>
      <c r="BA208" s="39"/>
      <c r="BB208" s="39"/>
      <c r="BC208" s="39"/>
      <c r="BD208" s="39"/>
      <c r="BE208" s="39"/>
      <c r="BF208" s="39"/>
      <c r="BG208" s="37" t="str">
        <f t="array" ref="BG208">IF($A208="","",IFERROR(INDEX(CS!$B$1:$B$15025,MATCH($A208,CS!$B:$B,0)+COLUMN(A$1),1),""))</f>
        <v/>
      </c>
      <c r="BH208" s="37" t="str">
        <f t="array" ref="BH208">IF($A208="","",IFERROR(INDEX(CS!$B$1:$B$15025,MATCH($A208,CS!$B:$B,0)+COLUMN(B$1),1),""))</f>
        <v/>
      </c>
      <c r="BI208" s="37" t="str">
        <f t="array" ref="BI208">IF($A208="","",IFERROR(INDEX(CS!$B$1:$B$15025,MATCH($A208,CS!$B:$B,0)+COLUMN(C$1),1),""))</f>
        <v/>
      </c>
      <c r="BJ208" s="37" t="str">
        <f t="array" ref="BJ208">IF($A208="","",IFERROR(INDEX(CS!$B$1:$B$15025,MATCH($A208,CS!$B:$B,0)+COLUMN(D$1),1),""))</f>
        <v/>
      </c>
      <c r="BK208" s="37" t="str">
        <f t="array" ref="BK208">IF($A208="","",IFERROR(INDEX(CS!$B$1:$B$15025,MATCH($A208,CS!$B:$B,0)+COLUMN(E$1),1),""))</f>
        <v/>
      </c>
      <c r="BL208" s="37" t="str">
        <f t="array" ref="BL208">IF($A208="","",IFERROR(INDEX(CS!$B$1:$B$15025,MATCH($A208,CS!$B:$B,0)+COLUMN(F$1),1),""))</f>
        <v/>
      </c>
      <c r="BM208" s="37" t="str">
        <f t="array" ref="BM208">IF($A208="","",IFERROR(INDEX(CS!$B$1:$B$15025,MATCH($A208,CS!$B:$B,0)+COLUMN(G$1),1),""))</f>
        <v/>
      </c>
      <c r="BN208" s="37" t="str">
        <f t="array" ref="BN208">IF($A208="","",IFERROR(INDEX(CS!$B$1:$B$15025,MATCH($A208,CS!$B:$B,0)+COLUMN(H$1),1),""))</f>
        <v/>
      </c>
      <c r="BO208" s="37" t="str">
        <f t="array" ref="BO208">IF($A208="","",IFERROR(INDEX(CS!$B$1:$B$15025,MATCH($A208,CS!$B:$B,0)+COLUMN(I$1),1),""))</f>
        <v/>
      </c>
      <c r="BP208" s="37" t="str">
        <f t="array" ref="BP208">IF($A208="","",IFERROR(INDEX(CS!$B$1:$B$15025,MATCH($A208,CS!$B:$B,0)+COLUMN(J$1),1),""))</f>
        <v/>
      </c>
      <c r="BR208" s="39" t="s">
        <v>2886</v>
      </c>
      <c r="BS208" s="74"/>
      <c r="CG208" s="37" t="s">
        <v>2823</v>
      </c>
      <c r="CI208" s="37" t="s">
        <v>2808</v>
      </c>
      <c r="CJ208" s="37" t="s">
        <v>2819</v>
      </c>
      <c r="CK208" s="37" t="s">
        <v>2802</v>
      </c>
      <c r="CN208" s="37" t="s">
        <v>2821</v>
      </c>
      <c r="CQ208" s="37"/>
      <c r="CR208" s="37"/>
    </row>
    <row r="209" ht="18.75" customHeight="1">
      <c r="B209" s="71"/>
      <c r="D209" s="72"/>
      <c r="K209" s="73"/>
      <c r="P209" s="37" t="s">
        <v>29</v>
      </c>
      <c r="Q209" s="64"/>
      <c r="R209" s="64"/>
      <c r="S209" s="64"/>
      <c r="T209" s="64"/>
      <c r="U209" s="64"/>
      <c r="V209" s="64"/>
      <c r="W209" s="64"/>
      <c r="X209" s="64"/>
      <c r="Y209" s="64"/>
      <c r="Z209" s="64"/>
      <c r="AA209" s="64"/>
      <c r="AJ209" s="37" t="s">
        <v>29</v>
      </c>
      <c r="AK209" s="37" t="s">
        <v>29</v>
      </c>
      <c r="AL209" s="37" t="s">
        <v>29</v>
      </c>
      <c r="AM209" s="37" t="s">
        <v>29</v>
      </c>
      <c r="AN209" s="37" t="s">
        <v>29</v>
      </c>
      <c r="AO209" s="37" t="s">
        <v>29</v>
      </c>
      <c r="AP209" s="37" t="s">
        <v>29</v>
      </c>
      <c r="AQ209" s="37" t="s">
        <v>29</v>
      </c>
      <c r="AR209" s="37" t="s">
        <v>29</v>
      </c>
      <c r="AS209" s="37" t="s">
        <v>29</v>
      </c>
      <c r="AT209" s="37" t="s">
        <v>29</v>
      </c>
      <c r="AU209" s="37" t="s">
        <v>29</v>
      </c>
      <c r="AV209" s="37" t="s">
        <v>29</v>
      </c>
      <c r="AW209" s="37" t="s">
        <v>29</v>
      </c>
      <c r="AX209" s="37" t="s">
        <v>29</v>
      </c>
      <c r="AY209" s="37" t="s">
        <v>29</v>
      </c>
      <c r="AZ209" s="37" t="s">
        <v>29</v>
      </c>
      <c r="BG209" s="37" t="str">
        <f t="array" ref="BG209">IF($A209="","", INDEX(CS!$B$1:$B$15025,MATCH($A209,CS!$B:$B,0)+COLUMN(A$1),1))</f>
        <v/>
      </c>
      <c r="BH209" s="37" t="str">
        <f t="array" ref="BH209">IF($A209="","", INDEX(CS!$B$1:$B$15025,MATCH($A209,CS!$B:$B,0)+COLUMN(B$1),1))</f>
        <v/>
      </c>
      <c r="BI209" s="37" t="str">
        <f t="array" ref="BI209">IF($A209="","", INDEX(CS!$B$1:$B$15025,MATCH($A209,CS!$B:$B,0)+COLUMN(C$1),1))</f>
        <v/>
      </c>
      <c r="BJ209" s="37" t="str">
        <f t="array" ref="BJ209">IF($A209="","", INDEX(CS!$B$1:$B$15025,MATCH($A209,CS!$B:$B,0)+COLUMN(D$1),1))</f>
        <v/>
      </c>
      <c r="BK209" s="37" t="str">
        <f t="array" ref="BK209">IF($A209="","", INDEX(CS!$B$1:$B$15025,MATCH($A209,CS!$B:$B,0)+COLUMN(E$1),1))</f>
        <v/>
      </c>
      <c r="BL209" s="37" t="str">
        <f t="array" ref="BL209">IF($A209="","", INDEX(CS!$B$1:$B$15025,MATCH($A209,CS!$B:$B,0)+COLUMN(F$1),1))</f>
        <v/>
      </c>
      <c r="BM209" s="37" t="str">
        <f t="array" ref="BM209">IF($A209="","", INDEX(CS!$B$1:$B$15025,MATCH($A209,CS!$B:$B,0)+COLUMN(G$1),1))</f>
        <v/>
      </c>
      <c r="BN209" s="37" t="str">
        <f t="array" ref="BN209">IF($A209="","", INDEX(CS!$B$1:$B$15025,MATCH($A209,CS!$B:$B,0)+COLUMN(H$1),1))</f>
        <v/>
      </c>
      <c r="BO209" s="37" t="str">
        <f t="array" ref="BO209">IF($A209="","", INDEX(CS!$B$1:$B$15025,MATCH($A209,CS!$B:$B,0)+COLUMN(I$1),1))</f>
        <v/>
      </c>
      <c r="BP209" s="37" t="str">
        <f t="array" ref="BP209">IF($A209="","", INDEX(CS!$B$1:$B$15025,MATCH($A209,CS!$B:$B,0)+COLUMN(J$1),1))</f>
        <v/>
      </c>
      <c r="BS209" s="74"/>
      <c r="CI209" s="37" t="s">
        <v>2828</v>
      </c>
      <c r="CJ209" s="37" t="s">
        <v>2809</v>
      </c>
      <c r="CK209" s="37" t="s">
        <v>2802</v>
      </c>
      <c r="CQ209" s="37"/>
      <c r="CR209" s="37"/>
    </row>
    <row r="210" ht="18.75" customHeight="1">
      <c r="B210" s="85" t="s">
        <v>2887</v>
      </c>
      <c r="D210" s="72" t="str">
        <f t="shared" ref="D210:D218" si="10">SUM(AJ210:AZ210,F210:N210)&amp;"/"&amp;SUM(F210:N210)&amp;"/"&amp;SUM(AJ210:AZ210)</f>
        <v>0/0/0</v>
      </c>
      <c r="E210" s="37">
        <v>1.0</v>
      </c>
      <c r="K210" s="73"/>
      <c r="P210" s="37" t="s">
        <v>29</v>
      </c>
      <c r="Q210" s="64"/>
      <c r="R210" s="64"/>
      <c r="S210" s="64"/>
      <c r="T210" s="64"/>
      <c r="U210" s="64"/>
      <c r="V210" s="64"/>
      <c r="W210" s="64"/>
      <c r="X210" s="64"/>
      <c r="Y210" s="64"/>
      <c r="Z210" s="64"/>
      <c r="AA210" s="64"/>
      <c r="AJ210" s="37" t="s">
        <v>29</v>
      </c>
      <c r="AK210" s="37" t="s">
        <v>29</v>
      </c>
      <c r="AL210" s="37" t="s">
        <v>29</v>
      </c>
      <c r="AM210" s="37" t="s">
        <v>29</v>
      </c>
      <c r="AN210" s="37" t="s">
        <v>29</v>
      </c>
      <c r="AO210" s="37" t="s">
        <v>29</v>
      </c>
      <c r="AP210" s="37" t="s">
        <v>29</v>
      </c>
      <c r="AQ210" s="37" t="s">
        <v>29</v>
      </c>
      <c r="AR210" s="37" t="s">
        <v>29</v>
      </c>
      <c r="AS210" s="37" t="s">
        <v>29</v>
      </c>
      <c r="AT210" s="37" t="s">
        <v>29</v>
      </c>
      <c r="AU210" s="37" t="s">
        <v>29</v>
      </c>
      <c r="AV210" s="37" t="s">
        <v>29</v>
      </c>
      <c r="AW210" s="37" t="s">
        <v>29</v>
      </c>
      <c r="AX210" s="37" t="s">
        <v>29</v>
      </c>
      <c r="AY210" s="37" t="s">
        <v>29</v>
      </c>
      <c r="AZ210" s="37" t="s">
        <v>29</v>
      </c>
      <c r="BG210" s="37" t="str">
        <f t="array" ref="BG210">IF($A210="","", INDEX(CS!$B$1:$B$15025,MATCH($A210,CS!$B:$B,0)+COLUMN(A$1),1))</f>
        <v/>
      </c>
      <c r="BH210" s="37" t="str">
        <f t="array" ref="BH210">IF($A210="","", INDEX(CS!$B$1:$B$15025,MATCH($A210,CS!$B:$B,0)+COLUMN(B$1),1))</f>
        <v/>
      </c>
      <c r="BI210" s="37" t="str">
        <f t="array" ref="BI210">IF($A210="","", INDEX(CS!$B$1:$B$15025,MATCH($A210,CS!$B:$B,0)+COLUMN(C$1),1))</f>
        <v/>
      </c>
      <c r="BJ210" s="37" t="str">
        <f t="array" ref="BJ210">IF($A210="","", INDEX(CS!$B$1:$B$15025,MATCH($A210,CS!$B:$B,0)+COLUMN(D$1),1))</f>
        <v/>
      </c>
      <c r="BK210" s="37" t="str">
        <f t="array" ref="BK210">IF($A210="","", INDEX(CS!$B$1:$B$15025,MATCH($A210,CS!$B:$B,0)+COLUMN(E$1),1))</f>
        <v/>
      </c>
      <c r="BL210" s="37" t="str">
        <f t="array" ref="BL210">IF($A210="","", INDEX(CS!$B$1:$B$15025,MATCH($A210,CS!$B:$B,0)+COLUMN(F$1),1))</f>
        <v/>
      </c>
      <c r="BM210" s="37" t="str">
        <f t="array" ref="BM210">IF($A210="","", INDEX(CS!$B$1:$B$15025,MATCH($A210,CS!$B:$B,0)+COLUMN(G$1),1))</f>
        <v/>
      </c>
      <c r="BN210" s="37" t="str">
        <f t="array" ref="BN210">IF($A210="","", INDEX(CS!$B$1:$B$15025,MATCH($A210,CS!$B:$B,0)+COLUMN(H$1),1))</f>
        <v/>
      </c>
      <c r="BO210" s="37" t="str">
        <f t="array" ref="BO210">IF($A210="","", INDEX(CS!$B$1:$B$15025,MATCH($A210,CS!$B:$B,0)+COLUMN(I$1),1))</f>
        <v/>
      </c>
      <c r="BP210" s="37" t="str">
        <f t="array" ref="BP210">IF($A210="","", INDEX(CS!$B$1:$B$15025,MATCH($A210,CS!$B:$B,0)+COLUMN(J$1),1))</f>
        <v/>
      </c>
      <c r="BS210" s="74"/>
      <c r="CQ210" s="37"/>
      <c r="CR210" s="37"/>
    </row>
    <row r="211" ht="18.75" customHeight="1" outlineLevel="1">
      <c r="A211" s="39" t="s">
        <v>2524</v>
      </c>
      <c r="B211" s="71"/>
      <c r="C211" s="39" t="s">
        <v>2827</v>
      </c>
      <c r="D211" s="72" t="str">
        <f t="shared" si="10"/>
        <v>720/490/230</v>
      </c>
      <c r="E211" s="39">
        <v>2.0</v>
      </c>
      <c r="F211" s="39">
        <v>75.0</v>
      </c>
      <c r="I211" s="39">
        <v>75.0</v>
      </c>
      <c r="J211" s="39">
        <v>75.0</v>
      </c>
      <c r="K211" s="87">
        <v>55.0</v>
      </c>
      <c r="L211" s="39">
        <v>65.0</v>
      </c>
      <c r="M211" s="39">
        <v>65.0</v>
      </c>
      <c r="N211" s="39">
        <v>80.0</v>
      </c>
      <c r="P211" s="37">
        <v>0.0</v>
      </c>
      <c r="Q211" s="64"/>
      <c r="R211" s="64"/>
      <c r="S211" s="64"/>
      <c r="T211" s="64"/>
      <c r="U211" s="64"/>
      <c r="V211" s="64"/>
      <c r="W211" s="64"/>
      <c r="X211" s="64"/>
      <c r="Y211" s="64"/>
      <c r="Z211" s="64"/>
      <c r="AA211" s="64"/>
      <c r="AJ211" s="37">
        <v>25.0</v>
      </c>
      <c r="AK211" s="37">
        <v>0.0</v>
      </c>
      <c r="AL211" s="37">
        <v>25.0</v>
      </c>
      <c r="AM211" s="37">
        <v>25.0</v>
      </c>
      <c r="AN211" s="37">
        <v>25.0</v>
      </c>
      <c r="AO211" s="37">
        <v>0.0</v>
      </c>
      <c r="AP211" s="37">
        <v>0.0</v>
      </c>
      <c r="AQ211" s="37">
        <v>0.0</v>
      </c>
      <c r="AR211" s="37">
        <v>25.0</v>
      </c>
      <c r="AS211" s="37">
        <v>0.0</v>
      </c>
      <c r="AT211" s="37">
        <v>0.0</v>
      </c>
      <c r="AU211" s="37">
        <v>0.0</v>
      </c>
      <c r="AV211" s="37">
        <v>0.0</v>
      </c>
      <c r="AW211" s="37">
        <v>25.0</v>
      </c>
      <c r="AX211" s="37">
        <v>80.0</v>
      </c>
      <c r="AY211" s="37">
        <v>0.0</v>
      </c>
      <c r="AZ211" s="37">
        <v>0.0</v>
      </c>
      <c r="BA211" s="39"/>
      <c r="BB211" s="39"/>
      <c r="BC211" s="39"/>
      <c r="BD211" s="39"/>
      <c r="BE211" s="39"/>
      <c r="BF211" s="39"/>
      <c r="BG211" s="37" t="str">
        <f t="array" ref="BG211">IF($A211="","",IFERROR(INDEX(CS!$B$1:$B$15025,MATCH($A211,CS!$B:$B,0)+COLUMN(A$1),1),""))</f>
        <v>英雄の歌</v>
      </c>
      <c r="BH211" s="37" t="str">
        <f t="array" ref="BH211">IF($A211="","",IFERROR(INDEX(CS!$B$1:$B$15025,MATCH($A211,CS!$B:$B,0)+COLUMN(B$1),1),""))</f>
        <v>破調</v>
      </c>
      <c r="BI211" s="37" t="str">
        <f t="array" ref="BI211">IF($A211="","",IFERROR(INDEX(CS!$B$1:$B$15025,MATCH($A211,CS!$B:$B,0)+COLUMN(C$1),1),""))</f>
        <v>歌唱技術</v>
      </c>
      <c r="BJ211" s="37" t="str">
        <f t="array" ref="BJ211">IF($A211="","",IFERROR(INDEX(CS!$B$1:$B$15025,MATCH($A211,CS!$B:$B,0)+COLUMN(D$1),1),""))</f>
        <v/>
      </c>
      <c r="BK211" s="37" t="str">
        <f t="array" ref="BK211">IF($A211="","",IFERROR(INDEX(CS!$B$1:$B$15025,MATCH($A211,CS!$B:$B,0)+COLUMN(E$1),1),""))</f>
        <v>共鳴障壁</v>
      </c>
      <c r="BL211" s="37" t="str">
        <f t="array" ref="BL211">IF($A211="","",IFERROR(INDEX(CS!$B$1:$B$15025,MATCH($A211,CS!$B:$B,0)+COLUMN(F$1),1),""))</f>
        <v/>
      </c>
      <c r="BM211" s="37" t="str">
        <f t="array" ref="BM211">IF($A211="","",IFERROR(INDEX(CS!$B$1:$B$15025,MATCH($A211,CS!$B:$B,0)+COLUMN(G$1),1),""))</f>
        <v>凱歌</v>
      </c>
      <c r="BN211" s="37" t="str">
        <f t="array" ref="BN211">IF($A211="","",IFERROR(INDEX(CS!$B$1:$B$15025,MATCH($A211,CS!$B:$B,0)+COLUMN(H$1),1),""))</f>
        <v/>
      </c>
      <c r="BO211" s="37" t="str">
        <f t="array" ref="BO211">IF($A211="","",IFERROR(INDEX(CS!$B$1:$B$15025,MATCH($A211,CS!$B:$B,0)+COLUMN(I$1),1),""))</f>
        <v>大喝采</v>
      </c>
      <c r="BP211" s="37" t="str">
        <f t="array" ref="BP211">IF($A211="","",IFERROR(INDEX(CS!$B$1:$B$15025,MATCH($A211,CS!$B:$B,0)+COLUMN(J$1),1),""))</f>
        <v/>
      </c>
      <c r="BR211" s="39" t="s">
        <v>2888</v>
      </c>
      <c r="BS211" s="74"/>
      <c r="CQ211" s="37"/>
      <c r="CR211" s="37"/>
    </row>
    <row r="212" ht="18.75" customHeight="1" outlineLevel="1">
      <c r="A212" s="39" t="s">
        <v>2537</v>
      </c>
      <c r="B212" s="71"/>
      <c r="C212" s="39" t="s">
        <v>2827</v>
      </c>
      <c r="D212" s="72" t="str">
        <f t="shared" si="10"/>
        <v>730/500/230</v>
      </c>
      <c r="E212" s="39">
        <v>3.0</v>
      </c>
      <c r="F212" s="39">
        <v>75.0</v>
      </c>
      <c r="I212" s="39">
        <v>75.0</v>
      </c>
      <c r="J212" s="39">
        <v>75.0</v>
      </c>
      <c r="K212" s="87">
        <v>60.0</v>
      </c>
      <c r="L212" s="39">
        <v>70.0</v>
      </c>
      <c r="M212" s="39">
        <v>65.0</v>
      </c>
      <c r="N212" s="39">
        <v>80.0</v>
      </c>
      <c r="P212" s="37">
        <v>0.0</v>
      </c>
      <c r="Q212" s="64"/>
      <c r="R212" s="64"/>
      <c r="S212" s="64"/>
      <c r="T212" s="64"/>
      <c r="U212" s="64"/>
      <c r="V212" s="64"/>
      <c r="W212" s="64"/>
      <c r="X212" s="64"/>
      <c r="Y212" s="64"/>
      <c r="Z212" s="64"/>
      <c r="AA212" s="64"/>
      <c r="AJ212" s="37">
        <v>25.0</v>
      </c>
      <c r="AK212" s="37">
        <v>0.0</v>
      </c>
      <c r="AL212" s="37">
        <v>25.0</v>
      </c>
      <c r="AM212" s="37">
        <v>25.0</v>
      </c>
      <c r="AN212" s="37">
        <v>25.0</v>
      </c>
      <c r="AO212" s="37">
        <v>0.0</v>
      </c>
      <c r="AP212" s="37">
        <v>0.0</v>
      </c>
      <c r="AQ212" s="37">
        <v>0.0</v>
      </c>
      <c r="AR212" s="37">
        <v>25.0</v>
      </c>
      <c r="AS212" s="37">
        <v>0.0</v>
      </c>
      <c r="AT212" s="37">
        <v>0.0</v>
      </c>
      <c r="AU212" s="37">
        <v>0.0</v>
      </c>
      <c r="AV212" s="37">
        <v>0.0</v>
      </c>
      <c r="AW212" s="37">
        <v>25.0</v>
      </c>
      <c r="AX212" s="37">
        <v>80.0</v>
      </c>
      <c r="AY212" s="37">
        <v>0.0</v>
      </c>
      <c r="AZ212" s="37">
        <v>0.0</v>
      </c>
      <c r="BA212" s="39"/>
      <c r="BB212" s="39"/>
      <c r="BC212" s="39"/>
      <c r="BD212" s="39"/>
      <c r="BE212" s="39"/>
      <c r="BF212" s="39"/>
      <c r="BG212" s="37" t="str">
        <f t="array" ref="BG212">IF($A212="","",IFERROR(INDEX(CS!$B$1:$B$15025,MATCH($A212,CS!$B:$B,0)+COLUMN(A$1),1),""))</f>
        <v/>
      </c>
      <c r="BH212" s="37" t="str">
        <f t="array" ref="BH212">IF($A212="","",IFERROR(INDEX(CS!$B$1:$B$15025,MATCH($A212,CS!$B:$B,0)+COLUMN(B$1),1),""))</f>
        <v/>
      </c>
      <c r="BI212" s="37" t="str">
        <f t="array" ref="BI212">IF($A212="","",IFERROR(INDEX(CS!$B$1:$B$15025,MATCH($A212,CS!$B:$B,0)+COLUMN(C$1),1),""))</f>
        <v/>
      </c>
      <c r="BJ212" s="37" t="str">
        <f t="array" ref="BJ212">IF($A212="","",IFERROR(INDEX(CS!$B$1:$B$15025,MATCH($A212,CS!$B:$B,0)+COLUMN(D$1),1),""))</f>
        <v/>
      </c>
      <c r="BK212" s="37" t="str">
        <f t="array" ref="BK212">IF($A212="","",IFERROR(INDEX(CS!$B$1:$B$15025,MATCH($A212,CS!$B:$B,0)+COLUMN(E$1),1),""))</f>
        <v/>
      </c>
      <c r="BL212" s="37" t="str">
        <f t="array" ref="BL212">IF($A212="","",IFERROR(INDEX(CS!$B$1:$B$15025,MATCH($A212,CS!$B:$B,0)+COLUMN(F$1),1),""))</f>
        <v/>
      </c>
      <c r="BM212" s="37" t="str">
        <f t="array" ref="BM212">IF($A212="","",IFERROR(INDEX(CS!$B$1:$B$15025,MATCH($A212,CS!$B:$B,0)+COLUMN(G$1),1),""))</f>
        <v/>
      </c>
      <c r="BN212" s="37" t="str">
        <f t="array" ref="BN212">IF($A212="","",IFERROR(INDEX(CS!$B$1:$B$15025,MATCH($A212,CS!$B:$B,0)+COLUMN(H$1),1),""))</f>
        <v/>
      </c>
      <c r="BO212" s="37" t="str">
        <f t="array" ref="BO212">IF($A212="","",IFERROR(INDEX(CS!$B$1:$B$15025,MATCH($A212,CS!$B:$B,0)+COLUMN(I$1),1),""))</f>
        <v/>
      </c>
      <c r="BP212" s="37" t="str">
        <f t="array" ref="BP212">IF($A212="","",IFERROR(INDEX(CS!$B$1:$B$15025,MATCH($A212,CS!$B:$B,0)+COLUMN(J$1),1),""))</f>
        <v/>
      </c>
      <c r="BR212" s="39" t="s">
        <v>2889</v>
      </c>
      <c r="BS212" s="74"/>
      <c r="CQ212" s="37"/>
      <c r="CR212" s="37"/>
    </row>
    <row r="213" ht="18.75" customHeight="1" outlineLevel="1">
      <c r="A213" s="39" t="s">
        <v>2538</v>
      </c>
      <c r="B213" s="71"/>
      <c r="C213" s="39" t="s">
        <v>2827</v>
      </c>
      <c r="D213" s="72" t="str">
        <f t="shared" si="10"/>
        <v>730/500/230</v>
      </c>
      <c r="E213" s="39">
        <v>3.0</v>
      </c>
      <c r="F213" s="39">
        <v>75.0</v>
      </c>
      <c r="I213" s="39">
        <v>75.0</v>
      </c>
      <c r="J213" s="39">
        <v>75.0</v>
      </c>
      <c r="K213" s="87">
        <v>60.0</v>
      </c>
      <c r="L213" s="39">
        <v>70.0</v>
      </c>
      <c r="M213" s="39">
        <v>65.0</v>
      </c>
      <c r="N213" s="39">
        <v>80.0</v>
      </c>
      <c r="P213" s="37">
        <v>0.0</v>
      </c>
      <c r="Q213" s="64"/>
      <c r="R213" s="64"/>
      <c r="S213" s="64"/>
      <c r="T213" s="64"/>
      <c r="U213" s="64"/>
      <c r="V213" s="64"/>
      <c r="W213" s="64"/>
      <c r="X213" s="64"/>
      <c r="Y213" s="64"/>
      <c r="Z213" s="64"/>
      <c r="AA213" s="64"/>
      <c r="AJ213" s="37">
        <v>25.0</v>
      </c>
      <c r="AK213" s="37">
        <v>0.0</v>
      </c>
      <c r="AL213" s="37">
        <v>25.0</v>
      </c>
      <c r="AM213" s="37">
        <v>25.0</v>
      </c>
      <c r="AN213" s="37">
        <v>25.0</v>
      </c>
      <c r="AO213" s="37">
        <v>0.0</v>
      </c>
      <c r="AP213" s="37">
        <v>0.0</v>
      </c>
      <c r="AQ213" s="37">
        <v>0.0</v>
      </c>
      <c r="AR213" s="37">
        <v>25.0</v>
      </c>
      <c r="AS213" s="37">
        <v>0.0</v>
      </c>
      <c r="AT213" s="37">
        <v>0.0</v>
      </c>
      <c r="AU213" s="37">
        <v>0.0</v>
      </c>
      <c r="AV213" s="37">
        <v>0.0</v>
      </c>
      <c r="AW213" s="37">
        <v>25.0</v>
      </c>
      <c r="AX213" s="37">
        <v>80.0</v>
      </c>
      <c r="AY213" s="37">
        <v>0.0</v>
      </c>
      <c r="AZ213" s="37">
        <v>0.0</v>
      </c>
      <c r="BA213" s="39"/>
      <c r="BB213" s="39"/>
      <c r="BC213" s="39"/>
      <c r="BD213" s="39"/>
      <c r="BE213" s="39"/>
      <c r="BF213" s="39"/>
      <c r="BG213" s="37" t="str">
        <f t="array" ref="BG213">IF($A213="","",IFERROR(INDEX(CS!$B$1:$B$15025,MATCH($A213,CS!$B:$B,0)+COLUMN(A$1),1),""))</f>
        <v/>
      </c>
      <c r="BH213" s="37" t="str">
        <f t="array" ref="BH213">IF($A213="","",IFERROR(INDEX(CS!$B$1:$B$15025,MATCH($A213,CS!$B:$B,0)+COLUMN(B$1),1),""))</f>
        <v/>
      </c>
      <c r="BI213" s="37" t="str">
        <f t="array" ref="BI213">IF($A213="","",IFERROR(INDEX(CS!$B$1:$B$15025,MATCH($A213,CS!$B:$B,0)+COLUMN(C$1),1),""))</f>
        <v/>
      </c>
      <c r="BJ213" s="37" t="str">
        <f t="array" ref="BJ213">IF($A213="","",IFERROR(INDEX(CS!$B$1:$B$15025,MATCH($A213,CS!$B:$B,0)+COLUMN(D$1),1),""))</f>
        <v/>
      </c>
      <c r="BK213" s="37" t="str">
        <f t="array" ref="BK213">IF($A213="","",IFERROR(INDEX(CS!$B$1:$B$15025,MATCH($A213,CS!$B:$B,0)+COLUMN(E$1),1),""))</f>
        <v/>
      </c>
      <c r="BL213" s="37" t="str">
        <f t="array" ref="BL213">IF($A213="","",IFERROR(INDEX(CS!$B$1:$B$15025,MATCH($A213,CS!$B:$B,0)+COLUMN(F$1),1),""))</f>
        <v/>
      </c>
      <c r="BM213" s="37" t="str">
        <f t="array" ref="BM213">IF($A213="","",IFERROR(INDEX(CS!$B$1:$B$15025,MATCH($A213,CS!$B:$B,0)+COLUMN(G$1),1),""))</f>
        <v/>
      </c>
      <c r="BN213" s="37" t="str">
        <f t="array" ref="BN213">IF($A213="","",IFERROR(INDEX(CS!$B$1:$B$15025,MATCH($A213,CS!$B:$B,0)+COLUMN(H$1),1),""))</f>
        <v/>
      </c>
      <c r="BO213" s="37" t="str">
        <f t="array" ref="BO213">IF($A213="","",IFERROR(INDEX(CS!$B$1:$B$15025,MATCH($A213,CS!$B:$B,0)+COLUMN(I$1),1),""))</f>
        <v/>
      </c>
      <c r="BP213" s="37" t="str">
        <f t="array" ref="BP213">IF($A213="","",IFERROR(INDEX(CS!$B$1:$B$15025,MATCH($A213,CS!$B:$B,0)+COLUMN(J$1),1),""))</f>
        <v/>
      </c>
      <c r="BR213" s="39" t="s">
        <v>2889</v>
      </c>
      <c r="BS213" s="74"/>
      <c r="CQ213" s="37"/>
      <c r="CR213" s="37"/>
    </row>
    <row r="214" ht="18.75" customHeight="1" outlineLevel="1">
      <c r="A214" s="39" t="s">
        <v>2540</v>
      </c>
      <c r="B214" s="71"/>
      <c r="C214" s="39" t="s">
        <v>2827</v>
      </c>
      <c r="D214" s="72" t="str">
        <f t="shared" si="10"/>
        <v>715/485/230</v>
      </c>
      <c r="E214" s="39">
        <v>2.0</v>
      </c>
      <c r="F214" s="39">
        <v>75.0</v>
      </c>
      <c r="I214" s="39">
        <v>75.0</v>
      </c>
      <c r="J214" s="39">
        <v>75.0</v>
      </c>
      <c r="K214" s="87">
        <v>50.0</v>
      </c>
      <c r="L214" s="39">
        <v>65.0</v>
      </c>
      <c r="M214" s="39">
        <v>65.0</v>
      </c>
      <c r="N214" s="39">
        <v>80.0</v>
      </c>
      <c r="P214" s="37">
        <v>0.0</v>
      </c>
      <c r="Q214" s="64"/>
      <c r="R214" s="64"/>
      <c r="S214" s="64"/>
      <c r="T214" s="64"/>
      <c r="U214" s="64"/>
      <c r="V214" s="64"/>
      <c r="W214" s="64"/>
      <c r="X214" s="64"/>
      <c r="Y214" s="64"/>
      <c r="Z214" s="64"/>
      <c r="AA214" s="64"/>
      <c r="AJ214" s="37">
        <v>25.0</v>
      </c>
      <c r="AK214" s="37">
        <v>0.0</v>
      </c>
      <c r="AL214" s="37">
        <v>25.0</v>
      </c>
      <c r="AM214" s="37">
        <v>25.0</v>
      </c>
      <c r="AN214" s="37">
        <v>25.0</v>
      </c>
      <c r="AO214" s="37">
        <v>0.0</v>
      </c>
      <c r="AP214" s="37">
        <v>0.0</v>
      </c>
      <c r="AQ214" s="37">
        <v>0.0</v>
      </c>
      <c r="AR214" s="37">
        <v>25.0</v>
      </c>
      <c r="AS214" s="37">
        <v>0.0</v>
      </c>
      <c r="AT214" s="37">
        <v>0.0</v>
      </c>
      <c r="AU214" s="37">
        <v>0.0</v>
      </c>
      <c r="AV214" s="37">
        <v>0.0</v>
      </c>
      <c r="AW214" s="37">
        <v>25.0</v>
      </c>
      <c r="AX214" s="37">
        <v>80.0</v>
      </c>
      <c r="AY214" s="37">
        <v>0.0</v>
      </c>
      <c r="AZ214" s="37">
        <v>0.0</v>
      </c>
      <c r="BA214" s="39"/>
      <c r="BB214" s="39"/>
      <c r="BC214" s="39"/>
      <c r="BD214" s="39"/>
      <c r="BE214" s="39"/>
      <c r="BF214" s="39"/>
      <c r="BG214" s="37" t="str">
        <f t="array" ref="BG214">IF($A214="","",IFERROR(INDEX(CS!$B$1:$B$15025,MATCH($A214,CS!$B:$B,0)+COLUMN(A$1),1),""))</f>
        <v/>
      </c>
      <c r="BH214" s="37" t="str">
        <f t="array" ref="BH214">IF($A214="","",IFERROR(INDEX(CS!$B$1:$B$15025,MATCH($A214,CS!$B:$B,0)+COLUMN(B$1),1),""))</f>
        <v/>
      </c>
      <c r="BI214" s="37" t="str">
        <f t="array" ref="BI214">IF($A214="","",IFERROR(INDEX(CS!$B$1:$B$15025,MATCH($A214,CS!$B:$B,0)+COLUMN(C$1),1),""))</f>
        <v/>
      </c>
      <c r="BJ214" s="37" t="str">
        <f t="array" ref="BJ214">IF($A214="","",IFERROR(INDEX(CS!$B$1:$B$15025,MATCH($A214,CS!$B:$B,0)+COLUMN(D$1),1),""))</f>
        <v/>
      </c>
      <c r="BK214" s="37" t="str">
        <f t="array" ref="BK214">IF($A214="","",IFERROR(INDEX(CS!$B$1:$B$15025,MATCH($A214,CS!$B:$B,0)+COLUMN(E$1),1),""))</f>
        <v/>
      </c>
      <c r="BL214" s="37" t="str">
        <f t="array" ref="BL214">IF($A214="","",IFERROR(INDEX(CS!$B$1:$B$15025,MATCH($A214,CS!$B:$B,0)+COLUMN(F$1),1),""))</f>
        <v/>
      </c>
      <c r="BM214" s="37" t="str">
        <f t="array" ref="BM214">IF($A214="","",IFERROR(INDEX(CS!$B$1:$B$15025,MATCH($A214,CS!$B:$B,0)+COLUMN(G$1),1),""))</f>
        <v/>
      </c>
      <c r="BN214" s="37" t="str">
        <f t="array" ref="BN214">IF($A214="","",IFERROR(INDEX(CS!$B$1:$B$15025,MATCH($A214,CS!$B:$B,0)+COLUMN(H$1),1),""))</f>
        <v/>
      </c>
      <c r="BO214" s="37" t="str">
        <f t="array" ref="BO214">IF($A214="","",IFERROR(INDEX(CS!$B$1:$B$15025,MATCH($A214,CS!$B:$B,0)+COLUMN(I$1),1),""))</f>
        <v/>
      </c>
      <c r="BP214" s="37" t="str">
        <f t="array" ref="BP214">IF($A214="","",IFERROR(INDEX(CS!$B$1:$B$15025,MATCH($A214,CS!$B:$B,0)+COLUMN(J$1),1),""))</f>
        <v/>
      </c>
      <c r="BR214" s="39" t="s">
        <v>2888</v>
      </c>
      <c r="BS214" s="74"/>
      <c r="CQ214" s="37"/>
      <c r="CR214" s="37"/>
    </row>
    <row r="215" ht="18.75" customHeight="1" outlineLevel="1">
      <c r="A215" s="39" t="s">
        <v>2541</v>
      </c>
      <c r="B215" s="71"/>
      <c r="C215" s="39" t="s">
        <v>2827</v>
      </c>
      <c r="D215" s="72" t="str">
        <f t="shared" si="10"/>
        <v>720/490/230</v>
      </c>
      <c r="E215" s="39">
        <v>3.0</v>
      </c>
      <c r="F215" s="39">
        <v>75.0</v>
      </c>
      <c r="I215" s="39">
        <v>75.0</v>
      </c>
      <c r="J215" s="39">
        <v>75.0</v>
      </c>
      <c r="K215" s="87">
        <v>50.0</v>
      </c>
      <c r="L215" s="39">
        <v>70.0</v>
      </c>
      <c r="M215" s="39">
        <v>65.0</v>
      </c>
      <c r="N215" s="39">
        <v>80.0</v>
      </c>
      <c r="P215" s="37">
        <v>0.0</v>
      </c>
      <c r="Q215" s="64"/>
      <c r="R215" s="64"/>
      <c r="S215" s="64"/>
      <c r="T215" s="64"/>
      <c r="U215" s="64"/>
      <c r="V215" s="64"/>
      <c r="W215" s="64"/>
      <c r="X215" s="64"/>
      <c r="Y215" s="64"/>
      <c r="Z215" s="64"/>
      <c r="AA215" s="64"/>
      <c r="AJ215" s="37">
        <v>25.0</v>
      </c>
      <c r="AK215" s="37">
        <v>0.0</v>
      </c>
      <c r="AL215" s="37">
        <v>25.0</v>
      </c>
      <c r="AM215" s="37">
        <v>25.0</v>
      </c>
      <c r="AN215" s="37">
        <v>25.0</v>
      </c>
      <c r="AO215" s="37">
        <v>0.0</v>
      </c>
      <c r="AP215" s="37">
        <v>0.0</v>
      </c>
      <c r="AQ215" s="37">
        <v>0.0</v>
      </c>
      <c r="AR215" s="37">
        <v>25.0</v>
      </c>
      <c r="AS215" s="37">
        <v>0.0</v>
      </c>
      <c r="AT215" s="37">
        <v>0.0</v>
      </c>
      <c r="AU215" s="37">
        <v>0.0</v>
      </c>
      <c r="AV215" s="37">
        <v>0.0</v>
      </c>
      <c r="AW215" s="37">
        <v>25.0</v>
      </c>
      <c r="AX215" s="37">
        <v>80.0</v>
      </c>
      <c r="AY215" s="37">
        <v>0.0</v>
      </c>
      <c r="AZ215" s="37">
        <v>0.0</v>
      </c>
      <c r="BA215" s="39"/>
      <c r="BB215" s="39"/>
      <c r="BC215" s="39"/>
      <c r="BD215" s="39"/>
      <c r="BE215" s="39"/>
      <c r="BF215" s="39"/>
      <c r="BG215" s="37" t="str">
        <f t="array" ref="BG215">IF($A215="","",IFERROR(INDEX(CS!$B$1:$B$15025,MATCH($A215,CS!$B:$B,0)+COLUMN(A$1),1),""))</f>
        <v/>
      </c>
      <c r="BH215" s="37" t="str">
        <f t="array" ref="BH215">IF($A215="","",IFERROR(INDEX(CS!$B$1:$B$15025,MATCH($A215,CS!$B:$B,0)+COLUMN(B$1),1),""))</f>
        <v/>
      </c>
      <c r="BI215" s="37" t="str">
        <f t="array" ref="BI215">IF($A215="","",IFERROR(INDEX(CS!$B$1:$B$15025,MATCH($A215,CS!$B:$B,0)+COLUMN(C$1),1),""))</f>
        <v/>
      </c>
      <c r="BJ215" s="37" t="str">
        <f t="array" ref="BJ215">IF($A215="","",IFERROR(INDEX(CS!$B$1:$B$15025,MATCH($A215,CS!$B:$B,0)+COLUMN(D$1),1),""))</f>
        <v/>
      </c>
      <c r="BK215" s="37" t="str">
        <f t="array" ref="BK215">IF($A215="","",IFERROR(INDEX(CS!$B$1:$B$15025,MATCH($A215,CS!$B:$B,0)+COLUMN(E$1),1),""))</f>
        <v/>
      </c>
      <c r="BL215" s="37" t="str">
        <f t="array" ref="BL215">IF($A215="","",IFERROR(INDEX(CS!$B$1:$B$15025,MATCH($A215,CS!$B:$B,0)+COLUMN(F$1),1),""))</f>
        <v/>
      </c>
      <c r="BM215" s="37" t="str">
        <f t="array" ref="BM215">IF($A215="","",IFERROR(INDEX(CS!$B$1:$B$15025,MATCH($A215,CS!$B:$B,0)+COLUMN(G$1),1),""))</f>
        <v/>
      </c>
      <c r="BN215" s="37" t="str">
        <f t="array" ref="BN215">IF($A215="","",IFERROR(INDEX(CS!$B$1:$B$15025,MATCH($A215,CS!$B:$B,0)+COLUMN(H$1),1),""))</f>
        <v/>
      </c>
      <c r="BO215" s="37" t="str">
        <f t="array" ref="BO215">IF($A215="","",IFERROR(INDEX(CS!$B$1:$B$15025,MATCH($A215,CS!$B:$B,0)+COLUMN(I$1),1),""))</f>
        <v/>
      </c>
      <c r="BP215" s="37" t="str">
        <f t="array" ref="BP215">IF($A215="","",IFERROR(INDEX(CS!$B$1:$B$15025,MATCH($A215,CS!$B:$B,0)+COLUMN(J$1),1),""))</f>
        <v/>
      </c>
      <c r="BR215" s="39" t="s">
        <v>2890</v>
      </c>
      <c r="BS215" s="74"/>
      <c r="CQ215" s="37"/>
      <c r="CR215" s="37"/>
    </row>
    <row r="216" ht="18.75" customHeight="1" outlineLevel="1">
      <c r="A216" s="39" t="s">
        <v>2543</v>
      </c>
      <c r="B216" s="71"/>
      <c r="C216" s="39" t="s">
        <v>2827</v>
      </c>
      <c r="D216" s="72" t="str">
        <f t="shared" si="10"/>
        <v>720/490/230</v>
      </c>
      <c r="E216" s="39">
        <v>2.0</v>
      </c>
      <c r="F216" s="39">
        <v>75.0</v>
      </c>
      <c r="I216" s="39">
        <v>75.0</v>
      </c>
      <c r="J216" s="39">
        <v>75.0</v>
      </c>
      <c r="K216" s="87">
        <v>50.0</v>
      </c>
      <c r="L216" s="39">
        <v>60.0</v>
      </c>
      <c r="M216" s="39">
        <v>70.0</v>
      </c>
      <c r="N216" s="39">
        <v>85.0</v>
      </c>
      <c r="P216" s="37">
        <v>0.0</v>
      </c>
      <c r="Q216" s="64"/>
      <c r="R216" s="64"/>
      <c r="S216" s="64"/>
      <c r="T216" s="64"/>
      <c r="U216" s="64"/>
      <c r="V216" s="64"/>
      <c r="W216" s="64"/>
      <c r="X216" s="64"/>
      <c r="Y216" s="64"/>
      <c r="Z216" s="64"/>
      <c r="AA216" s="64"/>
      <c r="AJ216" s="37">
        <v>25.0</v>
      </c>
      <c r="AK216" s="37">
        <v>0.0</v>
      </c>
      <c r="AL216" s="37">
        <v>25.0</v>
      </c>
      <c r="AM216" s="37">
        <v>25.0</v>
      </c>
      <c r="AN216" s="37">
        <v>25.0</v>
      </c>
      <c r="AO216" s="37">
        <v>0.0</v>
      </c>
      <c r="AP216" s="37">
        <v>0.0</v>
      </c>
      <c r="AQ216" s="37">
        <v>0.0</v>
      </c>
      <c r="AR216" s="37">
        <v>25.0</v>
      </c>
      <c r="AS216" s="37">
        <v>0.0</v>
      </c>
      <c r="AT216" s="37">
        <v>0.0</v>
      </c>
      <c r="AU216" s="37">
        <v>0.0</v>
      </c>
      <c r="AV216" s="37">
        <v>0.0</v>
      </c>
      <c r="AW216" s="37">
        <v>25.0</v>
      </c>
      <c r="AX216" s="37">
        <v>80.0</v>
      </c>
      <c r="AY216" s="37">
        <v>0.0</v>
      </c>
      <c r="AZ216" s="37">
        <v>0.0</v>
      </c>
      <c r="BA216" s="39"/>
      <c r="BB216" s="39"/>
      <c r="BC216" s="39"/>
      <c r="BD216" s="39"/>
      <c r="BE216" s="39"/>
      <c r="BF216" s="39"/>
      <c r="BG216" s="37" t="str">
        <f t="array" ref="BG216">IF($A216="","",IFERROR(INDEX(CS!$B$1:$B$15025,MATCH($A216,CS!$B:$B,0)+COLUMN(A$1),1),""))</f>
        <v/>
      </c>
      <c r="BH216" s="37" t="str">
        <f t="array" ref="BH216">IF($A216="","",IFERROR(INDEX(CS!$B$1:$B$15025,MATCH($A216,CS!$B:$B,0)+COLUMN(B$1),1),""))</f>
        <v/>
      </c>
      <c r="BI216" s="37" t="str">
        <f t="array" ref="BI216">IF($A216="","",IFERROR(INDEX(CS!$B$1:$B$15025,MATCH($A216,CS!$B:$B,0)+COLUMN(C$1),1),""))</f>
        <v/>
      </c>
      <c r="BJ216" s="37" t="str">
        <f t="array" ref="BJ216">IF($A216="","",IFERROR(INDEX(CS!$B$1:$B$15025,MATCH($A216,CS!$B:$B,0)+COLUMN(D$1),1),""))</f>
        <v/>
      </c>
      <c r="BK216" s="37" t="str">
        <f t="array" ref="BK216">IF($A216="","",IFERROR(INDEX(CS!$B$1:$B$15025,MATCH($A216,CS!$B:$B,0)+COLUMN(E$1),1),""))</f>
        <v/>
      </c>
      <c r="BL216" s="37" t="str">
        <f t="array" ref="BL216">IF($A216="","",IFERROR(INDEX(CS!$B$1:$B$15025,MATCH($A216,CS!$B:$B,0)+COLUMN(F$1),1),""))</f>
        <v/>
      </c>
      <c r="BM216" s="37" t="str">
        <f t="array" ref="BM216">IF($A216="","",IFERROR(INDEX(CS!$B$1:$B$15025,MATCH($A216,CS!$B:$B,0)+COLUMN(G$1),1),""))</f>
        <v/>
      </c>
      <c r="BN216" s="37" t="str">
        <f t="array" ref="BN216">IF($A216="","",IFERROR(INDEX(CS!$B$1:$B$15025,MATCH($A216,CS!$B:$B,0)+COLUMN(H$1),1),""))</f>
        <v/>
      </c>
      <c r="BO216" s="37" t="str">
        <f t="array" ref="BO216">IF($A216="","",IFERROR(INDEX(CS!$B$1:$B$15025,MATCH($A216,CS!$B:$B,0)+COLUMN(I$1),1),""))</f>
        <v/>
      </c>
      <c r="BP216" s="37" t="str">
        <f t="array" ref="BP216">IF($A216="","",IFERROR(INDEX(CS!$B$1:$B$15025,MATCH($A216,CS!$B:$B,0)+COLUMN(J$1),1),""))</f>
        <v/>
      </c>
      <c r="BR216" s="39" t="s">
        <v>2888</v>
      </c>
      <c r="BS216" s="74"/>
      <c r="CQ216" s="37"/>
      <c r="CR216" s="37"/>
    </row>
    <row r="217" ht="18.75" customHeight="1" outlineLevel="1">
      <c r="A217" s="39" t="s">
        <v>2544</v>
      </c>
      <c r="B217" s="71"/>
      <c r="C217" s="39" t="s">
        <v>2827</v>
      </c>
      <c r="D217" s="72" t="str">
        <f t="shared" si="10"/>
        <v>730/500/230</v>
      </c>
      <c r="E217" s="39">
        <v>3.0</v>
      </c>
      <c r="F217" s="39">
        <v>75.0</v>
      </c>
      <c r="I217" s="39">
        <v>75.0</v>
      </c>
      <c r="J217" s="39">
        <v>75.0</v>
      </c>
      <c r="K217" s="87">
        <v>50.0</v>
      </c>
      <c r="L217" s="39">
        <v>60.0</v>
      </c>
      <c r="M217" s="39">
        <v>75.0</v>
      </c>
      <c r="N217" s="39">
        <v>90.0</v>
      </c>
      <c r="P217" s="37">
        <v>0.0</v>
      </c>
      <c r="Q217" s="64"/>
      <c r="R217" s="64"/>
      <c r="S217" s="64"/>
      <c r="T217" s="64"/>
      <c r="U217" s="64"/>
      <c r="V217" s="64"/>
      <c r="W217" s="64"/>
      <c r="X217" s="64"/>
      <c r="Y217" s="64"/>
      <c r="Z217" s="64"/>
      <c r="AA217" s="64"/>
      <c r="AJ217" s="37">
        <v>25.0</v>
      </c>
      <c r="AK217" s="37">
        <v>0.0</v>
      </c>
      <c r="AL217" s="37">
        <v>25.0</v>
      </c>
      <c r="AM217" s="37">
        <v>25.0</v>
      </c>
      <c r="AN217" s="37">
        <v>25.0</v>
      </c>
      <c r="AO217" s="37">
        <v>0.0</v>
      </c>
      <c r="AP217" s="37">
        <v>0.0</v>
      </c>
      <c r="AQ217" s="37">
        <v>0.0</v>
      </c>
      <c r="AR217" s="37">
        <v>25.0</v>
      </c>
      <c r="AS217" s="37">
        <v>0.0</v>
      </c>
      <c r="AT217" s="37">
        <v>0.0</v>
      </c>
      <c r="AU217" s="37">
        <v>0.0</v>
      </c>
      <c r="AV217" s="37">
        <v>0.0</v>
      </c>
      <c r="AW217" s="37">
        <v>25.0</v>
      </c>
      <c r="AX217" s="37">
        <v>80.0</v>
      </c>
      <c r="AY217" s="37">
        <v>0.0</v>
      </c>
      <c r="AZ217" s="37">
        <v>0.0</v>
      </c>
      <c r="BA217" s="39"/>
      <c r="BB217" s="39"/>
      <c r="BC217" s="39"/>
      <c r="BD217" s="39"/>
      <c r="BE217" s="39"/>
      <c r="BF217" s="39"/>
      <c r="BG217" s="37" t="str">
        <f t="array" ref="BG217">IF($A217="","",IFERROR(INDEX(CS!$B$1:$B$15025,MATCH($A217,CS!$B:$B,0)+COLUMN(A$1),1),""))</f>
        <v/>
      </c>
      <c r="BH217" s="37" t="str">
        <f t="array" ref="BH217">IF($A217="","",IFERROR(INDEX(CS!$B$1:$B$15025,MATCH($A217,CS!$B:$B,0)+COLUMN(B$1),1),""))</f>
        <v/>
      </c>
      <c r="BI217" s="37" t="str">
        <f t="array" ref="BI217">IF($A217="","",IFERROR(INDEX(CS!$B$1:$B$15025,MATCH($A217,CS!$B:$B,0)+COLUMN(C$1),1),""))</f>
        <v/>
      </c>
      <c r="BJ217" s="37" t="str">
        <f t="array" ref="BJ217">IF($A217="","",IFERROR(INDEX(CS!$B$1:$B$15025,MATCH($A217,CS!$B:$B,0)+COLUMN(D$1),1),""))</f>
        <v/>
      </c>
      <c r="BK217" s="37" t="str">
        <f t="array" ref="BK217">IF($A217="","",IFERROR(INDEX(CS!$B$1:$B$15025,MATCH($A217,CS!$B:$B,0)+COLUMN(E$1),1),""))</f>
        <v/>
      </c>
      <c r="BL217" s="37" t="str">
        <f t="array" ref="BL217">IF($A217="","",IFERROR(INDEX(CS!$B$1:$B$15025,MATCH($A217,CS!$B:$B,0)+COLUMN(F$1),1),""))</f>
        <v/>
      </c>
      <c r="BM217" s="37" t="str">
        <f t="array" ref="BM217">IF($A217="","",IFERROR(INDEX(CS!$B$1:$B$15025,MATCH($A217,CS!$B:$B,0)+COLUMN(G$1),1),""))</f>
        <v/>
      </c>
      <c r="BN217" s="37" t="str">
        <f t="array" ref="BN217">IF($A217="","",IFERROR(INDEX(CS!$B$1:$B$15025,MATCH($A217,CS!$B:$B,0)+COLUMN(H$1),1),""))</f>
        <v/>
      </c>
      <c r="BO217" s="37" t="str">
        <f t="array" ref="BO217">IF($A217="","",IFERROR(INDEX(CS!$B$1:$B$15025,MATCH($A217,CS!$B:$B,0)+COLUMN(I$1),1),""))</f>
        <v/>
      </c>
      <c r="BP217" s="37" t="str">
        <f t="array" ref="BP217">IF($A217="","",IFERROR(INDEX(CS!$B$1:$B$15025,MATCH($A217,CS!$B:$B,0)+COLUMN(J$1),1),""))</f>
        <v/>
      </c>
      <c r="BR217" s="39" t="s">
        <v>2891</v>
      </c>
      <c r="BS217" s="74"/>
      <c r="CQ217" s="37"/>
      <c r="CR217" s="37"/>
    </row>
    <row r="218" ht="18.75" customHeight="1" outlineLevel="1">
      <c r="A218" s="39" t="s">
        <v>2545</v>
      </c>
      <c r="B218" s="71"/>
      <c r="C218" s="39" t="s">
        <v>2827</v>
      </c>
      <c r="D218" s="72" t="str">
        <f t="shared" si="10"/>
        <v>760/505/255</v>
      </c>
      <c r="E218" s="39">
        <v>3.0</v>
      </c>
      <c r="F218" s="39">
        <v>75.0</v>
      </c>
      <c r="I218" s="39">
        <v>75.0</v>
      </c>
      <c r="J218" s="39">
        <v>75.0</v>
      </c>
      <c r="K218" s="87">
        <v>60.0</v>
      </c>
      <c r="L218" s="39">
        <v>70.0</v>
      </c>
      <c r="M218" s="39">
        <v>70.0</v>
      </c>
      <c r="N218" s="39">
        <v>80.0</v>
      </c>
      <c r="P218" s="37">
        <v>0.0</v>
      </c>
      <c r="Q218" s="64"/>
      <c r="R218" s="64"/>
      <c r="S218" s="64"/>
      <c r="T218" s="64"/>
      <c r="U218" s="64"/>
      <c r="V218" s="64"/>
      <c r="W218" s="64"/>
      <c r="X218" s="64"/>
      <c r="Y218" s="64"/>
      <c r="Z218" s="64"/>
      <c r="AA218" s="64"/>
      <c r="AJ218" s="37">
        <v>10.0</v>
      </c>
      <c r="AK218" s="37">
        <v>0.0</v>
      </c>
      <c r="AL218" s="37">
        <v>40.0</v>
      </c>
      <c r="AM218" s="37">
        <v>25.0</v>
      </c>
      <c r="AN218" s="37">
        <v>25.0</v>
      </c>
      <c r="AO218" s="37">
        <v>0.0</v>
      </c>
      <c r="AP218" s="37">
        <v>0.0</v>
      </c>
      <c r="AQ218" s="37">
        <v>40.0</v>
      </c>
      <c r="AR218" s="37">
        <v>45.0</v>
      </c>
      <c r="AS218" s="37">
        <v>0.0</v>
      </c>
      <c r="AT218" s="37">
        <v>0.0</v>
      </c>
      <c r="AU218" s="37">
        <v>0.0</v>
      </c>
      <c r="AV218" s="37">
        <v>0.0</v>
      </c>
      <c r="AW218" s="37">
        <v>25.0</v>
      </c>
      <c r="AX218" s="37">
        <v>-5.0</v>
      </c>
      <c r="AY218" s="37">
        <v>0.0</v>
      </c>
      <c r="AZ218" s="37">
        <v>50.0</v>
      </c>
      <c r="BA218" s="39"/>
      <c r="BB218" s="39"/>
      <c r="BC218" s="39"/>
      <c r="BD218" s="39"/>
      <c r="BE218" s="39"/>
      <c r="BF218" s="39"/>
      <c r="BG218" s="37" t="str">
        <f t="array" ref="BG218">IF($A218="","",IFERROR(INDEX(CS!$B$1:$B$15025,MATCH($A218,CS!$B:$B,0)+COLUMN(A$1),1),""))</f>
        <v/>
      </c>
      <c r="BH218" s="37" t="str">
        <f t="array" ref="BH218">IF($A218="","",IFERROR(INDEX(CS!$B$1:$B$15025,MATCH($A218,CS!$B:$B,0)+COLUMN(B$1),1),""))</f>
        <v/>
      </c>
      <c r="BI218" s="37" t="str">
        <f t="array" ref="BI218">IF($A218="","",IFERROR(INDEX(CS!$B$1:$B$15025,MATCH($A218,CS!$B:$B,0)+COLUMN(C$1),1),""))</f>
        <v/>
      </c>
      <c r="BJ218" s="37" t="str">
        <f t="array" ref="BJ218">IF($A218="","",IFERROR(INDEX(CS!$B$1:$B$15025,MATCH($A218,CS!$B:$B,0)+COLUMN(D$1),1),""))</f>
        <v/>
      </c>
      <c r="BK218" s="37" t="str">
        <f t="array" ref="BK218">IF($A218="","",IFERROR(INDEX(CS!$B$1:$B$15025,MATCH($A218,CS!$B:$B,0)+COLUMN(E$1),1),""))</f>
        <v/>
      </c>
      <c r="BL218" s="37" t="str">
        <f t="array" ref="BL218">IF($A218="","",IFERROR(INDEX(CS!$B$1:$B$15025,MATCH($A218,CS!$B:$B,0)+COLUMN(F$1),1),""))</f>
        <v/>
      </c>
      <c r="BM218" s="37" t="str">
        <f t="array" ref="BM218">IF($A218="","",IFERROR(INDEX(CS!$B$1:$B$15025,MATCH($A218,CS!$B:$B,0)+COLUMN(G$1),1),""))</f>
        <v/>
      </c>
      <c r="BN218" s="37" t="str">
        <f t="array" ref="BN218">IF($A218="","",IFERROR(INDEX(CS!$B$1:$B$15025,MATCH($A218,CS!$B:$B,0)+COLUMN(H$1),1),""))</f>
        <v/>
      </c>
      <c r="BO218" s="37" t="str">
        <f t="array" ref="BO218">IF($A218="","",IFERROR(INDEX(CS!$B$1:$B$15025,MATCH($A218,CS!$B:$B,0)+COLUMN(I$1),1),""))</f>
        <v/>
      </c>
      <c r="BP218" s="37" t="str">
        <f t="array" ref="BP218">IF($A218="","",IFERROR(INDEX(CS!$B$1:$B$15025,MATCH($A218,CS!$B:$B,0)+COLUMN(J$1),1),""))</f>
        <v/>
      </c>
      <c r="BR218" s="39"/>
      <c r="BS218" s="74"/>
      <c r="BU218" s="39" t="s">
        <v>2892</v>
      </c>
      <c r="CQ218" s="37"/>
      <c r="CR218" s="37"/>
    </row>
    <row r="219" ht="18.75" customHeight="1">
      <c r="B219" s="71"/>
      <c r="D219" s="72"/>
      <c r="K219" s="73"/>
      <c r="P219" s="37" t="s">
        <v>29</v>
      </c>
      <c r="Q219" s="64"/>
      <c r="R219" s="64"/>
      <c r="S219" s="64"/>
      <c r="T219" s="64"/>
      <c r="U219" s="64"/>
      <c r="V219" s="64"/>
      <c r="W219" s="64"/>
      <c r="X219" s="64"/>
      <c r="Y219" s="64"/>
      <c r="Z219" s="64"/>
      <c r="AA219" s="64"/>
      <c r="AJ219" s="37" t="s">
        <v>29</v>
      </c>
      <c r="AK219" s="37" t="s">
        <v>29</v>
      </c>
      <c r="AL219" s="37" t="s">
        <v>29</v>
      </c>
      <c r="AM219" s="37" t="s">
        <v>29</v>
      </c>
      <c r="AN219" s="37" t="s">
        <v>29</v>
      </c>
      <c r="AO219" s="37" t="s">
        <v>29</v>
      </c>
      <c r="AP219" s="37" t="s">
        <v>29</v>
      </c>
      <c r="AQ219" s="37" t="s">
        <v>29</v>
      </c>
      <c r="AR219" s="37" t="s">
        <v>29</v>
      </c>
      <c r="AS219" s="37" t="s">
        <v>29</v>
      </c>
      <c r="AT219" s="37" t="s">
        <v>29</v>
      </c>
      <c r="AU219" s="37" t="s">
        <v>29</v>
      </c>
      <c r="AV219" s="37" t="s">
        <v>29</v>
      </c>
      <c r="AW219" s="37" t="s">
        <v>29</v>
      </c>
      <c r="AX219" s="37" t="s">
        <v>29</v>
      </c>
      <c r="AY219" s="37" t="s">
        <v>29</v>
      </c>
      <c r="AZ219" s="37" t="s">
        <v>29</v>
      </c>
      <c r="BG219" s="37" t="str">
        <f t="array" ref="BG219">IF($A219="","", INDEX(CS!$B$1:$B$15025,MATCH($A219,CS!$B:$B,0)+COLUMN(A$1),1))</f>
        <v/>
      </c>
      <c r="BH219" s="37" t="str">
        <f t="array" ref="BH219">IF($A219="","", INDEX(CS!$B$1:$B$15025,MATCH($A219,CS!$B:$B,0)+COLUMN(B$1),1))</f>
        <v/>
      </c>
      <c r="BI219" s="37" t="str">
        <f t="array" ref="BI219">IF($A219="","", INDEX(CS!$B$1:$B$15025,MATCH($A219,CS!$B:$B,0)+COLUMN(C$1),1))</f>
        <v/>
      </c>
      <c r="BJ219" s="37" t="str">
        <f t="array" ref="BJ219">IF($A219="","", INDEX(CS!$B$1:$B$15025,MATCH($A219,CS!$B:$B,0)+COLUMN(D$1),1))</f>
        <v/>
      </c>
      <c r="BK219" s="37" t="str">
        <f t="array" ref="BK219">IF($A219="","", INDEX(CS!$B$1:$B$15025,MATCH($A219,CS!$B:$B,0)+COLUMN(E$1),1))</f>
        <v/>
      </c>
      <c r="BL219" s="37" t="str">
        <f t="array" ref="BL219">IF($A219="","", INDEX(CS!$B$1:$B$15025,MATCH($A219,CS!$B:$B,0)+COLUMN(F$1),1))</f>
        <v/>
      </c>
      <c r="BM219" s="37" t="str">
        <f t="array" ref="BM219">IF($A219="","", INDEX(CS!$B$1:$B$15025,MATCH($A219,CS!$B:$B,0)+COLUMN(G$1),1))</f>
        <v/>
      </c>
      <c r="BN219" s="37" t="str">
        <f t="array" ref="BN219">IF($A219="","", INDEX(CS!$B$1:$B$15025,MATCH($A219,CS!$B:$B,0)+COLUMN(H$1),1))</f>
        <v/>
      </c>
      <c r="BO219" s="37" t="str">
        <f t="array" ref="BO219">IF($A219="","", INDEX(CS!$B$1:$B$15025,MATCH($A219,CS!$B:$B,0)+COLUMN(I$1),1))</f>
        <v/>
      </c>
      <c r="BP219" s="37" t="str">
        <f t="array" ref="BP219">IF($A219="","", INDEX(CS!$B$1:$B$15025,MATCH($A219,CS!$B:$B,0)+COLUMN(J$1),1))</f>
        <v/>
      </c>
      <c r="BS219" s="74"/>
      <c r="CI219" s="37" t="s">
        <v>2828</v>
      </c>
      <c r="CJ219" s="37" t="s">
        <v>2809</v>
      </c>
      <c r="CK219" s="37" t="s">
        <v>2802</v>
      </c>
      <c r="CQ219" s="37"/>
      <c r="CR219" s="37"/>
    </row>
    <row r="220" ht="18.75" customHeight="1">
      <c r="B220" s="85" t="s">
        <v>2893</v>
      </c>
      <c r="D220" s="72" t="str">
        <f t="shared" ref="D220:D230" si="11">SUM(AJ220:AZ220,F220:N220)&amp;"/"&amp;SUM(F220:N220)&amp;"/"&amp;SUM(AJ220:AZ220)</f>
        <v>0/0/0</v>
      </c>
      <c r="E220" s="37">
        <v>1.0</v>
      </c>
      <c r="K220" s="73"/>
      <c r="P220" s="37" t="s">
        <v>29</v>
      </c>
      <c r="Q220" s="64"/>
      <c r="R220" s="64"/>
      <c r="S220" s="64"/>
      <c r="T220" s="64"/>
      <c r="U220" s="64"/>
      <c r="V220" s="64"/>
      <c r="W220" s="64"/>
      <c r="X220" s="64"/>
      <c r="Y220" s="64"/>
      <c r="Z220" s="64"/>
      <c r="AA220" s="64"/>
      <c r="AJ220" s="37" t="s">
        <v>29</v>
      </c>
      <c r="AK220" s="37" t="s">
        <v>29</v>
      </c>
      <c r="AL220" s="37" t="s">
        <v>29</v>
      </c>
      <c r="AM220" s="37" t="s">
        <v>29</v>
      </c>
      <c r="AN220" s="37" t="s">
        <v>29</v>
      </c>
      <c r="AO220" s="37" t="s">
        <v>29</v>
      </c>
      <c r="AP220" s="37" t="s">
        <v>29</v>
      </c>
      <c r="AQ220" s="37" t="s">
        <v>29</v>
      </c>
      <c r="AR220" s="37" t="s">
        <v>29</v>
      </c>
      <c r="AS220" s="37" t="s">
        <v>29</v>
      </c>
      <c r="AT220" s="37" t="s">
        <v>29</v>
      </c>
      <c r="AU220" s="37" t="s">
        <v>29</v>
      </c>
      <c r="AV220" s="37" t="s">
        <v>29</v>
      </c>
      <c r="AW220" s="37" t="s">
        <v>29</v>
      </c>
      <c r="AX220" s="37" t="s">
        <v>29</v>
      </c>
      <c r="AY220" s="37" t="s">
        <v>29</v>
      </c>
      <c r="AZ220" s="37" t="s">
        <v>29</v>
      </c>
      <c r="BG220" s="37" t="str">
        <f t="array" ref="BG220">IF($A220="","", INDEX(CS!$B$1:$B$15025,MATCH($A220,CS!$B:$B,0)+COLUMN(A$1),1))</f>
        <v/>
      </c>
      <c r="BH220" s="37" t="str">
        <f t="array" ref="BH220">IF($A220="","", INDEX(CS!$B$1:$B$15025,MATCH($A220,CS!$B:$B,0)+COLUMN(B$1),1))</f>
        <v/>
      </c>
      <c r="BI220" s="37" t="str">
        <f t="array" ref="BI220">IF($A220="","", INDEX(CS!$B$1:$B$15025,MATCH($A220,CS!$B:$B,0)+COLUMN(C$1),1))</f>
        <v/>
      </c>
      <c r="BJ220" s="37" t="str">
        <f t="array" ref="BJ220">IF($A220="","", INDEX(CS!$B$1:$B$15025,MATCH($A220,CS!$B:$B,0)+COLUMN(D$1),1))</f>
        <v/>
      </c>
      <c r="BK220" s="37" t="str">
        <f t="array" ref="BK220">IF($A220="","", INDEX(CS!$B$1:$B$15025,MATCH($A220,CS!$B:$B,0)+COLUMN(E$1),1))</f>
        <v/>
      </c>
      <c r="BL220" s="37" t="str">
        <f t="array" ref="BL220">IF($A220="","", INDEX(CS!$B$1:$B$15025,MATCH($A220,CS!$B:$B,0)+COLUMN(F$1),1))</f>
        <v/>
      </c>
      <c r="BM220" s="37" t="str">
        <f t="array" ref="BM220">IF($A220="","", INDEX(CS!$B$1:$B$15025,MATCH($A220,CS!$B:$B,0)+COLUMN(G$1),1))</f>
        <v/>
      </c>
      <c r="BN220" s="37" t="str">
        <f t="array" ref="BN220">IF($A220="","", INDEX(CS!$B$1:$B$15025,MATCH($A220,CS!$B:$B,0)+COLUMN(H$1),1))</f>
        <v/>
      </c>
      <c r="BO220" s="37" t="str">
        <f t="array" ref="BO220">IF($A220="","", INDEX(CS!$B$1:$B$15025,MATCH($A220,CS!$B:$B,0)+COLUMN(I$1),1))</f>
        <v/>
      </c>
      <c r="BP220" s="37" t="str">
        <f t="array" ref="BP220">IF($A220="","", INDEX(CS!$B$1:$B$15025,MATCH($A220,CS!$B:$B,0)+COLUMN(J$1),1))</f>
        <v/>
      </c>
      <c r="BS220" s="74"/>
      <c r="CQ220" s="37"/>
      <c r="CR220" s="37"/>
    </row>
    <row r="221" ht="18.75" customHeight="1" outlineLevel="1">
      <c r="A221" s="39" t="s">
        <v>2264</v>
      </c>
      <c r="B221" s="89"/>
      <c r="C221" s="39" t="s">
        <v>2799</v>
      </c>
      <c r="D221" s="72" t="str">
        <f t="shared" si="11"/>
        <v>725/485/240</v>
      </c>
      <c r="E221" s="39">
        <v>2.0</v>
      </c>
      <c r="F221" s="39">
        <v>90.0</v>
      </c>
      <c r="I221" s="39">
        <v>85.0</v>
      </c>
      <c r="J221" s="39">
        <v>75.0</v>
      </c>
      <c r="K221" s="87">
        <v>25.0</v>
      </c>
      <c r="L221" s="39">
        <v>50.0</v>
      </c>
      <c r="M221" s="39">
        <v>80.0</v>
      </c>
      <c r="N221" s="39">
        <v>80.0</v>
      </c>
      <c r="P221" s="37">
        <v>0.0</v>
      </c>
      <c r="Q221" s="64"/>
      <c r="R221" s="64"/>
      <c r="S221" s="64"/>
      <c r="T221" s="64"/>
      <c r="U221" s="64"/>
      <c r="V221" s="64"/>
      <c r="W221" s="64"/>
      <c r="X221" s="64"/>
      <c r="Y221" s="64"/>
      <c r="Z221" s="64"/>
      <c r="AA221" s="64"/>
      <c r="AJ221" s="37">
        <v>0.0</v>
      </c>
      <c r="AK221" s="37">
        <v>0.0</v>
      </c>
      <c r="AL221" s="37">
        <v>0.0</v>
      </c>
      <c r="AM221" s="37">
        <v>50.0</v>
      </c>
      <c r="AN221" s="37">
        <v>35.0</v>
      </c>
      <c r="AO221" s="37">
        <v>0.0</v>
      </c>
      <c r="AP221" s="37">
        <v>0.0</v>
      </c>
      <c r="AQ221" s="37">
        <v>65.0</v>
      </c>
      <c r="AR221" s="37">
        <v>90.0</v>
      </c>
      <c r="AS221" s="37">
        <v>0.0</v>
      </c>
      <c r="AT221" s="37">
        <v>0.0</v>
      </c>
      <c r="AU221" s="37">
        <v>0.0</v>
      </c>
      <c r="AV221" s="37">
        <v>0.0</v>
      </c>
      <c r="AW221" s="37">
        <v>0.0</v>
      </c>
      <c r="AX221" s="37">
        <v>0.0</v>
      </c>
      <c r="AY221" s="37">
        <v>0.0</v>
      </c>
      <c r="AZ221" s="37">
        <v>0.0</v>
      </c>
      <c r="BG221" s="37" t="str">
        <f t="array" ref="BG221">IF($A221="","",IFERROR(INDEX(CS!$B$1:$B$15025,MATCH($A221,CS!$B:$B,0)+COLUMN(A$1),1),""))</f>
        <v>精密射撃</v>
      </c>
      <c r="BH221" s="37" t="str">
        <f t="array" ref="BH221">IF($A221="","",IFERROR(INDEX(CS!$B$1:$B$15025,MATCH($A221,CS!$B:$B,0)+COLUMN(B$1),1),""))</f>
        <v>速射</v>
      </c>
      <c r="BI221" s="37" t="str">
        <f t="array" ref="BI221">IF($A221="","",IFERROR(INDEX(CS!$B$1:$B$15025,MATCH($A221,CS!$B:$B,0)+COLUMN(C$1),1),""))</f>
        <v>射撃姿勢</v>
      </c>
      <c r="BJ221" s="37" t="str">
        <f t="array" ref="BJ221">IF($A221="","",IFERROR(INDEX(CS!$B$1:$B$15025,MATCH($A221,CS!$B:$B,0)+COLUMN(D$1),1),""))</f>
        <v/>
      </c>
      <c r="BK221" s="37" t="str">
        <f t="array" ref="BK221">IF($A221="","",IFERROR(INDEX(CS!$B$1:$B$15025,MATCH($A221,CS!$B:$B,0)+COLUMN(E$1),1),""))</f>
        <v>貫通射撃</v>
      </c>
      <c r="BL221" s="37" t="str">
        <f t="array" ref="BL221">IF($A221="","",IFERROR(INDEX(CS!$B$1:$B$15025,MATCH($A221,CS!$B:$B,0)+COLUMN(F$1),1),""))</f>
        <v/>
      </c>
      <c r="BM221" s="37" t="str">
        <f t="array" ref="BM221">IF($A221="","",IFERROR(INDEX(CS!$B$1:$B$15025,MATCH($A221,CS!$B:$B,0)+COLUMN(G$1),1),""))</f>
        <v>制圧射撃</v>
      </c>
      <c r="BN221" s="37" t="str">
        <f t="array" ref="BN221">IF($A221="","",IFERROR(INDEX(CS!$B$1:$B$15025,MATCH($A221,CS!$B:$B,0)+COLUMN(H$1),1),""))</f>
        <v/>
      </c>
      <c r="BO221" s="37" t="str">
        <f t="array" ref="BO221">IF($A221="","",IFERROR(INDEX(CS!$B$1:$B$15025,MATCH($A221,CS!$B:$B,0)+COLUMN(I$1),1),""))</f>
        <v>狙撃</v>
      </c>
      <c r="BP221" s="37" t="str">
        <f t="array" ref="BP221">IF($A221="","",IFERROR(INDEX(CS!$B$1:$B$15025,MATCH($A221,CS!$B:$B,0)+COLUMN(J$1),1),""))</f>
        <v>射撃の極み</v>
      </c>
      <c r="BR221" s="39" t="s">
        <v>2894</v>
      </c>
      <c r="BS221" s="74"/>
      <c r="BU221" s="39" t="s">
        <v>2895</v>
      </c>
      <c r="CG221" s="37" t="s">
        <v>2815</v>
      </c>
      <c r="CJ221" s="37" t="s">
        <v>2809</v>
      </c>
      <c r="CK221" s="37" t="s">
        <v>2802</v>
      </c>
      <c r="CN221" s="37" t="s">
        <v>2814</v>
      </c>
      <c r="CQ221" s="37"/>
      <c r="CR221" s="37"/>
    </row>
    <row r="222" ht="18.75" customHeight="1" outlineLevel="1">
      <c r="A222" s="39" t="s">
        <v>2279</v>
      </c>
      <c r="B222" s="89"/>
      <c r="C222" s="39" t="s">
        <v>2799</v>
      </c>
      <c r="D222" s="72" t="str">
        <f t="shared" si="11"/>
        <v>740/500/240</v>
      </c>
      <c r="E222" s="39">
        <v>3.0</v>
      </c>
      <c r="F222" s="39">
        <v>90.0</v>
      </c>
      <c r="I222" s="39">
        <v>90.0</v>
      </c>
      <c r="J222" s="39">
        <v>75.0</v>
      </c>
      <c r="K222" s="87">
        <v>25.0</v>
      </c>
      <c r="L222" s="39">
        <v>50.0</v>
      </c>
      <c r="M222" s="39">
        <v>85.0</v>
      </c>
      <c r="N222" s="39">
        <v>85.0</v>
      </c>
      <c r="P222" s="37">
        <v>0.0</v>
      </c>
      <c r="Q222" s="64"/>
      <c r="R222" s="64"/>
      <c r="S222" s="64"/>
      <c r="T222" s="64"/>
      <c r="U222" s="64"/>
      <c r="V222" s="64"/>
      <c r="W222" s="64"/>
      <c r="X222" s="64"/>
      <c r="Y222" s="64"/>
      <c r="Z222" s="64"/>
      <c r="AA222" s="64"/>
      <c r="AJ222" s="37">
        <v>0.0</v>
      </c>
      <c r="AK222" s="37">
        <v>0.0</v>
      </c>
      <c r="AL222" s="37">
        <v>0.0</v>
      </c>
      <c r="AM222" s="37">
        <v>50.0</v>
      </c>
      <c r="AN222" s="37">
        <v>35.0</v>
      </c>
      <c r="AO222" s="37">
        <v>0.0</v>
      </c>
      <c r="AP222" s="37">
        <v>0.0</v>
      </c>
      <c r="AQ222" s="37">
        <v>65.0</v>
      </c>
      <c r="AR222" s="37">
        <v>90.0</v>
      </c>
      <c r="AS222" s="37">
        <v>0.0</v>
      </c>
      <c r="AT222" s="37">
        <v>0.0</v>
      </c>
      <c r="AU222" s="37">
        <v>0.0</v>
      </c>
      <c r="AV222" s="37">
        <v>0.0</v>
      </c>
      <c r="AW222" s="37">
        <v>0.0</v>
      </c>
      <c r="AX222" s="37">
        <v>0.0</v>
      </c>
      <c r="AY222" s="37">
        <v>0.0</v>
      </c>
      <c r="AZ222" s="37">
        <v>0.0</v>
      </c>
      <c r="BG222" s="37" t="str">
        <f t="array" ref="BG222">IF($A222="","",IFERROR(INDEX(CS!$B$1:$B$15025,MATCH($A222,CS!$B:$B,0)+COLUMN(A$1),1),""))</f>
        <v>強射</v>
      </c>
      <c r="BH222" s="37" t="str">
        <f t="array" ref="BH222">IF($A222="","",IFERROR(INDEX(CS!$B$1:$B$15025,MATCH($A222,CS!$B:$B,0)+COLUMN(B$1),1),""))</f>
        <v/>
      </c>
      <c r="BI222" s="37" t="str">
        <f t="array" ref="BI222">IF($A222="","",IFERROR(INDEX(CS!$B$1:$B$15025,MATCH($A222,CS!$B:$B,0)+COLUMN(C$1),1),""))</f>
        <v>弓術</v>
      </c>
      <c r="BJ222" s="37" t="str">
        <f t="array" ref="BJ222">IF($A222="","",IFERROR(INDEX(CS!$B$1:$B$15025,MATCH($A222,CS!$B:$B,0)+COLUMN(D$1),1),""))</f>
        <v/>
      </c>
      <c r="BK222" s="37" t="str">
        <f t="array" ref="BK222">IF($A222="","",IFERROR(INDEX(CS!$B$1:$B$15025,MATCH($A222,CS!$B:$B,0)+COLUMN(E$1),1),""))</f>
        <v>連射</v>
      </c>
      <c r="BL222" s="37" t="str">
        <f t="array" ref="BL222">IF($A222="","",IFERROR(INDEX(CS!$B$1:$B$15025,MATCH($A222,CS!$B:$B,0)+COLUMN(F$1),1),""))</f>
        <v/>
      </c>
      <c r="BM222" s="37" t="str">
        <f t="array" ref="BM222">IF($A222="","",IFERROR(INDEX(CS!$B$1:$B$15025,MATCH($A222,CS!$B:$B,0)+COLUMN(G$1),1),""))</f>
        <v>遠射</v>
      </c>
      <c r="BN222" s="37" t="str">
        <f t="array" ref="BN222">IF($A222="","",IFERROR(INDEX(CS!$B$1:$B$15025,MATCH($A222,CS!$B:$B,0)+COLUMN(H$1),1),""))</f>
        <v/>
      </c>
      <c r="BO222" s="37" t="str">
        <f t="array" ref="BO222">IF($A222="","",IFERROR(INDEX(CS!$B$1:$B$15025,MATCH($A222,CS!$B:$B,0)+COLUMN(I$1),1),""))</f>
        <v>射撃の極意</v>
      </c>
      <c r="BP222" s="37" t="str">
        <f t="array" ref="BP222">IF($A222="","",IFERROR(INDEX(CS!$B$1:$B$15025,MATCH($A222,CS!$B:$B,0)+COLUMN(J$1),1),""))</f>
        <v>神射</v>
      </c>
      <c r="BR222" s="39" t="s">
        <v>2896</v>
      </c>
      <c r="BS222" s="74"/>
      <c r="BU222" s="39" t="s">
        <v>2895</v>
      </c>
      <c r="CG222" s="37" t="s">
        <v>2815</v>
      </c>
      <c r="CJ222" s="37" t="s">
        <v>2809</v>
      </c>
      <c r="CK222" s="37" t="s">
        <v>2802</v>
      </c>
      <c r="CN222" s="37" t="s">
        <v>2814</v>
      </c>
      <c r="CQ222" s="37"/>
      <c r="CR222" s="37"/>
    </row>
    <row r="223" ht="18.75" customHeight="1" outlineLevel="1">
      <c r="A223" s="39" t="s">
        <v>2291</v>
      </c>
      <c r="B223" s="89" t="s">
        <v>29</v>
      </c>
      <c r="C223" s="39" t="s">
        <v>2799</v>
      </c>
      <c r="D223" s="72" t="str">
        <f t="shared" si="11"/>
        <v>735/485/250</v>
      </c>
      <c r="E223" s="39">
        <v>2.0</v>
      </c>
      <c r="F223" s="39">
        <v>90.0</v>
      </c>
      <c r="I223" s="39">
        <v>85.0</v>
      </c>
      <c r="J223" s="39">
        <v>75.0</v>
      </c>
      <c r="K223" s="87">
        <v>25.0</v>
      </c>
      <c r="L223" s="39">
        <v>50.0</v>
      </c>
      <c r="M223" s="39">
        <v>80.0</v>
      </c>
      <c r="N223" s="39">
        <v>80.0</v>
      </c>
      <c r="P223" s="37">
        <v>0.0</v>
      </c>
      <c r="Q223" s="64"/>
      <c r="R223" s="64"/>
      <c r="S223" s="64"/>
      <c r="T223" s="64"/>
      <c r="U223" s="64"/>
      <c r="V223" s="64"/>
      <c r="W223" s="64"/>
      <c r="X223" s="64"/>
      <c r="Y223" s="64"/>
      <c r="Z223" s="64"/>
      <c r="AA223" s="64"/>
      <c r="AJ223" s="37">
        <v>0.0</v>
      </c>
      <c r="AK223" s="37">
        <v>0.0</v>
      </c>
      <c r="AL223" s="37">
        <v>0.0</v>
      </c>
      <c r="AM223" s="37">
        <v>50.0</v>
      </c>
      <c r="AN223" s="37">
        <v>40.0</v>
      </c>
      <c r="AO223" s="37">
        <v>0.0</v>
      </c>
      <c r="AP223" s="37">
        <v>0.0</v>
      </c>
      <c r="AQ223" s="37">
        <v>65.0</v>
      </c>
      <c r="AR223" s="37">
        <v>95.0</v>
      </c>
      <c r="AS223" s="37">
        <v>0.0</v>
      </c>
      <c r="AT223" s="37">
        <v>0.0</v>
      </c>
      <c r="AU223" s="37">
        <v>0.0</v>
      </c>
      <c r="AV223" s="37">
        <v>0.0</v>
      </c>
      <c r="AW223" s="37">
        <v>0.0</v>
      </c>
      <c r="AX223" s="37">
        <v>0.0</v>
      </c>
      <c r="AY223" s="37">
        <v>0.0</v>
      </c>
      <c r="AZ223" s="37">
        <v>0.0</v>
      </c>
      <c r="BG223" s="39" t="s">
        <v>2292</v>
      </c>
      <c r="BI223" s="39" t="s">
        <v>2295</v>
      </c>
      <c r="BK223" s="39" t="s">
        <v>2298</v>
      </c>
      <c r="BM223" s="39" t="s">
        <v>2301</v>
      </c>
      <c r="BO223" s="39" t="s">
        <v>2304</v>
      </c>
      <c r="BP223" s="39" t="s">
        <v>2307</v>
      </c>
      <c r="BR223" s="39"/>
      <c r="BS223" s="74"/>
      <c r="BU223" s="39"/>
      <c r="CQ223" s="37"/>
      <c r="CR223" s="37"/>
    </row>
    <row r="224" ht="18.75" customHeight="1" outlineLevel="1">
      <c r="A224" s="39" t="s">
        <v>2310</v>
      </c>
      <c r="B224" s="89" t="s">
        <v>29</v>
      </c>
      <c r="C224" s="39" t="s">
        <v>2799</v>
      </c>
      <c r="D224" s="72" t="str">
        <f t="shared" si="11"/>
        <v>735/485/250</v>
      </c>
      <c r="E224" s="39">
        <v>2.0</v>
      </c>
      <c r="F224" s="39">
        <v>90.0</v>
      </c>
      <c r="I224" s="39">
        <v>85.0</v>
      </c>
      <c r="J224" s="39">
        <v>75.0</v>
      </c>
      <c r="K224" s="87">
        <v>25.0</v>
      </c>
      <c r="L224" s="39">
        <v>50.0</v>
      </c>
      <c r="M224" s="39">
        <v>80.0</v>
      </c>
      <c r="N224" s="39">
        <v>80.0</v>
      </c>
      <c r="P224" s="37">
        <v>0.0</v>
      </c>
      <c r="Q224" s="64"/>
      <c r="R224" s="64"/>
      <c r="S224" s="64"/>
      <c r="T224" s="64"/>
      <c r="U224" s="64"/>
      <c r="V224" s="64"/>
      <c r="W224" s="64"/>
      <c r="X224" s="64"/>
      <c r="Y224" s="64"/>
      <c r="Z224" s="64"/>
      <c r="AA224" s="64"/>
      <c r="AJ224" s="37">
        <v>0.0</v>
      </c>
      <c r="AK224" s="37">
        <v>0.0</v>
      </c>
      <c r="AL224" s="37">
        <v>0.0</v>
      </c>
      <c r="AM224" s="37">
        <v>50.0</v>
      </c>
      <c r="AN224" s="37">
        <v>40.0</v>
      </c>
      <c r="AO224" s="37">
        <v>0.0</v>
      </c>
      <c r="AP224" s="37">
        <v>0.0</v>
      </c>
      <c r="AQ224" s="37">
        <v>65.0</v>
      </c>
      <c r="AR224" s="37">
        <v>95.0</v>
      </c>
      <c r="AS224" s="37">
        <v>0.0</v>
      </c>
      <c r="AT224" s="37">
        <v>0.0</v>
      </c>
      <c r="AU224" s="37">
        <v>0.0</v>
      </c>
      <c r="AV224" s="37">
        <v>0.0</v>
      </c>
      <c r="AW224" s="37">
        <v>0.0</v>
      </c>
      <c r="AX224" s="37">
        <v>0.0</v>
      </c>
      <c r="AY224" s="37">
        <v>0.0</v>
      </c>
      <c r="AZ224" s="37">
        <v>0.0</v>
      </c>
      <c r="BG224" s="39" t="s">
        <v>2311</v>
      </c>
      <c r="BI224" s="39" t="s">
        <v>2314</v>
      </c>
      <c r="BK224" s="39" t="s">
        <v>2317</v>
      </c>
      <c r="BM224" s="39" t="s">
        <v>2320</v>
      </c>
      <c r="BO224" s="39" t="s">
        <v>2323</v>
      </c>
      <c r="BP224" s="39" t="s">
        <v>2326</v>
      </c>
      <c r="BR224" s="39"/>
      <c r="BS224" s="74"/>
      <c r="BU224" s="39"/>
      <c r="CQ224" s="37"/>
      <c r="CR224" s="37"/>
    </row>
    <row r="225" ht="18.75" customHeight="1" outlineLevel="1">
      <c r="A225" s="39" t="s">
        <v>2329</v>
      </c>
      <c r="B225" s="89"/>
      <c r="C225" s="39" t="s">
        <v>2799</v>
      </c>
      <c r="D225" s="72" t="str">
        <f t="shared" si="11"/>
        <v>760/490/270</v>
      </c>
      <c r="E225" s="39">
        <v>2.0</v>
      </c>
      <c r="F225" s="39">
        <v>75.0</v>
      </c>
      <c r="I225" s="39">
        <v>65.0</v>
      </c>
      <c r="J225" s="39">
        <v>65.0</v>
      </c>
      <c r="K225" s="87">
        <v>60.0</v>
      </c>
      <c r="L225" s="39">
        <v>75.0</v>
      </c>
      <c r="M225" s="39">
        <v>70.0</v>
      </c>
      <c r="N225" s="39">
        <v>80.0</v>
      </c>
      <c r="P225" s="37">
        <v>0.0</v>
      </c>
      <c r="Q225" s="64"/>
      <c r="R225" s="64"/>
      <c r="S225" s="64"/>
      <c r="T225" s="64"/>
      <c r="U225" s="64"/>
      <c r="V225" s="64"/>
      <c r="W225" s="64"/>
      <c r="X225" s="64"/>
      <c r="Y225" s="64"/>
      <c r="Z225" s="64"/>
      <c r="AA225" s="64"/>
      <c r="AJ225" s="37">
        <v>0.0</v>
      </c>
      <c r="AK225" s="37">
        <v>0.0</v>
      </c>
      <c r="AL225" s="37">
        <v>50.0</v>
      </c>
      <c r="AM225" s="37">
        <v>30.0</v>
      </c>
      <c r="AN225" s="37">
        <v>25.0</v>
      </c>
      <c r="AO225" s="37">
        <v>0.0</v>
      </c>
      <c r="AP225" s="37">
        <v>0.0</v>
      </c>
      <c r="AQ225" s="37">
        <v>35.0</v>
      </c>
      <c r="AR225" s="37">
        <v>50.0</v>
      </c>
      <c r="AS225" s="37">
        <v>0.0</v>
      </c>
      <c r="AT225" s="37">
        <v>0.0</v>
      </c>
      <c r="AU225" s="37">
        <v>0.0</v>
      </c>
      <c r="AV225" s="37">
        <v>0.0</v>
      </c>
      <c r="AW225" s="37">
        <v>25.0</v>
      </c>
      <c r="AX225" s="37">
        <v>0.0</v>
      </c>
      <c r="AY225" s="37">
        <v>55.0</v>
      </c>
      <c r="AZ225" s="37">
        <v>0.0</v>
      </c>
      <c r="BG225" s="37" t="str">
        <f t="array" ref="BG225">IF($A225="","",IFERROR(INDEX(CS!$B$1:$B$15025,MATCH($A225,CS!$B:$B,0)+COLUMN(A$1),1),""))</f>
        <v>炎の武器</v>
      </c>
      <c r="BH225" s="37" t="str">
        <f t="array" ref="BH225">IF($A225="","",IFERROR(INDEX(CS!$B$1:$B$15025,MATCH($A225,CS!$B:$B,0)+COLUMN(B$1),1),""))</f>
        <v/>
      </c>
      <c r="BI225" s="37" t="str">
        <f t="array" ref="BI225">IF($A225="","",IFERROR(INDEX(CS!$B$1:$B$15025,MATCH($A225,CS!$B:$B,0)+COLUMN(C$1),1),""))</f>
        <v>火炎</v>
      </c>
      <c r="BJ225" s="37" t="str">
        <f t="array" ref="BJ225">IF($A225="","",IFERROR(INDEX(CS!$B$1:$B$15025,MATCH($A225,CS!$B:$B,0)+COLUMN(D$1),1),""))</f>
        <v/>
      </c>
      <c r="BK225" s="37" t="str">
        <f t="array" ref="BK225">IF($A225="","",IFERROR(INDEX(CS!$B$1:$B$15025,MATCH($A225,CS!$B:$B,0)+COLUMN(E$1),1),""))</f>
        <v>炎の適用</v>
      </c>
      <c r="BL225" s="37" t="str">
        <f t="array" ref="BL225">IF($A225="","",IFERROR(INDEX(CS!$B$1:$B$15025,MATCH($A225,CS!$B:$B,0)+COLUMN(F$1),1),""))</f>
        <v/>
      </c>
      <c r="BM225" s="37" t="str">
        <f t="array" ref="BM225">IF($A225="","",IFERROR(INDEX(CS!$B$1:$B$15025,MATCH($A225,CS!$B:$B,0)+COLUMN(G$1),1),""))</f>
        <v>火球</v>
      </c>
      <c r="BN225" s="37" t="str">
        <f t="array" ref="BN225">IF($A225="","",IFERROR(INDEX(CS!$B$1:$B$15025,MATCH($A225,CS!$B:$B,0)+COLUMN(H$1),1),""))</f>
        <v/>
      </c>
      <c r="BO225" s="37" t="str">
        <f t="array" ref="BO225">IF($A225="","",IFERROR(INDEX(CS!$B$1:$B$15025,MATCH($A225,CS!$B:$B,0)+COLUMN(I$1),1),""))</f>
        <v>炎強化</v>
      </c>
      <c r="BP225" s="37" t="str">
        <f t="array" ref="BP225">IF($A225="","",IFERROR(INDEX(CS!$B$1:$B$15025,MATCH($A225,CS!$B:$B,0)+COLUMN(J$1),1),""))</f>
        <v>炎貫矢</v>
      </c>
      <c r="BR225" s="39" t="s">
        <v>2897</v>
      </c>
      <c r="BS225" s="74"/>
      <c r="BU225" s="39" t="s">
        <v>2898</v>
      </c>
      <c r="CG225" s="37" t="s">
        <v>2815</v>
      </c>
      <c r="CJ225" s="37" t="s">
        <v>2809</v>
      </c>
      <c r="CK225" s="37" t="s">
        <v>2802</v>
      </c>
      <c r="CN225" s="37" t="s">
        <v>2814</v>
      </c>
      <c r="CQ225" s="37"/>
      <c r="CR225" s="37"/>
    </row>
    <row r="226" ht="18.75" customHeight="1" outlineLevel="1">
      <c r="A226" s="39" t="s">
        <v>2332</v>
      </c>
      <c r="B226" s="89"/>
      <c r="C226" s="39" t="s">
        <v>2799</v>
      </c>
      <c r="D226" s="72" t="str">
        <f t="shared" si="11"/>
        <v>760/490/270</v>
      </c>
      <c r="E226" s="39">
        <v>2.0</v>
      </c>
      <c r="F226" s="39">
        <v>75.0</v>
      </c>
      <c r="I226" s="39">
        <v>65.0</v>
      </c>
      <c r="J226" s="39">
        <v>65.0</v>
      </c>
      <c r="K226" s="87">
        <v>60.0</v>
      </c>
      <c r="L226" s="39">
        <v>75.0</v>
      </c>
      <c r="M226" s="39">
        <v>70.0</v>
      </c>
      <c r="N226" s="39">
        <v>80.0</v>
      </c>
      <c r="P226" s="37">
        <v>0.0</v>
      </c>
      <c r="Q226" s="64"/>
      <c r="R226" s="64"/>
      <c r="S226" s="64"/>
      <c r="T226" s="64"/>
      <c r="U226" s="64"/>
      <c r="V226" s="64"/>
      <c r="W226" s="64"/>
      <c r="X226" s="64"/>
      <c r="Y226" s="64"/>
      <c r="Z226" s="64"/>
      <c r="AA226" s="64"/>
      <c r="AJ226" s="37">
        <v>0.0</v>
      </c>
      <c r="AK226" s="37">
        <v>0.0</v>
      </c>
      <c r="AL226" s="37">
        <v>50.0</v>
      </c>
      <c r="AM226" s="37">
        <v>30.0</v>
      </c>
      <c r="AN226" s="37">
        <v>25.0</v>
      </c>
      <c r="AO226" s="37">
        <v>0.0</v>
      </c>
      <c r="AP226" s="37">
        <v>0.0</v>
      </c>
      <c r="AQ226" s="37">
        <v>35.0</v>
      </c>
      <c r="AR226" s="37">
        <v>50.0</v>
      </c>
      <c r="AS226" s="37">
        <v>0.0</v>
      </c>
      <c r="AT226" s="37">
        <v>0.0</v>
      </c>
      <c r="AU226" s="37">
        <v>0.0</v>
      </c>
      <c r="AV226" s="37">
        <v>0.0</v>
      </c>
      <c r="AW226" s="37">
        <v>25.0</v>
      </c>
      <c r="AX226" s="37">
        <v>0.0</v>
      </c>
      <c r="AY226" s="37">
        <v>55.0</v>
      </c>
      <c r="AZ226" s="37">
        <v>0.0</v>
      </c>
      <c r="BG226" s="37" t="str">
        <f t="array" ref="BG226">IF($A226="","",IFERROR(INDEX(CS!$B$1:$B$15025,MATCH($A226,CS!$B:$B,0)+COLUMN(A$1),1),""))</f>
        <v>氷の武器</v>
      </c>
      <c r="BH226" s="37" t="str">
        <f t="array" ref="BH226">IF($A226="","",IFERROR(INDEX(CS!$B$1:$B$15025,MATCH($A226,CS!$B:$B,0)+COLUMN(B$1),1),""))</f>
        <v/>
      </c>
      <c r="BI226" s="37" t="str">
        <f t="array" ref="BI226">IF($A226="","",IFERROR(INDEX(CS!$B$1:$B$15025,MATCH($A226,CS!$B:$B,0)+COLUMN(C$1),1),""))</f>
        <v>冷気の光線</v>
      </c>
      <c r="BJ226" s="37" t="str">
        <f t="array" ref="BJ226">IF($A226="","",IFERROR(INDEX(CS!$B$1:$B$15025,MATCH($A226,CS!$B:$B,0)+COLUMN(D$1),1),""))</f>
        <v/>
      </c>
      <c r="BK226" s="37" t="str">
        <f t="array" ref="BK226">IF($A226="","",IFERROR(INDEX(CS!$B$1:$B$15025,MATCH($A226,CS!$B:$B,0)+COLUMN(E$1),1),""))</f>
        <v>氷の適用</v>
      </c>
      <c r="BL226" s="37" t="str">
        <f t="array" ref="BL226">IF($A226="","",IFERROR(INDEX(CS!$B$1:$B$15025,MATCH($A226,CS!$B:$B,0)+COLUMN(F$1),1),""))</f>
        <v/>
      </c>
      <c r="BM226" s="37" t="str">
        <f t="array" ref="BM226">IF($A226="","",IFERROR(INDEX(CS!$B$1:$B$15025,MATCH($A226,CS!$B:$B,0)+COLUMN(G$1),1),""))</f>
        <v>氷柱弾</v>
      </c>
      <c r="BN226" s="37" t="str">
        <f t="array" ref="BN226">IF($A226="","",IFERROR(INDEX(CS!$B$1:$B$15025,MATCH($A226,CS!$B:$B,0)+COLUMN(H$1),1),""))</f>
        <v/>
      </c>
      <c r="BO226" s="37" t="str">
        <f t="array" ref="BO226">IF($A226="","",IFERROR(INDEX(CS!$B$1:$B$15025,MATCH($A226,CS!$B:$B,0)+COLUMN(I$1),1),""))</f>
        <v>氷強化</v>
      </c>
      <c r="BP226" s="37" t="str">
        <f t="array" ref="BP226">IF($A226="","",IFERROR(INDEX(CS!$B$1:$B$15025,MATCH($A226,CS!$B:$B,0)+COLUMN(J$1),1),""))</f>
        <v>氷縛矢</v>
      </c>
      <c r="BR226" s="39" t="s">
        <v>2897</v>
      </c>
      <c r="BS226" s="74"/>
      <c r="BU226" s="39" t="s">
        <v>2898</v>
      </c>
      <c r="CG226" s="37" t="s">
        <v>2815</v>
      </c>
      <c r="CJ226" s="37" t="s">
        <v>2809</v>
      </c>
      <c r="CK226" s="37" t="s">
        <v>2802</v>
      </c>
      <c r="CN226" s="37" t="s">
        <v>2814</v>
      </c>
      <c r="CQ226" s="37"/>
      <c r="CR226" s="37"/>
    </row>
    <row r="227" ht="18.75" customHeight="1" outlineLevel="1">
      <c r="A227" s="39" t="s">
        <v>2335</v>
      </c>
      <c r="B227" s="89"/>
      <c r="C227" s="39" t="s">
        <v>2799</v>
      </c>
      <c r="D227" s="72" t="str">
        <f t="shared" si="11"/>
        <v>760/490/270</v>
      </c>
      <c r="E227" s="39">
        <v>2.0</v>
      </c>
      <c r="F227" s="39">
        <v>75.0</v>
      </c>
      <c r="I227" s="39">
        <v>65.0</v>
      </c>
      <c r="J227" s="39">
        <v>65.0</v>
      </c>
      <c r="K227" s="87">
        <v>60.0</v>
      </c>
      <c r="L227" s="39">
        <v>75.0</v>
      </c>
      <c r="M227" s="39">
        <v>70.0</v>
      </c>
      <c r="N227" s="39">
        <v>80.0</v>
      </c>
      <c r="P227" s="37">
        <v>0.0</v>
      </c>
      <c r="Q227" s="64"/>
      <c r="R227" s="64"/>
      <c r="S227" s="64"/>
      <c r="T227" s="64"/>
      <c r="U227" s="64"/>
      <c r="V227" s="64"/>
      <c r="W227" s="64"/>
      <c r="X227" s="64"/>
      <c r="Y227" s="64"/>
      <c r="Z227" s="64"/>
      <c r="AA227" s="64"/>
      <c r="AJ227" s="37">
        <v>0.0</v>
      </c>
      <c r="AK227" s="37">
        <v>0.0</v>
      </c>
      <c r="AL227" s="37">
        <v>50.0</v>
      </c>
      <c r="AM227" s="37">
        <v>30.0</v>
      </c>
      <c r="AN227" s="37">
        <v>25.0</v>
      </c>
      <c r="AO227" s="37">
        <v>0.0</v>
      </c>
      <c r="AP227" s="37">
        <v>0.0</v>
      </c>
      <c r="AQ227" s="37">
        <v>35.0</v>
      </c>
      <c r="AR227" s="37">
        <v>50.0</v>
      </c>
      <c r="AS227" s="37">
        <v>0.0</v>
      </c>
      <c r="AT227" s="37">
        <v>0.0</v>
      </c>
      <c r="AU227" s="37">
        <v>0.0</v>
      </c>
      <c r="AV227" s="37">
        <v>0.0</v>
      </c>
      <c r="AW227" s="37">
        <v>25.0</v>
      </c>
      <c r="AX227" s="37">
        <v>0.0</v>
      </c>
      <c r="AY227" s="37">
        <v>55.0</v>
      </c>
      <c r="AZ227" s="37">
        <v>0.0</v>
      </c>
      <c r="BG227" s="37" t="str">
        <f t="array" ref="BG227">IF($A227="","",IFERROR(INDEX(CS!$B$1:$B$15025,MATCH($A227,CS!$B:$B,0)+COLUMN(A$1),1),""))</f>
        <v>雷の武器</v>
      </c>
      <c r="BH227" s="37" t="str">
        <f t="array" ref="BH227">IF($A227="","",IFERROR(INDEX(CS!$B$1:$B$15025,MATCH($A227,CS!$B:$B,0)+COLUMN(B$1),1),""))</f>
        <v/>
      </c>
      <c r="BI227" s="37" t="str">
        <f t="array" ref="BI227">IF($A227="","",IFERROR(INDEX(CS!$B$1:$B$15025,MATCH($A227,CS!$B:$B,0)+COLUMN(C$1),1),""))</f>
        <v>放電</v>
      </c>
      <c r="BJ227" s="37" t="str">
        <f t="array" ref="BJ227">IF($A227="","",IFERROR(INDEX(CS!$B$1:$B$15025,MATCH($A227,CS!$B:$B,0)+COLUMN(D$1),1),""))</f>
        <v/>
      </c>
      <c r="BK227" s="37" t="str">
        <f t="array" ref="BK227">IF($A227="","",IFERROR(INDEX(CS!$B$1:$B$15025,MATCH($A227,CS!$B:$B,0)+COLUMN(E$1),1),""))</f>
        <v>雷の適用</v>
      </c>
      <c r="BL227" s="37" t="str">
        <f t="array" ref="BL227">IF($A227="","",IFERROR(INDEX(CS!$B$1:$B$15025,MATCH($A227,CS!$B:$B,0)+COLUMN(F$1),1),""))</f>
        <v/>
      </c>
      <c r="BM227" s="37" t="str">
        <f t="array" ref="BM227">IF($A227="","",IFERROR(INDEX(CS!$B$1:$B$15025,MATCH($A227,CS!$B:$B,0)+COLUMN(G$1),1),""))</f>
        <v>電弧放電</v>
      </c>
      <c r="BN227" s="37" t="str">
        <f t="array" ref="BN227">IF($A227="","",IFERROR(INDEX(CS!$B$1:$B$15025,MATCH($A227,CS!$B:$B,0)+COLUMN(H$1),1),""))</f>
        <v/>
      </c>
      <c r="BO227" s="37" t="str">
        <f t="array" ref="BO227">IF($A227="","",IFERROR(INDEX(CS!$B$1:$B$15025,MATCH($A227,CS!$B:$B,0)+COLUMN(I$1),1),""))</f>
        <v>雷強化</v>
      </c>
      <c r="BP227" s="37" t="str">
        <f t="array" ref="BP227">IF($A227="","",IFERROR(INDEX(CS!$B$1:$B$15025,MATCH($A227,CS!$B:$B,0)+COLUMN(J$1),1),""))</f>
        <v>雷鳴矢</v>
      </c>
      <c r="BR227" s="39" t="s">
        <v>2897</v>
      </c>
      <c r="BS227" s="74"/>
      <c r="BU227" s="39" t="s">
        <v>2898</v>
      </c>
      <c r="CG227" s="37" t="s">
        <v>2815</v>
      </c>
      <c r="CJ227" s="37" t="s">
        <v>2809</v>
      </c>
      <c r="CK227" s="37" t="s">
        <v>2802</v>
      </c>
      <c r="CN227" s="37" t="s">
        <v>2814</v>
      </c>
      <c r="CQ227" s="37"/>
      <c r="CR227" s="37"/>
    </row>
    <row r="228" ht="18.75" customHeight="1" outlineLevel="1">
      <c r="A228" s="39" t="s">
        <v>2338</v>
      </c>
      <c r="B228" s="89"/>
      <c r="C228" s="39" t="s">
        <v>2799</v>
      </c>
      <c r="D228" s="72" t="str">
        <f t="shared" si="11"/>
        <v>760/490/270</v>
      </c>
      <c r="E228" s="39">
        <v>2.0</v>
      </c>
      <c r="F228" s="39">
        <v>75.0</v>
      </c>
      <c r="I228" s="39">
        <v>65.0</v>
      </c>
      <c r="J228" s="39">
        <v>65.0</v>
      </c>
      <c r="K228" s="87">
        <v>60.0</v>
      </c>
      <c r="L228" s="39">
        <v>75.0</v>
      </c>
      <c r="M228" s="39">
        <v>70.0</v>
      </c>
      <c r="N228" s="39">
        <v>80.0</v>
      </c>
      <c r="P228" s="37">
        <v>0.0</v>
      </c>
      <c r="Q228" s="64"/>
      <c r="R228" s="64"/>
      <c r="S228" s="64"/>
      <c r="T228" s="64"/>
      <c r="U228" s="64"/>
      <c r="V228" s="64"/>
      <c r="W228" s="64"/>
      <c r="X228" s="64"/>
      <c r="Y228" s="64"/>
      <c r="Z228" s="64"/>
      <c r="AA228" s="64"/>
      <c r="AJ228" s="37">
        <v>0.0</v>
      </c>
      <c r="AK228" s="37">
        <v>0.0</v>
      </c>
      <c r="AL228" s="37">
        <v>50.0</v>
      </c>
      <c r="AM228" s="37">
        <v>30.0</v>
      </c>
      <c r="AN228" s="37">
        <v>25.0</v>
      </c>
      <c r="AO228" s="37">
        <v>0.0</v>
      </c>
      <c r="AP228" s="37">
        <v>0.0</v>
      </c>
      <c r="AQ228" s="37">
        <v>35.0</v>
      </c>
      <c r="AR228" s="37">
        <v>50.0</v>
      </c>
      <c r="AS228" s="37">
        <v>0.0</v>
      </c>
      <c r="AT228" s="37">
        <v>0.0</v>
      </c>
      <c r="AU228" s="37">
        <v>0.0</v>
      </c>
      <c r="AV228" s="37">
        <v>0.0</v>
      </c>
      <c r="AW228" s="37">
        <v>25.0</v>
      </c>
      <c r="AX228" s="37">
        <v>0.0</v>
      </c>
      <c r="AY228" s="37">
        <v>55.0</v>
      </c>
      <c r="AZ228" s="37">
        <v>0.0</v>
      </c>
      <c r="BG228" s="37" t="str">
        <f t="array" ref="BG228">IF($A228="","",IFERROR(INDEX(CS!$B$1:$B$15025,MATCH($A228,CS!$B:$B,0)+COLUMN(A$1),1),""))</f>
        <v>酸の武器</v>
      </c>
      <c r="BH228" s="37" t="str">
        <f t="array" ref="BH228">IF($A228="","",IFERROR(INDEX(CS!$B$1:$B$15025,MATCH($A228,CS!$B:$B,0)+COLUMN(B$1),1),""))</f>
        <v/>
      </c>
      <c r="BI228" s="37" t="str">
        <f t="array" ref="BI228">IF($A228="","",IFERROR(INDEX(CS!$B$1:$B$15025,MATCH($A228,CS!$B:$B,0)+COLUMN(C$1),1),""))</f>
        <v>酸滴</v>
      </c>
      <c r="BJ228" s="37" t="str">
        <f t="array" ref="BJ228">IF($A228="","",IFERROR(INDEX(CS!$B$1:$B$15025,MATCH($A228,CS!$B:$B,0)+COLUMN(D$1),1),""))</f>
        <v/>
      </c>
      <c r="BK228" s="37" t="str">
        <f t="array" ref="BK228">IF($A228="","",IFERROR(INDEX(CS!$B$1:$B$15025,MATCH($A228,CS!$B:$B,0)+COLUMN(E$1),1),""))</f>
        <v>毒の適用</v>
      </c>
      <c r="BL228" s="37" t="str">
        <f t="array" ref="BL228">IF($A228="","",IFERROR(INDEX(CS!$B$1:$B$15025,MATCH($A228,CS!$B:$B,0)+COLUMN(F$1),1),""))</f>
        <v/>
      </c>
      <c r="BM228" s="37" t="str">
        <f t="array" ref="BM228">IF($A228="","",IFERROR(INDEX(CS!$B$1:$B$15025,MATCH($A228,CS!$B:$B,0)+COLUMN(G$1),1),""))</f>
        <v>酸の落流</v>
      </c>
      <c r="BN228" s="37" t="str">
        <f t="array" ref="BN228">IF($A228="","",IFERROR(INDEX(CS!$B$1:$B$15025,MATCH($A228,CS!$B:$B,0)+COLUMN(H$1),1),""))</f>
        <v/>
      </c>
      <c r="BO228" s="37" t="str">
        <f t="array" ref="BO228">IF($A228="","",IFERROR(INDEX(CS!$B$1:$B$15025,MATCH($A228,CS!$B:$B,0)+COLUMN(I$1),1),""))</f>
        <v>毒強化</v>
      </c>
      <c r="BP228" s="37" t="str">
        <f t="array" ref="BP228">IF($A228="","",IFERROR(INDEX(CS!$B$1:$B$15025,MATCH($A228,CS!$B:$B,0)+COLUMN(J$1),1),""))</f>
        <v>酸穿矢</v>
      </c>
      <c r="BR228" s="39" t="s">
        <v>2897</v>
      </c>
      <c r="BS228" s="74"/>
      <c r="BU228" s="39" t="s">
        <v>2898</v>
      </c>
      <c r="CG228" s="37" t="s">
        <v>2815</v>
      </c>
      <c r="CJ228" s="37" t="s">
        <v>2809</v>
      </c>
      <c r="CK228" s="37" t="s">
        <v>2802</v>
      </c>
      <c r="CN228" s="37" t="s">
        <v>2814</v>
      </c>
      <c r="CQ228" s="37"/>
      <c r="CR228" s="37"/>
    </row>
    <row r="229" ht="18.75" customHeight="1" outlineLevel="1">
      <c r="A229" s="39" t="s">
        <v>2341</v>
      </c>
      <c r="B229" s="89"/>
      <c r="C229" s="39" t="s">
        <v>2799</v>
      </c>
      <c r="D229" s="72" t="str">
        <f t="shared" si="11"/>
        <v>760/490/270</v>
      </c>
      <c r="E229" s="39">
        <v>2.0</v>
      </c>
      <c r="F229" s="39">
        <v>75.0</v>
      </c>
      <c r="I229" s="39">
        <v>65.0</v>
      </c>
      <c r="J229" s="39">
        <v>65.0</v>
      </c>
      <c r="K229" s="87">
        <v>60.0</v>
      </c>
      <c r="L229" s="39">
        <v>75.0</v>
      </c>
      <c r="M229" s="39">
        <v>70.0</v>
      </c>
      <c r="N229" s="39">
        <v>80.0</v>
      </c>
      <c r="P229" s="37">
        <v>0.0</v>
      </c>
      <c r="Q229" s="64"/>
      <c r="R229" s="64"/>
      <c r="S229" s="64"/>
      <c r="T229" s="64"/>
      <c r="U229" s="64"/>
      <c r="V229" s="64"/>
      <c r="W229" s="64"/>
      <c r="X229" s="64"/>
      <c r="Y229" s="64"/>
      <c r="Z229" s="64"/>
      <c r="AA229" s="64"/>
      <c r="AJ229" s="37">
        <v>0.0</v>
      </c>
      <c r="AK229" s="37">
        <v>0.0</v>
      </c>
      <c r="AL229" s="37">
        <v>50.0</v>
      </c>
      <c r="AM229" s="37">
        <v>30.0</v>
      </c>
      <c r="AN229" s="37">
        <v>25.0</v>
      </c>
      <c r="AO229" s="37">
        <v>0.0</v>
      </c>
      <c r="AP229" s="37">
        <v>0.0</v>
      </c>
      <c r="AQ229" s="37">
        <v>35.0</v>
      </c>
      <c r="AR229" s="37">
        <v>50.0</v>
      </c>
      <c r="AS229" s="37">
        <v>0.0</v>
      </c>
      <c r="AT229" s="37">
        <v>0.0</v>
      </c>
      <c r="AU229" s="37">
        <v>0.0</v>
      </c>
      <c r="AV229" s="37">
        <v>0.0</v>
      </c>
      <c r="AW229" s="37">
        <v>25.0</v>
      </c>
      <c r="AX229" s="37">
        <v>0.0</v>
      </c>
      <c r="AY229" s="37">
        <v>55.0</v>
      </c>
      <c r="AZ229" s="37">
        <v>0.0</v>
      </c>
      <c r="BG229" s="37" t="str">
        <f t="array" ref="BG229">IF($A229="","",IFERROR(INDEX(CS!$B$1:$B$15025,MATCH($A229,CS!$B:$B,0)+COLUMN(A$1),1),""))</f>
        <v>風の武器</v>
      </c>
      <c r="BH229" s="37" t="str">
        <f t="array" ref="BH229">IF($A229="","",IFERROR(INDEX(CS!$B$1:$B$15025,MATCH($A229,CS!$B:$B,0)+COLUMN(B$1),1),""))</f>
        <v/>
      </c>
      <c r="BI229" s="37" t="str">
        <f t="array" ref="BI229">IF($A229="","",IFERROR(INDEX(CS!$B$1:$B$15025,MATCH($A229,CS!$B:$B,0)+COLUMN(C$1),1),""))</f>
        <v>突風</v>
      </c>
      <c r="BJ229" s="37" t="str">
        <f t="array" ref="BJ229">IF($A229="","",IFERROR(INDEX(CS!$B$1:$B$15025,MATCH($A229,CS!$B:$B,0)+COLUMN(D$1),1),""))</f>
        <v/>
      </c>
      <c r="BK229" s="37" t="str">
        <f t="array" ref="BK229">IF($A229="","",IFERROR(INDEX(CS!$B$1:$B$15025,MATCH($A229,CS!$B:$B,0)+COLUMN(E$1),1),""))</f>
        <v>風の適用</v>
      </c>
      <c r="BL229" s="37" t="str">
        <f t="array" ref="BL229">IF($A229="","",IFERROR(INDEX(CS!$B$1:$B$15025,MATCH($A229,CS!$B:$B,0)+COLUMN(F$1),1),""))</f>
        <v/>
      </c>
      <c r="BM229" s="37" t="str">
        <f t="array" ref="BM229">IF($A229="","",IFERROR(INDEX(CS!$B$1:$B$15025,MATCH($A229,CS!$B:$B,0)+COLUMN(G$1),1),""))</f>
        <v>上昇烈風</v>
      </c>
      <c r="BN229" s="37" t="str">
        <f t="array" ref="BN229">IF($A229="","",IFERROR(INDEX(CS!$B$1:$B$15025,MATCH($A229,CS!$B:$B,0)+COLUMN(H$1),1),""))</f>
        <v/>
      </c>
      <c r="BO229" s="37" t="str">
        <f t="array" ref="BO229">IF($A229="","",IFERROR(INDEX(CS!$B$1:$B$15025,MATCH($A229,CS!$B:$B,0)+COLUMN(I$1),1),""))</f>
        <v>風強化</v>
      </c>
      <c r="BP229" s="37" t="str">
        <f t="array" ref="BP229">IF($A229="","",IFERROR(INDEX(CS!$B$1:$B$15025,MATCH($A229,CS!$B:$B,0)+COLUMN(J$1),1),""))</f>
        <v>風衝矢</v>
      </c>
      <c r="BR229" s="39" t="s">
        <v>2897</v>
      </c>
      <c r="BS229" s="74"/>
      <c r="BU229" s="39" t="s">
        <v>2898</v>
      </c>
      <c r="CG229" s="37" t="s">
        <v>2815</v>
      </c>
      <c r="CJ229" s="37" t="s">
        <v>2809</v>
      </c>
      <c r="CK229" s="37" t="s">
        <v>2802</v>
      </c>
      <c r="CN229" s="37" t="s">
        <v>2814</v>
      </c>
      <c r="CQ229" s="37"/>
      <c r="CR229" s="37"/>
    </row>
    <row r="230" ht="18.75" customHeight="1" outlineLevel="1">
      <c r="A230" s="39" t="s">
        <v>2344</v>
      </c>
      <c r="B230" s="89"/>
      <c r="C230" s="39" t="s">
        <v>2799</v>
      </c>
      <c r="D230" s="72" t="str">
        <f t="shared" si="11"/>
        <v>760/490/270</v>
      </c>
      <c r="E230" s="39">
        <v>2.0</v>
      </c>
      <c r="F230" s="39">
        <v>75.0</v>
      </c>
      <c r="I230" s="39">
        <v>65.0</v>
      </c>
      <c r="J230" s="39">
        <v>65.0</v>
      </c>
      <c r="K230" s="87">
        <v>60.0</v>
      </c>
      <c r="L230" s="39">
        <v>75.0</v>
      </c>
      <c r="M230" s="39">
        <v>70.0</v>
      </c>
      <c r="N230" s="39">
        <v>80.0</v>
      </c>
      <c r="P230" s="37">
        <v>0.0</v>
      </c>
      <c r="Q230" s="64"/>
      <c r="R230" s="64"/>
      <c r="S230" s="64"/>
      <c r="T230" s="64"/>
      <c r="U230" s="64"/>
      <c r="V230" s="64"/>
      <c r="W230" s="64"/>
      <c r="X230" s="64"/>
      <c r="Y230" s="64"/>
      <c r="Z230" s="64"/>
      <c r="AA230" s="64"/>
      <c r="AJ230" s="37">
        <v>0.0</v>
      </c>
      <c r="AK230" s="37">
        <v>0.0</v>
      </c>
      <c r="AL230" s="37">
        <v>50.0</v>
      </c>
      <c r="AM230" s="37">
        <v>30.0</v>
      </c>
      <c r="AN230" s="37">
        <v>25.0</v>
      </c>
      <c r="AO230" s="37">
        <v>0.0</v>
      </c>
      <c r="AP230" s="37">
        <v>0.0</v>
      </c>
      <c r="AQ230" s="37">
        <v>35.0</v>
      </c>
      <c r="AR230" s="37">
        <v>50.0</v>
      </c>
      <c r="AS230" s="37">
        <v>0.0</v>
      </c>
      <c r="AT230" s="37">
        <v>0.0</v>
      </c>
      <c r="AU230" s="37">
        <v>0.0</v>
      </c>
      <c r="AV230" s="37">
        <v>0.0</v>
      </c>
      <c r="AW230" s="37">
        <v>25.0</v>
      </c>
      <c r="AX230" s="37">
        <v>0.0</v>
      </c>
      <c r="AY230" s="37">
        <v>55.0</v>
      </c>
      <c r="AZ230" s="37">
        <v>0.0</v>
      </c>
      <c r="BG230" s="37" t="str">
        <f t="array" ref="BG230">IF($A230="","",IFERROR(INDEX(CS!$B$1:$B$15025,MATCH($A230,CS!$B:$B,0)+COLUMN(A$1),1),""))</f>
        <v>岩の武器</v>
      </c>
      <c r="BH230" s="37" t="str">
        <f t="array" ref="BH230">IF($A230="","",IFERROR(INDEX(CS!$B$1:$B$15025,MATCH($A230,CS!$B:$B,0)+COLUMN(B$1),1),""))</f>
        <v/>
      </c>
      <c r="BI230" s="37" t="str">
        <f t="array" ref="BI230">IF($A230="","",IFERROR(INDEX(CS!$B$1:$B$15025,MATCH($A230,CS!$B:$B,0)+COLUMN(C$1),1),""))</f>
        <v>魔法の石</v>
      </c>
      <c r="BJ230" s="37" t="str">
        <f t="array" ref="BJ230">IF($A230="","",IFERROR(INDEX(CS!$B$1:$B$15025,MATCH($A230,CS!$B:$B,0)+COLUMN(D$1),1),""))</f>
        <v/>
      </c>
      <c r="BK230" s="37" t="str">
        <f t="array" ref="BK230">IF($A230="","",IFERROR(INDEX(CS!$B$1:$B$15025,MATCH($A230,CS!$B:$B,0)+COLUMN(E$1),1),""))</f>
        <v>石の適用</v>
      </c>
      <c r="BL230" s="37" t="str">
        <f t="array" ref="BL230">IF($A230="","",IFERROR(INDEX(CS!$B$1:$B$15025,MATCH($A230,CS!$B:$B,0)+COLUMN(F$1),1),""))</f>
        <v/>
      </c>
      <c r="BM230" s="37" t="str">
        <f t="array" ref="BM230">IF($A230="","",IFERROR(INDEX(CS!$B$1:$B$15025,MATCH($A230,CS!$B:$B,0)+COLUMN(G$1),1),""))</f>
        <v>水晶片</v>
      </c>
      <c r="BN230" s="37" t="str">
        <f t="array" ref="BN230">IF($A230="","",IFERROR(INDEX(CS!$B$1:$B$15025,MATCH($A230,CS!$B:$B,0)+COLUMN(H$1),1),""))</f>
        <v/>
      </c>
      <c r="BO230" s="37" t="str">
        <f t="array" ref="BO230">IF($A230="","",IFERROR(INDEX(CS!$B$1:$B$15025,MATCH($A230,CS!$B:$B,0)+COLUMN(I$1),1),""))</f>
        <v>地強化</v>
      </c>
      <c r="BP230" s="37" t="str">
        <f t="array" ref="BP230">IF($A230="","",IFERROR(INDEX(CS!$B$1:$B$15025,MATCH($A230,CS!$B:$B,0)+COLUMN(J$1),1),""))</f>
        <v>岩砕矢</v>
      </c>
      <c r="BR230" s="39" t="s">
        <v>2897</v>
      </c>
      <c r="BS230" s="74"/>
      <c r="BU230" s="39" t="s">
        <v>2898</v>
      </c>
      <c r="CG230" s="37" t="s">
        <v>2815</v>
      </c>
      <c r="CJ230" s="37" t="s">
        <v>2809</v>
      </c>
      <c r="CK230" s="37" t="s">
        <v>2802</v>
      </c>
      <c r="CN230" s="37" t="s">
        <v>2814</v>
      </c>
      <c r="CQ230" s="37"/>
      <c r="CR230" s="37"/>
    </row>
    <row r="231" ht="18.75" customHeight="1">
      <c r="B231" s="71"/>
      <c r="D231" s="72"/>
      <c r="K231" s="73"/>
      <c r="P231" s="37" t="s">
        <v>29</v>
      </c>
      <c r="Q231" s="64"/>
      <c r="R231" s="64"/>
      <c r="S231" s="64"/>
      <c r="T231" s="64"/>
      <c r="U231" s="64"/>
      <c r="V231" s="64"/>
      <c r="W231" s="64"/>
      <c r="X231" s="64"/>
      <c r="Y231" s="64"/>
      <c r="Z231" s="64"/>
      <c r="AA231" s="64"/>
      <c r="BG231" s="37" t="str">
        <f t="array" ref="BG231">IF($A231="","", INDEX(CS!$B$1:$B$15025,MATCH($A231,CS!$B:$B,0)+COLUMN(A$1),1))</f>
        <v/>
      </c>
      <c r="BH231" s="37" t="str">
        <f t="array" ref="BH231">IF($A231="","", INDEX(CS!$B$1:$B$15025,MATCH($A231,CS!$B:$B,0)+COLUMN(B$1),1))</f>
        <v/>
      </c>
      <c r="BI231" s="37" t="str">
        <f t="array" ref="BI231">IF($A231="","", INDEX(CS!$B$1:$B$15025,MATCH($A231,CS!$B:$B,0)+COLUMN(C$1),1))</f>
        <v/>
      </c>
      <c r="BJ231" s="37" t="str">
        <f t="array" ref="BJ231">IF($A231="","", INDEX(CS!$B$1:$B$15025,MATCH($A231,CS!$B:$B,0)+COLUMN(D$1),1))</f>
        <v/>
      </c>
      <c r="BK231" s="37" t="str">
        <f t="array" ref="BK231">IF($A231="","", INDEX(CS!$B$1:$B$15025,MATCH($A231,CS!$B:$B,0)+COLUMN(E$1),1))</f>
        <v/>
      </c>
      <c r="BL231" s="37" t="str">
        <f t="array" ref="BL231">IF($A231="","", INDEX(CS!$B$1:$B$15025,MATCH($A231,CS!$B:$B,0)+COLUMN(F$1),1))</f>
        <v/>
      </c>
      <c r="BM231" s="37" t="str">
        <f t="array" ref="BM231">IF($A231="","", INDEX(CS!$B$1:$B$15025,MATCH($A231,CS!$B:$B,0)+COLUMN(G$1),1))</f>
        <v/>
      </c>
      <c r="BN231" s="37" t="str">
        <f t="array" ref="BN231">IF($A231="","", INDEX(CS!$B$1:$B$15025,MATCH($A231,CS!$B:$B,0)+COLUMN(H$1),1))</f>
        <v/>
      </c>
      <c r="BO231" s="37" t="str">
        <f t="array" ref="BO231">IF($A231="","", INDEX(CS!$B$1:$B$15025,MATCH($A231,CS!$B:$B,0)+COLUMN(I$1),1))</f>
        <v/>
      </c>
      <c r="BP231" s="37" t="str">
        <f t="array" ref="BP231">IF($A231="","", INDEX(CS!$B$1:$B$15025,MATCH($A231,CS!$B:$B,0)+COLUMN(J$1),1))</f>
        <v/>
      </c>
      <c r="BS231" s="74"/>
      <c r="CI231" s="37" t="s">
        <v>2828</v>
      </c>
      <c r="CJ231" s="37" t="s">
        <v>2809</v>
      </c>
      <c r="CK231" s="37" t="s">
        <v>2802</v>
      </c>
      <c r="CQ231" s="37"/>
      <c r="CR231" s="37"/>
    </row>
    <row r="232" ht="20.25" customHeight="1">
      <c r="B232" s="85" t="s">
        <v>2899</v>
      </c>
      <c r="D232" s="72" t="str">
        <f t="shared" ref="D232:D248" si="12">SUM(AJ232:AZ232,F232:N232)&amp;"/"&amp;SUM(F232:N232)&amp;"/"&amp;SUM(AJ232:AZ232)</f>
        <v>0/0/0</v>
      </c>
      <c r="E232" s="37">
        <v>1.0</v>
      </c>
      <c r="K232" s="73"/>
      <c r="P232" s="37" t="s">
        <v>29</v>
      </c>
      <c r="Q232" s="64"/>
      <c r="R232" s="64"/>
      <c r="S232" s="64"/>
      <c r="T232" s="64"/>
      <c r="U232" s="64"/>
      <c r="V232" s="64"/>
      <c r="W232" s="64"/>
      <c r="X232" s="64"/>
      <c r="Y232" s="64"/>
      <c r="Z232" s="64"/>
      <c r="AA232" s="64"/>
      <c r="BG232" s="37" t="str">
        <f t="array" ref="BG232">IF($A232="","", INDEX(CS!$B$1:$B$15025,MATCH($A232,CS!$B:$B,0)+COLUMN(A$1),1))</f>
        <v/>
      </c>
      <c r="BH232" s="37" t="str">
        <f t="array" ref="BH232">IF($A232="","", INDEX(CS!$B$1:$B$15025,MATCH($A232,CS!$B:$B,0)+COLUMN(B$1),1))</f>
        <v/>
      </c>
      <c r="BI232" s="37" t="str">
        <f t="array" ref="BI232">IF($A232="","", INDEX(CS!$B$1:$B$15025,MATCH($A232,CS!$B:$B,0)+COLUMN(C$1),1))</f>
        <v/>
      </c>
      <c r="BJ232" s="37" t="str">
        <f t="array" ref="BJ232">IF($A232="","", INDEX(CS!$B$1:$B$15025,MATCH($A232,CS!$B:$B,0)+COLUMN(D$1),1))</f>
        <v/>
      </c>
      <c r="BK232" s="37" t="str">
        <f t="array" ref="BK232">IF($A232="","", INDEX(CS!$B$1:$B$15025,MATCH($A232,CS!$B:$B,0)+COLUMN(E$1),1))</f>
        <v/>
      </c>
      <c r="BL232" s="37" t="str">
        <f t="array" ref="BL232">IF($A232="","", INDEX(CS!$B$1:$B$15025,MATCH($A232,CS!$B:$B,0)+COLUMN(F$1),1))</f>
        <v/>
      </c>
      <c r="BM232" s="37" t="str">
        <f t="array" ref="BM232">IF($A232="","", INDEX(CS!$B$1:$B$15025,MATCH($A232,CS!$B:$B,0)+COLUMN(G$1),1))</f>
        <v/>
      </c>
      <c r="BN232" s="37" t="str">
        <f t="array" ref="BN232">IF($A232="","", INDEX(CS!$B$1:$B$15025,MATCH($A232,CS!$B:$B,0)+COLUMN(H$1),1))</f>
        <v/>
      </c>
      <c r="BO232" s="37" t="str">
        <f t="array" ref="BO232">IF($A232="","", INDEX(CS!$B$1:$B$15025,MATCH($A232,CS!$B:$B,0)+COLUMN(I$1),1))</f>
        <v/>
      </c>
      <c r="BP232" s="37" t="str">
        <f t="array" ref="BP232">IF($A232="","", INDEX(CS!$B$1:$B$15025,MATCH($A232,CS!$B:$B,0)+COLUMN(J$1),1))</f>
        <v/>
      </c>
      <c r="BS232" s="74"/>
      <c r="BW232" s="57"/>
      <c r="BX232" s="57"/>
      <c r="BY232" s="57"/>
      <c r="BZ232" s="57"/>
      <c r="CA232" s="57"/>
      <c r="CQ232" s="37"/>
      <c r="CR232" s="37"/>
    </row>
    <row r="233" ht="18.75" customHeight="1" outlineLevel="1">
      <c r="A233" s="37" t="s">
        <v>1494</v>
      </c>
      <c r="B233" s="71"/>
      <c r="C233" s="37" t="s">
        <v>2900</v>
      </c>
      <c r="D233" s="72" t="str">
        <f t="shared" si="12"/>
        <v>740/490/250</v>
      </c>
      <c r="E233" s="37">
        <v>1.0</v>
      </c>
      <c r="F233" s="37">
        <v>100.0</v>
      </c>
      <c r="I233" s="37">
        <v>90.0</v>
      </c>
      <c r="J233" s="37">
        <v>90.0</v>
      </c>
      <c r="K233" s="73">
        <v>0.0</v>
      </c>
      <c r="L233" s="37">
        <v>50.0</v>
      </c>
      <c r="M233" s="37">
        <v>80.0</v>
      </c>
      <c r="N233" s="37">
        <v>80.0</v>
      </c>
      <c r="O233" s="37">
        <v>230.0</v>
      </c>
      <c r="P233" s="37">
        <v>0.0</v>
      </c>
      <c r="Q233" s="64"/>
      <c r="R233" s="64"/>
      <c r="S233" s="64"/>
      <c r="T233" s="64"/>
      <c r="U233" s="64"/>
      <c r="V233" s="64"/>
      <c r="W233" s="64"/>
      <c r="X233" s="64"/>
      <c r="Y233" s="64"/>
      <c r="Z233" s="64"/>
      <c r="AA233" s="64"/>
      <c r="AC233" s="37">
        <v>-35.0</v>
      </c>
      <c r="AD233" s="37">
        <v>10.0</v>
      </c>
      <c r="AF233" s="37">
        <v>15.0</v>
      </c>
      <c r="AG233" s="37">
        <v>10.0</v>
      </c>
      <c r="AJ233" s="39">
        <v>0.0</v>
      </c>
      <c r="AK233" s="39">
        <v>50.0</v>
      </c>
      <c r="AL233" s="39">
        <v>0.0</v>
      </c>
      <c r="AM233" s="39">
        <v>75.0</v>
      </c>
      <c r="AN233" s="39">
        <v>0.0</v>
      </c>
      <c r="AO233" s="39">
        <v>0.0</v>
      </c>
      <c r="AP233" s="39">
        <v>0.0</v>
      </c>
      <c r="AQ233" s="39">
        <v>75.0</v>
      </c>
      <c r="AR233" s="39">
        <v>50.0</v>
      </c>
      <c r="AS233" s="39">
        <v>0.0</v>
      </c>
      <c r="AT233" s="39">
        <v>0.0</v>
      </c>
      <c r="AU233" s="39">
        <v>0.0</v>
      </c>
      <c r="AV233" s="39">
        <v>0.0</v>
      </c>
      <c r="AW233" s="39">
        <v>0.0</v>
      </c>
      <c r="AX233" s="39">
        <v>0.0</v>
      </c>
      <c r="AY233" s="39">
        <v>0.0</v>
      </c>
      <c r="AZ233" s="39">
        <v>0.0</v>
      </c>
      <c r="BA233" s="39">
        <v>0.0</v>
      </c>
      <c r="BB233" s="39">
        <v>100.0</v>
      </c>
      <c r="BC233" s="39">
        <v>140.0</v>
      </c>
      <c r="BD233" s="39">
        <v>0.0</v>
      </c>
      <c r="BE233" s="39">
        <v>0.0</v>
      </c>
      <c r="BF233" s="39">
        <v>30.0</v>
      </c>
      <c r="BG233" s="37" t="str">
        <f t="array" ref="BG233">IF($A233="","", INDEX(CS!$B$1:$B$15025,MATCH($A233,CS!$B:$B,0)+COLUMN(A$1),1))</f>
        <v>爪</v>
      </c>
      <c r="BH233" s="37" t="str">
        <f t="array" ref="BH233">IF($A233="","", INDEX(CS!$B$1:$B$15025,MATCH($A233,CS!$B:$B,0)+COLUMN(B$1),1))</f>
        <v>牙</v>
      </c>
      <c r="BI233" s="37" t="str">
        <f t="array" ref="BI233">IF($A233="","", INDEX(CS!$B$1:$B$15025,MATCH($A233,CS!$B:$B,0)+COLUMN(C$1),1))</f>
        <v>猛獣の爪</v>
      </c>
      <c r="BJ233" s="37" t="str">
        <f t="array" ref="BJ233">IF($A233="","", INDEX(CS!$B$1:$B$15025,MATCH($A233,CS!$B:$B,0)+COLUMN(D$1),1))</f>
        <v>猛獣の飛びかかり</v>
      </c>
      <c r="BK233" s="37" t="str">
        <f t="array" ref="BK233">IF($A233="","", INDEX(CS!$B$1:$B$15025,MATCH($A233,CS!$B:$B,0)+COLUMN(E$1),1))</f>
        <v>反応</v>
      </c>
      <c r="BL233" s="37" t="str">
        <f t="array" ref="BL233">IF($A233="","", INDEX(CS!$B$1:$B$15025,MATCH($A233,CS!$B:$B,0)+COLUMN(F$1),1))</f>
        <v/>
      </c>
      <c r="BM233" s="37" t="str">
        <f t="array" ref="BM233">IF($A233="","", INDEX(CS!$B$1:$B$15025,MATCH($A233,CS!$B:$B,0)+COLUMN(G$1),1))</f>
        <v>野生感覚</v>
      </c>
      <c r="BN233" s="37" t="str">
        <f t="array" ref="BN233">IF($A233="","", INDEX(CS!$B$1:$B$15025,MATCH($A233,CS!$B:$B,0)+COLUMN(H$1),1))</f>
        <v/>
      </c>
      <c r="BO233" s="37" t="str">
        <f t="array" ref="BO233">IF($A233="","", INDEX(CS!$B$1:$B$15025,MATCH($A233,CS!$B:$B,0)+COLUMN(I$1),1))</f>
        <v/>
      </c>
      <c r="BP233" s="37" t="str">
        <f t="array" ref="BP233">IF($A233="","", INDEX(CS!$B$1:$B$15025,MATCH($A233,CS!$B:$B,0)+COLUMN(J$1),1))</f>
        <v/>
      </c>
      <c r="BS233" s="74"/>
      <c r="BV233" s="37" t="s">
        <v>2661</v>
      </c>
      <c r="BW233" s="57">
        <v>120.0</v>
      </c>
      <c r="BX233" s="75">
        <v>10.0</v>
      </c>
      <c r="BY233" s="75">
        <v>10.0</v>
      </c>
      <c r="BZ233" s="75">
        <v>90.0</v>
      </c>
      <c r="CA233" s="75">
        <v>10.0</v>
      </c>
      <c r="CD233" s="75">
        <v>4.0</v>
      </c>
      <c r="CE233" s="75"/>
      <c r="CG233" s="37" t="s">
        <v>2734</v>
      </c>
      <c r="CH233" s="37" t="s">
        <v>2734</v>
      </c>
      <c r="CK233" s="37" t="s">
        <v>2734</v>
      </c>
      <c r="CN233" s="37" t="s">
        <v>2900</v>
      </c>
      <c r="CQ233" s="37"/>
      <c r="CR233" s="37"/>
    </row>
    <row r="234" ht="18.75" customHeight="1" outlineLevel="1">
      <c r="A234" s="37" t="s">
        <v>1501</v>
      </c>
      <c r="B234" s="71"/>
      <c r="C234" s="37" t="s">
        <v>2900</v>
      </c>
      <c r="D234" s="72" t="str">
        <f t="shared" si="12"/>
        <v>710/485/225</v>
      </c>
      <c r="E234" s="37">
        <v>1.0</v>
      </c>
      <c r="F234" s="37">
        <v>90.0</v>
      </c>
      <c r="I234" s="37">
        <v>85.0</v>
      </c>
      <c r="J234" s="37">
        <v>75.0</v>
      </c>
      <c r="K234" s="73">
        <v>0.0</v>
      </c>
      <c r="L234" s="37">
        <v>50.0</v>
      </c>
      <c r="M234" s="37">
        <v>100.0</v>
      </c>
      <c r="N234" s="37">
        <v>85.0</v>
      </c>
      <c r="O234" s="37">
        <v>175.0</v>
      </c>
      <c r="P234" s="37">
        <v>0.0</v>
      </c>
      <c r="Q234" s="64"/>
      <c r="R234" s="64"/>
      <c r="S234" s="64"/>
      <c r="T234" s="64"/>
      <c r="U234" s="64"/>
      <c r="V234" s="64"/>
      <c r="W234" s="64"/>
      <c r="X234" s="64"/>
      <c r="Y234" s="64"/>
      <c r="Z234" s="64"/>
      <c r="AA234" s="64"/>
      <c r="AC234" s="37">
        <v>-35.0</v>
      </c>
      <c r="AD234" s="37">
        <v>10.0</v>
      </c>
      <c r="AF234" s="37">
        <v>15.0</v>
      </c>
      <c r="AG234" s="37">
        <v>10.0</v>
      </c>
      <c r="AJ234" s="39">
        <v>0.0</v>
      </c>
      <c r="AK234" s="39">
        <v>50.0</v>
      </c>
      <c r="AL234" s="39">
        <v>0.0</v>
      </c>
      <c r="AM234" s="39">
        <v>50.0</v>
      </c>
      <c r="AN234" s="39">
        <v>0.0</v>
      </c>
      <c r="AO234" s="39">
        <v>0.0</v>
      </c>
      <c r="AP234" s="39">
        <v>0.0</v>
      </c>
      <c r="AQ234" s="39">
        <v>50.0</v>
      </c>
      <c r="AR234" s="39">
        <v>75.0</v>
      </c>
      <c r="AS234" s="39">
        <v>0.0</v>
      </c>
      <c r="AT234" s="39">
        <v>0.0</v>
      </c>
      <c r="AU234" s="39">
        <v>0.0</v>
      </c>
      <c r="AV234" s="39">
        <v>0.0</v>
      </c>
      <c r="AW234" s="39">
        <v>0.0</v>
      </c>
      <c r="AX234" s="39">
        <v>0.0</v>
      </c>
      <c r="AY234" s="39">
        <v>0.0</v>
      </c>
      <c r="AZ234" s="39">
        <v>0.0</v>
      </c>
      <c r="BA234" s="39">
        <v>0.0</v>
      </c>
      <c r="BB234" s="39">
        <v>120.0</v>
      </c>
      <c r="BC234" s="39">
        <v>50.0</v>
      </c>
      <c r="BD234" s="39">
        <v>0.0</v>
      </c>
      <c r="BE234" s="39">
        <v>0.0</v>
      </c>
      <c r="BF234" s="39">
        <v>20.0</v>
      </c>
      <c r="BG234" s="37" t="str">
        <f t="array" ref="BG234">IF($A234="","", INDEX(CS!$B$1:$B$15025,MATCH($A234,CS!$B:$B,0)+COLUMN(A$1),1))</f>
        <v>爪</v>
      </c>
      <c r="BH234" s="37" t="str">
        <f t="array" ref="BH234">IF($A234="","", INDEX(CS!$B$1:$B$15025,MATCH($A234,CS!$B:$B,0)+COLUMN(B$1),1))</f>
        <v>牙</v>
      </c>
      <c r="BI234" s="37" t="str">
        <f t="array" ref="BI234">IF($A234="","", INDEX(CS!$B$1:$B$15025,MATCH($A234,CS!$B:$B,0)+COLUMN(C$1),1))</f>
        <v>狼の牙</v>
      </c>
      <c r="BJ234" s="37" t="str">
        <f t="array" ref="BJ234">IF($A234="","", INDEX(CS!$B$1:$B$15025,MATCH($A234,CS!$B:$B,0)+COLUMN(D$1),1))</f>
        <v>猛獣の飛びかかり</v>
      </c>
      <c r="BK234" s="37" t="str">
        <f t="array" ref="BK234">IF($A234="","", INDEX(CS!$B$1:$B$15025,MATCH($A234,CS!$B:$B,0)+COLUMN(E$1),1))</f>
        <v>反応</v>
      </c>
      <c r="BL234" s="37" t="str">
        <f t="array" ref="BL234">IF($A234="","", INDEX(CS!$B$1:$B$15025,MATCH($A234,CS!$B:$B,0)+COLUMN(F$1),1))</f>
        <v/>
      </c>
      <c r="BM234" s="37" t="str">
        <f t="array" ref="BM234">IF($A234="","", INDEX(CS!$B$1:$B$15025,MATCH($A234,CS!$B:$B,0)+COLUMN(G$1),1))</f>
        <v>野生感覚</v>
      </c>
      <c r="BN234" s="37" t="str">
        <f t="array" ref="BN234">IF($A234="","", INDEX(CS!$B$1:$B$15025,MATCH($A234,CS!$B:$B,0)+COLUMN(H$1),1))</f>
        <v/>
      </c>
      <c r="BO234" s="37" t="str">
        <f t="array" ref="BO234">IF($A234="","", INDEX(CS!$B$1:$B$15025,MATCH($A234,CS!$B:$B,0)+COLUMN(I$1),1))</f>
        <v/>
      </c>
      <c r="BP234" s="37" t="str">
        <f t="array" ref="BP234">IF($A234="","", INDEX(CS!$B$1:$B$15025,MATCH($A234,CS!$B:$B,0)+COLUMN(J$1),1))</f>
        <v/>
      </c>
      <c r="BS234" s="74"/>
      <c r="BV234" s="37" t="s">
        <v>2661</v>
      </c>
      <c r="BW234" s="57">
        <v>110.0</v>
      </c>
      <c r="BX234" s="75">
        <v>10.0</v>
      </c>
      <c r="BY234" s="75">
        <v>10.0</v>
      </c>
      <c r="BZ234" s="75">
        <v>80.0</v>
      </c>
      <c r="CA234" s="75">
        <v>10.0</v>
      </c>
      <c r="CD234" s="75">
        <v>4.0</v>
      </c>
      <c r="CE234" s="75"/>
      <c r="CG234" s="37" t="s">
        <v>2734</v>
      </c>
      <c r="CH234" s="37" t="s">
        <v>2734</v>
      </c>
      <c r="CK234" s="37" t="s">
        <v>2734</v>
      </c>
      <c r="CN234" s="37" t="s">
        <v>2900</v>
      </c>
      <c r="CQ234" s="37"/>
      <c r="CR234" s="37"/>
    </row>
    <row r="235" ht="18.75" customHeight="1" outlineLevel="1">
      <c r="A235" s="37" t="s">
        <v>1504</v>
      </c>
      <c r="B235" s="71"/>
      <c r="C235" s="37" t="s">
        <v>2900</v>
      </c>
      <c r="D235" s="72" t="str">
        <f t="shared" si="12"/>
        <v>650/450/200</v>
      </c>
      <c r="E235" s="37">
        <v>1.0</v>
      </c>
      <c r="F235" s="37">
        <v>90.0</v>
      </c>
      <c r="I235" s="37">
        <v>85.0</v>
      </c>
      <c r="J235" s="37">
        <v>75.0</v>
      </c>
      <c r="K235" s="73">
        <v>0.0</v>
      </c>
      <c r="L235" s="37">
        <v>50.0</v>
      </c>
      <c r="M235" s="37">
        <v>75.0</v>
      </c>
      <c r="N235" s="37">
        <v>75.0</v>
      </c>
      <c r="O235" s="37">
        <v>150.0</v>
      </c>
      <c r="P235" s="37">
        <v>0.0</v>
      </c>
      <c r="Q235" s="64"/>
      <c r="R235" s="64"/>
      <c r="S235" s="64"/>
      <c r="T235" s="64"/>
      <c r="U235" s="64"/>
      <c r="V235" s="64"/>
      <c r="W235" s="64"/>
      <c r="X235" s="64"/>
      <c r="Y235" s="64"/>
      <c r="Z235" s="64"/>
      <c r="AA235" s="64"/>
      <c r="AC235" s="37">
        <v>-35.0</v>
      </c>
      <c r="AD235" s="37">
        <v>10.0</v>
      </c>
      <c r="AF235" s="37">
        <v>15.0</v>
      </c>
      <c r="AG235" s="37">
        <v>10.0</v>
      </c>
      <c r="AJ235" s="39">
        <v>0.0</v>
      </c>
      <c r="AK235" s="39">
        <v>25.0</v>
      </c>
      <c r="AL235" s="39">
        <v>0.0</v>
      </c>
      <c r="AM235" s="39">
        <v>50.0</v>
      </c>
      <c r="AN235" s="39">
        <v>0.0</v>
      </c>
      <c r="AO235" s="39">
        <v>0.0</v>
      </c>
      <c r="AP235" s="39">
        <v>0.0</v>
      </c>
      <c r="AQ235" s="39">
        <v>75.0</v>
      </c>
      <c r="AR235" s="39">
        <v>50.0</v>
      </c>
      <c r="AS235" s="39">
        <v>0.0</v>
      </c>
      <c r="AT235" s="39">
        <v>0.0</v>
      </c>
      <c r="AU235" s="39">
        <v>0.0</v>
      </c>
      <c r="AV235" s="39">
        <v>0.0</v>
      </c>
      <c r="AW235" s="39">
        <v>0.0</v>
      </c>
      <c r="AX235" s="39">
        <v>0.0</v>
      </c>
      <c r="AY235" s="39">
        <v>0.0</v>
      </c>
      <c r="AZ235" s="39">
        <v>0.0</v>
      </c>
      <c r="BA235" s="39">
        <v>0.0</v>
      </c>
      <c r="BB235" s="39">
        <v>110.0</v>
      </c>
      <c r="BC235" s="39">
        <v>0.0</v>
      </c>
      <c r="BD235" s="39">
        <v>60.0</v>
      </c>
      <c r="BE235" s="39">
        <v>0.0</v>
      </c>
      <c r="BF235" s="39">
        <v>10.0</v>
      </c>
      <c r="BG235" s="37" t="str">
        <f t="array" ref="BG235">IF($A235="","", INDEX(CS!$B$1:$B$15025,MATCH($A235,CS!$B:$B,0)+COLUMN(A$1),1))</f>
        <v>牙</v>
      </c>
      <c r="BH235" s="37" t="str">
        <f t="array" ref="BH235">IF($A235="","", INDEX(CS!$B$1:$B$15025,MATCH($A235,CS!$B:$B,0)+COLUMN(B$1),1))</f>
        <v>尾</v>
      </c>
      <c r="BI235" s="37" t="str">
        <f t="array" ref="BI235">IF($A235="","", INDEX(CS!$B$1:$B$15025,MATCH($A235,CS!$B:$B,0)+COLUMN(C$1),1))</f>
        <v>尾の巻き付き</v>
      </c>
      <c r="BJ235" s="37" t="str">
        <f t="array" ref="BJ235">IF($A235="","", INDEX(CS!$B$1:$B$15025,MATCH($A235,CS!$B:$B,0)+COLUMN(D$1),1))</f>
        <v>蛇の締め</v>
      </c>
      <c r="BK235" s="37" t="str">
        <f t="array" ref="BK235">IF($A235="","", INDEX(CS!$B$1:$B$15025,MATCH($A235,CS!$B:$B,0)+COLUMN(E$1),1))</f>
        <v>反応</v>
      </c>
      <c r="BL235" s="37" t="str">
        <f t="array" ref="BL235">IF($A235="","", INDEX(CS!$B$1:$B$15025,MATCH($A235,CS!$B:$B,0)+COLUMN(F$1),1))</f>
        <v/>
      </c>
      <c r="BM235" s="37" t="str">
        <f t="array" ref="BM235">IF($A235="","", INDEX(CS!$B$1:$B$15025,MATCH($A235,CS!$B:$B,0)+COLUMN(G$1),1))</f>
        <v>野生感覚</v>
      </c>
      <c r="BN235" s="37" t="str">
        <f t="array" ref="BN235">IF($A235="","", INDEX(CS!$B$1:$B$15025,MATCH($A235,CS!$B:$B,0)+COLUMN(H$1),1))</f>
        <v/>
      </c>
      <c r="BO235" s="37" t="str">
        <f t="array" ref="BO235">IF($A235="","", INDEX(CS!$B$1:$B$15025,MATCH($A235,CS!$B:$B,0)+COLUMN(I$1),1))</f>
        <v/>
      </c>
      <c r="BP235" s="37" t="str">
        <f t="array" ref="BP235">IF($A235="","", INDEX(CS!$B$1:$B$15025,MATCH($A235,CS!$B:$B,0)+COLUMN(J$1),1))</f>
        <v/>
      </c>
      <c r="BS235" s="74"/>
      <c r="BV235" s="37" t="s">
        <v>2661</v>
      </c>
      <c r="BW235" s="57">
        <v>85.0</v>
      </c>
      <c r="BX235" s="75">
        <v>5.0</v>
      </c>
      <c r="BY235" s="75">
        <v>0.0</v>
      </c>
      <c r="BZ235" s="75">
        <v>70.0</v>
      </c>
      <c r="CA235" s="75">
        <v>10.0</v>
      </c>
      <c r="CD235" s="75">
        <v>1.0</v>
      </c>
      <c r="CE235" s="75"/>
      <c r="CG235" s="37" t="s">
        <v>2734</v>
      </c>
      <c r="CH235" s="37" t="s">
        <v>2734</v>
      </c>
      <c r="CI235" s="37" t="s">
        <v>2734</v>
      </c>
      <c r="CK235" s="37" t="s">
        <v>2734</v>
      </c>
      <c r="CN235" s="37" t="s">
        <v>2900</v>
      </c>
      <c r="CQ235" s="37"/>
      <c r="CR235" s="37"/>
    </row>
    <row r="236" ht="18.75" customHeight="1" outlineLevel="1">
      <c r="A236" s="41" t="s">
        <v>1507</v>
      </c>
      <c r="B236" s="71"/>
      <c r="C236" s="37" t="s">
        <v>2900</v>
      </c>
      <c r="D236" s="72" t="str">
        <f t="shared" si="12"/>
        <v>675/475/200</v>
      </c>
      <c r="E236" s="37">
        <v>1.0</v>
      </c>
      <c r="F236" s="37">
        <v>75.0</v>
      </c>
      <c r="I236" s="37">
        <v>75.0</v>
      </c>
      <c r="J236" s="37">
        <v>75.0</v>
      </c>
      <c r="K236" s="73">
        <v>0.0</v>
      </c>
      <c r="L236" s="37">
        <v>50.0</v>
      </c>
      <c r="M236" s="37">
        <v>100.0</v>
      </c>
      <c r="N236" s="37">
        <v>100.0</v>
      </c>
      <c r="O236" s="37">
        <v>145.0</v>
      </c>
      <c r="P236" s="37">
        <v>0.0</v>
      </c>
      <c r="Q236" s="64"/>
      <c r="R236" s="64"/>
      <c r="S236" s="64"/>
      <c r="T236" s="64"/>
      <c r="U236" s="64"/>
      <c r="V236" s="64"/>
      <c r="W236" s="64"/>
      <c r="X236" s="64"/>
      <c r="Y236" s="64"/>
      <c r="Z236" s="64"/>
      <c r="AA236" s="64"/>
      <c r="AC236" s="37">
        <v>-35.0</v>
      </c>
      <c r="AD236" s="37">
        <v>10.0</v>
      </c>
      <c r="AF236" s="37">
        <v>15.0</v>
      </c>
      <c r="AG236" s="37">
        <v>10.0</v>
      </c>
      <c r="AJ236" s="39">
        <v>0.0</v>
      </c>
      <c r="AK236" s="39">
        <v>0.0</v>
      </c>
      <c r="AL236" s="39">
        <v>0.0</v>
      </c>
      <c r="AM236" s="39">
        <v>75.0</v>
      </c>
      <c r="AN236" s="39">
        <v>0.0</v>
      </c>
      <c r="AO236" s="39">
        <v>0.0</v>
      </c>
      <c r="AP236" s="39">
        <v>0.0</v>
      </c>
      <c r="AQ236" s="39">
        <v>25.0</v>
      </c>
      <c r="AR236" s="39">
        <v>100.0</v>
      </c>
      <c r="AS236" s="39">
        <v>0.0</v>
      </c>
      <c r="AT236" s="39">
        <v>0.0</v>
      </c>
      <c r="AU236" s="39">
        <v>0.0</v>
      </c>
      <c r="AV236" s="39">
        <v>0.0</v>
      </c>
      <c r="AW236" s="39">
        <v>0.0</v>
      </c>
      <c r="AX236" s="39">
        <v>0.0</v>
      </c>
      <c r="AY236" s="39">
        <v>0.0</v>
      </c>
      <c r="AZ236" s="39">
        <v>0.0</v>
      </c>
      <c r="BA236" s="39">
        <v>0.0</v>
      </c>
      <c r="BB236" s="39">
        <v>0.0</v>
      </c>
      <c r="BC236" s="39">
        <v>100.0</v>
      </c>
      <c r="BD236" s="39">
        <v>0.0</v>
      </c>
      <c r="BE236" s="39">
        <v>60.0</v>
      </c>
      <c r="BF236" s="39">
        <v>10.0</v>
      </c>
      <c r="BG236" s="37" t="str">
        <f t="array" ref="BG236">IF($A236="","", INDEX(CS!$B$1:$B$15025,MATCH($A236,CS!$B:$B,0)+COLUMN(A$1),1))</f>
        <v>爪</v>
      </c>
      <c r="BH236" s="37" t="str">
        <f t="array" ref="BH236">IF($A236="","", INDEX(CS!$B$1:$B$15025,MATCH($A236,CS!$B:$B,0)+COLUMN(B$1),1))</f>
        <v>翼</v>
      </c>
      <c r="BI236" s="37" t="str">
        <f t="array" ref="BI236">IF($A236="","", INDEX(CS!$B$1:$B$15025,MATCH($A236,CS!$B:$B,0)+COLUMN(C$1),1))</f>
        <v>鷹の急降下</v>
      </c>
      <c r="BJ236" s="37" t="str">
        <f t="array" ref="BJ236">IF($A236="","", INDEX(CS!$B$1:$B$15025,MATCH($A236,CS!$B:$B,0)+COLUMN(D$1),1))</f>
        <v>鉤爪強化</v>
      </c>
      <c r="BK236" s="37" t="str">
        <f t="array" ref="BK236">IF($A236="","", INDEX(CS!$B$1:$B$15025,MATCH($A236,CS!$B:$B,0)+COLUMN(E$1),1))</f>
        <v>反応</v>
      </c>
      <c r="BL236" s="37" t="str">
        <f t="array" ref="BL236">IF($A236="","", INDEX(CS!$B$1:$B$15025,MATCH($A236,CS!$B:$B,0)+COLUMN(F$1),1))</f>
        <v/>
      </c>
      <c r="BM236" s="37" t="str">
        <f t="array" ref="BM236">IF($A236="","", INDEX(CS!$B$1:$B$15025,MATCH($A236,CS!$B:$B,0)+COLUMN(G$1),1))</f>
        <v>野生感覚</v>
      </c>
      <c r="BN236" s="37" t="str">
        <f t="array" ref="BN236">IF($A236="","", INDEX(CS!$B$1:$B$15025,MATCH($A236,CS!$B:$B,0)+COLUMN(H$1),1))</f>
        <v/>
      </c>
      <c r="BO236" s="37" t="str">
        <f t="array" ref="BO236">IF($A236="","", INDEX(CS!$B$1:$B$15025,MATCH($A236,CS!$B:$B,0)+COLUMN(I$1),1))</f>
        <v/>
      </c>
      <c r="BP236" s="37" t="str">
        <f t="array" ref="BP236">IF($A236="","", INDEX(CS!$B$1:$B$15025,MATCH($A236,CS!$B:$B,0)+COLUMN(J$1),1))</f>
        <v/>
      </c>
      <c r="BS236" s="74"/>
      <c r="BV236" s="37" t="s">
        <v>2661</v>
      </c>
      <c r="BW236" s="57">
        <v>80.0</v>
      </c>
      <c r="BX236" s="75">
        <v>10.0</v>
      </c>
      <c r="BY236" s="75">
        <v>10.0</v>
      </c>
      <c r="BZ236" s="75">
        <v>50.0</v>
      </c>
      <c r="CA236" s="75">
        <v>10.0</v>
      </c>
      <c r="CD236" s="75">
        <v>2.0</v>
      </c>
      <c r="CE236" s="75"/>
      <c r="CG236" s="37" t="s">
        <v>2734</v>
      </c>
      <c r="CH236" s="37" t="s">
        <v>2734</v>
      </c>
      <c r="CK236" s="37" t="s">
        <v>2734</v>
      </c>
      <c r="CN236" s="37" t="s">
        <v>2900</v>
      </c>
      <c r="CQ236" s="37"/>
      <c r="CR236" s="37"/>
    </row>
    <row r="237" ht="18.75" customHeight="1" outlineLevel="1">
      <c r="A237" s="37" t="s">
        <v>1511</v>
      </c>
      <c r="B237" s="71"/>
      <c r="C237" s="37" t="s">
        <v>2900</v>
      </c>
      <c r="D237" s="72" t="str">
        <f t="shared" si="12"/>
        <v>665/490/175</v>
      </c>
      <c r="E237" s="37">
        <v>1.0</v>
      </c>
      <c r="F237" s="37">
        <v>100.0</v>
      </c>
      <c r="I237" s="37">
        <v>100.0</v>
      </c>
      <c r="J237" s="37">
        <v>90.0</v>
      </c>
      <c r="K237" s="73">
        <v>0.0</v>
      </c>
      <c r="L237" s="37">
        <v>50.0</v>
      </c>
      <c r="M237" s="37">
        <v>75.0</v>
      </c>
      <c r="N237" s="37">
        <v>75.0</v>
      </c>
      <c r="O237" s="37">
        <v>300.0</v>
      </c>
      <c r="P237" s="37">
        <v>0.0</v>
      </c>
      <c r="Q237" s="64"/>
      <c r="R237" s="64"/>
      <c r="S237" s="64"/>
      <c r="T237" s="64"/>
      <c r="U237" s="64"/>
      <c r="V237" s="64"/>
      <c r="W237" s="64"/>
      <c r="X237" s="64"/>
      <c r="Y237" s="64"/>
      <c r="Z237" s="64"/>
      <c r="AA237" s="64"/>
      <c r="AC237" s="37">
        <v>-35.0</v>
      </c>
      <c r="AD237" s="37">
        <v>10.0</v>
      </c>
      <c r="AF237" s="37">
        <v>15.0</v>
      </c>
      <c r="AG237" s="37">
        <v>10.0</v>
      </c>
      <c r="AJ237" s="39">
        <v>0.0</v>
      </c>
      <c r="AK237" s="39">
        <v>75.0</v>
      </c>
      <c r="AL237" s="39">
        <v>0.0</v>
      </c>
      <c r="AM237" s="39">
        <v>25.0</v>
      </c>
      <c r="AN237" s="39">
        <v>0.0</v>
      </c>
      <c r="AO237" s="39">
        <v>0.0</v>
      </c>
      <c r="AP237" s="39">
        <v>0.0</v>
      </c>
      <c r="AQ237" s="39">
        <v>25.0</v>
      </c>
      <c r="AR237" s="39">
        <v>50.0</v>
      </c>
      <c r="AS237" s="39">
        <v>0.0</v>
      </c>
      <c r="AT237" s="39">
        <v>0.0</v>
      </c>
      <c r="AU237" s="39">
        <v>0.0</v>
      </c>
      <c r="AV237" s="39">
        <v>0.0</v>
      </c>
      <c r="AW237" s="39">
        <v>0.0</v>
      </c>
      <c r="AX237" s="39">
        <v>0.0</v>
      </c>
      <c r="AY237" s="39">
        <v>0.0</v>
      </c>
      <c r="AZ237" s="39">
        <v>0.0</v>
      </c>
      <c r="BA237" s="39">
        <v>0.0</v>
      </c>
      <c r="BB237" s="39">
        <v>90.0</v>
      </c>
      <c r="BC237" s="39">
        <v>130.0</v>
      </c>
      <c r="BD237" s="39">
        <v>0.0</v>
      </c>
      <c r="BE237" s="39">
        <v>0.0</v>
      </c>
      <c r="BF237" s="39">
        <v>50.0</v>
      </c>
      <c r="BG237" s="37" t="str">
        <f t="array" ref="BG237">IF($A237="","", INDEX(CS!$B$1:$B$15025,MATCH($A237,CS!$B:$B,0)+COLUMN(A$1),1))</f>
        <v>爪</v>
      </c>
      <c r="BH237" s="37" t="str">
        <f t="array" ref="BH237">IF($A237="","", INDEX(CS!$B$1:$B$15025,MATCH($A237,CS!$B:$B,0)+COLUMN(B$1),1))</f>
        <v>牙</v>
      </c>
      <c r="BI237" s="37" t="str">
        <f t="array" ref="BI237">IF($A237="","", INDEX(CS!$B$1:$B$15025,MATCH($A237,CS!$B:$B,0)+COLUMN(C$1),1))</f>
        <v>熊爪</v>
      </c>
      <c r="BJ237" s="37" t="str">
        <f t="array" ref="BJ237">IF($A237="","", INDEX(CS!$B$1:$B$15025,MATCH($A237,CS!$B:$B,0)+COLUMN(D$1),1))</f>
        <v>熊の強打</v>
      </c>
      <c r="BK237" s="37" t="str">
        <f t="array" ref="BK237">IF($A237="","", INDEX(CS!$B$1:$B$15025,MATCH($A237,CS!$B:$B,0)+COLUMN(E$1),1))</f>
        <v>反応</v>
      </c>
      <c r="BL237" s="37" t="str">
        <f t="array" ref="BL237">IF($A237="","", INDEX(CS!$B$1:$B$15025,MATCH($A237,CS!$B:$B,0)+COLUMN(F$1),1))</f>
        <v/>
      </c>
      <c r="BM237" s="37" t="str">
        <f t="array" ref="BM237">IF($A237="","", INDEX(CS!$B$1:$B$15025,MATCH($A237,CS!$B:$B,0)+COLUMN(G$1),1))</f>
        <v>野生感覚</v>
      </c>
      <c r="BN237" s="37" t="str">
        <f t="array" ref="BN237">IF($A237="","", INDEX(CS!$B$1:$B$15025,MATCH($A237,CS!$B:$B,0)+COLUMN(H$1),1))</f>
        <v/>
      </c>
      <c r="BO237" s="37" t="str">
        <f t="array" ref="BO237">IF($A237="","", INDEX(CS!$B$1:$B$15025,MATCH($A237,CS!$B:$B,0)+COLUMN(I$1),1))</f>
        <v/>
      </c>
      <c r="BP237" s="37" t="str">
        <f t="array" ref="BP237">IF($A237="","", INDEX(CS!$B$1:$B$15025,MATCH($A237,CS!$B:$B,0)+COLUMN(J$1),1))</f>
        <v/>
      </c>
      <c r="BS237" s="74"/>
      <c r="BV237" s="37" t="s">
        <v>2661</v>
      </c>
      <c r="BW237" s="57">
        <v>130.0</v>
      </c>
      <c r="BX237" s="75">
        <v>20.0</v>
      </c>
      <c r="BY237" s="75">
        <v>20.0</v>
      </c>
      <c r="BZ237" s="75">
        <v>80.0</v>
      </c>
      <c r="CA237" s="75">
        <v>10.0</v>
      </c>
      <c r="CD237" s="75">
        <v>4.0</v>
      </c>
      <c r="CE237" s="75"/>
      <c r="CG237" s="37" t="s">
        <v>2734</v>
      </c>
      <c r="CH237" s="37" t="s">
        <v>2734</v>
      </c>
      <c r="CK237" s="37" t="s">
        <v>2734</v>
      </c>
      <c r="CN237" s="37" t="s">
        <v>2900</v>
      </c>
      <c r="CQ237" s="37"/>
      <c r="CR237" s="37"/>
    </row>
    <row r="238" ht="18.75" customHeight="1" outlineLevel="1">
      <c r="A238" s="37" t="s">
        <v>1516</v>
      </c>
      <c r="B238" s="71"/>
      <c r="C238" s="37" t="s">
        <v>2900</v>
      </c>
      <c r="D238" s="72" t="str">
        <f t="shared" si="12"/>
        <v>685/485/200</v>
      </c>
      <c r="E238" s="37">
        <v>1.0</v>
      </c>
      <c r="F238" s="37">
        <v>100.0</v>
      </c>
      <c r="I238" s="37">
        <v>100.0</v>
      </c>
      <c r="J238" s="37">
        <v>90.0</v>
      </c>
      <c r="K238" s="73">
        <v>0.0</v>
      </c>
      <c r="L238" s="37">
        <v>50.0</v>
      </c>
      <c r="M238" s="37">
        <v>65.0</v>
      </c>
      <c r="N238" s="37">
        <v>80.0</v>
      </c>
      <c r="O238" s="37">
        <v>280.0</v>
      </c>
      <c r="P238" s="37">
        <v>0.0</v>
      </c>
      <c r="Q238" s="64"/>
      <c r="R238" s="64"/>
      <c r="S238" s="64"/>
      <c r="T238" s="64"/>
      <c r="U238" s="64"/>
      <c r="V238" s="64"/>
      <c r="W238" s="64"/>
      <c r="X238" s="64"/>
      <c r="Y238" s="64"/>
      <c r="Z238" s="64"/>
      <c r="AA238" s="64"/>
      <c r="AC238" s="37">
        <v>-35.0</v>
      </c>
      <c r="AD238" s="37">
        <v>10.0</v>
      </c>
      <c r="AF238" s="37">
        <v>15.0</v>
      </c>
      <c r="AG238" s="37">
        <v>10.0</v>
      </c>
      <c r="AJ238" s="39">
        <v>0.0</v>
      </c>
      <c r="AK238" s="39">
        <v>50.0</v>
      </c>
      <c r="AL238" s="39">
        <v>0.0</v>
      </c>
      <c r="AM238" s="39">
        <v>25.0</v>
      </c>
      <c r="AN238" s="39">
        <v>0.0</v>
      </c>
      <c r="AO238" s="39">
        <v>0.0</v>
      </c>
      <c r="AP238" s="39">
        <v>0.0</v>
      </c>
      <c r="AQ238" s="39">
        <v>75.0</v>
      </c>
      <c r="AR238" s="39">
        <v>50.0</v>
      </c>
      <c r="AS238" s="39">
        <v>0.0</v>
      </c>
      <c r="AT238" s="39">
        <v>0.0</v>
      </c>
      <c r="AU238" s="39">
        <v>0.0</v>
      </c>
      <c r="AV238" s="39">
        <v>0.0</v>
      </c>
      <c r="AW238" s="39">
        <v>0.0</v>
      </c>
      <c r="AX238" s="39">
        <v>0.0</v>
      </c>
      <c r="AY238" s="39">
        <v>0.0</v>
      </c>
      <c r="AZ238" s="39">
        <v>0.0</v>
      </c>
      <c r="BA238" s="39">
        <v>0.0</v>
      </c>
      <c r="BB238" s="39">
        <v>150.0</v>
      </c>
      <c r="BC238" s="39">
        <v>0.0</v>
      </c>
      <c r="BD238" s="39">
        <v>100.0</v>
      </c>
      <c r="BE238" s="39">
        <v>0.0</v>
      </c>
      <c r="BF238" s="39">
        <v>120.0</v>
      </c>
      <c r="BG238" s="37" t="str">
        <f t="array" ref="BG238">IF($A238="","", INDEX(CS!$B$1:$B$15025,MATCH($A238,CS!$B:$B,0)+COLUMN(A$1),1))</f>
        <v>牙</v>
      </c>
      <c r="BH238" s="37" t="str">
        <f t="array" ref="BH238">IF($A238="","", INDEX(CS!$B$1:$B$15025,MATCH($A238,CS!$B:$B,0)+COLUMN(B$1),1))</f>
        <v>尾</v>
      </c>
      <c r="BI238" s="37" t="str">
        <f t="array" ref="BI238">IF($A238="","", INDEX(CS!$B$1:$B$15025,MATCH($A238,CS!$B:$B,0)+COLUMN(C$1),1))</f>
        <v>デスロール</v>
      </c>
      <c r="BJ238" s="37" t="str">
        <f t="array" ref="BJ238">IF($A238="","", INDEX(CS!$B$1:$B$15025,MATCH($A238,CS!$B:$B,0)+COLUMN(D$1),1))</f>
        <v>強靭な顎</v>
      </c>
      <c r="BK238" s="37" t="str">
        <f t="array" ref="BK238">IF($A238="","", INDEX(CS!$B$1:$B$15025,MATCH($A238,CS!$B:$B,0)+COLUMN(E$1),1))</f>
        <v>反応</v>
      </c>
      <c r="BL238" s="37" t="str">
        <f t="array" ref="BL238">IF($A238="","", INDEX(CS!$B$1:$B$15025,MATCH($A238,CS!$B:$B,0)+COLUMN(F$1),1))</f>
        <v/>
      </c>
      <c r="BM238" s="37" t="str">
        <f t="array" ref="BM238">IF($A238="","", INDEX(CS!$B$1:$B$15025,MATCH($A238,CS!$B:$B,0)+COLUMN(G$1),1))</f>
        <v>野生感覚</v>
      </c>
      <c r="BN238" s="37" t="str">
        <f t="array" ref="BN238">IF($A238="","", INDEX(CS!$B$1:$B$15025,MATCH($A238,CS!$B:$B,0)+COLUMN(H$1),1))</f>
        <v/>
      </c>
      <c r="BO238" s="37" t="str">
        <f t="array" ref="BO238">IF($A238="","", INDEX(CS!$B$1:$B$15025,MATCH($A238,CS!$B:$B,0)+COLUMN(I$1),1))</f>
        <v/>
      </c>
      <c r="BP238" s="37" t="str">
        <f t="array" ref="BP238">IF($A238="","", INDEX(CS!$B$1:$B$15025,MATCH($A238,CS!$B:$B,0)+COLUMN(J$1),1))</f>
        <v/>
      </c>
      <c r="BS238" s="74"/>
      <c r="BV238" s="37" t="s">
        <v>2661</v>
      </c>
      <c r="BW238" s="57">
        <v>130.0</v>
      </c>
      <c r="BX238" s="75">
        <v>10.0</v>
      </c>
      <c r="BY238" s="75">
        <v>0.0</v>
      </c>
      <c r="BZ238" s="75">
        <v>90.0</v>
      </c>
      <c r="CA238" s="75">
        <v>30.0</v>
      </c>
      <c r="CD238" s="75">
        <v>4.0</v>
      </c>
      <c r="CE238" s="75"/>
      <c r="CG238" s="37" t="s">
        <v>2734</v>
      </c>
      <c r="CH238" s="37" t="s">
        <v>2734</v>
      </c>
      <c r="CI238" s="37" t="s">
        <v>2734</v>
      </c>
      <c r="CK238" s="37" t="s">
        <v>2734</v>
      </c>
      <c r="CN238" s="37" t="s">
        <v>2900</v>
      </c>
      <c r="CQ238" s="37"/>
      <c r="CR238" s="37"/>
    </row>
    <row r="239" ht="18.75" customHeight="1" outlineLevel="1">
      <c r="A239" s="90" t="s">
        <v>1521</v>
      </c>
      <c r="B239" s="91"/>
      <c r="C239" s="90" t="s">
        <v>2900</v>
      </c>
      <c r="D239" s="92" t="str">
        <f t="shared" si="12"/>
        <v>515/390/125</v>
      </c>
      <c r="E239" s="93">
        <v>1.0</v>
      </c>
      <c r="F239" s="90">
        <v>90.0</v>
      </c>
      <c r="G239" s="79"/>
      <c r="H239" s="79"/>
      <c r="I239" s="90">
        <v>75.0</v>
      </c>
      <c r="J239" s="90">
        <v>20.0</v>
      </c>
      <c r="K239" s="94">
        <v>0.0</v>
      </c>
      <c r="L239" s="90">
        <v>25.0</v>
      </c>
      <c r="M239" s="90">
        <v>110.0</v>
      </c>
      <c r="N239" s="90">
        <v>70.0</v>
      </c>
      <c r="O239" s="90">
        <v>250.0</v>
      </c>
      <c r="P239" s="90">
        <v>0.0</v>
      </c>
      <c r="Q239" s="82"/>
      <c r="R239" s="82"/>
      <c r="S239" s="82"/>
      <c r="T239" s="82"/>
      <c r="U239" s="82"/>
      <c r="V239" s="82"/>
      <c r="W239" s="82"/>
      <c r="X239" s="82"/>
      <c r="Y239" s="82"/>
      <c r="Z239" s="82"/>
      <c r="AA239" s="82"/>
      <c r="AB239" s="79"/>
      <c r="AC239" s="90">
        <v>-35.0</v>
      </c>
      <c r="AD239" s="90">
        <v>10.0</v>
      </c>
      <c r="AE239" s="79"/>
      <c r="AF239" s="90">
        <v>15.0</v>
      </c>
      <c r="AG239" s="90">
        <v>10.0</v>
      </c>
      <c r="AH239" s="79"/>
      <c r="AI239" s="79"/>
      <c r="AJ239" s="90">
        <v>0.0</v>
      </c>
      <c r="AK239" s="90">
        <v>0.0</v>
      </c>
      <c r="AL239" s="90">
        <v>0.0</v>
      </c>
      <c r="AM239" s="90">
        <v>75.0</v>
      </c>
      <c r="AN239" s="90">
        <v>0.0</v>
      </c>
      <c r="AO239" s="90">
        <v>0.0</v>
      </c>
      <c r="AP239" s="90">
        <v>0.0</v>
      </c>
      <c r="AQ239" s="90">
        <v>0.0</v>
      </c>
      <c r="AR239" s="90">
        <v>50.0</v>
      </c>
      <c r="AS239" s="90">
        <v>0.0</v>
      </c>
      <c r="AT239" s="90">
        <v>0.0</v>
      </c>
      <c r="AU239" s="90">
        <v>0.0</v>
      </c>
      <c r="AV239" s="90">
        <v>0.0</v>
      </c>
      <c r="AW239" s="90">
        <v>0.0</v>
      </c>
      <c r="AX239" s="90">
        <v>0.0</v>
      </c>
      <c r="AY239" s="90">
        <v>0.0</v>
      </c>
      <c r="AZ239" s="90">
        <v>0.0</v>
      </c>
      <c r="BA239" s="90">
        <v>0.0</v>
      </c>
      <c r="BB239" s="90">
        <v>0.0</v>
      </c>
      <c r="BC239" s="90">
        <v>0.0</v>
      </c>
      <c r="BD239" s="90">
        <v>0.0</v>
      </c>
      <c r="BE239" s="90">
        <v>0.0</v>
      </c>
      <c r="BF239" s="90">
        <v>20.0</v>
      </c>
      <c r="BG239" s="79" t="str">
        <f t="array" ref="BG239">IF($A239="","", INDEX(CS!$B$1:$B$15025,MATCH($A239,CS!$B:$B,0)+COLUMN(A$1),1))</f>
        <v>後脚蹴り</v>
      </c>
      <c r="BH239" s="79" t="str">
        <f t="array" ref="BH239">IF($A239="","", INDEX(CS!$B$1:$B$15025,MATCH($A239,CS!$B:$B,0)+COLUMN(B$1),1))</f>
        <v>馬の突進</v>
      </c>
      <c r="BI239" s="79" t="str">
        <f t="array" ref="BI239">IF($A239="","", INDEX(CS!$B$1:$B$15025,MATCH($A239,CS!$B:$B,0)+COLUMN(C$1),1))</f>
        <v>蹄撃強化</v>
      </c>
      <c r="BJ239" s="79" t="str">
        <f t="array" ref="BJ239">IF($A239="","", INDEX(CS!$B$1:$B$15025,MATCH($A239,CS!$B:$B,0)+COLUMN(D$1),1))</f>
        <v>踏みつけ</v>
      </c>
      <c r="BK239" s="79" t="str">
        <f t="array" ref="BK239">IF($A239="","", INDEX(CS!$B$1:$B$15025,MATCH($A239,CS!$B:$B,0)+COLUMN(E$1),1))</f>
        <v>反応</v>
      </c>
      <c r="BL239" s="79" t="str">
        <f t="array" ref="BL239">IF($A239="","", INDEX(CS!$B$1:$B$15025,MATCH($A239,CS!$B:$B,0)+COLUMN(F$1),1))</f>
        <v/>
      </c>
      <c r="BM239" s="79" t="str">
        <f t="array" ref="BM239">IF($A239="","", INDEX(CS!$B$1:$B$15025,MATCH($A239,CS!$B:$B,0)+COLUMN(G$1),1))</f>
        <v>野生感覚</v>
      </c>
      <c r="BN239" s="79" t="str">
        <f t="array" ref="BN239">IF($A239="","", INDEX(CS!$B$1:$B$15025,MATCH($A239,CS!$B:$B,0)+COLUMN(H$1),1))</f>
        <v/>
      </c>
      <c r="BO239" s="79" t="str">
        <f t="array" ref="BO239">IF($A239="","", INDEX(CS!$B$1:$B$15025,MATCH($A239,CS!$B:$B,0)+COLUMN(I$1),1))</f>
        <v/>
      </c>
      <c r="BP239" s="79" t="str">
        <f t="array" ref="BP239">IF($A239="","", INDEX(CS!$B$1:$B$15025,MATCH($A239,CS!$B:$B,0)+COLUMN(J$1),1))</f>
        <v/>
      </c>
      <c r="BQ239" s="79"/>
      <c r="BR239" s="79"/>
      <c r="BS239" s="83"/>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row>
    <row r="240" ht="18.75" customHeight="1" outlineLevel="1">
      <c r="A240" s="90" t="s">
        <v>1528</v>
      </c>
      <c r="B240" s="91"/>
      <c r="C240" s="90" t="s">
        <v>2900</v>
      </c>
      <c r="D240" s="92" t="str">
        <f t="shared" si="12"/>
        <v>550/375/175</v>
      </c>
      <c r="E240" s="93">
        <v>1.0</v>
      </c>
      <c r="F240" s="90">
        <v>105.0</v>
      </c>
      <c r="G240" s="79"/>
      <c r="H240" s="79"/>
      <c r="I240" s="90">
        <v>95.0</v>
      </c>
      <c r="J240" s="90">
        <v>15.0</v>
      </c>
      <c r="K240" s="94">
        <v>0.0</v>
      </c>
      <c r="L240" s="90">
        <v>25.0</v>
      </c>
      <c r="M240" s="90">
        <v>70.0</v>
      </c>
      <c r="N240" s="90">
        <v>65.0</v>
      </c>
      <c r="O240" s="90">
        <v>250.0</v>
      </c>
      <c r="P240" s="90">
        <v>0.0</v>
      </c>
      <c r="Q240" s="82"/>
      <c r="R240" s="82"/>
      <c r="S240" s="82"/>
      <c r="T240" s="82"/>
      <c r="U240" s="82"/>
      <c r="V240" s="82"/>
      <c r="W240" s="82"/>
      <c r="X240" s="82"/>
      <c r="Y240" s="82"/>
      <c r="Z240" s="82"/>
      <c r="AA240" s="82"/>
      <c r="AB240" s="79"/>
      <c r="AC240" s="90">
        <v>-35.0</v>
      </c>
      <c r="AD240" s="90">
        <v>15.0</v>
      </c>
      <c r="AE240" s="79"/>
      <c r="AF240" s="90">
        <v>10.0</v>
      </c>
      <c r="AG240" s="90">
        <v>10.0</v>
      </c>
      <c r="AH240" s="79"/>
      <c r="AI240" s="79"/>
      <c r="AJ240" s="90">
        <v>0.0</v>
      </c>
      <c r="AK240" s="90">
        <v>50.0</v>
      </c>
      <c r="AL240" s="90">
        <v>0.0</v>
      </c>
      <c r="AM240" s="90">
        <v>25.0</v>
      </c>
      <c r="AN240" s="90">
        <v>0.0</v>
      </c>
      <c r="AO240" s="90">
        <v>0.0</v>
      </c>
      <c r="AP240" s="90">
        <v>0.0</v>
      </c>
      <c r="AQ240" s="90">
        <v>25.0</v>
      </c>
      <c r="AR240" s="90">
        <v>75.0</v>
      </c>
      <c r="AS240" s="90">
        <v>0.0</v>
      </c>
      <c r="AT240" s="90">
        <v>0.0</v>
      </c>
      <c r="AU240" s="90">
        <v>0.0</v>
      </c>
      <c r="AV240" s="90">
        <v>0.0</v>
      </c>
      <c r="AW240" s="90">
        <v>0.0</v>
      </c>
      <c r="AX240" s="90">
        <v>0.0</v>
      </c>
      <c r="AY240" s="90">
        <v>0.0</v>
      </c>
      <c r="AZ240" s="90">
        <v>0.0</v>
      </c>
      <c r="BA240" s="90">
        <v>0.0</v>
      </c>
      <c r="BB240" s="90">
        <v>120.0</v>
      </c>
      <c r="BC240" s="90">
        <v>0.0</v>
      </c>
      <c r="BD240" s="90">
        <v>0.0</v>
      </c>
      <c r="BE240" s="90">
        <v>0.0</v>
      </c>
      <c r="BF240" s="90">
        <v>40.0</v>
      </c>
      <c r="BG240" s="79" t="str">
        <f t="array" ref="BG240">IF($A240="","", INDEX(CS!$B$1:$B$15025,MATCH($A240,CS!$B:$B,0)+COLUMN(A$1),1))</f>
        <v>牙</v>
      </c>
      <c r="BH240" s="79" t="str">
        <f t="array" ref="BH240">IF($A240="","", INDEX(CS!$B$1:$B$15025,MATCH($A240,CS!$B:$B,0)+COLUMN(B$1),1))</f>
        <v>猪の突進</v>
      </c>
      <c r="BI240" s="79" t="str">
        <f t="array" ref="BI240">IF($A240="","", INDEX(CS!$B$1:$B$15025,MATCH($A240,CS!$B:$B,0)+COLUMN(C$1),1))</f>
        <v>猪突猛進</v>
      </c>
      <c r="BJ240" s="79" t="str">
        <f t="array" ref="BJ240">IF($A240="","", INDEX(CS!$B$1:$B$15025,MATCH($A240,CS!$B:$B,0)+COLUMN(D$1),1))</f>
        <v>踏みつけ</v>
      </c>
      <c r="BK240" s="79" t="str">
        <f t="array" ref="BK240">IF($A240="","", INDEX(CS!$B$1:$B$15025,MATCH($A240,CS!$B:$B,0)+COLUMN(E$1),1))</f>
        <v>反応</v>
      </c>
      <c r="BL240" s="79" t="str">
        <f t="array" ref="BL240">IF($A240="","", INDEX(CS!$B$1:$B$15025,MATCH($A240,CS!$B:$B,0)+COLUMN(F$1),1))</f>
        <v/>
      </c>
      <c r="BM240" s="79" t="str">
        <f t="array" ref="BM240">IF($A240="","", INDEX(CS!$B$1:$B$15025,MATCH($A240,CS!$B:$B,0)+COLUMN(G$1),1))</f>
        <v>野生感覚</v>
      </c>
      <c r="BN240" s="79" t="str">
        <f t="array" ref="BN240">IF($A240="","", INDEX(CS!$B$1:$B$15025,MATCH($A240,CS!$B:$B,0)+COLUMN(H$1),1))</f>
        <v/>
      </c>
      <c r="BO240" s="79" t="str">
        <f t="array" ref="BO240">IF($A240="","", INDEX(CS!$B$1:$B$15025,MATCH($A240,CS!$B:$B,0)+COLUMN(I$1),1))</f>
        <v/>
      </c>
      <c r="BP240" s="79" t="str">
        <f t="array" ref="BP240">IF($A240="","", INDEX(CS!$B$1:$B$15025,MATCH($A240,CS!$B:$B,0)+COLUMN(J$1),1))</f>
        <v/>
      </c>
      <c r="BQ240" s="79"/>
      <c r="BR240" s="79"/>
      <c r="BS240" s="83"/>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row>
    <row r="241" ht="18.75" customHeight="1" outlineLevel="1">
      <c r="A241" s="90" t="s">
        <v>1533</v>
      </c>
      <c r="B241" s="91"/>
      <c r="C241" s="90" t="s">
        <v>2900</v>
      </c>
      <c r="D241" s="92" t="str">
        <f t="shared" si="12"/>
        <v>755/505/250</v>
      </c>
      <c r="E241" s="93">
        <v>1.0</v>
      </c>
      <c r="F241" s="90">
        <v>105.0</v>
      </c>
      <c r="G241" s="79"/>
      <c r="H241" s="79"/>
      <c r="I241" s="90">
        <v>100.0</v>
      </c>
      <c r="J241" s="90">
        <v>90.0</v>
      </c>
      <c r="K241" s="94">
        <v>0.0</v>
      </c>
      <c r="L241" s="90">
        <v>50.0</v>
      </c>
      <c r="M241" s="90">
        <v>80.0</v>
      </c>
      <c r="N241" s="90">
        <v>80.0</v>
      </c>
      <c r="O241" s="90">
        <v>250.0</v>
      </c>
      <c r="P241" s="90">
        <v>0.0</v>
      </c>
      <c r="Q241" s="82"/>
      <c r="R241" s="82"/>
      <c r="S241" s="82"/>
      <c r="T241" s="82"/>
      <c r="U241" s="82"/>
      <c r="V241" s="82"/>
      <c r="W241" s="82"/>
      <c r="X241" s="82"/>
      <c r="Y241" s="82"/>
      <c r="Z241" s="82"/>
      <c r="AA241" s="82"/>
      <c r="AB241" s="79"/>
      <c r="AC241" s="90">
        <v>-35.0</v>
      </c>
      <c r="AD241" s="90">
        <v>15.0</v>
      </c>
      <c r="AE241" s="79"/>
      <c r="AF241" s="90">
        <v>15.0</v>
      </c>
      <c r="AG241" s="90">
        <v>10.0</v>
      </c>
      <c r="AH241" s="79"/>
      <c r="AI241" s="79"/>
      <c r="AJ241" s="90">
        <v>0.0</v>
      </c>
      <c r="AK241" s="90">
        <v>75.0</v>
      </c>
      <c r="AL241" s="90">
        <v>25.0</v>
      </c>
      <c r="AM241" s="90">
        <v>50.0</v>
      </c>
      <c r="AN241" s="90">
        <v>0.0</v>
      </c>
      <c r="AO241" s="90">
        <v>0.0</v>
      </c>
      <c r="AP241" s="90">
        <v>0.0</v>
      </c>
      <c r="AQ241" s="90">
        <v>25.0</v>
      </c>
      <c r="AR241" s="90">
        <v>75.0</v>
      </c>
      <c r="AS241" s="90">
        <v>0.0</v>
      </c>
      <c r="AT241" s="90">
        <v>0.0</v>
      </c>
      <c r="AU241" s="90">
        <v>0.0</v>
      </c>
      <c r="AV241" s="90">
        <v>0.0</v>
      </c>
      <c r="AW241" s="90">
        <v>0.0</v>
      </c>
      <c r="AX241" s="90">
        <v>0.0</v>
      </c>
      <c r="AY241" s="90">
        <v>0.0</v>
      </c>
      <c r="AZ241" s="90">
        <v>0.0</v>
      </c>
      <c r="BA241" s="90"/>
      <c r="BB241" s="90">
        <v>120.0</v>
      </c>
      <c r="BC241" s="90">
        <v>140.0</v>
      </c>
      <c r="BD241" s="90">
        <v>0.0</v>
      </c>
      <c r="BE241" s="90">
        <v>0.0</v>
      </c>
      <c r="BF241" s="90">
        <v>40.0</v>
      </c>
      <c r="BG241" s="79" t="str">
        <f t="array" ref="BG241">IF($A241="","", INDEX(CS!$B$1:$B$15025,MATCH($A241,CS!$B:$B,0)+COLUMN(A$1),1))</f>
        <v>爪</v>
      </c>
      <c r="BH241" s="79" t="str">
        <f t="array" ref="BH241">IF($A241="","", INDEX(CS!$B$1:$B$15025,MATCH($A241,CS!$B:$B,0)+COLUMN(B$1),1))</f>
        <v>牙</v>
      </c>
      <c r="BI241" s="79" t="str">
        <f t="array" ref="BI241">IF($A241="","", INDEX(CS!$B$1:$B$15025,MATCH($A241,CS!$B:$B,0)+COLUMN(C$1),1))</f>
        <v>獅子の咆哮</v>
      </c>
      <c r="BJ241" s="79" t="str">
        <f t="array" ref="BJ241">IF($A241="","", INDEX(CS!$B$1:$B$15025,MATCH($A241,CS!$B:$B,0)+COLUMN(D$1),1))</f>
        <v>猛獣の飛びかかり</v>
      </c>
      <c r="BK241" s="79" t="str">
        <f t="array" ref="BK241">IF($A241="","", INDEX(CS!$B$1:$B$15025,MATCH($A241,CS!$B:$B,0)+COLUMN(E$1),1))</f>
        <v>反応</v>
      </c>
      <c r="BL241" s="79" t="str">
        <f t="array" ref="BL241">IF($A241="","", INDEX(CS!$B$1:$B$15025,MATCH($A241,CS!$B:$B,0)+COLUMN(F$1),1))</f>
        <v/>
      </c>
      <c r="BM241" s="79" t="str">
        <f t="array" ref="BM241">IF($A241="","", INDEX(CS!$B$1:$B$15025,MATCH($A241,CS!$B:$B,0)+COLUMN(G$1),1))</f>
        <v>野生感覚</v>
      </c>
      <c r="BN241" s="79" t="str">
        <f t="array" ref="BN241">IF($A241="","", INDEX(CS!$B$1:$B$15025,MATCH($A241,CS!$B:$B,0)+COLUMN(H$1),1))</f>
        <v/>
      </c>
      <c r="BO241" s="79" t="str">
        <f t="array" ref="BO241">IF($A241="","", INDEX(CS!$B$1:$B$15025,MATCH($A241,CS!$B:$B,0)+COLUMN(I$1),1))</f>
        <v/>
      </c>
      <c r="BP241" s="79" t="str">
        <f t="array" ref="BP241">IF($A241="","", INDEX(CS!$B$1:$B$15025,MATCH($A241,CS!$B:$B,0)+COLUMN(J$1),1))</f>
        <v/>
      </c>
      <c r="BQ241" s="79"/>
      <c r="BR241" s="79"/>
      <c r="BS241" s="83"/>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row>
    <row r="242" ht="18.75" customHeight="1" outlineLevel="1">
      <c r="A242" s="90" t="s">
        <v>1537</v>
      </c>
      <c r="B242" s="91"/>
      <c r="C242" s="90" t="s">
        <v>2900</v>
      </c>
      <c r="D242" s="92" t="str">
        <f t="shared" si="12"/>
        <v>580/430/150</v>
      </c>
      <c r="E242" s="93">
        <v>1.0</v>
      </c>
      <c r="F242" s="90">
        <v>85.0</v>
      </c>
      <c r="G242" s="79"/>
      <c r="H242" s="79"/>
      <c r="I242" s="90">
        <v>75.0</v>
      </c>
      <c r="J242" s="90">
        <v>70.0</v>
      </c>
      <c r="K242" s="94">
        <v>0.0</v>
      </c>
      <c r="L242" s="90">
        <v>40.0</v>
      </c>
      <c r="M242" s="90">
        <v>85.0</v>
      </c>
      <c r="N242" s="90">
        <v>75.0</v>
      </c>
      <c r="O242" s="90">
        <v>150.0</v>
      </c>
      <c r="P242" s="90">
        <v>0.0</v>
      </c>
      <c r="Q242" s="82"/>
      <c r="R242" s="82"/>
      <c r="S242" s="82"/>
      <c r="T242" s="82"/>
      <c r="U242" s="82"/>
      <c r="V242" s="82"/>
      <c r="W242" s="82"/>
      <c r="X242" s="82"/>
      <c r="Y242" s="82"/>
      <c r="Z242" s="82"/>
      <c r="AA242" s="82"/>
      <c r="AB242" s="79"/>
      <c r="AC242" s="90">
        <v>-35.0</v>
      </c>
      <c r="AD242" s="90">
        <v>10.0</v>
      </c>
      <c r="AE242" s="79"/>
      <c r="AF242" s="90">
        <v>10.0</v>
      </c>
      <c r="AG242" s="90">
        <v>10.0</v>
      </c>
      <c r="AH242" s="79"/>
      <c r="AI242" s="79"/>
      <c r="AJ242" s="90">
        <v>0.0</v>
      </c>
      <c r="AK242" s="90">
        <v>0.0</v>
      </c>
      <c r="AL242" s="90">
        <v>25.0</v>
      </c>
      <c r="AM242" s="90">
        <v>75.0</v>
      </c>
      <c r="AN242" s="90">
        <v>0.0</v>
      </c>
      <c r="AO242" s="90">
        <v>0.0</v>
      </c>
      <c r="AP242" s="90">
        <v>0.0</v>
      </c>
      <c r="AQ242" s="90">
        <v>0.0</v>
      </c>
      <c r="AR242" s="90">
        <v>50.0</v>
      </c>
      <c r="AS242" s="90">
        <v>0.0</v>
      </c>
      <c r="AT242" s="90">
        <v>0.0</v>
      </c>
      <c r="AU242" s="90">
        <v>0.0</v>
      </c>
      <c r="AV242" s="90">
        <v>0.0</v>
      </c>
      <c r="AW242" s="90">
        <v>0.0</v>
      </c>
      <c r="AX242" s="90">
        <v>0.0</v>
      </c>
      <c r="AY242" s="90">
        <v>0.0</v>
      </c>
      <c r="AZ242" s="90">
        <v>0.0</v>
      </c>
      <c r="BA242" s="90">
        <v>120.0</v>
      </c>
      <c r="BB242" s="90"/>
      <c r="BC242" s="90"/>
      <c r="BD242" s="90"/>
      <c r="BE242" s="90"/>
      <c r="BF242" s="90">
        <v>20.0</v>
      </c>
      <c r="BG242" s="79" t="str">
        <f t="array" ref="BG242">IF($A242="","", INDEX(CS!$B$1:$B$15025,MATCH($A242,CS!$B:$B,0)+COLUMN(A$1),1))</f>
        <v>角</v>
      </c>
      <c r="BH242" s="79" t="str">
        <f t="array" ref="BH242">IF($A242="","", INDEX(CS!$B$1:$B$15025,MATCH($A242,CS!$B:$B,0)+COLUMN(B$1),1))</f>
        <v>山羊の突進</v>
      </c>
      <c r="BI242" s="79" t="str">
        <f t="array" ref="BI242">IF($A242="","", INDEX(CS!$B$1:$B$15025,MATCH($A242,CS!$B:$B,0)+COLUMN(C$1),1))</f>
        <v>強靭な角</v>
      </c>
      <c r="BJ242" s="79" t="str">
        <f t="array" ref="BJ242">IF($A242="","", INDEX(CS!$B$1:$B$15025,MATCH($A242,CS!$B:$B,0)+COLUMN(D$1),1))</f>
        <v>岩場適応</v>
      </c>
      <c r="BK242" s="79" t="str">
        <f t="array" ref="BK242">IF($A242="","", INDEX(CS!$B$1:$B$15025,MATCH($A242,CS!$B:$B,0)+COLUMN(E$1),1))</f>
        <v>反応</v>
      </c>
      <c r="BL242" s="79" t="str">
        <f t="array" ref="BL242">IF($A242="","", INDEX(CS!$B$1:$B$15025,MATCH($A242,CS!$B:$B,0)+COLUMN(F$1),1))</f>
        <v/>
      </c>
      <c r="BM242" s="79" t="str">
        <f t="array" ref="BM242">IF($A242="","", INDEX(CS!$B$1:$B$15025,MATCH($A242,CS!$B:$B,0)+COLUMN(G$1),1))</f>
        <v>野生感覚</v>
      </c>
      <c r="BN242" s="79" t="str">
        <f t="array" ref="BN242">IF($A242="","", INDEX(CS!$B$1:$B$15025,MATCH($A242,CS!$B:$B,0)+COLUMN(H$1),1))</f>
        <v/>
      </c>
      <c r="BO242" s="79" t="str">
        <f t="array" ref="BO242">IF($A242="","", INDEX(CS!$B$1:$B$15025,MATCH($A242,CS!$B:$B,0)+COLUMN(I$1),1))</f>
        <v/>
      </c>
      <c r="BP242" s="79" t="str">
        <f t="array" ref="BP242">IF($A242="","", INDEX(CS!$B$1:$B$15025,MATCH($A242,CS!$B:$B,0)+COLUMN(J$1),1))</f>
        <v/>
      </c>
      <c r="BQ242" s="79"/>
      <c r="BR242" s="79"/>
      <c r="BS242" s="83"/>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row>
    <row r="243" ht="18.75" customHeight="1" outlineLevel="1">
      <c r="A243" s="90" t="s">
        <v>1547</v>
      </c>
      <c r="B243" s="91"/>
      <c r="C243" s="90" t="s">
        <v>2900</v>
      </c>
      <c r="D243" s="92" t="str">
        <f t="shared" si="12"/>
        <v>730/430/300</v>
      </c>
      <c r="E243" s="93">
        <v>1.0</v>
      </c>
      <c r="F243" s="90">
        <v>60.0</v>
      </c>
      <c r="G243" s="79"/>
      <c r="H243" s="79"/>
      <c r="I243" s="90">
        <v>70.0</v>
      </c>
      <c r="J243" s="90">
        <v>45.0</v>
      </c>
      <c r="K243" s="94">
        <v>0.0</v>
      </c>
      <c r="L243" s="90">
        <v>50.0</v>
      </c>
      <c r="M243" s="90">
        <v>105.0</v>
      </c>
      <c r="N243" s="90">
        <v>100.0</v>
      </c>
      <c r="O243" s="90">
        <v>100.0</v>
      </c>
      <c r="P243" s="90">
        <v>0.0</v>
      </c>
      <c r="Q243" s="82"/>
      <c r="R243" s="82"/>
      <c r="S243" s="82"/>
      <c r="T243" s="82"/>
      <c r="U243" s="82"/>
      <c r="V243" s="82"/>
      <c r="W243" s="82"/>
      <c r="X243" s="82"/>
      <c r="Y243" s="82"/>
      <c r="Z243" s="82"/>
      <c r="AA243" s="82"/>
      <c r="AB243" s="79"/>
      <c r="AC243" s="90">
        <v>-35.0</v>
      </c>
      <c r="AD243" s="90">
        <v>10.0</v>
      </c>
      <c r="AE243" s="79"/>
      <c r="AF243" s="90">
        <v>10.0</v>
      </c>
      <c r="AG243" s="90">
        <v>10.0</v>
      </c>
      <c r="AH243" s="79"/>
      <c r="AI243" s="79"/>
      <c r="AJ243" s="90">
        <v>0.0</v>
      </c>
      <c r="AK243" s="90">
        <v>0.0</v>
      </c>
      <c r="AL243" s="90">
        <v>75.0</v>
      </c>
      <c r="AM243" s="90">
        <v>75.0</v>
      </c>
      <c r="AN243" s="90">
        <v>0.0</v>
      </c>
      <c r="AO243" s="90">
        <v>0.0</v>
      </c>
      <c r="AP243" s="90">
        <v>0.0</v>
      </c>
      <c r="AQ243" s="90">
        <v>50.0</v>
      </c>
      <c r="AR243" s="90">
        <v>100.0</v>
      </c>
      <c r="AS243" s="90">
        <v>0.0</v>
      </c>
      <c r="AT243" s="90">
        <v>0.0</v>
      </c>
      <c r="AU243" s="90">
        <v>0.0</v>
      </c>
      <c r="AV243" s="90">
        <v>0.0</v>
      </c>
      <c r="AW243" s="90">
        <v>0.0</v>
      </c>
      <c r="AX243" s="90">
        <v>0.0</v>
      </c>
      <c r="AY243" s="90">
        <v>0.0</v>
      </c>
      <c r="AZ243" s="90">
        <v>0.0</v>
      </c>
      <c r="BA243" s="90"/>
      <c r="BB243" s="90"/>
      <c r="BC243" s="90">
        <v>100.0</v>
      </c>
      <c r="BD243" s="90"/>
      <c r="BE243" s="90">
        <v>100.0</v>
      </c>
      <c r="BF243" s="90">
        <v>10.0</v>
      </c>
      <c r="BG243" s="79" t="str">
        <f t="array" ref="BG243">IF($A243="","", INDEX(CS!$B$1:$B$15025,MATCH($A243,CS!$B:$B,0)+COLUMN(A$1),1))</f>
        <v>爪</v>
      </c>
      <c r="BH243" s="79" t="str">
        <f t="array" ref="BH243">IF($A243="","", INDEX(CS!$B$1:$B$15025,MATCH($A243,CS!$B:$B,0)+COLUMN(B$1),1))</f>
        <v>翼</v>
      </c>
      <c r="BI243" s="79" t="str">
        <f t="array" ref="BI243">IF($A243="","", INDEX(CS!$B$1:$B$15025,MATCH($A243,CS!$B:$B,0)+COLUMN(C$1),1))</f>
        <v>梟の急降下</v>
      </c>
      <c r="BJ243" s="79" t="str">
        <f t="array" ref="BJ243">IF($A243="","", INDEX(CS!$B$1:$B$15025,MATCH($A243,CS!$B:$B,0)+COLUMN(D$1),1))</f>
        <v>梟の眼</v>
      </c>
      <c r="BK243" s="79" t="str">
        <f t="array" ref="BK243">IF($A243="","", INDEX(CS!$B$1:$B$15025,MATCH($A243,CS!$B:$B,0)+COLUMN(E$1),1))</f>
        <v>反応</v>
      </c>
      <c r="BL243" s="79" t="str">
        <f t="array" ref="BL243">IF($A243="","", INDEX(CS!$B$1:$B$15025,MATCH($A243,CS!$B:$B,0)+COLUMN(F$1),1))</f>
        <v/>
      </c>
      <c r="BM243" s="79" t="str">
        <f t="array" ref="BM243">IF($A243="","", INDEX(CS!$B$1:$B$15025,MATCH($A243,CS!$B:$B,0)+COLUMN(G$1),1))</f>
        <v>野生感覚</v>
      </c>
      <c r="BN243" s="79" t="str">
        <f t="array" ref="BN243">IF($A243="","", INDEX(CS!$B$1:$B$15025,MATCH($A243,CS!$B:$B,0)+COLUMN(H$1),1))</f>
        <v/>
      </c>
      <c r="BO243" s="79" t="str">
        <f t="array" ref="BO243">IF($A243="","", INDEX(CS!$B$1:$B$15025,MATCH($A243,CS!$B:$B,0)+COLUMN(I$1),1))</f>
        <v/>
      </c>
      <c r="BP243" s="79" t="str">
        <f t="array" ref="BP243">IF($A243="","", INDEX(CS!$B$1:$B$15025,MATCH($A243,CS!$B:$B,0)+COLUMN(J$1),1))</f>
        <v/>
      </c>
      <c r="BQ243" s="79"/>
      <c r="BR243" s="79"/>
      <c r="BS243" s="83"/>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row>
    <row r="244" ht="18.75" customHeight="1" outlineLevel="1">
      <c r="A244" s="90" t="s">
        <v>1554</v>
      </c>
      <c r="B244" s="91"/>
      <c r="C244" s="90" t="s">
        <v>2900</v>
      </c>
      <c r="D244" s="92" t="str">
        <f t="shared" si="12"/>
        <v>575/400/175</v>
      </c>
      <c r="E244" s="93">
        <v>1.0</v>
      </c>
      <c r="F244" s="90">
        <v>75.0</v>
      </c>
      <c r="G244" s="79"/>
      <c r="H244" s="79"/>
      <c r="I244" s="90">
        <v>75.0</v>
      </c>
      <c r="J244" s="90">
        <v>70.0</v>
      </c>
      <c r="K244" s="94">
        <v>0.0</v>
      </c>
      <c r="L244" s="90">
        <v>35.0</v>
      </c>
      <c r="M244" s="90">
        <v>75.0</v>
      </c>
      <c r="N244" s="90">
        <v>70.0</v>
      </c>
      <c r="O244" s="90">
        <v>100.0</v>
      </c>
      <c r="P244" s="90">
        <v>0.0</v>
      </c>
      <c r="Q244" s="82"/>
      <c r="R244" s="82"/>
      <c r="S244" s="82"/>
      <c r="T244" s="82"/>
      <c r="U244" s="82"/>
      <c r="V244" s="82"/>
      <c r="W244" s="82"/>
      <c r="X244" s="82"/>
      <c r="Y244" s="82"/>
      <c r="Z244" s="82"/>
      <c r="AA244" s="82"/>
      <c r="AB244" s="79"/>
      <c r="AC244" s="90">
        <v>-35.0</v>
      </c>
      <c r="AD244" s="90">
        <v>10.0</v>
      </c>
      <c r="AE244" s="79"/>
      <c r="AF244" s="90">
        <v>10.0</v>
      </c>
      <c r="AG244" s="90">
        <v>10.0</v>
      </c>
      <c r="AH244" s="79"/>
      <c r="AI244" s="79"/>
      <c r="AJ244" s="90">
        <v>0.0</v>
      </c>
      <c r="AK244" s="90">
        <v>0.0</v>
      </c>
      <c r="AL244" s="90">
        <v>25.0</v>
      </c>
      <c r="AM244" s="90">
        <v>50.0</v>
      </c>
      <c r="AN244" s="90">
        <v>0.0</v>
      </c>
      <c r="AO244" s="90">
        <v>0.0</v>
      </c>
      <c r="AP244" s="90">
        <v>0.0</v>
      </c>
      <c r="AQ244" s="90">
        <v>50.0</v>
      </c>
      <c r="AR244" s="90">
        <v>50.0</v>
      </c>
      <c r="AS244" s="90">
        <v>0.0</v>
      </c>
      <c r="AT244" s="90">
        <v>0.0</v>
      </c>
      <c r="AU244" s="90">
        <v>0.0</v>
      </c>
      <c r="AV244" s="90">
        <v>0.0</v>
      </c>
      <c r="AW244" s="90">
        <v>0.0</v>
      </c>
      <c r="AX244" s="90">
        <v>0.0</v>
      </c>
      <c r="AY244" s="90">
        <v>0.0</v>
      </c>
      <c r="AZ244" s="90">
        <v>0.0</v>
      </c>
      <c r="BA244" s="90"/>
      <c r="BB244" s="90">
        <v>80.0</v>
      </c>
      <c r="BC244" s="90"/>
      <c r="BD244" s="90">
        <v>80.0</v>
      </c>
      <c r="BE244" s="90"/>
      <c r="BF244" s="90">
        <v>30.0</v>
      </c>
      <c r="BG244" s="79" t="str">
        <f t="array" ref="BG244">IF($A244="","", INDEX(CS!$B$1:$B$15025,MATCH($A244,CS!$B:$B,0)+COLUMN(A$1),1))</f>
        <v>牙</v>
      </c>
      <c r="BH244" s="79" t="str">
        <f t="array" ref="BH244">IF($A244="","", INDEX(CS!$B$1:$B$15025,MATCH($A244,CS!$B:$B,0)+COLUMN(B$1),1))</f>
        <v>尾</v>
      </c>
      <c r="BI244" s="79" t="str">
        <f t="array" ref="BI244">IF($A244="","", INDEX(CS!$B$1:$B$15025,MATCH($A244,CS!$B:$B,0)+COLUMN(C$1),1))</f>
        <v>鱗皮</v>
      </c>
      <c r="BJ244" s="79" t="str">
        <f t="array" ref="BJ244">IF($A244="","", INDEX(CS!$B$1:$B$15025,MATCH($A244,CS!$B:$B,0)+COLUMN(D$1),1))</f>
        <v>爬行</v>
      </c>
      <c r="BK244" s="79" t="str">
        <f t="array" ref="BK244">IF($A244="","", INDEX(CS!$B$1:$B$15025,MATCH($A244,CS!$B:$B,0)+COLUMN(E$1),1))</f>
        <v>反応</v>
      </c>
      <c r="BL244" s="79" t="str">
        <f t="array" ref="BL244">IF($A244="","", INDEX(CS!$B$1:$B$15025,MATCH($A244,CS!$B:$B,0)+COLUMN(F$1),1))</f>
        <v/>
      </c>
      <c r="BM244" s="79" t="str">
        <f t="array" ref="BM244">IF($A244="","", INDEX(CS!$B$1:$B$15025,MATCH($A244,CS!$B:$B,0)+COLUMN(G$1),1))</f>
        <v>野生感覚</v>
      </c>
      <c r="BN244" s="79" t="str">
        <f t="array" ref="BN244">IF($A244="","", INDEX(CS!$B$1:$B$15025,MATCH($A244,CS!$B:$B,0)+COLUMN(H$1),1))</f>
        <v/>
      </c>
      <c r="BO244" s="79" t="str">
        <f t="array" ref="BO244">IF($A244="","", INDEX(CS!$B$1:$B$15025,MATCH($A244,CS!$B:$B,0)+COLUMN(I$1),1))</f>
        <v/>
      </c>
      <c r="BP244" s="79" t="str">
        <f t="array" ref="BP244">IF($A244="","", INDEX(CS!$B$1:$B$15025,MATCH($A244,CS!$B:$B,0)+COLUMN(J$1),1))</f>
        <v/>
      </c>
      <c r="BQ244" s="79"/>
      <c r="BR244" s="79"/>
      <c r="BS244" s="83"/>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row>
    <row r="245" ht="18.75" customHeight="1" outlineLevel="1">
      <c r="A245" s="90" t="s">
        <v>1561</v>
      </c>
      <c r="B245" s="91"/>
      <c r="C245" s="90" t="s">
        <v>2900</v>
      </c>
      <c r="D245" s="92" t="str">
        <f t="shared" si="12"/>
        <v>720/445/275</v>
      </c>
      <c r="E245" s="93">
        <v>1.0</v>
      </c>
      <c r="F245" s="90">
        <v>80.0</v>
      </c>
      <c r="G245" s="79"/>
      <c r="H245" s="79"/>
      <c r="I245" s="90">
        <v>75.0</v>
      </c>
      <c r="J245" s="90">
        <v>55.0</v>
      </c>
      <c r="K245" s="94">
        <v>0.0</v>
      </c>
      <c r="L245" s="90">
        <v>50.0</v>
      </c>
      <c r="M245" s="90">
        <v>95.0</v>
      </c>
      <c r="N245" s="90">
        <v>90.0</v>
      </c>
      <c r="O245" s="90">
        <v>150.0</v>
      </c>
      <c r="P245" s="90">
        <v>0.0</v>
      </c>
      <c r="Q245" s="82"/>
      <c r="R245" s="82"/>
      <c r="S245" s="82"/>
      <c r="T245" s="82"/>
      <c r="U245" s="82"/>
      <c r="V245" s="82"/>
      <c r="W245" s="82"/>
      <c r="X245" s="82"/>
      <c r="Y245" s="82"/>
      <c r="Z245" s="82"/>
      <c r="AA245" s="82"/>
      <c r="AB245" s="79"/>
      <c r="AC245" s="90">
        <v>-35.0</v>
      </c>
      <c r="AD245" s="90">
        <v>10.0</v>
      </c>
      <c r="AE245" s="79"/>
      <c r="AF245" s="90">
        <v>10.0</v>
      </c>
      <c r="AG245" s="90">
        <v>10.0</v>
      </c>
      <c r="AH245" s="79"/>
      <c r="AI245" s="79"/>
      <c r="AJ245" s="90">
        <v>0.0</v>
      </c>
      <c r="AK245" s="90">
        <v>0.0</v>
      </c>
      <c r="AL245" s="90">
        <v>50.0</v>
      </c>
      <c r="AM245" s="90">
        <v>75.0</v>
      </c>
      <c r="AN245" s="90">
        <v>75.0</v>
      </c>
      <c r="AO245" s="90">
        <v>0.0</v>
      </c>
      <c r="AP245" s="90">
        <v>0.0</v>
      </c>
      <c r="AQ245" s="90">
        <v>25.0</v>
      </c>
      <c r="AR245" s="90">
        <v>50.0</v>
      </c>
      <c r="AS245" s="90">
        <v>0.0</v>
      </c>
      <c r="AT245" s="90">
        <v>0.0</v>
      </c>
      <c r="AU245" s="90">
        <v>0.0</v>
      </c>
      <c r="AV245" s="90">
        <v>0.0</v>
      </c>
      <c r="AW245" s="90">
        <v>0.0</v>
      </c>
      <c r="AX245" s="90">
        <v>0.0</v>
      </c>
      <c r="AY245" s="90">
        <v>0.0</v>
      </c>
      <c r="AZ245" s="90">
        <v>0.0</v>
      </c>
      <c r="BA245" s="90"/>
      <c r="BB245" s="90"/>
      <c r="BC245" s="90"/>
      <c r="BD245" s="90"/>
      <c r="BE245" s="90"/>
      <c r="BF245" s="90">
        <v>10.0</v>
      </c>
      <c r="BG245" s="79" t="str">
        <f t="array" ref="BG245">IF($A245="","", INDEX(CS!$B$1:$B$15025,MATCH($A245,CS!$B:$B,0)+COLUMN(A$1),1))</f>
        <v>猿の拳</v>
      </c>
      <c r="BH245" s="79" t="str">
        <f t="array" ref="BH245">IF($A245="","", INDEX(CS!$B$1:$B$15025,MATCH($A245,CS!$B:$B,0)+COLUMN(B$1),1))</f>
        <v>投石</v>
      </c>
      <c r="BI245" s="79" t="str">
        <f t="array" ref="BI245">IF($A245="","", INDEX(CS!$B$1:$B$15025,MATCH($A245,CS!$B:$B,0)+COLUMN(C$1),1))</f>
        <v>器用な手</v>
      </c>
      <c r="BJ245" s="79" t="str">
        <f t="array" ref="BJ245">IF($A245="","", INDEX(CS!$B$1:$B$15025,MATCH($A245,CS!$B:$B,0)+COLUMN(D$1),1))</f>
        <v>樹上移動</v>
      </c>
      <c r="BK245" s="79" t="str">
        <f t="array" ref="BK245">IF($A245="","", INDEX(CS!$B$1:$B$15025,MATCH($A245,CS!$B:$B,0)+COLUMN(E$1),1))</f>
        <v>反応</v>
      </c>
      <c r="BL245" s="79" t="str">
        <f t="array" ref="BL245">IF($A245="","", INDEX(CS!$B$1:$B$15025,MATCH($A245,CS!$B:$B,0)+COLUMN(F$1),1))</f>
        <v/>
      </c>
      <c r="BM245" s="79" t="str">
        <f t="array" ref="BM245">IF($A245="","", INDEX(CS!$B$1:$B$15025,MATCH($A245,CS!$B:$B,0)+COLUMN(G$1),1))</f>
        <v>野生感覚</v>
      </c>
      <c r="BN245" s="79" t="str">
        <f t="array" ref="BN245">IF($A245="","", INDEX(CS!$B$1:$B$15025,MATCH($A245,CS!$B:$B,0)+COLUMN(H$1),1))</f>
        <v/>
      </c>
      <c r="BO245" s="79" t="str">
        <f t="array" ref="BO245">IF($A245="","", INDEX(CS!$B$1:$B$15025,MATCH($A245,CS!$B:$B,0)+COLUMN(I$1),1))</f>
        <v/>
      </c>
      <c r="BP245" s="79" t="str">
        <f t="array" ref="BP245">IF($A245="","", INDEX(CS!$B$1:$B$15025,MATCH($A245,CS!$B:$B,0)+COLUMN(J$1),1))</f>
        <v/>
      </c>
      <c r="BQ245" s="79"/>
      <c r="BR245" s="79"/>
      <c r="BS245" s="83"/>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row>
    <row r="246" ht="18.75" customHeight="1" outlineLevel="1">
      <c r="A246" s="90" t="s">
        <v>1573</v>
      </c>
      <c r="B246" s="91"/>
      <c r="C246" s="90" t="s">
        <v>2900</v>
      </c>
      <c r="D246" s="92" t="str">
        <f t="shared" si="12"/>
        <v>730/430/300</v>
      </c>
      <c r="E246" s="93">
        <v>1.0</v>
      </c>
      <c r="F246" s="90">
        <v>60.0</v>
      </c>
      <c r="G246" s="79"/>
      <c r="H246" s="79"/>
      <c r="I246" s="90">
        <v>70.0</v>
      </c>
      <c r="J246" s="90">
        <v>45.0</v>
      </c>
      <c r="K246" s="94">
        <v>0.0</v>
      </c>
      <c r="L246" s="90">
        <v>50.0</v>
      </c>
      <c r="M246" s="90">
        <v>110.0</v>
      </c>
      <c r="N246" s="90">
        <v>95.0</v>
      </c>
      <c r="O246" s="90">
        <v>80.0</v>
      </c>
      <c r="P246" s="90">
        <v>0.0</v>
      </c>
      <c r="Q246" s="82"/>
      <c r="R246" s="82"/>
      <c r="S246" s="82"/>
      <c r="T246" s="82"/>
      <c r="U246" s="82"/>
      <c r="V246" s="82"/>
      <c r="W246" s="82"/>
      <c r="X246" s="82"/>
      <c r="Y246" s="82"/>
      <c r="Z246" s="82"/>
      <c r="AA246" s="82"/>
      <c r="AB246" s="79"/>
      <c r="AC246" s="90">
        <v>-35.0</v>
      </c>
      <c r="AD246" s="90">
        <v>10.0</v>
      </c>
      <c r="AE246" s="79"/>
      <c r="AF246" s="90">
        <v>10.0</v>
      </c>
      <c r="AG246" s="90">
        <v>10.0</v>
      </c>
      <c r="AH246" s="79"/>
      <c r="AI246" s="79"/>
      <c r="AJ246" s="90">
        <v>0.0</v>
      </c>
      <c r="AK246" s="90">
        <v>0.0</v>
      </c>
      <c r="AL246" s="90">
        <v>50.0</v>
      </c>
      <c r="AM246" s="90">
        <v>75.0</v>
      </c>
      <c r="AN246" s="90">
        <v>0.0</v>
      </c>
      <c r="AO246" s="90">
        <v>0.0</v>
      </c>
      <c r="AP246" s="90">
        <v>0.0</v>
      </c>
      <c r="AQ246" s="90">
        <v>100.0</v>
      </c>
      <c r="AR246" s="90">
        <v>75.0</v>
      </c>
      <c r="AS246" s="90">
        <v>0.0</v>
      </c>
      <c r="AT246" s="90">
        <v>0.0</v>
      </c>
      <c r="AU246" s="90">
        <v>0.0</v>
      </c>
      <c r="AV246" s="90">
        <v>0.0</v>
      </c>
      <c r="AW246" s="90">
        <v>0.0</v>
      </c>
      <c r="AX246" s="90">
        <v>0.0</v>
      </c>
      <c r="AY246" s="90">
        <v>0.0</v>
      </c>
      <c r="AZ246" s="90">
        <v>0.0</v>
      </c>
      <c r="BA246" s="90"/>
      <c r="BB246" s="90">
        <v>90.0</v>
      </c>
      <c r="BC246" s="90">
        <v>90.0</v>
      </c>
      <c r="BD246" s="90">
        <v>30.0</v>
      </c>
      <c r="BE246" s="90"/>
      <c r="BF246" s="90"/>
      <c r="BG246" s="79" t="str">
        <f t="array" ref="BG246">IF($A246="","", INDEX(CS!$B$1:$B$15025,MATCH($A246,CS!$B:$B,0)+COLUMN(A$1),1))</f>
        <v>牙</v>
      </c>
      <c r="BH246" s="79" t="str">
        <f t="array" ref="BH246">IF($A246="","", INDEX(CS!$B$1:$B$15025,MATCH($A246,CS!$B:$B,0)+COLUMN(B$1),1))</f>
        <v>爪</v>
      </c>
      <c r="BI246" s="79" t="str">
        <f t="array" ref="BI246">IF($A246="","", INDEX(CS!$B$1:$B$15025,MATCH($A246,CS!$B:$B,0)+COLUMN(C$1),1))</f>
        <v>狐の身軽さ</v>
      </c>
      <c r="BJ246" s="79" t="str">
        <f t="array" ref="BJ246">IF($A246="","", INDEX(CS!$B$1:$B$15025,MATCH($A246,CS!$B:$B,0)+COLUMN(D$1),1))</f>
        <v>忍び足</v>
      </c>
      <c r="BK246" s="79" t="str">
        <f t="array" ref="BK246">IF($A246="","", INDEX(CS!$B$1:$B$15025,MATCH($A246,CS!$B:$B,0)+COLUMN(E$1),1))</f>
        <v>反応</v>
      </c>
      <c r="BL246" s="79" t="str">
        <f t="array" ref="BL246">IF($A246="","", INDEX(CS!$B$1:$B$15025,MATCH($A246,CS!$B:$B,0)+COLUMN(F$1),1))</f>
        <v/>
      </c>
      <c r="BM246" s="79" t="str">
        <f t="array" ref="BM246">IF($A246="","", INDEX(CS!$B$1:$B$15025,MATCH($A246,CS!$B:$B,0)+COLUMN(G$1),1))</f>
        <v>野生感覚</v>
      </c>
      <c r="BN246" s="79" t="str">
        <f t="array" ref="BN246">IF($A246="","", INDEX(CS!$B$1:$B$15025,MATCH($A246,CS!$B:$B,0)+COLUMN(H$1),1))</f>
        <v/>
      </c>
      <c r="BO246" s="79" t="str">
        <f t="array" ref="BO246">IF($A246="","", INDEX(CS!$B$1:$B$15025,MATCH($A246,CS!$B:$B,0)+COLUMN(I$1),1))</f>
        <v/>
      </c>
      <c r="BP246" s="79" t="str">
        <f t="array" ref="BP246">IF($A246="","", INDEX(CS!$B$1:$B$15025,MATCH($A246,CS!$B:$B,0)+COLUMN(J$1),1))</f>
        <v/>
      </c>
      <c r="BQ246" s="79"/>
      <c r="BR246" s="79"/>
      <c r="BS246" s="83"/>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row>
    <row r="247" ht="18.75" customHeight="1" outlineLevel="1">
      <c r="A247" s="90" t="s">
        <v>1580</v>
      </c>
      <c r="B247" s="91"/>
      <c r="C247" s="90" t="s">
        <v>2900</v>
      </c>
      <c r="D247" s="92" t="str">
        <f t="shared" si="12"/>
        <v>530/455/75</v>
      </c>
      <c r="E247" s="93">
        <v>1.0</v>
      </c>
      <c r="F247" s="90">
        <v>110.0</v>
      </c>
      <c r="G247" s="79"/>
      <c r="H247" s="79"/>
      <c r="I247" s="90">
        <v>70.0</v>
      </c>
      <c r="J247" s="90">
        <v>120.0</v>
      </c>
      <c r="K247" s="94">
        <v>0.0</v>
      </c>
      <c r="L247" s="90">
        <v>60.0</v>
      </c>
      <c r="M247" s="90">
        <v>35.0</v>
      </c>
      <c r="N247" s="90">
        <v>60.0</v>
      </c>
      <c r="O247" s="90">
        <v>180.0</v>
      </c>
      <c r="P247" s="90">
        <v>0.0</v>
      </c>
      <c r="Q247" s="82"/>
      <c r="R247" s="82"/>
      <c r="S247" s="82"/>
      <c r="T247" s="82"/>
      <c r="U247" s="82"/>
      <c r="V247" s="82"/>
      <c r="W247" s="82"/>
      <c r="X247" s="82"/>
      <c r="Y247" s="82"/>
      <c r="Z247" s="82"/>
      <c r="AA247" s="82"/>
      <c r="AB247" s="79"/>
      <c r="AC247" s="90">
        <v>-35.0</v>
      </c>
      <c r="AD247" s="90">
        <v>20.0</v>
      </c>
      <c r="AE247" s="79"/>
      <c r="AF247" s="90">
        <v>10.0</v>
      </c>
      <c r="AG247" s="90">
        <v>10.0</v>
      </c>
      <c r="AH247" s="79"/>
      <c r="AI247" s="79"/>
      <c r="AJ247" s="90">
        <v>0.0</v>
      </c>
      <c r="AK247" s="90">
        <v>0.0</v>
      </c>
      <c r="AL247" s="90">
        <v>25.0</v>
      </c>
      <c r="AM247" s="90">
        <v>25.0</v>
      </c>
      <c r="AN247" s="90">
        <v>0.0</v>
      </c>
      <c r="AO247" s="90">
        <v>0.0</v>
      </c>
      <c r="AP247" s="90">
        <v>0.0</v>
      </c>
      <c r="AQ247" s="90">
        <v>0.0</v>
      </c>
      <c r="AR247" s="90">
        <v>25.0</v>
      </c>
      <c r="AS247" s="90">
        <v>0.0</v>
      </c>
      <c r="AT247" s="90">
        <v>0.0</v>
      </c>
      <c r="AU247" s="90">
        <v>0.0</v>
      </c>
      <c r="AV247" s="90">
        <v>0.0</v>
      </c>
      <c r="AW247" s="90">
        <v>0.0</v>
      </c>
      <c r="AX247" s="90">
        <v>0.0</v>
      </c>
      <c r="AY247" s="90">
        <v>0.0</v>
      </c>
      <c r="AZ247" s="90">
        <v>0.0</v>
      </c>
      <c r="BA247" s="90"/>
      <c r="BB247" s="90">
        <v>60.0</v>
      </c>
      <c r="BC247" s="90"/>
      <c r="BD247" s="90"/>
      <c r="BE247" s="90"/>
      <c r="BF247" s="90">
        <v>150.0</v>
      </c>
      <c r="BG247" s="79" t="str">
        <f t="array" ref="BG247">IF($A247="","", INDEX(CS!$B$1:$B$15025,MATCH($A247,CS!$B:$B,0)+COLUMN(A$1),1))</f>
        <v>牙</v>
      </c>
      <c r="BH247" s="79" t="str">
        <f t="array" ref="BH247">IF($A247="","", INDEX(CS!$B$1:$B$15025,MATCH($A247,CS!$B:$B,0)+COLUMN(B$1),1))</f>
        <v>甲羅体当たり</v>
      </c>
      <c r="BI247" s="79" t="str">
        <f t="array" ref="BI247">IF($A247="","", INDEX(CS!$B$1:$B$15025,MATCH($A247,CS!$B:$B,0)+COLUMN(C$1),1))</f>
        <v>甲羅</v>
      </c>
      <c r="BJ247" s="79" t="str">
        <f t="array" ref="BJ247">IF($A247="","", INDEX(CS!$B$1:$B$15025,MATCH($A247,CS!$B:$B,0)+COLUMN(D$1),1))</f>
        <v>甲羅防御</v>
      </c>
      <c r="BK247" s="79" t="str">
        <f t="array" ref="BK247">IF($A247="","", INDEX(CS!$B$1:$B$15025,MATCH($A247,CS!$B:$B,0)+COLUMN(E$1),1))</f>
        <v>反応</v>
      </c>
      <c r="BL247" s="79" t="str">
        <f t="array" ref="BL247">IF($A247="","", INDEX(CS!$B$1:$B$15025,MATCH($A247,CS!$B:$B,0)+COLUMN(F$1),1))</f>
        <v/>
      </c>
      <c r="BM247" s="79" t="str">
        <f t="array" ref="BM247">IF($A247="","", INDEX(CS!$B$1:$B$15025,MATCH($A247,CS!$B:$B,0)+COLUMN(G$1),1))</f>
        <v>野生感覚</v>
      </c>
      <c r="BN247" s="79" t="str">
        <f t="array" ref="BN247">IF($A247="","", INDEX(CS!$B$1:$B$15025,MATCH($A247,CS!$B:$B,0)+COLUMN(H$1),1))</f>
        <v/>
      </c>
      <c r="BO247" s="79" t="str">
        <f t="array" ref="BO247">IF($A247="","", INDEX(CS!$B$1:$B$15025,MATCH($A247,CS!$B:$B,0)+COLUMN(I$1),1))</f>
        <v/>
      </c>
      <c r="BP247" s="79" t="str">
        <f t="array" ref="BP247">IF($A247="","", INDEX(CS!$B$1:$B$15025,MATCH($A247,CS!$B:$B,0)+COLUMN(J$1),1))</f>
        <v/>
      </c>
      <c r="BQ247" s="79"/>
      <c r="BR247" s="79"/>
      <c r="BS247" s="83"/>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row>
    <row r="248" ht="18.75" customHeight="1" outlineLevel="1">
      <c r="A248" s="90" t="s">
        <v>1590</v>
      </c>
      <c r="B248" s="91"/>
      <c r="C248" s="90" t="s">
        <v>2900</v>
      </c>
      <c r="D248" s="92" t="str">
        <f t="shared" si="12"/>
        <v>675/450/225</v>
      </c>
      <c r="E248" s="93">
        <v>1.0</v>
      </c>
      <c r="F248" s="90">
        <v>85.0</v>
      </c>
      <c r="G248" s="79"/>
      <c r="H248" s="79"/>
      <c r="I248" s="90">
        <v>75.0</v>
      </c>
      <c r="J248" s="90">
        <v>55.0</v>
      </c>
      <c r="K248" s="94">
        <v>0.0</v>
      </c>
      <c r="L248" s="90">
        <v>40.0</v>
      </c>
      <c r="M248" s="90">
        <v>110.0</v>
      </c>
      <c r="N248" s="90">
        <v>85.0</v>
      </c>
      <c r="O248" s="90">
        <v>200.0</v>
      </c>
      <c r="P248" s="90">
        <v>0.0</v>
      </c>
      <c r="Q248" s="82"/>
      <c r="R248" s="82"/>
      <c r="S248" s="82"/>
      <c r="T248" s="82"/>
      <c r="U248" s="82"/>
      <c r="V248" s="82"/>
      <c r="W248" s="82"/>
      <c r="X248" s="82"/>
      <c r="Y248" s="82"/>
      <c r="Z248" s="82"/>
      <c r="AA248" s="82"/>
      <c r="AB248" s="79"/>
      <c r="AC248" s="90">
        <v>-35.0</v>
      </c>
      <c r="AD248" s="90">
        <v>10.0</v>
      </c>
      <c r="AE248" s="79"/>
      <c r="AF248" s="90">
        <v>10.0</v>
      </c>
      <c r="AG248" s="90">
        <v>10.0</v>
      </c>
      <c r="AH248" s="79"/>
      <c r="AI248" s="79"/>
      <c r="AJ248" s="90">
        <v>0.0</v>
      </c>
      <c r="AK248" s="90">
        <v>0.0</v>
      </c>
      <c r="AL248" s="90">
        <v>50.0</v>
      </c>
      <c r="AM248" s="90">
        <v>75.0</v>
      </c>
      <c r="AN248" s="90">
        <v>0.0</v>
      </c>
      <c r="AO248" s="90">
        <v>0.0</v>
      </c>
      <c r="AP248" s="90">
        <v>0.0</v>
      </c>
      <c r="AQ248" s="90">
        <v>25.0</v>
      </c>
      <c r="AR248" s="90">
        <v>75.0</v>
      </c>
      <c r="AS248" s="90">
        <v>0.0</v>
      </c>
      <c r="AT248" s="90">
        <v>0.0</v>
      </c>
      <c r="AU248" s="90">
        <v>0.0</v>
      </c>
      <c r="AV248" s="90">
        <v>0.0</v>
      </c>
      <c r="AW248" s="90">
        <v>0.0</v>
      </c>
      <c r="AX248" s="90">
        <v>0.0</v>
      </c>
      <c r="AY248" s="90">
        <v>0.0</v>
      </c>
      <c r="AZ248" s="90">
        <v>0.0</v>
      </c>
      <c r="BA248" s="90">
        <v>100.0</v>
      </c>
      <c r="BB248" s="90"/>
      <c r="BC248" s="90"/>
      <c r="BD248" s="90"/>
      <c r="BE248" s="90"/>
      <c r="BF248" s="90">
        <v>20.0</v>
      </c>
      <c r="BG248" s="79" t="str">
        <f t="array" ref="BG248">IF($A248="","", INDEX(CS!$B$1:$B$15025,MATCH($A248,CS!$B:$B,0)+COLUMN(A$1),1))</f>
        <v>角</v>
      </c>
      <c r="BH248" s="79" t="str">
        <f t="array" ref="BH248">IF($A248="","", INDEX(CS!$B$1:$B$15025,MATCH($A248,CS!$B:$B,0)+COLUMN(B$1),1))</f>
        <v>鹿の突進</v>
      </c>
      <c r="BI248" s="79" t="str">
        <f t="array" ref="BI248">IF($A248="","", INDEX(CS!$B$1:$B$15025,MATCH($A248,CS!$B:$B,0)+COLUMN(C$1),1))</f>
        <v>後脚蹴り</v>
      </c>
      <c r="BJ248" s="79" t="str">
        <f t="array" ref="BJ248">IF($A248="","", INDEX(CS!$B$1:$B$15025,MATCH($A248,CS!$B:$B,0)+COLUMN(D$1),1))</f>
        <v>警戒耳</v>
      </c>
      <c r="BK248" s="79" t="str">
        <f t="array" ref="BK248">IF($A248="","", INDEX(CS!$B$1:$B$15025,MATCH($A248,CS!$B:$B,0)+COLUMN(E$1),1))</f>
        <v>反応</v>
      </c>
      <c r="BL248" s="79" t="str">
        <f t="array" ref="BL248">IF($A248="","", INDEX(CS!$B$1:$B$15025,MATCH($A248,CS!$B:$B,0)+COLUMN(F$1),1))</f>
        <v/>
      </c>
      <c r="BM248" s="79" t="str">
        <f t="array" ref="BM248">IF($A248="","", INDEX(CS!$B$1:$B$15025,MATCH($A248,CS!$B:$B,0)+COLUMN(G$1),1))</f>
        <v>野生感覚</v>
      </c>
      <c r="BN248" s="79" t="str">
        <f t="array" ref="BN248">IF($A248="","", INDEX(CS!$B$1:$B$15025,MATCH($A248,CS!$B:$B,0)+COLUMN(H$1),1))</f>
        <v/>
      </c>
      <c r="BO248" s="79" t="str">
        <f t="array" ref="BO248">IF($A248="","", INDEX(CS!$B$1:$B$15025,MATCH($A248,CS!$B:$B,0)+COLUMN(I$1),1))</f>
        <v/>
      </c>
      <c r="BP248" s="79" t="str">
        <f t="array" ref="BP248">IF($A248="","", INDEX(CS!$B$1:$B$15025,MATCH($A248,CS!$B:$B,0)+COLUMN(J$1),1))</f>
        <v/>
      </c>
      <c r="BQ248" s="79"/>
      <c r="BR248" s="79"/>
      <c r="BS248" s="83"/>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row>
    <row r="249" ht="18.75" customHeight="1" outlineLevel="1">
      <c r="A249" s="90"/>
      <c r="B249" s="91"/>
      <c r="C249" s="90"/>
      <c r="D249" s="92"/>
      <c r="E249" s="93"/>
      <c r="F249" s="90"/>
      <c r="G249" s="79"/>
      <c r="H249" s="79"/>
      <c r="I249" s="90"/>
      <c r="J249" s="90"/>
      <c r="K249" s="94"/>
      <c r="L249" s="90"/>
      <c r="M249" s="90"/>
      <c r="N249" s="90"/>
      <c r="O249" s="90"/>
      <c r="P249" s="90" t="s">
        <v>29</v>
      </c>
      <c r="Q249" s="82"/>
      <c r="R249" s="82"/>
      <c r="S249" s="82"/>
      <c r="T249" s="82"/>
      <c r="U249" s="82"/>
      <c r="V249" s="82"/>
      <c r="W249" s="82"/>
      <c r="X249" s="82"/>
      <c r="Y249" s="82"/>
      <c r="Z249" s="82"/>
      <c r="AA249" s="82"/>
      <c r="AB249" s="79"/>
      <c r="AC249" s="90"/>
      <c r="AD249" s="90"/>
      <c r="AE249" s="79"/>
      <c r="AF249" s="90"/>
      <c r="AG249" s="90"/>
      <c r="AH249" s="79"/>
      <c r="AI249" s="79"/>
      <c r="AJ249" s="79"/>
      <c r="AK249" s="90"/>
      <c r="AL249" s="79"/>
      <c r="AM249" s="90"/>
      <c r="AN249" s="79"/>
      <c r="AO249" s="90"/>
      <c r="AP249" s="90"/>
      <c r="AQ249" s="90"/>
      <c r="AR249" s="90"/>
      <c r="AS249" s="79"/>
      <c r="AT249" s="79"/>
      <c r="AU249" s="79"/>
      <c r="AV249" s="79"/>
      <c r="AW249" s="79"/>
      <c r="AX249" s="79"/>
      <c r="AY249" s="79"/>
      <c r="AZ249" s="79"/>
      <c r="BA249" s="90"/>
      <c r="BB249" s="90"/>
      <c r="BC249" s="90"/>
      <c r="BD249" s="90"/>
      <c r="BE249" s="90"/>
      <c r="BF249" s="90"/>
      <c r="BG249" s="79" t="str">
        <f t="array" ref="BG249">IF($A249="","", INDEX(CS!$B$1:$B$15025,MATCH($A249,CS!$B:$B,0)+COLUMN(A$1),1))</f>
        <v/>
      </c>
      <c r="BH249" s="79" t="str">
        <f t="array" ref="BH249">IF($A249="","", INDEX(CS!$B$1:$B$15025,MATCH($A249,CS!$B:$B,0)+COLUMN(B$1),1))</f>
        <v/>
      </c>
      <c r="BI249" s="79" t="str">
        <f t="array" ref="BI249">IF($A249="","", INDEX(CS!$B$1:$B$15025,MATCH($A249,CS!$B:$B,0)+COLUMN(C$1),1))</f>
        <v/>
      </c>
      <c r="BJ249" s="79" t="str">
        <f t="array" ref="BJ249">IF($A249="","", INDEX(CS!$B$1:$B$15025,MATCH($A249,CS!$B:$B,0)+COLUMN(D$1),1))</f>
        <v/>
      </c>
      <c r="BK249" s="79" t="str">
        <f t="array" ref="BK249">IF($A249="","", INDEX(CS!$B$1:$B$15025,MATCH($A249,CS!$B:$B,0)+COLUMN(E$1),1))</f>
        <v/>
      </c>
      <c r="BL249" s="79" t="str">
        <f t="array" ref="BL249">IF($A249="","", INDEX(CS!$B$1:$B$15025,MATCH($A249,CS!$B:$B,0)+COLUMN(F$1),1))</f>
        <v/>
      </c>
      <c r="BM249" s="79" t="str">
        <f t="array" ref="BM249">IF($A249="","", INDEX(CS!$B$1:$B$15025,MATCH($A249,CS!$B:$B,0)+COLUMN(G$1),1))</f>
        <v/>
      </c>
      <c r="BN249" s="79" t="str">
        <f t="array" ref="BN249">IF($A249="","", INDEX(CS!$B$1:$B$15025,MATCH($A249,CS!$B:$B,0)+COLUMN(H$1),1))</f>
        <v/>
      </c>
      <c r="BO249" s="79" t="str">
        <f t="array" ref="BO249">IF($A249="","", INDEX(CS!$B$1:$B$15025,MATCH($A249,CS!$B:$B,0)+COLUMN(I$1),1))</f>
        <v/>
      </c>
      <c r="BP249" s="79" t="str">
        <f t="array" ref="BP249">IF($A249="","", INDEX(CS!$B$1:$B$15025,MATCH($A249,CS!$B:$B,0)+COLUMN(J$1),1))</f>
        <v/>
      </c>
      <c r="BQ249" s="79"/>
      <c r="BR249" s="79"/>
      <c r="BS249" s="83"/>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row>
    <row r="250" ht="18.75" customHeight="1">
      <c r="B250" s="85" t="s">
        <v>2901</v>
      </c>
      <c r="D250" s="72"/>
      <c r="E250" s="39">
        <v>1.0</v>
      </c>
      <c r="K250" s="73"/>
      <c r="P250" s="37" t="s">
        <v>29</v>
      </c>
      <c r="Q250" s="64"/>
      <c r="R250" s="64"/>
      <c r="S250" s="64"/>
      <c r="T250" s="64"/>
      <c r="U250" s="64"/>
      <c r="V250" s="64"/>
      <c r="W250" s="64"/>
      <c r="X250" s="64"/>
      <c r="Y250" s="64"/>
      <c r="Z250" s="64"/>
      <c r="AA250" s="64"/>
      <c r="BG250" s="79" t="str">
        <f t="array" ref="BG250">IF($A250="","", INDEX(CS!$B$1:$B$15025,MATCH($A250,CS!$B:$B,0)+COLUMN(A$1),1))</f>
        <v/>
      </c>
      <c r="BH250" s="79" t="str">
        <f t="array" ref="BH250">IF($A250="","", INDEX(CS!$B$1:$B$15025,MATCH($A250,CS!$B:$B,0)+COLUMN(B$1),1))</f>
        <v/>
      </c>
      <c r="BI250" s="79" t="str">
        <f t="array" ref="BI250">IF($A250="","", INDEX(CS!$B$1:$B$15025,MATCH($A250,CS!$B:$B,0)+COLUMN(C$1),1))</f>
        <v/>
      </c>
      <c r="BJ250" s="79" t="str">
        <f t="array" ref="BJ250">IF($A250="","", INDEX(CS!$B$1:$B$15025,MATCH($A250,CS!$B:$B,0)+COLUMN(D$1),1))</f>
        <v/>
      </c>
      <c r="BK250" s="79" t="str">
        <f t="array" ref="BK250">IF($A250="","", INDEX(CS!$B$1:$B$15025,MATCH($A250,CS!$B:$B,0)+COLUMN(E$1),1))</f>
        <v/>
      </c>
      <c r="BL250" s="79" t="str">
        <f t="array" ref="BL250">IF($A250="","", INDEX(CS!$B$1:$B$15025,MATCH($A250,CS!$B:$B,0)+COLUMN(F$1),1))</f>
        <v/>
      </c>
      <c r="BM250" s="79" t="str">
        <f t="array" ref="BM250">IF($A250="","", INDEX(CS!$B$1:$B$15025,MATCH($A250,CS!$B:$B,0)+COLUMN(G$1),1))</f>
        <v/>
      </c>
      <c r="BN250" s="79" t="str">
        <f t="array" ref="BN250">IF($A250="","", INDEX(CS!$B$1:$B$15025,MATCH($A250,CS!$B:$B,0)+COLUMN(H$1),1))</f>
        <v/>
      </c>
      <c r="BO250" s="79" t="str">
        <f t="array" ref="BO250">IF($A250="","", INDEX(CS!$B$1:$B$15025,MATCH($A250,CS!$B:$B,0)+COLUMN(I$1),1))</f>
        <v/>
      </c>
      <c r="BP250" s="79" t="str">
        <f t="array" ref="BP250">IF($A250="","", INDEX(CS!$B$1:$B$15025,MATCH($A250,CS!$B:$B,0)+COLUMN(J$1),1))</f>
        <v/>
      </c>
      <c r="BS250" s="74"/>
      <c r="BW250" s="57"/>
      <c r="BX250" s="57"/>
      <c r="BY250" s="57"/>
      <c r="BZ250" s="57"/>
      <c r="CA250" s="57"/>
      <c r="CQ250" s="37"/>
      <c r="CR250" s="37"/>
    </row>
    <row r="251" ht="18.75" customHeight="1" outlineLevel="1">
      <c r="A251" s="39" t="s">
        <v>1598</v>
      </c>
      <c r="B251" s="71"/>
      <c r="C251" s="39" t="s">
        <v>2902</v>
      </c>
      <c r="D251" s="72" t="str">
        <f t="shared" ref="D251:D258" si="13">SUM(AJ251:AZ251,F251:N251)&amp;"/"&amp;SUM(F251:N251)&amp;"/"&amp;SUM(AJ251:AZ251)</f>
        <v>635/460/175</v>
      </c>
      <c r="E251" s="39">
        <v>1.0</v>
      </c>
      <c r="F251" s="39">
        <v>105.0</v>
      </c>
      <c r="I251" s="39">
        <v>85.0</v>
      </c>
      <c r="J251" s="39">
        <v>100.0</v>
      </c>
      <c r="K251" s="87">
        <v>0.0</v>
      </c>
      <c r="L251" s="39">
        <v>45.0</v>
      </c>
      <c r="M251" s="39">
        <v>55.0</v>
      </c>
      <c r="N251" s="39">
        <v>70.0</v>
      </c>
      <c r="O251" s="39">
        <v>160.0</v>
      </c>
      <c r="P251" s="37">
        <v>0.0</v>
      </c>
      <c r="Q251" s="64"/>
      <c r="R251" s="64"/>
      <c r="S251" s="64"/>
      <c r="T251" s="64"/>
      <c r="U251" s="64"/>
      <c r="V251" s="64"/>
      <c r="W251" s="64"/>
      <c r="X251" s="64"/>
      <c r="Y251" s="64"/>
      <c r="Z251" s="64"/>
      <c r="AA251" s="64"/>
      <c r="AJ251" s="39">
        <v>0.0</v>
      </c>
      <c r="AK251" s="39">
        <v>50.0</v>
      </c>
      <c r="AL251" s="39">
        <v>25.0</v>
      </c>
      <c r="AM251" s="39">
        <v>25.0</v>
      </c>
      <c r="AN251" s="39">
        <v>0.0</v>
      </c>
      <c r="AO251" s="39">
        <v>0.0</v>
      </c>
      <c r="AP251" s="39">
        <v>0.0</v>
      </c>
      <c r="AQ251" s="39">
        <v>25.0</v>
      </c>
      <c r="AR251" s="39">
        <v>50.0</v>
      </c>
      <c r="AS251" s="39">
        <v>0.0</v>
      </c>
      <c r="AT251" s="39">
        <v>0.0</v>
      </c>
      <c r="AU251" s="39">
        <v>0.0</v>
      </c>
      <c r="AV251" s="39">
        <v>0.0</v>
      </c>
      <c r="AW251" s="39">
        <v>0.0</v>
      </c>
      <c r="AX251" s="39">
        <v>0.0</v>
      </c>
      <c r="AY251" s="39">
        <v>0.0</v>
      </c>
      <c r="AZ251" s="39">
        <v>0.0</v>
      </c>
      <c r="BA251" s="39">
        <v>30.0</v>
      </c>
      <c r="BB251" s="39">
        <v>40.0</v>
      </c>
      <c r="BC251" s="39">
        <v>60.0</v>
      </c>
      <c r="BD251" s="39">
        <v>0.0</v>
      </c>
      <c r="BE251" s="39">
        <v>40.0</v>
      </c>
      <c r="BF251" s="39">
        <v>100.0</v>
      </c>
      <c r="BG251" s="79" t="str">
        <f t="array" ref="BG251">IF($A251="","", INDEX(CS!$B$1:$B$15025,MATCH($A251,CS!$B:$B,0)+COLUMN(A$1),1))</f>
        <v>甲虫角撃</v>
      </c>
      <c r="BH251" s="79" t="str">
        <f t="array" ref="BH251">IF($A251="","", INDEX(CS!$B$1:$B$15025,MATCH($A251,CS!$B:$B,0)+COLUMN(B$1),1))</f>
        <v>甲虫の複眼</v>
      </c>
      <c r="BI251" s="79" t="str">
        <f t="array" ref="BI251">IF($A251="","", INDEX(CS!$B$1:$B$15025,MATCH($A251,CS!$B:$B,0)+COLUMN(C$1),1))</f>
        <v>硬質外殻</v>
      </c>
      <c r="BJ251" s="79" t="str">
        <f t="array" ref="BJ251">IF($A251="","", INDEX(CS!$B$1:$B$15025,MATCH($A251,CS!$B:$B,0)+COLUMN(D$1),1))</f>
        <v>突進甲角</v>
      </c>
      <c r="BK251" s="79" t="str">
        <f t="array" ref="BK251">IF($A251="","", INDEX(CS!$B$1:$B$15025,MATCH($A251,CS!$B:$B,0)+COLUMN(E$1),1))</f>
        <v>虫の体当たり</v>
      </c>
      <c r="BL251" s="79" t="str">
        <f t="array" ref="BL251">IF($A251="","", INDEX(CS!$B$1:$B$15025,MATCH($A251,CS!$B:$B,0)+COLUMN(F$1),1))</f>
        <v/>
      </c>
      <c r="BM251" s="79" t="str">
        <f t="array" ref="BM251">IF($A251="","", INDEX(CS!$B$1:$B$15025,MATCH($A251,CS!$B:$B,0)+COLUMN(G$1),1))</f>
        <v>虫の反応</v>
      </c>
      <c r="BN251" s="79" t="str">
        <f t="array" ref="BN251">IF($A251="","", INDEX(CS!$B$1:$B$15025,MATCH($A251,CS!$B:$B,0)+COLUMN(H$1),1))</f>
        <v/>
      </c>
      <c r="BO251" s="79" t="str">
        <f t="array" ref="BO251">IF($A251="","", INDEX(CS!$B$1:$B$15025,MATCH($A251,CS!$B:$B,0)+COLUMN(I$1),1))</f>
        <v/>
      </c>
      <c r="BP251" s="79" t="str">
        <f t="array" ref="BP251">IF($A251="","", INDEX(CS!$B$1:$B$15025,MATCH($A251,CS!$B:$B,0)+COLUMN(J$1),1))</f>
        <v/>
      </c>
      <c r="BS251" s="74"/>
      <c r="BW251" s="57"/>
      <c r="BX251" s="75"/>
      <c r="BY251" s="75"/>
      <c r="BZ251" s="75"/>
      <c r="CA251" s="75"/>
      <c r="CD251" s="75"/>
      <c r="CE251" s="75"/>
      <c r="CQ251" s="37"/>
      <c r="CR251" s="37"/>
    </row>
    <row r="252" ht="18.75" customHeight="1" outlineLevel="1">
      <c r="A252" s="39" t="s">
        <v>1609</v>
      </c>
      <c r="B252" s="71"/>
      <c r="C252" s="39" t="s">
        <v>2902</v>
      </c>
      <c r="D252" s="72" t="str">
        <f t="shared" si="13"/>
        <v>685/460/225</v>
      </c>
      <c r="E252" s="39">
        <v>1.0</v>
      </c>
      <c r="F252" s="39">
        <v>95.0</v>
      </c>
      <c r="I252" s="39">
        <v>100.0</v>
      </c>
      <c r="J252" s="39">
        <v>85.0</v>
      </c>
      <c r="K252" s="87">
        <v>0.0</v>
      </c>
      <c r="L252" s="39">
        <v>40.0</v>
      </c>
      <c r="M252" s="39">
        <v>65.0</v>
      </c>
      <c r="N252" s="39">
        <v>75.0</v>
      </c>
      <c r="O252" s="39">
        <v>170.0</v>
      </c>
      <c r="P252" s="37">
        <v>0.0</v>
      </c>
      <c r="Q252" s="64"/>
      <c r="R252" s="64"/>
      <c r="S252" s="64"/>
      <c r="T252" s="64"/>
      <c r="U252" s="64"/>
      <c r="V252" s="64"/>
      <c r="W252" s="64"/>
      <c r="X252" s="64"/>
      <c r="Y252" s="64"/>
      <c r="Z252" s="64"/>
      <c r="AA252" s="64"/>
      <c r="AJ252" s="39">
        <v>0.0</v>
      </c>
      <c r="AK252" s="39">
        <v>75.0</v>
      </c>
      <c r="AL252" s="39">
        <v>25.0</v>
      </c>
      <c r="AM252" s="39">
        <v>50.0</v>
      </c>
      <c r="AN252" s="39">
        <v>0.0</v>
      </c>
      <c r="AO252" s="39">
        <v>0.0</v>
      </c>
      <c r="AP252" s="39">
        <v>0.0</v>
      </c>
      <c r="AQ252" s="39">
        <v>25.0</v>
      </c>
      <c r="AR252" s="39">
        <v>50.0</v>
      </c>
      <c r="AS252" s="39">
        <v>0.0</v>
      </c>
      <c r="AT252" s="39">
        <v>0.0</v>
      </c>
      <c r="AU252" s="39">
        <v>0.0</v>
      </c>
      <c r="AV252" s="39">
        <v>0.0</v>
      </c>
      <c r="AW252" s="39">
        <v>0.0</v>
      </c>
      <c r="AX252" s="39">
        <v>0.0</v>
      </c>
      <c r="AY252" s="39">
        <v>0.0</v>
      </c>
      <c r="AZ252" s="39">
        <v>0.0</v>
      </c>
      <c r="BA252" s="39">
        <v>0.0</v>
      </c>
      <c r="BB252" s="39">
        <v>140.0</v>
      </c>
      <c r="BC252" s="39">
        <v>70.0</v>
      </c>
      <c r="BD252" s="39">
        <v>0.0</v>
      </c>
      <c r="BE252" s="39">
        <v>40.0</v>
      </c>
      <c r="BF252" s="39">
        <v>80.0</v>
      </c>
      <c r="BG252" s="79" t="str">
        <f t="array" ref="BG252">IF($A252="","", INDEX(CS!$B$1:$B$15025,MATCH($A252,CS!$B:$B,0)+COLUMN(A$1),1))</f>
        <v>鍬形大顎</v>
      </c>
      <c r="BH252" s="79" t="str">
        <f t="array" ref="BH252">IF($A252="","", INDEX(CS!$B$1:$B$15025,MATCH($A252,CS!$B:$B,0)+COLUMN(B$1),1))</f>
        <v>挟み込み</v>
      </c>
      <c r="BI252" s="79" t="str">
        <f t="array" ref="BI252">IF($A252="","", INDEX(CS!$B$1:$B$15025,MATCH($A252,CS!$B:$B,0)+COLUMN(C$1),1))</f>
        <v>鍬形の複眼</v>
      </c>
      <c r="BJ252" s="79" t="str">
        <f t="array" ref="BJ252">IF($A252="","", INDEX(CS!$B$1:$B$15025,MATCH($A252,CS!$B:$B,0)+COLUMN(D$1),1))</f>
        <v>大顎強化</v>
      </c>
      <c r="BK252" s="79" t="str">
        <f t="array" ref="BK252">IF($A252="","", INDEX(CS!$B$1:$B$15025,MATCH($A252,CS!$B:$B,0)+COLUMN(E$1),1))</f>
        <v>虫の体当たり</v>
      </c>
      <c r="BL252" s="79" t="str">
        <f t="array" ref="BL252">IF($A252="","", INDEX(CS!$B$1:$B$15025,MATCH($A252,CS!$B:$B,0)+COLUMN(F$1),1))</f>
        <v/>
      </c>
      <c r="BM252" s="79" t="str">
        <f t="array" ref="BM252">IF($A252="","", INDEX(CS!$B$1:$B$15025,MATCH($A252,CS!$B:$B,0)+COLUMN(G$1),1))</f>
        <v>虫の反応</v>
      </c>
      <c r="BN252" s="79" t="str">
        <f t="array" ref="BN252">IF($A252="","", INDEX(CS!$B$1:$B$15025,MATCH($A252,CS!$B:$B,0)+COLUMN(H$1),1))</f>
        <v/>
      </c>
      <c r="BO252" s="79" t="str">
        <f t="array" ref="BO252">IF($A252="","", INDEX(CS!$B$1:$B$15025,MATCH($A252,CS!$B:$B,0)+COLUMN(I$1),1))</f>
        <v/>
      </c>
      <c r="BP252" s="79" t="str">
        <f t="array" ref="BP252">IF($A252="","", INDEX(CS!$B$1:$B$15025,MATCH($A252,CS!$B:$B,0)+COLUMN(J$1),1))</f>
        <v/>
      </c>
      <c r="BS252" s="74"/>
      <c r="BW252" s="57"/>
      <c r="BX252" s="75"/>
      <c r="BY252" s="75"/>
      <c r="BZ252" s="75"/>
      <c r="CA252" s="75"/>
      <c r="CD252" s="75"/>
      <c r="CE252" s="75"/>
      <c r="CQ252" s="37"/>
      <c r="CR252" s="37"/>
    </row>
    <row r="253" ht="18.75" customHeight="1" outlineLevel="1">
      <c r="A253" s="39" t="s">
        <v>1617</v>
      </c>
      <c r="B253" s="71"/>
      <c r="C253" s="39" t="s">
        <v>2902</v>
      </c>
      <c r="D253" s="72" t="str">
        <f t="shared" si="13"/>
        <v>740/465/275</v>
      </c>
      <c r="E253" s="39">
        <v>1.0</v>
      </c>
      <c r="F253" s="39">
        <v>75.0</v>
      </c>
      <c r="I253" s="39">
        <v>95.0</v>
      </c>
      <c r="J253" s="39">
        <v>55.0</v>
      </c>
      <c r="K253" s="87">
        <v>0.0</v>
      </c>
      <c r="L253" s="39">
        <v>45.0</v>
      </c>
      <c r="M253" s="39">
        <v>100.0</v>
      </c>
      <c r="N253" s="39">
        <v>95.0</v>
      </c>
      <c r="O253" s="39">
        <v>150.0</v>
      </c>
      <c r="P253" s="37">
        <v>0.0</v>
      </c>
      <c r="Q253" s="64"/>
      <c r="R253" s="64"/>
      <c r="S253" s="64"/>
      <c r="T253" s="64"/>
      <c r="U253" s="64"/>
      <c r="V253" s="64"/>
      <c r="W253" s="64"/>
      <c r="X253" s="64"/>
      <c r="Y253" s="64"/>
      <c r="Z253" s="64"/>
      <c r="AA253" s="64"/>
      <c r="AJ253" s="39">
        <v>0.0</v>
      </c>
      <c r="AK253" s="39">
        <v>25.0</v>
      </c>
      <c r="AL253" s="39">
        <v>50.0</v>
      </c>
      <c r="AM253" s="39">
        <v>75.0</v>
      </c>
      <c r="AN253" s="39">
        <v>25.0</v>
      </c>
      <c r="AO253" s="39">
        <v>0.0</v>
      </c>
      <c r="AP253" s="39">
        <v>0.0</v>
      </c>
      <c r="AQ253" s="39">
        <v>50.0</v>
      </c>
      <c r="AR253" s="39">
        <v>50.0</v>
      </c>
      <c r="AS253" s="39">
        <v>0.0</v>
      </c>
      <c r="AT253" s="39">
        <v>0.0</v>
      </c>
      <c r="AU253" s="39">
        <v>0.0</v>
      </c>
      <c r="AV253" s="39">
        <v>0.0</v>
      </c>
      <c r="AW253" s="39">
        <v>0.0</v>
      </c>
      <c r="AX253" s="39">
        <v>0.0</v>
      </c>
      <c r="AY253" s="39">
        <v>0.0</v>
      </c>
      <c r="AZ253" s="39">
        <v>0.0</v>
      </c>
      <c r="BA253" s="39">
        <v>0.0</v>
      </c>
      <c r="BB253" s="39">
        <v>20.0</v>
      </c>
      <c r="BC253" s="39">
        <v>140.0</v>
      </c>
      <c r="BD253" s="39">
        <v>0.0</v>
      </c>
      <c r="BE253" s="39">
        <v>40.0</v>
      </c>
      <c r="BF253" s="39">
        <v>20.0</v>
      </c>
      <c r="BG253" s="79" t="str">
        <f t="array" ref="BG253">IF($A253="","", INDEX(CS!$B$1:$B$15025,MATCH($A253,CS!$B:$B,0)+COLUMN(A$1),1))</f>
        <v>鎌爪</v>
      </c>
      <c r="BH253" s="79" t="str">
        <f t="array" ref="BH253">IF($A253="","", INDEX(CS!$B$1:$B$15025,MATCH($A253,CS!$B:$B,0)+COLUMN(B$1),1))</f>
        <v>連続鎌</v>
      </c>
      <c r="BI253" s="79" t="str">
        <f t="array" ref="BI253">IF($A253="","", INDEX(CS!$B$1:$B$15025,MATCH($A253,CS!$B:$B,0)+COLUMN(C$1),1))</f>
        <v>蟷螂の複眼</v>
      </c>
      <c r="BJ253" s="79" t="str">
        <f t="array" ref="BJ253">IF($A253="","", INDEX(CS!$B$1:$B$15025,MATCH($A253,CS!$B:$B,0)+COLUMN(D$1),1))</f>
        <v>待ち伏せ</v>
      </c>
      <c r="BK253" s="79" t="str">
        <f t="array" ref="BK253">IF($A253="","", INDEX(CS!$B$1:$B$15025,MATCH($A253,CS!$B:$B,0)+COLUMN(E$1),1))</f>
        <v>虫の体当たり</v>
      </c>
      <c r="BL253" s="79" t="str">
        <f t="array" ref="BL253">IF($A253="","", INDEX(CS!$B$1:$B$15025,MATCH($A253,CS!$B:$B,0)+COLUMN(F$1),1))</f>
        <v/>
      </c>
      <c r="BM253" s="79" t="str">
        <f t="array" ref="BM253">IF($A253="","", INDEX(CS!$B$1:$B$15025,MATCH($A253,CS!$B:$B,0)+COLUMN(G$1),1))</f>
        <v>虫の反応</v>
      </c>
      <c r="BN253" s="79" t="str">
        <f t="array" ref="BN253">IF($A253="","", INDEX(CS!$B$1:$B$15025,MATCH($A253,CS!$B:$B,0)+COLUMN(H$1),1))</f>
        <v/>
      </c>
      <c r="BO253" s="79" t="str">
        <f t="array" ref="BO253">IF($A253="","", INDEX(CS!$B$1:$B$15025,MATCH($A253,CS!$B:$B,0)+COLUMN(I$1),1))</f>
        <v/>
      </c>
      <c r="BP253" s="79" t="str">
        <f t="array" ref="BP253">IF($A253="","", INDEX(CS!$B$1:$B$15025,MATCH($A253,CS!$B:$B,0)+COLUMN(J$1),1))</f>
        <v/>
      </c>
      <c r="BS253" s="74"/>
      <c r="BW253" s="57"/>
      <c r="BX253" s="75"/>
      <c r="BY253" s="75"/>
      <c r="BZ253" s="75"/>
      <c r="CA253" s="75"/>
      <c r="CD253" s="75"/>
      <c r="CE253" s="75"/>
      <c r="CQ253" s="37"/>
      <c r="CR253" s="37"/>
    </row>
    <row r="254" ht="18.75" customHeight="1" outlineLevel="1">
      <c r="A254" s="39" t="s">
        <v>1625</v>
      </c>
      <c r="B254" s="71"/>
      <c r="C254" s="39" t="s">
        <v>2902</v>
      </c>
      <c r="D254" s="72" t="str">
        <f t="shared" si="13"/>
        <v>630/430/200</v>
      </c>
      <c r="E254" s="39">
        <v>1.0</v>
      </c>
      <c r="F254" s="39">
        <v>60.0</v>
      </c>
      <c r="I254" s="39">
        <v>75.0</v>
      </c>
      <c r="J254" s="39">
        <v>45.0</v>
      </c>
      <c r="K254" s="87">
        <v>0.0</v>
      </c>
      <c r="L254" s="39">
        <v>40.0</v>
      </c>
      <c r="M254" s="39">
        <v>120.0</v>
      </c>
      <c r="N254" s="39">
        <v>90.0</v>
      </c>
      <c r="O254" s="39">
        <v>90.0</v>
      </c>
      <c r="P254" s="37">
        <v>0.0</v>
      </c>
      <c r="Q254" s="64"/>
      <c r="R254" s="64"/>
      <c r="S254" s="64"/>
      <c r="T254" s="64"/>
      <c r="U254" s="64"/>
      <c r="V254" s="64"/>
      <c r="W254" s="64"/>
      <c r="X254" s="64"/>
      <c r="Y254" s="64"/>
      <c r="Z254" s="64"/>
      <c r="AA254" s="64"/>
      <c r="AJ254" s="39">
        <v>0.0</v>
      </c>
      <c r="AK254" s="39">
        <v>0.0</v>
      </c>
      <c r="AL254" s="39">
        <v>25.0</v>
      </c>
      <c r="AM254" s="39">
        <v>75.0</v>
      </c>
      <c r="AN254" s="39">
        <v>0.0</v>
      </c>
      <c r="AO254" s="39">
        <v>0.0</v>
      </c>
      <c r="AP254" s="39">
        <v>0.0</v>
      </c>
      <c r="AQ254" s="39">
        <v>25.0</v>
      </c>
      <c r="AR254" s="39">
        <v>75.0</v>
      </c>
      <c r="AS254" s="39">
        <v>0.0</v>
      </c>
      <c r="AT254" s="39">
        <v>0.0</v>
      </c>
      <c r="AU254" s="39">
        <v>0.0</v>
      </c>
      <c r="AV254" s="39">
        <v>0.0</v>
      </c>
      <c r="AW254" s="39">
        <v>0.0</v>
      </c>
      <c r="AX254" s="39">
        <v>0.0</v>
      </c>
      <c r="AY254" s="39">
        <v>0.0</v>
      </c>
      <c r="AZ254" s="39">
        <v>0.0</v>
      </c>
      <c r="BA254" s="39">
        <v>0.0</v>
      </c>
      <c r="BB254" s="39">
        <v>30.0</v>
      </c>
      <c r="BC254" s="39">
        <v>30.0</v>
      </c>
      <c r="BD254" s="39">
        <v>120.0</v>
      </c>
      <c r="BE254" s="39">
        <v>100.0</v>
      </c>
      <c r="BF254" s="39">
        <v>20.0</v>
      </c>
      <c r="BG254" s="79" t="str">
        <f t="array" ref="BG254">IF($A254="","", INDEX(CS!$B$1:$B$15025,MATCH($A254,CS!$B:$B,0)+COLUMN(A$1),1))</f>
        <v>蜂の毒針</v>
      </c>
      <c r="BH254" s="79" t="str">
        <f t="array" ref="BH254">IF($A254="","", INDEX(CS!$B$1:$B$15025,MATCH($A254,CS!$B:$B,0)+COLUMN(B$1),1))</f>
        <v>蜂の複眼</v>
      </c>
      <c r="BI254" s="79" t="str">
        <f t="array" ref="BI254">IF($A254="","", INDEX(CS!$B$1:$B$15025,MATCH($A254,CS!$B:$B,0)+COLUMN(C$1),1))</f>
        <v>翅音加速</v>
      </c>
      <c r="BJ254" s="79" t="str">
        <f t="array" ref="BJ254">IF($A254="","", INDEX(CS!$B$1:$B$15025,MATCH($A254,CS!$B:$B,0)+COLUMN(D$1),1))</f>
        <v>急降下刺突</v>
      </c>
      <c r="BK254" s="79" t="str">
        <f t="array" ref="BK254">IF($A254="","", INDEX(CS!$B$1:$B$15025,MATCH($A254,CS!$B:$B,0)+COLUMN(E$1),1))</f>
        <v>虫の体当たり</v>
      </c>
      <c r="BL254" s="79" t="str">
        <f t="array" ref="BL254">IF($A254="","", INDEX(CS!$B$1:$B$15025,MATCH($A254,CS!$B:$B,0)+COLUMN(F$1),1))</f>
        <v/>
      </c>
      <c r="BM254" s="79" t="str">
        <f t="array" ref="BM254">IF($A254="","", INDEX(CS!$B$1:$B$15025,MATCH($A254,CS!$B:$B,0)+COLUMN(G$1),1))</f>
        <v>虫の反応</v>
      </c>
      <c r="BN254" s="79" t="str">
        <f t="array" ref="BN254">IF($A254="","", INDEX(CS!$B$1:$B$15025,MATCH($A254,CS!$B:$B,0)+COLUMN(H$1),1))</f>
        <v/>
      </c>
      <c r="BO254" s="79" t="str">
        <f t="array" ref="BO254">IF($A254="","", INDEX(CS!$B$1:$B$15025,MATCH($A254,CS!$B:$B,0)+COLUMN(I$1),1))</f>
        <v/>
      </c>
      <c r="BP254" s="79" t="str">
        <f t="array" ref="BP254">IF($A254="","", INDEX(CS!$B$1:$B$15025,MATCH($A254,CS!$B:$B,0)+COLUMN(J$1),1))</f>
        <v/>
      </c>
      <c r="BS254" s="74"/>
      <c r="BW254" s="57"/>
      <c r="BX254" s="75"/>
      <c r="BY254" s="75"/>
      <c r="BZ254" s="75"/>
      <c r="CA254" s="75"/>
      <c r="CD254" s="75"/>
      <c r="CE254" s="75"/>
      <c r="CQ254" s="37"/>
      <c r="CR254" s="37"/>
    </row>
    <row r="255" ht="18.75" customHeight="1" outlineLevel="1">
      <c r="A255" s="39" t="s">
        <v>1633</v>
      </c>
      <c r="B255" s="71"/>
      <c r="C255" s="39" t="s">
        <v>2902</v>
      </c>
      <c r="D255" s="72" t="str">
        <f t="shared" si="13"/>
        <v>655/455/200</v>
      </c>
      <c r="E255" s="39">
        <v>1.0</v>
      </c>
      <c r="F255" s="39">
        <v>85.0</v>
      </c>
      <c r="I255" s="39">
        <v>80.0</v>
      </c>
      <c r="J255" s="39">
        <v>85.0</v>
      </c>
      <c r="K255" s="87">
        <v>0.0</v>
      </c>
      <c r="L255" s="39">
        <v>50.0</v>
      </c>
      <c r="M255" s="39">
        <v>75.0</v>
      </c>
      <c r="N255" s="39">
        <v>80.0</v>
      </c>
      <c r="O255" s="39">
        <v>100.0</v>
      </c>
      <c r="P255" s="37">
        <v>0.0</v>
      </c>
      <c r="Q255" s="64"/>
      <c r="R255" s="64"/>
      <c r="S255" s="64"/>
      <c r="T255" s="64"/>
      <c r="U255" s="64"/>
      <c r="V255" s="64"/>
      <c r="W255" s="64"/>
      <c r="X255" s="64"/>
      <c r="Y255" s="64"/>
      <c r="Z255" s="64"/>
      <c r="AA255" s="64"/>
      <c r="AJ255" s="39">
        <v>50.0</v>
      </c>
      <c r="AK255" s="39">
        <v>0.0</v>
      </c>
      <c r="AL255" s="39">
        <v>25.0</v>
      </c>
      <c r="AM255" s="39">
        <v>25.0</v>
      </c>
      <c r="AN255" s="39">
        <v>50.0</v>
      </c>
      <c r="AO255" s="39">
        <v>0.0</v>
      </c>
      <c r="AP255" s="39">
        <v>0.0</v>
      </c>
      <c r="AQ255" s="39">
        <v>0.0</v>
      </c>
      <c r="AR255" s="39">
        <v>50.0</v>
      </c>
      <c r="AS255" s="39">
        <v>0.0</v>
      </c>
      <c r="AT255" s="39">
        <v>0.0</v>
      </c>
      <c r="AU255" s="39">
        <v>0.0</v>
      </c>
      <c r="AV255" s="39">
        <v>0.0</v>
      </c>
      <c r="AW255" s="39">
        <v>0.0</v>
      </c>
      <c r="AX255" s="39">
        <v>0.0</v>
      </c>
      <c r="AY255" s="39">
        <v>0.0</v>
      </c>
      <c r="AZ255" s="39">
        <v>0.0</v>
      </c>
      <c r="BA255" s="39">
        <v>0.0</v>
      </c>
      <c r="BB255" s="39">
        <v>100.0</v>
      </c>
      <c r="BC255" s="39">
        <v>50.0</v>
      </c>
      <c r="BD255" s="39">
        <v>0.0</v>
      </c>
      <c r="BE255" s="39">
        <v>0.0</v>
      </c>
      <c r="BF255" s="39">
        <v>40.0</v>
      </c>
      <c r="BG255" s="79" t="str">
        <f t="array" ref="BG255">IF($A255="","", INDEX(CS!$B$1:$B$15025,MATCH($A255,CS!$B:$B,0)+COLUMN(A$1),1))</f>
        <v>蟻の大顎</v>
      </c>
      <c r="BH255" s="79" t="str">
        <f t="array" ref="BH255">IF($A255="","", INDEX(CS!$B$1:$B$15025,MATCH($A255,CS!$B:$B,0)+COLUMN(B$1),1))</f>
        <v>群体連携</v>
      </c>
      <c r="BI255" s="79" t="str">
        <f t="array" ref="BI255">IF($A255="","", INDEX(CS!$B$1:$B$15025,MATCH($A255,CS!$B:$B,0)+COLUMN(C$1),1))</f>
        <v>蟻の外殻</v>
      </c>
      <c r="BJ255" s="79" t="str">
        <f t="array" ref="BJ255">IF($A255="","", INDEX(CS!$B$1:$B$15025,MATCH($A255,CS!$B:$B,0)+COLUMN(D$1),1))</f>
        <v>蟻の嗅覚</v>
      </c>
      <c r="BK255" s="79" t="str">
        <f t="array" ref="BK255">IF($A255="","", INDEX(CS!$B$1:$B$15025,MATCH($A255,CS!$B:$B,0)+COLUMN(E$1),1))</f>
        <v>虫の体当たり</v>
      </c>
      <c r="BL255" s="79" t="str">
        <f t="array" ref="BL255">IF($A255="","", INDEX(CS!$B$1:$B$15025,MATCH($A255,CS!$B:$B,0)+COLUMN(F$1),1))</f>
        <v/>
      </c>
      <c r="BM255" s="79" t="str">
        <f t="array" ref="BM255">IF($A255="","", INDEX(CS!$B$1:$B$15025,MATCH($A255,CS!$B:$B,0)+COLUMN(G$1),1))</f>
        <v>挟み込み</v>
      </c>
      <c r="BN255" s="79" t="str">
        <f t="array" ref="BN255">IF($A255="","", INDEX(CS!$B$1:$B$15025,MATCH($A255,CS!$B:$B,0)+COLUMN(H$1),1))</f>
        <v/>
      </c>
      <c r="BO255" s="79" t="str">
        <f t="array" ref="BO255">IF($A255="","", INDEX(CS!$B$1:$B$15025,MATCH($A255,CS!$B:$B,0)+COLUMN(I$1),1))</f>
        <v/>
      </c>
      <c r="BP255" s="79" t="str">
        <f t="array" ref="BP255">IF($A255="","", INDEX(CS!$B$1:$B$15025,MATCH($A255,CS!$B:$B,0)+COLUMN(J$1),1))</f>
        <v/>
      </c>
      <c r="BS255" s="74"/>
      <c r="BW255" s="57"/>
      <c r="BX255" s="75"/>
      <c r="BY255" s="75"/>
      <c r="BZ255" s="75"/>
      <c r="CA255" s="75"/>
      <c r="CD255" s="75"/>
      <c r="CE255" s="75"/>
      <c r="CQ255" s="37"/>
      <c r="CR255" s="37"/>
    </row>
    <row r="256" ht="18.75" customHeight="1" outlineLevel="1">
      <c r="A256" s="39" t="s">
        <v>1640</v>
      </c>
      <c r="B256" s="71"/>
      <c r="C256" s="39" t="s">
        <v>2902</v>
      </c>
      <c r="D256" s="72" t="str">
        <f t="shared" si="13"/>
        <v>740/440/300</v>
      </c>
      <c r="E256" s="39">
        <v>1.0</v>
      </c>
      <c r="F256" s="39">
        <v>70.0</v>
      </c>
      <c r="I256" s="39">
        <v>80.0</v>
      </c>
      <c r="J256" s="39">
        <v>60.0</v>
      </c>
      <c r="K256" s="87">
        <v>0.0</v>
      </c>
      <c r="L256" s="39">
        <v>50.0</v>
      </c>
      <c r="M256" s="39">
        <v>90.0</v>
      </c>
      <c r="N256" s="39">
        <v>90.0</v>
      </c>
      <c r="O256" s="39">
        <v>120.0</v>
      </c>
      <c r="P256" s="37">
        <v>0.0</v>
      </c>
      <c r="Q256" s="64"/>
      <c r="R256" s="64"/>
      <c r="S256" s="64"/>
      <c r="T256" s="64"/>
      <c r="U256" s="64"/>
      <c r="V256" s="64"/>
      <c r="W256" s="64"/>
      <c r="X256" s="64"/>
      <c r="Y256" s="64"/>
      <c r="Z256" s="64"/>
      <c r="AA256" s="64"/>
      <c r="AJ256" s="39">
        <v>0.0</v>
      </c>
      <c r="AK256" s="39">
        <v>0.0</v>
      </c>
      <c r="AL256" s="39">
        <v>50.0</v>
      </c>
      <c r="AM256" s="39">
        <v>50.0</v>
      </c>
      <c r="AN256" s="39">
        <v>50.0</v>
      </c>
      <c r="AO256" s="39">
        <v>0.0</v>
      </c>
      <c r="AP256" s="39">
        <v>0.0</v>
      </c>
      <c r="AQ256" s="39">
        <v>75.0</v>
      </c>
      <c r="AR256" s="39">
        <v>75.0</v>
      </c>
      <c r="AS256" s="39">
        <v>0.0</v>
      </c>
      <c r="AT256" s="39">
        <v>0.0</v>
      </c>
      <c r="AU256" s="39">
        <v>0.0</v>
      </c>
      <c r="AV256" s="39">
        <v>0.0</v>
      </c>
      <c r="AW256" s="39">
        <v>0.0</v>
      </c>
      <c r="AX256" s="39">
        <v>0.0</v>
      </c>
      <c r="AY256" s="39">
        <v>0.0</v>
      </c>
      <c r="AZ256" s="39">
        <v>0.0</v>
      </c>
      <c r="BA256" s="39">
        <v>0.0</v>
      </c>
      <c r="BB256" s="39">
        <v>110.0</v>
      </c>
      <c r="BC256" s="39">
        <v>40.0</v>
      </c>
      <c r="BD256" s="39">
        <v>0.0</v>
      </c>
      <c r="BE256" s="39">
        <v>0.0</v>
      </c>
      <c r="BF256" s="39">
        <v>20.0</v>
      </c>
      <c r="BG256" s="79" t="str">
        <f t="array" ref="BG256">IF($A256="","", INDEX(CS!$B$1:$B$15025,MATCH($A256,CS!$B:$B,0)+COLUMN(A$1),1))</f>
        <v>蜘蛛の毒牙</v>
      </c>
      <c r="BH256" s="79" t="str">
        <f t="array" ref="BH256">IF($A256="","", INDEX(CS!$B$1:$B$15025,MATCH($A256,CS!$B:$B,0)+COLUMN(B$1),1))</f>
        <v>糸吐き</v>
      </c>
      <c r="BI256" s="79" t="str">
        <f t="array" ref="BI256">IF($A256="","", INDEX(CS!$B$1:$B$15025,MATCH($A256,CS!$B:$B,0)+COLUMN(C$1),1))</f>
        <v>蜘蛛の複眼</v>
      </c>
      <c r="BJ256" s="79" t="str">
        <f t="array" ref="BJ256">IF($A256="","", INDEX(CS!$B$1:$B$15025,MATCH($A256,CS!$B:$B,0)+COLUMN(D$1),1))</f>
        <v>巣網感知</v>
      </c>
      <c r="BK256" s="79" t="str">
        <f t="array" ref="BK256">IF($A256="","", INDEX(CS!$B$1:$B$15025,MATCH($A256,CS!$B:$B,0)+COLUMN(E$1),1))</f>
        <v>虫の体当たり</v>
      </c>
      <c r="BL256" s="79" t="str">
        <f t="array" ref="BL256">IF($A256="","", INDEX(CS!$B$1:$B$15025,MATCH($A256,CS!$B:$B,0)+COLUMN(F$1),1))</f>
        <v/>
      </c>
      <c r="BM256" s="79" t="str">
        <f t="array" ref="BM256">IF($A256="","", INDEX(CS!$B$1:$B$15025,MATCH($A256,CS!$B:$B,0)+COLUMN(G$1),1))</f>
        <v>虫の反応</v>
      </c>
      <c r="BN256" s="79" t="str">
        <f t="array" ref="BN256">IF($A256="","", INDEX(CS!$B$1:$B$15025,MATCH($A256,CS!$B:$B,0)+COLUMN(H$1),1))</f>
        <v/>
      </c>
      <c r="BO256" s="79" t="str">
        <f t="array" ref="BO256">IF($A256="","", INDEX(CS!$B$1:$B$15025,MATCH($A256,CS!$B:$B,0)+COLUMN(I$1),1))</f>
        <v/>
      </c>
      <c r="BP256" s="79" t="str">
        <f t="array" ref="BP256">IF($A256="","", INDEX(CS!$B$1:$B$15025,MATCH($A256,CS!$B:$B,0)+COLUMN(J$1),1))</f>
        <v/>
      </c>
      <c r="BS256" s="74"/>
      <c r="BW256" s="57"/>
      <c r="BX256" s="75"/>
      <c r="BY256" s="75"/>
      <c r="BZ256" s="75"/>
      <c r="CA256" s="75"/>
      <c r="CD256" s="75"/>
      <c r="CE256" s="75"/>
      <c r="CQ256" s="37"/>
      <c r="CR256" s="37"/>
    </row>
    <row r="257" ht="18.75" customHeight="1" outlineLevel="1">
      <c r="A257" s="39" t="s">
        <v>1647</v>
      </c>
      <c r="B257" s="71"/>
      <c r="C257" s="39" t="s">
        <v>2902</v>
      </c>
      <c r="D257" s="72" t="str">
        <f t="shared" si="13"/>
        <v>660/460/200</v>
      </c>
      <c r="E257" s="39">
        <v>1.0</v>
      </c>
      <c r="F257" s="39">
        <v>90.0</v>
      </c>
      <c r="I257" s="39">
        <v>90.0</v>
      </c>
      <c r="J257" s="39">
        <v>70.0</v>
      </c>
      <c r="K257" s="87">
        <v>0.0</v>
      </c>
      <c r="L257" s="39">
        <v>40.0</v>
      </c>
      <c r="M257" s="39">
        <v>90.0</v>
      </c>
      <c r="N257" s="39">
        <v>80.0</v>
      </c>
      <c r="O257" s="39">
        <v>180.0</v>
      </c>
      <c r="P257" s="37">
        <v>0.0</v>
      </c>
      <c r="Q257" s="64"/>
      <c r="R257" s="64"/>
      <c r="S257" s="64"/>
      <c r="T257" s="64"/>
      <c r="U257" s="64"/>
      <c r="V257" s="64"/>
      <c r="W257" s="64"/>
      <c r="X257" s="64"/>
      <c r="Y257" s="64"/>
      <c r="Z257" s="64"/>
      <c r="AA257" s="64"/>
      <c r="AJ257" s="39">
        <v>0.0</v>
      </c>
      <c r="AK257" s="39">
        <v>25.0</v>
      </c>
      <c r="AL257" s="39">
        <v>25.0</v>
      </c>
      <c r="AM257" s="39">
        <v>50.0</v>
      </c>
      <c r="AN257" s="39">
        <v>0.0</v>
      </c>
      <c r="AO257" s="39">
        <v>0.0</v>
      </c>
      <c r="AP257" s="39">
        <v>0.0</v>
      </c>
      <c r="AQ257" s="39">
        <v>50.0</v>
      </c>
      <c r="AR257" s="39">
        <v>50.0</v>
      </c>
      <c r="AS257" s="39">
        <v>0.0</v>
      </c>
      <c r="AT257" s="39">
        <v>0.0</v>
      </c>
      <c r="AU257" s="39">
        <v>0.0</v>
      </c>
      <c r="AV257" s="39">
        <v>0.0</v>
      </c>
      <c r="AW257" s="39">
        <v>0.0</v>
      </c>
      <c r="AX257" s="39">
        <v>0.0</v>
      </c>
      <c r="AY257" s="39">
        <v>0.0</v>
      </c>
      <c r="AZ257" s="39">
        <v>0.0</v>
      </c>
      <c r="BA257" s="39">
        <v>0.0</v>
      </c>
      <c r="BB257" s="39">
        <v>100.0</v>
      </c>
      <c r="BC257" s="39">
        <v>50.0</v>
      </c>
      <c r="BD257" s="39">
        <v>30.0</v>
      </c>
      <c r="BE257" s="39">
        <v>0.0</v>
      </c>
      <c r="BF257" s="39">
        <v>50.0</v>
      </c>
      <c r="BG257" s="79" t="str">
        <f t="array" ref="BG257">IF($A257="","", INDEX(CS!$B$1:$B$15025,MATCH($A257,CS!$B:$B,0)+COLUMN(A$1),1))</f>
        <v>百足の毒顎</v>
      </c>
      <c r="BH257" s="79" t="str">
        <f t="array" ref="BH257">IF($A257="","", INDEX(CS!$B$1:$B$15025,MATCH($A257,CS!$B:$B,0)+COLUMN(B$1),1))</f>
        <v>百足連撃</v>
      </c>
      <c r="BI257" s="79" t="str">
        <f t="array" ref="BI257">IF($A257="","", INDEX(CS!$B$1:$B$15025,MATCH($A257,CS!$B:$B,0)+COLUMN(C$1),1))</f>
        <v>多眼感知</v>
      </c>
      <c r="BJ257" s="79" t="str">
        <f t="array" ref="BJ257">IF($A257="","", INDEX(CS!$B$1:$B$15025,MATCH($A257,CS!$B:$B,0)+COLUMN(D$1),1))</f>
        <v>長躯回避</v>
      </c>
      <c r="BK257" s="79" t="str">
        <f t="array" ref="BK257">IF($A257="","", INDEX(CS!$B$1:$B$15025,MATCH($A257,CS!$B:$B,0)+COLUMN(E$1),1))</f>
        <v>虫の体当たり</v>
      </c>
      <c r="BL257" s="79" t="str">
        <f t="array" ref="BL257">IF($A257="","", INDEX(CS!$B$1:$B$15025,MATCH($A257,CS!$B:$B,0)+COLUMN(F$1),1))</f>
        <v/>
      </c>
      <c r="BM257" s="79" t="str">
        <f t="array" ref="BM257">IF($A257="","", INDEX(CS!$B$1:$B$15025,MATCH($A257,CS!$B:$B,0)+COLUMN(G$1),1))</f>
        <v>虫の反応</v>
      </c>
      <c r="BN257" s="79" t="str">
        <f t="array" ref="BN257">IF($A257="","", INDEX(CS!$B$1:$B$15025,MATCH($A257,CS!$B:$B,0)+COLUMN(H$1),1))</f>
        <v/>
      </c>
      <c r="BO257" s="79" t="str">
        <f t="array" ref="BO257">IF($A257="","", INDEX(CS!$B$1:$B$15025,MATCH($A257,CS!$B:$B,0)+COLUMN(I$1),1))</f>
        <v/>
      </c>
      <c r="BP257" s="79" t="str">
        <f t="array" ref="BP257">IF($A257="","", INDEX(CS!$B$1:$B$15025,MATCH($A257,CS!$B:$B,0)+COLUMN(J$1),1))</f>
        <v/>
      </c>
      <c r="BS257" s="74"/>
      <c r="BW257" s="57"/>
      <c r="BX257" s="75"/>
      <c r="BY257" s="75"/>
      <c r="BZ257" s="75"/>
      <c r="CA257" s="75"/>
      <c r="CD257" s="75"/>
      <c r="CE257" s="75"/>
      <c r="CQ257" s="37"/>
      <c r="CR257" s="37"/>
    </row>
    <row r="258" ht="18.75" customHeight="1" outlineLevel="1">
      <c r="A258" s="39" t="s">
        <v>1656</v>
      </c>
      <c r="B258" s="71"/>
      <c r="C258" s="39" t="s">
        <v>2902</v>
      </c>
      <c r="D258" s="72" t="str">
        <f t="shared" si="13"/>
        <v>680/480/200</v>
      </c>
      <c r="E258" s="39">
        <v>1.0</v>
      </c>
      <c r="F258" s="39">
        <v>95.0</v>
      </c>
      <c r="I258" s="39">
        <v>95.0</v>
      </c>
      <c r="J258" s="39">
        <v>95.0</v>
      </c>
      <c r="K258" s="87">
        <v>0.0</v>
      </c>
      <c r="L258" s="39">
        <v>45.0</v>
      </c>
      <c r="M258" s="39">
        <v>65.0</v>
      </c>
      <c r="N258" s="39">
        <v>85.0</v>
      </c>
      <c r="O258" s="39">
        <v>160.0</v>
      </c>
      <c r="P258" s="37">
        <v>0.0</v>
      </c>
      <c r="Q258" s="64"/>
      <c r="R258" s="64"/>
      <c r="S258" s="64"/>
      <c r="T258" s="64"/>
      <c r="U258" s="64"/>
      <c r="V258" s="64"/>
      <c r="W258" s="64"/>
      <c r="X258" s="64"/>
      <c r="Y258" s="64"/>
      <c r="Z258" s="64"/>
      <c r="AA258" s="64"/>
      <c r="AJ258" s="39">
        <v>0.0</v>
      </c>
      <c r="AK258" s="39">
        <v>50.0</v>
      </c>
      <c r="AL258" s="39">
        <v>25.0</v>
      </c>
      <c r="AM258" s="39">
        <v>25.0</v>
      </c>
      <c r="AN258" s="39">
        <v>0.0</v>
      </c>
      <c r="AO258" s="39">
        <v>0.0</v>
      </c>
      <c r="AP258" s="39">
        <v>0.0</v>
      </c>
      <c r="AQ258" s="39">
        <v>50.0</v>
      </c>
      <c r="AR258" s="39">
        <v>50.0</v>
      </c>
      <c r="AS258" s="39">
        <v>0.0</v>
      </c>
      <c r="AT258" s="39">
        <v>0.0</v>
      </c>
      <c r="AU258" s="39">
        <v>0.0</v>
      </c>
      <c r="AV258" s="39">
        <v>0.0</v>
      </c>
      <c r="AW258" s="39">
        <v>0.0</v>
      </c>
      <c r="AX258" s="39">
        <v>0.0</v>
      </c>
      <c r="AY258" s="39">
        <v>0.0</v>
      </c>
      <c r="AZ258" s="39">
        <v>0.0</v>
      </c>
      <c r="BA258" s="39">
        <v>0.0</v>
      </c>
      <c r="BB258" s="39">
        <v>30.0</v>
      </c>
      <c r="BC258" s="39">
        <v>100.0</v>
      </c>
      <c r="BD258" s="39">
        <v>120.0</v>
      </c>
      <c r="BE258" s="39">
        <v>0.0</v>
      </c>
      <c r="BF258" s="39">
        <v>70.0</v>
      </c>
      <c r="BG258" s="79" t="str">
        <f t="array" ref="BG258">IF($A258="","", INDEX(CS!$B$1:$B$15025,MATCH($A258,CS!$B:$B,0)+COLUMN(A$1),1))</f>
        <v>蠍の毒針</v>
      </c>
      <c r="BH258" s="79" t="str">
        <f t="array" ref="BH258">IF($A258="","", INDEX(CS!$B$1:$B$15025,MATCH($A258,CS!$B:$B,0)+COLUMN(B$1),1))</f>
        <v>鋏撃</v>
      </c>
      <c r="BI258" s="79" t="str">
        <f t="array" ref="BI258">IF($A258="","", INDEX(CS!$B$1:$B$15025,MATCH($A258,CS!$B:$B,0)+COLUMN(C$1),1))</f>
        <v>蠍の複眼</v>
      </c>
      <c r="BJ258" s="79" t="str">
        <f t="array" ref="BJ258">IF($A258="","", INDEX(CS!$B$1:$B$15025,MATCH($A258,CS!$B:$B,0)+COLUMN(D$1),1))</f>
        <v>蠍の甲殻</v>
      </c>
      <c r="BK258" s="79" t="str">
        <f t="array" ref="BK258">IF($A258="","", INDEX(CS!$B$1:$B$15025,MATCH($A258,CS!$B:$B,0)+COLUMN(E$1),1))</f>
        <v>虫の体当たり</v>
      </c>
      <c r="BL258" s="79" t="str">
        <f t="array" ref="BL258">IF($A258="","", INDEX(CS!$B$1:$B$15025,MATCH($A258,CS!$B:$B,0)+COLUMN(F$1),1))</f>
        <v/>
      </c>
      <c r="BM258" s="79" t="str">
        <f t="array" ref="BM258">IF($A258="","", INDEX(CS!$B$1:$B$15025,MATCH($A258,CS!$B:$B,0)+COLUMN(G$1),1))</f>
        <v>虫の反応</v>
      </c>
      <c r="BN258" s="79" t="str">
        <f t="array" ref="BN258">IF($A258="","", INDEX(CS!$B$1:$B$15025,MATCH($A258,CS!$B:$B,0)+COLUMN(H$1),1))</f>
        <v/>
      </c>
      <c r="BO258" s="79" t="str">
        <f t="array" ref="BO258">IF($A258="","", INDEX(CS!$B$1:$B$15025,MATCH($A258,CS!$B:$B,0)+COLUMN(I$1),1))</f>
        <v/>
      </c>
      <c r="BP258" s="79" t="str">
        <f t="array" ref="BP258">IF($A258="","", INDEX(CS!$B$1:$B$15025,MATCH($A258,CS!$B:$B,0)+COLUMN(J$1),1))</f>
        <v/>
      </c>
      <c r="BS258" s="74"/>
      <c r="BW258" s="57"/>
      <c r="BX258" s="75"/>
      <c r="BY258" s="75"/>
      <c r="BZ258" s="75"/>
      <c r="CA258" s="75"/>
      <c r="CD258" s="75"/>
      <c r="CE258" s="75"/>
      <c r="CQ258" s="37"/>
      <c r="CR258" s="37"/>
    </row>
    <row r="259" ht="18.75" customHeight="1">
      <c r="A259" s="39"/>
      <c r="B259" s="71"/>
      <c r="C259" s="39"/>
      <c r="D259" s="72"/>
      <c r="E259" s="39"/>
      <c r="K259" s="73"/>
      <c r="P259" s="37" t="s">
        <v>29</v>
      </c>
      <c r="Q259" s="64"/>
      <c r="R259" s="64"/>
      <c r="S259" s="64"/>
      <c r="T259" s="64"/>
      <c r="U259" s="64"/>
      <c r="V259" s="64"/>
      <c r="W259" s="64"/>
      <c r="X259" s="64"/>
      <c r="Y259" s="64"/>
      <c r="Z259" s="64"/>
      <c r="AA259" s="64"/>
      <c r="AK259" s="39"/>
      <c r="AM259" s="39"/>
      <c r="AO259" s="39"/>
      <c r="AP259" s="39"/>
      <c r="AQ259" s="39"/>
      <c r="AR259" s="39"/>
      <c r="BA259" s="39"/>
      <c r="BB259" s="39"/>
      <c r="BC259" s="39"/>
      <c r="BD259" s="39"/>
      <c r="BE259" s="39"/>
      <c r="BF259" s="39"/>
      <c r="BG259" s="79" t="str">
        <f t="array" ref="BG259">IF($A259="","", INDEX(CS!$B$1:$B$15025,MATCH($A259,CS!$B:$B,0)+COLUMN(A$1),1))</f>
        <v/>
      </c>
      <c r="BH259" s="79" t="str">
        <f t="array" ref="BH259">IF($A259="","", INDEX(CS!$B$1:$B$15025,MATCH($A259,CS!$B:$B,0)+COLUMN(B$1),1))</f>
        <v/>
      </c>
      <c r="BI259" s="79" t="str">
        <f t="array" ref="BI259">IF($A259="","", INDEX(CS!$B$1:$B$15025,MATCH($A259,CS!$B:$B,0)+COLUMN(C$1),1))</f>
        <v/>
      </c>
      <c r="BJ259" s="79" t="str">
        <f t="array" ref="BJ259">IF($A259="","", INDEX(CS!$B$1:$B$15025,MATCH($A259,CS!$B:$B,0)+COLUMN(D$1),1))</f>
        <v/>
      </c>
      <c r="BK259" s="79" t="str">
        <f t="array" ref="BK259">IF($A259="","", INDEX(CS!$B$1:$B$15025,MATCH($A259,CS!$B:$B,0)+COLUMN(E$1),1))</f>
        <v/>
      </c>
      <c r="BL259" s="79" t="str">
        <f t="array" ref="BL259">IF($A259="","", INDEX(CS!$B$1:$B$15025,MATCH($A259,CS!$B:$B,0)+COLUMN(F$1),1))</f>
        <v/>
      </c>
      <c r="BM259" s="79" t="str">
        <f t="array" ref="BM259">IF($A259="","", INDEX(CS!$B$1:$B$15025,MATCH($A259,CS!$B:$B,0)+COLUMN(G$1),1))</f>
        <v/>
      </c>
      <c r="BN259" s="79" t="str">
        <f t="array" ref="BN259">IF($A259="","", INDEX(CS!$B$1:$B$15025,MATCH($A259,CS!$B:$B,0)+COLUMN(H$1),1))</f>
        <v/>
      </c>
      <c r="BO259" s="79" t="str">
        <f t="array" ref="BO259">IF($A259="","", INDEX(CS!$B$1:$B$15025,MATCH($A259,CS!$B:$B,0)+COLUMN(I$1),1))</f>
        <v/>
      </c>
      <c r="BP259" s="79" t="str">
        <f t="array" ref="BP259">IF($A259="","", INDEX(CS!$B$1:$B$15025,MATCH($A259,CS!$B:$B,0)+COLUMN(J$1),1))</f>
        <v/>
      </c>
      <c r="BS259" s="74"/>
      <c r="BW259" s="57"/>
      <c r="BX259" s="75"/>
      <c r="BY259" s="75"/>
      <c r="BZ259" s="75"/>
      <c r="CA259" s="75"/>
      <c r="CD259" s="75"/>
      <c r="CE259" s="75"/>
      <c r="CQ259" s="37"/>
      <c r="CR259" s="37"/>
    </row>
    <row r="260" ht="18.75" customHeight="1">
      <c r="A260" s="79"/>
      <c r="B260" s="85" t="s">
        <v>2903</v>
      </c>
      <c r="C260" s="90"/>
      <c r="D260" s="92"/>
      <c r="E260" s="93"/>
      <c r="F260" s="90"/>
      <c r="G260" s="79"/>
      <c r="H260" s="79"/>
      <c r="I260" s="90"/>
      <c r="J260" s="90"/>
      <c r="K260" s="94"/>
      <c r="L260" s="90"/>
      <c r="M260" s="90"/>
      <c r="N260" s="90"/>
      <c r="O260" s="79"/>
      <c r="P260" s="79" t="s">
        <v>29</v>
      </c>
      <c r="Q260" s="82"/>
      <c r="R260" s="82"/>
      <c r="S260" s="82"/>
      <c r="T260" s="82"/>
      <c r="U260" s="82"/>
      <c r="V260" s="82"/>
      <c r="W260" s="82"/>
      <c r="X260" s="82"/>
      <c r="Y260" s="82"/>
      <c r="Z260" s="82"/>
      <c r="AA260" s="82"/>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79"/>
      <c r="AZ260" s="79"/>
      <c r="BA260" s="79"/>
      <c r="BB260" s="79"/>
      <c r="BC260" s="79"/>
      <c r="BD260" s="79"/>
      <c r="BE260" s="79"/>
      <c r="BF260" s="79"/>
      <c r="BG260" s="79" t="str">
        <f t="array" ref="BG260">IF($A260="","", INDEX(CS!$B$1:$B$15025,MATCH($A260,CS!$B:$B,0)+COLUMN(A$1),1))</f>
        <v/>
      </c>
      <c r="BH260" s="79" t="str">
        <f t="array" ref="BH260">IF($A260="","", INDEX(CS!$B$1:$B$15025,MATCH($A260,CS!$B:$B,0)+COLUMN(B$1),1))</f>
        <v/>
      </c>
      <c r="BI260" s="79" t="str">
        <f t="array" ref="BI260">IF($A260="","", INDEX(CS!$B$1:$B$15025,MATCH($A260,CS!$B:$B,0)+COLUMN(C$1),1))</f>
        <v/>
      </c>
      <c r="BJ260" s="79" t="str">
        <f t="array" ref="BJ260">IF($A260="","", INDEX(CS!$B$1:$B$15025,MATCH($A260,CS!$B:$B,0)+COLUMN(D$1),1))</f>
        <v/>
      </c>
      <c r="BK260" s="79" t="str">
        <f t="array" ref="BK260">IF($A260="","", INDEX(CS!$B$1:$B$15025,MATCH($A260,CS!$B:$B,0)+COLUMN(E$1),1))</f>
        <v/>
      </c>
      <c r="BL260" s="79" t="str">
        <f t="array" ref="BL260">IF($A260="","", INDEX(CS!$B$1:$B$15025,MATCH($A260,CS!$B:$B,0)+COLUMN(F$1),1))</f>
        <v/>
      </c>
      <c r="BM260" s="79" t="str">
        <f t="array" ref="BM260">IF($A260="","", INDEX(CS!$B$1:$B$15025,MATCH($A260,CS!$B:$B,0)+COLUMN(G$1),1))</f>
        <v/>
      </c>
      <c r="BN260" s="79" t="str">
        <f t="array" ref="BN260">IF($A260="","", INDEX(CS!$B$1:$B$15025,MATCH($A260,CS!$B:$B,0)+COLUMN(H$1),1))</f>
        <v/>
      </c>
      <c r="BO260" s="79" t="str">
        <f t="array" ref="BO260">IF($A260="","", INDEX(CS!$B$1:$B$15025,MATCH($A260,CS!$B:$B,0)+COLUMN(I$1),1))</f>
        <v/>
      </c>
      <c r="BP260" s="79" t="str">
        <f t="array" ref="BP260">IF($A260="","", INDEX(CS!$B$1:$B$15025,MATCH($A260,CS!$B:$B,0)+COLUMN(J$1),1))</f>
        <v/>
      </c>
      <c r="BQ260" s="79"/>
      <c r="BR260" s="79"/>
      <c r="BS260" s="83"/>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row>
    <row r="261" ht="18.75" customHeight="1" outlineLevel="1">
      <c r="A261" s="90" t="s">
        <v>1664</v>
      </c>
      <c r="B261" s="95"/>
      <c r="C261" s="90" t="s">
        <v>2902</v>
      </c>
      <c r="D261" s="92" t="str">
        <f t="shared" ref="D261:D267" si="14">SUM(AJ261:AZ261,F261:N261)&amp;"/"&amp;SUM(F261:N261)&amp;"/"&amp;SUM(AJ261:AZ261)</f>
        <v>535/435/100</v>
      </c>
      <c r="E261" s="93">
        <v>1.0</v>
      </c>
      <c r="F261" s="39">
        <v>75.0</v>
      </c>
      <c r="G261" s="79"/>
      <c r="H261" s="79"/>
      <c r="I261" s="41">
        <v>90.0</v>
      </c>
      <c r="J261" s="41">
        <v>60.0</v>
      </c>
      <c r="K261" s="96">
        <v>0.0</v>
      </c>
      <c r="L261" s="97">
        <v>50.0</v>
      </c>
      <c r="M261" s="90">
        <v>75.0</v>
      </c>
      <c r="N261" s="90">
        <v>85.0</v>
      </c>
      <c r="O261" s="79"/>
      <c r="P261" s="79">
        <v>0.0</v>
      </c>
      <c r="Q261" s="82"/>
      <c r="R261" s="82"/>
      <c r="S261" s="82"/>
      <c r="T261" s="82"/>
      <c r="U261" s="82"/>
      <c r="V261" s="82"/>
      <c r="W261" s="82"/>
      <c r="X261" s="82"/>
      <c r="Y261" s="82"/>
      <c r="Z261" s="82"/>
      <c r="AA261" s="82"/>
      <c r="AB261" s="79"/>
      <c r="AC261" s="79"/>
      <c r="AD261" s="79"/>
      <c r="AE261" s="79"/>
      <c r="AF261" s="79"/>
      <c r="AG261" s="79"/>
      <c r="AH261" s="79"/>
      <c r="AI261" s="79"/>
      <c r="AJ261" s="90">
        <v>0.0</v>
      </c>
      <c r="AK261" s="90">
        <v>25.0</v>
      </c>
      <c r="AL261" s="90">
        <v>25.0</v>
      </c>
      <c r="AM261" s="90">
        <v>25.0</v>
      </c>
      <c r="AN261" s="90">
        <v>0.0</v>
      </c>
      <c r="AO261" s="90">
        <v>0.0</v>
      </c>
      <c r="AP261" s="90">
        <v>0.0</v>
      </c>
      <c r="AQ261" s="90">
        <v>0.0</v>
      </c>
      <c r="AR261" s="90">
        <v>25.0</v>
      </c>
      <c r="AS261" s="90">
        <v>0.0</v>
      </c>
      <c r="AT261" s="90">
        <v>0.0</v>
      </c>
      <c r="AU261" s="90">
        <v>0.0</v>
      </c>
      <c r="AV261" s="90">
        <v>0.0</v>
      </c>
      <c r="AW261" s="90">
        <v>0.0</v>
      </c>
      <c r="AX261" s="90">
        <v>0.0</v>
      </c>
      <c r="AY261" s="90">
        <v>0.0</v>
      </c>
      <c r="AZ261" s="90">
        <v>0.0</v>
      </c>
      <c r="BA261" s="79"/>
      <c r="BB261" s="90">
        <v>50.0</v>
      </c>
      <c r="BC261" s="79"/>
      <c r="BD261" s="79"/>
      <c r="BE261" s="79"/>
      <c r="BF261" s="79"/>
      <c r="BG261" s="79" t="str">
        <f t="array" ref="BG261">IF($A261="","", INDEX(CS!$B$1:$B$15025,MATCH($A261,CS!$B:$B,0)+COLUMN(A$1),1))</f>
        <v>穿牙</v>
      </c>
      <c r="BH261" s="79" t="str">
        <f t="array" ref="BH261">IF($A261="","", INDEX(CS!$B$1:$B$15025,MATCH($A261,CS!$B:$B,0)+COLUMN(B$1),1))</f>
        <v/>
      </c>
      <c r="BI261" s="79" t="str">
        <f t="array" ref="BI261">IF($A261="","", INDEX(CS!$B$1:$B$15025,MATCH($A261,CS!$B:$B,0)+COLUMN(C$1),1))</f>
        <v>変形牙</v>
      </c>
      <c r="BJ261" s="79" t="str">
        <f t="array" ref="BJ261">IF($A261="","", INDEX(CS!$B$1:$B$15025,MATCH($A261,CS!$B:$B,0)+COLUMN(D$1),1))</f>
        <v/>
      </c>
      <c r="BK261" s="79" t="str">
        <f t="array" ref="BK261">IF($A261="","", INDEX(CS!$B$1:$B$15025,MATCH($A261,CS!$B:$B,0)+COLUMN(E$1),1))</f>
        <v>牙強化</v>
      </c>
      <c r="BL261" s="79" t="str">
        <f t="array" ref="BL261">IF($A261="","", INDEX(CS!$B$1:$B$15025,MATCH($A261,CS!$B:$B,0)+COLUMN(F$1),1))</f>
        <v>牙</v>
      </c>
      <c r="BM261" s="79" t="str">
        <f t="array" ref="BM261">IF($A261="","", INDEX(CS!$B$1:$B$15025,MATCH($A261,CS!$B:$B,0)+COLUMN(G$1),1))</f>
        <v>牙操作</v>
      </c>
      <c r="BN261" s="79" t="str">
        <f t="array" ref="BN261">IF($A261="","", INDEX(CS!$B$1:$B$15025,MATCH($A261,CS!$B:$B,0)+COLUMN(H$1),1))</f>
        <v/>
      </c>
      <c r="BO261" s="79" t="str">
        <f t="array" ref="BO261">IF($A261="","", INDEX(CS!$B$1:$B$15025,MATCH($A261,CS!$B:$B,0)+COLUMN(I$1),1))</f>
        <v>鋭き牙</v>
      </c>
      <c r="BP261" s="79" t="str">
        <f t="array" ref="BP261">IF($A261="","", INDEX(CS!$B$1:$B$15025,MATCH($A261,CS!$B:$B,0)+COLUMN(J$1),1))</f>
        <v/>
      </c>
      <c r="BQ261" s="79"/>
      <c r="BR261" s="79"/>
      <c r="BS261" s="83"/>
      <c r="BT261" s="79"/>
      <c r="BU261" s="90" t="s">
        <v>2904</v>
      </c>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row>
    <row r="262" ht="18.75" customHeight="1" outlineLevel="1">
      <c r="A262" s="90" t="s">
        <v>1675</v>
      </c>
      <c r="B262" s="95"/>
      <c r="C262" s="90" t="s">
        <v>2902</v>
      </c>
      <c r="D262" s="92" t="str">
        <f t="shared" si="14"/>
        <v>575/450/125</v>
      </c>
      <c r="E262" s="93">
        <v>1.0</v>
      </c>
      <c r="F262" s="39">
        <v>75.0</v>
      </c>
      <c r="G262" s="79"/>
      <c r="H262" s="79"/>
      <c r="I262" s="41">
        <v>85.0</v>
      </c>
      <c r="J262" s="41">
        <v>60.0</v>
      </c>
      <c r="K262" s="96">
        <v>0.0</v>
      </c>
      <c r="L262" s="97">
        <v>50.0</v>
      </c>
      <c r="M262" s="90">
        <v>90.0</v>
      </c>
      <c r="N262" s="90">
        <v>90.0</v>
      </c>
      <c r="O262" s="79"/>
      <c r="P262" s="79">
        <v>0.0</v>
      </c>
      <c r="Q262" s="82"/>
      <c r="R262" s="82"/>
      <c r="S262" s="82"/>
      <c r="T262" s="82"/>
      <c r="U262" s="82"/>
      <c r="V262" s="82"/>
      <c r="W262" s="82"/>
      <c r="X262" s="82"/>
      <c r="Y262" s="82"/>
      <c r="Z262" s="82"/>
      <c r="AA262" s="82"/>
      <c r="AB262" s="79"/>
      <c r="AC262" s="79"/>
      <c r="AD262" s="79"/>
      <c r="AE262" s="79"/>
      <c r="AF262" s="79"/>
      <c r="AG262" s="79"/>
      <c r="AH262" s="79"/>
      <c r="AI262" s="79"/>
      <c r="AJ262" s="90">
        <v>0.0</v>
      </c>
      <c r="AK262" s="90">
        <v>0.0</v>
      </c>
      <c r="AL262" s="90">
        <v>25.0</v>
      </c>
      <c r="AM262" s="90">
        <v>50.0</v>
      </c>
      <c r="AN262" s="90">
        <v>0.0</v>
      </c>
      <c r="AO262" s="90">
        <v>0.0</v>
      </c>
      <c r="AP262" s="90">
        <v>0.0</v>
      </c>
      <c r="AQ262" s="90">
        <v>25.0</v>
      </c>
      <c r="AR262" s="90">
        <v>25.0</v>
      </c>
      <c r="AS262" s="90">
        <v>0.0</v>
      </c>
      <c r="AT262" s="90">
        <v>0.0</v>
      </c>
      <c r="AU262" s="90">
        <v>0.0</v>
      </c>
      <c r="AV262" s="90">
        <v>0.0</v>
      </c>
      <c r="AW262" s="90">
        <v>0.0</v>
      </c>
      <c r="AX262" s="90">
        <v>0.0</v>
      </c>
      <c r="AY262" s="90">
        <v>0.0</v>
      </c>
      <c r="AZ262" s="90">
        <v>0.0</v>
      </c>
      <c r="BA262" s="79"/>
      <c r="BB262" s="79"/>
      <c r="BC262" s="90">
        <v>50.0</v>
      </c>
      <c r="BD262" s="79"/>
      <c r="BE262" s="79"/>
      <c r="BF262" s="79"/>
      <c r="BG262" s="79" t="str">
        <f t="array" ref="BG262">IF($A262="","", INDEX(CS!$B$1:$B$15025,MATCH($A262,CS!$B:$B,0)+COLUMN(A$1),1))</f>
        <v>裂爪</v>
      </c>
      <c r="BH262" s="79" t="str">
        <f t="array" ref="BH262">IF($A262="","", INDEX(CS!$B$1:$B$15025,MATCH($A262,CS!$B:$B,0)+COLUMN(B$1),1))</f>
        <v/>
      </c>
      <c r="BI262" s="79" t="str">
        <f t="array" ref="BI262">IF($A262="","", INDEX(CS!$B$1:$B$15025,MATCH($A262,CS!$B:$B,0)+COLUMN(C$1),1))</f>
        <v>変形爪</v>
      </c>
      <c r="BJ262" s="79" t="str">
        <f t="array" ref="BJ262">IF($A262="","", INDEX(CS!$B$1:$B$15025,MATCH($A262,CS!$B:$B,0)+COLUMN(D$1),1))</f>
        <v/>
      </c>
      <c r="BK262" s="79" t="str">
        <f t="array" ref="BK262">IF($A262="","", INDEX(CS!$B$1:$B$15025,MATCH($A262,CS!$B:$B,0)+COLUMN(E$1),1))</f>
        <v>爪強化</v>
      </c>
      <c r="BL262" s="79" t="str">
        <f t="array" ref="BL262">IF($A262="","", INDEX(CS!$B$1:$B$15025,MATCH($A262,CS!$B:$B,0)+COLUMN(F$1),1))</f>
        <v>爪</v>
      </c>
      <c r="BM262" s="79" t="str">
        <f t="array" ref="BM262">IF($A262="","", INDEX(CS!$B$1:$B$15025,MATCH($A262,CS!$B:$B,0)+COLUMN(G$1),1))</f>
        <v>爪操作</v>
      </c>
      <c r="BN262" s="79" t="str">
        <f t="array" ref="BN262">IF($A262="","", INDEX(CS!$B$1:$B$15025,MATCH($A262,CS!$B:$B,0)+COLUMN(H$1),1))</f>
        <v/>
      </c>
      <c r="BO262" s="79" t="str">
        <f t="array" ref="BO262">IF($A262="","", INDEX(CS!$B$1:$B$15025,MATCH($A262,CS!$B:$B,0)+COLUMN(I$1),1))</f>
        <v>鋭き爪</v>
      </c>
      <c r="BP262" s="79" t="str">
        <f t="array" ref="BP262">IF($A262="","", INDEX(CS!$B$1:$B$15025,MATCH($A262,CS!$B:$B,0)+COLUMN(J$1),1))</f>
        <v/>
      </c>
      <c r="BQ262" s="79"/>
      <c r="BR262" s="79"/>
      <c r="BS262" s="83"/>
      <c r="BT262" s="79"/>
      <c r="BU262" s="90" t="s">
        <v>2905</v>
      </c>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row>
    <row r="263" ht="18.75" customHeight="1" outlineLevel="1">
      <c r="A263" s="90" t="s">
        <v>1686</v>
      </c>
      <c r="B263" s="95"/>
      <c r="C263" s="90" t="s">
        <v>2902</v>
      </c>
      <c r="D263" s="92" t="str">
        <f t="shared" si="14"/>
        <v>525/450/75</v>
      </c>
      <c r="E263" s="93">
        <v>1.0</v>
      </c>
      <c r="F263" s="39">
        <v>90.0</v>
      </c>
      <c r="G263" s="79"/>
      <c r="H263" s="79"/>
      <c r="I263" s="41">
        <v>100.0</v>
      </c>
      <c r="J263" s="41">
        <v>75.0</v>
      </c>
      <c r="K263" s="96">
        <v>0.0</v>
      </c>
      <c r="L263" s="97">
        <v>50.0</v>
      </c>
      <c r="M263" s="90">
        <v>60.0</v>
      </c>
      <c r="N263" s="90">
        <v>75.0</v>
      </c>
      <c r="O263" s="79"/>
      <c r="P263" s="79">
        <v>0.0</v>
      </c>
      <c r="Q263" s="82"/>
      <c r="R263" s="82"/>
      <c r="S263" s="82"/>
      <c r="T263" s="82"/>
      <c r="U263" s="82"/>
      <c r="V263" s="82"/>
      <c r="W263" s="82"/>
      <c r="X263" s="82"/>
      <c r="Y263" s="82"/>
      <c r="Z263" s="82"/>
      <c r="AA263" s="82"/>
      <c r="AB263" s="79"/>
      <c r="AC263" s="79"/>
      <c r="AD263" s="79"/>
      <c r="AE263" s="79"/>
      <c r="AF263" s="79"/>
      <c r="AG263" s="79"/>
      <c r="AH263" s="79"/>
      <c r="AI263" s="79"/>
      <c r="AJ263" s="90">
        <v>0.0</v>
      </c>
      <c r="AK263" s="90">
        <v>50.0</v>
      </c>
      <c r="AL263" s="90">
        <v>0.0</v>
      </c>
      <c r="AM263" s="90">
        <v>0.0</v>
      </c>
      <c r="AN263" s="90">
        <v>0.0</v>
      </c>
      <c r="AO263" s="90">
        <v>0.0</v>
      </c>
      <c r="AP263" s="90">
        <v>0.0</v>
      </c>
      <c r="AQ263" s="90">
        <v>0.0</v>
      </c>
      <c r="AR263" s="90">
        <v>25.0</v>
      </c>
      <c r="AS263" s="90">
        <v>0.0</v>
      </c>
      <c r="AT263" s="90">
        <v>0.0</v>
      </c>
      <c r="AU263" s="90">
        <v>0.0</v>
      </c>
      <c r="AV263" s="90">
        <v>0.0</v>
      </c>
      <c r="AW263" s="90">
        <v>0.0</v>
      </c>
      <c r="AX263" s="90">
        <v>0.0</v>
      </c>
      <c r="AY263" s="90">
        <v>0.0</v>
      </c>
      <c r="AZ263" s="90">
        <v>0.0</v>
      </c>
      <c r="BA263" s="90">
        <v>50.0</v>
      </c>
      <c r="BB263" s="79"/>
      <c r="BC263" s="79"/>
      <c r="BD263" s="79"/>
      <c r="BE263" s="79"/>
      <c r="BF263" s="79"/>
      <c r="BG263" s="79" t="str">
        <f t="array" ref="BG263">IF($A263="","", INDEX(CS!$B$1:$B$15025,MATCH($A263,CS!$B:$B,0)+COLUMN(A$1),1))</f>
        <v>槍角</v>
      </c>
      <c r="BH263" s="79" t="str">
        <f t="array" ref="BH263">IF($A263="","", INDEX(CS!$B$1:$B$15025,MATCH($A263,CS!$B:$B,0)+COLUMN(B$1),1))</f>
        <v/>
      </c>
      <c r="BI263" s="79" t="str">
        <f t="array" ref="BI263">IF($A263="","", INDEX(CS!$B$1:$B$15025,MATCH($A263,CS!$B:$B,0)+COLUMN(C$1),1))</f>
        <v>変形角</v>
      </c>
      <c r="BJ263" s="79" t="str">
        <f t="array" ref="BJ263">IF($A263="","", INDEX(CS!$B$1:$B$15025,MATCH($A263,CS!$B:$B,0)+COLUMN(D$1),1))</f>
        <v/>
      </c>
      <c r="BK263" s="79" t="str">
        <f t="array" ref="BK263">IF($A263="","", INDEX(CS!$B$1:$B$15025,MATCH($A263,CS!$B:$B,0)+COLUMN(E$1),1))</f>
        <v>角強化</v>
      </c>
      <c r="BL263" s="79" t="str">
        <f t="array" ref="BL263">IF($A263="","", INDEX(CS!$B$1:$B$15025,MATCH($A263,CS!$B:$B,0)+COLUMN(F$1),1))</f>
        <v>角</v>
      </c>
      <c r="BM263" s="79" t="str">
        <f t="array" ref="BM263">IF($A263="","", INDEX(CS!$B$1:$B$15025,MATCH($A263,CS!$B:$B,0)+COLUMN(G$1),1))</f>
        <v>角操作</v>
      </c>
      <c r="BN263" s="79" t="str">
        <f t="array" ref="BN263">IF($A263="","", INDEX(CS!$B$1:$B$15025,MATCH($A263,CS!$B:$B,0)+COLUMN(H$1),1))</f>
        <v/>
      </c>
      <c r="BO263" s="79" t="str">
        <f t="array" ref="BO263">IF($A263="","", INDEX(CS!$B$1:$B$15025,MATCH($A263,CS!$B:$B,0)+COLUMN(I$1),1))</f>
        <v>鋭き角</v>
      </c>
      <c r="BP263" s="79" t="str">
        <f t="array" ref="BP263">IF($A263="","", INDEX(CS!$B$1:$B$15025,MATCH($A263,CS!$B:$B,0)+COLUMN(J$1),1))</f>
        <v/>
      </c>
      <c r="BQ263" s="79"/>
      <c r="BR263" s="79"/>
      <c r="BS263" s="83"/>
      <c r="BT263" s="79"/>
      <c r="BU263" s="90" t="s">
        <v>2906</v>
      </c>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row>
    <row r="264" ht="18.75" customHeight="1" outlineLevel="1">
      <c r="A264" s="90" t="s">
        <v>1697</v>
      </c>
      <c r="B264" s="95"/>
      <c r="C264" s="90" t="s">
        <v>2902</v>
      </c>
      <c r="D264" s="92" t="str">
        <f t="shared" si="14"/>
        <v>530/455/75</v>
      </c>
      <c r="E264" s="93">
        <v>1.0</v>
      </c>
      <c r="F264" s="39">
        <v>100.0</v>
      </c>
      <c r="G264" s="79"/>
      <c r="H264" s="79"/>
      <c r="I264" s="41">
        <v>65.0</v>
      </c>
      <c r="J264" s="41">
        <v>110.0</v>
      </c>
      <c r="K264" s="96">
        <v>0.0</v>
      </c>
      <c r="L264" s="97">
        <v>60.0</v>
      </c>
      <c r="M264" s="90">
        <v>50.0</v>
      </c>
      <c r="N264" s="90">
        <v>70.0</v>
      </c>
      <c r="O264" s="79"/>
      <c r="P264" s="79">
        <v>0.0</v>
      </c>
      <c r="Q264" s="82"/>
      <c r="R264" s="82"/>
      <c r="S264" s="82"/>
      <c r="T264" s="82"/>
      <c r="U264" s="82"/>
      <c r="V264" s="82"/>
      <c r="W264" s="82"/>
      <c r="X264" s="82"/>
      <c r="Y264" s="82"/>
      <c r="Z264" s="82"/>
      <c r="AA264" s="82"/>
      <c r="AB264" s="79"/>
      <c r="AC264" s="79"/>
      <c r="AD264" s="79"/>
      <c r="AE264" s="79"/>
      <c r="AF264" s="79"/>
      <c r="AG264" s="79"/>
      <c r="AH264" s="79"/>
      <c r="AI264" s="79"/>
      <c r="AJ264" s="90">
        <v>0.0</v>
      </c>
      <c r="AK264" s="90">
        <v>25.0</v>
      </c>
      <c r="AL264" s="90">
        <v>0.0</v>
      </c>
      <c r="AM264" s="90">
        <v>0.0</v>
      </c>
      <c r="AN264" s="90">
        <v>25.0</v>
      </c>
      <c r="AO264" s="90">
        <v>0.0</v>
      </c>
      <c r="AP264" s="90">
        <v>0.0</v>
      </c>
      <c r="AQ264" s="90">
        <v>0.0</v>
      </c>
      <c r="AR264" s="90">
        <v>25.0</v>
      </c>
      <c r="AS264" s="90">
        <v>0.0</v>
      </c>
      <c r="AT264" s="90">
        <v>0.0</v>
      </c>
      <c r="AU264" s="90">
        <v>0.0</v>
      </c>
      <c r="AV264" s="90">
        <v>0.0</v>
      </c>
      <c r="AW264" s="90">
        <v>0.0</v>
      </c>
      <c r="AX264" s="90">
        <v>0.0</v>
      </c>
      <c r="AY264" s="90">
        <v>0.0</v>
      </c>
      <c r="AZ264" s="90">
        <v>0.0</v>
      </c>
      <c r="BA264" s="79"/>
      <c r="BB264" s="79"/>
      <c r="BC264" s="79"/>
      <c r="BD264" s="79"/>
      <c r="BE264" s="79"/>
      <c r="BF264" s="90">
        <v>50.0</v>
      </c>
      <c r="BG264" s="79" t="str">
        <f t="array" ref="BG264">IF($A264="","", INDEX(CS!$B$1:$B$15025,MATCH($A264,CS!$B:$B,0)+COLUMN(A$1),1))</f>
        <v>装甲突撃</v>
      </c>
      <c r="BH264" s="79" t="str">
        <f t="array" ref="BH264">IF($A264="","", INDEX(CS!$B$1:$B$15025,MATCH($A264,CS!$B:$B,0)+COLUMN(B$1),1))</f>
        <v/>
      </c>
      <c r="BI264" s="79" t="str">
        <f t="array" ref="BI264">IF($A264="","", INDEX(CS!$B$1:$B$15025,MATCH($A264,CS!$B:$B,0)+COLUMN(C$1),1))</f>
        <v>変形装甲</v>
      </c>
      <c r="BJ264" s="79" t="str">
        <f t="array" ref="BJ264">IF($A264="","", INDEX(CS!$B$1:$B$15025,MATCH($A264,CS!$B:$B,0)+COLUMN(D$1),1))</f>
        <v/>
      </c>
      <c r="BK264" s="79" t="str">
        <f t="array" ref="BK264">IF($A264="","", INDEX(CS!$B$1:$B$15025,MATCH($A264,CS!$B:$B,0)+COLUMN(E$1),1))</f>
        <v>装甲強化</v>
      </c>
      <c r="BL264" s="79" t="str">
        <f t="array" ref="BL264">IF($A264="","", INDEX(CS!$B$1:$B$15025,MATCH($A264,CS!$B:$B,0)+COLUMN(F$1),1))</f>
        <v>踏みつけ</v>
      </c>
      <c r="BM264" s="79" t="str">
        <f t="array" ref="BM264">IF($A264="","", INDEX(CS!$B$1:$B$15025,MATCH($A264,CS!$B:$B,0)+COLUMN(G$1),1))</f>
        <v>装甲操作</v>
      </c>
      <c r="BN264" s="79" t="str">
        <f t="array" ref="BN264">IF($A264="","", INDEX(CS!$B$1:$B$15025,MATCH($A264,CS!$B:$B,0)+COLUMN(H$1),1))</f>
        <v/>
      </c>
      <c r="BO264" s="79" t="str">
        <f t="array" ref="BO264">IF($A264="","", INDEX(CS!$B$1:$B$15025,MATCH($A264,CS!$B:$B,0)+COLUMN(I$1),1))</f>
        <v>鋭き装甲</v>
      </c>
      <c r="BP264" s="79" t="str">
        <f t="array" ref="BP264">IF($A264="","", INDEX(CS!$B$1:$B$15025,MATCH($A264,CS!$B:$B,0)+COLUMN(J$1),1))</f>
        <v/>
      </c>
      <c r="BQ264" s="79"/>
      <c r="BR264" s="79"/>
      <c r="BS264" s="83"/>
      <c r="BT264" s="79"/>
      <c r="BU264" s="90" t="s">
        <v>2907</v>
      </c>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row>
    <row r="265" ht="18.75" customHeight="1" outlineLevel="1">
      <c r="A265" s="90" t="s">
        <v>1708</v>
      </c>
      <c r="B265" s="95"/>
      <c r="C265" s="90" t="s">
        <v>2902</v>
      </c>
      <c r="D265" s="92" t="str">
        <f t="shared" si="14"/>
        <v>625/450/175</v>
      </c>
      <c r="E265" s="93">
        <v>1.0</v>
      </c>
      <c r="F265" s="39">
        <v>70.0</v>
      </c>
      <c r="G265" s="79"/>
      <c r="H265" s="79"/>
      <c r="I265" s="41">
        <v>70.0</v>
      </c>
      <c r="J265" s="41">
        <v>55.0</v>
      </c>
      <c r="K265" s="96">
        <v>0.0</v>
      </c>
      <c r="L265" s="97">
        <v>50.0</v>
      </c>
      <c r="M265" s="90">
        <v>115.0</v>
      </c>
      <c r="N265" s="90">
        <v>90.0</v>
      </c>
      <c r="O265" s="79"/>
      <c r="P265" s="79">
        <v>0.0</v>
      </c>
      <c r="Q265" s="82"/>
      <c r="R265" s="82"/>
      <c r="S265" s="82"/>
      <c r="T265" s="82"/>
      <c r="U265" s="82"/>
      <c r="V265" s="82"/>
      <c r="W265" s="82"/>
      <c r="X265" s="82"/>
      <c r="Y265" s="82"/>
      <c r="Z265" s="82"/>
      <c r="AA265" s="82"/>
      <c r="AB265" s="79"/>
      <c r="AC265" s="79"/>
      <c r="AD265" s="79"/>
      <c r="AE265" s="79"/>
      <c r="AF265" s="79"/>
      <c r="AG265" s="79"/>
      <c r="AH265" s="79"/>
      <c r="AI265" s="79"/>
      <c r="AJ265" s="90">
        <v>0.0</v>
      </c>
      <c r="AK265" s="90">
        <v>0.0</v>
      </c>
      <c r="AL265" s="90">
        <v>25.0</v>
      </c>
      <c r="AM265" s="90">
        <v>75.0</v>
      </c>
      <c r="AN265" s="90">
        <v>0.0</v>
      </c>
      <c r="AO265" s="90">
        <v>0.0</v>
      </c>
      <c r="AP265" s="90">
        <v>0.0</v>
      </c>
      <c r="AQ265" s="90">
        <v>25.0</v>
      </c>
      <c r="AR265" s="90">
        <v>50.0</v>
      </c>
      <c r="AS265" s="90">
        <v>0.0</v>
      </c>
      <c r="AT265" s="90">
        <v>0.0</v>
      </c>
      <c r="AU265" s="90">
        <v>0.0</v>
      </c>
      <c r="AV265" s="90">
        <v>0.0</v>
      </c>
      <c r="AW265" s="90">
        <v>0.0</v>
      </c>
      <c r="AX265" s="90">
        <v>0.0</v>
      </c>
      <c r="AY265" s="90">
        <v>0.0</v>
      </c>
      <c r="AZ265" s="90">
        <v>0.0</v>
      </c>
      <c r="BA265" s="79"/>
      <c r="BB265" s="79"/>
      <c r="BC265" s="79"/>
      <c r="BD265" s="79"/>
      <c r="BE265" s="90">
        <v>50.0</v>
      </c>
      <c r="BF265" s="79"/>
      <c r="BG265" s="79" t="str">
        <f t="array" ref="BG265">IF($A265="","", INDEX(CS!$B$1:$B$15025,MATCH($A265,CS!$B:$B,0)+COLUMN(A$1),1))</f>
        <v>翼刃</v>
      </c>
      <c r="BH265" s="79" t="str">
        <f t="array" ref="BH265">IF($A265="","", INDEX(CS!$B$1:$B$15025,MATCH($A265,CS!$B:$B,0)+COLUMN(B$1),1))</f>
        <v/>
      </c>
      <c r="BI265" s="79" t="str">
        <f t="array" ref="BI265">IF($A265="","", INDEX(CS!$B$1:$B$15025,MATCH($A265,CS!$B:$B,0)+COLUMN(C$1),1))</f>
        <v>変形翼</v>
      </c>
      <c r="BJ265" s="79" t="str">
        <f t="array" ref="BJ265">IF($A265="","", INDEX(CS!$B$1:$B$15025,MATCH($A265,CS!$B:$B,0)+COLUMN(D$1),1))</f>
        <v/>
      </c>
      <c r="BK265" s="79" t="str">
        <f t="array" ref="BK265">IF($A265="","", INDEX(CS!$B$1:$B$15025,MATCH($A265,CS!$B:$B,0)+COLUMN(E$1),1))</f>
        <v>翼強化</v>
      </c>
      <c r="BL265" s="79" t="str">
        <f t="array" ref="BL265">IF($A265="","", INDEX(CS!$B$1:$B$15025,MATCH($A265,CS!$B:$B,0)+COLUMN(F$1),1))</f>
        <v>翼</v>
      </c>
      <c r="BM265" s="79" t="str">
        <f t="array" ref="BM265">IF($A265="","", INDEX(CS!$B$1:$B$15025,MATCH($A265,CS!$B:$B,0)+COLUMN(G$1),1))</f>
        <v>翼操作</v>
      </c>
      <c r="BN265" s="79" t="str">
        <f t="array" ref="BN265">IF($A265="","", INDEX(CS!$B$1:$B$15025,MATCH($A265,CS!$B:$B,0)+COLUMN(H$1),1))</f>
        <v/>
      </c>
      <c r="BO265" s="79" t="str">
        <f t="array" ref="BO265">IF($A265="","", INDEX(CS!$B$1:$B$15025,MATCH($A265,CS!$B:$B,0)+COLUMN(I$1),1))</f>
        <v>鋭き翼</v>
      </c>
      <c r="BP265" s="79" t="str">
        <f t="array" ref="BP265">IF($A265="","", INDEX(CS!$B$1:$B$15025,MATCH($A265,CS!$B:$B,0)+COLUMN(J$1),1))</f>
        <v/>
      </c>
      <c r="BQ265" s="79"/>
      <c r="BR265" s="79"/>
      <c r="BS265" s="83"/>
      <c r="BT265" s="79"/>
      <c r="BU265" s="90" t="s">
        <v>2908</v>
      </c>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row>
    <row r="266" ht="18.75" customHeight="1" outlineLevel="1">
      <c r="A266" s="90" t="s">
        <v>1719</v>
      </c>
      <c r="B266" s="95"/>
      <c r="C266" s="90" t="s">
        <v>2902</v>
      </c>
      <c r="D266" s="92" t="str">
        <f t="shared" si="14"/>
        <v>600/450/150</v>
      </c>
      <c r="E266" s="93">
        <v>1.0</v>
      </c>
      <c r="F266" s="39">
        <v>80.0</v>
      </c>
      <c r="G266" s="79"/>
      <c r="H266" s="79"/>
      <c r="I266" s="41">
        <v>85.0</v>
      </c>
      <c r="J266" s="41">
        <v>70.0</v>
      </c>
      <c r="K266" s="96">
        <v>0.0</v>
      </c>
      <c r="L266" s="97">
        <v>50.0</v>
      </c>
      <c r="M266" s="90">
        <v>80.0</v>
      </c>
      <c r="N266" s="90">
        <v>85.0</v>
      </c>
      <c r="O266" s="79"/>
      <c r="P266" s="79">
        <v>0.0</v>
      </c>
      <c r="Q266" s="82"/>
      <c r="R266" s="82"/>
      <c r="S266" s="82"/>
      <c r="T266" s="82"/>
      <c r="U266" s="82"/>
      <c r="V266" s="82"/>
      <c r="W266" s="82"/>
      <c r="X266" s="82"/>
      <c r="Y266" s="82"/>
      <c r="Z266" s="82"/>
      <c r="AA266" s="82"/>
      <c r="AB266" s="79"/>
      <c r="AC266" s="79"/>
      <c r="AD266" s="79"/>
      <c r="AE266" s="79"/>
      <c r="AF266" s="79"/>
      <c r="AG266" s="79"/>
      <c r="AH266" s="79"/>
      <c r="AI266" s="79"/>
      <c r="AJ266" s="90">
        <v>0.0</v>
      </c>
      <c r="AK266" s="90">
        <v>25.0</v>
      </c>
      <c r="AL266" s="90">
        <v>25.0</v>
      </c>
      <c r="AM266" s="90">
        <v>25.0</v>
      </c>
      <c r="AN266" s="90">
        <v>25.0</v>
      </c>
      <c r="AO266" s="90">
        <v>0.0</v>
      </c>
      <c r="AP266" s="90">
        <v>0.0</v>
      </c>
      <c r="AQ266" s="90">
        <v>25.0</v>
      </c>
      <c r="AR266" s="90">
        <v>25.0</v>
      </c>
      <c r="AS266" s="90">
        <v>0.0</v>
      </c>
      <c r="AT266" s="90">
        <v>0.0</v>
      </c>
      <c r="AU266" s="90">
        <v>0.0</v>
      </c>
      <c r="AV266" s="90">
        <v>0.0</v>
      </c>
      <c r="AW266" s="90">
        <v>0.0</v>
      </c>
      <c r="AX266" s="90">
        <v>0.0</v>
      </c>
      <c r="AY266" s="90">
        <v>0.0</v>
      </c>
      <c r="AZ266" s="90">
        <v>0.0</v>
      </c>
      <c r="BA266" s="79"/>
      <c r="BB266" s="79"/>
      <c r="BC266" s="79"/>
      <c r="BD266" s="90">
        <v>50.0</v>
      </c>
      <c r="BE266" s="79"/>
      <c r="BF266" s="79"/>
      <c r="BG266" s="79" t="str">
        <f t="array" ref="BG266">IF($A266="","", INDEX(CS!$B$1:$B$15025,MATCH($A266,CS!$B:$B,0)+COLUMN(A$1),1))</f>
        <v>尾槍</v>
      </c>
      <c r="BH266" s="79" t="str">
        <f t="array" ref="BH266">IF($A266="","", INDEX(CS!$B$1:$B$15025,MATCH($A266,CS!$B:$B,0)+COLUMN(B$1),1))</f>
        <v/>
      </c>
      <c r="BI266" s="79" t="str">
        <f t="array" ref="BI266">IF($A266="","", INDEX(CS!$B$1:$B$15025,MATCH($A266,CS!$B:$B,0)+COLUMN(C$1),1))</f>
        <v>変形尾</v>
      </c>
      <c r="BJ266" s="79" t="str">
        <f t="array" ref="BJ266">IF($A266="","", INDEX(CS!$B$1:$B$15025,MATCH($A266,CS!$B:$B,0)+COLUMN(D$1),1))</f>
        <v/>
      </c>
      <c r="BK266" s="79" t="str">
        <f t="array" ref="BK266">IF($A266="","", INDEX(CS!$B$1:$B$15025,MATCH($A266,CS!$B:$B,0)+COLUMN(E$1),1))</f>
        <v>尾強化</v>
      </c>
      <c r="BL266" s="79" t="str">
        <f t="array" ref="BL266">IF($A266="","", INDEX(CS!$B$1:$B$15025,MATCH($A266,CS!$B:$B,0)+COLUMN(F$1),1))</f>
        <v>尾</v>
      </c>
      <c r="BM266" s="79" t="str">
        <f t="array" ref="BM266">IF($A266="","", INDEX(CS!$B$1:$B$15025,MATCH($A266,CS!$B:$B,0)+COLUMN(G$1),1))</f>
        <v>尾操作</v>
      </c>
      <c r="BN266" s="79" t="str">
        <f t="array" ref="BN266">IF($A266="","", INDEX(CS!$B$1:$B$15025,MATCH($A266,CS!$B:$B,0)+COLUMN(H$1),1))</f>
        <v/>
      </c>
      <c r="BO266" s="79" t="str">
        <f t="array" ref="BO266">IF($A266="","", INDEX(CS!$B$1:$B$15025,MATCH($A266,CS!$B:$B,0)+COLUMN(I$1),1))</f>
        <v>鋭き尾</v>
      </c>
      <c r="BP266" s="79" t="str">
        <f t="array" ref="BP266">IF($A266="","", INDEX(CS!$B$1:$B$15025,MATCH($A266,CS!$B:$B,0)+COLUMN(J$1),1))</f>
        <v/>
      </c>
      <c r="BQ266" s="79"/>
      <c r="BR266" s="79"/>
      <c r="BS266" s="83"/>
      <c r="BT266" s="79"/>
      <c r="BU266" s="90" t="s">
        <v>2909</v>
      </c>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row>
    <row r="267" ht="18.75" customHeight="1" outlineLevel="1">
      <c r="A267" s="90" t="s">
        <v>1730</v>
      </c>
      <c r="B267" s="95"/>
      <c r="C267" s="90" t="s">
        <v>2902</v>
      </c>
      <c r="D267" s="92" t="str">
        <f t="shared" si="14"/>
        <v>605/455/150</v>
      </c>
      <c r="E267" s="93">
        <v>1.0</v>
      </c>
      <c r="F267" s="39">
        <v>80.0</v>
      </c>
      <c r="G267" s="79"/>
      <c r="H267" s="79"/>
      <c r="I267" s="41">
        <v>80.0</v>
      </c>
      <c r="J267" s="41">
        <v>85.0</v>
      </c>
      <c r="K267" s="96">
        <v>0.0</v>
      </c>
      <c r="L267" s="97">
        <v>50.0</v>
      </c>
      <c r="M267" s="90">
        <v>75.0</v>
      </c>
      <c r="N267" s="90">
        <v>85.0</v>
      </c>
      <c r="O267" s="79"/>
      <c r="P267" s="79">
        <v>0.0</v>
      </c>
      <c r="Q267" s="82"/>
      <c r="R267" s="82"/>
      <c r="S267" s="82"/>
      <c r="T267" s="82"/>
      <c r="U267" s="82"/>
      <c r="V267" s="82"/>
      <c r="W267" s="82"/>
      <c r="X267" s="82"/>
      <c r="Y267" s="82"/>
      <c r="Z267" s="82"/>
      <c r="AA267" s="82"/>
      <c r="AB267" s="79"/>
      <c r="AC267" s="79"/>
      <c r="AD267" s="79"/>
      <c r="AE267" s="79"/>
      <c r="AF267" s="79"/>
      <c r="AG267" s="79"/>
      <c r="AH267" s="79"/>
      <c r="AI267" s="79"/>
      <c r="AJ267" s="90">
        <v>0.0</v>
      </c>
      <c r="AK267" s="90">
        <v>0.0</v>
      </c>
      <c r="AL267" s="90">
        <v>25.0</v>
      </c>
      <c r="AM267" s="90">
        <v>25.0</v>
      </c>
      <c r="AN267" s="90">
        <v>50.0</v>
      </c>
      <c r="AO267" s="90">
        <v>0.0</v>
      </c>
      <c r="AP267" s="90">
        <v>0.0</v>
      </c>
      <c r="AQ267" s="90">
        <v>25.0</v>
      </c>
      <c r="AR267" s="90">
        <v>25.0</v>
      </c>
      <c r="AS267" s="90">
        <v>0.0</v>
      </c>
      <c r="AT267" s="90">
        <v>0.0</v>
      </c>
      <c r="AU267" s="90">
        <v>0.0</v>
      </c>
      <c r="AV267" s="90">
        <v>0.0</v>
      </c>
      <c r="AW267" s="90">
        <v>0.0</v>
      </c>
      <c r="AX267" s="90">
        <v>0.0</v>
      </c>
      <c r="AY267" s="90">
        <v>0.0</v>
      </c>
      <c r="AZ267" s="90">
        <v>0.0</v>
      </c>
      <c r="BA267" s="79"/>
      <c r="BB267" s="79"/>
      <c r="BC267" s="79"/>
      <c r="BD267" s="90"/>
      <c r="BE267" s="79"/>
      <c r="BF267" s="90">
        <v>25.0</v>
      </c>
      <c r="BG267" s="90" t="s">
        <v>1732</v>
      </c>
      <c r="BH267" s="79"/>
      <c r="BI267" s="90" t="s">
        <v>1737</v>
      </c>
      <c r="BJ267" s="79"/>
      <c r="BK267" s="90" t="s">
        <v>1742</v>
      </c>
      <c r="BL267" s="79"/>
      <c r="BM267" s="90" t="s">
        <v>1747</v>
      </c>
      <c r="BN267" s="79"/>
      <c r="BO267" s="90" t="s">
        <v>1752</v>
      </c>
      <c r="BP267" s="90" t="s">
        <v>1756</v>
      </c>
      <c r="BQ267" s="79"/>
      <c r="BR267" s="79"/>
      <c r="BS267" s="83"/>
      <c r="BT267" s="79"/>
      <c r="BU267" s="90"/>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row>
    <row r="268" ht="18.75" customHeight="1">
      <c r="A268" s="90"/>
      <c r="B268" s="95"/>
      <c r="C268" s="90"/>
      <c r="D268" s="92"/>
      <c r="E268" s="93"/>
      <c r="G268" s="79"/>
      <c r="H268" s="79"/>
      <c r="I268" s="41"/>
      <c r="J268" s="41"/>
      <c r="K268" s="96"/>
      <c r="L268" s="97"/>
      <c r="M268" s="90"/>
      <c r="N268" s="90"/>
      <c r="O268" s="79"/>
      <c r="P268" s="79" t="s">
        <v>29</v>
      </c>
      <c r="Q268" s="82"/>
      <c r="R268" s="82"/>
      <c r="S268" s="82"/>
      <c r="T268" s="82"/>
      <c r="U268" s="82"/>
      <c r="V268" s="82"/>
      <c r="W268" s="82"/>
      <c r="X268" s="82"/>
      <c r="Y268" s="82"/>
      <c r="Z268" s="82"/>
      <c r="AA268" s="82"/>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79"/>
      <c r="AZ268" s="79"/>
      <c r="BA268" s="79"/>
      <c r="BB268" s="79"/>
      <c r="BC268" s="79"/>
      <c r="BD268" s="79"/>
      <c r="BE268" s="79"/>
      <c r="BF268" s="79"/>
      <c r="BG268" s="79" t="str">
        <f t="array" ref="BG268">IF($A268="","", INDEX(CS!$B$1:$B$15025,MATCH($A268,CS!$B:$B,0)+COLUMN(A$1),1))</f>
        <v/>
      </c>
      <c r="BH268" s="79" t="str">
        <f t="array" ref="BH268">IF($A268="","", INDEX(CS!$B$1:$B$15025,MATCH($A268,CS!$B:$B,0)+COLUMN(B$1),1))</f>
        <v/>
      </c>
      <c r="BI268" s="79" t="str">
        <f t="array" ref="BI268">IF($A268="","", INDEX(CS!$B$1:$B$15025,MATCH($A268,CS!$B:$B,0)+COLUMN(C$1),1))</f>
        <v/>
      </c>
      <c r="BJ268" s="79" t="str">
        <f t="array" ref="BJ268">IF($A268="","", INDEX(CS!$B$1:$B$15025,MATCH($A268,CS!$B:$B,0)+COLUMN(D$1),1))</f>
        <v/>
      </c>
      <c r="BK268" s="79" t="str">
        <f t="array" ref="BK268">IF($A268="","", INDEX(CS!$B$1:$B$15025,MATCH($A268,CS!$B:$B,0)+COLUMN(E$1),1))</f>
        <v/>
      </c>
      <c r="BL268" s="79" t="str">
        <f t="array" ref="BL268">IF($A268="","", INDEX(CS!$B$1:$B$15025,MATCH($A268,CS!$B:$B,0)+COLUMN(F$1),1))</f>
        <v/>
      </c>
      <c r="BM268" s="79" t="str">
        <f t="array" ref="BM268">IF($A268="","", INDEX(CS!$B$1:$B$15025,MATCH($A268,CS!$B:$B,0)+COLUMN(G$1),1))</f>
        <v/>
      </c>
      <c r="BN268" s="79" t="str">
        <f t="array" ref="BN268">IF($A268="","", INDEX(CS!$B$1:$B$15025,MATCH($A268,CS!$B:$B,0)+COLUMN(H$1),1))</f>
        <v/>
      </c>
      <c r="BO268" s="79" t="str">
        <f t="array" ref="BO268">IF($A268="","", INDEX(CS!$B$1:$B$15025,MATCH($A268,CS!$B:$B,0)+COLUMN(I$1),1))</f>
        <v/>
      </c>
      <c r="BP268" s="79" t="str">
        <f t="array" ref="BP268">IF($A268="","", INDEX(CS!$B$1:$B$15025,MATCH($A268,CS!$B:$B,0)+COLUMN(J$1),1))</f>
        <v/>
      </c>
      <c r="BQ268" s="79"/>
      <c r="BR268" s="79"/>
      <c r="BS268" s="83"/>
      <c r="BT268" s="79"/>
      <c r="BU268" s="90"/>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row>
    <row r="269" ht="18.75" customHeight="1">
      <c r="A269" s="79"/>
      <c r="B269" s="85" t="s">
        <v>2910</v>
      </c>
      <c r="C269" s="90"/>
      <c r="D269" s="92"/>
      <c r="E269" s="93"/>
      <c r="F269" s="90"/>
      <c r="G269" s="79"/>
      <c r="H269" s="79"/>
      <c r="I269" s="90"/>
      <c r="J269" s="90"/>
      <c r="K269" s="94"/>
      <c r="L269" s="90"/>
      <c r="M269" s="90"/>
      <c r="N269" s="90"/>
      <c r="O269" s="79"/>
      <c r="P269" s="79" t="s">
        <v>29</v>
      </c>
      <c r="Q269" s="82"/>
      <c r="R269" s="82"/>
      <c r="S269" s="82"/>
      <c r="T269" s="82"/>
      <c r="U269" s="82"/>
      <c r="V269" s="82"/>
      <c r="W269" s="82"/>
      <c r="X269" s="82"/>
      <c r="Y269" s="82"/>
      <c r="Z269" s="82"/>
      <c r="AA269" s="82"/>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79"/>
      <c r="AZ269" s="79"/>
      <c r="BA269" s="79"/>
      <c r="BB269" s="79"/>
      <c r="BC269" s="79"/>
      <c r="BD269" s="79"/>
      <c r="BE269" s="79"/>
      <c r="BF269" s="79"/>
      <c r="BG269" s="79" t="str">
        <f t="array" ref="BG269">IF($A269="","", INDEX(CS!$B$1:$B$15025,MATCH($A269,CS!$B:$B,0)+COLUMN(A$1),1))</f>
        <v/>
      </c>
      <c r="BH269" s="79" t="str">
        <f t="array" ref="BH269">IF($A269="","", INDEX(CS!$B$1:$B$15025,MATCH($A269,CS!$B:$B,0)+COLUMN(B$1),1))</f>
        <v/>
      </c>
      <c r="BI269" s="79" t="str">
        <f t="array" ref="BI269">IF($A269="","", INDEX(CS!$B$1:$B$15025,MATCH($A269,CS!$B:$B,0)+COLUMN(C$1),1))</f>
        <v/>
      </c>
      <c r="BJ269" s="79" t="str">
        <f t="array" ref="BJ269">IF($A269="","", INDEX(CS!$B$1:$B$15025,MATCH($A269,CS!$B:$B,0)+COLUMN(D$1),1))</f>
        <v/>
      </c>
      <c r="BK269" s="79" t="str">
        <f t="array" ref="BK269">IF($A269="","", INDEX(CS!$B$1:$B$15025,MATCH($A269,CS!$B:$B,0)+COLUMN(E$1),1))</f>
        <v/>
      </c>
      <c r="BL269" s="79" t="str">
        <f t="array" ref="BL269">IF($A269="","", INDEX(CS!$B$1:$B$15025,MATCH($A269,CS!$B:$B,0)+COLUMN(F$1),1))</f>
        <v/>
      </c>
      <c r="BM269" s="79" t="str">
        <f t="array" ref="BM269">IF($A269="","", INDEX(CS!$B$1:$B$15025,MATCH($A269,CS!$B:$B,0)+COLUMN(G$1),1))</f>
        <v/>
      </c>
      <c r="BN269" s="79" t="str">
        <f t="array" ref="BN269">IF($A269="","", INDEX(CS!$B$1:$B$15025,MATCH($A269,CS!$B:$B,0)+COLUMN(H$1),1))</f>
        <v/>
      </c>
      <c r="BO269" s="79" t="str">
        <f t="array" ref="BO269">IF($A269="","", INDEX(CS!$B$1:$B$15025,MATCH($A269,CS!$B:$B,0)+COLUMN(I$1),1))</f>
        <v/>
      </c>
      <c r="BP269" s="79" t="str">
        <f t="array" ref="BP269">IF($A269="","", INDEX(CS!$B$1:$B$15025,MATCH($A269,CS!$B:$B,0)+COLUMN(J$1),1))</f>
        <v/>
      </c>
      <c r="BQ269" s="79"/>
      <c r="BR269" s="79"/>
      <c r="BS269" s="83"/>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row>
    <row r="270" ht="18.75" customHeight="1">
      <c r="A270" s="79" t="s">
        <v>1760</v>
      </c>
      <c r="B270" s="95"/>
      <c r="C270" s="90" t="s">
        <v>2900</v>
      </c>
      <c r="D270" s="92" t="str">
        <f t="shared" ref="D270:D278" si="15">SUM(AJ270:AZ270,F270:N270)&amp;"/"&amp;SUM(F270:N270)&amp;"/"&amp;SUM(AJ270:AZ270)</f>
        <v>755/605/150</v>
      </c>
      <c r="E270" s="93">
        <v>1.0</v>
      </c>
      <c r="F270" s="37">
        <v>75.0</v>
      </c>
      <c r="G270" s="79"/>
      <c r="H270" s="79"/>
      <c r="I270" s="41">
        <v>70.0</v>
      </c>
      <c r="J270" s="41">
        <v>50.0</v>
      </c>
      <c r="K270" s="96">
        <v>200.0</v>
      </c>
      <c r="L270" s="97">
        <v>75.0</v>
      </c>
      <c r="M270" s="90">
        <v>70.0</v>
      </c>
      <c r="N270" s="90">
        <v>65.0</v>
      </c>
      <c r="O270" s="79"/>
      <c r="P270" s="79">
        <v>0.0</v>
      </c>
      <c r="Q270" s="82"/>
      <c r="R270" s="82"/>
      <c r="S270" s="82"/>
      <c r="T270" s="82"/>
      <c r="U270" s="82"/>
      <c r="V270" s="82"/>
      <c r="W270" s="82"/>
      <c r="X270" s="82"/>
      <c r="Y270" s="82"/>
      <c r="Z270" s="82"/>
      <c r="AA270" s="82"/>
      <c r="AB270" s="79"/>
      <c r="AC270" s="79"/>
      <c r="AD270" s="79"/>
      <c r="AE270" s="79"/>
      <c r="AF270" s="79"/>
      <c r="AG270" s="79"/>
      <c r="AH270" s="79"/>
      <c r="AI270" s="79"/>
      <c r="AJ270" s="90">
        <v>0.0</v>
      </c>
      <c r="AK270" s="90">
        <v>0.0</v>
      </c>
      <c r="AL270" s="90">
        <v>0.0</v>
      </c>
      <c r="AM270" s="90">
        <v>0.0</v>
      </c>
      <c r="AN270" s="90">
        <v>0.0</v>
      </c>
      <c r="AO270" s="90">
        <v>0.0</v>
      </c>
      <c r="AP270" s="90">
        <v>0.0</v>
      </c>
      <c r="AQ270" s="90">
        <v>0.0</v>
      </c>
      <c r="AR270" s="90">
        <v>0.0</v>
      </c>
      <c r="AS270" s="90">
        <v>0.0</v>
      </c>
      <c r="AT270" s="90">
        <v>0.0</v>
      </c>
      <c r="AU270" s="90">
        <v>0.0</v>
      </c>
      <c r="AV270" s="90">
        <v>0.0</v>
      </c>
      <c r="AW270" s="90">
        <v>0.0</v>
      </c>
      <c r="AX270" s="90">
        <v>0.0</v>
      </c>
      <c r="AY270" s="97">
        <v>150.0</v>
      </c>
      <c r="AZ270" s="90">
        <v>0.0</v>
      </c>
      <c r="BA270" s="79"/>
      <c r="BB270" s="79"/>
      <c r="BC270" s="79"/>
      <c r="BD270" s="79"/>
      <c r="BE270" s="79"/>
      <c r="BF270" s="79"/>
      <c r="BG270" s="79" t="str">
        <f t="array" ref="BG270">IF($A270="","", INDEX(CS!$B$1:$B$15025,MATCH($A270,CS!$B:$B,0)+COLUMN(A$1),1))</f>
        <v>炎の適用</v>
      </c>
      <c r="BH270" s="79" t="str">
        <f t="array" ref="BH270">IF($A270="","", INDEX(CS!$B$1:$B$15025,MATCH($A270,CS!$B:$B,0)+COLUMN(B$1),1))</f>
        <v>火炎</v>
      </c>
      <c r="BI270" s="79" t="str">
        <f t="array" ref="BI270">IF($A270="","", INDEX(CS!$B$1:$B$15025,MATCH($A270,CS!$B:$B,0)+COLUMN(C$1),1))</f>
        <v>炎の体</v>
      </c>
      <c r="BJ270" s="79" t="str">
        <f t="array" ref="BJ270">IF($A270="","", INDEX(CS!$B$1:$B$15025,MATCH($A270,CS!$B:$B,0)+COLUMN(D$1),1))</f>
        <v/>
      </c>
      <c r="BK270" s="79" t="str">
        <f t="array" ref="BK270">IF($A270="","", INDEX(CS!$B$1:$B$15025,MATCH($A270,CS!$B:$B,0)+COLUMN(E$1),1))</f>
        <v>反応</v>
      </c>
      <c r="BL270" s="79" t="str">
        <f t="array" ref="BL270">IF($A270="","", INDEX(CS!$B$1:$B$15025,MATCH($A270,CS!$B:$B,0)+COLUMN(F$1),1))</f>
        <v/>
      </c>
      <c r="BM270" s="79" t="str">
        <f t="array" ref="BM270">IF($A270="","", INDEX(CS!$B$1:$B$15025,MATCH($A270,CS!$B:$B,0)+COLUMN(G$1),1))</f>
        <v>火球</v>
      </c>
      <c r="BN270" s="79" t="str">
        <f t="array" ref="BN270">IF($A270="","", INDEX(CS!$B$1:$B$15025,MATCH($A270,CS!$B:$B,0)+COLUMN(H$1),1))</f>
        <v/>
      </c>
      <c r="BO270" s="79" t="str">
        <f t="array" ref="BO270">IF($A270="","", INDEX(CS!$B$1:$B$15025,MATCH($A270,CS!$B:$B,0)+COLUMN(I$1),1))</f>
        <v>炎強化</v>
      </c>
      <c r="BP270" s="79" t="str">
        <f t="array" ref="BP270">IF($A270="","", INDEX(CS!$B$1:$B$15025,MATCH($A270,CS!$B:$B,0)+COLUMN(J$1),1))</f>
        <v>炎の唾</v>
      </c>
      <c r="BQ270" s="79"/>
      <c r="BR270" s="79"/>
      <c r="BS270" s="83"/>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row>
    <row r="271" ht="18.75" customHeight="1" outlineLevel="1">
      <c r="A271" s="79" t="s">
        <v>1763</v>
      </c>
      <c r="B271" s="95"/>
      <c r="C271" s="90" t="s">
        <v>2900</v>
      </c>
      <c r="D271" s="92" t="str">
        <f t="shared" si="15"/>
        <v>755/605/150</v>
      </c>
      <c r="E271" s="93">
        <v>1.0</v>
      </c>
      <c r="F271" s="37">
        <v>75.0</v>
      </c>
      <c r="G271" s="79"/>
      <c r="H271" s="79"/>
      <c r="I271" s="41">
        <v>70.0</v>
      </c>
      <c r="J271" s="41">
        <v>50.0</v>
      </c>
      <c r="K271" s="96">
        <v>200.0</v>
      </c>
      <c r="L271" s="97">
        <v>75.0</v>
      </c>
      <c r="M271" s="90">
        <v>70.0</v>
      </c>
      <c r="N271" s="90">
        <v>65.0</v>
      </c>
      <c r="O271" s="79"/>
      <c r="P271" s="79">
        <v>0.0</v>
      </c>
      <c r="Q271" s="82"/>
      <c r="R271" s="82"/>
      <c r="S271" s="82"/>
      <c r="T271" s="82"/>
      <c r="U271" s="82"/>
      <c r="V271" s="82"/>
      <c r="W271" s="82"/>
      <c r="X271" s="82"/>
      <c r="Y271" s="82"/>
      <c r="Z271" s="82"/>
      <c r="AA271" s="82"/>
      <c r="AB271" s="79"/>
      <c r="AC271" s="79"/>
      <c r="AD271" s="79"/>
      <c r="AE271" s="79"/>
      <c r="AF271" s="79"/>
      <c r="AG271" s="79"/>
      <c r="AH271" s="79"/>
      <c r="AI271" s="79"/>
      <c r="AJ271" s="90">
        <v>0.0</v>
      </c>
      <c r="AK271" s="90">
        <v>0.0</v>
      </c>
      <c r="AL271" s="90">
        <v>0.0</v>
      </c>
      <c r="AM271" s="90">
        <v>0.0</v>
      </c>
      <c r="AN271" s="90">
        <v>0.0</v>
      </c>
      <c r="AO271" s="90">
        <v>0.0</v>
      </c>
      <c r="AP271" s="90">
        <v>0.0</v>
      </c>
      <c r="AQ271" s="90">
        <v>0.0</v>
      </c>
      <c r="AR271" s="90">
        <v>0.0</v>
      </c>
      <c r="AS271" s="90">
        <v>0.0</v>
      </c>
      <c r="AT271" s="90">
        <v>0.0</v>
      </c>
      <c r="AU271" s="90">
        <v>0.0</v>
      </c>
      <c r="AV271" s="90">
        <v>0.0</v>
      </c>
      <c r="AW271" s="90">
        <v>0.0</v>
      </c>
      <c r="AX271" s="90">
        <v>0.0</v>
      </c>
      <c r="AY271" s="97">
        <v>150.0</v>
      </c>
      <c r="AZ271" s="90">
        <v>0.0</v>
      </c>
      <c r="BA271" s="79"/>
      <c r="BB271" s="79"/>
      <c r="BC271" s="79"/>
      <c r="BD271" s="79"/>
      <c r="BE271" s="79"/>
      <c r="BF271" s="79"/>
      <c r="BG271" s="79" t="str">
        <f t="array" ref="BG271">IF($A271="","", INDEX(CS!$B$1:$B$15025,MATCH($A271,CS!$B:$B,0)+COLUMN(A$1),1))</f>
        <v>氷の適用</v>
      </c>
      <c r="BH271" s="79" t="str">
        <f t="array" ref="BH271">IF($A271="","", INDEX(CS!$B$1:$B$15025,MATCH($A271,CS!$B:$B,0)+COLUMN(B$1),1))</f>
        <v>冷気の光線</v>
      </c>
      <c r="BI271" s="79" t="str">
        <f t="array" ref="BI271">IF($A271="","", INDEX(CS!$B$1:$B$15025,MATCH($A271,CS!$B:$B,0)+COLUMN(C$1),1))</f>
        <v>氷の体</v>
      </c>
      <c r="BJ271" s="79" t="str">
        <f t="array" ref="BJ271">IF($A271="","", INDEX(CS!$B$1:$B$15025,MATCH($A271,CS!$B:$B,0)+COLUMN(D$1),1))</f>
        <v/>
      </c>
      <c r="BK271" s="79" t="str">
        <f t="array" ref="BK271">IF($A271="","", INDEX(CS!$B$1:$B$15025,MATCH($A271,CS!$B:$B,0)+COLUMN(E$1),1))</f>
        <v>反応</v>
      </c>
      <c r="BL271" s="79" t="str">
        <f t="array" ref="BL271">IF($A271="","", INDEX(CS!$B$1:$B$15025,MATCH($A271,CS!$B:$B,0)+COLUMN(F$1),1))</f>
        <v/>
      </c>
      <c r="BM271" s="79" t="str">
        <f t="array" ref="BM271">IF($A271="","", INDEX(CS!$B$1:$B$15025,MATCH($A271,CS!$B:$B,0)+COLUMN(G$1),1))</f>
        <v>氷柱弾</v>
      </c>
      <c r="BN271" s="79" t="str">
        <f t="array" ref="BN271">IF($A271="","", INDEX(CS!$B$1:$B$15025,MATCH($A271,CS!$B:$B,0)+COLUMN(H$1),1))</f>
        <v/>
      </c>
      <c r="BO271" s="79" t="str">
        <f t="array" ref="BO271">IF($A271="","", INDEX(CS!$B$1:$B$15025,MATCH($A271,CS!$B:$B,0)+COLUMN(I$1),1))</f>
        <v>氷強化</v>
      </c>
      <c r="BP271" s="79" t="str">
        <f t="array" ref="BP271">IF($A271="","", INDEX(CS!$B$1:$B$15025,MATCH($A271,CS!$B:$B,0)+COLUMN(J$1),1))</f>
        <v>氷の唾</v>
      </c>
      <c r="BQ271" s="79"/>
      <c r="BR271" s="79"/>
      <c r="BS271" s="83"/>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row>
    <row r="272" ht="18.75" customHeight="1" outlineLevel="1">
      <c r="A272" s="79" t="s">
        <v>1766</v>
      </c>
      <c r="B272" s="95"/>
      <c r="C272" s="90" t="s">
        <v>2900</v>
      </c>
      <c r="D272" s="92" t="str">
        <f t="shared" si="15"/>
        <v>755/605/150</v>
      </c>
      <c r="E272" s="93">
        <v>1.0</v>
      </c>
      <c r="F272" s="37">
        <v>75.0</v>
      </c>
      <c r="G272" s="79"/>
      <c r="H272" s="79"/>
      <c r="I272" s="41">
        <v>70.0</v>
      </c>
      <c r="J272" s="41">
        <v>50.0</v>
      </c>
      <c r="K272" s="96">
        <v>200.0</v>
      </c>
      <c r="L272" s="97">
        <v>75.0</v>
      </c>
      <c r="M272" s="90">
        <v>70.0</v>
      </c>
      <c r="N272" s="90">
        <v>65.0</v>
      </c>
      <c r="O272" s="79"/>
      <c r="P272" s="79">
        <v>0.0</v>
      </c>
      <c r="Q272" s="82"/>
      <c r="R272" s="82"/>
      <c r="S272" s="82"/>
      <c r="T272" s="82"/>
      <c r="U272" s="82"/>
      <c r="V272" s="82"/>
      <c r="W272" s="82"/>
      <c r="X272" s="82"/>
      <c r="Y272" s="82"/>
      <c r="Z272" s="82"/>
      <c r="AA272" s="82"/>
      <c r="AB272" s="79"/>
      <c r="AC272" s="79"/>
      <c r="AD272" s="79"/>
      <c r="AE272" s="79"/>
      <c r="AF272" s="79"/>
      <c r="AG272" s="79"/>
      <c r="AH272" s="79"/>
      <c r="AI272" s="79"/>
      <c r="AJ272" s="90">
        <v>0.0</v>
      </c>
      <c r="AK272" s="90">
        <v>0.0</v>
      </c>
      <c r="AL272" s="90">
        <v>0.0</v>
      </c>
      <c r="AM272" s="90">
        <v>0.0</v>
      </c>
      <c r="AN272" s="90">
        <v>0.0</v>
      </c>
      <c r="AO272" s="90">
        <v>0.0</v>
      </c>
      <c r="AP272" s="90">
        <v>0.0</v>
      </c>
      <c r="AQ272" s="90">
        <v>0.0</v>
      </c>
      <c r="AR272" s="90">
        <v>0.0</v>
      </c>
      <c r="AS272" s="90">
        <v>0.0</v>
      </c>
      <c r="AT272" s="90">
        <v>0.0</v>
      </c>
      <c r="AU272" s="90">
        <v>0.0</v>
      </c>
      <c r="AV272" s="90">
        <v>0.0</v>
      </c>
      <c r="AW272" s="90">
        <v>0.0</v>
      </c>
      <c r="AX272" s="90">
        <v>0.0</v>
      </c>
      <c r="AY272" s="97">
        <v>150.0</v>
      </c>
      <c r="AZ272" s="90">
        <v>0.0</v>
      </c>
      <c r="BA272" s="79"/>
      <c r="BB272" s="79"/>
      <c r="BC272" s="79"/>
      <c r="BD272" s="79"/>
      <c r="BE272" s="79"/>
      <c r="BF272" s="79"/>
      <c r="BG272" s="79" t="str">
        <f t="array" ref="BG272">IF($A272="","", INDEX(CS!$B$1:$B$15025,MATCH($A272,CS!$B:$B,0)+COLUMN(A$1),1))</f>
        <v>風の適用</v>
      </c>
      <c r="BH272" s="79" t="str">
        <f t="array" ref="BH272">IF($A272="","", INDEX(CS!$B$1:$B$15025,MATCH($A272,CS!$B:$B,0)+COLUMN(B$1),1))</f>
        <v>突風</v>
      </c>
      <c r="BI272" s="79" t="str">
        <f t="array" ref="BI272">IF($A272="","", INDEX(CS!$B$1:$B$15025,MATCH($A272,CS!$B:$B,0)+COLUMN(C$1),1))</f>
        <v>風の体</v>
      </c>
      <c r="BJ272" s="79" t="str">
        <f t="array" ref="BJ272">IF($A272="","", INDEX(CS!$B$1:$B$15025,MATCH($A272,CS!$B:$B,0)+COLUMN(D$1),1))</f>
        <v/>
      </c>
      <c r="BK272" s="79" t="str">
        <f t="array" ref="BK272">IF($A272="","", INDEX(CS!$B$1:$B$15025,MATCH($A272,CS!$B:$B,0)+COLUMN(E$1),1))</f>
        <v>反応</v>
      </c>
      <c r="BL272" s="79" t="str">
        <f t="array" ref="BL272">IF($A272="","", INDEX(CS!$B$1:$B$15025,MATCH($A272,CS!$B:$B,0)+COLUMN(F$1),1))</f>
        <v/>
      </c>
      <c r="BM272" s="79" t="str">
        <f t="array" ref="BM272">IF($A272="","", INDEX(CS!$B$1:$B$15025,MATCH($A272,CS!$B:$B,0)+COLUMN(G$1),1))</f>
        <v>上昇烈風</v>
      </c>
      <c r="BN272" s="79" t="str">
        <f t="array" ref="BN272">IF($A272="","", INDEX(CS!$B$1:$B$15025,MATCH($A272,CS!$B:$B,0)+COLUMN(H$1),1))</f>
        <v/>
      </c>
      <c r="BO272" s="79" t="str">
        <f t="array" ref="BO272">IF($A272="","", INDEX(CS!$B$1:$B$15025,MATCH($A272,CS!$B:$B,0)+COLUMN(I$1),1))</f>
        <v>風強化</v>
      </c>
      <c r="BP272" s="79" t="str">
        <f t="array" ref="BP272">IF($A272="","", INDEX(CS!$B$1:$B$15025,MATCH($A272,CS!$B:$B,0)+COLUMN(J$1),1))</f>
        <v>風の唾</v>
      </c>
      <c r="BQ272" s="79"/>
      <c r="BR272" s="79"/>
      <c r="BS272" s="83"/>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row>
    <row r="273" ht="18.75" customHeight="1" outlineLevel="1">
      <c r="A273" s="79" t="s">
        <v>1775</v>
      </c>
      <c r="B273" s="95"/>
      <c r="C273" s="90" t="s">
        <v>2900</v>
      </c>
      <c r="D273" s="92" t="str">
        <f t="shared" si="15"/>
        <v>755/605/150</v>
      </c>
      <c r="E273" s="93">
        <v>1.0</v>
      </c>
      <c r="F273" s="37">
        <v>75.0</v>
      </c>
      <c r="G273" s="79"/>
      <c r="H273" s="79"/>
      <c r="I273" s="41">
        <v>70.0</v>
      </c>
      <c r="J273" s="41">
        <v>50.0</v>
      </c>
      <c r="K273" s="96">
        <v>200.0</v>
      </c>
      <c r="L273" s="97">
        <v>75.0</v>
      </c>
      <c r="M273" s="90">
        <v>70.0</v>
      </c>
      <c r="N273" s="90">
        <v>65.0</v>
      </c>
      <c r="O273" s="79"/>
      <c r="P273" s="79">
        <v>0.0</v>
      </c>
      <c r="Q273" s="82"/>
      <c r="R273" s="82"/>
      <c r="S273" s="82"/>
      <c r="T273" s="82"/>
      <c r="U273" s="82"/>
      <c r="V273" s="82"/>
      <c r="W273" s="82"/>
      <c r="X273" s="82"/>
      <c r="Y273" s="82"/>
      <c r="Z273" s="82"/>
      <c r="AA273" s="82"/>
      <c r="AB273" s="79"/>
      <c r="AC273" s="79"/>
      <c r="AD273" s="79"/>
      <c r="AE273" s="79"/>
      <c r="AF273" s="79"/>
      <c r="AG273" s="79"/>
      <c r="AH273" s="79"/>
      <c r="AI273" s="79"/>
      <c r="AJ273" s="90">
        <v>0.0</v>
      </c>
      <c r="AK273" s="90">
        <v>0.0</v>
      </c>
      <c r="AL273" s="90">
        <v>0.0</v>
      </c>
      <c r="AM273" s="90">
        <v>0.0</v>
      </c>
      <c r="AN273" s="90">
        <v>0.0</v>
      </c>
      <c r="AO273" s="90">
        <v>0.0</v>
      </c>
      <c r="AP273" s="90">
        <v>0.0</v>
      </c>
      <c r="AQ273" s="90">
        <v>0.0</v>
      </c>
      <c r="AR273" s="90">
        <v>0.0</v>
      </c>
      <c r="AS273" s="90">
        <v>0.0</v>
      </c>
      <c r="AT273" s="90">
        <v>0.0</v>
      </c>
      <c r="AU273" s="90">
        <v>0.0</v>
      </c>
      <c r="AV273" s="90">
        <v>0.0</v>
      </c>
      <c r="AW273" s="90">
        <v>0.0</v>
      </c>
      <c r="AX273" s="90">
        <v>0.0</v>
      </c>
      <c r="AY273" s="97">
        <v>150.0</v>
      </c>
      <c r="AZ273" s="90">
        <v>0.0</v>
      </c>
      <c r="BA273" s="79"/>
      <c r="BB273" s="79"/>
      <c r="BC273" s="79"/>
      <c r="BD273" s="79"/>
      <c r="BE273" s="79"/>
      <c r="BF273" s="79"/>
      <c r="BG273" s="79" t="str">
        <f t="array" ref="BG273">IF($A273="","", INDEX(CS!$B$1:$B$15025,MATCH($A273,CS!$B:$B,0)+COLUMN(A$1),1))</f>
        <v>雷の適用</v>
      </c>
      <c r="BH273" s="79" t="str">
        <f t="array" ref="BH273">IF($A273="","", INDEX(CS!$B$1:$B$15025,MATCH($A273,CS!$B:$B,0)+COLUMN(B$1),1))</f>
        <v>放電</v>
      </c>
      <c r="BI273" s="79" t="str">
        <f t="array" ref="BI273">IF($A273="","", INDEX(CS!$B$1:$B$15025,MATCH($A273,CS!$B:$B,0)+COLUMN(C$1),1))</f>
        <v>雷の体</v>
      </c>
      <c r="BJ273" s="79" t="str">
        <f t="array" ref="BJ273">IF($A273="","", INDEX(CS!$B$1:$B$15025,MATCH($A273,CS!$B:$B,0)+COLUMN(D$1),1))</f>
        <v/>
      </c>
      <c r="BK273" s="79" t="str">
        <f t="array" ref="BK273">IF($A273="","", INDEX(CS!$B$1:$B$15025,MATCH($A273,CS!$B:$B,0)+COLUMN(E$1),1))</f>
        <v>反応</v>
      </c>
      <c r="BL273" s="79" t="str">
        <f t="array" ref="BL273">IF($A273="","", INDEX(CS!$B$1:$B$15025,MATCH($A273,CS!$B:$B,0)+COLUMN(F$1),1))</f>
        <v/>
      </c>
      <c r="BM273" s="79" t="str">
        <f t="array" ref="BM273">IF($A273="","", INDEX(CS!$B$1:$B$15025,MATCH($A273,CS!$B:$B,0)+COLUMN(G$1),1))</f>
        <v>電弧放電</v>
      </c>
      <c r="BN273" s="79" t="str">
        <f t="array" ref="BN273">IF($A273="","", INDEX(CS!$B$1:$B$15025,MATCH($A273,CS!$B:$B,0)+COLUMN(H$1),1))</f>
        <v/>
      </c>
      <c r="BO273" s="79" t="str">
        <f t="array" ref="BO273">IF($A273="","", INDEX(CS!$B$1:$B$15025,MATCH($A273,CS!$B:$B,0)+COLUMN(I$1),1))</f>
        <v>雷強化</v>
      </c>
      <c r="BP273" s="79" t="str">
        <f t="array" ref="BP273">IF($A273="","", INDEX(CS!$B$1:$B$15025,MATCH($A273,CS!$B:$B,0)+COLUMN(J$1),1))</f>
        <v>雷の唾</v>
      </c>
      <c r="BQ273" s="79"/>
      <c r="BR273" s="79"/>
      <c r="BS273" s="83"/>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row>
    <row r="274" ht="18.75" customHeight="1" outlineLevel="1">
      <c r="A274" s="79" t="s">
        <v>1778</v>
      </c>
      <c r="B274" s="95"/>
      <c r="C274" s="90" t="s">
        <v>2900</v>
      </c>
      <c r="D274" s="92" t="str">
        <f t="shared" si="15"/>
        <v>755/605/150</v>
      </c>
      <c r="E274" s="93">
        <v>1.0</v>
      </c>
      <c r="F274" s="37">
        <v>75.0</v>
      </c>
      <c r="G274" s="79"/>
      <c r="H274" s="79"/>
      <c r="I274" s="41">
        <v>70.0</v>
      </c>
      <c r="J274" s="41">
        <v>50.0</v>
      </c>
      <c r="K274" s="96">
        <v>200.0</v>
      </c>
      <c r="L274" s="97">
        <v>75.0</v>
      </c>
      <c r="M274" s="90">
        <v>70.0</v>
      </c>
      <c r="N274" s="90">
        <v>65.0</v>
      </c>
      <c r="O274" s="79"/>
      <c r="P274" s="79">
        <v>0.0</v>
      </c>
      <c r="Q274" s="82"/>
      <c r="R274" s="82"/>
      <c r="S274" s="82"/>
      <c r="T274" s="82"/>
      <c r="U274" s="82"/>
      <c r="V274" s="82"/>
      <c r="W274" s="82"/>
      <c r="X274" s="82"/>
      <c r="Y274" s="82"/>
      <c r="Z274" s="82"/>
      <c r="AA274" s="82"/>
      <c r="AB274" s="79"/>
      <c r="AC274" s="79"/>
      <c r="AD274" s="79"/>
      <c r="AE274" s="79"/>
      <c r="AF274" s="79"/>
      <c r="AG274" s="79"/>
      <c r="AH274" s="79"/>
      <c r="AI274" s="79"/>
      <c r="AJ274" s="90">
        <v>0.0</v>
      </c>
      <c r="AK274" s="90">
        <v>0.0</v>
      </c>
      <c r="AL274" s="90">
        <v>0.0</v>
      </c>
      <c r="AM274" s="90">
        <v>0.0</v>
      </c>
      <c r="AN274" s="90">
        <v>0.0</v>
      </c>
      <c r="AO274" s="90">
        <v>0.0</v>
      </c>
      <c r="AP274" s="90">
        <v>0.0</v>
      </c>
      <c r="AQ274" s="90">
        <v>0.0</v>
      </c>
      <c r="AR274" s="90">
        <v>0.0</v>
      </c>
      <c r="AS274" s="90">
        <v>0.0</v>
      </c>
      <c r="AT274" s="90">
        <v>0.0</v>
      </c>
      <c r="AU274" s="90">
        <v>0.0</v>
      </c>
      <c r="AV274" s="90">
        <v>0.0</v>
      </c>
      <c r="AW274" s="90">
        <v>0.0</v>
      </c>
      <c r="AX274" s="90">
        <v>0.0</v>
      </c>
      <c r="AY274" s="97">
        <v>150.0</v>
      </c>
      <c r="AZ274" s="90">
        <v>0.0</v>
      </c>
      <c r="BA274" s="79"/>
      <c r="BB274" s="79"/>
      <c r="BC274" s="79"/>
      <c r="BD274" s="79"/>
      <c r="BE274" s="79"/>
      <c r="BF274" s="79"/>
      <c r="BG274" s="79" t="str">
        <f t="array" ref="BG274">IF($A274="","", INDEX(CS!$B$1:$B$15025,MATCH($A274,CS!$B:$B,0)+COLUMN(A$1),1))</f>
        <v>毒の適用</v>
      </c>
      <c r="BH274" s="79" t="str">
        <f t="array" ref="BH274">IF($A274="","", INDEX(CS!$B$1:$B$15025,MATCH($A274,CS!$B:$B,0)+COLUMN(B$1),1))</f>
        <v>酸滴</v>
      </c>
      <c r="BI274" s="79" t="str">
        <f t="array" ref="BI274">IF($A274="","", INDEX(CS!$B$1:$B$15025,MATCH($A274,CS!$B:$B,0)+COLUMN(C$1),1))</f>
        <v>毒の体</v>
      </c>
      <c r="BJ274" s="79" t="str">
        <f t="array" ref="BJ274">IF($A274="","", INDEX(CS!$B$1:$B$15025,MATCH($A274,CS!$B:$B,0)+COLUMN(D$1),1))</f>
        <v/>
      </c>
      <c r="BK274" s="79" t="str">
        <f t="array" ref="BK274">IF($A274="","", INDEX(CS!$B$1:$B$15025,MATCH($A274,CS!$B:$B,0)+COLUMN(E$1),1))</f>
        <v>反応</v>
      </c>
      <c r="BL274" s="79" t="str">
        <f t="array" ref="BL274">IF($A274="","", INDEX(CS!$B$1:$B$15025,MATCH($A274,CS!$B:$B,0)+COLUMN(F$1),1))</f>
        <v/>
      </c>
      <c r="BM274" s="79" t="str">
        <f t="array" ref="BM274">IF($A274="","", INDEX(CS!$B$1:$B$15025,MATCH($A274,CS!$B:$B,0)+COLUMN(G$1),1))</f>
        <v>毒霧</v>
      </c>
      <c r="BN274" s="79" t="str">
        <f t="array" ref="BN274">IF($A274="","", INDEX(CS!$B$1:$B$15025,MATCH($A274,CS!$B:$B,0)+COLUMN(H$1),1))</f>
        <v/>
      </c>
      <c r="BO274" s="79" t="str">
        <f t="array" ref="BO274">IF($A274="","", INDEX(CS!$B$1:$B$15025,MATCH($A274,CS!$B:$B,0)+COLUMN(I$1),1))</f>
        <v>毒強化</v>
      </c>
      <c r="BP274" s="79" t="str">
        <f t="array" ref="BP274">IF($A274="","", INDEX(CS!$B$1:$B$15025,MATCH($A274,CS!$B:$B,0)+COLUMN(J$1),1))</f>
        <v>毒の唾</v>
      </c>
      <c r="BQ274" s="79"/>
      <c r="BR274" s="79"/>
      <c r="BS274" s="83"/>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row>
    <row r="275" ht="18.75" customHeight="1" outlineLevel="1">
      <c r="A275" s="79" t="s">
        <v>1781</v>
      </c>
      <c r="B275" s="95"/>
      <c r="C275" s="90" t="s">
        <v>2900</v>
      </c>
      <c r="D275" s="92" t="str">
        <f t="shared" si="15"/>
        <v>755/605/150</v>
      </c>
      <c r="E275" s="93">
        <v>1.0</v>
      </c>
      <c r="F275" s="37">
        <v>75.0</v>
      </c>
      <c r="G275" s="79"/>
      <c r="H275" s="79"/>
      <c r="I275" s="41">
        <v>70.0</v>
      </c>
      <c r="J275" s="41">
        <v>50.0</v>
      </c>
      <c r="K275" s="96">
        <v>200.0</v>
      </c>
      <c r="L275" s="97">
        <v>75.0</v>
      </c>
      <c r="M275" s="90">
        <v>70.0</v>
      </c>
      <c r="N275" s="90">
        <v>65.0</v>
      </c>
      <c r="O275" s="79"/>
      <c r="P275" s="79">
        <v>0.0</v>
      </c>
      <c r="Q275" s="82"/>
      <c r="R275" s="82"/>
      <c r="S275" s="82"/>
      <c r="T275" s="82"/>
      <c r="U275" s="82"/>
      <c r="V275" s="82"/>
      <c r="W275" s="82"/>
      <c r="X275" s="82"/>
      <c r="Y275" s="82"/>
      <c r="Z275" s="82"/>
      <c r="AA275" s="82"/>
      <c r="AB275" s="79"/>
      <c r="AC275" s="79"/>
      <c r="AD275" s="79"/>
      <c r="AE275" s="79"/>
      <c r="AF275" s="79"/>
      <c r="AG275" s="79"/>
      <c r="AH275" s="79"/>
      <c r="AI275" s="79"/>
      <c r="AJ275" s="90">
        <v>0.0</v>
      </c>
      <c r="AK275" s="90">
        <v>0.0</v>
      </c>
      <c r="AL275" s="90">
        <v>0.0</v>
      </c>
      <c r="AM275" s="90">
        <v>0.0</v>
      </c>
      <c r="AN275" s="90">
        <v>0.0</v>
      </c>
      <c r="AO275" s="90">
        <v>0.0</v>
      </c>
      <c r="AP275" s="90">
        <v>0.0</v>
      </c>
      <c r="AQ275" s="90">
        <v>0.0</v>
      </c>
      <c r="AR275" s="90">
        <v>0.0</v>
      </c>
      <c r="AS275" s="90">
        <v>0.0</v>
      </c>
      <c r="AT275" s="90">
        <v>0.0</v>
      </c>
      <c r="AU275" s="90">
        <v>0.0</v>
      </c>
      <c r="AV275" s="90">
        <v>0.0</v>
      </c>
      <c r="AW275" s="90">
        <v>0.0</v>
      </c>
      <c r="AX275" s="90">
        <v>0.0</v>
      </c>
      <c r="AY275" s="97">
        <v>150.0</v>
      </c>
      <c r="AZ275" s="90">
        <v>0.0</v>
      </c>
      <c r="BA275" s="79"/>
      <c r="BB275" s="79"/>
      <c r="BC275" s="79"/>
      <c r="BD275" s="79"/>
      <c r="BE275" s="79"/>
      <c r="BF275" s="79"/>
      <c r="BG275" s="79" t="str">
        <f t="array" ref="BG275">IF($A275="","", INDEX(CS!$B$1:$B$15025,MATCH($A275,CS!$B:$B,0)+COLUMN(A$1),1))</f>
        <v>水の適用</v>
      </c>
      <c r="BH275" s="79" t="str">
        <f t="array" ref="BH275">IF($A275="","", INDEX(CS!$B$1:$B$15025,MATCH($A275,CS!$B:$B,0)+COLUMN(B$1),1))</f>
        <v>水力</v>
      </c>
      <c r="BI275" s="79" t="str">
        <f t="array" ref="BI275">IF($A275="","", INDEX(CS!$B$1:$B$15025,MATCH($A275,CS!$B:$B,0)+COLUMN(C$1),1))</f>
        <v>水の体</v>
      </c>
      <c r="BJ275" s="79" t="str">
        <f t="array" ref="BJ275">IF($A275="","", INDEX(CS!$B$1:$B$15025,MATCH($A275,CS!$B:$B,0)+COLUMN(D$1),1))</f>
        <v/>
      </c>
      <c r="BK275" s="79" t="str">
        <f t="array" ref="BK275">IF($A275="","", INDEX(CS!$B$1:$B$15025,MATCH($A275,CS!$B:$B,0)+COLUMN(E$1),1))</f>
        <v>反応</v>
      </c>
      <c r="BL275" s="79" t="str">
        <f t="array" ref="BL275">IF($A275="","", INDEX(CS!$B$1:$B$15025,MATCH($A275,CS!$B:$B,0)+COLUMN(F$1),1))</f>
        <v/>
      </c>
      <c r="BM275" s="79" t="str">
        <f t="array" ref="BM275">IF($A275="","", INDEX(CS!$B$1:$B$15025,MATCH($A275,CS!$B:$B,0)+COLUMN(G$1),1))</f>
        <v>川の鞭</v>
      </c>
      <c r="BN275" s="79" t="str">
        <f t="array" ref="BN275">IF($A275="","", INDEX(CS!$B$1:$B$15025,MATCH($A275,CS!$B:$B,0)+COLUMN(H$1),1))</f>
        <v/>
      </c>
      <c r="BO275" s="79" t="str">
        <f t="array" ref="BO275">IF($A275="","", INDEX(CS!$B$1:$B$15025,MATCH($A275,CS!$B:$B,0)+COLUMN(I$1),1))</f>
        <v>水強化</v>
      </c>
      <c r="BP275" s="79" t="str">
        <f t="array" ref="BP275">IF($A275="","", INDEX(CS!$B$1:$B$15025,MATCH($A275,CS!$B:$B,0)+COLUMN(J$1),1))</f>
        <v>水の唾</v>
      </c>
      <c r="BQ275" s="79"/>
      <c r="BR275" s="79"/>
      <c r="BS275" s="83"/>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row>
    <row r="276" ht="18.75" customHeight="1" outlineLevel="1">
      <c r="A276" s="97" t="s">
        <v>1788</v>
      </c>
      <c r="B276" s="95"/>
      <c r="C276" s="90" t="s">
        <v>2900</v>
      </c>
      <c r="D276" s="92" t="str">
        <f t="shared" si="15"/>
        <v>755/605/150</v>
      </c>
      <c r="E276" s="93">
        <v>1.0</v>
      </c>
      <c r="F276" s="37">
        <v>75.0</v>
      </c>
      <c r="G276" s="79"/>
      <c r="H276" s="79"/>
      <c r="I276" s="41">
        <v>70.0</v>
      </c>
      <c r="J276" s="41">
        <v>50.0</v>
      </c>
      <c r="K276" s="96">
        <v>200.0</v>
      </c>
      <c r="L276" s="97">
        <v>75.0</v>
      </c>
      <c r="M276" s="90">
        <v>70.0</v>
      </c>
      <c r="N276" s="90">
        <v>65.0</v>
      </c>
      <c r="O276" s="79"/>
      <c r="P276" s="79">
        <v>0.0</v>
      </c>
      <c r="Q276" s="82"/>
      <c r="R276" s="82"/>
      <c r="S276" s="82"/>
      <c r="T276" s="82"/>
      <c r="U276" s="82"/>
      <c r="V276" s="82"/>
      <c r="W276" s="82"/>
      <c r="X276" s="82"/>
      <c r="Y276" s="82"/>
      <c r="Z276" s="82"/>
      <c r="AA276" s="82"/>
      <c r="AB276" s="79"/>
      <c r="AC276" s="79"/>
      <c r="AD276" s="79"/>
      <c r="AE276" s="79"/>
      <c r="AF276" s="79"/>
      <c r="AG276" s="79"/>
      <c r="AH276" s="79"/>
      <c r="AI276" s="79"/>
      <c r="AJ276" s="90">
        <v>0.0</v>
      </c>
      <c r="AK276" s="90">
        <v>0.0</v>
      </c>
      <c r="AL276" s="90">
        <v>0.0</v>
      </c>
      <c r="AM276" s="90">
        <v>0.0</v>
      </c>
      <c r="AN276" s="90">
        <v>0.0</v>
      </c>
      <c r="AO276" s="90">
        <v>0.0</v>
      </c>
      <c r="AP276" s="90">
        <v>0.0</v>
      </c>
      <c r="AQ276" s="90">
        <v>0.0</v>
      </c>
      <c r="AR276" s="90">
        <v>0.0</v>
      </c>
      <c r="AS276" s="90">
        <v>0.0</v>
      </c>
      <c r="AT276" s="90">
        <v>0.0</v>
      </c>
      <c r="AU276" s="90">
        <v>0.0</v>
      </c>
      <c r="AV276" s="90">
        <v>0.0</v>
      </c>
      <c r="AW276" s="90">
        <v>0.0</v>
      </c>
      <c r="AX276" s="90">
        <v>0.0</v>
      </c>
      <c r="AY276" s="97">
        <v>150.0</v>
      </c>
      <c r="AZ276" s="90">
        <v>0.0</v>
      </c>
      <c r="BA276" s="79"/>
      <c r="BB276" s="79"/>
      <c r="BC276" s="79"/>
      <c r="BD276" s="79"/>
      <c r="BE276" s="79"/>
      <c r="BF276" s="79"/>
      <c r="BG276" s="79" t="str">
        <f t="array" ref="BG276">IF($A276="","", INDEX(CS!$B$1:$B$15025,MATCH($A276,CS!$B:$B,0)+COLUMN(A$1),1))</f>
        <v>石の適用</v>
      </c>
      <c r="BH276" s="79" t="str">
        <f t="array" ref="BH276">IF($A276="","", INDEX(CS!$B$1:$B$15025,MATCH($A276,CS!$B:$B,0)+COLUMN(B$1),1))</f>
        <v>魔法の石</v>
      </c>
      <c r="BI276" s="79" t="str">
        <f t="array" ref="BI276">IF($A276="","", INDEX(CS!$B$1:$B$15025,MATCH($A276,CS!$B:$B,0)+COLUMN(C$1),1))</f>
        <v>石の体</v>
      </c>
      <c r="BJ276" s="79" t="str">
        <f t="array" ref="BJ276">IF($A276="","", INDEX(CS!$B$1:$B$15025,MATCH($A276,CS!$B:$B,0)+COLUMN(D$1),1))</f>
        <v/>
      </c>
      <c r="BK276" s="79" t="str">
        <f t="array" ref="BK276">IF($A276="","", INDEX(CS!$B$1:$B$15025,MATCH($A276,CS!$B:$B,0)+COLUMN(E$1),1))</f>
        <v>反応</v>
      </c>
      <c r="BL276" s="79" t="str">
        <f t="array" ref="BL276">IF($A276="","", INDEX(CS!$B$1:$B$15025,MATCH($A276,CS!$B:$B,0)+COLUMN(F$1),1))</f>
        <v/>
      </c>
      <c r="BM276" s="79" t="str">
        <f t="array" ref="BM276">IF($A276="","", INDEX(CS!$B$1:$B$15025,MATCH($A276,CS!$B:$B,0)+COLUMN(G$1),1))</f>
        <v>水晶片</v>
      </c>
      <c r="BN276" s="79" t="str">
        <f t="array" ref="BN276">IF($A276="","", INDEX(CS!$B$1:$B$15025,MATCH($A276,CS!$B:$B,0)+COLUMN(H$1),1))</f>
        <v/>
      </c>
      <c r="BO276" s="79" t="str">
        <f t="array" ref="BO276">IF($A276="","", INDEX(CS!$B$1:$B$15025,MATCH($A276,CS!$B:$B,0)+COLUMN(I$1),1))</f>
        <v>地強化</v>
      </c>
      <c r="BP276" s="79" t="str">
        <f t="array" ref="BP276">IF($A276="","", INDEX(CS!$B$1:$B$15025,MATCH($A276,CS!$B:$B,0)+COLUMN(J$1),1))</f>
        <v>地の吐息</v>
      </c>
      <c r="BQ276" s="79"/>
      <c r="BR276" s="79"/>
      <c r="BS276" s="83"/>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row>
    <row r="277" ht="18.75" customHeight="1" outlineLevel="1">
      <c r="A277" s="97" t="s">
        <v>1797</v>
      </c>
      <c r="B277" s="95"/>
      <c r="C277" s="90" t="s">
        <v>2900</v>
      </c>
      <c r="D277" s="92" t="str">
        <f t="shared" si="15"/>
        <v>755/605/150</v>
      </c>
      <c r="E277" s="93">
        <v>1.0</v>
      </c>
      <c r="F277" s="37">
        <v>75.0</v>
      </c>
      <c r="G277" s="79"/>
      <c r="H277" s="79"/>
      <c r="I277" s="41">
        <v>70.0</v>
      </c>
      <c r="J277" s="41">
        <v>50.0</v>
      </c>
      <c r="K277" s="96">
        <v>200.0</v>
      </c>
      <c r="L277" s="97">
        <v>75.0</v>
      </c>
      <c r="M277" s="90">
        <v>70.0</v>
      </c>
      <c r="N277" s="90">
        <v>65.0</v>
      </c>
      <c r="O277" s="79"/>
      <c r="P277" s="79">
        <v>0.0</v>
      </c>
      <c r="Q277" s="82"/>
      <c r="R277" s="82"/>
      <c r="S277" s="82"/>
      <c r="T277" s="82"/>
      <c r="U277" s="82"/>
      <c r="V277" s="82"/>
      <c r="W277" s="82"/>
      <c r="X277" s="82"/>
      <c r="Y277" s="82"/>
      <c r="Z277" s="82"/>
      <c r="AA277" s="82"/>
      <c r="AB277" s="79"/>
      <c r="AC277" s="79"/>
      <c r="AD277" s="79"/>
      <c r="AE277" s="79"/>
      <c r="AF277" s="79"/>
      <c r="AG277" s="79"/>
      <c r="AH277" s="79"/>
      <c r="AI277" s="79"/>
      <c r="AJ277" s="90">
        <v>0.0</v>
      </c>
      <c r="AK277" s="90">
        <v>0.0</v>
      </c>
      <c r="AL277" s="90">
        <v>0.0</v>
      </c>
      <c r="AM277" s="90">
        <v>0.0</v>
      </c>
      <c r="AN277" s="90">
        <v>0.0</v>
      </c>
      <c r="AO277" s="90">
        <v>0.0</v>
      </c>
      <c r="AP277" s="90">
        <v>0.0</v>
      </c>
      <c r="AQ277" s="90">
        <v>0.0</v>
      </c>
      <c r="AR277" s="90">
        <v>0.0</v>
      </c>
      <c r="AS277" s="90">
        <v>0.0</v>
      </c>
      <c r="AT277" s="90">
        <v>0.0</v>
      </c>
      <c r="AU277" s="90">
        <v>0.0</v>
      </c>
      <c r="AV277" s="90">
        <v>0.0</v>
      </c>
      <c r="AW277" s="90">
        <v>0.0</v>
      </c>
      <c r="AX277" s="90">
        <v>0.0</v>
      </c>
      <c r="AY277" s="97">
        <v>150.0</v>
      </c>
      <c r="AZ277" s="90">
        <v>0.0</v>
      </c>
      <c r="BA277" s="79"/>
      <c r="BB277" s="79"/>
      <c r="BC277" s="79"/>
      <c r="BD277" s="79"/>
      <c r="BE277" s="79"/>
      <c r="BF277" s="79"/>
      <c r="BG277" s="79" t="str">
        <f t="array" ref="BG277">IF($A277="","", INDEX(CS!$B$1:$B$15025,MATCH($A277,CS!$B:$B,0)+COLUMN(A$1),1))</f>
        <v>太陽の適用</v>
      </c>
      <c r="BH277" s="79" t="str">
        <f t="array" ref="BH277">IF($A277="","", INDEX(CS!$B$1:$B$15025,MATCH($A277,CS!$B:$B,0)+COLUMN(B$1),1))</f>
        <v>光線</v>
      </c>
      <c r="BI277" s="79" t="str">
        <f t="array" ref="BI277">IF($A277="","", INDEX(CS!$B$1:$B$15025,MATCH($A277,CS!$B:$B,0)+COLUMN(C$1),1))</f>
        <v>太陽の体</v>
      </c>
      <c r="BJ277" s="79" t="str">
        <f t="array" ref="BJ277">IF($A277="","", INDEX(CS!$B$1:$B$15025,MATCH($A277,CS!$B:$B,0)+COLUMN(D$1),1))</f>
        <v/>
      </c>
      <c r="BK277" s="79" t="str">
        <f t="array" ref="BK277">IF($A277="","", INDEX(CS!$B$1:$B$15025,MATCH($A277,CS!$B:$B,0)+COLUMN(E$1),1))</f>
        <v>反応</v>
      </c>
      <c r="BL277" s="79" t="str">
        <f t="array" ref="BL277">IF($A277="","", INDEX(CS!$B$1:$B$15025,MATCH($A277,CS!$B:$B,0)+COLUMN(F$1),1))</f>
        <v/>
      </c>
      <c r="BM277" s="79" t="str">
        <f t="array" ref="BM277">IF($A277="","", INDEX(CS!$B$1:$B$15025,MATCH($A277,CS!$B:$B,0)+COLUMN(G$1),1))</f>
        <v>火球</v>
      </c>
      <c r="BN277" s="79" t="str">
        <f t="array" ref="BN277">IF($A277="","", INDEX(CS!$B$1:$B$15025,MATCH($A277,CS!$B:$B,0)+COLUMN(H$1),1))</f>
        <v/>
      </c>
      <c r="BO277" s="79" t="str">
        <f t="array" ref="BO277">IF($A277="","", INDEX(CS!$B$1:$B$15025,MATCH($A277,CS!$B:$B,0)+COLUMN(I$1),1))</f>
        <v>太陽強化</v>
      </c>
      <c r="BP277" s="79" t="str">
        <f t="array" ref="BP277">IF($A277="","", INDEX(CS!$B$1:$B$15025,MATCH($A277,CS!$B:$B,0)+COLUMN(J$1),1))</f>
        <v>太陽の吐息</v>
      </c>
      <c r="BQ277" s="79"/>
      <c r="BR277" s="79"/>
      <c r="BS277" s="83"/>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row>
    <row r="278" ht="18.75" customHeight="1" outlineLevel="1">
      <c r="A278" s="97" t="s">
        <v>1812</v>
      </c>
      <c r="B278" s="95"/>
      <c r="C278" s="90" t="s">
        <v>2900</v>
      </c>
      <c r="D278" s="92" t="str">
        <f t="shared" si="15"/>
        <v>755/605/150</v>
      </c>
      <c r="E278" s="93">
        <v>1.0</v>
      </c>
      <c r="F278" s="37">
        <v>75.0</v>
      </c>
      <c r="G278" s="79"/>
      <c r="H278" s="79"/>
      <c r="I278" s="41">
        <v>70.0</v>
      </c>
      <c r="J278" s="41">
        <v>50.0</v>
      </c>
      <c r="K278" s="96">
        <v>200.0</v>
      </c>
      <c r="L278" s="97">
        <v>75.0</v>
      </c>
      <c r="M278" s="90">
        <v>70.0</v>
      </c>
      <c r="N278" s="90">
        <v>65.0</v>
      </c>
      <c r="O278" s="79"/>
      <c r="P278" s="79">
        <v>0.0</v>
      </c>
      <c r="Q278" s="82"/>
      <c r="R278" s="82"/>
      <c r="S278" s="82"/>
      <c r="T278" s="82"/>
      <c r="U278" s="82"/>
      <c r="V278" s="82"/>
      <c r="W278" s="82"/>
      <c r="X278" s="82"/>
      <c r="Y278" s="82"/>
      <c r="Z278" s="82"/>
      <c r="AA278" s="82"/>
      <c r="AB278" s="79"/>
      <c r="AC278" s="79"/>
      <c r="AD278" s="79"/>
      <c r="AE278" s="79"/>
      <c r="AF278" s="79"/>
      <c r="AG278" s="79"/>
      <c r="AH278" s="79"/>
      <c r="AI278" s="79"/>
      <c r="AJ278" s="90">
        <v>0.0</v>
      </c>
      <c r="AK278" s="90">
        <v>0.0</v>
      </c>
      <c r="AL278" s="90">
        <v>0.0</v>
      </c>
      <c r="AM278" s="90">
        <v>0.0</v>
      </c>
      <c r="AN278" s="90">
        <v>0.0</v>
      </c>
      <c r="AO278" s="90">
        <v>0.0</v>
      </c>
      <c r="AP278" s="90">
        <v>0.0</v>
      </c>
      <c r="AQ278" s="90">
        <v>0.0</v>
      </c>
      <c r="AR278" s="90">
        <v>0.0</v>
      </c>
      <c r="AS278" s="90">
        <v>0.0</v>
      </c>
      <c r="AT278" s="90">
        <v>0.0</v>
      </c>
      <c r="AU278" s="90">
        <v>0.0</v>
      </c>
      <c r="AV278" s="90">
        <v>0.0</v>
      </c>
      <c r="AW278" s="90">
        <v>0.0</v>
      </c>
      <c r="AX278" s="90">
        <v>0.0</v>
      </c>
      <c r="AY278" s="97">
        <v>150.0</v>
      </c>
      <c r="AZ278" s="90">
        <v>0.0</v>
      </c>
      <c r="BA278" s="79"/>
      <c r="BB278" s="79"/>
      <c r="BC278" s="79"/>
      <c r="BD278" s="79"/>
      <c r="BE278" s="79"/>
      <c r="BF278" s="79"/>
      <c r="BG278" s="79" t="str">
        <f t="array" ref="BG278">IF($A278="","", INDEX(CS!$B$1:$B$15025,MATCH($A278,CS!$B:$B,0)+COLUMN(A$1),1))</f>
        <v>月の適用</v>
      </c>
      <c r="BH278" s="79" t="str">
        <f t="array" ref="BH278">IF($A278="","", INDEX(CS!$B$1:$B$15025,MATCH($A278,CS!$B:$B,0)+COLUMN(B$1),1))</f>
        <v>冷気の光線</v>
      </c>
      <c r="BI278" s="79" t="str">
        <f t="array" ref="BI278">IF($A278="","", INDEX(CS!$B$1:$B$15025,MATCH($A278,CS!$B:$B,0)+COLUMN(C$1),1))</f>
        <v>月の体</v>
      </c>
      <c r="BJ278" s="79" t="str">
        <f t="array" ref="BJ278">IF($A278="","", INDEX(CS!$B$1:$B$15025,MATCH($A278,CS!$B:$B,0)+COLUMN(D$1),1))</f>
        <v/>
      </c>
      <c r="BK278" s="79" t="str">
        <f t="array" ref="BK278">IF($A278="","", INDEX(CS!$B$1:$B$15025,MATCH($A278,CS!$B:$B,0)+COLUMN(E$1),1))</f>
        <v>反応</v>
      </c>
      <c r="BL278" s="79" t="str">
        <f t="array" ref="BL278">IF($A278="","", INDEX(CS!$B$1:$B$15025,MATCH($A278,CS!$B:$B,0)+COLUMN(F$1),1))</f>
        <v/>
      </c>
      <c r="BM278" s="79" t="str">
        <f t="array" ref="BM278">IF($A278="","", INDEX(CS!$B$1:$B$15025,MATCH($A278,CS!$B:$B,0)+COLUMN(G$1),1))</f>
        <v>光線</v>
      </c>
      <c r="BN278" s="79" t="str">
        <f t="array" ref="BN278">IF($A278="","", INDEX(CS!$B$1:$B$15025,MATCH($A278,CS!$B:$B,0)+COLUMN(H$1),1))</f>
        <v/>
      </c>
      <c r="BO278" s="79" t="str">
        <f t="array" ref="BO278">IF($A278="","", INDEX(CS!$B$1:$B$15025,MATCH($A278,CS!$B:$B,0)+COLUMN(I$1),1))</f>
        <v>月光強化</v>
      </c>
      <c r="BP278" s="79" t="str">
        <f t="array" ref="BP278">IF($A278="","", INDEX(CS!$B$1:$B$15025,MATCH($A278,CS!$B:$B,0)+COLUMN(J$1),1))</f>
        <v>月の吐息</v>
      </c>
      <c r="BQ278" s="79"/>
      <c r="BR278" s="79"/>
      <c r="BS278" s="83"/>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row>
    <row r="279" ht="18.75" customHeight="1" outlineLevel="1">
      <c r="A279" s="79"/>
      <c r="B279" s="85" t="s">
        <v>2911</v>
      </c>
      <c r="C279" s="90" t="s">
        <v>2900</v>
      </c>
      <c r="D279" s="92"/>
      <c r="E279" s="93"/>
      <c r="F279" s="90"/>
      <c r="G279" s="79"/>
      <c r="H279" s="79"/>
      <c r="I279" s="90"/>
      <c r="J279" s="90"/>
      <c r="K279" s="94"/>
      <c r="L279" s="90"/>
      <c r="M279" s="90"/>
      <c r="N279" s="90"/>
      <c r="O279" s="79"/>
      <c r="P279" s="79" t="s">
        <v>29</v>
      </c>
      <c r="Q279" s="82"/>
      <c r="R279" s="82"/>
      <c r="S279" s="82"/>
      <c r="T279" s="82"/>
      <c r="U279" s="82"/>
      <c r="V279" s="82"/>
      <c r="W279" s="82"/>
      <c r="X279" s="82"/>
      <c r="Y279" s="82"/>
      <c r="Z279" s="82"/>
      <c r="AA279" s="82"/>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79"/>
      <c r="AZ279" s="79"/>
      <c r="BA279" s="79"/>
      <c r="BB279" s="79"/>
      <c r="BC279" s="79"/>
      <c r="BD279" s="79"/>
      <c r="BE279" s="79"/>
      <c r="BF279" s="79"/>
      <c r="BG279" s="79" t="str">
        <f t="array" ref="BG279">IF($A279="","", INDEX(CS!$B$1:$B$15025,MATCH($A279,CS!$B:$B,0)+COLUMN(A$1),1))</f>
        <v/>
      </c>
      <c r="BH279" s="79" t="str">
        <f t="array" ref="BH279">IF($A279="","", INDEX(CS!$B$1:$B$15025,MATCH($A279,CS!$B:$B,0)+COLUMN(B$1),1))</f>
        <v/>
      </c>
      <c r="BI279" s="79" t="str">
        <f t="array" ref="BI279">IF($A279="","", INDEX(CS!$B$1:$B$15025,MATCH($A279,CS!$B:$B,0)+COLUMN(C$1),1))</f>
        <v/>
      </c>
      <c r="BJ279" s="79" t="str">
        <f t="array" ref="BJ279">IF($A279="","", INDEX(CS!$B$1:$B$15025,MATCH($A279,CS!$B:$B,0)+COLUMN(D$1),1))</f>
        <v/>
      </c>
      <c r="BK279" s="79" t="str">
        <f t="array" ref="BK279">IF($A279="","", INDEX(CS!$B$1:$B$15025,MATCH($A279,CS!$B:$B,0)+COLUMN(E$1),1))</f>
        <v/>
      </c>
      <c r="BL279" s="79" t="str">
        <f t="array" ref="BL279">IF($A279="","", INDEX(CS!$B$1:$B$15025,MATCH($A279,CS!$B:$B,0)+COLUMN(F$1),1))</f>
        <v/>
      </c>
      <c r="BM279" s="79" t="str">
        <f t="array" ref="BM279">IF($A279="","", INDEX(CS!$B$1:$B$15025,MATCH($A279,CS!$B:$B,0)+COLUMN(G$1),1))</f>
        <v/>
      </c>
      <c r="BN279" s="79" t="str">
        <f t="array" ref="BN279">IF($A279="","", INDEX(CS!$B$1:$B$15025,MATCH($A279,CS!$B:$B,0)+COLUMN(H$1),1))</f>
        <v/>
      </c>
      <c r="BO279" s="79" t="str">
        <f t="array" ref="BO279">IF($A279="","", INDEX(CS!$B$1:$B$15025,MATCH($A279,CS!$B:$B,0)+COLUMN(I$1),1))</f>
        <v/>
      </c>
      <c r="BP279" s="79" t="str">
        <f t="array" ref="BP279">IF($A279="","", INDEX(CS!$B$1:$B$15025,MATCH($A279,CS!$B:$B,0)+COLUMN(J$1),1))</f>
        <v/>
      </c>
      <c r="BQ279" s="79"/>
      <c r="BR279" s="79"/>
      <c r="BS279" s="83"/>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row>
    <row r="280" ht="18.75" customHeight="1" outlineLevel="1">
      <c r="A280" s="90" t="s">
        <v>1820</v>
      </c>
      <c r="B280" s="95"/>
      <c r="C280" s="90" t="s">
        <v>2900</v>
      </c>
      <c r="D280" s="92" t="str">
        <f t="shared" ref="D280:D284" si="16">SUM(AJ280:AZ280,F280:N280)&amp;"/"&amp;SUM(F280:N280)&amp;"/"&amp;SUM(AJ280:AZ280)</f>
        <v>880/630/250</v>
      </c>
      <c r="E280" s="93">
        <v>1.0</v>
      </c>
      <c r="F280" s="39">
        <v>100.0</v>
      </c>
      <c r="G280" s="79"/>
      <c r="H280" s="79"/>
      <c r="I280" s="41">
        <v>90.0</v>
      </c>
      <c r="J280" s="41">
        <v>85.0</v>
      </c>
      <c r="K280" s="96">
        <v>100.0</v>
      </c>
      <c r="L280" s="97">
        <v>85.0</v>
      </c>
      <c r="M280" s="90">
        <v>85.0</v>
      </c>
      <c r="N280" s="90">
        <v>85.0</v>
      </c>
      <c r="O280" s="79"/>
      <c r="P280" s="79">
        <v>0.0</v>
      </c>
      <c r="Q280" s="82"/>
      <c r="R280" s="82"/>
      <c r="S280" s="82"/>
      <c r="T280" s="82"/>
      <c r="U280" s="82"/>
      <c r="V280" s="82"/>
      <c r="W280" s="82"/>
      <c r="X280" s="82"/>
      <c r="Y280" s="82"/>
      <c r="Z280" s="82"/>
      <c r="AA280" s="82"/>
      <c r="AB280" s="79"/>
      <c r="AC280" s="79"/>
      <c r="AD280" s="79"/>
      <c r="AE280" s="79"/>
      <c r="AF280" s="79"/>
      <c r="AG280" s="79"/>
      <c r="AH280" s="79"/>
      <c r="AI280" s="79"/>
      <c r="AJ280" s="90">
        <v>0.0</v>
      </c>
      <c r="AK280" s="90">
        <v>25.0</v>
      </c>
      <c r="AL280" s="90">
        <v>50.0</v>
      </c>
      <c r="AM280" s="90">
        <v>50.0</v>
      </c>
      <c r="AN280" s="90">
        <v>0.0</v>
      </c>
      <c r="AO280" s="90">
        <v>0.0</v>
      </c>
      <c r="AP280" s="90">
        <v>0.0</v>
      </c>
      <c r="AQ280" s="90">
        <v>25.0</v>
      </c>
      <c r="AR280" s="90">
        <v>50.0</v>
      </c>
      <c r="AS280" s="90">
        <v>0.0</v>
      </c>
      <c r="AT280" s="90">
        <v>0.0</v>
      </c>
      <c r="AU280" s="90">
        <v>0.0</v>
      </c>
      <c r="AV280" s="90">
        <v>0.0</v>
      </c>
      <c r="AW280" s="90">
        <v>0.0</v>
      </c>
      <c r="AX280" s="90">
        <v>0.0</v>
      </c>
      <c r="AY280" s="97">
        <v>50.0</v>
      </c>
      <c r="AZ280" s="90">
        <v>0.0</v>
      </c>
      <c r="BA280" s="79"/>
      <c r="BB280" s="79"/>
      <c r="BC280" s="79"/>
      <c r="BD280" s="79"/>
      <c r="BE280" s="79"/>
      <c r="BF280" s="79"/>
      <c r="BG280" s="79" t="str">
        <f t="array" ref="BG280">IF($A280="","", INDEX(CS!$B$1:$B$15025,MATCH($A280,CS!$B:$B,0)+COLUMN(A$1),1))</f>
        <v>幻獣の肉体</v>
      </c>
      <c r="BH280" s="79" t="str">
        <f t="array" ref="BH280">IF($A280="","", INDEX(CS!$B$1:$B$15025,MATCH($A280,CS!$B:$B,0)+COLUMN(B$1),1))</f>
        <v/>
      </c>
      <c r="BI280" s="79" t="str">
        <f t="array" ref="BI280">IF($A280="","", INDEX(CS!$B$1:$B$15025,MATCH($A280,CS!$B:$B,0)+COLUMN(C$1),1))</f>
        <v>再生</v>
      </c>
      <c r="BJ280" s="79" t="str">
        <f t="array" ref="BJ280">IF($A280="","", INDEX(CS!$B$1:$B$15025,MATCH($A280,CS!$B:$B,0)+COLUMN(D$1),1))</f>
        <v/>
      </c>
      <c r="BK280" s="79" t="str">
        <f t="array" ref="BK280">IF($A280="","", INDEX(CS!$B$1:$B$15025,MATCH($A280,CS!$B:$B,0)+COLUMN(E$1),1))</f>
        <v>超常感覚</v>
      </c>
      <c r="BL280" s="79" t="str">
        <f t="array" ref="BL280">IF($A280="","", INDEX(CS!$B$1:$B$15025,MATCH($A280,CS!$B:$B,0)+COLUMN(F$1),1))</f>
        <v/>
      </c>
      <c r="BM280" s="79" t="str">
        <f t="array" ref="BM280">IF($A280="","", INDEX(CS!$B$1:$B$15025,MATCH($A280,CS!$B:$B,0)+COLUMN(G$1),1))</f>
        <v>超常移動</v>
      </c>
      <c r="BN280" s="79" t="str">
        <f t="array" ref="BN280">IF($A280="","", INDEX(CS!$B$1:$B$15025,MATCH($A280,CS!$B:$B,0)+COLUMN(H$1),1))</f>
        <v/>
      </c>
      <c r="BO280" s="79" t="str">
        <f t="array" ref="BO280">IF($A280="","", INDEX(CS!$B$1:$B$15025,MATCH($A280,CS!$B:$B,0)+COLUMN(I$1),1))</f>
        <v>幻獣の生命力</v>
      </c>
      <c r="BP280" s="79" t="str">
        <f t="array" ref="BP280">IF($A280="","", INDEX(CS!$B$1:$B$15025,MATCH($A280,CS!$B:$B,0)+COLUMN(J$1),1))</f>
        <v>幻獣覚醒</v>
      </c>
      <c r="BQ280" s="79"/>
      <c r="BR280" s="79"/>
      <c r="BS280" s="83"/>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row>
    <row r="281" ht="18.75" customHeight="1" outlineLevel="1">
      <c r="A281" s="90" t="s">
        <v>1838</v>
      </c>
      <c r="B281" s="95"/>
      <c r="C281" s="90" t="s">
        <v>2900</v>
      </c>
      <c r="D281" s="92" t="str">
        <f t="shared" si="16"/>
        <v>810/610/200</v>
      </c>
      <c r="E281" s="93">
        <v>1.0</v>
      </c>
      <c r="F281" s="39">
        <v>95.0</v>
      </c>
      <c r="G281" s="79"/>
      <c r="H281" s="79"/>
      <c r="I281" s="41">
        <v>75.0</v>
      </c>
      <c r="J281" s="41">
        <v>100.0</v>
      </c>
      <c r="K281" s="96">
        <v>100.0</v>
      </c>
      <c r="L281" s="97">
        <v>100.0</v>
      </c>
      <c r="M281" s="90">
        <v>65.0</v>
      </c>
      <c r="N281" s="90">
        <v>75.0</v>
      </c>
      <c r="O281" s="79"/>
      <c r="P281" s="90">
        <v>50.0</v>
      </c>
      <c r="Q281" s="82"/>
      <c r="R281" s="82"/>
      <c r="S281" s="82"/>
      <c r="T281" s="82"/>
      <c r="U281" s="82"/>
      <c r="V281" s="82"/>
      <c r="W281" s="82"/>
      <c r="X281" s="82"/>
      <c r="Y281" s="82"/>
      <c r="Z281" s="82"/>
      <c r="AA281" s="82"/>
      <c r="AB281" s="79"/>
      <c r="AC281" s="79"/>
      <c r="AD281" s="79"/>
      <c r="AE281" s="79"/>
      <c r="AF281" s="79"/>
      <c r="AG281" s="79"/>
      <c r="AH281" s="79"/>
      <c r="AI281" s="79"/>
      <c r="AJ281" s="90">
        <v>0.0</v>
      </c>
      <c r="AK281" s="90">
        <v>0.0</v>
      </c>
      <c r="AL281" s="90">
        <v>50.0</v>
      </c>
      <c r="AM281" s="90">
        <v>0.0</v>
      </c>
      <c r="AN281" s="90">
        <v>0.0</v>
      </c>
      <c r="AO281" s="90">
        <v>0.0</v>
      </c>
      <c r="AP281" s="90">
        <v>0.0</v>
      </c>
      <c r="AQ281" s="90">
        <v>0.0</v>
      </c>
      <c r="AR281" s="90">
        <v>50.0</v>
      </c>
      <c r="AS281" s="90">
        <v>0.0</v>
      </c>
      <c r="AT281" s="90">
        <v>0.0</v>
      </c>
      <c r="AU281" s="90">
        <v>0.0</v>
      </c>
      <c r="AV281" s="90">
        <v>0.0</v>
      </c>
      <c r="AW281" s="90">
        <v>0.0</v>
      </c>
      <c r="AX281" s="90">
        <v>0.0</v>
      </c>
      <c r="AY281" s="97">
        <v>50.0</v>
      </c>
      <c r="AZ281" s="90">
        <v>50.0</v>
      </c>
      <c r="BA281" s="79"/>
      <c r="BB281" s="79"/>
      <c r="BC281" s="79"/>
      <c r="BD281" s="79"/>
      <c r="BE281" s="79"/>
      <c r="BF281" s="79"/>
      <c r="BG281" s="79" t="str">
        <f t="array" ref="BG281">IF($A281="","", INDEX(CS!$B$1:$B$15025,MATCH($A281,CS!$B:$B,0)+COLUMN(A$1),1))</f>
        <v>結界</v>
      </c>
      <c r="BH281" s="79" t="str">
        <f t="array" ref="BH281">IF($A281="","", INDEX(CS!$B$1:$B$15025,MATCH($A281,CS!$B:$B,0)+COLUMN(B$1),1))</f>
        <v/>
      </c>
      <c r="BI281" s="79" t="str">
        <f t="array" ref="BI281">IF($A281="","", INDEX(CS!$B$1:$B$15025,MATCH($A281,CS!$B:$B,0)+COLUMN(C$1),1))</f>
        <v>耐性貫通</v>
      </c>
      <c r="BJ281" s="79" t="str">
        <f t="array" ref="BJ281">IF($A281="","", INDEX(CS!$B$1:$B$15025,MATCH($A281,CS!$B:$B,0)+COLUMN(D$1),1))</f>
        <v/>
      </c>
      <c r="BK281" s="79" t="str">
        <f t="array" ref="BK281">IF($A281="","", INDEX(CS!$B$1:$B$15025,MATCH($A281,CS!$B:$B,0)+COLUMN(E$1),1))</f>
        <v>浄化</v>
      </c>
      <c r="BL281" s="79" t="str">
        <f t="array" ref="BL281">IF($A281="","", INDEX(CS!$B$1:$B$15025,MATCH($A281,CS!$B:$B,0)+COLUMN(F$1),1))</f>
        <v/>
      </c>
      <c r="BM281" s="79" t="str">
        <f t="array" ref="BM281">IF($A281="","", INDEX(CS!$B$1:$B$15025,MATCH($A281,CS!$B:$B,0)+COLUMN(G$1),1))</f>
        <v>ダメージ安定化</v>
      </c>
      <c r="BN281" s="79" t="str">
        <f t="array" ref="BN281">IF($A281="","", INDEX(CS!$B$1:$B$15025,MATCH($A281,CS!$B:$B,0)+COLUMN(H$1),1))</f>
        <v/>
      </c>
      <c r="BO281" s="79" t="str">
        <f t="array" ref="BO281">IF($A281="","", INDEX(CS!$B$1:$B$15025,MATCH($A281,CS!$B:$B,0)+COLUMN(I$1),1))</f>
        <v>神獣の加護</v>
      </c>
      <c r="BP281" s="79" t="str">
        <f t="array" ref="BP281">IF($A281="","", INDEX(CS!$B$1:$B$15025,MATCH($A281,CS!$B:$B,0)+COLUMN(J$1),1))</f>
        <v>神眼</v>
      </c>
      <c r="BQ281" s="79"/>
      <c r="BR281" s="79"/>
      <c r="BS281" s="83"/>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row>
    <row r="282" ht="18.75" customHeight="1" outlineLevel="1">
      <c r="A282" s="90" t="s">
        <v>1857</v>
      </c>
      <c r="B282" s="95"/>
      <c r="C282" s="90" t="s">
        <v>2900</v>
      </c>
      <c r="D282" s="92" t="str">
        <f t="shared" si="16"/>
        <v>850/625/225</v>
      </c>
      <c r="E282" s="93">
        <v>1.0</v>
      </c>
      <c r="F282" s="39">
        <v>110.0</v>
      </c>
      <c r="G282" s="79"/>
      <c r="H282" s="79"/>
      <c r="I282" s="41">
        <v>105.0</v>
      </c>
      <c r="J282" s="41">
        <v>75.0</v>
      </c>
      <c r="K282" s="96">
        <v>100.0</v>
      </c>
      <c r="L282" s="97">
        <v>50.0</v>
      </c>
      <c r="M282" s="90">
        <v>100.0</v>
      </c>
      <c r="N282" s="90">
        <v>85.0</v>
      </c>
      <c r="O282" s="79"/>
      <c r="P282" s="90">
        <v>-25.0</v>
      </c>
      <c r="Q282" s="82"/>
      <c r="R282" s="82"/>
      <c r="S282" s="82"/>
      <c r="T282" s="82"/>
      <c r="U282" s="82"/>
      <c r="V282" s="82"/>
      <c r="W282" s="82"/>
      <c r="X282" s="82"/>
      <c r="Y282" s="82"/>
      <c r="Z282" s="82"/>
      <c r="AA282" s="82"/>
      <c r="AB282" s="79"/>
      <c r="AC282" s="79"/>
      <c r="AD282" s="79"/>
      <c r="AE282" s="79"/>
      <c r="AF282" s="79"/>
      <c r="AG282" s="79"/>
      <c r="AH282" s="79"/>
      <c r="AI282" s="79"/>
      <c r="AJ282" s="90">
        <v>0.0</v>
      </c>
      <c r="AK282" s="90">
        <v>75.0</v>
      </c>
      <c r="AL282" s="90">
        <v>0.0</v>
      </c>
      <c r="AM282" s="90">
        <v>50.0</v>
      </c>
      <c r="AN282" s="90">
        <v>0.0</v>
      </c>
      <c r="AO282" s="90">
        <v>0.0</v>
      </c>
      <c r="AP282" s="90">
        <v>0.0</v>
      </c>
      <c r="AQ282" s="90">
        <v>25.0</v>
      </c>
      <c r="AR282" s="90">
        <v>75.0</v>
      </c>
      <c r="AS282" s="90">
        <v>0.0</v>
      </c>
      <c r="AT282" s="90">
        <v>0.0</v>
      </c>
      <c r="AU282" s="90">
        <v>0.0</v>
      </c>
      <c r="AV282" s="90">
        <v>0.0</v>
      </c>
      <c r="AW282" s="90">
        <v>0.0</v>
      </c>
      <c r="AX282" s="90">
        <v>0.0</v>
      </c>
      <c r="AY282" s="97">
        <v>0.0</v>
      </c>
      <c r="AZ282" s="90">
        <v>0.0</v>
      </c>
      <c r="BA282" s="79"/>
      <c r="BB282" s="79"/>
      <c r="BC282" s="79"/>
      <c r="BD282" s="79"/>
      <c r="BE282" s="79"/>
      <c r="BF282" s="79"/>
      <c r="BG282" s="79" t="str">
        <f t="array" ref="BG282">IF($A282="","", INDEX(CS!$B$1:$B$15025,MATCH($A282,CS!$B:$B,0)+COLUMN(A$1),1))</f>
        <v>高威圧</v>
      </c>
      <c r="BH282" s="79" t="str">
        <f t="array" ref="BH282">IF($A282="","", INDEX(CS!$B$1:$B$15025,MATCH($A282,CS!$B:$B,0)+COLUMN(B$1),1))</f>
        <v/>
      </c>
      <c r="BI282" s="79" t="str">
        <f t="array" ref="BI282">IF($A282="","", INDEX(CS!$B$1:$B$15025,MATCH($A282,CS!$B:$B,0)+COLUMN(C$1),1))</f>
        <v>狂気の咆哮</v>
      </c>
      <c r="BJ282" s="79" t="str">
        <f t="array" ref="BJ282">IF($A282="","", INDEX(CS!$B$1:$B$15025,MATCH($A282,CS!$B:$B,0)+COLUMN(D$1),1))</f>
        <v/>
      </c>
      <c r="BK282" s="79" t="str">
        <f t="array" ref="BK282">IF($A282="","", INDEX(CS!$B$1:$B$15025,MATCH($A282,CS!$B:$B,0)+COLUMN(E$1),1))</f>
        <v>凶獣の疾走</v>
      </c>
      <c r="BL282" s="79" t="str">
        <f t="array" ref="BL282">IF($A282="","", INDEX(CS!$B$1:$B$15025,MATCH($A282,CS!$B:$B,0)+COLUMN(F$1),1))</f>
        <v/>
      </c>
      <c r="BM282" s="79" t="str">
        <f t="array" ref="BM282">IF($A282="","", INDEX(CS!$B$1:$B$15025,MATCH($A282,CS!$B:$B,0)+COLUMN(G$1),1))</f>
        <v>血の匂い</v>
      </c>
      <c r="BN282" s="79" t="str">
        <f t="array" ref="BN282">IF($A282="","", INDEX(CS!$B$1:$B$15025,MATCH($A282,CS!$B:$B,0)+COLUMN(H$1),1))</f>
        <v/>
      </c>
      <c r="BO282" s="79" t="str">
        <f t="array" ref="BO282">IF($A282="","", INDEX(CS!$B$1:$B$15025,MATCH($A282,CS!$B:$B,0)+COLUMN(I$1),1))</f>
        <v>蹂躙強化</v>
      </c>
      <c r="BP282" s="79" t="str">
        <f t="array" ref="BP282">IF($A282="","", INDEX(CS!$B$1:$B$15025,MATCH($A282,CS!$B:$B,0)+COLUMN(J$1),1))</f>
        <v>恐怖の気配</v>
      </c>
      <c r="BQ282" s="79"/>
      <c r="BR282" s="79"/>
      <c r="BS282" s="83"/>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row>
    <row r="283" ht="18.75" customHeight="1" outlineLevel="1">
      <c r="A283" s="90" t="s">
        <v>1876</v>
      </c>
      <c r="B283" s="95"/>
      <c r="C283" s="90" t="s">
        <v>2900</v>
      </c>
      <c r="D283" s="92" t="str">
        <f t="shared" si="16"/>
        <v>840/590/250</v>
      </c>
      <c r="E283" s="93">
        <v>1.0</v>
      </c>
      <c r="F283" s="39">
        <v>80.0</v>
      </c>
      <c r="G283" s="79"/>
      <c r="H283" s="79"/>
      <c r="I283" s="41">
        <v>70.0</v>
      </c>
      <c r="J283" s="41">
        <v>65.0</v>
      </c>
      <c r="K283" s="96">
        <v>100.0</v>
      </c>
      <c r="L283" s="97">
        <v>90.0</v>
      </c>
      <c r="M283" s="90">
        <v>100.0</v>
      </c>
      <c r="N283" s="90">
        <v>85.0</v>
      </c>
      <c r="O283" s="79"/>
      <c r="P283" s="79">
        <v>0.0</v>
      </c>
      <c r="Q283" s="82"/>
      <c r="R283" s="82"/>
      <c r="S283" s="82"/>
      <c r="T283" s="82"/>
      <c r="U283" s="82"/>
      <c r="V283" s="82"/>
      <c r="W283" s="82"/>
      <c r="X283" s="82"/>
      <c r="Y283" s="82"/>
      <c r="Z283" s="82"/>
      <c r="AA283" s="82"/>
      <c r="AB283" s="79"/>
      <c r="AC283" s="79"/>
      <c r="AD283" s="79"/>
      <c r="AE283" s="79"/>
      <c r="AF283" s="79"/>
      <c r="AG283" s="79"/>
      <c r="AH283" s="79"/>
      <c r="AI283" s="79"/>
      <c r="AJ283" s="90">
        <v>0.0</v>
      </c>
      <c r="AK283" s="90">
        <v>25.0</v>
      </c>
      <c r="AL283" s="90">
        <v>50.0</v>
      </c>
      <c r="AM283" s="90">
        <v>50.0</v>
      </c>
      <c r="AN283" s="90">
        <v>0.0</v>
      </c>
      <c r="AO283" s="90">
        <v>0.0</v>
      </c>
      <c r="AP283" s="90">
        <v>0.0</v>
      </c>
      <c r="AQ283" s="90">
        <v>75.0</v>
      </c>
      <c r="AR283" s="90">
        <v>50.0</v>
      </c>
      <c r="AS283" s="90">
        <v>0.0</v>
      </c>
      <c r="AT283" s="90">
        <v>0.0</v>
      </c>
      <c r="AU283" s="90">
        <v>0.0</v>
      </c>
      <c r="AV283" s="90">
        <v>0.0</v>
      </c>
      <c r="AW283" s="90">
        <v>0.0</v>
      </c>
      <c r="AX283" s="90">
        <v>0.0</v>
      </c>
      <c r="AY283" s="97">
        <v>0.0</v>
      </c>
      <c r="AZ283" s="90">
        <v>0.0</v>
      </c>
      <c r="BA283" s="79"/>
      <c r="BB283" s="79"/>
      <c r="BC283" s="79"/>
      <c r="BD283" s="79"/>
      <c r="BE283" s="79"/>
      <c r="BF283" s="79"/>
      <c r="BG283" s="79" t="str">
        <f t="array" ref="BG283">IF($A283="","", INDEX(CS!$B$1:$B$15025,MATCH($A283,CS!$B:$B,0)+COLUMN(A$1),1))</f>
        <v>妖気</v>
      </c>
      <c r="BH283" s="79" t="str">
        <f t="array" ref="BH283">IF($A283="","", INDEX(CS!$B$1:$B$15025,MATCH($A283,CS!$B:$B,0)+COLUMN(B$1),1))</f>
        <v/>
      </c>
      <c r="BI283" s="79" t="str">
        <f t="array" ref="BI283">IF($A283="","", INDEX(CS!$B$1:$B$15025,MATCH($A283,CS!$B:$B,0)+COLUMN(C$1),1))</f>
        <v>幻惑</v>
      </c>
      <c r="BJ283" s="79" t="str">
        <f t="array" ref="BJ283">IF($A283="","", INDEX(CS!$B$1:$B$15025,MATCH($A283,CS!$B:$B,0)+COLUMN(D$1),1))</f>
        <v/>
      </c>
      <c r="BK283" s="79" t="str">
        <f t="array" ref="BK283">IF($A283="","", INDEX(CS!$B$1:$B$15025,MATCH($A283,CS!$B:$B,0)+COLUMN(E$1),1))</f>
        <v>隠形</v>
      </c>
      <c r="BL283" s="79" t="str">
        <f t="array" ref="BL283">IF($A283="","", INDEX(CS!$B$1:$B$15025,MATCH($A283,CS!$B:$B,0)+COLUMN(F$1),1))</f>
        <v/>
      </c>
      <c r="BM283" s="79" t="str">
        <f t="array" ref="BM283">IF($A283="","", INDEX(CS!$B$1:$B$15025,MATCH($A283,CS!$B:$B,0)+COLUMN(G$1),1))</f>
        <v>変化</v>
      </c>
      <c r="BN283" s="79" t="str">
        <f t="array" ref="BN283">IF($A283="","", INDEX(CS!$B$1:$B$15025,MATCH($A283,CS!$B:$B,0)+COLUMN(H$1),1))</f>
        <v/>
      </c>
      <c r="BO283" s="79" t="str">
        <f t="array" ref="BO283">IF($A283="","", INDEX(CS!$B$1:$B$15025,MATCH($A283,CS!$B:$B,0)+COLUMN(I$1),1))</f>
        <v>呪詛</v>
      </c>
      <c r="BP283" s="79" t="str">
        <f t="array" ref="BP283">IF($A283="","", INDEX(CS!$B$1:$B$15025,MATCH($A283,CS!$B:$B,0)+COLUMN(J$1),1))</f>
        <v>妖足</v>
      </c>
      <c r="BQ283" s="79"/>
      <c r="BR283" s="79"/>
      <c r="BS283" s="83"/>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row>
    <row r="284" ht="18.75" customHeight="1" outlineLevel="1">
      <c r="A284" s="90" t="s">
        <v>1894</v>
      </c>
      <c r="B284" s="95"/>
      <c r="C284" s="90" t="s">
        <v>2900</v>
      </c>
      <c r="D284" s="92" t="str">
        <f t="shared" si="16"/>
        <v>735/535/200</v>
      </c>
      <c r="E284" s="93">
        <v>1.0</v>
      </c>
      <c r="F284" s="39">
        <v>110.0</v>
      </c>
      <c r="G284" s="79"/>
      <c r="H284" s="79"/>
      <c r="I284" s="41">
        <v>100.0</v>
      </c>
      <c r="J284" s="41">
        <v>85.0</v>
      </c>
      <c r="K284" s="96">
        <v>0.0</v>
      </c>
      <c r="L284" s="97">
        <v>60.0</v>
      </c>
      <c r="M284" s="90">
        <v>90.0</v>
      </c>
      <c r="N284" s="90">
        <v>90.0</v>
      </c>
      <c r="O284" s="79"/>
      <c r="P284" s="79">
        <v>0.0</v>
      </c>
      <c r="Q284" s="82"/>
      <c r="R284" s="82"/>
      <c r="S284" s="82"/>
      <c r="T284" s="82"/>
      <c r="U284" s="82"/>
      <c r="V284" s="82"/>
      <c r="W284" s="82"/>
      <c r="X284" s="82"/>
      <c r="Y284" s="82"/>
      <c r="Z284" s="82"/>
      <c r="AA284" s="82"/>
      <c r="AB284" s="79"/>
      <c r="AC284" s="79"/>
      <c r="AD284" s="79"/>
      <c r="AE284" s="79"/>
      <c r="AF284" s="79"/>
      <c r="AG284" s="79"/>
      <c r="AH284" s="79"/>
      <c r="AI284" s="79"/>
      <c r="AJ284" s="90">
        <v>0.0</v>
      </c>
      <c r="AK284" s="90">
        <v>50.0</v>
      </c>
      <c r="AL284" s="90">
        <v>50.0</v>
      </c>
      <c r="AM284" s="90">
        <v>0.0</v>
      </c>
      <c r="AN284" s="90">
        <v>0.0</v>
      </c>
      <c r="AO284" s="90">
        <v>0.0</v>
      </c>
      <c r="AP284" s="90">
        <v>0.0</v>
      </c>
      <c r="AQ284" s="90">
        <v>0.0</v>
      </c>
      <c r="AR284" s="90">
        <v>100.0</v>
      </c>
      <c r="AS284" s="90">
        <v>0.0</v>
      </c>
      <c r="AT284" s="90">
        <v>0.0</v>
      </c>
      <c r="AU284" s="90">
        <v>0.0</v>
      </c>
      <c r="AV284" s="90">
        <v>0.0</v>
      </c>
      <c r="AW284" s="90">
        <v>0.0</v>
      </c>
      <c r="AX284" s="90">
        <v>0.0</v>
      </c>
      <c r="AY284" s="97">
        <v>0.0</v>
      </c>
      <c r="AZ284" s="90">
        <v>0.0</v>
      </c>
      <c r="BA284" s="79"/>
      <c r="BB284" s="79"/>
      <c r="BC284" s="79"/>
      <c r="BD284" s="79"/>
      <c r="BE284" s="79"/>
      <c r="BF284" s="79"/>
      <c r="BG284" s="79" t="str">
        <f t="array" ref="BG284">IF($A284="","", INDEX(CS!$B$1:$B$15025,MATCH($A284,CS!$B:$B,0)+COLUMN(A$1),1))</f>
        <v>多頭化Ⅰ</v>
      </c>
      <c r="BH284" s="79" t="str">
        <f t="array" ref="BH284">IF($A284="","", INDEX(CS!$B$1:$B$15025,MATCH($A284,CS!$B:$B,0)+COLUMN(B$1),1))</f>
        <v/>
      </c>
      <c r="BI284" s="79" t="str">
        <f t="array" ref="BI284">IF($A284="","", INDEX(CS!$B$1:$B$15025,MATCH($A284,CS!$B:$B,0)+COLUMN(C$1),1))</f>
        <v>多方向警戒</v>
      </c>
      <c r="BJ284" s="79" t="str">
        <f t="array" ref="BJ284">IF($A284="","", INDEX(CS!$B$1:$B$15025,MATCH($A284,CS!$B:$B,0)+COLUMN(D$1),1))</f>
        <v/>
      </c>
      <c r="BK284" s="79" t="str">
        <f t="array" ref="BK284">IF($A284="","", INDEX(CS!$B$1:$B$15025,MATCH($A284,CS!$B:$B,0)+COLUMN(E$1),1))</f>
        <v>多頭制御</v>
      </c>
      <c r="BL284" s="79" t="str">
        <f t="array" ref="BL284">IF($A284="","", INDEX(CS!$B$1:$B$15025,MATCH($A284,CS!$B:$B,0)+COLUMN(F$1),1))</f>
        <v/>
      </c>
      <c r="BM284" s="79" t="str">
        <f t="array" ref="BM284">IF($A284="","", INDEX(CS!$B$1:$B$15025,MATCH($A284,CS!$B:$B,0)+COLUMN(G$1),1))</f>
        <v>多頭連携</v>
      </c>
      <c r="BN284" s="79" t="str">
        <f t="array" ref="BN284">IF($A284="","", INDEX(CS!$B$1:$B$15025,MATCH($A284,CS!$B:$B,0)+COLUMN(H$1),1))</f>
        <v/>
      </c>
      <c r="BO284" s="79" t="str">
        <f t="array" ref="BO284">IF($A284="","", INDEX(CS!$B$1:$B$15025,MATCH($A284,CS!$B:$B,0)+COLUMN(I$1),1))</f>
        <v>多頭化Ⅱ</v>
      </c>
      <c r="BP284" s="79" t="str">
        <f t="array" ref="BP284">IF($A284="","", INDEX(CS!$B$1:$B$15025,MATCH($A284,CS!$B:$B,0)+COLUMN(J$1),1))</f>
        <v>完全統制</v>
      </c>
      <c r="BQ284" s="79"/>
      <c r="BR284" s="79"/>
      <c r="BS284" s="83"/>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row>
    <row r="285" ht="18.75" customHeight="1" outlineLevel="1">
      <c r="A285" s="97"/>
      <c r="B285" s="95"/>
      <c r="C285" s="90"/>
      <c r="D285" s="92"/>
      <c r="E285" s="93"/>
      <c r="G285" s="79"/>
      <c r="H285" s="79"/>
      <c r="I285" s="41"/>
      <c r="J285" s="41"/>
      <c r="K285" s="96"/>
      <c r="L285" s="97"/>
      <c r="M285" s="90"/>
      <c r="N285" s="90"/>
      <c r="O285" s="79"/>
      <c r="P285" s="79" t="s">
        <v>29</v>
      </c>
      <c r="Q285" s="82"/>
      <c r="R285" s="82"/>
      <c r="S285" s="82"/>
      <c r="T285" s="82"/>
      <c r="U285" s="82"/>
      <c r="V285" s="82"/>
      <c r="W285" s="82"/>
      <c r="X285" s="82"/>
      <c r="Y285" s="82"/>
      <c r="Z285" s="82"/>
      <c r="AA285" s="82"/>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7"/>
      <c r="AZ285" s="79"/>
      <c r="BA285" s="79"/>
      <c r="BB285" s="79"/>
      <c r="BC285" s="79"/>
      <c r="BD285" s="79"/>
      <c r="BE285" s="79"/>
      <c r="BF285" s="79"/>
      <c r="BG285" s="79"/>
      <c r="BH285" s="79"/>
      <c r="BI285" s="79"/>
      <c r="BJ285" s="79"/>
      <c r="BK285" s="79"/>
      <c r="BL285" s="79"/>
      <c r="BM285" s="79"/>
      <c r="BN285" s="79"/>
      <c r="BO285" s="79"/>
      <c r="BP285" s="79"/>
      <c r="BQ285" s="79"/>
      <c r="BR285" s="79"/>
      <c r="BS285" s="83"/>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row>
    <row r="286" ht="18.75" customHeight="1" outlineLevel="1">
      <c r="A286" s="79"/>
      <c r="B286" s="95"/>
      <c r="C286" s="79"/>
      <c r="D286" s="98"/>
      <c r="E286" s="99"/>
      <c r="F286" s="79"/>
      <c r="G286" s="79"/>
      <c r="H286" s="79"/>
      <c r="I286" s="79"/>
      <c r="J286" s="79"/>
      <c r="K286" s="81"/>
      <c r="L286" s="79"/>
      <c r="M286" s="79"/>
      <c r="N286" s="79"/>
      <c r="O286" s="79"/>
      <c r="P286" s="79" t="s">
        <v>29</v>
      </c>
      <c r="Q286" s="82"/>
      <c r="R286" s="82"/>
      <c r="S286" s="82"/>
      <c r="T286" s="82"/>
      <c r="U286" s="82"/>
      <c r="V286" s="82"/>
      <c r="W286" s="82"/>
      <c r="X286" s="82"/>
      <c r="Y286" s="82"/>
      <c r="Z286" s="82"/>
      <c r="AA286" s="82"/>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79"/>
      <c r="AZ286" s="79"/>
      <c r="BA286" s="79"/>
      <c r="BB286" s="79"/>
      <c r="BC286" s="79"/>
      <c r="BD286" s="79"/>
      <c r="BE286" s="79"/>
      <c r="BF286" s="79"/>
      <c r="BG286" s="79" t="str">
        <f t="array" ref="BG286">IF($A286="","", INDEX(CS!$B$1:$B$15025,MATCH($A286,CS!$B:$B,0)+COLUMN(A$1),1))</f>
        <v/>
      </c>
      <c r="BH286" s="79" t="str">
        <f t="array" ref="BH286">IF($A286="","", INDEX(CS!$B$1:$B$15025,MATCH($A286,CS!$B:$B,0)+COLUMN(B$1),1))</f>
        <v/>
      </c>
      <c r="BI286" s="79" t="str">
        <f t="array" ref="BI286">IF($A286="","", INDEX(CS!$B$1:$B$15025,MATCH($A286,CS!$B:$B,0)+COLUMN(C$1),1))</f>
        <v/>
      </c>
      <c r="BJ286" s="79" t="str">
        <f t="array" ref="BJ286">IF($A286="","", INDEX(CS!$B$1:$B$15025,MATCH($A286,CS!$B:$B,0)+COLUMN(D$1),1))</f>
        <v/>
      </c>
      <c r="BK286" s="79" t="str">
        <f t="array" ref="BK286">IF($A286="","", INDEX(CS!$B$1:$B$15025,MATCH($A286,CS!$B:$B,0)+COLUMN(E$1),1))</f>
        <v/>
      </c>
      <c r="BL286" s="79" t="str">
        <f t="array" ref="BL286">IF($A286="","", INDEX(CS!$B$1:$B$15025,MATCH($A286,CS!$B:$B,0)+COLUMN(F$1),1))</f>
        <v/>
      </c>
      <c r="BM286" s="79" t="str">
        <f t="array" ref="BM286">IF($A286="","", INDEX(CS!$B$1:$B$15025,MATCH($A286,CS!$B:$B,0)+COLUMN(G$1),1))</f>
        <v/>
      </c>
      <c r="BN286" s="79" t="str">
        <f t="array" ref="BN286">IF($A286="","", INDEX(CS!$B$1:$B$15025,MATCH($A286,CS!$B:$B,0)+COLUMN(H$1),1))</f>
        <v/>
      </c>
      <c r="BO286" s="79" t="str">
        <f t="array" ref="BO286">IF($A286="","", INDEX(CS!$B$1:$B$15025,MATCH($A286,CS!$B:$B,0)+COLUMN(I$1),1))</f>
        <v/>
      </c>
      <c r="BP286" s="79" t="str">
        <f t="array" ref="BP286">IF($A286="","", INDEX(CS!$B$1:$B$15025,MATCH($A286,CS!$B:$B,0)+COLUMN(J$1),1))</f>
        <v/>
      </c>
      <c r="BQ286" s="79"/>
      <c r="BR286" s="79"/>
      <c r="BS286" s="83"/>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row>
    <row r="287" ht="18.75" customHeight="1">
      <c r="A287" s="79"/>
      <c r="B287" s="95"/>
      <c r="C287" s="79"/>
      <c r="D287" s="98"/>
      <c r="E287" s="99"/>
      <c r="F287" s="79"/>
      <c r="G287" s="79"/>
      <c r="H287" s="79"/>
      <c r="I287" s="79"/>
      <c r="J287" s="79"/>
      <c r="K287" s="81"/>
      <c r="L287" s="79"/>
      <c r="M287" s="79"/>
      <c r="N287" s="79"/>
      <c r="O287" s="79"/>
      <c r="P287" s="79" t="s">
        <v>29</v>
      </c>
      <c r="Q287" s="82"/>
      <c r="R287" s="82"/>
      <c r="S287" s="82"/>
      <c r="T287" s="82"/>
      <c r="U287" s="82"/>
      <c r="V287" s="82"/>
      <c r="W287" s="82"/>
      <c r="X287" s="82"/>
      <c r="Y287" s="82"/>
      <c r="Z287" s="82"/>
      <c r="AA287" s="82"/>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79"/>
      <c r="AZ287" s="79"/>
      <c r="BA287" s="79"/>
      <c r="BB287" s="79"/>
      <c r="BC287" s="79"/>
      <c r="BD287" s="79"/>
      <c r="BE287" s="79"/>
      <c r="BF287" s="79"/>
      <c r="BG287" s="79" t="str">
        <f t="array" ref="BG287">IF($A287="","", INDEX(CS!$B$1:$B$15025,MATCH($A287,CS!$B:$B,0)+COLUMN(A$1),1))</f>
        <v/>
      </c>
      <c r="BH287" s="79" t="str">
        <f t="array" ref="BH287">IF($A287="","", INDEX(CS!$B$1:$B$15025,MATCH($A287,CS!$B:$B,0)+COLUMN(B$1),1))</f>
        <v/>
      </c>
      <c r="BI287" s="79" t="str">
        <f t="array" ref="BI287">IF($A287="","", INDEX(CS!$B$1:$B$15025,MATCH($A287,CS!$B:$B,0)+COLUMN(C$1),1))</f>
        <v/>
      </c>
      <c r="BJ287" s="79" t="str">
        <f t="array" ref="BJ287">IF($A287="","", INDEX(CS!$B$1:$B$15025,MATCH($A287,CS!$B:$B,0)+COLUMN(D$1),1))</f>
        <v/>
      </c>
      <c r="BK287" s="79" t="str">
        <f t="array" ref="BK287">IF($A287="","", INDEX(CS!$B$1:$B$15025,MATCH($A287,CS!$B:$B,0)+COLUMN(E$1),1))</f>
        <v/>
      </c>
      <c r="BL287" s="79" t="str">
        <f t="array" ref="BL287">IF($A287="","", INDEX(CS!$B$1:$B$15025,MATCH($A287,CS!$B:$B,0)+COLUMN(F$1),1))</f>
        <v/>
      </c>
      <c r="BM287" s="79" t="str">
        <f t="array" ref="BM287">IF($A287="","", INDEX(CS!$B$1:$B$15025,MATCH($A287,CS!$B:$B,0)+COLUMN(G$1),1))</f>
        <v/>
      </c>
      <c r="BN287" s="79" t="str">
        <f t="array" ref="BN287">IF($A287="","", INDEX(CS!$B$1:$B$15025,MATCH($A287,CS!$B:$B,0)+COLUMN(H$1),1))</f>
        <v/>
      </c>
      <c r="BO287" s="79" t="str">
        <f t="array" ref="BO287">IF($A287="","", INDEX(CS!$B$1:$B$15025,MATCH($A287,CS!$B:$B,0)+COLUMN(I$1),1))</f>
        <v/>
      </c>
      <c r="BP287" s="79" t="str">
        <f t="array" ref="BP287">IF($A287="","", INDEX(CS!$B$1:$B$15025,MATCH($A287,CS!$B:$B,0)+COLUMN(J$1),1))</f>
        <v/>
      </c>
      <c r="BQ287" s="79"/>
      <c r="BR287" s="79"/>
      <c r="BS287" s="83"/>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row>
    <row r="288" ht="18.75" customHeight="1">
      <c r="A288" s="79"/>
      <c r="B288" s="95"/>
      <c r="C288" s="79"/>
      <c r="D288" s="98"/>
      <c r="E288" s="99"/>
      <c r="F288" s="79"/>
      <c r="G288" s="79"/>
      <c r="H288" s="79"/>
      <c r="I288" s="79"/>
      <c r="J288" s="79"/>
      <c r="K288" s="81"/>
      <c r="L288" s="79"/>
      <c r="M288" s="79"/>
      <c r="N288" s="79"/>
      <c r="O288" s="79"/>
      <c r="P288" s="79" t="s">
        <v>29</v>
      </c>
      <c r="Q288" s="82"/>
      <c r="R288" s="82"/>
      <c r="S288" s="82"/>
      <c r="T288" s="82"/>
      <c r="U288" s="82"/>
      <c r="V288" s="82"/>
      <c r="W288" s="82"/>
      <c r="X288" s="82"/>
      <c r="Y288" s="82"/>
      <c r="Z288" s="82"/>
      <c r="AA288" s="82"/>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79"/>
      <c r="AZ288" s="79"/>
      <c r="BA288" s="79"/>
      <c r="BB288" s="79"/>
      <c r="BC288" s="79"/>
      <c r="BD288" s="79"/>
      <c r="BE288" s="79"/>
      <c r="BF288" s="79"/>
      <c r="BG288" s="79" t="str">
        <f t="array" ref="BG288">IF($A288="","", INDEX(CS!$B$1:$B$15025,MATCH($A288,CS!$B:$B,0)+COLUMN(A$1),1))</f>
        <v/>
      </c>
      <c r="BH288" s="79" t="str">
        <f t="array" ref="BH288">IF($A288="","", INDEX(CS!$B$1:$B$15025,MATCH($A288,CS!$B:$B,0)+COLUMN(B$1),1))</f>
        <v/>
      </c>
      <c r="BI288" s="79" t="str">
        <f t="array" ref="BI288">IF($A288="","", INDEX(CS!$B$1:$B$15025,MATCH($A288,CS!$B:$B,0)+COLUMN(C$1),1))</f>
        <v/>
      </c>
      <c r="BJ288" s="79" t="str">
        <f t="array" ref="BJ288">IF($A288="","", INDEX(CS!$B$1:$B$15025,MATCH($A288,CS!$B:$B,0)+COLUMN(D$1),1))</f>
        <v/>
      </c>
      <c r="BK288" s="79" t="str">
        <f t="array" ref="BK288">IF($A288="","", INDEX(CS!$B$1:$B$15025,MATCH($A288,CS!$B:$B,0)+COLUMN(E$1),1))</f>
        <v/>
      </c>
      <c r="BL288" s="79" t="str">
        <f t="array" ref="BL288">IF($A288="","", INDEX(CS!$B$1:$B$15025,MATCH($A288,CS!$B:$B,0)+COLUMN(F$1),1))</f>
        <v/>
      </c>
      <c r="BM288" s="79" t="str">
        <f t="array" ref="BM288">IF($A288="","", INDEX(CS!$B$1:$B$15025,MATCH($A288,CS!$B:$B,0)+COLUMN(G$1),1))</f>
        <v/>
      </c>
      <c r="BN288" s="79" t="str">
        <f t="array" ref="BN288">IF($A288="","", INDEX(CS!$B$1:$B$15025,MATCH($A288,CS!$B:$B,0)+COLUMN(H$1),1))</f>
        <v/>
      </c>
      <c r="BO288" s="79" t="str">
        <f t="array" ref="BO288">IF($A288="","", INDEX(CS!$B$1:$B$15025,MATCH($A288,CS!$B:$B,0)+COLUMN(I$1),1))</f>
        <v/>
      </c>
      <c r="BP288" s="79" t="str">
        <f t="array" ref="BP288">IF($A288="","", INDEX(CS!$B$1:$B$15025,MATCH($A288,CS!$B:$B,0)+COLUMN(J$1),1))</f>
        <v/>
      </c>
      <c r="BQ288" s="79"/>
      <c r="BR288" s="79"/>
      <c r="BS288" s="83"/>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row>
    <row r="289" ht="18.75" customHeight="1">
      <c r="A289" s="79"/>
      <c r="B289" s="95" t="s">
        <v>2912</v>
      </c>
      <c r="C289" s="79"/>
      <c r="D289" s="98" t="str">
        <f t="shared" ref="D289:D295" si="17">SUM(AJ289:AZ289,F289:N289)&amp;"/"&amp;SUM(F289:N289)&amp;"/"&amp;SUM(AJ289:AZ289)</f>
        <v>0/0/0</v>
      </c>
      <c r="E289" s="99">
        <v>1.0</v>
      </c>
      <c r="F289" s="79"/>
      <c r="G289" s="79"/>
      <c r="H289" s="79"/>
      <c r="I289" s="79"/>
      <c r="J289" s="79"/>
      <c r="K289" s="81"/>
      <c r="L289" s="79"/>
      <c r="M289" s="79"/>
      <c r="N289" s="79"/>
      <c r="O289" s="79"/>
      <c r="P289" s="79" t="s">
        <v>29</v>
      </c>
      <c r="Q289" s="82"/>
      <c r="R289" s="82"/>
      <c r="S289" s="82"/>
      <c r="T289" s="82"/>
      <c r="U289" s="82"/>
      <c r="V289" s="82"/>
      <c r="W289" s="82"/>
      <c r="X289" s="82"/>
      <c r="Y289" s="82"/>
      <c r="Z289" s="82"/>
      <c r="AA289" s="82"/>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79"/>
      <c r="AZ289" s="79"/>
      <c r="BA289" s="79"/>
      <c r="BB289" s="79"/>
      <c r="BC289" s="79"/>
      <c r="BD289" s="79"/>
      <c r="BE289" s="79"/>
      <c r="BF289" s="79"/>
      <c r="BG289" s="79" t="str">
        <f t="array" ref="BG289">IF($A289="","", INDEX(CS!$B$1:$B$15025,MATCH($A289,CS!$B:$B,0)+COLUMN(A$1),1))</f>
        <v/>
      </c>
      <c r="BH289" s="79" t="str">
        <f t="array" ref="BH289">IF($A289="","", INDEX(CS!$B$1:$B$15025,MATCH($A289,CS!$B:$B,0)+COLUMN(B$1),1))</f>
        <v/>
      </c>
      <c r="BI289" s="79" t="str">
        <f t="array" ref="BI289">IF($A289="","", INDEX(CS!$B$1:$B$15025,MATCH($A289,CS!$B:$B,0)+COLUMN(C$1),1))</f>
        <v/>
      </c>
      <c r="BJ289" s="79" t="str">
        <f t="array" ref="BJ289">IF($A289="","", INDEX(CS!$B$1:$B$15025,MATCH($A289,CS!$B:$B,0)+COLUMN(D$1),1))</f>
        <v/>
      </c>
      <c r="BK289" s="79" t="str">
        <f t="array" ref="BK289">IF($A289="","", INDEX(CS!$B$1:$B$15025,MATCH($A289,CS!$B:$B,0)+COLUMN(E$1),1))</f>
        <v/>
      </c>
      <c r="BL289" s="79" t="str">
        <f t="array" ref="BL289">IF($A289="","", INDEX(CS!$B$1:$B$15025,MATCH($A289,CS!$B:$B,0)+COLUMN(F$1),1))</f>
        <v/>
      </c>
      <c r="BM289" s="79" t="str">
        <f t="array" ref="BM289">IF($A289="","", INDEX(CS!$B$1:$B$15025,MATCH($A289,CS!$B:$B,0)+COLUMN(G$1),1))</f>
        <v/>
      </c>
      <c r="BN289" s="79" t="str">
        <f t="array" ref="BN289">IF($A289="","", INDEX(CS!$B$1:$B$15025,MATCH($A289,CS!$B:$B,0)+COLUMN(H$1),1))</f>
        <v/>
      </c>
      <c r="BO289" s="79" t="str">
        <f t="array" ref="BO289">IF($A289="","", INDEX(CS!$B$1:$B$15025,MATCH($A289,CS!$B:$B,0)+COLUMN(I$1),1))</f>
        <v/>
      </c>
      <c r="BP289" s="79" t="str">
        <f t="array" ref="BP289">IF($A289="","", INDEX(CS!$B$1:$B$15025,MATCH($A289,CS!$B:$B,0)+COLUMN(J$1),1))</f>
        <v/>
      </c>
      <c r="BQ289" s="79"/>
      <c r="BR289" s="79"/>
      <c r="BS289" s="83"/>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row>
    <row r="290" ht="18.75" customHeight="1" outlineLevel="1">
      <c r="A290" s="90" t="s">
        <v>1928</v>
      </c>
      <c r="B290" s="91"/>
      <c r="C290" s="79"/>
      <c r="D290" s="92" t="str">
        <f t="shared" si="17"/>
        <v>255/255/0</v>
      </c>
      <c r="E290" s="93">
        <v>1.0</v>
      </c>
      <c r="F290" s="90">
        <v>90.0</v>
      </c>
      <c r="G290" s="79"/>
      <c r="H290" s="79"/>
      <c r="I290" s="90">
        <v>55.0</v>
      </c>
      <c r="J290" s="90">
        <v>5.0</v>
      </c>
      <c r="K290" s="94">
        <v>0.0</v>
      </c>
      <c r="L290" s="90">
        <v>5.0</v>
      </c>
      <c r="M290" s="90">
        <v>40.0</v>
      </c>
      <c r="N290" s="90">
        <v>60.0</v>
      </c>
      <c r="O290" s="90">
        <v>100.0</v>
      </c>
      <c r="P290" s="90">
        <v>0.0</v>
      </c>
      <c r="Q290" s="100">
        <v>10.0</v>
      </c>
      <c r="R290" s="82"/>
      <c r="S290" s="100">
        <v>10.0</v>
      </c>
      <c r="T290" s="100">
        <v>25.0</v>
      </c>
      <c r="U290" s="100">
        <v>25.0</v>
      </c>
      <c r="V290" s="100">
        <v>-15.0</v>
      </c>
      <c r="W290" s="82"/>
      <c r="X290" s="82"/>
      <c r="Y290" s="82"/>
      <c r="Z290" s="100">
        <v>100.0</v>
      </c>
      <c r="AA290" s="82"/>
      <c r="AB290" s="79"/>
      <c r="AC290" s="90">
        <v>100.0</v>
      </c>
      <c r="AD290" s="79"/>
      <c r="AE290" s="90">
        <v>100.0</v>
      </c>
      <c r="AF290" s="90">
        <v>25.0</v>
      </c>
      <c r="AG290" s="90">
        <v>100.0</v>
      </c>
      <c r="AH290" s="90">
        <v>25.0</v>
      </c>
      <c r="AI290" s="90">
        <v>25.0</v>
      </c>
      <c r="AJ290" s="90">
        <v>0.0</v>
      </c>
      <c r="AK290" s="90">
        <v>0.0</v>
      </c>
      <c r="AL290" s="90">
        <v>0.0</v>
      </c>
      <c r="AM290" s="90">
        <v>-25.0</v>
      </c>
      <c r="AN290" s="90">
        <v>0.0</v>
      </c>
      <c r="AO290" s="90">
        <v>0.0</v>
      </c>
      <c r="AP290" s="90">
        <v>0.0</v>
      </c>
      <c r="AQ290" s="90">
        <v>25.0</v>
      </c>
      <c r="AR290" s="90">
        <v>0.0</v>
      </c>
      <c r="AS290" s="90">
        <v>0.0</v>
      </c>
      <c r="AT290" s="90">
        <v>0.0</v>
      </c>
      <c r="AU290" s="90">
        <v>0.0</v>
      </c>
      <c r="AV290" s="90">
        <v>0.0</v>
      </c>
      <c r="AW290" s="90">
        <v>0.0</v>
      </c>
      <c r="AX290" s="90">
        <v>0.0</v>
      </c>
      <c r="AY290" s="90">
        <v>0.0</v>
      </c>
      <c r="AZ290" s="90">
        <v>0.0</v>
      </c>
      <c r="BA290" s="90">
        <v>0.0</v>
      </c>
      <c r="BB290" s="90">
        <v>0.0</v>
      </c>
      <c r="BC290" s="90">
        <v>0.0</v>
      </c>
      <c r="BD290" s="90">
        <v>0.0</v>
      </c>
      <c r="BE290" s="90">
        <v>0.0</v>
      </c>
      <c r="BF290" s="90">
        <v>0.0</v>
      </c>
      <c r="BG290" s="79" t="str">
        <f t="array" ref="BG290">IF($A290="","", INDEX(CS!$B$1:$B$15025,MATCH($A290,CS!$B:$B,0)+COLUMN(A$1),1))</f>
        <v>粘液体当たり</v>
      </c>
      <c r="BH290" s="79" t="str">
        <f t="array" ref="BH290">IF($A290="","", INDEX(CS!$B$1:$B$15025,MATCH($A290,CS!$B:$B,0)+COLUMN(B$1),1))</f>
        <v>粘液拘束</v>
      </c>
      <c r="BI290" s="79" t="str">
        <f t="array" ref="BI290">IF($A290="","", INDEX(CS!$B$1:$B$15025,MATCH($A290,CS!$B:$B,0)+COLUMN(C$1),1))</f>
        <v>軟体</v>
      </c>
      <c r="BJ290" s="79" t="str">
        <f t="array" ref="BJ290">IF($A290="","", INDEX(CS!$B$1:$B$15025,MATCH($A290,CS!$B:$B,0)+COLUMN(D$1),1))</f>
        <v/>
      </c>
      <c r="BK290" s="79" t="str">
        <f t="array" ref="BK290">IF($A290="","", INDEX(CS!$B$1:$B$15025,MATCH($A290,CS!$B:$B,0)+COLUMN(E$1),1))</f>
        <v>粘液噴射</v>
      </c>
      <c r="BL290" s="79" t="str">
        <f t="array" ref="BL290">IF($A290="","", INDEX(CS!$B$1:$B$15025,MATCH($A290,CS!$B:$B,0)+COLUMN(F$1),1))</f>
        <v/>
      </c>
      <c r="BM290" s="79" t="str">
        <f t="array" ref="BM290">IF($A290="","", INDEX(CS!$B$1:$B$15025,MATCH($A290,CS!$B:$B,0)+COLUMN(G$1),1))</f>
        <v>粘液防御</v>
      </c>
      <c r="BN290" s="79" t="str">
        <f t="array" ref="BN290">IF($A290="","", INDEX(CS!$B$1:$B$15025,MATCH($A290,CS!$B:$B,0)+COLUMN(H$1),1))</f>
        <v/>
      </c>
      <c r="BO290" s="79" t="str">
        <f t="array" ref="BO290">IF($A290="","", INDEX(CS!$B$1:$B$15025,MATCH($A290,CS!$B:$B,0)+COLUMN(I$1),1))</f>
        <v>粘液強化</v>
      </c>
      <c r="BP290" s="79" t="str">
        <f t="array" ref="BP290">IF($A290="","", INDEX(CS!$B$1:$B$15025,MATCH($A290,CS!$B:$B,0)+COLUMN(J$1),1))</f>
        <v/>
      </c>
      <c r="BQ290" s="79"/>
      <c r="BR290" s="79"/>
      <c r="BS290" s="83"/>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row>
    <row r="291" ht="18.75" customHeight="1" outlineLevel="1">
      <c r="A291" s="90" t="s">
        <v>1939</v>
      </c>
      <c r="B291" s="91"/>
      <c r="C291" s="79"/>
      <c r="D291" s="92" t="str">
        <f t="shared" si="17"/>
        <v>295/270/25</v>
      </c>
      <c r="E291" s="93">
        <v>1.0</v>
      </c>
      <c r="F291" s="90">
        <v>90.0</v>
      </c>
      <c r="G291" s="79"/>
      <c r="H291" s="79"/>
      <c r="I291" s="90">
        <v>60.0</v>
      </c>
      <c r="J291" s="90">
        <v>5.0</v>
      </c>
      <c r="K291" s="94">
        <v>0.0</v>
      </c>
      <c r="L291" s="90">
        <v>5.0</v>
      </c>
      <c r="M291" s="90">
        <v>45.0</v>
      </c>
      <c r="N291" s="90">
        <v>65.0</v>
      </c>
      <c r="O291" s="90">
        <v>100.0</v>
      </c>
      <c r="P291" s="90">
        <v>0.0</v>
      </c>
      <c r="Q291" s="100">
        <v>10.0</v>
      </c>
      <c r="R291" s="82"/>
      <c r="S291" s="100">
        <v>10.0</v>
      </c>
      <c r="T291" s="100">
        <v>25.0</v>
      </c>
      <c r="U291" s="100">
        <v>25.0</v>
      </c>
      <c r="V291" s="100">
        <v>-15.0</v>
      </c>
      <c r="W291" s="82"/>
      <c r="X291" s="82"/>
      <c r="Y291" s="82"/>
      <c r="Z291" s="100">
        <v>100.0</v>
      </c>
      <c r="AA291" s="82"/>
      <c r="AB291" s="79"/>
      <c r="AC291" s="90">
        <v>100.0</v>
      </c>
      <c r="AD291" s="79"/>
      <c r="AE291" s="90">
        <v>100.0</v>
      </c>
      <c r="AF291" s="90">
        <v>25.0</v>
      </c>
      <c r="AG291" s="90">
        <v>100.0</v>
      </c>
      <c r="AH291" s="90">
        <v>25.0</v>
      </c>
      <c r="AI291" s="90">
        <v>25.0</v>
      </c>
      <c r="AJ291" s="90">
        <v>0.0</v>
      </c>
      <c r="AK291" s="90">
        <v>0.0</v>
      </c>
      <c r="AL291" s="90">
        <v>0.0</v>
      </c>
      <c r="AM291" s="90">
        <v>-25.0</v>
      </c>
      <c r="AN291" s="90">
        <v>0.0</v>
      </c>
      <c r="AO291" s="90">
        <v>0.0</v>
      </c>
      <c r="AP291" s="90">
        <v>0.0</v>
      </c>
      <c r="AQ291" s="90">
        <v>25.0</v>
      </c>
      <c r="AR291" s="90">
        <v>25.0</v>
      </c>
      <c r="AS291" s="90">
        <v>0.0</v>
      </c>
      <c r="AT291" s="90">
        <v>0.0</v>
      </c>
      <c r="AU291" s="90">
        <v>0.0</v>
      </c>
      <c r="AV291" s="90">
        <v>0.0</v>
      </c>
      <c r="AW291" s="90">
        <v>0.0</v>
      </c>
      <c r="AX291" s="90">
        <v>0.0</v>
      </c>
      <c r="AY291" s="90">
        <v>0.0</v>
      </c>
      <c r="AZ291" s="90">
        <v>0.0</v>
      </c>
      <c r="BA291" s="90">
        <v>0.0</v>
      </c>
      <c r="BB291" s="90">
        <v>0.0</v>
      </c>
      <c r="BC291" s="90">
        <v>0.0</v>
      </c>
      <c r="BD291" s="90">
        <v>0.0</v>
      </c>
      <c r="BE291" s="90">
        <v>0.0</v>
      </c>
      <c r="BF291" s="90">
        <v>0.0</v>
      </c>
      <c r="BG291" s="79" t="str">
        <f t="array" ref="BG291">IF($A291="","", INDEX(CS!$B$1:$B$15025,MATCH($A291,CS!$B:$B,0)+COLUMN(A$1),1))</f>
        <v>粘液体当たり</v>
      </c>
      <c r="BH291" s="79" t="str">
        <f t="array" ref="BH291">IF($A291="","", INDEX(CS!$B$1:$B$15025,MATCH($A291,CS!$B:$B,0)+COLUMN(B$1),1))</f>
        <v>毒性粘液</v>
      </c>
      <c r="BI291" s="79" t="str">
        <f t="array" ref="BI291">IF($A291="","", INDEX(CS!$B$1:$B$15025,MATCH($A291,CS!$B:$B,0)+COLUMN(C$1),1))</f>
        <v>粘液拘束</v>
      </c>
      <c r="BJ291" s="79" t="str">
        <f t="array" ref="BJ291">IF($A291="","", INDEX(CS!$B$1:$B$15025,MATCH($A291,CS!$B:$B,0)+COLUMN(D$1),1))</f>
        <v/>
      </c>
      <c r="BK291" s="79" t="str">
        <f t="array" ref="BK291">IF($A291="","", INDEX(CS!$B$1:$B$15025,MATCH($A291,CS!$B:$B,0)+COLUMN(E$1),1))</f>
        <v>粘液噴射</v>
      </c>
      <c r="BL291" s="79" t="str">
        <f t="array" ref="BL291">IF($A291="","", INDEX(CS!$B$1:$B$15025,MATCH($A291,CS!$B:$B,0)+COLUMN(F$1),1))</f>
        <v/>
      </c>
      <c r="BM291" s="79" t="str">
        <f t="array" ref="BM291">IF($A291="","", INDEX(CS!$B$1:$B$15025,MATCH($A291,CS!$B:$B,0)+COLUMN(G$1),1))</f>
        <v>粘液防御</v>
      </c>
      <c r="BN291" s="79" t="str">
        <f t="array" ref="BN291">IF($A291="","", INDEX(CS!$B$1:$B$15025,MATCH($A291,CS!$B:$B,0)+COLUMN(H$1),1))</f>
        <v/>
      </c>
      <c r="BO291" s="79" t="str">
        <f t="array" ref="BO291">IF($A291="","", INDEX(CS!$B$1:$B$15025,MATCH($A291,CS!$B:$B,0)+COLUMN(I$1),1))</f>
        <v>軟体</v>
      </c>
      <c r="BP291" s="79" t="str">
        <f t="array" ref="BP291">IF($A291="","", INDEX(CS!$B$1:$B$15025,MATCH($A291,CS!$B:$B,0)+COLUMN(J$1),1))</f>
        <v/>
      </c>
      <c r="BQ291" s="79"/>
      <c r="BR291" s="79"/>
      <c r="BS291" s="83"/>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row>
    <row r="292" ht="18.75" customHeight="1" outlineLevel="1">
      <c r="A292" s="90" t="s">
        <v>1942</v>
      </c>
      <c r="B292" s="91"/>
      <c r="C292" s="79"/>
      <c r="D292" s="92" t="str">
        <f t="shared" si="17"/>
        <v>340/340/0</v>
      </c>
      <c r="E292" s="93">
        <v>1.0</v>
      </c>
      <c r="F292" s="90">
        <v>105.0</v>
      </c>
      <c r="G292" s="79"/>
      <c r="H292" s="79"/>
      <c r="I292" s="90">
        <v>80.0</v>
      </c>
      <c r="J292" s="90">
        <v>5.0</v>
      </c>
      <c r="K292" s="94">
        <v>40.0</v>
      </c>
      <c r="L292" s="90">
        <v>10.0</v>
      </c>
      <c r="M292" s="90">
        <v>40.0</v>
      </c>
      <c r="N292" s="90">
        <v>60.0</v>
      </c>
      <c r="O292" s="90">
        <v>110.0</v>
      </c>
      <c r="P292" s="90">
        <v>0.0</v>
      </c>
      <c r="Q292" s="100">
        <v>15.0</v>
      </c>
      <c r="R292" s="82"/>
      <c r="S292" s="100">
        <v>10.0</v>
      </c>
      <c r="T292" s="100">
        <v>25.0</v>
      </c>
      <c r="U292" s="100">
        <v>25.0</v>
      </c>
      <c r="V292" s="100">
        <v>-15.0</v>
      </c>
      <c r="W292" s="100">
        <v>100.0</v>
      </c>
      <c r="X292" s="100">
        <v>-45.0</v>
      </c>
      <c r="Y292" s="82"/>
      <c r="Z292" s="100">
        <v>100.0</v>
      </c>
      <c r="AA292" s="82"/>
      <c r="AB292" s="79"/>
      <c r="AC292" s="90">
        <v>100.0</v>
      </c>
      <c r="AD292" s="79"/>
      <c r="AE292" s="90">
        <v>100.0</v>
      </c>
      <c r="AF292" s="90">
        <v>25.0</v>
      </c>
      <c r="AG292" s="90">
        <v>100.0</v>
      </c>
      <c r="AH292" s="90">
        <v>25.0</v>
      </c>
      <c r="AI292" s="90">
        <v>25.0</v>
      </c>
      <c r="AJ292" s="90">
        <v>0.0</v>
      </c>
      <c r="AK292" s="90">
        <v>0.0</v>
      </c>
      <c r="AL292" s="90">
        <v>0.0</v>
      </c>
      <c r="AM292" s="90">
        <v>-25.0</v>
      </c>
      <c r="AN292" s="90">
        <v>0.0</v>
      </c>
      <c r="AO292" s="90">
        <v>0.0</v>
      </c>
      <c r="AP292" s="90">
        <v>0.0</v>
      </c>
      <c r="AQ292" s="90">
        <v>0.0</v>
      </c>
      <c r="AR292" s="90">
        <v>0.0</v>
      </c>
      <c r="AS292" s="90">
        <v>0.0</v>
      </c>
      <c r="AT292" s="90">
        <v>0.0</v>
      </c>
      <c r="AU292" s="90">
        <v>0.0</v>
      </c>
      <c r="AV292" s="90">
        <v>0.0</v>
      </c>
      <c r="AW292" s="90">
        <v>0.0</v>
      </c>
      <c r="AX292" s="90">
        <v>0.0</v>
      </c>
      <c r="AY292" s="90">
        <v>25.0</v>
      </c>
      <c r="AZ292" s="90">
        <v>0.0</v>
      </c>
      <c r="BA292" s="90">
        <v>0.0</v>
      </c>
      <c r="BB292" s="90">
        <v>0.0</v>
      </c>
      <c r="BC292" s="90">
        <v>0.0</v>
      </c>
      <c r="BD292" s="90">
        <v>0.0</v>
      </c>
      <c r="BE292" s="90">
        <v>0.0</v>
      </c>
      <c r="BF292" s="90">
        <v>50.0</v>
      </c>
      <c r="BG292" s="79" t="str">
        <f t="array" ref="BG292">IF($A292="","", INDEX(CS!$B$1:$B$15025,MATCH($A292,CS!$B:$B,0)+COLUMN(A$1),1))</f>
        <v>粘液体当たり</v>
      </c>
      <c r="BH292" s="79" t="str">
        <f t="array" ref="BH292">IF($A292="","", INDEX(CS!$B$1:$B$15025,MATCH($A292,CS!$B:$B,0)+COLUMN(B$1),1))</f>
        <v>灼熱粘液</v>
      </c>
      <c r="BI292" s="79" t="str">
        <f t="array" ref="BI292">IF($A292="","", INDEX(CS!$B$1:$B$15025,MATCH($A292,CS!$B:$B,0)+COLUMN(C$1),1))</f>
        <v>火炎飛沫</v>
      </c>
      <c r="BJ292" s="79" t="str">
        <f t="array" ref="BJ292">IF($A292="","", INDEX(CS!$B$1:$B$15025,MATCH($A292,CS!$B:$B,0)+COLUMN(D$1),1))</f>
        <v/>
      </c>
      <c r="BK292" s="79" t="str">
        <f t="array" ref="BK292">IF($A292="","", INDEX(CS!$B$1:$B$15025,MATCH($A292,CS!$B:$B,0)+COLUMN(E$1),1))</f>
        <v>粘液拘束</v>
      </c>
      <c r="BL292" s="79" t="str">
        <f t="array" ref="BL292">IF($A292="","", INDEX(CS!$B$1:$B$15025,MATCH($A292,CS!$B:$B,0)+COLUMN(F$1),1))</f>
        <v/>
      </c>
      <c r="BM292" s="79" t="str">
        <f t="array" ref="BM292">IF($A292="","", INDEX(CS!$B$1:$B$15025,MATCH($A292,CS!$B:$B,0)+COLUMN(G$1),1))</f>
        <v>軟体</v>
      </c>
      <c r="BN292" s="79" t="str">
        <f t="array" ref="BN292">IF($A292="","", INDEX(CS!$B$1:$B$15025,MATCH($A292,CS!$B:$B,0)+COLUMN(H$1),1))</f>
        <v/>
      </c>
      <c r="BO292" s="79" t="str">
        <f t="array" ref="BO292">IF($A292="","", INDEX(CS!$B$1:$B$15025,MATCH($A292,CS!$B:$B,0)+COLUMN(I$1),1))</f>
        <v>粘液防御</v>
      </c>
      <c r="BP292" s="79" t="str">
        <f t="array" ref="BP292">IF($A292="","", INDEX(CS!$B$1:$B$15025,MATCH($A292,CS!$B:$B,0)+COLUMN(J$1),1))</f>
        <v/>
      </c>
      <c r="BQ292" s="79"/>
      <c r="BR292" s="79"/>
      <c r="BS292" s="83"/>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row>
    <row r="293" ht="18.75" customHeight="1" outlineLevel="1">
      <c r="A293" s="90" t="s">
        <v>1947</v>
      </c>
      <c r="B293" s="91"/>
      <c r="C293" s="79"/>
      <c r="D293" s="92" t="str">
        <f t="shared" si="17"/>
        <v>300/300/0</v>
      </c>
      <c r="E293" s="93">
        <v>1.0</v>
      </c>
      <c r="F293" s="90">
        <v>105.0</v>
      </c>
      <c r="G293" s="79"/>
      <c r="H293" s="79"/>
      <c r="I293" s="90">
        <v>60.0</v>
      </c>
      <c r="J293" s="90">
        <v>10.0</v>
      </c>
      <c r="K293" s="94">
        <v>20.0</v>
      </c>
      <c r="L293" s="90">
        <v>10.0</v>
      </c>
      <c r="M293" s="90">
        <v>35.0</v>
      </c>
      <c r="N293" s="90">
        <v>60.0</v>
      </c>
      <c r="O293" s="90">
        <v>100.0</v>
      </c>
      <c r="P293" s="90">
        <v>0.0</v>
      </c>
      <c r="Q293" s="100">
        <v>20.0</v>
      </c>
      <c r="R293" s="100">
        <v>10.0</v>
      </c>
      <c r="S293" s="100">
        <v>20.0</v>
      </c>
      <c r="T293" s="100">
        <v>35.0</v>
      </c>
      <c r="U293" s="100">
        <v>30.0</v>
      </c>
      <c r="V293" s="100">
        <v>-30.0</v>
      </c>
      <c r="W293" s="82"/>
      <c r="X293" s="82"/>
      <c r="Y293" s="82"/>
      <c r="Z293" s="100">
        <v>100.0</v>
      </c>
      <c r="AA293" s="82"/>
      <c r="AB293" s="79"/>
      <c r="AC293" s="90">
        <v>100.0</v>
      </c>
      <c r="AD293" s="79"/>
      <c r="AE293" s="90">
        <v>100.0</v>
      </c>
      <c r="AF293" s="79"/>
      <c r="AG293" s="90">
        <v>100.0</v>
      </c>
      <c r="AH293" s="90">
        <v>35.0</v>
      </c>
      <c r="AI293" s="90">
        <v>25.0</v>
      </c>
      <c r="AJ293" s="90">
        <v>0.0</v>
      </c>
      <c r="AK293" s="90">
        <v>0.0</v>
      </c>
      <c r="AL293" s="90">
        <v>0.0</v>
      </c>
      <c r="AM293" s="90">
        <v>-25.0</v>
      </c>
      <c r="AN293" s="90">
        <v>25.0</v>
      </c>
      <c r="AO293" s="90">
        <v>0.0</v>
      </c>
      <c r="AP293" s="90">
        <v>0.0</v>
      </c>
      <c r="AQ293" s="90">
        <v>0.0</v>
      </c>
      <c r="AR293" s="90">
        <v>0.0</v>
      </c>
      <c r="AS293" s="90">
        <v>0.0</v>
      </c>
      <c r="AT293" s="90">
        <v>0.0</v>
      </c>
      <c r="AU293" s="90">
        <v>0.0</v>
      </c>
      <c r="AV293" s="90">
        <v>0.0</v>
      </c>
      <c r="AW293" s="90">
        <v>0.0</v>
      </c>
      <c r="AX293" s="90">
        <v>0.0</v>
      </c>
      <c r="AY293" s="90">
        <v>0.0</v>
      </c>
      <c r="AZ293" s="90">
        <v>0.0</v>
      </c>
      <c r="BA293" s="90">
        <v>0.0</v>
      </c>
      <c r="BB293" s="90">
        <v>0.0</v>
      </c>
      <c r="BC293" s="90">
        <v>0.0</v>
      </c>
      <c r="BD293" s="90">
        <v>0.0</v>
      </c>
      <c r="BE293" s="90">
        <v>0.0</v>
      </c>
      <c r="BF293" s="90">
        <v>150.0</v>
      </c>
      <c r="BG293" s="79" t="str">
        <f t="array" ref="BG293">IF($A293="","", INDEX(CS!$B$1:$B$15025,MATCH($A293,CS!$B:$B,0)+COLUMN(A$1),1))</f>
        <v>粘液体当たり</v>
      </c>
      <c r="BH293" s="79" t="str">
        <f t="array" ref="BH293">IF($A293="","", INDEX(CS!$B$1:$B$15025,MATCH($A293,CS!$B:$B,0)+COLUMN(B$1),1))</f>
        <v>結晶突起</v>
      </c>
      <c r="BI293" s="79" t="str">
        <f t="array" ref="BI293">IF($A293="","", INDEX(CS!$B$1:$B$15025,MATCH($A293,CS!$B:$B,0)+COLUMN(C$1),1))</f>
        <v>結晶突起強化</v>
      </c>
      <c r="BJ293" s="79" t="str">
        <f t="array" ref="BJ293">IF($A293="","", INDEX(CS!$B$1:$B$15025,MATCH($A293,CS!$B:$B,0)+COLUMN(D$1),1))</f>
        <v/>
      </c>
      <c r="BK293" s="79" t="str">
        <f t="array" ref="BK293">IF($A293="","", INDEX(CS!$B$1:$B$15025,MATCH($A293,CS!$B:$B,0)+COLUMN(E$1),1))</f>
        <v>粘液拘束</v>
      </c>
      <c r="BL293" s="79" t="str">
        <f t="array" ref="BL293">IF($A293="","", INDEX(CS!$B$1:$B$15025,MATCH($A293,CS!$B:$B,0)+COLUMN(F$1),1))</f>
        <v/>
      </c>
      <c r="BM293" s="79" t="str">
        <f t="array" ref="BM293">IF($A293="","", INDEX(CS!$B$1:$B$15025,MATCH($A293,CS!$B:$B,0)+COLUMN(G$1),1))</f>
        <v>軟体</v>
      </c>
      <c r="BN293" s="79" t="str">
        <f t="array" ref="BN293">IF($A293="","", INDEX(CS!$B$1:$B$15025,MATCH($A293,CS!$B:$B,0)+COLUMN(H$1),1))</f>
        <v/>
      </c>
      <c r="BO293" s="79" t="str">
        <f t="array" ref="BO293">IF($A293="","", INDEX(CS!$B$1:$B$15025,MATCH($A293,CS!$B:$B,0)+COLUMN(I$1),1))</f>
        <v>粘液防御</v>
      </c>
      <c r="BP293" s="79" t="str">
        <f t="array" ref="BP293">IF($A293="","", INDEX(CS!$B$1:$B$15025,MATCH($A293,CS!$B:$B,0)+COLUMN(J$1),1))</f>
        <v/>
      </c>
      <c r="BQ293" s="79"/>
      <c r="BR293" s="79"/>
      <c r="BS293" s="83"/>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row>
    <row r="294" ht="18.75" customHeight="1" outlineLevel="1">
      <c r="A294" s="90" t="s">
        <v>1952</v>
      </c>
      <c r="B294" s="91"/>
      <c r="C294" s="79"/>
      <c r="D294" s="92" t="str">
        <f t="shared" si="17"/>
        <v>340/315/25</v>
      </c>
      <c r="E294" s="93">
        <v>1.0</v>
      </c>
      <c r="F294" s="90">
        <v>100.0</v>
      </c>
      <c r="G294" s="79"/>
      <c r="H294" s="79"/>
      <c r="I294" s="90">
        <v>65.0</v>
      </c>
      <c r="J294" s="90">
        <v>5.0</v>
      </c>
      <c r="K294" s="94">
        <v>40.0</v>
      </c>
      <c r="L294" s="90">
        <v>10.0</v>
      </c>
      <c r="M294" s="90">
        <v>35.0</v>
      </c>
      <c r="N294" s="90">
        <v>60.0</v>
      </c>
      <c r="O294" s="90">
        <v>105.0</v>
      </c>
      <c r="P294" s="90">
        <v>0.0</v>
      </c>
      <c r="Q294" s="100">
        <v>15.0</v>
      </c>
      <c r="R294" s="82"/>
      <c r="S294" s="100">
        <v>15.0</v>
      </c>
      <c r="T294" s="100">
        <v>25.0</v>
      </c>
      <c r="U294" s="100">
        <v>25.0</v>
      </c>
      <c r="V294" s="100">
        <v>-15.0</v>
      </c>
      <c r="W294" s="100">
        <v>-45.0</v>
      </c>
      <c r="X294" s="100">
        <v>100.0</v>
      </c>
      <c r="Y294" s="82"/>
      <c r="Z294" s="100">
        <v>100.0</v>
      </c>
      <c r="AA294" s="82"/>
      <c r="AB294" s="79"/>
      <c r="AC294" s="90">
        <v>100.0</v>
      </c>
      <c r="AD294" s="79"/>
      <c r="AE294" s="90">
        <v>100.0</v>
      </c>
      <c r="AF294" s="90">
        <v>25.0</v>
      </c>
      <c r="AG294" s="90">
        <v>100.0</v>
      </c>
      <c r="AH294" s="90">
        <v>25.0</v>
      </c>
      <c r="AI294" s="90">
        <v>25.0</v>
      </c>
      <c r="AJ294" s="90">
        <v>0.0</v>
      </c>
      <c r="AK294" s="90">
        <v>0.0</v>
      </c>
      <c r="AL294" s="90">
        <v>0.0</v>
      </c>
      <c r="AM294" s="90">
        <v>-25.0</v>
      </c>
      <c r="AN294" s="90">
        <v>0.0</v>
      </c>
      <c r="AO294" s="90">
        <v>0.0</v>
      </c>
      <c r="AP294" s="90">
        <v>0.0</v>
      </c>
      <c r="AQ294" s="90">
        <v>25.0</v>
      </c>
      <c r="AR294" s="90">
        <v>0.0</v>
      </c>
      <c r="AS294" s="90">
        <v>0.0</v>
      </c>
      <c r="AT294" s="90">
        <v>0.0</v>
      </c>
      <c r="AU294" s="90">
        <v>0.0</v>
      </c>
      <c r="AV294" s="90">
        <v>0.0</v>
      </c>
      <c r="AW294" s="90">
        <v>0.0</v>
      </c>
      <c r="AX294" s="90">
        <v>0.0</v>
      </c>
      <c r="AY294" s="90">
        <v>25.0</v>
      </c>
      <c r="AZ294" s="90">
        <v>0.0</v>
      </c>
      <c r="BA294" s="90">
        <v>0.0</v>
      </c>
      <c r="BB294" s="90">
        <v>0.0</v>
      </c>
      <c r="BC294" s="90">
        <v>0.0</v>
      </c>
      <c r="BD294" s="90">
        <v>0.0</v>
      </c>
      <c r="BE294" s="90">
        <v>0.0</v>
      </c>
      <c r="BF294" s="90">
        <v>80.0</v>
      </c>
      <c r="BG294" s="79" t="str">
        <f t="array" ref="BG294">IF($A294="","", INDEX(CS!$B$1:$B$15025,MATCH($A294,CS!$B:$B,0)+COLUMN(A$1),1))</f>
        <v>粘液体当たり</v>
      </c>
      <c r="BH294" s="79" t="str">
        <f t="array" ref="BH294">IF($A294="","", INDEX(CS!$B$1:$B$15025,MATCH($A294,CS!$B:$B,0)+COLUMN(B$1),1))</f>
        <v>氷結粘液</v>
      </c>
      <c r="BI294" s="79" t="str">
        <f t="array" ref="BI294">IF($A294="","", INDEX(CS!$B$1:$B$15025,MATCH($A294,CS!$B:$B,0)+COLUMN(C$1),1))</f>
        <v>氷片飛ばし</v>
      </c>
      <c r="BJ294" s="79" t="str">
        <f t="array" ref="BJ294">IF($A294="","", INDEX(CS!$B$1:$B$15025,MATCH($A294,CS!$B:$B,0)+COLUMN(D$1),1))</f>
        <v/>
      </c>
      <c r="BK294" s="79" t="str">
        <f t="array" ref="BK294">IF($A294="","", INDEX(CS!$B$1:$B$15025,MATCH($A294,CS!$B:$B,0)+COLUMN(E$1),1))</f>
        <v>粘液拘束</v>
      </c>
      <c r="BL294" s="79" t="str">
        <f t="array" ref="BL294">IF($A294="","", INDEX(CS!$B$1:$B$15025,MATCH($A294,CS!$B:$B,0)+COLUMN(F$1),1))</f>
        <v/>
      </c>
      <c r="BM294" s="79" t="str">
        <f t="array" ref="BM294">IF($A294="","", INDEX(CS!$B$1:$B$15025,MATCH($A294,CS!$B:$B,0)+COLUMN(G$1),1))</f>
        <v>軟体</v>
      </c>
      <c r="BN294" s="79" t="str">
        <f t="array" ref="BN294">IF($A294="","", INDEX(CS!$B$1:$B$15025,MATCH($A294,CS!$B:$B,0)+COLUMN(H$1),1))</f>
        <v/>
      </c>
      <c r="BO294" s="79" t="str">
        <f t="array" ref="BO294">IF($A294="","", INDEX(CS!$B$1:$B$15025,MATCH($A294,CS!$B:$B,0)+COLUMN(I$1),1))</f>
        <v>粘液防御</v>
      </c>
      <c r="BP294" s="79" t="str">
        <f t="array" ref="BP294">IF($A294="","", INDEX(CS!$B$1:$B$15025,MATCH($A294,CS!$B:$B,0)+COLUMN(J$1),1))</f>
        <v/>
      </c>
      <c r="BQ294" s="79"/>
      <c r="BR294" s="79"/>
      <c r="BS294" s="83"/>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row>
    <row r="295" ht="18.75" customHeight="1" outlineLevel="1">
      <c r="A295" s="90" t="s">
        <v>1957</v>
      </c>
      <c r="B295" s="91"/>
      <c r="C295" s="79"/>
      <c r="D295" s="92" t="str">
        <f t="shared" si="17"/>
        <v>580/405/175</v>
      </c>
      <c r="E295" s="93">
        <v>1.0</v>
      </c>
      <c r="F295" s="90">
        <v>120.0</v>
      </c>
      <c r="G295" s="79"/>
      <c r="H295" s="79"/>
      <c r="I295" s="90">
        <v>85.0</v>
      </c>
      <c r="J295" s="90">
        <v>10.0</v>
      </c>
      <c r="K295" s="94">
        <v>50.0</v>
      </c>
      <c r="L295" s="90">
        <v>20.0</v>
      </c>
      <c r="M295" s="90">
        <v>55.0</v>
      </c>
      <c r="N295" s="90">
        <v>65.0</v>
      </c>
      <c r="O295" s="90">
        <v>120.0</v>
      </c>
      <c r="P295" s="90">
        <v>-50.0</v>
      </c>
      <c r="Q295" s="100">
        <v>20.0</v>
      </c>
      <c r="R295" s="100">
        <v>10.0</v>
      </c>
      <c r="S295" s="100">
        <v>15.0</v>
      </c>
      <c r="T295" s="100">
        <v>30.0</v>
      </c>
      <c r="U295" s="100">
        <v>30.0</v>
      </c>
      <c r="V295" s="100">
        <v>-10.0</v>
      </c>
      <c r="W295" s="82"/>
      <c r="X295" s="82"/>
      <c r="Y295" s="82"/>
      <c r="Z295" s="100">
        <v>75.0</v>
      </c>
      <c r="AA295" s="82"/>
      <c r="AB295" s="79"/>
      <c r="AC295" s="90">
        <v>50.0</v>
      </c>
      <c r="AD295" s="90">
        <v>25.0</v>
      </c>
      <c r="AE295" s="90">
        <v>75.0</v>
      </c>
      <c r="AF295" s="90">
        <v>35.0</v>
      </c>
      <c r="AG295" s="90">
        <v>50.0</v>
      </c>
      <c r="AH295" s="90">
        <v>25.0</v>
      </c>
      <c r="AI295" s="90">
        <v>25.0</v>
      </c>
      <c r="AJ295" s="90">
        <v>0.0</v>
      </c>
      <c r="AK295" s="90">
        <v>75.0</v>
      </c>
      <c r="AL295" s="90">
        <v>25.0</v>
      </c>
      <c r="AM295" s="90">
        <v>25.0</v>
      </c>
      <c r="AN295" s="90">
        <v>0.0</v>
      </c>
      <c r="AO295" s="90">
        <v>0.0</v>
      </c>
      <c r="AP295" s="90">
        <v>0.0</v>
      </c>
      <c r="AQ295" s="90">
        <v>50.0</v>
      </c>
      <c r="AR295" s="90">
        <v>0.0</v>
      </c>
      <c r="AS295" s="90">
        <v>0.0</v>
      </c>
      <c r="AT295" s="90">
        <v>0.0</v>
      </c>
      <c r="AU295" s="90">
        <v>0.0</v>
      </c>
      <c r="AV295" s="90">
        <v>0.0</v>
      </c>
      <c r="AW295" s="90">
        <v>0.0</v>
      </c>
      <c r="AX295" s="90">
        <v>0.0</v>
      </c>
      <c r="AY295" s="90">
        <v>0.0</v>
      </c>
      <c r="AZ295" s="90">
        <v>0.0</v>
      </c>
      <c r="BA295" s="90">
        <v>0.0</v>
      </c>
      <c r="BB295" s="90">
        <v>0.0</v>
      </c>
      <c r="BC295" s="90">
        <v>0.0</v>
      </c>
      <c r="BD295" s="90">
        <v>0.0</v>
      </c>
      <c r="BE295" s="90">
        <v>0.0</v>
      </c>
      <c r="BF295" s="90">
        <v>0.0</v>
      </c>
      <c r="BG295" s="79" t="str">
        <f t="array" ref="BG295">IF($A295="","", INDEX(CS!$B$1:$B$15025,MATCH($A295,CS!$B:$B,0)+COLUMN(A$1),1))</f>
        <v>触手乱打</v>
      </c>
      <c r="BH295" s="79" t="str">
        <f t="array" ref="BH295">IF($A295="","", INDEX(CS!$B$1:$B$15025,MATCH($A295,CS!$B:$B,0)+COLUMN(B$1),1))</f>
        <v>触手拘束</v>
      </c>
      <c r="BI295" s="79" t="str">
        <f t="array" ref="BI295">IF($A295="","", INDEX(CS!$B$1:$B$15025,MATCH($A295,CS!$B:$B,0)+COLUMN(C$1),1))</f>
        <v>異形の触手</v>
      </c>
      <c r="BJ295" s="79" t="str">
        <f t="array" ref="BJ295">IF($A295="","", INDEX(CS!$B$1:$B$15025,MATCH($A295,CS!$B:$B,0)+COLUMN(D$1),1))</f>
        <v>軟体</v>
      </c>
      <c r="BK295" s="79" t="str">
        <f t="array" ref="BK295">IF($A295="","", INDEX(CS!$B$1:$B$15025,MATCH($A295,CS!$B:$B,0)+COLUMN(E$1),1))</f>
        <v/>
      </c>
      <c r="BL295" s="79" t="str">
        <f t="array" ref="BL295">IF($A295="","", INDEX(CS!$B$1:$B$15025,MATCH($A295,CS!$B:$B,0)+COLUMN(F$1),1))</f>
        <v>粘液噴射</v>
      </c>
      <c r="BM295" s="79" t="str">
        <f t="array" ref="BM295">IF($A295="","", INDEX(CS!$B$1:$B$15025,MATCH($A295,CS!$B:$B,0)+COLUMN(G$1),1))</f>
        <v/>
      </c>
      <c r="BN295" s="79" t="str">
        <f t="array" ref="BN295">IF($A295="","", INDEX(CS!$B$1:$B$15025,MATCH($A295,CS!$B:$B,0)+COLUMN(H$1),1))</f>
        <v>粘液防御</v>
      </c>
      <c r="BO295" s="79" t="str">
        <f t="array" ref="BO295">IF($A295="","", INDEX(CS!$B$1:$B$15025,MATCH($A295,CS!$B:$B,0)+COLUMN(I$1),1))</f>
        <v/>
      </c>
      <c r="BP295" s="79" t="str">
        <f t="array" ref="BP295">IF($A295="","", INDEX(CS!$B$1:$B$15025,MATCH($A295,CS!$B:$B,0)+COLUMN(J$1),1))</f>
        <v/>
      </c>
      <c r="BQ295" s="79"/>
      <c r="BR295" s="79"/>
      <c r="BS295" s="83"/>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row>
    <row r="296" ht="18.75" customHeight="1">
      <c r="A296" s="79"/>
      <c r="B296" s="95"/>
      <c r="C296" s="79"/>
      <c r="D296" s="98"/>
      <c r="E296" s="99"/>
      <c r="F296" s="79"/>
      <c r="G296" s="79"/>
      <c r="H296" s="79"/>
      <c r="I296" s="79"/>
      <c r="J296" s="79"/>
      <c r="K296" s="81"/>
      <c r="L296" s="79"/>
      <c r="M296" s="79"/>
      <c r="N296" s="79"/>
      <c r="O296" s="79"/>
      <c r="P296" s="79" t="s">
        <v>29</v>
      </c>
      <c r="Q296" s="82"/>
      <c r="R296" s="82"/>
      <c r="S296" s="82"/>
      <c r="T296" s="82"/>
      <c r="U296" s="82"/>
      <c r="V296" s="82"/>
      <c r="W296" s="82"/>
      <c r="X296" s="82"/>
      <c r="Y296" s="82"/>
      <c r="Z296" s="82"/>
      <c r="AA296" s="82"/>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79"/>
      <c r="AZ296" s="79"/>
      <c r="BA296" s="79"/>
      <c r="BB296" s="79"/>
      <c r="BC296" s="79"/>
      <c r="BD296" s="79"/>
      <c r="BE296" s="79"/>
      <c r="BF296" s="79"/>
      <c r="BG296" s="79" t="str">
        <f t="array" ref="BG296">IF($A296="","", INDEX(CS!$B$1:$B$15025,MATCH($A296,CS!$B:$B,0)+COLUMN(A$1),1))</f>
        <v/>
      </c>
      <c r="BH296" s="79" t="str">
        <f t="array" ref="BH296">IF($A296="","", INDEX(CS!$B$1:$B$15025,MATCH($A296,CS!$B:$B,0)+COLUMN(B$1),1))</f>
        <v/>
      </c>
      <c r="BI296" s="79" t="str">
        <f t="array" ref="BI296">IF($A296="","", INDEX(CS!$B$1:$B$15025,MATCH($A296,CS!$B:$B,0)+COLUMN(C$1),1))</f>
        <v/>
      </c>
      <c r="BJ296" s="79" t="str">
        <f t="array" ref="BJ296">IF($A296="","", INDEX(CS!$B$1:$B$15025,MATCH($A296,CS!$B:$B,0)+COLUMN(D$1),1))</f>
        <v/>
      </c>
      <c r="BK296" s="79" t="str">
        <f t="array" ref="BK296">IF($A296="","", INDEX(CS!$B$1:$B$15025,MATCH($A296,CS!$B:$B,0)+COLUMN(E$1),1))</f>
        <v/>
      </c>
      <c r="BL296" s="79" t="str">
        <f t="array" ref="BL296">IF($A296="","", INDEX(CS!$B$1:$B$15025,MATCH($A296,CS!$B:$B,0)+COLUMN(F$1),1))</f>
        <v/>
      </c>
      <c r="BM296" s="79" t="str">
        <f t="array" ref="BM296">IF($A296="","", INDEX(CS!$B$1:$B$15025,MATCH($A296,CS!$B:$B,0)+COLUMN(G$1),1))</f>
        <v/>
      </c>
      <c r="BN296" s="79" t="str">
        <f t="array" ref="BN296">IF($A296="","", INDEX(CS!$B$1:$B$15025,MATCH($A296,CS!$B:$B,0)+COLUMN(H$1),1))</f>
        <v/>
      </c>
      <c r="BO296" s="79" t="str">
        <f t="array" ref="BO296">IF($A296="","", INDEX(CS!$B$1:$B$15025,MATCH($A296,CS!$B:$B,0)+COLUMN(I$1),1))</f>
        <v/>
      </c>
      <c r="BP296" s="79" t="str">
        <f t="array" ref="BP296">IF($A296="","", INDEX(CS!$B$1:$B$15025,MATCH($A296,CS!$B:$B,0)+COLUMN(J$1),1))</f>
        <v/>
      </c>
      <c r="BQ296" s="79"/>
      <c r="BR296" s="79"/>
      <c r="BS296" s="83"/>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row>
    <row r="297" ht="18.75" customHeight="1">
      <c r="A297" s="79"/>
      <c r="B297" s="95" t="s">
        <v>2913</v>
      </c>
      <c r="C297" s="79"/>
      <c r="D297" s="98" t="str">
        <f t="shared" ref="D297:D451" si="18">SUM(AJ297:AZ297,F297:N297)&amp;"/"&amp;SUM(F297:N297)&amp;"/"&amp;SUM(AJ297:AZ297)</f>
        <v>0/0/0</v>
      </c>
      <c r="E297" s="99">
        <v>1.0</v>
      </c>
      <c r="F297" s="79"/>
      <c r="G297" s="79"/>
      <c r="H297" s="79"/>
      <c r="I297" s="79"/>
      <c r="J297" s="79"/>
      <c r="K297" s="81"/>
      <c r="L297" s="79"/>
      <c r="M297" s="79"/>
      <c r="N297" s="79"/>
      <c r="O297" s="79"/>
      <c r="P297" s="79" t="s">
        <v>29</v>
      </c>
      <c r="Q297" s="82"/>
      <c r="R297" s="82"/>
      <c r="S297" s="82"/>
      <c r="T297" s="82"/>
      <c r="U297" s="82"/>
      <c r="V297" s="82"/>
      <c r="W297" s="82"/>
      <c r="X297" s="82"/>
      <c r="Y297" s="82"/>
      <c r="Z297" s="82"/>
      <c r="AA297" s="82"/>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79"/>
      <c r="AZ297" s="79"/>
      <c r="BA297" s="79"/>
      <c r="BB297" s="79"/>
      <c r="BC297" s="79"/>
      <c r="BD297" s="79"/>
      <c r="BE297" s="79"/>
      <c r="BF297" s="79"/>
      <c r="BG297" s="79" t="str">
        <f t="array" ref="BG297">IF($A297="","", INDEX(CS!$B$1:$B$15025,MATCH($A297,CS!$B:$B,0)+COLUMN(A$1),1))</f>
        <v/>
      </c>
      <c r="BH297" s="79" t="str">
        <f t="array" ref="BH297">IF($A297="","", INDEX(CS!$B$1:$B$15025,MATCH($A297,CS!$B:$B,0)+COLUMN(B$1),1))</f>
        <v/>
      </c>
      <c r="BI297" s="79" t="str">
        <f t="array" ref="BI297">IF($A297="","", INDEX(CS!$B$1:$B$15025,MATCH($A297,CS!$B:$B,0)+COLUMN(C$1),1))</f>
        <v/>
      </c>
      <c r="BJ297" s="79" t="str">
        <f t="array" ref="BJ297">IF($A297="","", INDEX(CS!$B$1:$B$15025,MATCH($A297,CS!$B:$B,0)+COLUMN(D$1),1))</f>
        <v/>
      </c>
      <c r="BK297" s="79" t="str">
        <f t="array" ref="BK297">IF($A297="","", INDEX(CS!$B$1:$B$15025,MATCH($A297,CS!$B:$B,0)+COLUMN(E$1),1))</f>
        <v/>
      </c>
      <c r="BL297" s="79" t="str">
        <f t="array" ref="BL297">IF($A297="","", INDEX(CS!$B$1:$B$15025,MATCH($A297,CS!$B:$B,0)+COLUMN(F$1),1))</f>
        <v/>
      </c>
      <c r="BM297" s="79" t="str">
        <f t="array" ref="BM297">IF($A297="","", INDEX(CS!$B$1:$B$15025,MATCH($A297,CS!$B:$B,0)+COLUMN(G$1),1))</f>
        <v/>
      </c>
      <c r="BN297" s="79" t="str">
        <f t="array" ref="BN297">IF($A297="","", INDEX(CS!$B$1:$B$15025,MATCH($A297,CS!$B:$B,0)+COLUMN(H$1),1))</f>
        <v/>
      </c>
      <c r="BO297" s="79" t="str">
        <f t="array" ref="BO297">IF($A297="","", INDEX(CS!$B$1:$B$15025,MATCH($A297,CS!$B:$B,0)+COLUMN(I$1),1))</f>
        <v/>
      </c>
      <c r="BP297" s="79" t="str">
        <f t="array" ref="BP297">IF($A297="","", INDEX(CS!$B$1:$B$15025,MATCH($A297,CS!$B:$B,0)+COLUMN(J$1),1))</f>
        <v/>
      </c>
      <c r="BQ297" s="79"/>
      <c r="BR297" s="79"/>
      <c r="BS297" s="83"/>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row>
    <row r="298" ht="18.75" customHeight="1" outlineLevel="1">
      <c r="A298" s="90" t="s">
        <v>1965</v>
      </c>
      <c r="B298" s="91"/>
      <c r="C298" s="79"/>
      <c r="D298" s="92" t="str">
        <f t="shared" si="18"/>
        <v>320/320/0</v>
      </c>
      <c r="E298" s="93">
        <v>1.0</v>
      </c>
      <c r="F298" s="90">
        <v>110.0</v>
      </c>
      <c r="G298" s="79"/>
      <c r="H298" s="79"/>
      <c r="I298" s="90">
        <v>85.0</v>
      </c>
      <c r="J298" s="90">
        <v>15.0</v>
      </c>
      <c r="K298" s="94">
        <v>0.0</v>
      </c>
      <c r="L298" s="90">
        <v>0.0</v>
      </c>
      <c r="M298" s="90">
        <v>45.0</v>
      </c>
      <c r="N298" s="90">
        <v>65.0</v>
      </c>
      <c r="O298" s="90">
        <v>230.0</v>
      </c>
      <c r="P298" s="90">
        <v>0.0</v>
      </c>
      <c r="Q298" s="100">
        <v>10.0</v>
      </c>
      <c r="R298" s="82"/>
      <c r="S298" s="82"/>
      <c r="T298" s="100">
        <v>-15.0</v>
      </c>
      <c r="U298" s="100">
        <v>10.0</v>
      </c>
      <c r="V298" s="100">
        <v>10.0</v>
      </c>
      <c r="W298" s="100">
        <v>-45.0</v>
      </c>
      <c r="X298" s="82"/>
      <c r="Y298" s="82"/>
      <c r="Z298" s="100">
        <v>100.0</v>
      </c>
      <c r="AA298" s="82"/>
      <c r="AB298" s="79"/>
      <c r="AC298" s="90">
        <v>100.0</v>
      </c>
      <c r="AD298" s="90">
        <v>50.0</v>
      </c>
      <c r="AE298" s="90">
        <v>100.0</v>
      </c>
      <c r="AF298" s="90">
        <v>25.0</v>
      </c>
      <c r="AG298" s="90">
        <v>100.0</v>
      </c>
      <c r="AH298" s="90">
        <v>25.0</v>
      </c>
      <c r="AI298" s="90">
        <v>25.0</v>
      </c>
      <c r="AJ298" s="90">
        <v>0.0</v>
      </c>
      <c r="AK298" s="90">
        <v>0.0</v>
      </c>
      <c r="AL298" s="90">
        <v>0.0</v>
      </c>
      <c r="AM298" s="90">
        <v>0.0</v>
      </c>
      <c r="AN298" s="90">
        <v>0.0</v>
      </c>
      <c r="AO298" s="90">
        <v>0.0</v>
      </c>
      <c r="AP298" s="90">
        <v>0.0</v>
      </c>
      <c r="AQ298" s="90">
        <v>0.0</v>
      </c>
      <c r="AR298" s="90">
        <v>0.0</v>
      </c>
      <c r="AS298" s="90">
        <v>0.0</v>
      </c>
      <c r="AT298" s="90">
        <v>0.0</v>
      </c>
      <c r="AU298" s="90">
        <v>0.0</v>
      </c>
      <c r="AV298" s="90">
        <v>0.0</v>
      </c>
      <c r="AW298" s="90">
        <v>0.0</v>
      </c>
      <c r="AX298" s="90">
        <v>0.0</v>
      </c>
      <c r="AY298" s="90">
        <v>0.0</v>
      </c>
      <c r="AZ298" s="90">
        <v>0.0</v>
      </c>
      <c r="BA298" s="79"/>
      <c r="BB298" s="79"/>
      <c r="BC298" s="79"/>
      <c r="BD298" s="79"/>
      <c r="BE298" s="79"/>
      <c r="BF298" s="79"/>
      <c r="BG298" s="79" t="str">
        <f t="array" ref="BG298">IF($A298="","", INDEX(CS!$B$1:$B$15025,MATCH($A298,CS!$B:$B,0)+COLUMN(A$1),1))</f>
        <v>ゴーレム拳</v>
      </c>
      <c r="BH298" s="79" t="str">
        <f t="array" ref="BH298">IF($A298="","", INDEX(CS!$B$1:$B$15025,MATCH($A298,CS!$B:$B,0)+COLUMN(B$1),1))</f>
        <v>ゴーレム投石</v>
      </c>
      <c r="BI298" s="79" t="str">
        <f t="array" ref="BI298">IF($A298="","", INDEX(CS!$B$1:$B$15025,MATCH($A298,CS!$B:$B,0)+COLUMN(C$1),1))</f>
        <v>堅牢な体</v>
      </c>
      <c r="BJ298" s="79" t="str">
        <f t="array" ref="BJ298">IF($A298="","", INDEX(CS!$B$1:$B$15025,MATCH($A298,CS!$B:$B,0)+COLUMN(D$1),1))</f>
        <v/>
      </c>
      <c r="BK298" s="79" t="str">
        <f t="array" ref="BK298">IF($A298="","", INDEX(CS!$B$1:$B$15025,MATCH($A298,CS!$B:$B,0)+COLUMN(E$1),1))</f>
        <v>踏みつけ</v>
      </c>
      <c r="BL298" s="79" t="str">
        <f t="array" ref="BL298">IF($A298="","", INDEX(CS!$B$1:$B$15025,MATCH($A298,CS!$B:$B,0)+COLUMN(F$1),1))</f>
        <v/>
      </c>
      <c r="BM298" s="79" t="str">
        <f t="array" ref="BM298">IF($A298="","", INDEX(CS!$B$1:$B$15025,MATCH($A298,CS!$B:$B,0)+COLUMN(G$1),1))</f>
        <v>魔法核</v>
      </c>
      <c r="BN298" s="79" t="str">
        <f t="array" ref="BN298">IF($A298="","", INDEX(CS!$B$1:$B$15025,MATCH($A298,CS!$B:$B,0)+COLUMN(H$1),1))</f>
        <v/>
      </c>
      <c r="BO298" s="79" t="str">
        <f t="array" ref="BO298">IF($A298="","", INDEX(CS!$B$1:$B$15025,MATCH($A298,CS!$B:$B,0)+COLUMN(I$1),1))</f>
        <v>樹皮</v>
      </c>
      <c r="BP298" s="79" t="str">
        <f t="array" ref="BP298">IF($A298="","", INDEX(CS!$B$1:$B$15025,MATCH($A298,CS!$B:$B,0)+COLUMN(J$1),1))</f>
        <v/>
      </c>
      <c r="BQ298" s="79"/>
      <c r="BR298" s="79"/>
      <c r="BS298" s="83"/>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row>
    <row r="299" ht="18.75" customHeight="1" outlineLevel="1">
      <c r="A299" s="90" t="s">
        <v>1974</v>
      </c>
      <c r="B299" s="91"/>
      <c r="C299" s="79"/>
      <c r="D299" s="92" t="str">
        <f t="shared" si="18"/>
        <v>320/320/0</v>
      </c>
      <c r="E299" s="93">
        <v>1.0</v>
      </c>
      <c r="F299" s="90">
        <v>125.0</v>
      </c>
      <c r="G299" s="79"/>
      <c r="H299" s="79"/>
      <c r="I299" s="90">
        <v>90.0</v>
      </c>
      <c r="J299" s="90">
        <v>10.0</v>
      </c>
      <c r="K299" s="94">
        <v>0.0</v>
      </c>
      <c r="L299" s="90">
        <v>0.0</v>
      </c>
      <c r="M299" s="90">
        <v>35.0</v>
      </c>
      <c r="N299" s="90">
        <v>60.0</v>
      </c>
      <c r="O299" s="90">
        <v>260.0</v>
      </c>
      <c r="P299" s="90">
        <v>0.0</v>
      </c>
      <c r="Q299" s="100">
        <v>15.0</v>
      </c>
      <c r="R299" s="82"/>
      <c r="S299" s="100">
        <v>10.0</v>
      </c>
      <c r="T299" s="100">
        <v>20.0</v>
      </c>
      <c r="U299" s="100">
        <v>20.0</v>
      </c>
      <c r="V299" s="100">
        <v>-15.0</v>
      </c>
      <c r="W299" s="82"/>
      <c r="X299" s="82"/>
      <c r="Y299" s="82"/>
      <c r="Z299" s="100">
        <v>100.0</v>
      </c>
      <c r="AA299" s="82"/>
      <c r="AB299" s="79"/>
      <c r="AC299" s="90">
        <v>100.0</v>
      </c>
      <c r="AD299" s="90">
        <v>60.0</v>
      </c>
      <c r="AE299" s="90">
        <v>100.0</v>
      </c>
      <c r="AF299" s="90">
        <v>30.0</v>
      </c>
      <c r="AG299" s="90">
        <v>100.0</v>
      </c>
      <c r="AH299" s="90">
        <v>30.0</v>
      </c>
      <c r="AI299" s="90">
        <v>30.0</v>
      </c>
      <c r="AJ299" s="90">
        <v>0.0</v>
      </c>
      <c r="AK299" s="90">
        <v>0.0</v>
      </c>
      <c r="AL299" s="90">
        <v>0.0</v>
      </c>
      <c r="AM299" s="90">
        <v>0.0</v>
      </c>
      <c r="AN299" s="90">
        <v>0.0</v>
      </c>
      <c r="AO299" s="90">
        <v>0.0</v>
      </c>
      <c r="AP299" s="90">
        <v>0.0</v>
      </c>
      <c r="AQ299" s="90">
        <v>0.0</v>
      </c>
      <c r="AR299" s="90">
        <v>0.0</v>
      </c>
      <c r="AS299" s="90">
        <v>0.0</v>
      </c>
      <c r="AT299" s="90">
        <v>0.0</v>
      </c>
      <c r="AU299" s="90">
        <v>0.0</v>
      </c>
      <c r="AV299" s="90">
        <v>0.0</v>
      </c>
      <c r="AW299" s="90">
        <v>0.0</v>
      </c>
      <c r="AX299" s="90">
        <v>0.0</v>
      </c>
      <c r="AY299" s="90">
        <v>0.0</v>
      </c>
      <c r="AZ299" s="90">
        <v>0.0</v>
      </c>
      <c r="BA299" s="79"/>
      <c r="BB299" s="79"/>
      <c r="BC299" s="79"/>
      <c r="BD299" s="79"/>
      <c r="BE299" s="79"/>
      <c r="BF299" s="79"/>
      <c r="BG299" s="79" t="str">
        <f t="array" ref="BG299">IF($A299="","", INDEX(CS!$B$1:$B$15025,MATCH($A299,CS!$B:$B,0)+COLUMN(A$1),1))</f>
        <v>ゴーレム拳</v>
      </c>
      <c r="BH299" s="79" t="str">
        <f t="array" ref="BH299">IF($A299="","", INDEX(CS!$B$1:$B$15025,MATCH($A299,CS!$B:$B,0)+COLUMN(B$1),1))</f>
        <v>ゴーレム投石</v>
      </c>
      <c r="BI299" s="79" t="str">
        <f t="array" ref="BI299">IF($A299="","", INDEX(CS!$B$1:$B$15025,MATCH($A299,CS!$B:$B,0)+COLUMN(C$1),1))</f>
        <v>堅牢な体</v>
      </c>
      <c r="BJ299" s="79" t="str">
        <f t="array" ref="BJ299">IF($A299="","", INDEX(CS!$B$1:$B$15025,MATCH($A299,CS!$B:$B,0)+COLUMN(D$1),1))</f>
        <v/>
      </c>
      <c r="BK299" s="79" t="str">
        <f t="array" ref="BK299">IF($A299="","", INDEX(CS!$B$1:$B$15025,MATCH($A299,CS!$B:$B,0)+COLUMN(E$1),1))</f>
        <v>踏みつけ</v>
      </c>
      <c r="BL299" s="79" t="str">
        <f t="array" ref="BL299">IF($A299="","", INDEX(CS!$B$1:$B$15025,MATCH($A299,CS!$B:$B,0)+COLUMN(F$1),1))</f>
        <v/>
      </c>
      <c r="BM299" s="79" t="str">
        <f t="array" ref="BM299">IF($A299="","", INDEX(CS!$B$1:$B$15025,MATCH($A299,CS!$B:$B,0)+COLUMN(G$1),1))</f>
        <v>魔法核</v>
      </c>
      <c r="BN299" s="79" t="str">
        <f t="array" ref="BN299">IF($A299="","", INDEX(CS!$B$1:$B$15025,MATCH($A299,CS!$B:$B,0)+COLUMN(H$1),1))</f>
        <v/>
      </c>
      <c r="BO299" s="79" t="str">
        <f t="array" ref="BO299">IF($A299="","", INDEX(CS!$B$1:$B$15025,MATCH($A299,CS!$B:$B,0)+COLUMN(I$1),1))</f>
        <v>軟体</v>
      </c>
      <c r="BP299" s="79" t="str">
        <f t="array" ref="BP299">IF($A299="","", INDEX(CS!$B$1:$B$15025,MATCH($A299,CS!$B:$B,0)+COLUMN(J$1),1))</f>
        <v/>
      </c>
      <c r="BQ299" s="79"/>
      <c r="BR299" s="79"/>
      <c r="BS299" s="83"/>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row>
    <row r="300" ht="18.75" customHeight="1" outlineLevel="1">
      <c r="A300" s="90" t="s">
        <v>1975</v>
      </c>
      <c r="B300" s="91"/>
      <c r="C300" s="79"/>
      <c r="D300" s="92" t="str">
        <f t="shared" si="18"/>
        <v>340/340/0</v>
      </c>
      <c r="E300" s="93">
        <v>1.0</v>
      </c>
      <c r="F300" s="90">
        <v>140.0</v>
      </c>
      <c r="G300" s="79"/>
      <c r="H300" s="79"/>
      <c r="I300" s="90">
        <v>100.0</v>
      </c>
      <c r="J300" s="90">
        <v>10.0</v>
      </c>
      <c r="K300" s="94">
        <v>0.0</v>
      </c>
      <c r="L300" s="90">
        <v>0.0</v>
      </c>
      <c r="M300" s="90">
        <v>30.0</v>
      </c>
      <c r="N300" s="90">
        <v>60.0</v>
      </c>
      <c r="O300" s="90">
        <v>300.0</v>
      </c>
      <c r="P300" s="90">
        <v>0.0</v>
      </c>
      <c r="Q300" s="100">
        <v>25.0</v>
      </c>
      <c r="R300" s="82"/>
      <c r="S300" s="100">
        <v>20.0</v>
      </c>
      <c r="T300" s="100">
        <v>30.0</v>
      </c>
      <c r="U300" s="100">
        <v>30.0</v>
      </c>
      <c r="V300" s="100">
        <v>10.0</v>
      </c>
      <c r="W300" s="82"/>
      <c r="X300" s="82"/>
      <c r="Y300" s="82"/>
      <c r="Z300" s="100">
        <v>100.0</v>
      </c>
      <c r="AA300" s="82"/>
      <c r="AB300" s="79"/>
      <c r="AC300" s="90">
        <v>100.0</v>
      </c>
      <c r="AD300" s="90">
        <v>75.0</v>
      </c>
      <c r="AE300" s="90">
        <v>100.0</v>
      </c>
      <c r="AF300" s="90">
        <v>40.0</v>
      </c>
      <c r="AG300" s="90">
        <v>100.0</v>
      </c>
      <c r="AH300" s="90">
        <v>35.0</v>
      </c>
      <c r="AI300" s="90">
        <v>35.0</v>
      </c>
      <c r="AJ300" s="90">
        <v>0.0</v>
      </c>
      <c r="AK300" s="90">
        <v>0.0</v>
      </c>
      <c r="AL300" s="90">
        <v>0.0</v>
      </c>
      <c r="AM300" s="90">
        <v>0.0</v>
      </c>
      <c r="AN300" s="90">
        <v>0.0</v>
      </c>
      <c r="AO300" s="90">
        <v>0.0</v>
      </c>
      <c r="AP300" s="90">
        <v>0.0</v>
      </c>
      <c r="AQ300" s="90">
        <v>0.0</v>
      </c>
      <c r="AR300" s="90">
        <v>0.0</v>
      </c>
      <c r="AS300" s="90">
        <v>0.0</v>
      </c>
      <c r="AT300" s="90">
        <v>0.0</v>
      </c>
      <c r="AU300" s="90">
        <v>0.0</v>
      </c>
      <c r="AV300" s="90">
        <v>0.0</v>
      </c>
      <c r="AW300" s="90">
        <v>0.0</v>
      </c>
      <c r="AX300" s="90">
        <v>0.0</v>
      </c>
      <c r="AY300" s="90">
        <v>0.0</v>
      </c>
      <c r="AZ300" s="90">
        <v>0.0</v>
      </c>
      <c r="BA300" s="79"/>
      <c r="BB300" s="79"/>
      <c r="BC300" s="79"/>
      <c r="BD300" s="79"/>
      <c r="BE300" s="79"/>
      <c r="BF300" s="79"/>
      <c r="BG300" s="79" t="str">
        <f t="array" ref="BG300">IF($A300="","", INDEX(CS!$B$1:$B$15025,MATCH($A300,CS!$B:$B,0)+COLUMN(A$1),1))</f>
        <v>ゴーレム拳</v>
      </c>
      <c r="BH300" s="79" t="str">
        <f t="array" ref="BH300">IF($A300="","", INDEX(CS!$B$1:$B$15025,MATCH($A300,CS!$B:$B,0)+COLUMN(B$1),1))</f>
        <v>ゴーレム投石</v>
      </c>
      <c r="BI300" s="79" t="str">
        <f t="array" ref="BI300">IF($A300="","", INDEX(CS!$B$1:$B$15025,MATCH($A300,CS!$B:$B,0)+COLUMN(C$1),1))</f>
        <v>堅牢な体</v>
      </c>
      <c r="BJ300" s="79" t="str">
        <f t="array" ref="BJ300">IF($A300="","", INDEX(CS!$B$1:$B$15025,MATCH($A300,CS!$B:$B,0)+COLUMN(D$1),1))</f>
        <v/>
      </c>
      <c r="BK300" s="79" t="str">
        <f t="array" ref="BK300">IF($A300="","", INDEX(CS!$B$1:$B$15025,MATCH($A300,CS!$B:$B,0)+COLUMN(E$1),1))</f>
        <v>踏みつけ</v>
      </c>
      <c r="BL300" s="79" t="str">
        <f t="array" ref="BL300">IF($A300="","", INDEX(CS!$B$1:$B$15025,MATCH($A300,CS!$B:$B,0)+COLUMN(F$1),1))</f>
        <v/>
      </c>
      <c r="BM300" s="79" t="str">
        <f t="array" ref="BM300">IF($A300="","", INDEX(CS!$B$1:$B$15025,MATCH($A300,CS!$B:$B,0)+COLUMN(G$1),1))</f>
        <v>魔法核</v>
      </c>
      <c r="BN300" s="79" t="str">
        <f t="array" ref="BN300">IF($A300="","", INDEX(CS!$B$1:$B$15025,MATCH($A300,CS!$B:$B,0)+COLUMN(H$1),1))</f>
        <v/>
      </c>
      <c r="BO300" s="79" t="str">
        <f t="array" ref="BO300">IF($A300="","", INDEX(CS!$B$1:$B$15025,MATCH($A300,CS!$B:$B,0)+COLUMN(I$1),1))</f>
        <v>石の体</v>
      </c>
      <c r="BP300" s="79" t="str">
        <f t="array" ref="BP300">IF($A300="","", INDEX(CS!$B$1:$B$15025,MATCH($A300,CS!$B:$B,0)+COLUMN(J$1),1))</f>
        <v/>
      </c>
      <c r="BQ300" s="79"/>
      <c r="BR300" s="79"/>
      <c r="BS300" s="83"/>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row>
    <row r="301" ht="18.75" customHeight="1" outlineLevel="1">
      <c r="A301" s="90" t="s">
        <v>1976</v>
      </c>
      <c r="B301" s="91"/>
      <c r="C301" s="79"/>
      <c r="D301" s="92" t="str">
        <f t="shared" si="18"/>
        <v>370/370/0</v>
      </c>
      <c r="E301" s="93">
        <v>1.0</v>
      </c>
      <c r="F301" s="90">
        <v>155.0</v>
      </c>
      <c r="G301" s="79"/>
      <c r="H301" s="79"/>
      <c r="I301" s="90">
        <v>110.0</v>
      </c>
      <c r="J301" s="90">
        <v>15.0</v>
      </c>
      <c r="K301" s="94">
        <v>0.0</v>
      </c>
      <c r="L301" s="90">
        <v>0.0</v>
      </c>
      <c r="M301" s="90">
        <v>25.0</v>
      </c>
      <c r="N301" s="90">
        <v>65.0</v>
      </c>
      <c r="O301" s="90">
        <v>300.0</v>
      </c>
      <c r="P301" s="90">
        <v>0.0</v>
      </c>
      <c r="Q301" s="100">
        <v>30.0</v>
      </c>
      <c r="R301" s="82"/>
      <c r="S301" s="100">
        <v>25.0</v>
      </c>
      <c r="T301" s="100">
        <v>35.0</v>
      </c>
      <c r="U301" s="100">
        <v>35.0</v>
      </c>
      <c r="V301" s="100">
        <v>20.0</v>
      </c>
      <c r="W301" s="100">
        <v>10.0</v>
      </c>
      <c r="X301" s="82"/>
      <c r="Y301" s="100">
        <v>-30.0</v>
      </c>
      <c r="Z301" s="100">
        <v>100.0</v>
      </c>
      <c r="AA301" s="82"/>
      <c r="AB301" s="79"/>
      <c r="AC301" s="90">
        <v>100.0</v>
      </c>
      <c r="AD301" s="90">
        <v>80.0</v>
      </c>
      <c r="AE301" s="90">
        <v>100.0</v>
      </c>
      <c r="AF301" s="90">
        <v>45.0</v>
      </c>
      <c r="AG301" s="90">
        <v>100.0</v>
      </c>
      <c r="AH301" s="90">
        <v>40.0</v>
      </c>
      <c r="AI301" s="90">
        <v>40.0</v>
      </c>
      <c r="AJ301" s="90">
        <v>0.0</v>
      </c>
      <c r="AK301" s="90">
        <v>0.0</v>
      </c>
      <c r="AL301" s="90">
        <v>0.0</v>
      </c>
      <c r="AM301" s="90">
        <v>0.0</v>
      </c>
      <c r="AN301" s="90">
        <v>0.0</v>
      </c>
      <c r="AO301" s="90">
        <v>0.0</v>
      </c>
      <c r="AP301" s="90">
        <v>0.0</v>
      </c>
      <c r="AQ301" s="90">
        <v>0.0</v>
      </c>
      <c r="AR301" s="90">
        <v>0.0</v>
      </c>
      <c r="AS301" s="90">
        <v>0.0</v>
      </c>
      <c r="AT301" s="90">
        <v>0.0</v>
      </c>
      <c r="AU301" s="90">
        <v>0.0</v>
      </c>
      <c r="AV301" s="90">
        <v>0.0</v>
      </c>
      <c r="AW301" s="90">
        <v>0.0</v>
      </c>
      <c r="AX301" s="90">
        <v>0.0</v>
      </c>
      <c r="AY301" s="90">
        <v>0.0</v>
      </c>
      <c r="AZ301" s="90">
        <v>0.0</v>
      </c>
      <c r="BA301" s="79"/>
      <c r="BB301" s="79"/>
      <c r="BC301" s="79"/>
      <c r="BD301" s="79"/>
      <c r="BE301" s="79"/>
      <c r="BF301" s="79"/>
      <c r="BG301" s="79" t="str">
        <f t="array" ref="BG301">IF($A301="","", INDEX(CS!$B$1:$B$15025,MATCH($A301,CS!$B:$B,0)+COLUMN(A$1),1))</f>
        <v>ゴーレム拳</v>
      </c>
      <c r="BH301" s="79" t="str">
        <f t="array" ref="BH301">IF($A301="","", INDEX(CS!$B$1:$B$15025,MATCH($A301,CS!$B:$B,0)+COLUMN(B$1),1))</f>
        <v>ゴーレム投石</v>
      </c>
      <c r="BI301" s="79" t="str">
        <f t="array" ref="BI301">IF($A301="","", INDEX(CS!$B$1:$B$15025,MATCH($A301,CS!$B:$B,0)+COLUMN(C$1),1))</f>
        <v>堅牢な体</v>
      </c>
      <c r="BJ301" s="79" t="str">
        <f t="array" ref="BJ301">IF($A301="","", INDEX(CS!$B$1:$B$15025,MATCH($A301,CS!$B:$B,0)+COLUMN(D$1),1))</f>
        <v/>
      </c>
      <c r="BK301" s="79" t="str">
        <f t="array" ref="BK301">IF($A301="","", INDEX(CS!$B$1:$B$15025,MATCH($A301,CS!$B:$B,0)+COLUMN(E$1),1))</f>
        <v>踏みつけ</v>
      </c>
      <c r="BL301" s="79" t="str">
        <f t="array" ref="BL301">IF($A301="","", INDEX(CS!$B$1:$B$15025,MATCH($A301,CS!$B:$B,0)+COLUMN(F$1),1))</f>
        <v/>
      </c>
      <c r="BM301" s="79" t="str">
        <f t="array" ref="BM301">IF($A301="","", INDEX(CS!$B$1:$B$15025,MATCH($A301,CS!$B:$B,0)+COLUMN(G$1),1))</f>
        <v>魔法核</v>
      </c>
      <c r="BN301" s="79" t="str">
        <f t="array" ref="BN301">IF($A301="","", INDEX(CS!$B$1:$B$15025,MATCH($A301,CS!$B:$B,0)+COLUMN(H$1),1))</f>
        <v/>
      </c>
      <c r="BO301" s="79" t="str">
        <f t="array" ref="BO301">IF($A301="","", INDEX(CS!$B$1:$B$15025,MATCH($A301,CS!$B:$B,0)+COLUMN(I$1),1))</f>
        <v>外皮</v>
      </c>
      <c r="BP301" s="79" t="str">
        <f t="array" ref="BP301">IF($A301="","", INDEX(CS!$B$1:$B$15025,MATCH($A301,CS!$B:$B,0)+COLUMN(J$1),1))</f>
        <v/>
      </c>
      <c r="BQ301" s="79"/>
      <c r="BR301" s="79"/>
      <c r="BS301" s="83"/>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row>
    <row r="302" ht="18.75" customHeight="1" outlineLevel="1">
      <c r="A302" s="90" t="s">
        <v>1977</v>
      </c>
      <c r="B302" s="91"/>
      <c r="C302" s="79"/>
      <c r="D302" s="92" t="str">
        <f t="shared" si="18"/>
        <v>360/360/0</v>
      </c>
      <c r="E302" s="93">
        <v>1.0</v>
      </c>
      <c r="F302" s="90">
        <v>120.0</v>
      </c>
      <c r="G302" s="79"/>
      <c r="H302" s="79"/>
      <c r="I302" s="90">
        <v>95.0</v>
      </c>
      <c r="J302" s="90">
        <v>20.0</v>
      </c>
      <c r="K302" s="94">
        <v>0.0</v>
      </c>
      <c r="L302" s="90">
        <v>10.0</v>
      </c>
      <c r="M302" s="90">
        <v>50.0</v>
      </c>
      <c r="N302" s="90">
        <v>65.0</v>
      </c>
      <c r="O302" s="90">
        <v>260.0</v>
      </c>
      <c r="P302" s="90">
        <v>0.0</v>
      </c>
      <c r="Q302" s="100">
        <v>10.0</v>
      </c>
      <c r="R302" s="82"/>
      <c r="S302" s="82"/>
      <c r="T302" s="100">
        <v>5.0</v>
      </c>
      <c r="U302" s="100">
        <v>5.0</v>
      </c>
      <c r="V302" s="100">
        <v>5.0</v>
      </c>
      <c r="W302" s="100">
        <v>-30.0</v>
      </c>
      <c r="X302" s="82"/>
      <c r="Y302" s="82"/>
      <c r="Z302" s="100">
        <v>50.0</v>
      </c>
      <c r="AA302" s="82"/>
      <c r="AB302" s="79"/>
      <c r="AC302" s="90">
        <v>100.0</v>
      </c>
      <c r="AD302" s="90">
        <v>35.0</v>
      </c>
      <c r="AE302" s="90">
        <v>25.0</v>
      </c>
      <c r="AF302" s="90">
        <v>20.0</v>
      </c>
      <c r="AG302" s="90">
        <v>100.0</v>
      </c>
      <c r="AH302" s="90">
        <v>15.0</v>
      </c>
      <c r="AI302" s="90">
        <v>15.0</v>
      </c>
      <c r="AJ302" s="90">
        <v>0.0</v>
      </c>
      <c r="AK302" s="90">
        <v>0.0</v>
      </c>
      <c r="AL302" s="90">
        <v>0.0</v>
      </c>
      <c r="AM302" s="90">
        <v>0.0</v>
      </c>
      <c r="AN302" s="90">
        <v>0.0</v>
      </c>
      <c r="AO302" s="90">
        <v>0.0</v>
      </c>
      <c r="AP302" s="90">
        <v>0.0</v>
      </c>
      <c r="AQ302" s="90">
        <v>0.0</v>
      </c>
      <c r="AR302" s="90">
        <v>0.0</v>
      </c>
      <c r="AS302" s="90">
        <v>0.0</v>
      </c>
      <c r="AT302" s="90">
        <v>0.0</v>
      </c>
      <c r="AU302" s="90">
        <v>0.0</v>
      </c>
      <c r="AV302" s="90">
        <v>0.0</v>
      </c>
      <c r="AW302" s="90">
        <v>0.0</v>
      </c>
      <c r="AX302" s="90">
        <v>0.0</v>
      </c>
      <c r="AY302" s="90">
        <v>0.0</v>
      </c>
      <c r="AZ302" s="90">
        <v>0.0</v>
      </c>
      <c r="BA302" s="79"/>
      <c r="BB302" s="79"/>
      <c r="BC302" s="79"/>
      <c r="BD302" s="79"/>
      <c r="BE302" s="79"/>
      <c r="BF302" s="79"/>
      <c r="BG302" s="79" t="str">
        <f t="array" ref="BG302">IF($A302="","", INDEX(CS!$B$1:$B$15025,MATCH($A302,CS!$B:$B,0)+COLUMN(A$1),1))</f>
        <v>ゴーレム拳</v>
      </c>
      <c r="BH302" s="79" t="str">
        <f t="array" ref="BH302">IF($A302="","", INDEX(CS!$B$1:$B$15025,MATCH($A302,CS!$B:$B,0)+COLUMN(B$1),1))</f>
        <v>ゴーレム投石</v>
      </c>
      <c r="BI302" s="79" t="str">
        <f t="array" ref="BI302">IF($A302="","", INDEX(CS!$B$1:$B$15025,MATCH($A302,CS!$B:$B,0)+COLUMN(C$1),1))</f>
        <v>堅牢な体</v>
      </c>
      <c r="BJ302" s="79" t="str">
        <f t="array" ref="BJ302">IF($A302="","", INDEX(CS!$B$1:$B$15025,MATCH($A302,CS!$B:$B,0)+COLUMN(D$1),1))</f>
        <v/>
      </c>
      <c r="BK302" s="79" t="str">
        <f t="array" ref="BK302">IF($A302="","", INDEX(CS!$B$1:$B$15025,MATCH($A302,CS!$B:$B,0)+COLUMN(E$1),1))</f>
        <v>踏みつけ</v>
      </c>
      <c r="BL302" s="79" t="str">
        <f t="array" ref="BL302">IF($A302="","", INDEX(CS!$B$1:$B$15025,MATCH($A302,CS!$B:$B,0)+COLUMN(F$1),1))</f>
        <v/>
      </c>
      <c r="BM302" s="79" t="str">
        <f t="array" ref="BM302">IF($A302="","", INDEX(CS!$B$1:$B$15025,MATCH($A302,CS!$B:$B,0)+COLUMN(G$1),1))</f>
        <v>魔法核</v>
      </c>
      <c r="BN302" s="79" t="str">
        <f t="array" ref="BN302">IF($A302="","", INDEX(CS!$B$1:$B$15025,MATCH($A302,CS!$B:$B,0)+COLUMN(H$1),1))</f>
        <v/>
      </c>
      <c r="BO302" s="79" t="str">
        <f t="array" ref="BO302">IF($A302="","", INDEX(CS!$B$1:$B$15025,MATCH($A302,CS!$B:$B,0)+COLUMN(I$1),1))</f>
        <v>屍者の肉体</v>
      </c>
      <c r="BP302" s="79" t="str">
        <f t="array" ref="BP302">IF($A302="","", INDEX(CS!$B$1:$B$15025,MATCH($A302,CS!$B:$B,0)+COLUMN(J$1),1))</f>
        <v/>
      </c>
      <c r="BQ302" s="79"/>
      <c r="BR302" s="79"/>
      <c r="BS302" s="83"/>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row>
    <row r="303" ht="18.75" customHeight="1" outlineLevel="1">
      <c r="A303" s="90" t="s">
        <v>1978</v>
      </c>
      <c r="B303" s="91"/>
      <c r="C303" s="79"/>
      <c r="D303" s="92" t="str">
        <f t="shared" si="18"/>
        <v>340/340/0</v>
      </c>
      <c r="E303" s="93">
        <v>1.0</v>
      </c>
      <c r="F303" s="90">
        <v>100.0</v>
      </c>
      <c r="G303" s="79"/>
      <c r="H303" s="79"/>
      <c r="I303" s="90">
        <v>90.0</v>
      </c>
      <c r="J303" s="90">
        <v>20.0</v>
      </c>
      <c r="K303" s="94">
        <v>0.0</v>
      </c>
      <c r="L303" s="90">
        <v>0.0</v>
      </c>
      <c r="M303" s="90">
        <v>60.0</v>
      </c>
      <c r="N303" s="90">
        <v>70.0</v>
      </c>
      <c r="O303" s="90">
        <v>220.0</v>
      </c>
      <c r="P303" s="90">
        <v>0.0</v>
      </c>
      <c r="Q303" s="100">
        <v>15.0</v>
      </c>
      <c r="R303" s="82"/>
      <c r="S303" s="82"/>
      <c r="T303" s="100">
        <v>15.0</v>
      </c>
      <c r="U303" s="100">
        <v>30.0</v>
      </c>
      <c r="V303" s="100">
        <v>-30.0</v>
      </c>
      <c r="W303" s="82"/>
      <c r="X303" s="82"/>
      <c r="Y303" s="82"/>
      <c r="Z303" s="100">
        <v>100.0</v>
      </c>
      <c r="AA303" s="82"/>
      <c r="AB303" s="79"/>
      <c r="AC303" s="90">
        <v>100.0</v>
      </c>
      <c r="AD303" s="90">
        <v>50.0</v>
      </c>
      <c r="AE303" s="90">
        <v>100.0</v>
      </c>
      <c r="AF303" s="90">
        <v>20.0</v>
      </c>
      <c r="AG303" s="90">
        <v>100.0</v>
      </c>
      <c r="AH303" s="90">
        <v>25.0</v>
      </c>
      <c r="AI303" s="90">
        <v>25.0</v>
      </c>
      <c r="AJ303" s="90">
        <v>0.0</v>
      </c>
      <c r="AK303" s="90">
        <v>0.0</v>
      </c>
      <c r="AL303" s="90">
        <v>0.0</v>
      </c>
      <c r="AM303" s="90">
        <v>0.0</v>
      </c>
      <c r="AN303" s="90">
        <v>0.0</v>
      </c>
      <c r="AO303" s="90">
        <v>0.0</v>
      </c>
      <c r="AP303" s="90">
        <v>0.0</v>
      </c>
      <c r="AQ303" s="90">
        <v>0.0</v>
      </c>
      <c r="AR303" s="90">
        <v>0.0</v>
      </c>
      <c r="AS303" s="90">
        <v>0.0</v>
      </c>
      <c r="AT303" s="90">
        <v>0.0</v>
      </c>
      <c r="AU303" s="90">
        <v>0.0</v>
      </c>
      <c r="AV303" s="90">
        <v>0.0</v>
      </c>
      <c r="AW303" s="90">
        <v>0.0</v>
      </c>
      <c r="AX303" s="90">
        <v>0.0</v>
      </c>
      <c r="AY303" s="90">
        <v>0.0</v>
      </c>
      <c r="AZ303" s="90">
        <v>0.0</v>
      </c>
      <c r="BA303" s="79"/>
      <c r="BB303" s="79"/>
      <c r="BC303" s="79"/>
      <c r="BD303" s="79"/>
      <c r="BE303" s="79"/>
      <c r="BF303" s="79"/>
      <c r="BG303" s="79" t="str">
        <f t="array" ref="BG303">IF($A303="","", INDEX(CS!$B$1:$B$15025,MATCH($A303,CS!$B:$B,0)+COLUMN(A$1),1))</f>
        <v>ゴーレム拳</v>
      </c>
      <c r="BH303" s="79" t="str">
        <f t="array" ref="BH303">IF($A303="","", INDEX(CS!$B$1:$B$15025,MATCH($A303,CS!$B:$B,0)+COLUMN(B$1),1))</f>
        <v>ゴーレム投石</v>
      </c>
      <c r="BI303" s="79" t="str">
        <f t="array" ref="BI303">IF($A303="","", INDEX(CS!$B$1:$B$15025,MATCH($A303,CS!$B:$B,0)+COLUMN(C$1),1))</f>
        <v>堅牢な体</v>
      </c>
      <c r="BJ303" s="79" t="str">
        <f t="array" ref="BJ303">IF($A303="","", INDEX(CS!$B$1:$B$15025,MATCH($A303,CS!$B:$B,0)+COLUMN(D$1),1))</f>
        <v/>
      </c>
      <c r="BK303" s="79" t="str">
        <f t="array" ref="BK303">IF($A303="","", INDEX(CS!$B$1:$B$15025,MATCH($A303,CS!$B:$B,0)+COLUMN(E$1),1))</f>
        <v>踏みつけ</v>
      </c>
      <c r="BL303" s="79" t="str">
        <f t="array" ref="BL303">IF($A303="","", INDEX(CS!$B$1:$B$15025,MATCH($A303,CS!$B:$B,0)+COLUMN(F$1),1))</f>
        <v/>
      </c>
      <c r="BM303" s="79" t="str">
        <f t="array" ref="BM303">IF($A303="","", INDEX(CS!$B$1:$B$15025,MATCH($A303,CS!$B:$B,0)+COLUMN(G$1),1))</f>
        <v>魔法核</v>
      </c>
      <c r="BN303" s="79" t="str">
        <f t="array" ref="BN303">IF($A303="","", INDEX(CS!$B$1:$B$15025,MATCH($A303,CS!$B:$B,0)+COLUMN(H$1),1))</f>
        <v/>
      </c>
      <c r="BO303" s="79" t="str">
        <f t="array" ref="BO303">IF($A303="","", INDEX(CS!$B$1:$B$15025,MATCH($A303,CS!$B:$B,0)+COLUMN(I$1),1))</f>
        <v>骨の身体</v>
      </c>
      <c r="BP303" s="79" t="str">
        <f t="array" ref="BP303">IF($A303="","", INDEX(CS!$B$1:$B$15025,MATCH($A303,CS!$B:$B,0)+COLUMN(J$1),1))</f>
        <v/>
      </c>
      <c r="BQ303" s="79"/>
      <c r="BR303" s="79"/>
      <c r="BS303" s="83"/>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row>
    <row r="304" ht="18.75" customHeight="1" outlineLevel="1">
      <c r="A304" s="39" t="s">
        <v>1979</v>
      </c>
      <c r="B304" s="71"/>
      <c r="D304" s="101" t="str">
        <f t="shared" si="18"/>
        <v>370/370/0</v>
      </c>
      <c r="E304" s="39">
        <v>1.0</v>
      </c>
      <c r="F304" s="39">
        <v>120.0</v>
      </c>
      <c r="I304" s="39">
        <v>85.0</v>
      </c>
      <c r="J304" s="39">
        <v>15.0</v>
      </c>
      <c r="K304" s="87">
        <v>35.0</v>
      </c>
      <c r="L304" s="39">
        <v>0.0</v>
      </c>
      <c r="M304" s="39">
        <v>50.0</v>
      </c>
      <c r="N304" s="39">
        <v>65.0</v>
      </c>
      <c r="O304" s="39">
        <v>240.0</v>
      </c>
      <c r="P304" s="37">
        <v>0.0</v>
      </c>
      <c r="Q304" s="102">
        <v>20.0</v>
      </c>
      <c r="R304" s="102">
        <v>25.0</v>
      </c>
      <c r="S304" s="102">
        <v>20.0</v>
      </c>
      <c r="T304" s="102">
        <v>30.0</v>
      </c>
      <c r="U304" s="102">
        <v>25.0</v>
      </c>
      <c r="V304" s="102">
        <v>-30.0</v>
      </c>
      <c r="W304" s="64"/>
      <c r="X304" s="64"/>
      <c r="Y304" s="102">
        <v>10.0</v>
      </c>
      <c r="Z304" s="102">
        <v>100.0</v>
      </c>
      <c r="AA304" s="64"/>
      <c r="AC304" s="39">
        <v>100.0</v>
      </c>
      <c r="AD304" s="39">
        <v>60.0</v>
      </c>
      <c r="AE304" s="39">
        <v>100.0</v>
      </c>
      <c r="AF304" s="39">
        <v>30.0</v>
      </c>
      <c r="AG304" s="39">
        <v>100.0</v>
      </c>
      <c r="AH304" s="39">
        <v>35.0</v>
      </c>
      <c r="AI304" s="39">
        <v>30.0</v>
      </c>
      <c r="AJ304" s="39">
        <v>0.0</v>
      </c>
      <c r="AK304" s="39">
        <v>0.0</v>
      </c>
      <c r="AL304" s="39">
        <v>0.0</v>
      </c>
      <c r="AM304" s="39">
        <v>0.0</v>
      </c>
      <c r="AN304" s="39">
        <v>0.0</v>
      </c>
      <c r="AO304" s="39">
        <v>0.0</v>
      </c>
      <c r="AP304" s="39">
        <v>0.0</v>
      </c>
      <c r="AQ304" s="39">
        <v>0.0</v>
      </c>
      <c r="AR304" s="39">
        <v>0.0</v>
      </c>
      <c r="AS304" s="39">
        <v>0.0</v>
      </c>
      <c r="AT304" s="39">
        <v>0.0</v>
      </c>
      <c r="AU304" s="39">
        <v>0.0</v>
      </c>
      <c r="AV304" s="39">
        <v>0.0</v>
      </c>
      <c r="AW304" s="39">
        <v>0.0</v>
      </c>
      <c r="AX304" s="39">
        <v>0.0</v>
      </c>
      <c r="AY304" s="39">
        <v>0.0</v>
      </c>
      <c r="AZ304" s="39">
        <v>0.0</v>
      </c>
      <c r="BG304" s="79" t="str">
        <f t="array" ref="BG304">IF($A304="","", INDEX(CS!$B$1:$B$15025,MATCH($A304,CS!$B:$B,0)+COLUMN(A$1),1))</f>
        <v>ゴーレム拳</v>
      </c>
      <c r="BH304" s="79" t="str">
        <f t="array" ref="BH304">IF($A304="","", INDEX(CS!$B$1:$B$15025,MATCH($A304,CS!$B:$B,0)+COLUMN(B$1),1))</f>
        <v>ゴーレム投石</v>
      </c>
      <c r="BI304" s="79" t="str">
        <f t="array" ref="BI304">IF($A304="","", INDEX(CS!$B$1:$B$15025,MATCH($A304,CS!$B:$B,0)+COLUMN(C$1),1))</f>
        <v>堅牢な体</v>
      </c>
      <c r="BJ304" s="79" t="str">
        <f t="array" ref="BJ304">IF($A304="","", INDEX(CS!$B$1:$B$15025,MATCH($A304,CS!$B:$B,0)+COLUMN(D$1),1))</f>
        <v/>
      </c>
      <c r="BK304" s="79" t="str">
        <f t="array" ref="BK304">IF($A304="","", INDEX(CS!$B$1:$B$15025,MATCH($A304,CS!$B:$B,0)+COLUMN(E$1),1))</f>
        <v>踏みつけ</v>
      </c>
      <c r="BL304" s="79" t="str">
        <f t="array" ref="BL304">IF($A304="","", INDEX(CS!$B$1:$B$15025,MATCH($A304,CS!$B:$B,0)+COLUMN(F$1),1))</f>
        <v/>
      </c>
      <c r="BM304" s="79" t="str">
        <f t="array" ref="BM304">IF($A304="","", INDEX(CS!$B$1:$B$15025,MATCH($A304,CS!$B:$B,0)+COLUMN(G$1),1))</f>
        <v>魔法核</v>
      </c>
      <c r="BN304" s="79" t="str">
        <f t="array" ref="BN304">IF($A304="","", INDEX(CS!$B$1:$B$15025,MATCH($A304,CS!$B:$B,0)+COLUMN(H$1),1))</f>
        <v/>
      </c>
      <c r="BO304" s="79" t="str">
        <f t="array" ref="BO304">IF($A304="","", INDEX(CS!$B$1:$B$15025,MATCH($A304,CS!$B:$B,0)+COLUMN(I$1),1))</f>
        <v>結晶突起</v>
      </c>
      <c r="BP304" s="79" t="str">
        <f t="array" ref="BP304">IF($A304="","", INDEX(CS!$B$1:$B$15025,MATCH($A304,CS!$B:$B,0)+COLUMN(J$1),1))</f>
        <v/>
      </c>
      <c r="BS304" s="74"/>
      <c r="CQ304" s="37"/>
      <c r="CR304" s="37"/>
    </row>
    <row r="305" ht="18.75" customHeight="1" outlineLevel="1">
      <c r="A305" s="39" t="s">
        <v>1980</v>
      </c>
      <c r="B305" s="85"/>
      <c r="D305" s="101" t="str">
        <f t="shared" si="18"/>
        <v>370/370/0</v>
      </c>
      <c r="E305" s="39">
        <v>1.0</v>
      </c>
      <c r="F305" s="39">
        <v>130.0</v>
      </c>
      <c r="I305" s="39">
        <v>95.0</v>
      </c>
      <c r="J305" s="39">
        <v>10.0</v>
      </c>
      <c r="K305" s="87">
        <v>40.0</v>
      </c>
      <c r="L305" s="39">
        <v>0.0</v>
      </c>
      <c r="M305" s="39">
        <v>35.0</v>
      </c>
      <c r="N305" s="39">
        <v>60.0</v>
      </c>
      <c r="O305" s="39">
        <v>260.0</v>
      </c>
      <c r="P305" s="37">
        <v>0.0</v>
      </c>
      <c r="Q305" s="102">
        <v>20.0</v>
      </c>
      <c r="R305" s="64"/>
      <c r="S305" s="102">
        <v>15.0</v>
      </c>
      <c r="T305" s="102">
        <v>25.0</v>
      </c>
      <c r="U305" s="102">
        <v>25.0</v>
      </c>
      <c r="V305" s="102">
        <v>-15.0</v>
      </c>
      <c r="W305" s="102">
        <v>-45.0</v>
      </c>
      <c r="X305" s="102">
        <v>100.0</v>
      </c>
      <c r="Y305" s="64"/>
      <c r="Z305" s="102">
        <v>100.0</v>
      </c>
      <c r="AA305" s="64"/>
      <c r="AC305" s="39">
        <v>100.0</v>
      </c>
      <c r="AD305" s="39">
        <v>60.0</v>
      </c>
      <c r="AE305" s="39">
        <v>100.0</v>
      </c>
      <c r="AF305" s="39">
        <v>35.0</v>
      </c>
      <c r="AG305" s="39">
        <v>100.0</v>
      </c>
      <c r="AH305" s="39">
        <v>30.0</v>
      </c>
      <c r="AI305" s="39">
        <v>30.0</v>
      </c>
      <c r="AJ305" s="39">
        <v>0.0</v>
      </c>
      <c r="AK305" s="39">
        <v>0.0</v>
      </c>
      <c r="AL305" s="39">
        <v>0.0</v>
      </c>
      <c r="AM305" s="39">
        <v>0.0</v>
      </c>
      <c r="AN305" s="39">
        <v>0.0</v>
      </c>
      <c r="AO305" s="39">
        <v>0.0</v>
      </c>
      <c r="AP305" s="39">
        <v>0.0</v>
      </c>
      <c r="AQ305" s="39">
        <v>0.0</v>
      </c>
      <c r="AR305" s="39">
        <v>0.0</v>
      </c>
      <c r="AS305" s="39">
        <v>0.0</v>
      </c>
      <c r="AT305" s="39">
        <v>0.0</v>
      </c>
      <c r="AU305" s="39">
        <v>0.0</v>
      </c>
      <c r="AV305" s="39">
        <v>0.0</v>
      </c>
      <c r="AW305" s="39">
        <v>0.0</v>
      </c>
      <c r="AX305" s="39">
        <v>0.0</v>
      </c>
      <c r="AY305" s="39">
        <v>0.0</v>
      </c>
      <c r="AZ305" s="39">
        <v>0.0</v>
      </c>
      <c r="BG305" s="79" t="str">
        <f t="array" ref="BG305">IF($A305="","", INDEX(CS!$B$1:$B$15025,MATCH($A305,CS!$B:$B,0)+COLUMN(A$1),1))</f>
        <v>ゴーレム拳</v>
      </c>
      <c r="BH305" s="79" t="str">
        <f t="array" ref="BH305">IF($A305="","", INDEX(CS!$B$1:$B$15025,MATCH($A305,CS!$B:$B,0)+COLUMN(B$1),1))</f>
        <v>ゴーレム投石</v>
      </c>
      <c r="BI305" s="79" t="str">
        <f t="array" ref="BI305">IF($A305="","", INDEX(CS!$B$1:$B$15025,MATCH($A305,CS!$B:$B,0)+COLUMN(C$1),1))</f>
        <v>堅牢な体</v>
      </c>
      <c r="BJ305" s="79" t="str">
        <f t="array" ref="BJ305">IF($A305="","", INDEX(CS!$B$1:$B$15025,MATCH($A305,CS!$B:$B,0)+COLUMN(D$1),1))</f>
        <v/>
      </c>
      <c r="BK305" s="79" t="str">
        <f t="array" ref="BK305">IF($A305="","", INDEX(CS!$B$1:$B$15025,MATCH($A305,CS!$B:$B,0)+COLUMN(E$1),1))</f>
        <v>踏みつけ</v>
      </c>
      <c r="BL305" s="79" t="str">
        <f t="array" ref="BL305">IF($A305="","", INDEX(CS!$B$1:$B$15025,MATCH($A305,CS!$B:$B,0)+COLUMN(F$1),1))</f>
        <v/>
      </c>
      <c r="BM305" s="79" t="str">
        <f t="array" ref="BM305">IF($A305="","", INDEX(CS!$B$1:$B$15025,MATCH($A305,CS!$B:$B,0)+COLUMN(G$1),1))</f>
        <v>魔法核</v>
      </c>
      <c r="BN305" s="79" t="str">
        <f t="array" ref="BN305">IF($A305="","", INDEX(CS!$B$1:$B$15025,MATCH($A305,CS!$B:$B,0)+COLUMN(H$1),1))</f>
        <v/>
      </c>
      <c r="BO305" s="79" t="str">
        <f t="array" ref="BO305">IF($A305="","", INDEX(CS!$B$1:$B$15025,MATCH($A305,CS!$B:$B,0)+COLUMN(I$1),1))</f>
        <v>氷の体</v>
      </c>
      <c r="BP305" s="79" t="str">
        <f t="array" ref="BP305">IF($A305="","", INDEX(CS!$B$1:$B$15025,MATCH($A305,CS!$B:$B,0)+COLUMN(J$1),1))</f>
        <v/>
      </c>
      <c r="BS305" s="74"/>
      <c r="CQ305" s="37"/>
      <c r="CR305" s="37"/>
    </row>
    <row r="306" ht="18.75" customHeight="1" outlineLevel="1">
      <c r="A306" s="39" t="s">
        <v>1982</v>
      </c>
      <c r="B306" s="71"/>
      <c r="D306" s="101" t="str">
        <f t="shared" si="18"/>
        <v>405/405/0</v>
      </c>
      <c r="E306" s="39">
        <v>1.0</v>
      </c>
      <c r="F306" s="39">
        <v>145.0</v>
      </c>
      <c r="I306" s="39">
        <v>110.0</v>
      </c>
      <c r="J306" s="39">
        <v>10.0</v>
      </c>
      <c r="K306" s="87">
        <v>50.0</v>
      </c>
      <c r="L306" s="39">
        <v>0.0</v>
      </c>
      <c r="M306" s="39">
        <v>30.0</v>
      </c>
      <c r="N306" s="39">
        <v>60.0</v>
      </c>
      <c r="O306" s="39">
        <v>300.0</v>
      </c>
      <c r="P306" s="37">
        <v>0.0</v>
      </c>
      <c r="Q306" s="102">
        <v>25.0</v>
      </c>
      <c r="R306" s="64"/>
      <c r="S306" s="102">
        <v>20.0</v>
      </c>
      <c r="T306" s="102">
        <v>30.0</v>
      </c>
      <c r="U306" s="102">
        <v>30.0</v>
      </c>
      <c r="V306" s="102">
        <v>10.0</v>
      </c>
      <c r="W306" s="102">
        <v>100.0</v>
      </c>
      <c r="X306" s="102">
        <v>-45.0</v>
      </c>
      <c r="Y306" s="64"/>
      <c r="Z306" s="102">
        <v>100.0</v>
      </c>
      <c r="AA306" s="64"/>
      <c r="AC306" s="39">
        <v>100.0</v>
      </c>
      <c r="AD306" s="39">
        <v>75.0</v>
      </c>
      <c r="AE306" s="39">
        <v>100.0</v>
      </c>
      <c r="AF306" s="39">
        <v>40.0</v>
      </c>
      <c r="AG306" s="39">
        <v>100.0</v>
      </c>
      <c r="AH306" s="39">
        <v>35.0</v>
      </c>
      <c r="AI306" s="39">
        <v>35.0</v>
      </c>
      <c r="AJ306" s="39">
        <v>0.0</v>
      </c>
      <c r="AK306" s="39">
        <v>0.0</v>
      </c>
      <c r="AL306" s="39">
        <v>0.0</v>
      </c>
      <c r="AM306" s="39">
        <v>0.0</v>
      </c>
      <c r="AN306" s="39">
        <v>0.0</v>
      </c>
      <c r="AO306" s="39">
        <v>0.0</v>
      </c>
      <c r="AP306" s="39">
        <v>0.0</v>
      </c>
      <c r="AQ306" s="39">
        <v>0.0</v>
      </c>
      <c r="AR306" s="39">
        <v>0.0</v>
      </c>
      <c r="AS306" s="39">
        <v>0.0</v>
      </c>
      <c r="AT306" s="39">
        <v>0.0</v>
      </c>
      <c r="AU306" s="39">
        <v>0.0</v>
      </c>
      <c r="AV306" s="39">
        <v>0.0</v>
      </c>
      <c r="AW306" s="39">
        <v>0.0</v>
      </c>
      <c r="AX306" s="39">
        <v>0.0</v>
      </c>
      <c r="AY306" s="39">
        <v>0.0</v>
      </c>
      <c r="AZ306" s="39">
        <v>0.0</v>
      </c>
      <c r="BG306" s="79" t="str">
        <f t="array" ref="BG306">IF($A306="","", INDEX(CS!$B$1:$B$15025,MATCH($A306,CS!$B:$B,0)+COLUMN(A$1),1))</f>
        <v>ゴーレム拳</v>
      </c>
      <c r="BH306" s="79" t="str">
        <f t="array" ref="BH306">IF($A306="","", INDEX(CS!$B$1:$B$15025,MATCH($A306,CS!$B:$B,0)+COLUMN(B$1),1))</f>
        <v>ゴーレム投石</v>
      </c>
      <c r="BI306" s="79" t="str">
        <f t="array" ref="BI306">IF($A306="","", INDEX(CS!$B$1:$B$15025,MATCH($A306,CS!$B:$B,0)+COLUMN(C$1),1))</f>
        <v>堅牢な体</v>
      </c>
      <c r="BJ306" s="79" t="str">
        <f t="array" ref="BJ306">IF($A306="","", INDEX(CS!$B$1:$B$15025,MATCH($A306,CS!$B:$B,0)+COLUMN(D$1),1))</f>
        <v/>
      </c>
      <c r="BK306" s="79" t="str">
        <f t="array" ref="BK306">IF($A306="","", INDEX(CS!$B$1:$B$15025,MATCH($A306,CS!$B:$B,0)+COLUMN(E$1),1))</f>
        <v>踏みつけ</v>
      </c>
      <c r="BL306" s="79" t="str">
        <f t="array" ref="BL306">IF($A306="","", INDEX(CS!$B$1:$B$15025,MATCH($A306,CS!$B:$B,0)+COLUMN(F$1),1))</f>
        <v/>
      </c>
      <c r="BM306" s="79" t="str">
        <f t="array" ref="BM306">IF($A306="","", INDEX(CS!$B$1:$B$15025,MATCH($A306,CS!$B:$B,0)+COLUMN(G$1),1))</f>
        <v>魔法核</v>
      </c>
      <c r="BN306" s="79" t="str">
        <f t="array" ref="BN306">IF($A306="","", INDEX(CS!$B$1:$B$15025,MATCH($A306,CS!$B:$B,0)+COLUMN(H$1),1))</f>
        <v/>
      </c>
      <c r="BO306" s="79" t="str">
        <f t="array" ref="BO306">IF($A306="","", INDEX(CS!$B$1:$B$15025,MATCH($A306,CS!$B:$B,0)+COLUMN(I$1),1))</f>
        <v>炎の体</v>
      </c>
      <c r="BP306" s="79" t="str">
        <f t="array" ref="BP306">IF($A306="","", INDEX(CS!$B$1:$B$15025,MATCH($A306,CS!$B:$B,0)+COLUMN(J$1),1))</f>
        <v/>
      </c>
      <c r="BQ306" s="39">
        <v>5.0</v>
      </c>
      <c r="BR306" s="39" t="s">
        <v>2914</v>
      </c>
      <c r="BS306" s="74"/>
      <c r="CQ306" s="37"/>
      <c r="CR306" s="37"/>
    </row>
    <row r="307" ht="18.75" customHeight="1" outlineLevel="1">
      <c r="A307" s="39" t="s">
        <v>1984</v>
      </c>
      <c r="B307" s="71"/>
      <c r="D307" s="101" t="str">
        <f t="shared" si="18"/>
        <v>350/350/0</v>
      </c>
      <c r="E307" s="39">
        <v>1.0</v>
      </c>
      <c r="F307" s="39">
        <v>110.0</v>
      </c>
      <c r="I307" s="39">
        <v>80.0</v>
      </c>
      <c r="J307" s="39">
        <v>10.0</v>
      </c>
      <c r="K307" s="87">
        <v>25.0</v>
      </c>
      <c r="L307" s="39">
        <v>0.0</v>
      </c>
      <c r="M307" s="39">
        <v>60.0</v>
      </c>
      <c r="N307" s="39">
        <v>65.0</v>
      </c>
      <c r="O307" s="39">
        <v>240.0</v>
      </c>
      <c r="P307" s="37">
        <v>0.0</v>
      </c>
      <c r="Q307" s="102">
        <v>20.0</v>
      </c>
      <c r="R307" s="64"/>
      <c r="S307" s="102">
        <v>25.0</v>
      </c>
      <c r="T307" s="102">
        <v>50.0</v>
      </c>
      <c r="U307" s="102">
        <v>50.0</v>
      </c>
      <c r="V307" s="102">
        <v>15.0</v>
      </c>
      <c r="W307" s="64"/>
      <c r="X307" s="64"/>
      <c r="Y307" s="64"/>
      <c r="Z307" s="102">
        <v>100.0</v>
      </c>
      <c r="AA307" s="64"/>
      <c r="AC307" s="39">
        <v>100.0</v>
      </c>
      <c r="AD307" s="39">
        <v>50.0</v>
      </c>
      <c r="AE307" s="39">
        <v>100.0</v>
      </c>
      <c r="AF307" s="39">
        <v>25.0</v>
      </c>
      <c r="AG307" s="39">
        <v>100.0</v>
      </c>
      <c r="AH307" s="39">
        <v>40.0</v>
      </c>
      <c r="AI307" s="39">
        <v>35.0</v>
      </c>
      <c r="AJ307" s="39">
        <v>0.0</v>
      </c>
      <c r="AK307" s="39">
        <v>0.0</v>
      </c>
      <c r="AL307" s="39">
        <v>0.0</v>
      </c>
      <c r="AM307" s="39">
        <v>0.0</v>
      </c>
      <c r="AN307" s="39">
        <v>0.0</v>
      </c>
      <c r="AO307" s="39">
        <v>0.0</v>
      </c>
      <c r="AP307" s="39">
        <v>0.0</v>
      </c>
      <c r="AQ307" s="39">
        <v>0.0</v>
      </c>
      <c r="AR307" s="39">
        <v>0.0</v>
      </c>
      <c r="AS307" s="39">
        <v>0.0</v>
      </c>
      <c r="AT307" s="39">
        <v>0.0</v>
      </c>
      <c r="AU307" s="39">
        <v>0.0</v>
      </c>
      <c r="AV307" s="39">
        <v>0.0</v>
      </c>
      <c r="AW307" s="39">
        <v>0.0</v>
      </c>
      <c r="AX307" s="39">
        <v>0.0</v>
      </c>
      <c r="AY307" s="39">
        <v>0.0</v>
      </c>
      <c r="AZ307" s="39">
        <v>0.0</v>
      </c>
      <c r="BG307" s="79" t="str">
        <f t="array" ref="BG307">IF($A307="","", INDEX(CS!$B$1:$B$15025,MATCH($A307,CS!$B:$B,0)+COLUMN(A$1),1))</f>
        <v>ゴーレム拳</v>
      </c>
      <c r="BH307" s="79" t="str">
        <f t="array" ref="BH307">IF($A307="","", INDEX(CS!$B$1:$B$15025,MATCH($A307,CS!$B:$B,0)+COLUMN(B$1),1))</f>
        <v>ゴーレム投石</v>
      </c>
      <c r="BI307" s="79" t="str">
        <f t="array" ref="BI307">IF($A307="","", INDEX(CS!$B$1:$B$15025,MATCH($A307,CS!$B:$B,0)+COLUMN(C$1),1))</f>
        <v>堅牢な体</v>
      </c>
      <c r="BJ307" s="79" t="str">
        <f t="array" ref="BJ307">IF($A307="","", INDEX(CS!$B$1:$B$15025,MATCH($A307,CS!$B:$B,0)+COLUMN(D$1),1))</f>
        <v/>
      </c>
      <c r="BK307" s="79" t="str">
        <f t="array" ref="BK307">IF($A307="","", INDEX(CS!$B$1:$B$15025,MATCH($A307,CS!$B:$B,0)+COLUMN(E$1),1))</f>
        <v>踏みつけ</v>
      </c>
      <c r="BL307" s="79" t="str">
        <f t="array" ref="BL307">IF($A307="","", INDEX(CS!$B$1:$B$15025,MATCH($A307,CS!$B:$B,0)+COLUMN(F$1),1))</f>
        <v/>
      </c>
      <c r="BM307" s="79" t="str">
        <f t="array" ref="BM307">IF($A307="","", INDEX(CS!$B$1:$B$15025,MATCH($A307,CS!$B:$B,0)+COLUMN(G$1),1))</f>
        <v>魔法核</v>
      </c>
      <c r="BN307" s="79" t="str">
        <f t="array" ref="BN307">IF($A307="","", INDEX(CS!$B$1:$B$15025,MATCH($A307,CS!$B:$B,0)+COLUMN(H$1),1))</f>
        <v/>
      </c>
      <c r="BO307" s="79" t="str">
        <f t="array" ref="BO307">IF($A307="","", INDEX(CS!$B$1:$B$15025,MATCH($A307,CS!$B:$B,0)+COLUMN(I$1),1))</f>
        <v>地の適用</v>
      </c>
      <c r="BP307" s="79" t="str">
        <f t="array" ref="BP307">IF($A307="","", INDEX(CS!$B$1:$B$15025,MATCH($A307,CS!$B:$B,0)+COLUMN(J$1),1))</f>
        <v/>
      </c>
      <c r="BQ307" s="39">
        <v>5.0</v>
      </c>
      <c r="BR307" s="39" t="s">
        <v>2914</v>
      </c>
      <c r="BS307" s="74"/>
      <c r="CQ307" s="37"/>
      <c r="CR307" s="37"/>
    </row>
    <row r="308" ht="18.75" customHeight="1" outlineLevel="1">
      <c r="A308" s="39" t="s">
        <v>1986</v>
      </c>
      <c r="B308" s="71"/>
      <c r="D308" s="101" t="str">
        <f t="shared" si="18"/>
        <v>455/455/0</v>
      </c>
      <c r="E308" s="39">
        <v>1.0</v>
      </c>
      <c r="F308" s="39">
        <v>140.0</v>
      </c>
      <c r="I308" s="39">
        <v>105.0</v>
      </c>
      <c r="J308" s="39">
        <v>30.0</v>
      </c>
      <c r="K308" s="87">
        <v>30.0</v>
      </c>
      <c r="L308" s="39">
        <v>0.0</v>
      </c>
      <c r="M308" s="39">
        <v>75.0</v>
      </c>
      <c r="N308" s="39">
        <v>75.0</v>
      </c>
      <c r="O308" s="39">
        <v>260.0</v>
      </c>
      <c r="P308" s="37">
        <v>0.0</v>
      </c>
      <c r="Q308" s="102">
        <v>35.0</v>
      </c>
      <c r="R308" s="102">
        <v>25.0</v>
      </c>
      <c r="S308" s="102">
        <v>30.0</v>
      </c>
      <c r="T308" s="102">
        <v>40.0</v>
      </c>
      <c r="U308" s="102">
        <v>40.0</v>
      </c>
      <c r="V308" s="102">
        <v>30.0</v>
      </c>
      <c r="W308" s="102">
        <v>20.0</v>
      </c>
      <c r="X308" s="102">
        <v>20.0</v>
      </c>
      <c r="Y308" s="102">
        <v>10.0</v>
      </c>
      <c r="Z308" s="102">
        <v>100.0</v>
      </c>
      <c r="AA308" s="64"/>
      <c r="AC308" s="39">
        <v>100.0</v>
      </c>
      <c r="AD308" s="39">
        <v>85.0</v>
      </c>
      <c r="AE308" s="39">
        <v>100.0</v>
      </c>
      <c r="AF308" s="39">
        <v>50.0</v>
      </c>
      <c r="AG308" s="39">
        <v>100.0</v>
      </c>
      <c r="AH308" s="39">
        <v>45.0</v>
      </c>
      <c r="AI308" s="39">
        <v>45.0</v>
      </c>
      <c r="AJ308" s="39">
        <v>0.0</v>
      </c>
      <c r="AK308" s="39">
        <v>0.0</v>
      </c>
      <c r="AL308" s="39">
        <v>0.0</v>
      </c>
      <c r="AM308" s="39">
        <v>0.0</v>
      </c>
      <c r="AN308" s="39">
        <v>0.0</v>
      </c>
      <c r="AO308" s="39">
        <v>0.0</v>
      </c>
      <c r="AP308" s="39">
        <v>0.0</v>
      </c>
      <c r="AQ308" s="39">
        <v>0.0</v>
      </c>
      <c r="AR308" s="39">
        <v>0.0</v>
      </c>
      <c r="AS308" s="39">
        <v>0.0</v>
      </c>
      <c r="AT308" s="39">
        <v>0.0</v>
      </c>
      <c r="AU308" s="39">
        <v>0.0</v>
      </c>
      <c r="AV308" s="39">
        <v>0.0</v>
      </c>
      <c r="AW308" s="39">
        <v>0.0</v>
      </c>
      <c r="AX308" s="39">
        <v>0.0</v>
      </c>
      <c r="AY308" s="39">
        <v>0.0</v>
      </c>
      <c r="AZ308" s="39">
        <v>0.0</v>
      </c>
      <c r="BG308" s="79" t="str">
        <f t="array" ref="BG308">IF($A308="","", INDEX(CS!$B$1:$B$15025,MATCH($A308,CS!$B:$B,0)+COLUMN(A$1),1))</f>
        <v>ゴーレム拳</v>
      </c>
      <c r="BH308" s="79" t="str">
        <f t="array" ref="BH308">IF($A308="","", INDEX(CS!$B$1:$B$15025,MATCH($A308,CS!$B:$B,0)+COLUMN(B$1),1))</f>
        <v>ゴーレム投石</v>
      </c>
      <c r="BI308" s="79" t="str">
        <f t="array" ref="BI308">IF($A308="","", INDEX(CS!$B$1:$B$15025,MATCH($A308,CS!$B:$B,0)+COLUMN(C$1),1))</f>
        <v>堅牢な体</v>
      </c>
      <c r="BJ308" s="79" t="str">
        <f t="array" ref="BJ308">IF($A308="","", INDEX(CS!$B$1:$B$15025,MATCH($A308,CS!$B:$B,0)+COLUMN(D$1),1))</f>
        <v/>
      </c>
      <c r="BK308" s="79" t="str">
        <f t="array" ref="BK308">IF($A308="","", INDEX(CS!$B$1:$B$15025,MATCH($A308,CS!$B:$B,0)+COLUMN(E$1),1))</f>
        <v>踏みつけ</v>
      </c>
      <c r="BL308" s="79" t="str">
        <f t="array" ref="BL308">IF($A308="","", INDEX(CS!$B$1:$B$15025,MATCH($A308,CS!$B:$B,0)+COLUMN(F$1),1))</f>
        <v/>
      </c>
      <c r="BM308" s="79" t="str">
        <f t="array" ref="BM308">IF($A308="","", INDEX(CS!$B$1:$B$15025,MATCH($A308,CS!$B:$B,0)+COLUMN(G$1),1))</f>
        <v>魔法核</v>
      </c>
      <c r="BN308" s="79" t="str">
        <f t="array" ref="BN308">IF($A308="","", INDEX(CS!$B$1:$B$15025,MATCH($A308,CS!$B:$B,0)+COLUMN(H$1),1))</f>
        <v/>
      </c>
      <c r="BO308" s="79" t="str">
        <f t="array" ref="BO308">IF($A308="","", INDEX(CS!$B$1:$B$15025,MATCH($A308,CS!$B:$B,0)+COLUMN(I$1),1))</f>
        <v>魔法の守り</v>
      </c>
      <c r="BP308" s="79" t="str">
        <f t="array" ref="BP308">IF($A308="","", INDEX(CS!$B$1:$B$15025,MATCH($A308,CS!$B:$B,0)+COLUMN(J$1),1))</f>
        <v/>
      </c>
      <c r="BQ308" s="39">
        <v>5.0</v>
      </c>
      <c r="BR308" s="39" t="s">
        <v>2914</v>
      </c>
      <c r="BS308" s="74"/>
      <c r="CQ308" s="37"/>
      <c r="CR308" s="37"/>
    </row>
    <row r="309" ht="18.75" customHeight="1" outlineLevel="1">
      <c r="A309" s="39" t="s">
        <v>1987</v>
      </c>
      <c r="B309" s="71"/>
      <c r="D309" s="101" t="str">
        <f t="shared" si="18"/>
        <v>405/405/0</v>
      </c>
      <c r="E309" s="39">
        <v>1.0</v>
      </c>
      <c r="F309" s="39">
        <v>180.0</v>
      </c>
      <c r="I309" s="39">
        <v>120.0</v>
      </c>
      <c r="J309" s="39">
        <v>15.0</v>
      </c>
      <c r="K309" s="87">
        <v>0.0</v>
      </c>
      <c r="L309" s="39">
        <v>0.0</v>
      </c>
      <c r="M309" s="39">
        <v>25.0</v>
      </c>
      <c r="N309" s="39">
        <v>65.0</v>
      </c>
      <c r="O309" s="39">
        <v>320.0</v>
      </c>
      <c r="P309" s="37">
        <v>0.0</v>
      </c>
      <c r="Q309" s="102">
        <v>50.0</v>
      </c>
      <c r="R309" s="102">
        <v>15.0</v>
      </c>
      <c r="S309" s="102">
        <v>40.0</v>
      </c>
      <c r="T309" s="102">
        <v>50.0</v>
      </c>
      <c r="U309" s="102">
        <v>50.0</v>
      </c>
      <c r="V309" s="102">
        <v>40.0</v>
      </c>
      <c r="W309" s="102">
        <v>25.0</v>
      </c>
      <c r="X309" s="102">
        <v>25.0</v>
      </c>
      <c r="Y309" s="102">
        <v>15.0</v>
      </c>
      <c r="Z309" s="102">
        <v>100.0</v>
      </c>
      <c r="AA309" s="64"/>
      <c r="AC309" s="39">
        <v>100.0</v>
      </c>
      <c r="AD309" s="39">
        <v>100.0</v>
      </c>
      <c r="AE309" s="39">
        <v>100.0</v>
      </c>
      <c r="AF309" s="39">
        <v>60.0</v>
      </c>
      <c r="AG309" s="39">
        <v>100.0</v>
      </c>
      <c r="AH309" s="39">
        <v>50.0</v>
      </c>
      <c r="AI309" s="39">
        <v>50.0</v>
      </c>
      <c r="AJ309" s="39">
        <v>0.0</v>
      </c>
      <c r="AK309" s="39">
        <v>0.0</v>
      </c>
      <c r="AL309" s="39">
        <v>0.0</v>
      </c>
      <c r="AM309" s="39">
        <v>0.0</v>
      </c>
      <c r="AN309" s="39">
        <v>0.0</v>
      </c>
      <c r="AO309" s="39">
        <v>0.0</v>
      </c>
      <c r="AP309" s="39">
        <v>0.0</v>
      </c>
      <c r="AQ309" s="39">
        <v>0.0</v>
      </c>
      <c r="AR309" s="39">
        <v>0.0</v>
      </c>
      <c r="AS309" s="39">
        <v>0.0</v>
      </c>
      <c r="AT309" s="39">
        <v>0.0</v>
      </c>
      <c r="AU309" s="39">
        <v>0.0</v>
      </c>
      <c r="AV309" s="39">
        <v>0.0</v>
      </c>
      <c r="AW309" s="39">
        <v>0.0</v>
      </c>
      <c r="AX309" s="39">
        <v>0.0</v>
      </c>
      <c r="AY309" s="39">
        <v>0.0</v>
      </c>
      <c r="AZ309" s="39">
        <v>0.0</v>
      </c>
      <c r="BG309" s="79" t="str">
        <f t="array" ref="BG309">IF($A309="","", INDEX(CS!$B$1:$B$15025,MATCH($A309,CS!$B:$B,0)+COLUMN(A$1),1))</f>
        <v>ゴーレム拳</v>
      </c>
      <c r="BH309" s="79" t="str">
        <f t="array" ref="BH309">IF($A309="","", INDEX(CS!$B$1:$B$15025,MATCH($A309,CS!$B:$B,0)+COLUMN(B$1),1))</f>
        <v>ゴーレム投石</v>
      </c>
      <c r="BI309" s="79" t="str">
        <f t="array" ref="BI309">IF($A309="","", INDEX(CS!$B$1:$B$15025,MATCH($A309,CS!$B:$B,0)+COLUMN(C$1),1))</f>
        <v>堅牢な体</v>
      </c>
      <c r="BJ309" s="79" t="str">
        <f t="array" ref="BJ309">IF($A309="","", INDEX(CS!$B$1:$B$15025,MATCH($A309,CS!$B:$B,0)+COLUMN(D$1),1))</f>
        <v/>
      </c>
      <c r="BK309" s="79" t="str">
        <f t="array" ref="BK309">IF($A309="","", INDEX(CS!$B$1:$B$15025,MATCH($A309,CS!$B:$B,0)+COLUMN(E$1),1))</f>
        <v>踏みつけ</v>
      </c>
      <c r="BL309" s="79" t="str">
        <f t="array" ref="BL309">IF($A309="","", INDEX(CS!$B$1:$B$15025,MATCH($A309,CS!$B:$B,0)+COLUMN(F$1),1))</f>
        <v/>
      </c>
      <c r="BM309" s="79" t="str">
        <f t="array" ref="BM309">IF($A309="","", INDEX(CS!$B$1:$B$15025,MATCH($A309,CS!$B:$B,0)+COLUMN(G$1),1))</f>
        <v>魔法核</v>
      </c>
      <c r="BN309" s="79" t="str">
        <f t="array" ref="BN309">IF($A309="","", INDEX(CS!$B$1:$B$15025,MATCH($A309,CS!$B:$B,0)+COLUMN(H$1),1))</f>
        <v/>
      </c>
      <c r="BO309" s="79" t="str">
        <f t="array" ref="BO309">IF($A309="","", INDEX(CS!$B$1:$B$15025,MATCH($A309,CS!$B:$B,0)+COLUMN(I$1),1))</f>
        <v>硬質外殻</v>
      </c>
      <c r="BP309" s="79" t="str">
        <f t="array" ref="BP309">IF($A309="","", INDEX(CS!$B$1:$B$15025,MATCH($A309,CS!$B:$B,0)+COLUMN(J$1),1))</f>
        <v/>
      </c>
      <c r="BQ309" s="39">
        <v>5.0</v>
      </c>
      <c r="BR309" s="39" t="s">
        <v>2914</v>
      </c>
      <c r="BS309" s="74"/>
      <c r="CQ309" s="37"/>
      <c r="CR309" s="37"/>
    </row>
    <row r="310" ht="18.75" customHeight="1" outlineLevel="1">
      <c r="A310" s="39" t="s">
        <v>1988</v>
      </c>
      <c r="B310" s="71"/>
      <c r="D310" s="101" t="str">
        <f t="shared" si="18"/>
        <v>310/310/0</v>
      </c>
      <c r="E310" s="39">
        <v>1.0</v>
      </c>
      <c r="F310" s="39">
        <v>120.0</v>
      </c>
      <c r="I310" s="39">
        <v>90.0</v>
      </c>
      <c r="J310" s="39">
        <v>10.0</v>
      </c>
      <c r="K310" s="87">
        <v>0.0</v>
      </c>
      <c r="L310" s="39">
        <v>0.0</v>
      </c>
      <c r="M310" s="39">
        <v>35.0</v>
      </c>
      <c r="N310" s="39">
        <v>55.0</v>
      </c>
      <c r="O310" s="39">
        <v>260.0</v>
      </c>
      <c r="P310" s="37">
        <v>0.0</v>
      </c>
      <c r="Q310" s="102">
        <v>15.0</v>
      </c>
      <c r="R310" s="64"/>
      <c r="S310" s="102">
        <v>15.0</v>
      </c>
      <c r="T310" s="102">
        <v>30.0</v>
      </c>
      <c r="U310" s="102">
        <v>30.0</v>
      </c>
      <c r="V310" s="102">
        <v>-15.0</v>
      </c>
      <c r="W310" s="102">
        <v>-15.0</v>
      </c>
      <c r="X310" s="102">
        <v>20.0</v>
      </c>
      <c r="Y310" s="64"/>
      <c r="Z310" s="102">
        <v>100.0</v>
      </c>
      <c r="AA310" s="64"/>
      <c r="AC310" s="39">
        <v>100.0</v>
      </c>
      <c r="AD310" s="39">
        <v>55.0</v>
      </c>
      <c r="AE310" s="39">
        <v>100.0</v>
      </c>
      <c r="AF310" s="39">
        <v>30.0</v>
      </c>
      <c r="AG310" s="39">
        <v>100.0</v>
      </c>
      <c r="AH310" s="39">
        <v>30.0</v>
      </c>
      <c r="AI310" s="39">
        <v>30.0</v>
      </c>
      <c r="AJ310" s="39">
        <v>0.0</v>
      </c>
      <c r="AK310" s="39">
        <v>0.0</v>
      </c>
      <c r="AL310" s="39">
        <v>0.0</v>
      </c>
      <c r="AM310" s="39">
        <v>0.0</v>
      </c>
      <c r="AN310" s="39">
        <v>0.0</v>
      </c>
      <c r="AO310" s="39">
        <v>0.0</v>
      </c>
      <c r="AP310" s="39">
        <v>0.0</v>
      </c>
      <c r="AQ310" s="39">
        <v>0.0</v>
      </c>
      <c r="AR310" s="39">
        <v>0.0</v>
      </c>
      <c r="AS310" s="39">
        <v>0.0</v>
      </c>
      <c r="AT310" s="39">
        <v>0.0</v>
      </c>
      <c r="AU310" s="39">
        <v>0.0</v>
      </c>
      <c r="AV310" s="39">
        <v>0.0</v>
      </c>
      <c r="AW310" s="39">
        <v>0.0</v>
      </c>
      <c r="AX310" s="39">
        <v>0.0</v>
      </c>
      <c r="AY310" s="39">
        <v>0.0</v>
      </c>
      <c r="AZ310" s="39">
        <v>0.0</v>
      </c>
      <c r="BG310" s="79" t="str">
        <f t="array" ref="BG310">IF($A310="","", INDEX(CS!$B$1:$B$15025,MATCH($A310,CS!$B:$B,0)+COLUMN(A$1),1))</f>
        <v>ゴーレム拳</v>
      </c>
      <c r="BH310" s="79" t="str">
        <f t="array" ref="BH310">IF($A310="","", INDEX(CS!$B$1:$B$15025,MATCH($A310,CS!$B:$B,0)+COLUMN(B$1),1))</f>
        <v>ゴーレム投石</v>
      </c>
      <c r="BI310" s="79" t="str">
        <f t="array" ref="BI310">IF($A310="","", INDEX(CS!$B$1:$B$15025,MATCH($A310,CS!$B:$B,0)+COLUMN(C$1),1))</f>
        <v>堅牢な体</v>
      </c>
      <c r="BJ310" s="79" t="str">
        <f t="array" ref="BJ310">IF($A310="","", INDEX(CS!$B$1:$B$15025,MATCH($A310,CS!$B:$B,0)+COLUMN(D$1),1))</f>
        <v/>
      </c>
      <c r="BK310" s="79" t="str">
        <f t="array" ref="BK310">IF($A310="","", INDEX(CS!$B$1:$B$15025,MATCH($A310,CS!$B:$B,0)+COLUMN(E$1),1))</f>
        <v>踏みつけ</v>
      </c>
      <c r="BL310" s="79" t="str">
        <f t="array" ref="BL310">IF($A310="","", INDEX(CS!$B$1:$B$15025,MATCH($A310,CS!$B:$B,0)+COLUMN(F$1),1))</f>
        <v/>
      </c>
      <c r="BM310" s="79" t="str">
        <f t="array" ref="BM310">IF($A310="","", INDEX(CS!$B$1:$B$15025,MATCH($A310,CS!$B:$B,0)+COLUMN(G$1),1))</f>
        <v>魔法核</v>
      </c>
      <c r="BN310" s="79" t="str">
        <f t="array" ref="BN310">IF($A310="","", INDEX(CS!$B$1:$B$15025,MATCH($A310,CS!$B:$B,0)+COLUMN(H$1),1))</f>
        <v/>
      </c>
      <c r="BO310" s="79" t="str">
        <f t="array" ref="BO310">IF($A310="","", INDEX(CS!$B$1:$B$15025,MATCH($A310,CS!$B:$B,0)+COLUMN(I$1),1))</f>
        <v>軟体</v>
      </c>
      <c r="BP310" s="79" t="str">
        <f t="array" ref="BP310">IF($A310="","", INDEX(CS!$B$1:$B$15025,MATCH($A310,CS!$B:$B,0)+COLUMN(J$1),1))</f>
        <v/>
      </c>
      <c r="BQ310" s="39">
        <v>5.0</v>
      </c>
      <c r="BR310" s="39" t="s">
        <v>2914</v>
      </c>
      <c r="BS310" s="74"/>
      <c r="CQ310" s="37"/>
      <c r="CR310" s="37"/>
    </row>
    <row r="311" ht="18.75" customHeight="1">
      <c r="A311" s="39"/>
      <c r="B311" s="71"/>
      <c r="D311" s="72" t="str">
        <f t="shared" si="18"/>
        <v>0/0/0</v>
      </c>
      <c r="E311" s="37">
        <v>1.0</v>
      </c>
      <c r="K311" s="73"/>
      <c r="P311" s="37" t="s">
        <v>29</v>
      </c>
      <c r="Q311" s="64"/>
      <c r="R311" s="64"/>
      <c r="S311" s="64"/>
      <c r="T311" s="64"/>
      <c r="U311" s="64"/>
      <c r="V311" s="64"/>
      <c r="W311" s="64"/>
      <c r="X311" s="64">
        <v>30.0</v>
      </c>
      <c r="Y311" s="64"/>
      <c r="Z311" s="64"/>
      <c r="AA311" s="64"/>
      <c r="AF311" s="37">
        <v>30.0</v>
      </c>
      <c r="BG311" s="79" t="str">
        <f t="array" ref="BG311">IF($A311="","", INDEX(CS!$B$1:$B$15025,MATCH($A311,CS!$B:$B,0)+COLUMN(A$1),1))</f>
        <v/>
      </c>
      <c r="BH311" s="79" t="str">
        <f t="array" ref="BH311">IF($A311="","", INDEX(CS!$B$1:$B$15025,MATCH($A311,CS!$B:$B,0)+COLUMN(B$1),1))</f>
        <v/>
      </c>
      <c r="BI311" s="79" t="str">
        <f t="array" ref="BI311">IF($A311="","", INDEX(CS!$B$1:$B$15025,MATCH($A311,CS!$B:$B,0)+COLUMN(C$1),1))</f>
        <v/>
      </c>
      <c r="BJ311" s="79" t="str">
        <f t="array" ref="BJ311">IF($A311="","", INDEX(CS!$B$1:$B$15025,MATCH($A311,CS!$B:$B,0)+COLUMN(D$1),1))</f>
        <v/>
      </c>
      <c r="BK311" s="79" t="str">
        <f t="array" ref="BK311">IF($A311="","", INDEX(CS!$B$1:$B$15025,MATCH($A311,CS!$B:$B,0)+COLUMN(E$1),1))</f>
        <v/>
      </c>
      <c r="BL311" s="79" t="str">
        <f t="array" ref="BL311">IF($A311="","", INDEX(CS!$B$1:$B$15025,MATCH($A311,CS!$B:$B,0)+COLUMN(F$1),1))</f>
        <v/>
      </c>
      <c r="BM311" s="79" t="str">
        <f t="array" ref="BM311">IF($A311="","", INDEX(CS!$B$1:$B$15025,MATCH($A311,CS!$B:$B,0)+COLUMN(G$1),1))</f>
        <v/>
      </c>
      <c r="BN311" s="79" t="str">
        <f t="array" ref="BN311">IF($A311="","", INDEX(CS!$B$1:$B$15025,MATCH($A311,CS!$B:$B,0)+COLUMN(H$1),1))</f>
        <v/>
      </c>
      <c r="BO311" s="79" t="str">
        <f t="array" ref="BO311">IF($A311="","", INDEX(CS!$B$1:$B$15025,MATCH($A311,CS!$B:$B,0)+COLUMN(I$1),1))</f>
        <v/>
      </c>
      <c r="BP311" s="79" t="str">
        <f t="array" ref="BP311">IF($A311="","", INDEX(CS!$B$1:$B$15025,MATCH($A311,CS!$B:$B,0)+COLUMN(J$1),1))</f>
        <v/>
      </c>
      <c r="BS311" s="74"/>
      <c r="CQ311" s="37"/>
      <c r="CR311" s="37"/>
    </row>
    <row r="312" ht="18.75" customHeight="1">
      <c r="B312" s="85" t="s">
        <v>2915</v>
      </c>
      <c r="C312" s="37" t="s">
        <v>2900</v>
      </c>
      <c r="D312" s="72" t="str">
        <f t="shared" si="18"/>
        <v>0/0/0</v>
      </c>
      <c r="E312" s="37">
        <v>1.0</v>
      </c>
      <c r="K312" s="73"/>
      <c r="P312" s="37" t="s">
        <v>29</v>
      </c>
      <c r="Q312" s="64"/>
      <c r="R312" s="64"/>
      <c r="S312" s="64"/>
      <c r="T312" s="64"/>
      <c r="U312" s="64"/>
      <c r="V312" s="64"/>
      <c r="W312" s="64"/>
      <c r="X312" s="64"/>
      <c r="Y312" s="64"/>
      <c r="Z312" s="64"/>
      <c r="AA312" s="64"/>
      <c r="BG312" s="79" t="str">
        <f t="array" ref="BG312">IF($A312="","", INDEX(CS!$B$1:$B$15025,MATCH($A312,CS!$B:$B,0)+COLUMN(A$1),1))</f>
        <v/>
      </c>
      <c r="BH312" s="79" t="str">
        <f t="array" ref="BH312">IF($A312="","", INDEX(CS!$B$1:$B$15025,MATCH($A312,CS!$B:$B,0)+COLUMN(B$1),1))</f>
        <v/>
      </c>
      <c r="BI312" s="79" t="str">
        <f t="array" ref="BI312">IF($A312="","", INDEX(CS!$B$1:$B$15025,MATCH($A312,CS!$B:$B,0)+COLUMN(C$1),1))</f>
        <v/>
      </c>
      <c r="BJ312" s="79" t="str">
        <f t="array" ref="BJ312">IF($A312="","", INDEX(CS!$B$1:$B$15025,MATCH($A312,CS!$B:$B,0)+COLUMN(D$1),1))</f>
        <v/>
      </c>
      <c r="BK312" s="79" t="str">
        <f t="array" ref="BK312">IF($A312="","", INDEX(CS!$B$1:$B$15025,MATCH($A312,CS!$B:$B,0)+COLUMN(E$1),1))</f>
        <v/>
      </c>
      <c r="BL312" s="79" t="str">
        <f t="array" ref="BL312">IF($A312="","", INDEX(CS!$B$1:$B$15025,MATCH($A312,CS!$B:$B,0)+COLUMN(F$1),1))</f>
        <v/>
      </c>
      <c r="BM312" s="79" t="str">
        <f t="array" ref="BM312">IF($A312="","", INDEX(CS!$B$1:$B$15025,MATCH($A312,CS!$B:$B,0)+COLUMN(G$1),1))</f>
        <v/>
      </c>
      <c r="BN312" s="79" t="str">
        <f t="array" ref="BN312">IF($A312="","", INDEX(CS!$B$1:$B$15025,MATCH($A312,CS!$B:$B,0)+COLUMN(H$1),1))</f>
        <v/>
      </c>
      <c r="BO312" s="79" t="str">
        <f t="array" ref="BO312">IF($A312="","", INDEX(CS!$B$1:$B$15025,MATCH($A312,CS!$B:$B,0)+COLUMN(I$1),1))</f>
        <v/>
      </c>
      <c r="BP312" s="79" t="str">
        <f t="array" ref="BP312">IF($A312="","", INDEX(CS!$B$1:$B$15025,MATCH($A312,CS!$B:$B,0)+COLUMN(J$1),1))</f>
        <v/>
      </c>
      <c r="BS312" s="74"/>
      <c r="BW312" s="57"/>
      <c r="BX312" s="57"/>
      <c r="BY312" s="57"/>
      <c r="BZ312" s="57"/>
      <c r="CA312" s="57"/>
      <c r="CQ312" s="37"/>
      <c r="CR312" s="37"/>
    </row>
    <row r="313" ht="18.75" customHeight="1" outlineLevel="1">
      <c r="A313" s="37" t="s">
        <v>1920</v>
      </c>
      <c r="B313" s="85" t="s">
        <v>2916</v>
      </c>
      <c r="C313" s="37" t="s">
        <v>2900</v>
      </c>
      <c r="D313" s="72" t="str">
        <f t="shared" si="18"/>
        <v>635/505/130</v>
      </c>
      <c r="E313" s="37">
        <v>1.0</v>
      </c>
      <c r="F313" s="37">
        <v>100.0</v>
      </c>
      <c r="I313" s="37">
        <v>85.0</v>
      </c>
      <c r="J313" s="37">
        <v>70.0</v>
      </c>
      <c r="K313" s="73">
        <v>50.0</v>
      </c>
      <c r="L313" s="37">
        <v>50.0</v>
      </c>
      <c r="M313" s="37">
        <v>75.0</v>
      </c>
      <c r="N313" s="37">
        <v>75.0</v>
      </c>
      <c r="O313" s="37">
        <v>250.0</v>
      </c>
      <c r="P313" s="37">
        <v>0.0</v>
      </c>
      <c r="Q313" s="64">
        <v>5.0</v>
      </c>
      <c r="R313" s="64">
        <v>5.0</v>
      </c>
      <c r="S313" s="64"/>
      <c r="T313" s="64"/>
      <c r="U313" s="64"/>
      <c r="V313" s="64"/>
      <c r="W313" s="64"/>
      <c r="X313" s="64"/>
      <c r="Y313" s="64"/>
      <c r="Z313" s="64">
        <v>5.0</v>
      </c>
      <c r="AA313" s="64"/>
      <c r="AC313" s="37">
        <v>-15.0</v>
      </c>
      <c r="AD313" s="37">
        <v>5.0</v>
      </c>
      <c r="AE313" s="37">
        <v>5.0</v>
      </c>
      <c r="AJ313" s="39">
        <v>0.0</v>
      </c>
      <c r="AK313" s="39">
        <v>50.0</v>
      </c>
      <c r="AL313" s="39">
        <v>0.0</v>
      </c>
      <c r="AM313" s="39">
        <v>0.0</v>
      </c>
      <c r="AN313" s="39">
        <v>0.0</v>
      </c>
      <c r="AO313" s="41">
        <v>0.0</v>
      </c>
      <c r="AP313" s="41">
        <v>0.0</v>
      </c>
      <c r="AQ313" s="41">
        <v>40.0</v>
      </c>
      <c r="AR313" s="41">
        <v>40.0</v>
      </c>
      <c r="AS313" s="39">
        <v>0.0</v>
      </c>
      <c r="AT313" s="39">
        <v>0.0</v>
      </c>
      <c r="AU313" s="39">
        <v>0.0</v>
      </c>
      <c r="AV313" s="39">
        <v>0.0</v>
      </c>
      <c r="AW313" s="39">
        <v>0.0</v>
      </c>
      <c r="AX313" s="39">
        <v>0.0</v>
      </c>
      <c r="AY313" s="39">
        <v>0.0</v>
      </c>
      <c r="AZ313" s="39">
        <v>0.0</v>
      </c>
      <c r="BA313" s="39">
        <v>0.0</v>
      </c>
      <c r="BB313" s="39">
        <v>120.0</v>
      </c>
      <c r="BC313" s="39">
        <v>110.0</v>
      </c>
      <c r="BD313" s="39">
        <v>130.0</v>
      </c>
      <c r="BE313" s="39">
        <v>80.0</v>
      </c>
      <c r="BF313" s="39">
        <v>100.0</v>
      </c>
      <c r="BG313" s="79" t="str">
        <f t="array" ref="BG313">IF($A313="","", INDEX(CS!$B$1:$B$15025,MATCH($A313,CS!$B:$B,0)+COLUMN(A$1),1))</f>
        <v>爪</v>
      </c>
      <c r="BH313" s="79" t="str">
        <f t="array" ref="BH313">IF($A313="","", INDEX(CS!$B$1:$B$15025,MATCH($A313,CS!$B:$B,0)+COLUMN(B$1),1))</f>
        <v/>
      </c>
      <c r="BI313" s="79" t="str">
        <f t="array" ref="BI313">IF($A313="","", INDEX(CS!$B$1:$B$15025,MATCH($A313,CS!$B:$B,0)+COLUMN(C$1),1))</f>
        <v>翼</v>
      </c>
      <c r="BJ313" s="79" t="str">
        <f t="array" ref="BJ313">IF($A313="","", INDEX(CS!$B$1:$B$15025,MATCH($A313,CS!$B:$B,0)+COLUMN(D$1),1))</f>
        <v/>
      </c>
      <c r="BK313" s="79" t="str">
        <f t="array" ref="BK313">IF($A313="","", INDEX(CS!$B$1:$B$15025,MATCH($A313,CS!$B:$B,0)+COLUMN(E$1),1))</f>
        <v>威圧</v>
      </c>
      <c r="BL313" s="79" t="str">
        <f t="array" ref="BL313">IF($A313="","", INDEX(CS!$B$1:$B$15025,MATCH($A313,CS!$B:$B,0)+COLUMN(F$1),1))</f>
        <v>毒の唾</v>
      </c>
      <c r="BM313" s="79" t="str">
        <f t="array" ref="BM313">IF($A313="","", INDEX(CS!$B$1:$B$15025,MATCH($A313,CS!$B:$B,0)+COLUMN(G$1),1))</f>
        <v/>
      </c>
      <c r="BN313" s="79" t="str">
        <f t="array" ref="BN313">IF($A313="","", INDEX(CS!$B$1:$B$15025,MATCH($A313,CS!$B:$B,0)+COLUMN(H$1),1))</f>
        <v>毒の尾</v>
      </c>
      <c r="BO313" s="79" t="str">
        <f t="array" ref="BO313">IF($A313="","", INDEX(CS!$B$1:$B$15025,MATCH($A313,CS!$B:$B,0)+COLUMN(I$1),1))</f>
        <v>外皮</v>
      </c>
      <c r="BP313" s="79" t="str">
        <f t="array" ref="BP313">IF($A313="","", INDEX(CS!$B$1:$B$15025,MATCH($A313,CS!$B:$B,0)+COLUMN(J$1),1))</f>
        <v/>
      </c>
      <c r="BS313" s="74"/>
      <c r="BV313" s="37" t="s">
        <v>2661</v>
      </c>
      <c r="BW313" s="57">
        <v>200.0</v>
      </c>
      <c r="BX313" s="75">
        <v>0.0</v>
      </c>
      <c r="BY313" s="75">
        <v>0.0</v>
      </c>
      <c r="BZ313" s="75">
        <v>180.0</v>
      </c>
      <c r="CA313" s="75">
        <v>20.0</v>
      </c>
      <c r="CD313" s="75">
        <v>2.0</v>
      </c>
      <c r="CE313" s="75"/>
      <c r="CG313" s="37" t="s">
        <v>2734</v>
      </c>
      <c r="CH313" s="37" t="s">
        <v>2734</v>
      </c>
      <c r="CI313" s="37" t="s">
        <v>2734</v>
      </c>
      <c r="CJ313" s="37" t="s">
        <v>2734</v>
      </c>
      <c r="CK313" s="37" t="s">
        <v>2734</v>
      </c>
      <c r="CN313" s="37" t="s">
        <v>2917</v>
      </c>
      <c r="CQ313" s="37"/>
      <c r="CR313" s="37"/>
    </row>
    <row r="314" ht="18.75" customHeight="1" outlineLevel="1">
      <c r="A314" s="41" t="s">
        <v>1914</v>
      </c>
      <c r="B314" s="85" t="s">
        <v>2918</v>
      </c>
      <c r="C314" s="37" t="s">
        <v>2900</v>
      </c>
      <c r="D314" s="72" t="str">
        <f t="shared" si="18"/>
        <v>635/505/130</v>
      </c>
      <c r="E314" s="37">
        <v>1.0</v>
      </c>
      <c r="F314" s="37">
        <v>100.0</v>
      </c>
      <c r="I314" s="41">
        <v>90.0</v>
      </c>
      <c r="J314" s="41">
        <v>90.0</v>
      </c>
      <c r="K314" s="73">
        <v>50.0</v>
      </c>
      <c r="L314" s="37">
        <v>50.0</v>
      </c>
      <c r="M314" s="41">
        <v>50.0</v>
      </c>
      <c r="N314" s="37">
        <v>75.0</v>
      </c>
      <c r="O314" s="37">
        <v>250.0</v>
      </c>
      <c r="P314" s="37">
        <v>0.0</v>
      </c>
      <c r="Q314" s="64">
        <v>5.0</v>
      </c>
      <c r="R314" s="64">
        <v>5.0</v>
      </c>
      <c r="S314" s="64"/>
      <c r="T314" s="64"/>
      <c r="U314" s="64"/>
      <c r="V314" s="64"/>
      <c r="W314" s="64"/>
      <c r="X314" s="64"/>
      <c r="Y314" s="64"/>
      <c r="Z314" s="64">
        <v>5.0</v>
      </c>
      <c r="AA314" s="64"/>
      <c r="AC314" s="37">
        <v>-15.0</v>
      </c>
      <c r="AD314" s="37">
        <v>5.0</v>
      </c>
      <c r="AE314" s="37">
        <v>5.0</v>
      </c>
      <c r="AJ314" s="39">
        <v>0.0</v>
      </c>
      <c r="AK314" s="39">
        <v>50.0</v>
      </c>
      <c r="AL314" s="39">
        <v>0.0</v>
      </c>
      <c r="AM314" s="39">
        <v>0.0</v>
      </c>
      <c r="AN314" s="39">
        <v>0.0</v>
      </c>
      <c r="AO314" s="41">
        <v>0.0</v>
      </c>
      <c r="AP314" s="41">
        <v>0.0</v>
      </c>
      <c r="AQ314" s="41">
        <v>40.0</v>
      </c>
      <c r="AR314" s="41">
        <v>40.0</v>
      </c>
      <c r="AS314" s="39">
        <v>0.0</v>
      </c>
      <c r="AT314" s="39">
        <v>0.0</v>
      </c>
      <c r="AU314" s="39">
        <v>0.0</v>
      </c>
      <c r="AV314" s="39">
        <v>0.0</v>
      </c>
      <c r="AW314" s="39">
        <v>0.0</v>
      </c>
      <c r="AX314" s="39">
        <v>0.0</v>
      </c>
      <c r="AY314" s="39">
        <v>0.0</v>
      </c>
      <c r="AZ314" s="39">
        <v>0.0</v>
      </c>
      <c r="BA314" s="39">
        <v>0.0</v>
      </c>
      <c r="BB314" s="39">
        <v>120.0</v>
      </c>
      <c r="BC314" s="41">
        <v>130.0</v>
      </c>
      <c r="BD314" s="39">
        <v>130.0</v>
      </c>
      <c r="BE314" s="41">
        <v>0.0</v>
      </c>
      <c r="BF314" s="41">
        <v>125.0</v>
      </c>
      <c r="BG314" s="37" t="str">
        <f t="array" ref="BG314">IF($A314="","", INDEX(CS!$B$1:$B$15025,MATCH($A314,CS!$B:$B,0)+COLUMN(A$1),1))</f>
        <v>毒の唾</v>
      </c>
      <c r="BH314" s="37" t="str">
        <f t="array" ref="BH314">IF($A314="","", INDEX(CS!$B$1:$B$15025,MATCH($A314,CS!$B:$B,0)+COLUMN(B$1),1))</f>
        <v>爪</v>
      </c>
      <c r="BI314" s="37" t="str">
        <f t="array" ref="BI314">IF($A314="","", INDEX(CS!$B$1:$B$15025,MATCH($A314,CS!$B:$B,0)+COLUMN(C$1),1))</f>
        <v>外皮</v>
      </c>
      <c r="BJ314" s="37" t="str">
        <f t="array" ref="BJ314">IF($A314="","", INDEX(CS!$B$1:$B$15025,MATCH($A314,CS!$B:$B,0)+COLUMN(D$1),1))</f>
        <v/>
      </c>
      <c r="BK314" s="37" t="str">
        <f t="array" ref="BK314">IF($A314="","", INDEX(CS!$B$1:$B$15025,MATCH($A314,CS!$B:$B,0)+COLUMN(E$1),1))</f>
        <v>地竜の吐息</v>
      </c>
      <c r="BL314" s="37" t="str">
        <f t="array" ref="BL314">IF($A314="","", INDEX(CS!$B$1:$B$15025,MATCH($A314,CS!$B:$B,0)+COLUMN(F$1),1))</f>
        <v/>
      </c>
      <c r="BM314" s="37" t="str">
        <f t="array" ref="BM314">IF($A314="","", INDEX(CS!$B$1:$B$15025,MATCH($A314,CS!$B:$B,0)+COLUMN(G$1),1))</f>
        <v>踏みつけ</v>
      </c>
      <c r="BN314" s="37" t="str">
        <f t="array" ref="BN314">IF($A314="","", INDEX(CS!$B$1:$B$15025,MATCH($A314,CS!$B:$B,0)+COLUMN(H$1),1))</f>
        <v/>
      </c>
      <c r="BO314" s="37" t="str">
        <f t="array" ref="BO314">IF($A314="","", INDEX(CS!$B$1:$B$15025,MATCH($A314,CS!$B:$B,0)+COLUMN(I$1),1))</f>
        <v>尾</v>
      </c>
      <c r="BP314" s="37" t="str">
        <f t="array" ref="BP314">IF($A314="","", INDEX(CS!$B$1:$B$15025,MATCH($A314,CS!$B:$B,0)+COLUMN(J$1),1))</f>
        <v/>
      </c>
      <c r="BS314" s="74"/>
      <c r="BV314" s="37" t="s">
        <v>2661</v>
      </c>
      <c r="BW314" s="57">
        <v>200.0</v>
      </c>
      <c r="BX314" s="75">
        <v>0.0</v>
      </c>
      <c r="BY314" s="75">
        <v>0.0</v>
      </c>
      <c r="BZ314" s="75">
        <v>180.0</v>
      </c>
      <c r="CA314" s="75">
        <v>20.0</v>
      </c>
      <c r="CD314" s="75">
        <v>2.0</v>
      </c>
      <c r="CE314" s="75"/>
      <c r="CG314" s="37" t="s">
        <v>2734</v>
      </c>
      <c r="CH314" s="37" t="s">
        <v>2734</v>
      </c>
      <c r="CI314" s="37" t="s">
        <v>2734</v>
      </c>
      <c r="CJ314" s="37" t="s">
        <v>2734</v>
      </c>
      <c r="CK314" s="37" t="s">
        <v>2734</v>
      </c>
      <c r="CN314" s="37" t="s">
        <v>2917</v>
      </c>
      <c r="CQ314" s="37"/>
      <c r="CR314" s="37"/>
    </row>
    <row r="315" ht="18.75" customHeight="1">
      <c r="A315" s="90"/>
      <c r="B315" s="91"/>
      <c r="C315" s="79"/>
      <c r="D315" s="98" t="str">
        <f t="shared" si="18"/>
        <v>0/0/0</v>
      </c>
      <c r="E315" s="99">
        <v>1.0</v>
      </c>
      <c r="F315" s="79"/>
      <c r="G315" s="79"/>
      <c r="H315" s="79"/>
      <c r="I315" s="79"/>
      <c r="J315" s="79"/>
      <c r="K315" s="81"/>
      <c r="L315" s="79"/>
      <c r="M315" s="79"/>
      <c r="N315" s="79"/>
      <c r="O315" s="79"/>
      <c r="P315" s="79" t="s">
        <v>29</v>
      </c>
      <c r="Q315" s="82"/>
      <c r="R315" s="82"/>
      <c r="S315" s="82"/>
      <c r="T315" s="82"/>
      <c r="U315" s="82"/>
      <c r="V315" s="82"/>
      <c r="W315" s="82"/>
      <c r="X315" s="82"/>
      <c r="Y315" s="82"/>
      <c r="Z315" s="82"/>
      <c r="AA315" s="82"/>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79"/>
      <c r="AZ315" s="79"/>
      <c r="BA315" s="79"/>
      <c r="BB315" s="79"/>
      <c r="BC315" s="79"/>
      <c r="BD315" s="79"/>
      <c r="BE315" s="79"/>
      <c r="BF315" s="79"/>
      <c r="BG315" s="79" t="str">
        <f t="array" ref="BG315">IF($A315="","", INDEX(CS!$B$1:$B$15025,MATCH($A315,CS!$B:$B,0)+COLUMN(A$1),1))</f>
        <v/>
      </c>
      <c r="BH315" s="79" t="str">
        <f t="array" ref="BH315">IF($A315="","", INDEX(CS!$B$1:$B$15025,MATCH($A315,CS!$B:$B,0)+COLUMN(B$1),1))</f>
        <v/>
      </c>
      <c r="BI315" s="79" t="str">
        <f t="array" ref="BI315">IF($A315="","", INDEX(CS!$B$1:$B$15025,MATCH($A315,CS!$B:$B,0)+COLUMN(C$1),1))</f>
        <v/>
      </c>
      <c r="BJ315" s="79" t="str">
        <f t="array" ref="BJ315">IF($A315="","", INDEX(CS!$B$1:$B$15025,MATCH($A315,CS!$B:$B,0)+COLUMN(D$1),1))</f>
        <v/>
      </c>
      <c r="BK315" s="79" t="str">
        <f t="array" ref="BK315">IF($A315="","", INDEX(CS!$B$1:$B$15025,MATCH($A315,CS!$B:$B,0)+COLUMN(E$1),1))</f>
        <v/>
      </c>
      <c r="BL315" s="79" t="str">
        <f t="array" ref="BL315">IF($A315="","", INDEX(CS!$B$1:$B$15025,MATCH($A315,CS!$B:$B,0)+COLUMN(F$1),1))</f>
        <v/>
      </c>
      <c r="BM315" s="79" t="str">
        <f t="array" ref="BM315">IF($A315="","", INDEX(CS!$B$1:$B$15025,MATCH($A315,CS!$B:$B,0)+COLUMN(G$1),1))</f>
        <v/>
      </c>
      <c r="BN315" s="79" t="str">
        <f t="array" ref="BN315">IF($A315="","", INDEX(CS!$B$1:$B$15025,MATCH($A315,CS!$B:$B,0)+COLUMN(H$1),1))</f>
        <v/>
      </c>
      <c r="BO315" s="79" t="str">
        <f t="array" ref="BO315">IF($A315="","", INDEX(CS!$B$1:$B$15025,MATCH($A315,CS!$B:$B,0)+COLUMN(I$1),1))</f>
        <v/>
      </c>
      <c r="BP315" s="79" t="str">
        <f t="array" ref="BP315">IF($A315="","", INDEX(CS!$B$1:$B$15025,MATCH($A315,CS!$B:$B,0)+COLUMN(J$1),1))</f>
        <v/>
      </c>
      <c r="BQ315" s="79"/>
      <c r="BR315" s="79"/>
      <c r="BS315" s="83"/>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row>
    <row r="316" ht="18.75" customHeight="1">
      <c r="A316" s="90"/>
      <c r="B316" s="91"/>
      <c r="C316" s="79"/>
      <c r="D316" s="98" t="str">
        <f t="shared" si="18"/>
        <v>0/0/0</v>
      </c>
      <c r="E316" s="99">
        <v>1.0</v>
      </c>
      <c r="F316" s="79"/>
      <c r="G316" s="79"/>
      <c r="H316" s="79"/>
      <c r="I316" s="79"/>
      <c r="J316" s="79"/>
      <c r="K316" s="81"/>
      <c r="L316" s="79"/>
      <c r="M316" s="79"/>
      <c r="N316" s="79"/>
      <c r="O316" s="79"/>
      <c r="P316" s="79" t="s">
        <v>29</v>
      </c>
      <c r="Q316" s="82"/>
      <c r="R316" s="82"/>
      <c r="S316" s="82"/>
      <c r="T316" s="82"/>
      <c r="U316" s="82"/>
      <c r="V316" s="82"/>
      <c r="W316" s="82"/>
      <c r="X316" s="82"/>
      <c r="Y316" s="82"/>
      <c r="Z316" s="82"/>
      <c r="AA316" s="82"/>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79"/>
      <c r="AZ316" s="79"/>
      <c r="BA316" s="79"/>
      <c r="BB316" s="79"/>
      <c r="BC316" s="79"/>
      <c r="BD316" s="79"/>
      <c r="BE316" s="79"/>
      <c r="BF316" s="79"/>
      <c r="BG316" s="79" t="str">
        <f t="array" ref="BG316">IF($A316="","", INDEX(CS!$B$1:$B$15025,MATCH($A316,CS!$B:$B,0)+COLUMN(A$1),1))</f>
        <v/>
      </c>
      <c r="BH316" s="79" t="str">
        <f t="array" ref="BH316">IF($A316="","", INDEX(CS!$B$1:$B$15025,MATCH($A316,CS!$B:$B,0)+COLUMN(B$1),1))</f>
        <v/>
      </c>
      <c r="BI316" s="79" t="str">
        <f t="array" ref="BI316">IF($A316="","", INDEX(CS!$B$1:$B$15025,MATCH($A316,CS!$B:$B,0)+COLUMN(C$1),1))</f>
        <v/>
      </c>
      <c r="BJ316" s="79" t="str">
        <f t="array" ref="BJ316">IF($A316="","", INDEX(CS!$B$1:$B$15025,MATCH($A316,CS!$B:$B,0)+COLUMN(D$1),1))</f>
        <v/>
      </c>
      <c r="BK316" s="79" t="str">
        <f t="array" ref="BK316">IF($A316="","", INDEX(CS!$B$1:$B$15025,MATCH($A316,CS!$B:$B,0)+COLUMN(E$1),1))</f>
        <v/>
      </c>
      <c r="BL316" s="79" t="str">
        <f t="array" ref="BL316">IF($A316="","", INDEX(CS!$B$1:$B$15025,MATCH($A316,CS!$B:$B,0)+COLUMN(F$1),1))</f>
        <v/>
      </c>
      <c r="BM316" s="79" t="str">
        <f t="array" ref="BM316">IF($A316="","", INDEX(CS!$B$1:$B$15025,MATCH($A316,CS!$B:$B,0)+COLUMN(G$1),1))</f>
        <v/>
      </c>
      <c r="BN316" s="79" t="str">
        <f t="array" ref="BN316">IF($A316="","", INDEX(CS!$B$1:$B$15025,MATCH($A316,CS!$B:$B,0)+COLUMN(H$1),1))</f>
        <v/>
      </c>
      <c r="BO316" s="79" t="str">
        <f t="array" ref="BO316">IF($A316="","", INDEX(CS!$B$1:$B$15025,MATCH($A316,CS!$B:$B,0)+COLUMN(I$1),1))</f>
        <v/>
      </c>
      <c r="BP316" s="79" t="str">
        <f t="array" ref="BP316">IF($A316="","", INDEX(CS!$B$1:$B$15025,MATCH($A316,CS!$B:$B,0)+COLUMN(J$1),1))</f>
        <v/>
      </c>
      <c r="BQ316" s="79"/>
      <c r="BR316" s="79"/>
      <c r="BS316" s="83"/>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row>
    <row r="317" ht="18.75" customHeight="1">
      <c r="A317" s="90"/>
      <c r="B317" s="91"/>
      <c r="C317" s="79"/>
      <c r="D317" s="98" t="str">
        <f t="shared" si="18"/>
        <v>0/0/0</v>
      </c>
      <c r="E317" s="99">
        <v>1.0</v>
      </c>
      <c r="F317" s="79"/>
      <c r="G317" s="79"/>
      <c r="H317" s="79"/>
      <c r="I317" s="79"/>
      <c r="J317" s="79"/>
      <c r="K317" s="81"/>
      <c r="L317" s="79"/>
      <c r="M317" s="79"/>
      <c r="N317" s="79"/>
      <c r="O317" s="79"/>
      <c r="P317" s="79" t="s">
        <v>29</v>
      </c>
      <c r="Q317" s="82"/>
      <c r="R317" s="82"/>
      <c r="S317" s="82"/>
      <c r="T317" s="82"/>
      <c r="U317" s="82"/>
      <c r="V317" s="82"/>
      <c r="W317" s="82"/>
      <c r="X317" s="82"/>
      <c r="Y317" s="82"/>
      <c r="Z317" s="82"/>
      <c r="AA317" s="82"/>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79"/>
      <c r="AZ317" s="79"/>
      <c r="BA317" s="79"/>
      <c r="BB317" s="79"/>
      <c r="BC317" s="79"/>
      <c r="BD317" s="79"/>
      <c r="BE317" s="79"/>
      <c r="BF317" s="79"/>
      <c r="BG317" s="79" t="str">
        <f t="array" ref="BG317">IF($A317="","", INDEX(CS!$B$1:$B$15025,MATCH($A317,CS!$B:$B,0)+COLUMN(A$1),1))</f>
        <v/>
      </c>
      <c r="BH317" s="79" t="str">
        <f t="array" ref="BH317">IF($A317="","", INDEX(CS!$B$1:$B$15025,MATCH($A317,CS!$B:$B,0)+COLUMN(B$1),1))</f>
        <v/>
      </c>
      <c r="BI317" s="79" t="str">
        <f t="array" ref="BI317">IF($A317="","", INDEX(CS!$B$1:$B$15025,MATCH($A317,CS!$B:$B,0)+COLUMN(C$1),1))</f>
        <v/>
      </c>
      <c r="BJ317" s="79" t="str">
        <f t="array" ref="BJ317">IF($A317="","", INDEX(CS!$B$1:$B$15025,MATCH($A317,CS!$B:$B,0)+COLUMN(D$1),1))</f>
        <v/>
      </c>
      <c r="BK317" s="79" t="str">
        <f t="array" ref="BK317">IF($A317="","", INDEX(CS!$B$1:$B$15025,MATCH($A317,CS!$B:$B,0)+COLUMN(E$1),1))</f>
        <v/>
      </c>
      <c r="BL317" s="79" t="str">
        <f t="array" ref="BL317">IF($A317="","", INDEX(CS!$B$1:$B$15025,MATCH($A317,CS!$B:$B,0)+COLUMN(F$1),1))</f>
        <v/>
      </c>
      <c r="BM317" s="79" t="str">
        <f t="array" ref="BM317">IF($A317="","", INDEX(CS!$B$1:$B$15025,MATCH($A317,CS!$B:$B,0)+COLUMN(G$1),1))</f>
        <v/>
      </c>
      <c r="BN317" s="79" t="str">
        <f t="array" ref="BN317">IF($A317="","", INDEX(CS!$B$1:$B$15025,MATCH($A317,CS!$B:$B,0)+COLUMN(H$1),1))</f>
        <v/>
      </c>
      <c r="BO317" s="79" t="str">
        <f t="array" ref="BO317">IF($A317="","", INDEX(CS!$B$1:$B$15025,MATCH($A317,CS!$B:$B,0)+COLUMN(I$1),1))</f>
        <v/>
      </c>
      <c r="BP317" s="79" t="str">
        <f t="array" ref="BP317">IF($A317="","", INDEX(CS!$B$1:$B$15025,MATCH($A317,CS!$B:$B,0)+COLUMN(J$1),1))</f>
        <v/>
      </c>
      <c r="BQ317" s="79"/>
      <c r="BR317" s="79"/>
      <c r="BS317" s="83"/>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row>
    <row r="318" ht="18.75" customHeight="1">
      <c r="A318" s="90"/>
      <c r="B318" s="91"/>
      <c r="C318" s="79"/>
      <c r="D318" s="98" t="str">
        <f t="shared" si="18"/>
        <v>0/0/0</v>
      </c>
      <c r="E318" s="99">
        <v>1.0</v>
      </c>
      <c r="F318" s="79"/>
      <c r="G318" s="79"/>
      <c r="H318" s="79"/>
      <c r="I318" s="79"/>
      <c r="J318" s="79"/>
      <c r="K318" s="81"/>
      <c r="L318" s="79"/>
      <c r="M318" s="79"/>
      <c r="N318" s="79"/>
      <c r="O318" s="79"/>
      <c r="P318" s="79" t="s">
        <v>29</v>
      </c>
      <c r="Q318" s="82"/>
      <c r="R318" s="82"/>
      <c r="S318" s="82"/>
      <c r="T318" s="82"/>
      <c r="U318" s="82"/>
      <c r="V318" s="82"/>
      <c r="W318" s="82"/>
      <c r="X318" s="82"/>
      <c r="Y318" s="82"/>
      <c r="Z318" s="82"/>
      <c r="AA318" s="82"/>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79"/>
      <c r="AZ318" s="79"/>
      <c r="BA318" s="79"/>
      <c r="BB318" s="79"/>
      <c r="BC318" s="79"/>
      <c r="BD318" s="79"/>
      <c r="BE318" s="79"/>
      <c r="BF318" s="79"/>
      <c r="BG318" s="79" t="str">
        <f t="array" ref="BG318">IF($A318="","", INDEX(CS!$B$1:$B$15025,MATCH($A318,CS!$B:$B,0)+COLUMN(A$1),1))</f>
        <v/>
      </c>
      <c r="BH318" s="79" t="str">
        <f t="array" ref="BH318">IF($A318="","", INDEX(CS!$B$1:$B$15025,MATCH($A318,CS!$B:$B,0)+COLUMN(B$1),1))</f>
        <v/>
      </c>
      <c r="BI318" s="79" t="str">
        <f t="array" ref="BI318">IF($A318="","", INDEX(CS!$B$1:$B$15025,MATCH($A318,CS!$B:$B,0)+COLUMN(C$1),1))</f>
        <v/>
      </c>
      <c r="BJ318" s="79" t="str">
        <f t="array" ref="BJ318">IF($A318="","", INDEX(CS!$B$1:$B$15025,MATCH($A318,CS!$B:$B,0)+COLUMN(D$1),1))</f>
        <v/>
      </c>
      <c r="BK318" s="79" t="str">
        <f t="array" ref="BK318">IF($A318="","", INDEX(CS!$B$1:$B$15025,MATCH($A318,CS!$B:$B,0)+COLUMN(E$1),1))</f>
        <v/>
      </c>
      <c r="BL318" s="79" t="str">
        <f t="array" ref="BL318">IF($A318="","", INDEX(CS!$B$1:$B$15025,MATCH($A318,CS!$B:$B,0)+COLUMN(F$1),1))</f>
        <v/>
      </c>
      <c r="BM318" s="79" t="str">
        <f t="array" ref="BM318">IF($A318="","", INDEX(CS!$B$1:$B$15025,MATCH($A318,CS!$B:$B,0)+COLUMN(G$1),1))</f>
        <v/>
      </c>
      <c r="BN318" s="79" t="str">
        <f t="array" ref="BN318">IF($A318="","", INDEX(CS!$B$1:$B$15025,MATCH($A318,CS!$B:$B,0)+COLUMN(H$1),1))</f>
        <v/>
      </c>
      <c r="BO318" s="79" t="str">
        <f t="array" ref="BO318">IF($A318="","", INDEX(CS!$B$1:$B$15025,MATCH($A318,CS!$B:$B,0)+COLUMN(I$1),1))</f>
        <v/>
      </c>
      <c r="BP318" s="79" t="str">
        <f t="array" ref="BP318">IF($A318="","", INDEX(CS!$B$1:$B$15025,MATCH($A318,CS!$B:$B,0)+COLUMN(J$1),1))</f>
        <v/>
      </c>
      <c r="BQ318" s="79"/>
      <c r="BR318" s="79"/>
      <c r="BS318" s="83"/>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row>
    <row r="319" ht="18.75" customHeight="1">
      <c r="A319" s="90"/>
      <c r="B319" s="91"/>
      <c r="C319" s="79"/>
      <c r="D319" s="98" t="str">
        <f t="shared" si="18"/>
        <v>0/0/0</v>
      </c>
      <c r="E319" s="99">
        <v>1.0</v>
      </c>
      <c r="F319" s="79"/>
      <c r="G319" s="79"/>
      <c r="H319" s="79"/>
      <c r="I319" s="79"/>
      <c r="J319" s="79"/>
      <c r="K319" s="81"/>
      <c r="L319" s="79"/>
      <c r="M319" s="79"/>
      <c r="N319" s="79"/>
      <c r="O319" s="79"/>
      <c r="P319" s="79" t="s">
        <v>29</v>
      </c>
      <c r="Q319" s="82"/>
      <c r="R319" s="82"/>
      <c r="S319" s="82"/>
      <c r="T319" s="82"/>
      <c r="U319" s="82"/>
      <c r="V319" s="82"/>
      <c r="W319" s="82"/>
      <c r="X319" s="82"/>
      <c r="Y319" s="82"/>
      <c r="Z319" s="82"/>
      <c r="AA319" s="82"/>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79"/>
      <c r="AZ319" s="79"/>
      <c r="BA319" s="79"/>
      <c r="BB319" s="79"/>
      <c r="BC319" s="79"/>
      <c r="BD319" s="79"/>
      <c r="BE319" s="79"/>
      <c r="BF319" s="79"/>
      <c r="BG319" s="79" t="str">
        <f t="array" ref="BG319">IF($A319="","", INDEX(CS!$B$1:$B$15025,MATCH($A319,CS!$B:$B,0)+COLUMN(A$1),1))</f>
        <v/>
      </c>
      <c r="BH319" s="79" t="str">
        <f t="array" ref="BH319">IF($A319="","", INDEX(CS!$B$1:$B$15025,MATCH($A319,CS!$B:$B,0)+COLUMN(B$1),1))</f>
        <v/>
      </c>
      <c r="BI319" s="79" t="str">
        <f t="array" ref="BI319">IF($A319="","", INDEX(CS!$B$1:$B$15025,MATCH($A319,CS!$B:$B,0)+COLUMN(C$1),1))</f>
        <v/>
      </c>
      <c r="BJ319" s="79" t="str">
        <f t="array" ref="BJ319">IF($A319="","", INDEX(CS!$B$1:$B$15025,MATCH($A319,CS!$B:$B,0)+COLUMN(D$1),1))</f>
        <v/>
      </c>
      <c r="BK319" s="79" t="str">
        <f t="array" ref="BK319">IF($A319="","", INDEX(CS!$B$1:$B$15025,MATCH($A319,CS!$B:$B,0)+COLUMN(E$1),1))</f>
        <v/>
      </c>
      <c r="BL319" s="79" t="str">
        <f t="array" ref="BL319">IF($A319="","", INDEX(CS!$B$1:$B$15025,MATCH($A319,CS!$B:$B,0)+COLUMN(F$1),1))</f>
        <v/>
      </c>
      <c r="BM319" s="79" t="str">
        <f t="array" ref="BM319">IF($A319="","", INDEX(CS!$B$1:$B$15025,MATCH($A319,CS!$B:$B,0)+COLUMN(G$1),1))</f>
        <v/>
      </c>
      <c r="BN319" s="79" t="str">
        <f t="array" ref="BN319">IF($A319="","", INDEX(CS!$B$1:$B$15025,MATCH($A319,CS!$B:$B,0)+COLUMN(H$1),1))</f>
        <v/>
      </c>
      <c r="BO319" s="79" t="str">
        <f t="array" ref="BO319">IF($A319="","", INDEX(CS!$B$1:$B$15025,MATCH($A319,CS!$B:$B,0)+COLUMN(I$1),1))</f>
        <v/>
      </c>
      <c r="BP319" s="79" t="str">
        <f t="array" ref="BP319">IF($A319="","", INDEX(CS!$B$1:$B$15025,MATCH($A319,CS!$B:$B,0)+COLUMN(J$1),1))</f>
        <v/>
      </c>
      <c r="BQ319" s="79"/>
      <c r="BR319" s="79"/>
      <c r="BS319" s="83"/>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row>
    <row r="320" ht="18.75" customHeight="1">
      <c r="A320" s="90"/>
      <c r="B320" s="91"/>
      <c r="C320" s="79"/>
      <c r="D320" s="98" t="str">
        <f t="shared" si="18"/>
        <v>0/0/0</v>
      </c>
      <c r="E320" s="99">
        <v>1.0</v>
      </c>
      <c r="F320" s="79"/>
      <c r="G320" s="79"/>
      <c r="H320" s="79"/>
      <c r="I320" s="79"/>
      <c r="J320" s="79"/>
      <c r="K320" s="81"/>
      <c r="L320" s="79"/>
      <c r="M320" s="79"/>
      <c r="N320" s="79"/>
      <c r="O320" s="79"/>
      <c r="P320" s="79" t="s">
        <v>29</v>
      </c>
      <c r="Q320" s="82"/>
      <c r="R320" s="82"/>
      <c r="S320" s="82"/>
      <c r="T320" s="82"/>
      <c r="U320" s="82"/>
      <c r="V320" s="82"/>
      <c r="W320" s="82"/>
      <c r="X320" s="82"/>
      <c r="Y320" s="82"/>
      <c r="Z320" s="82"/>
      <c r="AA320" s="82"/>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79"/>
      <c r="AZ320" s="79"/>
      <c r="BA320" s="79"/>
      <c r="BB320" s="79"/>
      <c r="BC320" s="79"/>
      <c r="BD320" s="79"/>
      <c r="BE320" s="79"/>
      <c r="BF320" s="79"/>
      <c r="BG320" s="79" t="str">
        <f t="array" ref="BG320">IF($A320="","", INDEX(CS!$B$1:$B$15025,MATCH($A320,CS!$B:$B,0)+COLUMN(A$1),1))</f>
        <v/>
      </c>
      <c r="BH320" s="79" t="str">
        <f t="array" ref="BH320">IF($A320="","", INDEX(CS!$B$1:$B$15025,MATCH($A320,CS!$B:$B,0)+COLUMN(B$1),1))</f>
        <v/>
      </c>
      <c r="BI320" s="79" t="str">
        <f t="array" ref="BI320">IF($A320="","", INDEX(CS!$B$1:$B$15025,MATCH($A320,CS!$B:$B,0)+COLUMN(C$1),1))</f>
        <v/>
      </c>
      <c r="BJ320" s="79" t="str">
        <f t="array" ref="BJ320">IF($A320="","", INDEX(CS!$B$1:$B$15025,MATCH($A320,CS!$B:$B,0)+COLUMN(D$1),1))</f>
        <v/>
      </c>
      <c r="BK320" s="79" t="str">
        <f t="array" ref="BK320">IF($A320="","", INDEX(CS!$B$1:$B$15025,MATCH($A320,CS!$B:$B,0)+COLUMN(E$1),1))</f>
        <v/>
      </c>
      <c r="BL320" s="79" t="str">
        <f t="array" ref="BL320">IF($A320="","", INDEX(CS!$B$1:$B$15025,MATCH($A320,CS!$B:$B,0)+COLUMN(F$1),1))</f>
        <v/>
      </c>
      <c r="BM320" s="79" t="str">
        <f t="array" ref="BM320">IF($A320="","", INDEX(CS!$B$1:$B$15025,MATCH($A320,CS!$B:$B,0)+COLUMN(G$1),1))</f>
        <v/>
      </c>
      <c r="BN320" s="79" t="str">
        <f t="array" ref="BN320">IF($A320="","", INDEX(CS!$B$1:$B$15025,MATCH($A320,CS!$B:$B,0)+COLUMN(H$1),1))</f>
        <v/>
      </c>
      <c r="BO320" s="79" t="str">
        <f t="array" ref="BO320">IF($A320="","", INDEX(CS!$B$1:$B$15025,MATCH($A320,CS!$B:$B,0)+COLUMN(I$1),1))</f>
        <v/>
      </c>
      <c r="BP320" s="79" t="str">
        <f t="array" ref="BP320">IF($A320="","", INDEX(CS!$B$1:$B$15025,MATCH($A320,CS!$B:$B,0)+COLUMN(J$1),1))</f>
        <v/>
      </c>
      <c r="BQ320" s="79"/>
      <c r="BR320" s="79"/>
      <c r="BS320" s="83"/>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row>
    <row r="321" ht="18.75" customHeight="1">
      <c r="A321" s="90"/>
      <c r="B321" s="91"/>
      <c r="C321" s="79"/>
      <c r="D321" s="98" t="str">
        <f t="shared" si="18"/>
        <v>0/0/0</v>
      </c>
      <c r="E321" s="99">
        <v>1.0</v>
      </c>
      <c r="F321" s="79"/>
      <c r="G321" s="79"/>
      <c r="H321" s="79"/>
      <c r="I321" s="79"/>
      <c r="J321" s="79"/>
      <c r="K321" s="81"/>
      <c r="L321" s="79"/>
      <c r="M321" s="79"/>
      <c r="N321" s="79"/>
      <c r="O321" s="79"/>
      <c r="P321" s="79" t="s">
        <v>29</v>
      </c>
      <c r="Q321" s="82"/>
      <c r="R321" s="82"/>
      <c r="S321" s="82"/>
      <c r="T321" s="82"/>
      <c r="U321" s="82"/>
      <c r="V321" s="82"/>
      <c r="W321" s="82"/>
      <c r="X321" s="82"/>
      <c r="Y321" s="82"/>
      <c r="Z321" s="82"/>
      <c r="AA321" s="82"/>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79"/>
      <c r="AZ321" s="79"/>
      <c r="BA321" s="79"/>
      <c r="BB321" s="79"/>
      <c r="BC321" s="79"/>
      <c r="BD321" s="79"/>
      <c r="BE321" s="79"/>
      <c r="BF321" s="79"/>
      <c r="BG321" s="79" t="str">
        <f t="array" ref="BG321">IF($A321="","", INDEX(CS!$B$1:$B$15025,MATCH($A321,CS!$B:$B,0)+COLUMN(A$1),1))</f>
        <v/>
      </c>
      <c r="BH321" s="79" t="str">
        <f t="array" ref="BH321">IF($A321="","", INDEX(CS!$B$1:$B$15025,MATCH($A321,CS!$B:$B,0)+COLUMN(B$1),1))</f>
        <v/>
      </c>
      <c r="BI321" s="79" t="str">
        <f t="array" ref="BI321">IF($A321="","", INDEX(CS!$B$1:$B$15025,MATCH($A321,CS!$B:$B,0)+COLUMN(C$1),1))</f>
        <v/>
      </c>
      <c r="BJ321" s="79" t="str">
        <f t="array" ref="BJ321">IF($A321="","", INDEX(CS!$B$1:$B$15025,MATCH($A321,CS!$B:$B,0)+COLUMN(D$1),1))</f>
        <v/>
      </c>
      <c r="BK321" s="79" t="str">
        <f t="array" ref="BK321">IF($A321="","", INDEX(CS!$B$1:$B$15025,MATCH($A321,CS!$B:$B,0)+COLUMN(E$1),1))</f>
        <v/>
      </c>
      <c r="BL321" s="79" t="str">
        <f t="array" ref="BL321">IF($A321="","", INDEX(CS!$B$1:$B$15025,MATCH($A321,CS!$B:$B,0)+COLUMN(F$1),1))</f>
        <v/>
      </c>
      <c r="BM321" s="79" t="str">
        <f t="array" ref="BM321">IF($A321="","", INDEX(CS!$B$1:$B$15025,MATCH($A321,CS!$B:$B,0)+COLUMN(G$1),1))</f>
        <v/>
      </c>
      <c r="BN321" s="79" t="str">
        <f t="array" ref="BN321">IF($A321="","", INDEX(CS!$B$1:$B$15025,MATCH($A321,CS!$B:$B,0)+COLUMN(H$1),1))</f>
        <v/>
      </c>
      <c r="BO321" s="79" t="str">
        <f t="array" ref="BO321">IF($A321="","", INDEX(CS!$B$1:$B$15025,MATCH($A321,CS!$B:$B,0)+COLUMN(I$1),1))</f>
        <v/>
      </c>
      <c r="BP321" s="79" t="str">
        <f t="array" ref="BP321">IF($A321="","", INDEX(CS!$B$1:$B$15025,MATCH($A321,CS!$B:$B,0)+COLUMN(J$1),1))</f>
        <v/>
      </c>
      <c r="BQ321" s="79"/>
      <c r="BR321" s="79"/>
      <c r="BS321" s="83"/>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row>
    <row r="322" ht="18.75" customHeight="1">
      <c r="A322" s="79"/>
      <c r="B322" s="91"/>
      <c r="C322" s="79" t="s">
        <v>2900</v>
      </c>
      <c r="D322" s="98" t="str">
        <f t="shared" si="18"/>
        <v>0/0/0</v>
      </c>
      <c r="E322" s="99">
        <v>1.0</v>
      </c>
      <c r="F322" s="79"/>
      <c r="G322" s="79"/>
      <c r="H322" s="79"/>
      <c r="I322" s="79"/>
      <c r="J322" s="79"/>
      <c r="K322" s="81"/>
      <c r="L322" s="79"/>
      <c r="M322" s="79"/>
      <c r="N322" s="79"/>
      <c r="O322" s="79"/>
      <c r="P322" s="79" t="s">
        <v>29</v>
      </c>
      <c r="Q322" s="82"/>
      <c r="R322" s="82"/>
      <c r="S322" s="82"/>
      <c r="T322" s="82"/>
      <c r="U322" s="82"/>
      <c r="V322" s="82"/>
      <c r="W322" s="82"/>
      <c r="X322" s="82"/>
      <c r="Y322" s="82"/>
      <c r="Z322" s="82"/>
      <c r="AA322" s="82"/>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79"/>
      <c r="AZ322" s="79"/>
      <c r="BA322" s="79"/>
      <c r="BB322" s="79"/>
      <c r="BC322" s="79"/>
      <c r="BD322" s="79"/>
      <c r="BE322" s="79"/>
      <c r="BF322" s="79"/>
      <c r="BG322" s="79" t="str">
        <f t="array" ref="BG322">IF($A322="","", INDEX(CS!$B$1:$B$15025,MATCH($A322,CS!$B:$B,0)+COLUMN(A$1),1))</f>
        <v/>
      </c>
      <c r="BH322" s="79" t="str">
        <f t="array" ref="BH322">IF($A322="","", INDEX(CS!$B$1:$B$15025,MATCH($A322,CS!$B:$B,0)+COLUMN(B$1),1))</f>
        <v/>
      </c>
      <c r="BI322" s="79" t="str">
        <f t="array" ref="BI322">IF($A322="","", INDEX(CS!$B$1:$B$15025,MATCH($A322,CS!$B:$B,0)+COLUMN(C$1),1))</f>
        <v/>
      </c>
      <c r="BJ322" s="79" t="str">
        <f t="array" ref="BJ322">IF($A322="","", INDEX(CS!$B$1:$B$15025,MATCH($A322,CS!$B:$B,0)+COLUMN(D$1),1))</f>
        <v/>
      </c>
      <c r="BK322" s="79" t="str">
        <f t="array" ref="BK322">IF($A322="","", INDEX(CS!$B$1:$B$15025,MATCH($A322,CS!$B:$B,0)+COLUMN(E$1),1))</f>
        <v/>
      </c>
      <c r="BL322" s="79" t="str">
        <f t="array" ref="BL322">IF($A322="","", INDEX(CS!$B$1:$B$15025,MATCH($A322,CS!$B:$B,0)+COLUMN(F$1),1))</f>
        <v/>
      </c>
      <c r="BM322" s="79" t="str">
        <f t="array" ref="BM322">IF($A322="","", INDEX(CS!$B$1:$B$15025,MATCH($A322,CS!$B:$B,0)+COLUMN(G$1),1))</f>
        <v/>
      </c>
      <c r="BN322" s="79" t="str">
        <f t="array" ref="BN322">IF($A322="","", INDEX(CS!$B$1:$B$15025,MATCH($A322,CS!$B:$B,0)+COLUMN(H$1),1))</f>
        <v/>
      </c>
      <c r="BO322" s="79" t="str">
        <f t="array" ref="BO322">IF($A322="","", INDEX(CS!$B$1:$B$15025,MATCH($A322,CS!$B:$B,0)+COLUMN(I$1),1))</f>
        <v/>
      </c>
      <c r="BP322" s="79" t="str">
        <f t="array" ref="BP322">IF($A322="","", INDEX(CS!$B$1:$B$15025,MATCH($A322,CS!$B:$B,0)+COLUMN(J$1),1))</f>
        <v/>
      </c>
      <c r="BQ322" s="79"/>
      <c r="BR322" s="79"/>
      <c r="BS322" s="83"/>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row>
    <row r="323" ht="18.75" customHeight="1">
      <c r="A323" s="79"/>
      <c r="B323" s="91"/>
      <c r="C323" s="79" t="s">
        <v>2900</v>
      </c>
      <c r="D323" s="98" t="str">
        <f t="shared" si="18"/>
        <v>0/0/0</v>
      </c>
      <c r="E323" s="99">
        <v>1.0</v>
      </c>
      <c r="F323" s="79"/>
      <c r="G323" s="79"/>
      <c r="H323" s="79"/>
      <c r="I323" s="79"/>
      <c r="J323" s="79"/>
      <c r="K323" s="81"/>
      <c r="L323" s="79"/>
      <c r="M323" s="79"/>
      <c r="N323" s="79"/>
      <c r="O323" s="79"/>
      <c r="P323" s="79" t="s">
        <v>29</v>
      </c>
      <c r="Q323" s="82"/>
      <c r="R323" s="82"/>
      <c r="S323" s="82"/>
      <c r="T323" s="82"/>
      <c r="U323" s="82"/>
      <c r="V323" s="82"/>
      <c r="W323" s="82"/>
      <c r="X323" s="82"/>
      <c r="Y323" s="82"/>
      <c r="Z323" s="82"/>
      <c r="AA323" s="82"/>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79"/>
      <c r="AZ323" s="79"/>
      <c r="BA323" s="79"/>
      <c r="BB323" s="79"/>
      <c r="BC323" s="79"/>
      <c r="BD323" s="79"/>
      <c r="BE323" s="79"/>
      <c r="BF323" s="79"/>
      <c r="BG323" s="79" t="str">
        <f t="array" ref="BG323">IF($A323="","", INDEX(CS!$B$1:$B$15025,MATCH($A323,CS!$B:$B,0)+COLUMN(A$1),1))</f>
        <v/>
      </c>
      <c r="BH323" s="79" t="str">
        <f t="array" ref="BH323">IF($A323="","", INDEX(CS!$B$1:$B$15025,MATCH($A323,CS!$B:$B,0)+COLUMN(B$1),1))</f>
        <v/>
      </c>
      <c r="BI323" s="79" t="str">
        <f t="array" ref="BI323">IF($A323="","", INDEX(CS!$B$1:$B$15025,MATCH($A323,CS!$B:$B,0)+COLUMN(C$1),1))</f>
        <v/>
      </c>
      <c r="BJ323" s="79" t="str">
        <f t="array" ref="BJ323">IF($A323="","", INDEX(CS!$B$1:$B$15025,MATCH($A323,CS!$B:$B,0)+COLUMN(D$1),1))</f>
        <v/>
      </c>
      <c r="BK323" s="79" t="str">
        <f t="array" ref="BK323">IF($A323="","", INDEX(CS!$B$1:$B$15025,MATCH($A323,CS!$B:$B,0)+COLUMN(E$1),1))</f>
        <v/>
      </c>
      <c r="BL323" s="79" t="str">
        <f t="array" ref="BL323">IF($A323="","", INDEX(CS!$B$1:$B$15025,MATCH($A323,CS!$B:$B,0)+COLUMN(F$1),1))</f>
        <v/>
      </c>
      <c r="BM323" s="79" t="str">
        <f t="array" ref="BM323">IF($A323="","", INDEX(CS!$B$1:$B$15025,MATCH($A323,CS!$B:$B,0)+COLUMN(G$1),1))</f>
        <v/>
      </c>
      <c r="BN323" s="79" t="str">
        <f t="array" ref="BN323">IF($A323="","", INDEX(CS!$B$1:$B$15025,MATCH($A323,CS!$B:$B,0)+COLUMN(H$1),1))</f>
        <v/>
      </c>
      <c r="BO323" s="79" t="str">
        <f t="array" ref="BO323">IF($A323="","", INDEX(CS!$B$1:$B$15025,MATCH($A323,CS!$B:$B,0)+COLUMN(I$1),1))</f>
        <v/>
      </c>
      <c r="BP323" s="79" t="str">
        <f t="array" ref="BP323">IF($A323="","", INDEX(CS!$B$1:$B$15025,MATCH($A323,CS!$B:$B,0)+COLUMN(J$1),1))</f>
        <v/>
      </c>
      <c r="BQ323" s="79"/>
      <c r="BR323" s="79"/>
      <c r="BS323" s="83"/>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row>
    <row r="324" ht="18.75" customHeight="1">
      <c r="A324" s="79"/>
      <c r="B324" s="91"/>
      <c r="C324" s="79" t="s">
        <v>2900</v>
      </c>
      <c r="D324" s="98" t="str">
        <f t="shared" si="18"/>
        <v>0/0/0</v>
      </c>
      <c r="E324" s="99">
        <v>1.0</v>
      </c>
      <c r="F324" s="79"/>
      <c r="G324" s="79"/>
      <c r="H324" s="79"/>
      <c r="I324" s="79"/>
      <c r="J324" s="79"/>
      <c r="K324" s="81"/>
      <c r="L324" s="79"/>
      <c r="M324" s="79"/>
      <c r="N324" s="79"/>
      <c r="O324" s="79"/>
      <c r="P324" s="79" t="s">
        <v>29</v>
      </c>
      <c r="Q324" s="82"/>
      <c r="R324" s="82"/>
      <c r="S324" s="82"/>
      <c r="T324" s="82"/>
      <c r="U324" s="82"/>
      <c r="V324" s="82"/>
      <c r="W324" s="82"/>
      <c r="X324" s="82"/>
      <c r="Y324" s="82"/>
      <c r="Z324" s="82"/>
      <c r="AA324" s="82"/>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79"/>
      <c r="AZ324" s="79"/>
      <c r="BA324" s="79"/>
      <c r="BB324" s="79"/>
      <c r="BC324" s="79"/>
      <c r="BD324" s="79"/>
      <c r="BE324" s="79"/>
      <c r="BF324" s="79"/>
      <c r="BG324" s="79" t="str">
        <f t="array" ref="BG324">IF($A324="","", INDEX(CS!$B$1:$B$15025,MATCH($A324,CS!$B:$B,0)+COLUMN(A$1),1))</f>
        <v/>
      </c>
      <c r="BH324" s="79" t="str">
        <f t="array" ref="BH324">IF($A324="","", INDEX(CS!$B$1:$B$15025,MATCH($A324,CS!$B:$B,0)+COLUMN(B$1),1))</f>
        <v/>
      </c>
      <c r="BI324" s="79" t="str">
        <f t="array" ref="BI324">IF($A324="","", INDEX(CS!$B$1:$B$15025,MATCH($A324,CS!$B:$B,0)+COLUMN(C$1),1))</f>
        <v/>
      </c>
      <c r="BJ324" s="79" t="str">
        <f t="array" ref="BJ324">IF($A324="","", INDEX(CS!$B$1:$B$15025,MATCH($A324,CS!$B:$B,0)+COLUMN(D$1),1))</f>
        <v/>
      </c>
      <c r="BK324" s="79" t="str">
        <f t="array" ref="BK324">IF($A324="","", INDEX(CS!$B$1:$B$15025,MATCH($A324,CS!$B:$B,0)+COLUMN(E$1),1))</f>
        <v/>
      </c>
      <c r="BL324" s="79" t="str">
        <f t="array" ref="BL324">IF($A324="","", INDEX(CS!$B$1:$B$15025,MATCH($A324,CS!$B:$B,0)+COLUMN(F$1),1))</f>
        <v/>
      </c>
      <c r="BM324" s="79" t="str">
        <f t="array" ref="BM324">IF($A324="","", INDEX(CS!$B$1:$B$15025,MATCH($A324,CS!$B:$B,0)+COLUMN(G$1),1))</f>
        <v/>
      </c>
      <c r="BN324" s="79" t="str">
        <f t="array" ref="BN324">IF($A324="","", INDEX(CS!$B$1:$B$15025,MATCH($A324,CS!$B:$B,0)+COLUMN(H$1),1))</f>
        <v/>
      </c>
      <c r="BO324" s="79" t="str">
        <f t="array" ref="BO324">IF($A324="","", INDEX(CS!$B$1:$B$15025,MATCH($A324,CS!$B:$B,0)+COLUMN(I$1),1))</f>
        <v/>
      </c>
      <c r="BP324" s="79" t="str">
        <f t="array" ref="BP324">IF($A324="","", INDEX(CS!$B$1:$B$15025,MATCH($A324,CS!$B:$B,0)+COLUMN(J$1),1))</f>
        <v/>
      </c>
      <c r="BQ324" s="79"/>
      <c r="BR324" s="79"/>
      <c r="BS324" s="83"/>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row>
    <row r="325" ht="18.75" customHeight="1">
      <c r="A325" s="79"/>
      <c r="B325" s="91"/>
      <c r="C325" s="79" t="s">
        <v>2900</v>
      </c>
      <c r="D325" s="98" t="str">
        <f t="shared" si="18"/>
        <v>0/0/0</v>
      </c>
      <c r="E325" s="99">
        <v>1.0</v>
      </c>
      <c r="F325" s="79"/>
      <c r="G325" s="79"/>
      <c r="H325" s="79"/>
      <c r="I325" s="79"/>
      <c r="J325" s="79"/>
      <c r="K325" s="81"/>
      <c r="L325" s="79"/>
      <c r="M325" s="79"/>
      <c r="N325" s="79"/>
      <c r="O325" s="79"/>
      <c r="P325" s="79" t="s">
        <v>29</v>
      </c>
      <c r="Q325" s="82"/>
      <c r="R325" s="82"/>
      <c r="S325" s="82"/>
      <c r="T325" s="82"/>
      <c r="U325" s="82"/>
      <c r="V325" s="82"/>
      <c r="W325" s="82"/>
      <c r="X325" s="82"/>
      <c r="Y325" s="82"/>
      <c r="Z325" s="82"/>
      <c r="AA325" s="82"/>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79"/>
      <c r="AZ325" s="79"/>
      <c r="BA325" s="79"/>
      <c r="BB325" s="79"/>
      <c r="BC325" s="79"/>
      <c r="BD325" s="79"/>
      <c r="BE325" s="79"/>
      <c r="BF325" s="79"/>
      <c r="BG325" s="79" t="str">
        <f t="array" ref="BG325">IF($A325="","", INDEX(CS!$B$1:$B$15025,MATCH($A325,CS!$B:$B,0)+COLUMN(A$1),1))</f>
        <v/>
      </c>
      <c r="BH325" s="79" t="str">
        <f t="array" ref="BH325">IF($A325="","", INDEX(CS!$B$1:$B$15025,MATCH($A325,CS!$B:$B,0)+COLUMN(B$1),1))</f>
        <v/>
      </c>
      <c r="BI325" s="79" t="str">
        <f t="array" ref="BI325">IF($A325="","", INDEX(CS!$B$1:$B$15025,MATCH($A325,CS!$B:$B,0)+COLUMN(C$1),1))</f>
        <v/>
      </c>
      <c r="BJ325" s="79" t="str">
        <f t="array" ref="BJ325">IF($A325="","", INDEX(CS!$B$1:$B$15025,MATCH($A325,CS!$B:$B,0)+COLUMN(D$1),1))</f>
        <v/>
      </c>
      <c r="BK325" s="79" t="str">
        <f t="array" ref="BK325">IF($A325="","", INDEX(CS!$B$1:$B$15025,MATCH($A325,CS!$B:$B,0)+COLUMN(E$1),1))</f>
        <v/>
      </c>
      <c r="BL325" s="79" t="str">
        <f t="array" ref="BL325">IF($A325="","", INDEX(CS!$B$1:$B$15025,MATCH($A325,CS!$B:$B,0)+COLUMN(F$1),1))</f>
        <v/>
      </c>
      <c r="BM325" s="79" t="str">
        <f t="array" ref="BM325">IF($A325="","", INDEX(CS!$B$1:$B$15025,MATCH($A325,CS!$B:$B,0)+COLUMN(G$1),1))</f>
        <v/>
      </c>
      <c r="BN325" s="79" t="str">
        <f t="array" ref="BN325">IF($A325="","", INDEX(CS!$B$1:$B$15025,MATCH($A325,CS!$B:$B,0)+COLUMN(H$1),1))</f>
        <v/>
      </c>
      <c r="BO325" s="79" t="str">
        <f t="array" ref="BO325">IF($A325="","", INDEX(CS!$B$1:$B$15025,MATCH($A325,CS!$B:$B,0)+COLUMN(I$1),1))</f>
        <v/>
      </c>
      <c r="BP325" s="79" t="str">
        <f t="array" ref="BP325">IF($A325="","", INDEX(CS!$B$1:$B$15025,MATCH($A325,CS!$B:$B,0)+COLUMN(J$1),1))</f>
        <v/>
      </c>
      <c r="BQ325" s="79"/>
      <c r="BR325" s="79"/>
      <c r="BS325" s="83"/>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row>
    <row r="326" ht="18.75" customHeight="1">
      <c r="A326" s="79"/>
      <c r="B326" s="91"/>
      <c r="C326" s="79" t="s">
        <v>2900</v>
      </c>
      <c r="D326" s="98" t="str">
        <f t="shared" si="18"/>
        <v>0/0/0</v>
      </c>
      <c r="E326" s="99">
        <v>1.0</v>
      </c>
      <c r="F326" s="79"/>
      <c r="G326" s="79"/>
      <c r="H326" s="79"/>
      <c r="I326" s="79"/>
      <c r="J326" s="79"/>
      <c r="K326" s="81"/>
      <c r="L326" s="79"/>
      <c r="M326" s="79"/>
      <c r="N326" s="79"/>
      <c r="O326" s="79"/>
      <c r="P326" s="79" t="s">
        <v>29</v>
      </c>
      <c r="Q326" s="82"/>
      <c r="R326" s="82"/>
      <c r="S326" s="82"/>
      <c r="T326" s="82"/>
      <c r="U326" s="82"/>
      <c r="V326" s="82"/>
      <c r="W326" s="82"/>
      <c r="X326" s="82"/>
      <c r="Y326" s="82"/>
      <c r="Z326" s="82"/>
      <c r="AA326" s="82"/>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79"/>
      <c r="AZ326" s="79"/>
      <c r="BA326" s="79"/>
      <c r="BB326" s="79"/>
      <c r="BC326" s="79"/>
      <c r="BD326" s="79"/>
      <c r="BE326" s="79"/>
      <c r="BF326" s="79"/>
      <c r="BG326" s="79" t="str">
        <f t="array" ref="BG326">IF($A326="","", INDEX(CS!$B$1:$B$15025,MATCH($A326,CS!$B:$B,0)+COLUMN(A$1),1))</f>
        <v/>
      </c>
      <c r="BH326" s="79" t="str">
        <f t="array" ref="BH326">IF($A326="","", INDEX(CS!$B$1:$B$15025,MATCH($A326,CS!$B:$B,0)+COLUMN(B$1),1))</f>
        <v/>
      </c>
      <c r="BI326" s="79" t="str">
        <f t="array" ref="BI326">IF($A326="","", INDEX(CS!$B$1:$B$15025,MATCH($A326,CS!$B:$B,0)+COLUMN(C$1),1))</f>
        <v/>
      </c>
      <c r="BJ326" s="79" t="str">
        <f t="array" ref="BJ326">IF($A326="","", INDEX(CS!$B$1:$B$15025,MATCH($A326,CS!$B:$B,0)+COLUMN(D$1),1))</f>
        <v/>
      </c>
      <c r="BK326" s="79" t="str">
        <f t="array" ref="BK326">IF($A326="","", INDEX(CS!$B$1:$B$15025,MATCH($A326,CS!$B:$B,0)+COLUMN(E$1),1))</f>
        <v/>
      </c>
      <c r="BL326" s="79" t="str">
        <f t="array" ref="BL326">IF($A326="","", INDEX(CS!$B$1:$B$15025,MATCH($A326,CS!$B:$B,0)+COLUMN(F$1),1))</f>
        <v/>
      </c>
      <c r="BM326" s="79" t="str">
        <f t="array" ref="BM326">IF($A326="","", INDEX(CS!$B$1:$B$15025,MATCH($A326,CS!$B:$B,0)+COLUMN(G$1),1))</f>
        <v/>
      </c>
      <c r="BN326" s="79" t="str">
        <f t="array" ref="BN326">IF($A326="","", INDEX(CS!$B$1:$B$15025,MATCH($A326,CS!$B:$B,0)+COLUMN(H$1),1))</f>
        <v/>
      </c>
      <c r="BO326" s="79" t="str">
        <f t="array" ref="BO326">IF($A326="","", INDEX(CS!$B$1:$B$15025,MATCH($A326,CS!$B:$B,0)+COLUMN(I$1),1))</f>
        <v/>
      </c>
      <c r="BP326" s="79" t="str">
        <f t="array" ref="BP326">IF($A326="","", INDEX(CS!$B$1:$B$15025,MATCH($A326,CS!$B:$B,0)+COLUMN(J$1),1))</f>
        <v/>
      </c>
      <c r="BQ326" s="79"/>
      <c r="BR326" s="79"/>
      <c r="BS326" s="83"/>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row>
    <row r="327" ht="18.75" customHeight="1">
      <c r="A327" s="79"/>
      <c r="B327" s="91"/>
      <c r="C327" s="79" t="s">
        <v>2900</v>
      </c>
      <c r="D327" s="98" t="str">
        <f t="shared" si="18"/>
        <v>0/0/0</v>
      </c>
      <c r="E327" s="99">
        <v>1.0</v>
      </c>
      <c r="F327" s="79"/>
      <c r="G327" s="79"/>
      <c r="H327" s="79"/>
      <c r="I327" s="79"/>
      <c r="J327" s="79"/>
      <c r="K327" s="81"/>
      <c r="L327" s="79"/>
      <c r="M327" s="79"/>
      <c r="N327" s="79"/>
      <c r="O327" s="79"/>
      <c r="P327" s="79" t="s">
        <v>29</v>
      </c>
      <c r="Q327" s="82"/>
      <c r="R327" s="82"/>
      <c r="S327" s="82"/>
      <c r="T327" s="82"/>
      <c r="U327" s="82"/>
      <c r="V327" s="82"/>
      <c r="W327" s="82"/>
      <c r="X327" s="82"/>
      <c r="Y327" s="82"/>
      <c r="Z327" s="82"/>
      <c r="AA327" s="82"/>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79"/>
      <c r="AZ327" s="79"/>
      <c r="BA327" s="79"/>
      <c r="BB327" s="79"/>
      <c r="BC327" s="79"/>
      <c r="BD327" s="79"/>
      <c r="BE327" s="79"/>
      <c r="BF327" s="79"/>
      <c r="BG327" s="79" t="str">
        <f t="array" ref="BG327">IF($A327="","", INDEX(CS!$B$1:$B$15025,MATCH($A327,CS!$B:$B,0)+COLUMN(A$1),1))</f>
        <v/>
      </c>
      <c r="BH327" s="79" t="str">
        <f t="array" ref="BH327">IF($A327="","", INDEX(CS!$B$1:$B$15025,MATCH($A327,CS!$B:$B,0)+COLUMN(B$1),1))</f>
        <v/>
      </c>
      <c r="BI327" s="79" t="str">
        <f t="array" ref="BI327">IF($A327="","", INDEX(CS!$B$1:$B$15025,MATCH($A327,CS!$B:$B,0)+COLUMN(C$1),1))</f>
        <v/>
      </c>
      <c r="BJ327" s="79" t="str">
        <f t="array" ref="BJ327">IF($A327="","", INDEX(CS!$B$1:$B$15025,MATCH($A327,CS!$B:$B,0)+COLUMN(D$1),1))</f>
        <v/>
      </c>
      <c r="BK327" s="79" t="str">
        <f t="array" ref="BK327">IF($A327="","", INDEX(CS!$B$1:$B$15025,MATCH($A327,CS!$B:$B,0)+COLUMN(E$1),1))</f>
        <v/>
      </c>
      <c r="BL327" s="79" t="str">
        <f t="array" ref="BL327">IF($A327="","", INDEX(CS!$B$1:$B$15025,MATCH($A327,CS!$B:$B,0)+COLUMN(F$1),1))</f>
        <v/>
      </c>
      <c r="BM327" s="79" t="str">
        <f t="array" ref="BM327">IF($A327="","", INDEX(CS!$B$1:$B$15025,MATCH($A327,CS!$B:$B,0)+COLUMN(G$1),1))</f>
        <v/>
      </c>
      <c r="BN327" s="79" t="str">
        <f t="array" ref="BN327">IF($A327="","", INDEX(CS!$B$1:$B$15025,MATCH($A327,CS!$B:$B,0)+COLUMN(H$1),1))</f>
        <v/>
      </c>
      <c r="BO327" s="79" t="str">
        <f t="array" ref="BO327">IF($A327="","", INDEX(CS!$B$1:$B$15025,MATCH($A327,CS!$B:$B,0)+COLUMN(I$1),1))</f>
        <v/>
      </c>
      <c r="BP327" s="79" t="str">
        <f t="array" ref="BP327">IF($A327="","", INDEX(CS!$B$1:$B$15025,MATCH($A327,CS!$B:$B,0)+COLUMN(J$1),1))</f>
        <v/>
      </c>
      <c r="BQ327" s="79"/>
      <c r="BR327" s="79"/>
      <c r="BS327" s="83"/>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row>
    <row r="328" ht="18.75" customHeight="1">
      <c r="A328" s="79"/>
      <c r="B328" s="91"/>
      <c r="C328" s="79" t="s">
        <v>2900</v>
      </c>
      <c r="D328" s="98" t="str">
        <f t="shared" si="18"/>
        <v>0/0/0</v>
      </c>
      <c r="E328" s="99">
        <v>1.0</v>
      </c>
      <c r="F328" s="79"/>
      <c r="G328" s="79"/>
      <c r="H328" s="79"/>
      <c r="I328" s="79"/>
      <c r="J328" s="79"/>
      <c r="K328" s="81"/>
      <c r="L328" s="79"/>
      <c r="M328" s="79"/>
      <c r="N328" s="79"/>
      <c r="O328" s="79"/>
      <c r="P328" s="79" t="s">
        <v>29</v>
      </c>
      <c r="Q328" s="82"/>
      <c r="R328" s="82"/>
      <c r="S328" s="82"/>
      <c r="T328" s="82"/>
      <c r="U328" s="82"/>
      <c r="V328" s="82"/>
      <c r="W328" s="82"/>
      <c r="X328" s="82"/>
      <c r="Y328" s="82"/>
      <c r="Z328" s="82"/>
      <c r="AA328" s="82"/>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79"/>
      <c r="AZ328" s="79"/>
      <c r="BA328" s="79"/>
      <c r="BB328" s="79"/>
      <c r="BC328" s="79"/>
      <c r="BD328" s="79"/>
      <c r="BE328" s="79"/>
      <c r="BF328" s="79"/>
      <c r="BG328" s="79" t="str">
        <f t="array" ref="BG328">IF($A328="","", INDEX(CS!$B$1:$B$15025,MATCH($A328,CS!$B:$B,0)+COLUMN(A$1),1))</f>
        <v/>
      </c>
      <c r="BH328" s="79" t="str">
        <f t="array" ref="BH328">IF($A328="","", INDEX(CS!$B$1:$B$15025,MATCH($A328,CS!$B:$B,0)+COLUMN(B$1),1))</f>
        <v/>
      </c>
      <c r="BI328" s="79" t="str">
        <f t="array" ref="BI328">IF($A328="","", INDEX(CS!$B$1:$B$15025,MATCH($A328,CS!$B:$B,0)+COLUMN(C$1),1))</f>
        <v/>
      </c>
      <c r="BJ328" s="79" t="str">
        <f t="array" ref="BJ328">IF($A328="","", INDEX(CS!$B$1:$B$15025,MATCH($A328,CS!$B:$B,0)+COLUMN(D$1),1))</f>
        <v/>
      </c>
      <c r="BK328" s="79" t="str">
        <f t="array" ref="BK328">IF($A328="","", INDEX(CS!$B$1:$B$15025,MATCH($A328,CS!$B:$B,0)+COLUMN(E$1),1))</f>
        <v/>
      </c>
      <c r="BL328" s="79" t="str">
        <f t="array" ref="BL328">IF($A328="","", INDEX(CS!$B$1:$B$15025,MATCH($A328,CS!$B:$B,0)+COLUMN(F$1),1))</f>
        <v/>
      </c>
      <c r="BM328" s="79" t="str">
        <f t="array" ref="BM328">IF($A328="","", INDEX(CS!$B$1:$B$15025,MATCH($A328,CS!$B:$B,0)+COLUMN(G$1),1))</f>
        <v/>
      </c>
      <c r="BN328" s="79" t="str">
        <f t="array" ref="BN328">IF($A328="","", INDEX(CS!$B$1:$B$15025,MATCH($A328,CS!$B:$B,0)+COLUMN(H$1),1))</f>
        <v/>
      </c>
      <c r="BO328" s="79" t="str">
        <f t="array" ref="BO328">IF($A328="","", INDEX(CS!$B$1:$B$15025,MATCH($A328,CS!$B:$B,0)+COLUMN(I$1),1))</f>
        <v/>
      </c>
      <c r="BP328" s="79" t="str">
        <f t="array" ref="BP328">IF($A328="","", INDEX(CS!$B$1:$B$15025,MATCH($A328,CS!$B:$B,0)+COLUMN(J$1),1))</f>
        <v/>
      </c>
      <c r="BQ328" s="79"/>
      <c r="BR328" s="79"/>
      <c r="BS328" s="83"/>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row>
    <row r="329" ht="18.75" customHeight="1">
      <c r="B329" s="71"/>
      <c r="C329" s="37" t="s">
        <v>2900</v>
      </c>
      <c r="D329" s="72" t="str">
        <f t="shared" si="18"/>
        <v>0/0/0</v>
      </c>
      <c r="E329" s="37">
        <v>1.0</v>
      </c>
      <c r="K329" s="73"/>
      <c r="P329" s="37" t="s">
        <v>29</v>
      </c>
      <c r="Q329" s="64"/>
      <c r="R329" s="64"/>
      <c r="S329" s="64"/>
      <c r="T329" s="64"/>
      <c r="U329" s="64"/>
      <c r="V329" s="64"/>
      <c r="W329" s="64"/>
      <c r="X329" s="64"/>
      <c r="Y329" s="64"/>
      <c r="Z329" s="64"/>
      <c r="AA329" s="64"/>
      <c r="BG329" s="37" t="str">
        <f t="array" ref="BG329">IF($A329="","", INDEX(CS!$B$1:$B$15025,MATCH($A329,CS!$B:$B,0)+COLUMN(A$1),1))</f>
        <v/>
      </c>
      <c r="BH329" s="37" t="str">
        <f t="array" ref="BH329">IF($A329="","", INDEX(CS!$B$1:$B$15025,MATCH($A329,CS!$B:$B,0)+COLUMN(B$1),1))</f>
        <v/>
      </c>
      <c r="BI329" s="37" t="str">
        <f t="array" ref="BI329">IF($A329="","", INDEX(CS!$B$1:$B$15025,MATCH($A329,CS!$B:$B,0)+COLUMN(C$1),1))</f>
        <v/>
      </c>
      <c r="BJ329" s="37" t="str">
        <f t="array" ref="BJ329">IF($A329="","", INDEX(CS!$B$1:$B$15025,MATCH($A329,CS!$B:$B,0)+COLUMN(D$1),1))</f>
        <v/>
      </c>
      <c r="BK329" s="37" t="str">
        <f t="array" ref="BK329">IF($A329="","", INDEX(CS!$B$1:$B$15025,MATCH($A329,CS!$B:$B,0)+COLUMN(E$1),1))</f>
        <v/>
      </c>
      <c r="BL329" s="37" t="str">
        <f t="array" ref="BL329">IF($A329="","", INDEX(CS!$B$1:$B$15025,MATCH($A329,CS!$B:$B,0)+COLUMN(F$1),1))</f>
        <v/>
      </c>
      <c r="BM329" s="37" t="str">
        <f t="array" ref="BM329">IF($A329="","", INDEX(CS!$B$1:$B$15025,MATCH($A329,CS!$B:$B,0)+COLUMN(G$1),1))</f>
        <v/>
      </c>
      <c r="BN329" s="37" t="str">
        <f t="array" ref="BN329">IF($A329="","", INDEX(CS!$B$1:$B$15025,MATCH($A329,CS!$B:$B,0)+COLUMN(H$1),1))</f>
        <v/>
      </c>
      <c r="BO329" s="37" t="str">
        <f t="array" ref="BO329">IF($A329="","", INDEX(CS!$B$1:$B$15025,MATCH($A329,CS!$B:$B,0)+COLUMN(I$1),1))</f>
        <v/>
      </c>
      <c r="BP329" s="37" t="str">
        <f t="array" ref="BP329">IF($A329="","", INDEX(CS!$B$1:$B$15025,MATCH($A329,CS!$B:$B,0)+COLUMN(J$1),1))</f>
        <v/>
      </c>
      <c r="BS329" s="74"/>
      <c r="CQ329" s="37"/>
      <c r="CR329" s="37"/>
    </row>
    <row r="330" ht="18.75" customHeight="1">
      <c r="B330" s="71"/>
      <c r="C330" s="37" t="s">
        <v>2900</v>
      </c>
      <c r="D330" s="72" t="str">
        <f t="shared" si="18"/>
        <v>0/0/0</v>
      </c>
      <c r="E330" s="37">
        <v>1.0</v>
      </c>
      <c r="K330" s="73"/>
      <c r="P330" s="37" t="s">
        <v>29</v>
      </c>
      <c r="Q330" s="64"/>
      <c r="R330" s="64"/>
      <c r="S330" s="64"/>
      <c r="T330" s="64"/>
      <c r="U330" s="64"/>
      <c r="V330" s="64"/>
      <c r="W330" s="64"/>
      <c r="X330" s="64"/>
      <c r="Y330" s="64"/>
      <c r="Z330" s="64"/>
      <c r="AA330" s="64"/>
      <c r="BG330" s="37" t="str">
        <f t="array" ref="BG330">IF($A330="","", INDEX(CS!$B$1:$B$15025,MATCH($A330,CS!$B:$B,0)+COLUMN(A$1),1))</f>
        <v/>
      </c>
      <c r="BH330" s="37" t="str">
        <f t="array" ref="BH330">IF($A330="","", INDEX(CS!$B$1:$B$15025,MATCH($A330,CS!$B:$B,0)+COLUMN(B$1),1))</f>
        <v/>
      </c>
      <c r="BI330" s="37" t="str">
        <f t="array" ref="BI330">IF($A330="","", INDEX(CS!$B$1:$B$15025,MATCH($A330,CS!$B:$B,0)+COLUMN(C$1),1))</f>
        <v/>
      </c>
      <c r="BJ330" s="37" t="str">
        <f t="array" ref="BJ330">IF($A330="","", INDEX(CS!$B$1:$B$15025,MATCH($A330,CS!$B:$B,0)+COLUMN(D$1),1))</f>
        <v/>
      </c>
      <c r="BK330" s="37" t="str">
        <f t="array" ref="BK330">IF($A330="","", INDEX(CS!$B$1:$B$15025,MATCH($A330,CS!$B:$B,0)+COLUMN(E$1),1))</f>
        <v/>
      </c>
      <c r="BL330" s="37" t="str">
        <f t="array" ref="BL330">IF($A330="","", INDEX(CS!$B$1:$B$15025,MATCH($A330,CS!$B:$B,0)+COLUMN(F$1),1))</f>
        <v/>
      </c>
      <c r="BM330" s="37" t="str">
        <f t="array" ref="BM330">IF($A330="","", INDEX(CS!$B$1:$B$15025,MATCH($A330,CS!$B:$B,0)+COLUMN(G$1),1))</f>
        <v/>
      </c>
      <c r="BN330" s="37" t="str">
        <f t="array" ref="BN330">IF($A330="","", INDEX(CS!$B$1:$B$15025,MATCH($A330,CS!$B:$B,0)+COLUMN(H$1),1))</f>
        <v/>
      </c>
      <c r="BO330" s="37" t="str">
        <f t="array" ref="BO330">IF($A330="","", INDEX(CS!$B$1:$B$15025,MATCH($A330,CS!$B:$B,0)+COLUMN(I$1),1))</f>
        <v/>
      </c>
      <c r="BP330" s="37" t="str">
        <f t="array" ref="BP330">IF($A330="","", INDEX(CS!$B$1:$B$15025,MATCH($A330,CS!$B:$B,0)+COLUMN(J$1),1))</f>
        <v/>
      </c>
      <c r="BS330" s="74"/>
      <c r="CQ330" s="37"/>
      <c r="CR330" s="37"/>
    </row>
    <row r="331" ht="18.75" customHeight="1">
      <c r="B331" s="71"/>
      <c r="C331" s="37" t="s">
        <v>2900</v>
      </c>
      <c r="D331" s="72" t="str">
        <f t="shared" si="18"/>
        <v>0/0/0</v>
      </c>
      <c r="E331" s="37">
        <v>1.0</v>
      </c>
      <c r="K331" s="73"/>
      <c r="P331" s="37" t="s">
        <v>29</v>
      </c>
      <c r="Q331" s="64"/>
      <c r="R331" s="64"/>
      <c r="S331" s="64"/>
      <c r="T331" s="64"/>
      <c r="U331" s="64"/>
      <c r="V331" s="64"/>
      <c r="W331" s="64"/>
      <c r="X331" s="64"/>
      <c r="Y331" s="64"/>
      <c r="Z331" s="64"/>
      <c r="AA331" s="64"/>
      <c r="BG331" s="37" t="str">
        <f t="array" ref="BG331">IF($A331="","", INDEX(CS!$B$1:$B$15025,MATCH($A331,CS!$B:$B,0)+COLUMN(A$1),1))</f>
        <v/>
      </c>
      <c r="BH331" s="37" t="str">
        <f t="array" ref="BH331">IF($A331="","", INDEX(CS!$B$1:$B$15025,MATCH($A331,CS!$B:$B,0)+COLUMN(B$1),1))</f>
        <v/>
      </c>
      <c r="BI331" s="37" t="str">
        <f t="array" ref="BI331">IF($A331="","", INDEX(CS!$B$1:$B$15025,MATCH($A331,CS!$B:$B,0)+COLUMN(C$1),1))</f>
        <v/>
      </c>
      <c r="BJ331" s="37" t="str">
        <f t="array" ref="BJ331">IF($A331="","", INDEX(CS!$B$1:$B$15025,MATCH($A331,CS!$B:$B,0)+COLUMN(D$1),1))</f>
        <v/>
      </c>
      <c r="BK331" s="37" t="str">
        <f t="array" ref="BK331">IF($A331="","", INDEX(CS!$B$1:$B$15025,MATCH($A331,CS!$B:$B,0)+COLUMN(E$1),1))</f>
        <v/>
      </c>
      <c r="BL331" s="37" t="str">
        <f t="array" ref="BL331">IF($A331="","", INDEX(CS!$B$1:$B$15025,MATCH($A331,CS!$B:$B,0)+COLUMN(F$1),1))</f>
        <v/>
      </c>
      <c r="BM331" s="37" t="str">
        <f t="array" ref="BM331">IF($A331="","", INDEX(CS!$B$1:$B$15025,MATCH($A331,CS!$B:$B,0)+COLUMN(G$1),1))</f>
        <v/>
      </c>
      <c r="BN331" s="37" t="str">
        <f t="array" ref="BN331">IF($A331="","", INDEX(CS!$B$1:$B$15025,MATCH($A331,CS!$B:$B,0)+COLUMN(H$1),1))</f>
        <v/>
      </c>
      <c r="BO331" s="37" t="str">
        <f t="array" ref="BO331">IF($A331="","", INDEX(CS!$B$1:$B$15025,MATCH($A331,CS!$B:$B,0)+COLUMN(I$1),1))</f>
        <v/>
      </c>
      <c r="BP331" s="37" t="str">
        <f t="array" ref="BP331">IF($A331="","", INDEX(CS!$B$1:$B$15025,MATCH($A331,CS!$B:$B,0)+COLUMN(J$1),1))</f>
        <v/>
      </c>
      <c r="BS331" s="74"/>
      <c r="CQ331" s="37"/>
      <c r="CR331" s="37"/>
    </row>
    <row r="332" ht="18.75" customHeight="1">
      <c r="B332" s="71"/>
      <c r="C332" s="37" t="s">
        <v>2900</v>
      </c>
      <c r="D332" s="72" t="str">
        <f t="shared" si="18"/>
        <v>0/0/0</v>
      </c>
      <c r="E332" s="37">
        <v>1.0</v>
      </c>
      <c r="K332" s="73"/>
      <c r="P332" s="37" t="s">
        <v>29</v>
      </c>
      <c r="Q332" s="64"/>
      <c r="R332" s="64"/>
      <c r="S332" s="64"/>
      <c r="T332" s="64"/>
      <c r="U332" s="64"/>
      <c r="V332" s="64"/>
      <c r="W332" s="64"/>
      <c r="X332" s="64"/>
      <c r="Y332" s="64"/>
      <c r="Z332" s="64"/>
      <c r="AA332" s="64"/>
      <c r="BG332" s="37" t="str">
        <f t="array" ref="BG332">IF($A332="","", INDEX(CS!$B$1:$B$15025,MATCH($A332,CS!$B:$B,0)+COLUMN(A$1),1))</f>
        <v/>
      </c>
      <c r="BH332" s="37" t="str">
        <f t="array" ref="BH332">IF($A332="","", INDEX(CS!$B$1:$B$15025,MATCH($A332,CS!$B:$B,0)+COLUMN(B$1),1))</f>
        <v/>
      </c>
      <c r="BI332" s="37" t="str">
        <f t="array" ref="BI332">IF($A332="","", INDEX(CS!$B$1:$B$15025,MATCH($A332,CS!$B:$B,0)+COLUMN(C$1),1))</f>
        <v/>
      </c>
      <c r="BJ332" s="37" t="str">
        <f t="array" ref="BJ332">IF($A332="","", INDEX(CS!$B$1:$B$15025,MATCH($A332,CS!$B:$B,0)+COLUMN(D$1),1))</f>
        <v/>
      </c>
      <c r="BK332" s="37" t="str">
        <f t="array" ref="BK332">IF($A332="","", INDEX(CS!$B$1:$B$15025,MATCH($A332,CS!$B:$B,0)+COLUMN(E$1),1))</f>
        <v/>
      </c>
      <c r="BL332" s="37" t="str">
        <f t="array" ref="BL332">IF($A332="","", INDEX(CS!$B$1:$B$15025,MATCH($A332,CS!$B:$B,0)+COLUMN(F$1),1))</f>
        <v/>
      </c>
      <c r="BM332" s="37" t="str">
        <f t="array" ref="BM332">IF($A332="","", INDEX(CS!$B$1:$B$15025,MATCH($A332,CS!$B:$B,0)+COLUMN(G$1),1))</f>
        <v/>
      </c>
      <c r="BN332" s="37" t="str">
        <f t="array" ref="BN332">IF($A332="","", INDEX(CS!$B$1:$B$15025,MATCH($A332,CS!$B:$B,0)+COLUMN(H$1),1))</f>
        <v/>
      </c>
      <c r="BO332" s="37" t="str">
        <f t="array" ref="BO332">IF($A332="","", INDEX(CS!$B$1:$B$15025,MATCH($A332,CS!$B:$B,0)+COLUMN(I$1),1))</f>
        <v/>
      </c>
      <c r="BP332" s="37" t="str">
        <f t="array" ref="BP332">IF($A332="","", INDEX(CS!$B$1:$B$15025,MATCH($A332,CS!$B:$B,0)+COLUMN(J$1),1))</f>
        <v/>
      </c>
      <c r="BS332" s="74"/>
      <c r="CQ332" s="37"/>
      <c r="CR332" s="37"/>
    </row>
    <row r="333" ht="18.75" customHeight="1">
      <c r="B333" s="71"/>
      <c r="C333" s="37" t="s">
        <v>2900</v>
      </c>
      <c r="D333" s="72" t="str">
        <f t="shared" si="18"/>
        <v>0/0/0</v>
      </c>
      <c r="E333" s="37">
        <v>1.0</v>
      </c>
      <c r="K333" s="73"/>
      <c r="P333" s="37" t="s">
        <v>29</v>
      </c>
      <c r="Q333" s="64"/>
      <c r="R333" s="64"/>
      <c r="S333" s="64"/>
      <c r="T333" s="64"/>
      <c r="U333" s="64"/>
      <c r="V333" s="64"/>
      <c r="W333" s="64"/>
      <c r="X333" s="64"/>
      <c r="Y333" s="64"/>
      <c r="Z333" s="64"/>
      <c r="AA333" s="64"/>
      <c r="BG333" s="37" t="str">
        <f t="array" ref="BG333">IF($A333="","", INDEX(CS!$B$1:$B$15025,MATCH($A333,CS!$B:$B,0)+COLUMN(A$1),1))</f>
        <v/>
      </c>
      <c r="BH333" s="37" t="str">
        <f t="array" ref="BH333">IF($A333="","", INDEX(CS!$B$1:$B$15025,MATCH($A333,CS!$B:$B,0)+COLUMN(B$1),1))</f>
        <v/>
      </c>
      <c r="BI333" s="37" t="str">
        <f t="array" ref="BI333">IF($A333="","", INDEX(CS!$B$1:$B$15025,MATCH($A333,CS!$B:$B,0)+COLUMN(C$1),1))</f>
        <v/>
      </c>
      <c r="BJ333" s="37" t="str">
        <f t="array" ref="BJ333">IF($A333="","", INDEX(CS!$B$1:$B$15025,MATCH($A333,CS!$B:$B,0)+COLUMN(D$1),1))</f>
        <v/>
      </c>
      <c r="BK333" s="37" t="str">
        <f t="array" ref="BK333">IF($A333="","", INDEX(CS!$B$1:$B$15025,MATCH($A333,CS!$B:$B,0)+COLUMN(E$1),1))</f>
        <v/>
      </c>
      <c r="BL333" s="37" t="str">
        <f t="array" ref="BL333">IF($A333="","", INDEX(CS!$B$1:$B$15025,MATCH($A333,CS!$B:$B,0)+COLUMN(F$1),1))</f>
        <v/>
      </c>
      <c r="BM333" s="37" t="str">
        <f t="array" ref="BM333">IF($A333="","", INDEX(CS!$B$1:$B$15025,MATCH($A333,CS!$B:$B,0)+COLUMN(G$1),1))</f>
        <v/>
      </c>
      <c r="BN333" s="37" t="str">
        <f t="array" ref="BN333">IF($A333="","", INDEX(CS!$B$1:$B$15025,MATCH($A333,CS!$B:$B,0)+COLUMN(H$1),1))</f>
        <v/>
      </c>
      <c r="BO333" s="37" t="str">
        <f t="array" ref="BO333">IF($A333="","", INDEX(CS!$B$1:$B$15025,MATCH($A333,CS!$B:$B,0)+COLUMN(I$1),1))</f>
        <v/>
      </c>
      <c r="BP333" s="37" t="str">
        <f t="array" ref="BP333">IF($A333="","", INDEX(CS!$B$1:$B$15025,MATCH($A333,CS!$B:$B,0)+COLUMN(J$1),1))</f>
        <v/>
      </c>
      <c r="BS333" s="74"/>
      <c r="CQ333" s="37"/>
      <c r="CR333" s="37"/>
    </row>
    <row r="334" ht="18.75" customHeight="1">
      <c r="B334" s="71"/>
      <c r="C334" s="37" t="s">
        <v>2900</v>
      </c>
      <c r="D334" s="72" t="str">
        <f t="shared" si="18"/>
        <v>0/0/0</v>
      </c>
      <c r="E334" s="37">
        <v>1.0</v>
      </c>
      <c r="K334" s="73"/>
      <c r="P334" s="37" t="s">
        <v>29</v>
      </c>
      <c r="Q334" s="64"/>
      <c r="R334" s="64"/>
      <c r="S334" s="64"/>
      <c r="T334" s="64"/>
      <c r="U334" s="64"/>
      <c r="V334" s="64"/>
      <c r="W334" s="64"/>
      <c r="X334" s="64"/>
      <c r="Y334" s="64"/>
      <c r="Z334" s="64"/>
      <c r="AA334" s="64"/>
      <c r="BG334" s="37" t="str">
        <f t="array" ref="BG334">IF($A334="","", INDEX(CS!$B$1:$B$15025,MATCH($A334,CS!$B:$B,0)+COLUMN(A$1),1))</f>
        <v/>
      </c>
      <c r="BH334" s="37" t="str">
        <f t="array" ref="BH334">IF($A334="","", INDEX(CS!$B$1:$B$15025,MATCH($A334,CS!$B:$B,0)+COLUMN(B$1),1))</f>
        <v/>
      </c>
      <c r="BI334" s="37" t="str">
        <f t="array" ref="BI334">IF($A334="","", INDEX(CS!$B$1:$B$15025,MATCH($A334,CS!$B:$B,0)+COLUMN(C$1),1))</f>
        <v/>
      </c>
      <c r="BJ334" s="37" t="str">
        <f t="array" ref="BJ334">IF($A334="","", INDEX(CS!$B$1:$B$15025,MATCH($A334,CS!$B:$B,0)+COLUMN(D$1),1))</f>
        <v/>
      </c>
      <c r="BK334" s="37" t="str">
        <f t="array" ref="BK334">IF($A334="","", INDEX(CS!$B$1:$B$15025,MATCH($A334,CS!$B:$B,0)+COLUMN(E$1),1))</f>
        <v/>
      </c>
      <c r="BL334" s="37" t="str">
        <f t="array" ref="BL334">IF($A334="","", INDEX(CS!$B$1:$B$15025,MATCH($A334,CS!$B:$B,0)+COLUMN(F$1),1))</f>
        <v/>
      </c>
      <c r="BM334" s="37" t="str">
        <f t="array" ref="BM334">IF($A334="","", INDEX(CS!$B$1:$B$15025,MATCH($A334,CS!$B:$B,0)+COLUMN(G$1),1))</f>
        <v/>
      </c>
      <c r="BN334" s="37" t="str">
        <f t="array" ref="BN334">IF($A334="","", INDEX(CS!$B$1:$B$15025,MATCH($A334,CS!$B:$B,0)+COLUMN(H$1),1))</f>
        <v/>
      </c>
      <c r="BO334" s="37" t="str">
        <f t="array" ref="BO334">IF($A334="","", INDEX(CS!$B$1:$B$15025,MATCH($A334,CS!$B:$B,0)+COLUMN(I$1),1))</f>
        <v/>
      </c>
      <c r="BP334" s="37" t="str">
        <f t="array" ref="BP334">IF($A334="","", INDEX(CS!$B$1:$B$15025,MATCH($A334,CS!$B:$B,0)+COLUMN(J$1),1))</f>
        <v/>
      </c>
      <c r="BS334" s="74"/>
      <c r="CQ334" s="37"/>
      <c r="CR334" s="37"/>
    </row>
    <row r="335" ht="18.75" customHeight="1">
      <c r="B335" s="71"/>
      <c r="C335" s="37" t="s">
        <v>2900</v>
      </c>
      <c r="D335" s="72" t="str">
        <f t="shared" si="18"/>
        <v>0/0/0</v>
      </c>
      <c r="E335" s="37">
        <v>1.0</v>
      </c>
      <c r="K335" s="73"/>
      <c r="P335" s="37" t="s">
        <v>29</v>
      </c>
      <c r="Q335" s="64"/>
      <c r="R335" s="64"/>
      <c r="S335" s="64"/>
      <c r="T335" s="64"/>
      <c r="U335" s="64"/>
      <c r="V335" s="64"/>
      <c r="W335" s="64"/>
      <c r="X335" s="64"/>
      <c r="Y335" s="64"/>
      <c r="Z335" s="64"/>
      <c r="AA335" s="64"/>
      <c r="BG335" s="37" t="str">
        <f t="array" ref="BG335">IF($A335="","", INDEX(CS!$B$1:$B$15025,MATCH($A335,CS!$B:$B,0)+COLUMN(A$1),1))</f>
        <v/>
      </c>
      <c r="BH335" s="37" t="str">
        <f t="array" ref="BH335">IF($A335="","", INDEX(CS!$B$1:$B$15025,MATCH($A335,CS!$B:$B,0)+COLUMN(B$1),1))</f>
        <v/>
      </c>
      <c r="BI335" s="37" t="str">
        <f t="array" ref="BI335">IF($A335="","", INDEX(CS!$B$1:$B$15025,MATCH($A335,CS!$B:$B,0)+COLUMN(C$1),1))</f>
        <v/>
      </c>
      <c r="BJ335" s="37" t="str">
        <f t="array" ref="BJ335">IF($A335="","", INDEX(CS!$B$1:$B$15025,MATCH($A335,CS!$B:$B,0)+COLUMN(D$1),1))</f>
        <v/>
      </c>
      <c r="BK335" s="37" t="str">
        <f t="array" ref="BK335">IF($A335="","", INDEX(CS!$B$1:$B$15025,MATCH($A335,CS!$B:$B,0)+COLUMN(E$1),1))</f>
        <v/>
      </c>
      <c r="BL335" s="37" t="str">
        <f t="array" ref="BL335">IF($A335="","", INDEX(CS!$B$1:$B$15025,MATCH($A335,CS!$B:$B,0)+COLUMN(F$1),1))</f>
        <v/>
      </c>
      <c r="BM335" s="37" t="str">
        <f t="array" ref="BM335">IF($A335="","", INDEX(CS!$B$1:$B$15025,MATCH($A335,CS!$B:$B,0)+COLUMN(G$1),1))</f>
        <v/>
      </c>
      <c r="BN335" s="37" t="str">
        <f t="array" ref="BN335">IF($A335="","", INDEX(CS!$B$1:$B$15025,MATCH($A335,CS!$B:$B,0)+COLUMN(H$1),1))</f>
        <v/>
      </c>
      <c r="BO335" s="37" t="str">
        <f t="array" ref="BO335">IF($A335="","", INDEX(CS!$B$1:$B$15025,MATCH($A335,CS!$B:$B,0)+COLUMN(I$1),1))</f>
        <v/>
      </c>
      <c r="BP335" s="37" t="str">
        <f t="array" ref="BP335">IF($A335="","", INDEX(CS!$B$1:$B$15025,MATCH($A335,CS!$B:$B,0)+COLUMN(J$1),1))</f>
        <v/>
      </c>
      <c r="BS335" s="74"/>
      <c r="CQ335" s="37"/>
      <c r="CR335" s="37"/>
    </row>
    <row r="336" ht="18.75" customHeight="1">
      <c r="B336" s="71"/>
      <c r="C336" s="37" t="s">
        <v>2900</v>
      </c>
      <c r="D336" s="72" t="str">
        <f t="shared" si="18"/>
        <v>0/0/0</v>
      </c>
      <c r="E336" s="37">
        <v>1.0</v>
      </c>
      <c r="K336" s="73"/>
      <c r="P336" s="37" t="s">
        <v>29</v>
      </c>
      <c r="Q336" s="64"/>
      <c r="R336" s="64"/>
      <c r="S336" s="64"/>
      <c r="T336" s="64"/>
      <c r="U336" s="64"/>
      <c r="V336" s="64"/>
      <c r="W336" s="64"/>
      <c r="X336" s="64"/>
      <c r="Y336" s="64"/>
      <c r="Z336" s="64"/>
      <c r="AA336" s="64"/>
      <c r="BG336" s="37" t="str">
        <f t="array" ref="BG336">IF($A336="","", INDEX(CS!$B$1:$B$15025,MATCH($A336,CS!$B:$B,0)+COLUMN(A$1),1))</f>
        <v/>
      </c>
      <c r="BH336" s="37" t="str">
        <f t="array" ref="BH336">IF($A336="","", INDEX(CS!$B$1:$B$15025,MATCH($A336,CS!$B:$B,0)+COLUMN(B$1),1))</f>
        <v/>
      </c>
      <c r="BI336" s="37" t="str">
        <f t="array" ref="BI336">IF($A336="","", INDEX(CS!$B$1:$B$15025,MATCH($A336,CS!$B:$B,0)+COLUMN(C$1),1))</f>
        <v/>
      </c>
      <c r="BJ336" s="37" t="str">
        <f t="array" ref="BJ336">IF($A336="","", INDEX(CS!$B$1:$B$15025,MATCH($A336,CS!$B:$B,0)+COLUMN(D$1),1))</f>
        <v/>
      </c>
      <c r="BK336" s="37" t="str">
        <f t="array" ref="BK336">IF($A336="","", INDEX(CS!$B$1:$B$15025,MATCH($A336,CS!$B:$B,0)+COLUMN(E$1),1))</f>
        <v/>
      </c>
      <c r="BL336" s="37" t="str">
        <f t="array" ref="BL336">IF($A336="","", INDEX(CS!$B$1:$B$15025,MATCH($A336,CS!$B:$B,0)+COLUMN(F$1),1))</f>
        <v/>
      </c>
      <c r="BM336" s="37" t="str">
        <f t="array" ref="BM336">IF($A336="","", INDEX(CS!$B$1:$B$15025,MATCH($A336,CS!$B:$B,0)+COLUMN(G$1),1))</f>
        <v/>
      </c>
      <c r="BN336" s="37" t="str">
        <f t="array" ref="BN336">IF($A336="","", INDEX(CS!$B$1:$B$15025,MATCH($A336,CS!$B:$B,0)+COLUMN(H$1),1))</f>
        <v/>
      </c>
      <c r="BO336" s="37" t="str">
        <f t="array" ref="BO336">IF($A336="","", INDEX(CS!$B$1:$B$15025,MATCH($A336,CS!$B:$B,0)+COLUMN(I$1),1))</f>
        <v/>
      </c>
      <c r="BP336" s="37" t="str">
        <f t="array" ref="BP336">IF($A336="","", INDEX(CS!$B$1:$B$15025,MATCH($A336,CS!$B:$B,0)+COLUMN(J$1),1))</f>
        <v/>
      </c>
      <c r="BS336" s="74"/>
      <c r="CQ336" s="37"/>
      <c r="CR336" s="37"/>
    </row>
    <row r="337" ht="18.75" customHeight="1">
      <c r="B337" s="71"/>
      <c r="C337" s="37" t="s">
        <v>2900</v>
      </c>
      <c r="D337" s="72" t="str">
        <f t="shared" si="18"/>
        <v>0/0/0</v>
      </c>
      <c r="E337" s="37">
        <v>1.0</v>
      </c>
      <c r="K337" s="73"/>
      <c r="P337" s="37" t="s">
        <v>29</v>
      </c>
      <c r="Q337" s="64"/>
      <c r="R337" s="64"/>
      <c r="S337" s="64"/>
      <c r="T337" s="64"/>
      <c r="U337" s="64"/>
      <c r="V337" s="64"/>
      <c r="W337" s="64"/>
      <c r="X337" s="64"/>
      <c r="Y337" s="64"/>
      <c r="Z337" s="64"/>
      <c r="AA337" s="64"/>
      <c r="BG337" s="37" t="str">
        <f t="array" ref="BG337">IF($A337="","", INDEX(CS!$B$1:$B$15025,MATCH($A337,CS!$B:$B,0)+COLUMN(A$1),1))</f>
        <v/>
      </c>
      <c r="BH337" s="37" t="str">
        <f t="array" ref="BH337">IF($A337="","", INDEX(CS!$B$1:$B$15025,MATCH($A337,CS!$B:$B,0)+COLUMN(B$1),1))</f>
        <v/>
      </c>
      <c r="BI337" s="37" t="str">
        <f t="array" ref="BI337">IF($A337="","", INDEX(CS!$B$1:$B$15025,MATCH($A337,CS!$B:$B,0)+COLUMN(C$1),1))</f>
        <v/>
      </c>
      <c r="BJ337" s="37" t="str">
        <f t="array" ref="BJ337">IF($A337="","", INDEX(CS!$B$1:$B$15025,MATCH($A337,CS!$B:$B,0)+COLUMN(D$1),1))</f>
        <v/>
      </c>
      <c r="BK337" s="37" t="str">
        <f t="array" ref="BK337">IF($A337="","", INDEX(CS!$B$1:$B$15025,MATCH($A337,CS!$B:$B,0)+COLUMN(E$1),1))</f>
        <v/>
      </c>
      <c r="BL337" s="37" t="str">
        <f t="array" ref="BL337">IF($A337="","", INDEX(CS!$B$1:$B$15025,MATCH($A337,CS!$B:$B,0)+COLUMN(F$1),1))</f>
        <v/>
      </c>
      <c r="BM337" s="37" t="str">
        <f t="array" ref="BM337">IF($A337="","", INDEX(CS!$B$1:$B$15025,MATCH($A337,CS!$B:$B,0)+COLUMN(G$1),1))</f>
        <v/>
      </c>
      <c r="BN337" s="37" t="str">
        <f t="array" ref="BN337">IF($A337="","", INDEX(CS!$B$1:$B$15025,MATCH($A337,CS!$B:$B,0)+COLUMN(H$1),1))</f>
        <v/>
      </c>
      <c r="BO337" s="37" t="str">
        <f t="array" ref="BO337">IF($A337="","", INDEX(CS!$B$1:$B$15025,MATCH($A337,CS!$B:$B,0)+COLUMN(I$1),1))</f>
        <v/>
      </c>
      <c r="BP337" s="37" t="str">
        <f t="array" ref="BP337">IF($A337="","", INDEX(CS!$B$1:$B$15025,MATCH($A337,CS!$B:$B,0)+COLUMN(J$1),1))</f>
        <v/>
      </c>
      <c r="BS337" s="74"/>
      <c r="CQ337" s="37"/>
      <c r="CR337" s="37"/>
    </row>
    <row r="338" ht="18.75" customHeight="1">
      <c r="B338" s="71"/>
      <c r="C338" s="37" t="s">
        <v>2900</v>
      </c>
      <c r="D338" s="72" t="str">
        <f t="shared" si="18"/>
        <v>0/0/0</v>
      </c>
      <c r="E338" s="37">
        <v>1.0</v>
      </c>
      <c r="K338" s="73"/>
      <c r="P338" s="37" t="s">
        <v>29</v>
      </c>
      <c r="Q338" s="64"/>
      <c r="R338" s="64"/>
      <c r="S338" s="64"/>
      <c r="T338" s="64"/>
      <c r="U338" s="64"/>
      <c r="V338" s="64"/>
      <c r="W338" s="64"/>
      <c r="X338" s="64"/>
      <c r="Y338" s="64"/>
      <c r="Z338" s="64"/>
      <c r="AA338" s="64"/>
      <c r="BG338" s="37" t="str">
        <f t="array" ref="BG338">IF($A338="","", INDEX(CS!$B$1:$B$15025,MATCH($A338,CS!$B:$B,0)+COLUMN(A$1),1))</f>
        <v/>
      </c>
      <c r="BH338" s="37" t="str">
        <f t="array" ref="BH338">IF($A338="","", INDEX(CS!$B$1:$B$15025,MATCH($A338,CS!$B:$B,0)+COLUMN(B$1),1))</f>
        <v/>
      </c>
      <c r="BI338" s="37" t="str">
        <f t="array" ref="BI338">IF($A338="","", INDEX(CS!$B$1:$B$15025,MATCH($A338,CS!$B:$B,0)+COLUMN(C$1),1))</f>
        <v/>
      </c>
      <c r="BJ338" s="37" t="str">
        <f t="array" ref="BJ338">IF($A338="","", INDEX(CS!$B$1:$B$15025,MATCH($A338,CS!$B:$B,0)+COLUMN(D$1),1))</f>
        <v/>
      </c>
      <c r="BK338" s="37" t="str">
        <f t="array" ref="BK338">IF($A338="","", INDEX(CS!$B$1:$B$15025,MATCH($A338,CS!$B:$B,0)+COLUMN(E$1),1))</f>
        <v/>
      </c>
      <c r="BL338" s="37" t="str">
        <f t="array" ref="BL338">IF($A338="","", INDEX(CS!$B$1:$B$15025,MATCH($A338,CS!$B:$B,0)+COLUMN(F$1),1))</f>
        <v/>
      </c>
      <c r="BM338" s="37" t="str">
        <f t="array" ref="BM338">IF($A338="","", INDEX(CS!$B$1:$B$15025,MATCH($A338,CS!$B:$B,0)+COLUMN(G$1),1))</f>
        <v/>
      </c>
      <c r="BN338" s="37" t="str">
        <f t="array" ref="BN338">IF($A338="","", INDEX(CS!$B$1:$B$15025,MATCH($A338,CS!$B:$B,0)+COLUMN(H$1),1))</f>
        <v/>
      </c>
      <c r="BO338" s="37" t="str">
        <f t="array" ref="BO338">IF($A338="","", INDEX(CS!$B$1:$B$15025,MATCH($A338,CS!$B:$B,0)+COLUMN(I$1),1))</f>
        <v/>
      </c>
      <c r="BP338" s="37" t="str">
        <f t="array" ref="BP338">IF($A338="","", INDEX(CS!$B$1:$B$15025,MATCH($A338,CS!$B:$B,0)+COLUMN(J$1),1))</f>
        <v/>
      </c>
      <c r="BS338" s="74"/>
      <c r="CQ338" s="37"/>
      <c r="CR338" s="37"/>
    </row>
    <row r="339" ht="18.75" customHeight="1">
      <c r="B339" s="71"/>
      <c r="C339" s="37" t="s">
        <v>2900</v>
      </c>
      <c r="D339" s="72" t="str">
        <f t="shared" si="18"/>
        <v>0/0/0</v>
      </c>
      <c r="E339" s="37">
        <v>1.0</v>
      </c>
      <c r="K339" s="73"/>
      <c r="P339" s="37" t="s">
        <v>29</v>
      </c>
      <c r="Q339" s="64"/>
      <c r="R339" s="64"/>
      <c r="S339" s="64"/>
      <c r="T339" s="64"/>
      <c r="U339" s="64"/>
      <c r="V339" s="64"/>
      <c r="W339" s="64"/>
      <c r="X339" s="64"/>
      <c r="Y339" s="64"/>
      <c r="Z339" s="64"/>
      <c r="AA339" s="64"/>
      <c r="BG339" s="37" t="str">
        <f t="array" ref="BG339">IF($A339="","", INDEX(CS!$B$1:$B$15025,MATCH($A339,CS!$B:$B,0)+COLUMN(A$1),1))</f>
        <v/>
      </c>
      <c r="BH339" s="37" t="str">
        <f t="array" ref="BH339">IF($A339="","", INDEX(CS!$B$1:$B$15025,MATCH($A339,CS!$B:$B,0)+COLUMN(B$1),1))</f>
        <v/>
      </c>
      <c r="BI339" s="37" t="str">
        <f t="array" ref="BI339">IF($A339="","", INDEX(CS!$B$1:$B$15025,MATCH($A339,CS!$B:$B,0)+COLUMN(C$1),1))</f>
        <v/>
      </c>
      <c r="BJ339" s="37" t="str">
        <f t="array" ref="BJ339">IF($A339="","", INDEX(CS!$B$1:$B$15025,MATCH($A339,CS!$B:$B,0)+COLUMN(D$1),1))</f>
        <v/>
      </c>
      <c r="BK339" s="37" t="str">
        <f t="array" ref="BK339">IF($A339="","", INDEX(CS!$B$1:$B$15025,MATCH($A339,CS!$B:$B,0)+COLUMN(E$1),1))</f>
        <v/>
      </c>
      <c r="BL339" s="37" t="str">
        <f t="array" ref="BL339">IF($A339="","", INDEX(CS!$B$1:$B$15025,MATCH($A339,CS!$B:$B,0)+COLUMN(F$1),1))</f>
        <v/>
      </c>
      <c r="BM339" s="37" t="str">
        <f t="array" ref="BM339">IF($A339="","", INDEX(CS!$B$1:$B$15025,MATCH($A339,CS!$B:$B,0)+COLUMN(G$1),1))</f>
        <v/>
      </c>
      <c r="BN339" s="37" t="str">
        <f t="array" ref="BN339">IF($A339="","", INDEX(CS!$B$1:$B$15025,MATCH($A339,CS!$B:$B,0)+COLUMN(H$1),1))</f>
        <v/>
      </c>
      <c r="BO339" s="37" t="str">
        <f t="array" ref="BO339">IF($A339="","", INDEX(CS!$B$1:$B$15025,MATCH($A339,CS!$B:$B,0)+COLUMN(I$1),1))</f>
        <v/>
      </c>
      <c r="BP339" s="37" t="str">
        <f t="array" ref="BP339">IF($A339="","", INDEX(CS!$B$1:$B$15025,MATCH($A339,CS!$B:$B,0)+COLUMN(J$1),1))</f>
        <v/>
      </c>
      <c r="BS339" s="74"/>
      <c r="CQ339" s="37"/>
      <c r="CR339" s="37"/>
    </row>
    <row r="340" ht="18.75" customHeight="1">
      <c r="B340" s="71"/>
      <c r="C340" s="37" t="s">
        <v>2900</v>
      </c>
      <c r="D340" s="72" t="str">
        <f t="shared" si="18"/>
        <v>0/0/0</v>
      </c>
      <c r="E340" s="37">
        <v>1.0</v>
      </c>
      <c r="K340" s="73"/>
      <c r="P340" s="37" t="s">
        <v>29</v>
      </c>
      <c r="Q340" s="64"/>
      <c r="R340" s="64"/>
      <c r="S340" s="64"/>
      <c r="T340" s="64"/>
      <c r="U340" s="64"/>
      <c r="V340" s="64"/>
      <c r="W340" s="64"/>
      <c r="X340" s="64"/>
      <c r="Y340" s="64"/>
      <c r="Z340" s="64"/>
      <c r="AA340" s="64"/>
      <c r="BG340" s="37" t="str">
        <f t="array" ref="BG340">IF($A340="","", INDEX(CS!$B$1:$B$15025,MATCH($A340,CS!$B:$B,0)+COLUMN(A$1),1))</f>
        <v/>
      </c>
      <c r="BH340" s="37" t="str">
        <f t="array" ref="BH340">IF($A340="","", INDEX(CS!$B$1:$B$15025,MATCH($A340,CS!$B:$B,0)+COLUMN(B$1),1))</f>
        <v/>
      </c>
      <c r="BI340" s="37" t="str">
        <f t="array" ref="BI340">IF($A340="","", INDEX(CS!$B$1:$B$15025,MATCH($A340,CS!$B:$B,0)+COLUMN(C$1),1))</f>
        <v/>
      </c>
      <c r="BJ340" s="37" t="str">
        <f t="array" ref="BJ340">IF($A340="","", INDEX(CS!$B$1:$B$15025,MATCH($A340,CS!$B:$B,0)+COLUMN(D$1),1))</f>
        <v/>
      </c>
      <c r="BK340" s="37" t="str">
        <f t="array" ref="BK340">IF($A340="","", INDEX(CS!$B$1:$B$15025,MATCH($A340,CS!$B:$B,0)+COLUMN(E$1),1))</f>
        <v/>
      </c>
      <c r="BL340" s="37" t="str">
        <f t="array" ref="BL340">IF($A340="","", INDEX(CS!$B$1:$B$15025,MATCH($A340,CS!$B:$B,0)+COLUMN(F$1),1))</f>
        <v/>
      </c>
      <c r="BM340" s="37" t="str">
        <f t="array" ref="BM340">IF($A340="","", INDEX(CS!$B$1:$B$15025,MATCH($A340,CS!$B:$B,0)+COLUMN(G$1),1))</f>
        <v/>
      </c>
      <c r="BN340" s="37" t="str">
        <f t="array" ref="BN340">IF($A340="","", INDEX(CS!$B$1:$B$15025,MATCH($A340,CS!$B:$B,0)+COLUMN(H$1),1))</f>
        <v/>
      </c>
      <c r="BO340" s="37" t="str">
        <f t="array" ref="BO340">IF($A340="","", INDEX(CS!$B$1:$B$15025,MATCH($A340,CS!$B:$B,0)+COLUMN(I$1),1))</f>
        <v/>
      </c>
      <c r="BP340" s="37" t="str">
        <f t="array" ref="BP340">IF($A340="","", INDEX(CS!$B$1:$B$15025,MATCH($A340,CS!$B:$B,0)+COLUMN(J$1),1))</f>
        <v/>
      </c>
      <c r="BS340" s="74"/>
      <c r="CQ340" s="37"/>
      <c r="CR340" s="37"/>
    </row>
    <row r="341" ht="18.75" customHeight="1">
      <c r="B341" s="71"/>
      <c r="C341" s="37" t="s">
        <v>2900</v>
      </c>
      <c r="D341" s="72" t="str">
        <f t="shared" si="18"/>
        <v>0/0/0</v>
      </c>
      <c r="E341" s="37">
        <v>1.0</v>
      </c>
      <c r="K341" s="73"/>
      <c r="P341" s="37" t="s">
        <v>29</v>
      </c>
      <c r="Q341" s="64"/>
      <c r="R341" s="64"/>
      <c r="S341" s="64"/>
      <c r="T341" s="64"/>
      <c r="U341" s="64"/>
      <c r="V341" s="64"/>
      <c r="W341" s="64"/>
      <c r="X341" s="64"/>
      <c r="Y341" s="64"/>
      <c r="Z341" s="64"/>
      <c r="AA341" s="64"/>
      <c r="BG341" s="37" t="str">
        <f t="array" ref="BG341">IF($A341="","", INDEX(CS!$B$1:$B$15025,MATCH($A341,CS!$B:$B,0)+COLUMN(A$1),1))</f>
        <v/>
      </c>
      <c r="BH341" s="37" t="str">
        <f t="array" ref="BH341">IF($A341="","", INDEX(CS!$B$1:$B$15025,MATCH($A341,CS!$B:$B,0)+COLUMN(B$1),1))</f>
        <v/>
      </c>
      <c r="BI341" s="37" t="str">
        <f t="array" ref="BI341">IF($A341="","", INDEX(CS!$B$1:$B$15025,MATCH($A341,CS!$B:$B,0)+COLUMN(C$1),1))</f>
        <v/>
      </c>
      <c r="BJ341" s="37" t="str">
        <f t="array" ref="BJ341">IF($A341="","", INDEX(CS!$B$1:$B$15025,MATCH($A341,CS!$B:$B,0)+COLUMN(D$1),1))</f>
        <v/>
      </c>
      <c r="BK341" s="37" t="str">
        <f t="array" ref="BK341">IF($A341="","", INDEX(CS!$B$1:$B$15025,MATCH($A341,CS!$B:$B,0)+COLUMN(E$1),1))</f>
        <v/>
      </c>
      <c r="BL341" s="37" t="str">
        <f t="array" ref="BL341">IF($A341="","", INDEX(CS!$B$1:$B$15025,MATCH($A341,CS!$B:$B,0)+COLUMN(F$1),1))</f>
        <v/>
      </c>
      <c r="BM341" s="37" t="str">
        <f t="array" ref="BM341">IF($A341="","", INDEX(CS!$B$1:$B$15025,MATCH($A341,CS!$B:$B,0)+COLUMN(G$1),1))</f>
        <v/>
      </c>
      <c r="BN341" s="37" t="str">
        <f t="array" ref="BN341">IF($A341="","", INDEX(CS!$B$1:$B$15025,MATCH($A341,CS!$B:$B,0)+COLUMN(H$1),1))</f>
        <v/>
      </c>
      <c r="BO341" s="37" t="str">
        <f t="array" ref="BO341">IF($A341="","", INDEX(CS!$B$1:$B$15025,MATCH($A341,CS!$B:$B,0)+COLUMN(I$1),1))</f>
        <v/>
      </c>
      <c r="BP341" s="37" t="str">
        <f t="array" ref="BP341">IF($A341="","", INDEX(CS!$B$1:$B$15025,MATCH($A341,CS!$B:$B,0)+COLUMN(J$1),1))</f>
        <v/>
      </c>
      <c r="BS341" s="74"/>
      <c r="CQ341" s="37"/>
      <c r="CR341" s="37"/>
    </row>
    <row r="342" ht="18.75" customHeight="1">
      <c r="B342" s="71"/>
      <c r="C342" s="37" t="s">
        <v>2900</v>
      </c>
      <c r="D342" s="72" t="str">
        <f t="shared" si="18"/>
        <v>0/0/0</v>
      </c>
      <c r="E342" s="37">
        <v>1.0</v>
      </c>
      <c r="K342" s="73"/>
      <c r="P342" s="37" t="s">
        <v>29</v>
      </c>
      <c r="Q342" s="64"/>
      <c r="R342" s="64"/>
      <c r="S342" s="64"/>
      <c r="T342" s="64"/>
      <c r="U342" s="64"/>
      <c r="V342" s="64"/>
      <c r="W342" s="64"/>
      <c r="X342" s="64"/>
      <c r="Y342" s="64"/>
      <c r="Z342" s="64"/>
      <c r="AA342" s="64"/>
      <c r="BG342" s="37" t="str">
        <f t="array" ref="BG342">IF($A342="","", INDEX(CS!$B$1:$B$15025,MATCH($A342,CS!$B:$B,0)+COLUMN(A$1),1))</f>
        <v/>
      </c>
      <c r="BH342" s="37" t="str">
        <f t="array" ref="BH342">IF($A342="","", INDEX(CS!$B$1:$B$15025,MATCH($A342,CS!$B:$B,0)+COLUMN(B$1),1))</f>
        <v/>
      </c>
      <c r="BI342" s="37" t="str">
        <f t="array" ref="BI342">IF($A342="","", INDEX(CS!$B$1:$B$15025,MATCH($A342,CS!$B:$B,0)+COLUMN(C$1),1))</f>
        <v/>
      </c>
      <c r="BJ342" s="37" t="str">
        <f t="array" ref="BJ342">IF($A342="","", INDEX(CS!$B$1:$B$15025,MATCH($A342,CS!$B:$B,0)+COLUMN(D$1),1))</f>
        <v/>
      </c>
      <c r="BK342" s="37" t="str">
        <f t="array" ref="BK342">IF($A342="","", INDEX(CS!$B$1:$B$15025,MATCH($A342,CS!$B:$B,0)+COLUMN(E$1),1))</f>
        <v/>
      </c>
      <c r="BL342" s="37" t="str">
        <f t="array" ref="BL342">IF($A342="","", INDEX(CS!$B$1:$B$15025,MATCH($A342,CS!$B:$B,0)+COLUMN(F$1),1))</f>
        <v/>
      </c>
      <c r="BM342" s="37" t="str">
        <f t="array" ref="BM342">IF($A342="","", INDEX(CS!$B$1:$B$15025,MATCH($A342,CS!$B:$B,0)+COLUMN(G$1),1))</f>
        <v/>
      </c>
      <c r="BN342" s="37" t="str">
        <f t="array" ref="BN342">IF($A342="","", INDEX(CS!$B$1:$B$15025,MATCH($A342,CS!$B:$B,0)+COLUMN(H$1),1))</f>
        <v/>
      </c>
      <c r="BO342" s="37" t="str">
        <f t="array" ref="BO342">IF($A342="","", INDEX(CS!$B$1:$B$15025,MATCH($A342,CS!$B:$B,0)+COLUMN(I$1),1))</f>
        <v/>
      </c>
      <c r="BP342" s="37" t="str">
        <f t="array" ref="BP342">IF($A342="","", INDEX(CS!$B$1:$B$15025,MATCH($A342,CS!$B:$B,0)+COLUMN(J$1),1))</f>
        <v/>
      </c>
      <c r="BS342" s="74"/>
      <c r="CQ342" s="37"/>
      <c r="CR342" s="37"/>
    </row>
    <row r="343" ht="18.75" customHeight="1">
      <c r="B343" s="71"/>
      <c r="C343" s="37" t="s">
        <v>2900</v>
      </c>
      <c r="D343" s="72" t="str">
        <f t="shared" si="18"/>
        <v>0/0/0</v>
      </c>
      <c r="E343" s="37">
        <v>1.0</v>
      </c>
      <c r="K343" s="73"/>
      <c r="P343" s="37" t="s">
        <v>29</v>
      </c>
      <c r="Q343" s="64"/>
      <c r="R343" s="64"/>
      <c r="S343" s="64"/>
      <c r="T343" s="64"/>
      <c r="U343" s="64"/>
      <c r="V343" s="64"/>
      <c r="W343" s="64"/>
      <c r="X343" s="64"/>
      <c r="Y343" s="64"/>
      <c r="Z343" s="64"/>
      <c r="AA343" s="64"/>
      <c r="BG343" s="37" t="str">
        <f t="array" ref="BG343">IF($A343="","", INDEX(CS!$B$1:$B$15025,MATCH($A343,CS!$B:$B,0)+COLUMN(A$1),1))</f>
        <v/>
      </c>
      <c r="BH343" s="37" t="str">
        <f t="array" ref="BH343">IF($A343="","", INDEX(CS!$B$1:$B$15025,MATCH($A343,CS!$B:$B,0)+COLUMN(B$1),1))</f>
        <v/>
      </c>
      <c r="BI343" s="37" t="str">
        <f t="array" ref="BI343">IF($A343="","", INDEX(CS!$B$1:$B$15025,MATCH($A343,CS!$B:$B,0)+COLUMN(C$1),1))</f>
        <v/>
      </c>
      <c r="BJ343" s="37" t="str">
        <f t="array" ref="BJ343">IF($A343="","", INDEX(CS!$B$1:$B$15025,MATCH($A343,CS!$B:$B,0)+COLUMN(D$1),1))</f>
        <v/>
      </c>
      <c r="BK343" s="37" t="str">
        <f t="array" ref="BK343">IF($A343="","", INDEX(CS!$B$1:$B$15025,MATCH($A343,CS!$B:$B,0)+COLUMN(E$1),1))</f>
        <v/>
      </c>
      <c r="BL343" s="37" t="str">
        <f t="array" ref="BL343">IF($A343="","", INDEX(CS!$B$1:$B$15025,MATCH($A343,CS!$B:$B,0)+COLUMN(F$1),1))</f>
        <v/>
      </c>
      <c r="BM343" s="37" t="str">
        <f t="array" ref="BM343">IF($A343="","", INDEX(CS!$B$1:$B$15025,MATCH($A343,CS!$B:$B,0)+COLUMN(G$1),1))</f>
        <v/>
      </c>
      <c r="BN343" s="37" t="str">
        <f t="array" ref="BN343">IF($A343="","", INDEX(CS!$B$1:$B$15025,MATCH($A343,CS!$B:$B,0)+COLUMN(H$1),1))</f>
        <v/>
      </c>
      <c r="BO343" s="37" t="str">
        <f t="array" ref="BO343">IF($A343="","", INDEX(CS!$B$1:$B$15025,MATCH($A343,CS!$B:$B,0)+COLUMN(I$1),1))</f>
        <v/>
      </c>
      <c r="BP343" s="37" t="str">
        <f t="array" ref="BP343">IF($A343="","", INDEX(CS!$B$1:$B$15025,MATCH($A343,CS!$B:$B,0)+COLUMN(J$1),1))</f>
        <v/>
      </c>
      <c r="BS343" s="74"/>
      <c r="CQ343" s="37"/>
      <c r="CR343" s="37"/>
    </row>
    <row r="344" ht="18.75" customHeight="1">
      <c r="B344" s="71"/>
      <c r="C344" s="37" t="s">
        <v>2900</v>
      </c>
      <c r="D344" s="72" t="str">
        <f t="shared" si="18"/>
        <v>0/0/0</v>
      </c>
      <c r="E344" s="37">
        <v>1.0</v>
      </c>
      <c r="K344" s="73"/>
      <c r="P344" s="37" t="s">
        <v>29</v>
      </c>
      <c r="Q344" s="64"/>
      <c r="R344" s="64"/>
      <c r="S344" s="64"/>
      <c r="T344" s="64"/>
      <c r="U344" s="64"/>
      <c r="V344" s="64"/>
      <c r="W344" s="64"/>
      <c r="X344" s="64"/>
      <c r="Y344" s="64"/>
      <c r="Z344" s="64"/>
      <c r="AA344" s="64"/>
      <c r="BG344" s="37" t="str">
        <f t="array" ref="BG344">IF($A344="","", INDEX(CS!$B$1:$B$15025,MATCH($A344,CS!$B:$B,0)+COLUMN(A$1),1))</f>
        <v/>
      </c>
      <c r="BH344" s="37" t="str">
        <f t="array" ref="BH344">IF($A344="","", INDEX(CS!$B$1:$B$15025,MATCH($A344,CS!$B:$B,0)+COLUMN(B$1),1))</f>
        <v/>
      </c>
      <c r="BI344" s="37" t="str">
        <f t="array" ref="BI344">IF($A344="","", INDEX(CS!$B$1:$B$15025,MATCH($A344,CS!$B:$B,0)+COLUMN(C$1),1))</f>
        <v/>
      </c>
      <c r="BJ344" s="37" t="str">
        <f t="array" ref="BJ344">IF($A344="","", INDEX(CS!$B$1:$B$15025,MATCH($A344,CS!$B:$B,0)+COLUMN(D$1),1))</f>
        <v/>
      </c>
      <c r="BK344" s="37" t="str">
        <f t="array" ref="BK344">IF($A344="","", INDEX(CS!$B$1:$B$15025,MATCH($A344,CS!$B:$B,0)+COLUMN(E$1),1))</f>
        <v/>
      </c>
      <c r="BL344" s="37" t="str">
        <f t="array" ref="BL344">IF($A344="","", INDEX(CS!$B$1:$B$15025,MATCH($A344,CS!$B:$B,0)+COLUMN(F$1),1))</f>
        <v/>
      </c>
      <c r="BM344" s="37" t="str">
        <f t="array" ref="BM344">IF($A344="","", INDEX(CS!$B$1:$B$15025,MATCH($A344,CS!$B:$B,0)+COLUMN(G$1),1))</f>
        <v/>
      </c>
      <c r="BN344" s="37" t="str">
        <f t="array" ref="BN344">IF($A344="","", INDEX(CS!$B$1:$B$15025,MATCH($A344,CS!$B:$B,0)+COLUMN(H$1),1))</f>
        <v/>
      </c>
      <c r="BO344" s="37" t="str">
        <f t="array" ref="BO344">IF($A344="","", INDEX(CS!$B$1:$B$15025,MATCH($A344,CS!$B:$B,0)+COLUMN(I$1),1))</f>
        <v/>
      </c>
      <c r="BP344" s="37" t="str">
        <f t="array" ref="BP344">IF($A344="","", INDEX(CS!$B$1:$B$15025,MATCH($A344,CS!$B:$B,0)+COLUMN(J$1),1))</f>
        <v/>
      </c>
      <c r="BS344" s="74"/>
      <c r="CQ344" s="37"/>
      <c r="CR344" s="37"/>
    </row>
    <row r="345" ht="18.75" customHeight="1">
      <c r="B345" s="71"/>
      <c r="C345" s="37" t="s">
        <v>2900</v>
      </c>
      <c r="D345" s="72" t="str">
        <f t="shared" si="18"/>
        <v>0/0/0</v>
      </c>
      <c r="E345" s="37">
        <v>1.0</v>
      </c>
      <c r="K345" s="73"/>
      <c r="P345" s="37" t="s">
        <v>29</v>
      </c>
      <c r="Q345" s="64"/>
      <c r="R345" s="64"/>
      <c r="S345" s="64"/>
      <c r="T345" s="64"/>
      <c r="U345" s="64"/>
      <c r="V345" s="64"/>
      <c r="W345" s="64"/>
      <c r="X345" s="64"/>
      <c r="Y345" s="64"/>
      <c r="Z345" s="64"/>
      <c r="AA345" s="64"/>
      <c r="BG345" s="37" t="str">
        <f t="array" ref="BG345">IF($A345="","", INDEX(CS!$B$1:$B$15025,MATCH($A345,CS!$B:$B,0)+COLUMN(A$1),1))</f>
        <v/>
      </c>
      <c r="BH345" s="37" t="str">
        <f t="array" ref="BH345">IF($A345="","", INDEX(CS!$B$1:$B$15025,MATCH($A345,CS!$B:$B,0)+COLUMN(B$1),1))</f>
        <v/>
      </c>
      <c r="BI345" s="37" t="str">
        <f t="array" ref="BI345">IF($A345="","", INDEX(CS!$B$1:$B$15025,MATCH($A345,CS!$B:$B,0)+COLUMN(C$1),1))</f>
        <v/>
      </c>
      <c r="BJ345" s="37" t="str">
        <f t="array" ref="BJ345">IF($A345="","", INDEX(CS!$B$1:$B$15025,MATCH($A345,CS!$B:$B,0)+COLUMN(D$1),1))</f>
        <v/>
      </c>
      <c r="BK345" s="37" t="str">
        <f t="array" ref="BK345">IF($A345="","", INDEX(CS!$B$1:$B$15025,MATCH($A345,CS!$B:$B,0)+COLUMN(E$1),1))</f>
        <v/>
      </c>
      <c r="BL345" s="37" t="str">
        <f t="array" ref="BL345">IF($A345="","", INDEX(CS!$B$1:$B$15025,MATCH($A345,CS!$B:$B,0)+COLUMN(F$1),1))</f>
        <v/>
      </c>
      <c r="BM345" s="37" t="str">
        <f t="array" ref="BM345">IF($A345="","", INDEX(CS!$B$1:$B$15025,MATCH($A345,CS!$B:$B,0)+COLUMN(G$1),1))</f>
        <v/>
      </c>
      <c r="BN345" s="37" t="str">
        <f t="array" ref="BN345">IF($A345="","", INDEX(CS!$B$1:$B$15025,MATCH($A345,CS!$B:$B,0)+COLUMN(H$1),1))</f>
        <v/>
      </c>
      <c r="BO345" s="37" t="str">
        <f t="array" ref="BO345">IF($A345="","", INDEX(CS!$B$1:$B$15025,MATCH($A345,CS!$B:$B,0)+COLUMN(I$1),1))</f>
        <v/>
      </c>
      <c r="BP345" s="37" t="str">
        <f t="array" ref="BP345">IF($A345="","", INDEX(CS!$B$1:$B$15025,MATCH($A345,CS!$B:$B,0)+COLUMN(J$1),1))</f>
        <v/>
      </c>
      <c r="BS345" s="74"/>
      <c r="CQ345" s="37"/>
      <c r="CR345" s="37"/>
    </row>
    <row r="346" ht="18.75" customHeight="1">
      <c r="B346" s="71"/>
      <c r="C346" s="37" t="s">
        <v>2900</v>
      </c>
      <c r="D346" s="72" t="str">
        <f t="shared" si="18"/>
        <v>0/0/0</v>
      </c>
      <c r="E346" s="37">
        <v>1.0</v>
      </c>
      <c r="K346" s="73"/>
      <c r="P346" s="37" t="s">
        <v>29</v>
      </c>
      <c r="Q346" s="64"/>
      <c r="R346" s="64"/>
      <c r="S346" s="64"/>
      <c r="T346" s="64"/>
      <c r="U346" s="64"/>
      <c r="V346" s="64"/>
      <c r="W346" s="64"/>
      <c r="X346" s="64"/>
      <c r="Y346" s="64"/>
      <c r="Z346" s="64"/>
      <c r="AA346" s="64"/>
      <c r="BG346" s="37" t="str">
        <f t="array" ref="BG346">IF($A346="","", INDEX(CS!$B$1:$B$15025,MATCH($A346,CS!$B:$B,0)+COLUMN(A$1),1))</f>
        <v/>
      </c>
      <c r="BH346" s="37" t="str">
        <f t="array" ref="BH346">IF($A346="","", INDEX(CS!$B$1:$B$15025,MATCH($A346,CS!$B:$B,0)+COLUMN(B$1),1))</f>
        <v/>
      </c>
      <c r="BI346" s="37" t="str">
        <f t="array" ref="BI346">IF($A346="","", INDEX(CS!$B$1:$B$15025,MATCH($A346,CS!$B:$B,0)+COLUMN(C$1),1))</f>
        <v/>
      </c>
      <c r="BJ346" s="37" t="str">
        <f t="array" ref="BJ346">IF($A346="","", INDEX(CS!$B$1:$B$15025,MATCH($A346,CS!$B:$B,0)+COLUMN(D$1),1))</f>
        <v/>
      </c>
      <c r="BK346" s="37" t="str">
        <f t="array" ref="BK346">IF($A346="","", INDEX(CS!$B$1:$B$15025,MATCH($A346,CS!$B:$B,0)+COLUMN(E$1),1))</f>
        <v/>
      </c>
      <c r="BL346" s="37" t="str">
        <f t="array" ref="BL346">IF($A346="","", INDEX(CS!$B$1:$B$15025,MATCH($A346,CS!$B:$B,0)+COLUMN(F$1),1))</f>
        <v/>
      </c>
      <c r="BM346" s="37" t="str">
        <f t="array" ref="BM346">IF($A346="","", INDEX(CS!$B$1:$B$15025,MATCH($A346,CS!$B:$B,0)+COLUMN(G$1),1))</f>
        <v/>
      </c>
      <c r="BN346" s="37" t="str">
        <f t="array" ref="BN346">IF($A346="","", INDEX(CS!$B$1:$B$15025,MATCH($A346,CS!$B:$B,0)+COLUMN(H$1),1))</f>
        <v/>
      </c>
      <c r="BO346" s="37" t="str">
        <f t="array" ref="BO346">IF($A346="","", INDEX(CS!$B$1:$B$15025,MATCH($A346,CS!$B:$B,0)+COLUMN(I$1),1))</f>
        <v/>
      </c>
      <c r="BP346" s="37" t="str">
        <f t="array" ref="BP346">IF($A346="","", INDEX(CS!$B$1:$B$15025,MATCH($A346,CS!$B:$B,0)+COLUMN(J$1),1))</f>
        <v/>
      </c>
      <c r="BS346" s="74"/>
      <c r="CQ346" s="37"/>
      <c r="CR346" s="37"/>
    </row>
    <row r="347" ht="18.75" customHeight="1">
      <c r="B347" s="71"/>
      <c r="C347" s="37" t="s">
        <v>2900</v>
      </c>
      <c r="D347" s="72" t="str">
        <f t="shared" si="18"/>
        <v>0/0/0</v>
      </c>
      <c r="E347" s="37">
        <v>1.0</v>
      </c>
      <c r="K347" s="73"/>
      <c r="P347" s="37" t="s">
        <v>29</v>
      </c>
      <c r="Q347" s="64"/>
      <c r="R347" s="64"/>
      <c r="S347" s="64"/>
      <c r="T347" s="64"/>
      <c r="U347" s="64"/>
      <c r="V347" s="64"/>
      <c r="W347" s="64"/>
      <c r="X347" s="64"/>
      <c r="Y347" s="64"/>
      <c r="Z347" s="64"/>
      <c r="AA347" s="64"/>
      <c r="BG347" s="37" t="str">
        <f t="array" ref="BG347">IF($A347="","", INDEX(CS!$B$1:$B$15025,MATCH($A347,CS!$B:$B,0)+COLUMN(A$1),1))</f>
        <v/>
      </c>
      <c r="BH347" s="37" t="str">
        <f t="array" ref="BH347">IF($A347="","", INDEX(CS!$B$1:$B$15025,MATCH($A347,CS!$B:$B,0)+COLUMN(B$1),1))</f>
        <v/>
      </c>
      <c r="BI347" s="37" t="str">
        <f t="array" ref="BI347">IF($A347="","", INDEX(CS!$B$1:$B$15025,MATCH($A347,CS!$B:$B,0)+COLUMN(C$1),1))</f>
        <v/>
      </c>
      <c r="BJ347" s="37" t="str">
        <f t="array" ref="BJ347">IF($A347="","", INDEX(CS!$B$1:$B$15025,MATCH($A347,CS!$B:$B,0)+COLUMN(D$1),1))</f>
        <v/>
      </c>
      <c r="BK347" s="37" t="str">
        <f t="array" ref="BK347">IF($A347="","", INDEX(CS!$B$1:$B$15025,MATCH($A347,CS!$B:$B,0)+COLUMN(E$1),1))</f>
        <v/>
      </c>
      <c r="BL347" s="37" t="str">
        <f t="array" ref="BL347">IF($A347="","", INDEX(CS!$B$1:$B$15025,MATCH($A347,CS!$B:$B,0)+COLUMN(F$1),1))</f>
        <v/>
      </c>
      <c r="BM347" s="37" t="str">
        <f t="array" ref="BM347">IF($A347="","", INDEX(CS!$B$1:$B$15025,MATCH($A347,CS!$B:$B,0)+COLUMN(G$1),1))</f>
        <v/>
      </c>
      <c r="BN347" s="37" t="str">
        <f t="array" ref="BN347">IF($A347="","", INDEX(CS!$B$1:$B$15025,MATCH($A347,CS!$B:$B,0)+COLUMN(H$1),1))</f>
        <v/>
      </c>
      <c r="BO347" s="37" t="str">
        <f t="array" ref="BO347">IF($A347="","", INDEX(CS!$B$1:$B$15025,MATCH($A347,CS!$B:$B,0)+COLUMN(I$1),1))</f>
        <v/>
      </c>
      <c r="BP347" s="37" t="str">
        <f t="array" ref="BP347">IF($A347="","", INDEX(CS!$B$1:$B$15025,MATCH($A347,CS!$B:$B,0)+COLUMN(J$1),1))</f>
        <v/>
      </c>
      <c r="BS347" s="74"/>
      <c r="CQ347" s="37"/>
      <c r="CR347" s="37"/>
    </row>
    <row r="348" ht="18.75" customHeight="1">
      <c r="B348" s="71"/>
      <c r="C348" s="37" t="s">
        <v>2900</v>
      </c>
      <c r="D348" s="72" t="str">
        <f t="shared" si="18"/>
        <v>0/0/0</v>
      </c>
      <c r="E348" s="37">
        <v>1.0</v>
      </c>
      <c r="K348" s="73"/>
      <c r="P348" s="37" t="s">
        <v>29</v>
      </c>
      <c r="Q348" s="64"/>
      <c r="R348" s="64"/>
      <c r="S348" s="64"/>
      <c r="T348" s="64"/>
      <c r="U348" s="64"/>
      <c r="V348" s="64"/>
      <c r="W348" s="64"/>
      <c r="X348" s="64"/>
      <c r="Y348" s="64"/>
      <c r="Z348" s="64"/>
      <c r="AA348" s="64"/>
      <c r="BG348" s="37" t="str">
        <f t="array" ref="BG348">IF($A348="","", INDEX(CS!$B$1:$B$15025,MATCH($A348,CS!$B:$B,0)+COLUMN(A$1),1))</f>
        <v/>
      </c>
      <c r="BH348" s="37" t="str">
        <f t="array" ref="BH348">IF($A348="","", INDEX(CS!$B$1:$B$15025,MATCH($A348,CS!$B:$B,0)+COLUMN(B$1),1))</f>
        <v/>
      </c>
      <c r="BI348" s="37" t="str">
        <f t="array" ref="BI348">IF($A348="","", INDEX(CS!$B$1:$B$15025,MATCH($A348,CS!$B:$B,0)+COLUMN(C$1),1))</f>
        <v/>
      </c>
      <c r="BJ348" s="37" t="str">
        <f t="array" ref="BJ348">IF($A348="","", INDEX(CS!$B$1:$B$15025,MATCH($A348,CS!$B:$B,0)+COLUMN(D$1),1))</f>
        <v/>
      </c>
      <c r="BK348" s="37" t="str">
        <f t="array" ref="BK348">IF($A348="","", INDEX(CS!$B$1:$B$15025,MATCH($A348,CS!$B:$B,0)+COLUMN(E$1),1))</f>
        <v/>
      </c>
      <c r="BL348" s="37" t="str">
        <f t="array" ref="BL348">IF($A348="","", INDEX(CS!$B$1:$B$15025,MATCH($A348,CS!$B:$B,0)+COLUMN(F$1),1))</f>
        <v/>
      </c>
      <c r="BM348" s="37" t="str">
        <f t="array" ref="BM348">IF($A348="","", INDEX(CS!$B$1:$B$15025,MATCH($A348,CS!$B:$B,0)+COLUMN(G$1),1))</f>
        <v/>
      </c>
      <c r="BN348" s="37" t="str">
        <f t="array" ref="BN348">IF($A348="","", INDEX(CS!$B$1:$B$15025,MATCH($A348,CS!$B:$B,0)+COLUMN(H$1),1))</f>
        <v/>
      </c>
      <c r="BO348" s="37" t="str">
        <f t="array" ref="BO348">IF($A348="","", INDEX(CS!$B$1:$B$15025,MATCH($A348,CS!$B:$B,0)+COLUMN(I$1),1))</f>
        <v/>
      </c>
      <c r="BP348" s="37" t="str">
        <f t="array" ref="BP348">IF($A348="","", INDEX(CS!$B$1:$B$15025,MATCH($A348,CS!$B:$B,0)+COLUMN(J$1),1))</f>
        <v/>
      </c>
      <c r="BS348" s="74"/>
      <c r="CQ348" s="37"/>
      <c r="CR348" s="37"/>
    </row>
    <row r="349" ht="18.75" customHeight="1">
      <c r="B349" s="71"/>
      <c r="C349" s="37" t="s">
        <v>2900</v>
      </c>
      <c r="D349" s="72" t="str">
        <f t="shared" si="18"/>
        <v>0/0/0</v>
      </c>
      <c r="E349" s="37">
        <v>1.0</v>
      </c>
      <c r="K349" s="73"/>
      <c r="P349" s="37" t="s">
        <v>29</v>
      </c>
      <c r="Q349" s="64"/>
      <c r="R349" s="64"/>
      <c r="S349" s="64"/>
      <c r="T349" s="64"/>
      <c r="U349" s="64"/>
      <c r="V349" s="64"/>
      <c r="W349" s="64"/>
      <c r="X349" s="64"/>
      <c r="Y349" s="64"/>
      <c r="Z349" s="64"/>
      <c r="AA349" s="64"/>
      <c r="BG349" s="37" t="str">
        <f t="array" ref="BG349">IF($A349="","", INDEX(CS!$B$1:$B$15025,MATCH($A349,CS!$B:$B,0)+COLUMN(A$1),1))</f>
        <v/>
      </c>
      <c r="BH349" s="37" t="str">
        <f t="array" ref="BH349">IF($A349="","", INDEX(CS!$B$1:$B$15025,MATCH($A349,CS!$B:$B,0)+COLUMN(B$1),1))</f>
        <v/>
      </c>
      <c r="BI349" s="37" t="str">
        <f t="array" ref="BI349">IF($A349="","", INDEX(CS!$B$1:$B$15025,MATCH($A349,CS!$B:$B,0)+COLUMN(C$1),1))</f>
        <v/>
      </c>
      <c r="BJ349" s="37" t="str">
        <f t="array" ref="BJ349">IF($A349="","", INDEX(CS!$B$1:$B$15025,MATCH($A349,CS!$B:$B,0)+COLUMN(D$1),1))</f>
        <v/>
      </c>
      <c r="BK349" s="37" t="str">
        <f t="array" ref="BK349">IF($A349="","", INDEX(CS!$B$1:$B$15025,MATCH($A349,CS!$B:$B,0)+COLUMN(E$1),1))</f>
        <v/>
      </c>
      <c r="BL349" s="37" t="str">
        <f t="array" ref="BL349">IF($A349="","", INDEX(CS!$B$1:$B$15025,MATCH($A349,CS!$B:$B,0)+COLUMN(F$1),1))</f>
        <v/>
      </c>
      <c r="BM349" s="37" t="str">
        <f t="array" ref="BM349">IF($A349="","", INDEX(CS!$B$1:$B$15025,MATCH($A349,CS!$B:$B,0)+COLUMN(G$1),1))</f>
        <v/>
      </c>
      <c r="BN349" s="37" t="str">
        <f t="array" ref="BN349">IF($A349="","", INDEX(CS!$B$1:$B$15025,MATCH($A349,CS!$B:$B,0)+COLUMN(H$1),1))</f>
        <v/>
      </c>
      <c r="BO349" s="37" t="str">
        <f t="array" ref="BO349">IF($A349="","", INDEX(CS!$B$1:$B$15025,MATCH($A349,CS!$B:$B,0)+COLUMN(I$1),1))</f>
        <v/>
      </c>
      <c r="BP349" s="37" t="str">
        <f t="array" ref="BP349">IF($A349="","", INDEX(CS!$B$1:$B$15025,MATCH($A349,CS!$B:$B,0)+COLUMN(J$1),1))</f>
        <v/>
      </c>
      <c r="BS349" s="74"/>
      <c r="CQ349" s="37"/>
      <c r="CR349" s="37"/>
    </row>
    <row r="350" ht="18.75" customHeight="1">
      <c r="B350" s="71"/>
      <c r="C350" s="37" t="s">
        <v>2900</v>
      </c>
      <c r="D350" s="72" t="str">
        <f t="shared" si="18"/>
        <v>0/0/0</v>
      </c>
      <c r="E350" s="37">
        <v>1.0</v>
      </c>
      <c r="K350" s="73"/>
      <c r="P350" s="37" t="s">
        <v>29</v>
      </c>
      <c r="Q350" s="64"/>
      <c r="R350" s="64"/>
      <c r="S350" s="64"/>
      <c r="T350" s="64"/>
      <c r="U350" s="64"/>
      <c r="V350" s="64"/>
      <c r="W350" s="64"/>
      <c r="X350" s="64"/>
      <c r="Y350" s="64"/>
      <c r="Z350" s="64"/>
      <c r="AA350" s="64"/>
      <c r="BG350" s="37" t="str">
        <f t="array" ref="BG350">IF($A350="","", INDEX(CS!$B$1:$B$15025,MATCH($A350,CS!$B:$B,0)+COLUMN(A$1),1))</f>
        <v/>
      </c>
      <c r="BH350" s="37" t="str">
        <f t="array" ref="BH350">IF($A350="","", INDEX(CS!$B$1:$B$15025,MATCH($A350,CS!$B:$B,0)+COLUMN(B$1),1))</f>
        <v/>
      </c>
      <c r="BI350" s="37" t="str">
        <f t="array" ref="BI350">IF($A350="","", INDEX(CS!$B$1:$B$15025,MATCH($A350,CS!$B:$B,0)+COLUMN(C$1),1))</f>
        <v/>
      </c>
      <c r="BJ350" s="37" t="str">
        <f t="array" ref="BJ350">IF($A350="","", INDEX(CS!$B$1:$B$15025,MATCH($A350,CS!$B:$B,0)+COLUMN(D$1),1))</f>
        <v/>
      </c>
      <c r="BK350" s="37" t="str">
        <f t="array" ref="BK350">IF($A350="","", INDEX(CS!$B$1:$B$15025,MATCH($A350,CS!$B:$B,0)+COLUMN(E$1),1))</f>
        <v/>
      </c>
      <c r="BL350" s="37" t="str">
        <f t="array" ref="BL350">IF($A350="","", INDEX(CS!$B$1:$B$15025,MATCH($A350,CS!$B:$B,0)+COLUMN(F$1),1))</f>
        <v/>
      </c>
      <c r="BM350" s="37" t="str">
        <f t="array" ref="BM350">IF($A350="","", INDEX(CS!$B$1:$B$15025,MATCH($A350,CS!$B:$B,0)+COLUMN(G$1),1))</f>
        <v/>
      </c>
      <c r="BN350" s="37" t="str">
        <f t="array" ref="BN350">IF($A350="","", INDEX(CS!$B$1:$B$15025,MATCH($A350,CS!$B:$B,0)+COLUMN(H$1),1))</f>
        <v/>
      </c>
      <c r="BO350" s="37" t="str">
        <f t="array" ref="BO350">IF($A350="","", INDEX(CS!$B$1:$B$15025,MATCH($A350,CS!$B:$B,0)+COLUMN(I$1),1))</f>
        <v/>
      </c>
      <c r="BP350" s="37" t="str">
        <f t="array" ref="BP350">IF($A350="","", INDEX(CS!$B$1:$B$15025,MATCH($A350,CS!$B:$B,0)+COLUMN(J$1),1))</f>
        <v/>
      </c>
      <c r="BS350" s="74"/>
      <c r="CQ350" s="37"/>
      <c r="CR350" s="37"/>
    </row>
    <row r="351" ht="18.75" customHeight="1">
      <c r="B351" s="71"/>
      <c r="C351" s="37" t="s">
        <v>2900</v>
      </c>
      <c r="D351" s="72" t="str">
        <f t="shared" si="18"/>
        <v>0/0/0</v>
      </c>
      <c r="E351" s="37">
        <v>1.0</v>
      </c>
      <c r="K351" s="73"/>
      <c r="P351" s="37" t="s">
        <v>29</v>
      </c>
      <c r="Q351" s="64"/>
      <c r="R351" s="64"/>
      <c r="S351" s="64"/>
      <c r="T351" s="64"/>
      <c r="U351" s="64"/>
      <c r="V351" s="64"/>
      <c r="W351" s="64"/>
      <c r="X351" s="64"/>
      <c r="Y351" s="64"/>
      <c r="Z351" s="64"/>
      <c r="AA351" s="64"/>
      <c r="BG351" s="37" t="str">
        <f t="array" ref="BG351">IF($A351="","", INDEX(CS!$B$1:$B$15025,MATCH($A351,CS!$B:$B,0)+COLUMN(A$1),1))</f>
        <v/>
      </c>
      <c r="BH351" s="37" t="str">
        <f t="array" ref="BH351">IF($A351="","", INDEX(CS!$B$1:$B$15025,MATCH($A351,CS!$B:$B,0)+COLUMN(B$1),1))</f>
        <v/>
      </c>
      <c r="BI351" s="37" t="str">
        <f t="array" ref="BI351">IF($A351="","", INDEX(CS!$B$1:$B$15025,MATCH($A351,CS!$B:$B,0)+COLUMN(C$1),1))</f>
        <v/>
      </c>
      <c r="BJ351" s="37" t="str">
        <f t="array" ref="BJ351">IF($A351="","", INDEX(CS!$B$1:$B$15025,MATCH($A351,CS!$B:$B,0)+COLUMN(D$1),1))</f>
        <v/>
      </c>
      <c r="BK351" s="37" t="str">
        <f t="array" ref="BK351">IF($A351="","", INDEX(CS!$B$1:$B$15025,MATCH($A351,CS!$B:$B,0)+COLUMN(E$1),1))</f>
        <v/>
      </c>
      <c r="BL351" s="37" t="str">
        <f t="array" ref="BL351">IF($A351="","", INDEX(CS!$B$1:$B$15025,MATCH($A351,CS!$B:$B,0)+COLUMN(F$1),1))</f>
        <v/>
      </c>
      <c r="BM351" s="37" t="str">
        <f t="array" ref="BM351">IF($A351="","", INDEX(CS!$B$1:$B$15025,MATCH($A351,CS!$B:$B,0)+COLUMN(G$1),1))</f>
        <v/>
      </c>
      <c r="BN351" s="37" t="str">
        <f t="array" ref="BN351">IF($A351="","", INDEX(CS!$B$1:$B$15025,MATCH($A351,CS!$B:$B,0)+COLUMN(H$1),1))</f>
        <v/>
      </c>
      <c r="BO351" s="37" t="str">
        <f t="array" ref="BO351">IF($A351="","", INDEX(CS!$B$1:$B$15025,MATCH($A351,CS!$B:$B,0)+COLUMN(I$1),1))</f>
        <v/>
      </c>
      <c r="BP351" s="37" t="str">
        <f t="array" ref="BP351">IF($A351="","", INDEX(CS!$B$1:$B$15025,MATCH($A351,CS!$B:$B,0)+COLUMN(J$1),1))</f>
        <v/>
      </c>
      <c r="BS351" s="74"/>
      <c r="CQ351" s="37"/>
      <c r="CR351" s="37"/>
    </row>
    <row r="352" ht="18.75" customHeight="1">
      <c r="B352" s="71"/>
      <c r="C352" s="37" t="s">
        <v>2900</v>
      </c>
      <c r="D352" s="72" t="str">
        <f t="shared" si="18"/>
        <v>0/0/0</v>
      </c>
      <c r="E352" s="37">
        <v>1.0</v>
      </c>
      <c r="K352" s="73"/>
      <c r="P352" s="37" t="s">
        <v>29</v>
      </c>
      <c r="Q352" s="64"/>
      <c r="R352" s="64"/>
      <c r="S352" s="64"/>
      <c r="T352" s="64"/>
      <c r="U352" s="64"/>
      <c r="V352" s="64"/>
      <c r="W352" s="64"/>
      <c r="X352" s="64"/>
      <c r="Y352" s="64"/>
      <c r="Z352" s="64"/>
      <c r="AA352" s="64"/>
      <c r="BG352" s="37" t="str">
        <f t="array" ref="BG352">IF($A352="","", INDEX(CS!$B$1:$B$15025,MATCH($A352,CS!$B:$B,0)+COLUMN(A$1),1))</f>
        <v/>
      </c>
      <c r="BH352" s="37" t="str">
        <f t="array" ref="BH352">IF($A352="","", INDEX(CS!$B$1:$B$15025,MATCH($A352,CS!$B:$B,0)+COLUMN(B$1),1))</f>
        <v/>
      </c>
      <c r="BI352" s="37" t="str">
        <f t="array" ref="BI352">IF($A352="","", INDEX(CS!$B$1:$B$15025,MATCH($A352,CS!$B:$B,0)+COLUMN(C$1),1))</f>
        <v/>
      </c>
      <c r="BJ352" s="37" t="str">
        <f t="array" ref="BJ352">IF($A352="","", INDEX(CS!$B$1:$B$15025,MATCH($A352,CS!$B:$B,0)+COLUMN(D$1),1))</f>
        <v/>
      </c>
      <c r="BK352" s="37" t="str">
        <f t="array" ref="BK352">IF($A352="","", INDEX(CS!$B$1:$B$15025,MATCH($A352,CS!$B:$B,0)+COLUMN(E$1),1))</f>
        <v/>
      </c>
      <c r="BL352" s="37" t="str">
        <f t="array" ref="BL352">IF($A352="","", INDEX(CS!$B$1:$B$15025,MATCH($A352,CS!$B:$B,0)+COLUMN(F$1),1))</f>
        <v/>
      </c>
      <c r="BM352" s="37" t="str">
        <f t="array" ref="BM352">IF($A352="","", INDEX(CS!$B$1:$B$15025,MATCH($A352,CS!$B:$B,0)+COLUMN(G$1),1))</f>
        <v/>
      </c>
      <c r="BN352" s="37" t="str">
        <f t="array" ref="BN352">IF($A352="","", INDEX(CS!$B$1:$B$15025,MATCH($A352,CS!$B:$B,0)+COLUMN(H$1),1))</f>
        <v/>
      </c>
      <c r="BO352" s="37" t="str">
        <f t="array" ref="BO352">IF($A352="","", INDEX(CS!$B$1:$B$15025,MATCH($A352,CS!$B:$B,0)+COLUMN(I$1),1))</f>
        <v/>
      </c>
      <c r="BP352" s="37" t="str">
        <f t="array" ref="BP352">IF($A352="","", INDEX(CS!$B$1:$B$15025,MATCH($A352,CS!$B:$B,0)+COLUMN(J$1),1))</f>
        <v/>
      </c>
      <c r="BS352" s="74"/>
      <c r="CQ352" s="37"/>
      <c r="CR352" s="37"/>
    </row>
    <row r="353" ht="18.75" customHeight="1">
      <c r="B353" s="71"/>
      <c r="C353" s="37" t="s">
        <v>2900</v>
      </c>
      <c r="D353" s="72" t="str">
        <f t="shared" si="18"/>
        <v>0/0/0</v>
      </c>
      <c r="E353" s="37">
        <v>1.0</v>
      </c>
      <c r="K353" s="73"/>
      <c r="P353" s="37" t="s">
        <v>29</v>
      </c>
      <c r="Q353" s="64"/>
      <c r="R353" s="64"/>
      <c r="S353" s="64"/>
      <c r="T353" s="64"/>
      <c r="U353" s="64"/>
      <c r="V353" s="64"/>
      <c r="W353" s="64"/>
      <c r="X353" s="64"/>
      <c r="Y353" s="64"/>
      <c r="Z353" s="64"/>
      <c r="AA353" s="64"/>
      <c r="BG353" s="37" t="str">
        <f t="array" ref="BG353">IF($A353="","", INDEX(CS!$B$1:$B$15025,MATCH($A353,CS!$B:$B,0)+COLUMN(A$1),1))</f>
        <v/>
      </c>
      <c r="BH353" s="37" t="str">
        <f t="array" ref="BH353">IF($A353="","", INDEX(CS!$B$1:$B$15025,MATCH($A353,CS!$B:$B,0)+COLUMN(B$1),1))</f>
        <v/>
      </c>
      <c r="BI353" s="37" t="str">
        <f t="array" ref="BI353">IF($A353="","", INDEX(CS!$B$1:$B$15025,MATCH($A353,CS!$B:$B,0)+COLUMN(C$1),1))</f>
        <v/>
      </c>
      <c r="BJ353" s="37" t="str">
        <f t="array" ref="BJ353">IF($A353="","", INDEX(CS!$B$1:$B$15025,MATCH($A353,CS!$B:$B,0)+COLUMN(D$1),1))</f>
        <v/>
      </c>
      <c r="BK353" s="37" t="str">
        <f t="array" ref="BK353">IF($A353="","", INDEX(CS!$B$1:$B$15025,MATCH($A353,CS!$B:$B,0)+COLUMN(E$1),1))</f>
        <v/>
      </c>
      <c r="BL353" s="37" t="str">
        <f t="array" ref="BL353">IF($A353="","", INDEX(CS!$B$1:$B$15025,MATCH($A353,CS!$B:$B,0)+COLUMN(F$1),1))</f>
        <v/>
      </c>
      <c r="BM353" s="37" t="str">
        <f t="array" ref="BM353">IF($A353="","", INDEX(CS!$B$1:$B$15025,MATCH($A353,CS!$B:$B,0)+COLUMN(G$1),1))</f>
        <v/>
      </c>
      <c r="BN353" s="37" t="str">
        <f t="array" ref="BN353">IF($A353="","", INDEX(CS!$B$1:$B$15025,MATCH($A353,CS!$B:$B,0)+COLUMN(H$1),1))</f>
        <v/>
      </c>
      <c r="BO353" s="37" t="str">
        <f t="array" ref="BO353">IF($A353="","", INDEX(CS!$B$1:$B$15025,MATCH($A353,CS!$B:$B,0)+COLUMN(I$1),1))</f>
        <v/>
      </c>
      <c r="BP353" s="37" t="str">
        <f t="array" ref="BP353">IF($A353="","", INDEX(CS!$B$1:$B$15025,MATCH($A353,CS!$B:$B,0)+COLUMN(J$1),1))</f>
        <v/>
      </c>
      <c r="BS353" s="74"/>
      <c r="CQ353" s="37"/>
      <c r="CR353" s="37"/>
    </row>
    <row r="354" ht="18.75" customHeight="1">
      <c r="B354" s="71"/>
      <c r="C354" s="37" t="s">
        <v>2900</v>
      </c>
      <c r="D354" s="72" t="str">
        <f t="shared" si="18"/>
        <v>0/0/0</v>
      </c>
      <c r="E354" s="37">
        <v>1.0</v>
      </c>
      <c r="K354" s="73"/>
      <c r="P354" s="37" t="s">
        <v>29</v>
      </c>
      <c r="Q354" s="64"/>
      <c r="R354" s="64"/>
      <c r="S354" s="64"/>
      <c r="T354" s="64"/>
      <c r="U354" s="64"/>
      <c r="V354" s="64"/>
      <c r="W354" s="64"/>
      <c r="X354" s="64"/>
      <c r="Y354" s="64"/>
      <c r="Z354" s="64"/>
      <c r="AA354" s="64"/>
      <c r="BG354" s="37" t="str">
        <f t="array" ref="BG354">IF($A354="","", INDEX(CS!$B$1:$B$15025,MATCH($A354,CS!$B:$B,0)+COLUMN(A$1),1))</f>
        <v/>
      </c>
      <c r="BH354" s="37" t="str">
        <f t="array" ref="BH354">IF($A354="","", INDEX(CS!$B$1:$B$15025,MATCH($A354,CS!$B:$B,0)+COLUMN(B$1),1))</f>
        <v/>
      </c>
      <c r="BI354" s="37" t="str">
        <f t="array" ref="BI354">IF($A354="","", INDEX(CS!$B$1:$B$15025,MATCH($A354,CS!$B:$B,0)+COLUMN(C$1),1))</f>
        <v/>
      </c>
      <c r="BJ354" s="37" t="str">
        <f t="array" ref="BJ354">IF($A354="","", INDEX(CS!$B$1:$B$15025,MATCH($A354,CS!$B:$B,0)+COLUMN(D$1),1))</f>
        <v/>
      </c>
      <c r="BK354" s="37" t="str">
        <f t="array" ref="BK354">IF($A354="","", INDEX(CS!$B$1:$B$15025,MATCH($A354,CS!$B:$B,0)+COLUMN(E$1),1))</f>
        <v/>
      </c>
      <c r="BL354" s="37" t="str">
        <f t="array" ref="BL354">IF($A354="","", INDEX(CS!$B$1:$B$15025,MATCH($A354,CS!$B:$B,0)+COLUMN(F$1),1))</f>
        <v/>
      </c>
      <c r="BM354" s="37" t="str">
        <f t="array" ref="BM354">IF($A354="","", INDEX(CS!$B$1:$B$15025,MATCH($A354,CS!$B:$B,0)+COLUMN(G$1),1))</f>
        <v/>
      </c>
      <c r="BN354" s="37" t="str">
        <f t="array" ref="BN354">IF($A354="","", INDEX(CS!$B$1:$B$15025,MATCH($A354,CS!$B:$B,0)+COLUMN(H$1),1))</f>
        <v/>
      </c>
      <c r="BO354" s="37" t="str">
        <f t="array" ref="BO354">IF($A354="","", INDEX(CS!$B$1:$B$15025,MATCH($A354,CS!$B:$B,0)+COLUMN(I$1),1))</f>
        <v/>
      </c>
      <c r="BP354" s="37" t="str">
        <f t="array" ref="BP354">IF($A354="","", INDEX(CS!$B$1:$B$15025,MATCH($A354,CS!$B:$B,0)+COLUMN(J$1),1))</f>
        <v/>
      </c>
      <c r="BS354" s="74"/>
      <c r="CQ354" s="37"/>
      <c r="CR354" s="37"/>
    </row>
    <row r="355" ht="18.75" customHeight="1">
      <c r="B355" s="71"/>
      <c r="C355" s="37" t="s">
        <v>2900</v>
      </c>
      <c r="D355" s="72" t="str">
        <f t="shared" si="18"/>
        <v>0/0/0</v>
      </c>
      <c r="E355" s="37">
        <v>1.0</v>
      </c>
      <c r="K355" s="73"/>
      <c r="P355" s="37" t="s">
        <v>29</v>
      </c>
      <c r="Q355" s="64"/>
      <c r="R355" s="64"/>
      <c r="S355" s="64"/>
      <c r="T355" s="64"/>
      <c r="U355" s="64"/>
      <c r="V355" s="64"/>
      <c r="W355" s="64"/>
      <c r="X355" s="64"/>
      <c r="Y355" s="64"/>
      <c r="Z355" s="64"/>
      <c r="AA355" s="64"/>
      <c r="BG355" s="37" t="str">
        <f t="array" ref="BG355">IF($A355="","", INDEX(CS!$B$1:$B$15025,MATCH($A355,CS!$B:$B,0)+COLUMN(A$1),1))</f>
        <v/>
      </c>
      <c r="BH355" s="37" t="str">
        <f t="array" ref="BH355">IF($A355="","", INDEX(CS!$B$1:$B$15025,MATCH($A355,CS!$B:$B,0)+COLUMN(B$1),1))</f>
        <v/>
      </c>
      <c r="BI355" s="37" t="str">
        <f t="array" ref="BI355">IF($A355="","", INDEX(CS!$B$1:$B$15025,MATCH($A355,CS!$B:$B,0)+COLUMN(C$1),1))</f>
        <v/>
      </c>
      <c r="BJ355" s="37" t="str">
        <f t="array" ref="BJ355">IF($A355="","", INDEX(CS!$B$1:$B$15025,MATCH($A355,CS!$B:$B,0)+COLUMN(D$1),1))</f>
        <v/>
      </c>
      <c r="BK355" s="37" t="str">
        <f t="array" ref="BK355">IF($A355="","", INDEX(CS!$B$1:$B$15025,MATCH($A355,CS!$B:$B,0)+COLUMN(E$1),1))</f>
        <v/>
      </c>
      <c r="BL355" s="37" t="str">
        <f t="array" ref="BL355">IF($A355="","", INDEX(CS!$B$1:$B$15025,MATCH($A355,CS!$B:$B,0)+COLUMN(F$1),1))</f>
        <v/>
      </c>
      <c r="BM355" s="37" t="str">
        <f t="array" ref="BM355">IF($A355="","", INDEX(CS!$B$1:$B$15025,MATCH($A355,CS!$B:$B,0)+COLUMN(G$1),1))</f>
        <v/>
      </c>
      <c r="BN355" s="37" t="str">
        <f t="array" ref="BN355">IF($A355="","", INDEX(CS!$B$1:$B$15025,MATCH($A355,CS!$B:$B,0)+COLUMN(H$1),1))</f>
        <v/>
      </c>
      <c r="BO355" s="37" t="str">
        <f t="array" ref="BO355">IF($A355="","", INDEX(CS!$B$1:$B$15025,MATCH($A355,CS!$B:$B,0)+COLUMN(I$1),1))</f>
        <v/>
      </c>
      <c r="BP355" s="37" t="str">
        <f t="array" ref="BP355">IF($A355="","", INDEX(CS!$B$1:$B$15025,MATCH($A355,CS!$B:$B,0)+COLUMN(J$1),1))</f>
        <v/>
      </c>
      <c r="BS355" s="74"/>
      <c r="CQ355" s="37"/>
      <c r="CR355" s="37"/>
    </row>
    <row r="356" ht="18.75" customHeight="1">
      <c r="B356" s="71"/>
      <c r="C356" s="37" t="s">
        <v>2900</v>
      </c>
      <c r="D356" s="72" t="str">
        <f t="shared" si="18"/>
        <v>0/0/0</v>
      </c>
      <c r="E356" s="37">
        <v>1.0</v>
      </c>
      <c r="K356" s="73"/>
      <c r="P356" s="37" t="s">
        <v>29</v>
      </c>
      <c r="Q356" s="64"/>
      <c r="R356" s="64"/>
      <c r="S356" s="64"/>
      <c r="T356" s="64"/>
      <c r="U356" s="64"/>
      <c r="V356" s="64"/>
      <c r="W356" s="64"/>
      <c r="X356" s="64"/>
      <c r="Y356" s="64"/>
      <c r="Z356" s="64"/>
      <c r="AA356" s="64"/>
      <c r="BG356" s="37" t="str">
        <f t="array" ref="BG356">IF($A356="","", INDEX(CS!$B$1:$B$15025,MATCH($A356,CS!$B:$B,0)+COLUMN(A$1),1))</f>
        <v/>
      </c>
      <c r="BH356" s="37" t="str">
        <f t="array" ref="BH356">IF($A356="","", INDEX(CS!$B$1:$B$15025,MATCH($A356,CS!$B:$B,0)+COLUMN(B$1),1))</f>
        <v/>
      </c>
      <c r="BI356" s="37" t="str">
        <f t="array" ref="BI356">IF($A356="","", INDEX(CS!$B$1:$B$15025,MATCH($A356,CS!$B:$B,0)+COLUMN(C$1),1))</f>
        <v/>
      </c>
      <c r="BJ356" s="37" t="str">
        <f t="array" ref="BJ356">IF($A356="","", INDEX(CS!$B$1:$B$15025,MATCH($A356,CS!$B:$B,0)+COLUMN(D$1),1))</f>
        <v/>
      </c>
      <c r="BK356" s="37" t="str">
        <f t="array" ref="BK356">IF($A356="","", INDEX(CS!$B$1:$B$15025,MATCH($A356,CS!$B:$B,0)+COLUMN(E$1),1))</f>
        <v/>
      </c>
      <c r="BL356" s="37" t="str">
        <f t="array" ref="BL356">IF($A356="","", INDEX(CS!$B$1:$B$15025,MATCH($A356,CS!$B:$B,0)+COLUMN(F$1),1))</f>
        <v/>
      </c>
      <c r="BM356" s="37" t="str">
        <f t="array" ref="BM356">IF($A356="","", INDEX(CS!$B$1:$B$15025,MATCH($A356,CS!$B:$B,0)+COLUMN(G$1),1))</f>
        <v/>
      </c>
      <c r="BN356" s="37" t="str">
        <f t="array" ref="BN356">IF($A356="","", INDEX(CS!$B$1:$B$15025,MATCH($A356,CS!$B:$B,0)+COLUMN(H$1),1))</f>
        <v/>
      </c>
      <c r="BO356" s="37" t="str">
        <f t="array" ref="BO356">IF($A356="","", INDEX(CS!$B$1:$B$15025,MATCH($A356,CS!$B:$B,0)+COLUMN(I$1),1))</f>
        <v/>
      </c>
      <c r="BP356" s="37" t="str">
        <f t="array" ref="BP356">IF($A356="","", INDEX(CS!$B$1:$B$15025,MATCH($A356,CS!$B:$B,0)+COLUMN(J$1),1))</f>
        <v/>
      </c>
      <c r="BS356" s="74"/>
      <c r="CQ356" s="37"/>
      <c r="CR356" s="37"/>
    </row>
    <row r="357" ht="18.75" customHeight="1">
      <c r="B357" s="71"/>
      <c r="C357" s="37" t="s">
        <v>2900</v>
      </c>
      <c r="D357" s="72" t="str">
        <f t="shared" si="18"/>
        <v>0/0/0</v>
      </c>
      <c r="E357" s="37">
        <v>1.0</v>
      </c>
      <c r="K357" s="73"/>
      <c r="P357" s="37" t="s">
        <v>29</v>
      </c>
      <c r="Q357" s="64"/>
      <c r="R357" s="64"/>
      <c r="S357" s="64"/>
      <c r="T357" s="64"/>
      <c r="U357" s="64"/>
      <c r="V357" s="64"/>
      <c r="W357" s="64"/>
      <c r="X357" s="64"/>
      <c r="Y357" s="64"/>
      <c r="Z357" s="64"/>
      <c r="AA357" s="64"/>
      <c r="BG357" s="37" t="str">
        <f t="array" ref="BG357">IF($A357="","", INDEX(CS!$B$1:$B$15025,MATCH($A357,CS!$B:$B,0)+COLUMN(A$1),1))</f>
        <v/>
      </c>
      <c r="BH357" s="37" t="str">
        <f t="array" ref="BH357">IF($A357="","", INDEX(CS!$B$1:$B$15025,MATCH($A357,CS!$B:$B,0)+COLUMN(B$1),1))</f>
        <v/>
      </c>
      <c r="BI357" s="37" t="str">
        <f t="array" ref="BI357">IF($A357="","", INDEX(CS!$B$1:$B$15025,MATCH($A357,CS!$B:$B,0)+COLUMN(C$1),1))</f>
        <v/>
      </c>
      <c r="BJ357" s="37" t="str">
        <f t="array" ref="BJ357">IF($A357="","", INDEX(CS!$B$1:$B$15025,MATCH($A357,CS!$B:$B,0)+COLUMN(D$1),1))</f>
        <v/>
      </c>
      <c r="BK357" s="37" t="str">
        <f t="array" ref="BK357">IF($A357="","", INDEX(CS!$B$1:$B$15025,MATCH($A357,CS!$B:$B,0)+COLUMN(E$1),1))</f>
        <v/>
      </c>
      <c r="BL357" s="37" t="str">
        <f t="array" ref="BL357">IF($A357="","", INDEX(CS!$B$1:$B$15025,MATCH($A357,CS!$B:$B,0)+COLUMN(F$1),1))</f>
        <v/>
      </c>
      <c r="BM357" s="37" t="str">
        <f t="array" ref="BM357">IF($A357="","", INDEX(CS!$B$1:$B$15025,MATCH($A357,CS!$B:$B,0)+COLUMN(G$1),1))</f>
        <v/>
      </c>
      <c r="BN357" s="37" t="str">
        <f t="array" ref="BN357">IF($A357="","", INDEX(CS!$B$1:$B$15025,MATCH($A357,CS!$B:$B,0)+COLUMN(H$1),1))</f>
        <v/>
      </c>
      <c r="BO357" s="37" t="str">
        <f t="array" ref="BO357">IF($A357="","", INDEX(CS!$B$1:$B$15025,MATCH($A357,CS!$B:$B,0)+COLUMN(I$1),1))</f>
        <v/>
      </c>
      <c r="BP357" s="37" t="str">
        <f t="array" ref="BP357">IF($A357="","", INDEX(CS!$B$1:$B$15025,MATCH($A357,CS!$B:$B,0)+COLUMN(J$1),1))</f>
        <v/>
      </c>
      <c r="BS357" s="74"/>
      <c r="CQ357" s="37"/>
      <c r="CR357" s="37"/>
    </row>
    <row r="358" ht="18.75" customHeight="1">
      <c r="B358" s="71"/>
      <c r="C358" s="37" t="s">
        <v>2900</v>
      </c>
      <c r="D358" s="72" t="str">
        <f t="shared" si="18"/>
        <v>0/0/0</v>
      </c>
      <c r="E358" s="37">
        <v>1.0</v>
      </c>
      <c r="K358" s="73"/>
      <c r="P358" s="37" t="s">
        <v>29</v>
      </c>
      <c r="Q358" s="64"/>
      <c r="R358" s="64"/>
      <c r="S358" s="64"/>
      <c r="T358" s="64"/>
      <c r="U358" s="64"/>
      <c r="V358" s="64"/>
      <c r="W358" s="64"/>
      <c r="X358" s="64"/>
      <c r="Y358" s="64"/>
      <c r="Z358" s="64"/>
      <c r="AA358" s="64"/>
      <c r="BG358" s="37" t="str">
        <f t="array" ref="BG358">IF($A358="","", INDEX(CS!$B$1:$B$15025,MATCH($A358,CS!$B:$B,0)+COLUMN(A$1),1))</f>
        <v/>
      </c>
      <c r="BH358" s="37" t="str">
        <f t="array" ref="BH358">IF($A358="","", INDEX(CS!$B$1:$B$15025,MATCH($A358,CS!$B:$B,0)+COLUMN(B$1),1))</f>
        <v/>
      </c>
      <c r="BI358" s="37" t="str">
        <f t="array" ref="BI358">IF($A358="","", INDEX(CS!$B$1:$B$15025,MATCH($A358,CS!$B:$B,0)+COLUMN(C$1),1))</f>
        <v/>
      </c>
      <c r="BJ358" s="37" t="str">
        <f t="array" ref="BJ358">IF($A358="","", INDEX(CS!$B$1:$B$15025,MATCH($A358,CS!$B:$B,0)+COLUMN(D$1),1))</f>
        <v/>
      </c>
      <c r="BK358" s="37" t="str">
        <f t="array" ref="BK358">IF($A358="","", INDEX(CS!$B$1:$B$15025,MATCH($A358,CS!$B:$B,0)+COLUMN(E$1),1))</f>
        <v/>
      </c>
      <c r="BL358" s="37" t="str">
        <f t="array" ref="BL358">IF($A358="","", INDEX(CS!$B$1:$B$15025,MATCH($A358,CS!$B:$B,0)+COLUMN(F$1),1))</f>
        <v/>
      </c>
      <c r="BM358" s="37" t="str">
        <f t="array" ref="BM358">IF($A358="","", INDEX(CS!$B$1:$B$15025,MATCH($A358,CS!$B:$B,0)+COLUMN(G$1),1))</f>
        <v/>
      </c>
      <c r="BN358" s="37" t="str">
        <f t="array" ref="BN358">IF($A358="","", INDEX(CS!$B$1:$B$15025,MATCH($A358,CS!$B:$B,0)+COLUMN(H$1),1))</f>
        <v/>
      </c>
      <c r="BO358" s="37" t="str">
        <f t="array" ref="BO358">IF($A358="","", INDEX(CS!$B$1:$B$15025,MATCH($A358,CS!$B:$B,0)+COLUMN(I$1),1))</f>
        <v/>
      </c>
      <c r="BP358" s="37" t="str">
        <f t="array" ref="BP358">IF($A358="","", INDEX(CS!$B$1:$B$15025,MATCH($A358,CS!$B:$B,0)+COLUMN(J$1),1))</f>
        <v/>
      </c>
      <c r="BS358" s="74"/>
      <c r="CQ358" s="37"/>
      <c r="CR358" s="37"/>
    </row>
    <row r="359" ht="18.75" customHeight="1">
      <c r="B359" s="71"/>
      <c r="C359" s="37" t="s">
        <v>2900</v>
      </c>
      <c r="D359" s="72" t="str">
        <f t="shared" si="18"/>
        <v>0/0/0</v>
      </c>
      <c r="E359" s="37">
        <v>1.0</v>
      </c>
      <c r="K359" s="73"/>
      <c r="P359" s="37" t="s">
        <v>29</v>
      </c>
      <c r="Q359" s="64"/>
      <c r="R359" s="64"/>
      <c r="S359" s="64"/>
      <c r="T359" s="64"/>
      <c r="U359" s="64"/>
      <c r="V359" s="64"/>
      <c r="W359" s="64"/>
      <c r="X359" s="64"/>
      <c r="Y359" s="64"/>
      <c r="Z359" s="64"/>
      <c r="AA359" s="64"/>
      <c r="BG359" s="37" t="str">
        <f t="array" ref="BG359">IF($A359="","", INDEX(CS!$B$1:$B$15025,MATCH($A359,CS!$B:$B,0)+COLUMN(A$1),1))</f>
        <v/>
      </c>
      <c r="BH359" s="37" t="str">
        <f t="array" ref="BH359">IF($A359="","", INDEX(CS!$B$1:$B$15025,MATCH($A359,CS!$B:$B,0)+COLUMN(B$1),1))</f>
        <v/>
      </c>
      <c r="BI359" s="37" t="str">
        <f t="array" ref="BI359">IF($A359="","", INDEX(CS!$B$1:$B$15025,MATCH($A359,CS!$B:$B,0)+COLUMN(C$1),1))</f>
        <v/>
      </c>
      <c r="BJ359" s="37" t="str">
        <f t="array" ref="BJ359">IF($A359="","", INDEX(CS!$B$1:$B$15025,MATCH($A359,CS!$B:$B,0)+COLUMN(D$1),1))</f>
        <v/>
      </c>
      <c r="BK359" s="37" t="str">
        <f t="array" ref="BK359">IF($A359="","", INDEX(CS!$B$1:$B$15025,MATCH($A359,CS!$B:$B,0)+COLUMN(E$1),1))</f>
        <v/>
      </c>
      <c r="BL359" s="37" t="str">
        <f t="array" ref="BL359">IF($A359="","", INDEX(CS!$B$1:$B$15025,MATCH($A359,CS!$B:$B,0)+COLUMN(F$1),1))</f>
        <v/>
      </c>
      <c r="BM359" s="37" t="str">
        <f t="array" ref="BM359">IF($A359="","", INDEX(CS!$B$1:$B$15025,MATCH($A359,CS!$B:$B,0)+COLUMN(G$1),1))</f>
        <v/>
      </c>
      <c r="BN359" s="37" t="str">
        <f t="array" ref="BN359">IF($A359="","", INDEX(CS!$B$1:$B$15025,MATCH($A359,CS!$B:$B,0)+COLUMN(H$1),1))</f>
        <v/>
      </c>
      <c r="BO359" s="37" t="str">
        <f t="array" ref="BO359">IF($A359="","", INDEX(CS!$B$1:$B$15025,MATCH($A359,CS!$B:$B,0)+COLUMN(I$1),1))</f>
        <v/>
      </c>
      <c r="BP359" s="37" t="str">
        <f t="array" ref="BP359">IF($A359="","", INDEX(CS!$B$1:$B$15025,MATCH($A359,CS!$B:$B,0)+COLUMN(J$1),1))</f>
        <v/>
      </c>
      <c r="BS359" s="74"/>
      <c r="CQ359" s="37"/>
      <c r="CR359" s="37"/>
    </row>
    <row r="360" ht="18.75" customHeight="1">
      <c r="B360" s="71"/>
      <c r="C360" s="37" t="s">
        <v>2900</v>
      </c>
      <c r="D360" s="72" t="str">
        <f t="shared" si="18"/>
        <v>0/0/0</v>
      </c>
      <c r="E360" s="37">
        <v>1.0</v>
      </c>
      <c r="K360" s="73"/>
      <c r="P360" s="37" t="s">
        <v>29</v>
      </c>
      <c r="Q360" s="64"/>
      <c r="R360" s="64"/>
      <c r="S360" s="64"/>
      <c r="T360" s="64"/>
      <c r="U360" s="64"/>
      <c r="V360" s="64"/>
      <c r="W360" s="64"/>
      <c r="X360" s="64"/>
      <c r="Y360" s="64"/>
      <c r="Z360" s="64"/>
      <c r="AA360" s="64"/>
      <c r="BG360" s="37" t="str">
        <f t="array" ref="BG360">IF($A360="","", INDEX(CS!$B$1:$B$15025,MATCH($A360,CS!$B:$B,0)+COLUMN(A$1),1))</f>
        <v/>
      </c>
      <c r="BH360" s="37" t="str">
        <f t="array" ref="BH360">IF($A360="","", INDEX(CS!$B$1:$B$15025,MATCH($A360,CS!$B:$B,0)+COLUMN(B$1),1))</f>
        <v/>
      </c>
      <c r="BI360" s="37" t="str">
        <f t="array" ref="BI360">IF($A360="","", INDEX(CS!$B$1:$B$15025,MATCH($A360,CS!$B:$B,0)+COLUMN(C$1),1))</f>
        <v/>
      </c>
      <c r="BJ360" s="37" t="str">
        <f t="array" ref="BJ360">IF($A360="","", INDEX(CS!$B$1:$B$15025,MATCH($A360,CS!$B:$B,0)+COLUMN(D$1),1))</f>
        <v/>
      </c>
      <c r="BK360" s="37" t="str">
        <f t="array" ref="BK360">IF($A360="","", INDEX(CS!$B$1:$B$15025,MATCH($A360,CS!$B:$B,0)+COLUMN(E$1),1))</f>
        <v/>
      </c>
      <c r="BL360" s="37" t="str">
        <f t="array" ref="BL360">IF($A360="","", INDEX(CS!$B$1:$B$15025,MATCH($A360,CS!$B:$B,0)+COLUMN(F$1),1))</f>
        <v/>
      </c>
      <c r="BM360" s="37" t="str">
        <f t="array" ref="BM360">IF($A360="","", INDEX(CS!$B$1:$B$15025,MATCH($A360,CS!$B:$B,0)+COLUMN(G$1),1))</f>
        <v/>
      </c>
      <c r="BN360" s="37" t="str">
        <f t="array" ref="BN360">IF($A360="","", INDEX(CS!$B$1:$B$15025,MATCH($A360,CS!$B:$B,0)+COLUMN(H$1),1))</f>
        <v/>
      </c>
      <c r="BO360" s="37" t="str">
        <f t="array" ref="BO360">IF($A360="","", INDEX(CS!$B$1:$B$15025,MATCH($A360,CS!$B:$B,0)+COLUMN(I$1),1))</f>
        <v/>
      </c>
      <c r="BP360" s="37" t="str">
        <f t="array" ref="BP360">IF($A360="","", INDEX(CS!$B$1:$B$15025,MATCH($A360,CS!$B:$B,0)+COLUMN(J$1),1))</f>
        <v/>
      </c>
      <c r="BS360" s="74"/>
      <c r="CQ360" s="37"/>
      <c r="CR360" s="37"/>
    </row>
    <row r="361" ht="18.75" customHeight="1">
      <c r="B361" s="71"/>
      <c r="C361" s="37" t="s">
        <v>2900</v>
      </c>
      <c r="D361" s="72" t="str">
        <f t="shared" si="18"/>
        <v>0/0/0</v>
      </c>
      <c r="E361" s="37">
        <v>1.0</v>
      </c>
      <c r="K361" s="73"/>
      <c r="P361" s="37" t="s">
        <v>29</v>
      </c>
      <c r="Q361" s="64"/>
      <c r="R361" s="64"/>
      <c r="S361" s="64"/>
      <c r="T361" s="64"/>
      <c r="U361" s="64"/>
      <c r="V361" s="64"/>
      <c r="W361" s="64"/>
      <c r="X361" s="64"/>
      <c r="Y361" s="64"/>
      <c r="Z361" s="64"/>
      <c r="AA361" s="64"/>
      <c r="BG361" s="37" t="str">
        <f t="array" ref="BG361">IF($A361="","", INDEX(CS!$B$1:$B$15025,MATCH($A361,CS!$B:$B,0)+COLUMN(A$1),1))</f>
        <v/>
      </c>
      <c r="BH361" s="37" t="str">
        <f t="array" ref="BH361">IF($A361="","", INDEX(CS!$B$1:$B$15025,MATCH($A361,CS!$B:$B,0)+COLUMN(B$1),1))</f>
        <v/>
      </c>
      <c r="BI361" s="37" t="str">
        <f t="array" ref="BI361">IF($A361="","", INDEX(CS!$B$1:$B$15025,MATCH($A361,CS!$B:$B,0)+COLUMN(C$1),1))</f>
        <v/>
      </c>
      <c r="BJ361" s="37" t="str">
        <f t="array" ref="BJ361">IF($A361="","", INDEX(CS!$B$1:$B$15025,MATCH($A361,CS!$B:$B,0)+COLUMN(D$1),1))</f>
        <v/>
      </c>
      <c r="BK361" s="37" t="str">
        <f t="array" ref="BK361">IF($A361="","", INDEX(CS!$B$1:$B$15025,MATCH($A361,CS!$B:$B,0)+COLUMN(E$1),1))</f>
        <v/>
      </c>
      <c r="BL361" s="37" t="str">
        <f t="array" ref="BL361">IF($A361="","", INDEX(CS!$B$1:$B$15025,MATCH($A361,CS!$B:$B,0)+COLUMN(F$1),1))</f>
        <v/>
      </c>
      <c r="BM361" s="37" t="str">
        <f t="array" ref="BM361">IF($A361="","", INDEX(CS!$B$1:$B$15025,MATCH($A361,CS!$B:$B,0)+COLUMN(G$1),1))</f>
        <v/>
      </c>
      <c r="BN361" s="37" t="str">
        <f t="array" ref="BN361">IF($A361="","", INDEX(CS!$B$1:$B$15025,MATCH($A361,CS!$B:$B,0)+COLUMN(H$1),1))</f>
        <v/>
      </c>
      <c r="BO361" s="37" t="str">
        <f t="array" ref="BO361">IF($A361="","", INDEX(CS!$B$1:$B$15025,MATCH($A361,CS!$B:$B,0)+COLUMN(I$1),1))</f>
        <v/>
      </c>
      <c r="BP361" s="37" t="str">
        <f t="array" ref="BP361">IF($A361="","", INDEX(CS!$B$1:$B$15025,MATCH($A361,CS!$B:$B,0)+COLUMN(J$1),1))</f>
        <v/>
      </c>
      <c r="BS361" s="74"/>
      <c r="CQ361" s="37"/>
      <c r="CR361" s="37"/>
    </row>
    <row r="362" ht="18.75" customHeight="1">
      <c r="B362" s="71"/>
      <c r="C362" s="37" t="s">
        <v>2900</v>
      </c>
      <c r="D362" s="72" t="str">
        <f t="shared" si="18"/>
        <v>0/0/0</v>
      </c>
      <c r="E362" s="37">
        <v>1.0</v>
      </c>
      <c r="K362" s="73"/>
      <c r="P362" s="37" t="s">
        <v>29</v>
      </c>
      <c r="Q362" s="64"/>
      <c r="R362" s="64"/>
      <c r="S362" s="64"/>
      <c r="T362" s="64"/>
      <c r="U362" s="64"/>
      <c r="V362" s="64"/>
      <c r="W362" s="64"/>
      <c r="X362" s="64"/>
      <c r="Y362" s="64"/>
      <c r="Z362" s="64"/>
      <c r="AA362" s="64"/>
      <c r="BG362" s="37" t="str">
        <f t="array" ref="BG362">IF($A362="","", INDEX(CS!$B$1:$B$15025,MATCH($A362,CS!$B:$B,0)+COLUMN(A$1),1))</f>
        <v/>
      </c>
      <c r="BH362" s="37" t="str">
        <f t="array" ref="BH362">IF($A362="","", INDEX(CS!$B$1:$B$15025,MATCH($A362,CS!$B:$B,0)+COLUMN(B$1),1))</f>
        <v/>
      </c>
      <c r="BI362" s="37" t="str">
        <f t="array" ref="BI362">IF($A362="","", INDEX(CS!$B$1:$B$15025,MATCH($A362,CS!$B:$B,0)+COLUMN(C$1),1))</f>
        <v/>
      </c>
      <c r="BJ362" s="37" t="str">
        <f t="array" ref="BJ362">IF($A362="","", INDEX(CS!$B$1:$B$15025,MATCH($A362,CS!$B:$B,0)+COLUMN(D$1),1))</f>
        <v/>
      </c>
      <c r="BK362" s="37" t="str">
        <f t="array" ref="BK362">IF($A362="","", INDEX(CS!$B$1:$B$15025,MATCH($A362,CS!$B:$B,0)+COLUMN(E$1),1))</f>
        <v/>
      </c>
      <c r="BL362" s="37" t="str">
        <f t="array" ref="BL362">IF($A362="","", INDEX(CS!$B$1:$B$15025,MATCH($A362,CS!$B:$B,0)+COLUMN(F$1),1))</f>
        <v/>
      </c>
      <c r="BM362" s="37" t="str">
        <f t="array" ref="BM362">IF($A362="","", INDEX(CS!$B$1:$B$15025,MATCH($A362,CS!$B:$B,0)+COLUMN(G$1),1))</f>
        <v/>
      </c>
      <c r="BN362" s="37" t="str">
        <f t="array" ref="BN362">IF($A362="","", INDEX(CS!$B$1:$B$15025,MATCH($A362,CS!$B:$B,0)+COLUMN(H$1),1))</f>
        <v/>
      </c>
      <c r="BO362" s="37" t="str">
        <f t="array" ref="BO362">IF($A362="","", INDEX(CS!$B$1:$B$15025,MATCH($A362,CS!$B:$B,0)+COLUMN(I$1),1))</f>
        <v/>
      </c>
      <c r="BP362" s="37" t="str">
        <f t="array" ref="BP362">IF($A362="","", INDEX(CS!$B$1:$B$15025,MATCH($A362,CS!$B:$B,0)+COLUMN(J$1),1))</f>
        <v/>
      </c>
      <c r="BS362" s="74"/>
      <c r="CQ362" s="37"/>
      <c r="CR362" s="37"/>
    </row>
    <row r="363" ht="18.75" customHeight="1">
      <c r="B363" s="71"/>
      <c r="C363" s="37" t="s">
        <v>2900</v>
      </c>
      <c r="D363" s="72" t="str">
        <f t="shared" si="18"/>
        <v>0/0/0</v>
      </c>
      <c r="E363" s="37">
        <v>1.0</v>
      </c>
      <c r="K363" s="73"/>
      <c r="P363" s="37" t="s">
        <v>29</v>
      </c>
      <c r="Q363" s="64"/>
      <c r="R363" s="64"/>
      <c r="S363" s="64"/>
      <c r="T363" s="64"/>
      <c r="U363" s="64"/>
      <c r="V363" s="64"/>
      <c r="W363" s="64"/>
      <c r="X363" s="64"/>
      <c r="Y363" s="64"/>
      <c r="Z363" s="64"/>
      <c r="AA363" s="64"/>
      <c r="BG363" s="37" t="str">
        <f t="array" ref="BG363">IF($A363="","", INDEX(CS!$B$1:$B$15025,MATCH($A363,CS!$B:$B,0)+COLUMN(A$1),1))</f>
        <v/>
      </c>
      <c r="BH363" s="37" t="str">
        <f t="array" ref="BH363">IF($A363="","", INDEX(CS!$B$1:$B$15025,MATCH($A363,CS!$B:$B,0)+COLUMN(B$1),1))</f>
        <v/>
      </c>
      <c r="BI363" s="37" t="str">
        <f t="array" ref="BI363">IF($A363="","", INDEX(CS!$B$1:$B$15025,MATCH($A363,CS!$B:$B,0)+COLUMN(C$1),1))</f>
        <v/>
      </c>
      <c r="BJ363" s="37" t="str">
        <f t="array" ref="BJ363">IF($A363="","", INDEX(CS!$B$1:$B$15025,MATCH($A363,CS!$B:$B,0)+COLUMN(D$1),1))</f>
        <v/>
      </c>
      <c r="BK363" s="37" t="str">
        <f t="array" ref="BK363">IF($A363="","", INDEX(CS!$B$1:$B$15025,MATCH($A363,CS!$B:$B,0)+COLUMN(E$1),1))</f>
        <v/>
      </c>
      <c r="BL363" s="37" t="str">
        <f t="array" ref="BL363">IF($A363="","", INDEX(CS!$B$1:$B$15025,MATCH($A363,CS!$B:$B,0)+COLUMN(F$1),1))</f>
        <v/>
      </c>
      <c r="BM363" s="37" t="str">
        <f t="array" ref="BM363">IF($A363="","", INDEX(CS!$B$1:$B$15025,MATCH($A363,CS!$B:$B,0)+COLUMN(G$1),1))</f>
        <v/>
      </c>
      <c r="BN363" s="37" t="str">
        <f t="array" ref="BN363">IF($A363="","", INDEX(CS!$B$1:$B$15025,MATCH($A363,CS!$B:$B,0)+COLUMN(H$1),1))</f>
        <v/>
      </c>
      <c r="BO363" s="37" t="str">
        <f t="array" ref="BO363">IF($A363="","", INDEX(CS!$B$1:$B$15025,MATCH($A363,CS!$B:$B,0)+COLUMN(I$1),1))</f>
        <v/>
      </c>
      <c r="BP363" s="37" t="str">
        <f t="array" ref="BP363">IF($A363="","", INDEX(CS!$B$1:$B$15025,MATCH($A363,CS!$B:$B,0)+COLUMN(J$1),1))</f>
        <v/>
      </c>
      <c r="BS363" s="74"/>
      <c r="CQ363" s="37"/>
      <c r="CR363" s="37"/>
    </row>
    <row r="364" ht="18.75" customHeight="1">
      <c r="B364" s="71"/>
      <c r="C364" s="37" t="s">
        <v>2900</v>
      </c>
      <c r="D364" s="72" t="str">
        <f t="shared" si="18"/>
        <v>0/0/0</v>
      </c>
      <c r="E364" s="37">
        <v>1.0</v>
      </c>
      <c r="K364" s="73"/>
      <c r="P364" s="37" t="s">
        <v>29</v>
      </c>
      <c r="Q364" s="64"/>
      <c r="R364" s="64"/>
      <c r="S364" s="64"/>
      <c r="T364" s="64"/>
      <c r="U364" s="64"/>
      <c r="V364" s="64"/>
      <c r="W364" s="64"/>
      <c r="X364" s="64"/>
      <c r="Y364" s="64"/>
      <c r="Z364" s="64"/>
      <c r="AA364" s="64"/>
      <c r="BG364" s="37" t="str">
        <f t="array" ref="BG364">IF($A364="","", INDEX(CS!$B$1:$B$15025,MATCH($A364,CS!$B:$B,0)+COLUMN(A$1),1))</f>
        <v/>
      </c>
      <c r="BH364" s="37" t="str">
        <f t="array" ref="BH364">IF($A364="","", INDEX(CS!$B$1:$B$15025,MATCH($A364,CS!$B:$B,0)+COLUMN(B$1),1))</f>
        <v/>
      </c>
      <c r="BI364" s="37" t="str">
        <f t="array" ref="BI364">IF($A364="","", INDEX(CS!$B$1:$B$15025,MATCH($A364,CS!$B:$B,0)+COLUMN(C$1),1))</f>
        <v/>
      </c>
      <c r="BJ364" s="37" t="str">
        <f t="array" ref="BJ364">IF($A364="","", INDEX(CS!$B$1:$B$15025,MATCH($A364,CS!$B:$B,0)+COLUMN(D$1),1))</f>
        <v/>
      </c>
      <c r="BK364" s="37" t="str">
        <f t="array" ref="BK364">IF($A364="","", INDEX(CS!$B$1:$B$15025,MATCH($A364,CS!$B:$B,0)+COLUMN(E$1),1))</f>
        <v/>
      </c>
      <c r="BL364" s="37" t="str">
        <f t="array" ref="BL364">IF($A364="","", INDEX(CS!$B$1:$B$15025,MATCH($A364,CS!$B:$B,0)+COLUMN(F$1),1))</f>
        <v/>
      </c>
      <c r="BM364" s="37" t="str">
        <f t="array" ref="BM364">IF($A364="","", INDEX(CS!$B$1:$B$15025,MATCH($A364,CS!$B:$B,0)+COLUMN(G$1),1))</f>
        <v/>
      </c>
      <c r="BN364" s="37" t="str">
        <f t="array" ref="BN364">IF($A364="","", INDEX(CS!$B$1:$B$15025,MATCH($A364,CS!$B:$B,0)+COLUMN(H$1),1))</f>
        <v/>
      </c>
      <c r="BO364" s="37" t="str">
        <f t="array" ref="BO364">IF($A364="","", INDEX(CS!$B$1:$B$15025,MATCH($A364,CS!$B:$B,0)+COLUMN(I$1),1))</f>
        <v/>
      </c>
      <c r="BP364" s="37" t="str">
        <f t="array" ref="BP364">IF($A364="","", INDEX(CS!$B$1:$B$15025,MATCH($A364,CS!$B:$B,0)+COLUMN(J$1),1))</f>
        <v/>
      </c>
      <c r="BS364" s="74"/>
      <c r="CQ364" s="37"/>
      <c r="CR364" s="37"/>
    </row>
    <row r="365" ht="18.75" customHeight="1">
      <c r="B365" s="71"/>
      <c r="C365" s="37" t="s">
        <v>2900</v>
      </c>
      <c r="D365" s="72" t="str">
        <f t="shared" si="18"/>
        <v>0/0/0</v>
      </c>
      <c r="E365" s="37">
        <v>1.0</v>
      </c>
      <c r="K365" s="73"/>
      <c r="P365" s="37" t="s">
        <v>29</v>
      </c>
      <c r="Q365" s="64"/>
      <c r="R365" s="64"/>
      <c r="S365" s="64"/>
      <c r="T365" s="64"/>
      <c r="U365" s="64"/>
      <c r="V365" s="64"/>
      <c r="W365" s="64"/>
      <c r="X365" s="64"/>
      <c r="Y365" s="64"/>
      <c r="Z365" s="64"/>
      <c r="AA365" s="64"/>
      <c r="BG365" s="37" t="str">
        <f t="array" ref="BG365">IF($A365="","", INDEX(CS!$B$1:$B$15025,MATCH($A365,CS!$B:$B,0)+COLUMN(A$1),1))</f>
        <v/>
      </c>
      <c r="BH365" s="37" t="str">
        <f t="array" ref="BH365">IF($A365="","", INDEX(CS!$B$1:$B$15025,MATCH($A365,CS!$B:$B,0)+COLUMN(B$1),1))</f>
        <v/>
      </c>
      <c r="BI365" s="37" t="str">
        <f t="array" ref="BI365">IF($A365="","", INDEX(CS!$B$1:$B$15025,MATCH($A365,CS!$B:$B,0)+COLUMN(C$1),1))</f>
        <v/>
      </c>
      <c r="BJ365" s="37" t="str">
        <f t="array" ref="BJ365">IF($A365="","", INDEX(CS!$B$1:$B$15025,MATCH($A365,CS!$B:$B,0)+COLUMN(D$1),1))</f>
        <v/>
      </c>
      <c r="BK365" s="37" t="str">
        <f t="array" ref="BK365">IF($A365="","", INDEX(CS!$B$1:$B$15025,MATCH($A365,CS!$B:$B,0)+COLUMN(E$1),1))</f>
        <v/>
      </c>
      <c r="BL365" s="37" t="str">
        <f t="array" ref="BL365">IF($A365="","", INDEX(CS!$B$1:$B$15025,MATCH($A365,CS!$B:$B,0)+COLUMN(F$1),1))</f>
        <v/>
      </c>
      <c r="BM365" s="37" t="str">
        <f t="array" ref="BM365">IF($A365="","", INDEX(CS!$B$1:$B$15025,MATCH($A365,CS!$B:$B,0)+COLUMN(G$1),1))</f>
        <v/>
      </c>
      <c r="BN365" s="37" t="str">
        <f t="array" ref="BN365">IF($A365="","", INDEX(CS!$B$1:$B$15025,MATCH($A365,CS!$B:$B,0)+COLUMN(H$1),1))</f>
        <v/>
      </c>
      <c r="BO365" s="37" t="str">
        <f t="array" ref="BO365">IF($A365="","", INDEX(CS!$B$1:$B$15025,MATCH($A365,CS!$B:$B,0)+COLUMN(I$1),1))</f>
        <v/>
      </c>
      <c r="BP365" s="37" t="str">
        <f t="array" ref="BP365">IF($A365="","", INDEX(CS!$B$1:$B$15025,MATCH($A365,CS!$B:$B,0)+COLUMN(J$1),1))</f>
        <v/>
      </c>
      <c r="BS365" s="74"/>
      <c r="CQ365" s="37"/>
      <c r="CR365" s="37"/>
    </row>
    <row r="366" ht="18.75" customHeight="1">
      <c r="B366" s="71"/>
      <c r="C366" s="37" t="s">
        <v>2900</v>
      </c>
      <c r="D366" s="72" t="str">
        <f t="shared" si="18"/>
        <v>0/0/0</v>
      </c>
      <c r="E366" s="37">
        <v>1.0</v>
      </c>
      <c r="K366" s="73"/>
      <c r="P366" s="37" t="s">
        <v>29</v>
      </c>
      <c r="Q366" s="64"/>
      <c r="R366" s="64"/>
      <c r="S366" s="64"/>
      <c r="T366" s="64"/>
      <c r="U366" s="64"/>
      <c r="V366" s="64"/>
      <c r="W366" s="64"/>
      <c r="X366" s="64"/>
      <c r="Y366" s="64"/>
      <c r="Z366" s="64"/>
      <c r="AA366" s="64"/>
      <c r="BG366" s="37" t="str">
        <f t="array" ref="BG366">IF($A366="","", INDEX(CS!$B$1:$B$15025,MATCH($A366,CS!$B:$B,0)+COLUMN(A$1),1))</f>
        <v/>
      </c>
      <c r="BH366" s="37" t="str">
        <f t="array" ref="BH366">IF($A366="","", INDEX(CS!$B$1:$B$15025,MATCH($A366,CS!$B:$B,0)+COLUMN(B$1),1))</f>
        <v/>
      </c>
      <c r="BI366" s="37" t="str">
        <f t="array" ref="BI366">IF($A366="","", INDEX(CS!$B$1:$B$15025,MATCH($A366,CS!$B:$B,0)+COLUMN(C$1),1))</f>
        <v/>
      </c>
      <c r="BJ366" s="37" t="str">
        <f t="array" ref="BJ366">IF($A366="","", INDEX(CS!$B$1:$B$15025,MATCH($A366,CS!$B:$B,0)+COLUMN(D$1),1))</f>
        <v/>
      </c>
      <c r="BK366" s="37" t="str">
        <f t="array" ref="BK366">IF($A366="","", INDEX(CS!$B$1:$B$15025,MATCH($A366,CS!$B:$B,0)+COLUMN(E$1),1))</f>
        <v/>
      </c>
      <c r="BL366" s="37" t="str">
        <f t="array" ref="BL366">IF($A366="","", INDEX(CS!$B$1:$B$15025,MATCH($A366,CS!$B:$B,0)+COLUMN(F$1),1))</f>
        <v/>
      </c>
      <c r="BM366" s="37" t="str">
        <f t="array" ref="BM366">IF($A366="","", INDEX(CS!$B$1:$B$15025,MATCH($A366,CS!$B:$B,0)+COLUMN(G$1),1))</f>
        <v/>
      </c>
      <c r="BN366" s="37" t="str">
        <f t="array" ref="BN366">IF($A366="","", INDEX(CS!$B$1:$B$15025,MATCH($A366,CS!$B:$B,0)+COLUMN(H$1),1))</f>
        <v/>
      </c>
      <c r="BO366" s="37" t="str">
        <f t="array" ref="BO366">IF($A366="","", INDEX(CS!$B$1:$B$15025,MATCH($A366,CS!$B:$B,0)+COLUMN(I$1),1))</f>
        <v/>
      </c>
      <c r="BP366" s="37" t="str">
        <f t="array" ref="BP366">IF($A366="","", INDEX(CS!$B$1:$B$15025,MATCH($A366,CS!$B:$B,0)+COLUMN(J$1),1))</f>
        <v/>
      </c>
      <c r="BS366" s="74"/>
      <c r="CQ366" s="37"/>
      <c r="CR366" s="37"/>
    </row>
    <row r="367" ht="18.75" customHeight="1">
      <c r="B367" s="71"/>
      <c r="C367" s="37" t="s">
        <v>2900</v>
      </c>
      <c r="D367" s="72" t="str">
        <f t="shared" si="18"/>
        <v>0/0/0</v>
      </c>
      <c r="E367" s="37">
        <v>1.0</v>
      </c>
      <c r="K367" s="73"/>
      <c r="P367" s="37" t="s">
        <v>29</v>
      </c>
      <c r="Q367" s="64"/>
      <c r="R367" s="64"/>
      <c r="S367" s="64"/>
      <c r="T367" s="64"/>
      <c r="U367" s="64"/>
      <c r="V367" s="64"/>
      <c r="W367" s="64"/>
      <c r="X367" s="64"/>
      <c r="Y367" s="64"/>
      <c r="Z367" s="64"/>
      <c r="AA367" s="64"/>
      <c r="BG367" s="37" t="str">
        <f t="array" ref="BG367">IF($A367="","", INDEX(CS!$B$1:$B$15025,MATCH($A367,CS!$B:$B,0)+COLUMN(A$1),1))</f>
        <v/>
      </c>
      <c r="BH367" s="37" t="str">
        <f t="array" ref="BH367">IF($A367="","", INDEX(CS!$B$1:$B$15025,MATCH($A367,CS!$B:$B,0)+COLUMN(B$1),1))</f>
        <v/>
      </c>
      <c r="BI367" s="37" t="str">
        <f t="array" ref="BI367">IF($A367="","", INDEX(CS!$B$1:$B$15025,MATCH($A367,CS!$B:$B,0)+COLUMN(C$1),1))</f>
        <v/>
      </c>
      <c r="BJ367" s="37" t="str">
        <f t="array" ref="BJ367">IF($A367="","", INDEX(CS!$B$1:$B$15025,MATCH($A367,CS!$B:$B,0)+COLUMN(D$1),1))</f>
        <v/>
      </c>
      <c r="BK367" s="37" t="str">
        <f t="array" ref="BK367">IF($A367="","", INDEX(CS!$B$1:$B$15025,MATCH($A367,CS!$B:$B,0)+COLUMN(E$1),1))</f>
        <v/>
      </c>
      <c r="BL367" s="37" t="str">
        <f t="array" ref="BL367">IF($A367="","", INDEX(CS!$B$1:$B$15025,MATCH($A367,CS!$B:$B,0)+COLUMN(F$1),1))</f>
        <v/>
      </c>
      <c r="BM367" s="37" t="str">
        <f t="array" ref="BM367">IF($A367="","", INDEX(CS!$B$1:$B$15025,MATCH($A367,CS!$B:$B,0)+COLUMN(G$1),1))</f>
        <v/>
      </c>
      <c r="BN367" s="37" t="str">
        <f t="array" ref="BN367">IF($A367="","", INDEX(CS!$B$1:$B$15025,MATCH($A367,CS!$B:$B,0)+COLUMN(H$1),1))</f>
        <v/>
      </c>
      <c r="BO367" s="37" t="str">
        <f t="array" ref="BO367">IF($A367="","", INDEX(CS!$B$1:$B$15025,MATCH($A367,CS!$B:$B,0)+COLUMN(I$1),1))</f>
        <v/>
      </c>
      <c r="BP367" s="37" t="str">
        <f t="array" ref="BP367">IF($A367="","", INDEX(CS!$B$1:$B$15025,MATCH($A367,CS!$B:$B,0)+COLUMN(J$1),1))</f>
        <v/>
      </c>
      <c r="BS367" s="74"/>
      <c r="CQ367" s="37"/>
      <c r="CR367" s="37"/>
    </row>
    <row r="368" ht="18.75" customHeight="1">
      <c r="B368" s="71"/>
      <c r="C368" s="37" t="s">
        <v>2900</v>
      </c>
      <c r="D368" s="72" t="str">
        <f t="shared" si="18"/>
        <v>0/0/0</v>
      </c>
      <c r="E368" s="37">
        <v>1.0</v>
      </c>
      <c r="K368" s="73"/>
      <c r="P368" s="37" t="s">
        <v>29</v>
      </c>
      <c r="Q368" s="64"/>
      <c r="R368" s="64"/>
      <c r="S368" s="64"/>
      <c r="T368" s="64"/>
      <c r="U368" s="64"/>
      <c r="V368" s="64"/>
      <c r="W368" s="64"/>
      <c r="X368" s="64"/>
      <c r="Y368" s="64"/>
      <c r="Z368" s="64"/>
      <c r="AA368" s="64"/>
      <c r="BG368" s="37" t="str">
        <f t="array" ref="BG368">IF($A368="","", INDEX(CS!$B$1:$B$15025,MATCH($A368,CS!$B:$B,0)+COLUMN(A$1),1))</f>
        <v/>
      </c>
      <c r="BH368" s="37" t="str">
        <f t="array" ref="BH368">IF($A368="","", INDEX(CS!$B$1:$B$15025,MATCH($A368,CS!$B:$B,0)+COLUMN(B$1),1))</f>
        <v/>
      </c>
      <c r="BI368" s="37" t="str">
        <f t="array" ref="BI368">IF($A368="","", INDEX(CS!$B$1:$B$15025,MATCH($A368,CS!$B:$B,0)+COLUMN(C$1),1))</f>
        <v/>
      </c>
      <c r="BJ368" s="37" t="str">
        <f t="array" ref="BJ368">IF($A368="","", INDEX(CS!$B$1:$B$15025,MATCH($A368,CS!$B:$B,0)+COLUMN(D$1),1))</f>
        <v/>
      </c>
      <c r="BK368" s="37" t="str">
        <f t="array" ref="BK368">IF($A368="","", INDEX(CS!$B$1:$B$15025,MATCH($A368,CS!$B:$B,0)+COLUMN(E$1),1))</f>
        <v/>
      </c>
      <c r="BL368" s="37" t="str">
        <f t="array" ref="BL368">IF($A368="","", INDEX(CS!$B$1:$B$15025,MATCH($A368,CS!$B:$B,0)+COLUMN(F$1),1))</f>
        <v/>
      </c>
      <c r="BM368" s="37" t="str">
        <f t="array" ref="BM368">IF($A368="","", INDEX(CS!$B$1:$B$15025,MATCH($A368,CS!$B:$B,0)+COLUMN(G$1),1))</f>
        <v/>
      </c>
      <c r="BN368" s="37" t="str">
        <f t="array" ref="BN368">IF($A368="","", INDEX(CS!$B$1:$B$15025,MATCH($A368,CS!$B:$B,0)+COLUMN(H$1),1))</f>
        <v/>
      </c>
      <c r="BO368" s="37" t="str">
        <f t="array" ref="BO368">IF($A368="","", INDEX(CS!$B$1:$B$15025,MATCH($A368,CS!$B:$B,0)+COLUMN(I$1),1))</f>
        <v/>
      </c>
      <c r="BP368" s="37" t="str">
        <f t="array" ref="BP368">IF($A368="","", INDEX(CS!$B$1:$B$15025,MATCH($A368,CS!$B:$B,0)+COLUMN(J$1),1))</f>
        <v/>
      </c>
      <c r="BS368" s="74"/>
      <c r="CQ368" s="37"/>
      <c r="CR368" s="37"/>
    </row>
    <row r="369" ht="18.75" customHeight="1">
      <c r="B369" s="71"/>
      <c r="C369" s="37" t="s">
        <v>2900</v>
      </c>
      <c r="D369" s="72" t="str">
        <f t="shared" si="18"/>
        <v>0/0/0</v>
      </c>
      <c r="E369" s="37">
        <v>1.0</v>
      </c>
      <c r="K369" s="73"/>
      <c r="P369" s="37" t="s">
        <v>29</v>
      </c>
      <c r="Q369" s="64"/>
      <c r="R369" s="64"/>
      <c r="S369" s="64"/>
      <c r="T369" s="64"/>
      <c r="U369" s="64"/>
      <c r="V369" s="64"/>
      <c r="W369" s="64"/>
      <c r="X369" s="64"/>
      <c r="Y369" s="64"/>
      <c r="Z369" s="64"/>
      <c r="AA369" s="64"/>
      <c r="BG369" s="37" t="str">
        <f t="array" ref="BG369">IF($A369="","", INDEX(CS!$B$1:$B$15025,MATCH($A369,CS!$B:$B,0)+COLUMN(A$1),1))</f>
        <v/>
      </c>
      <c r="BH369" s="37" t="str">
        <f t="array" ref="BH369">IF($A369="","", INDEX(CS!$B$1:$B$15025,MATCH($A369,CS!$B:$B,0)+COLUMN(B$1),1))</f>
        <v/>
      </c>
      <c r="BI369" s="37" t="str">
        <f t="array" ref="BI369">IF($A369="","", INDEX(CS!$B$1:$B$15025,MATCH($A369,CS!$B:$B,0)+COLUMN(C$1),1))</f>
        <v/>
      </c>
      <c r="BJ369" s="37" t="str">
        <f t="array" ref="BJ369">IF($A369="","", INDEX(CS!$B$1:$B$15025,MATCH($A369,CS!$B:$B,0)+COLUMN(D$1),1))</f>
        <v/>
      </c>
      <c r="BK369" s="37" t="str">
        <f t="array" ref="BK369">IF($A369="","", INDEX(CS!$B$1:$B$15025,MATCH($A369,CS!$B:$B,0)+COLUMN(E$1),1))</f>
        <v/>
      </c>
      <c r="BL369" s="37" t="str">
        <f t="array" ref="BL369">IF($A369="","", INDEX(CS!$B$1:$B$15025,MATCH($A369,CS!$B:$B,0)+COLUMN(F$1),1))</f>
        <v/>
      </c>
      <c r="BM369" s="37" t="str">
        <f t="array" ref="BM369">IF($A369="","", INDEX(CS!$B$1:$B$15025,MATCH($A369,CS!$B:$B,0)+COLUMN(G$1),1))</f>
        <v/>
      </c>
      <c r="BN369" s="37" t="str">
        <f t="array" ref="BN369">IF($A369="","", INDEX(CS!$B$1:$B$15025,MATCH($A369,CS!$B:$B,0)+COLUMN(H$1),1))</f>
        <v/>
      </c>
      <c r="BO369" s="37" t="str">
        <f t="array" ref="BO369">IF($A369="","", INDEX(CS!$B$1:$B$15025,MATCH($A369,CS!$B:$B,0)+COLUMN(I$1),1))</f>
        <v/>
      </c>
      <c r="BP369" s="37" t="str">
        <f t="array" ref="BP369">IF($A369="","", INDEX(CS!$B$1:$B$15025,MATCH($A369,CS!$B:$B,0)+COLUMN(J$1),1))</f>
        <v/>
      </c>
      <c r="BS369" s="74"/>
      <c r="CQ369" s="37"/>
      <c r="CR369" s="37"/>
    </row>
    <row r="370" ht="18.75" customHeight="1">
      <c r="B370" s="71"/>
      <c r="C370" s="37" t="s">
        <v>2900</v>
      </c>
      <c r="D370" s="72" t="str">
        <f t="shared" si="18"/>
        <v>0/0/0</v>
      </c>
      <c r="E370" s="37">
        <v>1.0</v>
      </c>
      <c r="K370" s="73"/>
      <c r="P370" s="37" t="s">
        <v>29</v>
      </c>
      <c r="Q370" s="64"/>
      <c r="R370" s="64"/>
      <c r="S370" s="64"/>
      <c r="T370" s="64"/>
      <c r="U370" s="64"/>
      <c r="V370" s="64"/>
      <c r="W370" s="64"/>
      <c r="X370" s="64"/>
      <c r="Y370" s="64"/>
      <c r="Z370" s="64"/>
      <c r="AA370" s="64"/>
      <c r="BG370" s="37" t="str">
        <f t="array" ref="BG370">IF($A370="","", INDEX(CS!$B$1:$B$15025,MATCH($A370,CS!$B:$B,0)+COLUMN(A$1),1))</f>
        <v/>
      </c>
      <c r="BH370" s="37" t="str">
        <f t="array" ref="BH370">IF($A370="","", INDEX(CS!$B$1:$B$15025,MATCH($A370,CS!$B:$B,0)+COLUMN(B$1),1))</f>
        <v/>
      </c>
      <c r="BI370" s="37" t="str">
        <f t="array" ref="BI370">IF($A370="","", INDEX(CS!$B$1:$B$15025,MATCH($A370,CS!$B:$B,0)+COLUMN(C$1),1))</f>
        <v/>
      </c>
      <c r="BJ370" s="37" t="str">
        <f t="array" ref="BJ370">IF($A370="","", INDEX(CS!$B$1:$B$15025,MATCH($A370,CS!$B:$B,0)+COLUMN(D$1),1))</f>
        <v/>
      </c>
      <c r="BK370" s="37" t="str">
        <f t="array" ref="BK370">IF($A370="","", INDEX(CS!$B$1:$B$15025,MATCH($A370,CS!$B:$B,0)+COLUMN(E$1),1))</f>
        <v/>
      </c>
      <c r="BL370" s="37" t="str">
        <f t="array" ref="BL370">IF($A370="","", INDEX(CS!$B$1:$B$15025,MATCH($A370,CS!$B:$B,0)+COLUMN(F$1),1))</f>
        <v/>
      </c>
      <c r="BM370" s="37" t="str">
        <f t="array" ref="BM370">IF($A370="","", INDEX(CS!$B$1:$B$15025,MATCH($A370,CS!$B:$B,0)+COLUMN(G$1),1))</f>
        <v/>
      </c>
      <c r="BN370" s="37" t="str">
        <f t="array" ref="BN370">IF($A370="","", INDEX(CS!$B$1:$B$15025,MATCH($A370,CS!$B:$B,0)+COLUMN(H$1),1))</f>
        <v/>
      </c>
      <c r="BO370" s="37" t="str">
        <f t="array" ref="BO370">IF($A370="","", INDEX(CS!$B$1:$B$15025,MATCH($A370,CS!$B:$B,0)+COLUMN(I$1),1))</f>
        <v/>
      </c>
      <c r="BP370" s="37" t="str">
        <f t="array" ref="BP370">IF($A370="","", INDEX(CS!$B$1:$B$15025,MATCH($A370,CS!$B:$B,0)+COLUMN(J$1),1))</f>
        <v/>
      </c>
      <c r="BS370" s="74"/>
      <c r="CQ370" s="37"/>
      <c r="CR370" s="37"/>
    </row>
    <row r="371" ht="18.75" customHeight="1">
      <c r="B371" s="71"/>
      <c r="C371" s="37" t="s">
        <v>2900</v>
      </c>
      <c r="D371" s="72" t="str">
        <f t="shared" si="18"/>
        <v>0/0/0</v>
      </c>
      <c r="E371" s="37">
        <v>1.0</v>
      </c>
      <c r="K371" s="73"/>
      <c r="P371" s="37" t="s">
        <v>29</v>
      </c>
      <c r="Q371" s="64"/>
      <c r="R371" s="64"/>
      <c r="S371" s="64"/>
      <c r="T371" s="64"/>
      <c r="U371" s="64"/>
      <c r="V371" s="64"/>
      <c r="W371" s="64"/>
      <c r="X371" s="64"/>
      <c r="Y371" s="64"/>
      <c r="Z371" s="64"/>
      <c r="AA371" s="64"/>
      <c r="BG371" s="37" t="str">
        <f t="array" ref="BG371">IF($A371="","", INDEX(CS!$B$1:$B$15025,MATCH($A371,CS!$B:$B,0)+COLUMN(A$1),1))</f>
        <v/>
      </c>
      <c r="BH371" s="37" t="str">
        <f t="array" ref="BH371">IF($A371="","", INDEX(CS!$B$1:$B$15025,MATCH($A371,CS!$B:$B,0)+COLUMN(B$1),1))</f>
        <v/>
      </c>
      <c r="BI371" s="37" t="str">
        <f t="array" ref="BI371">IF($A371="","", INDEX(CS!$B$1:$B$15025,MATCH($A371,CS!$B:$B,0)+COLUMN(C$1),1))</f>
        <v/>
      </c>
      <c r="BJ371" s="37" t="str">
        <f t="array" ref="BJ371">IF($A371="","", INDEX(CS!$B$1:$B$15025,MATCH($A371,CS!$B:$B,0)+COLUMN(D$1),1))</f>
        <v/>
      </c>
      <c r="BK371" s="37" t="str">
        <f t="array" ref="BK371">IF($A371="","", INDEX(CS!$B$1:$B$15025,MATCH($A371,CS!$B:$B,0)+COLUMN(E$1),1))</f>
        <v/>
      </c>
      <c r="BL371" s="37" t="str">
        <f t="array" ref="BL371">IF($A371="","", INDEX(CS!$B$1:$B$15025,MATCH($A371,CS!$B:$B,0)+COLUMN(F$1),1))</f>
        <v/>
      </c>
      <c r="BM371" s="37" t="str">
        <f t="array" ref="BM371">IF($A371="","", INDEX(CS!$B$1:$B$15025,MATCH($A371,CS!$B:$B,0)+COLUMN(G$1),1))</f>
        <v/>
      </c>
      <c r="BN371" s="37" t="str">
        <f t="array" ref="BN371">IF($A371="","", INDEX(CS!$B$1:$B$15025,MATCH($A371,CS!$B:$B,0)+COLUMN(H$1),1))</f>
        <v/>
      </c>
      <c r="BO371" s="37" t="str">
        <f t="array" ref="BO371">IF($A371="","", INDEX(CS!$B$1:$B$15025,MATCH($A371,CS!$B:$B,0)+COLUMN(I$1),1))</f>
        <v/>
      </c>
      <c r="BP371" s="37" t="str">
        <f t="array" ref="BP371">IF($A371="","", INDEX(CS!$B$1:$B$15025,MATCH($A371,CS!$B:$B,0)+COLUMN(J$1),1))</f>
        <v/>
      </c>
      <c r="BS371" s="74"/>
      <c r="CQ371" s="37"/>
      <c r="CR371" s="37"/>
    </row>
    <row r="372" ht="18.75" customHeight="1">
      <c r="B372" s="71"/>
      <c r="C372" s="37" t="s">
        <v>2900</v>
      </c>
      <c r="D372" s="72" t="str">
        <f t="shared" si="18"/>
        <v>0/0/0</v>
      </c>
      <c r="E372" s="37">
        <v>1.0</v>
      </c>
      <c r="K372" s="73"/>
      <c r="P372" s="37" t="s">
        <v>29</v>
      </c>
      <c r="Q372" s="64"/>
      <c r="R372" s="64"/>
      <c r="S372" s="64"/>
      <c r="T372" s="64"/>
      <c r="U372" s="64"/>
      <c r="V372" s="64"/>
      <c r="W372" s="64"/>
      <c r="X372" s="64"/>
      <c r="Y372" s="64"/>
      <c r="Z372" s="64"/>
      <c r="AA372" s="64"/>
      <c r="BG372" s="37" t="str">
        <f t="array" ref="BG372">IF($A372="","", INDEX(CS!$B$1:$B$15025,MATCH($A372,CS!$B:$B,0)+COLUMN(A$1),1))</f>
        <v/>
      </c>
      <c r="BH372" s="37" t="str">
        <f t="array" ref="BH372">IF($A372="","", INDEX(CS!$B$1:$B$15025,MATCH($A372,CS!$B:$B,0)+COLUMN(B$1),1))</f>
        <v/>
      </c>
      <c r="BI372" s="37" t="str">
        <f t="array" ref="BI372">IF($A372="","", INDEX(CS!$B$1:$B$15025,MATCH($A372,CS!$B:$B,0)+COLUMN(C$1),1))</f>
        <v/>
      </c>
      <c r="BJ372" s="37" t="str">
        <f t="array" ref="BJ372">IF($A372="","", INDEX(CS!$B$1:$B$15025,MATCH($A372,CS!$B:$B,0)+COLUMN(D$1),1))</f>
        <v/>
      </c>
      <c r="BK372" s="37" t="str">
        <f t="array" ref="BK372">IF($A372="","", INDEX(CS!$B$1:$B$15025,MATCH($A372,CS!$B:$B,0)+COLUMN(E$1),1))</f>
        <v/>
      </c>
      <c r="BL372" s="37" t="str">
        <f t="array" ref="BL372">IF($A372="","", INDEX(CS!$B$1:$B$15025,MATCH($A372,CS!$B:$B,0)+COLUMN(F$1),1))</f>
        <v/>
      </c>
      <c r="BM372" s="37" t="str">
        <f t="array" ref="BM372">IF($A372="","", INDEX(CS!$B$1:$B$15025,MATCH($A372,CS!$B:$B,0)+COLUMN(G$1),1))</f>
        <v/>
      </c>
      <c r="BN372" s="37" t="str">
        <f t="array" ref="BN372">IF($A372="","", INDEX(CS!$B$1:$B$15025,MATCH($A372,CS!$B:$B,0)+COLUMN(H$1),1))</f>
        <v/>
      </c>
      <c r="BO372" s="37" t="str">
        <f t="array" ref="BO372">IF($A372="","", INDEX(CS!$B$1:$B$15025,MATCH($A372,CS!$B:$B,0)+COLUMN(I$1),1))</f>
        <v/>
      </c>
      <c r="BP372" s="37" t="str">
        <f t="array" ref="BP372">IF($A372="","", INDEX(CS!$B$1:$B$15025,MATCH($A372,CS!$B:$B,0)+COLUMN(J$1),1))</f>
        <v/>
      </c>
      <c r="BS372" s="74"/>
      <c r="CQ372" s="37"/>
      <c r="CR372" s="37"/>
    </row>
    <row r="373" ht="18.75" customHeight="1">
      <c r="B373" s="71"/>
      <c r="C373" s="37" t="s">
        <v>2900</v>
      </c>
      <c r="D373" s="72" t="str">
        <f t="shared" si="18"/>
        <v>0/0/0</v>
      </c>
      <c r="E373" s="37">
        <v>1.0</v>
      </c>
      <c r="K373" s="73"/>
      <c r="P373" s="37" t="s">
        <v>29</v>
      </c>
      <c r="Q373" s="64"/>
      <c r="R373" s="64"/>
      <c r="S373" s="64"/>
      <c r="T373" s="64"/>
      <c r="U373" s="64"/>
      <c r="V373" s="64"/>
      <c r="W373" s="64"/>
      <c r="X373" s="64"/>
      <c r="Y373" s="64"/>
      <c r="Z373" s="64"/>
      <c r="AA373" s="64"/>
      <c r="BG373" s="37" t="str">
        <f t="array" ref="BG373">IF($A373="","", INDEX(CS!$B$1:$B$15025,MATCH($A373,CS!$B:$B,0)+COLUMN(A$1),1))</f>
        <v/>
      </c>
      <c r="BH373" s="37" t="str">
        <f t="array" ref="BH373">IF($A373="","", INDEX(CS!$B$1:$B$15025,MATCH($A373,CS!$B:$B,0)+COLUMN(B$1),1))</f>
        <v/>
      </c>
      <c r="BI373" s="37" t="str">
        <f t="array" ref="BI373">IF($A373="","", INDEX(CS!$B$1:$B$15025,MATCH($A373,CS!$B:$B,0)+COLUMN(C$1),1))</f>
        <v/>
      </c>
      <c r="BJ373" s="37" t="str">
        <f t="array" ref="BJ373">IF($A373="","", INDEX(CS!$B$1:$B$15025,MATCH($A373,CS!$B:$B,0)+COLUMN(D$1),1))</f>
        <v/>
      </c>
      <c r="BK373" s="37" t="str">
        <f t="array" ref="BK373">IF($A373="","", INDEX(CS!$B$1:$B$15025,MATCH($A373,CS!$B:$B,0)+COLUMN(E$1),1))</f>
        <v/>
      </c>
      <c r="BL373" s="37" t="str">
        <f t="array" ref="BL373">IF($A373="","", INDEX(CS!$B$1:$B$15025,MATCH($A373,CS!$B:$B,0)+COLUMN(F$1),1))</f>
        <v/>
      </c>
      <c r="BM373" s="37" t="str">
        <f t="array" ref="BM373">IF($A373="","", INDEX(CS!$B$1:$B$15025,MATCH($A373,CS!$B:$B,0)+COLUMN(G$1),1))</f>
        <v/>
      </c>
      <c r="BN373" s="37" t="str">
        <f t="array" ref="BN373">IF($A373="","", INDEX(CS!$B$1:$B$15025,MATCH($A373,CS!$B:$B,0)+COLUMN(H$1),1))</f>
        <v/>
      </c>
      <c r="BO373" s="37" t="str">
        <f t="array" ref="BO373">IF($A373="","", INDEX(CS!$B$1:$B$15025,MATCH($A373,CS!$B:$B,0)+COLUMN(I$1),1))</f>
        <v/>
      </c>
      <c r="BP373" s="37" t="str">
        <f t="array" ref="BP373">IF($A373="","", INDEX(CS!$B$1:$B$15025,MATCH($A373,CS!$B:$B,0)+COLUMN(J$1),1))</f>
        <v/>
      </c>
      <c r="BS373" s="74"/>
      <c r="CQ373" s="37"/>
      <c r="CR373" s="37"/>
    </row>
    <row r="374" ht="18.75" customHeight="1">
      <c r="B374" s="71"/>
      <c r="C374" s="37" t="s">
        <v>2900</v>
      </c>
      <c r="D374" s="72" t="str">
        <f t="shared" si="18"/>
        <v>0/0/0</v>
      </c>
      <c r="E374" s="37">
        <v>1.0</v>
      </c>
      <c r="K374" s="73"/>
      <c r="P374" s="37" t="s">
        <v>29</v>
      </c>
      <c r="Q374" s="64"/>
      <c r="R374" s="64"/>
      <c r="S374" s="64"/>
      <c r="T374" s="64"/>
      <c r="U374" s="64"/>
      <c r="V374" s="64"/>
      <c r="W374" s="64"/>
      <c r="X374" s="64"/>
      <c r="Y374" s="64"/>
      <c r="Z374" s="64"/>
      <c r="AA374" s="64"/>
      <c r="BG374" s="37" t="str">
        <f t="array" ref="BG374">IF($A374="","", INDEX(CS!$B$1:$B$15025,MATCH($A374,CS!$B:$B,0)+COLUMN(A$1),1))</f>
        <v/>
      </c>
      <c r="BH374" s="37" t="str">
        <f t="array" ref="BH374">IF($A374="","", INDEX(CS!$B$1:$B$15025,MATCH($A374,CS!$B:$B,0)+COLUMN(B$1),1))</f>
        <v/>
      </c>
      <c r="BI374" s="37" t="str">
        <f t="array" ref="BI374">IF($A374="","", INDEX(CS!$B$1:$B$15025,MATCH($A374,CS!$B:$B,0)+COLUMN(C$1),1))</f>
        <v/>
      </c>
      <c r="BJ374" s="37" t="str">
        <f t="array" ref="BJ374">IF($A374="","", INDEX(CS!$B$1:$B$15025,MATCH($A374,CS!$B:$B,0)+COLUMN(D$1),1))</f>
        <v/>
      </c>
      <c r="BK374" s="37" t="str">
        <f t="array" ref="BK374">IF($A374="","", INDEX(CS!$B$1:$B$15025,MATCH($A374,CS!$B:$B,0)+COLUMN(E$1),1))</f>
        <v/>
      </c>
      <c r="BL374" s="37" t="str">
        <f t="array" ref="BL374">IF($A374="","", INDEX(CS!$B$1:$B$15025,MATCH($A374,CS!$B:$B,0)+COLUMN(F$1),1))</f>
        <v/>
      </c>
      <c r="BM374" s="37" t="str">
        <f t="array" ref="BM374">IF($A374="","", INDEX(CS!$B$1:$B$15025,MATCH($A374,CS!$B:$B,0)+COLUMN(G$1),1))</f>
        <v/>
      </c>
      <c r="BN374" s="37" t="str">
        <f t="array" ref="BN374">IF($A374="","", INDEX(CS!$B$1:$B$15025,MATCH($A374,CS!$B:$B,0)+COLUMN(H$1),1))</f>
        <v/>
      </c>
      <c r="BO374" s="37" t="str">
        <f t="array" ref="BO374">IF($A374="","", INDEX(CS!$B$1:$B$15025,MATCH($A374,CS!$B:$B,0)+COLUMN(I$1),1))</f>
        <v/>
      </c>
      <c r="BP374" s="37" t="str">
        <f t="array" ref="BP374">IF($A374="","", INDEX(CS!$B$1:$B$15025,MATCH($A374,CS!$B:$B,0)+COLUMN(J$1),1))</f>
        <v/>
      </c>
      <c r="BS374" s="74"/>
      <c r="CQ374" s="37"/>
      <c r="CR374" s="37"/>
    </row>
    <row r="375" ht="18.75" customHeight="1">
      <c r="B375" s="71"/>
      <c r="C375" s="37" t="s">
        <v>2900</v>
      </c>
      <c r="D375" s="72" t="str">
        <f t="shared" si="18"/>
        <v>0/0/0</v>
      </c>
      <c r="E375" s="37">
        <v>1.0</v>
      </c>
      <c r="K375" s="73"/>
      <c r="P375" s="37" t="s">
        <v>29</v>
      </c>
      <c r="Q375" s="64"/>
      <c r="R375" s="64"/>
      <c r="S375" s="64"/>
      <c r="T375" s="64"/>
      <c r="U375" s="64"/>
      <c r="V375" s="64"/>
      <c r="W375" s="64"/>
      <c r="X375" s="64"/>
      <c r="Y375" s="64"/>
      <c r="Z375" s="64"/>
      <c r="AA375" s="64"/>
      <c r="BG375" s="37" t="str">
        <f t="array" ref="BG375">IF($A375="","", INDEX(CS!$B$1:$B$15025,MATCH($A375,CS!$B:$B,0)+COLUMN(A$1),1))</f>
        <v/>
      </c>
      <c r="BH375" s="37" t="str">
        <f t="array" ref="BH375">IF($A375="","", INDEX(CS!$B$1:$B$15025,MATCH($A375,CS!$B:$B,0)+COLUMN(B$1),1))</f>
        <v/>
      </c>
      <c r="BI375" s="37" t="str">
        <f t="array" ref="BI375">IF($A375="","", INDEX(CS!$B$1:$B$15025,MATCH($A375,CS!$B:$B,0)+COLUMN(C$1),1))</f>
        <v/>
      </c>
      <c r="BJ375" s="37" t="str">
        <f t="array" ref="BJ375">IF($A375="","", INDEX(CS!$B$1:$B$15025,MATCH($A375,CS!$B:$B,0)+COLUMN(D$1),1))</f>
        <v/>
      </c>
      <c r="BK375" s="37" t="str">
        <f t="array" ref="BK375">IF($A375="","", INDEX(CS!$B$1:$B$15025,MATCH($A375,CS!$B:$B,0)+COLUMN(E$1),1))</f>
        <v/>
      </c>
      <c r="BL375" s="37" t="str">
        <f t="array" ref="BL375">IF($A375="","", INDEX(CS!$B$1:$B$15025,MATCH($A375,CS!$B:$B,0)+COLUMN(F$1),1))</f>
        <v/>
      </c>
      <c r="BM375" s="37" t="str">
        <f t="array" ref="BM375">IF($A375="","", INDEX(CS!$B$1:$B$15025,MATCH($A375,CS!$B:$B,0)+COLUMN(G$1),1))</f>
        <v/>
      </c>
      <c r="BN375" s="37" t="str">
        <f t="array" ref="BN375">IF($A375="","", INDEX(CS!$B$1:$B$15025,MATCH($A375,CS!$B:$B,0)+COLUMN(H$1),1))</f>
        <v/>
      </c>
      <c r="BO375" s="37" t="str">
        <f t="array" ref="BO375">IF($A375="","", INDEX(CS!$B$1:$B$15025,MATCH($A375,CS!$B:$B,0)+COLUMN(I$1),1))</f>
        <v/>
      </c>
      <c r="BP375" s="37" t="str">
        <f t="array" ref="BP375">IF($A375="","", INDEX(CS!$B$1:$B$15025,MATCH($A375,CS!$B:$B,0)+COLUMN(J$1),1))</f>
        <v/>
      </c>
      <c r="BS375" s="74"/>
      <c r="CQ375" s="37"/>
      <c r="CR375" s="37"/>
    </row>
    <row r="376" ht="18.75" customHeight="1">
      <c r="B376" s="71"/>
      <c r="C376" s="37" t="s">
        <v>2900</v>
      </c>
      <c r="D376" s="72" t="str">
        <f t="shared" si="18"/>
        <v>0/0/0</v>
      </c>
      <c r="E376" s="37">
        <v>1.0</v>
      </c>
      <c r="K376" s="73"/>
      <c r="P376" s="37" t="s">
        <v>29</v>
      </c>
      <c r="Q376" s="64"/>
      <c r="R376" s="64"/>
      <c r="S376" s="64"/>
      <c r="T376" s="64"/>
      <c r="U376" s="64"/>
      <c r="V376" s="64"/>
      <c r="W376" s="64"/>
      <c r="X376" s="64"/>
      <c r="Y376" s="64"/>
      <c r="Z376" s="64"/>
      <c r="AA376" s="64"/>
      <c r="BG376" s="37" t="str">
        <f t="array" ref="BG376">IF($A376="","", INDEX(CS!$B$1:$B$15025,MATCH($A376,CS!$B:$B,0)+COLUMN(A$1),1))</f>
        <v/>
      </c>
      <c r="BH376" s="37" t="str">
        <f t="array" ref="BH376">IF($A376="","", INDEX(CS!$B$1:$B$15025,MATCH($A376,CS!$B:$B,0)+COLUMN(B$1),1))</f>
        <v/>
      </c>
      <c r="BI376" s="37" t="str">
        <f t="array" ref="BI376">IF($A376="","", INDEX(CS!$B$1:$B$15025,MATCH($A376,CS!$B:$B,0)+COLUMN(C$1),1))</f>
        <v/>
      </c>
      <c r="BJ376" s="37" t="str">
        <f t="array" ref="BJ376">IF($A376="","", INDEX(CS!$B$1:$B$15025,MATCH($A376,CS!$B:$B,0)+COLUMN(D$1),1))</f>
        <v/>
      </c>
      <c r="BK376" s="37" t="str">
        <f t="array" ref="BK376">IF($A376="","", INDEX(CS!$B$1:$B$15025,MATCH($A376,CS!$B:$B,0)+COLUMN(E$1),1))</f>
        <v/>
      </c>
      <c r="BL376" s="37" t="str">
        <f t="array" ref="BL376">IF($A376="","", INDEX(CS!$B$1:$B$15025,MATCH($A376,CS!$B:$B,0)+COLUMN(F$1),1))</f>
        <v/>
      </c>
      <c r="BM376" s="37" t="str">
        <f t="array" ref="BM376">IF($A376="","", INDEX(CS!$B$1:$B$15025,MATCH($A376,CS!$B:$B,0)+COLUMN(G$1),1))</f>
        <v/>
      </c>
      <c r="BN376" s="37" t="str">
        <f t="array" ref="BN376">IF($A376="","", INDEX(CS!$B$1:$B$15025,MATCH($A376,CS!$B:$B,0)+COLUMN(H$1),1))</f>
        <v/>
      </c>
      <c r="BO376" s="37" t="str">
        <f t="array" ref="BO376">IF($A376="","", INDEX(CS!$B$1:$B$15025,MATCH($A376,CS!$B:$B,0)+COLUMN(I$1),1))</f>
        <v/>
      </c>
      <c r="BP376" s="37" t="str">
        <f t="array" ref="BP376">IF($A376="","", INDEX(CS!$B$1:$B$15025,MATCH($A376,CS!$B:$B,0)+COLUMN(J$1),1))</f>
        <v/>
      </c>
      <c r="BS376" s="74"/>
      <c r="CQ376" s="37"/>
      <c r="CR376" s="37"/>
    </row>
    <row r="377" ht="18.75" customHeight="1">
      <c r="B377" s="71"/>
      <c r="C377" s="37" t="s">
        <v>2900</v>
      </c>
      <c r="D377" s="72" t="str">
        <f t="shared" si="18"/>
        <v>0/0/0</v>
      </c>
      <c r="E377" s="37">
        <v>1.0</v>
      </c>
      <c r="K377" s="73"/>
      <c r="P377" s="37" t="s">
        <v>29</v>
      </c>
      <c r="Q377" s="64"/>
      <c r="R377" s="64"/>
      <c r="S377" s="64"/>
      <c r="T377" s="64"/>
      <c r="U377" s="64"/>
      <c r="V377" s="64"/>
      <c r="W377" s="64"/>
      <c r="X377" s="64"/>
      <c r="Y377" s="64"/>
      <c r="Z377" s="64"/>
      <c r="AA377" s="64"/>
      <c r="BG377" s="37" t="str">
        <f t="array" ref="BG377">IF($A377="","", INDEX(CS!$B$1:$B$15025,MATCH($A377,CS!$B:$B,0)+COLUMN(A$1),1))</f>
        <v/>
      </c>
      <c r="BH377" s="37" t="str">
        <f t="array" ref="BH377">IF($A377="","", INDEX(CS!$B$1:$B$15025,MATCH($A377,CS!$B:$B,0)+COLUMN(B$1),1))</f>
        <v/>
      </c>
      <c r="BI377" s="37" t="str">
        <f t="array" ref="BI377">IF($A377="","", INDEX(CS!$B$1:$B$15025,MATCH($A377,CS!$B:$B,0)+COLUMN(C$1),1))</f>
        <v/>
      </c>
      <c r="BJ377" s="37" t="str">
        <f t="array" ref="BJ377">IF($A377="","", INDEX(CS!$B$1:$B$15025,MATCH($A377,CS!$B:$B,0)+COLUMN(D$1),1))</f>
        <v/>
      </c>
      <c r="BK377" s="37" t="str">
        <f t="array" ref="BK377">IF($A377="","", INDEX(CS!$B$1:$B$15025,MATCH($A377,CS!$B:$B,0)+COLUMN(E$1),1))</f>
        <v/>
      </c>
      <c r="BL377" s="37" t="str">
        <f t="array" ref="BL377">IF($A377="","", INDEX(CS!$B$1:$B$15025,MATCH($A377,CS!$B:$B,0)+COLUMN(F$1),1))</f>
        <v/>
      </c>
      <c r="BM377" s="37" t="str">
        <f t="array" ref="BM377">IF($A377="","", INDEX(CS!$B$1:$B$15025,MATCH($A377,CS!$B:$B,0)+COLUMN(G$1),1))</f>
        <v/>
      </c>
      <c r="BN377" s="37" t="str">
        <f t="array" ref="BN377">IF($A377="","", INDEX(CS!$B$1:$B$15025,MATCH($A377,CS!$B:$B,0)+COLUMN(H$1),1))</f>
        <v/>
      </c>
      <c r="BO377" s="37" t="str">
        <f t="array" ref="BO377">IF($A377="","", INDEX(CS!$B$1:$B$15025,MATCH($A377,CS!$B:$B,0)+COLUMN(I$1),1))</f>
        <v/>
      </c>
      <c r="BP377" s="37" t="str">
        <f t="array" ref="BP377">IF($A377="","", INDEX(CS!$B$1:$B$15025,MATCH($A377,CS!$B:$B,0)+COLUMN(J$1),1))</f>
        <v/>
      </c>
      <c r="BS377" s="74"/>
      <c r="CQ377" s="37"/>
      <c r="CR377" s="37"/>
    </row>
    <row r="378" ht="18.75" customHeight="1">
      <c r="B378" s="71"/>
      <c r="C378" s="37" t="s">
        <v>2900</v>
      </c>
      <c r="D378" s="72" t="str">
        <f t="shared" si="18"/>
        <v>0/0/0</v>
      </c>
      <c r="E378" s="37">
        <v>1.0</v>
      </c>
      <c r="K378" s="73"/>
      <c r="P378" s="37" t="s">
        <v>29</v>
      </c>
      <c r="Q378" s="64"/>
      <c r="R378" s="64"/>
      <c r="S378" s="64"/>
      <c r="T378" s="64"/>
      <c r="U378" s="64"/>
      <c r="V378" s="64"/>
      <c r="W378" s="64"/>
      <c r="X378" s="64"/>
      <c r="Y378" s="64"/>
      <c r="Z378" s="64"/>
      <c r="AA378" s="64"/>
      <c r="BG378" s="37" t="str">
        <f t="array" ref="BG378">IF($A378="","", INDEX(CS!$B$1:$B$15025,MATCH($A378,CS!$B:$B,0)+COLUMN(A$1),1))</f>
        <v/>
      </c>
      <c r="BH378" s="37" t="str">
        <f t="array" ref="BH378">IF($A378="","", INDEX(CS!$B$1:$B$15025,MATCH($A378,CS!$B:$B,0)+COLUMN(B$1),1))</f>
        <v/>
      </c>
      <c r="BI378" s="37" t="str">
        <f t="array" ref="BI378">IF($A378="","", INDEX(CS!$B$1:$B$15025,MATCH($A378,CS!$B:$B,0)+COLUMN(C$1),1))</f>
        <v/>
      </c>
      <c r="BJ378" s="37" t="str">
        <f t="array" ref="BJ378">IF($A378="","", INDEX(CS!$B$1:$B$15025,MATCH($A378,CS!$B:$B,0)+COLUMN(D$1),1))</f>
        <v/>
      </c>
      <c r="BK378" s="37" t="str">
        <f t="array" ref="BK378">IF($A378="","", INDEX(CS!$B$1:$B$15025,MATCH($A378,CS!$B:$B,0)+COLUMN(E$1),1))</f>
        <v/>
      </c>
      <c r="BL378" s="37" t="str">
        <f t="array" ref="BL378">IF($A378="","", INDEX(CS!$B$1:$B$15025,MATCH($A378,CS!$B:$B,0)+COLUMN(F$1),1))</f>
        <v/>
      </c>
      <c r="BM378" s="37" t="str">
        <f t="array" ref="BM378">IF($A378="","", INDEX(CS!$B$1:$B$15025,MATCH($A378,CS!$B:$B,0)+COLUMN(G$1),1))</f>
        <v/>
      </c>
      <c r="BN378" s="37" t="str">
        <f t="array" ref="BN378">IF($A378="","", INDEX(CS!$B$1:$B$15025,MATCH($A378,CS!$B:$B,0)+COLUMN(H$1),1))</f>
        <v/>
      </c>
      <c r="BO378" s="37" t="str">
        <f t="array" ref="BO378">IF($A378="","", INDEX(CS!$B$1:$B$15025,MATCH($A378,CS!$B:$B,0)+COLUMN(I$1),1))</f>
        <v/>
      </c>
      <c r="BP378" s="37" t="str">
        <f t="array" ref="BP378">IF($A378="","", INDEX(CS!$B$1:$B$15025,MATCH($A378,CS!$B:$B,0)+COLUMN(J$1),1))</f>
        <v/>
      </c>
      <c r="BS378" s="74"/>
      <c r="CQ378" s="37"/>
      <c r="CR378" s="37"/>
    </row>
    <row r="379" ht="18.75" customHeight="1">
      <c r="B379" s="71"/>
      <c r="C379" s="37" t="s">
        <v>2900</v>
      </c>
      <c r="D379" s="72" t="str">
        <f t="shared" si="18"/>
        <v>0/0/0</v>
      </c>
      <c r="E379" s="37">
        <v>1.0</v>
      </c>
      <c r="K379" s="73"/>
      <c r="P379" s="37" t="s">
        <v>29</v>
      </c>
      <c r="Q379" s="64"/>
      <c r="R379" s="64"/>
      <c r="S379" s="64"/>
      <c r="T379" s="64"/>
      <c r="U379" s="64"/>
      <c r="V379" s="64"/>
      <c r="W379" s="64"/>
      <c r="X379" s="64"/>
      <c r="Y379" s="64"/>
      <c r="Z379" s="64"/>
      <c r="AA379" s="64"/>
      <c r="BG379" s="37" t="str">
        <f t="array" ref="BG379">IF($A379="","", INDEX(CS!$B$1:$B$15025,MATCH($A379,CS!$B:$B,0)+COLUMN(A$1),1))</f>
        <v/>
      </c>
      <c r="BH379" s="37" t="str">
        <f t="array" ref="BH379">IF($A379="","", INDEX(CS!$B$1:$B$15025,MATCH($A379,CS!$B:$B,0)+COLUMN(B$1),1))</f>
        <v/>
      </c>
      <c r="BI379" s="37" t="str">
        <f t="array" ref="BI379">IF($A379="","", INDEX(CS!$B$1:$B$15025,MATCH($A379,CS!$B:$B,0)+COLUMN(C$1),1))</f>
        <v/>
      </c>
      <c r="BJ379" s="37" t="str">
        <f t="array" ref="BJ379">IF($A379="","", INDEX(CS!$B$1:$B$15025,MATCH($A379,CS!$B:$B,0)+COLUMN(D$1),1))</f>
        <v/>
      </c>
      <c r="BK379" s="37" t="str">
        <f t="array" ref="BK379">IF($A379="","", INDEX(CS!$B$1:$B$15025,MATCH($A379,CS!$B:$B,0)+COLUMN(E$1),1))</f>
        <v/>
      </c>
      <c r="BL379" s="37" t="str">
        <f t="array" ref="BL379">IF($A379="","", INDEX(CS!$B$1:$B$15025,MATCH($A379,CS!$B:$B,0)+COLUMN(F$1),1))</f>
        <v/>
      </c>
      <c r="BM379" s="37" t="str">
        <f t="array" ref="BM379">IF($A379="","", INDEX(CS!$B$1:$B$15025,MATCH($A379,CS!$B:$B,0)+COLUMN(G$1),1))</f>
        <v/>
      </c>
      <c r="BN379" s="37" t="str">
        <f t="array" ref="BN379">IF($A379="","", INDEX(CS!$B$1:$B$15025,MATCH($A379,CS!$B:$B,0)+COLUMN(H$1),1))</f>
        <v/>
      </c>
      <c r="BO379" s="37" t="str">
        <f t="array" ref="BO379">IF($A379="","", INDEX(CS!$B$1:$B$15025,MATCH($A379,CS!$B:$B,0)+COLUMN(I$1),1))</f>
        <v/>
      </c>
      <c r="BP379" s="37" t="str">
        <f t="array" ref="BP379">IF($A379="","", INDEX(CS!$B$1:$B$15025,MATCH($A379,CS!$B:$B,0)+COLUMN(J$1),1))</f>
        <v/>
      </c>
      <c r="BS379" s="74"/>
      <c r="CQ379" s="37"/>
      <c r="CR379" s="37"/>
    </row>
    <row r="380" ht="18.75" customHeight="1">
      <c r="B380" s="71"/>
      <c r="C380" s="37" t="s">
        <v>2900</v>
      </c>
      <c r="D380" s="72" t="str">
        <f t="shared" si="18"/>
        <v>0/0/0</v>
      </c>
      <c r="E380" s="37">
        <v>1.0</v>
      </c>
      <c r="K380" s="73"/>
      <c r="P380" s="37" t="s">
        <v>29</v>
      </c>
      <c r="Q380" s="64"/>
      <c r="R380" s="64"/>
      <c r="S380" s="64"/>
      <c r="T380" s="64"/>
      <c r="U380" s="64"/>
      <c r="V380" s="64"/>
      <c r="W380" s="64"/>
      <c r="X380" s="64"/>
      <c r="Y380" s="64"/>
      <c r="Z380" s="64"/>
      <c r="AA380" s="64"/>
      <c r="BG380" s="37" t="str">
        <f t="array" ref="BG380">IF($A380="","", INDEX(CS!$B$1:$B$15025,MATCH($A380,CS!$B:$B,0)+COLUMN(A$1),1))</f>
        <v/>
      </c>
      <c r="BH380" s="37" t="str">
        <f t="array" ref="BH380">IF($A380="","", INDEX(CS!$B$1:$B$15025,MATCH($A380,CS!$B:$B,0)+COLUMN(B$1),1))</f>
        <v/>
      </c>
      <c r="BI380" s="37" t="str">
        <f t="array" ref="BI380">IF($A380="","", INDEX(CS!$B$1:$B$15025,MATCH($A380,CS!$B:$B,0)+COLUMN(C$1),1))</f>
        <v/>
      </c>
      <c r="BJ380" s="37" t="str">
        <f t="array" ref="BJ380">IF($A380="","", INDEX(CS!$B$1:$B$15025,MATCH($A380,CS!$B:$B,0)+COLUMN(D$1),1))</f>
        <v/>
      </c>
      <c r="BK380" s="37" t="str">
        <f t="array" ref="BK380">IF($A380="","", INDEX(CS!$B$1:$B$15025,MATCH($A380,CS!$B:$B,0)+COLUMN(E$1),1))</f>
        <v/>
      </c>
      <c r="BL380" s="37" t="str">
        <f t="array" ref="BL380">IF($A380="","", INDEX(CS!$B$1:$B$15025,MATCH($A380,CS!$B:$B,0)+COLUMN(F$1),1))</f>
        <v/>
      </c>
      <c r="BM380" s="37" t="str">
        <f t="array" ref="BM380">IF($A380="","", INDEX(CS!$B$1:$B$15025,MATCH($A380,CS!$B:$B,0)+COLUMN(G$1),1))</f>
        <v/>
      </c>
      <c r="BN380" s="37" t="str">
        <f t="array" ref="BN380">IF($A380="","", INDEX(CS!$B$1:$B$15025,MATCH($A380,CS!$B:$B,0)+COLUMN(H$1),1))</f>
        <v/>
      </c>
      <c r="BO380" s="37" t="str">
        <f t="array" ref="BO380">IF($A380="","", INDEX(CS!$B$1:$B$15025,MATCH($A380,CS!$B:$B,0)+COLUMN(I$1),1))</f>
        <v/>
      </c>
      <c r="BP380" s="37" t="str">
        <f t="array" ref="BP380">IF($A380="","", INDEX(CS!$B$1:$B$15025,MATCH($A380,CS!$B:$B,0)+COLUMN(J$1),1))</f>
        <v/>
      </c>
      <c r="BS380" s="74"/>
      <c r="CQ380" s="37"/>
      <c r="CR380" s="37"/>
    </row>
    <row r="381" ht="18.75" customHeight="1">
      <c r="B381" s="71"/>
      <c r="C381" s="37" t="s">
        <v>2900</v>
      </c>
      <c r="D381" s="72" t="str">
        <f t="shared" si="18"/>
        <v>0/0/0</v>
      </c>
      <c r="E381" s="37">
        <v>1.0</v>
      </c>
      <c r="K381" s="73"/>
      <c r="P381" s="37" t="s">
        <v>29</v>
      </c>
      <c r="Q381" s="64"/>
      <c r="R381" s="64"/>
      <c r="S381" s="64"/>
      <c r="T381" s="64"/>
      <c r="U381" s="64"/>
      <c r="V381" s="64"/>
      <c r="W381" s="64"/>
      <c r="X381" s="64"/>
      <c r="Y381" s="64"/>
      <c r="Z381" s="64"/>
      <c r="AA381" s="64"/>
      <c r="BG381" s="37" t="str">
        <f t="array" ref="BG381">IF($A381="","", INDEX(CS!$B$1:$B$15025,MATCH($A381,CS!$B:$B,0)+COLUMN(A$1),1))</f>
        <v/>
      </c>
      <c r="BH381" s="37" t="str">
        <f t="array" ref="BH381">IF($A381="","", INDEX(CS!$B$1:$B$15025,MATCH($A381,CS!$B:$B,0)+COLUMN(B$1),1))</f>
        <v/>
      </c>
      <c r="BI381" s="37" t="str">
        <f t="array" ref="BI381">IF($A381="","", INDEX(CS!$B$1:$B$15025,MATCH($A381,CS!$B:$B,0)+COLUMN(C$1),1))</f>
        <v/>
      </c>
      <c r="BJ381" s="37" t="str">
        <f t="array" ref="BJ381">IF($A381="","", INDEX(CS!$B$1:$B$15025,MATCH($A381,CS!$B:$B,0)+COLUMN(D$1),1))</f>
        <v/>
      </c>
      <c r="BK381" s="37" t="str">
        <f t="array" ref="BK381">IF($A381="","", INDEX(CS!$B$1:$B$15025,MATCH($A381,CS!$B:$B,0)+COLUMN(E$1),1))</f>
        <v/>
      </c>
      <c r="BL381" s="37" t="str">
        <f t="array" ref="BL381">IF($A381="","", INDEX(CS!$B$1:$B$15025,MATCH($A381,CS!$B:$B,0)+COLUMN(F$1),1))</f>
        <v/>
      </c>
      <c r="BM381" s="37" t="str">
        <f t="array" ref="BM381">IF($A381="","", INDEX(CS!$B$1:$B$15025,MATCH($A381,CS!$B:$B,0)+COLUMN(G$1),1))</f>
        <v/>
      </c>
      <c r="BN381" s="37" t="str">
        <f t="array" ref="BN381">IF($A381="","", INDEX(CS!$B$1:$B$15025,MATCH($A381,CS!$B:$B,0)+COLUMN(H$1),1))</f>
        <v/>
      </c>
      <c r="BO381" s="37" t="str">
        <f t="array" ref="BO381">IF($A381="","", INDEX(CS!$B$1:$B$15025,MATCH($A381,CS!$B:$B,0)+COLUMN(I$1),1))</f>
        <v/>
      </c>
      <c r="BP381" s="37" t="str">
        <f t="array" ref="BP381">IF($A381="","", INDEX(CS!$B$1:$B$15025,MATCH($A381,CS!$B:$B,0)+COLUMN(J$1),1))</f>
        <v/>
      </c>
      <c r="BS381" s="74"/>
      <c r="CQ381" s="37"/>
      <c r="CR381" s="37"/>
    </row>
    <row r="382" ht="18.75" customHeight="1">
      <c r="B382" s="71"/>
      <c r="C382" s="37" t="s">
        <v>2900</v>
      </c>
      <c r="D382" s="72" t="str">
        <f t="shared" si="18"/>
        <v>0/0/0</v>
      </c>
      <c r="E382" s="37">
        <v>1.0</v>
      </c>
      <c r="K382" s="73"/>
      <c r="P382" s="37" t="s">
        <v>29</v>
      </c>
      <c r="Q382" s="64"/>
      <c r="R382" s="64"/>
      <c r="S382" s="64"/>
      <c r="T382" s="64"/>
      <c r="U382" s="64"/>
      <c r="V382" s="64"/>
      <c r="W382" s="64"/>
      <c r="X382" s="64"/>
      <c r="Y382" s="64"/>
      <c r="Z382" s="64"/>
      <c r="AA382" s="64"/>
      <c r="BG382" s="37" t="str">
        <f t="array" ref="BG382">IF($A382="","", INDEX(CS!$B$1:$B$15025,MATCH($A382,CS!$B:$B,0)+COLUMN(A$1),1))</f>
        <v/>
      </c>
      <c r="BH382" s="37" t="str">
        <f t="array" ref="BH382">IF($A382="","", INDEX(CS!$B$1:$B$15025,MATCH($A382,CS!$B:$B,0)+COLUMN(B$1),1))</f>
        <v/>
      </c>
      <c r="BI382" s="37" t="str">
        <f t="array" ref="BI382">IF($A382="","", INDEX(CS!$B$1:$B$15025,MATCH($A382,CS!$B:$B,0)+COLUMN(C$1),1))</f>
        <v/>
      </c>
      <c r="BJ382" s="37" t="str">
        <f t="array" ref="BJ382">IF($A382="","", INDEX(CS!$B$1:$B$15025,MATCH($A382,CS!$B:$B,0)+COLUMN(D$1),1))</f>
        <v/>
      </c>
      <c r="BK382" s="37" t="str">
        <f t="array" ref="BK382">IF($A382="","", INDEX(CS!$B$1:$B$15025,MATCH($A382,CS!$B:$B,0)+COLUMN(E$1),1))</f>
        <v/>
      </c>
      <c r="BL382" s="37" t="str">
        <f t="array" ref="BL382">IF($A382="","", INDEX(CS!$B$1:$B$15025,MATCH($A382,CS!$B:$B,0)+COLUMN(F$1),1))</f>
        <v/>
      </c>
      <c r="BM382" s="37" t="str">
        <f t="array" ref="BM382">IF($A382="","", INDEX(CS!$B$1:$B$15025,MATCH($A382,CS!$B:$B,0)+COLUMN(G$1),1))</f>
        <v/>
      </c>
      <c r="BN382" s="37" t="str">
        <f t="array" ref="BN382">IF($A382="","", INDEX(CS!$B$1:$B$15025,MATCH($A382,CS!$B:$B,0)+COLUMN(H$1),1))</f>
        <v/>
      </c>
      <c r="BO382" s="37" t="str">
        <f t="array" ref="BO382">IF($A382="","", INDEX(CS!$B$1:$B$15025,MATCH($A382,CS!$B:$B,0)+COLUMN(I$1),1))</f>
        <v/>
      </c>
      <c r="BP382" s="37" t="str">
        <f t="array" ref="BP382">IF($A382="","", INDEX(CS!$B$1:$B$15025,MATCH($A382,CS!$B:$B,0)+COLUMN(J$1),1))</f>
        <v/>
      </c>
      <c r="BS382" s="74"/>
      <c r="CQ382" s="37"/>
      <c r="CR382" s="37"/>
    </row>
    <row r="383" ht="18.75" customHeight="1">
      <c r="B383" s="71"/>
      <c r="C383" s="37" t="s">
        <v>2900</v>
      </c>
      <c r="D383" s="72" t="str">
        <f t="shared" si="18"/>
        <v>0/0/0</v>
      </c>
      <c r="E383" s="37">
        <v>1.0</v>
      </c>
      <c r="K383" s="73"/>
      <c r="P383" s="37" t="s">
        <v>29</v>
      </c>
      <c r="Q383" s="64"/>
      <c r="R383" s="64"/>
      <c r="S383" s="64"/>
      <c r="T383" s="64"/>
      <c r="U383" s="64"/>
      <c r="V383" s="64"/>
      <c r="W383" s="64"/>
      <c r="X383" s="64"/>
      <c r="Y383" s="64"/>
      <c r="Z383" s="64"/>
      <c r="AA383" s="64"/>
      <c r="BG383" s="37" t="str">
        <f t="array" ref="BG383">IF($A383="","", INDEX(CS!$B$1:$B$15025,MATCH($A383,CS!$B:$B,0)+COLUMN(A$1),1))</f>
        <v/>
      </c>
      <c r="BH383" s="37" t="str">
        <f t="array" ref="BH383">IF($A383="","", INDEX(CS!$B$1:$B$15025,MATCH($A383,CS!$B:$B,0)+COLUMN(B$1),1))</f>
        <v/>
      </c>
      <c r="BI383" s="37" t="str">
        <f t="array" ref="BI383">IF($A383="","", INDEX(CS!$B$1:$B$15025,MATCH($A383,CS!$B:$B,0)+COLUMN(C$1),1))</f>
        <v/>
      </c>
      <c r="BJ383" s="37" t="str">
        <f t="array" ref="BJ383">IF($A383="","", INDEX(CS!$B$1:$B$15025,MATCH($A383,CS!$B:$B,0)+COLUMN(D$1),1))</f>
        <v/>
      </c>
      <c r="BK383" s="37" t="str">
        <f t="array" ref="BK383">IF($A383="","", INDEX(CS!$B$1:$B$15025,MATCH($A383,CS!$B:$B,0)+COLUMN(E$1),1))</f>
        <v/>
      </c>
      <c r="BL383" s="37" t="str">
        <f t="array" ref="BL383">IF($A383="","", INDEX(CS!$B$1:$B$15025,MATCH($A383,CS!$B:$B,0)+COLUMN(F$1),1))</f>
        <v/>
      </c>
      <c r="BM383" s="37" t="str">
        <f t="array" ref="BM383">IF($A383="","", INDEX(CS!$B$1:$B$15025,MATCH($A383,CS!$B:$B,0)+COLUMN(G$1),1))</f>
        <v/>
      </c>
      <c r="BN383" s="37" t="str">
        <f t="array" ref="BN383">IF($A383="","", INDEX(CS!$B$1:$B$15025,MATCH($A383,CS!$B:$B,0)+COLUMN(H$1),1))</f>
        <v/>
      </c>
      <c r="BO383" s="37" t="str">
        <f t="array" ref="BO383">IF($A383="","", INDEX(CS!$B$1:$B$15025,MATCH($A383,CS!$B:$B,0)+COLUMN(I$1),1))</f>
        <v/>
      </c>
      <c r="BP383" s="37" t="str">
        <f t="array" ref="BP383">IF($A383="","", INDEX(CS!$B$1:$B$15025,MATCH($A383,CS!$B:$B,0)+COLUMN(J$1),1))</f>
        <v/>
      </c>
      <c r="BS383" s="74"/>
      <c r="CQ383" s="37"/>
      <c r="CR383" s="37"/>
    </row>
    <row r="384" ht="18.75" customHeight="1">
      <c r="B384" s="71"/>
      <c r="C384" s="37" t="s">
        <v>2900</v>
      </c>
      <c r="D384" s="72" t="str">
        <f t="shared" si="18"/>
        <v>0/0/0</v>
      </c>
      <c r="E384" s="37">
        <v>1.0</v>
      </c>
      <c r="K384" s="73"/>
      <c r="P384" s="37" t="s">
        <v>29</v>
      </c>
      <c r="Q384" s="64"/>
      <c r="R384" s="64"/>
      <c r="S384" s="64"/>
      <c r="T384" s="64"/>
      <c r="U384" s="64"/>
      <c r="V384" s="64"/>
      <c r="W384" s="64"/>
      <c r="X384" s="64"/>
      <c r="Y384" s="64"/>
      <c r="Z384" s="64"/>
      <c r="AA384" s="64"/>
      <c r="BG384" s="37" t="str">
        <f t="array" ref="BG384">IF($A384="","", INDEX(CS!$B$1:$B$15025,MATCH($A384,CS!$B:$B,0)+COLUMN(A$1),1))</f>
        <v/>
      </c>
      <c r="BH384" s="37" t="str">
        <f t="array" ref="BH384">IF($A384="","", INDEX(CS!$B$1:$B$15025,MATCH($A384,CS!$B:$B,0)+COLUMN(B$1),1))</f>
        <v/>
      </c>
      <c r="BI384" s="37" t="str">
        <f t="array" ref="BI384">IF($A384="","", INDEX(CS!$B$1:$B$15025,MATCH($A384,CS!$B:$B,0)+COLUMN(C$1),1))</f>
        <v/>
      </c>
      <c r="BJ384" s="37" t="str">
        <f t="array" ref="BJ384">IF($A384="","", INDEX(CS!$B$1:$B$15025,MATCH($A384,CS!$B:$B,0)+COLUMN(D$1),1))</f>
        <v/>
      </c>
      <c r="BK384" s="37" t="str">
        <f t="array" ref="BK384">IF($A384="","", INDEX(CS!$B$1:$B$15025,MATCH($A384,CS!$B:$B,0)+COLUMN(E$1),1))</f>
        <v/>
      </c>
      <c r="BL384" s="37" t="str">
        <f t="array" ref="BL384">IF($A384="","", INDEX(CS!$B$1:$B$15025,MATCH($A384,CS!$B:$B,0)+COLUMN(F$1),1))</f>
        <v/>
      </c>
      <c r="BM384" s="37" t="str">
        <f t="array" ref="BM384">IF($A384="","", INDEX(CS!$B$1:$B$15025,MATCH($A384,CS!$B:$B,0)+COLUMN(G$1),1))</f>
        <v/>
      </c>
      <c r="BN384" s="37" t="str">
        <f t="array" ref="BN384">IF($A384="","", INDEX(CS!$B$1:$B$15025,MATCH($A384,CS!$B:$B,0)+COLUMN(H$1),1))</f>
        <v/>
      </c>
      <c r="BO384" s="37" t="str">
        <f t="array" ref="BO384">IF($A384="","", INDEX(CS!$B$1:$B$15025,MATCH($A384,CS!$B:$B,0)+COLUMN(I$1),1))</f>
        <v/>
      </c>
      <c r="BP384" s="37" t="str">
        <f t="array" ref="BP384">IF($A384="","", INDEX(CS!$B$1:$B$15025,MATCH($A384,CS!$B:$B,0)+COLUMN(J$1),1))</f>
        <v/>
      </c>
      <c r="BS384" s="74"/>
      <c r="CQ384" s="37"/>
      <c r="CR384" s="37"/>
    </row>
    <row r="385" ht="18.75" customHeight="1">
      <c r="B385" s="71"/>
      <c r="C385" s="37" t="s">
        <v>2900</v>
      </c>
      <c r="D385" s="72" t="str">
        <f t="shared" si="18"/>
        <v>0/0/0</v>
      </c>
      <c r="E385" s="37">
        <v>1.0</v>
      </c>
      <c r="K385" s="73"/>
      <c r="P385" s="37" t="s">
        <v>29</v>
      </c>
      <c r="Q385" s="64"/>
      <c r="R385" s="64"/>
      <c r="S385" s="64"/>
      <c r="T385" s="64"/>
      <c r="U385" s="64"/>
      <c r="V385" s="64"/>
      <c r="W385" s="64"/>
      <c r="X385" s="64"/>
      <c r="Y385" s="64"/>
      <c r="Z385" s="64"/>
      <c r="AA385" s="64"/>
      <c r="BG385" s="37" t="str">
        <f t="array" ref="BG385">IF($A385="","", INDEX(CS!$B$1:$B$15025,MATCH($A385,CS!$B:$B,0)+COLUMN(A$1),1))</f>
        <v/>
      </c>
      <c r="BH385" s="37" t="str">
        <f t="array" ref="BH385">IF($A385="","", INDEX(CS!$B$1:$B$15025,MATCH($A385,CS!$B:$B,0)+COLUMN(B$1),1))</f>
        <v/>
      </c>
      <c r="BI385" s="37" t="str">
        <f t="array" ref="BI385">IF($A385="","", INDEX(CS!$B$1:$B$15025,MATCH($A385,CS!$B:$B,0)+COLUMN(C$1),1))</f>
        <v/>
      </c>
      <c r="BJ385" s="37" t="str">
        <f t="array" ref="BJ385">IF($A385="","", INDEX(CS!$B$1:$B$15025,MATCH($A385,CS!$B:$B,0)+COLUMN(D$1),1))</f>
        <v/>
      </c>
      <c r="BK385" s="37" t="str">
        <f t="array" ref="BK385">IF($A385="","", INDEX(CS!$B$1:$B$15025,MATCH($A385,CS!$B:$B,0)+COLUMN(E$1),1))</f>
        <v/>
      </c>
      <c r="BL385" s="37" t="str">
        <f t="array" ref="BL385">IF($A385="","", INDEX(CS!$B$1:$B$15025,MATCH($A385,CS!$B:$B,0)+COLUMN(F$1),1))</f>
        <v/>
      </c>
      <c r="BM385" s="37" t="str">
        <f t="array" ref="BM385">IF($A385="","", INDEX(CS!$B$1:$B$15025,MATCH($A385,CS!$B:$B,0)+COLUMN(G$1),1))</f>
        <v/>
      </c>
      <c r="BN385" s="37" t="str">
        <f t="array" ref="BN385">IF($A385="","", INDEX(CS!$B$1:$B$15025,MATCH($A385,CS!$B:$B,0)+COLUMN(H$1),1))</f>
        <v/>
      </c>
      <c r="BO385" s="37" t="str">
        <f t="array" ref="BO385">IF($A385="","", INDEX(CS!$B$1:$B$15025,MATCH($A385,CS!$B:$B,0)+COLUMN(I$1),1))</f>
        <v/>
      </c>
      <c r="BP385" s="37" t="str">
        <f t="array" ref="BP385">IF($A385="","", INDEX(CS!$B$1:$B$15025,MATCH($A385,CS!$B:$B,0)+COLUMN(J$1),1))</f>
        <v/>
      </c>
      <c r="BS385" s="74"/>
      <c r="CQ385" s="37"/>
      <c r="CR385" s="37"/>
    </row>
    <row r="386" ht="18.75" customHeight="1">
      <c r="B386" s="71"/>
      <c r="C386" s="37" t="s">
        <v>2900</v>
      </c>
      <c r="D386" s="72" t="str">
        <f t="shared" si="18"/>
        <v>0/0/0</v>
      </c>
      <c r="E386" s="37">
        <v>1.0</v>
      </c>
      <c r="K386" s="73"/>
      <c r="P386" s="37" t="s">
        <v>29</v>
      </c>
      <c r="Q386" s="64"/>
      <c r="R386" s="64"/>
      <c r="S386" s="64"/>
      <c r="T386" s="64"/>
      <c r="U386" s="64"/>
      <c r="V386" s="64"/>
      <c r="W386" s="64"/>
      <c r="X386" s="64"/>
      <c r="Y386" s="64"/>
      <c r="Z386" s="64"/>
      <c r="AA386" s="64"/>
      <c r="BG386" s="37" t="str">
        <f t="array" ref="BG386">IF($A386="","", INDEX(CS!$B$1:$B$15025,MATCH($A386,CS!$B:$B,0)+COLUMN(A$1),1))</f>
        <v/>
      </c>
      <c r="BH386" s="37" t="str">
        <f t="array" ref="BH386">IF($A386="","", INDEX(CS!$B$1:$B$15025,MATCH($A386,CS!$B:$B,0)+COLUMN(B$1),1))</f>
        <v/>
      </c>
      <c r="BI386" s="37" t="str">
        <f t="array" ref="BI386">IF($A386="","", INDEX(CS!$B$1:$B$15025,MATCH($A386,CS!$B:$B,0)+COLUMN(C$1),1))</f>
        <v/>
      </c>
      <c r="BJ386" s="37" t="str">
        <f t="array" ref="BJ386">IF($A386="","", INDEX(CS!$B$1:$B$15025,MATCH($A386,CS!$B:$B,0)+COLUMN(D$1),1))</f>
        <v/>
      </c>
      <c r="BK386" s="37" t="str">
        <f t="array" ref="BK386">IF($A386="","", INDEX(CS!$B$1:$B$15025,MATCH($A386,CS!$B:$B,0)+COLUMN(E$1),1))</f>
        <v/>
      </c>
      <c r="BL386" s="37" t="str">
        <f t="array" ref="BL386">IF($A386="","", INDEX(CS!$B$1:$B$15025,MATCH($A386,CS!$B:$B,0)+COLUMN(F$1),1))</f>
        <v/>
      </c>
      <c r="BM386" s="37" t="str">
        <f t="array" ref="BM386">IF($A386="","", INDEX(CS!$B$1:$B$15025,MATCH($A386,CS!$B:$B,0)+COLUMN(G$1),1))</f>
        <v/>
      </c>
      <c r="BN386" s="37" t="str">
        <f t="array" ref="BN386">IF($A386="","", INDEX(CS!$B$1:$B$15025,MATCH($A386,CS!$B:$B,0)+COLUMN(H$1),1))</f>
        <v/>
      </c>
      <c r="BO386" s="37" t="str">
        <f t="array" ref="BO386">IF($A386="","", INDEX(CS!$B$1:$B$15025,MATCH($A386,CS!$B:$B,0)+COLUMN(I$1),1))</f>
        <v/>
      </c>
      <c r="BP386" s="37" t="str">
        <f t="array" ref="BP386">IF($A386="","", INDEX(CS!$B$1:$B$15025,MATCH($A386,CS!$B:$B,0)+COLUMN(J$1),1))</f>
        <v/>
      </c>
      <c r="BS386" s="74"/>
      <c r="CQ386" s="37"/>
      <c r="CR386" s="37"/>
    </row>
    <row r="387" ht="18.75" customHeight="1">
      <c r="B387" s="71"/>
      <c r="C387" s="37" t="s">
        <v>2900</v>
      </c>
      <c r="D387" s="72" t="str">
        <f t="shared" si="18"/>
        <v>0/0/0</v>
      </c>
      <c r="E387" s="37">
        <v>1.0</v>
      </c>
      <c r="K387" s="73"/>
      <c r="P387" s="37" t="s">
        <v>29</v>
      </c>
      <c r="Q387" s="64"/>
      <c r="R387" s="64"/>
      <c r="S387" s="64"/>
      <c r="T387" s="64"/>
      <c r="U387" s="64"/>
      <c r="V387" s="64"/>
      <c r="W387" s="64"/>
      <c r="X387" s="64"/>
      <c r="Y387" s="64"/>
      <c r="Z387" s="64"/>
      <c r="AA387" s="64"/>
      <c r="BG387" s="37" t="str">
        <f t="array" ref="BG387">IF($A387="","", INDEX(CS!$B$1:$B$15025,MATCH($A387,CS!$B:$B,0)+COLUMN(A$1),1))</f>
        <v/>
      </c>
      <c r="BH387" s="37" t="str">
        <f t="array" ref="BH387">IF($A387="","", INDEX(CS!$B$1:$B$15025,MATCH($A387,CS!$B:$B,0)+COLUMN(B$1),1))</f>
        <v/>
      </c>
      <c r="BI387" s="37" t="str">
        <f t="array" ref="BI387">IF($A387="","", INDEX(CS!$B$1:$B$15025,MATCH($A387,CS!$B:$B,0)+COLUMN(C$1),1))</f>
        <v/>
      </c>
      <c r="BJ387" s="37" t="str">
        <f t="array" ref="BJ387">IF($A387="","", INDEX(CS!$B$1:$B$15025,MATCH($A387,CS!$B:$B,0)+COLUMN(D$1),1))</f>
        <v/>
      </c>
      <c r="BK387" s="37" t="str">
        <f t="array" ref="BK387">IF($A387="","", INDEX(CS!$B$1:$B$15025,MATCH($A387,CS!$B:$B,0)+COLUMN(E$1),1))</f>
        <v/>
      </c>
      <c r="BL387" s="37" t="str">
        <f t="array" ref="BL387">IF($A387="","", INDEX(CS!$B$1:$B$15025,MATCH($A387,CS!$B:$B,0)+COLUMN(F$1),1))</f>
        <v/>
      </c>
      <c r="BM387" s="37" t="str">
        <f t="array" ref="BM387">IF($A387="","", INDEX(CS!$B$1:$B$15025,MATCH($A387,CS!$B:$B,0)+COLUMN(G$1),1))</f>
        <v/>
      </c>
      <c r="BN387" s="37" t="str">
        <f t="array" ref="BN387">IF($A387="","", INDEX(CS!$B$1:$B$15025,MATCH($A387,CS!$B:$B,0)+COLUMN(H$1),1))</f>
        <v/>
      </c>
      <c r="BO387" s="37" t="str">
        <f t="array" ref="BO387">IF($A387="","", INDEX(CS!$B$1:$B$15025,MATCH($A387,CS!$B:$B,0)+COLUMN(I$1),1))</f>
        <v/>
      </c>
      <c r="BP387" s="37" t="str">
        <f t="array" ref="BP387">IF($A387="","", INDEX(CS!$B$1:$B$15025,MATCH($A387,CS!$B:$B,0)+COLUMN(J$1),1))</f>
        <v/>
      </c>
      <c r="BS387" s="74"/>
      <c r="CQ387" s="37"/>
      <c r="CR387" s="37"/>
    </row>
    <row r="388" ht="18.75" customHeight="1">
      <c r="B388" s="71"/>
      <c r="C388" s="37" t="s">
        <v>2900</v>
      </c>
      <c r="D388" s="72" t="str">
        <f t="shared" si="18"/>
        <v>0/0/0</v>
      </c>
      <c r="E388" s="37">
        <v>1.0</v>
      </c>
      <c r="K388" s="73"/>
      <c r="P388" s="37" t="s">
        <v>29</v>
      </c>
      <c r="Q388" s="64"/>
      <c r="R388" s="64"/>
      <c r="S388" s="64"/>
      <c r="T388" s="64"/>
      <c r="U388" s="64"/>
      <c r="V388" s="64"/>
      <c r="W388" s="64"/>
      <c r="X388" s="64"/>
      <c r="Y388" s="64"/>
      <c r="Z388" s="64"/>
      <c r="AA388" s="64"/>
      <c r="BG388" s="37" t="str">
        <f t="array" ref="BG388">IF($A388="","", INDEX(CS!$B$1:$B$15025,MATCH($A388,CS!$B:$B,0)+COLUMN(A$1),1))</f>
        <v/>
      </c>
      <c r="BH388" s="37" t="str">
        <f t="array" ref="BH388">IF($A388="","", INDEX(CS!$B$1:$B$15025,MATCH($A388,CS!$B:$B,0)+COLUMN(B$1),1))</f>
        <v/>
      </c>
      <c r="BI388" s="37" t="str">
        <f t="array" ref="BI388">IF($A388="","", INDEX(CS!$B$1:$B$15025,MATCH($A388,CS!$B:$B,0)+COLUMN(C$1),1))</f>
        <v/>
      </c>
      <c r="BJ388" s="37" t="str">
        <f t="array" ref="BJ388">IF($A388="","", INDEX(CS!$B$1:$B$15025,MATCH($A388,CS!$B:$B,0)+COLUMN(D$1),1))</f>
        <v/>
      </c>
      <c r="BK388" s="37" t="str">
        <f t="array" ref="BK388">IF($A388="","", INDEX(CS!$B$1:$B$15025,MATCH($A388,CS!$B:$B,0)+COLUMN(E$1),1))</f>
        <v/>
      </c>
      <c r="BL388" s="37" t="str">
        <f t="array" ref="BL388">IF($A388="","", INDEX(CS!$B$1:$B$15025,MATCH($A388,CS!$B:$B,0)+COLUMN(F$1),1))</f>
        <v/>
      </c>
      <c r="BM388" s="37" t="str">
        <f t="array" ref="BM388">IF($A388="","", INDEX(CS!$B$1:$B$15025,MATCH($A388,CS!$B:$B,0)+COLUMN(G$1),1))</f>
        <v/>
      </c>
      <c r="BN388" s="37" t="str">
        <f t="array" ref="BN388">IF($A388="","", INDEX(CS!$B$1:$B$15025,MATCH($A388,CS!$B:$B,0)+COLUMN(H$1),1))</f>
        <v/>
      </c>
      <c r="BO388" s="37" t="str">
        <f t="array" ref="BO388">IF($A388="","", INDEX(CS!$B$1:$B$15025,MATCH($A388,CS!$B:$B,0)+COLUMN(I$1),1))</f>
        <v/>
      </c>
      <c r="BP388" s="37" t="str">
        <f t="array" ref="BP388">IF($A388="","", INDEX(CS!$B$1:$B$15025,MATCH($A388,CS!$B:$B,0)+COLUMN(J$1),1))</f>
        <v/>
      </c>
      <c r="BS388" s="74"/>
      <c r="CQ388" s="37"/>
      <c r="CR388" s="37"/>
    </row>
    <row r="389" ht="18.75" customHeight="1">
      <c r="B389" s="71"/>
      <c r="C389" s="37" t="s">
        <v>2900</v>
      </c>
      <c r="D389" s="72" t="str">
        <f t="shared" si="18"/>
        <v>0/0/0</v>
      </c>
      <c r="E389" s="37">
        <v>1.0</v>
      </c>
      <c r="K389" s="73"/>
      <c r="P389" s="37" t="s">
        <v>29</v>
      </c>
      <c r="Q389" s="64"/>
      <c r="R389" s="64"/>
      <c r="S389" s="64"/>
      <c r="T389" s="64"/>
      <c r="U389" s="64"/>
      <c r="V389" s="64"/>
      <c r="W389" s="64"/>
      <c r="X389" s="64"/>
      <c r="Y389" s="64"/>
      <c r="Z389" s="64"/>
      <c r="AA389" s="64"/>
      <c r="BG389" s="37" t="str">
        <f t="array" ref="BG389">IF($A389="","", INDEX(CS!$B$1:$B$15025,MATCH($A389,CS!$B:$B,0)+COLUMN(A$1),1))</f>
        <v/>
      </c>
      <c r="BH389" s="37" t="str">
        <f t="array" ref="BH389">IF($A389="","", INDEX(CS!$B$1:$B$15025,MATCH($A389,CS!$B:$B,0)+COLUMN(B$1),1))</f>
        <v/>
      </c>
      <c r="BI389" s="37" t="str">
        <f t="array" ref="BI389">IF($A389="","", INDEX(CS!$B$1:$B$15025,MATCH($A389,CS!$B:$B,0)+COLUMN(C$1),1))</f>
        <v/>
      </c>
      <c r="BJ389" s="37" t="str">
        <f t="array" ref="BJ389">IF($A389="","", INDEX(CS!$B$1:$B$15025,MATCH($A389,CS!$B:$B,0)+COLUMN(D$1),1))</f>
        <v/>
      </c>
      <c r="BK389" s="37" t="str">
        <f t="array" ref="BK389">IF($A389="","", INDEX(CS!$B$1:$B$15025,MATCH($A389,CS!$B:$B,0)+COLUMN(E$1),1))</f>
        <v/>
      </c>
      <c r="BL389" s="37" t="str">
        <f t="array" ref="BL389">IF($A389="","", INDEX(CS!$B$1:$B$15025,MATCH($A389,CS!$B:$B,0)+COLUMN(F$1),1))</f>
        <v/>
      </c>
      <c r="BM389" s="37" t="str">
        <f t="array" ref="BM389">IF($A389="","", INDEX(CS!$B$1:$B$15025,MATCH($A389,CS!$B:$B,0)+COLUMN(G$1),1))</f>
        <v/>
      </c>
      <c r="BN389" s="37" t="str">
        <f t="array" ref="BN389">IF($A389="","", INDEX(CS!$B$1:$B$15025,MATCH($A389,CS!$B:$B,0)+COLUMN(H$1),1))</f>
        <v/>
      </c>
      <c r="BO389" s="37" t="str">
        <f t="array" ref="BO389">IF($A389="","", INDEX(CS!$B$1:$B$15025,MATCH($A389,CS!$B:$B,0)+COLUMN(I$1),1))</f>
        <v/>
      </c>
      <c r="BP389" s="37" t="str">
        <f t="array" ref="BP389">IF($A389="","", INDEX(CS!$B$1:$B$15025,MATCH($A389,CS!$B:$B,0)+COLUMN(J$1),1))</f>
        <v/>
      </c>
      <c r="BS389" s="74"/>
      <c r="CQ389" s="37"/>
      <c r="CR389" s="37"/>
    </row>
    <row r="390" ht="18.75" customHeight="1">
      <c r="B390" s="71"/>
      <c r="C390" s="37" t="s">
        <v>2900</v>
      </c>
      <c r="D390" s="72" t="str">
        <f t="shared" si="18"/>
        <v>0/0/0</v>
      </c>
      <c r="E390" s="37">
        <v>1.0</v>
      </c>
      <c r="K390" s="73"/>
      <c r="P390" s="37" t="s">
        <v>29</v>
      </c>
      <c r="Q390" s="64"/>
      <c r="R390" s="64"/>
      <c r="S390" s="64"/>
      <c r="T390" s="64"/>
      <c r="U390" s="64"/>
      <c r="V390" s="64"/>
      <c r="W390" s="64"/>
      <c r="X390" s="64"/>
      <c r="Y390" s="64"/>
      <c r="Z390" s="64"/>
      <c r="AA390" s="64"/>
      <c r="BG390" s="37" t="str">
        <f t="array" ref="BG390">IF($A390="","", INDEX(CS!$B$1:$B$15025,MATCH($A390,CS!$B:$B,0)+COLUMN(A$1),1))</f>
        <v/>
      </c>
      <c r="BH390" s="37" t="str">
        <f t="array" ref="BH390">IF($A390="","", INDEX(CS!$B$1:$B$15025,MATCH($A390,CS!$B:$B,0)+COLUMN(B$1),1))</f>
        <v/>
      </c>
      <c r="BI390" s="37" t="str">
        <f t="array" ref="BI390">IF($A390="","", INDEX(CS!$B$1:$B$15025,MATCH($A390,CS!$B:$B,0)+COLUMN(C$1),1))</f>
        <v/>
      </c>
      <c r="BJ390" s="37" t="str">
        <f t="array" ref="BJ390">IF($A390="","", INDEX(CS!$B$1:$B$15025,MATCH($A390,CS!$B:$B,0)+COLUMN(D$1),1))</f>
        <v/>
      </c>
      <c r="BK390" s="37" t="str">
        <f t="array" ref="BK390">IF($A390="","", INDEX(CS!$B$1:$B$15025,MATCH($A390,CS!$B:$B,0)+COLUMN(E$1),1))</f>
        <v/>
      </c>
      <c r="BL390" s="37" t="str">
        <f t="array" ref="BL390">IF($A390="","", INDEX(CS!$B$1:$B$15025,MATCH($A390,CS!$B:$B,0)+COLUMN(F$1),1))</f>
        <v/>
      </c>
      <c r="BM390" s="37" t="str">
        <f t="array" ref="BM390">IF($A390="","", INDEX(CS!$B$1:$B$15025,MATCH($A390,CS!$B:$B,0)+COLUMN(G$1),1))</f>
        <v/>
      </c>
      <c r="BN390" s="37" t="str">
        <f t="array" ref="BN390">IF($A390="","", INDEX(CS!$B$1:$B$15025,MATCH($A390,CS!$B:$B,0)+COLUMN(H$1),1))</f>
        <v/>
      </c>
      <c r="BO390" s="37" t="str">
        <f t="array" ref="BO390">IF($A390="","", INDEX(CS!$B$1:$B$15025,MATCH($A390,CS!$B:$B,0)+COLUMN(I$1),1))</f>
        <v/>
      </c>
      <c r="BP390" s="37" t="str">
        <f t="array" ref="BP390">IF($A390="","", INDEX(CS!$B$1:$B$15025,MATCH($A390,CS!$B:$B,0)+COLUMN(J$1),1))</f>
        <v/>
      </c>
      <c r="BS390" s="74"/>
      <c r="CQ390" s="37"/>
      <c r="CR390" s="37"/>
    </row>
    <row r="391" ht="18.75" customHeight="1">
      <c r="B391" s="71"/>
      <c r="C391" s="37" t="s">
        <v>2900</v>
      </c>
      <c r="D391" s="72" t="str">
        <f t="shared" si="18"/>
        <v>0/0/0</v>
      </c>
      <c r="E391" s="37">
        <v>1.0</v>
      </c>
      <c r="K391" s="73"/>
      <c r="P391" s="37" t="s">
        <v>29</v>
      </c>
      <c r="Q391" s="64"/>
      <c r="R391" s="64"/>
      <c r="S391" s="64"/>
      <c r="T391" s="64"/>
      <c r="U391" s="64"/>
      <c r="V391" s="64"/>
      <c r="W391" s="64"/>
      <c r="X391" s="64"/>
      <c r="Y391" s="64"/>
      <c r="Z391" s="64"/>
      <c r="AA391" s="64"/>
      <c r="BG391" s="37" t="str">
        <f t="array" ref="BG391">IF($A391="","", INDEX(CS!$B$1:$B$15025,MATCH($A391,CS!$B:$B,0)+COLUMN(A$1),1))</f>
        <v/>
      </c>
      <c r="BH391" s="37" t="str">
        <f t="array" ref="BH391">IF($A391="","", INDEX(CS!$B$1:$B$15025,MATCH($A391,CS!$B:$B,0)+COLUMN(B$1),1))</f>
        <v/>
      </c>
      <c r="BI391" s="37" t="str">
        <f t="array" ref="BI391">IF($A391="","", INDEX(CS!$B$1:$B$15025,MATCH($A391,CS!$B:$B,0)+COLUMN(C$1),1))</f>
        <v/>
      </c>
      <c r="BJ391" s="37" t="str">
        <f t="array" ref="BJ391">IF($A391="","", INDEX(CS!$B$1:$B$15025,MATCH($A391,CS!$B:$B,0)+COLUMN(D$1),1))</f>
        <v/>
      </c>
      <c r="BK391" s="37" t="str">
        <f t="array" ref="BK391">IF($A391="","", INDEX(CS!$B$1:$B$15025,MATCH($A391,CS!$B:$B,0)+COLUMN(E$1),1))</f>
        <v/>
      </c>
      <c r="BL391" s="37" t="str">
        <f t="array" ref="BL391">IF($A391="","", INDEX(CS!$B$1:$B$15025,MATCH($A391,CS!$B:$B,0)+COLUMN(F$1),1))</f>
        <v/>
      </c>
      <c r="BM391" s="37" t="str">
        <f t="array" ref="BM391">IF($A391="","", INDEX(CS!$B$1:$B$15025,MATCH($A391,CS!$B:$B,0)+COLUMN(G$1),1))</f>
        <v/>
      </c>
      <c r="BN391" s="37" t="str">
        <f t="array" ref="BN391">IF($A391="","", INDEX(CS!$B$1:$B$15025,MATCH($A391,CS!$B:$B,0)+COLUMN(H$1),1))</f>
        <v/>
      </c>
      <c r="BO391" s="37" t="str">
        <f t="array" ref="BO391">IF($A391="","", INDEX(CS!$B$1:$B$15025,MATCH($A391,CS!$B:$B,0)+COLUMN(I$1),1))</f>
        <v/>
      </c>
      <c r="BP391" s="37" t="str">
        <f t="array" ref="BP391">IF($A391="","", INDEX(CS!$B$1:$B$15025,MATCH($A391,CS!$B:$B,0)+COLUMN(J$1),1))</f>
        <v/>
      </c>
      <c r="BS391" s="74"/>
      <c r="CQ391" s="37"/>
      <c r="CR391" s="37"/>
    </row>
    <row r="392" ht="18.75" customHeight="1">
      <c r="B392" s="71"/>
      <c r="C392" s="37" t="s">
        <v>2900</v>
      </c>
      <c r="D392" s="72" t="str">
        <f t="shared" si="18"/>
        <v>0/0/0</v>
      </c>
      <c r="E392" s="37">
        <v>1.0</v>
      </c>
      <c r="K392" s="73"/>
      <c r="P392" s="37" t="s">
        <v>29</v>
      </c>
      <c r="Q392" s="64"/>
      <c r="R392" s="64"/>
      <c r="S392" s="64"/>
      <c r="T392" s="64"/>
      <c r="U392" s="64"/>
      <c r="V392" s="64"/>
      <c r="W392" s="64"/>
      <c r="X392" s="64"/>
      <c r="Y392" s="64"/>
      <c r="Z392" s="64"/>
      <c r="AA392" s="64"/>
      <c r="BG392" s="37" t="str">
        <f t="array" ref="BG392">IF($A392="","", INDEX(CS!$B$1:$B$15025,MATCH($A392,CS!$B:$B,0)+COLUMN(A$1),1))</f>
        <v/>
      </c>
      <c r="BH392" s="37" t="str">
        <f t="array" ref="BH392">IF($A392="","", INDEX(CS!$B$1:$B$15025,MATCH($A392,CS!$B:$B,0)+COLUMN(B$1),1))</f>
        <v/>
      </c>
      <c r="BI392" s="37" t="str">
        <f t="array" ref="BI392">IF($A392="","", INDEX(CS!$B$1:$B$15025,MATCH($A392,CS!$B:$B,0)+COLUMN(C$1),1))</f>
        <v/>
      </c>
      <c r="BJ392" s="37" t="str">
        <f t="array" ref="BJ392">IF($A392="","", INDEX(CS!$B$1:$B$15025,MATCH($A392,CS!$B:$B,0)+COLUMN(D$1),1))</f>
        <v/>
      </c>
      <c r="BK392" s="37" t="str">
        <f t="array" ref="BK392">IF($A392="","", INDEX(CS!$B$1:$B$15025,MATCH($A392,CS!$B:$B,0)+COLUMN(E$1),1))</f>
        <v/>
      </c>
      <c r="BL392" s="37" t="str">
        <f t="array" ref="BL392">IF($A392="","", INDEX(CS!$B$1:$B$15025,MATCH($A392,CS!$B:$B,0)+COLUMN(F$1),1))</f>
        <v/>
      </c>
      <c r="BM392" s="37" t="str">
        <f t="array" ref="BM392">IF($A392="","", INDEX(CS!$B$1:$B$15025,MATCH($A392,CS!$B:$B,0)+COLUMN(G$1),1))</f>
        <v/>
      </c>
      <c r="BN392" s="37" t="str">
        <f t="array" ref="BN392">IF($A392="","", INDEX(CS!$B$1:$B$15025,MATCH($A392,CS!$B:$B,0)+COLUMN(H$1),1))</f>
        <v/>
      </c>
      <c r="BO392" s="37" t="str">
        <f t="array" ref="BO392">IF($A392="","", INDEX(CS!$B$1:$B$15025,MATCH($A392,CS!$B:$B,0)+COLUMN(I$1),1))</f>
        <v/>
      </c>
      <c r="BP392" s="37" t="str">
        <f t="array" ref="BP392">IF($A392="","", INDEX(CS!$B$1:$B$15025,MATCH($A392,CS!$B:$B,0)+COLUMN(J$1),1))</f>
        <v/>
      </c>
      <c r="BS392" s="74"/>
      <c r="CQ392" s="37"/>
      <c r="CR392" s="37"/>
    </row>
    <row r="393" ht="18.75" customHeight="1">
      <c r="B393" s="71"/>
      <c r="C393" s="37" t="s">
        <v>2900</v>
      </c>
      <c r="D393" s="72" t="str">
        <f t="shared" si="18"/>
        <v>0/0/0</v>
      </c>
      <c r="E393" s="37">
        <v>1.0</v>
      </c>
      <c r="K393" s="73"/>
      <c r="P393" s="37" t="s">
        <v>29</v>
      </c>
      <c r="Q393" s="64"/>
      <c r="R393" s="64"/>
      <c r="S393" s="64"/>
      <c r="T393" s="64"/>
      <c r="U393" s="64"/>
      <c r="V393" s="64"/>
      <c r="W393" s="64"/>
      <c r="X393" s="64"/>
      <c r="Y393" s="64"/>
      <c r="Z393" s="64"/>
      <c r="AA393" s="64"/>
      <c r="BG393" s="37" t="str">
        <f t="array" ref="BG393">IF($A393="","", INDEX(CS!$B$1:$B$15025,MATCH($A393,CS!$B:$B,0)+COLUMN(A$1),1))</f>
        <v/>
      </c>
      <c r="BH393" s="37" t="str">
        <f t="array" ref="BH393">IF($A393="","", INDEX(CS!$B$1:$B$15025,MATCH($A393,CS!$B:$B,0)+COLUMN(B$1),1))</f>
        <v/>
      </c>
      <c r="BI393" s="37" t="str">
        <f t="array" ref="BI393">IF($A393="","", INDEX(CS!$B$1:$B$15025,MATCH($A393,CS!$B:$B,0)+COLUMN(C$1),1))</f>
        <v/>
      </c>
      <c r="BJ393" s="37" t="str">
        <f t="array" ref="BJ393">IF($A393="","", INDEX(CS!$B$1:$B$15025,MATCH($A393,CS!$B:$B,0)+COLUMN(D$1),1))</f>
        <v/>
      </c>
      <c r="BK393" s="37" t="str">
        <f t="array" ref="BK393">IF($A393="","", INDEX(CS!$B$1:$B$15025,MATCH($A393,CS!$B:$B,0)+COLUMN(E$1),1))</f>
        <v/>
      </c>
      <c r="BL393" s="37" t="str">
        <f t="array" ref="BL393">IF($A393="","", INDEX(CS!$B$1:$B$15025,MATCH($A393,CS!$B:$B,0)+COLUMN(F$1),1))</f>
        <v/>
      </c>
      <c r="BM393" s="37" t="str">
        <f t="array" ref="BM393">IF($A393="","", INDEX(CS!$B$1:$B$15025,MATCH($A393,CS!$B:$B,0)+COLUMN(G$1),1))</f>
        <v/>
      </c>
      <c r="BN393" s="37" t="str">
        <f t="array" ref="BN393">IF($A393="","", INDEX(CS!$B$1:$B$15025,MATCH($A393,CS!$B:$B,0)+COLUMN(H$1),1))</f>
        <v/>
      </c>
      <c r="BO393" s="37" t="str">
        <f t="array" ref="BO393">IF($A393="","", INDEX(CS!$B$1:$B$15025,MATCH($A393,CS!$B:$B,0)+COLUMN(I$1),1))</f>
        <v/>
      </c>
      <c r="BP393" s="37" t="str">
        <f t="array" ref="BP393">IF($A393="","", INDEX(CS!$B$1:$B$15025,MATCH($A393,CS!$B:$B,0)+COLUMN(J$1),1))</f>
        <v/>
      </c>
      <c r="BS393" s="74"/>
      <c r="CQ393" s="37"/>
      <c r="CR393" s="37"/>
    </row>
    <row r="394" ht="18.75" customHeight="1">
      <c r="B394" s="71"/>
      <c r="C394" s="37" t="s">
        <v>2900</v>
      </c>
      <c r="D394" s="72" t="str">
        <f t="shared" si="18"/>
        <v>0/0/0</v>
      </c>
      <c r="E394" s="37">
        <v>1.0</v>
      </c>
      <c r="K394" s="73"/>
      <c r="P394" s="37" t="s">
        <v>29</v>
      </c>
      <c r="Q394" s="64"/>
      <c r="R394" s="64"/>
      <c r="S394" s="64"/>
      <c r="T394" s="64"/>
      <c r="U394" s="64"/>
      <c r="V394" s="64"/>
      <c r="W394" s="64"/>
      <c r="X394" s="64"/>
      <c r="Y394" s="64"/>
      <c r="Z394" s="64"/>
      <c r="AA394" s="64"/>
      <c r="BG394" s="37" t="str">
        <f t="array" ref="BG394">IF($A394="","", INDEX(CS!$B$1:$B$15025,MATCH($A394,CS!$B:$B,0)+COLUMN(A$1),1))</f>
        <v/>
      </c>
      <c r="BH394" s="37" t="str">
        <f t="array" ref="BH394">IF($A394="","", INDEX(CS!$B$1:$B$15025,MATCH($A394,CS!$B:$B,0)+COLUMN(B$1),1))</f>
        <v/>
      </c>
      <c r="BI394" s="37" t="str">
        <f t="array" ref="BI394">IF($A394="","", INDEX(CS!$B$1:$B$15025,MATCH($A394,CS!$B:$B,0)+COLUMN(C$1),1))</f>
        <v/>
      </c>
      <c r="BJ394" s="37" t="str">
        <f t="array" ref="BJ394">IF($A394="","", INDEX(CS!$B$1:$B$15025,MATCH($A394,CS!$B:$B,0)+COLUMN(D$1),1))</f>
        <v/>
      </c>
      <c r="BK394" s="37" t="str">
        <f t="array" ref="BK394">IF($A394="","", INDEX(CS!$B$1:$B$15025,MATCH($A394,CS!$B:$B,0)+COLUMN(E$1),1))</f>
        <v/>
      </c>
      <c r="BL394" s="37" t="str">
        <f t="array" ref="BL394">IF($A394="","", INDEX(CS!$B$1:$B$15025,MATCH($A394,CS!$B:$B,0)+COLUMN(F$1),1))</f>
        <v/>
      </c>
      <c r="BM394" s="37" t="str">
        <f t="array" ref="BM394">IF($A394="","", INDEX(CS!$B$1:$B$15025,MATCH($A394,CS!$B:$B,0)+COLUMN(G$1),1))</f>
        <v/>
      </c>
      <c r="BN394" s="37" t="str">
        <f t="array" ref="BN394">IF($A394="","", INDEX(CS!$B$1:$B$15025,MATCH($A394,CS!$B:$B,0)+COLUMN(H$1),1))</f>
        <v/>
      </c>
      <c r="BO394" s="37" t="str">
        <f t="array" ref="BO394">IF($A394="","", INDEX(CS!$B$1:$B$15025,MATCH($A394,CS!$B:$B,0)+COLUMN(I$1),1))</f>
        <v/>
      </c>
      <c r="BP394" s="37" t="str">
        <f t="array" ref="BP394">IF($A394="","", INDEX(CS!$B$1:$B$15025,MATCH($A394,CS!$B:$B,0)+COLUMN(J$1),1))</f>
        <v/>
      </c>
      <c r="BS394" s="74"/>
      <c r="CQ394" s="37"/>
      <c r="CR394" s="37"/>
    </row>
    <row r="395" ht="18.75" customHeight="1">
      <c r="B395" s="71"/>
      <c r="C395" s="37" t="s">
        <v>2900</v>
      </c>
      <c r="D395" s="72" t="str">
        <f t="shared" si="18"/>
        <v>0/0/0</v>
      </c>
      <c r="E395" s="37">
        <v>1.0</v>
      </c>
      <c r="K395" s="73"/>
      <c r="P395" s="37" t="s">
        <v>29</v>
      </c>
      <c r="Q395" s="64"/>
      <c r="R395" s="64"/>
      <c r="S395" s="64"/>
      <c r="T395" s="64"/>
      <c r="U395" s="64"/>
      <c r="V395" s="64"/>
      <c r="W395" s="64"/>
      <c r="X395" s="64"/>
      <c r="Y395" s="64"/>
      <c r="Z395" s="64"/>
      <c r="AA395" s="64"/>
      <c r="BG395" s="37" t="str">
        <f t="array" ref="BG395">IF($A395="","", INDEX(CS!$B$1:$B$15025,MATCH($A395,CS!$B:$B,0)+COLUMN(A$1),1))</f>
        <v/>
      </c>
      <c r="BH395" s="37" t="str">
        <f t="array" ref="BH395">IF($A395="","", INDEX(CS!$B$1:$B$15025,MATCH($A395,CS!$B:$B,0)+COLUMN(B$1),1))</f>
        <v/>
      </c>
      <c r="BI395" s="37" t="str">
        <f t="array" ref="BI395">IF($A395="","", INDEX(CS!$B$1:$B$15025,MATCH($A395,CS!$B:$B,0)+COLUMN(C$1),1))</f>
        <v/>
      </c>
      <c r="BJ395" s="37" t="str">
        <f t="array" ref="BJ395">IF($A395="","", INDEX(CS!$B$1:$B$15025,MATCH($A395,CS!$B:$B,0)+COLUMN(D$1),1))</f>
        <v/>
      </c>
      <c r="BK395" s="37" t="str">
        <f t="array" ref="BK395">IF($A395="","", INDEX(CS!$B$1:$B$15025,MATCH($A395,CS!$B:$B,0)+COLUMN(E$1),1))</f>
        <v/>
      </c>
      <c r="BL395" s="37" t="str">
        <f t="array" ref="BL395">IF($A395="","", INDEX(CS!$B$1:$B$15025,MATCH($A395,CS!$B:$B,0)+COLUMN(F$1),1))</f>
        <v/>
      </c>
      <c r="BM395" s="37" t="str">
        <f t="array" ref="BM395">IF($A395="","", INDEX(CS!$B$1:$B$15025,MATCH($A395,CS!$B:$B,0)+COLUMN(G$1),1))</f>
        <v/>
      </c>
      <c r="BN395" s="37" t="str">
        <f t="array" ref="BN395">IF($A395="","", INDEX(CS!$B$1:$B$15025,MATCH($A395,CS!$B:$B,0)+COLUMN(H$1),1))</f>
        <v/>
      </c>
      <c r="BO395" s="37" t="str">
        <f t="array" ref="BO395">IF($A395="","", INDEX(CS!$B$1:$B$15025,MATCH($A395,CS!$B:$B,0)+COLUMN(I$1),1))</f>
        <v/>
      </c>
      <c r="BP395" s="37" t="str">
        <f t="array" ref="BP395">IF($A395="","", INDEX(CS!$B$1:$B$15025,MATCH($A395,CS!$B:$B,0)+COLUMN(J$1),1))</f>
        <v/>
      </c>
      <c r="BS395" s="74"/>
      <c r="CQ395" s="37"/>
      <c r="CR395" s="37"/>
    </row>
    <row r="396" ht="18.75" customHeight="1">
      <c r="B396" s="71"/>
      <c r="C396" s="37" t="s">
        <v>2900</v>
      </c>
      <c r="D396" s="72" t="str">
        <f t="shared" si="18"/>
        <v>0/0/0</v>
      </c>
      <c r="E396" s="37">
        <v>1.0</v>
      </c>
      <c r="K396" s="73"/>
      <c r="P396" s="37" t="s">
        <v>29</v>
      </c>
      <c r="Q396" s="64"/>
      <c r="R396" s="64"/>
      <c r="S396" s="64"/>
      <c r="T396" s="64"/>
      <c r="U396" s="64"/>
      <c r="V396" s="64"/>
      <c r="W396" s="64"/>
      <c r="X396" s="64"/>
      <c r="Y396" s="64"/>
      <c r="Z396" s="64"/>
      <c r="AA396" s="64"/>
      <c r="BG396" s="37" t="str">
        <f t="array" ref="BG396">IF($A396="","", INDEX(CS!$B$1:$B$15025,MATCH($A396,CS!$B:$B,0)+COLUMN(A$1),1))</f>
        <v/>
      </c>
      <c r="BH396" s="37" t="str">
        <f t="array" ref="BH396">IF($A396="","", INDEX(CS!$B$1:$B$15025,MATCH($A396,CS!$B:$B,0)+COLUMN(B$1),1))</f>
        <v/>
      </c>
      <c r="BI396" s="37" t="str">
        <f t="array" ref="BI396">IF($A396="","", INDEX(CS!$B$1:$B$15025,MATCH($A396,CS!$B:$B,0)+COLUMN(C$1),1))</f>
        <v/>
      </c>
      <c r="BJ396" s="37" t="str">
        <f t="array" ref="BJ396">IF($A396="","", INDEX(CS!$B$1:$B$15025,MATCH($A396,CS!$B:$B,0)+COLUMN(D$1),1))</f>
        <v/>
      </c>
      <c r="BK396" s="37" t="str">
        <f t="array" ref="BK396">IF($A396="","", INDEX(CS!$B$1:$B$15025,MATCH($A396,CS!$B:$B,0)+COLUMN(E$1),1))</f>
        <v/>
      </c>
      <c r="BL396" s="37" t="str">
        <f t="array" ref="BL396">IF($A396="","", INDEX(CS!$B$1:$B$15025,MATCH($A396,CS!$B:$B,0)+COLUMN(F$1),1))</f>
        <v/>
      </c>
      <c r="BM396" s="37" t="str">
        <f t="array" ref="BM396">IF($A396="","", INDEX(CS!$B$1:$B$15025,MATCH($A396,CS!$B:$B,0)+COLUMN(G$1),1))</f>
        <v/>
      </c>
      <c r="BN396" s="37" t="str">
        <f t="array" ref="BN396">IF($A396="","", INDEX(CS!$B$1:$B$15025,MATCH($A396,CS!$B:$B,0)+COLUMN(H$1),1))</f>
        <v/>
      </c>
      <c r="BO396" s="37" t="str">
        <f t="array" ref="BO396">IF($A396="","", INDEX(CS!$B$1:$B$15025,MATCH($A396,CS!$B:$B,0)+COLUMN(I$1),1))</f>
        <v/>
      </c>
      <c r="BP396" s="37" t="str">
        <f t="array" ref="BP396">IF($A396="","", INDEX(CS!$B$1:$B$15025,MATCH($A396,CS!$B:$B,0)+COLUMN(J$1),1))</f>
        <v/>
      </c>
      <c r="BS396" s="74"/>
      <c r="CQ396" s="37"/>
      <c r="CR396" s="37"/>
    </row>
    <row r="397" ht="18.75" customHeight="1">
      <c r="B397" s="71"/>
      <c r="C397" s="37" t="s">
        <v>2900</v>
      </c>
      <c r="D397" s="72" t="str">
        <f t="shared" si="18"/>
        <v>0/0/0</v>
      </c>
      <c r="E397" s="37">
        <v>1.0</v>
      </c>
      <c r="K397" s="73"/>
      <c r="P397" s="37" t="s">
        <v>29</v>
      </c>
      <c r="Q397" s="64"/>
      <c r="R397" s="64"/>
      <c r="S397" s="64"/>
      <c r="T397" s="64"/>
      <c r="U397" s="64"/>
      <c r="V397" s="64"/>
      <c r="W397" s="64"/>
      <c r="X397" s="64"/>
      <c r="Y397" s="64"/>
      <c r="Z397" s="64"/>
      <c r="AA397" s="64"/>
      <c r="BG397" s="37" t="str">
        <f t="array" ref="BG397">IF($A397="","", INDEX(CS!$B$1:$B$15025,MATCH($A397,CS!$B:$B,0)+COLUMN(A$1),1))</f>
        <v/>
      </c>
      <c r="BH397" s="37" t="str">
        <f t="array" ref="BH397">IF($A397="","", INDEX(CS!$B$1:$B$15025,MATCH($A397,CS!$B:$B,0)+COLUMN(B$1),1))</f>
        <v/>
      </c>
      <c r="BI397" s="37" t="str">
        <f t="array" ref="BI397">IF($A397="","", INDEX(CS!$B$1:$B$15025,MATCH($A397,CS!$B:$B,0)+COLUMN(C$1),1))</f>
        <v/>
      </c>
      <c r="BJ397" s="37" t="str">
        <f t="array" ref="BJ397">IF($A397="","", INDEX(CS!$B$1:$B$15025,MATCH($A397,CS!$B:$B,0)+COLUMN(D$1),1))</f>
        <v/>
      </c>
      <c r="BK397" s="37" t="str">
        <f t="array" ref="BK397">IF($A397="","", INDEX(CS!$B$1:$B$15025,MATCH($A397,CS!$B:$B,0)+COLUMN(E$1),1))</f>
        <v/>
      </c>
      <c r="BL397" s="37" t="str">
        <f t="array" ref="BL397">IF($A397="","", INDEX(CS!$B$1:$B$15025,MATCH($A397,CS!$B:$B,0)+COLUMN(F$1),1))</f>
        <v/>
      </c>
      <c r="BM397" s="37" t="str">
        <f t="array" ref="BM397">IF($A397="","", INDEX(CS!$B$1:$B$15025,MATCH($A397,CS!$B:$B,0)+COLUMN(G$1),1))</f>
        <v/>
      </c>
      <c r="BN397" s="37" t="str">
        <f t="array" ref="BN397">IF($A397="","", INDEX(CS!$B$1:$B$15025,MATCH($A397,CS!$B:$B,0)+COLUMN(H$1),1))</f>
        <v/>
      </c>
      <c r="BO397" s="37" t="str">
        <f t="array" ref="BO397">IF($A397="","", INDEX(CS!$B$1:$B$15025,MATCH($A397,CS!$B:$B,0)+COLUMN(I$1),1))</f>
        <v/>
      </c>
      <c r="BP397" s="37" t="str">
        <f t="array" ref="BP397">IF($A397="","", INDEX(CS!$B$1:$B$15025,MATCH($A397,CS!$B:$B,0)+COLUMN(J$1),1))</f>
        <v/>
      </c>
      <c r="BS397" s="74"/>
      <c r="CQ397" s="37"/>
      <c r="CR397" s="37"/>
    </row>
    <row r="398" ht="18.75" customHeight="1">
      <c r="B398" s="71"/>
      <c r="C398" s="37" t="s">
        <v>2900</v>
      </c>
      <c r="D398" s="72" t="str">
        <f t="shared" si="18"/>
        <v>0/0/0</v>
      </c>
      <c r="E398" s="37">
        <v>1.0</v>
      </c>
      <c r="K398" s="73"/>
      <c r="P398" s="37" t="s">
        <v>29</v>
      </c>
      <c r="Q398" s="64"/>
      <c r="R398" s="64"/>
      <c r="S398" s="64"/>
      <c r="T398" s="64"/>
      <c r="U398" s="64"/>
      <c r="V398" s="64"/>
      <c r="W398" s="64"/>
      <c r="X398" s="64"/>
      <c r="Y398" s="64"/>
      <c r="Z398" s="64"/>
      <c r="AA398" s="64"/>
      <c r="BG398" s="37" t="str">
        <f t="array" ref="BG398">IF($A398="","", INDEX(CS!$B$1:$B$15025,MATCH($A398,CS!$B:$B,0)+COLUMN(A$1),1))</f>
        <v/>
      </c>
      <c r="BH398" s="37" t="str">
        <f t="array" ref="BH398">IF($A398="","", INDEX(CS!$B$1:$B$15025,MATCH($A398,CS!$B:$B,0)+COLUMN(B$1),1))</f>
        <v/>
      </c>
      <c r="BI398" s="37" t="str">
        <f t="array" ref="BI398">IF($A398="","", INDEX(CS!$B$1:$B$15025,MATCH($A398,CS!$B:$B,0)+COLUMN(C$1),1))</f>
        <v/>
      </c>
      <c r="BJ398" s="37" t="str">
        <f t="array" ref="BJ398">IF($A398="","", INDEX(CS!$B$1:$B$15025,MATCH($A398,CS!$B:$B,0)+COLUMN(D$1),1))</f>
        <v/>
      </c>
      <c r="BK398" s="37" t="str">
        <f t="array" ref="BK398">IF($A398="","", INDEX(CS!$B$1:$B$15025,MATCH($A398,CS!$B:$B,0)+COLUMN(E$1),1))</f>
        <v/>
      </c>
      <c r="BL398" s="37" t="str">
        <f t="array" ref="BL398">IF($A398="","", INDEX(CS!$B$1:$B$15025,MATCH($A398,CS!$B:$B,0)+COLUMN(F$1),1))</f>
        <v/>
      </c>
      <c r="BM398" s="37" t="str">
        <f t="array" ref="BM398">IF($A398="","", INDEX(CS!$B$1:$B$15025,MATCH($A398,CS!$B:$B,0)+COLUMN(G$1),1))</f>
        <v/>
      </c>
      <c r="BN398" s="37" t="str">
        <f t="array" ref="BN398">IF($A398="","", INDEX(CS!$B$1:$B$15025,MATCH($A398,CS!$B:$B,0)+COLUMN(H$1),1))</f>
        <v/>
      </c>
      <c r="BO398" s="37" t="str">
        <f t="array" ref="BO398">IF($A398="","", INDEX(CS!$B$1:$B$15025,MATCH($A398,CS!$B:$B,0)+COLUMN(I$1),1))</f>
        <v/>
      </c>
      <c r="BP398" s="37" t="str">
        <f t="array" ref="BP398">IF($A398="","", INDEX(CS!$B$1:$B$15025,MATCH($A398,CS!$B:$B,0)+COLUMN(J$1),1))</f>
        <v/>
      </c>
      <c r="BS398" s="74"/>
      <c r="CQ398" s="37"/>
      <c r="CR398" s="37"/>
    </row>
    <row r="399" ht="18.75" customHeight="1">
      <c r="B399" s="71"/>
      <c r="C399" s="37" t="s">
        <v>2900</v>
      </c>
      <c r="D399" s="72" t="str">
        <f t="shared" si="18"/>
        <v>0/0/0</v>
      </c>
      <c r="E399" s="37">
        <v>1.0</v>
      </c>
      <c r="K399" s="73"/>
      <c r="P399" s="37" t="s">
        <v>29</v>
      </c>
      <c r="Q399" s="64"/>
      <c r="R399" s="64"/>
      <c r="S399" s="64"/>
      <c r="T399" s="64"/>
      <c r="U399" s="64"/>
      <c r="V399" s="64"/>
      <c r="W399" s="64"/>
      <c r="X399" s="64"/>
      <c r="Y399" s="64"/>
      <c r="Z399" s="64"/>
      <c r="AA399" s="64"/>
      <c r="BG399" s="37" t="str">
        <f t="array" ref="BG399">IF($A399="","", INDEX(CS!$B$1:$B$15025,MATCH($A399,CS!$B:$B,0)+COLUMN(A$1),1))</f>
        <v/>
      </c>
      <c r="BH399" s="37" t="str">
        <f t="array" ref="BH399">IF($A399="","", INDEX(CS!$B$1:$B$15025,MATCH($A399,CS!$B:$B,0)+COLUMN(B$1),1))</f>
        <v/>
      </c>
      <c r="BI399" s="37" t="str">
        <f t="array" ref="BI399">IF($A399="","", INDEX(CS!$B$1:$B$15025,MATCH($A399,CS!$B:$B,0)+COLUMN(C$1),1))</f>
        <v/>
      </c>
      <c r="BJ399" s="37" t="str">
        <f t="array" ref="BJ399">IF($A399="","", INDEX(CS!$B$1:$B$15025,MATCH($A399,CS!$B:$B,0)+COLUMN(D$1),1))</f>
        <v/>
      </c>
      <c r="BK399" s="37" t="str">
        <f t="array" ref="BK399">IF($A399="","", INDEX(CS!$B$1:$B$15025,MATCH($A399,CS!$B:$B,0)+COLUMN(E$1),1))</f>
        <v/>
      </c>
      <c r="BL399" s="37" t="str">
        <f t="array" ref="BL399">IF($A399="","", INDEX(CS!$B$1:$B$15025,MATCH($A399,CS!$B:$B,0)+COLUMN(F$1),1))</f>
        <v/>
      </c>
      <c r="BM399" s="37" t="str">
        <f t="array" ref="BM399">IF($A399="","", INDEX(CS!$B$1:$B$15025,MATCH($A399,CS!$B:$B,0)+COLUMN(G$1),1))</f>
        <v/>
      </c>
      <c r="BN399" s="37" t="str">
        <f t="array" ref="BN399">IF($A399="","", INDEX(CS!$B$1:$B$15025,MATCH($A399,CS!$B:$B,0)+COLUMN(H$1),1))</f>
        <v/>
      </c>
      <c r="BO399" s="37" t="str">
        <f t="array" ref="BO399">IF($A399="","", INDEX(CS!$B$1:$B$15025,MATCH($A399,CS!$B:$B,0)+COLUMN(I$1),1))</f>
        <v/>
      </c>
      <c r="BP399" s="37" t="str">
        <f t="array" ref="BP399">IF($A399="","", INDEX(CS!$B$1:$B$15025,MATCH($A399,CS!$B:$B,0)+COLUMN(J$1),1))</f>
        <v/>
      </c>
      <c r="BS399" s="74"/>
      <c r="CQ399" s="37"/>
      <c r="CR399" s="37"/>
    </row>
    <row r="400" ht="18.75" customHeight="1">
      <c r="B400" s="71"/>
      <c r="C400" s="37" t="s">
        <v>2900</v>
      </c>
      <c r="D400" s="72" t="str">
        <f t="shared" si="18"/>
        <v>0/0/0</v>
      </c>
      <c r="E400" s="37">
        <v>1.0</v>
      </c>
      <c r="K400" s="73"/>
      <c r="P400" s="37" t="s">
        <v>29</v>
      </c>
      <c r="Q400" s="64"/>
      <c r="R400" s="64"/>
      <c r="S400" s="64"/>
      <c r="T400" s="64"/>
      <c r="U400" s="64"/>
      <c r="V400" s="64"/>
      <c r="W400" s="64"/>
      <c r="X400" s="64"/>
      <c r="Y400" s="64"/>
      <c r="Z400" s="64"/>
      <c r="AA400" s="64"/>
      <c r="BG400" s="37" t="str">
        <f t="array" ref="BG400">IF($A400="","", INDEX(CS!$B$1:$B$15025,MATCH($A400,CS!$B:$B,0)+COLUMN(A$1),1))</f>
        <v/>
      </c>
      <c r="BH400" s="37" t="str">
        <f t="array" ref="BH400">IF($A400="","", INDEX(CS!$B$1:$B$15025,MATCH($A400,CS!$B:$B,0)+COLUMN(B$1),1))</f>
        <v/>
      </c>
      <c r="BI400" s="37" t="str">
        <f t="array" ref="BI400">IF($A400="","", INDEX(CS!$B$1:$B$15025,MATCH($A400,CS!$B:$B,0)+COLUMN(C$1),1))</f>
        <v/>
      </c>
      <c r="BJ400" s="37" t="str">
        <f t="array" ref="BJ400">IF($A400="","", INDEX(CS!$B$1:$B$15025,MATCH($A400,CS!$B:$B,0)+COLUMN(D$1),1))</f>
        <v/>
      </c>
      <c r="BK400" s="37" t="str">
        <f t="array" ref="BK400">IF($A400="","", INDEX(CS!$B$1:$B$15025,MATCH($A400,CS!$B:$B,0)+COLUMN(E$1),1))</f>
        <v/>
      </c>
      <c r="BL400" s="37" t="str">
        <f t="array" ref="BL400">IF($A400="","", INDEX(CS!$B$1:$B$15025,MATCH($A400,CS!$B:$B,0)+COLUMN(F$1),1))</f>
        <v/>
      </c>
      <c r="BM400" s="37" t="str">
        <f t="array" ref="BM400">IF($A400="","", INDEX(CS!$B$1:$B$15025,MATCH($A400,CS!$B:$B,0)+COLUMN(G$1),1))</f>
        <v/>
      </c>
      <c r="BN400" s="37" t="str">
        <f t="array" ref="BN400">IF($A400="","", INDEX(CS!$B$1:$B$15025,MATCH($A400,CS!$B:$B,0)+COLUMN(H$1),1))</f>
        <v/>
      </c>
      <c r="BO400" s="37" t="str">
        <f t="array" ref="BO400">IF($A400="","", INDEX(CS!$B$1:$B$15025,MATCH($A400,CS!$B:$B,0)+COLUMN(I$1),1))</f>
        <v/>
      </c>
      <c r="BP400" s="37" t="str">
        <f t="array" ref="BP400">IF($A400="","", INDEX(CS!$B$1:$B$15025,MATCH($A400,CS!$B:$B,0)+COLUMN(J$1),1))</f>
        <v/>
      </c>
      <c r="BS400" s="74"/>
      <c r="CQ400" s="37"/>
      <c r="CR400" s="37"/>
    </row>
    <row r="401" ht="18.75" customHeight="1">
      <c r="B401" s="71"/>
      <c r="C401" s="37" t="s">
        <v>2900</v>
      </c>
      <c r="D401" s="72" t="str">
        <f t="shared" si="18"/>
        <v>0/0/0</v>
      </c>
      <c r="E401" s="37">
        <v>1.0</v>
      </c>
      <c r="K401" s="73"/>
      <c r="P401" s="37" t="s">
        <v>29</v>
      </c>
      <c r="Q401" s="64"/>
      <c r="R401" s="64"/>
      <c r="S401" s="64"/>
      <c r="T401" s="64"/>
      <c r="U401" s="64"/>
      <c r="V401" s="64"/>
      <c r="W401" s="64"/>
      <c r="X401" s="64"/>
      <c r="Y401" s="64"/>
      <c r="Z401" s="64"/>
      <c r="AA401" s="64"/>
      <c r="BG401" s="37" t="str">
        <f t="array" ref="BG401">IF($A401="","", INDEX(CS!$B$1:$B$15025,MATCH($A401,CS!$B:$B,0)+COLUMN(A$1),1))</f>
        <v/>
      </c>
      <c r="BH401" s="37" t="str">
        <f t="array" ref="BH401">IF($A401="","", INDEX(CS!$B$1:$B$15025,MATCH($A401,CS!$B:$B,0)+COLUMN(B$1),1))</f>
        <v/>
      </c>
      <c r="BI401" s="37" t="str">
        <f t="array" ref="BI401">IF($A401="","", INDEX(CS!$B$1:$B$15025,MATCH($A401,CS!$B:$B,0)+COLUMN(C$1),1))</f>
        <v/>
      </c>
      <c r="BJ401" s="37" t="str">
        <f t="array" ref="BJ401">IF($A401="","", INDEX(CS!$B$1:$B$15025,MATCH($A401,CS!$B:$B,0)+COLUMN(D$1),1))</f>
        <v/>
      </c>
      <c r="BK401" s="37" t="str">
        <f t="array" ref="BK401">IF($A401="","", INDEX(CS!$B$1:$B$15025,MATCH($A401,CS!$B:$B,0)+COLUMN(E$1),1))</f>
        <v/>
      </c>
      <c r="BL401" s="37" t="str">
        <f t="array" ref="BL401">IF($A401="","", INDEX(CS!$B$1:$B$15025,MATCH($A401,CS!$B:$B,0)+COLUMN(F$1),1))</f>
        <v/>
      </c>
      <c r="BM401" s="37" t="str">
        <f t="array" ref="BM401">IF($A401="","", INDEX(CS!$B$1:$B$15025,MATCH($A401,CS!$B:$B,0)+COLUMN(G$1),1))</f>
        <v/>
      </c>
      <c r="BN401" s="37" t="str">
        <f t="array" ref="BN401">IF($A401="","", INDEX(CS!$B$1:$B$15025,MATCH($A401,CS!$B:$B,0)+COLUMN(H$1),1))</f>
        <v/>
      </c>
      <c r="BO401" s="37" t="str">
        <f t="array" ref="BO401">IF($A401="","", INDEX(CS!$B$1:$B$15025,MATCH($A401,CS!$B:$B,0)+COLUMN(I$1),1))</f>
        <v/>
      </c>
      <c r="BP401" s="37" t="str">
        <f t="array" ref="BP401">IF($A401="","", INDEX(CS!$B$1:$B$15025,MATCH($A401,CS!$B:$B,0)+COLUMN(J$1),1))</f>
        <v/>
      </c>
      <c r="BS401" s="74"/>
      <c r="CQ401" s="37"/>
      <c r="CR401" s="37"/>
    </row>
    <row r="402" ht="18.75" customHeight="1">
      <c r="B402" s="71"/>
      <c r="C402" s="37" t="s">
        <v>2900</v>
      </c>
      <c r="D402" s="72" t="str">
        <f t="shared" si="18"/>
        <v>0/0/0</v>
      </c>
      <c r="E402" s="37">
        <v>1.0</v>
      </c>
      <c r="K402" s="73"/>
      <c r="P402" s="37" t="s">
        <v>29</v>
      </c>
      <c r="Q402" s="64"/>
      <c r="R402" s="64"/>
      <c r="S402" s="64"/>
      <c r="T402" s="64"/>
      <c r="U402" s="64"/>
      <c r="V402" s="64"/>
      <c r="W402" s="64"/>
      <c r="X402" s="64"/>
      <c r="Y402" s="64"/>
      <c r="Z402" s="64"/>
      <c r="AA402" s="64"/>
      <c r="BG402" s="37" t="str">
        <f t="array" ref="BG402">IF($A402="","", INDEX(CS!$B$1:$B$15025,MATCH($A402,CS!$B:$B,0)+COLUMN(A$1),1))</f>
        <v/>
      </c>
      <c r="BH402" s="37" t="str">
        <f t="array" ref="BH402">IF($A402="","", INDEX(CS!$B$1:$B$15025,MATCH($A402,CS!$B:$B,0)+COLUMN(B$1),1))</f>
        <v/>
      </c>
      <c r="BI402" s="37" t="str">
        <f t="array" ref="BI402">IF($A402="","", INDEX(CS!$B$1:$B$15025,MATCH($A402,CS!$B:$B,0)+COLUMN(C$1),1))</f>
        <v/>
      </c>
      <c r="BJ402" s="37" t="str">
        <f t="array" ref="BJ402">IF($A402="","", INDEX(CS!$B$1:$B$15025,MATCH($A402,CS!$B:$B,0)+COLUMN(D$1),1))</f>
        <v/>
      </c>
      <c r="BK402" s="37" t="str">
        <f t="array" ref="BK402">IF($A402="","", INDEX(CS!$B$1:$B$15025,MATCH($A402,CS!$B:$B,0)+COLUMN(E$1),1))</f>
        <v/>
      </c>
      <c r="BL402" s="37" t="str">
        <f t="array" ref="BL402">IF($A402="","", INDEX(CS!$B$1:$B$15025,MATCH($A402,CS!$B:$B,0)+COLUMN(F$1),1))</f>
        <v/>
      </c>
      <c r="BM402" s="37" t="str">
        <f t="array" ref="BM402">IF($A402="","", INDEX(CS!$B$1:$B$15025,MATCH($A402,CS!$B:$B,0)+COLUMN(G$1),1))</f>
        <v/>
      </c>
      <c r="BN402" s="37" t="str">
        <f t="array" ref="BN402">IF($A402="","", INDEX(CS!$B$1:$B$15025,MATCH($A402,CS!$B:$B,0)+COLUMN(H$1),1))</f>
        <v/>
      </c>
      <c r="BO402" s="37" t="str">
        <f t="array" ref="BO402">IF($A402="","", INDEX(CS!$B$1:$B$15025,MATCH($A402,CS!$B:$B,0)+COLUMN(I$1),1))</f>
        <v/>
      </c>
      <c r="BP402" s="37" t="str">
        <f t="array" ref="BP402">IF($A402="","", INDEX(CS!$B$1:$B$15025,MATCH($A402,CS!$B:$B,0)+COLUMN(J$1),1))</f>
        <v/>
      </c>
      <c r="BS402" s="74"/>
      <c r="CQ402" s="37"/>
      <c r="CR402" s="37"/>
    </row>
    <row r="403" ht="18.75" customHeight="1">
      <c r="B403" s="71"/>
      <c r="C403" s="37" t="s">
        <v>2900</v>
      </c>
      <c r="D403" s="72" t="str">
        <f t="shared" si="18"/>
        <v>0/0/0</v>
      </c>
      <c r="E403" s="37">
        <v>1.0</v>
      </c>
      <c r="K403" s="73"/>
      <c r="P403" s="37" t="s">
        <v>29</v>
      </c>
      <c r="Q403" s="64"/>
      <c r="R403" s="64"/>
      <c r="S403" s="64"/>
      <c r="T403" s="64"/>
      <c r="U403" s="64"/>
      <c r="V403" s="64"/>
      <c r="W403" s="64"/>
      <c r="X403" s="64"/>
      <c r="Y403" s="64"/>
      <c r="Z403" s="64"/>
      <c r="AA403" s="64"/>
      <c r="BG403" s="37" t="str">
        <f t="array" ref="BG403">IF($A403="","", INDEX(CS!$B$1:$B$15025,MATCH($A403,CS!$B:$B,0)+COLUMN(A$1),1))</f>
        <v/>
      </c>
      <c r="BH403" s="37" t="str">
        <f t="array" ref="BH403">IF($A403="","", INDEX(CS!$B$1:$B$15025,MATCH($A403,CS!$B:$B,0)+COLUMN(B$1),1))</f>
        <v/>
      </c>
      <c r="BI403" s="37" t="str">
        <f t="array" ref="BI403">IF($A403="","", INDEX(CS!$B$1:$B$15025,MATCH($A403,CS!$B:$B,0)+COLUMN(C$1),1))</f>
        <v/>
      </c>
      <c r="BJ403" s="37" t="str">
        <f t="array" ref="BJ403">IF($A403="","", INDEX(CS!$B$1:$B$15025,MATCH($A403,CS!$B:$B,0)+COLUMN(D$1),1))</f>
        <v/>
      </c>
      <c r="BK403" s="37" t="str">
        <f t="array" ref="BK403">IF($A403="","", INDEX(CS!$B$1:$B$15025,MATCH($A403,CS!$B:$B,0)+COLUMN(E$1),1))</f>
        <v/>
      </c>
      <c r="BL403" s="37" t="str">
        <f t="array" ref="BL403">IF($A403="","", INDEX(CS!$B$1:$B$15025,MATCH($A403,CS!$B:$B,0)+COLUMN(F$1),1))</f>
        <v/>
      </c>
      <c r="BM403" s="37" t="str">
        <f t="array" ref="BM403">IF($A403="","", INDEX(CS!$B$1:$B$15025,MATCH($A403,CS!$B:$B,0)+COLUMN(G$1),1))</f>
        <v/>
      </c>
      <c r="BN403" s="37" t="str">
        <f t="array" ref="BN403">IF($A403="","", INDEX(CS!$B$1:$B$15025,MATCH($A403,CS!$B:$B,0)+COLUMN(H$1),1))</f>
        <v/>
      </c>
      <c r="BO403" s="37" t="str">
        <f t="array" ref="BO403">IF($A403="","", INDEX(CS!$B$1:$B$15025,MATCH($A403,CS!$B:$B,0)+COLUMN(I$1),1))</f>
        <v/>
      </c>
      <c r="BP403" s="37" t="str">
        <f t="array" ref="BP403">IF($A403="","", INDEX(CS!$B$1:$B$15025,MATCH($A403,CS!$B:$B,0)+COLUMN(J$1),1))</f>
        <v/>
      </c>
      <c r="BS403" s="74"/>
      <c r="CQ403" s="37"/>
      <c r="CR403" s="37"/>
    </row>
    <row r="404" ht="18.75" customHeight="1">
      <c r="B404" s="71"/>
      <c r="C404" s="37" t="s">
        <v>2900</v>
      </c>
      <c r="D404" s="72" t="str">
        <f t="shared" si="18"/>
        <v>0/0/0</v>
      </c>
      <c r="E404" s="37">
        <v>1.0</v>
      </c>
      <c r="K404" s="73"/>
      <c r="P404" s="37" t="s">
        <v>29</v>
      </c>
      <c r="Q404" s="64"/>
      <c r="R404" s="64"/>
      <c r="S404" s="64"/>
      <c r="T404" s="64"/>
      <c r="U404" s="64"/>
      <c r="V404" s="64"/>
      <c r="W404" s="64"/>
      <c r="X404" s="64"/>
      <c r="Y404" s="64"/>
      <c r="Z404" s="64"/>
      <c r="AA404" s="64"/>
      <c r="BG404" s="37" t="str">
        <f t="array" ref="BG404">IF($A404="","", INDEX(CS!$B$1:$B$15025,MATCH($A404,CS!$B:$B,0)+COLUMN(A$1),1))</f>
        <v/>
      </c>
      <c r="BH404" s="37" t="str">
        <f t="array" ref="BH404">IF($A404="","", INDEX(CS!$B$1:$B$15025,MATCH($A404,CS!$B:$B,0)+COLUMN(B$1),1))</f>
        <v/>
      </c>
      <c r="BI404" s="37" t="str">
        <f t="array" ref="BI404">IF($A404="","", INDEX(CS!$B$1:$B$15025,MATCH($A404,CS!$B:$B,0)+COLUMN(C$1),1))</f>
        <v/>
      </c>
      <c r="BJ404" s="37" t="str">
        <f t="array" ref="BJ404">IF($A404="","", INDEX(CS!$B$1:$B$15025,MATCH($A404,CS!$B:$B,0)+COLUMN(D$1),1))</f>
        <v/>
      </c>
      <c r="BK404" s="37" t="str">
        <f t="array" ref="BK404">IF($A404="","", INDEX(CS!$B$1:$B$15025,MATCH($A404,CS!$B:$B,0)+COLUMN(E$1),1))</f>
        <v/>
      </c>
      <c r="BL404" s="37" t="str">
        <f t="array" ref="BL404">IF($A404="","", INDEX(CS!$B$1:$B$15025,MATCH($A404,CS!$B:$B,0)+COLUMN(F$1),1))</f>
        <v/>
      </c>
      <c r="BM404" s="37" t="str">
        <f t="array" ref="BM404">IF($A404="","", INDEX(CS!$B$1:$B$15025,MATCH($A404,CS!$B:$B,0)+COLUMN(G$1),1))</f>
        <v/>
      </c>
      <c r="BN404" s="37" t="str">
        <f t="array" ref="BN404">IF($A404="","", INDEX(CS!$B$1:$B$15025,MATCH($A404,CS!$B:$B,0)+COLUMN(H$1),1))</f>
        <v/>
      </c>
      <c r="BO404" s="37" t="str">
        <f t="array" ref="BO404">IF($A404="","", INDEX(CS!$B$1:$B$15025,MATCH($A404,CS!$B:$B,0)+COLUMN(I$1),1))</f>
        <v/>
      </c>
      <c r="BP404" s="37" t="str">
        <f t="array" ref="BP404">IF($A404="","", INDEX(CS!$B$1:$B$15025,MATCH($A404,CS!$B:$B,0)+COLUMN(J$1),1))</f>
        <v/>
      </c>
      <c r="BS404" s="74"/>
      <c r="CQ404" s="37"/>
      <c r="CR404" s="37"/>
    </row>
    <row r="405" ht="18.75" customHeight="1">
      <c r="B405" s="71"/>
      <c r="C405" s="37" t="s">
        <v>2900</v>
      </c>
      <c r="D405" s="72" t="str">
        <f t="shared" si="18"/>
        <v>0/0/0</v>
      </c>
      <c r="E405" s="37">
        <v>1.0</v>
      </c>
      <c r="K405" s="73"/>
      <c r="P405" s="37" t="s">
        <v>29</v>
      </c>
      <c r="Q405" s="64"/>
      <c r="R405" s="64"/>
      <c r="S405" s="64"/>
      <c r="T405" s="64"/>
      <c r="U405" s="64"/>
      <c r="V405" s="64"/>
      <c r="W405" s="64"/>
      <c r="X405" s="64"/>
      <c r="Y405" s="64"/>
      <c r="Z405" s="64"/>
      <c r="AA405" s="64"/>
      <c r="BG405" s="37" t="str">
        <f t="array" ref="BG405">IF($A405="","", INDEX(CS!$B$1:$B$15025,MATCH($A405,CS!$B:$B,0)+COLUMN(A$1),1))</f>
        <v/>
      </c>
      <c r="BH405" s="37" t="str">
        <f t="array" ref="BH405">IF($A405="","", INDEX(CS!$B$1:$B$15025,MATCH($A405,CS!$B:$B,0)+COLUMN(B$1),1))</f>
        <v/>
      </c>
      <c r="BI405" s="37" t="str">
        <f t="array" ref="BI405">IF($A405="","", INDEX(CS!$B$1:$B$15025,MATCH($A405,CS!$B:$B,0)+COLUMN(C$1),1))</f>
        <v/>
      </c>
      <c r="BJ405" s="37" t="str">
        <f t="array" ref="BJ405">IF($A405="","", INDEX(CS!$B$1:$B$15025,MATCH($A405,CS!$B:$B,0)+COLUMN(D$1),1))</f>
        <v/>
      </c>
      <c r="BK405" s="37" t="str">
        <f t="array" ref="BK405">IF($A405="","", INDEX(CS!$B$1:$B$15025,MATCH($A405,CS!$B:$B,0)+COLUMN(E$1),1))</f>
        <v/>
      </c>
      <c r="BL405" s="37" t="str">
        <f t="array" ref="BL405">IF($A405="","", INDEX(CS!$B$1:$B$15025,MATCH($A405,CS!$B:$B,0)+COLUMN(F$1),1))</f>
        <v/>
      </c>
      <c r="BM405" s="37" t="str">
        <f t="array" ref="BM405">IF($A405="","", INDEX(CS!$B$1:$B$15025,MATCH($A405,CS!$B:$B,0)+COLUMN(G$1),1))</f>
        <v/>
      </c>
      <c r="BN405" s="37" t="str">
        <f t="array" ref="BN405">IF($A405="","", INDEX(CS!$B$1:$B$15025,MATCH($A405,CS!$B:$B,0)+COLUMN(H$1),1))</f>
        <v/>
      </c>
      <c r="BO405" s="37" t="str">
        <f t="array" ref="BO405">IF($A405="","", INDEX(CS!$B$1:$B$15025,MATCH($A405,CS!$B:$B,0)+COLUMN(I$1),1))</f>
        <v/>
      </c>
      <c r="BP405" s="37" t="str">
        <f t="array" ref="BP405">IF($A405="","", INDEX(CS!$B$1:$B$15025,MATCH($A405,CS!$B:$B,0)+COLUMN(J$1),1))</f>
        <v/>
      </c>
      <c r="BS405" s="74"/>
      <c r="CQ405" s="37"/>
      <c r="CR405" s="37"/>
    </row>
    <row r="406" ht="18.75" customHeight="1">
      <c r="B406" s="71"/>
      <c r="C406" s="37" t="s">
        <v>2900</v>
      </c>
      <c r="D406" s="72" t="str">
        <f t="shared" si="18"/>
        <v>0/0/0</v>
      </c>
      <c r="E406" s="37">
        <v>1.0</v>
      </c>
      <c r="K406" s="73"/>
      <c r="P406" s="37" t="s">
        <v>29</v>
      </c>
      <c r="Q406" s="64"/>
      <c r="R406" s="64"/>
      <c r="S406" s="64"/>
      <c r="T406" s="64"/>
      <c r="U406" s="64"/>
      <c r="V406" s="64"/>
      <c r="W406" s="64"/>
      <c r="X406" s="64"/>
      <c r="Y406" s="64"/>
      <c r="Z406" s="64"/>
      <c r="AA406" s="64"/>
      <c r="BG406" s="37" t="str">
        <f t="array" ref="BG406">IF($A406="","", INDEX(CS!$B$1:$B$15025,MATCH($A406,CS!$B:$B,0)+COLUMN(A$1),1))</f>
        <v/>
      </c>
      <c r="BH406" s="37" t="str">
        <f t="array" ref="BH406">IF($A406="","", INDEX(CS!$B$1:$B$15025,MATCH($A406,CS!$B:$B,0)+COLUMN(B$1),1))</f>
        <v/>
      </c>
      <c r="BI406" s="37" t="str">
        <f t="array" ref="BI406">IF($A406="","", INDEX(CS!$B$1:$B$15025,MATCH($A406,CS!$B:$B,0)+COLUMN(C$1),1))</f>
        <v/>
      </c>
      <c r="BJ406" s="37" t="str">
        <f t="array" ref="BJ406">IF($A406="","", INDEX(CS!$B$1:$B$15025,MATCH($A406,CS!$B:$B,0)+COLUMN(D$1),1))</f>
        <v/>
      </c>
      <c r="BK406" s="37" t="str">
        <f t="array" ref="BK406">IF($A406="","", INDEX(CS!$B$1:$B$15025,MATCH($A406,CS!$B:$B,0)+COLUMN(E$1),1))</f>
        <v/>
      </c>
      <c r="BL406" s="37" t="str">
        <f t="array" ref="BL406">IF($A406="","", INDEX(CS!$B$1:$B$15025,MATCH($A406,CS!$B:$B,0)+COLUMN(F$1),1))</f>
        <v/>
      </c>
      <c r="BM406" s="37" t="str">
        <f t="array" ref="BM406">IF($A406="","", INDEX(CS!$B$1:$B$15025,MATCH($A406,CS!$B:$B,0)+COLUMN(G$1),1))</f>
        <v/>
      </c>
      <c r="BN406" s="37" t="str">
        <f t="array" ref="BN406">IF($A406="","", INDEX(CS!$B$1:$B$15025,MATCH($A406,CS!$B:$B,0)+COLUMN(H$1),1))</f>
        <v/>
      </c>
      <c r="BO406" s="37" t="str">
        <f t="array" ref="BO406">IF($A406="","", INDEX(CS!$B$1:$B$15025,MATCH($A406,CS!$B:$B,0)+COLUMN(I$1),1))</f>
        <v/>
      </c>
      <c r="BP406" s="37" t="str">
        <f t="array" ref="BP406">IF($A406="","", INDEX(CS!$B$1:$B$15025,MATCH($A406,CS!$B:$B,0)+COLUMN(J$1),1))</f>
        <v/>
      </c>
      <c r="BS406" s="74"/>
      <c r="CQ406" s="37"/>
      <c r="CR406" s="37"/>
    </row>
    <row r="407" ht="18.75" customHeight="1">
      <c r="B407" s="71"/>
      <c r="C407" s="37" t="s">
        <v>2900</v>
      </c>
      <c r="D407" s="72" t="str">
        <f t="shared" si="18"/>
        <v>0/0/0</v>
      </c>
      <c r="E407" s="37">
        <v>1.0</v>
      </c>
      <c r="K407" s="73"/>
      <c r="P407" s="37" t="s">
        <v>29</v>
      </c>
      <c r="Q407" s="64"/>
      <c r="R407" s="64"/>
      <c r="S407" s="64"/>
      <c r="T407" s="64"/>
      <c r="U407" s="64"/>
      <c r="V407" s="64"/>
      <c r="W407" s="64"/>
      <c r="X407" s="64"/>
      <c r="Y407" s="64"/>
      <c r="Z407" s="64"/>
      <c r="AA407" s="64"/>
      <c r="BG407" s="37" t="str">
        <f t="array" ref="BG407">IF($A407="","", INDEX(CS!$B$1:$B$15025,MATCH($A407,CS!$B:$B,0)+COLUMN(A$1),1))</f>
        <v/>
      </c>
      <c r="BH407" s="37" t="str">
        <f t="array" ref="BH407">IF($A407="","", INDEX(CS!$B$1:$B$15025,MATCH($A407,CS!$B:$B,0)+COLUMN(B$1),1))</f>
        <v/>
      </c>
      <c r="BI407" s="37" t="str">
        <f t="array" ref="BI407">IF($A407="","", INDEX(CS!$B$1:$B$15025,MATCH($A407,CS!$B:$B,0)+COLUMN(C$1),1))</f>
        <v/>
      </c>
      <c r="BJ407" s="37" t="str">
        <f t="array" ref="BJ407">IF($A407="","", INDEX(CS!$B$1:$B$15025,MATCH($A407,CS!$B:$B,0)+COLUMN(D$1),1))</f>
        <v/>
      </c>
      <c r="BK407" s="37" t="str">
        <f t="array" ref="BK407">IF($A407="","", INDEX(CS!$B$1:$B$15025,MATCH($A407,CS!$B:$B,0)+COLUMN(E$1),1))</f>
        <v/>
      </c>
      <c r="BL407" s="37" t="str">
        <f t="array" ref="BL407">IF($A407="","", INDEX(CS!$B$1:$B$15025,MATCH($A407,CS!$B:$B,0)+COLUMN(F$1),1))</f>
        <v/>
      </c>
      <c r="BM407" s="37" t="str">
        <f t="array" ref="BM407">IF($A407="","", INDEX(CS!$B$1:$B$15025,MATCH($A407,CS!$B:$B,0)+COLUMN(G$1),1))</f>
        <v/>
      </c>
      <c r="BN407" s="37" t="str">
        <f t="array" ref="BN407">IF($A407="","", INDEX(CS!$B$1:$B$15025,MATCH($A407,CS!$B:$B,0)+COLUMN(H$1),1))</f>
        <v/>
      </c>
      <c r="BO407" s="37" t="str">
        <f t="array" ref="BO407">IF($A407="","", INDEX(CS!$B$1:$B$15025,MATCH($A407,CS!$B:$B,0)+COLUMN(I$1),1))</f>
        <v/>
      </c>
      <c r="BP407" s="37" t="str">
        <f t="array" ref="BP407">IF($A407="","", INDEX(CS!$B$1:$B$15025,MATCH($A407,CS!$B:$B,0)+COLUMN(J$1),1))</f>
        <v/>
      </c>
      <c r="BS407" s="74"/>
      <c r="CQ407" s="37"/>
      <c r="CR407" s="37"/>
    </row>
    <row r="408" ht="18.75" customHeight="1">
      <c r="B408" s="71"/>
      <c r="C408" s="37" t="s">
        <v>2900</v>
      </c>
      <c r="D408" s="72" t="str">
        <f t="shared" si="18"/>
        <v>0/0/0</v>
      </c>
      <c r="E408" s="37">
        <v>1.0</v>
      </c>
      <c r="K408" s="73"/>
      <c r="P408" s="37" t="s">
        <v>29</v>
      </c>
      <c r="Q408" s="64"/>
      <c r="R408" s="64"/>
      <c r="S408" s="64"/>
      <c r="T408" s="64"/>
      <c r="U408" s="64"/>
      <c r="V408" s="64"/>
      <c r="W408" s="64"/>
      <c r="X408" s="64"/>
      <c r="Y408" s="64"/>
      <c r="Z408" s="64"/>
      <c r="AA408" s="64"/>
      <c r="BG408" s="37" t="str">
        <f t="array" ref="BG408">IF($A408="","", INDEX(CS!$B$1:$B$15025,MATCH($A408,CS!$B:$B,0)+COLUMN(A$1),1))</f>
        <v/>
      </c>
      <c r="BH408" s="37" t="str">
        <f t="array" ref="BH408">IF($A408="","", INDEX(CS!$B$1:$B$15025,MATCH($A408,CS!$B:$B,0)+COLUMN(B$1),1))</f>
        <v/>
      </c>
      <c r="BI408" s="37" t="str">
        <f t="array" ref="BI408">IF($A408="","", INDEX(CS!$B$1:$B$15025,MATCH($A408,CS!$B:$B,0)+COLUMN(C$1),1))</f>
        <v/>
      </c>
      <c r="BJ408" s="37" t="str">
        <f t="array" ref="BJ408">IF($A408="","", INDEX(CS!$B$1:$B$15025,MATCH($A408,CS!$B:$B,0)+COLUMN(D$1),1))</f>
        <v/>
      </c>
      <c r="BK408" s="37" t="str">
        <f t="array" ref="BK408">IF($A408="","", INDEX(CS!$B$1:$B$15025,MATCH($A408,CS!$B:$B,0)+COLUMN(E$1),1))</f>
        <v/>
      </c>
      <c r="BL408" s="37" t="str">
        <f t="array" ref="BL408">IF($A408="","", INDEX(CS!$B$1:$B$15025,MATCH($A408,CS!$B:$B,0)+COLUMN(F$1),1))</f>
        <v/>
      </c>
      <c r="BM408" s="37" t="str">
        <f t="array" ref="BM408">IF($A408="","", INDEX(CS!$B$1:$B$15025,MATCH($A408,CS!$B:$B,0)+COLUMN(G$1),1))</f>
        <v/>
      </c>
      <c r="BN408" s="37" t="str">
        <f t="array" ref="BN408">IF($A408="","", INDEX(CS!$B$1:$B$15025,MATCH($A408,CS!$B:$B,0)+COLUMN(H$1),1))</f>
        <v/>
      </c>
      <c r="BO408" s="37" t="str">
        <f t="array" ref="BO408">IF($A408="","", INDEX(CS!$B$1:$B$15025,MATCH($A408,CS!$B:$B,0)+COLUMN(I$1),1))</f>
        <v/>
      </c>
      <c r="BP408" s="37" t="str">
        <f t="array" ref="BP408">IF($A408="","", INDEX(CS!$B$1:$B$15025,MATCH($A408,CS!$B:$B,0)+COLUMN(J$1),1))</f>
        <v/>
      </c>
      <c r="BS408" s="74"/>
      <c r="CQ408" s="37"/>
      <c r="CR408" s="37"/>
    </row>
    <row r="409" ht="18.75" customHeight="1">
      <c r="B409" s="71"/>
      <c r="C409" s="37" t="s">
        <v>2900</v>
      </c>
      <c r="D409" s="72" t="str">
        <f t="shared" si="18"/>
        <v>0/0/0</v>
      </c>
      <c r="E409" s="37">
        <v>1.0</v>
      </c>
      <c r="K409" s="73"/>
      <c r="P409" s="37" t="s">
        <v>29</v>
      </c>
      <c r="Q409" s="64"/>
      <c r="R409" s="64"/>
      <c r="S409" s="64"/>
      <c r="T409" s="64"/>
      <c r="U409" s="64"/>
      <c r="V409" s="64"/>
      <c r="W409" s="64"/>
      <c r="X409" s="64"/>
      <c r="Y409" s="64"/>
      <c r="Z409" s="64"/>
      <c r="AA409" s="64"/>
      <c r="BG409" s="37" t="str">
        <f t="array" ref="BG409">IF($A409="","", INDEX(CS!$B$1:$B$15025,MATCH($A409,CS!$B:$B,0)+COLUMN(A$1),1))</f>
        <v/>
      </c>
      <c r="BH409" s="37" t="str">
        <f t="array" ref="BH409">IF($A409="","", INDEX(CS!$B$1:$B$15025,MATCH($A409,CS!$B:$B,0)+COLUMN(B$1),1))</f>
        <v/>
      </c>
      <c r="BI409" s="37" t="str">
        <f t="array" ref="BI409">IF($A409="","", INDEX(CS!$B$1:$B$15025,MATCH($A409,CS!$B:$B,0)+COLUMN(C$1),1))</f>
        <v/>
      </c>
      <c r="BJ409" s="37" t="str">
        <f t="array" ref="BJ409">IF($A409="","", INDEX(CS!$B$1:$B$15025,MATCH($A409,CS!$B:$B,0)+COLUMN(D$1),1))</f>
        <v/>
      </c>
      <c r="BK409" s="37" t="str">
        <f t="array" ref="BK409">IF($A409="","", INDEX(CS!$B$1:$B$15025,MATCH($A409,CS!$B:$B,0)+COLUMN(E$1),1))</f>
        <v/>
      </c>
      <c r="BL409" s="37" t="str">
        <f t="array" ref="BL409">IF($A409="","", INDEX(CS!$B$1:$B$15025,MATCH($A409,CS!$B:$B,0)+COLUMN(F$1),1))</f>
        <v/>
      </c>
      <c r="BM409" s="37" t="str">
        <f t="array" ref="BM409">IF($A409="","", INDEX(CS!$B$1:$B$15025,MATCH($A409,CS!$B:$B,0)+COLUMN(G$1),1))</f>
        <v/>
      </c>
      <c r="BN409" s="37" t="str">
        <f t="array" ref="BN409">IF($A409="","", INDEX(CS!$B$1:$B$15025,MATCH($A409,CS!$B:$B,0)+COLUMN(H$1),1))</f>
        <v/>
      </c>
      <c r="BO409" s="37" t="str">
        <f t="array" ref="BO409">IF($A409="","", INDEX(CS!$B$1:$B$15025,MATCH($A409,CS!$B:$B,0)+COLUMN(I$1),1))</f>
        <v/>
      </c>
      <c r="BP409" s="37" t="str">
        <f t="array" ref="BP409">IF($A409="","", INDEX(CS!$B$1:$B$15025,MATCH($A409,CS!$B:$B,0)+COLUMN(J$1),1))</f>
        <v/>
      </c>
      <c r="BS409" s="74"/>
      <c r="CQ409" s="37"/>
      <c r="CR409" s="37"/>
    </row>
    <row r="410" ht="18.75" customHeight="1">
      <c r="B410" s="71"/>
      <c r="C410" s="37" t="s">
        <v>2900</v>
      </c>
      <c r="D410" s="72" t="str">
        <f t="shared" si="18"/>
        <v>0/0/0</v>
      </c>
      <c r="E410" s="37">
        <v>1.0</v>
      </c>
      <c r="K410" s="73"/>
      <c r="P410" s="37" t="s">
        <v>29</v>
      </c>
      <c r="Q410" s="64"/>
      <c r="R410" s="64"/>
      <c r="S410" s="64"/>
      <c r="T410" s="64"/>
      <c r="U410" s="64"/>
      <c r="V410" s="64"/>
      <c r="W410" s="64"/>
      <c r="X410" s="64"/>
      <c r="Y410" s="64"/>
      <c r="Z410" s="64"/>
      <c r="AA410" s="64"/>
      <c r="BG410" s="37" t="str">
        <f t="array" ref="BG410">IF($A410="","", INDEX(CS!$B$1:$B$15025,MATCH($A410,CS!$B:$B,0)+COLUMN(A$1),1))</f>
        <v/>
      </c>
      <c r="BH410" s="37" t="str">
        <f t="array" ref="BH410">IF($A410="","", INDEX(CS!$B$1:$B$15025,MATCH($A410,CS!$B:$B,0)+COLUMN(B$1),1))</f>
        <v/>
      </c>
      <c r="BI410" s="37" t="str">
        <f t="array" ref="BI410">IF($A410="","", INDEX(CS!$B$1:$B$15025,MATCH($A410,CS!$B:$B,0)+COLUMN(C$1),1))</f>
        <v/>
      </c>
      <c r="BJ410" s="37" t="str">
        <f t="array" ref="BJ410">IF($A410="","", INDEX(CS!$B$1:$B$15025,MATCH($A410,CS!$B:$B,0)+COLUMN(D$1),1))</f>
        <v/>
      </c>
      <c r="BK410" s="37" t="str">
        <f t="array" ref="BK410">IF($A410="","", INDEX(CS!$B$1:$B$15025,MATCH($A410,CS!$B:$B,0)+COLUMN(E$1),1))</f>
        <v/>
      </c>
      <c r="BL410" s="37" t="str">
        <f t="array" ref="BL410">IF($A410="","", INDEX(CS!$B$1:$B$15025,MATCH($A410,CS!$B:$B,0)+COLUMN(F$1),1))</f>
        <v/>
      </c>
      <c r="BM410" s="37" t="str">
        <f t="array" ref="BM410">IF($A410="","", INDEX(CS!$B$1:$B$15025,MATCH($A410,CS!$B:$B,0)+COLUMN(G$1),1))</f>
        <v/>
      </c>
      <c r="BN410" s="37" t="str">
        <f t="array" ref="BN410">IF($A410="","", INDEX(CS!$B$1:$B$15025,MATCH($A410,CS!$B:$B,0)+COLUMN(H$1),1))</f>
        <v/>
      </c>
      <c r="BO410" s="37" t="str">
        <f t="array" ref="BO410">IF($A410="","", INDEX(CS!$B$1:$B$15025,MATCH($A410,CS!$B:$B,0)+COLUMN(I$1),1))</f>
        <v/>
      </c>
      <c r="BP410" s="37" t="str">
        <f t="array" ref="BP410">IF($A410="","", INDEX(CS!$B$1:$B$15025,MATCH($A410,CS!$B:$B,0)+COLUMN(J$1),1))</f>
        <v/>
      </c>
      <c r="BS410" s="74"/>
      <c r="CQ410" s="37"/>
      <c r="CR410" s="37"/>
    </row>
    <row r="411" ht="18.75" customHeight="1">
      <c r="B411" s="71"/>
      <c r="C411" s="37" t="s">
        <v>2900</v>
      </c>
      <c r="D411" s="72" t="str">
        <f t="shared" si="18"/>
        <v>0/0/0</v>
      </c>
      <c r="E411" s="37">
        <v>1.0</v>
      </c>
      <c r="K411" s="73"/>
      <c r="P411" s="37" t="s">
        <v>29</v>
      </c>
      <c r="Q411" s="64"/>
      <c r="R411" s="64"/>
      <c r="S411" s="64"/>
      <c r="T411" s="64"/>
      <c r="U411" s="64"/>
      <c r="V411" s="64"/>
      <c r="W411" s="64"/>
      <c r="X411" s="64"/>
      <c r="Y411" s="64"/>
      <c r="Z411" s="64"/>
      <c r="AA411" s="64"/>
      <c r="BG411" s="37" t="str">
        <f t="array" ref="BG411">IF($A411="","", INDEX(CS!$B$1:$B$15025,MATCH($A411,CS!$B:$B,0)+COLUMN(A$1),1))</f>
        <v/>
      </c>
      <c r="BH411" s="37" t="str">
        <f t="array" ref="BH411">IF($A411="","", INDEX(CS!$B$1:$B$15025,MATCH($A411,CS!$B:$B,0)+COLUMN(B$1),1))</f>
        <v/>
      </c>
      <c r="BI411" s="37" t="str">
        <f t="array" ref="BI411">IF($A411="","", INDEX(CS!$B$1:$B$15025,MATCH($A411,CS!$B:$B,0)+COLUMN(C$1),1))</f>
        <v/>
      </c>
      <c r="BJ411" s="37" t="str">
        <f t="array" ref="BJ411">IF($A411="","", INDEX(CS!$B$1:$B$15025,MATCH($A411,CS!$B:$B,0)+COLUMN(D$1),1))</f>
        <v/>
      </c>
      <c r="BK411" s="37" t="str">
        <f t="array" ref="BK411">IF($A411="","", INDEX(CS!$B$1:$B$15025,MATCH($A411,CS!$B:$B,0)+COLUMN(E$1),1))</f>
        <v/>
      </c>
      <c r="BL411" s="37" t="str">
        <f t="array" ref="BL411">IF($A411="","", INDEX(CS!$B$1:$B$15025,MATCH($A411,CS!$B:$B,0)+COLUMN(F$1),1))</f>
        <v/>
      </c>
      <c r="BM411" s="37" t="str">
        <f t="array" ref="BM411">IF($A411="","", INDEX(CS!$B$1:$B$15025,MATCH($A411,CS!$B:$B,0)+COLUMN(G$1),1))</f>
        <v/>
      </c>
      <c r="BN411" s="37" t="str">
        <f t="array" ref="BN411">IF($A411="","", INDEX(CS!$B$1:$B$15025,MATCH($A411,CS!$B:$B,0)+COLUMN(H$1),1))</f>
        <v/>
      </c>
      <c r="BO411" s="37" t="str">
        <f t="array" ref="BO411">IF($A411="","", INDEX(CS!$B$1:$B$15025,MATCH($A411,CS!$B:$B,0)+COLUMN(I$1),1))</f>
        <v/>
      </c>
      <c r="BP411" s="37" t="str">
        <f t="array" ref="BP411">IF($A411="","", INDEX(CS!$B$1:$B$15025,MATCH($A411,CS!$B:$B,0)+COLUMN(J$1),1))</f>
        <v/>
      </c>
      <c r="BS411" s="74"/>
      <c r="CQ411" s="37"/>
      <c r="CR411" s="37"/>
    </row>
    <row r="412" ht="18.75" customHeight="1">
      <c r="B412" s="71"/>
      <c r="C412" s="37" t="s">
        <v>2900</v>
      </c>
      <c r="D412" s="72" t="str">
        <f t="shared" si="18"/>
        <v>0/0/0</v>
      </c>
      <c r="E412" s="37">
        <v>1.0</v>
      </c>
      <c r="K412" s="73"/>
      <c r="P412" s="37" t="s">
        <v>29</v>
      </c>
      <c r="Q412" s="64"/>
      <c r="R412" s="64"/>
      <c r="S412" s="64"/>
      <c r="T412" s="64"/>
      <c r="U412" s="64"/>
      <c r="V412" s="64"/>
      <c r="W412" s="64"/>
      <c r="X412" s="64"/>
      <c r="Y412" s="64"/>
      <c r="Z412" s="64"/>
      <c r="AA412" s="64"/>
      <c r="BG412" s="37" t="str">
        <f t="array" ref="BG412">IF($A412="","", INDEX(CS!$B$1:$B$15025,MATCH($A412,CS!$B:$B,0)+COLUMN(A$1),1))</f>
        <v/>
      </c>
      <c r="BH412" s="37" t="str">
        <f t="array" ref="BH412">IF($A412="","", INDEX(CS!$B$1:$B$15025,MATCH($A412,CS!$B:$B,0)+COLUMN(B$1),1))</f>
        <v/>
      </c>
      <c r="BI412" s="37" t="str">
        <f t="array" ref="BI412">IF($A412="","", INDEX(CS!$B$1:$B$15025,MATCH($A412,CS!$B:$B,0)+COLUMN(C$1),1))</f>
        <v/>
      </c>
      <c r="BJ412" s="37" t="str">
        <f t="array" ref="BJ412">IF($A412="","", INDEX(CS!$B$1:$B$15025,MATCH($A412,CS!$B:$B,0)+COLUMN(D$1),1))</f>
        <v/>
      </c>
      <c r="BK412" s="37" t="str">
        <f t="array" ref="BK412">IF($A412="","", INDEX(CS!$B$1:$B$15025,MATCH($A412,CS!$B:$B,0)+COLUMN(E$1),1))</f>
        <v/>
      </c>
      <c r="BL412" s="37" t="str">
        <f t="array" ref="BL412">IF($A412="","", INDEX(CS!$B$1:$B$15025,MATCH($A412,CS!$B:$B,0)+COLUMN(F$1),1))</f>
        <v/>
      </c>
      <c r="BM412" s="37" t="str">
        <f t="array" ref="BM412">IF($A412="","", INDEX(CS!$B$1:$B$15025,MATCH($A412,CS!$B:$B,0)+COLUMN(G$1),1))</f>
        <v/>
      </c>
      <c r="BN412" s="37" t="str">
        <f t="array" ref="BN412">IF($A412="","", INDEX(CS!$B$1:$B$15025,MATCH($A412,CS!$B:$B,0)+COLUMN(H$1),1))</f>
        <v/>
      </c>
      <c r="BO412" s="37" t="str">
        <f t="array" ref="BO412">IF($A412="","", INDEX(CS!$B$1:$B$15025,MATCH($A412,CS!$B:$B,0)+COLUMN(I$1),1))</f>
        <v/>
      </c>
      <c r="BP412" s="37" t="str">
        <f t="array" ref="BP412">IF($A412="","", INDEX(CS!$B$1:$B$15025,MATCH($A412,CS!$B:$B,0)+COLUMN(J$1),1))</f>
        <v/>
      </c>
      <c r="BS412" s="74"/>
      <c r="CQ412" s="37"/>
      <c r="CR412" s="37"/>
    </row>
    <row r="413" ht="18.75" customHeight="1">
      <c r="B413" s="71"/>
      <c r="C413" s="37" t="s">
        <v>2900</v>
      </c>
      <c r="D413" s="72" t="str">
        <f t="shared" si="18"/>
        <v>0/0/0</v>
      </c>
      <c r="E413" s="37">
        <v>1.0</v>
      </c>
      <c r="K413" s="73"/>
      <c r="P413" s="37" t="s">
        <v>29</v>
      </c>
      <c r="Q413" s="64"/>
      <c r="R413" s="64"/>
      <c r="S413" s="64"/>
      <c r="T413" s="64"/>
      <c r="U413" s="64"/>
      <c r="V413" s="64"/>
      <c r="W413" s="64"/>
      <c r="X413" s="64"/>
      <c r="Y413" s="64"/>
      <c r="Z413" s="64"/>
      <c r="AA413" s="64"/>
      <c r="BG413" s="37" t="str">
        <f t="array" ref="BG413">IF($A413="","", INDEX(CS!$B$1:$B$15025,MATCH($A413,CS!$B:$B,0)+COLUMN(A$1),1))</f>
        <v/>
      </c>
      <c r="BH413" s="37" t="str">
        <f t="array" ref="BH413">IF($A413="","", INDEX(CS!$B$1:$B$15025,MATCH($A413,CS!$B:$B,0)+COLUMN(B$1),1))</f>
        <v/>
      </c>
      <c r="BI413" s="37" t="str">
        <f t="array" ref="BI413">IF($A413="","", INDEX(CS!$B$1:$B$15025,MATCH($A413,CS!$B:$B,0)+COLUMN(C$1),1))</f>
        <v/>
      </c>
      <c r="BJ413" s="37" t="str">
        <f t="array" ref="BJ413">IF($A413="","", INDEX(CS!$B$1:$B$15025,MATCH($A413,CS!$B:$B,0)+COLUMN(D$1),1))</f>
        <v/>
      </c>
      <c r="BK413" s="37" t="str">
        <f t="array" ref="BK413">IF($A413="","", INDEX(CS!$B$1:$B$15025,MATCH($A413,CS!$B:$B,0)+COLUMN(E$1),1))</f>
        <v/>
      </c>
      <c r="BL413" s="37" t="str">
        <f t="array" ref="BL413">IF($A413="","", INDEX(CS!$B$1:$B$15025,MATCH($A413,CS!$B:$B,0)+COLUMN(F$1),1))</f>
        <v/>
      </c>
      <c r="BM413" s="37" t="str">
        <f t="array" ref="BM413">IF($A413="","", INDEX(CS!$B$1:$B$15025,MATCH($A413,CS!$B:$B,0)+COLUMN(G$1),1))</f>
        <v/>
      </c>
      <c r="BN413" s="37" t="str">
        <f t="array" ref="BN413">IF($A413="","", INDEX(CS!$B$1:$B$15025,MATCH($A413,CS!$B:$B,0)+COLUMN(H$1),1))</f>
        <v/>
      </c>
      <c r="BO413" s="37" t="str">
        <f t="array" ref="BO413">IF($A413="","", INDEX(CS!$B$1:$B$15025,MATCH($A413,CS!$B:$B,0)+COLUMN(I$1),1))</f>
        <v/>
      </c>
      <c r="BP413" s="37" t="str">
        <f t="array" ref="BP413">IF($A413="","", INDEX(CS!$B$1:$B$15025,MATCH($A413,CS!$B:$B,0)+COLUMN(J$1),1))</f>
        <v/>
      </c>
      <c r="BS413" s="74"/>
      <c r="CQ413" s="37"/>
      <c r="CR413" s="37"/>
    </row>
    <row r="414" ht="18.75" customHeight="1">
      <c r="B414" s="71"/>
      <c r="C414" s="37" t="s">
        <v>2900</v>
      </c>
      <c r="D414" s="72" t="str">
        <f t="shared" si="18"/>
        <v>0/0/0</v>
      </c>
      <c r="E414" s="37">
        <v>1.0</v>
      </c>
      <c r="K414" s="73"/>
      <c r="P414" s="37" t="s">
        <v>29</v>
      </c>
      <c r="Q414" s="64"/>
      <c r="R414" s="64"/>
      <c r="S414" s="64"/>
      <c r="T414" s="64"/>
      <c r="U414" s="64"/>
      <c r="V414" s="64"/>
      <c r="W414" s="64"/>
      <c r="X414" s="64"/>
      <c r="Y414" s="64"/>
      <c r="Z414" s="64"/>
      <c r="AA414" s="64"/>
      <c r="BG414" s="37" t="str">
        <f t="array" ref="BG414">IF($A414="","", INDEX(CS!$B$1:$B$15025,MATCH($A414,CS!$B:$B,0)+COLUMN(A$1),1))</f>
        <v/>
      </c>
      <c r="BH414" s="37" t="str">
        <f t="array" ref="BH414">IF($A414="","", INDEX(CS!$B$1:$B$15025,MATCH($A414,CS!$B:$B,0)+COLUMN(B$1),1))</f>
        <v/>
      </c>
      <c r="BI414" s="37" t="str">
        <f t="array" ref="BI414">IF($A414="","", INDEX(CS!$B$1:$B$15025,MATCH($A414,CS!$B:$B,0)+COLUMN(C$1),1))</f>
        <v/>
      </c>
      <c r="BJ414" s="37" t="str">
        <f t="array" ref="BJ414">IF($A414="","", INDEX(CS!$B$1:$B$15025,MATCH($A414,CS!$B:$B,0)+COLUMN(D$1),1))</f>
        <v/>
      </c>
      <c r="BK414" s="37" t="str">
        <f t="array" ref="BK414">IF($A414="","", INDEX(CS!$B$1:$B$15025,MATCH($A414,CS!$B:$B,0)+COLUMN(E$1),1))</f>
        <v/>
      </c>
      <c r="BL414" s="37" t="str">
        <f t="array" ref="BL414">IF($A414="","", INDEX(CS!$B$1:$B$15025,MATCH($A414,CS!$B:$B,0)+COLUMN(F$1),1))</f>
        <v/>
      </c>
      <c r="BM414" s="37" t="str">
        <f t="array" ref="BM414">IF($A414="","", INDEX(CS!$B$1:$B$15025,MATCH($A414,CS!$B:$B,0)+COLUMN(G$1),1))</f>
        <v/>
      </c>
      <c r="BN414" s="37" t="str">
        <f t="array" ref="BN414">IF($A414="","", INDEX(CS!$B$1:$B$15025,MATCH($A414,CS!$B:$B,0)+COLUMN(H$1),1))</f>
        <v/>
      </c>
      <c r="BO414" s="37" t="str">
        <f t="array" ref="BO414">IF($A414="","", INDEX(CS!$B$1:$B$15025,MATCH($A414,CS!$B:$B,0)+COLUMN(I$1),1))</f>
        <v/>
      </c>
      <c r="BP414" s="37" t="str">
        <f t="array" ref="BP414">IF($A414="","", INDEX(CS!$B$1:$B$15025,MATCH($A414,CS!$B:$B,0)+COLUMN(J$1),1))</f>
        <v/>
      </c>
      <c r="BS414" s="74"/>
      <c r="CQ414" s="37"/>
      <c r="CR414" s="37"/>
    </row>
    <row r="415" ht="18.75" customHeight="1">
      <c r="B415" s="71"/>
      <c r="C415" s="37" t="s">
        <v>2900</v>
      </c>
      <c r="D415" s="72" t="str">
        <f t="shared" si="18"/>
        <v>0/0/0</v>
      </c>
      <c r="E415" s="37">
        <v>1.0</v>
      </c>
      <c r="K415" s="73"/>
      <c r="P415" s="37" t="s">
        <v>29</v>
      </c>
      <c r="Q415" s="64"/>
      <c r="R415" s="64"/>
      <c r="S415" s="64"/>
      <c r="T415" s="64"/>
      <c r="U415" s="64"/>
      <c r="V415" s="64"/>
      <c r="W415" s="64"/>
      <c r="X415" s="64"/>
      <c r="Y415" s="64"/>
      <c r="Z415" s="64"/>
      <c r="AA415" s="64"/>
      <c r="BG415" s="37" t="str">
        <f t="array" ref="BG415">IF($A415="","", INDEX(CS!$B$1:$B$15025,MATCH($A415,CS!$B:$B,0)+COLUMN(A$1),1))</f>
        <v/>
      </c>
      <c r="BH415" s="37" t="str">
        <f t="array" ref="BH415">IF($A415="","", INDEX(CS!$B$1:$B$15025,MATCH($A415,CS!$B:$B,0)+COLUMN(B$1),1))</f>
        <v/>
      </c>
      <c r="BI415" s="37" t="str">
        <f t="array" ref="BI415">IF($A415="","", INDEX(CS!$B$1:$B$15025,MATCH($A415,CS!$B:$B,0)+COLUMN(C$1),1))</f>
        <v/>
      </c>
      <c r="BJ415" s="37" t="str">
        <f t="array" ref="BJ415">IF($A415="","", INDEX(CS!$B$1:$B$15025,MATCH($A415,CS!$B:$B,0)+COLUMN(D$1),1))</f>
        <v/>
      </c>
      <c r="BK415" s="37" t="str">
        <f t="array" ref="BK415">IF($A415="","", INDEX(CS!$B$1:$B$15025,MATCH($A415,CS!$B:$B,0)+COLUMN(E$1),1))</f>
        <v/>
      </c>
      <c r="BL415" s="37" t="str">
        <f t="array" ref="BL415">IF($A415="","", INDEX(CS!$B$1:$B$15025,MATCH($A415,CS!$B:$B,0)+COLUMN(F$1),1))</f>
        <v/>
      </c>
      <c r="BM415" s="37" t="str">
        <f t="array" ref="BM415">IF($A415="","", INDEX(CS!$B$1:$B$15025,MATCH($A415,CS!$B:$B,0)+COLUMN(G$1),1))</f>
        <v/>
      </c>
      <c r="BN415" s="37" t="str">
        <f t="array" ref="BN415">IF($A415="","", INDEX(CS!$B$1:$B$15025,MATCH($A415,CS!$B:$B,0)+COLUMN(H$1),1))</f>
        <v/>
      </c>
      <c r="BO415" s="37" t="str">
        <f t="array" ref="BO415">IF($A415="","", INDEX(CS!$B$1:$B$15025,MATCH($A415,CS!$B:$B,0)+COLUMN(I$1),1))</f>
        <v/>
      </c>
      <c r="BP415" s="37" t="str">
        <f t="array" ref="BP415">IF($A415="","", INDEX(CS!$B$1:$B$15025,MATCH($A415,CS!$B:$B,0)+COLUMN(J$1),1))</f>
        <v/>
      </c>
      <c r="BS415" s="74"/>
      <c r="CQ415" s="37"/>
      <c r="CR415" s="37"/>
    </row>
    <row r="416" ht="18.75" customHeight="1">
      <c r="B416" s="71"/>
      <c r="C416" s="37" t="s">
        <v>2900</v>
      </c>
      <c r="D416" s="72" t="str">
        <f t="shared" si="18"/>
        <v>0/0/0</v>
      </c>
      <c r="E416" s="37">
        <v>1.0</v>
      </c>
      <c r="K416" s="73"/>
      <c r="P416" s="37" t="s">
        <v>29</v>
      </c>
      <c r="Q416" s="64"/>
      <c r="R416" s="64"/>
      <c r="S416" s="64"/>
      <c r="T416" s="64"/>
      <c r="U416" s="64"/>
      <c r="V416" s="64"/>
      <c r="W416" s="64"/>
      <c r="X416" s="64"/>
      <c r="Y416" s="64"/>
      <c r="Z416" s="64"/>
      <c r="AA416" s="64"/>
      <c r="BG416" s="37" t="str">
        <f t="array" ref="BG416">IF($A416="","", INDEX(CS!$B$1:$B$15025,MATCH($A416,CS!$B:$B,0)+COLUMN(A$1),1))</f>
        <v/>
      </c>
      <c r="BH416" s="37" t="str">
        <f t="array" ref="BH416">IF($A416="","", INDEX(CS!$B$1:$B$15025,MATCH($A416,CS!$B:$B,0)+COLUMN(B$1),1))</f>
        <v/>
      </c>
      <c r="BI416" s="37" t="str">
        <f t="array" ref="BI416">IF($A416="","", INDEX(CS!$B$1:$B$15025,MATCH($A416,CS!$B:$B,0)+COLUMN(C$1),1))</f>
        <v/>
      </c>
      <c r="BJ416" s="37" t="str">
        <f t="array" ref="BJ416">IF($A416="","", INDEX(CS!$B$1:$B$15025,MATCH($A416,CS!$B:$B,0)+COLUMN(D$1),1))</f>
        <v/>
      </c>
      <c r="BK416" s="37" t="str">
        <f t="array" ref="BK416">IF($A416="","", INDEX(CS!$B$1:$B$15025,MATCH($A416,CS!$B:$B,0)+COLUMN(E$1),1))</f>
        <v/>
      </c>
      <c r="BL416" s="37" t="str">
        <f t="array" ref="BL416">IF($A416="","", INDEX(CS!$B$1:$B$15025,MATCH($A416,CS!$B:$B,0)+COLUMN(F$1),1))</f>
        <v/>
      </c>
      <c r="BM416" s="37" t="str">
        <f t="array" ref="BM416">IF($A416="","", INDEX(CS!$B$1:$B$15025,MATCH($A416,CS!$B:$B,0)+COLUMN(G$1),1))</f>
        <v/>
      </c>
      <c r="BN416" s="37" t="str">
        <f t="array" ref="BN416">IF($A416="","", INDEX(CS!$B$1:$B$15025,MATCH($A416,CS!$B:$B,0)+COLUMN(H$1),1))</f>
        <v/>
      </c>
      <c r="BO416" s="37" t="str">
        <f t="array" ref="BO416">IF($A416="","", INDEX(CS!$B$1:$B$15025,MATCH($A416,CS!$B:$B,0)+COLUMN(I$1),1))</f>
        <v/>
      </c>
      <c r="BP416" s="37" t="str">
        <f t="array" ref="BP416">IF($A416="","", INDEX(CS!$B$1:$B$15025,MATCH($A416,CS!$B:$B,0)+COLUMN(J$1),1))</f>
        <v/>
      </c>
      <c r="BS416" s="74"/>
      <c r="CQ416" s="37"/>
      <c r="CR416" s="37"/>
    </row>
    <row r="417" ht="18.75" customHeight="1">
      <c r="B417" s="71"/>
      <c r="C417" s="37" t="s">
        <v>2900</v>
      </c>
      <c r="D417" s="72" t="str">
        <f t="shared" si="18"/>
        <v>0/0/0</v>
      </c>
      <c r="E417" s="37">
        <v>1.0</v>
      </c>
      <c r="K417" s="73"/>
      <c r="P417" s="37" t="s">
        <v>29</v>
      </c>
      <c r="Q417" s="64"/>
      <c r="R417" s="64"/>
      <c r="S417" s="64"/>
      <c r="T417" s="64"/>
      <c r="U417" s="64"/>
      <c r="V417" s="64"/>
      <c r="W417" s="64"/>
      <c r="X417" s="64"/>
      <c r="Y417" s="64"/>
      <c r="Z417" s="64"/>
      <c r="AA417" s="64"/>
      <c r="BG417" s="37" t="str">
        <f t="array" ref="BG417">IF($A417="","", INDEX(CS!$B$1:$B$15025,MATCH($A417,CS!$B:$B,0)+COLUMN(A$1),1))</f>
        <v/>
      </c>
      <c r="BH417" s="37" t="str">
        <f t="array" ref="BH417">IF($A417="","", INDEX(CS!$B$1:$B$15025,MATCH($A417,CS!$B:$B,0)+COLUMN(B$1),1))</f>
        <v/>
      </c>
      <c r="BI417" s="37" t="str">
        <f t="array" ref="BI417">IF($A417="","", INDEX(CS!$B$1:$B$15025,MATCH($A417,CS!$B:$B,0)+COLUMN(C$1),1))</f>
        <v/>
      </c>
      <c r="BJ417" s="37" t="str">
        <f t="array" ref="BJ417">IF($A417="","", INDEX(CS!$B$1:$B$15025,MATCH($A417,CS!$B:$B,0)+COLUMN(D$1),1))</f>
        <v/>
      </c>
      <c r="BK417" s="37" t="str">
        <f t="array" ref="BK417">IF($A417="","", INDEX(CS!$B$1:$B$15025,MATCH($A417,CS!$B:$B,0)+COLUMN(E$1),1))</f>
        <v/>
      </c>
      <c r="BL417" s="37" t="str">
        <f t="array" ref="BL417">IF($A417="","", INDEX(CS!$B$1:$B$15025,MATCH($A417,CS!$B:$B,0)+COLUMN(F$1),1))</f>
        <v/>
      </c>
      <c r="BM417" s="37" t="str">
        <f t="array" ref="BM417">IF($A417="","", INDEX(CS!$B$1:$B$15025,MATCH($A417,CS!$B:$B,0)+COLUMN(G$1),1))</f>
        <v/>
      </c>
      <c r="BN417" s="37" t="str">
        <f t="array" ref="BN417">IF($A417="","", INDEX(CS!$B$1:$B$15025,MATCH($A417,CS!$B:$B,0)+COLUMN(H$1),1))</f>
        <v/>
      </c>
      <c r="BO417" s="37" t="str">
        <f t="array" ref="BO417">IF($A417="","", INDEX(CS!$B$1:$B$15025,MATCH($A417,CS!$B:$B,0)+COLUMN(I$1),1))</f>
        <v/>
      </c>
      <c r="BP417" s="37" t="str">
        <f t="array" ref="BP417">IF($A417="","", INDEX(CS!$B$1:$B$15025,MATCH($A417,CS!$B:$B,0)+COLUMN(J$1),1))</f>
        <v/>
      </c>
      <c r="BS417" s="74"/>
      <c r="CQ417" s="37"/>
      <c r="CR417" s="37"/>
    </row>
    <row r="418" ht="18.75" customHeight="1">
      <c r="B418" s="71"/>
      <c r="C418" s="37" t="s">
        <v>2900</v>
      </c>
      <c r="D418" s="72" t="str">
        <f t="shared" si="18"/>
        <v>0/0/0</v>
      </c>
      <c r="E418" s="37">
        <v>1.0</v>
      </c>
      <c r="K418" s="73"/>
      <c r="P418" s="37" t="s">
        <v>29</v>
      </c>
      <c r="Q418" s="64"/>
      <c r="R418" s="64"/>
      <c r="S418" s="64"/>
      <c r="T418" s="64"/>
      <c r="U418" s="64"/>
      <c r="V418" s="64"/>
      <c r="W418" s="64"/>
      <c r="X418" s="64"/>
      <c r="Y418" s="64"/>
      <c r="Z418" s="64"/>
      <c r="AA418" s="64"/>
      <c r="BG418" s="37" t="str">
        <f t="array" ref="BG418">IF($A418="","", INDEX(CS!$B$1:$B$15025,MATCH($A418,CS!$B:$B,0)+COLUMN(A$1),1))</f>
        <v/>
      </c>
      <c r="BH418" s="37" t="str">
        <f t="array" ref="BH418">IF($A418="","", INDEX(CS!$B$1:$B$15025,MATCH($A418,CS!$B:$B,0)+COLUMN(B$1),1))</f>
        <v/>
      </c>
      <c r="BI418" s="37" t="str">
        <f t="array" ref="BI418">IF($A418="","", INDEX(CS!$B$1:$B$15025,MATCH($A418,CS!$B:$B,0)+COLUMN(C$1),1))</f>
        <v/>
      </c>
      <c r="BJ418" s="37" t="str">
        <f t="array" ref="BJ418">IF($A418="","", INDEX(CS!$B$1:$B$15025,MATCH($A418,CS!$B:$B,0)+COLUMN(D$1),1))</f>
        <v/>
      </c>
      <c r="BK418" s="37" t="str">
        <f t="array" ref="BK418">IF($A418="","", INDEX(CS!$B$1:$B$15025,MATCH($A418,CS!$B:$B,0)+COLUMN(E$1),1))</f>
        <v/>
      </c>
      <c r="BL418" s="37" t="str">
        <f t="array" ref="BL418">IF($A418="","", INDEX(CS!$B$1:$B$15025,MATCH($A418,CS!$B:$B,0)+COLUMN(F$1),1))</f>
        <v/>
      </c>
      <c r="BM418" s="37" t="str">
        <f t="array" ref="BM418">IF($A418="","", INDEX(CS!$B$1:$B$15025,MATCH($A418,CS!$B:$B,0)+COLUMN(G$1),1))</f>
        <v/>
      </c>
      <c r="BN418" s="37" t="str">
        <f t="array" ref="BN418">IF($A418="","", INDEX(CS!$B$1:$B$15025,MATCH($A418,CS!$B:$B,0)+COLUMN(H$1),1))</f>
        <v/>
      </c>
      <c r="BO418" s="37" t="str">
        <f t="array" ref="BO418">IF($A418="","", INDEX(CS!$B$1:$B$15025,MATCH($A418,CS!$B:$B,0)+COLUMN(I$1),1))</f>
        <v/>
      </c>
      <c r="BP418" s="37" t="str">
        <f t="array" ref="BP418">IF($A418="","", INDEX(CS!$B$1:$B$15025,MATCH($A418,CS!$B:$B,0)+COLUMN(J$1),1))</f>
        <v/>
      </c>
      <c r="BS418" s="74"/>
      <c r="CQ418" s="37"/>
      <c r="CR418" s="37"/>
    </row>
    <row r="419" ht="18.75" customHeight="1">
      <c r="B419" s="71"/>
      <c r="C419" s="37" t="s">
        <v>2900</v>
      </c>
      <c r="D419" s="72" t="str">
        <f t="shared" si="18"/>
        <v>0/0/0</v>
      </c>
      <c r="E419" s="37">
        <v>1.0</v>
      </c>
      <c r="K419" s="73"/>
      <c r="P419" s="37" t="s">
        <v>29</v>
      </c>
      <c r="Q419" s="64"/>
      <c r="R419" s="64"/>
      <c r="S419" s="64"/>
      <c r="T419" s="64"/>
      <c r="U419" s="64"/>
      <c r="V419" s="64"/>
      <c r="W419" s="64"/>
      <c r="X419" s="64"/>
      <c r="Y419" s="64"/>
      <c r="Z419" s="64"/>
      <c r="AA419" s="64"/>
      <c r="BG419" s="37" t="str">
        <f t="array" ref="BG419">IF($A419="","", INDEX(CS!$B$1:$B$15025,MATCH($A419,CS!$B:$B,0)+COLUMN(A$1),1))</f>
        <v/>
      </c>
      <c r="BH419" s="37" t="str">
        <f t="array" ref="BH419">IF($A419="","", INDEX(CS!$B$1:$B$15025,MATCH($A419,CS!$B:$B,0)+COLUMN(B$1),1))</f>
        <v/>
      </c>
      <c r="BI419" s="37" t="str">
        <f t="array" ref="BI419">IF($A419="","", INDEX(CS!$B$1:$B$15025,MATCH($A419,CS!$B:$B,0)+COLUMN(C$1),1))</f>
        <v/>
      </c>
      <c r="BJ419" s="37" t="str">
        <f t="array" ref="BJ419">IF($A419="","", INDEX(CS!$B$1:$B$15025,MATCH($A419,CS!$B:$B,0)+COLUMN(D$1),1))</f>
        <v/>
      </c>
      <c r="BK419" s="37" t="str">
        <f t="array" ref="BK419">IF($A419="","", INDEX(CS!$B$1:$B$15025,MATCH($A419,CS!$B:$B,0)+COLUMN(E$1),1))</f>
        <v/>
      </c>
      <c r="BL419" s="37" t="str">
        <f t="array" ref="BL419">IF($A419="","", INDEX(CS!$B$1:$B$15025,MATCH($A419,CS!$B:$B,0)+COLUMN(F$1),1))</f>
        <v/>
      </c>
      <c r="BM419" s="37" t="str">
        <f t="array" ref="BM419">IF($A419="","", INDEX(CS!$B$1:$B$15025,MATCH($A419,CS!$B:$B,0)+COLUMN(G$1),1))</f>
        <v/>
      </c>
      <c r="BN419" s="37" t="str">
        <f t="array" ref="BN419">IF($A419="","", INDEX(CS!$B$1:$B$15025,MATCH($A419,CS!$B:$B,0)+COLUMN(H$1),1))</f>
        <v/>
      </c>
      <c r="BO419" s="37" t="str">
        <f t="array" ref="BO419">IF($A419="","", INDEX(CS!$B$1:$B$15025,MATCH($A419,CS!$B:$B,0)+COLUMN(I$1),1))</f>
        <v/>
      </c>
      <c r="BP419" s="37" t="str">
        <f t="array" ref="BP419">IF($A419="","", INDEX(CS!$B$1:$B$15025,MATCH($A419,CS!$B:$B,0)+COLUMN(J$1),1))</f>
        <v/>
      </c>
      <c r="BS419" s="74"/>
      <c r="CQ419" s="37"/>
      <c r="CR419" s="37"/>
    </row>
    <row r="420" ht="18.75" customHeight="1">
      <c r="B420" s="71"/>
      <c r="C420" s="37" t="s">
        <v>2900</v>
      </c>
      <c r="D420" s="72" t="str">
        <f t="shared" si="18"/>
        <v>0/0/0</v>
      </c>
      <c r="E420" s="37">
        <v>1.0</v>
      </c>
      <c r="K420" s="73"/>
      <c r="P420" s="37" t="s">
        <v>29</v>
      </c>
      <c r="Q420" s="64"/>
      <c r="R420" s="64"/>
      <c r="S420" s="64"/>
      <c r="T420" s="64"/>
      <c r="U420" s="64"/>
      <c r="V420" s="64"/>
      <c r="W420" s="64"/>
      <c r="X420" s="64"/>
      <c r="Y420" s="64"/>
      <c r="Z420" s="64"/>
      <c r="AA420" s="64"/>
      <c r="BG420" s="37" t="str">
        <f t="array" ref="BG420">IF($A420="","", INDEX(CS!$B$1:$B$15025,MATCH($A420,CS!$B:$B,0)+COLUMN(A$1),1))</f>
        <v/>
      </c>
      <c r="BH420" s="37" t="str">
        <f t="array" ref="BH420">IF($A420="","", INDEX(CS!$B$1:$B$15025,MATCH($A420,CS!$B:$B,0)+COLUMN(B$1),1))</f>
        <v/>
      </c>
      <c r="BI420" s="37" t="str">
        <f t="array" ref="BI420">IF($A420="","", INDEX(CS!$B$1:$B$15025,MATCH($A420,CS!$B:$B,0)+COLUMN(C$1),1))</f>
        <v/>
      </c>
      <c r="BJ420" s="37" t="str">
        <f t="array" ref="BJ420">IF($A420="","", INDEX(CS!$B$1:$B$15025,MATCH($A420,CS!$B:$B,0)+COLUMN(D$1),1))</f>
        <v/>
      </c>
      <c r="BK420" s="37" t="str">
        <f t="array" ref="BK420">IF($A420="","", INDEX(CS!$B$1:$B$15025,MATCH($A420,CS!$B:$B,0)+COLUMN(E$1),1))</f>
        <v/>
      </c>
      <c r="BL420" s="37" t="str">
        <f t="array" ref="BL420">IF($A420="","", INDEX(CS!$B$1:$B$15025,MATCH($A420,CS!$B:$B,0)+COLUMN(F$1),1))</f>
        <v/>
      </c>
      <c r="BM420" s="37" t="str">
        <f t="array" ref="BM420">IF($A420="","", INDEX(CS!$B$1:$B$15025,MATCH($A420,CS!$B:$B,0)+COLUMN(G$1),1))</f>
        <v/>
      </c>
      <c r="BN420" s="37" t="str">
        <f t="array" ref="BN420">IF($A420="","", INDEX(CS!$B$1:$B$15025,MATCH($A420,CS!$B:$B,0)+COLUMN(H$1),1))</f>
        <v/>
      </c>
      <c r="BO420" s="37" t="str">
        <f t="array" ref="BO420">IF($A420="","", INDEX(CS!$B$1:$B$15025,MATCH($A420,CS!$B:$B,0)+COLUMN(I$1),1))</f>
        <v/>
      </c>
      <c r="BP420" s="37" t="str">
        <f t="array" ref="BP420">IF($A420="","", INDEX(CS!$B$1:$B$15025,MATCH($A420,CS!$B:$B,0)+COLUMN(J$1),1))</f>
        <v/>
      </c>
      <c r="BS420" s="74"/>
      <c r="CQ420" s="37"/>
      <c r="CR420" s="37"/>
    </row>
    <row r="421" ht="18.75" customHeight="1">
      <c r="B421" s="71"/>
      <c r="C421" s="37" t="s">
        <v>2900</v>
      </c>
      <c r="D421" s="72" t="str">
        <f t="shared" si="18"/>
        <v>0/0/0</v>
      </c>
      <c r="E421" s="37">
        <v>1.0</v>
      </c>
      <c r="K421" s="73"/>
      <c r="P421" s="37" t="s">
        <v>29</v>
      </c>
      <c r="Q421" s="64"/>
      <c r="R421" s="64"/>
      <c r="S421" s="64"/>
      <c r="T421" s="64"/>
      <c r="U421" s="64"/>
      <c r="V421" s="64"/>
      <c r="W421" s="64"/>
      <c r="X421" s="64"/>
      <c r="Y421" s="64"/>
      <c r="Z421" s="64"/>
      <c r="AA421" s="64"/>
      <c r="BG421" s="37" t="str">
        <f t="array" ref="BG421">IF($A421="","", INDEX(CS!$B$1:$B$15025,MATCH($A421,CS!$B:$B,0)+COLUMN(A$1),1))</f>
        <v/>
      </c>
      <c r="BH421" s="37" t="str">
        <f t="array" ref="BH421">IF($A421="","", INDEX(CS!$B$1:$B$15025,MATCH($A421,CS!$B:$B,0)+COLUMN(B$1),1))</f>
        <v/>
      </c>
      <c r="BI421" s="37" t="str">
        <f t="array" ref="BI421">IF($A421="","", INDEX(CS!$B$1:$B$15025,MATCH($A421,CS!$B:$B,0)+COLUMN(C$1),1))</f>
        <v/>
      </c>
      <c r="BJ421" s="37" t="str">
        <f t="array" ref="BJ421">IF($A421="","", INDEX(CS!$B$1:$B$15025,MATCH($A421,CS!$B:$B,0)+COLUMN(D$1),1))</f>
        <v/>
      </c>
      <c r="BK421" s="37" t="str">
        <f t="array" ref="BK421">IF($A421="","", INDEX(CS!$B$1:$B$15025,MATCH($A421,CS!$B:$B,0)+COLUMN(E$1),1))</f>
        <v/>
      </c>
      <c r="BL421" s="37" t="str">
        <f t="array" ref="BL421">IF($A421="","", INDEX(CS!$B$1:$B$15025,MATCH($A421,CS!$B:$B,0)+COLUMN(F$1),1))</f>
        <v/>
      </c>
      <c r="BM421" s="37" t="str">
        <f t="array" ref="BM421">IF($A421="","", INDEX(CS!$B$1:$B$15025,MATCH($A421,CS!$B:$B,0)+COLUMN(G$1),1))</f>
        <v/>
      </c>
      <c r="BN421" s="37" t="str">
        <f t="array" ref="BN421">IF($A421="","", INDEX(CS!$B$1:$B$15025,MATCH($A421,CS!$B:$B,0)+COLUMN(H$1),1))</f>
        <v/>
      </c>
      <c r="BO421" s="37" t="str">
        <f t="array" ref="BO421">IF($A421="","", INDEX(CS!$B$1:$B$15025,MATCH($A421,CS!$B:$B,0)+COLUMN(I$1),1))</f>
        <v/>
      </c>
      <c r="BP421" s="37" t="str">
        <f t="array" ref="BP421">IF($A421="","", INDEX(CS!$B$1:$B$15025,MATCH($A421,CS!$B:$B,0)+COLUMN(J$1),1))</f>
        <v/>
      </c>
      <c r="BS421" s="74"/>
      <c r="CQ421" s="37"/>
      <c r="CR421" s="37"/>
    </row>
    <row r="422" ht="18.75" customHeight="1">
      <c r="B422" s="71"/>
      <c r="C422" s="37" t="s">
        <v>2900</v>
      </c>
      <c r="D422" s="72" t="str">
        <f t="shared" si="18"/>
        <v>0/0/0</v>
      </c>
      <c r="E422" s="37">
        <v>1.0</v>
      </c>
      <c r="K422" s="73"/>
      <c r="P422" s="37" t="s">
        <v>29</v>
      </c>
      <c r="Q422" s="64"/>
      <c r="R422" s="64"/>
      <c r="S422" s="64"/>
      <c r="T422" s="64"/>
      <c r="U422" s="64"/>
      <c r="V422" s="64"/>
      <c r="W422" s="64"/>
      <c r="X422" s="64"/>
      <c r="Y422" s="64"/>
      <c r="Z422" s="64"/>
      <c r="AA422" s="64"/>
      <c r="BG422" s="37" t="str">
        <f t="array" ref="BG422">IF($A422="","", INDEX(CS!$B$1:$B$15025,MATCH($A422,CS!$B:$B,0)+COLUMN(A$1),1))</f>
        <v/>
      </c>
      <c r="BH422" s="37" t="str">
        <f t="array" ref="BH422">IF($A422="","", INDEX(CS!$B$1:$B$15025,MATCH($A422,CS!$B:$B,0)+COLUMN(B$1),1))</f>
        <v/>
      </c>
      <c r="BI422" s="37" t="str">
        <f t="array" ref="BI422">IF($A422="","", INDEX(CS!$B$1:$B$15025,MATCH($A422,CS!$B:$B,0)+COLUMN(C$1),1))</f>
        <v/>
      </c>
      <c r="BJ422" s="37" t="str">
        <f t="array" ref="BJ422">IF($A422="","", INDEX(CS!$B$1:$B$15025,MATCH($A422,CS!$B:$B,0)+COLUMN(D$1),1))</f>
        <v/>
      </c>
      <c r="BK422" s="37" t="str">
        <f t="array" ref="BK422">IF($A422="","", INDEX(CS!$B$1:$B$15025,MATCH($A422,CS!$B:$B,0)+COLUMN(E$1),1))</f>
        <v/>
      </c>
      <c r="BL422" s="37" t="str">
        <f t="array" ref="BL422">IF($A422="","", INDEX(CS!$B$1:$B$15025,MATCH($A422,CS!$B:$B,0)+COLUMN(F$1),1))</f>
        <v/>
      </c>
      <c r="BM422" s="37" t="str">
        <f t="array" ref="BM422">IF($A422="","", INDEX(CS!$B$1:$B$15025,MATCH($A422,CS!$B:$B,0)+COLUMN(I$1),1))</f>
        <v/>
      </c>
      <c r="BN422" s="37" t="str">
        <f t="array" ref="BN422">IF($A422="","", INDEX(CS!$B$1:$B$15025,MATCH($A422,CS!$B:$B,0)+COLUMN(J$1),1))</f>
        <v/>
      </c>
      <c r="BO422" s="37" t="str">
        <f t="array" ref="BO422">IF($A422="","", INDEX(CS!$B$1:$B$15025,MATCH($A422,CS!$B:$B,0)+COLUMN(K$1),1))</f>
        <v/>
      </c>
      <c r="BP422" s="37" t="str">
        <f t="array" ref="BP422">IF($A422="","", INDEX(CS!$B$1:$B$15025,MATCH($A422,CS!$B:$B,0)+COLUMN(L$1),1))</f>
        <v/>
      </c>
      <c r="BS422" s="74"/>
      <c r="CQ422" s="37"/>
      <c r="CR422" s="37"/>
    </row>
    <row r="423" ht="18.75" customHeight="1">
      <c r="B423" s="71"/>
      <c r="C423" s="37" t="s">
        <v>2900</v>
      </c>
      <c r="D423" s="72" t="str">
        <f t="shared" si="18"/>
        <v>0/0/0</v>
      </c>
      <c r="E423" s="37">
        <v>1.0</v>
      </c>
      <c r="K423" s="73"/>
      <c r="P423" s="37" t="s">
        <v>29</v>
      </c>
      <c r="Q423" s="64"/>
      <c r="R423" s="64"/>
      <c r="S423" s="64"/>
      <c r="T423" s="64"/>
      <c r="U423" s="64"/>
      <c r="V423" s="64"/>
      <c r="W423" s="64"/>
      <c r="X423" s="64"/>
      <c r="Y423" s="64"/>
      <c r="Z423" s="64"/>
      <c r="AA423" s="64"/>
      <c r="BG423" s="37" t="str">
        <f t="array" ref="BG423">IF($A423="","", INDEX(CS!$B$1:$B$15025,MATCH($A423,CS!$B:$B,0)+COLUMN(A$1),1))</f>
        <v/>
      </c>
      <c r="BH423" s="37" t="str">
        <f t="array" ref="BH423">IF($A423="","", INDEX(CS!$B$1:$B$15025,MATCH($A423,CS!$B:$B,0)+COLUMN(B$1),1))</f>
        <v/>
      </c>
      <c r="BI423" s="37" t="str">
        <f t="array" ref="BI423">IF($A423="","", INDEX(CS!$B$1:$B$15025,MATCH($A423,CS!$B:$B,0)+COLUMN(C$1),1))</f>
        <v/>
      </c>
      <c r="BJ423" s="37" t="str">
        <f t="array" ref="BJ423">IF($A423="","", INDEX(CS!$B$1:$B$15025,MATCH($A423,CS!$B:$B,0)+COLUMN(D$1),1))</f>
        <v/>
      </c>
      <c r="BK423" s="37" t="str">
        <f t="array" ref="BK423">IF($A423="","", INDEX(CS!$B$1:$B$15025,MATCH($A423,CS!$B:$B,0)+COLUMN(E$1),1))</f>
        <v/>
      </c>
      <c r="BL423" s="37" t="str">
        <f t="array" ref="BL423">IF($A423="","", INDEX(CS!$B$1:$B$15025,MATCH($A423,CS!$B:$B,0)+COLUMN(F$1),1))</f>
        <v/>
      </c>
      <c r="BM423" s="37" t="str">
        <f t="array" ref="BM423">IF($A423="","", INDEX(CS!$B$1:$B$15025,MATCH($A423,CS!$B:$B,0)+COLUMN(I$1),1))</f>
        <v/>
      </c>
      <c r="BN423" s="37" t="str">
        <f t="array" ref="BN423">IF($A423="","", INDEX(CS!$B$1:$B$15025,MATCH($A423,CS!$B:$B,0)+COLUMN(J$1),1))</f>
        <v/>
      </c>
      <c r="BO423" s="37" t="str">
        <f t="array" ref="BO423">IF($A423="","", INDEX(CS!$B$1:$B$15025,MATCH($A423,CS!$B:$B,0)+COLUMN(K$1),1))</f>
        <v/>
      </c>
      <c r="BP423" s="37" t="str">
        <f t="array" ref="BP423">IF($A423="","", INDEX(CS!$B$1:$B$15025,MATCH($A423,CS!$B:$B,0)+COLUMN(L$1),1))</f>
        <v/>
      </c>
      <c r="BS423" s="74"/>
      <c r="CQ423" s="37"/>
      <c r="CR423" s="37"/>
    </row>
    <row r="424" ht="18.75" customHeight="1">
      <c r="B424" s="71"/>
      <c r="C424" s="37" t="s">
        <v>2900</v>
      </c>
      <c r="D424" s="72" t="str">
        <f t="shared" si="18"/>
        <v>0/0/0</v>
      </c>
      <c r="E424" s="37">
        <v>1.0</v>
      </c>
      <c r="K424" s="73"/>
      <c r="P424" s="37" t="s">
        <v>29</v>
      </c>
      <c r="Q424" s="64"/>
      <c r="R424" s="64"/>
      <c r="S424" s="64"/>
      <c r="T424" s="64"/>
      <c r="U424" s="64"/>
      <c r="V424" s="64"/>
      <c r="W424" s="64"/>
      <c r="X424" s="64"/>
      <c r="Y424" s="64"/>
      <c r="Z424" s="64"/>
      <c r="AA424" s="64"/>
      <c r="BG424" s="37" t="str">
        <f t="array" ref="BG424">IF($A424="","", INDEX(CS!$B$1:$B$15025,MATCH($A424,CS!$B:$B,0)+COLUMN(A$1),1))</f>
        <v/>
      </c>
      <c r="BH424" s="37" t="str">
        <f t="array" ref="BH424">IF($A424="","", INDEX(CS!$B$1:$B$15025,MATCH($A424,CS!$B:$B,0)+COLUMN(B$1),1))</f>
        <v/>
      </c>
      <c r="BI424" s="37" t="str">
        <f t="array" ref="BI424">IF($A424="","", INDEX(CS!$B$1:$B$15025,MATCH($A424,CS!$B:$B,0)+COLUMN(C$1),1))</f>
        <v/>
      </c>
      <c r="BJ424" s="37" t="str">
        <f t="array" ref="BJ424">IF($A424="","", INDEX(CS!$B$1:$B$15025,MATCH($A424,CS!$B:$B,0)+COLUMN(D$1),1))</f>
        <v/>
      </c>
      <c r="BK424" s="37" t="str">
        <f t="array" ref="BK424">IF($A424="","", INDEX(CS!$B$1:$B$15025,MATCH($A424,CS!$B:$B,0)+COLUMN(E$1),1))</f>
        <v/>
      </c>
      <c r="BL424" s="37" t="str">
        <f t="array" ref="BL424">IF($A424="","", INDEX(CS!$B$1:$B$15025,MATCH($A424,CS!$B:$B,0)+COLUMN(F$1),1))</f>
        <v/>
      </c>
      <c r="BM424" s="37" t="str">
        <f t="array" ref="BM424">IF($A424="","", INDEX(CS!$B$1:$B$15025,MATCH($A424,CS!$B:$B,0)+COLUMN(I$1),1))</f>
        <v/>
      </c>
      <c r="BN424" s="37" t="str">
        <f t="array" ref="BN424">IF($A424="","", INDEX(CS!$B$1:$B$15025,MATCH($A424,CS!$B:$B,0)+COLUMN(J$1),1))</f>
        <v/>
      </c>
      <c r="BO424" s="37" t="str">
        <f t="array" ref="BO424">IF($A424="","", INDEX(CS!$B$1:$B$15025,MATCH($A424,CS!$B:$B,0)+COLUMN(K$1),1))</f>
        <v/>
      </c>
      <c r="BP424" s="37" t="str">
        <f t="array" ref="BP424">IF($A424="","", INDEX(CS!$B$1:$B$15025,MATCH($A424,CS!$B:$B,0)+COLUMN(L$1),1))</f>
        <v/>
      </c>
      <c r="BS424" s="74"/>
      <c r="CQ424" s="37"/>
      <c r="CR424" s="37"/>
    </row>
    <row r="425" ht="18.75" customHeight="1">
      <c r="B425" s="71"/>
      <c r="C425" s="37" t="s">
        <v>2900</v>
      </c>
      <c r="D425" s="72" t="str">
        <f t="shared" si="18"/>
        <v>0/0/0</v>
      </c>
      <c r="E425" s="37">
        <v>1.0</v>
      </c>
      <c r="K425" s="73"/>
      <c r="P425" s="37" t="s">
        <v>29</v>
      </c>
      <c r="Q425" s="64"/>
      <c r="R425" s="64"/>
      <c r="S425" s="64"/>
      <c r="T425" s="64"/>
      <c r="U425" s="64"/>
      <c r="V425" s="64"/>
      <c r="W425" s="64"/>
      <c r="X425" s="64"/>
      <c r="Y425" s="64"/>
      <c r="Z425" s="64"/>
      <c r="AA425" s="64"/>
      <c r="BG425" s="37" t="str">
        <f t="array" ref="BG425">IF($A425="","", INDEX(CS!$B$1:$B$15025,MATCH($A425,CS!$B:$B,0)+COLUMN(A$1),1))</f>
        <v/>
      </c>
      <c r="BH425" s="37" t="str">
        <f t="array" ref="BH425">IF($A425="","", INDEX(CS!$B$1:$B$15025,MATCH($A425,CS!$B:$B,0)+COLUMN(B$1),1))</f>
        <v/>
      </c>
      <c r="BI425" s="37" t="str">
        <f t="array" ref="BI425">IF($A425="","", INDEX(CS!$B$1:$B$15025,MATCH($A425,CS!$B:$B,0)+COLUMN(C$1),1))</f>
        <v/>
      </c>
      <c r="BJ425" s="37" t="str">
        <f t="array" ref="BJ425">IF($A425="","", INDEX(CS!$B$1:$B$15025,MATCH($A425,CS!$B:$B,0)+COLUMN(D$1),1))</f>
        <v/>
      </c>
      <c r="BK425" s="37" t="str">
        <f t="array" ref="BK425">IF($A425="","", INDEX(CS!$B$1:$B$15025,MATCH($A425,CS!$B:$B,0)+COLUMN(E$1),1))</f>
        <v/>
      </c>
      <c r="BL425" s="37" t="str">
        <f t="array" ref="BL425">IF($A425="","", INDEX(CS!$B$1:$B$15025,MATCH($A425,CS!$B:$B,0)+COLUMN(F$1),1))</f>
        <v/>
      </c>
      <c r="BM425" s="37" t="str">
        <f t="array" ref="BM425">IF($A425="","", INDEX(CS!$B$1:$B$15025,MATCH($A425,CS!$B:$B,0)+COLUMN(I$1),1))</f>
        <v/>
      </c>
      <c r="BN425" s="37" t="str">
        <f t="array" ref="BN425">IF($A425="","", INDEX(CS!$B$1:$B$15025,MATCH($A425,CS!$B:$B,0)+COLUMN(J$1),1))</f>
        <v/>
      </c>
      <c r="BO425" s="37" t="str">
        <f t="array" ref="BO425">IF($A425="","", INDEX(CS!$B$1:$B$15025,MATCH($A425,CS!$B:$B,0)+COLUMN(K$1),1))</f>
        <v/>
      </c>
      <c r="BP425" s="37" t="str">
        <f t="array" ref="BP425">IF($A425="","", INDEX(CS!$B$1:$B$15025,MATCH($A425,CS!$B:$B,0)+COLUMN(L$1),1))</f>
        <v/>
      </c>
      <c r="BS425" s="74"/>
      <c r="CQ425" s="37"/>
      <c r="CR425" s="37"/>
    </row>
    <row r="426" ht="18.75" customHeight="1">
      <c r="B426" s="71"/>
      <c r="C426" s="37" t="s">
        <v>2900</v>
      </c>
      <c r="D426" s="72" t="str">
        <f t="shared" si="18"/>
        <v>0/0/0</v>
      </c>
      <c r="E426" s="37">
        <v>1.0</v>
      </c>
      <c r="K426" s="73"/>
      <c r="P426" s="37" t="s">
        <v>29</v>
      </c>
      <c r="Q426" s="64"/>
      <c r="R426" s="64"/>
      <c r="S426" s="64"/>
      <c r="T426" s="64"/>
      <c r="U426" s="64"/>
      <c r="V426" s="64"/>
      <c r="W426" s="64"/>
      <c r="X426" s="64"/>
      <c r="Y426" s="64"/>
      <c r="Z426" s="64"/>
      <c r="AA426" s="64"/>
      <c r="BG426" s="37" t="str">
        <f t="array" ref="BG426">IF($A426="","", INDEX(CS!$B$1:$B$15025,MATCH($A426,CS!$B:$B,0)+COLUMN(A$1),1))</f>
        <v/>
      </c>
      <c r="BH426" s="37" t="str">
        <f t="array" ref="BH426">IF($A426="","", INDEX(CS!$B$1:$B$15025,MATCH($A426,CS!$B:$B,0)+COLUMN(B$1),1))</f>
        <v/>
      </c>
      <c r="BI426" s="37" t="str">
        <f t="array" ref="BI426">IF($A426="","", INDEX(CS!$B$1:$B$15025,MATCH($A426,CS!$B:$B,0)+COLUMN(C$1),1))</f>
        <v/>
      </c>
      <c r="BJ426" s="37" t="str">
        <f t="array" ref="BJ426">IF($A426="","", INDEX(CS!$B$1:$B$15025,MATCH($A426,CS!$B:$B,0)+COLUMN(D$1),1))</f>
        <v/>
      </c>
      <c r="BK426" s="37" t="str">
        <f t="array" ref="BK426">IF($A426="","", INDEX(CS!$B$1:$B$15025,MATCH($A426,CS!$B:$B,0)+COLUMN(E$1),1))</f>
        <v/>
      </c>
      <c r="BL426" s="37" t="str">
        <f t="array" ref="BL426">IF($A426="","", INDEX(CS!$B$1:$B$15025,MATCH($A426,CS!$B:$B,0)+COLUMN(F$1),1))</f>
        <v/>
      </c>
      <c r="BM426" s="37" t="str">
        <f t="array" ref="BM426">IF($A426="","", INDEX(CS!$B$1:$B$15025,MATCH($A426,CS!$B:$B,0)+COLUMN(I$1),1))</f>
        <v/>
      </c>
      <c r="BN426" s="37" t="str">
        <f t="array" ref="BN426">IF($A426="","", INDEX(CS!$B$1:$B$15025,MATCH($A426,CS!$B:$B,0)+COLUMN(J$1),1))</f>
        <v/>
      </c>
      <c r="BO426" s="37" t="str">
        <f t="array" ref="BO426">IF($A426="","", INDEX(CS!$B$1:$B$15025,MATCH($A426,CS!$B:$B,0)+COLUMN(K$1),1))</f>
        <v/>
      </c>
      <c r="BP426" s="37" t="str">
        <f t="array" ref="BP426">IF($A426="","", INDEX(CS!$B$1:$B$15025,MATCH($A426,CS!$B:$B,0)+COLUMN(L$1),1))</f>
        <v/>
      </c>
      <c r="BS426" s="74"/>
      <c r="CQ426" s="37"/>
      <c r="CR426" s="37"/>
    </row>
    <row r="427" ht="18.75" customHeight="1">
      <c r="B427" s="71"/>
      <c r="C427" s="37" t="s">
        <v>2900</v>
      </c>
      <c r="D427" s="72" t="str">
        <f t="shared" si="18"/>
        <v>0/0/0</v>
      </c>
      <c r="E427" s="37">
        <v>1.0</v>
      </c>
      <c r="K427" s="73"/>
      <c r="P427" s="37" t="s">
        <v>29</v>
      </c>
      <c r="Q427" s="64"/>
      <c r="R427" s="64"/>
      <c r="S427" s="64"/>
      <c r="T427" s="64"/>
      <c r="U427" s="64"/>
      <c r="V427" s="64"/>
      <c r="W427" s="64"/>
      <c r="X427" s="64"/>
      <c r="Y427" s="64"/>
      <c r="Z427" s="64"/>
      <c r="AA427" s="64"/>
      <c r="BG427" s="37" t="str">
        <f t="array" ref="BG427">IF($A427="","", INDEX(CS!$B$1:$B$15025,MATCH($A427,CS!$B:$B,0)+COLUMN(A$1),1))</f>
        <v/>
      </c>
      <c r="BH427" s="37" t="str">
        <f t="array" ref="BH427">IF($A427="","", INDEX(CS!$B$1:$B$15025,MATCH($A427,CS!$B:$B,0)+COLUMN(B$1),1))</f>
        <v/>
      </c>
      <c r="BI427" s="37" t="str">
        <f t="array" ref="BI427">IF($A427="","", INDEX(CS!$B$1:$B$15025,MATCH($A427,CS!$B:$B,0)+COLUMN(C$1),1))</f>
        <v/>
      </c>
      <c r="BJ427" s="37" t="str">
        <f t="array" ref="BJ427">IF($A427="","", INDEX(CS!$B$1:$B$15025,MATCH($A427,CS!$B:$B,0)+COLUMN(D$1),1))</f>
        <v/>
      </c>
      <c r="BK427" s="37" t="str">
        <f t="array" ref="BK427">IF($A427="","", INDEX(CS!$B$1:$B$15025,MATCH($A427,CS!$B:$B,0)+COLUMN(E$1),1))</f>
        <v/>
      </c>
      <c r="BL427" s="37" t="str">
        <f t="array" ref="BL427">IF($A427="","", INDEX(CS!$B$1:$B$15025,MATCH($A427,CS!$B:$B,0)+COLUMN(F$1),1))</f>
        <v/>
      </c>
      <c r="BM427" s="37" t="str">
        <f t="array" ref="BM427">IF($A427="","", INDEX(CS!$B$1:$B$15025,MATCH($A427,CS!$B:$B,0)+COLUMN(I$1),1))</f>
        <v/>
      </c>
      <c r="BN427" s="37" t="str">
        <f t="array" ref="BN427">IF($A427="","", INDEX(CS!$B$1:$B$15025,MATCH($A427,CS!$B:$B,0)+COLUMN(J$1),1))</f>
        <v/>
      </c>
      <c r="BO427" s="37" t="str">
        <f t="array" ref="BO427">IF($A427="","", INDEX(CS!$B$1:$B$15025,MATCH($A427,CS!$B:$B,0)+COLUMN(K$1),1))</f>
        <v/>
      </c>
      <c r="BP427" s="37" t="str">
        <f t="array" ref="BP427">IF($A427="","", INDEX(CS!$B$1:$B$15025,MATCH($A427,CS!$B:$B,0)+COLUMN(L$1),1))</f>
        <v/>
      </c>
      <c r="BS427" s="74"/>
      <c r="CQ427" s="37"/>
      <c r="CR427" s="37"/>
    </row>
    <row r="428" ht="18.75" customHeight="1">
      <c r="B428" s="71"/>
      <c r="C428" s="37" t="s">
        <v>2900</v>
      </c>
      <c r="D428" s="72" t="str">
        <f t="shared" si="18"/>
        <v>0/0/0</v>
      </c>
      <c r="E428" s="37">
        <v>1.0</v>
      </c>
      <c r="K428" s="73"/>
      <c r="P428" s="37" t="s">
        <v>29</v>
      </c>
      <c r="Q428" s="64"/>
      <c r="R428" s="64"/>
      <c r="S428" s="64"/>
      <c r="T428" s="64"/>
      <c r="U428" s="64"/>
      <c r="V428" s="64"/>
      <c r="W428" s="64"/>
      <c r="X428" s="64"/>
      <c r="Y428" s="64"/>
      <c r="Z428" s="64"/>
      <c r="AA428" s="64"/>
      <c r="BG428" s="37" t="str">
        <f t="array" ref="BG428">IF($A428="","", INDEX(CS!$B$1:$B$15025,MATCH($A428,CS!$B:$B,0)+COLUMN(A$1),1))</f>
        <v/>
      </c>
      <c r="BH428" s="37" t="str">
        <f t="array" ref="BH428">IF($A428="","", INDEX(CS!$B$1:$B$15025,MATCH($A428,CS!$B:$B,0)+COLUMN(B$1),1))</f>
        <v/>
      </c>
      <c r="BI428" s="37" t="str">
        <f t="array" ref="BI428">IF($A428="","", INDEX(CS!$B$1:$B$15025,MATCH($A428,CS!$B:$B,0)+COLUMN(C$1),1))</f>
        <v/>
      </c>
      <c r="BJ428" s="37" t="str">
        <f t="array" ref="BJ428">IF($A428="","", INDEX(CS!$B$1:$B$15025,MATCH($A428,CS!$B:$B,0)+COLUMN(D$1),1))</f>
        <v/>
      </c>
      <c r="BK428" s="37" t="str">
        <f t="array" ref="BK428">IF($A428="","", INDEX(CS!$B$1:$B$15025,MATCH($A428,CS!$B:$B,0)+COLUMN(E$1),1))</f>
        <v/>
      </c>
      <c r="BL428" s="37" t="str">
        <f t="array" ref="BL428">IF($A428="","", INDEX(CS!$B$1:$B$15025,MATCH($A428,CS!$B:$B,0)+COLUMN(F$1),1))</f>
        <v/>
      </c>
      <c r="BM428" s="37" t="str">
        <f t="array" ref="BM428">IF($A428="","", INDEX(CS!$B$1:$B$15025,MATCH($A428,CS!$B:$B,0)+COLUMN(I$1),1))</f>
        <v/>
      </c>
      <c r="BN428" s="37" t="str">
        <f t="array" ref="BN428">IF($A428="","", INDEX(CS!$B$1:$B$15025,MATCH($A428,CS!$B:$B,0)+COLUMN(J$1),1))</f>
        <v/>
      </c>
      <c r="BO428" s="37" t="str">
        <f t="array" ref="BO428">IF($A428="","", INDEX(CS!$B$1:$B$15025,MATCH($A428,CS!$B:$B,0)+COLUMN(K$1),1))</f>
        <v/>
      </c>
      <c r="BP428" s="37" t="str">
        <f t="array" ref="BP428">IF($A428="","", INDEX(CS!$B$1:$B$15025,MATCH($A428,CS!$B:$B,0)+COLUMN(L$1),1))</f>
        <v/>
      </c>
      <c r="BS428" s="74"/>
      <c r="CQ428" s="37"/>
      <c r="CR428" s="37"/>
    </row>
    <row r="429" ht="18.75" customHeight="1">
      <c r="B429" s="71"/>
      <c r="C429" s="37" t="s">
        <v>2900</v>
      </c>
      <c r="D429" s="72" t="str">
        <f t="shared" si="18"/>
        <v>0/0/0</v>
      </c>
      <c r="E429" s="37">
        <v>1.0</v>
      </c>
      <c r="K429" s="73"/>
      <c r="P429" s="37" t="s">
        <v>29</v>
      </c>
      <c r="Q429" s="64"/>
      <c r="R429" s="64"/>
      <c r="S429" s="64"/>
      <c r="T429" s="64"/>
      <c r="U429" s="64"/>
      <c r="V429" s="64"/>
      <c r="W429" s="64"/>
      <c r="X429" s="64"/>
      <c r="Y429" s="64"/>
      <c r="Z429" s="64"/>
      <c r="AA429" s="64"/>
      <c r="BG429" s="37" t="str">
        <f t="array" ref="BG429">IF($A429="","", INDEX(CS!$B$1:$B$15025,MATCH($A429,CS!$B:$B,0)+COLUMN(A$1),1))</f>
        <v/>
      </c>
      <c r="BH429" s="37" t="str">
        <f t="array" ref="BH429">IF($A429="","", INDEX(CS!$B$1:$B$15025,MATCH($A429,CS!$B:$B,0)+COLUMN(B$1),1))</f>
        <v/>
      </c>
      <c r="BI429" s="37" t="str">
        <f t="array" ref="BI429">IF($A429="","", INDEX(CS!$B$1:$B$15025,MATCH($A429,CS!$B:$B,0)+COLUMN(C$1),1))</f>
        <v/>
      </c>
      <c r="BJ429" s="37" t="str">
        <f t="array" ref="BJ429">IF($A429="","", INDEX(CS!$B$1:$B$15025,MATCH($A429,CS!$B:$B,0)+COLUMN(D$1),1))</f>
        <v/>
      </c>
      <c r="BK429" s="37" t="str">
        <f t="array" ref="BK429">IF($A429="","", INDEX(CS!$B$1:$B$15025,MATCH($A429,CS!$B:$B,0)+COLUMN(E$1),1))</f>
        <v/>
      </c>
      <c r="BL429" s="37" t="str">
        <f t="array" ref="BL429">IF($A429="","", INDEX(CS!$B$1:$B$15025,MATCH($A429,CS!$B:$B,0)+COLUMN(F$1),1))</f>
        <v/>
      </c>
      <c r="BM429" s="37" t="str">
        <f t="array" ref="BM429">IF($A429="","", INDEX(CS!$B$1:$B$15025,MATCH($A429,CS!$B:$B,0)+COLUMN(I$1),1))</f>
        <v/>
      </c>
      <c r="BN429" s="37" t="str">
        <f t="array" ref="BN429">IF($A429="","", INDEX(CS!$B$1:$B$15025,MATCH($A429,CS!$B:$B,0)+COLUMN(J$1),1))</f>
        <v/>
      </c>
      <c r="BO429" s="37" t="str">
        <f t="array" ref="BO429">IF($A429="","", INDEX(CS!$B$1:$B$15025,MATCH($A429,CS!$B:$B,0)+COLUMN(K$1),1))</f>
        <v/>
      </c>
      <c r="BP429" s="37" t="str">
        <f t="array" ref="BP429">IF($A429="","", INDEX(CS!$B$1:$B$15025,MATCH($A429,CS!$B:$B,0)+COLUMN(L$1),1))</f>
        <v/>
      </c>
      <c r="BS429" s="74"/>
      <c r="CQ429" s="37"/>
      <c r="CR429" s="37"/>
    </row>
    <row r="430" ht="18.75" customHeight="1">
      <c r="B430" s="71"/>
      <c r="C430" s="37" t="s">
        <v>2900</v>
      </c>
      <c r="D430" s="72" t="str">
        <f t="shared" si="18"/>
        <v>0/0/0</v>
      </c>
      <c r="E430" s="37">
        <v>1.0</v>
      </c>
      <c r="K430" s="73"/>
      <c r="P430" s="37" t="s">
        <v>29</v>
      </c>
      <c r="Q430" s="64"/>
      <c r="R430" s="64"/>
      <c r="S430" s="64"/>
      <c r="T430" s="64"/>
      <c r="U430" s="64"/>
      <c r="V430" s="64"/>
      <c r="W430" s="64"/>
      <c r="X430" s="64"/>
      <c r="Y430" s="64"/>
      <c r="Z430" s="64"/>
      <c r="AA430" s="64"/>
      <c r="BG430" s="37" t="str">
        <f t="array" ref="BG430">IF($A430="","", INDEX(CS!$B$1:$B$15025,MATCH($A430,CS!$B:$B,0)+COLUMN(A$1),1))</f>
        <v/>
      </c>
      <c r="BH430" s="37" t="str">
        <f t="array" ref="BH430">IF($A430="","", INDEX(CS!$B$1:$B$15025,MATCH($A430,CS!$B:$B,0)+COLUMN(B$1),1))</f>
        <v/>
      </c>
      <c r="BI430" s="37" t="str">
        <f t="array" ref="BI430">IF($A430="","", INDEX(CS!$B$1:$B$15025,MATCH($A430,CS!$B:$B,0)+COLUMN(C$1),1))</f>
        <v/>
      </c>
      <c r="BJ430" s="37" t="str">
        <f t="array" ref="BJ430">IF($A430="","", INDEX(CS!$B$1:$B$15025,MATCH($A430,CS!$B:$B,0)+COLUMN(D$1),1))</f>
        <v/>
      </c>
      <c r="BK430" s="37" t="str">
        <f t="array" ref="BK430">IF($A430="","", INDEX(CS!$B$1:$B$15025,MATCH($A430,CS!$B:$B,0)+COLUMN(E$1),1))</f>
        <v/>
      </c>
      <c r="BL430" s="37" t="str">
        <f t="array" ref="BL430">IF($A430="","", INDEX(CS!$B$1:$B$15025,MATCH($A430,CS!$B:$B,0)+COLUMN(F$1),1))</f>
        <v/>
      </c>
      <c r="BM430" s="37" t="str">
        <f t="array" ref="BM430">IF($A430="","", INDEX(CS!$B$1:$B$15025,MATCH($A430,CS!$B:$B,0)+COLUMN(I$1),1))</f>
        <v/>
      </c>
      <c r="BN430" s="37" t="str">
        <f t="array" ref="BN430">IF($A430="","", INDEX(CS!$B$1:$B$15025,MATCH($A430,CS!$B:$B,0)+COLUMN(J$1),1))</f>
        <v/>
      </c>
      <c r="BO430" s="37" t="str">
        <f t="array" ref="BO430">IF($A430="","", INDEX(CS!$B$1:$B$15025,MATCH($A430,CS!$B:$B,0)+COLUMN(K$1),1))</f>
        <v/>
      </c>
      <c r="BP430" s="37" t="str">
        <f t="array" ref="BP430">IF($A430="","", INDEX(CS!$B$1:$B$15025,MATCH($A430,CS!$B:$B,0)+COLUMN(L$1),1))</f>
        <v/>
      </c>
      <c r="BS430" s="74"/>
      <c r="CQ430" s="37"/>
      <c r="CR430" s="37"/>
    </row>
    <row r="431" ht="18.75" customHeight="1">
      <c r="B431" s="71"/>
      <c r="C431" s="37" t="s">
        <v>2900</v>
      </c>
      <c r="D431" s="72" t="str">
        <f t="shared" si="18"/>
        <v>0/0/0</v>
      </c>
      <c r="E431" s="37">
        <v>1.0</v>
      </c>
      <c r="K431" s="73"/>
      <c r="P431" s="37" t="s">
        <v>29</v>
      </c>
      <c r="Q431" s="64"/>
      <c r="R431" s="64"/>
      <c r="S431" s="64"/>
      <c r="T431" s="64"/>
      <c r="U431" s="64"/>
      <c r="V431" s="64"/>
      <c r="W431" s="64"/>
      <c r="X431" s="64"/>
      <c r="Y431" s="64"/>
      <c r="Z431" s="64"/>
      <c r="AA431" s="64"/>
      <c r="BG431" s="37" t="str">
        <f t="array" ref="BG431">IF($A431="","", INDEX(CS!$B$1:$B$15025,MATCH($A431,CS!$B:$B,0)+COLUMN(A$1),1))</f>
        <v/>
      </c>
      <c r="BH431" s="37" t="str">
        <f t="array" ref="BH431">IF($A431="","", INDEX(CS!$B$1:$B$15025,MATCH($A431,CS!$B:$B,0)+COLUMN(B$1),1))</f>
        <v/>
      </c>
      <c r="BI431" s="37" t="str">
        <f t="array" ref="BI431">IF($A431="","", INDEX(CS!$B$1:$B$15025,MATCH($A431,CS!$B:$B,0)+COLUMN(C$1),1))</f>
        <v/>
      </c>
      <c r="BJ431" s="37" t="str">
        <f t="array" ref="BJ431">IF($A431="","", INDEX(CS!$B$1:$B$15025,MATCH($A431,CS!$B:$B,0)+COLUMN(D$1),1))</f>
        <v/>
      </c>
      <c r="BK431" s="37" t="str">
        <f t="array" ref="BK431">IF($A431="","", INDEX(CS!$B$1:$B$15025,MATCH($A431,CS!$B:$B,0)+COLUMN(E$1),1))</f>
        <v/>
      </c>
      <c r="BL431" s="37" t="str">
        <f t="array" ref="BL431">IF($A431="","", INDEX(CS!$B$1:$B$15025,MATCH($A431,CS!$B:$B,0)+COLUMN(F$1),1))</f>
        <v/>
      </c>
      <c r="BM431" s="37" t="str">
        <f t="array" ref="BM431">IF($A431="","", INDEX(CS!$B$1:$B$15025,MATCH($A431,CS!$B:$B,0)+COLUMN(I$1),1))</f>
        <v/>
      </c>
      <c r="BN431" s="37" t="str">
        <f t="array" ref="BN431">IF($A431="","", INDEX(CS!$B$1:$B$15025,MATCH($A431,CS!$B:$B,0)+COLUMN(J$1),1))</f>
        <v/>
      </c>
      <c r="BO431" s="37" t="str">
        <f t="array" ref="BO431">IF($A431="","", INDEX(CS!$B$1:$B$15025,MATCH($A431,CS!$B:$B,0)+COLUMN(K$1),1))</f>
        <v/>
      </c>
      <c r="BP431" s="37" t="str">
        <f t="array" ref="BP431">IF($A431="","", INDEX(CS!$B$1:$B$15025,MATCH($A431,CS!$B:$B,0)+COLUMN(L$1),1))</f>
        <v/>
      </c>
      <c r="BS431" s="74"/>
      <c r="CQ431" s="37"/>
      <c r="CR431" s="37"/>
    </row>
    <row r="432" ht="18.75" customHeight="1">
      <c r="B432" s="71"/>
      <c r="C432" s="37" t="s">
        <v>2900</v>
      </c>
      <c r="D432" s="72" t="str">
        <f t="shared" si="18"/>
        <v>0/0/0</v>
      </c>
      <c r="E432" s="37">
        <v>1.0</v>
      </c>
      <c r="K432" s="73"/>
      <c r="P432" s="37" t="s">
        <v>29</v>
      </c>
      <c r="Q432" s="64"/>
      <c r="R432" s="64"/>
      <c r="S432" s="64"/>
      <c r="T432" s="64"/>
      <c r="U432" s="64"/>
      <c r="V432" s="64"/>
      <c r="W432" s="64"/>
      <c r="X432" s="64"/>
      <c r="Y432" s="64"/>
      <c r="Z432" s="64"/>
      <c r="AA432" s="64"/>
      <c r="BG432" s="37" t="str">
        <f t="array" ref="BG432">IF($A432="","", INDEX(CS!$B$1:$B$15025,MATCH($A432,CS!$B:$B,0)+COLUMN(A$1),1))</f>
        <v/>
      </c>
      <c r="BH432" s="37" t="str">
        <f t="array" ref="BH432">IF($A432="","", INDEX(CS!$B$1:$B$15025,MATCH($A432,CS!$B:$B,0)+COLUMN(B$1),1))</f>
        <v/>
      </c>
      <c r="BI432" s="37" t="str">
        <f t="array" ref="BI432">IF($A432="","", INDEX(CS!$B$1:$B$15025,MATCH($A432,CS!$B:$B,0)+COLUMN(C$1),1))</f>
        <v/>
      </c>
      <c r="BJ432" s="37" t="str">
        <f t="array" ref="BJ432">IF($A432="","", INDEX(CS!$B$1:$B$15025,MATCH($A432,CS!$B:$B,0)+COLUMN(D$1),1))</f>
        <v/>
      </c>
      <c r="BK432" s="37" t="str">
        <f t="array" ref="BK432">IF($A432="","", INDEX(CS!$B$1:$B$15025,MATCH($A432,CS!$B:$B,0)+COLUMN(E$1),1))</f>
        <v/>
      </c>
      <c r="BL432" s="37" t="str">
        <f t="array" ref="BL432">IF($A432="","", INDEX(CS!$B$1:$B$15025,MATCH($A432,CS!$B:$B,0)+COLUMN(F$1),1))</f>
        <v/>
      </c>
      <c r="BM432" s="37" t="str">
        <f t="array" ref="BM432">IF($A432="","", INDEX(CS!$B$1:$B$15025,MATCH($A432,CS!$B:$B,0)+COLUMN(I$1),1))</f>
        <v/>
      </c>
      <c r="BN432" s="37" t="str">
        <f t="array" ref="BN432">IF($A432="","", INDEX(CS!$B$1:$B$15025,MATCH($A432,CS!$B:$B,0)+COLUMN(J$1),1))</f>
        <v/>
      </c>
      <c r="BO432" s="37" t="str">
        <f t="array" ref="BO432">IF($A432="","", INDEX(CS!$B$1:$B$15025,MATCH($A432,CS!$B:$B,0)+COLUMN(K$1),1))</f>
        <v/>
      </c>
      <c r="BP432" s="37" t="str">
        <f t="array" ref="BP432">IF($A432="","", INDEX(CS!$B$1:$B$15025,MATCH($A432,CS!$B:$B,0)+COLUMN(L$1),1))</f>
        <v/>
      </c>
      <c r="BS432" s="74"/>
      <c r="CQ432" s="37"/>
      <c r="CR432" s="37"/>
    </row>
    <row r="433" ht="18.75" customHeight="1">
      <c r="B433" s="71"/>
      <c r="C433" s="37" t="s">
        <v>2900</v>
      </c>
      <c r="D433" s="72" t="str">
        <f t="shared" si="18"/>
        <v>0/0/0</v>
      </c>
      <c r="E433" s="37">
        <v>1.0</v>
      </c>
      <c r="K433" s="73"/>
      <c r="P433" s="37" t="s">
        <v>29</v>
      </c>
      <c r="Q433" s="64"/>
      <c r="R433" s="64"/>
      <c r="S433" s="64"/>
      <c r="T433" s="64"/>
      <c r="U433" s="64"/>
      <c r="V433" s="64"/>
      <c r="W433" s="64"/>
      <c r="X433" s="64"/>
      <c r="Y433" s="64"/>
      <c r="Z433" s="64"/>
      <c r="AA433" s="64"/>
      <c r="BG433" s="37" t="str">
        <f t="array" ref="BG433">IF($A433="","", INDEX(CS!$B$1:$B$15025,MATCH($A433,CS!$B:$B,0)+COLUMN(A$1),1))</f>
        <v/>
      </c>
      <c r="BH433" s="37" t="str">
        <f t="array" ref="BH433">IF($A433="","", INDEX(CS!$B$1:$B$15025,MATCH($A433,CS!$B:$B,0)+COLUMN(B$1),1))</f>
        <v/>
      </c>
      <c r="BI433" s="37" t="str">
        <f t="array" ref="BI433">IF($A433="","", INDEX(CS!$B$1:$B$15025,MATCH($A433,CS!$B:$B,0)+COLUMN(C$1),1))</f>
        <v/>
      </c>
      <c r="BJ433" s="37" t="str">
        <f t="array" ref="BJ433">IF($A433="","", INDEX(CS!$B$1:$B$15025,MATCH($A433,CS!$B:$B,0)+COLUMN(D$1),1))</f>
        <v/>
      </c>
      <c r="BK433" s="37" t="str">
        <f t="array" ref="BK433">IF($A433="","", INDEX(CS!$B$1:$B$15025,MATCH($A433,CS!$B:$B,0)+COLUMN(E$1),1))</f>
        <v/>
      </c>
      <c r="BL433" s="37" t="str">
        <f t="array" ref="BL433">IF($A433="","", INDEX(CS!$B$1:$B$15025,MATCH($A433,CS!$B:$B,0)+COLUMN(F$1),1))</f>
        <v/>
      </c>
      <c r="BM433" s="37" t="str">
        <f t="array" ref="BM433">IF($A433="","", INDEX(CS!$B$1:$B$15025,MATCH($A433,CS!$B:$B,0)+COLUMN(I$1),1))</f>
        <v/>
      </c>
      <c r="BN433" s="37" t="str">
        <f t="array" ref="BN433">IF($A433="","", INDEX(CS!$B$1:$B$15025,MATCH($A433,CS!$B:$B,0)+COLUMN(J$1),1))</f>
        <v/>
      </c>
      <c r="BO433" s="37" t="str">
        <f t="array" ref="BO433">IF($A433="","", INDEX(CS!$B$1:$B$15025,MATCH($A433,CS!$B:$B,0)+COLUMN(K$1),1))</f>
        <v/>
      </c>
      <c r="BP433" s="37" t="str">
        <f t="array" ref="BP433">IF($A433="","", INDEX(CS!$B$1:$B$15025,MATCH($A433,CS!$B:$B,0)+COLUMN(L$1),1))</f>
        <v/>
      </c>
      <c r="BS433" s="74"/>
      <c r="CQ433" s="37"/>
      <c r="CR433" s="37"/>
    </row>
    <row r="434" ht="18.75" customHeight="1">
      <c r="B434" s="71"/>
      <c r="C434" s="37" t="s">
        <v>2900</v>
      </c>
      <c r="D434" s="72" t="str">
        <f t="shared" si="18"/>
        <v>0/0/0</v>
      </c>
      <c r="E434" s="37">
        <v>1.0</v>
      </c>
      <c r="K434" s="73"/>
      <c r="P434" s="37" t="s">
        <v>29</v>
      </c>
      <c r="Q434" s="64"/>
      <c r="R434" s="64"/>
      <c r="S434" s="64"/>
      <c r="T434" s="64"/>
      <c r="U434" s="64"/>
      <c r="V434" s="64"/>
      <c r="W434" s="64"/>
      <c r="X434" s="64"/>
      <c r="Y434" s="64"/>
      <c r="Z434" s="64"/>
      <c r="AA434" s="64"/>
      <c r="BG434" s="37" t="str">
        <f t="array" ref="BG434">IF($A434="","", INDEX(CS!$B$1:$B$15025,MATCH($A434,CS!$B:$B,0)+COLUMN(A$1),1))</f>
        <v/>
      </c>
      <c r="BH434" s="37" t="str">
        <f t="array" ref="BH434">IF($A434="","", INDEX(CS!$B$1:$B$15025,MATCH($A434,CS!$B:$B,0)+COLUMN(B$1),1))</f>
        <v/>
      </c>
      <c r="BI434" s="37" t="str">
        <f t="array" ref="BI434">IF($A434="","", INDEX(CS!$B$1:$B$15025,MATCH($A434,CS!$B:$B,0)+COLUMN(C$1),1))</f>
        <v/>
      </c>
      <c r="BJ434" s="37" t="str">
        <f t="array" ref="BJ434">IF($A434="","", INDEX(CS!$B$1:$B$15025,MATCH($A434,CS!$B:$B,0)+COLUMN(D$1),1))</f>
        <v/>
      </c>
      <c r="BK434" s="37" t="str">
        <f t="array" ref="BK434">IF($A434="","", INDEX(CS!$B$1:$B$15025,MATCH($A434,CS!$B:$B,0)+COLUMN(E$1),1))</f>
        <v/>
      </c>
      <c r="BL434" s="37" t="str">
        <f t="array" ref="BL434">IF($A434="","", INDEX(CS!$B$1:$B$15025,MATCH($A434,CS!$B:$B,0)+COLUMN(F$1),1))</f>
        <v/>
      </c>
      <c r="BM434" s="37" t="str">
        <f t="array" ref="BM434">IF($A434="","", INDEX(CS!$B$1:$B$15025,MATCH($A434,CS!$B:$B,0)+COLUMN(I$1),1))</f>
        <v/>
      </c>
      <c r="BN434" s="37" t="str">
        <f t="array" ref="BN434">IF($A434="","", INDEX(CS!$B$1:$B$15025,MATCH($A434,CS!$B:$B,0)+COLUMN(J$1),1))</f>
        <v/>
      </c>
      <c r="BO434" s="37" t="str">
        <f t="array" ref="BO434">IF($A434="","", INDEX(CS!$B$1:$B$15025,MATCH($A434,CS!$B:$B,0)+COLUMN(K$1),1))</f>
        <v/>
      </c>
      <c r="BP434" s="37" t="str">
        <f t="array" ref="BP434">IF($A434="","", INDEX(CS!$B$1:$B$15025,MATCH($A434,CS!$B:$B,0)+COLUMN(L$1),1))</f>
        <v/>
      </c>
      <c r="BS434" s="74"/>
      <c r="CQ434" s="37"/>
      <c r="CR434" s="37"/>
    </row>
    <row r="435" ht="18.75" customHeight="1">
      <c r="B435" s="71"/>
      <c r="C435" s="37" t="s">
        <v>2900</v>
      </c>
      <c r="D435" s="72" t="str">
        <f t="shared" si="18"/>
        <v>0/0/0</v>
      </c>
      <c r="E435" s="37">
        <v>1.0</v>
      </c>
      <c r="K435" s="73"/>
      <c r="P435" s="37" t="s">
        <v>29</v>
      </c>
      <c r="Q435" s="64"/>
      <c r="R435" s="64"/>
      <c r="S435" s="64"/>
      <c r="T435" s="64"/>
      <c r="U435" s="64"/>
      <c r="V435" s="64"/>
      <c r="W435" s="64"/>
      <c r="X435" s="64"/>
      <c r="Y435" s="64"/>
      <c r="Z435" s="64"/>
      <c r="AA435" s="64"/>
      <c r="BG435" s="37" t="str">
        <f t="array" ref="BG435">IF($A435="","", INDEX(CS!$B$1:$B$15025,MATCH($A435,CS!$B:$B,0)+COLUMN(A$1),1))</f>
        <v/>
      </c>
      <c r="BH435" s="37" t="str">
        <f t="array" ref="BH435">IF($A435="","", INDEX(CS!$B$1:$B$15025,MATCH($A435,CS!$B:$B,0)+COLUMN(B$1),1))</f>
        <v/>
      </c>
      <c r="BI435" s="37" t="str">
        <f t="array" ref="BI435">IF($A435="","", INDEX(CS!$B$1:$B$15025,MATCH($A435,CS!$B:$B,0)+COLUMN(C$1),1))</f>
        <v/>
      </c>
      <c r="BJ435" s="37" t="str">
        <f t="array" ref="BJ435">IF($A435="","", INDEX(CS!$B$1:$B$15025,MATCH($A435,CS!$B:$B,0)+COLUMN(D$1),1))</f>
        <v/>
      </c>
      <c r="BK435" s="37" t="str">
        <f t="array" ref="BK435">IF($A435="","", INDEX(CS!$B$1:$B$15025,MATCH($A435,CS!$B:$B,0)+COLUMN(E$1),1))</f>
        <v/>
      </c>
      <c r="BL435" s="37" t="str">
        <f t="array" ref="BL435">IF($A435="","", INDEX(CS!$B$1:$B$15025,MATCH($A435,CS!$B:$B,0)+COLUMN(F$1),1))</f>
        <v/>
      </c>
      <c r="BM435" s="37" t="str">
        <f t="array" ref="BM435">IF($A435="","", INDEX(CS!$B$1:$B$15025,MATCH($A435,CS!$B:$B,0)+COLUMN(I$1),1))</f>
        <v/>
      </c>
      <c r="BN435" s="37" t="str">
        <f t="array" ref="BN435">IF($A435="","", INDEX(CS!$B$1:$B$15025,MATCH($A435,CS!$B:$B,0)+COLUMN(J$1),1))</f>
        <v/>
      </c>
      <c r="BO435" s="37" t="str">
        <f t="array" ref="BO435">IF($A435="","", INDEX(CS!$B$1:$B$15025,MATCH($A435,CS!$B:$B,0)+COLUMN(K$1),1))</f>
        <v/>
      </c>
      <c r="BP435" s="37" t="str">
        <f t="array" ref="BP435">IF($A435="","", INDEX(CS!$B$1:$B$15025,MATCH($A435,CS!$B:$B,0)+COLUMN(L$1),1))</f>
        <v/>
      </c>
      <c r="BS435" s="74"/>
      <c r="CQ435" s="37"/>
      <c r="CR435" s="37"/>
    </row>
    <row r="436" ht="18.75" customHeight="1">
      <c r="B436" s="71"/>
      <c r="C436" s="37" t="s">
        <v>2900</v>
      </c>
      <c r="D436" s="72" t="str">
        <f t="shared" si="18"/>
        <v>0/0/0</v>
      </c>
      <c r="E436" s="37">
        <v>1.0</v>
      </c>
      <c r="K436" s="73"/>
      <c r="P436" s="37" t="s">
        <v>29</v>
      </c>
      <c r="Q436" s="64"/>
      <c r="R436" s="64"/>
      <c r="S436" s="64"/>
      <c r="T436" s="64"/>
      <c r="U436" s="64"/>
      <c r="V436" s="64"/>
      <c r="W436" s="64"/>
      <c r="X436" s="64"/>
      <c r="Y436" s="64"/>
      <c r="Z436" s="64"/>
      <c r="AA436" s="64"/>
      <c r="BG436" s="37" t="str">
        <f t="array" ref="BG436">IF($A436="","", INDEX(CS!$B$1:$B$15025,MATCH($A436,CS!$B:$B,0)+COLUMN(A$1),1))</f>
        <v/>
      </c>
      <c r="BH436" s="37" t="str">
        <f t="array" ref="BH436">IF($A436="","", INDEX(CS!$B$1:$B$15025,MATCH($A436,CS!$B:$B,0)+COLUMN(B$1),1))</f>
        <v/>
      </c>
      <c r="BI436" s="37" t="str">
        <f t="array" ref="BI436">IF($A436="","", INDEX(CS!$B$1:$B$15025,MATCH($A436,CS!$B:$B,0)+COLUMN(C$1),1))</f>
        <v/>
      </c>
      <c r="BJ436" s="37" t="str">
        <f t="array" ref="BJ436">IF($A436="","", INDEX(CS!$B$1:$B$15025,MATCH($A436,CS!$B:$B,0)+COLUMN(D$1),1))</f>
        <v/>
      </c>
      <c r="BK436" s="37" t="str">
        <f t="array" ref="BK436">IF($A436="","", INDEX(CS!$B$1:$B$15025,MATCH($A436,CS!$B:$B,0)+COLUMN(E$1),1))</f>
        <v/>
      </c>
      <c r="BL436" s="37" t="str">
        <f t="array" ref="BL436">IF($A436="","", INDEX(CS!$B$1:$B$15025,MATCH($A436,CS!$B:$B,0)+COLUMN(F$1),1))</f>
        <v/>
      </c>
      <c r="BM436" s="37" t="str">
        <f t="array" ref="BM436">IF($A436="","", INDEX(CS!$B$1:$B$15025,MATCH($A436,CS!$B:$B,0)+COLUMN(I$1),1))</f>
        <v/>
      </c>
      <c r="BN436" s="37" t="str">
        <f t="array" ref="BN436">IF($A436="","", INDEX(CS!$B$1:$B$15025,MATCH($A436,CS!$B:$B,0)+COLUMN(J$1),1))</f>
        <v/>
      </c>
      <c r="BO436" s="37" t="str">
        <f t="array" ref="BO436">IF($A436="","", INDEX(CS!$B$1:$B$15025,MATCH($A436,CS!$B:$B,0)+COLUMN(K$1),1))</f>
        <v/>
      </c>
      <c r="BP436" s="37" t="str">
        <f t="array" ref="BP436">IF($A436="","", INDEX(CS!$B$1:$B$15025,MATCH($A436,CS!$B:$B,0)+COLUMN(L$1),1))</f>
        <v/>
      </c>
      <c r="BS436" s="74"/>
      <c r="CQ436" s="37"/>
      <c r="CR436" s="37"/>
    </row>
    <row r="437" ht="18.75" customHeight="1">
      <c r="B437" s="71"/>
      <c r="C437" s="37" t="s">
        <v>2900</v>
      </c>
      <c r="D437" s="72" t="str">
        <f t="shared" si="18"/>
        <v>0/0/0</v>
      </c>
      <c r="E437" s="37">
        <v>1.0</v>
      </c>
      <c r="K437" s="73"/>
      <c r="P437" s="37" t="s">
        <v>29</v>
      </c>
      <c r="Q437" s="64"/>
      <c r="R437" s="64"/>
      <c r="S437" s="64"/>
      <c r="T437" s="64"/>
      <c r="U437" s="64"/>
      <c r="V437" s="64"/>
      <c r="W437" s="64"/>
      <c r="X437" s="64"/>
      <c r="Y437" s="64"/>
      <c r="Z437" s="64"/>
      <c r="AA437" s="64"/>
      <c r="BG437" s="37" t="str">
        <f t="array" ref="BG437">IF($A437="","", INDEX(CS!$B$1:$B$15025,MATCH($A437,CS!$B:$B,0)+COLUMN(A$1),1))</f>
        <v/>
      </c>
      <c r="BH437" s="37" t="str">
        <f t="array" ref="BH437">IF($A437="","", INDEX(CS!$B$1:$B$15025,MATCH($A437,CS!$B:$B,0)+COLUMN(B$1),1))</f>
        <v/>
      </c>
      <c r="BI437" s="37" t="str">
        <f t="array" ref="BI437">IF($A437="","", INDEX(CS!$B$1:$B$15025,MATCH($A437,CS!$B:$B,0)+COLUMN(C$1),1))</f>
        <v/>
      </c>
      <c r="BJ437" s="37" t="str">
        <f t="array" ref="BJ437">IF($A437="","", INDEX(CS!$B$1:$B$15025,MATCH($A437,CS!$B:$B,0)+COLUMN(D$1),1))</f>
        <v/>
      </c>
      <c r="BK437" s="37" t="str">
        <f t="array" ref="BK437">IF($A437="","", INDEX(CS!$B$1:$B$15025,MATCH($A437,CS!$B:$B,0)+COLUMN(E$1),1))</f>
        <v/>
      </c>
      <c r="BL437" s="37" t="str">
        <f t="array" ref="BL437">IF($A437="","", INDEX(CS!$B$1:$B$15025,MATCH($A437,CS!$B:$B,0)+COLUMN(F$1),1))</f>
        <v/>
      </c>
      <c r="BM437" s="37" t="str">
        <f t="array" ref="BM437">IF($A437="","", INDEX(CS!$B$1:$B$15025,MATCH($A437,CS!$B:$B,0)+COLUMN(I$1),1))</f>
        <v/>
      </c>
      <c r="BN437" s="37" t="str">
        <f t="array" ref="BN437">IF($A437="","", INDEX(CS!$B$1:$B$15025,MATCH($A437,CS!$B:$B,0)+COLUMN(J$1),1))</f>
        <v/>
      </c>
      <c r="BO437" s="37" t="str">
        <f t="array" ref="BO437">IF($A437="","", INDEX(CS!$B$1:$B$15025,MATCH($A437,CS!$B:$B,0)+COLUMN(K$1),1))</f>
        <v/>
      </c>
      <c r="BP437" s="37" t="str">
        <f t="array" ref="BP437">IF($A437="","", INDEX(CS!$B$1:$B$15025,MATCH($A437,CS!$B:$B,0)+COLUMN(L$1),1))</f>
        <v/>
      </c>
      <c r="BS437" s="74"/>
      <c r="CQ437" s="37"/>
      <c r="CR437" s="37"/>
    </row>
    <row r="438" ht="18.75" customHeight="1">
      <c r="B438" s="71"/>
      <c r="C438" s="37" t="s">
        <v>2900</v>
      </c>
      <c r="D438" s="72" t="str">
        <f t="shared" si="18"/>
        <v>0/0/0</v>
      </c>
      <c r="E438" s="37">
        <v>1.0</v>
      </c>
      <c r="K438" s="73"/>
      <c r="P438" s="37" t="s">
        <v>29</v>
      </c>
      <c r="Q438" s="64"/>
      <c r="R438" s="64"/>
      <c r="S438" s="64"/>
      <c r="T438" s="64"/>
      <c r="U438" s="64"/>
      <c r="V438" s="64"/>
      <c r="W438" s="64"/>
      <c r="X438" s="64"/>
      <c r="Y438" s="64"/>
      <c r="Z438" s="64"/>
      <c r="AA438" s="64"/>
      <c r="BG438" s="37" t="str">
        <f t="array" ref="BG438">IF($A438="","", INDEX(CS!$B$1:$B$15025,MATCH($A438,CS!$B:$B,0)+COLUMN(A$1),1))</f>
        <v/>
      </c>
      <c r="BH438" s="37" t="str">
        <f t="array" ref="BH438">IF($A438="","", INDEX(CS!$B$1:$B$15025,MATCH($A438,CS!$B:$B,0)+COLUMN(B$1),1))</f>
        <v/>
      </c>
      <c r="BI438" s="37" t="str">
        <f t="array" ref="BI438">IF($A438="","", INDEX(CS!$B$1:$B$15025,MATCH($A438,CS!$B:$B,0)+COLUMN(C$1),1))</f>
        <v/>
      </c>
      <c r="BJ438" s="37" t="str">
        <f t="array" ref="BJ438">IF($A438="","", INDEX(CS!$B$1:$B$15025,MATCH($A438,CS!$B:$B,0)+COLUMN(D$1),1))</f>
        <v/>
      </c>
      <c r="BK438" s="37" t="str">
        <f t="array" ref="BK438">IF($A438="","", INDEX(CS!$B$1:$B$15025,MATCH($A438,CS!$B:$B,0)+COLUMN(E$1),1))</f>
        <v/>
      </c>
      <c r="BL438" s="37" t="str">
        <f t="array" ref="BL438">IF($A438="","", INDEX(CS!$B$1:$B$15025,MATCH($A438,CS!$B:$B,0)+COLUMN(F$1),1))</f>
        <v/>
      </c>
      <c r="BM438" s="37" t="str">
        <f t="array" ref="BM438">IF($A438="","", INDEX(CS!$B$1:$B$15025,MATCH($A438,CS!$B:$B,0)+COLUMN(I$1),1))</f>
        <v/>
      </c>
      <c r="BN438" s="37" t="str">
        <f t="array" ref="BN438">IF($A438="","", INDEX(CS!$B$1:$B$15025,MATCH($A438,CS!$B:$B,0)+COLUMN(J$1),1))</f>
        <v/>
      </c>
      <c r="BO438" s="37" t="str">
        <f t="array" ref="BO438">IF($A438="","", INDEX(CS!$B$1:$B$15025,MATCH($A438,CS!$B:$B,0)+COLUMN(K$1),1))</f>
        <v/>
      </c>
      <c r="BP438" s="37" t="str">
        <f t="array" ref="BP438">IF($A438="","", INDEX(CS!$B$1:$B$15025,MATCH($A438,CS!$B:$B,0)+COLUMN(L$1),1))</f>
        <v/>
      </c>
      <c r="BS438" s="74"/>
      <c r="CQ438" s="37"/>
      <c r="CR438" s="37"/>
    </row>
    <row r="439" ht="18.75" customHeight="1">
      <c r="B439" s="71"/>
      <c r="C439" s="37" t="s">
        <v>2900</v>
      </c>
      <c r="D439" s="72" t="str">
        <f t="shared" si="18"/>
        <v>0/0/0</v>
      </c>
      <c r="E439" s="37">
        <v>1.0</v>
      </c>
      <c r="K439" s="73"/>
      <c r="P439" s="37" t="s">
        <v>29</v>
      </c>
      <c r="Q439" s="64"/>
      <c r="R439" s="64"/>
      <c r="S439" s="64"/>
      <c r="T439" s="64"/>
      <c r="U439" s="64"/>
      <c r="V439" s="64"/>
      <c r="W439" s="64"/>
      <c r="X439" s="64"/>
      <c r="Y439" s="64"/>
      <c r="Z439" s="64"/>
      <c r="AA439" s="64"/>
      <c r="BG439" s="37" t="str">
        <f t="array" ref="BG439">IF($A439="","", INDEX(CS!$B$1:$B$15025,MATCH($A439,CS!$B:$B,0)+COLUMN(A$1),1))</f>
        <v/>
      </c>
      <c r="BH439" s="37" t="str">
        <f t="array" ref="BH439">IF($A439="","", INDEX(CS!$B$1:$B$15025,MATCH($A439,CS!$B:$B,0)+COLUMN(B$1),1))</f>
        <v/>
      </c>
      <c r="BI439" s="37" t="str">
        <f t="array" ref="BI439">IF($A439="","", INDEX(CS!$B$1:$B$15025,MATCH($A439,CS!$B:$B,0)+COLUMN(C$1),1))</f>
        <v/>
      </c>
      <c r="BJ439" s="37" t="str">
        <f t="array" ref="BJ439">IF($A439="","", INDEX(CS!$B$1:$B$15025,MATCH($A439,CS!$B:$B,0)+COLUMN(D$1),1))</f>
        <v/>
      </c>
      <c r="BK439" s="37" t="str">
        <f t="array" ref="BK439">IF($A439="","", INDEX(CS!$B$1:$B$15025,MATCH($A439,CS!$B:$B,0)+COLUMN(E$1),1))</f>
        <v/>
      </c>
      <c r="BL439" s="37" t="str">
        <f t="array" ref="BL439">IF($A439="","", INDEX(CS!$B$1:$B$15025,MATCH($A439,CS!$B:$B,0)+COLUMN(F$1),1))</f>
        <v/>
      </c>
      <c r="BM439" s="37" t="str">
        <f t="array" ref="BM439">IF($A439="","", INDEX(CS!$B$1:$B$15025,MATCH($A439,CS!$B:$B,0)+COLUMN(I$1),1))</f>
        <v/>
      </c>
      <c r="BN439" s="37" t="str">
        <f t="array" ref="BN439">IF($A439="","", INDEX(CS!$B$1:$B$15025,MATCH($A439,CS!$B:$B,0)+COLUMN(J$1),1))</f>
        <v/>
      </c>
      <c r="BO439" s="37" t="str">
        <f t="array" ref="BO439">IF($A439="","", INDEX(CS!$B$1:$B$15025,MATCH($A439,CS!$B:$B,0)+COLUMN(K$1),1))</f>
        <v/>
      </c>
      <c r="BP439" s="37" t="str">
        <f t="array" ref="BP439">IF($A439="","", INDEX(CS!$B$1:$B$15025,MATCH($A439,CS!$B:$B,0)+COLUMN(L$1),1))</f>
        <v/>
      </c>
      <c r="BS439" s="74"/>
      <c r="CQ439" s="37"/>
      <c r="CR439" s="37"/>
    </row>
    <row r="440" ht="18.75" customHeight="1">
      <c r="B440" s="71"/>
      <c r="C440" s="37" t="s">
        <v>2900</v>
      </c>
      <c r="D440" s="72" t="str">
        <f t="shared" si="18"/>
        <v>0/0/0</v>
      </c>
      <c r="E440" s="37">
        <v>1.0</v>
      </c>
      <c r="K440" s="73"/>
      <c r="P440" s="37" t="s">
        <v>29</v>
      </c>
      <c r="Q440" s="64"/>
      <c r="R440" s="64"/>
      <c r="S440" s="64"/>
      <c r="T440" s="64"/>
      <c r="U440" s="64"/>
      <c r="V440" s="64"/>
      <c r="W440" s="64"/>
      <c r="X440" s="64"/>
      <c r="Y440" s="64"/>
      <c r="Z440" s="64"/>
      <c r="AA440" s="64"/>
      <c r="BG440" s="37" t="str">
        <f t="array" ref="BG440">IF($A440="","", INDEX(CS!$B$1:$B$15025,MATCH($A440,CS!$B:$B,0)+COLUMN(A$1),1))</f>
        <v/>
      </c>
      <c r="BH440" s="37" t="str">
        <f t="array" ref="BH440">IF($A440="","", INDEX(CS!$B$1:$B$15025,MATCH($A440,CS!$B:$B,0)+COLUMN(B$1),1))</f>
        <v/>
      </c>
      <c r="BI440" s="37" t="str">
        <f t="array" ref="BI440">IF($A440="","", INDEX(CS!$B$1:$B$15025,MATCH($A440,CS!$B:$B,0)+COLUMN(C$1),1))</f>
        <v/>
      </c>
      <c r="BJ440" s="37" t="str">
        <f t="array" ref="BJ440">IF($A440="","", INDEX(CS!$B$1:$B$15025,MATCH($A440,CS!$B:$B,0)+COLUMN(D$1),1))</f>
        <v/>
      </c>
      <c r="BK440" s="37" t="str">
        <f t="array" ref="BK440">IF($A440="","", INDEX(CS!$B$1:$B$15025,MATCH($A440,CS!$B:$B,0)+COLUMN(E$1),1))</f>
        <v/>
      </c>
      <c r="BL440" s="37" t="str">
        <f t="array" ref="BL440">IF($A440="","", INDEX(CS!$B$1:$B$15025,MATCH($A440,CS!$B:$B,0)+COLUMN(F$1),1))</f>
        <v/>
      </c>
      <c r="BM440" s="37" t="str">
        <f t="array" ref="BM440">IF($A440="","", INDEX(CS!$B$1:$B$15025,MATCH($A440,CS!$B:$B,0)+COLUMN(I$1),1))</f>
        <v/>
      </c>
      <c r="BN440" s="37" t="str">
        <f t="array" ref="BN440">IF($A440="","", INDEX(CS!$B$1:$B$15025,MATCH($A440,CS!$B:$B,0)+COLUMN(J$1),1))</f>
        <v/>
      </c>
      <c r="BO440" s="37" t="str">
        <f t="array" ref="BO440">IF($A440="","", INDEX(CS!$B$1:$B$15025,MATCH($A440,CS!$B:$B,0)+COLUMN(K$1),1))</f>
        <v/>
      </c>
      <c r="BP440" s="37" t="str">
        <f t="array" ref="BP440">IF($A440="","", INDEX(CS!$B$1:$B$15025,MATCH($A440,CS!$B:$B,0)+COLUMN(L$1),1))</f>
        <v/>
      </c>
      <c r="BS440" s="74"/>
      <c r="CQ440" s="37"/>
      <c r="CR440" s="37"/>
    </row>
    <row r="441" ht="18.75" customHeight="1">
      <c r="B441" s="71"/>
      <c r="C441" s="37" t="s">
        <v>2900</v>
      </c>
      <c r="D441" s="72" t="str">
        <f t="shared" si="18"/>
        <v>0/0/0</v>
      </c>
      <c r="E441" s="37">
        <v>1.0</v>
      </c>
      <c r="K441" s="73"/>
      <c r="P441" s="37" t="s">
        <v>29</v>
      </c>
      <c r="Q441" s="64"/>
      <c r="R441" s="64"/>
      <c r="S441" s="64"/>
      <c r="T441" s="64"/>
      <c r="U441" s="64"/>
      <c r="V441" s="64"/>
      <c r="W441" s="64"/>
      <c r="X441" s="64"/>
      <c r="Y441" s="64"/>
      <c r="Z441" s="64"/>
      <c r="AA441" s="64"/>
      <c r="BG441" s="37" t="str">
        <f t="array" ref="BG441">IF($A441="","", INDEX(CS!$B$1:$B$15025,MATCH($A441,CS!$B:$B,0)+COLUMN(A$1),1))</f>
        <v/>
      </c>
      <c r="BH441" s="37" t="str">
        <f t="array" ref="BH441">IF($A441="","", INDEX(CS!$B$1:$B$15025,MATCH($A441,CS!$B:$B,0)+COLUMN(B$1),1))</f>
        <v/>
      </c>
      <c r="BI441" s="37" t="str">
        <f t="array" ref="BI441">IF($A441="","", INDEX(CS!$B$1:$B$15025,MATCH($A441,CS!$B:$B,0)+COLUMN(C$1),1))</f>
        <v/>
      </c>
      <c r="BJ441" s="37" t="str">
        <f t="array" ref="BJ441">IF($A441="","", INDEX(CS!$B$1:$B$15025,MATCH($A441,CS!$B:$B,0)+COLUMN(D$1),1))</f>
        <v/>
      </c>
      <c r="BK441" s="37" t="str">
        <f t="array" ref="BK441">IF($A441="","", INDEX(CS!$B$1:$B$15025,MATCH($A441,CS!$B:$B,0)+COLUMN(E$1),1))</f>
        <v/>
      </c>
      <c r="BL441" s="37" t="str">
        <f t="array" ref="BL441">IF($A441="","", INDEX(CS!$B$1:$B$15025,MATCH($A441,CS!$B:$B,0)+COLUMN(F$1),1))</f>
        <v/>
      </c>
      <c r="BM441" s="37" t="str">
        <f t="array" ref="BM441">IF($A441="","", INDEX(CS!$B$1:$B$15025,MATCH($A441,CS!$B:$B,0)+COLUMN(I$1),1))</f>
        <v/>
      </c>
      <c r="BN441" s="37" t="str">
        <f t="array" ref="BN441">IF($A441="","", INDEX(CS!$B$1:$B$15025,MATCH($A441,CS!$B:$B,0)+COLUMN(J$1),1))</f>
        <v/>
      </c>
      <c r="BO441" s="37" t="str">
        <f t="array" ref="BO441">IF($A441="","", INDEX(CS!$B$1:$B$15025,MATCH($A441,CS!$B:$B,0)+COLUMN(K$1),1))</f>
        <v/>
      </c>
      <c r="BP441" s="37" t="str">
        <f t="array" ref="BP441">IF($A441="","", INDEX(CS!$B$1:$B$15025,MATCH($A441,CS!$B:$B,0)+COLUMN(L$1),1))</f>
        <v/>
      </c>
      <c r="BS441" s="74"/>
      <c r="CQ441" s="37"/>
      <c r="CR441" s="37"/>
    </row>
    <row r="442" ht="18.75" customHeight="1">
      <c r="B442" s="71"/>
      <c r="C442" s="37" t="s">
        <v>2900</v>
      </c>
      <c r="D442" s="72" t="str">
        <f t="shared" si="18"/>
        <v>0/0/0</v>
      </c>
      <c r="E442" s="37">
        <v>1.0</v>
      </c>
      <c r="K442" s="73"/>
      <c r="P442" s="37" t="s">
        <v>29</v>
      </c>
      <c r="Q442" s="64"/>
      <c r="R442" s="64"/>
      <c r="S442" s="64"/>
      <c r="T442" s="64"/>
      <c r="U442" s="64"/>
      <c r="V442" s="64"/>
      <c r="W442" s="64"/>
      <c r="X442" s="64"/>
      <c r="Y442" s="64"/>
      <c r="Z442" s="64"/>
      <c r="AA442" s="64"/>
      <c r="BG442" s="37" t="str">
        <f t="array" ref="BG442">IF($A442="","", INDEX(CS!$B$1:$B$15025,MATCH($A442,CS!$B:$B,0)+COLUMN(A$1),1))</f>
        <v/>
      </c>
      <c r="BH442" s="37" t="str">
        <f t="array" ref="BH442">IF($A442="","", INDEX(CS!$B$1:$B$15025,MATCH($A442,CS!$B:$B,0)+COLUMN(B$1),1))</f>
        <v/>
      </c>
      <c r="BI442" s="37" t="str">
        <f t="array" ref="BI442">IF($A442="","", INDEX(CS!$B$1:$B$15025,MATCH($A442,CS!$B:$B,0)+COLUMN(C$1),1))</f>
        <v/>
      </c>
      <c r="BJ442" s="37" t="str">
        <f t="array" ref="BJ442">IF($A442="","", INDEX(CS!$B$1:$B$15025,MATCH($A442,CS!$B:$B,0)+COLUMN(D$1),1))</f>
        <v/>
      </c>
      <c r="BK442" s="37" t="str">
        <f t="array" ref="BK442">IF($A442="","", INDEX(CS!$B$1:$B$15025,MATCH($A442,CS!$B:$B,0)+COLUMN(E$1),1))</f>
        <v/>
      </c>
      <c r="BL442" s="37" t="str">
        <f t="array" ref="BL442">IF($A442="","", INDEX(CS!$B$1:$B$15025,MATCH($A442,CS!$B:$B,0)+COLUMN(F$1),1))</f>
        <v/>
      </c>
      <c r="BM442" s="37" t="str">
        <f t="array" ref="BM442">IF($A442="","", INDEX(CS!$B$1:$B$15025,MATCH($A442,CS!$B:$B,0)+COLUMN(I$1),1))</f>
        <v/>
      </c>
      <c r="BN442" s="37" t="str">
        <f t="array" ref="BN442">IF($A442="","", INDEX(CS!$B$1:$B$15025,MATCH($A442,CS!$B:$B,0)+COLUMN(J$1),1))</f>
        <v/>
      </c>
      <c r="BO442" s="37" t="str">
        <f t="array" ref="BO442">IF($A442="","", INDEX(CS!$B$1:$B$15025,MATCH($A442,CS!$B:$B,0)+COLUMN(K$1),1))</f>
        <v/>
      </c>
      <c r="BP442" s="37" t="str">
        <f t="array" ref="BP442">IF($A442="","", INDEX(CS!$B$1:$B$15025,MATCH($A442,CS!$B:$B,0)+COLUMN(L$1),1))</f>
        <v/>
      </c>
      <c r="BS442" s="74"/>
      <c r="CQ442" s="37"/>
      <c r="CR442" s="37"/>
    </row>
    <row r="443" ht="18.75" customHeight="1">
      <c r="B443" s="71"/>
      <c r="C443" s="37" t="s">
        <v>2900</v>
      </c>
      <c r="D443" s="72" t="str">
        <f t="shared" si="18"/>
        <v>0/0/0</v>
      </c>
      <c r="E443" s="37">
        <v>1.0</v>
      </c>
      <c r="K443" s="73"/>
      <c r="P443" s="37" t="s">
        <v>29</v>
      </c>
      <c r="Q443" s="64"/>
      <c r="R443" s="64"/>
      <c r="S443" s="64"/>
      <c r="T443" s="64"/>
      <c r="U443" s="64"/>
      <c r="V443" s="64"/>
      <c r="W443" s="64"/>
      <c r="X443" s="64"/>
      <c r="Y443" s="64"/>
      <c r="Z443" s="64"/>
      <c r="AA443" s="64"/>
      <c r="BG443" s="37" t="str">
        <f t="array" ref="BG443">IF($A443="","", INDEX(CS!$B$1:$B$15025,MATCH($A443,CS!$B:$B,0)+COLUMN(A$1),1))</f>
        <v/>
      </c>
      <c r="BH443" s="37" t="str">
        <f t="array" ref="BH443">IF($A443="","", INDEX(CS!$B$1:$B$15025,MATCH($A443,CS!$B:$B,0)+COLUMN(B$1),1))</f>
        <v/>
      </c>
      <c r="BI443" s="37" t="str">
        <f t="array" ref="BI443">IF($A443="","", INDEX(CS!$B$1:$B$15025,MATCH($A443,CS!$B:$B,0)+COLUMN(C$1),1))</f>
        <v/>
      </c>
      <c r="BJ443" s="37" t="str">
        <f t="array" ref="BJ443">IF($A443="","", INDEX(CS!$B$1:$B$15025,MATCH($A443,CS!$B:$B,0)+COLUMN(D$1),1))</f>
        <v/>
      </c>
      <c r="BK443" s="37" t="str">
        <f t="array" ref="BK443">IF($A443="","", INDEX(CS!$B$1:$B$15025,MATCH($A443,CS!$B:$B,0)+COLUMN(E$1),1))</f>
        <v/>
      </c>
      <c r="BL443" s="37" t="str">
        <f t="array" ref="BL443">IF($A443="","", INDEX(CS!$B$1:$B$15025,MATCH($A443,CS!$B:$B,0)+COLUMN(F$1),1))</f>
        <v/>
      </c>
      <c r="BM443" s="37" t="str">
        <f t="array" ref="BM443">IF($A443="","", INDEX(CS!$B$1:$B$15025,MATCH($A443,CS!$B:$B,0)+COLUMN(I$1),1))</f>
        <v/>
      </c>
      <c r="BN443" s="37" t="str">
        <f t="array" ref="BN443">IF($A443="","", INDEX(CS!$B$1:$B$15025,MATCH($A443,CS!$B:$B,0)+COLUMN(J$1),1))</f>
        <v/>
      </c>
      <c r="BO443" s="37" t="str">
        <f t="array" ref="BO443">IF($A443="","", INDEX(CS!$B$1:$B$15025,MATCH($A443,CS!$B:$B,0)+COLUMN(K$1),1))</f>
        <v/>
      </c>
      <c r="BP443" s="37" t="str">
        <f t="array" ref="BP443">IF($A443="","", INDEX(CS!$B$1:$B$15025,MATCH($A443,CS!$B:$B,0)+COLUMN(L$1),1))</f>
        <v/>
      </c>
      <c r="BS443" s="74"/>
      <c r="CQ443" s="37"/>
      <c r="CR443" s="37"/>
    </row>
    <row r="444" ht="18.75" customHeight="1">
      <c r="B444" s="71"/>
      <c r="C444" s="37" t="s">
        <v>2900</v>
      </c>
      <c r="D444" s="72" t="str">
        <f t="shared" si="18"/>
        <v>0/0/0</v>
      </c>
      <c r="E444" s="37">
        <v>1.0</v>
      </c>
      <c r="K444" s="73"/>
      <c r="P444" s="37" t="s">
        <v>29</v>
      </c>
      <c r="Q444" s="64"/>
      <c r="R444" s="64"/>
      <c r="S444" s="64"/>
      <c r="T444" s="64"/>
      <c r="U444" s="64"/>
      <c r="V444" s="64"/>
      <c r="W444" s="64"/>
      <c r="X444" s="64"/>
      <c r="Y444" s="64"/>
      <c r="Z444" s="64"/>
      <c r="AA444" s="64"/>
      <c r="BG444" s="37" t="str">
        <f t="array" ref="BG444">IF($A444="","", INDEX(CS!$B$1:$B$15025,MATCH($A444,CS!$B:$B,0)+COLUMN(A$1),1))</f>
        <v/>
      </c>
      <c r="BH444" s="37" t="str">
        <f t="array" ref="BH444">IF($A444="","", INDEX(CS!$B$1:$B$15025,MATCH($A444,CS!$B:$B,0)+COLUMN(B$1),1))</f>
        <v/>
      </c>
      <c r="BI444" s="37" t="str">
        <f t="array" ref="BI444">IF($A444="","", INDEX(CS!$B$1:$B$15025,MATCH($A444,CS!$B:$B,0)+COLUMN(C$1),1))</f>
        <v/>
      </c>
      <c r="BJ444" s="37" t="str">
        <f t="array" ref="BJ444">IF($A444="","", INDEX(CS!$B$1:$B$15025,MATCH($A444,CS!$B:$B,0)+COLUMN(D$1),1))</f>
        <v/>
      </c>
      <c r="BK444" s="37" t="str">
        <f t="array" ref="BK444">IF($A444="","", INDEX(CS!$B$1:$B$15025,MATCH($A444,CS!$B:$B,0)+COLUMN(E$1),1))</f>
        <v/>
      </c>
      <c r="BL444" s="37" t="str">
        <f t="array" ref="BL444">IF($A444="","", INDEX(CS!$B$1:$B$15025,MATCH($A444,CS!$B:$B,0)+COLUMN(F$1),1))</f>
        <v/>
      </c>
      <c r="BM444" s="37" t="str">
        <f t="array" ref="BM444">IF($A444="","", INDEX(CS!$B$1:$B$15025,MATCH($A444,CS!$B:$B,0)+COLUMN(I$1),1))</f>
        <v/>
      </c>
      <c r="BN444" s="37" t="str">
        <f t="array" ref="BN444">IF($A444="","", INDEX(CS!$B$1:$B$15025,MATCH($A444,CS!$B:$B,0)+COLUMN(J$1),1))</f>
        <v/>
      </c>
      <c r="BO444" s="37" t="str">
        <f t="array" ref="BO444">IF($A444="","", INDEX(CS!$B$1:$B$15025,MATCH($A444,CS!$B:$B,0)+COLUMN(K$1),1))</f>
        <v/>
      </c>
      <c r="BP444" s="37" t="str">
        <f t="array" ref="BP444">IF($A444="","", INDEX(CS!$B$1:$B$15025,MATCH($A444,CS!$B:$B,0)+COLUMN(L$1),1))</f>
        <v/>
      </c>
      <c r="BS444" s="74"/>
      <c r="CQ444" s="37"/>
      <c r="CR444" s="37"/>
    </row>
    <row r="445" ht="18.75" customHeight="1">
      <c r="B445" s="71"/>
      <c r="C445" s="37" t="s">
        <v>2900</v>
      </c>
      <c r="D445" s="72" t="str">
        <f t="shared" si="18"/>
        <v>0/0/0</v>
      </c>
      <c r="E445" s="37">
        <v>1.0</v>
      </c>
      <c r="K445" s="73"/>
      <c r="P445" s="37" t="s">
        <v>29</v>
      </c>
      <c r="Q445" s="64"/>
      <c r="R445" s="64"/>
      <c r="S445" s="64"/>
      <c r="T445" s="64"/>
      <c r="U445" s="64"/>
      <c r="V445" s="64"/>
      <c r="W445" s="64"/>
      <c r="X445" s="64"/>
      <c r="Y445" s="64"/>
      <c r="Z445" s="64"/>
      <c r="AA445" s="64"/>
      <c r="BG445" s="37" t="str">
        <f t="array" ref="BG445">IF($A445="","", INDEX(CS!$B$1:$B$15025,MATCH($A445,CS!$B:$B,0)+COLUMN(A$1),1))</f>
        <v/>
      </c>
      <c r="BH445" s="37" t="str">
        <f t="array" ref="BH445">IF($A445="","", INDEX(CS!$B$1:$B$15025,MATCH($A445,CS!$B:$B,0)+COLUMN(B$1),1))</f>
        <v/>
      </c>
      <c r="BI445" s="37" t="str">
        <f t="array" ref="BI445">IF($A445="","", INDEX(CS!$B$1:$B$15025,MATCH($A445,CS!$B:$B,0)+COLUMN(C$1),1))</f>
        <v/>
      </c>
      <c r="BJ445" s="37" t="str">
        <f t="array" ref="BJ445">IF($A445="","", INDEX(CS!$B$1:$B$15025,MATCH($A445,CS!$B:$B,0)+COLUMN(D$1),1))</f>
        <v/>
      </c>
      <c r="BK445" s="37" t="str">
        <f t="array" ref="BK445">IF($A445="","", INDEX(CS!$B$1:$B$15025,MATCH($A445,CS!$B:$B,0)+COLUMN(E$1),1))</f>
        <v/>
      </c>
      <c r="BL445" s="37" t="str">
        <f t="array" ref="BL445">IF($A445="","", INDEX(CS!$B$1:$B$15025,MATCH($A445,CS!$B:$B,0)+COLUMN(F$1),1))</f>
        <v/>
      </c>
      <c r="BM445" s="37" t="str">
        <f t="array" ref="BM445">IF($A445="","", INDEX(CS!$B$1:$B$15025,MATCH($A445,CS!$B:$B,0)+COLUMN(I$1),1))</f>
        <v/>
      </c>
      <c r="BN445" s="37" t="str">
        <f t="array" ref="BN445">IF($A445="","", INDEX(CS!$B$1:$B$15025,MATCH($A445,CS!$B:$B,0)+COLUMN(J$1),1))</f>
        <v/>
      </c>
      <c r="BO445" s="37" t="str">
        <f t="array" ref="BO445">IF($A445="","", INDEX(CS!$B$1:$B$15025,MATCH($A445,CS!$B:$B,0)+COLUMN(K$1),1))</f>
        <v/>
      </c>
      <c r="BP445" s="37" t="str">
        <f t="array" ref="BP445">IF($A445="","", INDEX(CS!$B$1:$B$15025,MATCH($A445,CS!$B:$B,0)+COLUMN(L$1),1))</f>
        <v/>
      </c>
      <c r="BS445" s="74"/>
      <c r="CQ445" s="37"/>
      <c r="CR445" s="37"/>
    </row>
    <row r="446" ht="18.75" customHeight="1">
      <c r="B446" s="71"/>
      <c r="C446" s="37" t="s">
        <v>2900</v>
      </c>
      <c r="D446" s="72" t="str">
        <f t="shared" si="18"/>
        <v>0/0/0</v>
      </c>
      <c r="E446" s="37">
        <v>1.0</v>
      </c>
      <c r="K446" s="73"/>
      <c r="P446" s="37" t="s">
        <v>29</v>
      </c>
      <c r="Q446" s="64"/>
      <c r="R446" s="64"/>
      <c r="S446" s="64"/>
      <c r="T446" s="64"/>
      <c r="U446" s="64"/>
      <c r="V446" s="64"/>
      <c r="W446" s="64"/>
      <c r="X446" s="64"/>
      <c r="Y446" s="64"/>
      <c r="Z446" s="64"/>
      <c r="AA446" s="64"/>
      <c r="BG446" s="37" t="str">
        <f t="array" ref="BG446">IF($A446="","", INDEX(CS!$B$1:$B$15025,MATCH($A446,CS!$B:$B,0)+COLUMN(A$1),1))</f>
        <v/>
      </c>
      <c r="BH446" s="37" t="str">
        <f t="array" ref="BH446">IF($A446="","", INDEX(CS!$B$1:$B$15025,MATCH($A446,CS!$B:$B,0)+COLUMN(B$1),1))</f>
        <v/>
      </c>
      <c r="BI446" s="37" t="str">
        <f t="array" ref="BI446">IF($A446="","", INDEX(CS!$B$1:$B$15025,MATCH($A446,CS!$B:$B,0)+COLUMN(C$1),1))</f>
        <v/>
      </c>
      <c r="BJ446" s="37" t="str">
        <f t="array" ref="BJ446">IF($A446="","", INDEX(CS!$B$1:$B$15025,MATCH($A446,CS!$B:$B,0)+COLUMN(D$1),1))</f>
        <v/>
      </c>
      <c r="BK446" s="37" t="str">
        <f t="array" ref="BK446">IF($A446="","", INDEX(CS!$B$1:$B$15025,MATCH($A446,CS!$B:$B,0)+COLUMN(E$1),1))</f>
        <v/>
      </c>
      <c r="BL446" s="37" t="str">
        <f t="array" ref="BL446">IF($A446="","", INDEX(CS!$B$1:$B$15025,MATCH($A446,CS!$B:$B,0)+COLUMN(F$1),1))</f>
        <v/>
      </c>
      <c r="BM446" s="37" t="str">
        <f t="array" ref="BM446">IF($A446="","", INDEX(CS!$B$1:$B$15025,MATCH($A446,CS!$B:$B,0)+COLUMN(I$1),1))</f>
        <v/>
      </c>
      <c r="BN446" s="37" t="str">
        <f t="array" ref="BN446">IF($A446="","", INDEX(CS!$B$1:$B$15025,MATCH($A446,CS!$B:$B,0)+COLUMN(J$1),1))</f>
        <v/>
      </c>
      <c r="BO446" s="37" t="str">
        <f t="array" ref="BO446">IF($A446="","", INDEX(CS!$B$1:$B$15025,MATCH($A446,CS!$B:$B,0)+COLUMN(K$1),1))</f>
        <v/>
      </c>
      <c r="BP446" s="37" t="str">
        <f t="array" ref="BP446">IF($A446="","", INDEX(CS!$B$1:$B$15025,MATCH($A446,CS!$B:$B,0)+COLUMN(L$1),1))</f>
        <v/>
      </c>
      <c r="BS446" s="74"/>
      <c r="CQ446" s="37"/>
      <c r="CR446" s="37"/>
    </row>
    <row r="447" ht="18.75" customHeight="1">
      <c r="B447" s="71"/>
      <c r="C447" s="37" t="s">
        <v>2900</v>
      </c>
      <c r="D447" s="72" t="str">
        <f t="shared" si="18"/>
        <v>0/0/0</v>
      </c>
      <c r="E447" s="37">
        <v>1.0</v>
      </c>
      <c r="K447" s="73"/>
      <c r="P447" s="37" t="s">
        <v>29</v>
      </c>
      <c r="Q447" s="64"/>
      <c r="R447" s="64"/>
      <c r="S447" s="64"/>
      <c r="T447" s="64"/>
      <c r="U447" s="64"/>
      <c r="V447" s="64"/>
      <c r="W447" s="64"/>
      <c r="X447" s="64"/>
      <c r="Y447" s="64"/>
      <c r="Z447" s="64"/>
      <c r="AA447" s="64"/>
      <c r="BG447" s="37" t="str">
        <f t="array" ref="BG447">IF($A447="","", INDEX(CS!$B$1:$B$15025,MATCH($A447,CS!$B:$B,0)+COLUMN(A$1),1))</f>
        <v/>
      </c>
      <c r="BH447" s="37" t="str">
        <f t="array" ref="BH447">IF($A447="","", INDEX(CS!$B$1:$B$15025,MATCH($A447,CS!$B:$B,0)+COLUMN(B$1),1))</f>
        <v/>
      </c>
      <c r="BI447" s="37" t="str">
        <f t="array" ref="BI447">IF($A447="","", INDEX(CS!$B$1:$B$15025,MATCH($A447,CS!$B:$B,0)+COLUMN(C$1),1))</f>
        <v/>
      </c>
      <c r="BJ447" s="37" t="str">
        <f t="array" ref="BJ447">IF($A447="","", INDEX(CS!$B$1:$B$15025,MATCH($A447,CS!$B:$B,0)+COLUMN(D$1),1))</f>
        <v/>
      </c>
      <c r="BK447" s="37" t="str">
        <f t="array" ref="BK447">IF($A447="","", INDEX(CS!$B$1:$B$15025,MATCH($A447,CS!$B:$B,0)+COLUMN(E$1),1))</f>
        <v/>
      </c>
      <c r="BL447" s="37" t="str">
        <f t="array" ref="BL447">IF($A447="","", INDEX(CS!$B$1:$B$15025,MATCH($A447,CS!$B:$B,0)+COLUMN(F$1),1))</f>
        <v/>
      </c>
      <c r="BM447" s="37" t="str">
        <f t="array" ref="BM447">IF($A447="","", INDEX(CS!$B$1:$B$15025,MATCH($A447,CS!$B:$B,0)+COLUMN(I$1),1))</f>
        <v/>
      </c>
      <c r="BN447" s="37" t="str">
        <f t="array" ref="BN447">IF($A447="","", INDEX(CS!$B$1:$B$15025,MATCH($A447,CS!$B:$B,0)+COLUMN(J$1),1))</f>
        <v/>
      </c>
      <c r="BO447" s="37" t="str">
        <f t="array" ref="BO447">IF($A447="","", INDEX(CS!$B$1:$B$15025,MATCH($A447,CS!$B:$B,0)+COLUMN(K$1),1))</f>
        <v/>
      </c>
      <c r="BP447" s="37" t="str">
        <f t="array" ref="BP447">IF($A447="","", INDEX(CS!$B$1:$B$15025,MATCH($A447,CS!$B:$B,0)+COLUMN(L$1),1))</f>
        <v/>
      </c>
      <c r="BS447" s="74"/>
      <c r="CQ447" s="37"/>
      <c r="CR447" s="37"/>
    </row>
    <row r="448" ht="18.75" customHeight="1">
      <c r="B448" s="71"/>
      <c r="C448" s="37" t="s">
        <v>2900</v>
      </c>
      <c r="D448" s="72" t="str">
        <f t="shared" si="18"/>
        <v>0/0/0</v>
      </c>
      <c r="E448" s="37">
        <v>1.0</v>
      </c>
      <c r="K448" s="73"/>
      <c r="P448" s="37" t="s">
        <v>29</v>
      </c>
      <c r="Q448" s="64"/>
      <c r="R448" s="64"/>
      <c r="S448" s="64"/>
      <c r="T448" s="64"/>
      <c r="U448" s="64"/>
      <c r="V448" s="64"/>
      <c r="W448" s="64"/>
      <c r="X448" s="64"/>
      <c r="Y448" s="64"/>
      <c r="Z448" s="64"/>
      <c r="AA448" s="64"/>
      <c r="BG448" s="37" t="str">
        <f t="array" ref="BG448">IF($A448="","", INDEX(CS!$B$1:$B$15025,MATCH($A448,CS!$B:$B,0)+COLUMN(A$1),1))</f>
        <v/>
      </c>
      <c r="BH448" s="37" t="str">
        <f t="array" ref="BH448">IF($A448="","", INDEX(CS!$B$1:$B$15025,MATCH($A448,CS!$B:$B,0)+COLUMN(B$1),1))</f>
        <v/>
      </c>
      <c r="BI448" s="37" t="str">
        <f t="array" ref="BI448">IF($A448="","", INDEX(CS!$B$1:$B$15025,MATCH($A448,CS!$B:$B,0)+COLUMN(C$1),1))</f>
        <v/>
      </c>
      <c r="BJ448" s="37" t="str">
        <f t="array" ref="BJ448">IF($A448="","", INDEX(CS!$B$1:$B$15025,MATCH($A448,CS!$B:$B,0)+COLUMN(D$1),1))</f>
        <v/>
      </c>
      <c r="BK448" s="37" t="str">
        <f t="array" ref="BK448">IF($A448="","", INDEX(CS!$B$1:$B$15025,MATCH($A448,CS!$B:$B,0)+COLUMN(E$1),1))</f>
        <v/>
      </c>
      <c r="BL448" s="37" t="str">
        <f t="array" ref="BL448">IF($A448="","", INDEX(CS!$B$1:$B$15025,MATCH($A448,CS!$B:$B,0)+COLUMN(F$1),1))</f>
        <v/>
      </c>
      <c r="BM448" s="37" t="str">
        <f t="array" ref="BM448">IF($A448="","", INDEX(CS!$B$1:$B$15025,MATCH($A448,CS!$B:$B,0)+COLUMN(I$1),1))</f>
        <v/>
      </c>
      <c r="BN448" s="37" t="str">
        <f t="array" ref="BN448">IF($A448="","", INDEX(CS!$B$1:$B$15025,MATCH($A448,CS!$B:$B,0)+COLUMN(J$1),1))</f>
        <v/>
      </c>
      <c r="BO448" s="37" t="str">
        <f t="array" ref="BO448">IF($A448="","", INDEX(CS!$B$1:$B$15025,MATCH($A448,CS!$B:$B,0)+COLUMN(K$1),1))</f>
        <v/>
      </c>
      <c r="BP448" s="37" t="str">
        <f t="array" ref="BP448">IF($A448="","", INDEX(CS!$B$1:$B$15025,MATCH($A448,CS!$B:$B,0)+COLUMN(L$1),1))</f>
        <v/>
      </c>
      <c r="BS448" s="74"/>
      <c r="CQ448" s="37"/>
      <c r="CR448" s="37"/>
    </row>
    <row r="449" ht="18.75" customHeight="1">
      <c r="B449" s="71"/>
      <c r="C449" s="37" t="s">
        <v>2900</v>
      </c>
      <c r="D449" s="72" t="str">
        <f t="shared" si="18"/>
        <v>0/0/0</v>
      </c>
      <c r="E449" s="37">
        <v>1.0</v>
      </c>
      <c r="K449" s="73"/>
      <c r="P449" s="37" t="s">
        <v>29</v>
      </c>
      <c r="Q449" s="64"/>
      <c r="R449" s="64"/>
      <c r="S449" s="64"/>
      <c r="T449" s="64"/>
      <c r="U449" s="64"/>
      <c r="V449" s="64"/>
      <c r="W449" s="64"/>
      <c r="X449" s="64"/>
      <c r="Y449" s="64"/>
      <c r="Z449" s="64"/>
      <c r="AA449" s="64"/>
      <c r="BG449" s="37" t="str">
        <f t="array" ref="BG449">IF($A449="","", INDEX(CS!$B$1:$B$15025,MATCH($A449,CS!$B:$B,0)+COLUMN(A$1),1))</f>
        <v/>
      </c>
      <c r="BH449" s="37" t="str">
        <f t="array" ref="BH449">IF($A449="","", INDEX(CS!$B$1:$B$15025,MATCH($A449,CS!$B:$B,0)+COLUMN(B$1),1))</f>
        <v/>
      </c>
      <c r="BI449" s="37" t="str">
        <f t="array" ref="BI449">IF($A449="","", INDEX(CS!$B$1:$B$15025,MATCH($A449,CS!$B:$B,0)+COLUMN(C$1),1))</f>
        <v/>
      </c>
      <c r="BJ449" s="37" t="str">
        <f t="array" ref="BJ449">IF($A449="","", INDEX(CS!$B$1:$B$15025,MATCH($A449,CS!$B:$B,0)+COLUMN(D$1),1))</f>
        <v/>
      </c>
      <c r="BK449" s="37" t="str">
        <f t="array" ref="BK449">IF($A449="","", INDEX(CS!$B$1:$B$15025,MATCH($A449,CS!$B:$B,0)+COLUMN(E$1),1))</f>
        <v/>
      </c>
      <c r="BL449" s="37" t="str">
        <f t="array" ref="BL449">IF($A449="","", INDEX(CS!$B$1:$B$15025,MATCH($A449,CS!$B:$B,0)+COLUMN(F$1),1))</f>
        <v/>
      </c>
      <c r="BM449" s="37" t="str">
        <f t="array" ref="BM449">IF($A449="","", INDEX(CS!$B$1:$B$15025,MATCH($A449,CS!$B:$B,0)+COLUMN(I$1),1))</f>
        <v/>
      </c>
      <c r="BN449" s="37" t="str">
        <f t="array" ref="BN449">IF($A449="","", INDEX(CS!$B$1:$B$15025,MATCH($A449,CS!$B:$B,0)+COLUMN(J$1),1))</f>
        <v/>
      </c>
      <c r="BO449" s="37" t="str">
        <f t="array" ref="BO449">IF($A449="","", INDEX(CS!$B$1:$B$15025,MATCH($A449,CS!$B:$B,0)+COLUMN(K$1),1))</f>
        <v/>
      </c>
      <c r="BP449" s="37" t="str">
        <f t="array" ref="BP449">IF($A449="","", INDEX(CS!$B$1:$B$15025,MATCH($A449,CS!$B:$B,0)+COLUMN(L$1),1))</f>
        <v/>
      </c>
      <c r="BS449" s="74"/>
      <c r="CQ449" s="37"/>
      <c r="CR449" s="37"/>
    </row>
    <row r="450" ht="18.75" customHeight="1">
      <c r="B450" s="71"/>
      <c r="C450" s="37" t="s">
        <v>2900</v>
      </c>
      <c r="D450" s="72" t="str">
        <f t="shared" si="18"/>
        <v>0/0/0</v>
      </c>
      <c r="E450" s="37">
        <v>1.0</v>
      </c>
      <c r="K450" s="73"/>
      <c r="P450" s="37" t="s">
        <v>29</v>
      </c>
      <c r="Q450" s="64"/>
      <c r="R450" s="64"/>
      <c r="S450" s="64"/>
      <c r="T450" s="64"/>
      <c r="U450" s="64"/>
      <c r="V450" s="64"/>
      <c r="W450" s="64"/>
      <c r="X450" s="64"/>
      <c r="Y450" s="64"/>
      <c r="Z450" s="64"/>
      <c r="AA450" s="64"/>
      <c r="BG450" s="37" t="str">
        <f t="array" ref="BG450">IF($A450="","", INDEX(CS!$B$1:$B$15025,MATCH($A450,CS!$B:$B,0)+COLUMN(A$1),1))</f>
        <v/>
      </c>
      <c r="BH450" s="37" t="str">
        <f t="array" ref="BH450">IF($A450="","", INDEX(CS!$B$1:$B$15025,MATCH($A450,CS!$B:$B,0)+COLUMN(B$1),1))</f>
        <v/>
      </c>
      <c r="BI450" s="37" t="str">
        <f t="array" ref="BI450">IF($A450="","", INDEX(CS!$B$1:$B$15025,MATCH($A450,CS!$B:$B,0)+COLUMN(C$1),1))</f>
        <v/>
      </c>
      <c r="BJ450" s="37" t="str">
        <f t="array" ref="BJ450">IF($A450="","", INDEX(CS!$B$1:$B$15025,MATCH($A450,CS!$B:$B,0)+COLUMN(D$1),1))</f>
        <v/>
      </c>
      <c r="BK450" s="37" t="str">
        <f t="array" ref="BK450">IF($A450="","", INDEX(CS!$B$1:$B$15025,MATCH($A450,CS!$B:$B,0)+COLUMN(E$1),1))</f>
        <v/>
      </c>
      <c r="BL450" s="37" t="str">
        <f t="array" ref="BL450">IF($A450="","", INDEX(CS!$B$1:$B$15025,MATCH($A450,CS!$B:$B,0)+COLUMN(F$1),1))</f>
        <v/>
      </c>
      <c r="BM450" s="37" t="str">
        <f t="array" ref="BM450">IF($A450="","", INDEX(CS!$B$1:$B$15025,MATCH($A450,CS!$B:$B,0)+COLUMN(I$1),1))</f>
        <v/>
      </c>
      <c r="BN450" s="37" t="str">
        <f t="array" ref="BN450">IF($A450="","", INDEX(CS!$B$1:$B$15025,MATCH($A450,CS!$B:$B,0)+COLUMN(J$1),1))</f>
        <v/>
      </c>
      <c r="BO450" s="37" t="str">
        <f t="array" ref="BO450">IF($A450="","", INDEX(CS!$B$1:$B$15025,MATCH($A450,CS!$B:$B,0)+COLUMN(K$1),1))</f>
        <v/>
      </c>
      <c r="BP450" s="37" t="str">
        <f t="array" ref="BP450">IF($A450="","", INDEX(CS!$B$1:$B$15025,MATCH($A450,CS!$B:$B,0)+COLUMN(L$1),1))</f>
        <v/>
      </c>
      <c r="BS450" s="74"/>
      <c r="CQ450" s="37"/>
      <c r="CR450" s="37"/>
    </row>
    <row r="451" ht="18.75" customHeight="1">
      <c r="B451" s="71"/>
      <c r="C451" s="37" t="s">
        <v>2900</v>
      </c>
      <c r="D451" s="72" t="str">
        <f t="shared" si="18"/>
        <v>0/0/0</v>
      </c>
      <c r="E451" s="37">
        <v>1.0</v>
      </c>
      <c r="K451" s="73"/>
      <c r="P451" s="37" t="s">
        <v>29</v>
      </c>
      <c r="Q451" s="64"/>
      <c r="R451" s="64"/>
      <c r="S451" s="64"/>
      <c r="T451" s="64"/>
      <c r="U451" s="64"/>
      <c r="V451" s="64"/>
      <c r="W451" s="64"/>
      <c r="X451" s="64"/>
      <c r="Y451" s="64"/>
      <c r="Z451" s="64"/>
      <c r="AA451" s="64"/>
      <c r="BG451" s="37" t="str">
        <f t="array" ref="BG451">IF($A451="","", INDEX(CS!$B$1:$B$15025,MATCH($A451,CS!$B:$B,0)+COLUMN(A$1),1))</f>
        <v/>
      </c>
      <c r="BH451" s="37" t="str">
        <f t="array" ref="BH451">IF($A451="","", INDEX(CS!$B$1:$B$15025,MATCH($A451,CS!$B:$B,0)+COLUMN(B$1),1))</f>
        <v/>
      </c>
      <c r="BI451" s="37" t="str">
        <f t="array" ref="BI451">IF($A451="","", INDEX(CS!$B$1:$B$15025,MATCH($A451,CS!$B:$B,0)+COLUMN(C$1),1))</f>
        <v/>
      </c>
      <c r="BJ451" s="37" t="str">
        <f t="array" ref="BJ451">IF($A451="","", INDEX(CS!$B$1:$B$15025,MATCH($A451,CS!$B:$B,0)+COLUMN(D$1),1))</f>
        <v/>
      </c>
      <c r="BK451" s="37" t="str">
        <f t="array" ref="BK451">IF($A451="","", INDEX(CS!$B$1:$B$15025,MATCH($A451,CS!$B:$B,0)+COLUMN(E$1),1))</f>
        <v/>
      </c>
      <c r="BL451" s="37" t="str">
        <f t="array" ref="BL451">IF($A451="","", INDEX(CS!$B$1:$B$15025,MATCH($A451,CS!$B:$B,0)+COLUMN(F$1),1))</f>
        <v/>
      </c>
      <c r="BM451" s="37" t="str">
        <f t="array" ref="BM451">IF($A451="","", INDEX(CS!$B$1:$B$15025,MATCH($A451,CS!$B:$B,0)+COLUMN(I$1),1))</f>
        <v/>
      </c>
      <c r="BN451" s="37" t="str">
        <f t="array" ref="BN451">IF($A451="","", INDEX(CS!$B$1:$B$15025,MATCH($A451,CS!$B:$B,0)+COLUMN(J$1),1))</f>
        <v/>
      </c>
      <c r="BO451" s="37" t="str">
        <f t="array" ref="BO451">IF($A451="","", INDEX(CS!$B$1:$B$15025,MATCH($A451,CS!$B:$B,0)+COLUMN(K$1),1))</f>
        <v/>
      </c>
      <c r="BP451" s="37" t="str">
        <f t="array" ref="BP451">IF($A451="","", INDEX(CS!$B$1:$B$15025,MATCH($A451,CS!$B:$B,0)+COLUMN(L$1),1))</f>
        <v/>
      </c>
      <c r="BS451" s="74"/>
      <c r="CQ451" s="37"/>
      <c r="CR451" s="37"/>
    </row>
    <row r="452" ht="18.75" customHeight="1">
      <c r="B452" s="71"/>
      <c r="D452" s="72"/>
      <c r="K452" s="73"/>
      <c r="P452" s="37" t="s">
        <v>29</v>
      </c>
      <c r="Q452" s="64"/>
      <c r="R452" s="64"/>
      <c r="S452" s="64"/>
      <c r="T452" s="64"/>
      <c r="U452" s="64"/>
      <c r="V452" s="64"/>
      <c r="W452" s="64"/>
      <c r="X452" s="64"/>
      <c r="Y452" s="64"/>
      <c r="Z452" s="64"/>
      <c r="AA452" s="64"/>
      <c r="BS452" s="74"/>
      <c r="CQ452" s="37"/>
      <c r="CR452" s="37"/>
    </row>
    <row r="453" ht="18.75" customHeight="1">
      <c r="B453" s="71"/>
      <c r="D453" s="72"/>
      <c r="K453" s="73"/>
      <c r="P453" s="37" t="s">
        <v>29</v>
      </c>
      <c r="Q453" s="64"/>
      <c r="R453" s="64"/>
      <c r="S453" s="64"/>
      <c r="T453" s="64"/>
      <c r="U453" s="64"/>
      <c r="V453" s="64"/>
      <c r="W453" s="64"/>
      <c r="X453" s="64"/>
      <c r="Y453" s="64"/>
      <c r="Z453" s="64"/>
      <c r="AA453" s="64"/>
      <c r="BS453" s="74"/>
      <c r="CQ453" s="37"/>
      <c r="CR453" s="37"/>
    </row>
    <row r="454" ht="18.75" customHeight="1">
      <c r="B454" s="71"/>
      <c r="D454" s="72"/>
      <c r="K454" s="73"/>
      <c r="P454" s="37" t="s">
        <v>29</v>
      </c>
      <c r="Q454" s="64"/>
      <c r="R454" s="64"/>
      <c r="S454" s="64"/>
      <c r="T454" s="64"/>
      <c r="U454" s="64"/>
      <c r="V454" s="64"/>
      <c r="W454" s="64"/>
      <c r="X454" s="64"/>
      <c r="Y454" s="64"/>
      <c r="Z454" s="64"/>
      <c r="AA454" s="64"/>
      <c r="BS454" s="74"/>
      <c r="CQ454" s="37"/>
      <c r="CR454" s="37"/>
    </row>
    <row r="455" ht="18.75" customHeight="1">
      <c r="B455" s="71"/>
      <c r="D455" s="72"/>
      <c r="K455" s="73"/>
      <c r="P455" s="37" t="s">
        <v>29</v>
      </c>
      <c r="Q455" s="64"/>
      <c r="R455" s="64"/>
      <c r="S455" s="64"/>
      <c r="T455" s="64"/>
      <c r="U455" s="64"/>
      <c r="V455" s="64"/>
      <c r="W455" s="64"/>
      <c r="X455" s="64"/>
      <c r="Y455" s="64"/>
      <c r="Z455" s="64"/>
      <c r="AA455" s="64"/>
      <c r="BS455" s="74"/>
      <c r="CQ455" s="37"/>
      <c r="CR455" s="37"/>
    </row>
    <row r="456" ht="18.75" customHeight="1">
      <c r="B456" s="71"/>
      <c r="D456" s="72"/>
      <c r="K456" s="73"/>
      <c r="P456" s="37" t="s">
        <v>29</v>
      </c>
      <c r="Q456" s="64"/>
      <c r="R456" s="64"/>
      <c r="S456" s="64"/>
      <c r="T456" s="64"/>
      <c r="U456" s="64"/>
      <c r="V456" s="64"/>
      <c r="W456" s="64"/>
      <c r="X456" s="64"/>
      <c r="Y456" s="64"/>
      <c r="Z456" s="64"/>
      <c r="AA456" s="64"/>
      <c r="BS456" s="74"/>
      <c r="CQ456" s="37"/>
      <c r="CR456" s="37"/>
    </row>
    <row r="457" ht="18.75" customHeight="1">
      <c r="B457" s="71"/>
      <c r="D457" s="72"/>
      <c r="K457" s="73"/>
      <c r="P457" s="37" t="s">
        <v>29</v>
      </c>
      <c r="Q457" s="64"/>
      <c r="R457" s="64"/>
      <c r="S457" s="64"/>
      <c r="T457" s="64"/>
      <c r="U457" s="64"/>
      <c r="V457" s="64"/>
      <c r="W457" s="64"/>
      <c r="X457" s="64"/>
      <c r="Y457" s="64"/>
      <c r="Z457" s="64"/>
      <c r="AA457" s="64"/>
      <c r="BS457" s="74"/>
      <c r="CQ457" s="37"/>
      <c r="CR457" s="37"/>
    </row>
    <row r="458" ht="18.75" customHeight="1">
      <c r="B458" s="71"/>
      <c r="D458" s="72"/>
      <c r="K458" s="73"/>
      <c r="P458" s="37" t="s">
        <v>29</v>
      </c>
      <c r="Q458" s="64"/>
      <c r="R458" s="64"/>
      <c r="S458" s="64"/>
      <c r="T458" s="64"/>
      <c r="U458" s="64"/>
      <c r="V458" s="64"/>
      <c r="W458" s="64"/>
      <c r="X458" s="64"/>
      <c r="Y458" s="64"/>
      <c r="Z458" s="64"/>
      <c r="AA458" s="64"/>
      <c r="BS458" s="74"/>
      <c r="CQ458" s="37"/>
      <c r="CR458" s="37"/>
    </row>
    <row r="459" ht="18.75" customHeight="1">
      <c r="B459" s="71"/>
      <c r="D459" s="72"/>
      <c r="K459" s="73"/>
      <c r="P459" s="37" t="s">
        <v>29</v>
      </c>
      <c r="Q459" s="64"/>
      <c r="R459" s="64"/>
      <c r="S459" s="64"/>
      <c r="T459" s="64"/>
      <c r="U459" s="64"/>
      <c r="V459" s="64"/>
      <c r="W459" s="64"/>
      <c r="X459" s="64"/>
      <c r="Y459" s="64"/>
      <c r="Z459" s="64"/>
      <c r="AA459" s="64"/>
      <c r="BS459" s="74"/>
      <c r="CQ459" s="37"/>
      <c r="CR459" s="37"/>
    </row>
    <row r="460" ht="18.75" customHeight="1">
      <c r="B460" s="71"/>
      <c r="D460" s="72"/>
      <c r="K460" s="73"/>
      <c r="P460" s="37" t="s">
        <v>29</v>
      </c>
      <c r="Q460" s="64"/>
      <c r="R460" s="64"/>
      <c r="S460" s="64"/>
      <c r="T460" s="64"/>
      <c r="U460" s="64"/>
      <c r="V460" s="64"/>
      <c r="W460" s="64"/>
      <c r="X460" s="64"/>
      <c r="Y460" s="64"/>
      <c r="Z460" s="64"/>
      <c r="AA460" s="64"/>
      <c r="BS460" s="74"/>
      <c r="CQ460" s="37"/>
      <c r="CR460" s="37"/>
    </row>
    <row r="461" ht="18.75" customHeight="1">
      <c r="B461" s="71"/>
      <c r="D461" s="72"/>
      <c r="K461" s="73"/>
      <c r="P461" s="37" t="s">
        <v>29</v>
      </c>
      <c r="Q461" s="64"/>
      <c r="R461" s="64"/>
      <c r="S461" s="64"/>
      <c r="T461" s="64"/>
      <c r="U461" s="64"/>
      <c r="V461" s="64"/>
      <c r="W461" s="64"/>
      <c r="X461" s="64"/>
      <c r="Y461" s="64"/>
      <c r="Z461" s="64"/>
      <c r="AA461" s="64"/>
      <c r="BS461" s="74"/>
      <c r="CQ461" s="37"/>
      <c r="CR461" s="37"/>
    </row>
    <row r="462" ht="18.75" customHeight="1">
      <c r="B462" s="71"/>
      <c r="D462" s="72"/>
      <c r="K462" s="73"/>
      <c r="P462" s="37" t="s">
        <v>29</v>
      </c>
      <c r="Q462" s="64"/>
      <c r="R462" s="64"/>
      <c r="S462" s="64"/>
      <c r="T462" s="64"/>
      <c r="U462" s="64"/>
      <c r="V462" s="64"/>
      <c r="W462" s="64"/>
      <c r="X462" s="64"/>
      <c r="Y462" s="64"/>
      <c r="Z462" s="64"/>
      <c r="AA462" s="64"/>
      <c r="BS462" s="74"/>
      <c r="CQ462" s="37"/>
      <c r="CR462" s="37"/>
    </row>
    <row r="463" ht="18.75" customHeight="1">
      <c r="B463" s="71"/>
      <c r="D463" s="72"/>
      <c r="K463" s="73"/>
      <c r="P463" s="37" t="s">
        <v>29</v>
      </c>
      <c r="Q463" s="64"/>
      <c r="R463" s="64"/>
      <c r="S463" s="64"/>
      <c r="T463" s="64"/>
      <c r="U463" s="64"/>
      <c r="V463" s="64"/>
      <c r="W463" s="64"/>
      <c r="X463" s="64"/>
      <c r="Y463" s="64"/>
      <c r="Z463" s="64"/>
      <c r="AA463" s="64"/>
      <c r="BS463" s="74"/>
      <c r="CQ463" s="37"/>
      <c r="CR463" s="37"/>
    </row>
    <row r="464" ht="18.75" customHeight="1">
      <c r="B464" s="71"/>
      <c r="D464" s="72"/>
      <c r="K464" s="73"/>
      <c r="P464" s="37" t="s">
        <v>29</v>
      </c>
      <c r="Q464" s="64"/>
      <c r="R464" s="64"/>
      <c r="S464" s="64"/>
      <c r="T464" s="64"/>
      <c r="U464" s="64"/>
      <c r="V464" s="64"/>
      <c r="W464" s="64"/>
      <c r="X464" s="64"/>
      <c r="Y464" s="64"/>
      <c r="Z464" s="64"/>
      <c r="AA464" s="64"/>
      <c r="BS464" s="74"/>
      <c r="CQ464" s="37"/>
      <c r="CR464" s="37"/>
    </row>
    <row r="465" ht="18.75" customHeight="1">
      <c r="B465" s="71"/>
      <c r="D465" s="72"/>
      <c r="K465" s="73"/>
      <c r="P465" s="37" t="s">
        <v>29</v>
      </c>
      <c r="Q465" s="64"/>
      <c r="R465" s="64"/>
      <c r="S465" s="64"/>
      <c r="T465" s="64"/>
      <c r="U465" s="64"/>
      <c r="V465" s="64"/>
      <c r="W465" s="64"/>
      <c r="X465" s="64"/>
      <c r="Y465" s="64"/>
      <c r="Z465" s="64"/>
      <c r="AA465" s="64"/>
      <c r="BS465" s="74"/>
      <c r="CQ465" s="37"/>
      <c r="CR465" s="37"/>
    </row>
    <row r="466" ht="18.75" customHeight="1">
      <c r="B466" s="71"/>
      <c r="D466" s="72"/>
      <c r="K466" s="73"/>
      <c r="P466" s="37" t="s">
        <v>29</v>
      </c>
      <c r="Q466" s="64"/>
      <c r="R466" s="64"/>
      <c r="S466" s="64"/>
      <c r="T466" s="64"/>
      <c r="U466" s="64"/>
      <c r="V466" s="64"/>
      <c r="W466" s="64"/>
      <c r="X466" s="64"/>
      <c r="Y466" s="64"/>
      <c r="Z466" s="64"/>
      <c r="AA466" s="64"/>
      <c r="BS466" s="74"/>
      <c r="CQ466" s="37"/>
      <c r="CR466" s="37"/>
    </row>
    <row r="467" ht="18.75" customHeight="1">
      <c r="B467" s="71"/>
      <c r="D467" s="72"/>
      <c r="K467" s="73"/>
      <c r="P467" s="37" t="s">
        <v>29</v>
      </c>
      <c r="Q467" s="64"/>
      <c r="R467" s="64"/>
      <c r="S467" s="64"/>
      <c r="T467" s="64"/>
      <c r="U467" s="64"/>
      <c r="V467" s="64"/>
      <c r="W467" s="64"/>
      <c r="X467" s="64"/>
      <c r="Y467" s="64"/>
      <c r="Z467" s="64"/>
      <c r="AA467" s="64"/>
      <c r="BS467" s="74"/>
      <c r="CQ467" s="37"/>
      <c r="CR467" s="37"/>
    </row>
    <row r="468" ht="18.75" customHeight="1">
      <c r="B468" s="71"/>
      <c r="D468" s="72"/>
      <c r="K468" s="73"/>
      <c r="P468" s="37" t="s">
        <v>29</v>
      </c>
      <c r="Q468" s="64"/>
      <c r="R468" s="64"/>
      <c r="S468" s="64"/>
      <c r="T468" s="64"/>
      <c r="U468" s="64"/>
      <c r="V468" s="64"/>
      <c r="W468" s="64"/>
      <c r="X468" s="64"/>
      <c r="Y468" s="64"/>
      <c r="Z468" s="64"/>
      <c r="AA468" s="64"/>
      <c r="BS468" s="74"/>
      <c r="CQ468" s="37"/>
      <c r="CR468" s="37"/>
    </row>
    <row r="469" ht="18.75" customHeight="1">
      <c r="B469" s="71"/>
      <c r="D469" s="72"/>
      <c r="K469" s="73"/>
      <c r="P469" s="37" t="s">
        <v>29</v>
      </c>
      <c r="Q469" s="64"/>
      <c r="R469" s="64"/>
      <c r="S469" s="64"/>
      <c r="T469" s="64"/>
      <c r="U469" s="64"/>
      <c r="V469" s="64"/>
      <c r="W469" s="64"/>
      <c r="X469" s="64"/>
      <c r="Y469" s="64"/>
      <c r="Z469" s="64"/>
      <c r="AA469" s="64"/>
      <c r="BS469" s="74"/>
      <c r="CQ469" s="37"/>
      <c r="CR469" s="37"/>
    </row>
    <row r="470" ht="18.75" customHeight="1">
      <c r="B470" s="71"/>
      <c r="D470" s="72"/>
      <c r="K470" s="73"/>
      <c r="P470" s="37" t="s">
        <v>29</v>
      </c>
      <c r="Q470" s="64"/>
      <c r="R470" s="64"/>
      <c r="S470" s="64"/>
      <c r="T470" s="64"/>
      <c r="U470" s="64"/>
      <c r="V470" s="64"/>
      <c r="W470" s="64"/>
      <c r="X470" s="64"/>
      <c r="Y470" s="64"/>
      <c r="Z470" s="64"/>
      <c r="AA470" s="64"/>
      <c r="BS470" s="74"/>
      <c r="CQ470" s="37"/>
      <c r="CR470" s="37"/>
    </row>
    <row r="471" ht="18.75" customHeight="1">
      <c r="B471" s="71"/>
      <c r="D471" s="72"/>
      <c r="K471" s="73"/>
      <c r="P471" s="37" t="s">
        <v>29</v>
      </c>
      <c r="Q471" s="64"/>
      <c r="R471" s="64"/>
      <c r="S471" s="64"/>
      <c r="T471" s="64"/>
      <c r="U471" s="64"/>
      <c r="V471" s="64"/>
      <c r="W471" s="64"/>
      <c r="X471" s="64"/>
      <c r="Y471" s="64"/>
      <c r="Z471" s="64"/>
      <c r="AA471" s="64"/>
      <c r="BS471" s="74"/>
      <c r="CQ471" s="37"/>
      <c r="CR471" s="37"/>
    </row>
    <row r="472" ht="18.75" customHeight="1">
      <c r="B472" s="71"/>
      <c r="D472" s="72"/>
      <c r="K472" s="73"/>
      <c r="P472" s="37" t="s">
        <v>29</v>
      </c>
      <c r="Q472" s="64"/>
      <c r="R472" s="64"/>
      <c r="S472" s="64"/>
      <c r="T472" s="64"/>
      <c r="U472" s="64"/>
      <c r="V472" s="64"/>
      <c r="W472" s="64"/>
      <c r="X472" s="64"/>
      <c r="Y472" s="64"/>
      <c r="Z472" s="64"/>
      <c r="AA472" s="64"/>
      <c r="BS472" s="74"/>
      <c r="CQ472" s="37"/>
      <c r="CR472" s="37"/>
    </row>
    <row r="473" ht="18.75" customHeight="1">
      <c r="B473" s="71"/>
      <c r="D473" s="72"/>
      <c r="K473" s="73"/>
      <c r="P473" s="37" t="s">
        <v>29</v>
      </c>
      <c r="Q473" s="64"/>
      <c r="R473" s="64"/>
      <c r="S473" s="64"/>
      <c r="T473" s="64"/>
      <c r="U473" s="64"/>
      <c r="V473" s="64"/>
      <c r="W473" s="64"/>
      <c r="X473" s="64"/>
      <c r="Y473" s="64"/>
      <c r="Z473" s="64"/>
      <c r="AA473" s="64"/>
      <c r="BS473" s="74"/>
      <c r="CQ473" s="37"/>
      <c r="CR473" s="37"/>
    </row>
    <row r="474" ht="18.75" customHeight="1">
      <c r="B474" s="71"/>
      <c r="D474" s="72"/>
      <c r="K474" s="73"/>
      <c r="P474" s="37" t="s">
        <v>29</v>
      </c>
      <c r="Q474" s="64"/>
      <c r="R474" s="64"/>
      <c r="S474" s="64"/>
      <c r="T474" s="64"/>
      <c r="U474" s="64"/>
      <c r="V474" s="64"/>
      <c r="W474" s="64"/>
      <c r="X474" s="64"/>
      <c r="Y474" s="64"/>
      <c r="Z474" s="64"/>
      <c r="AA474" s="64"/>
      <c r="BS474" s="74"/>
      <c r="CQ474" s="37"/>
      <c r="CR474" s="37"/>
    </row>
    <row r="475" ht="18.75" customHeight="1">
      <c r="B475" s="71"/>
      <c r="D475" s="72"/>
      <c r="K475" s="73"/>
      <c r="P475" s="37" t="s">
        <v>29</v>
      </c>
      <c r="Q475" s="64"/>
      <c r="R475" s="64"/>
      <c r="S475" s="64"/>
      <c r="T475" s="64"/>
      <c r="U475" s="64"/>
      <c r="V475" s="64"/>
      <c r="W475" s="64"/>
      <c r="X475" s="64"/>
      <c r="Y475" s="64"/>
      <c r="Z475" s="64"/>
      <c r="AA475" s="64"/>
      <c r="BS475" s="74"/>
      <c r="CQ475" s="37"/>
      <c r="CR475" s="37"/>
    </row>
    <row r="476" ht="18.75" customHeight="1">
      <c r="B476" s="71"/>
      <c r="D476" s="72"/>
      <c r="K476" s="73"/>
      <c r="P476" s="37" t="s">
        <v>29</v>
      </c>
      <c r="Q476" s="64"/>
      <c r="R476" s="64"/>
      <c r="S476" s="64"/>
      <c r="T476" s="64"/>
      <c r="U476" s="64"/>
      <c r="V476" s="64"/>
      <c r="W476" s="64"/>
      <c r="X476" s="64"/>
      <c r="Y476" s="64"/>
      <c r="Z476" s="64"/>
      <c r="AA476" s="64"/>
      <c r="BS476" s="74"/>
      <c r="CQ476" s="37"/>
      <c r="CR476" s="37"/>
    </row>
    <row r="477" ht="18.75" customHeight="1">
      <c r="B477" s="71"/>
      <c r="D477" s="72"/>
      <c r="K477" s="73"/>
      <c r="P477" s="37" t="s">
        <v>29</v>
      </c>
      <c r="Q477" s="64"/>
      <c r="R477" s="64"/>
      <c r="S477" s="64"/>
      <c r="T477" s="64"/>
      <c r="U477" s="64"/>
      <c r="V477" s="64"/>
      <c r="W477" s="64"/>
      <c r="X477" s="64"/>
      <c r="Y477" s="64"/>
      <c r="Z477" s="64"/>
      <c r="AA477" s="64"/>
      <c r="BS477" s="74"/>
      <c r="CQ477" s="37"/>
      <c r="CR477" s="37"/>
    </row>
    <row r="478" ht="18.75" customHeight="1">
      <c r="B478" s="71"/>
      <c r="D478" s="72"/>
      <c r="K478" s="73"/>
      <c r="P478" s="37" t="s">
        <v>29</v>
      </c>
      <c r="Q478" s="64"/>
      <c r="R478" s="64"/>
      <c r="S478" s="64"/>
      <c r="T478" s="64"/>
      <c r="U478" s="64"/>
      <c r="V478" s="64"/>
      <c r="W478" s="64"/>
      <c r="X478" s="64"/>
      <c r="Y478" s="64"/>
      <c r="Z478" s="64"/>
      <c r="AA478" s="64"/>
      <c r="BS478" s="74"/>
      <c r="CQ478" s="37"/>
      <c r="CR478" s="37"/>
    </row>
    <row r="479" ht="18.75" customHeight="1">
      <c r="B479" s="71"/>
      <c r="D479" s="72"/>
      <c r="K479" s="73"/>
      <c r="P479" s="37" t="s">
        <v>29</v>
      </c>
      <c r="Q479" s="64"/>
      <c r="R479" s="64"/>
      <c r="S479" s="64"/>
      <c r="T479" s="64"/>
      <c r="U479" s="64"/>
      <c r="V479" s="64"/>
      <c r="W479" s="64"/>
      <c r="X479" s="64"/>
      <c r="Y479" s="64"/>
      <c r="Z479" s="64"/>
      <c r="AA479" s="64"/>
      <c r="BS479" s="74"/>
      <c r="CQ479" s="37"/>
      <c r="CR479" s="37"/>
    </row>
    <row r="480" ht="18.75" customHeight="1">
      <c r="B480" s="71"/>
      <c r="D480" s="72"/>
      <c r="K480" s="73"/>
      <c r="P480" s="37" t="s">
        <v>29</v>
      </c>
      <c r="Q480" s="64"/>
      <c r="R480" s="64"/>
      <c r="S480" s="64"/>
      <c r="T480" s="64"/>
      <c r="U480" s="64"/>
      <c r="V480" s="64"/>
      <c r="W480" s="64"/>
      <c r="X480" s="64"/>
      <c r="Y480" s="64"/>
      <c r="Z480" s="64"/>
      <c r="AA480" s="64"/>
      <c r="BS480" s="74"/>
      <c r="CQ480" s="37"/>
      <c r="CR480" s="37"/>
    </row>
    <row r="481" ht="18.75" customHeight="1">
      <c r="B481" s="71"/>
      <c r="D481" s="72"/>
      <c r="K481" s="73"/>
      <c r="P481" s="37" t="s">
        <v>29</v>
      </c>
      <c r="Q481" s="64"/>
      <c r="R481" s="64"/>
      <c r="S481" s="64"/>
      <c r="T481" s="64"/>
      <c r="U481" s="64"/>
      <c r="V481" s="64"/>
      <c r="W481" s="64"/>
      <c r="X481" s="64"/>
      <c r="Y481" s="64"/>
      <c r="Z481" s="64"/>
      <c r="AA481" s="64"/>
      <c r="BS481" s="74"/>
      <c r="CQ481" s="37"/>
      <c r="CR481" s="37"/>
    </row>
    <row r="482" ht="18.75" customHeight="1">
      <c r="B482" s="71"/>
      <c r="D482" s="72"/>
      <c r="K482" s="73"/>
      <c r="P482" s="37" t="s">
        <v>29</v>
      </c>
      <c r="Q482" s="64"/>
      <c r="R482" s="64"/>
      <c r="S482" s="64"/>
      <c r="T482" s="64"/>
      <c r="U482" s="64"/>
      <c r="V482" s="64"/>
      <c r="W482" s="64"/>
      <c r="X482" s="64"/>
      <c r="Y482" s="64"/>
      <c r="Z482" s="64"/>
      <c r="AA482" s="64"/>
      <c r="BS482" s="74"/>
      <c r="CQ482" s="37"/>
      <c r="CR482" s="37"/>
    </row>
    <row r="483" ht="18.75" customHeight="1">
      <c r="B483" s="71"/>
      <c r="D483" s="72"/>
      <c r="K483" s="73"/>
      <c r="P483" s="37" t="s">
        <v>29</v>
      </c>
      <c r="Q483" s="64"/>
      <c r="R483" s="64"/>
      <c r="S483" s="64"/>
      <c r="T483" s="64"/>
      <c r="U483" s="64"/>
      <c r="V483" s="64"/>
      <c r="W483" s="64"/>
      <c r="X483" s="64"/>
      <c r="Y483" s="64"/>
      <c r="Z483" s="64"/>
      <c r="AA483" s="64"/>
      <c r="BS483" s="74"/>
      <c r="CQ483" s="37"/>
      <c r="CR483" s="37"/>
    </row>
    <row r="484" ht="18.75" customHeight="1">
      <c r="B484" s="71"/>
      <c r="D484" s="72"/>
      <c r="K484" s="73"/>
      <c r="P484" s="37" t="s">
        <v>29</v>
      </c>
      <c r="Q484" s="64"/>
      <c r="R484" s="64"/>
      <c r="S484" s="64"/>
      <c r="T484" s="64"/>
      <c r="U484" s="64"/>
      <c r="V484" s="64"/>
      <c r="W484" s="64"/>
      <c r="X484" s="64"/>
      <c r="Y484" s="64"/>
      <c r="Z484" s="64"/>
      <c r="AA484" s="64"/>
      <c r="BS484" s="74"/>
      <c r="CQ484" s="37"/>
      <c r="CR484" s="37"/>
    </row>
    <row r="485" ht="18.75" customHeight="1">
      <c r="B485" s="71"/>
      <c r="D485" s="72"/>
      <c r="K485" s="73"/>
      <c r="P485" s="37" t="s">
        <v>29</v>
      </c>
      <c r="Q485" s="64"/>
      <c r="R485" s="64"/>
      <c r="S485" s="64"/>
      <c r="T485" s="64"/>
      <c r="U485" s="64"/>
      <c r="V485" s="64"/>
      <c r="W485" s="64"/>
      <c r="X485" s="64"/>
      <c r="Y485" s="64"/>
      <c r="Z485" s="64"/>
      <c r="AA485" s="64"/>
      <c r="BS485" s="74"/>
      <c r="CQ485" s="37"/>
      <c r="CR485" s="37"/>
    </row>
    <row r="486" ht="18.75" customHeight="1">
      <c r="B486" s="71"/>
      <c r="D486" s="72"/>
      <c r="K486" s="73"/>
      <c r="P486" s="37" t="s">
        <v>29</v>
      </c>
      <c r="Q486" s="64"/>
      <c r="R486" s="64"/>
      <c r="S486" s="64"/>
      <c r="T486" s="64"/>
      <c r="U486" s="64"/>
      <c r="V486" s="64"/>
      <c r="W486" s="64"/>
      <c r="X486" s="64"/>
      <c r="Y486" s="64"/>
      <c r="Z486" s="64"/>
      <c r="AA486" s="64"/>
      <c r="BS486" s="74"/>
      <c r="CQ486" s="37"/>
      <c r="CR486" s="37"/>
    </row>
    <row r="487" ht="18.75" customHeight="1">
      <c r="B487" s="71"/>
      <c r="D487" s="72"/>
      <c r="K487" s="73"/>
      <c r="P487" s="37" t="s">
        <v>29</v>
      </c>
      <c r="Q487" s="64"/>
      <c r="R487" s="64"/>
      <c r="S487" s="64"/>
      <c r="T487" s="64"/>
      <c r="U487" s="64"/>
      <c r="V487" s="64"/>
      <c r="W487" s="64"/>
      <c r="X487" s="64"/>
      <c r="Y487" s="64"/>
      <c r="Z487" s="64"/>
      <c r="AA487" s="64"/>
      <c r="BS487" s="74"/>
      <c r="CQ487" s="37"/>
      <c r="CR487" s="37"/>
    </row>
    <row r="488" ht="18.75" customHeight="1">
      <c r="B488" s="71"/>
      <c r="D488" s="72"/>
      <c r="K488" s="73"/>
      <c r="P488" s="37" t="s">
        <v>29</v>
      </c>
      <c r="Q488" s="64"/>
      <c r="R488" s="64"/>
      <c r="S488" s="64"/>
      <c r="T488" s="64"/>
      <c r="U488" s="64"/>
      <c r="V488" s="64"/>
      <c r="W488" s="64"/>
      <c r="X488" s="64"/>
      <c r="Y488" s="64"/>
      <c r="Z488" s="64"/>
      <c r="AA488" s="64"/>
      <c r="BS488" s="74"/>
      <c r="CQ488" s="37"/>
      <c r="CR488" s="37"/>
    </row>
    <row r="489" ht="18.75" customHeight="1">
      <c r="B489" s="71"/>
      <c r="D489" s="72"/>
      <c r="K489" s="73"/>
      <c r="P489" s="37" t="s">
        <v>29</v>
      </c>
      <c r="Q489" s="64"/>
      <c r="R489" s="64"/>
      <c r="S489" s="64"/>
      <c r="T489" s="64"/>
      <c r="U489" s="64"/>
      <c r="V489" s="64"/>
      <c r="W489" s="64"/>
      <c r="X489" s="64"/>
      <c r="Y489" s="64"/>
      <c r="Z489" s="64"/>
      <c r="AA489" s="64"/>
      <c r="BS489" s="74"/>
      <c r="CQ489" s="37"/>
      <c r="CR489" s="37"/>
    </row>
    <row r="490" ht="18.75" customHeight="1">
      <c r="B490" s="71"/>
      <c r="D490" s="72"/>
      <c r="K490" s="73"/>
      <c r="P490" s="37" t="s">
        <v>29</v>
      </c>
      <c r="Q490" s="64"/>
      <c r="R490" s="64"/>
      <c r="S490" s="64"/>
      <c r="T490" s="64"/>
      <c r="U490" s="64"/>
      <c r="V490" s="64"/>
      <c r="W490" s="64"/>
      <c r="X490" s="64"/>
      <c r="Y490" s="64"/>
      <c r="Z490" s="64"/>
      <c r="AA490" s="64"/>
      <c r="BS490" s="74"/>
      <c r="CQ490" s="37"/>
      <c r="CR490" s="37"/>
    </row>
    <row r="491" ht="18.75" customHeight="1">
      <c r="B491" s="71"/>
      <c r="D491" s="72"/>
      <c r="K491" s="73"/>
      <c r="P491" s="37" t="s">
        <v>29</v>
      </c>
      <c r="Q491" s="64"/>
      <c r="R491" s="64"/>
      <c r="S491" s="64"/>
      <c r="T491" s="64"/>
      <c r="U491" s="64"/>
      <c r="V491" s="64"/>
      <c r="W491" s="64"/>
      <c r="X491" s="64"/>
      <c r="Y491" s="64"/>
      <c r="Z491" s="64"/>
      <c r="AA491" s="64"/>
      <c r="BS491" s="74"/>
      <c r="CQ491" s="37"/>
      <c r="CR491" s="37"/>
    </row>
    <row r="492" ht="18.75" customHeight="1">
      <c r="B492" s="71"/>
      <c r="D492" s="72"/>
      <c r="K492" s="73"/>
      <c r="P492" s="37" t="s">
        <v>29</v>
      </c>
      <c r="Q492" s="64"/>
      <c r="R492" s="64"/>
      <c r="S492" s="64"/>
      <c r="T492" s="64"/>
      <c r="U492" s="64"/>
      <c r="V492" s="64"/>
      <c r="W492" s="64"/>
      <c r="X492" s="64"/>
      <c r="Y492" s="64"/>
      <c r="Z492" s="64"/>
      <c r="AA492" s="64"/>
      <c r="BS492" s="74"/>
      <c r="CQ492" s="37"/>
      <c r="CR492" s="37"/>
    </row>
    <row r="493" ht="18.75" customHeight="1">
      <c r="B493" s="71"/>
      <c r="D493" s="72"/>
      <c r="K493" s="73"/>
      <c r="P493" s="37" t="s">
        <v>29</v>
      </c>
      <c r="Q493" s="64"/>
      <c r="R493" s="64"/>
      <c r="S493" s="64"/>
      <c r="T493" s="64"/>
      <c r="U493" s="64"/>
      <c r="V493" s="64"/>
      <c r="W493" s="64"/>
      <c r="X493" s="64"/>
      <c r="Y493" s="64"/>
      <c r="Z493" s="64"/>
      <c r="AA493" s="64"/>
      <c r="BS493" s="74"/>
      <c r="CQ493" s="37"/>
      <c r="CR493" s="37"/>
    </row>
    <row r="494" ht="18.75" customHeight="1">
      <c r="B494" s="71"/>
      <c r="D494" s="72"/>
      <c r="K494" s="73"/>
      <c r="P494" s="37" t="s">
        <v>29</v>
      </c>
      <c r="Q494" s="64"/>
      <c r="R494" s="64"/>
      <c r="S494" s="64"/>
      <c r="T494" s="64"/>
      <c r="U494" s="64"/>
      <c r="V494" s="64"/>
      <c r="W494" s="64"/>
      <c r="X494" s="64"/>
      <c r="Y494" s="64"/>
      <c r="Z494" s="64"/>
      <c r="AA494" s="64"/>
      <c r="BS494" s="74"/>
      <c r="CQ494" s="37"/>
      <c r="CR494" s="37"/>
    </row>
    <row r="495" ht="18.75" customHeight="1">
      <c r="B495" s="71"/>
      <c r="D495" s="72"/>
      <c r="K495" s="73"/>
      <c r="P495" s="37" t="s">
        <v>29</v>
      </c>
      <c r="Q495" s="64"/>
      <c r="R495" s="64"/>
      <c r="S495" s="64"/>
      <c r="T495" s="64"/>
      <c r="U495" s="64"/>
      <c r="V495" s="64"/>
      <c r="W495" s="64"/>
      <c r="X495" s="64"/>
      <c r="Y495" s="64"/>
      <c r="Z495" s="64"/>
      <c r="AA495" s="64"/>
      <c r="BS495" s="74"/>
      <c r="CQ495" s="37"/>
      <c r="CR495" s="37"/>
    </row>
    <row r="496" ht="18.75" customHeight="1">
      <c r="B496" s="71"/>
      <c r="D496" s="72"/>
      <c r="K496" s="73"/>
      <c r="P496" s="37" t="s">
        <v>29</v>
      </c>
      <c r="Q496" s="64"/>
      <c r="R496" s="64"/>
      <c r="S496" s="64"/>
      <c r="T496" s="64"/>
      <c r="U496" s="64"/>
      <c r="V496" s="64"/>
      <c r="W496" s="64"/>
      <c r="X496" s="64"/>
      <c r="Y496" s="64"/>
      <c r="Z496" s="64"/>
      <c r="AA496" s="64"/>
      <c r="BS496" s="74"/>
      <c r="CQ496" s="37"/>
      <c r="CR496" s="37"/>
    </row>
    <row r="497" ht="18.75" customHeight="1">
      <c r="B497" s="71"/>
      <c r="D497" s="72"/>
      <c r="K497" s="73"/>
      <c r="P497" s="37" t="s">
        <v>29</v>
      </c>
      <c r="Q497" s="64"/>
      <c r="R497" s="64"/>
      <c r="S497" s="64"/>
      <c r="T497" s="64"/>
      <c r="U497" s="64"/>
      <c r="V497" s="64"/>
      <c r="W497" s="64"/>
      <c r="X497" s="64"/>
      <c r="Y497" s="64"/>
      <c r="Z497" s="64"/>
      <c r="AA497" s="64"/>
      <c r="BS497" s="74"/>
      <c r="CQ497" s="37"/>
      <c r="CR497" s="37"/>
    </row>
    <row r="498" ht="18.75" customHeight="1">
      <c r="B498" s="71"/>
      <c r="D498" s="72"/>
      <c r="K498" s="73"/>
      <c r="P498" s="37" t="s">
        <v>29</v>
      </c>
      <c r="Q498" s="64"/>
      <c r="R498" s="64"/>
      <c r="S498" s="64"/>
      <c r="T498" s="64"/>
      <c r="U498" s="64"/>
      <c r="V498" s="64"/>
      <c r="W498" s="64"/>
      <c r="X498" s="64"/>
      <c r="Y498" s="64"/>
      <c r="Z498" s="64"/>
      <c r="AA498" s="64"/>
      <c r="BS498" s="74"/>
      <c r="CQ498" s="37"/>
      <c r="CR498" s="37"/>
    </row>
    <row r="499" ht="18.75" customHeight="1">
      <c r="B499" s="71"/>
      <c r="D499" s="72"/>
      <c r="K499" s="73"/>
      <c r="P499" s="37" t="s">
        <v>29</v>
      </c>
      <c r="Q499" s="64"/>
      <c r="R499" s="64"/>
      <c r="S499" s="64"/>
      <c r="T499" s="64"/>
      <c r="U499" s="64"/>
      <c r="V499" s="64"/>
      <c r="W499" s="64"/>
      <c r="X499" s="64"/>
      <c r="Y499" s="64"/>
      <c r="Z499" s="64"/>
      <c r="AA499" s="64"/>
      <c r="BS499" s="74"/>
      <c r="CQ499" s="37"/>
      <c r="CR499" s="37"/>
    </row>
    <row r="500" ht="18.75" customHeight="1">
      <c r="B500" s="71"/>
      <c r="D500" s="72"/>
      <c r="K500" s="73"/>
      <c r="P500" s="37" t="s">
        <v>29</v>
      </c>
      <c r="Q500" s="64"/>
      <c r="R500" s="64"/>
      <c r="S500" s="64"/>
      <c r="T500" s="64"/>
      <c r="U500" s="64"/>
      <c r="V500" s="64"/>
      <c r="W500" s="64"/>
      <c r="X500" s="64"/>
      <c r="Y500" s="64"/>
      <c r="Z500" s="64"/>
      <c r="AA500" s="64"/>
      <c r="BS500" s="74"/>
      <c r="CQ500" s="37"/>
      <c r="CR500" s="37"/>
    </row>
    <row r="501" ht="18.75" customHeight="1">
      <c r="B501" s="71"/>
      <c r="D501" s="72"/>
      <c r="K501" s="73"/>
      <c r="P501" s="37" t="s">
        <v>29</v>
      </c>
      <c r="Q501" s="64"/>
      <c r="R501" s="64"/>
      <c r="S501" s="64"/>
      <c r="T501" s="64"/>
      <c r="U501" s="64"/>
      <c r="V501" s="64"/>
      <c r="W501" s="64"/>
      <c r="X501" s="64"/>
      <c r="Y501" s="64"/>
      <c r="Z501" s="64"/>
      <c r="AA501" s="64"/>
      <c r="BS501" s="74"/>
      <c r="CQ501" s="37"/>
      <c r="CR501" s="37"/>
    </row>
    <row r="502" ht="18.75" customHeight="1">
      <c r="B502" s="71"/>
      <c r="D502" s="72"/>
      <c r="K502" s="73"/>
      <c r="P502" s="37" t="s">
        <v>29</v>
      </c>
      <c r="Q502" s="64"/>
      <c r="R502" s="64"/>
      <c r="S502" s="64"/>
      <c r="T502" s="64"/>
      <c r="U502" s="64"/>
      <c r="V502" s="64"/>
      <c r="W502" s="64"/>
      <c r="X502" s="64"/>
      <c r="Y502" s="64"/>
      <c r="Z502" s="64"/>
      <c r="AA502" s="64"/>
      <c r="BS502" s="74"/>
      <c r="CQ502" s="37"/>
      <c r="CR502" s="37"/>
    </row>
    <row r="503" ht="18.75" customHeight="1">
      <c r="B503" s="71"/>
      <c r="D503" s="72"/>
      <c r="K503" s="73"/>
      <c r="P503" s="37" t="s">
        <v>29</v>
      </c>
      <c r="Q503" s="64"/>
      <c r="R503" s="64"/>
      <c r="S503" s="64"/>
      <c r="T503" s="64"/>
      <c r="U503" s="64"/>
      <c r="V503" s="64"/>
      <c r="W503" s="64"/>
      <c r="X503" s="64"/>
      <c r="Y503" s="64"/>
      <c r="Z503" s="64"/>
      <c r="AA503" s="64"/>
      <c r="BS503" s="74"/>
      <c r="CQ503" s="37"/>
      <c r="CR503" s="37"/>
    </row>
    <row r="504" ht="18.75" customHeight="1">
      <c r="B504" s="71"/>
      <c r="D504" s="72"/>
      <c r="K504" s="73"/>
      <c r="P504" s="37" t="s">
        <v>29</v>
      </c>
      <c r="Q504" s="64"/>
      <c r="R504" s="64"/>
      <c r="S504" s="64"/>
      <c r="T504" s="64"/>
      <c r="U504" s="64"/>
      <c r="V504" s="64"/>
      <c r="W504" s="64"/>
      <c r="X504" s="64"/>
      <c r="Y504" s="64"/>
      <c r="Z504" s="64"/>
      <c r="AA504" s="64"/>
      <c r="BS504" s="74"/>
      <c r="CQ504" s="37"/>
      <c r="CR504" s="37"/>
    </row>
    <row r="505" ht="18.75" customHeight="1">
      <c r="B505" s="71"/>
      <c r="D505" s="72"/>
      <c r="K505" s="73"/>
      <c r="P505" s="37" t="s">
        <v>29</v>
      </c>
      <c r="Q505" s="64"/>
      <c r="R505" s="64"/>
      <c r="S505" s="64"/>
      <c r="T505" s="64"/>
      <c r="U505" s="64"/>
      <c r="V505" s="64"/>
      <c r="W505" s="64"/>
      <c r="X505" s="64"/>
      <c r="Y505" s="64"/>
      <c r="Z505" s="64"/>
      <c r="AA505" s="64"/>
      <c r="BS505" s="74"/>
      <c r="CQ505" s="37"/>
      <c r="CR505" s="37"/>
    </row>
    <row r="506" ht="18.75" customHeight="1">
      <c r="B506" s="71"/>
      <c r="D506" s="72"/>
      <c r="K506" s="73"/>
      <c r="P506" s="37" t="s">
        <v>29</v>
      </c>
      <c r="Q506" s="64"/>
      <c r="R506" s="64"/>
      <c r="S506" s="64"/>
      <c r="T506" s="64"/>
      <c r="U506" s="64"/>
      <c r="V506" s="64"/>
      <c r="W506" s="64"/>
      <c r="X506" s="64"/>
      <c r="Y506" s="64"/>
      <c r="Z506" s="64"/>
      <c r="AA506" s="64"/>
      <c r="BS506" s="74"/>
      <c r="CQ506" s="37"/>
      <c r="CR506" s="37"/>
    </row>
    <row r="507" ht="18.75" customHeight="1">
      <c r="B507" s="71"/>
      <c r="D507" s="72"/>
      <c r="K507" s="73"/>
      <c r="P507" s="37" t="s">
        <v>29</v>
      </c>
      <c r="Q507" s="64"/>
      <c r="R507" s="64"/>
      <c r="S507" s="64"/>
      <c r="T507" s="64"/>
      <c r="U507" s="64"/>
      <c r="V507" s="64"/>
      <c r="W507" s="64"/>
      <c r="X507" s="64"/>
      <c r="Y507" s="64"/>
      <c r="Z507" s="64"/>
      <c r="AA507" s="64"/>
      <c r="BS507" s="74"/>
      <c r="CQ507" s="37"/>
      <c r="CR507" s="37"/>
    </row>
    <row r="508" ht="18.75" customHeight="1">
      <c r="B508" s="71"/>
      <c r="D508" s="72"/>
      <c r="K508" s="73"/>
      <c r="P508" s="37" t="s">
        <v>29</v>
      </c>
      <c r="Q508" s="64"/>
      <c r="R508" s="64"/>
      <c r="S508" s="64"/>
      <c r="T508" s="64"/>
      <c r="U508" s="64"/>
      <c r="V508" s="64"/>
      <c r="W508" s="64"/>
      <c r="X508" s="64"/>
      <c r="Y508" s="64"/>
      <c r="Z508" s="64"/>
      <c r="AA508" s="64"/>
      <c r="BS508" s="74"/>
      <c r="CQ508" s="37"/>
      <c r="CR508" s="37"/>
    </row>
    <row r="509" ht="18.75" customHeight="1">
      <c r="B509" s="71"/>
      <c r="D509" s="72"/>
      <c r="K509" s="73"/>
      <c r="P509" s="37" t="s">
        <v>29</v>
      </c>
      <c r="Q509" s="64"/>
      <c r="R509" s="64"/>
      <c r="S509" s="64"/>
      <c r="T509" s="64"/>
      <c r="U509" s="64"/>
      <c r="V509" s="64"/>
      <c r="W509" s="64"/>
      <c r="X509" s="64"/>
      <c r="Y509" s="64"/>
      <c r="Z509" s="64"/>
      <c r="AA509" s="64"/>
      <c r="BS509" s="74"/>
      <c r="CQ509" s="37"/>
      <c r="CR509" s="37"/>
    </row>
    <row r="510" ht="18.75" customHeight="1">
      <c r="B510" s="71"/>
      <c r="D510" s="72"/>
      <c r="K510" s="73"/>
      <c r="P510" s="37" t="s">
        <v>29</v>
      </c>
      <c r="Q510" s="64"/>
      <c r="R510" s="64"/>
      <c r="S510" s="64"/>
      <c r="T510" s="64"/>
      <c r="U510" s="64"/>
      <c r="V510" s="64"/>
      <c r="W510" s="64"/>
      <c r="X510" s="64"/>
      <c r="Y510" s="64"/>
      <c r="Z510" s="64"/>
      <c r="AA510" s="64"/>
      <c r="BS510" s="74"/>
      <c r="CQ510" s="37"/>
      <c r="CR510" s="37"/>
    </row>
    <row r="511" ht="18.75" customHeight="1">
      <c r="B511" s="71"/>
      <c r="D511" s="72"/>
      <c r="K511" s="73"/>
      <c r="P511" s="37" t="s">
        <v>29</v>
      </c>
      <c r="Q511" s="64"/>
      <c r="R511" s="64"/>
      <c r="S511" s="64"/>
      <c r="T511" s="64"/>
      <c r="U511" s="64"/>
      <c r="V511" s="64"/>
      <c r="W511" s="64"/>
      <c r="X511" s="64"/>
      <c r="Y511" s="64"/>
      <c r="Z511" s="64"/>
      <c r="AA511" s="64"/>
      <c r="BS511" s="74"/>
      <c r="CQ511" s="37"/>
      <c r="CR511" s="37"/>
    </row>
    <row r="512" ht="18.75" customHeight="1">
      <c r="B512" s="71"/>
      <c r="D512" s="72"/>
      <c r="K512" s="73"/>
      <c r="P512" s="37" t="s">
        <v>29</v>
      </c>
      <c r="Q512" s="64"/>
      <c r="R512" s="64"/>
      <c r="S512" s="64"/>
      <c r="T512" s="64"/>
      <c r="U512" s="64"/>
      <c r="V512" s="64"/>
      <c r="W512" s="64"/>
      <c r="X512" s="64"/>
      <c r="Y512" s="64"/>
      <c r="Z512" s="64"/>
      <c r="AA512" s="64"/>
      <c r="BS512" s="74"/>
      <c r="CQ512" s="37"/>
      <c r="CR512" s="37"/>
    </row>
    <row r="513" ht="18.75" customHeight="1">
      <c r="B513" s="71"/>
      <c r="D513" s="72"/>
      <c r="K513" s="73"/>
      <c r="P513" s="37" t="s">
        <v>29</v>
      </c>
      <c r="Q513" s="64"/>
      <c r="R513" s="64"/>
      <c r="S513" s="64"/>
      <c r="T513" s="64"/>
      <c r="U513" s="64"/>
      <c r="V513" s="64"/>
      <c r="W513" s="64"/>
      <c r="X513" s="64"/>
      <c r="Y513" s="64"/>
      <c r="Z513" s="64"/>
      <c r="AA513" s="64"/>
      <c r="BS513" s="74"/>
      <c r="CQ513" s="37"/>
      <c r="CR513" s="37"/>
    </row>
    <row r="514" ht="18.75" customHeight="1">
      <c r="B514" s="71"/>
      <c r="D514" s="72"/>
      <c r="K514" s="73"/>
      <c r="P514" s="37" t="s">
        <v>29</v>
      </c>
      <c r="Q514" s="64"/>
      <c r="R514" s="64"/>
      <c r="S514" s="64"/>
      <c r="T514" s="64"/>
      <c r="U514" s="64"/>
      <c r="V514" s="64"/>
      <c r="W514" s="64"/>
      <c r="X514" s="64"/>
      <c r="Y514" s="64"/>
      <c r="Z514" s="64"/>
      <c r="AA514" s="64"/>
      <c r="BS514" s="74"/>
      <c r="CQ514" s="37"/>
      <c r="CR514" s="37"/>
    </row>
    <row r="515" ht="18.75" customHeight="1">
      <c r="B515" s="71"/>
      <c r="D515" s="72"/>
      <c r="K515" s="73"/>
      <c r="P515" s="37" t="s">
        <v>29</v>
      </c>
      <c r="Q515" s="64"/>
      <c r="R515" s="64"/>
      <c r="S515" s="64"/>
      <c r="T515" s="64"/>
      <c r="U515" s="64"/>
      <c r="V515" s="64"/>
      <c r="W515" s="64"/>
      <c r="X515" s="64"/>
      <c r="Y515" s="64"/>
      <c r="Z515" s="64"/>
      <c r="AA515" s="64"/>
      <c r="BS515" s="74"/>
      <c r="CQ515" s="37"/>
      <c r="CR515" s="37"/>
    </row>
    <row r="516" ht="18.75" customHeight="1">
      <c r="B516" s="71"/>
      <c r="D516" s="72"/>
      <c r="K516" s="73"/>
      <c r="P516" s="37" t="s">
        <v>29</v>
      </c>
      <c r="Q516" s="64"/>
      <c r="R516" s="64"/>
      <c r="S516" s="64"/>
      <c r="T516" s="64"/>
      <c r="U516" s="64"/>
      <c r="V516" s="64"/>
      <c r="W516" s="64"/>
      <c r="X516" s="64"/>
      <c r="Y516" s="64"/>
      <c r="Z516" s="64"/>
      <c r="AA516" s="64"/>
      <c r="BS516" s="74"/>
      <c r="CQ516" s="37"/>
      <c r="CR516" s="37"/>
    </row>
    <row r="517" ht="18.75" customHeight="1">
      <c r="B517" s="71"/>
      <c r="D517" s="72"/>
      <c r="K517" s="73"/>
      <c r="P517" s="37" t="s">
        <v>29</v>
      </c>
      <c r="Q517" s="64"/>
      <c r="R517" s="64"/>
      <c r="S517" s="64"/>
      <c r="T517" s="64"/>
      <c r="U517" s="64"/>
      <c r="V517" s="64"/>
      <c r="W517" s="64"/>
      <c r="X517" s="64"/>
      <c r="Y517" s="64"/>
      <c r="Z517" s="64"/>
      <c r="AA517" s="64"/>
      <c r="BS517" s="74"/>
      <c r="CQ517" s="37"/>
      <c r="CR517" s="37"/>
    </row>
    <row r="518" ht="18.75" customHeight="1">
      <c r="B518" s="71"/>
      <c r="D518" s="72"/>
      <c r="K518" s="73"/>
      <c r="P518" s="37" t="s">
        <v>29</v>
      </c>
      <c r="Q518" s="64"/>
      <c r="R518" s="64"/>
      <c r="S518" s="64"/>
      <c r="T518" s="64"/>
      <c r="U518" s="64"/>
      <c r="V518" s="64"/>
      <c r="W518" s="64"/>
      <c r="X518" s="64"/>
      <c r="Y518" s="64"/>
      <c r="Z518" s="64"/>
      <c r="AA518" s="64"/>
      <c r="BS518" s="74"/>
      <c r="CQ518" s="37"/>
      <c r="CR518" s="37"/>
    </row>
    <row r="519" ht="18.75" customHeight="1">
      <c r="B519" s="71"/>
      <c r="D519" s="72"/>
      <c r="K519" s="73"/>
      <c r="P519" s="37" t="s">
        <v>29</v>
      </c>
      <c r="Q519" s="64"/>
      <c r="R519" s="64"/>
      <c r="S519" s="64"/>
      <c r="T519" s="64"/>
      <c r="U519" s="64"/>
      <c r="V519" s="64"/>
      <c r="W519" s="64"/>
      <c r="X519" s="64"/>
      <c r="Y519" s="64"/>
      <c r="Z519" s="64"/>
      <c r="AA519" s="64"/>
      <c r="BS519" s="74"/>
      <c r="CQ519" s="37"/>
      <c r="CR519" s="37"/>
    </row>
    <row r="520" ht="18.75" customHeight="1">
      <c r="B520" s="71"/>
      <c r="D520" s="72"/>
      <c r="K520" s="73"/>
      <c r="P520" s="37" t="s">
        <v>29</v>
      </c>
      <c r="Q520" s="64"/>
      <c r="R520" s="64"/>
      <c r="S520" s="64"/>
      <c r="T520" s="64"/>
      <c r="U520" s="64"/>
      <c r="V520" s="64"/>
      <c r="W520" s="64"/>
      <c r="X520" s="64"/>
      <c r="Y520" s="64"/>
      <c r="Z520" s="64"/>
      <c r="AA520" s="64"/>
      <c r="BS520" s="74"/>
      <c r="CQ520" s="37"/>
      <c r="CR520" s="37"/>
    </row>
    <row r="521" ht="18.75" customHeight="1">
      <c r="B521" s="71"/>
      <c r="D521" s="72"/>
      <c r="K521" s="73"/>
      <c r="P521" s="37" t="s">
        <v>29</v>
      </c>
      <c r="Q521" s="64"/>
      <c r="R521" s="64"/>
      <c r="S521" s="64"/>
      <c r="T521" s="64"/>
      <c r="U521" s="64"/>
      <c r="V521" s="64"/>
      <c r="W521" s="64"/>
      <c r="X521" s="64"/>
      <c r="Y521" s="64"/>
      <c r="Z521" s="64"/>
      <c r="AA521" s="64"/>
      <c r="BS521" s="74"/>
      <c r="CQ521" s="37"/>
      <c r="CR521" s="37"/>
    </row>
    <row r="522" ht="18.75" customHeight="1">
      <c r="B522" s="71"/>
      <c r="D522" s="72"/>
      <c r="K522" s="73"/>
      <c r="P522" s="37" t="s">
        <v>29</v>
      </c>
      <c r="Q522" s="64"/>
      <c r="R522" s="64"/>
      <c r="S522" s="64"/>
      <c r="T522" s="64"/>
      <c r="U522" s="64"/>
      <c r="V522" s="64"/>
      <c r="W522" s="64"/>
      <c r="X522" s="64"/>
      <c r="Y522" s="64"/>
      <c r="Z522" s="64"/>
      <c r="AA522" s="64"/>
      <c r="BS522" s="74"/>
      <c r="CQ522" s="37"/>
      <c r="CR522" s="37"/>
    </row>
    <row r="523" ht="18.75" customHeight="1">
      <c r="B523" s="71"/>
      <c r="D523" s="72"/>
      <c r="K523" s="73"/>
      <c r="P523" s="37" t="s">
        <v>29</v>
      </c>
      <c r="Q523" s="64"/>
      <c r="R523" s="64"/>
      <c r="S523" s="64"/>
      <c r="T523" s="64"/>
      <c r="U523" s="64"/>
      <c r="V523" s="64"/>
      <c r="W523" s="64"/>
      <c r="X523" s="64"/>
      <c r="Y523" s="64"/>
      <c r="Z523" s="64"/>
      <c r="AA523" s="64"/>
      <c r="BS523" s="74"/>
      <c r="CQ523" s="37"/>
      <c r="CR523" s="37"/>
    </row>
    <row r="524" ht="18.75" customHeight="1">
      <c r="B524" s="71"/>
      <c r="D524" s="72"/>
      <c r="K524" s="73"/>
      <c r="P524" s="37" t="s">
        <v>29</v>
      </c>
      <c r="Q524" s="64"/>
      <c r="R524" s="64"/>
      <c r="S524" s="64"/>
      <c r="T524" s="64"/>
      <c r="U524" s="64"/>
      <c r="V524" s="64"/>
      <c r="W524" s="64"/>
      <c r="X524" s="64"/>
      <c r="Y524" s="64"/>
      <c r="Z524" s="64"/>
      <c r="AA524" s="64"/>
      <c r="BS524" s="74"/>
      <c r="CQ524" s="37"/>
      <c r="CR524" s="37"/>
    </row>
    <row r="525" ht="18.75" customHeight="1">
      <c r="B525" s="71"/>
      <c r="D525" s="72"/>
      <c r="K525" s="73"/>
      <c r="P525" s="37" t="s">
        <v>29</v>
      </c>
      <c r="Q525" s="64"/>
      <c r="R525" s="64"/>
      <c r="S525" s="64"/>
      <c r="T525" s="64"/>
      <c r="U525" s="64"/>
      <c r="V525" s="64"/>
      <c r="W525" s="64"/>
      <c r="X525" s="64"/>
      <c r="Y525" s="64"/>
      <c r="Z525" s="64"/>
      <c r="AA525" s="64"/>
      <c r="BS525" s="74"/>
      <c r="CQ525" s="37"/>
      <c r="CR525" s="37"/>
    </row>
    <row r="526" ht="18.75" customHeight="1">
      <c r="B526" s="71"/>
      <c r="D526" s="72"/>
      <c r="K526" s="73"/>
      <c r="P526" s="37" t="s">
        <v>29</v>
      </c>
      <c r="Q526" s="64"/>
      <c r="R526" s="64"/>
      <c r="S526" s="64"/>
      <c r="T526" s="64"/>
      <c r="U526" s="64"/>
      <c r="V526" s="64"/>
      <c r="W526" s="64"/>
      <c r="X526" s="64"/>
      <c r="Y526" s="64"/>
      <c r="Z526" s="64"/>
      <c r="AA526" s="64"/>
      <c r="BS526" s="74"/>
      <c r="CQ526" s="37"/>
      <c r="CR526" s="37"/>
    </row>
    <row r="527" ht="18.75" customHeight="1">
      <c r="B527" s="71"/>
      <c r="D527" s="72"/>
      <c r="K527" s="73"/>
      <c r="P527" s="37" t="s">
        <v>29</v>
      </c>
      <c r="Q527" s="64"/>
      <c r="R527" s="64"/>
      <c r="S527" s="64"/>
      <c r="T527" s="64"/>
      <c r="U527" s="64"/>
      <c r="V527" s="64"/>
      <c r="W527" s="64"/>
      <c r="X527" s="64"/>
      <c r="Y527" s="64"/>
      <c r="Z527" s="64"/>
      <c r="AA527" s="64"/>
      <c r="BS527" s="74"/>
      <c r="CQ527" s="37"/>
      <c r="CR527" s="37"/>
    </row>
    <row r="528" ht="18.75" customHeight="1">
      <c r="B528" s="71"/>
      <c r="D528" s="72"/>
      <c r="K528" s="73"/>
      <c r="P528" s="37" t="s">
        <v>29</v>
      </c>
      <c r="Q528" s="64"/>
      <c r="R528" s="64"/>
      <c r="S528" s="64"/>
      <c r="T528" s="64"/>
      <c r="U528" s="64"/>
      <c r="V528" s="64"/>
      <c r="W528" s="64"/>
      <c r="X528" s="64"/>
      <c r="Y528" s="64"/>
      <c r="Z528" s="64"/>
      <c r="AA528" s="64"/>
      <c r="BS528" s="74"/>
      <c r="CQ528" s="37"/>
      <c r="CR528" s="37"/>
    </row>
    <row r="529" ht="18.75" customHeight="1">
      <c r="B529" s="71"/>
      <c r="D529" s="72"/>
      <c r="K529" s="73"/>
      <c r="P529" s="37" t="s">
        <v>29</v>
      </c>
      <c r="Q529" s="64"/>
      <c r="R529" s="64"/>
      <c r="S529" s="64"/>
      <c r="T529" s="64"/>
      <c r="U529" s="64"/>
      <c r="V529" s="64"/>
      <c r="W529" s="64"/>
      <c r="X529" s="64"/>
      <c r="Y529" s="64"/>
      <c r="Z529" s="64"/>
      <c r="AA529" s="64"/>
      <c r="BS529" s="74"/>
      <c r="CQ529" s="37"/>
      <c r="CR529" s="37"/>
    </row>
    <row r="530" ht="18.75" customHeight="1">
      <c r="B530" s="71"/>
      <c r="D530" s="72"/>
      <c r="K530" s="73"/>
      <c r="P530" s="37" t="s">
        <v>29</v>
      </c>
      <c r="Q530" s="64"/>
      <c r="R530" s="64"/>
      <c r="S530" s="64"/>
      <c r="T530" s="64"/>
      <c r="U530" s="64"/>
      <c r="V530" s="64"/>
      <c r="W530" s="64"/>
      <c r="X530" s="64"/>
      <c r="Y530" s="64"/>
      <c r="Z530" s="64"/>
      <c r="AA530" s="64"/>
      <c r="BS530" s="74"/>
      <c r="CQ530" s="37"/>
      <c r="CR530" s="37"/>
    </row>
    <row r="531" ht="18.75" customHeight="1">
      <c r="B531" s="71"/>
      <c r="D531" s="72"/>
      <c r="K531" s="73"/>
      <c r="P531" s="37" t="s">
        <v>29</v>
      </c>
      <c r="Q531" s="64"/>
      <c r="R531" s="64"/>
      <c r="S531" s="64"/>
      <c r="T531" s="64"/>
      <c r="U531" s="64"/>
      <c r="V531" s="64"/>
      <c r="W531" s="64"/>
      <c r="X531" s="64"/>
      <c r="Y531" s="64"/>
      <c r="Z531" s="64"/>
      <c r="AA531" s="64"/>
      <c r="BS531" s="74"/>
      <c r="CQ531" s="37"/>
      <c r="CR531" s="37"/>
    </row>
    <row r="532" ht="18.75" customHeight="1">
      <c r="B532" s="71"/>
      <c r="D532" s="72"/>
      <c r="K532" s="73"/>
      <c r="P532" s="37" t="s">
        <v>29</v>
      </c>
      <c r="Q532" s="64"/>
      <c r="R532" s="64"/>
      <c r="S532" s="64"/>
      <c r="T532" s="64"/>
      <c r="U532" s="64"/>
      <c r="V532" s="64"/>
      <c r="W532" s="64"/>
      <c r="X532" s="64"/>
      <c r="Y532" s="64"/>
      <c r="Z532" s="64"/>
      <c r="AA532" s="64"/>
      <c r="BS532" s="74"/>
      <c r="CQ532" s="37"/>
      <c r="CR532" s="37"/>
    </row>
    <row r="533" ht="18.75" customHeight="1">
      <c r="B533" s="71"/>
      <c r="D533" s="72"/>
      <c r="K533" s="73"/>
      <c r="P533" s="37" t="s">
        <v>29</v>
      </c>
      <c r="Q533" s="64"/>
      <c r="R533" s="64"/>
      <c r="S533" s="64"/>
      <c r="T533" s="64"/>
      <c r="U533" s="64"/>
      <c r="V533" s="64"/>
      <c r="W533" s="64"/>
      <c r="X533" s="64"/>
      <c r="Y533" s="64"/>
      <c r="Z533" s="64"/>
      <c r="AA533" s="64"/>
      <c r="BS533" s="74"/>
      <c r="CQ533" s="37"/>
      <c r="CR533" s="37"/>
    </row>
    <row r="534" ht="18.75" customHeight="1">
      <c r="B534" s="71"/>
      <c r="D534" s="72"/>
      <c r="K534" s="73"/>
      <c r="P534" s="37" t="s">
        <v>29</v>
      </c>
      <c r="Q534" s="64"/>
      <c r="R534" s="64"/>
      <c r="S534" s="64"/>
      <c r="T534" s="64"/>
      <c r="U534" s="64"/>
      <c r="V534" s="64"/>
      <c r="W534" s="64"/>
      <c r="X534" s="64"/>
      <c r="Y534" s="64"/>
      <c r="Z534" s="64"/>
      <c r="AA534" s="64"/>
      <c r="BS534" s="74"/>
      <c r="CQ534" s="37"/>
      <c r="CR534" s="37"/>
    </row>
    <row r="535" ht="18.75" customHeight="1">
      <c r="B535" s="71"/>
      <c r="D535" s="72"/>
      <c r="K535" s="73"/>
      <c r="P535" s="37" t="s">
        <v>29</v>
      </c>
      <c r="Q535" s="64"/>
      <c r="R535" s="64"/>
      <c r="S535" s="64"/>
      <c r="T535" s="64"/>
      <c r="U535" s="64"/>
      <c r="V535" s="64"/>
      <c r="W535" s="64"/>
      <c r="X535" s="64"/>
      <c r="Y535" s="64"/>
      <c r="Z535" s="64"/>
      <c r="AA535" s="64"/>
      <c r="BS535" s="74"/>
      <c r="CQ535" s="37"/>
      <c r="CR535" s="37"/>
    </row>
    <row r="536" ht="18.75" customHeight="1">
      <c r="B536" s="71"/>
      <c r="D536" s="72"/>
      <c r="K536" s="73"/>
      <c r="P536" s="37" t="s">
        <v>29</v>
      </c>
      <c r="Q536" s="64"/>
      <c r="R536" s="64"/>
      <c r="S536" s="64"/>
      <c r="T536" s="64"/>
      <c r="U536" s="64"/>
      <c r="V536" s="64"/>
      <c r="W536" s="64"/>
      <c r="X536" s="64"/>
      <c r="Y536" s="64"/>
      <c r="Z536" s="64"/>
      <c r="AA536" s="64"/>
      <c r="BS536" s="74"/>
      <c r="CQ536" s="37"/>
      <c r="CR536" s="37"/>
    </row>
    <row r="537" ht="18.75" customHeight="1">
      <c r="B537" s="71"/>
      <c r="D537" s="72"/>
      <c r="K537" s="73"/>
      <c r="P537" s="37" t="s">
        <v>29</v>
      </c>
      <c r="Q537" s="64"/>
      <c r="R537" s="64"/>
      <c r="S537" s="64"/>
      <c r="T537" s="64"/>
      <c r="U537" s="64"/>
      <c r="V537" s="64"/>
      <c r="W537" s="64"/>
      <c r="X537" s="64"/>
      <c r="Y537" s="64"/>
      <c r="Z537" s="64"/>
      <c r="AA537" s="64"/>
      <c r="BS537" s="74"/>
      <c r="CQ537" s="37"/>
      <c r="CR537" s="37"/>
    </row>
    <row r="538" ht="18.75" customHeight="1">
      <c r="B538" s="71"/>
      <c r="D538" s="72"/>
      <c r="K538" s="73"/>
      <c r="P538" s="37" t="s">
        <v>29</v>
      </c>
      <c r="Q538" s="64"/>
      <c r="R538" s="64"/>
      <c r="S538" s="64"/>
      <c r="T538" s="64"/>
      <c r="U538" s="64"/>
      <c r="V538" s="64"/>
      <c r="W538" s="64"/>
      <c r="X538" s="64"/>
      <c r="Y538" s="64"/>
      <c r="Z538" s="64"/>
      <c r="AA538" s="64"/>
      <c r="BS538" s="74"/>
      <c r="CQ538" s="37"/>
      <c r="CR538" s="37"/>
    </row>
    <row r="539" ht="18.75" customHeight="1">
      <c r="B539" s="71"/>
      <c r="D539" s="72"/>
      <c r="K539" s="73"/>
      <c r="P539" s="37" t="s">
        <v>29</v>
      </c>
      <c r="Q539" s="64"/>
      <c r="R539" s="64"/>
      <c r="S539" s="64"/>
      <c r="T539" s="64"/>
      <c r="U539" s="64"/>
      <c r="V539" s="64"/>
      <c r="W539" s="64"/>
      <c r="X539" s="64"/>
      <c r="Y539" s="64"/>
      <c r="Z539" s="64"/>
      <c r="AA539" s="64"/>
      <c r="BS539" s="74"/>
      <c r="CQ539" s="37"/>
      <c r="CR539" s="37"/>
    </row>
    <row r="540" ht="18.75" customHeight="1">
      <c r="B540" s="71"/>
      <c r="D540" s="72"/>
      <c r="K540" s="73"/>
      <c r="P540" s="37" t="s">
        <v>29</v>
      </c>
      <c r="Q540" s="64"/>
      <c r="R540" s="64"/>
      <c r="S540" s="64"/>
      <c r="T540" s="64"/>
      <c r="U540" s="64"/>
      <c r="V540" s="64"/>
      <c r="W540" s="64"/>
      <c r="X540" s="64"/>
      <c r="Y540" s="64"/>
      <c r="Z540" s="64"/>
      <c r="AA540" s="64"/>
      <c r="BS540" s="74"/>
      <c r="CQ540" s="37"/>
      <c r="CR540" s="37"/>
    </row>
    <row r="541" ht="18.75" customHeight="1">
      <c r="B541" s="71"/>
      <c r="D541" s="72"/>
      <c r="K541" s="73"/>
      <c r="P541" s="37" t="s">
        <v>29</v>
      </c>
      <c r="Q541" s="64"/>
      <c r="R541" s="64"/>
      <c r="S541" s="64"/>
      <c r="T541" s="64"/>
      <c r="U541" s="64"/>
      <c r="V541" s="64"/>
      <c r="W541" s="64"/>
      <c r="X541" s="64"/>
      <c r="Y541" s="64"/>
      <c r="Z541" s="64"/>
      <c r="AA541" s="64"/>
      <c r="BS541" s="74"/>
      <c r="CQ541" s="37"/>
      <c r="CR541" s="37"/>
    </row>
    <row r="542" ht="18.75" customHeight="1">
      <c r="B542" s="71"/>
      <c r="D542" s="72"/>
      <c r="K542" s="73"/>
      <c r="P542" s="37" t="s">
        <v>29</v>
      </c>
      <c r="Q542" s="64"/>
      <c r="R542" s="64"/>
      <c r="S542" s="64"/>
      <c r="T542" s="64"/>
      <c r="U542" s="64"/>
      <c r="V542" s="64"/>
      <c r="W542" s="64"/>
      <c r="X542" s="64"/>
      <c r="Y542" s="64"/>
      <c r="Z542" s="64"/>
      <c r="AA542" s="64"/>
      <c r="BS542" s="74"/>
      <c r="CQ542" s="37"/>
      <c r="CR542" s="37"/>
    </row>
    <row r="543" ht="18.75" customHeight="1">
      <c r="B543" s="71"/>
      <c r="D543" s="72"/>
      <c r="K543" s="73"/>
      <c r="P543" s="37" t="s">
        <v>29</v>
      </c>
      <c r="Q543" s="64"/>
      <c r="R543" s="64"/>
      <c r="S543" s="64"/>
      <c r="T543" s="64"/>
      <c r="U543" s="64"/>
      <c r="V543" s="64"/>
      <c r="W543" s="64"/>
      <c r="X543" s="64"/>
      <c r="Y543" s="64"/>
      <c r="Z543" s="64"/>
      <c r="AA543" s="64"/>
      <c r="BS543" s="74"/>
      <c r="CQ543" s="37"/>
      <c r="CR543" s="37"/>
    </row>
    <row r="544" ht="18.75" customHeight="1">
      <c r="B544" s="71"/>
      <c r="D544" s="72"/>
      <c r="K544" s="73"/>
      <c r="P544" s="37" t="s">
        <v>29</v>
      </c>
      <c r="Q544" s="64"/>
      <c r="R544" s="64"/>
      <c r="S544" s="64"/>
      <c r="T544" s="64"/>
      <c r="U544" s="64"/>
      <c r="V544" s="64"/>
      <c r="W544" s="64"/>
      <c r="X544" s="64"/>
      <c r="Y544" s="64"/>
      <c r="Z544" s="64"/>
      <c r="AA544" s="64"/>
      <c r="BS544" s="74"/>
      <c r="CQ544" s="37"/>
      <c r="CR544" s="37"/>
    </row>
    <row r="545" ht="18.75" customHeight="1">
      <c r="B545" s="71"/>
      <c r="D545" s="72"/>
      <c r="K545" s="73"/>
      <c r="P545" s="37" t="s">
        <v>29</v>
      </c>
      <c r="Q545" s="64"/>
      <c r="R545" s="64"/>
      <c r="S545" s="64"/>
      <c r="T545" s="64"/>
      <c r="U545" s="64"/>
      <c r="V545" s="64"/>
      <c r="W545" s="64"/>
      <c r="X545" s="64"/>
      <c r="Y545" s="64"/>
      <c r="Z545" s="64"/>
      <c r="AA545" s="64"/>
      <c r="BS545" s="74"/>
      <c r="CQ545" s="37"/>
      <c r="CR545" s="37"/>
    </row>
    <row r="546" ht="18.75" customHeight="1">
      <c r="B546" s="71"/>
      <c r="D546" s="72"/>
      <c r="K546" s="73"/>
      <c r="P546" s="37" t="s">
        <v>29</v>
      </c>
      <c r="Q546" s="64"/>
      <c r="R546" s="64"/>
      <c r="S546" s="64"/>
      <c r="T546" s="64"/>
      <c r="U546" s="64"/>
      <c r="V546" s="64"/>
      <c r="W546" s="64"/>
      <c r="X546" s="64"/>
      <c r="Y546" s="64"/>
      <c r="Z546" s="64"/>
      <c r="AA546" s="64"/>
      <c r="BS546" s="74"/>
      <c r="CQ546" s="37"/>
      <c r="CR546" s="37"/>
    </row>
    <row r="547" ht="18.75" customHeight="1">
      <c r="B547" s="71"/>
      <c r="D547" s="72"/>
      <c r="K547" s="73"/>
      <c r="P547" s="37" t="s">
        <v>29</v>
      </c>
      <c r="Q547" s="64"/>
      <c r="R547" s="64"/>
      <c r="S547" s="64"/>
      <c r="T547" s="64"/>
      <c r="U547" s="64"/>
      <c r="V547" s="64"/>
      <c r="W547" s="64"/>
      <c r="X547" s="64"/>
      <c r="Y547" s="64"/>
      <c r="Z547" s="64"/>
      <c r="AA547" s="64"/>
      <c r="BS547" s="74"/>
      <c r="CQ547" s="37"/>
      <c r="CR547" s="37"/>
    </row>
    <row r="548" ht="18.75" customHeight="1">
      <c r="B548" s="71"/>
      <c r="D548" s="72"/>
      <c r="K548" s="73"/>
      <c r="P548" s="37" t="s">
        <v>29</v>
      </c>
      <c r="Q548" s="64"/>
      <c r="R548" s="64"/>
      <c r="S548" s="64"/>
      <c r="T548" s="64"/>
      <c r="U548" s="64"/>
      <c r="V548" s="64"/>
      <c r="W548" s="64"/>
      <c r="X548" s="64"/>
      <c r="Y548" s="64"/>
      <c r="Z548" s="64"/>
      <c r="AA548" s="64"/>
      <c r="BS548" s="74"/>
      <c r="CQ548" s="37"/>
      <c r="CR548" s="37"/>
    </row>
    <row r="549" ht="18.75" customHeight="1">
      <c r="B549" s="71"/>
      <c r="D549" s="72"/>
      <c r="K549" s="73"/>
      <c r="P549" s="37" t="s">
        <v>29</v>
      </c>
      <c r="Q549" s="64"/>
      <c r="R549" s="64"/>
      <c r="S549" s="64"/>
      <c r="T549" s="64"/>
      <c r="U549" s="64"/>
      <c r="V549" s="64"/>
      <c r="W549" s="64"/>
      <c r="X549" s="64"/>
      <c r="Y549" s="64"/>
      <c r="Z549" s="64"/>
      <c r="AA549" s="64"/>
      <c r="BS549" s="74"/>
      <c r="CQ549" s="37"/>
      <c r="CR549" s="37"/>
    </row>
    <row r="550" ht="18.75" customHeight="1">
      <c r="B550" s="71"/>
      <c r="D550" s="72"/>
      <c r="K550" s="73"/>
      <c r="P550" s="37" t="s">
        <v>29</v>
      </c>
      <c r="Q550" s="64"/>
      <c r="R550" s="64"/>
      <c r="S550" s="64"/>
      <c r="T550" s="64"/>
      <c r="U550" s="64"/>
      <c r="V550" s="64"/>
      <c r="W550" s="64"/>
      <c r="X550" s="64"/>
      <c r="Y550" s="64"/>
      <c r="Z550" s="64"/>
      <c r="AA550" s="64"/>
      <c r="BS550" s="74"/>
      <c r="CQ550" s="37"/>
      <c r="CR550" s="37"/>
    </row>
    <row r="551" ht="18.75" customHeight="1">
      <c r="B551" s="71"/>
      <c r="D551" s="72"/>
      <c r="K551" s="73"/>
      <c r="P551" s="37" t="s">
        <v>29</v>
      </c>
      <c r="Q551" s="64"/>
      <c r="R551" s="64"/>
      <c r="S551" s="64"/>
      <c r="T551" s="64"/>
      <c r="U551" s="64"/>
      <c r="V551" s="64"/>
      <c r="W551" s="64"/>
      <c r="X551" s="64"/>
      <c r="Y551" s="64"/>
      <c r="Z551" s="64"/>
      <c r="AA551" s="64"/>
      <c r="BS551" s="74"/>
      <c r="CQ551" s="37"/>
      <c r="CR551" s="37"/>
    </row>
    <row r="552" ht="18.75" customHeight="1">
      <c r="B552" s="71"/>
      <c r="D552" s="72"/>
      <c r="K552" s="73"/>
      <c r="P552" s="37" t="s">
        <v>29</v>
      </c>
      <c r="Q552" s="64"/>
      <c r="R552" s="64"/>
      <c r="S552" s="64"/>
      <c r="T552" s="64"/>
      <c r="U552" s="64"/>
      <c r="V552" s="64"/>
      <c r="W552" s="64"/>
      <c r="X552" s="64"/>
      <c r="Y552" s="64"/>
      <c r="Z552" s="64"/>
      <c r="AA552" s="64"/>
      <c r="BS552" s="74"/>
      <c r="CQ552" s="37"/>
      <c r="CR552" s="37"/>
    </row>
    <row r="553" ht="18.75" customHeight="1">
      <c r="B553" s="71"/>
      <c r="D553" s="72"/>
      <c r="K553" s="73"/>
      <c r="P553" s="37" t="s">
        <v>29</v>
      </c>
      <c r="Q553" s="64"/>
      <c r="R553" s="64"/>
      <c r="S553" s="64"/>
      <c r="T553" s="64"/>
      <c r="U553" s="64"/>
      <c r="V553" s="64"/>
      <c r="W553" s="64"/>
      <c r="X553" s="64"/>
      <c r="Y553" s="64"/>
      <c r="Z553" s="64"/>
      <c r="AA553" s="64"/>
      <c r="BS553" s="74"/>
      <c r="CQ553" s="37"/>
      <c r="CR553" s="37"/>
    </row>
    <row r="554" ht="18.75" customHeight="1">
      <c r="B554" s="71"/>
      <c r="D554" s="72"/>
      <c r="K554" s="73"/>
      <c r="P554" s="37" t="s">
        <v>29</v>
      </c>
      <c r="Q554" s="64"/>
      <c r="R554" s="64"/>
      <c r="S554" s="64"/>
      <c r="T554" s="64"/>
      <c r="U554" s="64"/>
      <c r="V554" s="64"/>
      <c r="W554" s="64"/>
      <c r="X554" s="64"/>
      <c r="Y554" s="64"/>
      <c r="Z554" s="64"/>
      <c r="AA554" s="64"/>
      <c r="BS554" s="74"/>
      <c r="CQ554" s="37"/>
      <c r="CR554" s="37"/>
    </row>
    <row r="555" ht="18.75" customHeight="1">
      <c r="B555" s="71"/>
      <c r="D555" s="72"/>
      <c r="K555" s="73"/>
      <c r="P555" s="37" t="s">
        <v>29</v>
      </c>
      <c r="Q555" s="64"/>
      <c r="R555" s="64"/>
      <c r="S555" s="64"/>
      <c r="T555" s="64"/>
      <c r="U555" s="64"/>
      <c r="V555" s="64"/>
      <c r="W555" s="64"/>
      <c r="X555" s="64"/>
      <c r="Y555" s="64"/>
      <c r="Z555" s="64"/>
      <c r="AA555" s="64"/>
      <c r="BS555" s="74"/>
      <c r="CQ555" s="37"/>
      <c r="CR555" s="37"/>
    </row>
    <row r="556" ht="18.75" customHeight="1">
      <c r="B556" s="71"/>
      <c r="D556" s="72"/>
      <c r="K556" s="73"/>
      <c r="P556" s="37" t="s">
        <v>29</v>
      </c>
      <c r="Q556" s="64"/>
      <c r="R556" s="64"/>
      <c r="S556" s="64"/>
      <c r="T556" s="64"/>
      <c r="U556" s="64"/>
      <c r="V556" s="64"/>
      <c r="W556" s="64"/>
      <c r="X556" s="64"/>
      <c r="Y556" s="64"/>
      <c r="Z556" s="64"/>
      <c r="AA556" s="64"/>
      <c r="BS556" s="74"/>
      <c r="CQ556" s="37"/>
      <c r="CR556" s="37"/>
    </row>
    <row r="557" ht="18.75" customHeight="1">
      <c r="B557" s="71"/>
      <c r="D557" s="72"/>
      <c r="K557" s="73"/>
      <c r="P557" s="37" t="s">
        <v>29</v>
      </c>
      <c r="Q557" s="64"/>
      <c r="R557" s="64"/>
      <c r="S557" s="64"/>
      <c r="T557" s="64"/>
      <c r="U557" s="64"/>
      <c r="V557" s="64"/>
      <c r="W557" s="64"/>
      <c r="X557" s="64"/>
      <c r="Y557" s="64"/>
      <c r="Z557" s="64"/>
      <c r="AA557" s="64"/>
      <c r="BS557" s="74"/>
      <c r="CQ557" s="37"/>
      <c r="CR557" s="37"/>
    </row>
    <row r="558" ht="18.75" customHeight="1">
      <c r="B558" s="71"/>
      <c r="D558" s="72"/>
      <c r="K558" s="73"/>
      <c r="P558" s="37" t="s">
        <v>29</v>
      </c>
      <c r="Q558" s="64"/>
      <c r="R558" s="64"/>
      <c r="S558" s="64"/>
      <c r="T558" s="64"/>
      <c r="U558" s="64"/>
      <c r="V558" s="64"/>
      <c r="W558" s="64"/>
      <c r="X558" s="64"/>
      <c r="Y558" s="64"/>
      <c r="Z558" s="64"/>
      <c r="AA558" s="64"/>
      <c r="BS558" s="74"/>
      <c r="CQ558" s="37"/>
      <c r="CR558" s="37"/>
    </row>
    <row r="559" ht="18.75" customHeight="1">
      <c r="B559" s="71"/>
      <c r="D559" s="72"/>
      <c r="K559" s="73"/>
      <c r="P559" s="37" t="s">
        <v>29</v>
      </c>
      <c r="Q559" s="64"/>
      <c r="R559" s="64"/>
      <c r="S559" s="64"/>
      <c r="T559" s="64"/>
      <c r="U559" s="64"/>
      <c r="V559" s="64"/>
      <c r="W559" s="64"/>
      <c r="X559" s="64"/>
      <c r="Y559" s="64"/>
      <c r="Z559" s="64"/>
      <c r="AA559" s="64"/>
      <c r="BS559" s="74"/>
      <c r="CQ559" s="37"/>
      <c r="CR559" s="37"/>
    </row>
    <row r="560" ht="18.75" customHeight="1">
      <c r="B560" s="71"/>
      <c r="D560" s="72"/>
      <c r="K560" s="73"/>
      <c r="P560" s="37" t="s">
        <v>29</v>
      </c>
      <c r="Q560" s="64"/>
      <c r="R560" s="64"/>
      <c r="S560" s="64"/>
      <c r="T560" s="64"/>
      <c r="U560" s="64"/>
      <c r="V560" s="64"/>
      <c r="W560" s="64"/>
      <c r="X560" s="64"/>
      <c r="Y560" s="64"/>
      <c r="Z560" s="64"/>
      <c r="AA560" s="64"/>
      <c r="BS560" s="74"/>
      <c r="CQ560" s="37"/>
      <c r="CR560" s="37"/>
    </row>
    <row r="561" ht="18.75" customHeight="1">
      <c r="B561" s="71"/>
      <c r="D561" s="72"/>
      <c r="K561" s="73"/>
      <c r="P561" s="37" t="s">
        <v>29</v>
      </c>
      <c r="Q561" s="64"/>
      <c r="R561" s="64"/>
      <c r="S561" s="64"/>
      <c r="T561" s="64"/>
      <c r="U561" s="64"/>
      <c r="V561" s="64"/>
      <c r="W561" s="64"/>
      <c r="X561" s="64"/>
      <c r="Y561" s="64"/>
      <c r="Z561" s="64"/>
      <c r="AA561" s="64"/>
      <c r="BS561" s="74"/>
      <c r="CQ561" s="37"/>
      <c r="CR561" s="37"/>
    </row>
    <row r="562" ht="18.75" customHeight="1">
      <c r="B562" s="71"/>
      <c r="D562" s="72"/>
      <c r="K562" s="73"/>
      <c r="P562" s="37" t="s">
        <v>29</v>
      </c>
      <c r="Q562" s="64"/>
      <c r="R562" s="64"/>
      <c r="S562" s="64"/>
      <c r="T562" s="64"/>
      <c r="U562" s="64"/>
      <c r="V562" s="64"/>
      <c r="W562" s="64"/>
      <c r="X562" s="64"/>
      <c r="Y562" s="64"/>
      <c r="Z562" s="64"/>
      <c r="AA562" s="64"/>
      <c r="BS562" s="74"/>
      <c r="CQ562" s="37"/>
      <c r="CR562" s="37"/>
    </row>
    <row r="563" ht="18.75" customHeight="1">
      <c r="B563" s="71"/>
      <c r="D563" s="72"/>
      <c r="K563" s="73"/>
      <c r="P563" s="37" t="s">
        <v>29</v>
      </c>
      <c r="Q563" s="64"/>
      <c r="R563" s="64"/>
      <c r="S563" s="64"/>
      <c r="T563" s="64"/>
      <c r="U563" s="64"/>
      <c r="V563" s="64"/>
      <c r="W563" s="64"/>
      <c r="X563" s="64"/>
      <c r="Y563" s="64"/>
      <c r="Z563" s="64"/>
      <c r="AA563" s="64"/>
      <c r="BS563" s="74"/>
      <c r="CQ563" s="37"/>
      <c r="CR563" s="37"/>
    </row>
    <row r="564" ht="18.75" customHeight="1">
      <c r="B564" s="71"/>
      <c r="D564" s="72"/>
      <c r="K564" s="73"/>
      <c r="P564" s="37" t="s">
        <v>29</v>
      </c>
      <c r="Q564" s="64"/>
      <c r="R564" s="64"/>
      <c r="S564" s="64"/>
      <c r="T564" s="64"/>
      <c r="U564" s="64"/>
      <c r="V564" s="64"/>
      <c r="W564" s="64"/>
      <c r="X564" s="64"/>
      <c r="Y564" s="64"/>
      <c r="Z564" s="64"/>
      <c r="AA564" s="64"/>
      <c r="BS564" s="74"/>
      <c r="CQ564" s="37"/>
      <c r="CR564" s="37"/>
    </row>
    <row r="565" ht="18.75" customHeight="1">
      <c r="B565" s="71"/>
      <c r="D565" s="72"/>
      <c r="K565" s="73"/>
      <c r="P565" s="37" t="s">
        <v>29</v>
      </c>
      <c r="Q565" s="64"/>
      <c r="R565" s="64"/>
      <c r="S565" s="64"/>
      <c r="T565" s="64"/>
      <c r="U565" s="64"/>
      <c r="V565" s="64"/>
      <c r="W565" s="64"/>
      <c r="X565" s="64"/>
      <c r="Y565" s="64"/>
      <c r="Z565" s="64"/>
      <c r="AA565" s="64"/>
      <c r="BS565" s="74"/>
      <c r="CQ565" s="37"/>
      <c r="CR565" s="37"/>
    </row>
    <row r="566" ht="18.75" customHeight="1">
      <c r="B566" s="71"/>
      <c r="D566" s="72"/>
      <c r="K566" s="73"/>
      <c r="P566" s="37" t="s">
        <v>29</v>
      </c>
      <c r="Q566" s="64"/>
      <c r="R566" s="64"/>
      <c r="S566" s="64"/>
      <c r="T566" s="64"/>
      <c r="U566" s="64"/>
      <c r="V566" s="64"/>
      <c r="W566" s="64"/>
      <c r="X566" s="64"/>
      <c r="Y566" s="64"/>
      <c r="Z566" s="64"/>
      <c r="AA566" s="64"/>
      <c r="BS566" s="74"/>
      <c r="CQ566" s="37"/>
      <c r="CR566" s="37"/>
    </row>
    <row r="567" ht="18.75" customHeight="1">
      <c r="B567" s="71"/>
      <c r="D567" s="72"/>
      <c r="K567" s="73"/>
      <c r="P567" s="37" t="s">
        <v>29</v>
      </c>
      <c r="Q567" s="64"/>
      <c r="R567" s="64"/>
      <c r="S567" s="64"/>
      <c r="T567" s="64"/>
      <c r="U567" s="64"/>
      <c r="V567" s="64"/>
      <c r="W567" s="64"/>
      <c r="X567" s="64"/>
      <c r="Y567" s="64"/>
      <c r="Z567" s="64"/>
      <c r="AA567" s="64"/>
      <c r="BS567" s="74"/>
      <c r="CQ567" s="37"/>
      <c r="CR567" s="37"/>
    </row>
    <row r="568" ht="18.75" customHeight="1">
      <c r="B568" s="71"/>
      <c r="D568" s="72"/>
      <c r="K568" s="73"/>
      <c r="P568" s="37" t="s">
        <v>29</v>
      </c>
      <c r="Q568" s="64"/>
      <c r="R568" s="64"/>
      <c r="S568" s="64"/>
      <c r="T568" s="64"/>
      <c r="U568" s="64"/>
      <c r="V568" s="64"/>
      <c r="W568" s="64"/>
      <c r="X568" s="64"/>
      <c r="Y568" s="64"/>
      <c r="Z568" s="64"/>
      <c r="AA568" s="64"/>
      <c r="BS568" s="74"/>
      <c r="CQ568" s="37"/>
      <c r="CR568" s="37"/>
    </row>
    <row r="569" ht="18.75" customHeight="1">
      <c r="B569" s="71"/>
      <c r="D569" s="72"/>
      <c r="K569" s="73"/>
      <c r="P569" s="37" t="s">
        <v>29</v>
      </c>
      <c r="Q569" s="64"/>
      <c r="R569" s="64"/>
      <c r="S569" s="64"/>
      <c r="T569" s="64"/>
      <c r="U569" s="64"/>
      <c r="V569" s="64"/>
      <c r="W569" s="64"/>
      <c r="X569" s="64"/>
      <c r="Y569" s="64"/>
      <c r="Z569" s="64"/>
      <c r="AA569" s="64"/>
      <c r="BS569" s="74"/>
      <c r="CQ569" s="37"/>
      <c r="CR569" s="37"/>
    </row>
    <row r="570" ht="18.75" customHeight="1">
      <c r="B570" s="71"/>
      <c r="D570" s="72"/>
      <c r="K570" s="73"/>
      <c r="P570" s="37" t="s">
        <v>29</v>
      </c>
      <c r="Q570" s="64"/>
      <c r="R570" s="64"/>
      <c r="S570" s="64"/>
      <c r="T570" s="64"/>
      <c r="U570" s="64"/>
      <c r="V570" s="64"/>
      <c r="W570" s="64"/>
      <c r="X570" s="64"/>
      <c r="Y570" s="64"/>
      <c r="Z570" s="64"/>
      <c r="AA570" s="64"/>
      <c r="BS570" s="74"/>
      <c r="CQ570" s="37"/>
      <c r="CR570" s="37"/>
    </row>
    <row r="571" ht="18.75" customHeight="1">
      <c r="B571" s="71"/>
      <c r="D571" s="72"/>
      <c r="K571" s="73"/>
      <c r="P571" s="37" t="s">
        <v>29</v>
      </c>
      <c r="Q571" s="64"/>
      <c r="R571" s="64"/>
      <c r="S571" s="64"/>
      <c r="T571" s="64"/>
      <c r="U571" s="64"/>
      <c r="V571" s="64"/>
      <c r="W571" s="64"/>
      <c r="X571" s="64"/>
      <c r="Y571" s="64"/>
      <c r="Z571" s="64"/>
      <c r="AA571" s="64"/>
      <c r="BS571" s="74"/>
      <c r="CQ571" s="37"/>
      <c r="CR571" s="37"/>
    </row>
    <row r="572" ht="18.75" customHeight="1">
      <c r="B572" s="71"/>
      <c r="D572" s="72"/>
      <c r="K572" s="73"/>
      <c r="P572" s="37" t="s">
        <v>29</v>
      </c>
      <c r="Q572" s="64"/>
      <c r="R572" s="64"/>
      <c r="S572" s="64"/>
      <c r="T572" s="64"/>
      <c r="U572" s="64"/>
      <c r="V572" s="64"/>
      <c r="W572" s="64"/>
      <c r="X572" s="64"/>
      <c r="Y572" s="64"/>
      <c r="Z572" s="64"/>
      <c r="AA572" s="64"/>
      <c r="BS572" s="74"/>
      <c r="CQ572" s="37"/>
      <c r="CR572" s="37"/>
    </row>
    <row r="573" ht="18.75" customHeight="1">
      <c r="B573" s="71"/>
      <c r="D573" s="72"/>
      <c r="K573" s="73"/>
      <c r="P573" s="37" t="s">
        <v>29</v>
      </c>
      <c r="Q573" s="64"/>
      <c r="R573" s="64"/>
      <c r="S573" s="64"/>
      <c r="T573" s="64"/>
      <c r="U573" s="64"/>
      <c r="V573" s="64"/>
      <c r="W573" s="64"/>
      <c r="X573" s="64"/>
      <c r="Y573" s="64"/>
      <c r="Z573" s="64"/>
      <c r="AA573" s="64"/>
      <c r="BS573" s="74"/>
      <c r="CQ573" s="37"/>
      <c r="CR573" s="37"/>
    </row>
    <row r="574" ht="18.75" customHeight="1">
      <c r="B574" s="71"/>
      <c r="D574" s="72"/>
      <c r="K574" s="73"/>
      <c r="P574" s="37" t="s">
        <v>29</v>
      </c>
      <c r="Q574" s="64"/>
      <c r="R574" s="64"/>
      <c r="S574" s="64"/>
      <c r="T574" s="64"/>
      <c r="U574" s="64"/>
      <c r="V574" s="64"/>
      <c r="W574" s="64"/>
      <c r="X574" s="64"/>
      <c r="Y574" s="64"/>
      <c r="Z574" s="64"/>
      <c r="AA574" s="64"/>
      <c r="BS574" s="74"/>
      <c r="CQ574" s="37"/>
      <c r="CR574" s="37"/>
    </row>
    <row r="575" ht="18.75" customHeight="1">
      <c r="B575" s="71"/>
      <c r="D575" s="72"/>
      <c r="K575" s="73"/>
      <c r="P575" s="37" t="s">
        <v>29</v>
      </c>
      <c r="Q575" s="64"/>
      <c r="R575" s="64"/>
      <c r="S575" s="64"/>
      <c r="T575" s="64"/>
      <c r="U575" s="64"/>
      <c r="V575" s="64"/>
      <c r="W575" s="64"/>
      <c r="X575" s="64"/>
      <c r="Y575" s="64"/>
      <c r="Z575" s="64"/>
      <c r="AA575" s="64"/>
      <c r="BS575" s="74"/>
      <c r="CQ575" s="37"/>
      <c r="CR575" s="37"/>
    </row>
    <row r="576" ht="18.75" customHeight="1">
      <c r="B576" s="71"/>
      <c r="D576" s="72"/>
      <c r="K576" s="73"/>
      <c r="P576" s="37" t="s">
        <v>29</v>
      </c>
      <c r="Q576" s="64"/>
      <c r="R576" s="64"/>
      <c r="S576" s="64"/>
      <c r="T576" s="64"/>
      <c r="U576" s="64"/>
      <c r="V576" s="64"/>
      <c r="W576" s="64"/>
      <c r="X576" s="64"/>
      <c r="Y576" s="64"/>
      <c r="Z576" s="64"/>
      <c r="AA576" s="64"/>
      <c r="BS576" s="74"/>
      <c r="CQ576" s="37"/>
      <c r="CR576" s="37"/>
    </row>
    <row r="577" ht="18.75" customHeight="1">
      <c r="B577" s="71"/>
      <c r="D577" s="72"/>
      <c r="K577" s="73"/>
      <c r="P577" s="37" t="s">
        <v>29</v>
      </c>
      <c r="Q577" s="64"/>
      <c r="R577" s="64"/>
      <c r="S577" s="64"/>
      <c r="T577" s="64"/>
      <c r="U577" s="64"/>
      <c r="V577" s="64"/>
      <c r="W577" s="64"/>
      <c r="X577" s="64"/>
      <c r="Y577" s="64"/>
      <c r="Z577" s="64"/>
      <c r="AA577" s="64"/>
      <c r="BS577" s="74"/>
      <c r="CQ577" s="37"/>
      <c r="CR577" s="37"/>
    </row>
    <row r="578" ht="18.75" customHeight="1">
      <c r="B578" s="71"/>
      <c r="D578" s="72"/>
      <c r="K578" s="73"/>
      <c r="P578" s="37" t="s">
        <v>29</v>
      </c>
      <c r="Q578" s="64"/>
      <c r="R578" s="64"/>
      <c r="S578" s="64"/>
      <c r="T578" s="64"/>
      <c r="U578" s="64"/>
      <c r="V578" s="64"/>
      <c r="W578" s="64"/>
      <c r="X578" s="64"/>
      <c r="Y578" s="64"/>
      <c r="Z578" s="64"/>
      <c r="AA578" s="64"/>
      <c r="BS578" s="74"/>
      <c r="CQ578" s="37"/>
      <c r="CR578" s="37"/>
    </row>
    <row r="579" ht="18.75" customHeight="1">
      <c r="B579" s="71"/>
      <c r="D579" s="72"/>
      <c r="K579" s="73"/>
      <c r="P579" s="37" t="s">
        <v>29</v>
      </c>
      <c r="Q579" s="64"/>
      <c r="R579" s="64"/>
      <c r="S579" s="64"/>
      <c r="T579" s="64"/>
      <c r="U579" s="64"/>
      <c r="V579" s="64"/>
      <c r="W579" s="64"/>
      <c r="X579" s="64"/>
      <c r="Y579" s="64"/>
      <c r="Z579" s="64"/>
      <c r="AA579" s="64"/>
      <c r="BS579" s="74"/>
      <c r="CQ579" s="37"/>
      <c r="CR579" s="37"/>
    </row>
    <row r="580" ht="18.75" customHeight="1">
      <c r="B580" s="71"/>
      <c r="D580" s="72"/>
      <c r="K580" s="73"/>
      <c r="P580" s="37" t="s">
        <v>29</v>
      </c>
      <c r="Q580" s="64"/>
      <c r="R580" s="64"/>
      <c r="S580" s="64"/>
      <c r="T580" s="64"/>
      <c r="U580" s="64"/>
      <c r="V580" s="64"/>
      <c r="W580" s="64"/>
      <c r="X580" s="64"/>
      <c r="Y580" s="64"/>
      <c r="Z580" s="64"/>
      <c r="AA580" s="64"/>
      <c r="BS580" s="74"/>
      <c r="CQ580" s="37"/>
      <c r="CR580" s="37"/>
    </row>
    <row r="581" ht="18.75" customHeight="1">
      <c r="B581" s="71"/>
      <c r="D581" s="72"/>
      <c r="K581" s="73"/>
      <c r="P581" s="37" t="s">
        <v>29</v>
      </c>
      <c r="Q581" s="64"/>
      <c r="R581" s="64"/>
      <c r="S581" s="64"/>
      <c r="T581" s="64"/>
      <c r="U581" s="64"/>
      <c r="V581" s="64"/>
      <c r="W581" s="64"/>
      <c r="X581" s="64"/>
      <c r="Y581" s="64"/>
      <c r="Z581" s="64"/>
      <c r="AA581" s="64"/>
      <c r="BS581" s="74"/>
      <c r="CQ581" s="37"/>
      <c r="CR581" s="37"/>
    </row>
    <row r="582" ht="18.75" customHeight="1">
      <c r="B582" s="71"/>
      <c r="D582" s="72"/>
      <c r="K582" s="73"/>
      <c r="P582" s="37" t="s">
        <v>29</v>
      </c>
      <c r="Q582" s="64"/>
      <c r="R582" s="64"/>
      <c r="S582" s="64"/>
      <c r="T582" s="64"/>
      <c r="U582" s="64"/>
      <c r="V582" s="64"/>
      <c r="W582" s="64"/>
      <c r="X582" s="64"/>
      <c r="Y582" s="64"/>
      <c r="Z582" s="64"/>
      <c r="AA582" s="64"/>
      <c r="BS582" s="74"/>
      <c r="CQ582" s="37"/>
      <c r="CR582" s="37"/>
    </row>
    <row r="583" ht="18.75" customHeight="1">
      <c r="B583" s="71"/>
      <c r="D583" s="72"/>
      <c r="K583" s="73"/>
      <c r="P583" s="37" t="s">
        <v>29</v>
      </c>
      <c r="Q583" s="64"/>
      <c r="R583" s="64"/>
      <c r="S583" s="64"/>
      <c r="T583" s="64"/>
      <c r="U583" s="64"/>
      <c r="V583" s="64"/>
      <c r="W583" s="64"/>
      <c r="X583" s="64"/>
      <c r="Y583" s="64"/>
      <c r="Z583" s="64"/>
      <c r="AA583" s="64"/>
      <c r="BS583" s="74"/>
      <c r="CQ583" s="37"/>
      <c r="CR583" s="37"/>
    </row>
    <row r="584" ht="18.75" customHeight="1">
      <c r="B584" s="71"/>
      <c r="D584" s="72"/>
      <c r="K584" s="73"/>
      <c r="P584" s="37" t="s">
        <v>29</v>
      </c>
      <c r="Q584" s="64"/>
      <c r="R584" s="64"/>
      <c r="S584" s="64"/>
      <c r="T584" s="64"/>
      <c r="U584" s="64"/>
      <c r="V584" s="64"/>
      <c r="W584" s="64"/>
      <c r="X584" s="64"/>
      <c r="Y584" s="64"/>
      <c r="Z584" s="64"/>
      <c r="AA584" s="64"/>
      <c r="BS584" s="74"/>
      <c r="CQ584" s="37"/>
      <c r="CR584" s="37"/>
    </row>
    <row r="585" ht="18.75" customHeight="1">
      <c r="B585" s="71"/>
      <c r="D585" s="72"/>
      <c r="K585" s="73"/>
      <c r="P585" s="37" t="s">
        <v>29</v>
      </c>
      <c r="Q585" s="64"/>
      <c r="R585" s="64"/>
      <c r="S585" s="64"/>
      <c r="T585" s="64"/>
      <c r="U585" s="64"/>
      <c r="V585" s="64"/>
      <c r="W585" s="64"/>
      <c r="X585" s="64"/>
      <c r="Y585" s="64"/>
      <c r="Z585" s="64"/>
      <c r="AA585" s="64"/>
      <c r="BS585" s="74"/>
      <c r="CQ585" s="37"/>
      <c r="CR585" s="37"/>
    </row>
    <row r="586" ht="18.75" customHeight="1">
      <c r="B586" s="71"/>
      <c r="D586" s="72"/>
      <c r="K586" s="73"/>
      <c r="P586" s="37" t="s">
        <v>29</v>
      </c>
      <c r="Q586" s="64"/>
      <c r="R586" s="64"/>
      <c r="S586" s="64"/>
      <c r="T586" s="64"/>
      <c r="U586" s="64"/>
      <c r="V586" s="64"/>
      <c r="W586" s="64"/>
      <c r="X586" s="64"/>
      <c r="Y586" s="64"/>
      <c r="Z586" s="64"/>
      <c r="AA586" s="64"/>
      <c r="BS586" s="74"/>
      <c r="CQ586" s="37"/>
      <c r="CR586" s="37"/>
    </row>
    <row r="587" ht="18.75" customHeight="1">
      <c r="B587" s="71"/>
      <c r="D587" s="72"/>
      <c r="K587" s="73"/>
      <c r="P587" s="37" t="s">
        <v>29</v>
      </c>
      <c r="Q587" s="64"/>
      <c r="R587" s="64"/>
      <c r="S587" s="64"/>
      <c r="T587" s="64"/>
      <c r="U587" s="64"/>
      <c r="V587" s="64"/>
      <c r="W587" s="64"/>
      <c r="X587" s="64"/>
      <c r="Y587" s="64"/>
      <c r="Z587" s="64"/>
      <c r="AA587" s="64"/>
      <c r="BS587" s="74"/>
      <c r="CQ587" s="37"/>
      <c r="CR587" s="37"/>
    </row>
    <row r="588" ht="18.75" customHeight="1">
      <c r="B588" s="71"/>
      <c r="D588" s="72"/>
      <c r="K588" s="73"/>
      <c r="P588" s="37" t="s">
        <v>29</v>
      </c>
      <c r="Q588" s="64"/>
      <c r="R588" s="64"/>
      <c r="S588" s="64"/>
      <c r="T588" s="64"/>
      <c r="U588" s="64"/>
      <c r="V588" s="64"/>
      <c r="W588" s="64"/>
      <c r="X588" s="64"/>
      <c r="Y588" s="64"/>
      <c r="Z588" s="64"/>
      <c r="AA588" s="64"/>
      <c r="BS588" s="74"/>
      <c r="CQ588" s="37"/>
      <c r="CR588" s="37"/>
    </row>
    <row r="589" ht="18.75" customHeight="1">
      <c r="B589" s="71"/>
      <c r="D589" s="72"/>
      <c r="K589" s="73"/>
      <c r="P589" s="37" t="s">
        <v>29</v>
      </c>
      <c r="Q589" s="64"/>
      <c r="R589" s="64"/>
      <c r="S589" s="64"/>
      <c r="T589" s="64"/>
      <c r="U589" s="64"/>
      <c r="V589" s="64"/>
      <c r="W589" s="64"/>
      <c r="X589" s="64"/>
      <c r="Y589" s="64"/>
      <c r="Z589" s="64"/>
      <c r="AA589" s="64"/>
      <c r="BS589" s="74"/>
      <c r="CQ589" s="37"/>
      <c r="CR589" s="37"/>
    </row>
    <row r="590" ht="18.75" customHeight="1">
      <c r="B590" s="71"/>
      <c r="D590" s="72"/>
      <c r="K590" s="73"/>
      <c r="P590" s="37" t="s">
        <v>29</v>
      </c>
      <c r="Q590" s="64"/>
      <c r="R590" s="64"/>
      <c r="S590" s="64"/>
      <c r="T590" s="64"/>
      <c r="U590" s="64"/>
      <c r="V590" s="64"/>
      <c r="W590" s="64"/>
      <c r="X590" s="64"/>
      <c r="Y590" s="64"/>
      <c r="Z590" s="64"/>
      <c r="AA590" s="64"/>
      <c r="BS590" s="74"/>
      <c r="CQ590" s="37"/>
      <c r="CR590" s="37"/>
    </row>
    <row r="591" ht="18.75" customHeight="1">
      <c r="B591" s="71"/>
      <c r="D591" s="72"/>
      <c r="K591" s="73"/>
      <c r="P591" s="37" t="s">
        <v>29</v>
      </c>
      <c r="Q591" s="64"/>
      <c r="R591" s="64"/>
      <c r="S591" s="64"/>
      <c r="T591" s="64"/>
      <c r="U591" s="64"/>
      <c r="V591" s="64"/>
      <c r="W591" s="64"/>
      <c r="X591" s="64"/>
      <c r="Y591" s="64"/>
      <c r="Z591" s="64"/>
      <c r="AA591" s="64"/>
      <c r="BS591" s="74"/>
      <c r="CQ591" s="37"/>
      <c r="CR591" s="37"/>
    </row>
    <row r="592" ht="18.75" customHeight="1">
      <c r="B592" s="71"/>
      <c r="D592" s="72"/>
      <c r="K592" s="73"/>
      <c r="P592" s="37" t="s">
        <v>29</v>
      </c>
      <c r="Q592" s="64"/>
      <c r="R592" s="64"/>
      <c r="S592" s="64"/>
      <c r="T592" s="64"/>
      <c r="U592" s="64"/>
      <c r="V592" s="64"/>
      <c r="W592" s="64"/>
      <c r="X592" s="64"/>
      <c r="Y592" s="64"/>
      <c r="Z592" s="64"/>
      <c r="AA592" s="64"/>
      <c r="BS592" s="74"/>
      <c r="CQ592" s="37"/>
      <c r="CR592" s="37"/>
    </row>
    <row r="593" ht="18.75" customHeight="1">
      <c r="B593" s="71"/>
      <c r="D593" s="72"/>
      <c r="K593" s="73"/>
      <c r="P593" s="37" t="s">
        <v>29</v>
      </c>
      <c r="Q593" s="64"/>
      <c r="R593" s="64"/>
      <c r="S593" s="64"/>
      <c r="T593" s="64"/>
      <c r="U593" s="64"/>
      <c r="V593" s="64"/>
      <c r="W593" s="64"/>
      <c r="X593" s="64"/>
      <c r="Y593" s="64"/>
      <c r="Z593" s="64"/>
      <c r="AA593" s="64"/>
      <c r="BS593" s="74"/>
      <c r="CQ593" s="37"/>
      <c r="CR593" s="37"/>
    </row>
    <row r="594" ht="18.75" customHeight="1">
      <c r="B594" s="71"/>
      <c r="D594" s="72"/>
      <c r="K594" s="73"/>
      <c r="P594" s="37" t="s">
        <v>29</v>
      </c>
      <c r="Q594" s="64"/>
      <c r="R594" s="64"/>
      <c r="S594" s="64"/>
      <c r="T594" s="64"/>
      <c r="U594" s="64"/>
      <c r="V594" s="64"/>
      <c r="W594" s="64"/>
      <c r="X594" s="64"/>
      <c r="Y594" s="64"/>
      <c r="Z594" s="64"/>
      <c r="AA594" s="64"/>
      <c r="BS594" s="74"/>
      <c r="CQ594" s="37"/>
      <c r="CR594" s="37"/>
    </row>
    <row r="595" ht="18.75" customHeight="1">
      <c r="B595" s="71"/>
      <c r="D595" s="72"/>
      <c r="K595" s="73"/>
      <c r="P595" s="37" t="s">
        <v>29</v>
      </c>
      <c r="Q595" s="64"/>
      <c r="R595" s="64"/>
      <c r="S595" s="64"/>
      <c r="T595" s="64"/>
      <c r="U595" s="64"/>
      <c r="V595" s="64"/>
      <c r="W595" s="64"/>
      <c r="X595" s="64"/>
      <c r="Y595" s="64"/>
      <c r="Z595" s="64"/>
      <c r="AA595" s="64"/>
      <c r="BS595" s="74"/>
      <c r="CQ595" s="37"/>
      <c r="CR595" s="37"/>
    </row>
    <row r="596" ht="18.75" customHeight="1">
      <c r="B596" s="71"/>
      <c r="D596" s="72"/>
      <c r="K596" s="73"/>
      <c r="P596" s="37" t="s">
        <v>29</v>
      </c>
      <c r="Q596" s="64"/>
      <c r="R596" s="64"/>
      <c r="S596" s="64"/>
      <c r="T596" s="64"/>
      <c r="U596" s="64"/>
      <c r="V596" s="64"/>
      <c r="W596" s="64"/>
      <c r="X596" s="64"/>
      <c r="Y596" s="64"/>
      <c r="Z596" s="64"/>
      <c r="AA596" s="64"/>
      <c r="BS596" s="74"/>
      <c r="CQ596" s="37"/>
      <c r="CR596" s="37"/>
    </row>
    <row r="597" ht="18.75" customHeight="1">
      <c r="B597" s="71"/>
      <c r="D597" s="72"/>
      <c r="K597" s="73"/>
      <c r="P597" s="37" t="s">
        <v>29</v>
      </c>
      <c r="Q597" s="64"/>
      <c r="R597" s="64"/>
      <c r="S597" s="64"/>
      <c r="T597" s="64"/>
      <c r="U597" s="64"/>
      <c r="V597" s="64"/>
      <c r="W597" s="64"/>
      <c r="X597" s="64"/>
      <c r="Y597" s="64"/>
      <c r="Z597" s="64"/>
      <c r="AA597" s="64"/>
      <c r="BS597" s="74"/>
      <c r="CQ597" s="37"/>
      <c r="CR597" s="37"/>
    </row>
    <row r="598" ht="18.75" customHeight="1">
      <c r="B598" s="71"/>
      <c r="D598" s="72"/>
      <c r="K598" s="73"/>
      <c r="P598" s="37" t="s">
        <v>29</v>
      </c>
      <c r="Q598" s="64"/>
      <c r="R598" s="64"/>
      <c r="S598" s="64"/>
      <c r="T598" s="64"/>
      <c r="U598" s="64"/>
      <c r="V598" s="64"/>
      <c r="W598" s="64"/>
      <c r="X598" s="64"/>
      <c r="Y598" s="64"/>
      <c r="Z598" s="64"/>
      <c r="AA598" s="64"/>
      <c r="BS598" s="74"/>
      <c r="CQ598" s="37"/>
      <c r="CR598" s="37"/>
    </row>
    <row r="599" ht="18.75" customHeight="1">
      <c r="B599" s="71"/>
      <c r="D599" s="72"/>
      <c r="K599" s="73"/>
      <c r="P599" s="37" t="s">
        <v>29</v>
      </c>
      <c r="Q599" s="64"/>
      <c r="R599" s="64"/>
      <c r="S599" s="64"/>
      <c r="T599" s="64"/>
      <c r="U599" s="64"/>
      <c r="V599" s="64"/>
      <c r="W599" s="64"/>
      <c r="X599" s="64"/>
      <c r="Y599" s="64"/>
      <c r="Z599" s="64"/>
      <c r="AA599" s="64"/>
      <c r="BS599" s="74"/>
      <c r="CQ599" s="37"/>
      <c r="CR599" s="37"/>
    </row>
    <row r="600" ht="18.75" customHeight="1">
      <c r="B600" s="71"/>
      <c r="D600" s="72"/>
      <c r="K600" s="73"/>
      <c r="P600" s="37" t="s">
        <v>29</v>
      </c>
      <c r="Q600" s="64"/>
      <c r="R600" s="64"/>
      <c r="S600" s="64"/>
      <c r="T600" s="64"/>
      <c r="U600" s="64"/>
      <c r="V600" s="64"/>
      <c r="W600" s="64"/>
      <c r="X600" s="64"/>
      <c r="Y600" s="64"/>
      <c r="Z600" s="64"/>
      <c r="AA600" s="64"/>
      <c r="BS600" s="74"/>
      <c r="CQ600" s="37"/>
      <c r="CR600" s="37"/>
    </row>
    <row r="601" ht="18.75" customHeight="1">
      <c r="B601" s="71"/>
      <c r="D601" s="72"/>
      <c r="K601" s="73"/>
      <c r="P601" s="37" t="s">
        <v>29</v>
      </c>
      <c r="Q601" s="64"/>
      <c r="R601" s="64"/>
      <c r="S601" s="64"/>
      <c r="T601" s="64"/>
      <c r="U601" s="64"/>
      <c r="V601" s="64"/>
      <c r="W601" s="64"/>
      <c r="X601" s="64"/>
      <c r="Y601" s="64"/>
      <c r="Z601" s="64"/>
      <c r="AA601" s="64"/>
      <c r="BS601" s="74"/>
      <c r="CQ601" s="37"/>
      <c r="CR601" s="37"/>
    </row>
    <row r="602" ht="18.75" customHeight="1">
      <c r="B602" s="71"/>
      <c r="D602" s="72"/>
      <c r="K602" s="73"/>
      <c r="P602" s="37" t="s">
        <v>29</v>
      </c>
      <c r="Q602" s="64"/>
      <c r="R602" s="64"/>
      <c r="S602" s="64"/>
      <c r="T602" s="64"/>
      <c r="U602" s="64"/>
      <c r="V602" s="64"/>
      <c r="W602" s="64"/>
      <c r="X602" s="64"/>
      <c r="Y602" s="64"/>
      <c r="Z602" s="64"/>
      <c r="AA602" s="64"/>
      <c r="BS602" s="74"/>
      <c r="CQ602" s="37"/>
      <c r="CR602" s="37"/>
    </row>
    <row r="603" ht="18.75" customHeight="1">
      <c r="B603" s="71"/>
      <c r="D603" s="72"/>
      <c r="K603" s="73"/>
      <c r="P603" s="37" t="s">
        <v>29</v>
      </c>
      <c r="Q603" s="64"/>
      <c r="R603" s="64"/>
      <c r="S603" s="64"/>
      <c r="T603" s="64"/>
      <c r="U603" s="64"/>
      <c r="V603" s="64"/>
      <c r="W603" s="64"/>
      <c r="X603" s="64"/>
      <c r="Y603" s="64"/>
      <c r="Z603" s="64"/>
      <c r="AA603" s="64"/>
      <c r="BS603" s="74"/>
      <c r="CQ603" s="37"/>
      <c r="CR603" s="37"/>
    </row>
    <row r="604" ht="18.75" customHeight="1">
      <c r="B604" s="71"/>
      <c r="D604" s="72"/>
      <c r="K604" s="73"/>
      <c r="P604" s="37" t="s">
        <v>29</v>
      </c>
      <c r="Q604" s="64"/>
      <c r="R604" s="64"/>
      <c r="S604" s="64"/>
      <c r="T604" s="64"/>
      <c r="U604" s="64"/>
      <c r="V604" s="64"/>
      <c r="W604" s="64"/>
      <c r="X604" s="64"/>
      <c r="Y604" s="64"/>
      <c r="Z604" s="64"/>
      <c r="AA604" s="64"/>
      <c r="BS604" s="74"/>
      <c r="CQ604" s="37"/>
      <c r="CR604" s="37"/>
    </row>
    <row r="605" ht="18.75" customHeight="1">
      <c r="B605" s="71"/>
      <c r="D605" s="72"/>
      <c r="K605" s="73"/>
      <c r="P605" s="37" t="s">
        <v>29</v>
      </c>
      <c r="Q605" s="64"/>
      <c r="R605" s="64"/>
      <c r="S605" s="64"/>
      <c r="T605" s="64"/>
      <c r="U605" s="64"/>
      <c r="V605" s="64"/>
      <c r="W605" s="64"/>
      <c r="X605" s="64"/>
      <c r="Y605" s="64"/>
      <c r="Z605" s="64"/>
      <c r="AA605" s="64"/>
      <c r="BS605" s="74"/>
      <c r="CQ605" s="37"/>
      <c r="CR605" s="37"/>
    </row>
    <row r="606" ht="18.75" customHeight="1">
      <c r="B606" s="71"/>
      <c r="D606" s="72"/>
      <c r="K606" s="73"/>
      <c r="P606" s="37" t="s">
        <v>29</v>
      </c>
      <c r="Q606" s="64"/>
      <c r="R606" s="64"/>
      <c r="S606" s="64"/>
      <c r="T606" s="64"/>
      <c r="U606" s="64"/>
      <c r="V606" s="64"/>
      <c r="W606" s="64"/>
      <c r="X606" s="64"/>
      <c r="Y606" s="64"/>
      <c r="Z606" s="64"/>
      <c r="AA606" s="64"/>
      <c r="BS606" s="74"/>
      <c r="CQ606" s="37"/>
      <c r="CR606" s="37"/>
    </row>
    <row r="607" ht="18.75" customHeight="1">
      <c r="B607" s="71"/>
      <c r="D607" s="72"/>
      <c r="K607" s="73"/>
      <c r="P607" s="37" t="s">
        <v>29</v>
      </c>
      <c r="Q607" s="64"/>
      <c r="R607" s="64"/>
      <c r="S607" s="64"/>
      <c r="T607" s="64"/>
      <c r="U607" s="64"/>
      <c r="V607" s="64"/>
      <c r="W607" s="64"/>
      <c r="X607" s="64"/>
      <c r="Y607" s="64"/>
      <c r="Z607" s="64"/>
      <c r="AA607" s="64"/>
      <c r="BS607" s="74"/>
      <c r="CQ607" s="37"/>
      <c r="CR607" s="37"/>
    </row>
    <row r="608" ht="18.75" customHeight="1">
      <c r="B608" s="71"/>
      <c r="D608" s="72"/>
      <c r="K608" s="73"/>
      <c r="P608" s="37" t="s">
        <v>29</v>
      </c>
      <c r="Q608" s="64"/>
      <c r="R608" s="64"/>
      <c r="S608" s="64"/>
      <c r="T608" s="64"/>
      <c r="U608" s="64"/>
      <c r="V608" s="64"/>
      <c r="W608" s="64"/>
      <c r="X608" s="64"/>
      <c r="Y608" s="64"/>
      <c r="Z608" s="64"/>
      <c r="AA608" s="64"/>
      <c r="BS608" s="74"/>
      <c r="CQ608" s="37"/>
      <c r="CR608" s="37"/>
    </row>
    <row r="609" ht="18.75" customHeight="1">
      <c r="B609" s="71"/>
      <c r="D609" s="72"/>
      <c r="K609" s="73"/>
      <c r="P609" s="37" t="s">
        <v>29</v>
      </c>
      <c r="Q609" s="64"/>
      <c r="R609" s="64"/>
      <c r="S609" s="64"/>
      <c r="T609" s="64"/>
      <c r="U609" s="64"/>
      <c r="V609" s="64"/>
      <c r="W609" s="64"/>
      <c r="X609" s="64"/>
      <c r="Y609" s="64"/>
      <c r="Z609" s="64"/>
      <c r="AA609" s="64"/>
      <c r="BS609" s="74"/>
      <c r="CQ609" s="37"/>
      <c r="CR609" s="37"/>
    </row>
    <row r="610" ht="18.75" customHeight="1">
      <c r="B610" s="71"/>
      <c r="D610" s="72"/>
      <c r="K610" s="73"/>
      <c r="P610" s="37" t="s">
        <v>29</v>
      </c>
      <c r="Q610" s="64"/>
      <c r="R610" s="64"/>
      <c r="S610" s="64"/>
      <c r="T610" s="64"/>
      <c r="U610" s="64"/>
      <c r="V610" s="64"/>
      <c r="W610" s="64"/>
      <c r="X610" s="64"/>
      <c r="Y610" s="64"/>
      <c r="Z610" s="64"/>
      <c r="AA610" s="64"/>
      <c r="BS610" s="74"/>
      <c r="CQ610" s="37"/>
      <c r="CR610" s="37"/>
    </row>
    <row r="611" ht="18.75" customHeight="1">
      <c r="B611" s="71"/>
      <c r="D611" s="72"/>
      <c r="K611" s="73"/>
      <c r="P611" s="37" t="s">
        <v>29</v>
      </c>
      <c r="Q611" s="64"/>
      <c r="R611" s="64"/>
      <c r="S611" s="64"/>
      <c r="T611" s="64"/>
      <c r="U611" s="64"/>
      <c r="V611" s="64"/>
      <c r="W611" s="64"/>
      <c r="X611" s="64"/>
      <c r="Y611" s="64"/>
      <c r="Z611" s="64"/>
      <c r="AA611" s="64"/>
      <c r="BS611" s="74"/>
      <c r="CQ611" s="37"/>
      <c r="CR611" s="37"/>
    </row>
    <row r="612" ht="18.75" customHeight="1">
      <c r="B612" s="71"/>
      <c r="D612" s="72"/>
      <c r="K612" s="73"/>
      <c r="P612" s="37" t="s">
        <v>29</v>
      </c>
      <c r="Q612" s="64"/>
      <c r="R612" s="64"/>
      <c r="S612" s="64"/>
      <c r="T612" s="64"/>
      <c r="U612" s="64"/>
      <c r="V612" s="64"/>
      <c r="W612" s="64"/>
      <c r="X612" s="64"/>
      <c r="Y612" s="64"/>
      <c r="Z612" s="64"/>
      <c r="AA612" s="64"/>
      <c r="BS612" s="74"/>
      <c r="CQ612" s="37"/>
      <c r="CR612" s="37"/>
    </row>
    <row r="613" ht="18.75" customHeight="1">
      <c r="B613" s="71"/>
      <c r="D613" s="72"/>
      <c r="K613" s="73"/>
      <c r="P613" s="37" t="s">
        <v>29</v>
      </c>
      <c r="Q613" s="64"/>
      <c r="R613" s="64"/>
      <c r="S613" s="64"/>
      <c r="T613" s="64"/>
      <c r="U613" s="64"/>
      <c r="V613" s="64"/>
      <c r="W613" s="64"/>
      <c r="X613" s="64"/>
      <c r="Y613" s="64"/>
      <c r="Z613" s="64"/>
      <c r="AA613" s="64"/>
      <c r="BS613" s="74"/>
      <c r="CQ613" s="37"/>
      <c r="CR613" s="37"/>
    </row>
    <row r="614" ht="18.75" customHeight="1">
      <c r="B614" s="71"/>
      <c r="D614" s="72"/>
      <c r="K614" s="73"/>
      <c r="P614" s="37" t="s">
        <v>29</v>
      </c>
      <c r="Q614" s="64"/>
      <c r="R614" s="64"/>
      <c r="S614" s="64"/>
      <c r="T614" s="64"/>
      <c r="U614" s="64"/>
      <c r="V614" s="64"/>
      <c r="W614" s="64"/>
      <c r="X614" s="64"/>
      <c r="Y614" s="64"/>
      <c r="Z614" s="64"/>
      <c r="AA614" s="64"/>
      <c r="BS614" s="74"/>
      <c r="CQ614" s="37"/>
      <c r="CR614" s="37"/>
    </row>
    <row r="615" ht="18.75" customHeight="1">
      <c r="B615" s="71"/>
      <c r="D615" s="72"/>
      <c r="K615" s="73"/>
      <c r="P615" s="37" t="s">
        <v>29</v>
      </c>
      <c r="Q615" s="64"/>
      <c r="R615" s="64"/>
      <c r="S615" s="64"/>
      <c r="T615" s="64"/>
      <c r="U615" s="64"/>
      <c r="V615" s="64"/>
      <c r="W615" s="64"/>
      <c r="X615" s="64"/>
      <c r="Y615" s="64"/>
      <c r="Z615" s="64"/>
      <c r="AA615" s="64"/>
      <c r="BS615" s="74"/>
      <c r="CQ615" s="37"/>
      <c r="CR615" s="37"/>
    </row>
    <row r="616" ht="18.75" customHeight="1">
      <c r="B616" s="71"/>
      <c r="D616" s="72"/>
      <c r="K616" s="73"/>
      <c r="P616" s="37" t="s">
        <v>29</v>
      </c>
      <c r="Q616" s="64"/>
      <c r="R616" s="64"/>
      <c r="S616" s="64"/>
      <c r="T616" s="64"/>
      <c r="U616" s="64"/>
      <c r="V616" s="64"/>
      <c r="W616" s="64"/>
      <c r="X616" s="64"/>
      <c r="Y616" s="64"/>
      <c r="Z616" s="64"/>
      <c r="AA616" s="64"/>
      <c r="BS616" s="74"/>
      <c r="CQ616" s="37"/>
      <c r="CR616" s="37"/>
    </row>
    <row r="617" ht="18.75" customHeight="1">
      <c r="B617" s="71"/>
      <c r="D617" s="72"/>
      <c r="K617" s="73"/>
      <c r="P617" s="37" t="s">
        <v>29</v>
      </c>
      <c r="Q617" s="64"/>
      <c r="R617" s="64"/>
      <c r="S617" s="64"/>
      <c r="T617" s="64"/>
      <c r="U617" s="64"/>
      <c r="V617" s="64"/>
      <c r="W617" s="64"/>
      <c r="X617" s="64"/>
      <c r="Y617" s="64"/>
      <c r="Z617" s="64"/>
      <c r="AA617" s="64"/>
      <c r="BS617" s="74"/>
      <c r="CQ617" s="37"/>
      <c r="CR617" s="37"/>
    </row>
    <row r="618" ht="18.75" customHeight="1">
      <c r="B618" s="71"/>
      <c r="D618" s="72"/>
      <c r="K618" s="73"/>
      <c r="P618" s="37" t="s">
        <v>29</v>
      </c>
      <c r="Q618" s="64"/>
      <c r="R618" s="64"/>
      <c r="S618" s="64"/>
      <c r="T618" s="64"/>
      <c r="U618" s="64"/>
      <c r="V618" s="64"/>
      <c r="W618" s="64"/>
      <c r="X618" s="64"/>
      <c r="Y618" s="64"/>
      <c r="Z618" s="64"/>
      <c r="AA618" s="64"/>
      <c r="BS618" s="74"/>
      <c r="CQ618" s="37"/>
      <c r="CR618" s="37"/>
    </row>
    <row r="619" ht="18.75" customHeight="1">
      <c r="B619" s="71"/>
      <c r="D619" s="72"/>
      <c r="K619" s="73"/>
      <c r="P619" s="37" t="s">
        <v>29</v>
      </c>
      <c r="Q619" s="64"/>
      <c r="R619" s="64"/>
      <c r="S619" s="64"/>
      <c r="T619" s="64"/>
      <c r="U619" s="64"/>
      <c r="V619" s="64"/>
      <c r="W619" s="64"/>
      <c r="X619" s="64"/>
      <c r="Y619" s="64"/>
      <c r="Z619" s="64"/>
      <c r="AA619" s="64"/>
      <c r="BS619" s="74"/>
      <c r="CQ619" s="37"/>
      <c r="CR619" s="37"/>
    </row>
    <row r="620" ht="18.75" customHeight="1">
      <c r="B620" s="71"/>
      <c r="D620" s="72"/>
      <c r="K620" s="73"/>
      <c r="P620" s="37" t="s">
        <v>29</v>
      </c>
      <c r="Q620" s="64"/>
      <c r="R620" s="64"/>
      <c r="S620" s="64"/>
      <c r="T620" s="64"/>
      <c r="U620" s="64"/>
      <c r="V620" s="64"/>
      <c r="W620" s="64"/>
      <c r="X620" s="64"/>
      <c r="Y620" s="64"/>
      <c r="Z620" s="64"/>
      <c r="AA620" s="64"/>
      <c r="BS620" s="74"/>
      <c r="CQ620" s="37"/>
      <c r="CR620" s="37"/>
    </row>
    <row r="621" ht="18.75" customHeight="1">
      <c r="B621" s="71"/>
      <c r="D621" s="72"/>
      <c r="K621" s="73"/>
      <c r="P621" s="37" t="s">
        <v>29</v>
      </c>
      <c r="Q621" s="64"/>
      <c r="R621" s="64"/>
      <c r="S621" s="64"/>
      <c r="T621" s="64"/>
      <c r="U621" s="64"/>
      <c r="V621" s="64"/>
      <c r="W621" s="64"/>
      <c r="X621" s="64"/>
      <c r="Y621" s="64"/>
      <c r="Z621" s="64"/>
      <c r="AA621" s="64"/>
      <c r="BS621" s="74"/>
      <c r="CQ621" s="37"/>
      <c r="CR621" s="37"/>
    </row>
    <row r="622" ht="18.75" customHeight="1">
      <c r="B622" s="71"/>
      <c r="D622" s="72"/>
      <c r="K622" s="73"/>
      <c r="P622" s="37" t="s">
        <v>29</v>
      </c>
      <c r="Q622" s="64"/>
      <c r="R622" s="64"/>
      <c r="S622" s="64"/>
      <c r="T622" s="64"/>
      <c r="U622" s="64"/>
      <c r="V622" s="64"/>
      <c r="W622" s="64"/>
      <c r="X622" s="64"/>
      <c r="Y622" s="64"/>
      <c r="Z622" s="64"/>
      <c r="AA622" s="64"/>
      <c r="BS622" s="74"/>
      <c r="CQ622" s="37"/>
      <c r="CR622" s="37"/>
    </row>
    <row r="623" ht="18.75" customHeight="1">
      <c r="B623" s="71"/>
      <c r="D623" s="72"/>
      <c r="K623" s="73"/>
      <c r="P623" s="37" t="s">
        <v>29</v>
      </c>
      <c r="Q623" s="64"/>
      <c r="R623" s="64"/>
      <c r="S623" s="64"/>
      <c r="T623" s="64"/>
      <c r="U623" s="64"/>
      <c r="V623" s="64"/>
      <c r="W623" s="64"/>
      <c r="X623" s="64"/>
      <c r="Y623" s="64"/>
      <c r="Z623" s="64"/>
      <c r="AA623" s="64"/>
      <c r="BS623" s="74"/>
      <c r="CQ623" s="37"/>
      <c r="CR623" s="37"/>
    </row>
    <row r="624" ht="18.75" customHeight="1">
      <c r="B624" s="71"/>
      <c r="D624" s="72"/>
      <c r="K624" s="73"/>
      <c r="P624" s="37" t="s">
        <v>29</v>
      </c>
      <c r="Q624" s="64"/>
      <c r="R624" s="64"/>
      <c r="S624" s="64"/>
      <c r="T624" s="64"/>
      <c r="U624" s="64"/>
      <c r="V624" s="64"/>
      <c r="W624" s="64"/>
      <c r="X624" s="64"/>
      <c r="Y624" s="64"/>
      <c r="Z624" s="64"/>
      <c r="AA624" s="64"/>
      <c r="BS624" s="74"/>
      <c r="CQ624" s="37"/>
      <c r="CR624" s="37"/>
    </row>
    <row r="625" ht="18.75" customHeight="1">
      <c r="B625" s="71"/>
      <c r="D625" s="72"/>
      <c r="K625" s="73"/>
      <c r="P625" s="37" t="s">
        <v>29</v>
      </c>
      <c r="Q625" s="64"/>
      <c r="R625" s="64"/>
      <c r="S625" s="64"/>
      <c r="T625" s="64"/>
      <c r="U625" s="64"/>
      <c r="V625" s="64"/>
      <c r="W625" s="64"/>
      <c r="X625" s="64"/>
      <c r="Y625" s="64"/>
      <c r="Z625" s="64"/>
      <c r="AA625" s="64"/>
      <c r="BS625" s="74"/>
      <c r="CQ625" s="37"/>
      <c r="CR625" s="37"/>
    </row>
    <row r="626" ht="18.75" customHeight="1">
      <c r="B626" s="71"/>
      <c r="D626" s="72"/>
      <c r="K626" s="73"/>
      <c r="P626" s="37" t="s">
        <v>29</v>
      </c>
      <c r="Q626" s="64"/>
      <c r="R626" s="64"/>
      <c r="S626" s="64"/>
      <c r="T626" s="64"/>
      <c r="U626" s="64"/>
      <c r="V626" s="64"/>
      <c r="W626" s="64"/>
      <c r="X626" s="64"/>
      <c r="Y626" s="64"/>
      <c r="Z626" s="64"/>
      <c r="AA626" s="64"/>
      <c r="BS626" s="74"/>
      <c r="CQ626" s="37"/>
      <c r="CR626" s="37"/>
    </row>
    <row r="627" ht="18.75" customHeight="1">
      <c r="B627" s="71"/>
      <c r="D627" s="72"/>
      <c r="K627" s="73"/>
      <c r="P627" s="37" t="s">
        <v>29</v>
      </c>
      <c r="Q627" s="64"/>
      <c r="R627" s="64"/>
      <c r="S627" s="64"/>
      <c r="T627" s="64"/>
      <c r="U627" s="64"/>
      <c r="V627" s="64"/>
      <c r="W627" s="64"/>
      <c r="X627" s="64"/>
      <c r="Y627" s="64"/>
      <c r="Z627" s="64"/>
      <c r="AA627" s="64"/>
      <c r="BS627" s="74"/>
      <c r="CQ627" s="37"/>
      <c r="CR627" s="37"/>
    </row>
    <row r="628" ht="18.75" customHeight="1">
      <c r="B628" s="71"/>
      <c r="D628" s="72"/>
      <c r="K628" s="73"/>
      <c r="P628" s="37" t="s">
        <v>29</v>
      </c>
      <c r="Q628" s="64"/>
      <c r="R628" s="64"/>
      <c r="S628" s="64"/>
      <c r="T628" s="64"/>
      <c r="U628" s="64"/>
      <c r="V628" s="64"/>
      <c r="W628" s="64"/>
      <c r="X628" s="64"/>
      <c r="Y628" s="64"/>
      <c r="Z628" s="64"/>
      <c r="AA628" s="64"/>
      <c r="BS628" s="74"/>
      <c r="CQ628" s="37"/>
      <c r="CR628" s="37"/>
    </row>
    <row r="629" ht="18.75" customHeight="1">
      <c r="B629" s="71"/>
      <c r="D629" s="72"/>
      <c r="K629" s="73"/>
      <c r="P629" s="37" t="s">
        <v>29</v>
      </c>
      <c r="Q629" s="64"/>
      <c r="R629" s="64"/>
      <c r="S629" s="64"/>
      <c r="T629" s="64"/>
      <c r="U629" s="64"/>
      <c r="V629" s="64"/>
      <c r="W629" s="64"/>
      <c r="X629" s="64"/>
      <c r="Y629" s="64"/>
      <c r="Z629" s="64"/>
      <c r="AA629" s="64"/>
      <c r="BS629" s="74"/>
      <c r="CQ629" s="37"/>
      <c r="CR629" s="37"/>
    </row>
    <row r="630" ht="18.75" customHeight="1">
      <c r="B630" s="71"/>
      <c r="D630" s="72"/>
      <c r="K630" s="73"/>
      <c r="P630" s="37" t="s">
        <v>29</v>
      </c>
      <c r="Q630" s="64"/>
      <c r="R630" s="64"/>
      <c r="S630" s="64"/>
      <c r="T630" s="64"/>
      <c r="U630" s="64"/>
      <c r="V630" s="64"/>
      <c r="W630" s="64"/>
      <c r="X630" s="64"/>
      <c r="Y630" s="64"/>
      <c r="Z630" s="64"/>
      <c r="AA630" s="64"/>
      <c r="BS630" s="74"/>
      <c r="CQ630" s="37"/>
      <c r="CR630" s="37"/>
    </row>
    <row r="631" ht="18.75" customHeight="1">
      <c r="B631" s="71"/>
      <c r="D631" s="72"/>
      <c r="K631" s="73"/>
      <c r="P631" s="37" t="s">
        <v>29</v>
      </c>
      <c r="Q631" s="64"/>
      <c r="R631" s="64"/>
      <c r="S631" s="64"/>
      <c r="T631" s="64"/>
      <c r="U631" s="64"/>
      <c r="V631" s="64"/>
      <c r="W631" s="64"/>
      <c r="X631" s="64"/>
      <c r="Y631" s="64"/>
      <c r="Z631" s="64"/>
      <c r="AA631" s="64"/>
      <c r="BS631" s="74"/>
      <c r="CQ631" s="37"/>
      <c r="CR631" s="37"/>
    </row>
    <row r="632" ht="18.75" customHeight="1">
      <c r="B632" s="71"/>
      <c r="D632" s="72"/>
      <c r="K632" s="73"/>
      <c r="P632" s="37" t="s">
        <v>29</v>
      </c>
      <c r="Q632" s="64"/>
      <c r="R632" s="64"/>
      <c r="S632" s="64"/>
      <c r="T632" s="64"/>
      <c r="U632" s="64"/>
      <c r="V632" s="64"/>
      <c r="W632" s="64"/>
      <c r="X632" s="64"/>
      <c r="Y632" s="64"/>
      <c r="Z632" s="64"/>
      <c r="AA632" s="64"/>
      <c r="BS632" s="74"/>
      <c r="CQ632" s="37"/>
      <c r="CR632" s="37"/>
    </row>
    <row r="633" ht="18.75" customHeight="1">
      <c r="B633" s="71"/>
      <c r="D633" s="72"/>
      <c r="K633" s="73"/>
      <c r="P633" s="37" t="s">
        <v>29</v>
      </c>
      <c r="Q633" s="64"/>
      <c r="R633" s="64"/>
      <c r="S633" s="64"/>
      <c r="T633" s="64"/>
      <c r="U633" s="64"/>
      <c r="V633" s="64"/>
      <c r="W633" s="64"/>
      <c r="X633" s="64"/>
      <c r="Y633" s="64"/>
      <c r="Z633" s="64"/>
      <c r="AA633" s="64"/>
      <c r="BS633" s="74"/>
      <c r="CQ633" s="37"/>
      <c r="CR633" s="37"/>
    </row>
    <row r="634" ht="18.75" customHeight="1">
      <c r="B634" s="71"/>
      <c r="D634" s="72"/>
      <c r="K634" s="73"/>
      <c r="P634" s="37" t="s">
        <v>29</v>
      </c>
      <c r="Q634" s="64"/>
      <c r="R634" s="64"/>
      <c r="S634" s="64"/>
      <c r="T634" s="64"/>
      <c r="U634" s="64"/>
      <c r="V634" s="64"/>
      <c r="W634" s="64"/>
      <c r="X634" s="64"/>
      <c r="Y634" s="64"/>
      <c r="Z634" s="64"/>
      <c r="AA634" s="64"/>
      <c r="BS634" s="74"/>
      <c r="CQ634" s="37"/>
      <c r="CR634" s="37"/>
    </row>
    <row r="635" ht="18.75" customHeight="1">
      <c r="B635" s="71"/>
      <c r="D635" s="72"/>
      <c r="K635" s="73"/>
      <c r="P635" s="37" t="s">
        <v>29</v>
      </c>
      <c r="Q635" s="64"/>
      <c r="R635" s="64"/>
      <c r="S635" s="64"/>
      <c r="T635" s="64"/>
      <c r="U635" s="64"/>
      <c r="V635" s="64"/>
      <c r="W635" s="64"/>
      <c r="X635" s="64"/>
      <c r="Y635" s="64"/>
      <c r="Z635" s="64"/>
      <c r="AA635" s="64"/>
      <c r="BS635" s="74"/>
      <c r="CQ635" s="37"/>
      <c r="CR635" s="37"/>
    </row>
    <row r="636" ht="18.75" customHeight="1">
      <c r="B636" s="71"/>
      <c r="D636" s="72"/>
      <c r="K636" s="73"/>
      <c r="P636" s="37" t="s">
        <v>29</v>
      </c>
      <c r="Q636" s="64"/>
      <c r="R636" s="64"/>
      <c r="S636" s="64"/>
      <c r="T636" s="64"/>
      <c r="U636" s="64"/>
      <c r="V636" s="64"/>
      <c r="W636" s="64"/>
      <c r="X636" s="64"/>
      <c r="Y636" s="64"/>
      <c r="Z636" s="64"/>
      <c r="AA636" s="64"/>
      <c r="BS636" s="74"/>
      <c r="CQ636" s="37"/>
      <c r="CR636" s="37"/>
    </row>
    <row r="637" ht="18.75" customHeight="1">
      <c r="B637" s="71"/>
      <c r="D637" s="72"/>
      <c r="K637" s="73"/>
      <c r="P637" s="37" t="s">
        <v>29</v>
      </c>
      <c r="Q637" s="64"/>
      <c r="R637" s="64"/>
      <c r="S637" s="64"/>
      <c r="T637" s="64"/>
      <c r="U637" s="64"/>
      <c r="V637" s="64"/>
      <c r="W637" s="64"/>
      <c r="X637" s="64"/>
      <c r="Y637" s="64"/>
      <c r="Z637" s="64"/>
      <c r="AA637" s="64"/>
      <c r="BS637" s="74"/>
      <c r="CQ637" s="37"/>
      <c r="CR637" s="37"/>
    </row>
    <row r="638" ht="18.75" customHeight="1">
      <c r="B638" s="71"/>
      <c r="D638" s="72"/>
      <c r="K638" s="73"/>
      <c r="P638" s="37" t="s">
        <v>29</v>
      </c>
      <c r="Q638" s="64"/>
      <c r="R638" s="64"/>
      <c r="S638" s="64"/>
      <c r="T638" s="64"/>
      <c r="U638" s="64"/>
      <c r="V638" s="64"/>
      <c r="W638" s="64"/>
      <c r="X638" s="64"/>
      <c r="Y638" s="64"/>
      <c r="Z638" s="64"/>
      <c r="AA638" s="64"/>
      <c r="BS638" s="74"/>
      <c r="CQ638" s="37"/>
      <c r="CR638" s="37"/>
    </row>
    <row r="639" ht="18.75" customHeight="1">
      <c r="B639" s="71"/>
      <c r="D639" s="72"/>
      <c r="K639" s="73"/>
      <c r="P639" s="37" t="s">
        <v>29</v>
      </c>
      <c r="Q639" s="64"/>
      <c r="R639" s="64"/>
      <c r="S639" s="64"/>
      <c r="T639" s="64"/>
      <c r="U639" s="64"/>
      <c r="V639" s="64"/>
      <c r="W639" s="64"/>
      <c r="X639" s="64"/>
      <c r="Y639" s="64"/>
      <c r="Z639" s="64"/>
      <c r="AA639" s="64"/>
      <c r="BS639" s="74"/>
      <c r="CQ639" s="37"/>
      <c r="CR639" s="37"/>
    </row>
    <row r="640" ht="18.75" customHeight="1">
      <c r="B640" s="71"/>
      <c r="D640" s="72"/>
      <c r="K640" s="73"/>
      <c r="P640" s="37" t="s">
        <v>29</v>
      </c>
      <c r="Q640" s="64"/>
      <c r="R640" s="64"/>
      <c r="S640" s="64"/>
      <c r="T640" s="64"/>
      <c r="U640" s="64"/>
      <c r="V640" s="64"/>
      <c r="W640" s="64"/>
      <c r="X640" s="64"/>
      <c r="Y640" s="64"/>
      <c r="Z640" s="64"/>
      <c r="AA640" s="64"/>
      <c r="BS640" s="74"/>
      <c r="CQ640" s="37"/>
      <c r="CR640" s="37"/>
    </row>
    <row r="641" ht="18.75" customHeight="1">
      <c r="B641" s="71"/>
      <c r="D641" s="72"/>
      <c r="K641" s="73"/>
      <c r="P641" s="37" t="s">
        <v>29</v>
      </c>
      <c r="Q641" s="64"/>
      <c r="R641" s="64"/>
      <c r="S641" s="64"/>
      <c r="T641" s="64"/>
      <c r="U641" s="64"/>
      <c r="V641" s="64"/>
      <c r="W641" s="64"/>
      <c r="X641" s="64"/>
      <c r="Y641" s="64"/>
      <c r="Z641" s="64"/>
      <c r="AA641" s="64"/>
      <c r="BS641" s="74"/>
      <c r="CQ641" s="37"/>
      <c r="CR641" s="37"/>
    </row>
    <row r="642" ht="18.75" customHeight="1">
      <c r="B642" s="71"/>
      <c r="D642" s="72"/>
      <c r="K642" s="73"/>
      <c r="P642" s="37" t="s">
        <v>29</v>
      </c>
      <c r="Q642" s="64"/>
      <c r="R642" s="64"/>
      <c r="S642" s="64"/>
      <c r="T642" s="64"/>
      <c r="U642" s="64"/>
      <c r="V642" s="64"/>
      <c r="W642" s="64"/>
      <c r="X642" s="64"/>
      <c r="Y642" s="64"/>
      <c r="Z642" s="64"/>
      <c r="AA642" s="64"/>
      <c r="BS642" s="74"/>
      <c r="CQ642" s="37"/>
      <c r="CR642" s="37"/>
    </row>
    <row r="643" ht="18.75" customHeight="1">
      <c r="B643" s="71"/>
      <c r="D643" s="72"/>
      <c r="K643" s="73"/>
      <c r="P643" s="37" t="s">
        <v>29</v>
      </c>
      <c r="Q643" s="64"/>
      <c r="R643" s="64"/>
      <c r="S643" s="64"/>
      <c r="T643" s="64"/>
      <c r="U643" s="64"/>
      <c r="V643" s="64"/>
      <c r="W643" s="64"/>
      <c r="X643" s="64"/>
      <c r="Y643" s="64"/>
      <c r="Z643" s="64"/>
      <c r="AA643" s="64"/>
      <c r="BS643" s="74"/>
      <c r="CQ643" s="37"/>
      <c r="CR643" s="37"/>
    </row>
    <row r="644" ht="18.75" customHeight="1">
      <c r="B644" s="71"/>
      <c r="D644" s="72"/>
      <c r="K644" s="73"/>
      <c r="P644" s="37" t="s">
        <v>29</v>
      </c>
      <c r="Q644" s="64"/>
      <c r="R644" s="64"/>
      <c r="S644" s="64"/>
      <c r="T644" s="64"/>
      <c r="U644" s="64"/>
      <c r="V644" s="64"/>
      <c r="W644" s="64"/>
      <c r="X644" s="64"/>
      <c r="Y644" s="64"/>
      <c r="Z644" s="64"/>
      <c r="AA644" s="64"/>
      <c r="BS644" s="74"/>
      <c r="CQ644" s="37"/>
      <c r="CR644" s="37"/>
    </row>
    <row r="645" ht="18.75" customHeight="1">
      <c r="B645" s="71"/>
      <c r="D645" s="72"/>
      <c r="K645" s="73"/>
      <c r="P645" s="37" t="s">
        <v>29</v>
      </c>
      <c r="Q645" s="64"/>
      <c r="R645" s="64"/>
      <c r="S645" s="64"/>
      <c r="T645" s="64"/>
      <c r="U645" s="64"/>
      <c r="V645" s="64"/>
      <c r="W645" s="64"/>
      <c r="X645" s="64"/>
      <c r="Y645" s="64"/>
      <c r="Z645" s="64"/>
      <c r="AA645" s="64"/>
      <c r="BS645" s="74"/>
      <c r="CQ645" s="37"/>
      <c r="CR645" s="37"/>
    </row>
    <row r="646" ht="18.75" customHeight="1">
      <c r="B646" s="71"/>
      <c r="D646" s="72"/>
      <c r="K646" s="73"/>
      <c r="P646" s="37" t="s">
        <v>29</v>
      </c>
      <c r="Q646" s="64"/>
      <c r="R646" s="64"/>
      <c r="S646" s="64"/>
      <c r="T646" s="64"/>
      <c r="U646" s="64"/>
      <c r="V646" s="64"/>
      <c r="W646" s="64"/>
      <c r="X646" s="64"/>
      <c r="Y646" s="64"/>
      <c r="Z646" s="64"/>
      <c r="AA646" s="64"/>
      <c r="BS646" s="74"/>
      <c r="CQ646" s="37"/>
      <c r="CR646" s="37"/>
    </row>
    <row r="647" ht="18.75" customHeight="1">
      <c r="B647" s="71"/>
      <c r="D647" s="72"/>
      <c r="K647" s="73"/>
      <c r="P647" s="37" t="s">
        <v>29</v>
      </c>
      <c r="Q647" s="64"/>
      <c r="R647" s="64"/>
      <c r="S647" s="64"/>
      <c r="T647" s="64"/>
      <c r="U647" s="64"/>
      <c r="V647" s="64"/>
      <c r="W647" s="64"/>
      <c r="X647" s="64"/>
      <c r="Y647" s="64"/>
      <c r="Z647" s="64"/>
      <c r="AA647" s="64"/>
      <c r="BS647" s="74"/>
      <c r="CQ647" s="37"/>
      <c r="CR647" s="37"/>
    </row>
    <row r="648" ht="18.75" customHeight="1">
      <c r="B648" s="71"/>
      <c r="D648" s="72"/>
      <c r="K648" s="73"/>
      <c r="P648" s="37" t="s">
        <v>29</v>
      </c>
      <c r="Q648" s="64"/>
      <c r="R648" s="64"/>
      <c r="S648" s="64"/>
      <c r="T648" s="64"/>
      <c r="U648" s="64"/>
      <c r="V648" s="64"/>
      <c r="W648" s="64"/>
      <c r="X648" s="64"/>
      <c r="Y648" s="64"/>
      <c r="Z648" s="64"/>
      <c r="AA648" s="64"/>
      <c r="BS648" s="74"/>
      <c r="CQ648" s="37"/>
      <c r="CR648" s="37"/>
    </row>
    <row r="649" ht="18.75" customHeight="1">
      <c r="B649" s="71"/>
      <c r="D649" s="72"/>
      <c r="K649" s="73"/>
      <c r="P649" s="37" t="s">
        <v>29</v>
      </c>
      <c r="Q649" s="64"/>
      <c r="R649" s="64"/>
      <c r="S649" s="64"/>
      <c r="T649" s="64"/>
      <c r="U649" s="64"/>
      <c r="V649" s="64"/>
      <c r="W649" s="64"/>
      <c r="X649" s="64"/>
      <c r="Y649" s="64"/>
      <c r="Z649" s="64"/>
      <c r="AA649" s="64"/>
      <c r="BS649" s="74"/>
      <c r="CQ649" s="37"/>
      <c r="CR649" s="37"/>
    </row>
    <row r="650" ht="18.75" customHeight="1">
      <c r="B650" s="71"/>
      <c r="D650" s="72"/>
      <c r="K650" s="73"/>
      <c r="P650" s="37" t="s">
        <v>29</v>
      </c>
      <c r="Q650" s="64"/>
      <c r="R650" s="64"/>
      <c r="S650" s="64"/>
      <c r="T650" s="64"/>
      <c r="U650" s="64"/>
      <c r="V650" s="64"/>
      <c r="W650" s="64"/>
      <c r="X650" s="64"/>
      <c r="Y650" s="64"/>
      <c r="Z650" s="64"/>
      <c r="AA650" s="64"/>
      <c r="BS650" s="74"/>
      <c r="CQ650" s="37"/>
      <c r="CR650" s="37"/>
    </row>
    <row r="651" ht="18.75" customHeight="1">
      <c r="B651" s="71"/>
      <c r="D651" s="72"/>
      <c r="K651" s="73"/>
      <c r="P651" s="37" t="s">
        <v>29</v>
      </c>
      <c r="Q651" s="64"/>
      <c r="R651" s="64"/>
      <c r="S651" s="64"/>
      <c r="T651" s="64"/>
      <c r="U651" s="64"/>
      <c r="V651" s="64"/>
      <c r="W651" s="64"/>
      <c r="X651" s="64"/>
      <c r="Y651" s="64"/>
      <c r="Z651" s="64"/>
      <c r="AA651" s="64"/>
      <c r="BS651" s="74"/>
      <c r="CQ651" s="37"/>
      <c r="CR651" s="37"/>
    </row>
    <row r="652" ht="18.75" customHeight="1">
      <c r="B652" s="71"/>
      <c r="D652" s="72"/>
      <c r="K652" s="73"/>
      <c r="P652" s="37" t="s">
        <v>29</v>
      </c>
      <c r="Q652" s="64"/>
      <c r="R652" s="64"/>
      <c r="S652" s="64"/>
      <c r="T652" s="64"/>
      <c r="U652" s="64"/>
      <c r="V652" s="64"/>
      <c r="W652" s="64"/>
      <c r="X652" s="64"/>
      <c r="Y652" s="64"/>
      <c r="Z652" s="64"/>
      <c r="AA652" s="64"/>
      <c r="BS652" s="74"/>
      <c r="CQ652" s="37"/>
      <c r="CR652" s="37"/>
    </row>
    <row r="653" ht="18.75" customHeight="1">
      <c r="B653" s="71"/>
      <c r="D653" s="72"/>
      <c r="K653" s="73"/>
      <c r="P653" s="37" t="s">
        <v>29</v>
      </c>
      <c r="Q653" s="64"/>
      <c r="R653" s="64"/>
      <c r="S653" s="64"/>
      <c r="T653" s="64"/>
      <c r="U653" s="64"/>
      <c r="V653" s="64"/>
      <c r="W653" s="64"/>
      <c r="X653" s="64"/>
      <c r="Y653" s="64"/>
      <c r="Z653" s="64"/>
      <c r="AA653" s="64"/>
      <c r="BS653" s="74"/>
      <c r="CQ653" s="37"/>
      <c r="CR653" s="37"/>
    </row>
    <row r="654" ht="18.75" customHeight="1">
      <c r="B654" s="71"/>
      <c r="D654" s="72"/>
      <c r="K654" s="73"/>
      <c r="P654" s="37" t="s">
        <v>29</v>
      </c>
      <c r="Q654" s="64"/>
      <c r="R654" s="64"/>
      <c r="S654" s="64"/>
      <c r="T654" s="64"/>
      <c r="U654" s="64"/>
      <c r="V654" s="64"/>
      <c r="W654" s="64"/>
      <c r="X654" s="64"/>
      <c r="Y654" s="64"/>
      <c r="Z654" s="64"/>
      <c r="AA654" s="64"/>
      <c r="BS654" s="74"/>
      <c r="CQ654" s="37"/>
      <c r="CR654" s="37"/>
    </row>
    <row r="655" ht="18.75" customHeight="1">
      <c r="B655" s="71"/>
      <c r="D655" s="72"/>
      <c r="K655" s="73"/>
      <c r="P655" s="37" t="s">
        <v>29</v>
      </c>
      <c r="Q655" s="64"/>
      <c r="R655" s="64"/>
      <c r="S655" s="64"/>
      <c r="T655" s="64"/>
      <c r="U655" s="64"/>
      <c r="V655" s="64"/>
      <c r="W655" s="64"/>
      <c r="X655" s="64"/>
      <c r="Y655" s="64"/>
      <c r="Z655" s="64"/>
      <c r="AA655" s="64"/>
      <c r="BS655" s="74"/>
      <c r="CQ655" s="37"/>
      <c r="CR655" s="37"/>
    </row>
    <row r="656" ht="18.75" customHeight="1">
      <c r="B656" s="71"/>
      <c r="D656" s="72"/>
      <c r="K656" s="73"/>
      <c r="P656" s="37" t="s">
        <v>29</v>
      </c>
      <c r="Q656" s="64"/>
      <c r="R656" s="64"/>
      <c r="S656" s="64"/>
      <c r="T656" s="64"/>
      <c r="U656" s="64"/>
      <c r="V656" s="64"/>
      <c r="W656" s="64"/>
      <c r="X656" s="64"/>
      <c r="Y656" s="64"/>
      <c r="Z656" s="64"/>
      <c r="AA656" s="64"/>
      <c r="BS656" s="74"/>
      <c r="CQ656" s="37"/>
      <c r="CR656" s="37"/>
    </row>
    <row r="657" ht="18.75" customHeight="1">
      <c r="B657" s="71"/>
      <c r="D657" s="72"/>
      <c r="K657" s="73"/>
      <c r="P657" s="37" t="s">
        <v>29</v>
      </c>
      <c r="Q657" s="64"/>
      <c r="R657" s="64"/>
      <c r="S657" s="64"/>
      <c r="T657" s="64"/>
      <c r="U657" s="64"/>
      <c r="V657" s="64"/>
      <c r="W657" s="64"/>
      <c r="X657" s="64"/>
      <c r="Y657" s="64"/>
      <c r="Z657" s="64"/>
      <c r="AA657" s="64"/>
      <c r="BS657" s="74"/>
      <c r="CQ657" s="37"/>
      <c r="CR657" s="37"/>
    </row>
    <row r="658" ht="18.75" customHeight="1">
      <c r="B658" s="71"/>
      <c r="D658" s="72"/>
      <c r="K658" s="73"/>
      <c r="P658" s="37" t="s">
        <v>29</v>
      </c>
      <c r="Q658" s="64"/>
      <c r="R658" s="64"/>
      <c r="S658" s="64"/>
      <c r="T658" s="64"/>
      <c r="U658" s="64"/>
      <c r="V658" s="64"/>
      <c r="W658" s="64"/>
      <c r="X658" s="64"/>
      <c r="Y658" s="64"/>
      <c r="Z658" s="64"/>
      <c r="AA658" s="64"/>
      <c r="BS658" s="74"/>
      <c r="CQ658" s="37"/>
      <c r="CR658" s="37"/>
    </row>
    <row r="659" ht="18.75" customHeight="1">
      <c r="B659" s="71"/>
      <c r="D659" s="72"/>
      <c r="K659" s="73"/>
      <c r="P659" s="37" t="s">
        <v>29</v>
      </c>
      <c r="Q659" s="64"/>
      <c r="R659" s="64"/>
      <c r="S659" s="64"/>
      <c r="T659" s="64"/>
      <c r="U659" s="64"/>
      <c r="V659" s="64"/>
      <c r="W659" s="64"/>
      <c r="X659" s="64"/>
      <c r="Y659" s="64"/>
      <c r="Z659" s="64"/>
      <c r="AA659" s="64"/>
      <c r="BS659" s="74"/>
      <c r="CQ659" s="37"/>
      <c r="CR659" s="37"/>
    </row>
    <row r="660" ht="18.75" customHeight="1">
      <c r="B660" s="71"/>
      <c r="D660" s="72"/>
      <c r="K660" s="73"/>
      <c r="P660" s="37" t="s">
        <v>29</v>
      </c>
      <c r="Q660" s="64"/>
      <c r="R660" s="64"/>
      <c r="S660" s="64"/>
      <c r="T660" s="64"/>
      <c r="U660" s="64"/>
      <c r="V660" s="64"/>
      <c r="W660" s="64"/>
      <c r="X660" s="64"/>
      <c r="Y660" s="64"/>
      <c r="Z660" s="64"/>
      <c r="AA660" s="64"/>
      <c r="BS660" s="74"/>
      <c r="CQ660" s="37"/>
      <c r="CR660" s="37"/>
    </row>
    <row r="661" ht="18.75" customHeight="1">
      <c r="B661" s="71"/>
      <c r="D661" s="72"/>
      <c r="K661" s="73"/>
      <c r="P661" s="37" t="s">
        <v>29</v>
      </c>
      <c r="Q661" s="64"/>
      <c r="R661" s="64"/>
      <c r="S661" s="64"/>
      <c r="T661" s="64"/>
      <c r="U661" s="64"/>
      <c r="V661" s="64"/>
      <c r="W661" s="64"/>
      <c r="X661" s="64"/>
      <c r="Y661" s="64"/>
      <c r="Z661" s="64"/>
      <c r="AA661" s="64"/>
      <c r="BS661" s="74"/>
      <c r="CQ661" s="37"/>
      <c r="CR661" s="37"/>
    </row>
    <row r="662" ht="18.75" customHeight="1">
      <c r="B662" s="71"/>
      <c r="D662" s="72"/>
      <c r="K662" s="73"/>
      <c r="P662" s="37" t="s">
        <v>29</v>
      </c>
      <c r="Q662" s="64"/>
      <c r="R662" s="64"/>
      <c r="S662" s="64"/>
      <c r="T662" s="64"/>
      <c r="U662" s="64"/>
      <c r="V662" s="64"/>
      <c r="W662" s="64"/>
      <c r="X662" s="64"/>
      <c r="Y662" s="64"/>
      <c r="Z662" s="64"/>
      <c r="AA662" s="64"/>
      <c r="BS662" s="74"/>
      <c r="CQ662" s="37"/>
      <c r="CR662" s="37"/>
    </row>
    <row r="663" ht="18.75" customHeight="1">
      <c r="B663" s="71"/>
      <c r="D663" s="72"/>
      <c r="K663" s="73"/>
      <c r="P663" s="37" t="s">
        <v>29</v>
      </c>
      <c r="Q663" s="64"/>
      <c r="R663" s="64"/>
      <c r="S663" s="64"/>
      <c r="T663" s="64"/>
      <c r="U663" s="64"/>
      <c r="V663" s="64"/>
      <c r="W663" s="64"/>
      <c r="X663" s="64"/>
      <c r="Y663" s="64"/>
      <c r="Z663" s="64"/>
      <c r="AA663" s="64"/>
      <c r="BS663" s="74"/>
      <c r="CQ663" s="37"/>
      <c r="CR663" s="37"/>
    </row>
    <row r="664" ht="18.75" customHeight="1">
      <c r="B664" s="71"/>
      <c r="D664" s="72"/>
      <c r="K664" s="73"/>
      <c r="P664" s="37" t="s">
        <v>29</v>
      </c>
      <c r="Q664" s="64"/>
      <c r="R664" s="64"/>
      <c r="S664" s="64"/>
      <c r="T664" s="64"/>
      <c r="U664" s="64"/>
      <c r="V664" s="64"/>
      <c r="W664" s="64"/>
      <c r="X664" s="64"/>
      <c r="Y664" s="64"/>
      <c r="Z664" s="64"/>
      <c r="AA664" s="64"/>
      <c r="BS664" s="74"/>
      <c r="CQ664" s="37"/>
      <c r="CR664" s="37"/>
    </row>
    <row r="665" ht="18.75" customHeight="1">
      <c r="B665" s="71"/>
      <c r="D665" s="72"/>
      <c r="K665" s="73"/>
      <c r="P665" s="37" t="s">
        <v>29</v>
      </c>
      <c r="Q665" s="64"/>
      <c r="R665" s="64"/>
      <c r="S665" s="64"/>
      <c r="T665" s="64"/>
      <c r="U665" s="64"/>
      <c r="V665" s="64"/>
      <c r="W665" s="64"/>
      <c r="X665" s="64"/>
      <c r="Y665" s="64"/>
      <c r="Z665" s="64"/>
      <c r="AA665" s="64"/>
      <c r="BS665" s="74"/>
      <c r="CQ665" s="37"/>
      <c r="CR665" s="37"/>
    </row>
    <row r="666" ht="18.75" customHeight="1">
      <c r="B666" s="71"/>
      <c r="D666" s="72"/>
      <c r="K666" s="73"/>
      <c r="P666" s="37" t="s">
        <v>29</v>
      </c>
      <c r="Q666" s="64"/>
      <c r="R666" s="64"/>
      <c r="S666" s="64"/>
      <c r="T666" s="64"/>
      <c r="U666" s="64"/>
      <c r="V666" s="64"/>
      <c r="W666" s="64"/>
      <c r="X666" s="64"/>
      <c r="Y666" s="64"/>
      <c r="Z666" s="64"/>
      <c r="AA666" s="64"/>
      <c r="BS666" s="74"/>
      <c r="CQ666" s="37"/>
      <c r="CR666" s="37"/>
    </row>
    <row r="667" ht="18.75" customHeight="1">
      <c r="B667" s="71"/>
      <c r="D667" s="72"/>
      <c r="K667" s="73"/>
      <c r="P667" s="37" t="s">
        <v>29</v>
      </c>
      <c r="Q667" s="64"/>
      <c r="R667" s="64"/>
      <c r="S667" s="64"/>
      <c r="T667" s="64"/>
      <c r="U667" s="64"/>
      <c r="V667" s="64"/>
      <c r="W667" s="64"/>
      <c r="X667" s="64"/>
      <c r="Y667" s="64"/>
      <c r="Z667" s="64"/>
      <c r="AA667" s="64"/>
      <c r="BS667" s="74"/>
      <c r="CQ667" s="37"/>
      <c r="CR667" s="37"/>
    </row>
    <row r="668" ht="18.75" customHeight="1">
      <c r="B668" s="71"/>
      <c r="D668" s="72"/>
      <c r="K668" s="73"/>
      <c r="P668" s="37" t="s">
        <v>29</v>
      </c>
      <c r="Q668" s="64"/>
      <c r="R668" s="64"/>
      <c r="S668" s="64"/>
      <c r="T668" s="64"/>
      <c r="U668" s="64"/>
      <c r="V668" s="64"/>
      <c r="W668" s="64"/>
      <c r="X668" s="64"/>
      <c r="Y668" s="64"/>
      <c r="Z668" s="64"/>
      <c r="AA668" s="64"/>
      <c r="BS668" s="74"/>
      <c r="CQ668" s="37"/>
      <c r="CR668" s="37"/>
    </row>
    <row r="669" ht="18.75" customHeight="1">
      <c r="B669" s="71"/>
      <c r="D669" s="72"/>
      <c r="K669" s="73"/>
      <c r="P669" s="37" t="s">
        <v>29</v>
      </c>
      <c r="Q669" s="64"/>
      <c r="R669" s="64"/>
      <c r="S669" s="64"/>
      <c r="T669" s="64"/>
      <c r="U669" s="64"/>
      <c r="V669" s="64"/>
      <c r="W669" s="64"/>
      <c r="X669" s="64"/>
      <c r="Y669" s="64"/>
      <c r="Z669" s="64"/>
      <c r="AA669" s="64"/>
      <c r="BS669" s="74"/>
      <c r="CQ669" s="37"/>
      <c r="CR669" s="37"/>
    </row>
    <row r="670" ht="18.75" customHeight="1">
      <c r="B670" s="71"/>
      <c r="D670" s="72"/>
      <c r="K670" s="73"/>
      <c r="P670" s="37" t="s">
        <v>29</v>
      </c>
      <c r="Q670" s="64"/>
      <c r="R670" s="64"/>
      <c r="S670" s="64"/>
      <c r="T670" s="64"/>
      <c r="U670" s="64"/>
      <c r="V670" s="64"/>
      <c r="W670" s="64"/>
      <c r="X670" s="64"/>
      <c r="Y670" s="64"/>
      <c r="Z670" s="64"/>
      <c r="AA670" s="64"/>
      <c r="BS670" s="74"/>
      <c r="CQ670" s="37"/>
      <c r="CR670" s="37"/>
    </row>
    <row r="671" ht="18.75" customHeight="1">
      <c r="B671" s="71"/>
      <c r="D671" s="72"/>
      <c r="K671" s="73"/>
      <c r="P671" s="37" t="s">
        <v>29</v>
      </c>
      <c r="Q671" s="64"/>
      <c r="R671" s="64"/>
      <c r="S671" s="64"/>
      <c r="T671" s="64"/>
      <c r="U671" s="64"/>
      <c r="V671" s="64"/>
      <c r="W671" s="64"/>
      <c r="X671" s="64"/>
      <c r="Y671" s="64"/>
      <c r="Z671" s="64"/>
      <c r="AA671" s="64"/>
      <c r="BS671" s="74"/>
      <c r="CQ671" s="37"/>
      <c r="CR671" s="37"/>
    </row>
    <row r="672" ht="18.75" customHeight="1">
      <c r="B672" s="71"/>
      <c r="D672" s="72"/>
      <c r="K672" s="73"/>
      <c r="P672" s="37" t="s">
        <v>29</v>
      </c>
      <c r="Q672" s="64"/>
      <c r="R672" s="64"/>
      <c r="S672" s="64"/>
      <c r="T672" s="64"/>
      <c r="U672" s="64"/>
      <c r="V672" s="64"/>
      <c r="W672" s="64"/>
      <c r="X672" s="64"/>
      <c r="Y672" s="64"/>
      <c r="Z672" s="64"/>
      <c r="AA672" s="64"/>
      <c r="BS672" s="74"/>
      <c r="CQ672" s="37"/>
      <c r="CR672" s="37"/>
    </row>
    <row r="673" ht="18.75" customHeight="1">
      <c r="B673" s="71"/>
      <c r="D673" s="72"/>
      <c r="K673" s="73"/>
      <c r="P673" s="37" t="s">
        <v>29</v>
      </c>
      <c r="Q673" s="64"/>
      <c r="R673" s="64"/>
      <c r="S673" s="64"/>
      <c r="T673" s="64"/>
      <c r="U673" s="64"/>
      <c r="V673" s="64"/>
      <c r="W673" s="64"/>
      <c r="X673" s="64"/>
      <c r="Y673" s="64"/>
      <c r="Z673" s="64"/>
      <c r="AA673" s="64"/>
      <c r="BS673" s="74"/>
      <c r="CQ673" s="37"/>
      <c r="CR673" s="37"/>
    </row>
    <row r="674" ht="18.75" customHeight="1">
      <c r="B674" s="71"/>
      <c r="D674" s="72"/>
      <c r="K674" s="73"/>
      <c r="P674" s="37" t="s">
        <v>29</v>
      </c>
      <c r="Q674" s="64"/>
      <c r="R674" s="64"/>
      <c r="S674" s="64"/>
      <c r="T674" s="64"/>
      <c r="U674" s="64"/>
      <c r="V674" s="64"/>
      <c r="W674" s="64"/>
      <c r="X674" s="64"/>
      <c r="Y674" s="64"/>
      <c r="Z674" s="64"/>
      <c r="AA674" s="64"/>
      <c r="BS674" s="74"/>
      <c r="CQ674" s="37"/>
      <c r="CR674" s="37"/>
    </row>
    <row r="675" ht="18.75" customHeight="1">
      <c r="B675" s="71"/>
      <c r="D675" s="72"/>
      <c r="K675" s="73"/>
      <c r="P675" s="37" t="s">
        <v>29</v>
      </c>
      <c r="Q675" s="64"/>
      <c r="R675" s="64"/>
      <c r="S675" s="64"/>
      <c r="T675" s="64"/>
      <c r="U675" s="64"/>
      <c r="V675" s="64"/>
      <c r="W675" s="64"/>
      <c r="X675" s="64"/>
      <c r="Y675" s="64"/>
      <c r="Z675" s="64"/>
      <c r="AA675" s="64"/>
      <c r="BS675" s="74"/>
      <c r="CQ675" s="37"/>
      <c r="CR675" s="37"/>
    </row>
    <row r="676" ht="18.75" customHeight="1">
      <c r="B676" s="71"/>
      <c r="D676" s="72"/>
      <c r="K676" s="73"/>
      <c r="P676" s="37" t="s">
        <v>29</v>
      </c>
      <c r="Q676" s="64"/>
      <c r="R676" s="64"/>
      <c r="S676" s="64"/>
      <c r="T676" s="64"/>
      <c r="U676" s="64"/>
      <c r="V676" s="64"/>
      <c r="W676" s="64"/>
      <c r="X676" s="64"/>
      <c r="Y676" s="64"/>
      <c r="Z676" s="64"/>
      <c r="AA676" s="64"/>
      <c r="BS676" s="74"/>
      <c r="CQ676" s="37"/>
      <c r="CR676" s="37"/>
    </row>
    <row r="677" ht="18.75" customHeight="1">
      <c r="B677" s="71"/>
      <c r="D677" s="72"/>
      <c r="K677" s="73"/>
      <c r="P677" s="37" t="s">
        <v>29</v>
      </c>
      <c r="Q677" s="64"/>
      <c r="R677" s="64"/>
      <c r="S677" s="64"/>
      <c r="T677" s="64"/>
      <c r="U677" s="64"/>
      <c r="V677" s="64"/>
      <c r="W677" s="64"/>
      <c r="X677" s="64"/>
      <c r="Y677" s="64"/>
      <c r="Z677" s="64"/>
      <c r="AA677" s="64"/>
      <c r="BS677" s="74"/>
      <c r="CQ677" s="37"/>
      <c r="CR677" s="37"/>
    </row>
    <row r="678" ht="18.75" customHeight="1">
      <c r="B678" s="71"/>
      <c r="D678" s="72"/>
      <c r="K678" s="73"/>
      <c r="P678" s="37" t="s">
        <v>29</v>
      </c>
      <c r="Q678" s="64"/>
      <c r="R678" s="64"/>
      <c r="S678" s="64"/>
      <c r="T678" s="64"/>
      <c r="U678" s="64"/>
      <c r="V678" s="64"/>
      <c r="W678" s="64"/>
      <c r="X678" s="64"/>
      <c r="Y678" s="64"/>
      <c r="Z678" s="64"/>
      <c r="AA678" s="64"/>
      <c r="BS678" s="74"/>
      <c r="CQ678" s="37"/>
      <c r="CR678" s="37"/>
    </row>
    <row r="679" ht="18.75" customHeight="1">
      <c r="B679" s="71"/>
      <c r="D679" s="72"/>
      <c r="K679" s="73"/>
      <c r="P679" s="37" t="s">
        <v>29</v>
      </c>
      <c r="Q679" s="64"/>
      <c r="R679" s="64"/>
      <c r="S679" s="64"/>
      <c r="T679" s="64"/>
      <c r="U679" s="64"/>
      <c r="V679" s="64"/>
      <c r="W679" s="64"/>
      <c r="X679" s="64"/>
      <c r="Y679" s="64"/>
      <c r="Z679" s="64"/>
      <c r="AA679" s="64"/>
      <c r="BS679" s="74"/>
      <c r="CQ679" s="37"/>
      <c r="CR679" s="37"/>
    </row>
    <row r="680" ht="18.75" customHeight="1">
      <c r="B680" s="71"/>
      <c r="D680" s="72"/>
      <c r="K680" s="73"/>
      <c r="P680" s="37" t="s">
        <v>29</v>
      </c>
      <c r="Q680" s="64"/>
      <c r="R680" s="64"/>
      <c r="S680" s="64"/>
      <c r="T680" s="64"/>
      <c r="U680" s="64"/>
      <c r="V680" s="64"/>
      <c r="W680" s="64"/>
      <c r="X680" s="64"/>
      <c r="Y680" s="64"/>
      <c r="Z680" s="64"/>
      <c r="AA680" s="64"/>
      <c r="BS680" s="74"/>
      <c r="CQ680" s="37"/>
      <c r="CR680" s="37"/>
    </row>
    <row r="681" ht="18.75" customHeight="1">
      <c r="B681" s="71"/>
      <c r="D681" s="72"/>
      <c r="K681" s="73"/>
      <c r="P681" s="37" t="s">
        <v>29</v>
      </c>
      <c r="Q681" s="64"/>
      <c r="R681" s="64"/>
      <c r="S681" s="64"/>
      <c r="T681" s="64"/>
      <c r="U681" s="64"/>
      <c r="V681" s="64"/>
      <c r="W681" s="64"/>
      <c r="X681" s="64"/>
      <c r="Y681" s="64"/>
      <c r="Z681" s="64"/>
      <c r="AA681" s="64"/>
      <c r="BS681" s="74"/>
      <c r="CQ681" s="37"/>
      <c r="CR681" s="37"/>
    </row>
    <row r="682" ht="18.75" customHeight="1">
      <c r="B682" s="71"/>
      <c r="D682" s="72"/>
      <c r="K682" s="73"/>
      <c r="P682" s="37" t="s">
        <v>29</v>
      </c>
      <c r="Q682" s="64"/>
      <c r="R682" s="64"/>
      <c r="S682" s="64"/>
      <c r="T682" s="64"/>
      <c r="U682" s="64"/>
      <c r="V682" s="64"/>
      <c r="W682" s="64"/>
      <c r="X682" s="64"/>
      <c r="Y682" s="64"/>
      <c r="Z682" s="64"/>
      <c r="AA682" s="64"/>
      <c r="BS682" s="74"/>
      <c r="CQ682" s="37"/>
      <c r="CR682" s="37"/>
    </row>
    <row r="683" ht="18.75" customHeight="1">
      <c r="B683" s="71"/>
      <c r="D683" s="72"/>
      <c r="K683" s="73"/>
      <c r="P683" s="37" t="s">
        <v>29</v>
      </c>
      <c r="Q683" s="64"/>
      <c r="R683" s="64"/>
      <c r="S683" s="64"/>
      <c r="T683" s="64"/>
      <c r="U683" s="64"/>
      <c r="V683" s="64"/>
      <c r="W683" s="64"/>
      <c r="X683" s="64"/>
      <c r="Y683" s="64"/>
      <c r="Z683" s="64"/>
      <c r="AA683" s="64"/>
      <c r="BS683" s="74"/>
      <c r="CQ683" s="37"/>
      <c r="CR683" s="37"/>
    </row>
    <row r="684" ht="18.75" customHeight="1">
      <c r="B684" s="71"/>
      <c r="D684" s="72"/>
      <c r="K684" s="73"/>
      <c r="P684" s="37" t="s">
        <v>29</v>
      </c>
      <c r="Q684" s="64"/>
      <c r="R684" s="64"/>
      <c r="S684" s="64"/>
      <c r="T684" s="64"/>
      <c r="U684" s="64"/>
      <c r="V684" s="64"/>
      <c r="W684" s="64"/>
      <c r="X684" s="64"/>
      <c r="Y684" s="64"/>
      <c r="Z684" s="64"/>
      <c r="AA684" s="64"/>
      <c r="BS684" s="74"/>
      <c r="CQ684" s="37"/>
      <c r="CR684" s="37"/>
    </row>
    <row r="685" ht="18.75" customHeight="1">
      <c r="B685" s="71"/>
      <c r="D685" s="72"/>
      <c r="K685" s="73"/>
      <c r="P685" s="37" t="s">
        <v>29</v>
      </c>
      <c r="Q685" s="64"/>
      <c r="R685" s="64"/>
      <c r="S685" s="64"/>
      <c r="T685" s="64"/>
      <c r="U685" s="64"/>
      <c r="V685" s="64"/>
      <c r="W685" s="64"/>
      <c r="X685" s="64"/>
      <c r="Y685" s="64"/>
      <c r="Z685" s="64"/>
      <c r="AA685" s="64"/>
      <c r="BS685" s="74"/>
      <c r="CQ685" s="37"/>
      <c r="CR685" s="37"/>
    </row>
    <row r="686" ht="18.75" customHeight="1">
      <c r="B686" s="71"/>
      <c r="D686" s="72"/>
      <c r="K686" s="73"/>
      <c r="P686" s="37" t="s">
        <v>29</v>
      </c>
      <c r="Q686" s="64"/>
      <c r="R686" s="64"/>
      <c r="S686" s="64"/>
      <c r="T686" s="64"/>
      <c r="U686" s="64"/>
      <c r="V686" s="64"/>
      <c r="W686" s="64"/>
      <c r="X686" s="64"/>
      <c r="Y686" s="64"/>
      <c r="Z686" s="64"/>
      <c r="AA686" s="64"/>
      <c r="BS686" s="74"/>
      <c r="CQ686" s="37"/>
      <c r="CR686" s="37"/>
    </row>
    <row r="687" ht="18.75" customHeight="1">
      <c r="B687" s="71"/>
      <c r="D687" s="72"/>
      <c r="K687" s="73"/>
      <c r="P687" s="37" t="s">
        <v>29</v>
      </c>
      <c r="Q687" s="64"/>
      <c r="R687" s="64"/>
      <c r="S687" s="64"/>
      <c r="T687" s="64"/>
      <c r="U687" s="64"/>
      <c r="V687" s="64"/>
      <c r="W687" s="64"/>
      <c r="X687" s="64"/>
      <c r="Y687" s="64"/>
      <c r="Z687" s="64"/>
      <c r="AA687" s="64"/>
      <c r="BS687" s="74"/>
      <c r="CQ687" s="37"/>
      <c r="CR687" s="37"/>
    </row>
    <row r="688" ht="18.75" customHeight="1">
      <c r="B688" s="71"/>
      <c r="D688" s="72"/>
      <c r="K688" s="73"/>
      <c r="P688" s="37" t="s">
        <v>29</v>
      </c>
      <c r="Q688" s="64"/>
      <c r="R688" s="64"/>
      <c r="S688" s="64"/>
      <c r="T688" s="64"/>
      <c r="U688" s="64"/>
      <c r="V688" s="64"/>
      <c r="W688" s="64"/>
      <c r="X688" s="64"/>
      <c r="Y688" s="64"/>
      <c r="Z688" s="64"/>
      <c r="AA688" s="64"/>
      <c r="BS688" s="74"/>
      <c r="CQ688" s="37"/>
      <c r="CR688" s="37"/>
    </row>
    <row r="689" ht="18.75" customHeight="1">
      <c r="B689" s="71"/>
      <c r="D689" s="72"/>
      <c r="K689" s="73"/>
      <c r="P689" s="37" t="s">
        <v>29</v>
      </c>
      <c r="Q689" s="64"/>
      <c r="R689" s="64"/>
      <c r="S689" s="64"/>
      <c r="T689" s="64"/>
      <c r="U689" s="64"/>
      <c r="V689" s="64"/>
      <c r="W689" s="64"/>
      <c r="X689" s="64"/>
      <c r="Y689" s="64"/>
      <c r="Z689" s="64"/>
      <c r="AA689" s="64"/>
      <c r="BS689" s="74"/>
      <c r="CQ689" s="37"/>
      <c r="CR689" s="37"/>
    </row>
    <row r="690" ht="18.75" customHeight="1">
      <c r="B690" s="71"/>
      <c r="D690" s="72"/>
      <c r="K690" s="73"/>
      <c r="P690" s="37" t="s">
        <v>29</v>
      </c>
      <c r="Q690" s="64"/>
      <c r="R690" s="64"/>
      <c r="S690" s="64"/>
      <c r="T690" s="64"/>
      <c r="U690" s="64"/>
      <c r="V690" s="64"/>
      <c r="W690" s="64"/>
      <c r="X690" s="64"/>
      <c r="Y690" s="64"/>
      <c r="Z690" s="64"/>
      <c r="AA690" s="64"/>
      <c r="BS690" s="74"/>
      <c r="CQ690" s="37"/>
      <c r="CR690" s="37"/>
    </row>
    <row r="691" ht="18.75" customHeight="1">
      <c r="B691" s="71"/>
      <c r="D691" s="72"/>
      <c r="K691" s="73"/>
      <c r="P691" s="37" t="s">
        <v>29</v>
      </c>
      <c r="Q691" s="64"/>
      <c r="R691" s="64"/>
      <c r="S691" s="64"/>
      <c r="T691" s="64"/>
      <c r="U691" s="64"/>
      <c r="V691" s="64"/>
      <c r="W691" s="64"/>
      <c r="X691" s="64"/>
      <c r="Y691" s="64"/>
      <c r="Z691" s="64"/>
      <c r="AA691" s="64"/>
      <c r="BS691" s="74"/>
      <c r="CQ691" s="37"/>
      <c r="CR691" s="37"/>
    </row>
    <row r="692" ht="18.75" customHeight="1">
      <c r="B692" s="71"/>
      <c r="D692" s="72"/>
      <c r="K692" s="73"/>
      <c r="P692" s="37" t="s">
        <v>29</v>
      </c>
      <c r="Q692" s="64"/>
      <c r="R692" s="64"/>
      <c r="S692" s="64"/>
      <c r="T692" s="64"/>
      <c r="U692" s="64"/>
      <c r="V692" s="64"/>
      <c r="W692" s="64"/>
      <c r="X692" s="64"/>
      <c r="Y692" s="64"/>
      <c r="Z692" s="64"/>
      <c r="AA692" s="64"/>
      <c r="BS692" s="74"/>
      <c r="CQ692" s="37"/>
      <c r="CR692" s="37"/>
    </row>
    <row r="693" ht="18.75" customHeight="1">
      <c r="B693" s="71"/>
      <c r="D693" s="72"/>
      <c r="K693" s="73"/>
      <c r="P693" s="37" t="s">
        <v>29</v>
      </c>
      <c r="Q693" s="64"/>
      <c r="R693" s="64"/>
      <c r="S693" s="64"/>
      <c r="T693" s="64"/>
      <c r="U693" s="64"/>
      <c r="V693" s="64"/>
      <c r="W693" s="64"/>
      <c r="X693" s="64"/>
      <c r="Y693" s="64"/>
      <c r="Z693" s="64"/>
      <c r="AA693" s="64"/>
      <c r="BS693" s="74"/>
      <c r="CQ693" s="37"/>
      <c r="CR693" s="37"/>
    </row>
    <row r="694" ht="18.75" customHeight="1">
      <c r="B694" s="71"/>
      <c r="D694" s="72"/>
      <c r="K694" s="73"/>
      <c r="P694" s="37" t="s">
        <v>29</v>
      </c>
      <c r="Q694" s="64"/>
      <c r="R694" s="64"/>
      <c r="S694" s="64"/>
      <c r="T694" s="64"/>
      <c r="U694" s="64"/>
      <c r="V694" s="64"/>
      <c r="W694" s="64"/>
      <c r="X694" s="64"/>
      <c r="Y694" s="64"/>
      <c r="Z694" s="64"/>
      <c r="AA694" s="64"/>
      <c r="BS694" s="74"/>
      <c r="CQ694" s="37"/>
      <c r="CR694" s="37"/>
    </row>
    <row r="695" ht="18.75" customHeight="1">
      <c r="B695" s="71"/>
      <c r="D695" s="72"/>
      <c r="K695" s="73"/>
      <c r="P695" s="37" t="s">
        <v>29</v>
      </c>
      <c r="Q695" s="64"/>
      <c r="R695" s="64"/>
      <c r="S695" s="64"/>
      <c r="T695" s="64"/>
      <c r="U695" s="64"/>
      <c r="V695" s="64"/>
      <c r="W695" s="64"/>
      <c r="X695" s="64"/>
      <c r="Y695" s="64"/>
      <c r="Z695" s="64"/>
      <c r="AA695" s="64"/>
      <c r="BS695" s="74"/>
      <c r="CQ695" s="37"/>
      <c r="CR695" s="37"/>
    </row>
    <row r="696" ht="18.75" customHeight="1">
      <c r="B696" s="71"/>
      <c r="D696" s="72"/>
      <c r="K696" s="73"/>
      <c r="P696" s="37" t="s">
        <v>29</v>
      </c>
      <c r="Q696" s="64"/>
      <c r="R696" s="64"/>
      <c r="S696" s="64"/>
      <c r="T696" s="64"/>
      <c r="U696" s="64"/>
      <c r="V696" s="64"/>
      <c r="W696" s="64"/>
      <c r="X696" s="64"/>
      <c r="Y696" s="64"/>
      <c r="Z696" s="64"/>
      <c r="AA696" s="64"/>
      <c r="BS696" s="74"/>
      <c r="CQ696" s="37"/>
      <c r="CR696" s="37"/>
    </row>
    <row r="697" ht="18.75" customHeight="1">
      <c r="B697" s="71"/>
      <c r="D697" s="72"/>
      <c r="K697" s="73"/>
      <c r="P697" s="37" t="s">
        <v>29</v>
      </c>
      <c r="Q697" s="64"/>
      <c r="R697" s="64"/>
      <c r="S697" s="64"/>
      <c r="T697" s="64"/>
      <c r="U697" s="64"/>
      <c r="V697" s="64"/>
      <c r="W697" s="64"/>
      <c r="X697" s="64"/>
      <c r="Y697" s="64"/>
      <c r="Z697" s="64"/>
      <c r="AA697" s="64"/>
      <c r="BS697" s="74"/>
      <c r="CQ697" s="37"/>
      <c r="CR697" s="37"/>
    </row>
    <row r="698" ht="18.75" customHeight="1">
      <c r="B698" s="71"/>
      <c r="D698" s="72"/>
      <c r="K698" s="73"/>
      <c r="P698" s="37" t="s">
        <v>29</v>
      </c>
      <c r="Q698" s="64"/>
      <c r="R698" s="64"/>
      <c r="S698" s="64"/>
      <c r="T698" s="64"/>
      <c r="U698" s="64"/>
      <c r="V698" s="64"/>
      <c r="W698" s="64"/>
      <c r="X698" s="64"/>
      <c r="Y698" s="64"/>
      <c r="Z698" s="64"/>
      <c r="AA698" s="64"/>
      <c r="BS698" s="74"/>
      <c r="CQ698" s="37"/>
      <c r="CR698" s="37"/>
    </row>
    <row r="699" ht="18.75" customHeight="1">
      <c r="B699" s="71"/>
      <c r="D699" s="72"/>
      <c r="K699" s="73"/>
      <c r="P699" s="37" t="s">
        <v>29</v>
      </c>
      <c r="Q699" s="64"/>
      <c r="R699" s="64"/>
      <c r="S699" s="64"/>
      <c r="T699" s="64"/>
      <c r="U699" s="64"/>
      <c r="V699" s="64"/>
      <c r="W699" s="64"/>
      <c r="X699" s="64"/>
      <c r="Y699" s="64"/>
      <c r="Z699" s="64"/>
      <c r="AA699" s="64"/>
      <c r="BS699" s="74"/>
      <c r="CQ699" s="37"/>
      <c r="CR699" s="37"/>
    </row>
    <row r="700" ht="18.75" customHeight="1">
      <c r="B700" s="71"/>
      <c r="D700" s="72"/>
      <c r="K700" s="73"/>
      <c r="P700" s="37" t="s">
        <v>29</v>
      </c>
      <c r="Q700" s="64"/>
      <c r="R700" s="64"/>
      <c r="S700" s="64"/>
      <c r="T700" s="64"/>
      <c r="U700" s="64"/>
      <c r="V700" s="64"/>
      <c r="W700" s="64"/>
      <c r="X700" s="64"/>
      <c r="Y700" s="64"/>
      <c r="Z700" s="64"/>
      <c r="AA700" s="64"/>
      <c r="BS700" s="74"/>
      <c r="CQ700" s="37"/>
      <c r="CR700" s="37"/>
    </row>
    <row r="701" ht="18.75" customHeight="1">
      <c r="B701" s="71"/>
      <c r="D701" s="72"/>
      <c r="K701" s="73"/>
      <c r="P701" s="37" t="s">
        <v>29</v>
      </c>
      <c r="Q701" s="64"/>
      <c r="R701" s="64"/>
      <c r="S701" s="64"/>
      <c r="T701" s="64"/>
      <c r="U701" s="64"/>
      <c r="V701" s="64"/>
      <c r="W701" s="64"/>
      <c r="X701" s="64"/>
      <c r="Y701" s="64"/>
      <c r="Z701" s="64"/>
      <c r="AA701" s="64"/>
      <c r="BS701" s="74"/>
      <c r="CQ701" s="37"/>
      <c r="CR701" s="37"/>
    </row>
    <row r="702" ht="18.75" customHeight="1">
      <c r="B702" s="71"/>
      <c r="D702" s="72"/>
      <c r="K702" s="73"/>
      <c r="P702" s="37" t="s">
        <v>29</v>
      </c>
      <c r="Q702" s="64"/>
      <c r="R702" s="64"/>
      <c r="S702" s="64"/>
      <c r="T702" s="64"/>
      <c r="U702" s="64"/>
      <c r="V702" s="64"/>
      <c r="W702" s="64"/>
      <c r="X702" s="64"/>
      <c r="Y702" s="64"/>
      <c r="Z702" s="64"/>
      <c r="AA702" s="64"/>
      <c r="BS702" s="74"/>
      <c r="CQ702" s="37"/>
      <c r="CR702" s="37"/>
    </row>
    <row r="703" ht="18.75" customHeight="1">
      <c r="B703" s="71"/>
      <c r="D703" s="72"/>
      <c r="K703" s="73"/>
      <c r="P703" s="37" t="s">
        <v>29</v>
      </c>
      <c r="Q703" s="64"/>
      <c r="R703" s="64"/>
      <c r="S703" s="64"/>
      <c r="T703" s="64"/>
      <c r="U703" s="64"/>
      <c r="V703" s="64"/>
      <c r="W703" s="64"/>
      <c r="X703" s="64"/>
      <c r="Y703" s="64"/>
      <c r="Z703" s="64"/>
      <c r="AA703" s="64"/>
      <c r="BS703" s="74"/>
      <c r="CQ703" s="37"/>
      <c r="CR703" s="37"/>
    </row>
    <row r="704" ht="18.75" customHeight="1">
      <c r="B704" s="71"/>
      <c r="D704" s="72"/>
      <c r="K704" s="73"/>
      <c r="P704" s="37" t="s">
        <v>29</v>
      </c>
      <c r="Q704" s="64"/>
      <c r="R704" s="64"/>
      <c r="S704" s="64"/>
      <c r="T704" s="64"/>
      <c r="U704" s="64"/>
      <c r="V704" s="64"/>
      <c r="W704" s="64"/>
      <c r="X704" s="64"/>
      <c r="Y704" s="64"/>
      <c r="Z704" s="64"/>
      <c r="AA704" s="64"/>
      <c r="BS704" s="74"/>
      <c r="CQ704" s="37"/>
      <c r="CR704" s="37"/>
    </row>
    <row r="705" ht="18.75" customHeight="1">
      <c r="B705" s="71"/>
      <c r="D705" s="72"/>
      <c r="K705" s="73"/>
      <c r="P705" s="37" t="s">
        <v>29</v>
      </c>
      <c r="Q705" s="64"/>
      <c r="R705" s="64"/>
      <c r="S705" s="64"/>
      <c r="T705" s="64"/>
      <c r="U705" s="64"/>
      <c r="V705" s="64"/>
      <c r="W705" s="64"/>
      <c r="X705" s="64"/>
      <c r="Y705" s="64"/>
      <c r="Z705" s="64"/>
      <c r="AA705" s="64"/>
      <c r="BS705" s="74"/>
      <c r="CQ705" s="37"/>
      <c r="CR705" s="37"/>
    </row>
    <row r="706" ht="18.75" customHeight="1">
      <c r="B706" s="71"/>
      <c r="D706" s="72"/>
      <c r="K706" s="73"/>
      <c r="P706" s="37" t="s">
        <v>29</v>
      </c>
      <c r="Q706" s="64"/>
      <c r="R706" s="64"/>
      <c r="S706" s="64"/>
      <c r="T706" s="64"/>
      <c r="U706" s="64"/>
      <c r="V706" s="64"/>
      <c r="W706" s="64"/>
      <c r="X706" s="64"/>
      <c r="Y706" s="64"/>
      <c r="Z706" s="64"/>
      <c r="AA706" s="64"/>
      <c r="BS706" s="74"/>
      <c r="CQ706" s="37"/>
      <c r="CR706" s="37"/>
    </row>
    <row r="707" ht="18.75" customHeight="1">
      <c r="B707" s="71"/>
      <c r="D707" s="72"/>
      <c r="K707" s="73"/>
      <c r="P707" s="37" t="s">
        <v>29</v>
      </c>
      <c r="Q707" s="64"/>
      <c r="R707" s="64"/>
      <c r="S707" s="64"/>
      <c r="T707" s="64"/>
      <c r="U707" s="64"/>
      <c r="V707" s="64"/>
      <c r="W707" s="64"/>
      <c r="X707" s="64"/>
      <c r="Y707" s="64"/>
      <c r="Z707" s="64"/>
      <c r="AA707" s="64"/>
      <c r="BS707" s="74"/>
      <c r="CQ707" s="37"/>
      <c r="CR707" s="37"/>
    </row>
    <row r="708" ht="18.75" customHeight="1">
      <c r="B708" s="71"/>
      <c r="D708" s="72"/>
      <c r="K708" s="73"/>
      <c r="P708" s="37" t="s">
        <v>29</v>
      </c>
      <c r="Q708" s="64"/>
      <c r="R708" s="64"/>
      <c r="S708" s="64"/>
      <c r="T708" s="64"/>
      <c r="U708" s="64"/>
      <c r="V708" s="64"/>
      <c r="W708" s="64"/>
      <c r="X708" s="64"/>
      <c r="Y708" s="64"/>
      <c r="Z708" s="64"/>
      <c r="AA708" s="64"/>
      <c r="BS708" s="74"/>
      <c r="CQ708" s="37"/>
      <c r="CR708" s="37"/>
    </row>
    <row r="709" ht="18.75" customHeight="1">
      <c r="B709" s="71"/>
      <c r="D709" s="72"/>
      <c r="K709" s="73"/>
      <c r="P709" s="37" t="s">
        <v>29</v>
      </c>
      <c r="Q709" s="64"/>
      <c r="R709" s="64"/>
      <c r="S709" s="64"/>
      <c r="T709" s="64"/>
      <c r="U709" s="64"/>
      <c r="V709" s="64"/>
      <c r="W709" s="64"/>
      <c r="X709" s="64"/>
      <c r="Y709" s="64"/>
      <c r="Z709" s="64"/>
      <c r="AA709" s="64"/>
      <c r="BS709" s="74"/>
      <c r="CQ709" s="37"/>
      <c r="CR709" s="37"/>
    </row>
    <row r="710" ht="18.75" customHeight="1">
      <c r="B710" s="71"/>
      <c r="D710" s="72"/>
      <c r="K710" s="73"/>
      <c r="P710" s="37" t="s">
        <v>29</v>
      </c>
      <c r="Q710" s="64"/>
      <c r="R710" s="64"/>
      <c r="S710" s="64"/>
      <c r="T710" s="64"/>
      <c r="U710" s="64"/>
      <c r="V710" s="64"/>
      <c r="W710" s="64"/>
      <c r="X710" s="64"/>
      <c r="Y710" s="64"/>
      <c r="Z710" s="64"/>
      <c r="AA710" s="64"/>
      <c r="BS710" s="74"/>
      <c r="CQ710" s="37"/>
      <c r="CR710" s="37"/>
    </row>
    <row r="711" ht="18.75" customHeight="1">
      <c r="B711" s="71"/>
      <c r="D711" s="72"/>
      <c r="K711" s="73"/>
      <c r="P711" s="37" t="s">
        <v>29</v>
      </c>
      <c r="Q711" s="64"/>
      <c r="R711" s="64"/>
      <c r="S711" s="64"/>
      <c r="T711" s="64"/>
      <c r="U711" s="64"/>
      <c r="V711" s="64"/>
      <c r="W711" s="64"/>
      <c r="X711" s="64"/>
      <c r="Y711" s="64"/>
      <c r="Z711" s="64"/>
      <c r="AA711" s="64"/>
      <c r="BS711" s="74"/>
      <c r="CQ711" s="37"/>
      <c r="CR711" s="37"/>
    </row>
    <row r="712" ht="18.75" customHeight="1">
      <c r="B712" s="71"/>
      <c r="D712" s="72"/>
      <c r="K712" s="73"/>
      <c r="P712" s="37" t="s">
        <v>29</v>
      </c>
      <c r="Q712" s="64"/>
      <c r="R712" s="64"/>
      <c r="S712" s="64"/>
      <c r="T712" s="64"/>
      <c r="U712" s="64"/>
      <c r="V712" s="64"/>
      <c r="W712" s="64"/>
      <c r="X712" s="64"/>
      <c r="Y712" s="64"/>
      <c r="Z712" s="64"/>
      <c r="AA712" s="64"/>
      <c r="BS712" s="74"/>
      <c r="CQ712" s="37"/>
      <c r="CR712" s="37"/>
    </row>
    <row r="713" ht="18.75" customHeight="1">
      <c r="B713" s="71"/>
      <c r="D713" s="72"/>
      <c r="K713" s="73"/>
      <c r="P713" s="37" t="s">
        <v>29</v>
      </c>
      <c r="Q713" s="64"/>
      <c r="R713" s="64"/>
      <c r="S713" s="64"/>
      <c r="T713" s="64"/>
      <c r="U713" s="64"/>
      <c r="V713" s="64"/>
      <c r="W713" s="64"/>
      <c r="X713" s="64"/>
      <c r="Y713" s="64"/>
      <c r="Z713" s="64"/>
      <c r="AA713" s="64"/>
      <c r="BS713" s="74"/>
      <c r="CQ713" s="37"/>
      <c r="CR713" s="37"/>
    </row>
    <row r="714" ht="18.75" customHeight="1">
      <c r="B714" s="71"/>
      <c r="D714" s="72"/>
      <c r="K714" s="73"/>
      <c r="P714" s="37" t="s">
        <v>29</v>
      </c>
      <c r="Q714" s="64"/>
      <c r="R714" s="64"/>
      <c r="S714" s="64"/>
      <c r="T714" s="64"/>
      <c r="U714" s="64"/>
      <c r="V714" s="64"/>
      <c r="W714" s="64"/>
      <c r="X714" s="64"/>
      <c r="Y714" s="64"/>
      <c r="Z714" s="64"/>
      <c r="AA714" s="64"/>
      <c r="BS714" s="74"/>
      <c r="CQ714" s="37"/>
      <c r="CR714" s="37"/>
    </row>
    <row r="715" ht="18.75" customHeight="1">
      <c r="B715" s="71"/>
      <c r="D715" s="72"/>
      <c r="K715" s="73"/>
      <c r="P715" s="37" t="s">
        <v>29</v>
      </c>
      <c r="Q715" s="64"/>
      <c r="R715" s="64"/>
      <c r="S715" s="64"/>
      <c r="T715" s="64"/>
      <c r="U715" s="64"/>
      <c r="V715" s="64"/>
      <c r="W715" s="64"/>
      <c r="X715" s="64"/>
      <c r="Y715" s="64"/>
      <c r="Z715" s="64"/>
      <c r="AA715" s="64"/>
      <c r="BS715" s="74"/>
      <c r="CQ715" s="37"/>
      <c r="CR715" s="37"/>
    </row>
    <row r="716" ht="18.75" customHeight="1">
      <c r="B716" s="71"/>
      <c r="D716" s="72"/>
      <c r="K716" s="73"/>
      <c r="P716" s="37" t="s">
        <v>29</v>
      </c>
      <c r="Q716" s="64"/>
      <c r="R716" s="64"/>
      <c r="S716" s="64"/>
      <c r="T716" s="64"/>
      <c r="U716" s="64"/>
      <c r="V716" s="64"/>
      <c r="W716" s="64"/>
      <c r="X716" s="64"/>
      <c r="Y716" s="64"/>
      <c r="Z716" s="64"/>
      <c r="AA716" s="64"/>
      <c r="BS716" s="74"/>
      <c r="CQ716" s="37"/>
      <c r="CR716" s="37"/>
    </row>
    <row r="717" ht="18.75" customHeight="1">
      <c r="B717" s="71"/>
      <c r="D717" s="72"/>
      <c r="K717" s="73"/>
      <c r="P717" s="37" t="s">
        <v>29</v>
      </c>
      <c r="Q717" s="64"/>
      <c r="R717" s="64"/>
      <c r="S717" s="64"/>
      <c r="T717" s="64"/>
      <c r="U717" s="64"/>
      <c r="V717" s="64"/>
      <c r="W717" s="64"/>
      <c r="X717" s="64"/>
      <c r="Y717" s="64"/>
      <c r="Z717" s="64"/>
      <c r="AA717" s="64"/>
      <c r="BS717" s="74"/>
      <c r="CQ717" s="37"/>
      <c r="CR717" s="37"/>
    </row>
    <row r="718" ht="18.75" customHeight="1">
      <c r="B718" s="71"/>
      <c r="D718" s="72"/>
      <c r="K718" s="73"/>
      <c r="P718" s="37" t="s">
        <v>29</v>
      </c>
      <c r="Q718" s="64"/>
      <c r="R718" s="64"/>
      <c r="S718" s="64"/>
      <c r="T718" s="64"/>
      <c r="U718" s="64"/>
      <c r="V718" s="64"/>
      <c r="W718" s="64"/>
      <c r="X718" s="64"/>
      <c r="Y718" s="64"/>
      <c r="Z718" s="64"/>
      <c r="AA718" s="64"/>
      <c r="BS718" s="74"/>
      <c r="CQ718" s="37"/>
      <c r="CR718" s="37"/>
    </row>
    <row r="719" ht="18.75" customHeight="1">
      <c r="B719" s="71"/>
      <c r="D719" s="72"/>
      <c r="K719" s="73"/>
      <c r="P719" s="37" t="s">
        <v>29</v>
      </c>
      <c r="Q719" s="64"/>
      <c r="R719" s="64"/>
      <c r="S719" s="64"/>
      <c r="T719" s="64"/>
      <c r="U719" s="64"/>
      <c r="V719" s="64"/>
      <c r="W719" s="64"/>
      <c r="X719" s="64"/>
      <c r="Y719" s="64"/>
      <c r="Z719" s="64"/>
      <c r="AA719" s="64"/>
      <c r="BS719" s="74"/>
      <c r="CQ719" s="37"/>
      <c r="CR719" s="37"/>
    </row>
    <row r="720" ht="18.75" customHeight="1">
      <c r="B720" s="71"/>
      <c r="D720" s="72"/>
      <c r="K720" s="73"/>
      <c r="P720" s="37" t="s">
        <v>29</v>
      </c>
      <c r="Q720" s="64"/>
      <c r="R720" s="64"/>
      <c r="S720" s="64"/>
      <c r="T720" s="64"/>
      <c r="U720" s="64"/>
      <c r="V720" s="64"/>
      <c r="W720" s="64"/>
      <c r="X720" s="64"/>
      <c r="Y720" s="64"/>
      <c r="Z720" s="64"/>
      <c r="AA720" s="64"/>
      <c r="BS720" s="74"/>
      <c r="CQ720" s="37"/>
      <c r="CR720" s="37"/>
    </row>
    <row r="721" ht="18.75" customHeight="1">
      <c r="B721" s="71"/>
      <c r="D721" s="72"/>
      <c r="K721" s="73"/>
      <c r="P721" s="37" t="s">
        <v>29</v>
      </c>
      <c r="Q721" s="64"/>
      <c r="R721" s="64"/>
      <c r="S721" s="64"/>
      <c r="T721" s="64"/>
      <c r="U721" s="64"/>
      <c r="V721" s="64"/>
      <c r="W721" s="64"/>
      <c r="X721" s="64"/>
      <c r="Y721" s="64"/>
      <c r="Z721" s="64"/>
      <c r="AA721" s="64"/>
      <c r="BS721" s="74"/>
      <c r="CQ721" s="37"/>
      <c r="CR721" s="37"/>
    </row>
    <row r="722" ht="18.75" customHeight="1">
      <c r="B722" s="71"/>
      <c r="D722" s="72"/>
      <c r="K722" s="73"/>
      <c r="P722" s="37" t="s">
        <v>29</v>
      </c>
      <c r="Q722" s="64"/>
      <c r="R722" s="64"/>
      <c r="S722" s="64"/>
      <c r="T722" s="64"/>
      <c r="U722" s="64"/>
      <c r="V722" s="64"/>
      <c r="W722" s="64"/>
      <c r="X722" s="64"/>
      <c r="Y722" s="64"/>
      <c r="Z722" s="64"/>
      <c r="AA722" s="64"/>
      <c r="BS722" s="74"/>
      <c r="CQ722" s="37"/>
      <c r="CR722" s="37"/>
    </row>
    <row r="723" ht="18.75" customHeight="1">
      <c r="B723" s="71"/>
      <c r="D723" s="72"/>
      <c r="K723" s="73"/>
      <c r="P723" s="37" t="s">
        <v>29</v>
      </c>
      <c r="Q723" s="64"/>
      <c r="R723" s="64"/>
      <c r="S723" s="64"/>
      <c r="T723" s="64"/>
      <c r="U723" s="64"/>
      <c r="V723" s="64"/>
      <c r="W723" s="64"/>
      <c r="X723" s="64"/>
      <c r="Y723" s="64"/>
      <c r="Z723" s="64"/>
      <c r="AA723" s="64"/>
      <c r="BS723" s="74"/>
      <c r="CQ723" s="37"/>
      <c r="CR723" s="37"/>
    </row>
    <row r="724" ht="18.75" customHeight="1">
      <c r="B724" s="71"/>
      <c r="D724" s="72"/>
      <c r="K724" s="73"/>
      <c r="P724" s="37" t="s">
        <v>29</v>
      </c>
      <c r="Q724" s="64"/>
      <c r="R724" s="64"/>
      <c r="S724" s="64"/>
      <c r="T724" s="64"/>
      <c r="U724" s="64"/>
      <c r="V724" s="64"/>
      <c r="W724" s="64"/>
      <c r="X724" s="64"/>
      <c r="Y724" s="64"/>
      <c r="Z724" s="64"/>
      <c r="AA724" s="64"/>
      <c r="BS724" s="74"/>
      <c r="CQ724" s="37"/>
      <c r="CR724" s="37"/>
    </row>
    <row r="725" ht="18.75" customHeight="1">
      <c r="B725" s="71"/>
      <c r="D725" s="72"/>
      <c r="K725" s="73"/>
      <c r="P725" s="37" t="s">
        <v>29</v>
      </c>
      <c r="Q725" s="64"/>
      <c r="R725" s="64"/>
      <c r="S725" s="64"/>
      <c r="T725" s="64"/>
      <c r="U725" s="64"/>
      <c r="V725" s="64"/>
      <c r="W725" s="64"/>
      <c r="X725" s="64"/>
      <c r="Y725" s="64"/>
      <c r="Z725" s="64"/>
      <c r="AA725" s="64"/>
      <c r="BS725" s="74"/>
      <c r="CQ725" s="37"/>
      <c r="CR725" s="37"/>
    </row>
    <row r="726" ht="18.75" customHeight="1">
      <c r="B726" s="71"/>
      <c r="D726" s="72"/>
      <c r="K726" s="73"/>
      <c r="P726" s="37" t="s">
        <v>29</v>
      </c>
      <c r="Q726" s="64"/>
      <c r="R726" s="64"/>
      <c r="S726" s="64"/>
      <c r="T726" s="64"/>
      <c r="U726" s="64"/>
      <c r="V726" s="64"/>
      <c r="W726" s="64"/>
      <c r="X726" s="64"/>
      <c r="Y726" s="64"/>
      <c r="Z726" s="64"/>
      <c r="AA726" s="64"/>
      <c r="BS726" s="74"/>
      <c r="CQ726" s="37"/>
      <c r="CR726" s="37"/>
    </row>
    <row r="727" ht="18.75" customHeight="1">
      <c r="B727" s="71"/>
      <c r="D727" s="72"/>
      <c r="K727" s="73"/>
      <c r="P727" s="37" t="s">
        <v>29</v>
      </c>
      <c r="Q727" s="64"/>
      <c r="R727" s="64"/>
      <c r="S727" s="64"/>
      <c r="T727" s="64"/>
      <c r="U727" s="64"/>
      <c r="V727" s="64"/>
      <c r="W727" s="64"/>
      <c r="X727" s="64"/>
      <c r="Y727" s="64"/>
      <c r="Z727" s="64"/>
      <c r="AA727" s="64"/>
      <c r="BS727" s="74"/>
      <c r="CQ727" s="37"/>
      <c r="CR727" s="37"/>
    </row>
    <row r="728" ht="18.75" customHeight="1">
      <c r="B728" s="71"/>
      <c r="D728" s="72"/>
      <c r="K728" s="73"/>
      <c r="P728" s="37" t="s">
        <v>29</v>
      </c>
      <c r="Q728" s="64"/>
      <c r="R728" s="64"/>
      <c r="S728" s="64"/>
      <c r="T728" s="64"/>
      <c r="U728" s="64"/>
      <c r="V728" s="64"/>
      <c r="W728" s="64"/>
      <c r="X728" s="64"/>
      <c r="Y728" s="64"/>
      <c r="Z728" s="64"/>
      <c r="AA728" s="64"/>
      <c r="BS728" s="74"/>
      <c r="CQ728" s="37"/>
      <c r="CR728" s="37"/>
    </row>
    <row r="729" ht="18.75" customHeight="1">
      <c r="B729" s="71"/>
      <c r="D729" s="72"/>
      <c r="K729" s="73"/>
      <c r="P729" s="37" t="s">
        <v>29</v>
      </c>
      <c r="Q729" s="64"/>
      <c r="R729" s="64"/>
      <c r="S729" s="64"/>
      <c r="T729" s="64"/>
      <c r="U729" s="64"/>
      <c r="V729" s="64"/>
      <c r="W729" s="64"/>
      <c r="X729" s="64"/>
      <c r="Y729" s="64"/>
      <c r="Z729" s="64"/>
      <c r="AA729" s="64"/>
      <c r="BS729" s="74"/>
      <c r="CQ729" s="37"/>
      <c r="CR729" s="37"/>
    </row>
    <row r="730" ht="18.75" customHeight="1">
      <c r="B730" s="71"/>
      <c r="D730" s="72"/>
      <c r="K730" s="73"/>
      <c r="P730" s="37" t="s">
        <v>29</v>
      </c>
      <c r="Q730" s="64"/>
      <c r="R730" s="64"/>
      <c r="S730" s="64"/>
      <c r="T730" s="64"/>
      <c r="U730" s="64"/>
      <c r="V730" s="64"/>
      <c r="W730" s="64"/>
      <c r="X730" s="64"/>
      <c r="Y730" s="64"/>
      <c r="Z730" s="64"/>
      <c r="AA730" s="64"/>
      <c r="BS730" s="74"/>
      <c r="CQ730" s="37"/>
      <c r="CR730" s="37"/>
    </row>
    <row r="731" ht="18.75" customHeight="1">
      <c r="B731" s="71"/>
      <c r="D731" s="72"/>
      <c r="K731" s="73"/>
      <c r="P731" s="37" t="s">
        <v>29</v>
      </c>
      <c r="Q731" s="64"/>
      <c r="R731" s="64"/>
      <c r="S731" s="64"/>
      <c r="T731" s="64"/>
      <c r="U731" s="64"/>
      <c r="V731" s="64"/>
      <c r="W731" s="64"/>
      <c r="X731" s="64"/>
      <c r="Y731" s="64"/>
      <c r="Z731" s="64"/>
      <c r="AA731" s="64"/>
      <c r="BS731" s="74"/>
      <c r="CQ731" s="37"/>
      <c r="CR731" s="37"/>
    </row>
    <row r="732" ht="18.75" customHeight="1">
      <c r="B732" s="71"/>
      <c r="D732" s="72"/>
      <c r="K732" s="73"/>
      <c r="P732" s="37" t="s">
        <v>29</v>
      </c>
      <c r="Q732" s="64"/>
      <c r="R732" s="64"/>
      <c r="S732" s="64"/>
      <c r="T732" s="64"/>
      <c r="U732" s="64"/>
      <c r="V732" s="64"/>
      <c r="W732" s="64"/>
      <c r="X732" s="64"/>
      <c r="Y732" s="64"/>
      <c r="Z732" s="64"/>
      <c r="AA732" s="64"/>
      <c r="BS732" s="74"/>
      <c r="CQ732" s="37"/>
      <c r="CR732" s="37"/>
    </row>
    <row r="733" ht="18.75" customHeight="1">
      <c r="B733" s="71"/>
      <c r="D733" s="72"/>
      <c r="K733" s="73"/>
      <c r="P733" s="37" t="s">
        <v>29</v>
      </c>
      <c r="Q733" s="64"/>
      <c r="R733" s="64"/>
      <c r="S733" s="64"/>
      <c r="T733" s="64"/>
      <c r="U733" s="64"/>
      <c r="V733" s="64"/>
      <c r="W733" s="64"/>
      <c r="X733" s="64"/>
      <c r="Y733" s="64"/>
      <c r="Z733" s="64"/>
      <c r="AA733" s="64"/>
      <c r="BS733" s="74"/>
      <c r="CQ733" s="37"/>
      <c r="CR733" s="37"/>
    </row>
    <row r="734" ht="18.75" customHeight="1">
      <c r="B734" s="71"/>
      <c r="D734" s="72"/>
      <c r="K734" s="73"/>
      <c r="P734" s="37" t="s">
        <v>29</v>
      </c>
      <c r="Q734" s="64"/>
      <c r="R734" s="64"/>
      <c r="S734" s="64"/>
      <c r="T734" s="64"/>
      <c r="U734" s="64"/>
      <c r="V734" s="64"/>
      <c r="W734" s="64"/>
      <c r="X734" s="64"/>
      <c r="Y734" s="64"/>
      <c r="Z734" s="64"/>
      <c r="AA734" s="64"/>
      <c r="BS734" s="74"/>
      <c r="CQ734" s="37"/>
      <c r="CR734" s="37"/>
    </row>
    <row r="735" ht="18.75" customHeight="1">
      <c r="B735" s="71"/>
      <c r="D735" s="72"/>
      <c r="K735" s="73"/>
      <c r="P735" s="37" t="s">
        <v>29</v>
      </c>
      <c r="Q735" s="64"/>
      <c r="R735" s="64"/>
      <c r="S735" s="64"/>
      <c r="T735" s="64"/>
      <c r="U735" s="64"/>
      <c r="V735" s="64"/>
      <c r="W735" s="64"/>
      <c r="X735" s="64"/>
      <c r="Y735" s="64"/>
      <c r="Z735" s="64"/>
      <c r="AA735" s="64"/>
      <c r="BS735" s="74"/>
      <c r="CQ735" s="37"/>
      <c r="CR735" s="37"/>
    </row>
    <row r="736" ht="18.75" customHeight="1">
      <c r="B736" s="71"/>
      <c r="D736" s="72"/>
      <c r="K736" s="73"/>
      <c r="P736" s="37" t="s">
        <v>29</v>
      </c>
      <c r="Q736" s="64"/>
      <c r="R736" s="64"/>
      <c r="S736" s="64"/>
      <c r="T736" s="64"/>
      <c r="U736" s="64"/>
      <c r="V736" s="64"/>
      <c r="W736" s="64"/>
      <c r="X736" s="64"/>
      <c r="Y736" s="64"/>
      <c r="Z736" s="64"/>
      <c r="AA736" s="64"/>
      <c r="BS736" s="74"/>
      <c r="CQ736" s="37"/>
      <c r="CR736" s="37"/>
    </row>
    <row r="737" ht="18.75" customHeight="1">
      <c r="B737" s="71"/>
      <c r="D737" s="72"/>
      <c r="K737" s="73"/>
      <c r="P737" s="37" t="s">
        <v>29</v>
      </c>
      <c r="Q737" s="64"/>
      <c r="R737" s="64"/>
      <c r="S737" s="64"/>
      <c r="T737" s="64"/>
      <c r="U737" s="64"/>
      <c r="V737" s="64"/>
      <c r="W737" s="64"/>
      <c r="X737" s="64"/>
      <c r="Y737" s="64"/>
      <c r="Z737" s="64"/>
      <c r="AA737" s="64"/>
      <c r="BS737" s="74"/>
      <c r="CQ737" s="37"/>
      <c r="CR737" s="37"/>
    </row>
    <row r="738" ht="18.75" customHeight="1">
      <c r="B738" s="71"/>
      <c r="D738" s="72"/>
      <c r="K738" s="73"/>
      <c r="P738" s="37" t="s">
        <v>29</v>
      </c>
      <c r="Q738" s="64"/>
      <c r="R738" s="64"/>
      <c r="S738" s="64"/>
      <c r="T738" s="64"/>
      <c r="U738" s="64"/>
      <c r="V738" s="64"/>
      <c r="W738" s="64"/>
      <c r="X738" s="64"/>
      <c r="Y738" s="64"/>
      <c r="Z738" s="64"/>
      <c r="AA738" s="64"/>
      <c r="BS738" s="74"/>
      <c r="CQ738" s="37"/>
      <c r="CR738" s="37"/>
    </row>
    <row r="739" ht="18.75" customHeight="1">
      <c r="B739" s="71"/>
      <c r="D739" s="72"/>
      <c r="K739" s="73"/>
      <c r="P739" s="37" t="s">
        <v>29</v>
      </c>
      <c r="Q739" s="64"/>
      <c r="R739" s="64"/>
      <c r="S739" s="64"/>
      <c r="T739" s="64"/>
      <c r="U739" s="64"/>
      <c r="V739" s="64"/>
      <c r="W739" s="64"/>
      <c r="X739" s="64"/>
      <c r="Y739" s="64"/>
      <c r="Z739" s="64"/>
      <c r="AA739" s="64"/>
      <c r="BS739" s="74"/>
      <c r="CQ739" s="37"/>
      <c r="CR739" s="37"/>
    </row>
    <row r="740" ht="18.75" customHeight="1">
      <c r="B740" s="71"/>
      <c r="D740" s="72"/>
      <c r="K740" s="73"/>
      <c r="P740" s="37" t="s">
        <v>29</v>
      </c>
      <c r="Q740" s="64"/>
      <c r="R740" s="64"/>
      <c r="S740" s="64"/>
      <c r="T740" s="64"/>
      <c r="U740" s="64"/>
      <c r="V740" s="64"/>
      <c r="W740" s="64"/>
      <c r="X740" s="64"/>
      <c r="Y740" s="64"/>
      <c r="Z740" s="64"/>
      <c r="AA740" s="64"/>
      <c r="BS740" s="74"/>
      <c r="CQ740" s="37"/>
      <c r="CR740" s="37"/>
    </row>
    <row r="741" ht="18.75" customHeight="1">
      <c r="B741" s="71"/>
      <c r="D741" s="72"/>
      <c r="K741" s="73"/>
      <c r="P741" s="37" t="s">
        <v>29</v>
      </c>
      <c r="Q741" s="64"/>
      <c r="R741" s="64"/>
      <c r="S741" s="64"/>
      <c r="T741" s="64"/>
      <c r="U741" s="64"/>
      <c r="V741" s="64"/>
      <c r="W741" s="64"/>
      <c r="X741" s="64"/>
      <c r="Y741" s="64"/>
      <c r="Z741" s="64"/>
      <c r="AA741" s="64"/>
      <c r="BS741" s="74"/>
      <c r="CQ741" s="37"/>
      <c r="CR741" s="37"/>
    </row>
    <row r="742" ht="18.75" customHeight="1">
      <c r="B742" s="71"/>
      <c r="D742" s="72"/>
      <c r="K742" s="73"/>
      <c r="P742" s="37" t="s">
        <v>29</v>
      </c>
      <c r="Q742" s="64"/>
      <c r="R742" s="64"/>
      <c r="S742" s="64"/>
      <c r="T742" s="64"/>
      <c r="U742" s="64"/>
      <c r="V742" s="64"/>
      <c r="W742" s="64"/>
      <c r="X742" s="64"/>
      <c r="Y742" s="64"/>
      <c r="Z742" s="64"/>
      <c r="AA742" s="64"/>
      <c r="BS742" s="74"/>
      <c r="CQ742" s="37"/>
      <c r="CR742" s="37"/>
    </row>
    <row r="743" ht="18.75" customHeight="1">
      <c r="B743" s="71"/>
      <c r="D743" s="72"/>
      <c r="K743" s="73"/>
      <c r="P743" s="37" t="s">
        <v>29</v>
      </c>
      <c r="Q743" s="64"/>
      <c r="R743" s="64"/>
      <c r="S743" s="64"/>
      <c r="T743" s="64"/>
      <c r="U743" s="64"/>
      <c r="V743" s="64"/>
      <c r="W743" s="64"/>
      <c r="X743" s="64"/>
      <c r="Y743" s="64"/>
      <c r="Z743" s="64"/>
      <c r="AA743" s="64"/>
      <c r="BS743" s="74"/>
      <c r="CQ743" s="37"/>
      <c r="CR743" s="37"/>
    </row>
    <row r="744" ht="18.75" customHeight="1">
      <c r="B744" s="71"/>
      <c r="D744" s="72"/>
      <c r="K744" s="73"/>
      <c r="P744" s="37" t="s">
        <v>29</v>
      </c>
      <c r="Q744" s="64"/>
      <c r="R744" s="64"/>
      <c r="S744" s="64"/>
      <c r="T744" s="64"/>
      <c r="U744" s="64"/>
      <c r="V744" s="64"/>
      <c r="W744" s="64"/>
      <c r="X744" s="64"/>
      <c r="Y744" s="64"/>
      <c r="Z744" s="64"/>
      <c r="AA744" s="64"/>
      <c r="BS744" s="74"/>
      <c r="CQ744" s="37"/>
      <c r="CR744" s="37"/>
    </row>
    <row r="745" ht="18.75" customHeight="1">
      <c r="B745" s="71"/>
      <c r="D745" s="72"/>
      <c r="K745" s="73"/>
      <c r="P745" s="37" t="s">
        <v>29</v>
      </c>
      <c r="Q745" s="64"/>
      <c r="R745" s="64"/>
      <c r="S745" s="64"/>
      <c r="T745" s="64"/>
      <c r="U745" s="64"/>
      <c r="V745" s="64"/>
      <c r="W745" s="64"/>
      <c r="X745" s="64"/>
      <c r="Y745" s="64"/>
      <c r="Z745" s="64"/>
      <c r="AA745" s="64"/>
      <c r="BS745" s="74"/>
      <c r="CQ745" s="37"/>
      <c r="CR745" s="37"/>
    </row>
    <row r="746" ht="18.75" customHeight="1">
      <c r="B746" s="71"/>
      <c r="D746" s="72"/>
      <c r="K746" s="73"/>
      <c r="P746" s="37" t="s">
        <v>29</v>
      </c>
      <c r="Q746" s="64"/>
      <c r="R746" s="64"/>
      <c r="S746" s="64"/>
      <c r="T746" s="64"/>
      <c r="U746" s="64"/>
      <c r="V746" s="64"/>
      <c r="W746" s="64"/>
      <c r="X746" s="64"/>
      <c r="Y746" s="64"/>
      <c r="Z746" s="64"/>
      <c r="AA746" s="64"/>
      <c r="BS746" s="74"/>
      <c r="CQ746" s="37"/>
      <c r="CR746" s="37"/>
    </row>
    <row r="747" ht="18.75" customHeight="1">
      <c r="B747" s="71"/>
      <c r="D747" s="72"/>
      <c r="K747" s="73"/>
      <c r="P747" s="37" t="s">
        <v>29</v>
      </c>
      <c r="Q747" s="64"/>
      <c r="R747" s="64"/>
      <c r="S747" s="64"/>
      <c r="T747" s="64"/>
      <c r="U747" s="64"/>
      <c r="V747" s="64"/>
      <c r="W747" s="64"/>
      <c r="X747" s="64"/>
      <c r="Y747" s="64"/>
      <c r="Z747" s="64"/>
      <c r="AA747" s="64"/>
      <c r="BS747" s="74"/>
      <c r="CQ747" s="37"/>
      <c r="CR747" s="37"/>
    </row>
    <row r="748" ht="18.75" customHeight="1">
      <c r="B748" s="71"/>
      <c r="D748" s="72"/>
      <c r="K748" s="73"/>
      <c r="P748" s="37" t="s">
        <v>29</v>
      </c>
      <c r="Q748" s="64"/>
      <c r="R748" s="64"/>
      <c r="S748" s="64"/>
      <c r="T748" s="64"/>
      <c r="U748" s="64"/>
      <c r="V748" s="64"/>
      <c r="W748" s="64"/>
      <c r="X748" s="64"/>
      <c r="Y748" s="64"/>
      <c r="Z748" s="64"/>
      <c r="AA748" s="64"/>
      <c r="BS748" s="74"/>
      <c r="CQ748" s="37"/>
      <c r="CR748" s="37"/>
    </row>
    <row r="749" ht="18.75" customHeight="1">
      <c r="B749" s="71"/>
      <c r="D749" s="72"/>
      <c r="K749" s="73"/>
      <c r="P749" s="37" t="s">
        <v>29</v>
      </c>
      <c r="Q749" s="64"/>
      <c r="R749" s="64"/>
      <c r="S749" s="64"/>
      <c r="T749" s="64"/>
      <c r="U749" s="64"/>
      <c r="V749" s="64"/>
      <c r="W749" s="64"/>
      <c r="X749" s="64"/>
      <c r="Y749" s="64"/>
      <c r="Z749" s="64"/>
      <c r="AA749" s="64"/>
      <c r="BS749" s="74"/>
      <c r="CQ749" s="37"/>
      <c r="CR749" s="37"/>
    </row>
    <row r="750" ht="18.75" customHeight="1">
      <c r="B750" s="71"/>
      <c r="D750" s="72"/>
      <c r="K750" s="73"/>
      <c r="P750" s="37" t="s">
        <v>29</v>
      </c>
      <c r="Q750" s="64"/>
      <c r="R750" s="64"/>
      <c r="S750" s="64"/>
      <c r="T750" s="64"/>
      <c r="U750" s="64"/>
      <c r="V750" s="64"/>
      <c r="W750" s="64"/>
      <c r="X750" s="64"/>
      <c r="Y750" s="64"/>
      <c r="Z750" s="64"/>
      <c r="AA750" s="64"/>
      <c r="BS750" s="74"/>
      <c r="CQ750" s="37"/>
      <c r="CR750" s="37"/>
    </row>
    <row r="751" ht="18.75" customHeight="1">
      <c r="B751" s="71"/>
      <c r="D751" s="72"/>
      <c r="K751" s="73"/>
      <c r="P751" s="37" t="s">
        <v>29</v>
      </c>
      <c r="Q751" s="64"/>
      <c r="R751" s="64"/>
      <c r="S751" s="64"/>
      <c r="T751" s="64"/>
      <c r="U751" s="64"/>
      <c r="V751" s="64"/>
      <c r="W751" s="64"/>
      <c r="X751" s="64"/>
      <c r="Y751" s="64"/>
      <c r="Z751" s="64"/>
      <c r="AA751" s="64"/>
      <c r="BS751" s="74"/>
      <c r="CQ751" s="37"/>
      <c r="CR751" s="37"/>
    </row>
    <row r="752" ht="18.75" customHeight="1">
      <c r="B752" s="71"/>
      <c r="D752" s="72"/>
      <c r="K752" s="73"/>
      <c r="P752" s="37" t="s">
        <v>29</v>
      </c>
      <c r="Q752" s="64"/>
      <c r="R752" s="64"/>
      <c r="S752" s="64"/>
      <c r="T752" s="64"/>
      <c r="U752" s="64"/>
      <c r="V752" s="64"/>
      <c r="W752" s="64"/>
      <c r="X752" s="64"/>
      <c r="Y752" s="64"/>
      <c r="Z752" s="64"/>
      <c r="AA752" s="64"/>
      <c r="BS752" s="74"/>
      <c r="CQ752" s="37"/>
      <c r="CR752" s="37"/>
    </row>
    <row r="753" ht="18.75" customHeight="1">
      <c r="B753" s="71"/>
      <c r="D753" s="72"/>
      <c r="K753" s="73"/>
      <c r="P753" s="37" t="s">
        <v>29</v>
      </c>
      <c r="Q753" s="64"/>
      <c r="R753" s="64"/>
      <c r="S753" s="64"/>
      <c r="T753" s="64"/>
      <c r="U753" s="64"/>
      <c r="V753" s="64"/>
      <c r="W753" s="64"/>
      <c r="X753" s="64"/>
      <c r="Y753" s="64"/>
      <c r="Z753" s="64"/>
      <c r="AA753" s="64"/>
      <c r="BS753" s="74"/>
      <c r="CQ753" s="37"/>
      <c r="CR753" s="37"/>
    </row>
    <row r="754" ht="18.75" customHeight="1">
      <c r="B754" s="71"/>
      <c r="D754" s="72"/>
      <c r="K754" s="73"/>
      <c r="P754" s="37" t="s">
        <v>29</v>
      </c>
      <c r="Q754" s="64"/>
      <c r="R754" s="64"/>
      <c r="S754" s="64"/>
      <c r="T754" s="64"/>
      <c r="U754" s="64"/>
      <c r="V754" s="64"/>
      <c r="W754" s="64"/>
      <c r="X754" s="64"/>
      <c r="Y754" s="64"/>
      <c r="Z754" s="64"/>
      <c r="AA754" s="64"/>
      <c r="BS754" s="74"/>
      <c r="CQ754" s="37"/>
      <c r="CR754" s="37"/>
    </row>
    <row r="755" ht="18.75" customHeight="1">
      <c r="B755" s="71"/>
      <c r="D755" s="72"/>
      <c r="K755" s="73"/>
      <c r="P755" s="37" t="s">
        <v>29</v>
      </c>
      <c r="Q755" s="64"/>
      <c r="R755" s="64"/>
      <c r="S755" s="64"/>
      <c r="T755" s="64"/>
      <c r="U755" s="64"/>
      <c r="V755" s="64"/>
      <c r="W755" s="64"/>
      <c r="X755" s="64"/>
      <c r="Y755" s="64"/>
      <c r="Z755" s="64"/>
      <c r="AA755" s="64"/>
      <c r="BS755" s="74"/>
      <c r="CQ755" s="37"/>
      <c r="CR755" s="37"/>
    </row>
    <row r="756" ht="18.75" customHeight="1">
      <c r="B756" s="71"/>
      <c r="D756" s="72"/>
      <c r="K756" s="73"/>
      <c r="P756" s="37" t="s">
        <v>29</v>
      </c>
      <c r="Q756" s="64"/>
      <c r="R756" s="64"/>
      <c r="S756" s="64"/>
      <c r="T756" s="64"/>
      <c r="U756" s="64"/>
      <c r="V756" s="64"/>
      <c r="W756" s="64"/>
      <c r="X756" s="64"/>
      <c r="Y756" s="64"/>
      <c r="Z756" s="64"/>
      <c r="AA756" s="64"/>
      <c r="BS756" s="74"/>
      <c r="CQ756" s="37"/>
      <c r="CR756" s="37"/>
    </row>
    <row r="757" ht="18.75" customHeight="1">
      <c r="B757" s="71"/>
      <c r="D757" s="72"/>
      <c r="K757" s="73"/>
      <c r="P757" s="37" t="s">
        <v>29</v>
      </c>
      <c r="Q757" s="64"/>
      <c r="R757" s="64"/>
      <c r="S757" s="64"/>
      <c r="T757" s="64"/>
      <c r="U757" s="64"/>
      <c r="V757" s="64"/>
      <c r="W757" s="64"/>
      <c r="X757" s="64"/>
      <c r="Y757" s="64"/>
      <c r="Z757" s="64"/>
      <c r="AA757" s="64"/>
      <c r="BS757" s="74"/>
      <c r="CQ757" s="37"/>
      <c r="CR757" s="37"/>
    </row>
    <row r="758" ht="18.75" customHeight="1">
      <c r="B758" s="71"/>
      <c r="D758" s="72"/>
      <c r="K758" s="73"/>
      <c r="P758" s="37" t="s">
        <v>29</v>
      </c>
      <c r="Q758" s="64"/>
      <c r="R758" s="64"/>
      <c r="S758" s="64"/>
      <c r="T758" s="64"/>
      <c r="U758" s="64"/>
      <c r="V758" s="64"/>
      <c r="W758" s="64"/>
      <c r="X758" s="64"/>
      <c r="Y758" s="64"/>
      <c r="Z758" s="64"/>
      <c r="AA758" s="64"/>
      <c r="BS758" s="74"/>
      <c r="CQ758" s="37"/>
      <c r="CR758" s="37"/>
    </row>
    <row r="759" ht="18.75" customHeight="1">
      <c r="B759" s="71"/>
      <c r="D759" s="72"/>
      <c r="K759" s="73"/>
      <c r="P759" s="37" t="s">
        <v>29</v>
      </c>
      <c r="Q759" s="64"/>
      <c r="R759" s="64"/>
      <c r="S759" s="64"/>
      <c r="T759" s="64"/>
      <c r="U759" s="64"/>
      <c r="V759" s="64"/>
      <c r="W759" s="64"/>
      <c r="X759" s="64"/>
      <c r="Y759" s="64"/>
      <c r="Z759" s="64"/>
      <c r="AA759" s="64"/>
      <c r="BS759" s="74"/>
      <c r="CQ759" s="37"/>
      <c r="CR759" s="37"/>
    </row>
    <row r="760" ht="18.75" customHeight="1">
      <c r="B760" s="71"/>
      <c r="D760" s="72"/>
      <c r="K760" s="73"/>
      <c r="P760" s="37" t="s">
        <v>29</v>
      </c>
      <c r="Q760" s="64"/>
      <c r="R760" s="64"/>
      <c r="S760" s="64"/>
      <c r="T760" s="64"/>
      <c r="U760" s="64"/>
      <c r="V760" s="64"/>
      <c r="W760" s="64"/>
      <c r="X760" s="64"/>
      <c r="Y760" s="64"/>
      <c r="Z760" s="64"/>
      <c r="AA760" s="64"/>
      <c r="BS760" s="74"/>
      <c r="CQ760" s="37"/>
      <c r="CR760" s="37"/>
    </row>
    <row r="761" ht="18.75" customHeight="1">
      <c r="B761" s="71"/>
      <c r="D761" s="72"/>
      <c r="K761" s="73"/>
      <c r="P761" s="37" t="s">
        <v>29</v>
      </c>
      <c r="Q761" s="64"/>
      <c r="R761" s="64"/>
      <c r="S761" s="64"/>
      <c r="T761" s="64"/>
      <c r="U761" s="64"/>
      <c r="V761" s="64"/>
      <c r="W761" s="64"/>
      <c r="X761" s="64"/>
      <c r="Y761" s="64"/>
      <c r="Z761" s="64"/>
      <c r="AA761" s="64"/>
      <c r="BS761" s="74"/>
      <c r="CQ761" s="37"/>
      <c r="CR761" s="37"/>
    </row>
    <row r="762" ht="18.75" customHeight="1">
      <c r="B762" s="71"/>
      <c r="D762" s="72"/>
      <c r="K762" s="73"/>
      <c r="P762" s="37" t="s">
        <v>29</v>
      </c>
      <c r="Q762" s="64"/>
      <c r="R762" s="64"/>
      <c r="S762" s="64"/>
      <c r="T762" s="64"/>
      <c r="U762" s="64"/>
      <c r="V762" s="64"/>
      <c r="W762" s="64"/>
      <c r="X762" s="64"/>
      <c r="Y762" s="64"/>
      <c r="Z762" s="64"/>
      <c r="AA762" s="64"/>
      <c r="BS762" s="74"/>
      <c r="CQ762" s="37"/>
      <c r="CR762" s="37"/>
    </row>
    <row r="763" ht="18.75" customHeight="1">
      <c r="B763" s="71"/>
      <c r="D763" s="72"/>
      <c r="K763" s="73"/>
      <c r="P763" s="37" t="s">
        <v>29</v>
      </c>
      <c r="Q763" s="64"/>
      <c r="R763" s="64"/>
      <c r="S763" s="64"/>
      <c r="T763" s="64"/>
      <c r="U763" s="64"/>
      <c r="V763" s="64"/>
      <c r="W763" s="64"/>
      <c r="X763" s="64"/>
      <c r="Y763" s="64"/>
      <c r="Z763" s="64"/>
      <c r="AA763" s="64"/>
      <c r="BS763" s="74"/>
      <c r="CQ763" s="37"/>
      <c r="CR763" s="37"/>
    </row>
    <row r="764" ht="18.75" customHeight="1">
      <c r="B764" s="71"/>
      <c r="D764" s="72"/>
      <c r="K764" s="73"/>
      <c r="P764" s="37" t="s">
        <v>29</v>
      </c>
      <c r="Q764" s="64"/>
      <c r="R764" s="64"/>
      <c r="S764" s="64"/>
      <c r="T764" s="64"/>
      <c r="U764" s="64"/>
      <c r="V764" s="64"/>
      <c r="W764" s="64"/>
      <c r="X764" s="64"/>
      <c r="Y764" s="64"/>
      <c r="Z764" s="64"/>
      <c r="AA764" s="64"/>
      <c r="BS764" s="74"/>
      <c r="CQ764" s="37"/>
      <c r="CR764" s="37"/>
    </row>
    <row r="765" ht="18.75" customHeight="1">
      <c r="B765" s="71"/>
      <c r="D765" s="72"/>
      <c r="K765" s="73"/>
      <c r="P765" s="37" t="s">
        <v>29</v>
      </c>
      <c r="Q765" s="64"/>
      <c r="R765" s="64"/>
      <c r="S765" s="64"/>
      <c r="T765" s="64"/>
      <c r="U765" s="64"/>
      <c r="V765" s="64"/>
      <c r="W765" s="64"/>
      <c r="X765" s="64"/>
      <c r="Y765" s="64"/>
      <c r="Z765" s="64"/>
      <c r="AA765" s="64"/>
      <c r="BS765" s="74"/>
      <c r="CQ765" s="37"/>
      <c r="CR765" s="37"/>
    </row>
    <row r="766" ht="18.75" customHeight="1">
      <c r="B766" s="71"/>
      <c r="D766" s="72"/>
      <c r="K766" s="73"/>
      <c r="P766" s="37" t="s">
        <v>29</v>
      </c>
      <c r="Q766" s="64"/>
      <c r="R766" s="64"/>
      <c r="S766" s="64"/>
      <c r="T766" s="64"/>
      <c r="U766" s="64"/>
      <c r="V766" s="64"/>
      <c r="W766" s="64"/>
      <c r="X766" s="64"/>
      <c r="Y766" s="64"/>
      <c r="Z766" s="64"/>
      <c r="AA766" s="64"/>
      <c r="BS766" s="74"/>
      <c r="CQ766" s="37"/>
      <c r="CR766" s="37"/>
    </row>
    <row r="767" ht="18.75" customHeight="1">
      <c r="B767" s="71"/>
      <c r="D767" s="72"/>
      <c r="K767" s="73"/>
      <c r="P767" s="37" t="s">
        <v>29</v>
      </c>
      <c r="Q767" s="64"/>
      <c r="R767" s="64"/>
      <c r="S767" s="64"/>
      <c r="T767" s="64"/>
      <c r="U767" s="64"/>
      <c r="V767" s="64"/>
      <c r="W767" s="64"/>
      <c r="X767" s="64"/>
      <c r="Y767" s="64"/>
      <c r="Z767" s="64"/>
      <c r="AA767" s="64"/>
      <c r="BS767" s="74"/>
      <c r="CQ767" s="37"/>
      <c r="CR767" s="37"/>
    </row>
    <row r="768" ht="18.75" customHeight="1">
      <c r="B768" s="71"/>
      <c r="D768" s="72"/>
      <c r="K768" s="73"/>
      <c r="P768" s="37" t="s">
        <v>29</v>
      </c>
      <c r="Q768" s="64"/>
      <c r="R768" s="64"/>
      <c r="S768" s="64"/>
      <c r="T768" s="64"/>
      <c r="U768" s="64"/>
      <c r="V768" s="64"/>
      <c r="W768" s="64"/>
      <c r="X768" s="64"/>
      <c r="Y768" s="64"/>
      <c r="Z768" s="64"/>
      <c r="AA768" s="64"/>
      <c r="BS768" s="74"/>
      <c r="CQ768" s="37"/>
      <c r="CR768" s="37"/>
    </row>
    <row r="769" ht="18.75" customHeight="1">
      <c r="B769" s="71"/>
      <c r="D769" s="72"/>
      <c r="K769" s="73"/>
      <c r="P769" s="37" t="s">
        <v>29</v>
      </c>
      <c r="Q769" s="64"/>
      <c r="R769" s="64"/>
      <c r="S769" s="64"/>
      <c r="T769" s="64"/>
      <c r="U769" s="64"/>
      <c r="V769" s="64"/>
      <c r="W769" s="64"/>
      <c r="X769" s="64"/>
      <c r="Y769" s="64"/>
      <c r="Z769" s="64"/>
      <c r="AA769" s="64"/>
      <c r="BS769" s="74"/>
      <c r="CQ769" s="37"/>
      <c r="CR769" s="37"/>
    </row>
    <row r="770" ht="18.75" customHeight="1">
      <c r="B770" s="71"/>
      <c r="D770" s="72"/>
      <c r="K770" s="73"/>
      <c r="P770" s="37" t="s">
        <v>29</v>
      </c>
      <c r="Q770" s="64"/>
      <c r="R770" s="64"/>
      <c r="S770" s="64"/>
      <c r="T770" s="64"/>
      <c r="U770" s="64"/>
      <c r="V770" s="64"/>
      <c r="W770" s="64"/>
      <c r="X770" s="64"/>
      <c r="Y770" s="64"/>
      <c r="Z770" s="64"/>
      <c r="AA770" s="64"/>
      <c r="BS770" s="74"/>
      <c r="CQ770" s="37"/>
      <c r="CR770" s="37"/>
    </row>
    <row r="771" ht="18.75" customHeight="1">
      <c r="B771" s="71"/>
      <c r="D771" s="72"/>
      <c r="K771" s="73"/>
      <c r="P771" s="37" t="s">
        <v>29</v>
      </c>
      <c r="Q771" s="64"/>
      <c r="R771" s="64"/>
      <c r="S771" s="64"/>
      <c r="T771" s="64"/>
      <c r="U771" s="64"/>
      <c r="V771" s="64"/>
      <c r="W771" s="64"/>
      <c r="X771" s="64"/>
      <c r="Y771" s="64"/>
      <c r="Z771" s="64"/>
      <c r="AA771" s="64"/>
      <c r="BS771" s="74"/>
      <c r="CQ771" s="37"/>
      <c r="CR771" s="37"/>
    </row>
    <row r="772" ht="18.75" customHeight="1">
      <c r="B772" s="71"/>
      <c r="D772" s="72"/>
      <c r="K772" s="73"/>
      <c r="P772" s="37" t="s">
        <v>29</v>
      </c>
      <c r="Q772" s="64"/>
      <c r="R772" s="64"/>
      <c r="S772" s="64"/>
      <c r="T772" s="64"/>
      <c r="U772" s="64"/>
      <c r="V772" s="64"/>
      <c r="W772" s="64"/>
      <c r="X772" s="64"/>
      <c r="Y772" s="64"/>
      <c r="Z772" s="64"/>
      <c r="AA772" s="64"/>
      <c r="BS772" s="74"/>
      <c r="CQ772" s="37"/>
      <c r="CR772" s="37"/>
    </row>
    <row r="773" ht="18.75" customHeight="1">
      <c r="B773" s="71"/>
      <c r="D773" s="72"/>
      <c r="K773" s="73"/>
      <c r="P773" s="37" t="s">
        <v>29</v>
      </c>
      <c r="Q773" s="64"/>
      <c r="R773" s="64"/>
      <c r="S773" s="64"/>
      <c r="T773" s="64"/>
      <c r="U773" s="64"/>
      <c r="V773" s="64"/>
      <c r="W773" s="64"/>
      <c r="X773" s="64"/>
      <c r="Y773" s="64"/>
      <c r="Z773" s="64"/>
      <c r="AA773" s="64"/>
      <c r="BS773" s="74"/>
      <c r="CQ773" s="37"/>
      <c r="CR773" s="37"/>
    </row>
    <row r="774" ht="18.75" customHeight="1">
      <c r="B774" s="71"/>
      <c r="D774" s="72"/>
      <c r="K774" s="73"/>
      <c r="P774" s="37" t="s">
        <v>29</v>
      </c>
      <c r="Q774" s="64"/>
      <c r="R774" s="64"/>
      <c r="S774" s="64"/>
      <c r="T774" s="64"/>
      <c r="U774" s="64"/>
      <c r="V774" s="64"/>
      <c r="W774" s="64"/>
      <c r="X774" s="64"/>
      <c r="Y774" s="64"/>
      <c r="Z774" s="64"/>
      <c r="AA774" s="64"/>
      <c r="BS774" s="74"/>
      <c r="CQ774" s="37"/>
      <c r="CR774" s="37"/>
    </row>
    <row r="775" ht="18.75" customHeight="1">
      <c r="B775" s="71"/>
      <c r="D775" s="72"/>
      <c r="K775" s="73"/>
      <c r="P775" s="37" t="s">
        <v>29</v>
      </c>
      <c r="Q775" s="64"/>
      <c r="R775" s="64"/>
      <c r="S775" s="64"/>
      <c r="T775" s="64"/>
      <c r="U775" s="64"/>
      <c r="V775" s="64"/>
      <c r="W775" s="64"/>
      <c r="X775" s="64"/>
      <c r="Y775" s="64"/>
      <c r="Z775" s="64"/>
      <c r="AA775" s="64"/>
      <c r="BS775" s="74"/>
      <c r="CQ775" s="37"/>
      <c r="CR775" s="37"/>
    </row>
    <row r="776" ht="18.75" customHeight="1">
      <c r="B776" s="71"/>
      <c r="D776" s="72"/>
      <c r="K776" s="73"/>
      <c r="P776" s="37" t="s">
        <v>29</v>
      </c>
      <c r="Q776" s="64"/>
      <c r="R776" s="64"/>
      <c r="S776" s="64"/>
      <c r="T776" s="64"/>
      <c r="U776" s="64"/>
      <c r="V776" s="64"/>
      <c r="W776" s="64"/>
      <c r="X776" s="64"/>
      <c r="Y776" s="64"/>
      <c r="Z776" s="64"/>
      <c r="AA776" s="64"/>
      <c r="BS776" s="74"/>
      <c r="CQ776" s="37"/>
      <c r="CR776" s="37"/>
    </row>
    <row r="777" ht="18.75" customHeight="1">
      <c r="B777" s="71"/>
      <c r="D777" s="72"/>
      <c r="K777" s="73"/>
      <c r="P777" s="37" t="s">
        <v>29</v>
      </c>
      <c r="Q777" s="64"/>
      <c r="R777" s="64"/>
      <c r="S777" s="64"/>
      <c r="T777" s="64"/>
      <c r="U777" s="64"/>
      <c r="V777" s="64"/>
      <c r="W777" s="64"/>
      <c r="X777" s="64"/>
      <c r="Y777" s="64"/>
      <c r="Z777" s="64"/>
      <c r="AA777" s="64"/>
      <c r="BS777" s="74"/>
      <c r="CQ777" s="37"/>
      <c r="CR777" s="37"/>
    </row>
    <row r="778" ht="18.75" customHeight="1">
      <c r="B778" s="71"/>
      <c r="D778" s="72"/>
      <c r="K778" s="73"/>
      <c r="P778" s="37" t="s">
        <v>29</v>
      </c>
      <c r="Q778" s="64"/>
      <c r="R778" s="64"/>
      <c r="S778" s="64"/>
      <c r="T778" s="64"/>
      <c r="U778" s="64"/>
      <c r="V778" s="64"/>
      <c r="W778" s="64"/>
      <c r="X778" s="64"/>
      <c r="Y778" s="64"/>
      <c r="Z778" s="64"/>
      <c r="AA778" s="64"/>
      <c r="BS778" s="74"/>
      <c r="CQ778" s="37"/>
      <c r="CR778" s="37"/>
    </row>
    <row r="779" ht="18.75" customHeight="1">
      <c r="B779" s="71"/>
      <c r="D779" s="72"/>
      <c r="K779" s="73"/>
      <c r="P779" s="37" t="s">
        <v>29</v>
      </c>
      <c r="Q779" s="64"/>
      <c r="R779" s="64"/>
      <c r="S779" s="64"/>
      <c r="T779" s="64"/>
      <c r="U779" s="64"/>
      <c r="V779" s="64"/>
      <c r="W779" s="64"/>
      <c r="X779" s="64"/>
      <c r="Y779" s="64"/>
      <c r="Z779" s="64"/>
      <c r="AA779" s="64"/>
      <c r="BS779" s="74"/>
      <c r="CQ779" s="37"/>
      <c r="CR779" s="37"/>
    </row>
    <row r="780" ht="18.75" customHeight="1">
      <c r="B780" s="71"/>
      <c r="D780" s="72"/>
      <c r="K780" s="73"/>
      <c r="P780" s="37" t="s">
        <v>29</v>
      </c>
      <c r="Q780" s="64"/>
      <c r="R780" s="64"/>
      <c r="S780" s="64"/>
      <c r="T780" s="64"/>
      <c r="U780" s="64"/>
      <c r="V780" s="64"/>
      <c r="W780" s="64"/>
      <c r="X780" s="64"/>
      <c r="Y780" s="64"/>
      <c r="Z780" s="64"/>
      <c r="AA780" s="64"/>
      <c r="BS780" s="74"/>
      <c r="CQ780" s="37"/>
      <c r="CR780" s="37"/>
    </row>
    <row r="781" ht="18.75" customHeight="1">
      <c r="B781" s="71"/>
      <c r="D781" s="72"/>
      <c r="K781" s="73"/>
      <c r="P781" s="37" t="s">
        <v>29</v>
      </c>
      <c r="Q781" s="64"/>
      <c r="R781" s="64"/>
      <c r="S781" s="64"/>
      <c r="T781" s="64"/>
      <c r="U781" s="64"/>
      <c r="V781" s="64"/>
      <c r="W781" s="64"/>
      <c r="X781" s="64"/>
      <c r="Y781" s="64"/>
      <c r="Z781" s="64"/>
      <c r="AA781" s="64"/>
      <c r="BS781" s="74"/>
      <c r="CQ781" s="37"/>
      <c r="CR781" s="37"/>
    </row>
    <row r="782" ht="18.75" customHeight="1">
      <c r="B782" s="71"/>
      <c r="D782" s="72"/>
      <c r="K782" s="73"/>
      <c r="P782" s="37" t="s">
        <v>29</v>
      </c>
      <c r="Q782" s="64"/>
      <c r="R782" s="64"/>
      <c r="S782" s="64"/>
      <c r="T782" s="64"/>
      <c r="U782" s="64"/>
      <c r="V782" s="64"/>
      <c r="W782" s="64"/>
      <c r="X782" s="64"/>
      <c r="Y782" s="64"/>
      <c r="Z782" s="64"/>
      <c r="AA782" s="64"/>
      <c r="BS782" s="74"/>
      <c r="CQ782" s="37"/>
      <c r="CR782" s="37"/>
    </row>
    <row r="783" ht="18.75" customHeight="1">
      <c r="B783" s="71"/>
      <c r="D783" s="72"/>
      <c r="K783" s="73"/>
      <c r="P783" s="37" t="s">
        <v>29</v>
      </c>
      <c r="Q783" s="64"/>
      <c r="R783" s="64"/>
      <c r="S783" s="64"/>
      <c r="T783" s="64"/>
      <c r="U783" s="64"/>
      <c r="V783" s="64"/>
      <c r="W783" s="64"/>
      <c r="X783" s="64"/>
      <c r="Y783" s="64"/>
      <c r="Z783" s="64"/>
      <c r="AA783" s="64"/>
      <c r="BS783" s="74"/>
      <c r="CQ783" s="37"/>
      <c r="CR783" s="37"/>
    </row>
    <row r="784" ht="18.75" customHeight="1">
      <c r="B784" s="71"/>
      <c r="D784" s="72"/>
      <c r="K784" s="73"/>
      <c r="P784" s="37" t="s">
        <v>29</v>
      </c>
      <c r="Q784" s="64"/>
      <c r="R784" s="64"/>
      <c r="S784" s="64"/>
      <c r="T784" s="64"/>
      <c r="U784" s="64"/>
      <c r="V784" s="64"/>
      <c r="W784" s="64"/>
      <c r="X784" s="64"/>
      <c r="Y784" s="64"/>
      <c r="Z784" s="64"/>
      <c r="AA784" s="64"/>
      <c r="BS784" s="74"/>
      <c r="CQ784" s="37"/>
      <c r="CR784" s="37"/>
    </row>
    <row r="785" ht="18.75" customHeight="1">
      <c r="B785" s="71"/>
      <c r="D785" s="72"/>
      <c r="K785" s="73"/>
      <c r="P785" s="37" t="s">
        <v>29</v>
      </c>
      <c r="Q785" s="64"/>
      <c r="R785" s="64"/>
      <c r="S785" s="64"/>
      <c r="T785" s="64"/>
      <c r="U785" s="64"/>
      <c r="V785" s="64"/>
      <c r="W785" s="64"/>
      <c r="X785" s="64"/>
      <c r="Y785" s="64"/>
      <c r="Z785" s="64"/>
      <c r="AA785" s="64"/>
      <c r="BS785" s="74"/>
      <c r="CQ785" s="37"/>
      <c r="CR785" s="37"/>
    </row>
    <row r="786" ht="18.75" customHeight="1">
      <c r="B786" s="71"/>
      <c r="D786" s="72"/>
      <c r="K786" s="73"/>
      <c r="P786" s="37" t="s">
        <v>29</v>
      </c>
      <c r="Q786" s="64"/>
      <c r="R786" s="64"/>
      <c r="S786" s="64"/>
      <c r="T786" s="64"/>
      <c r="U786" s="64"/>
      <c r="V786" s="64"/>
      <c r="W786" s="64"/>
      <c r="X786" s="64"/>
      <c r="Y786" s="64"/>
      <c r="Z786" s="64"/>
      <c r="AA786" s="64"/>
      <c r="BS786" s="74"/>
      <c r="CQ786" s="37"/>
      <c r="CR786" s="37"/>
    </row>
    <row r="787" ht="18.75" customHeight="1">
      <c r="B787" s="71"/>
      <c r="D787" s="72"/>
      <c r="K787" s="73"/>
      <c r="P787" s="37" t="s">
        <v>29</v>
      </c>
      <c r="Q787" s="64"/>
      <c r="R787" s="64"/>
      <c r="S787" s="64"/>
      <c r="T787" s="64"/>
      <c r="U787" s="64"/>
      <c r="V787" s="64"/>
      <c r="W787" s="64"/>
      <c r="X787" s="64"/>
      <c r="Y787" s="64"/>
      <c r="Z787" s="64"/>
      <c r="AA787" s="64"/>
      <c r="BS787" s="74"/>
      <c r="CQ787" s="37"/>
      <c r="CR787" s="37"/>
    </row>
    <row r="788" ht="18.75" customHeight="1">
      <c r="B788" s="71"/>
      <c r="D788" s="72"/>
      <c r="K788" s="73"/>
      <c r="P788" s="37" t="s">
        <v>29</v>
      </c>
      <c r="Q788" s="64"/>
      <c r="R788" s="64"/>
      <c r="S788" s="64"/>
      <c r="T788" s="64"/>
      <c r="U788" s="64"/>
      <c r="V788" s="64"/>
      <c r="W788" s="64"/>
      <c r="X788" s="64"/>
      <c r="Y788" s="64"/>
      <c r="Z788" s="64"/>
      <c r="AA788" s="64"/>
      <c r="BS788" s="74"/>
      <c r="CQ788" s="37"/>
      <c r="CR788" s="37"/>
    </row>
    <row r="789" ht="18.75" customHeight="1">
      <c r="B789" s="71"/>
      <c r="D789" s="72"/>
      <c r="K789" s="73"/>
      <c r="P789" s="37" t="s">
        <v>29</v>
      </c>
      <c r="Q789" s="64"/>
      <c r="R789" s="64"/>
      <c r="S789" s="64"/>
      <c r="T789" s="64"/>
      <c r="U789" s="64"/>
      <c r="V789" s="64"/>
      <c r="W789" s="64"/>
      <c r="X789" s="64"/>
      <c r="Y789" s="64"/>
      <c r="Z789" s="64"/>
      <c r="AA789" s="64"/>
      <c r="BS789" s="74"/>
      <c r="CQ789" s="37"/>
      <c r="CR789" s="37"/>
    </row>
    <row r="790" ht="18.75" customHeight="1">
      <c r="B790" s="71"/>
      <c r="D790" s="72"/>
      <c r="K790" s="73"/>
      <c r="P790" s="37" t="s">
        <v>29</v>
      </c>
      <c r="Q790" s="64"/>
      <c r="R790" s="64"/>
      <c r="S790" s="64"/>
      <c r="T790" s="64"/>
      <c r="U790" s="64"/>
      <c r="V790" s="64"/>
      <c r="W790" s="64"/>
      <c r="X790" s="64"/>
      <c r="Y790" s="64"/>
      <c r="Z790" s="64"/>
      <c r="AA790" s="64"/>
      <c r="BS790" s="74"/>
      <c r="CQ790" s="37"/>
      <c r="CR790" s="37"/>
    </row>
    <row r="791" ht="18.75" customHeight="1">
      <c r="B791" s="71"/>
      <c r="D791" s="72"/>
      <c r="K791" s="73"/>
      <c r="P791" s="37" t="s">
        <v>29</v>
      </c>
      <c r="Q791" s="64"/>
      <c r="R791" s="64"/>
      <c r="S791" s="64"/>
      <c r="T791" s="64"/>
      <c r="U791" s="64"/>
      <c r="V791" s="64"/>
      <c r="W791" s="64"/>
      <c r="X791" s="64"/>
      <c r="Y791" s="64"/>
      <c r="Z791" s="64"/>
      <c r="AA791" s="64"/>
      <c r="BS791" s="74"/>
      <c r="CQ791" s="37"/>
      <c r="CR791" s="37"/>
    </row>
    <row r="792" ht="18.75" customHeight="1">
      <c r="B792" s="71"/>
      <c r="D792" s="72"/>
      <c r="K792" s="73"/>
      <c r="P792" s="37" t="s">
        <v>29</v>
      </c>
      <c r="Q792" s="64"/>
      <c r="R792" s="64"/>
      <c r="S792" s="64"/>
      <c r="T792" s="64"/>
      <c r="U792" s="64"/>
      <c r="V792" s="64"/>
      <c r="W792" s="64"/>
      <c r="X792" s="64"/>
      <c r="Y792" s="64"/>
      <c r="Z792" s="64"/>
      <c r="AA792" s="64"/>
      <c r="BS792" s="74"/>
      <c r="CQ792" s="37"/>
      <c r="CR792" s="37"/>
    </row>
    <row r="793" ht="18.75" customHeight="1">
      <c r="B793" s="71"/>
      <c r="D793" s="72"/>
      <c r="K793" s="73"/>
      <c r="P793" s="37" t="s">
        <v>29</v>
      </c>
      <c r="Q793" s="64"/>
      <c r="R793" s="64"/>
      <c r="S793" s="64"/>
      <c r="T793" s="64"/>
      <c r="U793" s="64"/>
      <c r="V793" s="64"/>
      <c r="W793" s="64"/>
      <c r="X793" s="64"/>
      <c r="Y793" s="64"/>
      <c r="Z793" s="64"/>
      <c r="AA793" s="64"/>
      <c r="BS793" s="74"/>
      <c r="CQ793" s="37"/>
      <c r="CR793" s="37"/>
    </row>
    <row r="794" ht="18.75" customHeight="1">
      <c r="B794" s="71"/>
      <c r="D794" s="72"/>
      <c r="K794" s="73"/>
      <c r="P794" s="37" t="s">
        <v>29</v>
      </c>
      <c r="Q794" s="64"/>
      <c r="R794" s="64"/>
      <c r="S794" s="64"/>
      <c r="T794" s="64"/>
      <c r="U794" s="64"/>
      <c r="V794" s="64"/>
      <c r="W794" s="64"/>
      <c r="X794" s="64"/>
      <c r="Y794" s="64"/>
      <c r="Z794" s="64"/>
      <c r="AA794" s="64"/>
      <c r="BS794" s="74"/>
      <c r="CQ794" s="37"/>
      <c r="CR794" s="37"/>
    </row>
    <row r="795" ht="18.75" customHeight="1">
      <c r="B795" s="71"/>
      <c r="D795" s="72"/>
      <c r="K795" s="73"/>
      <c r="P795" s="37" t="s">
        <v>29</v>
      </c>
      <c r="Q795" s="64"/>
      <c r="R795" s="64"/>
      <c r="S795" s="64"/>
      <c r="T795" s="64"/>
      <c r="U795" s="64"/>
      <c r="V795" s="64"/>
      <c r="W795" s="64"/>
      <c r="X795" s="64"/>
      <c r="Y795" s="64"/>
      <c r="Z795" s="64"/>
      <c r="AA795" s="64"/>
      <c r="BS795" s="74"/>
      <c r="CQ795" s="37"/>
      <c r="CR795" s="37"/>
    </row>
    <row r="796" ht="18.75" customHeight="1">
      <c r="B796" s="71"/>
      <c r="D796" s="72"/>
      <c r="K796" s="73"/>
      <c r="P796" s="37" t="s">
        <v>29</v>
      </c>
      <c r="Q796" s="64"/>
      <c r="R796" s="64"/>
      <c r="S796" s="64"/>
      <c r="T796" s="64"/>
      <c r="U796" s="64"/>
      <c r="V796" s="64"/>
      <c r="W796" s="64"/>
      <c r="X796" s="64"/>
      <c r="Y796" s="64"/>
      <c r="Z796" s="64"/>
      <c r="AA796" s="64"/>
      <c r="BS796" s="74"/>
      <c r="CQ796" s="37"/>
      <c r="CR796" s="37"/>
    </row>
    <row r="797" ht="18.75" customHeight="1">
      <c r="B797" s="71"/>
      <c r="D797" s="72"/>
      <c r="K797" s="73"/>
      <c r="P797" s="37" t="s">
        <v>29</v>
      </c>
      <c r="Q797" s="64"/>
      <c r="R797" s="64"/>
      <c r="S797" s="64"/>
      <c r="T797" s="64"/>
      <c r="U797" s="64"/>
      <c r="V797" s="64"/>
      <c r="W797" s="64"/>
      <c r="X797" s="64"/>
      <c r="Y797" s="64"/>
      <c r="Z797" s="64"/>
      <c r="AA797" s="64"/>
      <c r="BS797" s="74"/>
      <c r="CQ797" s="37"/>
      <c r="CR797" s="37"/>
    </row>
    <row r="798" ht="18.75" customHeight="1">
      <c r="B798" s="71"/>
      <c r="D798" s="72"/>
      <c r="K798" s="73"/>
      <c r="P798" s="37" t="s">
        <v>29</v>
      </c>
      <c r="Q798" s="64"/>
      <c r="R798" s="64"/>
      <c r="S798" s="64"/>
      <c r="T798" s="64"/>
      <c r="U798" s="64"/>
      <c r="V798" s="64"/>
      <c r="W798" s="64"/>
      <c r="X798" s="64"/>
      <c r="Y798" s="64"/>
      <c r="Z798" s="64"/>
      <c r="AA798" s="64"/>
      <c r="BS798" s="74"/>
      <c r="CQ798" s="37"/>
      <c r="CR798" s="37"/>
    </row>
    <row r="799" ht="18.75" customHeight="1">
      <c r="B799" s="71"/>
      <c r="D799" s="72"/>
      <c r="K799" s="73"/>
      <c r="P799" s="37" t="s">
        <v>29</v>
      </c>
      <c r="Q799" s="64"/>
      <c r="R799" s="64"/>
      <c r="S799" s="64"/>
      <c r="T799" s="64"/>
      <c r="U799" s="64"/>
      <c r="V799" s="64"/>
      <c r="W799" s="64"/>
      <c r="X799" s="64"/>
      <c r="Y799" s="64"/>
      <c r="Z799" s="64"/>
      <c r="AA799" s="64"/>
      <c r="BS799" s="74"/>
      <c r="CQ799" s="37"/>
      <c r="CR799" s="37"/>
    </row>
    <row r="800" ht="18.75" customHeight="1">
      <c r="B800" s="71"/>
      <c r="D800" s="72"/>
      <c r="K800" s="73"/>
      <c r="P800" s="37" t="s">
        <v>29</v>
      </c>
      <c r="Q800" s="64"/>
      <c r="R800" s="64"/>
      <c r="S800" s="64"/>
      <c r="T800" s="64"/>
      <c r="U800" s="64"/>
      <c r="V800" s="64"/>
      <c r="W800" s="64"/>
      <c r="X800" s="64"/>
      <c r="Y800" s="64"/>
      <c r="Z800" s="64"/>
      <c r="AA800" s="64"/>
      <c r="BS800" s="74"/>
      <c r="CQ800" s="37"/>
      <c r="CR800" s="37"/>
    </row>
    <row r="801" ht="18.75" customHeight="1">
      <c r="B801" s="71"/>
      <c r="D801" s="72"/>
      <c r="K801" s="73"/>
      <c r="P801" s="37" t="s">
        <v>29</v>
      </c>
      <c r="Q801" s="64"/>
      <c r="R801" s="64"/>
      <c r="S801" s="64"/>
      <c r="T801" s="64"/>
      <c r="U801" s="64"/>
      <c r="V801" s="64"/>
      <c r="W801" s="64"/>
      <c r="X801" s="64"/>
      <c r="Y801" s="64"/>
      <c r="Z801" s="64"/>
      <c r="AA801" s="64"/>
      <c r="BS801" s="74"/>
      <c r="CQ801" s="37"/>
      <c r="CR801" s="37"/>
    </row>
    <row r="802" ht="18.75" customHeight="1">
      <c r="B802" s="71"/>
      <c r="D802" s="72"/>
      <c r="K802" s="73"/>
      <c r="P802" s="37" t="s">
        <v>29</v>
      </c>
      <c r="Q802" s="64"/>
      <c r="R802" s="64"/>
      <c r="S802" s="64"/>
      <c r="T802" s="64"/>
      <c r="U802" s="64"/>
      <c r="V802" s="64"/>
      <c r="W802" s="64"/>
      <c r="X802" s="64"/>
      <c r="Y802" s="64"/>
      <c r="Z802" s="64"/>
      <c r="AA802" s="64"/>
      <c r="BS802" s="74"/>
      <c r="CQ802" s="37"/>
      <c r="CR802" s="37"/>
    </row>
    <row r="803" ht="18.75" customHeight="1">
      <c r="B803" s="71"/>
      <c r="D803" s="72"/>
      <c r="K803" s="73"/>
      <c r="P803" s="37" t="s">
        <v>29</v>
      </c>
      <c r="Q803" s="64"/>
      <c r="R803" s="64"/>
      <c r="S803" s="64"/>
      <c r="T803" s="64"/>
      <c r="U803" s="64"/>
      <c r="V803" s="64"/>
      <c r="W803" s="64"/>
      <c r="X803" s="64"/>
      <c r="Y803" s="64"/>
      <c r="Z803" s="64"/>
      <c r="AA803" s="64"/>
      <c r="BS803" s="74"/>
      <c r="CQ803" s="37"/>
      <c r="CR803" s="37"/>
    </row>
    <row r="804" ht="18.75" customHeight="1">
      <c r="B804" s="71"/>
      <c r="D804" s="72"/>
      <c r="K804" s="73"/>
      <c r="P804" s="37" t="s">
        <v>29</v>
      </c>
      <c r="Q804" s="64"/>
      <c r="R804" s="64"/>
      <c r="S804" s="64"/>
      <c r="T804" s="64"/>
      <c r="U804" s="64"/>
      <c r="V804" s="64"/>
      <c r="W804" s="64"/>
      <c r="X804" s="64"/>
      <c r="Y804" s="64"/>
      <c r="Z804" s="64"/>
      <c r="AA804" s="64"/>
      <c r="BS804" s="74"/>
      <c r="CQ804" s="37"/>
      <c r="CR804" s="37"/>
    </row>
    <row r="805" ht="18.75" customHeight="1">
      <c r="B805" s="71"/>
      <c r="D805" s="72"/>
      <c r="K805" s="73"/>
      <c r="P805" s="37" t="s">
        <v>29</v>
      </c>
      <c r="Q805" s="64"/>
      <c r="R805" s="64"/>
      <c r="S805" s="64"/>
      <c r="T805" s="64"/>
      <c r="U805" s="64"/>
      <c r="V805" s="64"/>
      <c r="W805" s="64"/>
      <c r="X805" s="64"/>
      <c r="Y805" s="64"/>
      <c r="Z805" s="64"/>
      <c r="AA805" s="64"/>
      <c r="BS805" s="74"/>
      <c r="CQ805" s="37"/>
      <c r="CR805" s="37"/>
    </row>
    <row r="806" ht="18.75" customHeight="1">
      <c r="B806" s="71"/>
      <c r="D806" s="72"/>
      <c r="K806" s="73"/>
      <c r="P806" s="37" t="s">
        <v>29</v>
      </c>
      <c r="Q806" s="64"/>
      <c r="R806" s="64"/>
      <c r="S806" s="64"/>
      <c r="T806" s="64"/>
      <c r="U806" s="64"/>
      <c r="V806" s="64"/>
      <c r="W806" s="64"/>
      <c r="X806" s="64"/>
      <c r="Y806" s="64"/>
      <c r="Z806" s="64"/>
      <c r="AA806" s="64"/>
      <c r="BS806" s="74"/>
      <c r="CQ806" s="37"/>
      <c r="CR806" s="37"/>
    </row>
    <row r="807" ht="18.75" customHeight="1">
      <c r="B807" s="71"/>
      <c r="D807" s="72"/>
      <c r="K807" s="73"/>
      <c r="P807" s="37" t="s">
        <v>29</v>
      </c>
      <c r="Q807" s="64"/>
      <c r="R807" s="64"/>
      <c r="S807" s="64"/>
      <c r="T807" s="64"/>
      <c r="U807" s="64"/>
      <c r="V807" s="64"/>
      <c r="W807" s="64"/>
      <c r="X807" s="64"/>
      <c r="Y807" s="64"/>
      <c r="Z807" s="64"/>
      <c r="AA807" s="64"/>
      <c r="BS807" s="74"/>
      <c r="CQ807" s="37"/>
      <c r="CR807" s="37"/>
    </row>
    <row r="808" ht="18.75" customHeight="1">
      <c r="B808" s="71"/>
      <c r="D808" s="72"/>
      <c r="K808" s="73"/>
      <c r="P808" s="37" t="s">
        <v>29</v>
      </c>
      <c r="Q808" s="64"/>
      <c r="R808" s="64"/>
      <c r="S808" s="64"/>
      <c r="T808" s="64"/>
      <c r="U808" s="64"/>
      <c r="V808" s="64"/>
      <c r="W808" s="64"/>
      <c r="X808" s="64"/>
      <c r="Y808" s="64"/>
      <c r="Z808" s="64"/>
      <c r="AA808" s="64"/>
      <c r="BS808" s="74"/>
      <c r="CQ808" s="37"/>
      <c r="CR808" s="37"/>
    </row>
    <row r="809" ht="18.75" customHeight="1">
      <c r="B809" s="71"/>
      <c r="D809" s="72"/>
      <c r="K809" s="73"/>
      <c r="P809" s="37" t="s">
        <v>29</v>
      </c>
      <c r="Q809" s="64"/>
      <c r="R809" s="64"/>
      <c r="S809" s="64"/>
      <c r="T809" s="64"/>
      <c r="U809" s="64"/>
      <c r="V809" s="64"/>
      <c r="W809" s="64"/>
      <c r="X809" s="64"/>
      <c r="Y809" s="64"/>
      <c r="Z809" s="64"/>
      <c r="AA809" s="64"/>
      <c r="BS809" s="74"/>
      <c r="CQ809" s="37"/>
      <c r="CR809" s="37"/>
    </row>
    <row r="810" ht="18.75" customHeight="1">
      <c r="B810" s="71"/>
      <c r="D810" s="72"/>
      <c r="K810" s="73"/>
      <c r="P810" s="37" t="s">
        <v>29</v>
      </c>
      <c r="Q810" s="64"/>
      <c r="R810" s="64"/>
      <c r="S810" s="64"/>
      <c r="T810" s="64"/>
      <c r="U810" s="64"/>
      <c r="V810" s="64"/>
      <c r="W810" s="64"/>
      <c r="X810" s="64"/>
      <c r="Y810" s="64"/>
      <c r="Z810" s="64"/>
      <c r="AA810" s="64"/>
      <c r="BS810" s="74"/>
      <c r="CQ810" s="37"/>
      <c r="CR810" s="37"/>
    </row>
    <row r="811" ht="18.75" customHeight="1">
      <c r="B811" s="71"/>
      <c r="D811" s="72"/>
      <c r="K811" s="73"/>
      <c r="P811" s="37" t="s">
        <v>29</v>
      </c>
      <c r="Q811" s="64"/>
      <c r="R811" s="64"/>
      <c r="S811" s="64"/>
      <c r="T811" s="64"/>
      <c r="U811" s="64"/>
      <c r="V811" s="64"/>
      <c r="W811" s="64"/>
      <c r="X811" s="64"/>
      <c r="Y811" s="64"/>
      <c r="Z811" s="64"/>
      <c r="AA811" s="64"/>
      <c r="BS811" s="74"/>
      <c r="CQ811" s="37"/>
      <c r="CR811" s="37"/>
    </row>
    <row r="812" ht="18.75" customHeight="1">
      <c r="B812" s="71"/>
      <c r="D812" s="72"/>
      <c r="K812" s="73"/>
      <c r="P812" s="37" t="s">
        <v>29</v>
      </c>
      <c r="Q812" s="64"/>
      <c r="R812" s="64"/>
      <c r="S812" s="64"/>
      <c r="T812" s="64"/>
      <c r="U812" s="64"/>
      <c r="V812" s="64"/>
      <c r="W812" s="64"/>
      <c r="X812" s="64"/>
      <c r="Y812" s="64"/>
      <c r="Z812" s="64"/>
      <c r="AA812" s="64"/>
      <c r="BS812" s="74"/>
      <c r="CQ812" s="37"/>
      <c r="CR812" s="37"/>
    </row>
    <row r="813" ht="18.75" customHeight="1">
      <c r="B813" s="71"/>
      <c r="D813" s="72"/>
      <c r="K813" s="73"/>
      <c r="P813" s="37" t="s">
        <v>29</v>
      </c>
      <c r="Q813" s="64"/>
      <c r="R813" s="64"/>
      <c r="S813" s="64"/>
      <c r="T813" s="64"/>
      <c r="U813" s="64"/>
      <c r="V813" s="64"/>
      <c r="W813" s="64"/>
      <c r="X813" s="64"/>
      <c r="Y813" s="64"/>
      <c r="Z813" s="64"/>
      <c r="AA813" s="64"/>
      <c r="BS813" s="74"/>
      <c r="CQ813" s="37"/>
      <c r="CR813" s="37"/>
    </row>
    <row r="814" ht="18.75" customHeight="1">
      <c r="B814" s="71"/>
      <c r="D814" s="72"/>
      <c r="K814" s="73"/>
      <c r="P814" s="37" t="s">
        <v>29</v>
      </c>
      <c r="Q814" s="64"/>
      <c r="R814" s="64"/>
      <c r="S814" s="64"/>
      <c r="T814" s="64"/>
      <c r="U814" s="64"/>
      <c r="V814" s="64"/>
      <c r="W814" s="64"/>
      <c r="X814" s="64"/>
      <c r="Y814" s="64"/>
      <c r="Z814" s="64"/>
      <c r="AA814" s="64"/>
      <c r="BS814" s="74"/>
      <c r="CQ814" s="37"/>
      <c r="CR814" s="37"/>
    </row>
    <row r="815" ht="18.75" customHeight="1">
      <c r="B815" s="71"/>
      <c r="D815" s="72"/>
      <c r="K815" s="73"/>
      <c r="P815" s="37" t="s">
        <v>29</v>
      </c>
      <c r="Q815" s="64"/>
      <c r="R815" s="64"/>
      <c r="S815" s="64"/>
      <c r="T815" s="64"/>
      <c r="U815" s="64"/>
      <c r="V815" s="64"/>
      <c r="W815" s="64"/>
      <c r="X815" s="64"/>
      <c r="Y815" s="64"/>
      <c r="Z815" s="64"/>
      <c r="AA815" s="64"/>
      <c r="BS815" s="74"/>
      <c r="CQ815" s="37"/>
      <c r="CR815" s="37"/>
    </row>
    <row r="816" ht="18.75" customHeight="1">
      <c r="B816" s="71"/>
      <c r="D816" s="72"/>
      <c r="K816" s="73"/>
      <c r="P816" s="37" t="s">
        <v>29</v>
      </c>
      <c r="Q816" s="64"/>
      <c r="R816" s="64"/>
      <c r="S816" s="64"/>
      <c r="T816" s="64"/>
      <c r="U816" s="64"/>
      <c r="V816" s="64"/>
      <c r="W816" s="64"/>
      <c r="X816" s="64"/>
      <c r="Y816" s="64"/>
      <c r="Z816" s="64"/>
      <c r="AA816" s="64"/>
      <c r="BS816" s="74"/>
      <c r="CQ816" s="37"/>
      <c r="CR816" s="37"/>
    </row>
    <row r="817" ht="18.75" customHeight="1">
      <c r="B817" s="71"/>
      <c r="D817" s="72"/>
      <c r="K817" s="73"/>
      <c r="P817" s="37" t="s">
        <v>29</v>
      </c>
      <c r="Q817" s="64"/>
      <c r="R817" s="64"/>
      <c r="S817" s="64"/>
      <c r="T817" s="64"/>
      <c r="U817" s="64"/>
      <c r="V817" s="64"/>
      <c r="W817" s="64"/>
      <c r="X817" s="64"/>
      <c r="Y817" s="64"/>
      <c r="Z817" s="64"/>
      <c r="AA817" s="64"/>
      <c r="BS817" s="74"/>
      <c r="CQ817" s="37"/>
      <c r="CR817" s="37"/>
    </row>
    <row r="818" ht="18.75" customHeight="1">
      <c r="B818" s="71"/>
      <c r="D818" s="72"/>
      <c r="K818" s="73"/>
      <c r="P818" s="37" t="s">
        <v>29</v>
      </c>
      <c r="Q818" s="64"/>
      <c r="R818" s="64"/>
      <c r="S818" s="64"/>
      <c r="T818" s="64"/>
      <c r="U818" s="64"/>
      <c r="V818" s="64"/>
      <c r="W818" s="64"/>
      <c r="X818" s="64"/>
      <c r="Y818" s="64"/>
      <c r="Z818" s="64"/>
      <c r="AA818" s="64"/>
      <c r="BS818" s="74"/>
      <c r="CQ818" s="37"/>
      <c r="CR818" s="37"/>
    </row>
    <row r="819" ht="18.75" customHeight="1">
      <c r="B819" s="71"/>
      <c r="D819" s="72"/>
      <c r="K819" s="73"/>
      <c r="P819" s="37" t="s">
        <v>29</v>
      </c>
      <c r="Q819" s="64"/>
      <c r="R819" s="64"/>
      <c r="S819" s="64"/>
      <c r="T819" s="64"/>
      <c r="U819" s="64"/>
      <c r="V819" s="64"/>
      <c r="W819" s="64"/>
      <c r="X819" s="64"/>
      <c r="Y819" s="64"/>
      <c r="Z819" s="64"/>
      <c r="AA819" s="64"/>
      <c r="BS819" s="74"/>
      <c r="CQ819" s="37"/>
      <c r="CR819" s="37"/>
    </row>
    <row r="820" ht="18.75" customHeight="1">
      <c r="B820" s="71"/>
      <c r="D820" s="72"/>
      <c r="K820" s="73"/>
      <c r="P820" s="37" t="s">
        <v>29</v>
      </c>
      <c r="Q820" s="64"/>
      <c r="R820" s="64"/>
      <c r="S820" s="64"/>
      <c r="T820" s="64"/>
      <c r="U820" s="64"/>
      <c r="V820" s="64"/>
      <c r="W820" s="64"/>
      <c r="X820" s="64"/>
      <c r="Y820" s="64"/>
      <c r="Z820" s="64"/>
      <c r="AA820" s="64"/>
      <c r="BS820" s="74"/>
      <c r="CQ820" s="37"/>
      <c r="CR820" s="37"/>
    </row>
    <row r="821" ht="18.75" customHeight="1">
      <c r="B821" s="71"/>
      <c r="D821" s="72"/>
      <c r="K821" s="73"/>
      <c r="P821" s="37" t="s">
        <v>29</v>
      </c>
      <c r="Q821" s="64"/>
      <c r="R821" s="64"/>
      <c r="S821" s="64"/>
      <c r="T821" s="64"/>
      <c r="U821" s="64"/>
      <c r="V821" s="64"/>
      <c r="W821" s="64"/>
      <c r="X821" s="64"/>
      <c r="Y821" s="64"/>
      <c r="Z821" s="64"/>
      <c r="AA821" s="64"/>
      <c r="BS821" s="74"/>
      <c r="CQ821" s="37"/>
      <c r="CR821" s="37"/>
    </row>
    <row r="822" ht="18.75" customHeight="1">
      <c r="B822" s="71"/>
      <c r="D822" s="72"/>
      <c r="K822" s="73"/>
      <c r="P822" s="37" t="s">
        <v>29</v>
      </c>
      <c r="Q822" s="64"/>
      <c r="R822" s="64"/>
      <c r="S822" s="64"/>
      <c r="T822" s="64"/>
      <c r="U822" s="64"/>
      <c r="V822" s="64"/>
      <c r="W822" s="64"/>
      <c r="X822" s="64"/>
      <c r="Y822" s="64"/>
      <c r="Z822" s="64"/>
      <c r="AA822" s="64"/>
      <c r="BS822" s="74"/>
      <c r="CQ822" s="37"/>
      <c r="CR822" s="37"/>
    </row>
    <row r="823" ht="18.75" customHeight="1">
      <c r="B823" s="71"/>
      <c r="D823" s="72"/>
      <c r="K823" s="73"/>
      <c r="P823" s="37" t="s">
        <v>29</v>
      </c>
      <c r="Q823" s="64"/>
      <c r="R823" s="64"/>
      <c r="S823" s="64"/>
      <c r="T823" s="64"/>
      <c r="U823" s="64"/>
      <c r="V823" s="64"/>
      <c r="W823" s="64"/>
      <c r="X823" s="64"/>
      <c r="Y823" s="64"/>
      <c r="Z823" s="64"/>
      <c r="AA823" s="64"/>
      <c r="BS823" s="74"/>
      <c r="CQ823" s="37"/>
      <c r="CR823" s="37"/>
    </row>
    <row r="824" ht="18.75" customHeight="1">
      <c r="B824" s="71"/>
      <c r="D824" s="72"/>
      <c r="K824" s="73"/>
      <c r="P824" s="37" t="s">
        <v>29</v>
      </c>
      <c r="Q824" s="64"/>
      <c r="R824" s="64"/>
      <c r="S824" s="64"/>
      <c r="T824" s="64"/>
      <c r="U824" s="64"/>
      <c r="V824" s="64"/>
      <c r="W824" s="64"/>
      <c r="X824" s="64"/>
      <c r="Y824" s="64"/>
      <c r="Z824" s="64"/>
      <c r="AA824" s="64"/>
      <c r="BS824" s="74"/>
      <c r="CQ824" s="37"/>
      <c r="CR824" s="37"/>
    </row>
    <row r="825" ht="18.75" customHeight="1">
      <c r="B825" s="71"/>
      <c r="D825" s="72"/>
      <c r="K825" s="73"/>
      <c r="P825" s="37" t="s">
        <v>29</v>
      </c>
      <c r="Q825" s="64"/>
      <c r="R825" s="64"/>
      <c r="S825" s="64"/>
      <c r="T825" s="64"/>
      <c r="U825" s="64"/>
      <c r="V825" s="64"/>
      <c r="W825" s="64"/>
      <c r="X825" s="64"/>
      <c r="Y825" s="64"/>
      <c r="Z825" s="64"/>
      <c r="AA825" s="64"/>
      <c r="BS825" s="74"/>
      <c r="CQ825" s="37"/>
      <c r="CR825" s="37"/>
    </row>
    <row r="826" ht="18.75" customHeight="1">
      <c r="B826" s="71"/>
      <c r="D826" s="72"/>
      <c r="K826" s="73"/>
      <c r="P826" s="37" t="s">
        <v>29</v>
      </c>
      <c r="Q826" s="64"/>
      <c r="R826" s="64"/>
      <c r="S826" s="64"/>
      <c r="T826" s="64"/>
      <c r="U826" s="64"/>
      <c r="V826" s="64"/>
      <c r="W826" s="64"/>
      <c r="X826" s="64"/>
      <c r="Y826" s="64"/>
      <c r="Z826" s="64"/>
      <c r="AA826" s="64"/>
      <c r="BS826" s="74"/>
      <c r="CQ826" s="37"/>
      <c r="CR826" s="37"/>
    </row>
    <row r="827" ht="18.75" customHeight="1">
      <c r="B827" s="71"/>
      <c r="D827" s="72"/>
      <c r="K827" s="73"/>
      <c r="P827" s="37" t="s">
        <v>29</v>
      </c>
      <c r="Q827" s="64"/>
      <c r="R827" s="64"/>
      <c r="S827" s="64"/>
      <c r="T827" s="64"/>
      <c r="U827" s="64"/>
      <c r="V827" s="64"/>
      <c r="W827" s="64"/>
      <c r="X827" s="64"/>
      <c r="Y827" s="64"/>
      <c r="Z827" s="64"/>
      <c r="AA827" s="64"/>
      <c r="BS827" s="74"/>
      <c r="CQ827" s="37"/>
      <c r="CR827" s="37"/>
    </row>
    <row r="828" ht="18.75" customHeight="1">
      <c r="B828" s="71"/>
      <c r="D828" s="72"/>
      <c r="K828" s="73"/>
      <c r="P828" s="37" t="s">
        <v>29</v>
      </c>
      <c r="Q828" s="64"/>
      <c r="R828" s="64"/>
      <c r="S828" s="64"/>
      <c r="T828" s="64"/>
      <c r="U828" s="64"/>
      <c r="V828" s="64"/>
      <c r="W828" s="64"/>
      <c r="X828" s="64"/>
      <c r="Y828" s="64"/>
      <c r="Z828" s="64"/>
      <c r="AA828" s="64"/>
      <c r="BS828" s="74"/>
      <c r="CQ828" s="37"/>
      <c r="CR828" s="37"/>
    </row>
    <row r="829" ht="18.75" customHeight="1">
      <c r="B829" s="71"/>
      <c r="D829" s="72"/>
      <c r="K829" s="73"/>
      <c r="P829" s="37" t="s">
        <v>29</v>
      </c>
      <c r="Q829" s="64"/>
      <c r="R829" s="64"/>
      <c r="S829" s="64"/>
      <c r="T829" s="64"/>
      <c r="U829" s="64"/>
      <c r="V829" s="64"/>
      <c r="W829" s="64"/>
      <c r="X829" s="64"/>
      <c r="Y829" s="64"/>
      <c r="Z829" s="64"/>
      <c r="AA829" s="64"/>
      <c r="BS829" s="74"/>
      <c r="CQ829" s="37"/>
      <c r="CR829" s="37"/>
    </row>
    <row r="830" ht="18.75" customHeight="1">
      <c r="B830" s="71"/>
      <c r="D830" s="72"/>
      <c r="K830" s="73"/>
      <c r="P830" s="37" t="s">
        <v>29</v>
      </c>
      <c r="Q830" s="64"/>
      <c r="R830" s="64"/>
      <c r="S830" s="64"/>
      <c r="T830" s="64"/>
      <c r="U830" s="64"/>
      <c r="V830" s="64"/>
      <c r="W830" s="64"/>
      <c r="X830" s="64"/>
      <c r="Y830" s="64"/>
      <c r="Z830" s="64"/>
      <c r="AA830" s="64"/>
      <c r="BS830" s="74"/>
      <c r="CQ830" s="37"/>
      <c r="CR830" s="37"/>
    </row>
    <row r="831" ht="18.75" customHeight="1">
      <c r="B831" s="71"/>
      <c r="D831" s="72"/>
      <c r="K831" s="73"/>
      <c r="P831" s="37" t="s">
        <v>29</v>
      </c>
      <c r="Q831" s="64"/>
      <c r="R831" s="64"/>
      <c r="S831" s="64"/>
      <c r="T831" s="64"/>
      <c r="U831" s="64"/>
      <c r="V831" s="64"/>
      <c r="W831" s="64"/>
      <c r="X831" s="64"/>
      <c r="Y831" s="64"/>
      <c r="Z831" s="64"/>
      <c r="AA831" s="64"/>
      <c r="BS831" s="74"/>
      <c r="CQ831" s="37"/>
      <c r="CR831" s="37"/>
    </row>
    <row r="832" ht="18.75" customHeight="1">
      <c r="B832" s="71"/>
      <c r="D832" s="72"/>
      <c r="K832" s="73"/>
      <c r="P832" s="37" t="s">
        <v>29</v>
      </c>
      <c r="Q832" s="64"/>
      <c r="R832" s="64"/>
      <c r="S832" s="64"/>
      <c r="T832" s="64"/>
      <c r="U832" s="64"/>
      <c r="V832" s="64"/>
      <c r="W832" s="64"/>
      <c r="X832" s="64"/>
      <c r="Y832" s="64"/>
      <c r="Z832" s="64"/>
      <c r="AA832" s="64"/>
      <c r="BS832" s="74"/>
      <c r="CQ832" s="37"/>
      <c r="CR832" s="37"/>
    </row>
    <row r="833" ht="18.75" customHeight="1">
      <c r="B833" s="71"/>
      <c r="D833" s="72"/>
      <c r="K833" s="73"/>
      <c r="P833" s="37" t="s">
        <v>29</v>
      </c>
      <c r="Q833" s="64"/>
      <c r="R833" s="64"/>
      <c r="S833" s="64"/>
      <c r="T833" s="64"/>
      <c r="U833" s="64"/>
      <c r="V833" s="64"/>
      <c r="W833" s="64"/>
      <c r="X833" s="64"/>
      <c r="Y833" s="64"/>
      <c r="Z833" s="64"/>
      <c r="AA833" s="64"/>
      <c r="BS833" s="74"/>
      <c r="CQ833" s="37"/>
      <c r="CR833" s="37"/>
    </row>
    <row r="834" ht="18.75" customHeight="1">
      <c r="B834" s="71"/>
      <c r="D834" s="72"/>
      <c r="K834" s="73"/>
      <c r="P834" s="37" t="s">
        <v>29</v>
      </c>
      <c r="Q834" s="64"/>
      <c r="R834" s="64"/>
      <c r="S834" s="64"/>
      <c r="T834" s="64"/>
      <c r="U834" s="64"/>
      <c r="V834" s="64"/>
      <c r="W834" s="64"/>
      <c r="X834" s="64"/>
      <c r="Y834" s="64"/>
      <c r="Z834" s="64"/>
      <c r="AA834" s="64"/>
      <c r="BS834" s="74"/>
      <c r="CQ834" s="37"/>
      <c r="CR834" s="37"/>
    </row>
    <row r="835" ht="18.75" customHeight="1">
      <c r="B835" s="71"/>
      <c r="D835" s="72"/>
      <c r="K835" s="73"/>
      <c r="P835" s="37" t="s">
        <v>29</v>
      </c>
      <c r="Q835" s="64"/>
      <c r="R835" s="64"/>
      <c r="S835" s="64"/>
      <c r="T835" s="64"/>
      <c r="U835" s="64"/>
      <c r="V835" s="64"/>
      <c r="W835" s="64"/>
      <c r="X835" s="64"/>
      <c r="Y835" s="64"/>
      <c r="Z835" s="64"/>
      <c r="AA835" s="64"/>
      <c r="BS835" s="74"/>
      <c r="CQ835" s="37"/>
      <c r="CR835" s="37"/>
    </row>
    <row r="836" ht="18.75" customHeight="1">
      <c r="B836" s="71"/>
      <c r="D836" s="72"/>
      <c r="K836" s="73"/>
      <c r="P836" s="37" t="s">
        <v>29</v>
      </c>
      <c r="Q836" s="64"/>
      <c r="R836" s="64"/>
      <c r="S836" s="64"/>
      <c r="T836" s="64"/>
      <c r="U836" s="64"/>
      <c r="V836" s="64"/>
      <c r="W836" s="64"/>
      <c r="X836" s="64"/>
      <c r="Y836" s="64"/>
      <c r="Z836" s="64"/>
      <c r="AA836" s="64"/>
      <c r="BS836" s="74"/>
      <c r="CQ836" s="37"/>
      <c r="CR836" s="37"/>
    </row>
    <row r="837" ht="18.75" customHeight="1">
      <c r="B837" s="71"/>
      <c r="D837" s="72"/>
      <c r="K837" s="73"/>
      <c r="P837" s="37" t="s">
        <v>29</v>
      </c>
      <c r="Q837" s="64"/>
      <c r="R837" s="64"/>
      <c r="S837" s="64"/>
      <c r="T837" s="64"/>
      <c r="U837" s="64"/>
      <c r="V837" s="64"/>
      <c r="W837" s="64"/>
      <c r="X837" s="64"/>
      <c r="Y837" s="64"/>
      <c r="Z837" s="64"/>
      <c r="AA837" s="64"/>
      <c r="BS837" s="74"/>
      <c r="CQ837" s="37"/>
      <c r="CR837" s="37"/>
    </row>
    <row r="838" ht="18.75" customHeight="1">
      <c r="B838" s="71"/>
      <c r="D838" s="72"/>
      <c r="K838" s="73"/>
      <c r="P838" s="37" t="s">
        <v>29</v>
      </c>
      <c r="Q838" s="64"/>
      <c r="R838" s="64"/>
      <c r="S838" s="64"/>
      <c r="T838" s="64"/>
      <c r="U838" s="64"/>
      <c r="V838" s="64"/>
      <c r="W838" s="64"/>
      <c r="X838" s="64"/>
      <c r="Y838" s="64"/>
      <c r="Z838" s="64"/>
      <c r="AA838" s="64"/>
      <c r="BS838" s="74"/>
      <c r="CQ838" s="37"/>
      <c r="CR838" s="37"/>
    </row>
    <row r="839" ht="18.75" customHeight="1">
      <c r="B839" s="71"/>
      <c r="D839" s="72"/>
      <c r="K839" s="73"/>
      <c r="P839" s="37" t="s">
        <v>29</v>
      </c>
      <c r="Q839" s="64"/>
      <c r="R839" s="64"/>
      <c r="S839" s="64"/>
      <c r="T839" s="64"/>
      <c r="U839" s="64"/>
      <c r="V839" s="64"/>
      <c r="W839" s="64"/>
      <c r="X839" s="64"/>
      <c r="Y839" s="64"/>
      <c r="Z839" s="64"/>
      <c r="AA839" s="64"/>
      <c r="BS839" s="74"/>
      <c r="CQ839" s="37"/>
      <c r="CR839" s="37"/>
    </row>
    <row r="840" ht="18.75" customHeight="1">
      <c r="B840" s="71"/>
      <c r="D840" s="72"/>
      <c r="K840" s="73"/>
      <c r="P840" s="37" t="s">
        <v>29</v>
      </c>
      <c r="Q840" s="64"/>
      <c r="R840" s="64"/>
      <c r="S840" s="64"/>
      <c r="T840" s="64"/>
      <c r="U840" s="64"/>
      <c r="V840" s="64"/>
      <c r="W840" s="64"/>
      <c r="X840" s="64"/>
      <c r="Y840" s="64"/>
      <c r="Z840" s="64"/>
      <c r="AA840" s="64"/>
      <c r="BS840" s="74"/>
      <c r="CQ840" s="37"/>
      <c r="CR840" s="37"/>
    </row>
    <row r="841" ht="18.75" customHeight="1">
      <c r="B841" s="71"/>
      <c r="D841" s="72"/>
      <c r="K841" s="73"/>
      <c r="P841" s="37" t="s">
        <v>29</v>
      </c>
      <c r="Q841" s="64"/>
      <c r="R841" s="64"/>
      <c r="S841" s="64"/>
      <c r="T841" s="64"/>
      <c r="U841" s="64"/>
      <c r="V841" s="64"/>
      <c r="W841" s="64"/>
      <c r="X841" s="64"/>
      <c r="Y841" s="64"/>
      <c r="Z841" s="64"/>
      <c r="AA841" s="64"/>
      <c r="BS841" s="74"/>
      <c r="CQ841" s="37"/>
      <c r="CR841" s="37"/>
    </row>
    <row r="842" ht="18.75" customHeight="1">
      <c r="B842" s="71"/>
      <c r="D842" s="72"/>
      <c r="K842" s="73"/>
      <c r="P842" s="37" t="s">
        <v>29</v>
      </c>
      <c r="Q842" s="64"/>
      <c r="R842" s="64"/>
      <c r="S842" s="64"/>
      <c r="T842" s="64"/>
      <c r="U842" s="64"/>
      <c r="V842" s="64"/>
      <c r="W842" s="64"/>
      <c r="X842" s="64"/>
      <c r="Y842" s="64"/>
      <c r="Z842" s="64"/>
      <c r="AA842" s="64"/>
      <c r="BS842" s="74"/>
      <c r="CQ842" s="37"/>
      <c r="CR842" s="37"/>
    </row>
    <row r="843" ht="18.75" customHeight="1">
      <c r="B843" s="71"/>
      <c r="D843" s="72"/>
      <c r="K843" s="73"/>
      <c r="P843" s="37" t="s">
        <v>29</v>
      </c>
      <c r="Q843" s="64"/>
      <c r="R843" s="64"/>
      <c r="S843" s="64"/>
      <c r="T843" s="64"/>
      <c r="U843" s="64"/>
      <c r="V843" s="64"/>
      <c r="W843" s="64"/>
      <c r="X843" s="64"/>
      <c r="Y843" s="64"/>
      <c r="Z843" s="64"/>
      <c r="AA843" s="64"/>
      <c r="BS843" s="74"/>
      <c r="CQ843" s="37"/>
      <c r="CR843" s="37"/>
    </row>
    <row r="844" ht="18.75" customHeight="1">
      <c r="B844" s="71"/>
      <c r="D844" s="72"/>
      <c r="K844" s="73"/>
      <c r="P844" s="37" t="s">
        <v>29</v>
      </c>
      <c r="Q844" s="64"/>
      <c r="R844" s="64"/>
      <c r="S844" s="64"/>
      <c r="T844" s="64"/>
      <c r="U844" s="64"/>
      <c r="V844" s="64"/>
      <c r="W844" s="64"/>
      <c r="X844" s="64"/>
      <c r="Y844" s="64"/>
      <c r="Z844" s="64"/>
      <c r="AA844" s="64"/>
      <c r="BS844" s="74"/>
      <c r="CQ844" s="37"/>
      <c r="CR844" s="37"/>
    </row>
    <row r="845" ht="18.75" customHeight="1">
      <c r="B845" s="71"/>
      <c r="D845" s="72"/>
      <c r="K845" s="73"/>
      <c r="P845" s="37" t="s">
        <v>29</v>
      </c>
      <c r="Q845" s="64"/>
      <c r="R845" s="64"/>
      <c r="S845" s="64"/>
      <c r="T845" s="64"/>
      <c r="U845" s="64"/>
      <c r="V845" s="64"/>
      <c r="W845" s="64"/>
      <c r="X845" s="64"/>
      <c r="Y845" s="64"/>
      <c r="Z845" s="64"/>
      <c r="AA845" s="64"/>
      <c r="BS845" s="74"/>
      <c r="CQ845" s="37"/>
      <c r="CR845" s="37"/>
    </row>
    <row r="846" ht="18.75" customHeight="1">
      <c r="B846" s="71"/>
      <c r="D846" s="72"/>
      <c r="K846" s="73"/>
      <c r="P846" s="37" t="s">
        <v>29</v>
      </c>
      <c r="Q846" s="64"/>
      <c r="R846" s="64"/>
      <c r="S846" s="64"/>
      <c r="T846" s="64"/>
      <c r="U846" s="64"/>
      <c r="V846" s="64"/>
      <c r="W846" s="64"/>
      <c r="X846" s="64"/>
      <c r="Y846" s="64"/>
      <c r="Z846" s="64"/>
      <c r="AA846" s="64"/>
      <c r="BS846" s="74"/>
      <c r="CQ846" s="37"/>
      <c r="CR846" s="37"/>
    </row>
    <row r="847" ht="18.75" customHeight="1">
      <c r="B847" s="71"/>
      <c r="D847" s="72"/>
      <c r="K847" s="73"/>
      <c r="P847" s="37" t="s">
        <v>29</v>
      </c>
      <c r="Q847" s="64"/>
      <c r="R847" s="64"/>
      <c r="S847" s="64"/>
      <c r="T847" s="64"/>
      <c r="U847" s="64"/>
      <c r="V847" s="64"/>
      <c r="W847" s="64"/>
      <c r="X847" s="64"/>
      <c r="Y847" s="64"/>
      <c r="Z847" s="64"/>
      <c r="AA847" s="64"/>
      <c r="BS847" s="74"/>
      <c r="CQ847" s="37"/>
      <c r="CR847" s="37"/>
    </row>
    <row r="848" ht="18.75" customHeight="1">
      <c r="B848" s="71"/>
      <c r="D848" s="72"/>
      <c r="K848" s="73"/>
      <c r="P848" s="37" t="s">
        <v>29</v>
      </c>
      <c r="Q848" s="64"/>
      <c r="R848" s="64"/>
      <c r="S848" s="64"/>
      <c r="T848" s="64"/>
      <c r="U848" s="64"/>
      <c r="V848" s="64"/>
      <c r="W848" s="64"/>
      <c r="X848" s="64"/>
      <c r="Y848" s="64"/>
      <c r="Z848" s="64"/>
      <c r="AA848" s="64"/>
      <c r="BS848" s="74"/>
      <c r="CQ848" s="37"/>
      <c r="CR848" s="37"/>
    </row>
    <row r="849" ht="18.75" customHeight="1">
      <c r="B849" s="71"/>
      <c r="D849" s="72"/>
      <c r="K849" s="73"/>
      <c r="P849" s="37" t="s">
        <v>29</v>
      </c>
      <c r="Q849" s="64"/>
      <c r="R849" s="64"/>
      <c r="S849" s="64"/>
      <c r="T849" s="64"/>
      <c r="U849" s="64"/>
      <c r="V849" s="64"/>
      <c r="W849" s="64"/>
      <c r="X849" s="64"/>
      <c r="Y849" s="64"/>
      <c r="Z849" s="64"/>
      <c r="AA849" s="64"/>
      <c r="BS849" s="74"/>
      <c r="CQ849" s="37"/>
      <c r="CR849" s="37"/>
    </row>
    <row r="850" ht="18.75" customHeight="1">
      <c r="B850" s="71"/>
      <c r="D850" s="72"/>
      <c r="K850" s="73"/>
      <c r="P850" s="37" t="s">
        <v>29</v>
      </c>
      <c r="Q850" s="64"/>
      <c r="R850" s="64"/>
      <c r="S850" s="64"/>
      <c r="T850" s="64"/>
      <c r="U850" s="64"/>
      <c r="V850" s="64"/>
      <c r="W850" s="64"/>
      <c r="X850" s="64"/>
      <c r="Y850" s="64"/>
      <c r="Z850" s="64"/>
      <c r="AA850" s="64"/>
      <c r="BS850" s="74"/>
      <c r="CQ850" s="37"/>
      <c r="CR850" s="37"/>
    </row>
    <row r="851" ht="18.75" customHeight="1">
      <c r="B851" s="71"/>
      <c r="D851" s="72"/>
      <c r="K851" s="73"/>
      <c r="P851" s="37" t="s">
        <v>29</v>
      </c>
      <c r="Q851" s="64"/>
      <c r="R851" s="64"/>
      <c r="S851" s="64"/>
      <c r="T851" s="64"/>
      <c r="U851" s="64"/>
      <c r="V851" s="64"/>
      <c r="W851" s="64"/>
      <c r="X851" s="64"/>
      <c r="Y851" s="64"/>
      <c r="Z851" s="64"/>
      <c r="AA851" s="64"/>
      <c r="BS851" s="74"/>
      <c r="CQ851" s="37"/>
      <c r="CR851" s="37"/>
    </row>
    <row r="852" ht="18.75" customHeight="1">
      <c r="B852" s="71"/>
      <c r="D852" s="72"/>
      <c r="K852" s="73"/>
      <c r="P852" s="37" t="s">
        <v>29</v>
      </c>
      <c r="Q852" s="64"/>
      <c r="R852" s="64"/>
      <c r="S852" s="64"/>
      <c r="T852" s="64"/>
      <c r="U852" s="64"/>
      <c r="V852" s="64"/>
      <c r="W852" s="64"/>
      <c r="X852" s="64"/>
      <c r="Y852" s="64"/>
      <c r="Z852" s="64"/>
      <c r="AA852" s="64"/>
      <c r="BS852" s="74"/>
      <c r="CQ852" s="37"/>
      <c r="CR852" s="37"/>
    </row>
    <row r="853" ht="18.75" customHeight="1">
      <c r="B853" s="71"/>
      <c r="D853" s="72"/>
      <c r="K853" s="73"/>
      <c r="P853" s="37" t="s">
        <v>29</v>
      </c>
      <c r="Q853" s="64"/>
      <c r="R853" s="64"/>
      <c r="S853" s="64"/>
      <c r="T853" s="64"/>
      <c r="U853" s="64"/>
      <c r="V853" s="64"/>
      <c r="W853" s="64"/>
      <c r="X853" s="64"/>
      <c r="Y853" s="64"/>
      <c r="Z853" s="64"/>
      <c r="AA853" s="64"/>
      <c r="BS853" s="74"/>
      <c r="CQ853" s="37"/>
      <c r="CR853" s="37"/>
    </row>
    <row r="854" ht="18.75" customHeight="1">
      <c r="B854" s="71"/>
      <c r="D854" s="72"/>
      <c r="K854" s="73"/>
      <c r="P854" s="37" t="s">
        <v>29</v>
      </c>
      <c r="Q854" s="64"/>
      <c r="R854" s="64"/>
      <c r="S854" s="64"/>
      <c r="T854" s="64"/>
      <c r="U854" s="64"/>
      <c r="V854" s="64"/>
      <c r="W854" s="64"/>
      <c r="X854" s="64"/>
      <c r="Y854" s="64"/>
      <c r="Z854" s="64"/>
      <c r="AA854" s="64"/>
      <c r="BS854" s="74"/>
      <c r="CQ854" s="37"/>
      <c r="CR854" s="37"/>
    </row>
    <row r="855" ht="18.75" customHeight="1">
      <c r="B855" s="71"/>
      <c r="D855" s="72"/>
      <c r="K855" s="73"/>
      <c r="P855" s="37" t="s">
        <v>29</v>
      </c>
      <c r="Q855" s="64"/>
      <c r="R855" s="64"/>
      <c r="S855" s="64"/>
      <c r="T855" s="64"/>
      <c r="U855" s="64"/>
      <c r="V855" s="64"/>
      <c r="W855" s="64"/>
      <c r="X855" s="64"/>
      <c r="Y855" s="64"/>
      <c r="Z855" s="64"/>
      <c r="AA855" s="64"/>
      <c r="BS855" s="74"/>
      <c r="CQ855" s="37"/>
      <c r="CR855" s="37"/>
    </row>
    <row r="856" ht="18.75" customHeight="1">
      <c r="B856" s="71"/>
      <c r="D856" s="72"/>
      <c r="K856" s="73"/>
      <c r="P856" s="37" t="s">
        <v>29</v>
      </c>
      <c r="Q856" s="64"/>
      <c r="R856" s="64"/>
      <c r="S856" s="64"/>
      <c r="T856" s="64"/>
      <c r="U856" s="64"/>
      <c r="V856" s="64"/>
      <c r="W856" s="64"/>
      <c r="X856" s="64"/>
      <c r="Y856" s="64"/>
      <c r="Z856" s="64"/>
      <c r="AA856" s="64"/>
      <c r="BS856" s="74"/>
      <c r="CQ856" s="37"/>
      <c r="CR856" s="37"/>
    </row>
    <row r="857" ht="18.75" customHeight="1">
      <c r="B857" s="71"/>
      <c r="D857" s="72"/>
      <c r="K857" s="73"/>
      <c r="P857" s="37" t="s">
        <v>29</v>
      </c>
      <c r="Q857" s="64"/>
      <c r="R857" s="64"/>
      <c r="S857" s="64"/>
      <c r="T857" s="64"/>
      <c r="U857" s="64"/>
      <c r="V857" s="64"/>
      <c r="W857" s="64"/>
      <c r="X857" s="64"/>
      <c r="Y857" s="64"/>
      <c r="Z857" s="64"/>
      <c r="AA857" s="64"/>
      <c r="BS857" s="74"/>
      <c r="CQ857" s="37"/>
      <c r="CR857" s="37"/>
    </row>
    <row r="858" ht="18.75" customHeight="1">
      <c r="B858" s="71"/>
      <c r="D858" s="72"/>
      <c r="K858" s="73"/>
      <c r="P858" s="37" t="s">
        <v>29</v>
      </c>
      <c r="Q858" s="64"/>
      <c r="R858" s="64"/>
      <c r="S858" s="64"/>
      <c r="T858" s="64"/>
      <c r="U858" s="64"/>
      <c r="V858" s="64"/>
      <c r="W858" s="64"/>
      <c r="X858" s="64"/>
      <c r="Y858" s="64"/>
      <c r="Z858" s="64"/>
      <c r="AA858" s="64"/>
      <c r="BS858" s="74"/>
      <c r="CQ858" s="37"/>
      <c r="CR858" s="37"/>
    </row>
    <row r="859" ht="18.75" customHeight="1">
      <c r="B859" s="71"/>
      <c r="D859" s="72"/>
      <c r="K859" s="73"/>
      <c r="P859" s="37" t="s">
        <v>29</v>
      </c>
      <c r="Q859" s="64"/>
      <c r="R859" s="64"/>
      <c r="S859" s="64"/>
      <c r="T859" s="64"/>
      <c r="U859" s="64"/>
      <c r="V859" s="64"/>
      <c r="W859" s="64"/>
      <c r="X859" s="64"/>
      <c r="Y859" s="64"/>
      <c r="Z859" s="64"/>
      <c r="AA859" s="64"/>
      <c r="BS859" s="74"/>
      <c r="CQ859" s="37"/>
      <c r="CR859" s="37"/>
    </row>
    <row r="860" ht="18.75" customHeight="1">
      <c r="B860" s="71"/>
      <c r="D860" s="72"/>
      <c r="K860" s="73"/>
      <c r="P860" s="37" t="s">
        <v>29</v>
      </c>
      <c r="Q860" s="64"/>
      <c r="R860" s="64"/>
      <c r="S860" s="64"/>
      <c r="T860" s="64"/>
      <c r="U860" s="64"/>
      <c r="V860" s="64"/>
      <c r="W860" s="64"/>
      <c r="X860" s="64"/>
      <c r="Y860" s="64"/>
      <c r="Z860" s="64"/>
      <c r="AA860" s="64"/>
      <c r="BS860" s="74"/>
      <c r="CQ860" s="37"/>
      <c r="CR860" s="37"/>
    </row>
    <row r="861" ht="18.75" customHeight="1">
      <c r="B861" s="71"/>
      <c r="D861" s="72"/>
      <c r="K861" s="73"/>
      <c r="P861" s="37" t="s">
        <v>29</v>
      </c>
      <c r="Q861" s="64"/>
      <c r="R861" s="64"/>
      <c r="S861" s="64"/>
      <c r="T861" s="64"/>
      <c r="U861" s="64"/>
      <c r="V861" s="64"/>
      <c r="W861" s="64"/>
      <c r="X861" s="64"/>
      <c r="Y861" s="64"/>
      <c r="Z861" s="64"/>
      <c r="AA861" s="64"/>
      <c r="BS861" s="74"/>
      <c r="CQ861" s="37"/>
      <c r="CR861" s="37"/>
    </row>
    <row r="862" ht="18.75" customHeight="1">
      <c r="B862" s="71"/>
      <c r="D862" s="72"/>
      <c r="K862" s="73"/>
      <c r="P862" s="37" t="s">
        <v>29</v>
      </c>
      <c r="Q862" s="64"/>
      <c r="R862" s="64"/>
      <c r="S862" s="64"/>
      <c r="T862" s="64"/>
      <c r="U862" s="64"/>
      <c r="V862" s="64"/>
      <c r="W862" s="64"/>
      <c r="X862" s="64"/>
      <c r="Y862" s="64"/>
      <c r="Z862" s="64"/>
      <c r="AA862" s="64"/>
      <c r="BS862" s="74"/>
      <c r="CQ862" s="37"/>
      <c r="CR862" s="37"/>
    </row>
    <row r="863" ht="18.75" customHeight="1">
      <c r="B863" s="71"/>
      <c r="D863" s="72"/>
      <c r="K863" s="73"/>
      <c r="P863" s="37" t="s">
        <v>29</v>
      </c>
      <c r="Q863" s="64"/>
      <c r="R863" s="64"/>
      <c r="S863" s="64"/>
      <c r="T863" s="64"/>
      <c r="U863" s="64"/>
      <c r="V863" s="64"/>
      <c r="W863" s="64"/>
      <c r="X863" s="64"/>
      <c r="Y863" s="64"/>
      <c r="Z863" s="64"/>
      <c r="AA863" s="64"/>
      <c r="BS863" s="74"/>
      <c r="CQ863" s="37"/>
      <c r="CR863" s="37"/>
    </row>
    <row r="864" ht="18.75" customHeight="1">
      <c r="B864" s="71"/>
      <c r="D864" s="72"/>
      <c r="K864" s="73"/>
      <c r="P864" s="37" t="s">
        <v>29</v>
      </c>
      <c r="Q864" s="64"/>
      <c r="R864" s="64"/>
      <c r="S864" s="64"/>
      <c r="T864" s="64"/>
      <c r="U864" s="64"/>
      <c r="V864" s="64"/>
      <c r="W864" s="64"/>
      <c r="X864" s="64"/>
      <c r="Y864" s="64"/>
      <c r="Z864" s="64"/>
      <c r="AA864" s="64"/>
      <c r="BS864" s="74"/>
      <c r="CQ864" s="37"/>
      <c r="CR864" s="37"/>
    </row>
    <row r="865" ht="18.75" customHeight="1">
      <c r="B865" s="71"/>
      <c r="D865" s="72"/>
      <c r="K865" s="73"/>
      <c r="P865" s="37" t="s">
        <v>29</v>
      </c>
      <c r="Q865" s="64"/>
      <c r="R865" s="64"/>
      <c r="S865" s="64"/>
      <c r="T865" s="64"/>
      <c r="U865" s="64"/>
      <c r="V865" s="64"/>
      <c r="W865" s="64"/>
      <c r="X865" s="64"/>
      <c r="Y865" s="64"/>
      <c r="Z865" s="64"/>
      <c r="AA865" s="64"/>
      <c r="BS865" s="74"/>
      <c r="CQ865" s="37"/>
      <c r="CR865" s="37"/>
    </row>
    <row r="866" ht="18.75" customHeight="1">
      <c r="B866" s="71"/>
      <c r="D866" s="72"/>
      <c r="K866" s="73"/>
      <c r="P866" s="37" t="s">
        <v>29</v>
      </c>
      <c r="Q866" s="64"/>
      <c r="R866" s="64"/>
      <c r="S866" s="64"/>
      <c r="T866" s="64"/>
      <c r="U866" s="64"/>
      <c r="V866" s="64"/>
      <c r="W866" s="64"/>
      <c r="X866" s="64"/>
      <c r="Y866" s="64"/>
      <c r="Z866" s="64"/>
      <c r="AA866" s="64"/>
      <c r="BS866" s="74"/>
      <c r="CQ866" s="37"/>
      <c r="CR866" s="37"/>
    </row>
    <row r="867" ht="18.75" customHeight="1">
      <c r="B867" s="71"/>
      <c r="D867" s="72"/>
      <c r="K867" s="73"/>
      <c r="P867" s="37" t="s">
        <v>29</v>
      </c>
      <c r="Q867" s="64"/>
      <c r="R867" s="64"/>
      <c r="S867" s="64"/>
      <c r="T867" s="64"/>
      <c r="U867" s="64"/>
      <c r="V867" s="64"/>
      <c r="W867" s="64"/>
      <c r="X867" s="64"/>
      <c r="Y867" s="64"/>
      <c r="Z867" s="64"/>
      <c r="AA867" s="64"/>
      <c r="BS867" s="74"/>
      <c r="CQ867" s="37"/>
      <c r="CR867" s="37"/>
    </row>
    <row r="868" ht="18.75" customHeight="1">
      <c r="B868" s="71"/>
      <c r="D868" s="72"/>
      <c r="K868" s="73"/>
      <c r="P868" s="37" t="s">
        <v>29</v>
      </c>
      <c r="Q868" s="64"/>
      <c r="R868" s="64"/>
      <c r="S868" s="64"/>
      <c r="T868" s="64"/>
      <c r="U868" s="64"/>
      <c r="V868" s="64"/>
      <c r="W868" s="64"/>
      <c r="X868" s="64"/>
      <c r="Y868" s="64"/>
      <c r="Z868" s="64"/>
      <c r="AA868" s="64"/>
      <c r="BS868" s="74"/>
      <c r="CQ868" s="37"/>
      <c r="CR868" s="37"/>
    </row>
    <row r="869" ht="18.75" customHeight="1">
      <c r="B869" s="71"/>
      <c r="D869" s="72"/>
      <c r="K869" s="73"/>
      <c r="P869" s="37" t="s">
        <v>29</v>
      </c>
      <c r="Q869" s="64"/>
      <c r="R869" s="64"/>
      <c r="S869" s="64"/>
      <c r="T869" s="64"/>
      <c r="U869" s="64"/>
      <c r="V869" s="64"/>
      <c r="W869" s="64"/>
      <c r="X869" s="64"/>
      <c r="Y869" s="64"/>
      <c r="Z869" s="64"/>
      <c r="AA869" s="64"/>
      <c r="BS869" s="74"/>
      <c r="CQ869" s="37"/>
      <c r="CR869" s="37"/>
    </row>
    <row r="870" ht="18.75" customHeight="1">
      <c r="B870" s="71"/>
      <c r="D870" s="72"/>
      <c r="K870" s="73"/>
      <c r="P870" s="37" t="s">
        <v>29</v>
      </c>
      <c r="Q870" s="64"/>
      <c r="R870" s="64"/>
      <c r="S870" s="64"/>
      <c r="T870" s="64"/>
      <c r="U870" s="64"/>
      <c r="V870" s="64"/>
      <c r="W870" s="64"/>
      <c r="X870" s="64"/>
      <c r="Y870" s="64"/>
      <c r="Z870" s="64"/>
      <c r="AA870" s="64"/>
      <c r="BS870" s="74"/>
      <c r="CQ870" s="37"/>
      <c r="CR870" s="37"/>
    </row>
    <row r="871" ht="18.75" customHeight="1">
      <c r="B871" s="71"/>
      <c r="D871" s="72"/>
      <c r="K871" s="73"/>
      <c r="P871" s="37" t="s">
        <v>29</v>
      </c>
      <c r="Q871" s="64"/>
      <c r="R871" s="64"/>
      <c r="S871" s="64"/>
      <c r="T871" s="64"/>
      <c r="U871" s="64"/>
      <c r="V871" s="64"/>
      <c r="W871" s="64"/>
      <c r="X871" s="64"/>
      <c r="Y871" s="64"/>
      <c r="Z871" s="64"/>
      <c r="AA871" s="64"/>
      <c r="BS871" s="74"/>
      <c r="CQ871" s="37"/>
      <c r="CR871" s="37"/>
    </row>
    <row r="872" ht="18.75" customHeight="1">
      <c r="B872" s="71"/>
      <c r="D872" s="72"/>
      <c r="K872" s="73"/>
      <c r="P872" s="37" t="s">
        <v>29</v>
      </c>
      <c r="Q872" s="64"/>
      <c r="R872" s="64"/>
      <c r="S872" s="64"/>
      <c r="T872" s="64"/>
      <c r="U872" s="64"/>
      <c r="V872" s="64"/>
      <c r="W872" s="64"/>
      <c r="X872" s="64"/>
      <c r="Y872" s="64"/>
      <c r="Z872" s="64"/>
      <c r="AA872" s="64"/>
      <c r="BS872" s="74"/>
      <c r="CQ872" s="37"/>
      <c r="CR872" s="37"/>
    </row>
    <row r="873" ht="18.75" customHeight="1">
      <c r="B873" s="71"/>
      <c r="D873" s="72"/>
      <c r="K873" s="73"/>
      <c r="P873" s="37" t="s">
        <v>29</v>
      </c>
      <c r="Q873" s="64"/>
      <c r="R873" s="64"/>
      <c r="S873" s="64"/>
      <c r="T873" s="64"/>
      <c r="U873" s="64"/>
      <c r="V873" s="64"/>
      <c r="W873" s="64"/>
      <c r="X873" s="64"/>
      <c r="Y873" s="64"/>
      <c r="Z873" s="64"/>
      <c r="AA873" s="64"/>
      <c r="BS873" s="74"/>
      <c r="CQ873" s="37"/>
      <c r="CR873" s="37"/>
    </row>
    <row r="874" ht="18.75" customHeight="1">
      <c r="B874" s="71"/>
      <c r="D874" s="72"/>
      <c r="K874" s="73"/>
      <c r="P874" s="37" t="s">
        <v>29</v>
      </c>
      <c r="Q874" s="64"/>
      <c r="R874" s="64"/>
      <c r="S874" s="64"/>
      <c r="T874" s="64"/>
      <c r="U874" s="64"/>
      <c r="V874" s="64"/>
      <c r="W874" s="64"/>
      <c r="X874" s="64"/>
      <c r="Y874" s="64"/>
      <c r="Z874" s="64"/>
      <c r="AA874" s="64"/>
      <c r="BS874" s="74"/>
      <c r="CQ874" s="37"/>
      <c r="CR874" s="37"/>
    </row>
    <row r="875" ht="18.75" customHeight="1">
      <c r="B875" s="71"/>
      <c r="D875" s="72"/>
      <c r="K875" s="73"/>
      <c r="P875" s="37" t="s">
        <v>29</v>
      </c>
      <c r="Q875" s="64"/>
      <c r="R875" s="64"/>
      <c r="S875" s="64"/>
      <c r="T875" s="64"/>
      <c r="U875" s="64"/>
      <c r="V875" s="64"/>
      <c r="W875" s="64"/>
      <c r="X875" s="64"/>
      <c r="Y875" s="64"/>
      <c r="Z875" s="64"/>
      <c r="AA875" s="64"/>
      <c r="BS875" s="74"/>
      <c r="CQ875" s="37"/>
      <c r="CR875" s="37"/>
    </row>
    <row r="876" ht="18.75" customHeight="1">
      <c r="B876" s="71"/>
      <c r="D876" s="72"/>
      <c r="K876" s="73"/>
      <c r="P876" s="37" t="s">
        <v>29</v>
      </c>
      <c r="Q876" s="64"/>
      <c r="R876" s="64"/>
      <c r="S876" s="64"/>
      <c r="T876" s="64"/>
      <c r="U876" s="64"/>
      <c r="V876" s="64"/>
      <c r="W876" s="64"/>
      <c r="X876" s="64"/>
      <c r="Y876" s="64"/>
      <c r="Z876" s="64"/>
      <c r="AA876" s="64"/>
      <c r="BS876" s="74"/>
      <c r="CQ876" s="37"/>
      <c r="CR876" s="37"/>
    </row>
    <row r="877" ht="18.75" customHeight="1">
      <c r="B877" s="71"/>
      <c r="D877" s="72"/>
      <c r="K877" s="73"/>
      <c r="P877" s="37" t="s">
        <v>29</v>
      </c>
      <c r="Q877" s="64"/>
      <c r="R877" s="64"/>
      <c r="S877" s="64"/>
      <c r="T877" s="64"/>
      <c r="U877" s="64"/>
      <c r="V877" s="64"/>
      <c r="W877" s="64"/>
      <c r="X877" s="64"/>
      <c r="Y877" s="64"/>
      <c r="Z877" s="64"/>
      <c r="AA877" s="64"/>
      <c r="BS877" s="74"/>
      <c r="CQ877" s="37"/>
      <c r="CR877" s="37"/>
    </row>
    <row r="878" ht="18.75" customHeight="1">
      <c r="B878" s="71"/>
      <c r="D878" s="72"/>
      <c r="K878" s="73"/>
      <c r="P878" s="37" t="s">
        <v>29</v>
      </c>
      <c r="Q878" s="64"/>
      <c r="R878" s="64"/>
      <c r="S878" s="64"/>
      <c r="T878" s="64"/>
      <c r="U878" s="64"/>
      <c r="V878" s="64"/>
      <c r="W878" s="64"/>
      <c r="X878" s="64"/>
      <c r="Y878" s="64"/>
      <c r="Z878" s="64"/>
      <c r="AA878" s="64"/>
      <c r="BS878" s="74"/>
      <c r="CQ878" s="37"/>
      <c r="CR878" s="37"/>
    </row>
    <row r="879" ht="18.75" customHeight="1">
      <c r="B879" s="71"/>
      <c r="D879" s="72"/>
      <c r="K879" s="73"/>
      <c r="P879" s="37" t="s">
        <v>29</v>
      </c>
      <c r="Q879" s="64"/>
      <c r="R879" s="64"/>
      <c r="S879" s="64"/>
      <c r="T879" s="64"/>
      <c r="U879" s="64"/>
      <c r="V879" s="64"/>
      <c r="W879" s="64"/>
      <c r="X879" s="64"/>
      <c r="Y879" s="64"/>
      <c r="Z879" s="64"/>
      <c r="AA879" s="64"/>
      <c r="BS879" s="74"/>
      <c r="CQ879" s="37"/>
      <c r="CR879" s="37"/>
    </row>
    <row r="880" ht="18.75" customHeight="1">
      <c r="B880" s="71"/>
      <c r="D880" s="72"/>
      <c r="K880" s="73"/>
      <c r="P880" s="37" t="s">
        <v>29</v>
      </c>
      <c r="Q880" s="64"/>
      <c r="R880" s="64"/>
      <c r="S880" s="64"/>
      <c r="T880" s="64"/>
      <c r="U880" s="64"/>
      <c r="V880" s="64"/>
      <c r="W880" s="64"/>
      <c r="X880" s="64"/>
      <c r="Y880" s="64"/>
      <c r="Z880" s="64"/>
      <c r="AA880" s="64"/>
      <c r="BS880" s="74"/>
      <c r="CQ880" s="37"/>
      <c r="CR880" s="37"/>
    </row>
    <row r="881" ht="18.75" customHeight="1">
      <c r="B881" s="71"/>
      <c r="D881" s="72"/>
      <c r="K881" s="73"/>
      <c r="P881" s="37" t="s">
        <v>29</v>
      </c>
      <c r="Q881" s="64"/>
      <c r="R881" s="64"/>
      <c r="S881" s="64"/>
      <c r="T881" s="64"/>
      <c r="U881" s="64"/>
      <c r="V881" s="64"/>
      <c r="W881" s="64"/>
      <c r="X881" s="64"/>
      <c r="Y881" s="64"/>
      <c r="Z881" s="64"/>
      <c r="AA881" s="64"/>
      <c r="BS881" s="74"/>
      <c r="CQ881" s="37"/>
      <c r="CR881" s="37"/>
    </row>
    <row r="882" ht="18.75" customHeight="1">
      <c r="B882" s="71"/>
      <c r="D882" s="72"/>
      <c r="K882" s="73"/>
      <c r="P882" s="37" t="s">
        <v>29</v>
      </c>
      <c r="Q882" s="64"/>
      <c r="R882" s="64"/>
      <c r="S882" s="64"/>
      <c r="T882" s="64"/>
      <c r="U882" s="64"/>
      <c r="V882" s="64"/>
      <c r="W882" s="64"/>
      <c r="X882" s="64"/>
      <c r="Y882" s="64"/>
      <c r="Z882" s="64"/>
      <c r="AA882" s="64"/>
      <c r="BS882" s="74"/>
      <c r="CQ882" s="37"/>
      <c r="CR882" s="37"/>
    </row>
    <row r="883" ht="18.75" customHeight="1">
      <c r="B883" s="71"/>
      <c r="D883" s="72"/>
      <c r="K883" s="73"/>
      <c r="P883" s="37" t="s">
        <v>29</v>
      </c>
      <c r="Q883" s="64"/>
      <c r="R883" s="64"/>
      <c r="S883" s="64"/>
      <c r="T883" s="64"/>
      <c r="U883" s="64"/>
      <c r="V883" s="64"/>
      <c r="W883" s="64"/>
      <c r="X883" s="64"/>
      <c r="Y883" s="64"/>
      <c r="Z883" s="64"/>
      <c r="AA883" s="64"/>
      <c r="BS883" s="74"/>
      <c r="CQ883" s="37"/>
      <c r="CR883" s="37"/>
    </row>
    <row r="884" ht="18.75" customHeight="1">
      <c r="B884" s="71"/>
      <c r="D884" s="72"/>
      <c r="K884" s="73"/>
      <c r="P884" s="37" t="s">
        <v>29</v>
      </c>
      <c r="Q884" s="64"/>
      <c r="R884" s="64"/>
      <c r="S884" s="64"/>
      <c r="T884" s="64"/>
      <c r="U884" s="64"/>
      <c r="V884" s="64"/>
      <c r="W884" s="64"/>
      <c r="X884" s="64"/>
      <c r="Y884" s="64"/>
      <c r="Z884" s="64"/>
      <c r="AA884" s="64"/>
      <c r="BS884" s="74"/>
      <c r="CQ884" s="37"/>
      <c r="CR884" s="37"/>
    </row>
    <row r="885" ht="18.75" customHeight="1">
      <c r="B885" s="71"/>
      <c r="D885" s="72"/>
      <c r="K885" s="73"/>
      <c r="P885" s="37" t="s">
        <v>29</v>
      </c>
      <c r="Q885" s="64"/>
      <c r="R885" s="64"/>
      <c r="S885" s="64"/>
      <c r="T885" s="64"/>
      <c r="U885" s="64"/>
      <c r="V885" s="64"/>
      <c r="W885" s="64"/>
      <c r="X885" s="64"/>
      <c r="Y885" s="64"/>
      <c r="Z885" s="64"/>
      <c r="AA885" s="64"/>
      <c r="BS885" s="74"/>
      <c r="CQ885" s="37"/>
      <c r="CR885" s="37"/>
    </row>
    <row r="886" ht="18.75" customHeight="1">
      <c r="B886" s="71"/>
      <c r="D886" s="72"/>
      <c r="K886" s="73"/>
      <c r="P886" s="37" t="s">
        <v>29</v>
      </c>
      <c r="Q886" s="64"/>
      <c r="R886" s="64"/>
      <c r="S886" s="64"/>
      <c r="T886" s="64"/>
      <c r="U886" s="64"/>
      <c r="V886" s="64"/>
      <c r="W886" s="64"/>
      <c r="X886" s="64"/>
      <c r="Y886" s="64"/>
      <c r="Z886" s="64"/>
      <c r="AA886" s="64"/>
      <c r="BS886" s="74"/>
      <c r="CQ886" s="37"/>
      <c r="CR886" s="37"/>
    </row>
    <row r="887" ht="18.75" customHeight="1">
      <c r="B887" s="71"/>
      <c r="D887" s="72"/>
      <c r="K887" s="73"/>
      <c r="P887" s="37" t="s">
        <v>29</v>
      </c>
      <c r="Q887" s="64"/>
      <c r="R887" s="64"/>
      <c r="S887" s="64"/>
      <c r="T887" s="64"/>
      <c r="U887" s="64"/>
      <c r="V887" s="64"/>
      <c r="W887" s="64"/>
      <c r="X887" s="64"/>
      <c r="Y887" s="64"/>
      <c r="Z887" s="64"/>
      <c r="AA887" s="64"/>
      <c r="BS887" s="74"/>
      <c r="CQ887" s="37"/>
      <c r="CR887" s="37"/>
    </row>
    <row r="888" ht="18.75" customHeight="1">
      <c r="B888" s="71"/>
      <c r="D888" s="72"/>
      <c r="K888" s="73"/>
      <c r="P888" s="37" t="s">
        <v>29</v>
      </c>
      <c r="Q888" s="64"/>
      <c r="R888" s="64"/>
      <c r="S888" s="64"/>
      <c r="T888" s="64"/>
      <c r="U888" s="64"/>
      <c r="V888" s="64"/>
      <c r="W888" s="64"/>
      <c r="X888" s="64"/>
      <c r="Y888" s="64"/>
      <c r="Z888" s="64"/>
      <c r="AA888" s="64"/>
      <c r="BS888" s="74"/>
      <c r="CQ888" s="37"/>
      <c r="CR888" s="37"/>
    </row>
    <row r="889" ht="18.75" customHeight="1">
      <c r="B889" s="71"/>
      <c r="D889" s="72"/>
      <c r="K889" s="73"/>
      <c r="P889" s="37" t="s">
        <v>29</v>
      </c>
      <c r="Q889" s="64"/>
      <c r="R889" s="64"/>
      <c r="S889" s="64"/>
      <c r="T889" s="64"/>
      <c r="U889" s="64"/>
      <c r="V889" s="64"/>
      <c r="W889" s="64"/>
      <c r="X889" s="64"/>
      <c r="Y889" s="64"/>
      <c r="Z889" s="64"/>
      <c r="AA889" s="64"/>
      <c r="BS889" s="74"/>
      <c r="CQ889" s="37"/>
      <c r="CR889" s="37"/>
    </row>
    <row r="890" ht="18.75" customHeight="1">
      <c r="B890" s="71"/>
      <c r="D890" s="72"/>
      <c r="K890" s="73"/>
      <c r="P890" s="37" t="s">
        <v>29</v>
      </c>
      <c r="Q890" s="64"/>
      <c r="R890" s="64"/>
      <c r="S890" s="64"/>
      <c r="T890" s="64"/>
      <c r="U890" s="64"/>
      <c r="V890" s="64"/>
      <c r="W890" s="64"/>
      <c r="X890" s="64"/>
      <c r="Y890" s="64"/>
      <c r="Z890" s="64"/>
      <c r="AA890" s="64"/>
      <c r="BS890" s="74"/>
      <c r="CQ890" s="37"/>
      <c r="CR890" s="37"/>
    </row>
    <row r="891" ht="18.75" customHeight="1">
      <c r="B891" s="71"/>
      <c r="D891" s="72"/>
      <c r="K891" s="73"/>
      <c r="P891" s="37" t="s">
        <v>29</v>
      </c>
      <c r="Q891" s="64"/>
      <c r="R891" s="64"/>
      <c r="S891" s="64"/>
      <c r="T891" s="64"/>
      <c r="U891" s="64"/>
      <c r="V891" s="64"/>
      <c r="W891" s="64"/>
      <c r="X891" s="64"/>
      <c r="Y891" s="64"/>
      <c r="Z891" s="64"/>
      <c r="AA891" s="64"/>
      <c r="BS891" s="74"/>
      <c r="CQ891" s="37"/>
      <c r="CR891" s="37"/>
    </row>
    <row r="892" ht="18.75" customHeight="1">
      <c r="B892" s="71"/>
      <c r="D892" s="72"/>
      <c r="K892" s="73"/>
      <c r="P892" s="37" t="s">
        <v>29</v>
      </c>
      <c r="Q892" s="64"/>
      <c r="R892" s="64"/>
      <c r="S892" s="64"/>
      <c r="T892" s="64"/>
      <c r="U892" s="64"/>
      <c r="V892" s="64"/>
      <c r="W892" s="64"/>
      <c r="X892" s="64"/>
      <c r="Y892" s="64"/>
      <c r="Z892" s="64"/>
      <c r="AA892" s="64"/>
      <c r="BS892" s="74"/>
      <c r="CQ892" s="37"/>
      <c r="CR892" s="37"/>
    </row>
    <row r="893" ht="18.75" customHeight="1">
      <c r="B893" s="71"/>
      <c r="D893" s="72"/>
      <c r="K893" s="73"/>
      <c r="P893" s="37" t="s">
        <v>29</v>
      </c>
      <c r="Q893" s="64"/>
      <c r="R893" s="64"/>
      <c r="S893" s="64"/>
      <c r="T893" s="64"/>
      <c r="U893" s="64"/>
      <c r="V893" s="64"/>
      <c r="W893" s="64"/>
      <c r="X893" s="64"/>
      <c r="Y893" s="64"/>
      <c r="Z893" s="64"/>
      <c r="AA893" s="64"/>
      <c r="BS893" s="74"/>
      <c r="CQ893" s="37"/>
      <c r="CR893" s="37"/>
    </row>
    <row r="894" ht="18.75" customHeight="1">
      <c r="B894" s="71"/>
      <c r="D894" s="72"/>
      <c r="K894" s="73"/>
      <c r="P894" s="37" t="s">
        <v>29</v>
      </c>
      <c r="Q894" s="64"/>
      <c r="R894" s="64"/>
      <c r="S894" s="64"/>
      <c r="T894" s="64"/>
      <c r="U894" s="64"/>
      <c r="V894" s="64"/>
      <c r="W894" s="64"/>
      <c r="X894" s="64"/>
      <c r="Y894" s="64"/>
      <c r="Z894" s="64"/>
      <c r="AA894" s="64"/>
      <c r="BS894" s="74"/>
      <c r="CQ894" s="37"/>
      <c r="CR894" s="37"/>
    </row>
    <row r="895" ht="18.75" customHeight="1">
      <c r="B895" s="71"/>
      <c r="D895" s="72"/>
      <c r="K895" s="73"/>
      <c r="P895" s="37" t="s">
        <v>29</v>
      </c>
      <c r="Q895" s="64"/>
      <c r="R895" s="64"/>
      <c r="S895" s="64"/>
      <c r="T895" s="64"/>
      <c r="U895" s="64"/>
      <c r="V895" s="64"/>
      <c r="W895" s="64"/>
      <c r="X895" s="64"/>
      <c r="Y895" s="64"/>
      <c r="Z895" s="64"/>
      <c r="AA895" s="64"/>
      <c r="BS895" s="74"/>
      <c r="CQ895" s="37"/>
      <c r="CR895" s="37"/>
    </row>
    <row r="896" ht="18.75" customHeight="1">
      <c r="B896" s="71"/>
      <c r="D896" s="72"/>
      <c r="K896" s="73"/>
      <c r="P896" s="37" t="s">
        <v>29</v>
      </c>
      <c r="Q896" s="64"/>
      <c r="R896" s="64"/>
      <c r="S896" s="64"/>
      <c r="T896" s="64"/>
      <c r="U896" s="64"/>
      <c r="V896" s="64"/>
      <c r="W896" s="64"/>
      <c r="X896" s="64"/>
      <c r="Y896" s="64"/>
      <c r="Z896" s="64"/>
      <c r="AA896" s="64"/>
      <c r="BS896" s="74"/>
      <c r="CQ896" s="37"/>
      <c r="CR896" s="37"/>
    </row>
    <row r="897" ht="18.75" customHeight="1">
      <c r="B897" s="71"/>
      <c r="D897" s="72"/>
      <c r="K897" s="73"/>
      <c r="P897" s="37" t="s">
        <v>29</v>
      </c>
      <c r="Q897" s="64"/>
      <c r="R897" s="64"/>
      <c r="S897" s="64"/>
      <c r="T897" s="64"/>
      <c r="U897" s="64"/>
      <c r="V897" s="64"/>
      <c r="W897" s="64"/>
      <c r="X897" s="64"/>
      <c r="Y897" s="64"/>
      <c r="Z897" s="64"/>
      <c r="AA897" s="64"/>
      <c r="BS897" s="74"/>
      <c r="CQ897" s="37"/>
      <c r="CR897" s="37"/>
    </row>
    <row r="898" ht="18.75" customHeight="1">
      <c r="B898" s="71"/>
      <c r="D898" s="72"/>
      <c r="K898" s="73"/>
      <c r="P898" s="37" t="s">
        <v>29</v>
      </c>
      <c r="Q898" s="64"/>
      <c r="R898" s="64"/>
      <c r="S898" s="64"/>
      <c r="T898" s="64"/>
      <c r="U898" s="64"/>
      <c r="V898" s="64"/>
      <c r="W898" s="64"/>
      <c r="X898" s="64"/>
      <c r="Y898" s="64"/>
      <c r="Z898" s="64"/>
      <c r="AA898" s="64"/>
      <c r="BS898" s="74"/>
      <c r="CQ898" s="37"/>
      <c r="CR898" s="37"/>
    </row>
    <row r="899" ht="18.75" customHeight="1">
      <c r="B899" s="71"/>
      <c r="D899" s="72"/>
      <c r="K899" s="73"/>
      <c r="P899" s="37" t="s">
        <v>29</v>
      </c>
      <c r="Q899" s="64"/>
      <c r="R899" s="64"/>
      <c r="S899" s="64"/>
      <c r="T899" s="64"/>
      <c r="U899" s="64"/>
      <c r="V899" s="64"/>
      <c r="W899" s="64"/>
      <c r="X899" s="64"/>
      <c r="Y899" s="64"/>
      <c r="Z899" s="64"/>
      <c r="AA899" s="64"/>
      <c r="BS899" s="74"/>
      <c r="CQ899" s="37"/>
      <c r="CR899" s="37"/>
    </row>
    <row r="900" ht="18.75" customHeight="1">
      <c r="B900" s="71"/>
      <c r="D900" s="72"/>
      <c r="K900" s="73"/>
      <c r="P900" s="37" t="s">
        <v>29</v>
      </c>
      <c r="Q900" s="64"/>
      <c r="R900" s="64"/>
      <c r="S900" s="64"/>
      <c r="T900" s="64"/>
      <c r="U900" s="64"/>
      <c r="V900" s="64"/>
      <c r="W900" s="64"/>
      <c r="X900" s="64"/>
      <c r="Y900" s="64"/>
      <c r="Z900" s="64"/>
      <c r="AA900" s="64"/>
      <c r="BS900" s="74"/>
      <c r="CQ900" s="37"/>
      <c r="CR900" s="37"/>
    </row>
    <row r="901" ht="18.75" customHeight="1">
      <c r="B901" s="71"/>
      <c r="D901" s="72"/>
      <c r="K901" s="73"/>
      <c r="P901" s="37" t="s">
        <v>29</v>
      </c>
      <c r="Q901" s="64"/>
      <c r="R901" s="64"/>
      <c r="S901" s="64"/>
      <c r="T901" s="64"/>
      <c r="U901" s="64"/>
      <c r="V901" s="64"/>
      <c r="W901" s="64"/>
      <c r="X901" s="64"/>
      <c r="Y901" s="64"/>
      <c r="Z901" s="64"/>
      <c r="AA901" s="64"/>
      <c r="BS901" s="74"/>
      <c r="CQ901" s="37"/>
      <c r="CR901" s="37"/>
    </row>
    <row r="902" ht="18.75" customHeight="1">
      <c r="B902" s="71"/>
      <c r="D902" s="72"/>
      <c r="K902" s="73"/>
      <c r="P902" s="37" t="s">
        <v>29</v>
      </c>
      <c r="Q902" s="64"/>
      <c r="R902" s="64"/>
      <c r="S902" s="64"/>
      <c r="T902" s="64"/>
      <c r="U902" s="64"/>
      <c r="V902" s="64"/>
      <c r="W902" s="64"/>
      <c r="X902" s="64"/>
      <c r="Y902" s="64"/>
      <c r="Z902" s="64"/>
      <c r="AA902" s="64"/>
      <c r="BS902" s="74"/>
      <c r="CQ902" s="37"/>
      <c r="CR902" s="37"/>
    </row>
    <row r="903" ht="18.75" customHeight="1">
      <c r="B903" s="71"/>
      <c r="D903" s="72"/>
      <c r="K903" s="73"/>
      <c r="P903" s="37" t="s">
        <v>29</v>
      </c>
      <c r="Q903" s="64"/>
      <c r="R903" s="64"/>
      <c r="S903" s="64"/>
      <c r="T903" s="64"/>
      <c r="U903" s="64"/>
      <c r="V903" s="64"/>
      <c r="W903" s="64"/>
      <c r="X903" s="64"/>
      <c r="Y903" s="64"/>
      <c r="Z903" s="64"/>
      <c r="AA903" s="64"/>
      <c r="BS903" s="74"/>
      <c r="CQ903" s="37"/>
      <c r="CR903" s="37"/>
    </row>
    <row r="904" ht="18.75" customHeight="1">
      <c r="B904" s="71"/>
      <c r="D904" s="72"/>
      <c r="K904" s="73"/>
      <c r="P904" s="37" t="s">
        <v>29</v>
      </c>
      <c r="Q904" s="64"/>
      <c r="R904" s="64"/>
      <c r="S904" s="64"/>
      <c r="T904" s="64"/>
      <c r="U904" s="64"/>
      <c r="V904" s="64"/>
      <c r="W904" s="64"/>
      <c r="X904" s="64"/>
      <c r="Y904" s="64"/>
      <c r="Z904" s="64"/>
      <c r="AA904" s="64"/>
      <c r="BS904" s="74"/>
      <c r="CQ904" s="37"/>
      <c r="CR904" s="37"/>
    </row>
    <row r="905" ht="18.75" customHeight="1">
      <c r="B905" s="71"/>
      <c r="D905" s="72"/>
      <c r="K905" s="73"/>
      <c r="P905" s="37" t="s">
        <v>29</v>
      </c>
      <c r="Q905" s="64"/>
      <c r="R905" s="64"/>
      <c r="S905" s="64"/>
      <c r="T905" s="64"/>
      <c r="U905" s="64"/>
      <c r="V905" s="64"/>
      <c r="W905" s="64"/>
      <c r="X905" s="64"/>
      <c r="Y905" s="64"/>
      <c r="Z905" s="64"/>
      <c r="AA905" s="64"/>
      <c r="BS905" s="74"/>
      <c r="CQ905" s="37"/>
      <c r="CR905" s="37"/>
    </row>
    <row r="906" ht="18.75" customHeight="1">
      <c r="B906" s="71"/>
      <c r="D906" s="72"/>
      <c r="K906" s="73"/>
      <c r="P906" s="37" t="s">
        <v>29</v>
      </c>
      <c r="Q906" s="64"/>
      <c r="R906" s="64"/>
      <c r="S906" s="64"/>
      <c r="T906" s="64"/>
      <c r="U906" s="64"/>
      <c r="V906" s="64"/>
      <c r="W906" s="64"/>
      <c r="X906" s="64"/>
      <c r="Y906" s="64"/>
      <c r="Z906" s="64"/>
      <c r="AA906" s="64"/>
      <c r="BS906" s="74"/>
      <c r="CQ906" s="37"/>
      <c r="CR906" s="37"/>
    </row>
    <row r="907" ht="18.75" customHeight="1">
      <c r="B907" s="71"/>
      <c r="D907" s="72"/>
      <c r="K907" s="73"/>
      <c r="P907" s="37" t="s">
        <v>29</v>
      </c>
      <c r="Q907" s="64"/>
      <c r="R907" s="64"/>
      <c r="S907" s="64"/>
      <c r="T907" s="64"/>
      <c r="U907" s="64"/>
      <c r="V907" s="64"/>
      <c r="W907" s="64"/>
      <c r="X907" s="64"/>
      <c r="Y907" s="64"/>
      <c r="Z907" s="64"/>
      <c r="AA907" s="64"/>
      <c r="BS907" s="74"/>
      <c r="CQ907" s="37"/>
      <c r="CR907" s="37"/>
    </row>
    <row r="908" ht="18.75" customHeight="1">
      <c r="B908" s="71"/>
      <c r="D908" s="72"/>
      <c r="K908" s="73"/>
      <c r="P908" s="37" t="s">
        <v>29</v>
      </c>
      <c r="Q908" s="64"/>
      <c r="R908" s="64"/>
      <c r="S908" s="64"/>
      <c r="T908" s="64"/>
      <c r="U908" s="64"/>
      <c r="V908" s="64"/>
      <c r="W908" s="64"/>
      <c r="X908" s="64"/>
      <c r="Y908" s="64"/>
      <c r="Z908" s="64"/>
      <c r="AA908" s="64"/>
      <c r="BS908" s="74"/>
      <c r="CQ908" s="37"/>
      <c r="CR908" s="37"/>
    </row>
    <row r="909" ht="18.75" customHeight="1">
      <c r="B909" s="71"/>
      <c r="D909" s="72"/>
      <c r="K909" s="73"/>
      <c r="P909" s="37" t="s">
        <v>29</v>
      </c>
      <c r="Q909" s="64"/>
      <c r="R909" s="64"/>
      <c r="S909" s="64"/>
      <c r="T909" s="64"/>
      <c r="U909" s="64"/>
      <c r="V909" s="64"/>
      <c r="W909" s="64"/>
      <c r="X909" s="64"/>
      <c r="Y909" s="64"/>
      <c r="Z909" s="64"/>
      <c r="AA909" s="64"/>
      <c r="BS909" s="74"/>
      <c r="CQ909" s="37"/>
      <c r="CR909" s="37"/>
    </row>
    <row r="910" ht="18.75" customHeight="1">
      <c r="B910" s="71"/>
      <c r="D910" s="72"/>
      <c r="K910" s="73"/>
      <c r="P910" s="37" t="s">
        <v>29</v>
      </c>
      <c r="Q910" s="64"/>
      <c r="R910" s="64"/>
      <c r="S910" s="64"/>
      <c r="T910" s="64"/>
      <c r="U910" s="64"/>
      <c r="V910" s="64"/>
      <c r="W910" s="64"/>
      <c r="X910" s="64"/>
      <c r="Y910" s="64"/>
      <c r="Z910" s="64"/>
      <c r="AA910" s="64"/>
      <c r="BS910" s="74"/>
      <c r="CQ910" s="37"/>
      <c r="CR910" s="37"/>
    </row>
    <row r="911" ht="18.75" customHeight="1">
      <c r="B911" s="71"/>
      <c r="D911" s="72"/>
      <c r="K911" s="73"/>
      <c r="P911" s="37" t="s">
        <v>29</v>
      </c>
      <c r="Q911" s="64"/>
      <c r="R911" s="64"/>
      <c r="S911" s="64"/>
      <c r="T911" s="64"/>
      <c r="U911" s="64"/>
      <c r="V911" s="64"/>
      <c r="W911" s="64"/>
      <c r="X911" s="64"/>
      <c r="Y911" s="64"/>
      <c r="Z911" s="64"/>
      <c r="AA911" s="64"/>
      <c r="BS911" s="74"/>
      <c r="CQ911" s="37"/>
      <c r="CR911" s="37"/>
    </row>
    <row r="912" ht="18.75" customHeight="1">
      <c r="B912" s="71"/>
      <c r="D912" s="72"/>
      <c r="K912" s="73"/>
      <c r="P912" s="37" t="s">
        <v>29</v>
      </c>
      <c r="Q912" s="64"/>
      <c r="R912" s="64"/>
      <c r="S912" s="64"/>
      <c r="T912" s="64"/>
      <c r="U912" s="64"/>
      <c r="V912" s="64"/>
      <c r="W912" s="64"/>
      <c r="X912" s="64"/>
      <c r="Y912" s="64"/>
      <c r="Z912" s="64"/>
      <c r="AA912" s="64"/>
      <c r="BS912" s="74"/>
      <c r="CQ912" s="37"/>
      <c r="CR912" s="37"/>
    </row>
    <row r="913" ht="18.75" customHeight="1">
      <c r="B913" s="71"/>
      <c r="D913" s="72"/>
      <c r="K913" s="73"/>
      <c r="P913" s="37" t="s">
        <v>29</v>
      </c>
      <c r="Q913" s="64"/>
      <c r="R913" s="64"/>
      <c r="S913" s="64"/>
      <c r="T913" s="64"/>
      <c r="U913" s="64"/>
      <c r="V913" s="64"/>
      <c r="W913" s="64"/>
      <c r="X913" s="64"/>
      <c r="Y913" s="64"/>
      <c r="Z913" s="64"/>
      <c r="AA913" s="64"/>
      <c r="BS913" s="74"/>
      <c r="CQ913" s="37"/>
      <c r="CR913" s="37"/>
    </row>
    <row r="914" ht="18.75" customHeight="1">
      <c r="B914" s="71"/>
      <c r="D914" s="72"/>
      <c r="K914" s="73"/>
      <c r="P914" s="37" t="s">
        <v>29</v>
      </c>
      <c r="Q914" s="64"/>
      <c r="R914" s="64"/>
      <c r="S914" s="64"/>
      <c r="T914" s="64"/>
      <c r="U914" s="64"/>
      <c r="V914" s="64"/>
      <c r="W914" s="64"/>
      <c r="X914" s="64"/>
      <c r="Y914" s="64"/>
      <c r="Z914" s="64"/>
      <c r="AA914" s="64"/>
      <c r="BS914" s="74"/>
      <c r="CQ914" s="37"/>
      <c r="CR914" s="37"/>
    </row>
    <row r="915" ht="18.75" customHeight="1">
      <c r="B915" s="71"/>
      <c r="D915" s="72"/>
      <c r="K915" s="73"/>
      <c r="P915" s="37" t="s">
        <v>29</v>
      </c>
      <c r="Q915" s="64"/>
      <c r="R915" s="64"/>
      <c r="S915" s="64"/>
      <c r="T915" s="64"/>
      <c r="U915" s="64"/>
      <c r="V915" s="64"/>
      <c r="W915" s="64"/>
      <c r="X915" s="64"/>
      <c r="Y915" s="64"/>
      <c r="Z915" s="64"/>
      <c r="AA915" s="64"/>
      <c r="BS915" s="74"/>
      <c r="CQ915" s="37"/>
      <c r="CR915" s="37"/>
    </row>
    <row r="916" ht="18.75" customHeight="1">
      <c r="B916" s="71"/>
      <c r="D916" s="72"/>
      <c r="K916" s="73"/>
      <c r="P916" s="37" t="s">
        <v>29</v>
      </c>
      <c r="Q916" s="64"/>
      <c r="R916" s="64"/>
      <c r="S916" s="64"/>
      <c r="T916" s="64"/>
      <c r="U916" s="64"/>
      <c r="V916" s="64"/>
      <c r="W916" s="64"/>
      <c r="X916" s="64"/>
      <c r="Y916" s="64"/>
      <c r="Z916" s="64"/>
      <c r="AA916" s="64"/>
      <c r="BS916" s="74"/>
      <c r="CQ916" s="37"/>
      <c r="CR916" s="37"/>
    </row>
    <row r="917" ht="18.75" customHeight="1">
      <c r="B917" s="71"/>
      <c r="D917" s="72"/>
      <c r="K917" s="73"/>
      <c r="P917" s="37" t="s">
        <v>29</v>
      </c>
      <c r="Q917" s="64"/>
      <c r="R917" s="64"/>
      <c r="S917" s="64"/>
      <c r="T917" s="64"/>
      <c r="U917" s="64"/>
      <c r="V917" s="64"/>
      <c r="W917" s="64"/>
      <c r="X917" s="64"/>
      <c r="Y917" s="64"/>
      <c r="Z917" s="64"/>
      <c r="AA917" s="64"/>
      <c r="BS917" s="74"/>
      <c r="CQ917" s="37"/>
      <c r="CR917" s="37"/>
    </row>
    <row r="918" ht="18.75" customHeight="1">
      <c r="B918" s="71"/>
      <c r="D918" s="72"/>
      <c r="K918" s="73"/>
      <c r="P918" s="37" t="s">
        <v>29</v>
      </c>
      <c r="Q918" s="64"/>
      <c r="R918" s="64"/>
      <c r="S918" s="64"/>
      <c r="T918" s="64"/>
      <c r="U918" s="64"/>
      <c r="V918" s="64"/>
      <c r="W918" s="64"/>
      <c r="X918" s="64"/>
      <c r="Y918" s="64"/>
      <c r="Z918" s="64"/>
      <c r="AA918" s="64"/>
      <c r="BS918" s="74"/>
      <c r="CQ918" s="37"/>
      <c r="CR918" s="37"/>
    </row>
    <row r="919" ht="18.75" customHeight="1">
      <c r="B919" s="71"/>
      <c r="D919" s="72"/>
      <c r="K919" s="73"/>
      <c r="P919" s="37" t="s">
        <v>29</v>
      </c>
      <c r="Q919" s="64"/>
      <c r="R919" s="64"/>
      <c r="S919" s="64"/>
      <c r="T919" s="64"/>
      <c r="U919" s="64"/>
      <c r="V919" s="64"/>
      <c r="W919" s="64"/>
      <c r="X919" s="64"/>
      <c r="Y919" s="64"/>
      <c r="Z919" s="64"/>
      <c r="AA919" s="64"/>
      <c r="BS919" s="74"/>
      <c r="CQ919" s="37"/>
      <c r="CR919" s="37"/>
    </row>
    <row r="920" ht="18.75" customHeight="1">
      <c r="B920" s="71"/>
      <c r="D920" s="72"/>
      <c r="K920" s="73"/>
      <c r="P920" s="37" t="s">
        <v>29</v>
      </c>
      <c r="Q920" s="64"/>
      <c r="R920" s="64"/>
      <c r="S920" s="64"/>
      <c r="T920" s="64"/>
      <c r="U920" s="64"/>
      <c r="V920" s="64"/>
      <c r="W920" s="64"/>
      <c r="X920" s="64"/>
      <c r="Y920" s="64"/>
      <c r="Z920" s="64"/>
      <c r="AA920" s="64"/>
      <c r="BS920" s="74"/>
      <c r="CQ920" s="37"/>
      <c r="CR920" s="37"/>
    </row>
    <row r="921" ht="18.75" customHeight="1">
      <c r="B921" s="71"/>
      <c r="D921" s="72"/>
      <c r="K921" s="73"/>
      <c r="P921" s="37" t="s">
        <v>29</v>
      </c>
      <c r="Q921" s="64"/>
      <c r="R921" s="64"/>
      <c r="S921" s="64"/>
      <c r="T921" s="64"/>
      <c r="U921" s="64"/>
      <c r="V921" s="64"/>
      <c r="W921" s="64"/>
      <c r="X921" s="64"/>
      <c r="Y921" s="64"/>
      <c r="Z921" s="64"/>
      <c r="AA921" s="64"/>
      <c r="BS921" s="74"/>
      <c r="CQ921" s="37"/>
      <c r="CR921" s="37"/>
    </row>
    <row r="922" ht="18.75" customHeight="1">
      <c r="B922" s="71"/>
      <c r="D922" s="72"/>
      <c r="K922" s="73"/>
      <c r="P922" s="37" t="s">
        <v>29</v>
      </c>
      <c r="Q922" s="64"/>
      <c r="R922" s="64"/>
      <c r="S922" s="64"/>
      <c r="T922" s="64"/>
      <c r="U922" s="64"/>
      <c r="V922" s="64"/>
      <c r="W922" s="64"/>
      <c r="X922" s="64"/>
      <c r="Y922" s="64"/>
      <c r="Z922" s="64"/>
      <c r="AA922" s="64"/>
      <c r="BS922" s="74"/>
      <c r="CQ922" s="37"/>
      <c r="CR922" s="37"/>
    </row>
    <row r="923" ht="18.75" customHeight="1">
      <c r="B923" s="71"/>
      <c r="D923" s="72"/>
      <c r="K923" s="73"/>
      <c r="P923" s="37" t="s">
        <v>29</v>
      </c>
      <c r="Q923" s="64"/>
      <c r="R923" s="64"/>
      <c r="S923" s="64"/>
      <c r="T923" s="64"/>
      <c r="U923" s="64"/>
      <c r="V923" s="64"/>
      <c r="W923" s="64"/>
      <c r="X923" s="64"/>
      <c r="Y923" s="64"/>
      <c r="Z923" s="64"/>
      <c r="AA923" s="64"/>
      <c r="BS923" s="74"/>
      <c r="CQ923" s="37"/>
      <c r="CR923" s="37"/>
    </row>
    <row r="924" ht="18.75" customHeight="1">
      <c r="B924" s="71"/>
      <c r="D924" s="72"/>
      <c r="K924" s="73"/>
      <c r="P924" s="37" t="s">
        <v>29</v>
      </c>
      <c r="Q924" s="64"/>
      <c r="R924" s="64"/>
      <c r="S924" s="64"/>
      <c r="T924" s="64"/>
      <c r="U924" s="64"/>
      <c r="V924" s="64"/>
      <c r="W924" s="64"/>
      <c r="X924" s="64"/>
      <c r="Y924" s="64"/>
      <c r="Z924" s="64"/>
      <c r="AA924" s="64"/>
      <c r="BS924" s="74"/>
      <c r="CQ924" s="37"/>
      <c r="CR924" s="37"/>
    </row>
    <row r="925" ht="18.75" customHeight="1">
      <c r="B925" s="71"/>
      <c r="D925" s="72"/>
      <c r="K925" s="73"/>
      <c r="P925" s="37" t="s">
        <v>29</v>
      </c>
      <c r="Q925" s="64"/>
      <c r="R925" s="64"/>
      <c r="S925" s="64"/>
      <c r="T925" s="64"/>
      <c r="U925" s="64"/>
      <c r="V925" s="64"/>
      <c r="W925" s="64"/>
      <c r="X925" s="64"/>
      <c r="Y925" s="64"/>
      <c r="Z925" s="64"/>
      <c r="AA925" s="64"/>
      <c r="BS925" s="74"/>
      <c r="CQ925" s="37"/>
      <c r="CR925" s="37"/>
    </row>
    <row r="926" ht="18.75" customHeight="1">
      <c r="B926" s="71"/>
      <c r="D926" s="72"/>
      <c r="K926" s="73"/>
      <c r="P926" s="37" t="s">
        <v>29</v>
      </c>
      <c r="Q926" s="64"/>
      <c r="R926" s="64"/>
      <c r="S926" s="64"/>
      <c r="T926" s="64"/>
      <c r="U926" s="64"/>
      <c r="V926" s="64"/>
      <c r="W926" s="64"/>
      <c r="X926" s="64"/>
      <c r="Y926" s="64"/>
      <c r="Z926" s="64"/>
      <c r="AA926" s="64"/>
      <c r="BS926" s="74"/>
      <c r="CQ926" s="37"/>
      <c r="CR926" s="37"/>
    </row>
    <row r="927" ht="18.75" customHeight="1">
      <c r="B927" s="71"/>
      <c r="D927" s="72"/>
      <c r="K927" s="73"/>
      <c r="P927" s="37" t="s">
        <v>29</v>
      </c>
      <c r="Q927" s="64"/>
      <c r="R927" s="64"/>
      <c r="S927" s="64"/>
      <c r="T927" s="64"/>
      <c r="U927" s="64"/>
      <c r="V927" s="64"/>
      <c r="W927" s="64"/>
      <c r="X927" s="64"/>
      <c r="Y927" s="64"/>
      <c r="Z927" s="64"/>
      <c r="AA927" s="64"/>
      <c r="BS927" s="74"/>
      <c r="CQ927" s="37"/>
      <c r="CR927" s="37"/>
    </row>
    <row r="928" ht="18.75" customHeight="1">
      <c r="B928" s="71"/>
      <c r="D928" s="72"/>
      <c r="K928" s="73"/>
      <c r="P928" s="37" t="s">
        <v>29</v>
      </c>
      <c r="Q928" s="64"/>
      <c r="R928" s="64"/>
      <c r="S928" s="64"/>
      <c r="T928" s="64"/>
      <c r="U928" s="64"/>
      <c r="V928" s="64"/>
      <c r="W928" s="64"/>
      <c r="X928" s="64"/>
      <c r="Y928" s="64"/>
      <c r="Z928" s="64"/>
      <c r="AA928" s="64"/>
      <c r="BS928" s="74"/>
      <c r="CQ928" s="37"/>
      <c r="CR928" s="37"/>
    </row>
    <row r="929" ht="18.75" customHeight="1">
      <c r="B929" s="71"/>
      <c r="D929" s="72"/>
      <c r="K929" s="73"/>
      <c r="P929" s="37" t="s">
        <v>29</v>
      </c>
      <c r="Q929" s="64"/>
      <c r="R929" s="64"/>
      <c r="S929" s="64"/>
      <c r="T929" s="64"/>
      <c r="U929" s="64"/>
      <c r="V929" s="64"/>
      <c r="W929" s="64"/>
      <c r="X929" s="64"/>
      <c r="Y929" s="64"/>
      <c r="Z929" s="64"/>
      <c r="AA929" s="64"/>
      <c r="BS929" s="74"/>
      <c r="CQ929" s="37"/>
      <c r="CR929" s="37"/>
    </row>
    <row r="930" ht="18.75" customHeight="1">
      <c r="B930" s="71"/>
      <c r="D930" s="72"/>
      <c r="K930" s="73"/>
      <c r="P930" s="37" t="s">
        <v>29</v>
      </c>
      <c r="Q930" s="64"/>
      <c r="R930" s="64"/>
      <c r="S930" s="64"/>
      <c r="T930" s="64"/>
      <c r="U930" s="64"/>
      <c r="V930" s="64"/>
      <c r="W930" s="64"/>
      <c r="X930" s="64"/>
      <c r="Y930" s="64"/>
      <c r="Z930" s="64"/>
      <c r="AA930" s="64"/>
      <c r="BS930" s="74"/>
      <c r="CQ930" s="37"/>
      <c r="CR930" s="37"/>
    </row>
    <row r="931" ht="18.75" customHeight="1">
      <c r="B931" s="71"/>
      <c r="D931" s="72"/>
      <c r="K931" s="73"/>
      <c r="P931" s="37" t="s">
        <v>29</v>
      </c>
      <c r="Q931" s="64"/>
      <c r="R931" s="64"/>
      <c r="S931" s="64"/>
      <c r="T931" s="64"/>
      <c r="U931" s="64"/>
      <c r="V931" s="64"/>
      <c r="W931" s="64"/>
      <c r="X931" s="64"/>
      <c r="Y931" s="64"/>
      <c r="Z931" s="64"/>
      <c r="AA931" s="64"/>
      <c r="BS931" s="74"/>
      <c r="CQ931" s="37"/>
      <c r="CR931" s="37"/>
    </row>
    <row r="932" ht="18.75" customHeight="1">
      <c r="B932" s="71"/>
      <c r="D932" s="72"/>
      <c r="K932" s="73"/>
      <c r="P932" s="37" t="s">
        <v>29</v>
      </c>
      <c r="Q932" s="64"/>
      <c r="R932" s="64"/>
      <c r="S932" s="64"/>
      <c r="T932" s="64"/>
      <c r="U932" s="64"/>
      <c r="V932" s="64"/>
      <c r="W932" s="64"/>
      <c r="X932" s="64"/>
      <c r="Y932" s="64"/>
      <c r="Z932" s="64"/>
      <c r="AA932" s="64"/>
      <c r="BS932" s="74"/>
      <c r="CQ932" s="37"/>
      <c r="CR932" s="37"/>
    </row>
    <row r="933" ht="18.75" customHeight="1">
      <c r="B933" s="71"/>
      <c r="D933" s="72"/>
      <c r="K933" s="73"/>
      <c r="P933" s="37" t="s">
        <v>29</v>
      </c>
      <c r="Q933" s="64"/>
      <c r="R933" s="64"/>
      <c r="S933" s="64"/>
      <c r="T933" s="64"/>
      <c r="U933" s="64"/>
      <c r="V933" s="64"/>
      <c r="W933" s="64"/>
      <c r="X933" s="64"/>
      <c r="Y933" s="64"/>
      <c r="Z933" s="64"/>
      <c r="AA933" s="64"/>
      <c r="BS933" s="74"/>
      <c r="CQ933" s="37"/>
      <c r="CR933" s="37"/>
    </row>
    <row r="934" ht="18.75" customHeight="1">
      <c r="B934" s="71"/>
      <c r="D934" s="72"/>
      <c r="K934" s="73"/>
      <c r="P934" s="37" t="s">
        <v>29</v>
      </c>
      <c r="Q934" s="64"/>
      <c r="R934" s="64"/>
      <c r="S934" s="64"/>
      <c r="T934" s="64"/>
      <c r="U934" s="64"/>
      <c r="V934" s="64"/>
      <c r="W934" s="64"/>
      <c r="X934" s="64"/>
      <c r="Y934" s="64"/>
      <c r="Z934" s="64"/>
      <c r="AA934" s="64"/>
      <c r="BS934" s="74"/>
      <c r="CQ934" s="37"/>
      <c r="CR934" s="37"/>
    </row>
    <row r="935" ht="18.75" customHeight="1">
      <c r="B935" s="71"/>
      <c r="D935" s="72"/>
      <c r="K935" s="73"/>
      <c r="P935" s="37" t="s">
        <v>29</v>
      </c>
      <c r="Q935" s="64"/>
      <c r="R935" s="64"/>
      <c r="S935" s="64"/>
      <c r="T935" s="64"/>
      <c r="U935" s="64"/>
      <c r="V935" s="64"/>
      <c r="W935" s="64"/>
      <c r="X935" s="64"/>
      <c r="Y935" s="64"/>
      <c r="Z935" s="64"/>
      <c r="AA935" s="64"/>
      <c r="BS935" s="74"/>
      <c r="CQ935" s="37"/>
      <c r="CR935" s="37"/>
    </row>
    <row r="936" ht="18.75" customHeight="1">
      <c r="B936" s="71"/>
      <c r="D936" s="72"/>
      <c r="K936" s="73"/>
      <c r="P936" s="37" t="s">
        <v>29</v>
      </c>
      <c r="Q936" s="64"/>
      <c r="R936" s="64"/>
      <c r="S936" s="64"/>
      <c r="T936" s="64"/>
      <c r="U936" s="64"/>
      <c r="V936" s="64"/>
      <c r="W936" s="64"/>
      <c r="X936" s="64"/>
      <c r="Y936" s="64"/>
      <c r="Z936" s="64"/>
      <c r="AA936" s="64"/>
      <c r="BS936" s="74"/>
      <c r="CQ936" s="37"/>
      <c r="CR936" s="37"/>
    </row>
    <row r="937" ht="18.75" customHeight="1">
      <c r="B937" s="71"/>
      <c r="D937" s="72"/>
      <c r="K937" s="73"/>
      <c r="P937" s="37" t="s">
        <v>29</v>
      </c>
      <c r="Q937" s="64"/>
      <c r="R937" s="64"/>
      <c r="S937" s="64"/>
      <c r="T937" s="64"/>
      <c r="U937" s="64"/>
      <c r="V937" s="64"/>
      <c r="W937" s="64"/>
      <c r="X937" s="64"/>
      <c r="Y937" s="64"/>
      <c r="Z937" s="64"/>
      <c r="AA937" s="64"/>
      <c r="BS937" s="74"/>
      <c r="CQ937" s="37"/>
      <c r="CR937" s="37"/>
    </row>
    <row r="938" ht="18.75" customHeight="1">
      <c r="B938" s="71"/>
      <c r="D938" s="72"/>
      <c r="K938" s="73"/>
      <c r="P938" s="37" t="s">
        <v>29</v>
      </c>
      <c r="Q938" s="64"/>
      <c r="R938" s="64"/>
      <c r="S938" s="64"/>
      <c r="T938" s="64"/>
      <c r="U938" s="64"/>
      <c r="V938" s="64"/>
      <c r="W938" s="64"/>
      <c r="X938" s="64"/>
      <c r="Y938" s="64"/>
      <c r="Z938" s="64"/>
      <c r="AA938" s="64"/>
      <c r="BS938" s="74"/>
      <c r="CQ938" s="37"/>
      <c r="CR938" s="37"/>
    </row>
    <row r="939" ht="18.75" customHeight="1">
      <c r="B939" s="71"/>
      <c r="D939" s="72"/>
      <c r="K939" s="73"/>
      <c r="P939" s="37" t="s">
        <v>29</v>
      </c>
      <c r="Q939" s="64"/>
      <c r="R939" s="64"/>
      <c r="S939" s="64"/>
      <c r="T939" s="64"/>
      <c r="U939" s="64"/>
      <c r="V939" s="64"/>
      <c r="W939" s="64"/>
      <c r="X939" s="64"/>
      <c r="Y939" s="64"/>
      <c r="Z939" s="64"/>
      <c r="AA939" s="64"/>
      <c r="BS939" s="74"/>
      <c r="CQ939" s="37"/>
      <c r="CR939" s="37"/>
    </row>
    <row r="940" ht="18.75" customHeight="1">
      <c r="B940" s="71"/>
      <c r="D940" s="72"/>
      <c r="K940" s="73"/>
      <c r="P940" s="37" t="s">
        <v>29</v>
      </c>
      <c r="Q940" s="64"/>
      <c r="R940" s="64"/>
      <c r="S940" s="64"/>
      <c r="T940" s="64"/>
      <c r="U940" s="64"/>
      <c r="V940" s="64"/>
      <c r="W940" s="64"/>
      <c r="X940" s="64"/>
      <c r="Y940" s="64"/>
      <c r="Z940" s="64"/>
      <c r="AA940" s="64"/>
      <c r="BS940" s="74"/>
      <c r="CQ940" s="37"/>
      <c r="CR940" s="37"/>
    </row>
    <row r="941" ht="18.75" customHeight="1">
      <c r="B941" s="71"/>
      <c r="D941" s="72"/>
      <c r="K941" s="73"/>
      <c r="P941" s="37" t="s">
        <v>29</v>
      </c>
      <c r="Q941" s="64"/>
      <c r="R941" s="64"/>
      <c r="S941" s="64"/>
      <c r="T941" s="64"/>
      <c r="U941" s="64"/>
      <c r="V941" s="64"/>
      <c r="W941" s="64"/>
      <c r="X941" s="64"/>
      <c r="Y941" s="64"/>
      <c r="Z941" s="64"/>
      <c r="AA941" s="64"/>
      <c r="BS941" s="74"/>
      <c r="CQ941" s="37"/>
      <c r="CR941" s="37"/>
    </row>
    <row r="942" ht="18.75" customHeight="1">
      <c r="B942" s="71"/>
      <c r="D942" s="72"/>
      <c r="K942" s="73"/>
      <c r="P942" s="37" t="s">
        <v>29</v>
      </c>
      <c r="Q942" s="64"/>
      <c r="R942" s="64"/>
      <c r="S942" s="64"/>
      <c r="T942" s="64"/>
      <c r="U942" s="64"/>
      <c r="V942" s="64"/>
      <c r="W942" s="64"/>
      <c r="X942" s="64"/>
      <c r="Y942" s="64"/>
      <c r="Z942" s="64"/>
      <c r="AA942" s="64"/>
      <c r="BS942" s="74"/>
      <c r="CQ942" s="37"/>
      <c r="CR942" s="37"/>
    </row>
    <row r="943" ht="18.75" customHeight="1">
      <c r="B943" s="71"/>
      <c r="D943" s="72"/>
      <c r="K943" s="73"/>
      <c r="P943" s="37" t="s">
        <v>29</v>
      </c>
      <c r="Q943" s="64"/>
      <c r="R943" s="64"/>
      <c r="S943" s="64"/>
      <c r="T943" s="64"/>
      <c r="U943" s="64"/>
      <c r="V943" s="64"/>
      <c r="W943" s="64"/>
      <c r="X943" s="64"/>
      <c r="Y943" s="64"/>
      <c r="Z943" s="64"/>
      <c r="AA943" s="64"/>
      <c r="BS943" s="74"/>
      <c r="CQ943" s="37"/>
      <c r="CR943" s="37"/>
    </row>
    <row r="944" ht="18.75" customHeight="1">
      <c r="B944" s="71"/>
      <c r="D944" s="72"/>
      <c r="K944" s="73"/>
      <c r="P944" s="37" t="s">
        <v>29</v>
      </c>
      <c r="Q944" s="64"/>
      <c r="R944" s="64"/>
      <c r="S944" s="64"/>
      <c r="T944" s="64"/>
      <c r="U944" s="64"/>
      <c r="V944" s="64"/>
      <c r="W944" s="64"/>
      <c r="X944" s="64"/>
      <c r="Y944" s="64"/>
      <c r="Z944" s="64"/>
      <c r="AA944" s="64"/>
      <c r="BS944" s="74"/>
      <c r="CQ944" s="37"/>
      <c r="CR944" s="37"/>
    </row>
    <row r="945" ht="18.75" customHeight="1">
      <c r="B945" s="71"/>
      <c r="D945" s="72"/>
      <c r="K945" s="73"/>
      <c r="P945" s="37" t="s">
        <v>29</v>
      </c>
      <c r="Q945" s="64"/>
      <c r="R945" s="64"/>
      <c r="S945" s="64"/>
      <c r="T945" s="64"/>
      <c r="U945" s="64"/>
      <c r="V945" s="64"/>
      <c r="W945" s="64"/>
      <c r="X945" s="64"/>
      <c r="Y945" s="64"/>
      <c r="Z945" s="64"/>
      <c r="AA945" s="64"/>
      <c r="BS945" s="74"/>
      <c r="CQ945" s="37"/>
      <c r="CR945" s="37"/>
    </row>
    <row r="946" ht="18.75" customHeight="1">
      <c r="B946" s="71"/>
      <c r="D946" s="72"/>
      <c r="K946" s="73"/>
      <c r="P946" s="37" t="s">
        <v>29</v>
      </c>
      <c r="Q946" s="64"/>
      <c r="R946" s="64"/>
      <c r="S946" s="64"/>
      <c r="T946" s="64"/>
      <c r="U946" s="64"/>
      <c r="V946" s="64"/>
      <c r="W946" s="64"/>
      <c r="X946" s="64"/>
      <c r="Y946" s="64"/>
      <c r="Z946" s="64"/>
      <c r="AA946" s="64"/>
      <c r="BS946" s="74"/>
      <c r="CQ946" s="37"/>
      <c r="CR946" s="37"/>
    </row>
    <row r="947" ht="18.75" customHeight="1">
      <c r="B947" s="71"/>
      <c r="D947" s="72"/>
      <c r="K947" s="73"/>
      <c r="P947" s="37" t="s">
        <v>29</v>
      </c>
      <c r="Q947" s="64"/>
      <c r="R947" s="64"/>
      <c r="S947" s="64"/>
      <c r="T947" s="64"/>
      <c r="U947" s="64"/>
      <c r="V947" s="64"/>
      <c r="W947" s="64"/>
      <c r="X947" s="64"/>
      <c r="Y947" s="64"/>
      <c r="Z947" s="64"/>
      <c r="AA947" s="64"/>
      <c r="BS947" s="74"/>
      <c r="CQ947" s="37"/>
      <c r="CR947" s="37"/>
    </row>
    <row r="948" ht="18.75" customHeight="1">
      <c r="B948" s="71"/>
      <c r="D948" s="72"/>
      <c r="K948" s="73"/>
      <c r="P948" s="37" t="s">
        <v>29</v>
      </c>
      <c r="Q948" s="64"/>
      <c r="R948" s="64"/>
      <c r="S948" s="64"/>
      <c r="T948" s="64"/>
      <c r="U948" s="64"/>
      <c r="V948" s="64"/>
      <c r="W948" s="64"/>
      <c r="X948" s="64"/>
      <c r="Y948" s="64"/>
      <c r="Z948" s="64"/>
      <c r="AA948" s="64"/>
      <c r="BS948" s="74"/>
      <c r="CQ948" s="37"/>
      <c r="CR948" s="37"/>
    </row>
    <row r="949" ht="18.75" customHeight="1">
      <c r="B949" s="71"/>
      <c r="D949" s="72"/>
      <c r="K949" s="73"/>
      <c r="P949" s="37" t="s">
        <v>29</v>
      </c>
      <c r="Q949" s="64"/>
      <c r="R949" s="64"/>
      <c r="S949" s="64"/>
      <c r="T949" s="64"/>
      <c r="U949" s="64"/>
      <c r="V949" s="64"/>
      <c r="W949" s="64"/>
      <c r="X949" s="64"/>
      <c r="Y949" s="64"/>
      <c r="Z949" s="64"/>
      <c r="AA949" s="64"/>
      <c r="BS949" s="74"/>
      <c r="CQ949" s="37"/>
      <c r="CR949" s="37"/>
    </row>
    <row r="950" ht="18.75" customHeight="1">
      <c r="B950" s="71"/>
      <c r="D950" s="72"/>
      <c r="K950" s="73"/>
      <c r="P950" s="37" t="s">
        <v>29</v>
      </c>
      <c r="Q950" s="64"/>
      <c r="R950" s="64"/>
      <c r="S950" s="64"/>
      <c r="T950" s="64"/>
      <c r="U950" s="64"/>
      <c r="V950" s="64"/>
      <c r="W950" s="64"/>
      <c r="X950" s="64"/>
      <c r="Y950" s="64"/>
      <c r="Z950" s="64"/>
      <c r="AA950" s="64"/>
      <c r="BS950" s="74"/>
      <c r="CQ950" s="37"/>
      <c r="CR950" s="37"/>
    </row>
    <row r="951" ht="18.75" customHeight="1">
      <c r="B951" s="71"/>
      <c r="D951" s="72"/>
      <c r="K951" s="73"/>
      <c r="P951" s="37" t="s">
        <v>29</v>
      </c>
      <c r="Q951" s="64"/>
      <c r="R951" s="64"/>
      <c r="S951" s="64"/>
      <c r="T951" s="64"/>
      <c r="U951" s="64"/>
      <c r="V951" s="64"/>
      <c r="W951" s="64"/>
      <c r="X951" s="64"/>
      <c r="Y951" s="64"/>
      <c r="Z951" s="64"/>
      <c r="AA951" s="64"/>
      <c r="BS951" s="74"/>
      <c r="CQ951" s="37"/>
      <c r="CR951" s="37"/>
    </row>
    <row r="952" ht="18.75" customHeight="1">
      <c r="B952" s="71"/>
      <c r="D952" s="72"/>
      <c r="K952" s="73"/>
      <c r="P952" s="37" t="s">
        <v>29</v>
      </c>
      <c r="Q952" s="64"/>
      <c r="R952" s="64"/>
      <c r="S952" s="64"/>
      <c r="T952" s="64"/>
      <c r="U952" s="64"/>
      <c r="V952" s="64"/>
      <c r="W952" s="64"/>
      <c r="X952" s="64"/>
      <c r="Y952" s="64"/>
      <c r="Z952" s="64"/>
      <c r="AA952" s="64"/>
      <c r="BS952" s="74"/>
      <c r="CQ952" s="37"/>
      <c r="CR952" s="37"/>
    </row>
    <row r="953" ht="18.75" customHeight="1">
      <c r="B953" s="71"/>
      <c r="D953" s="72"/>
      <c r="K953" s="73"/>
      <c r="P953" s="37" t="s">
        <v>29</v>
      </c>
      <c r="Q953" s="64"/>
      <c r="R953" s="64"/>
      <c r="S953" s="64"/>
      <c r="T953" s="64"/>
      <c r="U953" s="64"/>
      <c r="V953" s="64"/>
      <c r="W953" s="64"/>
      <c r="X953" s="64"/>
      <c r="Y953" s="64"/>
      <c r="Z953" s="64"/>
      <c r="AA953" s="64"/>
      <c r="BS953" s="74"/>
      <c r="CQ953" s="37"/>
      <c r="CR953" s="37"/>
    </row>
    <row r="954" ht="18.75" customHeight="1">
      <c r="B954" s="71"/>
      <c r="D954" s="72"/>
      <c r="K954" s="73"/>
      <c r="P954" s="37" t="s">
        <v>29</v>
      </c>
      <c r="Q954" s="64"/>
      <c r="R954" s="64"/>
      <c r="S954" s="64"/>
      <c r="T954" s="64"/>
      <c r="U954" s="64"/>
      <c r="V954" s="64"/>
      <c r="W954" s="64"/>
      <c r="X954" s="64"/>
      <c r="Y954" s="64"/>
      <c r="Z954" s="64"/>
      <c r="AA954" s="64"/>
      <c r="BS954" s="74"/>
      <c r="CQ954" s="37"/>
      <c r="CR954" s="37"/>
    </row>
    <row r="955" ht="18.75" customHeight="1">
      <c r="B955" s="71"/>
      <c r="D955" s="72"/>
      <c r="K955" s="73"/>
      <c r="P955" s="37" t="s">
        <v>29</v>
      </c>
      <c r="Q955" s="64"/>
      <c r="R955" s="64"/>
      <c r="S955" s="64"/>
      <c r="T955" s="64"/>
      <c r="U955" s="64"/>
      <c r="V955" s="64"/>
      <c r="W955" s="64"/>
      <c r="X955" s="64"/>
      <c r="Y955" s="64"/>
      <c r="Z955" s="64"/>
      <c r="AA955" s="64"/>
      <c r="BS955" s="74"/>
      <c r="CQ955" s="37"/>
      <c r="CR955" s="37"/>
    </row>
    <row r="956" ht="18.75" customHeight="1">
      <c r="B956" s="71"/>
      <c r="D956" s="72"/>
      <c r="K956" s="73"/>
      <c r="P956" s="37" t="s">
        <v>29</v>
      </c>
      <c r="Q956" s="64"/>
      <c r="R956" s="64"/>
      <c r="S956" s="64"/>
      <c r="T956" s="64"/>
      <c r="U956" s="64"/>
      <c r="V956" s="64"/>
      <c r="W956" s="64"/>
      <c r="X956" s="64"/>
      <c r="Y956" s="64"/>
      <c r="Z956" s="64"/>
      <c r="AA956" s="64"/>
      <c r="BS956" s="74"/>
      <c r="CQ956" s="37"/>
      <c r="CR956" s="37"/>
    </row>
    <row r="957" ht="18.75" customHeight="1">
      <c r="B957" s="71"/>
      <c r="D957" s="72"/>
      <c r="K957" s="73"/>
      <c r="P957" s="37" t="s">
        <v>29</v>
      </c>
      <c r="Q957" s="64"/>
      <c r="R957" s="64"/>
      <c r="S957" s="64"/>
      <c r="T957" s="64"/>
      <c r="U957" s="64"/>
      <c r="V957" s="64"/>
      <c r="W957" s="64"/>
      <c r="X957" s="64"/>
      <c r="Y957" s="64"/>
      <c r="Z957" s="64"/>
      <c r="AA957" s="64"/>
      <c r="BS957" s="74"/>
      <c r="CQ957" s="37"/>
      <c r="CR957" s="37"/>
    </row>
    <row r="958" ht="18.75" customHeight="1">
      <c r="B958" s="71"/>
      <c r="D958" s="72"/>
      <c r="K958" s="73"/>
      <c r="P958" s="37" t="s">
        <v>29</v>
      </c>
      <c r="Q958" s="64"/>
      <c r="R958" s="64"/>
      <c r="S958" s="64"/>
      <c r="T958" s="64"/>
      <c r="U958" s="64"/>
      <c r="V958" s="64"/>
      <c r="W958" s="64"/>
      <c r="X958" s="64"/>
      <c r="Y958" s="64"/>
      <c r="Z958" s="64"/>
      <c r="AA958" s="64"/>
      <c r="BS958" s="74"/>
      <c r="CQ958" s="37"/>
      <c r="CR958" s="37"/>
    </row>
    <row r="959" ht="18.75" customHeight="1">
      <c r="B959" s="71"/>
      <c r="D959" s="72"/>
      <c r="K959" s="73"/>
      <c r="P959" s="37" t="s">
        <v>29</v>
      </c>
      <c r="Q959" s="64"/>
      <c r="R959" s="64"/>
      <c r="S959" s="64"/>
      <c r="T959" s="64"/>
      <c r="U959" s="64"/>
      <c r="V959" s="64"/>
      <c r="W959" s="64"/>
      <c r="X959" s="64"/>
      <c r="Y959" s="64"/>
      <c r="Z959" s="64"/>
      <c r="AA959" s="64"/>
      <c r="BS959" s="74"/>
      <c r="CQ959" s="37"/>
      <c r="CR959" s="37"/>
    </row>
    <row r="960" ht="18.75" customHeight="1">
      <c r="B960" s="71"/>
      <c r="D960" s="72"/>
      <c r="K960" s="73"/>
      <c r="P960" s="37" t="s">
        <v>29</v>
      </c>
      <c r="Q960" s="64"/>
      <c r="R960" s="64"/>
      <c r="S960" s="64"/>
      <c r="T960" s="64"/>
      <c r="U960" s="64"/>
      <c r="V960" s="64"/>
      <c r="W960" s="64"/>
      <c r="X960" s="64"/>
      <c r="Y960" s="64"/>
      <c r="Z960" s="64"/>
      <c r="AA960" s="64"/>
      <c r="BS960" s="74"/>
      <c r="CQ960" s="37"/>
      <c r="CR960" s="37"/>
    </row>
    <row r="961" ht="18.75" customHeight="1">
      <c r="B961" s="71"/>
      <c r="D961" s="72"/>
      <c r="K961" s="73"/>
      <c r="P961" s="37" t="s">
        <v>29</v>
      </c>
      <c r="Q961" s="64"/>
      <c r="R961" s="64"/>
      <c r="S961" s="64"/>
      <c r="T961" s="64"/>
      <c r="U961" s="64"/>
      <c r="V961" s="64"/>
      <c r="W961" s="64"/>
      <c r="X961" s="64"/>
      <c r="Y961" s="64"/>
      <c r="Z961" s="64"/>
      <c r="AA961" s="64"/>
      <c r="BS961" s="74"/>
      <c r="CQ961" s="37"/>
      <c r="CR961" s="37"/>
    </row>
    <row r="962" ht="18.75" customHeight="1">
      <c r="B962" s="71"/>
      <c r="D962" s="72"/>
      <c r="K962" s="73"/>
      <c r="P962" s="37" t="s">
        <v>29</v>
      </c>
      <c r="Q962" s="64"/>
      <c r="R962" s="64"/>
      <c r="S962" s="64"/>
      <c r="T962" s="64"/>
      <c r="U962" s="64"/>
      <c r="V962" s="64"/>
      <c r="W962" s="64"/>
      <c r="X962" s="64"/>
      <c r="Y962" s="64"/>
      <c r="Z962" s="64"/>
      <c r="AA962" s="64"/>
      <c r="BS962" s="74"/>
      <c r="CQ962" s="37"/>
      <c r="CR962" s="37"/>
    </row>
    <row r="963" ht="18.75" customHeight="1">
      <c r="B963" s="71"/>
      <c r="D963" s="72"/>
      <c r="K963" s="73"/>
      <c r="P963" s="37" t="s">
        <v>29</v>
      </c>
      <c r="Q963" s="64"/>
      <c r="R963" s="64"/>
      <c r="S963" s="64"/>
      <c r="T963" s="64"/>
      <c r="U963" s="64"/>
      <c r="V963" s="64"/>
      <c r="W963" s="64"/>
      <c r="X963" s="64"/>
      <c r="Y963" s="64"/>
      <c r="Z963" s="64"/>
      <c r="AA963" s="64"/>
      <c r="BS963" s="74"/>
      <c r="CQ963" s="37"/>
      <c r="CR963" s="37"/>
    </row>
    <row r="964" ht="18.75" customHeight="1">
      <c r="B964" s="71"/>
      <c r="D964" s="72"/>
      <c r="K964" s="73"/>
      <c r="P964" s="37" t="s">
        <v>29</v>
      </c>
      <c r="Q964" s="64"/>
      <c r="R964" s="64"/>
      <c r="S964" s="64"/>
      <c r="T964" s="64"/>
      <c r="U964" s="64"/>
      <c r="V964" s="64"/>
      <c r="W964" s="64"/>
      <c r="X964" s="64"/>
      <c r="Y964" s="64"/>
      <c r="Z964" s="64"/>
      <c r="AA964" s="64"/>
      <c r="BS964" s="74"/>
      <c r="CQ964" s="37"/>
      <c r="CR964" s="37"/>
    </row>
    <row r="965" ht="18.75" customHeight="1">
      <c r="B965" s="71"/>
      <c r="D965" s="72"/>
      <c r="K965" s="73"/>
      <c r="P965" s="37" t="s">
        <v>29</v>
      </c>
      <c r="Q965" s="64"/>
      <c r="R965" s="64"/>
      <c r="S965" s="64"/>
      <c r="T965" s="64"/>
      <c r="U965" s="64"/>
      <c r="V965" s="64"/>
      <c r="W965" s="64"/>
      <c r="X965" s="64"/>
      <c r="Y965" s="64"/>
      <c r="Z965" s="64"/>
      <c r="AA965" s="64"/>
      <c r="BS965" s="74"/>
      <c r="CQ965" s="37"/>
      <c r="CR965" s="37"/>
    </row>
    <row r="966" ht="18.75" customHeight="1">
      <c r="B966" s="71"/>
      <c r="D966" s="72"/>
      <c r="K966" s="73"/>
      <c r="P966" s="37" t="s">
        <v>29</v>
      </c>
      <c r="Q966" s="64"/>
      <c r="R966" s="64"/>
      <c r="S966" s="64"/>
      <c r="T966" s="64"/>
      <c r="U966" s="64"/>
      <c r="V966" s="64"/>
      <c r="W966" s="64"/>
      <c r="X966" s="64"/>
      <c r="Y966" s="64"/>
      <c r="Z966" s="64"/>
      <c r="AA966" s="64"/>
      <c r="BS966" s="74"/>
      <c r="CQ966" s="37"/>
      <c r="CR966" s="37"/>
    </row>
    <row r="967" ht="18.75" customHeight="1">
      <c r="B967" s="71"/>
      <c r="D967" s="72"/>
      <c r="K967" s="73"/>
      <c r="P967" s="37" t="s">
        <v>29</v>
      </c>
      <c r="Q967" s="64"/>
      <c r="R967" s="64"/>
      <c r="S967" s="64"/>
      <c r="T967" s="64"/>
      <c r="U967" s="64"/>
      <c r="V967" s="64"/>
      <c r="W967" s="64"/>
      <c r="X967" s="64"/>
      <c r="Y967" s="64"/>
      <c r="Z967" s="64"/>
      <c r="AA967" s="64"/>
      <c r="BS967" s="74"/>
      <c r="CQ967" s="37"/>
      <c r="CR967" s="37"/>
    </row>
    <row r="968" ht="18.75" customHeight="1">
      <c r="B968" s="71"/>
      <c r="D968" s="72"/>
      <c r="K968" s="73"/>
      <c r="P968" s="37" t="s">
        <v>29</v>
      </c>
      <c r="Q968" s="64"/>
      <c r="R968" s="64"/>
      <c r="S968" s="64"/>
      <c r="T968" s="64"/>
      <c r="U968" s="64"/>
      <c r="V968" s="64"/>
      <c r="W968" s="64"/>
      <c r="X968" s="64"/>
      <c r="Y968" s="64"/>
      <c r="Z968" s="64"/>
      <c r="AA968" s="64"/>
      <c r="BS968" s="74"/>
      <c r="CQ968" s="37"/>
      <c r="CR968" s="37"/>
    </row>
    <row r="969" ht="18.75" customHeight="1">
      <c r="B969" s="71"/>
      <c r="D969" s="72"/>
      <c r="K969" s="73"/>
      <c r="P969" s="37" t="s">
        <v>29</v>
      </c>
      <c r="Q969" s="64"/>
      <c r="R969" s="64"/>
      <c r="S969" s="64"/>
      <c r="T969" s="64"/>
      <c r="U969" s="64"/>
      <c r="V969" s="64"/>
      <c r="W969" s="64"/>
      <c r="X969" s="64"/>
      <c r="Y969" s="64"/>
      <c r="Z969" s="64"/>
      <c r="AA969" s="64"/>
      <c r="BS969" s="74"/>
      <c r="CQ969" s="37"/>
      <c r="CR969" s="37"/>
    </row>
    <row r="970" ht="18.75" customHeight="1">
      <c r="B970" s="71"/>
      <c r="D970" s="72"/>
      <c r="K970" s="73"/>
      <c r="P970" s="37" t="s">
        <v>29</v>
      </c>
      <c r="Q970" s="64"/>
      <c r="R970" s="64"/>
      <c r="S970" s="64"/>
      <c r="T970" s="64"/>
      <c r="U970" s="64"/>
      <c r="V970" s="64"/>
      <c r="W970" s="64"/>
      <c r="X970" s="64"/>
      <c r="Y970" s="64"/>
      <c r="Z970" s="64"/>
      <c r="AA970" s="64"/>
      <c r="BS970" s="74"/>
      <c r="CQ970" s="37"/>
      <c r="CR970" s="37"/>
    </row>
    <row r="971" ht="18.75" customHeight="1">
      <c r="B971" s="71"/>
      <c r="D971" s="72"/>
      <c r="K971" s="73"/>
      <c r="P971" s="37" t="s">
        <v>29</v>
      </c>
      <c r="Q971" s="64"/>
      <c r="R971" s="64"/>
      <c r="S971" s="64"/>
      <c r="T971" s="64"/>
      <c r="U971" s="64"/>
      <c r="V971" s="64"/>
      <c r="W971" s="64"/>
      <c r="X971" s="64"/>
      <c r="Y971" s="64"/>
      <c r="Z971" s="64"/>
      <c r="AA971" s="64"/>
      <c r="BS971" s="74"/>
      <c r="CQ971" s="37"/>
      <c r="CR971" s="37"/>
    </row>
    <row r="972" ht="18.75" customHeight="1">
      <c r="B972" s="71"/>
      <c r="D972" s="72"/>
      <c r="K972" s="73"/>
      <c r="P972" s="37" t="s">
        <v>29</v>
      </c>
      <c r="Q972" s="64"/>
      <c r="R972" s="64"/>
      <c r="S972" s="64"/>
      <c r="T972" s="64"/>
      <c r="U972" s="64"/>
      <c r="V972" s="64"/>
      <c r="W972" s="64"/>
      <c r="X972" s="64"/>
      <c r="Y972" s="64"/>
      <c r="Z972" s="64"/>
      <c r="AA972" s="64"/>
      <c r="BS972" s="74"/>
      <c r="CQ972" s="37"/>
      <c r="CR972" s="37"/>
    </row>
    <row r="973" ht="18.75" customHeight="1">
      <c r="B973" s="71"/>
      <c r="D973" s="72"/>
      <c r="K973" s="73"/>
      <c r="P973" s="37" t="s">
        <v>29</v>
      </c>
      <c r="Q973" s="64"/>
      <c r="R973" s="64"/>
      <c r="S973" s="64"/>
      <c r="T973" s="64"/>
      <c r="U973" s="64"/>
      <c r="V973" s="64"/>
      <c r="W973" s="64"/>
      <c r="X973" s="64"/>
      <c r="Y973" s="64"/>
      <c r="Z973" s="64"/>
      <c r="AA973" s="64"/>
      <c r="BS973" s="74"/>
      <c r="CQ973" s="37"/>
      <c r="CR973" s="37"/>
    </row>
    <row r="974" ht="18.75" customHeight="1">
      <c r="B974" s="71"/>
      <c r="D974" s="72"/>
      <c r="K974" s="73"/>
      <c r="P974" s="37" t="s">
        <v>29</v>
      </c>
      <c r="Q974" s="64"/>
      <c r="R974" s="64"/>
      <c r="S974" s="64"/>
      <c r="T974" s="64"/>
      <c r="U974" s="64"/>
      <c r="V974" s="64"/>
      <c r="W974" s="64"/>
      <c r="X974" s="64"/>
      <c r="Y974" s="64"/>
      <c r="Z974" s="64"/>
      <c r="AA974" s="64"/>
      <c r="BS974" s="74"/>
      <c r="CQ974" s="37"/>
      <c r="CR974" s="37"/>
    </row>
    <row r="975" ht="18.75" customHeight="1">
      <c r="B975" s="71"/>
      <c r="D975" s="72"/>
      <c r="K975" s="73"/>
      <c r="P975" s="37" t="s">
        <v>29</v>
      </c>
      <c r="Q975" s="64"/>
      <c r="R975" s="64"/>
      <c r="S975" s="64"/>
      <c r="T975" s="64"/>
      <c r="U975" s="64"/>
      <c r="V975" s="64"/>
      <c r="W975" s="64"/>
      <c r="X975" s="64"/>
      <c r="Y975" s="64"/>
      <c r="Z975" s="64"/>
      <c r="AA975" s="64"/>
      <c r="BS975" s="74"/>
      <c r="CQ975" s="37"/>
      <c r="CR975" s="37"/>
    </row>
    <row r="976" ht="18.75" customHeight="1">
      <c r="B976" s="71"/>
      <c r="D976" s="72"/>
      <c r="K976" s="73"/>
      <c r="P976" s="37" t="s">
        <v>29</v>
      </c>
      <c r="Q976" s="64"/>
      <c r="R976" s="64"/>
      <c r="S976" s="64"/>
      <c r="T976" s="64"/>
      <c r="U976" s="64"/>
      <c r="V976" s="64"/>
      <c r="W976" s="64"/>
      <c r="X976" s="64"/>
      <c r="Y976" s="64"/>
      <c r="Z976" s="64"/>
      <c r="AA976" s="64"/>
      <c r="BS976" s="74"/>
      <c r="CQ976" s="37"/>
      <c r="CR976" s="37"/>
    </row>
    <row r="977" ht="18.75" customHeight="1">
      <c r="B977" s="71"/>
      <c r="D977" s="72"/>
      <c r="K977" s="73"/>
      <c r="P977" s="37" t="s">
        <v>29</v>
      </c>
      <c r="Q977" s="64"/>
      <c r="R977" s="64"/>
      <c r="S977" s="64"/>
      <c r="T977" s="64"/>
      <c r="U977" s="64"/>
      <c r="V977" s="64"/>
      <c r="W977" s="64"/>
      <c r="X977" s="64"/>
      <c r="Y977" s="64"/>
      <c r="Z977" s="64"/>
      <c r="AA977" s="64"/>
      <c r="BS977" s="74"/>
      <c r="CQ977" s="37"/>
      <c r="CR977" s="37"/>
    </row>
    <row r="978" ht="18.75" customHeight="1">
      <c r="B978" s="71"/>
      <c r="D978" s="72"/>
      <c r="K978" s="73"/>
      <c r="P978" s="37" t="s">
        <v>29</v>
      </c>
      <c r="Q978" s="64"/>
      <c r="R978" s="64"/>
      <c r="S978" s="64"/>
      <c r="T978" s="64"/>
      <c r="U978" s="64"/>
      <c r="V978" s="64"/>
      <c r="W978" s="64"/>
      <c r="X978" s="64"/>
      <c r="Y978" s="64"/>
      <c r="Z978" s="64"/>
      <c r="AA978" s="64"/>
      <c r="BS978" s="74"/>
      <c r="CQ978" s="37"/>
      <c r="CR978" s="37"/>
    </row>
    <row r="979" ht="18.75" customHeight="1">
      <c r="B979" s="71"/>
      <c r="D979" s="72"/>
      <c r="K979" s="73"/>
      <c r="P979" s="37" t="s">
        <v>29</v>
      </c>
      <c r="Q979" s="64"/>
      <c r="R979" s="64"/>
      <c r="S979" s="64"/>
      <c r="T979" s="64"/>
      <c r="U979" s="64"/>
      <c r="V979" s="64"/>
      <c r="W979" s="64"/>
      <c r="X979" s="64"/>
      <c r="Y979" s="64"/>
      <c r="Z979" s="64"/>
      <c r="AA979" s="64"/>
      <c r="BS979" s="74"/>
      <c r="CQ979" s="37"/>
      <c r="CR979" s="37"/>
    </row>
    <row r="980" ht="18.75" customHeight="1">
      <c r="B980" s="71"/>
      <c r="D980" s="72"/>
      <c r="K980" s="73"/>
      <c r="P980" s="37" t="s">
        <v>29</v>
      </c>
      <c r="Q980" s="64"/>
      <c r="R980" s="64"/>
      <c r="S980" s="64"/>
      <c r="T980" s="64"/>
      <c r="U980" s="64"/>
      <c r="V980" s="64"/>
      <c r="W980" s="64"/>
      <c r="X980" s="64"/>
      <c r="Y980" s="64"/>
      <c r="Z980" s="64"/>
      <c r="AA980" s="64"/>
      <c r="BS980" s="74"/>
      <c r="CQ980" s="37"/>
      <c r="CR980" s="37"/>
    </row>
    <row r="981" ht="18.75" customHeight="1">
      <c r="B981" s="71"/>
      <c r="D981" s="72"/>
      <c r="K981" s="73"/>
      <c r="P981" s="37" t="s">
        <v>29</v>
      </c>
      <c r="Q981" s="64"/>
      <c r="R981" s="64"/>
      <c r="S981" s="64"/>
      <c r="T981" s="64"/>
      <c r="U981" s="64"/>
      <c r="V981" s="64"/>
      <c r="W981" s="64"/>
      <c r="X981" s="64"/>
      <c r="Y981" s="64"/>
      <c r="Z981" s="64"/>
      <c r="AA981" s="64"/>
      <c r="BS981" s="74"/>
      <c r="CQ981" s="37"/>
      <c r="CR981" s="37"/>
    </row>
    <row r="982" ht="18.75" customHeight="1">
      <c r="B982" s="71"/>
      <c r="D982" s="72"/>
      <c r="K982" s="73"/>
      <c r="P982" s="37" t="s">
        <v>29</v>
      </c>
      <c r="Q982" s="64"/>
      <c r="R982" s="64"/>
      <c r="S982" s="64"/>
      <c r="T982" s="64"/>
      <c r="U982" s="64"/>
      <c r="V982" s="64"/>
      <c r="W982" s="64"/>
      <c r="X982" s="64"/>
      <c r="Y982" s="64"/>
      <c r="Z982" s="64"/>
      <c r="AA982" s="64"/>
      <c r="BS982" s="74"/>
      <c r="CQ982" s="37"/>
      <c r="CR982" s="37"/>
    </row>
    <row r="983" ht="18.75" customHeight="1">
      <c r="B983" s="71"/>
      <c r="D983" s="72"/>
      <c r="K983" s="73"/>
      <c r="P983" s="37" t="s">
        <v>29</v>
      </c>
      <c r="Q983" s="64"/>
      <c r="R983" s="64"/>
      <c r="S983" s="64"/>
      <c r="T983" s="64"/>
      <c r="U983" s="64"/>
      <c r="V983" s="64"/>
      <c r="W983" s="64"/>
      <c r="X983" s="64"/>
      <c r="Y983" s="64"/>
      <c r="Z983" s="64"/>
      <c r="AA983" s="64"/>
      <c r="BS983" s="74"/>
      <c r="CQ983" s="37"/>
      <c r="CR983" s="37"/>
    </row>
    <row r="984" ht="18.75" customHeight="1">
      <c r="B984" s="71"/>
      <c r="D984" s="72"/>
      <c r="K984" s="73"/>
      <c r="P984" s="37" t="s">
        <v>29</v>
      </c>
      <c r="Q984" s="64"/>
      <c r="R984" s="64"/>
      <c r="S984" s="64"/>
      <c r="T984" s="64"/>
      <c r="U984" s="64"/>
      <c r="V984" s="64"/>
      <c r="W984" s="64"/>
      <c r="X984" s="64"/>
      <c r="Y984" s="64"/>
      <c r="Z984" s="64"/>
      <c r="AA984" s="64"/>
      <c r="BS984" s="74"/>
      <c r="CQ984" s="37"/>
      <c r="CR984" s="37"/>
    </row>
    <row r="985" ht="18.75" customHeight="1">
      <c r="B985" s="71"/>
      <c r="D985" s="72"/>
      <c r="K985" s="73"/>
      <c r="P985" s="37" t="s">
        <v>29</v>
      </c>
      <c r="Q985" s="64"/>
      <c r="R985" s="64"/>
      <c r="S985" s="64"/>
      <c r="T985" s="64"/>
      <c r="U985" s="64"/>
      <c r="V985" s="64"/>
      <c r="W985" s="64"/>
      <c r="X985" s="64"/>
      <c r="Y985" s="64"/>
      <c r="Z985" s="64"/>
      <c r="AA985" s="64"/>
      <c r="BS985" s="74"/>
      <c r="CQ985" s="37"/>
      <c r="CR985" s="37"/>
    </row>
    <row r="986" ht="18.75" customHeight="1">
      <c r="B986" s="71"/>
      <c r="D986" s="72"/>
      <c r="K986" s="73"/>
      <c r="P986" s="37" t="s">
        <v>29</v>
      </c>
      <c r="Q986" s="64"/>
      <c r="R986" s="64"/>
      <c r="S986" s="64"/>
      <c r="T986" s="64"/>
      <c r="U986" s="64"/>
      <c r="V986" s="64"/>
      <c r="W986" s="64"/>
      <c r="X986" s="64"/>
      <c r="Y986" s="64"/>
      <c r="Z986" s="64"/>
      <c r="AA986" s="64"/>
      <c r="BS986" s="74"/>
      <c r="CQ986" s="37"/>
      <c r="CR986" s="37"/>
    </row>
    <row r="987" ht="18.75" customHeight="1">
      <c r="B987" s="71"/>
      <c r="D987" s="72"/>
      <c r="K987" s="73"/>
      <c r="P987" s="37" t="s">
        <v>29</v>
      </c>
      <c r="Q987" s="64"/>
      <c r="R987" s="64"/>
      <c r="S987" s="64"/>
      <c r="T987" s="64"/>
      <c r="U987" s="64"/>
      <c r="V987" s="64"/>
      <c r="W987" s="64"/>
      <c r="X987" s="64"/>
      <c r="Y987" s="64"/>
      <c r="Z987" s="64"/>
      <c r="AA987" s="64"/>
      <c r="BS987" s="74"/>
      <c r="CQ987" s="37"/>
      <c r="CR987" s="37"/>
    </row>
    <row r="988" ht="18.75" customHeight="1">
      <c r="B988" s="71"/>
      <c r="D988" s="72"/>
      <c r="K988" s="73"/>
      <c r="P988" s="37" t="s">
        <v>29</v>
      </c>
      <c r="Q988" s="64"/>
      <c r="R988" s="64"/>
      <c r="S988" s="64"/>
      <c r="T988" s="64"/>
      <c r="U988" s="64"/>
      <c r="V988" s="64"/>
      <c r="W988" s="64"/>
      <c r="X988" s="64"/>
      <c r="Y988" s="64"/>
      <c r="Z988" s="64"/>
      <c r="AA988" s="64"/>
      <c r="BS988" s="74"/>
      <c r="CQ988" s="37"/>
      <c r="CR988" s="37"/>
    </row>
    <row r="989" ht="18.75" customHeight="1">
      <c r="B989" s="71"/>
      <c r="D989" s="72"/>
      <c r="K989" s="73"/>
      <c r="P989" s="37" t="s">
        <v>29</v>
      </c>
      <c r="Q989" s="64"/>
      <c r="R989" s="64"/>
      <c r="S989" s="64"/>
      <c r="T989" s="64"/>
      <c r="U989" s="64"/>
      <c r="V989" s="64"/>
      <c r="W989" s="64"/>
      <c r="X989" s="64"/>
      <c r="Y989" s="64"/>
      <c r="Z989" s="64"/>
      <c r="AA989" s="64"/>
      <c r="BS989" s="74"/>
      <c r="CQ989" s="37"/>
      <c r="CR989" s="37"/>
    </row>
    <row r="990" ht="18.75" customHeight="1">
      <c r="B990" s="71"/>
      <c r="D990" s="72"/>
      <c r="K990" s="73"/>
      <c r="P990" s="37" t="s">
        <v>29</v>
      </c>
      <c r="Q990" s="64"/>
      <c r="R990" s="64"/>
      <c r="S990" s="64"/>
      <c r="T990" s="64"/>
      <c r="U990" s="64"/>
      <c r="V990" s="64"/>
      <c r="W990" s="64"/>
      <c r="X990" s="64"/>
      <c r="Y990" s="64"/>
      <c r="Z990" s="64"/>
      <c r="AA990" s="64"/>
      <c r="BS990" s="74"/>
      <c r="CQ990" s="37"/>
      <c r="CR990" s="37"/>
    </row>
    <row r="991" ht="18.75" customHeight="1">
      <c r="B991" s="71"/>
      <c r="D991" s="72"/>
      <c r="K991" s="73"/>
      <c r="P991" s="37" t="s">
        <v>29</v>
      </c>
      <c r="Q991" s="64"/>
      <c r="R991" s="64"/>
      <c r="S991" s="64"/>
      <c r="T991" s="64"/>
      <c r="U991" s="64"/>
      <c r="V991" s="64"/>
      <c r="W991" s="64"/>
      <c r="X991" s="64"/>
      <c r="Y991" s="64"/>
      <c r="Z991" s="64"/>
      <c r="AA991" s="64"/>
      <c r="BS991" s="74"/>
      <c r="CQ991" s="37"/>
      <c r="CR991" s="37"/>
    </row>
    <row r="992" ht="18.75" customHeight="1">
      <c r="B992" s="71"/>
      <c r="D992" s="72"/>
      <c r="K992" s="73"/>
      <c r="P992" s="37" t="s">
        <v>29</v>
      </c>
      <c r="Q992" s="64"/>
      <c r="R992" s="64"/>
      <c r="S992" s="64"/>
      <c r="T992" s="64"/>
      <c r="U992" s="64"/>
      <c r="V992" s="64"/>
      <c r="W992" s="64"/>
      <c r="X992" s="64"/>
      <c r="Y992" s="64"/>
      <c r="Z992" s="64"/>
      <c r="AA992" s="64"/>
      <c r="BS992" s="74"/>
      <c r="CQ992" s="37"/>
      <c r="CR992" s="37"/>
    </row>
    <row r="993" ht="18.75" customHeight="1">
      <c r="B993" s="71"/>
      <c r="D993" s="72"/>
      <c r="K993" s="73"/>
      <c r="P993" s="37" t="s">
        <v>29</v>
      </c>
      <c r="Q993" s="64"/>
      <c r="R993" s="64"/>
      <c r="S993" s="64"/>
      <c r="T993" s="64"/>
      <c r="U993" s="64"/>
      <c r="V993" s="64"/>
      <c r="W993" s="64"/>
      <c r="X993" s="64"/>
      <c r="Y993" s="64"/>
      <c r="Z993" s="64"/>
      <c r="AA993" s="64"/>
      <c r="BS993" s="74"/>
      <c r="CQ993" s="37"/>
      <c r="CR993" s="37"/>
    </row>
    <row r="994" ht="18.75" customHeight="1">
      <c r="B994" s="71"/>
      <c r="D994" s="72"/>
      <c r="K994" s="73"/>
      <c r="P994" s="37" t="s">
        <v>29</v>
      </c>
      <c r="Q994" s="64"/>
      <c r="R994" s="64"/>
      <c r="S994" s="64"/>
      <c r="T994" s="64"/>
      <c r="U994" s="64"/>
      <c r="V994" s="64"/>
      <c r="W994" s="64"/>
      <c r="X994" s="64"/>
      <c r="Y994" s="64"/>
      <c r="Z994" s="64"/>
      <c r="AA994" s="64"/>
      <c r="BS994" s="74"/>
      <c r="CQ994" s="37"/>
      <c r="CR994" s="37"/>
    </row>
    <row r="995" ht="18.75" customHeight="1">
      <c r="B995" s="71"/>
      <c r="D995" s="72"/>
      <c r="K995" s="73"/>
      <c r="P995" s="37" t="s">
        <v>29</v>
      </c>
      <c r="Q995" s="64"/>
      <c r="R995" s="64"/>
      <c r="S995" s="64"/>
      <c r="T995" s="64"/>
      <c r="U995" s="64"/>
      <c r="V995" s="64"/>
      <c r="W995" s="64"/>
      <c r="X995" s="64"/>
      <c r="Y995" s="64"/>
      <c r="Z995" s="64"/>
      <c r="AA995" s="64"/>
      <c r="BS995" s="74"/>
      <c r="CQ995" s="37"/>
      <c r="CR995" s="37"/>
    </row>
    <row r="996" ht="18.75" customHeight="1">
      <c r="B996" s="71"/>
      <c r="D996" s="72"/>
      <c r="K996" s="73"/>
      <c r="P996" s="37" t="s">
        <v>29</v>
      </c>
      <c r="Q996" s="64"/>
      <c r="R996" s="64"/>
      <c r="S996" s="64"/>
      <c r="T996" s="64"/>
      <c r="U996" s="64"/>
      <c r="V996" s="64"/>
      <c r="W996" s="64"/>
      <c r="X996" s="64"/>
      <c r="Y996" s="64"/>
      <c r="Z996" s="64"/>
      <c r="AA996" s="64"/>
      <c r="BS996" s="74"/>
      <c r="CQ996" s="37"/>
      <c r="CR996" s="37"/>
    </row>
    <row r="997" ht="18.75" customHeight="1">
      <c r="B997" s="71"/>
      <c r="D997" s="72"/>
      <c r="K997" s="73"/>
      <c r="P997" s="37" t="s">
        <v>29</v>
      </c>
      <c r="Q997" s="64"/>
      <c r="R997" s="64"/>
      <c r="S997" s="64"/>
      <c r="T997" s="64"/>
      <c r="U997" s="64"/>
      <c r="V997" s="64"/>
      <c r="W997" s="64"/>
      <c r="X997" s="64"/>
      <c r="Y997" s="64"/>
      <c r="Z997" s="64"/>
      <c r="AA997" s="64"/>
      <c r="BS997" s="74"/>
      <c r="CQ997" s="37"/>
      <c r="CR997" s="37"/>
    </row>
    <row r="998" ht="18.75" customHeight="1">
      <c r="B998" s="71"/>
      <c r="D998" s="72"/>
      <c r="K998" s="73"/>
      <c r="P998" s="37" t="s">
        <v>29</v>
      </c>
      <c r="Q998" s="64"/>
      <c r="R998" s="64"/>
      <c r="S998" s="64"/>
      <c r="T998" s="64"/>
      <c r="U998" s="64"/>
      <c r="V998" s="64"/>
      <c r="W998" s="64"/>
      <c r="X998" s="64"/>
      <c r="Y998" s="64"/>
      <c r="Z998" s="64"/>
      <c r="AA998" s="64"/>
      <c r="BS998" s="74"/>
      <c r="CQ998" s="37"/>
      <c r="CR998" s="37"/>
    </row>
    <row r="999" ht="18.75" customHeight="1">
      <c r="B999" s="71"/>
      <c r="D999" s="72"/>
      <c r="K999" s="73"/>
      <c r="P999" s="37" t="s">
        <v>29</v>
      </c>
      <c r="Q999" s="64"/>
      <c r="R999" s="64"/>
      <c r="S999" s="64"/>
      <c r="T999" s="64"/>
      <c r="U999" s="64"/>
      <c r="V999" s="64"/>
      <c r="W999" s="64"/>
      <c r="X999" s="64"/>
      <c r="Y999" s="64"/>
      <c r="Z999" s="64"/>
      <c r="AA999" s="64"/>
      <c r="BS999" s="74"/>
      <c r="CQ999" s="37"/>
      <c r="CR999" s="37"/>
    </row>
    <row r="1000" ht="18.75" customHeight="1">
      <c r="B1000" s="71"/>
      <c r="D1000" s="72"/>
      <c r="K1000" s="73"/>
      <c r="P1000" s="37" t="s">
        <v>29</v>
      </c>
      <c r="Q1000" s="64"/>
      <c r="R1000" s="64"/>
      <c r="S1000" s="64"/>
      <c r="T1000" s="64"/>
      <c r="U1000" s="64"/>
      <c r="V1000" s="64"/>
      <c r="W1000" s="64"/>
      <c r="X1000" s="64"/>
      <c r="Y1000" s="64"/>
      <c r="Z1000" s="64"/>
      <c r="AA1000" s="64"/>
      <c r="BS1000" s="74"/>
      <c r="CQ1000" s="37"/>
      <c r="CR1000" s="37"/>
    </row>
    <row r="1001" ht="18.75" customHeight="1">
      <c r="B1001" s="71"/>
      <c r="D1001" s="72"/>
      <c r="K1001" s="73"/>
      <c r="P1001" s="37" t="s">
        <v>29</v>
      </c>
      <c r="Q1001" s="64"/>
      <c r="R1001" s="64"/>
      <c r="S1001" s="64"/>
      <c r="T1001" s="64"/>
      <c r="U1001" s="64"/>
      <c r="V1001" s="64"/>
      <c r="W1001" s="64"/>
      <c r="X1001" s="64"/>
      <c r="Y1001" s="64"/>
      <c r="Z1001" s="64"/>
      <c r="AA1001" s="64"/>
      <c r="BS1001" s="74"/>
      <c r="CQ1001" s="37"/>
      <c r="CR1001" s="37"/>
    </row>
    <row r="1002" ht="18.75" customHeight="1">
      <c r="B1002" s="71"/>
      <c r="D1002" s="72"/>
      <c r="K1002" s="73"/>
      <c r="P1002" s="37" t="s">
        <v>29</v>
      </c>
      <c r="Q1002" s="64"/>
      <c r="R1002" s="64"/>
      <c r="S1002" s="64"/>
      <c r="T1002" s="64"/>
      <c r="U1002" s="64"/>
      <c r="V1002" s="64"/>
      <c r="W1002" s="64"/>
      <c r="X1002" s="64"/>
      <c r="Y1002" s="64"/>
      <c r="Z1002" s="64"/>
      <c r="AA1002" s="64"/>
      <c r="BS1002" s="74"/>
      <c r="CQ1002" s="37"/>
      <c r="CR1002" s="37"/>
    </row>
    <row r="1003" ht="18.75" customHeight="1">
      <c r="B1003" s="71"/>
      <c r="D1003" s="72"/>
      <c r="K1003" s="73"/>
      <c r="P1003" s="37" t="s">
        <v>29</v>
      </c>
      <c r="Q1003" s="64"/>
      <c r="R1003" s="64"/>
      <c r="S1003" s="64"/>
      <c r="T1003" s="64"/>
      <c r="U1003" s="64"/>
      <c r="V1003" s="64"/>
      <c r="W1003" s="64"/>
      <c r="X1003" s="64"/>
      <c r="Y1003" s="64"/>
      <c r="Z1003" s="64"/>
      <c r="AA1003" s="64"/>
      <c r="BS1003" s="74"/>
      <c r="CQ1003" s="37"/>
      <c r="CR1003" s="37"/>
    </row>
    <row r="1004" ht="18.75" customHeight="1">
      <c r="B1004" s="71"/>
      <c r="D1004" s="72"/>
      <c r="K1004" s="73"/>
      <c r="P1004" s="37" t="s">
        <v>29</v>
      </c>
      <c r="Q1004" s="64"/>
      <c r="R1004" s="64"/>
      <c r="S1004" s="64"/>
      <c r="T1004" s="64"/>
      <c r="U1004" s="64"/>
      <c r="V1004" s="64"/>
      <c r="W1004" s="64"/>
      <c r="X1004" s="64"/>
      <c r="Y1004" s="64"/>
      <c r="Z1004" s="64"/>
      <c r="AA1004" s="64"/>
      <c r="BS1004" s="74"/>
      <c r="CQ1004" s="37"/>
      <c r="CR1004" s="37"/>
    </row>
    <row r="1005" ht="18.75" customHeight="1">
      <c r="B1005" s="71"/>
      <c r="D1005" s="72"/>
      <c r="K1005" s="73"/>
      <c r="P1005" s="37" t="s">
        <v>29</v>
      </c>
      <c r="Q1005" s="64"/>
      <c r="R1005" s="64"/>
      <c r="S1005" s="64"/>
      <c r="T1005" s="64"/>
      <c r="U1005" s="64"/>
      <c r="V1005" s="64"/>
      <c r="W1005" s="64"/>
      <c r="X1005" s="64"/>
      <c r="Y1005" s="64"/>
      <c r="Z1005" s="64"/>
      <c r="AA1005" s="64"/>
      <c r="BS1005" s="74"/>
      <c r="CQ1005" s="37"/>
      <c r="CR1005" s="37"/>
    </row>
    <row r="1006" ht="18.75" customHeight="1">
      <c r="B1006" s="71"/>
      <c r="D1006" s="72"/>
      <c r="K1006" s="73"/>
      <c r="P1006" s="37" t="s">
        <v>29</v>
      </c>
      <c r="Q1006" s="64"/>
      <c r="R1006" s="64"/>
      <c r="S1006" s="64"/>
      <c r="T1006" s="64"/>
      <c r="U1006" s="64"/>
      <c r="V1006" s="64"/>
      <c r="W1006" s="64"/>
      <c r="X1006" s="64"/>
      <c r="Y1006" s="64"/>
      <c r="Z1006" s="64"/>
      <c r="AA1006" s="64"/>
      <c r="BS1006" s="74"/>
      <c r="CQ1006" s="37"/>
      <c r="CR1006" s="37"/>
    </row>
    <row r="1007" ht="18.75" customHeight="1">
      <c r="B1007" s="71"/>
      <c r="D1007" s="72"/>
      <c r="K1007" s="73"/>
      <c r="P1007" s="37" t="s">
        <v>29</v>
      </c>
      <c r="Q1007" s="64"/>
      <c r="R1007" s="64"/>
      <c r="S1007" s="64"/>
      <c r="T1007" s="64"/>
      <c r="U1007" s="64"/>
      <c r="V1007" s="64"/>
      <c r="W1007" s="64"/>
      <c r="X1007" s="64"/>
      <c r="Y1007" s="64"/>
      <c r="Z1007" s="64"/>
      <c r="AA1007" s="64"/>
      <c r="BS1007" s="74"/>
      <c r="CQ1007" s="37"/>
      <c r="CR1007" s="37"/>
    </row>
    <row r="1008" ht="18.75" customHeight="1">
      <c r="B1008" s="71"/>
      <c r="D1008" s="72"/>
      <c r="K1008" s="73"/>
      <c r="P1008" s="37" t="s">
        <v>29</v>
      </c>
      <c r="Q1008" s="64"/>
      <c r="R1008" s="64"/>
      <c r="S1008" s="64"/>
      <c r="T1008" s="64"/>
      <c r="U1008" s="64"/>
      <c r="V1008" s="64"/>
      <c r="W1008" s="64"/>
      <c r="X1008" s="64"/>
      <c r="Y1008" s="64"/>
      <c r="Z1008" s="64"/>
      <c r="AA1008" s="64"/>
      <c r="BS1008" s="74"/>
      <c r="CQ1008" s="37"/>
      <c r="CR1008" s="37"/>
    </row>
    <row r="1009" ht="18.75" customHeight="1">
      <c r="B1009" s="71"/>
      <c r="D1009" s="72"/>
      <c r="K1009" s="73"/>
      <c r="P1009" s="37" t="s">
        <v>29</v>
      </c>
      <c r="Q1009" s="64"/>
      <c r="R1009" s="64"/>
      <c r="S1009" s="64"/>
      <c r="T1009" s="64"/>
      <c r="U1009" s="64"/>
      <c r="V1009" s="64"/>
      <c r="W1009" s="64"/>
      <c r="X1009" s="64"/>
      <c r="Y1009" s="64"/>
      <c r="Z1009" s="64"/>
      <c r="AA1009" s="64"/>
      <c r="BS1009" s="74"/>
      <c r="CQ1009" s="37"/>
      <c r="CR1009" s="37"/>
    </row>
    <row r="1010" ht="18.75" customHeight="1">
      <c r="B1010" s="71"/>
      <c r="D1010" s="72"/>
      <c r="K1010" s="73"/>
      <c r="P1010" s="37" t="s">
        <v>29</v>
      </c>
      <c r="Q1010" s="64"/>
      <c r="R1010" s="64"/>
      <c r="S1010" s="64"/>
      <c r="T1010" s="64"/>
      <c r="U1010" s="64"/>
      <c r="V1010" s="64"/>
      <c r="W1010" s="64"/>
      <c r="X1010" s="64"/>
      <c r="Y1010" s="64"/>
      <c r="Z1010" s="64"/>
      <c r="AA1010" s="64"/>
      <c r="BS1010" s="74"/>
      <c r="CQ1010" s="37"/>
      <c r="CR1010" s="37"/>
    </row>
    <row r="1011" ht="18.75" customHeight="1">
      <c r="B1011" s="71"/>
      <c r="D1011" s="72"/>
      <c r="K1011" s="73"/>
      <c r="P1011" s="37" t="s">
        <v>29</v>
      </c>
      <c r="Q1011" s="64"/>
      <c r="R1011" s="64"/>
      <c r="S1011" s="64"/>
      <c r="T1011" s="64"/>
      <c r="U1011" s="64"/>
      <c r="V1011" s="64"/>
      <c r="W1011" s="64"/>
      <c r="X1011" s="64"/>
      <c r="Y1011" s="64"/>
      <c r="Z1011" s="64"/>
      <c r="AA1011" s="64"/>
      <c r="BS1011" s="74"/>
      <c r="CQ1011" s="37"/>
      <c r="CR1011" s="37"/>
    </row>
    <row r="1012" ht="18.75" customHeight="1">
      <c r="B1012" s="71"/>
      <c r="D1012" s="72"/>
      <c r="K1012" s="73"/>
      <c r="P1012" s="37" t="s">
        <v>29</v>
      </c>
      <c r="Q1012" s="64"/>
      <c r="R1012" s="64"/>
      <c r="S1012" s="64"/>
      <c r="T1012" s="64"/>
      <c r="U1012" s="64"/>
      <c r="V1012" s="64"/>
      <c r="W1012" s="64"/>
      <c r="X1012" s="64"/>
      <c r="Y1012" s="64"/>
      <c r="Z1012" s="64"/>
      <c r="AA1012" s="64"/>
      <c r="BS1012" s="74"/>
      <c r="CQ1012" s="37"/>
      <c r="CR1012" s="37"/>
    </row>
    <row r="1013" ht="18.75" customHeight="1">
      <c r="B1013" s="71"/>
      <c r="D1013" s="72"/>
      <c r="K1013" s="73"/>
      <c r="P1013" s="37" t="s">
        <v>29</v>
      </c>
      <c r="Q1013" s="64"/>
      <c r="R1013" s="64"/>
      <c r="S1013" s="64"/>
      <c r="T1013" s="64"/>
      <c r="U1013" s="64"/>
      <c r="V1013" s="64"/>
      <c r="W1013" s="64"/>
      <c r="X1013" s="64"/>
      <c r="Y1013" s="64"/>
      <c r="Z1013" s="64"/>
      <c r="AA1013" s="64"/>
      <c r="BS1013" s="74"/>
      <c r="CQ1013" s="37"/>
      <c r="CR1013" s="37"/>
    </row>
    <row r="1014" ht="18.75" customHeight="1">
      <c r="B1014" s="71"/>
      <c r="D1014" s="72"/>
      <c r="K1014" s="73"/>
      <c r="P1014" s="37" t="s">
        <v>29</v>
      </c>
      <c r="Q1014" s="64"/>
      <c r="R1014" s="64"/>
      <c r="S1014" s="64"/>
      <c r="T1014" s="64"/>
      <c r="U1014" s="64"/>
      <c r="V1014" s="64"/>
      <c r="W1014" s="64"/>
      <c r="X1014" s="64"/>
      <c r="Y1014" s="64"/>
      <c r="Z1014" s="64"/>
      <c r="AA1014" s="64"/>
      <c r="BS1014" s="74"/>
      <c r="CQ1014" s="37"/>
      <c r="CR1014" s="37"/>
    </row>
    <row r="1015" ht="18.75" customHeight="1">
      <c r="B1015" s="71"/>
      <c r="D1015" s="72"/>
      <c r="K1015" s="73"/>
      <c r="P1015" s="37" t="s">
        <v>29</v>
      </c>
      <c r="Q1015" s="64"/>
      <c r="R1015" s="64"/>
      <c r="S1015" s="64"/>
      <c r="T1015" s="64"/>
      <c r="U1015" s="64"/>
      <c r="V1015" s="64"/>
      <c r="W1015" s="64"/>
      <c r="X1015" s="64"/>
      <c r="Y1015" s="64"/>
      <c r="Z1015" s="64"/>
      <c r="AA1015" s="64"/>
      <c r="BS1015" s="74"/>
      <c r="CQ1015" s="37"/>
      <c r="CR1015" s="37"/>
    </row>
    <row r="1016" ht="18.75" customHeight="1">
      <c r="B1016" s="71"/>
      <c r="D1016" s="72"/>
      <c r="K1016" s="73"/>
      <c r="P1016" s="37" t="s">
        <v>29</v>
      </c>
      <c r="Q1016" s="64"/>
      <c r="R1016" s="64"/>
      <c r="S1016" s="64"/>
      <c r="T1016" s="64"/>
      <c r="U1016" s="64"/>
      <c r="V1016" s="64"/>
      <c r="W1016" s="64"/>
      <c r="X1016" s="64"/>
      <c r="Y1016" s="64"/>
      <c r="Z1016" s="64"/>
      <c r="AA1016" s="64"/>
      <c r="BS1016" s="74"/>
      <c r="CQ1016" s="37"/>
      <c r="CR1016" s="37"/>
    </row>
    <row r="1017" ht="18.75" customHeight="1">
      <c r="B1017" s="71"/>
      <c r="D1017" s="72"/>
      <c r="K1017" s="73"/>
      <c r="P1017" s="37" t="s">
        <v>29</v>
      </c>
      <c r="Q1017" s="64"/>
      <c r="R1017" s="64"/>
      <c r="S1017" s="64"/>
      <c r="T1017" s="64"/>
      <c r="U1017" s="64"/>
      <c r="V1017" s="64"/>
      <c r="W1017" s="64"/>
      <c r="X1017" s="64"/>
      <c r="Y1017" s="64"/>
      <c r="Z1017" s="64"/>
      <c r="AA1017" s="64"/>
      <c r="BS1017" s="74"/>
      <c r="CQ1017" s="37"/>
      <c r="CR1017" s="37"/>
    </row>
    <row r="1018" ht="18.75" customHeight="1">
      <c r="B1018" s="71"/>
      <c r="D1018" s="72"/>
      <c r="K1018" s="73"/>
      <c r="P1018" s="37" t="s">
        <v>29</v>
      </c>
      <c r="Q1018" s="64"/>
      <c r="R1018" s="64"/>
      <c r="S1018" s="64"/>
      <c r="T1018" s="64"/>
      <c r="U1018" s="64"/>
      <c r="V1018" s="64"/>
      <c r="W1018" s="64"/>
      <c r="X1018" s="64"/>
      <c r="Y1018" s="64"/>
      <c r="Z1018" s="64"/>
      <c r="AA1018" s="64"/>
      <c r="BS1018" s="74"/>
      <c r="CQ1018" s="37"/>
      <c r="CR1018" s="37"/>
    </row>
    <row r="1019" ht="18.75" customHeight="1">
      <c r="B1019" s="71"/>
      <c r="D1019" s="72"/>
      <c r="K1019" s="73"/>
      <c r="P1019" s="37" t="s">
        <v>29</v>
      </c>
      <c r="Q1019" s="64"/>
      <c r="R1019" s="64"/>
      <c r="S1019" s="64"/>
      <c r="T1019" s="64"/>
      <c r="U1019" s="64"/>
      <c r="V1019" s="64"/>
      <c r="W1019" s="64"/>
      <c r="X1019" s="64"/>
      <c r="Y1019" s="64"/>
      <c r="Z1019" s="64"/>
      <c r="AA1019" s="64"/>
      <c r="BS1019" s="74"/>
      <c r="CQ1019" s="37"/>
      <c r="CR1019" s="37"/>
    </row>
    <row r="1020" ht="18.75" customHeight="1">
      <c r="B1020" s="71"/>
      <c r="D1020" s="72"/>
      <c r="K1020" s="73"/>
      <c r="P1020" s="37" t="s">
        <v>29</v>
      </c>
      <c r="Q1020" s="64"/>
      <c r="R1020" s="64"/>
      <c r="S1020" s="64"/>
      <c r="T1020" s="64"/>
      <c r="U1020" s="64"/>
      <c r="V1020" s="64"/>
      <c r="W1020" s="64"/>
      <c r="X1020" s="64"/>
      <c r="Y1020" s="64"/>
      <c r="Z1020" s="64"/>
      <c r="AA1020" s="64"/>
      <c r="BS1020" s="74"/>
      <c r="CQ1020" s="37"/>
      <c r="CR1020" s="37"/>
    </row>
    <row r="1021" ht="18.75" customHeight="1">
      <c r="B1021" s="71"/>
      <c r="D1021" s="72"/>
      <c r="K1021" s="73"/>
      <c r="P1021" s="37" t="s">
        <v>29</v>
      </c>
      <c r="Q1021" s="64"/>
      <c r="R1021" s="64"/>
      <c r="S1021" s="64"/>
      <c r="T1021" s="64"/>
      <c r="U1021" s="64"/>
      <c r="V1021" s="64"/>
      <c r="W1021" s="64"/>
      <c r="X1021" s="64"/>
      <c r="Y1021" s="64"/>
      <c r="Z1021" s="64"/>
      <c r="AA1021" s="64"/>
      <c r="BS1021" s="74"/>
      <c r="CQ1021" s="37"/>
      <c r="CR1021" s="37"/>
    </row>
    <row r="1022" ht="18.75" customHeight="1">
      <c r="B1022" s="71"/>
      <c r="D1022" s="72"/>
      <c r="K1022" s="73"/>
      <c r="P1022" s="37" t="s">
        <v>29</v>
      </c>
      <c r="Q1022" s="64"/>
      <c r="R1022" s="64"/>
      <c r="S1022" s="64"/>
      <c r="T1022" s="64"/>
      <c r="U1022" s="64"/>
      <c r="V1022" s="64"/>
      <c r="W1022" s="64"/>
      <c r="X1022" s="64"/>
      <c r="Y1022" s="64"/>
      <c r="Z1022" s="64"/>
      <c r="AA1022" s="64"/>
      <c r="BS1022" s="74"/>
      <c r="CQ1022" s="37"/>
      <c r="CR1022" s="37"/>
    </row>
    <row r="1023" ht="18.75" customHeight="1">
      <c r="B1023" s="71"/>
      <c r="D1023" s="72"/>
      <c r="K1023" s="73"/>
      <c r="P1023" s="37" t="s">
        <v>29</v>
      </c>
      <c r="Q1023" s="64"/>
      <c r="R1023" s="64"/>
      <c r="S1023" s="64"/>
      <c r="T1023" s="64"/>
      <c r="U1023" s="64"/>
      <c r="V1023" s="64"/>
      <c r="W1023" s="64"/>
      <c r="X1023" s="64"/>
      <c r="Y1023" s="64"/>
      <c r="Z1023" s="64"/>
      <c r="AA1023" s="64"/>
      <c r="BS1023" s="74"/>
      <c r="CQ1023" s="37"/>
      <c r="CR1023" s="37"/>
    </row>
    <row r="1024" ht="18.75" customHeight="1">
      <c r="B1024" s="71"/>
      <c r="D1024" s="72"/>
      <c r="K1024" s="73"/>
      <c r="P1024" s="37" t="s">
        <v>29</v>
      </c>
      <c r="Q1024" s="64"/>
      <c r="R1024" s="64"/>
      <c r="S1024" s="64"/>
      <c r="T1024" s="64"/>
      <c r="U1024" s="64"/>
      <c r="V1024" s="64"/>
      <c r="W1024" s="64"/>
      <c r="X1024" s="64"/>
      <c r="Y1024" s="64"/>
      <c r="Z1024" s="64"/>
      <c r="AA1024" s="64"/>
      <c r="BS1024" s="74"/>
      <c r="CQ1024" s="37"/>
      <c r="CR1024" s="37"/>
    </row>
    <row r="1025" ht="18.75" customHeight="1">
      <c r="B1025" s="71"/>
      <c r="D1025" s="72"/>
      <c r="K1025" s="73"/>
      <c r="P1025" s="37" t="s">
        <v>29</v>
      </c>
      <c r="Q1025" s="64"/>
      <c r="R1025" s="64"/>
      <c r="S1025" s="64"/>
      <c r="T1025" s="64"/>
      <c r="U1025" s="64"/>
      <c r="V1025" s="64"/>
      <c r="W1025" s="64"/>
      <c r="X1025" s="64"/>
      <c r="Y1025" s="64"/>
      <c r="Z1025" s="64"/>
      <c r="AA1025" s="64"/>
      <c r="BS1025" s="74"/>
      <c r="CQ1025" s="37"/>
      <c r="CR1025" s="37"/>
    </row>
    <row r="1026" ht="18.75" customHeight="1">
      <c r="B1026" s="71"/>
      <c r="D1026" s="72"/>
      <c r="K1026" s="73"/>
      <c r="P1026" s="37" t="s">
        <v>29</v>
      </c>
      <c r="Q1026" s="64"/>
      <c r="R1026" s="64"/>
      <c r="S1026" s="64"/>
      <c r="T1026" s="64"/>
      <c r="U1026" s="64"/>
      <c r="V1026" s="64"/>
      <c r="W1026" s="64"/>
      <c r="X1026" s="64"/>
      <c r="Y1026" s="64"/>
      <c r="Z1026" s="64"/>
      <c r="AA1026" s="64"/>
      <c r="BS1026" s="74"/>
      <c r="CQ1026" s="37"/>
      <c r="CR1026" s="37"/>
    </row>
    <row r="1027" ht="18.75" customHeight="1">
      <c r="B1027" s="71"/>
      <c r="D1027" s="72"/>
      <c r="K1027" s="73"/>
      <c r="P1027" s="37" t="s">
        <v>29</v>
      </c>
      <c r="Q1027" s="64"/>
      <c r="R1027" s="64"/>
      <c r="S1027" s="64"/>
      <c r="T1027" s="64"/>
      <c r="U1027" s="64"/>
      <c r="V1027" s="64"/>
      <c r="W1027" s="64"/>
      <c r="X1027" s="64"/>
      <c r="Y1027" s="64"/>
      <c r="Z1027" s="64"/>
      <c r="AA1027" s="64"/>
      <c r="BS1027" s="74"/>
      <c r="CQ1027" s="37"/>
      <c r="CR1027" s="37"/>
    </row>
    <row r="1028" ht="18.75" customHeight="1">
      <c r="B1028" s="71"/>
      <c r="D1028" s="72"/>
      <c r="K1028" s="73"/>
      <c r="P1028" s="37" t="s">
        <v>29</v>
      </c>
      <c r="Q1028" s="64"/>
      <c r="R1028" s="64"/>
      <c r="S1028" s="64"/>
      <c r="T1028" s="64"/>
      <c r="U1028" s="64"/>
      <c r="V1028" s="64"/>
      <c r="W1028" s="64"/>
      <c r="X1028" s="64"/>
      <c r="Y1028" s="64"/>
      <c r="Z1028" s="64"/>
      <c r="AA1028" s="64"/>
      <c r="BS1028" s="74"/>
      <c r="CQ1028" s="37"/>
      <c r="CR1028" s="37"/>
    </row>
    <row r="1029" ht="18.75" customHeight="1">
      <c r="B1029" s="71"/>
      <c r="D1029" s="72"/>
      <c r="K1029" s="73"/>
      <c r="P1029" s="37" t="s">
        <v>29</v>
      </c>
      <c r="Q1029" s="64"/>
      <c r="R1029" s="64"/>
      <c r="S1029" s="64"/>
      <c r="T1029" s="64"/>
      <c r="U1029" s="64"/>
      <c r="V1029" s="64"/>
      <c r="W1029" s="64"/>
      <c r="X1029" s="64"/>
      <c r="Y1029" s="64"/>
      <c r="Z1029" s="64"/>
      <c r="AA1029" s="64"/>
      <c r="BS1029" s="74"/>
      <c r="CQ1029" s="37"/>
      <c r="CR1029" s="37"/>
    </row>
    <row r="1030" ht="18.75" customHeight="1">
      <c r="B1030" s="71"/>
      <c r="D1030" s="72"/>
      <c r="K1030" s="73"/>
      <c r="P1030" s="37" t="s">
        <v>29</v>
      </c>
      <c r="Q1030" s="64"/>
      <c r="R1030" s="64"/>
      <c r="S1030" s="64"/>
      <c r="T1030" s="64"/>
      <c r="U1030" s="64"/>
      <c r="V1030" s="64"/>
      <c r="W1030" s="64"/>
      <c r="X1030" s="64"/>
      <c r="Y1030" s="64"/>
      <c r="Z1030" s="64"/>
      <c r="AA1030" s="64"/>
      <c r="BS1030" s="74"/>
      <c r="CQ1030" s="37"/>
      <c r="CR1030" s="37"/>
    </row>
    <row r="1031" ht="18.75" customHeight="1">
      <c r="B1031" s="71"/>
      <c r="D1031" s="72"/>
      <c r="K1031" s="73"/>
      <c r="P1031" s="37" t="s">
        <v>29</v>
      </c>
      <c r="Q1031" s="64"/>
      <c r="R1031" s="64"/>
      <c r="S1031" s="64"/>
      <c r="T1031" s="64"/>
      <c r="U1031" s="64"/>
      <c r="V1031" s="64"/>
      <c r="W1031" s="64"/>
      <c r="X1031" s="64"/>
      <c r="Y1031" s="64"/>
      <c r="Z1031" s="64"/>
      <c r="AA1031" s="64"/>
      <c r="BS1031" s="74"/>
      <c r="CQ1031" s="37"/>
      <c r="CR1031" s="37"/>
    </row>
    <row r="1032" ht="18.75" customHeight="1">
      <c r="B1032" s="71"/>
      <c r="D1032" s="72"/>
      <c r="K1032" s="73"/>
      <c r="P1032" s="37" t="s">
        <v>29</v>
      </c>
      <c r="Q1032" s="64"/>
      <c r="R1032" s="64"/>
      <c r="S1032" s="64"/>
      <c r="T1032" s="64"/>
      <c r="U1032" s="64"/>
      <c r="V1032" s="64"/>
      <c r="W1032" s="64"/>
      <c r="X1032" s="64"/>
      <c r="Y1032" s="64"/>
      <c r="Z1032" s="64"/>
      <c r="AA1032" s="64"/>
      <c r="BS1032" s="74"/>
      <c r="CQ1032" s="37"/>
      <c r="CR1032" s="37"/>
    </row>
    <row r="1033" ht="18.75" customHeight="1">
      <c r="B1033" s="71"/>
      <c r="D1033" s="72"/>
      <c r="K1033" s="73"/>
      <c r="P1033" s="37" t="s">
        <v>29</v>
      </c>
      <c r="Q1033" s="64"/>
      <c r="R1033" s="64"/>
      <c r="S1033" s="64"/>
      <c r="T1033" s="64"/>
      <c r="U1033" s="64"/>
      <c r="V1033" s="64"/>
      <c r="W1033" s="64"/>
      <c r="X1033" s="64"/>
      <c r="Y1033" s="64"/>
      <c r="Z1033" s="64"/>
      <c r="AA1033" s="64"/>
      <c r="BS1033" s="74"/>
      <c r="CQ1033" s="37"/>
      <c r="CR1033" s="37"/>
    </row>
    <row r="1034" ht="18.75" customHeight="1">
      <c r="B1034" s="71"/>
      <c r="D1034" s="72"/>
      <c r="K1034" s="73"/>
      <c r="P1034" s="37" t="s">
        <v>29</v>
      </c>
      <c r="Q1034" s="64"/>
      <c r="R1034" s="64"/>
      <c r="S1034" s="64"/>
      <c r="T1034" s="64"/>
      <c r="U1034" s="64"/>
      <c r="V1034" s="64"/>
      <c r="W1034" s="64"/>
      <c r="X1034" s="64"/>
      <c r="Y1034" s="64"/>
      <c r="Z1034" s="64"/>
      <c r="AA1034" s="64"/>
      <c r="BS1034" s="74"/>
      <c r="CQ1034" s="37"/>
      <c r="CR1034" s="37"/>
    </row>
    <row r="1035" ht="18.75" customHeight="1">
      <c r="B1035" s="71"/>
      <c r="D1035" s="72"/>
      <c r="K1035" s="73"/>
      <c r="P1035" s="37" t="s">
        <v>29</v>
      </c>
      <c r="Q1035" s="64"/>
      <c r="R1035" s="64"/>
      <c r="S1035" s="64"/>
      <c r="T1035" s="64"/>
      <c r="U1035" s="64"/>
      <c r="V1035" s="64"/>
      <c r="W1035" s="64"/>
      <c r="X1035" s="64"/>
      <c r="Y1035" s="64"/>
      <c r="Z1035" s="64"/>
      <c r="AA1035" s="64"/>
      <c r="BS1035" s="74"/>
      <c r="CQ1035" s="37"/>
      <c r="CR1035" s="37"/>
    </row>
    <row r="1036" ht="18.75" customHeight="1">
      <c r="B1036" s="71"/>
      <c r="D1036" s="72"/>
      <c r="K1036" s="73"/>
      <c r="P1036" s="37" t="s">
        <v>29</v>
      </c>
      <c r="Q1036" s="64"/>
      <c r="R1036" s="64"/>
      <c r="S1036" s="64"/>
      <c r="T1036" s="64"/>
      <c r="U1036" s="64"/>
      <c r="V1036" s="64"/>
      <c r="W1036" s="64"/>
      <c r="X1036" s="64"/>
      <c r="Y1036" s="64"/>
      <c r="Z1036" s="64"/>
      <c r="AA1036" s="64"/>
      <c r="BS1036" s="74"/>
      <c r="CQ1036" s="37"/>
      <c r="CR1036" s="37"/>
    </row>
    <row r="1037" ht="18.75" customHeight="1">
      <c r="B1037" s="71"/>
      <c r="D1037" s="72"/>
      <c r="K1037" s="73"/>
      <c r="P1037" s="37" t="s">
        <v>29</v>
      </c>
      <c r="Q1037" s="64"/>
      <c r="R1037" s="64"/>
      <c r="S1037" s="64"/>
      <c r="T1037" s="64"/>
      <c r="U1037" s="64"/>
      <c r="V1037" s="64"/>
      <c r="W1037" s="64"/>
      <c r="X1037" s="64"/>
      <c r="Y1037" s="64"/>
      <c r="Z1037" s="64"/>
      <c r="AA1037" s="64"/>
      <c r="BS1037" s="74"/>
      <c r="CQ1037" s="37"/>
      <c r="CR1037" s="37"/>
    </row>
    <row r="1038" ht="18.75" customHeight="1">
      <c r="B1038" s="71"/>
      <c r="D1038" s="72"/>
      <c r="K1038" s="73"/>
      <c r="P1038" s="37" t="s">
        <v>29</v>
      </c>
      <c r="Q1038" s="64"/>
      <c r="R1038" s="64"/>
      <c r="S1038" s="64"/>
      <c r="T1038" s="64"/>
      <c r="U1038" s="64"/>
      <c r="V1038" s="64"/>
      <c r="W1038" s="64"/>
      <c r="X1038" s="64"/>
      <c r="Y1038" s="64"/>
      <c r="Z1038" s="64"/>
      <c r="AA1038" s="64"/>
      <c r="BS1038" s="74"/>
      <c r="CQ1038" s="37"/>
      <c r="CR1038" s="37"/>
    </row>
    <row r="1039" ht="18.75" customHeight="1">
      <c r="B1039" s="71"/>
      <c r="D1039" s="72"/>
      <c r="K1039" s="73"/>
      <c r="P1039" s="37" t="s">
        <v>29</v>
      </c>
      <c r="Q1039" s="64"/>
      <c r="R1039" s="64"/>
      <c r="S1039" s="64"/>
      <c r="T1039" s="64"/>
      <c r="U1039" s="64"/>
      <c r="V1039" s="64"/>
      <c r="W1039" s="64"/>
      <c r="X1039" s="64"/>
      <c r="Y1039" s="64"/>
      <c r="Z1039" s="64"/>
      <c r="AA1039" s="64"/>
      <c r="BS1039" s="74"/>
      <c r="CQ1039" s="37"/>
      <c r="CR1039" s="37"/>
    </row>
    <row r="1040" ht="18.75" customHeight="1">
      <c r="B1040" s="71"/>
      <c r="D1040" s="72"/>
      <c r="K1040" s="73"/>
      <c r="P1040" s="37" t="s">
        <v>29</v>
      </c>
      <c r="Q1040" s="64"/>
      <c r="R1040" s="64"/>
      <c r="S1040" s="64"/>
      <c r="T1040" s="64"/>
      <c r="U1040" s="64"/>
      <c r="V1040" s="64"/>
      <c r="W1040" s="64"/>
      <c r="X1040" s="64"/>
      <c r="Y1040" s="64"/>
      <c r="Z1040" s="64"/>
      <c r="AA1040" s="64"/>
      <c r="BS1040" s="74"/>
      <c r="CQ1040" s="37"/>
      <c r="CR1040" s="37"/>
    </row>
    <row r="1041" ht="18.75" customHeight="1">
      <c r="B1041" s="71"/>
      <c r="D1041" s="72"/>
      <c r="K1041" s="73"/>
      <c r="P1041" s="37" t="s">
        <v>29</v>
      </c>
      <c r="Q1041" s="64"/>
      <c r="R1041" s="64"/>
      <c r="S1041" s="64"/>
      <c r="T1041" s="64"/>
      <c r="U1041" s="64"/>
      <c r="V1041" s="64"/>
      <c r="W1041" s="64"/>
      <c r="X1041" s="64"/>
      <c r="Y1041" s="64"/>
      <c r="Z1041" s="64"/>
      <c r="AA1041" s="64"/>
      <c r="BS1041" s="74"/>
      <c r="CQ1041" s="37"/>
      <c r="CR1041" s="37"/>
    </row>
    <row r="1042" ht="18.75" customHeight="1">
      <c r="B1042" s="71"/>
      <c r="D1042" s="72"/>
      <c r="K1042" s="73"/>
      <c r="P1042" s="37" t="s">
        <v>29</v>
      </c>
      <c r="Q1042" s="64"/>
      <c r="R1042" s="64"/>
      <c r="S1042" s="64"/>
      <c r="T1042" s="64"/>
      <c r="U1042" s="64"/>
      <c r="V1042" s="64"/>
      <c r="W1042" s="64"/>
      <c r="X1042" s="64"/>
      <c r="Y1042" s="64"/>
      <c r="Z1042" s="64"/>
      <c r="AA1042" s="64"/>
      <c r="BS1042" s="74"/>
      <c r="CQ1042" s="37"/>
      <c r="CR1042" s="37"/>
    </row>
    <row r="1043" ht="18.75" customHeight="1">
      <c r="B1043" s="71"/>
      <c r="D1043" s="72"/>
      <c r="K1043" s="73"/>
      <c r="P1043" s="37" t="s">
        <v>29</v>
      </c>
      <c r="Q1043" s="64"/>
      <c r="R1043" s="64"/>
      <c r="S1043" s="64"/>
      <c r="T1043" s="64"/>
      <c r="U1043" s="64"/>
      <c r="V1043" s="64"/>
      <c r="W1043" s="64"/>
      <c r="X1043" s="64"/>
      <c r="Y1043" s="64"/>
      <c r="Z1043" s="64"/>
      <c r="AA1043" s="64"/>
      <c r="BS1043" s="74"/>
      <c r="CQ1043" s="37"/>
      <c r="CR1043" s="37"/>
    </row>
    <row r="1044" ht="18.75" customHeight="1">
      <c r="B1044" s="71"/>
      <c r="D1044" s="72"/>
      <c r="K1044" s="73"/>
      <c r="P1044" s="37" t="s">
        <v>29</v>
      </c>
      <c r="Q1044" s="64"/>
      <c r="R1044" s="64"/>
      <c r="S1044" s="64"/>
      <c r="T1044" s="64"/>
      <c r="U1044" s="64"/>
      <c r="V1044" s="64"/>
      <c r="W1044" s="64"/>
      <c r="X1044" s="64"/>
      <c r="Y1044" s="64"/>
      <c r="Z1044" s="64"/>
      <c r="AA1044" s="64"/>
      <c r="BS1044" s="74"/>
      <c r="CQ1044" s="37"/>
      <c r="CR1044" s="37"/>
    </row>
    <row r="1045" ht="18.75" customHeight="1">
      <c r="B1045" s="71"/>
      <c r="D1045" s="72"/>
      <c r="K1045" s="73"/>
      <c r="P1045" s="37" t="s">
        <v>29</v>
      </c>
      <c r="Q1045" s="64"/>
      <c r="R1045" s="64"/>
      <c r="S1045" s="64"/>
      <c r="T1045" s="64"/>
      <c r="U1045" s="64"/>
      <c r="V1045" s="64"/>
      <c r="W1045" s="64"/>
      <c r="X1045" s="64"/>
      <c r="Y1045" s="64"/>
      <c r="Z1045" s="64"/>
      <c r="AA1045" s="64"/>
      <c r="BS1045" s="74"/>
      <c r="CQ1045" s="37"/>
      <c r="CR1045" s="37"/>
    </row>
    <row r="1046" ht="18.75" customHeight="1">
      <c r="B1046" s="71"/>
      <c r="D1046" s="72"/>
      <c r="K1046" s="73"/>
      <c r="P1046" s="37" t="s">
        <v>29</v>
      </c>
      <c r="Q1046" s="64"/>
      <c r="R1046" s="64"/>
      <c r="S1046" s="64"/>
      <c r="T1046" s="64"/>
      <c r="U1046" s="64"/>
      <c r="V1046" s="64"/>
      <c r="W1046" s="64"/>
      <c r="X1046" s="64"/>
      <c r="Y1046" s="64"/>
      <c r="Z1046" s="64"/>
      <c r="AA1046" s="64"/>
      <c r="BS1046" s="74"/>
      <c r="CQ1046" s="37"/>
      <c r="CR1046" s="37"/>
    </row>
    <row r="1047" ht="18.75" customHeight="1">
      <c r="B1047" s="71"/>
      <c r="D1047" s="72"/>
      <c r="K1047" s="73"/>
      <c r="P1047" s="37" t="s">
        <v>29</v>
      </c>
      <c r="Q1047" s="64"/>
      <c r="R1047" s="64"/>
      <c r="S1047" s="64"/>
      <c r="T1047" s="64"/>
      <c r="U1047" s="64"/>
      <c r="V1047" s="64"/>
      <c r="W1047" s="64"/>
      <c r="X1047" s="64"/>
      <c r="Y1047" s="64"/>
      <c r="Z1047" s="64"/>
      <c r="AA1047" s="64"/>
      <c r="BS1047" s="74"/>
      <c r="CQ1047" s="37"/>
      <c r="CR1047" s="37"/>
    </row>
    <row r="1048" ht="18.75" customHeight="1">
      <c r="B1048" s="71"/>
      <c r="D1048" s="72"/>
      <c r="K1048" s="73"/>
      <c r="P1048" s="37" t="s">
        <v>29</v>
      </c>
      <c r="Q1048" s="64"/>
      <c r="R1048" s="64"/>
      <c r="S1048" s="64"/>
      <c r="T1048" s="64"/>
      <c r="U1048" s="64"/>
      <c r="V1048" s="64"/>
      <c r="W1048" s="64"/>
      <c r="X1048" s="64"/>
      <c r="Y1048" s="64"/>
      <c r="Z1048" s="64"/>
      <c r="AA1048" s="64"/>
      <c r="BS1048" s="74"/>
      <c r="CQ1048" s="37"/>
      <c r="CR1048" s="37"/>
    </row>
    <row r="1049" ht="18.75" customHeight="1">
      <c r="B1049" s="71"/>
      <c r="D1049" s="72"/>
      <c r="K1049" s="73"/>
      <c r="P1049" s="37" t="s">
        <v>29</v>
      </c>
      <c r="Q1049" s="64"/>
      <c r="R1049" s="64"/>
      <c r="S1049" s="64"/>
      <c r="T1049" s="64"/>
      <c r="U1049" s="64"/>
      <c r="V1049" s="64"/>
      <c r="W1049" s="64"/>
      <c r="X1049" s="64"/>
      <c r="Y1049" s="64"/>
      <c r="Z1049" s="64"/>
      <c r="AA1049" s="64"/>
      <c r="BS1049" s="74"/>
      <c r="CQ1049" s="37"/>
      <c r="CR1049" s="37"/>
    </row>
    <row r="1050" ht="18.75" customHeight="1">
      <c r="B1050" s="71"/>
      <c r="D1050" s="72"/>
      <c r="K1050" s="73"/>
      <c r="P1050" s="37" t="s">
        <v>29</v>
      </c>
      <c r="Q1050" s="64"/>
      <c r="R1050" s="64"/>
      <c r="S1050" s="64"/>
      <c r="T1050" s="64"/>
      <c r="U1050" s="64"/>
      <c r="V1050" s="64"/>
      <c r="W1050" s="64"/>
      <c r="X1050" s="64"/>
      <c r="Y1050" s="64"/>
      <c r="Z1050" s="64"/>
      <c r="AA1050" s="64"/>
      <c r="BS1050" s="74"/>
      <c r="CQ1050" s="37"/>
      <c r="CR1050" s="37"/>
    </row>
    <row r="1051" ht="18.75" customHeight="1">
      <c r="B1051" s="71"/>
      <c r="D1051" s="72"/>
      <c r="K1051" s="73"/>
      <c r="P1051" s="37" t="s">
        <v>29</v>
      </c>
      <c r="Q1051" s="64"/>
      <c r="R1051" s="64"/>
      <c r="S1051" s="64"/>
      <c r="T1051" s="64"/>
      <c r="U1051" s="64"/>
      <c r="V1051" s="64"/>
      <c r="W1051" s="64"/>
      <c r="X1051" s="64"/>
      <c r="Y1051" s="64"/>
      <c r="Z1051" s="64"/>
      <c r="AA1051" s="64"/>
      <c r="BS1051" s="74"/>
      <c r="CQ1051" s="37"/>
      <c r="CR1051" s="37"/>
    </row>
    <row r="1052" ht="18.75" customHeight="1">
      <c r="B1052" s="71"/>
      <c r="D1052" s="72"/>
      <c r="K1052" s="73"/>
      <c r="P1052" s="37" t="s">
        <v>29</v>
      </c>
      <c r="Q1052" s="64"/>
      <c r="R1052" s="64"/>
      <c r="S1052" s="64"/>
      <c r="T1052" s="64"/>
      <c r="U1052" s="64"/>
      <c r="V1052" s="64"/>
      <c r="W1052" s="64"/>
      <c r="X1052" s="64"/>
      <c r="Y1052" s="64"/>
      <c r="Z1052" s="64"/>
      <c r="AA1052" s="64"/>
      <c r="BS1052" s="74"/>
      <c r="CQ1052" s="37"/>
      <c r="CR1052" s="37"/>
    </row>
    <row r="1053" ht="18.75" customHeight="1">
      <c r="B1053" s="71"/>
      <c r="D1053" s="72"/>
      <c r="K1053" s="73"/>
      <c r="P1053" s="37" t="s">
        <v>29</v>
      </c>
      <c r="Q1053" s="64"/>
      <c r="R1053" s="64"/>
      <c r="S1053" s="64"/>
      <c r="T1053" s="64"/>
      <c r="U1053" s="64"/>
      <c r="V1053" s="64"/>
      <c r="W1053" s="64"/>
      <c r="X1053" s="64"/>
      <c r="Y1053" s="64"/>
      <c r="Z1053" s="64"/>
      <c r="AA1053" s="64"/>
      <c r="BS1053" s="74"/>
      <c r="CQ1053" s="37"/>
      <c r="CR1053" s="37"/>
    </row>
    <row r="1054" ht="18.75" customHeight="1">
      <c r="B1054" s="71"/>
      <c r="D1054" s="72"/>
      <c r="K1054" s="73"/>
      <c r="P1054" s="37" t="s">
        <v>29</v>
      </c>
      <c r="Q1054" s="64"/>
      <c r="R1054" s="64"/>
      <c r="S1054" s="64"/>
      <c r="T1054" s="64"/>
      <c r="U1054" s="64"/>
      <c r="V1054" s="64"/>
      <c r="W1054" s="64"/>
      <c r="X1054" s="64"/>
      <c r="Y1054" s="64"/>
      <c r="Z1054" s="64"/>
      <c r="AA1054" s="64"/>
      <c r="BS1054" s="74"/>
      <c r="CQ1054" s="37"/>
      <c r="CR1054" s="37"/>
    </row>
    <row r="1055" ht="18.75" customHeight="1">
      <c r="B1055" s="71"/>
      <c r="D1055" s="72"/>
      <c r="K1055" s="73"/>
      <c r="P1055" s="37" t="s">
        <v>29</v>
      </c>
      <c r="Q1055" s="64"/>
      <c r="R1055" s="64"/>
      <c r="S1055" s="64"/>
      <c r="T1055" s="64"/>
      <c r="U1055" s="64"/>
      <c r="V1055" s="64"/>
      <c r="W1055" s="64"/>
      <c r="X1055" s="64"/>
      <c r="Y1055" s="64"/>
      <c r="Z1055" s="64"/>
      <c r="AA1055" s="64"/>
      <c r="BS1055" s="74"/>
      <c r="CQ1055" s="37"/>
      <c r="CR1055" s="37"/>
    </row>
    <row r="1056" ht="18.75" customHeight="1">
      <c r="B1056" s="71"/>
      <c r="D1056" s="72"/>
      <c r="K1056" s="73"/>
      <c r="P1056" s="37" t="s">
        <v>29</v>
      </c>
      <c r="Q1056" s="64"/>
      <c r="R1056" s="64"/>
      <c r="S1056" s="64"/>
      <c r="T1056" s="64"/>
      <c r="U1056" s="64"/>
      <c r="V1056" s="64"/>
      <c r="W1056" s="64"/>
      <c r="X1056" s="64"/>
      <c r="Y1056" s="64"/>
      <c r="Z1056" s="64"/>
      <c r="AA1056" s="64"/>
      <c r="BS1056" s="74"/>
      <c r="CQ1056" s="37"/>
      <c r="CR1056" s="37"/>
    </row>
    <row r="1057" ht="18.75" customHeight="1">
      <c r="B1057" s="71"/>
      <c r="D1057" s="72"/>
      <c r="K1057" s="73"/>
      <c r="P1057" s="37" t="s">
        <v>29</v>
      </c>
      <c r="Q1057" s="64"/>
      <c r="R1057" s="64"/>
      <c r="S1057" s="64"/>
      <c r="T1057" s="64"/>
      <c r="U1057" s="64"/>
      <c r="V1057" s="64"/>
      <c r="W1057" s="64"/>
      <c r="X1057" s="64"/>
      <c r="Y1057" s="64"/>
      <c r="Z1057" s="64"/>
      <c r="AA1057" s="64"/>
      <c r="BS1057" s="74"/>
      <c r="CQ1057" s="37"/>
      <c r="CR1057" s="37"/>
    </row>
    <row r="1058" ht="18.75" customHeight="1">
      <c r="B1058" s="71"/>
      <c r="D1058" s="72"/>
      <c r="K1058" s="73"/>
      <c r="P1058" s="37" t="s">
        <v>29</v>
      </c>
      <c r="Q1058" s="64"/>
      <c r="R1058" s="64"/>
      <c r="S1058" s="64"/>
      <c r="T1058" s="64"/>
      <c r="U1058" s="64"/>
      <c r="V1058" s="64"/>
      <c r="W1058" s="64"/>
      <c r="X1058" s="64"/>
      <c r="Y1058" s="64"/>
      <c r="Z1058" s="64"/>
      <c r="AA1058" s="64"/>
      <c r="BS1058" s="74"/>
      <c r="CQ1058" s="37"/>
      <c r="CR1058" s="37"/>
    </row>
    <row r="1059" ht="18.75" customHeight="1">
      <c r="B1059" s="71"/>
      <c r="D1059" s="72"/>
      <c r="K1059" s="73"/>
      <c r="P1059" s="37" t="s">
        <v>29</v>
      </c>
      <c r="Q1059" s="64"/>
      <c r="R1059" s="64"/>
      <c r="S1059" s="64"/>
      <c r="T1059" s="64"/>
      <c r="U1059" s="64"/>
      <c r="V1059" s="64"/>
      <c r="W1059" s="64"/>
      <c r="X1059" s="64"/>
      <c r="Y1059" s="64"/>
      <c r="Z1059" s="64"/>
      <c r="AA1059" s="64"/>
      <c r="BS1059" s="74"/>
      <c r="CQ1059" s="37"/>
      <c r="CR1059" s="37"/>
    </row>
    <row r="1060" ht="18.75" customHeight="1">
      <c r="B1060" s="71"/>
      <c r="D1060" s="72"/>
      <c r="K1060" s="73"/>
      <c r="P1060" s="37" t="s">
        <v>29</v>
      </c>
      <c r="Q1060" s="64"/>
      <c r="R1060" s="64"/>
      <c r="S1060" s="64"/>
      <c r="T1060" s="64"/>
      <c r="U1060" s="64"/>
      <c r="V1060" s="64"/>
      <c r="W1060" s="64"/>
      <c r="X1060" s="64"/>
      <c r="Y1060" s="64"/>
      <c r="Z1060" s="64"/>
      <c r="AA1060" s="64"/>
      <c r="BS1060" s="74"/>
      <c r="CQ1060" s="37"/>
      <c r="CR1060" s="37"/>
    </row>
    <row r="1061" ht="18.75" customHeight="1">
      <c r="B1061" s="71"/>
      <c r="D1061" s="72"/>
      <c r="K1061" s="73"/>
      <c r="P1061" s="37" t="s">
        <v>29</v>
      </c>
      <c r="Q1061" s="64"/>
      <c r="R1061" s="64"/>
      <c r="S1061" s="64"/>
      <c r="T1061" s="64"/>
      <c r="U1061" s="64"/>
      <c r="V1061" s="64"/>
      <c r="W1061" s="64"/>
      <c r="X1061" s="64"/>
      <c r="Y1061" s="64"/>
      <c r="Z1061" s="64"/>
      <c r="AA1061" s="64"/>
      <c r="BS1061" s="74"/>
      <c r="CQ1061" s="37"/>
      <c r="CR1061" s="37"/>
    </row>
    <row r="1062" ht="18.75" customHeight="1">
      <c r="B1062" s="71"/>
      <c r="D1062" s="72"/>
      <c r="K1062" s="73"/>
      <c r="P1062" s="37" t="s">
        <v>29</v>
      </c>
      <c r="Q1062" s="64"/>
      <c r="R1062" s="64"/>
      <c r="S1062" s="64"/>
      <c r="T1062" s="64"/>
      <c r="U1062" s="64"/>
      <c r="V1062" s="64"/>
      <c r="W1062" s="64"/>
      <c r="X1062" s="64"/>
      <c r="Y1062" s="64"/>
      <c r="Z1062" s="64"/>
      <c r="AA1062" s="64"/>
      <c r="BS1062" s="74"/>
      <c r="CQ1062" s="37"/>
      <c r="CR1062" s="37"/>
    </row>
    <row r="1063" ht="18.75" customHeight="1">
      <c r="B1063" s="71"/>
      <c r="D1063" s="72"/>
      <c r="K1063" s="73"/>
      <c r="P1063" s="37" t="s">
        <v>29</v>
      </c>
      <c r="Q1063" s="64"/>
      <c r="R1063" s="64"/>
      <c r="S1063" s="64"/>
      <c r="T1063" s="64"/>
      <c r="U1063" s="64"/>
      <c r="V1063" s="64"/>
      <c r="W1063" s="64"/>
      <c r="X1063" s="64"/>
      <c r="Y1063" s="64"/>
      <c r="Z1063" s="64"/>
      <c r="AA1063" s="64"/>
      <c r="BS1063" s="74"/>
      <c r="CQ1063" s="37"/>
      <c r="CR1063" s="37"/>
    </row>
    <row r="1064" ht="18.75" customHeight="1">
      <c r="B1064" s="71"/>
      <c r="D1064" s="72"/>
      <c r="K1064" s="73"/>
      <c r="P1064" s="37" t="s">
        <v>29</v>
      </c>
      <c r="Q1064" s="64"/>
      <c r="R1064" s="64"/>
      <c r="S1064" s="64"/>
      <c r="T1064" s="64"/>
      <c r="U1064" s="64"/>
      <c r="V1064" s="64"/>
      <c r="W1064" s="64"/>
      <c r="X1064" s="64"/>
      <c r="Y1064" s="64"/>
      <c r="Z1064" s="64"/>
      <c r="AA1064" s="64"/>
      <c r="BS1064" s="74"/>
      <c r="CQ1064" s="37"/>
      <c r="CR1064" s="37"/>
    </row>
    <row r="1065" ht="18.75" customHeight="1">
      <c r="B1065" s="71"/>
      <c r="D1065" s="72"/>
      <c r="K1065" s="73"/>
      <c r="P1065" s="37" t="s">
        <v>29</v>
      </c>
      <c r="Q1065" s="64"/>
      <c r="R1065" s="64"/>
      <c r="S1065" s="64"/>
      <c r="T1065" s="64"/>
      <c r="U1065" s="64"/>
      <c r="V1065" s="64"/>
      <c r="W1065" s="64"/>
      <c r="X1065" s="64"/>
      <c r="Y1065" s="64"/>
      <c r="Z1065" s="64"/>
      <c r="AA1065" s="64"/>
      <c r="BS1065" s="74"/>
      <c r="CQ1065" s="37"/>
      <c r="CR1065" s="37"/>
    </row>
    <row r="1066" ht="18.75" customHeight="1">
      <c r="B1066" s="71"/>
      <c r="D1066" s="72"/>
      <c r="K1066" s="73"/>
      <c r="P1066" s="37" t="s">
        <v>29</v>
      </c>
      <c r="Q1066" s="64"/>
      <c r="R1066" s="64"/>
      <c r="S1066" s="64"/>
      <c r="T1066" s="64"/>
      <c r="U1066" s="64"/>
      <c r="V1066" s="64"/>
      <c r="W1066" s="64"/>
      <c r="X1066" s="64"/>
      <c r="Y1066" s="64"/>
      <c r="Z1066" s="64"/>
      <c r="AA1066" s="64"/>
      <c r="BS1066" s="74"/>
      <c r="CQ1066" s="37"/>
      <c r="CR1066" s="37"/>
    </row>
    <row r="1067" ht="18.75" customHeight="1">
      <c r="B1067" s="71"/>
      <c r="D1067" s="72"/>
      <c r="K1067" s="73"/>
      <c r="P1067" s="37" t="s">
        <v>29</v>
      </c>
      <c r="Q1067" s="64"/>
      <c r="R1067" s="64"/>
      <c r="S1067" s="64"/>
      <c r="T1067" s="64"/>
      <c r="U1067" s="64"/>
      <c r="V1067" s="64"/>
      <c r="W1067" s="64"/>
      <c r="X1067" s="64"/>
      <c r="Y1067" s="64"/>
      <c r="Z1067" s="64"/>
      <c r="AA1067" s="64"/>
      <c r="BS1067" s="74"/>
      <c r="CQ1067" s="37"/>
      <c r="CR1067" s="37"/>
    </row>
    <row r="1068" ht="18.75" customHeight="1">
      <c r="B1068" s="71"/>
      <c r="D1068" s="72"/>
      <c r="K1068" s="73"/>
      <c r="P1068" s="37" t="s">
        <v>29</v>
      </c>
      <c r="Q1068" s="64"/>
      <c r="R1068" s="64"/>
      <c r="S1068" s="64"/>
      <c r="T1068" s="64"/>
      <c r="U1068" s="64"/>
      <c r="V1068" s="64"/>
      <c r="W1068" s="64"/>
      <c r="X1068" s="64"/>
      <c r="Y1068" s="64"/>
      <c r="Z1068" s="64"/>
      <c r="AA1068" s="64"/>
      <c r="BS1068" s="74"/>
      <c r="CQ1068" s="37"/>
      <c r="CR1068" s="37"/>
    </row>
    <row r="1069" ht="18.75" customHeight="1">
      <c r="B1069" s="71"/>
      <c r="D1069" s="72"/>
      <c r="K1069" s="73"/>
      <c r="P1069" s="37" t="s">
        <v>29</v>
      </c>
      <c r="Q1069" s="64"/>
      <c r="R1069" s="64"/>
      <c r="S1069" s="64"/>
      <c r="T1069" s="64"/>
      <c r="U1069" s="64"/>
      <c r="V1069" s="64"/>
      <c r="W1069" s="64"/>
      <c r="X1069" s="64"/>
      <c r="Y1069" s="64"/>
      <c r="Z1069" s="64"/>
      <c r="AA1069" s="64"/>
      <c r="BS1069" s="74"/>
      <c r="CQ1069" s="37"/>
      <c r="CR1069" s="37"/>
    </row>
    <row r="1070" ht="18.75" customHeight="1">
      <c r="B1070" s="71"/>
      <c r="D1070" s="72"/>
      <c r="K1070" s="73"/>
      <c r="P1070" s="37" t="s">
        <v>29</v>
      </c>
      <c r="Q1070" s="64"/>
      <c r="R1070" s="64"/>
      <c r="S1070" s="64"/>
      <c r="T1070" s="64"/>
      <c r="U1070" s="64"/>
      <c r="V1070" s="64"/>
      <c r="W1070" s="64"/>
      <c r="X1070" s="64"/>
      <c r="Y1070" s="64"/>
      <c r="Z1070" s="64"/>
      <c r="AA1070" s="64"/>
      <c r="BS1070" s="74"/>
      <c r="CQ1070" s="37"/>
      <c r="CR1070" s="37"/>
    </row>
    <row r="1071" ht="18.75" customHeight="1">
      <c r="B1071" s="71"/>
      <c r="D1071" s="72"/>
      <c r="K1071" s="73"/>
      <c r="P1071" s="37" t="s">
        <v>29</v>
      </c>
      <c r="Q1071" s="64"/>
      <c r="R1071" s="64"/>
      <c r="S1071" s="64"/>
      <c r="T1071" s="64"/>
      <c r="U1071" s="64"/>
      <c r="V1071" s="64"/>
      <c r="W1071" s="64"/>
      <c r="X1071" s="64"/>
      <c r="Y1071" s="64"/>
      <c r="Z1071" s="64"/>
      <c r="AA1071" s="64"/>
      <c r="BS1071" s="74"/>
      <c r="CQ1071" s="37"/>
      <c r="CR1071" s="37"/>
    </row>
    <row r="1072" ht="18.75" customHeight="1">
      <c r="B1072" s="71"/>
      <c r="D1072" s="72"/>
      <c r="K1072" s="73"/>
      <c r="P1072" s="37" t="s">
        <v>29</v>
      </c>
      <c r="Q1072" s="64"/>
      <c r="R1072" s="64"/>
      <c r="S1072" s="64"/>
      <c r="T1072" s="64"/>
      <c r="U1072" s="64"/>
      <c r="V1072" s="64"/>
      <c r="W1072" s="64"/>
      <c r="X1072" s="64"/>
      <c r="Y1072" s="64"/>
      <c r="Z1072" s="64"/>
      <c r="AA1072" s="64"/>
      <c r="BS1072" s="74"/>
      <c r="CQ1072" s="37"/>
      <c r="CR1072" s="37"/>
    </row>
    <row r="1073" ht="18.75" customHeight="1">
      <c r="B1073" s="71"/>
      <c r="D1073" s="72"/>
      <c r="K1073" s="73"/>
      <c r="P1073" s="37" t="s">
        <v>29</v>
      </c>
      <c r="Q1073" s="64"/>
      <c r="R1073" s="64"/>
      <c r="S1073" s="64"/>
      <c r="T1073" s="64"/>
      <c r="U1073" s="64"/>
      <c r="V1073" s="64"/>
      <c r="W1073" s="64"/>
      <c r="X1073" s="64"/>
      <c r="Y1073" s="64"/>
      <c r="Z1073" s="64"/>
      <c r="AA1073" s="64"/>
      <c r="BS1073" s="74"/>
      <c r="CQ1073" s="37"/>
      <c r="CR1073" s="37"/>
    </row>
    <row r="1074" ht="18.75" customHeight="1">
      <c r="B1074" s="71"/>
      <c r="D1074" s="72"/>
      <c r="K1074" s="73"/>
      <c r="P1074" s="37" t="s">
        <v>29</v>
      </c>
      <c r="Q1074" s="64"/>
      <c r="R1074" s="64"/>
      <c r="S1074" s="64"/>
      <c r="T1074" s="64"/>
      <c r="U1074" s="64"/>
      <c r="V1074" s="64"/>
      <c r="W1074" s="64"/>
      <c r="X1074" s="64"/>
      <c r="Y1074" s="64"/>
      <c r="Z1074" s="64"/>
      <c r="AA1074" s="64"/>
      <c r="BS1074" s="74"/>
      <c r="CQ1074" s="37"/>
      <c r="CR1074" s="37"/>
    </row>
    <row r="1075" ht="18.75" customHeight="1">
      <c r="B1075" s="71"/>
      <c r="D1075" s="72"/>
      <c r="K1075" s="73"/>
      <c r="P1075" s="37" t="s">
        <v>29</v>
      </c>
      <c r="Q1075" s="64"/>
      <c r="R1075" s="64"/>
      <c r="S1075" s="64"/>
      <c r="T1075" s="64"/>
      <c r="U1075" s="64"/>
      <c r="V1075" s="64"/>
      <c r="W1075" s="64"/>
      <c r="X1075" s="64"/>
      <c r="Y1075" s="64"/>
      <c r="Z1075" s="64"/>
      <c r="AA1075" s="64"/>
      <c r="BS1075" s="74"/>
      <c r="CQ1075" s="37"/>
      <c r="CR1075" s="37"/>
    </row>
    <row r="1076" ht="18.75" customHeight="1">
      <c r="B1076" s="71"/>
      <c r="D1076" s="72"/>
      <c r="K1076" s="73"/>
      <c r="P1076" s="37" t="s">
        <v>29</v>
      </c>
      <c r="Q1076" s="64"/>
      <c r="R1076" s="64"/>
      <c r="S1076" s="64"/>
      <c r="T1076" s="64"/>
      <c r="U1076" s="64"/>
      <c r="V1076" s="64"/>
      <c r="W1076" s="64"/>
      <c r="X1076" s="64"/>
      <c r="Y1076" s="64"/>
      <c r="Z1076" s="64"/>
      <c r="AA1076" s="64"/>
      <c r="BS1076" s="74"/>
      <c r="CQ1076" s="37"/>
      <c r="CR1076" s="37"/>
    </row>
    <row r="1077" ht="18.75" customHeight="1">
      <c r="B1077" s="71"/>
      <c r="D1077" s="72"/>
      <c r="K1077" s="73"/>
      <c r="P1077" s="37" t="s">
        <v>29</v>
      </c>
      <c r="Q1077" s="64"/>
      <c r="R1077" s="64"/>
      <c r="S1077" s="64"/>
      <c r="T1077" s="64"/>
      <c r="U1077" s="64"/>
      <c r="V1077" s="64"/>
      <c r="W1077" s="64"/>
      <c r="X1077" s="64"/>
      <c r="Y1077" s="64"/>
      <c r="Z1077" s="64"/>
      <c r="AA1077" s="64"/>
      <c r="BS1077" s="74"/>
      <c r="CQ1077" s="37"/>
      <c r="CR1077" s="37"/>
    </row>
    <row r="1078" ht="18.75" customHeight="1">
      <c r="B1078" s="71"/>
      <c r="D1078" s="72"/>
      <c r="K1078" s="73"/>
      <c r="P1078" s="37" t="s">
        <v>29</v>
      </c>
      <c r="Q1078" s="64"/>
      <c r="R1078" s="64"/>
      <c r="S1078" s="64"/>
      <c r="T1078" s="64"/>
      <c r="U1078" s="64"/>
      <c r="V1078" s="64"/>
      <c r="W1078" s="64"/>
      <c r="X1078" s="64"/>
      <c r="Y1078" s="64"/>
      <c r="Z1078" s="64"/>
      <c r="AA1078" s="64"/>
      <c r="BS1078" s="74"/>
      <c r="CQ1078" s="37"/>
      <c r="CR1078" s="37"/>
    </row>
    <row r="1079" ht="18.75" customHeight="1">
      <c r="B1079" s="71"/>
      <c r="D1079" s="72"/>
      <c r="K1079" s="73"/>
      <c r="P1079" s="37" t="s">
        <v>29</v>
      </c>
      <c r="Q1079" s="64"/>
      <c r="R1079" s="64"/>
      <c r="S1079" s="64"/>
      <c r="T1079" s="64"/>
      <c r="U1079" s="64"/>
      <c r="V1079" s="64"/>
      <c r="W1079" s="64"/>
      <c r="X1079" s="64"/>
      <c r="Y1079" s="64"/>
      <c r="Z1079" s="64"/>
      <c r="AA1079" s="64"/>
      <c r="BS1079" s="74"/>
      <c r="CQ1079" s="37"/>
      <c r="CR1079" s="37"/>
    </row>
    <row r="1080" ht="18.75" customHeight="1">
      <c r="B1080" s="71"/>
      <c r="D1080" s="72"/>
      <c r="K1080" s="73"/>
      <c r="P1080" s="37" t="s">
        <v>29</v>
      </c>
      <c r="Q1080" s="64"/>
      <c r="R1080" s="64"/>
      <c r="S1080" s="64"/>
      <c r="T1080" s="64"/>
      <c r="U1080" s="64"/>
      <c r="V1080" s="64"/>
      <c r="W1080" s="64"/>
      <c r="X1080" s="64"/>
      <c r="Y1080" s="64"/>
      <c r="Z1080" s="64"/>
      <c r="AA1080" s="64"/>
      <c r="BS1080" s="74"/>
      <c r="CQ1080" s="37"/>
      <c r="CR1080" s="37"/>
    </row>
    <row r="1081" ht="18.75" customHeight="1">
      <c r="B1081" s="71"/>
      <c r="D1081" s="72"/>
      <c r="K1081" s="73"/>
      <c r="P1081" s="37" t="s">
        <v>29</v>
      </c>
      <c r="Q1081" s="64"/>
      <c r="R1081" s="64"/>
      <c r="S1081" s="64"/>
      <c r="T1081" s="64"/>
      <c r="U1081" s="64"/>
      <c r="V1081" s="64"/>
      <c r="W1081" s="64"/>
      <c r="X1081" s="64"/>
      <c r="Y1081" s="64"/>
      <c r="Z1081" s="64"/>
      <c r="AA1081" s="64"/>
      <c r="BS1081" s="74"/>
      <c r="CQ1081" s="37"/>
      <c r="CR1081" s="37"/>
    </row>
    <row r="1082" ht="18.75" customHeight="1">
      <c r="B1082" s="71"/>
      <c r="D1082" s="72"/>
      <c r="K1082" s="73"/>
      <c r="P1082" s="37" t="s">
        <v>29</v>
      </c>
      <c r="Q1082" s="64"/>
      <c r="R1082" s="64"/>
      <c r="S1082" s="64"/>
      <c r="T1082" s="64"/>
      <c r="U1082" s="64"/>
      <c r="V1082" s="64"/>
      <c r="W1082" s="64"/>
      <c r="X1082" s="64"/>
      <c r="Y1082" s="64"/>
      <c r="Z1082" s="64"/>
      <c r="AA1082" s="64"/>
      <c r="BS1082" s="74"/>
      <c r="CQ1082" s="37"/>
      <c r="CR1082" s="37"/>
    </row>
    <row r="1083" ht="18.75" customHeight="1">
      <c r="B1083" s="71"/>
      <c r="D1083" s="72"/>
      <c r="K1083" s="73"/>
      <c r="P1083" s="37" t="s">
        <v>29</v>
      </c>
      <c r="Q1083" s="64"/>
      <c r="R1083" s="64"/>
      <c r="S1083" s="64"/>
      <c r="T1083" s="64"/>
      <c r="U1083" s="64"/>
      <c r="V1083" s="64"/>
      <c r="W1083" s="64"/>
      <c r="X1083" s="64"/>
      <c r="Y1083" s="64"/>
      <c r="Z1083" s="64"/>
      <c r="AA1083" s="64"/>
      <c r="BS1083" s="74"/>
      <c r="CQ1083" s="37"/>
      <c r="CR1083" s="37"/>
    </row>
    <row r="1084" ht="18.75" customHeight="1">
      <c r="B1084" s="71"/>
      <c r="D1084" s="72"/>
      <c r="K1084" s="73"/>
      <c r="P1084" s="37" t="s">
        <v>29</v>
      </c>
      <c r="Q1084" s="64"/>
      <c r="R1084" s="64"/>
      <c r="S1084" s="64"/>
      <c r="T1084" s="64"/>
      <c r="U1084" s="64"/>
      <c r="V1084" s="64"/>
      <c r="W1084" s="64"/>
      <c r="X1084" s="64"/>
      <c r="Y1084" s="64"/>
      <c r="Z1084" s="64"/>
      <c r="AA1084" s="64"/>
      <c r="BS1084" s="74"/>
      <c r="CQ1084" s="37"/>
      <c r="CR1084" s="37"/>
    </row>
    <row r="1085" ht="18.75" customHeight="1">
      <c r="B1085" s="71"/>
      <c r="D1085" s="72"/>
      <c r="K1085" s="73"/>
      <c r="P1085" s="37" t="s">
        <v>29</v>
      </c>
      <c r="Q1085" s="64"/>
      <c r="R1085" s="64"/>
      <c r="S1085" s="64"/>
      <c r="T1085" s="64"/>
      <c r="U1085" s="64"/>
      <c r="V1085" s="64"/>
      <c r="W1085" s="64"/>
      <c r="X1085" s="64"/>
      <c r="Y1085" s="64"/>
      <c r="Z1085" s="64"/>
      <c r="AA1085" s="64"/>
      <c r="BS1085" s="74"/>
      <c r="CQ1085" s="37"/>
      <c r="CR1085" s="37"/>
    </row>
    <row r="1086" ht="18.75" customHeight="1">
      <c r="B1086" s="71"/>
      <c r="D1086" s="72"/>
      <c r="K1086" s="73"/>
      <c r="P1086" s="37" t="s">
        <v>29</v>
      </c>
      <c r="Q1086" s="64"/>
      <c r="R1086" s="64"/>
      <c r="S1086" s="64"/>
      <c r="T1086" s="64"/>
      <c r="U1086" s="64"/>
      <c r="V1086" s="64"/>
      <c r="W1086" s="64"/>
      <c r="X1086" s="64"/>
      <c r="Y1086" s="64"/>
      <c r="Z1086" s="64"/>
      <c r="AA1086" s="64"/>
      <c r="BS1086" s="74"/>
      <c r="CQ1086" s="37"/>
      <c r="CR1086" s="37"/>
    </row>
    <row r="1087" ht="18.75" customHeight="1">
      <c r="B1087" s="71"/>
      <c r="D1087" s="72"/>
      <c r="K1087" s="73"/>
      <c r="P1087" s="37" t="s">
        <v>29</v>
      </c>
      <c r="Q1087" s="64"/>
      <c r="R1087" s="64"/>
      <c r="S1087" s="64"/>
      <c r="T1087" s="64"/>
      <c r="U1087" s="64"/>
      <c r="V1087" s="64"/>
      <c r="W1087" s="64"/>
      <c r="X1087" s="64"/>
      <c r="Y1087" s="64"/>
      <c r="Z1087" s="64"/>
      <c r="AA1087" s="64"/>
      <c r="BS1087" s="74"/>
      <c r="CQ1087" s="37"/>
      <c r="CR1087" s="37"/>
    </row>
    <row r="1088" ht="18.75" customHeight="1">
      <c r="B1088" s="71"/>
      <c r="D1088" s="72"/>
      <c r="K1088" s="73"/>
      <c r="P1088" s="37" t="s">
        <v>29</v>
      </c>
      <c r="Q1088" s="64"/>
      <c r="R1088" s="64"/>
      <c r="S1088" s="64"/>
      <c r="T1088" s="64"/>
      <c r="U1088" s="64"/>
      <c r="V1088" s="64"/>
      <c r="W1088" s="64"/>
      <c r="X1088" s="64"/>
      <c r="Y1088" s="64"/>
      <c r="Z1088" s="64"/>
      <c r="AA1088" s="64"/>
      <c r="BS1088" s="74"/>
      <c r="CQ1088" s="37"/>
      <c r="CR1088" s="37"/>
    </row>
    <row r="1089" ht="18.75" customHeight="1">
      <c r="B1089" s="71"/>
      <c r="D1089" s="72"/>
      <c r="K1089" s="73"/>
      <c r="P1089" s="37" t="s">
        <v>29</v>
      </c>
      <c r="Q1089" s="64"/>
      <c r="R1089" s="64"/>
      <c r="S1089" s="64"/>
      <c r="T1089" s="64"/>
      <c r="U1089" s="64"/>
      <c r="V1089" s="64"/>
      <c r="W1089" s="64"/>
      <c r="X1089" s="64"/>
      <c r="Y1089" s="64"/>
      <c r="Z1089" s="64"/>
      <c r="AA1089" s="64"/>
      <c r="BS1089" s="74"/>
      <c r="CQ1089" s="37"/>
      <c r="CR1089" s="37"/>
    </row>
    <row r="1090" ht="18.75" customHeight="1">
      <c r="B1090" s="71"/>
      <c r="D1090" s="72"/>
      <c r="K1090" s="73"/>
      <c r="P1090" s="37" t="s">
        <v>29</v>
      </c>
      <c r="Q1090" s="64"/>
      <c r="R1090" s="64"/>
      <c r="S1090" s="64"/>
      <c r="T1090" s="64"/>
      <c r="U1090" s="64"/>
      <c r="V1090" s="64"/>
      <c r="W1090" s="64"/>
      <c r="X1090" s="64"/>
      <c r="Y1090" s="64"/>
      <c r="Z1090" s="64"/>
      <c r="AA1090" s="64"/>
      <c r="BS1090" s="74"/>
      <c r="CQ1090" s="37"/>
      <c r="CR1090" s="37"/>
    </row>
    <row r="1091" ht="18.75" customHeight="1">
      <c r="B1091" s="71"/>
      <c r="D1091" s="72"/>
      <c r="K1091" s="73"/>
      <c r="P1091" s="37" t="s">
        <v>29</v>
      </c>
      <c r="Q1091" s="64"/>
      <c r="R1091" s="64"/>
      <c r="S1091" s="64"/>
      <c r="T1091" s="64"/>
      <c r="U1091" s="64"/>
      <c r="V1091" s="64"/>
      <c r="W1091" s="64"/>
      <c r="X1091" s="64"/>
      <c r="Y1091" s="64"/>
      <c r="Z1091" s="64"/>
      <c r="AA1091" s="64"/>
      <c r="BS1091" s="74"/>
      <c r="CQ1091" s="37"/>
      <c r="CR1091" s="37"/>
    </row>
    <row r="1092" ht="18.75" customHeight="1">
      <c r="B1092" s="71"/>
      <c r="D1092" s="72"/>
      <c r="K1092" s="73"/>
      <c r="P1092" s="37" t="s">
        <v>29</v>
      </c>
      <c r="Q1092" s="64"/>
      <c r="R1092" s="64"/>
      <c r="S1092" s="64"/>
      <c r="T1092" s="64"/>
      <c r="U1092" s="64"/>
      <c r="V1092" s="64"/>
      <c r="W1092" s="64"/>
      <c r="X1092" s="64"/>
      <c r="Y1092" s="64"/>
      <c r="Z1092" s="64"/>
      <c r="AA1092" s="64"/>
      <c r="BS1092" s="74"/>
      <c r="CQ1092" s="37"/>
      <c r="CR1092" s="37"/>
    </row>
    <row r="1093" ht="18.75" customHeight="1">
      <c r="B1093" s="71"/>
      <c r="D1093" s="72"/>
      <c r="K1093" s="73"/>
      <c r="P1093" s="37" t="s">
        <v>29</v>
      </c>
      <c r="Q1093" s="64"/>
      <c r="R1093" s="64"/>
      <c r="S1093" s="64"/>
      <c r="T1093" s="64"/>
      <c r="U1093" s="64"/>
      <c r="V1093" s="64"/>
      <c r="W1093" s="64"/>
      <c r="X1093" s="64"/>
      <c r="Y1093" s="64"/>
      <c r="Z1093" s="64"/>
      <c r="AA1093" s="64"/>
      <c r="BS1093" s="74"/>
      <c r="CQ1093" s="37"/>
      <c r="CR1093" s="37"/>
    </row>
    <row r="1094" ht="18.75" customHeight="1">
      <c r="B1094" s="71"/>
      <c r="D1094" s="72"/>
      <c r="K1094" s="73"/>
      <c r="P1094" s="37" t="s">
        <v>29</v>
      </c>
      <c r="Q1094" s="64"/>
      <c r="R1094" s="64"/>
      <c r="S1094" s="64"/>
      <c r="T1094" s="64"/>
      <c r="U1094" s="64"/>
      <c r="V1094" s="64"/>
      <c r="W1094" s="64"/>
      <c r="X1094" s="64"/>
      <c r="Y1094" s="64"/>
      <c r="Z1094" s="64"/>
      <c r="AA1094" s="64"/>
      <c r="BS1094" s="74"/>
      <c r="CQ1094" s="37"/>
      <c r="CR1094" s="37"/>
    </row>
    <row r="1095" ht="18.75" customHeight="1">
      <c r="B1095" s="71"/>
      <c r="D1095" s="72"/>
      <c r="K1095" s="73"/>
      <c r="P1095" s="37" t="s">
        <v>29</v>
      </c>
      <c r="Q1095" s="64"/>
      <c r="R1095" s="64"/>
      <c r="S1095" s="64"/>
      <c r="T1095" s="64"/>
      <c r="U1095" s="64"/>
      <c r="V1095" s="64"/>
      <c r="W1095" s="64"/>
      <c r="X1095" s="64"/>
      <c r="Y1095" s="64"/>
      <c r="Z1095" s="64"/>
      <c r="AA1095" s="64"/>
      <c r="BS1095" s="74"/>
      <c r="CQ1095" s="37"/>
      <c r="CR1095" s="37"/>
    </row>
    <row r="1096" ht="18.75" customHeight="1">
      <c r="B1096" s="71"/>
      <c r="D1096" s="72"/>
      <c r="K1096" s="73"/>
      <c r="P1096" s="37" t="s">
        <v>29</v>
      </c>
      <c r="Q1096" s="64"/>
      <c r="R1096" s="64"/>
      <c r="S1096" s="64"/>
      <c r="T1096" s="64"/>
      <c r="U1096" s="64"/>
      <c r="V1096" s="64"/>
      <c r="W1096" s="64"/>
      <c r="X1096" s="64"/>
      <c r="Y1096" s="64"/>
      <c r="Z1096" s="64"/>
      <c r="AA1096" s="64"/>
      <c r="BS1096" s="74"/>
      <c r="CQ1096" s="37"/>
      <c r="CR1096" s="37"/>
    </row>
    <row r="1097" ht="18.75" customHeight="1">
      <c r="B1097" s="71"/>
      <c r="D1097" s="72"/>
      <c r="K1097" s="73"/>
      <c r="P1097" s="37" t="s">
        <v>29</v>
      </c>
      <c r="Q1097" s="64"/>
      <c r="R1097" s="64"/>
      <c r="S1097" s="64"/>
      <c r="T1097" s="64"/>
      <c r="U1097" s="64"/>
      <c r="V1097" s="64"/>
      <c r="W1097" s="64"/>
      <c r="X1097" s="64"/>
      <c r="Y1097" s="64"/>
      <c r="Z1097" s="64"/>
      <c r="AA1097" s="64"/>
      <c r="BS1097" s="74"/>
      <c r="CQ1097" s="37"/>
      <c r="CR1097" s="37"/>
    </row>
    <row r="1098" ht="18.75" customHeight="1">
      <c r="B1098" s="71"/>
      <c r="D1098" s="72"/>
      <c r="K1098" s="73"/>
      <c r="P1098" s="37" t="s">
        <v>29</v>
      </c>
      <c r="Q1098" s="64"/>
      <c r="R1098" s="64"/>
      <c r="S1098" s="64"/>
      <c r="T1098" s="64"/>
      <c r="U1098" s="64"/>
      <c r="V1098" s="64"/>
      <c r="W1098" s="64"/>
      <c r="X1098" s="64"/>
      <c r="Y1098" s="64"/>
      <c r="Z1098" s="64"/>
      <c r="AA1098" s="64"/>
      <c r="BS1098" s="74"/>
      <c r="CQ1098" s="37"/>
      <c r="CR1098" s="37"/>
    </row>
    <row r="1099" ht="18.75" customHeight="1">
      <c r="B1099" s="71"/>
      <c r="D1099" s="72"/>
      <c r="K1099" s="73"/>
      <c r="P1099" s="37" t="s">
        <v>29</v>
      </c>
      <c r="Q1099" s="64"/>
      <c r="R1099" s="64"/>
      <c r="S1099" s="64"/>
      <c r="T1099" s="64"/>
      <c r="U1099" s="64"/>
      <c r="V1099" s="64"/>
      <c r="W1099" s="64"/>
      <c r="X1099" s="64"/>
      <c r="Y1099" s="64"/>
      <c r="Z1099" s="64"/>
      <c r="AA1099" s="64"/>
      <c r="BS1099" s="74"/>
      <c r="CQ1099" s="37"/>
      <c r="CR1099" s="37"/>
    </row>
    <row r="1100" ht="18.75" customHeight="1">
      <c r="B1100" s="85"/>
      <c r="D1100" s="72"/>
      <c r="K1100" s="73"/>
      <c r="P1100" s="37" t="s">
        <v>29</v>
      </c>
      <c r="Q1100" s="64"/>
      <c r="R1100" s="64"/>
      <c r="S1100" s="64"/>
      <c r="T1100" s="64"/>
      <c r="U1100" s="64"/>
      <c r="V1100" s="64"/>
      <c r="W1100" s="64"/>
      <c r="X1100" s="64"/>
      <c r="Y1100" s="64"/>
      <c r="Z1100" s="64"/>
      <c r="AA1100" s="64"/>
      <c r="BS1100" s="74"/>
      <c r="CQ1100" s="37"/>
      <c r="CR1100" s="37"/>
    </row>
    <row r="1101" ht="18.75" customHeight="1">
      <c r="B1101" s="71"/>
      <c r="D1101" s="72"/>
      <c r="K1101" s="73"/>
      <c r="P1101" s="37" t="s">
        <v>29</v>
      </c>
      <c r="Q1101" s="64"/>
      <c r="R1101" s="64"/>
      <c r="S1101" s="64"/>
      <c r="T1101" s="64"/>
      <c r="U1101" s="64"/>
      <c r="V1101" s="64"/>
      <c r="W1101" s="64"/>
      <c r="X1101" s="64"/>
      <c r="Y1101" s="64"/>
      <c r="Z1101" s="64"/>
      <c r="AA1101" s="64"/>
      <c r="BS1101" s="74"/>
      <c r="CQ1101" s="37"/>
      <c r="CR1101" s="37"/>
    </row>
    <row r="1102" ht="18.75" customHeight="1">
      <c r="B1102" s="71"/>
      <c r="D1102" s="72"/>
      <c r="K1102" s="73"/>
      <c r="P1102" s="37" t="s">
        <v>29</v>
      </c>
      <c r="Q1102" s="64"/>
      <c r="R1102" s="64"/>
      <c r="S1102" s="64"/>
      <c r="T1102" s="64"/>
      <c r="U1102" s="64"/>
      <c r="V1102" s="64"/>
      <c r="W1102" s="64"/>
      <c r="X1102" s="64"/>
      <c r="Y1102" s="64"/>
      <c r="Z1102" s="64"/>
      <c r="AA1102" s="64"/>
      <c r="BS1102" s="74"/>
      <c r="CQ1102" s="37"/>
      <c r="CR1102" s="37"/>
    </row>
    <row r="1103" ht="18.75" customHeight="1">
      <c r="B1103" s="71"/>
      <c r="D1103" s="72"/>
      <c r="K1103" s="73"/>
      <c r="P1103" s="37" t="s">
        <v>29</v>
      </c>
      <c r="Q1103" s="64"/>
      <c r="R1103" s="64"/>
      <c r="S1103" s="64"/>
      <c r="T1103" s="64"/>
      <c r="U1103" s="64"/>
      <c r="V1103" s="64"/>
      <c r="W1103" s="64"/>
      <c r="X1103" s="64"/>
      <c r="Y1103" s="64"/>
      <c r="Z1103" s="64"/>
      <c r="AA1103" s="64"/>
      <c r="BS1103" s="74"/>
      <c r="CQ1103" s="37"/>
      <c r="CR1103" s="37"/>
    </row>
    <row r="1104" ht="18.75" customHeight="1">
      <c r="B1104" s="71"/>
      <c r="D1104" s="72"/>
      <c r="K1104" s="73"/>
      <c r="P1104" s="37" t="s">
        <v>29</v>
      </c>
      <c r="Q1104" s="64"/>
      <c r="R1104" s="64"/>
      <c r="S1104" s="64"/>
      <c r="T1104" s="64"/>
      <c r="U1104" s="64"/>
      <c r="V1104" s="64"/>
      <c r="W1104" s="64"/>
      <c r="X1104" s="64"/>
      <c r="Y1104" s="64"/>
      <c r="Z1104" s="64"/>
      <c r="AA1104" s="64"/>
      <c r="BS1104" s="74"/>
      <c r="CQ1104" s="37"/>
      <c r="CR1104" s="37"/>
    </row>
    <row r="1105" ht="18.75" customHeight="1">
      <c r="B1105" s="71"/>
      <c r="D1105" s="72"/>
      <c r="K1105" s="73"/>
      <c r="P1105" s="37" t="s">
        <v>29</v>
      </c>
      <c r="Q1105" s="64"/>
      <c r="R1105" s="64"/>
      <c r="S1105" s="64"/>
      <c r="T1105" s="64"/>
      <c r="U1105" s="64"/>
      <c r="V1105" s="64"/>
      <c r="W1105" s="64"/>
      <c r="X1105" s="64"/>
      <c r="Y1105" s="64"/>
      <c r="Z1105" s="64"/>
      <c r="AA1105" s="64"/>
      <c r="BS1105" s="74"/>
      <c r="CQ1105" s="37"/>
      <c r="CR1105" s="37"/>
    </row>
    <row r="1106" ht="18.75" customHeight="1">
      <c r="B1106" s="71"/>
      <c r="D1106" s="72"/>
      <c r="K1106" s="73"/>
      <c r="P1106" s="37" t="s">
        <v>29</v>
      </c>
      <c r="Q1106" s="64"/>
      <c r="R1106" s="64"/>
      <c r="S1106" s="64"/>
      <c r="T1106" s="64"/>
      <c r="U1106" s="64"/>
      <c r="V1106" s="64"/>
      <c r="W1106" s="64"/>
      <c r="X1106" s="64"/>
      <c r="Y1106" s="64"/>
      <c r="Z1106" s="64"/>
      <c r="AA1106" s="64"/>
      <c r="BS1106" s="74"/>
      <c r="CQ1106" s="37"/>
      <c r="CR1106" s="37"/>
    </row>
    <row r="1107" ht="18.75" customHeight="1">
      <c r="B1107" s="71"/>
      <c r="D1107" s="72"/>
      <c r="K1107" s="73"/>
      <c r="P1107" s="37" t="s">
        <v>29</v>
      </c>
      <c r="Q1107" s="64"/>
      <c r="R1107" s="64"/>
      <c r="S1107" s="64"/>
      <c r="T1107" s="64"/>
      <c r="U1107" s="64"/>
      <c r="V1107" s="64"/>
      <c r="W1107" s="64"/>
      <c r="X1107" s="64"/>
      <c r="Y1107" s="64"/>
      <c r="Z1107" s="64"/>
      <c r="AA1107" s="64"/>
      <c r="BS1107" s="74"/>
      <c r="CQ1107" s="37"/>
      <c r="CR1107" s="37"/>
    </row>
    <row r="1108" ht="18.75" customHeight="1">
      <c r="B1108" s="71"/>
      <c r="D1108" s="72"/>
      <c r="K1108" s="73"/>
      <c r="P1108" s="37" t="s">
        <v>29</v>
      </c>
      <c r="Q1108" s="64"/>
      <c r="R1108" s="64"/>
      <c r="S1108" s="64"/>
      <c r="T1108" s="64"/>
      <c r="U1108" s="64"/>
      <c r="V1108" s="64"/>
      <c r="W1108" s="64"/>
      <c r="X1108" s="64"/>
      <c r="Y1108" s="64"/>
      <c r="Z1108" s="64"/>
      <c r="AA1108" s="64"/>
      <c r="BS1108" s="74"/>
      <c r="CQ1108" s="37"/>
      <c r="CR1108" s="37"/>
    </row>
    <row r="1109" ht="18.75" customHeight="1">
      <c r="B1109" s="71"/>
      <c r="D1109" s="72"/>
      <c r="K1109" s="73"/>
      <c r="P1109" s="37" t="s">
        <v>29</v>
      </c>
      <c r="Q1109" s="64"/>
      <c r="R1109" s="64"/>
      <c r="S1109" s="64"/>
      <c r="T1109" s="64"/>
      <c r="U1109" s="64"/>
      <c r="V1109" s="64"/>
      <c r="W1109" s="64"/>
      <c r="X1109" s="64"/>
      <c r="Y1109" s="64"/>
      <c r="Z1109" s="64"/>
      <c r="AA1109" s="64"/>
      <c r="BS1109" s="74"/>
      <c r="CQ1109" s="37"/>
      <c r="CR1109" s="37"/>
    </row>
    <row r="1110" ht="18.75" customHeight="1">
      <c r="B1110" s="71"/>
      <c r="D1110" s="72"/>
      <c r="K1110" s="73"/>
      <c r="P1110" s="37" t="s">
        <v>29</v>
      </c>
      <c r="Q1110" s="64"/>
      <c r="R1110" s="64"/>
      <c r="S1110" s="64"/>
      <c r="T1110" s="64"/>
      <c r="U1110" s="64"/>
      <c r="V1110" s="64"/>
      <c r="W1110" s="64"/>
      <c r="X1110" s="64"/>
      <c r="Y1110" s="64"/>
      <c r="Z1110" s="64"/>
      <c r="AA1110" s="64"/>
      <c r="BS1110" s="74"/>
      <c r="CQ1110" s="37"/>
      <c r="CR1110" s="37"/>
    </row>
    <row r="1111" ht="18.75" customHeight="1">
      <c r="B1111" s="71"/>
      <c r="D1111" s="72"/>
      <c r="K1111" s="73"/>
      <c r="P1111" s="37" t="s">
        <v>29</v>
      </c>
      <c r="Q1111" s="64"/>
      <c r="R1111" s="64"/>
      <c r="S1111" s="64"/>
      <c r="T1111" s="64"/>
      <c r="U1111" s="64"/>
      <c r="V1111" s="64"/>
      <c r="W1111" s="64"/>
      <c r="X1111" s="64"/>
      <c r="Y1111" s="64"/>
      <c r="Z1111" s="64"/>
      <c r="AA1111" s="64"/>
      <c r="BS1111" s="74"/>
      <c r="CQ1111" s="37"/>
      <c r="CR1111" s="37"/>
    </row>
    <row r="1112" ht="18.75" customHeight="1">
      <c r="B1112" s="71"/>
      <c r="D1112" s="72"/>
      <c r="K1112" s="73"/>
      <c r="P1112" s="37" t="s">
        <v>29</v>
      </c>
      <c r="Q1112" s="64"/>
      <c r="R1112" s="64"/>
      <c r="S1112" s="64"/>
      <c r="T1112" s="64"/>
      <c r="U1112" s="64"/>
      <c r="V1112" s="64"/>
      <c r="W1112" s="64"/>
      <c r="X1112" s="64"/>
      <c r="Y1112" s="64"/>
      <c r="Z1112" s="64"/>
      <c r="AA1112" s="64"/>
      <c r="BS1112" s="74"/>
      <c r="CQ1112" s="37"/>
      <c r="CR1112" s="37"/>
    </row>
    <row r="1113" ht="18.75" customHeight="1">
      <c r="B1113" s="71"/>
      <c r="D1113" s="72"/>
      <c r="K1113" s="73"/>
      <c r="P1113" s="37" t="s">
        <v>29</v>
      </c>
      <c r="Q1113" s="64"/>
      <c r="R1113" s="64"/>
      <c r="S1113" s="64"/>
      <c r="T1113" s="64"/>
      <c r="U1113" s="64"/>
      <c r="V1113" s="64"/>
      <c r="W1113" s="64"/>
      <c r="X1113" s="64"/>
      <c r="Y1113" s="64"/>
      <c r="Z1113" s="64"/>
      <c r="AA1113" s="64"/>
      <c r="BS1113" s="74"/>
      <c r="BT1113" s="39"/>
      <c r="CQ1113" s="37"/>
      <c r="CR1113" s="37"/>
    </row>
    <row r="1114" ht="18.75" customHeight="1">
      <c r="B1114" s="71"/>
      <c r="D1114" s="72"/>
      <c r="K1114" s="73"/>
      <c r="P1114" s="37" t="s">
        <v>29</v>
      </c>
      <c r="Q1114" s="64"/>
      <c r="R1114" s="64"/>
      <c r="S1114" s="64"/>
      <c r="T1114" s="64"/>
      <c r="U1114" s="64"/>
      <c r="V1114" s="64"/>
      <c r="W1114" s="64"/>
      <c r="X1114" s="64"/>
      <c r="Y1114" s="64"/>
      <c r="Z1114" s="64"/>
      <c r="AA1114" s="64"/>
      <c r="BS1114" s="74"/>
      <c r="CQ1114" s="37"/>
      <c r="CR1114" s="37"/>
    </row>
    <row r="1115" ht="18.75" customHeight="1">
      <c r="A1115" s="25"/>
      <c r="B1115" s="71"/>
      <c r="D1115" s="72"/>
      <c r="K1115" s="73"/>
      <c r="P1115" s="37" t="s">
        <v>29</v>
      </c>
      <c r="Q1115" s="64"/>
      <c r="R1115" s="64"/>
      <c r="S1115" s="64"/>
      <c r="T1115" s="64"/>
      <c r="U1115" s="64"/>
      <c r="V1115" s="64"/>
      <c r="W1115" s="64"/>
      <c r="X1115" s="64"/>
      <c r="Y1115" s="64"/>
      <c r="Z1115" s="64"/>
      <c r="AA1115" s="64"/>
      <c r="AB1115" s="64"/>
      <c r="AC1115" s="64"/>
      <c r="AD1115" s="64"/>
      <c r="AE1115" s="64"/>
      <c r="AF1115" s="64"/>
      <c r="AG1115" s="64"/>
      <c r="AH1115" s="64"/>
      <c r="AI1115" s="64"/>
      <c r="AJ1115" s="64"/>
      <c r="BS1115" s="74"/>
      <c r="CQ1115" s="37"/>
      <c r="CR1115" s="37"/>
    </row>
    <row r="1116" ht="18.75" customHeight="1">
      <c r="B1116" s="71"/>
      <c r="D1116" s="72"/>
      <c r="K1116" s="73"/>
      <c r="P1116" s="37" t="s">
        <v>29</v>
      </c>
      <c r="Q1116" s="64"/>
      <c r="R1116" s="64"/>
      <c r="S1116" s="64"/>
      <c r="T1116" s="64"/>
      <c r="U1116" s="64"/>
      <c r="V1116" s="64"/>
      <c r="W1116" s="64"/>
      <c r="X1116" s="64"/>
      <c r="Y1116" s="64"/>
      <c r="Z1116" s="64"/>
      <c r="AA1116" s="64"/>
      <c r="BS1116" s="74"/>
      <c r="CQ1116" s="37"/>
      <c r="CR1116" s="37"/>
    </row>
    <row r="1117" ht="18.75" customHeight="1">
      <c r="B1117" s="71"/>
      <c r="D1117" s="72"/>
      <c r="K1117" s="73"/>
      <c r="P1117" s="37" t="s">
        <v>29</v>
      </c>
      <c r="Q1117" s="64"/>
      <c r="R1117" s="64"/>
      <c r="S1117" s="64"/>
      <c r="T1117" s="64"/>
      <c r="U1117" s="64"/>
      <c r="V1117" s="64"/>
      <c r="W1117" s="64"/>
      <c r="X1117" s="64"/>
      <c r="Y1117" s="64"/>
      <c r="Z1117" s="64"/>
      <c r="AA1117" s="64"/>
      <c r="BS1117" s="74"/>
      <c r="CQ1117" s="37"/>
      <c r="CR1117" s="37"/>
    </row>
    <row r="1118" ht="18.75" customHeight="1">
      <c r="B1118" s="71"/>
      <c r="D1118" s="72"/>
      <c r="K1118" s="73"/>
      <c r="P1118" s="37" t="s">
        <v>29</v>
      </c>
      <c r="Q1118" s="64"/>
      <c r="R1118" s="64"/>
      <c r="S1118" s="64"/>
      <c r="T1118" s="64"/>
      <c r="U1118" s="64"/>
      <c r="V1118" s="64"/>
      <c r="W1118" s="64"/>
      <c r="X1118" s="64"/>
      <c r="Y1118" s="64"/>
      <c r="Z1118" s="64"/>
      <c r="AA1118" s="64"/>
      <c r="BS1118" s="74"/>
      <c r="CQ1118" s="37"/>
      <c r="CR1118" s="37"/>
    </row>
    <row r="1119" ht="18.75" customHeight="1">
      <c r="B1119" s="71"/>
      <c r="D1119" s="72"/>
      <c r="K1119" s="73"/>
      <c r="P1119" s="37" t="s">
        <v>29</v>
      </c>
      <c r="Q1119" s="64"/>
      <c r="R1119" s="64"/>
      <c r="S1119" s="64"/>
      <c r="T1119" s="64"/>
      <c r="U1119" s="64"/>
      <c r="V1119" s="64"/>
      <c r="W1119" s="64"/>
      <c r="X1119" s="64"/>
      <c r="Y1119" s="64"/>
      <c r="Z1119" s="64"/>
      <c r="AA1119" s="64"/>
      <c r="BS1119" s="74"/>
      <c r="CQ1119" s="37"/>
      <c r="CR1119" s="37"/>
    </row>
    <row r="1120" ht="18.75" customHeight="1">
      <c r="B1120" s="71"/>
      <c r="D1120" s="72"/>
      <c r="K1120" s="73"/>
      <c r="P1120" s="37" t="s">
        <v>29</v>
      </c>
      <c r="Q1120" s="64"/>
      <c r="R1120" s="64"/>
      <c r="S1120" s="64"/>
      <c r="T1120" s="64"/>
      <c r="U1120" s="64"/>
      <c r="V1120" s="64"/>
      <c r="W1120" s="64"/>
      <c r="X1120" s="64"/>
      <c r="Y1120" s="64"/>
      <c r="Z1120" s="64"/>
      <c r="AA1120" s="64"/>
      <c r="BS1120" s="74"/>
      <c r="CQ1120" s="37"/>
      <c r="CR1120" s="37"/>
    </row>
    <row r="1121" ht="18.75" customHeight="1">
      <c r="B1121" s="71"/>
      <c r="D1121" s="72"/>
      <c r="K1121" s="73"/>
      <c r="P1121" s="37" t="s">
        <v>29</v>
      </c>
      <c r="Q1121" s="64"/>
      <c r="R1121" s="64"/>
      <c r="S1121" s="64"/>
      <c r="T1121" s="64"/>
      <c r="U1121" s="64"/>
      <c r="V1121" s="64"/>
      <c r="W1121" s="64"/>
      <c r="X1121" s="64"/>
      <c r="Y1121" s="64"/>
      <c r="Z1121" s="64"/>
      <c r="AA1121" s="64"/>
      <c r="BS1121" s="74"/>
      <c r="CQ1121" s="37"/>
      <c r="CR1121" s="37"/>
    </row>
    <row r="1122" ht="18.75" customHeight="1">
      <c r="B1122" s="71"/>
      <c r="D1122" s="72"/>
      <c r="K1122" s="73"/>
      <c r="P1122" s="37" t="s">
        <v>29</v>
      </c>
      <c r="Q1122" s="64"/>
      <c r="R1122" s="64"/>
      <c r="S1122" s="64"/>
      <c r="T1122" s="64"/>
      <c r="U1122" s="64"/>
      <c r="V1122" s="64"/>
      <c r="W1122" s="64"/>
      <c r="X1122" s="64"/>
      <c r="Y1122" s="64"/>
      <c r="Z1122" s="64"/>
      <c r="AA1122" s="64"/>
      <c r="BS1122" s="74"/>
      <c r="CQ1122" s="37"/>
      <c r="CR1122" s="37"/>
    </row>
    <row r="1123" ht="18.75" customHeight="1">
      <c r="B1123" s="71"/>
      <c r="D1123" s="72"/>
      <c r="K1123" s="73"/>
      <c r="P1123" s="37" t="s">
        <v>29</v>
      </c>
      <c r="Q1123" s="64"/>
      <c r="R1123" s="64"/>
      <c r="S1123" s="64"/>
      <c r="T1123" s="64"/>
      <c r="U1123" s="64"/>
      <c r="V1123" s="64"/>
      <c r="W1123" s="64"/>
      <c r="X1123" s="64"/>
      <c r="Y1123" s="64"/>
      <c r="Z1123" s="64"/>
      <c r="AA1123" s="64"/>
      <c r="BS1123" s="74"/>
      <c r="CQ1123" s="37"/>
      <c r="CR1123" s="37"/>
    </row>
    <row r="1124" ht="18.75" customHeight="1">
      <c r="B1124" s="71"/>
      <c r="D1124" s="72"/>
      <c r="K1124" s="73"/>
      <c r="P1124" s="37" t="s">
        <v>29</v>
      </c>
      <c r="Q1124" s="64"/>
      <c r="R1124" s="64"/>
      <c r="S1124" s="64"/>
      <c r="T1124" s="64"/>
      <c r="U1124" s="64"/>
      <c r="V1124" s="64"/>
      <c r="W1124" s="64"/>
      <c r="X1124" s="64"/>
      <c r="Y1124" s="64"/>
      <c r="Z1124" s="64"/>
      <c r="AA1124" s="64"/>
      <c r="BS1124" s="74"/>
      <c r="CQ1124" s="37"/>
      <c r="CR1124" s="37"/>
    </row>
    <row r="1125" ht="18.75" customHeight="1">
      <c r="B1125" s="71"/>
      <c r="D1125" s="72"/>
      <c r="K1125" s="73"/>
      <c r="P1125" s="37" t="s">
        <v>29</v>
      </c>
      <c r="Q1125" s="64"/>
      <c r="R1125" s="64"/>
      <c r="S1125" s="64"/>
      <c r="T1125" s="64"/>
      <c r="U1125" s="64"/>
      <c r="V1125" s="64"/>
      <c r="W1125" s="64"/>
      <c r="X1125" s="64"/>
      <c r="Y1125" s="64"/>
      <c r="Z1125" s="64"/>
      <c r="AA1125" s="64"/>
      <c r="BS1125" s="74"/>
      <c r="CQ1125" s="37"/>
      <c r="CR1125" s="37"/>
    </row>
    <row r="1126" ht="18.75" customHeight="1">
      <c r="B1126" s="71"/>
      <c r="D1126" s="72"/>
      <c r="K1126" s="73"/>
      <c r="P1126" s="37" t="s">
        <v>29</v>
      </c>
      <c r="Q1126" s="64"/>
      <c r="R1126" s="64"/>
      <c r="S1126" s="64"/>
      <c r="T1126" s="64"/>
      <c r="U1126" s="64"/>
      <c r="V1126" s="64"/>
      <c r="W1126" s="64"/>
      <c r="X1126" s="64"/>
      <c r="Y1126" s="64"/>
      <c r="Z1126" s="64"/>
      <c r="AA1126" s="64"/>
      <c r="BS1126" s="74"/>
      <c r="CQ1126" s="37"/>
      <c r="CR1126" s="37"/>
    </row>
    <row r="1127" ht="18.75" customHeight="1">
      <c r="B1127" s="71"/>
      <c r="D1127" s="72"/>
      <c r="K1127" s="73"/>
      <c r="P1127" s="37" t="s">
        <v>29</v>
      </c>
      <c r="Q1127" s="64"/>
      <c r="R1127" s="64"/>
      <c r="S1127" s="64"/>
      <c r="T1127" s="64"/>
      <c r="U1127" s="64"/>
      <c r="V1127" s="64"/>
      <c r="W1127" s="64"/>
      <c r="X1127" s="64"/>
      <c r="Y1127" s="64"/>
      <c r="Z1127" s="64"/>
      <c r="AA1127" s="64"/>
      <c r="BS1127" s="74"/>
      <c r="CQ1127" s="37"/>
      <c r="CR1127" s="37"/>
    </row>
    <row r="1128" ht="18.75" customHeight="1">
      <c r="B1128" s="71"/>
      <c r="D1128" s="72"/>
      <c r="K1128" s="73"/>
      <c r="P1128" s="37" t="s">
        <v>29</v>
      </c>
      <c r="Q1128" s="64"/>
      <c r="R1128" s="64"/>
      <c r="S1128" s="64"/>
      <c r="T1128" s="64"/>
      <c r="U1128" s="64"/>
      <c r="V1128" s="64"/>
      <c r="W1128" s="64"/>
      <c r="X1128" s="64"/>
      <c r="Y1128" s="64"/>
      <c r="Z1128" s="64"/>
      <c r="AA1128" s="64"/>
      <c r="BS1128" s="74"/>
      <c r="CQ1128" s="37"/>
      <c r="CR1128" s="37"/>
    </row>
    <row r="1129" ht="18.75" customHeight="1">
      <c r="B1129" s="71"/>
      <c r="D1129" s="72"/>
      <c r="K1129" s="73"/>
      <c r="P1129" s="37" t="s">
        <v>29</v>
      </c>
      <c r="Q1129" s="64"/>
      <c r="R1129" s="64"/>
      <c r="S1129" s="64"/>
      <c r="T1129" s="64"/>
      <c r="U1129" s="64"/>
      <c r="V1129" s="64"/>
      <c r="W1129" s="64"/>
      <c r="X1129" s="64"/>
      <c r="Y1129" s="64"/>
      <c r="Z1129" s="64"/>
      <c r="AA1129" s="64"/>
      <c r="BS1129" s="74"/>
      <c r="CQ1129" s="37"/>
      <c r="CR1129" s="37"/>
    </row>
    <row r="1130" ht="18.75" customHeight="1">
      <c r="B1130" s="71"/>
      <c r="D1130" s="72"/>
      <c r="K1130" s="73"/>
      <c r="P1130" s="37" t="s">
        <v>29</v>
      </c>
      <c r="Q1130" s="64"/>
      <c r="R1130" s="64"/>
      <c r="S1130" s="64"/>
      <c r="T1130" s="64"/>
      <c r="U1130" s="64"/>
      <c r="V1130" s="64"/>
      <c r="W1130" s="64"/>
      <c r="X1130" s="64"/>
      <c r="Y1130" s="64"/>
      <c r="Z1130" s="64"/>
      <c r="AA1130" s="64"/>
      <c r="BS1130" s="74"/>
      <c r="CQ1130" s="37"/>
      <c r="CR1130" s="37"/>
    </row>
    <row r="1131" ht="18.75" customHeight="1">
      <c r="B1131" s="71"/>
      <c r="D1131" s="72"/>
      <c r="K1131" s="73"/>
      <c r="P1131" s="37" t="s">
        <v>29</v>
      </c>
      <c r="Q1131" s="64"/>
      <c r="R1131" s="64"/>
      <c r="S1131" s="64"/>
      <c r="T1131" s="64"/>
      <c r="U1131" s="64"/>
      <c r="V1131" s="64"/>
      <c r="W1131" s="64"/>
      <c r="X1131" s="64"/>
      <c r="Y1131" s="64"/>
      <c r="Z1131" s="64"/>
      <c r="AA1131" s="64"/>
      <c r="BS1131" s="74"/>
      <c r="CQ1131" s="37"/>
      <c r="CR1131" s="37"/>
    </row>
    <row r="1132" ht="18.75" customHeight="1">
      <c r="B1132" s="71"/>
      <c r="D1132" s="72"/>
      <c r="K1132" s="73"/>
      <c r="P1132" s="37" t="s">
        <v>29</v>
      </c>
      <c r="Q1132" s="64"/>
      <c r="R1132" s="64"/>
      <c r="S1132" s="64"/>
      <c r="T1132" s="64"/>
      <c r="U1132" s="64"/>
      <c r="V1132" s="64"/>
      <c r="W1132" s="64"/>
      <c r="X1132" s="64"/>
      <c r="Y1132" s="64"/>
      <c r="Z1132" s="64"/>
      <c r="AA1132" s="64"/>
      <c r="BS1132" s="74"/>
      <c r="CQ1132" s="37"/>
      <c r="CR1132" s="37"/>
    </row>
    <row r="1133" ht="18.75" customHeight="1">
      <c r="B1133" s="71"/>
      <c r="D1133" s="72"/>
      <c r="K1133" s="73"/>
      <c r="P1133" s="37" t="s">
        <v>29</v>
      </c>
      <c r="Q1133" s="64"/>
      <c r="R1133" s="64"/>
      <c r="S1133" s="64"/>
      <c r="T1133" s="64"/>
      <c r="U1133" s="64"/>
      <c r="V1133" s="64"/>
      <c r="W1133" s="64"/>
      <c r="X1133" s="64"/>
      <c r="Y1133" s="64"/>
      <c r="Z1133" s="64"/>
      <c r="AA1133" s="64"/>
      <c r="BS1133" s="74"/>
      <c r="CQ1133" s="37"/>
      <c r="CR1133" s="37"/>
    </row>
    <row r="1134" ht="18.75" customHeight="1">
      <c r="B1134" s="71"/>
      <c r="D1134" s="72"/>
      <c r="K1134" s="73"/>
      <c r="P1134" s="37" t="s">
        <v>29</v>
      </c>
      <c r="Q1134" s="64"/>
      <c r="R1134" s="64"/>
      <c r="S1134" s="64"/>
      <c r="T1134" s="64"/>
      <c r="U1134" s="64"/>
      <c r="V1134" s="64"/>
      <c r="W1134" s="64"/>
      <c r="X1134" s="64"/>
      <c r="Y1134" s="64"/>
      <c r="Z1134" s="64"/>
      <c r="AA1134" s="64"/>
      <c r="BS1134" s="74"/>
      <c r="CQ1134" s="37"/>
      <c r="CR1134" s="37"/>
    </row>
    <row r="1135" ht="18.75" customHeight="1">
      <c r="B1135" s="71"/>
      <c r="D1135" s="72"/>
      <c r="K1135" s="73"/>
      <c r="P1135" s="37" t="s">
        <v>29</v>
      </c>
      <c r="Q1135" s="64"/>
      <c r="R1135" s="64"/>
      <c r="S1135" s="64"/>
      <c r="T1135" s="64"/>
      <c r="U1135" s="64"/>
      <c r="V1135" s="64"/>
      <c r="W1135" s="64"/>
      <c r="X1135" s="64"/>
      <c r="Y1135" s="64"/>
      <c r="Z1135" s="64"/>
      <c r="AA1135" s="64"/>
      <c r="BS1135" s="74"/>
      <c r="CQ1135" s="37"/>
      <c r="CR1135" s="37"/>
    </row>
    <row r="1136" ht="18.75" customHeight="1">
      <c r="B1136" s="71"/>
      <c r="D1136" s="72"/>
      <c r="K1136" s="73"/>
      <c r="P1136" s="37" t="s">
        <v>29</v>
      </c>
      <c r="Q1136" s="64"/>
      <c r="R1136" s="64"/>
      <c r="S1136" s="64"/>
      <c r="T1136" s="64"/>
      <c r="U1136" s="64"/>
      <c r="V1136" s="64"/>
      <c r="W1136" s="64"/>
      <c r="X1136" s="64"/>
      <c r="Y1136" s="64"/>
      <c r="Z1136" s="64"/>
      <c r="AA1136" s="64"/>
      <c r="BS1136" s="74"/>
      <c r="CQ1136" s="37"/>
      <c r="CR1136" s="37"/>
    </row>
    <row r="1137" ht="18.75" customHeight="1">
      <c r="B1137" s="71"/>
      <c r="D1137" s="72"/>
      <c r="K1137" s="73"/>
      <c r="P1137" s="37" t="s">
        <v>29</v>
      </c>
      <c r="Q1137" s="64"/>
      <c r="R1137" s="64"/>
      <c r="S1137" s="64"/>
      <c r="T1137" s="64"/>
      <c r="U1137" s="64"/>
      <c r="V1137" s="64"/>
      <c r="W1137" s="64"/>
      <c r="X1137" s="64"/>
      <c r="Y1137" s="64"/>
      <c r="Z1137" s="64"/>
      <c r="AA1137" s="64"/>
      <c r="BS1137" s="74"/>
      <c r="CQ1137" s="37"/>
      <c r="CR1137" s="37"/>
    </row>
    <row r="1138" ht="18.75" customHeight="1">
      <c r="B1138" s="71"/>
      <c r="D1138" s="72"/>
      <c r="K1138" s="73"/>
      <c r="P1138" s="37" t="s">
        <v>29</v>
      </c>
      <c r="Q1138" s="64"/>
      <c r="R1138" s="64"/>
      <c r="S1138" s="64"/>
      <c r="T1138" s="64"/>
      <c r="U1138" s="64"/>
      <c r="V1138" s="64"/>
      <c r="W1138" s="64"/>
      <c r="X1138" s="64"/>
      <c r="Y1138" s="64"/>
      <c r="Z1138" s="64"/>
      <c r="AA1138" s="64"/>
      <c r="BS1138" s="74"/>
      <c r="CQ1138" s="37"/>
      <c r="CR1138" s="37"/>
    </row>
    <row r="1139" ht="18.75" customHeight="1">
      <c r="B1139" s="71"/>
      <c r="D1139" s="72"/>
      <c r="K1139" s="73"/>
      <c r="P1139" s="37" t="s">
        <v>29</v>
      </c>
      <c r="Q1139" s="64"/>
      <c r="R1139" s="64"/>
      <c r="S1139" s="64"/>
      <c r="T1139" s="64"/>
      <c r="U1139" s="64"/>
      <c r="V1139" s="64"/>
      <c r="W1139" s="64"/>
      <c r="X1139" s="64"/>
      <c r="Y1139" s="64"/>
      <c r="Z1139" s="64"/>
      <c r="AA1139" s="64"/>
      <c r="BS1139" s="74"/>
      <c r="CQ1139" s="37"/>
      <c r="CR1139" s="37"/>
    </row>
    <row r="1140" ht="18.75" customHeight="1">
      <c r="B1140" s="71"/>
      <c r="D1140" s="72"/>
      <c r="K1140" s="73"/>
      <c r="P1140" s="37" t="s">
        <v>29</v>
      </c>
      <c r="Q1140" s="64"/>
      <c r="R1140" s="64"/>
      <c r="S1140" s="64"/>
      <c r="T1140" s="64"/>
      <c r="U1140" s="64"/>
      <c r="V1140" s="64"/>
      <c r="W1140" s="64"/>
      <c r="X1140" s="64"/>
      <c r="Y1140" s="64"/>
      <c r="Z1140" s="64"/>
      <c r="AA1140" s="64"/>
      <c r="BS1140" s="74"/>
      <c r="CQ1140" s="37"/>
      <c r="CR1140" s="37"/>
    </row>
    <row r="1141" ht="18.75" customHeight="1">
      <c r="B1141" s="71"/>
      <c r="D1141" s="72"/>
      <c r="K1141" s="73"/>
      <c r="P1141" s="37" t="s">
        <v>29</v>
      </c>
      <c r="Q1141" s="64"/>
      <c r="R1141" s="64"/>
      <c r="S1141" s="64"/>
      <c r="T1141" s="64"/>
      <c r="U1141" s="64"/>
      <c r="V1141" s="64"/>
      <c r="W1141" s="64"/>
      <c r="X1141" s="64"/>
      <c r="Y1141" s="64"/>
      <c r="Z1141" s="64"/>
      <c r="AA1141" s="64"/>
      <c r="BS1141" s="74"/>
      <c r="CQ1141" s="37"/>
      <c r="CR1141" s="37"/>
    </row>
    <row r="1142" ht="18.75" customHeight="1">
      <c r="B1142" s="71"/>
      <c r="D1142" s="72"/>
      <c r="K1142" s="73"/>
      <c r="P1142" s="37" t="s">
        <v>29</v>
      </c>
      <c r="Q1142" s="64"/>
      <c r="R1142" s="64"/>
      <c r="S1142" s="64"/>
      <c r="T1142" s="64"/>
      <c r="U1142" s="64"/>
      <c r="V1142" s="64"/>
      <c r="W1142" s="64"/>
      <c r="X1142" s="64"/>
      <c r="Y1142" s="64"/>
      <c r="Z1142" s="64"/>
      <c r="AA1142" s="64"/>
      <c r="BS1142" s="74"/>
      <c r="CQ1142" s="37"/>
      <c r="CR1142" s="37"/>
    </row>
    <row r="1143" ht="18.75" customHeight="1">
      <c r="B1143" s="71"/>
      <c r="D1143" s="72"/>
      <c r="K1143" s="73"/>
      <c r="P1143" s="37" t="s">
        <v>29</v>
      </c>
      <c r="Q1143" s="64"/>
      <c r="R1143" s="64"/>
      <c r="S1143" s="64"/>
      <c r="T1143" s="64"/>
      <c r="U1143" s="64"/>
      <c r="V1143" s="64"/>
      <c r="W1143" s="64"/>
      <c r="X1143" s="64"/>
      <c r="Y1143" s="64"/>
      <c r="Z1143" s="64"/>
      <c r="AA1143" s="64"/>
      <c r="BS1143" s="74"/>
      <c r="CQ1143" s="37"/>
      <c r="CR1143" s="37"/>
    </row>
    <row r="1144" ht="18.75" customHeight="1">
      <c r="B1144" s="71"/>
      <c r="D1144" s="72"/>
      <c r="K1144" s="73"/>
      <c r="P1144" s="37" t="s">
        <v>29</v>
      </c>
      <c r="Q1144" s="64"/>
      <c r="R1144" s="64"/>
      <c r="S1144" s="64"/>
      <c r="T1144" s="64"/>
      <c r="U1144" s="64"/>
      <c r="V1144" s="64"/>
      <c r="W1144" s="64"/>
      <c r="X1144" s="64"/>
      <c r="Y1144" s="64"/>
      <c r="Z1144" s="64"/>
      <c r="AA1144" s="64"/>
      <c r="BS1144" s="74"/>
      <c r="CQ1144" s="37"/>
      <c r="CR1144" s="37"/>
    </row>
    <row r="1145" ht="18.75" customHeight="1">
      <c r="B1145" s="71"/>
      <c r="D1145" s="72"/>
      <c r="K1145" s="73"/>
      <c r="P1145" s="37" t="s">
        <v>29</v>
      </c>
      <c r="Q1145" s="64"/>
      <c r="R1145" s="64"/>
      <c r="S1145" s="64"/>
      <c r="T1145" s="64"/>
      <c r="U1145" s="64"/>
      <c r="V1145" s="64"/>
      <c r="W1145" s="64"/>
      <c r="X1145" s="64"/>
      <c r="Y1145" s="64"/>
      <c r="Z1145" s="64"/>
      <c r="AA1145" s="64"/>
      <c r="BS1145" s="74"/>
      <c r="CQ1145" s="37"/>
      <c r="CR1145" s="37"/>
    </row>
    <row r="1146" ht="18.75" customHeight="1">
      <c r="B1146" s="71"/>
      <c r="D1146" s="72"/>
      <c r="K1146" s="73"/>
      <c r="P1146" s="37" t="s">
        <v>29</v>
      </c>
      <c r="Q1146" s="64"/>
      <c r="R1146" s="64"/>
      <c r="S1146" s="64"/>
      <c r="T1146" s="64"/>
      <c r="U1146" s="64"/>
      <c r="V1146" s="64"/>
      <c r="W1146" s="64"/>
      <c r="X1146" s="64"/>
      <c r="Y1146" s="64"/>
      <c r="Z1146" s="64"/>
      <c r="AA1146" s="64"/>
      <c r="BS1146" s="74"/>
      <c r="CQ1146" s="37"/>
      <c r="CR1146" s="37"/>
    </row>
    <row r="1147" ht="18.75" customHeight="1">
      <c r="B1147" s="71"/>
      <c r="D1147" s="72"/>
      <c r="K1147" s="73"/>
      <c r="P1147" s="37" t="s">
        <v>29</v>
      </c>
      <c r="Q1147" s="64"/>
      <c r="R1147" s="64"/>
      <c r="S1147" s="64"/>
      <c r="T1147" s="64"/>
      <c r="U1147" s="64"/>
      <c r="V1147" s="64"/>
      <c r="W1147" s="64"/>
      <c r="X1147" s="64"/>
      <c r="Y1147" s="64"/>
      <c r="Z1147" s="64"/>
      <c r="AA1147" s="64"/>
      <c r="BS1147" s="74"/>
      <c r="CQ1147" s="37"/>
      <c r="CR1147" s="37"/>
    </row>
    <row r="1148" ht="18.75" customHeight="1">
      <c r="B1148" s="71"/>
      <c r="D1148" s="72"/>
      <c r="K1148" s="73"/>
      <c r="P1148" s="37" t="s">
        <v>29</v>
      </c>
      <c r="Q1148" s="64"/>
      <c r="R1148" s="64"/>
      <c r="S1148" s="64"/>
      <c r="T1148" s="64"/>
      <c r="U1148" s="64"/>
      <c r="V1148" s="64"/>
      <c r="W1148" s="64"/>
      <c r="X1148" s="64"/>
      <c r="Y1148" s="64"/>
      <c r="Z1148" s="64"/>
      <c r="AA1148" s="64"/>
      <c r="BS1148" s="74"/>
      <c r="CQ1148" s="37"/>
      <c r="CR1148" s="37"/>
    </row>
    <row r="1149" ht="18.75" customHeight="1">
      <c r="B1149" s="71"/>
      <c r="D1149" s="72"/>
      <c r="K1149" s="73"/>
      <c r="P1149" s="37" t="s">
        <v>29</v>
      </c>
      <c r="Q1149" s="64"/>
      <c r="R1149" s="64"/>
      <c r="S1149" s="64"/>
      <c r="T1149" s="64"/>
      <c r="U1149" s="64"/>
      <c r="V1149" s="64"/>
      <c r="W1149" s="64"/>
      <c r="X1149" s="64"/>
      <c r="Y1149" s="64"/>
      <c r="Z1149" s="64"/>
      <c r="AA1149" s="64"/>
      <c r="BS1149" s="74"/>
      <c r="CQ1149" s="37"/>
      <c r="CR1149" s="37"/>
    </row>
    <row r="1150" ht="18.75" customHeight="1">
      <c r="B1150" s="71"/>
      <c r="D1150" s="72"/>
      <c r="K1150" s="73"/>
      <c r="P1150" s="37" t="s">
        <v>29</v>
      </c>
      <c r="Q1150" s="64"/>
      <c r="R1150" s="64"/>
      <c r="S1150" s="64"/>
      <c r="T1150" s="64"/>
      <c r="U1150" s="64"/>
      <c r="V1150" s="64"/>
      <c r="W1150" s="64"/>
      <c r="X1150" s="64"/>
      <c r="Y1150" s="64"/>
      <c r="Z1150" s="64"/>
      <c r="AA1150" s="64"/>
      <c r="BS1150" s="74"/>
      <c r="CQ1150" s="37"/>
      <c r="CR1150" s="37"/>
    </row>
    <row r="1151" ht="18.75" customHeight="1">
      <c r="B1151" s="71"/>
      <c r="D1151" s="72"/>
      <c r="K1151" s="73"/>
      <c r="P1151" s="37" t="s">
        <v>29</v>
      </c>
      <c r="Q1151" s="64"/>
      <c r="R1151" s="64"/>
      <c r="S1151" s="64"/>
      <c r="T1151" s="64"/>
      <c r="U1151" s="64"/>
      <c r="V1151" s="64"/>
      <c r="W1151" s="64"/>
      <c r="X1151" s="64"/>
      <c r="Y1151" s="64"/>
      <c r="Z1151" s="64"/>
      <c r="AA1151" s="64"/>
      <c r="BS1151" s="74"/>
      <c r="CQ1151" s="37"/>
      <c r="CR1151" s="37"/>
    </row>
    <row r="1152" ht="18.75" customHeight="1">
      <c r="B1152" s="71"/>
      <c r="D1152" s="72"/>
      <c r="K1152" s="73"/>
      <c r="P1152" s="37" t="s">
        <v>29</v>
      </c>
      <c r="Q1152" s="64"/>
      <c r="R1152" s="64"/>
      <c r="S1152" s="64"/>
      <c r="T1152" s="64"/>
      <c r="U1152" s="64"/>
      <c r="V1152" s="64"/>
      <c r="W1152" s="64"/>
      <c r="X1152" s="64"/>
      <c r="Y1152" s="64"/>
      <c r="Z1152" s="64"/>
      <c r="AA1152" s="64"/>
      <c r="BS1152" s="74"/>
      <c r="CQ1152" s="37"/>
      <c r="CR1152" s="37"/>
    </row>
    <row r="1153" ht="18.75" customHeight="1">
      <c r="B1153" s="71"/>
      <c r="D1153" s="72"/>
      <c r="K1153" s="73"/>
      <c r="P1153" s="37" t="s">
        <v>29</v>
      </c>
      <c r="Q1153" s="64"/>
      <c r="R1153" s="64"/>
      <c r="S1153" s="64"/>
      <c r="T1153" s="64"/>
      <c r="U1153" s="64"/>
      <c r="V1153" s="64"/>
      <c r="W1153" s="64"/>
      <c r="X1153" s="64"/>
      <c r="Y1153" s="64"/>
      <c r="Z1153" s="64"/>
      <c r="AA1153" s="64"/>
      <c r="BS1153" s="74"/>
      <c r="CQ1153" s="37"/>
      <c r="CR1153" s="37"/>
    </row>
    <row r="1154" ht="18.75" customHeight="1">
      <c r="B1154" s="71"/>
      <c r="D1154" s="72"/>
      <c r="K1154" s="73"/>
      <c r="P1154" s="37" t="s">
        <v>29</v>
      </c>
      <c r="Q1154" s="64"/>
      <c r="R1154" s="64"/>
      <c r="S1154" s="64"/>
      <c r="T1154" s="64"/>
      <c r="U1154" s="64"/>
      <c r="V1154" s="64"/>
      <c r="W1154" s="64"/>
      <c r="X1154" s="64"/>
      <c r="Y1154" s="64"/>
      <c r="Z1154" s="64"/>
      <c r="AA1154" s="64"/>
      <c r="BS1154" s="74"/>
      <c r="CQ1154" s="37"/>
      <c r="CR1154" s="37"/>
    </row>
    <row r="1155" ht="18.75" customHeight="1">
      <c r="B1155" s="71"/>
      <c r="D1155" s="72"/>
      <c r="K1155" s="73"/>
      <c r="P1155" s="37" t="s">
        <v>29</v>
      </c>
      <c r="Q1155" s="64"/>
      <c r="R1155" s="64"/>
      <c r="S1155" s="64"/>
      <c r="T1155" s="64"/>
      <c r="U1155" s="64"/>
      <c r="V1155" s="64"/>
      <c r="W1155" s="64"/>
      <c r="X1155" s="64"/>
      <c r="Y1155" s="64"/>
      <c r="Z1155" s="64"/>
      <c r="AA1155" s="64"/>
      <c r="BS1155" s="74"/>
      <c r="CQ1155" s="37"/>
      <c r="CR1155" s="37"/>
    </row>
    <row r="1156" ht="18.75" customHeight="1">
      <c r="B1156" s="71"/>
      <c r="D1156" s="72"/>
      <c r="K1156" s="73"/>
      <c r="P1156" s="37" t="s">
        <v>29</v>
      </c>
      <c r="Q1156" s="64"/>
      <c r="R1156" s="64"/>
      <c r="S1156" s="64"/>
      <c r="T1156" s="64"/>
      <c r="U1156" s="64"/>
      <c r="V1156" s="64"/>
      <c r="W1156" s="64"/>
      <c r="X1156" s="64"/>
      <c r="Y1156" s="64"/>
      <c r="Z1156" s="64"/>
      <c r="AA1156" s="64"/>
      <c r="BS1156" s="74"/>
      <c r="CQ1156" s="37"/>
      <c r="CR1156" s="37"/>
    </row>
    <row r="1157" ht="18.75" customHeight="1">
      <c r="B1157" s="71"/>
      <c r="D1157" s="72"/>
      <c r="K1157" s="73"/>
      <c r="P1157" s="37" t="s">
        <v>29</v>
      </c>
      <c r="Q1157" s="64"/>
      <c r="R1157" s="64"/>
      <c r="S1157" s="64"/>
      <c r="T1157" s="64"/>
      <c r="U1157" s="64"/>
      <c r="V1157" s="64"/>
      <c r="W1157" s="64"/>
      <c r="X1157" s="64"/>
      <c r="Y1157" s="64"/>
      <c r="Z1157" s="64"/>
      <c r="AA1157" s="64"/>
      <c r="BS1157" s="74"/>
      <c r="CQ1157" s="37"/>
      <c r="CR1157" s="37"/>
    </row>
    <row r="1158" ht="18.75" customHeight="1">
      <c r="B1158" s="71"/>
      <c r="D1158" s="72"/>
      <c r="K1158" s="73"/>
      <c r="P1158" s="37" t="s">
        <v>29</v>
      </c>
      <c r="Q1158" s="64"/>
      <c r="R1158" s="64"/>
      <c r="S1158" s="64"/>
      <c r="T1158" s="64"/>
      <c r="U1158" s="64"/>
      <c r="V1158" s="64"/>
      <c r="W1158" s="64"/>
      <c r="X1158" s="64"/>
      <c r="Y1158" s="64"/>
      <c r="Z1158" s="64"/>
      <c r="AA1158" s="64"/>
      <c r="BS1158" s="74"/>
      <c r="CQ1158" s="37"/>
      <c r="CR1158" s="37"/>
    </row>
    <row r="1159" ht="18.75" customHeight="1">
      <c r="B1159" s="71"/>
      <c r="D1159" s="72"/>
      <c r="K1159" s="73"/>
      <c r="P1159" s="37" t="s">
        <v>29</v>
      </c>
      <c r="Q1159" s="64"/>
      <c r="R1159" s="64"/>
      <c r="S1159" s="64"/>
      <c r="T1159" s="64"/>
      <c r="U1159" s="64"/>
      <c r="V1159" s="64"/>
      <c r="W1159" s="64"/>
      <c r="X1159" s="64"/>
      <c r="Y1159" s="64"/>
      <c r="Z1159" s="64"/>
      <c r="AA1159" s="64"/>
      <c r="BS1159" s="74"/>
      <c r="CQ1159" s="37"/>
      <c r="CR1159" s="37"/>
    </row>
    <row r="1160" ht="18.75" customHeight="1">
      <c r="B1160" s="71"/>
      <c r="D1160" s="72"/>
      <c r="K1160" s="73"/>
      <c r="P1160" s="37" t="s">
        <v>29</v>
      </c>
      <c r="Q1160" s="64"/>
      <c r="R1160" s="64"/>
      <c r="S1160" s="64"/>
      <c r="T1160" s="64"/>
      <c r="U1160" s="64"/>
      <c r="V1160" s="64"/>
      <c r="W1160" s="64"/>
      <c r="X1160" s="64"/>
      <c r="Y1160" s="64"/>
      <c r="Z1160" s="64"/>
      <c r="AA1160" s="64"/>
      <c r="BS1160" s="74"/>
      <c r="CQ1160" s="37"/>
      <c r="CR1160" s="37"/>
    </row>
    <row r="1161" ht="18.75" customHeight="1">
      <c r="B1161" s="71"/>
      <c r="D1161" s="72"/>
      <c r="K1161" s="73"/>
      <c r="P1161" s="37" t="s">
        <v>29</v>
      </c>
      <c r="Q1161" s="64"/>
      <c r="R1161" s="64"/>
      <c r="S1161" s="64"/>
      <c r="T1161" s="64"/>
      <c r="U1161" s="64"/>
      <c r="V1161" s="64"/>
      <c r="W1161" s="64"/>
      <c r="X1161" s="64"/>
      <c r="Y1161" s="64"/>
      <c r="Z1161" s="64"/>
      <c r="AA1161" s="64"/>
      <c r="BS1161" s="74"/>
      <c r="CQ1161" s="37"/>
      <c r="CR1161" s="37"/>
    </row>
    <row r="1162" ht="18.75" customHeight="1">
      <c r="B1162" s="71"/>
      <c r="D1162" s="72"/>
      <c r="K1162" s="73"/>
      <c r="P1162" s="37" t="s">
        <v>29</v>
      </c>
      <c r="Q1162" s="64"/>
      <c r="R1162" s="64"/>
      <c r="S1162" s="64"/>
      <c r="T1162" s="64"/>
      <c r="U1162" s="64"/>
      <c r="V1162" s="64"/>
      <c r="W1162" s="64"/>
      <c r="X1162" s="64"/>
      <c r="Y1162" s="64"/>
      <c r="Z1162" s="64"/>
      <c r="AA1162" s="64"/>
      <c r="BS1162" s="74"/>
      <c r="CQ1162" s="37"/>
      <c r="CR1162" s="37"/>
    </row>
    <row r="1163" ht="18.75" customHeight="1">
      <c r="B1163" s="71"/>
      <c r="D1163" s="72"/>
      <c r="K1163" s="73"/>
      <c r="P1163" s="37" t="s">
        <v>29</v>
      </c>
      <c r="Q1163" s="64"/>
      <c r="R1163" s="64"/>
      <c r="S1163" s="64"/>
      <c r="T1163" s="64"/>
      <c r="U1163" s="64"/>
      <c r="V1163" s="64"/>
      <c r="W1163" s="64"/>
      <c r="X1163" s="64"/>
      <c r="Y1163" s="64"/>
      <c r="Z1163" s="64"/>
      <c r="AA1163" s="64"/>
      <c r="BS1163" s="74"/>
      <c r="CQ1163" s="37"/>
      <c r="CR1163" s="37"/>
    </row>
    <row r="1164" ht="18.75" customHeight="1">
      <c r="B1164" s="71"/>
      <c r="D1164" s="72"/>
      <c r="K1164" s="73"/>
      <c r="P1164" s="37" t="s">
        <v>29</v>
      </c>
      <c r="Q1164" s="64"/>
      <c r="R1164" s="64"/>
      <c r="S1164" s="64"/>
      <c r="T1164" s="64"/>
      <c r="U1164" s="64"/>
      <c r="V1164" s="64"/>
      <c r="W1164" s="64"/>
      <c r="X1164" s="64"/>
      <c r="Y1164" s="64"/>
      <c r="Z1164" s="64"/>
      <c r="AA1164" s="64"/>
      <c r="BS1164" s="74"/>
      <c r="CQ1164" s="37"/>
      <c r="CR1164" s="37"/>
    </row>
    <row r="1165" ht="18.75" customHeight="1">
      <c r="B1165" s="71"/>
      <c r="D1165" s="72"/>
      <c r="K1165" s="73"/>
      <c r="P1165" s="37" t="s">
        <v>29</v>
      </c>
      <c r="Q1165" s="64"/>
      <c r="R1165" s="64"/>
      <c r="S1165" s="64"/>
      <c r="T1165" s="64"/>
      <c r="U1165" s="64"/>
      <c r="V1165" s="64"/>
      <c r="W1165" s="64"/>
      <c r="X1165" s="64"/>
      <c r="Y1165" s="64"/>
      <c r="Z1165" s="64"/>
      <c r="AA1165" s="64"/>
      <c r="BS1165" s="74"/>
      <c r="CQ1165" s="37"/>
      <c r="CR1165" s="37"/>
    </row>
    <row r="1166" ht="18.75" customHeight="1">
      <c r="B1166" s="71"/>
      <c r="D1166" s="72"/>
      <c r="K1166" s="73"/>
      <c r="P1166" s="37" t="s">
        <v>29</v>
      </c>
      <c r="Q1166" s="64"/>
      <c r="R1166" s="64"/>
      <c r="S1166" s="64"/>
      <c r="T1166" s="64"/>
      <c r="U1166" s="64"/>
      <c r="V1166" s="64"/>
      <c r="W1166" s="64"/>
      <c r="X1166" s="64"/>
      <c r="Y1166" s="64"/>
      <c r="Z1166" s="64"/>
      <c r="AA1166" s="64"/>
      <c r="BS1166" s="74"/>
      <c r="CQ1166" s="37"/>
      <c r="CR1166" s="37"/>
    </row>
    <row r="1167" ht="18.75" customHeight="1">
      <c r="B1167" s="71"/>
      <c r="D1167" s="72"/>
      <c r="K1167" s="73"/>
      <c r="P1167" s="37" t="s">
        <v>29</v>
      </c>
      <c r="Q1167" s="64"/>
      <c r="R1167" s="64"/>
      <c r="S1167" s="64"/>
      <c r="T1167" s="64"/>
      <c r="U1167" s="64"/>
      <c r="V1167" s="64"/>
      <c r="W1167" s="64"/>
      <c r="X1167" s="64"/>
      <c r="Y1167" s="64"/>
      <c r="Z1167" s="64"/>
      <c r="AA1167" s="64"/>
      <c r="BS1167" s="74"/>
      <c r="CQ1167" s="37"/>
      <c r="CR1167" s="37"/>
    </row>
    <row r="1168" ht="18.75" customHeight="1">
      <c r="B1168" s="71"/>
      <c r="D1168" s="72"/>
      <c r="K1168" s="73"/>
      <c r="P1168" s="37" t="s">
        <v>29</v>
      </c>
      <c r="Q1168" s="64"/>
      <c r="R1168" s="64"/>
      <c r="S1168" s="64"/>
      <c r="T1168" s="64"/>
      <c r="U1168" s="64"/>
      <c r="V1168" s="64"/>
      <c r="W1168" s="64"/>
      <c r="X1168" s="64"/>
      <c r="Y1168" s="64"/>
      <c r="Z1168" s="64"/>
      <c r="AA1168" s="64"/>
      <c r="BS1168" s="74"/>
      <c r="CQ1168" s="37"/>
      <c r="CR1168" s="37"/>
    </row>
    <row r="1169" ht="18.75" customHeight="1">
      <c r="B1169" s="71"/>
      <c r="D1169" s="72"/>
      <c r="K1169" s="73"/>
      <c r="P1169" s="37" t="s">
        <v>29</v>
      </c>
      <c r="Q1169" s="64"/>
      <c r="R1169" s="64"/>
      <c r="S1169" s="64"/>
      <c r="T1169" s="64"/>
      <c r="U1169" s="64"/>
      <c r="V1169" s="64"/>
      <c r="W1169" s="64"/>
      <c r="X1169" s="64"/>
      <c r="Y1169" s="64"/>
      <c r="Z1169" s="64"/>
      <c r="AA1169" s="64"/>
      <c r="BS1169" s="74"/>
      <c r="CQ1169" s="37"/>
      <c r="CR1169" s="37"/>
    </row>
    <row r="1170" ht="18.75" customHeight="1">
      <c r="B1170" s="71"/>
      <c r="D1170" s="72"/>
      <c r="K1170" s="73"/>
      <c r="P1170" s="37" t="s">
        <v>29</v>
      </c>
      <c r="Q1170" s="64"/>
      <c r="R1170" s="64"/>
      <c r="S1170" s="64"/>
      <c r="T1170" s="64"/>
      <c r="U1170" s="64"/>
      <c r="V1170" s="64"/>
      <c r="W1170" s="64"/>
      <c r="X1170" s="64"/>
      <c r="Y1170" s="64"/>
      <c r="Z1170" s="64"/>
      <c r="AA1170" s="64"/>
      <c r="BS1170" s="74"/>
      <c r="CQ1170" s="37"/>
      <c r="CR1170" s="37"/>
    </row>
    <row r="1171" ht="18.75" customHeight="1">
      <c r="B1171" s="71"/>
      <c r="D1171" s="72"/>
      <c r="K1171" s="73"/>
      <c r="P1171" s="37" t="s">
        <v>29</v>
      </c>
      <c r="Q1171" s="64"/>
      <c r="R1171" s="64"/>
      <c r="S1171" s="64"/>
      <c r="T1171" s="64"/>
      <c r="U1171" s="64"/>
      <c r="V1171" s="64"/>
      <c r="W1171" s="64"/>
      <c r="X1171" s="64"/>
      <c r="Y1171" s="64"/>
      <c r="Z1171" s="64"/>
      <c r="AA1171" s="64"/>
      <c r="BS1171" s="74"/>
      <c r="CQ1171" s="37"/>
      <c r="CR1171" s="37"/>
    </row>
    <row r="1172" ht="18.75" customHeight="1">
      <c r="B1172" s="71"/>
      <c r="D1172" s="72"/>
      <c r="K1172" s="73"/>
      <c r="P1172" s="37" t="s">
        <v>29</v>
      </c>
      <c r="Q1172" s="64"/>
      <c r="R1172" s="64"/>
      <c r="S1172" s="64"/>
      <c r="T1172" s="64"/>
      <c r="U1172" s="64"/>
      <c r="V1172" s="64"/>
      <c r="W1172" s="64"/>
      <c r="X1172" s="64"/>
      <c r="Y1172" s="64"/>
      <c r="Z1172" s="64"/>
      <c r="AA1172" s="64"/>
      <c r="BS1172" s="74"/>
      <c r="CQ1172" s="37"/>
      <c r="CR1172" s="37"/>
    </row>
    <row r="1173" ht="18.75" customHeight="1">
      <c r="B1173" s="71"/>
      <c r="D1173" s="72"/>
      <c r="K1173" s="73"/>
      <c r="P1173" s="37" t="s">
        <v>29</v>
      </c>
      <c r="Q1173" s="64"/>
      <c r="R1173" s="64"/>
      <c r="S1173" s="64"/>
      <c r="T1173" s="64"/>
      <c r="U1173" s="64"/>
      <c r="V1173" s="64"/>
      <c r="W1173" s="64"/>
      <c r="X1173" s="64"/>
      <c r="Y1173" s="64"/>
      <c r="Z1173" s="64"/>
      <c r="AA1173" s="64"/>
      <c r="BS1173" s="74"/>
      <c r="CQ1173" s="37"/>
      <c r="CR1173" s="37"/>
    </row>
    <row r="1174" ht="18.75" customHeight="1">
      <c r="B1174" s="71"/>
      <c r="D1174" s="72"/>
      <c r="K1174" s="73"/>
      <c r="P1174" s="37" t="s">
        <v>29</v>
      </c>
      <c r="Q1174" s="64"/>
      <c r="R1174" s="64"/>
      <c r="S1174" s="64"/>
      <c r="T1174" s="64"/>
      <c r="U1174" s="64"/>
      <c r="V1174" s="64"/>
      <c r="W1174" s="64"/>
      <c r="X1174" s="64"/>
      <c r="Y1174" s="64"/>
      <c r="Z1174" s="64"/>
      <c r="AA1174" s="64"/>
      <c r="BS1174" s="74"/>
      <c r="CQ1174" s="37"/>
      <c r="CR1174" s="37"/>
    </row>
    <row r="1175" ht="18.75" customHeight="1">
      <c r="B1175" s="71"/>
      <c r="D1175" s="72"/>
      <c r="K1175" s="73"/>
      <c r="P1175" s="37" t="s">
        <v>29</v>
      </c>
      <c r="Q1175" s="64"/>
      <c r="R1175" s="64"/>
      <c r="S1175" s="64"/>
      <c r="T1175" s="64"/>
      <c r="U1175" s="64"/>
      <c r="V1175" s="64"/>
      <c r="W1175" s="64"/>
      <c r="X1175" s="64"/>
      <c r="Y1175" s="64"/>
      <c r="Z1175" s="64"/>
      <c r="AA1175" s="64"/>
      <c r="BS1175" s="74"/>
      <c r="CQ1175" s="37"/>
      <c r="CR1175" s="37"/>
    </row>
    <row r="1176" ht="18.75" customHeight="1">
      <c r="B1176" s="71"/>
      <c r="D1176" s="72"/>
      <c r="K1176" s="73"/>
      <c r="P1176" s="37" t="s">
        <v>29</v>
      </c>
      <c r="Q1176" s="64"/>
      <c r="R1176" s="64"/>
      <c r="S1176" s="64"/>
      <c r="T1176" s="64"/>
      <c r="U1176" s="64"/>
      <c r="V1176" s="64"/>
      <c r="W1176" s="64"/>
      <c r="X1176" s="64"/>
      <c r="Y1176" s="64"/>
      <c r="Z1176" s="64"/>
      <c r="AA1176" s="64"/>
      <c r="BS1176" s="74"/>
      <c r="CQ1176" s="37"/>
      <c r="CR1176" s="37"/>
    </row>
    <row r="1177" ht="18.75" customHeight="1">
      <c r="B1177" s="71"/>
      <c r="D1177" s="72"/>
      <c r="K1177" s="73"/>
      <c r="P1177" s="37" t="s">
        <v>29</v>
      </c>
      <c r="Q1177" s="64"/>
      <c r="R1177" s="64"/>
      <c r="S1177" s="64"/>
      <c r="T1177" s="64"/>
      <c r="U1177" s="64"/>
      <c r="V1177" s="64"/>
      <c r="W1177" s="64"/>
      <c r="X1177" s="64"/>
      <c r="Y1177" s="64"/>
      <c r="Z1177" s="64"/>
      <c r="AA1177" s="64"/>
      <c r="BS1177" s="74"/>
      <c r="CQ1177" s="37"/>
      <c r="CR1177" s="37"/>
    </row>
    <row r="1178" ht="18.75" customHeight="1">
      <c r="B1178" s="71"/>
      <c r="D1178" s="72"/>
      <c r="K1178" s="73"/>
      <c r="P1178" s="37" t="s">
        <v>29</v>
      </c>
      <c r="Q1178" s="64"/>
      <c r="R1178" s="64"/>
      <c r="S1178" s="64"/>
      <c r="T1178" s="64"/>
      <c r="U1178" s="64"/>
      <c r="V1178" s="64"/>
      <c r="W1178" s="64"/>
      <c r="X1178" s="64"/>
      <c r="Y1178" s="64"/>
      <c r="Z1178" s="64"/>
      <c r="AA1178" s="64"/>
      <c r="BS1178" s="74"/>
      <c r="CQ1178" s="37"/>
      <c r="CR1178" s="37"/>
    </row>
    <row r="1179" ht="18.75" customHeight="1">
      <c r="B1179" s="71"/>
      <c r="D1179" s="72"/>
      <c r="K1179" s="73"/>
      <c r="P1179" s="37" t="s">
        <v>29</v>
      </c>
      <c r="Q1179" s="64"/>
      <c r="R1179" s="64"/>
      <c r="S1179" s="64"/>
      <c r="T1179" s="64"/>
      <c r="U1179" s="64"/>
      <c r="V1179" s="64"/>
      <c r="W1179" s="64"/>
      <c r="X1179" s="64"/>
      <c r="Y1179" s="64"/>
      <c r="Z1179" s="64"/>
      <c r="AA1179" s="64"/>
      <c r="BS1179" s="74"/>
      <c r="CQ1179" s="37"/>
      <c r="CR1179" s="37"/>
    </row>
    <row r="1180" ht="18.75" customHeight="1">
      <c r="B1180" s="71"/>
      <c r="D1180" s="72"/>
      <c r="K1180" s="73"/>
      <c r="P1180" s="37" t="s">
        <v>29</v>
      </c>
      <c r="Q1180" s="64"/>
      <c r="R1180" s="64"/>
      <c r="S1180" s="64"/>
      <c r="T1180" s="64"/>
      <c r="U1180" s="64"/>
      <c r="V1180" s="64"/>
      <c r="W1180" s="64"/>
      <c r="X1180" s="64"/>
      <c r="Y1180" s="64"/>
      <c r="Z1180" s="64"/>
      <c r="AA1180" s="64"/>
      <c r="BS1180" s="74"/>
      <c r="CQ1180" s="37"/>
      <c r="CR1180" s="37"/>
    </row>
    <row r="1181" ht="18.75" customHeight="1">
      <c r="B1181" s="71"/>
      <c r="D1181" s="72"/>
      <c r="K1181" s="73"/>
      <c r="P1181" s="37" t="s">
        <v>29</v>
      </c>
      <c r="Q1181" s="64"/>
      <c r="R1181" s="64"/>
      <c r="S1181" s="64"/>
      <c r="T1181" s="64"/>
      <c r="U1181" s="64"/>
      <c r="V1181" s="64"/>
      <c r="W1181" s="64"/>
      <c r="X1181" s="64"/>
      <c r="Y1181" s="64"/>
      <c r="Z1181" s="64"/>
      <c r="AA1181" s="64"/>
      <c r="BS1181" s="74"/>
      <c r="CQ1181" s="37"/>
      <c r="CR1181" s="37"/>
    </row>
    <row r="1182" ht="18.75" customHeight="1">
      <c r="B1182" s="71"/>
      <c r="D1182" s="72"/>
      <c r="K1182" s="73"/>
      <c r="P1182" s="37" t="s">
        <v>29</v>
      </c>
      <c r="Q1182" s="64"/>
      <c r="R1182" s="64"/>
      <c r="S1182" s="64"/>
      <c r="T1182" s="64"/>
      <c r="U1182" s="64"/>
      <c r="V1182" s="64"/>
      <c r="W1182" s="64"/>
      <c r="X1182" s="64"/>
      <c r="Y1182" s="64"/>
      <c r="Z1182" s="64"/>
      <c r="AA1182" s="64"/>
      <c r="BS1182" s="74"/>
      <c r="CQ1182" s="37"/>
      <c r="CR1182" s="37"/>
    </row>
    <row r="1183" ht="18.75" customHeight="1">
      <c r="B1183" s="71"/>
      <c r="D1183" s="72"/>
      <c r="K1183" s="73"/>
      <c r="P1183" s="37" t="s">
        <v>29</v>
      </c>
      <c r="Q1183" s="64"/>
      <c r="R1183" s="64"/>
      <c r="S1183" s="64"/>
      <c r="T1183" s="64"/>
      <c r="U1183" s="64"/>
      <c r="V1183" s="64"/>
      <c r="W1183" s="64"/>
      <c r="X1183" s="64"/>
      <c r="Y1183" s="64"/>
      <c r="Z1183" s="64"/>
      <c r="AA1183" s="64"/>
      <c r="BS1183" s="74"/>
      <c r="CQ1183" s="37"/>
      <c r="CR1183" s="37"/>
    </row>
    <row r="1184" ht="18.75" customHeight="1">
      <c r="B1184" s="71"/>
      <c r="D1184" s="72"/>
      <c r="K1184" s="73"/>
      <c r="P1184" s="37" t="s">
        <v>29</v>
      </c>
      <c r="Q1184" s="64"/>
      <c r="R1184" s="64"/>
      <c r="S1184" s="64"/>
      <c r="T1184" s="64"/>
      <c r="U1184" s="64"/>
      <c r="V1184" s="64"/>
      <c r="W1184" s="64"/>
      <c r="X1184" s="64"/>
      <c r="Y1184" s="64"/>
      <c r="Z1184" s="64"/>
      <c r="AA1184" s="64"/>
      <c r="BS1184" s="74"/>
      <c r="CQ1184" s="37"/>
      <c r="CR1184" s="37"/>
    </row>
    <row r="1185" ht="18.75" customHeight="1">
      <c r="B1185" s="71"/>
      <c r="D1185" s="72"/>
      <c r="K1185" s="73"/>
      <c r="P1185" s="37" t="s">
        <v>29</v>
      </c>
      <c r="Q1185" s="64"/>
      <c r="R1185" s="64"/>
      <c r="S1185" s="64"/>
      <c r="T1185" s="64"/>
      <c r="U1185" s="64"/>
      <c r="V1185" s="64"/>
      <c r="W1185" s="64"/>
      <c r="X1185" s="64"/>
      <c r="Y1185" s="64"/>
      <c r="Z1185" s="64"/>
      <c r="AA1185" s="64"/>
      <c r="BS1185" s="74"/>
      <c r="CQ1185" s="37"/>
      <c r="CR1185" s="37"/>
    </row>
    <row r="1186" ht="18.75" customHeight="1">
      <c r="B1186" s="71"/>
      <c r="D1186" s="72"/>
      <c r="K1186" s="73"/>
      <c r="P1186" s="37" t="s">
        <v>29</v>
      </c>
      <c r="Q1186" s="64"/>
      <c r="R1186" s="64"/>
      <c r="S1186" s="64"/>
      <c r="T1186" s="64"/>
      <c r="U1186" s="64"/>
      <c r="V1186" s="64"/>
      <c r="W1186" s="64"/>
      <c r="X1186" s="64"/>
      <c r="Y1186" s="64"/>
      <c r="Z1186" s="64"/>
      <c r="AA1186" s="64"/>
      <c r="BS1186" s="74"/>
      <c r="CQ1186" s="37"/>
      <c r="CR1186" s="37"/>
    </row>
    <row r="1187" ht="18.75" customHeight="1">
      <c r="B1187" s="71"/>
      <c r="D1187" s="72"/>
      <c r="K1187" s="73"/>
      <c r="P1187" s="37" t="s">
        <v>29</v>
      </c>
      <c r="Q1187" s="64"/>
      <c r="R1187" s="64"/>
      <c r="S1187" s="64"/>
      <c r="T1187" s="64"/>
      <c r="U1187" s="64"/>
      <c r="V1187" s="64"/>
      <c r="W1187" s="64"/>
      <c r="X1187" s="64"/>
      <c r="Y1187" s="64"/>
      <c r="Z1187" s="64"/>
      <c r="AA1187" s="64"/>
      <c r="BS1187" s="74"/>
      <c r="CQ1187" s="37"/>
      <c r="CR1187" s="37"/>
    </row>
    <row r="1188" ht="18.75" customHeight="1">
      <c r="B1188" s="71"/>
      <c r="D1188" s="72"/>
      <c r="K1188" s="73"/>
      <c r="P1188" s="37" t="s">
        <v>29</v>
      </c>
      <c r="Q1188" s="64"/>
      <c r="R1188" s="64"/>
      <c r="S1188" s="64"/>
      <c r="T1188" s="64"/>
      <c r="U1188" s="64"/>
      <c r="V1188" s="64"/>
      <c r="W1188" s="64"/>
      <c r="X1188" s="64"/>
      <c r="Y1188" s="64"/>
      <c r="Z1188" s="64"/>
      <c r="AA1188" s="64"/>
      <c r="BS1188" s="74"/>
      <c r="CQ1188" s="37"/>
      <c r="CR1188" s="37"/>
    </row>
    <row r="1189" ht="18.75" customHeight="1">
      <c r="B1189" s="71"/>
      <c r="D1189" s="72"/>
      <c r="K1189" s="73"/>
      <c r="P1189" s="37" t="s">
        <v>29</v>
      </c>
      <c r="Q1189" s="64"/>
      <c r="R1189" s="64"/>
      <c r="S1189" s="64"/>
      <c r="T1189" s="64"/>
      <c r="U1189" s="64"/>
      <c r="V1189" s="64"/>
      <c r="W1189" s="64"/>
      <c r="X1189" s="64"/>
      <c r="Y1189" s="64"/>
      <c r="Z1189" s="64"/>
      <c r="AA1189" s="64"/>
      <c r="BS1189" s="74"/>
      <c r="CQ1189" s="37"/>
      <c r="CR1189" s="37"/>
    </row>
    <row r="1190" ht="18.75" customHeight="1">
      <c r="B1190" s="71"/>
      <c r="D1190" s="72"/>
      <c r="K1190" s="73"/>
      <c r="P1190" s="37" t="s">
        <v>29</v>
      </c>
      <c r="Q1190" s="64"/>
      <c r="R1190" s="64"/>
      <c r="S1190" s="64"/>
      <c r="T1190" s="64"/>
      <c r="U1190" s="64"/>
      <c r="V1190" s="64"/>
      <c r="W1190" s="64"/>
      <c r="X1190" s="64"/>
      <c r="Y1190" s="64"/>
      <c r="Z1190" s="64"/>
      <c r="AA1190" s="64"/>
      <c r="BS1190" s="74"/>
      <c r="CQ1190" s="37"/>
      <c r="CR1190" s="37"/>
    </row>
    <row r="1191" ht="18.75" customHeight="1">
      <c r="B1191" s="71"/>
      <c r="D1191" s="72"/>
      <c r="K1191" s="73"/>
      <c r="P1191" s="37" t="s">
        <v>29</v>
      </c>
      <c r="Q1191" s="64"/>
      <c r="R1191" s="64"/>
      <c r="S1191" s="64"/>
      <c r="T1191" s="64"/>
      <c r="U1191" s="64"/>
      <c r="V1191" s="64"/>
      <c r="W1191" s="64"/>
      <c r="X1191" s="64"/>
      <c r="Y1191" s="64"/>
      <c r="Z1191" s="64"/>
      <c r="AA1191" s="64"/>
      <c r="BS1191" s="74"/>
      <c r="CQ1191" s="37"/>
      <c r="CR1191" s="37"/>
    </row>
    <row r="1192" ht="18.75" customHeight="1">
      <c r="B1192" s="71"/>
      <c r="D1192" s="72"/>
      <c r="K1192" s="73"/>
      <c r="P1192" s="37" t="s">
        <v>29</v>
      </c>
      <c r="Q1192" s="64"/>
      <c r="R1192" s="64"/>
      <c r="S1192" s="64"/>
      <c r="T1192" s="64"/>
      <c r="U1192" s="64"/>
      <c r="V1192" s="64"/>
      <c r="W1192" s="64"/>
      <c r="X1192" s="64"/>
      <c r="Y1192" s="64"/>
      <c r="Z1192" s="64"/>
      <c r="AA1192" s="64"/>
      <c r="BS1192" s="74"/>
      <c r="CQ1192" s="37"/>
      <c r="CR1192" s="37"/>
    </row>
    <row r="1193" ht="18.75" customHeight="1">
      <c r="B1193" s="71"/>
      <c r="D1193" s="72"/>
      <c r="K1193" s="73"/>
      <c r="P1193" s="37" t="s">
        <v>29</v>
      </c>
      <c r="Q1193" s="64"/>
      <c r="R1193" s="64"/>
      <c r="S1193" s="64"/>
      <c r="T1193" s="64"/>
      <c r="U1193" s="64"/>
      <c r="V1193" s="64"/>
      <c r="W1193" s="64"/>
      <c r="X1193" s="64"/>
      <c r="Y1193" s="64"/>
      <c r="Z1193" s="64"/>
      <c r="AA1193" s="64"/>
      <c r="BS1193" s="74"/>
      <c r="CQ1193" s="37"/>
      <c r="CR1193" s="37"/>
    </row>
    <row r="1194" ht="18.75" customHeight="1">
      <c r="B1194" s="71"/>
      <c r="D1194" s="72"/>
      <c r="K1194" s="73"/>
      <c r="P1194" s="37" t="s">
        <v>29</v>
      </c>
      <c r="Q1194" s="64"/>
      <c r="R1194" s="64"/>
      <c r="S1194" s="64"/>
      <c r="T1194" s="64"/>
      <c r="U1194" s="64"/>
      <c r="V1194" s="64"/>
      <c r="W1194" s="64"/>
      <c r="X1194" s="64"/>
      <c r="Y1194" s="64"/>
      <c r="Z1194" s="64"/>
      <c r="AA1194" s="64"/>
      <c r="BS1194" s="74"/>
      <c r="CQ1194" s="37"/>
      <c r="CR1194" s="37"/>
    </row>
    <row r="1195" ht="18.75" customHeight="1">
      <c r="B1195" s="71"/>
      <c r="D1195" s="72"/>
      <c r="K1195" s="73"/>
      <c r="P1195" s="37" t="s">
        <v>29</v>
      </c>
      <c r="Q1195" s="64"/>
      <c r="R1195" s="64"/>
      <c r="S1195" s="64"/>
      <c r="T1195" s="64"/>
      <c r="U1195" s="64"/>
      <c r="V1195" s="64"/>
      <c r="W1195" s="64"/>
      <c r="X1195" s="64"/>
      <c r="Y1195" s="64"/>
      <c r="Z1195" s="64"/>
      <c r="AA1195" s="64"/>
      <c r="BS1195" s="74"/>
      <c r="CQ1195" s="37"/>
      <c r="CR1195" s="37"/>
    </row>
    <row r="1196" ht="18.75" customHeight="1">
      <c r="B1196" s="71"/>
      <c r="D1196" s="72"/>
      <c r="K1196" s="73"/>
      <c r="P1196" s="37" t="s">
        <v>29</v>
      </c>
      <c r="Q1196" s="64"/>
      <c r="R1196" s="64"/>
      <c r="S1196" s="64"/>
      <c r="T1196" s="64"/>
      <c r="U1196" s="64"/>
      <c r="V1196" s="64"/>
      <c r="W1196" s="64"/>
      <c r="X1196" s="64"/>
      <c r="Y1196" s="64"/>
      <c r="Z1196" s="64"/>
      <c r="AA1196" s="64"/>
      <c r="BS1196" s="74"/>
      <c r="CQ1196" s="37"/>
      <c r="CR1196" s="37"/>
    </row>
    <row r="1197" ht="18.75" customHeight="1">
      <c r="B1197" s="71"/>
      <c r="D1197" s="72"/>
      <c r="K1197" s="73"/>
      <c r="P1197" s="37" t="s">
        <v>29</v>
      </c>
      <c r="Q1197" s="64"/>
      <c r="R1197" s="64"/>
      <c r="S1197" s="64"/>
      <c r="T1197" s="64"/>
      <c r="U1197" s="64"/>
      <c r="V1197" s="64"/>
      <c r="W1197" s="64"/>
      <c r="X1197" s="64"/>
      <c r="Y1197" s="64"/>
      <c r="Z1197" s="64"/>
      <c r="AA1197" s="64"/>
      <c r="BS1197" s="74"/>
      <c r="CQ1197" s="37"/>
      <c r="CR1197" s="37"/>
    </row>
    <row r="1198" ht="18.75" customHeight="1">
      <c r="B1198" s="85"/>
      <c r="D1198" s="72"/>
      <c r="K1198" s="73"/>
      <c r="P1198" s="37" t="s">
        <v>29</v>
      </c>
      <c r="Q1198" s="64"/>
      <c r="R1198" s="64"/>
      <c r="S1198" s="64"/>
      <c r="T1198" s="64"/>
      <c r="U1198" s="64"/>
      <c r="V1198" s="64"/>
      <c r="W1198" s="64"/>
      <c r="X1198" s="64"/>
      <c r="Y1198" s="64"/>
      <c r="Z1198" s="64"/>
      <c r="AA1198" s="64"/>
      <c r="BS1198" s="74"/>
      <c r="CQ1198" s="37"/>
      <c r="CR1198" s="37"/>
    </row>
    <row r="1199" ht="18.75" customHeight="1">
      <c r="B1199" s="71"/>
      <c r="D1199" s="72"/>
      <c r="K1199" s="73"/>
      <c r="P1199" s="37" t="s">
        <v>29</v>
      </c>
      <c r="Q1199" s="64"/>
      <c r="R1199" s="64"/>
      <c r="S1199" s="64"/>
      <c r="T1199" s="64"/>
      <c r="U1199" s="64"/>
      <c r="V1199" s="64"/>
      <c r="W1199" s="64"/>
      <c r="X1199" s="64"/>
      <c r="Y1199" s="64"/>
      <c r="Z1199" s="64"/>
      <c r="AA1199" s="64"/>
      <c r="BS1199" s="74"/>
      <c r="CQ1199" s="37"/>
      <c r="CR1199" s="37"/>
    </row>
    <row r="1200" ht="18.75" customHeight="1">
      <c r="A1200" s="25"/>
      <c r="B1200" s="71"/>
      <c r="D1200" s="72"/>
      <c r="K1200" s="73"/>
      <c r="P1200" s="37" t="s">
        <v>29</v>
      </c>
      <c r="Q1200" s="64"/>
      <c r="R1200" s="64"/>
      <c r="S1200" s="64"/>
      <c r="T1200" s="64"/>
      <c r="U1200" s="64"/>
      <c r="V1200" s="64"/>
      <c r="W1200" s="64"/>
      <c r="X1200" s="64"/>
      <c r="Y1200" s="64"/>
      <c r="Z1200" s="64"/>
      <c r="AA1200" s="64"/>
      <c r="AB1200" s="64"/>
      <c r="AC1200" s="64"/>
      <c r="AD1200" s="64"/>
      <c r="AE1200" s="64"/>
      <c r="AF1200" s="64"/>
      <c r="AG1200" s="64"/>
      <c r="AH1200" s="64"/>
      <c r="AI1200" s="64"/>
      <c r="AJ1200" s="64"/>
      <c r="BS1200" s="74"/>
      <c r="CQ1200" s="37"/>
      <c r="CR1200" s="37"/>
    </row>
    <row r="1201" ht="18.75" customHeight="1">
      <c r="B1201" s="71"/>
      <c r="D1201" s="72"/>
      <c r="K1201" s="73"/>
      <c r="P1201" s="37" t="s">
        <v>29</v>
      </c>
      <c r="Q1201" s="64"/>
      <c r="R1201" s="64"/>
      <c r="S1201" s="64"/>
      <c r="T1201" s="64"/>
      <c r="U1201" s="64"/>
      <c r="V1201" s="64"/>
      <c r="W1201" s="64"/>
      <c r="X1201" s="64"/>
      <c r="Y1201" s="64"/>
      <c r="Z1201" s="64"/>
      <c r="AA1201" s="64"/>
      <c r="BS1201" s="74"/>
      <c r="CQ1201" s="37"/>
      <c r="CR1201" s="37"/>
    </row>
    <row r="1202" ht="18.75" customHeight="1">
      <c r="B1202" s="71"/>
      <c r="D1202" s="72"/>
      <c r="K1202" s="73"/>
      <c r="P1202" s="37" t="s">
        <v>29</v>
      </c>
      <c r="Q1202" s="64"/>
      <c r="R1202" s="64"/>
      <c r="S1202" s="64"/>
      <c r="T1202" s="64"/>
      <c r="U1202" s="64"/>
      <c r="V1202" s="64"/>
      <c r="W1202" s="64"/>
      <c r="X1202" s="64"/>
      <c r="Y1202" s="64"/>
      <c r="Z1202" s="64"/>
      <c r="AA1202" s="64"/>
      <c r="BS1202" s="74"/>
      <c r="CQ1202" s="37"/>
      <c r="CR1202" s="37"/>
    </row>
    <row r="1203" ht="18.75" customHeight="1">
      <c r="B1203" s="71"/>
      <c r="D1203" s="72"/>
      <c r="K1203" s="73"/>
      <c r="P1203" s="37" t="s">
        <v>29</v>
      </c>
      <c r="Q1203" s="64"/>
      <c r="R1203" s="64"/>
      <c r="S1203" s="64"/>
      <c r="T1203" s="64"/>
      <c r="U1203" s="64"/>
      <c r="V1203" s="64"/>
      <c r="W1203" s="64"/>
      <c r="X1203" s="64"/>
      <c r="Y1203" s="64"/>
      <c r="Z1203" s="64"/>
      <c r="AA1203" s="64"/>
      <c r="BS1203" s="74"/>
      <c r="CQ1203" s="37"/>
      <c r="CR1203" s="37"/>
    </row>
    <row r="1204" ht="18.75" customHeight="1">
      <c r="B1204" s="71"/>
      <c r="D1204" s="72"/>
      <c r="K1204" s="73"/>
      <c r="P1204" s="37" t="s">
        <v>29</v>
      </c>
      <c r="Q1204" s="64"/>
      <c r="R1204" s="64"/>
      <c r="S1204" s="64"/>
      <c r="T1204" s="64"/>
      <c r="U1204" s="64"/>
      <c r="V1204" s="64"/>
      <c r="W1204" s="64"/>
      <c r="X1204" s="64"/>
      <c r="Y1204" s="64"/>
      <c r="Z1204" s="64"/>
      <c r="AA1204" s="64"/>
      <c r="BS1204" s="74"/>
      <c r="CQ1204" s="37"/>
      <c r="CR1204" s="37"/>
    </row>
    <row r="1205" ht="18.75" customHeight="1">
      <c r="B1205" s="71"/>
      <c r="D1205" s="72"/>
      <c r="K1205" s="73"/>
      <c r="P1205" s="37" t="s">
        <v>29</v>
      </c>
      <c r="Q1205" s="64"/>
      <c r="R1205" s="64"/>
      <c r="S1205" s="64"/>
      <c r="T1205" s="64"/>
      <c r="U1205" s="64"/>
      <c r="V1205" s="64"/>
      <c r="W1205" s="64"/>
      <c r="X1205" s="64"/>
      <c r="Y1205" s="64"/>
      <c r="Z1205" s="64"/>
      <c r="AA1205" s="64"/>
      <c r="BS1205" s="74"/>
      <c r="CQ1205" s="37"/>
      <c r="CR1205" s="37"/>
    </row>
    <row r="1206" ht="18.75" customHeight="1">
      <c r="B1206" s="71"/>
      <c r="D1206" s="72"/>
      <c r="K1206" s="73"/>
      <c r="P1206" s="37" t="s">
        <v>29</v>
      </c>
      <c r="Q1206" s="64"/>
      <c r="R1206" s="64"/>
      <c r="S1206" s="64"/>
      <c r="T1206" s="64"/>
      <c r="U1206" s="64"/>
      <c r="V1206" s="64"/>
      <c r="W1206" s="64"/>
      <c r="X1206" s="64"/>
      <c r="Y1206" s="64"/>
      <c r="Z1206" s="64"/>
      <c r="AA1206" s="64"/>
      <c r="BS1206" s="74"/>
      <c r="CQ1206" s="37"/>
      <c r="CR1206" s="37"/>
    </row>
    <row r="1207" ht="18.75" customHeight="1">
      <c r="B1207" s="71"/>
      <c r="D1207" s="72"/>
      <c r="K1207" s="73"/>
      <c r="P1207" s="37" t="s">
        <v>29</v>
      </c>
      <c r="Q1207" s="64"/>
      <c r="R1207" s="64"/>
      <c r="S1207" s="64"/>
      <c r="T1207" s="64"/>
      <c r="U1207" s="64"/>
      <c r="V1207" s="64"/>
      <c r="W1207" s="64"/>
      <c r="X1207" s="64"/>
      <c r="Y1207" s="64"/>
      <c r="Z1207" s="64"/>
      <c r="AA1207" s="64"/>
      <c r="BS1207" s="74"/>
      <c r="CQ1207" s="37"/>
      <c r="CR1207" s="37"/>
    </row>
    <row r="1208" ht="18.75" customHeight="1">
      <c r="B1208" s="71"/>
      <c r="D1208" s="72"/>
      <c r="K1208" s="73"/>
      <c r="P1208" s="37" t="s">
        <v>29</v>
      </c>
      <c r="Q1208" s="64"/>
      <c r="R1208" s="64"/>
      <c r="S1208" s="64"/>
      <c r="T1208" s="64"/>
      <c r="U1208" s="64"/>
      <c r="V1208" s="64"/>
      <c r="W1208" s="64"/>
      <c r="X1208" s="64"/>
      <c r="Y1208" s="64"/>
      <c r="Z1208" s="64"/>
      <c r="AA1208" s="64"/>
      <c r="BS1208" s="74"/>
      <c r="CQ1208" s="37"/>
      <c r="CR1208" s="37"/>
    </row>
    <row r="1209" ht="18.75" customHeight="1">
      <c r="B1209" s="71"/>
      <c r="D1209" s="72"/>
      <c r="K1209" s="73"/>
      <c r="P1209" s="37" t="s">
        <v>29</v>
      </c>
      <c r="Q1209" s="64"/>
      <c r="R1209" s="64"/>
      <c r="S1209" s="64"/>
      <c r="T1209" s="64"/>
      <c r="U1209" s="64"/>
      <c r="V1209" s="64"/>
      <c r="W1209" s="64"/>
      <c r="X1209" s="64"/>
      <c r="Y1209" s="64"/>
      <c r="Z1209" s="64"/>
      <c r="AA1209" s="64"/>
      <c r="BS1209" s="74"/>
      <c r="CQ1209" s="37"/>
      <c r="CR1209" s="37"/>
    </row>
    <row r="1210" ht="18.75" customHeight="1">
      <c r="B1210" s="71"/>
      <c r="D1210" s="72"/>
      <c r="K1210" s="73"/>
      <c r="P1210" s="37" t="s">
        <v>29</v>
      </c>
      <c r="Q1210" s="64"/>
      <c r="R1210" s="64"/>
      <c r="S1210" s="64"/>
      <c r="T1210" s="64"/>
      <c r="U1210" s="64"/>
      <c r="V1210" s="64"/>
      <c r="W1210" s="64"/>
      <c r="X1210" s="64"/>
      <c r="Y1210" s="64"/>
      <c r="Z1210" s="64"/>
      <c r="AA1210" s="64"/>
      <c r="BS1210" s="74"/>
      <c r="CQ1210" s="37"/>
      <c r="CR1210" s="37"/>
    </row>
    <row r="1211" ht="18.75" customHeight="1">
      <c r="B1211" s="71"/>
      <c r="D1211" s="72"/>
      <c r="K1211" s="73"/>
      <c r="P1211" s="37" t="s">
        <v>29</v>
      </c>
      <c r="Q1211" s="64"/>
      <c r="R1211" s="64"/>
      <c r="S1211" s="64"/>
      <c r="T1211" s="64"/>
      <c r="U1211" s="64"/>
      <c r="V1211" s="64"/>
      <c r="W1211" s="64"/>
      <c r="X1211" s="64"/>
      <c r="Y1211" s="64"/>
      <c r="Z1211" s="64"/>
      <c r="AA1211" s="64"/>
      <c r="BS1211" s="74"/>
      <c r="CQ1211" s="37"/>
      <c r="CR1211" s="37"/>
    </row>
    <row r="1212" ht="18.75" customHeight="1">
      <c r="B1212" s="71"/>
      <c r="D1212" s="72"/>
      <c r="K1212" s="73"/>
      <c r="P1212" s="37" t="s">
        <v>29</v>
      </c>
      <c r="Q1212" s="64"/>
      <c r="R1212" s="64"/>
      <c r="S1212" s="64"/>
      <c r="T1212" s="64"/>
      <c r="U1212" s="64"/>
      <c r="V1212" s="64"/>
      <c r="W1212" s="64"/>
      <c r="X1212" s="64"/>
      <c r="Y1212" s="64"/>
      <c r="Z1212" s="64"/>
      <c r="AA1212" s="64"/>
      <c r="BS1212" s="74"/>
      <c r="CQ1212" s="37"/>
      <c r="CR1212" s="37"/>
    </row>
    <row r="1213" ht="18.75" customHeight="1">
      <c r="B1213" s="71"/>
      <c r="D1213" s="72"/>
      <c r="K1213" s="73"/>
      <c r="P1213" s="37" t="s">
        <v>29</v>
      </c>
      <c r="Q1213" s="64"/>
      <c r="R1213" s="64"/>
      <c r="S1213" s="64"/>
      <c r="T1213" s="64"/>
      <c r="U1213" s="64"/>
      <c r="V1213" s="64"/>
      <c r="W1213" s="64"/>
      <c r="X1213" s="64"/>
      <c r="Y1213" s="64"/>
      <c r="Z1213" s="64"/>
      <c r="AA1213" s="64"/>
      <c r="BS1213" s="74"/>
      <c r="BT1213" s="39"/>
      <c r="CQ1213" s="37"/>
      <c r="CR1213" s="37"/>
    </row>
    <row r="1214" ht="18.75" customHeight="1">
      <c r="B1214" s="71"/>
      <c r="D1214" s="72"/>
      <c r="K1214" s="73"/>
      <c r="P1214" s="37" t="s">
        <v>29</v>
      </c>
      <c r="Q1214" s="64"/>
      <c r="R1214" s="64"/>
      <c r="S1214" s="64"/>
      <c r="T1214" s="64"/>
      <c r="U1214" s="64"/>
      <c r="V1214" s="64"/>
      <c r="W1214" s="64"/>
      <c r="X1214" s="64"/>
      <c r="Y1214" s="64"/>
      <c r="Z1214" s="64"/>
      <c r="AA1214" s="64"/>
      <c r="BS1214" s="74"/>
      <c r="CQ1214" s="37"/>
      <c r="CR1214" s="37"/>
    </row>
    <row r="1215" ht="18.75" customHeight="1">
      <c r="B1215" s="71"/>
      <c r="D1215" s="72"/>
      <c r="K1215" s="73"/>
      <c r="P1215" s="37" t="s">
        <v>29</v>
      </c>
      <c r="Q1215" s="64"/>
      <c r="R1215" s="64"/>
      <c r="S1215" s="64"/>
      <c r="T1215" s="64"/>
      <c r="U1215" s="64"/>
      <c r="V1215" s="64"/>
      <c r="W1215" s="64"/>
      <c r="X1215" s="64"/>
      <c r="Y1215" s="64"/>
      <c r="Z1215" s="64"/>
      <c r="AA1215" s="64"/>
      <c r="BS1215" s="74"/>
      <c r="CQ1215" s="37"/>
      <c r="CR1215" s="37"/>
    </row>
    <row r="1216" ht="18.75" customHeight="1">
      <c r="B1216" s="71"/>
      <c r="D1216" s="72"/>
      <c r="K1216" s="73"/>
      <c r="P1216" s="37" t="s">
        <v>29</v>
      </c>
      <c r="Q1216" s="64"/>
      <c r="R1216" s="64"/>
      <c r="S1216" s="64"/>
      <c r="T1216" s="64"/>
      <c r="U1216" s="64"/>
      <c r="V1216" s="64"/>
      <c r="W1216" s="64"/>
      <c r="X1216" s="64"/>
      <c r="Y1216" s="64"/>
      <c r="Z1216" s="64"/>
      <c r="AA1216" s="64"/>
      <c r="BS1216" s="74"/>
      <c r="CQ1216" s="37"/>
      <c r="CR1216" s="37"/>
    </row>
    <row r="1217" ht="18.75" customHeight="1">
      <c r="B1217" s="71"/>
      <c r="D1217" s="72"/>
      <c r="K1217" s="73"/>
      <c r="P1217" s="37" t="s">
        <v>29</v>
      </c>
      <c r="Q1217" s="64"/>
      <c r="R1217" s="64"/>
      <c r="S1217" s="64"/>
      <c r="T1217" s="64"/>
      <c r="U1217" s="64"/>
      <c r="V1217" s="64"/>
      <c r="W1217" s="64"/>
      <c r="X1217" s="64"/>
      <c r="Y1217" s="64"/>
      <c r="Z1217" s="64"/>
      <c r="AA1217" s="64"/>
      <c r="BS1217" s="74"/>
      <c r="CQ1217" s="37"/>
      <c r="CR1217" s="37"/>
    </row>
    <row r="1218" ht="18.75" customHeight="1">
      <c r="B1218" s="71"/>
      <c r="D1218" s="72"/>
      <c r="K1218" s="73"/>
      <c r="P1218" s="37" t="s">
        <v>29</v>
      </c>
      <c r="Q1218" s="64"/>
      <c r="R1218" s="64"/>
      <c r="S1218" s="64"/>
      <c r="T1218" s="64"/>
      <c r="U1218" s="64"/>
      <c r="V1218" s="64"/>
      <c r="W1218" s="64"/>
      <c r="X1218" s="64"/>
      <c r="Y1218" s="64"/>
      <c r="Z1218" s="64"/>
      <c r="AA1218" s="64"/>
      <c r="BS1218" s="74"/>
      <c r="CQ1218" s="37"/>
      <c r="CR1218" s="37"/>
    </row>
    <row r="1219" ht="18.75" customHeight="1">
      <c r="B1219" s="71"/>
      <c r="D1219" s="72"/>
      <c r="K1219" s="73"/>
      <c r="P1219" s="37" t="s">
        <v>29</v>
      </c>
      <c r="Q1219" s="64"/>
      <c r="R1219" s="64"/>
      <c r="S1219" s="64"/>
      <c r="T1219" s="64"/>
      <c r="U1219" s="64"/>
      <c r="V1219" s="64"/>
      <c r="W1219" s="64"/>
      <c r="X1219" s="64"/>
      <c r="Y1219" s="64"/>
      <c r="Z1219" s="64"/>
      <c r="AA1219" s="64"/>
      <c r="BS1219" s="74"/>
      <c r="CQ1219" s="37"/>
      <c r="CR1219" s="37"/>
    </row>
    <row r="1220" ht="18.75" customHeight="1">
      <c r="B1220" s="71"/>
      <c r="D1220" s="72"/>
      <c r="K1220" s="73"/>
      <c r="P1220" s="37" t="s">
        <v>29</v>
      </c>
      <c r="Q1220" s="64"/>
      <c r="R1220" s="64"/>
      <c r="S1220" s="64"/>
      <c r="T1220" s="64"/>
      <c r="U1220" s="64"/>
      <c r="V1220" s="64"/>
      <c r="W1220" s="64"/>
      <c r="X1220" s="64"/>
      <c r="Y1220" s="64"/>
      <c r="Z1220" s="64"/>
      <c r="AA1220" s="64"/>
      <c r="BS1220" s="74"/>
      <c r="CQ1220" s="37"/>
      <c r="CR1220" s="37"/>
    </row>
    <row r="1221" ht="18.75" customHeight="1">
      <c r="B1221" s="71"/>
      <c r="D1221" s="72"/>
      <c r="K1221" s="73"/>
      <c r="P1221" s="37" t="s">
        <v>29</v>
      </c>
      <c r="Q1221" s="64"/>
      <c r="R1221" s="64"/>
      <c r="S1221" s="64"/>
      <c r="T1221" s="64"/>
      <c r="U1221" s="64"/>
      <c r="V1221" s="64"/>
      <c r="W1221" s="64"/>
      <c r="X1221" s="64"/>
      <c r="Y1221" s="64"/>
      <c r="Z1221" s="64"/>
      <c r="AA1221" s="64"/>
      <c r="BS1221" s="74"/>
      <c r="CQ1221" s="37"/>
      <c r="CR1221" s="37"/>
    </row>
    <row r="1222" ht="18.75" customHeight="1">
      <c r="B1222" s="71"/>
      <c r="D1222" s="72"/>
      <c r="K1222" s="73"/>
      <c r="P1222" s="37" t="s">
        <v>29</v>
      </c>
      <c r="Q1222" s="64"/>
      <c r="R1222" s="64"/>
      <c r="S1222" s="64"/>
      <c r="T1222" s="64"/>
      <c r="U1222" s="64"/>
      <c r="V1222" s="64"/>
      <c r="W1222" s="64"/>
      <c r="X1222" s="64"/>
      <c r="Y1222" s="64"/>
      <c r="Z1222" s="64"/>
      <c r="AA1222" s="64"/>
      <c r="BS1222" s="74"/>
      <c r="CQ1222" s="37"/>
      <c r="CR1222" s="37"/>
    </row>
    <row r="1223" ht="18.75" customHeight="1">
      <c r="B1223" s="71"/>
      <c r="D1223" s="72"/>
      <c r="K1223" s="73"/>
      <c r="P1223" s="37" t="s">
        <v>29</v>
      </c>
      <c r="Q1223" s="64"/>
      <c r="R1223" s="64"/>
      <c r="S1223" s="64"/>
      <c r="T1223" s="64"/>
      <c r="U1223" s="64"/>
      <c r="V1223" s="64"/>
      <c r="W1223" s="64"/>
      <c r="X1223" s="64"/>
      <c r="Y1223" s="64"/>
      <c r="Z1223" s="64"/>
      <c r="AA1223" s="64"/>
      <c r="BS1223" s="74"/>
      <c r="CQ1223" s="37"/>
      <c r="CR1223" s="37"/>
    </row>
    <row r="1224" ht="18.75" customHeight="1">
      <c r="B1224" s="71"/>
      <c r="D1224" s="72"/>
      <c r="K1224" s="73"/>
      <c r="P1224" s="37" t="s">
        <v>29</v>
      </c>
      <c r="Q1224" s="64"/>
      <c r="R1224" s="64"/>
      <c r="S1224" s="64"/>
      <c r="T1224" s="64"/>
      <c r="U1224" s="64"/>
      <c r="V1224" s="64"/>
      <c r="W1224" s="64"/>
      <c r="X1224" s="64"/>
      <c r="Y1224" s="64"/>
      <c r="Z1224" s="64"/>
      <c r="AA1224" s="64"/>
      <c r="BS1224" s="74"/>
      <c r="CQ1224" s="37"/>
      <c r="CR1224" s="37"/>
    </row>
    <row r="1225" ht="18.75" customHeight="1">
      <c r="B1225" s="71"/>
      <c r="D1225" s="72"/>
      <c r="K1225" s="73"/>
      <c r="P1225" s="37" t="s">
        <v>29</v>
      </c>
      <c r="Q1225" s="64"/>
      <c r="R1225" s="64"/>
      <c r="S1225" s="64"/>
      <c r="T1225" s="64"/>
      <c r="U1225" s="64"/>
      <c r="V1225" s="64"/>
      <c r="W1225" s="64"/>
      <c r="X1225" s="64"/>
      <c r="Y1225" s="64"/>
      <c r="Z1225" s="64"/>
      <c r="AA1225" s="64"/>
      <c r="BS1225" s="74"/>
      <c r="CQ1225" s="37"/>
      <c r="CR1225" s="37"/>
    </row>
    <row r="1226" ht="18.75" customHeight="1">
      <c r="B1226" s="71"/>
      <c r="D1226" s="72"/>
      <c r="K1226" s="73"/>
      <c r="P1226" s="37" t="s">
        <v>29</v>
      </c>
      <c r="Q1226" s="64"/>
      <c r="R1226" s="64"/>
      <c r="S1226" s="64"/>
      <c r="T1226" s="64"/>
      <c r="U1226" s="64"/>
      <c r="V1226" s="64"/>
      <c r="W1226" s="64"/>
      <c r="X1226" s="64"/>
      <c r="Y1226" s="64"/>
      <c r="Z1226" s="64"/>
      <c r="AA1226" s="64"/>
      <c r="BS1226" s="74"/>
      <c r="CQ1226" s="37"/>
      <c r="CR1226" s="37"/>
    </row>
    <row r="1227" ht="18.75" customHeight="1">
      <c r="B1227" s="71"/>
      <c r="D1227" s="72"/>
      <c r="K1227" s="73"/>
      <c r="P1227" s="37" t="s">
        <v>29</v>
      </c>
      <c r="Q1227" s="64"/>
      <c r="R1227" s="64"/>
      <c r="S1227" s="64"/>
      <c r="T1227" s="64"/>
      <c r="U1227" s="64"/>
      <c r="V1227" s="64"/>
      <c r="W1227" s="64"/>
      <c r="X1227" s="64"/>
      <c r="Y1227" s="64"/>
      <c r="Z1227" s="64"/>
      <c r="AA1227" s="64"/>
      <c r="BS1227" s="74"/>
      <c r="CQ1227" s="37"/>
      <c r="CR1227" s="37"/>
    </row>
    <row r="1228" ht="18.75" customHeight="1">
      <c r="B1228" s="71"/>
      <c r="D1228" s="72"/>
      <c r="K1228" s="73"/>
      <c r="P1228" s="37" t="s">
        <v>29</v>
      </c>
      <c r="Q1228" s="64"/>
      <c r="R1228" s="64"/>
      <c r="S1228" s="64"/>
      <c r="T1228" s="64"/>
      <c r="U1228" s="64"/>
      <c r="V1228" s="64"/>
      <c r="W1228" s="64"/>
      <c r="X1228" s="64"/>
      <c r="Y1228" s="64"/>
      <c r="Z1228" s="64"/>
      <c r="AA1228" s="64"/>
      <c r="BS1228" s="74"/>
      <c r="CQ1228" s="37"/>
      <c r="CR1228" s="37"/>
    </row>
    <row r="1229" ht="18.75" customHeight="1">
      <c r="B1229" s="71"/>
      <c r="D1229" s="72"/>
      <c r="K1229" s="73"/>
      <c r="P1229" s="37" t="s">
        <v>29</v>
      </c>
      <c r="Q1229" s="64"/>
      <c r="R1229" s="64"/>
      <c r="S1229" s="64"/>
      <c r="T1229" s="64"/>
      <c r="U1229" s="64"/>
      <c r="V1229" s="64"/>
      <c r="W1229" s="64"/>
      <c r="X1229" s="64"/>
      <c r="Y1229" s="64"/>
      <c r="Z1229" s="64"/>
      <c r="AA1229" s="64"/>
      <c r="BS1229" s="74"/>
      <c r="CQ1229" s="37"/>
      <c r="CR1229" s="37"/>
    </row>
    <row r="1230" ht="18.75" customHeight="1">
      <c r="B1230" s="71"/>
      <c r="D1230" s="72"/>
      <c r="K1230" s="73"/>
      <c r="P1230" s="37" t="s">
        <v>29</v>
      </c>
      <c r="Q1230" s="64"/>
      <c r="R1230" s="64"/>
      <c r="S1230" s="64"/>
      <c r="T1230" s="64"/>
      <c r="U1230" s="64"/>
      <c r="V1230" s="64"/>
      <c r="W1230" s="64"/>
      <c r="X1230" s="64"/>
      <c r="Y1230" s="64"/>
      <c r="Z1230" s="64"/>
      <c r="AA1230" s="64"/>
      <c r="BS1230" s="74"/>
      <c r="CQ1230" s="37"/>
      <c r="CR1230" s="37"/>
    </row>
    <row r="1231" ht="18.75" customHeight="1">
      <c r="B1231" s="71"/>
      <c r="D1231" s="72"/>
      <c r="K1231" s="73"/>
      <c r="P1231" s="37" t="s">
        <v>29</v>
      </c>
      <c r="Q1231" s="64"/>
      <c r="R1231" s="64"/>
      <c r="S1231" s="64"/>
      <c r="T1231" s="64"/>
      <c r="U1231" s="64"/>
      <c r="V1231" s="64"/>
      <c r="W1231" s="64"/>
      <c r="X1231" s="64"/>
      <c r="Y1231" s="64"/>
      <c r="Z1231" s="64"/>
      <c r="AA1231" s="64"/>
      <c r="BS1231" s="74"/>
      <c r="CQ1231" s="37"/>
      <c r="CR1231" s="37"/>
    </row>
    <row r="1232" ht="18.75" customHeight="1">
      <c r="B1232" s="71"/>
      <c r="D1232" s="72"/>
      <c r="K1232" s="73"/>
      <c r="P1232" s="37" t="s">
        <v>29</v>
      </c>
      <c r="Q1232" s="64"/>
      <c r="R1232" s="64"/>
      <c r="S1232" s="64"/>
      <c r="T1232" s="64"/>
      <c r="U1232" s="64"/>
      <c r="V1232" s="64"/>
      <c r="W1232" s="64"/>
      <c r="X1232" s="64"/>
      <c r="Y1232" s="64"/>
      <c r="Z1232" s="64"/>
      <c r="AA1232" s="64"/>
      <c r="BS1232" s="74"/>
      <c r="CQ1232" s="37"/>
      <c r="CR1232" s="37"/>
    </row>
  </sheetData>
  <mergeCells count="15">
    <mergeCell ref="AK9:BH9"/>
    <mergeCell ref="AK10:BH10"/>
    <mergeCell ref="AK11:BH11"/>
    <mergeCell ref="AK12:BH12"/>
    <mergeCell ref="AK13:BH13"/>
    <mergeCell ref="AK14:BH14"/>
    <mergeCell ref="AK15:BH15"/>
    <mergeCell ref="AK16:BH16"/>
    <mergeCell ref="AK2:BH2"/>
    <mergeCell ref="AK3:BH3"/>
    <mergeCell ref="AK4:BH4"/>
    <mergeCell ref="AK5:BH5"/>
    <mergeCell ref="AK6:BH6"/>
    <mergeCell ref="AK7:BH7"/>
    <mergeCell ref="AK8:BH8"/>
  </mergeCells>
  <dataValidations>
    <dataValidation type="decimal" operator="greaterThanOrEqual" allowBlank="1" showInputMessage="1" showErrorMessage="1" prompt="0以上の累計APPを入力。負側も絶対値。空欄は条件なし。" sqref="CQ2:CR1232">
      <formula1>0.0</formula1>
    </dataValidation>
  </dataValidations>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4" width="16.38"/>
    <col customWidth="1" min="5" max="5" width="8.5"/>
    <col customWidth="1" min="6" max="6" width="30.0"/>
    <col customWidth="1" min="7" max="8" width="35.13"/>
    <col customWidth="1" min="9" max="9" width="9.63"/>
    <col customWidth="1" min="10" max="10" width="10.13"/>
    <col customWidth="1" min="11" max="11" width="8.38"/>
    <col customWidth="1" min="12" max="12" width="4.63"/>
    <col customWidth="1" min="13" max="13" width="8.38"/>
    <col customWidth="1" min="14" max="14" width="4.63"/>
    <col customWidth="1" min="15" max="15" width="16.38"/>
    <col customWidth="1" min="16" max="16" width="32.63"/>
    <col customWidth="1" min="17" max="18" width="36.38"/>
    <col customWidth="1" min="19" max="26" width="7.63"/>
  </cols>
  <sheetData>
    <row r="1">
      <c r="A1" s="103" t="s">
        <v>2659</v>
      </c>
      <c r="B1" s="103" t="s">
        <v>2919</v>
      </c>
      <c r="C1" s="103" t="s">
        <v>2920</v>
      </c>
      <c r="D1" s="103" t="s">
        <v>2921</v>
      </c>
      <c r="E1" s="104" t="s">
        <v>2922</v>
      </c>
      <c r="F1" s="103" t="s">
        <v>2923</v>
      </c>
      <c r="G1" s="103" t="s">
        <v>2620</v>
      </c>
      <c r="H1" s="103" t="s">
        <v>2924</v>
      </c>
      <c r="I1" s="103" t="s">
        <v>2925</v>
      </c>
      <c r="J1" s="103" t="s">
        <v>2926</v>
      </c>
      <c r="K1" s="103" t="s">
        <v>2927</v>
      </c>
      <c r="L1" s="103" t="s">
        <v>2928</v>
      </c>
      <c r="M1" s="103" t="s">
        <v>2929</v>
      </c>
      <c r="N1" s="103" t="s">
        <v>2930</v>
      </c>
      <c r="O1" s="103" t="s">
        <v>2931</v>
      </c>
      <c r="P1" s="103" t="s">
        <v>2932</v>
      </c>
      <c r="Q1" s="105" t="s">
        <v>2933</v>
      </c>
      <c r="R1" s="105" t="s">
        <v>2934</v>
      </c>
      <c r="S1" s="1"/>
      <c r="T1" s="1"/>
      <c r="U1" s="1"/>
      <c r="V1" s="1"/>
      <c r="W1" s="1"/>
      <c r="X1" s="1"/>
      <c r="Y1" s="1"/>
      <c r="Z1" s="1"/>
    </row>
    <row r="2">
      <c r="A2" s="106" t="s">
        <v>2662</v>
      </c>
      <c r="B2" s="106" t="s">
        <v>1204</v>
      </c>
      <c r="C2" s="106" t="b">
        <v>1</v>
      </c>
      <c r="D2" s="106" t="s">
        <v>2935</v>
      </c>
      <c r="E2" s="107" t="s">
        <v>2936</v>
      </c>
      <c r="F2" s="106" t="s">
        <v>2937</v>
      </c>
      <c r="G2" s="106" t="s">
        <v>2938</v>
      </c>
      <c r="H2" s="106" t="s">
        <v>2939</v>
      </c>
      <c r="I2" s="106" t="s">
        <v>2940</v>
      </c>
      <c r="J2" s="106" t="s">
        <v>2941</v>
      </c>
      <c r="K2" s="106">
        <v>50.0</v>
      </c>
      <c r="L2" s="106">
        <v>0.0</v>
      </c>
      <c r="M2" s="106">
        <v>1.0</v>
      </c>
      <c r="N2" s="108">
        <v>0.15</v>
      </c>
      <c r="O2" s="106" t="s">
        <v>54</v>
      </c>
      <c r="P2" s="106" t="s">
        <v>29</v>
      </c>
      <c r="Q2" s="109" t="s">
        <v>29</v>
      </c>
      <c r="R2" s="109" t="s">
        <v>2942</v>
      </c>
    </row>
    <row r="3">
      <c r="A3" s="106" t="s">
        <v>1205</v>
      </c>
      <c r="B3" s="106" t="s">
        <v>1205</v>
      </c>
      <c r="C3" s="106" t="b">
        <v>1</v>
      </c>
      <c r="D3" s="106" t="s">
        <v>2943</v>
      </c>
      <c r="E3" s="107" t="s">
        <v>2944</v>
      </c>
      <c r="F3" s="106" t="s">
        <v>2945</v>
      </c>
      <c r="G3" s="106" t="s">
        <v>2946</v>
      </c>
      <c r="H3" s="106" t="s">
        <v>2947</v>
      </c>
      <c r="I3" s="106" t="s">
        <v>56</v>
      </c>
      <c r="J3" s="106" t="s">
        <v>2948</v>
      </c>
      <c r="K3" s="106">
        <v>50.0</v>
      </c>
      <c r="L3" s="106">
        <v>0.0</v>
      </c>
      <c r="M3" s="106">
        <v>1.0</v>
      </c>
      <c r="N3" s="108">
        <v>0.1</v>
      </c>
      <c r="O3" s="106" t="s">
        <v>56</v>
      </c>
      <c r="P3" s="106" t="s">
        <v>29</v>
      </c>
      <c r="Q3" s="110" t="s">
        <v>2949</v>
      </c>
      <c r="R3" s="109" t="s">
        <v>2950</v>
      </c>
    </row>
    <row r="4">
      <c r="A4" s="106" t="s">
        <v>1206</v>
      </c>
      <c r="B4" s="106" t="s">
        <v>1206</v>
      </c>
      <c r="C4" s="106" t="b">
        <v>0</v>
      </c>
      <c r="D4" s="106" t="s">
        <v>2951</v>
      </c>
      <c r="E4" s="107" t="s">
        <v>29</v>
      </c>
      <c r="F4" s="106" t="s">
        <v>29</v>
      </c>
      <c r="G4" s="106" t="s">
        <v>29</v>
      </c>
      <c r="H4" s="106" t="s">
        <v>29</v>
      </c>
      <c r="I4" s="106" t="s">
        <v>2952</v>
      </c>
      <c r="J4" s="106" t="s">
        <v>2953</v>
      </c>
      <c r="K4" s="106">
        <v>50.0</v>
      </c>
      <c r="L4" s="106">
        <v>1.0</v>
      </c>
      <c r="M4" s="106">
        <v>1.0</v>
      </c>
      <c r="N4" s="108">
        <v>0.1</v>
      </c>
      <c r="O4" s="110" t="s">
        <v>2954</v>
      </c>
      <c r="P4" s="106" t="s">
        <v>2955</v>
      </c>
      <c r="Q4" s="110" t="s">
        <v>2956</v>
      </c>
      <c r="R4" s="109" t="s">
        <v>29</v>
      </c>
    </row>
    <row r="5">
      <c r="A5" s="106" t="s">
        <v>2671</v>
      </c>
      <c r="B5" s="106" t="s">
        <v>1208</v>
      </c>
      <c r="C5" s="106" t="b">
        <v>0</v>
      </c>
      <c r="D5" s="106" t="s">
        <v>2957</v>
      </c>
      <c r="E5" s="107" t="s">
        <v>29</v>
      </c>
      <c r="F5" s="106" t="s">
        <v>29</v>
      </c>
      <c r="G5" s="106" t="s">
        <v>29</v>
      </c>
      <c r="H5" s="106" t="s">
        <v>29</v>
      </c>
      <c r="I5" s="106" t="s">
        <v>2958</v>
      </c>
      <c r="J5" s="106" t="s">
        <v>2959</v>
      </c>
      <c r="K5" s="106">
        <v>60.0</v>
      </c>
      <c r="L5" s="106">
        <v>1.0</v>
      </c>
      <c r="M5" s="106">
        <v>0.8</v>
      </c>
      <c r="N5" s="108">
        <v>0.2</v>
      </c>
      <c r="O5" s="106" t="s">
        <v>54</v>
      </c>
      <c r="P5" s="106" t="s">
        <v>2955</v>
      </c>
      <c r="Q5" s="110" t="s">
        <v>2960</v>
      </c>
      <c r="R5" s="109" t="s">
        <v>29</v>
      </c>
    </row>
    <row r="6">
      <c r="A6" s="106" t="s">
        <v>2673</v>
      </c>
      <c r="B6" s="106" t="s">
        <v>1217</v>
      </c>
      <c r="C6" s="106" t="b">
        <v>1</v>
      </c>
      <c r="D6" s="106" t="s">
        <v>2961</v>
      </c>
      <c r="E6" s="107" t="s">
        <v>2962</v>
      </c>
      <c r="F6" s="106" t="s">
        <v>2963</v>
      </c>
      <c r="G6" s="106" t="s">
        <v>2964</v>
      </c>
      <c r="H6" s="106" t="s">
        <v>2965</v>
      </c>
      <c r="I6" s="106" t="s">
        <v>2917</v>
      </c>
      <c r="J6" s="106" t="s">
        <v>2966</v>
      </c>
      <c r="K6" s="106">
        <v>25.0</v>
      </c>
      <c r="L6" s="106">
        <v>1.0</v>
      </c>
      <c r="M6" s="106">
        <v>1.25</v>
      </c>
      <c r="N6" s="108">
        <v>0.25</v>
      </c>
      <c r="O6" s="106" t="s">
        <v>2967</v>
      </c>
      <c r="P6" s="106" t="s">
        <v>29</v>
      </c>
      <c r="Q6" s="109" t="s">
        <v>2968</v>
      </c>
      <c r="R6" s="109" t="s">
        <v>2969</v>
      </c>
    </row>
    <row r="7">
      <c r="A7" s="106" t="s">
        <v>1225</v>
      </c>
      <c r="B7" s="106" t="s">
        <v>1225</v>
      </c>
      <c r="C7" s="106" t="b">
        <v>1</v>
      </c>
      <c r="D7" s="106" t="s">
        <v>2970</v>
      </c>
      <c r="E7" s="107" t="s">
        <v>2971</v>
      </c>
      <c r="F7" s="106" t="s">
        <v>2972</v>
      </c>
      <c r="G7" s="106" t="s">
        <v>2973</v>
      </c>
      <c r="H7" s="106" t="s">
        <v>2974</v>
      </c>
      <c r="I7" s="106" t="s">
        <v>2975</v>
      </c>
      <c r="J7" s="106" t="s">
        <v>2976</v>
      </c>
      <c r="K7" s="106">
        <v>25.0</v>
      </c>
      <c r="L7" s="106">
        <v>1.0</v>
      </c>
      <c r="M7" s="106">
        <v>0.8</v>
      </c>
      <c r="N7" s="108">
        <v>0.35</v>
      </c>
      <c r="O7" s="106" t="s">
        <v>2977</v>
      </c>
      <c r="P7" s="106" t="s">
        <v>29</v>
      </c>
      <c r="Q7" s="109" t="s">
        <v>2968</v>
      </c>
      <c r="R7" s="109" t="s">
        <v>2969</v>
      </c>
    </row>
    <row r="8">
      <c r="A8" s="106" t="s">
        <v>2678</v>
      </c>
      <c r="B8" s="106" t="s">
        <v>1238</v>
      </c>
      <c r="C8" s="106" t="b">
        <v>0</v>
      </c>
      <c r="D8" s="106" t="s">
        <v>2978</v>
      </c>
      <c r="E8" s="107" t="s">
        <v>29</v>
      </c>
      <c r="F8" s="106" t="s">
        <v>29</v>
      </c>
      <c r="G8" s="106" t="s">
        <v>29</v>
      </c>
      <c r="H8" s="106" t="s">
        <v>29</v>
      </c>
      <c r="I8" s="106" t="s">
        <v>2979</v>
      </c>
      <c r="J8" s="106" t="s">
        <v>2980</v>
      </c>
      <c r="K8" s="106">
        <v>15.0</v>
      </c>
      <c r="L8" s="106">
        <v>2.0</v>
      </c>
      <c r="M8" s="106">
        <v>1.2</v>
      </c>
      <c r="N8" s="108">
        <v>0.45</v>
      </c>
      <c r="O8" s="106" t="s">
        <v>2981</v>
      </c>
      <c r="P8" s="106" t="s">
        <v>2955</v>
      </c>
      <c r="Q8" s="109" t="s">
        <v>29</v>
      </c>
      <c r="R8" s="109" t="s">
        <v>29</v>
      </c>
    </row>
    <row r="9">
      <c r="A9" s="106" t="s">
        <v>1252</v>
      </c>
      <c r="B9" s="106" t="s">
        <v>1252</v>
      </c>
      <c r="C9" s="106" t="b">
        <v>1</v>
      </c>
      <c r="D9" s="106" t="s">
        <v>2982</v>
      </c>
      <c r="E9" s="107" t="s">
        <v>2983</v>
      </c>
      <c r="F9" s="106" t="s">
        <v>2984</v>
      </c>
      <c r="G9" s="106" t="s">
        <v>2985</v>
      </c>
      <c r="H9" s="106" t="s">
        <v>2986</v>
      </c>
      <c r="I9" s="106" t="s">
        <v>2987</v>
      </c>
      <c r="J9" s="106" t="s">
        <v>2988</v>
      </c>
      <c r="K9" s="106">
        <v>75.0</v>
      </c>
      <c r="L9" s="106">
        <v>0.0</v>
      </c>
      <c r="M9" s="106">
        <v>0.5</v>
      </c>
      <c r="N9" s="108">
        <v>0.1</v>
      </c>
      <c r="O9" s="106" t="s">
        <v>2989</v>
      </c>
      <c r="P9" s="106" t="s">
        <v>29</v>
      </c>
      <c r="Q9" s="109" t="s">
        <v>2990</v>
      </c>
      <c r="R9" s="109" t="s">
        <v>2991</v>
      </c>
    </row>
    <row r="10">
      <c r="A10" s="106" t="s">
        <v>2687</v>
      </c>
      <c r="B10" s="106" t="s">
        <v>1280</v>
      </c>
      <c r="C10" s="106" t="b">
        <v>1</v>
      </c>
      <c r="D10" s="106" t="s">
        <v>2992</v>
      </c>
      <c r="E10" s="107" t="s">
        <v>2993</v>
      </c>
      <c r="F10" s="106" t="s">
        <v>2994</v>
      </c>
      <c r="G10" s="106" t="s">
        <v>2995</v>
      </c>
      <c r="H10" s="106" t="s">
        <v>2996</v>
      </c>
      <c r="I10" s="106" t="s">
        <v>2997</v>
      </c>
      <c r="J10" s="106" t="s">
        <v>2998</v>
      </c>
      <c r="K10" s="106">
        <v>10.0</v>
      </c>
      <c r="L10" s="106">
        <v>3.0</v>
      </c>
      <c r="M10" s="106">
        <v>1.5</v>
      </c>
      <c r="N10" s="108">
        <v>0.6</v>
      </c>
      <c r="O10" s="106" t="s">
        <v>2999</v>
      </c>
      <c r="P10" s="106" t="s">
        <v>29</v>
      </c>
      <c r="Q10" s="110" t="s">
        <v>3000</v>
      </c>
      <c r="R10" s="109" t="s">
        <v>3001</v>
      </c>
    </row>
    <row r="11">
      <c r="A11" s="106" t="s">
        <v>2705</v>
      </c>
      <c r="B11" s="106" t="s">
        <v>1295</v>
      </c>
      <c r="C11" s="106" t="b">
        <v>1</v>
      </c>
      <c r="D11" s="106" t="s">
        <v>3002</v>
      </c>
      <c r="E11" s="107" t="s">
        <v>3003</v>
      </c>
      <c r="F11" s="106" t="s">
        <v>3004</v>
      </c>
      <c r="G11" s="106" t="s">
        <v>3005</v>
      </c>
      <c r="H11" s="106" t="s">
        <v>3006</v>
      </c>
      <c r="I11" s="106" t="s">
        <v>3007</v>
      </c>
      <c r="J11" s="106" t="s">
        <v>3008</v>
      </c>
      <c r="K11" s="106">
        <v>15.0</v>
      </c>
      <c r="L11" s="106">
        <v>3.0</v>
      </c>
      <c r="M11" s="106">
        <v>1.5</v>
      </c>
      <c r="N11" s="108">
        <v>0.6</v>
      </c>
      <c r="O11" s="106" t="s">
        <v>3009</v>
      </c>
      <c r="P11" s="106" t="s">
        <v>29</v>
      </c>
      <c r="Q11" s="110" t="s">
        <v>3010</v>
      </c>
      <c r="R11" s="109" t="s">
        <v>3011</v>
      </c>
    </row>
    <row r="12">
      <c r="A12" s="106" t="s">
        <v>1302</v>
      </c>
      <c r="B12" s="106" t="s">
        <v>1302</v>
      </c>
      <c r="C12" s="111" t="b">
        <v>1</v>
      </c>
      <c r="D12" s="106" t="s">
        <v>3012</v>
      </c>
      <c r="E12" s="107" t="s">
        <v>3013</v>
      </c>
      <c r="F12" s="106" t="s">
        <v>3014</v>
      </c>
      <c r="G12" s="106" t="s">
        <v>3015</v>
      </c>
      <c r="H12" s="106" t="s">
        <v>3016</v>
      </c>
      <c r="I12" s="106" t="s">
        <v>3017</v>
      </c>
      <c r="J12" s="106" t="s">
        <v>3018</v>
      </c>
      <c r="K12" s="106">
        <v>10.0</v>
      </c>
      <c r="L12" s="110">
        <v>3.0</v>
      </c>
      <c r="M12" s="106">
        <v>1.5</v>
      </c>
      <c r="N12" s="108">
        <v>0.6</v>
      </c>
      <c r="O12" s="106" t="s">
        <v>3019</v>
      </c>
      <c r="P12" s="106" t="s">
        <v>3020</v>
      </c>
      <c r="Q12" s="110" t="s">
        <v>3021</v>
      </c>
      <c r="R12" s="109" t="s">
        <v>3022</v>
      </c>
    </row>
    <row r="13" ht="18.75" customHeight="1">
      <c r="C13" s="37" t="b">
        <v>0</v>
      </c>
      <c r="E13" s="112"/>
    </row>
    <row r="14" ht="18.75" customHeight="1">
      <c r="C14" s="37" t="b">
        <v>0</v>
      </c>
      <c r="E14" s="112"/>
    </row>
    <row r="15" ht="18.75" customHeight="1">
      <c r="C15" s="37" t="b">
        <v>0</v>
      </c>
      <c r="E15" s="112"/>
    </row>
    <row r="16" ht="18.75" customHeight="1">
      <c r="C16" s="37" t="b">
        <v>0</v>
      </c>
      <c r="E16" s="112"/>
    </row>
    <row r="17" ht="18.75" customHeight="1">
      <c r="C17" s="37" t="b">
        <v>0</v>
      </c>
      <c r="E17" s="112"/>
    </row>
    <row r="18" ht="18.75" customHeight="1">
      <c r="C18" s="37" t="b">
        <v>0</v>
      </c>
      <c r="E18" s="112"/>
    </row>
    <row r="19" ht="18.75" customHeight="1">
      <c r="C19" s="37" t="b">
        <v>0</v>
      </c>
      <c r="E19" s="112"/>
    </row>
    <row r="20" ht="18.75" customHeight="1">
      <c r="C20" s="37" t="b">
        <v>0</v>
      </c>
      <c r="E20" s="112"/>
    </row>
    <row r="21" ht="18.75" customHeight="1">
      <c r="C21" s="37" t="b">
        <v>0</v>
      </c>
      <c r="E21" s="112"/>
    </row>
    <row r="22" ht="18.75" customHeight="1">
      <c r="C22" s="37" t="b">
        <v>0</v>
      </c>
      <c r="E22" s="112"/>
    </row>
    <row r="23" ht="18.75" customHeight="1">
      <c r="C23" s="37" t="b">
        <v>0</v>
      </c>
      <c r="E23" s="112"/>
    </row>
    <row r="24" ht="18.75" customHeight="1">
      <c r="C24" s="37" t="b">
        <v>0</v>
      </c>
      <c r="E24" s="112"/>
    </row>
    <row r="25" ht="18.75" customHeight="1">
      <c r="C25" s="37" t="b">
        <v>0</v>
      </c>
      <c r="E25" s="112"/>
    </row>
    <row r="26" ht="18.75" customHeight="1">
      <c r="C26" s="37" t="b">
        <v>0</v>
      </c>
      <c r="E26" s="112"/>
    </row>
    <row r="27" ht="18.75" customHeight="1">
      <c r="C27" s="37" t="b">
        <v>0</v>
      </c>
      <c r="E27" s="112"/>
    </row>
    <row r="28" ht="18.75" customHeight="1">
      <c r="C28" s="37" t="b">
        <v>0</v>
      </c>
      <c r="E28" s="112"/>
    </row>
    <row r="29" ht="18.75" customHeight="1">
      <c r="C29" s="37" t="b">
        <v>0</v>
      </c>
      <c r="E29" s="112"/>
    </row>
    <row r="30" ht="18.75" customHeight="1">
      <c r="C30" s="37" t="b">
        <v>0</v>
      </c>
      <c r="E30" s="112"/>
    </row>
    <row r="31" ht="18.75" customHeight="1">
      <c r="C31" s="37" t="b">
        <v>0</v>
      </c>
      <c r="E31" s="112"/>
    </row>
    <row r="32" ht="18.75" customHeight="1">
      <c r="C32" s="37" t="b">
        <v>0</v>
      </c>
      <c r="E32" s="112"/>
    </row>
    <row r="33" ht="18.75" customHeight="1">
      <c r="C33" s="37" t="b">
        <v>0</v>
      </c>
      <c r="E33" s="112"/>
    </row>
    <row r="34" ht="18.75" customHeight="1">
      <c r="C34" s="37" t="b">
        <v>0</v>
      </c>
      <c r="E34" s="112"/>
    </row>
    <row r="35" ht="18.75" customHeight="1">
      <c r="C35" s="37" t="b">
        <v>0</v>
      </c>
      <c r="E35" s="112"/>
    </row>
    <row r="36" ht="18.75" customHeight="1">
      <c r="C36" s="37" t="b">
        <v>0</v>
      </c>
      <c r="E36" s="112"/>
    </row>
    <row r="37" ht="18.75" customHeight="1">
      <c r="C37" s="37" t="b">
        <v>0</v>
      </c>
      <c r="E37" s="112"/>
    </row>
    <row r="38" ht="18.75" customHeight="1">
      <c r="C38" s="37" t="b">
        <v>0</v>
      </c>
      <c r="E38" s="112"/>
    </row>
    <row r="39" ht="18.75" customHeight="1">
      <c r="C39" s="37" t="b">
        <v>0</v>
      </c>
      <c r="E39" s="112"/>
    </row>
    <row r="40" ht="18.75" customHeight="1">
      <c r="C40" s="37" t="b">
        <v>0</v>
      </c>
      <c r="E40" s="112"/>
    </row>
    <row r="41" ht="18.75" customHeight="1">
      <c r="C41" s="37" t="b">
        <v>0</v>
      </c>
      <c r="E41" s="112"/>
    </row>
    <row r="42" ht="18.75" customHeight="1">
      <c r="C42" s="37" t="b">
        <v>0</v>
      </c>
      <c r="E42" s="112"/>
    </row>
    <row r="43" ht="18.75" customHeight="1">
      <c r="C43" s="37" t="b">
        <v>0</v>
      </c>
      <c r="E43" s="112"/>
    </row>
    <row r="44" ht="18.75" customHeight="1">
      <c r="C44" s="37" t="b">
        <v>0</v>
      </c>
      <c r="E44" s="112"/>
    </row>
    <row r="45" ht="18.75" customHeight="1">
      <c r="C45" s="37" t="b">
        <v>0</v>
      </c>
      <c r="E45" s="112"/>
    </row>
    <row r="46" ht="18.75" customHeight="1">
      <c r="C46" s="37" t="b">
        <v>0</v>
      </c>
      <c r="E46" s="112"/>
    </row>
    <row r="47" ht="18.75" customHeight="1">
      <c r="C47" s="37" t="b">
        <v>0</v>
      </c>
      <c r="E47" s="112"/>
    </row>
    <row r="48" ht="18.75" customHeight="1">
      <c r="C48" s="37" t="b">
        <v>0</v>
      </c>
      <c r="E48" s="112"/>
    </row>
    <row r="49" ht="18.75" customHeight="1">
      <c r="C49" s="37" t="b">
        <v>0</v>
      </c>
      <c r="E49" s="112"/>
    </row>
    <row r="50" ht="18.75" customHeight="1">
      <c r="C50" s="37" t="b">
        <v>0</v>
      </c>
      <c r="E50" s="112"/>
    </row>
    <row r="51" ht="18.75" customHeight="1">
      <c r="C51" s="37" t="b">
        <v>0</v>
      </c>
      <c r="E51" s="112"/>
    </row>
    <row r="52" ht="18.75" customHeight="1">
      <c r="C52" s="37" t="b">
        <v>0</v>
      </c>
      <c r="E52" s="112"/>
    </row>
    <row r="53" ht="18.75" customHeight="1">
      <c r="C53" s="37" t="b">
        <v>0</v>
      </c>
      <c r="E53" s="112"/>
    </row>
    <row r="54" ht="18.75" customHeight="1">
      <c r="C54" s="37" t="b">
        <v>0</v>
      </c>
      <c r="E54" s="112"/>
    </row>
    <row r="55" ht="18.75" customHeight="1">
      <c r="C55" s="37" t="b">
        <v>0</v>
      </c>
      <c r="E55" s="112"/>
    </row>
    <row r="56" ht="18.75" customHeight="1">
      <c r="C56" s="37" t="b">
        <v>0</v>
      </c>
      <c r="E56" s="112"/>
    </row>
    <row r="57" ht="18.75" customHeight="1">
      <c r="C57" s="37" t="b">
        <v>0</v>
      </c>
      <c r="E57" s="112"/>
    </row>
    <row r="58" ht="18.75" customHeight="1">
      <c r="C58" s="37" t="b">
        <v>0</v>
      </c>
      <c r="E58" s="112"/>
    </row>
    <row r="59" ht="18.75" customHeight="1">
      <c r="C59" s="37" t="b">
        <v>0</v>
      </c>
      <c r="E59" s="112"/>
    </row>
    <row r="60" ht="18.75" customHeight="1">
      <c r="C60" s="37" t="b">
        <v>0</v>
      </c>
      <c r="E60" s="112"/>
    </row>
    <row r="61" ht="18.75" customHeight="1">
      <c r="C61" s="37" t="b">
        <v>0</v>
      </c>
      <c r="E61" s="112"/>
    </row>
    <row r="62" ht="18.75" customHeight="1">
      <c r="C62" s="37" t="b">
        <v>0</v>
      </c>
      <c r="E62" s="112"/>
    </row>
    <row r="63" ht="18.75" customHeight="1">
      <c r="C63" s="37" t="b">
        <v>0</v>
      </c>
      <c r="E63" s="112"/>
    </row>
    <row r="64" ht="18.75" customHeight="1">
      <c r="C64" s="37" t="b">
        <v>0</v>
      </c>
      <c r="E64" s="112"/>
    </row>
    <row r="65" ht="18.75" customHeight="1">
      <c r="C65" s="37" t="b">
        <v>0</v>
      </c>
      <c r="E65" s="112"/>
    </row>
    <row r="66" ht="18.75" customHeight="1">
      <c r="C66" s="37" t="b">
        <v>0</v>
      </c>
      <c r="E66" s="112"/>
    </row>
    <row r="67" ht="18.75" customHeight="1">
      <c r="C67" s="37" t="b">
        <v>0</v>
      </c>
      <c r="E67" s="112"/>
    </row>
    <row r="68" ht="18.75" customHeight="1">
      <c r="C68" s="37" t="b">
        <v>0</v>
      </c>
      <c r="E68" s="112"/>
    </row>
    <row r="69" ht="18.75" customHeight="1">
      <c r="C69" s="37" t="b">
        <v>0</v>
      </c>
      <c r="E69" s="112"/>
    </row>
    <row r="70" ht="18.75" customHeight="1">
      <c r="C70" s="37" t="b">
        <v>0</v>
      </c>
      <c r="E70" s="112"/>
    </row>
    <row r="71" ht="18.75" customHeight="1">
      <c r="C71" s="37" t="b">
        <v>0</v>
      </c>
      <c r="E71" s="112"/>
    </row>
    <row r="72" ht="18.75" customHeight="1">
      <c r="C72" s="37" t="b">
        <v>0</v>
      </c>
      <c r="E72" s="112"/>
    </row>
    <row r="73" ht="18.75" customHeight="1">
      <c r="C73" s="37" t="b">
        <v>0</v>
      </c>
      <c r="E73" s="112"/>
    </row>
    <row r="74" ht="18.75" customHeight="1">
      <c r="C74" s="37" t="b">
        <v>0</v>
      </c>
      <c r="E74" s="112"/>
    </row>
    <row r="75" ht="18.75" customHeight="1">
      <c r="C75" s="37" t="b">
        <v>0</v>
      </c>
      <c r="E75" s="112"/>
    </row>
    <row r="76" ht="18.75" customHeight="1">
      <c r="C76" s="37" t="b">
        <v>0</v>
      </c>
      <c r="E76" s="112"/>
    </row>
    <row r="77" ht="18.75" customHeight="1">
      <c r="C77" s="37" t="b">
        <v>0</v>
      </c>
      <c r="E77" s="112"/>
    </row>
    <row r="78" ht="18.75" customHeight="1">
      <c r="C78" s="37" t="b">
        <v>0</v>
      </c>
      <c r="E78" s="112"/>
    </row>
    <row r="79" ht="18.75" customHeight="1">
      <c r="C79" s="37" t="b">
        <v>0</v>
      </c>
      <c r="E79" s="112"/>
    </row>
    <row r="80" ht="18.75" customHeight="1">
      <c r="C80" s="37" t="b">
        <v>0</v>
      </c>
      <c r="E80" s="112"/>
    </row>
    <row r="81" ht="18.75" customHeight="1">
      <c r="C81" s="37" t="b">
        <v>0</v>
      </c>
      <c r="E81" s="112"/>
    </row>
    <row r="82" ht="18.75" customHeight="1">
      <c r="C82" s="37" t="b">
        <v>0</v>
      </c>
      <c r="E82" s="112"/>
    </row>
    <row r="83" ht="18.75" customHeight="1">
      <c r="C83" s="37" t="b">
        <v>0</v>
      </c>
      <c r="E83" s="112"/>
    </row>
    <row r="84" ht="18.75" customHeight="1">
      <c r="C84" s="37" t="b">
        <v>0</v>
      </c>
      <c r="E84" s="112"/>
    </row>
    <row r="85" ht="18.75" customHeight="1">
      <c r="C85" s="37" t="b">
        <v>0</v>
      </c>
      <c r="E85" s="112"/>
    </row>
    <row r="86" ht="18.75" customHeight="1">
      <c r="C86" s="37" t="b">
        <v>0</v>
      </c>
      <c r="E86" s="112"/>
    </row>
    <row r="87" ht="18.75" customHeight="1">
      <c r="C87" s="37" t="b">
        <v>0</v>
      </c>
      <c r="E87" s="112"/>
    </row>
    <row r="88" ht="18.75" customHeight="1">
      <c r="C88" s="37" t="b">
        <v>0</v>
      </c>
      <c r="E88" s="112"/>
    </row>
    <row r="89" ht="18.75" customHeight="1">
      <c r="C89" s="37" t="b">
        <v>0</v>
      </c>
      <c r="E89" s="112"/>
    </row>
    <row r="90" ht="18.75" customHeight="1">
      <c r="C90" s="37" t="b">
        <v>0</v>
      </c>
      <c r="E90" s="112"/>
    </row>
    <row r="91" ht="18.75" customHeight="1">
      <c r="C91" s="37" t="b">
        <v>0</v>
      </c>
      <c r="E91" s="112"/>
    </row>
    <row r="92" ht="18.75" customHeight="1">
      <c r="C92" s="37" t="b">
        <v>0</v>
      </c>
      <c r="E92" s="112"/>
    </row>
    <row r="93" ht="18.75" customHeight="1">
      <c r="C93" s="37" t="b">
        <v>0</v>
      </c>
      <c r="E93" s="112"/>
    </row>
    <row r="94" ht="18.75" customHeight="1">
      <c r="C94" s="37" t="b">
        <v>0</v>
      </c>
      <c r="E94" s="112"/>
    </row>
    <row r="95" ht="18.75" customHeight="1">
      <c r="C95" s="37" t="b">
        <v>0</v>
      </c>
      <c r="E95" s="112"/>
    </row>
    <row r="96" ht="18.75" customHeight="1">
      <c r="C96" s="37" t="b">
        <v>0</v>
      </c>
      <c r="E96" s="112"/>
    </row>
    <row r="97" ht="18.75" customHeight="1">
      <c r="C97" s="37" t="b">
        <v>0</v>
      </c>
      <c r="E97" s="112"/>
    </row>
    <row r="98" ht="18.75" customHeight="1">
      <c r="C98" s="37" t="b">
        <v>0</v>
      </c>
      <c r="E98" s="112"/>
    </row>
    <row r="99" ht="18.75" customHeight="1">
      <c r="C99" s="37" t="b">
        <v>0</v>
      </c>
      <c r="E99" s="112"/>
    </row>
    <row r="100" ht="18.75" customHeight="1">
      <c r="C100" s="37" t="b">
        <v>0</v>
      </c>
      <c r="E100" s="112"/>
    </row>
    <row r="101" ht="18.75" customHeight="1">
      <c r="C101" s="37" t="b">
        <v>0</v>
      </c>
      <c r="E101" s="112"/>
    </row>
    <row r="102" ht="18.75" customHeight="1">
      <c r="C102" s="37" t="b">
        <v>0</v>
      </c>
      <c r="E102" s="112"/>
    </row>
    <row r="103" ht="18.75" customHeight="1">
      <c r="C103" s="37" t="b">
        <v>0</v>
      </c>
      <c r="E103" s="112"/>
    </row>
    <row r="104" ht="18.75" customHeight="1">
      <c r="C104" s="37" t="b">
        <v>0</v>
      </c>
      <c r="E104" s="112"/>
    </row>
    <row r="105" ht="18.75" customHeight="1">
      <c r="C105" s="37" t="b">
        <v>0</v>
      </c>
      <c r="E105" s="112"/>
    </row>
    <row r="106" ht="18.75" customHeight="1">
      <c r="C106" s="37" t="b">
        <v>0</v>
      </c>
      <c r="E106" s="112"/>
    </row>
    <row r="107" ht="18.75" customHeight="1">
      <c r="C107" s="37" t="b">
        <v>0</v>
      </c>
      <c r="E107" s="112"/>
    </row>
    <row r="108" ht="18.75" customHeight="1">
      <c r="C108" s="37" t="b">
        <v>0</v>
      </c>
      <c r="E108" s="112"/>
    </row>
    <row r="109" ht="18.75" customHeight="1">
      <c r="C109" s="37" t="b">
        <v>0</v>
      </c>
      <c r="E109" s="112"/>
    </row>
    <row r="110" ht="18.75" customHeight="1">
      <c r="C110" s="37" t="b">
        <v>0</v>
      </c>
      <c r="E110" s="112"/>
    </row>
    <row r="111" ht="18.75" customHeight="1">
      <c r="C111" s="37" t="b">
        <v>0</v>
      </c>
      <c r="E111" s="112"/>
    </row>
    <row r="112" ht="18.75" customHeight="1">
      <c r="C112" s="37" t="b">
        <v>0</v>
      </c>
      <c r="E112" s="112"/>
    </row>
    <row r="113" ht="18.75" customHeight="1">
      <c r="C113" s="37" t="b">
        <v>0</v>
      </c>
      <c r="E113" s="112"/>
    </row>
    <row r="114" ht="18.75" customHeight="1">
      <c r="C114" s="37" t="b">
        <v>0</v>
      </c>
      <c r="E114" s="112"/>
    </row>
    <row r="115" ht="18.75" customHeight="1">
      <c r="C115" s="37" t="b">
        <v>0</v>
      </c>
      <c r="E115" s="112"/>
    </row>
    <row r="116" ht="18.75" customHeight="1">
      <c r="C116" s="37" t="b">
        <v>0</v>
      </c>
      <c r="E116" s="112"/>
    </row>
    <row r="117" ht="18.75" customHeight="1">
      <c r="C117" s="37" t="b">
        <v>0</v>
      </c>
      <c r="E117" s="112"/>
    </row>
    <row r="118" ht="18.75" customHeight="1">
      <c r="C118" s="37" t="b">
        <v>0</v>
      </c>
      <c r="E118" s="112"/>
    </row>
    <row r="119" ht="18.75" customHeight="1">
      <c r="C119" s="37" t="b">
        <v>0</v>
      </c>
      <c r="E119" s="112"/>
    </row>
    <row r="120" ht="18.75" customHeight="1">
      <c r="C120" s="37" t="b">
        <v>0</v>
      </c>
      <c r="E120" s="112"/>
    </row>
    <row r="121" ht="18.75" customHeight="1">
      <c r="C121" s="37" t="b">
        <v>0</v>
      </c>
      <c r="E121" s="112"/>
    </row>
    <row r="122" ht="18.75" customHeight="1">
      <c r="C122" s="37" t="b">
        <v>0</v>
      </c>
      <c r="E122" s="112"/>
    </row>
    <row r="123" ht="18.75" customHeight="1">
      <c r="C123" s="37" t="b">
        <v>0</v>
      </c>
      <c r="E123" s="112"/>
    </row>
    <row r="124" ht="18.75" customHeight="1">
      <c r="C124" s="37" t="b">
        <v>0</v>
      </c>
      <c r="E124" s="112"/>
    </row>
    <row r="125" ht="18.75" customHeight="1">
      <c r="C125" s="37" t="b">
        <v>0</v>
      </c>
      <c r="E125" s="112"/>
    </row>
    <row r="126" ht="18.75" customHeight="1">
      <c r="C126" s="37" t="b">
        <v>0</v>
      </c>
      <c r="E126" s="112"/>
    </row>
    <row r="127" ht="18.75" customHeight="1">
      <c r="C127" s="37" t="b">
        <v>0</v>
      </c>
      <c r="E127" s="112"/>
    </row>
    <row r="128" ht="18.75" customHeight="1">
      <c r="C128" s="37" t="b">
        <v>0</v>
      </c>
      <c r="E128" s="112"/>
    </row>
    <row r="129" ht="18.75" customHeight="1">
      <c r="C129" s="37" t="b">
        <v>0</v>
      </c>
      <c r="E129" s="112"/>
    </row>
    <row r="130" ht="18.75" customHeight="1">
      <c r="C130" s="37" t="b">
        <v>0</v>
      </c>
      <c r="E130" s="112"/>
    </row>
    <row r="131" ht="18.75" customHeight="1">
      <c r="C131" s="37" t="b">
        <v>0</v>
      </c>
      <c r="E131" s="112"/>
    </row>
    <row r="132" ht="18.75" customHeight="1">
      <c r="C132" s="37" t="b">
        <v>0</v>
      </c>
      <c r="E132" s="112"/>
    </row>
    <row r="133" ht="18.75" customHeight="1">
      <c r="C133" s="37" t="b">
        <v>0</v>
      </c>
      <c r="E133" s="112"/>
    </row>
    <row r="134" ht="18.75" customHeight="1">
      <c r="C134" s="37" t="b">
        <v>0</v>
      </c>
      <c r="E134" s="112"/>
    </row>
    <row r="135" ht="18.75" customHeight="1">
      <c r="C135" s="37" t="b">
        <v>0</v>
      </c>
      <c r="E135" s="112"/>
    </row>
    <row r="136" ht="18.75" customHeight="1">
      <c r="C136" s="37" t="b">
        <v>0</v>
      </c>
      <c r="E136" s="112"/>
    </row>
    <row r="137" ht="18.75" customHeight="1">
      <c r="C137" s="37" t="b">
        <v>0</v>
      </c>
      <c r="E137" s="112"/>
    </row>
    <row r="138" ht="18.75" customHeight="1">
      <c r="C138" s="37" t="b">
        <v>0</v>
      </c>
      <c r="E138" s="112"/>
    </row>
    <row r="139" ht="18.75" customHeight="1">
      <c r="C139" s="37" t="b">
        <v>0</v>
      </c>
      <c r="E139" s="112"/>
    </row>
    <row r="140" ht="18.75" customHeight="1">
      <c r="C140" s="37" t="b">
        <v>0</v>
      </c>
      <c r="E140" s="112"/>
    </row>
    <row r="141" ht="18.75" customHeight="1">
      <c r="C141" s="37" t="b">
        <v>0</v>
      </c>
      <c r="E141" s="112"/>
    </row>
    <row r="142" ht="18.75" customHeight="1">
      <c r="C142" s="37" t="b">
        <v>0</v>
      </c>
      <c r="E142" s="112"/>
    </row>
    <row r="143" ht="18.75" customHeight="1">
      <c r="C143" s="37" t="b">
        <v>0</v>
      </c>
      <c r="E143" s="112"/>
    </row>
    <row r="144" ht="18.75" customHeight="1">
      <c r="C144" s="37" t="b">
        <v>0</v>
      </c>
      <c r="E144" s="112"/>
    </row>
    <row r="145" ht="18.75" customHeight="1">
      <c r="C145" s="37" t="b">
        <v>0</v>
      </c>
      <c r="E145" s="112"/>
    </row>
    <row r="146" ht="18.75" customHeight="1">
      <c r="C146" s="37" t="b">
        <v>0</v>
      </c>
      <c r="E146" s="112"/>
    </row>
    <row r="147" ht="18.75" customHeight="1">
      <c r="C147" s="37" t="b">
        <v>0</v>
      </c>
      <c r="E147" s="112"/>
    </row>
    <row r="148" ht="18.75" customHeight="1">
      <c r="C148" s="37" t="b">
        <v>0</v>
      </c>
      <c r="E148" s="112"/>
    </row>
    <row r="149" ht="18.75" customHeight="1">
      <c r="C149" s="37" t="b">
        <v>0</v>
      </c>
      <c r="E149" s="112"/>
    </row>
    <row r="150" ht="18.75" customHeight="1">
      <c r="C150" s="37" t="b">
        <v>0</v>
      </c>
      <c r="E150" s="112"/>
    </row>
    <row r="151" ht="18.75" customHeight="1">
      <c r="C151" s="37" t="b">
        <v>0</v>
      </c>
      <c r="E151" s="112"/>
    </row>
    <row r="152" ht="18.75" customHeight="1">
      <c r="C152" s="37" t="b">
        <v>0</v>
      </c>
      <c r="E152" s="112"/>
    </row>
    <row r="153" ht="18.75" customHeight="1">
      <c r="C153" s="37" t="b">
        <v>0</v>
      </c>
      <c r="E153" s="112"/>
    </row>
    <row r="154" ht="18.75" customHeight="1">
      <c r="C154" s="37" t="b">
        <v>0</v>
      </c>
      <c r="E154" s="112"/>
    </row>
    <row r="155" ht="18.75" customHeight="1">
      <c r="C155" s="37" t="b">
        <v>0</v>
      </c>
      <c r="E155" s="112"/>
    </row>
    <row r="156" ht="18.75" customHeight="1">
      <c r="C156" s="37" t="b">
        <v>0</v>
      </c>
      <c r="E156" s="112"/>
    </row>
    <row r="157" ht="18.75" customHeight="1">
      <c r="C157" s="37" t="b">
        <v>0</v>
      </c>
      <c r="E157" s="112"/>
    </row>
    <row r="158" ht="18.75" customHeight="1">
      <c r="C158" s="37" t="b">
        <v>0</v>
      </c>
      <c r="E158" s="112"/>
    </row>
    <row r="159" ht="18.75" customHeight="1">
      <c r="C159" s="37" t="b">
        <v>0</v>
      </c>
      <c r="E159" s="112"/>
    </row>
    <row r="160" ht="18.75" customHeight="1">
      <c r="C160" s="37" t="b">
        <v>0</v>
      </c>
      <c r="E160" s="112"/>
    </row>
    <row r="161" ht="18.75" customHeight="1">
      <c r="C161" s="37" t="b">
        <v>0</v>
      </c>
      <c r="E161" s="112"/>
    </row>
    <row r="162" ht="18.75" customHeight="1">
      <c r="C162" s="37" t="b">
        <v>0</v>
      </c>
      <c r="E162" s="112"/>
    </row>
    <row r="163" ht="18.75" customHeight="1">
      <c r="C163" s="37" t="b">
        <v>0</v>
      </c>
      <c r="E163" s="112"/>
    </row>
    <row r="164" ht="18.75" customHeight="1">
      <c r="C164" s="37" t="b">
        <v>0</v>
      </c>
      <c r="E164" s="112"/>
    </row>
    <row r="165" ht="18.75" customHeight="1">
      <c r="C165" s="37" t="b">
        <v>0</v>
      </c>
      <c r="E165" s="112"/>
    </row>
    <row r="166" ht="18.75" customHeight="1">
      <c r="C166" s="37" t="b">
        <v>0</v>
      </c>
      <c r="E166" s="112"/>
    </row>
    <row r="167" ht="18.75" customHeight="1">
      <c r="C167" s="37" t="b">
        <v>0</v>
      </c>
      <c r="E167" s="112"/>
    </row>
    <row r="168" ht="18.75" customHeight="1">
      <c r="C168" s="37" t="b">
        <v>0</v>
      </c>
      <c r="E168" s="112"/>
    </row>
    <row r="169" ht="18.75" customHeight="1">
      <c r="C169" s="37" t="b">
        <v>0</v>
      </c>
      <c r="E169" s="112"/>
    </row>
    <row r="170" ht="18.75" customHeight="1">
      <c r="C170" s="37" t="b">
        <v>0</v>
      </c>
      <c r="E170" s="112"/>
    </row>
    <row r="171" ht="18.75" customHeight="1">
      <c r="C171" s="37" t="b">
        <v>0</v>
      </c>
      <c r="E171" s="112"/>
    </row>
    <row r="172" ht="18.75" customHeight="1">
      <c r="C172" s="37" t="b">
        <v>0</v>
      </c>
      <c r="E172" s="112"/>
    </row>
    <row r="173" ht="18.75" customHeight="1">
      <c r="C173" s="37" t="b">
        <v>0</v>
      </c>
      <c r="E173" s="112"/>
    </row>
    <row r="174" ht="18.75" customHeight="1">
      <c r="C174" s="37" t="b">
        <v>0</v>
      </c>
      <c r="E174" s="112"/>
    </row>
    <row r="175" ht="18.75" customHeight="1">
      <c r="C175" s="37" t="b">
        <v>0</v>
      </c>
      <c r="E175" s="112"/>
    </row>
    <row r="176" ht="18.75" customHeight="1">
      <c r="C176" s="37" t="b">
        <v>0</v>
      </c>
      <c r="E176" s="112"/>
    </row>
    <row r="177" ht="18.75" customHeight="1">
      <c r="C177" s="37" t="b">
        <v>0</v>
      </c>
      <c r="E177" s="112"/>
    </row>
    <row r="178" ht="18.75" customHeight="1">
      <c r="C178" s="37" t="b">
        <v>0</v>
      </c>
      <c r="E178" s="112"/>
    </row>
    <row r="179" ht="18.75" customHeight="1">
      <c r="C179" s="37" t="b">
        <v>0</v>
      </c>
      <c r="E179" s="112"/>
    </row>
    <row r="180" ht="18.75" customHeight="1">
      <c r="C180" s="37" t="b">
        <v>0</v>
      </c>
      <c r="E180" s="112"/>
    </row>
    <row r="181" ht="18.75" customHeight="1">
      <c r="C181" s="37" t="b">
        <v>0</v>
      </c>
      <c r="E181" s="112"/>
    </row>
    <row r="182" ht="18.75" customHeight="1">
      <c r="C182" s="37" t="b">
        <v>0</v>
      </c>
      <c r="E182" s="112"/>
    </row>
    <row r="183" ht="18.75" customHeight="1">
      <c r="C183" s="37" t="b">
        <v>0</v>
      </c>
      <c r="E183" s="112"/>
    </row>
    <row r="184" ht="18.75" customHeight="1">
      <c r="C184" s="37" t="b">
        <v>0</v>
      </c>
      <c r="E184" s="112"/>
    </row>
    <row r="185" ht="18.75" customHeight="1">
      <c r="C185" s="37" t="b">
        <v>0</v>
      </c>
      <c r="E185" s="112"/>
    </row>
    <row r="186" ht="18.75" customHeight="1">
      <c r="C186" s="37" t="b">
        <v>0</v>
      </c>
      <c r="E186" s="112"/>
    </row>
    <row r="187" ht="18.75" customHeight="1">
      <c r="C187" s="37" t="b">
        <v>0</v>
      </c>
      <c r="E187" s="112"/>
    </row>
    <row r="188" ht="18.75" customHeight="1">
      <c r="C188" s="37" t="b">
        <v>0</v>
      </c>
      <c r="E188" s="112"/>
    </row>
    <row r="189" ht="18.75" customHeight="1">
      <c r="C189" s="37" t="b">
        <v>0</v>
      </c>
      <c r="E189" s="112"/>
    </row>
    <row r="190" ht="18.75" customHeight="1">
      <c r="C190" s="37" t="b">
        <v>0</v>
      </c>
      <c r="E190" s="112"/>
    </row>
    <row r="191" ht="18.75" customHeight="1">
      <c r="C191" s="37" t="b">
        <v>0</v>
      </c>
      <c r="E191" s="112"/>
    </row>
    <row r="192" ht="18.75" customHeight="1">
      <c r="C192" s="37" t="b">
        <v>0</v>
      </c>
      <c r="E192" s="112"/>
    </row>
    <row r="193" ht="18.75" customHeight="1">
      <c r="C193" s="37" t="b">
        <v>0</v>
      </c>
      <c r="E193" s="112"/>
    </row>
    <row r="194" ht="18.75" customHeight="1">
      <c r="C194" s="37" t="b">
        <v>0</v>
      </c>
      <c r="E194" s="112"/>
    </row>
    <row r="195" ht="18.75" customHeight="1">
      <c r="C195" s="37" t="b">
        <v>0</v>
      </c>
      <c r="E195" s="112"/>
    </row>
    <row r="196" ht="18.75" customHeight="1">
      <c r="C196" s="37" t="b">
        <v>0</v>
      </c>
      <c r="E196" s="112"/>
    </row>
    <row r="197" ht="18.75" customHeight="1">
      <c r="C197" s="37" t="b">
        <v>0</v>
      </c>
      <c r="E197" s="112"/>
    </row>
    <row r="198" ht="18.75" customHeight="1">
      <c r="C198" s="37" t="b">
        <v>0</v>
      </c>
      <c r="E198" s="112"/>
    </row>
    <row r="199" ht="18.75" customHeight="1">
      <c r="C199" s="37" t="b">
        <v>0</v>
      </c>
      <c r="E199" s="112"/>
    </row>
    <row r="200" ht="18.75" customHeight="1">
      <c r="C200" s="37" t="b">
        <v>0</v>
      </c>
      <c r="E200" s="112"/>
    </row>
    <row r="201" ht="18.75" customHeight="1">
      <c r="C201" s="37" t="b">
        <v>0</v>
      </c>
      <c r="E201" s="112"/>
    </row>
    <row r="202" ht="18.75" customHeight="1">
      <c r="C202" s="37" t="b">
        <v>0</v>
      </c>
      <c r="E202" s="112"/>
    </row>
    <row r="203" ht="18.75" customHeight="1">
      <c r="C203" s="37" t="b">
        <v>0</v>
      </c>
      <c r="E203" s="112"/>
    </row>
    <row r="204" ht="18.75" customHeight="1">
      <c r="C204" s="37" t="b">
        <v>0</v>
      </c>
      <c r="E204" s="112"/>
    </row>
    <row r="205" ht="18.75" customHeight="1">
      <c r="C205" s="37" t="b">
        <v>0</v>
      </c>
      <c r="E205" s="112"/>
    </row>
    <row r="206" ht="18.75" customHeight="1">
      <c r="C206" s="37" t="b">
        <v>0</v>
      </c>
      <c r="E206" s="112"/>
    </row>
    <row r="207" ht="18.75" customHeight="1">
      <c r="C207" s="37" t="b">
        <v>0</v>
      </c>
      <c r="E207" s="112"/>
    </row>
    <row r="208" ht="18.75" customHeight="1">
      <c r="C208" s="37" t="b">
        <v>0</v>
      </c>
      <c r="E208" s="112"/>
    </row>
    <row r="209" ht="18.75" customHeight="1">
      <c r="C209" s="37" t="b">
        <v>0</v>
      </c>
      <c r="E209" s="112"/>
    </row>
    <row r="210" ht="18.75" customHeight="1">
      <c r="C210" s="37" t="b">
        <v>0</v>
      </c>
      <c r="E210" s="112"/>
    </row>
    <row r="211" ht="18.75" customHeight="1">
      <c r="C211" s="37" t="b">
        <v>0</v>
      </c>
      <c r="E211" s="112"/>
    </row>
    <row r="212" ht="18.75" customHeight="1">
      <c r="C212" s="37" t="b">
        <v>0</v>
      </c>
      <c r="E212" s="112"/>
    </row>
    <row r="213" ht="18.75" customHeight="1">
      <c r="C213" s="37" t="b">
        <v>0</v>
      </c>
      <c r="E213" s="112"/>
    </row>
    <row r="214" ht="18.75" customHeight="1">
      <c r="C214" s="37" t="b">
        <v>0</v>
      </c>
      <c r="E214" s="112"/>
    </row>
    <row r="215" ht="18.75" customHeight="1">
      <c r="C215" s="37" t="b">
        <v>0</v>
      </c>
      <c r="E215" s="112"/>
    </row>
    <row r="216" ht="18.75" customHeight="1">
      <c r="C216" s="37" t="b">
        <v>0</v>
      </c>
      <c r="E216" s="112"/>
    </row>
    <row r="217" ht="18.75" customHeight="1">
      <c r="C217" s="37" t="b">
        <v>0</v>
      </c>
      <c r="E217" s="112"/>
    </row>
    <row r="218" ht="18.75" customHeight="1">
      <c r="C218" s="37" t="b">
        <v>0</v>
      </c>
      <c r="E218" s="112"/>
    </row>
    <row r="219" ht="18.75" customHeight="1">
      <c r="C219" s="37" t="b">
        <v>0</v>
      </c>
      <c r="E219" s="112"/>
    </row>
    <row r="220" ht="18.75" customHeight="1">
      <c r="C220" s="37" t="b">
        <v>0</v>
      </c>
      <c r="E220" s="112"/>
    </row>
    <row r="221" ht="18.75" customHeight="1">
      <c r="C221" s="37" t="b">
        <v>0</v>
      </c>
      <c r="E221" s="112"/>
    </row>
    <row r="222" ht="18.75" customHeight="1">
      <c r="C222" s="37" t="b">
        <v>0</v>
      </c>
      <c r="E222" s="112"/>
    </row>
    <row r="223" ht="18.75" customHeight="1">
      <c r="C223" s="37" t="b">
        <v>0</v>
      </c>
      <c r="E223" s="112"/>
    </row>
    <row r="224" ht="18.75" customHeight="1">
      <c r="C224" s="37" t="b">
        <v>0</v>
      </c>
      <c r="E224" s="112"/>
    </row>
    <row r="225" ht="18.75" customHeight="1">
      <c r="C225" s="37" t="b">
        <v>0</v>
      </c>
      <c r="E225" s="112"/>
    </row>
    <row r="226" ht="18.75" customHeight="1">
      <c r="C226" s="37" t="b">
        <v>0</v>
      </c>
      <c r="E226" s="112"/>
    </row>
    <row r="227" ht="18.75" customHeight="1">
      <c r="C227" s="37" t="b">
        <v>0</v>
      </c>
      <c r="E227" s="112"/>
    </row>
    <row r="228" ht="18.75" customHeight="1">
      <c r="C228" s="37" t="b">
        <v>0</v>
      </c>
      <c r="E228" s="112"/>
    </row>
    <row r="229" ht="18.75" customHeight="1">
      <c r="C229" s="37" t="b">
        <v>0</v>
      </c>
      <c r="E229" s="112"/>
    </row>
    <row r="230" ht="18.75" customHeight="1">
      <c r="C230" s="37" t="b">
        <v>0</v>
      </c>
      <c r="E230" s="112"/>
    </row>
    <row r="231" ht="18.75" customHeight="1">
      <c r="C231" s="37" t="b">
        <v>0</v>
      </c>
      <c r="E231" s="112"/>
    </row>
    <row r="232" ht="18.75" customHeight="1">
      <c r="C232" s="37" t="b">
        <v>0</v>
      </c>
      <c r="E232" s="112"/>
    </row>
    <row r="233" ht="18.75" customHeight="1">
      <c r="C233" s="37" t="b">
        <v>0</v>
      </c>
      <c r="E233" s="112"/>
    </row>
    <row r="234" ht="18.75" customHeight="1">
      <c r="C234" s="37" t="b">
        <v>0</v>
      </c>
      <c r="E234" s="112"/>
    </row>
    <row r="235" ht="18.75" customHeight="1">
      <c r="C235" s="37" t="b">
        <v>0</v>
      </c>
      <c r="E235" s="112"/>
    </row>
    <row r="236" ht="18.75" customHeight="1">
      <c r="C236" s="37" t="b">
        <v>0</v>
      </c>
      <c r="E236" s="112"/>
    </row>
    <row r="237" ht="18.75" customHeight="1">
      <c r="C237" s="37" t="b">
        <v>0</v>
      </c>
      <c r="E237" s="112"/>
    </row>
    <row r="238" ht="18.75" customHeight="1">
      <c r="C238" s="37" t="b">
        <v>0</v>
      </c>
      <c r="E238" s="112"/>
    </row>
    <row r="239" ht="18.75" customHeight="1">
      <c r="C239" s="37" t="b">
        <v>0</v>
      </c>
      <c r="E239" s="112"/>
    </row>
    <row r="240" ht="18.75" customHeight="1">
      <c r="C240" s="37" t="b">
        <v>0</v>
      </c>
      <c r="E240" s="112"/>
    </row>
    <row r="241" ht="18.75" customHeight="1">
      <c r="C241" s="37" t="b">
        <v>0</v>
      </c>
      <c r="E241" s="112"/>
    </row>
    <row r="242" ht="18.75" customHeight="1">
      <c r="C242" s="37" t="b">
        <v>0</v>
      </c>
      <c r="E242" s="112"/>
    </row>
    <row r="243" ht="18.75" customHeight="1">
      <c r="C243" s="37" t="b">
        <v>0</v>
      </c>
      <c r="E243" s="112"/>
    </row>
    <row r="244" ht="18.75" customHeight="1">
      <c r="C244" s="37" t="b">
        <v>0</v>
      </c>
      <c r="E244" s="112"/>
    </row>
    <row r="245" ht="18.75" customHeight="1">
      <c r="C245" s="37" t="b">
        <v>0</v>
      </c>
      <c r="E245" s="112"/>
    </row>
    <row r="246" ht="18.75" customHeight="1">
      <c r="C246" s="37" t="b">
        <v>0</v>
      </c>
      <c r="E246" s="112"/>
    </row>
    <row r="247" ht="18.75" customHeight="1">
      <c r="C247" s="37" t="b">
        <v>0</v>
      </c>
      <c r="E247" s="112"/>
    </row>
    <row r="248" ht="18.75" customHeight="1">
      <c r="C248" s="37" t="b">
        <v>0</v>
      </c>
      <c r="E248" s="112"/>
    </row>
    <row r="249" ht="18.75" customHeight="1">
      <c r="C249" s="37" t="b">
        <v>0</v>
      </c>
      <c r="E249" s="112"/>
    </row>
    <row r="250" ht="18.75" customHeight="1">
      <c r="C250" s="37" t="b">
        <v>0</v>
      </c>
      <c r="E250" s="112"/>
    </row>
    <row r="251" ht="18.75" customHeight="1">
      <c r="C251" s="37" t="b">
        <v>0</v>
      </c>
      <c r="E251" s="112"/>
    </row>
    <row r="252" ht="18.75" customHeight="1">
      <c r="C252" s="37" t="b">
        <v>0</v>
      </c>
      <c r="E252" s="112"/>
    </row>
    <row r="253" ht="18.75" customHeight="1">
      <c r="C253" s="37" t="b">
        <v>0</v>
      </c>
      <c r="E253" s="112"/>
    </row>
    <row r="254" ht="18.75" customHeight="1">
      <c r="C254" s="37" t="b">
        <v>0</v>
      </c>
      <c r="E254" s="112"/>
    </row>
    <row r="255" ht="18.75" customHeight="1">
      <c r="C255" s="37" t="b">
        <v>0</v>
      </c>
      <c r="E255" s="112"/>
    </row>
    <row r="256" ht="18.75" customHeight="1">
      <c r="C256" s="37" t="b">
        <v>0</v>
      </c>
      <c r="E256" s="112"/>
    </row>
    <row r="257" ht="18.75" customHeight="1">
      <c r="C257" s="37" t="b">
        <v>0</v>
      </c>
      <c r="E257" s="112"/>
    </row>
    <row r="258" ht="18.75" customHeight="1">
      <c r="C258" s="37" t="b">
        <v>0</v>
      </c>
      <c r="E258" s="112"/>
    </row>
    <row r="259" ht="18.75" customHeight="1">
      <c r="C259" s="37" t="b">
        <v>0</v>
      </c>
      <c r="E259" s="112"/>
    </row>
    <row r="260" ht="18.75" customHeight="1">
      <c r="C260" s="37" t="b">
        <v>0</v>
      </c>
      <c r="E260" s="112"/>
    </row>
    <row r="261" ht="18.75" customHeight="1">
      <c r="C261" s="37" t="b">
        <v>0</v>
      </c>
      <c r="E261" s="112"/>
    </row>
    <row r="262" ht="18.75" customHeight="1">
      <c r="C262" s="37" t="b">
        <v>0</v>
      </c>
      <c r="E262" s="112"/>
    </row>
    <row r="263" ht="18.75" customHeight="1">
      <c r="C263" s="37" t="b">
        <v>0</v>
      </c>
      <c r="E263" s="112"/>
    </row>
    <row r="264" ht="18.75" customHeight="1">
      <c r="C264" s="37" t="b">
        <v>0</v>
      </c>
      <c r="E264" s="112"/>
    </row>
    <row r="265" ht="18.75" customHeight="1">
      <c r="C265" s="37" t="b">
        <v>0</v>
      </c>
      <c r="E265" s="112"/>
    </row>
    <row r="266" ht="18.75" customHeight="1">
      <c r="C266" s="37" t="b">
        <v>0</v>
      </c>
      <c r="E266" s="112"/>
    </row>
    <row r="267" ht="18.75" customHeight="1">
      <c r="C267" s="37" t="b">
        <v>0</v>
      </c>
      <c r="E267" s="112"/>
    </row>
    <row r="268" ht="18.75" customHeight="1">
      <c r="C268" s="37" t="b">
        <v>0</v>
      </c>
      <c r="E268" s="112"/>
    </row>
    <row r="269" ht="18.75" customHeight="1">
      <c r="C269" s="37" t="b">
        <v>0</v>
      </c>
      <c r="E269" s="112"/>
    </row>
    <row r="270" ht="18.75" customHeight="1">
      <c r="C270" s="37" t="b">
        <v>0</v>
      </c>
      <c r="E270" s="112"/>
    </row>
    <row r="271" ht="18.75" customHeight="1">
      <c r="C271" s="37" t="b">
        <v>0</v>
      </c>
      <c r="E271" s="112"/>
    </row>
    <row r="272" ht="18.75" customHeight="1">
      <c r="C272" s="37" t="b">
        <v>0</v>
      </c>
      <c r="E272" s="112"/>
    </row>
    <row r="273" ht="18.75" customHeight="1">
      <c r="C273" s="37" t="b">
        <v>0</v>
      </c>
      <c r="E273" s="112"/>
    </row>
    <row r="274" ht="18.75" customHeight="1">
      <c r="C274" s="37" t="b">
        <v>0</v>
      </c>
      <c r="E274" s="112"/>
    </row>
    <row r="275" ht="18.75" customHeight="1">
      <c r="C275" s="37" t="b">
        <v>0</v>
      </c>
      <c r="E275" s="112"/>
    </row>
    <row r="276" ht="18.75" customHeight="1">
      <c r="C276" s="37" t="b">
        <v>0</v>
      </c>
      <c r="E276" s="112"/>
    </row>
    <row r="277" ht="18.75" customHeight="1">
      <c r="C277" s="37" t="b">
        <v>0</v>
      </c>
      <c r="E277" s="112"/>
    </row>
    <row r="278" ht="18.75" customHeight="1">
      <c r="C278" s="37" t="b">
        <v>0</v>
      </c>
      <c r="E278" s="112"/>
    </row>
    <row r="279" ht="18.75" customHeight="1">
      <c r="C279" s="37" t="b">
        <v>0</v>
      </c>
      <c r="E279" s="112"/>
    </row>
    <row r="280" ht="18.75" customHeight="1">
      <c r="C280" s="37" t="b">
        <v>0</v>
      </c>
      <c r="E280" s="112"/>
    </row>
    <row r="281" ht="18.75" customHeight="1">
      <c r="C281" s="37" t="b">
        <v>0</v>
      </c>
      <c r="E281" s="112"/>
    </row>
    <row r="282" ht="18.75" customHeight="1">
      <c r="C282" s="37" t="b">
        <v>0</v>
      </c>
      <c r="E282" s="112"/>
    </row>
    <row r="283" ht="18.75" customHeight="1">
      <c r="C283" s="37" t="b">
        <v>0</v>
      </c>
      <c r="E283" s="112"/>
    </row>
    <row r="284" ht="18.75" customHeight="1">
      <c r="C284" s="37" t="b">
        <v>0</v>
      </c>
      <c r="E284" s="112"/>
    </row>
    <row r="285" ht="18.75" customHeight="1">
      <c r="C285" s="37" t="b">
        <v>0</v>
      </c>
      <c r="E285" s="112"/>
    </row>
    <row r="286" ht="18.75" customHeight="1">
      <c r="C286" s="37" t="b">
        <v>0</v>
      </c>
      <c r="E286" s="112"/>
    </row>
    <row r="287" ht="18.75" customHeight="1">
      <c r="C287" s="37" t="b">
        <v>0</v>
      </c>
      <c r="E287" s="112"/>
    </row>
    <row r="288" ht="18.75" customHeight="1">
      <c r="C288" s="37" t="b">
        <v>0</v>
      </c>
      <c r="E288" s="112"/>
    </row>
    <row r="289" ht="18.75" customHeight="1">
      <c r="C289" s="37" t="b">
        <v>0</v>
      </c>
      <c r="E289" s="112"/>
    </row>
    <row r="290" ht="18.75" customHeight="1">
      <c r="C290" s="37" t="b">
        <v>0</v>
      </c>
      <c r="E290" s="112"/>
    </row>
    <row r="291" ht="18.75" customHeight="1">
      <c r="C291" s="37" t="b">
        <v>0</v>
      </c>
      <c r="E291" s="112"/>
    </row>
    <row r="292" ht="18.75" customHeight="1">
      <c r="C292" s="37" t="b">
        <v>0</v>
      </c>
      <c r="E292" s="112"/>
    </row>
    <row r="293" ht="18.75" customHeight="1">
      <c r="C293" s="37" t="b">
        <v>0</v>
      </c>
      <c r="E293" s="112"/>
    </row>
    <row r="294" ht="18.75" customHeight="1">
      <c r="C294" s="37" t="b">
        <v>0</v>
      </c>
      <c r="E294" s="112"/>
    </row>
    <row r="295" ht="18.75" customHeight="1">
      <c r="C295" s="37" t="b">
        <v>0</v>
      </c>
      <c r="E295" s="112"/>
    </row>
    <row r="296" ht="18.75" customHeight="1">
      <c r="C296" s="37" t="b">
        <v>0</v>
      </c>
      <c r="E296" s="112"/>
    </row>
    <row r="297" ht="18.75" customHeight="1">
      <c r="C297" s="37" t="b">
        <v>0</v>
      </c>
      <c r="E297" s="112"/>
    </row>
    <row r="298" ht="18.75" customHeight="1">
      <c r="C298" s="37" t="b">
        <v>0</v>
      </c>
      <c r="E298" s="112"/>
    </row>
    <row r="299" ht="18.75" customHeight="1">
      <c r="C299" s="37" t="b">
        <v>0</v>
      </c>
      <c r="E299" s="112"/>
    </row>
    <row r="300" ht="18.75" customHeight="1">
      <c r="C300" s="37" t="b">
        <v>0</v>
      </c>
      <c r="E300" s="112"/>
    </row>
    <row r="301" ht="18.75" customHeight="1">
      <c r="C301" s="37" t="b">
        <v>0</v>
      </c>
      <c r="E301" s="112"/>
    </row>
    <row r="302" ht="18.75" customHeight="1">
      <c r="C302" s="37" t="b">
        <v>0</v>
      </c>
      <c r="E302" s="112"/>
    </row>
    <row r="303" ht="18.75" customHeight="1">
      <c r="C303" s="37" t="b">
        <v>0</v>
      </c>
      <c r="E303" s="112"/>
    </row>
    <row r="304" ht="18.75" customHeight="1">
      <c r="C304" s="37" t="b">
        <v>0</v>
      </c>
      <c r="E304" s="112"/>
    </row>
    <row r="305" ht="18.75" customHeight="1">
      <c r="C305" s="37" t="b">
        <v>0</v>
      </c>
      <c r="E305" s="112"/>
    </row>
    <row r="306" ht="18.75" customHeight="1">
      <c r="C306" s="37" t="b">
        <v>0</v>
      </c>
      <c r="E306" s="112"/>
    </row>
    <row r="307" ht="18.75" customHeight="1">
      <c r="C307" s="37" t="b">
        <v>0</v>
      </c>
      <c r="E307" s="112"/>
    </row>
    <row r="308" ht="18.75" customHeight="1">
      <c r="C308" s="37" t="b">
        <v>0</v>
      </c>
      <c r="E308" s="112"/>
    </row>
    <row r="309" ht="18.75" customHeight="1">
      <c r="C309" s="37" t="b">
        <v>0</v>
      </c>
      <c r="E309" s="112"/>
    </row>
    <row r="310" ht="18.75" customHeight="1">
      <c r="C310" s="37" t="b">
        <v>0</v>
      </c>
      <c r="E310" s="112"/>
    </row>
    <row r="311" ht="18.75" customHeight="1">
      <c r="C311" s="37" t="b">
        <v>0</v>
      </c>
      <c r="E311" s="112"/>
    </row>
    <row r="312" ht="18.75" customHeight="1">
      <c r="C312" s="37" t="b">
        <v>0</v>
      </c>
      <c r="E312" s="112"/>
    </row>
    <row r="313" ht="18.75" customHeight="1">
      <c r="C313" s="37" t="b">
        <v>0</v>
      </c>
      <c r="E313" s="112"/>
    </row>
    <row r="314" ht="18.75" customHeight="1">
      <c r="C314" s="37" t="b">
        <v>0</v>
      </c>
      <c r="E314" s="112"/>
    </row>
    <row r="315" ht="18.75" customHeight="1">
      <c r="C315" s="37" t="b">
        <v>0</v>
      </c>
      <c r="E315" s="112"/>
    </row>
    <row r="316" ht="18.75" customHeight="1">
      <c r="C316" s="37" t="b">
        <v>0</v>
      </c>
      <c r="E316" s="112"/>
    </row>
    <row r="317" ht="18.75" customHeight="1">
      <c r="C317" s="37" t="b">
        <v>0</v>
      </c>
      <c r="E317" s="112"/>
    </row>
    <row r="318" ht="18.75" customHeight="1">
      <c r="C318" s="37" t="b">
        <v>0</v>
      </c>
      <c r="E318" s="112"/>
    </row>
    <row r="319" ht="18.75" customHeight="1">
      <c r="C319" s="37" t="b">
        <v>0</v>
      </c>
      <c r="E319" s="112"/>
    </row>
    <row r="320" ht="18.75" customHeight="1">
      <c r="C320" s="37" t="b">
        <v>0</v>
      </c>
      <c r="E320" s="112"/>
    </row>
    <row r="321" ht="18.75" customHeight="1">
      <c r="C321" s="37" t="b">
        <v>0</v>
      </c>
      <c r="E321" s="112"/>
    </row>
    <row r="322" ht="18.75" customHeight="1">
      <c r="C322" s="37" t="b">
        <v>0</v>
      </c>
      <c r="E322" s="112"/>
    </row>
    <row r="323" ht="18.75" customHeight="1">
      <c r="C323" s="37" t="b">
        <v>0</v>
      </c>
      <c r="E323" s="112"/>
    </row>
    <row r="324" ht="18.75" customHeight="1">
      <c r="C324" s="37" t="b">
        <v>0</v>
      </c>
      <c r="E324" s="112"/>
    </row>
    <row r="325" ht="18.75" customHeight="1">
      <c r="C325" s="37" t="b">
        <v>0</v>
      </c>
      <c r="E325" s="112"/>
    </row>
    <row r="326" ht="18.75" customHeight="1">
      <c r="C326" s="37" t="b">
        <v>0</v>
      </c>
      <c r="E326" s="112"/>
    </row>
    <row r="327" ht="18.75" customHeight="1">
      <c r="C327" s="37" t="b">
        <v>0</v>
      </c>
      <c r="E327" s="112"/>
    </row>
    <row r="328" ht="18.75" customHeight="1">
      <c r="C328" s="37" t="b">
        <v>0</v>
      </c>
      <c r="E328" s="112"/>
    </row>
    <row r="329" ht="18.75" customHeight="1">
      <c r="C329" s="37" t="b">
        <v>0</v>
      </c>
      <c r="E329" s="112"/>
    </row>
    <row r="330" ht="18.75" customHeight="1">
      <c r="C330" s="37" t="b">
        <v>0</v>
      </c>
      <c r="E330" s="112"/>
    </row>
    <row r="331" ht="18.75" customHeight="1">
      <c r="C331" s="37" t="b">
        <v>0</v>
      </c>
      <c r="E331" s="112"/>
    </row>
    <row r="332" ht="18.75" customHeight="1">
      <c r="C332" s="37" t="b">
        <v>0</v>
      </c>
      <c r="E332" s="112"/>
    </row>
    <row r="333" ht="18.75" customHeight="1">
      <c r="C333" s="37" t="b">
        <v>0</v>
      </c>
      <c r="E333" s="112"/>
    </row>
    <row r="334" ht="18.75" customHeight="1">
      <c r="C334" s="37" t="b">
        <v>0</v>
      </c>
      <c r="E334" s="112"/>
    </row>
    <row r="335" ht="18.75" customHeight="1">
      <c r="C335" s="37" t="b">
        <v>0</v>
      </c>
      <c r="E335" s="112"/>
    </row>
    <row r="336" ht="18.75" customHeight="1">
      <c r="C336" s="37" t="b">
        <v>0</v>
      </c>
      <c r="E336" s="112"/>
    </row>
    <row r="337" ht="18.75" customHeight="1">
      <c r="C337" s="37" t="b">
        <v>0</v>
      </c>
      <c r="E337" s="112"/>
    </row>
    <row r="338" ht="18.75" customHeight="1">
      <c r="C338" s="37" t="b">
        <v>0</v>
      </c>
      <c r="E338" s="112"/>
    </row>
    <row r="339" ht="18.75" customHeight="1">
      <c r="C339" s="37" t="b">
        <v>0</v>
      </c>
      <c r="E339" s="112"/>
    </row>
    <row r="340" ht="18.75" customHeight="1">
      <c r="C340" s="37" t="b">
        <v>0</v>
      </c>
      <c r="E340" s="112"/>
    </row>
    <row r="341" ht="18.75" customHeight="1">
      <c r="C341" s="37" t="b">
        <v>0</v>
      </c>
      <c r="E341" s="112"/>
    </row>
    <row r="342" ht="18.75" customHeight="1">
      <c r="C342" s="37" t="b">
        <v>0</v>
      </c>
      <c r="E342" s="112"/>
    </row>
    <row r="343" ht="18.75" customHeight="1">
      <c r="C343" s="37" t="b">
        <v>0</v>
      </c>
      <c r="E343" s="112"/>
    </row>
    <row r="344" ht="18.75" customHeight="1">
      <c r="C344" s="37" t="b">
        <v>0</v>
      </c>
      <c r="E344" s="112"/>
    </row>
    <row r="345" ht="18.75" customHeight="1">
      <c r="C345" s="37" t="b">
        <v>0</v>
      </c>
      <c r="E345" s="112"/>
    </row>
    <row r="346" ht="18.75" customHeight="1">
      <c r="C346" s="37" t="b">
        <v>0</v>
      </c>
      <c r="E346" s="112"/>
    </row>
    <row r="347" ht="18.75" customHeight="1">
      <c r="C347" s="37" t="b">
        <v>0</v>
      </c>
      <c r="E347" s="112"/>
    </row>
    <row r="348" ht="18.75" customHeight="1">
      <c r="C348" s="37" t="b">
        <v>0</v>
      </c>
      <c r="E348" s="112"/>
    </row>
    <row r="349" ht="18.75" customHeight="1">
      <c r="C349" s="37" t="b">
        <v>0</v>
      </c>
      <c r="E349" s="112"/>
    </row>
    <row r="350" ht="18.75" customHeight="1">
      <c r="C350" s="37" t="b">
        <v>0</v>
      </c>
      <c r="E350" s="112"/>
    </row>
    <row r="351" ht="18.75" customHeight="1">
      <c r="C351" s="37" t="b">
        <v>0</v>
      </c>
      <c r="E351" s="112"/>
    </row>
    <row r="352" ht="18.75" customHeight="1">
      <c r="C352" s="37" t="b">
        <v>0</v>
      </c>
      <c r="E352" s="112"/>
    </row>
    <row r="353" ht="18.75" customHeight="1">
      <c r="C353" s="37" t="b">
        <v>0</v>
      </c>
      <c r="E353" s="112"/>
    </row>
    <row r="354" ht="18.75" customHeight="1">
      <c r="C354" s="37" t="b">
        <v>0</v>
      </c>
      <c r="E354" s="112"/>
    </row>
    <row r="355" ht="18.75" customHeight="1">
      <c r="C355" s="37" t="b">
        <v>0</v>
      </c>
      <c r="E355" s="112"/>
    </row>
    <row r="356" ht="18.75" customHeight="1">
      <c r="C356" s="37" t="b">
        <v>0</v>
      </c>
      <c r="E356" s="112"/>
    </row>
    <row r="357" ht="18.75" customHeight="1">
      <c r="C357" s="37" t="b">
        <v>0</v>
      </c>
      <c r="E357" s="112"/>
    </row>
    <row r="358" ht="18.75" customHeight="1">
      <c r="C358" s="37" t="b">
        <v>0</v>
      </c>
      <c r="E358" s="112"/>
    </row>
    <row r="359" ht="18.75" customHeight="1">
      <c r="C359" s="37" t="b">
        <v>0</v>
      </c>
      <c r="E359" s="112"/>
    </row>
    <row r="360" ht="18.75" customHeight="1">
      <c r="C360" s="37" t="b">
        <v>0</v>
      </c>
      <c r="E360" s="112"/>
    </row>
    <row r="361" ht="18.75" customHeight="1">
      <c r="C361" s="37" t="b">
        <v>0</v>
      </c>
      <c r="E361" s="112"/>
    </row>
    <row r="362" ht="18.75" customHeight="1">
      <c r="C362" s="37" t="b">
        <v>0</v>
      </c>
      <c r="E362" s="112"/>
    </row>
    <row r="363" ht="18.75" customHeight="1">
      <c r="C363" s="37" t="b">
        <v>0</v>
      </c>
      <c r="E363" s="112"/>
    </row>
    <row r="364" ht="18.75" customHeight="1">
      <c r="C364" s="37" t="b">
        <v>0</v>
      </c>
      <c r="E364" s="112"/>
    </row>
    <row r="365" ht="18.75" customHeight="1">
      <c r="C365" s="37" t="b">
        <v>0</v>
      </c>
      <c r="E365" s="112"/>
    </row>
    <row r="366" ht="18.75" customHeight="1">
      <c r="C366" s="37" t="b">
        <v>0</v>
      </c>
      <c r="E366" s="112"/>
    </row>
    <row r="367" ht="18.75" customHeight="1">
      <c r="C367" s="37" t="b">
        <v>0</v>
      </c>
      <c r="E367" s="112"/>
    </row>
    <row r="368" ht="18.75" customHeight="1">
      <c r="C368" s="37" t="b">
        <v>0</v>
      </c>
      <c r="E368" s="112"/>
    </row>
    <row r="369" ht="18.75" customHeight="1">
      <c r="C369" s="37" t="b">
        <v>0</v>
      </c>
      <c r="E369" s="112"/>
    </row>
    <row r="370" ht="18.75" customHeight="1">
      <c r="C370" s="37" t="b">
        <v>0</v>
      </c>
      <c r="E370" s="112"/>
    </row>
    <row r="371" ht="18.75" customHeight="1">
      <c r="C371" s="37" t="b">
        <v>0</v>
      </c>
      <c r="E371" s="112"/>
    </row>
    <row r="372" ht="18.75" customHeight="1">
      <c r="C372" s="37" t="b">
        <v>0</v>
      </c>
      <c r="E372" s="112"/>
    </row>
    <row r="373" ht="18.75" customHeight="1">
      <c r="C373" s="37" t="b">
        <v>0</v>
      </c>
      <c r="E373" s="112"/>
    </row>
    <row r="374" ht="18.75" customHeight="1">
      <c r="C374" s="37" t="b">
        <v>0</v>
      </c>
      <c r="E374" s="112"/>
    </row>
    <row r="375" ht="18.75" customHeight="1">
      <c r="C375" s="37" t="b">
        <v>0</v>
      </c>
      <c r="E375" s="112"/>
    </row>
    <row r="376" ht="18.75" customHeight="1">
      <c r="C376" s="37" t="b">
        <v>0</v>
      </c>
      <c r="E376" s="112"/>
    </row>
    <row r="377" ht="18.75" customHeight="1">
      <c r="C377" s="37" t="b">
        <v>0</v>
      </c>
      <c r="E377" s="112"/>
    </row>
    <row r="378" ht="18.75" customHeight="1">
      <c r="C378" s="37" t="b">
        <v>0</v>
      </c>
      <c r="E378" s="112"/>
    </row>
    <row r="379" ht="18.75" customHeight="1">
      <c r="C379" s="37" t="b">
        <v>0</v>
      </c>
      <c r="E379" s="112"/>
    </row>
    <row r="380" ht="18.75" customHeight="1">
      <c r="C380" s="37" t="b">
        <v>0</v>
      </c>
      <c r="E380" s="112"/>
    </row>
    <row r="381" ht="18.75" customHeight="1">
      <c r="C381" s="37" t="b">
        <v>0</v>
      </c>
      <c r="E381" s="112"/>
    </row>
    <row r="382" ht="18.75" customHeight="1">
      <c r="C382" s="37" t="b">
        <v>0</v>
      </c>
      <c r="E382" s="112"/>
    </row>
    <row r="383" ht="18.75" customHeight="1">
      <c r="C383" s="37" t="b">
        <v>0</v>
      </c>
      <c r="E383" s="112"/>
    </row>
    <row r="384" ht="18.75" customHeight="1">
      <c r="C384" s="37" t="b">
        <v>0</v>
      </c>
      <c r="E384" s="112"/>
    </row>
    <row r="385" ht="18.75" customHeight="1">
      <c r="C385" s="37" t="b">
        <v>0</v>
      </c>
      <c r="E385" s="112"/>
    </row>
    <row r="386" ht="18.75" customHeight="1">
      <c r="C386" s="37" t="b">
        <v>0</v>
      </c>
      <c r="E386" s="112"/>
    </row>
    <row r="387" ht="18.75" customHeight="1">
      <c r="C387" s="37" t="b">
        <v>0</v>
      </c>
      <c r="E387" s="112"/>
    </row>
    <row r="388" ht="18.75" customHeight="1">
      <c r="C388" s="37" t="b">
        <v>0</v>
      </c>
      <c r="E388" s="112"/>
    </row>
    <row r="389" ht="18.75" customHeight="1">
      <c r="C389" s="37" t="b">
        <v>0</v>
      </c>
      <c r="E389" s="112"/>
    </row>
    <row r="390" ht="18.75" customHeight="1">
      <c r="C390" s="37" t="b">
        <v>0</v>
      </c>
      <c r="E390" s="112"/>
    </row>
    <row r="391" ht="18.75" customHeight="1">
      <c r="C391" s="37" t="b">
        <v>0</v>
      </c>
      <c r="E391" s="112"/>
    </row>
    <row r="392" ht="18.75" customHeight="1">
      <c r="C392" s="37" t="b">
        <v>0</v>
      </c>
      <c r="E392" s="112"/>
    </row>
    <row r="393" ht="18.75" customHeight="1">
      <c r="C393" s="37" t="b">
        <v>0</v>
      </c>
      <c r="E393" s="112"/>
    </row>
    <row r="394" ht="18.75" customHeight="1">
      <c r="C394" s="37" t="b">
        <v>0</v>
      </c>
      <c r="E394" s="112"/>
    </row>
    <row r="395" ht="18.75" customHeight="1">
      <c r="C395" s="37" t="b">
        <v>0</v>
      </c>
      <c r="E395" s="112"/>
    </row>
    <row r="396" ht="18.75" customHeight="1">
      <c r="C396" s="37" t="b">
        <v>0</v>
      </c>
      <c r="E396" s="112"/>
    </row>
    <row r="397" ht="18.75" customHeight="1">
      <c r="C397" s="37" t="b">
        <v>0</v>
      </c>
      <c r="E397" s="112"/>
    </row>
    <row r="398" ht="18.75" customHeight="1">
      <c r="C398" s="37" t="b">
        <v>0</v>
      </c>
      <c r="E398" s="112"/>
    </row>
    <row r="399" ht="18.75" customHeight="1">
      <c r="C399" s="37" t="b">
        <v>0</v>
      </c>
      <c r="E399" s="112"/>
    </row>
    <row r="400" ht="18.75" customHeight="1">
      <c r="C400" s="37" t="b">
        <v>0</v>
      </c>
      <c r="E400" s="112"/>
    </row>
    <row r="401" ht="18.75" customHeight="1">
      <c r="C401" s="37" t="b">
        <v>0</v>
      </c>
      <c r="E401" s="112"/>
    </row>
    <row r="402" ht="18.75" customHeight="1">
      <c r="C402" s="37" t="b">
        <v>0</v>
      </c>
      <c r="E402" s="112"/>
    </row>
    <row r="403" ht="18.75" customHeight="1">
      <c r="C403" s="37" t="b">
        <v>0</v>
      </c>
      <c r="E403" s="112"/>
    </row>
    <row r="404" ht="18.75" customHeight="1">
      <c r="C404" s="37" t="b">
        <v>0</v>
      </c>
      <c r="E404" s="112"/>
    </row>
    <row r="405" ht="18.75" customHeight="1">
      <c r="C405" s="37" t="b">
        <v>0</v>
      </c>
      <c r="E405" s="112"/>
    </row>
    <row r="406" ht="18.75" customHeight="1">
      <c r="C406" s="37" t="b">
        <v>0</v>
      </c>
      <c r="E406" s="112"/>
    </row>
    <row r="407" ht="18.75" customHeight="1">
      <c r="C407" s="37" t="b">
        <v>0</v>
      </c>
      <c r="E407" s="112"/>
    </row>
    <row r="408" ht="18.75" customHeight="1">
      <c r="C408" s="37" t="b">
        <v>0</v>
      </c>
      <c r="E408" s="112"/>
    </row>
    <row r="409" ht="18.75" customHeight="1">
      <c r="C409" s="37" t="b">
        <v>0</v>
      </c>
      <c r="E409" s="112"/>
    </row>
    <row r="410" ht="18.75" customHeight="1">
      <c r="C410" s="37" t="b">
        <v>0</v>
      </c>
      <c r="E410" s="112"/>
    </row>
    <row r="411" ht="18.75" customHeight="1">
      <c r="C411" s="37" t="b">
        <v>0</v>
      </c>
      <c r="E411" s="112"/>
    </row>
    <row r="412" ht="18.75" customHeight="1">
      <c r="C412" s="37" t="b">
        <v>0</v>
      </c>
      <c r="E412" s="112"/>
    </row>
    <row r="413" ht="18.75" customHeight="1">
      <c r="C413" s="37" t="b">
        <v>0</v>
      </c>
      <c r="E413" s="112"/>
    </row>
    <row r="414" ht="18.75" customHeight="1">
      <c r="C414" s="37" t="b">
        <v>0</v>
      </c>
      <c r="E414" s="112"/>
    </row>
    <row r="415" ht="18.75" customHeight="1">
      <c r="C415" s="37" t="b">
        <v>0</v>
      </c>
      <c r="E415" s="112"/>
    </row>
    <row r="416" ht="18.75" customHeight="1">
      <c r="C416" s="37" t="b">
        <v>0</v>
      </c>
      <c r="E416" s="112"/>
    </row>
    <row r="417" ht="18.75" customHeight="1">
      <c r="C417" s="37" t="b">
        <v>0</v>
      </c>
      <c r="E417" s="112"/>
    </row>
    <row r="418" ht="18.75" customHeight="1">
      <c r="C418" s="37" t="b">
        <v>0</v>
      </c>
      <c r="E418" s="112"/>
    </row>
    <row r="419" ht="18.75" customHeight="1">
      <c r="C419" s="37" t="b">
        <v>0</v>
      </c>
      <c r="E419" s="112"/>
    </row>
    <row r="420" ht="18.75" customHeight="1">
      <c r="C420" s="37" t="b">
        <v>0</v>
      </c>
      <c r="E420" s="112"/>
    </row>
    <row r="421" ht="18.75" customHeight="1">
      <c r="C421" s="37" t="b">
        <v>0</v>
      </c>
      <c r="E421" s="112"/>
    </row>
    <row r="422" ht="18.75" customHeight="1">
      <c r="C422" s="37" t="b">
        <v>0</v>
      </c>
      <c r="E422" s="112"/>
    </row>
    <row r="423" ht="18.75" customHeight="1">
      <c r="C423" s="37" t="b">
        <v>0</v>
      </c>
      <c r="E423" s="112"/>
    </row>
    <row r="424" ht="18.75" customHeight="1">
      <c r="C424" s="37" t="b">
        <v>0</v>
      </c>
      <c r="E424" s="112"/>
    </row>
    <row r="425" ht="18.75" customHeight="1">
      <c r="C425" s="37" t="b">
        <v>0</v>
      </c>
      <c r="E425" s="112"/>
    </row>
    <row r="426" ht="18.75" customHeight="1">
      <c r="C426" s="37" t="b">
        <v>0</v>
      </c>
      <c r="E426" s="112"/>
    </row>
    <row r="427" ht="18.75" customHeight="1">
      <c r="C427" s="37" t="b">
        <v>0</v>
      </c>
      <c r="E427" s="112"/>
    </row>
    <row r="428" ht="18.75" customHeight="1">
      <c r="C428" s="37" t="b">
        <v>0</v>
      </c>
      <c r="E428" s="112"/>
    </row>
    <row r="429" ht="18.75" customHeight="1">
      <c r="C429" s="37" t="b">
        <v>0</v>
      </c>
      <c r="E429" s="112"/>
    </row>
    <row r="430" ht="18.75" customHeight="1">
      <c r="C430" s="37" t="b">
        <v>0</v>
      </c>
      <c r="E430" s="112"/>
    </row>
    <row r="431" ht="18.75" customHeight="1">
      <c r="C431" s="37" t="b">
        <v>0</v>
      </c>
      <c r="E431" s="112"/>
    </row>
    <row r="432" ht="18.75" customHeight="1">
      <c r="C432" s="37" t="b">
        <v>0</v>
      </c>
      <c r="E432" s="112"/>
    </row>
    <row r="433" ht="18.75" customHeight="1">
      <c r="C433" s="37" t="b">
        <v>0</v>
      </c>
      <c r="E433" s="112"/>
    </row>
    <row r="434" ht="18.75" customHeight="1">
      <c r="C434" s="37" t="b">
        <v>0</v>
      </c>
      <c r="E434" s="112"/>
    </row>
    <row r="435" ht="18.75" customHeight="1">
      <c r="C435" s="37" t="b">
        <v>0</v>
      </c>
      <c r="E435" s="112"/>
    </row>
    <row r="436" ht="18.75" customHeight="1">
      <c r="C436" s="37" t="b">
        <v>0</v>
      </c>
      <c r="E436" s="112"/>
    </row>
    <row r="437" ht="18.75" customHeight="1">
      <c r="C437" s="37" t="b">
        <v>0</v>
      </c>
      <c r="E437" s="112"/>
    </row>
    <row r="438" ht="18.75" customHeight="1">
      <c r="C438" s="37" t="b">
        <v>0</v>
      </c>
      <c r="E438" s="112"/>
    </row>
    <row r="439" ht="18.75" customHeight="1">
      <c r="C439" s="37" t="b">
        <v>0</v>
      </c>
      <c r="E439" s="112"/>
    </row>
    <row r="440" ht="18.75" customHeight="1">
      <c r="C440" s="37" t="b">
        <v>0</v>
      </c>
      <c r="E440" s="112"/>
    </row>
    <row r="441" ht="18.75" customHeight="1">
      <c r="C441" s="37" t="b">
        <v>0</v>
      </c>
      <c r="E441" s="112"/>
    </row>
    <row r="442" ht="18.75" customHeight="1">
      <c r="C442" s="37" t="b">
        <v>0</v>
      </c>
      <c r="E442" s="112"/>
    </row>
    <row r="443" ht="18.75" customHeight="1">
      <c r="C443" s="37" t="b">
        <v>0</v>
      </c>
      <c r="E443" s="112"/>
    </row>
    <row r="444" ht="18.75" customHeight="1">
      <c r="C444" s="37" t="b">
        <v>0</v>
      </c>
      <c r="E444" s="112"/>
    </row>
    <row r="445" ht="18.75" customHeight="1">
      <c r="C445" s="37" t="b">
        <v>0</v>
      </c>
      <c r="E445" s="112"/>
    </row>
    <row r="446" ht="18.75" customHeight="1">
      <c r="C446" s="37" t="b">
        <v>0</v>
      </c>
      <c r="E446" s="112"/>
    </row>
    <row r="447" ht="18.75" customHeight="1">
      <c r="C447" s="37" t="b">
        <v>0</v>
      </c>
      <c r="E447" s="112"/>
    </row>
    <row r="448" ht="18.75" customHeight="1">
      <c r="C448" s="37" t="b">
        <v>0</v>
      </c>
      <c r="E448" s="112"/>
    </row>
    <row r="449" ht="18.75" customHeight="1">
      <c r="C449" s="37" t="b">
        <v>0</v>
      </c>
      <c r="E449" s="112"/>
    </row>
    <row r="450" ht="18.75" customHeight="1">
      <c r="C450" s="37" t="b">
        <v>0</v>
      </c>
      <c r="E450" s="112"/>
    </row>
    <row r="451" ht="18.75" customHeight="1">
      <c r="C451" s="37" t="b">
        <v>0</v>
      </c>
      <c r="E451" s="112"/>
    </row>
    <row r="452" ht="18.75" customHeight="1">
      <c r="C452" s="37" t="b">
        <v>0</v>
      </c>
      <c r="E452" s="112"/>
    </row>
    <row r="453" ht="18.75" customHeight="1">
      <c r="C453" s="37" t="b">
        <v>0</v>
      </c>
      <c r="E453" s="112"/>
    </row>
    <row r="454" ht="18.75" customHeight="1">
      <c r="C454" s="37" t="b">
        <v>0</v>
      </c>
      <c r="E454" s="112"/>
    </row>
    <row r="455" ht="18.75" customHeight="1">
      <c r="C455" s="37" t="b">
        <v>0</v>
      </c>
      <c r="E455" s="112"/>
    </row>
    <row r="456" ht="18.75" customHeight="1">
      <c r="C456" s="37" t="b">
        <v>0</v>
      </c>
      <c r="E456" s="112"/>
    </row>
    <row r="457" ht="18.75" customHeight="1">
      <c r="C457" s="37" t="b">
        <v>0</v>
      </c>
      <c r="E457" s="112"/>
    </row>
    <row r="458" ht="18.75" customHeight="1">
      <c r="C458" s="37" t="b">
        <v>0</v>
      </c>
      <c r="E458" s="112"/>
    </row>
    <row r="459" ht="18.75" customHeight="1">
      <c r="C459" s="37" t="b">
        <v>0</v>
      </c>
      <c r="E459" s="112"/>
    </row>
    <row r="460" ht="18.75" customHeight="1">
      <c r="C460" s="37" t="b">
        <v>0</v>
      </c>
      <c r="E460" s="112"/>
    </row>
    <row r="461" ht="18.75" customHeight="1">
      <c r="C461" s="37" t="b">
        <v>0</v>
      </c>
      <c r="E461" s="112"/>
    </row>
    <row r="462" ht="18.75" customHeight="1">
      <c r="C462" s="37" t="b">
        <v>0</v>
      </c>
      <c r="E462" s="112"/>
    </row>
    <row r="463" ht="18.75" customHeight="1">
      <c r="C463" s="37" t="b">
        <v>0</v>
      </c>
      <c r="E463" s="112"/>
    </row>
    <row r="464" ht="18.75" customHeight="1">
      <c r="C464" s="37" t="b">
        <v>0</v>
      </c>
      <c r="E464" s="112"/>
    </row>
    <row r="465" ht="18.75" customHeight="1">
      <c r="C465" s="37" t="b">
        <v>0</v>
      </c>
      <c r="E465" s="112"/>
    </row>
    <row r="466" ht="18.75" customHeight="1">
      <c r="C466" s="37" t="b">
        <v>0</v>
      </c>
      <c r="E466" s="112"/>
    </row>
    <row r="467" ht="18.75" customHeight="1">
      <c r="C467" s="37" t="b">
        <v>0</v>
      </c>
      <c r="E467" s="112"/>
    </row>
    <row r="468" ht="18.75" customHeight="1">
      <c r="C468" s="37" t="b">
        <v>0</v>
      </c>
      <c r="E468" s="112"/>
    </row>
    <row r="469" ht="18.75" customHeight="1">
      <c r="C469" s="37" t="b">
        <v>0</v>
      </c>
      <c r="E469" s="112"/>
    </row>
    <row r="470" ht="18.75" customHeight="1">
      <c r="C470" s="37" t="b">
        <v>0</v>
      </c>
      <c r="E470" s="112"/>
    </row>
    <row r="471" ht="18.75" customHeight="1">
      <c r="C471" s="37" t="b">
        <v>0</v>
      </c>
      <c r="E471" s="112"/>
    </row>
    <row r="472" ht="18.75" customHeight="1">
      <c r="C472" s="37" t="b">
        <v>0</v>
      </c>
      <c r="E472" s="112"/>
    </row>
    <row r="473" ht="18.75" customHeight="1">
      <c r="C473" s="37" t="b">
        <v>0</v>
      </c>
      <c r="E473" s="112"/>
    </row>
    <row r="474" ht="18.75" customHeight="1">
      <c r="C474" s="37" t="b">
        <v>0</v>
      </c>
      <c r="E474" s="112"/>
    </row>
    <row r="475" ht="18.75" customHeight="1">
      <c r="C475" s="37" t="b">
        <v>0</v>
      </c>
      <c r="E475" s="112"/>
    </row>
    <row r="476" ht="18.75" customHeight="1">
      <c r="C476" s="37" t="b">
        <v>0</v>
      </c>
      <c r="E476" s="112"/>
    </row>
    <row r="477" ht="18.75" customHeight="1">
      <c r="C477" s="37" t="b">
        <v>0</v>
      </c>
      <c r="E477" s="112"/>
    </row>
    <row r="478" ht="18.75" customHeight="1">
      <c r="C478" s="37" t="b">
        <v>0</v>
      </c>
      <c r="E478" s="112"/>
    </row>
    <row r="479" ht="18.75" customHeight="1">
      <c r="C479" s="37" t="b">
        <v>0</v>
      </c>
      <c r="E479" s="112"/>
    </row>
    <row r="480" ht="18.75" customHeight="1">
      <c r="C480" s="37" t="b">
        <v>0</v>
      </c>
      <c r="E480" s="112"/>
    </row>
    <row r="481" ht="18.75" customHeight="1">
      <c r="C481" s="37" t="b">
        <v>0</v>
      </c>
      <c r="E481" s="112"/>
    </row>
    <row r="482" ht="18.75" customHeight="1">
      <c r="C482" s="37" t="b">
        <v>0</v>
      </c>
      <c r="E482" s="112"/>
    </row>
    <row r="483" ht="18.75" customHeight="1">
      <c r="C483" s="37" t="b">
        <v>0</v>
      </c>
      <c r="E483" s="112"/>
    </row>
    <row r="484" ht="18.75" customHeight="1">
      <c r="C484" s="37" t="b">
        <v>0</v>
      </c>
      <c r="E484" s="112"/>
    </row>
    <row r="485" ht="18.75" customHeight="1">
      <c r="C485" s="37" t="b">
        <v>0</v>
      </c>
      <c r="E485" s="112"/>
    </row>
    <row r="486" ht="18.75" customHeight="1">
      <c r="C486" s="37" t="b">
        <v>0</v>
      </c>
      <c r="E486" s="112"/>
    </row>
    <row r="487" ht="18.75" customHeight="1">
      <c r="C487" s="37" t="b">
        <v>0</v>
      </c>
      <c r="E487" s="112"/>
    </row>
    <row r="488" ht="18.75" customHeight="1">
      <c r="C488" s="37" t="b">
        <v>0</v>
      </c>
      <c r="E488" s="112"/>
    </row>
    <row r="489" ht="18.75" customHeight="1">
      <c r="C489" s="37" t="b">
        <v>0</v>
      </c>
      <c r="E489" s="112"/>
    </row>
    <row r="490" ht="18.75" customHeight="1">
      <c r="C490" s="37" t="b">
        <v>0</v>
      </c>
      <c r="E490" s="112"/>
    </row>
    <row r="491" ht="18.75" customHeight="1">
      <c r="C491" s="37" t="b">
        <v>0</v>
      </c>
      <c r="E491" s="112"/>
    </row>
    <row r="492" ht="18.75" customHeight="1">
      <c r="C492" s="37" t="b">
        <v>0</v>
      </c>
      <c r="E492" s="112"/>
    </row>
    <row r="493" ht="18.75" customHeight="1">
      <c r="C493" s="37" t="b">
        <v>0</v>
      </c>
      <c r="E493" s="112"/>
    </row>
    <row r="494" ht="18.75" customHeight="1">
      <c r="C494" s="37" t="b">
        <v>0</v>
      </c>
      <c r="E494" s="112"/>
    </row>
    <row r="495" ht="18.75" customHeight="1">
      <c r="C495" s="37" t="b">
        <v>0</v>
      </c>
      <c r="E495" s="112"/>
    </row>
    <row r="496" ht="18.75" customHeight="1">
      <c r="C496" s="37" t="b">
        <v>0</v>
      </c>
      <c r="E496" s="112"/>
    </row>
    <row r="497" ht="18.75" customHeight="1">
      <c r="C497" s="37" t="b">
        <v>0</v>
      </c>
      <c r="E497" s="112"/>
    </row>
    <row r="498" ht="18.75" customHeight="1">
      <c r="C498" s="37" t="b">
        <v>0</v>
      </c>
      <c r="E498" s="112"/>
    </row>
    <row r="499" ht="18.75" customHeight="1">
      <c r="C499" s="37" t="b">
        <v>0</v>
      </c>
      <c r="E499" s="112"/>
    </row>
    <row r="500" ht="18.75" customHeight="1">
      <c r="C500" s="37" t="b">
        <v>0</v>
      </c>
      <c r="E500" s="112"/>
    </row>
    <row r="501" ht="18.75" customHeight="1">
      <c r="C501" s="37" t="b">
        <v>0</v>
      </c>
      <c r="E501" s="112"/>
    </row>
    <row r="502" ht="18.75" customHeight="1">
      <c r="C502" s="37" t="b">
        <v>0</v>
      </c>
      <c r="E502" s="112"/>
    </row>
    <row r="503" ht="18.75" customHeight="1">
      <c r="C503" s="37" t="b">
        <v>0</v>
      </c>
      <c r="E503" s="112"/>
    </row>
    <row r="504" ht="18.75" customHeight="1">
      <c r="C504" s="37" t="b">
        <v>0</v>
      </c>
      <c r="E504" s="112"/>
    </row>
    <row r="505" ht="18.75" customHeight="1">
      <c r="C505" s="37" t="b">
        <v>0</v>
      </c>
      <c r="E505" s="112"/>
    </row>
    <row r="506" ht="18.75" customHeight="1">
      <c r="C506" s="37" t="b">
        <v>0</v>
      </c>
      <c r="E506" s="112"/>
    </row>
    <row r="507" ht="18.75" customHeight="1">
      <c r="C507" s="37" t="b">
        <v>0</v>
      </c>
      <c r="E507" s="112"/>
    </row>
    <row r="508" ht="18.75" customHeight="1">
      <c r="C508" s="37" t="b">
        <v>0</v>
      </c>
      <c r="E508" s="112"/>
    </row>
    <row r="509" ht="18.75" customHeight="1">
      <c r="C509" s="37" t="b">
        <v>0</v>
      </c>
      <c r="E509" s="112"/>
    </row>
    <row r="510" ht="18.75" customHeight="1">
      <c r="C510" s="37" t="b">
        <v>0</v>
      </c>
      <c r="E510" s="112"/>
    </row>
    <row r="511" ht="18.75" customHeight="1">
      <c r="C511" s="37" t="b">
        <v>0</v>
      </c>
      <c r="E511" s="112"/>
    </row>
    <row r="512" ht="18.75" customHeight="1">
      <c r="C512" s="37" t="b">
        <v>0</v>
      </c>
      <c r="E512" s="112"/>
    </row>
    <row r="513" ht="18.75" customHeight="1">
      <c r="C513" s="37" t="b">
        <v>0</v>
      </c>
      <c r="E513" s="112"/>
    </row>
    <row r="514" ht="18.75" customHeight="1">
      <c r="C514" s="37" t="b">
        <v>0</v>
      </c>
      <c r="E514" s="112"/>
    </row>
    <row r="515" ht="18.75" customHeight="1">
      <c r="C515" s="37" t="b">
        <v>0</v>
      </c>
      <c r="E515" s="112"/>
    </row>
    <row r="516" ht="18.75" customHeight="1">
      <c r="C516" s="37" t="b">
        <v>0</v>
      </c>
      <c r="E516" s="112"/>
    </row>
    <row r="517" ht="18.75" customHeight="1">
      <c r="C517" s="37" t="b">
        <v>0</v>
      </c>
      <c r="E517" s="112"/>
    </row>
    <row r="518" ht="18.75" customHeight="1">
      <c r="C518" s="37" t="b">
        <v>0</v>
      </c>
      <c r="E518" s="112"/>
    </row>
    <row r="519" ht="18.75" customHeight="1">
      <c r="C519" s="37" t="b">
        <v>0</v>
      </c>
      <c r="E519" s="112"/>
    </row>
    <row r="520" ht="18.75" customHeight="1">
      <c r="C520" s="37" t="b">
        <v>0</v>
      </c>
      <c r="E520" s="112"/>
    </row>
    <row r="521" ht="18.75" customHeight="1">
      <c r="C521" s="37" t="b">
        <v>0</v>
      </c>
      <c r="E521" s="112"/>
    </row>
    <row r="522" ht="18.75" customHeight="1">
      <c r="C522" s="37" t="b">
        <v>0</v>
      </c>
      <c r="E522" s="112"/>
    </row>
    <row r="523" ht="18.75" customHeight="1">
      <c r="C523" s="37" t="b">
        <v>0</v>
      </c>
      <c r="E523" s="112"/>
    </row>
    <row r="524" ht="18.75" customHeight="1">
      <c r="C524" s="37" t="b">
        <v>0</v>
      </c>
      <c r="E524" s="112"/>
    </row>
    <row r="525" ht="18.75" customHeight="1">
      <c r="C525" s="37" t="b">
        <v>0</v>
      </c>
      <c r="E525" s="112"/>
    </row>
    <row r="526" ht="18.75" customHeight="1">
      <c r="C526" s="37" t="b">
        <v>0</v>
      </c>
      <c r="E526" s="112"/>
    </row>
    <row r="527" ht="18.75" customHeight="1">
      <c r="C527" s="37" t="b">
        <v>0</v>
      </c>
      <c r="E527" s="112"/>
    </row>
    <row r="528" ht="18.75" customHeight="1">
      <c r="C528" s="37" t="b">
        <v>0</v>
      </c>
      <c r="E528" s="112"/>
    </row>
    <row r="529" ht="18.75" customHeight="1">
      <c r="C529" s="37" t="b">
        <v>0</v>
      </c>
      <c r="E529" s="112"/>
    </row>
    <row r="530" ht="18.75" customHeight="1">
      <c r="C530" s="37" t="b">
        <v>0</v>
      </c>
      <c r="E530" s="112"/>
    </row>
    <row r="531" ht="18.75" customHeight="1">
      <c r="C531" s="37" t="b">
        <v>0</v>
      </c>
      <c r="E531" s="112"/>
    </row>
    <row r="532" ht="18.75" customHeight="1">
      <c r="C532" s="37" t="b">
        <v>0</v>
      </c>
      <c r="E532" s="112"/>
    </row>
    <row r="533" ht="18.75" customHeight="1">
      <c r="C533" s="37" t="b">
        <v>0</v>
      </c>
      <c r="E533" s="112"/>
    </row>
    <row r="534" ht="18.75" customHeight="1">
      <c r="C534" s="37" t="b">
        <v>0</v>
      </c>
      <c r="E534" s="112"/>
    </row>
    <row r="535" ht="18.75" customHeight="1">
      <c r="C535" s="37" t="b">
        <v>0</v>
      </c>
      <c r="E535" s="112"/>
    </row>
    <row r="536" ht="18.75" customHeight="1">
      <c r="C536" s="37" t="b">
        <v>0</v>
      </c>
      <c r="E536" s="112"/>
    </row>
    <row r="537" ht="18.75" customHeight="1">
      <c r="C537" s="37" t="b">
        <v>0</v>
      </c>
      <c r="E537" s="112"/>
    </row>
    <row r="538" ht="18.75" customHeight="1">
      <c r="C538" s="37" t="b">
        <v>0</v>
      </c>
      <c r="E538" s="112"/>
    </row>
    <row r="539" ht="18.75" customHeight="1">
      <c r="C539" s="37" t="b">
        <v>0</v>
      </c>
      <c r="E539" s="112"/>
    </row>
    <row r="540" ht="18.75" customHeight="1">
      <c r="C540" s="37" t="b">
        <v>0</v>
      </c>
      <c r="E540" s="112"/>
    </row>
    <row r="541" ht="18.75" customHeight="1">
      <c r="C541" s="37" t="b">
        <v>0</v>
      </c>
      <c r="E541" s="112"/>
    </row>
    <row r="542" ht="18.75" customHeight="1">
      <c r="C542" s="37" t="b">
        <v>0</v>
      </c>
      <c r="E542" s="112"/>
    </row>
    <row r="543" ht="18.75" customHeight="1">
      <c r="C543" s="37" t="b">
        <v>0</v>
      </c>
      <c r="E543" s="112"/>
    </row>
    <row r="544" ht="18.75" customHeight="1">
      <c r="C544" s="37" t="b">
        <v>0</v>
      </c>
      <c r="E544" s="112"/>
    </row>
    <row r="545" ht="18.75" customHeight="1">
      <c r="C545" s="37" t="b">
        <v>0</v>
      </c>
      <c r="E545" s="112"/>
    </row>
    <row r="546" ht="18.75" customHeight="1">
      <c r="C546" s="37" t="b">
        <v>0</v>
      </c>
      <c r="E546" s="112"/>
    </row>
    <row r="547" ht="18.75" customHeight="1">
      <c r="C547" s="37" t="b">
        <v>0</v>
      </c>
      <c r="E547" s="112"/>
    </row>
    <row r="548" ht="18.75" customHeight="1">
      <c r="C548" s="37" t="b">
        <v>0</v>
      </c>
      <c r="E548" s="112"/>
    </row>
    <row r="549" ht="18.75" customHeight="1">
      <c r="C549" s="37" t="b">
        <v>0</v>
      </c>
      <c r="E549" s="112"/>
    </row>
    <row r="550" ht="18.75" customHeight="1">
      <c r="C550" s="37" t="b">
        <v>0</v>
      </c>
      <c r="E550" s="112"/>
    </row>
    <row r="551" ht="18.75" customHeight="1">
      <c r="C551" s="37" t="b">
        <v>0</v>
      </c>
      <c r="E551" s="112"/>
    </row>
    <row r="552" ht="18.75" customHeight="1">
      <c r="C552" s="37" t="b">
        <v>0</v>
      </c>
      <c r="E552" s="112"/>
    </row>
    <row r="553" ht="18.75" customHeight="1">
      <c r="C553" s="37" t="b">
        <v>0</v>
      </c>
      <c r="E553" s="112"/>
    </row>
    <row r="554" ht="18.75" customHeight="1">
      <c r="C554" s="37" t="b">
        <v>0</v>
      </c>
      <c r="E554" s="112"/>
    </row>
    <row r="555" ht="18.75" customHeight="1">
      <c r="C555" s="37" t="b">
        <v>0</v>
      </c>
      <c r="E555" s="112"/>
    </row>
    <row r="556" ht="18.75" customHeight="1">
      <c r="C556" s="37" t="b">
        <v>0</v>
      </c>
      <c r="E556" s="112"/>
    </row>
    <row r="557" ht="18.75" customHeight="1">
      <c r="C557" s="37" t="b">
        <v>0</v>
      </c>
      <c r="E557" s="112"/>
    </row>
    <row r="558" ht="18.75" customHeight="1">
      <c r="C558" s="37" t="b">
        <v>0</v>
      </c>
      <c r="E558" s="112"/>
    </row>
    <row r="559" ht="18.75" customHeight="1">
      <c r="C559" s="37" t="b">
        <v>0</v>
      </c>
      <c r="E559" s="112"/>
    </row>
    <row r="560" ht="18.75" customHeight="1">
      <c r="C560" s="37" t="b">
        <v>0</v>
      </c>
      <c r="E560" s="112"/>
    </row>
    <row r="561" ht="18.75" customHeight="1">
      <c r="C561" s="37" t="b">
        <v>0</v>
      </c>
      <c r="E561" s="112"/>
    </row>
    <row r="562" ht="18.75" customHeight="1">
      <c r="C562" s="37" t="b">
        <v>0</v>
      </c>
      <c r="E562" s="112"/>
    </row>
    <row r="563" ht="18.75" customHeight="1">
      <c r="C563" s="37" t="b">
        <v>0</v>
      </c>
      <c r="E563" s="112"/>
    </row>
    <row r="564" ht="18.75" customHeight="1">
      <c r="C564" s="37" t="b">
        <v>0</v>
      </c>
      <c r="E564" s="112"/>
    </row>
    <row r="565" ht="18.75" customHeight="1">
      <c r="C565" s="37" t="b">
        <v>0</v>
      </c>
      <c r="E565" s="112"/>
    </row>
    <row r="566" ht="18.75" customHeight="1">
      <c r="C566" s="37" t="b">
        <v>0</v>
      </c>
      <c r="E566" s="112"/>
    </row>
    <row r="567" ht="18.75" customHeight="1">
      <c r="C567" s="37" t="b">
        <v>0</v>
      </c>
      <c r="E567" s="112"/>
    </row>
    <row r="568" ht="18.75" customHeight="1">
      <c r="C568" s="37" t="b">
        <v>0</v>
      </c>
      <c r="E568" s="112"/>
    </row>
    <row r="569" ht="18.75" customHeight="1">
      <c r="C569" s="37" t="b">
        <v>0</v>
      </c>
      <c r="E569" s="112"/>
    </row>
    <row r="570" ht="18.75" customHeight="1">
      <c r="C570" s="37" t="b">
        <v>0</v>
      </c>
      <c r="E570" s="112"/>
    </row>
    <row r="571" ht="18.75" customHeight="1">
      <c r="C571" s="37" t="b">
        <v>0</v>
      </c>
      <c r="E571" s="112"/>
    </row>
    <row r="572" ht="18.75" customHeight="1">
      <c r="C572" s="37" t="b">
        <v>0</v>
      </c>
      <c r="E572" s="112"/>
    </row>
    <row r="573" ht="18.75" customHeight="1">
      <c r="C573" s="37" t="b">
        <v>0</v>
      </c>
      <c r="E573" s="112"/>
    </row>
    <row r="574" ht="18.75" customHeight="1">
      <c r="C574" s="37" t="b">
        <v>0</v>
      </c>
      <c r="E574" s="112"/>
    </row>
    <row r="575" ht="18.75" customHeight="1">
      <c r="C575" s="37" t="b">
        <v>0</v>
      </c>
      <c r="E575" s="112"/>
    </row>
    <row r="576" ht="18.75" customHeight="1">
      <c r="C576" s="37" t="b">
        <v>0</v>
      </c>
      <c r="E576" s="112"/>
    </row>
    <row r="577" ht="18.75" customHeight="1">
      <c r="C577" s="37" t="b">
        <v>0</v>
      </c>
      <c r="E577" s="112"/>
    </row>
    <row r="578" ht="18.75" customHeight="1">
      <c r="C578" s="37" t="b">
        <v>0</v>
      </c>
      <c r="E578" s="112"/>
    </row>
    <row r="579" ht="18.75" customHeight="1">
      <c r="C579" s="37" t="b">
        <v>0</v>
      </c>
      <c r="E579" s="112"/>
    </row>
    <row r="580" ht="18.75" customHeight="1">
      <c r="C580" s="37" t="b">
        <v>0</v>
      </c>
      <c r="E580" s="112"/>
    </row>
    <row r="581" ht="18.75" customHeight="1">
      <c r="C581" s="37" t="b">
        <v>0</v>
      </c>
      <c r="E581" s="112"/>
    </row>
    <row r="582" ht="18.75" customHeight="1">
      <c r="C582" s="37" t="b">
        <v>0</v>
      </c>
      <c r="E582" s="112"/>
    </row>
    <row r="583" ht="18.75" customHeight="1">
      <c r="C583" s="37" t="b">
        <v>0</v>
      </c>
      <c r="E583" s="112"/>
    </row>
    <row r="584" ht="18.75" customHeight="1">
      <c r="C584" s="37" t="b">
        <v>0</v>
      </c>
      <c r="E584" s="112"/>
    </row>
    <row r="585" ht="18.75" customHeight="1">
      <c r="C585" s="37" t="b">
        <v>0</v>
      </c>
      <c r="E585" s="112"/>
    </row>
    <row r="586" ht="18.75" customHeight="1">
      <c r="C586" s="37" t="b">
        <v>0</v>
      </c>
      <c r="E586" s="112"/>
    </row>
    <row r="587" ht="18.75" customHeight="1">
      <c r="C587" s="37" t="b">
        <v>0</v>
      </c>
      <c r="E587" s="112"/>
    </row>
    <row r="588" ht="18.75" customHeight="1">
      <c r="C588" s="37" t="b">
        <v>0</v>
      </c>
      <c r="E588" s="112"/>
    </row>
    <row r="589" ht="18.75" customHeight="1">
      <c r="C589" s="37" t="b">
        <v>0</v>
      </c>
      <c r="E589" s="112"/>
    </row>
    <row r="590" ht="18.75" customHeight="1">
      <c r="C590" s="37" t="b">
        <v>0</v>
      </c>
      <c r="E590" s="112"/>
    </row>
    <row r="591" ht="18.75" customHeight="1">
      <c r="C591" s="37" t="b">
        <v>0</v>
      </c>
      <c r="E591" s="112"/>
    </row>
    <row r="592" ht="18.75" customHeight="1">
      <c r="C592" s="37" t="b">
        <v>0</v>
      </c>
      <c r="E592" s="112"/>
    </row>
    <row r="593" ht="18.75" customHeight="1">
      <c r="C593" s="37" t="b">
        <v>0</v>
      </c>
      <c r="E593" s="112"/>
    </row>
    <row r="594" ht="18.75" customHeight="1">
      <c r="C594" s="37" t="b">
        <v>0</v>
      </c>
      <c r="E594" s="112"/>
    </row>
    <row r="595" ht="18.75" customHeight="1">
      <c r="C595" s="37" t="b">
        <v>0</v>
      </c>
      <c r="E595" s="112"/>
    </row>
    <row r="596" ht="18.75" customHeight="1">
      <c r="C596" s="37" t="b">
        <v>0</v>
      </c>
      <c r="E596" s="112"/>
    </row>
    <row r="597" ht="18.75" customHeight="1">
      <c r="C597" s="37" t="b">
        <v>0</v>
      </c>
      <c r="E597" s="112"/>
    </row>
    <row r="598" ht="18.75" customHeight="1">
      <c r="C598" s="37" t="b">
        <v>0</v>
      </c>
      <c r="E598" s="112"/>
    </row>
    <row r="599" ht="18.75" customHeight="1">
      <c r="C599" s="37" t="b">
        <v>0</v>
      </c>
      <c r="E599" s="112"/>
    </row>
    <row r="600" ht="18.75" customHeight="1">
      <c r="C600" s="37" t="b">
        <v>0</v>
      </c>
      <c r="E600" s="112"/>
    </row>
    <row r="601" ht="18.75" customHeight="1">
      <c r="C601" s="37" t="b">
        <v>0</v>
      </c>
      <c r="E601" s="112"/>
    </row>
    <row r="602" ht="18.75" customHeight="1">
      <c r="C602" s="37" t="b">
        <v>0</v>
      </c>
      <c r="E602" s="112"/>
    </row>
    <row r="603" ht="18.75" customHeight="1">
      <c r="C603" s="37" t="b">
        <v>0</v>
      </c>
      <c r="E603" s="112"/>
    </row>
    <row r="604" ht="18.75" customHeight="1">
      <c r="C604" s="37" t="b">
        <v>0</v>
      </c>
      <c r="E604" s="112"/>
    </row>
    <row r="605" ht="18.75" customHeight="1">
      <c r="C605" s="37" t="b">
        <v>0</v>
      </c>
      <c r="E605" s="112"/>
    </row>
    <row r="606" ht="18.75" customHeight="1">
      <c r="C606" s="37" t="b">
        <v>0</v>
      </c>
      <c r="E606" s="112"/>
    </row>
    <row r="607" ht="18.75" customHeight="1">
      <c r="C607" s="37" t="b">
        <v>0</v>
      </c>
      <c r="E607" s="112"/>
    </row>
    <row r="608" ht="18.75" customHeight="1">
      <c r="C608" s="37" t="b">
        <v>0</v>
      </c>
      <c r="E608" s="112"/>
    </row>
    <row r="609" ht="18.75" customHeight="1">
      <c r="C609" s="37" t="b">
        <v>0</v>
      </c>
      <c r="E609" s="112"/>
    </row>
    <row r="610" ht="18.75" customHeight="1">
      <c r="C610" s="37" t="b">
        <v>0</v>
      </c>
      <c r="E610" s="112"/>
    </row>
    <row r="611" ht="18.75" customHeight="1">
      <c r="C611" s="37" t="b">
        <v>0</v>
      </c>
      <c r="E611" s="112"/>
    </row>
    <row r="612" ht="18.75" customHeight="1">
      <c r="C612" s="37" t="b">
        <v>0</v>
      </c>
      <c r="E612" s="112"/>
    </row>
    <row r="613" ht="18.75" customHeight="1">
      <c r="C613" s="37" t="b">
        <v>0</v>
      </c>
      <c r="E613" s="112"/>
    </row>
    <row r="614" ht="18.75" customHeight="1">
      <c r="C614" s="37" t="b">
        <v>0</v>
      </c>
      <c r="E614" s="112"/>
    </row>
    <row r="615" ht="18.75" customHeight="1">
      <c r="C615" s="37" t="b">
        <v>0</v>
      </c>
      <c r="E615" s="112"/>
    </row>
    <row r="616" ht="18.75" customHeight="1">
      <c r="C616" s="37" t="b">
        <v>0</v>
      </c>
      <c r="E616" s="112"/>
    </row>
    <row r="617" ht="18.75" customHeight="1">
      <c r="C617" s="37" t="b">
        <v>0</v>
      </c>
      <c r="E617" s="112"/>
    </row>
    <row r="618" ht="18.75" customHeight="1">
      <c r="C618" s="37" t="b">
        <v>0</v>
      </c>
      <c r="E618" s="112"/>
    </row>
    <row r="619" ht="18.75" customHeight="1">
      <c r="C619" s="37" t="b">
        <v>0</v>
      </c>
      <c r="E619" s="112"/>
    </row>
    <row r="620" ht="18.75" customHeight="1">
      <c r="C620" s="37" t="b">
        <v>0</v>
      </c>
      <c r="E620" s="112"/>
    </row>
    <row r="621" ht="18.75" customHeight="1">
      <c r="C621" s="37" t="b">
        <v>0</v>
      </c>
      <c r="E621" s="112"/>
    </row>
    <row r="622" ht="18.75" customHeight="1">
      <c r="C622" s="37" t="b">
        <v>0</v>
      </c>
      <c r="E622" s="112"/>
    </row>
    <row r="623" ht="18.75" customHeight="1">
      <c r="C623" s="37" t="b">
        <v>0</v>
      </c>
      <c r="E623" s="112"/>
    </row>
    <row r="624" ht="18.75" customHeight="1">
      <c r="C624" s="37" t="b">
        <v>0</v>
      </c>
      <c r="E624" s="112"/>
    </row>
    <row r="625" ht="18.75" customHeight="1">
      <c r="C625" s="37" t="b">
        <v>0</v>
      </c>
      <c r="E625" s="112"/>
    </row>
    <row r="626" ht="18.75" customHeight="1">
      <c r="C626" s="37" t="b">
        <v>0</v>
      </c>
      <c r="E626" s="112"/>
    </row>
    <row r="627" ht="18.75" customHeight="1">
      <c r="C627" s="37" t="b">
        <v>0</v>
      </c>
      <c r="E627" s="112"/>
    </row>
    <row r="628" ht="18.75" customHeight="1">
      <c r="C628" s="37" t="b">
        <v>0</v>
      </c>
      <c r="E628" s="112"/>
    </row>
    <row r="629" ht="18.75" customHeight="1">
      <c r="C629" s="37" t="b">
        <v>0</v>
      </c>
      <c r="E629" s="112"/>
    </row>
    <row r="630" ht="18.75" customHeight="1">
      <c r="C630" s="37" t="b">
        <v>0</v>
      </c>
      <c r="E630" s="112"/>
    </row>
    <row r="631" ht="18.75" customHeight="1">
      <c r="C631" s="37" t="b">
        <v>0</v>
      </c>
      <c r="E631" s="112"/>
    </row>
    <row r="632" ht="18.75" customHeight="1">
      <c r="C632" s="37" t="b">
        <v>0</v>
      </c>
      <c r="E632" s="112"/>
    </row>
    <row r="633" ht="18.75" customHeight="1">
      <c r="C633" s="37" t="b">
        <v>0</v>
      </c>
      <c r="E633" s="112"/>
    </row>
    <row r="634" ht="18.75" customHeight="1">
      <c r="C634" s="37" t="b">
        <v>0</v>
      </c>
      <c r="E634" s="112"/>
    </row>
    <row r="635" ht="18.75" customHeight="1">
      <c r="C635" s="37" t="b">
        <v>0</v>
      </c>
      <c r="E635" s="112"/>
    </row>
    <row r="636" ht="18.75" customHeight="1">
      <c r="C636" s="37" t="b">
        <v>0</v>
      </c>
      <c r="E636" s="112"/>
    </row>
    <row r="637" ht="18.75" customHeight="1">
      <c r="C637" s="37" t="b">
        <v>0</v>
      </c>
      <c r="E637" s="112"/>
    </row>
    <row r="638" ht="18.75" customHeight="1">
      <c r="C638" s="37" t="b">
        <v>0</v>
      </c>
      <c r="E638" s="112"/>
    </row>
    <row r="639" ht="18.75" customHeight="1">
      <c r="C639" s="37" t="b">
        <v>0</v>
      </c>
      <c r="E639" s="112"/>
    </row>
    <row r="640" ht="18.75" customHeight="1">
      <c r="C640" s="37" t="b">
        <v>0</v>
      </c>
      <c r="E640" s="112"/>
    </row>
    <row r="641" ht="18.75" customHeight="1">
      <c r="C641" s="37" t="b">
        <v>0</v>
      </c>
      <c r="E641" s="112"/>
    </row>
    <row r="642" ht="18.75" customHeight="1">
      <c r="C642" s="37" t="b">
        <v>0</v>
      </c>
      <c r="E642" s="112"/>
    </row>
    <row r="643" ht="18.75" customHeight="1">
      <c r="C643" s="37" t="b">
        <v>0</v>
      </c>
      <c r="E643" s="112"/>
    </row>
    <row r="644" ht="18.75" customHeight="1">
      <c r="C644" s="37" t="b">
        <v>0</v>
      </c>
      <c r="E644" s="112"/>
    </row>
    <row r="645" ht="18.75" customHeight="1">
      <c r="C645" s="37" t="b">
        <v>0</v>
      </c>
      <c r="E645" s="112"/>
    </row>
    <row r="646" ht="18.75" customHeight="1">
      <c r="C646" s="37" t="b">
        <v>0</v>
      </c>
      <c r="E646" s="112"/>
    </row>
    <row r="647" ht="18.75" customHeight="1">
      <c r="C647" s="37" t="b">
        <v>0</v>
      </c>
      <c r="E647" s="112"/>
    </row>
    <row r="648" ht="18.75" customHeight="1">
      <c r="C648" s="37" t="b">
        <v>0</v>
      </c>
      <c r="E648" s="112"/>
    </row>
    <row r="649" ht="18.75" customHeight="1">
      <c r="C649" s="37" t="b">
        <v>0</v>
      </c>
      <c r="E649" s="112"/>
    </row>
    <row r="650" ht="18.75" customHeight="1">
      <c r="C650" s="37" t="b">
        <v>0</v>
      </c>
      <c r="E650" s="112"/>
    </row>
    <row r="651" ht="18.75" customHeight="1">
      <c r="C651" s="37" t="b">
        <v>0</v>
      </c>
      <c r="E651" s="112"/>
    </row>
    <row r="652" ht="18.75" customHeight="1">
      <c r="C652" s="37" t="b">
        <v>0</v>
      </c>
      <c r="E652" s="112"/>
    </row>
    <row r="653" ht="18.75" customHeight="1">
      <c r="C653" s="37" t="b">
        <v>0</v>
      </c>
      <c r="E653" s="112"/>
    </row>
    <row r="654" ht="18.75" customHeight="1">
      <c r="C654" s="37" t="b">
        <v>0</v>
      </c>
      <c r="E654" s="112"/>
    </row>
    <row r="655" ht="18.75" customHeight="1">
      <c r="C655" s="37" t="b">
        <v>0</v>
      </c>
      <c r="E655" s="112"/>
    </row>
    <row r="656" ht="18.75" customHeight="1">
      <c r="C656" s="37" t="b">
        <v>0</v>
      </c>
      <c r="E656" s="112"/>
    </row>
    <row r="657" ht="18.75" customHeight="1">
      <c r="C657" s="37" t="b">
        <v>0</v>
      </c>
      <c r="E657" s="112"/>
    </row>
    <row r="658" ht="18.75" customHeight="1">
      <c r="C658" s="37" t="b">
        <v>0</v>
      </c>
      <c r="E658" s="112"/>
    </row>
    <row r="659" ht="18.75" customHeight="1">
      <c r="C659" s="37" t="b">
        <v>0</v>
      </c>
      <c r="E659" s="112"/>
    </row>
    <row r="660" ht="18.75" customHeight="1">
      <c r="C660" s="37" t="b">
        <v>0</v>
      </c>
      <c r="E660" s="112"/>
    </row>
    <row r="661" ht="18.75" customHeight="1">
      <c r="C661" s="37" t="b">
        <v>0</v>
      </c>
      <c r="E661" s="112"/>
    </row>
    <row r="662" ht="18.75" customHeight="1">
      <c r="C662" s="37" t="b">
        <v>0</v>
      </c>
      <c r="E662" s="112"/>
    </row>
    <row r="663" ht="18.75" customHeight="1">
      <c r="C663" s="37" t="b">
        <v>0</v>
      </c>
      <c r="E663" s="112"/>
    </row>
    <row r="664" ht="18.75" customHeight="1">
      <c r="C664" s="37" t="b">
        <v>0</v>
      </c>
      <c r="E664" s="112"/>
    </row>
    <row r="665" ht="18.75" customHeight="1">
      <c r="C665" s="37" t="b">
        <v>0</v>
      </c>
      <c r="E665" s="112"/>
    </row>
    <row r="666" ht="18.75" customHeight="1">
      <c r="C666" s="37" t="b">
        <v>0</v>
      </c>
      <c r="E666" s="112"/>
    </row>
    <row r="667" ht="18.75" customHeight="1">
      <c r="C667" s="37" t="b">
        <v>0</v>
      </c>
      <c r="E667" s="112"/>
    </row>
    <row r="668" ht="18.75" customHeight="1">
      <c r="C668" s="37" t="b">
        <v>0</v>
      </c>
      <c r="E668" s="112"/>
    </row>
    <row r="669" ht="18.75" customHeight="1">
      <c r="C669" s="37" t="b">
        <v>0</v>
      </c>
      <c r="E669" s="112"/>
    </row>
    <row r="670" ht="18.75" customHeight="1">
      <c r="C670" s="37" t="b">
        <v>0</v>
      </c>
      <c r="E670" s="112"/>
    </row>
    <row r="671" ht="18.75" customHeight="1">
      <c r="C671" s="37" t="b">
        <v>0</v>
      </c>
      <c r="E671" s="112"/>
    </row>
    <row r="672" ht="18.75" customHeight="1">
      <c r="C672" s="37" t="b">
        <v>0</v>
      </c>
      <c r="E672" s="112"/>
    </row>
    <row r="673" ht="18.75" customHeight="1">
      <c r="C673" s="37" t="b">
        <v>0</v>
      </c>
      <c r="E673" s="112"/>
    </row>
    <row r="674" ht="18.75" customHeight="1">
      <c r="C674" s="37" t="b">
        <v>0</v>
      </c>
      <c r="E674" s="112"/>
    </row>
    <row r="675" ht="18.75" customHeight="1">
      <c r="C675" s="37" t="b">
        <v>0</v>
      </c>
      <c r="E675" s="112"/>
    </row>
    <row r="676" ht="18.75" customHeight="1">
      <c r="C676" s="37" t="b">
        <v>0</v>
      </c>
      <c r="E676" s="112"/>
    </row>
    <row r="677" ht="18.75" customHeight="1">
      <c r="C677" s="37" t="b">
        <v>0</v>
      </c>
      <c r="E677" s="112"/>
    </row>
    <row r="678" ht="18.75" customHeight="1">
      <c r="C678" s="37" t="b">
        <v>0</v>
      </c>
      <c r="E678" s="112"/>
    </row>
    <row r="679" ht="18.75" customHeight="1">
      <c r="C679" s="37" t="b">
        <v>0</v>
      </c>
      <c r="E679" s="112"/>
    </row>
    <row r="680" ht="18.75" customHeight="1">
      <c r="C680" s="37" t="b">
        <v>0</v>
      </c>
      <c r="E680" s="112"/>
    </row>
    <row r="681" ht="18.75" customHeight="1">
      <c r="C681" s="37" t="b">
        <v>0</v>
      </c>
      <c r="E681" s="112"/>
    </row>
    <row r="682" ht="18.75" customHeight="1">
      <c r="C682" s="37" t="b">
        <v>0</v>
      </c>
      <c r="E682" s="112"/>
    </row>
    <row r="683" ht="18.75" customHeight="1">
      <c r="C683" s="37" t="b">
        <v>0</v>
      </c>
      <c r="E683" s="112"/>
    </row>
    <row r="684" ht="18.75" customHeight="1">
      <c r="C684" s="37" t="b">
        <v>0</v>
      </c>
      <c r="E684" s="112"/>
    </row>
    <row r="685" ht="18.75" customHeight="1">
      <c r="C685" s="37" t="b">
        <v>0</v>
      </c>
      <c r="E685" s="112"/>
    </row>
    <row r="686" ht="18.75" customHeight="1">
      <c r="C686" s="37" t="b">
        <v>0</v>
      </c>
      <c r="E686" s="112"/>
    </row>
    <row r="687" ht="18.75" customHeight="1">
      <c r="C687" s="37" t="b">
        <v>0</v>
      </c>
      <c r="E687" s="112"/>
    </row>
    <row r="688" ht="18.75" customHeight="1">
      <c r="C688" s="37" t="b">
        <v>0</v>
      </c>
      <c r="E688" s="112"/>
    </row>
    <row r="689" ht="18.75" customHeight="1">
      <c r="C689" s="37" t="b">
        <v>0</v>
      </c>
      <c r="E689" s="112"/>
    </row>
    <row r="690" ht="18.75" customHeight="1">
      <c r="C690" s="37" t="b">
        <v>0</v>
      </c>
      <c r="E690" s="112"/>
    </row>
    <row r="691" ht="18.75" customHeight="1">
      <c r="C691" s="37" t="b">
        <v>0</v>
      </c>
      <c r="E691" s="112"/>
    </row>
    <row r="692" ht="18.75" customHeight="1">
      <c r="C692" s="37" t="b">
        <v>0</v>
      </c>
      <c r="E692" s="112"/>
    </row>
    <row r="693" ht="18.75" customHeight="1">
      <c r="C693" s="37" t="b">
        <v>0</v>
      </c>
      <c r="E693" s="112"/>
    </row>
    <row r="694" ht="18.75" customHeight="1">
      <c r="C694" s="37" t="b">
        <v>0</v>
      </c>
      <c r="E694" s="112"/>
    </row>
    <row r="695" ht="18.75" customHeight="1">
      <c r="C695" s="37" t="b">
        <v>0</v>
      </c>
      <c r="E695" s="112"/>
    </row>
    <row r="696" ht="18.75" customHeight="1">
      <c r="C696" s="37" t="b">
        <v>0</v>
      </c>
      <c r="E696" s="112"/>
    </row>
    <row r="697" ht="18.75" customHeight="1">
      <c r="C697" s="37" t="b">
        <v>0</v>
      </c>
      <c r="E697" s="112"/>
    </row>
    <row r="698" ht="18.75" customHeight="1">
      <c r="C698" s="37" t="b">
        <v>0</v>
      </c>
      <c r="E698" s="112"/>
    </row>
    <row r="699" ht="18.75" customHeight="1">
      <c r="C699" s="37" t="b">
        <v>0</v>
      </c>
      <c r="E699" s="112"/>
    </row>
    <row r="700" ht="18.75" customHeight="1">
      <c r="C700" s="37" t="b">
        <v>0</v>
      </c>
      <c r="E700" s="112"/>
    </row>
    <row r="701" ht="18.75" customHeight="1">
      <c r="C701" s="37" t="b">
        <v>0</v>
      </c>
      <c r="E701" s="112"/>
    </row>
    <row r="702" ht="18.75" customHeight="1">
      <c r="C702" s="37" t="b">
        <v>0</v>
      </c>
      <c r="E702" s="112"/>
    </row>
    <row r="703" ht="18.75" customHeight="1">
      <c r="C703" s="37" t="b">
        <v>0</v>
      </c>
      <c r="E703" s="112"/>
    </row>
    <row r="704" ht="18.75" customHeight="1">
      <c r="C704" s="37" t="b">
        <v>0</v>
      </c>
      <c r="E704" s="112"/>
    </row>
    <row r="705" ht="18.75" customHeight="1">
      <c r="C705" s="37" t="b">
        <v>0</v>
      </c>
      <c r="E705" s="112"/>
    </row>
    <row r="706" ht="18.75" customHeight="1">
      <c r="C706" s="37" t="b">
        <v>0</v>
      </c>
      <c r="E706" s="112"/>
    </row>
    <row r="707" ht="18.75" customHeight="1">
      <c r="C707" s="37" t="b">
        <v>0</v>
      </c>
      <c r="E707" s="112"/>
    </row>
    <row r="708" ht="18.75" customHeight="1">
      <c r="C708" s="37" t="b">
        <v>0</v>
      </c>
      <c r="E708" s="112"/>
    </row>
    <row r="709" ht="18.75" customHeight="1">
      <c r="C709" s="37" t="b">
        <v>0</v>
      </c>
      <c r="E709" s="112"/>
    </row>
    <row r="710" ht="18.75" customHeight="1">
      <c r="C710" s="37" t="b">
        <v>0</v>
      </c>
      <c r="E710" s="112"/>
    </row>
    <row r="711" ht="18.75" customHeight="1">
      <c r="C711" s="37" t="b">
        <v>0</v>
      </c>
      <c r="E711" s="112"/>
    </row>
    <row r="712" ht="18.75" customHeight="1">
      <c r="C712" s="37" t="b">
        <v>0</v>
      </c>
      <c r="E712" s="112"/>
    </row>
    <row r="713" ht="18.75" customHeight="1">
      <c r="C713" s="37" t="b">
        <v>0</v>
      </c>
      <c r="E713" s="112"/>
    </row>
    <row r="714" ht="18.75" customHeight="1">
      <c r="C714" s="37" t="b">
        <v>0</v>
      </c>
      <c r="E714" s="112"/>
    </row>
    <row r="715" ht="18.75" customHeight="1">
      <c r="C715" s="37" t="b">
        <v>0</v>
      </c>
      <c r="E715" s="112"/>
    </row>
    <row r="716" ht="18.75" customHeight="1">
      <c r="C716" s="37" t="b">
        <v>0</v>
      </c>
      <c r="E716" s="112"/>
    </row>
    <row r="717" ht="18.75" customHeight="1">
      <c r="C717" s="37" t="b">
        <v>0</v>
      </c>
      <c r="E717" s="112"/>
    </row>
    <row r="718" ht="18.75" customHeight="1">
      <c r="C718" s="37" t="b">
        <v>0</v>
      </c>
      <c r="E718" s="112"/>
    </row>
    <row r="719" ht="18.75" customHeight="1">
      <c r="C719" s="37" t="b">
        <v>0</v>
      </c>
      <c r="E719" s="112"/>
    </row>
    <row r="720" ht="18.75" customHeight="1">
      <c r="C720" s="37" t="b">
        <v>0</v>
      </c>
      <c r="E720" s="112"/>
    </row>
    <row r="721" ht="18.75" customHeight="1">
      <c r="C721" s="37" t="b">
        <v>0</v>
      </c>
      <c r="E721" s="112"/>
    </row>
    <row r="722" ht="18.75" customHeight="1">
      <c r="C722" s="37" t="b">
        <v>0</v>
      </c>
      <c r="E722" s="112"/>
    </row>
    <row r="723" ht="18.75" customHeight="1">
      <c r="C723" s="37" t="b">
        <v>0</v>
      </c>
      <c r="E723" s="112"/>
    </row>
    <row r="724" ht="18.75" customHeight="1">
      <c r="C724" s="37" t="b">
        <v>0</v>
      </c>
      <c r="E724" s="112"/>
    </row>
    <row r="725" ht="18.75" customHeight="1">
      <c r="C725" s="37" t="b">
        <v>0</v>
      </c>
      <c r="E725" s="112"/>
    </row>
    <row r="726" ht="18.75" customHeight="1">
      <c r="C726" s="37" t="b">
        <v>0</v>
      </c>
      <c r="E726" s="112"/>
    </row>
    <row r="727" ht="18.75" customHeight="1">
      <c r="C727" s="37" t="b">
        <v>0</v>
      </c>
      <c r="E727" s="112"/>
    </row>
    <row r="728" ht="18.75" customHeight="1">
      <c r="C728" s="37" t="b">
        <v>0</v>
      </c>
      <c r="E728" s="112"/>
    </row>
    <row r="729" ht="18.75" customHeight="1">
      <c r="C729" s="37" t="b">
        <v>0</v>
      </c>
      <c r="E729" s="112"/>
    </row>
    <row r="730" ht="18.75" customHeight="1">
      <c r="C730" s="37" t="b">
        <v>0</v>
      </c>
      <c r="E730" s="112"/>
    </row>
    <row r="731" ht="18.75" customHeight="1">
      <c r="C731" s="37" t="b">
        <v>0</v>
      </c>
      <c r="E731" s="112"/>
    </row>
    <row r="732" ht="18.75" customHeight="1">
      <c r="C732" s="37" t="b">
        <v>0</v>
      </c>
      <c r="E732" s="112"/>
    </row>
    <row r="733" ht="18.75" customHeight="1">
      <c r="C733" s="37" t="b">
        <v>0</v>
      </c>
      <c r="E733" s="112"/>
    </row>
    <row r="734" ht="18.75" customHeight="1">
      <c r="C734" s="37" t="b">
        <v>0</v>
      </c>
      <c r="E734" s="112"/>
    </row>
    <row r="735" ht="18.75" customHeight="1">
      <c r="C735" s="37" t="b">
        <v>0</v>
      </c>
      <c r="E735" s="112"/>
    </row>
    <row r="736" ht="18.75" customHeight="1">
      <c r="C736" s="37" t="b">
        <v>0</v>
      </c>
      <c r="E736" s="112"/>
    </row>
    <row r="737" ht="18.75" customHeight="1">
      <c r="C737" s="37" t="b">
        <v>0</v>
      </c>
      <c r="E737" s="112"/>
    </row>
    <row r="738" ht="18.75" customHeight="1">
      <c r="C738" s="37" t="b">
        <v>0</v>
      </c>
      <c r="E738" s="112"/>
    </row>
    <row r="739" ht="18.75" customHeight="1">
      <c r="C739" s="37" t="b">
        <v>0</v>
      </c>
      <c r="E739" s="112"/>
    </row>
    <row r="740" ht="18.75" customHeight="1">
      <c r="C740" s="37" t="b">
        <v>0</v>
      </c>
      <c r="E740" s="112"/>
    </row>
    <row r="741" ht="18.75" customHeight="1">
      <c r="C741" s="37" t="b">
        <v>0</v>
      </c>
      <c r="E741" s="112"/>
    </row>
    <row r="742" ht="18.75" customHeight="1">
      <c r="C742" s="37" t="b">
        <v>0</v>
      </c>
      <c r="E742" s="112"/>
    </row>
    <row r="743" ht="18.75" customHeight="1">
      <c r="C743" s="37" t="b">
        <v>0</v>
      </c>
      <c r="E743" s="112"/>
    </row>
    <row r="744" ht="18.75" customHeight="1">
      <c r="C744" s="37" t="b">
        <v>0</v>
      </c>
      <c r="E744" s="112"/>
    </row>
    <row r="745" ht="18.75" customHeight="1">
      <c r="C745" s="37" t="b">
        <v>0</v>
      </c>
      <c r="E745" s="112"/>
    </row>
    <row r="746" ht="18.75" customHeight="1">
      <c r="C746" s="37" t="b">
        <v>0</v>
      </c>
      <c r="E746" s="112"/>
    </row>
    <row r="747" ht="18.75" customHeight="1">
      <c r="C747" s="37" t="b">
        <v>0</v>
      </c>
      <c r="E747" s="112"/>
    </row>
    <row r="748" ht="18.75" customHeight="1">
      <c r="C748" s="37" t="b">
        <v>0</v>
      </c>
      <c r="E748" s="112"/>
    </row>
    <row r="749" ht="18.75" customHeight="1">
      <c r="C749" s="37" t="b">
        <v>0</v>
      </c>
      <c r="E749" s="112"/>
    </row>
    <row r="750" ht="18.75" customHeight="1">
      <c r="C750" s="37" t="b">
        <v>0</v>
      </c>
      <c r="E750" s="112"/>
    </row>
    <row r="751" ht="18.75" customHeight="1">
      <c r="C751" s="37" t="b">
        <v>0</v>
      </c>
      <c r="E751" s="112"/>
    </row>
    <row r="752" ht="18.75" customHeight="1">
      <c r="C752" s="37" t="b">
        <v>0</v>
      </c>
      <c r="E752" s="112"/>
    </row>
    <row r="753" ht="18.75" customHeight="1">
      <c r="C753" s="37" t="b">
        <v>0</v>
      </c>
      <c r="E753" s="112"/>
    </row>
    <row r="754" ht="18.75" customHeight="1">
      <c r="C754" s="37" t="b">
        <v>0</v>
      </c>
      <c r="E754" s="112"/>
    </row>
    <row r="755" ht="18.75" customHeight="1">
      <c r="C755" s="37" t="b">
        <v>0</v>
      </c>
      <c r="E755" s="112"/>
    </row>
    <row r="756" ht="18.75" customHeight="1">
      <c r="C756" s="37" t="b">
        <v>0</v>
      </c>
      <c r="E756" s="112"/>
    </row>
    <row r="757" ht="18.75" customHeight="1">
      <c r="C757" s="37" t="b">
        <v>0</v>
      </c>
      <c r="E757" s="112"/>
    </row>
    <row r="758" ht="18.75" customHeight="1">
      <c r="C758" s="37" t="b">
        <v>0</v>
      </c>
      <c r="E758" s="112"/>
    </row>
    <row r="759" ht="18.75" customHeight="1">
      <c r="C759" s="37" t="b">
        <v>0</v>
      </c>
      <c r="E759" s="112"/>
    </row>
    <row r="760" ht="18.75" customHeight="1">
      <c r="C760" s="37" t="b">
        <v>0</v>
      </c>
      <c r="E760" s="112"/>
    </row>
    <row r="761" ht="18.75" customHeight="1">
      <c r="C761" s="37" t="b">
        <v>0</v>
      </c>
      <c r="E761" s="112"/>
    </row>
    <row r="762" ht="18.75" customHeight="1">
      <c r="C762" s="37" t="b">
        <v>0</v>
      </c>
      <c r="E762" s="112"/>
    </row>
    <row r="763" ht="18.75" customHeight="1">
      <c r="C763" s="37" t="b">
        <v>0</v>
      </c>
      <c r="E763" s="112"/>
    </row>
    <row r="764" ht="18.75" customHeight="1">
      <c r="C764" s="37" t="b">
        <v>0</v>
      </c>
      <c r="E764" s="112"/>
    </row>
    <row r="765" ht="18.75" customHeight="1">
      <c r="C765" s="37" t="b">
        <v>0</v>
      </c>
      <c r="E765" s="112"/>
    </row>
    <row r="766" ht="18.75" customHeight="1">
      <c r="C766" s="37" t="b">
        <v>0</v>
      </c>
      <c r="E766" s="112"/>
    </row>
    <row r="767" ht="18.75" customHeight="1">
      <c r="C767" s="37" t="b">
        <v>0</v>
      </c>
      <c r="E767" s="112"/>
    </row>
    <row r="768" ht="18.75" customHeight="1">
      <c r="C768" s="37" t="b">
        <v>0</v>
      </c>
      <c r="E768" s="112"/>
    </row>
    <row r="769" ht="18.75" customHeight="1">
      <c r="C769" s="37" t="b">
        <v>0</v>
      </c>
      <c r="E769" s="112"/>
    </row>
    <row r="770" ht="18.75" customHeight="1">
      <c r="C770" s="37" t="b">
        <v>0</v>
      </c>
      <c r="E770" s="112"/>
    </row>
    <row r="771" ht="18.75" customHeight="1">
      <c r="C771" s="37" t="b">
        <v>0</v>
      </c>
      <c r="E771" s="112"/>
    </row>
    <row r="772" ht="18.75" customHeight="1">
      <c r="C772" s="37" t="b">
        <v>0</v>
      </c>
      <c r="E772" s="112"/>
    </row>
    <row r="773" ht="18.75" customHeight="1">
      <c r="C773" s="37" t="b">
        <v>0</v>
      </c>
      <c r="E773" s="112"/>
    </row>
    <row r="774" ht="18.75" customHeight="1">
      <c r="C774" s="37" t="b">
        <v>0</v>
      </c>
      <c r="E774" s="112"/>
    </row>
    <row r="775" ht="18.75" customHeight="1">
      <c r="C775" s="37" t="b">
        <v>0</v>
      </c>
      <c r="E775" s="112"/>
    </row>
    <row r="776" ht="18.75" customHeight="1">
      <c r="C776" s="37" t="b">
        <v>0</v>
      </c>
      <c r="E776" s="112"/>
    </row>
    <row r="777" ht="18.75" customHeight="1">
      <c r="C777" s="37" t="b">
        <v>0</v>
      </c>
      <c r="E777" s="112"/>
    </row>
    <row r="778" ht="18.75" customHeight="1">
      <c r="C778" s="37" t="b">
        <v>0</v>
      </c>
      <c r="E778" s="112"/>
    </row>
    <row r="779" ht="18.75" customHeight="1">
      <c r="C779" s="37" t="b">
        <v>0</v>
      </c>
      <c r="E779" s="112"/>
    </row>
    <row r="780" ht="18.75" customHeight="1">
      <c r="C780" s="37" t="b">
        <v>0</v>
      </c>
      <c r="E780" s="112"/>
    </row>
    <row r="781" ht="18.75" customHeight="1">
      <c r="C781" s="37" t="b">
        <v>0</v>
      </c>
      <c r="E781" s="112"/>
    </row>
    <row r="782" ht="18.75" customHeight="1">
      <c r="C782" s="37" t="b">
        <v>0</v>
      </c>
      <c r="E782" s="112"/>
    </row>
    <row r="783" ht="18.75" customHeight="1">
      <c r="C783" s="37" t="b">
        <v>0</v>
      </c>
      <c r="E783" s="112"/>
    </row>
    <row r="784" ht="18.75" customHeight="1">
      <c r="C784" s="37" t="b">
        <v>0</v>
      </c>
      <c r="E784" s="112"/>
    </row>
    <row r="785" ht="18.75" customHeight="1">
      <c r="C785" s="37" t="b">
        <v>0</v>
      </c>
      <c r="E785" s="112"/>
    </row>
    <row r="786" ht="18.75" customHeight="1">
      <c r="C786" s="37" t="b">
        <v>0</v>
      </c>
      <c r="E786" s="112"/>
    </row>
    <row r="787" ht="18.75" customHeight="1">
      <c r="C787" s="37" t="b">
        <v>0</v>
      </c>
      <c r="E787" s="112"/>
    </row>
    <row r="788" ht="18.75" customHeight="1">
      <c r="C788" s="37" t="b">
        <v>0</v>
      </c>
      <c r="E788" s="112"/>
    </row>
    <row r="789" ht="18.75" customHeight="1">
      <c r="C789" s="37" t="b">
        <v>0</v>
      </c>
      <c r="E789" s="112"/>
    </row>
    <row r="790" ht="18.75" customHeight="1">
      <c r="C790" s="37" t="b">
        <v>0</v>
      </c>
      <c r="E790" s="112"/>
    </row>
    <row r="791" ht="18.75" customHeight="1">
      <c r="C791" s="37" t="b">
        <v>0</v>
      </c>
      <c r="E791" s="112"/>
    </row>
    <row r="792" ht="18.75" customHeight="1">
      <c r="C792" s="37" t="b">
        <v>0</v>
      </c>
      <c r="E792" s="112"/>
    </row>
    <row r="793" ht="18.75" customHeight="1">
      <c r="C793" s="37" t="b">
        <v>0</v>
      </c>
      <c r="E793" s="112"/>
    </row>
    <row r="794" ht="18.75" customHeight="1">
      <c r="C794" s="37" t="b">
        <v>0</v>
      </c>
      <c r="E794" s="112"/>
    </row>
    <row r="795" ht="18.75" customHeight="1">
      <c r="C795" s="37" t="b">
        <v>0</v>
      </c>
      <c r="E795" s="112"/>
    </row>
    <row r="796" ht="18.75" customHeight="1">
      <c r="C796" s="37" t="b">
        <v>0</v>
      </c>
      <c r="E796" s="112"/>
    </row>
    <row r="797" ht="18.75" customHeight="1">
      <c r="C797" s="37" t="b">
        <v>0</v>
      </c>
      <c r="E797" s="112"/>
    </row>
    <row r="798" ht="18.75" customHeight="1">
      <c r="C798" s="37" t="b">
        <v>0</v>
      </c>
      <c r="E798" s="112"/>
    </row>
    <row r="799" ht="18.75" customHeight="1">
      <c r="C799" s="37" t="b">
        <v>0</v>
      </c>
      <c r="E799" s="112"/>
    </row>
    <row r="800" ht="18.75" customHeight="1">
      <c r="C800" s="37" t="b">
        <v>0</v>
      </c>
      <c r="E800" s="112"/>
    </row>
    <row r="801" ht="18.75" customHeight="1">
      <c r="C801" s="37" t="b">
        <v>0</v>
      </c>
      <c r="E801" s="112"/>
    </row>
    <row r="802" ht="18.75" customHeight="1">
      <c r="C802" s="37" t="b">
        <v>0</v>
      </c>
      <c r="E802" s="112"/>
    </row>
    <row r="803" ht="18.75" customHeight="1">
      <c r="C803" s="37" t="b">
        <v>0</v>
      </c>
      <c r="E803" s="112"/>
    </row>
    <row r="804" ht="18.75" customHeight="1">
      <c r="C804" s="37" t="b">
        <v>0</v>
      </c>
      <c r="E804" s="112"/>
    </row>
    <row r="805" ht="18.75" customHeight="1">
      <c r="C805" s="37" t="b">
        <v>0</v>
      </c>
      <c r="E805" s="112"/>
    </row>
    <row r="806" ht="18.75" customHeight="1">
      <c r="C806" s="37" t="b">
        <v>0</v>
      </c>
      <c r="E806" s="112"/>
    </row>
    <row r="807" ht="18.75" customHeight="1">
      <c r="C807" s="37" t="b">
        <v>0</v>
      </c>
      <c r="E807" s="112"/>
    </row>
    <row r="808" ht="18.75" customHeight="1">
      <c r="C808" s="37" t="b">
        <v>0</v>
      </c>
      <c r="E808" s="112"/>
    </row>
    <row r="809" ht="18.75" customHeight="1">
      <c r="C809" s="37" t="b">
        <v>0</v>
      </c>
      <c r="E809" s="112"/>
    </row>
    <row r="810" ht="18.75" customHeight="1">
      <c r="C810" s="37" t="b">
        <v>0</v>
      </c>
      <c r="E810" s="112"/>
    </row>
    <row r="811" ht="18.75" customHeight="1">
      <c r="C811" s="37" t="b">
        <v>0</v>
      </c>
      <c r="E811" s="112"/>
    </row>
    <row r="812" ht="18.75" customHeight="1">
      <c r="C812" s="37" t="b">
        <v>0</v>
      </c>
      <c r="E812" s="112"/>
    </row>
    <row r="813" ht="18.75" customHeight="1">
      <c r="C813" s="37" t="b">
        <v>0</v>
      </c>
      <c r="E813" s="112"/>
    </row>
    <row r="814" ht="18.75" customHeight="1">
      <c r="C814" s="37" t="b">
        <v>0</v>
      </c>
      <c r="E814" s="112"/>
    </row>
    <row r="815" ht="18.75" customHeight="1">
      <c r="C815" s="37" t="b">
        <v>0</v>
      </c>
      <c r="E815" s="112"/>
    </row>
    <row r="816" ht="18.75" customHeight="1">
      <c r="C816" s="37" t="b">
        <v>0</v>
      </c>
      <c r="E816" s="112"/>
    </row>
    <row r="817" ht="18.75" customHeight="1">
      <c r="C817" s="37" t="b">
        <v>0</v>
      </c>
      <c r="E817" s="112"/>
    </row>
    <row r="818" ht="18.75" customHeight="1">
      <c r="C818" s="37" t="b">
        <v>0</v>
      </c>
      <c r="E818" s="112"/>
    </row>
    <row r="819" ht="18.75" customHeight="1">
      <c r="C819" s="37" t="b">
        <v>0</v>
      </c>
      <c r="E819" s="112"/>
    </row>
    <row r="820" ht="18.75" customHeight="1">
      <c r="C820" s="37" t="b">
        <v>0</v>
      </c>
      <c r="E820" s="112"/>
    </row>
    <row r="821" ht="18.75" customHeight="1">
      <c r="C821" s="37" t="b">
        <v>0</v>
      </c>
      <c r="E821" s="112"/>
    </row>
    <row r="822" ht="18.75" customHeight="1">
      <c r="C822" s="37" t="b">
        <v>0</v>
      </c>
      <c r="E822" s="112"/>
    </row>
    <row r="823" ht="18.75" customHeight="1">
      <c r="C823" s="37" t="b">
        <v>0</v>
      </c>
      <c r="E823" s="112"/>
    </row>
    <row r="824" ht="18.75" customHeight="1">
      <c r="C824" s="37" t="b">
        <v>0</v>
      </c>
      <c r="E824" s="112"/>
    </row>
    <row r="825" ht="18.75" customHeight="1">
      <c r="C825" s="37" t="b">
        <v>0</v>
      </c>
      <c r="E825" s="112"/>
    </row>
    <row r="826" ht="18.75" customHeight="1">
      <c r="C826" s="37" t="b">
        <v>0</v>
      </c>
      <c r="E826" s="112"/>
    </row>
    <row r="827" ht="18.75" customHeight="1">
      <c r="C827" s="37" t="b">
        <v>0</v>
      </c>
      <c r="E827" s="112"/>
    </row>
    <row r="828" ht="18.75" customHeight="1">
      <c r="C828" s="37" t="b">
        <v>0</v>
      </c>
      <c r="E828" s="112"/>
    </row>
    <row r="829" ht="18.75" customHeight="1">
      <c r="C829" s="37" t="b">
        <v>0</v>
      </c>
      <c r="E829" s="112"/>
    </row>
    <row r="830" ht="18.75" customHeight="1">
      <c r="C830" s="37" t="b">
        <v>0</v>
      </c>
      <c r="E830" s="112"/>
    </row>
    <row r="831" ht="18.75" customHeight="1">
      <c r="C831" s="37" t="b">
        <v>0</v>
      </c>
      <c r="E831" s="112"/>
    </row>
    <row r="832" ht="18.75" customHeight="1">
      <c r="C832" s="37" t="b">
        <v>0</v>
      </c>
      <c r="E832" s="112"/>
    </row>
    <row r="833" ht="18.75" customHeight="1">
      <c r="C833" s="37" t="b">
        <v>0</v>
      </c>
      <c r="E833" s="112"/>
    </row>
    <row r="834" ht="18.75" customHeight="1">
      <c r="C834" s="37" t="b">
        <v>0</v>
      </c>
      <c r="E834" s="112"/>
    </row>
    <row r="835" ht="18.75" customHeight="1">
      <c r="C835" s="37" t="b">
        <v>0</v>
      </c>
      <c r="E835" s="112"/>
    </row>
    <row r="836" ht="18.75" customHeight="1">
      <c r="C836" s="37" t="b">
        <v>0</v>
      </c>
      <c r="E836" s="112"/>
    </row>
    <row r="837" ht="18.75" customHeight="1">
      <c r="C837" s="37" t="b">
        <v>0</v>
      </c>
      <c r="E837" s="112"/>
    </row>
    <row r="838" ht="18.75" customHeight="1">
      <c r="C838" s="37" t="b">
        <v>0</v>
      </c>
      <c r="E838" s="112"/>
    </row>
    <row r="839" ht="18.75" customHeight="1">
      <c r="C839" s="37" t="b">
        <v>0</v>
      </c>
      <c r="E839" s="112"/>
    </row>
    <row r="840" ht="18.75" customHeight="1">
      <c r="C840" s="37" t="b">
        <v>0</v>
      </c>
      <c r="E840" s="112"/>
    </row>
    <row r="841" ht="18.75" customHeight="1">
      <c r="C841" s="37" t="b">
        <v>0</v>
      </c>
      <c r="E841" s="112"/>
    </row>
    <row r="842" ht="18.75" customHeight="1">
      <c r="C842" s="37" t="b">
        <v>0</v>
      </c>
      <c r="E842" s="112"/>
    </row>
    <row r="843" ht="18.75" customHeight="1">
      <c r="C843" s="37" t="b">
        <v>0</v>
      </c>
      <c r="E843" s="112"/>
    </row>
    <row r="844" ht="18.75" customHeight="1">
      <c r="C844" s="37" t="b">
        <v>0</v>
      </c>
      <c r="E844" s="112"/>
    </row>
    <row r="845" ht="18.75" customHeight="1">
      <c r="C845" s="37" t="b">
        <v>0</v>
      </c>
      <c r="E845" s="112"/>
    </row>
    <row r="846" ht="18.75" customHeight="1">
      <c r="C846" s="37" t="b">
        <v>0</v>
      </c>
      <c r="E846" s="112"/>
    </row>
    <row r="847" ht="18.75" customHeight="1">
      <c r="C847" s="37" t="b">
        <v>0</v>
      </c>
      <c r="E847" s="112"/>
    </row>
    <row r="848" ht="18.75" customHeight="1">
      <c r="C848" s="37" t="b">
        <v>0</v>
      </c>
      <c r="E848" s="112"/>
    </row>
    <row r="849" ht="18.75" customHeight="1">
      <c r="C849" s="37" t="b">
        <v>0</v>
      </c>
      <c r="E849" s="112"/>
    </row>
    <row r="850" ht="18.75" customHeight="1">
      <c r="C850" s="37" t="b">
        <v>0</v>
      </c>
      <c r="E850" s="112"/>
    </row>
    <row r="851" ht="18.75" customHeight="1">
      <c r="C851" s="37" t="b">
        <v>0</v>
      </c>
      <c r="E851" s="112"/>
    </row>
    <row r="852" ht="18.75" customHeight="1">
      <c r="C852" s="37" t="b">
        <v>0</v>
      </c>
      <c r="E852" s="112"/>
    </row>
    <row r="853" ht="18.75" customHeight="1">
      <c r="C853" s="37" t="b">
        <v>0</v>
      </c>
      <c r="E853" s="112"/>
    </row>
    <row r="854" ht="18.75" customHeight="1">
      <c r="C854" s="37" t="b">
        <v>0</v>
      </c>
      <c r="E854" s="112"/>
    </row>
    <row r="855" ht="18.75" customHeight="1">
      <c r="C855" s="37" t="b">
        <v>0</v>
      </c>
      <c r="E855" s="112"/>
    </row>
    <row r="856" ht="18.75" customHeight="1">
      <c r="C856" s="37" t="b">
        <v>0</v>
      </c>
      <c r="E856" s="112"/>
    </row>
    <row r="857" ht="18.75" customHeight="1">
      <c r="C857" s="37" t="b">
        <v>0</v>
      </c>
      <c r="E857" s="112"/>
    </row>
    <row r="858" ht="18.75" customHeight="1">
      <c r="C858" s="37" t="b">
        <v>0</v>
      </c>
      <c r="E858" s="112"/>
    </row>
    <row r="859" ht="18.75" customHeight="1">
      <c r="C859" s="37" t="b">
        <v>0</v>
      </c>
      <c r="E859" s="112"/>
    </row>
    <row r="860" ht="18.75" customHeight="1">
      <c r="C860" s="37" t="b">
        <v>0</v>
      </c>
      <c r="E860" s="112"/>
    </row>
    <row r="861" ht="18.75" customHeight="1">
      <c r="C861" s="37" t="b">
        <v>0</v>
      </c>
      <c r="E861" s="112"/>
    </row>
    <row r="862" ht="18.75" customHeight="1">
      <c r="C862" s="37" t="b">
        <v>0</v>
      </c>
      <c r="E862" s="112"/>
    </row>
    <row r="863" ht="18.75" customHeight="1">
      <c r="C863" s="37" t="b">
        <v>0</v>
      </c>
      <c r="E863" s="112"/>
    </row>
    <row r="864" ht="18.75" customHeight="1">
      <c r="C864" s="37" t="b">
        <v>0</v>
      </c>
      <c r="E864" s="112"/>
    </row>
    <row r="865" ht="18.75" customHeight="1">
      <c r="C865" s="37" t="b">
        <v>0</v>
      </c>
      <c r="E865" s="112"/>
    </row>
    <row r="866" ht="18.75" customHeight="1">
      <c r="C866" s="37" t="b">
        <v>0</v>
      </c>
      <c r="E866" s="112"/>
    </row>
    <row r="867" ht="18.75" customHeight="1">
      <c r="C867" s="37" t="b">
        <v>0</v>
      </c>
      <c r="E867" s="112"/>
    </row>
    <row r="868" ht="18.75" customHeight="1">
      <c r="C868" s="37" t="b">
        <v>0</v>
      </c>
      <c r="E868" s="112"/>
    </row>
    <row r="869" ht="18.75" customHeight="1">
      <c r="C869" s="37" t="b">
        <v>0</v>
      </c>
      <c r="E869" s="112"/>
    </row>
    <row r="870" ht="18.75" customHeight="1">
      <c r="C870" s="37" t="b">
        <v>0</v>
      </c>
      <c r="E870" s="112"/>
    </row>
    <row r="871" ht="18.75" customHeight="1">
      <c r="C871" s="37" t="b">
        <v>0</v>
      </c>
      <c r="E871" s="112"/>
    </row>
    <row r="872" ht="18.75" customHeight="1">
      <c r="C872" s="37" t="b">
        <v>0</v>
      </c>
      <c r="E872" s="112"/>
    </row>
    <row r="873" ht="18.75" customHeight="1">
      <c r="C873" s="37" t="b">
        <v>0</v>
      </c>
      <c r="E873" s="112"/>
    </row>
    <row r="874" ht="18.75" customHeight="1">
      <c r="C874" s="37" t="b">
        <v>0</v>
      </c>
      <c r="E874" s="112"/>
    </row>
    <row r="875" ht="18.75" customHeight="1">
      <c r="C875" s="37" t="b">
        <v>0</v>
      </c>
      <c r="E875" s="112"/>
    </row>
    <row r="876" ht="18.75" customHeight="1">
      <c r="C876" s="37" t="b">
        <v>0</v>
      </c>
      <c r="E876" s="112"/>
    </row>
    <row r="877" ht="18.75" customHeight="1">
      <c r="C877" s="37" t="b">
        <v>0</v>
      </c>
      <c r="E877" s="112"/>
    </row>
    <row r="878" ht="18.75" customHeight="1">
      <c r="C878" s="37" t="b">
        <v>0</v>
      </c>
      <c r="E878" s="112"/>
    </row>
    <row r="879" ht="18.75" customHeight="1">
      <c r="C879" s="37" t="b">
        <v>0</v>
      </c>
      <c r="E879" s="112"/>
    </row>
    <row r="880" ht="18.75" customHeight="1">
      <c r="C880" s="37" t="b">
        <v>0</v>
      </c>
      <c r="E880" s="112"/>
    </row>
    <row r="881" ht="18.75" customHeight="1">
      <c r="C881" s="37" t="b">
        <v>0</v>
      </c>
      <c r="E881" s="112"/>
    </row>
    <row r="882" ht="18.75" customHeight="1">
      <c r="C882" s="37" t="b">
        <v>0</v>
      </c>
      <c r="E882" s="112"/>
    </row>
    <row r="883" ht="18.75" customHeight="1">
      <c r="C883" s="37" t="b">
        <v>0</v>
      </c>
      <c r="E883" s="112"/>
    </row>
    <row r="884" ht="18.75" customHeight="1">
      <c r="C884" s="37" t="b">
        <v>0</v>
      </c>
      <c r="E884" s="112"/>
    </row>
    <row r="885" ht="18.75" customHeight="1">
      <c r="C885" s="37" t="b">
        <v>0</v>
      </c>
      <c r="E885" s="112"/>
    </row>
    <row r="886" ht="18.75" customHeight="1">
      <c r="C886" s="37" t="b">
        <v>0</v>
      </c>
      <c r="E886" s="112"/>
    </row>
    <row r="887" ht="18.75" customHeight="1">
      <c r="C887" s="37" t="b">
        <v>0</v>
      </c>
      <c r="E887" s="112"/>
    </row>
    <row r="888" ht="18.75" customHeight="1">
      <c r="C888" s="37" t="b">
        <v>0</v>
      </c>
      <c r="E888" s="112"/>
    </row>
    <row r="889" ht="18.75" customHeight="1">
      <c r="C889" s="37" t="b">
        <v>0</v>
      </c>
      <c r="E889" s="112"/>
    </row>
    <row r="890" ht="18.75" customHeight="1">
      <c r="C890" s="37" t="b">
        <v>0</v>
      </c>
      <c r="E890" s="112"/>
    </row>
    <row r="891" ht="18.75" customHeight="1">
      <c r="C891" s="37" t="b">
        <v>0</v>
      </c>
      <c r="E891" s="112"/>
    </row>
    <row r="892" ht="18.75" customHeight="1">
      <c r="C892" s="37" t="b">
        <v>0</v>
      </c>
      <c r="E892" s="112"/>
    </row>
    <row r="893" ht="18.75" customHeight="1">
      <c r="C893" s="37" t="b">
        <v>0</v>
      </c>
      <c r="E893" s="112"/>
    </row>
    <row r="894" ht="18.75" customHeight="1">
      <c r="C894" s="37" t="b">
        <v>0</v>
      </c>
      <c r="E894" s="112"/>
    </row>
    <row r="895" ht="18.75" customHeight="1">
      <c r="C895" s="37" t="b">
        <v>0</v>
      </c>
      <c r="E895" s="112"/>
    </row>
    <row r="896" ht="18.75" customHeight="1">
      <c r="C896" s="37" t="b">
        <v>0</v>
      </c>
      <c r="E896" s="112"/>
    </row>
    <row r="897" ht="18.75" customHeight="1">
      <c r="C897" s="37" t="b">
        <v>0</v>
      </c>
      <c r="E897" s="112"/>
    </row>
    <row r="898" ht="18.75" customHeight="1">
      <c r="C898" s="37" t="b">
        <v>0</v>
      </c>
      <c r="E898" s="112"/>
    </row>
    <row r="899" ht="18.75" customHeight="1">
      <c r="C899" s="37" t="b">
        <v>0</v>
      </c>
      <c r="E899" s="112"/>
    </row>
    <row r="900" ht="18.75" customHeight="1">
      <c r="C900" s="37" t="b">
        <v>0</v>
      </c>
      <c r="E900" s="112"/>
    </row>
    <row r="901" ht="18.75" customHeight="1">
      <c r="C901" s="37" t="b">
        <v>0</v>
      </c>
      <c r="E901" s="112"/>
    </row>
    <row r="902" ht="18.75" customHeight="1">
      <c r="C902" s="37" t="b">
        <v>0</v>
      </c>
      <c r="E902" s="112"/>
    </row>
    <row r="903" ht="18.75" customHeight="1">
      <c r="C903" s="37" t="b">
        <v>0</v>
      </c>
      <c r="E903" s="112"/>
    </row>
    <row r="904" ht="18.75" customHeight="1">
      <c r="C904" s="37" t="b">
        <v>0</v>
      </c>
      <c r="E904" s="112"/>
    </row>
    <row r="905" ht="18.75" customHeight="1">
      <c r="C905" s="37" t="b">
        <v>0</v>
      </c>
      <c r="E905" s="112"/>
    </row>
    <row r="906" ht="18.75" customHeight="1">
      <c r="C906" s="37" t="b">
        <v>0</v>
      </c>
      <c r="E906" s="112"/>
    </row>
    <row r="907" ht="18.75" customHeight="1">
      <c r="C907" s="37" t="b">
        <v>0</v>
      </c>
      <c r="E907" s="112"/>
    </row>
    <row r="908" ht="18.75" customHeight="1">
      <c r="C908" s="37" t="b">
        <v>0</v>
      </c>
      <c r="E908" s="112"/>
    </row>
    <row r="909" ht="18.75" customHeight="1">
      <c r="C909" s="37" t="b">
        <v>0</v>
      </c>
      <c r="E909" s="112"/>
    </row>
    <row r="910" ht="18.75" customHeight="1">
      <c r="C910" s="37" t="b">
        <v>0</v>
      </c>
      <c r="E910" s="112"/>
    </row>
    <row r="911" ht="18.75" customHeight="1">
      <c r="C911" s="37" t="b">
        <v>0</v>
      </c>
      <c r="E911" s="112"/>
    </row>
    <row r="912" ht="18.75" customHeight="1">
      <c r="C912" s="37" t="b">
        <v>0</v>
      </c>
      <c r="E912" s="112"/>
    </row>
    <row r="913" ht="18.75" customHeight="1">
      <c r="C913" s="37" t="b">
        <v>0</v>
      </c>
      <c r="E913" s="112"/>
    </row>
    <row r="914" ht="18.75" customHeight="1">
      <c r="C914" s="37" t="b">
        <v>0</v>
      </c>
      <c r="E914" s="112"/>
    </row>
    <row r="915" ht="18.75" customHeight="1">
      <c r="C915" s="37" t="b">
        <v>0</v>
      </c>
      <c r="E915" s="112"/>
    </row>
    <row r="916" ht="18.75" customHeight="1">
      <c r="C916" s="37" t="b">
        <v>0</v>
      </c>
      <c r="E916" s="112"/>
    </row>
    <row r="917" ht="18.75" customHeight="1">
      <c r="C917" s="37" t="b">
        <v>0</v>
      </c>
      <c r="E917" s="112"/>
    </row>
    <row r="918" ht="18.75" customHeight="1">
      <c r="C918" s="37" t="b">
        <v>0</v>
      </c>
      <c r="E918" s="112"/>
    </row>
    <row r="919" ht="18.75" customHeight="1">
      <c r="C919" s="37" t="b">
        <v>0</v>
      </c>
      <c r="E919" s="112"/>
    </row>
    <row r="920" ht="18.75" customHeight="1">
      <c r="C920" s="37" t="b">
        <v>0</v>
      </c>
      <c r="E920" s="112"/>
    </row>
    <row r="921" ht="18.75" customHeight="1">
      <c r="C921" s="37" t="b">
        <v>0</v>
      </c>
      <c r="E921" s="112"/>
    </row>
    <row r="922" ht="18.75" customHeight="1">
      <c r="C922" s="37" t="b">
        <v>0</v>
      </c>
      <c r="E922" s="112"/>
    </row>
    <row r="923" ht="18.75" customHeight="1">
      <c r="C923" s="37" t="b">
        <v>0</v>
      </c>
      <c r="E923" s="112"/>
    </row>
    <row r="924" ht="18.75" customHeight="1">
      <c r="C924" s="37" t="b">
        <v>0</v>
      </c>
      <c r="E924" s="112"/>
    </row>
    <row r="925" ht="18.75" customHeight="1">
      <c r="C925" s="37" t="b">
        <v>0</v>
      </c>
      <c r="E925" s="112"/>
    </row>
    <row r="926" ht="18.75" customHeight="1">
      <c r="C926" s="37" t="b">
        <v>0</v>
      </c>
      <c r="E926" s="112"/>
    </row>
    <row r="927" ht="18.75" customHeight="1">
      <c r="C927" s="37" t="b">
        <v>0</v>
      </c>
      <c r="E927" s="112"/>
    </row>
    <row r="928" ht="18.75" customHeight="1">
      <c r="C928" s="37" t="b">
        <v>0</v>
      </c>
      <c r="E928" s="112"/>
    </row>
    <row r="929" ht="18.75" customHeight="1">
      <c r="C929" s="37" t="b">
        <v>0</v>
      </c>
      <c r="E929" s="112"/>
    </row>
    <row r="930" ht="18.75" customHeight="1">
      <c r="C930" s="37" t="b">
        <v>0</v>
      </c>
      <c r="E930" s="112"/>
    </row>
    <row r="931" ht="18.75" customHeight="1">
      <c r="C931" s="37" t="b">
        <v>0</v>
      </c>
      <c r="E931" s="112"/>
    </row>
    <row r="932" ht="18.75" customHeight="1">
      <c r="C932" s="37" t="b">
        <v>0</v>
      </c>
      <c r="E932" s="112"/>
    </row>
    <row r="933" ht="18.75" customHeight="1">
      <c r="C933" s="37" t="b">
        <v>0</v>
      </c>
      <c r="E933" s="112"/>
    </row>
    <row r="934" ht="18.75" customHeight="1">
      <c r="C934" s="37" t="b">
        <v>0</v>
      </c>
      <c r="E934" s="112"/>
    </row>
    <row r="935" ht="18.75" customHeight="1">
      <c r="C935" s="37" t="b">
        <v>0</v>
      </c>
      <c r="E935" s="112"/>
    </row>
    <row r="936" ht="18.75" customHeight="1">
      <c r="C936" s="37" t="b">
        <v>0</v>
      </c>
      <c r="E936" s="112"/>
    </row>
    <row r="937" ht="18.75" customHeight="1">
      <c r="C937" s="37" t="b">
        <v>0</v>
      </c>
      <c r="E937" s="112"/>
    </row>
    <row r="938" ht="18.75" customHeight="1">
      <c r="C938" s="37" t="b">
        <v>0</v>
      </c>
      <c r="E938" s="112"/>
    </row>
    <row r="939" ht="18.75" customHeight="1">
      <c r="C939" s="37" t="b">
        <v>0</v>
      </c>
      <c r="E939" s="112"/>
    </row>
    <row r="940" ht="18.75" customHeight="1">
      <c r="C940" s="37" t="b">
        <v>0</v>
      </c>
      <c r="E940" s="112"/>
    </row>
    <row r="941" ht="18.75" customHeight="1">
      <c r="C941" s="37" t="b">
        <v>0</v>
      </c>
      <c r="E941" s="112"/>
    </row>
    <row r="942" ht="18.75" customHeight="1">
      <c r="C942" s="37" t="b">
        <v>0</v>
      </c>
      <c r="E942" s="112"/>
    </row>
    <row r="943" ht="18.75" customHeight="1">
      <c r="C943" s="37" t="b">
        <v>0</v>
      </c>
      <c r="E943" s="112"/>
    </row>
    <row r="944" ht="18.75" customHeight="1">
      <c r="C944" s="37" t="b">
        <v>0</v>
      </c>
      <c r="E944" s="112"/>
    </row>
    <row r="945" ht="18.75" customHeight="1">
      <c r="C945" s="37" t="b">
        <v>0</v>
      </c>
      <c r="E945" s="112"/>
    </row>
    <row r="946" ht="18.75" customHeight="1">
      <c r="C946" s="37" t="b">
        <v>0</v>
      </c>
      <c r="E946" s="112"/>
    </row>
    <row r="947" ht="18.75" customHeight="1">
      <c r="C947" s="37" t="b">
        <v>0</v>
      </c>
      <c r="E947" s="112"/>
    </row>
    <row r="948" ht="18.75" customHeight="1">
      <c r="C948" s="37" t="b">
        <v>0</v>
      </c>
      <c r="E948" s="112"/>
    </row>
    <row r="949" ht="18.75" customHeight="1">
      <c r="C949" s="37" t="b">
        <v>0</v>
      </c>
      <c r="E949" s="112"/>
    </row>
    <row r="950" ht="18.75" customHeight="1">
      <c r="C950" s="37" t="b">
        <v>0</v>
      </c>
      <c r="E950" s="112"/>
    </row>
    <row r="951" ht="18.75" customHeight="1">
      <c r="C951" s="37" t="b">
        <v>0</v>
      </c>
      <c r="E951" s="112"/>
    </row>
    <row r="952" ht="18.75" customHeight="1">
      <c r="C952" s="37" t="b">
        <v>0</v>
      </c>
      <c r="E952" s="112"/>
    </row>
    <row r="953" ht="18.75" customHeight="1">
      <c r="C953" s="37" t="b">
        <v>0</v>
      </c>
      <c r="E953" s="112"/>
    </row>
    <row r="954" ht="18.75" customHeight="1">
      <c r="C954" s="37" t="b">
        <v>0</v>
      </c>
      <c r="E954" s="112"/>
    </row>
    <row r="955" ht="18.75" customHeight="1">
      <c r="C955" s="37" t="b">
        <v>0</v>
      </c>
      <c r="E955" s="112"/>
    </row>
    <row r="956" ht="18.75" customHeight="1">
      <c r="C956" s="37" t="b">
        <v>0</v>
      </c>
      <c r="E956" s="112"/>
    </row>
    <row r="957" ht="18.75" customHeight="1">
      <c r="C957" s="37" t="b">
        <v>0</v>
      </c>
      <c r="E957" s="112"/>
    </row>
    <row r="958" ht="18.75" customHeight="1">
      <c r="C958" s="37" t="b">
        <v>0</v>
      </c>
      <c r="E958" s="112"/>
    </row>
    <row r="959" ht="18.75" customHeight="1">
      <c r="C959" s="37" t="b">
        <v>0</v>
      </c>
      <c r="E959" s="112"/>
    </row>
    <row r="960" ht="18.75" customHeight="1">
      <c r="C960" s="37" t="b">
        <v>0</v>
      </c>
      <c r="E960" s="112"/>
    </row>
    <row r="961" ht="18.75" customHeight="1">
      <c r="C961" s="37" t="b">
        <v>0</v>
      </c>
      <c r="E961" s="112"/>
    </row>
    <row r="962" ht="18.75" customHeight="1">
      <c r="C962" s="37" t="b">
        <v>0</v>
      </c>
      <c r="E962" s="112"/>
    </row>
    <row r="963" ht="18.75" customHeight="1">
      <c r="C963" s="37" t="b">
        <v>0</v>
      </c>
      <c r="E963" s="112"/>
    </row>
    <row r="964" ht="18.75" customHeight="1">
      <c r="C964" s="37" t="b">
        <v>0</v>
      </c>
      <c r="E964" s="112"/>
    </row>
    <row r="965" ht="18.75" customHeight="1">
      <c r="C965" s="37" t="b">
        <v>0</v>
      </c>
      <c r="E965" s="112"/>
    </row>
    <row r="966" ht="18.75" customHeight="1">
      <c r="C966" s="37" t="b">
        <v>0</v>
      </c>
      <c r="E966" s="112"/>
    </row>
    <row r="967" ht="18.75" customHeight="1">
      <c r="C967" s="37" t="b">
        <v>0</v>
      </c>
      <c r="E967" s="112"/>
    </row>
    <row r="968" ht="18.75" customHeight="1">
      <c r="C968" s="37" t="b">
        <v>0</v>
      </c>
      <c r="E968" s="112"/>
    </row>
    <row r="969" ht="18.75" customHeight="1">
      <c r="C969" s="37" t="b">
        <v>0</v>
      </c>
      <c r="E969" s="112"/>
    </row>
    <row r="970" ht="18.75" customHeight="1">
      <c r="C970" s="37" t="b">
        <v>0</v>
      </c>
      <c r="E970" s="112"/>
    </row>
    <row r="971" ht="18.75" customHeight="1">
      <c r="C971" s="37" t="b">
        <v>0</v>
      </c>
      <c r="E971" s="112"/>
    </row>
    <row r="972" ht="18.75" customHeight="1">
      <c r="C972" s="37" t="b">
        <v>0</v>
      </c>
      <c r="E972" s="112"/>
    </row>
    <row r="973" ht="18.75" customHeight="1">
      <c r="C973" s="37" t="b">
        <v>0</v>
      </c>
      <c r="E973" s="112"/>
    </row>
    <row r="974" ht="18.75" customHeight="1">
      <c r="C974" s="37" t="b">
        <v>0</v>
      </c>
      <c r="E974" s="112"/>
    </row>
    <row r="975" ht="18.75" customHeight="1">
      <c r="C975" s="37" t="b">
        <v>0</v>
      </c>
      <c r="E975" s="112"/>
    </row>
    <row r="976" ht="18.75" customHeight="1">
      <c r="C976" s="37" t="b">
        <v>0</v>
      </c>
      <c r="E976" s="112"/>
    </row>
    <row r="977" ht="18.75" customHeight="1">
      <c r="C977" s="37" t="b">
        <v>0</v>
      </c>
      <c r="E977" s="112"/>
    </row>
    <row r="978" ht="18.75" customHeight="1">
      <c r="C978" s="37" t="b">
        <v>0</v>
      </c>
      <c r="E978" s="112"/>
    </row>
    <row r="979" ht="18.75" customHeight="1">
      <c r="C979" s="37" t="b">
        <v>0</v>
      </c>
      <c r="E979" s="112"/>
    </row>
    <row r="980" ht="18.75" customHeight="1">
      <c r="C980" s="37" t="b">
        <v>0</v>
      </c>
      <c r="E980" s="112"/>
    </row>
    <row r="981" ht="18.75" customHeight="1">
      <c r="C981" s="37" t="b">
        <v>0</v>
      </c>
      <c r="E981" s="112"/>
    </row>
    <row r="982" ht="18.75" customHeight="1">
      <c r="C982" s="37" t="b">
        <v>0</v>
      </c>
      <c r="E982" s="112"/>
    </row>
    <row r="983" ht="18.75" customHeight="1">
      <c r="C983" s="37" t="b">
        <v>0</v>
      </c>
      <c r="E983" s="112"/>
    </row>
    <row r="984" ht="18.75" customHeight="1">
      <c r="C984" s="37" t="b">
        <v>0</v>
      </c>
      <c r="E984" s="112"/>
    </row>
    <row r="985" ht="18.75" customHeight="1">
      <c r="C985" s="37" t="b">
        <v>0</v>
      </c>
      <c r="E985" s="112"/>
    </row>
    <row r="986" ht="18.75" customHeight="1">
      <c r="C986" s="37" t="b">
        <v>0</v>
      </c>
      <c r="E986" s="112"/>
    </row>
    <row r="987" ht="18.75" customHeight="1">
      <c r="C987" s="37" t="b">
        <v>0</v>
      </c>
      <c r="E987" s="112"/>
    </row>
    <row r="988" ht="18.75" customHeight="1">
      <c r="C988" s="37" t="b">
        <v>0</v>
      </c>
      <c r="E988" s="112"/>
    </row>
    <row r="989" ht="18.75" customHeight="1">
      <c r="C989" s="37" t="b">
        <v>0</v>
      </c>
      <c r="E989" s="112"/>
    </row>
    <row r="990" ht="18.75" customHeight="1">
      <c r="C990" s="37" t="b">
        <v>0</v>
      </c>
      <c r="E990" s="112"/>
    </row>
    <row r="991" ht="18.75" customHeight="1">
      <c r="C991" s="37" t="b">
        <v>0</v>
      </c>
      <c r="E991" s="112"/>
    </row>
    <row r="992" ht="18.75" customHeight="1">
      <c r="C992" s="37" t="b">
        <v>0</v>
      </c>
      <c r="E992" s="112"/>
    </row>
    <row r="993" ht="18.75" customHeight="1">
      <c r="C993" s="37" t="b">
        <v>0</v>
      </c>
      <c r="E993" s="112"/>
    </row>
    <row r="994" ht="18.75" customHeight="1">
      <c r="C994" s="37" t="b">
        <v>0</v>
      </c>
      <c r="E994" s="112"/>
    </row>
    <row r="995" ht="18.75" customHeight="1">
      <c r="C995" s="37" t="b">
        <v>0</v>
      </c>
      <c r="E995" s="112"/>
    </row>
    <row r="996" ht="18.75" customHeight="1">
      <c r="C996" s="37" t="b">
        <v>0</v>
      </c>
      <c r="E996" s="112"/>
    </row>
    <row r="997" ht="18.75" customHeight="1">
      <c r="C997" s="37" t="b">
        <v>0</v>
      </c>
      <c r="E997" s="112"/>
    </row>
    <row r="998" ht="18.75" customHeight="1">
      <c r="C998" s="37" t="b">
        <v>0</v>
      </c>
      <c r="E998" s="112"/>
    </row>
    <row r="999" ht="18.75" customHeight="1">
      <c r="C999" s="37" t="b">
        <v>0</v>
      </c>
      <c r="E999" s="112"/>
    </row>
    <row r="1000" ht="18.75" customHeight="1">
      <c r="C1000" s="37" t="b">
        <v>0</v>
      </c>
      <c r="E1000" s="112"/>
    </row>
  </sheetData>
  <printOptions/>
  <pageMargins bottom="0.75" footer="0.0" header="0.0" left="0.7" right="0.7" top="0.75"/>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4.88"/>
    <col customWidth="1" min="2" max="2" width="35.25"/>
    <col customWidth="1" min="3" max="3" width="2.38"/>
    <col customWidth="1" min="4" max="4" width="18.88"/>
    <col customWidth="1" min="5" max="5" width="45.13"/>
    <col customWidth="1" min="6" max="6" width="2.38"/>
    <col customWidth="1" min="7" max="7" width="17.63"/>
    <col customWidth="1" min="8" max="8" width="45.13"/>
    <col customWidth="1" min="9" max="9" width="17.63"/>
    <col customWidth="1" min="10" max="26" width="7.63"/>
  </cols>
  <sheetData>
    <row r="1" ht="18.75" customHeight="1">
      <c r="A1" s="113" t="s">
        <v>3023</v>
      </c>
      <c r="B1" s="114" t="s">
        <v>3024</v>
      </c>
      <c r="D1" s="113" t="s">
        <v>3025</v>
      </c>
      <c r="E1" s="114" t="s">
        <v>3024</v>
      </c>
      <c r="G1" s="113" t="s">
        <v>3026</v>
      </c>
      <c r="H1" s="114" t="s">
        <v>3024</v>
      </c>
      <c r="I1" s="113" t="s">
        <v>3027</v>
      </c>
    </row>
    <row r="2">
      <c r="A2" s="109" t="s">
        <v>3028</v>
      </c>
      <c r="B2" s="115" t="s">
        <v>3029</v>
      </c>
      <c r="C2" s="109"/>
      <c r="D2" s="109" t="s">
        <v>2593</v>
      </c>
      <c r="E2" s="115" t="s">
        <v>2644</v>
      </c>
      <c r="F2" s="109"/>
      <c r="G2" s="109" t="s">
        <v>3030</v>
      </c>
      <c r="H2" s="115" t="s">
        <v>3031</v>
      </c>
      <c r="I2" s="109" t="s">
        <v>3032</v>
      </c>
    </row>
    <row r="3">
      <c r="A3" s="109" t="s">
        <v>3033</v>
      </c>
      <c r="B3" s="115" t="s">
        <v>3034</v>
      </c>
      <c r="C3" s="109"/>
      <c r="D3" s="109" t="s">
        <v>1921</v>
      </c>
      <c r="E3" s="115" t="s">
        <v>2645</v>
      </c>
      <c r="F3" s="109"/>
      <c r="G3" s="109" t="s">
        <v>3035</v>
      </c>
      <c r="H3" s="115" t="s">
        <v>3036</v>
      </c>
      <c r="I3" s="109" t="s">
        <v>3037</v>
      </c>
    </row>
    <row r="4">
      <c r="A4" s="109" t="s">
        <v>3038</v>
      </c>
      <c r="B4" s="115" t="s">
        <v>3039</v>
      </c>
      <c r="C4" s="109"/>
      <c r="D4" s="109" t="s">
        <v>2594</v>
      </c>
      <c r="E4" s="115" t="s">
        <v>2646</v>
      </c>
      <c r="F4" s="109"/>
      <c r="G4" s="109" t="s">
        <v>3040</v>
      </c>
      <c r="H4" s="115" t="s">
        <v>3041</v>
      </c>
      <c r="I4" s="109" t="s">
        <v>3042</v>
      </c>
    </row>
    <row r="5">
      <c r="A5" s="109" t="s">
        <v>3043</v>
      </c>
      <c r="B5" s="115" t="s">
        <v>3044</v>
      </c>
      <c r="C5" s="109"/>
      <c r="D5" s="109" t="s">
        <v>2595</v>
      </c>
      <c r="E5" s="115" t="s">
        <v>2647</v>
      </c>
      <c r="F5" s="109"/>
      <c r="G5" s="109" t="s">
        <v>3045</v>
      </c>
      <c r="H5" s="115" t="s">
        <v>3046</v>
      </c>
      <c r="I5" s="109" t="s">
        <v>3047</v>
      </c>
    </row>
    <row r="6">
      <c r="A6" s="109" t="s">
        <v>3048</v>
      </c>
      <c r="B6" s="115" t="s">
        <v>3049</v>
      </c>
      <c r="C6" s="109"/>
      <c r="D6" s="109" t="s">
        <v>2596</v>
      </c>
      <c r="E6" s="115" t="s">
        <v>2648</v>
      </c>
      <c r="F6" s="109"/>
      <c r="G6" s="109" t="s">
        <v>3050</v>
      </c>
      <c r="H6" s="115" t="s">
        <v>3051</v>
      </c>
      <c r="I6" s="109" t="s">
        <v>3052</v>
      </c>
    </row>
    <row r="7">
      <c r="A7" s="109" t="s">
        <v>3053</v>
      </c>
      <c r="B7" s="115" t="s">
        <v>3054</v>
      </c>
      <c r="C7" s="109"/>
      <c r="D7" s="109" t="s">
        <v>1139</v>
      </c>
      <c r="E7" s="115" t="s">
        <v>2649</v>
      </c>
      <c r="F7" s="109"/>
      <c r="G7" s="109" t="s">
        <v>3055</v>
      </c>
      <c r="H7" s="115" t="s">
        <v>3056</v>
      </c>
      <c r="I7" s="109" t="s">
        <v>3057</v>
      </c>
    </row>
    <row r="8">
      <c r="A8" s="109" t="s">
        <v>3058</v>
      </c>
      <c r="B8" s="115" t="s">
        <v>3059</v>
      </c>
      <c r="C8" s="109"/>
      <c r="D8" s="109" t="s">
        <v>2598</v>
      </c>
      <c r="E8" s="115" t="s">
        <v>2650</v>
      </c>
      <c r="F8" s="109"/>
      <c r="G8" s="109" t="s">
        <v>3060</v>
      </c>
      <c r="H8" s="115" t="s">
        <v>3061</v>
      </c>
      <c r="I8" s="109" t="s">
        <v>3037</v>
      </c>
    </row>
    <row r="9">
      <c r="A9" s="109" t="s">
        <v>3062</v>
      </c>
      <c r="B9" s="115" t="s">
        <v>3063</v>
      </c>
      <c r="C9" s="109"/>
      <c r="D9" s="109" t="s">
        <v>2599</v>
      </c>
      <c r="E9" s="115" t="s">
        <v>2651</v>
      </c>
      <c r="F9" s="109"/>
      <c r="G9" s="109" t="s">
        <v>3064</v>
      </c>
      <c r="H9" s="115" t="s">
        <v>3065</v>
      </c>
      <c r="I9" s="109" t="s">
        <v>3066</v>
      </c>
    </row>
    <row r="10">
      <c r="A10" s="109" t="s">
        <v>3067</v>
      </c>
      <c r="B10" s="115" t="s">
        <v>3068</v>
      </c>
      <c r="C10" s="109"/>
      <c r="D10" s="109" t="s">
        <v>2600</v>
      </c>
      <c r="E10" s="115" t="s">
        <v>2652</v>
      </c>
      <c r="F10" s="109"/>
      <c r="G10" s="109"/>
      <c r="H10" s="115"/>
      <c r="I10" s="109"/>
    </row>
    <row r="11">
      <c r="A11" s="109" t="s">
        <v>3069</v>
      </c>
      <c r="B11" s="115" t="s">
        <v>3070</v>
      </c>
      <c r="C11" s="109"/>
      <c r="D11" s="109" t="s">
        <v>2601</v>
      </c>
      <c r="E11" s="115" t="s">
        <v>2653</v>
      </c>
      <c r="F11" s="109"/>
      <c r="G11" s="109" t="s">
        <v>3071</v>
      </c>
      <c r="H11" s="115"/>
      <c r="I11" s="109" t="s">
        <v>3066</v>
      </c>
    </row>
    <row r="12">
      <c r="A12" s="109" t="s">
        <v>3072</v>
      </c>
      <c r="B12" s="115" t="s">
        <v>3073</v>
      </c>
      <c r="C12" s="109"/>
      <c r="D12" s="109" t="s">
        <v>2602</v>
      </c>
      <c r="E12" s="115" t="s">
        <v>2654</v>
      </c>
      <c r="F12" s="109"/>
      <c r="G12" s="109" t="s">
        <v>3074</v>
      </c>
      <c r="H12" s="115"/>
      <c r="I12" s="109" t="s">
        <v>3066</v>
      </c>
    </row>
    <row r="13">
      <c r="A13" s="109" t="s">
        <v>3075</v>
      </c>
      <c r="B13" s="115" t="s">
        <v>3076</v>
      </c>
      <c r="C13" s="109"/>
      <c r="D13" s="109" t="s">
        <v>2603</v>
      </c>
      <c r="E13" s="115" t="s">
        <v>2655</v>
      </c>
      <c r="F13" s="109"/>
      <c r="G13" s="109" t="s">
        <v>3077</v>
      </c>
      <c r="H13" s="115"/>
      <c r="I13" s="109" t="s">
        <v>3066</v>
      </c>
    </row>
    <row r="14">
      <c r="A14" s="109" t="s">
        <v>3078</v>
      </c>
      <c r="B14" s="115" t="s">
        <v>3079</v>
      </c>
      <c r="C14" s="109"/>
      <c r="D14" s="109" t="s">
        <v>2604</v>
      </c>
      <c r="E14" s="115" t="s">
        <v>2656</v>
      </c>
      <c r="F14" s="109"/>
      <c r="G14" s="109" t="s">
        <v>3080</v>
      </c>
      <c r="H14" s="115"/>
      <c r="I14" s="109" t="s">
        <v>3066</v>
      </c>
    </row>
    <row r="15">
      <c r="A15" s="109" t="s">
        <v>3081</v>
      </c>
      <c r="B15" s="115" t="s">
        <v>3082</v>
      </c>
      <c r="C15" s="109"/>
      <c r="D15" s="109" t="s">
        <v>2429</v>
      </c>
      <c r="E15" s="115" t="s">
        <v>3083</v>
      </c>
      <c r="F15" s="109"/>
      <c r="G15" s="109" t="s">
        <v>3084</v>
      </c>
      <c r="H15" s="115" t="s">
        <v>3085</v>
      </c>
      <c r="I15" s="109" t="s">
        <v>3042</v>
      </c>
    </row>
    <row r="16">
      <c r="A16" s="109" t="s">
        <v>398</v>
      </c>
      <c r="B16" s="115" t="s">
        <v>3086</v>
      </c>
      <c r="C16" s="109"/>
      <c r="D16" s="109" t="s">
        <v>1179</v>
      </c>
      <c r="E16" s="115" t="s">
        <v>3087</v>
      </c>
      <c r="F16" s="109"/>
      <c r="G16" s="109" t="s">
        <v>3088</v>
      </c>
      <c r="H16" s="115" t="s">
        <v>3089</v>
      </c>
      <c r="I16" s="109" t="s">
        <v>3042</v>
      </c>
    </row>
    <row r="17">
      <c r="A17" s="109" t="s">
        <v>3090</v>
      </c>
      <c r="B17" s="115" t="s">
        <v>3091</v>
      </c>
      <c r="C17" s="109"/>
      <c r="D17" s="109"/>
      <c r="E17" s="109"/>
      <c r="F17" s="109"/>
      <c r="G17" s="109" t="s">
        <v>3092</v>
      </c>
      <c r="H17" s="115" t="s">
        <v>3093</v>
      </c>
      <c r="I17" s="109" t="s">
        <v>3037</v>
      </c>
    </row>
    <row r="18">
      <c r="A18" s="109" t="s">
        <v>1779</v>
      </c>
      <c r="B18" s="115" t="s">
        <v>3094</v>
      </c>
      <c r="C18" s="109"/>
      <c r="D18" s="109"/>
      <c r="E18" s="109"/>
      <c r="F18" s="109"/>
      <c r="G18" s="109" t="s">
        <v>3095</v>
      </c>
      <c r="H18" s="115" t="s">
        <v>3096</v>
      </c>
      <c r="I18" s="109" t="s">
        <v>3047</v>
      </c>
    </row>
    <row r="19">
      <c r="A19" s="109" t="s">
        <v>3097</v>
      </c>
      <c r="B19" s="115" t="s">
        <v>3098</v>
      </c>
      <c r="C19" s="109"/>
      <c r="D19" s="109"/>
      <c r="E19" s="109"/>
      <c r="F19" s="109"/>
      <c r="G19" s="109" t="s">
        <v>3099</v>
      </c>
      <c r="H19" s="115" t="s">
        <v>3100</v>
      </c>
      <c r="I19" s="109" t="s">
        <v>3047</v>
      </c>
    </row>
    <row r="20">
      <c r="A20" s="109" t="s">
        <v>3101</v>
      </c>
      <c r="B20" s="115" t="s">
        <v>3102</v>
      </c>
      <c r="C20" s="109"/>
      <c r="D20" s="109"/>
      <c r="E20" s="109"/>
      <c r="F20" s="109"/>
      <c r="G20" s="106" t="s">
        <v>3103</v>
      </c>
      <c r="H20" s="116" t="s">
        <v>3104</v>
      </c>
      <c r="I20" s="109"/>
    </row>
    <row r="21">
      <c r="A21" s="109" t="s">
        <v>1222</v>
      </c>
      <c r="B21" s="115" t="s">
        <v>3105</v>
      </c>
      <c r="C21" s="109"/>
      <c r="D21" s="109"/>
      <c r="E21" s="109"/>
      <c r="F21" s="109"/>
      <c r="G21" s="106" t="s">
        <v>3106</v>
      </c>
      <c r="H21" s="116" t="s">
        <v>3107</v>
      </c>
      <c r="I21" s="109"/>
    </row>
    <row r="22">
      <c r="A22" s="109" t="s">
        <v>3108</v>
      </c>
      <c r="B22" s="115" t="s">
        <v>3109</v>
      </c>
      <c r="C22" s="109"/>
      <c r="D22" s="109"/>
      <c r="E22" s="109"/>
      <c r="F22" s="109"/>
      <c r="G22" s="106" t="s">
        <v>3110</v>
      </c>
      <c r="H22" s="116" t="s">
        <v>3111</v>
      </c>
      <c r="I22" s="109"/>
    </row>
    <row r="23">
      <c r="A23" s="109" t="s">
        <v>3112</v>
      </c>
      <c r="B23" s="115" t="s">
        <v>3113</v>
      </c>
      <c r="C23" s="109"/>
      <c r="D23" s="109"/>
      <c r="E23" s="109"/>
      <c r="F23" s="109"/>
      <c r="G23" s="106" t="s">
        <v>3114</v>
      </c>
      <c r="H23" s="116" t="s">
        <v>3115</v>
      </c>
      <c r="I23" s="109"/>
    </row>
    <row r="24">
      <c r="A24" s="109" t="s">
        <v>1303</v>
      </c>
      <c r="B24" s="115" t="s">
        <v>3116</v>
      </c>
      <c r="C24" s="109"/>
      <c r="D24" s="109"/>
      <c r="E24" s="109"/>
      <c r="F24" s="109"/>
      <c r="G24" s="106" t="s">
        <v>3117</v>
      </c>
      <c r="H24" s="116" t="s">
        <v>3118</v>
      </c>
      <c r="I24" s="109"/>
    </row>
    <row r="25">
      <c r="A25" s="109" t="s">
        <v>3119</v>
      </c>
      <c r="B25" s="115" t="s">
        <v>3120</v>
      </c>
      <c r="C25" s="109"/>
      <c r="D25" s="109"/>
      <c r="E25" s="109"/>
      <c r="F25" s="109"/>
      <c r="G25" s="106" t="s">
        <v>3121</v>
      </c>
      <c r="H25" s="116" t="s">
        <v>3122</v>
      </c>
      <c r="I25" s="106" t="s">
        <v>3047</v>
      </c>
    </row>
    <row r="26">
      <c r="A26" s="109" t="s">
        <v>3123</v>
      </c>
      <c r="B26" s="115" t="s">
        <v>3124</v>
      </c>
      <c r="C26" s="109"/>
      <c r="D26" s="109"/>
      <c r="E26" s="109"/>
      <c r="F26" s="109"/>
      <c r="G26" s="109"/>
      <c r="H26" s="109"/>
      <c r="I26" s="109"/>
    </row>
    <row r="27">
      <c r="A27" s="109" t="s">
        <v>3125</v>
      </c>
      <c r="B27" s="115" t="s">
        <v>3126</v>
      </c>
      <c r="C27" s="109"/>
      <c r="D27" s="109"/>
      <c r="E27" s="109"/>
      <c r="F27" s="109"/>
      <c r="G27" s="109"/>
      <c r="H27" s="109"/>
      <c r="I27" s="109"/>
    </row>
    <row r="28">
      <c r="A28" s="109" t="s">
        <v>3127</v>
      </c>
      <c r="B28" s="115" t="s">
        <v>3128</v>
      </c>
      <c r="C28" s="109"/>
      <c r="D28" s="109"/>
      <c r="E28" s="109"/>
      <c r="F28" s="109"/>
      <c r="G28" s="109"/>
      <c r="H28" s="109"/>
      <c r="I28" s="109"/>
    </row>
    <row r="29">
      <c r="A29" s="109"/>
      <c r="B29" s="115"/>
      <c r="C29" s="109"/>
      <c r="D29" s="109"/>
      <c r="E29" s="109"/>
      <c r="F29" s="109"/>
      <c r="G29" s="109"/>
      <c r="H29" s="109"/>
      <c r="I29" s="109"/>
    </row>
    <row r="30">
      <c r="A30" s="109" t="s">
        <v>1249</v>
      </c>
      <c r="B30" s="115" t="s">
        <v>3129</v>
      </c>
      <c r="C30" s="109"/>
      <c r="D30" s="109"/>
      <c r="E30" s="109"/>
      <c r="F30" s="109"/>
      <c r="G30" s="109"/>
      <c r="H30" s="109"/>
      <c r="I30" s="109"/>
    </row>
    <row r="31">
      <c r="A31" s="109" t="s">
        <v>3130</v>
      </c>
      <c r="B31" s="115" t="s">
        <v>3131</v>
      </c>
      <c r="C31" s="109"/>
      <c r="D31" s="109"/>
      <c r="E31" s="109"/>
      <c r="F31" s="109"/>
      <c r="G31" s="109"/>
      <c r="H31" s="109"/>
      <c r="I31" s="109"/>
    </row>
    <row r="32">
      <c r="A32" s="109" t="s">
        <v>3132</v>
      </c>
      <c r="B32" s="115" t="s">
        <v>3133</v>
      </c>
      <c r="C32" s="109"/>
      <c r="D32" s="109"/>
      <c r="E32" s="109"/>
      <c r="F32" s="109"/>
      <c r="G32" s="109"/>
      <c r="H32" s="109"/>
      <c r="I32" s="109"/>
    </row>
    <row r="33">
      <c r="A33" s="109" t="s">
        <v>3134</v>
      </c>
      <c r="B33" s="115" t="s">
        <v>3135</v>
      </c>
      <c r="C33" s="109"/>
      <c r="D33" s="109"/>
      <c r="E33" s="109"/>
      <c r="F33" s="109"/>
      <c r="G33" s="109"/>
      <c r="H33" s="109"/>
      <c r="I33" s="109"/>
    </row>
    <row r="34">
      <c r="A34" s="109" t="s">
        <v>1296</v>
      </c>
      <c r="B34" s="115" t="s">
        <v>3136</v>
      </c>
      <c r="C34" s="109"/>
      <c r="D34" s="109"/>
      <c r="E34" s="109"/>
      <c r="F34" s="109"/>
      <c r="G34" s="109"/>
      <c r="H34" s="109"/>
      <c r="I34" s="109"/>
    </row>
    <row r="35">
      <c r="A35" s="109" t="s">
        <v>3137</v>
      </c>
      <c r="B35" s="115" t="s">
        <v>3138</v>
      </c>
      <c r="C35" s="109"/>
      <c r="D35" s="109"/>
      <c r="E35" s="109"/>
      <c r="F35" s="109"/>
      <c r="G35" s="109"/>
      <c r="H35" s="109"/>
      <c r="I35" s="109"/>
    </row>
    <row r="36">
      <c r="A36" s="109"/>
      <c r="B36" s="115"/>
      <c r="C36" s="109"/>
      <c r="D36" s="109"/>
      <c r="E36" s="109"/>
      <c r="F36" s="109"/>
      <c r="G36" s="109"/>
      <c r="H36" s="109"/>
      <c r="I36" s="109"/>
    </row>
    <row r="37">
      <c r="A37" s="109" t="s">
        <v>3139</v>
      </c>
      <c r="B37" s="115" t="s">
        <v>3140</v>
      </c>
      <c r="C37" s="109"/>
      <c r="D37" s="109"/>
      <c r="E37" s="109"/>
      <c r="F37" s="109"/>
      <c r="G37" s="109"/>
      <c r="H37" s="109"/>
      <c r="I37" s="109"/>
    </row>
    <row r="38">
      <c r="A38" s="109" t="s">
        <v>1330</v>
      </c>
      <c r="B38" s="115" t="s">
        <v>3141</v>
      </c>
      <c r="C38" s="109"/>
      <c r="D38" s="109"/>
      <c r="E38" s="109"/>
      <c r="F38" s="109"/>
      <c r="G38" s="109"/>
      <c r="H38" s="109"/>
      <c r="I38" s="109"/>
    </row>
    <row r="39">
      <c r="A39" s="109" t="s">
        <v>3142</v>
      </c>
      <c r="B39" s="115" t="s">
        <v>3143</v>
      </c>
      <c r="C39" s="109"/>
      <c r="D39" s="109"/>
      <c r="E39" s="109"/>
      <c r="F39" s="109"/>
      <c r="G39" s="109"/>
      <c r="H39" s="109"/>
      <c r="I39" s="109"/>
    </row>
    <row r="40">
      <c r="A40" s="109"/>
      <c r="B40" s="115"/>
      <c r="C40" s="109"/>
      <c r="D40" s="109"/>
      <c r="E40" s="109"/>
      <c r="F40" s="109"/>
      <c r="G40" s="109"/>
      <c r="H40" s="109"/>
      <c r="I40" s="109"/>
    </row>
    <row r="41">
      <c r="A41" s="109" t="s">
        <v>3144</v>
      </c>
      <c r="B41" s="115" t="s">
        <v>3145</v>
      </c>
      <c r="C41" s="109"/>
      <c r="D41" s="109"/>
      <c r="E41" s="109"/>
      <c r="F41" s="109"/>
      <c r="G41" s="109"/>
      <c r="H41" s="109"/>
      <c r="I41" s="109"/>
    </row>
    <row r="42">
      <c r="A42" s="109" t="s">
        <v>3146</v>
      </c>
      <c r="B42" s="115" t="s">
        <v>3147</v>
      </c>
      <c r="C42" s="109"/>
      <c r="D42" s="109"/>
      <c r="E42" s="109"/>
      <c r="F42" s="109"/>
      <c r="G42" s="109"/>
      <c r="H42" s="109"/>
      <c r="I42" s="109"/>
    </row>
    <row r="43">
      <c r="A43" s="109"/>
      <c r="B43" s="115"/>
      <c r="C43" s="109"/>
      <c r="D43" s="109"/>
      <c r="E43" s="109"/>
      <c r="F43" s="109"/>
      <c r="G43" s="109"/>
      <c r="H43" s="109"/>
      <c r="I43" s="109"/>
    </row>
    <row r="44">
      <c r="A44" s="109"/>
      <c r="B44" s="115"/>
      <c r="C44" s="109"/>
      <c r="D44" s="109"/>
      <c r="E44" s="109"/>
      <c r="F44" s="109"/>
      <c r="G44" s="109"/>
      <c r="H44" s="109"/>
      <c r="I44" s="109"/>
    </row>
    <row r="45">
      <c r="A45" s="109"/>
      <c r="B45" s="115"/>
      <c r="C45" s="109"/>
      <c r="D45" s="109"/>
      <c r="E45" s="109"/>
      <c r="F45" s="109"/>
      <c r="G45" s="109"/>
      <c r="H45" s="109"/>
      <c r="I45" s="109"/>
    </row>
    <row r="46">
      <c r="A46" s="109" t="s">
        <v>3148</v>
      </c>
      <c r="B46" s="115" t="s">
        <v>3149</v>
      </c>
      <c r="C46" s="109"/>
      <c r="D46" s="109"/>
      <c r="E46" s="109"/>
      <c r="F46" s="109"/>
      <c r="G46" s="109"/>
      <c r="H46" s="109"/>
      <c r="I46" s="109"/>
    </row>
    <row r="47">
      <c r="A47" s="109" t="s">
        <v>3150</v>
      </c>
      <c r="B47" s="115" t="s">
        <v>3151</v>
      </c>
      <c r="C47" s="109"/>
      <c r="D47" s="109"/>
      <c r="E47" s="109"/>
      <c r="F47" s="109"/>
      <c r="G47" s="109"/>
      <c r="H47" s="109"/>
      <c r="I47" s="109"/>
    </row>
    <row r="48">
      <c r="A48" s="109" t="s">
        <v>3152</v>
      </c>
      <c r="B48" s="115" t="s">
        <v>3153</v>
      </c>
      <c r="C48" s="109"/>
      <c r="D48" s="109"/>
      <c r="E48" s="109"/>
      <c r="F48" s="109"/>
      <c r="G48" s="109"/>
      <c r="H48" s="109"/>
      <c r="I48" s="109"/>
    </row>
    <row r="49">
      <c r="A49" s="109" t="s">
        <v>3154</v>
      </c>
      <c r="B49" s="115" t="s">
        <v>3155</v>
      </c>
      <c r="C49" s="109"/>
      <c r="D49" s="109"/>
      <c r="E49" s="109"/>
      <c r="F49" s="109"/>
      <c r="G49" s="109"/>
      <c r="H49" s="109"/>
      <c r="I49" s="109"/>
    </row>
    <row r="50">
      <c r="A50" s="109" t="s">
        <v>3156</v>
      </c>
      <c r="B50" s="115" t="s">
        <v>3157</v>
      </c>
      <c r="C50" s="109"/>
      <c r="D50" s="109"/>
      <c r="E50" s="109"/>
      <c r="F50" s="109"/>
      <c r="G50" s="109"/>
      <c r="H50" s="109"/>
      <c r="I50" s="109"/>
    </row>
    <row r="51">
      <c r="A51" s="109" t="s">
        <v>3158</v>
      </c>
      <c r="B51" s="115" t="s">
        <v>3159</v>
      </c>
      <c r="C51" s="109"/>
      <c r="D51" s="109"/>
      <c r="E51" s="109"/>
      <c r="F51" s="109"/>
      <c r="G51" s="109"/>
      <c r="H51" s="109"/>
      <c r="I51" s="109"/>
    </row>
    <row r="52">
      <c r="A52" s="109" t="s">
        <v>3160</v>
      </c>
      <c r="B52" s="115" t="s">
        <v>3161</v>
      </c>
      <c r="C52" s="109"/>
      <c r="D52" s="109"/>
      <c r="E52" s="109"/>
      <c r="F52" s="109"/>
      <c r="G52" s="109"/>
      <c r="H52" s="109"/>
      <c r="I52" s="109"/>
    </row>
    <row r="53">
      <c r="A53" s="109" t="s">
        <v>3162</v>
      </c>
      <c r="B53" s="115" t="s">
        <v>3163</v>
      </c>
      <c r="C53" s="109"/>
      <c r="D53" s="109"/>
      <c r="E53" s="109"/>
      <c r="F53" s="109"/>
      <c r="G53" s="109"/>
      <c r="H53" s="109"/>
      <c r="I53" s="109"/>
    </row>
    <row r="54">
      <c r="A54" s="109" t="s">
        <v>3164</v>
      </c>
      <c r="B54" s="115" t="s">
        <v>3165</v>
      </c>
      <c r="C54" s="109"/>
      <c r="D54" s="109"/>
      <c r="E54" s="109"/>
      <c r="F54" s="109"/>
      <c r="G54" s="109"/>
      <c r="H54" s="109"/>
      <c r="I54" s="109"/>
    </row>
    <row r="55">
      <c r="A55" s="109" t="s">
        <v>3166</v>
      </c>
      <c r="B55" s="115" t="s">
        <v>3167</v>
      </c>
      <c r="C55" s="109"/>
      <c r="D55" s="109"/>
      <c r="E55" s="109"/>
      <c r="F55" s="109"/>
      <c r="G55" s="109"/>
      <c r="H55" s="109"/>
      <c r="I55" s="109"/>
    </row>
    <row r="56">
      <c r="A56" s="109" t="s">
        <v>3168</v>
      </c>
      <c r="B56" s="115" t="s">
        <v>3169</v>
      </c>
      <c r="C56" s="109"/>
      <c r="D56" s="109"/>
      <c r="E56" s="109"/>
      <c r="F56" s="109"/>
      <c r="G56" s="109"/>
      <c r="H56" s="109"/>
      <c r="I56" s="109"/>
    </row>
    <row r="57">
      <c r="A57" s="109" t="s">
        <v>3170</v>
      </c>
      <c r="B57" s="115" t="s">
        <v>3171</v>
      </c>
      <c r="C57" s="109"/>
      <c r="D57" s="109"/>
      <c r="E57" s="109"/>
      <c r="F57" s="109"/>
      <c r="G57" s="109"/>
      <c r="H57" s="109"/>
      <c r="I57" s="109"/>
    </row>
    <row r="58">
      <c r="A58" s="109" t="s">
        <v>3172</v>
      </c>
      <c r="B58" s="115" t="s">
        <v>3173</v>
      </c>
      <c r="C58" s="109"/>
      <c r="D58" s="109"/>
      <c r="E58" s="109"/>
      <c r="F58" s="109"/>
      <c r="G58" s="109"/>
      <c r="H58" s="109"/>
      <c r="I58" s="109"/>
    </row>
    <row r="59">
      <c r="A59" s="109" t="s">
        <v>3174</v>
      </c>
      <c r="B59" s="115" t="s">
        <v>3175</v>
      </c>
      <c r="C59" s="109"/>
      <c r="D59" s="109"/>
      <c r="E59" s="109"/>
      <c r="F59" s="109"/>
      <c r="G59" s="109"/>
      <c r="H59" s="109"/>
      <c r="I59" s="109"/>
    </row>
    <row r="60">
      <c r="A60" s="109" t="s">
        <v>3176</v>
      </c>
      <c r="B60" s="115" t="s">
        <v>3177</v>
      </c>
      <c r="C60" s="109"/>
      <c r="D60" s="109"/>
      <c r="E60" s="109"/>
      <c r="F60" s="109"/>
      <c r="G60" s="109"/>
      <c r="H60" s="109"/>
      <c r="I60" s="109"/>
    </row>
    <row r="61">
      <c r="A61" s="109" t="s">
        <v>3178</v>
      </c>
      <c r="B61" s="115" t="s">
        <v>3179</v>
      </c>
      <c r="C61" s="109"/>
      <c r="D61" s="109"/>
      <c r="E61" s="109"/>
      <c r="F61" s="109"/>
      <c r="G61" s="109"/>
      <c r="H61" s="109"/>
      <c r="I61" s="109"/>
    </row>
    <row r="62">
      <c r="A62" s="109" t="s">
        <v>3180</v>
      </c>
      <c r="B62" s="115" t="s">
        <v>3181</v>
      </c>
      <c r="C62" s="109"/>
      <c r="D62" s="109"/>
      <c r="E62" s="109"/>
      <c r="F62" s="109"/>
      <c r="G62" s="109"/>
      <c r="H62" s="109"/>
      <c r="I62" s="109"/>
    </row>
    <row r="63">
      <c r="A63" s="109" t="s">
        <v>3182</v>
      </c>
      <c r="B63" s="115" t="s">
        <v>3183</v>
      </c>
      <c r="C63" s="109"/>
      <c r="D63" s="109"/>
      <c r="E63" s="109"/>
      <c r="F63" s="109"/>
      <c r="G63" s="109"/>
      <c r="H63" s="109"/>
      <c r="I63" s="109"/>
    </row>
    <row r="64">
      <c r="A64" s="109" t="s">
        <v>3184</v>
      </c>
      <c r="B64" s="115" t="s">
        <v>3185</v>
      </c>
      <c r="C64" s="109"/>
      <c r="D64" s="109"/>
      <c r="E64" s="109"/>
      <c r="F64" s="109"/>
      <c r="G64" s="109"/>
      <c r="H64" s="109"/>
      <c r="I64" s="109"/>
    </row>
    <row r="65">
      <c r="A65" s="109" t="s">
        <v>3186</v>
      </c>
      <c r="B65" s="115" t="s">
        <v>3187</v>
      </c>
      <c r="C65" s="109"/>
      <c r="D65" s="109"/>
      <c r="E65" s="109"/>
      <c r="F65" s="109"/>
      <c r="G65" s="109"/>
      <c r="H65" s="109"/>
      <c r="I65" s="109"/>
    </row>
    <row r="66">
      <c r="A66" s="109" t="s">
        <v>3188</v>
      </c>
      <c r="B66" s="115" t="s">
        <v>3189</v>
      </c>
      <c r="C66" s="109"/>
      <c r="D66" s="109"/>
      <c r="E66" s="109"/>
      <c r="F66" s="109"/>
      <c r="G66" s="109"/>
      <c r="H66" s="109"/>
      <c r="I66" s="109"/>
    </row>
    <row r="67">
      <c r="A67" s="109" t="s">
        <v>3190</v>
      </c>
      <c r="B67" s="115" t="s">
        <v>3191</v>
      </c>
      <c r="C67" s="109"/>
      <c r="D67" s="109"/>
      <c r="E67" s="109"/>
      <c r="F67" s="109"/>
      <c r="G67" s="109"/>
      <c r="H67" s="109"/>
      <c r="I67" s="109"/>
    </row>
    <row r="68">
      <c r="A68" s="109" t="s">
        <v>3192</v>
      </c>
      <c r="B68" s="115" t="s">
        <v>3193</v>
      </c>
      <c r="C68" s="109"/>
      <c r="D68" s="109"/>
      <c r="E68" s="109"/>
      <c r="F68" s="109"/>
      <c r="G68" s="109"/>
      <c r="H68" s="109"/>
      <c r="I68" s="109"/>
    </row>
    <row r="69">
      <c r="A69" s="109"/>
      <c r="B69" s="115"/>
      <c r="C69" s="109"/>
      <c r="D69" s="109"/>
      <c r="E69" s="109"/>
      <c r="F69" s="109"/>
      <c r="G69" s="109"/>
      <c r="H69" s="109"/>
      <c r="I69" s="109"/>
    </row>
    <row r="70">
      <c r="A70" s="109" t="s">
        <v>3194</v>
      </c>
      <c r="B70" s="115" t="s">
        <v>3195</v>
      </c>
      <c r="C70" s="109"/>
      <c r="D70" s="109"/>
      <c r="E70" s="109"/>
      <c r="F70" s="109"/>
      <c r="G70" s="109"/>
      <c r="H70" s="109"/>
      <c r="I70" s="109"/>
    </row>
    <row r="71" ht="18.75" customHeight="1">
      <c r="B71" s="64"/>
    </row>
    <row r="72" ht="18.75" customHeight="1">
      <c r="B72" s="64"/>
    </row>
    <row r="73" ht="18.75" customHeight="1">
      <c r="B73" s="64"/>
    </row>
    <row r="74" ht="18.75" customHeight="1">
      <c r="B74" s="64"/>
    </row>
    <row r="75" ht="18.75" customHeight="1">
      <c r="B75" s="64"/>
    </row>
    <row r="76" ht="18.75" customHeight="1">
      <c r="B76" s="64"/>
    </row>
    <row r="77" ht="18.75" customHeight="1">
      <c r="B77" s="64"/>
    </row>
    <row r="78" ht="18.75" customHeight="1">
      <c r="B78" s="64"/>
    </row>
    <row r="79" ht="18.75" customHeight="1">
      <c r="B79" s="64"/>
    </row>
    <row r="80" ht="18.75" customHeight="1">
      <c r="B80" s="64"/>
    </row>
    <row r="81" ht="18.75" customHeight="1">
      <c r="B81" s="64"/>
    </row>
    <row r="82" ht="18.75" customHeight="1">
      <c r="B82" s="64"/>
    </row>
    <row r="83" ht="18.75" customHeight="1">
      <c r="B83" s="64"/>
    </row>
    <row r="84" ht="18.75" customHeight="1">
      <c r="B84" s="64"/>
    </row>
    <row r="85" ht="18.75" customHeight="1">
      <c r="B85" s="64"/>
    </row>
    <row r="86" ht="18.75" customHeight="1">
      <c r="B86" s="64"/>
    </row>
    <row r="87" ht="18.75" customHeight="1">
      <c r="B87" s="64"/>
    </row>
    <row r="88" ht="18.75" customHeight="1">
      <c r="B88" s="64"/>
    </row>
    <row r="89" ht="18.75" customHeight="1">
      <c r="B89" s="64"/>
    </row>
    <row r="90" ht="18.75" customHeight="1">
      <c r="B90" s="64"/>
    </row>
    <row r="91" ht="18.75" customHeight="1">
      <c r="B91" s="64"/>
    </row>
    <row r="92" ht="18.75" customHeight="1">
      <c r="B92" s="64"/>
    </row>
    <row r="93" ht="18.75" customHeight="1">
      <c r="B93" s="64"/>
    </row>
    <row r="94" ht="18.75" customHeight="1">
      <c r="B94" s="64"/>
    </row>
    <row r="95" ht="18.75" customHeight="1">
      <c r="B95" s="64"/>
    </row>
    <row r="96" ht="18.75" customHeight="1">
      <c r="B96" s="64"/>
    </row>
    <row r="97" ht="18.75" customHeight="1">
      <c r="B97" s="64"/>
    </row>
    <row r="98" ht="18.75" customHeight="1">
      <c r="B98" s="64"/>
    </row>
    <row r="99" ht="18.75" customHeight="1">
      <c r="B99" s="64"/>
    </row>
    <row r="100" ht="18.75" customHeight="1">
      <c r="B100" s="64"/>
    </row>
    <row r="101" ht="18.75" customHeight="1">
      <c r="B101" s="64"/>
    </row>
    <row r="102" ht="18.75" customHeight="1">
      <c r="B102" s="64"/>
    </row>
    <row r="103" ht="18.75" customHeight="1">
      <c r="B103" s="64"/>
    </row>
    <row r="104" ht="18.75" customHeight="1">
      <c r="B104" s="64"/>
    </row>
    <row r="105" ht="18.75" customHeight="1">
      <c r="B105" s="64"/>
    </row>
    <row r="106" ht="18.75" customHeight="1">
      <c r="B106" s="64"/>
    </row>
    <row r="107" ht="18.75" customHeight="1">
      <c r="B107" s="64"/>
    </row>
    <row r="108" ht="18.75" customHeight="1">
      <c r="B108" s="64"/>
    </row>
    <row r="109" ht="18.75" customHeight="1">
      <c r="B109" s="64"/>
    </row>
    <row r="110" ht="18.75" customHeight="1">
      <c r="B110" s="64"/>
    </row>
    <row r="111" ht="18.75" customHeight="1">
      <c r="B111" s="64"/>
    </row>
    <row r="112" ht="18.75" customHeight="1">
      <c r="B112" s="64"/>
    </row>
    <row r="113" ht="18.75" customHeight="1">
      <c r="B113" s="64"/>
    </row>
    <row r="114" ht="18.75" customHeight="1">
      <c r="B114" s="64"/>
    </row>
    <row r="115" ht="18.75" customHeight="1">
      <c r="B115" s="64"/>
    </row>
    <row r="116" ht="18.75" customHeight="1">
      <c r="B116" s="64"/>
    </row>
    <row r="117" ht="18.75" customHeight="1">
      <c r="B117" s="64"/>
    </row>
    <row r="118" ht="18.75" customHeight="1">
      <c r="B118" s="64"/>
    </row>
    <row r="119" ht="18.75" customHeight="1">
      <c r="B119" s="64"/>
    </row>
    <row r="120" ht="18.75" customHeight="1">
      <c r="B120" s="64"/>
    </row>
    <row r="121" ht="18.75" customHeight="1">
      <c r="B121" s="64"/>
    </row>
    <row r="122" ht="18.75" customHeight="1">
      <c r="B122" s="64"/>
    </row>
    <row r="123" ht="18.75" customHeight="1">
      <c r="B123" s="64"/>
    </row>
    <row r="124" ht="18.75" customHeight="1">
      <c r="B124" s="64"/>
    </row>
    <row r="125" ht="18.75" customHeight="1">
      <c r="B125" s="64"/>
    </row>
    <row r="126" ht="18.75" customHeight="1">
      <c r="B126" s="64"/>
    </row>
    <row r="127" ht="18.75" customHeight="1">
      <c r="B127" s="64"/>
    </row>
    <row r="128" ht="18.75" customHeight="1">
      <c r="B128" s="64"/>
    </row>
    <row r="129" ht="18.75" customHeight="1">
      <c r="B129" s="64"/>
    </row>
    <row r="130" ht="18.75" customHeight="1">
      <c r="B130" s="64"/>
    </row>
    <row r="131" ht="18.75" customHeight="1">
      <c r="B131" s="64"/>
    </row>
    <row r="132" ht="18.75" customHeight="1">
      <c r="B132" s="64"/>
    </row>
    <row r="133" ht="18.75" customHeight="1">
      <c r="B133" s="64"/>
    </row>
    <row r="134" ht="18.75" customHeight="1">
      <c r="B134" s="64"/>
    </row>
    <row r="135" ht="18.75" customHeight="1">
      <c r="B135" s="64"/>
    </row>
    <row r="136" ht="18.75" customHeight="1">
      <c r="B136" s="64"/>
    </row>
    <row r="137" ht="18.75" customHeight="1">
      <c r="B137" s="64"/>
    </row>
    <row r="138" ht="18.75" customHeight="1">
      <c r="B138" s="64"/>
    </row>
    <row r="139" ht="18.75" customHeight="1">
      <c r="B139" s="64"/>
    </row>
    <row r="140" ht="18.75" customHeight="1">
      <c r="B140" s="64"/>
    </row>
    <row r="141" ht="18.75" customHeight="1">
      <c r="B141" s="64"/>
    </row>
    <row r="142" ht="18.75" customHeight="1">
      <c r="B142" s="64"/>
    </row>
    <row r="143" ht="18.75" customHeight="1">
      <c r="B143" s="64"/>
    </row>
    <row r="144" ht="18.75" customHeight="1">
      <c r="B144" s="64"/>
    </row>
    <row r="145" ht="18.75" customHeight="1">
      <c r="B145" s="64"/>
    </row>
    <row r="146" ht="18.75" customHeight="1">
      <c r="B146" s="64"/>
    </row>
    <row r="147" ht="18.75" customHeight="1">
      <c r="B147" s="64"/>
    </row>
    <row r="148" ht="18.75" customHeight="1">
      <c r="B148" s="64"/>
    </row>
    <row r="149" ht="18.75" customHeight="1">
      <c r="B149" s="64"/>
    </row>
    <row r="150" ht="18.75" customHeight="1">
      <c r="B150" s="64"/>
    </row>
    <row r="151" ht="18.75" customHeight="1">
      <c r="B151" s="64"/>
    </row>
    <row r="152" ht="18.75" customHeight="1">
      <c r="B152" s="64"/>
    </row>
    <row r="153" ht="18.75" customHeight="1">
      <c r="B153" s="64"/>
    </row>
    <row r="154" ht="18.75" customHeight="1">
      <c r="B154" s="64"/>
    </row>
    <row r="155" ht="18.75" customHeight="1">
      <c r="B155" s="64"/>
    </row>
    <row r="156" ht="18.75" customHeight="1">
      <c r="B156" s="64"/>
    </row>
    <row r="157" ht="18.75" customHeight="1">
      <c r="B157" s="64"/>
    </row>
    <row r="158" ht="18.75" customHeight="1">
      <c r="B158" s="64"/>
    </row>
    <row r="159" ht="18.75" customHeight="1">
      <c r="B159" s="64"/>
    </row>
    <row r="160" ht="18.75" customHeight="1">
      <c r="B160" s="64"/>
    </row>
    <row r="161" ht="18.75" customHeight="1">
      <c r="B161" s="64"/>
    </row>
    <row r="162" ht="18.75" customHeight="1">
      <c r="B162" s="64"/>
    </row>
    <row r="163" ht="18.75" customHeight="1">
      <c r="B163" s="64"/>
    </row>
    <row r="164" ht="18.75" customHeight="1">
      <c r="B164" s="64"/>
    </row>
    <row r="165" ht="18.75" customHeight="1">
      <c r="B165" s="64"/>
    </row>
    <row r="166" ht="18.75" customHeight="1">
      <c r="B166" s="64"/>
    </row>
    <row r="167" ht="18.75" customHeight="1">
      <c r="B167" s="64"/>
    </row>
    <row r="168" ht="18.75" customHeight="1">
      <c r="B168" s="64"/>
    </row>
    <row r="169" ht="18.75" customHeight="1">
      <c r="B169" s="64"/>
    </row>
    <row r="170" ht="18.75" customHeight="1">
      <c r="B170" s="64"/>
    </row>
    <row r="171" ht="18.75" customHeight="1">
      <c r="B171" s="64"/>
    </row>
    <row r="172" ht="18.75" customHeight="1">
      <c r="B172" s="64"/>
    </row>
    <row r="173" ht="18.75" customHeight="1">
      <c r="B173" s="64"/>
    </row>
    <row r="174" ht="18.75" customHeight="1">
      <c r="B174" s="64"/>
    </row>
    <row r="175" ht="18.75" customHeight="1">
      <c r="B175" s="64"/>
    </row>
    <row r="176" ht="18.75" customHeight="1">
      <c r="B176" s="64"/>
    </row>
    <row r="177" ht="18.75" customHeight="1">
      <c r="B177" s="64"/>
    </row>
    <row r="178" ht="18.75" customHeight="1">
      <c r="B178" s="64"/>
    </row>
    <row r="179" ht="18.75" customHeight="1">
      <c r="B179" s="64"/>
    </row>
    <row r="180" ht="18.75" customHeight="1">
      <c r="B180" s="64"/>
    </row>
    <row r="181" ht="18.75" customHeight="1">
      <c r="B181" s="64"/>
    </row>
    <row r="182" ht="18.75" customHeight="1">
      <c r="B182" s="64"/>
    </row>
    <row r="183" ht="18.75" customHeight="1">
      <c r="B183" s="64"/>
    </row>
    <row r="184" ht="18.75" customHeight="1">
      <c r="B184" s="64"/>
    </row>
    <row r="185" ht="18.75" customHeight="1">
      <c r="B185" s="64"/>
    </row>
    <row r="186" ht="18.75" customHeight="1">
      <c r="B186" s="64"/>
    </row>
    <row r="187" ht="18.75" customHeight="1">
      <c r="B187" s="64"/>
    </row>
    <row r="188" ht="18.75" customHeight="1">
      <c r="B188" s="64"/>
    </row>
    <row r="189" ht="18.75" customHeight="1">
      <c r="B189" s="64"/>
    </row>
    <row r="190" ht="18.75" customHeight="1">
      <c r="B190" s="64"/>
    </row>
    <row r="191" ht="18.75" customHeight="1">
      <c r="B191" s="64"/>
    </row>
    <row r="192" ht="18.75" customHeight="1">
      <c r="B192" s="64"/>
    </row>
    <row r="193" ht="18.75" customHeight="1">
      <c r="B193" s="64"/>
    </row>
    <row r="194" ht="18.75" customHeight="1">
      <c r="B194" s="64"/>
    </row>
    <row r="195" ht="18.75" customHeight="1">
      <c r="B195" s="64"/>
    </row>
    <row r="196" ht="18.75" customHeight="1">
      <c r="B196" s="64"/>
    </row>
    <row r="197" ht="18.75" customHeight="1">
      <c r="B197" s="64"/>
    </row>
    <row r="198" ht="18.75" customHeight="1">
      <c r="B198" s="64"/>
    </row>
    <row r="199" ht="18.75" customHeight="1">
      <c r="B199" s="64"/>
    </row>
    <row r="200" ht="18.75" customHeight="1">
      <c r="B200" s="64"/>
    </row>
    <row r="201" ht="18.75" customHeight="1">
      <c r="B201" s="64"/>
    </row>
    <row r="202" ht="18.75" customHeight="1">
      <c r="B202" s="64"/>
    </row>
    <row r="203" ht="18.75" customHeight="1">
      <c r="B203" s="64"/>
    </row>
    <row r="204" ht="18.75" customHeight="1">
      <c r="B204" s="64"/>
    </row>
    <row r="205" ht="18.75" customHeight="1">
      <c r="B205" s="64"/>
    </row>
    <row r="206" ht="18.75" customHeight="1">
      <c r="B206" s="64"/>
    </row>
    <row r="207" ht="18.75" customHeight="1">
      <c r="B207" s="64"/>
    </row>
    <row r="208" ht="18.75" customHeight="1">
      <c r="B208" s="64"/>
    </row>
    <row r="209" ht="18.75" customHeight="1">
      <c r="B209" s="64"/>
    </row>
    <row r="210" ht="18.75" customHeight="1">
      <c r="B210" s="64"/>
    </row>
    <row r="211" ht="18.75" customHeight="1">
      <c r="B211" s="64"/>
    </row>
    <row r="212" ht="18.75" customHeight="1">
      <c r="B212" s="64"/>
    </row>
    <row r="213" ht="18.75" customHeight="1">
      <c r="B213" s="64"/>
    </row>
    <row r="214" ht="18.75" customHeight="1">
      <c r="B214" s="64"/>
    </row>
    <row r="215" ht="18.75" customHeight="1">
      <c r="B215" s="64"/>
    </row>
    <row r="216" ht="18.75" customHeight="1">
      <c r="B216" s="64"/>
    </row>
    <row r="217" ht="18.75" customHeight="1">
      <c r="B217" s="64"/>
    </row>
    <row r="218" ht="18.75" customHeight="1">
      <c r="B218" s="64"/>
    </row>
    <row r="219" ht="18.75" customHeight="1">
      <c r="B219" s="64"/>
    </row>
    <row r="220" ht="18.75" customHeight="1">
      <c r="B220" s="64"/>
    </row>
    <row r="221" ht="18.75" customHeight="1">
      <c r="B221" s="64"/>
    </row>
    <row r="222" ht="18.75" customHeight="1">
      <c r="B222" s="64"/>
    </row>
    <row r="223" ht="18.75" customHeight="1">
      <c r="B223" s="64"/>
    </row>
    <row r="224" ht="18.75" customHeight="1">
      <c r="B224" s="64"/>
    </row>
    <row r="225" ht="18.75" customHeight="1">
      <c r="B225" s="64"/>
    </row>
    <row r="226" ht="18.75" customHeight="1">
      <c r="B226" s="64"/>
    </row>
    <row r="227" ht="18.75" customHeight="1">
      <c r="B227" s="64"/>
    </row>
    <row r="228" ht="18.75" customHeight="1">
      <c r="B228" s="64"/>
    </row>
    <row r="229" ht="18.75" customHeight="1">
      <c r="B229" s="64"/>
    </row>
    <row r="230" ht="18.75" customHeight="1">
      <c r="B230" s="64"/>
    </row>
    <row r="231" ht="18.75" customHeight="1">
      <c r="B231" s="64"/>
    </row>
    <row r="232" ht="18.75" customHeight="1">
      <c r="B232" s="64"/>
    </row>
    <row r="233" ht="18.75" customHeight="1">
      <c r="B233" s="64"/>
    </row>
    <row r="234" ht="18.75" customHeight="1">
      <c r="B234" s="64"/>
    </row>
    <row r="235" ht="18.75" customHeight="1">
      <c r="B235" s="64"/>
    </row>
    <row r="236" ht="18.75" customHeight="1">
      <c r="B236" s="64"/>
    </row>
    <row r="237" ht="18.75" customHeight="1">
      <c r="B237" s="64"/>
    </row>
    <row r="238" ht="18.75" customHeight="1">
      <c r="B238" s="64"/>
    </row>
    <row r="239" ht="18.75" customHeight="1">
      <c r="B239" s="64"/>
    </row>
    <row r="240" ht="18.75" customHeight="1">
      <c r="B240" s="64"/>
    </row>
    <row r="241" ht="18.75" customHeight="1">
      <c r="B241" s="64"/>
    </row>
    <row r="242" ht="18.75" customHeight="1">
      <c r="B242" s="64"/>
    </row>
    <row r="243" ht="18.75" customHeight="1">
      <c r="B243" s="64"/>
    </row>
    <row r="244" ht="18.75" customHeight="1">
      <c r="B244" s="64"/>
    </row>
    <row r="245" ht="18.75" customHeight="1">
      <c r="B245" s="64"/>
    </row>
    <row r="246" ht="18.75" customHeight="1">
      <c r="B246" s="64"/>
    </row>
    <row r="247" ht="18.75" customHeight="1">
      <c r="B247" s="64"/>
    </row>
    <row r="248" ht="18.75" customHeight="1">
      <c r="B248" s="64"/>
    </row>
    <row r="249" ht="18.75" customHeight="1">
      <c r="B249" s="64"/>
    </row>
    <row r="250" ht="18.75" customHeight="1">
      <c r="B250" s="64"/>
    </row>
    <row r="251" ht="18.75" customHeight="1">
      <c r="B251" s="64"/>
    </row>
    <row r="252" ht="18.75" customHeight="1">
      <c r="B252" s="64"/>
    </row>
    <row r="253" ht="18.75" customHeight="1">
      <c r="B253" s="64"/>
    </row>
    <row r="254" ht="18.75" customHeight="1">
      <c r="B254" s="64"/>
    </row>
    <row r="255" ht="18.75" customHeight="1">
      <c r="B255" s="64"/>
    </row>
    <row r="256" ht="18.75" customHeight="1">
      <c r="B256" s="64"/>
    </row>
    <row r="257" ht="18.75" customHeight="1">
      <c r="B257" s="64"/>
    </row>
    <row r="258" ht="18.75" customHeight="1">
      <c r="B258" s="64"/>
    </row>
    <row r="259" ht="18.75" customHeight="1">
      <c r="B259" s="64"/>
    </row>
    <row r="260" ht="18.75" customHeight="1">
      <c r="B260" s="64"/>
    </row>
    <row r="261" ht="18.75" customHeight="1">
      <c r="B261" s="64"/>
    </row>
    <row r="262" ht="18.75" customHeight="1">
      <c r="B262" s="64"/>
    </row>
    <row r="263" ht="18.75" customHeight="1">
      <c r="B263" s="64"/>
    </row>
    <row r="264" ht="18.75" customHeight="1">
      <c r="B264" s="64"/>
    </row>
    <row r="265" ht="18.75" customHeight="1">
      <c r="B265" s="64"/>
    </row>
    <row r="266" ht="18.75" customHeight="1">
      <c r="B266" s="64"/>
    </row>
    <row r="267" ht="18.75" customHeight="1">
      <c r="B267" s="64"/>
    </row>
    <row r="268" ht="18.75" customHeight="1">
      <c r="B268" s="64"/>
    </row>
    <row r="269" ht="18.75" customHeight="1">
      <c r="B269" s="64"/>
    </row>
    <row r="270" ht="18.75" customHeight="1">
      <c r="B270" s="64"/>
    </row>
    <row r="271" ht="18.75" customHeight="1">
      <c r="B271" s="64"/>
    </row>
    <row r="272" ht="18.75" customHeight="1">
      <c r="B272" s="64"/>
    </row>
    <row r="273" ht="18.75" customHeight="1">
      <c r="B273" s="64"/>
    </row>
    <row r="274" ht="18.75" customHeight="1">
      <c r="B274" s="64"/>
    </row>
    <row r="275" ht="18.75" customHeight="1">
      <c r="B275" s="64"/>
    </row>
    <row r="276" ht="18.75" customHeight="1">
      <c r="B276" s="64"/>
    </row>
    <row r="277" ht="18.75" customHeight="1">
      <c r="B277" s="64"/>
    </row>
    <row r="278" ht="18.75" customHeight="1">
      <c r="B278" s="64"/>
    </row>
    <row r="279" ht="18.75" customHeight="1">
      <c r="B279" s="64"/>
    </row>
    <row r="280" ht="18.75" customHeight="1">
      <c r="B280" s="64"/>
    </row>
    <row r="281" ht="18.75" customHeight="1">
      <c r="B281" s="64"/>
    </row>
    <row r="282" ht="18.75" customHeight="1">
      <c r="B282" s="64"/>
    </row>
    <row r="283" ht="18.75" customHeight="1">
      <c r="B283" s="64"/>
    </row>
    <row r="284" ht="18.75" customHeight="1">
      <c r="B284" s="64"/>
    </row>
    <row r="285" ht="18.75" customHeight="1">
      <c r="B285" s="64"/>
    </row>
    <row r="286" ht="18.75" customHeight="1">
      <c r="B286" s="64"/>
    </row>
    <row r="287" ht="18.75" customHeight="1">
      <c r="B287" s="64"/>
    </row>
    <row r="288" ht="18.75" customHeight="1">
      <c r="B288" s="64"/>
    </row>
    <row r="289" ht="18.75" customHeight="1">
      <c r="B289" s="64"/>
    </row>
    <row r="290" ht="18.75" customHeight="1">
      <c r="B290" s="64"/>
    </row>
    <row r="291" ht="18.75" customHeight="1">
      <c r="B291" s="64"/>
    </row>
    <row r="292" ht="18.75" customHeight="1">
      <c r="B292" s="64"/>
    </row>
    <row r="293" ht="18.75" customHeight="1">
      <c r="B293" s="64"/>
    </row>
    <row r="294" ht="18.75" customHeight="1">
      <c r="B294" s="64"/>
    </row>
    <row r="295" ht="18.75" customHeight="1">
      <c r="B295" s="64"/>
    </row>
    <row r="296" ht="18.75" customHeight="1">
      <c r="B296" s="64"/>
    </row>
    <row r="297" ht="18.75" customHeight="1">
      <c r="B297" s="64"/>
    </row>
    <row r="298" ht="18.75" customHeight="1">
      <c r="B298" s="64"/>
    </row>
    <row r="299" ht="18.75" customHeight="1">
      <c r="B299" s="64"/>
    </row>
    <row r="300" ht="18.75" customHeight="1">
      <c r="B300" s="64"/>
    </row>
    <row r="301" ht="18.75" customHeight="1">
      <c r="B301" s="64"/>
    </row>
    <row r="302" ht="18.75" customHeight="1">
      <c r="B302" s="64"/>
    </row>
    <row r="303" ht="18.75" customHeight="1">
      <c r="B303" s="64"/>
    </row>
    <row r="304" ht="18.75" customHeight="1">
      <c r="B304" s="64"/>
    </row>
    <row r="305" ht="18.75" customHeight="1">
      <c r="B305" s="64"/>
    </row>
    <row r="306" ht="18.75" customHeight="1">
      <c r="B306" s="64"/>
    </row>
    <row r="307" ht="18.75" customHeight="1">
      <c r="B307" s="64"/>
    </row>
    <row r="308" ht="18.75" customHeight="1">
      <c r="B308" s="64"/>
    </row>
    <row r="309" ht="18.75" customHeight="1">
      <c r="B309" s="64"/>
    </row>
    <row r="310" ht="18.75" customHeight="1">
      <c r="B310" s="64"/>
    </row>
    <row r="311" ht="18.75" customHeight="1">
      <c r="B311" s="64"/>
    </row>
    <row r="312" ht="18.75" customHeight="1">
      <c r="B312" s="64"/>
    </row>
    <row r="313" ht="18.75" customHeight="1">
      <c r="B313" s="64"/>
    </row>
    <row r="314" ht="18.75" customHeight="1">
      <c r="B314" s="64"/>
    </row>
    <row r="315" ht="18.75" customHeight="1">
      <c r="B315" s="64"/>
    </row>
    <row r="316" ht="18.75" customHeight="1">
      <c r="B316" s="64"/>
    </row>
    <row r="317" ht="18.75" customHeight="1">
      <c r="B317" s="64"/>
    </row>
    <row r="318" ht="18.75" customHeight="1">
      <c r="B318" s="64"/>
    </row>
    <row r="319" ht="18.75" customHeight="1">
      <c r="B319" s="64"/>
    </row>
    <row r="320" ht="18.75" customHeight="1">
      <c r="B320" s="64"/>
    </row>
    <row r="321" ht="18.75" customHeight="1">
      <c r="B321" s="64"/>
    </row>
    <row r="322" ht="18.75" customHeight="1">
      <c r="B322" s="64"/>
    </row>
    <row r="323" ht="18.75" customHeight="1">
      <c r="B323" s="64"/>
    </row>
    <row r="324" ht="18.75" customHeight="1">
      <c r="B324" s="64"/>
    </row>
    <row r="325" ht="18.75" customHeight="1">
      <c r="B325" s="64"/>
    </row>
    <row r="326" ht="18.75" customHeight="1">
      <c r="B326" s="64"/>
    </row>
    <row r="327" ht="18.75" customHeight="1">
      <c r="B327" s="64"/>
    </row>
    <row r="328" ht="18.75" customHeight="1">
      <c r="B328" s="64"/>
    </row>
    <row r="329" ht="18.75" customHeight="1">
      <c r="B329" s="64"/>
    </row>
    <row r="330" ht="18.75" customHeight="1">
      <c r="B330" s="64"/>
    </row>
    <row r="331" ht="18.75" customHeight="1">
      <c r="B331" s="64"/>
    </row>
    <row r="332" ht="18.75" customHeight="1">
      <c r="B332" s="64"/>
    </row>
    <row r="333" ht="18.75" customHeight="1">
      <c r="B333" s="64"/>
    </row>
    <row r="334" ht="18.75" customHeight="1">
      <c r="B334" s="64"/>
    </row>
    <row r="335" ht="18.75" customHeight="1">
      <c r="B335" s="64"/>
    </row>
    <row r="336" ht="18.75" customHeight="1">
      <c r="B336" s="64"/>
    </row>
    <row r="337" ht="18.75" customHeight="1">
      <c r="B337" s="64"/>
    </row>
    <row r="338" ht="18.75" customHeight="1">
      <c r="B338" s="64"/>
    </row>
    <row r="339" ht="18.75" customHeight="1">
      <c r="B339" s="64"/>
    </row>
    <row r="340" ht="18.75" customHeight="1">
      <c r="B340" s="64"/>
    </row>
    <row r="341" ht="18.75" customHeight="1">
      <c r="B341" s="64"/>
    </row>
    <row r="342" ht="18.75" customHeight="1">
      <c r="B342" s="64"/>
    </row>
    <row r="343" ht="18.75" customHeight="1">
      <c r="B343" s="64"/>
    </row>
    <row r="344" ht="18.75" customHeight="1">
      <c r="B344" s="64"/>
    </row>
    <row r="345" ht="18.75" customHeight="1">
      <c r="B345" s="64"/>
    </row>
    <row r="346" ht="18.75" customHeight="1">
      <c r="B346" s="64"/>
    </row>
    <row r="347" ht="18.75" customHeight="1">
      <c r="B347" s="64"/>
    </row>
    <row r="348" ht="18.75" customHeight="1">
      <c r="B348" s="64"/>
    </row>
    <row r="349" ht="18.75" customHeight="1">
      <c r="B349" s="64"/>
    </row>
    <row r="350" ht="18.75" customHeight="1">
      <c r="B350" s="64"/>
    </row>
    <row r="351" ht="18.75" customHeight="1">
      <c r="B351" s="64"/>
    </row>
    <row r="352" ht="18.75" customHeight="1">
      <c r="B352" s="64"/>
    </row>
    <row r="353" ht="18.75" customHeight="1">
      <c r="B353" s="64"/>
    </row>
    <row r="354" ht="18.75" customHeight="1">
      <c r="B354" s="64"/>
    </row>
    <row r="355" ht="18.75" customHeight="1">
      <c r="B355" s="64"/>
    </row>
    <row r="356" ht="18.75" customHeight="1">
      <c r="B356" s="64"/>
    </row>
    <row r="357" ht="18.75" customHeight="1">
      <c r="B357" s="64"/>
    </row>
    <row r="358" ht="18.75" customHeight="1">
      <c r="B358" s="64"/>
    </row>
    <row r="359" ht="18.75" customHeight="1">
      <c r="B359" s="64"/>
    </row>
    <row r="360" ht="18.75" customHeight="1">
      <c r="B360" s="64"/>
    </row>
    <row r="361" ht="18.75" customHeight="1">
      <c r="B361" s="64"/>
    </row>
    <row r="362" ht="18.75" customHeight="1">
      <c r="B362" s="64"/>
    </row>
    <row r="363" ht="18.75" customHeight="1">
      <c r="B363" s="64"/>
    </row>
    <row r="364" ht="18.75" customHeight="1">
      <c r="B364" s="64"/>
    </row>
    <row r="365" ht="18.75" customHeight="1">
      <c r="B365" s="64"/>
    </row>
    <row r="366" ht="18.75" customHeight="1">
      <c r="B366" s="64"/>
    </row>
    <row r="367" ht="18.75" customHeight="1">
      <c r="B367" s="64"/>
    </row>
    <row r="368" ht="18.75" customHeight="1">
      <c r="B368" s="64"/>
    </row>
    <row r="369" ht="18.75" customHeight="1">
      <c r="B369" s="64"/>
    </row>
    <row r="370" ht="18.75" customHeight="1">
      <c r="B370" s="64"/>
    </row>
    <row r="371" ht="18.75" customHeight="1">
      <c r="B371" s="64"/>
    </row>
    <row r="372" ht="18.75" customHeight="1">
      <c r="B372" s="64"/>
    </row>
    <row r="373" ht="18.75" customHeight="1">
      <c r="B373" s="64"/>
    </row>
    <row r="374" ht="18.75" customHeight="1">
      <c r="B374" s="64"/>
    </row>
    <row r="375" ht="18.75" customHeight="1">
      <c r="B375" s="64"/>
    </row>
    <row r="376" ht="18.75" customHeight="1">
      <c r="B376" s="64"/>
    </row>
    <row r="377" ht="18.75" customHeight="1">
      <c r="B377" s="64"/>
    </row>
    <row r="378" ht="18.75" customHeight="1">
      <c r="B378" s="64"/>
    </row>
    <row r="379" ht="18.75" customHeight="1">
      <c r="B379" s="64"/>
    </row>
    <row r="380" ht="18.75" customHeight="1">
      <c r="B380" s="64"/>
    </row>
    <row r="381" ht="18.75" customHeight="1">
      <c r="B381" s="64"/>
    </row>
    <row r="382" ht="18.75" customHeight="1">
      <c r="B382" s="64"/>
    </row>
    <row r="383" ht="18.75" customHeight="1">
      <c r="B383" s="64"/>
    </row>
    <row r="384" ht="18.75" customHeight="1">
      <c r="B384" s="64"/>
    </row>
    <row r="385" ht="18.75" customHeight="1">
      <c r="B385" s="64"/>
    </row>
    <row r="386" ht="18.75" customHeight="1">
      <c r="B386" s="64"/>
    </row>
    <row r="387" ht="18.75" customHeight="1">
      <c r="B387" s="64"/>
    </row>
    <row r="388" ht="18.75" customHeight="1">
      <c r="B388" s="64"/>
    </row>
    <row r="389" ht="18.75" customHeight="1">
      <c r="B389" s="64"/>
    </row>
    <row r="390" ht="18.75" customHeight="1">
      <c r="B390" s="64"/>
    </row>
    <row r="391" ht="18.75" customHeight="1">
      <c r="B391" s="64"/>
    </row>
    <row r="392" ht="18.75" customHeight="1">
      <c r="B392" s="64"/>
    </row>
    <row r="393" ht="18.75" customHeight="1">
      <c r="B393" s="64"/>
    </row>
    <row r="394" ht="18.75" customHeight="1">
      <c r="B394" s="64"/>
    </row>
    <row r="395" ht="18.75" customHeight="1">
      <c r="B395" s="64"/>
    </row>
    <row r="396" ht="18.75" customHeight="1">
      <c r="B396" s="64"/>
    </row>
    <row r="397" ht="18.75" customHeight="1">
      <c r="B397" s="64"/>
    </row>
    <row r="398" ht="18.75" customHeight="1">
      <c r="B398" s="64"/>
    </row>
    <row r="399" ht="18.75" customHeight="1">
      <c r="B399" s="64"/>
    </row>
    <row r="400" ht="18.75" customHeight="1">
      <c r="B400" s="64"/>
    </row>
    <row r="401" ht="18.75" customHeight="1">
      <c r="B401" s="64"/>
    </row>
    <row r="402" ht="18.75" customHeight="1">
      <c r="B402" s="64"/>
    </row>
    <row r="403" ht="18.75" customHeight="1">
      <c r="B403" s="64"/>
    </row>
    <row r="404" ht="18.75" customHeight="1">
      <c r="B404" s="64"/>
    </row>
    <row r="405" ht="18.75" customHeight="1">
      <c r="B405" s="64"/>
    </row>
    <row r="406" ht="18.75" customHeight="1">
      <c r="B406" s="64"/>
    </row>
    <row r="407" ht="18.75" customHeight="1">
      <c r="B407" s="64"/>
    </row>
    <row r="408" ht="18.75" customHeight="1">
      <c r="B408" s="64"/>
    </row>
    <row r="409" ht="18.75" customHeight="1">
      <c r="B409" s="64"/>
    </row>
    <row r="410" ht="18.75" customHeight="1">
      <c r="B410" s="64"/>
    </row>
    <row r="411" ht="18.75" customHeight="1">
      <c r="B411" s="64"/>
    </row>
    <row r="412" ht="18.75" customHeight="1">
      <c r="B412" s="64"/>
    </row>
    <row r="413" ht="18.75" customHeight="1">
      <c r="B413" s="64"/>
    </row>
    <row r="414" ht="18.75" customHeight="1">
      <c r="B414" s="64"/>
    </row>
    <row r="415" ht="18.75" customHeight="1">
      <c r="B415" s="64"/>
    </row>
    <row r="416" ht="18.75" customHeight="1">
      <c r="B416" s="64"/>
    </row>
    <row r="417" ht="18.75" customHeight="1">
      <c r="B417" s="64"/>
    </row>
    <row r="418" ht="18.75" customHeight="1">
      <c r="B418" s="64"/>
    </row>
    <row r="419" ht="18.75" customHeight="1">
      <c r="B419" s="64"/>
    </row>
    <row r="420" ht="18.75" customHeight="1">
      <c r="B420" s="64"/>
    </row>
    <row r="421" ht="18.75" customHeight="1">
      <c r="B421" s="64"/>
    </row>
    <row r="422" ht="18.75" customHeight="1">
      <c r="B422" s="64"/>
    </row>
    <row r="423" ht="18.75" customHeight="1">
      <c r="B423" s="64"/>
    </row>
    <row r="424" ht="18.75" customHeight="1">
      <c r="B424" s="64"/>
    </row>
    <row r="425" ht="18.75" customHeight="1">
      <c r="B425" s="64"/>
    </row>
    <row r="426" ht="18.75" customHeight="1">
      <c r="B426" s="64"/>
    </row>
    <row r="427" ht="18.75" customHeight="1">
      <c r="B427" s="64"/>
    </row>
    <row r="428" ht="18.75" customHeight="1">
      <c r="B428" s="64"/>
    </row>
    <row r="429" ht="18.75" customHeight="1">
      <c r="B429" s="64"/>
    </row>
    <row r="430" ht="18.75" customHeight="1">
      <c r="B430" s="64"/>
    </row>
    <row r="431" ht="18.75" customHeight="1">
      <c r="B431" s="64"/>
    </row>
    <row r="432" ht="18.75" customHeight="1">
      <c r="B432" s="64"/>
    </row>
    <row r="433" ht="18.75" customHeight="1">
      <c r="B433" s="64"/>
    </row>
    <row r="434" ht="18.75" customHeight="1">
      <c r="B434" s="64"/>
    </row>
    <row r="435" ht="18.75" customHeight="1">
      <c r="B435" s="64"/>
    </row>
    <row r="436" ht="18.75" customHeight="1">
      <c r="B436" s="64"/>
    </row>
    <row r="437" ht="18.75" customHeight="1">
      <c r="B437" s="64"/>
    </row>
    <row r="438" ht="18.75" customHeight="1">
      <c r="B438" s="64"/>
    </row>
    <row r="439" ht="18.75" customHeight="1">
      <c r="B439" s="64"/>
    </row>
    <row r="440" ht="18.75" customHeight="1">
      <c r="B440" s="64"/>
    </row>
    <row r="441" ht="18.75" customHeight="1">
      <c r="B441" s="64"/>
    </row>
    <row r="442" ht="18.75" customHeight="1">
      <c r="B442" s="64"/>
    </row>
    <row r="443" ht="18.75" customHeight="1">
      <c r="B443" s="64"/>
    </row>
    <row r="444" ht="18.75" customHeight="1">
      <c r="B444" s="64"/>
    </row>
    <row r="445" ht="18.75" customHeight="1">
      <c r="B445" s="64"/>
    </row>
    <row r="446" ht="18.75" customHeight="1">
      <c r="B446" s="64"/>
    </row>
    <row r="447" ht="18.75" customHeight="1">
      <c r="B447" s="64"/>
    </row>
    <row r="448" ht="18.75" customHeight="1">
      <c r="B448" s="64"/>
    </row>
    <row r="449" ht="18.75" customHeight="1">
      <c r="B449" s="64"/>
    </row>
    <row r="450" ht="18.75" customHeight="1">
      <c r="B450" s="64"/>
    </row>
    <row r="451" ht="18.75" customHeight="1">
      <c r="B451" s="64"/>
    </row>
    <row r="452" ht="18.75" customHeight="1">
      <c r="B452" s="64"/>
    </row>
    <row r="453" ht="18.75" customHeight="1">
      <c r="B453" s="64"/>
    </row>
    <row r="454" ht="18.75" customHeight="1">
      <c r="B454" s="64"/>
    </row>
    <row r="455" ht="18.75" customHeight="1">
      <c r="B455" s="64"/>
    </row>
    <row r="456" ht="18.75" customHeight="1">
      <c r="B456" s="64"/>
    </row>
    <row r="457" ht="18.75" customHeight="1">
      <c r="B457" s="64"/>
    </row>
    <row r="458" ht="18.75" customHeight="1">
      <c r="B458" s="64"/>
    </row>
    <row r="459" ht="18.75" customHeight="1">
      <c r="B459" s="64"/>
    </row>
    <row r="460" ht="18.75" customHeight="1">
      <c r="B460" s="64"/>
    </row>
    <row r="461" ht="18.75" customHeight="1">
      <c r="B461" s="64"/>
    </row>
    <row r="462" ht="18.75" customHeight="1">
      <c r="B462" s="64"/>
    </row>
    <row r="463" ht="18.75" customHeight="1">
      <c r="B463" s="64"/>
    </row>
    <row r="464" ht="18.75" customHeight="1">
      <c r="B464" s="64"/>
    </row>
    <row r="465" ht="18.75" customHeight="1">
      <c r="B465" s="64"/>
    </row>
    <row r="466" ht="18.75" customHeight="1">
      <c r="B466" s="64"/>
    </row>
    <row r="467" ht="18.75" customHeight="1">
      <c r="B467" s="64"/>
    </row>
    <row r="468" ht="18.75" customHeight="1">
      <c r="B468" s="64"/>
    </row>
    <row r="469" ht="18.75" customHeight="1">
      <c r="B469" s="64"/>
    </row>
    <row r="470" ht="18.75" customHeight="1">
      <c r="B470" s="64"/>
    </row>
    <row r="471" ht="18.75" customHeight="1">
      <c r="B471" s="64"/>
    </row>
    <row r="472" ht="18.75" customHeight="1">
      <c r="B472" s="64"/>
    </row>
    <row r="473" ht="18.75" customHeight="1">
      <c r="B473" s="64"/>
    </row>
    <row r="474" ht="18.75" customHeight="1">
      <c r="B474" s="64"/>
    </row>
    <row r="475" ht="18.75" customHeight="1">
      <c r="B475" s="64"/>
    </row>
    <row r="476" ht="18.75" customHeight="1">
      <c r="B476" s="64"/>
    </row>
    <row r="477" ht="18.75" customHeight="1">
      <c r="B477" s="64"/>
    </row>
    <row r="478" ht="18.75" customHeight="1">
      <c r="B478" s="64"/>
    </row>
    <row r="479" ht="18.75" customHeight="1">
      <c r="B479" s="64"/>
    </row>
    <row r="480" ht="18.75" customHeight="1">
      <c r="B480" s="64"/>
    </row>
    <row r="481" ht="18.75" customHeight="1">
      <c r="B481" s="64"/>
    </row>
    <row r="482" ht="18.75" customHeight="1">
      <c r="B482" s="64"/>
    </row>
    <row r="483" ht="18.75" customHeight="1">
      <c r="B483" s="64"/>
    </row>
    <row r="484" ht="18.75" customHeight="1">
      <c r="B484" s="64"/>
    </row>
    <row r="485" ht="18.75" customHeight="1">
      <c r="B485" s="64"/>
    </row>
    <row r="486" ht="18.75" customHeight="1">
      <c r="B486" s="64"/>
    </row>
    <row r="487" ht="18.75" customHeight="1">
      <c r="B487" s="64"/>
    </row>
    <row r="488" ht="18.75" customHeight="1">
      <c r="B488" s="64"/>
    </row>
    <row r="489" ht="18.75" customHeight="1">
      <c r="B489" s="64"/>
    </row>
    <row r="490" ht="18.75" customHeight="1">
      <c r="B490" s="64"/>
    </row>
    <row r="491" ht="18.75" customHeight="1">
      <c r="B491" s="64"/>
    </row>
    <row r="492" ht="18.75" customHeight="1">
      <c r="B492" s="64"/>
    </row>
    <row r="493" ht="18.75" customHeight="1">
      <c r="B493" s="64"/>
    </row>
    <row r="494" ht="18.75" customHeight="1">
      <c r="B494" s="64"/>
    </row>
    <row r="495" ht="18.75" customHeight="1">
      <c r="B495" s="64"/>
    </row>
    <row r="496" ht="18.75" customHeight="1">
      <c r="B496" s="64"/>
    </row>
    <row r="497" ht="18.75" customHeight="1">
      <c r="B497" s="64"/>
    </row>
    <row r="498" ht="18.75" customHeight="1">
      <c r="B498" s="64"/>
    </row>
    <row r="499" ht="18.75" customHeight="1">
      <c r="B499" s="64"/>
    </row>
    <row r="500" ht="18.75" customHeight="1">
      <c r="B500" s="64"/>
    </row>
    <row r="501" ht="18.75" customHeight="1">
      <c r="B501" s="64"/>
    </row>
    <row r="502" ht="18.75" customHeight="1">
      <c r="B502" s="64"/>
    </row>
    <row r="503" ht="18.75" customHeight="1">
      <c r="B503" s="64"/>
    </row>
    <row r="504" ht="18.75" customHeight="1">
      <c r="B504" s="64"/>
    </row>
    <row r="505" ht="18.75" customHeight="1">
      <c r="B505" s="64"/>
    </row>
    <row r="506" ht="18.75" customHeight="1">
      <c r="B506" s="64"/>
    </row>
    <row r="507" ht="18.75" customHeight="1">
      <c r="B507" s="64"/>
    </row>
    <row r="508" ht="18.75" customHeight="1">
      <c r="B508" s="64"/>
    </row>
    <row r="509" ht="18.75" customHeight="1">
      <c r="B509" s="64"/>
    </row>
    <row r="510" ht="18.75" customHeight="1">
      <c r="B510" s="64"/>
    </row>
    <row r="511" ht="18.75" customHeight="1">
      <c r="B511" s="64"/>
    </row>
    <row r="512" ht="18.75" customHeight="1">
      <c r="B512" s="64"/>
    </row>
    <row r="513" ht="18.75" customHeight="1">
      <c r="B513" s="64"/>
    </row>
    <row r="514" ht="18.75" customHeight="1">
      <c r="B514" s="64"/>
    </row>
    <row r="515" ht="18.75" customHeight="1">
      <c r="B515" s="64"/>
    </row>
    <row r="516" ht="18.75" customHeight="1">
      <c r="B516" s="64"/>
    </row>
    <row r="517" ht="18.75" customHeight="1">
      <c r="B517" s="64"/>
    </row>
    <row r="518" ht="18.75" customHeight="1">
      <c r="B518" s="64"/>
    </row>
    <row r="519" ht="18.75" customHeight="1">
      <c r="B519" s="64"/>
    </row>
    <row r="520" ht="18.75" customHeight="1">
      <c r="B520" s="64"/>
    </row>
    <row r="521" ht="18.75" customHeight="1">
      <c r="B521" s="64"/>
    </row>
    <row r="522" ht="18.75" customHeight="1">
      <c r="B522" s="64"/>
    </row>
    <row r="523" ht="18.75" customHeight="1">
      <c r="B523" s="64"/>
    </row>
    <row r="524" ht="18.75" customHeight="1">
      <c r="B524" s="64"/>
    </row>
    <row r="525" ht="18.75" customHeight="1">
      <c r="B525" s="64"/>
    </row>
    <row r="526" ht="18.75" customHeight="1">
      <c r="B526" s="64"/>
    </row>
    <row r="527" ht="18.75" customHeight="1">
      <c r="B527" s="64"/>
    </row>
    <row r="528" ht="18.75" customHeight="1">
      <c r="B528" s="64"/>
    </row>
    <row r="529" ht="18.75" customHeight="1">
      <c r="B529" s="64"/>
    </row>
    <row r="530" ht="18.75" customHeight="1">
      <c r="B530" s="64"/>
    </row>
    <row r="531" ht="18.75" customHeight="1">
      <c r="B531" s="64"/>
    </row>
    <row r="532" ht="18.75" customHeight="1">
      <c r="B532" s="64"/>
    </row>
    <row r="533" ht="18.75" customHeight="1">
      <c r="B533" s="64"/>
    </row>
    <row r="534" ht="18.75" customHeight="1">
      <c r="B534" s="64"/>
    </row>
    <row r="535" ht="18.75" customHeight="1">
      <c r="B535" s="64"/>
    </row>
    <row r="536" ht="18.75" customHeight="1">
      <c r="B536" s="64"/>
    </row>
    <row r="537" ht="18.75" customHeight="1">
      <c r="B537" s="64"/>
    </row>
    <row r="538" ht="18.75" customHeight="1">
      <c r="B538" s="64"/>
    </row>
    <row r="539" ht="18.75" customHeight="1">
      <c r="B539" s="64"/>
    </row>
    <row r="540" ht="18.75" customHeight="1">
      <c r="B540" s="64"/>
    </row>
    <row r="541" ht="18.75" customHeight="1">
      <c r="B541" s="64"/>
    </row>
    <row r="542" ht="18.75" customHeight="1">
      <c r="B542" s="64"/>
    </row>
    <row r="543" ht="18.75" customHeight="1">
      <c r="B543" s="64"/>
    </row>
    <row r="544" ht="18.75" customHeight="1">
      <c r="B544" s="64"/>
    </row>
    <row r="545" ht="18.75" customHeight="1">
      <c r="B545" s="64"/>
    </row>
    <row r="546" ht="18.75" customHeight="1">
      <c r="B546" s="64"/>
    </row>
    <row r="547" ht="18.75" customHeight="1">
      <c r="B547" s="64"/>
    </row>
    <row r="548" ht="18.75" customHeight="1">
      <c r="B548" s="64"/>
    </row>
    <row r="549" ht="18.75" customHeight="1">
      <c r="B549" s="64"/>
    </row>
    <row r="550" ht="18.75" customHeight="1">
      <c r="B550" s="64"/>
    </row>
    <row r="551" ht="18.75" customHeight="1">
      <c r="B551" s="64"/>
    </row>
    <row r="552" ht="18.75" customHeight="1">
      <c r="B552" s="64"/>
    </row>
    <row r="553" ht="18.75" customHeight="1">
      <c r="B553" s="64"/>
    </row>
    <row r="554" ht="18.75" customHeight="1">
      <c r="B554" s="64"/>
    </row>
    <row r="555" ht="18.75" customHeight="1">
      <c r="B555" s="64"/>
    </row>
    <row r="556" ht="18.75" customHeight="1">
      <c r="B556" s="64"/>
    </row>
    <row r="557" ht="18.75" customHeight="1">
      <c r="B557" s="64"/>
    </row>
    <row r="558" ht="18.75" customHeight="1">
      <c r="B558" s="64"/>
    </row>
    <row r="559" ht="18.75" customHeight="1">
      <c r="B559" s="64"/>
    </row>
    <row r="560" ht="18.75" customHeight="1">
      <c r="B560" s="64"/>
    </row>
    <row r="561" ht="18.75" customHeight="1">
      <c r="B561" s="64"/>
    </row>
    <row r="562" ht="18.75" customHeight="1">
      <c r="B562" s="64"/>
    </row>
    <row r="563" ht="18.75" customHeight="1">
      <c r="B563" s="64"/>
    </row>
    <row r="564" ht="18.75" customHeight="1">
      <c r="B564" s="64"/>
    </row>
    <row r="565" ht="18.75" customHeight="1">
      <c r="B565" s="64"/>
    </row>
    <row r="566" ht="18.75" customHeight="1">
      <c r="B566" s="64"/>
    </row>
    <row r="567" ht="18.75" customHeight="1">
      <c r="B567" s="64"/>
    </row>
    <row r="568" ht="18.75" customHeight="1">
      <c r="B568" s="64"/>
    </row>
    <row r="569" ht="18.75" customHeight="1">
      <c r="B569" s="64"/>
    </row>
    <row r="570" ht="18.75" customHeight="1">
      <c r="B570" s="64"/>
    </row>
    <row r="571" ht="18.75" customHeight="1">
      <c r="B571" s="64"/>
    </row>
    <row r="572" ht="18.75" customHeight="1">
      <c r="B572" s="64"/>
    </row>
    <row r="573" ht="18.75" customHeight="1">
      <c r="B573" s="64"/>
    </row>
    <row r="574" ht="18.75" customHeight="1">
      <c r="B574" s="64"/>
    </row>
    <row r="575" ht="18.75" customHeight="1">
      <c r="B575" s="64"/>
    </row>
    <row r="576" ht="18.75" customHeight="1">
      <c r="B576" s="64"/>
    </row>
    <row r="577" ht="18.75" customHeight="1">
      <c r="B577" s="64"/>
    </row>
    <row r="578" ht="18.75" customHeight="1">
      <c r="B578" s="64"/>
    </row>
    <row r="579" ht="18.75" customHeight="1">
      <c r="B579" s="64"/>
    </row>
    <row r="580" ht="18.75" customHeight="1">
      <c r="B580" s="64"/>
    </row>
    <row r="581" ht="18.75" customHeight="1">
      <c r="B581" s="64"/>
    </row>
    <row r="582" ht="18.75" customHeight="1">
      <c r="B582" s="64"/>
    </row>
    <row r="583" ht="18.75" customHeight="1">
      <c r="B583" s="64"/>
    </row>
    <row r="584" ht="18.75" customHeight="1">
      <c r="B584" s="64"/>
    </row>
    <row r="585" ht="18.75" customHeight="1">
      <c r="B585" s="64"/>
    </row>
    <row r="586" ht="18.75" customHeight="1">
      <c r="B586" s="64"/>
    </row>
    <row r="587" ht="18.75" customHeight="1">
      <c r="B587" s="64"/>
    </row>
    <row r="588" ht="18.75" customHeight="1">
      <c r="B588" s="64"/>
    </row>
    <row r="589" ht="18.75" customHeight="1">
      <c r="B589" s="64"/>
    </row>
    <row r="590" ht="18.75" customHeight="1">
      <c r="B590" s="64"/>
    </row>
    <row r="591" ht="18.75" customHeight="1">
      <c r="B591" s="64"/>
    </row>
    <row r="592" ht="18.75" customHeight="1">
      <c r="B592" s="64"/>
    </row>
    <row r="593" ht="18.75" customHeight="1">
      <c r="B593" s="64"/>
    </row>
    <row r="594" ht="18.75" customHeight="1">
      <c r="B594" s="64"/>
    </row>
    <row r="595" ht="18.75" customHeight="1">
      <c r="B595" s="64"/>
    </row>
    <row r="596" ht="18.75" customHeight="1">
      <c r="B596" s="64"/>
    </row>
    <row r="597" ht="18.75" customHeight="1">
      <c r="B597" s="64"/>
    </row>
    <row r="598" ht="18.75" customHeight="1">
      <c r="B598" s="64"/>
    </row>
    <row r="599" ht="18.75" customHeight="1">
      <c r="B599" s="64"/>
    </row>
    <row r="600" ht="18.75" customHeight="1">
      <c r="B600" s="64"/>
    </row>
    <row r="601" ht="18.75" customHeight="1">
      <c r="B601" s="64"/>
    </row>
    <row r="602" ht="18.75" customHeight="1">
      <c r="B602" s="64"/>
    </row>
    <row r="603" ht="18.75" customHeight="1">
      <c r="B603" s="64"/>
    </row>
    <row r="604" ht="18.75" customHeight="1">
      <c r="B604" s="64"/>
    </row>
    <row r="605" ht="18.75" customHeight="1">
      <c r="B605" s="64"/>
    </row>
    <row r="606" ht="18.75" customHeight="1">
      <c r="B606" s="64"/>
    </row>
    <row r="607" ht="18.75" customHeight="1">
      <c r="B607" s="64"/>
    </row>
    <row r="608" ht="18.75" customHeight="1">
      <c r="B608" s="64"/>
    </row>
    <row r="609" ht="18.75" customHeight="1">
      <c r="B609" s="64"/>
    </row>
    <row r="610" ht="18.75" customHeight="1">
      <c r="B610" s="64"/>
    </row>
    <row r="611" ht="18.75" customHeight="1">
      <c r="B611" s="64"/>
    </row>
    <row r="612" ht="18.75" customHeight="1">
      <c r="B612" s="64"/>
    </row>
    <row r="613" ht="18.75" customHeight="1">
      <c r="B613" s="64"/>
    </row>
    <row r="614" ht="18.75" customHeight="1">
      <c r="B614" s="64"/>
    </row>
    <row r="615" ht="18.75" customHeight="1">
      <c r="B615" s="64"/>
    </row>
    <row r="616" ht="18.75" customHeight="1">
      <c r="B616" s="64"/>
    </row>
    <row r="617" ht="18.75" customHeight="1">
      <c r="B617" s="64"/>
    </row>
    <row r="618" ht="18.75" customHeight="1">
      <c r="B618" s="64"/>
    </row>
    <row r="619" ht="18.75" customHeight="1">
      <c r="B619" s="64"/>
    </row>
    <row r="620" ht="18.75" customHeight="1">
      <c r="B620" s="64"/>
    </row>
    <row r="621" ht="18.75" customHeight="1">
      <c r="B621" s="64"/>
    </row>
    <row r="622" ht="18.75" customHeight="1">
      <c r="B622" s="64"/>
    </row>
    <row r="623" ht="18.75" customHeight="1">
      <c r="B623" s="64"/>
    </row>
    <row r="624" ht="18.75" customHeight="1">
      <c r="B624" s="64"/>
    </row>
    <row r="625" ht="18.75" customHeight="1">
      <c r="B625" s="64"/>
    </row>
    <row r="626" ht="18.75" customHeight="1">
      <c r="B626" s="64"/>
    </row>
    <row r="627" ht="18.75" customHeight="1">
      <c r="B627" s="64"/>
    </row>
    <row r="628" ht="18.75" customHeight="1">
      <c r="B628" s="64"/>
    </row>
    <row r="629" ht="18.75" customHeight="1">
      <c r="B629" s="64"/>
    </row>
    <row r="630" ht="18.75" customHeight="1">
      <c r="B630" s="64"/>
    </row>
    <row r="631" ht="18.75" customHeight="1">
      <c r="B631" s="64"/>
    </row>
    <row r="632" ht="18.75" customHeight="1">
      <c r="B632" s="64"/>
    </row>
    <row r="633" ht="18.75" customHeight="1">
      <c r="B633" s="64"/>
    </row>
    <row r="634" ht="18.75" customHeight="1">
      <c r="B634" s="64"/>
    </row>
    <row r="635" ht="18.75" customHeight="1">
      <c r="B635" s="64"/>
    </row>
    <row r="636" ht="18.75" customHeight="1">
      <c r="B636" s="64"/>
    </row>
    <row r="637" ht="18.75" customHeight="1">
      <c r="B637" s="64"/>
    </row>
    <row r="638" ht="18.75" customHeight="1">
      <c r="B638" s="64"/>
    </row>
    <row r="639" ht="18.75" customHeight="1">
      <c r="B639" s="64"/>
    </row>
    <row r="640" ht="18.75" customHeight="1">
      <c r="B640" s="64"/>
    </row>
    <row r="641" ht="18.75" customHeight="1">
      <c r="B641" s="64"/>
    </row>
    <row r="642" ht="18.75" customHeight="1">
      <c r="B642" s="64"/>
    </row>
    <row r="643" ht="18.75" customHeight="1">
      <c r="B643" s="64"/>
    </row>
    <row r="644" ht="18.75" customHeight="1">
      <c r="B644" s="64"/>
    </row>
    <row r="645" ht="18.75" customHeight="1">
      <c r="B645" s="64"/>
    </row>
    <row r="646" ht="18.75" customHeight="1">
      <c r="B646" s="64"/>
    </row>
    <row r="647" ht="18.75" customHeight="1">
      <c r="B647" s="64"/>
    </row>
    <row r="648" ht="18.75" customHeight="1">
      <c r="B648" s="64"/>
    </row>
    <row r="649" ht="18.75" customHeight="1">
      <c r="B649" s="64"/>
    </row>
    <row r="650" ht="18.75" customHeight="1">
      <c r="B650" s="64"/>
    </row>
    <row r="651" ht="18.75" customHeight="1">
      <c r="B651" s="64"/>
    </row>
    <row r="652" ht="18.75" customHeight="1">
      <c r="B652" s="64"/>
    </row>
    <row r="653" ht="18.75" customHeight="1">
      <c r="B653" s="64"/>
    </row>
    <row r="654" ht="18.75" customHeight="1">
      <c r="B654" s="64"/>
    </row>
    <row r="655" ht="18.75" customHeight="1">
      <c r="B655" s="64"/>
    </row>
    <row r="656" ht="18.75" customHeight="1">
      <c r="B656" s="64"/>
    </row>
    <row r="657" ht="18.75" customHeight="1">
      <c r="B657" s="64"/>
    </row>
    <row r="658" ht="18.75" customHeight="1">
      <c r="B658" s="64"/>
    </row>
    <row r="659" ht="18.75" customHeight="1">
      <c r="B659" s="64"/>
    </row>
    <row r="660" ht="18.75" customHeight="1">
      <c r="B660" s="64"/>
    </row>
    <row r="661" ht="18.75" customHeight="1">
      <c r="B661" s="64"/>
    </row>
    <row r="662" ht="18.75" customHeight="1">
      <c r="B662" s="64"/>
    </row>
    <row r="663" ht="18.75" customHeight="1">
      <c r="B663" s="64"/>
    </row>
    <row r="664" ht="18.75" customHeight="1">
      <c r="B664" s="64"/>
    </row>
    <row r="665" ht="18.75" customHeight="1">
      <c r="B665" s="64"/>
    </row>
    <row r="666" ht="18.75" customHeight="1">
      <c r="B666" s="64"/>
    </row>
    <row r="667" ht="18.75" customHeight="1">
      <c r="B667" s="64"/>
    </row>
    <row r="668" ht="18.75" customHeight="1">
      <c r="B668" s="64"/>
    </row>
    <row r="669" ht="18.75" customHeight="1">
      <c r="B669" s="64"/>
    </row>
    <row r="670" ht="18.75" customHeight="1">
      <c r="B670" s="64"/>
    </row>
    <row r="671" ht="18.75" customHeight="1">
      <c r="B671" s="64"/>
    </row>
    <row r="672" ht="18.75" customHeight="1">
      <c r="B672" s="64"/>
    </row>
    <row r="673" ht="18.75" customHeight="1">
      <c r="B673" s="64"/>
    </row>
    <row r="674" ht="18.75" customHeight="1">
      <c r="B674" s="64"/>
    </row>
    <row r="675" ht="18.75" customHeight="1">
      <c r="B675" s="64"/>
    </row>
    <row r="676" ht="18.75" customHeight="1">
      <c r="B676" s="64"/>
    </row>
    <row r="677" ht="18.75" customHeight="1">
      <c r="B677" s="64"/>
    </row>
    <row r="678" ht="18.75" customHeight="1">
      <c r="B678" s="64"/>
    </row>
    <row r="679" ht="18.75" customHeight="1">
      <c r="B679" s="64"/>
    </row>
    <row r="680" ht="18.75" customHeight="1">
      <c r="B680" s="64"/>
    </row>
    <row r="681" ht="18.75" customHeight="1">
      <c r="B681" s="64"/>
    </row>
    <row r="682" ht="18.75" customHeight="1">
      <c r="B682" s="64"/>
    </row>
    <row r="683" ht="18.75" customHeight="1">
      <c r="B683" s="64"/>
    </row>
    <row r="684" ht="18.75" customHeight="1">
      <c r="B684" s="64"/>
    </row>
    <row r="685" ht="18.75" customHeight="1">
      <c r="B685" s="64"/>
    </row>
    <row r="686" ht="18.75" customHeight="1">
      <c r="B686" s="64"/>
    </row>
    <row r="687" ht="18.75" customHeight="1">
      <c r="B687" s="64"/>
    </row>
    <row r="688" ht="18.75" customHeight="1">
      <c r="B688" s="64"/>
    </row>
    <row r="689" ht="18.75" customHeight="1">
      <c r="B689" s="64"/>
    </row>
    <row r="690" ht="18.75" customHeight="1">
      <c r="B690" s="64"/>
    </row>
    <row r="691" ht="18.75" customHeight="1">
      <c r="B691" s="64"/>
    </row>
    <row r="692" ht="18.75" customHeight="1">
      <c r="B692" s="64"/>
    </row>
    <row r="693" ht="18.75" customHeight="1">
      <c r="B693" s="64"/>
    </row>
    <row r="694" ht="18.75" customHeight="1">
      <c r="B694" s="64"/>
    </row>
    <row r="695" ht="18.75" customHeight="1">
      <c r="B695" s="64"/>
    </row>
    <row r="696" ht="18.75" customHeight="1">
      <c r="B696" s="64"/>
    </row>
    <row r="697" ht="18.75" customHeight="1">
      <c r="B697" s="64"/>
    </row>
    <row r="698" ht="18.75" customHeight="1">
      <c r="B698" s="64"/>
    </row>
    <row r="699" ht="18.75" customHeight="1">
      <c r="B699" s="64"/>
    </row>
    <row r="700" ht="18.75" customHeight="1">
      <c r="B700" s="64"/>
    </row>
    <row r="701" ht="18.75" customHeight="1">
      <c r="B701" s="64"/>
    </row>
    <row r="702" ht="18.75" customHeight="1">
      <c r="B702" s="64"/>
    </row>
    <row r="703" ht="18.75" customHeight="1">
      <c r="B703" s="64"/>
    </row>
    <row r="704" ht="18.75" customHeight="1">
      <c r="B704" s="64"/>
    </row>
    <row r="705" ht="18.75" customHeight="1">
      <c r="B705" s="64"/>
    </row>
    <row r="706" ht="18.75" customHeight="1">
      <c r="B706" s="64"/>
    </row>
    <row r="707" ht="18.75" customHeight="1">
      <c r="B707" s="64"/>
    </row>
    <row r="708" ht="18.75" customHeight="1">
      <c r="B708" s="64"/>
    </row>
    <row r="709" ht="18.75" customHeight="1">
      <c r="B709" s="64"/>
    </row>
    <row r="710" ht="18.75" customHeight="1">
      <c r="B710" s="64"/>
    </row>
    <row r="711" ht="18.75" customHeight="1">
      <c r="B711" s="64"/>
    </row>
    <row r="712" ht="18.75" customHeight="1">
      <c r="B712" s="64"/>
    </row>
    <row r="713" ht="18.75" customHeight="1">
      <c r="B713" s="64"/>
    </row>
    <row r="714" ht="18.75" customHeight="1">
      <c r="B714" s="64"/>
    </row>
    <row r="715" ht="18.75" customHeight="1">
      <c r="B715" s="64"/>
    </row>
    <row r="716" ht="18.75" customHeight="1">
      <c r="B716" s="64"/>
    </row>
    <row r="717" ht="18.75" customHeight="1">
      <c r="B717" s="64"/>
    </row>
    <row r="718" ht="18.75" customHeight="1">
      <c r="B718" s="64"/>
    </row>
    <row r="719" ht="18.75" customHeight="1">
      <c r="B719" s="64"/>
    </row>
    <row r="720" ht="18.75" customHeight="1">
      <c r="B720" s="64"/>
    </row>
    <row r="721" ht="18.75" customHeight="1">
      <c r="B721" s="64"/>
    </row>
    <row r="722" ht="18.75" customHeight="1">
      <c r="B722" s="64"/>
    </row>
    <row r="723" ht="18.75" customHeight="1">
      <c r="B723" s="64"/>
    </row>
    <row r="724" ht="18.75" customHeight="1">
      <c r="B724" s="64"/>
    </row>
    <row r="725" ht="18.75" customHeight="1">
      <c r="B725" s="64"/>
    </row>
    <row r="726" ht="18.75" customHeight="1">
      <c r="B726" s="64"/>
    </row>
    <row r="727" ht="18.75" customHeight="1">
      <c r="B727" s="64"/>
    </row>
    <row r="728" ht="18.75" customHeight="1">
      <c r="B728" s="64"/>
    </row>
    <row r="729" ht="18.75" customHeight="1">
      <c r="B729" s="64"/>
    </row>
    <row r="730" ht="18.75" customHeight="1">
      <c r="B730" s="64"/>
    </row>
    <row r="731" ht="18.75" customHeight="1">
      <c r="B731" s="64"/>
    </row>
    <row r="732" ht="18.75" customHeight="1">
      <c r="B732" s="64"/>
    </row>
    <row r="733" ht="18.75" customHeight="1">
      <c r="B733" s="64"/>
    </row>
    <row r="734" ht="18.75" customHeight="1">
      <c r="B734" s="64"/>
    </row>
    <row r="735" ht="18.75" customHeight="1">
      <c r="B735" s="64"/>
    </row>
    <row r="736" ht="18.75" customHeight="1">
      <c r="B736" s="64"/>
    </row>
    <row r="737" ht="18.75" customHeight="1">
      <c r="B737" s="64"/>
    </row>
    <row r="738" ht="18.75" customHeight="1">
      <c r="B738" s="64"/>
    </row>
    <row r="739" ht="18.75" customHeight="1">
      <c r="B739" s="64"/>
    </row>
    <row r="740" ht="18.75" customHeight="1">
      <c r="B740" s="64"/>
    </row>
    <row r="741" ht="18.75" customHeight="1">
      <c r="B741" s="64"/>
    </row>
    <row r="742" ht="18.75" customHeight="1">
      <c r="B742" s="64"/>
    </row>
    <row r="743" ht="18.75" customHeight="1">
      <c r="B743" s="64"/>
    </row>
    <row r="744" ht="18.75" customHeight="1">
      <c r="B744" s="64"/>
    </row>
    <row r="745" ht="18.75" customHeight="1">
      <c r="B745" s="64"/>
    </row>
    <row r="746" ht="18.75" customHeight="1">
      <c r="B746" s="64"/>
    </row>
    <row r="747" ht="18.75" customHeight="1">
      <c r="B747" s="64"/>
    </row>
    <row r="748" ht="18.75" customHeight="1">
      <c r="B748" s="64"/>
    </row>
    <row r="749" ht="18.75" customHeight="1">
      <c r="B749" s="64"/>
    </row>
    <row r="750" ht="18.75" customHeight="1">
      <c r="B750" s="64"/>
    </row>
    <row r="751" ht="18.75" customHeight="1">
      <c r="B751" s="64"/>
    </row>
    <row r="752" ht="18.75" customHeight="1">
      <c r="B752" s="64"/>
    </row>
    <row r="753" ht="18.75" customHeight="1">
      <c r="B753" s="64"/>
    </row>
    <row r="754" ht="18.75" customHeight="1">
      <c r="B754" s="64"/>
    </row>
    <row r="755" ht="18.75" customHeight="1">
      <c r="B755" s="64"/>
    </row>
    <row r="756" ht="18.75" customHeight="1">
      <c r="B756" s="64"/>
    </row>
    <row r="757" ht="18.75" customHeight="1">
      <c r="B757" s="64"/>
    </row>
    <row r="758" ht="18.75" customHeight="1">
      <c r="B758" s="64"/>
    </row>
    <row r="759" ht="18.75" customHeight="1">
      <c r="B759" s="64"/>
    </row>
    <row r="760" ht="18.75" customHeight="1">
      <c r="B760" s="64"/>
    </row>
    <row r="761" ht="18.75" customHeight="1">
      <c r="B761" s="64"/>
    </row>
    <row r="762" ht="18.75" customHeight="1">
      <c r="B762" s="64"/>
    </row>
    <row r="763" ht="18.75" customHeight="1">
      <c r="B763" s="64"/>
    </row>
    <row r="764" ht="18.75" customHeight="1">
      <c r="B764" s="64"/>
    </row>
    <row r="765" ht="18.75" customHeight="1">
      <c r="B765" s="64"/>
    </row>
    <row r="766" ht="18.75" customHeight="1">
      <c r="B766" s="64"/>
    </row>
    <row r="767" ht="18.75" customHeight="1">
      <c r="B767" s="64"/>
    </row>
    <row r="768" ht="18.75" customHeight="1">
      <c r="B768" s="64"/>
    </row>
    <row r="769" ht="18.75" customHeight="1">
      <c r="B769" s="64"/>
    </row>
    <row r="770" ht="18.75" customHeight="1">
      <c r="B770" s="64"/>
    </row>
    <row r="771" ht="18.75" customHeight="1">
      <c r="B771" s="64"/>
    </row>
    <row r="772" ht="18.75" customHeight="1">
      <c r="B772" s="64"/>
    </row>
    <row r="773" ht="18.75" customHeight="1">
      <c r="B773" s="64"/>
    </row>
    <row r="774" ht="18.75" customHeight="1">
      <c r="B774" s="64"/>
    </row>
    <row r="775" ht="18.75" customHeight="1">
      <c r="B775" s="64"/>
    </row>
    <row r="776" ht="18.75" customHeight="1">
      <c r="B776" s="64"/>
    </row>
    <row r="777" ht="18.75" customHeight="1">
      <c r="B777" s="64"/>
    </row>
    <row r="778" ht="18.75" customHeight="1">
      <c r="B778" s="64"/>
    </row>
    <row r="779" ht="18.75" customHeight="1">
      <c r="B779" s="64"/>
    </row>
    <row r="780" ht="18.75" customHeight="1">
      <c r="B780" s="64"/>
    </row>
    <row r="781" ht="18.75" customHeight="1">
      <c r="B781" s="64"/>
    </row>
    <row r="782" ht="18.75" customHeight="1">
      <c r="B782" s="64"/>
    </row>
    <row r="783" ht="18.75" customHeight="1">
      <c r="B783" s="64"/>
    </row>
    <row r="784" ht="18.75" customHeight="1">
      <c r="B784" s="64"/>
    </row>
    <row r="785" ht="18.75" customHeight="1">
      <c r="B785" s="64"/>
    </row>
    <row r="786" ht="18.75" customHeight="1">
      <c r="B786" s="64"/>
    </row>
    <row r="787" ht="18.75" customHeight="1">
      <c r="B787" s="64"/>
    </row>
    <row r="788" ht="18.75" customHeight="1">
      <c r="B788" s="64"/>
    </row>
    <row r="789" ht="18.75" customHeight="1">
      <c r="B789" s="64"/>
    </row>
    <row r="790" ht="18.75" customHeight="1">
      <c r="B790" s="64"/>
    </row>
    <row r="791" ht="18.75" customHeight="1">
      <c r="B791" s="64"/>
    </row>
    <row r="792" ht="18.75" customHeight="1">
      <c r="B792" s="64"/>
    </row>
    <row r="793" ht="18.75" customHeight="1">
      <c r="B793" s="64"/>
    </row>
    <row r="794" ht="18.75" customHeight="1">
      <c r="B794" s="64"/>
    </row>
    <row r="795" ht="18.75" customHeight="1">
      <c r="B795" s="64"/>
    </row>
    <row r="796" ht="18.75" customHeight="1">
      <c r="B796" s="64"/>
    </row>
    <row r="797" ht="18.75" customHeight="1">
      <c r="B797" s="64"/>
    </row>
    <row r="798" ht="18.75" customHeight="1">
      <c r="B798" s="64"/>
    </row>
    <row r="799" ht="18.75" customHeight="1">
      <c r="B799" s="64"/>
    </row>
    <row r="800" ht="18.75" customHeight="1">
      <c r="B800" s="64"/>
    </row>
    <row r="801" ht="18.75" customHeight="1">
      <c r="B801" s="64"/>
    </row>
    <row r="802" ht="18.75" customHeight="1">
      <c r="B802" s="64"/>
    </row>
    <row r="803" ht="18.75" customHeight="1">
      <c r="B803" s="64"/>
    </row>
    <row r="804" ht="18.75" customHeight="1">
      <c r="B804" s="64"/>
    </row>
    <row r="805" ht="18.75" customHeight="1">
      <c r="B805" s="64"/>
    </row>
    <row r="806" ht="18.75" customHeight="1">
      <c r="B806" s="64"/>
    </row>
    <row r="807" ht="18.75" customHeight="1">
      <c r="B807" s="64"/>
    </row>
    <row r="808" ht="18.75" customHeight="1">
      <c r="B808" s="64"/>
    </row>
    <row r="809" ht="18.75" customHeight="1">
      <c r="B809" s="64"/>
    </row>
    <row r="810" ht="18.75" customHeight="1">
      <c r="B810" s="64"/>
    </row>
    <row r="811" ht="18.75" customHeight="1">
      <c r="B811" s="64"/>
    </row>
    <row r="812" ht="18.75" customHeight="1">
      <c r="B812" s="64"/>
    </row>
    <row r="813" ht="18.75" customHeight="1">
      <c r="B813" s="64"/>
    </row>
    <row r="814" ht="18.75" customHeight="1">
      <c r="B814" s="64"/>
    </row>
    <row r="815" ht="18.75" customHeight="1">
      <c r="B815" s="64"/>
    </row>
    <row r="816" ht="18.75" customHeight="1">
      <c r="B816" s="64"/>
    </row>
    <row r="817" ht="18.75" customHeight="1">
      <c r="B817" s="64"/>
    </row>
    <row r="818" ht="18.75" customHeight="1">
      <c r="B818" s="64"/>
    </row>
    <row r="819" ht="18.75" customHeight="1">
      <c r="B819" s="64"/>
    </row>
    <row r="820" ht="18.75" customHeight="1">
      <c r="B820" s="64"/>
    </row>
    <row r="821" ht="18.75" customHeight="1">
      <c r="B821" s="64"/>
    </row>
    <row r="822" ht="18.75" customHeight="1">
      <c r="B822" s="64"/>
    </row>
    <row r="823" ht="18.75" customHeight="1">
      <c r="B823" s="64"/>
    </row>
    <row r="824" ht="18.75" customHeight="1">
      <c r="B824" s="64"/>
    </row>
    <row r="825" ht="18.75" customHeight="1">
      <c r="B825" s="64"/>
    </row>
    <row r="826" ht="18.75" customHeight="1">
      <c r="B826" s="64"/>
    </row>
    <row r="827" ht="18.75" customHeight="1">
      <c r="B827" s="64"/>
    </row>
    <row r="828" ht="18.75" customHeight="1">
      <c r="B828" s="64"/>
    </row>
    <row r="829" ht="18.75" customHeight="1">
      <c r="B829" s="64"/>
    </row>
    <row r="830" ht="18.75" customHeight="1">
      <c r="B830" s="64"/>
    </row>
    <row r="831" ht="18.75" customHeight="1">
      <c r="B831" s="64"/>
    </row>
    <row r="832" ht="18.75" customHeight="1">
      <c r="B832" s="64"/>
    </row>
    <row r="833" ht="18.75" customHeight="1">
      <c r="B833" s="64"/>
    </row>
    <row r="834" ht="18.75" customHeight="1">
      <c r="B834" s="64"/>
    </row>
    <row r="835" ht="18.75" customHeight="1">
      <c r="B835" s="64"/>
    </row>
    <row r="836" ht="18.75" customHeight="1">
      <c r="B836" s="64"/>
    </row>
    <row r="837" ht="18.75" customHeight="1">
      <c r="B837" s="64"/>
    </row>
    <row r="838" ht="18.75" customHeight="1">
      <c r="B838" s="64"/>
    </row>
    <row r="839" ht="18.75" customHeight="1">
      <c r="B839" s="64"/>
    </row>
    <row r="840" ht="18.75" customHeight="1">
      <c r="B840" s="64"/>
    </row>
    <row r="841" ht="18.75" customHeight="1">
      <c r="B841" s="64"/>
    </row>
    <row r="842" ht="18.75" customHeight="1">
      <c r="B842" s="64"/>
    </row>
    <row r="843" ht="18.75" customHeight="1">
      <c r="B843" s="64"/>
    </row>
    <row r="844" ht="18.75" customHeight="1">
      <c r="B844" s="64"/>
    </row>
    <row r="845" ht="18.75" customHeight="1">
      <c r="B845" s="64"/>
    </row>
    <row r="846" ht="18.75" customHeight="1">
      <c r="B846" s="64"/>
    </row>
    <row r="847" ht="18.75" customHeight="1">
      <c r="B847" s="64"/>
    </row>
    <row r="848" ht="18.75" customHeight="1">
      <c r="B848" s="64"/>
    </row>
    <row r="849" ht="18.75" customHeight="1">
      <c r="B849" s="64"/>
    </row>
    <row r="850" ht="18.75" customHeight="1">
      <c r="B850" s="64"/>
    </row>
    <row r="851" ht="18.75" customHeight="1">
      <c r="B851" s="64"/>
    </row>
    <row r="852" ht="18.75" customHeight="1">
      <c r="B852" s="64"/>
    </row>
    <row r="853" ht="18.75" customHeight="1">
      <c r="B853" s="64"/>
    </row>
    <row r="854" ht="18.75" customHeight="1">
      <c r="B854" s="64"/>
    </row>
    <row r="855" ht="18.75" customHeight="1">
      <c r="B855" s="64"/>
    </row>
    <row r="856" ht="18.75" customHeight="1">
      <c r="B856" s="64"/>
    </row>
    <row r="857" ht="18.75" customHeight="1">
      <c r="B857" s="64"/>
    </row>
    <row r="858" ht="18.75" customHeight="1">
      <c r="B858" s="64"/>
    </row>
    <row r="859" ht="18.75" customHeight="1">
      <c r="B859" s="64"/>
    </row>
    <row r="860" ht="18.75" customHeight="1">
      <c r="B860" s="64"/>
    </row>
    <row r="861" ht="18.75" customHeight="1">
      <c r="B861" s="64"/>
    </row>
    <row r="862" ht="18.75" customHeight="1">
      <c r="B862" s="64"/>
    </row>
    <row r="863" ht="18.75" customHeight="1">
      <c r="B863" s="64"/>
    </row>
    <row r="864" ht="18.75" customHeight="1">
      <c r="B864" s="64"/>
    </row>
    <row r="865" ht="18.75" customHeight="1">
      <c r="B865" s="64"/>
    </row>
    <row r="866" ht="18.75" customHeight="1">
      <c r="B866" s="64"/>
    </row>
    <row r="867" ht="18.75" customHeight="1">
      <c r="B867" s="64"/>
    </row>
    <row r="868" ht="18.75" customHeight="1">
      <c r="B868" s="64"/>
    </row>
    <row r="869" ht="18.75" customHeight="1">
      <c r="B869" s="64"/>
    </row>
    <row r="870" ht="18.75" customHeight="1">
      <c r="B870" s="64"/>
    </row>
    <row r="871" ht="18.75" customHeight="1">
      <c r="B871" s="64"/>
    </row>
    <row r="872" ht="18.75" customHeight="1">
      <c r="B872" s="64"/>
    </row>
    <row r="873" ht="18.75" customHeight="1">
      <c r="B873" s="64"/>
    </row>
    <row r="874" ht="18.75" customHeight="1">
      <c r="B874" s="64"/>
    </row>
    <row r="875" ht="18.75" customHeight="1">
      <c r="B875" s="64"/>
    </row>
    <row r="876" ht="18.75" customHeight="1">
      <c r="B876" s="64"/>
    </row>
    <row r="877" ht="18.75" customHeight="1">
      <c r="B877" s="64"/>
    </row>
    <row r="878" ht="18.75" customHeight="1">
      <c r="B878" s="64"/>
    </row>
    <row r="879" ht="18.75" customHeight="1">
      <c r="B879" s="64"/>
    </row>
    <row r="880" ht="18.75" customHeight="1">
      <c r="B880" s="64"/>
    </row>
    <row r="881" ht="18.75" customHeight="1">
      <c r="B881" s="64"/>
    </row>
    <row r="882" ht="18.75" customHeight="1">
      <c r="B882" s="64"/>
    </row>
    <row r="883" ht="18.75" customHeight="1">
      <c r="B883" s="64"/>
    </row>
    <row r="884" ht="18.75" customHeight="1">
      <c r="B884" s="64"/>
    </row>
    <row r="885" ht="18.75" customHeight="1">
      <c r="B885" s="64"/>
    </row>
    <row r="886" ht="18.75" customHeight="1">
      <c r="B886" s="64"/>
    </row>
    <row r="887" ht="18.75" customHeight="1">
      <c r="B887" s="64"/>
    </row>
    <row r="888" ht="18.75" customHeight="1">
      <c r="B888" s="64"/>
    </row>
    <row r="889" ht="18.75" customHeight="1">
      <c r="B889" s="64"/>
    </row>
    <row r="890" ht="18.75" customHeight="1">
      <c r="B890" s="64"/>
    </row>
    <row r="891" ht="18.75" customHeight="1">
      <c r="B891" s="64"/>
    </row>
    <row r="892" ht="18.75" customHeight="1">
      <c r="B892" s="64"/>
    </row>
    <row r="893" ht="18.75" customHeight="1">
      <c r="B893" s="64"/>
    </row>
    <row r="894" ht="18.75" customHeight="1">
      <c r="B894" s="64"/>
    </row>
    <row r="895" ht="18.75" customHeight="1">
      <c r="B895" s="64"/>
    </row>
    <row r="896" ht="18.75" customHeight="1">
      <c r="B896" s="64"/>
    </row>
    <row r="897" ht="18.75" customHeight="1">
      <c r="B897" s="64"/>
    </row>
    <row r="898" ht="18.75" customHeight="1">
      <c r="B898" s="64"/>
    </row>
    <row r="899" ht="18.75" customHeight="1">
      <c r="B899" s="64"/>
    </row>
    <row r="900" ht="18.75" customHeight="1">
      <c r="B900" s="64"/>
    </row>
    <row r="901" ht="18.75" customHeight="1">
      <c r="B901" s="64"/>
    </row>
    <row r="902" ht="18.75" customHeight="1">
      <c r="B902" s="64"/>
    </row>
    <row r="903" ht="18.75" customHeight="1">
      <c r="B903" s="64"/>
    </row>
    <row r="904" ht="18.75" customHeight="1">
      <c r="B904" s="64"/>
    </row>
    <row r="905" ht="18.75" customHeight="1">
      <c r="B905" s="64"/>
    </row>
    <row r="906" ht="18.75" customHeight="1">
      <c r="B906" s="64"/>
    </row>
    <row r="907" ht="18.75" customHeight="1">
      <c r="B907" s="64"/>
    </row>
    <row r="908" ht="18.75" customHeight="1">
      <c r="B908" s="64"/>
    </row>
    <row r="909" ht="18.75" customHeight="1">
      <c r="B909" s="64"/>
    </row>
    <row r="910" ht="18.75" customHeight="1">
      <c r="B910" s="64"/>
    </row>
    <row r="911" ht="18.75" customHeight="1">
      <c r="B911" s="64"/>
    </row>
    <row r="912" ht="18.75" customHeight="1">
      <c r="B912" s="64"/>
    </row>
    <row r="913" ht="18.75" customHeight="1">
      <c r="B913" s="64"/>
    </row>
    <row r="914" ht="18.75" customHeight="1">
      <c r="B914" s="64"/>
    </row>
    <row r="915" ht="18.75" customHeight="1">
      <c r="B915" s="64"/>
    </row>
    <row r="916" ht="18.75" customHeight="1">
      <c r="B916" s="64"/>
    </row>
    <row r="917" ht="18.75" customHeight="1">
      <c r="B917" s="64"/>
    </row>
    <row r="918" ht="18.75" customHeight="1">
      <c r="B918" s="64"/>
    </row>
    <row r="919" ht="18.75" customHeight="1">
      <c r="B919" s="64"/>
    </row>
    <row r="920" ht="18.75" customHeight="1">
      <c r="B920" s="64"/>
    </row>
    <row r="921" ht="18.75" customHeight="1">
      <c r="B921" s="64"/>
    </row>
    <row r="922" ht="18.75" customHeight="1">
      <c r="B922" s="64"/>
    </row>
    <row r="923" ht="18.75" customHeight="1">
      <c r="B923" s="64"/>
    </row>
    <row r="924" ht="18.75" customHeight="1">
      <c r="B924" s="64"/>
    </row>
    <row r="925" ht="18.75" customHeight="1">
      <c r="B925" s="64"/>
    </row>
    <row r="926" ht="18.75" customHeight="1">
      <c r="B926" s="64"/>
    </row>
    <row r="927" ht="18.75" customHeight="1">
      <c r="B927" s="64"/>
    </row>
    <row r="928" ht="18.75" customHeight="1">
      <c r="B928" s="64"/>
    </row>
    <row r="929" ht="18.75" customHeight="1">
      <c r="B929" s="64"/>
    </row>
    <row r="930" ht="18.75" customHeight="1">
      <c r="B930" s="64"/>
    </row>
    <row r="931" ht="18.75" customHeight="1">
      <c r="B931" s="64"/>
    </row>
    <row r="932" ht="18.75" customHeight="1">
      <c r="B932" s="64"/>
    </row>
    <row r="933" ht="18.75" customHeight="1">
      <c r="B933" s="64"/>
    </row>
    <row r="934" ht="18.75" customHeight="1">
      <c r="B934" s="64"/>
    </row>
    <row r="935" ht="18.75" customHeight="1">
      <c r="B935" s="64"/>
    </row>
    <row r="936" ht="18.75" customHeight="1">
      <c r="B936" s="64"/>
    </row>
    <row r="937" ht="18.75" customHeight="1">
      <c r="B937" s="64"/>
    </row>
    <row r="938" ht="18.75" customHeight="1">
      <c r="B938" s="64"/>
    </row>
    <row r="939" ht="18.75" customHeight="1">
      <c r="B939" s="64"/>
    </row>
    <row r="940" ht="18.75" customHeight="1">
      <c r="B940" s="64"/>
    </row>
    <row r="941" ht="18.75" customHeight="1">
      <c r="B941" s="64"/>
    </row>
    <row r="942" ht="18.75" customHeight="1">
      <c r="B942" s="64"/>
    </row>
    <row r="943" ht="18.75" customHeight="1">
      <c r="B943" s="64"/>
    </row>
    <row r="944" ht="18.75" customHeight="1">
      <c r="B944" s="64"/>
    </row>
    <row r="945" ht="18.75" customHeight="1">
      <c r="B945" s="64"/>
    </row>
    <row r="946" ht="18.75" customHeight="1">
      <c r="B946" s="64"/>
    </row>
    <row r="947" ht="18.75" customHeight="1">
      <c r="B947" s="64"/>
    </row>
    <row r="948" ht="18.75" customHeight="1">
      <c r="B948" s="64"/>
    </row>
    <row r="949" ht="18.75" customHeight="1">
      <c r="B949" s="64"/>
    </row>
    <row r="950" ht="18.75" customHeight="1">
      <c r="B950" s="64"/>
    </row>
    <row r="951" ht="18.75" customHeight="1">
      <c r="B951" s="64"/>
    </row>
    <row r="952" ht="18.75" customHeight="1">
      <c r="B952" s="64"/>
    </row>
    <row r="953" ht="18.75" customHeight="1">
      <c r="B953" s="64"/>
    </row>
    <row r="954" ht="18.75" customHeight="1">
      <c r="B954" s="64"/>
    </row>
    <row r="955" ht="18.75" customHeight="1">
      <c r="B955" s="64"/>
    </row>
    <row r="956" ht="18.75" customHeight="1">
      <c r="B956" s="64"/>
    </row>
    <row r="957" ht="18.75" customHeight="1">
      <c r="B957" s="64"/>
    </row>
    <row r="958" ht="18.75" customHeight="1">
      <c r="B958" s="64"/>
    </row>
    <row r="959" ht="18.75" customHeight="1">
      <c r="B959" s="64"/>
    </row>
    <row r="960" ht="18.75" customHeight="1">
      <c r="B960" s="64"/>
    </row>
    <row r="961" ht="18.75" customHeight="1">
      <c r="B961" s="64"/>
    </row>
    <row r="962" ht="18.75" customHeight="1">
      <c r="B962" s="64"/>
    </row>
    <row r="963" ht="18.75" customHeight="1">
      <c r="B963" s="64"/>
    </row>
    <row r="964" ht="18.75" customHeight="1">
      <c r="B964" s="64"/>
    </row>
    <row r="965" ht="18.75" customHeight="1">
      <c r="B965" s="64"/>
    </row>
    <row r="966" ht="18.75" customHeight="1">
      <c r="B966" s="64"/>
    </row>
    <row r="967" ht="18.75" customHeight="1">
      <c r="B967" s="64"/>
    </row>
    <row r="968" ht="18.75" customHeight="1">
      <c r="B968" s="64"/>
    </row>
    <row r="969" ht="18.75" customHeight="1">
      <c r="B969" s="64"/>
    </row>
    <row r="970" ht="18.75" customHeight="1">
      <c r="B970" s="64"/>
    </row>
    <row r="971" ht="18.75" customHeight="1">
      <c r="B971" s="64"/>
    </row>
    <row r="972" ht="18.75" customHeight="1">
      <c r="B972" s="64"/>
    </row>
    <row r="973" ht="18.75" customHeight="1">
      <c r="B973" s="64"/>
    </row>
    <row r="974" ht="18.75" customHeight="1">
      <c r="B974" s="64"/>
    </row>
    <row r="975" ht="18.75" customHeight="1">
      <c r="B975" s="64"/>
    </row>
    <row r="976" ht="18.75" customHeight="1">
      <c r="B976" s="64"/>
    </row>
    <row r="977" ht="18.75" customHeight="1">
      <c r="B977" s="64"/>
    </row>
    <row r="978" ht="18.75" customHeight="1">
      <c r="B978" s="64"/>
    </row>
    <row r="979" ht="18.75" customHeight="1">
      <c r="B979" s="64"/>
    </row>
    <row r="980" ht="18.75" customHeight="1">
      <c r="B980" s="64"/>
    </row>
    <row r="981" ht="18.75" customHeight="1">
      <c r="B981" s="64"/>
    </row>
    <row r="982" ht="18.75" customHeight="1">
      <c r="B982" s="64"/>
    </row>
    <row r="983" ht="18.75" customHeight="1">
      <c r="B983" s="64"/>
    </row>
    <row r="984" ht="18.75" customHeight="1">
      <c r="B984" s="64"/>
    </row>
    <row r="985" ht="18.75" customHeight="1">
      <c r="B985" s="64"/>
    </row>
    <row r="986" ht="18.75" customHeight="1">
      <c r="B986" s="64"/>
    </row>
    <row r="987" ht="18.75" customHeight="1">
      <c r="B987" s="64"/>
    </row>
    <row r="988" ht="18.75" customHeight="1">
      <c r="B988" s="64"/>
    </row>
    <row r="989" ht="18.75" customHeight="1">
      <c r="B989" s="64"/>
    </row>
    <row r="990" ht="18.75" customHeight="1">
      <c r="B990" s="64"/>
    </row>
    <row r="991" ht="18.75" customHeight="1">
      <c r="B991" s="64"/>
    </row>
    <row r="992" ht="18.75" customHeight="1">
      <c r="B992" s="64"/>
    </row>
    <row r="993" ht="18.75" customHeight="1">
      <c r="B993" s="64"/>
    </row>
    <row r="994" ht="18.75" customHeight="1">
      <c r="B994" s="64"/>
    </row>
    <row r="995" ht="18.75" customHeight="1">
      <c r="B995" s="64"/>
    </row>
    <row r="996" ht="18.75" customHeight="1">
      <c r="B996" s="64"/>
    </row>
    <row r="997" ht="18.75" customHeight="1">
      <c r="B997" s="64"/>
    </row>
    <row r="998" ht="18.75" customHeight="1">
      <c r="B998" s="64"/>
    </row>
    <row r="999" ht="18.75" customHeight="1">
      <c r="B999" s="64"/>
    </row>
    <row r="1000" ht="18.75" customHeight="1">
      <c r="B1000" s="64"/>
    </row>
  </sheetData>
  <printOptions/>
  <pageMargins bottom="0.75" footer="0.0" header="0.0" left="0.7" right="0.7" top="0.75"/>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outlineLevelCol="2"/>
  <cols>
    <col customWidth="1" min="1" max="1" width="4.75"/>
    <col customWidth="1" min="2" max="2" width="28.38"/>
    <col customWidth="1" min="3" max="3" width="9.5"/>
    <col customWidth="1" min="4" max="6" width="6.5" outlineLevel="1"/>
    <col customWidth="1" min="7" max="7" width="4.63"/>
    <col customWidth="1" min="8" max="8" width="4.63" outlineLevel="1"/>
    <col customWidth="1" min="9" max="10" width="3.88" outlineLevel="1"/>
    <col customWidth="1" min="11" max="14" width="4.63" outlineLevel="1"/>
    <col customWidth="1" min="15" max="15" width="3.88" outlineLevel="1"/>
    <col customWidth="1" min="16" max="16" width="4.63" outlineLevel="1"/>
    <col customWidth="1" min="17" max="18" width="6.25" outlineLevel="1"/>
    <col customWidth="1" min="19" max="19" width="3.0" outlineLevel="1"/>
    <col customWidth="1" min="20" max="20" width="3.88" outlineLevel="1"/>
    <col customWidth="1" min="21" max="21" width="4.63" outlineLevel="1"/>
    <col customWidth="1" min="22" max="22" width="5.13"/>
    <col customWidth="1" min="23" max="24" width="5.13" outlineLevel="1"/>
    <col customWidth="1" min="25" max="26" width="4.63" outlineLevel="1"/>
    <col customWidth="1" min="27" max="28" width="5.13" outlineLevel="1"/>
    <col customWidth="1" min="29" max="29" width="4.63" outlineLevel="1"/>
    <col customWidth="1" min="30" max="30" width="4.13"/>
    <col customWidth="1" hidden="1" min="31" max="31" width="4.25" outlineLevel="2"/>
    <col customWidth="1" hidden="1" min="32" max="39" width="4.13" outlineLevel="2"/>
    <col customWidth="1" hidden="1" min="40" max="40" width="4.13" outlineLevel="1"/>
    <col customWidth="1" hidden="1" min="41" max="44" width="4.13" outlineLevel="2"/>
    <col customWidth="1" hidden="1" min="45" max="45" width="4.13" outlineLevel="1"/>
    <col customWidth="1" hidden="1" min="46" max="46" width="4.13" outlineLevel="2"/>
    <col customWidth="1" hidden="1" min="47" max="47" width="4.13" outlineLevel="1"/>
    <col customWidth="1" hidden="1" min="48" max="50" width="4.13" outlineLevel="2"/>
    <col customWidth="1" hidden="1" min="51" max="51" width="4.13" outlineLevel="1"/>
    <col customWidth="1" min="52" max="54" width="4.13" outlineLevel="2"/>
    <col customWidth="1" min="55" max="55" width="4.13"/>
    <col customWidth="1" min="56" max="56" width="5.75" outlineLevel="1"/>
    <col customWidth="1" min="57" max="57" width="4.13" outlineLevel="1"/>
    <col customWidth="1" min="58" max="58" width="4.5"/>
    <col customWidth="1" min="59" max="59" width="3.25"/>
    <col customWidth="1" min="60" max="61" width="7.63"/>
    <col customWidth="1" min="62" max="69" width="9.25"/>
    <col customWidth="1" min="70" max="70" width="12.75"/>
    <col customWidth="1" min="71" max="71" width="10.13"/>
    <col customWidth="1" min="72" max="72" width="7.63"/>
    <col customWidth="1" min="73" max="74" width="17.63"/>
    <col customWidth="1" min="75" max="75" width="25.13"/>
  </cols>
  <sheetData>
    <row r="1" ht="34.5" customHeight="1">
      <c r="A1" s="117" t="s">
        <v>3196</v>
      </c>
      <c r="B1" s="117" t="s">
        <v>2620</v>
      </c>
      <c r="C1" s="11" t="s">
        <v>3197</v>
      </c>
      <c r="D1" s="11" t="s">
        <v>3198</v>
      </c>
      <c r="E1" s="11" t="s">
        <v>3199</v>
      </c>
      <c r="F1" s="11" t="s">
        <v>3200</v>
      </c>
      <c r="G1" s="11" t="s">
        <v>2623</v>
      </c>
      <c r="H1" s="11" t="s">
        <v>2624</v>
      </c>
      <c r="I1" s="11" t="s">
        <v>2625</v>
      </c>
      <c r="J1" s="11" t="s">
        <v>2626</v>
      </c>
      <c r="K1" s="11" t="s">
        <v>3201</v>
      </c>
      <c r="L1" s="11" t="s">
        <v>3202</v>
      </c>
      <c r="M1" s="11" t="s">
        <v>3203</v>
      </c>
      <c r="N1" s="11" t="s">
        <v>3204</v>
      </c>
      <c r="O1" s="11" t="s">
        <v>3205</v>
      </c>
      <c r="P1" s="11" t="s">
        <v>3206</v>
      </c>
      <c r="Q1" s="11" t="s">
        <v>3207</v>
      </c>
      <c r="R1" s="11" t="s">
        <v>3208</v>
      </c>
      <c r="S1" s="11" t="s">
        <v>3209</v>
      </c>
      <c r="T1" s="11" t="s">
        <v>3210</v>
      </c>
      <c r="U1" s="11" t="s">
        <v>3211</v>
      </c>
      <c r="V1" s="11" t="s">
        <v>3212</v>
      </c>
      <c r="W1" s="11" t="s">
        <v>944</v>
      </c>
      <c r="X1" s="11" t="s">
        <v>425</v>
      </c>
      <c r="Y1" s="11" t="s">
        <v>336</v>
      </c>
      <c r="Z1" s="11" t="s">
        <v>1018</v>
      </c>
      <c r="AA1" s="11" t="s">
        <v>3213</v>
      </c>
      <c r="AB1" s="11" t="s">
        <v>1049</v>
      </c>
      <c r="AC1" s="11" t="s">
        <v>565</v>
      </c>
      <c r="AD1" s="45" t="s">
        <v>2565</v>
      </c>
      <c r="AE1" s="45" t="s">
        <v>2566</v>
      </c>
      <c r="AF1" s="45" t="s">
        <v>2567</v>
      </c>
      <c r="AG1" s="45" t="s">
        <v>2568</v>
      </c>
      <c r="AH1" s="45" t="s">
        <v>81</v>
      </c>
      <c r="AI1" s="45" t="s">
        <v>2569</v>
      </c>
      <c r="AJ1" s="45" t="s">
        <v>1348</v>
      </c>
      <c r="AK1" s="45" t="s">
        <v>2570</v>
      </c>
      <c r="AL1" s="45" t="s">
        <v>2571</v>
      </c>
      <c r="AM1" s="45" t="s">
        <v>2572</v>
      </c>
      <c r="AN1" s="49" t="s">
        <v>2593</v>
      </c>
      <c r="AO1" s="49" t="s">
        <v>1921</v>
      </c>
      <c r="AP1" s="49" t="s">
        <v>2594</v>
      </c>
      <c r="AQ1" s="49" t="s">
        <v>2595</v>
      </c>
      <c r="AR1" s="49" t="s">
        <v>2596</v>
      </c>
      <c r="AS1" s="51" t="s">
        <v>1139</v>
      </c>
      <c r="AT1" s="51" t="s">
        <v>2598</v>
      </c>
      <c r="AU1" s="52" t="s">
        <v>2599</v>
      </c>
      <c r="AV1" s="52" t="s">
        <v>2600</v>
      </c>
      <c r="AW1" s="52" t="s">
        <v>2601</v>
      </c>
      <c r="AX1" s="52" t="s">
        <v>2602</v>
      </c>
      <c r="AY1" s="53" t="s">
        <v>2603</v>
      </c>
      <c r="AZ1" s="53" t="s">
        <v>2604</v>
      </c>
      <c r="BA1" s="53" t="s">
        <v>2429</v>
      </c>
      <c r="BB1" s="53" t="s">
        <v>1179</v>
      </c>
      <c r="BC1" s="11"/>
      <c r="BD1" s="64" t="s">
        <v>3214</v>
      </c>
      <c r="BE1" s="64" t="s">
        <v>1845</v>
      </c>
      <c r="BF1" s="64" t="s">
        <v>3215</v>
      </c>
      <c r="BG1" s="64" t="s">
        <v>849</v>
      </c>
      <c r="BH1" s="37" t="s">
        <v>2929</v>
      </c>
      <c r="BI1" s="37" t="s">
        <v>2930</v>
      </c>
      <c r="BJ1" s="117" t="s">
        <v>3216</v>
      </c>
      <c r="BK1" s="117" t="s">
        <v>3217</v>
      </c>
      <c r="BL1" s="117" t="s">
        <v>3218</v>
      </c>
      <c r="BM1" s="117" t="s">
        <v>3219</v>
      </c>
      <c r="BN1" s="117" t="s">
        <v>3220</v>
      </c>
      <c r="BO1" s="117" t="s">
        <v>3221</v>
      </c>
      <c r="BP1" s="117" t="s">
        <v>3222</v>
      </c>
      <c r="BQ1" s="117" t="s">
        <v>3223</v>
      </c>
      <c r="BR1" s="117" t="s">
        <v>3224</v>
      </c>
      <c r="BS1" s="117" t="s">
        <v>3225</v>
      </c>
      <c r="BT1" s="31" t="s">
        <v>3226</v>
      </c>
      <c r="BU1" s="31" t="s">
        <v>3227</v>
      </c>
      <c r="BV1" s="31" t="s">
        <v>3228</v>
      </c>
      <c r="BW1" s="31" t="s">
        <v>3229</v>
      </c>
    </row>
    <row r="2" ht="18.75" customHeight="1">
      <c r="A2" s="19" t="s">
        <v>54</v>
      </c>
      <c r="B2" s="117" t="s">
        <v>3230</v>
      </c>
      <c r="C2" s="118">
        <v>0.2</v>
      </c>
      <c r="D2" s="37">
        <v>1.0</v>
      </c>
      <c r="E2" s="37">
        <v>1.0</v>
      </c>
      <c r="F2" s="37" t="s">
        <v>3231</v>
      </c>
      <c r="G2" s="37">
        <v>60.0</v>
      </c>
      <c r="H2" s="37">
        <v>40.0</v>
      </c>
      <c r="I2" s="37">
        <v>20.0</v>
      </c>
      <c r="J2" s="37">
        <v>0.0</v>
      </c>
      <c r="K2" s="37">
        <v>25.0</v>
      </c>
      <c r="L2" s="37">
        <v>0.0</v>
      </c>
      <c r="M2" s="37">
        <v>0.0</v>
      </c>
      <c r="N2" s="37">
        <v>25.0</v>
      </c>
      <c r="O2" s="37">
        <v>10.0</v>
      </c>
      <c r="P2" s="37">
        <v>0.0</v>
      </c>
      <c r="Q2" s="37">
        <v>0.0</v>
      </c>
      <c r="R2" s="37">
        <v>0.0</v>
      </c>
      <c r="S2" s="37">
        <v>0.0</v>
      </c>
      <c r="T2" s="37">
        <v>0.0</v>
      </c>
      <c r="U2" s="37">
        <v>0.0</v>
      </c>
      <c r="V2" s="118">
        <v>0.0</v>
      </c>
      <c r="W2" s="118">
        <v>0.1</v>
      </c>
      <c r="X2" s="118">
        <v>0.0</v>
      </c>
      <c r="Y2" s="118">
        <v>0.0</v>
      </c>
      <c r="Z2" s="118">
        <v>0.0</v>
      </c>
      <c r="AA2" s="118">
        <v>0.05</v>
      </c>
      <c r="AB2" s="118">
        <v>-0.05</v>
      </c>
      <c r="AC2" s="118">
        <v>0.05</v>
      </c>
      <c r="AK2" s="64"/>
      <c r="AL2" s="64"/>
      <c r="BJ2" s="37" t="b">
        <f t="shared" ref="BJ2:BJ7" si="1">TRUE()</f>
        <v>1</v>
      </c>
      <c r="BK2" s="37">
        <v>1.0</v>
      </c>
      <c r="BL2" s="37" t="s">
        <v>3232</v>
      </c>
      <c r="BM2" s="37">
        <v>26.0</v>
      </c>
      <c r="BN2" s="37" t="s">
        <v>3233</v>
      </c>
      <c r="BO2" s="37" t="s">
        <v>3234</v>
      </c>
      <c r="BT2" s="119" t="s">
        <v>3234</v>
      </c>
      <c r="BU2" s="119"/>
      <c r="BV2" s="119"/>
      <c r="BW2" s="119"/>
    </row>
    <row r="3" ht="18.75" customHeight="1">
      <c r="A3" s="19" t="s">
        <v>56</v>
      </c>
      <c r="B3" s="117" t="s">
        <v>3235</v>
      </c>
      <c r="C3" s="118">
        <v>0.6</v>
      </c>
      <c r="D3" s="37">
        <v>3.0</v>
      </c>
      <c r="E3" s="37">
        <v>2.0</v>
      </c>
      <c r="F3" s="37" t="s">
        <v>3231</v>
      </c>
      <c r="G3" s="37">
        <v>25.0</v>
      </c>
      <c r="H3" s="37">
        <v>60.0</v>
      </c>
      <c r="I3" s="37">
        <v>35.0</v>
      </c>
      <c r="J3" s="37">
        <v>0.0</v>
      </c>
      <c r="K3" s="37">
        <v>100.0</v>
      </c>
      <c r="L3" s="39">
        <v>0.0</v>
      </c>
      <c r="M3" s="39">
        <v>0.0</v>
      </c>
      <c r="N3" s="37">
        <v>25.0</v>
      </c>
      <c r="O3" s="37">
        <v>0.0</v>
      </c>
      <c r="P3" s="37">
        <v>0.0</v>
      </c>
      <c r="Q3" s="37">
        <v>0.0</v>
      </c>
      <c r="R3" s="37">
        <v>0.0</v>
      </c>
      <c r="S3" s="37">
        <v>0.0</v>
      </c>
      <c r="T3" s="39">
        <v>0.0</v>
      </c>
      <c r="U3" s="39">
        <v>0.0</v>
      </c>
      <c r="V3" s="118">
        <v>-0.05</v>
      </c>
      <c r="W3" s="118">
        <v>-0.05</v>
      </c>
      <c r="X3" s="118">
        <v>0.05</v>
      </c>
      <c r="Y3" s="118">
        <v>0.0</v>
      </c>
      <c r="Z3" s="118">
        <v>0.0</v>
      </c>
      <c r="AA3" s="118">
        <v>0.05</v>
      </c>
      <c r="AB3" s="118">
        <v>0.05</v>
      </c>
      <c r="AC3" s="118">
        <v>0.1</v>
      </c>
      <c r="AK3" s="64">
        <v>-10.0</v>
      </c>
      <c r="AL3" s="64">
        <v>-5.0</v>
      </c>
      <c r="AS3" s="37">
        <v>35.0</v>
      </c>
      <c r="BB3" s="37">
        <v>15.0</v>
      </c>
      <c r="BJ3" s="37" t="b">
        <f t="shared" si="1"/>
        <v>1</v>
      </c>
      <c r="BK3" s="37">
        <v>3.0</v>
      </c>
      <c r="BL3" s="37" t="s">
        <v>3236</v>
      </c>
      <c r="BM3" s="37">
        <v>18.0</v>
      </c>
      <c r="BN3" s="37" t="s">
        <v>56</v>
      </c>
      <c r="BO3" s="37" t="s">
        <v>3234</v>
      </c>
      <c r="BT3" s="119" t="s">
        <v>3234</v>
      </c>
      <c r="BU3" s="119"/>
      <c r="BV3" s="119"/>
      <c r="BW3" s="119"/>
    </row>
    <row r="4" ht="18.75" customHeight="1">
      <c r="A4" s="19" t="s">
        <v>58</v>
      </c>
      <c r="B4" s="117" t="s">
        <v>3237</v>
      </c>
      <c r="C4" s="118">
        <v>0.5</v>
      </c>
      <c r="D4" s="37">
        <v>3.0</v>
      </c>
      <c r="E4" s="37">
        <v>2.0</v>
      </c>
      <c r="F4" s="37" t="s">
        <v>3231</v>
      </c>
      <c r="G4" s="37">
        <v>20.0</v>
      </c>
      <c r="H4" s="37">
        <v>20.0</v>
      </c>
      <c r="I4" s="37">
        <v>60.0</v>
      </c>
      <c r="J4" s="37">
        <v>10.0</v>
      </c>
      <c r="K4" s="37">
        <v>40.0</v>
      </c>
      <c r="L4" s="39">
        <v>0.0</v>
      </c>
      <c r="M4" s="39">
        <v>0.0</v>
      </c>
      <c r="N4" s="37">
        <v>100.0</v>
      </c>
      <c r="O4" s="37">
        <v>80.0</v>
      </c>
      <c r="P4" s="39">
        <v>0.0</v>
      </c>
      <c r="Q4" s="39">
        <v>0.0</v>
      </c>
      <c r="R4" s="39">
        <v>0.0</v>
      </c>
      <c r="S4" s="37">
        <v>10.0</v>
      </c>
      <c r="T4" s="39">
        <v>0.0</v>
      </c>
      <c r="U4" s="39">
        <v>0.0</v>
      </c>
      <c r="V4" s="118">
        <v>-0.05</v>
      </c>
      <c r="W4" s="118">
        <v>-0.05</v>
      </c>
      <c r="X4" s="118">
        <v>0.1</v>
      </c>
      <c r="Y4" s="118">
        <v>0.1</v>
      </c>
      <c r="Z4" s="118">
        <v>0.0</v>
      </c>
      <c r="AA4" s="118">
        <v>-0.05</v>
      </c>
      <c r="AB4" s="118">
        <v>0.15</v>
      </c>
      <c r="AC4" s="118">
        <v>0.1</v>
      </c>
      <c r="AK4" s="64"/>
      <c r="AL4" s="64"/>
      <c r="AS4" s="37">
        <v>-10.0</v>
      </c>
      <c r="BJ4" s="37" t="b">
        <f t="shared" si="1"/>
        <v>1</v>
      </c>
      <c r="BK4" s="37">
        <v>4.0</v>
      </c>
      <c r="BL4" s="37" t="s">
        <v>3238</v>
      </c>
      <c r="BM4" s="37">
        <v>12.0</v>
      </c>
      <c r="BN4" s="37" t="s">
        <v>3239</v>
      </c>
      <c r="BO4" s="37" t="s">
        <v>3234</v>
      </c>
      <c r="BQ4" s="37" t="s">
        <v>3239</v>
      </c>
    </row>
    <row r="5" ht="18.75" customHeight="1">
      <c r="A5" s="19" t="s">
        <v>57</v>
      </c>
      <c r="B5" s="117" t="s">
        <v>3240</v>
      </c>
      <c r="C5" s="118">
        <v>0.8</v>
      </c>
      <c r="D5" s="37">
        <v>5.0</v>
      </c>
      <c r="E5" s="37">
        <v>2.0</v>
      </c>
      <c r="F5" s="37" t="s">
        <v>3231</v>
      </c>
      <c r="G5" s="37">
        <v>10.0</v>
      </c>
      <c r="H5" s="37">
        <v>10.0</v>
      </c>
      <c r="I5" s="37">
        <v>20.0</v>
      </c>
      <c r="J5" s="37">
        <v>10.0</v>
      </c>
      <c r="K5" s="37">
        <v>30.0</v>
      </c>
      <c r="L5" s="39">
        <v>0.0</v>
      </c>
      <c r="M5" s="37">
        <v>0.0</v>
      </c>
      <c r="N5" s="37">
        <v>150.0</v>
      </c>
      <c r="O5" s="37">
        <v>200.0</v>
      </c>
      <c r="P5" s="39">
        <v>0.0</v>
      </c>
      <c r="Q5" s="39">
        <v>0.0</v>
      </c>
      <c r="R5" s="39">
        <v>0.0</v>
      </c>
      <c r="S5" s="37">
        <v>30.0</v>
      </c>
      <c r="T5" s="39">
        <v>0.0</v>
      </c>
      <c r="U5" s="39">
        <v>0.0</v>
      </c>
      <c r="V5" s="118">
        <v>-0.1</v>
      </c>
      <c r="W5" s="118">
        <v>-0.05</v>
      </c>
      <c r="X5" s="118">
        <v>0.15</v>
      </c>
      <c r="Y5" s="118">
        <v>0.2</v>
      </c>
      <c r="Z5" s="118">
        <v>0.0</v>
      </c>
      <c r="AA5" s="118">
        <v>-0.05</v>
      </c>
      <c r="AB5" s="118">
        <v>0.2</v>
      </c>
      <c r="AC5" s="118">
        <v>0.1</v>
      </c>
      <c r="AK5" s="64">
        <v>-15.0</v>
      </c>
      <c r="AL5" s="64">
        <v>-10.0</v>
      </c>
      <c r="BB5" s="37">
        <v>25.0</v>
      </c>
      <c r="BJ5" s="37" t="b">
        <f t="shared" si="1"/>
        <v>1</v>
      </c>
      <c r="BK5" s="37">
        <v>5.0</v>
      </c>
      <c r="BL5" s="37" t="s">
        <v>3241</v>
      </c>
      <c r="BM5" s="37">
        <v>10.0</v>
      </c>
      <c r="BN5" s="37" t="s">
        <v>3242</v>
      </c>
      <c r="BO5" s="37" t="s">
        <v>3234</v>
      </c>
      <c r="BP5" s="37">
        <v>0.2</v>
      </c>
      <c r="BQ5" s="37" t="s">
        <v>3242</v>
      </c>
    </row>
    <row r="6" ht="18.75" customHeight="1">
      <c r="A6" s="19" t="s">
        <v>60</v>
      </c>
      <c r="B6" s="117" t="s">
        <v>3243</v>
      </c>
      <c r="C6" s="118">
        <v>0.5</v>
      </c>
      <c r="D6" s="37">
        <v>2.0</v>
      </c>
      <c r="E6" s="37">
        <v>1.0</v>
      </c>
      <c r="F6" s="37" t="s">
        <v>3244</v>
      </c>
      <c r="G6" s="37">
        <v>10.0</v>
      </c>
      <c r="H6" s="37">
        <v>10.0</v>
      </c>
      <c r="I6" s="37">
        <v>0.0</v>
      </c>
      <c r="J6" s="37">
        <v>90.0</v>
      </c>
      <c r="K6" s="37">
        <v>0.0</v>
      </c>
      <c r="L6" s="37">
        <v>0.0</v>
      </c>
      <c r="M6" s="37">
        <v>0.0</v>
      </c>
      <c r="N6" s="37">
        <v>0.0</v>
      </c>
      <c r="O6" s="37">
        <v>35.0</v>
      </c>
      <c r="P6" s="39">
        <v>0.0</v>
      </c>
      <c r="Q6" s="37">
        <v>0.0</v>
      </c>
      <c r="R6" s="37">
        <v>0.0</v>
      </c>
      <c r="S6" s="37">
        <v>8.0</v>
      </c>
      <c r="T6" s="39">
        <v>0.0</v>
      </c>
      <c r="U6" s="39">
        <v>0.0</v>
      </c>
      <c r="V6" s="118">
        <v>0.1</v>
      </c>
      <c r="W6" s="118">
        <v>-0.1</v>
      </c>
      <c r="X6" s="118">
        <v>-0.05</v>
      </c>
      <c r="Y6" s="118">
        <v>0.0</v>
      </c>
      <c r="Z6" s="118">
        <v>0.0</v>
      </c>
      <c r="AA6" s="118">
        <v>0.2</v>
      </c>
      <c r="AB6" s="118">
        <v>-0.1</v>
      </c>
      <c r="AC6" s="118">
        <v>0.05</v>
      </c>
      <c r="AK6" s="64"/>
      <c r="AL6" s="64"/>
      <c r="BB6" s="37">
        <v>35.0</v>
      </c>
      <c r="BJ6" s="37" t="b">
        <f t="shared" si="1"/>
        <v>1</v>
      </c>
      <c r="BK6" s="37">
        <v>9.0</v>
      </c>
      <c r="BL6" s="37" t="s">
        <v>3245</v>
      </c>
      <c r="BM6" s="37">
        <v>8.0</v>
      </c>
      <c r="BN6" s="37" t="s">
        <v>60</v>
      </c>
      <c r="BO6" s="37" t="s">
        <v>3234</v>
      </c>
    </row>
    <row r="7" ht="18.75" customHeight="1">
      <c r="A7" s="19" t="s">
        <v>59</v>
      </c>
      <c r="B7" s="117" t="s">
        <v>3246</v>
      </c>
      <c r="C7" s="118">
        <v>0.4</v>
      </c>
      <c r="D7" s="37">
        <v>2.0</v>
      </c>
      <c r="E7" s="37">
        <v>1.0</v>
      </c>
      <c r="F7" s="37" t="s">
        <v>3231</v>
      </c>
      <c r="G7" s="37">
        <v>20.0</v>
      </c>
      <c r="H7" s="37">
        <v>15.0</v>
      </c>
      <c r="I7" s="37">
        <v>5.0</v>
      </c>
      <c r="J7" s="37">
        <v>35.0</v>
      </c>
      <c r="K7" s="37">
        <v>0.0</v>
      </c>
      <c r="L7" s="37">
        <v>0.0</v>
      </c>
      <c r="M7" s="37">
        <v>0.0</v>
      </c>
      <c r="N7" s="37">
        <v>0.0</v>
      </c>
      <c r="O7" s="37">
        <v>0.0</v>
      </c>
      <c r="P7" s="37">
        <v>0.0</v>
      </c>
      <c r="Q7" s="37">
        <v>0.0</v>
      </c>
      <c r="R7" s="37">
        <v>0.0</v>
      </c>
      <c r="S7" s="37">
        <v>5.0</v>
      </c>
      <c r="T7" s="39">
        <v>0.0</v>
      </c>
      <c r="U7" s="39">
        <v>0.0</v>
      </c>
      <c r="V7" s="118">
        <v>0.2</v>
      </c>
      <c r="W7" s="118">
        <v>-0.05</v>
      </c>
      <c r="X7" s="118">
        <v>-0.05</v>
      </c>
      <c r="Y7" s="118">
        <v>0.0</v>
      </c>
      <c r="Z7" s="118">
        <v>0.0</v>
      </c>
      <c r="AA7" s="118">
        <v>0.2</v>
      </c>
      <c r="AB7" s="118">
        <v>-0.05</v>
      </c>
      <c r="AC7" s="118">
        <v>0.05</v>
      </c>
      <c r="AK7" s="64"/>
      <c r="AL7" s="64"/>
      <c r="BJ7" s="37" t="b">
        <f t="shared" si="1"/>
        <v>1</v>
      </c>
      <c r="BK7" s="37">
        <v>8.0</v>
      </c>
      <c r="BL7" s="37" t="s">
        <v>3247</v>
      </c>
      <c r="BM7" s="37">
        <v>10.0</v>
      </c>
      <c r="BN7" s="37" t="s">
        <v>3248</v>
      </c>
      <c r="BO7" s="37" t="s">
        <v>3234</v>
      </c>
      <c r="BQ7" s="37" t="s">
        <v>3249</v>
      </c>
    </row>
    <row r="8" ht="18.75" customHeight="1">
      <c r="A8" s="19" t="s">
        <v>3250</v>
      </c>
      <c r="B8" s="117" t="s">
        <v>3251</v>
      </c>
      <c r="C8" s="118">
        <v>0.4</v>
      </c>
      <c r="D8" s="37">
        <v>2.0</v>
      </c>
      <c r="E8" s="37">
        <v>4.0</v>
      </c>
      <c r="F8" s="37" t="s">
        <v>3231</v>
      </c>
      <c r="G8" s="37">
        <v>25.0</v>
      </c>
      <c r="H8" s="37">
        <v>35.0</v>
      </c>
      <c r="I8" s="37">
        <v>10.0</v>
      </c>
      <c r="J8" s="37">
        <v>60.0</v>
      </c>
      <c r="K8" s="37">
        <v>0.0</v>
      </c>
      <c r="L8" s="37">
        <v>0.0</v>
      </c>
      <c r="M8" s="37">
        <v>0.0</v>
      </c>
      <c r="N8" s="37">
        <v>0.0</v>
      </c>
      <c r="O8" s="37">
        <v>0.0</v>
      </c>
      <c r="P8" s="37">
        <v>0.0</v>
      </c>
      <c r="Q8" s="37">
        <v>0.0</v>
      </c>
      <c r="R8" s="37">
        <v>0.0</v>
      </c>
      <c r="S8" s="37">
        <v>5.0</v>
      </c>
      <c r="T8" s="39">
        <v>0.0</v>
      </c>
      <c r="U8" s="39">
        <v>0.0</v>
      </c>
      <c r="V8" s="118">
        <v>0.2</v>
      </c>
      <c r="W8" s="118">
        <v>-0.05</v>
      </c>
      <c r="X8" s="118">
        <v>-0.05</v>
      </c>
      <c r="Y8" s="118">
        <v>0.0</v>
      </c>
      <c r="Z8" s="118">
        <v>0.0</v>
      </c>
      <c r="AA8" s="118">
        <v>0.2</v>
      </c>
      <c r="AB8" s="118">
        <v>-0.05</v>
      </c>
      <c r="AC8" s="118">
        <v>0.05</v>
      </c>
      <c r="AK8" s="64"/>
      <c r="AL8" s="64"/>
    </row>
    <row r="9" ht="18.75" customHeight="1">
      <c r="A9" s="19" t="s">
        <v>61</v>
      </c>
      <c r="B9" s="117" t="s">
        <v>3252</v>
      </c>
      <c r="C9" s="118">
        <v>0.75</v>
      </c>
      <c r="D9" s="37">
        <v>4.0</v>
      </c>
      <c r="E9" s="37">
        <v>2.0</v>
      </c>
      <c r="F9" s="37" t="s">
        <v>3244</v>
      </c>
      <c r="G9" s="37">
        <v>10.0</v>
      </c>
      <c r="H9" s="37">
        <v>10.0</v>
      </c>
      <c r="I9" s="37">
        <v>0.0</v>
      </c>
      <c r="J9" s="37">
        <v>110.0</v>
      </c>
      <c r="K9" s="37">
        <v>0.0</v>
      </c>
      <c r="L9" s="37">
        <v>0.0</v>
      </c>
      <c r="M9" s="37">
        <v>0.0</v>
      </c>
      <c r="N9" s="37">
        <v>0.0</v>
      </c>
      <c r="O9" s="37">
        <v>35.0</v>
      </c>
      <c r="P9" s="39">
        <v>0.0</v>
      </c>
      <c r="Q9" s="37">
        <v>0.0</v>
      </c>
      <c r="R9" s="37">
        <v>0.0</v>
      </c>
      <c r="S9" s="37">
        <v>20.0</v>
      </c>
      <c r="T9" s="39">
        <v>0.0</v>
      </c>
      <c r="U9" s="39">
        <v>0.0</v>
      </c>
      <c r="V9" s="118">
        <v>0.35</v>
      </c>
      <c r="W9" s="118">
        <v>-0.1</v>
      </c>
      <c r="X9" s="118">
        <v>-0.05</v>
      </c>
      <c r="Y9" s="118">
        <v>0.0</v>
      </c>
      <c r="Z9" s="118">
        <v>0.0</v>
      </c>
      <c r="AA9" s="118">
        <v>0.35</v>
      </c>
      <c r="AB9" s="118">
        <v>-0.1</v>
      </c>
      <c r="AC9" s="118">
        <v>0.05</v>
      </c>
      <c r="AK9" s="64"/>
      <c r="AL9" s="64"/>
      <c r="BJ9" s="37" t="b">
        <f t="shared" ref="BJ9:BJ11" si="2">TRUE()</f>
        <v>1</v>
      </c>
      <c r="BK9" s="37">
        <v>10.0</v>
      </c>
      <c r="BL9" s="37" t="s">
        <v>3253</v>
      </c>
      <c r="BM9" s="37">
        <v>7.0</v>
      </c>
      <c r="BN9" s="37" t="s">
        <v>61</v>
      </c>
    </row>
    <row r="10" ht="18.75" customHeight="1">
      <c r="A10" s="19" t="s">
        <v>3254</v>
      </c>
      <c r="B10" s="117" t="s">
        <v>3230</v>
      </c>
      <c r="C10" s="118">
        <v>0.3</v>
      </c>
      <c r="D10" s="37">
        <v>1.0</v>
      </c>
      <c r="E10" s="37">
        <v>1.0</v>
      </c>
      <c r="F10" s="37" t="s">
        <v>3231</v>
      </c>
      <c r="G10" s="37">
        <v>15.0</v>
      </c>
      <c r="H10" s="37">
        <v>15.0</v>
      </c>
      <c r="I10" s="37">
        <v>20.0</v>
      </c>
      <c r="J10" s="37">
        <v>0.0</v>
      </c>
      <c r="K10" s="37">
        <v>0.0</v>
      </c>
      <c r="L10" s="37">
        <v>0.0</v>
      </c>
      <c r="M10" s="37">
        <v>0.0</v>
      </c>
      <c r="N10" s="37">
        <v>100.0</v>
      </c>
      <c r="O10" s="37">
        <v>45.0</v>
      </c>
      <c r="P10" s="39">
        <v>0.0</v>
      </c>
      <c r="Q10" s="37">
        <v>0.0</v>
      </c>
      <c r="R10" s="37">
        <v>0.0</v>
      </c>
      <c r="S10" s="37">
        <v>5.0</v>
      </c>
      <c r="T10" s="39">
        <v>0.0</v>
      </c>
      <c r="U10" s="39">
        <v>0.0</v>
      </c>
      <c r="V10" s="118">
        <v>0.0</v>
      </c>
      <c r="W10" s="118">
        <v>0.1</v>
      </c>
      <c r="X10" s="118">
        <v>0.0</v>
      </c>
      <c r="Y10" s="118">
        <v>0.0</v>
      </c>
      <c r="Z10" s="118">
        <v>0.1</v>
      </c>
      <c r="AA10" s="118">
        <v>0.0</v>
      </c>
      <c r="AB10" s="118">
        <v>0.1</v>
      </c>
      <c r="AC10" s="118">
        <v>0.0</v>
      </c>
      <c r="AK10" s="64"/>
      <c r="AL10" s="64"/>
      <c r="BJ10" s="37" t="b">
        <f t="shared" si="2"/>
        <v>1</v>
      </c>
      <c r="BK10" s="37">
        <v>2.0</v>
      </c>
      <c r="BL10" s="37" t="s">
        <v>3255</v>
      </c>
      <c r="BM10" s="37">
        <v>12.0</v>
      </c>
      <c r="BN10" s="37" t="s">
        <v>3256</v>
      </c>
      <c r="BO10" s="37" t="s">
        <v>3234</v>
      </c>
      <c r="BQ10" s="37" t="s">
        <v>3256</v>
      </c>
      <c r="BT10" s="119" t="s">
        <v>3234</v>
      </c>
      <c r="BU10" s="119"/>
      <c r="BV10" s="119"/>
      <c r="BW10" s="119"/>
    </row>
    <row r="11" ht="18.75" customHeight="1">
      <c r="A11" s="19" t="s">
        <v>62</v>
      </c>
      <c r="B11" s="117" t="s">
        <v>3257</v>
      </c>
      <c r="C11" s="118">
        <v>0.5</v>
      </c>
      <c r="D11" s="37">
        <v>4.0</v>
      </c>
      <c r="E11" s="37">
        <v>2.0</v>
      </c>
      <c r="F11" s="37" t="s">
        <v>3231</v>
      </c>
      <c r="G11" s="37">
        <v>10.0</v>
      </c>
      <c r="H11" s="37">
        <v>10.0</v>
      </c>
      <c r="I11" s="37">
        <v>10.0</v>
      </c>
      <c r="J11" s="37">
        <v>0.0</v>
      </c>
      <c r="K11" s="37">
        <v>0.0</v>
      </c>
      <c r="L11" s="37">
        <v>0.0</v>
      </c>
      <c r="M11" s="37">
        <v>0.0</v>
      </c>
      <c r="N11" s="37">
        <v>50.0</v>
      </c>
      <c r="O11" s="37">
        <v>0.0</v>
      </c>
      <c r="P11" s="39">
        <v>0.0</v>
      </c>
      <c r="Q11" s="39">
        <v>0.0</v>
      </c>
      <c r="R11" s="39">
        <v>0.0</v>
      </c>
      <c r="S11" s="37">
        <v>30.0</v>
      </c>
      <c r="T11" s="39">
        <v>0.0</v>
      </c>
      <c r="U11" s="39">
        <v>0.0</v>
      </c>
      <c r="V11" s="118">
        <v>-0.05</v>
      </c>
      <c r="W11" s="118">
        <v>0.05</v>
      </c>
      <c r="X11" s="118">
        <v>-0.1</v>
      </c>
      <c r="Y11" s="118">
        <v>0.0</v>
      </c>
      <c r="Z11" s="118">
        <v>0.3</v>
      </c>
      <c r="AA11" s="118">
        <v>-0.05</v>
      </c>
      <c r="AB11" s="118">
        <v>0.05</v>
      </c>
      <c r="AC11" s="118">
        <v>0.05</v>
      </c>
      <c r="AK11" s="64">
        <v>-10.0</v>
      </c>
      <c r="AL11" s="64">
        <v>-10.0</v>
      </c>
      <c r="AS11" s="37">
        <v>-10.0</v>
      </c>
      <c r="BJ11" s="37" t="b">
        <f t="shared" si="2"/>
        <v>1</v>
      </c>
      <c r="BK11" s="37">
        <v>11.0</v>
      </c>
      <c r="BL11" s="37" t="s">
        <v>3258</v>
      </c>
      <c r="BM11" s="37">
        <v>7.0</v>
      </c>
      <c r="BN11" s="37" t="s">
        <v>3259</v>
      </c>
      <c r="BO11" s="37" t="s">
        <v>3234</v>
      </c>
      <c r="BT11" s="119" t="s">
        <v>3234</v>
      </c>
      <c r="BU11" s="119"/>
      <c r="BV11" s="119"/>
      <c r="BW11" s="119"/>
    </row>
    <row r="12" ht="18.75" customHeight="1">
      <c r="A12" s="19" t="s">
        <v>63</v>
      </c>
      <c r="B12" s="117" t="s">
        <v>3260</v>
      </c>
      <c r="C12" s="118">
        <v>0.65</v>
      </c>
      <c r="D12" s="37">
        <v>4.0</v>
      </c>
      <c r="E12" s="37">
        <v>3.0</v>
      </c>
      <c r="F12" s="37" t="s">
        <v>3231</v>
      </c>
      <c r="G12" s="37">
        <v>20.0</v>
      </c>
      <c r="H12" s="37">
        <v>45.0</v>
      </c>
      <c r="I12" s="37">
        <v>20.0</v>
      </c>
      <c r="J12" s="37">
        <v>50.0</v>
      </c>
      <c r="K12" s="37">
        <v>20.0</v>
      </c>
      <c r="L12" s="39">
        <v>0.0</v>
      </c>
      <c r="M12" s="37">
        <v>0.0</v>
      </c>
      <c r="N12" s="37">
        <v>5.0</v>
      </c>
      <c r="O12" s="37">
        <v>0.0</v>
      </c>
      <c r="P12" s="37">
        <v>0.0</v>
      </c>
      <c r="Q12" s="37">
        <v>0.0</v>
      </c>
      <c r="R12" s="37">
        <v>0.0</v>
      </c>
      <c r="S12" s="37">
        <v>0.0</v>
      </c>
      <c r="T12" s="39">
        <v>0.0</v>
      </c>
      <c r="U12" s="39">
        <v>0.0</v>
      </c>
      <c r="V12" s="118">
        <v>0.1</v>
      </c>
      <c r="W12" s="118">
        <v>0.0</v>
      </c>
      <c r="X12" s="118">
        <v>0.0</v>
      </c>
      <c r="Y12" s="118">
        <v>0.0</v>
      </c>
      <c r="Z12" s="118">
        <v>0.0</v>
      </c>
      <c r="AA12" s="118">
        <v>0.3</v>
      </c>
      <c r="AB12" s="118">
        <v>0.0</v>
      </c>
      <c r="AC12" s="118">
        <v>0.1</v>
      </c>
      <c r="AK12" s="64">
        <v>-25.0</v>
      </c>
      <c r="AL12" s="64">
        <v>-15.0</v>
      </c>
      <c r="AS12" s="37">
        <v>10.0</v>
      </c>
      <c r="BO12" s="37" t="s">
        <v>3261</v>
      </c>
      <c r="BQ12" s="37" t="s">
        <v>3262</v>
      </c>
      <c r="BT12" s="119" t="s">
        <v>3261</v>
      </c>
      <c r="BU12" s="119"/>
      <c r="BV12" s="119"/>
      <c r="BW12" s="119"/>
    </row>
    <row r="13" ht="18.75" customHeight="1">
      <c r="A13" s="19" t="s">
        <v>3263</v>
      </c>
      <c r="B13" s="117" t="s">
        <v>3260</v>
      </c>
      <c r="C13" s="118">
        <v>0.65</v>
      </c>
      <c r="D13" s="37">
        <v>4.0</v>
      </c>
      <c r="E13" s="37">
        <v>3.0</v>
      </c>
      <c r="F13" s="37" t="s">
        <v>3231</v>
      </c>
      <c r="G13" s="37">
        <v>20.0</v>
      </c>
      <c r="H13" s="37">
        <v>45.0</v>
      </c>
      <c r="I13" s="37">
        <v>20.0</v>
      </c>
      <c r="J13" s="37">
        <v>50.0</v>
      </c>
      <c r="K13" s="37">
        <v>20.0</v>
      </c>
      <c r="L13" s="39">
        <v>0.0</v>
      </c>
      <c r="M13" s="37">
        <v>0.0</v>
      </c>
      <c r="N13" s="37">
        <v>5.0</v>
      </c>
      <c r="O13" s="37">
        <v>0.0</v>
      </c>
      <c r="P13" s="37">
        <v>0.0</v>
      </c>
      <c r="Q13" s="37">
        <v>0.0</v>
      </c>
      <c r="R13" s="37">
        <v>0.0</v>
      </c>
      <c r="S13" s="37">
        <v>0.0</v>
      </c>
      <c r="T13" s="39">
        <v>0.0</v>
      </c>
      <c r="U13" s="39">
        <v>0.0</v>
      </c>
      <c r="V13" s="118">
        <v>0.1</v>
      </c>
      <c r="W13" s="118">
        <v>0.0</v>
      </c>
      <c r="X13" s="118">
        <v>0.0</v>
      </c>
      <c r="Y13" s="118">
        <v>0.0</v>
      </c>
      <c r="Z13" s="118">
        <v>0.0</v>
      </c>
      <c r="AA13" s="118">
        <v>0.3</v>
      </c>
      <c r="AB13" s="118">
        <v>0.0</v>
      </c>
      <c r="AC13" s="118">
        <v>0.1</v>
      </c>
      <c r="AK13" s="64">
        <v>-25.0</v>
      </c>
      <c r="AL13" s="64">
        <v>-15.0</v>
      </c>
      <c r="AS13" s="37">
        <v>10.0</v>
      </c>
      <c r="BT13" s="119" t="s">
        <v>3261</v>
      </c>
      <c r="BU13" s="119"/>
      <c r="BV13" s="119"/>
      <c r="BW13" s="119"/>
    </row>
    <row r="14" ht="18.75" customHeight="1">
      <c r="A14" s="19" t="s">
        <v>64</v>
      </c>
      <c r="B14" s="117" t="s">
        <v>3264</v>
      </c>
      <c r="C14" s="118">
        <v>0.7</v>
      </c>
      <c r="D14" s="37">
        <v>5.0</v>
      </c>
      <c r="E14" s="37">
        <v>2.0</v>
      </c>
      <c r="F14" s="37" t="s">
        <v>131</v>
      </c>
      <c r="G14" s="37">
        <v>5.0</v>
      </c>
      <c r="H14" s="37">
        <v>5.0</v>
      </c>
      <c r="I14" s="37">
        <v>15.0</v>
      </c>
      <c r="J14" s="37">
        <v>0.0</v>
      </c>
      <c r="K14" s="37">
        <v>5.0</v>
      </c>
      <c r="L14" s="37">
        <v>0.0</v>
      </c>
      <c r="M14" s="37">
        <v>0.0</v>
      </c>
      <c r="N14" s="37">
        <v>160.0</v>
      </c>
      <c r="O14" s="37">
        <v>120.0</v>
      </c>
      <c r="P14" s="39">
        <v>0.0</v>
      </c>
      <c r="Q14" s="39">
        <v>0.0</v>
      </c>
      <c r="R14" s="39">
        <v>0.0</v>
      </c>
      <c r="S14" s="37">
        <v>20.0</v>
      </c>
      <c r="T14" s="39">
        <v>0.0</v>
      </c>
      <c r="U14" s="39">
        <v>0.0</v>
      </c>
      <c r="V14" s="118">
        <v>-0.1</v>
      </c>
      <c r="W14" s="118">
        <v>-0.05</v>
      </c>
      <c r="X14" s="118">
        <v>0.05</v>
      </c>
      <c r="Y14" s="118">
        <v>0.1</v>
      </c>
      <c r="Z14" s="118">
        <v>0.05</v>
      </c>
      <c r="AA14" s="118">
        <v>-0.2</v>
      </c>
      <c r="AB14" s="118">
        <v>0.3</v>
      </c>
      <c r="AC14" s="118">
        <v>0.05</v>
      </c>
      <c r="AK14" s="64"/>
      <c r="AL14" s="64"/>
      <c r="AS14" s="37">
        <v>15.0</v>
      </c>
      <c r="BO14" s="37" t="s">
        <v>3261</v>
      </c>
      <c r="BQ14" s="37" t="s">
        <v>3265</v>
      </c>
    </row>
    <row r="15" ht="18.75" customHeight="1">
      <c r="A15" s="19" t="s">
        <v>65</v>
      </c>
      <c r="B15" s="117" t="s">
        <v>3266</v>
      </c>
      <c r="C15" s="118">
        <v>0.9</v>
      </c>
      <c r="D15" s="37">
        <v>6.0</v>
      </c>
      <c r="E15" s="37">
        <v>1.0</v>
      </c>
      <c r="F15" s="37" t="s">
        <v>3231</v>
      </c>
      <c r="G15" s="37">
        <v>0.0</v>
      </c>
      <c r="H15" s="37">
        <v>0.0</v>
      </c>
      <c r="I15" s="37">
        <v>10.0</v>
      </c>
      <c r="J15" s="37">
        <v>0.0</v>
      </c>
      <c r="K15" s="37">
        <v>0.0</v>
      </c>
      <c r="L15" s="37">
        <v>0.0</v>
      </c>
      <c r="M15" s="37">
        <v>0.0</v>
      </c>
      <c r="N15" s="37">
        <v>80.0</v>
      </c>
      <c r="O15" s="37">
        <v>150.0</v>
      </c>
      <c r="P15" s="39">
        <v>0.0</v>
      </c>
      <c r="Q15" s="39">
        <v>0.0</v>
      </c>
      <c r="R15" s="39">
        <v>0.0</v>
      </c>
      <c r="S15" s="37">
        <v>40.0</v>
      </c>
      <c r="T15" s="39">
        <v>0.0</v>
      </c>
      <c r="U15" s="39">
        <v>0.0</v>
      </c>
      <c r="V15" s="118">
        <v>0.0</v>
      </c>
      <c r="W15" s="118">
        <v>0.0</v>
      </c>
      <c r="X15" s="118">
        <v>0.0</v>
      </c>
      <c r="Y15" s="118">
        <v>0.0</v>
      </c>
      <c r="Z15" s="118">
        <v>0.0</v>
      </c>
      <c r="AA15" s="118">
        <v>-0.3</v>
      </c>
      <c r="AB15" s="118">
        <v>0.25</v>
      </c>
      <c r="AC15" s="118">
        <v>0.0</v>
      </c>
      <c r="AK15" s="64"/>
      <c r="AL15" s="64"/>
      <c r="AS15" s="64">
        <v>45.0</v>
      </c>
      <c r="BO15" s="37" t="s">
        <v>3261</v>
      </c>
      <c r="BQ15" s="37" t="s">
        <v>3267</v>
      </c>
      <c r="BU15" s="39" t="s">
        <v>3268</v>
      </c>
      <c r="BV15" s="39">
        <v>1.0</v>
      </c>
      <c r="BW15" s="39"/>
    </row>
    <row r="16" ht="18.75" customHeight="1">
      <c r="A16" s="19" t="s">
        <v>66</v>
      </c>
      <c r="B16" s="117" t="s">
        <v>3269</v>
      </c>
      <c r="C16" s="118">
        <v>0.65</v>
      </c>
      <c r="D16" s="37">
        <v>3.0</v>
      </c>
      <c r="E16" s="37">
        <v>1.0</v>
      </c>
      <c r="F16" s="37" t="s">
        <v>3231</v>
      </c>
      <c r="G16" s="37">
        <v>12.0</v>
      </c>
      <c r="H16" s="37">
        <v>10.0</v>
      </c>
      <c r="I16" s="37">
        <v>35.0</v>
      </c>
      <c r="J16" s="37">
        <v>5.0</v>
      </c>
      <c r="K16" s="37">
        <v>8.0</v>
      </c>
      <c r="L16" s="37">
        <v>0.0</v>
      </c>
      <c r="M16" s="37">
        <v>0.0</v>
      </c>
      <c r="N16" s="37">
        <v>70.0</v>
      </c>
      <c r="O16" s="37">
        <v>50.0</v>
      </c>
      <c r="P16" s="39">
        <v>0.0</v>
      </c>
      <c r="Q16" s="39">
        <v>0.0</v>
      </c>
      <c r="R16" s="37">
        <v>0.0</v>
      </c>
      <c r="S16" s="37">
        <v>8.0</v>
      </c>
      <c r="T16" s="39">
        <v>0.0</v>
      </c>
      <c r="U16" s="39">
        <v>0.0</v>
      </c>
      <c r="V16" s="118">
        <v>-0.05</v>
      </c>
      <c r="W16" s="118">
        <v>0.05</v>
      </c>
      <c r="X16" s="118">
        <v>0.25</v>
      </c>
      <c r="Y16" s="118">
        <v>0.0</v>
      </c>
      <c r="Z16" s="118">
        <v>0.0</v>
      </c>
      <c r="AA16" s="118">
        <v>-0.05</v>
      </c>
      <c r="AB16" s="118">
        <v>0.1</v>
      </c>
      <c r="AC16" s="118">
        <v>0.1</v>
      </c>
      <c r="AK16" s="64">
        <v>-15.0</v>
      </c>
      <c r="AL16" s="64">
        <v>-10.0</v>
      </c>
      <c r="BJ16" s="37" t="b">
        <f t="shared" ref="BJ16:BJ17" si="3">TRUE()</f>
        <v>1</v>
      </c>
      <c r="BK16" s="37">
        <v>6.0</v>
      </c>
      <c r="BL16" s="37" t="s">
        <v>3270</v>
      </c>
      <c r="BM16" s="37">
        <v>6.0</v>
      </c>
      <c r="BN16" s="37" t="s">
        <v>3271</v>
      </c>
      <c r="BO16" s="37" t="s">
        <v>3234</v>
      </c>
      <c r="BQ16" s="37" t="s">
        <v>3271</v>
      </c>
      <c r="BT16" s="119" t="s">
        <v>3234</v>
      </c>
      <c r="BU16" s="119"/>
      <c r="BV16" s="119"/>
      <c r="BW16" s="119"/>
    </row>
    <row r="17" ht="18.75" customHeight="1">
      <c r="A17" s="19" t="s">
        <v>67</v>
      </c>
      <c r="B17" s="117" t="s">
        <v>3272</v>
      </c>
      <c r="C17" s="118">
        <v>0.95</v>
      </c>
      <c r="D17" s="37">
        <v>6.0</v>
      </c>
      <c r="E17" s="37">
        <v>2.0</v>
      </c>
      <c r="F17" s="37" t="s">
        <v>3231</v>
      </c>
      <c r="G17" s="37">
        <v>2.0</v>
      </c>
      <c r="H17" s="37">
        <v>3.0</v>
      </c>
      <c r="I17" s="37">
        <v>10.0</v>
      </c>
      <c r="J17" s="37">
        <v>0.0</v>
      </c>
      <c r="K17" s="37">
        <v>0.0</v>
      </c>
      <c r="L17" s="37">
        <v>0.0</v>
      </c>
      <c r="M17" s="37">
        <v>0.0</v>
      </c>
      <c r="N17" s="37">
        <v>180.0</v>
      </c>
      <c r="O17" s="37">
        <v>80.0</v>
      </c>
      <c r="P17" s="39">
        <v>0.0</v>
      </c>
      <c r="Q17" s="39">
        <v>0.0</v>
      </c>
      <c r="R17" s="39">
        <v>0.0</v>
      </c>
      <c r="S17" s="37">
        <v>80.0</v>
      </c>
      <c r="T17" s="39">
        <v>0.0</v>
      </c>
      <c r="U17" s="39">
        <v>0.0</v>
      </c>
      <c r="V17" s="118">
        <v>0.0</v>
      </c>
      <c r="W17" s="118">
        <v>0.0</v>
      </c>
      <c r="X17" s="118">
        <v>0.0</v>
      </c>
      <c r="Y17" s="118">
        <v>0.4</v>
      </c>
      <c r="Z17" s="118">
        <v>0.1</v>
      </c>
      <c r="AA17" s="118">
        <v>-0.3</v>
      </c>
      <c r="AB17" s="118">
        <v>0.3</v>
      </c>
      <c r="AC17" s="118">
        <v>0.15</v>
      </c>
      <c r="AK17" s="64"/>
      <c r="AL17" s="64"/>
      <c r="BB17" s="37">
        <v>50.0</v>
      </c>
      <c r="BJ17" s="37" t="b">
        <f t="shared" si="3"/>
        <v>1</v>
      </c>
      <c r="BK17" s="37">
        <v>7.0</v>
      </c>
      <c r="BL17" s="37" t="s">
        <v>3273</v>
      </c>
      <c r="BM17" s="37">
        <v>4.0</v>
      </c>
      <c r="BN17" s="37" t="s">
        <v>3274</v>
      </c>
      <c r="BO17" s="37" t="s">
        <v>3234</v>
      </c>
    </row>
    <row r="18" ht="18.75" customHeight="1">
      <c r="A18" s="19" t="s">
        <v>68</v>
      </c>
      <c r="B18" s="117" t="s">
        <v>3275</v>
      </c>
      <c r="C18" s="118">
        <v>0.9</v>
      </c>
      <c r="D18" s="37">
        <v>3.0</v>
      </c>
      <c r="E18" s="37">
        <v>2.0</v>
      </c>
      <c r="F18" s="37" t="s">
        <v>3276</v>
      </c>
      <c r="G18" s="37">
        <v>-50.0</v>
      </c>
      <c r="H18" s="37">
        <v>-50.0</v>
      </c>
      <c r="I18" s="37">
        <v>-50.0</v>
      </c>
      <c r="J18" s="37">
        <v>-50.0</v>
      </c>
      <c r="K18" s="37">
        <v>-75.0</v>
      </c>
      <c r="L18" s="39">
        <v>0.0</v>
      </c>
      <c r="M18" s="39">
        <v>0.0</v>
      </c>
      <c r="N18" s="37">
        <v>25.0</v>
      </c>
      <c r="O18" s="37">
        <v>25.0</v>
      </c>
      <c r="P18" s="39">
        <v>0.0</v>
      </c>
      <c r="Q18" s="39">
        <v>0.0</v>
      </c>
      <c r="R18" s="39">
        <v>0.0</v>
      </c>
      <c r="S18" s="37">
        <v>10.0</v>
      </c>
      <c r="T18" s="39">
        <v>0.0</v>
      </c>
      <c r="U18" s="39">
        <v>0.0</v>
      </c>
      <c r="V18" s="118">
        <v>0.0</v>
      </c>
      <c r="W18" s="118">
        <v>0.0</v>
      </c>
      <c r="X18" s="118">
        <v>0.0</v>
      </c>
      <c r="Y18" s="118">
        <v>0.0</v>
      </c>
      <c r="Z18" s="118">
        <v>0.0</v>
      </c>
      <c r="AA18" s="118">
        <v>0.0</v>
      </c>
      <c r="AB18" s="118">
        <v>0.0</v>
      </c>
      <c r="AC18" s="118">
        <v>0.0</v>
      </c>
      <c r="AK18" s="64">
        <v>-30.0</v>
      </c>
      <c r="AL18" s="64">
        <v>-30.0</v>
      </c>
      <c r="BR18" s="37">
        <v>0.1</v>
      </c>
      <c r="BS18" s="37" t="s">
        <v>2580</v>
      </c>
    </row>
    <row r="19" ht="18.75" customHeight="1">
      <c r="A19" s="19" t="s">
        <v>69</v>
      </c>
      <c r="B19" s="117" t="s">
        <v>3277</v>
      </c>
      <c r="C19" s="118">
        <v>0.9</v>
      </c>
      <c r="D19" s="37">
        <v>4.0</v>
      </c>
      <c r="E19" s="37">
        <v>0.0</v>
      </c>
      <c r="F19" s="37" t="s">
        <v>3231</v>
      </c>
      <c r="G19" s="37">
        <v>-50.0</v>
      </c>
      <c r="H19" s="37">
        <v>-50.0</v>
      </c>
      <c r="I19" s="37">
        <v>-50.0</v>
      </c>
      <c r="J19" s="37">
        <v>-50.0</v>
      </c>
      <c r="K19" s="37">
        <v>-75.0</v>
      </c>
      <c r="L19" s="39">
        <v>0.0</v>
      </c>
      <c r="M19" s="39">
        <v>0.0</v>
      </c>
      <c r="N19" s="37">
        <v>0.0</v>
      </c>
      <c r="O19" s="37">
        <v>0.0</v>
      </c>
      <c r="P19" s="37">
        <v>0.0</v>
      </c>
      <c r="Q19" s="37">
        <v>0.0</v>
      </c>
      <c r="R19" s="37">
        <v>0.0</v>
      </c>
      <c r="S19" s="37">
        <v>0.0</v>
      </c>
      <c r="T19" s="37">
        <v>0.0</v>
      </c>
      <c r="U19" s="37">
        <v>0.0</v>
      </c>
      <c r="V19" s="118">
        <v>0.0</v>
      </c>
      <c r="W19" s="118">
        <v>0.0</v>
      </c>
      <c r="X19" s="118">
        <v>0.0</v>
      </c>
      <c r="Y19" s="118">
        <v>0.0</v>
      </c>
      <c r="Z19" s="118">
        <v>0.0</v>
      </c>
      <c r="AA19" s="118">
        <v>0.0</v>
      </c>
      <c r="AB19" s="118">
        <v>0.0</v>
      </c>
      <c r="AC19" s="118">
        <v>0.0</v>
      </c>
      <c r="AK19" s="64"/>
      <c r="AL19" s="64">
        <v>-15.0</v>
      </c>
      <c r="AS19" s="64">
        <v>20.0</v>
      </c>
      <c r="BF19" s="37">
        <v>50.0</v>
      </c>
      <c r="BT19" s="119" t="s">
        <v>3261</v>
      </c>
      <c r="BU19" s="119"/>
      <c r="BV19" s="119"/>
      <c r="BW19" s="119"/>
    </row>
    <row r="20" ht="18.75" customHeight="1">
      <c r="A20" s="19"/>
      <c r="B20" s="117"/>
      <c r="C20" s="118"/>
      <c r="V20" s="118"/>
      <c r="W20" s="118"/>
      <c r="X20" s="118"/>
      <c r="Y20" s="118"/>
      <c r="Z20" s="118"/>
      <c r="AA20" s="118"/>
      <c r="AB20" s="118"/>
      <c r="AC20" s="118"/>
      <c r="AK20" s="64"/>
      <c r="AL20" s="64"/>
      <c r="AS20" s="64"/>
    </row>
    <row r="21" ht="18.75" customHeight="1">
      <c r="A21" s="19" t="s">
        <v>3278</v>
      </c>
      <c r="B21" s="117"/>
      <c r="C21" s="118"/>
      <c r="G21" s="37">
        <v>15.0</v>
      </c>
      <c r="H21" s="37">
        <v>15.0</v>
      </c>
      <c r="V21" s="118"/>
      <c r="W21" s="118"/>
      <c r="X21" s="118"/>
      <c r="Y21" s="118"/>
      <c r="Z21" s="118"/>
      <c r="AA21" s="118"/>
      <c r="AB21" s="118"/>
      <c r="AC21" s="118"/>
      <c r="AK21" s="64"/>
      <c r="AL21" s="64"/>
      <c r="AS21" s="64"/>
      <c r="BE21" s="37">
        <v>5.0</v>
      </c>
      <c r="BG21" s="37">
        <v>10.0</v>
      </c>
      <c r="BT21" s="119" t="s">
        <v>3261</v>
      </c>
      <c r="BU21" s="119" t="s">
        <v>3279</v>
      </c>
      <c r="BV21" s="119">
        <v>1.0</v>
      </c>
      <c r="BW21" s="119"/>
    </row>
    <row r="22" ht="18.75" customHeight="1">
      <c r="A22" s="19" t="s">
        <v>3280</v>
      </c>
      <c r="B22" s="117"/>
      <c r="C22" s="118">
        <v>0.3</v>
      </c>
      <c r="S22" s="37">
        <v>40.0</v>
      </c>
      <c r="V22" s="118"/>
      <c r="W22" s="118"/>
      <c r="X22" s="118"/>
      <c r="Y22" s="118"/>
      <c r="Z22" s="118"/>
      <c r="AA22" s="118"/>
      <c r="AB22" s="118"/>
      <c r="AC22" s="118"/>
      <c r="AK22" s="64"/>
      <c r="AL22" s="64"/>
      <c r="AS22" s="64"/>
      <c r="BU22" s="39" t="s">
        <v>3281</v>
      </c>
      <c r="BV22" s="39">
        <v>1.0</v>
      </c>
      <c r="BW22" s="39"/>
    </row>
    <row r="23" ht="18.75" customHeight="1">
      <c r="A23" s="19" t="s">
        <v>3282</v>
      </c>
      <c r="B23" s="117"/>
      <c r="C23" s="118">
        <v>0.15</v>
      </c>
      <c r="T23" s="39">
        <v>0.0</v>
      </c>
      <c r="V23" s="118"/>
      <c r="W23" s="118"/>
      <c r="X23" s="118"/>
      <c r="Y23" s="118"/>
      <c r="Z23" s="118"/>
      <c r="AA23" s="118"/>
      <c r="AB23" s="118"/>
      <c r="AC23" s="118"/>
      <c r="AK23" s="64"/>
      <c r="AL23" s="64"/>
      <c r="AS23" s="64"/>
      <c r="BU23" s="39" t="s">
        <v>3281</v>
      </c>
      <c r="BV23" s="39">
        <v>1.0</v>
      </c>
      <c r="BW23" s="39"/>
    </row>
    <row r="24" ht="18.75" customHeight="1">
      <c r="A24" s="19" t="s">
        <v>3283</v>
      </c>
      <c r="B24" s="117"/>
      <c r="C24" s="118">
        <v>0.15</v>
      </c>
      <c r="U24" s="39">
        <v>0.0</v>
      </c>
      <c r="V24" s="118"/>
      <c r="W24" s="118"/>
      <c r="X24" s="118"/>
      <c r="Y24" s="118"/>
      <c r="Z24" s="118"/>
      <c r="AA24" s="118"/>
      <c r="AB24" s="118"/>
      <c r="AC24" s="118"/>
      <c r="AK24" s="64"/>
      <c r="AL24" s="64"/>
      <c r="AS24" s="64"/>
      <c r="BU24" s="39" t="s">
        <v>3281</v>
      </c>
      <c r="BV24" s="39">
        <v>2.0</v>
      </c>
      <c r="BW24" s="39"/>
    </row>
    <row r="25" ht="18.75" customHeight="1">
      <c r="A25" s="19" t="s">
        <v>3284</v>
      </c>
      <c r="B25" s="117"/>
      <c r="C25" s="118">
        <v>0.1</v>
      </c>
      <c r="G25" s="37">
        <v>20.0</v>
      </c>
      <c r="J25" s="37">
        <v>10.0</v>
      </c>
      <c r="V25" s="118"/>
      <c r="W25" s="118"/>
      <c r="X25" s="118"/>
      <c r="Y25" s="118"/>
      <c r="Z25" s="118"/>
      <c r="AA25" s="118">
        <v>0.25</v>
      </c>
      <c r="AB25" s="118">
        <v>0.25</v>
      </c>
      <c r="AC25" s="118"/>
      <c r="AK25" s="64"/>
      <c r="AL25" s="64"/>
      <c r="AS25" s="64"/>
      <c r="BG25" s="37">
        <v>5.0</v>
      </c>
    </row>
    <row r="26" ht="18.75" customHeight="1">
      <c r="A26" s="19" t="s">
        <v>3285</v>
      </c>
      <c r="B26" s="117"/>
      <c r="C26" s="118"/>
      <c r="G26" s="37">
        <v>-15.0</v>
      </c>
      <c r="H26" s="37">
        <v>-15.0</v>
      </c>
      <c r="I26" s="37">
        <v>-15.0</v>
      </c>
      <c r="J26" s="37">
        <v>-15.0</v>
      </c>
      <c r="K26" s="37">
        <v>-15.0</v>
      </c>
      <c r="L26" s="39">
        <v>0.0</v>
      </c>
      <c r="M26" s="39">
        <v>0.0</v>
      </c>
      <c r="N26" s="37">
        <v>-15.0</v>
      </c>
      <c r="O26" s="37">
        <v>-15.0</v>
      </c>
      <c r="P26" s="39">
        <v>0.0</v>
      </c>
      <c r="Q26" s="39">
        <v>0.0</v>
      </c>
      <c r="R26" s="39">
        <v>0.0</v>
      </c>
      <c r="S26" s="37">
        <v>-15.0</v>
      </c>
      <c r="T26" s="39">
        <v>0.0</v>
      </c>
      <c r="V26" s="118"/>
      <c r="W26" s="118"/>
      <c r="X26" s="118"/>
      <c r="Y26" s="118"/>
      <c r="Z26" s="118"/>
      <c r="AA26" s="118"/>
      <c r="AB26" s="118"/>
      <c r="AC26" s="118"/>
      <c r="AK26" s="64"/>
      <c r="AL26" s="64"/>
      <c r="AS26" s="64"/>
      <c r="BF26" s="37">
        <v>20.0</v>
      </c>
    </row>
    <row r="27" ht="18.75" customHeight="1">
      <c r="A27" s="19"/>
      <c r="B27" s="117"/>
      <c r="C27" s="118"/>
      <c r="V27" s="118"/>
      <c r="W27" s="118"/>
      <c r="X27" s="118"/>
      <c r="Y27" s="118"/>
      <c r="Z27" s="118"/>
      <c r="AA27" s="118"/>
      <c r="AB27" s="118"/>
      <c r="AC27" s="118"/>
      <c r="AK27" s="64"/>
      <c r="AL27" s="64"/>
      <c r="AS27" s="64"/>
    </row>
    <row r="28" ht="18.75" customHeight="1">
      <c r="A28" s="24"/>
      <c r="B28" s="120"/>
    </row>
    <row r="29" ht="18.75" customHeight="1">
      <c r="A29" s="24" t="s">
        <v>3286</v>
      </c>
      <c r="B29" s="120" t="s">
        <v>3287</v>
      </c>
      <c r="C29" s="37">
        <v>0.0</v>
      </c>
      <c r="D29" s="37">
        <v>2.0</v>
      </c>
      <c r="G29" s="37">
        <v>-10.0</v>
      </c>
      <c r="H29" s="37">
        <v>-10.0</v>
      </c>
      <c r="I29" s="37">
        <v>-10.0</v>
      </c>
      <c r="J29" s="37">
        <v>-10.0</v>
      </c>
      <c r="K29" s="37">
        <v>-10.0</v>
      </c>
      <c r="L29" s="39">
        <v>0.0</v>
      </c>
      <c r="M29" s="39">
        <v>0.0</v>
      </c>
      <c r="N29" s="37">
        <v>-10.0</v>
      </c>
      <c r="O29" s="37">
        <v>-10.0</v>
      </c>
      <c r="P29" s="39">
        <v>0.0</v>
      </c>
      <c r="Q29" s="39">
        <v>0.0</v>
      </c>
      <c r="R29" s="39">
        <v>0.0</v>
      </c>
      <c r="S29" s="37">
        <v>-10.0</v>
      </c>
      <c r="T29" s="39">
        <v>0.0</v>
      </c>
      <c r="U29" s="39">
        <v>0.0</v>
      </c>
      <c r="V29" s="37">
        <v>0.0</v>
      </c>
      <c r="W29" s="37">
        <v>0.0</v>
      </c>
      <c r="X29" s="37">
        <v>0.0</v>
      </c>
      <c r="Y29" s="37">
        <v>0.0</v>
      </c>
      <c r="Z29" s="37">
        <v>0.0</v>
      </c>
      <c r="AA29" s="37">
        <v>0.0</v>
      </c>
      <c r="AB29" s="37">
        <v>0.0</v>
      </c>
      <c r="AC29" s="37">
        <v>0.0</v>
      </c>
      <c r="AS29" s="37">
        <v>-30.0</v>
      </c>
    </row>
    <row r="30" ht="18.75" customHeight="1">
      <c r="A30" s="19" t="s">
        <v>3288</v>
      </c>
      <c r="B30" s="117" t="s">
        <v>3289</v>
      </c>
      <c r="C30" s="37">
        <v>0.0</v>
      </c>
      <c r="D30" s="37">
        <v>3.0</v>
      </c>
      <c r="G30" s="37">
        <v>-10.0</v>
      </c>
      <c r="H30" s="37">
        <v>-10.0</v>
      </c>
      <c r="I30" s="37">
        <v>-10.0</v>
      </c>
      <c r="J30" s="37">
        <v>-10.0</v>
      </c>
      <c r="K30" s="37">
        <v>-10.0</v>
      </c>
      <c r="L30" s="39">
        <v>0.0</v>
      </c>
      <c r="M30" s="39">
        <v>0.0</v>
      </c>
      <c r="N30" s="37">
        <v>-10.0</v>
      </c>
      <c r="O30" s="37">
        <v>-10.0</v>
      </c>
      <c r="P30" s="39">
        <v>0.0</v>
      </c>
      <c r="Q30" s="39">
        <v>0.0</v>
      </c>
      <c r="R30" s="39">
        <v>0.0</v>
      </c>
      <c r="S30" s="37">
        <v>-10.0</v>
      </c>
      <c r="T30" s="39">
        <v>0.0</v>
      </c>
      <c r="U30" s="39">
        <v>0.0</v>
      </c>
      <c r="V30" s="37">
        <v>0.0</v>
      </c>
      <c r="W30" s="37">
        <v>0.0</v>
      </c>
      <c r="X30" s="37">
        <v>0.0</v>
      </c>
      <c r="Y30" s="37">
        <v>0.0</v>
      </c>
      <c r="Z30" s="37">
        <v>0.0</v>
      </c>
      <c r="AA30" s="37">
        <v>0.0</v>
      </c>
      <c r="AB30" s="37">
        <v>0.0</v>
      </c>
      <c r="AC30" s="37">
        <v>0.0</v>
      </c>
      <c r="AS30" s="37">
        <v>-30.0</v>
      </c>
    </row>
    <row r="31" ht="18.75" customHeight="1">
      <c r="A31" s="19" t="s">
        <v>3290</v>
      </c>
      <c r="B31" s="117" t="s">
        <v>3291</v>
      </c>
      <c r="C31" s="37">
        <v>0.0</v>
      </c>
      <c r="D31" s="37">
        <v>4.0</v>
      </c>
      <c r="G31" s="37">
        <v>-10.0</v>
      </c>
      <c r="H31" s="37">
        <v>-10.0</v>
      </c>
      <c r="I31" s="37">
        <v>-10.0</v>
      </c>
      <c r="J31" s="37">
        <v>-10.0</v>
      </c>
      <c r="K31" s="37">
        <v>-10.0</v>
      </c>
      <c r="L31" s="39">
        <v>0.0</v>
      </c>
      <c r="M31" s="39">
        <v>0.0</v>
      </c>
      <c r="N31" s="37">
        <v>-10.0</v>
      </c>
      <c r="O31" s="37">
        <v>-10.0</v>
      </c>
      <c r="P31" s="39">
        <v>0.0</v>
      </c>
      <c r="Q31" s="39">
        <v>0.0</v>
      </c>
      <c r="R31" s="39">
        <v>0.0</v>
      </c>
      <c r="S31" s="37">
        <v>-10.0</v>
      </c>
      <c r="T31" s="39">
        <v>0.0</v>
      </c>
      <c r="U31" s="39">
        <v>0.0</v>
      </c>
      <c r="V31" s="37">
        <v>0.0</v>
      </c>
      <c r="W31" s="37">
        <v>0.0</v>
      </c>
      <c r="X31" s="37">
        <v>0.0</v>
      </c>
      <c r="Y31" s="37">
        <v>0.0</v>
      </c>
      <c r="Z31" s="37">
        <v>0.0</v>
      </c>
      <c r="AA31" s="37">
        <v>0.0</v>
      </c>
      <c r="AB31" s="37">
        <v>0.0</v>
      </c>
      <c r="AC31" s="37">
        <v>0.0</v>
      </c>
      <c r="AS31" s="37">
        <v>-30.0</v>
      </c>
    </row>
    <row r="32" ht="18.75" customHeight="1">
      <c r="A32" s="28" t="s">
        <v>3292</v>
      </c>
      <c r="B32" s="121" t="s">
        <v>3293</v>
      </c>
    </row>
    <row r="33" ht="18.75" customHeight="1">
      <c r="A33" s="28" t="s">
        <v>3294</v>
      </c>
      <c r="B33" s="121" t="s">
        <v>3295</v>
      </c>
    </row>
    <row r="34" ht="18.75" customHeight="1">
      <c r="A34" s="28" t="s">
        <v>3296</v>
      </c>
      <c r="B34" s="121" t="s">
        <v>3297</v>
      </c>
    </row>
    <row r="35" ht="18.75" customHeight="1">
      <c r="A35" s="28" t="s">
        <v>3298</v>
      </c>
      <c r="B35" s="121" t="s">
        <v>3299</v>
      </c>
    </row>
    <row r="36" ht="18.75" customHeight="1">
      <c r="A36" s="28" t="s">
        <v>3300</v>
      </c>
      <c r="B36" s="121" t="s">
        <v>3301</v>
      </c>
      <c r="BJ36" s="39" t="b">
        <v>0</v>
      </c>
      <c r="BM36" s="39">
        <v>0.0</v>
      </c>
      <c r="BT36" s="39" t="s">
        <v>2630</v>
      </c>
      <c r="BV36" s="39">
        <v>0.0</v>
      </c>
      <c r="BW36" s="39" t="s">
        <v>3302</v>
      </c>
    </row>
    <row r="37" ht="18.75" customHeight="1">
      <c r="A37" s="28" t="s">
        <v>3303</v>
      </c>
      <c r="B37" s="121" t="s">
        <v>3304</v>
      </c>
      <c r="BJ37" s="39" t="b">
        <v>0</v>
      </c>
      <c r="BM37" s="39">
        <v>0.0</v>
      </c>
      <c r="BT37" s="39" t="s">
        <v>2630</v>
      </c>
      <c r="BV37" s="39">
        <v>0.0</v>
      </c>
      <c r="BW37" s="39" t="s">
        <v>3305</v>
      </c>
    </row>
    <row r="38" ht="18.75" customHeight="1">
      <c r="A38" s="28" t="s">
        <v>3306</v>
      </c>
      <c r="B38" s="121" t="s">
        <v>3307</v>
      </c>
      <c r="BJ38" s="39" t="b">
        <v>0</v>
      </c>
      <c r="BM38" s="39">
        <v>0.0</v>
      </c>
      <c r="BT38" s="39" t="s">
        <v>2630</v>
      </c>
      <c r="BV38" s="39">
        <v>0.0</v>
      </c>
      <c r="BW38" s="39" t="s">
        <v>3308</v>
      </c>
    </row>
    <row r="39" ht="18.75" customHeight="1">
      <c r="A39" s="28" t="s">
        <v>3309</v>
      </c>
      <c r="B39" s="121" t="s">
        <v>3310</v>
      </c>
      <c r="BJ39" s="39" t="b">
        <v>0</v>
      </c>
      <c r="BM39" s="39">
        <v>0.0</v>
      </c>
      <c r="BT39" s="39" t="s">
        <v>2630</v>
      </c>
      <c r="BV39" s="39">
        <v>0.0</v>
      </c>
      <c r="BW39" s="39" t="s">
        <v>3311</v>
      </c>
    </row>
    <row r="40" ht="18.75" customHeight="1">
      <c r="A40" s="28" t="s">
        <v>3312</v>
      </c>
      <c r="B40" s="121" t="s">
        <v>3313</v>
      </c>
      <c r="BJ40" s="39" t="b">
        <v>0</v>
      </c>
      <c r="BM40" s="39">
        <v>0.0</v>
      </c>
      <c r="BT40" s="39" t="s">
        <v>2630</v>
      </c>
      <c r="BV40" s="39">
        <v>0.0</v>
      </c>
      <c r="BW40" s="39" t="s">
        <v>3314</v>
      </c>
    </row>
    <row r="41" ht="18.75" customHeight="1">
      <c r="A41" s="28" t="s">
        <v>3315</v>
      </c>
      <c r="B41" s="121" t="s">
        <v>3316</v>
      </c>
      <c r="BJ41" s="39" t="b">
        <v>0</v>
      </c>
      <c r="BM41" s="39">
        <v>0.0</v>
      </c>
      <c r="BT41" s="39" t="s">
        <v>2630</v>
      </c>
      <c r="BV41" s="39">
        <v>0.0</v>
      </c>
      <c r="BW41" s="39" t="s">
        <v>3317</v>
      </c>
    </row>
    <row r="42" ht="18.75" customHeight="1">
      <c r="A42" s="24"/>
      <c r="B42" s="120"/>
    </row>
    <row r="43" ht="18.75" customHeight="1">
      <c r="A43" s="24"/>
      <c r="B43" s="120"/>
    </row>
    <row r="44" ht="18.75" customHeight="1">
      <c r="A44" s="24"/>
      <c r="B44" s="120"/>
    </row>
    <row r="45" ht="18.75" customHeight="1">
      <c r="A45" s="24"/>
      <c r="B45" s="120"/>
    </row>
    <row r="46" ht="18.75" customHeight="1">
      <c r="A46" s="24"/>
      <c r="B46" s="120"/>
    </row>
    <row r="47" ht="18.75" customHeight="1">
      <c r="A47" s="24"/>
      <c r="B47" s="120"/>
    </row>
    <row r="48" ht="18.75" customHeight="1">
      <c r="A48" s="24"/>
      <c r="B48" s="120"/>
    </row>
    <row r="49" ht="18.75" customHeight="1">
      <c r="A49" s="24"/>
      <c r="B49" s="120"/>
    </row>
    <row r="50" ht="18.75" customHeight="1">
      <c r="A50" s="24"/>
      <c r="B50" s="120"/>
    </row>
    <row r="51" ht="18.75" customHeight="1">
      <c r="A51" s="24"/>
      <c r="B51" s="120"/>
    </row>
    <row r="52" ht="18.75" customHeight="1">
      <c r="A52" s="24"/>
      <c r="B52" s="120"/>
    </row>
    <row r="53" ht="18.75" customHeight="1">
      <c r="A53" s="24"/>
      <c r="B53" s="120"/>
    </row>
    <row r="54" ht="18.75" customHeight="1">
      <c r="A54" s="24"/>
      <c r="B54" s="120"/>
    </row>
    <row r="55" ht="18.75" customHeight="1">
      <c r="A55" s="24"/>
      <c r="B55" s="120"/>
    </row>
    <row r="56" ht="18.75" customHeight="1">
      <c r="A56" s="24"/>
      <c r="B56" s="120"/>
    </row>
    <row r="57" ht="18.75" customHeight="1">
      <c r="A57" s="24"/>
      <c r="B57" s="120"/>
    </row>
    <row r="58" ht="18.75" customHeight="1">
      <c r="A58" s="24"/>
      <c r="B58" s="120"/>
    </row>
    <row r="59" ht="18.75" customHeight="1">
      <c r="A59" s="24"/>
      <c r="B59" s="120"/>
    </row>
    <row r="60" ht="18.75" customHeight="1">
      <c r="A60" s="24"/>
      <c r="B60" s="120"/>
    </row>
    <row r="61" ht="18.75" customHeight="1">
      <c r="A61" s="24"/>
      <c r="B61" s="120"/>
    </row>
    <row r="62" ht="18.75" customHeight="1">
      <c r="A62" s="24"/>
      <c r="B62" s="120"/>
    </row>
    <row r="63" ht="18.75" customHeight="1">
      <c r="A63" s="24"/>
      <c r="B63" s="120"/>
    </row>
    <row r="64" ht="18.75" customHeight="1">
      <c r="A64" s="24"/>
      <c r="B64" s="120"/>
    </row>
    <row r="65" ht="18.75" customHeight="1">
      <c r="A65" s="24"/>
      <c r="B65" s="120"/>
    </row>
    <row r="66" ht="18.75" customHeight="1">
      <c r="A66" s="24"/>
      <c r="B66" s="120"/>
    </row>
    <row r="67" ht="18.75" customHeight="1">
      <c r="A67" s="24"/>
      <c r="B67" s="120"/>
    </row>
    <row r="68" ht="18.75" customHeight="1">
      <c r="A68" s="24"/>
      <c r="B68" s="120"/>
    </row>
    <row r="69" ht="18.75" customHeight="1">
      <c r="A69" s="24"/>
      <c r="B69" s="120"/>
    </row>
    <row r="70" ht="18.75" customHeight="1">
      <c r="A70" s="24"/>
      <c r="B70" s="120"/>
    </row>
    <row r="71" ht="18.75" customHeight="1">
      <c r="A71" s="24"/>
      <c r="B71" s="120"/>
    </row>
    <row r="72" ht="18.75" customHeight="1">
      <c r="A72" s="24"/>
      <c r="B72" s="120"/>
    </row>
    <row r="73" ht="18.75" customHeight="1">
      <c r="A73" s="24"/>
      <c r="B73" s="120"/>
    </row>
    <row r="74" ht="18.75" customHeight="1">
      <c r="A74" s="24"/>
      <c r="B74" s="120"/>
    </row>
    <row r="75" ht="18.75" customHeight="1">
      <c r="A75" s="24"/>
      <c r="B75" s="120"/>
    </row>
    <row r="76" ht="18.75" customHeight="1">
      <c r="A76" s="24"/>
      <c r="B76" s="120"/>
    </row>
    <row r="77" ht="18.75" customHeight="1">
      <c r="A77" s="24"/>
      <c r="B77" s="120"/>
    </row>
    <row r="78" ht="18.75" customHeight="1">
      <c r="A78" s="24"/>
      <c r="B78" s="120"/>
    </row>
    <row r="79" ht="18.75" customHeight="1">
      <c r="A79" s="24"/>
      <c r="B79" s="120"/>
    </row>
    <row r="80" ht="18.75" customHeight="1">
      <c r="A80" s="24"/>
      <c r="B80" s="120"/>
    </row>
    <row r="81" ht="18.75" customHeight="1">
      <c r="A81" s="24"/>
      <c r="B81" s="120"/>
    </row>
    <row r="82" ht="18.75" customHeight="1">
      <c r="A82" s="24"/>
      <c r="B82" s="120"/>
    </row>
    <row r="83" ht="18.75" customHeight="1">
      <c r="A83" s="24"/>
      <c r="B83" s="120"/>
    </row>
    <row r="84" ht="18.75" customHeight="1">
      <c r="A84" s="24"/>
      <c r="B84" s="120"/>
    </row>
    <row r="85" ht="18.75" customHeight="1">
      <c r="A85" s="24"/>
      <c r="B85" s="120"/>
    </row>
    <row r="86" ht="18.75" customHeight="1">
      <c r="A86" s="24"/>
      <c r="B86" s="120"/>
    </row>
    <row r="87" ht="18.75" customHeight="1">
      <c r="A87" s="24"/>
      <c r="B87" s="120"/>
    </row>
    <row r="88" ht="18.75" customHeight="1">
      <c r="A88" s="24"/>
      <c r="B88" s="120"/>
    </row>
    <row r="89" ht="18.75" customHeight="1">
      <c r="A89" s="24"/>
      <c r="B89" s="120"/>
    </row>
    <row r="90" ht="18.75" customHeight="1">
      <c r="A90" s="24"/>
      <c r="B90" s="120"/>
    </row>
    <row r="91" ht="18.75" customHeight="1">
      <c r="A91" s="24"/>
      <c r="B91" s="120"/>
    </row>
    <row r="92" ht="18.75" customHeight="1">
      <c r="A92" s="24"/>
      <c r="B92" s="120"/>
    </row>
    <row r="93" ht="18.75" customHeight="1">
      <c r="A93" s="24"/>
      <c r="B93" s="120"/>
    </row>
    <row r="94" ht="18.75" customHeight="1">
      <c r="A94" s="24"/>
      <c r="B94" s="120"/>
    </row>
    <row r="95" ht="18.75" customHeight="1">
      <c r="A95" s="24"/>
      <c r="B95" s="120"/>
    </row>
    <row r="96" ht="18.75" customHeight="1">
      <c r="A96" s="24"/>
      <c r="B96" s="120"/>
    </row>
    <row r="97" ht="18.75" customHeight="1">
      <c r="A97" s="24"/>
      <c r="B97" s="120"/>
    </row>
    <row r="98" ht="18.75" customHeight="1">
      <c r="A98" s="24"/>
      <c r="B98" s="120"/>
    </row>
    <row r="99" ht="18.75" customHeight="1">
      <c r="A99" s="24"/>
      <c r="B99" s="120"/>
    </row>
    <row r="100" ht="18.75" customHeight="1">
      <c r="A100" s="24"/>
      <c r="B100" s="120"/>
    </row>
    <row r="101" ht="18.75" customHeight="1">
      <c r="A101" s="24"/>
      <c r="B101" s="120"/>
    </row>
    <row r="102" ht="18.75" customHeight="1">
      <c r="A102" s="24"/>
      <c r="B102" s="120"/>
    </row>
    <row r="103" ht="18.75" customHeight="1">
      <c r="A103" s="24"/>
      <c r="B103" s="120"/>
    </row>
    <row r="104" ht="18.75" customHeight="1">
      <c r="A104" s="24"/>
      <c r="B104" s="120"/>
    </row>
    <row r="105" ht="18.75" customHeight="1">
      <c r="A105" s="24"/>
      <c r="B105" s="120"/>
    </row>
    <row r="106" ht="18.75" customHeight="1">
      <c r="A106" s="24"/>
      <c r="B106" s="120"/>
    </row>
    <row r="107" ht="18.75" customHeight="1">
      <c r="A107" s="24"/>
      <c r="B107" s="120"/>
    </row>
    <row r="108" ht="18.75" customHeight="1">
      <c r="A108" s="24"/>
      <c r="B108" s="120"/>
    </row>
    <row r="109" ht="18.75" customHeight="1">
      <c r="A109" s="24"/>
      <c r="B109" s="120"/>
    </row>
    <row r="110" ht="18.75" customHeight="1">
      <c r="A110" s="24"/>
      <c r="B110" s="120"/>
    </row>
    <row r="111" ht="18.75" customHeight="1">
      <c r="A111" s="24"/>
      <c r="B111" s="120"/>
    </row>
    <row r="112" ht="18.75" customHeight="1">
      <c r="A112" s="24"/>
      <c r="B112" s="120"/>
    </row>
    <row r="113" ht="18.75" customHeight="1">
      <c r="A113" s="24"/>
      <c r="B113" s="120"/>
    </row>
    <row r="114" ht="18.75" customHeight="1">
      <c r="A114" s="24"/>
      <c r="B114" s="120"/>
    </row>
    <row r="115" ht="18.75" customHeight="1">
      <c r="A115" s="24"/>
      <c r="B115" s="120"/>
    </row>
    <row r="116" ht="18.75" customHeight="1">
      <c r="A116" s="24"/>
      <c r="B116" s="120"/>
    </row>
    <row r="117" ht="18.75" customHeight="1">
      <c r="A117" s="24"/>
      <c r="B117" s="120"/>
    </row>
    <row r="118" ht="18.75" customHeight="1">
      <c r="A118" s="24"/>
      <c r="B118" s="120"/>
    </row>
    <row r="119" ht="18.75" customHeight="1">
      <c r="A119" s="24"/>
      <c r="B119" s="120"/>
    </row>
    <row r="120" ht="18.75" customHeight="1">
      <c r="A120" s="24"/>
      <c r="B120" s="120"/>
    </row>
    <row r="121" ht="18.75" customHeight="1">
      <c r="A121" s="24"/>
      <c r="B121" s="120"/>
    </row>
    <row r="122" ht="18.75" customHeight="1">
      <c r="A122" s="24"/>
      <c r="B122" s="120"/>
    </row>
    <row r="123" ht="18.75" customHeight="1">
      <c r="A123" s="24"/>
      <c r="B123" s="120"/>
    </row>
    <row r="124" ht="18.75" customHeight="1">
      <c r="A124" s="24"/>
      <c r="B124" s="120"/>
    </row>
    <row r="125" ht="18.75" customHeight="1">
      <c r="A125" s="24"/>
      <c r="B125" s="120"/>
    </row>
    <row r="126" ht="18.75" customHeight="1">
      <c r="A126" s="24"/>
      <c r="B126" s="120"/>
    </row>
    <row r="127" ht="18.75" customHeight="1">
      <c r="A127" s="24"/>
      <c r="B127" s="120"/>
    </row>
    <row r="128" ht="18.75" customHeight="1">
      <c r="A128" s="24"/>
      <c r="B128" s="120"/>
    </row>
    <row r="129" ht="18.75" customHeight="1">
      <c r="A129" s="24"/>
      <c r="B129" s="120"/>
    </row>
    <row r="130" ht="18.75" customHeight="1">
      <c r="A130" s="24"/>
      <c r="B130" s="120"/>
    </row>
    <row r="131" ht="18.75" customHeight="1">
      <c r="A131" s="24"/>
      <c r="B131" s="120"/>
    </row>
    <row r="132" ht="18.75" customHeight="1">
      <c r="A132" s="24"/>
      <c r="B132" s="120"/>
    </row>
    <row r="133" ht="18.75" customHeight="1">
      <c r="A133" s="24"/>
      <c r="B133" s="120"/>
    </row>
    <row r="134" ht="18.75" customHeight="1">
      <c r="A134" s="24"/>
      <c r="B134" s="120"/>
    </row>
    <row r="135" ht="18.75" customHeight="1">
      <c r="A135" s="24"/>
      <c r="B135" s="120"/>
    </row>
    <row r="136" ht="18.75" customHeight="1">
      <c r="A136" s="24"/>
      <c r="B136" s="120"/>
    </row>
    <row r="137" ht="18.75" customHeight="1">
      <c r="A137" s="24"/>
      <c r="B137" s="120"/>
    </row>
    <row r="138" ht="18.75" customHeight="1">
      <c r="A138" s="24"/>
      <c r="B138" s="120"/>
    </row>
    <row r="139" ht="18.75" customHeight="1">
      <c r="A139" s="24"/>
      <c r="B139" s="120"/>
    </row>
    <row r="140" ht="18.75" customHeight="1">
      <c r="A140" s="24"/>
      <c r="B140" s="120"/>
    </row>
    <row r="141" ht="18.75" customHeight="1">
      <c r="A141" s="24"/>
      <c r="B141" s="120"/>
    </row>
    <row r="142" ht="18.75" customHeight="1">
      <c r="A142" s="24"/>
      <c r="B142" s="120"/>
    </row>
    <row r="143" ht="18.75" customHeight="1">
      <c r="A143" s="24"/>
      <c r="B143" s="120"/>
    </row>
    <row r="144" ht="18.75" customHeight="1">
      <c r="A144" s="24"/>
      <c r="B144" s="120"/>
    </row>
    <row r="145" ht="18.75" customHeight="1">
      <c r="A145" s="24"/>
      <c r="B145" s="120"/>
    </row>
    <row r="146" ht="18.75" customHeight="1">
      <c r="A146" s="24"/>
      <c r="B146" s="120"/>
    </row>
    <row r="147" ht="18.75" customHeight="1">
      <c r="A147" s="24"/>
      <c r="B147" s="120"/>
    </row>
    <row r="148" ht="18.75" customHeight="1">
      <c r="A148" s="24"/>
      <c r="B148" s="120"/>
    </row>
    <row r="149" ht="18.75" customHeight="1">
      <c r="A149" s="24"/>
      <c r="B149" s="120"/>
    </row>
    <row r="150" ht="18.75" customHeight="1">
      <c r="A150" s="24"/>
      <c r="B150" s="120"/>
    </row>
    <row r="151" ht="18.75" customHeight="1">
      <c r="A151" s="24"/>
      <c r="B151" s="120"/>
    </row>
    <row r="152" ht="18.75" customHeight="1">
      <c r="A152" s="24"/>
      <c r="B152" s="120"/>
    </row>
    <row r="153" ht="18.75" customHeight="1">
      <c r="A153" s="24"/>
      <c r="B153" s="120"/>
    </row>
    <row r="154" ht="18.75" customHeight="1">
      <c r="A154" s="24"/>
      <c r="B154" s="120"/>
    </row>
    <row r="155" ht="18.75" customHeight="1">
      <c r="A155" s="24"/>
      <c r="B155" s="120"/>
    </row>
    <row r="156" ht="18.75" customHeight="1">
      <c r="A156" s="24"/>
      <c r="B156" s="120"/>
    </row>
    <row r="157" ht="18.75" customHeight="1">
      <c r="A157" s="24"/>
      <c r="B157" s="120"/>
    </row>
    <row r="158" ht="18.75" customHeight="1">
      <c r="A158" s="24"/>
      <c r="B158" s="120"/>
    </row>
    <row r="159" ht="18.75" customHeight="1">
      <c r="A159" s="24"/>
      <c r="B159" s="120"/>
    </row>
    <row r="160" ht="18.75" customHeight="1">
      <c r="A160" s="24"/>
      <c r="B160" s="120"/>
    </row>
    <row r="161" ht="18.75" customHeight="1">
      <c r="A161" s="24"/>
      <c r="B161" s="120"/>
    </row>
    <row r="162" ht="18.75" customHeight="1">
      <c r="A162" s="24"/>
      <c r="B162" s="120"/>
    </row>
    <row r="163" ht="18.75" customHeight="1">
      <c r="A163" s="24"/>
      <c r="B163" s="120"/>
    </row>
    <row r="164" ht="18.75" customHeight="1">
      <c r="A164" s="24"/>
      <c r="B164" s="120"/>
    </row>
    <row r="165" ht="18.75" customHeight="1">
      <c r="A165" s="24"/>
      <c r="B165" s="120"/>
    </row>
    <row r="166" ht="18.75" customHeight="1">
      <c r="A166" s="24"/>
      <c r="B166" s="120"/>
    </row>
    <row r="167" ht="18.75" customHeight="1">
      <c r="A167" s="24"/>
      <c r="B167" s="120"/>
    </row>
    <row r="168" ht="18.75" customHeight="1">
      <c r="A168" s="24"/>
      <c r="B168" s="120"/>
    </row>
    <row r="169" ht="18.75" customHeight="1">
      <c r="A169" s="24"/>
      <c r="B169" s="120"/>
    </row>
    <row r="170" ht="18.75" customHeight="1">
      <c r="A170" s="24"/>
      <c r="B170" s="120"/>
    </row>
    <row r="171" ht="18.75" customHeight="1">
      <c r="A171" s="24"/>
      <c r="B171" s="120"/>
    </row>
    <row r="172" ht="18.75" customHeight="1">
      <c r="A172" s="24"/>
      <c r="B172" s="120"/>
    </row>
    <row r="173" ht="18.75" customHeight="1">
      <c r="A173" s="24"/>
      <c r="B173" s="120"/>
    </row>
    <row r="174" ht="18.75" customHeight="1">
      <c r="A174" s="24"/>
      <c r="B174" s="120"/>
    </row>
    <row r="175" ht="18.75" customHeight="1">
      <c r="A175" s="24"/>
      <c r="B175" s="120"/>
    </row>
    <row r="176" ht="18.75" customHeight="1">
      <c r="A176" s="24"/>
      <c r="B176" s="120"/>
    </row>
    <row r="177" ht="18.75" customHeight="1">
      <c r="A177" s="24"/>
      <c r="B177" s="120"/>
    </row>
    <row r="178" ht="18.75" customHeight="1">
      <c r="A178" s="24"/>
      <c r="B178" s="120"/>
    </row>
    <row r="179" ht="18.75" customHeight="1">
      <c r="A179" s="24"/>
      <c r="B179" s="120"/>
    </row>
    <row r="180" ht="18.75" customHeight="1">
      <c r="A180" s="24"/>
      <c r="B180" s="120"/>
    </row>
    <row r="181" ht="18.75" customHeight="1">
      <c r="A181" s="24"/>
      <c r="B181" s="120"/>
    </row>
    <row r="182" ht="18.75" customHeight="1">
      <c r="A182" s="24"/>
      <c r="B182" s="120"/>
    </row>
    <row r="183" ht="18.75" customHeight="1">
      <c r="A183" s="24"/>
      <c r="B183" s="120"/>
    </row>
    <row r="184" ht="18.75" customHeight="1">
      <c r="A184" s="24"/>
      <c r="B184" s="120"/>
    </row>
    <row r="185" ht="18.75" customHeight="1">
      <c r="A185" s="24"/>
      <c r="B185" s="120"/>
    </row>
    <row r="186" ht="18.75" customHeight="1">
      <c r="A186" s="24"/>
      <c r="B186" s="120"/>
    </row>
    <row r="187" ht="18.75" customHeight="1">
      <c r="A187" s="24"/>
      <c r="B187" s="120"/>
    </row>
    <row r="188" ht="18.75" customHeight="1">
      <c r="A188" s="24"/>
      <c r="B188" s="120"/>
    </row>
    <row r="189" ht="18.75" customHeight="1">
      <c r="A189" s="24"/>
      <c r="B189" s="120"/>
    </row>
    <row r="190" ht="18.75" customHeight="1">
      <c r="A190" s="24"/>
      <c r="B190" s="120"/>
    </row>
    <row r="191" ht="18.75" customHeight="1">
      <c r="A191" s="24"/>
      <c r="B191" s="120"/>
    </row>
    <row r="192" ht="18.75" customHeight="1">
      <c r="A192" s="24"/>
      <c r="B192" s="120"/>
    </row>
    <row r="193" ht="18.75" customHeight="1">
      <c r="A193" s="24"/>
      <c r="B193" s="120"/>
    </row>
    <row r="194" ht="18.75" customHeight="1">
      <c r="A194" s="24"/>
      <c r="B194" s="120"/>
    </row>
    <row r="195" ht="18.75" customHeight="1">
      <c r="A195" s="24"/>
      <c r="B195" s="120"/>
    </row>
    <row r="196" ht="18.75" customHeight="1">
      <c r="A196" s="24"/>
      <c r="B196" s="120"/>
    </row>
    <row r="197" ht="18.75" customHeight="1">
      <c r="A197" s="24"/>
      <c r="B197" s="120"/>
    </row>
    <row r="198" ht="18.75" customHeight="1">
      <c r="A198" s="24"/>
      <c r="B198" s="120"/>
    </row>
    <row r="199" ht="18.75" customHeight="1">
      <c r="A199" s="24"/>
      <c r="B199" s="120"/>
    </row>
    <row r="200" ht="18.75" customHeight="1">
      <c r="A200" s="24"/>
      <c r="B200" s="120"/>
    </row>
    <row r="201" ht="18.75" customHeight="1">
      <c r="A201" s="24"/>
      <c r="B201" s="120"/>
    </row>
    <row r="202" ht="18.75" customHeight="1">
      <c r="A202" s="24"/>
      <c r="B202" s="120"/>
    </row>
    <row r="203" ht="18.75" customHeight="1">
      <c r="A203" s="24"/>
      <c r="B203" s="120"/>
    </row>
    <row r="204" ht="18.75" customHeight="1">
      <c r="A204" s="24"/>
      <c r="B204" s="120"/>
    </row>
    <row r="205" ht="18.75" customHeight="1">
      <c r="A205" s="24"/>
      <c r="B205" s="120"/>
    </row>
    <row r="206" ht="18.75" customHeight="1">
      <c r="A206" s="24"/>
      <c r="B206" s="120"/>
    </row>
    <row r="207" ht="18.75" customHeight="1">
      <c r="A207" s="24"/>
      <c r="B207" s="120"/>
    </row>
    <row r="208" ht="18.75" customHeight="1">
      <c r="A208" s="24"/>
      <c r="B208" s="120"/>
    </row>
    <row r="209" ht="18.75" customHeight="1">
      <c r="A209" s="24"/>
      <c r="B209" s="120"/>
    </row>
    <row r="210" ht="18.75" customHeight="1">
      <c r="A210" s="24"/>
      <c r="B210" s="120"/>
    </row>
    <row r="211" ht="18.75" customHeight="1">
      <c r="A211" s="24"/>
      <c r="B211" s="120"/>
    </row>
    <row r="212" ht="18.75" customHeight="1">
      <c r="A212" s="24"/>
      <c r="B212" s="120"/>
    </row>
    <row r="213" ht="18.75" customHeight="1">
      <c r="A213" s="24"/>
      <c r="B213" s="120"/>
    </row>
    <row r="214" ht="18.75" customHeight="1">
      <c r="A214" s="24"/>
      <c r="B214" s="120"/>
    </row>
    <row r="215" ht="18.75" customHeight="1">
      <c r="A215" s="24"/>
      <c r="B215" s="120"/>
    </row>
    <row r="216" ht="18.75" customHeight="1">
      <c r="A216" s="24"/>
      <c r="B216" s="120"/>
    </row>
    <row r="217" ht="18.75" customHeight="1">
      <c r="A217" s="24"/>
      <c r="B217" s="120"/>
    </row>
    <row r="218" ht="18.75" customHeight="1">
      <c r="A218" s="24"/>
      <c r="B218" s="120"/>
    </row>
    <row r="219" ht="18.75" customHeight="1">
      <c r="A219" s="24"/>
      <c r="B219" s="120"/>
    </row>
    <row r="220" ht="18.75" customHeight="1">
      <c r="A220" s="24"/>
      <c r="B220" s="120"/>
    </row>
    <row r="221" ht="18.75" customHeight="1">
      <c r="A221" s="24"/>
      <c r="B221" s="120"/>
    </row>
    <row r="222" ht="18.75" customHeight="1">
      <c r="A222" s="24"/>
      <c r="B222" s="120"/>
    </row>
    <row r="223" ht="18.75" customHeight="1">
      <c r="A223" s="24"/>
      <c r="B223" s="120"/>
    </row>
    <row r="224" ht="18.75" customHeight="1">
      <c r="A224" s="24"/>
      <c r="B224" s="120"/>
    </row>
    <row r="225" ht="18.75" customHeight="1">
      <c r="A225" s="24"/>
      <c r="B225" s="120"/>
    </row>
    <row r="226" ht="18.75" customHeight="1">
      <c r="A226" s="24"/>
      <c r="B226" s="120"/>
    </row>
    <row r="227" ht="18.75" customHeight="1">
      <c r="A227" s="24"/>
      <c r="B227" s="120"/>
    </row>
    <row r="228" ht="18.75" customHeight="1">
      <c r="A228" s="24"/>
      <c r="B228" s="120"/>
    </row>
    <row r="229" ht="18.75" customHeight="1">
      <c r="A229" s="24"/>
      <c r="B229" s="120"/>
    </row>
    <row r="230" ht="18.75" customHeight="1">
      <c r="A230" s="24"/>
      <c r="B230" s="120"/>
    </row>
    <row r="231" ht="18.75" customHeight="1">
      <c r="A231" s="24"/>
      <c r="B231" s="120"/>
    </row>
    <row r="232" ht="18.75" customHeight="1">
      <c r="A232" s="24"/>
      <c r="B232" s="120"/>
    </row>
    <row r="233" ht="18.75" customHeight="1">
      <c r="A233" s="24"/>
      <c r="B233" s="120"/>
    </row>
    <row r="234" ht="18.75" customHeight="1">
      <c r="A234" s="24"/>
      <c r="B234" s="120"/>
    </row>
    <row r="235" ht="18.75" customHeight="1">
      <c r="A235" s="24"/>
      <c r="B235" s="120"/>
    </row>
    <row r="236" ht="18.75" customHeight="1">
      <c r="A236" s="24"/>
      <c r="B236" s="120"/>
    </row>
    <row r="237" ht="18.75" customHeight="1">
      <c r="A237" s="24"/>
      <c r="B237" s="120"/>
    </row>
    <row r="238" ht="18.75" customHeight="1">
      <c r="A238" s="24"/>
      <c r="B238" s="120"/>
    </row>
    <row r="239" ht="18.75" customHeight="1">
      <c r="A239" s="24"/>
      <c r="B239" s="120"/>
    </row>
    <row r="240" ht="18.75" customHeight="1">
      <c r="A240" s="24"/>
      <c r="B240" s="120"/>
    </row>
    <row r="241" ht="18.75" customHeight="1">
      <c r="A241" s="24"/>
      <c r="B241" s="120"/>
    </row>
    <row r="242" ht="18.75" customHeight="1">
      <c r="A242" s="24"/>
      <c r="B242" s="120"/>
    </row>
    <row r="243" ht="18.75" customHeight="1">
      <c r="A243" s="24"/>
      <c r="B243" s="120"/>
    </row>
    <row r="244" ht="18.75" customHeight="1">
      <c r="A244" s="24"/>
      <c r="B244" s="120"/>
    </row>
    <row r="245" ht="18.75" customHeight="1">
      <c r="A245" s="24"/>
      <c r="B245" s="120"/>
    </row>
    <row r="246" ht="18.75" customHeight="1">
      <c r="A246" s="24"/>
      <c r="B246" s="120"/>
    </row>
    <row r="247" ht="18.75" customHeight="1">
      <c r="A247" s="24"/>
      <c r="B247" s="120"/>
    </row>
    <row r="248" ht="18.75" customHeight="1">
      <c r="A248" s="24"/>
      <c r="B248" s="120"/>
    </row>
    <row r="249" ht="18.75" customHeight="1">
      <c r="A249" s="24"/>
      <c r="B249" s="120"/>
    </row>
    <row r="250" ht="18.75" customHeight="1">
      <c r="A250" s="24"/>
      <c r="B250" s="120"/>
    </row>
    <row r="251" ht="18.75" customHeight="1">
      <c r="A251" s="24"/>
      <c r="B251" s="120"/>
    </row>
    <row r="252" ht="18.75" customHeight="1">
      <c r="A252" s="24"/>
      <c r="B252" s="120"/>
    </row>
    <row r="253" ht="18.75" customHeight="1">
      <c r="A253" s="24"/>
      <c r="B253" s="120"/>
    </row>
    <row r="254" ht="18.75" customHeight="1">
      <c r="A254" s="24"/>
      <c r="B254" s="120"/>
    </row>
    <row r="255" ht="18.75" customHeight="1">
      <c r="A255" s="24"/>
      <c r="B255" s="120"/>
    </row>
    <row r="256" ht="18.75" customHeight="1">
      <c r="A256" s="24"/>
      <c r="B256" s="120"/>
    </row>
    <row r="257" ht="18.75" customHeight="1">
      <c r="A257" s="24"/>
      <c r="B257" s="120"/>
    </row>
    <row r="258" ht="18.75" customHeight="1">
      <c r="A258" s="24"/>
      <c r="B258" s="120"/>
    </row>
    <row r="259" ht="18.75" customHeight="1">
      <c r="A259" s="24"/>
      <c r="B259" s="120"/>
    </row>
    <row r="260" ht="18.75" customHeight="1">
      <c r="A260" s="24"/>
      <c r="B260" s="120"/>
    </row>
    <row r="261" ht="18.75" customHeight="1">
      <c r="A261" s="24"/>
      <c r="B261" s="120"/>
    </row>
    <row r="262" ht="18.75" customHeight="1">
      <c r="A262" s="24"/>
      <c r="B262" s="120"/>
    </row>
    <row r="263" ht="18.75" customHeight="1">
      <c r="A263" s="24"/>
      <c r="B263" s="120"/>
    </row>
    <row r="264" ht="18.75" customHeight="1">
      <c r="A264" s="24"/>
      <c r="B264" s="120"/>
    </row>
    <row r="265" ht="18.75" customHeight="1">
      <c r="A265" s="24"/>
      <c r="B265" s="120"/>
    </row>
    <row r="266" ht="18.75" customHeight="1">
      <c r="A266" s="24"/>
      <c r="B266" s="120"/>
    </row>
    <row r="267" ht="18.75" customHeight="1">
      <c r="A267" s="24"/>
      <c r="B267" s="120"/>
    </row>
    <row r="268" ht="18.75" customHeight="1">
      <c r="A268" s="24"/>
      <c r="B268" s="120"/>
    </row>
    <row r="269" ht="18.75" customHeight="1">
      <c r="A269" s="24"/>
      <c r="B269" s="120"/>
    </row>
    <row r="270" ht="18.75" customHeight="1">
      <c r="A270" s="24"/>
      <c r="B270" s="120"/>
    </row>
    <row r="271" ht="18.75" customHeight="1">
      <c r="A271" s="24"/>
      <c r="B271" s="120"/>
    </row>
    <row r="272" ht="18.75" customHeight="1">
      <c r="A272" s="24"/>
      <c r="B272" s="120"/>
    </row>
    <row r="273" ht="18.75" customHeight="1">
      <c r="A273" s="24"/>
      <c r="B273" s="120"/>
    </row>
    <row r="274" ht="18.75" customHeight="1">
      <c r="A274" s="24"/>
      <c r="B274" s="120"/>
    </row>
    <row r="275" ht="18.75" customHeight="1">
      <c r="A275" s="24"/>
      <c r="B275" s="120"/>
    </row>
    <row r="276" ht="18.75" customHeight="1">
      <c r="A276" s="24"/>
      <c r="B276" s="120"/>
    </row>
    <row r="277" ht="18.75" customHeight="1">
      <c r="A277" s="24"/>
      <c r="B277" s="120"/>
    </row>
    <row r="278" ht="18.75" customHeight="1">
      <c r="A278" s="24"/>
      <c r="B278" s="120"/>
    </row>
    <row r="279" ht="18.75" customHeight="1">
      <c r="A279" s="24"/>
      <c r="B279" s="120"/>
    </row>
    <row r="280" ht="18.75" customHeight="1">
      <c r="A280" s="24"/>
      <c r="B280" s="120"/>
    </row>
    <row r="281" ht="18.75" customHeight="1">
      <c r="A281" s="24"/>
      <c r="B281" s="120"/>
    </row>
    <row r="282" ht="18.75" customHeight="1">
      <c r="A282" s="24"/>
      <c r="B282" s="120"/>
    </row>
    <row r="283" ht="18.75" customHeight="1">
      <c r="A283" s="24"/>
      <c r="B283" s="120"/>
    </row>
    <row r="284" ht="18.75" customHeight="1">
      <c r="A284" s="24"/>
      <c r="B284" s="120"/>
    </row>
    <row r="285" ht="18.75" customHeight="1">
      <c r="A285" s="24"/>
      <c r="B285" s="120"/>
    </row>
    <row r="286" ht="18.75" customHeight="1">
      <c r="A286" s="24"/>
      <c r="B286" s="120"/>
    </row>
    <row r="287" ht="18.75" customHeight="1">
      <c r="A287" s="24"/>
      <c r="B287" s="120"/>
    </row>
    <row r="288" ht="18.75" customHeight="1">
      <c r="A288" s="24"/>
      <c r="B288" s="120"/>
    </row>
    <row r="289" ht="18.75" customHeight="1">
      <c r="A289" s="24"/>
      <c r="B289" s="120"/>
    </row>
    <row r="290" ht="18.75" customHeight="1">
      <c r="A290" s="24"/>
      <c r="B290" s="120"/>
    </row>
    <row r="291" ht="18.75" customHeight="1">
      <c r="A291" s="24"/>
      <c r="B291" s="120"/>
    </row>
    <row r="292" ht="18.75" customHeight="1">
      <c r="A292" s="24"/>
      <c r="B292" s="120"/>
    </row>
    <row r="293" ht="18.75" customHeight="1">
      <c r="A293" s="24"/>
      <c r="B293" s="120"/>
    </row>
    <row r="294" ht="18.75" customHeight="1">
      <c r="A294" s="24"/>
      <c r="B294" s="120"/>
    </row>
    <row r="295" ht="18.75" customHeight="1">
      <c r="A295" s="24"/>
      <c r="B295" s="120"/>
    </row>
    <row r="296" ht="18.75" customHeight="1">
      <c r="A296" s="24"/>
      <c r="B296" s="120"/>
    </row>
    <row r="297" ht="18.75" customHeight="1">
      <c r="A297" s="24"/>
      <c r="B297" s="120"/>
    </row>
    <row r="298" ht="18.75" customHeight="1">
      <c r="A298" s="24"/>
      <c r="B298" s="120"/>
    </row>
    <row r="299" ht="18.75" customHeight="1">
      <c r="A299" s="24"/>
      <c r="B299" s="120"/>
    </row>
    <row r="300" ht="18.75" customHeight="1">
      <c r="A300" s="24"/>
      <c r="B300" s="120"/>
    </row>
    <row r="301" ht="18.75" customHeight="1">
      <c r="A301" s="24"/>
      <c r="B301" s="120"/>
    </row>
    <row r="302" ht="18.75" customHeight="1">
      <c r="A302" s="24"/>
      <c r="B302" s="120"/>
    </row>
    <row r="303" ht="18.75" customHeight="1">
      <c r="A303" s="24"/>
      <c r="B303" s="120"/>
    </row>
    <row r="304" ht="18.75" customHeight="1">
      <c r="A304" s="24"/>
      <c r="B304" s="120"/>
    </row>
    <row r="305" ht="18.75" customHeight="1">
      <c r="A305" s="24"/>
      <c r="B305" s="120"/>
    </row>
    <row r="306" ht="18.75" customHeight="1">
      <c r="A306" s="24"/>
      <c r="B306" s="120"/>
    </row>
    <row r="307" ht="18.75" customHeight="1">
      <c r="A307" s="24"/>
      <c r="B307" s="120"/>
    </row>
    <row r="308" ht="18.75" customHeight="1">
      <c r="A308" s="24"/>
      <c r="B308" s="120"/>
    </row>
    <row r="309" ht="18.75" customHeight="1">
      <c r="A309" s="24"/>
      <c r="B309" s="120"/>
    </row>
    <row r="310" ht="18.75" customHeight="1">
      <c r="A310" s="24"/>
      <c r="B310" s="120"/>
    </row>
    <row r="311" ht="18.75" customHeight="1">
      <c r="A311" s="24"/>
      <c r="B311" s="120"/>
    </row>
    <row r="312" ht="18.75" customHeight="1">
      <c r="A312" s="24"/>
      <c r="B312" s="120"/>
    </row>
    <row r="313" ht="18.75" customHeight="1">
      <c r="A313" s="24"/>
      <c r="B313" s="120"/>
    </row>
    <row r="314" ht="18.75" customHeight="1">
      <c r="A314" s="24"/>
      <c r="B314" s="120"/>
    </row>
    <row r="315" ht="18.75" customHeight="1">
      <c r="A315" s="24"/>
      <c r="B315" s="120"/>
    </row>
    <row r="316" ht="18.75" customHeight="1">
      <c r="A316" s="24"/>
      <c r="B316" s="120"/>
    </row>
    <row r="317" ht="18.75" customHeight="1">
      <c r="A317" s="24"/>
      <c r="B317" s="120"/>
    </row>
    <row r="318" ht="18.75" customHeight="1">
      <c r="A318" s="24"/>
      <c r="B318" s="120"/>
    </row>
    <row r="319" ht="18.75" customHeight="1">
      <c r="A319" s="24"/>
      <c r="B319" s="120"/>
    </row>
    <row r="320" ht="18.75" customHeight="1">
      <c r="A320" s="24"/>
      <c r="B320" s="120"/>
    </row>
    <row r="321" ht="18.75" customHeight="1">
      <c r="A321" s="24"/>
      <c r="B321" s="120"/>
    </row>
    <row r="322" ht="18.75" customHeight="1">
      <c r="A322" s="24"/>
      <c r="B322" s="120"/>
    </row>
    <row r="323" ht="18.75" customHeight="1">
      <c r="A323" s="24"/>
      <c r="B323" s="120"/>
    </row>
    <row r="324" ht="18.75" customHeight="1">
      <c r="A324" s="24"/>
      <c r="B324" s="120"/>
    </row>
    <row r="325" ht="18.75" customHeight="1">
      <c r="A325" s="24"/>
      <c r="B325" s="120"/>
    </row>
    <row r="326" ht="18.75" customHeight="1">
      <c r="A326" s="24"/>
      <c r="B326" s="120"/>
    </row>
    <row r="327" ht="18.75" customHeight="1">
      <c r="A327" s="24"/>
      <c r="B327" s="120"/>
    </row>
    <row r="328" ht="18.75" customHeight="1">
      <c r="A328" s="24"/>
      <c r="B328" s="120"/>
    </row>
    <row r="329" ht="18.75" customHeight="1">
      <c r="A329" s="24"/>
      <c r="B329" s="120"/>
    </row>
    <row r="330" ht="18.75" customHeight="1">
      <c r="A330" s="24"/>
      <c r="B330" s="120"/>
    </row>
    <row r="331" ht="18.75" customHeight="1">
      <c r="A331" s="24"/>
      <c r="B331" s="120"/>
    </row>
    <row r="332" ht="18.75" customHeight="1">
      <c r="A332" s="24"/>
      <c r="B332" s="120"/>
    </row>
    <row r="333" ht="18.75" customHeight="1">
      <c r="A333" s="24"/>
      <c r="B333" s="120"/>
    </row>
    <row r="334" ht="18.75" customHeight="1">
      <c r="A334" s="24"/>
      <c r="B334" s="120"/>
    </row>
    <row r="335" ht="18.75" customHeight="1">
      <c r="A335" s="24"/>
      <c r="B335" s="120"/>
    </row>
    <row r="336" ht="18.75" customHeight="1">
      <c r="A336" s="24"/>
      <c r="B336" s="120"/>
    </row>
    <row r="337" ht="18.75" customHeight="1">
      <c r="A337" s="24"/>
      <c r="B337" s="120"/>
    </row>
    <row r="338" ht="18.75" customHeight="1">
      <c r="A338" s="24"/>
      <c r="B338" s="120"/>
    </row>
    <row r="339" ht="18.75" customHeight="1">
      <c r="A339" s="24"/>
      <c r="B339" s="120"/>
    </row>
    <row r="340" ht="18.75" customHeight="1">
      <c r="A340" s="24"/>
      <c r="B340" s="120"/>
    </row>
    <row r="341" ht="18.75" customHeight="1">
      <c r="A341" s="24"/>
      <c r="B341" s="120"/>
    </row>
    <row r="342" ht="18.75" customHeight="1">
      <c r="A342" s="24"/>
      <c r="B342" s="120"/>
    </row>
    <row r="343" ht="18.75" customHeight="1">
      <c r="A343" s="24"/>
      <c r="B343" s="120"/>
    </row>
    <row r="344" ht="18.75" customHeight="1">
      <c r="A344" s="24"/>
      <c r="B344" s="120"/>
    </row>
    <row r="345" ht="18.75" customHeight="1">
      <c r="A345" s="24"/>
      <c r="B345" s="120"/>
    </row>
    <row r="346" ht="18.75" customHeight="1">
      <c r="A346" s="24"/>
      <c r="B346" s="120"/>
    </row>
    <row r="347" ht="18.75" customHeight="1">
      <c r="A347" s="24"/>
      <c r="B347" s="120"/>
    </row>
    <row r="348" ht="18.75" customHeight="1">
      <c r="A348" s="24"/>
      <c r="B348" s="120"/>
    </row>
    <row r="349" ht="18.75" customHeight="1">
      <c r="A349" s="24"/>
      <c r="B349" s="120"/>
    </row>
    <row r="350" ht="18.75" customHeight="1">
      <c r="A350" s="24"/>
      <c r="B350" s="120"/>
    </row>
    <row r="351" ht="18.75" customHeight="1">
      <c r="A351" s="24"/>
      <c r="B351" s="120"/>
    </row>
    <row r="352" ht="18.75" customHeight="1">
      <c r="A352" s="24"/>
      <c r="B352" s="120"/>
    </row>
    <row r="353" ht="18.75" customHeight="1">
      <c r="A353" s="24"/>
      <c r="B353" s="120"/>
    </row>
    <row r="354" ht="18.75" customHeight="1">
      <c r="A354" s="24"/>
      <c r="B354" s="120"/>
    </row>
    <row r="355" ht="18.75" customHeight="1">
      <c r="A355" s="24"/>
      <c r="B355" s="120"/>
    </row>
    <row r="356" ht="18.75" customHeight="1">
      <c r="A356" s="24"/>
      <c r="B356" s="120"/>
    </row>
    <row r="357" ht="18.75" customHeight="1">
      <c r="A357" s="24"/>
      <c r="B357" s="120"/>
    </row>
    <row r="358" ht="18.75" customHeight="1">
      <c r="A358" s="24"/>
      <c r="B358" s="120"/>
    </row>
    <row r="359" ht="18.75" customHeight="1">
      <c r="A359" s="24"/>
      <c r="B359" s="120"/>
    </row>
    <row r="360" ht="18.75" customHeight="1">
      <c r="A360" s="24"/>
      <c r="B360" s="120"/>
    </row>
    <row r="361" ht="18.75" customHeight="1">
      <c r="A361" s="24"/>
      <c r="B361" s="120"/>
    </row>
    <row r="362" ht="18.75" customHeight="1">
      <c r="A362" s="24"/>
      <c r="B362" s="120"/>
    </row>
    <row r="363" ht="18.75" customHeight="1">
      <c r="A363" s="24"/>
      <c r="B363" s="120"/>
    </row>
    <row r="364" ht="18.75" customHeight="1">
      <c r="A364" s="24"/>
      <c r="B364" s="120"/>
    </row>
    <row r="365" ht="18.75" customHeight="1">
      <c r="A365" s="24"/>
      <c r="B365" s="120"/>
    </row>
    <row r="366" ht="18.75" customHeight="1">
      <c r="A366" s="24"/>
      <c r="B366" s="120"/>
    </row>
    <row r="367" ht="18.75" customHeight="1">
      <c r="A367" s="24"/>
      <c r="B367" s="120"/>
    </row>
    <row r="368" ht="18.75" customHeight="1">
      <c r="A368" s="24"/>
      <c r="B368" s="120"/>
    </row>
    <row r="369" ht="18.75" customHeight="1">
      <c r="A369" s="24"/>
      <c r="B369" s="120"/>
    </row>
    <row r="370" ht="18.75" customHeight="1">
      <c r="A370" s="24"/>
      <c r="B370" s="120"/>
    </row>
    <row r="371" ht="18.75" customHeight="1">
      <c r="A371" s="24"/>
      <c r="B371" s="120"/>
    </row>
    <row r="372" ht="18.75" customHeight="1">
      <c r="A372" s="24"/>
      <c r="B372" s="120"/>
    </row>
    <row r="373" ht="18.75" customHeight="1">
      <c r="A373" s="24"/>
      <c r="B373" s="120"/>
    </row>
    <row r="374" ht="18.75" customHeight="1">
      <c r="A374" s="24"/>
      <c r="B374" s="120"/>
    </row>
    <row r="375" ht="18.75" customHeight="1">
      <c r="A375" s="24"/>
      <c r="B375" s="120"/>
    </row>
    <row r="376" ht="18.75" customHeight="1">
      <c r="A376" s="24"/>
      <c r="B376" s="120"/>
    </row>
    <row r="377" ht="18.75" customHeight="1">
      <c r="A377" s="24"/>
      <c r="B377" s="120"/>
    </row>
    <row r="378" ht="18.75" customHeight="1">
      <c r="A378" s="24"/>
      <c r="B378" s="120"/>
    </row>
    <row r="379" ht="18.75" customHeight="1">
      <c r="A379" s="24"/>
      <c r="B379" s="120"/>
    </row>
    <row r="380" ht="18.75" customHeight="1">
      <c r="A380" s="24"/>
      <c r="B380" s="120"/>
    </row>
    <row r="381" ht="18.75" customHeight="1">
      <c r="A381" s="24"/>
      <c r="B381" s="120"/>
    </row>
    <row r="382" ht="18.75" customHeight="1">
      <c r="A382" s="24"/>
      <c r="B382" s="120"/>
    </row>
    <row r="383" ht="18.75" customHeight="1">
      <c r="A383" s="24"/>
      <c r="B383" s="120"/>
    </row>
    <row r="384" ht="18.75" customHeight="1">
      <c r="A384" s="24"/>
      <c r="B384" s="120"/>
    </row>
    <row r="385" ht="18.75" customHeight="1">
      <c r="A385" s="24"/>
      <c r="B385" s="120"/>
    </row>
    <row r="386" ht="18.75" customHeight="1">
      <c r="A386" s="24"/>
      <c r="B386" s="120"/>
    </row>
    <row r="387" ht="18.75" customHeight="1">
      <c r="A387" s="24"/>
      <c r="B387" s="120"/>
    </row>
    <row r="388" ht="18.75" customHeight="1">
      <c r="A388" s="24"/>
      <c r="B388" s="120"/>
    </row>
    <row r="389" ht="18.75" customHeight="1">
      <c r="A389" s="24"/>
      <c r="B389" s="120"/>
    </row>
    <row r="390" ht="18.75" customHeight="1">
      <c r="A390" s="24"/>
      <c r="B390" s="120"/>
    </row>
    <row r="391" ht="18.75" customHeight="1">
      <c r="A391" s="24"/>
      <c r="B391" s="120"/>
    </row>
    <row r="392" ht="18.75" customHeight="1">
      <c r="A392" s="24"/>
      <c r="B392" s="120"/>
    </row>
    <row r="393" ht="18.75" customHeight="1">
      <c r="A393" s="24"/>
      <c r="B393" s="120"/>
    </row>
    <row r="394" ht="18.75" customHeight="1">
      <c r="A394" s="24"/>
      <c r="B394" s="120"/>
    </row>
    <row r="395" ht="18.75" customHeight="1">
      <c r="A395" s="24"/>
      <c r="B395" s="120"/>
    </row>
    <row r="396" ht="18.75" customHeight="1">
      <c r="A396" s="24"/>
      <c r="B396" s="120"/>
    </row>
    <row r="397" ht="18.75" customHeight="1">
      <c r="A397" s="24"/>
      <c r="B397" s="120"/>
    </row>
    <row r="398" ht="18.75" customHeight="1">
      <c r="A398" s="24"/>
      <c r="B398" s="120"/>
    </row>
    <row r="399" ht="18.75" customHeight="1">
      <c r="A399" s="24"/>
      <c r="B399" s="120"/>
    </row>
    <row r="400" ht="18.75" customHeight="1">
      <c r="A400" s="24"/>
      <c r="B400" s="120"/>
    </row>
    <row r="401" ht="18.75" customHeight="1">
      <c r="A401" s="24"/>
      <c r="B401" s="120"/>
    </row>
    <row r="402" ht="18.75" customHeight="1">
      <c r="A402" s="24"/>
      <c r="B402" s="120"/>
    </row>
    <row r="403" ht="18.75" customHeight="1">
      <c r="A403" s="24"/>
      <c r="B403" s="120"/>
    </row>
    <row r="404" ht="18.75" customHeight="1">
      <c r="A404" s="24"/>
      <c r="B404" s="120"/>
    </row>
    <row r="405" ht="18.75" customHeight="1">
      <c r="A405" s="24"/>
      <c r="B405" s="120"/>
    </row>
    <row r="406" ht="18.75" customHeight="1">
      <c r="A406" s="24"/>
      <c r="B406" s="120"/>
    </row>
    <row r="407" ht="18.75" customHeight="1">
      <c r="A407" s="24"/>
      <c r="B407" s="120"/>
    </row>
    <row r="408" ht="18.75" customHeight="1">
      <c r="A408" s="24"/>
      <c r="B408" s="120"/>
    </row>
    <row r="409" ht="18.75" customHeight="1">
      <c r="A409" s="24"/>
      <c r="B409" s="120"/>
    </row>
    <row r="410" ht="18.75" customHeight="1">
      <c r="A410" s="24"/>
      <c r="B410" s="120"/>
    </row>
    <row r="411" ht="18.75" customHeight="1">
      <c r="A411" s="24"/>
      <c r="B411" s="120"/>
    </row>
    <row r="412" ht="18.75" customHeight="1">
      <c r="A412" s="24"/>
      <c r="B412" s="120"/>
    </row>
    <row r="413" ht="18.75" customHeight="1">
      <c r="A413" s="24"/>
      <c r="B413" s="120"/>
    </row>
    <row r="414" ht="18.75" customHeight="1">
      <c r="A414" s="24"/>
      <c r="B414" s="120"/>
    </row>
    <row r="415" ht="18.75" customHeight="1">
      <c r="A415" s="24"/>
      <c r="B415" s="120"/>
    </row>
    <row r="416" ht="18.75" customHeight="1">
      <c r="A416" s="24"/>
      <c r="B416" s="120"/>
    </row>
    <row r="417" ht="18.75" customHeight="1">
      <c r="A417" s="24"/>
      <c r="B417" s="120"/>
    </row>
    <row r="418" ht="18.75" customHeight="1">
      <c r="A418" s="24"/>
      <c r="B418" s="120"/>
    </row>
    <row r="419" ht="18.75" customHeight="1">
      <c r="A419" s="24"/>
      <c r="B419" s="120"/>
    </row>
    <row r="420" ht="18.75" customHeight="1">
      <c r="A420" s="24"/>
      <c r="B420" s="120"/>
    </row>
    <row r="421" ht="18.75" customHeight="1">
      <c r="A421" s="24"/>
      <c r="B421" s="120"/>
    </row>
    <row r="422" ht="18.75" customHeight="1">
      <c r="A422" s="24"/>
      <c r="B422" s="120"/>
    </row>
    <row r="423" ht="18.75" customHeight="1">
      <c r="A423" s="24"/>
      <c r="B423" s="120"/>
    </row>
    <row r="424" ht="18.75" customHeight="1">
      <c r="A424" s="24"/>
      <c r="B424" s="120"/>
    </row>
    <row r="425" ht="18.75" customHeight="1">
      <c r="A425" s="24"/>
      <c r="B425" s="120"/>
    </row>
    <row r="426" ht="18.75" customHeight="1">
      <c r="A426" s="24"/>
      <c r="B426" s="120"/>
    </row>
    <row r="427" ht="18.75" customHeight="1">
      <c r="A427" s="24"/>
      <c r="B427" s="120"/>
    </row>
    <row r="428" ht="18.75" customHeight="1">
      <c r="A428" s="24"/>
      <c r="B428" s="120"/>
    </row>
    <row r="429" ht="18.75" customHeight="1">
      <c r="A429" s="24"/>
      <c r="B429" s="120"/>
    </row>
    <row r="430" ht="18.75" customHeight="1">
      <c r="A430" s="24"/>
      <c r="B430" s="120"/>
    </row>
    <row r="431" ht="18.75" customHeight="1">
      <c r="A431" s="24"/>
      <c r="B431" s="120"/>
    </row>
    <row r="432" ht="18.75" customHeight="1">
      <c r="A432" s="24"/>
      <c r="B432" s="120"/>
    </row>
    <row r="433" ht="18.75" customHeight="1">
      <c r="A433" s="24"/>
      <c r="B433" s="120"/>
    </row>
    <row r="434" ht="18.75" customHeight="1">
      <c r="A434" s="24"/>
      <c r="B434" s="120"/>
    </row>
    <row r="435" ht="18.75" customHeight="1">
      <c r="A435" s="24"/>
      <c r="B435" s="120"/>
    </row>
    <row r="436" ht="18.75" customHeight="1">
      <c r="A436" s="24"/>
      <c r="B436" s="120"/>
    </row>
    <row r="437" ht="18.75" customHeight="1">
      <c r="A437" s="24"/>
      <c r="B437" s="120"/>
    </row>
    <row r="438" ht="18.75" customHeight="1">
      <c r="A438" s="24"/>
      <c r="B438" s="120"/>
    </row>
    <row r="439" ht="18.75" customHeight="1">
      <c r="A439" s="24"/>
      <c r="B439" s="120"/>
    </row>
    <row r="440" ht="18.75" customHeight="1">
      <c r="A440" s="24"/>
      <c r="B440" s="120"/>
    </row>
    <row r="441" ht="18.75" customHeight="1">
      <c r="A441" s="24"/>
      <c r="B441" s="120"/>
    </row>
    <row r="442" ht="18.75" customHeight="1">
      <c r="A442" s="24"/>
      <c r="B442" s="120"/>
    </row>
    <row r="443" ht="18.75" customHeight="1">
      <c r="A443" s="24"/>
      <c r="B443" s="120"/>
    </row>
    <row r="444" ht="18.75" customHeight="1">
      <c r="A444" s="24"/>
      <c r="B444" s="120"/>
    </row>
    <row r="445" ht="18.75" customHeight="1">
      <c r="A445" s="24"/>
      <c r="B445" s="120"/>
    </row>
    <row r="446" ht="18.75" customHeight="1">
      <c r="A446" s="24"/>
      <c r="B446" s="120"/>
    </row>
    <row r="447" ht="18.75" customHeight="1">
      <c r="A447" s="24"/>
      <c r="B447" s="120"/>
    </row>
    <row r="448" ht="18.75" customHeight="1">
      <c r="A448" s="24"/>
      <c r="B448" s="120"/>
    </row>
    <row r="449" ht="18.75" customHeight="1">
      <c r="A449" s="24"/>
      <c r="B449" s="120"/>
    </row>
    <row r="450" ht="18.75" customHeight="1">
      <c r="A450" s="24"/>
      <c r="B450" s="120"/>
    </row>
    <row r="451" ht="18.75" customHeight="1">
      <c r="A451" s="24"/>
      <c r="B451" s="120"/>
    </row>
    <row r="452" ht="18.75" customHeight="1">
      <c r="A452" s="24"/>
      <c r="B452" s="120"/>
    </row>
    <row r="453" ht="18.75" customHeight="1">
      <c r="A453" s="24"/>
      <c r="B453" s="120"/>
    </row>
    <row r="454" ht="18.75" customHeight="1">
      <c r="A454" s="24"/>
      <c r="B454" s="120"/>
    </row>
    <row r="455" ht="18.75" customHeight="1">
      <c r="A455" s="24"/>
      <c r="B455" s="120"/>
    </row>
    <row r="456" ht="18.75" customHeight="1">
      <c r="A456" s="24"/>
      <c r="B456" s="120"/>
    </row>
    <row r="457" ht="18.75" customHeight="1">
      <c r="A457" s="24"/>
      <c r="B457" s="120"/>
    </row>
    <row r="458" ht="18.75" customHeight="1">
      <c r="A458" s="24"/>
      <c r="B458" s="120"/>
    </row>
    <row r="459" ht="18.75" customHeight="1">
      <c r="A459" s="24"/>
      <c r="B459" s="120"/>
    </row>
    <row r="460" ht="18.75" customHeight="1">
      <c r="A460" s="24"/>
      <c r="B460" s="120"/>
    </row>
    <row r="461" ht="18.75" customHeight="1">
      <c r="A461" s="24"/>
      <c r="B461" s="120"/>
    </row>
    <row r="462" ht="18.75" customHeight="1">
      <c r="A462" s="24"/>
      <c r="B462" s="120"/>
    </row>
    <row r="463" ht="18.75" customHeight="1">
      <c r="A463" s="24"/>
      <c r="B463" s="120"/>
    </row>
    <row r="464" ht="18.75" customHeight="1">
      <c r="A464" s="24"/>
      <c r="B464" s="120"/>
    </row>
    <row r="465" ht="18.75" customHeight="1">
      <c r="A465" s="24"/>
      <c r="B465" s="120"/>
    </row>
    <row r="466" ht="18.75" customHeight="1">
      <c r="A466" s="24"/>
      <c r="B466" s="120"/>
    </row>
    <row r="467" ht="18.75" customHeight="1">
      <c r="A467" s="24"/>
      <c r="B467" s="120"/>
    </row>
    <row r="468" ht="18.75" customHeight="1">
      <c r="A468" s="24"/>
      <c r="B468" s="120"/>
    </row>
    <row r="469" ht="18.75" customHeight="1">
      <c r="A469" s="24"/>
      <c r="B469" s="120"/>
    </row>
    <row r="470" ht="18.75" customHeight="1">
      <c r="A470" s="24"/>
      <c r="B470" s="120"/>
    </row>
    <row r="471" ht="18.75" customHeight="1">
      <c r="A471" s="24"/>
      <c r="B471" s="120"/>
    </row>
    <row r="472" ht="18.75" customHeight="1">
      <c r="A472" s="24"/>
      <c r="B472" s="120"/>
    </row>
    <row r="473" ht="18.75" customHeight="1">
      <c r="A473" s="24"/>
      <c r="B473" s="120"/>
    </row>
    <row r="474" ht="18.75" customHeight="1">
      <c r="A474" s="24"/>
      <c r="B474" s="120"/>
    </row>
    <row r="475" ht="18.75" customHeight="1">
      <c r="A475" s="24"/>
      <c r="B475" s="120"/>
    </row>
    <row r="476" ht="18.75" customHeight="1">
      <c r="A476" s="24"/>
      <c r="B476" s="120"/>
    </row>
    <row r="477" ht="18.75" customHeight="1">
      <c r="A477" s="24"/>
      <c r="B477" s="120"/>
    </row>
    <row r="478" ht="18.75" customHeight="1">
      <c r="A478" s="24"/>
      <c r="B478" s="120"/>
    </row>
    <row r="479" ht="18.75" customHeight="1">
      <c r="A479" s="24"/>
      <c r="B479" s="120"/>
    </row>
    <row r="480" ht="18.75" customHeight="1">
      <c r="A480" s="24"/>
      <c r="B480" s="120"/>
    </row>
    <row r="481" ht="18.75" customHeight="1">
      <c r="A481" s="24"/>
      <c r="B481" s="120"/>
    </row>
    <row r="482" ht="18.75" customHeight="1">
      <c r="A482" s="24"/>
      <c r="B482" s="120"/>
    </row>
    <row r="483" ht="18.75" customHeight="1">
      <c r="A483" s="24"/>
      <c r="B483" s="120"/>
    </row>
    <row r="484" ht="18.75" customHeight="1">
      <c r="A484" s="24"/>
      <c r="B484" s="120"/>
    </row>
    <row r="485" ht="18.75" customHeight="1">
      <c r="A485" s="24"/>
      <c r="B485" s="120"/>
    </row>
    <row r="486" ht="18.75" customHeight="1">
      <c r="A486" s="24"/>
      <c r="B486" s="120"/>
    </row>
    <row r="487" ht="18.75" customHeight="1">
      <c r="A487" s="24"/>
      <c r="B487" s="120"/>
    </row>
    <row r="488" ht="18.75" customHeight="1">
      <c r="A488" s="24"/>
      <c r="B488" s="120"/>
    </row>
    <row r="489" ht="18.75" customHeight="1">
      <c r="A489" s="24"/>
      <c r="B489" s="120"/>
    </row>
    <row r="490" ht="18.75" customHeight="1">
      <c r="A490" s="24"/>
      <c r="B490" s="120"/>
    </row>
    <row r="491" ht="18.75" customHeight="1">
      <c r="A491" s="24"/>
      <c r="B491" s="120"/>
    </row>
    <row r="492" ht="18.75" customHeight="1">
      <c r="A492" s="24"/>
      <c r="B492" s="120"/>
    </row>
    <row r="493" ht="18.75" customHeight="1">
      <c r="A493" s="24"/>
      <c r="B493" s="120"/>
    </row>
    <row r="494" ht="18.75" customHeight="1">
      <c r="A494" s="24"/>
      <c r="B494" s="120"/>
    </row>
    <row r="495" ht="18.75" customHeight="1">
      <c r="A495" s="24"/>
      <c r="B495" s="120"/>
    </row>
    <row r="496" ht="18.75" customHeight="1">
      <c r="A496" s="24"/>
      <c r="B496" s="120"/>
    </row>
    <row r="497" ht="18.75" customHeight="1">
      <c r="A497" s="24"/>
      <c r="B497" s="120"/>
    </row>
    <row r="498" ht="18.75" customHeight="1">
      <c r="A498" s="24"/>
      <c r="B498" s="120"/>
    </row>
    <row r="499" ht="18.75" customHeight="1">
      <c r="A499" s="24"/>
      <c r="B499" s="120"/>
    </row>
    <row r="500" ht="18.75" customHeight="1">
      <c r="A500" s="24"/>
      <c r="B500" s="120"/>
    </row>
    <row r="501" ht="18.75" customHeight="1">
      <c r="A501" s="24"/>
      <c r="B501" s="120"/>
    </row>
    <row r="502" ht="18.75" customHeight="1">
      <c r="A502" s="24"/>
      <c r="B502" s="120"/>
    </row>
    <row r="503" ht="18.75" customHeight="1">
      <c r="A503" s="24"/>
      <c r="B503" s="120"/>
    </row>
    <row r="504" ht="18.75" customHeight="1">
      <c r="A504" s="24"/>
      <c r="B504" s="120"/>
    </row>
    <row r="505" ht="18.75" customHeight="1">
      <c r="A505" s="24"/>
      <c r="B505" s="120"/>
    </row>
    <row r="506" ht="18.75" customHeight="1">
      <c r="A506" s="24"/>
      <c r="B506" s="120"/>
    </row>
    <row r="507" ht="18.75" customHeight="1">
      <c r="A507" s="24"/>
      <c r="B507" s="120"/>
    </row>
    <row r="508" ht="18.75" customHeight="1">
      <c r="A508" s="24"/>
      <c r="B508" s="120"/>
    </row>
    <row r="509" ht="18.75" customHeight="1">
      <c r="A509" s="24"/>
      <c r="B509" s="120"/>
    </row>
    <row r="510" ht="18.75" customHeight="1">
      <c r="A510" s="24"/>
      <c r="B510" s="120"/>
    </row>
    <row r="511" ht="18.75" customHeight="1">
      <c r="A511" s="24"/>
      <c r="B511" s="120"/>
    </row>
    <row r="512" ht="18.75" customHeight="1">
      <c r="A512" s="24"/>
      <c r="B512" s="120"/>
    </row>
    <row r="513" ht="18.75" customHeight="1">
      <c r="A513" s="24"/>
      <c r="B513" s="120"/>
    </row>
    <row r="514" ht="18.75" customHeight="1">
      <c r="A514" s="24"/>
      <c r="B514" s="120"/>
    </row>
    <row r="515" ht="18.75" customHeight="1">
      <c r="A515" s="24"/>
      <c r="B515" s="120"/>
    </row>
    <row r="516" ht="18.75" customHeight="1">
      <c r="A516" s="24"/>
      <c r="B516" s="120"/>
    </row>
    <row r="517" ht="18.75" customHeight="1">
      <c r="A517" s="24"/>
      <c r="B517" s="120"/>
    </row>
    <row r="518" ht="18.75" customHeight="1">
      <c r="A518" s="24"/>
      <c r="B518" s="120"/>
    </row>
    <row r="519" ht="18.75" customHeight="1">
      <c r="A519" s="24"/>
      <c r="B519" s="120"/>
    </row>
    <row r="520" ht="18.75" customHeight="1">
      <c r="A520" s="24"/>
      <c r="B520" s="120"/>
    </row>
    <row r="521" ht="18.75" customHeight="1">
      <c r="A521" s="24"/>
      <c r="B521" s="120"/>
    </row>
    <row r="522" ht="18.75" customHeight="1">
      <c r="A522" s="24"/>
      <c r="B522" s="120"/>
    </row>
    <row r="523" ht="18.75" customHeight="1">
      <c r="A523" s="24"/>
      <c r="B523" s="120"/>
    </row>
    <row r="524" ht="18.75" customHeight="1">
      <c r="A524" s="24"/>
      <c r="B524" s="120"/>
    </row>
    <row r="525" ht="18.75" customHeight="1">
      <c r="A525" s="24"/>
      <c r="B525" s="120"/>
    </row>
    <row r="526" ht="18.75" customHeight="1">
      <c r="A526" s="24"/>
      <c r="B526" s="120"/>
    </row>
    <row r="527" ht="18.75" customHeight="1">
      <c r="A527" s="24"/>
      <c r="B527" s="120"/>
    </row>
    <row r="528" ht="18.75" customHeight="1">
      <c r="A528" s="24"/>
      <c r="B528" s="120"/>
    </row>
    <row r="529" ht="18.75" customHeight="1">
      <c r="A529" s="24"/>
      <c r="B529" s="120"/>
    </row>
    <row r="530" ht="18.75" customHeight="1">
      <c r="A530" s="24"/>
      <c r="B530" s="120"/>
    </row>
    <row r="531" ht="18.75" customHeight="1">
      <c r="A531" s="24"/>
      <c r="B531" s="120"/>
    </row>
    <row r="532" ht="18.75" customHeight="1">
      <c r="A532" s="24"/>
      <c r="B532" s="120"/>
    </row>
    <row r="533" ht="18.75" customHeight="1">
      <c r="A533" s="24"/>
      <c r="B533" s="120"/>
    </row>
    <row r="534" ht="18.75" customHeight="1">
      <c r="A534" s="24"/>
      <c r="B534" s="120"/>
    </row>
    <row r="535" ht="18.75" customHeight="1">
      <c r="A535" s="24"/>
      <c r="B535" s="120"/>
    </row>
    <row r="536" ht="18.75" customHeight="1">
      <c r="A536" s="24"/>
      <c r="B536" s="120"/>
    </row>
    <row r="537" ht="18.75" customHeight="1">
      <c r="A537" s="24"/>
      <c r="B537" s="120"/>
    </row>
    <row r="538" ht="18.75" customHeight="1">
      <c r="A538" s="24"/>
      <c r="B538" s="120"/>
    </row>
    <row r="539" ht="18.75" customHeight="1">
      <c r="A539" s="24"/>
      <c r="B539" s="120"/>
    </row>
    <row r="540" ht="18.75" customHeight="1">
      <c r="A540" s="24"/>
      <c r="B540" s="120"/>
    </row>
    <row r="541" ht="18.75" customHeight="1">
      <c r="A541" s="24"/>
      <c r="B541" s="120"/>
    </row>
    <row r="542" ht="18.75" customHeight="1">
      <c r="A542" s="24"/>
      <c r="B542" s="120"/>
    </row>
    <row r="543" ht="18.75" customHeight="1">
      <c r="A543" s="24"/>
      <c r="B543" s="120"/>
    </row>
    <row r="544" ht="18.75" customHeight="1">
      <c r="A544" s="24"/>
      <c r="B544" s="120"/>
    </row>
    <row r="545" ht="18.75" customHeight="1">
      <c r="A545" s="24"/>
      <c r="B545" s="120"/>
    </row>
    <row r="546" ht="18.75" customHeight="1">
      <c r="A546" s="24"/>
      <c r="B546" s="120"/>
    </row>
    <row r="547" ht="18.75" customHeight="1">
      <c r="A547" s="24"/>
      <c r="B547" s="120"/>
    </row>
    <row r="548" ht="18.75" customHeight="1">
      <c r="A548" s="24"/>
      <c r="B548" s="120"/>
    </row>
    <row r="549" ht="18.75" customHeight="1">
      <c r="A549" s="24"/>
      <c r="B549" s="120"/>
    </row>
    <row r="550" ht="18.75" customHeight="1">
      <c r="A550" s="24"/>
      <c r="B550" s="120"/>
    </row>
    <row r="551" ht="18.75" customHeight="1">
      <c r="A551" s="24"/>
      <c r="B551" s="120"/>
    </row>
    <row r="552" ht="18.75" customHeight="1">
      <c r="A552" s="24"/>
      <c r="B552" s="120"/>
    </row>
    <row r="553" ht="18.75" customHeight="1">
      <c r="A553" s="24"/>
      <c r="B553" s="120"/>
    </row>
    <row r="554" ht="18.75" customHeight="1">
      <c r="A554" s="24"/>
      <c r="B554" s="120"/>
    </row>
    <row r="555" ht="18.75" customHeight="1">
      <c r="A555" s="24"/>
      <c r="B555" s="120"/>
    </row>
    <row r="556" ht="18.75" customHeight="1">
      <c r="A556" s="24"/>
      <c r="B556" s="120"/>
    </row>
    <row r="557" ht="18.75" customHeight="1">
      <c r="A557" s="24"/>
      <c r="B557" s="120"/>
    </row>
    <row r="558" ht="18.75" customHeight="1">
      <c r="A558" s="24"/>
      <c r="B558" s="120"/>
    </row>
    <row r="559" ht="18.75" customHeight="1">
      <c r="A559" s="24"/>
      <c r="B559" s="120"/>
    </row>
    <row r="560" ht="18.75" customHeight="1">
      <c r="A560" s="24"/>
      <c r="B560" s="120"/>
    </row>
    <row r="561" ht="18.75" customHeight="1">
      <c r="A561" s="24"/>
      <c r="B561" s="120"/>
    </row>
    <row r="562" ht="18.75" customHeight="1">
      <c r="A562" s="24"/>
      <c r="B562" s="120"/>
    </row>
    <row r="563" ht="18.75" customHeight="1">
      <c r="A563" s="24"/>
      <c r="B563" s="120"/>
    </row>
    <row r="564" ht="18.75" customHeight="1">
      <c r="A564" s="24"/>
      <c r="B564" s="120"/>
    </row>
    <row r="565" ht="18.75" customHeight="1">
      <c r="A565" s="24"/>
      <c r="B565" s="120"/>
    </row>
    <row r="566" ht="18.75" customHeight="1">
      <c r="A566" s="24"/>
      <c r="B566" s="120"/>
    </row>
    <row r="567" ht="18.75" customHeight="1">
      <c r="A567" s="24"/>
      <c r="B567" s="120"/>
    </row>
    <row r="568" ht="18.75" customHeight="1">
      <c r="A568" s="24"/>
      <c r="B568" s="120"/>
    </row>
    <row r="569" ht="18.75" customHeight="1">
      <c r="A569" s="24"/>
      <c r="B569" s="120"/>
    </row>
    <row r="570" ht="18.75" customHeight="1">
      <c r="A570" s="24"/>
      <c r="B570" s="120"/>
    </row>
    <row r="571" ht="18.75" customHeight="1">
      <c r="A571" s="24"/>
      <c r="B571" s="120"/>
    </row>
    <row r="572" ht="18.75" customHeight="1">
      <c r="A572" s="24"/>
      <c r="B572" s="120"/>
    </row>
    <row r="573" ht="18.75" customHeight="1">
      <c r="A573" s="24"/>
      <c r="B573" s="120"/>
    </row>
    <row r="574" ht="18.75" customHeight="1">
      <c r="A574" s="24"/>
      <c r="B574" s="120"/>
    </row>
    <row r="575" ht="18.75" customHeight="1">
      <c r="A575" s="24"/>
      <c r="B575" s="120"/>
    </row>
    <row r="576" ht="18.75" customHeight="1">
      <c r="A576" s="24"/>
      <c r="B576" s="120"/>
    </row>
    <row r="577" ht="18.75" customHeight="1">
      <c r="A577" s="24"/>
      <c r="B577" s="120"/>
    </row>
    <row r="578" ht="18.75" customHeight="1">
      <c r="A578" s="24"/>
      <c r="B578" s="120"/>
    </row>
    <row r="579" ht="18.75" customHeight="1">
      <c r="A579" s="24"/>
      <c r="B579" s="120"/>
    </row>
    <row r="580" ht="18.75" customHeight="1">
      <c r="A580" s="24"/>
      <c r="B580" s="120"/>
    </row>
    <row r="581" ht="18.75" customHeight="1">
      <c r="A581" s="24"/>
      <c r="B581" s="120"/>
    </row>
    <row r="582" ht="18.75" customHeight="1">
      <c r="A582" s="24"/>
      <c r="B582" s="120"/>
    </row>
    <row r="583" ht="18.75" customHeight="1">
      <c r="A583" s="24"/>
      <c r="B583" s="120"/>
    </row>
    <row r="584" ht="18.75" customHeight="1">
      <c r="A584" s="24"/>
      <c r="B584" s="120"/>
    </row>
    <row r="585" ht="18.75" customHeight="1">
      <c r="A585" s="24"/>
      <c r="B585" s="120"/>
    </row>
    <row r="586" ht="18.75" customHeight="1">
      <c r="A586" s="24"/>
      <c r="B586" s="120"/>
    </row>
    <row r="587" ht="18.75" customHeight="1">
      <c r="A587" s="24"/>
      <c r="B587" s="120"/>
    </row>
    <row r="588" ht="18.75" customHeight="1">
      <c r="A588" s="24"/>
      <c r="B588" s="120"/>
    </row>
    <row r="589" ht="18.75" customHeight="1">
      <c r="A589" s="24"/>
      <c r="B589" s="120"/>
    </row>
    <row r="590" ht="18.75" customHeight="1">
      <c r="A590" s="24"/>
      <c r="B590" s="120"/>
    </row>
    <row r="591" ht="18.75" customHeight="1">
      <c r="A591" s="24"/>
      <c r="B591" s="120"/>
    </row>
    <row r="592" ht="18.75" customHeight="1">
      <c r="A592" s="24"/>
      <c r="B592" s="120"/>
    </row>
    <row r="593" ht="18.75" customHeight="1">
      <c r="A593" s="24"/>
      <c r="B593" s="120"/>
    </row>
    <row r="594" ht="18.75" customHeight="1">
      <c r="A594" s="24"/>
      <c r="B594" s="120"/>
    </row>
    <row r="595" ht="18.75" customHeight="1">
      <c r="A595" s="24"/>
      <c r="B595" s="120"/>
    </row>
    <row r="596" ht="18.75" customHeight="1">
      <c r="A596" s="24"/>
      <c r="B596" s="120"/>
    </row>
    <row r="597" ht="18.75" customHeight="1">
      <c r="A597" s="24"/>
      <c r="B597" s="120"/>
    </row>
    <row r="598" ht="18.75" customHeight="1">
      <c r="A598" s="24"/>
      <c r="B598" s="120"/>
    </row>
    <row r="599" ht="18.75" customHeight="1">
      <c r="A599" s="24"/>
      <c r="B599" s="120"/>
    </row>
    <row r="600" ht="18.75" customHeight="1">
      <c r="A600" s="24"/>
      <c r="B600" s="120"/>
    </row>
    <row r="601" ht="18.75" customHeight="1">
      <c r="A601" s="24"/>
      <c r="B601" s="120"/>
    </row>
    <row r="602" ht="18.75" customHeight="1">
      <c r="A602" s="24"/>
      <c r="B602" s="120"/>
    </row>
    <row r="603" ht="18.75" customHeight="1">
      <c r="A603" s="24"/>
      <c r="B603" s="120"/>
    </row>
    <row r="604" ht="18.75" customHeight="1">
      <c r="A604" s="24"/>
      <c r="B604" s="120"/>
    </row>
    <row r="605" ht="18.75" customHeight="1">
      <c r="A605" s="24"/>
      <c r="B605" s="120"/>
    </row>
    <row r="606" ht="18.75" customHeight="1">
      <c r="A606" s="24"/>
      <c r="B606" s="120"/>
    </row>
    <row r="607" ht="18.75" customHeight="1">
      <c r="A607" s="24"/>
      <c r="B607" s="120"/>
    </row>
    <row r="608" ht="18.75" customHeight="1">
      <c r="A608" s="24"/>
      <c r="B608" s="120"/>
    </row>
    <row r="609" ht="18.75" customHeight="1">
      <c r="A609" s="24"/>
      <c r="B609" s="120"/>
    </row>
    <row r="610" ht="18.75" customHeight="1">
      <c r="A610" s="24"/>
      <c r="B610" s="120"/>
    </row>
    <row r="611" ht="18.75" customHeight="1">
      <c r="A611" s="24"/>
      <c r="B611" s="120"/>
    </row>
    <row r="612" ht="18.75" customHeight="1">
      <c r="A612" s="24"/>
      <c r="B612" s="120"/>
    </row>
    <row r="613" ht="18.75" customHeight="1">
      <c r="A613" s="24"/>
      <c r="B613" s="120"/>
    </row>
    <row r="614" ht="18.75" customHeight="1">
      <c r="A614" s="24"/>
      <c r="B614" s="120"/>
    </row>
    <row r="615" ht="18.75" customHeight="1">
      <c r="A615" s="24"/>
      <c r="B615" s="120"/>
    </row>
    <row r="616" ht="18.75" customHeight="1">
      <c r="A616" s="24"/>
      <c r="B616" s="120"/>
    </row>
    <row r="617" ht="18.75" customHeight="1">
      <c r="A617" s="24"/>
      <c r="B617" s="120"/>
    </row>
    <row r="618" ht="18.75" customHeight="1">
      <c r="A618" s="24"/>
      <c r="B618" s="120"/>
    </row>
    <row r="619" ht="18.75" customHeight="1">
      <c r="A619" s="24"/>
      <c r="B619" s="120"/>
    </row>
    <row r="620" ht="18.75" customHeight="1">
      <c r="A620" s="24"/>
      <c r="B620" s="120"/>
    </row>
    <row r="621" ht="18.75" customHeight="1">
      <c r="A621" s="24"/>
      <c r="B621" s="120"/>
    </row>
    <row r="622" ht="18.75" customHeight="1">
      <c r="A622" s="24"/>
      <c r="B622" s="120"/>
    </row>
    <row r="623" ht="18.75" customHeight="1">
      <c r="A623" s="24"/>
      <c r="B623" s="120"/>
    </row>
    <row r="624" ht="18.75" customHeight="1">
      <c r="A624" s="24"/>
      <c r="B624" s="120"/>
    </row>
    <row r="625" ht="18.75" customHeight="1">
      <c r="A625" s="24"/>
      <c r="B625" s="120"/>
    </row>
    <row r="626" ht="18.75" customHeight="1">
      <c r="A626" s="24"/>
      <c r="B626" s="120"/>
    </row>
    <row r="627" ht="18.75" customHeight="1">
      <c r="A627" s="24"/>
      <c r="B627" s="120"/>
    </row>
    <row r="628" ht="18.75" customHeight="1">
      <c r="A628" s="24"/>
      <c r="B628" s="120"/>
    </row>
    <row r="629" ht="18.75" customHeight="1">
      <c r="A629" s="24"/>
      <c r="B629" s="120"/>
    </row>
    <row r="630" ht="18.75" customHeight="1">
      <c r="A630" s="24"/>
      <c r="B630" s="120"/>
    </row>
    <row r="631" ht="18.75" customHeight="1">
      <c r="A631" s="24"/>
      <c r="B631" s="120"/>
    </row>
    <row r="632" ht="18.75" customHeight="1">
      <c r="A632" s="24"/>
      <c r="B632" s="120"/>
    </row>
    <row r="633" ht="18.75" customHeight="1">
      <c r="A633" s="24"/>
      <c r="B633" s="120"/>
    </row>
    <row r="634" ht="18.75" customHeight="1">
      <c r="A634" s="24"/>
      <c r="B634" s="120"/>
    </row>
    <row r="635" ht="18.75" customHeight="1">
      <c r="A635" s="24"/>
      <c r="B635" s="120"/>
    </row>
    <row r="636" ht="18.75" customHeight="1">
      <c r="A636" s="24"/>
      <c r="B636" s="120"/>
    </row>
    <row r="637" ht="18.75" customHeight="1">
      <c r="A637" s="24"/>
      <c r="B637" s="120"/>
    </row>
    <row r="638" ht="18.75" customHeight="1">
      <c r="A638" s="24"/>
      <c r="B638" s="120"/>
    </row>
    <row r="639" ht="18.75" customHeight="1">
      <c r="A639" s="24"/>
      <c r="B639" s="120"/>
    </row>
    <row r="640" ht="18.75" customHeight="1">
      <c r="A640" s="24"/>
      <c r="B640" s="120"/>
    </row>
    <row r="641" ht="18.75" customHeight="1">
      <c r="A641" s="24"/>
      <c r="B641" s="120"/>
    </row>
    <row r="642" ht="18.75" customHeight="1">
      <c r="A642" s="24"/>
      <c r="B642" s="120"/>
    </row>
    <row r="643" ht="18.75" customHeight="1">
      <c r="A643" s="24"/>
      <c r="B643" s="120"/>
    </row>
    <row r="644" ht="18.75" customHeight="1">
      <c r="A644" s="24"/>
      <c r="B644" s="120"/>
    </row>
    <row r="645" ht="18.75" customHeight="1">
      <c r="A645" s="24"/>
      <c r="B645" s="120"/>
    </row>
    <row r="646" ht="18.75" customHeight="1">
      <c r="A646" s="24"/>
      <c r="B646" s="120"/>
    </row>
    <row r="647" ht="18.75" customHeight="1">
      <c r="A647" s="24"/>
      <c r="B647" s="120"/>
    </row>
    <row r="648" ht="18.75" customHeight="1">
      <c r="A648" s="24"/>
      <c r="B648" s="120"/>
    </row>
    <row r="649" ht="18.75" customHeight="1">
      <c r="A649" s="24"/>
      <c r="B649" s="120"/>
    </row>
    <row r="650" ht="18.75" customHeight="1">
      <c r="A650" s="24"/>
      <c r="B650" s="120"/>
    </row>
    <row r="651" ht="18.75" customHeight="1">
      <c r="A651" s="24"/>
      <c r="B651" s="120"/>
    </row>
    <row r="652" ht="18.75" customHeight="1">
      <c r="A652" s="24"/>
      <c r="B652" s="120"/>
    </row>
    <row r="653" ht="18.75" customHeight="1">
      <c r="A653" s="24"/>
      <c r="B653" s="120"/>
    </row>
    <row r="654" ht="18.75" customHeight="1">
      <c r="A654" s="24"/>
      <c r="B654" s="120"/>
    </row>
    <row r="655" ht="18.75" customHeight="1">
      <c r="A655" s="24"/>
      <c r="B655" s="120"/>
    </row>
    <row r="656" ht="18.75" customHeight="1">
      <c r="A656" s="24"/>
      <c r="B656" s="120"/>
    </row>
    <row r="657" ht="18.75" customHeight="1">
      <c r="A657" s="24"/>
      <c r="B657" s="120"/>
    </row>
    <row r="658" ht="18.75" customHeight="1">
      <c r="A658" s="24"/>
      <c r="B658" s="120"/>
    </row>
    <row r="659" ht="18.75" customHeight="1">
      <c r="A659" s="24"/>
      <c r="B659" s="120"/>
    </row>
    <row r="660" ht="18.75" customHeight="1">
      <c r="A660" s="24"/>
      <c r="B660" s="120"/>
    </row>
    <row r="661" ht="18.75" customHeight="1">
      <c r="A661" s="24"/>
      <c r="B661" s="120"/>
    </row>
    <row r="662" ht="18.75" customHeight="1">
      <c r="A662" s="24"/>
      <c r="B662" s="120"/>
    </row>
    <row r="663" ht="18.75" customHeight="1">
      <c r="A663" s="24"/>
      <c r="B663" s="120"/>
    </row>
    <row r="664" ht="18.75" customHeight="1">
      <c r="A664" s="24"/>
      <c r="B664" s="120"/>
    </row>
    <row r="665" ht="18.75" customHeight="1">
      <c r="A665" s="24"/>
      <c r="B665" s="120"/>
    </row>
    <row r="666" ht="18.75" customHeight="1">
      <c r="A666" s="24"/>
      <c r="B666" s="120"/>
    </row>
    <row r="667" ht="18.75" customHeight="1">
      <c r="A667" s="24"/>
      <c r="B667" s="120"/>
    </row>
    <row r="668" ht="18.75" customHeight="1">
      <c r="A668" s="24"/>
      <c r="B668" s="120"/>
    </row>
    <row r="669" ht="18.75" customHeight="1">
      <c r="A669" s="24"/>
      <c r="B669" s="120"/>
    </row>
    <row r="670" ht="18.75" customHeight="1">
      <c r="A670" s="24"/>
      <c r="B670" s="120"/>
    </row>
    <row r="671" ht="18.75" customHeight="1">
      <c r="A671" s="24"/>
      <c r="B671" s="120"/>
    </row>
    <row r="672" ht="18.75" customHeight="1">
      <c r="A672" s="24"/>
      <c r="B672" s="120"/>
    </row>
    <row r="673" ht="18.75" customHeight="1">
      <c r="A673" s="24"/>
      <c r="B673" s="120"/>
    </row>
    <row r="674" ht="18.75" customHeight="1">
      <c r="A674" s="24"/>
      <c r="B674" s="120"/>
    </row>
    <row r="675" ht="18.75" customHeight="1">
      <c r="A675" s="24"/>
      <c r="B675" s="120"/>
    </row>
    <row r="676" ht="18.75" customHeight="1">
      <c r="A676" s="24"/>
      <c r="B676" s="120"/>
    </row>
    <row r="677" ht="18.75" customHeight="1">
      <c r="A677" s="24"/>
      <c r="B677" s="120"/>
    </row>
    <row r="678" ht="18.75" customHeight="1">
      <c r="A678" s="24"/>
      <c r="B678" s="120"/>
    </row>
    <row r="679" ht="18.75" customHeight="1">
      <c r="A679" s="24"/>
      <c r="B679" s="120"/>
    </row>
    <row r="680" ht="18.75" customHeight="1">
      <c r="A680" s="24"/>
      <c r="B680" s="120"/>
    </row>
    <row r="681" ht="18.75" customHeight="1">
      <c r="A681" s="24"/>
      <c r="B681" s="120"/>
    </row>
    <row r="682" ht="18.75" customHeight="1">
      <c r="A682" s="24"/>
      <c r="B682" s="120"/>
    </row>
    <row r="683" ht="18.75" customHeight="1">
      <c r="A683" s="24"/>
      <c r="B683" s="120"/>
    </row>
    <row r="684" ht="18.75" customHeight="1">
      <c r="A684" s="24"/>
      <c r="B684" s="120"/>
    </row>
    <row r="685" ht="18.75" customHeight="1">
      <c r="A685" s="24"/>
      <c r="B685" s="120"/>
    </row>
    <row r="686" ht="18.75" customHeight="1">
      <c r="A686" s="24"/>
      <c r="B686" s="120"/>
    </row>
    <row r="687" ht="18.75" customHeight="1">
      <c r="A687" s="24"/>
      <c r="B687" s="120"/>
    </row>
    <row r="688" ht="18.75" customHeight="1">
      <c r="A688" s="24"/>
      <c r="B688" s="120"/>
    </row>
    <row r="689" ht="18.75" customHeight="1">
      <c r="A689" s="24"/>
      <c r="B689" s="120"/>
    </row>
    <row r="690" ht="18.75" customHeight="1">
      <c r="A690" s="24"/>
      <c r="B690" s="120"/>
    </row>
    <row r="691" ht="18.75" customHeight="1">
      <c r="A691" s="24"/>
      <c r="B691" s="120"/>
    </row>
    <row r="692" ht="18.75" customHeight="1">
      <c r="A692" s="24"/>
      <c r="B692" s="120"/>
    </row>
    <row r="693" ht="18.75" customHeight="1">
      <c r="A693" s="24"/>
      <c r="B693" s="120"/>
    </row>
    <row r="694" ht="18.75" customHeight="1">
      <c r="A694" s="24"/>
      <c r="B694" s="120"/>
    </row>
    <row r="695" ht="18.75" customHeight="1">
      <c r="A695" s="24"/>
      <c r="B695" s="120"/>
    </row>
    <row r="696" ht="18.75" customHeight="1">
      <c r="A696" s="24"/>
      <c r="B696" s="120"/>
    </row>
    <row r="697" ht="18.75" customHeight="1">
      <c r="A697" s="24"/>
      <c r="B697" s="120"/>
    </row>
    <row r="698" ht="18.75" customHeight="1">
      <c r="A698" s="24"/>
      <c r="B698" s="120"/>
    </row>
    <row r="699" ht="18.75" customHeight="1">
      <c r="A699" s="24"/>
      <c r="B699" s="120"/>
    </row>
    <row r="700" ht="18.75" customHeight="1">
      <c r="A700" s="24"/>
      <c r="B700" s="120"/>
    </row>
    <row r="701" ht="18.75" customHeight="1">
      <c r="A701" s="24"/>
      <c r="B701" s="120"/>
    </row>
    <row r="702" ht="18.75" customHeight="1">
      <c r="A702" s="24"/>
      <c r="B702" s="120"/>
    </row>
    <row r="703" ht="18.75" customHeight="1">
      <c r="A703" s="24"/>
      <c r="B703" s="120"/>
    </row>
    <row r="704" ht="18.75" customHeight="1">
      <c r="A704" s="24"/>
      <c r="B704" s="120"/>
    </row>
    <row r="705" ht="18.75" customHeight="1">
      <c r="A705" s="24"/>
      <c r="B705" s="120"/>
    </row>
    <row r="706" ht="18.75" customHeight="1">
      <c r="A706" s="24"/>
      <c r="B706" s="120"/>
    </row>
    <row r="707" ht="18.75" customHeight="1">
      <c r="A707" s="24"/>
      <c r="B707" s="120"/>
    </row>
    <row r="708" ht="18.75" customHeight="1">
      <c r="A708" s="24"/>
      <c r="B708" s="120"/>
    </row>
    <row r="709" ht="18.75" customHeight="1">
      <c r="A709" s="24"/>
      <c r="B709" s="120"/>
    </row>
    <row r="710" ht="18.75" customHeight="1">
      <c r="A710" s="24"/>
      <c r="B710" s="120"/>
    </row>
    <row r="711" ht="18.75" customHeight="1">
      <c r="A711" s="24"/>
      <c r="B711" s="120"/>
    </row>
    <row r="712" ht="18.75" customHeight="1">
      <c r="A712" s="24"/>
      <c r="B712" s="120"/>
    </row>
    <row r="713" ht="18.75" customHeight="1">
      <c r="A713" s="24"/>
      <c r="B713" s="120"/>
    </row>
    <row r="714" ht="18.75" customHeight="1">
      <c r="A714" s="24"/>
      <c r="B714" s="120"/>
    </row>
    <row r="715" ht="18.75" customHeight="1">
      <c r="A715" s="24"/>
      <c r="B715" s="120"/>
    </row>
    <row r="716" ht="18.75" customHeight="1">
      <c r="A716" s="24"/>
      <c r="B716" s="120"/>
    </row>
    <row r="717" ht="18.75" customHeight="1">
      <c r="A717" s="24"/>
      <c r="B717" s="120"/>
    </row>
    <row r="718" ht="18.75" customHeight="1">
      <c r="A718" s="24"/>
      <c r="B718" s="120"/>
    </row>
    <row r="719" ht="18.75" customHeight="1">
      <c r="A719" s="24"/>
      <c r="B719" s="120"/>
    </row>
    <row r="720" ht="18.75" customHeight="1">
      <c r="A720" s="24"/>
      <c r="B720" s="120"/>
    </row>
    <row r="721" ht="18.75" customHeight="1">
      <c r="A721" s="24"/>
      <c r="B721" s="120"/>
    </row>
    <row r="722" ht="18.75" customHeight="1">
      <c r="A722" s="24"/>
      <c r="B722" s="120"/>
    </row>
    <row r="723" ht="18.75" customHeight="1">
      <c r="A723" s="24"/>
      <c r="B723" s="120"/>
    </row>
    <row r="724" ht="18.75" customHeight="1">
      <c r="A724" s="24"/>
      <c r="B724" s="120"/>
    </row>
    <row r="725" ht="18.75" customHeight="1">
      <c r="A725" s="24"/>
      <c r="B725" s="120"/>
    </row>
    <row r="726" ht="18.75" customHeight="1">
      <c r="A726" s="24"/>
      <c r="B726" s="120"/>
    </row>
    <row r="727" ht="18.75" customHeight="1">
      <c r="A727" s="24"/>
      <c r="B727" s="120"/>
    </row>
    <row r="728" ht="18.75" customHeight="1">
      <c r="A728" s="24"/>
      <c r="B728" s="120"/>
    </row>
    <row r="729" ht="18.75" customHeight="1">
      <c r="A729" s="24"/>
      <c r="B729" s="120"/>
    </row>
    <row r="730" ht="18.75" customHeight="1">
      <c r="A730" s="24"/>
      <c r="B730" s="120"/>
    </row>
    <row r="731" ht="18.75" customHeight="1">
      <c r="A731" s="24"/>
      <c r="B731" s="120"/>
    </row>
    <row r="732" ht="18.75" customHeight="1">
      <c r="A732" s="24"/>
      <c r="B732" s="120"/>
    </row>
    <row r="733" ht="18.75" customHeight="1">
      <c r="A733" s="24"/>
      <c r="B733" s="120"/>
    </row>
    <row r="734" ht="18.75" customHeight="1">
      <c r="A734" s="24"/>
      <c r="B734" s="120"/>
    </row>
    <row r="735" ht="18.75" customHeight="1">
      <c r="A735" s="24"/>
      <c r="B735" s="120"/>
    </row>
    <row r="736" ht="18.75" customHeight="1">
      <c r="A736" s="24"/>
      <c r="B736" s="120"/>
    </row>
    <row r="737" ht="18.75" customHeight="1">
      <c r="A737" s="24"/>
      <c r="B737" s="120"/>
    </row>
    <row r="738" ht="18.75" customHeight="1">
      <c r="A738" s="24"/>
      <c r="B738" s="120"/>
    </row>
    <row r="739" ht="18.75" customHeight="1">
      <c r="A739" s="24"/>
      <c r="B739" s="120"/>
    </row>
    <row r="740" ht="18.75" customHeight="1">
      <c r="A740" s="24"/>
      <c r="B740" s="120"/>
    </row>
    <row r="741" ht="18.75" customHeight="1">
      <c r="A741" s="24"/>
      <c r="B741" s="120"/>
    </row>
    <row r="742" ht="18.75" customHeight="1">
      <c r="A742" s="24"/>
      <c r="B742" s="120"/>
    </row>
    <row r="743" ht="18.75" customHeight="1">
      <c r="A743" s="24"/>
      <c r="B743" s="120"/>
    </row>
    <row r="744" ht="18.75" customHeight="1">
      <c r="A744" s="24"/>
      <c r="B744" s="120"/>
    </row>
    <row r="745" ht="18.75" customHeight="1">
      <c r="A745" s="24"/>
      <c r="B745" s="120"/>
    </row>
    <row r="746" ht="18.75" customHeight="1">
      <c r="A746" s="24"/>
      <c r="B746" s="120"/>
    </row>
    <row r="747" ht="18.75" customHeight="1">
      <c r="A747" s="24"/>
      <c r="B747" s="120"/>
    </row>
    <row r="748" ht="18.75" customHeight="1">
      <c r="A748" s="24"/>
      <c r="B748" s="120"/>
    </row>
    <row r="749" ht="18.75" customHeight="1">
      <c r="A749" s="24"/>
      <c r="B749" s="120"/>
    </row>
    <row r="750" ht="18.75" customHeight="1">
      <c r="A750" s="24"/>
      <c r="B750" s="120"/>
    </row>
    <row r="751" ht="18.75" customHeight="1">
      <c r="A751" s="24"/>
      <c r="B751" s="120"/>
    </row>
    <row r="752" ht="18.75" customHeight="1">
      <c r="A752" s="24"/>
      <c r="B752" s="120"/>
    </row>
    <row r="753" ht="18.75" customHeight="1">
      <c r="A753" s="24"/>
      <c r="B753" s="120"/>
    </row>
    <row r="754" ht="18.75" customHeight="1">
      <c r="A754" s="24"/>
      <c r="B754" s="120"/>
    </row>
    <row r="755" ht="18.75" customHeight="1">
      <c r="A755" s="24"/>
      <c r="B755" s="120"/>
    </row>
    <row r="756" ht="18.75" customHeight="1">
      <c r="A756" s="24"/>
      <c r="B756" s="120"/>
    </row>
    <row r="757" ht="18.75" customHeight="1">
      <c r="A757" s="24"/>
      <c r="B757" s="120"/>
    </row>
    <row r="758" ht="18.75" customHeight="1">
      <c r="A758" s="24"/>
      <c r="B758" s="120"/>
    </row>
    <row r="759" ht="18.75" customHeight="1">
      <c r="A759" s="24"/>
      <c r="B759" s="120"/>
    </row>
    <row r="760" ht="18.75" customHeight="1">
      <c r="A760" s="24"/>
      <c r="B760" s="120"/>
    </row>
    <row r="761" ht="18.75" customHeight="1">
      <c r="A761" s="24"/>
      <c r="B761" s="120"/>
    </row>
    <row r="762" ht="18.75" customHeight="1">
      <c r="A762" s="24"/>
      <c r="B762" s="120"/>
    </row>
    <row r="763" ht="18.75" customHeight="1">
      <c r="A763" s="24"/>
      <c r="B763" s="120"/>
    </row>
    <row r="764" ht="18.75" customHeight="1">
      <c r="A764" s="24"/>
      <c r="B764" s="120"/>
    </row>
    <row r="765" ht="18.75" customHeight="1">
      <c r="A765" s="24"/>
      <c r="B765" s="120"/>
    </row>
    <row r="766" ht="18.75" customHeight="1">
      <c r="A766" s="24"/>
      <c r="B766" s="120"/>
    </row>
    <row r="767" ht="18.75" customHeight="1">
      <c r="A767" s="24"/>
      <c r="B767" s="120"/>
    </row>
    <row r="768" ht="18.75" customHeight="1">
      <c r="A768" s="24"/>
      <c r="B768" s="120"/>
    </row>
    <row r="769" ht="18.75" customHeight="1">
      <c r="A769" s="24"/>
      <c r="B769" s="120"/>
    </row>
    <row r="770" ht="18.75" customHeight="1">
      <c r="A770" s="24"/>
      <c r="B770" s="120"/>
    </row>
    <row r="771" ht="18.75" customHeight="1">
      <c r="A771" s="24"/>
      <c r="B771" s="120"/>
    </row>
    <row r="772" ht="18.75" customHeight="1">
      <c r="A772" s="24"/>
      <c r="B772" s="120"/>
    </row>
    <row r="773" ht="18.75" customHeight="1">
      <c r="A773" s="24"/>
      <c r="B773" s="120"/>
    </row>
    <row r="774" ht="18.75" customHeight="1">
      <c r="A774" s="24"/>
      <c r="B774" s="120"/>
    </row>
    <row r="775" ht="18.75" customHeight="1">
      <c r="A775" s="24"/>
      <c r="B775" s="120"/>
    </row>
    <row r="776" ht="18.75" customHeight="1">
      <c r="A776" s="24"/>
      <c r="B776" s="120"/>
    </row>
    <row r="777" ht="18.75" customHeight="1">
      <c r="A777" s="24"/>
      <c r="B777" s="120"/>
    </row>
    <row r="778" ht="18.75" customHeight="1">
      <c r="A778" s="24"/>
      <c r="B778" s="120"/>
    </row>
    <row r="779" ht="18.75" customHeight="1">
      <c r="A779" s="24"/>
      <c r="B779" s="120"/>
    </row>
    <row r="780" ht="18.75" customHeight="1">
      <c r="A780" s="24"/>
      <c r="B780" s="120"/>
    </row>
    <row r="781" ht="18.75" customHeight="1">
      <c r="A781" s="24"/>
      <c r="B781" s="120"/>
    </row>
    <row r="782" ht="18.75" customHeight="1">
      <c r="A782" s="24"/>
      <c r="B782" s="120"/>
    </row>
    <row r="783" ht="18.75" customHeight="1">
      <c r="A783" s="24"/>
      <c r="B783" s="120"/>
    </row>
    <row r="784" ht="18.75" customHeight="1">
      <c r="A784" s="24"/>
      <c r="B784" s="120"/>
    </row>
    <row r="785" ht="18.75" customHeight="1">
      <c r="A785" s="24"/>
      <c r="B785" s="120"/>
    </row>
    <row r="786" ht="18.75" customHeight="1">
      <c r="A786" s="24"/>
      <c r="B786" s="120"/>
    </row>
    <row r="787" ht="18.75" customHeight="1">
      <c r="A787" s="24"/>
      <c r="B787" s="120"/>
    </row>
    <row r="788" ht="18.75" customHeight="1">
      <c r="A788" s="24"/>
      <c r="B788" s="120"/>
    </row>
    <row r="789" ht="18.75" customHeight="1">
      <c r="A789" s="24"/>
      <c r="B789" s="120"/>
    </row>
    <row r="790" ht="18.75" customHeight="1">
      <c r="A790" s="24"/>
      <c r="B790" s="120"/>
    </row>
    <row r="791" ht="18.75" customHeight="1">
      <c r="A791" s="24"/>
      <c r="B791" s="120"/>
    </row>
    <row r="792" ht="18.75" customHeight="1">
      <c r="A792" s="24"/>
      <c r="B792" s="120"/>
    </row>
    <row r="793" ht="18.75" customHeight="1">
      <c r="A793" s="24"/>
      <c r="B793" s="120"/>
    </row>
    <row r="794" ht="18.75" customHeight="1">
      <c r="A794" s="24"/>
      <c r="B794" s="120"/>
    </row>
    <row r="795" ht="18.75" customHeight="1">
      <c r="A795" s="24"/>
      <c r="B795" s="120"/>
    </row>
    <row r="796" ht="18.75" customHeight="1">
      <c r="A796" s="24"/>
      <c r="B796" s="120"/>
    </row>
    <row r="797" ht="18.75" customHeight="1">
      <c r="A797" s="24"/>
      <c r="B797" s="120"/>
    </row>
    <row r="798" ht="18.75" customHeight="1">
      <c r="A798" s="24"/>
      <c r="B798" s="120"/>
    </row>
    <row r="799" ht="18.75" customHeight="1">
      <c r="A799" s="24"/>
      <c r="B799" s="120"/>
    </row>
    <row r="800" ht="18.75" customHeight="1">
      <c r="A800" s="24"/>
      <c r="B800" s="120"/>
    </row>
    <row r="801" ht="18.75" customHeight="1">
      <c r="A801" s="24"/>
      <c r="B801" s="120"/>
    </row>
    <row r="802" ht="18.75" customHeight="1">
      <c r="A802" s="24"/>
      <c r="B802" s="120"/>
    </row>
    <row r="803" ht="18.75" customHeight="1">
      <c r="A803" s="24"/>
      <c r="B803" s="120"/>
    </row>
    <row r="804" ht="18.75" customHeight="1">
      <c r="A804" s="24"/>
      <c r="B804" s="120"/>
    </row>
    <row r="805" ht="18.75" customHeight="1">
      <c r="A805" s="24"/>
      <c r="B805" s="120"/>
    </row>
    <row r="806" ht="18.75" customHeight="1">
      <c r="A806" s="24"/>
      <c r="B806" s="120"/>
    </row>
    <row r="807" ht="18.75" customHeight="1">
      <c r="A807" s="24"/>
      <c r="B807" s="120"/>
    </row>
    <row r="808" ht="18.75" customHeight="1">
      <c r="A808" s="24"/>
      <c r="B808" s="120"/>
    </row>
    <row r="809" ht="18.75" customHeight="1">
      <c r="A809" s="24"/>
      <c r="B809" s="120"/>
    </row>
    <row r="810" ht="18.75" customHeight="1">
      <c r="A810" s="24"/>
      <c r="B810" s="120"/>
    </row>
    <row r="811" ht="18.75" customHeight="1">
      <c r="A811" s="24"/>
      <c r="B811" s="120"/>
    </row>
    <row r="812" ht="18.75" customHeight="1">
      <c r="A812" s="24"/>
      <c r="B812" s="120"/>
    </row>
    <row r="813" ht="18.75" customHeight="1">
      <c r="A813" s="24"/>
      <c r="B813" s="120"/>
    </row>
    <row r="814" ht="18.75" customHeight="1">
      <c r="A814" s="24"/>
      <c r="B814" s="120"/>
    </row>
    <row r="815" ht="18.75" customHeight="1">
      <c r="A815" s="24"/>
      <c r="B815" s="120"/>
    </row>
    <row r="816" ht="18.75" customHeight="1">
      <c r="A816" s="24"/>
      <c r="B816" s="120"/>
    </row>
    <row r="817" ht="18.75" customHeight="1">
      <c r="A817" s="24"/>
      <c r="B817" s="120"/>
    </row>
    <row r="818" ht="18.75" customHeight="1">
      <c r="A818" s="24"/>
      <c r="B818" s="120"/>
    </row>
    <row r="819" ht="18.75" customHeight="1">
      <c r="A819" s="24"/>
      <c r="B819" s="120"/>
    </row>
    <row r="820" ht="18.75" customHeight="1">
      <c r="A820" s="24"/>
      <c r="B820" s="120"/>
    </row>
    <row r="821" ht="18.75" customHeight="1">
      <c r="A821" s="24"/>
      <c r="B821" s="120"/>
    </row>
    <row r="822" ht="18.75" customHeight="1">
      <c r="A822" s="24"/>
      <c r="B822" s="120"/>
    </row>
    <row r="823" ht="18.75" customHeight="1">
      <c r="A823" s="24"/>
      <c r="B823" s="120"/>
    </row>
    <row r="824" ht="18.75" customHeight="1">
      <c r="A824" s="24"/>
      <c r="B824" s="120"/>
    </row>
    <row r="825" ht="18.75" customHeight="1">
      <c r="A825" s="24"/>
      <c r="B825" s="120"/>
    </row>
    <row r="826" ht="18.75" customHeight="1">
      <c r="A826" s="24"/>
      <c r="B826" s="120"/>
    </row>
    <row r="827" ht="18.75" customHeight="1">
      <c r="A827" s="24"/>
      <c r="B827" s="120"/>
    </row>
    <row r="828" ht="18.75" customHeight="1">
      <c r="A828" s="24"/>
      <c r="B828" s="120"/>
    </row>
    <row r="829" ht="18.75" customHeight="1">
      <c r="A829" s="24"/>
      <c r="B829" s="120"/>
    </row>
    <row r="830" ht="18.75" customHeight="1">
      <c r="A830" s="24"/>
      <c r="B830" s="120"/>
    </row>
    <row r="831" ht="18.75" customHeight="1">
      <c r="A831" s="24"/>
      <c r="B831" s="120"/>
    </row>
    <row r="832" ht="18.75" customHeight="1">
      <c r="A832" s="24"/>
      <c r="B832" s="120"/>
    </row>
    <row r="833" ht="18.75" customHeight="1">
      <c r="A833" s="24"/>
      <c r="B833" s="120"/>
    </row>
    <row r="834" ht="18.75" customHeight="1">
      <c r="A834" s="24"/>
      <c r="B834" s="120"/>
    </row>
    <row r="835" ht="18.75" customHeight="1">
      <c r="A835" s="24"/>
      <c r="B835" s="120"/>
    </row>
    <row r="836" ht="18.75" customHeight="1">
      <c r="A836" s="24"/>
      <c r="B836" s="120"/>
    </row>
    <row r="837" ht="18.75" customHeight="1">
      <c r="A837" s="24"/>
      <c r="B837" s="120"/>
    </row>
    <row r="838" ht="18.75" customHeight="1">
      <c r="A838" s="24"/>
      <c r="B838" s="120"/>
    </row>
    <row r="839" ht="18.75" customHeight="1">
      <c r="A839" s="24"/>
      <c r="B839" s="120"/>
    </row>
    <row r="840" ht="18.75" customHeight="1">
      <c r="A840" s="24"/>
      <c r="B840" s="120"/>
    </row>
    <row r="841" ht="18.75" customHeight="1">
      <c r="A841" s="24"/>
      <c r="B841" s="120"/>
    </row>
    <row r="842" ht="18.75" customHeight="1">
      <c r="A842" s="24"/>
      <c r="B842" s="120"/>
    </row>
    <row r="843" ht="18.75" customHeight="1">
      <c r="A843" s="24"/>
      <c r="B843" s="120"/>
    </row>
    <row r="844" ht="18.75" customHeight="1">
      <c r="A844" s="24"/>
      <c r="B844" s="120"/>
    </row>
    <row r="845" ht="18.75" customHeight="1">
      <c r="A845" s="24"/>
      <c r="B845" s="120"/>
    </row>
    <row r="846" ht="18.75" customHeight="1">
      <c r="A846" s="24"/>
      <c r="B846" s="120"/>
    </row>
    <row r="847" ht="18.75" customHeight="1">
      <c r="A847" s="24"/>
      <c r="B847" s="120"/>
    </row>
    <row r="848" ht="18.75" customHeight="1">
      <c r="A848" s="24"/>
      <c r="B848" s="120"/>
    </row>
    <row r="849" ht="18.75" customHeight="1">
      <c r="A849" s="24"/>
      <c r="B849" s="120"/>
    </row>
    <row r="850" ht="18.75" customHeight="1">
      <c r="A850" s="24"/>
      <c r="B850" s="120"/>
    </row>
    <row r="851" ht="18.75" customHeight="1">
      <c r="A851" s="24"/>
      <c r="B851" s="120"/>
    </row>
    <row r="852" ht="18.75" customHeight="1">
      <c r="A852" s="24"/>
      <c r="B852" s="120"/>
    </row>
    <row r="853" ht="18.75" customHeight="1">
      <c r="A853" s="24"/>
      <c r="B853" s="120"/>
    </row>
    <row r="854" ht="18.75" customHeight="1">
      <c r="A854" s="24"/>
      <c r="B854" s="120"/>
    </row>
    <row r="855" ht="18.75" customHeight="1">
      <c r="A855" s="24"/>
      <c r="B855" s="120"/>
    </row>
    <row r="856" ht="18.75" customHeight="1">
      <c r="A856" s="24"/>
      <c r="B856" s="120"/>
    </row>
    <row r="857" ht="18.75" customHeight="1">
      <c r="A857" s="24"/>
      <c r="B857" s="120"/>
    </row>
    <row r="858" ht="18.75" customHeight="1">
      <c r="A858" s="24"/>
      <c r="B858" s="120"/>
    </row>
    <row r="859" ht="18.75" customHeight="1">
      <c r="A859" s="24"/>
      <c r="B859" s="120"/>
    </row>
    <row r="860" ht="18.75" customHeight="1">
      <c r="A860" s="24"/>
      <c r="B860" s="120"/>
    </row>
    <row r="861" ht="18.75" customHeight="1">
      <c r="A861" s="24"/>
      <c r="B861" s="120"/>
    </row>
    <row r="862" ht="18.75" customHeight="1">
      <c r="A862" s="24"/>
      <c r="B862" s="120"/>
    </row>
    <row r="863" ht="18.75" customHeight="1">
      <c r="A863" s="24"/>
      <c r="B863" s="120"/>
    </row>
    <row r="864" ht="18.75" customHeight="1">
      <c r="A864" s="24"/>
      <c r="B864" s="120"/>
    </row>
    <row r="865" ht="18.75" customHeight="1">
      <c r="A865" s="24"/>
      <c r="B865" s="120"/>
    </row>
    <row r="866" ht="18.75" customHeight="1">
      <c r="A866" s="24"/>
      <c r="B866" s="120"/>
    </row>
    <row r="867" ht="18.75" customHeight="1">
      <c r="A867" s="24"/>
      <c r="B867" s="120"/>
    </row>
    <row r="868" ht="18.75" customHeight="1">
      <c r="A868" s="24"/>
      <c r="B868" s="120"/>
    </row>
    <row r="869" ht="18.75" customHeight="1">
      <c r="A869" s="24"/>
      <c r="B869" s="120"/>
    </row>
    <row r="870" ht="18.75" customHeight="1">
      <c r="A870" s="24"/>
      <c r="B870" s="120"/>
    </row>
    <row r="871" ht="18.75" customHeight="1">
      <c r="A871" s="24"/>
      <c r="B871" s="120"/>
    </row>
    <row r="872" ht="18.75" customHeight="1">
      <c r="A872" s="24"/>
      <c r="B872" s="120"/>
    </row>
    <row r="873" ht="18.75" customHeight="1">
      <c r="A873" s="24"/>
      <c r="B873" s="120"/>
    </row>
    <row r="874" ht="18.75" customHeight="1">
      <c r="A874" s="24"/>
      <c r="B874" s="120"/>
    </row>
    <row r="875" ht="18.75" customHeight="1">
      <c r="A875" s="24"/>
      <c r="B875" s="120"/>
    </row>
    <row r="876" ht="18.75" customHeight="1">
      <c r="A876" s="24"/>
      <c r="B876" s="120"/>
    </row>
    <row r="877" ht="18.75" customHeight="1">
      <c r="A877" s="24"/>
      <c r="B877" s="120"/>
    </row>
    <row r="878" ht="18.75" customHeight="1">
      <c r="A878" s="24"/>
      <c r="B878" s="120"/>
    </row>
    <row r="879" ht="18.75" customHeight="1">
      <c r="A879" s="24"/>
      <c r="B879" s="120"/>
    </row>
    <row r="880" ht="18.75" customHeight="1">
      <c r="A880" s="24"/>
      <c r="B880" s="120"/>
    </row>
    <row r="881" ht="18.75" customHeight="1">
      <c r="A881" s="24"/>
      <c r="B881" s="120"/>
    </row>
    <row r="882" ht="18.75" customHeight="1">
      <c r="A882" s="24"/>
      <c r="B882" s="120"/>
    </row>
    <row r="883" ht="18.75" customHeight="1">
      <c r="A883" s="24"/>
      <c r="B883" s="120"/>
    </row>
    <row r="884" ht="18.75" customHeight="1">
      <c r="A884" s="24"/>
      <c r="B884" s="120"/>
    </row>
    <row r="885" ht="18.75" customHeight="1">
      <c r="A885" s="24"/>
      <c r="B885" s="120"/>
    </row>
    <row r="886" ht="18.75" customHeight="1">
      <c r="A886" s="24"/>
      <c r="B886" s="120"/>
    </row>
    <row r="887" ht="18.75" customHeight="1">
      <c r="A887" s="24"/>
      <c r="B887" s="120"/>
    </row>
    <row r="888" ht="18.75" customHeight="1">
      <c r="A888" s="24"/>
      <c r="B888" s="120"/>
    </row>
    <row r="889" ht="18.75" customHeight="1">
      <c r="A889" s="24"/>
      <c r="B889" s="120"/>
    </row>
    <row r="890" ht="18.75" customHeight="1">
      <c r="A890" s="24"/>
      <c r="B890" s="120"/>
    </row>
    <row r="891" ht="18.75" customHeight="1">
      <c r="A891" s="24"/>
      <c r="B891" s="120"/>
    </row>
    <row r="892" ht="18.75" customHeight="1">
      <c r="A892" s="24"/>
      <c r="B892" s="120"/>
    </row>
    <row r="893" ht="18.75" customHeight="1">
      <c r="A893" s="24"/>
      <c r="B893" s="120"/>
    </row>
    <row r="894" ht="18.75" customHeight="1">
      <c r="A894" s="24"/>
      <c r="B894" s="120"/>
    </row>
    <row r="895" ht="18.75" customHeight="1">
      <c r="A895" s="24"/>
      <c r="B895" s="120"/>
    </row>
    <row r="896" ht="18.75" customHeight="1">
      <c r="A896" s="24"/>
      <c r="B896" s="120"/>
    </row>
    <row r="897" ht="18.75" customHeight="1">
      <c r="A897" s="24"/>
      <c r="B897" s="120"/>
    </row>
    <row r="898" ht="18.75" customHeight="1">
      <c r="A898" s="24"/>
      <c r="B898" s="120"/>
    </row>
    <row r="899" ht="18.75" customHeight="1">
      <c r="A899" s="24"/>
      <c r="B899" s="120"/>
    </row>
    <row r="900" ht="18.75" customHeight="1">
      <c r="A900" s="24"/>
      <c r="B900" s="120"/>
    </row>
    <row r="901" ht="18.75" customHeight="1">
      <c r="A901" s="24"/>
      <c r="B901" s="120"/>
    </row>
    <row r="902" ht="18.75" customHeight="1">
      <c r="A902" s="24"/>
      <c r="B902" s="120"/>
    </row>
    <row r="903" ht="18.75" customHeight="1">
      <c r="A903" s="24"/>
      <c r="B903" s="120"/>
    </row>
    <row r="904" ht="18.75" customHeight="1">
      <c r="A904" s="24"/>
      <c r="B904" s="120"/>
    </row>
    <row r="905" ht="18.75" customHeight="1">
      <c r="A905" s="24"/>
      <c r="B905" s="120"/>
    </row>
    <row r="906" ht="18.75" customHeight="1">
      <c r="A906" s="24"/>
      <c r="B906" s="120"/>
    </row>
    <row r="907" ht="18.75" customHeight="1">
      <c r="A907" s="24"/>
      <c r="B907" s="120"/>
    </row>
    <row r="908" ht="18.75" customHeight="1">
      <c r="A908" s="24"/>
      <c r="B908" s="120"/>
    </row>
    <row r="909" ht="18.75" customHeight="1">
      <c r="A909" s="24"/>
      <c r="B909" s="120"/>
    </row>
    <row r="910" ht="18.75" customHeight="1">
      <c r="A910" s="24"/>
      <c r="B910" s="120"/>
    </row>
    <row r="911" ht="18.75" customHeight="1">
      <c r="A911" s="24"/>
      <c r="B911" s="120"/>
    </row>
    <row r="912" ht="18.75" customHeight="1">
      <c r="A912" s="24"/>
      <c r="B912" s="120"/>
    </row>
    <row r="913" ht="18.75" customHeight="1">
      <c r="A913" s="24"/>
      <c r="B913" s="120"/>
    </row>
    <row r="914" ht="18.75" customHeight="1">
      <c r="A914" s="24"/>
      <c r="B914" s="120"/>
    </row>
    <row r="915" ht="18.75" customHeight="1">
      <c r="A915" s="24"/>
      <c r="B915" s="120"/>
    </row>
    <row r="916" ht="18.75" customHeight="1">
      <c r="A916" s="24"/>
      <c r="B916" s="120"/>
    </row>
    <row r="917" ht="18.75" customHeight="1">
      <c r="A917" s="24"/>
      <c r="B917" s="120"/>
    </row>
    <row r="918" ht="18.75" customHeight="1">
      <c r="A918" s="24"/>
      <c r="B918" s="120"/>
    </row>
    <row r="919" ht="18.75" customHeight="1">
      <c r="A919" s="24"/>
      <c r="B919" s="120"/>
    </row>
    <row r="920" ht="18.75" customHeight="1">
      <c r="A920" s="24"/>
      <c r="B920" s="120"/>
    </row>
    <row r="921" ht="18.75" customHeight="1">
      <c r="A921" s="24"/>
      <c r="B921" s="120"/>
    </row>
    <row r="922" ht="18.75" customHeight="1">
      <c r="A922" s="24"/>
      <c r="B922" s="120"/>
    </row>
    <row r="923" ht="18.75" customHeight="1">
      <c r="A923" s="24"/>
      <c r="B923" s="120"/>
    </row>
    <row r="924" ht="18.75" customHeight="1">
      <c r="A924" s="24"/>
      <c r="B924" s="120"/>
    </row>
    <row r="925" ht="18.75" customHeight="1">
      <c r="A925" s="24"/>
      <c r="B925" s="120"/>
    </row>
    <row r="926" ht="18.75" customHeight="1">
      <c r="A926" s="24"/>
      <c r="B926" s="120"/>
    </row>
    <row r="927" ht="18.75" customHeight="1">
      <c r="A927" s="24"/>
      <c r="B927" s="120"/>
    </row>
    <row r="928" ht="18.75" customHeight="1">
      <c r="A928" s="24"/>
      <c r="B928" s="120"/>
    </row>
    <row r="929" ht="18.75" customHeight="1">
      <c r="A929" s="24"/>
      <c r="B929" s="120"/>
    </row>
    <row r="930" ht="18.75" customHeight="1">
      <c r="A930" s="24"/>
      <c r="B930" s="120"/>
    </row>
    <row r="931" ht="18.75" customHeight="1">
      <c r="A931" s="24"/>
      <c r="B931" s="120"/>
    </row>
    <row r="932" ht="18.75" customHeight="1">
      <c r="A932" s="24"/>
      <c r="B932" s="120"/>
    </row>
    <row r="933" ht="18.75" customHeight="1">
      <c r="A933" s="24"/>
      <c r="B933" s="120"/>
    </row>
    <row r="934" ht="18.75" customHeight="1">
      <c r="A934" s="24"/>
      <c r="B934" s="120"/>
    </row>
    <row r="935" ht="18.75" customHeight="1">
      <c r="A935" s="24"/>
      <c r="B935" s="120"/>
    </row>
    <row r="936" ht="18.75" customHeight="1">
      <c r="A936" s="24"/>
      <c r="B936" s="120"/>
    </row>
    <row r="937" ht="18.75" customHeight="1">
      <c r="A937" s="24"/>
      <c r="B937" s="120"/>
    </row>
    <row r="938" ht="18.75" customHeight="1">
      <c r="A938" s="24"/>
      <c r="B938" s="120"/>
    </row>
    <row r="939" ht="18.75" customHeight="1">
      <c r="A939" s="24"/>
      <c r="B939" s="120"/>
    </row>
    <row r="940" ht="18.75" customHeight="1">
      <c r="A940" s="24"/>
      <c r="B940" s="120"/>
    </row>
    <row r="941" ht="18.75" customHeight="1">
      <c r="A941" s="24"/>
      <c r="B941" s="120"/>
    </row>
    <row r="942" ht="18.75" customHeight="1">
      <c r="A942" s="24"/>
      <c r="B942" s="120"/>
    </row>
    <row r="943" ht="18.75" customHeight="1">
      <c r="A943" s="24"/>
      <c r="B943" s="120"/>
    </row>
    <row r="944" ht="18.75" customHeight="1">
      <c r="A944" s="24"/>
      <c r="B944" s="120"/>
    </row>
    <row r="945" ht="18.75" customHeight="1">
      <c r="A945" s="24"/>
      <c r="B945" s="120"/>
    </row>
    <row r="946" ht="18.75" customHeight="1">
      <c r="A946" s="24"/>
      <c r="B946" s="120"/>
    </row>
    <row r="947" ht="18.75" customHeight="1">
      <c r="A947" s="24"/>
      <c r="B947" s="120"/>
    </row>
    <row r="948" ht="18.75" customHeight="1">
      <c r="A948" s="24"/>
      <c r="B948" s="120"/>
    </row>
    <row r="949" ht="18.75" customHeight="1">
      <c r="A949" s="24"/>
      <c r="B949" s="120"/>
    </row>
    <row r="950" ht="18.75" customHeight="1">
      <c r="A950" s="24"/>
      <c r="B950" s="120"/>
    </row>
    <row r="951" ht="18.75" customHeight="1">
      <c r="A951" s="24"/>
      <c r="B951" s="120"/>
    </row>
    <row r="952" ht="18.75" customHeight="1">
      <c r="A952" s="24"/>
      <c r="B952" s="120"/>
    </row>
    <row r="953" ht="18.75" customHeight="1">
      <c r="A953" s="24"/>
      <c r="B953" s="120"/>
    </row>
    <row r="954" ht="18.75" customHeight="1">
      <c r="A954" s="24"/>
      <c r="B954" s="120"/>
    </row>
    <row r="955" ht="18.75" customHeight="1">
      <c r="A955" s="24"/>
      <c r="B955" s="120"/>
    </row>
    <row r="956" ht="18.75" customHeight="1">
      <c r="A956" s="24"/>
      <c r="B956" s="120"/>
    </row>
    <row r="957" ht="18.75" customHeight="1">
      <c r="A957" s="24"/>
      <c r="B957" s="120"/>
    </row>
    <row r="958" ht="18.75" customHeight="1">
      <c r="A958" s="24"/>
      <c r="B958" s="120"/>
    </row>
    <row r="959" ht="18.75" customHeight="1">
      <c r="A959" s="24"/>
      <c r="B959" s="120"/>
    </row>
    <row r="960" ht="18.75" customHeight="1">
      <c r="A960" s="24"/>
      <c r="B960" s="120"/>
    </row>
    <row r="961" ht="18.75" customHeight="1">
      <c r="A961" s="24"/>
      <c r="B961" s="120"/>
    </row>
    <row r="962" ht="18.75" customHeight="1">
      <c r="A962" s="24"/>
      <c r="B962" s="120"/>
    </row>
    <row r="963" ht="18.75" customHeight="1">
      <c r="A963" s="24"/>
      <c r="B963" s="120"/>
    </row>
    <row r="964" ht="18.75" customHeight="1">
      <c r="A964" s="24"/>
      <c r="B964" s="120"/>
    </row>
    <row r="965" ht="18.75" customHeight="1">
      <c r="A965" s="24"/>
      <c r="B965" s="120"/>
    </row>
    <row r="966" ht="18.75" customHeight="1">
      <c r="A966" s="24"/>
      <c r="B966" s="120"/>
    </row>
    <row r="967" ht="18.75" customHeight="1">
      <c r="A967" s="24"/>
      <c r="B967" s="120"/>
    </row>
    <row r="968" ht="18.75" customHeight="1">
      <c r="A968" s="24"/>
      <c r="B968" s="120"/>
    </row>
    <row r="969" ht="18.75" customHeight="1">
      <c r="A969" s="24"/>
      <c r="B969" s="120"/>
    </row>
    <row r="970" ht="18.75" customHeight="1">
      <c r="A970" s="24"/>
      <c r="B970" s="120"/>
    </row>
    <row r="971" ht="18.75" customHeight="1">
      <c r="A971" s="24"/>
      <c r="B971" s="120"/>
    </row>
    <row r="972" ht="18.75" customHeight="1">
      <c r="A972" s="24"/>
      <c r="B972" s="120"/>
    </row>
    <row r="973" ht="18.75" customHeight="1">
      <c r="A973" s="24"/>
      <c r="B973" s="120"/>
    </row>
    <row r="974" ht="18.75" customHeight="1">
      <c r="A974" s="24"/>
      <c r="B974" s="120"/>
    </row>
    <row r="975" ht="18.75" customHeight="1">
      <c r="A975" s="24"/>
      <c r="B975" s="120"/>
    </row>
    <row r="976" ht="18.75" customHeight="1">
      <c r="A976" s="24"/>
      <c r="B976" s="120"/>
    </row>
    <row r="977" ht="18.75" customHeight="1">
      <c r="A977" s="24"/>
      <c r="B977" s="120"/>
    </row>
    <row r="978" ht="18.75" customHeight="1">
      <c r="A978" s="24"/>
      <c r="B978" s="120"/>
    </row>
    <row r="979" ht="18.75" customHeight="1">
      <c r="A979" s="24"/>
      <c r="B979" s="120"/>
    </row>
    <row r="980" ht="18.75" customHeight="1">
      <c r="A980" s="24"/>
      <c r="B980" s="120"/>
    </row>
    <row r="981" ht="18.75" customHeight="1">
      <c r="A981" s="24"/>
      <c r="B981" s="120"/>
    </row>
    <row r="982" ht="18.75" customHeight="1">
      <c r="A982" s="24"/>
      <c r="B982" s="120"/>
    </row>
    <row r="983" ht="18.75" customHeight="1">
      <c r="A983" s="24"/>
      <c r="B983" s="120"/>
    </row>
    <row r="984" ht="18.75" customHeight="1">
      <c r="A984" s="24"/>
      <c r="B984" s="120"/>
    </row>
    <row r="985" ht="18.75" customHeight="1">
      <c r="A985" s="24"/>
      <c r="B985" s="120"/>
    </row>
    <row r="986" ht="18.75" customHeight="1">
      <c r="A986" s="24"/>
      <c r="B986" s="120"/>
    </row>
    <row r="987" ht="18.75" customHeight="1">
      <c r="A987" s="24"/>
      <c r="B987" s="120"/>
    </row>
    <row r="988" ht="18.75" customHeight="1">
      <c r="A988" s="24"/>
      <c r="B988" s="120"/>
    </row>
    <row r="989" ht="18.75" customHeight="1">
      <c r="A989" s="24"/>
      <c r="B989" s="120"/>
    </row>
    <row r="990" ht="18.75" customHeight="1">
      <c r="A990" s="24"/>
      <c r="B990" s="120"/>
    </row>
    <row r="991" ht="18.75" customHeight="1">
      <c r="A991" s="24"/>
      <c r="B991" s="120"/>
    </row>
    <row r="992" ht="18.75" customHeight="1">
      <c r="A992" s="24"/>
      <c r="B992" s="120"/>
    </row>
    <row r="993" ht="18.75" customHeight="1">
      <c r="A993" s="24"/>
      <c r="B993" s="120"/>
    </row>
    <row r="994" ht="18.75" customHeight="1">
      <c r="A994" s="24"/>
      <c r="B994" s="120"/>
    </row>
    <row r="995" ht="18.75" customHeight="1">
      <c r="A995" s="24"/>
      <c r="B995" s="120"/>
    </row>
    <row r="996" ht="18.75" customHeight="1">
      <c r="A996" s="24"/>
      <c r="B996" s="120"/>
    </row>
    <row r="997" ht="18.75" customHeight="1">
      <c r="A997" s="24"/>
      <c r="B997" s="120"/>
    </row>
    <row r="998" ht="18.75" customHeight="1">
      <c r="A998" s="24"/>
      <c r="B998" s="120"/>
    </row>
    <row r="999" ht="18.75" customHeight="1">
      <c r="A999" s="24"/>
      <c r="B999" s="120"/>
    </row>
    <row r="1000" ht="18.75" customHeight="1">
      <c r="A1000" s="24"/>
      <c r="B1000" s="120"/>
    </row>
  </sheetData>
  <printOptions/>
  <pageMargins bottom="0.75" footer="0.0" header="0.0" left="0.7" right="0.7" top="0.75"/>
  <pageSetup orientation="landscape"/>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0" outlineLevelRow="1"/>
  <cols>
    <col customWidth="1" min="1" max="1" width="8.13"/>
    <col customWidth="1" min="2" max="2" width="13.75"/>
    <col customWidth="1" min="3" max="3" width="4.75"/>
    <col customWidth="1" min="4" max="6" width="5.88"/>
    <col customWidth="1" min="7" max="7" width="2.75"/>
    <col customWidth="1" min="8" max="8" width="3.38"/>
    <col customWidth="1" min="9" max="9" width="3.88"/>
    <col customWidth="1" min="10" max="11" width="4.63"/>
    <col customWidth="1" min="12" max="12" width="6.25"/>
    <col customWidth="1" min="13" max="15" width="3.0"/>
    <col customWidth="1" min="16" max="17" width="5.5"/>
    <col customWidth="1" min="18" max="22" width="7.63"/>
    <col customWidth="1" min="23" max="23" width="33.75"/>
    <col customWidth="1" min="24" max="26" width="7.63"/>
    <col customWidth="1" min="27" max="29" width="14.13"/>
    <col customWidth="1" min="30" max="30" width="12.63"/>
    <col customWidth="1" min="31" max="33" width="18.88"/>
  </cols>
  <sheetData>
    <row r="1" ht="18.75" customHeight="1">
      <c r="A1" s="22" t="s">
        <v>3318</v>
      </c>
      <c r="B1" s="11" t="s">
        <v>3319</v>
      </c>
      <c r="C1" s="1" t="s">
        <v>3320</v>
      </c>
      <c r="D1" s="1" t="s">
        <v>3321</v>
      </c>
      <c r="E1" s="1" t="s">
        <v>2659</v>
      </c>
      <c r="F1" s="1" t="s">
        <v>3322</v>
      </c>
      <c r="G1" s="122" t="s">
        <v>3323</v>
      </c>
      <c r="H1" s="122" t="s">
        <v>3324</v>
      </c>
      <c r="I1" s="122" t="s">
        <v>3325</v>
      </c>
      <c r="J1" s="11" t="s">
        <v>3326</v>
      </c>
      <c r="K1" s="11" t="s">
        <v>3327</v>
      </c>
      <c r="L1" s="11" t="s">
        <v>3328</v>
      </c>
      <c r="M1" s="11" t="s">
        <v>3329</v>
      </c>
      <c r="N1" s="11" t="s">
        <v>2634</v>
      </c>
      <c r="O1" s="11" t="s">
        <v>2636</v>
      </c>
      <c r="P1" s="11" t="s">
        <v>2637</v>
      </c>
      <c r="Q1" s="11" t="s">
        <v>2638</v>
      </c>
      <c r="R1" s="11" t="s">
        <v>2922</v>
      </c>
      <c r="S1" s="11" t="s">
        <v>3330</v>
      </c>
      <c r="T1" s="11"/>
      <c r="U1" s="11"/>
      <c r="V1" s="11"/>
      <c r="W1" s="11" t="s">
        <v>3331</v>
      </c>
      <c r="X1" s="22" t="s">
        <v>3332</v>
      </c>
      <c r="Y1" s="22" t="s">
        <v>3333</v>
      </c>
      <c r="Z1" s="22" t="s">
        <v>3334</v>
      </c>
      <c r="AA1" s="22" t="s">
        <v>3335</v>
      </c>
      <c r="AB1" s="22" t="s">
        <v>3336</v>
      </c>
      <c r="AC1" s="22" t="s">
        <v>3337</v>
      </c>
      <c r="AD1" s="22" t="s">
        <v>3338</v>
      </c>
      <c r="AE1" s="123" t="s">
        <v>3339</v>
      </c>
      <c r="AF1" s="123" t="s">
        <v>3340</v>
      </c>
      <c r="AG1" s="123" t="s">
        <v>3341</v>
      </c>
    </row>
    <row r="2" ht="18.75" customHeight="1">
      <c r="A2" s="1">
        <v>1.0</v>
      </c>
      <c r="B2" s="11">
        <v>2.0</v>
      </c>
      <c r="C2" s="1">
        <v>3.0</v>
      </c>
      <c r="D2" s="11">
        <v>4.0</v>
      </c>
      <c r="E2" s="1">
        <v>5.0</v>
      </c>
      <c r="F2" s="11">
        <v>6.0</v>
      </c>
      <c r="G2" s="1">
        <v>7.0</v>
      </c>
      <c r="H2" s="11">
        <v>8.0</v>
      </c>
      <c r="I2" s="1">
        <v>9.0</v>
      </c>
      <c r="J2" s="11">
        <v>10.0</v>
      </c>
      <c r="K2" s="1">
        <v>11.0</v>
      </c>
      <c r="L2" s="11">
        <v>12.0</v>
      </c>
      <c r="M2" s="1">
        <v>13.0</v>
      </c>
      <c r="N2" s="11">
        <v>14.0</v>
      </c>
      <c r="O2" s="1">
        <v>15.0</v>
      </c>
      <c r="P2" s="11">
        <v>16.0</v>
      </c>
      <c r="Q2" s="1">
        <v>17.0</v>
      </c>
      <c r="R2" s="11">
        <v>18.0</v>
      </c>
      <c r="X2" s="39" t="s">
        <v>29</v>
      </c>
      <c r="Y2" s="39" t="s">
        <v>29</v>
      </c>
      <c r="AB2" s="39"/>
      <c r="AC2" s="39"/>
      <c r="AD2" s="39"/>
      <c r="AE2" s="39"/>
      <c r="AF2" s="39"/>
      <c r="AG2" s="39"/>
    </row>
    <row r="3" ht="18.75" customHeight="1">
      <c r="A3" s="1" t="s">
        <v>54</v>
      </c>
      <c r="B3" s="11" t="s">
        <v>1507</v>
      </c>
      <c r="C3" s="37" t="str">
        <f>LET(
 _xlpm.dOK,COUNTIF('クラス'!A:A,E3)&gt;0,
 _xlpm.eOK,COUNTIF('クラス'!A:A,F3)&gt;0,
 IF(_xlpm.dOK,"○","×") &amp; IF(_xlpm.eOK,"○","×")
)</f>
        <v>○×</v>
      </c>
      <c r="D3" s="37" t="b">
        <v>1</v>
      </c>
      <c r="E3" s="37" t="s">
        <v>1507</v>
      </c>
      <c r="G3" s="39">
        <v>2.0</v>
      </c>
      <c r="H3" s="39">
        <v>6.0</v>
      </c>
      <c r="R3" s="37" t="s">
        <v>3342</v>
      </c>
      <c r="S3" s="37" t="str">
        <f t="shared" ref="S3:S107" si="1">IFERROR(VLOOKUP(B3,$U:$V,2,FALSE),"")</f>
        <v>鳥系生物の巣</v>
      </c>
      <c r="U3" s="37" t="s">
        <v>1507</v>
      </c>
      <c r="V3" s="37" t="s">
        <v>3343</v>
      </c>
      <c r="W3" s="37" t="s">
        <v>3344</v>
      </c>
      <c r="X3" s="39" t="s">
        <v>3345</v>
      </c>
      <c r="Y3" s="39">
        <v>1.0</v>
      </c>
      <c r="AA3" s="37"/>
      <c r="AD3" s="39">
        <v>1.0</v>
      </c>
      <c r="AE3" s="39"/>
      <c r="AF3" s="39"/>
      <c r="AG3" s="39"/>
    </row>
    <row r="4" ht="18.75" customHeight="1" outlineLevel="1">
      <c r="A4" s="1" t="s">
        <v>54</v>
      </c>
      <c r="B4" s="11" t="s">
        <v>1504</v>
      </c>
      <c r="C4" s="37" t="str">
        <f>LET(
 _xlpm.dOK,COUNTIF('クラス'!A:A,E4)&gt;0,
 _xlpm.eOK,COUNTIF('クラス'!A:A,F4)&gt;0,
 IF(_xlpm.dOK,"○","×") &amp; IF(_xlpm.eOK,"○","×")
)</f>
        <v>○×</v>
      </c>
      <c r="E4" s="37" t="s">
        <v>1504</v>
      </c>
      <c r="G4" s="39">
        <v>1.0</v>
      </c>
      <c r="H4" s="39">
        <v>5.0</v>
      </c>
      <c r="R4" s="37" t="s">
        <v>1504</v>
      </c>
      <c r="S4" s="37" t="str">
        <f t="shared" si="1"/>
        <v>肉食生物の巣</v>
      </c>
      <c r="U4" s="37" t="s">
        <v>1504</v>
      </c>
      <c r="V4" s="37" t="s">
        <v>3346</v>
      </c>
      <c r="W4" s="37" t="s">
        <v>3347</v>
      </c>
      <c r="X4" s="39" t="s">
        <v>3345</v>
      </c>
      <c r="Y4" s="39">
        <v>7.0</v>
      </c>
      <c r="AA4" s="37"/>
      <c r="AD4" s="39">
        <v>1.0</v>
      </c>
      <c r="AE4" s="39">
        <v>0.0</v>
      </c>
      <c r="AF4" s="39">
        <v>45.0</v>
      </c>
      <c r="AG4" s="39" t="s">
        <v>3348</v>
      </c>
    </row>
    <row r="5" ht="18.75" customHeight="1" outlineLevel="1">
      <c r="A5" s="1" t="s">
        <v>54</v>
      </c>
      <c r="B5" s="11" t="s">
        <v>3349</v>
      </c>
      <c r="C5" s="37" t="str">
        <f>LET(
 _xlpm.dOK,COUNTIF('クラス'!A:A,E5)&gt;0,
 _xlpm.eOK,COUNTIF('クラス'!A:A,F5)&gt;0,
 IF(_xlpm.dOK,"○","×") &amp; IF(_xlpm.eOK,"○","×")
)</f>
        <v>××</v>
      </c>
      <c r="G5" s="39">
        <v>5.0</v>
      </c>
      <c r="H5" s="39">
        <v>10.0</v>
      </c>
      <c r="S5" s="37" t="str">
        <f t="shared" si="1"/>
        <v>虫系の巣</v>
      </c>
      <c r="U5" s="37" t="s">
        <v>3349</v>
      </c>
      <c r="V5" s="37" t="s">
        <v>3350</v>
      </c>
      <c r="W5" s="37" t="s">
        <v>3351</v>
      </c>
      <c r="X5" s="39" t="s">
        <v>3352</v>
      </c>
      <c r="Y5" s="39">
        <v>1.0</v>
      </c>
      <c r="AA5" s="37"/>
      <c r="AD5" s="39">
        <v>1.0</v>
      </c>
      <c r="AE5" s="39"/>
      <c r="AF5" s="39"/>
      <c r="AG5" s="39"/>
    </row>
    <row r="6" ht="18.75" customHeight="1" outlineLevel="1">
      <c r="A6" s="1" t="s">
        <v>54</v>
      </c>
      <c r="B6" s="11" t="s">
        <v>3353</v>
      </c>
      <c r="C6" s="37" t="str">
        <f>LET(
 _xlpm.dOK,COUNTIF('クラス'!A:A,E6)&gt;0,
 _xlpm.eOK,COUNTIF('クラス'!A:A,F6)&gt;0,
 IF(_xlpm.dOK,"○","×") &amp; IF(_xlpm.eOK,"○","×")
)</f>
        <v>××</v>
      </c>
      <c r="S6" s="37" t="str">
        <f t="shared" si="1"/>
        <v>地中生物の巣</v>
      </c>
      <c r="U6" s="37" t="s">
        <v>3353</v>
      </c>
      <c r="V6" s="37" t="s">
        <v>3354</v>
      </c>
      <c r="W6" s="37" t="s">
        <v>3355</v>
      </c>
      <c r="X6" s="39" t="s">
        <v>29</v>
      </c>
      <c r="Y6" s="39" t="s">
        <v>29</v>
      </c>
      <c r="AA6" s="37"/>
      <c r="AD6" s="39">
        <v>1.0</v>
      </c>
      <c r="AE6" s="39"/>
      <c r="AF6" s="39"/>
      <c r="AG6" s="39"/>
    </row>
    <row r="7" ht="18.75" customHeight="1" outlineLevel="1">
      <c r="A7" s="1" t="s">
        <v>54</v>
      </c>
      <c r="B7" s="11" t="s">
        <v>3356</v>
      </c>
      <c r="C7" s="37" t="str">
        <f>LET(
 _xlpm.dOK,COUNTIF('クラス'!A:A,E7)&gt;0,
 _xlpm.eOK,COUNTIF('クラス'!A:A,F7)&gt;0,
 IF(_xlpm.dOK,"○","×") &amp; IF(_xlpm.eOK,"○","×")
)</f>
        <v>○○</v>
      </c>
      <c r="D7" s="37" t="b">
        <v>1</v>
      </c>
      <c r="E7" s="37" t="s">
        <v>1494</v>
      </c>
      <c r="F7" s="37" t="s">
        <v>1507</v>
      </c>
      <c r="G7" s="39">
        <v>5.0</v>
      </c>
      <c r="H7" s="39">
        <v>15.0</v>
      </c>
      <c r="R7" s="37" t="s">
        <v>3356</v>
      </c>
      <c r="S7" s="37" t="str">
        <f t="shared" si="1"/>
        <v>肉食生物の巣</v>
      </c>
      <c r="U7" s="37" t="s">
        <v>3356</v>
      </c>
      <c r="V7" s="37" t="s">
        <v>3346</v>
      </c>
      <c r="W7" s="37" t="s">
        <v>3357</v>
      </c>
      <c r="X7" s="39" t="s">
        <v>3358</v>
      </c>
      <c r="Y7" s="39">
        <v>1.0</v>
      </c>
      <c r="AA7" s="37"/>
      <c r="AD7" s="39">
        <v>1.0</v>
      </c>
      <c r="AE7" s="39"/>
      <c r="AF7" s="39"/>
      <c r="AG7" s="39"/>
    </row>
    <row r="8" ht="18.75" customHeight="1" outlineLevel="1">
      <c r="A8" s="1" t="s">
        <v>54</v>
      </c>
      <c r="B8" s="11" t="s">
        <v>3359</v>
      </c>
      <c r="C8" s="37" t="str">
        <f>LET(
 _xlpm.dOK,COUNTIF('クラス'!A:A,E8)&gt;0,
 _xlpm.eOK,COUNTIF('クラス'!A:A,F8)&gt;0,
 IF(_xlpm.dOK,"○","×") &amp; IF(_xlpm.eOK,"○","×")
)</f>
        <v>○○</v>
      </c>
      <c r="E8" s="37" t="s">
        <v>1501</v>
      </c>
      <c r="F8" s="37" t="s">
        <v>1344</v>
      </c>
      <c r="G8" s="39">
        <v>5.0</v>
      </c>
      <c r="H8" s="39">
        <v>15.0</v>
      </c>
      <c r="R8" s="37" t="s">
        <v>3359</v>
      </c>
      <c r="S8" s="37" t="str">
        <f t="shared" si="1"/>
        <v>肉食生物の巣</v>
      </c>
      <c r="U8" s="37" t="s">
        <v>3359</v>
      </c>
      <c r="V8" s="37" t="s">
        <v>3346</v>
      </c>
      <c r="W8" s="37" t="s">
        <v>3360</v>
      </c>
      <c r="X8" s="39" t="s">
        <v>3358</v>
      </c>
      <c r="Y8" s="39">
        <v>6.0</v>
      </c>
      <c r="AA8" s="37"/>
      <c r="AD8" s="39">
        <v>1.0</v>
      </c>
      <c r="AE8" s="39"/>
      <c r="AF8" s="39"/>
      <c r="AG8" s="39"/>
    </row>
    <row r="9" ht="18.75" customHeight="1" outlineLevel="1">
      <c r="A9" s="1" t="s">
        <v>54</v>
      </c>
      <c r="B9" s="11" t="s">
        <v>1920</v>
      </c>
      <c r="C9" s="37" t="str">
        <f>LET(
 _xlpm.dOK,COUNTIF('クラス'!A:A,E9)&gt;0,
 _xlpm.eOK,COUNTIF('クラス'!A:A,F9)&gt;0,
 IF(_xlpm.dOK,"○","×") &amp; IF(_xlpm.eOK,"○","×")
)</f>
        <v>○×</v>
      </c>
      <c r="D9" s="37" t="b">
        <v>1</v>
      </c>
      <c r="E9" s="37" t="s">
        <v>1920</v>
      </c>
      <c r="G9" s="37">
        <v>15.0</v>
      </c>
      <c r="H9" s="37">
        <v>20.0</v>
      </c>
      <c r="R9" s="37" t="s">
        <v>1920</v>
      </c>
      <c r="S9" s="37" t="str">
        <f t="shared" si="1"/>
        <v>飛竜の巣</v>
      </c>
      <c r="U9" s="37" t="s">
        <v>1920</v>
      </c>
      <c r="V9" s="37" t="s">
        <v>3361</v>
      </c>
      <c r="W9" s="37" t="s">
        <v>3362</v>
      </c>
      <c r="X9" s="39" t="s">
        <v>29</v>
      </c>
      <c r="Y9" s="39" t="s">
        <v>29</v>
      </c>
      <c r="AA9" s="37"/>
      <c r="AD9" s="39">
        <v>1.0</v>
      </c>
      <c r="AE9" s="39"/>
      <c r="AF9" s="39"/>
      <c r="AG9" s="39"/>
    </row>
    <row r="10" ht="18.75" customHeight="1" outlineLevel="1">
      <c r="A10" s="1"/>
      <c r="B10" s="11"/>
      <c r="C10" s="37" t="str">
        <f>LET(
 _xlpm.dOK,COUNTIF('クラス'!A:A,E10)&gt;0,
 _xlpm.eOK,COUNTIF('クラス'!A:A,F10)&gt;0,
 IF(_xlpm.dOK,"○","×") &amp; IF(_xlpm.eOK,"○","×")
)</f>
        <v>××</v>
      </c>
      <c r="S10" s="37" t="str">
        <f t="shared" si="1"/>
        <v/>
      </c>
      <c r="X10" s="39" t="s">
        <v>29</v>
      </c>
      <c r="Y10" s="39" t="s">
        <v>29</v>
      </c>
      <c r="AA10" s="37"/>
      <c r="AD10" s="37"/>
      <c r="AE10" s="37"/>
      <c r="AF10" s="37"/>
      <c r="AG10" s="37"/>
    </row>
    <row r="11" ht="18.75" customHeight="1" outlineLevel="1">
      <c r="A11" s="1" t="s">
        <v>3254</v>
      </c>
      <c r="B11" s="11" t="s">
        <v>1501</v>
      </c>
      <c r="C11" s="37" t="str">
        <f>LET(
 _xlpm.dOK,COUNTIF('クラス'!A:A,E11)&gt;0,
 _xlpm.eOK,COUNTIF('クラス'!A:A,F11)&gt;0,
 IF(_xlpm.dOK,"○","×") &amp; IF(_xlpm.eOK,"○","×")
)</f>
        <v>○×</v>
      </c>
      <c r="D11" s="37" t="b">
        <v>1</v>
      </c>
      <c r="E11" s="37" t="s">
        <v>1501</v>
      </c>
      <c r="G11" s="39">
        <v>3.0</v>
      </c>
      <c r="H11" s="39">
        <v>7.0</v>
      </c>
      <c r="R11" s="37" t="s">
        <v>3363</v>
      </c>
      <c r="S11" s="37" t="str">
        <f t="shared" si="1"/>
        <v>肉食生物の巣</v>
      </c>
      <c r="U11" s="37" t="s">
        <v>1501</v>
      </c>
      <c r="V11" s="37" t="s">
        <v>3346</v>
      </c>
      <c r="W11" s="37" t="s">
        <v>3364</v>
      </c>
      <c r="X11" s="39" t="s">
        <v>3365</v>
      </c>
      <c r="Y11" s="39">
        <v>3.0</v>
      </c>
      <c r="AA11" s="37"/>
      <c r="AD11" s="39">
        <v>1.0</v>
      </c>
      <c r="AE11" s="39"/>
      <c r="AF11" s="39"/>
      <c r="AG11" s="39"/>
    </row>
    <row r="12" ht="18.75" customHeight="1" outlineLevel="1">
      <c r="A12" s="1" t="s">
        <v>3254</v>
      </c>
      <c r="B12" s="11" t="s">
        <v>1504</v>
      </c>
      <c r="C12" s="37" t="str">
        <f>LET(
 _xlpm.dOK,COUNTIF('クラス'!A:A,E12)&gt;0,
 _xlpm.eOK,COUNTIF('クラス'!A:A,F12)&gt;0,
 IF(_xlpm.dOK,"○","×") &amp; IF(_xlpm.eOK,"○","×")
)</f>
        <v>○×</v>
      </c>
      <c r="E12" s="37" t="s">
        <v>1504</v>
      </c>
      <c r="G12" s="39">
        <v>1.0</v>
      </c>
      <c r="H12" s="39">
        <v>5.0</v>
      </c>
      <c r="R12" s="37" t="s">
        <v>1504</v>
      </c>
      <c r="S12" s="37" t="str">
        <f t="shared" si="1"/>
        <v>肉食生物の巣</v>
      </c>
      <c r="U12" s="37" t="s">
        <v>1504</v>
      </c>
      <c r="V12" s="37" t="s">
        <v>3346</v>
      </c>
      <c r="W12" s="37" t="s">
        <v>3366</v>
      </c>
      <c r="X12" s="39" t="s">
        <v>3345</v>
      </c>
      <c r="Y12" s="39">
        <v>7.0</v>
      </c>
      <c r="AA12" s="37"/>
      <c r="AD12" s="39">
        <v>1.0</v>
      </c>
      <c r="AE12" s="39">
        <v>0.0</v>
      </c>
      <c r="AF12" s="39">
        <v>45.0</v>
      </c>
      <c r="AG12" s="39" t="s">
        <v>3348</v>
      </c>
    </row>
    <row r="13" ht="18.75" customHeight="1" outlineLevel="1">
      <c r="A13" s="1" t="s">
        <v>3254</v>
      </c>
      <c r="B13" s="11" t="s">
        <v>1516</v>
      </c>
      <c r="C13" s="37" t="str">
        <f>LET(
 _xlpm.dOK,COUNTIF('クラス'!A:A,E13)&gt;0,
 _xlpm.eOK,COUNTIF('クラス'!A:A,F13)&gt;0,
 IF(_xlpm.dOK,"○","×") &amp; IF(_xlpm.eOK,"○","×")
)</f>
        <v>○×</v>
      </c>
      <c r="D13" s="37" t="b">
        <v>1</v>
      </c>
      <c r="E13" s="37" t="s">
        <v>1516</v>
      </c>
      <c r="G13" s="39">
        <v>4.0</v>
      </c>
      <c r="H13" s="39">
        <v>8.0</v>
      </c>
      <c r="S13" s="37" t="str">
        <f t="shared" si="1"/>
        <v>肉食生物の巣</v>
      </c>
      <c r="U13" s="37" t="s">
        <v>1516</v>
      </c>
      <c r="V13" s="37" t="s">
        <v>3346</v>
      </c>
      <c r="W13" s="37" t="s">
        <v>3367</v>
      </c>
      <c r="X13" s="39" t="s">
        <v>3368</v>
      </c>
      <c r="Y13" s="39">
        <v>1.0</v>
      </c>
      <c r="AA13" s="37"/>
      <c r="AD13" s="39">
        <v>1.0</v>
      </c>
      <c r="AE13" s="39">
        <v>0.0</v>
      </c>
      <c r="AF13" s="39">
        <v>45.0</v>
      </c>
      <c r="AG13" s="39" t="s">
        <v>3348</v>
      </c>
    </row>
    <row r="14" ht="18.75" customHeight="1" outlineLevel="1">
      <c r="A14" s="1" t="s">
        <v>3254</v>
      </c>
      <c r="B14" s="11" t="s">
        <v>3369</v>
      </c>
      <c r="C14" s="37" t="str">
        <f>LET(
 _xlpm.dOK,COUNTIF('クラス'!A:A,E14)&gt;0,
 _xlpm.eOK,COUNTIF('クラス'!A:A,F14)&gt;0,
 IF(_xlpm.dOK,"○","×") &amp; IF(_xlpm.eOK,"○","×")
)</f>
        <v>○×</v>
      </c>
      <c r="E14" s="37" t="s">
        <v>1504</v>
      </c>
      <c r="G14" s="39">
        <v>5.0</v>
      </c>
      <c r="H14" s="39">
        <v>10.0</v>
      </c>
      <c r="S14" s="37" t="str">
        <f t="shared" si="1"/>
        <v>地中生物の巣</v>
      </c>
      <c r="U14" s="37" t="s">
        <v>3369</v>
      </c>
      <c r="V14" s="37" t="s">
        <v>3354</v>
      </c>
      <c r="W14" s="37" t="s">
        <v>3370</v>
      </c>
      <c r="X14" s="39" t="s">
        <v>3371</v>
      </c>
      <c r="Y14" s="39">
        <v>2.0</v>
      </c>
      <c r="AA14" s="37"/>
      <c r="AD14" s="39">
        <v>1.0</v>
      </c>
      <c r="AE14" s="39">
        <v>0.0</v>
      </c>
      <c r="AF14" s="39">
        <v>45.0</v>
      </c>
      <c r="AG14" s="39" t="s">
        <v>3348</v>
      </c>
    </row>
    <row r="15" ht="18.75" customHeight="1" outlineLevel="1">
      <c r="A15" s="1" t="s">
        <v>3254</v>
      </c>
      <c r="B15" s="11" t="s">
        <v>3356</v>
      </c>
      <c r="C15" s="37" t="str">
        <f>LET(
 _xlpm.dOK,COUNTIF('クラス'!A:A,E15)&gt;0,
 _xlpm.eOK,COUNTIF('クラス'!A:A,F15)&gt;0,
 IF(_xlpm.dOK,"○","×") &amp; IF(_xlpm.eOK,"○","×")
)</f>
        <v>○○</v>
      </c>
      <c r="D15" s="37" t="b">
        <v>1</v>
      </c>
      <c r="E15" s="37" t="s">
        <v>1494</v>
      </c>
      <c r="F15" s="37" t="s">
        <v>1507</v>
      </c>
      <c r="G15" s="39">
        <v>5.0</v>
      </c>
      <c r="H15" s="39">
        <v>15.0</v>
      </c>
      <c r="R15" s="37" t="s">
        <v>3356</v>
      </c>
      <c r="S15" s="37" t="str">
        <f t="shared" si="1"/>
        <v>肉食生物の巣</v>
      </c>
      <c r="U15" s="37" t="s">
        <v>3356</v>
      </c>
      <c r="V15" s="37" t="s">
        <v>3346</v>
      </c>
      <c r="W15" s="37" t="s">
        <v>3372</v>
      </c>
      <c r="X15" s="39" t="s">
        <v>3358</v>
      </c>
      <c r="Y15" s="39">
        <v>1.0</v>
      </c>
      <c r="AA15" s="37"/>
      <c r="AD15" s="39">
        <v>1.0</v>
      </c>
      <c r="AE15" s="39"/>
      <c r="AF15" s="39"/>
      <c r="AG15" s="39"/>
    </row>
    <row r="16" ht="18.75" customHeight="1" outlineLevel="1">
      <c r="A16" s="1" t="s">
        <v>3254</v>
      </c>
      <c r="B16" s="11" t="s">
        <v>3359</v>
      </c>
      <c r="C16" s="37" t="str">
        <f>LET(
 _xlpm.dOK,COUNTIF('クラス'!A:A,E16)&gt;0,
 _xlpm.eOK,COUNTIF('クラス'!A:A,F16)&gt;0,
 IF(_xlpm.dOK,"○","×") &amp; IF(_xlpm.eOK,"○","×")
)</f>
        <v>○○</v>
      </c>
      <c r="E16" s="37" t="s">
        <v>1501</v>
      </c>
      <c r="F16" s="37" t="s">
        <v>1344</v>
      </c>
      <c r="G16" s="39">
        <v>5.0</v>
      </c>
      <c r="H16" s="39">
        <v>15.0</v>
      </c>
      <c r="R16" s="37" t="s">
        <v>3359</v>
      </c>
      <c r="S16" s="37" t="str">
        <f t="shared" si="1"/>
        <v>肉食生物の巣</v>
      </c>
      <c r="U16" s="37" t="s">
        <v>3359</v>
      </c>
      <c r="V16" s="37" t="s">
        <v>3346</v>
      </c>
      <c r="W16" s="37" t="s">
        <v>3373</v>
      </c>
      <c r="X16" s="39" t="s">
        <v>3358</v>
      </c>
      <c r="Y16" s="39">
        <v>6.0</v>
      </c>
      <c r="AA16" s="37"/>
      <c r="AD16" s="39">
        <v>1.0</v>
      </c>
      <c r="AE16" s="39"/>
      <c r="AF16" s="39"/>
      <c r="AG16" s="39"/>
    </row>
    <row r="17" ht="18.75" customHeight="1" outlineLevel="1">
      <c r="A17" s="1" t="s">
        <v>3254</v>
      </c>
      <c r="B17" s="11" t="s">
        <v>1920</v>
      </c>
      <c r="C17" s="37" t="str">
        <f>LET(
 _xlpm.dOK,COUNTIF('クラス'!A:A,E17)&gt;0,
 _xlpm.eOK,COUNTIF('クラス'!A:A,F17)&gt;0,
 IF(_xlpm.dOK,"○","×") &amp; IF(_xlpm.eOK,"○","×")
)</f>
        <v>○×</v>
      </c>
      <c r="D17" s="37" t="b">
        <v>1</v>
      </c>
      <c r="E17" s="37" t="s">
        <v>1920</v>
      </c>
      <c r="G17" s="37">
        <v>15.0</v>
      </c>
      <c r="H17" s="37">
        <v>20.0</v>
      </c>
      <c r="R17" s="37" t="s">
        <v>1920</v>
      </c>
      <c r="S17" s="37" t="str">
        <f t="shared" si="1"/>
        <v>飛竜の巣</v>
      </c>
      <c r="U17" s="37" t="s">
        <v>1920</v>
      </c>
      <c r="V17" s="37" t="s">
        <v>3361</v>
      </c>
      <c r="W17" s="37" t="s">
        <v>3374</v>
      </c>
      <c r="X17" s="39" t="s">
        <v>29</v>
      </c>
      <c r="Y17" s="39" t="s">
        <v>29</v>
      </c>
      <c r="AA17" s="37"/>
      <c r="AD17" s="39">
        <v>1.0</v>
      </c>
      <c r="AE17" s="39"/>
      <c r="AF17" s="39"/>
      <c r="AG17" s="39"/>
    </row>
    <row r="18" ht="18.75" customHeight="1" outlineLevel="1">
      <c r="A18" s="1"/>
      <c r="B18" s="11"/>
      <c r="C18" s="37" t="str">
        <f>LET(
 _xlpm.dOK,COUNTIF('クラス'!A:A,E18)&gt;0,
 _xlpm.eOK,COUNTIF('クラス'!A:A,F18)&gt;0,
 IF(_xlpm.dOK,"○","×") &amp; IF(_xlpm.eOK,"○","×")
)</f>
        <v>××</v>
      </c>
      <c r="S18" s="37" t="str">
        <f t="shared" si="1"/>
        <v/>
      </c>
      <c r="X18" s="39" t="s">
        <v>29</v>
      </c>
      <c r="Y18" s="39" t="s">
        <v>29</v>
      </c>
      <c r="AA18" s="37"/>
      <c r="AD18" s="37"/>
      <c r="AE18" s="37"/>
      <c r="AF18" s="37"/>
      <c r="AG18" s="37"/>
    </row>
    <row r="19" ht="18.75" customHeight="1" outlineLevel="1">
      <c r="A19" s="1" t="s">
        <v>62</v>
      </c>
      <c r="B19" s="11" t="s">
        <v>3375</v>
      </c>
      <c r="C19" s="37" t="str">
        <f>LET(
 _xlpm.dOK,COUNTIF('クラス'!A:A,E19)&gt;0,
 _xlpm.eOK,COUNTIF('クラス'!A:A,F19)&gt;0,
 IF(_xlpm.dOK,"○","×") &amp; IF(_xlpm.eOK,"○","×")
)</f>
        <v>××</v>
      </c>
      <c r="S19" s="37" t="str">
        <f t="shared" si="1"/>
        <v>死霊の巣</v>
      </c>
      <c r="U19" s="37" t="s">
        <v>3375</v>
      </c>
      <c r="V19" s="37" t="s">
        <v>3376</v>
      </c>
      <c r="W19" s="37" t="s">
        <v>3377</v>
      </c>
      <c r="X19" s="39" t="s">
        <v>29</v>
      </c>
      <c r="Y19" s="39" t="s">
        <v>29</v>
      </c>
      <c r="AA19" s="37"/>
      <c r="AD19" s="39">
        <v>1.0</v>
      </c>
      <c r="AE19" s="39"/>
      <c r="AF19" s="39"/>
      <c r="AG19" s="39"/>
    </row>
    <row r="20" ht="18.75" customHeight="1" outlineLevel="1">
      <c r="A20" s="1" t="s">
        <v>62</v>
      </c>
      <c r="B20" s="11" t="s">
        <v>3378</v>
      </c>
      <c r="C20" s="37" t="str">
        <f>LET(
 _xlpm.dOK,COUNTIF('クラス'!A:A,E20)&gt;0,
 _xlpm.eOK,COUNTIF('クラス'!A:A,F20)&gt;0,
 IF(_xlpm.dOK,"○","×") &amp; IF(_xlpm.eOK,"○","×")
)</f>
        <v>××</v>
      </c>
      <c r="S20" s="37" t="str">
        <f t="shared" si="1"/>
        <v>毒生成物の巣</v>
      </c>
      <c r="U20" s="37" t="s">
        <v>3378</v>
      </c>
      <c r="V20" s="37" t="s">
        <v>3379</v>
      </c>
      <c r="W20" s="37" t="s">
        <v>3380</v>
      </c>
      <c r="X20" s="39" t="s">
        <v>29</v>
      </c>
      <c r="Y20" s="39" t="s">
        <v>29</v>
      </c>
      <c r="AA20" s="37"/>
      <c r="AD20" s="39">
        <v>1.0</v>
      </c>
      <c r="AE20" s="39"/>
      <c r="AF20" s="39"/>
      <c r="AG20" s="39"/>
    </row>
    <row r="21" ht="18.75" customHeight="1" outlineLevel="1">
      <c r="A21" s="1" t="s">
        <v>62</v>
      </c>
      <c r="B21" s="11" t="s">
        <v>3381</v>
      </c>
      <c r="C21" s="37" t="str">
        <f>LET(
 _xlpm.dOK,COUNTIF('クラス'!A:A,E21)&gt;0,
 _xlpm.eOK,COUNTIF('クラス'!A:A,F21)&gt;0,
 IF(_xlpm.dOK,"○","×") &amp; IF(_xlpm.eOK,"○","×")
)</f>
        <v>××</v>
      </c>
      <c r="S21" s="37" t="str">
        <f t="shared" si="1"/>
        <v>飛竜の巣</v>
      </c>
      <c r="U21" s="37" t="s">
        <v>3381</v>
      </c>
      <c r="V21" s="37" t="s">
        <v>3361</v>
      </c>
      <c r="W21" s="37" t="s">
        <v>3382</v>
      </c>
      <c r="X21" s="39" t="s">
        <v>29</v>
      </c>
      <c r="Y21" s="39" t="s">
        <v>29</v>
      </c>
      <c r="AA21" s="37"/>
      <c r="AD21" s="39">
        <v>1.0</v>
      </c>
      <c r="AE21" s="39"/>
      <c r="AF21" s="39"/>
      <c r="AG21" s="39"/>
    </row>
    <row r="22" ht="18.75" customHeight="1" outlineLevel="1">
      <c r="A22" s="1" t="s">
        <v>62</v>
      </c>
      <c r="B22" s="11" t="s">
        <v>3383</v>
      </c>
      <c r="C22" s="37" t="str">
        <f>LET(
 _xlpm.dOK,COUNTIF('クラス'!A:A,E22)&gt;0,
 _xlpm.eOK,COUNTIF('クラス'!A:A,F22)&gt;0,
 IF(_xlpm.dOK,"○","×") &amp; IF(_xlpm.eOK,"○","×")
)</f>
        <v>××</v>
      </c>
      <c r="R22" s="37" t="s">
        <v>3383</v>
      </c>
      <c r="S22" s="37" t="str">
        <f t="shared" si="1"/>
        <v>地中生物の巣</v>
      </c>
      <c r="U22" s="37" t="s">
        <v>3383</v>
      </c>
      <c r="V22" s="37" t="s">
        <v>3354</v>
      </c>
      <c r="W22" s="37" t="s">
        <v>3384</v>
      </c>
      <c r="X22" s="39" t="s">
        <v>3371</v>
      </c>
      <c r="Y22" s="39">
        <v>3.0</v>
      </c>
      <c r="AA22" s="37"/>
      <c r="AD22" s="39">
        <v>1.0</v>
      </c>
      <c r="AE22" s="39"/>
      <c r="AF22" s="39"/>
      <c r="AG22" s="39"/>
    </row>
    <row r="23" ht="18.75" customHeight="1" outlineLevel="1">
      <c r="A23" s="1" t="s">
        <v>62</v>
      </c>
      <c r="B23" s="11" t="s">
        <v>3385</v>
      </c>
      <c r="C23" s="37" t="str">
        <f>LET(
 _xlpm.dOK,COUNTIF('クラス'!A:A,E23)&gt;0,
 _xlpm.eOK,COUNTIF('クラス'!A:A,F23)&gt;0,
 IF(_xlpm.dOK,"○","×") &amp; IF(_xlpm.eOK,"○","×")
)</f>
        <v>××</v>
      </c>
      <c r="G23" s="39">
        <v>5.0</v>
      </c>
      <c r="H23" s="39">
        <v>10.0</v>
      </c>
      <c r="R23" s="37" t="s">
        <v>3386</v>
      </c>
      <c r="S23" s="37" t="str">
        <f t="shared" si="1"/>
        <v>虫系の巣</v>
      </c>
      <c r="U23" s="37" t="s">
        <v>3385</v>
      </c>
      <c r="V23" s="37" t="s">
        <v>3350</v>
      </c>
      <c r="W23" s="37" t="s">
        <v>3387</v>
      </c>
      <c r="X23" s="39" t="s">
        <v>3352</v>
      </c>
      <c r="Y23" s="39">
        <v>7.0</v>
      </c>
      <c r="AA23" s="37"/>
      <c r="AD23" s="39">
        <v>1.0</v>
      </c>
      <c r="AE23" s="39"/>
      <c r="AF23" s="39"/>
      <c r="AG23" s="39"/>
    </row>
    <row r="24" ht="18.75" customHeight="1" outlineLevel="1">
      <c r="A24" s="1" t="s">
        <v>62</v>
      </c>
      <c r="B24" s="11" t="s">
        <v>3388</v>
      </c>
      <c r="C24" s="37" t="str">
        <f>LET(
 _xlpm.dOK,COUNTIF('クラス'!A:A,E24)&gt;0,
 _xlpm.eOK,COUNTIF('クラス'!A:A,F24)&gt;0,
 IF(_xlpm.dOK,"○","×") &amp; IF(_xlpm.eOK,"○","×")
)</f>
        <v>××</v>
      </c>
      <c r="S24" s="37" t="str">
        <f t="shared" si="1"/>
        <v>肉食生物の巣</v>
      </c>
      <c r="U24" s="37" t="s">
        <v>3388</v>
      </c>
      <c r="V24" s="37" t="s">
        <v>3346</v>
      </c>
      <c r="W24" s="37" t="s">
        <v>3389</v>
      </c>
      <c r="X24" s="39" t="s">
        <v>3358</v>
      </c>
      <c r="Y24" s="39">
        <v>5.0</v>
      </c>
      <c r="AA24" s="37"/>
      <c r="AD24" s="39">
        <v>1.0</v>
      </c>
      <c r="AE24" s="39"/>
      <c r="AF24" s="39"/>
      <c r="AG24" s="39"/>
    </row>
    <row r="25" ht="18.75" customHeight="1" outlineLevel="1">
      <c r="A25" s="1" t="s">
        <v>62</v>
      </c>
      <c r="B25" s="11" t="s">
        <v>3390</v>
      </c>
      <c r="C25" s="37" t="str">
        <f>LET(
 _xlpm.dOK,COUNTIF('クラス'!A:A,E25)&gt;0,
 _xlpm.eOK,COUNTIF('クラス'!A:A,F25)&gt;0,
 IF(_xlpm.dOK,"○","×") &amp; IF(_xlpm.eOK,"○","×")
)</f>
        <v>××</v>
      </c>
      <c r="S25" s="37" t="str">
        <f t="shared" si="1"/>
        <v>土の輪</v>
      </c>
      <c r="U25" s="37" t="s">
        <v>3390</v>
      </c>
      <c r="V25" s="37" t="s">
        <v>3391</v>
      </c>
      <c r="W25" s="37" t="s">
        <v>3392</v>
      </c>
      <c r="X25" s="39" t="s">
        <v>29</v>
      </c>
      <c r="Y25" s="39" t="s">
        <v>29</v>
      </c>
      <c r="AA25" s="37"/>
      <c r="AD25" s="39">
        <v>1.0</v>
      </c>
      <c r="AE25" s="39"/>
      <c r="AF25" s="39"/>
      <c r="AG25" s="39"/>
    </row>
    <row r="26" ht="18.75" customHeight="1" outlineLevel="1">
      <c r="A26" s="1" t="s">
        <v>62</v>
      </c>
      <c r="B26" s="11" t="s">
        <v>3369</v>
      </c>
      <c r="C26" s="37" t="str">
        <f>LET(
 _xlpm.dOK,COUNTIF('クラス'!A:A,E26)&gt;0,
 _xlpm.eOK,COUNTIF('クラス'!A:A,F26)&gt;0,
 IF(_xlpm.dOK,"○","×") &amp; IF(_xlpm.eOK,"○","×")
)</f>
        <v>××</v>
      </c>
      <c r="G26" s="39">
        <v>5.0</v>
      </c>
      <c r="H26" s="39">
        <v>10.0</v>
      </c>
      <c r="R26" s="37" t="s">
        <v>3369</v>
      </c>
      <c r="S26" s="37" t="str">
        <f t="shared" si="1"/>
        <v>地中生物の巣</v>
      </c>
      <c r="U26" s="37" t="s">
        <v>3369</v>
      </c>
      <c r="V26" s="37" t="s">
        <v>3354</v>
      </c>
      <c r="W26" s="37" t="s">
        <v>3393</v>
      </c>
      <c r="X26" s="39" t="s">
        <v>3371</v>
      </c>
      <c r="Y26" s="39">
        <v>2.0</v>
      </c>
      <c r="AA26" s="37"/>
      <c r="AD26" s="39">
        <v>1.0</v>
      </c>
      <c r="AE26" s="39"/>
      <c r="AF26" s="39"/>
      <c r="AG26" s="39"/>
    </row>
    <row r="27" ht="18.75" customHeight="1" outlineLevel="1">
      <c r="A27" s="1" t="s">
        <v>62</v>
      </c>
      <c r="B27" s="11" t="s">
        <v>3394</v>
      </c>
      <c r="C27" s="37" t="str">
        <f>LET(
 _xlpm.dOK,COUNTIF('クラス'!A:A,E27)&gt;0,
 _xlpm.eOK,COUNTIF('クラス'!A:A,F27)&gt;0,
 IF(_xlpm.dOK,"○","×") &amp; IF(_xlpm.eOK,"○","×")
)</f>
        <v>××</v>
      </c>
      <c r="S27" s="37" t="str">
        <f t="shared" si="1"/>
        <v>死霊の巣</v>
      </c>
      <c r="U27" s="37" t="s">
        <v>3394</v>
      </c>
      <c r="V27" s="37" t="s">
        <v>3376</v>
      </c>
      <c r="W27" s="37" t="s">
        <v>3395</v>
      </c>
      <c r="X27" s="39" t="s">
        <v>29</v>
      </c>
      <c r="Y27" s="39" t="s">
        <v>29</v>
      </c>
      <c r="AA27" s="37"/>
      <c r="AD27" s="39">
        <v>1.0</v>
      </c>
      <c r="AE27" s="39"/>
      <c r="AF27" s="39"/>
      <c r="AG27" s="39"/>
    </row>
    <row r="28" ht="18.75" customHeight="1" outlineLevel="1">
      <c r="A28" s="1"/>
      <c r="B28" s="11"/>
      <c r="C28" s="37" t="str">
        <f>LET(
 _xlpm.dOK,COUNTIF('クラス'!A:A,E28)&gt;0,
 _xlpm.eOK,COUNTIF('クラス'!A:A,F28)&gt;0,
 IF(_xlpm.dOK,"○","×") &amp; IF(_xlpm.eOK,"○","×")
)</f>
        <v>××</v>
      </c>
      <c r="S28" s="37" t="str">
        <f t="shared" si="1"/>
        <v/>
      </c>
      <c r="X28" s="39" t="s">
        <v>29</v>
      </c>
      <c r="Y28" s="39" t="s">
        <v>29</v>
      </c>
      <c r="AA28" s="37"/>
      <c r="AD28" s="37"/>
      <c r="AE28" s="37"/>
      <c r="AF28" s="37"/>
      <c r="AG28" s="37"/>
    </row>
    <row r="29" ht="18.75" customHeight="1">
      <c r="A29" s="1"/>
      <c r="B29" s="11"/>
      <c r="C29" s="37" t="str">
        <f>LET(
 _xlpm.dOK,COUNTIF('クラス'!A:A,E29)&gt;0,
 _xlpm.eOK,COUNTIF('クラス'!A:A,F29)&gt;0,
 IF(_xlpm.dOK,"○","×") &amp; IF(_xlpm.eOK,"○","×")
)</f>
        <v>××</v>
      </c>
      <c r="S29" s="37" t="str">
        <f t="shared" si="1"/>
        <v/>
      </c>
      <c r="U29" s="37" t="s">
        <v>3396</v>
      </c>
      <c r="V29" s="37" t="s">
        <v>3397</v>
      </c>
      <c r="X29" s="39" t="s">
        <v>29</v>
      </c>
      <c r="Y29" s="39" t="s">
        <v>29</v>
      </c>
      <c r="AA29" s="37"/>
      <c r="AD29" s="37"/>
      <c r="AE29" s="37"/>
      <c r="AF29" s="37"/>
      <c r="AG29" s="37"/>
    </row>
    <row r="30" ht="18.75" customHeight="1">
      <c r="A30" s="1" t="s">
        <v>56</v>
      </c>
      <c r="B30" s="11" t="s">
        <v>3396</v>
      </c>
      <c r="C30" s="37" t="str">
        <f>LET(
 _xlpm.dOK,COUNTIF('クラス'!A:A,E30)&gt;0,
 _xlpm.eOK,COUNTIF('クラス'!A:A,F30)&gt;0,
 IF(_xlpm.dOK,"○","×") &amp; IF(_xlpm.eOK,"○","×")
)</f>
        <v>××</v>
      </c>
      <c r="S30" s="37" t="str">
        <f t="shared" si="1"/>
        <v>植物生物の巣</v>
      </c>
      <c r="U30" s="37" t="s">
        <v>1265</v>
      </c>
      <c r="V30" s="37" t="s">
        <v>3397</v>
      </c>
      <c r="W30" s="37" t="s">
        <v>3398</v>
      </c>
      <c r="X30" s="39" t="s">
        <v>29</v>
      </c>
      <c r="Y30" s="39" t="s">
        <v>29</v>
      </c>
      <c r="AA30" s="37"/>
      <c r="AD30" s="39">
        <v>1.0</v>
      </c>
      <c r="AE30" s="39"/>
      <c r="AF30" s="39"/>
      <c r="AG30" s="39"/>
    </row>
    <row r="31" ht="18.75" customHeight="1" outlineLevel="1">
      <c r="A31" s="1" t="s">
        <v>56</v>
      </c>
      <c r="B31" s="11" t="s">
        <v>1265</v>
      </c>
      <c r="C31" s="37" t="str">
        <f>LET(
 _xlpm.dOK,COUNTIF('クラス'!A:A,E31)&gt;0,
 _xlpm.eOK,COUNTIF('クラス'!A:A,F31)&gt;0,
 IF(_xlpm.dOK,"○","×") &amp; IF(_xlpm.eOK,"○","×")
)</f>
        <v>××</v>
      </c>
      <c r="R31" s="37" t="s">
        <v>1265</v>
      </c>
      <c r="S31" s="37" t="str">
        <f t="shared" si="1"/>
        <v>植物生物の巣</v>
      </c>
      <c r="U31" s="37" t="s">
        <v>3399</v>
      </c>
      <c r="V31" s="37" t="s">
        <v>3346</v>
      </c>
      <c r="W31" s="37" t="s">
        <v>3400</v>
      </c>
      <c r="X31" s="39" t="s">
        <v>29</v>
      </c>
      <c r="Y31" s="39" t="s">
        <v>29</v>
      </c>
      <c r="AA31" s="37"/>
      <c r="AD31" s="39">
        <v>1.0</v>
      </c>
      <c r="AE31" s="39"/>
      <c r="AF31" s="39"/>
      <c r="AG31" s="39"/>
    </row>
    <row r="32" ht="18.75" customHeight="1" outlineLevel="1">
      <c r="A32" s="1" t="s">
        <v>56</v>
      </c>
      <c r="B32" s="11" t="s">
        <v>3399</v>
      </c>
      <c r="C32" s="37" t="str">
        <f>LET(
 _xlpm.dOK,COUNTIF('クラス'!A:A,E32)&gt;0,
 _xlpm.eOK,COUNTIF('クラス'!A:A,F32)&gt;0,
 IF(_xlpm.dOK,"○","×") &amp; IF(_xlpm.eOK,"○","×")
)</f>
        <v>○○</v>
      </c>
      <c r="D32" s="37" t="b">
        <v>1</v>
      </c>
      <c r="E32" s="37" t="s">
        <v>1511</v>
      </c>
      <c r="F32" s="37" t="s">
        <v>1766</v>
      </c>
      <c r="G32" s="37">
        <v>15.0</v>
      </c>
      <c r="H32" s="37">
        <v>25.0</v>
      </c>
      <c r="R32" s="37" t="s">
        <v>3399</v>
      </c>
      <c r="S32" s="37" t="str">
        <f t="shared" si="1"/>
        <v>肉食生物の巣</v>
      </c>
      <c r="U32" s="37" t="s">
        <v>3401</v>
      </c>
      <c r="V32" s="37" t="s">
        <v>3379</v>
      </c>
      <c r="W32" s="37" t="s">
        <v>3402</v>
      </c>
      <c r="X32" s="39" t="s">
        <v>3358</v>
      </c>
      <c r="Y32" s="39">
        <v>4.0</v>
      </c>
      <c r="AA32" s="37"/>
      <c r="AD32" s="39">
        <v>1.0</v>
      </c>
      <c r="AE32" s="39"/>
      <c r="AF32" s="39"/>
      <c r="AG32" s="39"/>
    </row>
    <row r="33" ht="18.75" customHeight="1" outlineLevel="1">
      <c r="A33" s="1" t="s">
        <v>56</v>
      </c>
      <c r="B33" s="11" t="s">
        <v>3401</v>
      </c>
      <c r="C33" s="37" t="str">
        <f>LET(
 _xlpm.dOK,COUNTIF('クラス'!A:A,E33)&gt;0,
 _xlpm.eOK,COUNTIF('クラス'!A:A,F33)&gt;0,
 IF(_xlpm.dOK,"○","×") &amp; IF(_xlpm.eOK,"○","×")
)</f>
        <v>××</v>
      </c>
      <c r="S33" s="37" t="str">
        <f t="shared" si="1"/>
        <v>毒生成物の巣</v>
      </c>
      <c r="U33" s="37" t="s">
        <v>3403</v>
      </c>
      <c r="V33" s="37" t="s">
        <v>3397</v>
      </c>
      <c r="W33" s="37" t="s">
        <v>3404</v>
      </c>
      <c r="X33" s="39" t="s">
        <v>29</v>
      </c>
      <c r="Y33" s="39" t="s">
        <v>29</v>
      </c>
      <c r="AA33" s="37"/>
      <c r="AD33" s="39">
        <v>1.0</v>
      </c>
      <c r="AE33" s="39"/>
      <c r="AF33" s="39"/>
      <c r="AG33" s="39"/>
    </row>
    <row r="34" ht="18.75" customHeight="1" outlineLevel="1">
      <c r="A34" s="1" t="s">
        <v>56</v>
      </c>
      <c r="B34" s="11" t="s">
        <v>3403</v>
      </c>
      <c r="C34" s="37" t="str">
        <f>LET(
 _xlpm.dOK,COUNTIF('クラス'!A:A,E34)&gt;0,
 _xlpm.eOK,COUNTIF('クラス'!A:A,F34)&gt;0,
 IF(_xlpm.dOK,"○","×") &amp; IF(_xlpm.eOK,"○","×")
)</f>
        <v>××</v>
      </c>
      <c r="S34" s="37" t="str">
        <f t="shared" si="1"/>
        <v>植物生物の巣</v>
      </c>
      <c r="U34" s="37" t="s">
        <v>3405</v>
      </c>
      <c r="V34" s="37" t="s">
        <v>3397</v>
      </c>
      <c r="W34" s="37" t="s">
        <v>3406</v>
      </c>
      <c r="X34" s="39" t="s">
        <v>29</v>
      </c>
      <c r="Y34" s="39" t="s">
        <v>29</v>
      </c>
      <c r="AA34" s="37"/>
      <c r="AD34" s="39">
        <v>1.0</v>
      </c>
      <c r="AE34" s="39"/>
      <c r="AF34" s="39"/>
      <c r="AG34" s="39"/>
    </row>
    <row r="35" ht="18.75" customHeight="1" outlineLevel="1">
      <c r="A35" s="1" t="s">
        <v>56</v>
      </c>
      <c r="B35" s="11" t="s">
        <v>3405</v>
      </c>
      <c r="C35" s="37" t="str">
        <f>LET(
 _xlpm.dOK,COUNTIF('クラス'!A:A,E35)&gt;0,
 _xlpm.eOK,COUNTIF('クラス'!A:A,F35)&gt;0,
 IF(_xlpm.dOK,"○","×") &amp; IF(_xlpm.eOK,"○","×")
)</f>
        <v>××</v>
      </c>
      <c r="S35" s="37" t="str">
        <f t="shared" si="1"/>
        <v>植物生物の巣</v>
      </c>
      <c r="U35" s="37" t="s">
        <v>3407</v>
      </c>
      <c r="V35" s="37" t="s">
        <v>3397</v>
      </c>
      <c r="W35" s="37" t="s">
        <v>3408</v>
      </c>
      <c r="X35" s="39" t="s">
        <v>29</v>
      </c>
      <c r="Y35" s="39" t="s">
        <v>29</v>
      </c>
      <c r="AA35" s="37"/>
      <c r="AD35" s="39">
        <v>1.0</v>
      </c>
      <c r="AE35" s="39"/>
      <c r="AF35" s="39"/>
      <c r="AG35" s="39"/>
    </row>
    <row r="36" ht="18.75" customHeight="1" outlineLevel="1">
      <c r="A36" s="1" t="s">
        <v>56</v>
      </c>
      <c r="B36" s="11" t="s">
        <v>3407</v>
      </c>
      <c r="C36" s="37" t="str">
        <f>LET(
 _xlpm.dOK,COUNTIF('クラス'!A:A,E36)&gt;0,
 _xlpm.eOK,COUNTIF('クラス'!A:A,F36)&gt;0,
 IF(_xlpm.dOK,"○","×") &amp; IF(_xlpm.eOK,"○","×")
)</f>
        <v>××</v>
      </c>
      <c r="S36" s="37" t="str">
        <f t="shared" si="1"/>
        <v>植物生物の巣</v>
      </c>
      <c r="U36" s="37" t="s">
        <v>3409</v>
      </c>
      <c r="V36" s="37" t="s">
        <v>3410</v>
      </c>
      <c r="W36" s="37" t="s">
        <v>3411</v>
      </c>
      <c r="X36" s="39" t="s">
        <v>29</v>
      </c>
      <c r="Y36" s="39" t="s">
        <v>29</v>
      </c>
      <c r="AA36" s="37"/>
      <c r="AD36" s="39">
        <v>1.0</v>
      </c>
      <c r="AE36" s="39"/>
      <c r="AF36" s="39"/>
      <c r="AG36" s="39"/>
    </row>
    <row r="37" ht="18.75" customHeight="1" outlineLevel="1">
      <c r="A37" s="1" t="s">
        <v>56</v>
      </c>
      <c r="B37" s="11" t="s">
        <v>3409</v>
      </c>
      <c r="C37" s="37" t="str">
        <f>LET(
 _xlpm.dOK,COUNTIF('クラス'!A:A,E37)&gt;0,
 _xlpm.eOK,COUNTIF('クラス'!A:A,F37)&gt;0,
 IF(_xlpm.dOK,"○","×") &amp; IF(_xlpm.eOK,"○","×")
)</f>
        <v>××</v>
      </c>
      <c r="S37" s="37" t="str">
        <f t="shared" si="1"/>
        <v>風の輪</v>
      </c>
      <c r="U37" s="37" t="s">
        <v>1494</v>
      </c>
      <c r="V37" s="37" t="s">
        <v>3346</v>
      </c>
      <c r="W37" s="37" t="s">
        <v>3412</v>
      </c>
      <c r="X37" s="39" t="s">
        <v>29</v>
      </c>
      <c r="Y37" s="39" t="s">
        <v>29</v>
      </c>
      <c r="AA37" s="37"/>
      <c r="AD37" s="39">
        <v>1.0</v>
      </c>
      <c r="AE37" s="39"/>
      <c r="AF37" s="39"/>
      <c r="AG37" s="39"/>
    </row>
    <row r="38" ht="18.75" customHeight="1" outlineLevel="1">
      <c r="A38" s="1" t="s">
        <v>56</v>
      </c>
      <c r="B38" s="11" t="s">
        <v>1494</v>
      </c>
      <c r="C38" s="37" t="str">
        <f>LET(
 _xlpm.dOK,COUNTIF('クラス'!A:A,E38)&gt;0,
 _xlpm.eOK,COUNTIF('クラス'!A:A,F38)&gt;0,
 IF(_xlpm.dOK,"○","×") &amp; IF(_xlpm.eOK,"○","×")
)</f>
        <v>○×</v>
      </c>
      <c r="D38" s="37" t="b">
        <v>1</v>
      </c>
      <c r="E38" s="37" t="s">
        <v>1494</v>
      </c>
      <c r="G38" s="39">
        <v>5.0</v>
      </c>
      <c r="H38" s="39">
        <v>10.0</v>
      </c>
      <c r="R38" s="37" t="s">
        <v>1494</v>
      </c>
      <c r="S38" s="37" t="str">
        <f t="shared" si="1"/>
        <v>肉食生物の巣</v>
      </c>
      <c r="U38" s="37" t="s">
        <v>1501</v>
      </c>
      <c r="V38" s="37" t="s">
        <v>3346</v>
      </c>
      <c r="W38" s="37" t="s">
        <v>3413</v>
      </c>
      <c r="X38" s="39" t="s">
        <v>3368</v>
      </c>
      <c r="Y38" s="39">
        <v>7.0</v>
      </c>
      <c r="AA38" s="37"/>
      <c r="AD38" s="39">
        <v>1.0</v>
      </c>
      <c r="AE38" s="39"/>
      <c r="AF38" s="39"/>
      <c r="AG38" s="39"/>
    </row>
    <row r="39" ht="18.75" customHeight="1" outlineLevel="1">
      <c r="A39" s="1" t="s">
        <v>56</v>
      </c>
      <c r="B39" s="11" t="s">
        <v>1501</v>
      </c>
      <c r="C39" s="37" t="str">
        <f>LET(
 _xlpm.dOK,COUNTIF('クラス'!A:A,E39)&gt;0,
 _xlpm.eOK,COUNTIF('クラス'!A:A,F39)&gt;0,
 IF(_xlpm.dOK,"○","×") &amp; IF(_xlpm.eOK,"○","×")
)</f>
        <v>○×</v>
      </c>
      <c r="E39" s="37" t="s">
        <v>1501</v>
      </c>
      <c r="G39" s="39">
        <v>3.0</v>
      </c>
      <c r="H39" s="39">
        <v>7.0</v>
      </c>
      <c r="R39" s="37" t="s">
        <v>3363</v>
      </c>
      <c r="S39" s="37" t="str">
        <f t="shared" si="1"/>
        <v>肉食生物の巣</v>
      </c>
      <c r="W39" s="37" t="s">
        <v>3414</v>
      </c>
      <c r="X39" s="39" t="s">
        <v>3365</v>
      </c>
      <c r="Y39" s="39">
        <v>3.0</v>
      </c>
      <c r="AA39" s="37"/>
      <c r="AD39" s="39">
        <v>1.0</v>
      </c>
      <c r="AE39" s="39"/>
      <c r="AF39" s="39"/>
      <c r="AG39" s="39"/>
    </row>
    <row r="40" ht="18.75" customHeight="1" outlineLevel="1">
      <c r="A40" s="1"/>
      <c r="B40" s="11"/>
      <c r="C40" s="37" t="str">
        <f>LET(
 _xlpm.dOK,COUNTIF('クラス'!A:A,E40)&gt;0,
 _xlpm.eOK,COUNTIF('クラス'!A:A,F40)&gt;0,
 IF(_xlpm.dOK,"○","×") &amp; IF(_xlpm.eOK,"○","×")
)</f>
        <v>××</v>
      </c>
      <c r="S40" s="37" t="str">
        <f t="shared" si="1"/>
        <v/>
      </c>
      <c r="U40" s="37" t="s">
        <v>3415</v>
      </c>
      <c r="V40" s="37" t="s">
        <v>3361</v>
      </c>
      <c r="X40" s="39" t="s">
        <v>29</v>
      </c>
      <c r="Y40" s="39" t="s">
        <v>29</v>
      </c>
      <c r="AA40" s="37"/>
      <c r="AD40" s="37"/>
      <c r="AE40" s="37"/>
      <c r="AF40" s="37"/>
      <c r="AG40" s="37"/>
    </row>
    <row r="41" ht="18.75" customHeight="1" outlineLevel="1">
      <c r="A41" s="1" t="s">
        <v>63</v>
      </c>
      <c r="B41" s="11" t="s">
        <v>3415</v>
      </c>
      <c r="C41" s="37" t="str">
        <f>LET(
 _xlpm.dOK,COUNTIF('クラス'!A:A,E41)&gt;0,
 _xlpm.eOK,COUNTIF('クラス'!A:A,F41)&gt;0,
 IF(_xlpm.dOK,"○","×") &amp; IF(_xlpm.eOK,"○","×")
)</f>
        <v>××</v>
      </c>
      <c r="S41" s="37" t="str">
        <f t="shared" si="1"/>
        <v>飛竜の巣</v>
      </c>
      <c r="U41" s="37" t="s">
        <v>3403</v>
      </c>
      <c r="V41" s="37" t="s">
        <v>3397</v>
      </c>
      <c r="W41" s="37" t="s">
        <v>3416</v>
      </c>
      <c r="X41" s="39" t="s">
        <v>29</v>
      </c>
      <c r="Y41" s="39" t="s">
        <v>29</v>
      </c>
      <c r="AA41" s="37"/>
      <c r="AD41" s="39">
        <v>1.0</v>
      </c>
      <c r="AE41" s="39"/>
      <c r="AF41" s="39"/>
      <c r="AG41" s="39"/>
    </row>
    <row r="42" ht="18.75" customHeight="1" outlineLevel="1">
      <c r="A42" s="1" t="s">
        <v>63</v>
      </c>
      <c r="B42" s="11" t="s">
        <v>3403</v>
      </c>
      <c r="C42" s="37" t="str">
        <f>LET(
 _xlpm.dOK,COUNTIF('クラス'!A:A,E42)&gt;0,
 _xlpm.eOK,COUNTIF('クラス'!A:A,F42)&gt;0,
 IF(_xlpm.dOK,"○","×") &amp; IF(_xlpm.eOK,"○","×")
)</f>
        <v>××</v>
      </c>
      <c r="S42" s="37" t="str">
        <f t="shared" si="1"/>
        <v>植物生物の巣</v>
      </c>
      <c r="U42" s="37" t="s">
        <v>3417</v>
      </c>
      <c r="V42" s="37" t="s">
        <v>3418</v>
      </c>
      <c r="W42" s="37" t="s">
        <v>3419</v>
      </c>
      <c r="X42" s="39" t="s">
        <v>29</v>
      </c>
      <c r="Y42" s="39" t="s">
        <v>29</v>
      </c>
      <c r="AA42" s="37"/>
      <c r="AD42" s="39">
        <v>1.0</v>
      </c>
      <c r="AE42" s="39"/>
      <c r="AF42" s="39"/>
      <c r="AG42" s="39"/>
    </row>
    <row r="43" ht="18.75" customHeight="1" outlineLevel="1">
      <c r="A43" s="1" t="s">
        <v>63</v>
      </c>
      <c r="B43" s="11" t="s">
        <v>3417</v>
      </c>
      <c r="C43" s="37" t="str">
        <f>LET(
 _xlpm.dOK,COUNTIF('クラス'!A:A,E43)&gt;0,
 _xlpm.eOK,COUNTIF('クラス'!A:A,F43)&gt;0,
 IF(_xlpm.dOK,"○","×") &amp; IF(_xlpm.eOK,"○","×")
)</f>
        <v>××</v>
      </c>
      <c r="S43" s="37" t="str">
        <f t="shared" si="1"/>
        <v>闇の輪</v>
      </c>
      <c r="U43" s="37" t="s">
        <v>3420</v>
      </c>
      <c r="V43" s="37" t="s">
        <v>3346</v>
      </c>
      <c r="W43" s="37" t="s">
        <v>3421</v>
      </c>
      <c r="X43" s="39" t="s">
        <v>29</v>
      </c>
      <c r="Y43" s="39" t="s">
        <v>29</v>
      </c>
      <c r="AA43" s="37"/>
      <c r="AD43" s="39">
        <v>1.0</v>
      </c>
      <c r="AE43" s="39"/>
      <c r="AF43" s="39"/>
      <c r="AG43" s="39"/>
    </row>
    <row r="44" ht="18.75" customHeight="1" outlineLevel="1">
      <c r="A44" s="1" t="s">
        <v>63</v>
      </c>
      <c r="B44" s="11" t="s">
        <v>3420</v>
      </c>
      <c r="C44" s="37" t="str">
        <f>LET(
 _xlpm.dOK,COUNTIF('クラス'!A:A,E44)&gt;0,
 _xlpm.eOK,COUNTIF('クラス'!A:A,F44)&gt;0,
 IF(_xlpm.dOK,"○","×") &amp; IF(_xlpm.eOK,"○","×")
)</f>
        <v>××</v>
      </c>
      <c r="S44" s="37" t="str">
        <f t="shared" si="1"/>
        <v>肉食生物の巣</v>
      </c>
      <c r="U44" s="37" t="s">
        <v>3422</v>
      </c>
      <c r="V44" s="37" t="s">
        <v>3346</v>
      </c>
      <c r="W44" s="37" t="s">
        <v>3423</v>
      </c>
      <c r="X44" s="39" t="s">
        <v>29</v>
      </c>
      <c r="Y44" s="39" t="s">
        <v>29</v>
      </c>
      <c r="AA44" s="37"/>
      <c r="AD44" s="39">
        <v>1.0</v>
      </c>
      <c r="AE44" s="39"/>
      <c r="AF44" s="39"/>
      <c r="AG44" s="39"/>
    </row>
    <row r="45" ht="18.75" customHeight="1" outlineLevel="1">
      <c r="A45" s="1" t="s">
        <v>63</v>
      </c>
      <c r="B45" s="11" t="s">
        <v>3422</v>
      </c>
      <c r="C45" s="37" t="str">
        <f>LET(
 _xlpm.dOK,COUNTIF('クラス'!A:A,E45)&gt;0,
 _xlpm.eOK,COUNTIF('クラス'!A:A,F45)&gt;0,
 IF(_xlpm.dOK,"○","×") &amp; IF(_xlpm.eOK,"○","×")
)</f>
        <v>××</v>
      </c>
      <c r="S45" s="37" t="str">
        <f t="shared" si="1"/>
        <v>肉食生物の巣</v>
      </c>
      <c r="U45" s="37" t="s">
        <v>1988</v>
      </c>
      <c r="V45" s="37" t="s">
        <v>3354</v>
      </c>
      <c r="W45" s="37" t="s">
        <v>3424</v>
      </c>
      <c r="X45" s="39" t="s">
        <v>3358</v>
      </c>
      <c r="Y45" s="39">
        <v>8.0</v>
      </c>
      <c r="AA45" s="37"/>
      <c r="AD45" s="39">
        <v>1.0</v>
      </c>
      <c r="AE45" s="39"/>
      <c r="AF45" s="39"/>
      <c r="AG45" s="39"/>
    </row>
    <row r="46" ht="18.75" customHeight="1" outlineLevel="1">
      <c r="A46" s="1" t="s">
        <v>63</v>
      </c>
      <c r="B46" s="11" t="s">
        <v>1988</v>
      </c>
      <c r="C46" s="37" t="str">
        <f>LET(
 _xlpm.dOK,COUNTIF('クラス'!A:A,E46)&gt;0,
 _xlpm.eOK,COUNTIF('クラス'!A:A,F46)&gt;0,
 IF(_xlpm.dOK,"○","×") &amp; IF(_xlpm.eOK,"○","×")
)</f>
        <v>××</v>
      </c>
      <c r="S46" s="37" t="str">
        <f t="shared" si="1"/>
        <v>地中生物の巣</v>
      </c>
      <c r="U46" s="37" t="s">
        <v>3425</v>
      </c>
      <c r="V46" s="37" t="s">
        <v>3361</v>
      </c>
      <c r="W46" s="37" t="s">
        <v>3426</v>
      </c>
      <c r="X46" s="39" t="s">
        <v>29</v>
      </c>
      <c r="Y46" s="39" t="s">
        <v>29</v>
      </c>
      <c r="AA46" s="37"/>
      <c r="AD46" s="39">
        <v>1.0</v>
      </c>
      <c r="AE46" s="39"/>
      <c r="AF46" s="39"/>
      <c r="AG46" s="39"/>
    </row>
    <row r="47" ht="18.75" customHeight="1" outlineLevel="1">
      <c r="A47" s="1" t="s">
        <v>63</v>
      </c>
      <c r="B47" s="11" t="s">
        <v>3425</v>
      </c>
      <c r="C47" s="37" t="str">
        <f>LET(
 _xlpm.dOK,COUNTIF('クラス'!A:A,E47)&gt;0,
 _xlpm.eOK,COUNTIF('クラス'!A:A,F47)&gt;0,
 IF(_xlpm.dOK,"○","×") &amp; IF(_xlpm.eOK,"○","×")
)</f>
        <v>××</v>
      </c>
      <c r="S47" s="37" t="str">
        <f t="shared" si="1"/>
        <v>飛竜の巣</v>
      </c>
      <c r="W47" s="37" t="s">
        <v>3427</v>
      </c>
      <c r="X47" s="39" t="s">
        <v>29</v>
      </c>
      <c r="Y47" s="39" t="s">
        <v>29</v>
      </c>
      <c r="AA47" s="37"/>
      <c r="AD47" s="39">
        <v>1.0</v>
      </c>
      <c r="AE47" s="39"/>
      <c r="AF47" s="39"/>
      <c r="AG47" s="39"/>
    </row>
    <row r="48" ht="18.75" customHeight="1" outlineLevel="1">
      <c r="A48" s="1"/>
      <c r="B48" s="11"/>
      <c r="C48" s="37" t="str">
        <f>LET(
 _xlpm.dOK,COUNTIF('クラス'!A:A,E48)&gt;0,
 _xlpm.eOK,COUNTIF('クラス'!A:A,F48)&gt;0,
 IF(_xlpm.dOK,"○","×") &amp; IF(_xlpm.eOK,"○","×")
)</f>
        <v>××</v>
      </c>
      <c r="S48" s="37" t="str">
        <f t="shared" si="1"/>
        <v/>
      </c>
      <c r="U48" s="37" t="s">
        <v>3428</v>
      </c>
      <c r="V48" s="37" t="s">
        <v>3343</v>
      </c>
      <c r="X48" s="39" t="s">
        <v>29</v>
      </c>
      <c r="Y48" s="39" t="s">
        <v>29</v>
      </c>
      <c r="AA48" s="37"/>
      <c r="AD48" s="37"/>
      <c r="AE48" s="37"/>
      <c r="AF48" s="37"/>
      <c r="AG48" s="37"/>
    </row>
    <row r="49" ht="18.75" customHeight="1">
      <c r="A49" s="1"/>
      <c r="B49" s="11"/>
      <c r="C49" s="37" t="str">
        <f>LET(
 _xlpm.dOK,COUNTIF('クラス'!A:A,E49)&gt;0,
 _xlpm.eOK,COUNTIF('クラス'!A:A,F49)&gt;0,
 IF(_xlpm.dOK,"○","×") &amp; IF(_xlpm.eOK,"○","×")
)</f>
        <v>××</v>
      </c>
      <c r="S49" s="37" t="str">
        <f t="shared" si="1"/>
        <v/>
      </c>
      <c r="U49" s="37" t="s">
        <v>1507</v>
      </c>
      <c r="V49" s="37" t="s">
        <v>3343</v>
      </c>
      <c r="X49" s="39" t="s">
        <v>29</v>
      </c>
      <c r="Y49" s="39" t="s">
        <v>29</v>
      </c>
      <c r="AA49" s="37"/>
      <c r="AD49" s="37"/>
      <c r="AE49" s="37"/>
      <c r="AF49" s="37"/>
      <c r="AG49" s="37"/>
    </row>
    <row r="50" ht="18.75" customHeight="1">
      <c r="A50" s="1" t="s">
        <v>58</v>
      </c>
      <c r="B50" s="11" t="s">
        <v>3428</v>
      </c>
      <c r="C50" s="37" t="str">
        <f>LET(
 _xlpm.dOK,COUNTIF('クラス'!A:A,E50)&gt;0,
 _xlpm.eOK,COUNTIF('クラス'!A:A,F50)&gt;0,
 IF(_xlpm.dOK,"○","×") &amp; IF(_xlpm.eOK,"○","×")
)</f>
        <v>○○</v>
      </c>
      <c r="D50" s="37" t="b">
        <v>1</v>
      </c>
      <c r="E50" s="37" t="s">
        <v>1494</v>
      </c>
      <c r="F50" s="37" t="s">
        <v>1507</v>
      </c>
      <c r="G50" s="39">
        <v>5.0</v>
      </c>
      <c r="H50" s="39">
        <v>15.0</v>
      </c>
      <c r="R50" s="37" t="s">
        <v>3428</v>
      </c>
      <c r="S50" s="37" t="str">
        <f t="shared" si="1"/>
        <v>鳥系生物の巣</v>
      </c>
      <c r="U50" s="37" t="s">
        <v>1491</v>
      </c>
      <c r="V50" s="37" t="s">
        <v>3391</v>
      </c>
      <c r="W50" s="37" t="s">
        <v>3429</v>
      </c>
      <c r="X50" s="39" t="s">
        <v>3358</v>
      </c>
      <c r="Y50" s="39">
        <v>3.0</v>
      </c>
      <c r="AA50" s="37"/>
      <c r="AD50" s="39">
        <v>1.0</v>
      </c>
      <c r="AE50" s="39"/>
      <c r="AF50" s="39"/>
      <c r="AG50" s="39"/>
    </row>
    <row r="51" ht="18.75" customHeight="1" outlineLevel="1">
      <c r="A51" s="1" t="s">
        <v>58</v>
      </c>
      <c r="B51" s="11" t="s">
        <v>1507</v>
      </c>
      <c r="C51" s="37" t="str">
        <f>LET(
 _xlpm.dOK,COUNTIF('クラス'!A:A,E51)&gt;0,
 _xlpm.eOK,COUNTIF('クラス'!A:A,F51)&gt;0,
 IF(_xlpm.dOK,"○","×") &amp; IF(_xlpm.eOK,"○","×")
)</f>
        <v>○×</v>
      </c>
      <c r="E51" s="37" t="s">
        <v>1507</v>
      </c>
      <c r="G51" s="39">
        <v>2.0</v>
      </c>
      <c r="H51" s="39">
        <v>6.0</v>
      </c>
      <c r="I51" s="37" t="s">
        <v>3430</v>
      </c>
      <c r="R51" s="37" t="s">
        <v>1507</v>
      </c>
      <c r="S51" s="37" t="str">
        <f t="shared" si="1"/>
        <v>鳥系生物の巣</v>
      </c>
      <c r="U51" s="37" t="s">
        <v>3431</v>
      </c>
      <c r="V51" s="37" t="s">
        <v>3346</v>
      </c>
      <c r="W51" s="37" t="s">
        <v>3432</v>
      </c>
      <c r="X51" s="39" t="s">
        <v>3345</v>
      </c>
      <c r="Y51" s="39">
        <v>1.0</v>
      </c>
      <c r="AA51" s="37"/>
      <c r="AD51" s="39">
        <v>1.0</v>
      </c>
      <c r="AE51" s="39"/>
      <c r="AF51" s="39"/>
      <c r="AG51" s="39"/>
    </row>
    <row r="52" ht="18.75" customHeight="1" outlineLevel="1">
      <c r="A52" s="1" t="s">
        <v>58</v>
      </c>
      <c r="B52" s="11" t="s">
        <v>1491</v>
      </c>
      <c r="C52" s="37" t="str">
        <f>LET(
 _xlpm.dOK,COUNTIF('クラス'!A:A,E52)&gt;0,
 _xlpm.eOK,COUNTIF('クラス'!A:A,F52)&gt;0,
 IF(_xlpm.dOK,"○","×") &amp; IF(_xlpm.eOK,"○","×")
)</f>
        <v>○×</v>
      </c>
      <c r="D52" s="11"/>
      <c r="E52" s="11" t="s">
        <v>1491</v>
      </c>
      <c r="G52" s="39">
        <v>5.0</v>
      </c>
      <c r="H52" s="39">
        <v>15.0</v>
      </c>
      <c r="R52" s="37" t="s">
        <v>3433</v>
      </c>
      <c r="S52" s="37" t="str">
        <f t="shared" si="1"/>
        <v>土の輪</v>
      </c>
      <c r="U52" s="37" t="s">
        <v>3353</v>
      </c>
      <c r="V52" s="37" t="s">
        <v>3354</v>
      </c>
      <c r="W52" s="37" t="s">
        <v>3434</v>
      </c>
      <c r="X52" s="39" t="s">
        <v>3435</v>
      </c>
      <c r="Y52" s="39">
        <v>1.0</v>
      </c>
      <c r="Z52" s="39" t="b">
        <v>1</v>
      </c>
      <c r="AA52" s="39"/>
      <c r="AB52" s="39"/>
      <c r="AC52" s="39"/>
      <c r="AD52" s="39">
        <v>1.0</v>
      </c>
      <c r="AE52" s="39"/>
      <c r="AF52" s="39"/>
      <c r="AG52" s="39"/>
    </row>
    <row r="53" ht="18.75" customHeight="1" outlineLevel="1">
      <c r="A53" s="1" t="s">
        <v>58</v>
      </c>
      <c r="B53" s="11" t="s">
        <v>3431</v>
      </c>
      <c r="C53" s="37" t="str">
        <f>LET(
 _xlpm.dOK,COUNTIF('クラス'!A:A,E53)&gt;0,
 _xlpm.eOK,COUNTIF('クラス'!A:A,F53)&gt;0,
 IF(_xlpm.dOK,"○","×") &amp; IF(_xlpm.eOK,"○","×")
)</f>
        <v>○○</v>
      </c>
      <c r="E53" s="37" t="s">
        <v>1494</v>
      </c>
      <c r="F53" s="37" t="s">
        <v>1504</v>
      </c>
      <c r="G53" s="39">
        <v>5.0</v>
      </c>
      <c r="H53" s="39">
        <v>15.0</v>
      </c>
      <c r="R53" s="37" t="s">
        <v>3431</v>
      </c>
      <c r="S53" s="37" t="str">
        <f t="shared" si="1"/>
        <v>肉食生物の巣</v>
      </c>
      <c r="U53" s="37" t="s">
        <v>3436</v>
      </c>
      <c r="V53" s="37" t="s">
        <v>3354</v>
      </c>
      <c r="W53" s="37" t="s">
        <v>3437</v>
      </c>
      <c r="X53" s="39" t="s">
        <v>3358</v>
      </c>
      <c r="Y53" s="39">
        <v>2.0</v>
      </c>
      <c r="AA53" s="37"/>
      <c r="AD53" s="39">
        <v>1.0</v>
      </c>
      <c r="AE53" s="39"/>
      <c r="AF53" s="39"/>
      <c r="AG53" s="39"/>
    </row>
    <row r="54" ht="18.75" customHeight="1" outlineLevel="1">
      <c r="A54" s="1" t="s">
        <v>58</v>
      </c>
      <c r="B54" s="11" t="s">
        <v>3353</v>
      </c>
      <c r="C54" s="37" t="str">
        <f>LET(
 _xlpm.dOK,COUNTIF('クラス'!A:A,E54)&gt;0,
 _xlpm.eOK,COUNTIF('クラス'!A:A,F54)&gt;0,
 IF(_xlpm.dOK,"○","×") &amp; IF(_xlpm.eOK,"○","×")
)</f>
        <v>××</v>
      </c>
      <c r="S54" s="37" t="str">
        <f t="shared" si="1"/>
        <v>地中生物の巣</v>
      </c>
      <c r="U54" s="37" t="s">
        <v>3356</v>
      </c>
      <c r="V54" s="37" t="s">
        <v>3346</v>
      </c>
      <c r="W54" s="37" t="s">
        <v>3438</v>
      </c>
      <c r="X54" s="39" t="s">
        <v>29</v>
      </c>
      <c r="Y54" s="39" t="s">
        <v>29</v>
      </c>
      <c r="AA54" s="37"/>
      <c r="AD54" s="39">
        <v>1.0</v>
      </c>
      <c r="AE54" s="39"/>
      <c r="AF54" s="39"/>
      <c r="AG54" s="39"/>
    </row>
    <row r="55" ht="18.75" customHeight="1" outlineLevel="1">
      <c r="A55" s="1" t="s">
        <v>58</v>
      </c>
      <c r="B55" s="11" t="s">
        <v>3436</v>
      </c>
      <c r="C55" s="37" t="str">
        <f>LET(
 _xlpm.dOK,COUNTIF('クラス'!A:A,E55)&gt;0,
 _xlpm.eOK,COUNTIF('クラス'!A:A,F55)&gt;0,
 IF(_xlpm.dOK,"○","×") &amp; IF(_xlpm.eOK,"○","×")
)</f>
        <v>××</v>
      </c>
      <c r="S55" s="37" t="str">
        <f t="shared" si="1"/>
        <v>地中生物の巣</v>
      </c>
      <c r="U55" s="37" t="s">
        <v>1920</v>
      </c>
      <c r="V55" s="37" t="s">
        <v>3361</v>
      </c>
      <c r="W55" s="37" t="s">
        <v>3439</v>
      </c>
      <c r="X55" s="39" t="s">
        <v>29</v>
      </c>
      <c r="Y55" s="39" t="s">
        <v>29</v>
      </c>
      <c r="AA55" s="37"/>
      <c r="AD55" s="39">
        <v>1.0</v>
      </c>
      <c r="AE55" s="39"/>
      <c r="AF55" s="39"/>
      <c r="AG55" s="39"/>
    </row>
    <row r="56" ht="18.75" customHeight="1" outlineLevel="1">
      <c r="A56" s="1" t="s">
        <v>58</v>
      </c>
      <c r="B56" s="11" t="s">
        <v>3356</v>
      </c>
      <c r="C56" s="37" t="str">
        <f>LET(
 _xlpm.dOK,COUNTIF('クラス'!A:A,E56)&gt;0,
 _xlpm.eOK,COUNTIF('クラス'!A:A,F56)&gt;0,
 IF(_xlpm.dOK,"○","×") &amp; IF(_xlpm.eOK,"○","×")
)</f>
        <v>××</v>
      </c>
      <c r="S56" s="37" t="str">
        <f t="shared" si="1"/>
        <v>肉食生物の巣</v>
      </c>
      <c r="W56" s="37" t="s">
        <v>3440</v>
      </c>
      <c r="X56" s="39" t="s">
        <v>3358</v>
      </c>
      <c r="Y56" s="39">
        <v>1.0</v>
      </c>
      <c r="AA56" s="37"/>
      <c r="AD56" s="39">
        <v>1.0</v>
      </c>
      <c r="AE56" s="39"/>
      <c r="AF56" s="39"/>
      <c r="AG56" s="39"/>
    </row>
    <row r="57" ht="18.75" customHeight="1" outlineLevel="1">
      <c r="A57" s="1" t="s">
        <v>58</v>
      </c>
      <c r="B57" s="11" t="s">
        <v>1920</v>
      </c>
      <c r="C57" s="37" t="str">
        <f>LET(
 _xlpm.dOK,COUNTIF('クラス'!A:A,E57)&gt;0,
 _xlpm.eOK,COUNTIF('クラス'!A:A,F57)&gt;0,
 IF(_xlpm.dOK,"○","×") &amp; IF(_xlpm.eOK,"○","×")
)</f>
        <v>○×</v>
      </c>
      <c r="D57" s="37" t="b">
        <v>1</v>
      </c>
      <c r="E57" s="37" t="s">
        <v>1920</v>
      </c>
      <c r="G57" s="37">
        <v>15.0</v>
      </c>
      <c r="H57" s="37">
        <v>20.0</v>
      </c>
      <c r="I57" s="37" t="s">
        <v>3441</v>
      </c>
      <c r="R57" s="37" t="s">
        <v>1920</v>
      </c>
      <c r="S57" s="37" t="str">
        <f t="shared" si="1"/>
        <v>飛竜の巣</v>
      </c>
      <c r="U57" s="37" t="s">
        <v>3442</v>
      </c>
      <c r="V57" s="37" t="s">
        <v>3410</v>
      </c>
      <c r="W57" s="37" t="s">
        <v>3443</v>
      </c>
      <c r="X57" s="39" t="s">
        <v>29</v>
      </c>
      <c r="Y57" s="39" t="s">
        <v>29</v>
      </c>
      <c r="AA57" s="37"/>
      <c r="AD57" s="39">
        <v>1.0</v>
      </c>
      <c r="AE57" s="39"/>
      <c r="AF57" s="39"/>
      <c r="AG57" s="39"/>
    </row>
    <row r="58" ht="18.75" customHeight="1" outlineLevel="1">
      <c r="A58" s="1"/>
      <c r="B58" s="11"/>
      <c r="C58" s="37" t="str">
        <f>LET(
 _xlpm.dOK,COUNTIF('クラス'!A:A,E58)&gt;0,
 _xlpm.eOK,COUNTIF('クラス'!A:A,F58)&gt;0,
 IF(_xlpm.dOK,"○","×") &amp; IF(_xlpm.eOK,"○","×")
)</f>
        <v>××</v>
      </c>
      <c r="S58" s="37" t="str">
        <f t="shared" si="1"/>
        <v/>
      </c>
      <c r="U58" s="37" t="s">
        <v>1491</v>
      </c>
      <c r="V58" s="37" t="s">
        <v>3391</v>
      </c>
      <c r="X58" s="39" t="s">
        <v>29</v>
      </c>
      <c r="Y58" s="39" t="s">
        <v>29</v>
      </c>
      <c r="AA58" s="37"/>
      <c r="AD58" s="37"/>
      <c r="AE58" s="37"/>
      <c r="AF58" s="37"/>
      <c r="AG58" s="37"/>
    </row>
    <row r="59" ht="18.75" customHeight="1" outlineLevel="1">
      <c r="A59" s="1" t="s">
        <v>57</v>
      </c>
      <c r="B59" s="11" t="s">
        <v>3442</v>
      </c>
      <c r="C59" s="37" t="str">
        <f>LET(
 _xlpm.dOK,COUNTIF('クラス'!A:A,E59)&gt;0,
 _xlpm.eOK,COUNTIF('クラス'!A:A,F59)&gt;0,
 IF(_xlpm.dOK,"○","×") &amp; IF(_xlpm.eOK,"○","×")
)</f>
        <v>○○</v>
      </c>
      <c r="E59" s="37" t="s">
        <v>1507</v>
      </c>
      <c r="F59" s="37" t="s">
        <v>1775</v>
      </c>
      <c r="G59" s="39">
        <v>10.0</v>
      </c>
      <c r="H59" s="39">
        <v>15.0</v>
      </c>
      <c r="R59" s="37" t="s">
        <v>1507</v>
      </c>
      <c r="S59" s="37" t="str">
        <f t="shared" si="1"/>
        <v>風の輪</v>
      </c>
      <c r="U59" s="37" t="s">
        <v>3444</v>
      </c>
      <c r="V59" s="37" t="s">
        <v>3346</v>
      </c>
      <c r="W59" s="37" t="s">
        <v>3445</v>
      </c>
      <c r="X59" s="39" t="s">
        <v>29</v>
      </c>
      <c r="Y59" s="39" t="s">
        <v>29</v>
      </c>
      <c r="AA59" s="37"/>
      <c r="AD59" s="39">
        <v>1.0</v>
      </c>
      <c r="AE59" s="39"/>
      <c r="AF59" s="39"/>
      <c r="AG59" s="39"/>
    </row>
    <row r="60" ht="18.75" customHeight="1" outlineLevel="1">
      <c r="A60" s="1" t="s">
        <v>57</v>
      </c>
      <c r="B60" s="11" t="s">
        <v>1491</v>
      </c>
      <c r="C60" s="37" t="str">
        <f>LET(
 _xlpm.dOK,COUNTIF('クラス'!A:A,E60)&gt;0,
 _xlpm.eOK,COUNTIF('クラス'!A:A,F60)&gt;0,
 IF(_xlpm.dOK,"○","×") &amp; IF(_xlpm.eOK,"○","×")
)</f>
        <v>○×</v>
      </c>
      <c r="D60" s="11"/>
      <c r="E60" s="11" t="s">
        <v>1491</v>
      </c>
      <c r="G60" s="37">
        <v>15.0</v>
      </c>
      <c r="H60" s="37">
        <v>20.0</v>
      </c>
      <c r="I60" s="37" t="s">
        <v>3446</v>
      </c>
      <c r="R60" s="37" t="s">
        <v>3433</v>
      </c>
      <c r="S60" s="37" t="str">
        <f t="shared" si="1"/>
        <v>土の輪</v>
      </c>
      <c r="U60" s="37" t="s">
        <v>3447</v>
      </c>
      <c r="V60" s="37" t="s">
        <v>3354</v>
      </c>
      <c r="W60" s="37" t="s">
        <v>3448</v>
      </c>
      <c r="X60" s="39" t="s">
        <v>3435</v>
      </c>
      <c r="Y60" s="39">
        <v>1.0</v>
      </c>
      <c r="Z60" s="39" t="b">
        <v>1</v>
      </c>
      <c r="AA60" s="39"/>
      <c r="AB60" s="39"/>
      <c r="AC60" s="39"/>
      <c r="AD60" s="39">
        <v>1.0</v>
      </c>
      <c r="AE60" s="39"/>
      <c r="AF60" s="39"/>
      <c r="AG60" s="39"/>
    </row>
    <row r="61" ht="18.75" customHeight="1" outlineLevel="1">
      <c r="A61" s="1" t="s">
        <v>57</v>
      </c>
      <c r="B61" s="11" t="s">
        <v>3444</v>
      </c>
      <c r="C61" s="37" t="str">
        <f>LET(
 _xlpm.dOK,COUNTIF('クラス'!A:A,E61)&gt;0,
 _xlpm.eOK,COUNTIF('クラス'!A:A,F61)&gt;0,
 IF(_xlpm.dOK,"○","×") &amp; IF(_xlpm.eOK,"○","×")
)</f>
        <v>○○</v>
      </c>
      <c r="D61" s="37" t="b">
        <v>1</v>
      </c>
      <c r="E61" s="37" t="s">
        <v>1511</v>
      </c>
      <c r="F61" s="37" t="s">
        <v>1491</v>
      </c>
      <c r="G61" s="37">
        <v>25.0</v>
      </c>
      <c r="H61" s="37">
        <v>30.0</v>
      </c>
      <c r="R61" s="37" t="s">
        <v>3449</v>
      </c>
      <c r="S61" s="37" t="str">
        <f t="shared" si="1"/>
        <v>肉食生物の巣</v>
      </c>
      <c r="U61" s="37" t="s">
        <v>3450</v>
      </c>
      <c r="V61" s="37" t="s">
        <v>3451</v>
      </c>
      <c r="W61" s="37" t="s">
        <v>3452</v>
      </c>
      <c r="X61" s="39" t="s">
        <v>29</v>
      </c>
      <c r="Y61" s="39" t="s">
        <v>29</v>
      </c>
      <c r="AA61" s="37"/>
      <c r="AD61" s="39">
        <v>1.0</v>
      </c>
      <c r="AE61" s="39"/>
      <c r="AF61" s="39"/>
      <c r="AG61" s="39"/>
    </row>
    <row r="62" ht="18.75" customHeight="1" outlineLevel="1">
      <c r="A62" s="1" t="s">
        <v>57</v>
      </c>
      <c r="B62" s="11" t="s">
        <v>3447</v>
      </c>
      <c r="C62" s="37" t="str">
        <f>LET(
 _xlpm.dOK,COUNTIF('クラス'!A:A,E62)&gt;0,
 _xlpm.eOK,COUNTIF('クラス'!A:A,F62)&gt;0,
 IF(_xlpm.dOK,"○","×") &amp; IF(_xlpm.eOK,"○","×")
)</f>
        <v>××</v>
      </c>
      <c r="S62" s="37" t="str">
        <f t="shared" si="1"/>
        <v>地中生物の巣</v>
      </c>
      <c r="U62" s="37" t="s">
        <v>3453</v>
      </c>
      <c r="V62" s="37" t="s">
        <v>3354</v>
      </c>
      <c r="W62" s="37" t="s">
        <v>3454</v>
      </c>
      <c r="X62" s="39" t="s">
        <v>29</v>
      </c>
      <c r="Y62" s="39" t="s">
        <v>29</v>
      </c>
      <c r="AA62" s="37"/>
      <c r="AD62" s="39">
        <v>1.0</v>
      </c>
      <c r="AE62" s="39"/>
      <c r="AF62" s="39"/>
      <c r="AG62" s="39"/>
    </row>
    <row r="63" ht="18.75" customHeight="1" outlineLevel="1">
      <c r="A63" s="1" t="s">
        <v>57</v>
      </c>
      <c r="B63" s="11" t="s">
        <v>3450</v>
      </c>
      <c r="C63" s="37" t="str">
        <f>LET(
 _xlpm.dOK,COUNTIF('クラス'!A:A,E63)&gt;0,
 _xlpm.eOK,COUNTIF('クラス'!A:A,F63)&gt;0,
 IF(_xlpm.dOK,"○","×") &amp; IF(_xlpm.eOK,"○","×")
)</f>
        <v>××</v>
      </c>
      <c r="S63" s="37" t="str">
        <f t="shared" si="1"/>
        <v>水の輪</v>
      </c>
      <c r="U63" s="37" t="s">
        <v>3455</v>
      </c>
      <c r="V63" s="37" t="s">
        <v>3361</v>
      </c>
      <c r="W63" s="37" t="s">
        <v>3456</v>
      </c>
      <c r="X63" s="39" t="s">
        <v>29</v>
      </c>
      <c r="Y63" s="39" t="s">
        <v>29</v>
      </c>
      <c r="AA63" s="37"/>
      <c r="AD63" s="39">
        <v>1.0</v>
      </c>
      <c r="AE63" s="39"/>
      <c r="AF63" s="39"/>
      <c r="AG63" s="39"/>
    </row>
    <row r="64" ht="18.75" customHeight="1" outlineLevel="1">
      <c r="A64" s="1" t="s">
        <v>57</v>
      </c>
      <c r="B64" s="11" t="s">
        <v>3453</v>
      </c>
      <c r="C64" s="37" t="str">
        <f>LET(
 _xlpm.dOK,COUNTIF('クラス'!A:A,E64)&gt;0,
 _xlpm.eOK,COUNTIF('クラス'!A:A,F64)&gt;0,
 IF(_xlpm.dOK,"○","×") &amp; IF(_xlpm.eOK,"○","×")
)</f>
        <v>××</v>
      </c>
      <c r="S64" s="37" t="str">
        <f t="shared" si="1"/>
        <v>地中生物の巣</v>
      </c>
      <c r="U64" s="37" t="s">
        <v>3457</v>
      </c>
      <c r="V64" s="37" t="s">
        <v>3343</v>
      </c>
      <c r="W64" s="37" t="s">
        <v>3458</v>
      </c>
      <c r="X64" s="39" t="s">
        <v>29</v>
      </c>
      <c r="Y64" s="39" t="s">
        <v>29</v>
      </c>
      <c r="AA64" s="37"/>
      <c r="AD64" s="39">
        <v>1.0</v>
      </c>
      <c r="AE64" s="39"/>
      <c r="AF64" s="39"/>
      <c r="AG64" s="39"/>
    </row>
    <row r="65" ht="18.75" customHeight="1" outlineLevel="1">
      <c r="A65" s="1" t="s">
        <v>57</v>
      </c>
      <c r="B65" s="11" t="s">
        <v>3455</v>
      </c>
      <c r="C65" s="37" t="str">
        <f>LET(
 _xlpm.dOK,COUNTIF('クラス'!A:A,E65)&gt;0,
 _xlpm.eOK,COUNTIF('クラス'!A:A,F65)&gt;0,
 IF(_xlpm.dOK,"○","×") &amp; IF(_xlpm.eOK,"○","×")
)</f>
        <v>××</v>
      </c>
      <c r="S65" s="37" t="str">
        <f t="shared" si="1"/>
        <v>飛竜の巣</v>
      </c>
      <c r="U65" s="37" t="s">
        <v>3459</v>
      </c>
      <c r="V65" s="37" t="s">
        <v>3346</v>
      </c>
      <c r="W65" s="37" t="s">
        <v>3460</v>
      </c>
      <c r="X65" s="39" t="s">
        <v>29</v>
      </c>
      <c r="Y65" s="39" t="s">
        <v>29</v>
      </c>
      <c r="AA65" s="37"/>
      <c r="AD65" s="39">
        <v>1.0</v>
      </c>
      <c r="AE65" s="39"/>
      <c r="AF65" s="39"/>
      <c r="AG65" s="39"/>
    </row>
    <row r="66" ht="18.75" customHeight="1" outlineLevel="1">
      <c r="A66" s="1" t="s">
        <v>57</v>
      </c>
      <c r="B66" s="11" t="s">
        <v>3457</v>
      </c>
      <c r="C66" s="37" t="str">
        <f>LET(
 _xlpm.dOK,COUNTIF('クラス'!A:A,E66)&gt;0,
 _xlpm.eOK,COUNTIF('クラス'!A:A,F66)&gt;0,
 IF(_xlpm.dOK,"○","×") &amp; IF(_xlpm.eOK,"○","×")
)</f>
        <v>××</v>
      </c>
      <c r="S66" s="37" t="str">
        <f t="shared" si="1"/>
        <v>鳥系生物の巣</v>
      </c>
      <c r="W66" s="37" t="s">
        <v>3461</v>
      </c>
      <c r="X66" s="39" t="s">
        <v>29</v>
      </c>
      <c r="Y66" s="39" t="s">
        <v>29</v>
      </c>
      <c r="AA66" s="37"/>
      <c r="AD66" s="39">
        <v>1.0</v>
      </c>
      <c r="AE66" s="39"/>
      <c r="AF66" s="39"/>
      <c r="AG66" s="39"/>
    </row>
    <row r="67" ht="18.75" customHeight="1" outlineLevel="1">
      <c r="A67" s="1" t="s">
        <v>57</v>
      </c>
      <c r="B67" s="11" t="s">
        <v>3459</v>
      </c>
      <c r="C67" s="37" t="str">
        <f>LET(
 _xlpm.dOK,COUNTIF('クラス'!A:A,E67)&gt;0,
 _xlpm.eOK,COUNTIF('クラス'!A:A,F67)&gt;0,
 IF(_xlpm.dOK,"○","×") &amp; IF(_xlpm.eOK,"○","×")
)</f>
        <v>××</v>
      </c>
      <c r="S67" s="37" t="str">
        <f t="shared" si="1"/>
        <v>肉食生物の巣</v>
      </c>
      <c r="U67" s="37" t="s">
        <v>3453</v>
      </c>
      <c r="V67" s="37" t="s">
        <v>3354</v>
      </c>
      <c r="W67" s="37" t="s">
        <v>3462</v>
      </c>
      <c r="X67" s="39" t="s">
        <v>3358</v>
      </c>
      <c r="Y67" s="39">
        <v>7.0</v>
      </c>
      <c r="AA67" s="37"/>
      <c r="AD67" s="39">
        <v>1.0</v>
      </c>
      <c r="AE67" s="39"/>
      <c r="AF67" s="39"/>
      <c r="AG67" s="39"/>
    </row>
    <row r="68" ht="18.75" customHeight="1" outlineLevel="1">
      <c r="A68" s="1"/>
      <c r="B68" s="11"/>
      <c r="C68" s="37" t="str">
        <f>LET(
 _xlpm.dOK,COUNTIF('クラス'!A:A,E68)&gt;0,
 _xlpm.eOK,COUNTIF('クラス'!A:A,F68)&gt;0,
 IF(_xlpm.dOK,"○","×") &amp; IF(_xlpm.eOK,"○","×")
)</f>
        <v>××</v>
      </c>
      <c r="S68" s="37" t="str">
        <f t="shared" si="1"/>
        <v/>
      </c>
      <c r="U68" s="37" t="s">
        <v>1920</v>
      </c>
      <c r="V68" s="37" t="s">
        <v>3361</v>
      </c>
      <c r="X68" s="39" t="s">
        <v>29</v>
      </c>
      <c r="Y68" s="39" t="s">
        <v>29</v>
      </c>
      <c r="AA68" s="37"/>
      <c r="AD68" s="37"/>
      <c r="AE68" s="37"/>
      <c r="AF68" s="37"/>
      <c r="AG68" s="37"/>
    </row>
    <row r="69" ht="18.75" customHeight="1">
      <c r="A69" s="1"/>
      <c r="B69" s="11"/>
      <c r="C69" s="37" t="str">
        <f>LET(
 _xlpm.dOK,COUNTIF('クラス'!A:A,E69)&gt;0,
 _xlpm.eOK,COUNTIF('クラス'!A:A,F69)&gt;0,
 IF(_xlpm.dOK,"○","×") &amp; IF(_xlpm.eOK,"○","×")
)</f>
        <v>××</v>
      </c>
      <c r="S69" s="37" t="str">
        <f t="shared" si="1"/>
        <v/>
      </c>
      <c r="U69" s="37" t="s">
        <v>3356</v>
      </c>
      <c r="V69" s="37" t="s">
        <v>3346</v>
      </c>
      <c r="X69" s="39" t="s">
        <v>29</v>
      </c>
      <c r="Y69" s="39" t="s">
        <v>29</v>
      </c>
      <c r="AA69" s="37"/>
      <c r="AD69" s="37"/>
      <c r="AE69" s="37"/>
      <c r="AF69" s="37"/>
      <c r="AG69" s="37"/>
    </row>
    <row r="70" ht="18.75" customHeight="1">
      <c r="A70" s="1" t="s">
        <v>64</v>
      </c>
      <c r="B70" s="11" t="s">
        <v>3453</v>
      </c>
      <c r="C70" s="37" t="str">
        <f>LET(
 _xlpm.dOK,COUNTIF('クラス'!A:A,E70)&gt;0,
 _xlpm.eOK,COUNTIF('クラス'!A:A,F70)&gt;0,
 IF(_xlpm.dOK,"○","×") &amp; IF(_xlpm.eOK,"○","×")
)</f>
        <v>××</v>
      </c>
      <c r="S70" s="37" t="str">
        <f t="shared" si="1"/>
        <v>地中生物の巣</v>
      </c>
      <c r="U70" s="37" t="s">
        <v>3447</v>
      </c>
      <c r="V70" s="37" t="s">
        <v>3354</v>
      </c>
      <c r="W70" s="37" t="s">
        <v>3463</v>
      </c>
      <c r="X70" s="39" t="s">
        <v>29</v>
      </c>
      <c r="Y70" s="39" t="s">
        <v>29</v>
      </c>
      <c r="AA70" s="37"/>
      <c r="AD70" s="39">
        <v>1.0</v>
      </c>
      <c r="AE70" s="39"/>
      <c r="AF70" s="39"/>
      <c r="AG70" s="39"/>
    </row>
    <row r="71" ht="18.75" customHeight="1" outlineLevel="1">
      <c r="A71" s="1" t="s">
        <v>64</v>
      </c>
      <c r="B71" s="11" t="s">
        <v>1920</v>
      </c>
      <c r="C71" s="37" t="str">
        <f>LET(
 _xlpm.dOK,COUNTIF('クラス'!A:A,E71)&gt;0,
 _xlpm.eOK,COUNTIF('クラス'!A:A,F71)&gt;0,
 IF(_xlpm.dOK,"○","×") &amp; IF(_xlpm.eOK,"○","×")
)</f>
        <v>××</v>
      </c>
      <c r="S71" s="37" t="str">
        <f t="shared" si="1"/>
        <v>飛竜の巣</v>
      </c>
      <c r="U71" s="37" t="s">
        <v>3464</v>
      </c>
      <c r="V71" s="37" t="s">
        <v>3343</v>
      </c>
      <c r="W71" s="37" t="s">
        <v>3465</v>
      </c>
      <c r="X71" s="39" t="s">
        <v>29</v>
      </c>
      <c r="Y71" s="39" t="s">
        <v>29</v>
      </c>
      <c r="AA71" s="37"/>
      <c r="AD71" s="39">
        <v>1.0</v>
      </c>
      <c r="AE71" s="39"/>
      <c r="AF71" s="39"/>
      <c r="AG71" s="39"/>
    </row>
    <row r="72" ht="18.75" customHeight="1" outlineLevel="1">
      <c r="A72" s="1" t="s">
        <v>64</v>
      </c>
      <c r="B72" s="11" t="s">
        <v>3356</v>
      </c>
      <c r="C72" s="37" t="str">
        <f>LET(
 _xlpm.dOK,COUNTIF('クラス'!A:A,E72)&gt;0,
 _xlpm.eOK,COUNTIF('クラス'!A:A,F72)&gt;0,
 IF(_xlpm.dOK,"○","×") &amp; IF(_xlpm.eOK,"○","×")
)</f>
        <v>××</v>
      </c>
      <c r="S72" s="37" t="str">
        <f t="shared" si="1"/>
        <v>肉食生物の巣</v>
      </c>
      <c r="W72" s="37" t="s">
        <v>3466</v>
      </c>
      <c r="X72" s="39" t="s">
        <v>3358</v>
      </c>
      <c r="Y72" s="39">
        <v>1.0</v>
      </c>
      <c r="AA72" s="37"/>
      <c r="AD72" s="39">
        <v>1.0</v>
      </c>
      <c r="AE72" s="39"/>
      <c r="AF72" s="39"/>
      <c r="AG72" s="39"/>
    </row>
    <row r="73" ht="18.75" customHeight="1" outlineLevel="1">
      <c r="A73" s="1" t="s">
        <v>64</v>
      </c>
      <c r="B73" s="11" t="s">
        <v>3447</v>
      </c>
      <c r="C73" s="37" t="str">
        <f>LET(
 _xlpm.dOK,COUNTIF('クラス'!A:A,E73)&gt;0,
 _xlpm.eOK,COUNTIF('クラス'!A:A,F73)&gt;0,
 IF(_xlpm.dOK,"○","×") &amp; IF(_xlpm.eOK,"○","×")
)</f>
        <v>××</v>
      </c>
      <c r="S73" s="37" t="str">
        <f t="shared" si="1"/>
        <v>地中生物の巣</v>
      </c>
      <c r="U73" s="37" t="s">
        <v>3467</v>
      </c>
      <c r="V73" s="37" t="s">
        <v>3418</v>
      </c>
      <c r="W73" s="37" t="s">
        <v>3468</v>
      </c>
      <c r="X73" s="39" t="s">
        <v>29</v>
      </c>
      <c r="Y73" s="39" t="s">
        <v>29</v>
      </c>
      <c r="AA73" s="37"/>
      <c r="AD73" s="39">
        <v>1.0</v>
      </c>
      <c r="AE73" s="39"/>
      <c r="AF73" s="39"/>
      <c r="AG73" s="39"/>
    </row>
    <row r="74" ht="18.75" customHeight="1" outlineLevel="1">
      <c r="A74" s="1" t="s">
        <v>64</v>
      </c>
      <c r="B74" s="11" t="s">
        <v>3464</v>
      </c>
      <c r="C74" s="37" t="str">
        <f>LET(
 _xlpm.dOK,COUNTIF('クラス'!A:A,E74)&gt;0,
 _xlpm.eOK,COUNTIF('クラス'!A:A,F74)&gt;0,
 IF(_xlpm.dOK,"○","×") &amp; IF(_xlpm.eOK,"○","×")
)</f>
        <v>××</v>
      </c>
      <c r="S74" s="37" t="str">
        <f t="shared" si="1"/>
        <v>鳥系生物の巣</v>
      </c>
      <c r="U74" s="37" t="s">
        <v>3469</v>
      </c>
      <c r="V74" s="37" t="s">
        <v>3418</v>
      </c>
      <c r="W74" s="37" t="s">
        <v>3470</v>
      </c>
      <c r="X74" s="39" t="s">
        <v>29</v>
      </c>
      <c r="Y74" s="39" t="s">
        <v>29</v>
      </c>
      <c r="AA74" s="37"/>
      <c r="AD74" s="39">
        <v>1.0</v>
      </c>
      <c r="AE74" s="39"/>
      <c r="AF74" s="39"/>
      <c r="AG74" s="39"/>
    </row>
    <row r="75" ht="18.75" customHeight="1" outlineLevel="1">
      <c r="A75" s="1"/>
      <c r="B75" s="11"/>
      <c r="C75" s="37" t="str">
        <f>LET(
 _xlpm.dOK,COUNTIF('クラス'!A:A,E75)&gt;0,
 _xlpm.eOK,COUNTIF('クラス'!A:A,F75)&gt;0,
 IF(_xlpm.dOK,"○","×") &amp; IF(_xlpm.eOK,"○","×")
)</f>
        <v>××</v>
      </c>
      <c r="S75" s="37" t="str">
        <f t="shared" si="1"/>
        <v/>
      </c>
      <c r="U75" s="37" t="s">
        <v>3349</v>
      </c>
      <c r="V75" s="37" t="s">
        <v>3350</v>
      </c>
      <c r="X75" s="39" t="s">
        <v>29</v>
      </c>
      <c r="Y75" s="39" t="s">
        <v>29</v>
      </c>
      <c r="AA75" s="37"/>
      <c r="AD75" s="37"/>
      <c r="AE75" s="37"/>
      <c r="AF75" s="37"/>
      <c r="AG75" s="37"/>
    </row>
    <row r="76" ht="18.75" customHeight="1" outlineLevel="1">
      <c r="A76" s="1" t="s">
        <v>65</v>
      </c>
      <c r="B76" s="11" t="s">
        <v>3467</v>
      </c>
      <c r="C76" s="37" t="str">
        <f>LET(
 _xlpm.dOK,COUNTIF('クラス'!A:A,E76)&gt;0,
 _xlpm.eOK,COUNTIF('クラス'!A:A,F76)&gt;0,
 IF(_xlpm.dOK,"○","×") &amp; IF(_xlpm.eOK,"○","×")
)</f>
        <v>××</v>
      </c>
      <c r="S76" s="37" t="str">
        <f t="shared" si="1"/>
        <v>闇の輪</v>
      </c>
      <c r="U76" s="37" t="s">
        <v>3453</v>
      </c>
      <c r="V76" s="37" t="s">
        <v>3354</v>
      </c>
      <c r="W76" s="37" t="s">
        <v>3471</v>
      </c>
      <c r="X76" s="39" t="s">
        <v>29</v>
      </c>
      <c r="Y76" s="39" t="s">
        <v>29</v>
      </c>
      <c r="AA76" s="39" t="s">
        <v>3472</v>
      </c>
      <c r="AB76" s="39">
        <v>1.0</v>
      </c>
      <c r="AC76" s="39">
        <v>1.0</v>
      </c>
      <c r="AD76" s="39">
        <v>1.0</v>
      </c>
      <c r="AE76" s="39"/>
      <c r="AF76" s="39"/>
      <c r="AG76" s="39"/>
    </row>
    <row r="77" ht="18.75" customHeight="1" outlineLevel="1">
      <c r="A77" s="1" t="s">
        <v>65</v>
      </c>
      <c r="B77" s="11" t="s">
        <v>3469</v>
      </c>
      <c r="C77" s="37" t="str">
        <f>LET(
 _xlpm.dOK,COUNTIF('クラス'!A:A,E77)&gt;0,
 _xlpm.eOK,COUNTIF('クラス'!A:A,F77)&gt;0,
 IF(_xlpm.dOK,"○","×") &amp; IF(_xlpm.eOK,"○","×")
)</f>
        <v>××</v>
      </c>
      <c r="S77" s="37" t="str">
        <f t="shared" si="1"/>
        <v>闇の輪</v>
      </c>
      <c r="U77" s="37" t="s">
        <v>3459</v>
      </c>
      <c r="V77" s="37" t="s">
        <v>3346</v>
      </c>
      <c r="W77" s="37" t="s">
        <v>3473</v>
      </c>
      <c r="X77" s="39" t="s">
        <v>29</v>
      </c>
      <c r="Y77" s="39" t="s">
        <v>29</v>
      </c>
      <c r="AA77" s="39" t="s">
        <v>3474</v>
      </c>
      <c r="AB77" s="39">
        <v>2.0</v>
      </c>
      <c r="AC77" s="39">
        <v>3.0</v>
      </c>
      <c r="AD77" s="39">
        <v>1.0</v>
      </c>
      <c r="AE77" s="39"/>
      <c r="AF77" s="39"/>
      <c r="AG77" s="39"/>
    </row>
    <row r="78" ht="18.75" customHeight="1" outlineLevel="1">
      <c r="A78" s="1" t="s">
        <v>65</v>
      </c>
      <c r="B78" s="11" t="s">
        <v>3349</v>
      </c>
      <c r="C78" s="37" t="str">
        <f>LET(
 _xlpm.dOK,COUNTIF('クラス'!A:A,E78)&gt;0,
 _xlpm.eOK,COUNTIF('クラス'!A:A,F78)&gt;0,
 IF(_xlpm.dOK,"○","×") &amp; IF(_xlpm.eOK,"○","×")
)</f>
        <v>××</v>
      </c>
      <c r="G78" s="39">
        <v>5.0</v>
      </c>
      <c r="H78" s="39">
        <v>10.0</v>
      </c>
      <c r="S78" s="37" t="str">
        <f t="shared" si="1"/>
        <v>虫系の巣</v>
      </c>
      <c r="U78" s="37" t="s">
        <v>3383</v>
      </c>
      <c r="V78" s="37" t="s">
        <v>3354</v>
      </c>
      <c r="W78" s="37" t="s">
        <v>3475</v>
      </c>
      <c r="X78" s="39" t="s">
        <v>3352</v>
      </c>
      <c r="Y78" s="39">
        <v>1.0</v>
      </c>
      <c r="AA78" s="39" t="s">
        <v>3472</v>
      </c>
      <c r="AB78" s="39">
        <v>1.0</v>
      </c>
      <c r="AC78" s="39">
        <v>1.0</v>
      </c>
      <c r="AD78" s="39">
        <v>1.0</v>
      </c>
      <c r="AE78" s="39"/>
      <c r="AF78" s="39"/>
      <c r="AG78" s="39"/>
    </row>
    <row r="79" ht="18.75" customHeight="1" outlineLevel="1">
      <c r="A79" s="1" t="s">
        <v>65</v>
      </c>
      <c r="B79" s="11" t="s">
        <v>3453</v>
      </c>
      <c r="C79" s="37" t="str">
        <f>LET(
 _xlpm.dOK,COUNTIF('クラス'!A:A,E79)&gt;0,
 _xlpm.eOK,COUNTIF('クラス'!A:A,F79)&gt;0,
 IF(_xlpm.dOK,"○","×") &amp; IF(_xlpm.eOK,"○","×")
)</f>
        <v>××</v>
      </c>
      <c r="S79" s="37" t="str">
        <f t="shared" si="1"/>
        <v>地中生物の巣</v>
      </c>
      <c r="W79" s="37" t="s">
        <v>3476</v>
      </c>
      <c r="X79" s="39" t="s">
        <v>29</v>
      </c>
      <c r="Y79" s="39" t="s">
        <v>29</v>
      </c>
      <c r="AA79" s="39" t="s">
        <v>3472</v>
      </c>
      <c r="AB79" s="39">
        <v>1.0</v>
      </c>
      <c r="AC79" s="39">
        <v>1.0</v>
      </c>
      <c r="AD79" s="39">
        <v>1.0</v>
      </c>
      <c r="AE79" s="39"/>
      <c r="AF79" s="39"/>
      <c r="AG79" s="39"/>
    </row>
    <row r="80" ht="18.75" customHeight="1" outlineLevel="1">
      <c r="A80" s="1" t="s">
        <v>65</v>
      </c>
      <c r="B80" s="11" t="s">
        <v>3459</v>
      </c>
      <c r="C80" s="37" t="str">
        <f>LET(
 _xlpm.dOK,COUNTIF('クラス'!A:A,E80)&gt;0,
 _xlpm.eOK,COUNTIF('クラス'!A:A,F80)&gt;0,
 IF(_xlpm.dOK,"○","×") &amp; IF(_xlpm.eOK,"○","×")
)</f>
        <v>××</v>
      </c>
      <c r="R80" s="37" t="s">
        <v>3459</v>
      </c>
      <c r="S80" s="37" t="str">
        <f t="shared" si="1"/>
        <v>肉食生物の巣</v>
      </c>
      <c r="U80" s="37" t="s">
        <v>1480</v>
      </c>
      <c r="V80" s="37" t="s">
        <v>3451</v>
      </c>
      <c r="W80" s="37" t="s">
        <v>3477</v>
      </c>
      <c r="X80" s="39" t="s">
        <v>3358</v>
      </c>
      <c r="Y80" s="39">
        <v>7.0</v>
      </c>
      <c r="AA80" s="39" t="s">
        <v>3472</v>
      </c>
      <c r="AB80" s="39">
        <v>1.0</v>
      </c>
      <c r="AC80" s="39">
        <v>1.0</v>
      </c>
      <c r="AD80" s="39">
        <v>1.0</v>
      </c>
      <c r="AE80" s="39"/>
      <c r="AF80" s="39"/>
      <c r="AG80" s="39"/>
    </row>
    <row r="81" ht="18.75" customHeight="1" outlineLevel="1">
      <c r="A81" s="1" t="s">
        <v>65</v>
      </c>
      <c r="B81" s="11" t="s">
        <v>3383</v>
      </c>
      <c r="C81" s="37" t="str">
        <f>LET(
 _xlpm.dOK,COUNTIF('クラス'!A:A,E81)&gt;0,
 _xlpm.eOK,COUNTIF('クラス'!A:A,F81)&gt;0,
 IF(_xlpm.dOK,"○","×") &amp; IF(_xlpm.eOK,"○","×")
)</f>
        <v>××</v>
      </c>
      <c r="R81" s="37" t="s">
        <v>3383</v>
      </c>
      <c r="S81" s="37" t="str">
        <f t="shared" si="1"/>
        <v>地中生物の巣</v>
      </c>
      <c r="U81" s="37" t="s">
        <v>3478</v>
      </c>
      <c r="V81" s="37" t="s">
        <v>3379</v>
      </c>
      <c r="W81" s="37" t="s">
        <v>3479</v>
      </c>
      <c r="X81" s="39" t="s">
        <v>3371</v>
      </c>
      <c r="Y81" s="39">
        <v>3.0</v>
      </c>
      <c r="AA81" s="39" t="s">
        <v>3472</v>
      </c>
      <c r="AB81" s="39">
        <v>1.0</v>
      </c>
      <c r="AC81" s="39">
        <v>1.0</v>
      </c>
      <c r="AD81" s="39">
        <v>1.0</v>
      </c>
      <c r="AE81" s="39"/>
      <c r="AF81" s="39"/>
      <c r="AG81" s="39"/>
    </row>
    <row r="82" ht="18.75" customHeight="1" outlineLevel="1">
      <c r="A82" s="1"/>
      <c r="B82" s="11"/>
      <c r="C82" s="37" t="str">
        <f>LET(
 _xlpm.dOK,COUNTIF('クラス'!A:A,E82)&gt;0,
 _xlpm.eOK,COUNTIF('クラス'!A:A,F82)&gt;0,
 IF(_xlpm.dOK,"○","×") &amp; IF(_xlpm.eOK,"○","×")
)</f>
        <v>××</v>
      </c>
      <c r="S82" s="37" t="str">
        <f t="shared" si="1"/>
        <v/>
      </c>
      <c r="X82" s="39" t="s">
        <v>29</v>
      </c>
      <c r="Y82" s="39" t="s">
        <v>29</v>
      </c>
      <c r="AA82" s="37"/>
      <c r="AD82" s="37"/>
      <c r="AE82" s="37"/>
      <c r="AF82" s="37"/>
      <c r="AG82" s="37"/>
    </row>
    <row r="83" ht="18.75" customHeight="1">
      <c r="A83" s="1"/>
      <c r="B83" s="11"/>
      <c r="C83" s="37" t="str">
        <f>LET(
 _xlpm.dOK,COUNTIF('クラス'!A:A,E83)&gt;0,
 _xlpm.eOK,COUNTIF('クラス'!A:A,F83)&gt;0,
 IF(_xlpm.dOK,"○","×") &amp; IF(_xlpm.eOK,"○","×")
)</f>
        <v>××</v>
      </c>
      <c r="S83" s="37" t="str">
        <f t="shared" si="1"/>
        <v/>
      </c>
      <c r="U83" s="37" t="s">
        <v>1480</v>
      </c>
      <c r="V83" s="37" t="s">
        <v>3451</v>
      </c>
      <c r="X83" s="39" t="s">
        <v>29</v>
      </c>
      <c r="Y83" s="39" t="s">
        <v>29</v>
      </c>
      <c r="AA83" s="37"/>
      <c r="AD83" s="37"/>
      <c r="AE83" s="37"/>
      <c r="AF83" s="37"/>
      <c r="AG83" s="37"/>
    </row>
    <row r="84" ht="18.75" customHeight="1">
      <c r="A84" s="1" t="s">
        <v>59</v>
      </c>
      <c r="B84" s="11" t="s">
        <v>1480</v>
      </c>
      <c r="C84" s="37" t="str">
        <f>LET(
 _xlpm.dOK,COUNTIF('クラス'!A:A,E84)&gt;0,
 _xlpm.eOK,COUNTIF('クラス'!A:A,F84)&gt;0,
 IF(_xlpm.dOK,"○","×") &amp; IF(_xlpm.eOK,"○","×")
)</f>
        <v>○×</v>
      </c>
      <c r="E84" s="37" t="s">
        <v>1480</v>
      </c>
      <c r="G84" s="39">
        <v>5.0</v>
      </c>
      <c r="H84" s="39">
        <v>15.0</v>
      </c>
      <c r="R84" s="37" t="s">
        <v>1483</v>
      </c>
      <c r="S84" s="37" t="str">
        <f t="shared" si="1"/>
        <v>水の輪</v>
      </c>
      <c r="U84" s="37" t="s">
        <v>3480</v>
      </c>
      <c r="V84" s="37" t="s">
        <v>3346</v>
      </c>
      <c r="W84" s="37" t="s">
        <v>3481</v>
      </c>
      <c r="X84" s="39" t="s">
        <v>3482</v>
      </c>
      <c r="Y84" s="39">
        <v>9.0</v>
      </c>
      <c r="Z84" s="39" t="b">
        <v>1</v>
      </c>
      <c r="AA84" s="39"/>
      <c r="AB84" s="39"/>
      <c r="AC84" s="39"/>
      <c r="AD84" s="39">
        <v>1.0</v>
      </c>
      <c r="AE84" s="39"/>
      <c r="AF84" s="39"/>
      <c r="AG84" s="39"/>
    </row>
    <row r="85" ht="18.75" customHeight="1" outlineLevel="1">
      <c r="A85" s="1" t="s">
        <v>59</v>
      </c>
      <c r="B85" s="11" t="s">
        <v>3478</v>
      </c>
      <c r="C85" s="37" t="str">
        <f>LET(
 _xlpm.dOK,COUNTIF('クラス'!A:A,E85)&gt;0,
 _xlpm.eOK,COUNTIF('クラス'!A:A,F85)&gt;0,
 IF(_xlpm.dOK,"○","×") &amp; IF(_xlpm.eOK,"○","×")
)</f>
        <v>○○</v>
      </c>
      <c r="D85" s="37" t="b">
        <v>1</v>
      </c>
      <c r="E85" s="37" t="s">
        <v>1504</v>
      </c>
      <c r="F85" s="37" t="s">
        <v>1778</v>
      </c>
      <c r="G85" s="39">
        <v>8.0</v>
      </c>
      <c r="H85" s="39">
        <v>13.0</v>
      </c>
      <c r="R85" s="37" t="s">
        <v>1504</v>
      </c>
      <c r="S85" s="37" t="str">
        <f t="shared" si="1"/>
        <v>毒生成物の巣</v>
      </c>
      <c r="W85" s="37" t="s">
        <v>3483</v>
      </c>
      <c r="X85" s="39" t="s">
        <v>3345</v>
      </c>
      <c r="Y85" s="39">
        <v>8.0</v>
      </c>
      <c r="AA85" s="37"/>
      <c r="AD85" s="39">
        <v>1.0</v>
      </c>
      <c r="AE85" s="39">
        <v>0.0</v>
      </c>
      <c r="AF85" s="39">
        <v>45.0</v>
      </c>
      <c r="AG85" s="39" t="s">
        <v>3348</v>
      </c>
    </row>
    <row r="86" ht="18.75" customHeight="1" outlineLevel="1">
      <c r="A86" s="1"/>
      <c r="B86" s="11"/>
      <c r="C86" s="37" t="str">
        <f>LET(
 _xlpm.dOK,COUNTIF('クラス'!A:A,E86)&gt;0,
 _xlpm.eOK,COUNTIF('クラス'!A:A,F86)&gt;0,
 IF(_xlpm.dOK,"○","×") &amp; IF(_xlpm.eOK,"○","×")
)</f>
        <v>××</v>
      </c>
      <c r="S86" s="37" t="str">
        <f t="shared" si="1"/>
        <v/>
      </c>
      <c r="U86" s="37" t="s">
        <v>3480</v>
      </c>
      <c r="V86" s="37" t="s">
        <v>3346</v>
      </c>
      <c r="X86" s="39" t="s">
        <v>29</v>
      </c>
      <c r="Y86" s="39" t="s">
        <v>29</v>
      </c>
      <c r="AA86" s="37"/>
      <c r="AD86" s="37"/>
      <c r="AE86" s="37"/>
      <c r="AF86" s="37"/>
      <c r="AG86" s="37"/>
    </row>
    <row r="87" ht="18.75" customHeight="1" outlineLevel="1">
      <c r="A87" s="1" t="s">
        <v>60</v>
      </c>
      <c r="B87" s="11" t="s">
        <v>1480</v>
      </c>
      <c r="C87" s="37" t="str">
        <f>LET(
 _xlpm.dOK,COUNTIF('クラス'!A:A,E87)&gt;0,
 _xlpm.eOK,COUNTIF('クラス'!A:A,F87)&gt;0,
 IF(_xlpm.dOK,"○","×") &amp; IF(_xlpm.eOK,"○","×")
)</f>
        <v>○×</v>
      </c>
      <c r="E87" s="37" t="s">
        <v>1480</v>
      </c>
      <c r="G87" s="37">
        <v>15.0</v>
      </c>
      <c r="H87" s="37">
        <v>30.0</v>
      </c>
      <c r="R87" s="37" t="s">
        <v>1483</v>
      </c>
      <c r="S87" s="37" t="str">
        <f t="shared" si="1"/>
        <v>水の輪</v>
      </c>
      <c r="U87" s="37" t="s">
        <v>1480</v>
      </c>
      <c r="V87" s="37" t="s">
        <v>3451</v>
      </c>
      <c r="W87" s="37" t="s">
        <v>3484</v>
      </c>
      <c r="X87" s="39" t="s">
        <v>3482</v>
      </c>
      <c r="Y87" s="39">
        <v>9.0</v>
      </c>
      <c r="Z87" s="39" t="b">
        <v>1</v>
      </c>
      <c r="AA87" s="39"/>
      <c r="AB87" s="39"/>
      <c r="AC87" s="39"/>
      <c r="AD87" s="39">
        <v>1.0</v>
      </c>
      <c r="AE87" s="39"/>
      <c r="AF87" s="39"/>
      <c r="AG87" s="39"/>
    </row>
    <row r="88" ht="18.75" customHeight="1" outlineLevel="1">
      <c r="A88" s="1" t="s">
        <v>60</v>
      </c>
      <c r="B88" s="11" t="s">
        <v>3480</v>
      </c>
      <c r="C88" s="37" t="str">
        <f>LET(
 _xlpm.dOK,COUNTIF('クラス'!A:A,E88)&gt;0,
 _xlpm.eOK,COUNTIF('クラス'!A:A,F88)&gt;0,
 IF(_xlpm.dOK,"○","×") &amp; IF(_xlpm.eOK,"○","×")
)</f>
        <v>○○</v>
      </c>
      <c r="D88" s="37" t="b">
        <v>1</v>
      </c>
      <c r="E88" s="37" t="s">
        <v>1504</v>
      </c>
      <c r="F88" s="37" t="s">
        <v>1781</v>
      </c>
      <c r="G88" s="39">
        <v>8.0</v>
      </c>
      <c r="H88" s="39">
        <v>13.0</v>
      </c>
      <c r="S88" s="37" t="str">
        <f t="shared" si="1"/>
        <v>肉食生物の巣</v>
      </c>
      <c r="W88" s="37" t="s">
        <v>3485</v>
      </c>
      <c r="X88" s="39" t="s">
        <v>29</v>
      </c>
      <c r="Y88" s="39" t="s">
        <v>29</v>
      </c>
      <c r="AA88" s="37"/>
      <c r="AD88" s="39">
        <v>1.0</v>
      </c>
      <c r="AE88" s="39">
        <v>0.0</v>
      </c>
      <c r="AF88" s="39">
        <v>45.0</v>
      </c>
      <c r="AG88" s="39" t="s">
        <v>3348</v>
      </c>
    </row>
    <row r="89" ht="18.75" customHeight="1" outlineLevel="1">
      <c r="A89" s="1"/>
      <c r="B89" s="11"/>
      <c r="C89" s="37" t="str">
        <f>LET(
 _xlpm.dOK,COUNTIF('クラス'!A:A,E89)&gt;0,
 _xlpm.eOK,COUNTIF('クラス'!A:A,F89)&gt;0,
 IF(_xlpm.dOK,"○","×") &amp; IF(_xlpm.eOK,"○","×")
)</f>
        <v>××</v>
      </c>
      <c r="S89" s="37" t="str">
        <f t="shared" si="1"/>
        <v/>
      </c>
      <c r="U89" s="37" t="s">
        <v>3455</v>
      </c>
      <c r="V89" s="37" t="s">
        <v>3361</v>
      </c>
      <c r="X89" s="39" t="s">
        <v>29</v>
      </c>
      <c r="Y89" s="39" t="s">
        <v>29</v>
      </c>
      <c r="AA89" s="37"/>
      <c r="AD89" s="37"/>
      <c r="AE89" s="37"/>
      <c r="AF89" s="37"/>
      <c r="AG89" s="37"/>
    </row>
    <row r="90" ht="18.75" customHeight="1" outlineLevel="1">
      <c r="A90" s="1" t="s">
        <v>61</v>
      </c>
      <c r="B90" s="11" t="s">
        <v>3480</v>
      </c>
      <c r="C90" s="37" t="str">
        <f>LET(
 _xlpm.dOK,COUNTIF('クラス'!A:A,E90)&gt;0,
 _xlpm.eOK,COUNTIF('クラス'!A:A,F90)&gt;0,
 IF(_xlpm.dOK,"○","×") &amp; IF(_xlpm.eOK,"○","×")
)</f>
        <v>○○</v>
      </c>
      <c r="E90" s="37" t="s">
        <v>1504</v>
      </c>
      <c r="F90" s="37" t="s">
        <v>1781</v>
      </c>
      <c r="G90" s="39">
        <v>8.0</v>
      </c>
      <c r="H90" s="39">
        <v>13.0</v>
      </c>
      <c r="S90" s="37" t="str">
        <f t="shared" si="1"/>
        <v>肉食生物の巣</v>
      </c>
      <c r="U90" s="37" t="s">
        <v>3486</v>
      </c>
      <c r="V90" s="37" t="s">
        <v>3487</v>
      </c>
      <c r="W90" s="37" t="s">
        <v>3488</v>
      </c>
      <c r="X90" s="39" t="s">
        <v>29</v>
      </c>
      <c r="Y90" s="39" t="s">
        <v>29</v>
      </c>
      <c r="AA90" s="37"/>
      <c r="AD90" s="39">
        <v>1.0</v>
      </c>
      <c r="AE90" s="39">
        <v>0.0</v>
      </c>
      <c r="AF90" s="39">
        <v>45.0</v>
      </c>
      <c r="AG90" s="39" t="s">
        <v>3348</v>
      </c>
    </row>
    <row r="91" ht="18.75" customHeight="1" outlineLevel="1">
      <c r="A91" s="1" t="s">
        <v>61</v>
      </c>
      <c r="B91" s="11" t="s">
        <v>1480</v>
      </c>
      <c r="C91" s="37" t="str">
        <f>LET(
 _xlpm.dOK,COUNTIF('クラス'!A:A,E91)&gt;0,
 _xlpm.eOK,COUNTIF('クラス'!A:A,F91)&gt;0,
 IF(_xlpm.dOK,"○","×") &amp; IF(_xlpm.eOK,"○","×")
)</f>
        <v>○×</v>
      </c>
      <c r="E91" s="37" t="s">
        <v>1480</v>
      </c>
      <c r="G91" s="37">
        <v>15.0</v>
      </c>
      <c r="H91" s="37">
        <v>30.0</v>
      </c>
      <c r="R91" s="37" t="s">
        <v>1483</v>
      </c>
      <c r="S91" s="37" t="str">
        <f t="shared" si="1"/>
        <v>水の輪</v>
      </c>
      <c r="U91" s="37" t="s">
        <v>3489</v>
      </c>
      <c r="V91" s="37" t="s">
        <v>3487</v>
      </c>
      <c r="W91" s="37" t="s">
        <v>3490</v>
      </c>
      <c r="X91" s="39" t="s">
        <v>3482</v>
      </c>
      <c r="Y91" s="39">
        <v>9.0</v>
      </c>
      <c r="Z91" s="39" t="b">
        <v>1</v>
      </c>
      <c r="AA91" s="39"/>
      <c r="AB91" s="39"/>
      <c r="AC91" s="39"/>
      <c r="AD91" s="39">
        <v>1.0</v>
      </c>
      <c r="AE91" s="39"/>
      <c r="AF91" s="39"/>
      <c r="AG91" s="39"/>
    </row>
    <row r="92" ht="18.75" customHeight="1" outlineLevel="1">
      <c r="A92" s="1"/>
      <c r="B92" s="11"/>
      <c r="C92" s="37" t="str">
        <f>LET(
 _xlpm.dOK,COUNTIF('クラス'!A:A,E92)&gt;0,
 _xlpm.eOK,COUNTIF('クラス'!A:A,F92)&gt;0,
 IF(_xlpm.dOK,"○","×") &amp; IF(_xlpm.eOK,"○","×")
)</f>
        <v>××</v>
      </c>
      <c r="S92" s="37" t="str">
        <f t="shared" si="1"/>
        <v/>
      </c>
      <c r="X92" s="39" t="s">
        <v>29</v>
      </c>
      <c r="Y92" s="39" t="s">
        <v>29</v>
      </c>
      <c r="AA92" s="37"/>
      <c r="AD92" s="37"/>
      <c r="AE92" s="37"/>
      <c r="AF92" s="37"/>
      <c r="AG92" s="37"/>
    </row>
    <row r="93" ht="18.75" customHeight="1">
      <c r="A93" s="1"/>
      <c r="B93" s="11"/>
      <c r="C93" s="37" t="str">
        <f>LET(
 _xlpm.dOK,COUNTIF('クラス'!A:A,E93)&gt;0,
 _xlpm.eOK,COUNTIF('クラス'!A:A,F93)&gt;0,
 IF(_xlpm.dOK,"○","×") &amp; IF(_xlpm.eOK,"○","×")
)</f>
        <v>××</v>
      </c>
      <c r="S93" s="37" t="str">
        <f t="shared" si="1"/>
        <v/>
      </c>
      <c r="U93" s="37" t="s">
        <v>3486</v>
      </c>
      <c r="V93" s="37" t="s">
        <v>3487</v>
      </c>
      <c r="X93" s="39" t="s">
        <v>29</v>
      </c>
      <c r="Y93" s="39" t="s">
        <v>29</v>
      </c>
      <c r="AA93" s="37"/>
      <c r="AD93" s="37"/>
      <c r="AE93" s="37"/>
      <c r="AF93" s="37"/>
      <c r="AG93" s="37"/>
    </row>
    <row r="94" ht="18.75" customHeight="1">
      <c r="A94" s="1" t="s">
        <v>67</v>
      </c>
      <c r="B94" s="11" t="s">
        <v>3455</v>
      </c>
      <c r="C94" s="37" t="str">
        <f>LET(
 _xlpm.dOK,COUNTIF('クラス'!A:A,E94)&gt;0,
 _xlpm.eOK,COUNTIF('クラス'!A:A,F94)&gt;0,
 IF(_xlpm.dOK,"○","×") &amp; IF(_xlpm.eOK,"○","×")
)</f>
        <v>××</v>
      </c>
      <c r="S94" s="37" t="str">
        <f t="shared" si="1"/>
        <v>飛竜の巣</v>
      </c>
      <c r="U94" s="37" t="s">
        <v>3491</v>
      </c>
      <c r="V94" s="37" t="s">
        <v>3487</v>
      </c>
      <c r="W94" s="37" t="s">
        <v>3492</v>
      </c>
      <c r="X94" s="39" t="s">
        <v>29</v>
      </c>
      <c r="Y94" s="39" t="s">
        <v>29</v>
      </c>
      <c r="AA94" s="37"/>
      <c r="AD94" s="39">
        <v>1.0</v>
      </c>
      <c r="AE94" s="39"/>
      <c r="AF94" s="39"/>
      <c r="AG94" s="39"/>
    </row>
    <row r="95" ht="18.75" customHeight="1" outlineLevel="1">
      <c r="A95" s="1" t="s">
        <v>67</v>
      </c>
      <c r="B95" s="11" t="s">
        <v>3486</v>
      </c>
      <c r="C95" s="37" t="str">
        <f>LET(
 _xlpm.dOK,COUNTIF('クラス'!A:A,E95)&gt;0,
 _xlpm.eOK,COUNTIF('クラス'!A:A,F95)&gt;0,
 IF(_xlpm.dOK,"○","×") &amp; IF(_xlpm.eOK,"○","×")
)</f>
        <v>○×</v>
      </c>
      <c r="D95" s="11"/>
      <c r="E95" s="11" t="s">
        <v>1477</v>
      </c>
      <c r="G95" s="37">
        <v>15.0</v>
      </c>
      <c r="H95" s="37">
        <v>30.0</v>
      </c>
      <c r="R95" s="37" t="s">
        <v>3493</v>
      </c>
      <c r="S95" s="37" t="str">
        <f t="shared" si="1"/>
        <v>炎の輪</v>
      </c>
      <c r="U95" s="37" t="s">
        <v>1942</v>
      </c>
      <c r="V95" s="37" t="s">
        <v>3379</v>
      </c>
      <c r="W95" s="37" t="s">
        <v>3494</v>
      </c>
      <c r="X95" s="39" t="s">
        <v>3495</v>
      </c>
      <c r="Y95" s="39">
        <v>1.0</v>
      </c>
      <c r="Z95" s="39" t="b">
        <v>1</v>
      </c>
      <c r="AA95" s="39"/>
      <c r="AB95" s="39"/>
      <c r="AC95" s="39"/>
      <c r="AD95" s="39">
        <v>1.0</v>
      </c>
      <c r="AE95" s="39">
        <v>15.0</v>
      </c>
      <c r="AF95" s="39">
        <v>60.0</v>
      </c>
      <c r="AG95" s="39" t="s">
        <v>3496</v>
      </c>
    </row>
    <row r="96" ht="18.75" customHeight="1" outlineLevel="1">
      <c r="A96" s="1" t="s">
        <v>67</v>
      </c>
      <c r="B96" s="11" t="s">
        <v>3489</v>
      </c>
      <c r="C96" s="37" t="str">
        <f>LET(
 _xlpm.dOK,COUNTIF('クラス'!A:A,E96)&gt;0,
 _xlpm.eOK,COUNTIF('クラス'!A:A,F96)&gt;0,
 IF(_xlpm.dOK,"○","×") &amp; IF(_xlpm.eOK,"○","×")
)</f>
        <v>××</v>
      </c>
      <c r="S96" s="37" t="str">
        <f t="shared" si="1"/>
        <v>炎の輪</v>
      </c>
      <c r="W96" s="37" t="s">
        <v>3497</v>
      </c>
      <c r="X96" s="39" t="s">
        <v>29</v>
      </c>
      <c r="Y96" s="39" t="s">
        <v>29</v>
      </c>
      <c r="AA96" s="37"/>
      <c r="AD96" s="39">
        <v>1.0</v>
      </c>
      <c r="AE96" s="39"/>
      <c r="AF96" s="39"/>
      <c r="AG96" s="39"/>
    </row>
    <row r="97" ht="18.75" customHeight="1" outlineLevel="1">
      <c r="A97" s="1"/>
      <c r="B97" s="11"/>
      <c r="C97" s="37" t="str">
        <f>LET(
 _xlpm.dOK,COUNTIF('クラス'!A:A,E97)&gt;0,
 _xlpm.eOK,COUNTIF('クラス'!A:A,F97)&gt;0,
 IF(_xlpm.dOK,"○","×") &amp; IF(_xlpm.eOK,"○","×")
)</f>
        <v>××</v>
      </c>
      <c r="S97" s="37" t="str">
        <f t="shared" si="1"/>
        <v/>
      </c>
      <c r="U97" s="37" t="s">
        <v>3450</v>
      </c>
      <c r="V97" s="37" t="s">
        <v>3451</v>
      </c>
      <c r="X97" s="39" t="s">
        <v>29</v>
      </c>
      <c r="Y97" s="39" t="s">
        <v>29</v>
      </c>
      <c r="AA97" s="37"/>
      <c r="AD97" s="37"/>
      <c r="AE97" s="37"/>
      <c r="AF97" s="37"/>
      <c r="AG97" s="37"/>
    </row>
    <row r="98" ht="18.75" customHeight="1" outlineLevel="1">
      <c r="A98" s="1"/>
      <c r="B98" s="11"/>
      <c r="C98" s="37" t="str">
        <f>LET(
 _xlpm.dOK,COUNTIF('クラス'!A:A,E98)&gt;0,
 _xlpm.eOK,COUNTIF('クラス'!A:A,F98)&gt;0,
 IF(_xlpm.dOK,"○","×") &amp; IF(_xlpm.eOK,"○","×")
)</f>
        <v>××</v>
      </c>
      <c r="S98" s="37" t="str">
        <f t="shared" si="1"/>
        <v/>
      </c>
      <c r="U98" s="37" t="s">
        <v>3498</v>
      </c>
      <c r="V98" s="37" t="s">
        <v>3346</v>
      </c>
      <c r="X98" s="39" t="s">
        <v>29</v>
      </c>
      <c r="Y98" s="39" t="s">
        <v>29</v>
      </c>
      <c r="AA98" s="37"/>
      <c r="AD98" s="37"/>
      <c r="AE98" s="37"/>
      <c r="AF98" s="37"/>
      <c r="AG98" s="37"/>
    </row>
    <row r="99" ht="18.75" customHeight="1" outlineLevel="1">
      <c r="A99" s="1" t="s">
        <v>68</v>
      </c>
      <c r="B99" s="11" t="s">
        <v>3486</v>
      </c>
      <c r="C99" s="37" t="str">
        <f>LET(
 _xlpm.dOK,COUNTIF('クラス'!A:A,E99)&gt;0,
 _xlpm.eOK,COUNTIF('クラス'!A:A,F99)&gt;0,
 IF(_xlpm.dOK,"○","×") &amp; IF(_xlpm.eOK,"○","×")
)</f>
        <v>○×</v>
      </c>
      <c r="D99" s="11"/>
      <c r="E99" s="11" t="s">
        <v>1477</v>
      </c>
      <c r="G99" s="39">
        <v>5.0</v>
      </c>
      <c r="H99" s="39">
        <v>15.0</v>
      </c>
      <c r="R99" s="37" t="s">
        <v>3493</v>
      </c>
      <c r="S99" s="37" t="str">
        <f t="shared" si="1"/>
        <v>炎の輪</v>
      </c>
      <c r="U99" s="37" t="s">
        <v>3499</v>
      </c>
      <c r="V99" s="37" t="s">
        <v>3346</v>
      </c>
      <c r="W99" s="37" t="s">
        <v>3500</v>
      </c>
      <c r="X99" s="39" t="s">
        <v>3495</v>
      </c>
      <c r="Y99" s="39">
        <v>1.0</v>
      </c>
      <c r="Z99" s="39" t="b">
        <v>1</v>
      </c>
      <c r="AA99" s="39"/>
      <c r="AB99" s="39"/>
      <c r="AC99" s="39"/>
      <c r="AD99" s="39">
        <v>1.0</v>
      </c>
      <c r="AE99" s="39">
        <v>15.0</v>
      </c>
      <c r="AF99" s="39">
        <v>60.0</v>
      </c>
      <c r="AG99" s="39" t="s">
        <v>3496</v>
      </c>
    </row>
    <row r="100" ht="18.75" customHeight="1" outlineLevel="1">
      <c r="A100" s="1" t="s">
        <v>68</v>
      </c>
      <c r="B100" s="11" t="s">
        <v>3491</v>
      </c>
      <c r="C100" s="37" t="str">
        <f>LET(
 _xlpm.dOK,COUNTIF('クラス'!A:A,E100)&gt;0,
 _xlpm.eOK,COUNTIF('クラス'!A:A,F100)&gt;0,
 IF(_xlpm.dOK,"○","×") &amp; IF(_xlpm.eOK,"○","×")
)</f>
        <v>××</v>
      </c>
      <c r="S100" s="37" t="str">
        <f t="shared" si="1"/>
        <v>炎の輪</v>
      </c>
      <c r="U100" s="37" t="s">
        <v>1479</v>
      </c>
      <c r="V100" s="37" t="s">
        <v>3451</v>
      </c>
      <c r="W100" s="37" t="s">
        <v>3501</v>
      </c>
      <c r="X100" s="39" t="s">
        <v>29</v>
      </c>
      <c r="Y100" s="39" t="s">
        <v>29</v>
      </c>
      <c r="AA100" s="37"/>
      <c r="AD100" s="39">
        <v>1.0</v>
      </c>
      <c r="AE100" s="39"/>
      <c r="AF100" s="39"/>
      <c r="AG100" s="39"/>
    </row>
    <row r="101" ht="18.75" customHeight="1" outlineLevel="1">
      <c r="A101" s="1" t="s">
        <v>68</v>
      </c>
      <c r="B101" s="11" t="s">
        <v>1942</v>
      </c>
      <c r="C101" s="37" t="str">
        <f>LET(
 _xlpm.dOK,COUNTIF('クラス'!A:A,E101)&gt;0,
 _xlpm.eOK,COUNTIF('クラス'!A:A,F101)&gt;0,
 IF(_xlpm.dOK,"○","×") &amp; IF(_xlpm.eOK,"○","×")
)</f>
        <v>××</v>
      </c>
      <c r="S101" s="37" t="str">
        <f t="shared" si="1"/>
        <v>毒生成物の巣</v>
      </c>
      <c r="W101" s="37" t="s">
        <v>3502</v>
      </c>
      <c r="X101" s="39" t="s">
        <v>29</v>
      </c>
      <c r="Y101" s="39" t="s">
        <v>29</v>
      </c>
      <c r="AA101" s="37"/>
      <c r="AD101" s="39">
        <v>1.0</v>
      </c>
      <c r="AE101" s="39"/>
      <c r="AF101" s="39"/>
      <c r="AG101" s="39"/>
    </row>
    <row r="102" ht="18.75" customHeight="1" outlineLevel="1">
      <c r="A102" s="1"/>
      <c r="B102" s="11"/>
      <c r="C102" s="37" t="str">
        <f>LET(
 _xlpm.dOK,COUNTIF('クラス'!A:A,E102)&gt;0,
 _xlpm.eOK,COUNTIF('クラス'!A:A,F102)&gt;0,
 IF(_xlpm.dOK,"○","×") &amp; IF(_xlpm.eOK,"○","×")
)</f>
        <v>××</v>
      </c>
      <c r="S102" s="37" t="str">
        <f t="shared" si="1"/>
        <v/>
      </c>
      <c r="X102" s="39" t="s">
        <v>29</v>
      </c>
      <c r="Y102" s="39" t="s">
        <v>29</v>
      </c>
      <c r="AA102" s="37"/>
      <c r="AD102" s="37"/>
      <c r="AE102" s="37"/>
      <c r="AF102" s="37"/>
      <c r="AG102" s="37"/>
    </row>
    <row r="103" ht="18.75" customHeight="1">
      <c r="A103" s="1"/>
      <c r="B103" s="11"/>
      <c r="C103" s="37" t="str">
        <f>LET(
 _xlpm.dOK,COUNTIF('クラス'!A:A,E103)&gt;0,
 _xlpm.eOK,COUNTIF('クラス'!A:A,F103)&gt;0,
 IF(_xlpm.dOK,"○","×") &amp; IF(_xlpm.eOK,"○","×")
)</f>
        <v>××</v>
      </c>
      <c r="S103" s="37" t="str">
        <f t="shared" si="1"/>
        <v/>
      </c>
      <c r="X103" s="39" t="s">
        <v>29</v>
      </c>
      <c r="Y103" s="39" t="s">
        <v>29</v>
      </c>
      <c r="AA103" s="37"/>
      <c r="AD103" s="37"/>
      <c r="AE103" s="37"/>
      <c r="AF103" s="37"/>
      <c r="AG103" s="37"/>
    </row>
    <row r="104" ht="18.75" customHeight="1">
      <c r="A104" s="1" t="s">
        <v>66</v>
      </c>
      <c r="B104" s="11" t="s">
        <v>3450</v>
      </c>
      <c r="C104" s="37" t="str">
        <f>LET(
 _xlpm.dOK,COUNTIF('クラス'!A:A,E104)&gt;0,
 _xlpm.eOK,COUNTIF('クラス'!A:A,F104)&gt;0,
 IF(_xlpm.dOK,"○","×") &amp; IF(_xlpm.eOK,"○","×")
)</f>
        <v>××</v>
      </c>
      <c r="S104" s="37" t="str">
        <f t="shared" si="1"/>
        <v>水の輪</v>
      </c>
      <c r="W104" s="37" t="s">
        <v>3503</v>
      </c>
      <c r="X104" s="39" t="s">
        <v>29</v>
      </c>
      <c r="Y104" s="39" t="s">
        <v>29</v>
      </c>
      <c r="AA104" s="37"/>
      <c r="AD104" s="39">
        <v>1.0</v>
      </c>
      <c r="AE104" s="39"/>
      <c r="AF104" s="39"/>
      <c r="AG104" s="39"/>
    </row>
    <row r="105" ht="18.75" customHeight="1" outlineLevel="1">
      <c r="A105" s="1" t="s">
        <v>66</v>
      </c>
      <c r="B105" s="11" t="s">
        <v>3498</v>
      </c>
      <c r="C105" s="37" t="str">
        <f>LET(
 _xlpm.dOK,COUNTIF('クラス'!A:A,E105)&gt;0,
 _xlpm.eOK,COUNTIF('クラス'!A:A,F105)&gt;0,
 IF(_xlpm.dOK,"○","×") &amp; IF(_xlpm.eOK,"○","×")
)</f>
        <v>××</v>
      </c>
      <c r="S105" s="37" t="str">
        <f t="shared" si="1"/>
        <v>肉食生物の巣</v>
      </c>
      <c r="W105" s="37" t="s">
        <v>3504</v>
      </c>
      <c r="X105" s="39" t="s">
        <v>29</v>
      </c>
      <c r="Y105" s="39" t="s">
        <v>29</v>
      </c>
      <c r="AA105" s="37"/>
      <c r="AD105" s="39">
        <v>1.0</v>
      </c>
      <c r="AE105" s="39"/>
      <c r="AF105" s="39"/>
      <c r="AG105" s="39"/>
    </row>
    <row r="106" ht="18.75" customHeight="1" outlineLevel="1">
      <c r="A106" s="1" t="s">
        <v>66</v>
      </c>
      <c r="B106" s="11" t="s">
        <v>3499</v>
      </c>
      <c r="C106" s="37" t="str">
        <f>LET(
 _xlpm.dOK,COUNTIF('クラス'!A:A,E106)&gt;0,
 _xlpm.eOK,COUNTIF('クラス'!A:A,F106)&gt;0,
 IF(_xlpm.dOK,"○","×") &amp; IF(_xlpm.eOK,"○","×")
)</f>
        <v>××</v>
      </c>
      <c r="S106" s="37" t="str">
        <f t="shared" si="1"/>
        <v>肉食生物の巣</v>
      </c>
      <c r="W106" s="37" t="s">
        <v>3505</v>
      </c>
      <c r="X106" s="39" t="s">
        <v>29</v>
      </c>
      <c r="Y106" s="39" t="s">
        <v>29</v>
      </c>
      <c r="AA106" s="37"/>
      <c r="AD106" s="39">
        <v>1.0</v>
      </c>
      <c r="AE106" s="39"/>
      <c r="AF106" s="39"/>
      <c r="AG106" s="39"/>
    </row>
    <row r="107" ht="18.75" customHeight="1" outlineLevel="1">
      <c r="A107" s="1" t="s">
        <v>66</v>
      </c>
      <c r="B107" s="11" t="s">
        <v>1479</v>
      </c>
      <c r="C107" s="37" t="str">
        <f>LET(
 _xlpm.dOK,COUNTIF('クラス'!A:A,E107)&gt;0,
 _xlpm.eOK,COUNTIF('クラス'!A:A,F107)&gt;0,
 IF(_xlpm.dOK,"○","×") &amp; IF(_xlpm.eOK,"○","×")
)</f>
        <v>○×</v>
      </c>
      <c r="D107" s="11"/>
      <c r="E107" s="11" t="s">
        <v>1479</v>
      </c>
      <c r="G107" s="37">
        <v>15.0</v>
      </c>
      <c r="H107" s="37">
        <v>25.0</v>
      </c>
      <c r="S107" s="37" t="str">
        <f t="shared" si="1"/>
        <v>水の輪</v>
      </c>
      <c r="W107" s="37" t="s">
        <v>3506</v>
      </c>
      <c r="X107" s="39" t="s">
        <v>3495</v>
      </c>
      <c r="Y107" s="39">
        <v>5.0</v>
      </c>
      <c r="Z107" s="39" t="b">
        <v>1</v>
      </c>
      <c r="AA107" s="39"/>
      <c r="AB107" s="39"/>
      <c r="AC107" s="39"/>
      <c r="AD107" s="39">
        <v>1.0</v>
      </c>
      <c r="AE107" s="39">
        <v>-40.0</v>
      </c>
      <c r="AF107" s="39">
        <v>15.0</v>
      </c>
      <c r="AG107" s="39" t="s">
        <v>3507</v>
      </c>
    </row>
    <row r="108" ht="18.75" customHeight="1" outlineLevel="1">
      <c r="A108" s="26" t="s">
        <v>54</v>
      </c>
      <c r="B108" s="22" t="s">
        <v>1521</v>
      </c>
      <c r="C108" s="37" t="str">
        <f>IF(COUNTIF('クラス'!A:A,E108)&gt;0,"○","×")&amp;IF(COUNTIF('クラス'!A:A,F108)&gt;0,"○","×")</f>
        <v>○×</v>
      </c>
      <c r="D108" s="39" t="b">
        <v>0</v>
      </c>
      <c r="E108" s="39" t="s">
        <v>1521</v>
      </c>
      <c r="G108" s="39">
        <v>2.0</v>
      </c>
      <c r="H108" s="39">
        <v>5.0</v>
      </c>
      <c r="J108" s="39" t="s">
        <v>3508</v>
      </c>
      <c r="R108" s="39" t="s">
        <v>1521</v>
      </c>
      <c r="S108" s="39" t="s">
        <v>3509</v>
      </c>
      <c r="W108" s="39" t="s">
        <v>3510</v>
      </c>
      <c r="X108" s="39" t="s">
        <v>3511</v>
      </c>
      <c r="Y108" s="39">
        <v>7.0</v>
      </c>
      <c r="Z108" s="39" t="b">
        <v>0</v>
      </c>
      <c r="AA108" s="39"/>
      <c r="AB108" s="39"/>
      <c r="AC108" s="39"/>
      <c r="AD108" s="39">
        <v>1.0</v>
      </c>
      <c r="AE108" s="39"/>
      <c r="AF108" s="39"/>
      <c r="AG108" s="39"/>
    </row>
    <row r="109" ht="18.75" customHeight="1" outlineLevel="1">
      <c r="A109" s="26" t="s">
        <v>3254</v>
      </c>
      <c r="B109" s="22" t="s">
        <v>1521</v>
      </c>
      <c r="C109" s="37" t="str">
        <f>IF(COUNTIF('クラス'!A:A,E109)&gt;0,"○","×")&amp;IF(COUNTIF('クラス'!A:A,F109)&gt;0,"○","×")</f>
        <v>○×</v>
      </c>
      <c r="D109" s="39" t="b">
        <v>0</v>
      </c>
      <c r="E109" s="39" t="s">
        <v>1521</v>
      </c>
      <c r="G109" s="39">
        <v>2.0</v>
      </c>
      <c r="H109" s="39">
        <v>5.0</v>
      </c>
      <c r="J109" s="39" t="s">
        <v>3508</v>
      </c>
      <c r="R109" s="39" t="s">
        <v>1521</v>
      </c>
      <c r="S109" s="39" t="s">
        <v>3509</v>
      </c>
      <c r="W109" s="39" t="s">
        <v>3512</v>
      </c>
      <c r="X109" s="39" t="s">
        <v>3511</v>
      </c>
      <c r="Y109" s="39">
        <v>7.0</v>
      </c>
      <c r="Z109" s="39" t="b">
        <v>0</v>
      </c>
      <c r="AA109" s="39"/>
      <c r="AB109" s="39"/>
      <c r="AC109" s="39"/>
      <c r="AD109" s="39">
        <v>1.0</v>
      </c>
      <c r="AE109" s="39"/>
      <c r="AF109" s="39"/>
      <c r="AG109" s="39"/>
    </row>
    <row r="110" ht="18.75" customHeight="1" outlineLevel="1">
      <c r="A110" s="26" t="s">
        <v>54</v>
      </c>
      <c r="B110" s="22" t="s">
        <v>1528</v>
      </c>
      <c r="C110" s="37" t="str">
        <f>IF(COUNTIF('クラス'!A:A,E110)&gt;0,"○","×")&amp;IF(COUNTIF('クラス'!A:A,F110)&gt;0,"○","×")</f>
        <v>○×</v>
      </c>
      <c r="D110" s="39" t="b">
        <v>0</v>
      </c>
      <c r="E110" s="39" t="s">
        <v>1528</v>
      </c>
      <c r="G110" s="39">
        <v>3.0</v>
      </c>
      <c r="H110" s="39">
        <v>7.0</v>
      </c>
      <c r="J110" s="39" t="s">
        <v>3508</v>
      </c>
      <c r="R110" s="39" t="s">
        <v>1528</v>
      </c>
      <c r="S110" s="39" t="s">
        <v>3346</v>
      </c>
      <c r="W110" s="39" t="s">
        <v>3513</v>
      </c>
      <c r="X110" s="39" t="s">
        <v>3514</v>
      </c>
      <c r="Y110" s="39">
        <v>7.0</v>
      </c>
      <c r="Z110" s="39" t="b">
        <v>0</v>
      </c>
      <c r="AA110" s="39"/>
      <c r="AB110" s="39"/>
      <c r="AC110" s="39"/>
      <c r="AD110" s="39">
        <v>1.0</v>
      </c>
      <c r="AE110" s="39"/>
      <c r="AF110" s="39"/>
      <c r="AG110" s="39"/>
    </row>
    <row r="111" ht="18.75" customHeight="1" outlineLevel="1">
      <c r="A111" s="26" t="s">
        <v>3254</v>
      </c>
      <c r="B111" s="22" t="s">
        <v>1528</v>
      </c>
      <c r="C111" s="37" t="str">
        <f>IF(COUNTIF('クラス'!A:A,E111)&gt;0,"○","×")&amp;IF(COUNTIF('クラス'!A:A,F111)&gt;0,"○","×")</f>
        <v>○×</v>
      </c>
      <c r="D111" s="39" t="b">
        <v>0</v>
      </c>
      <c r="E111" s="39" t="s">
        <v>1528</v>
      </c>
      <c r="G111" s="39">
        <v>3.0</v>
      </c>
      <c r="H111" s="39">
        <v>7.0</v>
      </c>
      <c r="J111" s="39" t="s">
        <v>3508</v>
      </c>
      <c r="R111" s="39" t="s">
        <v>1528</v>
      </c>
      <c r="S111" s="39" t="s">
        <v>3346</v>
      </c>
      <c r="W111" s="39" t="s">
        <v>3515</v>
      </c>
      <c r="X111" s="39" t="s">
        <v>3514</v>
      </c>
      <c r="Y111" s="39">
        <v>7.0</v>
      </c>
      <c r="Z111" s="39" t="b">
        <v>0</v>
      </c>
      <c r="AA111" s="39"/>
      <c r="AB111" s="39"/>
      <c r="AC111" s="39"/>
      <c r="AD111" s="39">
        <v>1.0</v>
      </c>
      <c r="AE111" s="39"/>
      <c r="AF111" s="39"/>
      <c r="AG111" s="39"/>
    </row>
    <row r="112" ht="18.75" customHeight="1" outlineLevel="1">
      <c r="A112" s="26" t="s">
        <v>56</v>
      </c>
      <c r="B112" s="22" t="s">
        <v>1528</v>
      </c>
      <c r="C112" s="37" t="str">
        <f>IF(COUNTIF('クラス'!A:A,E112)&gt;0,"○","×")&amp;IF(COUNTIF('クラス'!A:A,F112)&gt;0,"○","×")</f>
        <v>○×</v>
      </c>
      <c r="D112" s="39" t="b">
        <v>0</v>
      </c>
      <c r="E112" s="39" t="s">
        <v>1528</v>
      </c>
      <c r="G112" s="39">
        <v>3.0</v>
      </c>
      <c r="H112" s="39">
        <v>7.0</v>
      </c>
      <c r="J112" s="39" t="s">
        <v>3508</v>
      </c>
      <c r="R112" s="39" t="s">
        <v>1528</v>
      </c>
      <c r="S112" s="39" t="s">
        <v>3346</v>
      </c>
      <c r="W112" s="39" t="s">
        <v>3516</v>
      </c>
      <c r="X112" s="39" t="s">
        <v>3514</v>
      </c>
      <c r="Y112" s="39">
        <v>7.0</v>
      </c>
      <c r="Z112" s="39" t="b">
        <v>0</v>
      </c>
      <c r="AA112" s="39"/>
      <c r="AB112" s="39"/>
      <c r="AC112" s="39"/>
      <c r="AD112" s="39">
        <v>1.0</v>
      </c>
      <c r="AE112" s="39"/>
      <c r="AF112" s="39"/>
      <c r="AG112" s="39"/>
    </row>
    <row r="113" ht="18.75" customHeight="1" outlineLevel="1">
      <c r="A113" s="26" t="s">
        <v>65</v>
      </c>
      <c r="B113" s="22" t="s">
        <v>1914</v>
      </c>
      <c r="C113" s="37" t="str">
        <f>IF(COUNTIF('クラス'!A:A,E113)&gt;0,"○","×")&amp;IF(COUNTIF('クラス'!A:A,F113)&gt;0,"○","×")</f>
        <v>○×</v>
      </c>
      <c r="D113" s="39" t="b">
        <v>1</v>
      </c>
      <c r="E113" s="39" t="s">
        <v>1914</v>
      </c>
      <c r="G113" s="39">
        <v>8.0</v>
      </c>
      <c r="H113" s="39">
        <v>15.0</v>
      </c>
      <c r="J113" s="39" t="s">
        <v>3508</v>
      </c>
      <c r="R113" s="39" t="s">
        <v>1914</v>
      </c>
      <c r="S113" s="39" t="s">
        <v>3361</v>
      </c>
      <c r="W113" s="39" t="s">
        <v>3517</v>
      </c>
      <c r="X113" s="39" t="s">
        <v>3518</v>
      </c>
      <c r="Y113" s="39">
        <v>7.0</v>
      </c>
      <c r="Z113" s="39" t="b">
        <v>0</v>
      </c>
      <c r="AA113" s="39" t="s">
        <v>3472</v>
      </c>
      <c r="AB113" s="39">
        <v>1.0</v>
      </c>
      <c r="AC113" s="39">
        <v>1.0</v>
      </c>
      <c r="AD113" s="39">
        <v>1.0</v>
      </c>
      <c r="AE113" s="39"/>
      <c r="AF113" s="39"/>
      <c r="AG113" s="39"/>
    </row>
    <row r="114" ht="18.75" customHeight="1" outlineLevel="1">
      <c r="A114" s="26" t="s">
        <v>54</v>
      </c>
      <c r="B114" s="22" t="s">
        <v>1598</v>
      </c>
      <c r="C114" s="37" t="str">
        <f>IF(COUNTIF('クラス'!A:A,E114)&gt;0,"○","×")&amp;IF(COUNTIF('クラス'!A:A,F114)&gt;0,"○","×")</f>
        <v>○×</v>
      </c>
      <c r="D114" s="39" t="b">
        <v>0</v>
      </c>
      <c r="E114" s="39" t="s">
        <v>1598</v>
      </c>
      <c r="G114" s="39">
        <v>2.0</v>
      </c>
      <c r="H114" s="39">
        <v>5.0</v>
      </c>
      <c r="J114" s="39" t="s">
        <v>3519</v>
      </c>
      <c r="R114" s="39" t="s">
        <v>1598</v>
      </c>
      <c r="S114" s="39" t="s">
        <v>3350</v>
      </c>
      <c r="W114" s="39" t="s">
        <v>3520</v>
      </c>
      <c r="X114" s="39" t="s">
        <v>3521</v>
      </c>
      <c r="Y114" s="39">
        <v>1.0</v>
      </c>
      <c r="Z114" s="39" t="b">
        <v>0</v>
      </c>
      <c r="AA114" s="39"/>
      <c r="AB114" s="39"/>
      <c r="AC114" s="39"/>
      <c r="AD114" s="39">
        <v>1.0</v>
      </c>
      <c r="AE114" s="39">
        <v>5.0</v>
      </c>
      <c r="AF114" s="39">
        <v>45.0</v>
      </c>
      <c r="AG114" s="39" t="s">
        <v>3522</v>
      </c>
    </row>
    <row r="115" ht="18.75" customHeight="1">
      <c r="A115" s="26" t="s">
        <v>54</v>
      </c>
      <c r="B115" s="22" t="s">
        <v>1617</v>
      </c>
      <c r="C115" s="37" t="str">
        <f>IF(COUNTIF('クラス'!A:A,E115)&gt;0,"○","×")&amp;IF(COUNTIF('クラス'!A:A,F115)&gt;0,"○","×")</f>
        <v>○×</v>
      </c>
      <c r="D115" s="39" t="b">
        <v>1</v>
      </c>
      <c r="E115" s="39" t="s">
        <v>1617</v>
      </c>
      <c r="G115" s="39">
        <v>3.0</v>
      </c>
      <c r="H115" s="39">
        <v>7.0</v>
      </c>
      <c r="J115" s="39" t="s">
        <v>3519</v>
      </c>
      <c r="R115" s="39" t="s">
        <v>1617</v>
      </c>
      <c r="S115" s="39" t="s">
        <v>3350</v>
      </c>
      <c r="W115" s="39" t="s">
        <v>3523</v>
      </c>
      <c r="X115" s="39" t="s">
        <v>3524</v>
      </c>
      <c r="Y115" s="39">
        <v>1.0</v>
      </c>
      <c r="Z115" s="39" t="b">
        <v>0</v>
      </c>
      <c r="AA115" s="39"/>
      <c r="AB115" s="39"/>
      <c r="AC115" s="39"/>
      <c r="AD115" s="39">
        <v>1.0</v>
      </c>
      <c r="AE115" s="39">
        <v>5.0</v>
      </c>
      <c r="AF115" s="39">
        <v>45.0</v>
      </c>
      <c r="AG115" s="39" t="s">
        <v>3496</v>
      </c>
    </row>
    <row r="116" ht="18.75" customHeight="1">
      <c r="A116" s="26" t="s">
        <v>54</v>
      </c>
      <c r="B116" s="22" t="s">
        <v>1625</v>
      </c>
      <c r="C116" s="37" t="str">
        <f>IF(COUNTIF('クラス'!A:A,E116)&gt;0,"○","×")&amp;IF(COUNTIF('クラス'!A:A,F116)&gt;0,"○","×")</f>
        <v>○×</v>
      </c>
      <c r="D116" s="39" t="b">
        <v>1</v>
      </c>
      <c r="E116" s="39" t="s">
        <v>1625</v>
      </c>
      <c r="G116" s="39">
        <v>1.0</v>
      </c>
      <c r="H116" s="39">
        <v>5.0</v>
      </c>
      <c r="J116" s="39" t="s">
        <v>3519</v>
      </c>
      <c r="R116" s="39" t="s">
        <v>1625</v>
      </c>
      <c r="S116" s="39" t="s">
        <v>3350</v>
      </c>
      <c r="W116" s="39" t="s">
        <v>3525</v>
      </c>
      <c r="X116" s="39" t="s">
        <v>3526</v>
      </c>
      <c r="Y116" s="39">
        <v>7.0</v>
      </c>
      <c r="Z116" s="39" t="b">
        <v>0</v>
      </c>
      <c r="AA116" s="39"/>
      <c r="AB116" s="39"/>
      <c r="AC116" s="39"/>
      <c r="AD116" s="39">
        <v>1.0</v>
      </c>
      <c r="AE116" s="39">
        <v>5.0</v>
      </c>
      <c r="AF116" s="39">
        <v>45.0</v>
      </c>
      <c r="AG116" s="39" t="s">
        <v>3496</v>
      </c>
    </row>
    <row r="117" ht="18.75" customHeight="1">
      <c r="A117" s="26" t="s">
        <v>54</v>
      </c>
      <c r="B117" s="22" t="s">
        <v>1633</v>
      </c>
      <c r="C117" s="37" t="str">
        <f>IF(COUNTIF('クラス'!A:A,E117)&gt;0,"○","×")&amp;IF(COUNTIF('クラス'!A:A,F117)&gt;0,"○","×")</f>
        <v>○×</v>
      </c>
      <c r="D117" s="39" t="b">
        <v>1</v>
      </c>
      <c r="E117" s="39" t="s">
        <v>1633</v>
      </c>
      <c r="G117" s="39">
        <v>1.0</v>
      </c>
      <c r="H117" s="39">
        <v>4.0</v>
      </c>
      <c r="J117" s="39" t="s">
        <v>3519</v>
      </c>
      <c r="R117" s="39" t="s">
        <v>1633</v>
      </c>
      <c r="S117" s="39" t="s">
        <v>3350</v>
      </c>
      <c r="W117" s="39" t="s">
        <v>3527</v>
      </c>
      <c r="X117" s="39" t="s">
        <v>3526</v>
      </c>
      <c r="Y117" s="39">
        <v>1.0</v>
      </c>
      <c r="Z117" s="39" t="b">
        <v>0</v>
      </c>
      <c r="AA117" s="39"/>
      <c r="AB117" s="39"/>
      <c r="AC117" s="39"/>
      <c r="AD117" s="39">
        <v>1.0</v>
      </c>
      <c r="AE117" s="39">
        <v>5.0</v>
      </c>
      <c r="AF117" s="39">
        <v>45.0</v>
      </c>
      <c r="AG117" s="39" t="s">
        <v>3522</v>
      </c>
    </row>
    <row r="118" ht="18.75" customHeight="1">
      <c r="A118" s="26" t="s">
        <v>3254</v>
      </c>
      <c r="B118" s="22" t="s">
        <v>1598</v>
      </c>
      <c r="C118" s="37" t="str">
        <f>IF(COUNTIF('クラス'!A:A,E118)&gt;0,"○","×")&amp;IF(COUNTIF('クラス'!A:A,F118)&gt;0,"○","×")</f>
        <v>○×</v>
      </c>
      <c r="D118" s="39" t="b">
        <v>0</v>
      </c>
      <c r="E118" s="39" t="s">
        <v>1598</v>
      </c>
      <c r="G118" s="39">
        <v>2.0</v>
      </c>
      <c r="H118" s="39">
        <v>5.0</v>
      </c>
      <c r="J118" s="39" t="s">
        <v>3519</v>
      </c>
      <c r="R118" s="39" t="s">
        <v>1598</v>
      </c>
      <c r="S118" s="39" t="s">
        <v>3350</v>
      </c>
      <c r="W118" s="39" t="s">
        <v>3528</v>
      </c>
      <c r="X118" s="39" t="s">
        <v>3521</v>
      </c>
      <c r="Y118" s="39">
        <v>1.0</v>
      </c>
      <c r="Z118" s="39" t="b">
        <v>0</v>
      </c>
      <c r="AA118" s="39"/>
      <c r="AB118" s="39"/>
      <c r="AC118" s="39"/>
      <c r="AD118" s="39">
        <v>1.0</v>
      </c>
      <c r="AE118" s="39">
        <v>5.0</v>
      </c>
      <c r="AF118" s="39">
        <v>45.0</v>
      </c>
      <c r="AG118" s="39" t="s">
        <v>3522</v>
      </c>
    </row>
    <row r="119" ht="18.75" customHeight="1">
      <c r="A119" s="26" t="s">
        <v>3254</v>
      </c>
      <c r="B119" s="22" t="s">
        <v>1633</v>
      </c>
      <c r="C119" s="37" t="str">
        <f>IF(COUNTIF('クラス'!A:A,E119)&gt;0,"○","×")&amp;IF(COUNTIF('クラス'!A:A,F119)&gt;0,"○","×")</f>
        <v>○×</v>
      </c>
      <c r="D119" s="39" t="b">
        <v>1</v>
      </c>
      <c r="E119" s="39" t="s">
        <v>1633</v>
      </c>
      <c r="G119" s="39">
        <v>1.0</v>
      </c>
      <c r="H119" s="39">
        <v>4.0</v>
      </c>
      <c r="J119" s="39" t="s">
        <v>3519</v>
      </c>
      <c r="R119" s="39" t="s">
        <v>1633</v>
      </c>
      <c r="S119" s="39" t="s">
        <v>3350</v>
      </c>
      <c r="W119" s="39" t="s">
        <v>3529</v>
      </c>
      <c r="X119" s="39" t="s">
        <v>3526</v>
      </c>
      <c r="Y119" s="39">
        <v>1.0</v>
      </c>
      <c r="Z119" s="39" t="b">
        <v>0</v>
      </c>
      <c r="AA119" s="39"/>
      <c r="AB119" s="39"/>
      <c r="AC119" s="39"/>
      <c r="AD119" s="39">
        <v>1.0</v>
      </c>
      <c r="AE119" s="39">
        <v>5.0</v>
      </c>
      <c r="AF119" s="39">
        <v>45.0</v>
      </c>
      <c r="AG119" s="39" t="s">
        <v>3522</v>
      </c>
    </row>
    <row r="120" ht="18.75" customHeight="1">
      <c r="A120" s="26" t="s">
        <v>3254</v>
      </c>
      <c r="B120" s="22" t="s">
        <v>1656</v>
      </c>
      <c r="C120" s="37" t="str">
        <f>IF(COUNTIF('クラス'!A:A,E120)&gt;0,"○","×")&amp;IF(COUNTIF('クラス'!A:A,F120)&gt;0,"○","×")</f>
        <v>○×</v>
      </c>
      <c r="D120" s="39" t="b">
        <v>1</v>
      </c>
      <c r="E120" s="39" t="s">
        <v>1656</v>
      </c>
      <c r="G120" s="39">
        <v>3.0</v>
      </c>
      <c r="H120" s="39">
        <v>8.0</v>
      </c>
      <c r="J120" s="39" t="s">
        <v>3519</v>
      </c>
      <c r="R120" s="39" t="s">
        <v>1656</v>
      </c>
      <c r="S120" s="39" t="s">
        <v>3350</v>
      </c>
      <c r="W120" s="39" t="s">
        <v>3530</v>
      </c>
      <c r="X120" s="39" t="s">
        <v>3352</v>
      </c>
      <c r="Y120" s="39">
        <v>7.0</v>
      </c>
      <c r="Z120" s="39" t="b">
        <v>0</v>
      </c>
      <c r="AA120" s="39"/>
      <c r="AB120" s="39"/>
      <c r="AC120" s="39"/>
      <c r="AD120" s="39">
        <v>1.0</v>
      </c>
      <c r="AE120" s="39">
        <v>5.0</v>
      </c>
      <c r="AF120" s="39">
        <v>45.0</v>
      </c>
      <c r="AG120" s="39" t="s">
        <v>3522</v>
      </c>
    </row>
    <row r="121" ht="18.75" customHeight="1">
      <c r="A121" s="26" t="s">
        <v>62</v>
      </c>
      <c r="B121" s="22" t="s">
        <v>1656</v>
      </c>
      <c r="C121" s="37" t="str">
        <f>IF(COUNTIF('クラス'!A:A,E121)&gt;0,"○","×")&amp;IF(COUNTIF('クラス'!A:A,F121)&gt;0,"○","×")</f>
        <v>○×</v>
      </c>
      <c r="D121" s="39" t="b">
        <v>1</v>
      </c>
      <c r="E121" s="39" t="s">
        <v>1656</v>
      </c>
      <c r="G121" s="39">
        <v>3.0</v>
      </c>
      <c r="H121" s="39">
        <v>8.0</v>
      </c>
      <c r="J121" s="39" t="s">
        <v>3519</v>
      </c>
      <c r="R121" s="39" t="s">
        <v>1656</v>
      </c>
      <c r="S121" s="39" t="s">
        <v>3350</v>
      </c>
      <c r="W121" s="39" t="s">
        <v>3531</v>
      </c>
      <c r="X121" s="39" t="s">
        <v>3352</v>
      </c>
      <c r="Y121" s="39">
        <v>7.0</v>
      </c>
      <c r="Z121" s="39" t="b">
        <v>0</v>
      </c>
      <c r="AA121" s="39"/>
      <c r="AB121" s="39"/>
      <c r="AC121" s="39"/>
      <c r="AD121" s="39">
        <v>1.0</v>
      </c>
      <c r="AE121" s="39">
        <v>5.0</v>
      </c>
      <c r="AF121" s="39">
        <v>45.0</v>
      </c>
      <c r="AG121" s="39" t="s">
        <v>3522</v>
      </c>
    </row>
    <row r="122" ht="18.75" customHeight="1">
      <c r="A122" s="26" t="s">
        <v>62</v>
      </c>
      <c r="B122" s="22" t="s">
        <v>1647</v>
      </c>
      <c r="C122" s="37" t="str">
        <f>IF(COUNTIF('クラス'!A:A,E122)&gt;0,"○","×")&amp;IF(COUNTIF('クラス'!A:A,F122)&gt;0,"○","×")</f>
        <v>○×</v>
      </c>
      <c r="D122" s="39" t="b">
        <v>1</v>
      </c>
      <c r="E122" s="39" t="s">
        <v>1647</v>
      </c>
      <c r="G122" s="39">
        <v>3.0</v>
      </c>
      <c r="H122" s="39">
        <v>7.0</v>
      </c>
      <c r="J122" s="39" t="s">
        <v>3519</v>
      </c>
      <c r="R122" s="39" t="s">
        <v>1647</v>
      </c>
      <c r="S122" s="39" t="s">
        <v>3350</v>
      </c>
      <c r="W122" s="39" t="s">
        <v>3532</v>
      </c>
      <c r="X122" s="39" t="s">
        <v>3533</v>
      </c>
      <c r="Y122" s="39">
        <v>7.0</v>
      </c>
      <c r="Z122" s="39" t="b">
        <v>0</v>
      </c>
      <c r="AA122" s="39"/>
      <c r="AB122" s="39"/>
      <c r="AC122" s="39"/>
      <c r="AD122" s="39">
        <v>1.0</v>
      </c>
      <c r="AE122" s="39">
        <v>5.0</v>
      </c>
      <c r="AF122" s="39">
        <v>45.0</v>
      </c>
      <c r="AG122" s="39" t="s">
        <v>3522</v>
      </c>
    </row>
    <row r="123" ht="18.75" customHeight="1">
      <c r="A123" s="26" t="s">
        <v>56</v>
      </c>
      <c r="B123" s="22" t="s">
        <v>1609</v>
      </c>
      <c r="C123" s="37" t="str">
        <f>IF(COUNTIF('クラス'!A:A,E123)&gt;0,"○","×")&amp;IF(COUNTIF('クラス'!A:A,F123)&gt;0,"○","×")</f>
        <v>○×</v>
      </c>
      <c r="D123" s="39" t="b">
        <v>1</v>
      </c>
      <c r="E123" s="39" t="s">
        <v>1609</v>
      </c>
      <c r="G123" s="39">
        <v>2.0</v>
      </c>
      <c r="H123" s="39">
        <v>6.0</v>
      </c>
      <c r="J123" s="39" t="s">
        <v>3519</v>
      </c>
      <c r="R123" s="39"/>
      <c r="S123" s="39" t="s">
        <v>3350</v>
      </c>
      <c r="W123" s="39" t="s">
        <v>3534</v>
      </c>
      <c r="X123" s="39"/>
      <c r="Y123" s="39"/>
      <c r="Z123" s="39" t="b">
        <v>0</v>
      </c>
      <c r="AA123" s="39"/>
      <c r="AB123" s="39"/>
      <c r="AC123" s="39"/>
      <c r="AD123" s="39">
        <v>1.0</v>
      </c>
      <c r="AE123" s="39">
        <v>5.0</v>
      </c>
      <c r="AF123" s="39">
        <v>45.0</v>
      </c>
      <c r="AG123" s="39" t="s">
        <v>3522</v>
      </c>
    </row>
    <row r="124" ht="18.75" customHeight="1">
      <c r="A124" s="26" t="s">
        <v>56</v>
      </c>
      <c r="B124" s="22" t="s">
        <v>1617</v>
      </c>
      <c r="C124" s="37" t="str">
        <f>IF(COUNTIF('クラス'!A:A,E124)&gt;0,"○","×")&amp;IF(COUNTIF('クラス'!A:A,F124)&gt;0,"○","×")</f>
        <v>○×</v>
      </c>
      <c r="D124" s="39" t="b">
        <v>1</v>
      </c>
      <c r="E124" s="39" t="s">
        <v>1617</v>
      </c>
      <c r="G124" s="39">
        <v>3.0</v>
      </c>
      <c r="H124" s="39">
        <v>7.0</v>
      </c>
      <c r="J124" s="39" t="s">
        <v>3519</v>
      </c>
      <c r="R124" s="39" t="s">
        <v>1617</v>
      </c>
      <c r="S124" s="39" t="s">
        <v>3350</v>
      </c>
      <c r="W124" s="39" t="s">
        <v>3535</v>
      </c>
      <c r="X124" s="39" t="s">
        <v>3524</v>
      </c>
      <c r="Y124" s="39">
        <v>1.0</v>
      </c>
      <c r="Z124" s="39" t="b">
        <v>0</v>
      </c>
      <c r="AA124" s="39"/>
      <c r="AB124" s="39"/>
      <c r="AC124" s="39"/>
      <c r="AD124" s="39">
        <v>1.0</v>
      </c>
      <c r="AE124" s="39">
        <v>5.0</v>
      </c>
      <c r="AF124" s="39">
        <v>45.0</v>
      </c>
      <c r="AG124" s="39" t="s">
        <v>3496</v>
      </c>
    </row>
    <row r="125" ht="18.75" customHeight="1">
      <c r="A125" s="26" t="s">
        <v>56</v>
      </c>
      <c r="B125" s="22" t="s">
        <v>1625</v>
      </c>
      <c r="C125" s="37" t="str">
        <f>IF(COUNTIF('クラス'!A:A,E125)&gt;0,"○","×")&amp;IF(COUNTIF('クラス'!A:A,F125)&gt;0,"○","×")</f>
        <v>○×</v>
      </c>
      <c r="D125" s="39" t="b">
        <v>1</v>
      </c>
      <c r="E125" s="39" t="s">
        <v>1625</v>
      </c>
      <c r="G125" s="39">
        <v>1.0</v>
      </c>
      <c r="H125" s="39">
        <v>5.0</v>
      </c>
      <c r="J125" s="39" t="s">
        <v>3519</v>
      </c>
      <c r="R125" s="39" t="s">
        <v>1625</v>
      </c>
      <c r="S125" s="39" t="s">
        <v>3350</v>
      </c>
      <c r="W125" s="39" t="s">
        <v>3536</v>
      </c>
      <c r="X125" s="39" t="s">
        <v>3526</v>
      </c>
      <c r="Y125" s="39">
        <v>7.0</v>
      </c>
      <c r="Z125" s="39" t="b">
        <v>0</v>
      </c>
      <c r="AA125" s="39"/>
      <c r="AB125" s="39"/>
      <c r="AC125" s="39"/>
      <c r="AD125" s="39">
        <v>1.0</v>
      </c>
      <c r="AE125" s="39">
        <v>5.0</v>
      </c>
      <c r="AF125" s="39">
        <v>45.0</v>
      </c>
      <c r="AG125" s="39" t="s">
        <v>3496</v>
      </c>
    </row>
    <row r="126" ht="18.75" customHeight="1">
      <c r="A126" s="26" t="s">
        <v>56</v>
      </c>
      <c r="B126" s="22" t="s">
        <v>1633</v>
      </c>
      <c r="C126" s="37" t="str">
        <f>IF(COUNTIF('クラス'!A:A,E126)&gt;0,"○","×")&amp;IF(COUNTIF('クラス'!A:A,F126)&gt;0,"○","×")</f>
        <v>○×</v>
      </c>
      <c r="D126" s="39" t="b">
        <v>1</v>
      </c>
      <c r="E126" s="39" t="s">
        <v>1633</v>
      </c>
      <c r="G126" s="39">
        <v>1.0</v>
      </c>
      <c r="H126" s="39">
        <v>4.0</v>
      </c>
      <c r="J126" s="39" t="s">
        <v>3519</v>
      </c>
      <c r="R126" s="39" t="s">
        <v>1633</v>
      </c>
      <c r="S126" s="39" t="s">
        <v>3350</v>
      </c>
      <c r="W126" s="39" t="s">
        <v>3537</v>
      </c>
      <c r="X126" s="39" t="s">
        <v>3526</v>
      </c>
      <c r="Y126" s="39">
        <v>1.0</v>
      </c>
      <c r="Z126" s="39" t="b">
        <v>0</v>
      </c>
      <c r="AA126" s="39"/>
      <c r="AB126" s="39"/>
      <c r="AC126" s="39"/>
      <c r="AD126" s="39">
        <v>1.0</v>
      </c>
      <c r="AE126" s="39">
        <v>5.0</v>
      </c>
      <c r="AF126" s="39">
        <v>45.0</v>
      </c>
      <c r="AG126" s="39" t="s">
        <v>3522</v>
      </c>
    </row>
    <row r="127" ht="18.75" customHeight="1">
      <c r="A127" s="26" t="s">
        <v>56</v>
      </c>
      <c r="B127" s="22" t="s">
        <v>1640</v>
      </c>
      <c r="C127" s="37" t="str">
        <f>IF(COUNTIF('クラス'!A:A,E127)&gt;0,"○","×")&amp;IF(COUNTIF('クラス'!A:A,F127)&gt;0,"○","×")</f>
        <v>○×</v>
      </c>
      <c r="D127" s="39" t="b">
        <v>1</v>
      </c>
      <c r="E127" s="39" t="s">
        <v>1640</v>
      </c>
      <c r="G127" s="39">
        <v>2.0</v>
      </c>
      <c r="H127" s="39">
        <v>6.0</v>
      </c>
      <c r="J127" s="39" t="s">
        <v>3519</v>
      </c>
      <c r="R127" s="39" t="s">
        <v>1640</v>
      </c>
      <c r="S127" s="39" t="s">
        <v>3350</v>
      </c>
      <c r="W127" s="39" t="s">
        <v>3538</v>
      </c>
      <c r="X127" s="39" t="s">
        <v>3533</v>
      </c>
      <c r="Y127" s="39">
        <v>1.0</v>
      </c>
      <c r="Z127" s="39" t="b">
        <v>0</v>
      </c>
      <c r="AA127" s="39"/>
      <c r="AB127" s="39"/>
      <c r="AC127" s="39"/>
      <c r="AD127" s="39">
        <v>1.0</v>
      </c>
      <c r="AE127" s="39">
        <v>5.0</v>
      </c>
      <c r="AF127" s="39">
        <v>45.0</v>
      </c>
      <c r="AG127" s="39" t="s">
        <v>3522</v>
      </c>
    </row>
    <row r="128" ht="18.75" customHeight="1">
      <c r="A128" s="26" t="s">
        <v>56</v>
      </c>
      <c r="B128" s="22" t="s">
        <v>1647</v>
      </c>
      <c r="C128" s="37" t="str">
        <f>IF(COUNTIF('クラス'!A:A,E128)&gt;0,"○","×")&amp;IF(COUNTIF('クラス'!A:A,F128)&gt;0,"○","×")</f>
        <v>○×</v>
      </c>
      <c r="D128" s="39" t="b">
        <v>1</v>
      </c>
      <c r="E128" s="39" t="s">
        <v>1647</v>
      </c>
      <c r="G128" s="39">
        <v>3.0</v>
      </c>
      <c r="H128" s="39">
        <v>7.0</v>
      </c>
      <c r="J128" s="39" t="s">
        <v>3519</v>
      </c>
      <c r="R128" s="39" t="s">
        <v>1647</v>
      </c>
      <c r="S128" s="39" t="s">
        <v>3350</v>
      </c>
      <c r="W128" s="39" t="s">
        <v>3539</v>
      </c>
      <c r="X128" s="39" t="s">
        <v>3533</v>
      </c>
      <c r="Y128" s="39">
        <v>7.0</v>
      </c>
      <c r="Z128" s="39" t="b">
        <v>0</v>
      </c>
      <c r="AA128" s="39"/>
      <c r="AB128" s="39"/>
      <c r="AC128" s="39"/>
      <c r="AD128" s="39">
        <v>1.0</v>
      </c>
      <c r="AE128" s="39">
        <v>5.0</v>
      </c>
      <c r="AF128" s="39">
        <v>45.0</v>
      </c>
      <c r="AG128" s="39" t="s">
        <v>3522</v>
      </c>
    </row>
    <row r="129" ht="18.75" customHeight="1">
      <c r="A129" s="26" t="s">
        <v>63</v>
      </c>
      <c r="B129" s="22" t="s">
        <v>1640</v>
      </c>
      <c r="C129" s="37" t="str">
        <f>IF(COUNTIF('クラス'!A:A,E129)&gt;0,"○","×")&amp;IF(COUNTIF('クラス'!A:A,F129)&gt;0,"○","×")</f>
        <v>○×</v>
      </c>
      <c r="D129" s="39" t="b">
        <v>1</v>
      </c>
      <c r="E129" s="39" t="s">
        <v>1640</v>
      </c>
      <c r="G129" s="39">
        <v>2.0</v>
      </c>
      <c r="H129" s="39">
        <v>6.0</v>
      </c>
      <c r="J129" s="39" t="s">
        <v>3519</v>
      </c>
      <c r="R129" s="39" t="s">
        <v>1640</v>
      </c>
      <c r="S129" s="39" t="s">
        <v>3350</v>
      </c>
      <c r="W129" s="39" t="s">
        <v>3540</v>
      </c>
      <c r="X129" s="39" t="s">
        <v>3533</v>
      </c>
      <c r="Y129" s="39">
        <v>1.0</v>
      </c>
      <c r="Z129" s="39" t="b">
        <v>0</v>
      </c>
      <c r="AA129" s="39"/>
      <c r="AB129" s="39"/>
      <c r="AC129" s="39"/>
      <c r="AD129" s="39">
        <v>1.0</v>
      </c>
      <c r="AE129" s="39">
        <v>5.0</v>
      </c>
      <c r="AF129" s="39">
        <v>45.0</v>
      </c>
      <c r="AG129" s="39" t="s">
        <v>3522</v>
      </c>
    </row>
    <row r="130" ht="18.75" customHeight="1">
      <c r="A130" s="26" t="s">
        <v>63</v>
      </c>
      <c r="B130" s="22" t="s">
        <v>1647</v>
      </c>
      <c r="C130" s="37" t="str">
        <f>IF(COUNTIF('クラス'!A:A,E130)&gt;0,"○","×")&amp;IF(COUNTIF('クラス'!A:A,F130)&gt;0,"○","×")</f>
        <v>○×</v>
      </c>
      <c r="D130" s="39" t="b">
        <v>1</v>
      </c>
      <c r="E130" s="39" t="s">
        <v>1647</v>
      </c>
      <c r="G130" s="39">
        <v>3.0</v>
      </c>
      <c r="H130" s="39">
        <v>7.0</v>
      </c>
      <c r="J130" s="39" t="s">
        <v>3519</v>
      </c>
      <c r="R130" s="39" t="s">
        <v>1647</v>
      </c>
      <c r="S130" s="39" t="s">
        <v>3350</v>
      </c>
      <c r="W130" s="39" t="s">
        <v>3541</v>
      </c>
      <c r="X130" s="39" t="s">
        <v>3533</v>
      </c>
      <c r="Y130" s="39">
        <v>7.0</v>
      </c>
      <c r="Z130" s="39" t="b">
        <v>0</v>
      </c>
      <c r="AA130" s="39"/>
      <c r="AB130" s="39"/>
      <c r="AC130" s="39"/>
      <c r="AD130" s="39">
        <v>1.0</v>
      </c>
      <c r="AE130" s="39">
        <v>5.0</v>
      </c>
      <c r="AF130" s="39">
        <v>45.0</v>
      </c>
      <c r="AG130" s="39" t="s">
        <v>3522</v>
      </c>
    </row>
    <row r="131" ht="18.75" customHeight="1">
      <c r="A131" s="26" t="s">
        <v>65</v>
      </c>
      <c r="B131" s="22" t="s">
        <v>1598</v>
      </c>
      <c r="C131" s="37" t="str">
        <f>IF(COUNTIF('クラス'!A:A,E131)&gt;0,"○","×")&amp;IF(COUNTIF('クラス'!A:A,F131)&gt;0,"○","×")</f>
        <v>○×</v>
      </c>
      <c r="D131" s="39" t="b">
        <v>0</v>
      </c>
      <c r="E131" s="39" t="s">
        <v>1598</v>
      </c>
      <c r="G131" s="39">
        <v>2.0</v>
      </c>
      <c r="H131" s="39">
        <v>5.0</v>
      </c>
      <c r="J131" s="39" t="s">
        <v>3519</v>
      </c>
      <c r="R131" s="39" t="s">
        <v>1598</v>
      </c>
      <c r="S131" s="39" t="s">
        <v>3350</v>
      </c>
      <c r="W131" s="39" t="s">
        <v>3542</v>
      </c>
      <c r="X131" s="39" t="s">
        <v>3521</v>
      </c>
      <c r="Y131" s="39">
        <v>1.0</v>
      </c>
      <c r="Z131" s="39" t="b">
        <v>0</v>
      </c>
      <c r="AA131" s="39" t="s">
        <v>3543</v>
      </c>
      <c r="AB131" s="39">
        <v>5.0</v>
      </c>
      <c r="AC131" s="39">
        <v>8.0</v>
      </c>
      <c r="AD131" s="39">
        <v>1.0</v>
      </c>
      <c r="AE131" s="39">
        <v>5.0</v>
      </c>
      <c r="AF131" s="39">
        <v>45.0</v>
      </c>
      <c r="AG131" s="39" t="s">
        <v>3522</v>
      </c>
    </row>
    <row r="132" ht="18.75" customHeight="1">
      <c r="A132" s="26" t="s">
        <v>65</v>
      </c>
      <c r="B132" s="22" t="s">
        <v>1640</v>
      </c>
      <c r="C132" s="37" t="str">
        <f>IF(COUNTIF('クラス'!A:A,E132)&gt;0,"○","×")&amp;IF(COUNTIF('クラス'!A:A,F132)&gt;0,"○","×")</f>
        <v>○×</v>
      </c>
      <c r="D132" s="39" t="b">
        <v>1</v>
      </c>
      <c r="E132" s="39" t="s">
        <v>1640</v>
      </c>
      <c r="G132" s="39">
        <v>2.0</v>
      </c>
      <c r="H132" s="39">
        <v>6.0</v>
      </c>
      <c r="J132" s="39" t="s">
        <v>3519</v>
      </c>
      <c r="R132" s="39" t="s">
        <v>1640</v>
      </c>
      <c r="S132" s="39" t="s">
        <v>3350</v>
      </c>
      <c r="W132" s="39" t="s">
        <v>3544</v>
      </c>
      <c r="X132" s="39" t="s">
        <v>3533</v>
      </c>
      <c r="Y132" s="39">
        <v>1.0</v>
      </c>
      <c r="Z132" s="39" t="b">
        <v>0</v>
      </c>
      <c r="AA132" s="39" t="s">
        <v>3474</v>
      </c>
      <c r="AB132" s="39">
        <v>2.0</v>
      </c>
      <c r="AC132" s="39">
        <v>3.0</v>
      </c>
      <c r="AD132" s="39">
        <v>1.0</v>
      </c>
      <c r="AE132" s="39">
        <v>5.0</v>
      </c>
      <c r="AF132" s="39">
        <v>45.0</v>
      </c>
      <c r="AG132" s="39" t="s">
        <v>3522</v>
      </c>
    </row>
    <row r="133" ht="18.75" customHeight="1">
      <c r="A133" s="26" t="s">
        <v>65</v>
      </c>
      <c r="B133" s="22" t="s">
        <v>1647</v>
      </c>
      <c r="C133" s="37" t="str">
        <f>IF(COUNTIF('クラス'!A:A,E133)&gt;0,"○","×")&amp;IF(COUNTIF('クラス'!A:A,F133)&gt;0,"○","×")</f>
        <v>○×</v>
      </c>
      <c r="D133" s="39" t="b">
        <v>1</v>
      </c>
      <c r="E133" s="39" t="s">
        <v>1647</v>
      </c>
      <c r="G133" s="39">
        <v>3.0</v>
      </c>
      <c r="H133" s="39">
        <v>7.0</v>
      </c>
      <c r="J133" s="39" t="s">
        <v>3519</v>
      </c>
      <c r="R133" s="39" t="s">
        <v>1647</v>
      </c>
      <c r="S133" s="39" t="s">
        <v>3350</v>
      </c>
      <c r="W133" s="39" t="s">
        <v>3545</v>
      </c>
      <c r="X133" s="39" t="s">
        <v>3533</v>
      </c>
      <c r="Y133" s="39">
        <v>7.0</v>
      </c>
      <c r="Z133" s="39" t="b">
        <v>0</v>
      </c>
      <c r="AA133" s="39" t="s">
        <v>3474</v>
      </c>
      <c r="AB133" s="39">
        <v>2.0</v>
      </c>
      <c r="AC133" s="39">
        <v>3.0</v>
      </c>
      <c r="AD133" s="39">
        <v>1.0</v>
      </c>
      <c r="AE133" s="39">
        <v>5.0</v>
      </c>
      <c r="AF133" s="39">
        <v>45.0</v>
      </c>
      <c r="AG133" s="39" t="s">
        <v>3522</v>
      </c>
    </row>
    <row r="134" ht="18.75" customHeight="1">
      <c r="A134" s="26" t="s">
        <v>69</v>
      </c>
      <c r="B134" s="22" t="s">
        <v>1317</v>
      </c>
      <c r="C134" s="37" t="str">
        <f>IF(COUNTIF('クラス'!A:A,E134)&gt;0,"○","×")&amp;IF(COUNTIF('クラス'!A:A,F134)&gt;0,"○","×")</f>
        <v>○×</v>
      </c>
      <c r="D134" s="39" t="b">
        <v>1</v>
      </c>
      <c r="E134" s="39" t="s">
        <v>1317</v>
      </c>
      <c r="G134" s="39">
        <v>5.0</v>
      </c>
      <c r="H134" s="39">
        <v>15.0</v>
      </c>
      <c r="J134" s="39" t="s">
        <v>3546</v>
      </c>
      <c r="R134" s="39" t="s">
        <v>1317</v>
      </c>
      <c r="S134" s="39" t="s">
        <v>3376</v>
      </c>
      <c r="W134" s="39" t="s">
        <v>3547</v>
      </c>
      <c r="X134" s="39" t="s">
        <v>3548</v>
      </c>
      <c r="Y134" s="39">
        <v>1.0</v>
      </c>
      <c r="Z134" s="39" t="b">
        <v>0</v>
      </c>
      <c r="AA134" s="39"/>
      <c r="AB134" s="39"/>
      <c r="AC134" s="39"/>
      <c r="AD134" s="39">
        <v>1.0</v>
      </c>
      <c r="AE134" s="39"/>
      <c r="AF134" s="39"/>
      <c r="AG134" s="39"/>
    </row>
    <row r="135" ht="18.75" customHeight="1">
      <c r="A135" s="26" t="s">
        <v>69</v>
      </c>
      <c r="B135" s="22" t="s">
        <v>1331</v>
      </c>
      <c r="C135" s="37" t="str">
        <f>IF(COUNTIF('クラス'!A:A,E135)&gt;0,"○","×")&amp;IF(COUNTIF('クラス'!A:A,F135)&gt;0,"○","×")</f>
        <v>○×</v>
      </c>
      <c r="D135" s="39" t="b">
        <v>1</v>
      </c>
      <c r="E135" s="39" t="s">
        <v>1331</v>
      </c>
      <c r="G135" s="39">
        <v>5.0</v>
      </c>
      <c r="H135" s="39">
        <v>15.0</v>
      </c>
      <c r="J135" s="39" t="s">
        <v>3546</v>
      </c>
      <c r="R135" s="39" t="s">
        <v>1331</v>
      </c>
      <c r="S135" s="39" t="s">
        <v>3376</v>
      </c>
      <c r="W135" s="39" t="s">
        <v>3549</v>
      </c>
      <c r="X135" s="39" t="s">
        <v>3548</v>
      </c>
      <c r="Y135" s="39">
        <v>2.0</v>
      </c>
      <c r="Z135" s="39" t="b">
        <v>0</v>
      </c>
      <c r="AA135" s="39"/>
      <c r="AB135" s="39"/>
      <c r="AC135" s="39"/>
      <c r="AD135" s="39">
        <v>1.0</v>
      </c>
      <c r="AE135" s="39"/>
      <c r="AF135" s="39"/>
      <c r="AG135" s="39"/>
    </row>
    <row r="136" ht="18.75" customHeight="1">
      <c r="A136" s="26" t="s">
        <v>69</v>
      </c>
      <c r="B136" s="22" t="s">
        <v>1344</v>
      </c>
      <c r="C136" s="37" t="str">
        <f>IF(COUNTIF('クラス'!A:A,E136)&gt;0,"○","×")&amp;IF(COUNTIF('クラス'!A:A,F136)&gt;0,"○","×")</f>
        <v>○×</v>
      </c>
      <c r="D136" s="39" t="b">
        <v>1</v>
      </c>
      <c r="E136" s="39" t="s">
        <v>1344</v>
      </c>
      <c r="G136" s="39">
        <v>5.0</v>
      </c>
      <c r="H136" s="39">
        <v>15.0</v>
      </c>
      <c r="J136" s="39" t="s">
        <v>3546</v>
      </c>
      <c r="R136" s="39" t="s">
        <v>1344</v>
      </c>
      <c r="S136" s="39" t="s">
        <v>3376</v>
      </c>
      <c r="W136" s="39" t="s">
        <v>3550</v>
      </c>
      <c r="X136" s="39" t="s">
        <v>3548</v>
      </c>
      <c r="Y136" s="39">
        <v>6.0</v>
      </c>
      <c r="Z136" s="39" t="b">
        <v>0</v>
      </c>
      <c r="AA136" s="39"/>
      <c r="AB136" s="39"/>
      <c r="AC136" s="39"/>
      <c r="AD136" s="39">
        <v>1.0</v>
      </c>
      <c r="AE136" s="39"/>
      <c r="AF136" s="39"/>
      <c r="AG136" s="39"/>
    </row>
    <row r="137" ht="18.75" customHeight="1">
      <c r="A137" s="26" t="s">
        <v>56</v>
      </c>
      <c r="B137" s="22" t="s">
        <v>3551</v>
      </c>
      <c r="C137" s="39" t="s">
        <v>3552</v>
      </c>
      <c r="E137" s="39" t="s">
        <v>1501</v>
      </c>
      <c r="F137" s="39" t="s">
        <v>1812</v>
      </c>
      <c r="G137" s="39">
        <v>11.0</v>
      </c>
      <c r="H137" s="39">
        <v>14.0</v>
      </c>
      <c r="J137" s="39" t="s">
        <v>3553</v>
      </c>
      <c r="W137" s="39" t="s">
        <v>3554</v>
      </c>
      <c r="AA137" s="37"/>
      <c r="AD137" s="39">
        <v>1.0</v>
      </c>
      <c r="AE137" s="39"/>
      <c r="AF137" s="39"/>
      <c r="AG137" s="39"/>
    </row>
    <row r="138" ht="18.75" customHeight="1">
      <c r="A138" s="26" t="s">
        <v>3254</v>
      </c>
      <c r="B138" s="22" t="s">
        <v>3551</v>
      </c>
      <c r="C138" s="39" t="s">
        <v>3552</v>
      </c>
      <c r="E138" s="39" t="s">
        <v>1501</v>
      </c>
      <c r="F138" s="39" t="s">
        <v>1812</v>
      </c>
      <c r="G138" s="39">
        <v>11.0</v>
      </c>
      <c r="H138" s="39">
        <v>14.0</v>
      </c>
      <c r="J138" s="39" t="s">
        <v>3553</v>
      </c>
      <c r="W138" s="39" t="s">
        <v>3555</v>
      </c>
      <c r="AA138" s="37"/>
      <c r="AD138" s="39">
        <v>1.0</v>
      </c>
      <c r="AE138" s="39"/>
      <c r="AF138" s="39"/>
      <c r="AG138" s="39"/>
    </row>
    <row r="139" ht="18.75" customHeight="1">
      <c r="A139" s="26" t="s">
        <v>66</v>
      </c>
      <c r="B139" s="22" t="s">
        <v>3556</v>
      </c>
      <c r="C139" s="39" t="s">
        <v>3552</v>
      </c>
      <c r="E139" s="39" t="s">
        <v>1501</v>
      </c>
      <c r="F139" s="39" t="s">
        <v>1763</v>
      </c>
      <c r="G139" s="39">
        <v>11.0</v>
      </c>
      <c r="H139" s="39">
        <v>14.0</v>
      </c>
      <c r="J139" s="39" t="s">
        <v>3553</v>
      </c>
      <c r="W139" s="39" t="s">
        <v>3557</v>
      </c>
      <c r="AA139" s="37"/>
      <c r="AD139" s="39">
        <v>1.0</v>
      </c>
      <c r="AE139" s="39">
        <v>-40.0</v>
      </c>
      <c r="AF139" s="39">
        <v>15.0</v>
      </c>
      <c r="AG139" s="39" t="s">
        <v>3507</v>
      </c>
    </row>
    <row r="140" ht="18.75" customHeight="1">
      <c r="A140" s="26" t="s">
        <v>57</v>
      </c>
      <c r="B140" s="22" t="s">
        <v>3556</v>
      </c>
      <c r="C140" s="39" t="s">
        <v>3552</v>
      </c>
      <c r="E140" s="39" t="s">
        <v>1501</v>
      </c>
      <c r="F140" s="39" t="s">
        <v>1763</v>
      </c>
      <c r="G140" s="39">
        <v>11.0</v>
      </c>
      <c r="H140" s="39">
        <v>14.0</v>
      </c>
      <c r="J140" s="39" t="s">
        <v>3553</v>
      </c>
      <c r="W140" s="39" t="s">
        <v>3558</v>
      </c>
      <c r="AA140" s="37"/>
      <c r="AD140" s="39">
        <v>1.0</v>
      </c>
      <c r="AE140" s="39">
        <v>-40.0</v>
      </c>
      <c r="AF140" s="39">
        <v>15.0</v>
      </c>
      <c r="AG140" s="39" t="s">
        <v>3507</v>
      </c>
    </row>
    <row r="141" ht="18.75" customHeight="1">
      <c r="A141" s="26" t="s">
        <v>54</v>
      </c>
      <c r="B141" s="22" t="s">
        <v>3559</v>
      </c>
      <c r="C141" s="39" t="s">
        <v>3552</v>
      </c>
      <c r="E141" s="39" t="s">
        <v>1521</v>
      </c>
      <c r="F141" s="39" t="s">
        <v>1812</v>
      </c>
      <c r="G141" s="39">
        <v>11.0</v>
      </c>
      <c r="H141" s="39">
        <v>14.0</v>
      </c>
      <c r="J141" s="39" t="s">
        <v>3553</v>
      </c>
      <c r="W141" s="39" t="s">
        <v>3560</v>
      </c>
      <c r="AA141" s="37"/>
      <c r="AD141" s="39">
        <v>1.0</v>
      </c>
      <c r="AE141" s="39"/>
      <c r="AF141" s="39"/>
      <c r="AG141" s="39"/>
    </row>
    <row r="142" ht="18.75" customHeight="1">
      <c r="A142" s="26" t="s">
        <v>3254</v>
      </c>
      <c r="B142" s="22" t="s">
        <v>3559</v>
      </c>
      <c r="C142" s="39" t="s">
        <v>3552</v>
      </c>
      <c r="E142" s="39" t="s">
        <v>1521</v>
      </c>
      <c r="F142" s="39" t="s">
        <v>1812</v>
      </c>
      <c r="G142" s="39">
        <v>11.0</v>
      </c>
      <c r="H142" s="39">
        <v>14.0</v>
      </c>
      <c r="J142" s="39" t="s">
        <v>3553</v>
      </c>
      <c r="W142" s="39" t="s">
        <v>3561</v>
      </c>
      <c r="AA142" s="37"/>
      <c r="AD142" s="39">
        <v>1.0</v>
      </c>
      <c r="AE142" s="39"/>
      <c r="AF142" s="39"/>
      <c r="AG142" s="39"/>
    </row>
    <row r="143" ht="18.75" customHeight="1">
      <c r="A143" s="26" t="s">
        <v>58</v>
      </c>
      <c r="B143" s="22" t="s">
        <v>3562</v>
      </c>
      <c r="C143" s="39" t="s">
        <v>3552</v>
      </c>
      <c r="E143" s="39" t="s">
        <v>1507</v>
      </c>
      <c r="F143" s="39" t="s">
        <v>1775</v>
      </c>
      <c r="G143" s="39">
        <v>11.0</v>
      </c>
      <c r="H143" s="39">
        <v>14.0</v>
      </c>
      <c r="J143" s="39" t="s">
        <v>3553</v>
      </c>
      <c r="W143" s="39" t="s">
        <v>3563</v>
      </c>
      <c r="AA143" s="37"/>
      <c r="AD143" s="39">
        <v>1.0</v>
      </c>
      <c r="AE143" s="39"/>
      <c r="AF143" s="39"/>
      <c r="AG143" s="39"/>
    </row>
    <row r="144" ht="18.75" customHeight="1">
      <c r="A144" s="26" t="s">
        <v>57</v>
      </c>
      <c r="B144" s="22" t="s">
        <v>3562</v>
      </c>
      <c r="C144" s="39" t="s">
        <v>3552</v>
      </c>
      <c r="E144" s="39" t="s">
        <v>1507</v>
      </c>
      <c r="F144" s="39" t="s">
        <v>1775</v>
      </c>
      <c r="G144" s="39">
        <v>11.0</v>
      </c>
      <c r="H144" s="39">
        <v>14.0</v>
      </c>
      <c r="J144" s="39" t="s">
        <v>3553</v>
      </c>
      <c r="W144" s="39" t="s">
        <v>3564</v>
      </c>
      <c r="AA144" s="37"/>
      <c r="AD144" s="39">
        <v>1.0</v>
      </c>
      <c r="AE144" s="39"/>
      <c r="AF144" s="39"/>
      <c r="AG144" s="39"/>
    </row>
    <row r="145" ht="18.75" customHeight="1">
      <c r="A145" s="26" t="s">
        <v>54</v>
      </c>
      <c r="B145" s="22" t="s">
        <v>3565</v>
      </c>
      <c r="C145" s="39" t="s">
        <v>3552</v>
      </c>
      <c r="E145" s="39" t="s">
        <v>1507</v>
      </c>
      <c r="F145" s="39" t="s">
        <v>1766</v>
      </c>
      <c r="G145" s="39">
        <v>11.0</v>
      </c>
      <c r="H145" s="39">
        <v>14.0</v>
      </c>
      <c r="J145" s="39" t="s">
        <v>3553</v>
      </c>
      <c r="W145" s="39" t="s">
        <v>3566</v>
      </c>
      <c r="AA145" s="37"/>
      <c r="AD145" s="39">
        <v>1.0</v>
      </c>
      <c r="AE145" s="39"/>
      <c r="AF145" s="39"/>
      <c r="AG145" s="39"/>
    </row>
    <row r="146" ht="18.75" customHeight="1">
      <c r="A146" s="26" t="s">
        <v>58</v>
      </c>
      <c r="B146" s="22" t="s">
        <v>3565</v>
      </c>
      <c r="C146" s="39" t="s">
        <v>3552</v>
      </c>
      <c r="E146" s="39" t="s">
        <v>1507</v>
      </c>
      <c r="F146" s="39" t="s">
        <v>1766</v>
      </c>
      <c r="G146" s="39">
        <v>11.0</v>
      </c>
      <c r="H146" s="39">
        <v>14.0</v>
      </c>
      <c r="J146" s="39" t="s">
        <v>3553</v>
      </c>
      <c r="W146" s="39" t="s">
        <v>3567</v>
      </c>
      <c r="AA146" s="37"/>
      <c r="AD146" s="39">
        <v>1.0</v>
      </c>
      <c r="AE146" s="39"/>
      <c r="AF146" s="39"/>
      <c r="AG146" s="39"/>
    </row>
    <row r="147" ht="18.75" customHeight="1">
      <c r="A147" s="26" t="s">
        <v>57</v>
      </c>
      <c r="B147" s="22" t="s">
        <v>3565</v>
      </c>
      <c r="C147" s="39" t="s">
        <v>3552</v>
      </c>
      <c r="E147" s="39" t="s">
        <v>1507</v>
      </c>
      <c r="F147" s="39" t="s">
        <v>1766</v>
      </c>
      <c r="G147" s="39">
        <v>11.0</v>
      </c>
      <c r="H147" s="39">
        <v>14.0</v>
      </c>
      <c r="J147" s="39" t="s">
        <v>3553</v>
      </c>
      <c r="W147" s="39" t="s">
        <v>3568</v>
      </c>
      <c r="AA147" s="37"/>
      <c r="AD147" s="39">
        <v>1.0</v>
      </c>
      <c r="AE147" s="39"/>
      <c r="AF147" s="39"/>
      <c r="AG147" s="39"/>
    </row>
    <row r="148" ht="18.75" customHeight="1">
      <c r="A148" s="26" t="s">
        <v>63</v>
      </c>
      <c r="B148" s="22" t="s">
        <v>3569</v>
      </c>
      <c r="C148" s="39" t="s">
        <v>3552</v>
      </c>
      <c r="E148" s="39" t="s">
        <v>1504</v>
      </c>
      <c r="F148" s="39" t="s">
        <v>1778</v>
      </c>
      <c r="G148" s="39">
        <v>11.0</v>
      </c>
      <c r="H148" s="39">
        <v>14.0</v>
      </c>
      <c r="J148" s="39" t="s">
        <v>3553</v>
      </c>
      <c r="W148" s="39" t="s">
        <v>3570</v>
      </c>
      <c r="AA148" s="37"/>
      <c r="AD148" s="39">
        <v>1.0</v>
      </c>
      <c r="AE148" s="39">
        <v>0.0</v>
      </c>
      <c r="AF148" s="39">
        <v>45.0</v>
      </c>
      <c r="AG148" s="39" t="s">
        <v>3348</v>
      </c>
    </row>
    <row r="149" ht="18.75" customHeight="1">
      <c r="A149" s="26" t="s">
        <v>59</v>
      </c>
      <c r="B149" s="22" t="s">
        <v>3569</v>
      </c>
      <c r="C149" s="39" t="s">
        <v>3552</v>
      </c>
      <c r="E149" s="39" t="s">
        <v>1504</v>
      </c>
      <c r="F149" s="39" t="s">
        <v>1778</v>
      </c>
      <c r="G149" s="39">
        <v>11.0</v>
      </c>
      <c r="H149" s="39">
        <v>14.0</v>
      </c>
      <c r="J149" s="39" t="s">
        <v>3553</v>
      </c>
      <c r="W149" s="39" t="s">
        <v>3571</v>
      </c>
      <c r="AA149" s="37"/>
      <c r="AD149" s="39">
        <v>1.0</v>
      </c>
      <c r="AE149" s="39">
        <v>0.0</v>
      </c>
      <c r="AF149" s="39">
        <v>45.0</v>
      </c>
      <c r="AG149" s="39" t="s">
        <v>3348</v>
      </c>
    </row>
    <row r="150" ht="18.75" customHeight="1">
      <c r="A150" s="26" t="s">
        <v>56</v>
      </c>
      <c r="B150" s="22" t="s">
        <v>3569</v>
      </c>
      <c r="C150" s="39" t="s">
        <v>3552</v>
      </c>
      <c r="E150" s="39" t="s">
        <v>1504</v>
      </c>
      <c r="F150" s="39" t="s">
        <v>1778</v>
      </c>
      <c r="G150" s="39">
        <v>11.0</v>
      </c>
      <c r="H150" s="39">
        <v>14.0</v>
      </c>
      <c r="J150" s="39" t="s">
        <v>3553</v>
      </c>
      <c r="W150" s="39" t="s">
        <v>3572</v>
      </c>
      <c r="AA150" s="37"/>
      <c r="AD150" s="39">
        <v>1.0</v>
      </c>
      <c r="AE150" s="39">
        <v>0.0</v>
      </c>
      <c r="AF150" s="39">
        <v>45.0</v>
      </c>
      <c r="AG150" s="39" t="s">
        <v>3348</v>
      </c>
    </row>
    <row r="151" ht="18.75" customHeight="1">
      <c r="A151" s="26" t="s">
        <v>59</v>
      </c>
      <c r="B151" s="22" t="s">
        <v>3573</v>
      </c>
      <c r="C151" s="39" t="s">
        <v>3552</v>
      </c>
      <c r="E151" s="39" t="s">
        <v>1504</v>
      </c>
      <c r="F151" s="39" t="s">
        <v>1781</v>
      </c>
      <c r="G151" s="39">
        <v>11.0</v>
      </c>
      <c r="H151" s="39">
        <v>14.0</v>
      </c>
      <c r="J151" s="39" t="s">
        <v>3553</v>
      </c>
      <c r="W151" s="39" t="s">
        <v>3574</v>
      </c>
      <c r="AA151" s="37"/>
      <c r="AD151" s="39">
        <v>1.0</v>
      </c>
      <c r="AE151" s="39">
        <v>0.0</v>
      </c>
      <c r="AF151" s="39">
        <v>45.0</v>
      </c>
      <c r="AG151" s="39" t="s">
        <v>3348</v>
      </c>
    </row>
    <row r="152" ht="18.75" customHeight="1">
      <c r="A152" s="26" t="s">
        <v>60</v>
      </c>
      <c r="B152" s="22" t="s">
        <v>3573</v>
      </c>
      <c r="C152" s="39" t="s">
        <v>3552</v>
      </c>
      <c r="E152" s="39" t="s">
        <v>1504</v>
      </c>
      <c r="F152" s="39" t="s">
        <v>1781</v>
      </c>
      <c r="G152" s="39">
        <v>11.0</v>
      </c>
      <c r="H152" s="39">
        <v>14.0</v>
      </c>
      <c r="J152" s="39" t="s">
        <v>3553</v>
      </c>
      <c r="W152" s="39" t="s">
        <v>3575</v>
      </c>
      <c r="AA152" s="37"/>
      <c r="AD152" s="39">
        <v>1.0</v>
      </c>
      <c r="AE152" s="39">
        <v>0.0</v>
      </c>
      <c r="AF152" s="39">
        <v>45.0</v>
      </c>
      <c r="AG152" s="39" t="s">
        <v>3348</v>
      </c>
    </row>
    <row r="153" ht="18.75" customHeight="1">
      <c r="A153" s="26" t="s">
        <v>61</v>
      </c>
      <c r="B153" s="22" t="s">
        <v>3573</v>
      </c>
      <c r="C153" s="39" t="s">
        <v>3552</v>
      </c>
      <c r="E153" s="39" t="s">
        <v>1504</v>
      </c>
      <c r="F153" s="39" t="s">
        <v>1781</v>
      </c>
      <c r="G153" s="39">
        <v>11.0</v>
      </c>
      <c r="H153" s="39">
        <v>14.0</v>
      </c>
      <c r="J153" s="39" t="s">
        <v>3553</v>
      </c>
      <c r="W153" s="39" t="s">
        <v>3576</v>
      </c>
      <c r="AA153" s="37"/>
      <c r="AD153" s="39">
        <v>1.0</v>
      </c>
      <c r="AE153" s="39">
        <v>0.0</v>
      </c>
      <c r="AF153" s="39">
        <v>45.0</v>
      </c>
      <c r="AG153" s="39" t="s">
        <v>3348</v>
      </c>
    </row>
    <row r="154" ht="18.75" customHeight="1">
      <c r="A154" s="26" t="s">
        <v>59</v>
      </c>
      <c r="B154" s="22" t="s">
        <v>3577</v>
      </c>
      <c r="C154" s="39" t="s">
        <v>3552</v>
      </c>
      <c r="E154" s="39" t="s">
        <v>1516</v>
      </c>
      <c r="F154" s="39" t="s">
        <v>1781</v>
      </c>
      <c r="G154" s="39">
        <v>13.0</v>
      </c>
      <c r="H154" s="39">
        <v>16.0</v>
      </c>
      <c r="J154" s="39" t="s">
        <v>3578</v>
      </c>
      <c r="W154" s="39" t="s">
        <v>3579</v>
      </c>
      <c r="AA154" s="37"/>
      <c r="AD154" s="39">
        <v>1.0</v>
      </c>
      <c r="AE154" s="39">
        <v>0.0</v>
      </c>
      <c r="AF154" s="39">
        <v>45.0</v>
      </c>
      <c r="AG154" s="39" t="s">
        <v>3348</v>
      </c>
    </row>
    <row r="155" ht="18.75" customHeight="1">
      <c r="A155" s="26" t="s">
        <v>60</v>
      </c>
      <c r="B155" s="22" t="s">
        <v>3577</v>
      </c>
      <c r="C155" s="39" t="s">
        <v>3552</v>
      </c>
      <c r="E155" s="39" t="s">
        <v>1516</v>
      </c>
      <c r="F155" s="39" t="s">
        <v>1781</v>
      </c>
      <c r="G155" s="39">
        <v>13.0</v>
      </c>
      <c r="H155" s="39">
        <v>16.0</v>
      </c>
      <c r="J155" s="39" t="s">
        <v>3578</v>
      </c>
      <c r="W155" s="39" t="s">
        <v>3580</v>
      </c>
      <c r="AA155" s="37"/>
      <c r="AD155" s="39">
        <v>1.0</v>
      </c>
      <c r="AE155" s="39">
        <v>0.0</v>
      </c>
      <c r="AF155" s="39">
        <v>45.0</v>
      </c>
      <c r="AG155" s="39" t="s">
        <v>3348</v>
      </c>
    </row>
    <row r="156" ht="18.75" customHeight="1">
      <c r="A156" s="26" t="s">
        <v>63</v>
      </c>
      <c r="B156" s="22" t="s">
        <v>3577</v>
      </c>
      <c r="C156" s="39" t="s">
        <v>3552</v>
      </c>
      <c r="E156" s="39" t="s">
        <v>1516</v>
      </c>
      <c r="F156" s="39" t="s">
        <v>1781</v>
      </c>
      <c r="G156" s="39">
        <v>13.0</v>
      </c>
      <c r="H156" s="39">
        <v>16.0</v>
      </c>
      <c r="J156" s="39" t="s">
        <v>3578</v>
      </c>
      <c r="W156" s="39" t="s">
        <v>3581</v>
      </c>
      <c r="AA156" s="37"/>
      <c r="AD156" s="39">
        <v>1.0</v>
      </c>
      <c r="AE156" s="39">
        <v>0.0</v>
      </c>
      <c r="AF156" s="39">
        <v>45.0</v>
      </c>
      <c r="AG156" s="39" t="s">
        <v>3348</v>
      </c>
    </row>
    <row r="157" ht="18.75" customHeight="1">
      <c r="A157" s="26" t="s">
        <v>3254</v>
      </c>
      <c r="B157" s="22" t="s">
        <v>3582</v>
      </c>
      <c r="C157" s="39" t="s">
        <v>3552</v>
      </c>
      <c r="E157" s="39" t="s">
        <v>1516</v>
      </c>
      <c r="F157" s="39" t="s">
        <v>1788</v>
      </c>
      <c r="G157" s="39">
        <v>13.0</v>
      </c>
      <c r="H157" s="39">
        <v>16.0</v>
      </c>
      <c r="J157" s="39" t="s">
        <v>3578</v>
      </c>
      <c r="W157" s="39" t="s">
        <v>3583</v>
      </c>
      <c r="AA157" s="37"/>
      <c r="AD157" s="39">
        <v>1.0</v>
      </c>
      <c r="AE157" s="39">
        <v>0.0</v>
      </c>
      <c r="AF157" s="39">
        <v>45.0</v>
      </c>
      <c r="AG157" s="39" t="s">
        <v>3348</v>
      </c>
    </row>
    <row r="158" ht="18.75" customHeight="1">
      <c r="A158" s="26" t="s">
        <v>63</v>
      </c>
      <c r="B158" s="22" t="s">
        <v>3582</v>
      </c>
      <c r="C158" s="39" t="s">
        <v>3552</v>
      </c>
      <c r="E158" s="39" t="s">
        <v>1516</v>
      </c>
      <c r="F158" s="39" t="s">
        <v>1788</v>
      </c>
      <c r="G158" s="39">
        <v>13.0</v>
      </c>
      <c r="H158" s="39">
        <v>16.0</v>
      </c>
      <c r="J158" s="39" t="s">
        <v>3578</v>
      </c>
      <c r="W158" s="39" t="s">
        <v>3584</v>
      </c>
      <c r="AA158" s="37"/>
      <c r="AD158" s="39">
        <v>1.0</v>
      </c>
      <c r="AE158" s="39">
        <v>0.0</v>
      </c>
      <c r="AF158" s="39">
        <v>45.0</v>
      </c>
      <c r="AG158" s="39" t="s">
        <v>3348</v>
      </c>
    </row>
    <row r="159" ht="18.75" customHeight="1">
      <c r="A159" s="26" t="s">
        <v>63</v>
      </c>
      <c r="B159" s="22" t="s">
        <v>3585</v>
      </c>
      <c r="C159" s="39" t="s">
        <v>3552</v>
      </c>
      <c r="E159" s="39" t="s">
        <v>1516</v>
      </c>
      <c r="F159" s="39" t="s">
        <v>1778</v>
      </c>
      <c r="G159" s="39">
        <v>13.0</v>
      </c>
      <c r="H159" s="39">
        <v>16.0</v>
      </c>
      <c r="J159" s="39" t="s">
        <v>3578</v>
      </c>
      <c r="W159" s="39" t="s">
        <v>3586</v>
      </c>
      <c r="AA159" s="37"/>
      <c r="AD159" s="39">
        <v>1.0</v>
      </c>
      <c r="AE159" s="39">
        <v>0.0</v>
      </c>
      <c r="AF159" s="39">
        <v>45.0</v>
      </c>
      <c r="AG159" s="39" t="s">
        <v>3348</v>
      </c>
    </row>
    <row r="160" ht="18.75" customHeight="1">
      <c r="A160" s="26" t="s">
        <v>56</v>
      </c>
      <c r="B160" s="22" t="s">
        <v>3587</v>
      </c>
      <c r="C160" s="39" t="s">
        <v>3552</v>
      </c>
      <c r="E160" s="39" t="s">
        <v>1494</v>
      </c>
      <c r="F160" s="39" t="s">
        <v>1775</v>
      </c>
      <c r="G160" s="39">
        <v>13.0</v>
      </c>
      <c r="H160" s="39">
        <v>16.0</v>
      </c>
      <c r="J160" s="39" t="s">
        <v>3578</v>
      </c>
      <c r="W160" s="39" t="s">
        <v>3588</v>
      </c>
      <c r="AA160" s="37"/>
      <c r="AD160" s="39">
        <v>1.0</v>
      </c>
      <c r="AE160" s="39"/>
      <c r="AF160" s="39"/>
      <c r="AG160" s="39"/>
    </row>
    <row r="161" ht="18.75" customHeight="1">
      <c r="A161" s="26" t="s">
        <v>58</v>
      </c>
      <c r="B161" s="22" t="s">
        <v>3587</v>
      </c>
      <c r="C161" s="39" t="s">
        <v>3552</v>
      </c>
      <c r="E161" s="39" t="s">
        <v>1494</v>
      </c>
      <c r="F161" s="39" t="s">
        <v>1775</v>
      </c>
      <c r="G161" s="39">
        <v>13.0</v>
      </c>
      <c r="H161" s="39">
        <v>16.0</v>
      </c>
      <c r="J161" s="39" t="s">
        <v>3578</v>
      </c>
      <c r="W161" s="39" t="s">
        <v>3589</v>
      </c>
      <c r="AA161" s="37"/>
      <c r="AD161" s="39">
        <v>1.0</v>
      </c>
      <c r="AE161" s="39"/>
      <c r="AF161" s="39"/>
      <c r="AG161" s="39"/>
    </row>
    <row r="162" ht="18.75" customHeight="1">
      <c r="A162" s="26" t="s">
        <v>56</v>
      </c>
      <c r="B162" s="22" t="s">
        <v>3590</v>
      </c>
      <c r="C162" s="39" t="s">
        <v>3552</v>
      </c>
      <c r="E162" s="39" t="s">
        <v>1494</v>
      </c>
      <c r="F162" s="39" t="s">
        <v>1788</v>
      </c>
      <c r="G162" s="39">
        <v>13.0</v>
      </c>
      <c r="H162" s="39">
        <v>16.0</v>
      </c>
      <c r="J162" s="39" t="s">
        <v>3578</v>
      </c>
      <c r="W162" s="39" t="s">
        <v>3591</v>
      </c>
      <c r="AA162" s="37"/>
      <c r="AD162" s="39">
        <v>1.0</v>
      </c>
      <c r="AE162" s="39"/>
      <c r="AF162" s="39"/>
      <c r="AG162" s="39"/>
    </row>
    <row r="163" ht="18.75" customHeight="1">
      <c r="A163" s="26" t="s">
        <v>58</v>
      </c>
      <c r="B163" s="22" t="s">
        <v>3590</v>
      </c>
      <c r="C163" s="39" t="s">
        <v>3552</v>
      </c>
      <c r="E163" s="39" t="s">
        <v>1494</v>
      </c>
      <c r="F163" s="39" t="s">
        <v>1788</v>
      </c>
      <c r="G163" s="39">
        <v>13.0</v>
      </c>
      <c r="H163" s="39">
        <v>16.0</v>
      </c>
      <c r="J163" s="39" t="s">
        <v>3578</v>
      </c>
      <c r="W163" s="39" t="s">
        <v>3592</v>
      </c>
      <c r="AA163" s="37"/>
      <c r="AD163" s="39">
        <v>1.0</v>
      </c>
      <c r="AE163" s="39"/>
      <c r="AF163" s="39"/>
      <c r="AG163" s="39"/>
    </row>
    <row r="164" ht="18.75" customHeight="1">
      <c r="A164" s="26" t="s">
        <v>57</v>
      </c>
      <c r="B164" s="22" t="s">
        <v>3590</v>
      </c>
      <c r="C164" s="39" t="s">
        <v>3552</v>
      </c>
      <c r="E164" s="39" t="s">
        <v>1494</v>
      </c>
      <c r="F164" s="39" t="s">
        <v>1788</v>
      </c>
      <c r="G164" s="39">
        <v>13.0</v>
      </c>
      <c r="H164" s="39">
        <v>16.0</v>
      </c>
      <c r="J164" s="39" t="s">
        <v>3578</v>
      </c>
      <c r="W164" s="39" t="s">
        <v>3593</v>
      </c>
      <c r="AA164" s="37"/>
      <c r="AD164" s="39">
        <v>1.0</v>
      </c>
      <c r="AE164" s="39"/>
      <c r="AF164" s="39"/>
      <c r="AG164" s="39"/>
    </row>
    <row r="165" ht="18.75" customHeight="1">
      <c r="A165" s="26" t="s">
        <v>54</v>
      </c>
      <c r="B165" s="22" t="s">
        <v>3594</v>
      </c>
      <c r="C165" s="39" t="s">
        <v>3552</v>
      </c>
      <c r="E165" s="39" t="s">
        <v>1494</v>
      </c>
      <c r="F165" s="39" t="s">
        <v>1797</v>
      </c>
      <c r="G165" s="39">
        <v>13.0</v>
      </c>
      <c r="H165" s="39">
        <v>16.0</v>
      </c>
      <c r="J165" s="39" t="s">
        <v>3578</v>
      </c>
      <c r="W165" s="39" t="s">
        <v>3595</v>
      </c>
      <c r="AA165" s="37"/>
      <c r="AD165" s="39">
        <v>1.0</v>
      </c>
      <c r="AE165" s="39">
        <v>5.0</v>
      </c>
      <c r="AF165" s="39">
        <v>50.0</v>
      </c>
      <c r="AG165" s="39" t="s">
        <v>3496</v>
      </c>
    </row>
    <row r="166" ht="18.75" customHeight="1">
      <c r="A166" s="26" t="s">
        <v>3254</v>
      </c>
      <c r="B166" s="22" t="s">
        <v>3594</v>
      </c>
      <c r="C166" s="39" t="s">
        <v>3552</v>
      </c>
      <c r="E166" s="39" t="s">
        <v>1494</v>
      </c>
      <c r="F166" s="39" t="s">
        <v>1797</v>
      </c>
      <c r="G166" s="39">
        <v>13.0</v>
      </c>
      <c r="H166" s="39">
        <v>16.0</v>
      </c>
      <c r="J166" s="39" t="s">
        <v>3578</v>
      </c>
      <c r="W166" s="39" t="s">
        <v>3596</v>
      </c>
      <c r="AA166" s="37"/>
      <c r="AD166" s="39">
        <v>1.0</v>
      </c>
      <c r="AE166" s="39">
        <v>5.0</v>
      </c>
      <c r="AF166" s="39">
        <v>50.0</v>
      </c>
      <c r="AG166" s="39" t="s">
        <v>3496</v>
      </c>
    </row>
    <row r="167" ht="18.75" customHeight="1">
      <c r="A167" s="26" t="s">
        <v>56</v>
      </c>
      <c r="B167" s="22" t="s">
        <v>3597</v>
      </c>
      <c r="C167" s="39" t="s">
        <v>3552</v>
      </c>
      <c r="E167" s="39" t="s">
        <v>1528</v>
      </c>
      <c r="F167" s="39" t="s">
        <v>1788</v>
      </c>
      <c r="G167" s="39">
        <v>11.0</v>
      </c>
      <c r="H167" s="39">
        <v>14.0</v>
      </c>
      <c r="J167" s="39" t="s">
        <v>3553</v>
      </c>
      <c r="W167" s="39" t="s">
        <v>3598</v>
      </c>
      <c r="AA167" s="37"/>
      <c r="AD167" s="39">
        <v>1.0</v>
      </c>
      <c r="AE167" s="39"/>
      <c r="AF167" s="39"/>
      <c r="AG167" s="39"/>
    </row>
    <row r="168" ht="18.75" customHeight="1">
      <c r="A168" s="26" t="s">
        <v>3254</v>
      </c>
      <c r="B168" s="22" t="s">
        <v>3597</v>
      </c>
      <c r="C168" s="39" t="s">
        <v>3552</v>
      </c>
      <c r="E168" s="39" t="s">
        <v>1528</v>
      </c>
      <c r="F168" s="39" t="s">
        <v>1788</v>
      </c>
      <c r="G168" s="39">
        <v>11.0</v>
      </c>
      <c r="H168" s="39">
        <v>14.0</v>
      </c>
      <c r="J168" s="39" t="s">
        <v>3553</v>
      </c>
      <c r="W168" s="39" t="s">
        <v>3599</v>
      </c>
      <c r="AA168" s="37"/>
      <c r="AD168" s="39">
        <v>1.0</v>
      </c>
      <c r="AE168" s="39"/>
      <c r="AF168" s="39"/>
      <c r="AG168" s="39"/>
    </row>
    <row r="169" ht="18.75" customHeight="1">
      <c r="A169" s="26" t="s">
        <v>58</v>
      </c>
      <c r="B169" s="22" t="s">
        <v>3597</v>
      </c>
      <c r="C169" s="39" t="s">
        <v>3552</v>
      </c>
      <c r="E169" s="39" t="s">
        <v>1528</v>
      </c>
      <c r="F169" s="39" t="s">
        <v>1788</v>
      </c>
      <c r="G169" s="39">
        <v>11.0</v>
      </c>
      <c r="H169" s="39">
        <v>14.0</v>
      </c>
      <c r="J169" s="39" t="s">
        <v>3553</v>
      </c>
      <c r="W169" s="39" t="s">
        <v>3600</v>
      </c>
      <c r="AA169" s="37"/>
      <c r="AD169" s="39">
        <v>1.0</v>
      </c>
      <c r="AE169" s="39"/>
      <c r="AF169" s="39"/>
      <c r="AG169" s="39"/>
    </row>
    <row r="170" ht="18.75" customHeight="1">
      <c r="A170" s="26" t="s">
        <v>56</v>
      </c>
      <c r="B170" s="22" t="s">
        <v>3601</v>
      </c>
      <c r="C170" s="39" t="s">
        <v>3552</v>
      </c>
      <c r="E170" s="39" t="s">
        <v>1528</v>
      </c>
      <c r="F170" s="39" t="s">
        <v>1778</v>
      </c>
      <c r="G170" s="39">
        <v>11.0</v>
      </c>
      <c r="H170" s="39">
        <v>14.0</v>
      </c>
      <c r="J170" s="39" t="s">
        <v>3553</v>
      </c>
      <c r="W170" s="39" t="s">
        <v>3602</v>
      </c>
      <c r="AA170" s="37"/>
      <c r="AD170" s="39">
        <v>1.0</v>
      </c>
      <c r="AE170" s="39"/>
      <c r="AF170" s="39"/>
      <c r="AG170" s="39"/>
    </row>
    <row r="171" ht="18.75" customHeight="1">
      <c r="A171" s="26" t="s">
        <v>63</v>
      </c>
      <c r="B171" s="22" t="s">
        <v>3601</v>
      </c>
      <c r="C171" s="39" t="s">
        <v>3552</v>
      </c>
      <c r="E171" s="39" t="s">
        <v>1528</v>
      </c>
      <c r="F171" s="39" t="s">
        <v>1778</v>
      </c>
      <c r="G171" s="39">
        <v>11.0</v>
      </c>
      <c r="H171" s="39">
        <v>14.0</v>
      </c>
      <c r="J171" s="39" t="s">
        <v>3553</v>
      </c>
      <c r="W171" s="39" t="s">
        <v>3603</v>
      </c>
      <c r="AA171" s="37"/>
      <c r="AD171" s="39">
        <v>1.0</v>
      </c>
      <c r="AE171" s="39"/>
      <c r="AF171" s="39"/>
      <c r="AG171" s="39"/>
    </row>
    <row r="172" ht="18.75" customHeight="1">
      <c r="A172" s="26" t="s">
        <v>3254</v>
      </c>
      <c r="B172" s="22" t="s">
        <v>3604</v>
      </c>
      <c r="C172" s="39" t="s">
        <v>3552</v>
      </c>
      <c r="E172" s="39" t="s">
        <v>1528</v>
      </c>
      <c r="F172" s="39" t="s">
        <v>1760</v>
      </c>
      <c r="G172" s="39">
        <v>11.0</v>
      </c>
      <c r="H172" s="39">
        <v>14.0</v>
      </c>
      <c r="J172" s="39" t="s">
        <v>3553</v>
      </c>
      <c r="W172" s="39" t="s">
        <v>3605</v>
      </c>
      <c r="AA172" s="37"/>
      <c r="AD172" s="39">
        <v>1.0</v>
      </c>
      <c r="AE172" s="39">
        <v>15.0</v>
      </c>
      <c r="AF172" s="39">
        <v>60.0</v>
      </c>
      <c r="AG172" s="39" t="s">
        <v>3496</v>
      </c>
    </row>
    <row r="173" ht="18.75" customHeight="1">
      <c r="A173" s="26" t="s">
        <v>67</v>
      </c>
      <c r="B173" s="22" t="s">
        <v>3604</v>
      </c>
      <c r="C173" s="39" t="s">
        <v>3552</v>
      </c>
      <c r="E173" s="39" t="s">
        <v>1528</v>
      </c>
      <c r="F173" s="39" t="s">
        <v>1760</v>
      </c>
      <c r="G173" s="39">
        <v>11.0</v>
      </c>
      <c r="H173" s="39">
        <v>14.0</v>
      </c>
      <c r="J173" s="39" t="s">
        <v>3553</v>
      </c>
      <c r="W173" s="39" t="s">
        <v>3606</v>
      </c>
      <c r="AA173" s="37"/>
      <c r="AD173" s="39">
        <v>1.0</v>
      </c>
      <c r="AE173" s="39">
        <v>15.0</v>
      </c>
      <c r="AF173" s="39">
        <v>60.0</v>
      </c>
      <c r="AG173" s="39" t="s">
        <v>3496</v>
      </c>
    </row>
    <row r="174" ht="18.75" customHeight="1">
      <c r="A174" s="26" t="s">
        <v>56</v>
      </c>
      <c r="B174" s="22" t="s">
        <v>3607</v>
      </c>
      <c r="C174" s="39" t="s">
        <v>3552</v>
      </c>
      <c r="E174" s="39" t="s">
        <v>1573</v>
      </c>
      <c r="F174" s="39" t="s">
        <v>1760</v>
      </c>
      <c r="G174" s="39">
        <v>11.0</v>
      </c>
      <c r="H174" s="39">
        <v>14.0</v>
      </c>
      <c r="J174" s="39" t="s">
        <v>3553</v>
      </c>
      <c r="W174" s="39" t="s">
        <v>3608</v>
      </c>
      <c r="AA174" s="37"/>
      <c r="AD174" s="39">
        <v>1.0</v>
      </c>
      <c r="AE174" s="39">
        <v>15.0</v>
      </c>
      <c r="AF174" s="39">
        <v>60.0</v>
      </c>
      <c r="AG174" s="39" t="s">
        <v>3496</v>
      </c>
    </row>
    <row r="175" ht="18.75" customHeight="1">
      <c r="A175" s="26" t="s">
        <v>3254</v>
      </c>
      <c r="B175" s="22" t="s">
        <v>3607</v>
      </c>
      <c r="C175" s="39" t="s">
        <v>3552</v>
      </c>
      <c r="E175" s="39" t="s">
        <v>1573</v>
      </c>
      <c r="F175" s="39" t="s">
        <v>1760</v>
      </c>
      <c r="G175" s="39">
        <v>11.0</v>
      </c>
      <c r="H175" s="39">
        <v>14.0</v>
      </c>
      <c r="J175" s="39" t="s">
        <v>3553</v>
      </c>
      <c r="W175" s="39" t="s">
        <v>3609</v>
      </c>
      <c r="AA175" s="37"/>
      <c r="AD175" s="39">
        <v>1.0</v>
      </c>
      <c r="AE175" s="39">
        <v>15.0</v>
      </c>
      <c r="AF175" s="39">
        <v>60.0</v>
      </c>
      <c r="AG175" s="39" t="s">
        <v>3496</v>
      </c>
    </row>
    <row r="176" ht="18.75" customHeight="1">
      <c r="A176" s="1"/>
      <c r="B176" s="11"/>
      <c r="C176" s="37" t="str">
        <f>IFERROR(LET(_xlpm.v,
VLOOKUP($B176,'クラス'!$A:$B,1,FALSE),
IF(_xlpm.v=0,"",_xlpm.v)
),"")</f>
        <v/>
      </c>
      <c r="AA176" s="37"/>
      <c r="AD176" s="37"/>
      <c r="AE176" s="37"/>
      <c r="AF176" s="37"/>
      <c r="AG176" s="37"/>
    </row>
    <row r="177" ht="18.75" customHeight="1">
      <c r="A177" s="1"/>
      <c r="B177" s="11"/>
      <c r="AA177" s="37"/>
      <c r="AD177" s="37"/>
      <c r="AE177" s="37"/>
      <c r="AF177" s="37"/>
      <c r="AG177" s="37"/>
    </row>
    <row r="178" ht="18.75" customHeight="1">
      <c r="A178" s="1" t="s">
        <v>54</v>
      </c>
      <c r="B178" s="11" t="s">
        <v>1507</v>
      </c>
      <c r="C178" s="37" t="str">
        <f>LET(
 _xlpm.dOK,COUNTIF('クラス'!A:A,E178)&gt;0,
 _xlpm.eOK,COUNTIF('クラス'!A:A,F178)&gt;0,
 IF(_xlpm.dOK,"○","×") &amp; IF(_xlpm.eOK,"○","×")
)</f>
        <v>○×</v>
      </c>
      <c r="D178" s="37" t="b">
        <v>1</v>
      </c>
      <c r="E178" s="37" t="s">
        <v>1507</v>
      </c>
      <c r="G178" s="39">
        <v>2.0</v>
      </c>
      <c r="H178" s="39">
        <v>6.0</v>
      </c>
      <c r="R178" s="37" t="s">
        <v>3342</v>
      </c>
      <c r="S178" s="37" t="str">
        <f t="shared" ref="S178:S197" si="2">IFERROR(VLOOKUP(B178,$U:$V,2,FALSE),"")</f>
        <v>鳥系生物の巣</v>
      </c>
      <c r="W178" s="39" t="s">
        <v>3610</v>
      </c>
      <c r="X178" s="39" t="s">
        <v>3345</v>
      </c>
      <c r="Y178" s="39">
        <v>1.0</v>
      </c>
      <c r="AA178" s="39" t="s">
        <v>3472</v>
      </c>
      <c r="AB178" s="39">
        <v>1.0</v>
      </c>
      <c r="AC178" s="39">
        <v>1.0</v>
      </c>
      <c r="AD178" s="39">
        <v>3.0</v>
      </c>
      <c r="AE178" s="39"/>
      <c r="AF178" s="39"/>
      <c r="AG178" s="39"/>
    </row>
    <row r="179" ht="18.75" customHeight="1">
      <c r="A179" s="1" t="s">
        <v>54</v>
      </c>
      <c r="B179" s="11" t="s">
        <v>1504</v>
      </c>
      <c r="C179" s="37" t="str">
        <f>LET(
 _xlpm.dOK,COUNTIF('クラス'!A:A,E179)&gt;0,
 _xlpm.eOK,COUNTIF('クラス'!A:A,F179)&gt;0,
 IF(_xlpm.dOK,"○","×") &amp; IF(_xlpm.eOK,"○","×")
)</f>
        <v>○×</v>
      </c>
      <c r="E179" s="37" t="s">
        <v>1504</v>
      </c>
      <c r="G179" s="39">
        <v>1.0</v>
      </c>
      <c r="H179" s="39">
        <v>5.0</v>
      </c>
      <c r="R179" s="37" t="s">
        <v>1504</v>
      </c>
      <c r="S179" s="37" t="str">
        <f t="shared" si="2"/>
        <v>肉食生物の巣</v>
      </c>
      <c r="W179" s="39" t="s">
        <v>3611</v>
      </c>
      <c r="X179" s="39" t="s">
        <v>3345</v>
      </c>
      <c r="Y179" s="39">
        <v>7.0</v>
      </c>
      <c r="AA179" s="39" t="s">
        <v>3472</v>
      </c>
      <c r="AB179" s="39">
        <v>1.0</v>
      </c>
      <c r="AC179" s="39">
        <v>1.0</v>
      </c>
      <c r="AD179" s="39">
        <v>3.0</v>
      </c>
      <c r="AE179" s="39">
        <v>0.0</v>
      </c>
      <c r="AF179" s="39">
        <v>45.0</v>
      </c>
      <c r="AG179" s="39" t="s">
        <v>3348</v>
      </c>
    </row>
    <row r="180" ht="18.75" customHeight="1">
      <c r="A180" s="1" t="s">
        <v>54</v>
      </c>
      <c r="B180" s="11" t="s">
        <v>3356</v>
      </c>
      <c r="C180" s="37" t="str">
        <f>LET(
 _xlpm.dOK,COUNTIF('クラス'!A:A,E180)&gt;0,
 _xlpm.eOK,COUNTIF('クラス'!A:A,F180)&gt;0,
 IF(_xlpm.dOK,"○","×") &amp; IF(_xlpm.eOK,"○","×")
)</f>
        <v>○○</v>
      </c>
      <c r="D180" s="37" t="b">
        <v>1</v>
      </c>
      <c r="E180" s="37" t="s">
        <v>1494</v>
      </c>
      <c r="F180" s="37" t="s">
        <v>1507</v>
      </c>
      <c r="G180" s="39">
        <v>1.0</v>
      </c>
      <c r="H180" s="39">
        <v>10.0</v>
      </c>
      <c r="R180" s="37" t="s">
        <v>3356</v>
      </c>
      <c r="S180" s="37" t="str">
        <f t="shared" si="2"/>
        <v>肉食生物の巣</v>
      </c>
      <c r="W180" s="39" t="s">
        <v>3612</v>
      </c>
      <c r="X180" s="39" t="s">
        <v>3358</v>
      </c>
      <c r="Y180" s="39">
        <v>1.0</v>
      </c>
      <c r="AA180" s="39" t="s">
        <v>3472</v>
      </c>
      <c r="AB180" s="39">
        <v>1.0</v>
      </c>
      <c r="AC180" s="39">
        <v>1.0</v>
      </c>
      <c r="AD180" s="39">
        <v>3.0</v>
      </c>
      <c r="AE180" s="39"/>
      <c r="AF180" s="39"/>
      <c r="AG180" s="39"/>
    </row>
    <row r="181" ht="18.75" customHeight="1">
      <c r="A181" s="1" t="s">
        <v>54</v>
      </c>
      <c r="B181" s="11" t="s">
        <v>3359</v>
      </c>
      <c r="C181" s="37" t="str">
        <f>LET(
 _xlpm.dOK,COUNTIF('クラス'!A:A,E181)&gt;0,
 _xlpm.eOK,COUNTIF('クラス'!A:A,F181)&gt;0,
 IF(_xlpm.dOK,"○","×") &amp; IF(_xlpm.eOK,"○","×")
)</f>
        <v>○○</v>
      </c>
      <c r="E181" s="37" t="s">
        <v>1501</v>
      </c>
      <c r="F181" s="37" t="s">
        <v>1344</v>
      </c>
      <c r="G181" s="39">
        <v>1.0</v>
      </c>
      <c r="H181" s="39">
        <v>10.0</v>
      </c>
      <c r="R181" s="37" t="s">
        <v>3359</v>
      </c>
      <c r="S181" s="37" t="str">
        <f t="shared" si="2"/>
        <v>肉食生物の巣</v>
      </c>
      <c r="W181" s="39" t="s">
        <v>3613</v>
      </c>
      <c r="X181" s="39" t="s">
        <v>3358</v>
      </c>
      <c r="Y181" s="39">
        <v>6.0</v>
      </c>
      <c r="AA181" s="39" t="s">
        <v>3472</v>
      </c>
      <c r="AB181" s="39">
        <v>1.0</v>
      </c>
      <c r="AC181" s="39">
        <v>1.0</v>
      </c>
      <c r="AD181" s="39">
        <v>3.0</v>
      </c>
      <c r="AE181" s="39"/>
      <c r="AF181" s="39"/>
      <c r="AG181" s="39"/>
    </row>
    <row r="182" ht="18.75" customHeight="1">
      <c r="A182" s="1" t="s">
        <v>3254</v>
      </c>
      <c r="B182" s="11" t="s">
        <v>1501</v>
      </c>
      <c r="C182" s="37" t="str">
        <f>LET(
 _xlpm.dOK,COUNTIF('クラス'!A:A,E182)&gt;0,
 _xlpm.eOK,COUNTIF('クラス'!A:A,F182)&gt;0,
 IF(_xlpm.dOK,"○","×") &amp; IF(_xlpm.eOK,"○","×")
)</f>
        <v>○×</v>
      </c>
      <c r="D182" s="37" t="b">
        <v>1</v>
      </c>
      <c r="E182" s="37" t="s">
        <v>1501</v>
      </c>
      <c r="G182" s="39">
        <v>3.0</v>
      </c>
      <c r="H182" s="39">
        <v>7.0</v>
      </c>
      <c r="R182" s="37" t="s">
        <v>3363</v>
      </c>
      <c r="S182" s="37" t="str">
        <f t="shared" si="2"/>
        <v>肉食生物の巣</v>
      </c>
      <c r="W182" s="39" t="s">
        <v>3614</v>
      </c>
      <c r="X182" s="39" t="s">
        <v>3365</v>
      </c>
      <c r="Y182" s="39">
        <v>3.0</v>
      </c>
      <c r="AA182" s="39" t="s">
        <v>3472</v>
      </c>
      <c r="AB182" s="39">
        <v>1.0</v>
      </c>
      <c r="AC182" s="39">
        <v>1.0</v>
      </c>
      <c r="AD182" s="39">
        <v>3.0</v>
      </c>
      <c r="AE182" s="39"/>
      <c r="AF182" s="39"/>
      <c r="AG182" s="39"/>
    </row>
    <row r="183" ht="18.75" customHeight="1">
      <c r="A183" s="1" t="s">
        <v>3254</v>
      </c>
      <c r="B183" s="11" t="s">
        <v>1504</v>
      </c>
      <c r="C183" s="37" t="str">
        <f>LET(
 _xlpm.dOK,COUNTIF('クラス'!A:A,E183)&gt;0,
 _xlpm.eOK,COUNTIF('クラス'!A:A,F183)&gt;0,
 IF(_xlpm.dOK,"○","×") &amp; IF(_xlpm.eOK,"○","×")
)</f>
        <v>○×</v>
      </c>
      <c r="E183" s="37" t="s">
        <v>1504</v>
      </c>
      <c r="G183" s="39">
        <v>1.0</v>
      </c>
      <c r="H183" s="39">
        <v>5.0</v>
      </c>
      <c r="R183" s="37" t="s">
        <v>1504</v>
      </c>
      <c r="S183" s="37" t="str">
        <f t="shared" si="2"/>
        <v>肉食生物の巣</v>
      </c>
      <c r="W183" s="39" t="s">
        <v>3615</v>
      </c>
      <c r="X183" s="39" t="s">
        <v>3345</v>
      </c>
      <c r="Y183" s="39">
        <v>7.0</v>
      </c>
      <c r="AA183" s="39" t="s">
        <v>3472</v>
      </c>
      <c r="AB183" s="39">
        <v>1.0</v>
      </c>
      <c r="AC183" s="39">
        <v>1.0</v>
      </c>
      <c r="AD183" s="39">
        <v>3.0</v>
      </c>
      <c r="AE183" s="39">
        <v>0.0</v>
      </c>
      <c r="AF183" s="39">
        <v>45.0</v>
      </c>
      <c r="AG183" s="39" t="s">
        <v>3348</v>
      </c>
    </row>
    <row r="184" ht="18.75" customHeight="1">
      <c r="A184" s="1" t="s">
        <v>3254</v>
      </c>
      <c r="B184" s="11" t="s">
        <v>1516</v>
      </c>
      <c r="C184" s="37" t="str">
        <f>LET(
 _xlpm.dOK,COUNTIF('クラス'!A:A,E184)&gt;0,
 _xlpm.eOK,COUNTIF('クラス'!A:A,F184)&gt;0,
 IF(_xlpm.dOK,"○","×") &amp; IF(_xlpm.eOK,"○","×")
)</f>
        <v>○×</v>
      </c>
      <c r="D184" s="37" t="b">
        <v>1</v>
      </c>
      <c r="E184" s="37" t="s">
        <v>1516</v>
      </c>
      <c r="G184" s="39">
        <v>4.0</v>
      </c>
      <c r="H184" s="39">
        <v>8.0</v>
      </c>
      <c r="S184" s="37" t="str">
        <f t="shared" si="2"/>
        <v>肉食生物の巣</v>
      </c>
      <c r="W184" s="39" t="s">
        <v>3616</v>
      </c>
      <c r="X184" s="39" t="s">
        <v>3368</v>
      </c>
      <c r="Y184" s="39">
        <v>1.0</v>
      </c>
      <c r="AA184" s="39" t="s">
        <v>3472</v>
      </c>
      <c r="AB184" s="39">
        <v>1.0</v>
      </c>
      <c r="AC184" s="39">
        <v>1.0</v>
      </c>
      <c r="AD184" s="39">
        <v>3.0</v>
      </c>
      <c r="AE184" s="39">
        <v>0.0</v>
      </c>
      <c r="AF184" s="39">
        <v>45.0</v>
      </c>
      <c r="AG184" s="39" t="s">
        <v>3348</v>
      </c>
    </row>
    <row r="185" ht="18.75" customHeight="1">
      <c r="A185" s="1" t="s">
        <v>3254</v>
      </c>
      <c r="B185" s="11" t="s">
        <v>3369</v>
      </c>
      <c r="C185" s="37" t="str">
        <f>LET(
 _xlpm.dOK,COUNTIF('クラス'!A:A,E185)&gt;0,
 _xlpm.eOK,COUNTIF('クラス'!A:A,F185)&gt;0,
 IF(_xlpm.dOK,"○","×") &amp; IF(_xlpm.eOK,"○","×")
)</f>
        <v>○×</v>
      </c>
      <c r="E185" s="37" t="s">
        <v>1504</v>
      </c>
      <c r="G185" s="39">
        <v>5.0</v>
      </c>
      <c r="H185" s="39">
        <v>10.0</v>
      </c>
      <c r="S185" s="37" t="str">
        <f t="shared" si="2"/>
        <v>地中生物の巣</v>
      </c>
      <c r="W185" s="39" t="s">
        <v>3617</v>
      </c>
      <c r="X185" s="39" t="s">
        <v>3371</v>
      </c>
      <c r="Y185" s="39">
        <v>2.0</v>
      </c>
      <c r="AA185" s="39" t="s">
        <v>3472</v>
      </c>
      <c r="AB185" s="39">
        <v>1.0</v>
      </c>
      <c r="AC185" s="39">
        <v>1.0</v>
      </c>
      <c r="AD185" s="39">
        <v>3.0</v>
      </c>
      <c r="AE185" s="39">
        <v>0.0</v>
      </c>
      <c r="AF185" s="39">
        <v>45.0</v>
      </c>
      <c r="AG185" s="39" t="s">
        <v>3348</v>
      </c>
    </row>
    <row r="186" ht="18.75" customHeight="1">
      <c r="A186" s="1" t="s">
        <v>3254</v>
      </c>
      <c r="B186" s="11" t="s">
        <v>3356</v>
      </c>
      <c r="C186" s="37" t="str">
        <f>LET(
 _xlpm.dOK,COUNTIF('クラス'!A:A,E186)&gt;0,
 _xlpm.eOK,COUNTIF('クラス'!A:A,F186)&gt;0,
 IF(_xlpm.dOK,"○","×") &amp; IF(_xlpm.eOK,"○","×")
)</f>
        <v>○○</v>
      </c>
      <c r="D186" s="37" t="b">
        <v>1</v>
      </c>
      <c r="E186" s="37" t="s">
        <v>1494</v>
      </c>
      <c r="F186" s="37" t="s">
        <v>1507</v>
      </c>
      <c r="G186" s="39">
        <v>1.0</v>
      </c>
      <c r="H186" s="39">
        <v>10.0</v>
      </c>
      <c r="R186" s="37" t="s">
        <v>3356</v>
      </c>
      <c r="S186" s="37" t="str">
        <f t="shared" si="2"/>
        <v>肉食生物の巣</v>
      </c>
      <c r="W186" s="39" t="s">
        <v>3618</v>
      </c>
      <c r="X186" s="39" t="s">
        <v>3358</v>
      </c>
      <c r="Y186" s="39">
        <v>1.0</v>
      </c>
      <c r="AA186" s="39" t="s">
        <v>3472</v>
      </c>
      <c r="AB186" s="39">
        <v>1.0</v>
      </c>
      <c r="AC186" s="39">
        <v>1.0</v>
      </c>
      <c r="AD186" s="39">
        <v>3.0</v>
      </c>
      <c r="AE186" s="39"/>
      <c r="AF186" s="39"/>
      <c r="AG186" s="39"/>
    </row>
    <row r="187" ht="18.75" customHeight="1">
      <c r="A187" s="1" t="s">
        <v>3254</v>
      </c>
      <c r="B187" s="11" t="s">
        <v>3359</v>
      </c>
      <c r="C187" s="37" t="str">
        <f>LET(
 _xlpm.dOK,COUNTIF('クラス'!A:A,E187)&gt;0,
 _xlpm.eOK,COUNTIF('クラス'!A:A,F187)&gt;0,
 IF(_xlpm.dOK,"○","×") &amp; IF(_xlpm.eOK,"○","×")
)</f>
        <v>○○</v>
      </c>
      <c r="E187" s="37" t="s">
        <v>1501</v>
      </c>
      <c r="F187" s="37" t="s">
        <v>1344</v>
      </c>
      <c r="G187" s="39">
        <v>1.0</v>
      </c>
      <c r="H187" s="39">
        <v>10.0</v>
      </c>
      <c r="R187" s="37" t="s">
        <v>3359</v>
      </c>
      <c r="S187" s="37" t="str">
        <f t="shared" si="2"/>
        <v>肉食生物の巣</v>
      </c>
      <c r="W187" s="39" t="s">
        <v>3619</v>
      </c>
      <c r="X187" s="39" t="s">
        <v>3358</v>
      </c>
      <c r="Y187" s="39">
        <v>6.0</v>
      </c>
      <c r="AA187" s="39" t="s">
        <v>3472</v>
      </c>
      <c r="AB187" s="39">
        <v>1.0</v>
      </c>
      <c r="AC187" s="39">
        <v>1.0</v>
      </c>
      <c r="AD187" s="39">
        <v>3.0</v>
      </c>
      <c r="AE187" s="39"/>
      <c r="AF187" s="39"/>
      <c r="AG187" s="39"/>
    </row>
    <row r="188" ht="18.75" customHeight="1">
      <c r="A188" s="1" t="s">
        <v>56</v>
      </c>
      <c r="B188" s="11" t="s">
        <v>1494</v>
      </c>
      <c r="C188" s="37" t="str">
        <f>LET(
 _xlpm.dOK,COUNTIF('クラス'!A:A,E188)&gt;0,
 _xlpm.eOK,COUNTIF('クラス'!A:A,F188)&gt;0,
 IF(_xlpm.dOK,"○","×") &amp; IF(_xlpm.eOK,"○","×")
)</f>
        <v>○×</v>
      </c>
      <c r="D188" s="37" t="b">
        <v>1</v>
      </c>
      <c r="E188" s="37" t="s">
        <v>1494</v>
      </c>
      <c r="G188" s="39">
        <v>5.0</v>
      </c>
      <c r="H188" s="39">
        <v>10.0</v>
      </c>
      <c r="R188" s="37" t="s">
        <v>1494</v>
      </c>
      <c r="S188" s="37" t="str">
        <f t="shared" si="2"/>
        <v>肉食生物の巣</v>
      </c>
      <c r="W188" s="39" t="s">
        <v>3620</v>
      </c>
      <c r="X188" s="39" t="s">
        <v>3368</v>
      </c>
      <c r="Y188" s="39">
        <v>7.0</v>
      </c>
      <c r="AA188" s="39" t="s">
        <v>3472</v>
      </c>
      <c r="AB188" s="39">
        <v>1.0</v>
      </c>
      <c r="AC188" s="39">
        <v>1.0</v>
      </c>
      <c r="AD188" s="39">
        <v>3.0</v>
      </c>
      <c r="AE188" s="39"/>
      <c r="AF188" s="39"/>
      <c r="AG188" s="39"/>
    </row>
    <row r="189" ht="18.75" customHeight="1">
      <c r="A189" s="1" t="s">
        <v>56</v>
      </c>
      <c r="B189" s="11" t="s">
        <v>1501</v>
      </c>
      <c r="C189" s="37" t="str">
        <f>LET(
 _xlpm.dOK,COUNTIF('クラス'!A:A,E189)&gt;0,
 _xlpm.eOK,COUNTIF('クラス'!A:A,F189)&gt;0,
 IF(_xlpm.dOK,"○","×") &amp; IF(_xlpm.eOK,"○","×")
)</f>
        <v>○×</v>
      </c>
      <c r="E189" s="37" t="s">
        <v>1501</v>
      </c>
      <c r="G189" s="39">
        <v>3.0</v>
      </c>
      <c r="H189" s="39">
        <v>7.0</v>
      </c>
      <c r="R189" s="37" t="s">
        <v>3363</v>
      </c>
      <c r="S189" s="37" t="str">
        <f t="shared" si="2"/>
        <v>肉食生物の巣</v>
      </c>
      <c r="W189" s="39" t="s">
        <v>3621</v>
      </c>
      <c r="X189" s="39" t="s">
        <v>3365</v>
      </c>
      <c r="Y189" s="39">
        <v>3.0</v>
      </c>
      <c r="AA189" s="39" t="s">
        <v>3472</v>
      </c>
      <c r="AB189" s="39">
        <v>1.0</v>
      </c>
      <c r="AC189" s="39">
        <v>1.0</v>
      </c>
      <c r="AD189" s="39">
        <v>3.0</v>
      </c>
      <c r="AE189" s="39"/>
      <c r="AF189" s="39"/>
      <c r="AG189" s="39"/>
    </row>
    <row r="190" ht="18.75" customHeight="1">
      <c r="A190" s="1" t="s">
        <v>58</v>
      </c>
      <c r="B190" s="11" t="s">
        <v>3428</v>
      </c>
      <c r="C190" s="37" t="str">
        <f>LET(
 _xlpm.dOK,COUNTIF('クラス'!A:A,E190)&gt;0,
 _xlpm.eOK,COUNTIF('クラス'!A:A,F190)&gt;0,
 IF(_xlpm.dOK,"○","×") &amp; IF(_xlpm.eOK,"○","×")
)</f>
        <v>○○</v>
      </c>
      <c r="D190" s="37" t="b">
        <v>1</v>
      </c>
      <c r="E190" s="37" t="s">
        <v>1494</v>
      </c>
      <c r="F190" s="37" t="s">
        <v>1507</v>
      </c>
      <c r="G190" s="39">
        <v>1.0</v>
      </c>
      <c r="H190" s="39">
        <v>10.0</v>
      </c>
      <c r="R190" s="37" t="s">
        <v>3428</v>
      </c>
      <c r="S190" s="37" t="str">
        <f t="shared" si="2"/>
        <v>鳥系生物の巣</v>
      </c>
      <c r="W190" s="39" t="s">
        <v>3622</v>
      </c>
      <c r="X190" s="39" t="s">
        <v>3358</v>
      </c>
      <c r="Y190" s="39">
        <v>3.0</v>
      </c>
      <c r="AA190" s="39" t="s">
        <v>3472</v>
      </c>
      <c r="AB190" s="39">
        <v>1.0</v>
      </c>
      <c r="AC190" s="39">
        <v>1.0</v>
      </c>
      <c r="AD190" s="39">
        <v>3.0</v>
      </c>
      <c r="AE190" s="39"/>
      <c r="AF190" s="39"/>
      <c r="AG190" s="39"/>
    </row>
    <row r="191" ht="18.75" customHeight="1">
      <c r="A191" s="1" t="s">
        <v>58</v>
      </c>
      <c r="B191" s="11" t="s">
        <v>1507</v>
      </c>
      <c r="C191" s="37" t="str">
        <f>LET(
 _xlpm.dOK,COUNTIF('クラス'!A:A,E191)&gt;0,
 _xlpm.eOK,COUNTIF('クラス'!A:A,F191)&gt;0,
 IF(_xlpm.dOK,"○","×") &amp; IF(_xlpm.eOK,"○","×")
)</f>
        <v>○×</v>
      </c>
      <c r="E191" s="37" t="s">
        <v>1507</v>
      </c>
      <c r="G191" s="39">
        <v>2.0</v>
      </c>
      <c r="H191" s="39">
        <v>6.0</v>
      </c>
      <c r="I191" s="37" t="s">
        <v>3430</v>
      </c>
      <c r="R191" s="37" t="s">
        <v>1507</v>
      </c>
      <c r="S191" s="37" t="str">
        <f t="shared" si="2"/>
        <v>鳥系生物の巣</v>
      </c>
      <c r="W191" s="39" t="s">
        <v>3623</v>
      </c>
      <c r="X191" s="39" t="s">
        <v>3345</v>
      </c>
      <c r="Y191" s="39">
        <v>1.0</v>
      </c>
      <c r="AA191" s="39" t="s">
        <v>3472</v>
      </c>
      <c r="AB191" s="39">
        <v>1.0</v>
      </c>
      <c r="AC191" s="39">
        <v>1.0</v>
      </c>
      <c r="AD191" s="39">
        <v>3.0</v>
      </c>
      <c r="AE191" s="39"/>
      <c r="AF191" s="39"/>
      <c r="AG191" s="39"/>
    </row>
    <row r="192" ht="18.75" customHeight="1">
      <c r="A192" s="1" t="s">
        <v>58</v>
      </c>
      <c r="B192" s="11" t="s">
        <v>1491</v>
      </c>
      <c r="C192" s="37" t="str">
        <f>LET(
 _xlpm.dOK,COUNTIF('クラス'!A:A,E192)&gt;0,
 _xlpm.eOK,COUNTIF('クラス'!A:A,F192)&gt;0,
 IF(_xlpm.dOK,"○","×") &amp; IF(_xlpm.eOK,"○","×")
)</f>
        <v>○×</v>
      </c>
      <c r="D192" s="11"/>
      <c r="E192" s="11" t="s">
        <v>1491</v>
      </c>
      <c r="G192" s="39">
        <v>1.0</v>
      </c>
      <c r="H192" s="39">
        <v>10.0</v>
      </c>
      <c r="R192" s="37" t="s">
        <v>3433</v>
      </c>
      <c r="S192" s="37" t="str">
        <f t="shared" si="2"/>
        <v>土の輪</v>
      </c>
      <c r="W192" s="39" t="s">
        <v>3624</v>
      </c>
      <c r="X192" s="39" t="s">
        <v>3435</v>
      </c>
      <c r="Y192" s="39">
        <v>1.0</v>
      </c>
      <c r="Z192" s="39" t="b">
        <v>1</v>
      </c>
      <c r="AA192" s="39" t="s">
        <v>3472</v>
      </c>
      <c r="AB192" s="39">
        <v>1.0</v>
      </c>
      <c r="AC192" s="39">
        <v>1.0</v>
      </c>
      <c r="AD192" s="39">
        <v>3.0</v>
      </c>
      <c r="AE192" s="39"/>
      <c r="AF192" s="39"/>
      <c r="AG192" s="39"/>
    </row>
    <row r="193" ht="18.75" customHeight="1">
      <c r="A193" s="1" t="s">
        <v>58</v>
      </c>
      <c r="B193" s="11" t="s">
        <v>3431</v>
      </c>
      <c r="C193" s="37" t="str">
        <f>LET(
 _xlpm.dOK,COUNTIF('クラス'!A:A,E193)&gt;0,
 _xlpm.eOK,COUNTIF('クラス'!A:A,F193)&gt;0,
 IF(_xlpm.dOK,"○","×") &amp; IF(_xlpm.eOK,"○","×")
)</f>
        <v>○○</v>
      </c>
      <c r="E193" s="37" t="s">
        <v>1494</v>
      </c>
      <c r="F193" s="37" t="s">
        <v>1504</v>
      </c>
      <c r="G193" s="39">
        <v>1.0</v>
      </c>
      <c r="H193" s="39">
        <v>10.0</v>
      </c>
      <c r="R193" s="37" t="s">
        <v>3431</v>
      </c>
      <c r="S193" s="37" t="str">
        <f t="shared" si="2"/>
        <v>肉食生物の巣</v>
      </c>
      <c r="W193" s="39" t="s">
        <v>3625</v>
      </c>
      <c r="X193" s="39" t="s">
        <v>3358</v>
      </c>
      <c r="Y193" s="39">
        <v>2.0</v>
      </c>
      <c r="AA193" s="39" t="s">
        <v>3472</v>
      </c>
      <c r="AB193" s="39">
        <v>1.0</v>
      </c>
      <c r="AC193" s="39">
        <v>1.0</v>
      </c>
      <c r="AD193" s="39">
        <v>3.0</v>
      </c>
      <c r="AE193" s="39"/>
      <c r="AF193" s="39"/>
      <c r="AG193" s="39"/>
    </row>
    <row r="194" ht="18.75" customHeight="1">
      <c r="A194" s="1" t="s">
        <v>59</v>
      </c>
      <c r="B194" s="11" t="s">
        <v>1480</v>
      </c>
      <c r="C194" s="37" t="str">
        <f>LET(
 _xlpm.dOK,COUNTIF('クラス'!A:A,E194)&gt;0,
 _xlpm.eOK,COUNTIF('クラス'!A:A,F194)&gt;0,
 IF(_xlpm.dOK,"○","×") &amp; IF(_xlpm.eOK,"○","×")
)</f>
        <v>○×</v>
      </c>
      <c r="E194" s="37" t="s">
        <v>1480</v>
      </c>
      <c r="G194" s="39">
        <v>1.0</v>
      </c>
      <c r="H194" s="39">
        <v>10.0</v>
      </c>
      <c r="R194" s="37" t="s">
        <v>1483</v>
      </c>
      <c r="S194" s="37" t="str">
        <f t="shared" si="2"/>
        <v>水の輪</v>
      </c>
      <c r="W194" s="39" t="s">
        <v>3626</v>
      </c>
      <c r="X194" s="39" t="s">
        <v>3482</v>
      </c>
      <c r="Y194" s="39">
        <v>9.0</v>
      </c>
      <c r="Z194" s="39" t="b">
        <v>1</v>
      </c>
      <c r="AA194" s="39" t="s">
        <v>3472</v>
      </c>
      <c r="AB194" s="39">
        <v>1.0</v>
      </c>
      <c r="AC194" s="39">
        <v>1.0</v>
      </c>
      <c r="AD194" s="39">
        <v>3.0</v>
      </c>
      <c r="AE194" s="39"/>
      <c r="AF194" s="39"/>
      <c r="AG194" s="39"/>
    </row>
    <row r="195" ht="18.75" customHeight="1">
      <c r="A195" s="1" t="s">
        <v>59</v>
      </c>
      <c r="B195" s="11" t="s">
        <v>3478</v>
      </c>
      <c r="C195" s="37" t="str">
        <f>LET(
 _xlpm.dOK,COUNTIF('クラス'!A:A,E195)&gt;0,
 _xlpm.eOK,COUNTIF('クラス'!A:A,F195)&gt;0,
 IF(_xlpm.dOK,"○","×") &amp; IF(_xlpm.eOK,"○","×")
)</f>
        <v>○○</v>
      </c>
      <c r="D195" s="37" t="b">
        <v>1</v>
      </c>
      <c r="E195" s="37" t="s">
        <v>1504</v>
      </c>
      <c r="F195" s="37" t="s">
        <v>1778</v>
      </c>
      <c r="G195" s="39">
        <v>8.0</v>
      </c>
      <c r="H195" s="39">
        <v>13.0</v>
      </c>
      <c r="R195" s="37" t="s">
        <v>1504</v>
      </c>
      <c r="S195" s="37" t="str">
        <f t="shared" si="2"/>
        <v>毒生成物の巣</v>
      </c>
      <c r="W195" s="39" t="s">
        <v>3627</v>
      </c>
      <c r="X195" s="39" t="s">
        <v>3345</v>
      </c>
      <c r="Y195" s="39">
        <v>8.0</v>
      </c>
      <c r="AA195" s="39" t="s">
        <v>3472</v>
      </c>
      <c r="AB195" s="39">
        <v>1.0</v>
      </c>
      <c r="AC195" s="39">
        <v>1.0</v>
      </c>
      <c r="AD195" s="39">
        <v>3.0</v>
      </c>
      <c r="AE195" s="39">
        <v>0.0</v>
      </c>
      <c r="AF195" s="39">
        <v>45.0</v>
      </c>
      <c r="AG195" s="39" t="s">
        <v>3348</v>
      </c>
    </row>
    <row r="196" ht="18.75" customHeight="1">
      <c r="A196" s="1" t="s">
        <v>61</v>
      </c>
      <c r="B196" s="11" t="s">
        <v>3480</v>
      </c>
      <c r="C196" s="37" t="str">
        <f>LET(
 _xlpm.dOK,COUNTIF('クラス'!A:A,E196)&gt;0,
 _xlpm.eOK,COUNTIF('クラス'!A:A,F196)&gt;0,
 IF(_xlpm.dOK,"○","×") &amp; IF(_xlpm.eOK,"○","×")
)</f>
        <v>○○</v>
      </c>
      <c r="E196" s="37" t="s">
        <v>1504</v>
      </c>
      <c r="F196" s="37" t="s">
        <v>1781</v>
      </c>
      <c r="G196" s="39">
        <v>8.0</v>
      </c>
      <c r="H196" s="39">
        <v>13.0</v>
      </c>
      <c r="S196" s="37" t="str">
        <f t="shared" si="2"/>
        <v>肉食生物の巣</v>
      </c>
      <c r="W196" s="39" t="s">
        <v>3628</v>
      </c>
      <c r="X196" s="39" t="s">
        <v>29</v>
      </c>
      <c r="Y196" s="39" t="s">
        <v>29</v>
      </c>
      <c r="AA196" s="39" t="s">
        <v>3472</v>
      </c>
      <c r="AB196" s="39">
        <v>1.0</v>
      </c>
      <c r="AC196" s="39">
        <v>1.0</v>
      </c>
      <c r="AD196" s="39">
        <v>3.0</v>
      </c>
      <c r="AE196" s="39">
        <v>0.0</v>
      </c>
      <c r="AF196" s="39">
        <v>45.0</v>
      </c>
      <c r="AG196" s="39" t="s">
        <v>3348</v>
      </c>
    </row>
    <row r="197" ht="18.75" customHeight="1">
      <c r="A197" s="1" t="s">
        <v>68</v>
      </c>
      <c r="B197" s="11" t="s">
        <v>3486</v>
      </c>
      <c r="C197" s="37" t="str">
        <f>LET(
 _xlpm.dOK,COUNTIF('クラス'!A:A,E197)&gt;0,
 _xlpm.eOK,COUNTIF('クラス'!A:A,F197)&gt;0,
 IF(_xlpm.dOK,"○","×") &amp; IF(_xlpm.eOK,"○","×")
)</f>
        <v>○×</v>
      </c>
      <c r="D197" s="11"/>
      <c r="E197" s="11" t="s">
        <v>1477</v>
      </c>
      <c r="G197" s="39">
        <v>1.0</v>
      </c>
      <c r="H197" s="39">
        <v>10.0</v>
      </c>
      <c r="R197" s="37" t="s">
        <v>3493</v>
      </c>
      <c r="S197" s="37" t="str">
        <f t="shared" si="2"/>
        <v>炎の輪</v>
      </c>
      <c r="W197" s="39" t="s">
        <v>3629</v>
      </c>
      <c r="X197" s="39" t="s">
        <v>3495</v>
      </c>
      <c r="Y197" s="39">
        <v>1.0</v>
      </c>
      <c r="Z197" s="39" t="b">
        <v>1</v>
      </c>
      <c r="AA197" s="39" t="s">
        <v>3472</v>
      </c>
      <c r="AB197" s="39">
        <v>1.0</v>
      </c>
      <c r="AC197" s="39">
        <v>1.0</v>
      </c>
      <c r="AD197" s="39">
        <v>3.0</v>
      </c>
      <c r="AE197" s="39">
        <v>15.0</v>
      </c>
      <c r="AF197" s="39">
        <v>60.0</v>
      </c>
      <c r="AG197" s="39" t="s">
        <v>3496</v>
      </c>
    </row>
    <row r="198" ht="18.75" customHeight="1">
      <c r="A198" s="26" t="s">
        <v>54</v>
      </c>
      <c r="B198" s="22" t="s">
        <v>1521</v>
      </c>
      <c r="C198" s="37" t="str">
        <f>IF(COUNTIF('クラス'!A:A,E198)&gt;0,"○","×")&amp;IF(COUNTIF('クラス'!A:A,F198)&gt;0,"○","×")</f>
        <v>○×</v>
      </c>
      <c r="D198" s="39" t="b">
        <v>0</v>
      </c>
      <c r="E198" s="39" t="s">
        <v>1521</v>
      </c>
      <c r="G198" s="39">
        <v>2.0</v>
      </c>
      <c r="H198" s="39">
        <v>5.0</v>
      </c>
      <c r="J198" s="39" t="s">
        <v>3508</v>
      </c>
      <c r="R198" s="39" t="s">
        <v>1521</v>
      </c>
      <c r="S198" s="39" t="s">
        <v>3509</v>
      </c>
      <c r="W198" s="39" t="s">
        <v>3630</v>
      </c>
      <c r="X198" s="39" t="s">
        <v>3511</v>
      </c>
      <c r="Y198" s="39">
        <v>7.0</v>
      </c>
      <c r="Z198" s="39" t="b">
        <v>0</v>
      </c>
      <c r="AA198" s="39" t="s">
        <v>3472</v>
      </c>
      <c r="AB198" s="39">
        <v>1.0</v>
      </c>
      <c r="AC198" s="39">
        <v>1.0</v>
      </c>
      <c r="AD198" s="39">
        <v>3.0</v>
      </c>
      <c r="AE198" s="39"/>
      <c r="AF198" s="39"/>
      <c r="AG198" s="39"/>
    </row>
    <row r="199" ht="18.75" customHeight="1">
      <c r="A199" s="26" t="s">
        <v>3254</v>
      </c>
      <c r="B199" s="22" t="s">
        <v>1521</v>
      </c>
      <c r="C199" s="37" t="str">
        <f>IF(COUNTIF('クラス'!A:A,E199)&gt;0,"○","×")&amp;IF(COUNTIF('クラス'!A:A,F199)&gt;0,"○","×")</f>
        <v>○×</v>
      </c>
      <c r="D199" s="39" t="b">
        <v>0</v>
      </c>
      <c r="E199" s="39" t="s">
        <v>1521</v>
      </c>
      <c r="G199" s="39">
        <v>2.0</v>
      </c>
      <c r="H199" s="39">
        <v>5.0</v>
      </c>
      <c r="J199" s="39" t="s">
        <v>3508</v>
      </c>
      <c r="R199" s="39" t="s">
        <v>1521</v>
      </c>
      <c r="S199" s="39" t="s">
        <v>3509</v>
      </c>
      <c r="W199" s="39" t="s">
        <v>3631</v>
      </c>
      <c r="X199" s="39" t="s">
        <v>3511</v>
      </c>
      <c r="Y199" s="39">
        <v>7.0</v>
      </c>
      <c r="Z199" s="39" t="b">
        <v>0</v>
      </c>
      <c r="AA199" s="39" t="s">
        <v>3472</v>
      </c>
      <c r="AB199" s="39">
        <v>1.0</v>
      </c>
      <c r="AC199" s="39">
        <v>1.0</v>
      </c>
      <c r="AD199" s="39">
        <v>3.0</v>
      </c>
      <c r="AE199" s="39"/>
      <c r="AF199" s="39"/>
      <c r="AG199" s="39"/>
    </row>
    <row r="200" ht="18.75" customHeight="1">
      <c r="A200" s="26" t="s">
        <v>54</v>
      </c>
      <c r="B200" s="22" t="s">
        <v>1528</v>
      </c>
      <c r="C200" s="37" t="str">
        <f>IF(COUNTIF('クラス'!A:A,E200)&gt;0,"○","×")&amp;IF(COUNTIF('クラス'!A:A,F200)&gt;0,"○","×")</f>
        <v>○×</v>
      </c>
      <c r="D200" s="39" t="b">
        <v>0</v>
      </c>
      <c r="E200" s="39" t="s">
        <v>1528</v>
      </c>
      <c r="G200" s="39">
        <v>3.0</v>
      </c>
      <c r="H200" s="39">
        <v>7.0</v>
      </c>
      <c r="J200" s="39" t="s">
        <v>3508</v>
      </c>
      <c r="R200" s="39" t="s">
        <v>1528</v>
      </c>
      <c r="S200" s="39" t="s">
        <v>3346</v>
      </c>
      <c r="W200" s="39" t="s">
        <v>3632</v>
      </c>
      <c r="X200" s="39" t="s">
        <v>3514</v>
      </c>
      <c r="Y200" s="39">
        <v>7.0</v>
      </c>
      <c r="Z200" s="39" t="b">
        <v>0</v>
      </c>
      <c r="AA200" s="39" t="s">
        <v>3472</v>
      </c>
      <c r="AB200" s="39">
        <v>1.0</v>
      </c>
      <c r="AC200" s="39">
        <v>1.0</v>
      </c>
      <c r="AD200" s="39">
        <v>3.0</v>
      </c>
      <c r="AE200" s="39"/>
      <c r="AF200" s="39"/>
      <c r="AG200" s="39"/>
    </row>
    <row r="201" ht="18.75" customHeight="1">
      <c r="A201" s="26" t="s">
        <v>3254</v>
      </c>
      <c r="B201" s="22" t="s">
        <v>1528</v>
      </c>
      <c r="C201" s="37" t="str">
        <f>IF(COUNTIF('クラス'!A:A,E201)&gt;0,"○","×")&amp;IF(COUNTIF('クラス'!A:A,F201)&gt;0,"○","×")</f>
        <v>○×</v>
      </c>
      <c r="D201" s="39" t="b">
        <v>0</v>
      </c>
      <c r="E201" s="39" t="s">
        <v>1528</v>
      </c>
      <c r="G201" s="39">
        <v>3.0</v>
      </c>
      <c r="H201" s="39">
        <v>7.0</v>
      </c>
      <c r="J201" s="39" t="s">
        <v>3508</v>
      </c>
      <c r="R201" s="39" t="s">
        <v>1528</v>
      </c>
      <c r="S201" s="39" t="s">
        <v>3346</v>
      </c>
      <c r="W201" s="39" t="s">
        <v>3633</v>
      </c>
      <c r="X201" s="39" t="s">
        <v>3514</v>
      </c>
      <c r="Y201" s="39">
        <v>7.0</v>
      </c>
      <c r="Z201" s="39" t="b">
        <v>0</v>
      </c>
      <c r="AA201" s="39" t="s">
        <v>3472</v>
      </c>
      <c r="AB201" s="39">
        <v>1.0</v>
      </c>
      <c r="AC201" s="39">
        <v>1.0</v>
      </c>
      <c r="AD201" s="39">
        <v>3.0</v>
      </c>
      <c r="AE201" s="39"/>
      <c r="AF201" s="39"/>
      <c r="AG201" s="39"/>
    </row>
    <row r="202" ht="18.75" customHeight="1">
      <c r="A202" s="26" t="s">
        <v>56</v>
      </c>
      <c r="B202" s="22" t="s">
        <v>1528</v>
      </c>
      <c r="C202" s="37" t="str">
        <f>IF(COUNTIF('クラス'!A:A,E202)&gt;0,"○","×")&amp;IF(COUNTIF('クラス'!A:A,F202)&gt;0,"○","×")</f>
        <v>○×</v>
      </c>
      <c r="D202" s="39" t="b">
        <v>0</v>
      </c>
      <c r="E202" s="39" t="s">
        <v>1528</v>
      </c>
      <c r="G202" s="39">
        <v>3.0</v>
      </c>
      <c r="H202" s="39">
        <v>7.0</v>
      </c>
      <c r="J202" s="39" t="s">
        <v>3508</v>
      </c>
      <c r="R202" s="39" t="s">
        <v>1528</v>
      </c>
      <c r="S202" s="39" t="s">
        <v>3346</v>
      </c>
      <c r="W202" s="39" t="s">
        <v>3634</v>
      </c>
      <c r="X202" s="39" t="s">
        <v>3514</v>
      </c>
      <c r="Y202" s="39">
        <v>7.0</v>
      </c>
      <c r="Z202" s="39" t="b">
        <v>0</v>
      </c>
      <c r="AA202" s="39" t="s">
        <v>3472</v>
      </c>
      <c r="AB202" s="39">
        <v>1.0</v>
      </c>
      <c r="AC202" s="39">
        <v>1.0</v>
      </c>
      <c r="AD202" s="39">
        <v>3.0</v>
      </c>
      <c r="AE202" s="39"/>
      <c r="AF202" s="39"/>
      <c r="AG202" s="39"/>
    </row>
    <row r="203" ht="18.75" customHeight="1">
      <c r="A203" s="26" t="s">
        <v>54</v>
      </c>
      <c r="B203" s="22" t="s">
        <v>1598</v>
      </c>
      <c r="C203" s="37" t="str">
        <f>IF(COUNTIF('クラス'!A:A,E203)&gt;0,"○","×")&amp;IF(COUNTIF('クラス'!A:A,F203)&gt;0,"○","×")</f>
        <v>○×</v>
      </c>
      <c r="D203" s="39" t="b">
        <v>0</v>
      </c>
      <c r="E203" s="39" t="s">
        <v>1598</v>
      </c>
      <c r="G203" s="39">
        <v>2.0</v>
      </c>
      <c r="H203" s="39">
        <v>5.0</v>
      </c>
      <c r="J203" s="39" t="s">
        <v>3519</v>
      </c>
      <c r="R203" s="39" t="s">
        <v>1598</v>
      </c>
      <c r="S203" s="39" t="s">
        <v>3350</v>
      </c>
      <c r="W203" s="39" t="s">
        <v>3635</v>
      </c>
      <c r="X203" s="39" t="s">
        <v>3521</v>
      </c>
      <c r="Y203" s="39">
        <v>1.0</v>
      </c>
      <c r="Z203" s="39" t="b">
        <v>0</v>
      </c>
      <c r="AA203" s="39" t="s">
        <v>3472</v>
      </c>
      <c r="AB203" s="39">
        <v>1.0</v>
      </c>
      <c r="AC203" s="39">
        <v>1.0</v>
      </c>
      <c r="AD203" s="39">
        <v>3.0</v>
      </c>
      <c r="AE203" s="39">
        <v>5.0</v>
      </c>
      <c r="AF203" s="39">
        <v>45.0</v>
      </c>
      <c r="AG203" s="39" t="s">
        <v>3522</v>
      </c>
    </row>
    <row r="204" ht="18.75" customHeight="1">
      <c r="A204" s="26" t="s">
        <v>54</v>
      </c>
      <c r="B204" s="22" t="s">
        <v>1617</v>
      </c>
      <c r="C204" s="37" t="str">
        <f>IF(COUNTIF('クラス'!A:A,E204)&gt;0,"○","×")&amp;IF(COUNTIF('クラス'!A:A,F204)&gt;0,"○","×")</f>
        <v>○×</v>
      </c>
      <c r="D204" s="39" t="b">
        <v>1</v>
      </c>
      <c r="E204" s="39" t="s">
        <v>1617</v>
      </c>
      <c r="G204" s="39">
        <v>3.0</v>
      </c>
      <c r="H204" s="39">
        <v>7.0</v>
      </c>
      <c r="J204" s="39" t="s">
        <v>3519</v>
      </c>
      <c r="R204" s="39" t="s">
        <v>1617</v>
      </c>
      <c r="S204" s="39" t="s">
        <v>3350</v>
      </c>
      <c r="W204" s="39" t="s">
        <v>3636</v>
      </c>
      <c r="X204" s="39" t="s">
        <v>3524</v>
      </c>
      <c r="Y204" s="39">
        <v>1.0</v>
      </c>
      <c r="Z204" s="39" t="b">
        <v>0</v>
      </c>
      <c r="AA204" s="39" t="s">
        <v>3472</v>
      </c>
      <c r="AB204" s="39">
        <v>1.0</v>
      </c>
      <c r="AC204" s="39">
        <v>1.0</v>
      </c>
      <c r="AD204" s="39">
        <v>3.0</v>
      </c>
      <c r="AE204" s="39">
        <v>5.0</v>
      </c>
      <c r="AF204" s="39">
        <v>45.0</v>
      </c>
      <c r="AG204" s="39" t="s">
        <v>3496</v>
      </c>
    </row>
    <row r="205" ht="18.75" customHeight="1">
      <c r="A205" s="26" t="s">
        <v>54</v>
      </c>
      <c r="B205" s="22" t="s">
        <v>1625</v>
      </c>
      <c r="C205" s="37" t="str">
        <f>IF(COUNTIF('クラス'!A:A,E205)&gt;0,"○","×")&amp;IF(COUNTIF('クラス'!A:A,F205)&gt;0,"○","×")</f>
        <v>○×</v>
      </c>
      <c r="D205" s="39" t="b">
        <v>1</v>
      </c>
      <c r="E205" s="39" t="s">
        <v>1625</v>
      </c>
      <c r="G205" s="39">
        <v>1.0</v>
      </c>
      <c r="H205" s="39">
        <v>5.0</v>
      </c>
      <c r="J205" s="39" t="s">
        <v>3519</v>
      </c>
      <c r="R205" s="39" t="s">
        <v>1625</v>
      </c>
      <c r="S205" s="39" t="s">
        <v>3350</v>
      </c>
      <c r="W205" s="39" t="s">
        <v>3637</v>
      </c>
      <c r="X205" s="39" t="s">
        <v>3526</v>
      </c>
      <c r="Y205" s="39">
        <v>7.0</v>
      </c>
      <c r="Z205" s="39" t="b">
        <v>0</v>
      </c>
      <c r="AA205" s="39" t="s">
        <v>3472</v>
      </c>
      <c r="AB205" s="39">
        <v>1.0</v>
      </c>
      <c r="AC205" s="39">
        <v>1.0</v>
      </c>
      <c r="AD205" s="39">
        <v>3.0</v>
      </c>
      <c r="AE205" s="39">
        <v>5.0</v>
      </c>
      <c r="AF205" s="39">
        <v>45.0</v>
      </c>
      <c r="AG205" s="39" t="s">
        <v>3496</v>
      </c>
    </row>
    <row r="206" ht="18.75" customHeight="1">
      <c r="A206" s="26" t="s">
        <v>54</v>
      </c>
      <c r="B206" s="22" t="s">
        <v>1633</v>
      </c>
      <c r="C206" s="37" t="str">
        <f>IF(COUNTIF('クラス'!A:A,E206)&gt;0,"○","×")&amp;IF(COUNTIF('クラス'!A:A,F206)&gt;0,"○","×")</f>
        <v>○×</v>
      </c>
      <c r="D206" s="39" t="b">
        <v>1</v>
      </c>
      <c r="E206" s="39" t="s">
        <v>1633</v>
      </c>
      <c r="G206" s="39">
        <v>1.0</v>
      </c>
      <c r="H206" s="39">
        <v>4.0</v>
      </c>
      <c r="J206" s="39" t="s">
        <v>3519</v>
      </c>
      <c r="R206" s="39" t="s">
        <v>1633</v>
      </c>
      <c r="S206" s="39" t="s">
        <v>3350</v>
      </c>
      <c r="W206" s="39" t="s">
        <v>3638</v>
      </c>
      <c r="X206" s="39" t="s">
        <v>3526</v>
      </c>
      <c r="Y206" s="39">
        <v>1.0</v>
      </c>
      <c r="Z206" s="39" t="b">
        <v>0</v>
      </c>
      <c r="AA206" s="39" t="s">
        <v>3472</v>
      </c>
      <c r="AB206" s="39">
        <v>1.0</v>
      </c>
      <c r="AC206" s="39">
        <v>1.0</v>
      </c>
      <c r="AD206" s="39">
        <v>3.0</v>
      </c>
      <c r="AE206" s="39">
        <v>5.0</v>
      </c>
      <c r="AF206" s="39">
        <v>45.0</v>
      </c>
      <c r="AG206" s="39" t="s">
        <v>3522</v>
      </c>
    </row>
    <row r="207" ht="18.75" customHeight="1">
      <c r="A207" s="26" t="s">
        <v>3254</v>
      </c>
      <c r="B207" s="22" t="s">
        <v>1598</v>
      </c>
      <c r="C207" s="37" t="str">
        <f>IF(COUNTIF('クラス'!A:A,E207)&gt;0,"○","×")&amp;IF(COUNTIF('クラス'!A:A,F207)&gt;0,"○","×")</f>
        <v>○×</v>
      </c>
      <c r="D207" s="39" t="b">
        <v>0</v>
      </c>
      <c r="E207" s="39" t="s">
        <v>1598</v>
      </c>
      <c r="G207" s="39">
        <v>2.0</v>
      </c>
      <c r="H207" s="39">
        <v>5.0</v>
      </c>
      <c r="J207" s="39" t="s">
        <v>3519</v>
      </c>
      <c r="R207" s="39" t="s">
        <v>1598</v>
      </c>
      <c r="S207" s="39" t="s">
        <v>3350</v>
      </c>
      <c r="W207" s="39" t="s">
        <v>3639</v>
      </c>
      <c r="X207" s="39" t="s">
        <v>3521</v>
      </c>
      <c r="Y207" s="39">
        <v>1.0</v>
      </c>
      <c r="Z207" s="39" t="b">
        <v>0</v>
      </c>
      <c r="AA207" s="39" t="s">
        <v>3472</v>
      </c>
      <c r="AB207" s="39">
        <v>1.0</v>
      </c>
      <c r="AC207" s="39">
        <v>1.0</v>
      </c>
      <c r="AD207" s="39">
        <v>3.0</v>
      </c>
      <c r="AE207" s="39">
        <v>5.0</v>
      </c>
      <c r="AF207" s="39">
        <v>45.0</v>
      </c>
      <c r="AG207" s="39" t="s">
        <v>3522</v>
      </c>
    </row>
    <row r="208" ht="18.75" customHeight="1">
      <c r="A208" s="26" t="s">
        <v>3254</v>
      </c>
      <c r="B208" s="22" t="s">
        <v>1633</v>
      </c>
      <c r="C208" s="37" t="str">
        <f>IF(COUNTIF('クラス'!A:A,E208)&gt;0,"○","×")&amp;IF(COUNTIF('クラス'!A:A,F208)&gt;0,"○","×")</f>
        <v>○×</v>
      </c>
      <c r="D208" s="39" t="b">
        <v>1</v>
      </c>
      <c r="E208" s="39" t="s">
        <v>1633</v>
      </c>
      <c r="G208" s="39">
        <v>1.0</v>
      </c>
      <c r="H208" s="39">
        <v>4.0</v>
      </c>
      <c r="J208" s="39" t="s">
        <v>3519</v>
      </c>
      <c r="R208" s="39" t="s">
        <v>1633</v>
      </c>
      <c r="S208" s="39" t="s">
        <v>3350</v>
      </c>
      <c r="W208" s="39" t="s">
        <v>3640</v>
      </c>
      <c r="X208" s="39" t="s">
        <v>3526</v>
      </c>
      <c r="Y208" s="39">
        <v>1.0</v>
      </c>
      <c r="Z208" s="39" t="b">
        <v>0</v>
      </c>
      <c r="AA208" s="39" t="s">
        <v>3472</v>
      </c>
      <c r="AB208" s="39">
        <v>1.0</v>
      </c>
      <c r="AC208" s="39">
        <v>1.0</v>
      </c>
      <c r="AD208" s="39">
        <v>3.0</v>
      </c>
      <c r="AE208" s="39">
        <v>5.0</v>
      </c>
      <c r="AF208" s="39">
        <v>45.0</v>
      </c>
      <c r="AG208" s="39" t="s">
        <v>3522</v>
      </c>
    </row>
    <row r="209" ht="18.75" customHeight="1">
      <c r="A209" s="26" t="s">
        <v>3254</v>
      </c>
      <c r="B209" s="22" t="s">
        <v>1656</v>
      </c>
      <c r="C209" s="37" t="str">
        <f>IF(COUNTIF('クラス'!A:A,E209)&gt;0,"○","×")&amp;IF(COUNTIF('クラス'!A:A,F209)&gt;0,"○","×")</f>
        <v>○×</v>
      </c>
      <c r="D209" s="39" t="b">
        <v>1</v>
      </c>
      <c r="E209" s="39" t="s">
        <v>1656</v>
      </c>
      <c r="G209" s="39">
        <v>3.0</v>
      </c>
      <c r="H209" s="39">
        <v>8.0</v>
      </c>
      <c r="J209" s="39" t="s">
        <v>3519</v>
      </c>
      <c r="R209" s="39" t="s">
        <v>1656</v>
      </c>
      <c r="S209" s="39" t="s">
        <v>3350</v>
      </c>
      <c r="W209" s="39" t="s">
        <v>3641</v>
      </c>
      <c r="X209" s="39" t="s">
        <v>3352</v>
      </c>
      <c r="Y209" s="39">
        <v>7.0</v>
      </c>
      <c r="Z209" s="39" t="b">
        <v>0</v>
      </c>
      <c r="AA209" s="39" t="s">
        <v>3472</v>
      </c>
      <c r="AB209" s="39">
        <v>1.0</v>
      </c>
      <c r="AC209" s="39">
        <v>1.0</v>
      </c>
      <c r="AD209" s="39">
        <v>3.0</v>
      </c>
      <c r="AE209" s="39">
        <v>5.0</v>
      </c>
      <c r="AF209" s="39">
        <v>45.0</v>
      </c>
      <c r="AG209" s="39" t="s">
        <v>3522</v>
      </c>
    </row>
    <row r="210" ht="18.75" customHeight="1">
      <c r="A210" s="26" t="s">
        <v>62</v>
      </c>
      <c r="B210" s="22" t="s">
        <v>1656</v>
      </c>
      <c r="C210" s="37" t="str">
        <f>IF(COUNTIF('クラス'!A:A,E210)&gt;0,"○","×")&amp;IF(COUNTIF('クラス'!A:A,F210)&gt;0,"○","×")</f>
        <v>○×</v>
      </c>
      <c r="D210" s="39" t="b">
        <v>1</v>
      </c>
      <c r="E210" s="39" t="s">
        <v>1656</v>
      </c>
      <c r="G210" s="39">
        <v>3.0</v>
      </c>
      <c r="H210" s="39">
        <v>8.0</v>
      </c>
      <c r="J210" s="39" t="s">
        <v>3519</v>
      </c>
      <c r="R210" s="39" t="s">
        <v>1656</v>
      </c>
      <c r="S210" s="39" t="s">
        <v>3350</v>
      </c>
      <c r="W210" s="39" t="s">
        <v>3642</v>
      </c>
      <c r="X210" s="39" t="s">
        <v>3352</v>
      </c>
      <c r="Y210" s="39">
        <v>7.0</v>
      </c>
      <c r="Z210" s="39" t="b">
        <v>0</v>
      </c>
      <c r="AA210" s="39" t="s">
        <v>3472</v>
      </c>
      <c r="AB210" s="39">
        <v>1.0</v>
      </c>
      <c r="AC210" s="39">
        <v>1.0</v>
      </c>
      <c r="AD210" s="39">
        <v>3.0</v>
      </c>
      <c r="AE210" s="39">
        <v>5.0</v>
      </c>
      <c r="AF210" s="39">
        <v>45.0</v>
      </c>
      <c r="AG210" s="39" t="s">
        <v>3522</v>
      </c>
    </row>
    <row r="211" ht="18.75" customHeight="1">
      <c r="A211" s="26" t="s">
        <v>62</v>
      </c>
      <c r="B211" s="22" t="s">
        <v>1647</v>
      </c>
      <c r="C211" s="37" t="str">
        <f>IF(COUNTIF('クラス'!A:A,E211)&gt;0,"○","×")&amp;IF(COUNTIF('クラス'!A:A,F211)&gt;0,"○","×")</f>
        <v>○×</v>
      </c>
      <c r="D211" s="39" t="b">
        <v>1</v>
      </c>
      <c r="E211" s="39" t="s">
        <v>1647</v>
      </c>
      <c r="G211" s="39">
        <v>3.0</v>
      </c>
      <c r="H211" s="39">
        <v>7.0</v>
      </c>
      <c r="J211" s="39" t="s">
        <v>3519</v>
      </c>
      <c r="R211" s="39" t="s">
        <v>1647</v>
      </c>
      <c r="S211" s="39" t="s">
        <v>3350</v>
      </c>
      <c r="W211" s="39" t="s">
        <v>3643</v>
      </c>
      <c r="X211" s="39" t="s">
        <v>3533</v>
      </c>
      <c r="Y211" s="39">
        <v>7.0</v>
      </c>
      <c r="Z211" s="39" t="b">
        <v>0</v>
      </c>
      <c r="AA211" s="39" t="s">
        <v>3472</v>
      </c>
      <c r="AB211" s="39">
        <v>1.0</v>
      </c>
      <c r="AC211" s="39">
        <v>1.0</v>
      </c>
      <c r="AD211" s="39">
        <v>3.0</v>
      </c>
      <c r="AE211" s="39">
        <v>5.0</v>
      </c>
      <c r="AF211" s="39">
        <v>45.0</v>
      </c>
      <c r="AG211" s="39" t="s">
        <v>3522</v>
      </c>
    </row>
    <row r="212" ht="18.75" customHeight="1">
      <c r="A212" s="26" t="s">
        <v>56</v>
      </c>
      <c r="B212" s="22" t="s">
        <v>1609</v>
      </c>
      <c r="C212" s="37" t="str">
        <f>IF(COUNTIF('クラス'!A:A,E212)&gt;0,"○","×")&amp;IF(COUNTIF('クラス'!A:A,F212)&gt;0,"○","×")</f>
        <v>○×</v>
      </c>
      <c r="D212" s="39" t="b">
        <v>1</v>
      </c>
      <c r="E212" s="39" t="s">
        <v>1609</v>
      </c>
      <c r="G212" s="39">
        <v>2.0</v>
      </c>
      <c r="H212" s="39">
        <v>6.0</v>
      </c>
      <c r="J212" s="39" t="s">
        <v>3519</v>
      </c>
      <c r="R212" s="39"/>
      <c r="S212" s="39" t="s">
        <v>3350</v>
      </c>
      <c r="W212" s="39" t="s">
        <v>3644</v>
      </c>
      <c r="X212" s="39"/>
      <c r="Y212" s="39"/>
      <c r="Z212" s="39" t="b">
        <v>0</v>
      </c>
      <c r="AA212" s="39" t="s">
        <v>3472</v>
      </c>
      <c r="AB212" s="39">
        <v>1.0</v>
      </c>
      <c r="AC212" s="39">
        <v>1.0</v>
      </c>
      <c r="AD212" s="39">
        <v>3.0</v>
      </c>
      <c r="AE212" s="39">
        <v>5.0</v>
      </c>
      <c r="AF212" s="39">
        <v>45.0</v>
      </c>
      <c r="AG212" s="39" t="s">
        <v>3522</v>
      </c>
    </row>
    <row r="213" ht="18.75" customHeight="1">
      <c r="A213" s="26" t="s">
        <v>56</v>
      </c>
      <c r="B213" s="22" t="s">
        <v>1617</v>
      </c>
      <c r="C213" s="37" t="str">
        <f>IF(COUNTIF('クラス'!A:A,E213)&gt;0,"○","×")&amp;IF(COUNTIF('クラス'!A:A,F213)&gt;0,"○","×")</f>
        <v>○×</v>
      </c>
      <c r="D213" s="39" t="b">
        <v>1</v>
      </c>
      <c r="E213" s="39" t="s">
        <v>1617</v>
      </c>
      <c r="G213" s="39">
        <v>3.0</v>
      </c>
      <c r="H213" s="39">
        <v>7.0</v>
      </c>
      <c r="J213" s="39" t="s">
        <v>3519</v>
      </c>
      <c r="R213" s="39" t="s">
        <v>1617</v>
      </c>
      <c r="S213" s="39" t="s">
        <v>3350</v>
      </c>
      <c r="W213" s="39" t="s">
        <v>3645</v>
      </c>
      <c r="X213" s="39" t="s">
        <v>3524</v>
      </c>
      <c r="Y213" s="39">
        <v>1.0</v>
      </c>
      <c r="Z213" s="39" t="b">
        <v>0</v>
      </c>
      <c r="AA213" s="39" t="s">
        <v>3472</v>
      </c>
      <c r="AB213" s="39">
        <v>1.0</v>
      </c>
      <c r="AC213" s="39">
        <v>1.0</v>
      </c>
      <c r="AD213" s="39">
        <v>3.0</v>
      </c>
      <c r="AE213" s="39">
        <v>5.0</v>
      </c>
      <c r="AF213" s="39">
        <v>45.0</v>
      </c>
      <c r="AG213" s="39" t="s">
        <v>3496</v>
      </c>
    </row>
    <row r="214" ht="18.75" customHeight="1">
      <c r="A214" s="26" t="s">
        <v>56</v>
      </c>
      <c r="B214" s="22" t="s">
        <v>1625</v>
      </c>
      <c r="C214" s="37" t="str">
        <f>IF(COUNTIF('クラス'!A:A,E214)&gt;0,"○","×")&amp;IF(COUNTIF('クラス'!A:A,F214)&gt;0,"○","×")</f>
        <v>○×</v>
      </c>
      <c r="D214" s="39" t="b">
        <v>1</v>
      </c>
      <c r="E214" s="39" t="s">
        <v>1625</v>
      </c>
      <c r="G214" s="39">
        <v>1.0</v>
      </c>
      <c r="H214" s="39">
        <v>5.0</v>
      </c>
      <c r="J214" s="39" t="s">
        <v>3519</v>
      </c>
      <c r="R214" s="39" t="s">
        <v>1625</v>
      </c>
      <c r="S214" s="39" t="s">
        <v>3350</v>
      </c>
      <c r="W214" s="39" t="s">
        <v>3646</v>
      </c>
      <c r="X214" s="39" t="s">
        <v>3526</v>
      </c>
      <c r="Y214" s="39">
        <v>7.0</v>
      </c>
      <c r="Z214" s="39" t="b">
        <v>0</v>
      </c>
      <c r="AA214" s="39" t="s">
        <v>3472</v>
      </c>
      <c r="AB214" s="39">
        <v>1.0</v>
      </c>
      <c r="AC214" s="39">
        <v>1.0</v>
      </c>
      <c r="AD214" s="39">
        <v>3.0</v>
      </c>
      <c r="AE214" s="39">
        <v>5.0</v>
      </c>
      <c r="AF214" s="39">
        <v>45.0</v>
      </c>
      <c r="AG214" s="39" t="s">
        <v>3496</v>
      </c>
    </row>
    <row r="215" ht="18.75" customHeight="1">
      <c r="A215" s="26" t="s">
        <v>56</v>
      </c>
      <c r="B215" s="22" t="s">
        <v>1633</v>
      </c>
      <c r="C215" s="37" t="str">
        <f>IF(COUNTIF('クラス'!A:A,E215)&gt;0,"○","×")&amp;IF(COUNTIF('クラス'!A:A,F215)&gt;0,"○","×")</f>
        <v>○×</v>
      </c>
      <c r="D215" s="39" t="b">
        <v>1</v>
      </c>
      <c r="E215" s="39" t="s">
        <v>1633</v>
      </c>
      <c r="G215" s="39">
        <v>1.0</v>
      </c>
      <c r="H215" s="39">
        <v>4.0</v>
      </c>
      <c r="J215" s="39" t="s">
        <v>3519</v>
      </c>
      <c r="R215" s="39" t="s">
        <v>1633</v>
      </c>
      <c r="S215" s="39" t="s">
        <v>3350</v>
      </c>
      <c r="W215" s="39" t="s">
        <v>3647</v>
      </c>
      <c r="X215" s="39" t="s">
        <v>3526</v>
      </c>
      <c r="Y215" s="39">
        <v>1.0</v>
      </c>
      <c r="Z215" s="39" t="b">
        <v>0</v>
      </c>
      <c r="AA215" s="39" t="s">
        <v>3472</v>
      </c>
      <c r="AB215" s="39">
        <v>1.0</v>
      </c>
      <c r="AC215" s="39">
        <v>1.0</v>
      </c>
      <c r="AD215" s="39">
        <v>3.0</v>
      </c>
      <c r="AE215" s="39">
        <v>5.0</v>
      </c>
      <c r="AF215" s="39">
        <v>45.0</v>
      </c>
      <c r="AG215" s="39" t="s">
        <v>3522</v>
      </c>
    </row>
    <row r="216" ht="18.75" customHeight="1">
      <c r="A216" s="26" t="s">
        <v>56</v>
      </c>
      <c r="B216" s="22" t="s">
        <v>1640</v>
      </c>
      <c r="C216" s="37" t="str">
        <f>IF(COUNTIF('クラス'!A:A,E216)&gt;0,"○","×")&amp;IF(COUNTIF('クラス'!A:A,F216)&gt;0,"○","×")</f>
        <v>○×</v>
      </c>
      <c r="D216" s="39" t="b">
        <v>1</v>
      </c>
      <c r="E216" s="39" t="s">
        <v>1640</v>
      </c>
      <c r="G216" s="39">
        <v>2.0</v>
      </c>
      <c r="H216" s="39">
        <v>6.0</v>
      </c>
      <c r="J216" s="39" t="s">
        <v>3519</v>
      </c>
      <c r="R216" s="39" t="s">
        <v>1640</v>
      </c>
      <c r="S216" s="39" t="s">
        <v>3350</v>
      </c>
      <c r="W216" s="39" t="s">
        <v>3648</v>
      </c>
      <c r="X216" s="39" t="s">
        <v>3533</v>
      </c>
      <c r="Y216" s="39">
        <v>1.0</v>
      </c>
      <c r="Z216" s="39" t="b">
        <v>0</v>
      </c>
      <c r="AA216" s="39" t="s">
        <v>3472</v>
      </c>
      <c r="AB216" s="39">
        <v>1.0</v>
      </c>
      <c r="AC216" s="39">
        <v>1.0</v>
      </c>
      <c r="AD216" s="39">
        <v>3.0</v>
      </c>
      <c r="AE216" s="39">
        <v>5.0</v>
      </c>
      <c r="AF216" s="39">
        <v>45.0</v>
      </c>
      <c r="AG216" s="39" t="s">
        <v>3522</v>
      </c>
    </row>
    <row r="217" ht="18.75" customHeight="1">
      <c r="A217" s="26" t="s">
        <v>56</v>
      </c>
      <c r="B217" s="22" t="s">
        <v>1647</v>
      </c>
      <c r="C217" s="37" t="str">
        <f>IF(COUNTIF('クラス'!A:A,E217)&gt;0,"○","×")&amp;IF(COUNTIF('クラス'!A:A,F217)&gt;0,"○","×")</f>
        <v>○×</v>
      </c>
      <c r="D217" s="39" t="b">
        <v>1</v>
      </c>
      <c r="E217" s="39" t="s">
        <v>1647</v>
      </c>
      <c r="G217" s="39">
        <v>3.0</v>
      </c>
      <c r="H217" s="39">
        <v>7.0</v>
      </c>
      <c r="J217" s="39" t="s">
        <v>3519</v>
      </c>
      <c r="R217" s="39" t="s">
        <v>1647</v>
      </c>
      <c r="S217" s="39" t="s">
        <v>3350</v>
      </c>
      <c r="W217" s="39" t="s">
        <v>3649</v>
      </c>
      <c r="X217" s="39" t="s">
        <v>3533</v>
      </c>
      <c r="Y217" s="39">
        <v>7.0</v>
      </c>
      <c r="Z217" s="39" t="b">
        <v>0</v>
      </c>
      <c r="AA217" s="39" t="s">
        <v>3472</v>
      </c>
      <c r="AB217" s="39">
        <v>1.0</v>
      </c>
      <c r="AC217" s="39">
        <v>1.0</v>
      </c>
      <c r="AD217" s="39">
        <v>3.0</v>
      </c>
      <c r="AE217" s="39">
        <v>5.0</v>
      </c>
      <c r="AF217" s="39">
        <v>45.0</v>
      </c>
      <c r="AG217" s="39" t="s">
        <v>3522</v>
      </c>
    </row>
    <row r="218" ht="18.75" customHeight="1">
      <c r="A218" s="26" t="s">
        <v>63</v>
      </c>
      <c r="B218" s="22" t="s">
        <v>1640</v>
      </c>
      <c r="C218" s="37" t="str">
        <f>IF(COUNTIF('クラス'!A:A,E218)&gt;0,"○","×")&amp;IF(COUNTIF('クラス'!A:A,F218)&gt;0,"○","×")</f>
        <v>○×</v>
      </c>
      <c r="D218" s="39" t="b">
        <v>1</v>
      </c>
      <c r="E218" s="39" t="s">
        <v>1640</v>
      </c>
      <c r="G218" s="39">
        <v>2.0</v>
      </c>
      <c r="H218" s="39">
        <v>6.0</v>
      </c>
      <c r="J218" s="39" t="s">
        <v>3519</v>
      </c>
      <c r="R218" s="39" t="s">
        <v>1640</v>
      </c>
      <c r="S218" s="39" t="s">
        <v>3350</v>
      </c>
      <c r="W218" s="39" t="s">
        <v>3650</v>
      </c>
      <c r="X218" s="39" t="s">
        <v>3533</v>
      </c>
      <c r="Y218" s="39">
        <v>1.0</v>
      </c>
      <c r="Z218" s="39" t="b">
        <v>0</v>
      </c>
      <c r="AA218" s="39" t="s">
        <v>3472</v>
      </c>
      <c r="AB218" s="39">
        <v>1.0</v>
      </c>
      <c r="AC218" s="39">
        <v>1.0</v>
      </c>
      <c r="AD218" s="39">
        <v>3.0</v>
      </c>
      <c r="AE218" s="39">
        <v>5.0</v>
      </c>
      <c r="AF218" s="39">
        <v>45.0</v>
      </c>
      <c r="AG218" s="39" t="s">
        <v>3522</v>
      </c>
    </row>
    <row r="219" ht="18.75" customHeight="1">
      <c r="A219" s="26" t="s">
        <v>63</v>
      </c>
      <c r="B219" s="22" t="s">
        <v>1647</v>
      </c>
      <c r="C219" s="37" t="str">
        <f>IF(COUNTIF('クラス'!A:A,E219)&gt;0,"○","×")&amp;IF(COUNTIF('クラス'!A:A,F219)&gt;0,"○","×")</f>
        <v>○×</v>
      </c>
      <c r="D219" s="39" t="b">
        <v>1</v>
      </c>
      <c r="E219" s="39" t="s">
        <v>1647</v>
      </c>
      <c r="G219" s="39">
        <v>3.0</v>
      </c>
      <c r="H219" s="39">
        <v>7.0</v>
      </c>
      <c r="J219" s="39" t="s">
        <v>3519</v>
      </c>
      <c r="R219" s="39" t="s">
        <v>1647</v>
      </c>
      <c r="S219" s="39" t="s">
        <v>3350</v>
      </c>
      <c r="W219" s="39" t="s">
        <v>3651</v>
      </c>
      <c r="X219" s="39" t="s">
        <v>3533</v>
      </c>
      <c r="Y219" s="39">
        <v>7.0</v>
      </c>
      <c r="Z219" s="39" t="b">
        <v>0</v>
      </c>
      <c r="AA219" s="39" t="s">
        <v>3472</v>
      </c>
      <c r="AB219" s="39">
        <v>1.0</v>
      </c>
      <c r="AC219" s="39">
        <v>1.0</v>
      </c>
      <c r="AD219" s="39">
        <v>3.0</v>
      </c>
      <c r="AE219" s="39">
        <v>5.0</v>
      </c>
      <c r="AF219" s="39">
        <v>45.0</v>
      </c>
      <c r="AG219" s="39" t="s">
        <v>3522</v>
      </c>
    </row>
    <row r="220" ht="18.75" customHeight="1">
      <c r="A220" s="26" t="s">
        <v>65</v>
      </c>
      <c r="B220" s="22" t="s">
        <v>1598</v>
      </c>
      <c r="C220" s="37" t="str">
        <f>IF(COUNTIF('クラス'!A:A,E220)&gt;0,"○","×")&amp;IF(COUNTIF('クラス'!A:A,F220)&gt;0,"○","×")</f>
        <v>○×</v>
      </c>
      <c r="D220" s="39" t="b">
        <v>0</v>
      </c>
      <c r="E220" s="39" t="s">
        <v>1598</v>
      </c>
      <c r="G220" s="39">
        <v>2.0</v>
      </c>
      <c r="H220" s="39">
        <v>5.0</v>
      </c>
      <c r="J220" s="39" t="s">
        <v>3519</v>
      </c>
      <c r="R220" s="39" t="s">
        <v>1598</v>
      </c>
      <c r="S220" s="39" t="s">
        <v>3350</v>
      </c>
      <c r="W220" s="39" t="s">
        <v>3652</v>
      </c>
      <c r="X220" s="39" t="s">
        <v>3521</v>
      </c>
      <c r="Y220" s="39">
        <v>1.0</v>
      </c>
      <c r="Z220" s="39" t="b">
        <v>0</v>
      </c>
      <c r="AA220" s="39" t="s">
        <v>3472</v>
      </c>
      <c r="AB220" s="39">
        <v>1.0</v>
      </c>
      <c r="AC220" s="39">
        <v>1.0</v>
      </c>
      <c r="AD220" s="39">
        <v>3.0</v>
      </c>
      <c r="AE220" s="39">
        <v>5.0</v>
      </c>
      <c r="AF220" s="39">
        <v>45.0</v>
      </c>
      <c r="AG220" s="39" t="s">
        <v>3522</v>
      </c>
    </row>
    <row r="221" ht="18.75" customHeight="1">
      <c r="A221" s="26" t="s">
        <v>65</v>
      </c>
      <c r="B221" s="22" t="s">
        <v>1640</v>
      </c>
      <c r="C221" s="37" t="str">
        <f>IF(COUNTIF('クラス'!A:A,E221)&gt;0,"○","×")&amp;IF(COUNTIF('クラス'!A:A,F221)&gt;0,"○","×")</f>
        <v>○×</v>
      </c>
      <c r="D221" s="39" t="b">
        <v>1</v>
      </c>
      <c r="E221" s="39" t="s">
        <v>1640</v>
      </c>
      <c r="G221" s="39">
        <v>2.0</v>
      </c>
      <c r="H221" s="39">
        <v>6.0</v>
      </c>
      <c r="J221" s="39" t="s">
        <v>3519</v>
      </c>
      <c r="R221" s="39" t="s">
        <v>1640</v>
      </c>
      <c r="S221" s="39" t="s">
        <v>3350</v>
      </c>
      <c r="W221" s="39" t="s">
        <v>3653</v>
      </c>
      <c r="X221" s="39" t="s">
        <v>3533</v>
      </c>
      <c r="Y221" s="39">
        <v>1.0</v>
      </c>
      <c r="Z221" s="39" t="b">
        <v>0</v>
      </c>
      <c r="AA221" s="39" t="s">
        <v>3472</v>
      </c>
      <c r="AB221" s="39">
        <v>1.0</v>
      </c>
      <c r="AC221" s="39">
        <v>1.0</v>
      </c>
      <c r="AD221" s="39">
        <v>3.0</v>
      </c>
      <c r="AE221" s="39">
        <v>5.0</v>
      </c>
      <c r="AF221" s="39">
        <v>45.0</v>
      </c>
      <c r="AG221" s="39" t="s">
        <v>3522</v>
      </c>
    </row>
    <row r="222" ht="18.75" customHeight="1">
      <c r="A222" s="26" t="s">
        <v>65</v>
      </c>
      <c r="B222" s="22" t="s">
        <v>1647</v>
      </c>
      <c r="C222" s="37" t="str">
        <f>IF(COUNTIF('クラス'!A:A,E222)&gt;0,"○","×")&amp;IF(COUNTIF('クラス'!A:A,F222)&gt;0,"○","×")</f>
        <v>○×</v>
      </c>
      <c r="D222" s="39" t="b">
        <v>1</v>
      </c>
      <c r="E222" s="39" t="s">
        <v>1647</v>
      </c>
      <c r="G222" s="39">
        <v>3.0</v>
      </c>
      <c r="H222" s="39">
        <v>7.0</v>
      </c>
      <c r="J222" s="39" t="s">
        <v>3519</v>
      </c>
      <c r="R222" s="39" t="s">
        <v>1647</v>
      </c>
      <c r="S222" s="39" t="s">
        <v>3350</v>
      </c>
      <c r="W222" s="39" t="s">
        <v>3654</v>
      </c>
      <c r="X222" s="39" t="s">
        <v>3533</v>
      </c>
      <c r="Y222" s="39">
        <v>7.0</v>
      </c>
      <c r="Z222" s="39" t="b">
        <v>0</v>
      </c>
      <c r="AA222" s="39" t="s">
        <v>3472</v>
      </c>
      <c r="AB222" s="39">
        <v>1.0</v>
      </c>
      <c r="AC222" s="39">
        <v>1.0</v>
      </c>
      <c r="AD222" s="39">
        <v>3.0</v>
      </c>
      <c r="AE222" s="39">
        <v>5.0</v>
      </c>
      <c r="AF222" s="39">
        <v>45.0</v>
      </c>
      <c r="AG222" s="39" t="s">
        <v>3522</v>
      </c>
    </row>
    <row r="223" ht="18.75" customHeight="1">
      <c r="A223" s="26" t="s">
        <v>69</v>
      </c>
      <c r="B223" s="22" t="s">
        <v>1317</v>
      </c>
      <c r="C223" s="37" t="str">
        <f>IF(COUNTIF('クラス'!A:A,E223)&gt;0,"○","×")&amp;IF(COUNTIF('クラス'!A:A,F223)&gt;0,"○","×")</f>
        <v>○×</v>
      </c>
      <c r="D223" s="39" t="b">
        <v>1</v>
      </c>
      <c r="E223" s="39" t="s">
        <v>1317</v>
      </c>
      <c r="G223" s="39">
        <v>1.0</v>
      </c>
      <c r="H223" s="39">
        <v>10.0</v>
      </c>
      <c r="J223" s="39" t="s">
        <v>3546</v>
      </c>
      <c r="R223" s="39" t="s">
        <v>1317</v>
      </c>
      <c r="S223" s="39" t="s">
        <v>3376</v>
      </c>
      <c r="W223" s="39" t="s">
        <v>3655</v>
      </c>
      <c r="X223" s="39" t="s">
        <v>3548</v>
      </c>
      <c r="Y223" s="39">
        <v>1.0</v>
      </c>
      <c r="Z223" s="39" t="b">
        <v>0</v>
      </c>
      <c r="AA223" s="39" t="s">
        <v>3472</v>
      </c>
      <c r="AB223" s="39">
        <v>1.0</v>
      </c>
      <c r="AC223" s="39">
        <v>1.0</v>
      </c>
      <c r="AD223" s="39">
        <v>3.0</v>
      </c>
      <c r="AE223" s="39"/>
      <c r="AF223" s="39"/>
      <c r="AG223" s="39"/>
    </row>
    <row r="224" ht="18.75" customHeight="1">
      <c r="A224" s="26" t="s">
        <v>69</v>
      </c>
      <c r="B224" s="22" t="s">
        <v>1331</v>
      </c>
      <c r="C224" s="37" t="str">
        <f>IF(COUNTIF('クラス'!A:A,E224)&gt;0,"○","×")&amp;IF(COUNTIF('クラス'!A:A,F224)&gt;0,"○","×")</f>
        <v>○×</v>
      </c>
      <c r="D224" s="39" t="b">
        <v>1</v>
      </c>
      <c r="E224" s="39" t="s">
        <v>1331</v>
      </c>
      <c r="G224" s="39">
        <v>1.0</v>
      </c>
      <c r="H224" s="39">
        <v>10.0</v>
      </c>
      <c r="J224" s="39" t="s">
        <v>3546</v>
      </c>
      <c r="R224" s="39" t="s">
        <v>1331</v>
      </c>
      <c r="S224" s="39" t="s">
        <v>3376</v>
      </c>
      <c r="W224" s="39" t="s">
        <v>3656</v>
      </c>
      <c r="X224" s="39" t="s">
        <v>3548</v>
      </c>
      <c r="Y224" s="39">
        <v>2.0</v>
      </c>
      <c r="Z224" s="39" t="b">
        <v>0</v>
      </c>
      <c r="AA224" s="39" t="s">
        <v>3472</v>
      </c>
      <c r="AB224" s="39">
        <v>1.0</v>
      </c>
      <c r="AC224" s="39">
        <v>1.0</v>
      </c>
      <c r="AD224" s="39">
        <v>3.0</v>
      </c>
      <c r="AE224" s="39"/>
      <c r="AF224" s="39"/>
      <c r="AG224" s="39"/>
    </row>
    <row r="225" ht="18.75" customHeight="1">
      <c r="A225" s="26" t="s">
        <v>69</v>
      </c>
      <c r="B225" s="22" t="s">
        <v>1344</v>
      </c>
      <c r="C225" s="37" t="str">
        <f>IF(COUNTIF('クラス'!A:A,E225)&gt;0,"○","×")&amp;IF(COUNTIF('クラス'!A:A,F225)&gt;0,"○","×")</f>
        <v>○×</v>
      </c>
      <c r="D225" s="39" t="b">
        <v>1</v>
      </c>
      <c r="E225" s="39" t="s">
        <v>1344</v>
      </c>
      <c r="G225" s="39">
        <v>1.0</v>
      </c>
      <c r="H225" s="39">
        <v>10.0</v>
      </c>
      <c r="J225" s="39" t="s">
        <v>3546</v>
      </c>
      <c r="R225" s="39" t="s">
        <v>1344</v>
      </c>
      <c r="S225" s="39" t="s">
        <v>3376</v>
      </c>
      <c r="W225" s="39" t="s">
        <v>3657</v>
      </c>
      <c r="X225" s="39" t="s">
        <v>3548</v>
      </c>
      <c r="Y225" s="39">
        <v>6.0</v>
      </c>
      <c r="Z225" s="39" t="b">
        <v>0</v>
      </c>
      <c r="AA225" s="39" t="s">
        <v>3472</v>
      </c>
      <c r="AB225" s="39">
        <v>1.0</v>
      </c>
      <c r="AC225" s="39">
        <v>1.0</v>
      </c>
      <c r="AD225" s="39">
        <v>3.0</v>
      </c>
      <c r="AE225" s="39"/>
      <c r="AF225" s="39"/>
      <c r="AG225" s="39"/>
    </row>
    <row r="226" ht="18.75" customHeight="1">
      <c r="A226" s="1"/>
      <c r="B226" s="11"/>
      <c r="AA226" s="37"/>
    </row>
    <row r="227" ht="18.75" customHeight="1">
      <c r="A227" s="1"/>
      <c r="B227" s="11"/>
      <c r="AA227" s="37"/>
    </row>
    <row r="228" ht="18.75" customHeight="1">
      <c r="A228" s="1"/>
      <c r="B228" s="11"/>
      <c r="AA228" s="37"/>
    </row>
    <row r="229" ht="18.75" customHeight="1">
      <c r="A229" s="1"/>
      <c r="B229" s="11"/>
      <c r="AA229" s="37"/>
    </row>
    <row r="230" ht="18.75" customHeight="1">
      <c r="A230" s="1"/>
      <c r="B230" s="11"/>
      <c r="AA230" s="37"/>
    </row>
    <row r="231" ht="18.75" customHeight="1">
      <c r="A231" s="1"/>
      <c r="B231" s="11"/>
      <c r="AA231" s="37"/>
    </row>
    <row r="232" ht="18.75" customHeight="1">
      <c r="A232" s="1"/>
      <c r="B232" s="11"/>
      <c r="AA232" s="37"/>
    </row>
    <row r="233" ht="18.75" customHeight="1">
      <c r="A233" s="1"/>
      <c r="B233" s="11"/>
      <c r="AA233" s="37"/>
    </row>
    <row r="234" ht="18.75" customHeight="1">
      <c r="A234" s="1"/>
      <c r="B234" s="11"/>
      <c r="AA234" s="37"/>
    </row>
    <row r="235" ht="18.75" customHeight="1">
      <c r="A235" s="1"/>
      <c r="B235" s="11"/>
      <c r="AA235" s="37"/>
    </row>
    <row r="236" ht="18.75" customHeight="1">
      <c r="A236" s="1"/>
      <c r="B236" s="11"/>
      <c r="AA236" s="37"/>
    </row>
    <row r="237" ht="18.75" customHeight="1">
      <c r="A237" s="1"/>
      <c r="B237" s="11"/>
      <c r="AA237" s="37"/>
    </row>
    <row r="238" ht="18.75" customHeight="1">
      <c r="A238" s="1"/>
      <c r="B238" s="11"/>
      <c r="AA238" s="37"/>
    </row>
    <row r="239" ht="18.75" customHeight="1">
      <c r="A239" s="1"/>
      <c r="B239" s="11"/>
      <c r="AA239" s="37"/>
    </row>
    <row r="240" ht="18.75" customHeight="1">
      <c r="A240" s="1"/>
      <c r="B240" s="11"/>
      <c r="AA240" s="37"/>
    </row>
    <row r="241" ht="18.75" customHeight="1">
      <c r="A241" s="1"/>
      <c r="B241" s="11"/>
      <c r="AA241" s="37"/>
    </row>
    <row r="242" ht="18.75" customHeight="1">
      <c r="A242" s="1"/>
      <c r="B242" s="11"/>
      <c r="AA242" s="37"/>
    </row>
    <row r="243" ht="18.75" customHeight="1">
      <c r="A243" s="1"/>
      <c r="B243" s="11"/>
      <c r="AA243" s="37"/>
    </row>
    <row r="244" ht="18.75" customHeight="1">
      <c r="A244" s="1"/>
      <c r="B244" s="11"/>
      <c r="AA244" s="37"/>
    </row>
    <row r="245" ht="18.75" customHeight="1">
      <c r="A245" s="1"/>
      <c r="B245" s="11"/>
      <c r="AA245" s="37"/>
    </row>
    <row r="246" ht="18.75" customHeight="1">
      <c r="A246" s="1"/>
      <c r="B246" s="11"/>
      <c r="AA246" s="37"/>
    </row>
    <row r="247" ht="18.75" customHeight="1">
      <c r="A247" s="1"/>
      <c r="B247" s="11"/>
      <c r="AA247" s="37"/>
    </row>
    <row r="248" ht="18.75" customHeight="1">
      <c r="A248" s="1"/>
      <c r="B248" s="11"/>
      <c r="AA248" s="37"/>
    </row>
    <row r="249" ht="18.75" customHeight="1">
      <c r="A249" s="1"/>
      <c r="B249" s="11"/>
      <c r="AA249" s="37"/>
    </row>
    <row r="250" ht="18.75" customHeight="1">
      <c r="A250" s="1"/>
      <c r="B250" s="11"/>
      <c r="AA250" s="37"/>
    </row>
    <row r="251" ht="18.75" customHeight="1">
      <c r="A251" s="1"/>
      <c r="B251" s="11"/>
      <c r="AA251" s="37"/>
    </row>
    <row r="252" ht="18.75" customHeight="1">
      <c r="A252" s="1"/>
      <c r="B252" s="11"/>
      <c r="AA252" s="37"/>
    </row>
    <row r="253" ht="18.75" customHeight="1">
      <c r="A253" s="1"/>
      <c r="B253" s="11"/>
      <c r="AA253" s="37"/>
    </row>
    <row r="254" ht="18.75" customHeight="1">
      <c r="A254" s="1"/>
      <c r="B254" s="11"/>
      <c r="AA254" s="37"/>
    </row>
    <row r="255" ht="18.75" customHeight="1">
      <c r="A255" s="1"/>
      <c r="B255" s="11"/>
      <c r="AA255" s="37"/>
    </row>
    <row r="256" ht="18.75" customHeight="1">
      <c r="A256" s="1"/>
      <c r="B256" s="11"/>
      <c r="AA256" s="37"/>
    </row>
    <row r="257" ht="18.75" customHeight="1">
      <c r="A257" s="1"/>
      <c r="B257" s="11"/>
      <c r="AA257" s="37"/>
    </row>
    <row r="258" ht="18.75" customHeight="1">
      <c r="A258" s="1"/>
      <c r="B258" s="11"/>
      <c r="AA258" s="37"/>
    </row>
    <row r="259" ht="18.75" customHeight="1">
      <c r="A259" s="1"/>
      <c r="B259" s="11"/>
      <c r="AA259" s="37"/>
    </row>
    <row r="260" ht="18.75" customHeight="1">
      <c r="A260" s="1"/>
      <c r="B260" s="11"/>
      <c r="AA260" s="37"/>
    </row>
    <row r="261" ht="18.75" customHeight="1">
      <c r="A261" s="1"/>
      <c r="B261" s="11"/>
      <c r="AA261" s="37"/>
    </row>
    <row r="262" ht="18.75" customHeight="1">
      <c r="A262" s="1"/>
      <c r="B262" s="11"/>
      <c r="AA262" s="37"/>
    </row>
    <row r="263" ht="18.75" customHeight="1">
      <c r="A263" s="1"/>
      <c r="B263" s="11"/>
      <c r="AA263" s="37"/>
    </row>
    <row r="264" ht="18.75" customHeight="1">
      <c r="A264" s="1"/>
      <c r="B264" s="11"/>
      <c r="AA264" s="37"/>
    </row>
    <row r="265" ht="18.75" customHeight="1">
      <c r="A265" s="1"/>
      <c r="B265" s="11"/>
      <c r="AA265" s="37"/>
    </row>
    <row r="266" ht="18.75" customHeight="1">
      <c r="A266" s="1"/>
      <c r="B266" s="11"/>
      <c r="AA266" s="37"/>
    </row>
    <row r="267" ht="18.75" customHeight="1">
      <c r="A267" s="1"/>
      <c r="B267" s="11"/>
      <c r="AA267" s="37"/>
    </row>
    <row r="268" ht="18.75" customHeight="1">
      <c r="A268" s="1"/>
      <c r="B268" s="11"/>
      <c r="AA268" s="37"/>
    </row>
    <row r="269" ht="18.75" customHeight="1">
      <c r="A269" s="1"/>
      <c r="B269" s="11"/>
      <c r="AA269" s="37"/>
    </row>
    <row r="270" ht="18.75" customHeight="1">
      <c r="A270" s="1"/>
      <c r="B270" s="11"/>
      <c r="AA270" s="37"/>
    </row>
    <row r="271" ht="18.75" customHeight="1">
      <c r="A271" s="1"/>
      <c r="B271" s="11"/>
      <c r="AA271" s="37"/>
    </row>
    <row r="272" ht="18.75" customHeight="1">
      <c r="A272" s="1"/>
      <c r="B272" s="11"/>
      <c r="AA272" s="37"/>
    </row>
    <row r="273" ht="18.75" customHeight="1">
      <c r="A273" s="1"/>
      <c r="B273" s="11"/>
      <c r="AA273" s="37"/>
    </row>
    <row r="274" ht="18.75" customHeight="1">
      <c r="A274" s="1"/>
      <c r="B274" s="11"/>
      <c r="AA274" s="37"/>
    </row>
    <row r="275" ht="18.75" customHeight="1">
      <c r="A275" s="1"/>
      <c r="B275" s="11"/>
      <c r="AA275" s="37"/>
    </row>
    <row r="276" ht="18.75" customHeight="1">
      <c r="A276" s="1"/>
      <c r="B276" s="11"/>
      <c r="AA276" s="37"/>
    </row>
    <row r="277" ht="18.75" customHeight="1">
      <c r="A277" s="1"/>
      <c r="B277" s="11"/>
      <c r="AA277" s="37"/>
    </row>
    <row r="278" ht="18.75" customHeight="1">
      <c r="A278" s="1"/>
      <c r="B278" s="11"/>
      <c r="AA278" s="37"/>
    </row>
    <row r="279" ht="18.75" customHeight="1">
      <c r="A279" s="1"/>
      <c r="B279" s="11"/>
      <c r="AA279" s="37"/>
    </row>
    <row r="280" ht="18.75" customHeight="1">
      <c r="A280" s="1"/>
      <c r="B280" s="11"/>
      <c r="AA280" s="37"/>
    </row>
    <row r="281" ht="18.75" customHeight="1">
      <c r="A281" s="1"/>
      <c r="B281" s="11"/>
      <c r="AA281" s="37"/>
    </row>
    <row r="282" ht="18.75" customHeight="1">
      <c r="A282" s="1"/>
      <c r="B282" s="11"/>
      <c r="AA282" s="37"/>
    </row>
    <row r="283" ht="18.75" customHeight="1">
      <c r="A283" s="1"/>
      <c r="B283" s="11"/>
      <c r="AA283" s="37"/>
    </row>
    <row r="284" ht="18.75" customHeight="1">
      <c r="A284" s="1"/>
      <c r="B284" s="11"/>
      <c r="AA284" s="37"/>
    </row>
    <row r="285" ht="18.75" customHeight="1">
      <c r="A285" s="1"/>
      <c r="B285" s="11"/>
      <c r="AA285" s="37"/>
    </row>
    <row r="286" ht="18.75" customHeight="1">
      <c r="A286" s="1"/>
      <c r="B286" s="11"/>
      <c r="AA286" s="37"/>
    </row>
    <row r="287" ht="18.75" customHeight="1">
      <c r="A287" s="1"/>
      <c r="B287" s="11"/>
      <c r="AA287" s="37"/>
    </row>
    <row r="288" ht="18.75" customHeight="1">
      <c r="A288" s="1"/>
      <c r="B288" s="11"/>
      <c r="AA288" s="37"/>
    </row>
    <row r="289" ht="18.75" customHeight="1">
      <c r="A289" s="1"/>
      <c r="B289" s="11"/>
      <c r="AA289" s="37"/>
    </row>
    <row r="290" ht="18.75" customHeight="1">
      <c r="A290" s="1"/>
      <c r="B290" s="11"/>
      <c r="AA290" s="37"/>
    </row>
    <row r="291" ht="18.75" customHeight="1">
      <c r="A291" s="1"/>
      <c r="B291" s="11"/>
      <c r="AA291" s="37"/>
    </row>
    <row r="292" ht="18.75" customHeight="1">
      <c r="A292" s="1"/>
      <c r="B292" s="11"/>
      <c r="AA292" s="37"/>
    </row>
    <row r="293" ht="18.75" customHeight="1">
      <c r="A293" s="1"/>
      <c r="B293" s="11"/>
      <c r="AA293" s="37"/>
    </row>
    <row r="294" ht="18.75" customHeight="1">
      <c r="A294" s="1"/>
      <c r="B294" s="11"/>
      <c r="AA294" s="37"/>
    </row>
    <row r="295" ht="18.75" customHeight="1">
      <c r="A295" s="1"/>
      <c r="B295" s="11"/>
      <c r="AA295" s="37"/>
    </row>
    <row r="296" ht="18.75" customHeight="1">
      <c r="A296" s="1"/>
      <c r="B296" s="11"/>
      <c r="AA296" s="37"/>
    </row>
    <row r="297" ht="18.75" customHeight="1">
      <c r="A297" s="1"/>
      <c r="B297" s="11"/>
      <c r="AA297" s="37"/>
    </row>
    <row r="298" ht="18.75" customHeight="1">
      <c r="A298" s="1"/>
      <c r="B298" s="11"/>
      <c r="AA298" s="37"/>
    </row>
    <row r="299" ht="18.75" customHeight="1">
      <c r="A299" s="1"/>
      <c r="B299" s="11"/>
      <c r="AA299" s="37"/>
    </row>
    <row r="300" ht="18.75" customHeight="1">
      <c r="A300" s="1"/>
      <c r="B300" s="11"/>
      <c r="AA300" s="37"/>
    </row>
    <row r="301" ht="18.75" customHeight="1">
      <c r="A301" s="1"/>
      <c r="B301" s="11"/>
      <c r="AA301" s="37"/>
    </row>
    <row r="302" ht="18.75" customHeight="1">
      <c r="A302" s="1"/>
      <c r="B302" s="11"/>
      <c r="AA302" s="37"/>
    </row>
    <row r="303" ht="18.75" customHeight="1">
      <c r="A303" s="1"/>
      <c r="B303" s="11"/>
      <c r="AA303" s="37"/>
    </row>
    <row r="304" ht="18.75" customHeight="1">
      <c r="A304" s="1"/>
      <c r="B304" s="11"/>
      <c r="AA304" s="37"/>
    </row>
    <row r="305" ht="18.75" customHeight="1">
      <c r="A305" s="1"/>
      <c r="B305" s="11"/>
      <c r="AA305" s="37"/>
    </row>
    <row r="306" ht="18.75" customHeight="1">
      <c r="A306" s="1"/>
      <c r="B306" s="11"/>
      <c r="AA306" s="37"/>
    </row>
    <row r="307" ht="18.75" customHeight="1">
      <c r="A307" s="1"/>
      <c r="B307" s="11"/>
      <c r="AA307" s="37"/>
    </row>
    <row r="308" ht="18.75" customHeight="1">
      <c r="A308" s="1"/>
      <c r="B308" s="11"/>
      <c r="AA308" s="37"/>
    </row>
    <row r="309" ht="18.75" customHeight="1">
      <c r="A309" s="1"/>
      <c r="B309" s="11"/>
      <c r="AA309" s="37"/>
    </row>
    <row r="310" ht="18.75" customHeight="1">
      <c r="A310" s="1"/>
      <c r="B310" s="11"/>
      <c r="AA310" s="37"/>
    </row>
    <row r="311" ht="18.75" customHeight="1">
      <c r="A311" s="1"/>
      <c r="B311" s="11"/>
      <c r="AA311" s="37"/>
    </row>
    <row r="312" ht="18.75" customHeight="1">
      <c r="A312" s="1"/>
      <c r="B312" s="11"/>
      <c r="AA312" s="37"/>
    </row>
    <row r="313" ht="18.75" customHeight="1">
      <c r="A313" s="1"/>
      <c r="B313" s="11"/>
      <c r="AA313" s="37"/>
    </row>
    <row r="314" ht="18.75" customHeight="1">
      <c r="A314" s="1"/>
      <c r="B314" s="11"/>
      <c r="AA314" s="37"/>
    </row>
    <row r="315" ht="18.75" customHeight="1">
      <c r="A315" s="1"/>
      <c r="B315" s="11"/>
      <c r="AA315" s="37"/>
    </row>
    <row r="316" ht="18.75" customHeight="1">
      <c r="A316" s="1"/>
      <c r="B316" s="11"/>
      <c r="AA316" s="37"/>
    </row>
    <row r="317" ht="18.75" customHeight="1">
      <c r="A317" s="1"/>
      <c r="B317" s="11"/>
      <c r="AA317" s="37"/>
    </row>
    <row r="318" ht="18.75" customHeight="1">
      <c r="A318" s="1"/>
      <c r="B318" s="11"/>
      <c r="AA318" s="37"/>
    </row>
    <row r="319" ht="18.75" customHeight="1">
      <c r="A319" s="1"/>
      <c r="B319" s="11"/>
      <c r="AA319" s="37"/>
    </row>
    <row r="320" ht="18.75" customHeight="1">
      <c r="A320" s="1"/>
      <c r="B320" s="11"/>
      <c r="AA320" s="37"/>
    </row>
    <row r="321" ht="18.75" customHeight="1">
      <c r="A321" s="1"/>
      <c r="B321" s="11"/>
      <c r="AA321" s="37"/>
    </row>
    <row r="322" ht="18.75" customHeight="1">
      <c r="A322" s="1"/>
      <c r="B322" s="11"/>
      <c r="AA322" s="37"/>
    </row>
    <row r="323" ht="18.75" customHeight="1">
      <c r="A323" s="1"/>
      <c r="B323" s="11"/>
      <c r="AA323" s="37"/>
    </row>
    <row r="324" ht="18.75" customHeight="1">
      <c r="A324" s="1"/>
      <c r="B324" s="11"/>
      <c r="AA324" s="37"/>
    </row>
    <row r="325" ht="18.75" customHeight="1">
      <c r="A325" s="1"/>
      <c r="B325" s="11"/>
      <c r="AA325" s="37"/>
    </row>
    <row r="326" ht="18.75" customHeight="1">
      <c r="A326" s="1"/>
      <c r="B326" s="11"/>
      <c r="AA326" s="37"/>
    </row>
    <row r="327" ht="18.75" customHeight="1">
      <c r="A327" s="1"/>
      <c r="B327" s="11"/>
      <c r="AA327" s="37"/>
    </row>
    <row r="328" ht="18.75" customHeight="1">
      <c r="A328" s="1"/>
      <c r="B328" s="11"/>
      <c r="AA328" s="37"/>
    </row>
    <row r="329" ht="18.75" customHeight="1">
      <c r="A329" s="1"/>
      <c r="B329" s="11"/>
      <c r="AA329" s="37"/>
    </row>
    <row r="330" ht="18.75" customHeight="1">
      <c r="A330" s="1"/>
      <c r="B330" s="11"/>
      <c r="AA330" s="37"/>
    </row>
    <row r="331" ht="18.75" customHeight="1">
      <c r="A331" s="1"/>
      <c r="B331" s="11"/>
      <c r="AA331" s="37"/>
    </row>
    <row r="332" ht="18.75" customHeight="1">
      <c r="A332" s="1"/>
      <c r="B332" s="11"/>
      <c r="AA332" s="37"/>
    </row>
    <row r="333" ht="18.75" customHeight="1">
      <c r="A333" s="1"/>
      <c r="B333" s="11"/>
      <c r="AA333" s="37"/>
    </row>
    <row r="334" ht="18.75" customHeight="1">
      <c r="A334" s="1"/>
      <c r="B334" s="11"/>
      <c r="AA334" s="37"/>
    </row>
    <row r="335" ht="18.75" customHeight="1">
      <c r="A335" s="1"/>
      <c r="B335" s="11"/>
      <c r="AA335" s="37"/>
    </row>
    <row r="336" ht="18.75" customHeight="1">
      <c r="A336" s="1"/>
      <c r="B336" s="11"/>
      <c r="AA336" s="37"/>
    </row>
    <row r="337" ht="18.75" customHeight="1">
      <c r="A337" s="1"/>
      <c r="B337" s="11"/>
      <c r="AA337" s="37"/>
    </row>
    <row r="338" ht="18.75" customHeight="1">
      <c r="A338" s="1"/>
      <c r="B338" s="11"/>
      <c r="AA338" s="37"/>
    </row>
    <row r="339" ht="18.75" customHeight="1">
      <c r="A339" s="1"/>
      <c r="B339" s="11"/>
      <c r="AA339" s="37"/>
    </row>
    <row r="340" ht="18.75" customHeight="1">
      <c r="A340" s="1"/>
      <c r="B340" s="11"/>
      <c r="AA340" s="37"/>
    </row>
    <row r="341" ht="18.75" customHeight="1">
      <c r="A341" s="1"/>
      <c r="B341" s="11"/>
      <c r="AA341" s="37"/>
    </row>
    <row r="342" ht="18.75" customHeight="1">
      <c r="A342" s="1"/>
      <c r="B342" s="11"/>
      <c r="AA342" s="37"/>
    </row>
    <row r="343" ht="18.75" customHeight="1">
      <c r="A343" s="1"/>
      <c r="B343" s="11"/>
      <c r="AA343" s="37"/>
    </row>
    <row r="344" ht="18.75" customHeight="1">
      <c r="A344" s="1"/>
      <c r="B344" s="11"/>
      <c r="AA344" s="37"/>
    </row>
    <row r="345" ht="18.75" customHeight="1">
      <c r="A345" s="1"/>
      <c r="B345" s="11"/>
      <c r="AA345" s="37"/>
    </row>
    <row r="346" ht="18.75" customHeight="1">
      <c r="A346" s="1"/>
      <c r="B346" s="11"/>
      <c r="AA346" s="37"/>
    </row>
    <row r="347" ht="18.75" customHeight="1">
      <c r="A347" s="1"/>
      <c r="B347" s="11"/>
      <c r="AA347" s="37"/>
    </row>
    <row r="348" ht="18.75" customHeight="1">
      <c r="A348" s="1"/>
      <c r="B348" s="11"/>
      <c r="AA348" s="37"/>
    </row>
    <row r="349" ht="18.75" customHeight="1">
      <c r="A349" s="1"/>
      <c r="B349" s="11"/>
      <c r="AA349" s="37"/>
    </row>
    <row r="350" ht="18.75" customHeight="1">
      <c r="A350" s="1"/>
      <c r="B350" s="11"/>
      <c r="AA350" s="37"/>
    </row>
    <row r="351" ht="18.75" customHeight="1">
      <c r="A351" s="1"/>
      <c r="B351" s="11"/>
      <c r="AA351" s="37"/>
    </row>
    <row r="352" ht="18.75" customHeight="1">
      <c r="A352" s="1"/>
      <c r="B352" s="11"/>
      <c r="AA352" s="37"/>
    </row>
    <row r="353" ht="18.75" customHeight="1">
      <c r="A353" s="1"/>
      <c r="B353" s="11"/>
      <c r="AA353" s="37"/>
    </row>
    <row r="354" ht="18.75" customHeight="1">
      <c r="A354" s="1"/>
      <c r="B354" s="11"/>
      <c r="AA354" s="37"/>
    </row>
    <row r="355" ht="18.75" customHeight="1">
      <c r="A355" s="1"/>
      <c r="B355" s="11"/>
      <c r="AA355" s="37"/>
    </row>
    <row r="356" ht="18.75" customHeight="1">
      <c r="A356" s="1"/>
      <c r="B356" s="11"/>
      <c r="AA356" s="37"/>
    </row>
    <row r="357" ht="18.75" customHeight="1">
      <c r="A357" s="1"/>
      <c r="B357" s="11"/>
      <c r="AA357" s="37"/>
    </row>
    <row r="358" ht="18.75" customHeight="1">
      <c r="A358" s="1"/>
      <c r="B358" s="11"/>
      <c r="AA358" s="37"/>
    </row>
    <row r="359" ht="18.75" customHeight="1">
      <c r="A359" s="1"/>
      <c r="B359" s="11"/>
      <c r="AA359" s="37"/>
    </row>
    <row r="360" ht="18.75" customHeight="1">
      <c r="A360" s="1"/>
      <c r="B360" s="11"/>
      <c r="AA360" s="37"/>
    </row>
    <row r="361" ht="18.75" customHeight="1">
      <c r="A361" s="1"/>
      <c r="B361" s="11"/>
      <c r="AA361" s="37"/>
    </row>
    <row r="362" ht="18.75" customHeight="1">
      <c r="A362" s="1"/>
      <c r="B362" s="11"/>
      <c r="AA362" s="37"/>
    </row>
    <row r="363" ht="18.75" customHeight="1">
      <c r="A363" s="1"/>
      <c r="B363" s="11"/>
      <c r="AA363" s="37"/>
    </row>
    <row r="364" ht="18.75" customHeight="1">
      <c r="A364" s="1"/>
      <c r="B364" s="11"/>
      <c r="AA364" s="37"/>
    </row>
    <row r="365" ht="18.75" customHeight="1">
      <c r="A365" s="1"/>
      <c r="B365" s="11"/>
      <c r="AA365" s="37"/>
    </row>
    <row r="366" ht="18.75" customHeight="1">
      <c r="A366" s="1"/>
      <c r="B366" s="11"/>
      <c r="AA366" s="37"/>
    </row>
    <row r="367" ht="18.75" customHeight="1">
      <c r="A367" s="1"/>
      <c r="B367" s="11"/>
      <c r="AA367" s="37"/>
    </row>
    <row r="368" ht="18.75" customHeight="1">
      <c r="A368" s="1"/>
      <c r="B368" s="11"/>
      <c r="AA368" s="37"/>
    </row>
    <row r="369" ht="18.75" customHeight="1">
      <c r="A369" s="1"/>
      <c r="B369" s="11"/>
      <c r="AA369" s="37"/>
    </row>
    <row r="370" ht="18.75" customHeight="1">
      <c r="A370" s="1"/>
      <c r="B370" s="11"/>
      <c r="AA370" s="37"/>
    </row>
    <row r="371" ht="18.75" customHeight="1">
      <c r="A371" s="1"/>
      <c r="B371" s="11"/>
      <c r="AA371" s="37"/>
    </row>
    <row r="372" ht="18.75" customHeight="1">
      <c r="A372" s="1"/>
      <c r="B372" s="11"/>
      <c r="AA372" s="37"/>
    </row>
    <row r="373" ht="18.75" customHeight="1">
      <c r="A373" s="1"/>
      <c r="B373" s="11"/>
      <c r="AA373" s="37"/>
    </row>
    <row r="374" ht="18.75" customHeight="1">
      <c r="A374" s="1"/>
      <c r="B374" s="11"/>
      <c r="AA374" s="37"/>
    </row>
    <row r="375" ht="18.75" customHeight="1">
      <c r="A375" s="1"/>
      <c r="B375" s="11"/>
      <c r="AA375" s="37"/>
    </row>
    <row r="376" ht="18.75" customHeight="1">
      <c r="A376" s="1"/>
      <c r="B376" s="11"/>
      <c r="AA376" s="37"/>
    </row>
    <row r="377" ht="18.75" customHeight="1">
      <c r="A377" s="1"/>
      <c r="B377" s="11"/>
      <c r="AA377" s="37"/>
    </row>
    <row r="378" ht="18.75" customHeight="1">
      <c r="A378" s="1"/>
      <c r="B378" s="11"/>
      <c r="AA378" s="37"/>
    </row>
    <row r="379" ht="18.75" customHeight="1">
      <c r="A379" s="1"/>
      <c r="B379" s="11"/>
      <c r="AA379" s="37"/>
    </row>
    <row r="380" ht="18.75" customHeight="1">
      <c r="A380" s="1"/>
      <c r="B380" s="11"/>
      <c r="AA380" s="37"/>
    </row>
    <row r="381" ht="18.75" customHeight="1">
      <c r="A381" s="1"/>
      <c r="B381" s="11"/>
      <c r="AA381" s="37"/>
    </row>
    <row r="382" ht="18.75" customHeight="1">
      <c r="A382" s="1"/>
      <c r="B382" s="11"/>
      <c r="AA382" s="37"/>
    </row>
    <row r="383" ht="18.75" customHeight="1">
      <c r="A383" s="1"/>
      <c r="B383" s="11"/>
      <c r="AA383" s="37"/>
    </row>
    <row r="384" ht="18.75" customHeight="1">
      <c r="A384" s="1"/>
      <c r="B384" s="11"/>
      <c r="AA384" s="37"/>
    </row>
    <row r="385" ht="18.75" customHeight="1">
      <c r="A385" s="1"/>
      <c r="B385" s="11"/>
      <c r="AA385" s="37"/>
    </row>
    <row r="386" ht="18.75" customHeight="1">
      <c r="A386" s="1"/>
      <c r="B386" s="11"/>
      <c r="AA386" s="37"/>
    </row>
    <row r="387" ht="18.75" customHeight="1">
      <c r="A387" s="1"/>
      <c r="B387" s="11"/>
      <c r="AA387" s="37"/>
    </row>
    <row r="388" ht="18.75" customHeight="1">
      <c r="A388" s="1"/>
      <c r="B388" s="11"/>
      <c r="AA388" s="37"/>
    </row>
    <row r="389" ht="18.75" customHeight="1">
      <c r="A389" s="1"/>
      <c r="B389" s="11"/>
      <c r="AA389" s="37"/>
    </row>
    <row r="390" ht="18.75" customHeight="1">
      <c r="A390" s="1"/>
      <c r="B390" s="11"/>
      <c r="AA390" s="37"/>
    </row>
    <row r="391" ht="18.75" customHeight="1">
      <c r="A391" s="1"/>
      <c r="B391" s="11"/>
      <c r="AA391" s="37"/>
    </row>
    <row r="392" ht="18.75" customHeight="1">
      <c r="A392" s="1"/>
      <c r="B392" s="11"/>
      <c r="AA392" s="37"/>
    </row>
    <row r="393" ht="18.75" customHeight="1">
      <c r="A393" s="1"/>
      <c r="B393" s="11"/>
      <c r="AA393" s="37"/>
    </row>
    <row r="394" ht="18.75" customHeight="1">
      <c r="A394" s="1"/>
      <c r="B394" s="11"/>
      <c r="AA394" s="37"/>
    </row>
    <row r="395" ht="18.75" customHeight="1">
      <c r="A395" s="1"/>
      <c r="B395" s="11"/>
      <c r="AA395" s="37"/>
    </row>
    <row r="396" ht="18.75" customHeight="1">
      <c r="A396" s="1"/>
      <c r="B396" s="11"/>
      <c r="AA396" s="37"/>
    </row>
    <row r="397" ht="18.75" customHeight="1">
      <c r="A397" s="1"/>
      <c r="B397" s="11"/>
      <c r="AA397" s="37"/>
    </row>
    <row r="398" ht="18.75" customHeight="1">
      <c r="A398" s="1"/>
      <c r="B398" s="11"/>
      <c r="AA398" s="37"/>
    </row>
    <row r="399" ht="18.75" customHeight="1">
      <c r="A399" s="1"/>
      <c r="B399" s="11"/>
      <c r="AA399" s="37"/>
    </row>
    <row r="400" ht="18.75" customHeight="1">
      <c r="A400" s="1"/>
      <c r="B400" s="11"/>
      <c r="AA400" s="37"/>
    </row>
    <row r="401" ht="18.75" customHeight="1">
      <c r="A401" s="1"/>
      <c r="B401" s="11"/>
      <c r="AA401" s="37"/>
    </row>
    <row r="402" ht="18.75" customHeight="1">
      <c r="A402" s="1"/>
      <c r="B402" s="11"/>
      <c r="AA402" s="37"/>
    </row>
    <row r="403" ht="18.75" customHeight="1">
      <c r="A403" s="1"/>
      <c r="B403" s="11"/>
      <c r="AA403" s="37"/>
    </row>
    <row r="404" ht="18.75" customHeight="1">
      <c r="A404" s="1"/>
      <c r="B404" s="11"/>
      <c r="AA404" s="37"/>
    </row>
    <row r="405" ht="18.75" customHeight="1">
      <c r="A405" s="1"/>
      <c r="B405" s="11"/>
      <c r="AA405" s="37"/>
    </row>
    <row r="406" ht="18.75" customHeight="1">
      <c r="A406" s="1"/>
      <c r="B406" s="11"/>
      <c r="AA406" s="37"/>
    </row>
    <row r="407" ht="18.75" customHeight="1">
      <c r="A407" s="1"/>
      <c r="B407" s="11"/>
      <c r="AA407" s="37"/>
    </row>
    <row r="408" ht="18.75" customHeight="1">
      <c r="A408" s="1"/>
      <c r="B408" s="11"/>
      <c r="AA408" s="37"/>
    </row>
    <row r="409" ht="18.75" customHeight="1">
      <c r="A409" s="1"/>
      <c r="B409" s="11"/>
      <c r="AA409" s="37"/>
    </row>
    <row r="410" ht="18.75" customHeight="1">
      <c r="A410" s="1"/>
      <c r="B410" s="11"/>
      <c r="AA410" s="37"/>
    </row>
    <row r="411" ht="18.75" customHeight="1">
      <c r="A411" s="1"/>
      <c r="B411" s="11"/>
      <c r="AA411" s="37"/>
    </row>
    <row r="412" ht="18.75" customHeight="1">
      <c r="A412" s="1"/>
      <c r="B412" s="11"/>
      <c r="AA412" s="37"/>
    </row>
    <row r="413" ht="18.75" customHeight="1">
      <c r="A413" s="1"/>
      <c r="B413" s="11"/>
      <c r="AA413" s="37"/>
    </row>
    <row r="414" ht="18.75" customHeight="1">
      <c r="A414" s="1"/>
      <c r="B414" s="11"/>
      <c r="AA414" s="37"/>
    </row>
    <row r="415" ht="18.75" customHeight="1">
      <c r="A415" s="1"/>
      <c r="B415" s="11"/>
      <c r="AA415" s="37"/>
    </row>
    <row r="416" ht="18.75" customHeight="1">
      <c r="A416" s="1"/>
      <c r="B416" s="11"/>
      <c r="AA416" s="37"/>
    </row>
    <row r="417" ht="18.75" customHeight="1">
      <c r="A417" s="1"/>
      <c r="B417" s="11"/>
      <c r="AA417" s="37"/>
    </row>
    <row r="418" ht="18.75" customHeight="1">
      <c r="A418" s="1"/>
      <c r="B418" s="11"/>
      <c r="AA418" s="37"/>
    </row>
    <row r="419" ht="18.75" customHeight="1">
      <c r="A419" s="1"/>
      <c r="B419" s="11"/>
      <c r="AA419" s="37"/>
    </row>
    <row r="420" ht="18.75" customHeight="1">
      <c r="A420" s="1"/>
      <c r="B420" s="11"/>
      <c r="AA420" s="37"/>
    </row>
    <row r="421" ht="18.75" customHeight="1">
      <c r="A421" s="1"/>
      <c r="B421" s="11"/>
      <c r="AA421" s="37"/>
    </row>
    <row r="422" ht="18.75" customHeight="1">
      <c r="A422" s="1"/>
      <c r="B422" s="11"/>
      <c r="AA422" s="37"/>
    </row>
    <row r="423" ht="18.75" customHeight="1">
      <c r="A423" s="1"/>
      <c r="B423" s="11"/>
      <c r="AA423" s="37"/>
    </row>
    <row r="424" ht="18.75" customHeight="1">
      <c r="A424" s="1"/>
      <c r="B424" s="11"/>
      <c r="AA424" s="37"/>
    </row>
    <row r="425" ht="18.75" customHeight="1">
      <c r="A425" s="1"/>
      <c r="B425" s="11"/>
      <c r="AA425" s="37"/>
    </row>
    <row r="426" ht="18.75" customHeight="1">
      <c r="A426" s="1"/>
      <c r="B426" s="11"/>
      <c r="AA426" s="37"/>
    </row>
    <row r="427" ht="18.75" customHeight="1">
      <c r="A427" s="1"/>
      <c r="B427" s="11"/>
      <c r="AA427" s="37"/>
    </row>
    <row r="428" ht="18.75" customHeight="1">
      <c r="A428" s="1"/>
      <c r="B428" s="11"/>
      <c r="AA428" s="37"/>
    </row>
    <row r="429" ht="18.75" customHeight="1">
      <c r="A429" s="1"/>
      <c r="B429" s="11"/>
      <c r="AA429" s="37"/>
    </row>
    <row r="430" ht="18.75" customHeight="1">
      <c r="A430" s="1"/>
      <c r="B430" s="11"/>
      <c r="AA430" s="37"/>
    </row>
    <row r="431" ht="18.75" customHeight="1">
      <c r="A431" s="1"/>
      <c r="B431" s="11"/>
      <c r="AA431" s="37"/>
    </row>
    <row r="432" ht="18.75" customHeight="1">
      <c r="A432" s="1"/>
      <c r="B432" s="11"/>
      <c r="AA432" s="37"/>
    </row>
    <row r="433" ht="18.75" customHeight="1">
      <c r="A433" s="1"/>
      <c r="B433" s="11"/>
      <c r="AA433" s="37"/>
    </row>
    <row r="434" ht="18.75" customHeight="1">
      <c r="A434" s="1"/>
      <c r="B434" s="11"/>
      <c r="AA434" s="37"/>
    </row>
    <row r="435" ht="18.75" customHeight="1">
      <c r="A435" s="1"/>
      <c r="B435" s="11"/>
      <c r="AA435" s="37"/>
    </row>
    <row r="436" ht="18.75" customHeight="1">
      <c r="A436" s="1"/>
      <c r="B436" s="11"/>
      <c r="AA436" s="37"/>
    </row>
    <row r="437" ht="18.75" customHeight="1">
      <c r="A437" s="1"/>
      <c r="B437" s="11"/>
      <c r="AA437" s="37"/>
    </row>
    <row r="438" ht="18.75" customHeight="1">
      <c r="A438" s="1"/>
      <c r="B438" s="11"/>
      <c r="AA438" s="37"/>
    </row>
    <row r="439" ht="18.75" customHeight="1">
      <c r="A439" s="1"/>
      <c r="B439" s="11"/>
      <c r="AA439" s="37"/>
    </row>
    <row r="440" ht="18.75" customHeight="1">
      <c r="A440" s="1"/>
      <c r="B440" s="11"/>
      <c r="AA440" s="37"/>
    </row>
    <row r="441" ht="18.75" customHeight="1">
      <c r="A441" s="1"/>
      <c r="B441" s="11"/>
      <c r="AA441" s="37"/>
    </row>
    <row r="442" ht="18.75" customHeight="1">
      <c r="A442" s="1"/>
      <c r="B442" s="11"/>
      <c r="AA442" s="37"/>
    </row>
    <row r="443" ht="18.75" customHeight="1">
      <c r="A443" s="1"/>
      <c r="B443" s="11"/>
      <c r="AA443" s="37"/>
    </row>
    <row r="444" ht="18.75" customHeight="1">
      <c r="A444" s="1"/>
      <c r="B444" s="11"/>
      <c r="AA444" s="37"/>
    </row>
    <row r="445" ht="18.75" customHeight="1">
      <c r="A445" s="1"/>
      <c r="B445" s="11"/>
      <c r="AA445" s="37"/>
    </row>
    <row r="446" ht="18.75" customHeight="1">
      <c r="A446" s="1"/>
      <c r="B446" s="11"/>
      <c r="AA446" s="37"/>
    </row>
    <row r="447" ht="18.75" customHeight="1">
      <c r="A447" s="1"/>
      <c r="B447" s="11"/>
      <c r="AA447" s="37"/>
    </row>
    <row r="448" ht="18.75" customHeight="1">
      <c r="A448" s="1"/>
      <c r="B448" s="11"/>
      <c r="AA448" s="37"/>
    </row>
    <row r="449" ht="18.75" customHeight="1">
      <c r="A449" s="1"/>
      <c r="B449" s="11"/>
      <c r="AA449" s="37"/>
    </row>
    <row r="450" ht="18.75" customHeight="1">
      <c r="A450" s="1"/>
      <c r="B450" s="11"/>
      <c r="AA450" s="37"/>
    </row>
    <row r="451" ht="18.75" customHeight="1">
      <c r="A451" s="1"/>
      <c r="B451" s="11"/>
      <c r="AA451" s="37"/>
    </row>
    <row r="452" ht="18.75" customHeight="1">
      <c r="A452" s="1"/>
      <c r="B452" s="11"/>
      <c r="AA452" s="37"/>
    </row>
    <row r="453" ht="18.75" customHeight="1">
      <c r="A453" s="1"/>
      <c r="B453" s="11"/>
      <c r="AA453" s="37"/>
    </row>
    <row r="454" ht="18.75" customHeight="1">
      <c r="A454" s="1"/>
      <c r="B454" s="11"/>
      <c r="AA454" s="37"/>
    </row>
    <row r="455" ht="18.75" customHeight="1">
      <c r="A455" s="1"/>
      <c r="B455" s="11"/>
      <c r="AA455" s="37"/>
    </row>
    <row r="456" ht="18.75" customHeight="1">
      <c r="A456" s="1"/>
      <c r="B456" s="11"/>
      <c r="AA456" s="37"/>
    </row>
    <row r="457" ht="18.75" customHeight="1">
      <c r="A457" s="1"/>
      <c r="B457" s="11"/>
      <c r="AA457" s="37"/>
    </row>
    <row r="458" ht="18.75" customHeight="1">
      <c r="A458" s="1"/>
      <c r="B458" s="11"/>
      <c r="AA458" s="37"/>
    </row>
    <row r="459" ht="18.75" customHeight="1">
      <c r="A459" s="1"/>
      <c r="B459" s="11"/>
      <c r="AA459" s="37"/>
    </row>
    <row r="460" ht="18.75" customHeight="1">
      <c r="A460" s="1"/>
      <c r="B460" s="11"/>
      <c r="AA460" s="37"/>
    </row>
    <row r="461" ht="18.75" customHeight="1">
      <c r="A461" s="1"/>
      <c r="B461" s="11"/>
      <c r="AA461" s="37"/>
    </row>
    <row r="462" ht="18.75" customHeight="1">
      <c r="A462" s="1"/>
      <c r="B462" s="11"/>
      <c r="AA462" s="37"/>
    </row>
    <row r="463" ht="18.75" customHeight="1">
      <c r="A463" s="1"/>
      <c r="B463" s="11"/>
      <c r="AA463" s="37"/>
    </row>
    <row r="464" ht="18.75" customHeight="1">
      <c r="A464" s="1"/>
      <c r="B464" s="11"/>
      <c r="AA464" s="37"/>
    </row>
    <row r="465" ht="18.75" customHeight="1">
      <c r="A465" s="1"/>
      <c r="B465" s="11"/>
      <c r="AA465" s="37"/>
    </row>
    <row r="466" ht="18.75" customHeight="1">
      <c r="A466" s="1"/>
      <c r="B466" s="11"/>
      <c r="AA466" s="37"/>
    </row>
    <row r="467" ht="18.75" customHeight="1">
      <c r="A467" s="1"/>
      <c r="B467" s="11"/>
      <c r="AA467" s="37"/>
    </row>
    <row r="468" ht="18.75" customHeight="1">
      <c r="A468" s="1"/>
      <c r="B468" s="11"/>
      <c r="AA468" s="37"/>
    </row>
    <row r="469" ht="18.75" customHeight="1">
      <c r="A469" s="1"/>
      <c r="B469" s="11"/>
      <c r="AA469" s="37"/>
    </row>
    <row r="470" ht="18.75" customHeight="1">
      <c r="A470" s="1"/>
      <c r="B470" s="11"/>
      <c r="AA470" s="37"/>
    </row>
    <row r="471" ht="18.75" customHeight="1">
      <c r="A471" s="1"/>
      <c r="B471" s="11"/>
      <c r="AA471" s="37"/>
    </row>
    <row r="472" ht="18.75" customHeight="1">
      <c r="A472" s="1"/>
      <c r="B472" s="11"/>
      <c r="AA472" s="37"/>
    </row>
    <row r="473" ht="18.75" customHeight="1">
      <c r="A473" s="1"/>
      <c r="B473" s="11"/>
      <c r="AA473" s="37"/>
    </row>
    <row r="474" ht="18.75" customHeight="1">
      <c r="A474" s="1"/>
      <c r="B474" s="11"/>
      <c r="AA474" s="37"/>
    </row>
    <row r="475" ht="18.75" customHeight="1">
      <c r="A475" s="1"/>
      <c r="B475" s="11"/>
      <c r="AA475" s="37"/>
    </row>
    <row r="476" ht="18.75" customHeight="1">
      <c r="A476" s="1"/>
      <c r="B476" s="11"/>
      <c r="AA476" s="37"/>
    </row>
    <row r="477" ht="18.75" customHeight="1">
      <c r="A477" s="1"/>
      <c r="B477" s="11"/>
      <c r="AA477" s="37"/>
    </row>
    <row r="478" ht="18.75" customHeight="1">
      <c r="A478" s="1"/>
      <c r="B478" s="11"/>
      <c r="AA478" s="37"/>
    </row>
    <row r="479" ht="18.75" customHeight="1">
      <c r="A479" s="1"/>
      <c r="B479" s="11"/>
      <c r="AA479" s="37"/>
    </row>
    <row r="480" ht="18.75" customHeight="1">
      <c r="A480" s="1"/>
      <c r="B480" s="11"/>
      <c r="AA480" s="37"/>
    </row>
    <row r="481" ht="18.75" customHeight="1">
      <c r="A481" s="1"/>
      <c r="B481" s="11"/>
      <c r="AA481" s="37"/>
    </row>
    <row r="482" ht="18.75" customHeight="1">
      <c r="A482" s="1"/>
      <c r="B482" s="11"/>
      <c r="AA482" s="37"/>
    </row>
    <row r="483" ht="18.75" customHeight="1">
      <c r="A483" s="1"/>
      <c r="B483" s="11"/>
      <c r="AA483" s="37"/>
    </row>
    <row r="484" ht="18.75" customHeight="1">
      <c r="A484" s="1"/>
      <c r="B484" s="11"/>
      <c r="AA484" s="37"/>
    </row>
    <row r="485" ht="18.75" customHeight="1">
      <c r="A485" s="1"/>
      <c r="B485" s="11"/>
      <c r="AA485" s="37"/>
    </row>
    <row r="486" ht="18.75" customHeight="1">
      <c r="A486" s="1"/>
      <c r="B486" s="11"/>
      <c r="AA486" s="37"/>
    </row>
    <row r="487" ht="18.75" customHeight="1">
      <c r="A487" s="1"/>
      <c r="B487" s="11"/>
      <c r="AA487" s="37"/>
    </row>
    <row r="488" ht="18.75" customHeight="1">
      <c r="A488" s="1"/>
      <c r="B488" s="11"/>
      <c r="AA488" s="37"/>
    </row>
    <row r="489" ht="18.75" customHeight="1">
      <c r="A489" s="1"/>
      <c r="B489" s="11"/>
      <c r="AA489" s="37"/>
    </row>
    <row r="490" ht="18.75" customHeight="1">
      <c r="A490" s="1"/>
      <c r="B490" s="11"/>
      <c r="AA490" s="37"/>
    </row>
    <row r="491" ht="18.75" customHeight="1">
      <c r="A491" s="1"/>
      <c r="B491" s="11"/>
      <c r="AA491" s="37"/>
    </row>
    <row r="492" ht="18.75" customHeight="1">
      <c r="A492" s="1"/>
      <c r="B492" s="11"/>
      <c r="AA492" s="37"/>
    </row>
    <row r="493" ht="18.75" customHeight="1">
      <c r="A493" s="1"/>
      <c r="B493" s="11"/>
      <c r="AA493" s="37"/>
    </row>
    <row r="494" ht="18.75" customHeight="1">
      <c r="A494" s="1"/>
      <c r="B494" s="11"/>
      <c r="AA494" s="37"/>
    </row>
    <row r="495" ht="18.75" customHeight="1">
      <c r="A495" s="1"/>
      <c r="B495" s="11"/>
      <c r="AA495" s="37"/>
    </row>
    <row r="496" ht="18.75" customHeight="1">
      <c r="A496" s="1"/>
      <c r="B496" s="11"/>
      <c r="AA496" s="37"/>
    </row>
    <row r="497" ht="18.75" customHeight="1">
      <c r="A497" s="1"/>
      <c r="B497" s="11"/>
      <c r="AA497" s="37"/>
    </row>
    <row r="498" ht="18.75" customHeight="1">
      <c r="A498" s="1"/>
      <c r="B498" s="11"/>
      <c r="AA498" s="37"/>
    </row>
    <row r="499" ht="18.75" customHeight="1">
      <c r="A499" s="1"/>
      <c r="B499" s="11"/>
      <c r="AA499" s="37"/>
    </row>
    <row r="500" ht="18.75" customHeight="1">
      <c r="A500" s="1"/>
      <c r="B500" s="11"/>
      <c r="AA500" s="37"/>
    </row>
    <row r="501" ht="18.75" customHeight="1">
      <c r="A501" s="1"/>
      <c r="B501" s="11"/>
      <c r="AA501" s="37"/>
    </row>
    <row r="502" ht="18.75" customHeight="1">
      <c r="A502" s="1"/>
      <c r="B502" s="11"/>
      <c r="AA502" s="37"/>
    </row>
    <row r="503" ht="18.75" customHeight="1">
      <c r="A503" s="1"/>
      <c r="B503" s="11"/>
      <c r="AA503" s="37"/>
    </row>
    <row r="504" ht="18.75" customHeight="1">
      <c r="A504" s="1"/>
      <c r="B504" s="11"/>
      <c r="AA504" s="37"/>
    </row>
    <row r="505" ht="18.75" customHeight="1">
      <c r="A505" s="1"/>
      <c r="B505" s="11"/>
      <c r="AA505" s="37"/>
    </row>
    <row r="506" ht="18.75" customHeight="1">
      <c r="A506" s="1"/>
      <c r="B506" s="11"/>
      <c r="AA506" s="37"/>
    </row>
    <row r="507" ht="18.75" customHeight="1">
      <c r="A507" s="1"/>
      <c r="B507" s="11"/>
      <c r="AA507" s="37"/>
    </row>
    <row r="508" ht="18.75" customHeight="1">
      <c r="A508" s="1"/>
      <c r="B508" s="11"/>
      <c r="AA508" s="37"/>
    </row>
    <row r="509" ht="18.75" customHeight="1">
      <c r="A509" s="1"/>
      <c r="B509" s="11"/>
      <c r="AA509" s="37"/>
    </row>
    <row r="510" ht="18.75" customHeight="1">
      <c r="A510" s="1"/>
      <c r="B510" s="11"/>
      <c r="AA510" s="37"/>
    </row>
    <row r="511" ht="18.75" customHeight="1">
      <c r="A511" s="1"/>
      <c r="B511" s="11"/>
      <c r="AA511" s="37"/>
    </row>
    <row r="512" ht="18.75" customHeight="1">
      <c r="A512" s="1"/>
      <c r="B512" s="11"/>
      <c r="AA512" s="37"/>
    </row>
    <row r="513" ht="18.75" customHeight="1">
      <c r="A513" s="1"/>
      <c r="B513" s="11"/>
      <c r="AA513" s="37"/>
    </row>
    <row r="514" ht="18.75" customHeight="1">
      <c r="A514" s="1"/>
      <c r="B514" s="11"/>
      <c r="AA514" s="37"/>
    </row>
    <row r="515" ht="18.75" customHeight="1">
      <c r="A515" s="1"/>
      <c r="B515" s="11"/>
      <c r="AA515" s="37"/>
    </row>
    <row r="516" ht="18.75" customHeight="1">
      <c r="A516" s="1"/>
      <c r="B516" s="11"/>
      <c r="AA516" s="37"/>
    </row>
    <row r="517" ht="18.75" customHeight="1">
      <c r="A517" s="1"/>
      <c r="B517" s="11"/>
      <c r="AA517" s="37"/>
    </row>
    <row r="518" ht="18.75" customHeight="1">
      <c r="A518" s="1"/>
      <c r="B518" s="11"/>
      <c r="AA518" s="37"/>
    </row>
    <row r="519" ht="18.75" customHeight="1">
      <c r="A519" s="1"/>
      <c r="B519" s="11"/>
      <c r="AA519" s="37"/>
    </row>
    <row r="520" ht="18.75" customHeight="1">
      <c r="A520" s="1"/>
      <c r="B520" s="11"/>
      <c r="AA520" s="37"/>
    </row>
    <row r="521" ht="18.75" customHeight="1">
      <c r="A521" s="1"/>
      <c r="B521" s="11"/>
      <c r="AA521" s="37"/>
    </row>
    <row r="522" ht="18.75" customHeight="1">
      <c r="A522" s="1"/>
      <c r="B522" s="11"/>
      <c r="AA522" s="37"/>
    </row>
    <row r="523" ht="18.75" customHeight="1">
      <c r="A523" s="1"/>
      <c r="B523" s="11"/>
      <c r="AA523" s="37"/>
    </row>
    <row r="524" ht="18.75" customHeight="1">
      <c r="A524" s="1"/>
      <c r="B524" s="11"/>
      <c r="AA524" s="37"/>
    </row>
    <row r="525" ht="18.75" customHeight="1">
      <c r="A525" s="1"/>
      <c r="B525" s="11"/>
      <c r="AA525" s="37"/>
    </row>
    <row r="526" ht="18.75" customHeight="1">
      <c r="A526" s="1"/>
      <c r="B526" s="11"/>
      <c r="AA526" s="37"/>
    </row>
    <row r="527" ht="18.75" customHeight="1">
      <c r="A527" s="1"/>
      <c r="B527" s="11"/>
      <c r="AA527" s="37"/>
    </row>
    <row r="528" ht="18.75" customHeight="1">
      <c r="A528" s="1"/>
      <c r="B528" s="11"/>
      <c r="AA528" s="37"/>
    </row>
    <row r="529" ht="18.75" customHeight="1">
      <c r="A529" s="1"/>
      <c r="B529" s="11"/>
      <c r="AA529" s="37"/>
    </row>
    <row r="530" ht="18.75" customHeight="1">
      <c r="A530" s="1"/>
      <c r="B530" s="11"/>
      <c r="AA530" s="37"/>
    </row>
    <row r="531" ht="18.75" customHeight="1">
      <c r="A531" s="1"/>
      <c r="B531" s="11"/>
      <c r="AA531" s="37"/>
    </row>
    <row r="532" ht="18.75" customHeight="1">
      <c r="A532" s="1"/>
      <c r="B532" s="11"/>
      <c r="AA532" s="37"/>
    </row>
    <row r="533" ht="18.75" customHeight="1">
      <c r="A533" s="1"/>
      <c r="B533" s="11"/>
      <c r="AA533" s="37"/>
    </row>
    <row r="534" ht="18.75" customHeight="1">
      <c r="A534" s="1"/>
      <c r="B534" s="11"/>
      <c r="AA534" s="37"/>
    </row>
    <row r="535" ht="18.75" customHeight="1">
      <c r="A535" s="1"/>
      <c r="B535" s="11"/>
      <c r="AA535" s="37"/>
    </row>
    <row r="536" ht="18.75" customHeight="1">
      <c r="A536" s="1"/>
      <c r="B536" s="11"/>
      <c r="AA536" s="37"/>
    </row>
    <row r="537" ht="18.75" customHeight="1">
      <c r="A537" s="1"/>
      <c r="B537" s="11"/>
      <c r="AA537" s="37"/>
    </row>
    <row r="538" ht="18.75" customHeight="1">
      <c r="A538" s="1"/>
      <c r="B538" s="11"/>
      <c r="AA538" s="37"/>
    </row>
    <row r="539" ht="18.75" customHeight="1">
      <c r="A539" s="1"/>
      <c r="B539" s="11"/>
      <c r="AA539" s="37"/>
    </row>
    <row r="540" ht="18.75" customHeight="1">
      <c r="A540" s="1"/>
      <c r="B540" s="11"/>
      <c r="AA540" s="37"/>
    </row>
    <row r="541" ht="18.75" customHeight="1">
      <c r="A541" s="1"/>
      <c r="B541" s="11"/>
      <c r="AA541" s="37"/>
    </row>
    <row r="542" ht="18.75" customHeight="1">
      <c r="A542" s="1"/>
      <c r="B542" s="11"/>
      <c r="AA542" s="37"/>
    </row>
    <row r="543" ht="18.75" customHeight="1">
      <c r="A543" s="1"/>
      <c r="B543" s="11"/>
      <c r="AA543" s="37"/>
    </row>
    <row r="544" ht="18.75" customHeight="1">
      <c r="A544" s="1"/>
      <c r="B544" s="11"/>
      <c r="AA544" s="37"/>
    </row>
    <row r="545" ht="18.75" customHeight="1">
      <c r="A545" s="1"/>
      <c r="B545" s="11"/>
      <c r="AA545" s="37"/>
    </row>
    <row r="546" ht="18.75" customHeight="1">
      <c r="A546" s="1"/>
      <c r="B546" s="11"/>
      <c r="AA546" s="37"/>
    </row>
    <row r="547" ht="18.75" customHeight="1">
      <c r="A547" s="1"/>
      <c r="B547" s="11"/>
      <c r="AA547" s="37"/>
    </row>
    <row r="548" ht="18.75" customHeight="1">
      <c r="A548" s="1"/>
      <c r="B548" s="11"/>
      <c r="AA548" s="37"/>
    </row>
    <row r="549" ht="18.75" customHeight="1">
      <c r="A549" s="1"/>
      <c r="B549" s="11"/>
      <c r="AA549" s="37"/>
    </row>
    <row r="550" ht="18.75" customHeight="1">
      <c r="A550" s="1"/>
      <c r="B550" s="11"/>
      <c r="AA550" s="37"/>
    </row>
    <row r="551" ht="18.75" customHeight="1">
      <c r="A551" s="1"/>
      <c r="B551" s="11"/>
      <c r="AA551" s="37"/>
    </row>
    <row r="552" ht="18.75" customHeight="1">
      <c r="A552" s="1"/>
      <c r="B552" s="11"/>
      <c r="AA552" s="37"/>
    </row>
    <row r="553" ht="18.75" customHeight="1">
      <c r="A553" s="1"/>
      <c r="B553" s="11"/>
      <c r="AA553" s="37"/>
    </row>
    <row r="554" ht="18.75" customHeight="1">
      <c r="A554" s="1"/>
      <c r="B554" s="11"/>
      <c r="AA554" s="37"/>
    </row>
    <row r="555" ht="18.75" customHeight="1">
      <c r="A555" s="1"/>
      <c r="B555" s="11"/>
      <c r="AA555" s="37"/>
    </row>
    <row r="556" ht="18.75" customHeight="1">
      <c r="A556" s="1"/>
      <c r="B556" s="11"/>
      <c r="AA556" s="37"/>
    </row>
    <row r="557" ht="18.75" customHeight="1">
      <c r="A557" s="1"/>
      <c r="B557" s="11"/>
      <c r="AA557" s="37"/>
    </row>
    <row r="558" ht="18.75" customHeight="1">
      <c r="A558" s="1"/>
      <c r="B558" s="11"/>
      <c r="AA558" s="37"/>
    </row>
    <row r="559" ht="18.75" customHeight="1">
      <c r="A559" s="1"/>
      <c r="B559" s="11"/>
      <c r="AA559" s="37"/>
    </row>
    <row r="560" ht="18.75" customHeight="1">
      <c r="A560" s="1"/>
      <c r="B560" s="11"/>
      <c r="AA560" s="37"/>
    </row>
    <row r="561" ht="18.75" customHeight="1">
      <c r="A561" s="1"/>
      <c r="B561" s="11"/>
      <c r="AA561" s="37"/>
    </row>
    <row r="562" ht="18.75" customHeight="1">
      <c r="A562" s="1"/>
      <c r="B562" s="11"/>
      <c r="AA562" s="37"/>
    </row>
    <row r="563" ht="18.75" customHeight="1">
      <c r="A563" s="1"/>
      <c r="B563" s="11"/>
      <c r="AA563" s="37"/>
    </row>
    <row r="564" ht="18.75" customHeight="1">
      <c r="A564" s="1"/>
      <c r="B564" s="11"/>
      <c r="AA564" s="37"/>
    </row>
    <row r="565" ht="18.75" customHeight="1">
      <c r="A565" s="1"/>
      <c r="B565" s="11"/>
      <c r="AA565" s="37"/>
    </row>
    <row r="566" ht="18.75" customHeight="1">
      <c r="A566" s="1"/>
      <c r="B566" s="11"/>
      <c r="AA566" s="37"/>
    </row>
    <row r="567" ht="18.75" customHeight="1">
      <c r="A567" s="1"/>
      <c r="B567" s="11"/>
      <c r="AA567" s="37"/>
    </row>
    <row r="568" ht="18.75" customHeight="1">
      <c r="A568" s="1"/>
      <c r="B568" s="11"/>
      <c r="AA568" s="37"/>
    </row>
    <row r="569" ht="18.75" customHeight="1">
      <c r="A569" s="1"/>
      <c r="B569" s="11"/>
      <c r="AA569" s="37"/>
    </row>
    <row r="570" ht="18.75" customHeight="1">
      <c r="A570" s="1"/>
      <c r="B570" s="11"/>
      <c r="AA570" s="37"/>
    </row>
    <row r="571" ht="18.75" customHeight="1">
      <c r="A571" s="1"/>
      <c r="B571" s="11"/>
      <c r="AA571" s="37"/>
    </row>
    <row r="572" ht="18.75" customHeight="1">
      <c r="A572" s="1"/>
      <c r="B572" s="11"/>
      <c r="AA572" s="37"/>
    </row>
    <row r="573" ht="18.75" customHeight="1">
      <c r="A573" s="1"/>
      <c r="B573" s="11"/>
      <c r="AA573" s="37"/>
    </row>
    <row r="574" ht="18.75" customHeight="1">
      <c r="A574" s="1"/>
      <c r="B574" s="11"/>
      <c r="AA574" s="37"/>
    </row>
    <row r="575" ht="18.75" customHeight="1">
      <c r="A575" s="1"/>
      <c r="B575" s="11"/>
      <c r="AA575" s="37"/>
    </row>
    <row r="576" ht="18.75" customHeight="1">
      <c r="A576" s="1"/>
      <c r="B576" s="11"/>
      <c r="AA576" s="37"/>
    </row>
    <row r="577" ht="18.75" customHeight="1">
      <c r="A577" s="1"/>
      <c r="B577" s="11"/>
      <c r="AA577" s="37"/>
    </row>
    <row r="578" ht="18.75" customHeight="1">
      <c r="A578" s="1"/>
      <c r="B578" s="11"/>
      <c r="AA578" s="37"/>
    </row>
    <row r="579" ht="18.75" customHeight="1">
      <c r="A579" s="1"/>
      <c r="B579" s="11"/>
      <c r="AA579" s="37"/>
    </row>
    <row r="580" ht="18.75" customHeight="1">
      <c r="A580" s="1"/>
      <c r="B580" s="11"/>
      <c r="AA580" s="37"/>
    </row>
    <row r="581" ht="18.75" customHeight="1">
      <c r="A581" s="1"/>
      <c r="B581" s="11"/>
      <c r="AA581" s="37"/>
    </row>
    <row r="582" ht="18.75" customHeight="1">
      <c r="A582" s="1"/>
      <c r="B582" s="11"/>
      <c r="AA582" s="37"/>
    </row>
    <row r="583" ht="18.75" customHeight="1">
      <c r="A583" s="1"/>
      <c r="B583" s="11"/>
      <c r="AA583" s="37"/>
    </row>
    <row r="584" ht="18.75" customHeight="1">
      <c r="A584" s="1"/>
      <c r="B584" s="11"/>
      <c r="AA584" s="37"/>
    </row>
    <row r="585" ht="18.75" customHeight="1">
      <c r="A585" s="1"/>
      <c r="B585" s="11"/>
      <c r="AA585" s="37"/>
    </row>
    <row r="586" ht="18.75" customHeight="1">
      <c r="A586" s="1"/>
      <c r="B586" s="11"/>
      <c r="AA586" s="37"/>
    </row>
    <row r="587" ht="18.75" customHeight="1">
      <c r="A587" s="1"/>
      <c r="B587" s="11"/>
      <c r="AA587" s="37"/>
    </row>
    <row r="588" ht="18.75" customHeight="1">
      <c r="A588" s="1"/>
      <c r="B588" s="11"/>
      <c r="AA588" s="37"/>
    </row>
    <row r="589" ht="18.75" customHeight="1">
      <c r="A589" s="1"/>
      <c r="B589" s="11"/>
      <c r="AA589" s="37"/>
    </row>
    <row r="590" ht="18.75" customHeight="1">
      <c r="A590" s="1"/>
      <c r="B590" s="11"/>
      <c r="AA590" s="37"/>
    </row>
    <row r="591" ht="18.75" customHeight="1">
      <c r="A591" s="1"/>
      <c r="B591" s="11"/>
      <c r="AA591" s="37"/>
    </row>
    <row r="592" ht="18.75" customHeight="1">
      <c r="A592" s="1"/>
      <c r="B592" s="11"/>
      <c r="AA592" s="37"/>
    </row>
    <row r="593" ht="18.75" customHeight="1">
      <c r="A593" s="1"/>
      <c r="B593" s="11"/>
      <c r="AA593" s="37"/>
    </row>
    <row r="594" ht="18.75" customHeight="1">
      <c r="A594" s="1"/>
      <c r="B594" s="11"/>
      <c r="AA594" s="37"/>
    </row>
    <row r="595" ht="18.75" customHeight="1">
      <c r="A595" s="1"/>
      <c r="B595" s="11"/>
      <c r="AA595" s="37"/>
    </row>
    <row r="596" ht="18.75" customHeight="1">
      <c r="A596" s="1"/>
      <c r="B596" s="11"/>
      <c r="AA596" s="37"/>
    </row>
    <row r="597" ht="18.75" customHeight="1">
      <c r="A597" s="1"/>
      <c r="B597" s="11"/>
      <c r="AA597" s="37"/>
    </row>
    <row r="598" ht="18.75" customHeight="1">
      <c r="A598" s="1"/>
      <c r="B598" s="11"/>
      <c r="AA598" s="37"/>
    </row>
    <row r="599" ht="18.75" customHeight="1">
      <c r="A599" s="1"/>
      <c r="B599" s="11"/>
      <c r="AA599" s="37"/>
    </row>
    <row r="600" ht="18.75" customHeight="1">
      <c r="A600" s="1"/>
      <c r="B600" s="11"/>
      <c r="AA600" s="37"/>
    </row>
    <row r="601" ht="18.75" customHeight="1">
      <c r="A601" s="1"/>
      <c r="B601" s="11"/>
      <c r="AA601" s="37"/>
    </row>
    <row r="602" ht="18.75" customHeight="1">
      <c r="A602" s="1"/>
      <c r="B602" s="11"/>
      <c r="AA602" s="37"/>
    </row>
    <row r="603" ht="18.75" customHeight="1">
      <c r="A603" s="1"/>
      <c r="B603" s="11"/>
      <c r="AA603" s="37"/>
    </row>
    <row r="604" ht="18.75" customHeight="1">
      <c r="A604" s="1"/>
      <c r="B604" s="11"/>
      <c r="AA604" s="37"/>
    </row>
    <row r="605" ht="18.75" customHeight="1">
      <c r="A605" s="1"/>
      <c r="B605" s="11"/>
      <c r="AA605" s="37"/>
    </row>
    <row r="606" ht="18.75" customHeight="1">
      <c r="A606" s="1"/>
      <c r="B606" s="11"/>
      <c r="AA606" s="37"/>
    </row>
    <row r="607" ht="18.75" customHeight="1">
      <c r="A607" s="1"/>
      <c r="B607" s="11"/>
      <c r="AA607" s="37"/>
    </row>
    <row r="608" ht="18.75" customHeight="1">
      <c r="A608" s="1"/>
      <c r="B608" s="11"/>
      <c r="AA608" s="37"/>
    </row>
    <row r="609" ht="18.75" customHeight="1">
      <c r="A609" s="1"/>
      <c r="B609" s="11"/>
      <c r="AA609" s="37"/>
    </row>
    <row r="610" ht="18.75" customHeight="1">
      <c r="A610" s="1"/>
      <c r="B610" s="11"/>
      <c r="AA610" s="37"/>
    </row>
    <row r="611" ht="18.75" customHeight="1">
      <c r="A611" s="1"/>
      <c r="B611" s="11"/>
      <c r="AA611" s="37"/>
    </row>
    <row r="612" ht="18.75" customHeight="1">
      <c r="A612" s="1"/>
      <c r="B612" s="11"/>
      <c r="AA612" s="37"/>
    </row>
    <row r="613" ht="18.75" customHeight="1">
      <c r="A613" s="1"/>
      <c r="B613" s="11"/>
      <c r="AA613" s="37"/>
    </row>
    <row r="614" ht="18.75" customHeight="1">
      <c r="A614" s="1"/>
      <c r="B614" s="11"/>
      <c r="AA614" s="37"/>
    </row>
    <row r="615" ht="18.75" customHeight="1">
      <c r="A615" s="1"/>
      <c r="B615" s="11"/>
      <c r="AA615" s="37"/>
    </row>
    <row r="616" ht="18.75" customHeight="1">
      <c r="A616" s="1"/>
      <c r="B616" s="11"/>
      <c r="AA616" s="37"/>
    </row>
    <row r="617" ht="18.75" customHeight="1">
      <c r="A617" s="1"/>
      <c r="B617" s="11"/>
      <c r="AA617" s="37"/>
    </row>
    <row r="618" ht="18.75" customHeight="1">
      <c r="A618" s="1"/>
      <c r="B618" s="11"/>
      <c r="AA618" s="37"/>
    </row>
    <row r="619" ht="18.75" customHeight="1">
      <c r="A619" s="1"/>
      <c r="B619" s="11"/>
      <c r="AA619" s="37"/>
    </row>
    <row r="620" ht="18.75" customHeight="1">
      <c r="A620" s="1"/>
      <c r="B620" s="11"/>
      <c r="AA620" s="37"/>
    </row>
    <row r="621" ht="18.75" customHeight="1">
      <c r="A621" s="1"/>
      <c r="B621" s="11"/>
      <c r="AA621" s="37"/>
    </row>
    <row r="622" ht="18.75" customHeight="1">
      <c r="A622" s="1"/>
      <c r="B622" s="11"/>
      <c r="AA622" s="37"/>
    </row>
    <row r="623" ht="18.75" customHeight="1">
      <c r="A623" s="1"/>
      <c r="B623" s="11"/>
      <c r="AA623" s="37"/>
    </row>
    <row r="624" ht="18.75" customHeight="1">
      <c r="A624" s="1"/>
      <c r="B624" s="11"/>
      <c r="AA624" s="37"/>
    </row>
    <row r="625" ht="18.75" customHeight="1">
      <c r="A625" s="1"/>
      <c r="B625" s="11"/>
      <c r="AA625" s="37"/>
    </row>
    <row r="626" ht="18.75" customHeight="1">
      <c r="A626" s="1"/>
      <c r="B626" s="11"/>
      <c r="AA626" s="37"/>
    </row>
    <row r="627" ht="18.75" customHeight="1">
      <c r="A627" s="1"/>
      <c r="B627" s="11"/>
      <c r="AA627" s="37"/>
    </row>
    <row r="628" ht="18.75" customHeight="1">
      <c r="A628" s="1"/>
      <c r="B628" s="11"/>
      <c r="AA628" s="37"/>
    </row>
    <row r="629" ht="18.75" customHeight="1">
      <c r="A629" s="1"/>
      <c r="B629" s="11"/>
      <c r="AA629" s="37"/>
    </row>
    <row r="630" ht="18.75" customHeight="1">
      <c r="A630" s="1"/>
      <c r="B630" s="11"/>
      <c r="AA630" s="37"/>
    </row>
    <row r="631" ht="18.75" customHeight="1">
      <c r="A631" s="1"/>
      <c r="B631" s="11"/>
      <c r="AA631" s="37"/>
    </row>
    <row r="632" ht="18.75" customHeight="1">
      <c r="A632" s="1"/>
      <c r="B632" s="11"/>
      <c r="AA632" s="37"/>
    </row>
    <row r="633" ht="18.75" customHeight="1">
      <c r="A633" s="1"/>
      <c r="B633" s="11"/>
      <c r="AA633" s="37"/>
    </row>
    <row r="634" ht="18.75" customHeight="1">
      <c r="A634" s="1"/>
      <c r="B634" s="11"/>
      <c r="AA634" s="37"/>
    </row>
    <row r="635" ht="18.75" customHeight="1">
      <c r="A635" s="1"/>
      <c r="B635" s="11"/>
      <c r="AA635" s="37"/>
    </row>
    <row r="636" ht="18.75" customHeight="1">
      <c r="A636" s="1"/>
      <c r="B636" s="11"/>
      <c r="AA636" s="37"/>
    </row>
    <row r="637" ht="18.75" customHeight="1">
      <c r="A637" s="1"/>
      <c r="B637" s="11"/>
      <c r="AA637" s="37"/>
    </row>
    <row r="638" ht="18.75" customHeight="1">
      <c r="A638" s="1"/>
      <c r="B638" s="11"/>
      <c r="AA638" s="37"/>
    </row>
    <row r="639" ht="18.75" customHeight="1">
      <c r="A639" s="1"/>
      <c r="B639" s="11"/>
      <c r="AA639" s="37"/>
    </row>
    <row r="640" ht="18.75" customHeight="1">
      <c r="A640" s="1"/>
      <c r="B640" s="11"/>
      <c r="AA640" s="37"/>
    </row>
    <row r="641" ht="18.75" customHeight="1">
      <c r="A641" s="1"/>
      <c r="B641" s="11"/>
      <c r="AA641" s="37"/>
    </row>
    <row r="642" ht="18.75" customHeight="1">
      <c r="A642" s="1"/>
      <c r="B642" s="11"/>
      <c r="AA642" s="37"/>
    </row>
    <row r="643" ht="18.75" customHeight="1">
      <c r="A643" s="1"/>
      <c r="B643" s="11"/>
      <c r="AA643" s="37"/>
    </row>
    <row r="644" ht="18.75" customHeight="1">
      <c r="A644" s="1"/>
      <c r="B644" s="11"/>
      <c r="AA644" s="37"/>
    </row>
    <row r="645" ht="18.75" customHeight="1">
      <c r="A645" s="1"/>
      <c r="B645" s="11"/>
      <c r="AA645" s="37"/>
    </row>
    <row r="646" ht="18.75" customHeight="1">
      <c r="A646" s="1"/>
      <c r="B646" s="11"/>
      <c r="AA646" s="37"/>
    </row>
    <row r="647" ht="18.75" customHeight="1">
      <c r="A647" s="1"/>
      <c r="B647" s="11"/>
      <c r="AA647" s="37"/>
    </row>
    <row r="648" ht="18.75" customHeight="1">
      <c r="A648" s="1"/>
      <c r="B648" s="11"/>
      <c r="AA648" s="37"/>
    </row>
    <row r="649" ht="18.75" customHeight="1">
      <c r="A649" s="1"/>
      <c r="B649" s="11"/>
      <c r="AA649" s="37"/>
    </row>
    <row r="650" ht="18.75" customHeight="1">
      <c r="A650" s="1"/>
      <c r="B650" s="11"/>
      <c r="AA650" s="37"/>
    </row>
    <row r="651" ht="18.75" customHeight="1">
      <c r="A651" s="1"/>
      <c r="B651" s="11"/>
      <c r="AA651" s="37"/>
    </row>
    <row r="652" ht="18.75" customHeight="1">
      <c r="A652" s="1"/>
      <c r="B652" s="11"/>
      <c r="AA652" s="37"/>
    </row>
    <row r="653" ht="18.75" customHeight="1">
      <c r="A653" s="1"/>
      <c r="B653" s="11"/>
      <c r="AA653" s="37"/>
    </row>
    <row r="654" ht="18.75" customHeight="1">
      <c r="A654" s="1"/>
      <c r="B654" s="11"/>
      <c r="AA654" s="37"/>
    </row>
    <row r="655" ht="18.75" customHeight="1">
      <c r="A655" s="1"/>
      <c r="B655" s="11"/>
      <c r="AA655" s="37"/>
    </row>
    <row r="656" ht="18.75" customHeight="1">
      <c r="A656" s="1"/>
      <c r="B656" s="11"/>
      <c r="AA656" s="37"/>
    </row>
    <row r="657" ht="18.75" customHeight="1">
      <c r="A657" s="1"/>
      <c r="B657" s="11"/>
      <c r="AA657" s="37"/>
    </row>
    <row r="658" ht="18.75" customHeight="1">
      <c r="A658" s="1"/>
      <c r="B658" s="11"/>
      <c r="AA658" s="37"/>
    </row>
    <row r="659" ht="18.75" customHeight="1">
      <c r="A659" s="1"/>
      <c r="B659" s="11"/>
      <c r="AA659" s="37"/>
    </row>
    <row r="660" ht="18.75" customHeight="1">
      <c r="A660" s="1"/>
      <c r="B660" s="11"/>
      <c r="AA660" s="37"/>
    </row>
    <row r="661" ht="18.75" customHeight="1">
      <c r="A661" s="1"/>
      <c r="B661" s="11"/>
      <c r="AA661" s="37"/>
    </row>
    <row r="662" ht="18.75" customHeight="1">
      <c r="A662" s="1"/>
      <c r="B662" s="11"/>
      <c r="AA662" s="37"/>
    </row>
    <row r="663" ht="18.75" customHeight="1">
      <c r="A663" s="1"/>
      <c r="B663" s="11"/>
      <c r="AA663" s="37"/>
    </row>
    <row r="664" ht="18.75" customHeight="1">
      <c r="A664" s="1"/>
      <c r="B664" s="11"/>
      <c r="AA664" s="37"/>
    </row>
    <row r="665" ht="18.75" customHeight="1">
      <c r="A665" s="1"/>
      <c r="B665" s="11"/>
      <c r="AA665" s="37"/>
    </row>
    <row r="666" ht="18.75" customHeight="1">
      <c r="A666" s="1"/>
      <c r="B666" s="11"/>
      <c r="AA666" s="37"/>
    </row>
    <row r="667" ht="18.75" customHeight="1">
      <c r="A667" s="1"/>
      <c r="B667" s="11"/>
      <c r="AA667" s="37"/>
    </row>
    <row r="668" ht="18.75" customHeight="1">
      <c r="A668" s="1"/>
      <c r="B668" s="11"/>
      <c r="AA668" s="37"/>
    </row>
    <row r="669" ht="18.75" customHeight="1">
      <c r="A669" s="1"/>
      <c r="B669" s="11"/>
      <c r="AA669" s="37"/>
    </row>
    <row r="670" ht="18.75" customHeight="1">
      <c r="A670" s="1"/>
      <c r="B670" s="11"/>
      <c r="AA670" s="37"/>
    </row>
    <row r="671" ht="18.75" customHeight="1">
      <c r="A671" s="1"/>
      <c r="B671" s="11"/>
      <c r="AA671" s="37"/>
    </row>
    <row r="672" ht="18.75" customHeight="1">
      <c r="A672" s="1"/>
      <c r="B672" s="11"/>
      <c r="AA672" s="37"/>
    </row>
    <row r="673" ht="18.75" customHeight="1">
      <c r="A673" s="1"/>
      <c r="B673" s="11"/>
      <c r="AA673" s="37"/>
    </row>
    <row r="674" ht="18.75" customHeight="1">
      <c r="A674" s="1"/>
      <c r="B674" s="11"/>
      <c r="AA674" s="37"/>
    </row>
    <row r="675" ht="18.75" customHeight="1">
      <c r="A675" s="1"/>
      <c r="B675" s="11"/>
      <c r="AA675" s="37"/>
    </row>
    <row r="676" ht="18.75" customHeight="1">
      <c r="A676" s="1"/>
      <c r="B676" s="11"/>
      <c r="AA676" s="37"/>
    </row>
    <row r="677" ht="18.75" customHeight="1">
      <c r="A677" s="1"/>
      <c r="B677" s="11"/>
      <c r="AA677" s="37"/>
    </row>
    <row r="678" ht="18.75" customHeight="1">
      <c r="A678" s="1"/>
      <c r="B678" s="11"/>
      <c r="AA678" s="37"/>
    </row>
    <row r="679" ht="18.75" customHeight="1">
      <c r="A679" s="1"/>
      <c r="B679" s="11"/>
      <c r="AA679" s="37"/>
    </row>
    <row r="680" ht="18.75" customHeight="1">
      <c r="A680" s="1"/>
      <c r="B680" s="11"/>
      <c r="AA680" s="37"/>
    </row>
    <row r="681" ht="18.75" customHeight="1">
      <c r="A681" s="1"/>
      <c r="B681" s="11"/>
      <c r="AA681" s="37"/>
    </row>
    <row r="682" ht="18.75" customHeight="1">
      <c r="A682" s="1"/>
      <c r="B682" s="11"/>
      <c r="AA682" s="37"/>
    </row>
    <row r="683" ht="18.75" customHeight="1">
      <c r="A683" s="1"/>
      <c r="B683" s="11"/>
      <c r="AA683" s="37"/>
    </row>
    <row r="684" ht="18.75" customHeight="1">
      <c r="A684" s="1"/>
      <c r="B684" s="11"/>
      <c r="AA684" s="37"/>
    </row>
    <row r="685" ht="18.75" customHeight="1">
      <c r="A685" s="1"/>
      <c r="B685" s="11"/>
      <c r="AA685" s="37"/>
    </row>
    <row r="686" ht="18.75" customHeight="1">
      <c r="A686" s="1"/>
      <c r="B686" s="11"/>
      <c r="AA686" s="37"/>
    </row>
    <row r="687" ht="18.75" customHeight="1">
      <c r="A687" s="1"/>
      <c r="B687" s="11"/>
      <c r="AA687" s="37"/>
    </row>
    <row r="688" ht="18.75" customHeight="1">
      <c r="A688" s="1"/>
      <c r="B688" s="11"/>
      <c r="AA688" s="37"/>
    </row>
    <row r="689" ht="18.75" customHeight="1">
      <c r="A689" s="1"/>
      <c r="B689" s="11"/>
      <c r="AA689" s="37"/>
    </row>
    <row r="690" ht="18.75" customHeight="1">
      <c r="A690" s="1"/>
      <c r="B690" s="11"/>
      <c r="AA690" s="37"/>
    </row>
    <row r="691" ht="18.75" customHeight="1">
      <c r="A691" s="1"/>
      <c r="B691" s="11"/>
      <c r="AA691" s="37"/>
    </row>
    <row r="692" ht="18.75" customHeight="1">
      <c r="A692" s="1"/>
      <c r="B692" s="11"/>
      <c r="AA692" s="37"/>
    </row>
    <row r="693" ht="18.75" customHeight="1">
      <c r="A693" s="1"/>
      <c r="B693" s="11"/>
      <c r="AA693" s="37"/>
    </row>
    <row r="694" ht="18.75" customHeight="1">
      <c r="A694" s="1"/>
      <c r="B694" s="11"/>
      <c r="AA694" s="37"/>
    </row>
    <row r="695" ht="18.75" customHeight="1">
      <c r="A695" s="1"/>
      <c r="B695" s="11"/>
      <c r="AA695" s="37"/>
    </row>
    <row r="696" ht="18.75" customHeight="1">
      <c r="A696" s="1"/>
      <c r="B696" s="11"/>
      <c r="AA696" s="37"/>
    </row>
    <row r="697" ht="18.75" customHeight="1">
      <c r="A697" s="1"/>
      <c r="B697" s="11"/>
      <c r="AA697" s="37"/>
    </row>
    <row r="698" ht="18.75" customHeight="1">
      <c r="A698" s="1"/>
      <c r="B698" s="11"/>
      <c r="AA698" s="37"/>
    </row>
    <row r="699" ht="18.75" customHeight="1">
      <c r="A699" s="1"/>
      <c r="B699" s="11"/>
      <c r="AA699" s="37"/>
    </row>
    <row r="700" ht="18.75" customHeight="1">
      <c r="A700" s="1"/>
      <c r="B700" s="11"/>
      <c r="AA700" s="37"/>
    </row>
    <row r="701" ht="18.75" customHeight="1">
      <c r="A701" s="1"/>
      <c r="B701" s="11"/>
      <c r="AA701" s="37"/>
    </row>
    <row r="702" ht="18.75" customHeight="1">
      <c r="A702" s="1"/>
      <c r="B702" s="11"/>
      <c r="AA702" s="37"/>
    </row>
    <row r="703" ht="18.75" customHeight="1">
      <c r="A703" s="1"/>
      <c r="B703" s="11"/>
      <c r="AA703" s="37"/>
    </row>
    <row r="704" ht="18.75" customHeight="1">
      <c r="A704" s="1"/>
      <c r="B704" s="11"/>
      <c r="AA704" s="37"/>
    </row>
    <row r="705" ht="18.75" customHeight="1">
      <c r="A705" s="1"/>
      <c r="B705" s="11"/>
      <c r="AA705" s="37"/>
    </row>
    <row r="706" ht="18.75" customHeight="1">
      <c r="A706" s="1"/>
      <c r="B706" s="11"/>
      <c r="AA706" s="37"/>
    </row>
    <row r="707" ht="18.75" customHeight="1">
      <c r="A707" s="1"/>
      <c r="B707" s="11"/>
      <c r="AA707" s="37"/>
    </row>
    <row r="708" ht="18.75" customHeight="1">
      <c r="A708" s="1"/>
      <c r="B708" s="11"/>
      <c r="AA708" s="37"/>
    </row>
    <row r="709" ht="18.75" customHeight="1">
      <c r="A709" s="1"/>
      <c r="B709" s="11"/>
      <c r="AA709" s="37"/>
    </row>
    <row r="710" ht="18.75" customHeight="1">
      <c r="A710" s="1"/>
      <c r="B710" s="11"/>
      <c r="AA710" s="37"/>
    </row>
    <row r="711" ht="18.75" customHeight="1">
      <c r="A711" s="1"/>
      <c r="B711" s="11"/>
      <c r="AA711" s="37"/>
    </row>
    <row r="712" ht="18.75" customHeight="1">
      <c r="A712" s="1"/>
      <c r="B712" s="11"/>
      <c r="AA712" s="37"/>
    </row>
    <row r="713" ht="18.75" customHeight="1">
      <c r="A713" s="1"/>
      <c r="B713" s="11"/>
      <c r="AA713" s="37"/>
    </row>
    <row r="714" ht="18.75" customHeight="1">
      <c r="A714" s="1"/>
      <c r="B714" s="11"/>
      <c r="AA714" s="37"/>
    </row>
    <row r="715" ht="18.75" customHeight="1">
      <c r="A715" s="1"/>
      <c r="B715" s="11"/>
      <c r="AA715" s="37"/>
    </row>
    <row r="716" ht="18.75" customHeight="1">
      <c r="A716" s="1"/>
      <c r="B716" s="11"/>
      <c r="AA716" s="37"/>
    </row>
    <row r="717" ht="18.75" customHeight="1">
      <c r="A717" s="1"/>
      <c r="B717" s="11"/>
      <c r="AA717" s="37"/>
    </row>
    <row r="718" ht="18.75" customHeight="1">
      <c r="A718" s="1"/>
      <c r="B718" s="11"/>
      <c r="AA718" s="37"/>
    </row>
    <row r="719" ht="18.75" customHeight="1">
      <c r="A719" s="1"/>
      <c r="B719" s="11"/>
      <c r="AA719" s="37"/>
    </row>
    <row r="720" ht="18.75" customHeight="1">
      <c r="A720" s="1"/>
      <c r="B720" s="11"/>
      <c r="AA720" s="37"/>
    </row>
    <row r="721" ht="18.75" customHeight="1">
      <c r="A721" s="1"/>
      <c r="B721" s="11"/>
      <c r="AA721" s="37"/>
    </row>
    <row r="722" ht="18.75" customHeight="1">
      <c r="A722" s="1"/>
      <c r="B722" s="11"/>
      <c r="AA722" s="37"/>
    </row>
    <row r="723" ht="18.75" customHeight="1">
      <c r="A723" s="1"/>
      <c r="B723" s="11"/>
      <c r="AA723" s="37"/>
    </row>
    <row r="724" ht="18.75" customHeight="1">
      <c r="A724" s="1"/>
      <c r="B724" s="11"/>
      <c r="AA724" s="37"/>
    </row>
    <row r="725" ht="18.75" customHeight="1">
      <c r="A725" s="1"/>
      <c r="B725" s="11"/>
      <c r="AA725" s="37"/>
    </row>
    <row r="726" ht="18.75" customHeight="1">
      <c r="A726" s="1"/>
      <c r="B726" s="11"/>
      <c r="AA726" s="37"/>
    </row>
    <row r="727" ht="18.75" customHeight="1">
      <c r="A727" s="1"/>
      <c r="B727" s="11"/>
      <c r="AA727" s="37"/>
    </row>
    <row r="728" ht="18.75" customHeight="1">
      <c r="A728" s="1"/>
      <c r="B728" s="11"/>
      <c r="AA728" s="37"/>
    </row>
    <row r="729" ht="18.75" customHeight="1">
      <c r="A729" s="1"/>
      <c r="B729" s="11"/>
      <c r="AA729" s="37"/>
    </row>
    <row r="730" ht="18.75" customHeight="1">
      <c r="A730" s="1"/>
      <c r="B730" s="11"/>
      <c r="AA730" s="37"/>
    </row>
    <row r="731" ht="18.75" customHeight="1">
      <c r="A731" s="1"/>
      <c r="B731" s="11"/>
      <c r="AA731" s="37"/>
    </row>
    <row r="732" ht="18.75" customHeight="1">
      <c r="A732" s="1"/>
      <c r="B732" s="11"/>
      <c r="AA732" s="37"/>
    </row>
    <row r="733" ht="18.75" customHeight="1">
      <c r="A733" s="1"/>
      <c r="B733" s="11"/>
      <c r="AA733" s="37"/>
    </row>
    <row r="734" ht="18.75" customHeight="1">
      <c r="A734" s="1"/>
      <c r="B734" s="11"/>
      <c r="AA734" s="37"/>
    </row>
    <row r="735" ht="18.75" customHeight="1">
      <c r="A735" s="1"/>
      <c r="B735" s="11"/>
      <c r="AA735" s="37"/>
    </row>
    <row r="736" ht="18.75" customHeight="1">
      <c r="A736" s="1"/>
      <c r="B736" s="11"/>
      <c r="AA736" s="37"/>
    </row>
    <row r="737" ht="18.75" customHeight="1">
      <c r="A737" s="1"/>
      <c r="B737" s="11"/>
      <c r="AA737" s="37"/>
    </row>
    <row r="738" ht="18.75" customHeight="1">
      <c r="A738" s="1"/>
      <c r="B738" s="11"/>
      <c r="AA738" s="37"/>
    </row>
    <row r="739" ht="18.75" customHeight="1">
      <c r="A739" s="1"/>
      <c r="B739" s="11"/>
      <c r="AA739" s="37"/>
    </row>
    <row r="740" ht="18.75" customHeight="1">
      <c r="A740" s="1"/>
      <c r="B740" s="11"/>
      <c r="AA740" s="37"/>
    </row>
    <row r="741" ht="18.75" customHeight="1">
      <c r="A741" s="1"/>
      <c r="B741" s="11"/>
      <c r="AA741" s="37"/>
    </row>
    <row r="742" ht="18.75" customHeight="1">
      <c r="A742" s="1"/>
      <c r="B742" s="11"/>
      <c r="AA742" s="37"/>
    </row>
    <row r="743" ht="18.75" customHeight="1">
      <c r="A743" s="1"/>
      <c r="B743" s="11"/>
      <c r="AA743" s="37"/>
    </row>
    <row r="744" ht="18.75" customHeight="1">
      <c r="A744" s="1"/>
      <c r="B744" s="11"/>
      <c r="AA744" s="37"/>
    </row>
    <row r="745" ht="18.75" customHeight="1">
      <c r="A745" s="1"/>
      <c r="B745" s="11"/>
      <c r="AA745" s="37"/>
    </row>
    <row r="746" ht="18.75" customHeight="1">
      <c r="A746" s="1"/>
      <c r="B746" s="11"/>
      <c r="AA746" s="37"/>
    </row>
    <row r="747" ht="18.75" customHeight="1">
      <c r="A747" s="1"/>
      <c r="B747" s="11"/>
      <c r="AA747" s="37"/>
    </row>
    <row r="748" ht="18.75" customHeight="1">
      <c r="A748" s="1"/>
      <c r="B748" s="11"/>
      <c r="AA748" s="37"/>
    </row>
    <row r="749" ht="18.75" customHeight="1">
      <c r="A749" s="1"/>
      <c r="B749" s="11"/>
      <c r="AA749" s="37"/>
    </row>
    <row r="750" ht="18.75" customHeight="1">
      <c r="A750" s="1"/>
      <c r="B750" s="11"/>
      <c r="AA750" s="37"/>
    </row>
    <row r="751" ht="18.75" customHeight="1">
      <c r="A751" s="1"/>
      <c r="B751" s="11"/>
      <c r="AA751" s="37"/>
    </row>
    <row r="752" ht="18.75" customHeight="1">
      <c r="A752" s="1"/>
      <c r="B752" s="11"/>
      <c r="AA752" s="37"/>
    </row>
    <row r="753" ht="18.75" customHeight="1">
      <c r="A753" s="1"/>
      <c r="B753" s="11"/>
      <c r="AA753" s="37"/>
    </row>
    <row r="754" ht="18.75" customHeight="1">
      <c r="A754" s="1"/>
      <c r="B754" s="11"/>
      <c r="AA754" s="37"/>
    </row>
    <row r="755" ht="18.75" customHeight="1">
      <c r="A755" s="1"/>
      <c r="B755" s="11"/>
      <c r="AA755" s="37"/>
    </row>
    <row r="756" ht="18.75" customHeight="1">
      <c r="A756" s="1"/>
      <c r="B756" s="11"/>
      <c r="AA756" s="37"/>
    </row>
    <row r="757" ht="18.75" customHeight="1">
      <c r="A757" s="1"/>
      <c r="B757" s="11"/>
      <c r="AA757" s="37"/>
    </row>
    <row r="758" ht="18.75" customHeight="1">
      <c r="A758" s="1"/>
      <c r="B758" s="11"/>
      <c r="AA758" s="37"/>
    </row>
    <row r="759" ht="18.75" customHeight="1">
      <c r="A759" s="1"/>
      <c r="B759" s="11"/>
      <c r="AA759" s="37"/>
    </row>
    <row r="760" ht="18.75" customHeight="1">
      <c r="A760" s="1"/>
      <c r="B760" s="11"/>
      <c r="AA760" s="37"/>
    </row>
    <row r="761" ht="18.75" customHeight="1">
      <c r="A761" s="1"/>
      <c r="B761" s="11"/>
      <c r="AA761" s="37"/>
    </row>
    <row r="762" ht="18.75" customHeight="1">
      <c r="A762" s="1"/>
      <c r="B762" s="11"/>
      <c r="AA762" s="37"/>
    </row>
    <row r="763" ht="18.75" customHeight="1">
      <c r="A763" s="1"/>
      <c r="B763" s="11"/>
      <c r="AA763" s="37"/>
    </row>
    <row r="764" ht="18.75" customHeight="1">
      <c r="A764" s="1"/>
      <c r="B764" s="11"/>
      <c r="AA764" s="37"/>
    </row>
    <row r="765" ht="18.75" customHeight="1">
      <c r="A765" s="1"/>
      <c r="B765" s="11"/>
      <c r="AA765" s="37"/>
    </row>
    <row r="766" ht="18.75" customHeight="1">
      <c r="A766" s="1"/>
      <c r="B766" s="11"/>
      <c r="AA766" s="37"/>
    </row>
    <row r="767" ht="18.75" customHeight="1">
      <c r="A767" s="1"/>
      <c r="B767" s="11"/>
      <c r="AA767" s="37"/>
    </row>
    <row r="768" ht="18.75" customHeight="1">
      <c r="A768" s="1"/>
      <c r="B768" s="11"/>
      <c r="AA768" s="37"/>
    </row>
    <row r="769" ht="18.75" customHeight="1">
      <c r="A769" s="1"/>
      <c r="B769" s="11"/>
      <c r="AA769" s="37"/>
    </row>
    <row r="770" ht="18.75" customHeight="1">
      <c r="A770" s="1"/>
      <c r="B770" s="11"/>
      <c r="AA770" s="37"/>
    </row>
    <row r="771" ht="18.75" customHeight="1">
      <c r="A771" s="1"/>
      <c r="B771" s="11"/>
      <c r="AA771" s="37"/>
    </row>
    <row r="772" ht="18.75" customHeight="1">
      <c r="A772" s="1"/>
      <c r="B772" s="11"/>
      <c r="AA772" s="37"/>
    </row>
    <row r="773" ht="18.75" customHeight="1">
      <c r="A773" s="1"/>
      <c r="B773" s="11"/>
      <c r="AA773" s="37"/>
    </row>
    <row r="774" ht="18.75" customHeight="1">
      <c r="A774" s="1"/>
      <c r="B774" s="11"/>
      <c r="AA774" s="37"/>
    </row>
    <row r="775" ht="18.75" customHeight="1">
      <c r="A775" s="1"/>
      <c r="B775" s="11"/>
      <c r="AA775" s="37"/>
    </row>
    <row r="776" ht="18.75" customHeight="1">
      <c r="A776" s="1"/>
      <c r="B776" s="11"/>
      <c r="AA776" s="37"/>
    </row>
    <row r="777" ht="18.75" customHeight="1">
      <c r="A777" s="1"/>
      <c r="B777" s="11"/>
      <c r="AA777" s="37"/>
    </row>
    <row r="778" ht="18.75" customHeight="1">
      <c r="A778" s="1"/>
      <c r="B778" s="11"/>
      <c r="AA778" s="37"/>
    </row>
    <row r="779" ht="18.75" customHeight="1">
      <c r="A779" s="1"/>
      <c r="B779" s="11"/>
      <c r="AA779" s="37"/>
    </row>
    <row r="780" ht="18.75" customHeight="1">
      <c r="A780" s="1"/>
      <c r="B780" s="11"/>
      <c r="AA780" s="37"/>
    </row>
    <row r="781" ht="18.75" customHeight="1">
      <c r="A781" s="1"/>
      <c r="B781" s="11"/>
      <c r="AA781" s="37"/>
    </row>
    <row r="782" ht="18.75" customHeight="1">
      <c r="A782" s="1"/>
      <c r="B782" s="11"/>
      <c r="AA782" s="37"/>
    </row>
    <row r="783" ht="18.75" customHeight="1">
      <c r="A783" s="1"/>
      <c r="B783" s="11"/>
      <c r="AA783" s="37"/>
    </row>
    <row r="784" ht="18.75" customHeight="1">
      <c r="A784" s="1"/>
      <c r="B784" s="11"/>
      <c r="AA784" s="37"/>
    </row>
    <row r="785" ht="18.75" customHeight="1">
      <c r="A785" s="1"/>
      <c r="B785" s="11"/>
      <c r="AA785" s="37"/>
    </row>
    <row r="786" ht="18.75" customHeight="1">
      <c r="A786" s="1"/>
      <c r="B786" s="11"/>
      <c r="AA786" s="37"/>
    </row>
    <row r="787" ht="18.75" customHeight="1">
      <c r="A787" s="1"/>
      <c r="B787" s="11"/>
      <c r="AA787" s="37"/>
    </row>
    <row r="788" ht="18.75" customHeight="1">
      <c r="A788" s="1"/>
      <c r="B788" s="11"/>
      <c r="AA788" s="37"/>
    </row>
    <row r="789" ht="18.75" customHeight="1">
      <c r="A789" s="1"/>
      <c r="B789" s="11"/>
      <c r="AA789" s="37"/>
    </row>
    <row r="790" ht="18.75" customHeight="1">
      <c r="A790" s="1"/>
      <c r="B790" s="11"/>
      <c r="AA790" s="37"/>
    </row>
    <row r="791" ht="18.75" customHeight="1">
      <c r="A791" s="1"/>
      <c r="B791" s="11"/>
      <c r="AA791" s="37"/>
    </row>
    <row r="792" ht="18.75" customHeight="1">
      <c r="A792" s="1"/>
      <c r="B792" s="11"/>
      <c r="AA792" s="37"/>
    </row>
    <row r="793" ht="18.75" customHeight="1">
      <c r="A793" s="1"/>
      <c r="B793" s="11"/>
      <c r="AA793" s="37"/>
    </row>
    <row r="794" ht="18.75" customHeight="1">
      <c r="A794" s="1"/>
      <c r="B794" s="11"/>
      <c r="AA794" s="37"/>
    </row>
    <row r="795" ht="18.75" customHeight="1">
      <c r="A795" s="1"/>
      <c r="B795" s="11"/>
      <c r="AA795" s="37"/>
    </row>
    <row r="796" ht="18.75" customHeight="1">
      <c r="A796" s="1"/>
      <c r="B796" s="11"/>
      <c r="AA796" s="37"/>
    </row>
    <row r="797" ht="18.75" customHeight="1">
      <c r="A797" s="1"/>
      <c r="B797" s="11"/>
      <c r="AA797" s="37"/>
    </row>
    <row r="798" ht="18.75" customHeight="1">
      <c r="A798" s="1"/>
      <c r="B798" s="11"/>
      <c r="AA798" s="37"/>
    </row>
    <row r="799" ht="18.75" customHeight="1">
      <c r="A799" s="1"/>
      <c r="B799" s="11"/>
      <c r="AA799" s="37"/>
    </row>
    <row r="800" ht="18.75" customHeight="1">
      <c r="A800" s="1"/>
      <c r="B800" s="11"/>
      <c r="AA800" s="37"/>
    </row>
    <row r="801" ht="18.75" customHeight="1">
      <c r="A801" s="1"/>
      <c r="B801" s="11"/>
      <c r="AA801" s="37"/>
    </row>
    <row r="802" ht="18.75" customHeight="1">
      <c r="A802" s="1"/>
      <c r="B802" s="11"/>
      <c r="AA802" s="37"/>
    </row>
    <row r="803" ht="18.75" customHeight="1">
      <c r="A803" s="1"/>
      <c r="B803" s="11"/>
      <c r="AA803" s="37"/>
    </row>
    <row r="804" ht="18.75" customHeight="1">
      <c r="A804" s="1"/>
      <c r="B804" s="11"/>
      <c r="AA804" s="37"/>
    </row>
    <row r="805" ht="18.75" customHeight="1">
      <c r="A805" s="1"/>
      <c r="B805" s="11"/>
      <c r="AA805" s="37"/>
    </row>
    <row r="806" ht="18.75" customHeight="1">
      <c r="A806" s="1"/>
      <c r="B806" s="11"/>
      <c r="AA806" s="37"/>
    </row>
    <row r="807" ht="18.75" customHeight="1">
      <c r="A807" s="1"/>
      <c r="B807" s="11"/>
      <c r="AA807" s="37"/>
    </row>
    <row r="808" ht="18.75" customHeight="1">
      <c r="A808" s="1"/>
      <c r="B808" s="11"/>
      <c r="AA808" s="37"/>
    </row>
    <row r="809" ht="18.75" customHeight="1">
      <c r="A809" s="1"/>
      <c r="B809" s="11"/>
      <c r="AA809" s="37"/>
    </row>
    <row r="810" ht="18.75" customHeight="1">
      <c r="A810" s="1"/>
      <c r="B810" s="11"/>
      <c r="AA810" s="37"/>
    </row>
    <row r="811" ht="18.75" customHeight="1">
      <c r="A811" s="1"/>
      <c r="B811" s="11"/>
      <c r="AA811" s="37"/>
    </row>
    <row r="812" ht="18.75" customHeight="1">
      <c r="A812" s="1"/>
      <c r="B812" s="11"/>
      <c r="AA812" s="37"/>
    </row>
    <row r="813" ht="18.75" customHeight="1">
      <c r="A813" s="1"/>
      <c r="B813" s="11"/>
      <c r="AA813" s="37"/>
    </row>
    <row r="814" ht="18.75" customHeight="1">
      <c r="A814" s="1"/>
      <c r="B814" s="11"/>
      <c r="AA814" s="37"/>
    </row>
    <row r="815" ht="18.75" customHeight="1">
      <c r="A815" s="1"/>
      <c r="B815" s="11"/>
      <c r="AA815" s="37"/>
    </row>
    <row r="816" ht="18.75" customHeight="1">
      <c r="A816" s="1"/>
      <c r="B816" s="11"/>
      <c r="AA816" s="37"/>
    </row>
    <row r="817" ht="18.75" customHeight="1">
      <c r="A817" s="1"/>
      <c r="B817" s="11"/>
      <c r="AA817" s="37"/>
    </row>
    <row r="818" ht="18.75" customHeight="1">
      <c r="A818" s="1"/>
      <c r="B818" s="11"/>
      <c r="AA818" s="37"/>
    </row>
    <row r="819" ht="18.75" customHeight="1">
      <c r="A819" s="1"/>
      <c r="B819" s="11"/>
      <c r="AA819" s="37"/>
    </row>
    <row r="820" ht="18.75" customHeight="1">
      <c r="A820" s="1"/>
      <c r="B820" s="11"/>
      <c r="AA820" s="37"/>
    </row>
    <row r="821" ht="18.75" customHeight="1">
      <c r="A821" s="1"/>
      <c r="B821" s="11"/>
      <c r="AA821" s="37"/>
    </row>
    <row r="822" ht="18.75" customHeight="1">
      <c r="A822" s="1"/>
      <c r="B822" s="11"/>
      <c r="AA822" s="37"/>
    </row>
    <row r="823" ht="18.75" customHeight="1">
      <c r="A823" s="1"/>
      <c r="B823" s="11"/>
      <c r="AA823" s="37"/>
    </row>
    <row r="824" ht="18.75" customHeight="1">
      <c r="A824" s="1"/>
      <c r="B824" s="11"/>
      <c r="AA824" s="37"/>
    </row>
    <row r="825" ht="18.75" customHeight="1">
      <c r="A825" s="1"/>
      <c r="B825" s="11"/>
      <c r="AA825" s="37"/>
    </row>
    <row r="826" ht="18.75" customHeight="1">
      <c r="A826" s="1"/>
      <c r="B826" s="11"/>
      <c r="AA826" s="37"/>
    </row>
    <row r="827" ht="18.75" customHeight="1">
      <c r="A827" s="1"/>
      <c r="B827" s="11"/>
      <c r="AA827" s="37"/>
    </row>
    <row r="828" ht="18.75" customHeight="1">
      <c r="A828" s="1"/>
      <c r="B828" s="11"/>
      <c r="AA828" s="37"/>
    </row>
    <row r="829" ht="18.75" customHeight="1">
      <c r="A829" s="1"/>
      <c r="B829" s="11"/>
      <c r="AA829" s="37"/>
    </row>
    <row r="830" ht="18.75" customHeight="1">
      <c r="A830" s="1"/>
      <c r="B830" s="11"/>
      <c r="AA830" s="37"/>
    </row>
    <row r="831" ht="18.75" customHeight="1">
      <c r="A831" s="1"/>
      <c r="B831" s="11"/>
      <c r="AA831" s="37"/>
    </row>
    <row r="832" ht="18.75" customHeight="1">
      <c r="A832" s="1"/>
      <c r="B832" s="11"/>
      <c r="AA832" s="37"/>
    </row>
    <row r="833" ht="18.75" customHeight="1">
      <c r="A833" s="1"/>
      <c r="B833" s="11"/>
      <c r="AA833" s="37"/>
    </row>
    <row r="834" ht="18.75" customHeight="1">
      <c r="A834" s="1"/>
      <c r="B834" s="11"/>
      <c r="AA834" s="37"/>
    </row>
    <row r="835" ht="18.75" customHeight="1">
      <c r="A835" s="1"/>
      <c r="B835" s="11"/>
      <c r="AA835" s="37"/>
    </row>
    <row r="836" ht="18.75" customHeight="1">
      <c r="A836" s="1"/>
      <c r="B836" s="11"/>
      <c r="AA836" s="37"/>
    </row>
    <row r="837" ht="18.75" customHeight="1">
      <c r="A837" s="1"/>
      <c r="B837" s="11"/>
      <c r="AA837" s="37"/>
    </row>
    <row r="838" ht="18.75" customHeight="1">
      <c r="A838" s="1"/>
      <c r="B838" s="11"/>
      <c r="AA838" s="37"/>
    </row>
    <row r="839" ht="18.75" customHeight="1">
      <c r="A839" s="1"/>
      <c r="B839" s="11"/>
      <c r="AA839" s="37"/>
    </row>
    <row r="840" ht="18.75" customHeight="1">
      <c r="A840" s="1"/>
      <c r="B840" s="11"/>
      <c r="AA840" s="37"/>
    </row>
    <row r="841" ht="18.75" customHeight="1">
      <c r="A841" s="1"/>
      <c r="B841" s="11"/>
      <c r="AA841" s="37"/>
    </row>
    <row r="842" ht="18.75" customHeight="1">
      <c r="A842" s="1"/>
      <c r="B842" s="11"/>
      <c r="AA842" s="37"/>
    </row>
    <row r="843" ht="18.75" customHeight="1">
      <c r="A843" s="1"/>
      <c r="B843" s="11"/>
      <c r="AA843" s="37"/>
    </row>
    <row r="844" ht="18.75" customHeight="1">
      <c r="A844" s="1"/>
      <c r="B844" s="11"/>
      <c r="AA844" s="37"/>
    </row>
    <row r="845" ht="18.75" customHeight="1">
      <c r="A845" s="1"/>
      <c r="B845" s="11"/>
      <c r="AA845" s="37"/>
    </row>
    <row r="846" ht="18.75" customHeight="1">
      <c r="A846" s="1"/>
      <c r="B846" s="11"/>
      <c r="AA846" s="37"/>
    </row>
    <row r="847" ht="18.75" customHeight="1">
      <c r="A847" s="1"/>
      <c r="B847" s="11"/>
      <c r="AA847" s="37"/>
    </row>
    <row r="848" ht="18.75" customHeight="1">
      <c r="A848" s="1"/>
      <c r="B848" s="11"/>
      <c r="AA848" s="37"/>
    </row>
    <row r="849" ht="18.75" customHeight="1">
      <c r="A849" s="1"/>
      <c r="B849" s="11"/>
      <c r="AA849" s="37"/>
    </row>
    <row r="850" ht="18.75" customHeight="1">
      <c r="A850" s="1"/>
      <c r="B850" s="11"/>
      <c r="AA850" s="37"/>
    </row>
    <row r="851" ht="18.75" customHeight="1">
      <c r="A851" s="1"/>
      <c r="B851" s="11"/>
      <c r="AA851" s="37"/>
    </row>
    <row r="852" ht="18.75" customHeight="1">
      <c r="A852" s="1"/>
      <c r="B852" s="11"/>
      <c r="AA852" s="37"/>
    </row>
    <row r="853" ht="18.75" customHeight="1">
      <c r="A853" s="1"/>
      <c r="B853" s="11"/>
      <c r="AA853" s="37"/>
    </row>
    <row r="854" ht="18.75" customHeight="1">
      <c r="A854" s="1"/>
      <c r="B854" s="11"/>
      <c r="AA854" s="37"/>
    </row>
    <row r="855" ht="18.75" customHeight="1">
      <c r="A855" s="1"/>
      <c r="B855" s="11"/>
      <c r="AA855" s="37"/>
    </row>
    <row r="856" ht="18.75" customHeight="1">
      <c r="A856" s="1"/>
      <c r="B856" s="11"/>
      <c r="AA856" s="37"/>
    </row>
    <row r="857" ht="18.75" customHeight="1">
      <c r="A857" s="1"/>
      <c r="B857" s="11"/>
      <c r="AA857" s="37"/>
    </row>
    <row r="858" ht="18.75" customHeight="1">
      <c r="A858" s="1"/>
      <c r="B858" s="11"/>
      <c r="AA858" s="37"/>
    </row>
    <row r="859" ht="18.75" customHeight="1">
      <c r="A859" s="1"/>
      <c r="B859" s="11"/>
      <c r="AA859" s="37"/>
    </row>
    <row r="860" ht="18.75" customHeight="1">
      <c r="A860" s="1"/>
      <c r="B860" s="11"/>
      <c r="AA860" s="37"/>
    </row>
    <row r="861" ht="18.75" customHeight="1">
      <c r="A861" s="1"/>
      <c r="B861" s="11"/>
      <c r="AA861" s="37"/>
    </row>
    <row r="862" ht="18.75" customHeight="1">
      <c r="A862" s="1"/>
      <c r="B862" s="11"/>
      <c r="AA862" s="37"/>
    </row>
    <row r="863" ht="18.75" customHeight="1">
      <c r="A863" s="1"/>
      <c r="B863" s="11"/>
      <c r="AA863" s="37"/>
    </row>
    <row r="864" ht="18.75" customHeight="1">
      <c r="A864" s="1"/>
      <c r="B864" s="11"/>
      <c r="AA864" s="37"/>
    </row>
    <row r="865" ht="18.75" customHeight="1">
      <c r="A865" s="1"/>
      <c r="B865" s="11"/>
      <c r="AA865" s="37"/>
    </row>
    <row r="866" ht="18.75" customHeight="1">
      <c r="A866" s="1"/>
      <c r="B866" s="11"/>
      <c r="AA866" s="37"/>
    </row>
    <row r="867" ht="18.75" customHeight="1">
      <c r="A867" s="1"/>
      <c r="B867" s="11"/>
      <c r="AA867" s="37"/>
    </row>
    <row r="868" ht="18.75" customHeight="1">
      <c r="A868" s="1"/>
      <c r="B868" s="11"/>
      <c r="AA868" s="37"/>
    </row>
    <row r="869" ht="18.75" customHeight="1">
      <c r="A869" s="1"/>
      <c r="B869" s="11"/>
      <c r="AA869" s="37"/>
    </row>
    <row r="870" ht="18.75" customHeight="1">
      <c r="A870" s="1"/>
      <c r="B870" s="11"/>
      <c r="AA870" s="37"/>
    </row>
    <row r="871" ht="18.75" customHeight="1">
      <c r="A871" s="1"/>
      <c r="B871" s="11"/>
      <c r="AA871" s="37"/>
    </row>
    <row r="872" ht="18.75" customHeight="1">
      <c r="A872" s="1"/>
      <c r="B872" s="11"/>
      <c r="AA872" s="37"/>
    </row>
    <row r="873" ht="18.75" customHeight="1">
      <c r="A873" s="1"/>
      <c r="B873" s="11"/>
      <c r="AA873" s="37"/>
    </row>
    <row r="874" ht="18.75" customHeight="1">
      <c r="A874" s="1"/>
      <c r="B874" s="11"/>
      <c r="AA874" s="37"/>
    </row>
    <row r="875" ht="18.75" customHeight="1">
      <c r="A875" s="1"/>
      <c r="B875" s="11"/>
      <c r="AA875" s="37"/>
    </row>
    <row r="876" ht="18.75" customHeight="1">
      <c r="A876" s="1"/>
      <c r="B876" s="11"/>
      <c r="AA876" s="37"/>
    </row>
    <row r="877" ht="18.75" customHeight="1">
      <c r="A877" s="1"/>
      <c r="B877" s="11"/>
      <c r="AA877" s="37"/>
    </row>
    <row r="878" ht="18.75" customHeight="1">
      <c r="A878" s="1"/>
      <c r="B878" s="11"/>
      <c r="AA878" s="37"/>
    </row>
    <row r="879" ht="18.75" customHeight="1">
      <c r="A879" s="1"/>
      <c r="B879" s="11"/>
      <c r="AA879" s="37"/>
    </row>
    <row r="880" ht="18.75" customHeight="1">
      <c r="A880" s="1"/>
      <c r="B880" s="11"/>
      <c r="AA880" s="37"/>
    </row>
    <row r="881" ht="18.75" customHeight="1">
      <c r="A881" s="1"/>
      <c r="B881" s="11"/>
      <c r="AA881" s="37"/>
    </row>
    <row r="882" ht="18.75" customHeight="1">
      <c r="A882" s="1"/>
      <c r="B882" s="11"/>
      <c r="AA882" s="37"/>
    </row>
    <row r="883" ht="18.75" customHeight="1">
      <c r="A883" s="1"/>
      <c r="B883" s="11"/>
      <c r="AA883" s="37"/>
    </row>
    <row r="884" ht="18.75" customHeight="1">
      <c r="A884" s="1"/>
      <c r="B884" s="11"/>
      <c r="AA884" s="37"/>
    </row>
    <row r="885" ht="18.75" customHeight="1">
      <c r="A885" s="1"/>
      <c r="B885" s="11"/>
      <c r="AA885" s="37"/>
    </row>
    <row r="886" ht="18.75" customHeight="1">
      <c r="A886" s="1"/>
      <c r="B886" s="11"/>
      <c r="AA886" s="37"/>
    </row>
    <row r="887" ht="18.75" customHeight="1">
      <c r="A887" s="1"/>
      <c r="B887" s="11"/>
      <c r="AA887" s="37"/>
    </row>
    <row r="888" ht="18.75" customHeight="1">
      <c r="A888" s="1"/>
      <c r="B888" s="11"/>
      <c r="AA888" s="37"/>
    </row>
    <row r="889" ht="18.75" customHeight="1">
      <c r="A889" s="1"/>
      <c r="B889" s="11"/>
      <c r="AA889" s="37"/>
    </row>
    <row r="890" ht="18.75" customHeight="1">
      <c r="A890" s="1"/>
      <c r="B890" s="11"/>
      <c r="AA890" s="37"/>
    </row>
    <row r="891" ht="18.75" customHeight="1">
      <c r="A891" s="1"/>
      <c r="B891" s="11"/>
      <c r="AA891" s="37"/>
    </row>
    <row r="892" ht="18.75" customHeight="1">
      <c r="A892" s="1"/>
      <c r="B892" s="11"/>
      <c r="AA892" s="37"/>
    </row>
    <row r="893" ht="18.75" customHeight="1">
      <c r="A893" s="1"/>
      <c r="B893" s="11"/>
      <c r="AA893" s="37"/>
    </row>
    <row r="894" ht="18.75" customHeight="1">
      <c r="A894" s="1"/>
      <c r="B894" s="11"/>
      <c r="AA894" s="37"/>
    </row>
    <row r="895" ht="18.75" customHeight="1">
      <c r="A895" s="1"/>
      <c r="B895" s="11"/>
      <c r="AA895" s="37"/>
    </row>
    <row r="896" ht="18.75" customHeight="1">
      <c r="A896" s="1"/>
      <c r="B896" s="11"/>
      <c r="AA896" s="37"/>
    </row>
    <row r="897" ht="18.75" customHeight="1">
      <c r="A897" s="1"/>
      <c r="B897" s="11"/>
      <c r="AA897" s="37"/>
    </row>
    <row r="898" ht="18.75" customHeight="1">
      <c r="A898" s="1"/>
      <c r="B898" s="11"/>
      <c r="AA898" s="37"/>
    </row>
    <row r="899" ht="18.75" customHeight="1">
      <c r="A899" s="1"/>
      <c r="B899" s="11"/>
      <c r="AA899" s="37"/>
    </row>
    <row r="900" ht="18.75" customHeight="1">
      <c r="A900" s="1"/>
      <c r="B900" s="11"/>
      <c r="AA900" s="37"/>
    </row>
    <row r="901" ht="18.75" customHeight="1">
      <c r="A901" s="1"/>
      <c r="B901" s="11"/>
      <c r="AA901" s="37"/>
    </row>
    <row r="902" ht="18.75" customHeight="1">
      <c r="A902" s="1"/>
      <c r="B902" s="11"/>
      <c r="AA902" s="37"/>
    </row>
    <row r="903" ht="18.75" customHeight="1">
      <c r="A903" s="1"/>
      <c r="B903" s="11"/>
      <c r="AA903" s="37"/>
    </row>
    <row r="904" ht="18.75" customHeight="1">
      <c r="A904" s="1"/>
      <c r="B904" s="11"/>
      <c r="AA904" s="37"/>
    </row>
    <row r="905" ht="18.75" customHeight="1">
      <c r="A905" s="1"/>
      <c r="B905" s="11"/>
      <c r="AA905" s="37"/>
    </row>
    <row r="906" ht="18.75" customHeight="1">
      <c r="A906" s="1"/>
      <c r="B906" s="11"/>
      <c r="AA906" s="37"/>
    </row>
    <row r="907" ht="18.75" customHeight="1">
      <c r="A907" s="1"/>
      <c r="B907" s="11"/>
      <c r="AA907" s="37"/>
    </row>
    <row r="908" ht="18.75" customHeight="1">
      <c r="A908" s="1"/>
      <c r="B908" s="11"/>
      <c r="AA908" s="37"/>
    </row>
    <row r="909" ht="18.75" customHeight="1">
      <c r="A909" s="1"/>
      <c r="B909" s="11"/>
      <c r="AA909" s="37"/>
    </row>
    <row r="910" ht="18.75" customHeight="1">
      <c r="A910" s="1"/>
      <c r="B910" s="11"/>
      <c r="AA910" s="37"/>
    </row>
    <row r="911" ht="18.75" customHeight="1">
      <c r="A911" s="1"/>
      <c r="B911" s="11"/>
      <c r="AA911" s="37"/>
    </row>
    <row r="912" ht="18.75" customHeight="1">
      <c r="A912" s="1"/>
      <c r="B912" s="11"/>
      <c r="AA912" s="37"/>
    </row>
    <row r="913" ht="18.75" customHeight="1">
      <c r="A913" s="1"/>
      <c r="B913" s="11"/>
      <c r="AA913" s="37"/>
    </row>
    <row r="914" ht="18.75" customHeight="1">
      <c r="A914" s="1"/>
      <c r="B914" s="11"/>
      <c r="AA914" s="37"/>
    </row>
    <row r="915" ht="18.75" customHeight="1">
      <c r="A915" s="1"/>
      <c r="B915" s="11"/>
      <c r="AA915" s="37"/>
    </row>
    <row r="916" ht="18.75" customHeight="1">
      <c r="A916" s="1"/>
      <c r="B916" s="11"/>
      <c r="AA916" s="37"/>
    </row>
    <row r="917" ht="18.75" customHeight="1">
      <c r="A917" s="1"/>
      <c r="B917" s="11"/>
      <c r="AA917" s="37"/>
    </row>
    <row r="918" ht="18.75" customHeight="1">
      <c r="A918" s="1"/>
      <c r="B918" s="11"/>
      <c r="AA918" s="37"/>
    </row>
    <row r="919" ht="18.75" customHeight="1">
      <c r="A919" s="1"/>
      <c r="B919" s="11"/>
      <c r="AA919" s="37"/>
    </row>
    <row r="920" ht="18.75" customHeight="1">
      <c r="A920" s="1"/>
      <c r="B920" s="11"/>
      <c r="AA920" s="37"/>
    </row>
    <row r="921" ht="18.75" customHeight="1">
      <c r="A921" s="1"/>
      <c r="B921" s="11"/>
      <c r="AA921" s="37"/>
    </row>
    <row r="922" ht="18.75" customHeight="1">
      <c r="A922" s="1"/>
      <c r="B922" s="11"/>
      <c r="AA922" s="37"/>
    </row>
    <row r="923" ht="18.75" customHeight="1">
      <c r="A923" s="1"/>
      <c r="B923" s="11"/>
      <c r="AA923" s="37"/>
    </row>
    <row r="924" ht="18.75" customHeight="1">
      <c r="A924" s="1"/>
      <c r="B924" s="11"/>
      <c r="AA924" s="37"/>
    </row>
    <row r="925" ht="18.75" customHeight="1">
      <c r="A925" s="1"/>
      <c r="B925" s="11"/>
      <c r="AA925" s="37"/>
    </row>
    <row r="926" ht="18.75" customHeight="1">
      <c r="A926" s="1"/>
      <c r="B926" s="11"/>
      <c r="AA926" s="37"/>
    </row>
    <row r="927" ht="18.75" customHeight="1">
      <c r="A927" s="1"/>
      <c r="B927" s="11"/>
      <c r="AA927" s="37"/>
    </row>
    <row r="928" ht="18.75" customHeight="1">
      <c r="A928" s="1"/>
      <c r="B928" s="11"/>
      <c r="AA928" s="37"/>
    </row>
    <row r="929" ht="18.75" customHeight="1">
      <c r="A929" s="1"/>
      <c r="B929" s="11"/>
      <c r="AA929" s="37"/>
    </row>
    <row r="930" ht="18.75" customHeight="1">
      <c r="A930" s="1"/>
      <c r="B930" s="11"/>
      <c r="AA930" s="37"/>
    </row>
    <row r="931" ht="18.75" customHeight="1">
      <c r="A931" s="1"/>
      <c r="B931" s="11"/>
      <c r="AA931" s="37"/>
    </row>
    <row r="932" ht="18.75" customHeight="1">
      <c r="A932" s="1"/>
      <c r="B932" s="11"/>
      <c r="AA932" s="37"/>
    </row>
    <row r="933" ht="18.75" customHeight="1">
      <c r="A933" s="1"/>
      <c r="B933" s="11"/>
      <c r="AA933" s="37"/>
    </row>
    <row r="934" ht="18.75" customHeight="1">
      <c r="A934" s="1"/>
      <c r="B934" s="11"/>
      <c r="AA934" s="37"/>
    </row>
    <row r="935" ht="18.75" customHeight="1">
      <c r="A935" s="1"/>
      <c r="B935" s="11"/>
      <c r="AA935" s="37"/>
    </row>
    <row r="936" ht="18.75" customHeight="1">
      <c r="A936" s="1"/>
      <c r="B936" s="11"/>
      <c r="AA936" s="37"/>
    </row>
    <row r="937" ht="18.75" customHeight="1">
      <c r="A937" s="1"/>
      <c r="B937" s="11"/>
      <c r="AA937" s="37"/>
    </row>
    <row r="938" ht="18.75" customHeight="1">
      <c r="A938" s="1"/>
      <c r="B938" s="11"/>
      <c r="AA938" s="37"/>
    </row>
    <row r="939" ht="18.75" customHeight="1">
      <c r="A939" s="1"/>
      <c r="B939" s="11"/>
      <c r="AA939" s="37"/>
    </row>
    <row r="940" ht="18.75" customHeight="1">
      <c r="A940" s="1"/>
      <c r="B940" s="11"/>
      <c r="AA940" s="37"/>
    </row>
    <row r="941" ht="18.75" customHeight="1">
      <c r="A941" s="1"/>
      <c r="B941" s="11"/>
      <c r="AA941" s="37"/>
    </row>
    <row r="942" ht="18.75" customHeight="1">
      <c r="A942" s="1"/>
      <c r="B942" s="11"/>
      <c r="AA942" s="37"/>
    </row>
    <row r="943" ht="18.75" customHeight="1">
      <c r="A943" s="1"/>
      <c r="B943" s="11"/>
      <c r="AA943" s="37"/>
    </row>
    <row r="944" ht="18.75" customHeight="1">
      <c r="A944" s="1"/>
      <c r="B944" s="11"/>
      <c r="AA944" s="37"/>
    </row>
    <row r="945" ht="18.75" customHeight="1">
      <c r="A945" s="1"/>
      <c r="B945" s="11"/>
      <c r="AA945" s="37"/>
    </row>
    <row r="946" ht="18.75" customHeight="1">
      <c r="A946" s="1"/>
      <c r="B946" s="11"/>
      <c r="AA946" s="37"/>
    </row>
    <row r="947" ht="18.75" customHeight="1">
      <c r="A947" s="1"/>
      <c r="B947" s="11"/>
      <c r="AA947" s="37"/>
    </row>
    <row r="948" ht="18.75" customHeight="1">
      <c r="A948" s="1"/>
      <c r="B948" s="11"/>
      <c r="AA948" s="37"/>
    </row>
    <row r="949" ht="18.75" customHeight="1">
      <c r="A949" s="1"/>
      <c r="B949" s="11"/>
      <c r="AA949" s="37"/>
    </row>
    <row r="950" ht="18.75" customHeight="1">
      <c r="A950" s="1"/>
      <c r="B950" s="11"/>
      <c r="AA950" s="37"/>
    </row>
    <row r="951" ht="18.75" customHeight="1">
      <c r="A951" s="1"/>
      <c r="B951" s="11"/>
      <c r="AA951" s="37"/>
    </row>
    <row r="952" ht="18.75" customHeight="1">
      <c r="A952" s="1"/>
      <c r="B952" s="11"/>
      <c r="AA952" s="37"/>
    </row>
    <row r="953" ht="18.75" customHeight="1">
      <c r="A953" s="1"/>
      <c r="B953" s="11"/>
      <c r="AA953" s="37"/>
    </row>
    <row r="954" ht="18.75" customHeight="1">
      <c r="A954" s="1"/>
      <c r="B954" s="11"/>
      <c r="AA954" s="37"/>
    </row>
    <row r="955" ht="18.75" customHeight="1">
      <c r="A955" s="1"/>
      <c r="B955" s="11"/>
      <c r="AA955" s="37"/>
    </row>
    <row r="956" ht="18.75" customHeight="1">
      <c r="A956" s="1"/>
      <c r="B956" s="11"/>
      <c r="AA956" s="37"/>
    </row>
    <row r="957" ht="18.75" customHeight="1">
      <c r="A957" s="1"/>
      <c r="B957" s="11"/>
      <c r="AA957" s="37"/>
    </row>
    <row r="958" ht="18.75" customHeight="1">
      <c r="A958" s="1"/>
      <c r="B958" s="11"/>
      <c r="AA958" s="37"/>
    </row>
    <row r="959" ht="18.75" customHeight="1">
      <c r="A959" s="1"/>
      <c r="B959" s="11"/>
      <c r="AA959" s="37"/>
    </row>
    <row r="960" ht="18.75" customHeight="1">
      <c r="A960" s="1"/>
      <c r="B960" s="11"/>
      <c r="AA960" s="37"/>
    </row>
    <row r="961" ht="18.75" customHeight="1">
      <c r="A961" s="1"/>
      <c r="B961" s="11"/>
      <c r="AA961" s="37"/>
    </row>
    <row r="962" ht="18.75" customHeight="1">
      <c r="A962" s="1"/>
      <c r="B962" s="11"/>
      <c r="AA962" s="37"/>
    </row>
    <row r="963" ht="18.75" customHeight="1">
      <c r="A963" s="1"/>
      <c r="B963" s="11"/>
      <c r="AA963" s="37"/>
    </row>
    <row r="964" ht="18.75" customHeight="1">
      <c r="A964" s="1"/>
      <c r="B964" s="11"/>
      <c r="AA964" s="37"/>
    </row>
    <row r="965" ht="18.75" customHeight="1">
      <c r="A965" s="1"/>
      <c r="B965" s="11"/>
      <c r="AA965" s="37"/>
    </row>
    <row r="966" ht="18.75" customHeight="1">
      <c r="A966" s="1"/>
      <c r="B966" s="11"/>
      <c r="AA966" s="37"/>
    </row>
    <row r="967" ht="18.75" customHeight="1">
      <c r="A967" s="1"/>
      <c r="B967" s="11"/>
      <c r="AA967" s="37"/>
    </row>
    <row r="968" ht="18.75" customHeight="1">
      <c r="A968" s="1"/>
      <c r="B968" s="11"/>
      <c r="AA968" s="37"/>
    </row>
    <row r="969" ht="18.75" customHeight="1">
      <c r="A969" s="1"/>
      <c r="B969" s="11"/>
      <c r="AA969" s="37"/>
    </row>
    <row r="970" ht="18.75" customHeight="1">
      <c r="A970" s="1"/>
      <c r="B970" s="11"/>
      <c r="AA970" s="37"/>
    </row>
    <row r="971" ht="18.75" customHeight="1">
      <c r="A971" s="1"/>
      <c r="B971" s="11"/>
      <c r="AA971" s="37"/>
    </row>
    <row r="972" ht="18.75" customHeight="1">
      <c r="A972" s="1"/>
      <c r="B972" s="11"/>
      <c r="AA972" s="37"/>
    </row>
    <row r="973" ht="18.75" customHeight="1">
      <c r="A973" s="1"/>
      <c r="B973" s="11"/>
      <c r="AA973" s="37"/>
    </row>
    <row r="974" ht="18.75" customHeight="1">
      <c r="A974" s="1"/>
      <c r="B974" s="11"/>
      <c r="AA974" s="37"/>
    </row>
    <row r="975" ht="18.75" customHeight="1">
      <c r="A975" s="1"/>
      <c r="B975" s="11"/>
      <c r="AA975" s="37"/>
    </row>
    <row r="976" ht="18.75" customHeight="1">
      <c r="A976" s="1"/>
      <c r="B976" s="11"/>
      <c r="AA976" s="37"/>
    </row>
    <row r="977" ht="18.75" customHeight="1">
      <c r="A977" s="1"/>
      <c r="B977" s="11"/>
      <c r="AA977" s="37"/>
    </row>
    <row r="978" ht="18.75" customHeight="1">
      <c r="A978" s="1"/>
      <c r="B978" s="11"/>
      <c r="AA978" s="37"/>
    </row>
    <row r="979" ht="18.75" customHeight="1">
      <c r="A979" s="1"/>
      <c r="B979" s="11"/>
      <c r="AA979" s="37"/>
    </row>
    <row r="980" ht="18.75" customHeight="1">
      <c r="A980" s="1"/>
      <c r="B980" s="11"/>
      <c r="AA980" s="37"/>
    </row>
    <row r="981" ht="18.75" customHeight="1">
      <c r="A981" s="1"/>
      <c r="B981" s="11"/>
      <c r="AA981" s="37"/>
    </row>
    <row r="982" ht="18.75" customHeight="1">
      <c r="A982" s="1"/>
      <c r="B982" s="11"/>
      <c r="AA982" s="37"/>
    </row>
    <row r="983" ht="18.75" customHeight="1">
      <c r="A983" s="1"/>
      <c r="B983" s="11"/>
      <c r="AA983" s="37"/>
    </row>
    <row r="984" ht="18.75" customHeight="1">
      <c r="A984" s="1"/>
      <c r="B984" s="11"/>
      <c r="AA984" s="37"/>
    </row>
    <row r="985" ht="18.75" customHeight="1">
      <c r="A985" s="1"/>
      <c r="B985" s="11"/>
      <c r="AA985" s="37"/>
    </row>
    <row r="986" ht="18.75" customHeight="1">
      <c r="A986" s="1"/>
      <c r="B986" s="11"/>
      <c r="AA986" s="37"/>
    </row>
    <row r="987" ht="18.75" customHeight="1">
      <c r="A987" s="1"/>
      <c r="B987" s="11"/>
      <c r="AA987" s="37"/>
    </row>
    <row r="988" ht="18.75" customHeight="1">
      <c r="A988" s="1"/>
      <c r="B988" s="11"/>
      <c r="AA988" s="37"/>
    </row>
    <row r="989" ht="18.75" customHeight="1">
      <c r="A989" s="1"/>
      <c r="B989" s="11"/>
      <c r="AA989" s="37"/>
    </row>
    <row r="990" ht="18.75" customHeight="1">
      <c r="A990" s="1"/>
      <c r="B990" s="11"/>
      <c r="AA990" s="37"/>
    </row>
    <row r="991" ht="18.75" customHeight="1">
      <c r="A991" s="1"/>
      <c r="B991" s="11"/>
      <c r="AA991" s="37"/>
    </row>
    <row r="992" ht="18.75" customHeight="1">
      <c r="A992" s="1"/>
      <c r="B992" s="11"/>
      <c r="AA992" s="37"/>
    </row>
    <row r="993" ht="18.75" customHeight="1">
      <c r="A993" s="1"/>
      <c r="B993" s="11"/>
      <c r="AA993" s="37"/>
    </row>
    <row r="994" ht="18.75" customHeight="1">
      <c r="A994" s="1"/>
      <c r="B994" s="11"/>
      <c r="AA994" s="37"/>
    </row>
    <row r="995" ht="18.75" customHeight="1">
      <c r="A995" s="1"/>
      <c r="B995" s="11"/>
      <c r="AA995" s="37"/>
    </row>
    <row r="996" ht="18.75" customHeight="1">
      <c r="A996" s="1"/>
      <c r="B996" s="11"/>
      <c r="AA996" s="37"/>
    </row>
    <row r="997" ht="18.75" customHeight="1">
      <c r="A997" s="1"/>
      <c r="B997" s="11"/>
      <c r="AA997" s="37"/>
    </row>
    <row r="998" ht="18.75" customHeight="1">
      <c r="A998" s="1"/>
      <c r="B998" s="11"/>
      <c r="AA998" s="37"/>
    </row>
    <row r="999" ht="18.75" customHeight="1">
      <c r="A999" s="1"/>
      <c r="B999" s="11"/>
      <c r="AA999" s="37"/>
    </row>
    <row r="1000" ht="18.75" customHeight="1">
      <c r="A1000" s="1"/>
      <c r="B1000" s="11"/>
      <c r="AA1000" s="37"/>
    </row>
  </sheetData>
  <dataValidations>
    <dataValidation type="custom" allowBlank="1" showDropDown="1" showInputMessage="1" showErrorMessage="1" prompt="1は単独、3は3体軍隊。整数1〜99。" sqref="AD3:AG225">
      <formula1>AND(ISNUMBER(AD3),AD3=INT(AD3),AD3&gt;=1,AD3&lt;=99)</formula1>
    </dataValidation>
    <dataValidation type="list" allowBlank="1" showErrorMessage="1" sqref="A3:A159 A178:A225">
      <formula1>'地形'!A:A</formula1>
    </dataValidation>
    <dataValidation type="list" allowBlank="1" showErrorMessage="1" sqref="AA3:AA1000">
      <formula1>"単独,小集団,群れ"</formula1>
    </dataValidation>
  </dataValidations>
  <printOptions/>
  <pageMargins bottom="0.75" footer="0.0" header="0.0" left="0.7" right="0.7" top="0.75"/>
  <pageSetup paperSize="9" orientation="portrait"/>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5.13"/>
    <col customWidth="1" min="2" max="2" width="10.38"/>
    <col customWidth="1" min="3" max="3" width="36.88"/>
    <col customWidth="1" min="4" max="4" width="11.38"/>
    <col customWidth="1" min="5" max="5" width="42.63"/>
    <col customWidth="1" min="6" max="12" width="11.38"/>
    <col customWidth="1" min="13" max="14" width="20.13"/>
  </cols>
  <sheetData>
    <row r="1">
      <c r="A1" s="124" t="s">
        <v>3658</v>
      </c>
      <c r="B1" s="124" t="s">
        <v>3659</v>
      </c>
      <c r="C1" s="125" t="s">
        <v>3660</v>
      </c>
      <c r="D1" s="124" t="s">
        <v>3661</v>
      </c>
      <c r="E1" s="125" t="s">
        <v>3326</v>
      </c>
      <c r="F1" s="124" t="s">
        <v>3327</v>
      </c>
      <c r="G1" s="124" t="s">
        <v>3328</v>
      </c>
      <c r="H1" s="124" t="s">
        <v>3329</v>
      </c>
      <c r="I1" s="124" t="s">
        <v>2634</v>
      </c>
      <c r="J1" s="124" t="s">
        <v>2636</v>
      </c>
      <c r="K1" s="124" t="s">
        <v>2637</v>
      </c>
      <c r="L1" s="124" t="s">
        <v>2638</v>
      </c>
      <c r="M1" s="124" t="s">
        <v>3662</v>
      </c>
      <c r="N1" s="124" t="s">
        <v>3663</v>
      </c>
    </row>
    <row r="2">
      <c r="A2" s="39" t="s">
        <v>1317</v>
      </c>
      <c r="B2" s="39" t="s">
        <v>3664</v>
      </c>
      <c r="C2" s="126" t="s">
        <v>3665</v>
      </c>
      <c r="D2" s="89">
        <v>3.0</v>
      </c>
      <c r="E2" s="127"/>
      <c r="F2" s="89"/>
      <c r="G2" s="89"/>
      <c r="H2" s="89"/>
      <c r="I2" s="89"/>
      <c r="J2" s="89"/>
      <c r="K2" s="89"/>
      <c r="L2" s="89"/>
      <c r="M2" s="89"/>
      <c r="N2" s="89"/>
    </row>
    <row r="3">
      <c r="A3" s="39" t="s">
        <v>1331</v>
      </c>
      <c r="B3" s="39" t="s">
        <v>3664</v>
      </c>
      <c r="C3" s="126" t="s">
        <v>3666</v>
      </c>
      <c r="D3" s="89">
        <v>6.0</v>
      </c>
      <c r="E3" s="127" t="s">
        <v>3667</v>
      </c>
      <c r="F3" s="89" t="s">
        <v>3668</v>
      </c>
      <c r="G3" s="89"/>
      <c r="H3" s="89"/>
      <c r="I3" s="89"/>
      <c r="J3" s="89"/>
      <c r="K3" s="89"/>
      <c r="L3" s="89"/>
      <c r="M3" s="89"/>
      <c r="N3" s="89"/>
    </row>
    <row r="4">
      <c r="A4" s="39" t="s">
        <v>1344</v>
      </c>
      <c r="B4" s="39" t="s">
        <v>3664</v>
      </c>
      <c r="C4" s="126" t="s">
        <v>2744</v>
      </c>
      <c r="D4" s="89">
        <v>10.0</v>
      </c>
      <c r="E4" s="127"/>
      <c r="F4" s="89"/>
      <c r="G4" s="89"/>
      <c r="H4" s="89"/>
      <c r="I4" s="89"/>
      <c r="J4" s="89"/>
      <c r="K4" s="89"/>
      <c r="L4" s="89"/>
      <c r="M4" s="89"/>
      <c r="N4" s="89"/>
    </row>
    <row r="5">
      <c r="A5" s="39" t="s">
        <v>1357</v>
      </c>
      <c r="B5" s="39" t="s">
        <v>3664</v>
      </c>
      <c r="C5" s="126" t="s">
        <v>3669</v>
      </c>
      <c r="D5" s="89">
        <v>12.0</v>
      </c>
      <c r="E5" s="127"/>
      <c r="F5" s="89"/>
      <c r="G5" s="89"/>
      <c r="H5" s="89"/>
      <c r="I5" s="89"/>
      <c r="J5" s="89"/>
      <c r="K5" s="89"/>
      <c r="L5" s="89"/>
      <c r="M5" s="89"/>
      <c r="N5" s="89"/>
    </row>
    <row r="6">
      <c r="A6" s="39" t="s">
        <v>1370</v>
      </c>
      <c r="B6" s="39" t="s">
        <v>3664</v>
      </c>
      <c r="C6" s="126" t="s">
        <v>3670</v>
      </c>
      <c r="D6" s="89">
        <v>14.0</v>
      </c>
      <c r="E6" s="127"/>
      <c r="F6" s="89" t="s">
        <v>3671</v>
      </c>
      <c r="G6" s="89" t="s">
        <v>3672</v>
      </c>
      <c r="H6" s="89" t="s">
        <v>3673</v>
      </c>
      <c r="I6" s="89"/>
      <c r="J6" s="89" t="s">
        <v>3674</v>
      </c>
      <c r="K6" s="89"/>
      <c r="L6" s="89"/>
      <c r="M6" s="89"/>
      <c r="N6" s="89"/>
    </row>
    <row r="7">
      <c r="A7" s="39" t="s">
        <v>1383</v>
      </c>
      <c r="B7" s="39" t="s">
        <v>3664</v>
      </c>
      <c r="C7" s="126" t="s">
        <v>3675</v>
      </c>
      <c r="D7" s="89">
        <v>16.0</v>
      </c>
      <c r="E7" s="127"/>
      <c r="F7" s="89"/>
      <c r="G7" s="89"/>
      <c r="H7" s="89"/>
      <c r="I7" s="89"/>
      <c r="J7" s="89"/>
      <c r="K7" s="89"/>
      <c r="L7" s="89"/>
      <c r="M7" s="89"/>
      <c r="N7" s="89"/>
    </row>
    <row r="8">
      <c r="A8" s="39" t="s">
        <v>1396</v>
      </c>
      <c r="B8" s="39" t="s">
        <v>3664</v>
      </c>
      <c r="C8" s="126" t="s">
        <v>3676</v>
      </c>
      <c r="D8" s="89">
        <v>18.0</v>
      </c>
      <c r="E8" s="127"/>
      <c r="F8" s="89"/>
      <c r="G8" s="89"/>
      <c r="H8" s="89"/>
      <c r="I8" s="89"/>
      <c r="J8" s="89"/>
      <c r="K8" s="89"/>
      <c r="L8" s="89"/>
      <c r="M8" s="89"/>
      <c r="N8" s="89"/>
    </row>
    <row r="9">
      <c r="A9" s="39" t="s">
        <v>1448</v>
      </c>
      <c r="B9" s="39" t="s">
        <v>3664</v>
      </c>
      <c r="C9" s="126" t="s">
        <v>3677</v>
      </c>
      <c r="D9" s="89">
        <v>20.0</v>
      </c>
      <c r="E9" s="127"/>
      <c r="F9" s="89" t="s">
        <v>3678</v>
      </c>
      <c r="G9" s="89" t="s">
        <v>3679</v>
      </c>
      <c r="H9" s="89" t="s">
        <v>3680</v>
      </c>
      <c r="I9" s="89"/>
      <c r="J9" s="89" t="s">
        <v>3674</v>
      </c>
      <c r="K9" s="89"/>
      <c r="L9" s="89"/>
      <c r="M9" s="89"/>
      <c r="N9" s="89"/>
    </row>
    <row r="10">
      <c r="A10" s="39" t="s">
        <v>1409</v>
      </c>
      <c r="B10" s="39" t="s">
        <v>3664</v>
      </c>
      <c r="C10" s="126" t="s">
        <v>3681</v>
      </c>
      <c r="D10" s="89">
        <v>20.0</v>
      </c>
      <c r="E10" s="127"/>
      <c r="F10" s="89"/>
      <c r="G10" s="89"/>
      <c r="H10" s="89"/>
      <c r="I10" s="89"/>
      <c r="J10" s="89"/>
      <c r="K10" s="89"/>
      <c r="L10" s="89"/>
      <c r="M10" s="89"/>
      <c r="N10" s="89"/>
    </row>
    <row r="11">
      <c r="A11" s="39" t="s">
        <v>2546</v>
      </c>
      <c r="B11" s="39" t="s">
        <v>3664</v>
      </c>
      <c r="C11" s="126" t="s">
        <v>3682</v>
      </c>
      <c r="D11" s="89">
        <v>23.0</v>
      </c>
      <c r="E11" s="127"/>
      <c r="F11" s="89"/>
      <c r="G11" s="89"/>
      <c r="H11" s="89"/>
      <c r="I11" s="89"/>
      <c r="J11" s="89"/>
      <c r="K11" s="89"/>
      <c r="L11" s="89"/>
      <c r="M11" s="89"/>
      <c r="N11" s="89"/>
    </row>
    <row r="12">
      <c r="A12" s="39" t="s">
        <v>1435</v>
      </c>
      <c r="B12" s="39" t="s">
        <v>3664</v>
      </c>
      <c r="C12" s="126" t="s">
        <v>3683</v>
      </c>
      <c r="D12" s="89">
        <v>23.0</v>
      </c>
      <c r="E12" s="127" t="s">
        <v>3684</v>
      </c>
      <c r="F12" s="89" t="s">
        <v>3685</v>
      </c>
      <c r="G12" s="89"/>
      <c r="H12" s="89" t="s">
        <v>3686</v>
      </c>
      <c r="I12" s="89"/>
      <c r="J12" s="89"/>
      <c r="K12" s="89"/>
      <c r="L12" s="89"/>
      <c r="M12" s="89"/>
      <c r="N12" s="89"/>
    </row>
    <row r="13">
      <c r="A13" s="39" t="s">
        <v>2742</v>
      </c>
      <c r="B13" s="39" t="s">
        <v>3664</v>
      </c>
      <c r="C13" s="126" t="s">
        <v>3687</v>
      </c>
      <c r="D13" s="89">
        <v>25.0</v>
      </c>
      <c r="E13" s="127"/>
      <c r="F13" s="89"/>
      <c r="G13" s="89"/>
      <c r="H13" s="89"/>
      <c r="I13" s="89"/>
      <c r="J13" s="89"/>
      <c r="K13" s="89"/>
      <c r="L13" s="89"/>
      <c r="M13" s="89"/>
      <c r="N13" s="89"/>
    </row>
    <row r="14">
      <c r="A14" s="39" t="s">
        <v>2746</v>
      </c>
      <c r="B14" s="39" t="s">
        <v>3664</v>
      </c>
      <c r="C14" s="126" t="s">
        <v>3688</v>
      </c>
      <c r="D14" s="89">
        <v>27.0</v>
      </c>
      <c r="E14" s="127"/>
      <c r="F14" s="89"/>
      <c r="G14" s="89"/>
      <c r="H14" s="89"/>
      <c r="I14" s="89"/>
      <c r="J14" s="89"/>
      <c r="K14" s="89"/>
      <c r="L14" s="89"/>
      <c r="M14" s="89"/>
      <c r="N14" s="89"/>
    </row>
    <row r="15">
      <c r="A15" s="39" t="s">
        <v>1462</v>
      </c>
      <c r="B15" s="39" t="s">
        <v>3664</v>
      </c>
      <c r="C15" s="126" t="s">
        <v>3689</v>
      </c>
      <c r="D15" s="89">
        <v>30.0</v>
      </c>
      <c r="E15" s="127"/>
      <c r="F15" s="89" t="s">
        <v>3690</v>
      </c>
      <c r="G15" s="89" t="s">
        <v>3691</v>
      </c>
      <c r="H15" s="89" t="s">
        <v>3680</v>
      </c>
      <c r="I15" s="89"/>
      <c r="J15" s="89" t="s">
        <v>3692</v>
      </c>
      <c r="K15" s="89"/>
      <c r="L15" s="89"/>
      <c r="M15" s="89"/>
      <c r="N15" s="89"/>
    </row>
    <row r="16">
      <c r="A16" s="41" t="s">
        <v>3693</v>
      </c>
      <c r="B16" s="39" t="s">
        <v>1280</v>
      </c>
      <c r="C16" s="128" t="s">
        <v>3694</v>
      </c>
      <c r="D16" s="89">
        <v>3.0</v>
      </c>
      <c r="E16" s="129" t="s">
        <v>3695</v>
      </c>
      <c r="F16" s="130"/>
      <c r="G16" s="71"/>
      <c r="H16" s="130"/>
      <c r="I16" s="71"/>
      <c r="J16" s="130"/>
      <c r="K16" s="71"/>
      <c r="L16" s="71"/>
      <c r="M16" s="71"/>
      <c r="N16" s="71"/>
    </row>
    <row r="17">
      <c r="A17" s="39" t="s">
        <v>3696</v>
      </c>
      <c r="B17" s="39" t="s">
        <v>1280</v>
      </c>
      <c r="C17" s="128" t="s">
        <v>3697</v>
      </c>
      <c r="D17" s="89">
        <v>6.0</v>
      </c>
      <c r="E17" s="127" t="s">
        <v>3698</v>
      </c>
      <c r="F17" s="130" t="s">
        <v>3699</v>
      </c>
      <c r="G17" s="71"/>
      <c r="H17" s="130" t="s">
        <v>3700</v>
      </c>
      <c r="I17" s="71"/>
      <c r="J17" s="130" t="s">
        <v>3701</v>
      </c>
      <c r="K17" s="71"/>
      <c r="L17" s="71"/>
      <c r="M17" s="71"/>
      <c r="N17" s="71"/>
    </row>
    <row r="18">
      <c r="A18" s="41" t="s">
        <v>3702</v>
      </c>
      <c r="B18" s="39" t="s">
        <v>1280</v>
      </c>
      <c r="C18" s="126" t="s">
        <v>3703</v>
      </c>
      <c r="D18" s="89">
        <v>9.0</v>
      </c>
      <c r="E18" s="127" t="s">
        <v>3704</v>
      </c>
      <c r="F18" s="130" t="s">
        <v>3705</v>
      </c>
      <c r="G18" s="71"/>
      <c r="H18" s="130" t="s">
        <v>3700</v>
      </c>
      <c r="I18" s="71"/>
      <c r="J18" s="130" t="s">
        <v>3701</v>
      </c>
      <c r="K18" s="71"/>
      <c r="L18" s="71"/>
      <c r="M18" s="71"/>
      <c r="N18" s="71"/>
    </row>
    <row r="19">
      <c r="A19" s="39" t="s">
        <v>3706</v>
      </c>
      <c r="B19" s="39" t="s">
        <v>1280</v>
      </c>
      <c r="C19" s="126" t="s">
        <v>3707</v>
      </c>
      <c r="D19" s="89">
        <v>12.0</v>
      </c>
      <c r="E19" s="127" t="s">
        <v>3708</v>
      </c>
      <c r="F19" s="71"/>
      <c r="G19" s="71"/>
      <c r="H19" s="71"/>
      <c r="I19" s="71"/>
      <c r="J19" s="71"/>
      <c r="K19" s="71"/>
      <c r="L19" s="71"/>
      <c r="M19" s="71"/>
      <c r="N19" s="71"/>
    </row>
    <row r="20">
      <c r="A20" s="39" t="s">
        <v>3709</v>
      </c>
      <c r="B20" s="39" t="s">
        <v>1280</v>
      </c>
      <c r="C20" s="126" t="s">
        <v>3710</v>
      </c>
      <c r="D20" s="89">
        <v>15.0</v>
      </c>
      <c r="E20" s="127" t="s">
        <v>3711</v>
      </c>
      <c r="F20" s="71"/>
      <c r="G20" s="71"/>
      <c r="H20" s="71"/>
      <c r="I20" s="71"/>
      <c r="J20" s="71"/>
      <c r="K20" s="71"/>
      <c r="L20" s="71"/>
      <c r="M20" s="71"/>
      <c r="N20" s="71"/>
    </row>
    <row r="21">
      <c r="A21" s="39" t="s">
        <v>3712</v>
      </c>
      <c r="B21" s="39" t="s">
        <v>1280</v>
      </c>
      <c r="C21" s="126" t="s">
        <v>3713</v>
      </c>
      <c r="D21" s="89">
        <v>18.0</v>
      </c>
      <c r="E21" s="127" t="s">
        <v>3714</v>
      </c>
      <c r="F21" s="130" t="s">
        <v>3715</v>
      </c>
      <c r="G21" s="71"/>
      <c r="H21" s="130" t="s">
        <v>3680</v>
      </c>
      <c r="I21" s="130" t="s">
        <v>3716</v>
      </c>
      <c r="J21" s="130" t="s">
        <v>3692</v>
      </c>
      <c r="K21" s="71"/>
      <c r="L21" s="71"/>
      <c r="M21" s="71"/>
      <c r="N21" s="71"/>
    </row>
    <row r="22">
      <c r="A22" s="39" t="s">
        <v>3717</v>
      </c>
      <c r="B22" s="39" t="s">
        <v>1280</v>
      </c>
      <c r="C22" s="126" t="s">
        <v>3718</v>
      </c>
      <c r="D22" s="89">
        <v>21.0</v>
      </c>
      <c r="E22" s="127" t="s">
        <v>3719</v>
      </c>
      <c r="F22" s="130" t="s">
        <v>3715</v>
      </c>
      <c r="G22" s="71"/>
      <c r="H22" s="130" t="s">
        <v>3680</v>
      </c>
      <c r="I22" s="71"/>
      <c r="J22" s="130" t="s">
        <v>3692</v>
      </c>
      <c r="K22" s="71"/>
      <c r="L22" s="71"/>
      <c r="M22" s="71"/>
      <c r="N22" s="71"/>
    </row>
    <row r="23">
      <c r="A23" s="39" t="s">
        <v>3720</v>
      </c>
      <c r="B23" s="39" t="s">
        <v>1280</v>
      </c>
      <c r="C23" s="126" t="s">
        <v>3721</v>
      </c>
      <c r="D23" s="89">
        <v>24.0</v>
      </c>
      <c r="E23" s="127" t="s">
        <v>3722</v>
      </c>
      <c r="F23" s="130" t="s">
        <v>3715</v>
      </c>
      <c r="G23" s="71"/>
      <c r="H23" s="130" t="s">
        <v>3680</v>
      </c>
      <c r="I23" s="130" t="s">
        <v>3716</v>
      </c>
      <c r="J23" s="130" t="s">
        <v>3692</v>
      </c>
      <c r="K23" s="71"/>
      <c r="L23" s="71"/>
      <c r="M23" s="71"/>
      <c r="N23" s="71"/>
    </row>
    <row r="24">
      <c r="A24" s="39" t="s">
        <v>3723</v>
      </c>
      <c r="B24" s="39" t="s">
        <v>1280</v>
      </c>
      <c r="C24" s="126" t="s">
        <v>3724</v>
      </c>
      <c r="D24" s="89">
        <v>27.0</v>
      </c>
      <c r="E24" s="127" t="s">
        <v>3725</v>
      </c>
      <c r="F24" s="130" t="s">
        <v>3726</v>
      </c>
      <c r="G24" s="130" t="s">
        <v>3678</v>
      </c>
      <c r="H24" s="130" t="s">
        <v>3680</v>
      </c>
      <c r="I24" s="130" t="s">
        <v>3716</v>
      </c>
      <c r="J24" s="130" t="s">
        <v>3692</v>
      </c>
      <c r="K24" s="71"/>
      <c r="L24" s="71"/>
      <c r="M24" s="71"/>
      <c r="N24" s="71"/>
    </row>
    <row r="25">
      <c r="A25" s="39" t="s">
        <v>3727</v>
      </c>
      <c r="B25" s="39" t="s">
        <v>1280</v>
      </c>
      <c r="C25" s="128" t="s">
        <v>3728</v>
      </c>
      <c r="D25" s="89">
        <v>30.0</v>
      </c>
      <c r="E25" s="127" t="s">
        <v>3729</v>
      </c>
      <c r="F25" s="130" t="s">
        <v>3730</v>
      </c>
      <c r="G25" s="71"/>
      <c r="H25" s="130" t="s">
        <v>3680</v>
      </c>
      <c r="I25" s="130" t="s">
        <v>3716</v>
      </c>
      <c r="J25" s="130" t="s">
        <v>3692</v>
      </c>
      <c r="K25" s="71"/>
      <c r="L25" s="71"/>
      <c r="M25" s="71"/>
      <c r="N25" s="71"/>
    </row>
    <row r="26">
      <c r="A26" s="39" t="s">
        <v>3731</v>
      </c>
      <c r="B26" s="39" t="s">
        <v>1280</v>
      </c>
      <c r="C26" s="128" t="s">
        <v>3732</v>
      </c>
      <c r="D26" s="89">
        <v>33.0</v>
      </c>
      <c r="E26" s="127" t="s">
        <v>3733</v>
      </c>
      <c r="F26" s="130" t="s">
        <v>3734</v>
      </c>
      <c r="G26" s="71"/>
      <c r="H26" s="130" t="s">
        <v>3735</v>
      </c>
      <c r="I26" s="130" t="s">
        <v>3736</v>
      </c>
      <c r="J26" s="130" t="s">
        <v>3737</v>
      </c>
      <c r="K26" s="71"/>
      <c r="L26" s="71"/>
      <c r="M26" s="71"/>
      <c r="N26" s="71"/>
    </row>
    <row r="27">
      <c r="A27" s="39" t="s">
        <v>3738</v>
      </c>
      <c r="B27" s="39" t="s">
        <v>1280</v>
      </c>
      <c r="C27" s="128" t="s">
        <v>3739</v>
      </c>
      <c r="D27" s="89">
        <v>35.0</v>
      </c>
      <c r="E27" s="127" t="s">
        <v>3740</v>
      </c>
      <c r="F27" s="130" t="s">
        <v>3741</v>
      </c>
      <c r="G27" s="71"/>
      <c r="H27" s="130" t="s">
        <v>3686</v>
      </c>
      <c r="I27" s="130" t="s">
        <v>3742</v>
      </c>
      <c r="J27" s="130" t="s">
        <v>3737</v>
      </c>
      <c r="K27" s="71"/>
      <c r="L27" s="71"/>
      <c r="M27" s="71"/>
      <c r="N27" s="71"/>
    </row>
    <row r="28">
      <c r="A28" s="39" t="s">
        <v>3743</v>
      </c>
      <c r="B28" s="39" t="s">
        <v>3744</v>
      </c>
      <c r="C28" s="128" t="s">
        <v>3745</v>
      </c>
      <c r="D28" s="85">
        <v>6.0</v>
      </c>
      <c r="E28" s="127" t="s">
        <v>3746</v>
      </c>
      <c r="F28" s="130" t="s">
        <v>3747</v>
      </c>
      <c r="G28" s="130"/>
      <c r="H28" s="130" t="s">
        <v>3700</v>
      </c>
      <c r="I28" s="130" t="s">
        <v>3748</v>
      </c>
      <c r="J28" s="130" t="s">
        <v>3701</v>
      </c>
      <c r="K28" s="71"/>
      <c r="L28" s="71"/>
      <c r="M28" s="71"/>
      <c r="N28" s="71"/>
    </row>
    <row r="29">
      <c r="A29" s="39" t="s">
        <v>3749</v>
      </c>
      <c r="B29" s="39" t="s">
        <v>3744</v>
      </c>
      <c r="C29" s="128" t="s">
        <v>3750</v>
      </c>
      <c r="D29" s="85">
        <v>9.0</v>
      </c>
      <c r="E29" s="127" t="s">
        <v>3751</v>
      </c>
      <c r="F29" s="130" t="s">
        <v>3672</v>
      </c>
      <c r="G29" s="130"/>
      <c r="H29" s="130" t="s">
        <v>3700</v>
      </c>
      <c r="I29" s="130"/>
      <c r="J29" s="130" t="s">
        <v>3701</v>
      </c>
      <c r="K29" s="71"/>
      <c r="L29" s="71"/>
      <c r="M29" s="71"/>
      <c r="N29" s="71"/>
    </row>
    <row r="30">
      <c r="A30" s="39" t="s">
        <v>2710</v>
      </c>
      <c r="B30" s="39" t="s">
        <v>3744</v>
      </c>
      <c r="C30" s="128" t="s">
        <v>3752</v>
      </c>
      <c r="D30" s="85">
        <v>10.0</v>
      </c>
      <c r="E30" s="127" t="s">
        <v>3753</v>
      </c>
      <c r="F30" s="130" t="s">
        <v>3699</v>
      </c>
      <c r="G30" s="130" t="s">
        <v>3672</v>
      </c>
      <c r="H30" s="130" t="s">
        <v>3700</v>
      </c>
      <c r="I30" s="130" t="s">
        <v>3748</v>
      </c>
      <c r="J30" s="130" t="s">
        <v>3701</v>
      </c>
      <c r="K30" s="71"/>
      <c r="L30" s="71"/>
      <c r="M30" s="71"/>
      <c r="N30" s="71"/>
    </row>
    <row r="31">
      <c r="A31" s="39" t="s">
        <v>3754</v>
      </c>
      <c r="B31" s="39" t="s">
        <v>3744</v>
      </c>
      <c r="C31" s="128" t="s">
        <v>3755</v>
      </c>
      <c r="D31" s="85">
        <v>12.0</v>
      </c>
      <c r="E31" s="127" t="s">
        <v>3756</v>
      </c>
      <c r="F31" s="130" t="s">
        <v>3671</v>
      </c>
      <c r="G31" s="130" t="s">
        <v>3679</v>
      </c>
      <c r="H31" s="130" t="s">
        <v>3673</v>
      </c>
      <c r="I31" s="130" t="s">
        <v>3757</v>
      </c>
      <c r="J31" s="130" t="s">
        <v>3674</v>
      </c>
      <c r="K31" s="71"/>
      <c r="L31" s="71"/>
      <c r="M31" s="71"/>
      <c r="N31" s="71"/>
    </row>
    <row r="32">
      <c r="A32" s="41" t="s">
        <v>2713</v>
      </c>
      <c r="B32" s="39" t="s">
        <v>3744</v>
      </c>
      <c r="C32" s="128" t="s">
        <v>3758</v>
      </c>
      <c r="D32" s="89">
        <v>15.0</v>
      </c>
      <c r="E32" s="127" t="s">
        <v>3759</v>
      </c>
      <c r="F32" s="130" t="s">
        <v>3671</v>
      </c>
      <c r="G32" s="130" t="s">
        <v>3679</v>
      </c>
      <c r="H32" s="130" t="s">
        <v>3673</v>
      </c>
      <c r="I32" s="130" t="s">
        <v>3757</v>
      </c>
      <c r="J32" s="130" t="s">
        <v>3674</v>
      </c>
      <c r="K32" s="71"/>
      <c r="L32" s="71"/>
      <c r="M32" s="71"/>
      <c r="N32" s="71"/>
    </row>
    <row r="33">
      <c r="A33" s="39" t="s">
        <v>3760</v>
      </c>
      <c r="B33" s="39" t="s">
        <v>3744</v>
      </c>
      <c r="C33" s="128" t="s">
        <v>3761</v>
      </c>
      <c r="D33" s="85">
        <v>18.0</v>
      </c>
      <c r="E33" s="127" t="s">
        <v>3762</v>
      </c>
      <c r="F33" s="130" t="s">
        <v>3715</v>
      </c>
      <c r="G33" s="89"/>
      <c r="H33" s="130" t="s">
        <v>3680</v>
      </c>
      <c r="I33" s="89" t="s">
        <v>3716</v>
      </c>
      <c r="J33" s="130" t="s">
        <v>3692</v>
      </c>
      <c r="K33" s="71"/>
      <c r="L33" s="71"/>
      <c r="M33" s="71"/>
      <c r="N33" s="71"/>
    </row>
    <row r="34">
      <c r="A34" s="39" t="s">
        <v>2716</v>
      </c>
      <c r="B34" s="39" t="s">
        <v>3744</v>
      </c>
      <c r="C34" s="126" t="s">
        <v>3763</v>
      </c>
      <c r="D34" s="89">
        <v>21.0</v>
      </c>
      <c r="E34" s="127" t="s">
        <v>3764</v>
      </c>
      <c r="F34" s="130" t="s">
        <v>3678</v>
      </c>
      <c r="G34" s="89" t="s">
        <v>3691</v>
      </c>
      <c r="H34" s="130" t="s">
        <v>3680</v>
      </c>
      <c r="I34" s="89" t="s">
        <v>3716</v>
      </c>
      <c r="J34" s="130" t="s">
        <v>3692</v>
      </c>
      <c r="K34" s="71"/>
      <c r="L34" s="71"/>
      <c r="M34" s="71"/>
      <c r="N34" s="71"/>
    </row>
    <row r="35">
      <c r="A35" s="39" t="s">
        <v>3765</v>
      </c>
      <c r="B35" s="39" t="s">
        <v>3744</v>
      </c>
      <c r="C35" s="126" t="s">
        <v>3766</v>
      </c>
      <c r="D35" s="89">
        <v>24.0</v>
      </c>
      <c r="E35" s="127" t="s">
        <v>3767</v>
      </c>
      <c r="F35" s="130" t="s">
        <v>3685</v>
      </c>
      <c r="G35" s="71"/>
      <c r="H35" s="130" t="s">
        <v>3686</v>
      </c>
      <c r="I35" s="89" t="s">
        <v>3742</v>
      </c>
      <c r="J35" s="130" t="s">
        <v>3737</v>
      </c>
      <c r="K35" s="71"/>
      <c r="L35" s="71"/>
      <c r="M35" s="71"/>
      <c r="N35" s="71"/>
    </row>
    <row r="36">
      <c r="A36" s="39" t="s">
        <v>3768</v>
      </c>
      <c r="B36" s="39" t="s">
        <v>3744</v>
      </c>
      <c r="C36" s="126" t="s">
        <v>3769</v>
      </c>
      <c r="D36" s="89">
        <v>27.0</v>
      </c>
      <c r="E36" s="127" t="s">
        <v>3770</v>
      </c>
      <c r="F36" s="130" t="s">
        <v>3771</v>
      </c>
      <c r="G36" s="89" t="s">
        <v>3691</v>
      </c>
      <c r="H36" s="130" t="s">
        <v>3680</v>
      </c>
      <c r="I36" s="89" t="s">
        <v>3716</v>
      </c>
      <c r="J36" s="130" t="s">
        <v>3692</v>
      </c>
      <c r="K36" s="71"/>
      <c r="L36" s="71"/>
      <c r="M36" s="71"/>
      <c r="N36" s="71"/>
    </row>
    <row r="37">
      <c r="A37" s="39" t="s">
        <v>2719</v>
      </c>
      <c r="B37" s="39" t="s">
        <v>3744</v>
      </c>
      <c r="C37" s="126" t="s">
        <v>3772</v>
      </c>
      <c r="D37" s="89">
        <v>28.0</v>
      </c>
      <c r="E37" s="127" t="s">
        <v>3773</v>
      </c>
      <c r="F37" s="130" t="s">
        <v>3678</v>
      </c>
      <c r="G37" s="89" t="s">
        <v>3691</v>
      </c>
      <c r="H37" s="130" t="s">
        <v>3680</v>
      </c>
      <c r="I37" s="89" t="s">
        <v>3716</v>
      </c>
      <c r="J37" s="130" t="s">
        <v>3692</v>
      </c>
      <c r="K37" s="71"/>
      <c r="L37" s="71"/>
      <c r="M37" s="71"/>
      <c r="N37" s="71"/>
    </row>
    <row r="38">
      <c r="A38" s="39" t="s">
        <v>3774</v>
      </c>
      <c r="B38" s="39" t="s">
        <v>3744</v>
      </c>
      <c r="C38" s="126" t="s">
        <v>3775</v>
      </c>
      <c r="D38" s="89">
        <v>30.0</v>
      </c>
      <c r="E38" s="127" t="s">
        <v>3776</v>
      </c>
      <c r="F38" s="130" t="s">
        <v>3690</v>
      </c>
      <c r="G38" s="89" t="s">
        <v>3691</v>
      </c>
      <c r="H38" s="130" t="s">
        <v>3680</v>
      </c>
      <c r="I38" s="89" t="s">
        <v>3716</v>
      </c>
      <c r="J38" s="130" t="s">
        <v>3692</v>
      </c>
      <c r="K38" s="71"/>
      <c r="L38" s="71"/>
      <c r="M38" s="71"/>
      <c r="N38" s="71"/>
    </row>
    <row r="39">
      <c r="A39" s="39" t="s">
        <v>2722</v>
      </c>
      <c r="B39" s="39" t="s">
        <v>3744</v>
      </c>
      <c r="C39" s="126" t="s">
        <v>3777</v>
      </c>
      <c r="D39" s="89">
        <v>35.0</v>
      </c>
      <c r="E39" s="127" t="s">
        <v>3778</v>
      </c>
      <c r="F39" s="130"/>
      <c r="G39" s="89"/>
      <c r="H39" s="130" t="s">
        <v>3779</v>
      </c>
      <c r="I39" s="89"/>
      <c r="J39" s="130" t="s">
        <v>3737</v>
      </c>
      <c r="K39" s="71"/>
      <c r="L39" s="71"/>
      <c r="M39" s="71"/>
      <c r="N39" s="71"/>
    </row>
    <row r="40">
      <c r="A40" s="39"/>
      <c r="B40" s="39"/>
      <c r="C40" s="126"/>
      <c r="D40" s="89"/>
      <c r="E40" s="127"/>
      <c r="F40" s="130"/>
      <c r="G40" s="89"/>
      <c r="H40" s="130"/>
      <c r="I40" s="89"/>
      <c r="J40" s="130"/>
      <c r="K40" s="71"/>
      <c r="L40" s="71"/>
      <c r="M40" s="71"/>
      <c r="N40" s="71"/>
    </row>
    <row r="41">
      <c r="A41" s="39"/>
      <c r="B41" s="39"/>
      <c r="C41" s="126"/>
      <c r="D41" s="89"/>
      <c r="E41" s="127"/>
      <c r="F41" s="130"/>
      <c r="G41" s="89"/>
      <c r="H41" s="130"/>
      <c r="I41" s="89"/>
      <c r="J41" s="130"/>
      <c r="K41" s="71"/>
      <c r="L41" s="71"/>
      <c r="M41" s="71"/>
      <c r="N41" s="71"/>
    </row>
    <row r="42">
      <c r="A42" s="39"/>
      <c r="B42" s="39"/>
      <c r="C42" s="126"/>
      <c r="D42" s="89"/>
      <c r="E42" s="127"/>
      <c r="F42" s="130"/>
      <c r="G42" s="89"/>
      <c r="H42" s="130"/>
      <c r="I42" s="89"/>
      <c r="J42" s="130"/>
      <c r="K42" s="71"/>
      <c r="L42" s="71"/>
      <c r="M42" s="71"/>
      <c r="N42" s="71"/>
    </row>
    <row r="43">
      <c r="A43" s="39" t="s">
        <v>1477</v>
      </c>
      <c r="B43" s="39" t="s">
        <v>3780</v>
      </c>
      <c r="C43" s="126" t="s">
        <v>2754</v>
      </c>
      <c r="D43" s="89">
        <v>10.0</v>
      </c>
      <c r="E43" s="127" t="s">
        <v>3781</v>
      </c>
      <c r="F43" s="130"/>
      <c r="G43" s="71"/>
      <c r="H43" s="130"/>
      <c r="I43" s="71"/>
      <c r="J43" s="130"/>
      <c r="K43" s="71"/>
      <c r="L43" s="71"/>
      <c r="M43" s="71"/>
      <c r="N43" s="71"/>
    </row>
    <row r="44">
      <c r="A44" s="39" t="s">
        <v>2753</v>
      </c>
      <c r="B44" s="39" t="s">
        <v>3780</v>
      </c>
      <c r="C44" s="126" t="s">
        <v>3782</v>
      </c>
      <c r="D44" s="89">
        <v>20.0</v>
      </c>
      <c r="E44" s="127" t="s">
        <v>3783</v>
      </c>
      <c r="F44" s="130"/>
      <c r="G44" s="71"/>
      <c r="H44" s="130"/>
      <c r="I44" s="71"/>
      <c r="J44" s="130"/>
      <c r="K44" s="71"/>
      <c r="L44" s="71"/>
      <c r="M44" s="71"/>
      <c r="N44" s="71"/>
    </row>
    <row r="45">
      <c r="A45" s="39" t="s">
        <v>2756</v>
      </c>
      <c r="B45" s="39" t="s">
        <v>3780</v>
      </c>
      <c r="C45" s="126" t="s">
        <v>3784</v>
      </c>
      <c r="D45" s="89">
        <v>30.0</v>
      </c>
      <c r="E45" s="127" t="s">
        <v>3783</v>
      </c>
      <c r="F45" s="130"/>
      <c r="G45" s="71"/>
      <c r="H45" s="130"/>
      <c r="I45" s="71"/>
      <c r="J45" s="130"/>
      <c r="K45" s="71"/>
      <c r="L45" s="71"/>
      <c r="M45" s="71"/>
      <c r="N45" s="71"/>
    </row>
    <row r="46">
      <c r="A46" s="39" t="s">
        <v>1479</v>
      </c>
      <c r="B46" s="39" t="s">
        <v>3780</v>
      </c>
      <c r="C46" s="126" t="s">
        <v>2763</v>
      </c>
      <c r="D46" s="89">
        <v>10.0</v>
      </c>
      <c r="E46" s="127" t="s">
        <v>3785</v>
      </c>
      <c r="F46" s="130"/>
      <c r="G46" s="71"/>
      <c r="H46" s="130"/>
      <c r="I46" s="71"/>
      <c r="J46" s="130"/>
      <c r="K46" s="71"/>
      <c r="L46" s="71"/>
      <c r="M46" s="71"/>
      <c r="N46" s="71"/>
    </row>
    <row r="47">
      <c r="A47" s="39" t="s">
        <v>2762</v>
      </c>
      <c r="B47" s="39" t="s">
        <v>3780</v>
      </c>
      <c r="C47" s="126" t="s">
        <v>3786</v>
      </c>
      <c r="D47" s="89">
        <v>20.0</v>
      </c>
      <c r="E47" s="127" t="s">
        <v>3787</v>
      </c>
      <c r="F47" s="130"/>
      <c r="G47" s="71"/>
      <c r="H47" s="130"/>
      <c r="I47" s="71"/>
      <c r="J47" s="130"/>
      <c r="K47" s="71"/>
      <c r="L47" s="71"/>
      <c r="M47" s="71"/>
      <c r="N47" s="71"/>
    </row>
    <row r="48">
      <c r="A48" s="39" t="s">
        <v>2765</v>
      </c>
      <c r="B48" s="39" t="s">
        <v>3780</v>
      </c>
      <c r="C48" s="126" t="s">
        <v>3788</v>
      </c>
      <c r="D48" s="89">
        <v>30.0</v>
      </c>
      <c r="E48" s="127" t="s">
        <v>3787</v>
      </c>
      <c r="F48" s="130"/>
      <c r="G48" s="71"/>
      <c r="H48" s="130"/>
      <c r="I48" s="71"/>
      <c r="J48" s="130"/>
      <c r="K48" s="71"/>
      <c r="L48" s="71"/>
      <c r="M48" s="71"/>
      <c r="N48" s="71"/>
    </row>
    <row r="49">
      <c r="A49" s="39" t="s">
        <v>1480</v>
      </c>
      <c r="B49" s="39" t="s">
        <v>3780</v>
      </c>
      <c r="C49" s="126" t="s">
        <v>2772</v>
      </c>
      <c r="D49" s="89">
        <v>10.0</v>
      </c>
      <c r="E49" s="127" t="s">
        <v>3789</v>
      </c>
      <c r="F49" s="130"/>
      <c r="G49" s="71"/>
      <c r="H49" s="130"/>
      <c r="I49" s="71"/>
      <c r="J49" s="130"/>
      <c r="K49" s="71"/>
      <c r="L49" s="71"/>
      <c r="M49" s="71"/>
      <c r="N49" s="71"/>
    </row>
    <row r="50">
      <c r="A50" s="39" t="s">
        <v>2771</v>
      </c>
      <c r="B50" s="39" t="s">
        <v>3780</v>
      </c>
      <c r="C50" s="126" t="s">
        <v>3790</v>
      </c>
      <c r="D50" s="89">
        <v>20.0</v>
      </c>
      <c r="E50" s="127" t="s">
        <v>3791</v>
      </c>
      <c r="F50" s="130"/>
      <c r="G50" s="71"/>
      <c r="H50" s="130"/>
      <c r="I50" s="71"/>
      <c r="J50" s="130"/>
      <c r="K50" s="71"/>
      <c r="L50" s="71"/>
      <c r="M50" s="71"/>
      <c r="N50" s="71"/>
    </row>
    <row r="51">
      <c r="A51" s="39" t="s">
        <v>2774</v>
      </c>
      <c r="B51" s="39" t="s">
        <v>3780</v>
      </c>
      <c r="C51" s="126" t="s">
        <v>3792</v>
      </c>
      <c r="D51" s="89">
        <v>30.0</v>
      </c>
      <c r="E51" s="127" t="s">
        <v>3791</v>
      </c>
      <c r="F51" s="130"/>
      <c r="G51" s="71"/>
      <c r="H51" s="130"/>
      <c r="I51" s="71"/>
      <c r="J51" s="130"/>
      <c r="K51" s="71"/>
      <c r="L51" s="71"/>
      <c r="M51" s="71"/>
      <c r="N51" s="71"/>
    </row>
    <row r="52">
      <c r="A52" s="39" t="s">
        <v>1489</v>
      </c>
      <c r="B52" s="39" t="s">
        <v>3780</v>
      </c>
      <c r="C52" s="126" t="s">
        <v>2781</v>
      </c>
      <c r="D52" s="89">
        <v>10.0</v>
      </c>
      <c r="E52" s="127" t="s">
        <v>3793</v>
      </c>
      <c r="F52" s="130"/>
      <c r="G52" s="71"/>
      <c r="H52" s="130"/>
      <c r="I52" s="71"/>
      <c r="J52" s="130"/>
      <c r="K52" s="71"/>
      <c r="L52" s="71"/>
      <c r="M52" s="71"/>
      <c r="N52" s="71"/>
    </row>
    <row r="53">
      <c r="A53" s="39" t="s">
        <v>2780</v>
      </c>
      <c r="B53" s="39" t="s">
        <v>3780</v>
      </c>
      <c r="C53" s="126" t="s">
        <v>3794</v>
      </c>
      <c r="D53" s="89">
        <v>20.0</v>
      </c>
      <c r="E53" s="127" t="s">
        <v>3795</v>
      </c>
      <c r="F53" s="130"/>
      <c r="G53" s="71"/>
      <c r="H53" s="130"/>
      <c r="I53" s="71"/>
      <c r="J53" s="130"/>
      <c r="K53" s="71"/>
      <c r="L53" s="71"/>
      <c r="M53" s="71"/>
      <c r="N53" s="71"/>
    </row>
    <row r="54">
      <c r="A54" s="39" t="s">
        <v>2783</v>
      </c>
      <c r="B54" s="39" t="s">
        <v>3780</v>
      </c>
      <c r="C54" s="126" t="s">
        <v>3796</v>
      </c>
      <c r="D54" s="89">
        <v>30.0</v>
      </c>
      <c r="E54" s="127" t="s">
        <v>3795</v>
      </c>
      <c r="F54" s="130"/>
      <c r="G54" s="71"/>
      <c r="H54" s="130"/>
      <c r="I54" s="71"/>
      <c r="J54" s="130"/>
      <c r="K54" s="71"/>
      <c r="L54" s="71"/>
      <c r="M54" s="71"/>
      <c r="N54" s="71"/>
    </row>
    <row r="55">
      <c r="A55" s="39" t="s">
        <v>1491</v>
      </c>
      <c r="B55" s="39" t="s">
        <v>3780</v>
      </c>
      <c r="C55" s="126" t="s">
        <v>2790</v>
      </c>
      <c r="D55" s="89">
        <v>10.0</v>
      </c>
      <c r="E55" s="127" t="s">
        <v>3797</v>
      </c>
      <c r="F55" s="130"/>
      <c r="G55" s="71"/>
      <c r="H55" s="130"/>
      <c r="I55" s="71"/>
      <c r="J55" s="130"/>
      <c r="K55" s="71"/>
      <c r="L55" s="71"/>
      <c r="M55" s="71"/>
      <c r="N55" s="71"/>
    </row>
    <row r="56">
      <c r="A56" s="39" t="s">
        <v>2789</v>
      </c>
      <c r="B56" s="39" t="s">
        <v>3780</v>
      </c>
      <c r="C56" s="126" t="s">
        <v>3798</v>
      </c>
      <c r="D56" s="89">
        <v>20.0</v>
      </c>
      <c r="E56" s="127" t="s">
        <v>3799</v>
      </c>
      <c r="F56" s="130"/>
      <c r="G56" s="71"/>
      <c r="H56" s="130"/>
      <c r="I56" s="71"/>
      <c r="J56" s="130"/>
      <c r="K56" s="71"/>
      <c r="L56" s="71"/>
      <c r="M56" s="71"/>
      <c r="N56" s="71"/>
    </row>
    <row r="57">
      <c r="A57" s="39" t="s">
        <v>2792</v>
      </c>
      <c r="B57" s="39" t="s">
        <v>3780</v>
      </c>
      <c r="C57" s="126" t="s">
        <v>3800</v>
      </c>
      <c r="D57" s="89">
        <v>30.0</v>
      </c>
      <c r="E57" s="127" t="s">
        <v>3799</v>
      </c>
      <c r="F57" s="130"/>
      <c r="G57" s="71"/>
      <c r="H57" s="130"/>
      <c r="I57" s="71"/>
      <c r="J57" s="130"/>
      <c r="K57" s="71"/>
      <c r="L57" s="71"/>
      <c r="M57" s="71"/>
      <c r="N57" s="71"/>
    </row>
    <row r="58">
      <c r="A58" s="39" t="s">
        <v>3801</v>
      </c>
      <c r="B58" s="39" t="s">
        <v>3780</v>
      </c>
      <c r="C58" s="126" t="s">
        <v>3802</v>
      </c>
      <c r="D58" s="89">
        <v>15.0</v>
      </c>
      <c r="E58" s="127" t="s">
        <v>3803</v>
      </c>
      <c r="F58" s="130" t="s">
        <v>3671</v>
      </c>
      <c r="G58" s="71"/>
      <c r="H58" s="130" t="s">
        <v>3700</v>
      </c>
      <c r="I58" s="71"/>
      <c r="J58" s="130" t="s">
        <v>3701</v>
      </c>
      <c r="K58" s="71"/>
      <c r="L58" s="71"/>
      <c r="M58" s="71"/>
      <c r="N58" s="71"/>
    </row>
    <row r="59">
      <c r="A59" s="39" t="s">
        <v>3804</v>
      </c>
      <c r="B59" s="39" t="s">
        <v>3780</v>
      </c>
      <c r="C59" s="126" t="s">
        <v>3805</v>
      </c>
      <c r="D59" s="89">
        <v>15.0</v>
      </c>
      <c r="E59" s="127" t="s">
        <v>3806</v>
      </c>
      <c r="F59" s="130" t="s">
        <v>3671</v>
      </c>
      <c r="G59" s="89" t="s">
        <v>3679</v>
      </c>
      <c r="H59" s="130" t="s">
        <v>3673</v>
      </c>
      <c r="I59" s="71"/>
      <c r="J59" s="130" t="s">
        <v>3674</v>
      </c>
      <c r="K59" s="71"/>
      <c r="L59" s="71"/>
      <c r="M59" s="71"/>
      <c r="N59" s="71"/>
    </row>
    <row r="60">
      <c r="A60" s="39" t="s">
        <v>3807</v>
      </c>
      <c r="B60" s="39" t="s">
        <v>3780</v>
      </c>
      <c r="C60" s="126" t="s">
        <v>3808</v>
      </c>
      <c r="D60" s="89">
        <v>15.0</v>
      </c>
      <c r="E60" s="127" t="s">
        <v>3809</v>
      </c>
      <c r="F60" s="130" t="s">
        <v>3671</v>
      </c>
      <c r="G60" s="71"/>
      <c r="H60" s="130" t="s">
        <v>3700</v>
      </c>
      <c r="I60" s="71"/>
      <c r="J60" s="130" t="s">
        <v>3701</v>
      </c>
      <c r="K60" s="71"/>
      <c r="L60" s="71"/>
      <c r="M60" s="71"/>
      <c r="N60" s="71"/>
    </row>
    <row r="61">
      <c r="A61" s="39" t="s">
        <v>3810</v>
      </c>
      <c r="B61" s="39" t="s">
        <v>3780</v>
      </c>
      <c r="C61" s="126" t="s">
        <v>3811</v>
      </c>
      <c r="D61" s="89">
        <v>15.0</v>
      </c>
      <c r="E61" s="127" t="s">
        <v>3812</v>
      </c>
      <c r="F61" s="130" t="s">
        <v>3671</v>
      </c>
      <c r="G61" s="89" t="s">
        <v>3679</v>
      </c>
      <c r="H61" s="130" t="s">
        <v>3673</v>
      </c>
      <c r="I61" s="71"/>
      <c r="J61" s="130" t="s">
        <v>3674</v>
      </c>
      <c r="K61" s="71"/>
      <c r="L61" s="71"/>
      <c r="M61" s="71"/>
      <c r="N61" s="71"/>
    </row>
    <row r="62">
      <c r="A62" s="39" t="s">
        <v>3813</v>
      </c>
      <c r="B62" s="39" t="s">
        <v>3780</v>
      </c>
      <c r="C62" s="126" t="s">
        <v>3814</v>
      </c>
      <c r="D62" s="89">
        <v>15.0</v>
      </c>
      <c r="E62" s="127" t="s">
        <v>3815</v>
      </c>
      <c r="F62" s="130" t="s">
        <v>3747</v>
      </c>
      <c r="G62" s="71"/>
      <c r="H62" s="130" t="s">
        <v>3816</v>
      </c>
      <c r="I62" s="71"/>
      <c r="J62" s="130" t="s">
        <v>3701</v>
      </c>
      <c r="K62" s="71"/>
      <c r="L62" s="71"/>
      <c r="M62" s="71"/>
      <c r="N62" s="71"/>
    </row>
    <row r="63">
      <c r="A63" s="39" t="s">
        <v>3817</v>
      </c>
      <c r="B63" s="39" t="s">
        <v>3780</v>
      </c>
      <c r="C63" s="126" t="s">
        <v>3818</v>
      </c>
      <c r="D63" s="89">
        <v>25.0</v>
      </c>
      <c r="E63" s="127" t="s">
        <v>3819</v>
      </c>
      <c r="F63" s="130" t="s">
        <v>3678</v>
      </c>
      <c r="G63" s="71"/>
      <c r="H63" s="130" t="s">
        <v>3735</v>
      </c>
      <c r="I63" s="71"/>
      <c r="J63" s="130" t="s">
        <v>3737</v>
      </c>
      <c r="K63" s="71"/>
      <c r="L63" s="71"/>
      <c r="M63" s="71"/>
      <c r="N63" s="71"/>
    </row>
    <row r="64">
      <c r="A64" s="39" t="s">
        <v>3820</v>
      </c>
      <c r="B64" s="39" t="s">
        <v>3780</v>
      </c>
      <c r="C64" s="126" t="s">
        <v>3821</v>
      </c>
      <c r="D64" s="89">
        <v>25.0</v>
      </c>
      <c r="E64" s="127" t="s">
        <v>3822</v>
      </c>
      <c r="F64" s="130" t="s">
        <v>3678</v>
      </c>
      <c r="G64" s="89" t="s">
        <v>3691</v>
      </c>
      <c r="H64" s="130" t="s">
        <v>3680</v>
      </c>
      <c r="I64" s="71"/>
      <c r="J64" s="130" t="s">
        <v>3692</v>
      </c>
      <c r="K64" s="71"/>
      <c r="L64" s="71"/>
      <c r="M64" s="71"/>
      <c r="N64" s="71"/>
    </row>
    <row r="65">
      <c r="A65" s="39" t="s">
        <v>3823</v>
      </c>
      <c r="B65" s="39" t="s">
        <v>3780</v>
      </c>
      <c r="C65" s="126" t="s">
        <v>3824</v>
      </c>
      <c r="D65" s="89">
        <v>25.0</v>
      </c>
      <c r="E65" s="127" t="s">
        <v>3825</v>
      </c>
      <c r="F65" s="130" t="s">
        <v>3678</v>
      </c>
      <c r="G65" s="71"/>
      <c r="H65" s="130" t="s">
        <v>3735</v>
      </c>
      <c r="I65" s="71"/>
      <c r="J65" s="130" t="s">
        <v>3737</v>
      </c>
      <c r="K65" s="71"/>
      <c r="L65" s="71"/>
      <c r="M65" s="71"/>
      <c r="N65" s="71"/>
    </row>
    <row r="66">
      <c r="A66" s="39" t="s">
        <v>3826</v>
      </c>
      <c r="B66" s="39" t="s">
        <v>3780</v>
      </c>
      <c r="C66" s="126" t="s">
        <v>3827</v>
      </c>
      <c r="D66" s="89">
        <v>25.0</v>
      </c>
      <c r="E66" s="127" t="s">
        <v>3828</v>
      </c>
      <c r="F66" s="130" t="s">
        <v>3678</v>
      </c>
      <c r="G66" s="89" t="s">
        <v>3691</v>
      </c>
      <c r="H66" s="130" t="s">
        <v>3680</v>
      </c>
      <c r="I66" s="71"/>
      <c r="J66" s="130" t="s">
        <v>3692</v>
      </c>
      <c r="K66" s="71"/>
      <c r="L66" s="71"/>
      <c r="M66" s="71"/>
      <c r="N66" s="71"/>
    </row>
    <row r="67">
      <c r="A67" s="39" t="s">
        <v>3829</v>
      </c>
      <c r="B67" s="39" t="s">
        <v>3780</v>
      </c>
      <c r="C67" s="126" t="s">
        <v>3830</v>
      </c>
      <c r="D67" s="89">
        <v>25.0</v>
      </c>
      <c r="E67" s="127" t="s">
        <v>3831</v>
      </c>
      <c r="F67" s="130" t="s">
        <v>3685</v>
      </c>
      <c r="G67" s="71"/>
      <c r="H67" s="130" t="s">
        <v>3686</v>
      </c>
      <c r="I67" s="71"/>
      <c r="J67" s="130" t="s">
        <v>3737</v>
      </c>
      <c r="K67" s="71"/>
      <c r="L67" s="71"/>
      <c r="M67" s="71"/>
      <c r="N67" s="71"/>
    </row>
    <row r="68">
      <c r="C68" s="131"/>
      <c r="E68" s="132"/>
    </row>
    <row r="69">
      <c r="A69" s="39" t="s">
        <v>3832</v>
      </c>
      <c r="B69" s="39" t="s">
        <v>3744</v>
      </c>
      <c r="C69" s="126" t="s">
        <v>3833</v>
      </c>
      <c r="D69" s="89">
        <v>9.0</v>
      </c>
      <c r="E69" s="127" t="s">
        <v>3834</v>
      </c>
      <c r="F69" s="71"/>
      <c r="G69" s="71"/>
      <c r="H69" s="71"/>
      <c r="I69" s="71"/>
      <c r="J69" s="71"/>
      <c r="K69" s="71"/>
      <c r="L69" s="71"/>
      <c r="M69" s="71"/>
      <c r="N69" s="71"/>
    </row>
    <row r="70">
      <c r="A70" s="39" t="s">
        <v>3835</v>
      </c>
      <c r="B70" s="39" t="s">
        <v>3744</v>
      </c>
      <c r="C70" s="126" t="s">
        <v>3836</v>
      </c>
      <c r="D70" s="89">
        <v>15.0</v>
      </c>
      <c r="E70" s="127" t="s">
        <v>3837</v>
      </c>
      <c r="F70" s="71"/>
      <c r="G70" s="71"/>
      <c r="H70" s="71"/>
      <c r="I70" s="71"/>
      <c r="J70" s="71"/>
      <c r="K70" s="71"/>
      <c r="L70" s="71"/>
      <c r="M70" s="71"/>
      <c r="N70" s="71"/>
    </row>
    <row r="71">
      <c r="A71" s="39" t="s">
        <v>3838</v>
      </c>
      <c r="B71" s="39" t="s">
        <v>3744</v>
      </c>
      <c r="C71" s="126" t="s">
        <v>3839</v>
      </c>
      <c r="D71" s="89">
        <v>21.0</v>
      </c>
      <c r="E71" s="127" t="s">
        <v>3840</v>
      </c>
      <c r="F71" s="71"/>
      <c r="G71" s="71"/>
      <c r="H71" s="71"/>
      <c r="I71" s="71"/>
      <c r="J71" s="71"/>
      <c r="K71" s="71"/>
      <c r="L71" s="71"/>
      <c r="M71" s="71"/>
      <c r="N71" s="71"/>
    </row>
    <row r="72">
      <c r="C72" s="131"/>
      <c r="E72" s="132"/>
    </row>
    <row r="73">
      <c r="C73" s="131"/>
      <c r="E73" s="132"/>
    </row>
    <row r="74">
      <c r="C74" s="131"/>
      <c r="E74" s="132"/>
    </row>
    <row r="75">
      <c r="C75" s="131"/>
      <c r="E75" s="132"/>
    </row>
    <row r="76">
      <c r="C76" s="131"/>
      <c r="E76" s="132"/>
    </row>
    <row r="77">
      <c r="C77" s="131"/>
      <c r="E77" s="132"/>
    </row>
    <row r="78">
      <c r="C78" s="131"/>
      <c r="E78" s="132"/>
    </row>
    <row r="79">
      <c r="C79" s="131"/>
      <c r="E79" s="132"/>
    </row>
    <row r="80">
      <c r="C80" s="131"/>
      <c r="E80" s="132"/>
    </row>
    <row r="81">
      <c r="C81" s="131"/>
      <c r="E81" s="132"/>
    </row>
    <row r="82">
      <c r="C82" s="131"/>
      <c r="E82" s="132"/>
    </row>
    <row r="83">
      <c r="C83" s="131"/>
      <c r="E83" s="132"/>
    </row>
    <row r="84">
      <c r="C84" s="131"/>
      <c r="E84" s="132"/>
    </row>
    <row r="85">
      <c r="C85" s="131"/>
      <c r="E85" s="132"/>
    </row>
    <row r="86">
      <c r="C86" s="131"/>
      <c r="E86" s="132"/>
    </row>
    <row r="87">
      <c r="C87" s="131"/>
      <c r="E87" s="132"/>
    </row>
    <row r="88">
      <c r="C88" s="131"/>
      <c r="E88" s="132"/>
    </row>
    <row r="89">
      <c r="C89" s="131"/>
      <c r="E89" s="132"/>
    </row>
    <row r="90">
      <c r="C90" s="131"/>
      <c r="E90" s="132"/>
    </row>
    <row r="91">
      <c r="C91" s="131"/>
      <c r="E91" s="132"/>
    </row>
    <row r="92">
      <c r="C92" s="131"/>
      <c r="E92" s="132"/>
    </row>
    <row r="93">
      <c r="C93" s="131"/>
      <c r="E93" s="132"/>
    </row>
    <row r="94">
      <c r="C94" s="131"/>
      <c r="E94" s="132"/>
    </row>
    <row r="95">
      <c r="C95" s="131"/>
      <c r="E95" s="132"/>
    </row>
    <row r="96">
      <c r="C96" s="131"/>
      <c r="E96" s="132"/>
    </row>
    <row r="97">
      <c r="C97" s="131"/>
      <c r="E97" s="132"/>
    </row>
    <row r="98">
      <c r="C98" s="131"/>
      <c r="E98" s="132"/>
    </row>
    <row r="99">
      <c r="C99" s="131"/>
      <c r="E99" s="132"/>
    </row>
    <row r="100">
      <c r="C100" s="131"/>
      <c r="E100" s="132"/>
    </row>
    <row r="101">
      <c r="C101" s="131"/>
      <c r="E101" s="132"/>
    </row>
    <row r="102">
      <c r="C102" s="131"/>
      <c r="E102" s="132"/>
    </row>
    <row r="103">
      <c r="C103" s="131"/>
      <c r="E103" s="132"/>
    </row>
    <row r="104">
      <c r="C104" s="131"/>
      <c r="E104" s="132"/>
    </row>
    <row r="105">
      <c r="C105" s="131"/>
      <c r="E105" s="132"/>
    </row>
    <row r="106">
      <c r="C106" s="131"/>
      <c r="E106" s="132"/>
    </row>
    <row r="107">
      <c r="C107" s="131"/>
      <c r="E107" s="132"/>
    </row>
    <row r="108">
      <c r="C108" s="131"/>
      <c r="E108" s="132"/>
    </row>
    <row r="109">
      <c r="C109" s="131"/>
      <c r="E109" s="132"/>
    </row>
    <row r="110">
      <c r="C110" s="131"/>
      <c r="E110" s="132"/>
    </row>
    <row r="111">
      <c r="C111" s="131"/>
      <c r="E111" s="132"/>
    </row>
    <row r="112">
      <c r="C112" s="131"/>
      <c r="E112" s="132"/>
    </row>
    <row r="113">
      <c r="C113" s="131"/>
      <c r="E113" s="132"/>
    </row>
    <row r="114">
      <c r="C114" s="131"/>
      <c r="E114" s="132"/>
    </row>
    <row r="115">
      <c r="C115" s="131"/>
      <c r="E115" s="132"/>
    </row>
    <row r="116">
      <c r="C116" s="131"/>
      <c r="E116" s="132"/>
    </row>
    <row r="117">
      <c r="C117" s="131"/>
      <c r="E117" s="132"/>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2.63"/>
    <col customWidth="1" min="2" max="4" width="22.63"/>
    <col customWidth="1" min="5" max="5" width="45.13"/>
    <col customWidth="1" min="6" max="6" width="11.38"/>
    <col customWidth="1" min="7" max="7" width="40.13"/>
    <col customWidth="1" min="8" max="8" width="32.63"/>
    <col customWidth="1" min="9" max="9" width="3.13"/>
    <col customWidth="1" min="10" max="10" width="15.13"/>
    <col customWidth="1" min="11" max="12" width="22.63"/>
    <col customWidth="1" min="13" max="13" width="11.38"/>
    <col customWidth="1" min="14" max="15" width="35.13"/>
    <col customWidth="1" min="16" max="16" width="5.75"/>
    <col customWidth="1" min="17" max="17" width="6.5"/>
    <col customWidth="1" min="18" max="18" width="3.38"/>
    <col customWidth="1" min="19" max="19" width="20.13"/>
    <col customWidth="1" min="20" max="20" width="34.63"/>
    <col customWidth="1" min="21" max="21" width="7.25"/>
    <col customWidth="1" min="22" max="23" width="35.0"/>
  </cols>
  <sheetData>
    <row r="1">
      <c r="A1" s="133" t="s">
        <v>3841</v>
      </c>
      <c r="B1" s="133" t="s">
        <v>3842</v>
      </c>
      <c r="C1" s="133" t="s">
        <v>3843</v>
      </c>
      <c r="D1" s="133" t="s">
        <v>3844</v>
      </c>
      <c r="E1" s="133" t="s">
        <v>3845</v>
      </c>
      <c r="F1" s="133" t="s">
        <v>3846</v>
      </c>
      <c r="G1" s="133" t="s">
        <v>3326</v>
      </c>
      <c r="H1" s="133"/>
      <c r="I1" s="134"/>
      <c r="J1" s="133" t="s">
        <v>3847</v>
      </c>
      <c r="K1" s="133" t="s">
        <v>3848</v>
      </c>
      <c r="L1" s="133" t="s">
        <v>3849</v>
      </c>
      <c r="M1" s="133" t="s">
        <v>3846</v>
      </c>
      <c r="N1" s="133" t="s">
        <v>3326</v>
      </c>
      <c r="O1" s="133"/>
      <c r="P1" s="135" t="s">
        <v>3850</v>
      </c>
      <c r="Q1" s="135" t="s">
        <v>3659</v>
      </c>
      <c r="R1" s="135" t="s">
        <v>3851</v>
      </c>
      <c r="S1" s="135" t="s">
        <v>3852</v>
      </c>
      <c r="T1" s="135" t="s">
        <v>3853</v>
      </c>
      <c r="U1" s="135" t="s">
        <v>3846</v>
      </c>
      <c r="V1" s="135" t="s">
        <v>3326</v>
      </c>
      <c r="W1" s="135"/>
    </row>
    <row r="2">
      <c r="A2" s="119" t="s">
        <v>3854</v>
      </c>
      <c r="B2" s="119" t="s">
        <v>3855</v>
      </c>
      <c r="C2" s="119" t="s">
        <v>3856</v>
      </c>
      <c r="D2" s="119" t="s">
        <v>3857</v>
      </c>
      <c r="E2" s="111" t="s">
        <v>3858</v>
      </c>
      <c r="F2" s="119" t="s">
        <v>3859</v>
      </c>
      <c r="G2" s="119" t="s">
        <v>3860</v>
      </c>
      <c r="H2" s="119"/>
      <c r="I2" s="136"/>
      <c r="J2" s="119" t="s">
        <v>1501</v>
      </c>
      <c r="K2" s="119" t="s">
        <v>1812</v>
      </c>
      <c r="L2" s="119" t="s">
        <v>3551</v>
      </c>
      <c r="M2" s="119" t="s">
        <v>3859</v>
      </c>
      <c r="N2" s="119" t="s">
        <v>3861</v>
      </c>
      <c r="O2" s="119"/>
      <c r="P2" s="137" t="s">
        <v>1820</v>
      </c>
      <c r="Q2" s="137" t="s">
        <v>3862</v>
      </c>
      <c r="R2" s="137" t="s">
        <v>29</v>
      </c>
      <c r="S2" s="137" t="s">
        <v>3863</v>
      </c>
      <c r="T2" s="137" t="s">
        <v>3864</v>
      </c>
      <c r="U2" s="137" t="s">
        <v>3865</v>
      </c>
      <c r="V2" s="137" t="s">
        <v>3866</v>
      </c>
      <c r="W2" s="137"/>
    </row>
    <row r="3">
      <c r="A3" s="119" t="s">
        <v>3867</v>
      </c>
      <c r="B3" s="119" t="s">
        <v>3838</v>
      </c>
      <c r="C3" s="119" t="s">
        <v>1820</v>
      </c>
      <c r="D3" s="119" t="s">
        <v>3868</v>
      </c>
      <c r="E3" s="111" t="s">
        <v>3869</v>
      </c>
      <c r="F3" s="119" t="s">
        <v>3870</v>
      </c>
      <c r="G3" s="119" t="s">
        <v>3871</v>
      </c>
      <c r="H3" s="119"/>
      <c r="I3" s="136"/>
      <c r="J3" s="119" t="s">
        <v>1501</v>
      </c>
      <c r="K3" s="119" t="s">
        <v>1763</v>
      </c>
      <c r="L3" s="119" t="s">
        <v>3556</v>
      </c>
      <c r="M3" s="119" t="s">
        <v>3859</v>
      </c>
      <c r="N3" s="119" t="s">
        <v>3861</v>
      </c>
      <c r="O3" s="119"/>
      <c r="P3" s="137" t="s">
        <v>1838</v>
      </c>
      <c r="Q3" s="137" t="s">
        <v>3872</v>
      </c>
      <c r="R3" s="137" t="s">
        <v>1820</v>
      </c>
      <c r="S3" s="137" t="s">
        <v>3873</v>
      </c>
      <c r="T3" s="137" t="s">
        <v>3874</v>
      </c>
      <c r="U3" s="137" t="s">
        <v>3865</v>
      </c>
      <c r="V3" s="137" t="s">
        <v>3875</v>
      </c>
      <c r="W3" s="137"/>
    </row>
    <row r="4">
      <c r="A4" s="119" t="s">
        <v>3876</v>
      </c>
      <c r="B4" s="119" t="s">
        <v>3706</v>
      </c>
      <c r="C4" s="119"/>
      <c r="D4" s="119"/>
      <c r="E4" s="111"/>
      <c r="F4" s="119" t="s">
        <v>3870</v>
      </c>
      <c r="G4" s="119" t="s">
        <v>3871</v>
      </c>
      <c r="H4" s="119"/>
      <c r="I4" s="136"/>
      <c r="J4" s="119" t="s">
        <v>1501</v>
      </c>
      <c r="K4" s="119"/>
      <c r="L4" s="119" t="s">
        <v>3877</v>
      </c>
      <c r="M4" s="119" t="s">
        <v>3859</v>
      </c>
      <c r="N4" s="119" t="s">
        <v>3878</v>
      </c>
      <c r="O4" s="119"/>
      <c r="P4" s="137" t="s">
        <v>1857</v>
      </c>
      <c r="Q4" s="137" t="s">
        <v>3872</v>
      </c>
      <c r="R4" s="137" t="s">
        <v>1820</v>
      </c>
      <c r="S4" s="137" t="s">
        <v>3879</v>
      </c>
      <c r="T4" s="137" t="s">
        <v>3880</v>
      </c>
      <c r="U4" s="137" t="s">
        <v>3865</v>
      </c>
      <c r="V4" s="137" t="s">
        <v>3881</v>
      </c>
      <c r="W4" s="137"/>
    </row>
    <row r="5">
      <c r="A5" s="119" t="s">
        <v>3882</v>
      </c>
      <c r="B5" s="119" t="s">
        <v>3883</v>
      </c>
      <c r="C5" s="119"/>
      <c r="D5" s="119"/>
      <c r="E5" s="111"/>
      <c r="F5" s="119" t="s">
        <v>3884</v>
      </c>
      <c r="G5" s="119" t="s">
        <v>3885</v>
      </c>
      <c r="H5" s="119"/>
      <c r="I5" s="136"/>
      <c r="J5" s="119" t="s">
        <v>1521</v>
      </c>
      <c r="K5" s="119" t="s">
        <v>1812</v>
      </c>
      <c r="L5" s="119" t="s">
        <v>3559</v>
      </c>
      <c r="M5" s="119" t="s">
        <v>3859</v>
      </c>
      <c r="N5" s="119" t="s">
        <v>3886</v>
      </c>
      <c r="O5" s="119"/>
      <c r="P5" s="137" t="s">
        <v>1876</v>
      </c>
      <c r="Q5" s="137" t="s">
        <v>3872</v>
      </c>
      <c r="R5" s="137" t="s">
        <v>1820</v>
      </c>
      <c r="S5" s="137" t="s">
        <v>3887</v>
      </c>
      <c r="T5" s="137" t="s">
        <v>3888</v>
      </c>
      <c r="U5" s="137" t="s">
        <v>3865</v>
      </c>
      <c r="V5" s="137" t="s">
        <v>3889</v>
      </c>
      <c r="W5" s="137"/>
    </row>
    <row r="6">
      <c r="A6" s="119" t="s">
        <v>3890</v>
      </c>
      <c r="B6" s="119" t="s">
        <v>3891</v>
      </c>
      <c r="C6" s="119"/>
      <c r="D6" s="119"/>
      <c r="E6" s="111"/>
      <c r="F6" s="119" t="s">
        <v>3884</v>
      </c>
      <c r="G6" s="119" t="s">
        <v>3892</v>
      </c>
      <c r="H6" s="119"/>
      <c r="I6" s="136"/>
      <c r="J6" s="119" t="s">
        <v>1507</v>
      </c>
      <c r="K6" s="119" t="s">
        <v>1775</v>
      </c>
      <c r="L6" s="119" t="s">
        <v>3562</v>
      </c>
      <c r="M6" s="119" t="s">
        <v>3859</v>
      </c>
      <c r="N6" s="119" t="s">
        <v>3861</v>
      </c>
      <c r="O6" s="119"/>
      <c r="P6" s="137" t="s">
        <v>1894</v>
      </c>
      <c r="Q6" s="137" t="s">
        <v>3893</v>
      </c>
      <c r="R6" s="137" t="s">
        <v>29</v>
      </c>
      <c r="S6" s="137" t="s">
        <v>3894</v>
      </c>
      <c r="T6" s="137" t="s">
        <v>3895</v>
      </c>
      <c r="U6" s="137" t="s">
        <v>3896</v>
      </c>
      <c r="V6" s="137" t="s">
        <v>3897</v>
      </c>
      <c r="W6" s="137"/>
    </row>
    <row r="7">
      <c r="A7" s="119" t="s">
        <v>3898</v>
      </c>
      <c r="B7" s="119" t="s">
        <v>3356</v>
      </c>
      <c r="C7" s="119" t="s">
        <v>1820</v>
      </c>
      <c r="D7" s="119" t="s">
        <v>3899</v>
      </c>
      <c r="E7" s="111" t="s">
        <v>3900</v>
      </c>
      <c r="F7" s="119" t="s">
        <v>3870</v>
      </c>
      <c r="G7" s="119" t="s">
        <v>3901</v>
      </c>
      <c r="H7" s="119"/>
      <c r="I7" s="136"/>
      <c r="J7" s="119" t="s">
        <v>1507</v>
      </c>
      <c r="K7" s="119" t="s">
        <v>1766</v>
      </c>
      <c r="L7" s="119" t="s">
        <v>3565</v>
      </c>
      <c r="M7" s="119" t="s">
        <v>3859</v>
      </c>
      <c r="N7" s="119" t="s">
        <v>3861</v>
      </c>
      <c r="O7" s="119"/>
      <c r="P7" s="137" t="s">
        <v>3902</v>
      </c>
      <c r="Q7" s="137" t="s">
        <v>3893</v>
      </c>
      <c r="R7" s="137" t="s">
        <v>29</v>
      </c>
      <c r="S7" s="137" t="s">
        <v>3903</v>
      </c>
      <c r="T7" s="137" t="s">
        <v>3904</v>
      </c>
      <c r="U7" s="137" t="s">
        <v>3896</v>
      </c>
      <c r="V7" s="137" t="s">
        <v>3905</v>
      </c>
      <c r="W7" s="137"/>
    </row>
    <row r="8">
      <c r="A8" s="119" t="s">
        <v>3906</v>
      </c>
      <c r="B8" s="119" t="s">
        <v>3359</v>
      </c>
      <c r="C8" s="119"/>
      <c r="D8" s="119" t="s">
        <v>3907</v>
      </c>
      <c r="E8" s="111" t="s">
        <v>3908</v>
      </c>
      <c r="F8" s="119" t="s">
        <v>3870</v>
      </c>
      <c r="G8" s="119" t="s">
        <v>3909</v>
      </c>
      <c r="H8" s="119"/>
      <c r="I8" s="136"/>
      <c r="J8" s="119" t="s">
        <v>1507</v>
      </c>
      <c r="K8" s="119"/>
      <c r="L8" s="119" t="s">
        <v>3910</v>
      </c>
      <c r="M8" s="119" t="s">
        <v>3859</v>
      </c>
      <c r="N8" s="119" t="s">
        <v>3878</v>
      </c>
      <c r="O8" s="119"/>
    </row>
    <row r="9">
      <c r="A9" s="119" t="s">
        <v>3911</v>
      </c>
      <c r="B9" s="119" t="s">
        <v>3428</v>
      </c>
      <c r="C9" s="119" t="s">
        <v>1820</v>
      </c>
      <c r="D9" s="119" t="s">
        <v>3912</v>
      </c>
      <c r="E9" s="111" t="s">
        <v>3913</v>
      </c>
      <c r="F9" s="119" t="s">
        <v>3870</v>
      </c>
      <c r="G9" s="119" t="s">
        <v>3914</v>
      </c>
      <c r="H9" s="119"/>
      <c r="I9" s="136"/>
      <c r="J9" s="119" t="s">
        <v>1504</v>
      </c>
      <c r="K9" s="119" t="s">
        <v>1778</v>
      </c>
      <c r="L9" s="119" t="s">
        <v>3569</v>
      </c>
      <c r="M9" s="119" t="s">
        <v>3859</v>
      </c>
      <c r="N9" s="119" t="s">
        <v>3861</v>
      </c>
      <c r="O9" s="119"/>
      <c r="P9" s="119"/>
      <c r="Q9" s="119"/>
      <c r="R9" s="119"/>
      <c r="S9" s="119"/>
      <c r="T9" s="119"/>
      <c r="U9" s="119"/>
      <c r="V9" s="119"/>
      <c r="W9" s="119"/>
    </row>
    <row r="10">
      <c r="A10" s="119" t="s">
        <v>3915</v>
      </c>
      <c r="B10" s="119" t="s">
        <v>3431</v>
      </c>
      <c r="C10" s="119" t="s">
        <v>1820</v>
      </c>
      <c r="D10" s="119" t="s">
        <v>3916</v>
      </c>
      <c r="E10" s="111" t="s">
        <v>3917</v>
      </c>
      <c r="F10" s="119" t="s">
        <v>3870</v>
      </c>
      <c r="G10" s="119" t="s">
        <v>3918</v>
      </c>
      <c r="H10" s="119"/>
      <c r="I10" s="136"/>
      <c r="J10" s="119" t="s">
        <v>1504</v>
      </c>
      <c r="K10" s="119"/>
      <c r="L10" s="119" t="s">
        <v>3919</v>
      </c>
      <c r="M10" s="119" t="s">
        <v>3859</v>
      </c>
      <c r="N10" s="119" t="s">
        <v>3878</v>
      </c>
      <c r="O10" s="119"/>
      <c r="P10" s="111"/>
      <c r="Q10" s="111"/>
      <c r="R10" s="111"/>
      <c r="S10" s="111"/>
      <c r="T10" s="111"/>
      <c r="U10" s="111"/>
      <c r="V10" s="111"/>
      <c r="W10" s="111"/>
    </row>
    <row r="11">
      <c r="A11" s="119" t="s">
        <v>3920</v>
      </c>
      <c r="B11" s="119" t="s">
        <v>3399</v>
      </c>
      <c r="C11" s="119"/>
      <c r="D11" s="119" t="s">
        <v>3921</v>
      </c>
      <c r="E11" s="111" t="s">
        <v>3922</v>
      </c>
      <c r="F11" s="119" t="s">
        <v>3870</v>
      </c>
      <c r="G11" s="119" t="s">
        <v>3923</v>
      </c>
      <c r="H11" s="119"/>
      <c r="I11" s="136"/>
      <c r="J11" s="119" t="s">
        <v>1504</v>
      </c>
      <c r="K11" s="119" t="s">
        <v>1781</v>
      </c>
      <c r="L11" s="119" t="s">
        <v>3573</v>
      </c>
      <c r="M11" s="119" t="s">
        <v>3859</v>
      </c>
      <c r="N11" s="119" t="s">
        <v>3861</v>
      </c>
      <c r="O11" s="119"/>
      <c r="P11" s="111"/>
      <c r="Q11" s="111"/>
      <c r="R11" s="111"/>
      <c r="S11" s="111"/>
      <c r="T11" s="111"/>
      <c r="U11" s="111"/>
      <c r="V11" s="111"/>
      <c r="W11" s="111"/>
    </row>
    <row r="12">
      <c r="A12" s="119" t="s">
        <v>3924</v>
      </c>
      <c r="B12" s="119" t="s">
        <v>3388</v>
      </c>
      <c r="C12" s="119" t="s">
        <v>1820</v>
      </c>
      <c r="D12" s="119" t="s">
        <v>3925</v>
      </c>
      <c r="E12" s="111" t="s">
        <v>3926</v>
      </c>
      <c r="F12" s="119" t="s">
        <v>3870</v>
      </c>
      <c r="G12" s="119" t="s">
        <v>3927</v>
      </c>
      <c r="H12" s="119"/>
      <c r="I12" s="136"/>
      <c r="J12" s="119" t="s">
        <v>1516</v>
      </c>
      <c r="K12" s="119" t="s">
        <v>1781</v>
      </c>
      <c r="L12" s="119" t="s">
        <v>3577</v>
      </c>
      <c r="M12" s="119" t="s">
        <v>3859</v>
      </c>
      <c r="N12" s="119" t="s">
        <v>3861</v>
      </c>
      <c r="O12" s="119"/>
      <c r="P12" s="111"/>
      <c r="Q12" s="111"/>
      <c r="R12" s="111"/>
      <c r="S12" s="111"/>
      <c r="T12" s="111"/>
      <c r="U12" s="111"/>
      <c r="V12" s="111"/>
      <c r="W12" s="111"/>
    </row>
    <row r="13">
      <c r="A13" s="119" t="s">
        <v>3928</v>
      </c>
      <c r="B13" s="119" t="s">
        <v>3459</v>
      </c>
      <c r="C13" s="119" t="s">
        <v>3929</v>
      </c>
      <c r="D13" s="119" t="s">
        <v>3930</v>
      </c>
      <c r="E13" s="111" t="s">
        <v>3931</v>
      </c>
      <c r="F13" s="119" t="s">
        <v>3870</v>
      </c>
      <c r="G13" s="119" t="s">
        <v>3932</v>
      </c>
      <c r="H13" s="119"/>
      <c r="I13" s="136"/>
      <c r="J13" s="119" t="s">
        <v>1516</v>
      </c>
      <c r="K13" s="119" t="s">
        <v>1788</v>
      </c>
      <c r="L13" s="119" t="s">
        <v>3582</v>
      </c>
      <c r="M13" s="119" t="s">
        <v>3859</v>
      </c>
      <c r="N13" s="119" t="s">
        <v>3861</v>
      </c>
      <c r="O13" s="119"/>
      <c r="P13" s="111"/>
      <c r="Q13" s="111"/>
      <c r="R13" s="111"/>
      <c r="S13" s="111"/>
      <c r="T13" s="111"/>
      <c r="U13" s="111"/>
      <c r="V13" s="111"/>
      <c r="W13" s="111"/>
    </row>
    <row r="14">
      <c r="A14" s="119" t="s">
        <v>3933</v>
      </c>
      <c r="B14" s="119" t="s">
        <v>3422</v>
      </c>
      <c r="C14" s="119" t="s">
        <v>3934</v>
      </c>
      <c r="D14" s="119" t="s">
        <v>3935</v>
      </c>
      <c r="E14" s="109" t="s">
        <v>3936</v>
      </c>
      <c r="F14" s="119" t="s">
        <v>3870</v>
      </c>
      <c r="G14" s="119" t="s">
        <v>3937</v>
      </c>
      <c r="H14" s="119"/>
      <c r="I14" s="136"/>
      <c r="J14" s="119" t="s">
        <v>1516</v>
      </c>
      <c r="K14" s="119" t="s">
        <v>1778</v>
      </c>
      <c r="L14" s="119" t="s">
        <v>3585</v>
      </c>
      <c r="M14" s="119" t="s">
        <v>3859</v>
      </c>
      <c r="N14" s="119" t="s">
        <v>3861</v>
      </c>
      <c r="O14" s="119"/>
      <c r="P14" s="111"/>
      <c r="Q14" s="111"/>
      <c r="R14" s="111"/>
      <c r="S14" s="111"/>
      <c r="T14" s="111"/>
      <c r="U14" s="111"/>
      <c r="V14" s="111"/>
      <c r="W14" s="111"/>
    </row>
    <row r="15">
      <c r="A15" s="119" t="s">
        <v>3938</v>
      </c>
      <c r="B15" s="119" t="s">
        <v>1920</v>
      </c>
      <c r="C15" s="119"/>
      <c r="D15" s="119" t="s">
        <v>3939</v>
      </c>
      <c r="E15" s="111" t="s">
        <v>3940</v>
      </c>
      <c r="F15" s="119" t="s">
        <v>3870</v>
      </c>
      <c r="G15" s="119" t="s">
        <v>3941</v>
      </c>
      <c r="H15" s="138"/>
      <c r="I15" s="136"/>
      <c r="J15" s="119" t="s">
        <v>1494</v>
      </c>
      <c r="K15" s="119" t="s">
        <v>1775</v>
      </c>
      <c r="L15" s="119" t="s">
        <v>3587</v>
      </c>
      <c r="M15" s="119" t="s">
        <v>3859</v>
      </c>
      <c r="N15" s="119" t="s">
        <v>3861</v>
      </c>
      <c r="O15" s="119"/>
      <c r="P15" s="111"/>
      <c r="Q15" s="111"/>
      <c r="R15" s="111"/>
      <c r="S15" s="111"/>
      <c r="T15" s="111"/>
      <c r="U15" s="111"/>
      <c r="V15" s="111"/>
      <c r="W15" s="111"/>
    </row>
    <row r="16">
      <c r="A16" s="119" t="s">
        <v>3942</v>
      </c>
      <c r="B16" s="119" t="s">
        <v>3353</v>
      </c>
      <c r="C16" s="119"/>
      <c r="D16" s="119" t="s">
        <v>3943</v>
      </c>
      <c r="E16" s="111" t="s">
        <v>3944</v>
      </c>
      <c r="F16" s="119" t="s">
        <v>3870</v>
      </c>
      <c r="G16" s="119" t="s">
        <v>3945</v>
      </c>
      <c r="I16" s="139"/>
      <c r="J16" s="39" t="s">
        <v>1494</v>
      </c>
      <c r="K16" s="39" t="s">
        <v>1788</v>
      </c>
      <c r="L16" s="39" t="s">
        <v>3590</v>
      </c>
      <c r="M16" s="39" t="s">
        <v>3859</v>
      </c>
      <c r="N16" s="39" t="s">
        <v>3861</v>
      </c>
      <c r="O16" s="39"/>
      <c r="P16" s="106"/>
      <c r="Q16" s="106"/>
      <c r="R16" s="106"/>
      <c r="S16" s="106"/>
      <c r="T16" s="106"/>
      <c r="U16" s="106"/>
      <c r="V16" s="106"/>
      <c r="W16" s="106"/>
    </row>
    <row r="17">
      <c r="A17" s="119" t="s">
        <v>3946</v>
      </c>
      <c r="B17" s="119" t="s">
        <v>3489</v>
      </c>
      <c r="C17" s="119"/>
      <c r="D17" s="119" t="s">
        <v>3947</v>
      </c>
      <c r="E17" s="111" t="s">
        <v>3948</v>
      </c>
      <c r="F17" s="119" t="s">
        <v>3870</v>
      </c>
      <c r="G17" s="119" t="s">
        <v>3949</v>
      </c>
      <c r="I17" s="139"/>
      <c r="J17" s="39" t="s">
        <v>1494</v>
      </c>
      <c r="K17" s="39" t="s">
        <v>1797</v>
      </c>
      <c r="L17" s="39" t="s">
        <v>3594</v>
      </c>
      <c r="M17" s="39" t="s">
        <v>3859</v>
      </c>
      <c r="N17" s="39" t="s">
        <v>3861</v>
      </c>
      <c r="O17" s="39"/>
      <c r="P17" s="106"/>
      <c r="Q17" s="106"/>
      <c r="R17" s="106"/>
      <c r="S17" s="109"/>
      <c r="T17" s="109"/>
      <c r="U17" s="106"/>
      <c r="V17" s="109"/>
      <c r="W17" s="106"/>
    </row>
    <row r="18">
      <c r="A18" s="119" t="s">
        <v>3950</v>
      </c>
      <c r="B18" s="119" t="s">
        <v>3498</v>
      </c>
      <c r="C18" s="119"/>
      <c r="D18" s="119" t="s">
        <v>3951</v>
      </c>
      <c r="E18" s="111" t="s">
        <v>3952</v>
      </c>
      <c r="F18" s="119" t="s">
        <v>3870</v>
      </c>
      <c r="G18" s="119" t="s">
        <v>3953</v>
      </c>
      <c r="I18" s="139"/>
      <c r="J18" s="39" t="s">
        <v>1511</v>
      </c>
      <c r="K18" s="39"/>
      <c r="L18" s="39" t="s">
        <v>3954</v>
      </c>
      <c r="M18" s="39" t="s">
        <v>3859</v>
      </c>
      <c r="N18" s="39" t="s">
        <v>3878</v>
      </c>
      <c r="O18" s="39"/>
      <c r="P18" s="106"/>
      <c r="Q18" s="106"/>
      <c r="R18" s="106"/>
      <c r="S18" s="106"/>
      <c r="T18" s="106"/>
      <c r="U18" s="106"/>
      <c r="V18" s="106"/>
      <c r="W18" s="106"/>
    </row>
    <row r="19">
      <c r="A19" s="119"/>
      <c r="B19" s="119"/>
      <c r="C19" s="119"/>
      <c r="D19" s="119"/>
      <c r="E19" s="111"/>
      <c r="F19" s="119"/>
      <c r="G19" s="119"/>
      <c r="I19" s="139"/>
      <c r="J19" s="39" t="s">
        <v>1528</v>
      </c>
      <c r="K19" s="39" t="s">
        <v>1788</v>
      </c>
      <c r="L19" s="39" t="s">
        <v>3597</v>
      </c>
      <c r="M19" s="39" t="s">
        <v>3859</v>
      </c>
      <c r="N19" s="39" t="s">
        <v>3861</v>
      </c>
      <c r="O19" s="39"/>
      <c r="P19" s="106"/>
      <c r="Q19" s="106"/>
      <c r="R19" s="106"/>
      <c r="S19" s="106"/>
      <c r="T19" s="106"/>
      <c r="U19" s="106"/>
      <c r="V19" s="106"/>
      <c r="W19" s="106"/>
    </row>
    <row r="20">
      <c r="A20" s="39" t="s">
        <v>3955</v>
      </c>
      <c r="B20" s="39" t="s">
        <v>3467</v>
      </c>
      <c r="C20" s="39" t="s">
        <v>147</v>
      </c>
      <c r="D20" s="39" t="s">
        <v>3956</v>
      </c>
      <c r="E20" s="106" t="s">
        <v>3957</v>
      </c>
      <c r="F20" s="39" t="s">
        <v>3870</v>
      </c>
      <c r="G20" s="39" t="s">
        <v>3958</v>
      </c>
      <c r="I20" s="139"/>
      <c r="J20" s="39" t="s">
        <v>1528</v>
      </c>
      <c r="K20" s="39" t="s">
        <v>1778</v>
      </c>
      <c r="L20" s="39" t="s">
        <v>3601</v>
      </c>
      <c r="M20" s="39" t="s">
        <v>3859</v>
      </c>
      <c r="N20" s="39" t="s">
        <v>3861</v>
      </c>
      <c r="O20" s="39"/>
      <c r="P20" s="106"/>
      <c r="Q20" s="106"/>
      <c r="R20" s="106"/>
      <c r="S20" s="106"/>
      <c r="T20" s="106"/>
      <c r="U20" s="106"/>
      <c r="V20" s="106"/>
      <c r="W20" s="106"/>
    </row>
    <row r="21">
      <c r="A21" s="39" t="s">
        <v>3959</v>
      </c>
      <c r="B21" s="39" t="s">
        <v>3960</v>
      </c>
      <c r="C21" s="39" t="s">
        <v>1820</v>
      </c>
      <c r="D21" s="39" t="s">
        <v>3961</v>
      </c>
      <c r="E21" s="106" t="s">
        <v>3962</v>
      </c>
      <c r="F21" s="39" t="s">
        <v>3870</v>
      </c>
      <c r="G21" s="39" t="s">
        <v>3963</v>
      </c>
      <c r="I21" s="139"/>
      <c r="J21" s="39" t="s">
        <v>1528</v>
      </c>
      <c r="K21" s="39" t="s">
        <v>1760</v>
      </c>
      <c r="L21" s="39" t="s">
        <v>3604</v>
      </c>
      <c r="M21" s="39" t="s">
        <v>3859</v>
      </c>
      <c r="N21" s="39" t="s">
        <v>3861</v>
      </c>
      <c r="O21" s="39"/>
      <c r="P21" s="106"/>
      <c r="Q21" s="106"/>
      <c r="R21" s="106"/>
      <c r="S21" s="106"/>
      <c r="T21" s="106"/>
      <c r="U21" s="106"/>
      <c r="V21" s="106"/>
      <c r="W21" s="106"/>
    </row>
    <row r="22">
      <c r="A22" s="39" t="s">
        <v>3964</v>
      </c>
      <c r="B22" s="39" t="s">
        <v>3965</v>
      </c>
      <c r="C22" s="39" t="s">
        <v>3966</v>
      </c>
      <c r="D22" s="39" t="s">
        <v>3967</v>
      </c>
      <c r="E22" s="106" t="s">
        <v>3968</v>
      </c>
      <c r="F22" s="39" t="s">
        <v>3870</v>
      </c>
      <c r="G22" s="39" t="s">
        <v>3969</v>
      </c>
      <c r="I22" s="139"/>
      <c r="J22" s="39" t="s">
        <v>1573</v>
      </c>
      <c r="K22" s="39" t="s">
        <v>1760</v>
      </c>
      <c r="L22" s="39" t="s">
        <v>3607</v>
      </c>
      <c r="M22" s="39" t="s">
        <v>3859</v>
      </c>
      <c r="N22" s="39" t="s">
        <v>3970</v>
      </c>
      <c r="O22" s="39"/>
      <c r="P22" s="106"/>
      <c r="Q22" s="106"/>
      <c r="R22" s="106"/>
      <c r="S22" s="106"/>
      <c r="T22" s="106"/>
      <c r="U22" s="106"/>
      <c r="V22" s="106"/>
      <c r="W22" s="106"/>
    </row>
    <row r="23">
      <c r="A23" s="39" t="s">
        <v>3971</v>
      </c>
      <c r="B23" s="39" t="s">
        <v>3972</v>
      </c>
      <c r="E23" s="109"/>
      <c r="F23" s="39" t="s">
        <v>3870</v>
      </c>
      <c r="G23" s="39" t="s">
        <v>3973</v>
      </c>
      <c r="I23" s="139"/>
      <c r="J23" s="39" t="s">
        <v>1511</v>
      </c>
      <c r="K23" s="39" t="s">
        <v>1766</v>
      </c>
      <c r="L23" s="39" t="s">
        <v>3399</v>
      </c>
      <c r="M23" s="39" t="s">
        <v>3870</v>
      </c>
      <c r="N23" s="39" t="s">
        <v>3974</v>
      </c>
      <c r="O23" s="39"/>
      <c r="P23" s="106"/>
      <c r="Q23" s="106"/>
      <c r="R23" s="106"/>
      <c r="S23" s="106"/>
      <c r="T23" s="106"/>
      <c r="U23" s="106"/>
      <c r="V23" s="106"/>
      <c r="W23" s="106"/>
    </row>
    <row r="24">
      <c r="A24" s="39" t="s">
        <v>3975</v>
      </c>
      <c r="B24" s="39" t="s">
        <v>3976</v>
      </c>
      <c r="E24" s="109"/>
      <c r="F24" s="39" t="s">
        <v>3870</v>
      </c>
      <c r="G24" s="39" t="s">
        <v>3977</v>
      </c>
      <c r="I24" s="139"/>
      <c r="J24" s="39" t="s">
        <v>1507</v>
      </c>
      <c r="K24" s="39" t="s">
        <v>1775</v>
      </c>
      <c r="L24" s="39" t="s">
        <v>3442</v>
      </c>
      <c r="M24" s="39" t="s">
        <v>3870</v>
      </c>
      <c r="N24" s="39" t="s">
        <v>3978</v>
      </c>
      <c r="O24" s="39"/>
      <c r="P24" s="106"/>
      <c r="Q24" s="106"/>
      <c r="R24" s="106"/>
      <c r="S24" s="106"/>
      <c r="T24" s="106"/>
      <c r="U24" s="106"/>
      <c r="V24" s="106"/>
      <c r="W24" s="106"/>
    </row>
    <row r="25">
      <c r="A25" s="39" t="s">
        <v>3979</v>
      </c>
      <c r="B25" s="39" t="s">
        <v>3980</v>
      </c>
      <c r="E25" s="109"/>
      <c r="F25" s="39" t="s">
        <v>3870</v>
      </c>
      <c r="G25" s="39" t="s">
        <v>3981</v>
      </c>
      <c r="I25" s="140"/>
      <c r="J25" s="39" t="s">
        <v>1511</v>
      </c>
      <c r="K25" s="39" t="s">
        <v>1491</v>
      </c>
      <c r="L25" s="39" t="s">
        <v>3444</v>
      </c>
      <c r="M25" s="39" t="s">
        <v>3870</v>
      </c>
      <c r="N25" s="39" t="s">
        <v>3982</v>
      </c>
      <c r="O25" s="39"/>
      <c r="P25" s="106"/>
      <c r="Q25" s="106"/>
      <c r="R25" s="106"/>
      <c r="S25" s="106"/>
      <c r="T25" s="106"/>
      <c r="U25" s="106"/>
      <c r="V25" s="106"/>
      <c r="W25" s="106"/>
    </row>
    <row r="26">
      <c r="A26" s="39" t="s">
        <v>3983</v>
      </c>
      <c r="B26" s="39" t="s">
        <v>3984</v>
      </c>
      <c r="E26" s="109"/>
      <c r="F26" s="39" t="s">
        <v>3870</v>
      </c>
      <c r="G26" s="39" t="s">
        <v>3985</v>
      </c>
      <c r="I26" s="140"/>
      <c r="J26" s="39" t="s">
        <v>1504</v>
      </c>
      <c r="K26" s="39" t="s">
        <v>1778</v>
      </c>
      <c r="L26" s="39" t="s">
        <v>3478</v>
      </c>
      <c r="M26" s="39" t="s">
        <v>3870</v>
      </c>
      <c r="N26" s="39" t="s">
        <v>3986</v>
      </c>
      <c r="O26" s="39"/>
      <c r="P26" s="106"/>
      <c r="Q26" s="106"/>
      <c r="R26" s="106"/>
      <c r="S26" s="106"/>
      <c r="T26" s="106"/>
      <c r="U26" s="106"/>
      <c r="V26" s="106"/>
      <c r="W26" s="106"/>
    </row>
    <row r="27">
      <c r="A27" s="39" t="s">
        <v>3987</v>
      </c>
      <c r="B27" s="39" t="s">
        <v>3988</v>
      </c>
      <c r="E27" s="109"/>
      <c r="F27" s="39" t="s">
        <v>3870</v>
      </c>
      <c r="G27" s="39" t="s">
        <v>3989</v>
      </c>
      <c r="I27" s="140"/>
      <c r="J27" s="39" t="s">
        <v>1504</v>
      </c>
      <c r="K27" s="39" t="s">
        <v>1781</v>
      </c>
      <c r="L27" s="39" t="s">
        <v>3480</v>
      </c>
      <c r="M27" s="39" t="s">
        <v>3870</v>
      </c>
      <c r="N27" s="39" t="s">
        <v>3990</v>
      </c>
      <c r="O27" s="39"/>
      <c r="P27" s="106"/>
      <c r="Q27" s="106"/>
      <c r="R27" s="106"/>
      <c r="S27" s="106"/>
      <c r="T27" s="106"/>
      <c r="U27" s="106"/>
      <c r="V27" s="106"/>
      <c r="W27" s="106"/>
    </row>
    <row r="28">
      <c r="A28" s="39" t="s">
        <v>3991</v>
      </c>
      <c r="B28" s="39" t="s">
        <v>3992</v>
      </c>
      <c r="E28" s="109"/>
      <c r="F28" s="39" t="s">
        <v>3870</v>
      </c>
      <c r="G28" s="39" t="s">
        <v>3993</v>
      </c>
      <c r="I28" s="140"/>
      <c r="J28" s="39" t="s">
        <v>1533</v>
      </c>
      <c r="K28" s="39" t="s">
        <v>1760</v>
      </c>
      <c r="M28" s="39" t="s">
        <v>3859</v>
      </c>
      <c r="N28" s="39" t="s">
        <v>3994</v>
      </c>
      <c r="O28" s="39"/>
      <c r="P28" s="106"/>
      <c r="Q28" s="106"/>
      <c r="R28" s="106"/>
      <c r="S28" s="106"/>
      <c r="T28" s="106"/>
      <c r="U28" s="106"/>
      <c r="V28" s="106"/>
      <c r="W28" s="106"/>
    </row>
    <row r="29">
      <c r="A29" s="39" t="s">
        <v>3995</v>
      </c>
      <c r="B29" s="39" t="s">
        <v>3996</v>
      </c>
      <c r="C29" s="39" t="s">
        <v>3997</v>
      </c>
      <c r="D29" s="39" t="s">
        <v>3998</v>
      </c>
      <c r="E29" s="106" t="s">
        <v>3999</v>
      </c>
      <c r="F29" s="39" t="s">
        <v>3870</v>
      </c>
      <c r="G29" s="39" t="s">
        <v>4000</v>
      </c>
      <c r="I29" s="140"/>
      <c r="J29" s="39" t="s">
        <v>1533</v>
      </c>
      <c r="K29" s="39" t="s">
        <v>1797</v>
      </c>
      <c r="M29" s="39" t="s">
        <v>3859</v>
      </c>
      <c r="N29" s="39" t="s">
        <v>3994</v>
      </c>
      <c r="O29" s="39"/>
      <c r="P29" s="106"/>
      <c r="Q29" s="106"/>
      <c r="R29" s="106"/>
      <c r="S29" s="106"/>
      <c r="T29" s="106"/>
      <c r="U29" s="106"/>
      <c r="V29" s="106"/>
      <c r="W29" s="106"/>
    </row>
    <row r="30">
      <c r="A30" s="39" t="s">
        <v>4001</v>
      </c>
      <c r="B30" s="39" t="s">
        <v>4002</v>
      </c>
      <c r="E30" s="109"/>
      <c r="F30" s="39" t="s">
        <v>3870</v>
      </c>
      <c r="G30" s="39" t="s">
        <v>4003</v>
      </c>
      <c r="I30" s="140"/>
      <c r="J30" s="39" t="s">
        <v>1533</v>
      </c>
      <c r="K30" s="39" t="s">
        <v>1788</v>
      </c>
      <c r="M30" s="39" t="s">
        <v>3859</v>
      </c>
      <c r="N30" s="39" t="s">
        <v>3994</v>
      </c>
      <c r="O30" s="39"/>
      <c r="P30" s="106"/>
      <c r="Q30" s="106"/>
      <c r="R30" s="106"/>
      <c r="S30" s="106"/>
      <c r="T30" s="106"/>
      <c r="U30" s="106"/>
      <c r="V30" s="106"/>
      <c r="W30" s="106"/>
    </row>
    <row r="31">
      <c r="A31" s="39" t="s">
        <v>4004</v>
      </c>
      <c r="B31" s="39" t="s">
        <v>4005</v>
      </c>
      <c r="C31" s="39" t="s">
        <v>3997</v>
      </c>
      <c r="E31" s="109"/>
      <c r="F31" s="39" t="s">
        <v>3870</v>
      </c>
      <c r="G31" s="39" t="s">
        <v>4006</v>
      </c>
      <c r="I31" s="140"/>
      <c r="J31" s="39" t="s">
        <v>4007</v>
      </c>
      <c r="K31" s="39" t="s">
        <v>1788</v>
      </c>
      <c r="M31" s="39" t="s">
        <v>3859</v>
      </c>
      <c r="N31" s="39" t="s">
        <v>3994</v>
      </c>
      <c r="O31" s="39"/>
      <c r="P31" s="106"/>
      <c r="Q31" s="106"/>
      <c r="R31" s="106"/>
      <c r="S31" s="106"/>
      <c r="T31" s="106"/>
      <c r="U31" s="106"/>
      <c r="V31" s="106"/>
      <c r="W31" s="106"/>
    </row>
    <row r="32">
      <c r="A32" s="39" t="s">
        <v>4008</v>
      </c>
      <c r="B32" s="39" t="s">
        <v>4009</v>
      </c>
      <c r="C32" s="39" t="s">
        <v>4010</v>
      </c>
      <c r="D32" s="39" t="s">
        <v>4011</v>
      </c>
      <c r="E32" s="106" t="s">
        <v>4012</v>
      </c>
      <c r="F32" s="39" t="s">
        <v>3870</v>
      </c>
      <c r="G32" s="39" t="s">
        <v>4013</v>
      </c>
      <c r="I32" s="140"/>
      <c r="J32" s="39" t="s">
        <v>4007</v>
      </c>
      <c r="K32" s="39" t="s">
        <v>1775</v>
      </c>
      <c r="M32" s="39" t="s">
        <v>3859</v>
      </c>
      <c r="N32" s="39" t="s">
        <v>3994</v>
      </c>
      <c r="O32" s="39"/>
      <c r="P32" s="106"/>
      <c r="Q32" s="106"/>
      <c r="R32" s="106"/>
      <c r="S32" s="106"/>
      <c r="T32" s="106"/>
      <c r="U32" s="106"/>
      <c r="V32" s="106"/>
      <c r="W32" s="106"/>
    </row>
    <row r="33">
      <c r="A33" s="39" t="s">
        <v>4014</v>
      </c>
      <c r="B33" s="39" t="s">
        <v>4015</v>
      </c>
      <c r="C33" s="39" t="s">
        <v>4010</v>
      </c>
      <c r="D33" s="39" t="s">
        <v>4016</v>
      </c>
      <c r="E33" s="106" t="s">
        <v>4017</v>
      </c>
      <c r="F33" s="39" t="s">
        <v>3870</v>
      </c>
      <c r="G33" s="39" t="s">
        <v>4018</v>
      </c>
      <c r="I33" s="140"/>
      <c r="J33" s="39" t="s">
        <v>4007</v>
      </c>
      <c r="K33" s="39" t="s">
        <v>1763</v>
      </c>
      <c r="M33" s="39" t="s">
        <v>3859</v>
      </c>
      <c r="N33" s="39" t="s">
        <v>3994</v>
      </c>
      <c r="O33" s="39"/>
      <c r="P33" s="106"/>
      <c r="Q33" s="106"/>
      <c r="R33" s="106"/>
      <c r="S33" s="106"/>
      <c r="T33" s="106"/>
      <c r="U33" s="106"/>
      <c r="V33" s="106"/>
      <c r="W33" s="106"/>
    </row>
    <row r="34">
      <c r="A34" s="39" t="s">
        <v>4019</v>
      </c>
      <c r="B34" s="39" t="s">
        <v>4020</v>
      </c>
      <c r="C34" s="39" t="s">
        <v>4010</v>
      </c>
      <c r="D34" s="39" t="s">
        <v>4021</v>
      </c>
      <c r="E34" s="106" t="s">
        <v>4022</v>
      </c>
      <c r="F34" s="39" t="s">
        <v>3870</v>
      </c>
      <c r="G34" s="39" t="s">
        <v>4023</v>
      </c>
      <c r="I34" s="140"/>
      <c r="J34" s="39" t="s">
        <v>4024</v>
      </c>
      <c r="K34" s="39" t="s">
        <v>1788</v>
      </c>
      <c r="M34" s="39" t="s">
        <v>3859</v>
      </c>
      <c r="N34" s="39" t="s">
        <v>3994</v>
      </c>
      <c r="O34" s="39"/>
      <c r="P34" s="106"/>
      <c r="Q34" s="106"/>
      <c r="R34" s="106"/>
      <c r="S34" s="106"/>
      <c r="T34" s="106"/>
      <c r="U34" s="106"/>
      <c r="V34" s="106"/>
      <c r="W34" s="106"/>
    </row>
    <row r="35">
      <c r="A35" s="39" t="s">
        <v>4025</v>
      </c>
      <c r="B35" s="39" t="s">
        <v>4026</v>
      </c>
      <c r="C35" s="39" t="s">
        <v>4010</v>
      </c>
      <c r="D35" s="39" t="s">
        <v>4027</v>
      </c>
      <c r="E35" s="106" t="s">
        <v>4028</v>
      </c>
      <c r="F35" s="39" t="s">
        <v>3870</v>
      </c>
      <c r="G35" s="39" t="s">
        <v>4029</v>
      </c>
      <c r="I35" s="140"/>
      <c r="J35" s="39" t="s">
        <v>4024</v>
      </c>
      <c r="K35" s="39" t="s">
        <v>1781</v>
      </c>
      <c r="M35" s="39" t="s">
        <v>3859</v>
      </c>
      <c r="N35" s="39" t="s">
        <v>3994</v>
      </c>
      <c r="O35" s="39"/>
      <c r="P35" s="106"/>
      <c r="Q35" s="106"/>
      <c r="R35" s="106"/>
      <c r="S35" s="106"/>
      <c r="T35" s="106"/>
      <c r="U35" s="106"/>
      <c r="V35" s="106"/>
      <c r="W35" s="106"/>
    </row>
    <row r="36">
      <c r="A36" s="39" t="s">
        <v>4030</v>
      </c>
      <c r="B36" s="39" t="s">
        <v>4031</v>
      </c>
      <c r="C36" s="39" t="s">
        <v>4032</v>
      </c>
      <c r="D36" s="39" t="s">
        <v>4033</v>
      </c>
      <c r="E36" s="106" t="s">
        <v>4034</v>
      </c>
      <c r="F36" s="39" t="s">
        <v>3870</v>
      </c>
      <c r="G36" s="39" t="s">
        <v>4035</v>
      </c>
      <c r="I36" s="140"/>
      <c r="J36" s="39" t="s">
        <v>4024</v>
      </c>
      <c r="K36" s="39" t="s">
        <v>1775</v>
      </c>
      <c r="M36" s="39" t="s">
        <v>3859</v>
      </c>
      <c r="N36" s="39" t="s">
        <v>3994</v>
      </c>
      <c r="O36" s="39"/>
      <c r="P36" s="39"/>
      <c r="Q36" s="39"/>
      <c r="R36" s="39"/>
      <c r="S36" s="39"/>
      <c r="T36" s="39"/>
      <c r="U36" s="39"/>
      <c r="V36" s="39"/>
      <c r="W36" s="39"/>
    </row>
    <row r="37">
      <c r="A37" s="39" t="s">
        <v>4036</v>
      </c>
      <c r="B37" s="39" t="s">
        <v>4037</v>
      </c>
      <c r="C37" s="39" t="s">
        <v>4032</v>
      </c>
      <c r="D37" s="39" t="s">
        <v>4038</v>
      </c>
      <c r="E37" s="106" t="s">
        <v>4039</v>
      </c>
      <c r="F37" s="39" t="s">
        <v>3870</v>
      </c>
      <c r="G37" s="39" t="s">
        <v>4040</v>
      </c>
      <c r="I37" s="140"/>
      <c r="J37" s="39" t="s">
        <v>1547</v>
      </c>
      <c r="K37" s="39" t="s">
        <v>1766</v>
      </c>
      <c r="M37" s="39" t="s">
        <v>3859</v>
      </c>
      <c r="N37" s="39" t="s">
        <v>3994</v>
      </c>
      <c r="O37" s="39"/>
      <c r="P37" s="39"/>
      <c r="Q37" s="39"/>
      <c r="R37" s="39"/>
      <c r="S37" s="39"/>
      <c r="T37" s="39"/>
      <c r="U37" s="39"/>
      <c r="V37" s="39"/>
      <c r="W37" s="39"/>
    </row>
    <row r="38">
      <c r="A38" s="39" t="s">
        <v>4041</v>
      </c>
      <c r="B38" s="39" t="s">
        <v>4042</v>
      </c>
      <c r="C38" s="39" t="s">
        <v>4032</v>
      </c>
      <c r="D38" s="39" t="s">
        <v>4043</v>
      </c>
      <c r="E38" s="106" t="s">
        <v>4044</v>
      </c>
      <c r="F38" s="39" t="s">
        <v>3870</v>
      </c>
      <c r="G38" s="39" t="s">
        <v>4045</v>
      </c>
      <c r="I38" s="140"/>
      <c r="J38" s="39" t="s">
        <v>1547</v>
      </c>
      <c r="K38" s="39" t="s">
        <v>1812</v>
      </c>
      <c r="M38" s="39" t="s">
        <v>3859</v>
      </c>
      <c r="N38" s="39" t="s">
        <v>3994</v>
      </c>
      <c r="O38" s="39"/>
      <c r="P38" s="39"/>
      <c r="Q38" s="39"/>
      <c r="R38" s="39"/>
      <c r="S38" s="39"/>
      <c r="T38" s="39"/>
      <c r="U38" s="39"/>
      <c r="V38" s="39"/>
      <c r="W38" s="39"/>
    </row>
    <row r="39">
      <c r="A39" s="39" t="s">
        <v>4046</v>
      </c>
      <c r="B39" s="39" t="s">
        <v>4047</v>
      </c>
      <c r="C39" s="39" t="s">
        <v>4032</v>
      </c>
      <c r="D39" s="39" t="s">
        <v>4048</v>
      </c>
      <c r="E39" s="106" t="s">
        <v>4049</v>
      </c>
      <c r="F39" s="39" t="s">
        <v>3870</v>
      </c>
      <c r="G39" s="39" t="s">
        <v>4050</v>
      </c>
      <c r="J39" s="39" t="s">
        <v>1547</v>
      </c>
      <c r="K39" s="39" t="s">
        <v>1295</v>
      </c>
      <c r="L39" s="37"/>
      <c r="M39" s="39" t="s">
        <v>3859</v>
      </c>
      <c r="N39" s="39" t="s">
        <v>3994</v>
      </c>
      <c r="O39" s="39"/>
      <c r="P39" s="39"/>
      <c r="Q39" s="39"/>
      <c r="R39" s="39"/>
      <c r="S39" s="39"/>
      <c r="T39" s="39"/>
      <c r="U39" s="39"/>
      <c r="V39" s="39"/>
      <c r="W39" s="39"/>
    </row>
    <row r="40">
      <c r="A40" s="39" t="s">
        <v>4051</v>
      </c>
      <c r="B40" s="39" t="s">
        <v>4052</v>
      </c>
      <c r="C40" s="39" t="s">
        <v>4053</v>
      </c>
      <c r="D40" s="39" t="s">
        <v>4054</v>
      </c>
      <c r="E40" s="106" t="s">
        <v>4055</v>
      </c>
      <c r="F40" s="39" t="s">
        <v>3870</v>
      </c>
      <c r="G40" s="39" t="s">
        <v>4056</v>
      </c>
      <c r="J40" s="39" t="s">
        <v>4057</v>
      </c>
      <c r="K40" s="39" t="s">
        <v>1788</v>
      </c>
      <c r="L40" s="37"/>
      <c r="M40" s="39" t="s">
        <v>3859</v>
      </c>
      <c r="N40" s="39" t="s">
        <v>3994</v>
      </c>
      <c r="O40" s="39"/>
      <c r="P40" s="39"/>
      <c r="Q40" s="39"/>
      <c r="R40" s="39"/>
      <c r="S40" s="39"/>
      <c r="T40" s="39"/>
      <c r="U40" s="39"/>
      <c r="V40" s="39"/>
      <c r="W40" s="39"/>
    </row>
    <row r="41">
      <c r="A41" s="39" t="s">
        <v>4058</v>
      </c>
      <c r="B41" s="39" t="s">
        <v>4059</v>
      </c>
      <c r="C41" s="39" t="s">
        <v>4032</v>
      </c>
      <c r="D41" s="39" t="s">
        <v>4060</v>
      </c>
      <c r="E41" s="106" t="s">
        <v>4061</v>
      </c>
      <c r="F41" s="39" t="s">
        <v>3870</v>
      </c>
      <c r="G41" s="39" t="s">
        <v>4062</v>
      </c>
      <c r="J41" s="39" t="s">
        <v>4057</v>
      </c>
      <c r="K41" s="39" t="s">
        <v>1760</v>
      </c>
      <c r="L41" s="37"/>
      <c r="M41" s="39" t="s">
        <v>3859</v>
      </c>
      <c r="N41" s="39" t="s">
        <v>3994</v>
      </c>
      <c r="O41" s="39"/>
      <c r="P41" s="39"/>
      <c r="Q41" s="39"/>
      <c r="R41" s="39"/>
      <c r="S41" s="39"/>
      <c r="T41" s="39"/>
      <c r="U41" s="39"/>
      <c r="V41" s="39"/>
      <c r="W41" s="39"/>
    </row>
    <row r="42">
      <c r="A42" s="39" t="s">
        <v>4063</v>
      </c>
      <c r="B42" s="39" t="s">
        <v>4064</v>
      </c>
      <c r="C42" s="39" t="s">
        <v>4065</v>
      </c>
      <c r="D42" s="39" t="s">
        <v>4066</v>
      </c>
      <c r="E42" s="106" t="s">
        <v>4067</v>
      </c>
      <c r="F42" s="39" t="s">
        <v>3870</v>
      </c>
      <c r="G42" s="39" t="s">
        <v>4068</v>
      </c>
      <c r="J42" s="39" t="s">
        <v>4057</v>
      </c>
      <c r="K42" s="39" t="s">
        <v>1766</v>
      </c>
      <c r="L42" s="37"/>
      <c r="M42" s="39" t="s">
        <v>3859</v>
      </c>
      <c r="N42" s="39" t="s">
        <v>3994</v>
      </c>
      <c r="O42" s="39"/>
      <c r="P42" s="39"/>
      <c r="Q42" s="39"/>
      <c r="R42" s="39"/>
      <c r="S42" s="39"/>
      <c r="T42" s="39"/>
      <c r="U42" s="39"/>
      <c r="V42" s="39"/>
      <c r="W42" s="39"/>
    </row>
    <row r="43">
      <c r="A43" s="39" t="s">
        <v>4069</v>
      </c>
      <c r="B43" s="39" t="s">
        <v>4070</v>
      </c>
      <c r="C43" s="39" t="s">
        <v>4071</v>
      </c>
      <c r="D43" s="39" t="s">
        <v>4072</v>
      </c>
      <c r="E43" s="106" t="s">
        <v>4073</v>
      </c>
      <c r="F43" s="39" t="s">
        <v>3870</v>
      </c>
      <c r="G43" s="39" t="s">
        <v>4074</v>
      </c>
      <c r="J43" s="39" t="s">
        <v>1590</v>
      </c>
      <c r="K43" s="39" t="s">
        <v>1766</v>
      </c>
      <c r="L43" s="37"/>
      <c r="M43" s="39" t="s">
        <v>3859</v>
      </c>
      <c r="N43" s="39" t="s">
        <v>3994</v>
      </c>
      <c r="O43" s="39"/>
      <c r="P43" s="39"/>
      <c r="Q43" s="39"/>
      <c r="R43" s="39"/>
      <c r="S43" s="39"/>
      <c r="T43" s="39"/>
      <c r="U43" s="39"/>
      <c r="V43" s="39"/>
      <c r="W43" s="39"/>
    </row>
    <row r="44">
      <c r="A44" s="39" t="s">
        <v>4075</v>
      </c>
      <c r="B44" s="39" t="s">
        <v>4076</v>
      </c>
      <c r="C44" s="39" t="s">
        <v>4077</v>
      </c>
      <c r="D44" s="39" t="s">
        <v>4078</v>
      </c>
      <c r="E44" s="106" t="s">
        <v>4079</v>
      </c>
      <c r="F44" s="39" t="s">
        <v>3870</v>
      </c>
      <c r="G44" s="39" t="s">
        <v>4080</v>
      </c>
      <c r="J44" s="39" t="s">
        <v>1590</v>
      </c>
      <c r="K44" s="39" t="s">
        <v>1797</v>
      </c>
      <c r="L44" s="37"/>
      <c r="M44" s="39" t="s">
        <v>3859</v>
      </c>
      <c r="N44" s="39" t="s">
        <v>3994</v>
      </c>
      <c r="O44" s="39"/>
      <c r="P44" s="39"/>
      <c r="Q44" s="39"/>
      <c r="R44" s="39"/>
      <c r="S44" s="39"/>
      <c r="T44" s="39"/>
      <c r="U44" s="39"/>
      <c r="V44" s="39"/>
      <c r="W44" s="39"/>
    </row>
    <row r="45">
      <c r="A45" s="39" t="s">
        <v>4081</v>
      </c>
      <c r="B45" s="39" t="s">
        <v>4082</v>
      </c>
      <c r="C45" s="39" t="s">
        <v>4077</v>
      </c>
      <c r="D45" s="39" t="s">
        <v>4083</v>
      </c>
      <c r="E45" s="106" t="s">
        <v>4084</v>
      </c>
      <c r="F45" s="39" t="s">
        <v>3870</v>
      </c>
      <c r="G45" s="39" t="s">
        <v>4085</v>
      </c>
      <c r="J45" s="39" t="s">
        <v>1590</v>
      </c>
      <c r="K45" s="39" t="s">
        <v>1763</v>
      </c>
      <c r="L45" s="37"/>
      <c r="M45" s="39" t="s">
        <v>3859</v>
      </c>
      <c r="N45" s="39" t="s">
        <v>3994</v>
      </c>
      <c r="O45" s="39"/>
      <c r="P45" s="39"/>
      <c r="Q45" s="39"/>
      <c r="R45" s="39"/>
      <c r="S45" s="39"/>
      <c r="T45" s="39"/>
      <c r="U45" s="39"/>
      <c r="V45" s="39"/>
      <c r="W45" s="39"/>
    </row>
    <row r="46">
      <c r="A46" s="39" t="s">
        <v>4086</v>
      </c>
      <c r="B46" s="39" t="s">
        <v>4087</v>
      </c>
      <c r="C46" s="39" t="s">
        <v>1820</v>
      </c>
      <c r="D46" s="39" t="s">
        <v>4088</v>
      </c>
      <c r="E46" s="106" t="s">
        <v>4089</v>
      </c>
      <c r="F46" s="39" t="s">
        <v>3870</v>
      </c>
      <c r="G46" s="39" t="s">
        <v>4090</v>
      </c>
      <c r="J46" s="39" t="s">
        <v>1580</v>
      </c>
      <c r="K46" s="39" t="s">
        <v>1781</v>
      </c>
      <c r="L46" s="37"/>
      <c r="M46" s="39" t="s">
        <v>3859</v>
      </c>
      <c r="N46" s="39" t="s">
        <v>3994</v>
      </c>
      <c r="O46" s="39"/>
      <c r="P46" s="39"/>
      <c r="Q46" s="39"/>
      <c r="R46" s="39"/>
      <c r="S46" s="39"/>
      <c r="T46" s="39"/>
      <c r="U46" s="39"/>
      <c r="V46" s="39"/>
      <c r="W46" s="39"/>
    </row>
    <row r="47">
      <c r="F47" s="37"/>
      <c r="J47" s="39" t="s">
        <v>1580</v>
      </c>
      <c r="K47" s="39" t="s">
        <v>1788</v>
      </c>
      <c r="L47" s="37"/>
      <c r="M47" s="39" t="s">
        <v>3859</v>
      </c>
      <c r="N47" s="39" t="s">
        <v>3994</v>
      </c>
      <c r="O47" s="39"/>
      <c r="P47" s="39"/>
      <c r="Q47" s="39"/>
      <c r="R47" s="39"/>
      <c r="S47" s="39"/>
      <c r="T47" s="39"/>
      <c r="U47" s="39"/>
      <c r="V47" s="39"/>
      <c r="W47" s="39"/>
    </row>
    <row r="48">
      <c r="F48" s="37"/>
      <c r="J48" s="39" t="s">
        <v>1580</v>
      </c>
      <c r="K48" s="39" t="s">
        <v>1763</v>
      </c>
      <c r="L48" s="37"/>
      <c r="M48" s="39" t="s">
        <v>3859</v>
      </c>
      <c r="N48" s="39" t="s">
        <v>3994</v>
      </c>
      <c r="O48" s="39"/>
      <c r="P48" s="39"/>
      <c r="Q48" s="39"/>
      <c r="R48" s="39"/>
      <c r="S48" s="39"/>
      <c r="T48" s="39"/>
      <c r="U48" s="39"/>
      <c r="V48" s="39"/>
      <c r="W48" s="39"/>
    </row>
    <row r="49">
      <c r="F49" s="37"/>
      <c r="J49" s="39" t="s">
        <v>4091</v>
      </c>
      <c r="K49" s="39" t="s">
        <v>1781</v>
      </c>
      <c r="L49" s="37"/>
      <c r="M49" s="39" t="s">
        <v>3859</v>
      </c>
      <c r="N49" s="39" t="s">
        <v>3994</v>
      </c>
      <c r="O49" s="39"/>
      <c r="P49" s="39"/>
      <c r="Q49" s="39"/>
      <c r="R49" s="39"/>
      <c r="S49" s="39"/>
      <c r="T49" s="39"/>
      <c r="U49" s="39"/>
      <c r="V49" s="39"/>
      <c r="W49" s="39"/>
    </row>
    <row r="50">
      <c r="F50" s="37"/>
      <c r="J50" s="39" t="s">
        <v>4091</v>
      </c>
      <c r="K50" s="39" t="s">
        <v>1763</v>
      </c>
      <c r="L50" s="37"/>
      <c r="M50" s="39" t="s">
        <v>3859</v>
      </c>
      <c r="N50" s="39" t="s">
        <v>3994</v>
      </c>
      <c r="O50" s="39"/>
      <c r="P50" s="39"/>
      <c r="Q50" s="39"/>
      <c r="R50" s="39"/>
      <c r="S50" s="39"/>
      <c r="T50" s="39"/>
      <c r="U50" s="39"/>
      <c r="V50" s="39"/>
      <c r="W50" s="39"/>
    </row>
    <row r="51">
      <c r="F51" s="37"/>
      <c r="J51" s="39" t="s">
        <v>4091</v>
      </c>
      <c r="K51" s="39" t="s">
        <v>1778</v>
      </c>
      <c r="L51" s="37"/>
      <c r="M51" s="39" t="s">
        <v>3859</v>
      </c>
      <c r="N51" s="39" t="s">
        <v>3994</v>
      </c>
      <c r="O51" s="39"/>
      <c r="P51" s="39"/>
      <c r="Q51" s="39"/>
      <c r="R51" s="39"/>
      <c r="S51" s="39"/>
      <c r="T51" s="39"/>
      <c r="U51" s="39"/>
      <c r="V51" s="39"/>
      <c r="W51" s="39"/>
    </row>
    <row r="52">
      <c r="F52" s="37"/>
      <c r="J52" s="39" t="s">
        <v>4092</v>
      </c>
      <c r="K52" s="39" t="s">
        <v>1781</v>
      </c>
      <c r="L52" s="37"/>
      <c r="M52" s="39" t="s">
        <v>3859</v>
      </c>
      <c r="N52" s="39" t="s">
        <v>3994</v>
      </c>
      <c r="O52" s="39"/>
      <c r="P52" s="39"/>
      <c r="Q52" s="39"/>
      <c r="R52" s="39"/>
      <c r="S52" s="39"/>
      <c r="T52" s="39"/>
      <c r="U52" s="39"/>
      <c r="V52" s="39"/>
      <c r="W52" s="39"/>
    </row>
    <row r="53">
      <c r="F53" s="37"/>
      <c r="J53" s="39" t="s">
        <v>4092</v>
      </c>
      <c r="K53" s="39" t="s">
        <v>1778</v>
      </c>
      <c r="L53" s="37"/>
      <c r="M53" s="39" t="s">
        <v>3859</v>
      </c>
      <c r="N53" s="39" t="s">
        <v>3994</v>
      </c>
      <c r="O53" s="39"/>
      <c r="P53" s="39"/>
      <c r="Q53" s="39"/>
      <c r="R53" s="39"/>
      <c r="S53" s="39"/>
      <c r="T53" s="39"/>
      <c r="U53" s="39"/>
      <c r="V53" s="39"/>
      <c r="W53" s="39"/>
    </row>
    <row r="54">
      <c r="F54" s="37"/>
      <c r="J54" s="39" t="s">
        <v>4092</v>
      </c>
      <c r="K54" s="39" t="s">
        <v>1280</v>
      </c>
      <c r="L54" s="37"/>
      <c r="M54" s="39" t="s">
        <v>3859</v>
      </c>
      <c r="N54" s="39" t="s">
        <v>3994</v>
      </c>
      <c r="O54" s="39"/>
      <c r="P54" s="39"/>
      <c r="Q54" s="39"/>
      <c r="R54" s="39"/>
      <c r="S54" s="39"/>
      <c r="T54" s="39"/>
      <c r="U54" s="39"/>
      <c r="V54" s="39"/>
      <c r="W54" s="39"/>
    </row>
    <row r="55">
      <c r="F55" s="37"/>
      <c r="J55" s="39" t="s">
        <v>4093</v>
      </c>
      <c r="K55" s="39" t="s">
        <v>1778</v>
      </c>
      <c r="L55" s="37"/>
      <c r="M55" s="39" t="s">
        <v>3859</v>
      </c>
      <c r="N55" s="39" t="s">
        <v>3994</v>
      </c>
      <c r="O55" s="39"/>
      <c r="P55" s="39"/>
      <c r="Q55" s="39"/>
      <c r="R55" s="39"/>
      <c r="S55" s="39"/>
      <c r="T55" s="39"/>
      <c r="U55" s="39"/>
      <c r="V55" s="39"/>
      <c r="W55" s="39"/>
    </row>
    <row r="56">
      <c r="F56" s="37"/>
      <c r="J56" s="39" t="s">
        <v>4093</v>
      </c>
      <c r="K56" s="39" t="s">
        <v>1788</v>
      </c>
      <c r="L56" s="37"/>
      <c r="M56" s="39" t="s">
        <v>3859</v>
      </c>
      <c r="N56" s="39" t="s">
        <v>3994</v>
      </c>
      <c r="O56" s="39"/>
      <c r="P56" s="39"/>
      <c r="Q56" s="39"/>
      <c r="R56" s="39"/>
      <c r="S56" s="39"/>
      <c r="T56" s="39"/>
      <c r="U56" s="39"/>
      <c r="V56" s="39"/>
      <c r="W56" s="39"/>
    </row>
    <row r="57">
      <c r="F57" s="37"/>
      <c r="J57" s="39" t="s">
        <v>4093</v>
      </c>
      <c r="K57" s="39" t="s">
        <v>1280</v>
      </c>
      <c r="L57" s="37"/>
      <c r="M57" s="39" t="s">
        <v>3859</v>
      </c>
      <c r="N57" s="39" t="s">
        <v>3994</v>
      </c>
      <c r="O57" s="39"/>
      <c r="P57" s="39"/>
      <c r="Q57" s="39"/>
      <c r="R57" s="39"/>
      <c r="S57" s="39"/>
      <c r="T57" s="39"/>
      <c r="U57" s="39"/>
      <c r="V57" s="39"/>
      <c r="W57" s="39"/>
    </row>
    <row r="58">
      <c r="F58" s="37"/>
      <c r="J58" s="39" t="s">
        <v>4094</v>
      </c>
      <c r="K58" s="39" t="s">
        <v>1766</v>
      </c>
      <c r="L58" s="37"/>
      <c r="M58" s="39" t="s">
        <v>3859</v>
      </c>
      <c r="N58" s="39" t="s">
        <v>4095</v>
      </c>
      <c r="O58" s="39"/>
      <c r="P58" s="39"/>
      <c r="Q58" s="39"/>
      <c r="R58" s="39"/>
      <c r="S58" s="39"/>
      <c r="T58" s="39"/>
      <c r="U58" s="39"/>
      <c r="V58" s="39"/>
      <c r="W58" s="39"/>
    </row>
    <row r="59">
      <c r="F59" s="37"/>
      <c r="J59" s="39" t="s">
        <v>4094</v>
      </c>
      <c r="K59" s="39" t="s">
        <v>1812</v>
      </c>
      <c r="L59" s="37"/>
      <c r="M59" s="39" t="s">
        <v>3859</v>
      </c>
      <c r="N59" s="39" t="s">
        <v>4095</v>
      </c>
      <c r="O59" s="39"/>
      <c r="P59" s="39"/>
      <c r="Q59" s="39"/>
      <c r="R59" s="39"/>
      <c r="S59" s="39"/>
      <c r="T59" s="39"/>
      <c r="U59" s="39"/>
      <c r="V59" s="39"/>
      <c r="W59" s="39"/>
    </row>
    <row r="60">
      <c r="F60" s="37"/>
      <c r="J60" s="39" t="s">
        <v>4094</v>
      </c>
      <c r="K60" s="39" t="s">
        <v>1295</v>
      </c>
      <c r="L60" s="37"/>
      <c r="M60" s="39" t="s">
        <v>3859</v>
      </c>
      <c r="N60" s="39" t="s">
        <v>4096</v>
      </c>
      <c r="O60" s="39"/>
      <c r="P60" s="39"/>
      <c r="Q60" s="39"/>
      <c r="R60" s="39"/>
      <c r="S60" s="39"/>
      <c r="T60" s="39"/>
      <c r="U60" s="39"/>
      <c r="V60" s="39"/>
      <c r="W60" s="39"/>
    </row>
    <row r="61">
      <c r="F61" s="37"/>
      <c r="J61" s="39" t="s">
        <v>4097</v>
      </c>
      <c r="L61" s="37"/>
      <c r="M61" s="39" t="s">
        <v>4098</v>
      </c>
      <c r="N61" s="39" t="s">
        <v>4099</v>
      </c>
      <c r="O61" s="39"/>
      <c r="P61" s="39"/>
      <c r="Q61" s="39"/>
      <c r="R61" s="39"/>
      <c r="S61" s="39"/>
      <c r="T61" s="39"/>
      <c r="U61" s="39"/>
      <c r="V61" s="39"/>
      <c r="W61" s="39"/>
    </row>
    <row r="62">
      <c r="F62" s="37"/>
      <c r="J62" s="39" t="s">
        <v>4100</v>
      </c>
      <c r="L62" s="37"/>
      <c r="M62" s="39" t="s">
        <v>4098</v>
      </c>
      <c r="N62" s="39" t="s">
        <v>4101</v>
      </c>
      <c r="O62" s="39"/>
      <c r="P62" s="39"/>
      <c r="Q62" s="39"/>
      <c r="R62" s="39"/>
      <c r="S62" s="39"/>
      <c r="T62" s="39"/>
      <c r="U62" s="39"/>
      <c r="V62" s="39"/>
      <c r="W62" s="39"/>
    </row>
    <row r="63">
      <c r="F63" s="37"/>
      <c r="J63" s="39" t="s">
        <v>4102</v>
      </c>
      <c r="L63" s="37"/>
      <c r="M63" s="39" t="s">
        <v>4098</v>
      </c>
      <c r="N63" s="39" t="s">
        <v>4101</v>
      </c>
      <c r="O63" s="39"/>
      <c r="P63" s="39"/>
      <c r="Q63" s="39"/>
      <c r="R63" s="39"/>
      <c r="S63" s="39"/>
      <c r="T63" s="39"/>
      <c r="U63" s="39"/>
      <c r="V63" s="39"/>
      <c r="W63" s="39"/>
    </row>
    <row r="64">
      <c r="F64" s="37"/>
      <c r="J64" s="39" t="s">
        <v>4103</v>
      </c>
      <c r="L64" s="37"/>
      <c r="M64" s="39" t="s">
        <v>4098</v>
      </c>
      <c r="N64" s="39" t="s">
        <v>4101</v>
      </c>
      <c r="O64" s="39"/>
      <c r="P64" s="39"/>
      <c r="Q64" s="39"/>
      <c r="R64" s="39"/>
      <c r="S64" s="39"/>
      <c r="T64" s="39"/>
      <c r="U64" s="39"/>
      <c r="V64" s="39"/>
      <c r="W64" s="39"/>
    </row>
    <row r="65">
      <c r="F65" s="37"/>
      <c r="J65" s="39" t="s">
        <v>1554</v>
      </c>
      <c r="L65" s="37"/>
      <c r="M65" s="39" t="s">
        <v>4098</v>
      </c>
      <c r="N65" s="39" t="s">
        <v>4101</v>
      </c>
      <c r="O65" s="39"/>
      <c r="P65" s="39"/>
      <c r="Q65" s="39"/>
      <c r="R65" s="39"/>
      <c r="S65" s="39"/>
      <c r="T65" s="39"/>
      <c r="U65" s="39"/>
      <c r="V65" s="39"/>
      <c r="W65" s="39"/>
    </row>
    <row r="66">
      <c r="F66" s="37"/>
      <c r="J66" s="39" t="s">
        <v>4104</v>
      </c>
      <c r="L66" s="37"/>
      <c r="M66" s="39" t="s">
        <v>4098</v>
      </c>
      <c r="N66" s="39" t="s">
        <v>4105</v>
      </c>
      <c r="O66" s="39"/>
      <c r="P66" s="39"/>
      <c r="Q66" s="39"/>
      <c r="R66" s="39"/>
      <c r="S66" s="39"/>
      <c r="T66" s="39"/>
      <c r="U66" s="39"/>
      <c r="V66" s="39"/>
      <c r="W66" s="39"/>
    </row>
    <row r="67">
      <c r="F67" s="37"/>
      <c r="J67" s="39" t="s">
        <v>1561</v>
      </c>
      <c r="L67" s="37"/>
      <c r="M67" s="39" t="s">
        <v>4098</v>
      </c>
      <c r="N67" s="39" t="s">
        <v>4105</v>
      </c>
      <c r="O67" s="39"/>
      <c r="P67" s="39"/>
      <c r="Q67" s="39"/>
      <c r="R67" s="39"/>
      <c r="S67" s="39"/>
      <c r="T67" s="39"/>
      <c r="U67" s="39"/>
      <c r="V67" s="39"/>
      <c r="W67" s="39"/>
    </row>
    <row r="68">
      <c r="F68" s="37"/>
      <c r="J68" s="39" t="s">
        <v>3349</v>
      </c>
      <c r="L68" s="37"/>
      <c r="M68" s="39" t="s">
        <v>4098</v>
      </c>
      <c r="N68" s="39" t="s">
        <v>4106</v>
      </c>
      <c r="O68" s="39"/>
      <c r="P68" s="39"/>
      <c r="Q68" s="39"/>
      <c r="R68" s="39"/>
      <c r="S68" s="39"/>
      <c r="T68" s="39"/>
      <c r="U68" s="39"/>
      <c r="V68" s="39"/>
      <c r="W68" s="39"/>
    </row>
    <row r="69">
      <c r="F69" s="37"/>
      <c r="J69" s="39" t="s">
        <v>3386</v>
      </c>
      <c r="L69" s="37"/>
      <c r="M69" s="39" t="s">
        <v>4098</v>
      </c>
      <c r="N69" s="39" t="s">
        <v>4106</v>
      </c>
      <c r="O69" s="39"/>
      <c r="P69" s="39"/>
      <c r="Q69" s="39"/>
      <c r="R69" s="39"/>
      <c r="S69" s="39"/>
      <c r="T69" s="39"/>
      <c r="U69" s="39"/>
      <c r="V69" s="39"/>
      <c r="W69" s="39"/>
    </row>
    <row r="70">
      <c r="F70" s="37"/>
      <c r="J70" s="39" t="s">
        <v>4107</v>
      </c>
      <c r="L70" s="37"/>
      <c r="M70" s="39" t="s">
        <v>4098</v>
      </c>
      <c r="N70" s="39" t="s">
        <v>4106</v>
      </c>
      <c r="O70" s="39"/>
      <c r="P70" s="39"/>
      <c r="Q70" s="39"/>
      <c r="R70" s="39"/>
      <c r="S70" s="39"/>
      <c r="T70" s="39"/>
      <c r="U70" s="39"/>
      <c r="V70" s="39"/>
      <c r="W70" s="39"/>
    </row>
    <row r="71">
      <c r="F71" s="37"/>
      <c r="J71" s="39" t="s">
        <v>4108</v>
      </c>
      <c r="L71" s="37"/>
      <c r="M71" s="39" t="s">
        <v>4098</v>
      </c>
      <c r="N71" s="39" t="s">
        <v>4106</v>
      </c>
      <c r="O71" s="39"/>
      <c r="P71" s="39"/>
      <c r="Q71" s="39"/>
      <c r="R71" s="39"/>
      <c r="S71" s="39"/>
      <c r="T71" s="39"/>
      <c r="U71" s="39"/>
      <c r="V71" s="39"/>
      <c r="W71" s="39"/>
    </row>
    <row r="72">
      <c r="F72" s="37"/>
      <c r="J72" s="39" t="s">
        <v>4109</v>
      </c>
      <c r="L72" s="37"/>
      <c r="M72" s="39" t="s">
        <v>4098</v>
      </c>
      <c r="N72" s="39" t="s">
        <v>4110</v>
      </c>
      <c r="O72" s="39"/>
      <c r="P72" s="39"/>
      <c r="Q72" s="39"/>
      <c r="R72" s="39"/>
      <c r="S72" s="39"/>
      <c r="T72" s="39"/>
      <c r="U72" s="39"/>
      <c r="V72" s="39"/>
      <c r="W72" s="39"/>
    </row>
    <row r="73">
      <c r="F73" s="37"/>
      <c r="J73" s="39" t="s">
        <v>1609</v>
      </c>
      <c r="L73" s="37"/>
      <c r="M73" s="39" t="s">
        <v>4098</v>
      </c>
      <c r="N73" s="39" t="s">
        <v>4110</v>
      </c>
      <c r="O73" s="39"/>
      <c r="P73" s="39"/>
      <c r="Q73" s="39"/>
      <c r="R73" s="39"/>
      <c r="S73" s="39"/>
      <c r="T73" s="39"/>
      <c r="U73" s="39"/>
      <c r="V73" s="39"/>
      <c r="W73" s="39"/>
    </row>
    <row r="74">
      <c r="F74" s="37"/>
      <c r="J74" s="39" t="s">
        <v>4111</v>
      </c>
      <c r="L74" s="37"/>
      <c r="M74" s="39" t="s">
        <v>4098</v>
      </c>
      <c r="N74" s="39" t="s">
        <v>4106</v>
      </c>
      <c r="O74" s="39"/>
      <c r="P74" s="39"/>
      <c r="Q74" s="39"/>
      <c r="R74" s="39"/>
      <c r="S74" s="39"/>
      <c r="T74" s="39"/>
      <c r="U74" s="39"/>
      <c r="V74" s="39"/>
      <c r="W74" s="39"/>
    </row>
    <row r="75">
      <c r="F75" s="37"/>
      <c r="J75" s="39" t="s">
        <v>4112</v>
      </c>
      <c r="L75" s="37"/>
      <c r="M75" s="39" t="s">
        <v>4098</v>
      </c>
      <c r="N75" s="39" t="s">
        <v>4106</v>
      </c>
      <c r="O75" s="39"/>
      <c r="P75" s="39"/>
      <c r="Q75" s="39"/>
      <c r="R75" s="39"/>
      <c r="S75" s="39"/>
      <c r="T75" s="39"/>
      <c r="U75" s="39"/>
      <c r="V75" s="39"/>
      <c r="W75" s="39"/>
    </row>
    <row r="76">
      <c r="F76" s="37"/>
      <c r="J76" s="39" t="s">
        <v>4113</v>
      </c>
      <c r="L76" s="37"/>
      <c r="M76" s="39" t="s">
        <v>4098</v>
      </c>
      <c r="N76" s="39" t="s">
        <v>4106</v>
      </c>
      <c r="O76" s="39"/>
      <c r="P76" s="39"/>
      <c r="Q76" s="39"/>
      <c r="R76" s="39"/>
      <c r="S76" s="39"/>
      <c r="T76" s="39"/>
      <c r="U76" s="39"/>
      <c r="V76" s="39"/>
      <c r="W76" s="39"/>
    </row>
    <row r="77">
      <c r="F77" s="37"/>
      <c r="J77" s="39" t="s">
        <v>4114</v>
      </c>
      <c r="L77" s="37"/>
      <c r="M77" s="39" t="s">
        <v>4098</v>
      </c>
      <c r="N77" s="39" t="s">
        <v>4106</v>
      </c>
      <c r="O77" s="39"/>
      <c r="P77" s="39"/>
      <c r="Q77" s="39"/>
      <c r="R77" s="39"/>
      <c r="S77" s="39"/>
      <c r="T77" s="39"/>
      <c r="U77" s="39"/>
      <c r="V77" s="39"/>
      <c r="W77" s="39"/>
    </row>
    <row r="78">
      <c r="F78" s="37"/>
      <c r="J78" s="39" t="s">
        <v>4115</v>
      </c>
      <c r="L78" s="37"/>
      <c r="M78" s="39" t="s">
        <v>4098</v>
      </c>
      <c r="N78" s="39" t="s">
        <v>4116</v>
      </c>
      <c r="O78" s="39"/>
      <c r="P78" s="39"/>
      <c r="Q78" s="39"/>
      <c r="R78" s="39"/>
      <c r="S78" s="39"/>
      <c r="T78" s="39"/>
      <c r="U78" s="39"/>
      <c r="V78" s="39"/>
      <c r="W78" s="39"/>
    </row>
    <row r="79">
      <c r="F79" s="37"/>
      <c r="J79" s="39" t="s">
        <v>4117</v>
      </c>
      <c r="L79" s="37"/>
      <c r="M79" s="39" t="s">
        <v>4098</v>
      </c>
      <c r="N79" s="39" t="s">
        <v>4106</v>
      </c>
      <c r="O79" s="39"/>
      <c r="P79" s="39"/>
      <c r="Q79" s="39"/>
      <c r="R79" s="39"/>
      <c r="S79" s="39"/>
      <c r="T79" s="39"/>
      <c r="U79" s="39"/>
      <c r="V79" s="39"/>
      <c r="W79" s="39"/>
    </row>
    <row r="80">
      <c r="F80" s="37"/>
      <c r="J80" s="39" t="s">
        <v>4118</v>
      </c>
      <c r="L80" s="37"/>
      <c r="M80" s="39" t="s">
        <v>4098</v>
      </c>
      <c r="N80" s="39" t="s">
        <v>4119</v>
      </c>
      <c r="O80" s="39"/>
      <c r="P80" s="39"/>
      <c r="Q80" s="39"/>
      <c r="R80" s="39"/>
      <c r="S80" s="39"/>
      <c r="T80" s="39"/>
      <c r="U80" s="39"/>
      <c r="V80" s="39"/>
      <c r="W80" s="39"/>
    </row>
    <row r="81">
      <c r="F81" s="37"/>
      <c r="J81" s="39" t="s">
        <v>1598</v>
      </c>
      <c r="L81" s="37"/>
      <c r="M81" s="39" t="s">
        <v>4098</v>
      </c>
      <c r="N81" s="39" t="s">
        <v>4120</v>
      </c>
      <c r="O81" s="39"/>
      <c r="P81" s="39"/>
      <c r="Q81" s="39"/>
      <c r="R81" s="39"/>
      <c r="S81" s="39"/>
      <c r="T81" s="39"/>
      <c r="U81" s="39"/>
      <c r="V81" s="39"/>
      <c r="W81" s="39"/>
    </row>
    <row r="82">
      <c r="F82" s="37"/>
      <c r="J82" s="39" t="s">
        <v>3369</v>
      </c>
      <c r="K82" s="39" t="s">
        <v>1778</v>
      </c>
      <c r="L82" s="39" t="s">
        <v>3383</v>
      </c>
      <c r="M82" s="39" t="s">
        <v>3870</v>
      </c>
      <c r="N82" s="39" t="s">
        <v>4121</v>
      </c>
      <c r="O82" s="39"/>
      <c r="P82" s="39"/>
      <c r="Q82" s="39"/>
      <c r="R82" s="39"/>
      <c r="S82" s="39"/>
      <c r="T82" s="39"/>
      <c r="U82" s="39"/>
      <c r="V82" s="39"/>
      <c r="W82" s="39"/>
    </row>
    <row r="83">
      <c r="F83" s="37"/>
      <c r="J83" s="39" t="s">
        <v>3383</v>
      </c>
      <c r="L83" s="37"/>
      <c r="M83" s="39" t="s">
        <v>4098</v>
      </c>
      <c r="N83" s="39" t="s">
        <v>4122</v>
      </c>
      <c r="O83" s="39"/>
      <c r="P83" s="39"/>
      <c r="Q83" s="39"/>
      <c r="R83" s="39"/>
      <c r="S83" s="39"/>
      <c r="T83" s="39"/>
      <c r="U83" s="39"/>
      <c r="V83" s="39"/>
      <c r="W83" s="39"/>
    </row>
    <row r="84">
      <c r="F84" s="37"/>
      <c r="J84" s="39" t="s">
        <v>4123</v>
      </c>
      <c r="L84" s="37"/>
      <c r="M84" s="39" t="s">
        <v>4098</v>
      </c>
      <c r="N84" s="39" t="s">
        <v>4122</v>
      </c>
      <c r="O84" s="39"/>
      <c r="P84" s="39"/>
      <c r="Q84" s="39"/>
      <c r="R84" s="39"/>
      <c r="S84" s="39"/>
      <c r="T84" s="39"/>
      <c r="U84" s="39"/>
      <c r="V84" s="39"/>
      <c r="W84" s="39"/>
    </row>
    <row r="85">
      <c r="F85" s="37"/>
      <c r="J85" s="39" t="s">
        <v>4124</v>
      </c>
      <c r="L85" s="37"/>
      <c r="M85" s="39" t="s">
        <v>4098</v>
      </c>
      <c r="N85" s="39" t="s">
        <v>4122</v>
      </c>
      <c r="O85" s="39"/>
      <c r="P85" s="39"/>
      <c r="Q85" s="39"/>
      <c r="R85" s="39"/>
      <c r="S85" s="39"/>
      <c r="T85" s="39"/>
      <c r="U85" s="39"/>
      <c r="V85" s="39"/>
      <c r="W85" s="39"/>
    </row>
    <row r="86">
      <c r="F86" s="37"/>
      <c r="L86" s="37"/>
    </row>
    <row r="87">
      <c r="F87" s="37"/>
      <c r="L87" s="37"/>
    </row>
    <row r="88">
      <c r="F88" s="37"/>
      <c r="L88" s="37"/>
    </row>
    <row r="89">
      <c r="F89" s="37"/>
      <c r="L89" s="37"/>
    </row>
    <row r="90">
      <c r="F90" s="37"/>
      <c r="L90" s="37"/>
    </row>
    <row r="91">
      <c r="F91" s="37"/>
      <c r="L91" s="37"/>
    </row>
    <row r="92">
      <c r="F92" s="37"/>
      <c r="L92" s="37"/>
    </row>
    <row r="93">
      <c r="F93" s="37"/>
      <c r="L93" s="37"/>
    </row>
    <row r="94">
      <c r="F94" s="37"/>
      <c r="L94" s="37"/>
    </row>
    <row r="95">
      <c r="F95" s="37"/>
      <c r="L95" s="37"/>
    </row>
    <row r="96">
      <c r="F96" s="37"/>
      <c r="L96" s="37"/>
    </row>
    <row r="97">
      <c r="F97" s="37"/>
      <c r="L97" s="37"/>
    </row>
    <row r="98">
      <c r="F98" s="37"/>
      <c r="L98" s="37"/>
    </row>
  </sheetData>
  <dataValidations>
    <dataValidation type="list" allowBlank="1" showErrorMessage="1" sqref="M2:M38 L39:L81 M82 F2:F98 L83:L98">
      <formula1>"確定,候補,未定"</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1F0C8"/>
    <pageSetUpPr/>
  </sheetPr>
  <sheetViews>
    <sheetView workbookViewId="0"/>
  </sheetViews>
  <sheetFormatPr customHeight="1" defaultColWidth="12.63" defaultRowHeight="15.0"/>
  <cols>
    <col customWidth="1" min="1" max="1" width="9.5"/>
    <col customWidth="1" min="2" max="2" width="28.13"/>
    <col customWidth="1" min="3" max="3" width="21.5"/>
    <col customWidth="1" min="4" max="14" width="9.25"/>
    <col customWidth="1" min="15" max="30" width="7.63"/>
    <col customWidth="1" min="31" max="32" width="20.13"/>
    <col customWidth="1" min="33" max="33" width="21.38"/>
    <col customWidth="1" min="34" max="36" width="18.88"/>
    <col customWidth="1" min="37" max="38" width="22.63"/>
    <col customWidth="1" min="39" max="47" width="18.88"/>
    <col customWidth="1" min="48" max="48" width="40.13"/>
  </cols>
  <sheetData>
    <row r="1" ht="18.75" customHeight="1">
      <c r="A1" s="64" t="s">
        <v>4125</v>
      </c>
      <c r="B1" s="64" t="s">
        <v>8</v>
      </c>
      <c r="C1" s="64" t="s">
        <v>3331</v>
      </c>
      <c r="D1" s="141" t="s">
        <v>4126</v>
      </c>
      <c r="E1" s="64" t="s">
        <v>4127</v>
      </c>
      <c r="F1" s="64" t="s">
        <v>4128</v>
      </c>
      <c r="G1" s="64" t="s">
        <v>4129</v>
      </c>
      <c r="H1" s="64" t="s">
        <v>4130</v>
      </c>
      <c r="I1" s="64" t="s">
        <v>4131</v>
      </c>
      <c r="J1" s="141" t="s">
        <v>4132</v>
      </c>
      <c r="K1" s="64" t="s">
        <v>4133</v>
      </c>
      <c r="L1" s="64" t="s">
        <v>4134</v>
      </c>
      <c r="M1" s="64" t="s">
        <v>4135</v>
      </c>
      <c r="N1" s="64" t="s">
        <v>4136</v>
      </c>
      <c r="O1" s="39" t="s">
        <v>4137</v>
      </c>
      <c r="P1" s="39" t="s">
        <v>4138</v>
      </c>
      <c r="Q1" s="39" t="s">
        <v>4139</v>
      </c>
      <c r="R1" s="39" t="s">
        <v>4140</v>
      </c>
      <c r="S1" s="39" t="s">
        <v>4141</v>
      </c>
      <c r="T1" s="39" t="s">
        <v>4142</v>
      </c>
      <c r="U1" s="39" t="s">
        <v>3332</v>
      </c>
      <c r="V1" s="39" t="s">
        <v>3333</v>
      </c>
      <c r="W1" s="39" t="s">
        <v>4143</v>
      </c>
      <c r="X1" s="39" t="s">
        <v>4144</v>
      </c>
      <c r="Y1" s="39" t="s">
        <v>4145</v>
      </c>
      <c r="Z1" s="39" t="s">
        <v>4146</v>
      </c>
      <c r="AA1" s="39" t="s">
        <v>4147</v>
      </c>
      <c r="AB1" s="39" t="s">
        <v>4148</v>
      </c>
      <c r="AC1" s="39" t="s">
        <v>4149</v>
      </c>
      <c r="AD1" s="39" t="s">
        <v>4150</v>
      </c>
      <c r="AE1" s="142" t="s">
        <v>4151</v>
      </c>
      <c r="AF1" s="142" t="s">
        <v>4152</v>
      </c>
      <c r="AG1" s="143" t="s">
        <v>4153</v>
      </c>
      <c r="AH1" s="142" t="s">
        <v>4154</v>
      </c>
      <c r="AI1" s="142" t="s">
        <v>4155</v>
      </c>
      <c r="AJ1" s="142" t="s">
        <v>4156</v>
      </c>
      <c r="AK1" s="142" t="s">
        <v>4157</v>
      </c>
      <c r="AL1" s="142" t="s">
        <v>4158</v>
      </c>
      <c r="AM1" s="142" t="s">
        <v>4159</v>
      </c>
      <c r="AN1" s="142" t="s">
        <v>4160</v>
      </c>
      <c r="AO1" s="142" t="s">
        <v>4161</v>
      </c>
      <c r="AP1" s="142" t="s">
        <v>4162</v>
      </c>
      <c r="AQ1" s="142" t="s">
        <v>4163</v>
      </c>
      <c r="AR1" s="142" t="s">
        <v>4164</v>
      </c>
      <c r="AS1" s="142" t="s">
        <v>4165</v>
      </c>
      <c r="AT1" s="142" t="s">
        <v>4166</v>
      </c>
      <c r="AU1" s="142" t="s">
        <v>4167</v>
      </c>
      <c r="AV1" s="131" t="s">
        <v>4168</v>
      </c>
    </row>
    <row r="2" ht="18.75" customHeight="1">
      <c r="A2" s="64" t="s">
        <v>4169</v>
      </c>
      <c r="B2" s="64" t="s">
        <v>3024</v>
      </c>
      <c r="D2" s="144"/>
      <c r="J2" s="144"/>
    </row>
    <row r="3" ht="18.75" customHeight="1">
      <c r="A3" s="64" t="s">
        <v>4170</v>
      </c>
      <c r="B3" s="102" t="s">
        <v>4171</v>
      </c>
      <c r="C3" s="37" t="s">
        <v>4172</v>
      </c>
      <c r="D3" s="145">
        <v>0.012</v>
      </c>
      <c r="F3" s="39">
        <v>1.0</v>
      </c>
      <c r="J3" s="145">
        <v>0.5</v>
      </c>
      <c r="K3" s="39">
        <v>2.0</v>
      </c>
      <c r="N3" s="39">
        <v>5.0</v>
      </c>
      <c r="O3" s="39" t="s">
        <v>4173</v>
      </c>
      <c r="P3" s="39" t="s">
        <v>4174</v>
      </c>
      <c r="Q3" s="39">
        <v>0.0</v>
      </c>
      <c r="R3" s="39" t="b">
        <v>0</v>
      </c>
      <c r="S3" s="39" t="b">
        <v>0</v>
      </c>
      <c r="T3" s="39" t="s">
        <v>3274</v>
      </c>
      <c r="U3" s="39" t="s">
        <v>4175</v>
      </c>
      <c r="V3" s="39">
        <v>1.0</v>
      </c>
      <c r="W3" s="39" t="b">
        <v>1</v>
      </c>
      <c r="X3" s="39">
        <v>4.0</v>
      </c>
      <c r="Y3" s="39" t="s">
        <v>4176</v>
      </c>
      <c r="Z3" s="39">
        <v>0.0</v>
      </c>
      <c r="AA3" s="39">
        <v>3.0</v>
      </c>
      <c r="AB3" s="39" t="s">
        <v>284</v>
      </c>
      <c r="AC3" s="39">
        <v>20.0</v>
      </c>
      <c r="AD3" s="39">
        <v>20.0</v>
      </c>
      <c r="AE3" s="39"/>
      <c r="AF3" s="39"/>
      <c r="AG3" s="39"/>
      <c r="AH3" s="39" t="s">
        <v>4177</v>
      </c>
      <c r="AI3" s="39" t="s">
        <v>4178</v>
      </c>
      <c r="AJ3" s="39">
        <v>2.0</v>
      </c>
      <c r="AK3" s="39"/>
      <c r="AL3" s="39"/>
      <c r="AM3" s="39"/>
      <c r="AN3" s="39"/>
      <c r="AO3" s="39"/>
      <c r="AP3" s="39"/>
      <c r="AQ3" s="39"/>
      <c r="AR3" s="39"/>
      <c r="AS3" s="39"/>
      <c r="AT3" s="39"/>
      <c r="AU3" s="39"/>
      <c r="AV3" s="39"/>
    </row>
    <row r="4" ht="18.75" customHeight="1">
      <c r="A4" s="64" t="s">
        <v>3213</v>
      </c>
      <c r="B4" s="64" t="s">
        <v>4179</v>
      </c>
      <c r="C4" s="37" t="s">
        <v>4180</v>
      </c>
      <c r="D4" s="145">
        <v>0.01</v>
      </c>
      <c r="F4" s="39">
        <v>1.0</v>
      </c>
      <c r="J4" s="145">
        <v>0.5</v>
      </c>
      <c r="K4" s="39">
        <v>2.0</v>
      </c>
      <c r="N4" s="39">
        <v>4.0</v>
      </c>
      <c r="O4" s="39" t="s">
        <v>4181</v>
      </c>
      <c r="P4" s="39" t="s">
        <v>4174</v>
      </c>
      <c r="Q4" s="39">
        <v>0.0</v>
      </c>
      <c r="R4" s="39" t="b">
        <v>0</v>
      </c>
      <c r="S4" s="39" t="b">
        <v>0</v>
      </c>
      <c r="T4" s="39" t="s">
        <v>453</v>
      </c>
      <c r="U4" s="39" t="s">
        <v>4175</v>
      </c>
      <c r="V4" s="39">
        <v>2.0</v>
      </c>
      <c r="W4" s="39" t="b">
        <v>1</v>
      </c>
      <c r="X4" s="39">
        <v>4.0</v>
      </c>
      <c r="Y4" s="39" t="s">
        <v>4182</v>
      </c>
      <c r="Z4" s="39">
        <v>0.0</v>
      </c>
      <c r="AA4" s="39">
        <v>1.0</v>
      </c>
      <c r="AB4" s="39" t="s">
        <v>1782</v>
      </c>
      <c r="AC4" s="39">
        <v>20.0</v>
      </c>
      <c r="AD4" s="39">
        <v>0.0</v>
      </c>
      <c r="AE4" s="39" t="s">
        <v>4183</v>
      </c>
      <c r="AF4" s="39">
        <v>0.0</v>
      </c>
      <c r="AG4" s="39"/>
      <c r="AH4" s="39" t="s">
        <v>4177</v>
      </c>
      <c r="AI4" s="39" t="s">
        <v>4184</v>
      </c>
      <c r="AJ4" s="39">
        <v>2.0</v>
      </c>
      <c r="AK4" s="39"/>
      <c r="AL4" s="39"/>
      <c r="AM4" s="39"/>
      <c r="AN4" s="39"/>
      <c r="AO4" s="39"/>
      <c r="AP4" s="39"/>
      <c r="AQ4" s="39"/>
      <c r="AR4" s="39"/>
      <c r="AS4" s="39"/>
      <c r="AT4" s="39"/>
      <c r="AU4" s="39"/>
      <c r="AV4" s="39"/>
    </row>
    <row r="5" ht="18.75" customHeight="1">
      <c r="A5" s="64" t="s">
        <v>4185</v>
      </c>
      <c r="B5" s="64" t="s">
        <v>4186</v>
      </c>
      <c r="C5" s="37" t="s">
        <v>4187</v>
      </c>
      <c r="D5" s="145">
        <v>0.01</v>
      </c>
      <c r="F5" s="39">
        <v>2.0</v>
      </c>
      <c r="J5" s="145">
        <v>0.5</v>
      </c>
      <c r="K5" s="39">
        <v>3.0</v>
      </c>
      <c r="N5" s="39">
        <v>3.0</v>
      </c>
      <c r="O5" s="39" t="s">
        <v>4188</v>
      </c>
      <c r="P5" s="39" t="s">
        <v>4174</v>
      </c>
      <c r="Q5" s="39">
        <v>0.0</v>
      </c>
      <c r="R5" s="39" t="b">
        <v>0</v>
      </c>
      <c r="S5" s="39" t="b">
        <v>0</v>
      </c>
      <c r="T5" s="39" t="s">
        <v>4189</v>
      </c>
      <c r="U5" s="39" t="s">
        <v>4175</v>
      </c>
      <c r="V5" s="39">
        <v>3.0</v>
      </c>
      <c r="W5" s="39" t="b">
        <v>1</v>
      </c>
      <c r="X5" s="39">
        <v>4.0</v>
      </c>
      <c r="Y5" s="39" t="s">
        <v>4190</v>
      </c>
      <c r="Z5" s="39">
        <v>0.0</v>
      </c>
      <c r="AA5" s="39">
        <v>1.0</v>
      </c>
      <c r="AB5" s="39"/>
      <c r="AC5" s="39"/>
      <c r="AD5" s="39"/>
      <c r="AE5" s="39"/>
      <c r="AF5" s="39"/>
      <c r="AG5" s="39"/>
      <c r="AH5" s="39" t="s">
        <v>4177</v>
      </c>
      <c r="AI5" s="39" t="s">
        <v>4178</v>
      </c>
      <c r="AJ5" s="39">
        <v>3.0</v>
      </c>
      <c r="AK5" s="39"/>
      <c r="AL5" s="39"/>
      <c r="AM5" s="39"/>
      <c r="AN5" s="39"/>
      <c r="AO5" s="39"/>
      <c r="AP5" s="39"/>
      <c r="AQ5" s="39"/>
      <c r="AR5" s="39"/>
      <c r="AS5" s="39"/>
      <c r="AT5" s="39"/>
      <c r="AU5" s="39"/>
      <c r="AV5" s="39"/>
    </row>
    <row r="6" ht="18.75" customHeight="1">
      <c r="A6" s="64" t="s">
        <v>1767</v>
      </c>
      <c r="B6" s="64" t="s">
        <v>4191</v>
      </c>
      <c r="C6" s="37" t="s">
        <v>4192</v>
      </c>
      <c r="D6" s="145">
        <v>0.008</v>
      </c>
      <c r="F6" s="39">
        <v>2.0</v>
      </c>
      <c r="J6" s="145">
        <v>0.8</v>
      </c>
      <c r="K6" s="39">
        <v>2.0</v>
      </c>
      <c r="N6" s="39">
        <v>2.0</v>
      </c>
      <c r="O6" s="39" t="s">
        <v>29</v>
      </c>
      <c r="P6" s="39" t="s">
        <v>4174</v>
      </c>
      <c r="Q6" s="39">
        <v>0.0</v>
      </c>
      <c r="R6" s="39" t="b">
        <v>0</v>
      </c>
      <c r="S6" s="39" t="b">
        <v>0</v>
      </c>
      <c r="T6" s="39" t="s">
        <v>908</v>
      </c>
      <c r="U6" s="39" t="s">
        <v>4175</v>
      </c>
      <c r="V6" s="39">
        <v>4.0</v>
      </c>
      <c r="W6" s="39" t="b">
        <v>1</v>
      </c>
      <c r="X6" s="39">
        <v>4.0</v>
      </c>
      <c r="Y6" s="39" t="s">
        <v>4190</v>
      </c>
      <c r="Z6" s="39">
        <v>0.0</v>
      </c>
      <c r="AA6" s="39">
        <v>1.0</v>
      </c>
      <c r="AB6" s="39"/>
      <c r="AC6" s="39"/>
      <c r="AD6" s="39"/>
      <c r="AE6" s="39"/>
      <c r="AF6" s="39"/>
      <c r="AG6" s="39"/>
      <c r="AH6" s="39" t="s">
        <v>4177</v>
      </c>
      <c r="AI6" s="39" t="s">
        <v>4193</v>
      </c>
      <c r="AJ6" s="39">
        <v>1.0</v>
      </c>
      <c r="AK6" s="39"/>
      <c r="AL6" s="39"/>
      <c r="AM6" s="39"/>
      <c r="AN6" s="39"/>
      <c r="AO6" s="39"/>
      <c r="AP6" s="39"/>
      <c r="AQ6" s="39"/>
      <c r="AR6" s="39"/>
      <c r="AS6" s="39"/>
      <c r="AT6" s="39"/>
      <c r="AU6" s="39"/>
      <c r="AV6" s="39"/>
    </row>
    <row r="7" ht="18.75" customHeight="1">
      <c r="A7" s="64" t="s">
        <v>1049</v>
      </c>
      <c r="B7" s="64" t="s">
        <v>4194</v>
      </c>
      <c r="C7" s="37" t="s">
        <v>4195</v>
      </c>
      <c r="D7" s="145">
        <v>0.006</v>
      </c>
      <c r="F7" s="39">
        <v>1.0</v>
      </c>
      <c r="J7" s="145">
        <v>0.7</v>
      </c>
      <c r="K7" s="39">
        <v>1.0</v>
      </c>
      <c r="N7" s="39">
        <v>7.0</v>
      </c>
      <c r="O7" s="39" t="s">
        <v>4196</v>
      </c>
      <c r="P7" s="39" t="s">
        <v>4174</v>
      </c>
      <c r="Q7" s="39">
        <v>0.0</v>
      </c>
      <c r="R7" s="39" t="b">
        <v>0</v>
      </c>
      <c r="S7" s="39" t="b">
        <v>0</v>
      </c>
      <c r="T7" s="39" t="s">
        <v>4197</v>
      </c>
      <c r="U7" s="39" t="s">
        <v>4175</v>
      </c>
      <c r="V7" s="39">
        <v>5.0</v>
      </c>
      <c r="W7" s="39" t="b">
        <v>1</v>
      </c>
      <c r="X7" s="39">
        <v>4.0</v>
      </c>
      <c r="Y7" s="39" t="s">
        <v>4198</v>
      </c>
      <c r="Z7" s="39">
        <v>0.0</v>
      </c>
      <c r="AA7" s="39">
        <v>1.0</v>
      </c>
      <c r="AB7" s="39" t="s">
        <v>1782</v>
      </c>
      <c r="AC7" s="39">
        <v>80.0</v>
      </c>
      <c r="AD7" s="39">
        <v>0.0</v>
      </c>
      <c r="AE7" s="39" t="s">
        <v>4183</v>
      </c>
      <c r="AF7" s="39">
        <v>0.0</v>
      </c>
      <c r="AG7" s="39"/>
      <c r="AH7" s="39" t="s">
        <v>4199</v>
      </c>
      <c r="AI7" s="39" t="s">
        <v>29</v>
      </c>
      <c r="AJ7" s="39">
        <v>0.0</v>
      </c>
      <c r="AK7" s="39"/>
      <c r="AL7" s="39"/>
      <c r="AM7" s="39"/>
      <c r="AN7" s="39"/>
      <c r="AO7" s="39"/>
      <c r="AP7" s="39"/>
      <c r="AQ7" s="39"/>
      <c r="AR7" s="39"/>
      <c r="AS7" s="39"/>
      <c r="AT7" s="39"/>
      <c r="AU7" s="39"/>
      <c r="AV7" s="39"/>
    </row>
    <row r="8" ht="18.75" customHeight="1">
      <c r="A8" s="64" t="s">
        <v>4200</v>
      </c>
      <c r="B8" s="102" t="s">
        <v>4201</v>
      </c>
      <c r="C8" s="37" t="s">
        <v>4202</v>
      </c>
      <c r="D8" s="145">
        <v>0.006</v>
      </c>
      <c r="F8" s="39">
        <v>1.0</v>
      </c>
      <c r="J8" s="145">
        <v>0.9</v>
      </c>
      <c r="K8" s="39">
        <v>1.0</v>
      </c>
      <c r="N8" s="39">
        <v>3.0</v>
      </c>
      <c r="O8" s="39" t="s">
        <v>29</v>
      </c>
      <c r="P8" s="39" t="s">
        <v>4174</v>
      </c>
      <c r="Q8" s="39">
        <v>0.0</v>
      </c>
      <c r="R8" s="39" t="b">
        <v>0</v>
      </c>
      <c r="S8" s="39" t="b">
        <v>0</v>
      </c>
      <c r="T8" s="39" t="s">
        <v>518</v>
      </c>
      <c r="U8" s="39" t="s">
        <v>4175</v>
      </c>
      <c r="V8" s="39">
        <v>6.0</v>
      </c>
      <c r="W8" s="39" t="b">
        <v>1</v>
      </c>
      <c r="X8" s="39">
        <v>4.0</v>
      </c>
      <c r="Y8" s="39" t="s">
        <v>4203</v>
      </c>
      <c r="Z8" s="39">
        <v>0.0</v>
      </c>
      <c r="AA8" s="39">
        <v>1.0</v>
      </c>
      <c r="AB8" s="39" t="s">
        <v>518</v>
      </c>
      <c r="AC8" s="39">
        <v>140.0</v>
      </c>
      <c r="AD8" s="39">
        <v>0.0</v>
      </c>
      <c r="AE8" s="39" t="s">
        <v>4204</v>
      </c>
      <c r="AF8" s="39">
        <v>0.0</v>
      </c>
      <c r="AG8" s="39">
        <v>3.0</v>
      </c>
      <c r="AH8" s="39" t="s">
        <v>4177</v>
      </c>
      <c r="AI8" s="39" t="s">
        <v>554</v>
      </c>
      <c r="AJ8" s="39">
        <v>1.0</v>
      </c>
      <c r="AK8" s="39"/>
      <c r="AL8" s="39"/>
      <c r="AM8" s="39"/>
      <c r="AN8" s="39"/>
      <c r="AO8" s="39"/>
      <c r="AP8" s="39"/>
      <c r="AQ8" s="39"/>
      <c r="AR8" s="39"/>
      <c r="AS8" s="39"/>
      <c r="AT8" s="39"/>
      <c r="AU8" s="39"/>
      <c r="AV8" s="39" t="s">
        <v>4205</v>
      </c>
    </row>
    <row r="9" ht="18.75" customHeight="1">
      <c r="A9" s="64" t="s">
        <v>4206</v>
      </c>
      <c r="B9" s="64" t="s">
        <v>4207</v>
      </c>
      <c r="C9" s="37" t="s">
        <v>4208</v>
      </c>
      <c r="D9" s="145">
        <v>0.006</v>
      </c>
      <c r="F9" s="39">
        <v>2.0</v>
      </c>
      <c r="J9" s="145">
        <v>0.7</v>
      </c>
      <c r="K9" s="39">
        <v>2.0</v>
      </c>
      <c r="N9" s="39">
        <v>3.0</v>
      </c>
      <c r="O9" s="39" t="s">
        <v>4209</v>
      </c>
      <c r="P9" s="39" t="s">
        <v>4174</v>
      </c>
      <c r="Q9" s="39">
        <v>0.0</v>
      </c>
      <c r="R9" s="39" t="b">
        <v>0</v>
      </c>
      <c r="S9" s="39" t="b">
        <v>0</v>
      </c>
      <c r="T9" s="39" t="s">
        <v>4210</v>
      </c>
      <c r="U9" s="39" t="s">
        <v>4175</v>
      </c>
      <c r="V9" s="39">
        <v>7.0</v>
      </c>
      <c r="W9" s="39" t="b">
        <v>1</v>
      </c>
      <c r="X9" s="39">
        <v>4.0</v>
      </c>
      <c r="Y9" s="39" t="s">
        <v>4190</v>
      </c>
      <c r="Z9" s="39">
        <v>0.0</v>
      </c>
      <c r="AA9" s="39">
        <v>1.0</v>
      </c>
      <c r="AB9" s="39"/>
      <c r="AC9" s="39"/>
      <c r="AD9" s="39"/>
      <c r="AE9" s="39"/>
      <c r="AF9" s="39"/>
      <c r="AG9" s="39"/>
      <c r="AH9" s="39" t="s">
        <v>4177</v>
      </c>
      <c r="AI9" s="39" t="s">
        <v>4211</v>
      </c>
      <c r="AJ9" s="39">
        <v>2.0</v>
      </c>
      <c r="AK9" s="39"/>
      <c r="AL9" s="39"/>
      <c r="AM9" s="39"/>
      <c r="AN9" s="39"/>
      <c r="AO9" s="39"/>
      <c r="AP9" s="39"/>
      <c r="AQ9" s="39"/>
      <c r="AR9" s="39"/>
      <c r="AS9" s="39"/>
      <c r="AT9" s="39"/>
      <c r="AU9" s="39"/>
      <c r="AV9" s="39"/>
    </row>
    <row r="10" ht="18.75" customHeight="1">
      <c r="A10" s="64" t="s">
        <v>4212</v>
      </c>
      <c r="B10" s="64" t="s">
        <v>4213</v>
      </c>
      <c r="C10" s="37" t="s">
        <v>4214</v>
      </c>
      <c r="D10" s="145">
        <v>0.006</v>
      </c>
      <c r="F10" s="39">
        <v>2.0</v>
      </c>
      <c r="J10" s="145">
        <v>0.5</v>
      </c>
      <c r="K10" s="39">
        <v>2.0</v>
      </c>
      <c r="N10" s="39">
        <v>3.0</v>
      </c>
      <c r="O10" s="39" t="s">
        <v>4188</v>
      </c>
      <c r="P10" s="39" t="s">
        <v>4174</v>
      </c>
      <c r="Q10" s="39">
        <v>0.0</v>
      </c>
      <c r="R10" s="39" t="b">
        <v>0</v>
      </c>
      <c r="S10" s="39" t="b">
        <v>0</v>
      </c>
      <c r="T10" s="39" t="s">
        <v>4215</v>
      </c>
      <c r="U10" s="39" t="s">
        <v>4175</v>
      </c>
      <c r="V10" s="39">
        <v>8.0</v>
      </c>
      <c r="W10" s="39" t="b">
        <v>1</v>
      </c>
      <c r="X10" s="39">
        <v>4.0</v>
      </c>
      <c r="Y10" s="39" t="s">
        <v>4190</v>
      </c>
      <c r="Z10" s="39">
        <v>0.0</v>
      </c>
      <c r="AA10" s="39">
        <v>1.0</v>
      </c>
      <c r="AB10" s="39"/>
      <c r="AC10" s="39"/>
      <c r="AD10" s="39"/>
      <c r="AE10" s="39"/>
      <c r="AF10" s="39"/>
      <c r="AG10" s="39"/>
      <c r="AH10" s="39" t="s">
        <v>4177</v>
      </c>
      <c r="AI10" s="39" t="s">
        <v>4216</v>
      </c>
      <c r="AJ10" s="39">
        <v>2.0</v>
      </c>
      <c r="AK10" s="39"/>
      <c r="AL10" s="39"/>
      <c r="AM10" s="39"/>
      <c r="AN10" s="39"/>
      <c r="AO10" s="39"/>
      <c r="AP10" s="39"/>
      <c r="AQ10" s="39"/>
      <c r="AR10" s="39"/>
      <c r="AS10" s="39"/>
      <c r="AT10" s="39"/>
      <c r="AU10" s="39"/>
      <c r="AV10" s="39"/>
    </row>
    <row r="11" ht="18.75" customHeight="1">
      <c r="A11" s="64" t="s">
        <v>4217</v>
      </c>
      <c r="B11" s="64" t="s">
        <v>4218</v>
      </c>
      <c r="C11" s="37" t="s">
        <v>4219</v>
      </c>
      <c r="D11" s="144">
        <v>0.01</v>
      </c>
      <c r="E11" s="37">
        <v>1.0</v>
      </c>
      <c r="F11" s="37">
        <v>1.0</v>
      </c>
      <c r="G11" s="37">
        <v>3.0</v>
      </c>
      <c r="H11" s="37">
        <v>0.35</v>
      </c>
      <c r="I11" s="37">
        <v>38.0</v>
      </c>
      <c r="J11" s="144">
        <v>0.5</v>
      </c>
      <c r="K11" s="37">
        <v>2.0</v>
      </c>
      <c r="L11" s="37">
        <v>1.0</v>
      </c>
      <c r="M11" s="37">
        <v>3.0</v>
      </c>
      <c r="N11" s="37">
        <v>10.0</v>
      </c>
      <c r="O11" s="39" t="s">
        <v>29</v>
      </c>
      <c r="P11" s="39" t="s">
        <v>4174</v>
      </c>
      <c r="Q11" s="39">
        <v>0.0</v>
      </c>
      <c r="R11" s="39" t="b">
        <v>0</v>
      </c>
      <c r="S11" s="39" t="b">
        <v>0</v>
      </c>
      <c r="T11" s="39" t="s">
        <v>4220</v>
      </c>
      <c r="U11" s="39" t="s">
        <v>4175</v>
      </c>
      <c r="V11" s="39">
        <v>9.0</v>
      </c>
      <c r="W11" s="39" t="b">
        <v>1</v>
      </c>
      <c r="X11" s="39">
        <v>4.0</v>
      </c>
      <c r="Y11" s="39" t="s">
        <v>4221</v>
      </c>
      <c r="Z11" s="39">
        <v>0.0</v>
      </c>
      <c r="AA11" s="39">
        <v>1.0</v>
      </c>
      <c r="AB11" s="39"/>
      <c r="AC11" s="39"/>
      <c r="AD11" s="39"/>
      <c r="AE11" s="39"/>
      <c r="AF11" s="39"/>
      <c r="AG11" s="39"/>
      <c r="AH11" s="39" t="s">
        <v>4222</v>
      </c>
      <c r="AI11" s="39" t="s">
        <v>29</v>
      </c>
      <c r="AJ11" s="39">
        <v>0.0</v>
      </c>
      <c r="AK11" s="39"/>
      <c r="AL11" s="39"/>
      <c r="AM11" s="39"/>
      <c r="AN11" s="39"/>
      <c r="AO11" s="39"/>
      <c r="AP11" s="39"/>
      <c r="AQ11" s="39"/>
      <c r="AR11" s="39"/>
      <c r="AS11" s="39"/>
      <c r="AT11" s="39"/>
      <c r="AU11" s="39"/>
      <c r="AV11" s="39"/>
    </row>
    <row r="12" ht="18.75" customHeight="1">
      <c r="A12" s="64" t="s">
        <v>4223</v>
      </c>
      <c r="B12" s="64" t="s">
        <v>4224</v>
      </c>
      <c r="C12" s="37" t="s">
        <v>4225</v>
      </c>
      <c r="D12" s="145">
        <v>0.008</v>
      </c>
      <c r="F12" s="39">
        <v>1.0</v>
      </c>
      <c r="J12" s="145">
        <v>0.6</v>
      </c>
      <c r="K12" s="39">
        <v>1.0</v>
      </c>
      <c r="N12" s="39">
        <v>5.0</v>
      </c>
      <c r="O12" s="39" t="s">
        <v>4196</v>
      </c>
      <c r="P12" s="39" t="s">
        <v>4174</v>
      </c>
      <c r="Q12" s="39">
        <v>0.0</v>
      </c>
      <c r="R12" s="39" t="b">
        <v>0</v>
      </c>
      <c r="S12" s="39" t="b">
        <v>0</v>
      </c>
      <c r="T12" s="39" t="s">
        <v>4226</v>
      </c>
      <c r="U12" s="39" t="s">
        <v>4175</v>
      </c>
      <c r="V12" s="39">
        <v>10.0</v>
      </c>
      <c r="W12" s="39" t="b">
        <v>1</v>
      </c>
      <c r="X12" s="39">
        <v>4.0</v>
      </c>
      <c r="Y12" s="39" t="s">
        <v>4198</v>
      </c>
      <c r="Z12" s="39">
        <v>0.0</v>
      </c>
      <c r="AA12" s="39">
        <v>1.0</v>
      </c>
      <c r="AB12" s="39" t="s">
        <v>1782</v>
      </c>
      <c r="AC12" s="39">
        <v>80.0</v>
      </c>
      <c r="AD12" s="39">
        <v>0.0</v>
      </c>
      <c r="AE12" s="39" t="s">
        <v>4183</v>
      </c>
      <c r="AF12" s="39">
        <v>0.0</v>
      </c>
      <c r="AG12" s="39"/>
      <c r="AH12" s="39" t="s">
        <v>4177</v>
      </c>
      <c r="AI12" s="39" t="s">
        <v>4184</v>
      </c>
      <c r="AJ12" s="39">
        <v>2.0</v>
      </c>
      <c r="AK12" s="39"/>
      <c r="AL12" s="39"/>
      <c r="AM12" s="39"/>
      <c r="AN12" s="39"/>
      <c r="AO12" s="39"/>
      <c r="AP12" s="39"/>
      <c r="AQ12" s="39"/>
      <c r="AR12" s="39"/>
      <c r="AS12" s="39"/>
      <c r="AT12" s="39"/>
      <c r="AU12" s="39"/>
      <c r="AV12" s="39"/>
    </row>
    <row r="13" ht="18.75" customHeight="1">
      <c r="A13" s="64"/>
      <c r="B13" s="64"/>
      <c r="D13" s="144"/>
      <c r="J13" s="144"/>
    </row>
    <row r="14" ht="18.75" customHeight="1">
      <c r="A14" s="64"/>
      <c r="B14" s="64"/>
      <c r="D14" s="144"/>
      <c r="J14" s="144"/>
    </row>
    <row r="15" ht="18.75" customHeight="1">
      <c r="A15" s="64" t="s">
        <v>4169</v>
      </c>
      <c r="B15" s="64" t="s">
        <v>3024</v>
      </c>
      <c r="D15" s="144"/>
      <c r="J15" s="144"/>
    </row>
    <row r="16" ht="18.75" customHeight="1">
      <c r="A16" s="64" t="s">
        <v>4227</v>
      </c>
      <c r="B16" s="64" t="s">
        <v>4228</v>
      </c>
      <c r="C16" s="37" t="s">
        <v>4229</v>
      </c>
      <c r="D16" s="145">
        <v>0.004</v>
      </c>
      <c r="F16" s="39">
        <v>1.0</v>
      </c>
      <c r="J16" s="145">
        <v>0.7</v>
      </c>
      <c r="K16" s="39">
        <v>3.0</v>
      </c>
      <c r="N16" s="39">
        <v>5.0</v>
      </c>
      <c r="O16" s="39" t="s">
        <v>4230</v>
      </c>
      <c r="P16" s="39" t="s">
        <v>4174</v>
      </c>
      <c r="Q16" s="39">
        <v>0.0</v>
      </c>
      <c r="R16" s="39" t="b">
        <v>0</v>
      </c>
      <c r="S16" s="39" t="b">
        <v>1</v>
      </c>
      <c r="T16" s="39" t="s">
        <v>716</v>
      </c>
      <c r="U16" s="39" t="s">
        <v>29</v>
      </c>
      <c r="V16" s="39">
        <v>0.0</v>
      </c>
      <c r="W16" s="39" t="b">
        <v>1</v>
      </c>
      <c r="X16" s="39">
        <v>4.0</v>
      </c>
      <c r="Y16" s="39" t="s">
        <v>4190</v>
      </c>
      <c r="Z16" s="39">
        <v>0.0</v>
      </c>
      <c r="AA16" s="39">
        <v>1.0</v>
      </c>
      <c r="AB16" s="39"/>
      <c r="AC16" s="39"/>
      <c r="AD16" s="39"/>
      <c r="AE16" s="39"/>
      <c r="AF16" s="39"/>
      <c r="AG16" s="39"/>
      <c r="AH16" s="39" t="s">
        <v>4177</v>
      </c>
      <c r="AI16" s="39" t="s">
        <v>4231</v>
      </c>
      <c r="AJ16" s="39">
        <v>1.0</v>
      </c>
      <c r="AK16" s="39"/>
      <c r="AL16" s="39"/>
      <c r="AM16" s="39"/>
      <c r="AN16" s="39"/>
      <c r="AO16" s="39"/>
      <c r="AP16" s="39"/>
      <c r="AQ16" s="39"/>
      <c r="AR16" s="39"/>
      <c r="AS16" s="39"/>
      <c r="AT16" s="39"/>
      <c r="AU16" s="39"/>
      <c r="AV16" s="39"/>
    </row>
    <row r="17" ht="18.75" customHeight="1">
      <c r="A17" s="64" t="s">
        <v>4232</v>
      </c>
      <c r="B17" s="64" t="s">
        <v>4233</v>
      </c>
      <c r="C17" s="37" t="s">
        <v>4234</v>
      </c>
      <c r="D17" s="145">
        <v>0.003</v>
      </c>
      <c r="F17" s="39">
        <v>1.0</v>
      </c>
      <c r="J17" s="145">
        <v>0.9</v>
      </c>
      <c r="K17" s="39">
        <v>1.0</v>
      </c>
      <c r="N17" s="39">
        <v>2.0</v>
      </c>
      <c r="O17" s="39" t="s">
        <v>29</v>
      </c>
      <c r="P17" s="39" t="s">
        <v>4174</v>
      </c>
      <c r="Q17" s="39">
        <v>0.0</v>
      </c>
      <c r="R17" s="39" t="b">
        <v>0</v>
      </c>
      <c r="S17" s="39" t="b">
        <v>0</v>
      </c>
      <c r="T17" s="39" t="s">
        <v>4235</v>
      </c>
      <c r="U17" s="39" t="s">
        <v>29</v>
      </c>
      <c r="V17" s="39">
        <v>0.0</v>
      </c>
      <c r="W17" s="39" t="b">
        <v>1</v>
      </c>
      <c r="X17" s="39">
        <v>4.0</v>
      </c>
      <c r="Y17" s="39" t="s">
        <v>4236</v>
      </c>
      <c r="Z17" s="39">
        <v>0.0</v>
      </c>
      <c r="AA17" s="39">
        <v>1.0</v>
      </c>
      <c r="AB17" s="39" t="s">
        <v>783</v>
      </c>
      <c r="AC17" s="39">
        <v>40.0</v>
      </c>
      <c r="AD17" s="39">
        <v>0.0</v>
      </c>
      <c r="AE17" s="39" t="s">
        <v>4183</v>
      </c>
      <c r="AF17" s="39">
        <v>0.0</v>
      </c>
      <c r="AG17" s="39"/>
      <c r="AH17" s="39" t="s">
        <v>4237</v>
      </c>
      <c r="AI17" s="39" t="s">
        <v>29</v>
      </c>
      <c r="AJ17" s="39">
        <v>0.0</v>
      </c>
      <c r="AK17" s="39"/>
      <c r="AL17" s="39"/>
      <c r="AM17" s="39"/>
      <c r="AN17" s="39"/>
      <c r="AO17" s="39"/>
      <c r="AP17" s="39"/>
      <c r="AQ17" s="39"/>
      <c r="AR17" s="39"/>
      <c r="AS17" s="39"/>
      <c r="AT17" s="39"/>
      <c r="AU17" s="39"/>
      <c r="AV17" s="39"/>
    </row>
    <row r="18" ht="18.75" customHeight="1">
      <c r="A18" s="64" t="s">
        <v>4238</v>
      </c>
      <c r="B18" s="64" t="s">
        <v>4239</v>
      </c>
      <c r="C18" s="37" t="s">
        <v>4240</v>
      </c>
      <c r="D18" s="145">
        <v>0.003</v>
      </c>
      <c r="F18" s="39">
        <v>1.0</v>
      </c>
      <c r="J18" s="145">
        <v>0.8</v>
      </c>
      <c r="K18" s="39">
        <v>2.0</v>
      </c>
      <c r="N18" s="39">
        <v>2.0</v>
      </c>
      <c r="O18" s="39" t="s">
        <v>29</v>
      </c>
      <c r="P18" s="39" t="s">
        <v>4174</v>
      </c>
      <c r="Q18" s="39">
        <v>0.0</v>
      </c>
      <c r="R18" s="39" t="b">
        <v>0</v>
      </c>
      <c r="S18" s="39" t="b">
        <v>0</v>
      </c>
      <c r="T18" s="39" t="s">
        <v>4241</v>
      </c>
      <c r="U18" s="39" t="s">
        <v>29</v>
      </c>
      <c r="V18" s="39">
        <v>0.0</v>
      </c>
      <c r="W18" s="39" t="b">
        <v>1</v>
      </c>
      <c r="X18" s="39">
        <v>4.0</v>
      </c>
      <c r="Y18" s="39" t="s">
        <v>4190</v>
      </c>
      <c r="Z18" s="39">
        <v>0.0</v>
      </c>
      <c r="AA18" s="39">
        <v>1.0</v>
      </c>
      <c r="AB18" s="39"/>
      <c r="AC18" s="39"/>
      <c r="AD18" s="39"/>
      <c r="AE18" s="39"/>
      <c r="AF18" s="39"/>
      <c r="AG18" s="39"/>
      <c r="AH18" s="39" t="s">
        <v>4237</v>
      </c>
      <c r="AI18" s="39" t="s">
        <v>29</v>
      </c>
      <c r="AJ18" s="39">
        <v>0.0</v>
      </c>
      <c r="AK18" s="39"/>
      <c r="AL18" s="39"/>
      <c r="AM18" s="39"/>
      <c r="AN18" s="39"/>
      <c r="AO18" s="39"/>
      <c r="AP18" s="39"/>
      <c r="AQ18" s="39"/>
      <c r="AR18" s="39"/>
      <c r="AS18" s="39"/>
      <c r="AT18" s="39"/>
      <c r="AU18" s="39"/>
      <c r="AV18" s="39"/>
    </row>
    <row r="19" ht="18.75" customHeight="1">
      <c r="A19" s="64" t="s">
        <v>4242</v>
      </c>
      <c r="B19" s="64" t="s">
        <v>4243</v>
      </c>
      <c r="C19" s="37" t="s">
        <v>4244</v>
      </c>
      <c r="D19" s="145">
        <v>0.003</v>
      </c>
      <c r="F19" s="39">
        <v>1.0</v>
      </c>
      <c r="J19" s="145">
        <v>0.9</v>
      </c>
      <c r="K19" s="39">
        <v>2.0</v>
      </c>
      <c r="N19" s="39">
        <v>1.0</v>
      </c>
      <c r="O19" s="39" t="s">
        <v>29</v>
      </c>
      <c r="P19" s="39" t="s">
        <v>4174</v>
      </c>
      <c r="Q19" s="39">
        <v>0.0</v>
      </c>
      <c r="R19" s="39" t="b">
        <v>0</v>
      </c>
      <c r="S19" s="39" t="b">
        <v>0</v>
      </c>
      <c r="T19" s="39" t="s">
        <v>4245</v>
      </c>
      <c r="U19" s="39" t="s">
        <v>29</v>
      </c>
      <c r="V19" s="39">
        <v>0.0</v>
      </c>
      <c r="W19" s="39" t="b">
        <v>1</v>
      </c>
      <c r="X19" s="39">
        <v>4.0</v>
      </c>
      <c r="Y19" s="39" t="s">
        <v>4190</v>
      </c>
      <c r="Z19" s="39">
        <v>0.0</v>
      </c>
      <c r="AA19" s="39">
        <v>1.0</v>
      </c>
      <c r="AB19" s="39"/>
      <c r="AC19" s="39"/>
      <c r="AD19" s="39"/>
      <c r="AE19" s="39"/>
      <c r="AF19" s="39"/>
      <c r="AG19" s="39"/>
      <c r="AH19" s="39" t="s">
        <v>4237</v>
      </c>
      <c r="AI19" s="39" t="s">
        <v>29</v>
      </c>
      <c r="AJ19" s="39">
        <v>0.0</v>
      </c>
      <c r="AK19" s="39"/>
      <c r="AL19" s="39"/>
      <c r="AM19" s="39"/>
      <c r="AN19" s="39"/>
      <c r="AO19" s="39"/>
      <c r="AP19" s="39"/>
      <c r="AQ19" s="39"/>
      <c r="AR19" s="39"/>
      <c r="AS19" s="39"/>
      <c r="AT19" s="39"/>
      <c r="AU19" s="39"/>
      <c r="AV19" s="39"/>
    </row>
    <row r="20" ht="18.75" customHeight="1">
      <c r="A20" s="64" t="s">
        <v>4246</v>
      </c>
      <c r="B20" s="64" t="s">
        <v>4247</v>
      </c>
      <c r="C20" s="37" t="s">
        <v>4248</v>
      </c>
      <c r="D20" s="145">
        <v>0.003</v>
      </c>
      <c r="F20" s="39">
        <v>1.0</v>
      </c>
      <c r="J20" s="145">
        <v>0.9</v>
      </c>
      <c r="K20" s="39">
        <v>2.0</v>
      </c>
      <c r="N20" s="39">
        <v>1.0</v>
      </c>
      <c r="O20" s="39" t="s">
        <v>29</v>
      </c>
      <c r="P20" s="39" t="s">
        <v>4174</v>
      </c>
      <c r="Q20" s="39">
        <v>0.0</v>
      </c>
      <c r="R20" s="39" t="b">
        <v>0</v>
      </c>
      <c r="S20" s="39" t="b">
        <v>0</v>
      </c>
      <c r="T20" s="39" t="s">
        <v>4249</v>
      </c>
      <c r="U20" s="39" t="s">
        <v>29</v>
      </c>
      <c r="V20" s="39">
        <v>0.0</v>
      </c>
      <c r="W20" s="39" t="b">
        <v>1</v>
      </c>
      <c r="X20" s="39">
        <v>4.0</v>
      </c>
      <c r="Y20" s="39" t="s">
        <v>4190</v>
      </c>
      <c r="Z20" s="39">
        <v>0.0</v>
      </c>
      <c r="AA20" s="39">
        <v>1.0</v>
      </c>
      <c r="AB20" s="39"/>
      <c r="AC20" s="39"/>
      <c r="AD20" s="39"/>
      <c r="AE20" s="39"/>
      <c r="AF20" s="39"/>
      <c r="AG20" s="39"/>
      <c r="AH20" s="39" t="s">
        <v>4237</v>
      </c>
      <c r="AI20" s="39" t="s">
        <v>29</v>
      </c>
      <c r="AJ20" s="39">
        <v>0.0</v>
      </c>
      <c r="AK20" s="39"/>
      <c r="AL20" s="39"/>
      <c r="AM20" s="39"/>
      <c r="AN20" s="39"/>
      <c r="AO20" s="39"/>
      <c r="AP20" s="39"/>
      <c r="AQ20" s="39"/>
      <c r="AR20" s="39"/>
      <c r="AS20" s="39"/>
      <c r="AT20" s="39"/>
      <c r="AU20" s="39"/>
      <c r="AV20" s="39"/>
    </row>
    <row r="21" ht="18.75" customHeight="1">
      <c r="A21" s="64" t="s">
        <v>4250</v>
      </c>
      <c r="B21" s="64" t="s">
        <v>4251</v>
      </c>
      <c r="C21" s="37" t="s">
        <v>4252</v>
      </c>
      <c r="D21" s="145">
        <v>0.004</v>
      </c>
      <c r="F21" s="39">
        <v>1.0</v>
      </c>
      <c r="J21" s="145">
        <v>0.8</v>
      </c>
      <c r="K21" s="39">
        <v>2.0</v>
      </c>
      <c r="N21" s="39">
        <v>4.0</v>
      </c>
      <c r="O21" s="39" t="s">
        <v>4230</v>
      </c>
      <c r="P21" s="39" t="s">
        <v>4174</v>
      </c>
      <c r="Q21" s="39">
        <v>0.0</v>
      </c>
      <c r="R21" s="39" t="b">
        <v>0</v>
      </c>
      <c r="S21" s="39" t="b">
        <v>1</v>
      </c>
      <c r="T21" s="39" t="s">
        <v>2627</v>
      </c>
      <c r="U21" s="39" t="s">
        <v>29</v>
      </c>
      <c r="V21" s="39">
        <v>0.0</v>
      </c>
      <c r="W21" s="39" t="b">
        <v>1</v>
      </c>
      <c r="X21" s="39">
        <v>4.0</v>
      </c>
      <c r="Y21" s="39" t="s">
        <v>4253</v>
      </c>
      <c r="Z21" s="39">
        <v>0.0</v>
      </c>
      <c r="AA21" s="39">
        <v>1.0</v>
      </c>
      <c r="AB21" s="39" t="s">
        <v>1348</v>
      </c>
      <c r="AC21" s="39">
        <v>30.0</v>
      </c>
      <c r="AD21" s="39">
        <v>0.0</v>
      </c>
      <c r="AE21" s="39" t="s">
        <v>4183</v>
      </c>
      <c r="AF21" s="39">
        <v>0.0</v>
      </c>
      <c r="AG21" s="39"/>
      <c r="AH21" s="39" t="s">
        <v>4177</v>
      </c>
      <c r="AI21" s="39" t="s">
        <v>4231</v>
      </c>
      <c r="AJ21" s="39">
        <v>1.0</v>
      </c>
      <c r="AK21" s="39"/>
      <c r="AL21" s="39"/>
      <c r="AM21" s="39"/>
      <c r="AN21" s="39"/>
      <c r="AO21" s="39"/>
      <c r="AP21" s="39"/>
      <c r="AQ21" s="39"/>
      <c r="AR21" s="39"/>
      <c r="AS21" s="39"/>
      <c r="AT21" s="39"/>
      <c r="AU21" s="39"/>
      <c r="AV21" s="39"/>
    </row>
    <row r="22" ht="18.75" customHeight="1">
      <c r="A22" s="64" t="s">
        <v>4254</v>
      </c>
      <c r="B22" s="64" t="s">
        <v>4255</v>
      </c>
      <c r="C22" s="37" t="s">
        <v>4256</v>
      </c>
      <c r="D22" s="145">
        <v>0.005</v>
      </c>
      <c r="F22" s="39">
        <v>1.0</v>
      </c>
      <c r="J22" s="145">
        <v>0.7</v>
      </c>
      <c r="K22" s="39">
        <v>2.0</v>
      </c>
      <c r="N22" s="39">
        <v>4.0</v>
      </c>
      <c r="O22" s="39" t="s">
        <v>4257</v>
      </c>
      <c r="P22" s="39" t="s">
        <v>4174</v>
      </c>
      <c r="Q22" s="39">
        <v>0.0</v>
      </c>
      <c r="R22" s="39" t="b">
        <v>0</v>
      </c>
      <c r="S22" s="39" t="b">
        <v>0</v>
      </c>
      <c r="T22" s="39" t="s">
        <v>4258</v>
      </c>
      <c r="U22" s="39" t="s">
        <v>4175</v>
      </c>
      <c r="V22" s="39">
        <v>11.0</v>
      </c>
      <c r="W22" s="39" t="b">
        <v>1</v>
      </c>
      <c r="X22" s="39">
        <v>4.0</v>
      </c>
      <c r="Y22" s="39" t="s">
        <v>4259</v>
      </c>
      <c r="Z22" s="39">
        <v>0.0</v>
      </c>
      <c r="AA22" s="39">
        <v>1.0</v>
      </c>
      <c r="AB22" s="39" t="s">
        <v>644</v>
      </c>
      <c r="AC22" s="39">
        <v>20.0</v>
      </c>
      <c r="AD22" s="39">
        <v>0.0</v>
      </c>
      <c r="AE22" s="39" t="s">
        <v>4183</v>
      </c>
      <c r="AF22" s="39">
        <v>0.0</v>
      </c>
      <c r="AG22" s="39"/>
      <c r="AH22" s="39" t="s">
        <v>4177</v>
      </c>
      <c r="AI22" s="39" t="s">
        <v>4231</v>
      </c>
      <c r="AJ22" s="39">
        <v>1.0</v>
      </c>
      <c r="AK22" s="39"/>
      <c r="AL22" s="39"/>
      <c r="AM22" s="39"/>
      <c r="AN22" s="39"/>
      <c r="AO22" s="39"/>
      <c r="AP22" s="39"/>
      <c r="AQ22" s="39"/>
      <c r="AR22" s="39"/>
      <c r="AS22" s="39"/>
      <c r="AT22" s="39"/>
      <c r="AU22" s="39"/>
      <c r="AV22" s="39"/>
    </row>
    <row r="23" ht="18.75" customHeight="1">
      <c r="A23" s="64"/>
      <c r="B23" s="64"/>
      <c r="D23" s="144"/>
      <c r="J23" s="144"/>
    </row>
    <row r="24" ht="18.75" customHeight="1">
      <c r="A24" s="64"/>
      <c r="B24" s="64"/>
      <c r="D24" s="144"/>
      <c r="J24" s="144"/>
    </row>
    <row r="25" ht="18.75" customHeight="1">
      <c r="A25" s="64" t="s">
        <v>4169</v>
      </c>
      <c r="B25" s="64" t="s">
        <v>3024</v>
      </c>
      <c r="D25" s="144"/>
      <c r="J25" s="144"/>
    </row>
    <row r="26" ht="18.75" customHeight="1">
      <c r="A26" s="64" t="s">
        <v>4260</v>
      </c>
      <c r="B26" s="64" t="s">
        <v>4261</v>
      </c>
      <c r="C26" s="37" t="s">
        <v>4262</v>
      </c>
      <c r="D26" s="145">
        <v>0.005</v>
      </c>
      <c r="F26" s="39">
        <v>0.0</v>
      </c>
      <c r="J26" s="145">
        <v>0.8</v>
      </c>
      <c r="K26" s="39">
        <v>3.0</v>
      </c>
      <c r="N26" s="39">
        <v>6.0</v>
      </c>
      <c r="O26" s="39" t="s">
        <v>29</v>
      </c>
      <c r="P26" s="39" t="s">
        <v>4263</v>
      </c>
      <c r="Q26" s="39">
        <v>0.0</v>
      </c>
      <c r="R26" s="39" t="b">
        <v>0</v>
      </c>
      <c r="S26" s="39" t="b">
        <v>0</v>
      </c>
      <c r="T26" s="39" t="s">
        <v>4264</v>
      </c>
      <c r="U26" s="39" t="s">
        <v>4175</v>
      </c>
      <c r="V26" s="39">
        <v>12.0</v>
      </c>
      <c r="W26" s="39" t="b">
        <v>1</v>
      </c>
      <c r="X26" s="39">
        <v>4.0</v>
      </c>
      <c r="Y26" s="39" t="s">
        <v>4190</v>
      </c>
      <c r="Z26" s="39">
        <v>0.0</v>
      </c>
      <c r="AA26" s="39">
        <v>1.0</v>
      </c>
      <c r="AB26" s="39"/>
      <c r="AC26" s="39"/>
      <c r="AD26" s="39"/>
      <c r="AE26" s="39"/>
      <c r="AF26" s="39"/>
      <c r="AG26" s="39"/>
      <c r="AH26" s="39" t="s">
        <v>4265</v>
      </c>
      <c r="AI26" s="39" t="s">
        <v>29</v>
      </c>
      <c r="AJ26" s="39">
        <v>0.0</v>
      </c>
      <c r="AK26" s="39"/>
      <c r="AL26" s="39"/>
      <c r="AM26" s="39"/>
      <c r="AN26" s="39"/>
      <c r="AO26" s="39"/>
      <c r="AP26" s="39"/>
      <c r="AQ26" s="39"/>
      <c r="AR26" s="39"/>
      <c r="AS26" s="39"/>
      <c r="AT26" s="39"/>
      <c r="AU26" s="39"/>
      <c r="AV26" s="39"/>
    </row>
    <row r="27" ht="18.75" customHeight="1">
      <c r="A27" s="64" t="s">
        <v>4266</v>
      </c>
      <c r="B27" s="64" t="s">
        <v>4267</v>
      </c>
      <c r="C27" s="37" t="s">
        <v>4268</v>
      </c>
      <c r="D27" s="145">
        <v>0.003</v>
      </c>
      <c r="F27" s="39">
        <v>0.0</v>
      </c>
      <c r="J27" s="145">
        <v>0.8</v>
      </c>
      <c r="K27" s="39">
        <v>2.0</v>
      </c>
      <c r="N27" s="39">
        <v>8.0</v>
      </c>
      <c r="O27" s="39" t="s">
        <v>29</v>
      </c>
      <c r="P27" s="39" t="s">
        <v>4263</v>
      </c>
      <c r="Q27" s="39">
        <v>0.0</v>
      </c>
      <c r="R27" s="39" t="b">
        <v>0</v>
      </c>
      <c r="S27" s="39" t="b">
        <v>0</v>
      </c>
      <c r="T27" s="39" t="s">
        <v>4269</v>
      </c>
      <c r="U27" s="39" t="s">
        <v>29</v>
      </c>
      <c r="V27" s="39">
        <v>0.0</v>
      </c>
      <c r="W27" s="39" t="b">
        <v>1</v>
      </c>
      <c r="X27" s="39">
        <v>4.0</v>
      </c>
      <c r="Y27" s="39" t="s">
        <v>4190</v>
      </c>
      <c r="Z27" s="39">
        <v>0.0</v>
      </c>
      <c r="AA27" s="39">
        <v>1.0</v>
      </c>
      <c r="AB27" s="39"/>
      <c r="AC27" s="39"/>
      <c r="AD27" s="39"/>
      <c r="AE27" s="39"/>
      <c r="AF27" s="39"/>
      <c r="AG27" s="39"/>
      <c r="AH27" s="39" t="s">
        <v>4265</v>
      </c>
      <c r="AI27" s="39" t="s">
        <v>29</v>
      </c>
      <c r="AJ27" s="39">
        <v>0.0</v>
      </c>
      <c r="AK27" s="39"/>
      <c r="AL27" s="39"/>
      <c r="AM27" s="39"/>
      <c r="AN27" s="39"/>
      <c r="AO27" s="39"/>
      <c r="AP27" s="39"/>
      <c r="AQ27" s="39"/>
      <c r="AR27" s="39"/>
      <c r="AS27" s="39"/>
      <c r="AT27" s="39"/>
      <c r="AU27" s="39"/>
      <c r="AV27" s="39"/>
    </row>
    <row r="28" ht="18.75" customHeight="1">
      <c r="A28" s="64" t="s">
        <v>4270</v>
      </c>
      <c r="B28" s="64" t="s">
        <v>4271</v>
      </c>
      <c r="C28" s="37" t="s">
        <v>4272</v>
      </c>
      <c r="D28" s="145">
        <v>0.005</v>
      </c>
      <c r="F28" s="39">
        <v>0.0</v>
      </c>
      <c r="J28" s="145">
        <v>0.6</v>
      </c>
      <c r="K28" s="39">
        <v>3.0</v>
      </c>
      <c r="N28" s="39">
        <v>6.0</v>
      </c>
      <c r="O28" s="39" t="s">
        <v>29</v>
      </c>
      <c r="P28" s="39" t="s">
        <v>4263</v>
      </c>
      <c r="Q28" s="39">
        <v>0.0</v>
      </c>
      <c r="R28" s="39" t="b">
        <v>0</v>
      </c>
      <c r="S28" s="39" t="b">
        <v>0</v>
      </c>
      <c r="T28" s="39" t="s">
        <v>4273</v>
      </c>
      <c r="U28" s="39" t="s">
        <v>29</v>
      </c>
      <c r="V28" s="39">
        <v>0.0</v>
      </c>
      <c r="W28" s="39" t="b">
        <v>1</v>
      </c>
      <c r="X28" s="39">
        <v>4.0</v>
      </c>
      <c r="Y28" s="39" t="s">
        <v>4190</v>
      </c>
      <c r="Z28" s="39">
        <v>0.0</v>
      </c>
      <c r="AA28" s="39">
        <v>1.0</v>
      </c>
      <c r="AB28" s="39"/>
      <c r="AC28" s="39"/>
      <c r="AD28" s="39"/>
      <c r="AE28" s="39"/>
      <c r="AF28" s="39"/>
      <c r="AG28" s="39"/>
      <c r="AH28" s="39" t="s">
        <v>4265</v>
      </c>
      <c r="AI28" s="39" t="s">
        <v>29</v>
      </c>
      <c r="AJ28" s="39">
        <v>0.0</v>
      </c>
      <c r="AK28" s="39"/>
      <c r="AL28" s="39"/>
      <c r="AM28" s="39"/>
      <c r="AN28" s="39"/>
      <c r="AO28" s="39"/>
      <c r="AP28" s="39"/>
      <c r="AQ28" s="39"/>
      <c r="AR28" s="39"/>
      <c r="AS28" s="39"/>
      <c r="AT28" s="39"/>
      <c r="AU28" s="39"/>
      <c r="AV28" s="39"/>
    </row>
    <row r="29" ht="18.75" customHeight="1">
      <c r="A29" s="64" t="s">
        <v>4274</v>
      </c>
      <c r="B29" s="64" t="s">
        <v>4275</v>
      </c>
      <c r="C29" s="37" t="s">
        <v>4276</v>
      </c>
      <c r="D29" s="145">
        <v>0.004</v>
      </c>
      <c r="F29" s="39">
        <v>0.0</v>
      </c>
      <c r="J29" s="145">
        <v>0.5</v>
      </c>
      <c r="K29" s="39">
        <v>3.0</v>
      </c>
      <c r="N29" s="39">
        <v>2.0</v>
      </c>
      <c r="O29" s="39" t="s">
        <v>29</v>
      </c>
      <c r="P29" s="39" t="s">
        <v>4263</v>
      </c>
      <c r="Q29" s="39">
        <v>0.0</v>
      </c>
      <c r="R29" s="39" t="b">
        <v>0</v>
      </c>
      <c r="S29" s="39" t="b">
        <v>0</v>
      </c>
      <c r="T29" s="39" t="s">
        <v>4277</v>
      </c>
      <c r="U29" s="39" t="s">
        <v>29</v>
      </c>
      <c r="V29" s="39">
        <v>0.0</v>
      </c>
      <c r="W29" s="39" t="b">
        <v>1</v>
      </c>
      <c r="X29" s="39">
        <v>4.0</v>
      </c>
      <c r="Y29" s="39" t="s">
        <v>4190</v>
      </c>
      <c r="Z29" s="39">
        <v>0.0</v>
      </c>
      <c r="AA29" s="39">
        <v>1.0</v>
      </c>
      <c r="AB29" s="39"/>
      <c r="AC29" s="39"/>
      <c r="AD29" s="39"/>
      <c r="AE29" s="39"/>
      <c r="AF29" s="39"/>
      <c r="AG29" s="39"/>
      <c r="AH29" s="39" t="s">
        <v>4265</v>
      </c>
      <c r="AI29" s="39" t="s">
        <v>29</v>
      </c>
      <c r="AJ29" s="39">
        <v>0.0</v>
      </c>
      <c r="AK29" s="39"/>
      <c r="AL29" s="39"/>
      <c r="AM29" s="39"/>
      <c r="AN29" s="39"/>
      <c r="AO29" s="39"/>
      <c r="AP29" s="39"/>
      <c r="AQ29" s="39"/>
      <c r="AR29" s="39"/>
      <c r="AS29" s="39"/>
      <c r="AT29" s="39"/>
      <c r="AU29" s="39"/>
      <c r="AV29" s="39"/>
    </row>
    <row r="30" ht="18.75" customHeight="1">
      <c r="A30" s="64" t="s">
        <v>4278</v>
      </c>
      <c r="B30" s="64" t="s">
        <v>4279</v>
      </c>
      <c r="C30" s="37" t="s">
        <v>4280</v>
      </c>
      <c r="D30" s="145">
        <v>0.003</v>
      </c>
      <c r="F30" s="39">
        <v>0.0</v>
      </c>
      <c r="J30" s="145">
        <v>0.9</v>
      </c>
      <c r="K30" s="39">
        <v>3.0</v>
      </c>
      <c r="N30" s="39">
        <v>5.0</v>
      </c>
      <c r="O30" s="39" t="s">
        <v>29</v>
      </c>
      <c r="P30" s="39" t="s">
        <v>4263</v>
      </c>
      <c r="Q30" s="39">
        <v>0.0</v>
      </c>
      <c r="R30" s="39" t="b">
        <v>0</v>
      </c>
      <c r="S30" s="39" t="b">
        <v>0</v>
      </c>
      <c r="T30" s="39" t="s">
        <v>4281</v>
      </c>
      <c r="U30" s="39" t="s">
        <v>29</v>
      </c>
      <c r="V30" s="39">
        <v>0.0</v>
      </c>
      <c r="W30" s="39" t="b">
        <v>1</v>
      </c>
      <c r="X30" s="39">
        <v>4.0</v>
      </c>
      <c r="Y30" s="39" t="s">
        <v>4190</v>
      </c>
      <c r="Z30" s="39">
        <v>0.0</v>
      </c>
      <c r="AA30" s="39">
        <v>1.0</v>
      </c>
      <c r="AB30" s="39"/>
      <c r="AC30" s="39"/>
      <c r="AD30" s="39"/>
      <c r="AE30" s="39"/>
      <c r="AF30" s="39"/>
      <c r="AG30" s="39"/>
      <c r="AH30" s="39" t="s">
        <v>4265</v>
      </c>
      <c r="AI30" s="39" t="s">
        <v>29</v>
      </c>
      <c r="AJ30" s="39">
        <v>0.0</v>
      </c>
      <c r="AK30" s="39"/>
      <c r="AL30" s="39"/>
      <c r="AM30" s="39"/>
      <c r="AN30" s="39"/>
      <c r="AO30" s="39"/>
      <c r="AP30" s="39"/>
      <c r="AQ30" s="39"/>
      <c r="AR30" s="39"/>
      <c r="AS30" s="39"/>
      <c r="AT30" s="39"/>
      <c r="AU30" s="39"/>
      <c r="AV30" s="39"/>
    </row>
    <row r="31" ht="18.75" customHeight="1">
      <c r="A31" s="64" t="s">
        <v>4282</v>
      </c>
      <c r="B31" s="64" t="s">
        <v>4283</v>
      </c>
      <c r="C31" s="37" t="s">
        <v>4284</v>
      </c>
      <c r="D31" s="145">
        <v>0.003</v>
      </c>
      <c r="F31" s="39">
        <v>0.0</v>
      </c>
      <c r="J31" s="145">
        <v>0.7</v>
      </c>
      <c r="K31" s="39">
        <v>3.0</v>
      </c>
      <c r="N31" s="39">
        <v>3.0</v>
      </c>
      <c r="O31" s="39" t="s">
        <v>29</v>
      </c>
      <c r="P31" s="39" t="s">
        <v>4263</v>
      </c>
      <c r="Q31" s="39">
        <v>0.0</v>
      </c>
      <c r="R31" s="39" t="b">
        <v>0</v>
      </c>
      <c r="S31" s="39" t="b">
        <v>0</v>
      </c>
      <c r="T31" s="39" t="s">
        <v>4285</v>
      </c>
      <c r="U31" s="39" t="s">
        <v>29</v>
      </c>
      <c r="V31" s="39">
        <v>0.0</v>
      </c>
      <c r="W31" s="39" t="b">
        <v>1</v>
      </c>
      <c r="X31" s="39">
        <v>4.0</v>
      </c>
      <c r="Y31" s="39" t="s">
        <v>4190</v>
      </c>
      <c r="Z31" s="39">
        <v>0.0</v>
      </c>
      <c r="AA31" s="39">
        <v>1.0</v>
      </c>
      <c r="AB31" s="39"/>
      <c r="AC31" s="39"/>
      <c r="AD31" s="39"/>
      <c r="AE31" s="39"/>
      <c r="AF31" s="39"/>
      <c r="AG31" s="39"/>
      <c r="AH31" s="39" t="s">
        <v>4265</v>
      </c>
      <c r="AI31" s="39" t="s">
        <v>29</v>
      </c>
      <c r="AJ31" s="39">
        <v>0.0</v>
      </c>
      <c r="AK31" s="39"/>
      <c r="AL31" s="39"/>
      <c r="AM31" s="39"/>
      <c r="AN31" s="39"/>
      <c r="AO31" s="39"/>
      <c r="AP31" s="39"/>
      <c r="AQ31" s="39"/>
      <c r="AR31" s="39"/>
      <c r="AS31" s="39"/>
      <c r="AT31" s="39"/>
      <c r="AU31" s="39"/>
      <c r="AV31" s="39"/>
    </row>
    <row r="32" ht="18.75" customHeight="1">
      <c r="A32" s="64" t="s">
        <v>4286</v>
      </c>
      <c r="B32" s="64" t="s">
        <v>4287</v>
      </c>
      <c r="C32" s="37" t="s">
        <v>4288</v>
      </c>
      <c r="D32" s="145">
        <v>0.004</v>
      </c>
      <c r="F32" s="39">
        <v>1.0</v>
      </c>
      <c r="J32" s="145">
        <v>1.0</v>
      </c>
      <c r="K32" s="39">
        <v>1.0</v>
      </c>
      <c r="N32" s="39">
        <v>4.0</v>
      </c>
      <c r="O32" s="39" t="s">
        <v>29</v>
      </c>
      <c r="P32" s="39" t="s">
        <v>4174</v>
      </c>
      <c r="Q32" s="39">
        <v>0.0</v>
      </c>
      <c r="R32" s="39" t="b">
        <v>1</v>
      </c>
      <c r="S32" s="39" t="b">
        <v>0</v>
      </c>
      <c r="T32" s="39" t="s">
        <v>2958</v>
      </c>
      <c r="U32" s="39" t="s">
        <v>29</v>
      </c>
      <c r="V32" s="39">
        <v>0.0</v>
      </c>
      <c r="W32" s="39" t="b">
        <v>1</v>
      </c>
      <c r="X32" s="39">
        <v>4.0</v>
      </c>
      <c r="Y32" s="39" t="s">
        <v>4190</v>
      </c>
      <c r="Z32" s="39">
        <v>0.0</v>
      </c>
      <c r="AA32" s="39">
        <v>1.0</v>
      </c>
      <c r="AB32" s="39"/>
      <c r="AC32" s="39"/>
      <c r="AD32" s="39"/>
      <c r="AE32" s="39"/>
      <c r="AF32" s="39"/>
      <c r="AG32" s="39"/>
      <c r="AH32" s="39" t="s">
        <v>4237</v>
      </c>
      <c r="AI32" s="39" t="s">
        <v>29</v>
      </c>
      <c r="AJ32" s="39">
        <v>0.0</v>
      </c>
      <c r="AK32" s="39"/>
      <c r="AL32" s="39"/>
      <c r="AM32" s="39"/>
      <c r="AN32" s="39"/>
      <c r="AO32" s="39"/>
      <c r="AP32" s="39"/>
      <c r="AQ32" s="39"/>
      <c r="AR32" s="39"/>
      <c r="AS32" s="39"/>
      <c r="AT32" s="39"/>
      <c r="AU32" s="39"/>
      <c r="AV32" s="39"/>
    </row>
    <row r="33" ht="18.75" customHeight="1">
      <c r="A33" s="64"/>
      <c r="B33" s="64"/>
      <c r="D33" s="144"/>
      <c r="J33" s="144"/>
    </row>
    <row r="34" ht="18.75" customHeight="1">
      <c r="A34" s="64" t="s">
        <v>4289</v>
      </c>
      <c r="B34" s="64" t="s">
        <v>4290</v>
      </c>
      <c r="C34" s="37" t="s">
        <v>4291</v>
      </c>
      <c r="D34" s="145">
        <v>0.002</v>
      </c>
      <c r="F34" s="39">
        <v>1.0</v>
      </c>
      <c r="J34" s="145">
        <v>0.5</v>
      </c>
      <c r="K34" s="39">
        <v>1.0</v>
      </c>
      <c r="N34" s="39">
        <v>8.0</v>
      </c>
      <c r="O34" s="39" t="s">
        <v>29</v>
      </c>
      <c r="P34" s="39" t="s">
        <v>4174</v>
      </c>
      <c r="Q34" s="39">
        <v>0.0</v>
      </c>
      <c r="R34" s="39" t="b">
        <v>0</v>
      </c>
      <c r="S34" s="39" t="b">
        <v>0</v>
      </c>
      <c r="T34" s="39" t="s">
        <v>4292</v>
      </c>
      <c r="U34" s="39" t="s">
        <v>29</v>
      </c>
      <c r="V34" s="39">
        <v>0.0</v>
      </c>
      <c r="W34" s="39" t="b">
        <v>1</v>
      </c>
      <c r="X34" s="39">
        <v>4.0</v>
      </c>
      <c r="Y34" s="39" t="s">
        <v>4293</v>
      </c>
      <c r="Z34" s="39">
        <v>0.0</v>
      </c>
      <c r="AA34" s="39">
        <v>1.0</v>
      </c>
      <c r="AB34" s="39" t="s">
        <v>1782</v>
      </c>
      <c r="AC34" s="39">
        <v>100.0</v>
      </c>
      <c r="AD34" s="39">
        <v>0.0</v>
      </c>
      <c r="AE34" s="39" t="s">
        <v>4183</v>
      </c>
      <c r="AF34" s="39">
        <v>0.0</v>
      </c>
      <c r="AG34" s="39"/>
      <c r="AH34" s="39" t="s">
        <v>4199</v>
      </c>
      <c r="AI34" s="39" t="s">
        <v>29</v>
      </c>
      <c r="AJ34" s="39">
        <v>0.0</v>
      </c>
      <c r="AK34" s="39"/>
      <c r="AL34" s="39"/>
      <c r="AM34" s="39"/>
      <c r="AN34" s="39"/>
      <c r="AO34" s="39"/>
      <c r="AP34" s="39"/>
      <c r="AQ34" s="39"/>
      <c r="AR34" s="39"/>
      <c r="AS34" s="39"/>
      <c r="AT34" s="39"/>
      <c r="AU34" s="39"/>
      <c r="AV34" s="39"/>
    </row>
    <row r="35" ht="18.75" customHeight="1">
      <c r="A35" s="64"/>
      <c r="B35" s="64"/>
      <c r="D35" s="144"/>
      <c r="J35" s="144"/>
    </row>
    <row r="36" ht="18.75" customHeight="1">
      <c r="A36" s="102" t="s">
        <v>3300</v>
      </c>
      <c r="B36" s="102" t="s">
        <v>4294</v>
      </c>
      <c r="C36" s="39" t="s">
        <v>4295</v>
      </c>
      <c r="D36" s="145">
        <v>0.0</v>
      </c>
      <c r="F36" s="39">
        <v>1.0</v>
      </c>
      <c r="J36" s="145">
        <v>1.0</v>
      </c>
      <c r="K36" s="39">
        <v>1.0</v>
      </c>
      <c r="N36" s="39">
        <v>0.0</v>
      </c>
      <c r="O36" s="39" t="s">
        <v>4296</v>
      </c>
      <c r="P36" s="39" t="s">
        <v>4174</v>
      </c>
      <c r="Q36" s="39">
        <v>0.0</v>
      </c>
      <c r="R36" s="39" t="b">
        <v>0</v>
      </c>
      <c r="S36" s="39" t="b">
        <v>0</v>
      </c>
      <c r="T36" s="39" t="s">
        <v>4297</v>
      </c>
      <c r="W36" s="39" t="b">
        <v>1</v>
      </c>
      <c r="X36" s="39">
        <v>0.0</v>
      </c>
      <c r="Y36" s="39" t="s">
        <v>4298</v>
      </c>
      <c r="Z36" s="39">
        <v>0.0</v>
      </c>
      <c r="AA36" s="39">
        <v>1.0</v>
      </c>
      <c r="AB36" s="39" t="s">
        <v>644</v>
      </c>
      <c r="AC36" s="39">
        <v>20.0</v>
      </c>
      <c r="AD36" s="39">
        <v>20.0</v>
      </c>
      <c r="AE36" s="39" t="s">
        <v>4183</v>
      </c>
      <c r="AH36" s="39" t="s">
        <v>4299</v>
      </c>
      <c r="AJ36" s="39">
        <v>0.0</v>
      </c>
      <c r="AK36" s="39" t="b">
        <v>1</v>
      </c>
      <c r="AL36" s="39" t="s">
        <v>4300</v>
      </c>
      <c r="AM36" s="39"/>
      <c r="AN36" s="39"/>
      <c r="AO36" s="39"/>
      <c r="AP36" s="39"/>
      <c r="AQ36" s="39"/>
      <c r="AR36" s="39"/>
      <c r="AS36" s="39"/>
      <c r="AT36" s="39"/>
      <c r="AU36" s="39"/>
      <c r="AV36" s="39"/>
    </row>
    <row r="37" ht="18.75" customHeight="1">
      <c r="A37" s="102" t="s">
        <v>3303</v>
      </c>
      <c r="B37" s="102" t="s">
        <v>4301</v>
      </c>
      <c r="C37" s="39" t="s">
        <v>4302</v>
      </c>
      <c r="D37" s="145">
        <v>0.0</v>
      </c>
      <c r="F37" s="39">
        <v>1.0</v>
      </c>
      <c r="J37" s="145">
        <v>1.0</v>
      </c>
      <c r="K37" s="39">
        <v>1.0</v>
      </c>
      <c r="N37" s="39">
        <v>0.0</v>
      </c>
      <c r="O37" s="39" t="s">
        <v>4303</v>
      </c>
      <c r="P37" s="39" t="s">
        <v>4174</v>
      </c>
      <c r="Q37" s="39">
        <v>0.0</v>
      </c>
      <c r="R37" s="39" t="b">
        <v>0</v>
      </c>
      <c r="S37" s="39" t="b">
        <v>0</v>
      </c>
      <c r="T37" s="39" t="s">
        <v>644</v>
      </c>
      <c r="W37" s="39" t="b">
        <v>1</v>
      </c>
      <c r="X37" s="39">
        <v>0.0</v>
      </c>
      <c r="Y37" s="39" t="s">
        <v>4298</v>
      </c>
      <c r="Z37" s="39">
        <v>0.0</v>
      </c>
      <c r="AA37" s="39">
        <v>1.0</v>
      </c>
      <c r="AB37" s="39" t="s">
        <v>644</v>
      </c>
      <c r="AC37" s="39">
        <v>0.0</v>
      </c>
      <c r="AD37" s="39">
        <v>0.0</v>
      </c>
      <c r="AE37" s="39" t="s">
        <v>4183</v>
      </c>
      <c r="AH37" s="39" t="s">
        <v>4299</v>
      </c>
      <c r="AJ37" s="39">
        <v>0.0</v>
      </c>
      <c r="AK37" s="39" t="b">
        <v>1</v>
      </c>
      <c r="AL37" s="39" t="s">
        <v>4304</v>
      </c>
      <c r="AM37" s="39"/>
      <c r="AN37" s="39"/>
      <c r="AO37" s="39"/>
      <c r="AP37" s="39"/>
      <c r="AQ37" s="39"/>
      <c r="AR37" s="39"/>
      <c r="AS37" s="39"/>
      <c r="AT37" s="39"/>
      <c r="AU37" s="39"/>
      <c r="AV37" s="39"/>
    </row>
    <row r="38" ht="18.75" customHeight="1">
      <c r="A38" s="102" t="s">
        <v>3306</v>
      </c>
      <c r="B38" s="102" t="s">
        <v>4305</v>
      </c>
      <c r="C38" s="39" t="s">
        <v>4306</v>
      </c>
      <c r="D38" s="145">
        <v>0.0</v>
      </c>
      <c r="F38" s="39">
        <v>1.0</v>
      </c>
      <c r="J38" s="145">
        <v>1.0</v>
      </c>
      <c r="K38" s="39">
        <v>1.0</v>
      </c>
      <c r="N38" s="39">
        <v>0.0</v>
      </c>
      <c r="O38" s="39" t="s">
        <v>4307</v>
      </c>
      <c r="P38" s="39" t="s">
        <v>4174</v>
      </c>
      <c r="Q38" s="39">
        <v>0.0</v>
      </c>
      <c r="R38" s="39" t="b">
        <v>0</v>
      </c>
      <c r="S38" s="39" t="b">
        <v>0</v>
      </c>
      <c r="T38" s="39" t="s">
        <v>4308</v>
      </c>
      <c r="W38" s="39" t="b">
        <v>1</v>
      </c>
      <c r="X38" s="39">
        <v>0.0</v>
      </c>
      <c r="Y38" s="39" t="s">
        <v>4298</v>
      </c>
      <c r="Z38" s="39">
        <v>0.0</v>
      </c>
      <c r="AA38" s="39">
        <v>1.0</v>
      </c>
      <c r="AB38" s="39" t="s">
        <v>29</v>
      </c>
      <c r="AC38" s="39">
        <v>0.0</v>
      </c>
      <c r="AD38" s="39">
        <v>0.0</v>
      </c>
      <c r="AE38" s="39" t="s">
        <v>4183</v>
      </c>
      <c r="AH38" s="39" t="s">
        <v>4299</v>
      </c>
      <c r="AJ38" s="39">
        <v>0.0</v>
      </c>
      <c r="AK38" s="39" t="b">
        <v>1</v>
      </c>
      <c r="AL38" s="39" t="s">
        <v>4309</v>
      </c>
      <c r="AM38" s="39"/>
      <c r="AN38" s="39"/>
      <c r="AO38" s="39"/>
      <c r="AP38" s="39"/>
      <c r="AQ38" s="39"/>
      <c r="AR38" s="39"/>
      <c r="AS38" s="39"/>
      <c r="AT38" s="39"/>
      <c r="AU38" s="39"/>
      <c r="AV38" s="39"/>
    </row>
    <row r="39" ht="18.75" customHeight="1">
      <c r="A39" s="102" t="s">
        <v>3309</v>
      </c>
      <c r="B39" s="102" t="s">
        <v>4310</v>
      </c>
      <c r="C39" s="39" t="s">
        <v>4311</v>
      </c>
      <c r="D39" s="145">
        <v>0.0</v>
      </c>
      <c r="F39" s="39">
        <v>1.0</v>
      </c>
      <c r="J39" s="145">
        <v>1.0</v>
      </c>
      <c r="K39" s="39">
        <v>1.0</v>
      </c>
      <c r="N39" s="39">
        <v>0.0</v>
      </c>
      <c r="O39" s="39" t="s">
        <v>67</v>
      </c>
      <c r="P39" s="39" t="s">
        <v>4174</v>
      </c>
      <c r="Q39" s="39">
        <v>0.0</v>
      </c>
      <c r="R39" s="39" t="b">
        <v>0</v>
      </c>
      <c r="S39" s="39" t="b">
        <v>0</v>
      </c>
      <c r="T39" s="39" t="s">
        <v>4312</v>
      </c>
      <c r="W39" s="39" t="b">
        <v>1</v>
      </c>
      <c r="X39" s="39">
        <v>0.0</v>
      </c>
      <c r="Y39" s="39" t="s">
        <v>4298</v>
      </c>
      <c r="Z39" s="39">
        <v>0.0</v>
      </c>
      <c r="AA39" s="39">
        <v>1.0</v>
      </c>
      <c r="AB39" s="39" t="s">
        <v>284</v>
      </c>
      <c r="AC39" s="39">
        <v>15.0</v>
      </c>
      <c r="AD39" s="39">
        <v>0.0</v>
      </c>
      <c r="AE39" s="39" t="s">
        <v>4183</v>
      </c>
      <c r="AH39" s="39" t="s">
        <v>4299</v>
      </c>
      <c r="AJ39" s="39">
        <v>0.0</v>
      </c>
      <c r="AK39" s="39" t="b">
        <v>1</v>
      </c>
      <c r="AL39" s="39" t="s">
        <v>4313</v>
      </c>
      <c r="AM39" s="39"/>
      <c r="AN39" s="39"/>
      <c r="AO39" s="39"/>
      <c r="AP39" s="39"/>
      <c r="AQ39" s="39"/>
      <c r="AR39" s="39"/>
      <c r="AS39" s="39"/>
      <c r="AT39" s="39"/>
      <c r="AU39" s="39"/>
      <c r="AV39" s="39"/>
    </row>
    <row r="40" ht="18.75" customHeight="1">
      <c r="A40" s="102" t="s">
        <v>3312</v>
      </c>
      <c r="B40" s="102" t="s">
        <v>4314</v>
      </c>
      <c r="C40" s="39" t="s">
        <v>4315</v>
      </c>
      <c r="D40" s="145">
        <v>0.0</v>
      </c>
      <c r="F40" s="39">
        <v>1.0</v>
      </c>
      <c r="J40" s="145">
        <v>1.0</v>
      </c>
      <c r="K40" s="39">
        <v>1.0</v>
      </c>
      <c r="N40" s="39">
        <v>0.0</v>
      </c>
      <c r="O40" s="39" t="s">
        <v>4316</v>
      </c>
      <c r="P40" s="39" t="s">
        <v>4174</v>
      </c>
      <c r="Q40" s="39">
        <v>0.0</v>
      </c>
      <c r="R40" s="39" t="b">
        <v>0</v>
      </c>
      <c r="S40" s="39" t="b">
        <v>0</v>
      </c>
      <c r="T40" s="39" t="s">
        <v>4317</v>
      </c>
      <c r="W40" s="39" t="b">
        <v>1</v>
      </c>
      <c r="X40" s="39">
        <v>0.0</v>
      </c>
      <c r="Y40" s="39" t="s">
        <v>4298</v>
      </c>
      <c r="Z40" s="39">
        <v>0.0</v>
      </c>
      <c r="AA40" s="39">
        <v>1.0</v>
      </c>
      <c r="AB40" s="39" t="s">
        <v>370</v>
      </c>
      <c r="AC40" s="39">
        <v>15.0</v>
      </c>
      <c r="AD40" s="39">
        <v>0.0</v>
      </c>
      <c r="AE40" s="39" t="s">
        <v>4183</v>
      </c>
      <c r="AH40" s="39" t="s">
        <v>4299</v>
      </c>
      <c r="AJ40" s="39">
        <v>0.0</v>
      </c>
      <c r="AK40" s="39" t="b">
        <v>1</v>
      </c>
      <c r="AL40" s="39" t="s">
        <v>4318</v>
      </c>
      <c r="AM40" s="39"/>
      <c r="AN40" s="39"/>
      <c r="AO40" s="39"/>
      <c r="AP40" s="39"/>
      <c r="AQ40" s="39"/>
      <c r="AR40" s="39"/>
      <c r="AS40" s="39"/>
      <c r="AT40" s="39"/>
      <c r="AU40" s="39"/>
      <c r="AV40" s="39"/>
    </row>
    <row r="41" ht="18.75" customHeight="1">
      <c r="A41" s="102" t="s">
        <v>3315</v>
      </c>
      <c r="B41" s="102" t="s">
        <v>4319</v>
      </c>
      <c r="C41" s="39" t="s">
        <v>4320</v>
      </c>
      <c r="D41" s="145">
        <v>0.0</v>
      </c>
      <c r="F41" s="39">
        <v>1.0</v>
      </c>
      <c r="J41" s="145">
        <v>1.0</v>
      </c>
      <c r="K41" s="39">
        <v>1.0</v>
      </c>
      <c r="N41" s="39">
        <v>0.0</v>
      </c>
      <c r="O41" s="39" t="s">
        <v>4321</v>
      </c>
      <c r="P41" s="39" t="s">
        <v>4174</v>
      </c>
      <c r="Q41" s="39">
        <v>0.0</v>
      </c>
      <c r="R41" s="39" t="b">
        <v>0</v>
      </c>
      <c r="S41" s="39" t="b">
        <v>0</v>
      </c>
      <c r="T41" s="39" t="s">
        <v>4258</v>
      </c>
      <c r="W41" s="39" t="b">
        <v>1</v>
      </c>
      <c r="X41" s="39">
        <v>0.0</v>
      </c>
      <c r="Y41" s="39" t="s">
        <v>4298</v>
      </c>
      <c r="Z41" s="39">
        <v>0.0</v>
      </c>
      <c r="AA41" s="39">
        <v>1.0</v>
      </c>
      <c r="AB41" s="39" t="s">
        <v>29</v>
      </c>
      <c r="AC41" s="39">
        <v>0.0</v>
      </c>
      <c r="AD41" s="39">
        <v>0.0</v>
      </c>
      <c r="AE41" s="39" t="s">
        <v>4183</v>
      </c>
      <c r="AH41" s="39" t="s">
        <v>4299</v>
      </c>
      <c r="AJ41" s="39">
        <v>0.0</v>
      </c>
      <c r="AK41" s="39" t="b">
        <v>1</v>
      </c>
      <c r="AL41" s="39" t="s">
        <v>4322</v>
      </c>
      <c r="AM41" s="39"/>
      <c r="AN41" s="39"/>
      <c r="AO41" s="39"/>
      <c r="AP41" s="39"/>
      <c r="AQ41" s="39"/>
      <c r="AR41" s="39"/>
      <c r="AS41" s="39"/>
      <c r="AT41" s="39"/>
      <c r="AU41" s="39"/>
      <c r="AV41" s="39"/>
    </row>
    <row r="42" ht="18.75" customHeight="1">
      <c r="A42" s="102" t="s">
        <v>4323</v>
      </c>
      <c r="B42" s="102" t="s">
        <v>4324</v>
      </c>
      <c r="C42" s="39" t="s">
        <v>4325</v>
      </c>
      <c r="D42" s="145">
        <v>0.0</v>
      </c>
      <c r="F42" s="39">
        <v>0.0</v>
      </c>
      <c r="J42" s="145">
        <v>1.0</v>
      </c>
      <c r="K42" s="39"/>
      <c r="N42" s="39"/>
      <c r="O42" s="39" t="s">
        <v>58</v>
      </c>
      <c r="P42" s="39" t="s">
        <v>4174</v>
      </c>
      <c r="Q42" s="39">
        <v>0.0</v>
      </c>
      <c r="R42" s="39" t="b">
        <v>0</v>
      </c>
      <c r="S42" s="39" t="b">
        <v>0</v>
      </c>
      <c r="T42" s="39"/>
      <c r="W42" s="39" t="b">
        <v>1</v>
      </c>
      <c r="X42" s="39"/>
      <c r="Y42" s="39"/>
      <c r="Z42" s="39"/>
      <c r="AA42" s="39"/>
      <c r="AB42" s="39"/>
      <c r="AC42" s="39"/>
      <c r="AD42" s="39"/>
      <c r="AE42" s="39"/>
      <c r="AH42" s="39" t="s">
        <v>2568</v>
      </c>
      <c r="AJ42" s="39"/>
      <c r="AK42" s="39" t="b">
        <v>0</v>
      </c>
      <c r="AL42" s="39"/>
      <c r="AM42" s="39" t="s">
        <v>4326</v>
      </c>
      <c r="AN42" s="39" t="s">
        <v>4327</v>
      </c>
      <c r="AO42" s="39">
        <v>200.0</v>
      </c>
      <c r="AP42" s="39">
        <v>500.0</v>
      </c>
      <c r="AQ42" s="39">
        <v>1.0</v>
      </c>
      <c r="AR42" s="39">
        <v>1.0</v>
      </c>
    </row>
    <row r="43" ht="18.75" customHeight="1">
      <c r="A43" s="102" t="s">
        <v>4328</v>
      </c>
      <c r="B43" s="102" t="s">
        <v>4329</v>
      </c>
      <c r="C43" s="39" t="s">
        <v>4330</v>
      </c>
      <c r="D43" s="145">
        <v>0.0</v>
      </c>
      <c r="F43" s="39">
        <v>0.0</v>
      </c>
      <c r="J43" s="145">
        <v>1.0</v>
      </c>
      <c r="K43" s="39"/>
      <c r="N43" s="39"/>
      <c r="O43" s="39" t="s">
        <v>4331</v>
      </c>
      <c r="P43" s="39" t="s">
        <v>4174</v>
      </c>
      <c r="Q43" s="39">
        <v>0.0</v>
      </c>
      <c r="R43" s="39" t="b">
        <v>0</v>
      </c>
      <c r="S43" s="39" t="b">
        <v>0</v>
      </c>
      <c r="T43" s="39"/>
      <c r="W43" s="39" t="b">
        <v>1</v>
      </c>
      <c r="X43" s="39"/>
      <c r="Y43" s="39"/>
      <c r="Z43" s="39"/>
      <c r="AA43" s="39"/>
      <c r="AB43" s="39"/>
      <c r="AC43" s="39"/>
      <c r="AD43" s="39"/>
      <c r="AE43" s="39"/>
      <c r="AH43" s="39" t="s">
        <v>2568</v>
      </c>
      <c r="AJ43" s="39"/>
      <c r="AK43" s="39" t="b">
        <v>0</v>
      </c>
      <c r="AL43" s="39"/>
      <c r="AM43" s="39" t="s">
        <v>4326</v>
      </c>
      <c r="AN43" s="39" t="s">
        <v>4327</v>
      </c>
      <c r="AO43" s="39">
        <v>200.0</v>
      </c>
      <c r="AP43" s="39">
        <v>1000.0</v>
      </c>
      <c r="AQ43" s="39">
        <v>1.0</v>
      </c>
      <c r="AR43" s="39">
        <v>1.0</v>
      </c>
    </row>
    <row r="44" ht="18.75" customHeight="1">
      <c r="A44" s="102" t="s">
        <v>4332</v>
      </c>
      <c r="B44" s="102" t="s">
        <v>4333</v>
      </c>
      <c r="C44" s="39" t="s">
        <v>4334</v>
      </c>
      <c r="D44" s="145">
        <v>0.0</v>
      </c>
      <c r="F44" s="39">
        <v>0.0</v>
      </c>
      <c r="J44" s="145">
        <v>1.0</v>
      </c>
      <c r="K44" s="39"/>
      <c r="N44" s="39"/>
      <c r="O44" s="39" t="s">
        <v>4335</v>
      </c>
      <c r="P44" s="39" t="s">
        <v>4174</v>
      </c>
      <c r="Q44" s="39">
        <v>0.0</v>
      </c>
      <c r="R44" s="39" t="b">
        <v>0</v>
      </c>
      <c r="S44" s="39" t="b">
        <v>0</v>
      </c>
      <c r="T44" s="39"/>
      <c r="W44" s="39" t="b">
        <v>1</v>
      </c>
      <c r="X44" s="39"/>
      <c r="Y44" s="39"/>
      <c r="Z44" s="39"/>
      <c r="AA44" s="39"/>
      <c r="AB44" s="39"/>
      <c r="AC44" s="39"/>
      <c r="AD44" s="39"/>
      <c r="AE44" s="39"/>
      <c r="AH44" s="39" t="s">
        <v>2568</v>
      </c>
      <c r="AJ44" s="39"/>
      <c r="AK44" s="39" t="b">
        <v>0</v>
      </c>
      <c r="AL44" s="39"/>
      <c r="AM44" s="39" t="s">
        <v>4326</v>
      </c>
      <c r="AN44" s="39" t="s">
        <v>4327</v>
      </c>
      <c r="AO44" s="39">
        <v>50.0</v>
      </c>
      <c r="AP44" s="39">
        <v>200.0</v>
      </c>
      <c r="AQ44" s="39">
        <v>1.0</v>
      </c>
      <c r="AR44" s="39">
        <v>0.0</v>
      </c>
      <c r="AT44" s="39" t="s">
        <v>65</v>
      </c>
    </row>
    <row r="45" ht="18.75" customHeight="1">
      <c r="A45" s="102" t="s">
        <v>988</v>
      </c>
      <c r="B45" s="102" t="s">
        <v>4336</v>
      </c>
      <c r="C45" s="39" t="s">
        <v>4337</v>
      </c>
      <c r="D45" s="145">
        <v>0.0</v>
      </c>
      <c r="F45" s="39">
        <v>0.0</v>
      </c>
      <c r="J45" s="145">
        <v>1.0</v>
      </c>
      <c r="K45" s="39"/>
      <c r="N45" s="39"/>
      <c r="O45" s="39"/>
      <c r="P45" s="39" t="s">
        <v>4174</v>
      </c>
      <c r="Q45" s="39">
        <v>0.0</v>
      </c>
      <c r="R45" s="39" t="b">
        <v>0</v>
      </c>
      <c r="S45" s="39" t="b">
        <v>0</v>
      </c>
      <c r="T45" s="39"/>
      <c r="W45" s="39" t="b">
        <v>1</v>
      </c>
      <c r="X45" s="39"/>
      <c r="Y45" s="39"/>
      <c r="Z45" s="39"/>
      <c r="AA45" s="39"/>
      <c r="AB45" s="39" t="s">
        <v>1782</v>
      </c>
      <c r="AC45" s="39">
        <v>80.0</v>
      </c>
      <c r="AD45" s="39"/>
      <c r="AE45" s="39"/>
      <c r="AH45" s="39" t="s">
        <v>2568</v>
      </c>
      <c r="AJ45" s="39"/>
      <c r="AK45" s="39" t="b">
        <v>0</v>
      </c>
      <c r="AL45" s="39"/>
      <c r="AM45" s="39" t="s">
        <v>988</v>
      </c>
      <c r="AN45" s="39" t="s">
        <v>4327</v>
      </c>
      <c r="AU45" s="39">
        <v>1.0</v>
      </c>
      <c r="AV45" s="39"/>
    </row>
    <row r="46" ht="18.75" customHeight="1">
      <c r="A46" s="102" t="s">
        <v>4338</v>
      </c>
      <c r="B46" s="102" t="s">
        <v>4339</v>
      </c>
      <c r="C46" s="39" t="s">
        <v>4340</v>
      </c>
      <c r="D46" s="145">
        <v>0.0</v>
      </c>
      <c r="F46" s="39">
        <v>0.0</v>
      </c>
      <c r="J46" s="145">
        <v>1.0</v>
      </c>
      <c r="K46" s="39"/>
      <c r="N46" s="39"/>
      <c r="O46" s="39"/>
      <c r="P46" s="39" t="s">
        <v>4174</v>
      </c>
      <c r="Q46" s="39">
        <v>0.0</v>
      </c>
      <c r="R46" s="39" t="b">
        <v>0</v>
      </c>
      <c r="S46" s="39" t="b">
        <v>0</v>
      </c>
      <c r="T46" s="39"/>
      <c r="W46" s="39" t="b">
        <v>1</v>
      </c>
      <c r="X46" s="39"/>
      <c r="Y46" s="39"/>
      <c r="Z46" s="39"/>
      <c r="AA46" s="39"/>
      <c r="AB46" s="39"/>
      <c r="AC46" s="39"/>
      <c r="AD46" s="39"/>
      <c r="AE46" s="39"/>
      <c r="AH46" s="39" t="s">
        <v>2568</v>
      </c>
      <c r="AJ46" s="39"/>
      <c r="AK46" s="39" t="b">
        <v>0</v>
      </c>
      <c r="AL46" s="39"/>
      <c r="AM46" s="39" t="s">
        <v>4338</v>
      </c>
      <c r="AN46" s="39" t="s">
        <v>4327</v>
      </c>
      <c r="AO46" s="39">
        <v>0.0</v>
      </c>
      <c r="AP46" s="39">
        <v>100.0</v>
      </c>
      <c r="AQ46" s="39">
        <v>1.0</v>
      </c>
      <c r="AS46" s="39">
        <v>20.0</v>
      </c>
    </row>
    <row r="47" ht="18.75" customHeight="1">
      <c r="A47" s="102" t="s">
        <v>1018</v>
      </c>
      <c r="B47" s="102" t="s">
        <v>4341</v>
      </c>
      <c r="C47" s="39" t="s">
        <v>4342</v>
      </c>
      <c r="D47" s="145">
        <v>0.008</v>
      </c>
      <c r="F47" s="39">
        <v>2.0</v>
      </c>
      <c r="J47" s="145">
        <v>0.7</v>
      </c>
      <c r="K47" s="39">
        <v>3.0</v>
      </c>
      <c r="N47" s="39">
        <v>3.0</v>
      </c>
      <c r="O47" s="39" t="s">
        <v>4343</v>
      </c>
      <c r="P47" s="39" t="s">
        <v>4174</v>
      </c>
      <c r="Q47" s="39">
        <v>0.0</v>
      </c>
      <c r="R47" s="39" t="b">
        <v>0</v>
      </c>
      <c r="S47" s="39" t="b">
        <v>0</v>
      </c>
      <c r="T47" s="39"/>
      <c r="U47" s="39" t="s">
        <v>4175</v>
      </c>
      <c r="V47" s="39">
        <v>4.0</v>
      </c>
      <c r="W47" s="39" t="b">
        <v>1</v>
      </c>
      <c r="X47" s="39">
        <v>8.0</v>
      </c>
      <c r="Y47" s="39"/>
      <c r="Z47" s="39">
        <v>0.0</v>
      </c>
      <c r="AA47" s="39">
        <v>1.0</v>
      </c>
      <c r="AB47" s="39"/>
      <c r="AC47" s="39"/>
      <c r="AD47" s="39">
        <v>0.0</v>
      </c>
      <c r="AE47" s="39"/>
      <c r="AH47" s="39" t="s">
        <v>4177</v>
      </c>
      <c r="AI47" s="39" t="s">
        <v>4178</v>
      </c>
      <c r="AJ47" s="39">
        <v>1.0</v>
      </c>
      <c r="AK47" s="39" t="b">
        <v>0</v>
      </c>
      <c r="AL47" s="39"/>
      <c r="AM47" s="39"/>
      <c r="AN47" s="39"/>
      <c r="AO47" s="39"/>
      <c r="AP47" s="39"/>
      <c r="AQ47" s="39"/>
      <c r="AS47" s="39"/>
      <c r="AV47" s="39" t="s">
        <v>4344</v>
      </c>
    </row>
    <row r="48" ht="18.75" customHeight="1">
      <c r="A48" s="102" t="s">
        <v>4345</v>
      </c>
      <c r="B48" s="102" t="s">
        <v>4346</v>
      </c>
      <c r="C48" s="39" t="s">
        <v>4347</v>
      </c>
      <c r="D48" s="145">
        <v>0.004</v>
      </c>
      <c r="F48" s="39">
        <v>0.0</v>
      </c>
      <c r="J48" s="145">
        <v>0.7</v>
      </c>
      <c r="K48" s="39">
        <v>3.0</v>
      </c>
      <c r="N48" s="39">
        <v>3.0</v>
      </c>
      <c r="O48" s="39" t="s">
        <v>4348</v>
      </c>
      <c r="P48" s="39" t="s">
        <v>4174</v>
      </c>
      <c r="Q48" s="39">
        <v>0.0</v>
      </c>
      <c r="R48" s="39" t="b">
        <v>0</v>
      </c>
      <c r="S48" s="39" t="b">
        <v>0</v>
      </c>
      <c r="T48" s="39"/>
      <c r="U48" s="39" t="s">
        <v>4175</v>
      </c>
      <c r="V48" s="39">
        <v>10.0</v>
      </c>
      <c r="W48" s="39" t="b">
        <v>1</v>
      </c>
      <c r="X48" s="39">
        <v>8.0</v>
      </c>
      <c r="Y48" s="39"/>
      <c r="Z48" s="39">
        <v>0.0</v>
      </c>
      <c r="AA48" s="39">
        <v>1.0</v>
      </c>
      <c r="AB48" s="39" t="s">
        <v>1782</v>
      </c>
      <c r="AC48" s="39">
        <v>80.0</v>
      </c>
      <c r="AD48" s="39">
        <v>0.0</v>
      </c>
      <c r="AE48" s="39"/>
      <c r="AH48" s="39" t="s">
        <v>4177</v>
      </c>
      <c r="AI48" s="39" t="s">
        <v>4211</v>
      </c>
      <c r="AJ48" s="39">
        <v>1.0</v>
      </c>
      <c r="AK48" s="39" t="b">
        <v>0</v>
      </c>
      <c r="AL48" s="39"/>
      <c r="AM48" s="39"/>
      <c r="AN48" s="39"/>
      <c r="AO48" s="39"/>
      <c r="AP48" s="39"/>
      <c r="AQ48" s="39"/>
      <c r="AS48" s="39"/>
      <c r="AV48" s="39" t="s">
        <v>4349</v>
      </c>
    </row>
    <row r="49" ht="18.75" customHeight="1">
      <c r="A49" s="102" t="s">
        <v>944</v>
      </c>
      <c r="B49" s="102" t="s">
        <v>4350</v>
      </c>
      <c r="C49" s="39" t="s">
        <v>4351</v>
      </c>
      <c r="D49" s="145">
        <v>0.003</v>
      </c>
      <c r="F49" s="39">
        <v>1.0</v>
      </c>
      <c r="J49" s="145">
        <v>0.7</v>
      </c>
      <c r="K49" s="39">
        <v>3.0</v>
      </c>
      <c r="N49" s="39">
        <v>3.0</v>
      </c>
      <c r="O49" s="39" t="s">
        <v>4352</v>
      </c>
      <c r="P49" s="39" t="s">
        <v>4174</v>
      </c>
      <c r="Q49" s="39">
        <v>0.0</v>
      </c>
      <c r="R49" s="39" t="b">
        <v>0</v>
      </c>
      <c r="S49" s="39" t="b">
        <v>0</v>
      </c>
      <c r="T49" s="39"/>
      <c r="U49" s="39" t="s">
        <v>4175</v>
      </c>
      <c r="V49" s="39">
        <v>4.0</v>
      </c>
      <c r="W49" s="39" t="b">
        <v>1</v>
      </c>
      <c r="X49" s="39">
        <v>8.0</v>
      </c>
      <c r="Y49" s="39"/>
      <c r="Z49" s="39">
        <v>0.0</v>
      </c>
      <c r="AA49" s="39">
        <v>1.0</v>
      </c>
      <c r="AB49" s="39" t="s">
        <v>4353</v>
      </c>
      <c r="AC49" s="41">
        <v>140.0</v>
      </c>
      <c r="AD49" s="39">
        <v>0.0</v>
      </c>
      <c r="AE49" s="39"/>
      <c r="AH49" s="39" t="s">
        <v>4177</v>
      </c>
      <c r="AI49" s="39" t="s">
        <v>4193</v>
      </c>
      <c r="AJ49" s="39">
        <v>1.0</v>
      </c>
      <c r="AK49" s="39" t="b">
        <v>0</v>
      </c>
      <c r="AL49" s="39"/>
      <c r="AM49" s="39"/>
      <c r="AN49" s="39"/>
      <c r="AO49" s="39"/>
      <c r="AP49" s="39"/>
      <c r="AQ49" s="39"/>
      <c r="AS49" s="39"/>
      <c r="AV49" s="39" t="s">
        <v>4354</v>
      </c>
    </row>
    <row r="50" ht="18.75" customHeight="1">
      <c r="A50" s="102" t="s">
        <v>3212</v>
      </c>
      <c r="B50" s="102" t="s">
        <v>4355</v>
      </c>
      <c r="C50" s="39" t="s">
        <v>4356</v>
      </c>
      <c r="D50" s="145">
        <v>0.003</v>
      </c>
      <c r="F50" s="39">
        <v>1.0</v>
      </c>
      <c r="J50" s="145">
        <v>0.7</v>
      </c>
      <c r="K50" s="39">
        <v>5.0</v>
      </c>
      <c r="N50" s="39">
        <v>3.0</v>
      </c>
      <c r="O50" s="39" t="s">
        <v>61</v>
      </c>
      <c r="P50" s="39" t="s">
        <v>4174</v>
      </c>
      <c r="Q50" s="39">
        <v>0.0</v>
      </c>
      <c r="R50" s="39" t="b">
        <v>0</v>
      </c>
      <c r="S50" s="39" t="b">
        <v>0</v>
      </c>
      <c r="T50" s="39"/>
      <c r="U50" s="39" t="s">
        <v>4175</v>
      </c>
      <c r="V50" s="39">
        <v>4.0</v>
      </c>
      <c r="W50" s="39" t="b">
        <v>1</v>
      </c>
      <c r="X50" s="39">
        <v>8.0</v>
      </c>
      <c r="Y50" s="39"/>
      <c r="Z50" s="39">
        <v>0.0</v>
      </c>
      <c r="AA50" s="39">
        <v>1.0</v>
      </c>
      <c r="AB50" s="39"/>
      <c r="AC50" s="39"/>
      <c r="AD50" s="39">
        <v>0.0</v>
      </c>
      <c r="AE50" s="39"/>
      <c r="AH50" s="39" t="s">
        <v>4177</v>
      </c>
      <c r="AI50" s="39" t="s">
        <v>4184</v>
      </c>
      <c r="AJ50" s="39">
        <v>1.0</v>
      </c>
      <c r="AK50" s="39" t="b">
        <v>0</v>
      </c>
      <c r="AL50" s="39"/>
      <c r="AM50" s="39"/>
      <c r="AN50" s="39"/>
      <c r="AO50" s="39"/>
      <c r="AP50" s="39"/>
      <c r="AQ50" s="39"/>
      <c r="AS50" s="39"/>
      <c r="AV50" s="39" t="s">
        <v>4357</v>
      </c>
    </row>
    <row r="51" ht="18.75" customHeight="1">
      <c r="A51" s="102" t="s">
        <v>509</v>
      </c>
      <c r="B51" s="102" t="s">
        <v>4358</v>
      </c>
      <c r="C51" s="39" t="s">
        <v>4359</v>
      </c>
      <c r="D51" s="145">
        <v>0.05</v>
      </c>
      <c r="F51" s="39">
        <v>1.0</v>
      </c>
      <c r="J51" s="145">
        <v>0.7</v>
      </c>
      <c r="K51" s="39">
        <v>4.0</v>
      </c>
      <c r="N51" s="39">
        <v>3.0</v>
      </c>
      <c r="O51" s="39" t="s">
        <v>61</v>
      </c>
      <c r="P51" s="39" t="s">
        <v>4174</v>
      </c>
      <c r="Q51" s="39">
        <v>0.0</v>
      </c>
      <c r="R51" s="39" t="b">
        <v>0</v>
      </c>
      <c r="S51" s="39" t="b">
        <v>0</v>
      </c>
      <c r="T51" s="39"/>
      <c r="U51" s="39" t="s">
        <v>4175</v>
      </c>
      <c r="V51" s="39">
        <v>2.0</v>
      </c>
      <c r="W51" s="39" t="b">
        <v>1</v>
      </c>
      <c r="X51" s="39">
        <v>8.0</v>
      </c>
      <c r="Y51" s="39"/>
      <c r="Z51" s="39">
        <v>0.0</v>
      </c>
      <c r="AA51" s="39">
        <v>1.0</v>
      </c>
      <c r="AB51" s="39" t="s">
        <v>1782</v>
      </c>
      <c r="AC51" s="39">
        <v>200.0</v>
      </c>
      <c r="AD51" s="39">
        <v>0.0</v>
      </c>
      <c r="AE51" s="39"/>
      <c r="AH51" s="39" t="s">
        <v>4199</v>
      </c>
      <c r="AJ51" s="39">
        <v>1.0</v>
      </c>
      <c r="AK51" s="39" t="b">
        <v>0</v>
      </c>
      <c r="AL51" s="39"/>
      <c r="AM51" s="39"/>
      <c r="AN51" s="39"/>
      <c r="AO51" s="39"/>
      <c r="AP51" s="39"/>
      <c r="AQ51" s="39"/>
      <c r="AS51" s="39"/>
      <c r="AV51" s="39" t="s">
        <v>4360</v>
      </c>
    </row>
    <row r="52" ht="18.75" customHeight="1">
      <c r="A52" s="64"/>
      <c r="B52" s="64"/>
      <c r="D52" s="144"/>
      <c r="J52" s="144"/>
    </row>
    <row r="53" ht="18.75" customHeight="1">
      <c r="A53" s="64"/>
      <c r="B53" s="64"/>
      <c r="D53" s="144"/>
      <c r="J53" s="144"/>
    </row>
    <row r="54" ht="18.75" customHeight="1">
      <c r="A54" s="64"/>
      <c r="B54" s="64"/>
      <c r="D54" s="144"/>
      <c r="J54" s="144"/>
    </row>
    <row r="55" ht="18.75" customHeight="1">
      <c r="A55" s="64"/>
      <c r="B55" s="64"/>
      <c r="D55" s="144"/>
      <c r="J55" s="144"/>
    </row>
    <row r="56" ht="18.75" customHeight="1">
      <c r="A56" s="64"/>
      <c r="B56" s="64"/>
      <c r="D56" s="144"/>
      <c r="J56" s="144"/>
    </row>
    <row r="57" ht="18.75" customHeight="1">
      <c r="A57" s="64"/>
      <c r="B57" s="64"/>
      <c r="D57" s="144"/>
      <c r="J57" s="144"/>
    </row>
    <row r="58" ht="18.75" customHeight="1">
      <c r="A58" s="64"/>
      <c r="B58" s="64"/>
      <c r="D58" s="144"/>
      <c r="J58" s="144"/>
    </row>
    <row r="59" ht="18.75" customHeight="1">
      <c r="A59" s="64"/>
      <c r="B59" s="64"/>
      <c r="D59" s="144"/>
      <c r="J59" s="144"/>
    </row>
    <row r="60" ht="18.75" customHeight="1">
      <c r="A60" s="64"/>
      <c r="B60" s="64"/>
      <c r="D60" s="144"/>
      <c r="J60" s="144"/>
    </row>
    <row r="61" ht="18.75" customHeight="1">
      <c r="A61" s="64"/>
      <c r="B61" s="64"/>
      <c r="D61" s="144"/>
      <c r="J61" s="144"/>
    </row>
    <row r="62" ht="18.75" customHeight="1">
      <c r="A62" s="64"/>
      <c r="B62" s="64"/>
      <c r="D62" s="144"/>
      <c r="J62" s="144"/>
    </row>
    <row r="63" ht="18.75" customHeight="1">
      <c r="A63" s="64"/>
      <c r="B63" s="64"/>
      <c r="D63" s="144"/>
      <c r="J63" s="144"/>
    </row>
    <row r="64" ht="18.75" customHeight="1">
      <c r="A64" s="64"/>
      <c r="B64" s="64"/>
      <c r="D64" s="144"/>
      <c r="J64" s="144"/>
    </row>
    <row r="65" ht="18.75" customHeight="1">
      <c r="A65" s="64"/>
      <c r="B65" s="64"/>
      <c r="D65" s="144"/>
      <c r="J65" s="144"/>
    </row>
    <row r="66" ht="18.75" customHeight="1">
      <c r="A66" s="64"/>
      <c r="B66" s="64"/>
      <c r="D66" s="144"/>
      <c r="J66" s="144"/>
    </row>
    <row r="67" ht="18.75" customHeight="1">
      <c r="A67" s="64"/>
      <c r="B67" s="64"/>
      <c r="D67" s="144"/>
      <c r="J67" s="144"/>
    </row>
    <row r="68" ht="18.75" customHeight="1">
      <c r="A68" s="64"/>
      <c r="B68" s="64"/>
      <c r="D68" s="144"/>
      <c r="J68" s="144"/>
    </row>
    <row r="69" ht="18.75" customHeight="1">
      <c r="A69" s="64"/>
      <c r="B69" s="64"/>
      <c r="D69" s="144"/>
      <c r="J69" s="144"/>
    </row>
    <row r="70" ht="18.75" customHeight="1">
      <c r="A70" s="64"/>
      <c r="B70" s="64"/>
      <c r="D70" s="144"/>
      <c r="J70" s="144"/>
    </row>
    <row r="71" ht="18.75" customHeight="1">
      <c r="A71" s="64"/>
      <c r="B71" s="64"/>
      <c r="D71" s="144"/>
      <c r="J71" s="144"/>
    </row>
    <row r="72" ht="18.75" customHeight="1">
      <c r="A72" s="64"/>
      <c r="B72" s="64"/>
      <c r="D72" s="144"/>
      <c r="J72" s="144"/>
    </row>
    <row r="73" ht="18.75" customHeight="1">
      <c r="A73" s="64"/>
      <c r="B73" s="64"/>
      <c r="D73" s="144"/>
      <c r="J73" s="144"/>
    </row>
    <row r="74" ht="18.75" customHeight="1">
      <c r="A74" s="64"/>
      <c r="B74" s="64"/>
      <c r="D74" s="144"/>
      <c r="J74" s="144"/>
    </row>
    <row r="75" ht="18.75" customHeight="1">
      <c r="A75" s="64"/>
      <c r="B75" s="64"/>
      <c r="D75" s="144"/>
      <c r="J75" s="144"/>
    </row>
    <row r="76" ht="18.75" customHeight="1">
      <c r="A76" s="64"/>
      <c r="B76" s="64"/>
      <c r="D76" s="144"/>
      <c r="J76" s="144"/>
    </row>
    <row r="77" ht="18.75" customHeight="1">
      <c r="A77" s="64"/>
      <c r="B77" s="64"/>
      <c r="D77" s="144"/>
      <c r="J77" s="144"/>
    </row>
    <row r="78" ht="18.75" customHeight="1">
      <c r="A78" s="64"/>
      <c r="B78" s="64"/>
      <c r="D78" s="144"/>
      <c r="J78" s="144"/>
    </row>
    <row r="79" ht="18.75" customHeight="1">
      <c r="A79" s="64"/>
      <c r="B79" s="64"/>
      <c r="D79" s="144"/>
      <c r="J79" s="144"/>
    </row>
    <row r="80" ht="18.75" customHeight="1">
      <c r="A80" s="64"/>
      <c r="B80" s="64"/>
      <c r="D80" s="144"/>
      <c r="J80" s="144"/>
    </row>
    <row r="81" ht="18.75" customHeight="1">
      <c r="A81" s="64"/>
      <c r="B81" s="64"/>
      <c r="D81" s="144"/>
      <c r="J81" s="144"/>
    </row>
    <row r="82" ht="18.75" customHeight="1">
      <c r="A82" s="64"/>
      <c r="B82" s="64"/>
      <c r="D82" s="144"/>
      <c r="J82" s="144"/>
    </row>
    <row r="83" ht="18.75" customHeight="1">
      <c r="A83" s="64"/>
      <c r="B83" s="64"/>
      <c r="D83" s="144"/>
      <c r="J83" s="144"/>
    </row>
    <row r="84" ht="18.75" customHeight="1">
      <c r="A84" s="64"/>
      <c r="B84" s="64"/>
      <c r="D84" s="144"/>
      <c r="J84" s="144"/>
    </row>
    <row r="85" ht="18.75" customHeight="1">
      <c r="A85" s="64"/>
      <c r="B85" s="64"/>
      <c r="D85" s="144"/>
      <c r="J85" s="144"/>
    </row>
    <row r="86" ht="18.75" customHeight="1">
      <c r="A86" s="64"/>
      <c r="B86" s="64"/>
      <c r="D86" s="144"/>
      <c r="J86" s="144"/>
    </row>
    <row r="87" ht="18.75" customHeight="1">
      <c r="A87" s="64"/>
      <c r="B87" s="64"/>
      <c r="D87" s="144"/>
      <c r="J87" s="144"/>
    </row>
    <row r="88" ht="18.75" customHeight="1">
      <c r="A88" s="64"/>
      <c r="B88" s="64"/>
      <c r="D88" s="144"/>
      <c r="J88" s="144"/>
    </row>
    <row r="89" ht="18.75" customHeight="1">
      <c r="A89" s="64"/>
      <c r="B89" s="64"/>
      <c r="D89" s="144"/>
      <c r="J89" s="144"/>
    </row>
    <row r="90" ht="18.75" customHeight="1">
      <c r="A90" s="64"/>
      <c r="B90" s="64"/>
      <c r="D90" s="144"/>
      <c r="J90" s="144"/>
    </row>
    <row r="91" ht="18.75" customHeight="1">
      <c r="A91" s="64"/>
      <c r="B91" s="64"/>
      <c r="D91" s="144"/>
      <c r="J91" s="144"/>
    </row>
    <row r="92" ht="18.75" customHeight="1">
      <c r="A92" s="64"/>
      <c r="B92" s="64"/>
      <c r="D92" s="144"/>
      <c r="J92" s="144"/>
    </row>
    <row r="93" ht="18.75" customHeight="1">
      <c r="A93" s="64"/>
      <c r="B93" s="64"/>
      <c r="D93" s="144"/>
      <c r="J93" s="144"/>
    </row>
    <row r="94" ht="18.75" customHeight="1">
      <c r="A94" s="64"/>
      <c r="B94" s="64"/>
      <c r="D94" s="144"/>
      <c r="J94" s="144"/>
    </row>
    <row r="95" ht="18.75" customHeight="1">
      <c r="A95" s="64"/>
      <c r="B95" s="64"/>
      <c r="D95" s="144"/>
      <c r="J95" s="144"/>
    </row>
    <row r="96" ht="18.75" customHeight="1">
      <c r="A96" s="64"/>
      <c r="B96" s="64"/>
      <c r="D96" s="144"/>
      <c r="J96" s="144"/>
    </row>
    <row r="97" ht="18.75" customHeight="1">
      <c r="A97" s="64"/>
      <c r="B97" s="64"/>
      <c r="D97" s="144"/>
      <c r="J97" s="144"/>
    </row>
    <row r="98" ht="18.75" customHeight="1">
      <c r="A98" s="64"/>
      <c r="B98" s="64"/>
      <c r="D98" s="144"/>
      <c r="J98" s="144"/>
    </row>
    <row r="99" ht="18.75" customHeight="1">
      <c r="A99" s="64"/>
      <c r="B99" s="64"/>
      <c r="D99" s="144"/>
      <c r="J99" s="144"/>
    </row>
    <row r="100" ht="18.75" customHeight="1">
      <c r="A100" s="64"/>
      <c r="B100" s="64"/>
      <c r="D100" s="144"/>
      <c r="J100" s="144"/>
    </row>
    <row r="101" ht="18.75" customHeight="1">
      <c r="A101" s="64"/>
      <c r="B101" s="64"/>
      <c r="D101" s="144"/>
      <c r="J101" s="144"/>
    </row>
    <row r="102" ht="18.75" customHeight="1">
      <c r="A102" s="64"/>
      <c r="B102" s="64"/>
      <c r="D102" s="144"/>
      <c r="J102" s="144"/>
    </row>
    <row r="103" ht="18.75" customHeight="1">
      <c r="A103" s="64"/>
      <c r="B103" s="64"/>
      <c r="D103" s="144"/>
      <c r="J103" s="144"/>
    </row>
    <row r="104" ht="18.75" customHeight="1">
      <c r="A104" s="64"/>
      <c r="B104" s="64"/>
      <c r="D104" s="144"/>
      <c r="J104" s="144"/>
    </row>
    <row r="105" ht="18.75" customHeight="1">
      <c r="A105" s="64"/>
      <c r="B105" s="64"/>
      <c r="D105" s="144"/>
      <c r="J105" s="144"/>
    </row>
    <row r="106" ht="18.75" customHeight="1">
      <c r="A106" s="64"/>
      <c r="B106" s="64"/>
      <c r="D106" s="144"/>
      <c r="J106" s="144"/>
    </row>
    <row r="107" ht="18.75" customHeight="1">
      <c r="A107" s="64"/>
      <c r="B107" s="64"/>
      <c r="D107" s="144"/>
      <c r="J107" s="144"/>
    </row>
    <row r="108" ht="18.75" customHeight="1">
      <c r="A108" s="64"/>
      <c r="B108" s="64"/>
      <c r="D108" s="144"/>
      <c r="J108" s="144"/>
    </row>
    <row r="109" ht="18.75" customHeight="1">
      <c r="A109" s="64"/>
      <c r="B109" s="64"/>
      <c r="D109" s="144"/>
      <c r="J109" s="144"/>
    </row>
    <row r="110" ht="18.75" customHeight="1">
      <c r="A110" s="64"/>
      <c r="B110" s="64"/>
      <c r="D110" s="144"/>
      <c r="J110" s="144"/>
    </row>
    <row r="111" ht="18.75" customHeight="1">
      <c r="A111" s="64"/>
      <c r="B111" s="64"/>
      <c r="D111" s="144"/>
      <c r="J111" s="144"/>
    </row>
    <row r="112" ht="18.75" customHeight="1">
      <c r="A112" s="64"/>
      <c r="B112" s="64"/>
      <c r="D112" s="144"/>
      <c r="J112" s="144"/>
    </row>
    <row r="113" ht="18.75" customHeight="1">
      <c r="A113" s="64"/>
      <c r="B113" s="64"/>
      <c r="D113" s="144"/>
      <c r="J113" s="144"/>
    </row>
    <row r="114" ht="18.75" customHeight="1">
      <c r="A114" s="64"/>
      <c r="B114" s="64"/>
      <c r="D114" s="144"/>
      <c r="J114" s="144"/>
    </row>
    <row r="115" ht="18.75" customHeight="1">
      <c r="A115" s="64"/>
      <c r="B115" s="64"/>
      <c r="D115" s="144"/>
      <c r="J115" s="144"/>
    </row>
    <row r="116" ht="18.75" customHeight="1">
      <c r="A116" s="64"/>
      <c r="B116" s="64"/>
      <c r="D116" s="144"/>
      <c r="J116" s="144"/>
    </row>
    <row r="117" ht="18.75" customHeight="1">
      <c r="A117" s="64"/>
      <c r="B117" s="64"/>
      <c r="D117" s="144"/>
      <c r="J117" s="144"/>
    </row>
    <row r="118" ht="18.75" customHeight="1">
      <c r="A118" s="64"/>
      <c r="B118" s="64"/>
      <c r="D118" s="144"/>
      <c r="J118" s="144"/>
    </row>
    <row r="119" ht="18.75" customHeight="1">
      <c r="A119" s="64"/>
      <c r="B119" s="64"/>
      <c r="D119" s="144"/>
      <c r="J119" s="144"/>
    </row>
    <row r="120" ht="18.75" customHeight="1">
      <c r="A120" s="64"/>
      <c r="B120" s="64"/>
      <c r="D120" s="144"/>
      <c r="J120" s="144"/>
    </row>
    <row r="121" ht="18.75" customHeight="1">
      <c r="A121" s="64"/>
      <c r="B121" s="64"/>
      <c r="D121" s="144"/>
      <c r="J121" s="144"/>
    </row>
    <row r="122" ht="18.75" customHeight="1">
      <c r="A122" s="64"/>
      <c r="B122" s="64"/>
      <c r="D122" s="144"/>
      <c r="J122" s="144"/>
    </row>
    <row r="123" ht="18.75" customHeight="1">
      <c r="A123" s="64"/>
      <c r="B123" s="64"/>
      <c r="D123" s="144"/>
      <c r="J123" s="144"/>
    </row>
    <row r="124" ht="18.75" customHeight="1">
      <c r="A124" s="64"/>
      <c r="B124" s="64"/>
      <c r="D124" s="144"/>
      <c r="J124" s="144"/>
    </row>
    <row r="125" ht="18.75" customHeight="1">
      <c r="A125" s="64"/>
      <c r="B125" s="64"/>
      <c r="D125" s="144"/>
      <c r="J125" s="144"/>
    </row>
    <row r="126" ht="18.75" customHeight="1">
      <c r="A126" s="64"/>
      <c r="B126" s="64"/>
      <c r="D126" s="144"/>
      <c r="J126" s="144"/>
    </row>
    <row r="127" ht="18.75" customHeight="1">
      <c r="A127" s="64"/>
      <c r="B127" s="64"/>
      <c r="D127" s="144"/>
      <c r="J127" s="144"/>
    </row>
    <row r="128" ht="18.75" customHeight="1">
      <c r="A128" s="64"/>
      <c r="B128" s="64"/>
      <c r="D128" s="144"/>
      <c r="J128" s="144"/>
    </row>
    <row r="129" ht="18.75" customHeight="1">
      <c r="A129" s="64"/>
      <c r="B129" s="64"/>
      <c r="D129" s="144"/>
      <c r="J129" s="144"/>
    </row>
    <row r="130" ht="18.75" customHeight="1">
      <c r="A130" s="64"/>
      <c r="B130" s="64"/>
      <c r="D130" s="144"/>
      <c r="J130" s="144"/>
    </row>
    <row r="131" ht="18.75" customHeight="1">
      <c r="A131" s="64"/>
      <c r="B131" s="64"/>
      <c r="D131" s="144"/>
      <c r="J131" s="144"/>
    </row>
    <row r="132" ht="18.75" customHeight="1">
      <c r="A132" s="64"/>
      <c r="B132" s="64"/>
      <c r="D132" s="144"/>
      <c r="J132" s="144"/>
    </row>
    <row r="133" ht="18.75" customHeight="1">
      <c r="A133" s="64"/>
      <c r="B133" s="64"/>
      <c r="D133" s="144"/>
      <c r="J133" s="144"/>
    </row>
    <row r="134" ht="18.75" customHeight="1">
      <c r="A134" s="64"/>
      <c r="B134" s="64"/>
      <c r="D134" s="144"/>
      <c r="J134" s="144"/>
    </row>
    <row r="135" ht="18.75" customHeight="1">
      <c r="A135" s="64"/>
      <c r="B135" s="64"/>
      <c r="D135" s="144"/>
      <c r="J135" s="144"/>
    </row>
    <row r="136" ht="18.75" customHeight="1">
      <c r="A136" s="64"/>
      <c r="B136" s="64"/>
      <c r="D136" s="144"/>
      <c r="J136" s="144"/>
    </row>
    <row r="137" ht="18.75" customHeight="1">
      <c r="A137" s="64"/>
      <c r="B137" s="64"/>
      <c r="D137" s="144"/>
      <c r="J137" s="144"/>
    </row>
    <row r="138" ht="18.75" customHeight="1">
      <c r="A138" s="64"/>
      <c r="B138" s="64"/>
      <c r="D138" s="144"/>
      <c r="J138" s="144"/>
    </row>
    <row r="139" ht="18.75" customHeight="1">
      <c r="A139" s="64"/>
      <c r="B139" s="64"/>
      <c r="D139" s="144"/>
      <c r="J139" s="144"/>
    </row>
    <row r="140" ht="18.75" customHeight="1">
      <c r="A140" s="64"/>
      <c r="B140" s="64"/>
      <c r="D140" s="144"/>
      <c r="J140" s="144"/>
    </row>
    <row r="141" ht="18.75" customHeight="1">
      <c r="A141" s="64"/>
      <c r="B141" s="64"/>
      <c r="D141" s="144"/>
      <c r="J141" s="144"/>
    </row>
    <row r="142" ht="18.75" customHeight="1">
      <c r="A142" s="64"/>
      <c r="B142" s="64"/>
      <c r="D142" s="144"/>
      <c r="J142" s="144"/>
    </row>
    <row r="143" ht="18.75" customHeight="1">
      <c r="A143" s="64"/>
      <c r="B143" s="64"/>
      <c r="D143" s="144"/>
      <c r="J143" s="144"/>
    </row>
    <row r="144" ht="18.75" customHeight="1">
      <c r="A144" s="64"/>
      <c r="B144" s="64"/>
      <c r="D144" s="144"/>
      <c r="J144" s="144"/>
    </row>
    <row r="145" ht="18.75" customHeight="1">
      <c r="A145" s="64"/>
      <c r="B145" s="64"/>
      <c r="D145" s="144"/>
      <c r="J145" s="144"/>
    </row>
    <row r="146" ht="18.75" customHeight="1">
      <c r="A146" s="64"/>
      <c r="B146" s="64"/>
      <c r="D146" s="144"/>
      <c r="J146" s="144"/>
    </row>
    <row r="147" ht="18.75" customHeight="1">
      <c r="A147" s="64"/>
      <c r="B147" s="64"/>
      <c r="D147" s="144"/>
      <c r="J147" s="144"/>
    </row>
    <row r="148" ht="18.75" customHeight="1">
      <c r="A148" s="64"/>
      <c r="B148" s="64"/>
      <c r="D148" s="144"/>
      <c r="J148" s="144"/>
    </row>
    <row r="149" ht="18.75" customHeight="1">
      <c r="A149" s="64"/>
      <c r="B149" s="64"/>
      <c r="D149" s="144"/>
      <c r="J149" s="144"/>
    </row>
    <row r="150" ht="18.75" customHeight="1">
      <c r="A150" s="64"/>
      <c r="B150" s="64"/>
      <c r="D150" s="144"/>
      <c r="J150" s="144"/>
    </row>
    <row r="151" ht="18.75" customHeight="1">
      <c r="A151" s="64"/>
      <c r="B151" s="64"/>
      <c r="D151" s="144"/>
      <c r="J151" s="144"/>
    </row>
    <row r="152" ht="18.75" customHeight="1">
      <c r="A152" s="64"/>
      <c r="B152" s="64"/>
      <c r="D152" s="144"/>
      <c r="J152" s="144"/>
    </row>
    <row r="153" ht="18.75" customHeight="1">
      <c r="A153" s="64"/>
      <c r="B153" s="64"/>
      <c r="D153" s="144"/>
      <c r="J153" s="144"/>
    </row>
    <row r="154" ht="18.75" customHeight="1">
      <c r="A154" s="64"/>
      <c r="B154" s="64"/>
      <c r="D154" s="144"/>
      <c r="J154" s="144"/>
    </row>
    <row r="155" ht="18.75" customHeight="1">
      <c r="A155" s="64"/>
      <c r="B155" s="64"/>
      <c r="D155" s="144"/>
      <c r="J155" s="144"/>
    </row>
    <row r="156" ht="18.75" customHeight="1">
      <c r="A156" s="64"/>
      <c r="B156" s="64"/>
      <c r="D156" s="144"/>
      <c r="J156" s="144"/>
    </row>
    <row r="157" ht="18.75" customHeight="1">
      <c r="A157" s="64"/>
      <c r="B157" s="64"/>
      <c r="D157" s="144"/>
      <c r="J157" s="144"/>
    </row>
    <row r="158" ht="18.75" customHeight="1">
      <c r="A158" s="64"/>
      <c r="B158" s="64"/>
      <c r="D158" s="144"/>
      <c r="J158" s="144"/>
    </row>
    <row r="159" ht="18.75" customHeight="1">
      <c r="A159" s="64"/>
      <c r="B159" s="64"/>
      <c r="D159" s="144"/>
      <c r="J159" s="144"/>
    </row>
    <row r="160" ht="18.75" customHeight="1">
      <c r="A160" s="64"/>
      <c r="B160" s="64"/>
      <c r="D160" s="144"/>
      <c r="J160" s="144"/>
    </row>
    <row r="161" ht="18.75" customHeight="1">
      <c r="A161" s="64"/>
      <c r="B161" s="64"/>
      <c r="D161" s="144"/>
      <c r="J161" s="144"/>
    </row>
    <row r="162" ht="18.75" customHeight="1">
      <c r="A162" s="64"/>
      <c r="B162" s="64"/>
      <c r="D162" s="144"/>
      <c r="J162" s="144"/>
    </row>
    <row r="163" ht="18.75" customHeight="1">
      <c r="A163" s="64"/>
      <c r="B163" s="64"/>
      <c r="D163" s="144"/>
      <c r="J163" s="144"/>
    </row>
    <row r="164" ht="18.75" customHeight="1">
      <c r="A164" s="64"/>
      <c r="B164" s="64"/>
      <c r="D164" s="144"/>
      <c r="J164" s="144"/>
    </row>
    <row r="165" ht="18.75" customHeight="1">
      <c r="A165" s="64"/>
      <c r="B165" s="64"/>
      <c r="D165" s="144"/>
      <c r="J165" s="144"/>
    </row>
    <row r="166" ht="18.75" customHeight="1">
      <c r="A166" s="64"/>
      <c r="B166" s="64"/>
      <c r="D166" s="144"/>
      <c r="J166" s="144"/>
    </row>
    <row r="167" ht="18.75" customHeight="1">
      <c r="A167" s="64"/>
      <c r="B167" s="64"/>
      <c r="D167" s="144"/>
      <c r="J167" s="144"/>
    </row>
    <row r="168" ht="18.75" customHeight="1">
      <c r="A168" s="64"/>
      <c r="B168" s="64"/>
      <c r="D168" s="144"/>
      <c r="J168" s="144"/>
    </row>
    <row r="169" ht="18.75" customHeight="1">
      <c r="A169" s="64"/>
      <c r="B169" s="64"/>
      <c r="D169" s="144"/>
      <c r="J169" s="144"/>
    </row>
    <row r="170" ht="18.75" customHeight="1">
      <c r="A170" s="64"/>
      <c r="B170" s="64"/>
      <c r="D170" s="144"/>
      <c r="J170" s="144"/>
    </row>
    <row r="171" ht="18.75" customHeight="1">
      <c r="A171" s="64"/>
      <c r="B171" s="64"/>
      <c r="D171" s="144"/>
      <c r="J171" s="144"/>
    </row>
    <row r="172" ht="18.75" customHeight="1">
      <c r="A172" s="64"/>
      <c r="B172" s="64"/>
      <c r="D172" s="144"/>
      <c r="J172" s="144"/>
    </row>
    <row r="173" ht="18.75" customHeight="1">
      <c r="A173" s="64"/>
      <c r="B173" s="64"/>
      <c r="D173" s="144"/>
      <c r="J173" s="144"/>
    </row>
    <row r="174" ht="18.75" customHeight="1">
      <c r="A174" s="64"/>
      <c r="B174" s="64"/>
      <c r="D174" s="144"/>
      <c r="J174" s="144"/>
    </row>
    <row r="175" ht="18.75" customHeight="1">
      <c r="A175" s="64"/>
      <c r="B175" s="64"/>
      <c r="D175" s="144"/>
      <c r="J175" s="144"/>
    </row>
    <row r="176" ht="18.75" customHeight="1">
      <c r="A176" s="64"/>
      <c r="B176" s="64"/>
      <c r="D176" s="144"/>
      <c r="J176" s="144"/>
    </row>
    <row r="177" ht="18.75" customHeight="1">
      <c r="A177" s="64"/>
      <c r="B177" s="64"/>
      <c r="D177" s="144"/>
      <c r="J177" s="144"/>
    </row>
    <row r="178" ht="18.75" customHeight="1">
      <c r="A178" s="64"/>
      <c r="B178" s="64"/>
      <c r="D178" s="144"/>
      <c r="J178" s="144"/>
    </row>
    <row r="179" ht="18.75" customHeight="1">
      <c r="A179" s="64"/>
      <c r="B179" s="64"/>
      <c r="D179" s="144"/>
      <c r="J179" s="144"/>
    </row>
    <row r="180" ht="18.75" customHeight="1">
      <c r="A180" s="64"/>
      <c r="B180" s="64"/>
      <c r="D180" s="144"/>
      <c r="J180" s="144"/>
    </row>
    <row r="181" ht="18.75" customHeight="1">
      <c r="A181" s="64"/>
      <c r="B181" s="64"/>
      <c r="D181" s="144"/>
      <c r="J181" s="144"/>
    </row>
    <row r="182" ht="18.75" customHeight="1">
      <c r="A182" s="64"/>
      <c r="B182" s="64"/>
      <c r="D182" s="144"/>
      <c r="J182" s="144"/>
    </row>
    <row r="183" ht="18.75" customHeight="1">
      <c r="A183" s="64"/>
      <c r="B183" s="64"/>
      <c r="D183" s="144"/>
      <c r="J183" s="144"/>
    </row>
    <row r="184" ht="18.75" customHeight="1">
      <c r="A184" s="64"/>
      <c r="B184" s="64"/>
      <c r="D184" s="144"/>
      <c r="J184" s="144"/>
    </row>
    <row r="185" ht="18.75" customHeight="1">
      <c r="A185" s="64"/>
      <c r="B185" s="64"/>
      <c r="D185" s="144"/>
      <c r="J185" s="144"/>
    </row>
    <row r="186" ht="18.75" customHeight="1">
      <c r="A186" s="64"/>
      <c r="B186" s="64"/>
      <c r="D186" s="144"/>
      <c r="J186" s="144"/>
    </row>
    <row r="187" ht="18.75" customHeight="1">
      <c r="A187" s="64"/>
      <c r="B187" s="64"/>
      <c r="D187" s="144"/>
      <c r="J187" s="144"/>
    </row>
    <row r="188" ht="18.75" customHeight="1">
      <c r="A188" s="64"/>
      <c r="B188" s="64"/>
      <c r="D188" s="144"/>
      <c r="J188" s="144"/>
    </row>
    <row r="189" ht="18.75" customHeight="1">
      <c r="A189" s="64"/>
      <c r="B189" s="64"/>
      <c r="D189" s="144"/>
      <c r="J189" s="144"/>
    </row>
    <row r="190" ht="18.75" customHeight="1">
      <c r="A190" s="64"/>
      <c r="B190" s="64"/>
      <c r="D190" s="144"/>
      <c r="J190" s="144"/>
    </row>
    <row r="191" ht="18.75" customHeight="1">
      <c r="A191" s="64"/>
      <c r="B191" s="64"/>
      <c r="D191" s="144"/>
      <c r="J191" s="144"/>
    </row>
    <row r="192" ht="18.75" customHeight="1">
      <c r="A192" s="64"/>
      <c r="B192" s="64"/>
      <c r="D192" s="144"/>
      <c r="J192" s="144"/>
    </row>
    <row r="193" ht="18.75" customHeight="1">
      <c r="A193" s="64"/>
      <c r="B193" s="64"/>
      <c r="D193" s="144"/>
      <c r="J193" s="144"/>
    </row>
    <row r="194" ht="18.75" customHeight="1">
      <c r="A194" s="64"/>
      <c r="B194" s="64"/>
      <c r="D194" s="144"/>
      <c r="J194" s="144"/>
    </row>
    <row r="195" ht="18.75" customHeight="1">
      <c r="A195" s="64"/>
      <c r="B195" s="64"/>
      <c r="D195" s="144"/>
      <c r="J195" s="144"/>
    </row>
    <row r="196" ht="18.75" customHeight="1">
      <c r="A196" s="64"/>
      <c r="B196" s="64"/>
      <c r="D196" s="144"/>
      <c r="J196" s="144"/>
    </row>
    <row r="197" ht="18.75" customHeight="1">
      <c r="A197" s="64"/>
      <c r="B197" s="64"/>
      <c r="D197" s="144"/>
      <c r="J197" s="144"/>
    </row>
    <row r="198" ht="18.75" customHeight="1">
      <c r="A198" s="64"/>
      <c r="B198" s="64"/>
      <c r="D198" s="144"/>
      <c r="J198" s="144"/>
    </row>
    <row r="199" ht="18.75" customHeight="1">
      <c r="A199" s="64"/>
      <c r="B199" s="64"/>
      <c r="D199" s="144"/>
      <c r="J199" s="144"/>
    </row>
    <row r="200" ht="18.75" customHeight="1">
      <c r="A200" s="64"/>
      <c r="B200" s="64"/>
      <c r="D200" s="144"/>
      <c r="J200" s="144"/>
    </row>
    <row r="201" ht="18.75" customHeight="1">
      <c r="A201" s="64"/>
      <c r="B201" s="64"/>
      <c r="D201" s="144"/>
      <c r="J201" s="144"/>
    </row>
    <row r="202" ht="18.75" customHeight="1">
      <c r="A202" s="64"/>
      <c r="B202" s="64"/>
      <c r="D202" s="144"/>
      <c r="J202" s="144"/>
    </row>
    <row r="203" ht="18.75" customHeight="1">
      <c r="A203" s="64"/>
      <c r="B203" s="64"/>
      <c r="D203" s="144"/>
      <c r="J203" s="144"/>
    </row>
    <row r="204" ht="18.75" customHeight="1">
      <c r="A204" s="64"/>
      <c r="B204" s="64"/>
      <c r="D204" s="144"/>
      <c r="J204" s="144"/>
    </row>
    <row r="205" ht="18.75" customHeight="1">
      <c r="A205" s="64"/>
      <c r="B205" s="64"/>
      <c r="D205" s="144"/>
      <c r="J205" s="144"/>
    </row>
    <row r="206" ht="18.75" customHeight="1">
      <c r="A206" s="64"/>
      <c r="B206" s="64"/>
      <c r="D206" s="144"/>
      <c r="J206" s="144"/>
    </row>
    <row r="207" ht="18.75" customHeight="1">
      <c r="A207" s="64"/>
      <c r="B207" s="64"/>
      <c r="D207" s="144"/>
      <c r="J207" s="144"/>
    </row>
    <row r="208" ht="18.75" customHeight="1">
      <c r="A208" s="64"/>
      <c r="B208" s="64"/>
      <c r="D208" s="144"/>
      <c r="J208" s="144"/>
    </row>
    <row r="209" ht="18.75" customHeight="1">
      <c r="A209" s="64"/>
      <c r="B209" s="64"/>
      <c r="D209" s="144"/>
      <c r="J209" s="144"/>
    </row>
    <row r="210" ht="18.75" customHeight="1">
      <c r="A210" s="64"/>
      <c r="B210" s="64"/>
      <c r="D210" s="144"/>
      <c r="J210" s="144"/>
    </row>
    <row r="211" ht="18.75" customHeight="1">
      <c r="A211" s="64"/>
      <c r="B211" s="64"/>
      <c r="D211" s="144"/>
      <c r="J211" s="144"/>
    </row>
    <row r="212" ht="18.75" customHeight="1">
      <c r="A212" s="64"/>
      <c r="B212" s="64"/>
      <c r="D212" s="144"/>
      <c r="J212" s="144"/>
    </row>
    <row r="213" ht="18.75" customHeight="1">
      <c r="A213" s="64"/>
      <c r="B213" s="64"/>
      <c r="D213" s="144"/>
      <c r="J213" s="144"/>
    </row>
    <row r="214" ht="18.75" customHeight="1">
      <c r="A214" s="64"/>
      <c r="B214" s="64"/>
      <c r="D214" s="144"/>
      <c r="J214" s="144"/>
    </row>
    <row r="215" ht="18.75" customHeight="1">
      <c r="A215" s="64"/>
      <c r="B215" s="64"/>
      <c r="D215" s="144"/>
      <c r="J215" s="144"/>
    </row>
    <row r="216" ht="18.75" customHeight="1">
      <c r="A216" s="64"/>
      <c r="B216" s="64"/>
      <c r="D216" s="144"/>
      <c r="J216" s="144"/>
    </row>
    <row r="217" ht="18.75" customHeight="1">
      <c r="A217" s="64"/>
      <c r="B217" s="64"/>
      <c r="D217" s="144"/>
      <c r="J217" s="144"/>
    </row>
    <row r="218" ht="18.75" customHeight="1">
      <c r="A218" s="64"/>
      <c r="B218" s="64"/>
      <c r="D218" s="144"/>
      <c r="J218" s="144"/>
    </row>
    <row r="219" ht="18.75" customHeight="1">
      <c r="A219" s="64"/>
      <c r="B219" s="64"/>
      <c r="D219" s="144"/>
      <c r="J219" s="144"/>
    </row>
    <row r="220" ht="18.75" customHeight="1">
      <c r="A220" s="64"/>
      <c r="B220" s="64"/>
      <c r="D220" s="144"/>
      <c r="J220" s="144"/>
    </row>
    <row r="221" ht="18.75" customHeight="1">
      <c r="A221" s="64"/>
      <c r="B221" s="64"/>
      <c r="D221" s="144"/>
      <c r="J221" s="144"/>
    </row>
    <row r="222" ht="18.75" customHeight="1">
      <c r="A222" s="64"/>
      <c r="B222" s="64"/>
      <c r="D222" s="144"/>
      <c r="J222" s="144"/>
    </row>
    <row r="223" ht="18.75" customHeight="1">
      <c r="A223" s="64"/>
      <c r="B223" s="64"/>
      <c r="D223" s="144"/>
      <c r="J223" s="144"/>
    </row>
    <row r="224" ht="18.75" customHeight="1">
      <c r="A224" s="64"/>
      <c r="B224" s="64"/>
      <c r="D224" s="144"/>
      <c r="J224" s="144"/>
    </row>
    <row r="225" ht="18.75" customHeight="1">
      <c r="A225" s="64"/>
      <c r="B225" s="64"/>
      <c r="D225" s="144"/>
      <c r="J225" s="144"/>
    </row>
    <row r="226" ht="18.75" customHeight="1">
      <c r="A226" s="64"/>
      <c r="B226" s="64"/>
      <c r="D226" s="144"/>
      <c r="J226" s="144"/>
    </row>
    <row r="227" ht="18.75" customHeight="1">
      <c r="A227" s="64"/>
      <c r="B227" s="64"/>
      <c r="D227" s="144"/>
      <c r="J227" s="144"/>
    </row>
    <row r="228" ht="18.75" customHeight="1">
      <c r="A228" s="64"/>
      <c r="B228" s="64"/>
      <c r="D228" s="144"/>
      <c r="J228" s="144"/>
    </row>
    <row r="229" ht="18.75" customHeight="1">
      <c r="A229" s="64"/>
      <c r="B229" s="64"/>
      <c r="D229" s="144"/>
      <c r="J229" s="144"/>
    </row>
    <row r="230" ht="18.75" customHeight="1">
      <c r="A230" s="64"/>
      <c r="B230" s="64"/>
      <c r="D230" s="144"/>
      <c r="J230" s="144"/>
    </row>
    <row r="231" ht="18.75" customHeight="1">
      <c r="A231" s="64"/>
      <c r="B231" s="64"/>
      <c r="D231" s="144"/>
      <c r="J231" s="144"/>
    </row>
    <row r="232" ht="18.75" customHeight="1">
      <c r="A232" s="64"/>
      <c r="B232" s="64"/>
      <c r="D232" s="144"/>
      <c r="J232" s="144"/>
    </row>
    <row r="233" ht="18.75" customHeight="1">
      <c r="A233" s="64"/>
      <c r="B233" s="64"/>
      <c r="D233" s="144"/>
      <c r="J233" s="144"/>
    </row>
    <row r="234" ht="18.75" customHeight="1">
      <c r="A234" s="64"/>
      <c r="B234" s="64"/>
      <c r="D234" s="144"/>
      <c r="J234" s="144"/>
    </row>
    <row r="235" ht="18.75" customHeight="1">
      <c r="A235" s="64"/>
      <c r="B235" s="64"/>
      <c r="D235" s="144"/>
      <c r="J235" s="144"/>
    </row>
    <row r="236" ht="18.75" customHeight="1">
      <c r="A236" s="64"/>
      <c r="B236" s="64"/>
      <c r="D236" s="144"/>
      <c r="J236" s="144"/>
    </row>
    <row r="237" ht="18.75" customHeight="1">
      <c r="A237" s="64"/>
      <c r="B237" s="64"/>
      <c r="D237" s="144"/>
      <c r="J237" s="144"/>
    </row>
    <row r="238" ht="18.75" customHeight="1">
      <c r="A238" s="64"/>
      <c r="B238" s="64"/>
      <c r="D238" s="144"/>
      <c r="J238" s="144"/>
    </row>
    <row r="239" ht="18.75" customHeight="1">
      <c r="A239" s="64"/>
      <c r="B239" s="64"/>
      <c r="D239" s="144"/>
      <c r="J239" s="144"/>
    </row>
    <row r="240" ht="18.75" customHeight="1">
      <c r="A240" s="64"/>
      <c r="B240" s="64"/>
      <c r="D240" s="144"/>
      <c r="J240" s="144"/>
    </row>
    <row r="241" ht="18.75" customHeight="1">
      <c r="A241" s="64"/>
      <c r="B241" s="64"/>
      <c r="D241" s="144"/>
      <c r="J241" s="144"/>
    </row>
    <row r="242" ht="18.75" customHeight="1">
      <c r="A242" s="64"/>
      <c r="B242" s="64"/>
      <c r="D242" s="144"/>
      <c r="J242" s="144"/>
    </row>
    <row r="243" ht="18.75" customHeight="1">
      <c r="A243" s="64"/>
      <c r="B243" s="64"/>
      <c r="D243" s="144"/>
      <c r="J243" s="144"/>
    </row>
    <row r="244" ht="18.75" customHeight="1">
      <c r="A244" s="64"/>
      <c r="B244" s="64"/>
      <c r="D244" s="144"/>
      <c r="J244" s="144"/>
    </row>
    <row r="245" ht="18.75" customHeight="1">
      <c r="A245" s="64"/>
      <c r="B245" s="64"/>
      <c r="D245" s="144"/>
      <c r="J245" s="144"/>
    </row>
    <row r="246" ht="18.75" customHeight="1">
      <c r="A246" s="64"/>
      <c r="B246" s="64"/>
      <c r="D246" s="144"/>
      <c r="J246" s="144"/>
    </row>
    <row r="247" ht="18.75" customHeight="1">
      <c r="A247" s="64"/>
      <c r="B247" s="64"/>
      <c r="D247" s="144"/>
      <c r="J247" s="144"/>
    </row>
    <row r="248" ht="18.75" customHeight="1">
      <c r="A248" s="64"/>
      <c r="B248" s="64"/>
      <c r="D248" s="144"/>
      <c r="J248" s="144"/>
    </row>
    <row r="249" ht="18.75" customHeight="1">
      <c r="A249" s="64"/>
      <c r="B249" s="64"/>
      <c r="D249" s="144"/>
      <c r="J249" s="144"/>
    </row>
    <row r="250" ht="18.75" customHeight="1">
      <c r="A250" s="64"/>
      <c r="B250" s="64"/>
      <c r="D250" s="144"/>
      <c r="J250" s="144"/>
    </row>
    <row r="251" ht="18.75" customHeight="1">
      <c r="A251" s="64"/>
      <c r="B251" s="64"/>
      <c r="D251" s="144"/>
      <c r="J251" s="144"/>
    </row>
    <row r="252" ht="18.75" customHeight="1">
      <c r="A252" s="64"/>
      <c r="B252" s="64"/>
      <c r="D252" s="144"/>
      <c r="J252" s="144"/>
    </row>
    <row r="253" ht="18.75" customHeight="1">
      <c r="A253" s="64"/>
      <c r="B253" s="64"/>
      <c r="D253" s="144"/>
      <c r="J253" s="144"/>
    </row>
    <row r="254" ht="18.75" customHeight="1">
      <c r="A254" s="64"/>
      <c r="B254" s="64"/>
      <c r="D254" s="144"/>
      <c r="J254" s="144"/>
    </row>
    <row r="255" ht="18.75" customHeight="1">
      <c r="A255" s="64"/>
      <c r="B255" s="64"/>
      <c r="D255" s="144"/>
      <c r="J255" s="144"/>
    </row>
    <row r="256" ht="18.75" customHeight="1">
      <c r="A256" s="64"/>
      <c r="B256" s="64"/>
      <c r="D256" s="144"/>
      <c r="J256" s="144"/>
    </row>
    <row r="257" ht="18.75" customHeight="1">
      <c r="A257" s="64"/>
      <c r="B257" s="64"/>
      <c r="D257" s="144"/>
      <c r="J257" s="144"/>
    </row>
    <row r="258" ht="18.75" customHeight="1">
      <c r="A258" s="64"/>
      <c r="B258" s="64"/>
      <c r="D258" s="144"/>
      <c r="J258" s="144"/>
    </row>
    <row r="259" ht="18.75" customHeight="1">
      <c r="A259" s="64"/>
      <c r="B259" s="64"/>
      <c r="D259" s="144"/>
      <c r="J259" s="144"/>
    </row>
    <row r="260" ht="18.75" customHeight="1">
      <c r="A260" s="64"/>
      <c r="B260" s="64"/>
      <c r="D260" s="144"/>
      <c r="J260" s="144"/>
    </row>
    <row r="261" ht="18.75" customHeight="1">
      <c r="A261" s="64"/>
      <c r="B261" s="64"/>
      <c r="D261" s="144"/>
      <c r="J261" s="144"/>
    </row>
    <row r="262" ht="18.75" customHeight="1">
      <c r="A262" s="64"/>
      <c r="B262" s="64"/>
      <c r="D262" s="144"/>
      <c r="J262" s="144"/>
    </row>
    <row r="263" ht="18.75" customHeight="1">
      <c r="A263" s="64"/>
      <c r="B263" s="64"/>
      <c r="D263" s="144"/>
      <c r="J263" s="144"/>
    </row>
    <row r="264" ht="18.75" customHeight="1">
      <c r="A264" s="64"/>
      <c r="B264" s="64"/>
      <c r="D264" s="144"/>
      <c r="J264" s="144"/>
    </row>
    <row r="265" ht="18.75" customHeight="1">
      <c r="A265" s="64"/>
      <c r="B265" s="64"/>
      <c r="D265" s="144"/>
      <c r="J265" s="144"/>
    </row>
    <row r="266" ht="18.75" customHeight="1">
      <c r="A266" s="64"/>
      <c r="B266" s="64"/>
      <c r="D266" s="144"/>
      <c r="J266" s="144"/>
    </row>
    <row r="267" ht="18.75" customHeight="1">
      <c r="A267" s="64"/>
      <c r="B267" s="64"/>
      <c r="D267" s="144"/>
      <c r="J267" s="144"/>
    </row>
    <row r="268" ht="18.75" customHeight="1">
      <c r="A268" s="64"/>
      <c r="B268" s="64"/>
      <c r="D268" s="144"/>
      <c r="J268" s="144"/>
    </row>
    <row r="269" ht="18.75" customHeight="1">
      <c r="A269" s="64"/>
      <c r="B269" s="64"/>
      <c r="D269" s="144"/>
      <c r="J269" s="144"/>
    </row>
    <row r="270" ht="18.75" customHeight="1">
      <c r="A270" s="64"/>
      <c r="B270" s="64"/>
      <c r="D270" s="144"/>
      <c r="J270" s="144"/>
    </row>
    <row r="271" ht="18.75" customHeight="1">
      <c r="A271" s="64"/>
      <c r="B271" s="64"/>
      <c r="D271" s="144"/>
      <c r="J271" s="144"/>
    </row>
    <row r="272" ht="18.75" customHeight="1">
      <c r="A272" s="64"/>
      <c r="B272" s="64"/>
      <c r="D272" s="144"/>
      <c r="J272" s="144"/>
    </row>
    <row r="273" ht="18.75" customHeight="1">
      <c r="A273" s="64"/>
      <c r="B273" s="64"/>
      <c r="D273" s="144"/>
      <c r="J273" s="144"/>
    </row>
    <row r="274" ht="18.75" customHeight="1">
      <c r="A274" s="64"/>
      <c r="B274" s="64"/>
      <c r="D274" s="144"/>
      <c r="J274" s="144"/>
    </row>
    <row r="275" ht="18.75" customHeight="1">
      <c r="A275" s="64"/>
      <c r="B275" s="64"/>
      <c r="D275" s="144"/>
      <c r="J275" s="144"/>
    </row>
    <row r="276" ht="18.75" customHeight="1">
      <c r="A276" s="64"/>
      <c r="B276" s="64"/>
      <c r="D276" s="144"/>
      <c r="J276" s="144"/>
    </row>
    <row r="277" ht="18.75" customHeight="1">
      <c r="A277" s="64"/>
      <c r="B277" s="64"/>
      <c r="D277" s="144"/>
      <c r="J277" s="144"/>
    </row>
    <row r="278" ht="18.75" customHeight="1">
      <c r="A278" s="64"/>
      <c r="B278" s="64"/>
      <c r="D278" s="144"/>
      <c r="J278" s="144"/>
    </row>
    <row r="279" ht="18.75" customHeight="1">
      <c r="A279" s="64"/>
      <c r="B279" s="64"/>
      <c r="D279" s="144"/>
      <c r="J279" s="144"/>
    </row>
    <row r="280" ht="18.75" customHeight="1">
      <c r="A280" s="64"/>
      <c r="B280" s="64"/>
      <c r="D280" s="144"/>
      <c r="J280" s="144"/>
    </row>
    <row r="281" ht="18.75" customHeight="1">
      <c r="A281" s="64"/>
      <c r="B281" s="64"/>
      <c r="D281" s="144"/>
      <c r="J281" s="144"/>
    </row>
    <row r="282" ht="18.75" customHeight="1">
      <c r="A282" s="64"/>
      <c r="B282" s="64"/>
      <c r="D282" s="144"/>
      <c r="J282" s="144"/>
    </row>
    <row r="283" ht="18.75" customHeight="1">
      <c r="A283" s="64"/>
      <c r="B283" s="64"/>
      <c r="D283" s="144"/>
      <c r="J283" s="144"/>
    </row>
    <row r="284" ht="18.75" customHeight="1">
      <c r="A284" s="64"/>
      <c r="B284" s="64"/>
      <c r="D284" s="144"/>
      <c r="J284" s="144"/>
    </row>
    <row r="285" ht="18.75" customHeight="1">
      <c r="A285" s="64"/>
      <c r="B285" s="64"/>
      <c r="D285" s="144"/>
      <c r="J285" s="144"/>
    </row>
    <row r="286" ht="18.75" customHeight="1">
      <c r="A286" s="64"/>
      <c r="B286" s="64"/>
      <c r="D286" s="144"/>
      <c r="J286" s="144"/>
    </row>
    <row r="287" ht="18.75" customHeight="1">
      <c r="A287" s="64"/>
      <c r="B287" s="64"/>
      <c r="D287" s="144"/>
      <c r="J287" s="144"/>
    </row>
    <row r="288" ht="18.75" customHeight="1">
      <c r="A288" s="64"/>
      <c r="B288" s="64"/>
      <c r="D288" s="144"/>
      <c r="J288" s="144"/>
    </row>
    <row r="289" ht="18.75" customHeight="1">
      <c r="A289" s="64"/>
      <c r="B289" s="64"/>
      <c r="D289" s="144"/>
      <c r="J289" s="144"/>
    </row>
    <row r="290" ht="18.75" customHeight="1">
      <c r="A290" s="64"/>
      <c r="B290" s="64"/>
      <c r="D290" s="144"/>
      <c r="J290" s="144"/>
    </row>
    <row r="291" ht="18.75" customHeight="1">
      <c r="A291" s="64"/>
      <c r="B291" s="64"/>
      <c r="D291" s="144"/>
      <c r="J291" s="144"/>
    </row>
    <row r="292" ht="18.75" customHeight="1">
      <c r="A292" s="64"/>
      <c r="B292" s="64"/>
      <c r="D292" s="144"/>
      <c r="J292" s="144"/>
    </row>
    <row r="293" ht="18.75" customHeight="1">
      <c r="A293" s="64"/>
      <c r="B293" s="64"/>
      <c r="D293" s="144"/>
      <c r="J293" s="144"/>
    </row>
    <row r="294" ht="18.75" customHeight="1">
      <c r="A294" s="64"/>
      <c r="B294" s="64"/>
      <c r="D294" s="144"/>
      <c r="J294" s="144"/>
    </row>
    <row r="295" ht="18.75" customHeight="1">
      <c r="A295" s="64"/>
      <c r="B295" s="64"/>
      <c r="D295" s="144"/>
      <c r="J295" s="144"/>
    </row>
    <row r="296" ht="18.75" customHeight="1">
      <c r="A296" s="64"/>
      <c r="B296" s="64"/>
      <c r="D296" s="144"/>
      <c r="J296" s="144"/>
    </row>
    <row r="297" ht="18.75" customHeight="1">
      <c r="A297" s="64"/>
      <c r="B297" s="64"/>
      <c r="D297" s="144"/>
      <c r="J297" s="144"/>
    </row>
    <row r="298" ht="18.75" customHeight="1">
      <c r="A298" s="64"/>
      <c r="B298" s="64"/>
      <c r="D298" s="144"/>
      <c r="J298" s="144"/>
    </row>
    <row r="299" ht="18.75" customHeight="1">
      <c r="A299" s="64"/>
      <c r="B299" s="64"/>
      <c r="D299" s="144"/>
      <c r="J299" s="144"/>
    </row>
    <row r="300" ht="18.75" customHeight="1">
      <c r="A300" s="64"/>
      <c r="B300" s="64"/>
      <c r="D300" s="144"/>
      <c r="J300" s="144"/>
    </row>
    <row r="301" ht="18.75" customHeight="1">
      <c r="A301" s="64"/>
      <c r="B301" s="64"/>
      <c r="D301" s="144"/>
      <c r="J301" s="144"/>
    </row>
    <row r="302" ht="18.75" customHeight="1">
      <c r="A302" s="64"/>
      <c r="B302" s="64"/>
      <c r="D302" s="144"/>
      <c r="J302" s="144"/>
    </row>
    <row r="303" ht="18.75" customHeight="1">
      <c r="A303" s="64"/>
      <c r="B303" s="64"/>
      <c r="D303" s="144"/>
      <c r="J303" s="144"/>
    </row>
    <row r="304" ht="18.75" customHeight="1">
      <c r="A304" s="64"/>
      <c r="B304" s="64"/>
      <c r="D304" s="144"/>
      <c r="J304" s="144"/>
    </row>
    <row r="305" ht="18.75" customHeight="1">
      <c r="A305" s="64"/>
      <c r="B305" s="64"/>
      <c r="D305" s="144"/>
      <c r="J305" s="144"/>
    </row>
    <row r="306" ht="18.75" customHeight="1">
      <c r="A306" s="64"/>
      <c r="B306" s="64"/>
      <c r="D306" s="144"/>
      <c r="J306" s="144"/>
    </row>
    <row r="307" ht="18.75" customHeight="1">
      <c r="A307" s="64"/>
      <c r="B307" s="64"/>
      <c r="D307" s="144"/>
      <c r="J307" s="144"/>
    </row>
    <row r="308" ht="18.75" customHeight="1">
      <c r="A308" s="64"/>
      <c r="B308" s="64"/>
      <c r="D308" s="144"/>
      <c r="J308" s="144"/>
    </row>
    <row r="309" ht="18.75" customHeight="1">
      <c r="A309" s="64"/>
      <c r="B309" s="64"/>
      <c r="D309" s="144"/>
      <c r="J309" s="144"/>
    </row>
    <row r="310" ht="18.75" customHeight="1">
      <c r="A310" s="64"/>
      <c r="B310" s="64"/>
      <c r="D310" s="144"/>
      <c r="J310" s="144"/>
    </row>
    <row r="311" ht="18.75" customHeight="1">
      <c r="A311" s="64"/>
      <c r="B311" s="64"/>
      <c r="D311" s="144"/>
      <c r="J311" s="144"/>
    </row>
    <row r="312" ht="18.75" customHeight="1">
      <c r="A312" s="64"/>
      <c r="B312" s="64"/>
      <c r="D312" s="144"/>
      <c r="J312" s="144"/>
    </row>
    <row r="313" ht="18.75" customHeight="1">
      <c r="A313" s="64"/>
      <c r="B313" s="64"/>
      <c r="D313" s="144"/>
      <c r="J313" s="144"/>
    </row>
    <row r="314" ht="18.75" customHeight="1">
      <c r="A314" s="64"/>
      <c r="B314" s="64"/>
      <c r="D314" s="144"/>
      <c r="J314" s="144"/>
    </row>
    <row r="315" ht="18.75" customHeight="1">
      <c r="A315" s="64"/>
      <c r="B315" s="64"/>
      <c r="D315" s="144"/>
      <c r="J315" s="144"/>
    </row>
    <row r="316" ht="18.75" customHeight="1">
      <c r="A316" s="64"/>
      <c r="B316" s="64"/>
      <c r="D316" s="144"/>
      <c r="J316" s="144"/>
    </row>
    <row r="317" ht="18.75" customHeight="1">
      <c r="A317" s="64"/>
      <c r="B317" s="64"/>
      <c r="D317" s="144"/>
      <c r="J317" s="144"/>
    </row>
    <row r="318" ht="18.75" customHeight="1">
      <c r="A318" s="64"/>
      <c r="B318" s="64"/>
      <c r="D318" s="144"/>
      <c r="J318" s="144"/>
    </row>
    <row r="319" ht="18.75" customHeight="1">
      <c r="A319" s="64"/>
      <c r="B319" s="64"/>
      <c r="D319" s="144"/>
      <c r="J319" s="144"/>
    </row>
    <row r="320" ht="18.75" customHeight="1">
      <c r="A320" s="64"/>
      <c r="B320" s="64"/>
      <c r="D320" s="144"/>
      <c r="J320" s="144"/>
    </row>
    <row r="321" ht="18.75" customHeight="1">
      <c r="A321" s="64"/>
      <c r="B321" s="64"/>
      <c r="D321" s="144"/>
      <c r="J321" s="144"/>
    </row>
    <row r="322" ht="18.75" customHeight="1">
      <c r="A322" s="64"/>
      <c r="B322" s="64"/>
      <c r="D322" s="144"/>
      <c r="J322" s="144"/>
    </row>
    <row r="323" ht="18.75" customHeight="1">
      <c r="A323" s="64"/>
      <c r="B323" s="64"/>
      <c r="D323" s="144"/>
      <c r="J323" s="144"/>
    </row>
    <row r="324" ht="18.75" customHeight="1">
      <c r="A324" s="64"/>
      <c r="B324" s="64"/>
      <c r="D324" s="144"/>
      <c r="J324" s="144"/>
    </row>
    <row r="325" ht="18.75" customHeight="1">
      <c r="A325" s="64"/>
      <c r="B325" s="64"/>
      <c r="D325" s="144"/>
      <c r="J325" s="144"/>
    </row>
    <row r="326" ht="18.75" customHeight="1">
      <c r="A326" s="64"/>
      <c r="B326" s="64"/>
      <c r="D326" s="144"/>
      <c r="J326" s="144"/>
    </row>
    <row r="327" ht="18.75" customHeight="1">
      <c r="A327" s="64"/>
      <c r="B327" s="64"/>
      <c r="D327" s="144"/>
      <c r="J327" s="144"/>
    </row>
    <row r="328" ht="18.75" customHeight="1">
      <c r="A328" s="64"/>
      <c r="B328" s="64"/>
      <c r="D328" s="144"/>
      <c r="J328" s="144"/>
    </row>
    <row r="329" ht="18.75" customHeight="1">
      <c r="A329" s="64"/>
      <c r="B329" s="64"/>
      <c r="D329" s="144"/>
      <c r="J329" s="144"/>
    </row>
    <row r="330" ht="18.75" customHeight="1">
      <c r="A330" s="64"/>
      <c r="B330" s="64"/>
      <c r="D330" s="144"/>
      <c r="J330" s="144"/>
    </row>
    <row r="331" ht="18.75" customHeight="1">
      <c r="A331" s="64"/>
      <c r="B331" s="64"/>
      <c r="D331" s="144"/>
      <c r="J331" s="144"/>
    </row>
    <row r="332" ht="18.75" customHeight="1">
      <c r="A332" s="64"/>
      <c r="B332" s="64"/>
      <c r="D332" s="144"/>
      <c r="J332" s="144"/>
    </row>
    <row r="333" ht="18.75" customHeight="1">
      <c r="A333" s="64"/>
      <c r="B333" s="64"/>
      <c r="D333" s="144"/>
      <c r="J333" s="144"/>
    </row>
    <row r="334" ht="18.75" customHeight="1">
      <c r="A334" s="64"/>
      <c r="B334" s="64"/>
      <c r="D334" s="144"/>
      <c r="J334" s="144"/>
    </row>
    <row r="335" ht="18.75" customHeight="1">
      <c r="A335" s="64"/>
      <c r="B335" s="64"/>
      <c r="D335" s="144"/>
      <c r="J335" s="144"/>
    </row>
    <row r="336" ht="18.75" customHeight="1">
      <c r="A336" s="64"/>
      <c r="B336" s="64"/>
      <c r="D336" s="144"/>
      <c r="J336" s="144"/>
    </row>
    <row r="337" ht="18.75" customHeight="1">
      <c r="A337" s="64"/>
      <c r="B337" s="64"/>
      <c r="D337" s="144"/>
      <c r="J337" s="144"/>
    </row>
    <row r="338" ht="18.75" customHeight="1">
      <c r="A338" s="64"/>
      <c r="B338" s="64"/>
      <c r="D338" s="144"/>
      <c r="J338" s="144"/>
    </row>
    <row r="339" ht="18.75" customHeight="1">
      <c r="A339" s="64"/>
      <c r="B339" s="64"/>
      <c r="D339" s="144"/>
      <c r="J339" s="144"/>
    </row>
    <row r="340" ht="18.75" customHeight="1">
      <c r="A340" s="64"/>
      <c r="B340" s="64"/>
      <c r="D340" s="144"/>
      <c r="J340" s="144"/>
    </row>
    <row r="341" ht="18.75" customHeight="1">
      <c r="A341" s="64"/>
      <c r="B341" s="64"/>
      <c r="D341" s="144"/>
      <c r="J341" s="144"/>
    </row>
    <row r="342" ht="18.75" customHeight="1">
      <c r="A342" s="64"/>
      <c r="B342" s="64"/>
      <c r="D342" s="144"/>
      <c r="J342" s="144"/>
    </row>
    <row r="343" ht="18.75" customHeight="1">
      <c r="A343" s="64"/>
      <c r="B343" s="64"/>
      <c r="D343" s="144"/>
      <c r="J343" s="144"/>
    </row>
    <row r="344" ht="18.75" customHeight="1">
      <c r="A344" s="64"/>
      <c r="B344" s="64"/>
      <c r="D344" s="144"/>
      <c r="J344" s="144"/>
    </row>
    <row r="345" ht="18.75" customHeight="1">
      <c r="A345" s="64"/>
      <c r="B345" s="64"/>
      <c r="D345" s="144"/>
      <c r="J345" s="144"/>
    </row>
    <row r="346" ht="18.75" customHeight="1">
      <c r="A346" s="64"/>
      <c r="B346" s="64"/>
      <c r="D346" s="144"/>
      <c r="J346" s="144"/>
    </row>
    <row r="347" ht="18.75" customHeight="1">
      <c r="A347" s="64"/>
      <c r="B347" s="64"/>
      <c r="D347" s="144"/>
      <c r="J347" s="144"/>
    </row>
    <row r="348" ht="18.75" customHeight="1">
      <c r="A348" s="64"/>
      <c r="B348" s="64"/>
      <c r="D348" s="144"/>
      <c r="J348" s="144"/>
    </row>
    <row r="349" ht="18.75" customHeight="1">
      <c r="A349" s="64"/>
      <c r="B349" s="64"/>
      <c r="D349" s="144"/>
      <c r="J349" s="144"/>
    </row>
    <row r="350" ht="18.75" customHeight="1">
      <c r="A350" s="64"/>
      <c r="B350" s="64"/>
      <c r="D350" s="144"/>
      <c r="J350" s="144"/>
    </row>
    <row r="351" ht="18.75" customHeight="1">
      <c r="A351" s="64"/>
      <c r="B351" s="64"/>
      <c r="D351" s="144"/>
      <c r="J351" s="144"/>
    </row>
    <row r="352" ht="18.75" customHeight="1">
      <c r="A352" s="64"/>
      <c r="B352" s="64"/>
      <c r="D352" s="144"/>
      <c r="J352" s="144"/>
    </row>
    <row r="353" ht="18.75" customHeight="1">
      <c r="A353" s="64"/>
      <c r="B353" s="64"/>
      <c r="D353" s="144"/>
      <c r="J353" s="144"/>
    </row>
    <row r="354" ht="18.75" customHeight="1">
      <c r="A354" s="64"/>
      <c r="B354" s="64"/>
      <c r="D354" s="144"/>
      <c r="J354" s="144"/>
    </row>
    <row r="355" ht="18.75" customHeight="1">
      <c r="A355" s="64"/>
      <c r="B355" s="64"/>
      <c r="D355" s="144"/>
      <c r="J355" s="144"/>
    </row>
    <row r="356" ht="18.75" customHeight="1">
      <c r="A356" s="64"/>
      <c r="B356" s="64"/>
      <c r="D356" s="144"/>
      <c r="J356" s="144"/>
    </row>
    <row r="357" ht="18.75" customHeight="1">
      <c r="A357" s="64"/>
      <c r="B357" s="64"/>
      <c r="D357" s="144"/>
      <c r="J357" s="144"/>
    </row>
    <row r="358" ht="18.75" customHeight="1">
      <c r="A358" s="64"/>
      <c r="B358" s="64"/>
      <c r="D358" s="144"/>
      <c r="J358" s="144"/>
    </row>
    <row r="359" ht="18.75" customHeight="1">
      <c r="A359" s="64"/>
      <c r="B359" s="64"/>
      <c r="D359" s="144"/>
      <c r="J359" s="144"/>
    </row>
    <row r="360" ht="18.75" customHeight="1">
      <c r="A360" s="64"/>
      <c r="B360" s="64"/>
      <c r="D360" s="144"/>
      <c r="J360" s="144"/>
    </row>
    <row r="361" ht="18.75" customHeight="1">
      <c r="A361" s="64"/>
      <c r="B361" s="64"/>
      <c r="D361" s="144"/>
      <c r="J361" s="144"/>
    </row>
    <row r="362" ht="18.75" customHeight="1">
      <c r="A362" s="64"/>
      <c r="B362" s="64"/>
      <c r="D362" s="144"/>
      <c r="J362" s="144"/>
    </row>
    <row r="363" ht="18.75" customHeight="1">
      <c r="A363" s="64"/>
      <c r="B363" s="64"/>
      <c r="D363" s="144"/>
      <c r="J363" s="144"/>
    </row>
    <row r="364" ht="18.75" customHeight="1">
      <c r="A364" s="64"/>
      <c r="B364" s="64"/>
      <c r="D364" s="144"/>
      <c r="J364" s="144"/>
    </row>
    <row r="365" ht="18.75" customHeight="1">
      <c r="A365" s="64"/>
      <c r="B365" s="64"/>
      <c r="D365" s="144"/>
      <c r="J365" s="144"/>
    </row>
    <row r="366" ht="18.75" customHeight="1">
      <c r="A366" s="64"/>
      <c r="B366" s="64"/>
      <c r="D366" s="144"/>
      <c r="J366" s="144"/>
    </row>
    <row r="367" ht="18.75" customHeight="1">
      <c r="A367" s="64"/>
      <c r="B367" s="64"/>
      <c r="D367" s="144"/>
      <c r="J367" s="144"/>
    </row>
    <row r="368" ht="18.75" customHeight="1">
      <c r="A368" s="64"/>
      <c r="B368" s="64"/>
      <c r="D368" s="144"/>
      <c r="J368" s="144"/>
    </row>
    <row r="369" ht="18.75" customHeight="1">
      <c r="A369" s="64"/>
      <c r="B369" s="64"/>
      <c r="D369" s="144"/>
      <c r="J369" s="144"/>
    </row>
    <row r="370" ht="18.75" customHeight="1">
      <c r="A370" s="64"/>
      <c r="B370" s="64"/>
      <c r="D370" s="144"/>
      <c r="J370" s="144"/>
    </row>
    <row r="371" ht="18.75" customHeight="1">
      <c r="A371" s="64"/>
      <c r="B371" s="64"/>
      <c r="D371" s="144"/>
      <c r="J371" s="144"/>
    </row>
    <row r="372" ht="18.75" customHeight="1">
      <c r="A372" s="64"/>
      <c r="B372" s="64"/>
      <c r="D372" s="144"/>
      <c r="J372" s="144"/>
    </row>
    <row r="373" ht="18.75" customHeight="1">
      <c r="A373" s="64"/>
      <c r="B373" s="64"/>
      <c r="D373" s="144"/>
      <c r="J373" s="144"/>
    </row>
    <row r="374" ht="18.75" customHeight="1">
      <c r="A374" s="64"/>
      <c r="B374" s="64"/>
      <c r="D374" s="144"/>
      <c r="J374" s="144"/>
    </row>
    <row r="375" ht="18.75" customHeight="1">
      <c r="A375" s="64"/>
      <c r="B375" s="64"/>
      <c r="D375" s="144"/>
      <c r="J375" s="144"/>
    </row>
    <row r="376" ht="18.75" customHeight="1">
      <c r="A376" s="64"/>
      <c r="B376" s="64"/>
      <c r="D376" s="144"/>
      <c r="J376" s="144"/>
    </row>
    <row r="377" ht="18.75" customHeight="1">
      <c r="A377" s="64"/>
      <c r="B377" s="64"/>
      <c r="D377" s="144"/>
      <c r="J377" s="144"/>
    </row>
    <row r="378" ht="18.75" customHeight="1">
      <c r="A378" s="64"/>
      <c r="B378" s="64"/>
      <c r="D378" s="144"/>
      <c r="J378" s="144"/>
    </row>
    <row r="379" ht="18.75" customHeight="1">
      <c r="A379" s="64"/>
      <c r="B379" s="64"/>
      <c r="D379" s="144"/>
      <c r="J379" s="144"/>
    </row>
    <row r="380" ht="18.75" customHeight="1">
      <c r="A380" s="64"/>
      <c r="B380" s="64"/>
      <c r="D380" s="144"/>
      <c r="J380" s="144"/>
    </row>
    <row r="381" ht="18.75" customHeight="1">
      <c r="A381" s="64"/>
      <c r="B381" s="64"/>
      <c r="D381" s="144"/>
      <c r="J381" s="144"/>
    </row>
    <row r="382" ht="18.75" customHeight="1">
      <c r="A382" s="64"/>
      <c r="B382" s="64"/>
      <c r="D382" s="144"/>
      <c r="J382" s="144"/>
    </row>
    <row r="383" ht="18.75" customHeight="1">
      <c r="A383" s="64"/>
      <c r="B383" s="64"/>
      <c r="D383" s="144"/>
      <c r="J383" s="144"/>
    </row>
    <row r="384" ht="18.75" customHeight="1">
      <c r="A384" s="64"/>
      <c r="B384" s="64"/>
      <c r="D384" s="144"/>
      <c r="J384" s="144"/>
    </row>
    <row r="385" ht="18.75" customHeight="1">
      <c r="A385" s="64"/>
      <c r="B385" s="64"/>
      <c r="D385" s="144"/>
      <c r="J385" s="144"/>
    </row>
    <row r="386" ht="18.75" customHeight="1">
      <c r="A386" s="64"/>
      <c r="B386" s="64"/>
      <c r="D386" s="144"/>
      <c r="J386" s="144"/>
    </row>
    <row r="387" ht="18.75" customHeight="1">
      <c r="A387" s="64"/>
      <c r="B387" s="64"/>
      <c r="D387" s="144"/>
      <c r="J387" s="144"/>
    </row>
    <row r="388" ht="18.75" customHeight="1">
      <c r="A388" s="64"/>
      <c r="B388" s="64"/>
      <c r="D388" s="144"/>
      <c r="J388" s="144"/>
    </row>
    <row r="389" ht="18.75" customHeight="1">
      <c r="A389" s="64"/>
      <c r="B389" s="64"/>
      <c r="D389" s="144"/>
      <c r="J389" s="144"/>
    </row>
    <row r="390" ht="18.75" customHeight="1">
      <c r="A390" s="64"/>
      <c r="B390" s="64"/>
      <c r="D390" s="144"/>
      <c r="J390" s="144"/>
    </row>
    <row r="391" ht="18.75" customHeight="1">
      <c r="A391" s="64"/>
      <c r="B391" s="64"/>
      <c r="D391" s="144"/>
      <c r="J391" s="144"/>
    </row>
    <row r="392" ht="18.75" customHeight="1">
      <c r="A392" s="64"/>
      <c r="B392" s="64"/>
      <c r="D392" s="144"/>
      <c r="J392" s="144"/>
    </row>
    <row r="393" ht="18.75" customHeight="1">
      <c r="A393" s="64"/>
      <c r="B393" s="64"/>
      <c r="D393" s="144"/>
      <c r="J393" s="144"/>
    </row>
    <row r="394" ht="18.75" customHeight="1">
      <c r="A394" s="64"/>
      <c r="B394" s="64"/>
      <c r="D394" s="144"/>
      <c r="J394" s="144"/>
    </row>
    <row r="395" ht="18.75" customHeight="1">
      <c r="A395" s="64"/>
      <c r="B395" s="64"/>
      <c r="D395" s="144"/>
      <c r="J395" s="144"/>
    </row>
    <row r="396" ht="18.75" customHeight="1">
      <c r="A396" s="64"/>
      <c r="B396" s="64"/>
      <c r="D396" s="144"/>
      <c r="J396" s="144"/>
    </row>
    <row r="397" ht="18.75" customHeight="1">
      <c r="A397" s="64"/>
      <c r="B397" s="64"/>
      <c r="D397" s="144"/>
      <c r="J397" s="144"/>
    </row>
    <row r="398" ht="18.75" customHeight="1">
      <c r="A398" s="64"/>
      <c r="B398" s="64"/>
      <c r="D398" s="144"/>
      <c r="J398" s="144"/>
    </row>
    <row r="399" ht="18.75" customHeight="1">
      <c r="A399" s="64"/>
      <c r="B399" s="64"/>
      <c r="D399" s="144"/>
      <c r="J399" s="144"/>
    </row>
    <row r="400" ht="18.75" customHeight="1">
      <c r="A400" s="64"/>
      <c r="B400" s="64"/>
      <c r="D400" s="144"/>
      <c r="J400" s="144"/>
    </row>
    <row r="401" ht="18.75" customHeight="1">
      <c r="A401" s="64"/>
      <c r="B401" s="64"/>
      <c r="D401" s="144"/>
      <c r="J401" s="144"/>
    </row>
    <row r="402" ht="18.75" customHeight="1">
      <c r="A402" s="64"/>
      <c r="B402" s="64"/>
      <c r="D402" s="144"/>
      <c r="J402" s="144"/>
    </row>
    <row r="403" ht="18.75" customHeight="1">
      <c r="A403" s="64"/>
      <c r="B403" s="64"/>
      <c r="D403" s="144"/>
      <c r="J403" s="144"/>
    </row>
    <row r="404" ht="18.75" customHeight="1">
      <c r="A404" s="64"/>
      <c r="B404" s="64"/>
      <c r="D404" s="144"/>
      <c r="J404" s="144"/>
    </row>
    <row r="405" ht="18.75" customHeight="1">
      <c r="A405" s="64"/>
      <c r="B405" s="64"/>
      <c r="D405" s="144"/>
      <c r="J405" s="144"/>
    </row>
    <row r="406" ht="18.75" customHeight="1">
      <c r="A406" s="64"/>
      <c r="B406" s="64"/>
      <c r="D406" s="144"/>
      <c r="J406" s="144"/>
    </row>
    <row r="407" ht="18.75" customHeight="1">
      <c r="A407" s="64"/>
      <c r="B407" s="64"/>
      <c r="D407" s="144"/>
      <c r="J407" s="144"/>
    </row>
    <row r="408" ht="18.75" customHeight="1">
      <c r="A408" s="64"/>
      <c r="B408" s="64"/>
      <c r="D408" s="144"/>
      <c r="J408" s="144"/>
    </row>
    <row r="409" ht="18.75" customHeight="1">
      <c r="A409" s="64"/>
      <c r="B409" s="64"/>
      <c r="D409" s="144"/>
      <c r="J409" s="144"/>
    </row>
    <row r="410" ht="18.75" customHeight="1">
      <c r="A410" s="64"/>
      <c r="B410" s="64"/>
      <c r="D410" s="144"/>
      <c r="J410" s="144"/>
    </row>
    <row r="411" ht="18.75" customHeight="1">
      <c r="A411" s="64"/>
      <c r="B411" s="64"/>
      <c r="D411" s="144"/>
      <c r="J411" s="144"/>
    </row>
    <row r="412" ht="18.75" customHeight="1">
      <c r="A412" s="64"/>
      <c r="B412" s="64"/>
      <c r="D412" s="144"/>
      <c r="J412" s="144"/>
    </row>
    <row r="413" ht="18.75" customHeight="1">
      <c r="A413" s="64"/>
      <c r="B413" s="64"/>
      <c r="D413" s="144"/>
      <c r="J413" s="144"/>
    </row>
    <row r="414" ht="18.75" customHeight="1">
      <c r="A414" s="64"/>
      <c r="B414" s="64"/>
      <c r="D414" s="144"/>
      <c r="J414" s="144"/>
    </row>
    <row r="415" ht="18.75" customHeight="1">
      <c r="A415" s="64"/>
      <c r="B415" s="64"/>
      <c r="D415" s="144"/>
      <c r="J415" s="144"/>
    </row>
    <row r="416" ht="18.75" customHeight="1">
      <c r="A416" s="64"/>
      <c r="B416" s="64"/>
      <c r="D416" s="144"/>
      <c r="J416" s="144"/>
    </row>
    <row r="417" ht="18.75" customHeight="1">
      <c r="A417" s="64"/>
      <c r="B417" s="64"/>
      <c r="D417" s="144"/>
      <c r="J417" s="144"/>
    </row>
    <row r="418" ht="18.75" customHeight="1">
      <c r="A418" s="64"/>
      <c r="B418" s="64"/>
      <c r="D418" s="144"/>
      <c r="J418" s="144"/>
    </row>
    <row r="419" ht="18.75" customHeight="1">
      <c r="A419" s="64"/>
      <c r="B419" s="64"/>
      <c r="D419" s="144"/>
      <c r="J419" s="144"/>
    </row>
    <row r="420" ht="18.75" customHeight="1">
      <c r="A420" s="64"/>
      <c r="B420" s="64"/>
      <c r="D420" s="144"/>
      <c r="J420" s="144"/>
    </row>
    <row r="421" ht="18.75" customHeight="1">
      <c r="A421" s="64"/>
      <c r="B421" s="64"/>
      <c r="D421" s="144"/>
      <c r="J421" s="144"/>
    </row>
    <row r="422" ht="18.75" customHeight="1">
      <c r="A422" s="64"/>
      <c r="B422" s="64"/>
      <c r="D422" s="144"/>
      <c r="J422" s="144"/>
    </row>
    <row r="423" ht="18.75" customHeight="1">
      <c r="A423" s="64"/>
      <c r="B423" s="64"/>
      <c r="D423" s="144"/>
      <c r="J423" s="144"/>
    </row>
    <row r="424" ht="18.75" customHeight="1">
      <c r="A424" s="64"/>
      <c r="B424" s="64"/>
      <c r="D424" s="144"/>
      <c r="J424" s="144"/>
    </row>
    <row r="425" ht="18.75" customHeight="1">
      <c r="A425" s="64"/>
      <c r="B425" s="64"/>
      <c r="D425" s="144"/>
      <c r="J425" s="144"/>
    </row>
    <row r="426" ht="18.75" customHeight="1">
      <c r="A426" s="64"/>
      <c r="B426" s="64"/>
      <c r="D426" s="144"/>
      <c r="J426" s="144"/>
    </row>
    <row r="427" ht="18.75" customHeight="1">
      <c r="A427" s="64"/>
      <c r="B427" s="64"/>
      <c r="D427" s="144"/>
      <c r="J427" s="144"/>
    </row>
    <row r="428" ht="18.75" customHeight="1">
      <c r="A428" s="64"/>
      <c r="B428" s="64"/>
      <c r="D428" s="144"/>
      <c r="J428" s="144"/>
    </row>
    <row r="429" ht="18.75" customHeight="1">
      <c r="A429" s="64"/>
      <c r="B429" s="64"/>
      <c r="D429" s="144"/>
      <c r="J429" s="144"/>
    </row>
    <row r="430" ht="18.75" customHeight="1">
      <c r="A430" s="64"/>
      <c r="B430" s="64"/>
      <c r="D430" s="144"/>
      <c r="J430" s="144"/>
    </row>
    <row r="431" ht="18.75" customHeight="1">
      <c r="A431" s="64"/>
      <c r="B431" s="64"/>
      <c r="D431" s="144"/>
      <c r="J431" s="144"/>
    </row>
    <row r="432" ht="18.75" customHeight="1">
      <c r="A432" s="64"/>
      <c r="B432" s="64"/>
      <c r="D432" s="144"/>
      <c r="J432" s="144"/>
    </row>
    <row r="433" ht="18.75" customHeight="1">
      <c r="A433" s="64"/>
      <c r="B433" s="64"/>
      <c r="D433" s="144"/>
      <c r="J433" s="144"/>
    </row>
    <row r="434" ht="18.75" customHeight="1">
      <c r="A434" s="64"/>
      <c r="B434" s="64"/>
      <c r="D434" s="144"/>
      <c r="J434" s="144"/>
    </row>
    <row r="435" ht="18.75" customHeight="1">
      <c r="A435" s="64"/>
      <c r="B435" s="64"/>
      <c r="D435" s="144"/>
      <c r="J435" s="144"/>
    </row>
    <row r="436" ht="18.75" customHeight="1">
      <c r="A436" s="64"/>
      <c r="B436" s="64"/>
      <c r="D436" s="144"/>
      <c r="J436" s="144"/>
    </row>
    <row r="437" ht="18.75" customHeight="1">
      <c r="A437" s="64"/>
      <c r="B437" s="64"/>
      <c r="D437" s="144"/>
      <c r="J437" s="144"/>
    </row>
    <row r="438" ht="18.75" customHeight="1">
      <c r="A438" s="64"/>
      <c r="B438" s="64"/>
      <c r="D438" s="144"/>
      <c r="J438" s="144"/>
    </row>
    <row r="439" ht="18.75" customHeight="1">
      <c r="A439" s="64"/>
      <c r="B439" s="64"/>
      <c r="D439" s="144"/>
      <c r="J439" s="144"/>
    </row>
    <row r="440" ht="18.75" customHeight="1">
      <c r="A440" s="64"/>
      <c r="B440" s="64"/>
      <c r="D440" s="144"/>
      <c r="J440" s="144"/>
    </row>
    <row r="441" ht="18.75" customHeight="1">
      <c r="A441" s="64"/>
      <c r="B441" s="64"/>
      <c r="D441" s="144"/>
      <c r="J441" s="144"/>
    </row>
    <row r="442" ht="18.75" customHeight="1">
      <c r="A442" s="64"/>
      <c r="B442" s="64"/>
      <c r="D442" s="144"/>
      <c r="J442" s="144"/>
    </row>
    <row r="443" ht="18.75" customHeight="1">
      <c r="A443" s="64"/>
      <c r="B443" s="64"/>
      <c r="D443" s="144"/>
      <c r="J443" s="144"/>
    </row>
    <row r="444" ht="18.75" customHeight="1">
      <c r="A444" s="64"/>
      <c r="B444" s="64"/>
      <c r="D444" s="144"/>
      <c r="J444" s="144"/>
    </row>
    <row r="445" ht="18.75" customHeight="1">
      <c r="A445" s="64"/>
      <c r="B445" s="64"/>
      <c r="D445" s="144"/>
      <c r="J445" s="144"/>
    </row>
    <row r="446" ht="18.75" customHeight="1">
      <c r="A446" s="64"/>
      <c r="B446" s="64"/>
      <c r="D446" s="144"/>
      <c r="J446" s="144"/>
    </row>
    <row r="447" ht="18.75" customHeight="1">
      <c r="A447" s="64"/>
      <c r="B447" s="64"/>
      <c r="D447" s="144"/>
      <c r="J447" s="144"/>
    </row>
    <row r="448" ht="18.75" customHeight="1">
      <c r="A448" s="64"/>
      <c r="B448" s="64"/>
      <c r="D448" s="144"/>
      <c r="J448" s="144"/>
    </row>
    <row r="449" ht="18.75" customHeight="1">
      <c r="A449" s="64"/>
      <c r="B449" s="64"/>
      <c r="D449" s="144"/>
      <c r="J449" s="144"/>
    </row>
    <row r="450" ht="18.75" customHeight="1">
      <c r="A450" s="64"/>
      <c r="B450" s="64"/>
      <c r="D450" s="144"/>
      <c r="J450" s="144"/>
    </row>
    <row r="451" ht="18.75" customHeight="1">
      <c r="A451" s="64"/>
      <c r="B451" s="64"/>
      <c r="D451" s="144"/>
      <c r="J451" s="144"/>
    </row>
    <row r="452" ht="18.75" customHeight="1">
      <c r="A452" s="64"/>
      <c r="B452" s="64"/>
      <c r="D452" s="144"/>
      <c r="J452" s="144"/>
    </row>
    <row r="453" ht="18.75" customHeight="1">
      <c r="A453" s="64"/>
      <c r="B453" s="64"/>
      <c r="D453" s="144"/>
      <c r="J453" s="144"/>
    </row>
    <row r="454" ht="18.75" customHeight="1">
      <c r="A454" s="64"/>
      <c r="B454" s="64"/>
      <c r="D454" s="144"/>
      <c r="J454" s="144"/>
    </row>
    <row r="455" ht="18.75" customHeight="1">
      <c r="A455" s="64"/>
      <c r="B455" s="64"/>
      <c r="D455" s="144"/>
      <c r="J455" s="144"/>
    </row>
    <row r="456" ht="18.75" customHeight="1">
      <c r="A456" s="64"/>
      <c r="B456" s="64"/>
      <c r="D456" s="144"/>
      <c r="J456" s="144"/>
    </row>
    <row r="457" ht="18.75" customHeight="1">
      <c r="A457" s="64"/>
      <c r="B457" s="64"/>
      <c r="D457" s="144"/>
      <c r="J457" s="144"/>
    </row>
    <row r="458" ht="18.75" customHeight="1">
      <c r="A458" s="64"/>
      <c r="B458" s="64"/>
      <c r="D458" s="144"/>
      <c r="J458" s="144"/>
    </row>
    <row r="459" ht="18.75" customHeight="1">
      <c r="A459" s="64"/>
      <c r="B459" s="64"/>
      <c r="D459" s="144"/>
      <c r="J459" s="144"/>
    </row>
    <row r="460" ht="18.75" customHeight="1">
      <c r="A460" s="64"/>
      <c r="B460" s="64"/>
      <c r="D460" s="144"/>
      <c r="J460" s="144"/>
    </row>
    <row r="461" ht="18.75" customHeight="1">
      <c r="A461" s="64"/>
      <c r="B461" s="64"/>
      <c r="D461" s="144"/>
      <c r="J461" s="144"/>
    </row>
    <row r="462" ht="18.75" customHeight="1">
      <c r="A462" s="64"/>
      <c r="B462" s="64"/>
      <c r="D462" s="144"/>
      <c r="J462" s="144"/>
    </row>
    <row r="463" ht="18.75" customHeight="1">
      <c r="A463" s="64"/>
      <c r="B463" s="64"/>
      <c r="D463" s="144"/>
      <c r="J463" s="144"/>
    </row>
    <row r="464" ht="18.75" customHeight="1">
      <c r="A464" s="64"/>
      <c r="B464" s="64"/>
      <c r="D464" s="144"/>
      <c r="J464" s="144"/>
    </row>
    <row r="465" ht="18.75" customHeight="1">
      <c r="A465" s="64"/>
      <c r="B465" s="64"/>
      <c r="D465" s="144"/>
      <c r="J465" s="144"/>
    </row>
    <row r="466" ht="18.75" customHeight="1">
      <c r="A466" s="64"/>
      <c r="B466" s="64"/>
      <c r="D466" s="144"/>
      <c r="J466" s="144"/>
    </row>
    <row r="467" ht="18.75" customHeight="1">
      <c r="A467" s="64"/>
      <c r="B467" s="64"/>
      <c r="D467" s="144"/>
      <c r="J467" s="144"/>
    </row>
    <row r="468" ht="18.75" customHeight="1">
      <c r="A468" s="64"/>
      <c r="B468" s="64"/>
      <c r="D468" s="144"/>
      <c r="J468" s="144"/>
    </row>
    <row r="469" ht="18.75" customHeight="1">
      <c r="A469" s="64"/>
      <c r="B469" s="64"/>
      <c r="D469" s="144"/>
      <c r="J469" s="144"/>
    </row>
    <row r="470" ht="18.75" customHeight="1">
      <c r="A470" s="64"/>
      <c r="B470" s="64"/>
      <c r="D470" s="144"/>
      <c r="J470" s="144"/>
    </row>
    <row r="471" ht="18.75" customHeight="1">
      <c r="A471" s="64"/>
      <c r="B471" s="64"/>
      <c r="D471" s="144"/>
      <c r="J471" s="144"/>
    </row>
    <row r="472" ht="18.75" customHeight="1">
      <c r="A472" s="64"/>
      <c r="B472" s="64"/>
      <c r="D472" s="144"/>
      <c r="J472" s="144"/>
    </row>
    <row r="473" ht="18.75" customHeight="1">
      <c r="A473" s="64"/>
      <c r="B473" s="64"/>
      <c r="D473" s="144"/>
      <c r="J473" s="144"/>
    </row>
    <row r="474" ht="18.75" customHeight="1">
      <c r="A474" s="64"/>
      <c r="B474" s="64"/>
      <c r="D474" s="144"/>
      <c r="J474" s="144"/>
    </row>
    <row r="475" ht="18.75" customHeight="1">
      <c r="A475" s="64"/>
      <c r="B475" s="64"/>
      <c r="D475" s="144"/>
      <c r="J475" s="144"/>
    </row>
    <row r="476" ht="18.75" customHeight="1">
      <c r="A476" s="64"/>
      <c r="B476" s="64"/>
      <c r="D476" s="144"/>
      <c r="J476" s="144"/>
    </row>
    <row r="477" ht="18.75" customHeight="1">
      <c r="A477" s="64"/>
      <c r="B477" s="64"/>
      <c r="D477" s="144"/>
      <c r="J477" s="144"/>
    </row>
    <row r="478" ht="18.75" customHeight="1">
      <c r="A478" s="64"/>
      <c r="B478" s="64"/>
      <c r="D478" s="144"/>
      <c r="J478" s="144"/>
    </row>
    <row r="479" ht="18.75" customHeight="1">
      <c r="A479" s="64"/>
      <c r="B479" s="64"/>
      <c r="D479" s="144"/>
      <c r="J479" s="144"/>
    </row>
    <row r="480" ht="18.75" customHeight="1">
      <c r="A480" s="64"/>
      <c r="B480" s="64"/>
      <c r="D480" s="144"/>
      <c r="J480" s="144"/>
    </row>
    <row r="481" ht="18.75" customHeight="1">
      <c r="A481" s="64"/>
      <c r="B481" s="64"/>
      <c r="D481" s="144"/>
      <c r="J481" s="144"/>
    </row>
    <row r="482" ht="18.75" customHeight="1">
      <c r="A482" s="64"/>
      <c r="B482" s="64"/>
      <c r="D482" s="144"/>
      <c r="J482" s="144"/>
    </row>
    <row r="483" ht="18.75" customHeight="1">
      <c r="A483" s="64"/>
      <c r="B483" s="64"/>
      <c r="D483" s="144"/>
      <c r="J483" s="144"/>
    </row>
    <row r="484" ht="18.75" customHeight="1">
      <c r="A484" s="64"/>
      <c r="B484" s="64"/>
      <c r="D484" s="144"/>
      <c r="J484" s="144"/>
    </row>
    <row r="485" ht="18.75" customHeight="1">
      <c r="A485" s="64"/>
      <c r="B485" s="64"/>
      <c r="D485" s="144"/>
      <c r="J485" s="144"/>
    </row>
    <row r="486" ht="18.75" customHeight="1">
      <c r="A486" s="64"/>
      <c r="B486" s="64"/>
      <c r="D486" s="144"/>
      <c r="J486" s="144"/>
    </row>
    <row r="487" ht="18.75" customHeight="1">
      <c r="A487" s="64"/>
      <c r="B487" s="64"/>
      <c r="D487" s="144"/>
      <c r="J487" s="144"/>
    </row>
    <row r="488" ht="18.75" customHeight="1">
      <c r="A488" s="64"/>
      <c r="B488" s="64"/>
      <c r="D488" s="144"/>
      <c r="J488" s="144"/>
    </row>
    <row r="489" ht="18.75" customHeight="1">
      <c r="A489" s="64"/>
      <c r="B489" s="64"/>
      <c r="D489" s="144"/>
      <c r="J489" s="144"/>
    </row>
    <row r="490" ht="18.75" customHeight="1">
      <c r="A490" s="64"/>
      <c r="B490" s="64"/>
      <c r="D490" s="144"/>
      <c r="J490" s="144"/>
    </row>
    <row r="491" ht="18.75" customHeight="1">
      <c r="A491" s="64"/>
      <c r="B491" s="64"/>
      <c r="D491" s="144"/>
      <c r="J491" s="144"/>
    </row>
    <row r="492" ht="18.75" customHeight="1">
      <c r="A492" s="64"/>
      <c r="B492" s="64"/>
      <c r="D492" s="144"/>
      <c r="J492" s="144"/>
    </row>
    <row r="493" ht="18.75" customHeight="1">
      <c r="A493" s="64"/>
      <c r="B493" s="64"/>
      <c r="D493" s="144"/>
      <c r="J493" s="144"/>
    </row>
    <row r="494" ht="18.75" customHeight="1">
      <c r="A494" s="64"/>
      <c r="B494" s="64"/>
      <c r="D494" s="144"/>
      <c r="J494" s="144"/>
    </row>
    <row r="495" ht="18.75" customHeight="1">
      <c r="A495" s="64"/>
      <c r="B495" s="64"/>
      <c r="D495" s="144"/>
      <c r="J495" s="144"/>
    </row>
    <row r="496" ht="18.75" customHeight="1">
      <c r="A496" s="64"/>
      <c r="B496" s="64"/>
      <c r="D496" s="144"/>
      <c r="J496" s="144"/>
    </row>
    <row r="497" ht="18.75" customHeight="1">
      <c r="A497" s="64"/>
      <c r="B497" s="64"/>
      <c r="D497" s="144"/>
      <c r="J497" s="144"/>
    </row>
    <row r="498" ht="18.75" customHeight="1">
      <c r="A498" s="64"/>
      <c r="B498" s="64"/>
      <c r="D498" s="144"/>
      <c r="J498" s="144"/>
    </row>
    <row r="499" ht="18.75" customHeight="1">
      <c r="A499" s="64"/>
      <c r="B499" s="64"/>
      <c r="D499" s="144"/>
      <c r="J499" s="144"/>
    </row>
    <row r="500" ht="18.75" customHeight="1">
      <c r="A500" s="64"/>
      <c r="B500" s="64"/>
      <c r="D500" s="144"/>
      <c r="J500" s="144"/>
    </row>
    <row r="501" ht="18.75" customHeight="1">
      <c r="A501" s="64"/>
      <c r="B501" s="64"/>
      <c r="D501" s="144"/>
      <c r="J501" s="144"/>
    </row>
    <row r="502" ht="18.75" customHeight="1">
      <c r="A502" s="64"/>
      <c r="B502" s="64"/>
      <c r="D502" s="144"/>
      <c r="J502" s="144"/>
    </row>
    <row r="503" ht="18.75" customHeight="1">
      <c r="A503" s="64"/>
      <c r="B503" s="64"/>
      <c r="D503" s="144"/>
      <c r="J503" s="144"/>
    </row>
    <row r="504" ht="18.75" customHeight="1">
      <c r="A504" s="64"/>
      <c r="B504" s="64"/>
      <c r="D504" s="144"/>
      <c r="J504" s="144"/>
    </row>
    <row r="505" ht="18.75" customHeight="1">
      <c r="A505" s="64"/>
      <c r="B505" s="64"/>
      <c r="D505" s="144"/>
      <c r="J505" s="144"/>
    </row>
    <row r="506" ht="18.75" customHeight="1">
      <c r="A506" s="64"/>
      <c r="B506" s="64"/>
      <c r="D506" s="144"/>
      <c r="J506" s="144"/>
    </row>
    <row r="507" ht="18.75" customHeight="1">
      <c r="A507" s="64"/>
      <c r="B507" s="64"/>
      <c r="D507" s="144"/>
      <c r="J507" s="144"/>
    </row>
    <row r="508" ht="18.75" customHeight="1">
      <c r="A508" s="64"/>
      <c r="B508" s="64"/>
      <c r="D508" s="144"/>
      <c r="J508" s="144"/>
    </row>
    <row r="509" ht="18.75" customHeight="1">
      <c r="A509" s="64"/>
      <c r="B509" s="64"/>
      <c r="D509" s="144"/>
      <c r="J509" s="144"/>
    </row>
    <row r="510" ht="18.75" customHeight="1">
      <c r="A510" s="64"/>
      <c r="B510" s="64"/>
      <c r="D510" s="144"/>
      <c r="J510" s="144"/>
    </row>
    <row r="511" ht="18.75" customHeight="1">
      <c r="A511" s="64"/>
      <c r="B511" s="64"/>
      <c r="D511" s="144"/>
      <c r="J511" s="144"/>
    </row>
    <row r="512" ht="18.75" customHeight="1">
      <c r="A512" s="64"/>
      <c r="B512" s="64"/>
      <c r="D512" s="144"/>
      <c r="J512" s="144"/>
    </row>
    <row r="513" ht="18.75" customHeight="1">
      <c r="A513" s="64"/>
      <c r="B513" s="64"/>
      <c r="D513" s="144"/>
      <c r="J513" s="144"/>
    </row>
    <row r="514" ht="18.75" customHeight="1">
      <c r="A514" s="64"/>
      <c r="B514" s="64"/>
      <c r="D514" s="144"/>
      <c r="J514" s="144"/>
    </row>
    <row r="515" ht="18.75" customHeight="1">
      <c r="A515" s="64"/>
      <c r="B515" s="64"/>
      <c r="D515" s="144"/>
      <c r="J515" s="144"/>
    </row>
    <row r="516" ht="18.75" customHeight="1">
      <c r="A516" s="64"/>
      <c r="B516" s="64"/>
      <c r="D516" s="144"/>
      <c r="J516" s="144"/>
    </row>
    <row r="517" ht="18.75" customHeight="1">
      <c r="A517" s="64"/>
      <c r="B517" s="64"/>
      <c r="D517" s="144"/>
      <c r="J517" s="144"/>
    </row>
    <row r="518" ht="18.75" customHeight="1">
      <c r="A518" s="64"/>
      <c r="B518" s="64"/>
      <c r="D518" s="144"/>
      <c r="J518" s="144"/>
    </row>
    <row r="519" ht="18.75" customHeight="1">
      <c r="A519" s="64"/>
      <c r="B519" s="64"/>
      <c r="D519" s="144"/>
      <c r="J519" s="144"/>
    </row>
    <row r="520" ht="18.75" customHeight="1">
      <c r="A520" s="64"/>
      <c r="B520" s="64"/>
      <c r="D520" s="144"/>
      <c r="J520" s="144"/>
    </row>
    <row r="521" ht="18.75" customHeight="1">
      <c r="A521" s="64"/>
      <c r="B521" s="64"/>
      <c r="D521" s="144"/>
      <c r="J521" s="144"/>
    </row>
    <row r="522" ht="18.75" customHeight="1">
      <c r="A522" s="64"/>
      <c r="B522" s="64"/>
      <c r="D522" s="144"/>
      <c r="J522" s="144"/>
    </row>
    <row r="523" ht="18.75" customHeight="1">
      <c r="A523" s="64"/>
      <c r="B523" s="64"/>
      <c r="D523" s="144"/>
      <c r="J523" s="144"/>
    </row>
    <row r="524" ht="18.75" customHeight="1">
      <c r="A524" s="64"/>
      <c r="B524" s="64"/>
      <c r="D524" s="144"/>
      <c r="J524" s="144"/>
    </row>
    <row r="525" ht="18.75" customHeight="1">
      <c r="A525" s="64"/>
      <c r="B525" s="64"/>
      <c r="D525" s="144"/>
      <c r="J525" s="144"/>
    </row>
    <row r="526" ht="18.75" customHeight="1">
      <c r="A526" s="64"/>
      <c r="B526" s="64"/>
      <c r="D526" s="144"/>
      <c r="J526" s="144"/>
    </row>
    <row r="527" ht="18.75" customHeight="1">
      <c r="A527" s="64"/>
      <c r="B527" s="64"/>
      <c r="D527" s="144"/>
      <c r="J527" s="144"/>
    </row>
    <row r="528" ht="18.75" customHeight="1">
      <c r="A528" s="64"/>
      <c r="B528" s="64"/>
      <c r="D528" s="144"/>
      <c r="J528" s="144"/>
    </row>
    <row r="529" ht="18.75" customHeight="1">
      <c r="A529" s="64"/>
      <c r="B529" s="64"/>
      <c r="D529" s="144"/>
      <c r="J529" s="144"/>
    </row>
    <row r="530" ht="18.75" customHeight="1">
      <c r="A530" s="64"/>
      <c r="B530" s="64"/>
      <c r="D530" s="144"/>
      <c r="J530" s="144"/>
    </row>
    <row r="531" ht="18.75" customHeight="1">
      <c r="A531" s="64"/>
      <c r="B531" s="64"/>
      <c r="D531" s="144"/>
      <c r="J531" s="144"/>
    </row>
    <row r="532" ht="18.75" customHeight="1">
      <c r="A532" s="64"/>
      <c r="B532" s="64"/>
      <c r="D532" s="144"/>
      <c r="J532" s="144"/>
    </row>
    <row r="533" ht="18.75" customHeight="1">
      <c r="A533" s="64"/>
      <c r="B533" s="64"/>
      <c r="D533" s="144"/>
      <c r="J533" s="144"/>
    </row>
    <row r="534" ht="18.75" customHeight="1">
      <c r="A534" s="64"/>
      <c r="B534" s="64"/>
      <c r="D534" s="144"/>
      <c r="J534" s="144"/>
    </row>
    <row r="535" ht="18.75" customHeight="1">
      <c r="A535" s="64"/>
      <c r="B535" s="64"/>
      <c r="D535" s="144"/>
      <c r="J535" s="144"/>
    </row>
    <row r="536" ht="18.75" customHeight="1">
      <c r="A536" s="64"/>
      <c r="B536" s="64"/>
      <c r="D536" s="144"/>
      <c r="J536" s="144"/>
    </row>
    <row r="537" ht="18.75" customHeight="1">
      <c r="A537" s="64"/>
      <c r="B537" s="64"/>
      <c r="D537" s="144"/>
      <c r="J537" s="144"/>
    </row>
    <row r="538" ht="18.75" customHeight="1">
      <c r="A538" s="64"/>
      <c r="B538" s="64"/>
      <c r="D538" s="144"/>
      <c r="J538" s="144"/>
    </row>
    <row r="539" ht="18.75" customHeight="1">
      <c r="A539" s="64"/>
      <c r="B539" s="64"/>
      <c r="D539" s="144"/>
      <c r="J539" s="144"/>
    </row>
    <row r="540" ht="18.75" customHeight="1">
      <c r="A540" s="64"/>
      <c r="B540" s="64"/>
      <c r="D540" s="144"/>
      <c r="J540" s="144"/>
    </row>
    <row r="541" ht="18.75" customHeight="1">
      <c r="A541" s="64"/>
      <c r="B541" s="64"/>
      <c r="D541" s="144"/>
      <c r="J541" s="144"/>
    </row>
    <row r="542" ht="18.75" customHeight="1">
      <c r="A542" s="64"/>
      <c r="B542" s="64"/>
      <c r="D542" s="144"/>
      <c r="J542" s="144"/>
    </row>
    <row r="543" ht="18.75" customHeight="1">
      <c r="A543" s="64"/>
      <c r="B543" s="64"/>
      <c r="D543" s="144"/>
      <c r="J543" s="144"/>
    </row>
    <row r="544" ht="18.75" customHeight="1">
      <c r="A544" s="64"/>
      <c r="B544" s="64"/>
      <c r="D544" s="144"/>
      <c r="J544" s="144"/>
    </row>
    <row r="545" ht="18.75" customHeight="1">
      <c r="A545" s="64"/>
      <c r="B545" s="64"/>
      <c r="D545" s="144"/>
      <c r="J545" s="144"/>
    </row>
    <row r="546" ht="18.75" customHeight="1">
      <c r="A546" s="64"/>
      <c r="B546" s="64"/>
      <c r="D546" s="144"/>
      <c r="J546" s="144"/>
    </row>
    <row r="547" ht="18.75" customHeight="1">
      <c r="A547" s="64"/>
      <c r="B547" s="64"/>
      <c r="D547" s="144"/>
      <c r="J547" s="144"/>
    </row>
    <row r="548" ht="18.75" customHeight="1">
      <c r="A548" s="64"/>
      <c r="B548" s="64"/>
      <c r="D548" s="144"/>
      <c r="J548" s="144"/>
    </row>
    <row r="549" ht="18.75" customHeight="1">
      <c r="A549" s="64"/>
      <c r="B549" s="64"/>
      <c r="D549" s="144"/>
      <c r="J549" s="144"/>
    </row>
    <row r="550" ht="18.75" customHeight="1">
      <c r="A550" s="64"/>
      <c r="B550" s="64"/>
      <c r="D550" s="144"/>
      <c r="J550" s="144"/>
    </row>
    <row r="551" ht="18.75" customHeight="1">
      <c r="A551" s="64"/>
      <c r="B551" s="64"/>
      <c r="D551" s="144"/>
      <c r="J551" s="144"/>
    </row>
    <row r="552" ht="18.75" customHeight="1">
      <c r="A552" s="64"/>
      <c r="B552" s="64"/>
      <c r="D552" s="144"/>
      <c r="J552" s="144"/>
    </row>
    <row r="553" ht="18.75" customHeight="1">
      <c r="A553" s="64"/>
      <c r="B553" s="64"/>
      <c r="D553" s="144"/>
      <c r="J553" s="144"/>
    </row>
    <row r="554" ht="18.75" customHeight="1">
      <c r="A554" s="64"/>
      <c r="B554" s="64"/>
      <c r="D554" s="144"/>
      <c r="J554" s="144"/>
    </row>
    <row r="555" ht="18.75" customHeight="1">
      <c r="A555" s="64"/>
      <c r="B555" s="64"/>
      <c r="D555" s="144"/>
      <c r="J555" s="144"/>
    </row>
    <row r="556" ht="18.75" customHeight="1">
      <c r="A556" s="64"/>
      <c r="B556" s="64"/>
      <c r="D556" s="144"/>
      <c r="J556" s="144"/>
    </row>
    <row r="557" ht="18.75" customHeight="1">
      <c r="A557" s="64"/>
      <c r="B557" s="64"/>
      <c r="D557" s="144"/>
      <c r="J557" s="144"/>
    </row>
    <row r="558" ht="18.75" customHeight="1">
      <c r="A558" s="64"/>
      <c r="B558" s="64"/>
      <c r="D558" s="144"/>
      <c r="J558" s="144"/>
    </row>
    <row r="559" ht="18.75" customHeight="1">
      <c r="A559" s="64"/>
      <c r="B559" s="64"/>
      <c r="D559" s="144"/>
      <c r="J559" s="144"/>
    </row>
    <row r="560" ht="18.75" customHeight="1">
      <c r="A560" s="64"/>
      <c r="B560" s="64"/>
      <c r="D560" s="144"/>
      <c r="J560" s="144"/>
    </row>
    <row r="561" ht="18.75" customHeight="1">
      <c r="A561" s="64"/>
      <c r="B561" s="64"/>
      <c r="D561" s="144"/>
      <c r="J561" s="144"/>
    </row>
    <row r="562" ht="18.75" customHeight="1">
      <c r="A562" s="64"/>
      <c r="B562" s="64"/>
      <c r="D562" s="144"/>
      <c r="J562" s="144"/>
    </row>
    <row r="563" ht="18.75" customHeight="1">
      <c r="A563" s="64"/>
      <c r="B563" s="64"/>
      <c r="D563" s="144"/>
      <c r="J563" s="144"/>
    </row>
    <row r="564" ht="18.75" customHeight="1">
      <c r="A564" s="64"/>
      <c r="B564" s="64"/>
      <c r="D564" s="144"/>
      <c r="J564" s="144"/>
    </row>
    <row r="565" ht="18.75" customHeight="1">
      <c r="A565" s="64"/>
      <c r="B565" s="64"/>
      <c r="D565" s="144"/>
      <c r="J565" s="144"/>
    </row>
    <row r="566" ht="18.75" customHeight="1">
      <c r="A566" s="64"/>
      <c r="B566" s="64"/>
      <c r="D566" s="144"/>
      <c r="J566" s="144"/>
    </row>
    <row r="567" ht="18.75" customHeight="1">
      <c r="A567" s="64"/>
      <c r="B567" s="64"/>
      <c r="D567" s="144"/>
      <c r="J567" s="144"/>
    </row>
    <row r="568" ht="18.75" customHeight="1">
      <c r="A568" s="64"/>
      <c r="B568" s="64"/>
      <c r="D568" s="144"/>
      <c r="J568" s="144"/>
    </row>
    <row r="569" ht="18.75" customHeight="1">
      <c r="A569" s="64"/>
      <c r="B569" s="64"/>
      <c r="D569" s="144"/>
      <c r="J569" s="144"/>
    </row>
    <row r="570" ht="18.75" customHeight="1">
      <c r="A570" s="64"/>
      <c r="B570" s="64"/>
      <c r="D570" s="144"/>
      <c r="J570" s="144"/>
    </row>
    <row r="571" ht="18.75" customHeight="1">
      <c r="A571" s="64"/>
      <c r="B571" s="64"/>
      <c r="D571" s="144"/>
      <c r="J571" s="144"/>
    </row>
    <row r="572" ht="18.75" customHeight="1">
      <c r="A572" s="64"/>
      <c r="B572" s="64"/>
      <c r="D572" s="144"/>
      <c r="J572" s="144"/>
    </row>
    <row r="573" ht="18.75" customHeight="1">
      <c r="A573" s="64"/>
      <c r="B573" s="64"/>
      <c r="D573" s="144"/>
      <c r="J573" s="144"/>
    </row>
    <row r="574" ht="18.75" customHeight="1">
      <c r="A574" s="64"/>
      <c r="B574" s="64"/>
      <c r="D574" s="144"/>
      <c r="J574" s="144"/>
    </row>
    <row r="575" ht="18.75" customHeight="1">
      <c r="A575" s="64"/>
      <c r="B575" s="64"/>
      <c r="D575" s="144"/>
      <c r="J575" s="144"/>
    </row>
    <row r="576" ht="18.75" customHeight="1">
      <c r="A576" s="64"/>
      <c r="B576" s="64"/>
      <c r="D576" s="144"/>
      <c r="J576" s="144"/>
    </row>
    <row r="577" ht="18.75" customHeight="1">
      <c r="A577" s="64"/>
      <c r="B577" s="64"/>
      <c r="D577" s="144"/>
      <c r="J577" s="144"/>
    </row>
    <row r="578" ht="18.75" customHeight="1">
      <c r="A578" s="64"/>
      <c r="B578" s="64"/>
      <c r="D578" s="144"/>
      <c r="J578" s="144"/>
    </row>
    <row r="579" ht="18.75" customHeight="1">
      <c r="A579" s="64"/>
      <c r="B579" s="64"/>
      <c r="D579" s="144"/>
      <c r="J579" s="144"/>
    </row>
    <row r="580" ht="18.75" customHeight="1">
      <c r="A580" s="64"/>
      <c r="B580" s="64"/>
      <c r="D580" s="144"/>
      <c r="J580" s="144"/>
    </row>
    <row r="581" ht="18.75" customHeight="1">
      <c r="A581" s="64"/>
      <c r="B581" s="64"/>
      <c r="D581" s="144"/>
      <c r="J581" s="144"/>
    </row>
    <row r="582" ht="18.75" customHeight="1">
      <c r="A582" s="64"/>
      <c r="B582" s="64"/>
      <c r="D582" s="144"/>
      <c r="J582" s="144"/>
    </row>
    <row r="583" ht="18.75" customHeight="1">
      <c r="A583" s="64"/>
      <c r="B583" s="64"/>
      <c r="D583" s="144"/>
      <c r="J583" s="144"/>
    </row>
    <row r="584" ht="18.75" customHeight="1">
      <c r="A584" s="64"/>
      <c r="B584" s="64"/>
      <c r="D584" s="144"/>
      <c r="J584" s="144"/>
    </row>
    <row r="585" ht="18.75" customHeight="1">
      <c r="A585" s="64"/>
      <c r="B585" s="64"/>
      <c r="D585" s="144"/>
      <c r="J585" s="144"/>
    </row>
    <row r="586" ht="18.75" customHeight="1">
      <c r="A586" s="64"/>
      <c r="B586" s="64"/>
      <c r="D586" s="144"/>
      <c r="J586" s="144"/>
    </row>
    <row r="587" ht="18.75" customHeight="1">
      <c r="A587" s="64"/>
      <c r="B587" s="64"/>
      <c r="D587" s="144"/>
      <c r="J587" s="144"/>
    </row>
    <row r="588" ht="18.75" customHeight="1">
      <c r="A588" s="64"/>
      <c r="B588" s="64"/>
      <c r="D588" s="144"/>
      <c r="J588" s="144"/>
    </row>
    <row r="589" ht="18.75" customHeight="1">
      <c r="A589" s="64"/>
      <c r="B589" s="64"/>
      <c r="D589" s="144"/>
      <c r="J589" s="144"/>
    </row>
    <row r="590" ht="18.75" customHeight="1">
      <c r="A590" s="64"/>
      <c r="B590" s="64"/>
      <c r="D590" s="144"/>
      <c r="J590" s="144"/>
    </row>
    <row r="591" ht="18.75" customHeight="1">
      <c r="A591" s="64"/>
      <c r="B591" s="64"/>
      <c r="D591" s="144"/>
      <c r="J591" s="144"/>
    </row>
    <row r="592" ht="18.75" customHeight="1">
      <c r="A592" s="64"/>
      <c r="B592" s="64"/>
      <c r="D592" s="144"/>
      <c r="J592" s="144"/>
    </row>
    <row r="593" ht="18.75" customHeight="1">
      <c r="A593" s="64"/>
      <c r="B593" s="64"/>
      <c r="D593" s="144"/>
      <c r="J593" s="144"/>
    </row>
    <row r="594" ht="18.75" customHeight="1">
      <c r="A594" s="64"/>
      <c r="B594" s="64"/>
      <c r="D594" s="144"/>
      <c r="J594" s="144"/>
    </row>
    <row r="595" ht="18.75" customHeight="1">
      <c r="A595" s="64"/>
      <c r="B595" s="64"/>
      <c r="D595" s="144"/>
      <c r="J595" s="144"/>
    </row>
    <row r="596" ht="18.75" customHeight="1">
      <c r="A596" s="64"/>
      <c r="B596" s="64"/>
      <c r="D596" s="144"/>
      <c r="J596" s="144"/>
    </row>
    <row r="597" ht="18.75" customHeight="1">
      <c r="A597" s="64"/>
      <c r="B597" s="64"/>
      <c r="D597" s="144"/>
      <c r="J597" s="144"/>
    </row>
    <row r="598" ht="18.75" customHeight="1">
      <c r="A598" s="64"/>
      <c r="B598" s="64"/>
      <c r="D598" s="144"/>
      <c r="J598" s="144"/>
    </row>
    <row r="599" ht="18.75" customHeight="1">
      <c r="A599" s="64"/>
      <c r="B599" s="64"/>
      <c r="D599" s="144"/>
      <c r="J599" s="144"/>
    </row>
    <row r="600" ht="18.75" customHeight="1">
      <c r="A600" s="64"/>
      <c r="B600" s="64"/>
      <c r="D600" s="144"/>
      <c r="J600" s="144"/>
    </row>
    <row r="601" ht="18.75" customHeight="1">
      <c r="A601" s="64"/>
      <c r="B601" s="64"/>
      <c r="D601" s="144"/>
      <c r="J601" s="144"/>
    </row>
    <row r="602" ht="18.75" customHeight="1">
      <c r="A602" s="64"/>
      <c r="B602" s="64"/>
      <c r="D602" s="144"/>
      <c r="J602" s="144"/>
    </row>
    <row r="603" ht="18.75" customHeight="1">
      <c r="A603" s="64"/>
      <c r="B603" s="64"/>
      <c r="D603" s="144"/>
      <c r="J603" s="144"/>
    </row>
    <row r="604" ht="18.75" customHeight="1">
      <c r="A604" s="64"/>
      <c r="B604" s="64"/>
      <c r="D604" s="144"/>
      <c r="J604" s="144"/>
    </row>
    <row r="605" ht="18.75" customHeight="1">
      <c r="A605" s="64"/>
      <c r="B605" s="64"/>
      <c r="D605" s="144"/>
      <c r="J605" s="144"/>
    </row>
    <row r="606" ht="18.75" customHeight="1">
      <c r="A606" s="64"/>
      <c r="B606" s="64"/>
      <c r="D606" s="144"/>
      <c r="J606" s="144"/>
    </row>
    <row r="607" ht="18.75" customHeight="1">
      <c r="A607" s="64"/>
      <c r="B607" s="64"/>
      <c r="D607" s="144"/>
      <c r="J607" s="144"/>
    </row>
    <row r="608" ht="18.75" customHeight="1">
      <c r="A608" s="64"/>
      <c r="B608" s="64"/>
      <c r="D608" s="144"/>
      <c r="J608" s="144"/>
    </row>
    <row r="609" ht="18.75" customHeight="1">
      <c r="A609" s="64"/>
      <c r="B609" s="64"/>
      <c r="D609" s="144"/>
      <c r="J609" s="144"/>
    </row>
    <row r="610" ht="18.75" customHeight="1">
      <c r="A610" s="64"/>
      <c r="B610" s="64"/>
      <c r="D610" s="144"/>
      <c r="J610" s="144"/>
    </row>
    <row r="611" ht="18.75" customHeight="1">
      <c r="A611" s="64"/>
      <c r="B611" s="64"/>
      <c r="D611" s="144"/>
      <c r="J611" s="144"/>
    </row>
    <row r="612" ht="18.75" customHeight="1">
      <c r="A612" s="64"/>
      <c r="B612" s="64"/>
      <c r="D612" s="144"/>
      <c r="J612" s="144"/>
    </row>
    <row r="613" ht="18.75" customHeight="1">
      <c r="A613" s="64"/>
      <c r="B613" s="64"/>
      <c r="D613" s="144"/>
      <c r="J613" s="144"/>
    </row>
    <row r="614" ht="18.75" customHeight="1">
      <c r="A614" s="64"/>
      <c r="B614" s="64"/>
      <c r="D614" s="144"/>
      <c r="J614" s="144"/>
    </row>
    <row r="615" ht="18.75" customHeight="1">
      <c r="A615" s="64"/>
      <c r="B615" s="64"/>
      <c r="D615" s="144"/>
      <c r="J615" s="144"/>
    </row>
    <row r="616" ht="18.75" customHeight="1">
      <c r="A616" s="64"/>
      <c r="B616" s="64"/>
      <c r="D616" s="144"/>
      <c r="J616" s="144"/>
    </row>
    <row r="617" ht="18.75" customHeight="1">
      <c r="A617" s="64"/>
      <c r="B617" s="64"/>
      <c r="D617" s="144"/>
      <c r="J617" s="144"/>
    </row>
    <row r="618" ht="18.75" customHeight="1">
      <c r="A618" s="64"/>
      <c r="B618" s="64"/>
      <c r="D618" s="144"/>
      <c r="J618" s="144"/>
    </row>
    <row r="619" ht="18.75" customHeight="1">
      <c r="A619" s="64"/>
      <c r="B619" s="64"/>
      <c r="D619" s="144"/>
      <c r="J619" s="144"/>
    </row>
    <row r="620" ht="18.75" customHeight="1">
      <c r="A620" s="64"/>
      <c r="B620" s="64"/>
      <c r="D620" s="144"/>
      <c r="J620" s="144"/>
    </row>
    <row r="621" ht="18.75" customHeight="1">
      <c r="A621" s="64"/>
      <c r="B621" s="64"/>
      <c r="D621" s="144"/>
      <c r="J621" s="144"/>
    </row>
    <row r="622" ht="18.75" customHeight="1">
      <c r="A622" s="64"/>
      <c r="B622" s="64"/>
      <c r="D622" s="144"/>
      <c r="J622" s="144"/>
    </row>
    <row r="623" ht="18.75" customHeight="1">
      <c r="A623" s="64"/>
      <c r="B623" s="64"/>
      <c r="D623" s="144"/>
      <c r="J623" s="144"/>
    </row>
    <row r="624" ht="18.75" customHeight="1">
      <c r="A624" s="64"/>
      <c r="B624" s="64"/>
      <c r="D624" s="144"/>
      <c r="J624" s="144"/>
    </row>
    <row r="625" ht="18.75" customHeight="1">
      <c r="A625" s="64"/>
      <c r="B625" s="64"/>
      <c r="D625" s="144"/>
      <c r="J625" s="144"/>
    </row>
    <row r="626" ht="18.75" customHeight="1">
      <c r="A626" s="64"/>
      <c r="B626" s="64"/>
      <c r="D626" s="144"/>
      <c r="J626" s="144"/>
    </row>
    <row r="627" ht="18.75" customHeight="1">
      <c r="A627" s="64"/>
      <c r="B627" s="64"/>
      <c r="D627" s="144"/>
      <c r="J627" s="144"/>
    </row>
    <row r="628" ht="18.75" customHeight="1">
      <c r="A628" s="64"/>
      <c r="B628" s="64"/>
      <c r="D628" s="144"/>
      <c r="J628" s="144"/>
    </row>
    <row r="629" ht="18.75" customHeight="1">
      <c r="A629" s="64"/>
      <c r="B629" s="64"/>
      <c r="D629" s="144"/>
      <c r="J629" s="144"/>
    </row>
    <row r="630" ht="18.75" customHeight="1">
      <c r="A630" s="64"/>
      <c r="B630" s="64"/>
      <c r="D630" s="144"/>
      <c r="J630" s="144"/>
    </row>
    <row r="631" ht="18.75" customHeight="1">
      <c r="A631" s="64"/>
      <c r="B631" s="64"/>
      <c r="D631" s="144"/>
      <c r="J631" s="144"/>
    </row>
    <row r="632" ht="18.75" customHeight="1">
      <c r="A632" s="64"/>
      <c r="B632" s="64"/>
      <c r="D632" s="144"/>
      <c r="J632" s="144"/>
    </row>
    <row r="633" ht="18.75" customHeight="1">
      <c r="A633" s="64"/>
      <c r="B633" s="64"/>
      <c r="D633" s="144"/>
      <c r="J633" s="144"/>
    </row>
    <row r="634" ht="18.75" customHeight="1">
      <c r="A634" s="64"/>
      <c r="B634" s="64"/>
      <c r="D634" s="144"/>
      <c r="J634" s="144"/>
    </row>
    <row r="635" ht="18.75" customHeight="1">
      <c r="A635" s="64"/>
      <c r="B635" s="64"/>
      <c r="D635" s="144"/>
      <c r="J635" s="144"/>
    </row>
    <row r="636" ht="18.75" customHeight="1">
      <c r="A636" s="64"/>
      <c r="B636" s="64"/>
      <c r="D636" s="144"/>
      <c r="J636" s="144"/>
    </row>
    <row r="637" ht="18.75" customHeight="1">
      <c r="A637" s="64"/>
      <c r="B637" s="64"/>
      <c r="D637" s="144"/>
      <c r="J637" s="144"/>
    </row>
    <row r="638" ht="18.75" customHeight="1">
      <c r="A638" s="64"/>
      <c r="B638" s="64"/>
      <c r="D638" s="144"/>
      <c r="J638" s="144"/>
    </row>
    <row r="639" ht="18.75" customHeight="1">
      <c r="A639" s="64"/>
      <c r="B639" s="64"/>
      <c r="D639" s="144"/>
      <c r="J639" s="144"/>
    </row>
    <row r="640" ht="18.75" customHeight="1">
      <c r="A640" s="64"/>
      <c r="B640" s="64"/>
      <c r="D640" s="144"/>
      <c r="J640" s="144"/>
    </row>
    <row r="641" ht="18.75" customHeight="1">
      <c r="A641" s="64"/>
      <c r="B641" s="64"/>
      <c r="D641" s="144"/>
      <c r="J641" s="144"/>
    </row>
    <row r="642" ht="18.75" customHeight="1">
      <c r="A642" s="64"/>
      <c r="B642" s="64"/>
      <c r="D642" s="144"/>
      <c r="J642" s="144"/>
    </row>
    <row r="643" ht="18.75" customHeight="1">
      <c r="A643" s="64"/>
      <c r="B643" s="64"/>
      <c r="D643" s="144"/>
      <c r="J643" s="144"/>
    </row>
    <row r="644" ht="18.75" customHeight="1">
      <c r="A644" s="64"/>
      <c r="B644" s="64"/>
      <c r="D644" s="144"/>
      <c r="J644" s="144"/>
    </row>
    <row r="645" ht="18.75" customHeight="1">
      <c r="A645" s="64"/>
      <c r="B645" s="64"/>
      <c r="D645" s="144"/>
      <c r="J645" s="144"/>
    </row>
    <row r="646" ht="18.75" customHeight="1">
      <c r="A646" s="64"/>
      <c r="B646" s="64"/>
      <c r="D646" s="144"/>
      <c r="J646" s="144"/>
    </row>
    <row r="647" ht="18.75" customHeight="1">
      <c r="A647" s="64"/>
      <c r="B647" s="64"/>
      <c r="D647" s="144"/>
      <c r="J647" s="144"/>
    </row>
    <row r="648" ht="18.75" customHeight="1">
      <c r="A648" s="64"/>
      <c r="B648" s="64"/>
      <c r="D648" s="144"/>
      <c r="J648" s="144"/>
    </row>
    <row r="649" ht="18.75" customHeight="1">
      <c r="A649" s="64"/>
      <c r="B649" s="64"/>
      <c r="D649" s="144"/>
      <c r="J649" s="144"/>
    </row>
    <row r="650" ht="18.75" customHeight="1">
      <c r="A650" s="64"/>
      <c r="B650" s="64"/>
      <c r="D650" s="144"/>
      <c r="J650" s="144"/>
    </row>
    <row r="651" ht="18.75" customHeight="1">
      <c r="A651" s="64"/>
      <c r="B651" s="64"/>
      <c r="D651" s="144"/>
      <c r="J651" s="144"/>
    </row>
    <row r="652" ht="18.75" customHeight="1">
      <c r="A652" s="64"/>
      <c r="B652" s="64"/>
      <c r="D652" s="144"/>
      <c r="J652" s="144"/>
    </row>
    <row r="653" ht="18.75" customHeight="1">
      <c r="A653" s="64"/>
      <c r="B653" s="64"/>
      <c r="D653" s="144"/>
      <c r="J653" s="144"/>
    </row>
    <row r="654" ht="18.75" customHeight="1">
      <c r="A654" s="64"/>
      <c r="B654" s="64"/>
      <c r="D654" s="144"/>
      <c r="J654" s="144"/>
    </row>
    <row r="655" ht="18.75" customHeight="1">
      <c r="A655" s="64"/>
      <c r="B655" s="64"/>
      <c r="D655" s="144"/>
      <c r="J655" s="144"/>
    </row>
    <row r="656" ht="18.75" customHeight="1">
      <c r="A656" s="64"/>
      <c r="B656" s="64"/>
      <c r="D656" s="144"/>
      <c r="J656" s="144"/>
    </row>
    <row r="657" ht="18.75" customHeight="1">
      <c r="A657" s="64"/>
      <c r="B657" s="64"/>
      <c r="D657" s="144"/>
      <c r="J657" s="144"/>
    </row>
    <row r="658" ht="18.75" customHeight="1">
      <c r="A658" s="64"/>
      <c r="B658" s="64"/>
      <c r="D658" s="144"/>
      <c r="J658" s="144"/>
    </row>
    <row r="659" ht="18.75" customHeight="1">
      <c r="A659" s="64"/>
      <c r="B659" s="64"/>
      <c r="D659" s="144"/>
      <c r="J659" s="144"/>
    </row>
    <row r="660" ht="18.75" customHeight="1">
      <c r="A660" s="64"/>
      <c r="B660" s="64"/>
      <c r="D660" s="144"/>
      <c r="J660" s="144"/>
    </row>
    <row r="661" ht="18.75" customHeight="1">
      <c r="A661" s="64"/>
      <c r="B661" s="64"/>
      <c r="D661" s="144"/>
      <c r="J661" s="144"/>
    </row>
    <row r="662" ht="18.75" customHeight="1">
      <c r="A662" s="64"/>
      <c r="B662" s="64"/>
      <c r="D662" s="144"/>
      <c r="J662" s="144"/>
    </row>
    <row r="663" ht="18.75" customHeight="1">
      <c r="A663" s="64"/>
      <c r="B663" s="64"/>
      <c r="D663" s="144"/>
      <c r="J663" s="144"/>
    </row>
    <row r="664" ht="18.75" customHeight="1">
      <c r="A664" s="64"/>
      <c r="B664" s="64"/>
      <c r="D664" s="144"/>
      <c r="J664" s="144"/>
    </row>
    <row r="665" ht="18.75" customHeight="1">
      <c r="A665" s="64"/>
      <c r="B665" s="64"/>
      <c r="D665" s="144"/>
      <c r="J665" s="144"/>
    </row>
    <row r="666" ht="18.75" customHeight="1">
      <c r="A666" s="64"/>
      <c r="B666" s="64"/>
      <c r="D666" s="144"/>
      <c r="J666" s="144"/>
    </row>
    <row r="667" ht="18.75" customHeight="1">
      <c r="A667" s="64"/>
      <c r="B667" s="64"/>
      <c r="D667" s="144"/>
      <c r="J667" s="144"/>
    </row>
    <row r="668" ht="18.75" customHeight="1">
      <c r="A668" s="64"/>
      <c r="B668" s="64"/>
      <c r="D668" s="144"/>
      <c r="J668" s="144"/>
    </row>
    <row r="669" ht="18.75" customHeight="1">
      <c r="A669" s="64"/>
      <c r="B669" s="64"/>
      <c r="D669" s="144"/>
      <c r="J669" s="144"/>
    </row>
    <row r="670" ht="18.75" customHeight="1">
      <c r="A670" s="64"/>
      <c r="B670" s="64"/>
      <c r="D670" s="144"/>
      <c r="J670" s="144"/>
    </row>
    <row r="671" ht="18.75" customHeight="1">
      <c r="A671" s="64"/>
      <c r="B671" s="64"/>
      <c r="D671" s="144"/>
      <c r="J671" s="144"/>
    </row>
    <row r="672" ht="18.75" customHeight="1">
      <c r="A672" s="64"/>
      <c r="B672" s="64"/>
      <c r="D672" s="144"/>
      <c r="J672" s="144"/>
    </row>
    <row r="673" ht="18.75" customHeight="1">
      <c r="A673" s="64"/>
      <c r="B673" s="64"/>
      <c r="D673" s="144"/>
      <c r="J673" s="144"/>
    </row>
    <row r="674" ht="18.75" customHeight="1">
      <c r="A674" s="64"/>
      <c r="B674" s="64"/>
      <c r="D674" s="144"/>
      <c r="J674" s="144"/>
    </row>
    <row r="675" ht="18.75" customHeight="1">
      <c r="A675" s="64"/>
      <c r="B675" s="64"/>
      <c r="D675" s="144"/>
      <c r="J675" s="144"/>
    </row>
    <row r="676" ht="18.75" customHeight="1">
      <c r="A676" s="64"/>
      <c r="B676" s="64"/>
      <c r="D676" s="144"/>
      <c r="J676" s="144"/>
    </row>
    <row r="677" ht="18.75" customHeight="1">
      <c r="A677" s="64"/>
      <c r="B677" s="64"/>
      <c r="D677" s="144"/>
      <c r="J677" s="144"/>
    </row>
    <row r="678" ht="18.75" customHeight="1">
      <c r="A678" s="64"/>
      <c r="B678" s="64"/>
      <c r="D678" s="144"/>
      <c r="J678" s="144"/>
    </row>
    <row r="679" ht="18.75" customHeight="1">
      <c r="A679" s="64"/>
      <c r="B679" s="64"/>
      <c r="D679" s="144"/>
      <c r="J679" s="144"/>
    </row>
    <row r="680" ht="18.75" customHeight="1">
      <c r="A680" s="64"/>
      <c r="B680" s="64"/>
      <c r="D680" s="144"/>
      <c r="J680" s="144"/>
    </row>
    <row r="681" ht="18.75" customHeight="1">
      <c r="A681" s="64"/>
      <c r="B681" s="64"/>
      <c r="D681" s="144"/>
      <c r="J681" s="144"/>
    </row>
    <row r="682" ht="18.75" customHeight="1">
      <c r="A682" s="64"/>
      <c r="B682" s="64"/>
      <c r="D682" s="144"/>
      <c r="J682" s="144"/>
    </row>
    <row r="683" ht="18.75" customHeight="1">
      <c r="A683" s="64"/>
      <c r="B683" s="64"/>
      <c r="D683" s="144"/>
      <c r="J683" s="144"/>
    </row>
    <row r="684" ht="18.75" customHeight="1">
      <c r="A684" s="64"/>
      <c r="B684" s="64"/>
      <c r="D684" s="144"/>
      <c r="J684" s="144"/>
    </row>
    <row r="685" ht="18.75" customHeight="1">
      <c r="A685" s="64"/>
      <c r="B685" s="64"/>
      <c r="D685" s="144"/>
      <c r="J685" s="144"/>
    </row>
    <row r="686" ht="18.75" customHeight="1">
      <c r="A686" s="64"/>
      <c r="B686" s="64"/>
      <c r="D686" s="144"/>
      <c r="J686" s="144"/>
    </row>
    <row r="687" ht="18.75" customHeight="1">
      <c r="A687" s="64"/>
      <c r="B687" s="64"/>
      <c r="D687" s="144"/>
      <c r="J687" s="144"/>
    </row>
    <row r="688" ht="18.75" customHeight="1">
      <c r="A688" s="64"/>
      <c r="B688" s="64"/>
      <c r="D688" s="144"/>
      <c r="J688" s="144"/>
    </row>
    <row r="689" ht="18.75" customHeight="1">
      <c r="A689" s="64"/>
      <c r="B689" s="64"/>
      <c r="D689" s="144"/>
      <c r="J689" s="144"/>
    </row>
    <row r="690" ht="18.75" customHeight="1">
      <c r="A690" s="64"/>
      <c r="B690" s="64"/>
      <c r="D690" s="144"/>
      <c r="J690" s="144"/>
    </row>
    <row r="691" ht="18.75" customHeight="1">
      <c r="A691" s="64"/>
      <c r="B691" s="64"/>
      <c r="D691" s="144"/>
      <c r="J691" s="144"/>
    </row>
    <row r="692" ht="18.75" customHeight="1">
      <c r="A692" s="64"/>
      <c r="B692" s="64"/>
      <c r="D692" s="144"/>
      <c r="J692" s="144"/>
    </row>
    <row r="693" ht="18.75" customHeight="1">
      <c r="A693" s="64"/>
      <c r="B693" s="64"/>
      <c r="D693" s="144"/>
      <c r="J693" s="144"/>
    </row>
    <row r="694" ht="18.75" customHeight="1">
      <c r="A694" s="64"/>
      <c r="B694" s="64"/>
      <c r="D694" s="144"/>
      <c r="J694" s="144"/>
    </row>
    <row r="695" ht="18.75" customHeight="1">
      <c r="A695" s="64"/>
      <c r="B695" s="64"/>
      <c r="D695" s="144"/>
      <c r="J695" s="144"/>
    </row>
    <row r="696" ht="18.75" customHeight="1">
      <c r="A696" s="64"/>
      <c r="B696" s="64"/>
      <c r="D696" s="144"/>
      <c r="J696" s="144"/>
    </row>
    <row r="697" ht="18.75" customHeight="1">
      <c r="A697" s="64"/>
      <c r="B697" s="64"/>
      <c r="D697" s="144"/>
      <c r="J697" s="144"/>
    </row>
    <row r="698" ht="18.75" customHeight="1">
      <c r="A698" s="64"/>
      <c r="B698" s="64"/>
      <c r="D698" s="144"/>
      <c r="J698" s="144"/>
    </row>
    <row r="699" ht="18.75" customHeight="1">
      <c r="A699" s="64"/>
      <c r="B699" s="64"/>
      <c r="D699" s="144"/>
      <c r="J699" s="144"/>
    </row>
    <row r="700" ht="18.75" customHeight="1">
      <c r="A700" s="64"/>
      <c r="B700" s="64"/>
      <c r="D700" s="144"/>
      <c r="J700" s="144"/>
    </row>
    <row r="701" ht="18.75" customHeight="1">
      <c r="A701" s="64"/>
      <c r="B701" s="64"/>
      <c r="D701" s="144"/>
      <c r="J701" s="144"/>
    </row>
    <row r="702" ht="18.75" customHeight="1">
      <c r="A702" s="64"/>
      <c r="B702" s="64"/>
      <c r="D702" s="144"/>
      <c r="J702" s="144"/>
    </row>
    <row r="703" ht="18.75" customHeight="1">
      <c r="A703" s="64"/>
      <c r="B703" s="64"/>
      <c r="D703" s="144"/>
      <c r="J703" s="144"/>
    </row>
    <row r="704" ht="18.75" customHeight="1">
      <c r="A704" s="64"/>
      <c r="B704" s="64"/>
      <c r="D704" s="144"/>
      <c r="J704" s="144"/>
    </row>
    <row r="705" ht="18.75" customHeight="1">
      <c r="A705" s="64"/>
      <c r="B705" s="64"/>
      <c r="D705" s="144"/>
      <c r="J705" s="144"/>
    </row>
    <row r="706" ht="18.75" customHeight="1">
      <c r="A706" s="64"/>
      <c r="B706" s="64"/>
      <c r="D706" s="144"/>
      <c r="J706" s="144"/>
    </row>
    <row r="707" ht="18.75" customHeight="1">
      <c r="A707" s="64"/>
      <c r="B707" s="64"/>
      <c r="D707" s="144"/>
      <c r="J707" s="144"/>
    </row>
    <row r="708" ht="18.75" customHeight="1">
      <c r="A708" s="64"/>
      <c r="B708" s="64"/>
      <c r="D708" s="144"/>
      <c r="J708" s="144"/>
    </row>
    <row r="709" ht="18.75" customHeight="1">
      <c r="A709" s="64"/>
      <c r="B709" s="64"/>
      <c r="D709" s="144"/>
      <c r="J709" s="144"/>
    </row>
    <row r="710" ht="18.75" customHeight="1">
      <c r="A710" s="64"/>
      <c r="B710" s="64"/>
      <c r="D710" s="144"/>
      <c r="J710" s="144"/>
    </row>
    <row r="711" ht="18.75" customHeight="1">
      <c r="A711" s="64"/>
      <c r="B711" s="64"/>
      <c r="D711" s="144"/>
      <c r="J711" s="144"/>
    </row>
    <row r="712" ht="18.75" customHeight="1">
      <c r="A712" s="64"/>
      <c r="B712" s="64"/>
      <c r="D712" s="144"/>
      <c r="J712" s="144"/>
    </row>
    <row r="713" ht="18.75" customHeight="1">
      <c r="A713" s="64"/>
      <c r="B713" s="64"/>
      <c r="D713" s="144"/>
      <c r="J713" s="144"/>
    </row>
    <row r="714" ht="18.75" customHeight="1">
      <c r="A714" s="64"/>
      <c r="B714" s="64"/>
      <c r="D714" s="144"/>
      <c r="J714" s="144"/>
    </row>
    <row r="715" ht="18.75" customHeight="1">
      <c r="A715" s="64"/>
      <c r="B715" s="64"/>
      <c r="D715" s="144"/>
      <c r="J715" s="144"/>
    </row>
    <row r="716" ht="18.75" customHeight="1">
      <c r="A716" s="64"/>
      <c r="B716" s="64"/>
      <c r="D716" s="144"/>
      <c r="J716" s="144"/>
    </row>
    <row r="717" ht="18.75" customHeight="1">
      <c r="A717" s="64"/>
      <c r="B717" s="64"/>
      <c r="D717" s="144"/>
      <c r="J717" s="144"/>
    </row>
    <row r="718" ht="18.75" customHeight="1">
      <c r="A718" s="64"/>
      <c r="B718" s="64"/>
      <c r="D718" s="144"/>
      <c r="J718" s="144"/>
    </row>
    <row r="719" ht="18.75" customHeight="1">
      <c r="A719" s="64"/>
      <c r="B719" s="64"/>
      <c r="D719" s="144"/>
      <c r="J719" s="144"/>
    </row>
    <row r="720" ht="18.75" customHeight="1">
      <c r="A720" s="64"/>
      <c r="B720" s="64"/>
      <c r="D720" s="144"/>
      <c r="J720" s="144"/>
    </row>
    <row r="721" ht="18.75" customHeight="1">
      <c r="A721" s="64"/>
      <c r="B721" s="64"/>
      <c r="D721" s="144"/>
      <c r="J721" s="144"/>
    </row>
    <row r="722" ht="18.75" customHeight="1">
      <c r="A722" s="64"/>
      <c r="B722" s="64"/>
      <c r="D722" s="144"/>
      <c r="J722" s="144"/>
    </row>
    <row r="723" ht="18.75" customHeight="1">
      <c r="A723" s="64"/>
      <c r="B723" s="64"/>
      <c r="D723" s="144"/>
      <c r="J723" s="144"/>
    </row>
    <row r="724" ht="18.75" customHeight="1">
      <c r="A724" s="64"/>
      <c r="B724" s="64"/>
      <c r="D724" s="144"/>
      <c r="J724" s="144"/>
    </row>
    <row r="725" ht="18.75" customHeight="1">
      <c r="A725" s="64"/>
      <c r="B725" s="64"/>
      <c r="D725" s="144"/>
      <c r="J725" s="144"/>
    </row>
    <row r="726" ht="18.75" customHeight="1">
      <c r="A726" s="64"/>
      <c r="B726" s="64"/>
      <c r="D726" s="144"/>
      <c r="J726" s="144"/>
    </row>
    <row r="727" ht="18.75" customHeight="1">
      <c r="A727" s="64"/>
      <c r="B727" s="64"/>
      <c r="D727" s="144"/>
      <c r="J727" s="144"/>
    </row>
    <row r="728" ht="18.75" customHeight="1">
      <c r="A728" s="64"/>
      <c r="B728" s="64"/>
      <c r="D728" s="144"/>
      <c r="J728" s="144"/>
    </row>
    <row r="729" ht="18.75" customHeight="1">
      <c r="A729" s="64"/>
      <c r="B729" s="64"/>
      <c r="D729" s="144"/>
      <c r="J729" s="144"/>
    </row>
    <row r="730" ht="18.75" customHeight="1">
      <c r="A730" s="64"/>
      <c r="B730" s="64"/>
      <c r="D730" s="144"/>
      <c r="J730" s="144"/>
    </row>
    <row r="731" ht="18.75" customHeight="1">
      <c r="A731" s="64"/>
      <c r="B731" s="64"/>
      <c r="D731" s="144"/>
      <c r="J731" s="144"/>
    </row>
    <row r="732" ht="18.75" customHeight="1">
      <c r="A732" s="64"/>
      <c r="B732" s="64"/>
      <c r="D732" s="144"/>
      <c r="J732" s="144"/>
    </row>
    <row r="733" ht="18.75" customHeight="1">
      <c r="A733" s="64"/>
      <c r="B733" s="64"/>
      <c r="D733" s="144"/>
      <c r="J733" s="144"/>
    </row>
    <row r="734" ht="18.75" customHeight="1">
      <c r="A734" s="64"/>
      <c r="B734" s="64"/>
      <c r="D734" s="144"/>
      <c r="J734" s="144"/>
    </row>
    <row r="735" ht="18.75" customHeight="1">
      <c r="A735" s="64"/>
      <c r="B735" s="64"/>
      <c r="D735" s="144"/>
      <c r="J735" s="144"/>
    </row>
    <row r="736" ht="18.75" customHeight="1">
      <c r="A736" s="64"/>
      <c r="B736" s="64"/>
      <c r="D736" s="144"/>
      <c r="J736" s="144"/>
    </row>
    <row r="737" ht="18.75" customHeight="1">
      <c r="A737" s="64"/>
      <c r="B737" s="64"/>
      <c r="D737" s="144"/>
      <c r="J737" s="144"/>
    </row>
    <row r="738" ht="18.75" customHeight="1">
      <c r="A738" s="64"/>
      <c r="B738" s="64"/>
      <c r="D738" s="144"/>
      <c r="J738" s="144"/>
    </row>
    <row r="739" ht="18.75" customHeight="1">
      <c r="A739" s="64"/>
      <c r="B739" s="64"/>
      <c r="D739" s="144"/>
      <c r="J739" s="144"/>
    </row>
    <row r="740" ht="18.75" customHeight="1">
      <c r="A740" s="64"/>
      <c r="B740" s="64"/>
      <c r="D740" s="144"/>
      <c r="J740" s="144"/>
    </row>
    <row r="741" ht="18.75" customHeight="1">
      <c r="A741" s="64"/>
      <c r="B741" s="64"/>
      <c r="D741" s="144"/>
      <c r="J741" s="144"/>
    </row>
    <row r="742" ht="18.75" customHeight="1">
      <c r="A742" s="64"/>
      <c r="B742" s="64"/>
      <c r="D742" s="144"/>
      <c r="J742" s="144"/>
    </row>
    <row r="743" ht="18.75" customHeight="1">
      <c r="A743" s="64"/>
      <c r="B743" s="64"/>
      <c r="D743" s="144"/>
      <c r="J743" s="144"/>
    </row>
    <row r="744" ht="18.75" customHeight="1">
      <c r="A744" s="64"/>
      <c r="B744" s="64"/>
      <c r="D744" s="144"/>
      <c r="J744" s="144"/>
    </row>
    <row r="745" ht="18.75" customHeight="1">
      <c r="A745" s="64"/>
      <c r="B745" s="64"/>
      <c r="D745" s="144"/>
      <c r="J745" s="144"/>
    </row>
    <row r="746" ht="18.75" customHeight="1">
      <c r="A746" s="64"/>
      <c r="B746" s="64"/>
      <c r="D746" s="144"/>
      <c r="J746" s="144"/>
    </row>
    <row r="747" ht="18.75" customHeight="1">
      <c r="A747" s="64"/>
      <c r="B747" s="64"/>
      <c r="D747" s="144"/>
      <c r="J747" s="144"/>
    </row>
    <row r="748" ht="18.75" customHeight="1">
      <c r="A748" s="64"/>
      <c r="B748" s="64"/>
      <c r="D748" s="144"/>
      <c r="J748" s="144"/>
    </row>
    <row r="749" ht="18.75" customHeight="1">
      <c r="A749" s="64"/>
      <c r="B749" s="64"/>
      <c r="D749" s="144"/>
      <c r="J749" s="144"/>
    </row>
    <row r="750" ht="18.75" customHeight="1">
      <c r="A750" s="64"/>
      <c r="B750" s="64"/>
      <c r="D750" s="144"/>
      <c r="J750" s="144"/>
    </row>
    <row r="751" ht="18.75" customHeight="1">
      <c r="A751" s="64"/>
      <c r="B751" s="64"/>
      <c r="D751" s="144"/>
      <c r="J751" s="144"/>
    </row>
    <row r="752" ht="18.75" customHeight="1">
      <c r="A752" s="64"/>
      <c r="B752" s="64"/>
      <c r="D752" s="144"/>
      <c r="J752" s="144"/>
    </row>
    <row r="753" ht="18.75" customHeight="1">
      <c r="A753" s="64"/>
      <c r="B753" s="64"/>
      <c r="D753" s="144"/>
      <c r="J753" s="144"/>
    </row>
    <row r="754" ht="18.75" customHeight="1">
      <c r="A754" s="64"/>
      <c r="B754" s="64"/>
      <c r="D754" s="144"/>
      <c r="J754" s="144"/>
    </row>
    <row r="755" ht="18.75" customHeight="1">
      <c r="A755" s="64"/>
      <c r="B755" s="64"/>
      <c r="D755" s="144"/>
      <c r="J755" s="144"/>
    </row>
    <row r="756" ht="18.75" customHeight="1">
      <c r="A756" s="64"/>
      <c r="B756" s="64"/>
      <c r="D756" s="144"/>
      <c r="J756" s="144"/>
    </row>
    <row r="757" ht="18.75" customHeight="1">
      <c r="A757" s="64"/>
      <c r="B757" s="64"/>
      <c r="D757" s="144"/>
      <c r="J757" s="144"/>
    </row>
    <row r="758" ht="18.75" customHeight="1">
      <c r="A758" s="64"/>
      <c r="B758" s="64"/>
      <c r="D758" s="144"/>
      <c r="J758" s="144"/>
    </row>
    <row r="759" ht="18.75" customHeight="1">
      <c r="A759" s="64"/>
      <c r="B759" s="64"/>
      <c r="D759" s="144"/>
      <c r="J759" s="144"/>
    </row>
    <row r="760" ht="18.75" customHeight="1">
      <c r="A760" s="64"/>
      <c r="B760" s="64"/>
      <c r="D760" s="144"/>
      <c r="J760" s="144"/>
    </row>
    <row r="761" ht="18.75" customHeight="1">
      <c r="A761" s="64"/>
      <c r="B761" s="64"/>
      <c r="D761" s="144"/>
      <c r="J761" s="144"/>
    </row>
    <row r="762" ht="18.75" customHeight="1">
      <c r="A762" s="64"/>
      <c r="B762" s="64"/>
      <c r="D762" s="144"/>
      <c r="J762" s="144"/>
    </row>
    <row r="763" ht="18.75" customHeight="1">
      <c r="A763" s="64"/>
      <c r="B763" s="64"/>
      <c r="D763" s="144"/>
      <c r="J763" s="144"/>
    </row>
    <row r="764" ht="18.75" customHeight="1">
      <c r="A764" s="64"/>
      <c r="B764" s="64"/>
      <c r="D764" s="144"/>
      <c r="J764" s="144"/>
    </row>
    <row r="765" ht="18.75" customHeight="1">
      <c r="A765" s="64"/>
      <c r="B765" s="64"/>
      <c r="D765" s="144"/>
      <c r="J765" s="144"/>
    </row>
    <row r="766" ht="18.75" customHeight="1">
      <c r="A766" s="64"/>
      <c r="B766" s="64"/>
      <c r="D766" s="144"/>
      <c r="J766" s="144"/>
    </row>
    <row r="767" ht="18.75" customHeight="1">
      <c r="A767" s="64"/>
      <c r="B767" s="64"/>
      <c r="D767" s="144"/>
      <c r="J767" s="144"/>
    </row>
    <row r="768" ht="18.75" customHeight="1">
      <c r="A768" s="64"/>
      <c r="B768" s="64"/>
      <c r="D768" s="144"/>
      <c r="J768" s="144"/>
    </row>
    <row r="769" ht="18.75" customHeight="1">
      <c r="A769" s="64"/>
      <c r="B769" s="64"/>
      <c r="D769" s="144"/>
      <c r="J769" s="144"/>
    </row>
    <row r="770" ht="18.75" customHeight="1">
      <c r="A770" s="64"/>
      <c r="B770" s="64"/>
      <c r="D770" s="144"/>
      <c r="J770" s="144"/>
    </row>
    <row r="771" ht="18.75" customHeight="1">
      <c r="A771" s="64"/>
      <c r="B771" s="64"/>
      <c r="D771" s="144"/>
      <c r="J771" s="144"/>
    </row>
    <row r="772" ht="18.75" customHeight="1">
      <c r="A772" s="64"/>
      <c r="B772" s="64"/>
      <c r="D772" s="144"/>
      <c r="J772" s="144"/>
    </row>
    <row r="773" ht="18.75" customHeight="1">
      <c r="A773" s="64"/>
      <c r="B773" s="64"/>
      <c r="D773" s="144"/>
      <c r="J773" s="144"/>
    </row>
    <row r="774" ht="18.75" customHeight="1">
      <c r="A774" s="64"/>
      <c r="B774" s="64"/>
      <c r="D774" s="144"/>
      <c r="J774" s="144"/>
    </row>
    <row r="775" ht="18.75" customHeight="1">
      <c r="A775" s="64"/>
      <c r="B775" s="64"/>
      <c r="D775" s="144"/>
      <c r="J775" s="144"/>
    </row>
    <row r="776" ht="18.75" customHeight="1">
      <c r="A776" s="64"/>
      <c r="B776" s="64"/>
      <c r="D776" s="144"/>
      <c r="J776" s="144"/>
    </row>
    <row r="777" ht="18.75" customHeight="1">
      <c r="A777" s="64"/>
      <c r="B777" s="64"/>
      <c r="D777" s="144"/>
      <c r="J777" s="144"/>
    </row>
    <row r="778" ht="18.75" customHeight="1">
      <c r="A778" s="64"/>
      <c r="B778" s="64"/>
      <c r="D778" s="144"/>
      <c r="J778" s="144"/>
    </row>
    <row r="779" ht="18.75" customHeight="1">
      <c r="A779" s="64"/>
      <c r="B779" s="64"/>
      <c r="D779" s="144"/>
      <c r="J779" s="144"/>
    </row>
    <row r="780" ht="18.75" customHeight="1">
      <c r="A780" s="64"/>
      <c r="B780" s="64"/>
      <c r="D780" s="144"/>
      <c r="J780" s="144"/>
    </row>
    <row r="781" ht="18.75" customHeight="1">
      <c r="A781" s="64"/>
      <c r="B781" s="64"/>
      <c r="D781" s="144"/>
      <c r="J781" s="144"/>
    </row>
    <row r="782" ht="18.75" customHeight="1">
      <c r="A782" s="64"/>
      <c r="B782" s="64"/>
      <c r="D782" s="144"/>
      <c r="J782" s="144"/>
    </row>
    <row r="783" ht="18.75" customHeight="1">
      <c r="A783" s="64"/>
      <c r="B783" s="64"/>
      <c r="D783" s="144"/>
      <c r="J783" s="144"/>
    </row>
    <row r="784" ht="18.75" customHeight="1">
      <c r="A784" s="64"/>
      <c r="B784" s="64"/>
      <c r="D784" s="144"/>
      <c r="J784" s="144"/>
    </row>
    <row r="785" ht="18.75" customHeight="1">
      <c r="A785" s="64"/>
      <c r="B785" s="64"/>
      <c r="D785" s="144"/>
      <c r="J785" s="144"/>
    </row>
    <row r="786" ht="18.75" customHeight="1">
      <c r="A786" s="64"/>
      <c r="B786" s="64"/>
      <c r="D786" s="144"/>
      <c r="J786" s="144"/>
    </row>
    <row r="787" ht="18.75" customHeight="1">
      <c r="A787" s="64"/>
      <c r="B787" s="64"/>
      <c r="D787" s="144"/>
      <c r="J787" s="144"/>
    </row>
    <row r="788" ht="18.75" customHeight="1">
      <c r="A788" s="64"/>
      <c r="B788" s="64"/>
      <c r="D788" s="144"/>
      <c r="J788" s="144"/>
    </row>
    <row r="789" ht="18.75" customHeight="1">
      <c r="A789" s="64"/>
      <c r="B789" s="64"/>
      <c r="D789" s="144"/>
      <c r="J789" s="144"/>
    </row>
    <row r="790" ht="18.75" customHeight="1">
      <c r="A790" s="64"/>
      <c r="B790" s="64"/>
      <c r="D790" s="144"/>
      <c r="J790" s="144"/>
    </row>
    <row r="791" ht="18.75" customHeight="1">
      <c r="A791" s="64"/>
      <c r="B791" s="64"/>
      <c r="D791" s="144"/>
      <c r="J791" s="144"/>
    </row>
    <row r="792" ht="18.75" customHeight="1">
      <c r="A792" s="64"/>
      <c r="B792" s="64"/>
      <c r="D792" s="144"/>
      <c r="J792" s="144"/>
    </row>
    <row r="793" ht="18.75" customHeight="1">
      <c r="A793" s="64"/>
      <c r="B793" s="64"/>
      <c r="D793" s="144"/>
      <c r="J793" s="144"/>
    </row>
    <row r="794" ht="18.75" customHeight="1">
      <c r="A794" s="64"/>
      <c r="B794" s="64"/>
      <c r="D794" s="144"/>
      <c r="J794" s="144"/>
    </row>
    <row r="795" ht="18.75" customHeight="1">
      <c r="A795" s="64"/>
      <c r="B795" s="64"/>
      <c r="D795" s="144"/>
      <c r="J795" s="144"/>
    </row>
    <row r="796" ht="18.75" customHeight="1">
      <c r="A796" s="64"/>
      <c r="B796" s="64"/>
      <c r="D796" s="144"/>
      <c r="J796" s="144"/>
    </row>
    <row r="797" ht="18.75" customHeight="1">
      <c r="A797" s="64"/>
      <c r="B797" s="64"/>
      <c r="D797" s="144"/>
      <c r="J797" s="144"/>
    </row>
    <row r="798" ht="18.75" customHeight="1">
      <c r="A798" s="64"/>
      <c r="B798" s="64"/>
      <c r="D798" s="144"/>
      <c r="J798" s="144"/>
    </row>
    <row r="799" ht="18.75" customHeight="1">
      <c r="A799" s="64"/>
      <c r="B799" s="64"/>
      <c r="D799" s="144"/>
      <c r="J799" s="144"/>
    </row>
    <row r="800" ht="18.75" customHeight="1">
      <c r="A800" s="64"/>
      <c r="B800" s="64"/>
      <c r="D800" s="144"/>
      <c r="J800" s="144"/>
    </row>
    <row r="801" ht="18.75" customHeight="1">
      <c r="A801" s="64"/>
      <c r="B801" s="64"/>
      <c r="D801" s="144"/>
      <c r="J801" s="144"/>
    </row>
    <row r="802" ht="18.75" customHeight="1">
      <c r="A802" s="64"/>
      <c r="B802" s="64"/>
      <c r="D802" s="144"/>
      <c r="J802" s="144"/>
    </row>
    <row r="803" ht="18.75" customHeight="1">
      <c r="A803" s="64"/>
      <c r="B803" s="64"/>
      <c r="D803" s="144"/>
      <c r="J803" s="144"/>
    </row>
    <row r="804" ht="18.75" customHeight="1">
      <c r="A804" s="64"/>
      <c r="B804" s="64"/>
      <c r="D804" s="144"/>
      <c r="J804" s="144"/>
    </row>
    <row r="805" ht="18.75" customHeight="1">
      <c r="A805" s="64"/>
      <c r="B805" s="64"/>
      <c r="D805" s="144"/>
      <c r="J805" s="144"/>
    </row>
    <row r="806" ht="18.75" customHeight="1">
      <c r="A806" s="64"/>
      <c r="B806" s="64"/>
      <c r="D806" s="144"/>
      <c r="J806" s="144"/>
    </row>
    <row r="807" ht="18.75" customHeight="1">
      <c r="A807" s="64"/>
      <c r="B807" s="64"/>
      <c r="D807" s="144"/>
      <c r="J807" s="144"/>
    </row>
    <row r="808" ht="18.75" customHeight="1">
      <c r="A808" s="64"/>
      <c r="B808" s="64"/>
      <c r="D808" s="144"/>
      <c r="J808" s="144"/>
    </row>
    <row r="809" ht="18.75" customHeight="1">
      <c r="A809" s="64"/>
      <c r="B809" s="64"/>
      <c r="D809" s="144"/>
      <c r="J809" s="144"/>
    </row>
    <row r="810" ht="18.75" customHeight="1">
      <c r="A810" s="64"/>
      <c r="B810" s="64"/>
      <c r="D810" s="144"/>
      <c r="J810" s="144"/>
    </row>
    <row r="811" ht="18.75" customHeight="1">
      <c r="A811" s="64"/>
      <c r="B811" s="64"/>
      <c r="D811" s="144"/>
      <c r="J811" s="144"/>
    </row>
    <row r="812" ht="18.75" customHeight="1">
      <c r="A812" s="64"/>
      <c r="B812" s="64"/>
      <c r="D812" s="144"/>
      <c r="J812" s="144"/>
    </row>
    <row r="813" ht="18.75" customHeight="1">
      <c r="A813" s="64"/>
      <c r="B813" s="64"/>
      <c r="D813" s="144"/>
      <c r="J813" s="144"/>
    </row>
    <row r="814" ht="18.75" customHeight="1">
      <c r="A814" s="64"/>
      <c r="B814" s="64"/>
      <c r="D814" s="144"/>
      <c r="J814" s="144"/>
    </row>
    <row r="815" ht="18.75" customHeight="1">
      <c r="A815" s="64"/>
      <c r="B815" s="64"/>
      <c r="D815" s="144"/>
      <c r="J815" s="144"/>
    </row>
    <row r="816" ht="18.75" customHeight="1">
      <c r="A816" s="64"/>
      <c r="B816" s="64"/>
      <c r="D816" s="144"/>
      <c r="J816" s="144"/>
    </row>
    <row r="817" ht="18.75" customHeight="1">
      <c r="A817" s="64"/>
      <c r="B817" s="64"/>
      <c r="D817" s="144"/>
      <c r="J817" s="144"/>
    </row>
    <row r="818" ht="18.75" customHeight="1">
      <c r="A818" s="64"/>
      <c r="B818" s="64"/>
      <c r="D818" s="144"/>
      <c r="J818" s="144"/>
    </row>
    <row r="819" ht="18.75" customHeight="1">
      <c r="A819" s="64"/>
      <c r="B819" s="64"/>
      <c r="D819" s="144"/>
      <c r="J819" s="144"/>
    </row>
    <row r="820" ht="18.75" customHeight="1">
      <c r="A820" s="64"/>
      <c r="B820" s="64"/>
      <c r="D820" s="144"/>
      <c r="J820" s="144"/>
    </row>
    <row r="821" ht="18.75" customHeight="1">
      <c r="A821" s="64"/>
      <c r="B821" s="64"/>
      <c r="D821" s="144"/>
      <c r="J821" s="144"/>
    </row>
    <row r="822" ht="18.75" customHeight="1">
      <c r="A822" s="64"/>
      <c r="B822" s="64"/>
      <c r="D822" s="144"/>
      <c r="J822" s="144"/>
    </row>
    <row r="823" ht="18.75" customHeight="1">
      <c r="A823" s="64"/>
      <c r="B823" s="64"/>
      <c r="D823" s="144"/>
      <c r="J823" s="144"/>
    </row>
    <row r="824" ht="18.75" customHeight="1">
      <c r="A824" s="64"/>
      <c r="B824" s="64"/>
      <c r="D824" s="144"/>
      <c r="J824" s="144"/>
    </row>
    <row r="825" ht="18.75" customHeight="1">
      <c r="A825" s="64"/>
      <c r="B825" s="64"/>
      <c r="D825" s="144"/>
      <c r="J825" s="144"/>
    </row>
    <row r="826" ht="18.75" customHeight="1">
      <c r="A826" s="64"/>
      <c r="B826" s="64"/>
      <c r="D826" s="144"/>
      <c r="J826" s="144"/>
    </row>
    <row r="827" ht="18.75" customHeight="1">
      <c r="A827" s="64"/>
      <c r="B827" s="64"/>
      <c r="D827" s="144"/>
      <c r="J827" s="144"/>
    </row>
    <row r="828" ht="18.75" customHeight="1">
      <c r="A828" s="64"/>
      <c r="B828" s="64"/>
      <c r="D828" s="144"/>
      <c r="J828" s="144"/>
    </row>
    <row r="829" ht="18.75" customHeight="1">
      <c r="A829" s="64"/>
      <c r="B829" s="64"/>
      <c r="D829" s="144"/>
      <c r="J829" s="144"/>
    </row>
    <row r="830" ht="18.75" customHeight="1">
      <c r="A830" s="64"/>
      <c r="B830" s="64"/>
      <c r="D830" s="144"/>
      <c r="J830" s="144"/>
    </row>
    <row r="831" ht="18.75" customHeight="1">
      <c r="A831" s="64"/>
      <c r="B831" s="64"/>
      <c r="D831" s="144"/>
      <c r="J831" s="144"/>
    </row>
    <row r="832" ht="18.75" customHeight="1">
      <c r="A832" s="64"/>
      <c r="B832" s="64"/>
      <c r="D832" s="144"/>
      <c r="J832" s="144"/>
    </row>
    <row r="833" ht="18.75" customHeight="1">
      <c r="A833" s="64"/>
      <c r="B833" s="64"/>
      <c r="D833" s="144"/>
      <c r="J833" s="144"/>
    </row>
    <row r="834" ht="18.75" customHeight="1">
      <c r="A834" s="64"/>
      <c r="B834" s="64"/>
      <c r="D834" s="144"/>
      <c r="J834" s="144"/>
    </row>
    <row r="835" ht="18.75" customHeight="1">
      <c r="A835" s="64"/>
      <c r="B835" s="64"/>
      <c r="D835" s="144"/>
      <c r="J835" s="144"/>
    </row>
    <row r="836" ht="18.75" customHeight="1">
      <c r="A836" s="64"/>
      <c r="B836" s="64"/>
      <c r="D836" s="144"/>
      <c r="J836" s="144"/>
    </row>
    <row r="837" ht="18.75" customHeight="1">
      <c r="A837" s="64"/>
      <c r="B837" s="64"/>
      <c r="D837" s="144"/>
      <c r="J837" s="144"/>
    </row>
    <row r="838" ht="18.75" customHeight="1">
      <c r="A838" s="64"/>
      <c r="B838" s="64"/>
      <c r="D838" s="144"/>
      <c r="J838" s="144"/>
    </row>
    <row r="839" ht="18.75" customHeight="1">
      <c r="A839" s="64"/>
      <c r="B839" s="64"/>
      <c r="D839" s="144"/>
      <c r="J839" s="144"/>
    </row>
    <row r="840" ht="18.75" customHeight="1">
      <c r="A840" s="64"/>
      <c r="B840" s="64"/>
      <c r="D840" s="144"/>
      <c r="J840" s="144"/>
    </row>
    <row r="841" ht="18.75" customHeight="1">
      <c r="A841" s="64"/>
      <c r="B841" s="64"/>
      <c r="D841" s="144"/>
      <c r="J841" s="144"/>
    </row>
    <row r="842" ht="18.75" customHeight="1">
      <c r="A842" s="64"/>
      <c r="B842" s="64"/>
      <c r="D842" s="144"/>
      <c r="J842" s="144"/>
    </row>
    <row r="843" ht="18.75" customHeight="1">
      <c r="A843" s="64"/>
      <c r="B843" s="64"/>
      <c r="D843" s="144"/>
      <c r="J843" s="144"/>
    </row>
    <row r="844" ht="18.75" customHeight="1">
      <c r="A844" s="64"/>
      <c r="B844" s="64"/>
      <c r="D844" s="144"/>
      <c r="J844" s="144"/>
    </row>
    <row r="845" ht="18.75" customHeight="1">
      <c r="A845" s="64"/>
      <c r="B845" s="64"/>
      <c r="D845" s="144"/>
      <c r="J845" s="144"/>
    </row>
    <row r="846" ht="18.75" customHeight="1">
      <c r="A846" s="64"/>
      <c r="B846" s="64"/>
      <c r="D846" s="144"/>
      <c r="J846" s="144"/>
    </row>
    <row r="847" ht="18.75" customHeight="1">
      <c r="A847" s="64"/>
      <c r="B847" s="64"/>
      <c r="D847" s="144"/>
      <c r="J847" s="144"/>
    </row>
    <row r="848" ht="18.75" customHeight="1">
      <c r="A848" s="64"/>
      <c r="B848" s="64"/>
      <c r="D848" s="144"/>
      <c r="J848" s="144"/>
    </row>
    <row r="849" ht="18.75" customHeight="1">
      <c r="A849" s="64"/>
      <c r="B849" s="64"/>
      <c r="D849" s="144"/>
      <c r="J849" s="144"/>
    </row>
    <row r="850" ht="18.75" customHeight="1">
      <c r="A850" s="64"/>
      <c r="B850" s="64"/>
      <c r="D850" s="144"/>
      <c r="J850" s="144"/>
    </row>
    <row r="851" ht="18.75" customHeight="1">
      <c r="A851" s="64"/>
      <c r="B851" s="64"/>
      <c r="D851" s="144"/>
      <c r="J851" s="144"/>
    </row>
    <row r="852" ht="18.75" customHeight="1">
      <c r="A852" s="64"/>
      <c r="B852" s="64"/>
      <c r="D852" s="144"/>
      <c r="J852" s="144"/>
    </row>
    <row r="853" ht="18.75" customHeight="1">
      <c r="A853" s="64"/>
      <c r="B853" s="64"/>
      <c r="D853" s="144"/>
      <c r="J853" s="144"/>
    </row>
    <row r="854" ht="18.75" customHeight="1">
      <c r="A854" s="64"/>
      <c r="B854" s="64"/>
      <c r="D854" s="144"/>
      <c r="J854" s="144"/>
    </row>
    <row r="855" ht="18.75" customHeight="1">
      <c r="A855" s="64"/>
      <c r="B855" s="64"/>
      <c r="D855" s="144"/>
      <c r="J855" s="144"/>
    </row>
    <row r="856" ht="18.75" customHeight="1">
      <c r="A856" s="64"/>
      <c r="B856" s="64"/>
      <c r="D856" s="144"/>
      <c r="J856" s="144"/>
    </row>
    <row r="857" ht="18.75" customHeight="1">
      <c r="A857" s="64"/>
      <c r="B857" s="64"/>
      <c r="D857" s="144"/>
      <c r="J857" s="144"/>
    </row>
    <row r="858" ht="18.75" customHeight="1">
      <c r="A858" s="64"/>
      <c r="B858" s="64"/>
      <c r="D858" s="144"/>
      <c r="J858" s="144"/>
    </row>
    <row r="859" ht="18.75" customHeight="1">
      <c r="A859" s="64"/>
      <c r="B859" s="64"/>
      <c r="D859" s="144"/>
      <c r="J859" s="144"/>
    </row>
    <row r="860" ht="18.75" customHeight="1">
      <c r="A860" s="64"/>
      <c r="B860" s="64"/>
      <c r="D860" s="144"/>
      <c r="J860" s="144"/>
    </row>
    <row r="861" ht="18.75" customHeight="1">
      <c r="A861" s="64"/>
      <c r="B861" s="64"/>
      <c r="D861" s="144"/>
      <c r="J861" s="144"/>
    </row>
    <row r="862" ht="18.75" customHeight="1">
      <c r="A862" s="64"/>
      <c r="B862" s="64"/>
      <c r="D862" s="144"/>
      <c r="J862" s="144"/>
    </row>
    <row r="863" ht="18.75" customHeight="1">
      <c r="A863" s="64"/>
      <c r="B863" s="64"/>
      <c r="D863" s="144"/>
      <c r="J863" s="144"/>
    </row>
    <row r="864" ht="18.75" customHeight="1">
      <c r="A864" s="64"/>
      <c r="B864" s="64"/>
      <c r="D864" s="144"/>
      <c r="J864" s="144"/>
    </row>
    <row r="865" ht="18.75" customHeight="1">
      <c r="A865" s="64"/>
      <c r="B865" s="64"/>
      <c r="D865" s="144"/>
      <c r="J865" s="144"/>
    </row>
    <row r="866" ht="18.75" customHeight="1">
      <c r="A866" s="64"/>
      <c r="B866" s="64"/>
      <c r="D866" s="144"/>
      <c r="J866" s="144"/>
    </row>
    <row r="867" ht="18.75" customHeight="1">
      <c r="A867" s="64"/>
      <c r="B867" s="64"/>
      <c r="D867" s="144"/>
      <c r="J867" s="144"/>
    </row>
    <row r="868" ht="18.75" customHeight="1">
      <c r="A868" s="64"/>
      <c r="B868" s="64"/>
      <c r="D868" s="144"/>
      <c r="J868" s="144"/>
    </row>
    <row r="869" ht="18.75" customHeight="1">
      <c r="A869" s="64"/>
      <c r="B869" s="64"/>
      <c r="D869" s="144"/>
      <c r="J869" s="144"/>
    </row>
    <row r="870" ht="18.75" customHeight="1">
      <c r="A870" s="64"/>
      <c r="B870" s="64"/>
      <c r="D870" s="144"/>
      <c r="J870" s="144"/>
    </row>
    <row r="871" ht="18.75" customHeight="1">
      <c r="A871" s="64"/>
      <c r="B871" s="64"/>
      <c r="D871" s="144"/>
      <c r="J871" s="144"/>
    </row>
    <row r="872" ht="18.75" customHeight="1">
      <c r="A872" s="64"/>
      <c r="B872" s="64"/>
      <c r="D872" s="144"/>
      <c r="J872" s="144"/>
    </row>
    <row r="873" ht="18.75" customHeight="1">
      <c r="A873" s="64"/>
      <c r="B873" s="64"/>
      <c r="D873" s="144"/>
      <c r="J873" s="144"/>
    </row>
    <row r="874" ht="18.75" customHeight="1">
      <c r="A874" s="64"/>
      <c r="B874" s="64"/>
      <c r="D874" s="144"/>
      <c r="J874" s="144"/>
    </row>
    <row r="875" ht="18.75" customHeight="1">
      <c r="A875" s="64"/>
      <c r="B875" s="64"/>
      <c r="D875" s="144"/>
      <c r="J875" s="144"/>
    </row>
    <row r="876" ht="18.75" customHeight="1">
      <c r="A876" s="64"/>
      <c r="B876" s="64"/>
      <c r="D876" s="144"/>
      <c r="J876" s="144"/>
    </row>
    <row r="877" ht="18.75" customHeight="1">
      <c r="A877" s="64"/>
      <c r="B877" s="64"/>
      <c r="D877" s="144"/>
      <c r="J877" s="144"/>
    </row>
    <row r="878" ht="18.75" customHeight="1">
      <c r="A878" s="64"/>
      <c r="B878" s="64"/>
      <c r="D878" s="144"/>
      <c r="J878" s="144"/>
    </row>
    <row r="879" ht="18.75" customHeight="1">
      <c r="A879" s="64"/>
      <c r="B879" s="64"/>
      <c r="D879" s="144"/>
      <c r="J879" s="144"/>
    </row>
    <row r="880" ht="18.75" customHeight="1">
      <c r="A880" s="64"/>
      <c r="B880" s="64"/>
      <c r="D880" s="144"/>
      <c r="J880" s="144"/>
    </row>
    <row r="881" ht="18.75" customHeight="1">
      <c r="A881" s="64"/>
      <c r="B881" s="64"/>
      <c r="D881" s="144"/>
      <c r="J881" s="144"/>
    </row>
    <row r="882" ht="18.75" customHeight="1">
      <c r="A882" s="64"/>
      <c r="B882" s="64"/>
      <c r="D882" s="144"/>
      <c r="J882" s="144"/>
    </row>
    <row r="883" ht="18.75" customHeight="1">
      <c r="A883" s="64"/>
      <c r="B883" s="64"/>
      <c r="D883" s="144"/>
      <c r="J883" s="144"/>
    </row>
    <row r="884" ht="18.75" customHeight="1">
      <c r="A884" s="64"/>
      <c r="B884" s="64"/>
      <c r="D884" s="144"/>
      <c r="J884" s="144"/>
    </row>
    <row r="885" ht="18.75" customHeight="1">
      <c r="A885" s="64"/>
      <c r="B885" s="64"/>
      <c r="D885" s="144"/>
      <c r="J885" s="144"/>
    </row>
    <row r="886" ht="18.75" customHeight="1">
      <c r="A886" s="64"/>
      <c r="B886" s="64"/>
      <c r="D886" s="144"/>
      <c r="J886" s="144"/>
    </row>
    <row r="887" ht="18.75" customHeight="1">
      <c r="A887" s="64"/>
      <c r="B887" s="64"/>
      <c r="D887" s="144"/>
      <c r="J887" s="144"/>
    </row>
    <row r="888" ht="18.75" customHeight="1">
      <c r="A888" s="64"/>
      <c r="B888" s="64"/>
      <c r="D888" s="144"/>
      <c r="J888" s="144"/>
    </row>
    <row r="889" ht="18.75" customHeight="1">
      <c r="A889" s="64"/>
      <c r="B889" s="64"/>
      <c r="D889" s="144"/>
      <c r="J889" s="144"/>
    </row>
    <row r="890" ht="18.75" customHeight="1">
      <c r="A890" s="64"/>
      <c r="B890" s="64"/>
      <c r="D890" s="144"/>
      <c r="J890" s="144"/>
    </row>
    <row r="891" ht="18.75" customHeight="1">
      <c r="A891" s="64"/>
      <c r="B891" s="64"/>
      <c r="D891" s="144"/>
      <c r="J891" s="144"/>
    </row>
    <row r="892" ht="18.75" customHeight="1">
      <c r="A892" s="64"/>
      <c r="B892" s="64"/>
      <c r="D892" s="144"/>
      <c r="J892" s="144"/>
    </row>
    <row r="893" ht="18.75" customHeight="1">
      <c r="A893" s="64"/>
      <c r="B893" s="64"/>
      <c r="D893" s="144"/>
      <c r="J893" s="144"/>
    </row>
    <row r="894" ht="18.75" customHeight="1">
      <c r="A894" s="64"/>
      <c r="B894" s="64"/>
      <c r="D894" s="144"/>
      <c r="J894" s="144"/>
    </row>
    <row r="895" ht="18.75" customHeight="1">
      <c r="A895" s="64"/>
      <c r="B895" s="64"/>
      <c r="D895" s="144"/>
      <c r="J895" s="144"/>
    </row>
    <row r="896" ht="18.75" customHeight="1">
      <c r="A896" s="64"/>
      <c r="B896" s="64"/>
      <c r="D896" s="144"/>
      <c r="J896" s="144"/>
    </row>
    <row r="897" ht="18.75" customHeight="1">
      <c r="A897" s="64"/>
      <c r="B897" s="64"/>
      <c r="D897" s="144"/>
      <c r="J897" s="144"/>
    </row>
    <row r="898" ht="18.75" customHeight="1">
      <c r="A898" s="64"/>
      <c r="B898" s="64"/>
      <c r="D898" s="144"/>
      <c r="J898" s="144"/>
    </row>
    <row r="899" ht="18.75" customHeight="1">
      <c r="A899" s="64"/>
      <c r="B899" s="64"/>
      <c r="D899" s="144"/>
      <c r="J899" s="144"/>
    </row>
    <row r="900" ht="18.75" customHeight="1">
      <c r="A900" s="64"/>
      <c r="B900" s="64"/>
      <c r="D900" s="144"/>
      <c r="J900" s="144"/>
    </row>
    <row r="901" ht="18.75" customHeight="1">
      <c r="A901" s="64"/>
      <c r="B901" s="64"/>
      <c r="D901" s="144"/>
      <c r="J901" s="144"/>
    </row>
    <row r="902" ht="18.75" customHeight="1">
      <c r="A902" s="64"/>
      <c r="B902" s="64"/>
      <c r="D902" s="144"/>
      <c r="J902" s="144"/>
    </row>
    <row r="903" ht="18.75" customHeight="1">
      <c r="A903" s="64"/>
      <c r="B903" s="64"/>
      <c r="D903" s="144"/>
      <c r="J903" s="144"/>
    </row>
    <row r="904" ht="18.75" customHeight="1">
      <c r="A904" s="64"/>
      <c r="B904" s="64"/>
      <c r="D904" s="144"/>
      <c r="J904" s="144"/>
    </row>
    <row r="905" ht="18.75" customHeight="1">
      <c r="A905" s="64"/>
      <c r="B905" s="64"/>
      <c r="D905" s="144"/>
      <c r="J905" s="144"/>
    </row>
    <row r="906" ht="18.75" customHeight="1">
      <c r="A906" s="64"/>
      <c r="B906" s="64"/>
      <c r="D906" s="144"/>
      <c r="J906" s="144"/>
    </row>
    <row r="907" ht="18.75" customHeight="1">
      <c r="A907" s="64"/>
      <c r="B907" s="64"/>
      <c r="D907" s="144"/>
      <c r="J907" s="144"/>
    </row>
    <row r="908" ht="18.75" customHeight="1">
      <c r="A908" s="64"/>
      <c r="B908" s="64"/>
      <c r="D908" s="144"/>
      <c r="J908" s="144"/>
    </row>
    <row r="909" ht="18.75" customHeight="1">
      <c r="A909" s="64"/>
      <c r="B909" s="64"/>
      <c r="D909" s="144"/>
      <c r="J909" s="144"/>
    </row>
    <row r="910" ht="18.75" customHeight="1">
      <c r="A910" s="64"/>
      <c r="B910" s="64"/>
      <c r="D910" s="144"/>
      <c r="J910" s="144"/>
    </row>
    <row r="911" ht="18.75" customHeight="1">
      <c r="A911" s="64"/>
      <c r="B911" s="64"/>
      <c r="D911" s="144"/>
      <c r="J911" s="144"/>
    </row>
    <row r="912" ht="18.75" customHeight="1">
      <c r="A912" s="64"/>
      <c r="B912" s="64"/>
      <c r="D912" s="144"/>
      <c r="J912" s="144"/>
    </row>
    <row r="913" ht="18.75" customHeight="1">
      <c r="A913" s="64"/>
      <c r="B913" s="64"/>
      <c r="D913" s="144"/>
      <c r="J913" s="144"/>
    </row>
    <row r="914" ht="18.75" customHeight="1">
      <c r="A914" s="64"/>
      <c r="B914" s="64"/>
      <c r="D914" s="144"/>
      <c r="J914" s="144"/>
    </row>
    <row r="915" ht="18.75" customHeight="1">
      <c r="A915" s="64"/>
      <c r="B915" s="64"/>
      <c r="D915" s="144"/>
      <c r="J915" s="144"/>
    </row>
    <row r="916" ht="18.75" customHeight="1">
      <c r="A916" s="64"/>
      <c r="B916" s="64"/>
      <c r="D916" s="144"/>
      <c r="J916" s="144"/>
    </row>
    <row r="917" ht="18.75" customHeight="1">
      <c r="A917" s="64"/>
      <c r="B917" s="64"/>
      <c r="D917" s="144"/>
      <c r="J917" s="144"/>
    </row>
    <row r="918" ht="18.75" customHeight="1">
      <c r="A918" s="64"/>
      <c r="B918" s="64"/>
      <c r="D918" s="144"/>
      <c r="J918" s="144"/>
    </row>
    <row r="919" ht="18.75" customHeight="1">
      <c r="A919" s="64"/>
      <c r="B919" s="64"/>
      <c r="D919" s="144"/>
      <c r="J919" s="144"/>
    </row>
    <row r="920" ht="18.75" customHeight="1">
      <c r="A920" s="64"/>
      <c r="B920" s="64"/>
      <c r="D920" s="144"/>
      <c r="J920" s="144"/>
    </row>
    <row r="921" ht="18.75" customHeight="1">
      <c r="A921" s="64"/>
      <c r="B921" s="64"/>
      <c r="D921" s="144"/>
      <c r="J921" s="144"/>
    </row>
    <row r="922" ht="18.75" customHeight="1">
      <c r="A922" s="64"/>
      <c r="B922" s="64"/>
      <c r="D922" s="144"/>
      <c r="J922" s="144"/>
    </row>
    <row r="923" ht="18.75" customHeight="1">
      <c r="A923" s="64"/>
      <c r="B923" s="64"/>
      <c r="D923" s="144"/>
      <c r="J923" s="144"/>
    </row>
    <row r="924" ht="18.75" customHeight="1">
      <c r="A924" s="64"/>
      <c r="B924" s="64"/>
      <c r="D924" s="144"/>
      <c r="J924" s="144"/>
    </row>
    <row r="925" ht="18.75" customHeight="1">
      <c r="A925" s="64"/>
      <c r="B925" s="64"/>
      <c r="D925" s="144"/>
      <c r="J925" s="144"/>
    </row>
    <row r="926" ht="18.75" customHeight="1">
      <c r="A926" s="64"/>
      <c r="B926" s="64"/>
      <c r="D926" s="144"/>
      <c r="J926" s="144"/>
    </row>
    <row r="927" ht="18.75" customHeight="1">
      <c r="A927" s="64"/>
      <c r="B927" s="64"/>
      <c r="D927" s="144"/>
      <c r="J927" s="144"/>
    </row>
    <row r="928" ht="18.75" customHeight="1">
      <c r="A928" s="64"/>
      <c r="B928" s="64"/>
      <c r="D928" s="144"/>
      <c r="J928" s="144"/>
    </row>
    <row r="929" ht="18.75" customHeight="1">
      <c r="A929" s="64"/>
      <c r="B929" s="64"/>
      <c r="D929" s="144"/>
      <c r="J929" s="144"/>
    </row>
    <row r="930" ht="18.75" customHeight="1">
      <c r="A930" s="64"/>
      <c r="B930" s="64"/>
      <c r="D930" s="144"/>
      <c r="J930" s="144"/>
    </row>
    <row r="931" ht="18.75" customHeight="1">
      <c r="A931" s="64"/>
      <c r="B931" s="64"/>
      <c r="D931" s="144"/>
      <c r="J931" s="144"/>
    </row>
    <row r="932" ht="18.75" customHeight="1">
      <c r="A932" s="64"/>
      <c r="B932" s="64"/>
      <c r="D932" s="144"/>
      <c r="J932" s="144"/>
    </row>
    <row r="933" ht="18.75" customHeight="1">
      <c r="A933" s="64"/>
      <c r="B933" s="64"/>
      <c r="D933" s="144"/>
      <c r="J933" s="144"/>
    </row>
    <row r="934" ht="18.75" customHeight="1">
      <c r="A934" s="64"/>
      <c r="B934" s="64"/>
      <c r="D934" s="144"/>
      <c r="J934" s="144"/>
    </row>
    <row r="935" ht="18.75" customHeight="1">
      <c r="A935" s="64"/>
      <c r="B935" s="64"/>
      <c r="D935" s="144"/>
      <c r="J935" s="144"/>
    </row>
    <row r="936" ht="18.75" customHeight="1">
      <c r="A936" s="64"/>
      <c r="B936" s="64"/>
      <c r="D936" s="144"/>
      <c r="J936" s="144"/>
    </row>
    <row r="937" ht="18.75" customHeight="1">
      <c r="A937" s="64"/>
      <c r="B937" s="64"/>
      <c r="D937" s="144"/>
      <c r="J937" s="144"/>
    </row>
    <row r="938" ht="18.75" customHeight="1">
      <c r="A938" s="64"/>
      <c r="B938" s="64"/>
      <c r="D938" s="144"/>
      <c r="J938" s="144"/>
    </row>
    <row r="939" ht="18.75" customHeight="1">
      <c r="A939" s="64"/>
      <c r="B939" s="64"/>
      <c r="D939" s="144"/>
      <c r="J939" s="144"/>
    </row>
    <row r="940" ht="18.75" customHeight="1">
      <c r="A940" s="64"/>
      <c r="B940" s="64"/>
      <c r="D940" s="144"/>
      <c r="J940" s="144"/>
    </row>
    <row r="941" ht="18.75" customHeight="1">
      <c r="A941" s="64"/>
      <c r="B941" s="64"/>
      <c r="D941" s="144"/>
      <c r="J941" s="144"/>
    </row>
    <row r="942" ht="18.75" customHeight="1">
      <c r="A942" s="64"/>
      <c r="B942" s="64"/>
      <c r="D942" s="144"/>
      <c r="J942" s="144"/>
    </row>
    <row r="943" ht="18.75" customHeight="1">
      <c r="A943" s="64"/>
      <c r="B943" s="64"/>
      <c r="D943" s="144"/>
      <c r="J943" s="144"/>
    </row>
    <row r="944" ht="18.75" customHeight="1">
      <c r="A944" s="64"/>
      <c r="B944" s="64"/>
      <c r="D944" s="144"/>
      <c r="J944" s="144"/>
    </row>
    <row r="945" ht="18.75" customHeight="1">
      <c r="A945" s="64"/>
      <c r="B945" s="64"/>
      <c r="D945" s="144"/>
      <c r="J945" s="144"/>
    </row>
    <row r="946" ht="18.75" customHeight="1">
      <c r="A946" s="64"/>
      <c r="B946" s="64"/>
      <c r="D946" s="144"/>
      <c r="J946" s="144"/>
    </row>
    <row r="947" ht="18.75" customHeight="1">
      <c r="A947" s="64"/>
      <c r="B947" s="64"/>
      <c r="D947" s="144"/>
      <c r="J947" s="144"/>
    </row>
    <row r="948" ht="18.75" customHeight="1">
      <c r="A948" s="64"/>
      <c r="B948" s="64"/>
      <c r="D948" s="144"/>
      <c r="J948" s="144"/>
    </row>
    <row r="949" ht="18.75" customHeight="1">
      <c r="A949" s="64"/>
      <c r="B949" s="64"/>
      <c r="D949" s="144"/>
      <c r="J949" s="144"/>
    </row>
    <row r="950" ht="18.75" customHeight="1">
      <c r="A950" s="64"/>
      <c r="B950" s="64"/>
      <c r="D950" s="144"/>
      <c r="J950" s="144"/>
    </row>
    <row r="951" ht="18.75" customHeight="1">
      <c r="A951" s="64"/>
      <c r="B951" s="64"/>
      <c r="D951" s="144"/>
      <c r="J951" s="144"/>
    </row>
    <row r="952" ht="18.75" customHeight="1">
      <c r="A952" s="64"/>
      <c r="B952" s="64"/>
      <c r="D952" s="144"/>
      <c r="J952" s="144"/>
    </row>
    <row r="953" ht="18.75" customHeight="1">
      <c r="A953" s="64"/>
      <c r="B953" s="64"/>
      <c r="D953" s="144"/>
      <c r="J953" s="144"/>
    </row>
    <row r="954" ht="18.75" customHeight="1">
      <c r="A954" s="64"/>
      <c r="B954" s="64"/>
      <c r="D954" s="144"/>
      <c r="J954" s="144"/>
    </row>
    <row r="955" ht="18.75" customHeight="1">
      <c r="A955" s="64"/>
      <c r="B955" s="64"/>
      <c r="D955" s="144"/>
      <c r="J955" s="144"/>
    </row>
    <row r="956" ht="18.75" customHeight="1">
      <c r="A956" s="64"/>
      <c r="B956" s="64"/>
      <c r="D956" s="144"/>
      <c r="J956" s="144"/>
    </row>
    <row r="957" ht="18.75" customHeight="1">
      <c r="A957" s="64"/>
      <c r="B957" s="64"/>
      <c r="D957" s="144"/>
      <c r="J957" s="144"/>
    </row>
    <row r="958" ht="18.75" customHeight="1">
      <c r="A958" s="64"/>
      <c r="B958" s="64"/>
      <c r="D958" s="144"/>
      <c r="J958" s="144"/>
    </row>
    <row r="959" ht="18.75" customHeight="1">
      <c r="A959" s="64"/>
      <c r="B959" s="64"/>
      <c r="D959" s="144"/>
      <c r="J959" s="144"/>
    </row>
    <row r="960" ht="18.75" customHeight="1">
      <c r="A960" s="64"/>
      <c r="B960" s="64"/>
      <c r="D960" s="144"/>
      <c r="J960" s="144"/>
    </row>
    <row r="961" ht="18.75" customHeight="1">
      <c r="A961" s="64"/>
      <c r="B961" s="64"/>
      <c r="D961" s="144"/>
      <c r="J961" s="144"/>
    </row>
    <row r="962" ht="18.75" customHeight="1">
      <c r="A962" s="64"/>
      <c r="B962" s="64"/>
      <c r="D962" s="144"/>
      <c r="J962" s="144"/>
    </row>
    <row r="963" ht="18.75" customHeight="1">
      <c r="A963" s="64"/>
      <c r="B963" s="64"/>
      <c r="D963" s="144"/>
      <c r="J963" s="144"/>
    </row>
    <row r="964" ht="18.75" customHeight="1">
      <c r="A964" s="64"/>
      <c r="B964" s="64"/>
      <c r="D964" s="144"/>
      <c r="J964" s="144"/>
    </row>
    <row r="965" ht="18.75" customHeight="1">
      <c r="A965" s="64"/>
      <c r="B965" s="64"/>
      <c r="D965" s="144"/>
      <c r="J965" s="144"/>
    </row>
    <row r="966" ht="18.75" customHeight="1">
      <c r="A966" s="64"/>
      <c r="B966" s="64"/>
      <c r="D966" s="144"/>
      <c r="J966" s="144"/>
    </row>
    <row r="967" ht="18.75" customHeight="1">
      <c r="A967" s="64"/>
      <c r="B967" s="64"/>
      <c r="D967" s="144"/>
      <c r="J967" s="144"/>
    </row>
    <row r="968" ht="18.75" customHeight="1">
      <c r="A968" s="64"/>
      <c r="B968" s="64"/>
      <c r="D968" s="144"/>
      <c r="J968" s="144"/>
    </row>
    <row r="969" ht="18.75" customHeight="1">
      <c r="A969" s="64"/>
      <c r="B969" s="64"/>
      <c r="D969" s="144"/>
      <c r="J969" s="144"/>
    </row>
    <row r="970" ht="18.75" customHeight="1">
      <c r="A970" s="64"/>
      <c r="B970" s="64"/>
      <c r="D970" s="144"/>
      <c r="J970" s="144"/>
    </row>
    <row r="971" ht="18.75" customHeight="1">
      <c r="A971" s="64"/>
      <c r="B971" s="64"/>
      <c r="D971" s="144"/>
      <c r="J971" s="144"/>
    </row>
    <row r="972" ht="18.75" customHeight="1">
      <c r="A972" s="64"/>
      <c r="B972" s="64"/>
      <c r="D972" s="144"/>
      <c r="J972" s="144"/>
    </row>
    <row r="973" ht="18.75" customHeight="1">
      <c r="A973" s="64"/>
      <c r="B973" s="64"/>
      <c r="D973" s="144"/>
      <c r="J973" s="144"/>
    </row>
    <row r="974" ht="18.75" customHeight="1">
      <c r="A974" s="64"/>
      <c r="B974" s="64"/>
      <c r="D974" s="144"/>
      <c r="J974" s="144"/>
    </row>
    <row r="975" ht="18.75" customHeight="1">
      <c r="A975" s="64"/>
      <c r="B975" s="64"/>
      <c r="D975" s="144"/>
      <c r="J975" s="144"/>
    </row>
    <row r="976" ht="18.75" customHeight="1">
      <c r="A976" s="64"/>
      <c r="B976" s="64"/>
      <c r="D976" s="144"/>
      <c r="J976" s="144"/>
    </row>
    <row r="977" ht="18.75" customHeight="1">
      <c r="A977" s="64"/>
      <c r="B977" s="64"/>
      <c r="D977" s="144"/>
      <c r="J977" s="144"/>
    </row>
    <row r="978" ht="18.75" customHeight="1">
      <c r="A978" s="64"/>
      <c r="B978" s="64"/>
      <c r="D978" s="144"/>
      <c r="J978" s="144"/>
    </row>
    <row r="979" ht="18.75" customHeight="1">
      <c r="A979" s="64"/>
      <c r="B979" s="64"/>
      <c r="D979" s="144"/>
      <c r="J979" s="144"/>
    </row>
    <row r="980" ht="18.75" customHeight="1">
      <c r="A980" s="64"/>
      <c r="B980" s="64"/>
      <c r="D980" s="144"/>
      <c r="J980" s="144"/>
    </row>
    <row r="981" ht="18.75" customHeight="1">
      <c r="A981" s="64"/>
      <c r="B981" s="64"/>
      <c r="D981" s="144"/>
      <c r="J981" s="144"/>
    </row>
    <row r="982" ht="18.75" customHeight="1">
      <c r="A982" s="64"/>
      <c r="B982" s="64"/>
      <c r="D982" s="144"/>
      <c r="J982" s="144"/>
    </row>
    <row r="983" ht="18.75" customHeight="1">
      <c r="A983" s="64"/>
      <c r="B983" s="64"/>
      <c r="D983" s="144"/>
      <c r="J983" s="144"/>
    </row>
    <row r="984" ht="18.75" customHeight="1">
      <c r="A984" s="64"/>
      <c r="B984" s="64"/>
      <c r="D984" s="144"/>
      <c r="J984" s="144"/>
    </row>
    <row r="985" ht="18.75" customHeight="1">
      <c r="A985" s="64"/>
      <c r="B985" s="64"/>
      <c r="D985" s="144"/>
      <c r="J985" s="144"/>
    </row>
    <row r="986" ht="18.75" customHeight="1">
      <c r="A986" s="64"/>
      <c r="B986" s="64"/>
      <c r="D986" s="144"/>
      <c r="J986" s="144"/>
    </row>
    <row r="987" ht="18.75" customHeight="1">
      <c r="A987" s="64"/>
      <c r="B987" s="64"/>
      <c r="D987" s="144"/>
      <c r="J987" s="144"/>
    </row>
    <row r="988" ht="18.75" customHeight="1">
      <c r="A988" s="64"/>
      <c r="B988" s="64"/>
      <c r="D988" s="144"/>
      <c r="J988" s="144"/>
    </row>
    <row r="989" ht="18.75" customHeight="1">
      <c r="A989" s="64"/>
      <c r="B989" s="64"/>
      <c r="D989" s="144"/>
      <c r="J989" s="144"/>
    </row>
    <row r="990" ht="18.75" customHeight="1">
      <c r="A990" s="64"/>
      <c r="B990" s="64"/>
      <c r="D990" s="144"/>
      <c r="J990" s="144"/>
    </row>
    <row r="991" ht="18.75" customHeight="1">
      <c r="A991" s="64"/>
      <c r="B991" s="64"/>
      <c r="D991" s="144"/>
      <c r="J991" s="144"/>
    </row>
    <row r="992" ht="18.75" customHeight="1">
      <c r="A992" s="64"/>
      <c r="B992" s="64"/>
      <c r="D992" s="144"/>
      <c r="J992" s="144"/>
    </row>
    <row r="993" ht="18.75" customHeight="1">
      <c r="A993" s="64"/>
      <c r="B993" s="64"/>
      <c r="D993" s="144"/>
      <c r="J993" s="144"/>
    </row>
    <row r="994" ht="18.75" customHeight="1">
      <c r="A994" s="64"/>
      <c r="B994" s="64"/>
      <c r="D994" s="144"/>
      <c r="J994" s="144"/>
    </row>
    <row r="995" ht="18.75" customHeight="1">
      <c r="A995" s="64"/>
      <c r="B995" s="64"/>
      <c r="D995" s="144"/>
      <c r="J995" s="144"/>
    </row>
    <row r="996" ht="18.75" customHeight="1">
      <c r="A996" s="64"/>
      <c r="B996" s="64"/>
      <c r="D996" s="144"/>
      <c r="J996" s="144"/>
    </row>
    <row r="997" ht="18.75" customHeight="1">
      <c r="A997" s="64"/>
      <c r="B997" s="64"/>
      <c r="D997" s="144"/>
      <c r="J997" s="144"/>
    </row>
    <row r="998" ht="18.75" customHeight="1">
      <c r="A998" s="64"/>
      <c r="B998" s="64"/>
      <c r="D998" s="144"/>
      <c r="J998" s="144"/>
    </row>
    <row r="999" ht="18.75" customHeight="1">
      <c r="A999" s="64"/>
      <c r="B999" s="64"/>
      <c r="D999" s="144"/>
      <c r="J999" s="144"/>
    </row>
    <row r="1000" ht="18.75" customHeight="1">
      <c r="A1000" s="64"/>
      <c r="B1000" s="64"/>
      <c r="D1000" s="144"/>
      <c r="J1000" s="144"/>
    </row>
  </sheetData>
  <printOptions/>
  <pageMargins bottom="0.75" footer="0.0" header="0.0" left="0.7" right="0.7" top="0.75"/>
  <pageSetup orientation="landscape"/>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2" width="10.0"/>
    <col customWidth="1" min="3" max="3" width="7.63"/>
    <col customWidth="1" min="4" max="4" width="40.25"/>
    <col customWidth="1" min="5" max="5" width="6.5"/>
    <col customWidth="1" min="6" max="14" width="4.25"/>
    <col customWidth="1" min="15" max="26" width="7.63"/>
  </cols>
  <sheetData>
    <row r="1" ht="18.75" customHeight="1">
      <c r="A1" s="37" t="s">
        <v>4361</v>
      </c>
      <c r="B1" s="37" t="s">
        <v>4362</v>
      </c>
      <c r="C1" s="37" t="s">
        <v>3659</v>
      </c>
      <c r="D1" s="64" t="s">
        <v>2620</v>
      </c>
      <c r="E1" s="37" t="s">
        <v>4363</v>
      </c>
      <c r="F1" s="37" t="s">
        <v>4364</v>
      </c>
      <c r="G1" s="37" t="s">
        <v>4365</v>
      </c>
      <c r="H1" s="37" t="s">
        <v>4366</v>
      </c>
      <c r="I1" s="37" t="s">
        <v>4367</v>
      </c>
      <c r="J1" s="37" t="s">
        <v>4368</v>
      </c>
      <c r="K1" s="37" t="s">
        <v>4369</v>
      </c>
      <c r="L1" s="37" t="s">
        <v>4370</v>
      </c>
      <c r="M1" s="37" t="s">
        <v>4371</v>
      </c>
      <c r="N1" s="37" t="s">
        <v>4372</v>
      </c>
    </row>
    <row r="2" ht="18.75" customHeight="1">
      <c r="A2" s="37" t="s">
        <v>4373</v>
      </c>
      <c r="C2" s="37" t="s">
        <v>4374</v>
      </c>
      <c r="D2" s="64" t="s">
        <v>4375</v>
      </c>
    </row>
    <row r="3" ht="18.75" customHeight="1">
      <c r="A3" s="37" t="s">
        <v>4376</v>
      </c>
      <c r="C3" s="37" t="s">
        <v>4374</v>
      </c>
      <c r="D3" s="64" t="s">
        <v>4377</v>
      </c>
    </row>
    <row r="4" ht="18.75" customHeight="1">
      <c r="A4" s="37" t="s">
        <v>4378</v>
      </c>
      <c r="C4" s="37" t="s">
        <v>4379</v>
      </c>
      <c r="D4" s="64" t="s">
        <v>4380</v>
      </c>
      <c r="E4" s="37" t="s">
        <v>2596</v>
      </c>
    </row>
    <row r="5" ht="18.75" customHeight="1">
      <c r="A5" s="37" t="s">
        <v>4381</v>
      </c>
      <c r="C5" s="37" t="s">
        <v>4379</v>
      </c>
      <c r="D5" s="64" t="s">
        <v>4382</v>
      </c>
      <c r="E5" s="37" t="s">
        <v>2429</v>
      </c>
    </row>
    <row r="6" ht="18.75" customHeight="1">
      <c r="A6" s="37" t="s">
        <v>4383</v>
      </c>
      <c r="C6" s="37" t="s">
        <v>4379</v>
      </c>
      <c r="D6" s="64" t="s">
        <v>4384</v>
      </c>
      <c r="E6" s="37" t="s">
        <v>1179</v>
      </c>
    </row>
    <row r="7" ht="18.75" customHeight="1">
      <c r="A7" s="37" t="s">
        <v>4385</v>
      </c>
      <c r="C7" s="37" t="s">
        <v>4379</v>
      </c>
      <c r="D7" s="64" t="s">
        <v>4386</v>
      </c>
      <c r="E7" s="37" t="s">
        <v>2593</v>
      </c>
    </row>
    <row r="8" ht="18.75" customHeight="1">
      <c r="A8" s="37" t="s">
        <v>4387</v>
      </c>
      <c r="C8" s="37" t="s">
        <v>4379</v>
      </c>
      <c r="D8" s="64" t="s">
        <v>4388</v>
      </c>
      <c r="E8" s="37" t="s">
        <v>2603</v>
      </c>
    </row>
    <row r="9" ht="18.75" customHeight="1">
      <c r="A9" s="37" t="s">
        <v>4389</v>
      </c>
      <c r="C9" s="37" t="s">
        <v>4389</v>
      </c>
      <c r="D9" s="64" t="s">
        <v>4390</v>
      </c>
    </row>
    <row r="10" ht="18.75" customHeight="1">
      <c r="A10" s="37" t="s">
        <v>3214</v>
      </c>
      <c r="C10" s="37" t="s">
        <v>4389</v>
      </c>
      <c r="D10" s="64" t="s">
        <v>4391</v>
      </c>
    </row>
    <row r="11" ht="18.75" customHeight="1">
      <c r="A11" s="37" t="s">
        <v>4392</v>
      </c>
      <c r="C11" s="37" t="s">
        <v>4389</v>
      </c>
      <c r="D11" s="64" t="s">
        <v>4393</v>
      </c>
    </row>
    <row r="12" ht="18.75" customHeight="1">
      <c r="A12" s="37" t="s">
        <v>4394</v>
      </c>
      <c r="C12" s="37" t="s">
        <v>4395</v>
      </c>
      <c r="D12" s="64" t="s">
        <v>4396</v>
      </c>
    </row>
    <row r="13" ht="18.75" customHeight="1">
      <c r="A13" s="37" t="s">
        <v>4397</v>
      </c>
      <c r="C13" s="37" t="s">
        <v>4398</v>
      </c>
      <c r="D13" s="64" t="s">
        <v>4399</v>
      </c>
    </row>
    <row r="14" ht="18.75" customHeight="1">
      <c r="A14" s="37" t="s">
        <v>2593</v>
      </c>
      <c r="D14" s="64"/>
    </row>
    <row r="15" ht="18.75" customHeight="1">
      <c r="A15" s="37" t="s">
        <v>2929</v>
      </c>
      <c r="C15" s="37" t="s">
        <v>4400</v>
      </c>
      <c r="D15" s="64" t="s">
        <v>4401</v>
      </c>
    </row>
    <row r="16" ht="18.75" customHeight="1">
      <c r="A16" s="37" t="s">
        <v>2930</v>
      </c>
      <c r="C16" s="37" t="s">
        <v>4400</v>
      </c>
      <c r="D16" s="64" t="s">
        <v>4402</v>
      </c>
    </row>
    <row r="17" ht="18.75" customHeight="1">
      <c r="A17" s="37" t="s">
        <v>4403</v>
      </c>
      <c r="C17" s="37" t="s">
        <v>4404</v>
      </c>
      <c r="D17" s="64" t="s">
        <v>4405</v>
      </c>
    </row>
    <row r="18" ht="18.75" customHeight="1">
      <c r="A18" s="37" t="s">
        <v>4406</v>
      </c>
      <c r="C18" s="37" t="s">
        <v>4407</v>
      </c>
      <c r="D18" s="64" t="s">
        <v>4408</v>
      </c>
    </row>
    <row r="19" ht="18.75" customHeight="1">
      <c r="A19" s="37" t="s">
        <v>4409</v>
      </c>
      <c r="C19" s="37" t="s">
        <v>4410</v>
      </c>
      <c r="D19" s="64" t="s">
        <v>4411</v>
      </c>
    </row>
    <row r="20" ht="18.75" customHeight="1">
      <c r="A20" s="37" t="s">
        <v>4412</v>
      </c>
      <c r="C20" s="37" t="s">
        <v>4410</v>
      </c>
      <c r="D20" s="64" t="s">
        <v>4413</v>
      </c>
    </row>
    <row r="21" ht="18.75" customHeight="1">
      <c r="A21" s="37" t="s">
        <v>4414</v>
      </c>
      <c r="C21" s="37" t="s">
        <v>2630</v>
      </c>
      <c r="D21" s="64" t="s">
        <v>4415</v>
      </c>
    </row>
    <row r="22" ht="18.75" customHeight="1">
      <c r="A22" s="37" t="s">
        <v>849</v>
      </c>
      <c r="C22" s="37" t="s">
        <v>4416</v>
      </c>
      <c r="D22" s="64" t="s">
        <v>4417</v>
      </c>
    </row>
    <row r="23" ht="18.75" customHeight="1">
      <c r="A23" s="37" t="s">
        <v>1845</v>
      </c>
      <c r="D23" s="64" t="s">
        <v>4418</v>
      </c>
    </row>
    <row r="24" ht="18.75" customHeight="1">
      <c r="A24" s="37" t="s">
        <v>3215</v>
      </c>
      <c r="D24" s="64" t="s">
        <v>4419</v>
      </c>
    </row>
    <row r="25" ht="18.75" customHeight="1">
      <c r="D25" s="64"/>
    </row>
    <row r="26" ht="18.75" customHeight="1">
      <c r="A26" s="37" t="s">
        <v>4406</v>
      </c>
      <c r="D26" s="64"/>
    </row>
    <row r="27" ht="18.75" customHeight="1">
      <c r="D27" s="64"/>
    </row>
    <row r="28" ht="18.75" customHeight="1">
      <c r="A28" s="37" t="s">
        <v>4420</v>
      </c>
      <c r="D28" s="64"/>
    </row>
    <row r="29" ht="18.75" customHeight="1">
      <c r="A29" s="146" t="s">
        <v>2623</v>
      </c>
      <c r="B29" s="146">
        <v>12.0</v>
      </c>
      <c r="C29" s="37" t="s">
        <v>4421</v>
      </c>
      <c r="D29" s="64" t="s">
        <v>4422</v>
      </c>
      <c r="E29" s="37" t="s">
        <v>2599</v>
      </c>
    </row>
    <row r="30" ht="18.75" customHeight="1">
      <c r="A30" s="146" t="s">
        <v>2624</v>
      </c>
      <c r="B30" s="146">
        <v>13.0</v>
      </c>
      <c r="C30" s="37" t="s">
        <v>4421</v>
      </c>
      <c r="D30" s="64" t="s">
        <v>4423</v>
      </c>
      <c r="E30" s="37" t="s">
        <v>2599</v>
      </c>
    </row>
    <row r="31" ht="18.75" customHeight="1">
      <c r="A31" s="146" t="s">
        <v>2625</v>
      </c>
      <c r="B31" s="146">
        <v>14.0</v>
      </c>
      <c r="C31" s="37" t="s">
        <v>4421</v>
      </c>
      <c r="D31" s="64" t="s">
        <v>4424</v>
      </c>
      <c r="E31" s="37" t="s">
        <v>2599</v>
      </c>
    </row>
    <row r="32" ht="18.75" customHeight="1">
      <c r="A32" s="146" t="s">
        <v>2626</v>
      </c>
      <c r="B32" s="146">
        <v>15.0</v>
      </c>
      <c r="C32" s="37" t="s">
        <v>4421</v>
      </c>
      <c r="D32" s="64" t="s">
        <v>4425</v>
      </c>
      <c r="E32" s="37" t="s">
        <v>2601</v>
      </c>
    </row>
    <row r="33" ht="18.75" customHeight="1">
      <c r="A33" s="147" t="s">
        <v>3201</v>
      </c>
      <c r="B33" s="147">
        <v>10.0</v>
      </c>
      <c r="C33" s="37" t="s">
        <v>3201</v>
      </c>
      <c r="D33" s="64" t="s">
        <v>4426</v>
      </c>
      <c r="E33" s="37" t="s">
        <v>2600</v>
      </c>
    </row>
    <row r="34" ht="18.75" customHeight="1">
      <c r="A34" s="147" t="s">
        <v>3202</v>
      </c>
      <c r="B34" s="147">
        <v>9.0</v>
      </c>
      <c r="C34" s="37" t="s">
        <v>3201</v>
      </c>
      <c r="D34" s="64" t="s">
        <v>4427</v>
      </c>
      <c r="E34" s="37" t="s">
        <v>2600</v>
      </c>
    </row>
    <row r="35" ht="18.75" customHeight="1">
      <c r="A35" s="147" t="s">
        <v>3203</v>
      </c>
      <c r="B35" s="147">
        <v>8.0</v>
      </c>
      <c r="C35" s="37" t="s">
        <v>3201</v>
      </c>
      <c r="D35" s="64" t="s">
        <v>4428</v>
      </c>
      <c r="E35" s="37" t="s">
        <v>2600</v>
      </c>
    </row>
    <row r="36" ht="18.75" customHeight="1">
      <c r="A36" s="148" t="s">
        <v>3204</v>
      </c>
      <c r="B36" s="148">
        <v>11.0</v>
      </c>
      <c r="C36" s="37" t="s">
        <v>3204</v>
      </c>
      <c r="D36" s="64" t="s">
        <v>4429</v>
      </c>
      <c r="E36" s="37" t="s">
        <v>2602</v>
      </c>
    </row>
    <row r="37" ht="18.75" customHeight="1">
      <c r="A37" s="148" t="s">
        <v>3205</v>
      </c>
      <c r="B37" s="148">
        <v>4.0</v>
      </c>
      <c r="C37" s="37" t="s">
        <v>4430</v>
      </c>
      <c r="D37" s="64" t="s">
        <v>4431</v>
      </c>
      <c r="E37" s="37" t="s">
        <v>2602</v>
      </c>
    </row>
    <row r="38" ht="18.75" customHeight="1">
      <c r="A38" s="148" t="s">
        <v>3206</v>
      </c>
      <c r="B38" s="148">
        <v>3.0</v>
      </c>
      <c r="C38" s="37" t="s">
        <v>4430</v>
      </c>
      <c r="D38" s="64" t="s">
        <v>4432</v>
      </c>
      <c r="E38" s="37" t="s">
        <v>2602</v>
      </c>
    </row>
    <row r="39" ht="18.75" customHeight="1">
      <c r="A39" s="148" t="s">
        <v>3207</v>
      </c>
      <c r="B39" s="148">
        <v>2.0</v>
      </c>
      <c r="C39" s="37" t="s">
        <v>4430</v>
      </c>
      <c r="D39" s="64" t="s">
        <v>4433</v>
      </c>
      <c r="E39" s="37" t="s">
        <v>2602</v>
      </c>
    </row>
    <row r="40" ht="18.75" customHeight="1">
      <c r="A40" s="148" t="s">
        <v>3208</v>
      </c>
      <c r="B40" s="148">
        <v>1.0</v>
      </c>
      <c r="C40" s="37" t="s">
        <v>4430</v>
      </c>
      <c r="D40" s="64" t="s">
        <v>4434</v>
      </c>
      <c r="E40" s="37" t="s">
        <v>2602</v>
      </c>
    </row>
    <row r="41" ht="18.75" customHeight="1">
      <c r="A41" s="74" t="s">
        <v>3209</v>
      </c>
      <c r="B41" s="74">
        <v>6.0</v>
      </c>
      <c r="C41" s="37" t="s">
        <v>4435</v>
      </c>
      <c r="D41" s="64" t="s">
        <v>4436</v>
      </c>
      <c r="E41" s="37" t="s">
        <v>2602</v>
      </c>
    </row>
    <row r="42" ht="18.75" customHeight="1">
      <c r="A42" s="74" t="s">
        <v>3210</v>
      </c>
      <c r="B42" s="74">
        <v>7.0</v>
      </c>
      <c r="C42" s="37" t="s">
        <v>4435</v>
      </c>
      <c r="D42" s="64" t="s">
        <v>4437</v>
      </c>
      <c r="E42" s="37" t="s">
        <v>2602</v>
      </c>
    </row>
    <row r="43" ht="18.75" customHeight="1">
      <c r="A43" s="74" t="s">
        <v>3211</v>
      </c>
      <c r="B43" s="74">
        <v>5.0</v>
      </c>
      <c r="C43" s="37" t="s">
        <v>3211</v>
      </c>
      <c r="D43" s="64" t="s">
        <v>4438</v>
      </c>
      <c r="E43" s="37" t="s">
        <v>2602</v>
      </c>
    </row>
    <row r="44" ht="18.75" customHeight="1">
      <c r="A44" s="149" t="s">
        <v>2628</v>
      </c>
      <c r="B44" s="149">
        <v>17.0</v>
      </c>
      <c r="C44" s="37" t="s">
        <v>4439</v>
      </c>
      <c r="D44" s="64" t="s">
        <v>4440</v>
      </c>
    </row>
    <row r="45" ht="18.75" customHeight="1">
      <c r="A45" s="149" t="s">
        <v>2627</v>
      </c>
      <c r="B45" s="149">
        <v>16.0</v>
      </c>
      <c r="C45" s="37" t="s">
        <v>4439</v>
      </c>
      <c r="D45" s="64" t="s">
        <v>4441</v>
      </c>
    </row>
    <row r="46" ht="18.75" customHeight="1">
      <c r="A46" s="37" t="s">
        <v>4442</v>
      </c>
      <c r="D46" s="64"/>
    </row>
    <row r="47" ht="18.75" customHeight="1">
      <c r="A47" s="74" t="s">
        <v>4443</v>
      </c>
      <c r="B47" s="74"/>
      <c r="D47" s="64"/>
    </row>
    <row r="48" ht="18.75" customHeight="1">
      <c r="A48" s="74" t="s">
        <v>4444</v>
      </c>
      <c r="B48" s="74"/>
      <c r="D48" s="64"/>
    </row>
    <row r="49" ht="18.75" customHeight="1">
      <c r="A49" s="74" t="s">
        <v>4445</v>
      </c>
      <c r="B49" s="74"/>
      <c r="D49" s="64"/>
    </row>
    <row r="50" ht="18.75" customHeight="1">
      <c r="A50" s="37" t="s">
        <v>4446</v>
      </c>
      <c r="C50" s="37" t="s">
        <v>4447</v>
      </c>
      <c r="D50" s="64" t="s">
        <v>4448</v>
      </c>
      <c r="F50" s="37" t="s">
        <v>4449</v>
      </c>
      <c r="G50" s="37" t="s">
        <v>2929</v>
      </c>
      <c r="H50" s="37">
        <v>1.0</v>
      </c>
      <c r="I50" s="37">
        <v>0.0</v>
      </c>
      <c r="J50" s="37">
        <v>1.0</v>
      </c>
      <c r="K50" s="37">
        <v>1.0</v>
      </c>
      <c r="L50" s="37" t="b">
        <v>0</v>
      </c>
      <c r="M50" s="37">
        <v>1.0</v>
      </c>
    </row>
    <row r="51" ht="18.75" customHeight="1">
      <c r="A51" s="37" t="s">
        <v>4450</v>
      </c>
      <c r="C51" s="37" t="s">
        <v>4447</v>
      </c>
      <c r="D51" s="102" t="s">
        <v>4451</v>
      </c>
      <c r="F51" s="37" t="s">
        <v>4452</v>
      </c>
      <c r="G51" s="37" t="s">
        <v>2930</v>
      </c>
      <c r="H51" s="37">
        <v>1.0</v>
      </c>
      <c r="I51" s="39">
        <v>3.0</v>
      </c>
      <c r="J51" s="39">
        <v>2.0</v>
      </c>
      <c r="K51" s="39">
        <v>3.0</v>
      </c>
      <c r="L51" s="37" t="b">
        <v>1</v>
      </c>
      <c r="M51" s="37">
        <v>2.0</v>
      </c>
    </row>
    <row r="52" ht="18.75" customHeight="1">
      <c r="A52" s="37" t="s">
        <v>4453</v>
      </c>
      <c r="C52" s="37" t="s">
        <v>4447</v>
      </c>
      <c r="D52" s="64" t="s">
        <v>4454</v>
      </c>
      <c r="F52" s="37" t="s">
        <v>4455</v>
      </c>
      <c r="G52" s="37" t="s">
        <v>4456</v>
      </c>
      <c r="H52" s="37">
        <v>3.0</v>
      </c>
      <c r="I52" s="37">
        <v>5.0</v>
      </c>
      <c r="J52" s="37">
        <v>3.0</v>
      </c>
      <c r="K52" s="37">
        <v>5.0</v>
      </c>
      <c r="L52" s="37" t="b">
        <v>1</v>
      </c>
      <c r="M52" s="37">
        <v>3.0</v>
      </c>
    </row>
    <row r="53" ht="18.75" customHeight="1">
      <c r="A53" s="37">
        <v>1.0</v>
      </c>
      <c r="C53" s="37" t="s">
        <v>4457</v>
      </c>
      <c r="D53" s="64" t="s">
        <v>4458</v>
      </c>
      <c r="N53" s="37">
        <v>1.0</v>
      </c>
    </row>
    <row r="54" ht="18.75" customHeight="1">
      <c r="A54" s="37">
        <v>2.0</v>
      </c>
      <c r="C54" s="37" t="s">
        <v>4457</v>
      </c>
      <c r="D54" s="64" t="s">
        <v>4459</v>
      </c>
      <c r="N54" s="37">
        <v>1.15</v>
      </c>
    </row>
    <row r="55" ht="18.75" customHeight="1">
      <c r="A55" s="37">
        <v>3.0</v>
      </c>
      <c r="C55" s="37" t="s">
        <v>4457</v>
      </c>
      <c r="D55" s="64" t="s">
        <v>4460</v>
      </c>
      <c r="N55" s="37">
        <v>1.3</v>
      </c>
    </row>
    <row r="56" ht="18.75" customHeight="1">
      <c r="A56" s="37">
        <v>4.0</v>
      </c>
      <c r="C56" s="37" t="s">
        <v>4457</v>
      </c>
      <c r="D56" s="64" t="s">
        <v>4461</v>
      </c>
      <c r="N56" s="37">
        <v>1.5</v>
      </c>
    </row>
    <row r="57" ht="18.75" customHeight="1">
      <c r="A57" s="39" t="s">
        <v>4462</v>
      </c>
      <c r="B57" s="39" t="s">
        <v>29</v>
      </c>
      <c r="C57" s="39" t="s">
        <v>4379</v>
      </c>
      <c r="D57" s="102" t="s">
        <v>4463</v>
      </c>
      <c r="E57" s="39" t="s">
        <v>2596</v>
      </c>
    </row>
    <row r="58" ht="18.75" customHeight="1">
      <c r="A58" s="39" t="s">
        <v>4464</v>
      </c>
      <c r="B58" s="39" t="s">
        <v>29</v>
      </c>
      <c r="C58" s="39" t="s">
        <v>4379</v>
      </c>
      <c r="D58" s="102" t="s">
        <v>4465</v>
      </c>
      <c r="E58" s="39" t="s">
        <v>2596</v>
      </c>
    </row>
    <row r="59" ht="18.75" customHeight="1">
      <c r="A59" s="39" t="s">
        <v>4466</v>
      </c>
      <c r="B59" s="39" t="s">
        <v>29</v>
      </c>
      <c r="C59" s="39" t="s">
        <v>4379</v>
      </c>
      <c r="D59" s="102" t="s">
        <v>4467</v>
      </c>
      <c r="E59" s="39" t="s">
        <v>2596</v>
      </c>
    </row>
    <row r="60" ht="18.75" customHeight="1">
      <c r="A60" s="39" t="s">
        <v>4468</v>
      </c>
      <c r="C60" s="39" t="s">
        <v>4379</v>
      </c>
      <c r="D60" s="102" t="s">
        <v>4469</v>
      </c>
      <c r="E60" s="39" t="s">
        <v>2596</v>
      </c>
    </row>
    <row r="61" ht="18.75" customHeight="1">
      <c r="D61" s="64"/>
    </row>
    <row r="62" ht="18.75" customHeight="1">
      <c r="D62" s="64"/>
    </row>
    <row r="63" ht="18.75" customHeight="1">
      <c r="D63" s="64"/>
    </row>
    <row r="64" ht="18.75" customHeight="1">
      <c r="D64" s="64"/>
    </row>
    <row r="65" ht="18.75" customHeight="1">
      <c r="D65" s="64"/>
    </row>
    <row r="66" ht="18.75" customHeight="1">
      <c r="D66" s="64"/>
    </row>
    <row r="67" ht="18.75" customHeight="1">
      <c r="D67" s="64"/>
    </row>
    <row r="68" ht="18.75" customHeight="1">
      <c r="D68" s="64"/>
    </row>
    <row r="69" ht="18.75" customHeight="1">
      <c r="D69" s="64"/>
    </row>
    <row r="70" ht="18.75" customHeight="1">
      <c r="D70" s="64"/>
    </row>
    <row r="71" ht="18.75" customHeight="1">
      <c r="D71" s="64"/>
    </row>
    <row r="72" ht="18.75" customHeight="1">
      <c r="D72" s="64"/>
    </row>
    <row r="73" ht="18.75" customHeight="1">
      <c r="D73" s="64"/>
    </row>
    <row r="74" ht="18.75" customHeight="1">
      <c r="D74" s="64"/>
    </row>
    <row r="75" ht="18.75" customHeight="1">
      <c r="D75" s="64"/>
    </row>
    <row r="76" ht="18.75" customHeight="1">
      <c r="D76" s="64"/>
    </row>
    <row r="77" ht="18.75" customHeight="1">
      <c r="D77" s="64"/>
    </row>
    <row r="78" ht="18.75" customHeight="1">
      <c r="D78" s="64"/>
    </row>
    <row r="79" ht="18.75" customHeight="1">
      <c r="D79" s="64"/>
    </row>
    <row r="80" ht="18.75" customHeight="1">
      <c r="D80" s="64"/>
    </row>
    <row r="81" ht="18.75" customHeight="1">
      <c r="D81" s="64"/>
    </row>
    <row r="82" ht="18.75" customHeight="1">
      <c r="D82" s="64"/>
    </row>
    <row r="83" ht="18.75" customHeight="1">
      <c r="D83" s="64"/>
    </row>
    <row r="84" ht="18.75" customHeight="1">
      <c r="D84" s="64"/>
    </row>
    <row r="85" ht="18.75" customHeight="1">
      <c r="D85" s="64"/>
    </row>
    <row r="86" ht="18.75" customHeight="1">
      <c r="D86" s="64"/>
    </row>
    <row r="87" ht="18.75" customHeight="1">
      <c r="D87" s="64"/>
    </row>
    <row r="88" ht="18.75" customHeight="1">
      <c r="D88" s="64"/>
    </row>
    <row r="89" ht="18.75" customHeight="1">
      <c r="D89" s="64"/>
    </row>
    <row r="90" ht="18.75" customHeight="1">
      <c r="D90" s="64"/>
    </row>
    <row r="91" ht="18.75" customHeight="1">
      <c r="D91" s="64"/>
    </row>
    <row r="92" ht="18.75" customHeight="1">
      <c r="D92" s="64"/>
    </row>
    <row r="93" ht="18.75" customHeight="1">
      <c r="D93" s="64"/>
    </row>
    <row r="94" ht="18.75" customHeight="1">
      <c r="D94" s="64"/>
    </row>
    <row r="95" ht="18.75" customHeight="1">
      <c r="D95" s="64"/>
    </row>
    <row r="96" ht="18.75" customHeight="1">
      <c r="D96" s="64"/>
    </row>
    <row r="97" ht="18.75" customHeight="1">
      <c r="D97" s="64"/>
    </row>
    <row r="98" ht="18.75" customHeight="1">
      <c r="D98" s="64"/>
    </row>
    <row r="99" ht="18.75" customHeight="1">
      <c r="D99" s="64"/>
    </row>
    <row r="100" ht="18.75" customHeight="1">
      <c r="D100" s="64"/>
    </row>
    <row r="101" ht="18.75" customHeight="1">
      <c r="D101" s="64"/>
    </row>
    <row r="102" ht="18.75" customHeight="1">
      <c r="D102" s="64"/>
    </row>
    <row r="103" ht="18.75" customHeight="1">
      <c r="D103" s="64"/>
    </row>
    <row r="104" ht="18.75" customHeight="1">
      <c r="D104" s="64"/>
    </row>
    <row r="105" ht="18.75" customHeight="1">
      <c r="D105" s="64"/>
    </row>
    <row r="106" ht="18.75" customHeight="1">
      <c r="D106" s="64"/>
    </row>
    <row r="107" ht="18.75" customHeight="1">
      <c r="D107" s="64"/>
    </row>
    <row r="108" ht="18.75" customHeight="1">
      <c r="D108" s="64"/>
    </row>
    <row r="109" ht="18.75" customHeight="1">
      <c r="D109" s="64"/>
    </row>
    <row r="110" ht="18.75" customHeight="1">
      <c r="D110" s="64"/>
    </row>
    <row r="111" ht="18.75" customHeight="1">
      <c r="D111" s="64"/>
    </row>
    <row r="112" ht="18.75" customHeight="1">
      <c r="D112" s="64"/>
    </row>
    <row r="113" ht="18.75" customHeight="1">
      <c r="D113" s="64"/>
    </row>
    <row r="114" ht="18.75" customHeight="1">
      <c r="D114" s="64"/>
    </row>
    <row r="115" ht="18.75" customHeight="1">
      <c r="D115" s="64"/>
    </row>
    <row r="116" ht="18.75" customHeight="1">
      <c r="D116" s="64"/>
    </row>
    <row r="117" ht="18.75" customHeight="1">
      <c r="D117" s="64"/>
    </row>
    <row r="118" ht="18.75" customHeight="1">
      <c r="D118" s="64"/>
    </row>
    <row r="119" ht="18.75" customHeight="1">
      <c r="D119" s="64"/>
    </row>
    <row r="120" ht="18.75" customHeight="1">
      <c r="D120" s="64"/>
    </row>
    <row r="121" ht="18.75" customHeight="1">
      <c r="D121" s="64"/>
    </row>
    <row r="122" ht="18.75" customHeight="1">
      <c r="D122" s="64"/>
    </row>
    <row r="123" ht="18.75" customHeight="1">
      <c r="D123" s="64"/>
    </row>
    <row r="124" ht="18.75" customHeight="1">
      <c r="D124" s="64"/>
    </row>
    <row r="125" ht="18.75" customHeight="1">
      <c r="D125" s="64"/>
    </row>
    <row r="126" ht="18.75" customHeight="1">
      <c r="D126" s="64"/>
    </row>
    <row r="127" ht="18.75" customHeight="1">
      <c r="D127" s="64"/>
    </row>
    <row r="128" ht="18.75" customHeight="1">
      <c r="D128" s="64"/>
    </row>
    <row r="129" ht="18.75" customHeight="1">
      <c r="D129" s="64"/>
    </row>
    <row r="130" ht="18.75" customHeight="1">
      <c r="D130" s="64"/>
    </row>
    <row r="131" ht="18.75" customHeight="1">
      <c r="D131" s="64"/>
    </row>
    <row r="132" ht="18.75" customHeight="1">
      <c r="D132" s="64"/>
    </row>
    <row r="133" ht="18.75" customHeight="1">
      <c r="D133" s="64"/>
    </row>
    <row r="134" ht="18.75" customHeight="1">
      <c r="D134" s="64"/>
    </row>
    <row r="135" ht="18.75" customHeight="1">
      <c r="D135" s="64"/>
    </row>
    <row r="136" ht="18.75" customHeight="1">
      <c r="D136" s="64"/>
    </row>
    <row r="137" ht="18.75" customHeight="1">
      <c r="D137" s="64"/>
    </row>
    <row r="138" ht="18.75" customHeight="1">
      <c r="D138" s="64"/>
    </row>
    <row r="139" ht="18.75" customHeight="1">
      <c r="D139" s="64"/>
    </row>
    <row r="140" ht="18.75" customHeight="1">
      <c r="D140" s="64"/>
    </row>
    <row r="141" ht="18.75" customHeight="1">
      <c r="D141" s="64"/>
    </row>
    <row r="142" ht="18.75" customHeight="1">
      <c r="D142" s="64"/>
    </row>
    <row r="143" ht="18.75" customHeight="1">
      <c r="D143" s="64"/>
    </row>
    <row r="144" ht="18.75" customHeight="1">
      <c r="D144" s="64"/>
    </row>
    <row r="145" ht="18.75" customHeight="1">
      <c r="D145" s="64"/>
    </row>
    <row r="146" ht="18.75" customHeight="1">
      <c r="D146" s="64"/>
    </row>
    <row r="147" ht="18.75" customHeight="1">
      <c r="D147" s="64"/>
    </row>
    <row r="148" ht="18.75" customHeight="1">
      <c r="D148" s="64"/>
    </row>
    <row r="149" ht="18.75" customHeight="1">
      <c r="D149" s="64"/>
    </row>
    <row r="150" ht="18.75" customHeight="1">
      <c r="D150" s="64"/>
    </row>
    <row r="151" ht="18.75" customHeight="1">
      <c r="D151" s="64"/>
    </row>
    <row r="152" ht="18.75" customHeight="1">
      <c r="D152" s="64"/>
    </row>
    <row r="153" ht="18.75" customHeight="1">
      <c r="D153" s="64"/>
    </row>
    <row r="154" ht="18.75" customHeight="1">
      <c r="D154" s="64"/>
    </row>
    <row r="155" ht="18.75" customHeight="1">
      <c r="D155" s="64"/>
    </row>
    <row r="156" ht="18.75" customHeight="1">
      <c r="D156" s="64"/>
    </row>
    <row r="157" ht="18.75" customHeight="1">
      <c r="D157" s="64"/>
    </row>
    <row r="158" ht="18.75" customHeight="1">
      <c r="D158" s="64"/>
    </row>
    <row r="159" ht="18.75" customHeight="1">
      <c r="D159" s="64"/>
    </row>
    <row r="160" ht="18.75" customHeight="1">
      <c r="D160" s="64"/>
    </row>
    <row r="161" ht="18.75" customHeight="1">
      <c r="D161" s="64"/>
    </row>
    <row r="162" ht="18.75" customHeight="1">
      <c r="D162" s="64"/>
    </row>
    <row r="163" ht="18.75" customHeight="1">
      <c r="D163" s="64"/>
    </row>
    <row r="164" ht="18.75" customHeight="1">
      <c r="D164" s="64"/>
    </row>
    <row r="165" ht="18.75" customHeight="1">
      <c r="D165" s="64"/>
    </row>
    <row r="166" ht="18.75" customHeight="1">
      <c r="D166" s="64"/>
    </row>
    <row r="167" ht="18.75" customHeight="1">
      <c r="D167" s="64"/>
    </row>
    <row r="168" ht="18.75" customHeight="1">
      <c r="D168" s="64"/>
    </row>
    <row r="169" ht="18.75" customHeight="1">
      <c r="D169" s="64"/>
    </row>
    <row r="170" ht="18.75" customHeight="1">
      <c r="D170" s="64"/>
    </row>
    <row r="171" ht="18.75" customHeight="1">
      <c r="D171" s="64"/>
    </row>
    <row r="172" ht="18.75" customHeight="1">
      <c r="D172" s="64"/>
    </row>
    <row r="173" ht="18.75" customHeight="1">
      <c r="D173" s="64"/>
    </row>
    <row r="174" ht="18.75" customHeight="1">
      <c r="D174" s="64"/>
    </row>
    <row r="175" ht="18.75" customHeight="1">
      <c r="D175" s="64"/>
    </row>
    <row r="176" ht="18.75" customHeight="1">
      <c r="D176" s="64"/>
    </row>
    <row r="177" ht="18.75" customHeight="1">
      <c r="D177" s="64"/>
    </row>
    <row r="178" ht="18.75" customHeight="1">
      <c r="D178" s="64"/>
    </row>
    <row r="179" ht="18.75" customHeight="1">
      <c r="D179" s="64"/>
    </row>
    <row r="180" ht="18.75" customHeight="1">
      <c r="D180" s="64"/>
    </row>
    <row r="181" ht="18.75" customHeight="1">
      <c r="D181" s="64"/>
    </row>
    <row r="182" ht="18.75" customHeight="1">
      <c r="D182" s="64"/>
    </row>
    <row r="183" ht="18.75" customHeight="1">
      <c r="D183" s="64"/>
    </row>
    <row r="184" ht="18.75" customHeight="1">
      <c r="D184" s="64"/>
    </row>
    <row r="185" ht="18.75" customHeight="1">
      <c r="D185" s="64"/>
    </row>
    <row r="186" ht="18.75" customHeight="1">
      <c r="D186" s="64"/>
    </row>
    <row r="187" ht="18.75" customHeight="1">
      <c r="D187" s="64"/>
    </row>
    <row r="188" ht="18.75" customHeight="1">
      <c r="D188" s="64"/>
    </row>
    <row r="189" ht="18.75" customHeight="1">
      <c r="D189" s="64"/>
    </row>
    <row r="190" ht="18.75" customHeight="1">
      <c r="D190" s="64"/>
    </row>
    <row r="191" ht="18.75" customHeight="1">
      <c r="D191" s="64"/>
    </row>
    <row r="192" ht="18.75" customHeight="1">
      <c r="D192" s="64"/>
    </row>
    <row r="193" ht="18.75" customHeight="1">
      <c r="D193" s="64"/>
    </row>
    <row r="194" ht="18.75" customHeight="1">
      <c r="D194" s="64"/>
    </row>
    <row r="195" ht="18.75" customHeight="1">
      <c r="D195" s="64"/>
    </row>
    <row r="196" ht="18.75" customHeight="1">
      <c r="D196" s="64"/>
    </row>
    <row r="197" ht="18.75" customHeight="1">
      <c r="D197" s="64"/>
    </row>
    <row r="198" ht="18.75" customHeight="1">
      <c r="D198" s="64"/>
    </row>
    <row r="199" ht="18.75" customHeight="1">
      <c r="D199" s="64"/>
    </row>
    <row r="200" ht="18.75" customHeight="1">
      <c r="D200" s="64"/>
    </row>
    <row r="201" ht="18.75" customHeight="1">
      <c r="D201" s="64"/>
    </row>
    <row r="202" ht="18.75" customHeight="1">
      <c r="D202" s="64"/>
    </row>
    <row r="203" ht="18.75" customHeight="1">
      <c r="D203" s="64"/>
    </row>
    <row r="204" ht="18.75" customHeight="1">
      <c r="D204" s="64"/>
    </row>
    <row r="205" ht="18.75" customHeight="1">
      <c r="D205" s="64"/>
    </row>
    <row r="206" ht="18.75" customHeight="1">
      <c r="D206" s="64"/>
    </row>
    <row r="207" ht="18.75" customHeight="1">
      <c r="D207" s="64"/>
    </row>
    <row r="208" ht="18.75" customHeight="1">
      <c r="D208" s="64"/>
    </row>
    <row r="209" ht="18.75" customHeight="1">
      <c r="D209" s="64"/>
    </row>
    <row r="210" ht="18.75" customHeight="1">
      <c r="D210" s="64"/>
    </row>
    <row r="211" ht="18.75" customHeight="1">
      <c r="D211" s="64"/>
    </row>
    <row r="212" ht="18.75" customHeight="1">
      <c r="D212" s="64"/>
    </row>
    <row r="213" ht="18.75" customHeight="1">
      <c r="D213" s="64"/>
    </row>
    <row r="214" ht="18.75" customHeight="1">
      <c r="D214" s="64"/>
    </row>
    <row r="215" ht="18.75" customHeight="1">
      <c r="D215" s="64"/>
    </row>
    <row r="216" ht="18.75" customHeight="1">
      <c r="D216" s="64"/>
    </row>
    <row r="217" ht="18.75" customHeight="1">
      <c r="D217" s="64"/>
    </row>
    <row r="218" ht="18.75" customHeight="1">
      <c r="D218" s="64"/>
    </row>
    <row r="219" ht="18.75" customHeight="1">
      <c r="D219" s="64"/>
    </row>
    <row r="220" ht="18.75" customHeight="1">
      <c r="D220" s="64"/>
    </row>
    <row r="221" ht="18.75" customHeight="1">
      <c r="D221" s="64"/>
    </row>
    <row r="222" ht="18.75" customHeight="1">
      <c r="D222" s="64"/>
    </row>
    <row r="223" ht="18.75" customHeight="1">
      <c r="D223" s="64"/>
    </row>
    <row r="224" ht="18.75" customHeight="1">
      <c r="D224" s="64"/>
    </row>
    <row r="225" ht="18.75" customHeight="1">
      <c r="D225" s="64"/>
    </row>
    <row r="226" ht="18.75" customHeight="1">
      <c r="D226" s="64"/>
    </row>
    <row r="227" ht="18.75" customHeight="1">
      <c r="D227" s="64"/>
    </row>
    <row r="228" ht="18.75" customHeight="1">
      <c r="D228" s="64"/>
    </row>
    <row r="229" ht="18.75" customHeight="1">
      <c r="D229" s="64"/>
    </row>
    <row r="230" ht="18.75" customHeight="1">
      <c r="D230" s="64"/>
    </row>
    <row r="231" ht="18.75" customHeight="1">
      <c r="D231" s="64"/>
    </row>
    <row r="232" ht="18.75" customHeight="1">
      <c r="D232" s="64"/>
    </row>
    <row r="233" ht="18.75" customHeight="1">
      <c r="D233" s="64"/>
    </row>
    <row r="234" ht="18.75" customHeight="1">
      <c r="D234" s="64"/>
    </row>
    <row r="235" ht="18.75" customHeight="1">
      <c r="D235" s="64"/>
    </row>
    <row r="236" ht="18.75" customHeight="1">
      <c r="D236" s="64"/>
    </row>
    <row r="237" ht="18.75" customHeight="1">
      <c r="D237" s="64"/>
    </row>
    <row r="238" ht="18.75" customHeight="1">
      <c r="D238" s="64"/>
    </row>
    <row r="239" ht="18.75" customHeight="1">
      <c r="D239" s="64"/>
    </row>
    <row r="240" ht="18.75" customHeight="1">
      <c r="D240" s="64"/>
    </row>
    <row r="241" ht="18.75" customHeight="1">
      <c r="D241" s="64"/>
    </row>
    <row r="242" ht="18.75" customHeight="1">
      <c r="D242" s="64"/>
    </row>
    <row r="243" ht="18.75" customHeight="1">
      <c r="D243" s="64"/>
    </row>
    <row r="244" ht="18.75" customHeight="1">
      <c r="D244" s="64"/>
    </row>
    <row r="245" ht="18.75" customHeight="1">
      <c r="D245" s="64"/>
    </row>
    <row r="246" ht="18.75" customHeight="1">
      <c r="D246" s="64"/>
    </row>
    <row r="247" ht="18.75" customHeight="1">
      <c r="D247" s="64"/>
    </row>
    <row r="248" ht="18.75" customHeight="1">
      <c r="D248" s="64"/>
    </row>
    <row r="249" ht="18.75" customHeight="1">
      <c r="D249" s="64"/>
    </row>
    <row r="250" ht="18.75" customHeight="1">
      <c r="D250" s="64"/>
    </row>
    <row r="251" ht="18.75" customHeight="1">
      <c r="D251" s="64"/>
    </row>
    <row r="252" ht="18.75" customHeight="1">
      <c r="D252" s="64"/>
    </row>
    <row r="253" ht="18.75" customHeight="1">
      <c r="D253" s="64"/>
    </row>
    <row r="254" ht="18.75" customHeight="1">
      <c r="D254" s="64"/>
    </row>
    <row r="255" ht="18.75" customHeight="1">
      <c r="D255" s="64"/>
    </row>
    <row r="256" ht="18.75" customHeight="1">
      <c r="D256" s="64"/>
    </row>
    <row r="257" ht="18.75" customHeight="1">
      <c r="D257" s="64"/>
    </row>
    <row r="258" ht="18.75" customHeight="1">
      <c r="D258" s="64"/>
    </row>
    <row r="259" ht="18.75" customHeight="1">
      <c r="D259" s="64"/>
    </row>
    <row r="260" ht="18.75" customHeight="1">
      <c r="D260" s="64"/>
    </row>
    <row r="261" ht="18.75" customHeight="1">
      <c r="D261" s="64"/>
    </row>
    <row r="262" ht="18.75" customHeight="1">
      <c r="D262" s="64"/>
    </row>
    <row r="263" ht="18.75" customHeight="1">
      <c r="D263" s="64"/>
    </row>
    <row r="264" ht="18.75" customHeight="1">
      <c r="D264" s="64"/>
    </row>
    <row r="265" ht="18.75" customHeight="1">
      <c r="D265" s="64"/>
    </row>
    <row r="266" ht="18.75" customHeight="1">
      <c r="D266" s="64"/>
    </row>
    <row r="267" ht="18.75" customHeight="1">
      <c r="D267" s="64"/>
    </row>
    <row r="268" ht="18.75" customHeight="1">
      <c r="D268" s="64"/>
    </row>
    <row r="269" ht="18.75" customHeight="1">
      <c r="D269" s="64"/>
    </row>
    <row r="270" ht="18.75" customHeight="1">
      <c r="D270" s="64"/>
    </row>
    <row r="271" ht="18.75" customHeight="1">
      <c r="D271" s="64"/>
    </row>
    <row r="272" ht="18.75" customHeight="1">
      <c r="D272" s="64"/>
    </row>
    <row r="273" ht="18.75" customHeight="1">
      <c r="D273" s="64"/>
    </row>
    <row r="274" ht="18.75" customHeight="1">
      <c r="D274" s="64"/>
    </row>
    <row r="275" ht="18.75" customHeight="1">
      <c r="D275" s="64"/>
    </row>
    <row r="276" ht="18.75" customHeight="1">
      <c r="D276" s="64"/>
    </row>
    <row r="277" ht="18.75" customHeight="1">
      <c r="D277" s="64"/>
    </row>
    <row r="278" ht="18.75" customHeight="1">
      <c r="D278" s="64"/>
    </row>
    <row r="279" ht="18.75" customHeight="1">
      <c r="D279" s="64"/>
    </row>
    <row r="280" ht="18.75" customHeight="1">
      <c r="D280" s="64"/>
    </row>
    <row r="281" ht="18.75" customHeight="1">
      <c r="D281" s="64"/>
    </row>
    <row r="282" ht="18.75" customHeight="1">
      <c r="D282" s="64"/>
    </row>
    <row r="283" ht="18.75" customHeight="1">
      <c r="D283" s="64"/>
    </row>
    <row r="284" ht="18.75" customHeight="1">
      <c r="D284" s="64"/>
    </row>
    <row r="285" ht="18.75" customHeight="1">
      <c r="D285" s="64"/>
    </row>
    <row r="286" ht="18.75" customHeight="1">
      <c r="D286" s="64"/>
    </row>
    <row r="287" ht="18.75" customHeight="1">
      <c r="D287" s="64"/>
    </row>
    <row r="288" ht="18.75" customHeight="1">
      <c r="D288" s="64"/>
    </row>
    <row r="289" ht="18.75" customHeight="1">
      <c r="D289" s="64"/>
    </row>
    <row r="290" ht="18.75" customHeight="1">
      <c r="D290" s="64"/>
    </row>
    <row r="291" ht="18.75" customHeight="1">
      <c r="D291" s="64"/>
    </row>
    <row r="292" ht="18.75" customHeight="1">
      <c r="D292" s="64"/>
    </row>
    <row r="293" ht="18.75" customHeight="1">
      <c r="D293" s="64"/>
    </row>
    <row r="294" ht="18.75" customHeight="1">
      <c r="D294" s="64"/>
    </row>
    <row r="295" ht="18.75" customHeight="1">
      <c r="D295" s="64"/>
    </row>
    <row r="296" ht="18.75" customHeight="1">
      <c r="D296" s="64"/>
    </row>
    <row r="297" ht="18.75" customHeight="1">
      <c r="D297" s="64"/>
    </row>
    <row r="298" ht="18.75" customHeight="1">
      <c r="D298" s="64"/>
    </row>
    <row r="299" ht="18.75" customHeight="1">
      <c r="D299" s="64"/>
    </row>
    <row r="300" ht="18.75" customHeight="1">
      <c r="D300" s="64"/>
    </row>
    <row r="301" ht="18.75" customHeight="1">
      <c r="D301" s="64"/>
    </row>
    <row r="302" ht="18.75" customHeight="1">
      <c r="D302" s="64"/>
    </row>
    <row r="303" ht="18.75" customHeight="1">
      <c r="D303" s="64"/>
    </row>
    <row r="304" ht="18.75" customHeight="1">
      <c r="D304" s="64"/>
    </row>
    <row r="305" ht="18.75" customHeight="1">
      <c r="D305" s="64"/>
    </row>
    <row r="306" ht="18.75" customHeight="1">
      <c r="D306" s="64"/>
    </row>
    <row r="307" ht="18.75" customHeight="1">
      <c r="D307" s="64"/>
    </row>
    <row r="308" ht="18.75" customHeight="1">
      <c r="D308" s="64"/>
    </row>
    <row r="309" ht="18.75" customHeight="1">
      <c r="D309" s="64"/>
    </row>
    <row r="310" ht="18.75" customHeight="1">
      <c r="D310" s="64"/>
    </row>
    <row r="311" ht="18.75" customHeight="1">
      <c r="D311" s="64"/>
    </row>
    <row r="312" ht="18.75" customHeight="1">
      <c r="D312" s="64"/>
    </row>
    <row r="313" ht="18.75" customHeight="1">
      <c r="D313" s="64"/>
    </row>
    <row r="314" ht="18.75" customHeight="1">
      <c r="D314" s="64"/>
    </row>
    <row r="315" ht="18.75" customHeight="1">
      <c r="D315" s="64"/>
    </row>
    <row r="316" ht="18.75" customHeight="1">
      <c r="D316" s="64"/>
    </row>
    <row r="317" ht="18.75" customHeight="1">
      <c r="D317" s="64"/>
    </row>
    <row r="318" ht="18.75" customHeight="1">
      <c r="D318" s="64"/>
    </row>
    <row r="319" ht="18.75" customHeight="1">
      <c r="D319" s="64"/>
    </row>
    <row r="320" ht="18.75" customHeight="1">
      <c r="D320" s="64"/>
    </row>
    <row r="321" ht="18.75" customHeight="1">
      <c r="D321" s="64"/>
    </row>
    <row r="322" ht="18.75" customHeight="1">
      <c r="D322" s="64"/>
    </row>
    <row r="323" ht="18.75" customHeight="1">
      <c r="D323" s="64"/>
    </row>
    <row r="324" ht="18.75" customHeight="1">
      <c r="D324" s="64"/>
    </row>
    <row r="325" ht="18.75" customHeight="1">
      <c r="D325" s="64"/>
    </row>
    <row r="326" ht="18.75" customHeight="1">
      <c r="D326" s="64"/>
    </row>
    <row r="327" ht="18.75" customHeight="1">
      <c r="D327" s="64"/>
    </row>
    <row r="328" ht="18.75" customHeight="1">
      <c r="D328" s="64"/>
    </row>
    <row r="329" ht="18.75" customHeight="1">
      <c r="D329" s="64"/>
    </row>
    <row r="330" ht="18.75" customHeight="1">
      <c r="D330" s="64"/>
    </row>
    <row r="331" ht="18.75" customHeight="1">
      <c r="D331" s="64"/>
    </row>
    <row r="332" ht="18.75" customHeight="1">
      <c r="D332" s="64"/>
    </row>
    <row r="333" ht="18.75" customHeight="1">
      <c r="D333" s="64"/>
    </row>
    <row r="334" ht="18.75" customHeight="1">
      <c r="D334" s="64"/>
    </row>
    <row r="335" ht="18.75" customHeight="1">
      <c r="D335" s="64"/>
    </row>
    <row r="336" ht="18.75" customHeight="1">
      <c r="D336" s="64"/>
    </row>
    <row r="337" ht="18.75" customHeight="1">
      <c r="D337" s="64"/>
    </row>
    <row r="338" ht="18.75" customHeight="1">
      <c r="D338" s="64"/>
    </row>
    <row r="339" ht="18.75" customHeight="1">
      <c r="D339" s="64"/>
    </row>
    <row r="340" ht="18.75" customHeight="1">
      <c r="D340" s="64"/>
    </row>
    <row r="341" ht="18.75" customHeight="1">
      <c r="D341" s="64"/>
    </row>
    <row r="342" ht="18.75" customHeight="1">
      <c r="D342" s="64"/>
    </row>
    <row r="343" ht="18.75" customHeight="1">
      <c r="D343" s="64"/>
    </row>
    <row r="344" ht="18.75" customHeight="1">
      <c r="D344" s="64"/>
    </row>
    <row r="345" ht="18.75" customHeight="1">
      <c r="D345" s="64"/>
    </row>
    <row r="346" ht="18.75" customHeight="1">
      <c r="D346" s="64"/>
    </row>
    <row r="347" ht="18.75" customHeight="1">
      <c r="D347" s="64"/>
    </row>
    <row r="348" ht="18.75" customHeight="1">
      <c r="D348" s="64"/>
    </row>
    <row r="349" ht="18.75" customHeight="1">
      <c r="D349" s="64"/>
    </row>
    <row r="350" ht="18.75" customHeight="1">
      <c r="D350" s="64"/>
    </row>
    <row r="351" ht="18.75" customHeight="1">
      <c r="D351" s="64"/>
    </row>
    <row r="352" ht="18.75" customHeight="1">
      <c r="D352" s="64"/>
    </row>
    <row r="353" ht="18.75" customHeight="1">
      <c r="D353" s="64"/>
    </row>
    <row r="354" ht="18.75" customHeight="1">
      <c r="D354" s="64"/>
    </row>
    <row r="355" ht="18.75" customHeight="1">
      <c r="D355" s="64"/>
    </row>
    <row r="356" ht="18.75" customHeight="1">
      <c r="D356" s="64"/>
    </row>
    <row r="357" ht="18.75" customHeight="1">
      <c r="D357" s="64"/>
    </row>
    <row r="358" ht="18.75" customHeight="1">
      <c r="D358" s="64"/>
    </row>
    <row r="359" ht="18.75" customHeight="1">
      <c r="D359" s="64"/>
    </row>
    <row r="360" ht="18.75" customHeight="1">
      <c r="D360" s="64"/>
    </row>
    <row r="361" ht="18.75" customHeight="1">
      <c r="D361" s="64"/>
    </row>
    <row r="362" ht="18.75" customHeight="1">
      <c r="D362" s="64"/>
    </row>
    <row r="363" ht="18.75" customHeight="1">
      <c r="D363" s="64"/>
    </row>
    <row r="364" ht="18.75" customHeight="1">
      <c r="D364" s="64"/>
    </row>
    <row r="365" ht="18.75" customHeight="1">
      <c r="D365" s="64"/>
    </row>
    <row r="366" ht="18.75" customHeight="1">
      <c r="D366" s="64"/>
    </row>
    <row r="367" ht="18.75" customHeight="1">
      <c r="D367" s="64"/>
    </row>
    <row r="368" ht="18.75" customHeight="1">
      <c r="D368" s="64"/>
    </row>
    <row r="369" ht="18.75" customHeight="1">
      <c r="D369" s="64"/>
    </row>
    <row r="370" ht="18.75" customHeight="1">
      <c r="D370" s="64"/>
    </row>
    <row r="371" ht="18.75" customHeight="1">
      <c r="D371" s="64"/>
    </row>
    <row r="372" ht="18.75" customHeight="1">
      <c r="D372" s="64"/>
    </row>
    <row r="373" ht="18.75" customHeight="1">
      <c r="D373" s="64"/>
    </row>
    <row r="374" ht="18.75" customHeight="1">
      <c r="D374" s="64"/>
    </row>
    <row r="375" ht="18.75" customHeight="1">
      <c r="D375" s="64"/>
    </row>
    <row r="376" ht="18.75" customHeight="1">
      <c r="D376" s="64"/>
    </row>
    <row r="377" ht="18.75" customHeight="1">
      <c r="D377" s="64"/>
    </row>
    <row r="378" ht="18.75" customHeight="1">
      <c r="D378" s="64"/>
    </row>
    <row r="379" ht="18.75" customHeight="1">
      <c r="D379" s="64"/>
    </row>
    <row r="380" ht="18.75" customHeight="1">
      <c r="D380" s="64"/>
    </row>
    <row r="381" ht="18.75" customHeight="1">
      <c r="D381" s="64"/>
    </row>
    <row r="382" ht="18.75" customHeight="1">
      <c r="D382" s="64"/>
    </row>
    <row r="383" ht="18.75" customHeight="1">
      <c r="D383" s="64"/>
    </row>
    <row r="384" ht="18.75" customHeight="1">
      <c r="D384" s="64"/>
    </row>
    <row r="385" ht="18.75" customHeight="1">
      <c r="D385" s="64"/>
    </row>
    <row r="386" ht="18.75" customHeight="1">
      <c r="D386" s="64"/>
    </row>
    <row r="387" ht="18.75" customHeight="1">
      <c r="D387" s="64"/>
    </row>
    <row r="388" ht="18.75" customHeight="1">
      <c r="D388" s="64"/>
    </row>
    <row r="389" ht="18.75" customHeight="1">
      <c r="D389" s="64"/>
    </row>
    <row r="390" ht="18.75" customHeight="1">
      <c r="D390" s="64"/>
    </row>
    <row r="391" ht="18.75" customHeight="1">
      <c r="D391" s="64"/>
    </row>
    <row r="392" ht="18.75" customHeight="1">
      <c r="D392" s="64"/>
    </row>
    <row r="393" ht="18.75" customHeight="1">
      <c r="D393" s="64"/>
    </row>
    <row r="394" ht="18.75" customHeight="1">
      <c r="D394" s="64"/>
    </row>
    <row r="395" ht="18.75" customHeight="1">
      <c r="D395" s="64"/>
    </row>
    <row r="396" ht="18.75" customHeight="1">
      <c r="D396" s="64"/>
    </row>
    <row r="397" ht="18.75" customHeight="1">
      <c r="D397" s="64"/>
    </row>
    <row r="398" ht="18.75" customHeight="1">
      <c r="D398" s="64"/>
    </row>
    <row r="399" ht="18.75" customHeight="1">
      <c r="D399" s="64"/>
    </row>
    <row r="400" ht="18.75" customHeight="1">
      <c r="D400" s="64"/>
    </row>
    <row r="401" ht="18.75" customHeight="1">
      <c r="D401" s="64"/>
    </row>
    <row r="402" ht="18.75" customHeight="1">
      <c r="D402" s="64"/>
    </row>
    <row r="403" ht="18.75" customHeight="1">
      <c r="D403" s="64"/>
    </row>
    <row r="404" ht="18.75" customHeight="1">
      <c r="D404" s="64"/>
    </row>
    <row r="405" ht="18.75" customHeight="1">
      <c r="D405" s="64"/>
    </row>
    <row r="406" ht="18.75" customHeight="1">
      <c r="D406" s="64"/>
    </row>
    <row r="407" ht="18.75" customHeight="1">
      <c r="D407" s="64"/>
    </row>
    <row r="408" ht="18.75" customHeight="1">
      <c r="D408" s="64"/>
    </row>
    <row r="409" ht="18.75" customHeight="1">
      <c r="D409" s="64"/>
    </row>
    <row r="410" ht="18.75" customHeight="1">
      <c r="D410" s="64"/>
    </row>
    <row r="411" ht="18.75" customHeight="1">
      <c r="D411" s="64"/>
    </row>
    <row r="412" ht="18.75" customHeight="1">
      <c r="D412" s="64"/>
    </row>
    <row r="413" ht="18.75" customHeight="1">
      <c r="D413" s="64"/>
    </row>
    <row r="414" ht="18.75" customHeight="1">
      <c r="D414" s="64"/>
    </row>
    <row r="415" ht="18.75" customHeight="1">
      <c r="D415" s="64"/>
    </row>
    <row r="416" ht="18.75" customHeight="1">
      <c r="D416" s="64"/>
    </row>
    <row r="417" ht="18.75" customHeight="1">
      <c r="D417" s="64"/>
    </row>
    <row r="418" ht="18.75" customHeight="1">
      <c r="D418" s="64"/>
    </row>
    <row r="419" ht="18.75" customHeight="1">
      <c r="D419" s="64"/>
    </row>
    <row r="420" ht="18.75" customHeight="1">
      <c r="D420" s="64"/>
    </row>
    <row r="421" ht="18.75" customHeight="1">
      <c r="D421" s="64"/>
    </row>
    <row r="422" ht="18.75" customHeight="1">
      <c r="D422" s="64"/>
    </row>
    <row r="423" ht="18.75" customHeight="1">
      <c r="D423" s="64"/>
    </row>
    <row r="424" ht="18.75" customHeight="1">
      <c r="D424" s="64"/>
    </row>
    <row r="425" ht="18.75" customHeight="1">
      <c r="D425" s="64"/>
    </row>
    <row r="426" ht="18.75" customHeight="1">
      <c r="D426" s="64"/>
    </row>
    <row r="427" ht="18.75" customHeight="1">
      <c r="D427" s="64"/>
    </row>
    <row r="428" ht="18.75" customHeight="1">
      <c r="D428" s="64"/>
    </row>
    <row r="429" ht="18.75" customHeight="1">
      <c r="D429" s="64"/>
    </row>
    <row r="430" ht="18.75" customHeight="1">
      <c r="D430" s="64"/>
    </row>
    <row r="431" ht="18.75" customHeight="1">
      <c r="D431" s="64"/>
    </row>
    <row r="432" ht="18.75" customHeight="1">
      <c r="D432" s="64"/>
    </row>
    <row r="433" ht="18.75" customHeight="1">
      <c r="D433" s="64"/>
    </row>
    <row r="434" ht="18.75" customHeight="1">
      <c r="D434" s="64"/>
    </row>
    <row r="435" ht="18.75" customHeight="1">
      <c r="D435" s="64"/>
    </row>
    <row r="436" ht="18.75" customHeight="1">
      <c r="D436" s="64"/>
    </row>
    <row r="437" ht="18.75" customHeight="1">
      <c r="D437" s="64"/>
    </row>
    <row r="438" ht="18.75" customHeight="1">
      <c r="D438" s="64"/>
    </row>
    <row r="439" ht="18.75" customHeight="1">
      <c r="D439" s="64"/>
    </row>
    <row r="440" ht="18.75" customHeight="1">
      <c r="D440" s="64"/>
    </row>
    <row r="441" ht="18.75" customHeight="1">
      <c r="D441" s="64"/>
    </row>
    <row r="442" ht="18.75" customHeight="1">
      <c r="D442" s="64"/>
    </row>
    <row r="443" ht="18.75" customHeight="1">
      <c r="D443" s="64"/>
    </row>
    <row r="444" ht="18.75" customHeight="1">
      <c r="D444" s="64"/>
    </row>
    <row r="445" ht="18.75" customHeight="1">
      <c r="D445" s="64"/>
    </row>
    <row r="446" ht="18.75" customHeight="1">
      <c r="D446" s="64"/>
    </row>
    <row r="447" ht="18.75" customHeight="1">
      <c r="D447" s="64"/>
    </row>
    <row r="448" ht="18.75" customHeight="1">
      <c r="D448" s="64"/>
    </row>
    <row r="449" ht="18.75" customHeight="1">
      <c r="D449" s="64"/>
    </row>
    <row r="450" ht="18.75" customHeight="1">
      <c r="D450" s="64"/>
    </row>
    <row r="451" ht="18.75" customHeight="1">
      <c r="D451" s="64"/>
    </row>
    <row r="452" ht="18.75" customHeight="1">
      <c r="D452" s="64"/>
    </row>
    <row r="453" ht="18.75" customHeight="1">
      <c r="D453" s="64"/>
    </row>
    <row r="454" ht="18.75" customHeight="1">
      <c r="D454" s="64"/>
    </row>
    <row r="455" ht="18.75" customHeight="1">
      <c r="D455" s="64"/>
    </row>
    <row r="456" ht="18.75" customHeight="1">
      <c r="D456" s="64"/>
    </row>
    <row r="457" ht="18.75" customHeight="1">
      <c r="D457" s="64"/>
    </row>
    <row r="458" ht="18.75" customHeight="1">
      <c r="D458" s="64"/>
    </row>
    <row r="459" ht="18.75" customHeight="1">
      <c r="D459" s="64"/>
    </row>
    <row r="460" ht="18.75" customHeight="1">
      <c r="D460" s="64"/>
    </row>
    <row r="461" ht="18.75" customHeight="1">
      <c r="D461" s="64"/>
    </row>
    <row r="462" ht="18.75" customHeight="1">
      <c r="D462" s="64"/>
    </row>
    <row r="463" ht="18.75" customHeight="1">
      <c r="D463" s="64"/>
    </row>
    <row r="464" ht="18.75" customHeight="1">
      <c r="D464" s="64"/>
    </row>
    <row r="465" ht="18.75" customHeight="1">
      <c r="D465" s="64"/>
    </row>
    <row r="466" ht="18.75" customHeight="1">
      <c r="D466" s="64"/>
    </row>
    <row r="467" ht="18.75" customHeight="1">
      <c r="D467" s="64"/>
    </row>
    <row r="468" ht="18.75" customHeight="1">
      <c r="D468" s="64"/>
    </row>
    <row r="469" ht="18.75" customHeight="1">
      <c r="D469" s="64"/>
    </row>
    <row r="470" ht="18.75" customHeight="1">
      <c r="D470" s="64"/>
    </row>
    <row r="471" ht="18.75" customHeight="1">
      <c r="D471" s="64"/>
    </row>
    <row r="472" ht="18.75" customHeight="1">
      <c r="D472" s="64"/>
    </row>
    <row r="473" ht="18.75" customHeight="1">
      <c r="D473" s="64"/>
    </row>
    <row r="474" ht="18.75" customHeight="1">
      <c r="D474" s="64"/>
    </row>
    <row r="475" ht="18.75" customHeight="1">
      <c r="D475" s="64"/>
    </row>
    <row r="476" ht="18.75" customHeight="1">
      <c r="D476" s="64"/>
    </row>
    <row r="477" ht="18.75" customHeight="1">
      <c r="D477" s="64"/>
    </row>
    <row r="478" ht="18.75" customHeight="1">
      <c r="D478" s="64"/>
    </row>
    <row r="479" ht="18.75" customHeight="1">
      <c r="D479" s="64"/>
    </row>
    <row r="480" ht="18.75" customHeight="1">
      <c r="D480" s="64"/>
    </row>
    <row r="481" ht="18.75" customHeight="1">
      <c r="D481" s="64"/>
    </row>
    <row r="482" ht="18.75" customHeight="1">
      <c r="D482" s="64"/>
    </row>
    <row r="483" ht="18.75" customHeight="1">
      <c r="D483" s="64"/>
    </row>
    <row r="484" ht="18.75" customHeight="1">
      <c r="D484" s="64"/>
    </row>
    <row r="485" ht="18.75" customHeight="1">
      <c r="D485" s="64"/>
    </row>
    <row r="486" ht="18.75" customHeight="1">
      <c r="D486" s="64"/>
    </row>
    <row r="487" ht="18.75" customHeight="1">
      <c r="D487" s="64"/>
    </row>
    <row r="488" ht="18.75" customHeight="1">
      <c r="D488" s="64"/>
    </row>
    <row r="489" ht="18.75" customHeight="1">
      <c r="D489" s="64"/>
    </row>
    <row r="490" ht="18.75" customHeight="1">
      <c r="D490" s="64"/>
    </row>
    <row r="491" ht="18.75" customHeight="1">
      <c r="D491" s="64"/>
    </row>
    <row r="492" ht="18.75" customHeight="1">
      <c r="D492" s="64"/>
    </row>
    <row r="493" ht="18.75" customHeight="1">
      <c r="D493" s="64"/>
    </row>
    <row r="494" ht="18.75" customHeight="1">
      <c r="D494" s="64"/>
    </row>
    <row r="495" ht="18.75" customHeight="1">
      <c r="D495" s="64"/>
    </row>
    <row r="496" ht="18.75" customHeight="1">
      <c r="D496" s="64"/>
    </row>
    <row r="497" ht="18.75" customHeight="1">
      <c r="D497" s="64"/>
    </row>
    <row r="498" ht="18.75" customHeight="1">
      <c r="D498" s="64"/>
    </row>
    <row r="499" ht="18.75" customHeight="1">
      <c r="D499" s="64"/>
    </row>
    <row r="500" ht="18.75" customHeight="1">
      <c r="D500" s="64"/>
    </row>
    <row r="501" ht="18.75" customHeight="1">
      <c r="D501" s="64"/>
    </row>
    <row r="502" ht="18.75" customHeight="1">
      <c r="D502" s="64"/>
    </row>
    <row r="503" ht="18.75" customHeight="1">
      <c r="D503" s="64"/>
    </row>
    <row r="504" ht="18.75" customHeight="1">
      <c r="D504" s="64"/>
    </row>
    <row r="505" ht="18.75" customHeight="1">
      <c r="D505" s="64"/>
    </row>
    <row r="506" ht="18.75" customHeight="1">
      <c r="D506" s="64"/>
    </row>
    <row r="507" ht="18.75" customHeight="1">
      <c r="D507" s="64"/>
    </row>
    <row r="508" ht="18.75" customHeight="1">
      <c r="D508" s="64"/>
    </row>
    <row r="509" ht="18.75" customHeight="1">
      <c r="D509" s="64"/>
    </row>
    <row r="510" ht="18.75" customHeight="1">
      <c r="D510" s="64"/>
    </row>
    <row r="511" ht="18.75" customHeight="1">
      <c r="D511" s="64"/>
    </row>
    <row r="512" ht="18.75" customHeight="1">
      <c r="D512" s="64"/>
    </row>
    <row r="513" ht="18.75" customHeight="1">
      <c r="D513" s="64"/>
    </row>
    <row r="514" ht="18.75" customHeight="1">
      <c r="D514" s="64"/>
    </row>
    <row r="515" ht="18.75" customHeight="1">
      <c r="D515" s="64"/>
    </row>
    <row r="516" ht="18.75" customHeight="1">
      <c r="D516" s="64"/>
    </row>
    <row r="517" ht="18.75" customHeight="1">
      <c r="D517" s="64"/>
    </row>
    <row r="518" ht="18.75" customHeight="1">
      <c r="D518" s="64"/>
    </row>
    <row r="519" ht="18.75" customHeight="1">
      <c r="D519" s="64"/>
    </row>
    <row r="520" ht="18.75" customHeight="1">
      <c r="D520" s="64"/>
    </row>
    <row r="521" ht="18.75" customHeight="1">
      <c r="D521" s="64"/>
    </row>
    <row r="522" ht="18.75" customHeight="1">
      <c r="D522" s="64"/>
    </row>
    <row r="523" ht="18.75" customHeight="1">
      <c r="D523" s="64"/>
    </row>
    <row r="524" ht="18.75" customHeight="1">
      <c r="D524" s="64"/>
    </row>
    <row r="525" ht="18.75" customHeight="1">
      <c r="D525" s="64"/>
    </row>
    <row r="526" ht="18.75" customHeight="1">
      <c r="D526" s="64"/>
    </row>
    <row r="527" ht="18.75" customHeight="1">
      <c r="D527" s="64"/>
    </row>
    <row r="528" ht="18.75" customHeight="1">
      <c r="D528" s="64"/>
    </row>
    <row r="529" ht="18.75" customHeight="1">
      <c r="D529" s="64"/>
    </row>
    <row r="530" ht="18.75" customHeight="1">
      <c r="D530" s="64"/>
    </row>
    <row r="531" ht="18.75" customHeight="1">
      <c r="D531" s="64"/>
    </row>
    <row r="532" ht="18.75" customHeight="1">
      <c r="D532" s="64"/>
    </row>
    <row r="533" ht="18.75" customHeight="1">
      <c r="D533" s="64"/>
    </row>
    <row r="534" ht="18.75" customHeight="1">
      <c r="D534" s="64"/>
    </row>
    <row r="535" ht="18.75" customHeight="1">
      <c r="D535" s="64"/>
    </row>
    <row r="536" ht="18.75" customHeight="1">
      <c r="D536" s="64"/>
    </row>
    <row r="537" ht="18.75" customHeight="1">
      <c r="D537" s="64"/>
    </row>
    <row r="538" ht="18.75" customHeight="1">
      <c r="D538" s="64"/>
    </row>
    <row r="539" ht="18.75" customHeight="1">
      <c r="D539" s="64"/>
    </row>
    <row r="540" ht="18.75" customHeight="1">
      <c r="D540" s="64"/>
    </row>
    <row r="541" ht="18.75" customHeight="1">
      <c r="D541" s="64"/>
    </row>
    <row r="542" ht="18.75" customHeight="1">
      <c r="D542" s="64"/>
    </row>
    <row r="543" ht="18.75" customHeight="1">
      <c r="D543" s="64"/>
    </row>
    <row r="544" ht="18.75" customHeight="1">
      <c r="D544" s="64"/>
    </row>
    <row r="545" ht="18.75" customHeight="1">
      <c r="D545" s="64"/>
    </row>
    <row r="546" ht="18.75" customHeight="1">
      <c r="D546" s="64"/>
    </row>
    <row r="547" ht="18.75" customHeight="1">
      <c r="D547" s="64"/>
    </row>
    <row r="548" ht="18.75" customHeight="1">
      <c r="D548" s="64"/>
    </row>
    <row r="549" ht="18.75" customHeight="1">
      <c r="D549" s="64"/>
    </row>
    <row r="550" ht="18.75" customHeight="1">
      <c r="D550" s="64"/>
    </row>
    <row r="551" ht="18.75" customHeight="1">
      <c r="D551" s="64"/>
    </row>
    <row r="552" ht="18.75" customHeight="1">
      <c r="D552" s="64"/>
    </row>
    <row r="553" ht="18.75" customHeight="1">
      <c r="D553" s="64"/>
    </row>
    <row r="554" ht="18.75" customHeight="1">
      <c r="D554" s="64"/>
    </row>
    <row r="555" ht="18.75" customHeight="1">
      <c r="D555" s="64"/>
    </row>
    <row r="556" ht="18.75" customHeight="1">
      <c r="D556" s="64"/>
    </row>
    <row r="557" ht="18.75" customHeight="1">
      <c r="D557" s="64"/>
    </row>
    <row r="558" ht="18.75" customHeight="1">
      <c r="D558" s="64"/>
    </row>
    <row r="559" ht="18.75" customHeight="1">
      <c r="D559" s="64"/>
    </row>
    <row r="560" ht="18.75" customHeight="1">
      <c r="D560" s="64"/>
    </row>
    <row r="561" ht="18.75" customHeight="1">
      <c r="D561" s="64"/>
    </row>
    <row r="562" ht="18.75" customHeight="1">
      <c r="D562" s="64"/>
    </row>
    <row r="563" ht="18.75" customHeight="1">
      <c r="D563" s="64"/>
    </row>
    <row r="564" ht="18.75" customHeight="1">
      <c r="D564" s="64"/>
    </row>
    <row r="565" ht="18.75" customHeight="1">
      <c r="D565" s="64"/>
    </row>
    <row r="566" ht="18.75" customHeight="1">
      <c r="D566" s="64"/>
    </row>
    <row r="567" ht="18.75" customHeight="1">
      <c r="D567" s="64"/>
    </row>
    <row r="568" ht="18.75" customHeight="1">
      <c r="D568" s="64"/>
    </row>
    <row r="569" ht="18.75" customHeight="1">
      <c r="D569" s="64"/>
    </row>
    <row r="570" ht="18.75" customHeight="1">
      <c r="D570" s="64"/>
    </row>
    <row r="571" ht="18.75" customHeight="1">
      <c r="D571" s="64"/>
    </row>
    <row r="572" ht="18.75" customHeight="1">
      <c r="D572" s="64"/>
    </row>
    <row r="573" ht="18.75" customHeight="1">
      <c r="D573" s="64"/>
    </row>
    <row r="574" ht="18.75" customHeight="1">
      <c r="D574" s="64"/>
    </row>
    <row r="575" ht="18.75" customHeight="1">
      <c r="D575" s="64"/>
    </row>
    <row r="576" ht="18.75" customHeight="1">
      <c r="D576" s="64"/>
    </row>
    <row r="577" ht="18.75" customHeight="1">
      <c r="D577" s="64"/>
    </row>
    <row r="578" ht="18.75" customHeight="1">
      <c r="D578" s="64"/>
    </row>
    <row r="579" ht="18.75" customHeight="1">
      <c r="D579" s="64"/>
    </row>
    <row r="580" ht="18.75" customHeight="1">
      <c r="D580" s="64"/>
    </row>
    <row r="581" ht="18.75" customHeight="1">
      <c r="D581" s="64"/>
    </row>
    <row r="582" ht="18.75" customHeight="1">
      <c r="D582" s="64"/>
    </row>
    <row r="583" ht="18.75" customHeight="1">
      <c r="D583" s="64"/>
    </row>
    <row r="584" ht="18.75" customHeight="1">
      <c r="D584" s="64"/>
    </row>
    <row r="585" ht="18.75" customHeight="1">
      <c r="D585" s="64"/>
    </row>
    <row r="586" ht="18.75" customHeight="1">
      <c r="D586" s="64"/>
    </row>
    <row r="587" ht="18.75" customHeight="1">
      <c r="D587" s="64"/>
    </row>
    <row r="588" ht="18.75" customHeight="1">
      <c r="D588" s="64"/>
    </row>
    <row r="589" ht="18.75" customHeight="1">
      <c r="D589" s="64"/>
    </row>
    <row r="590" ht="18.75" customHeight="1">
      <c r="D590" s="64"/>
    </row>
    <row r="591" ht="18.75" customHeight="1">
      <c r="D591" s="64"/>
    </row>
    <row r="592" ht="18.75" customHeight="1">
      <c r="D592" s="64"/>
    </row>
    <row r="593" ht="18.75" customHeight="1">
      <c r="D593" s="64"/>
    </row>
    <row r="594" ht="18.75" customHeight="1">
      <c r="D594" s="64"/>
    </row>
    <row r="595" ht="18.75" customHeight="1">
      <c r="D595" s="64"/>
    </row>
    <row r="596" ht="18.75" customHeight="1">
      <c r="D596" s="64"/>
    </row>
    <row r="597" ht="18.75" customHeight="1">
      <c r="D597" s="64"/>
    </row>
    <row r="598" ht="18.75" customHeight="1">
      <c r="D598" s="64"/>
    </row>
    <row r="599" ht="18.75" customHeight="1">
      <c r="D599" s="64"/>
    </row>
    <row r="600" ht="18.75" customHeight="1">
      <c r="D600" s="64"/>
    </row>
    <row r="601" ht="18.75" customHeight="1">
      <c r="D601" s="64"/>
    </row>
    <row r="602" ht="18.75" customHeight="1">
      <c r="D602" s="64"/>
    </row>
    <row r="603" ht="18.75" customHeight="1">
      <c r="D603" s="64"/>
    </row>
    <row r="604" ht="18.75" customHeight="1">
      <c r="D604" s="64"/>
    </row>
    <row r="605" ht="18.75" customHeight="1">
      <c r="D605" s="64"/>
    </row>
    <row r="606" ht="18.75" customHeight="1">
      <c r="D606" s="64"/>
    </row>
    <row r="607" ht="18.75" customHeight="1">
      <c r="D607" s="64"/>
    </row>
    <row r="608" ht="18.75" customHeight="1">
      <c r="D608" s="64"/>
    </row>
    <row r="609" ht="18.75" customHeight="1">
      <c r="D609" s="64"/>
    </row>
    <row r="610" ht="18.75" customHeight="1">
      <c r="D610" s="64"/>
    </row>
    <row r="611" ht="18.75" customHeight="1">
      <c r="D611" s="64"/>
    </row>
    <row r="612" ht="18.75" customHeight="1">
      <c r="D612" s="64"/>
    </row>
    <row r="613" ht="18.75" customHeight="1">
      <c r="D613" s="64"/>
    </row>
    <row r="614" ht="18.75" customHeight="1">
      <c r="D614" s="64"/>
    </row>
    <row r="615" ht="18.75" customHeight="1">
      <c r="D615" s="64"/>
    </row>
    <row r="616" ht="18.75" customHeight="1">
      <c r="D616" s="64"/>
    </row>
    <row r="617" ht="18.75" customHeight="1">
      <c r="D617" s="64"/>
    </row>
    <row r="618" ht="18.75" customHeight="1">
      <c r="D618" s="64"/>
    </row>
    <row r="619" ht="18.75" customHeight="1">
      <c r="D619" s="64"/>
    </row>
    <row r="620" ht="18.75" customHeight="1">
      <c r="D620" s="64"/>
    </row>
    <row r="621" ht="18.75" customHeight="1">
      <c r="D621" s="64"/>
    </row>
    <row r="622" ht="18.75" customHeight="1">
      <c r="D622" s="64"/>
    </row>
    <row r="623" ht="18.75" customHeight="1">
      <c r="D623" s="64"/>
    </row>
    <row r="624" ht="18.75" customHeight="1">
      <c r="D624" s="64"/>
    </row>
    <row r="625" ht="18.75" customHeight="1">
      <c r="D625" s="64"/>
    </row>
    <row r="626" ht="18.75" customHeight="1">
      <c r="D626" s="64"/>
    </row>
    <row r="627" ht="18.75" customHeight="1">
      <c r="D627" s="64"/>
    </row>
    <row r="628" ht="18.75" customHeight="1">
      <c r="D628" s="64"/>
    </row>
    <row r="629" ht="18.75" customHeight="1">
      <c r="D629" s="64"/>
    </row>
    <row r="630" ht="18.75" customHeight="1">
      <c r="D630" s="64"/>
    </row>
    <row r="631" ht="18.75" customHeight="1">
      <c r="D631" s="64"/>
    </row>
    <row r="632" ht="18.75" customHeight="1">
      <c r="D632" s="64"/>
    </row>
    <row r="633" ht="18.75" customHeight="1">
      <c r="D633" s="64"/>
    </row>
    <row r="634" ht="18.75" customHeight="1">
      <c r="D634" s="64"/>
    </row>
    <row r="635" ht="18.75" customHeight="1">
      <c r="D635" s="64"/>
    </row>
    <row r="636" ht="18.75" customHeight="1">
      <c r="D636" s="64"/>
    </row>
    <row r="637" ht="18.75" customHeight="1">
      <c r="D637" s="64"/>
    </row>
    <row r="638" ht="18.75" customHeight="1">
      <c r="D638" s="64"/>
    </row>
    <row r="639" ht="18.75" customHeight="1">
      <c r="D639" s="64"/>
    </row>
    <row r="640" ht="18.75" customHeight="1">
      <c r="D640" s="64"/>
    </row>
    <row r="641" ht="18.75" customHeight="1">
      <c r="D641" s="64"/>
    </row>
    <row r="642" ht="18.75" customHeight="1">
      <c r="D642" s="64"/>
    </row>
    <row r="643" ht="18.75" customHeight="1">
      <c r="D643" s="64"/>
    </row>
    <row r="644" ht="18.75" customHeight="1">
      <c r="D644" s="64"/>
    </row>
    <row r="645" ht="18.75" customHeight="1">
      <c r="D645" s="64"/>
    </row>
    <row r="646" ht="18.75" customHeight="1">
      <c r="D646" s="64"/>
    </row>
    <row r="647" ht="18.75" customHeight="1">
      <c r="D647" s="64"/>
    </row>
    <row r="648" ht="18.75" customHeight="1">
      <c r="D648" s="64"/>
    </row>
    <row r="649" ht="18.75" customHeight="1">
      <c r="D649" s="64"/>
    </row>
    <row r="650" ht="18.75" customHeight="1">
      <c r="D650" s="64"/>
    </row>
    <row r="651" ht="18.75" customHeight="1">
      <c r="D651" s="64"/>
    </row>
    <row r="652" ht="18.75" customHeight="1">
      <c r="D652" s="64"/>
    </row>
    <row r="653" ht="18.75" customHeight="1">
      <c r="D653" s="64"/>
    </row>
    <row r="654" ht="18.75" customHeight="1">
      <c r="D654" s="64"/>
    </row>
    <row r="655" ht="18.75" customHeight="1">
      <c r="D655" s="64"/>
    </row>
    <row r="656" ht="18.75" customHeight="1">
      <c r="D656" s="64"/>
    </row>
    <row r="657" ht="18.75" customHeight="1">
      <c r="D657" s="64"/>
    </row>
    <row r="658" ht="18.75" customHeight="1">
      <c r="D658" s="64"/>
    </row>
    <row r="659" ht="18.75" customHeight="1">
      <c r="D659" s="64"/>
    </row>
    <row r="660" ht="18.75" customHeight="1">
      <c r="D660" s="64"/>
    </row>
    <row r="661" ht="18.75" customHeight="1">
      <c r="D661" s="64"/>
    </row>
    <row r="662" ht="18.75" customHeight="1">
      <c r="D662" s="64"/>
    </row>
    <row r="663" ht="18.75" customHeight="1">
      <c r="D663" s="64"/>
    </row>
    <row r="664" ht="18.75" customHeight="1">
      <c r="D664" s="64"/>
    </row>
    <row r="665" ht="18.75" customHeight="1">
      <c r="D665" s="64"/>
    </row>
    <row r="666" ht="18.75" customHeight="1">
      <c r="D666" s="64"/>
    </row>
    <row r="667" ht="18.75" customHeight="1">
      <c r="D667" s="64"/>
    </row>
    <row r="668" ht="18.75" customHeight="1">
      <c r="D668" s="64"/>
    </row>
    <row r="669" ht="18.75" customHeight="1">
      <c r="D669" s="64"/>
    </row>
    <row r="670" ht="18.75" customHeight="1">
      <c r="D670" s="64"/>
    </row>
    <row r="671" ht="18.75" customHeight="1">
      <c r="D671" s="64"/>
    </row>
    <row r="672" ht="18.75" customHeight="1">
      <c r="D672" s="64"/>
    </row>
    <row r="673" ht="18.75" customHeight="1">
      <c r="D673" s="64"/>
    </row>
    <row r="674" ht="18.75" customHeight="1">
      <c r="D674" s="64"/>
    </row>
    <row r="675" ht="18.75" customHeight="1">
      <c r="D675" s="64"/>
    </row>
    <row r="676" ht="18.75" customHeight="1">
      <c r="D676" s="64"/>
    </row>
    <row r="677" ht="18.75" customHeight="1">
      <c r="D677" s="64"/>
    </row>
    <row r="678" ht="18.75" customHeight="1">
      <c r="D678" s="64"/>
    </row>
    <row r="679" ht="18.75" customHeight="1">
      <c r="D679" s="64"/>
    </row>
    <row r="680" ht="18.75" customHeight="1">
      <c r="D680" s="64"/>
    </row>
    <row r="681" ht="18.75" customHeight="1">
      <c r="D681" s="64"/>
    </row>
    <row r="682" ht="18.75" customHeight="1">
      <c r="D682" s="64"/>
    </row>
    <row r="683" ht="18.75" customHeight="1">
      <c r="D683" s="64"/>
    </row>
    <row r="684" ht="18.75" customHeight="1">
      <c r="D684" s="64"/>
    </row>
    <row r="685" ht="18.75" customHeight="1">
      <c r="D685" s="64"/>
    </row>
    <row r="686" ht="18.75" customHeight="1">
      <c r="D686" s="64"/>
    </row>
    <row r="687" ht="18.75" customHeight="1">
      <c r="D687" s="64"/>
    </row>
    <row r="688" ht="18.75" customHeight="1">
      <c r="D688" s="64"/>
    </row>
    <row r="689" ht="18.75" customHeight="1">
      <c r="D689" s="64"/>
    </row>
    <row r="690" ht="18.75" customHeight="1">
      <c r="D690" s="64"/>
    </row>
    <row r="691" ht="18.75" customHeight="1">
      <c r="D691" s="64"/>
    </row>
    <row r="692" ht="18.75" customHeight="1">
      <c r="D692" s="64"/>
    </row>
    <row r="693" ht="18.75" customHeight="1">
      <c r="D693" s="64"/>
    </row>
    <row r="694" ht="18.75" customHeight="1">
      <c r="D694" s="64"/>
    </row>
    <row r="695" ht="18.75" customHeight="1">
      <c r="D695" s="64"/>
    </row>
    <row r="696" ht="18.75" customHeight="1">
      <c r="D696" s="64"/>
    </row>
    <row r="697" ht="18.75" customHeight="1">
      <c r="D697" s="64"/>
    </row>
    <row r="698" ht="18.75" customHeight="1">
      <c r="D698" s="64"/>
    </row>
    <row r="699" ht="18.75" customHeight="1">
      <c r="D699" s="64"/>
    </row>
    <row r="700" ht="18.75" customHeight="1">
      <c r="D700" s="64"/>
    </row>
    <row r="701" ht="18.75" customHeight="1">
      <c r="D701" s="64"/>
    </row>
    <row r="702" ht="18.75" customHeight="1">
      <c r="D702" s="64"/>
    </row>
    <row r="703" ht="18.75" customHeight="1">
      <c r="D703" s="64"/>
    </row>
    <row r="704" ht="18.75" customHeight="1">
      <c r="D704" s="64"/>
    </row>
    <row r="705" ht="18.75" customHeight="1">
      <c r="D705" s="64"/>
    </row>
    <row r="706" ht="18.75" customHeight="1">
      <c r="D706" s="64"/>
    </row>
    <row r="707" ht="18.75" customHeight="1">
      <c r="D707" s="64"/>
    </row>
    <row r="708" ht="18.75" customHeight="1">
      <c r="D708" s="64"/>
    </row>
    <row r="709" ht="18.75" customHeight="1">
      <c r="D709" s="64"/>
    </row>
    <row r="710" ht="18.75" customHeight="1">
      <c r="D710" s="64"/>
    </row>
    <row r="711" ht="18.75" customHeight="1">
      <c r="D711" s="64"/>
    </row>
    <row r="712" ht="18.75" customHeight="1">
      <c r="D712" s="64"/>
    </row>
    <row r="713" ht="18.75" customHeight="1">
      <c r="D713" s="64"/>
    </row>
    <row r="714" ht="18.75" customHeight="1">
      <c r="D714" s="64"/>
    </row>
    <row r="715" ht="18.75" customHeight="1">
      <c r="D715" s="64"/>
    </row>
    <row r="716" ht="18.75" customHeight="1">
      <c r="D716" s="64"/>
    </row>
    <row r="717" ht="18.75" customHeight="1">
      <c r="D717" s="64"/>
    </row>
    <row r="718" ht="18.75" customHeight="1">
      <c r="D718" s="64"/>
    </row>
    <row r="719" ht="18.75" customHeight="1">
      <c r="D719" s="64"/>
    </row>
    <row r="720" ht="18.75" customHeight="1">
      <c r="D720" s="64"/>
    </row>
    <row r="721" ht="18.75" customHeight="1">
      <c r="D721" s="64"/>
    </row>
    <row r="722" ht="18.75" customHeight="1">
      <c r="D722" s="64"/>
    </row>
    <row r="723" ht="18.75" customHeight="1">
      <c r="D723" s="64"/>
    </row>
    <row r="724" ht="18.75" customHeight="1">
      <c r="D724" s="64"/>
    </row>
    <row r="725" ht="18.75" customHeight="1">
      <c r="D725" s="64"/>
    </row>
    <row r="726" ht="18.75" customHeight="1">
      <c r="D726" s="64"/>
    </row>
    <row r="727" ht="18.75" customHeight="1">
      <c r="D727" s="64"/>
    </row>
    <row r="728" ht="18.75" customHeight="1">
      <c r="D728" s="64"/>
    </row>
    <row r="729" ht="18.75" customHeight="1">
      <c r="D729" s="64"/>
    </row>
    <row r="730" ht="18.75" customHeight="1">
      <c r="D730" s="64"/>
    </row>
    <row r="731" ht="18.75" customHeight="1">
      <c r="D731" s="64"/>
    </row>
    <row r="732" ht="18.75" customHeight="1">
      <c r="D732" s="64"/>
    </row>
    <row r="733" ht="18.75" customHeight="1">
      <c r="D733" s="64"/>
    </row>
    <row r="734" ht="18.75" customHeight="1">
      <c r="D734" s="64"/>
    </row>
    <row r="735" ht="18.75" customHeight="1">
      <c r="D735" s="64"/>
    </row>
    <row r="736" ht="18.75" customHeight="1">
      <c r="D736" s="64"/>
    </row>
    <row r="737" ht="18.75" customHeight="1">
      <c r="D737" s="64"/>
    </row>
    <row r="738" ht="18.75" customHeight="1">
      <c r="D738" s="64"/>
    </row>
    <row r="739" ht="18.75" customHeight="1">
      <c r="D739" s="64"/>
    </row>
    <row r="740" ht="18.75" customHeight="1">
      <c r="D740" s="64"/>
    </row>
    <row r="741" ht="18.75" customHeight="1">
      <c r="D741" s="64"/>
    </row>
    <row r="742" ht="18.75" customHeight="1">
      <c r="D742" s="64"/>
    </row>
    <row r="743" ht="18.75" customHeight="1">
      <c r="D743" s="64"/>
    </row>
    <row r="744" ht="18.75" customHeight="1">
      <c r="D744" s="64"/>
    </row>
    <row r="745" ht="18.75" customHeight="1">
      <c r="D745" s="64"/>
    </row>
    <row r="746" ht="18.75" customHeight="1">
      <c r="D746" s="64"/>
    </row>
    <row r="747" ht="18.75" customHeight="1">
      <c r="D747" s="64"/>
    </row>
    <row r="748" ht="18.75" customHeight="1">
      <c r="D748" s="64"/>
    </row>
    <row r="749" ht="18.75" customHeight="1">
      <c r="D749" s="64"/>
    </row>
    <row r="750" ht="18.75" customHeight="1">
      <c r="D750" s="64"/>
    </row>
    <row r="751" ht="18.75" customHeight="1">
      <c r="D751" s="64"/>
    </row>
    <row r="752" ht="18.75" customHeight="1">
      <c r="D752" s="64"/>
    </row>
    <row r="753" ht="18.75" customHeight="1">
      <c r="D753" s="64"/>
    </row>
    <row r="754" ht="18.75" customHeight="1">
      <c r="D754" s="64"/>
    </row>
    <row r="755" ht="18.75" customHeight="1">
      <c r="D755" s="64"/>
    </row>
    <row r="756" ht="18.75" customHeight="1">
      <c r="D756" s="64"/>
    </row>
    <row r="757" ht="18.75" customHeight="1">
      <c r="D757" s="64"/>
    </row>
    <row r="758" ht="18.75" customHeight="1">
      <c r="D758" s="64"/>
    </row>
    <row r="759" ht="18.75" customHeight="1">
      <c r="D759" s="64"/>
    </row>
    <row r="760" ht="18.75" customHeight="1">
      <c r="D760" s="64"/>
    </row>
    <row r="761" ht="18.75" customHeight="1">
      <c r="D761" s="64"/>
    </row>
    <row r="762" ht="18.75" customHeight="1">
      <c r="D762" s="64"/>
    </row>
    <row r="763" ht="18.75" customHeight="1">
      <c r="D763" s="64"/>
    </row>
    <row r="764" ht="18.75" customHeight="1">
      <c r="D764" s="64"/>
    </row>
    <row r="765" ht="18.75" customHeight="1">
      <c r="D765" s="64"/>
    </row>
    <row r="766" ht="18.75" customHeight="1">
      <c r="D766" s="64"/>
    </row>
    <row r="767" ht="18.75" customHeight="1">
      <c r="D767" s="64"/>
    </row>
    <row r="768" ht="18.75" customHeight="1">
      <c r="D768" s="64"/>
    </row>
    <row r="769" ht="18.75" customHeight="1">
      <c r="D769" s="64"/>
    </row>
    <row r="770" ht="18.75" customHeight="1">
      <c r="D770" s="64"/>
    </row>
    <row r="771" ht="18.75" customHeight="1">
      <c r="D771" s="64"/>
    </row>
    <row r="772" ht="18.75" customHeight="1">
      <c r="D772" s="64"/>
    </row>
    <row r="773" ht="18.75" customHeight="1">
      <c r="D773" s="64"/>
    </row>
    <row r="774" ht="18.75" customHeight="1">
      <c r="D774" s="64"/>
    </row>
    <row r="775" ht="18.75" customHeight="1">
      <c r="D775" s="64"/>
    </row>
    <row r="776" ht="18.75" customHeight="1">
      <c r="D776" s="64"/>
    </row>
    <row r="777" ht="18.75" customHeight="1">
      <c r="D777" s="64"/>
    </row>
    <row r="778" ht="18.75" customHeight="1">
      <c r="D778" s="64"/>
    </row>
    <row r="779" ht="18.75" customHeight="1">
      <c r="D779" s="64"/>
    </row>
    <row r="780" ht="18.75" customHeight="1">
      <c r="D780" s="64"/>
    </row>
    <row r="781" ht="18.75" customHeight="1">
      <c r="D781" s="64"/>
    </row>
    <row r="782" ht="18.75" customHeight="1">
      <c r="D782" s="64"/>
    </row>
    <row r="783" ht="18.75" customHeight="1">
      <c r="D783" s="64"/>
    </row>
    <row r="784" ht="18.75" customHeight="1">
      <c r="D784" s="64"/>
    </row>
    <row r="785" ht="18.75" customHeight="1">
      <c r="D785" s="64"/>
    </row>
    <row r="786" ht="18.75" customHeight="1">
      <c r="D786" s="64"/>
    </row>
    <row r="787" ht="18.75" customHeight="1">
      <c r="D787" s="64"/>
    </row>
    <row r="788" ht="18.75" customHeight="1">
      <c r="D788" s="64"/>
    </row>
    <row r="789" ht="18.75" customHeight="1">
      <c r="D789" s="64"/>
    </row>
    <row r="790" ht="18.75" customHeight="1">
      <c r="D790" s="64"/>
    </row>
    <row r="791" ht="18.75" customHeight="1">
      <c r="D791" s="64"/>
    </row>
    <row r="792" ht="18.75" customHeight="1">
      <c r="D792" s="64"/>
    </row>
    <row r="793" ht="18.75" customHeight="1">
      <c r="D793" s="64"/>
    </row>
    <row r="794" ht="18.75" customHeight="1">
      <c r="D794" s="64"/>
    </row>
    <row r="795" ht="18.75" customHeight="1">
      <c r="D795" s="64"/>
    </row>
    <row r="796" ht="18.75" customHeight="1">
      <c r="D796" s="64"/>
    </row>
    <row r="797" ht="18.75" customHeight="1">
      <c r="D797" s="64"/>
    </row>
    <row r="798" ht="18.75" customHeight="1">
      <c r="D798" s="64"/>
    </row>
    <row r="799" ht="18.75" customHeight="1">
      <c r="D799" s="64"/>
    </row>
    <row r="800" ht="18.75" customHeight="1">
      <c r="D800" s="64"/>
    </row>
    <row r="801" ht="18.75" customHeight="1">
      <c r="D801" s="64"/>
    </row>
    <row r="802" ht="18.75" customHeight="1">
      <c r="D802" s="64"/>
    </row>
    <row r="803" ht="18.75" customHeight="1">
      <c r="D803" s="64"/>
    </row>
    <row r="804" ht="18.75" customHeight="1">
      <c r="D804" s="64"/>
    </row>
    <row r="805" ht="18.75" customHeight="1">
      <c r="D805" s="64"/>
    </row>
    <row r="806" ht="18.75" customHeight="1">
      <c r="D806" s="64"/>
    </row>
    <row r="807" ht="18.75" customHeight="1">
      <c r="D807" s="64"/>
    </row>
    <row r="808" ht="18.75" customHeight="1">
      <c r="D808" s="64"/>
    </row>
    <row r="809" ht="18.75" customHeight="1">
      <c r="D809" s="64"/>
    </row>
    <row r="810" ht="18.75" customHeight="1">
      <c r="D810" s="64"/>
    </row>
    <row r="811" ht="18.75" customHeight="1">
      <c r="D811" s="64"/>
    </row>
    <row r="812" ht="18.75" customHeight="1">
      <c r="D812" s="64"/>
    </row>
    <row r="813" ht="18.75" customHeight="1">
      <c r="D813" s="64"/>
    </row>
    <row r="814" ht="18.75" customHeight="1">
      <c r="D814" s="64"/>
    </row>
    <row r="815" ht="18.75" customHeight="1">
      <c r="D815" s="64"/>
    </row>
    <row r="816" ht="18.75" customHeight="1">
      <c r="D816" s="64"/>
    </row>
    <row r="817" ht="18.75" customHeight="1">
      <c r="D817" s="64"/>
    </row>
    <row r="818" ht="18.75" customHeight="1">
      <c r="D818" s="64"/>
    </row>
    <row r="819" ht="18.75" customHeight="1">
      <c r="D819" s="64"/>
    </row>
    <row r="820" ht="18.75" customHeight="1">
      <c r="D820" s="64"/>
    </row>
    <row r="821" ht="18.75" customHeight="1">
      <c r="D821" s="64"/>
    </row>
    <row r="822" ht="18.75" customHeight="1">
      <c r="D822" s="64"/>
    </row>
    <row r="823" ht="18.75" customHeight="1">
      <c r="D823" s="64"/>
    </row>
    <row r="824" ht="18.75" customHeight="1">
      <c r="D824" s="64"/>
    </row>
    <row r="825" ht="18.75" customHeight="1">
      <c r="D825" s="64"/>
    </row>
    <row r="826" ht="18.75" customHeight="1">
      <c r="D826" s="64"/>
    </row>
    <row r="827" ht="18.75" customHeight="1">
      <c r="D827" s="64"/>
    </row>
    <row r="828" ht="18.75" customHeight="1">
      <c r="D828" s="64"/>
    </row>
    <row r="829" ht="18.75" customHeight="1">
      <c r="D829" s="64"/>
    </row>
    <row r="830" ht="18.75" customHeight="1">
      <c r="D830" s="64"/>
    </row>
    <row r="831" ht="18.75" customHeight="1">
      <c r="D831" s="64"/>
    </row>
    <row r="832" ht="18.75" customHeight="1">
      <c r="D832" s="64"/>
    </row>
    <row r="833" ht="18.75" customHeight="1">
      <c r="D833" s="64"/>
    </row>
    <row r="834" ht="18.75" customHeight="1">
      <c r="D834" s="64"/>
    </row>
    <row r="835" ht="18.75" customHeight="1">
      <c r="D835" s="64"/>
    </row>
    <row r="836" ht="18.75" customHeight="1">
      <c r="D836" s="64"/>
    </row>
    <row r="837" ht="18.75" customHeight="1">
      <c r="D837" s="64"/>
    </row>
    <row r="838" ht="18.75" customHeight="1">
      <c r="D838" s="64"/>
    </row>
    <row r="839" ht="18.75" customHeight="1">
      <c r="D839" s="64"/>
    </row>
    <row r="840" ht="18.75" customHeight="1">
      <c r="D840" s="64"/>
    </row>
    <row r="841" ht="18.75" customHeight="1">
      <c r="D841" s="64"/>
    </row>
    <row r="842" ht="18.75" customHeight="1">
      <c r="D842" s="64"/>
    </row>
    <row r="843" ht="18.75" customHeight="1">
      <c r="D843" s="64"/>
    </row>
    <row r="844" ht="18.75" customHeight="1">
      <c r="D844" s="64"/>
    </row>
    <row r="845" ht="18.75" customHeight="1">
      <c r="D845" s="64"/>
    </row>
    <row r="846" ht="18.75" customHeight="1">
      <c r="D846" s="64"/>
    </row>
    <row r="847" ht="18.75" customHeight="1">
      <c r="D847" s="64"/>
    </row>
    <row r="848" ht="18.75" customHeight="1">
      <c r="D848" s="64"/>
    </row>
    <row r="849" ht="18.75" customHeight="1">
      <c r="D849" s="64"/>
    </row>
    <row r="850" ht="18.75" customHeight="1">
      <c r="D850" s="64"/>
    </row>
    <row r="851" ht="18.75" customHeight="1">
      <c r="D851" s="64"/>
    </row>
    <row r="852" ht="18.75" customHeight="1">
      <c r="D852" s="64"/>
    </row>
    <row r="853" ht="18.75" customHeight="1">
      <c r="D853" s="64"/>
    </row>
    <row r="854" ht="18.75" customHeight="1">
      <c r="D854" s="64"/>
    </row>
    <row r="855" ht="18.75" customHeight="1">
      <c r="D855" s="64"/>
    </row>
    <row r="856" ht="18.75" customHeight="1">
      <c r="D856" s="64"/>
    </row>
    <row r="857" ht="18.75" customHeight="1">
      <c r="D857" s="64"/>
    </row>
    <row r="858" ht="18.75" customHeight="1">
      <c r="D858" s="64"/>
    </row>
    <row r="859" ht="18.75" customHeight="1">
      <c r="D859" s="64"/>
    </row>
    <row r="860" ht="18.75" customHeight="1">
      <c r="D860" s="64"/>
    </row>
    <row r="861" ht="18.75" customHeight="1">
      <c r="D861" s="64"/>
    </row>
    <row r="862" ht="18.75" customHeight="1">
      <c r="D862" s="64"/>
    </row>
    <row r="863" ht="18.75" customHeight="1">
      <c r="D863" s="64"/>
    </row>
    <row r="864" ht="18.75" customHeight="1">
      <c r="D864" s="64"/>
    </row>
    <row r="865" ht="18.75" customHeight="1">
      <c r="D865" s="64"/>
    </row>
    <row r="866" ht="18.75" customHeight="1">
      <c r="D866" s="64"/>
    </row>
    <row r="867" ht="18.75" customHeight="1">
      <c r="D867" s="64"/>
    </row>
    <row r="868" ht="18.75" customHeight="1">
      <c r="D868" s="64"/>
    </row>
    <row r="869" ht="18.75" customHeight="1">
      <c r="D869" s="64"/>
    </row>
    <row r="870" ht="18.75" customHeight="1">
      <c r="D870" s="64"/>
    </row>
    <row r="871" ht="18.75" customHeight="1">
      <c r="D871" s="64"/>
    </row>
    <row r="872" ht="18.75" customHeight="1">
      <c r="D872" s="64"/>
    </row>
    <row r="873" ht="18.75" customHeight="1">
      <c r="D873" s="64"/>
    </row>
    <row r="874" ht="18.75" customHeight="1">
      <c r="D874" s="64"/>
    </row>
    <row r="875" ht="18.75" customHeight="1">
      <c r="D875" s="64"/>
    </row>
    <row r="876" ht="18.75" customHeight="1">
      <c r="D876" s="64"/>
    </row>
    <row r="877" ht="18.75" customHeight="1">
      <c r="D877" s="64"/>
    </row>
    <row r="878" ht="18.75" customHeight="1">
      <c r="D878" s="64"/>
    </row>
    <row r="879" ht="18.75" customHeight="1">
      <c r="D879" s="64"/>
    </row>
    <row r="880" ht="18.75" customHeight="1">
      <c r="D880" s="64"/>
    </row>
    <row r="881" ht="18.75" customHeight="1">
      <c r="D881" s="64"/>
    </row>
    <row r="882" ht="18.75" customHeight="1">
      <c r="D882" s="64"/>
    </row>
    <row r="883" ht="18.75" customHeight="1">
      <c r="D883" s="64"/>
    </row>
    <row r="884" ht="18.75" customHeight="1">
      <c r="D884" s="64"/>
    </row>
    <row r="885" ht="18.75" customHeight="1">
      <c r="D885" s="64"/>
    </row>
    <row r="886" ht="18.75" customHeight="1">
      <c r="D886" s="64"/>
    </row>
    <row r="887" ht="18.75" customHeight="1">
      <c r="D887" s="64"/>
    </row>
    <row r="888" ht="18.75" customHeight="1">
      <c r="D888" s="64"/>
    </row>
    <row r="889" ht="18.75" customHeight="1">
      <c r="D889" s="64"/>
    </row>
    <row r="890" ht="18.75" customHeight="1">
      <c r="D890" s="64"/>
    </row>
    <row r="891" ht="18.75" customHeight="1">
      <c r="D891" s="64"/>
    </row>
    <row r="892" ht="18.75" customHeight="1">
      <c r="D892" s="64"/>
    </row>
    <row r="893" ht="18.75" customHeight="1">
      <c r="D893" s="64"/>
    </row>
    <row r="894" ht="18.75" customHeight="1">
      <c r="D894" s="64"/>
    </row>
    <row r="895" ht="18.75" customHeight="1">
      <c r="D895" s="64"/>
    </row>
    <row r="896" ht="18.75" customHeight="1">
      <c r="D896" s="64"/>
    </row>
    <row r="897" ht="18.75" customHeight="1">
      <c r="D897" s="64"/>
    </row>
    <row r="898" ht="18.75" customHeight="1">
      <c r="D898" s="64"/>
    </row>
    <row r="899" ht="18.75" customHeight="1">
      <c r="D899" s="64"/>
    </row>
    <row r="900" ht="18.75" customHeight="1">
      <c r="D900" s="64"/>
    </row>
    <row r="901" ht="18.75" customHeight="1">
      <c r="D901" s="64"/>
    </row>
    <row r="902" ht="18.75" customHeight="1">
      <c r="D902" s="64"/>
    </row>
    <row r="903" ht="18.75" customHeight="1">
      <c r="D903" s="64"/>
    </row>
    <row r="904" ht="18.75" customHeight="1">
      <c r="D904" s="64"/>
    </row>
    <row r="905" ht="18.75" customHeight="1">
      <c r="D905" s="64"/>
    </row>
    <row r="906" ht="18.75" customHeight="1">
      <c r="D906" s="64"/>
    </row>
    <row r="907" ht="18.75" customHeight="1">
      <c r="D907" s="64"/>
    </row>
    <row r="908" ht="18.75" customHeight="1">
      <c r="D908" s="64"/>
    </row>
    <row r="909" ht="18.75" customHeight="1">
      <c r="D909" s="64"/>
    </row>
    <row r="910" ht="18.75" customHeight="1">
      <c r="D910" s="64"/>
    </row>
    <row r="911" ht="18.75" customHeight="1">
      <c r="D911" s="64"/>
    </row>
    <row r="912" ht="18.75" customHeight="1">
      <c r="D912" s="64"/>
    </row>
    <row r="913" ht="18.75" customHeight="1">
      <c r="D913" s="64"/>
    </row>
    <row r="914" ht="18.75" customHeight="1">
      <c r="D914" s="64"/>
    </row>
    <row r="915" ht="18.75" customHeight="1">
      <c r="D915" s="64"/>
    </row>
    <row r="916" ht="18.75" customHeight="1">
      <c r="D916" s="64"/>
    </row>
    <row r="917" ht="18.75" customHeight="1">
      <c r="D917" s="64"/>
    </row>
    <row r="918" ht="18.75" customHeight="1">
      <c r="D918" s="64"/>
    </row>
    <row r="919" ht="18.75" customHeight="1">
      <c r="D919" s="64"/>
    </row>
    <row r="920" ht="18.75" customHeight="1">
      <c r="D920" s="64"/>
    </row>
    <row r="921" ht="18.75" customHeight="1">
      <c r="D921" s="64"/>
    </row>
    <row r="922" ht="18.75" customHeight="1">
      <c r="D922" s="64"/>
    </row>
    <row r="923" ht="18.75" customHeight="1">
      <c r="D923" s="64"/>
    </row>
    <row r="924" ht="18.75" customHeight="1">
      <c r="D924" s="64"/>
    </row>
    <row r="925" ht="18.75" customHeight="1">
      <c r="D925" s="64"/>
    </row>
    <row r="926" ht="18.75" customHeight="1">
      <c r="D926" s="64"/>
    </row>
    <row r="927" ht="18.75" customHeight="1">
      <c r="D927" s="64"/>
    </row>
    <row r="928" ht="18.75" customHeight="1">
      <c r="D928" s="64"/>
    </row>
    <row r="929" ht="18.75" customHeight="1">
      <c r="D929" s="64"/>
    </row>
    <row r="930" ht="18.75" customHeight="1">
      <c r="D930" s="64"/>
    </row>
    <row r="931" ht="18.75" customHeight="1">
      <c r="D931" s="64"/>
    </row>
    <row r="932" ht="18.75" customHeight="1">
      <c r="D932" s="64"/>
    </row>
    <row r="933" ht="18.75" customHeight="1">
      <c r="D933" s="64"/>
    </row>
    <row r="934" ht="18.75" customHeight="1">
      <c r="D934" s="64"/>
    </row>
    <row r="935" ht="18.75" customHeight="1">
      <c r="D935" s="64"/>
    </row>
    <row r="936" ht="18.75" customHeight="1">
      <c r="D936" s="64"/>
    </row>
    <row r="937" ht="18.75" customHeight="1">
      <c r="D937" s="64"/>
    </row>
    <row r="938" ht="18.75" customHeight="1">
      <c r="D938" s="64"/>
    </row>
    <row r="939" ht="18.75" customHeight="1">
      <c r="D939" s="64"/>
    </row>
    <row r="940" ht="18.75" customHeight="1">
      <c r="D940" s="64"/>
    </row>
    <row r="941" ht="18.75" customHeight="1">
      <c r="D941" s="64"/>
    </row>
    <row r="942" ht="18.75" customHeight="1">
      <c r="D942" s="64"/>
    </row>
    <row r="943" ht="18.75" customHeight="1">
      <c r="D943" s="64"/>
    </row>
    <row r="944" ht="18.75" customHeight="1">
      <c r="D944" s="64"/>
    </row>
    <row r="945" ht="18.75" customHeight="1">
      <c r="D945" s="64"/>
    </row>
    <row r="946" ht="18.75" customHeight="1">
      <c r="D946" s="64"/>
    </row>
    <row r="947" ht="18.75" customHeight="1">
      <c r="D947" s="64"/>
    </row>
    <row r="948" ht="18.75" customHeight="1">
      <c r="D948" s="64"/>
    </row>
    <row r="949" ht="18.75" customHeight="1">
      <c r="D949" s="64"/>
    </row>
    <row r="950" ht="18.75" customHeight="1">
      <c r="D950" s="64"/>
    </row>
    <row r="951" ht="18.75" customHeight="1">
      <c r="D951" s="64"/>
    </row>
    <row r="952" ht="18.75" customHeight="1">
      <c r="D952" s="64"/>
    </row>
    <row r="953" ht="18.75" customHeight="1">
      <c r="D953" s="64"/>
    </row>
    <row r="954" ht="18.75" customHeight="1">
      <c r="D954" s="64"/>
    </row>
    <row r="955" ht="18.75" customHeight="1">
      <c r="D955" s="64"/>
    </row>
    <row r="956" ht="18.75" customHeight="1">
      <c r="D956" s="64"/>
    </row>
    <row r="957" ht="18.75" customHeight="1">
      <c r="D957" s="64"/>
    </row>
    <row r="958" ht="18.75" customHeight="1">
      <c r="D958" s="64"/>
    </row>
    <row r="959" ht="18.75" customHeight="1">
      <c r="D959" s="64"/>
    </row>
    <row r="960" ht="18.75" customHeight="1">
      <c r="D960" s="64"/>
    </row>
    <row r="961" ht="18.75" customHeight="1">
      <c r="D961" s="64"/>
    </row>
    <row r="962" ht="18.75" customHeight="1">
      <c r="D962" s="64"/>
    </row>
    <row r="963" ht="18.75" customHeight="1">
      <c r="D963" s="64"/>
    </row>
    <row r="964" ht="18.75" customHeight="1">
      <c r="D964" s="64"/>
    </row>
    <row r="965" ht="18.75" customHeight="1">
      <c r="D965" s="64"/>
    </row>
    <row r="966" ht="18.75" customHeight="1">
      <c r="D966" s="64"/>
    </row>
    <row r="967" ht="18.75" customHeight="1">
      <c r="D967" s="64"/>
    </row>
    <row r="968" ht="18.75" customHeight="1">
      <c r="D968" s="64"/>
    </row>
    <row r="969" ht="18.75" customHeight="1">
      <c r="D969" s="64"/>
    </row>
    <row r="970" ht="18.75" customHeight="1">
      <c r="D970" s="64"/>
    </row>
    <row r="971" ht="18.75" customHeight="1">
      <c r="D971" s="64"/>
    </row>
    <row r="972" ht="18.75" customHeight="1">
      <c r="D972" s="64"/>
    </row>
    <row r="973" ht="18.75" customHeight="1">
      <c r="D973" s="64"/>
    </row>
    <row r="974" ht="18.75" customHeight="1">
      <c r="D974" s="64"/>
    </row>
    <row r="975" ht="18.75" customHeight="1">
      <c r="D975" s="64"/>
    </row>
    <row r="976" ht="18.75" customHeight="1">
      <c r="D976" s="64"/>
    </row>
    <row r="977" ht="18.75" customHeight="1">
      <c r="D977" s="64"/>
    </row>
    <row r="978" ht="18.75" customHeight="1">
      <c r="D978" s="64"/>
    </row>
    <row r="979" ht="18.75" customHeight="1">
      <c r="D979" s="64"/>
    </row>
    <row r="980" ht="18.75" customHeight="1">
      <c r="D980" s="64"/>
    </row>
    <row r="981" ht="18.75" customHeight="1">
      <c r="D981" s="64"/>
    </row>
    <row r="982" ht="18.75" customHeight="1">
      <c r="D982" s="64"/>
    </row>
    <row r="983" ht="18.75" customHeight="1">
      <c r="D983" s="64"/>
    </row>
    <row r="984" ht="18.75" customHeight="1">
      <c r="D984" s="64"/>
    </row>
    <row r="985" ht="18.75" customHeight="1">
      <c r="D985" s="64"/>
    </row>
    <row r="986" ht="18.75" customHeight="1">
      <c r="D986" s="64"/>
    </row>
    <row r="987" ht="18.75" customHeight="1">
      <c r="D987" s="64"/>
    </row>
    <row r="988" ht="18.75" customHeight="1">
      <c r="D988" s="64"/>
    </row>
    <row r="989" ht="18.75" customHeight="1">
      <c r="D989" s="64"/>
    </row>
    <row r="990" ht="18.75" customHeight="1">
      <c r="D990" s="64"/>
    </row>
    <row r="991" ht="18.75" customHeight="1">
      <c r="D991" s="64"/>
    </row>
    <row r="992" ht="18.75" customHeight="1">
      <c r="D992" s="64"/>
    </row>
    <row r="993" ht="18.75" customHeight="1">
      <c r="D993" s="64"/>
    </row>
    <row r="994" ht="18.75" customHeight="1">
      <c r="D994" s="64"/>
    </row>
    <row r="995" ht="18.75" customHeight="1">
      <c r="D995" s="64"/>
    </row>
    <row r="996" ht="18.75" customHeight="1">
      <c r="D996" s="64"/>
    </row>
    <row r="997" ht="18.75" customHeight="1">
      <c r="D997" s="64"/>
    </row>
    <row r="998" ht="18.75" customHeight="1">
      <c r="D998" s="64"/>
    </row>
    <row r="999" ht="18.75" customHeight="1">
      <c r="D999" s="64"/>
    </row>
    <row r="1000" ht="18.75" customHeight="1">
      <c r="D1000" s="64"/>
    </row>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sheetViews>
  <sheetFormatPr customHeight="1" defaultColWidth="12.63" defaultRowHeight="15.0"/>
  <cols>
    <col customWidth="1" min="1" max="1" width="16.88"/>
    <col customWidth="1" min="2" max="2" width="6.25"/>
    <col customWidth="1" min="3" max="3" width="9.75"/>
    <col customWidth="1" min="4" max="4" width="23.13"/>
    <col customWidth="1" min="5" max="5" width="39.75"/>
    <col customWidth="1" min="6" max="6" width="13.25"/>
    <col customWidth="1" min="7" max="7" width="10.5"/>
    <col customWidth="1" min="8" max="9" width="12.0"/>
    <col customWidth="1" min="10" max="10" width="10.13"/>
    <col customWidth="1" min="11" max="11" width="8.38"/>
    <col customWidth="1" min="12" max="12" width="17.5"/>
    <col customWidth="1" min="13" max="13" width="9.5"/>
    <col customWidth="1" min="14" max="20" width="4.63"/>
    <col customWidth="1" min="21" max="24" width="12.0"/>
    <col customWidth="1" min="25" max="25" width="4.63"/>
    <col customWidth="1" min="26" max="26" width="10.5"/>
    <col customWidth="1" min="27" max="31" width="15.75"/>
    <col customWidth="1" min="32" max="32" width="8.38"/>
    <col customWidth="1" min="33" max="33" width="15.75"/>
    <col customWidth="1" min="34" max="34" width="4.63"/>
    <col customWidth="1" min="35" max="35" width="8.38"/>
  </cols>
  <sheetData>
    <row r="1" ht="18.75" customHeight="1">
      <c r="A1" s="37" t="s">
        <v>4470</v>
      </c>
      <c r="B1" s="150" t="s">
        <v>4471</v>
      </c>
      <c r="C1" s="37" t="s">
        <v>4472</v>
      </c>
      <c r="D1" s="37" t="s">
        <v>4473</v>
      </c>
      <c r="E1" s="37" t="s">
        <v>4474</v>
      </c>
      <c r="F1" s="37" t="s">
        <v>3326</v>
      </c>
      <c r="G1" s="151" t="s">
        <v>4475</v>
      </c>
      <c r="H1" s="151" t="s">
        <v>4476</v>
      </c>
      <c r="I1" s="151" t="s">
        <v>4477</v>
      </c>
      <c r="J1" s="152" t="s">
        <v>4412</v>
      </c>
      <c r="K1" s="152" t="s">
        <v>4409</v>
      </c>
      <c r="L1" s="151" t="s">
        <v>4478</v>
      </c>
      <c r="M1" s="151" t="s">
        <v>4479</v>
      </c>
      <c r="N1" s="151" t="s">
        <v>2599</v>
      </c>
      <c r="O1" s="151" t="s">
        <v>2600</v>
      </c>
      <c r="P1" s="151" t="s">
        <v>2601</v>
      </c>
      <c r="Q1" s="151" t="s">
        <v>2602</v>
      </c>
      <c r="R1" s="151" t="s">
        <v>2429</v>
      </c>
      <c r="S1" s="151" t="s">
        <v>1845</v>
      </c>
      <c r="T1" s="151" t="s">
        <v>849</v>
      </c>
      <c r="U1" s="151" t="s">
        <v>4480</v>
      </c>
      <c r="V1" s="151" t="s">
        <v>4481</v>
      </c>
      <c r="W1" s="152" t="s">
        <v>2930</v>
      </c>
      <c r="X1" s="151" t="s">
        <v>4482</v>
      </c>
      <c r="Y1" s="151" t="s">
        <v>2604</v>
      </c>
      <c r="Z1" s="151" t="s">
        <v>4483</v>
      </c>
      <c r="AA1" s="151" t="s">
        <v>2929</v>
      </c>
      <c r="AB1" s="151" t="s">
        <v>4403</v>
      </c>
      <c r="AC1" s="151" t="s">
        <v>4406</v>
      </c>
      <c r="AD1" s="151" t="s">
        <v>4414</v>
      </c>
      <c r="AE1" s="151" t="s">
        <v>3215</v>
      </c>
      <c r="AF1" s="151" t="s">
        <v>4484</v>
      </c>
      <c r="AG1" s="151" t="s">
        <v>4485</v>
      </c>
      <c r="AH1" s="151" t="s">
        <v>4486</v>
      </c>
      <c r="AI1" s="151" t="s">
        <v>4487</v>
      </c>
    </row>
    <row r="2" ht="18.75" customHeight="1">
      <c r="A2" s="37" t="s">
        <v>4488</v>
      </c>
      <c r="B2" s="153" t="s">
        <v>4489</v>
      </c>
      <c r="C2" s="37" t="s">
        <v>4490</v>
      </c>
      <c r="D2" s="39" t="s">
        <v>4491</v>
      </c>
      <c r="E2" s="39" t="s">
        <v>4492</v>
      </c>
      <c r="F2" s="39" t="s">
        <v>4493</v>
      </c>
      <c r="G2" s="39">
        <v>3.0</v>
      </c>
      <c r="H2" s="39">
        <v>0.0</v>
      </c>
      <c r="I2" s="39">
        <v>0.0</v>
      </c>
      <c r="J2" s="39">
        <v>5.0</v>
      </c>
      <c r="K2" s="39">
        <v>0.0</v>
      </c>
      <c r="L2" s="39">
        <v>0.0</v>
      </c>
      <c r="M2" s="39">
        <v>5.0</v>
      </c>
      <c r="N2" s="39">
        <v>0.0</v>
      </c>
      <c r="O2" s="39">
        <v>0.0</v>
      </c>
      <c r="P2" s="39">
        <v>0.0</v>
      </c>
      <c r="Q2" s="39">
        <v>0.0</v>
      </c>
      <c r="R2" s="39">
        <v>25.0</v>
      </c>
      <c r="S2" s="39">
        <v>0.0</v>
      </c>
      <c r="T2" s="39">
        <v>0.0</v>
      </c>
      <c r="U2" s="39">
        <v>0.0</v>
      </c>
      <c r="V2" s="39">
        <v>0.0</v>
      </c>
      <c r="W2" s="39">
        <v>0.0</v>
      </c>
      <c r="X2" s="39">
        <v>0.0</v>
      </c>
      <c r="Y2" s="39">
        <v>0.0</v>
      </c>
      <c r="Z2" s="39">
        <v>1.0</v>
      </c>
      <c r="AA2" s="37">
        <v>0.0</v>
      </c>
      <c r="AB2" s="37" t="s">
        <v>29</v>
      </c>
      <c r="AC2" s="37">
        <v>0.0</v>
      </c>
      <c r="AD2" s="37">
        <v>0.0</v>
      </c>
      <c r="AE2" s="37">
        <v>0.0</v>
      </c>
      <c r="AF2" s="37" t="s">
        <v>4494</v>
      </c>
      <c r="AG2" s="37" t="s">
        <v>29</v>
      </c>
      <c r="AH2" s="37" t="s">
        <v>29</v>
      </c>
      <c r="AI2" s="37" t="s">
        <v>29</v>
      </c>
    </row>
    <row r="3" ht="18.75" customHeight="1">
      <c r="A3" s="37" t="s">
        <v>4495</v>
      </c>
      <c r="B3" s="153" t="s">
        <v>4489</v>
      </c>
      <c r="C3" s="37" t="s">
        <v>4490</v>
      </c>
      <c r="D3" s="39" t="s">
        <v>4496</v>
      </c>
      <c r="E3" s="39" t="s">
        <v>4497</v>
      </c>
      <c r="F3" s="39" t="s">
        <v>4493</v>
      </c>
      <c r="G3" s="39">
        <v>3.0</v>
      </c>
      <c r="H3" s="39">
        <v>0.0</v>
      </c>
      <c r="I3" s="39">
        <v>0.0</v>
      </c>
      <c r="J3" s="39">
        <v>0.0</v>
      </c>
      <c r="K3" s="39">
        <v>5.0</v>
      </c>
      <c r="L3" s="39">
        <v>10.0</v>
      </c>
      <c r="M3" s="39">
        <v>5.0</v>
      </c>
      <c r="N3" s="39">
        <v>0.0</v>
      </c>
      <c r="O3" s="39">
        <v>0.0</v>
      </c>
      <c r="P3" s="39">
        <v>0.0</v>
      </c>
      <c r="Q3" s="39">
        <v>0.0</v>
      </c>
      <c r="R3" s="39">
        <v>0.0</v>
      </c>
      <c r="S3" s="39">
        <v>0.0</v>
      </c>
      <c r="T3" s="39">
        <v>0.0</v>
      </c>
      <c r="U3" s="39">
        <v>0.0</v>
      </c>
      <c r="V3" s="39">
        <v>25.0</v>
      </c>
      <c r="W3" s="39">
        <v>2.0</v>
      </c>
      <c r="X3" s="39">
        <v>0.0</v>
      </c>
      <c r="Y3" s="39">
        <v>0.0</v>
      </c>
      <c r="Z3" s="39">
        <v>0.0</v>
      </c>
      <c r="AA3" s="37">
        <v>0.0</v>
      </c>
      <c r="AB3" s="37" t="s">
        <v>29</v>
      </c>
      <c r="AC3" s="37">
        <v>0.0</v>
      </c>
      <c r="AD3" s="37">
        <v>0.0</v>
      </c>
      <c r="AE3" s="37">
        <v>0.0</v>
      </c>
      <c r="AF3" s="37" t="s">
        <v>4494</v>
      </c>
      <c r="AG3" s="37" t="s">
        <v>29</v>
      </c>
      <c r="AH3" s="37" t="s">
        <v>29</v>
      </c>
      <c r="AI3" s="37" t="s">
        <v>29</v>
      </c>
    </row>
    <row r="4" ht="18.75" customHeight="1">
      <c r="A4" s="37" t="s">
        <v>4498</v>
      </c>
      <c r="B4" s="153" t="s">
        <v>4489</v>
      </c>
      <c r="C4" s="37" t="s">
        <v>4490</v>
      </c>
      <c r="D4" s="39" t="s">
        <v>4499</v>
      </c>
      <c r="E4" s="39" t="s">
        <v>4500</v>
      </c>
      <c r="F4" s="39" t="s">
        <v>4493</v>
      </c>
      <c r="G4" s="39">
        <v>3.0</v>
      </c>
      <c r="H4" s="39">
        <v>15.0</v>
      </c>
      <c r="I4" s="39">
        <v>15.0</v>
      </c>
      <c r="J4" s="39">
        <v>0.0</v>
      </c>
      <c r="K4" s="39">
        <v>0.0</v>
      </c>
      <c r="L4" s="39">
        <v>0.0</v>
      </c>
      <c r="M4" s="39">
        <v>5.0</v>
      </c>
      <c r="N4" s="39">
        <v>0.0</v>
      </c>
      <c r="O4" s="39">
        <v>0.0</v>
      </c>
      <c r="P4" s="39">
        <v>0.0</v>
      </c>
      <c r="Q4" s="39">
        <v>0.0</v>
      </c>
      <c r="R4" s="39">
        <v>0.0</v>
      </c>
      <c r="S4" s="39">
        <v>0.0</v>
      </c>
      <c r="T4" s="39">
        <v>0.0</v>
      </c>
      <c r="U4" s="39">
        <v>0.0</v>
      </c>
      <c r="V4" s="39">
        <v>0.0</v>
      </c>
      <c r="W4" s="39">
        <v>0.0</v>
      </c>
      <c r="X4" s="39">
        <v>25.0</v>
      </c>
      <c r="Y4" s="39">
        <v>25.0</v>
      </c>
      <c r="Z4" s="39">
        <v>0.0</v>
      </c>
      <c r="AA4" s="37">
        <v>0.0</v>
      </c>
      <c r="AB4" s="37" t="s">
        <v>29</v>
      </c>
      <c r="AC4" s="37">
        <v>0.0</v>
      </c>
      <c r="AD4" s="37">
        <v>0.0</v>
      </c>
      <c r="AE4" s="37">
        <v>0.0</v>
      </c>
      <c r="AF4" s="37" t="s">
        <v>4494</v>
      </c>
      <c r="AG4" s="37" t="s">
        <v>29</v>
      </c>
      <c r="AH4" s="37" t="s">
        <v>29</v>
      </c>
      <c r="AI4" s="37" t="s">
        <v>29</v>
      </c>
    </row>
    <row r="5" ht="18.75" customHeight="1">
      <c r="A5" s="37" t="s">
        <v>4501</v>
      </c>
      <c r="B5" s="153" t="s">
        <v>4489</v>
      </c>
      <c r="C5" s="37" t="s">
        <v>4490</v>
      </c>
      <c r="D5" s="39" t="s">
        <v>4502</v>
      </c>
      <c r="E5" s="39" t="s">
        <v>4503</v>
      </c>
      <c r="F5" s="39" t="s">
        <v>4493</v>
      </c>
      <c r="G5" s="39">
        <v>3.0</v>
      </c>
      <c r="H5" s="39">
        <v>0.0</v>
      </c>
      <c r="I5" s="39">
        <v>0.0</v>
      </c>
      <c r="J5" s="39">
        <v>10.0</v>
      </c>
      <c r="K5" s="39">
        <v>5.0</v>
      </c>
      <c r="L5" s="39">
        <v>0.0</v>
      </c>
      <c r="M5" s="39">
        <v>5.0</v>
      </c>
      <c r="N5" s="39">
        <v>0.0</v>
      </c>
      <c r="O5" s="39">
        <v>0.0</v>
      </c>
      <c r="P5" s="39">
        <v>0.0</v>
      </c>
      <c r="Q5" s="39">
        <v>0.0</v>
      </c>
      <c r="R5" s="39">
        <v>0.0</v>
      </c>
      <c r="S5" s="39">
        <v>2.0</v>
      </c>
      <c r="T5" s="39">
        <v>2.0</v>
      </c>
      <c r="U5" s="39">
        <v>0.0</v>
      </c>
      <c r="V5" s="39">
        <v>0.0</v>
      </c>
      <c r="W5" s="39">
        <v>0.0</v>
      </c>
      <c r="X5" s="39">
        <v>0.0</v>
      </c>
      <c r="Y5" s="39">
        <v>0.0</v>
      </c>
      <c r="Z5" s="39">
        <v>0.0</v>
      </c>
      <c r="AA5" s="37">
        <v>0.0</v>
      </c>
      <c r="AB5" s="37" t="s">
        <v>29</v>
      </c>
      <c r="AC5" s="37">
        <v>0.0</v>
      </c>
      <c r="AD5" s="37">
        <v>0.0</v>
      </c>
      <c r="AE5" s="37">
        <v>0.0</v>
      </c>
      <c r="AF5" s="37" t="s">
        <v>4494</v>
      </c>
      <c r="AG5" s="37" t="s">
        <v>29</v>
      </c>
      <c r="AH5" s="37" t="s">
        <v>29</v>
      </c>
      <c r="AI5" s="37" t="s">
        <v>29</v>
      </c>
    </row>
    <row r="6" ht="18.75" customHeight="1">
      <c r="A6" s="37" t="s">
        <v>4504</v>
      </c>
      <c r="B6" s="153" t="s">
        <v>4489</v>
      </c>
      <c r="C6" s="37" t="s">
        <v>4490</v>
      </c>
      <c r="D6" s="39" t="s">
        <v>4505</v>
      </c>
      <c r="E6" s="39" t="s">
        <v>2602</v>
      </c>
      <c r="F6" s="39" t="s">
        <v>4493</v>
      </c>
      <c r="G6" s="39">
        <v>3.0</v>
      </c>
      <c r="H6" s="39">
        <v>0.0</v>
      </c>
      <c r="I6" s="39">
        <v>0.0</v>
      </c>
      <c r="J6" s="39">
        <v>0.0</v>
      </c>
      <c r="K6" s="39">
        <v>0.0</v>
      </c>
      <c r="L6" s="39">
        <v>0.0</v>
      </c>
      <c r="M6" s="39">
        <v>5.0</v>
      </c>
      <c r="N6" s="39">
        <v>0.0</v>
      </c>
      <c r="O6" s="39">
        <v>0.0</v>
      </c>
      <c r="P6" s="39">
        <v>0.0</v>
      </c>
      <c r="Q6" s="39">
        <v>25.0</v>
      </c>
      <c r="R6" s="39">
        <v>0.0</v>
      </c>
      <c r="S6" s="39">
        <v>0.0</v>
      </c>
      <c r="T6" s="39">
        <v>0.0</v>
      </c>
      <c r="U6" s="39">
        <v>0.0</v>
      </c>
      <c r="V6" s="39">
        <v>0.0</v>
      </c>
      <c r="W6" s="39">
        <v>0.0</v>
      </c>
      <c r="X6" s="39">
        <v>0.0</v>
      </c>
      <c r="Y6" s="39">
        <v>0.0</v>
      </c>
      <c r="Z6" s="39">
        <v>0.0</v>
      </c>
      <c r="AA6" s="37">
        <v>0.0</v>
      </c>
      <c r="AB6" s="37" t="s">
        <v>29</v>
      </c>
      <c r="AC6" s="37">
        <v>0.0</v>
      </c>
      <c r="AD6" s="37">
        <v>0.0</v>
      </c>
      <c r="AE6" s="37">
        <v>0.0</v>
      </c>
      <c r="AF6" s="37" t="s">
        <v>4494</v>
      </c>
      <c r="AG6" s="37" t="s">
        <v>29</v>
      </c>
      <c r="AH6" s="37" t="s">
        <v>29</v>
      </c>
      <c r="AI6" s="37" t="s">
        <v>29</v>
      </c>
    </row>
    <row r="7" ht="18.75" customHeight="1">
      <c r="A7" s="37" t="s">
        <v>4506</v>
      </c>
      <c r="B7" s="153" t="s">
        <v>4489</v>
      </c>
      <c r="C7" s="37" t="s">
        <v>4490</v>
      </c>
      <c r="D7" s="39" t="s">
        <v>4507</v>
      </c>
      <c r="E7" s="39" t="s">
        <v>2599</v>
      </c>
      <c r="F7" s="39" t="s">
        <v>4493</v>
      </c>
      <c r="G7" s="39">
        <v>3.0</v>
      </c>
      <c r="H7" s="39">
        <v>0.0</v>
      </c>
      <c r="I7" s="39">
        <v>0.0</v>
      </c>
      <c r="J7" s="39">
        <v>0.0</v>
      </c>
      <c r="K7" s="39">
        <v>0.0</v>
      </c>
      <c r="L7" s="39">
        <v>0.0</v>
      </c>
      <c r="M7" s="39">
        <v>5.0</v>
      </c>
      <c r="N7" s="39">
        <v>25.0</v>
      </c>
      <c r="O7" s="39">
        <v>0.0</v>
      </c>
      <c r="P7" s="39">
        <v>0.0</v>
      </c>
      <c r="Q7" s="39">
        <v>0.0</v>
      </c>
      <c r="R7" s="39">
        <v>0.0</v>
      </c>
      <c r="S7" s="39">
        <v>0.0</v>
      </c>
      <c r="T7" s="39">
        <v>0.0</v>
      </c>
      <c r="U7" s="39">
        <v>0.0</v>
      </c>
      <c r="V7" s="39">
        <v>0.0</v>
      </c>
      <c r="W7" s="39">
        <v>0.0</v>
      </c>
      <c r="X7" s="39">
        <v>0.0</v>
      </c>
      <c r="Y7" s="39">
        <v>0.0</v>
      </c>
      <c r="Z7" s="39">
        <v>0.0</v>
      </c>
      <c r="AA7" s="37">
        <v>0.0</v>
      </c>
      <c r="AB7" s="37" t="s">
        <v>29</v>
      </c>
      <c r="AC7" s="37">
        <v>0.0</v>
      </c>
      <c r="AD7" s="37">
        <v>0.0</v>
      </c>
      <c r="AE7" s="37">
        <v>0.0</v>
      </c>
      <c r="AF7" s="37" t="s">
        <v>4494</v>
      </c>
      <c r="AG7" s="37" t="s">
        <v>29</v>
      </c>
      <c r="AH7" s="37" t="s">
        <v>29</v>
      </c>
      <c r="AI7" s="37" t="s">
        <v>29</v>
      </c>
    </row>
    <row r="8" ht="18.75" customHeight="1">
      <c r="A8" s="37" t="s">
        <v>4508</v>
      </c>
      <c r="B8" s="153" t="s">
        <v>4489</v>
      </c>
      <c r="C8" s="37" t="s">
        <v>4490</v>
      </c>
      <c r="D8" s="39" t="s">
        <v>4509</v>
      </c>
      <c r="E8" s="39" t="s">
        <v>4510</v>
      </c>
      <c r="F8" s="39" t="s">
        <v>4493</v>
      </c>
      <c r="G8" s="39">
        <v>3.0</v>
      </c>
      <c r="H8" s="39">
        <v>0.0</v>
      </c>
      <c r="I8" s="39">
        <v>0.0</v>
      </c>
      <c r="J8" s="39">
        <v>5.0</v>
      </c>
      <c r="K8" s="39">
        <v>0.0</v>
      </c>
      <c r="L8" s="39">
        <v>0.0</v>
      </c>
      <c r="M8" s="39">
        <v>5.0</v>
      </c>
      <c r="N8" s="39">
        <v>0.0</v>
      </c>
      <c r="O8" s="39">
        <v>0.0</v>
      </c>
      <c r="P8" s="39">
        <v>0.0</v>
      </c>
      <c r="Q8" s="39">
        <v>0.0</v>
      </c>
      <c r="R8" s="39">
        <v>0.0</v>
      </c>
      <c r="S8" s="39">
        <v>0.0</v>
      </c>
      <c r="T8" s="39">
        <v>0.0</v>
      </c>
      <c r="U8" s="39">
        <v>15.0</v>
      </c>
      <c r="V8" s="39">
        <v>0.0</v>
      </c>
      <c r="W8" s="39">
        <v>0.0</v>
      </c>
      <c r="X8" s="39">
        <v>0.0</v>
      </c>
      <c r="Y8" s="39">
        <v>0.0</v>
      </c>
      <c r="Z8" s="39">
        <v>0.0</v>
      </c>
      <c r="AA8" s="37">
        <v>0.0</v>
      </c>
      <c r="AB8" s="37" t="s">
        <v>29</v>
      </c>
      <c r="AC8" s="37">
        <v>0.0</v>
      </c>
      <c r="AD8" s="37">
        <v>0.0</v>
      </c>
      <c r="AE8" s="37">
        <v>0.0</v>
      </c>
      <c r="AF8" s="37" t="s">
        <v>4494</v>
      </c>
      <c r="AG8" s="37" t="s">
        <v>29</v>
      </c>
      <c r="AH8" s="37" t="s">
        <v>29</v>
      </c>
      <c r="AI8" s="37" t="s">
        <v>29</v>
      </c>
    </row>
    <row r="9" ht="18.75" customHeight="1">
      <c r="A9" s="37" t="s">
        <v>4511</v>
      </c>
      <c r="B9" s="153" t="s">
        <v>4489</v>
      </c>
      <c r="C9" s="37" t="s">
        <v>4490</v>
      </c>
      <c r="D9" s="39" t="s">
        <v>4512</v>
      </c>
      <c r="E9" s="39" t="s">
        <v>4513</v>
      </c>
      <c r="F9" s="39" t="s">
        <v>4493</v>
      </c>
      <c r="G9" s="39">
        <v>3.0</v>
      </c>
      <c r="H9" s="39">
        <v>0.0</v>
      </c>
      <c r="I9" s="39">
        <v>0.0</v>
      </c>
      <c r="J9" s="39">
        <v>0.0</v>
      </c>
      <c r="K9" s="39">
        <v>0.0</v>
      </c>
      <c r="L9" s="39">
        <v>0.0</v>
      </c>
      <c r="M9" s="39">
        <v>5.0</v>
      </c>
      <c r="N9" s="39">
        <v>10.0</v>
      </c>
      <c r="O9" s="39">
        <v>10.0</v>
      </c>
      <c r="P9" s="39">
        <v>0.0</v>
      </c>
      <c r="Q9" s="39">
        <v>0.0</v>
      </c>
      <c r="R9" s="39">
        <v>0.0</v>
      </c>
      <c r="S9" s="39">
        <v>0.0</v>
      </c>
      <c r="T9" s="39">
        <v>0.0</v>
      </c>
      <c r="U9" s="39">
        <v>0.0</v>
      </c>
      <c r="V9" s="39">
        <v>0.0</v>
      </c>
      <c r="W9" s="39">
        <v>0.0</v>
      </c>
      <c r="X9" s="39">
        <v>0.0</v>
      </c>
      <c r="Y9" s="39">
        <v>0.0</v>
      </c>
      <c r="Z9" s="39">
        <v>0.0</v>
      </c>
      <c r="AA9" s="37">
        <v>0.0</v>
      </c>
      <c r="AB9" s="37" t="s">
        <v>29</v>
      </c>
      <c r="AC9" s="37">
        <v>0.0</v>
      </c>
      <c r="AD9" s="37">
        <v>0.0</v>
      </c>
      <c r="AE9" s="37">
        <v>0.0</v>
      </c>
      <c r="AF9" s="37" t="s">
        <v>4494</v>
      </c>
      <c r="AG9" s="37" t="s">
        <v>29</v>
      </c>
      <c r="AH9" s="37" t="s">
        <v>29</v>
      </c>
      <c r="AI9" s="37" t="s">
        <v>29</v>
      </c>
    </row>
    <row r="10" ht="18.75" customHeight="1">
      <c r="A10" s="37" t="s">
        <v>4514</v>
      </c>
      <c r="B10" s="153" t="s">
        <v>4489</v>
      </c>
      <c r="C10" s="37" t="s">
        <v>4490</v>
      </c>
      <c r="D10" s="39" t="s">
        <v>4515</v>
      </c>
      <c r="E10" s="39" t="s">
        <v>2601</v>
      </c>
      <c r="F10" s="39" t="s">
        <v>4493</v>
      </c>
      <c r="G10" s="39">
        <v>3.0</v>
      </c>
      <c r="H10" s="39">
        <v>0.0</v>
      </c>
      <c r="I10" s="39">
        <v>0.0</v>
      </c>
      <c r="J10" s="39">
        <v>0.0</v>
      </c>
      <c r="K10" s="39">
        <v>0.0</v>
      </c>
      <c r="L10" s="39">
        <v>0.0</v>
      </c>
      <c r="M10" s="39">
        <v>5.0</v>
      </c>
      <c r="N10" s="39">
        <v>0.0</v>
      </c>
      <c r="O10" s="39">
        <v>0.0</v>
      </c>
      <c r="P10" s="39">
        <v>25.0</v>
      </c>
      <c r="Q10" s="39">
        <v>0.0</v>
      </c>
      <c r="R10" s="39">
        <v>0.0</v>
      </c>
      <c r="S10" s="39">
        <v>0.0</v>
      </c>
      <c r="T10" s="39">
        <v>0.0</v>
      </c>
      <c r="U10" s="39">
        <v>0.0</v>
      </c>
      <c r="V10" s="39">
        <v>0.0</v>
      </c>
      <c r="W10" s="39">
        <v>0.0</v>
      </c>
      <c r="X10" s="39">
        <v>0.0</v>
      </c>
      <c r="Y10" s="39">
        <v>0.0</v>
      </c>
      <c r="Z10" s="39">
        <v>0.0</v>
      </c>
      <c r="AA10" s="37">
        <v>0.0</v>
      </c>
      <c r="AB10" s="37" t="s">
        <v>29</v>
      </c>
      <c r="AC10" s="37">
        <v>0.0</v>
      </c>
      <c r="AD10" s="37">
        <v>0.0</v>
      </c>
      <c r="AE10" s="37">
        <v>0.0</v>
      </c>
      <c r="AF10" s="37" t="s">
        <v>4494</v>
      </c>
      <c r="AG10" s="37" t="s">
        <v>29</v>
      </c>
      <c r="AH10" s="37" t="s">
        <v>29</v>
      </c>
      <c r="AI10" s="37" t="s">
        <v>29</v>
      </c>
    </row>
    <row r="11" ht="18.75" customHeight="1">
      <c r="A11" s="37" t="s">
        <v>4516</v>
      </c>
      <c r="B11" s="153" t="s">
        <v>4489</v>
      </c>
      <c r="C11" s="37" t="s">
        <v>4490</v>
      </c>
      <c r="D11" s="39" t="s">
        <v>4517</v>
      </c>
      <c r="E11" s="39" t="s">
        <v>4518</v>
      </c>
      <c r="F11" s="39" t="s">
        <v>4493</v>
      </c>
      <c r="G11" s="39">
        <v>3.0</v>
      </c>
      <c r="H11" s="39">
        <v>0.0</v>
      </c>
      <c r="I11" s="39">
        <v>0.0</v>
      </c>
      <c r="J11" s="39">
        <v>0.0</v>
      </c>
      <c r="K11" s="39">
        <v>0.0</v>
      </c>
      <c r="L11" s="39">
        <v>10.0</v>
      </c>
      <c r="M11" s="39">
        <v>5.0</v>
      </c>
      <c r="N11" s="39">
        <v>0.0</v>
      </c>
      <c r="O11" s="39">
        <v>0.0</v>
      </c>
      <c r="P11" s="39">
        <v>0.0</v>
      </c>
      <c r="Q11" s="39">
        <v>15.0</v>
      </c>
      <c r="R11" s="39">
        <v>0.0</v>
      </c>
      <c r="S11" s="39">
        <v>0.0</v>
      </c>
      <c r="T11" s="39">
        <v>0.0</v>
      </c>
      <c r="U11" s="39">
        <v>0.0</v>
      </c>
      <c r="V11" s="39">
        <v>0.0</v>
      </c>
      <c r="W11" s="39">
        <v>0.0</v>
      </c>
      <c r="X11" s="39">
        <v>0.0</v>
      </c>
      <c r="Y11" s="39">
        <v>0.0</v>
      </c>
      <c r="Z11" s="39">
        <v>0.0</v>
      </c>
      <c r="AA11" s="37">
        <v>0.0</v>
      </c>
      <c r="AB11" s="37" t="s">
        <v>29</v>
      </c>
      <c r="AC11" s="37">
        <v>0.0</v>
      </c>
      <c r="AD11" s="37">
        <v>0.0</v>
      </c>
      <c r="AE11" s="37">
        <v>0.0</v>
      </c>
      <c r="AF11" s="37" t="s">
        <v>4494</v>
      </c>
      <c r="AG11" s="37" t="s">
        <v>29</v>
      </c>
      <c r="AH11" s="37" t="s">
        <v>29</v>
      </c>
      <c r="AI11" s="37" t="s">
        <v>29</v>
      </c>
    </row>
    <row r="12" ht="18.75" customHeight="1">
      <c r="A12" s="37" t="s">
        <v>4519</v>
      </c>
      <c r="B12" s="153" t="s">
        <v>4489</v>
      </c>
      <c r="C12" s="37" t="s">
        <v>4490</v>
      </c>
      <c r="D12" s="39" t="s">
        <v>4520</v>
      </c>
      <c r="E12" s="39" t="s">
        <v>4521</v>
      </c>
      <c r="F12" s="39" t="s">
        <v>4493</v>
      </c>
      <c r="G12" s="39">
        <v>3.0</v>
      </c>
      <c r="H12" s="39">
        <v>0.0</v>
      </c>
      <c r="I12" s="39">
        <v>0.0</v>
      </c>
      <c r="J12" s="39">
        <v>0.0</v>
      </c>
      <c r="K12" s="39">
        <v>10.0</v>
      </c>
      <c r="L12" s="39">
        <v>0.0</v>
      </c>
      <c r="M12" s="39">
        <v>5.0</v>
      </c>
      <c r="N12" s="39">
        <v>0.0</v>
      </c>
      <c r="O12" s="39">
        <v>0.0</v>
      </c>
      <c r="P12" s="39">
        <v>0.0</v>
      </c>
      <c r="Q12" s="39">
        <v>10.0</v>
      </c>
      <c r="R12" s="39">
        <v>0.0</v>
      </c>
      <c r="S12" s="39">
        <v>0.0</v>
      </c>
      <c r="T12" s="39">
        <v>0.0</v>
      </c>
      <c r="U12" s="39">
        <v>0.0</v>
      </c>
      <c r="V12" s="39">
        <v>0.0</v>
      </c>
      <c r="W12" s="39">
        <v>0.0</v>
      </c>
      <c r="X12" s="39">
        <v>0.0</v>
      </c>
      <c r="Y12" s="39">
        <v>0.0</v>
      </c>
      <c r="Z12" s="39">
        <v>0.0</v>
      </c>
      <c r="AA12" s="37">
        <v>0.0</v>
      </c>
      <c r="AB12" s="37" t="s">
        <v>29</v>
      </c>
      <c r="AC12" s="37">
        <v>0.0</v>
      </c>
      <c r="AD12" s="37">
        <v>0.0</v>
      </c>
      <c r="AE12" s="37">
        <v>0.0</v>
      </c>
      <c r="AF12" s="37" t="s">
        <v>4494</v>
      </c>
      <c r="AG12" s="37" t="s">
        <v>29</v>
      </c>
      <c r="AH12" s="37" t="s">
        <v>29</v>
      </c>
      <c r="AI12" s="37" t="s">
        <v>29</v>
      </c>
    </row>
    <row r="13" ht="18.75" customHeight="1">
      <c r="A13" s="37" t="s">
        <v>4522</v>
      </c>
      <c r="B13" s="153" t="s">
        <v>4489</v>
      </c>
      <c r="C13" s="37" t="s">
        <v>4490</v>
      </c>
      <c r="D13" s="39" t="s">
        <v>4523</v>
      </c>
      <c r="E13" s="39" t="s">
        <v>4524</v>
      </c>
      <c r="F13" s="39" t="s">
        <v>4493</v>
      </c>
      <c r="G13" s="39">
        <v>3.0</v>
      </c>
      <c r="H13" s="39">
        <v>0.0</v>
      </c>
      <c r="I13" s="39">
        <v>0.0</v>
      </c>
      <c r="J13" s="39">
        <v>5.0</v>
      </c>
      <c r="K13" s="39">
        <v>0.0</v>
      </c>
      <c r="L13" s="39">
        <v>0.0</v>
      </c>
      <c r="M13" s="39">
        <v>5.0</v>
      </c>
      <c r="N13" s="39">
        <v>0.0</v>
      </c>
      <c r="O13" s="39">
        <v>0.0</v>
      </c>
      <c r="P13" s="39">
        <v>0.0</v>
      </c>
      <c r="Q13" s="39">
        <v>0.0</v>
      </c>
      <c r="R13" s="39">
        <v>15.0</v>
      </c>
      <c r="S13" s="39">
        <v>0.0</v>
      </c>
      <c r="T13" s="39">
        <v>0.0</v>
      </c>
      <c r="U13" s="39">
        <v>10.0</v>
      </c>
      <c r="V13" s="39">
        <v>0.0</v>
      </c>
      <c r="W13" s="39">
        <v>0.0</v>
      </c>
      <c r="X13" s="39">
        <v>0.0</v>
      </c>
      <c r="Y13" s="39">
        <v>0.0</v>
      </c>
      <c r="Z13" s="39">
        <v>0.0</v>
      </c>
      <c r="AA13" s="37">
        <v>0.0</v>
      </c>
      <c r="AB13" s="37" t="s">
        <v>29</v>
      </c>
      <c r="AC13" s="37">
        <v>0.0</v>
      </c>
      <c r="AD13" s="37">
        <v>0.0</v>
      </c>
      <c r="AE13" s="37">
        <v>0.0</v>
      </c>
      <c r="AF13" s="37" t="s">
        <v>4494</v>
      </c>
      <c r="AG13" s="37" t="s">
        <v>29</v>
      </c>
      <c r="AH13" s="37" t="s">
        <v>29</v>
      </c>
      <c r="AI13" s="37" t="s">
        <v>29</v>
      </c>
    </row>
    <row r="14" ht="18.75" customHeight="1">
      <c r="A14" s="37" t="s">
        <v>4525</v>
      </c>
      <c r="B14" s="153" t="s">
        <v>4489</v>
      </c>
      <c r="C14" s="37" t="s">
        <v>4490</v>
      </c>
      <c r="D14" s="39" t="s">
        <v>4526</v>
      </c>
      <c r="E14" s="39" t="s">
        <v>4527</v>
      </c>
      <c r="F14" s="39" t="s">
        <v>4493</v>
      </c>
      <c r="G14" s="39">
        <v>3.0</v>
      </c>
      <c r="H14" s="39">
        <v>0.0</v>
      </c>
      <c r="I14" s="39">
        <v>0.0</v>
      </c>
      <c r="J14" s="39">
        <v>0.0</v>
      </c>
      <c r="K14" s="39">
        <v>5.0</v>
      </c>
      <c r="L14" s="39">
        <v>20.0</v>
      </c>
      <c r="M14" s="39">
        <v>5.0</v>
      </c>
      <c r="N14" s="39">
        <v>0.0</v>
      </c>
      <c r="O14" s="39">
        <v>0.0</v>
      </c>
      <c r="P14" s="39">
        <v>0.0</v>
      </c>
      <c r="Q14" s="39">
        <v>0.0</v>
      </c>
      <c r="R14" s="39">
        <v>0.0</v>
      </c>
      <c r="S14" s="39">
        <v>0.0</v>
      </c>
      <c r="T14" s="39">
        <v>0.0</v>
      </c>
      <c r="U14" s="39">
        <v>0.0</v>
      </c>
      <c r="V14" s="39">
        <v>0.0</v>
      </c>
      <c r="W14" s="39">
        <v>0.0</v>
      </c>
      <c r="X14" s="39">
        <v>0.0</v>
      </c>
      <c r="Y14" s="39">
        <v>0.0</v>
      </c>
      <c r="Z14" s="39">
        <v>0.0</v>
      </c>
      <c r="AA14" s="37">
        <v>0.0</v>
      </c>
      <c r="AB14" s="37" t="s">
        <v>29</v>
      </c>
      <c r="AC14" s="37">
        <v>0.0</v>
      </c>
      <c r="AD14" s="37">
        <v>0.0</v>
      </c>
      <c r="AE14" s="37">
        <v>0.0</v>
      </c>
      <c r="AF14" s="37" t="s">
        <v>4494</v>
      </c>
      <c r="AG14" s="37" t="s">
        <v>29</v>
      </c>
      <c r="AH14" s="37" t="s">
        <v>29</v>
      </c>
      <c r="AI14" s="37" t="s">
        <v>29</v>
      </c>
    </row>
    <row r="15" ht="18.75" customHeight="1">
      <c r="A15" s="37" t="s">
        <v>4528</v>
      </c>
      <c r="B15" s="153" t="s">
        <v>4489</v>
      </c>
      <c r="C15" s="37" t="s">
        <v>4490</v>
      </c>
      <c r="D15" s="39" t="s">
        <v>4529</v>
      </c>
      <c r="E15" s="39" t="s">
        <v>4530</v>
      </c>
      <c r="F15" s="39" t="s">
        <v>4493</v>
      </c>
      <c r="G15" s="39">
        <v>3.0</v>
      </c>
      <c r="H15" s="39">
        <v>0.0</v>
      </c>
      <c r="I15" s="39">
        <v>0.0</v>
      </c>
      <c r="J15" s="39">
        <v>0.0</v>
      </c>
      <c r="K15" s="39">
        <v>0.0</v>
      </c>
      <c r="L15" s="39">
        <v>10.0</v>
      </c>
      <c r="M15" s="39">
        <v>5.0</v>
      </c>
      <c r="N15" s="39">
        <v>0.0</v>
      </c>
      <c r="O15" s="39">
        <v>10.0</v>
      </c>
      <c r="P15" s="39">
        <v>10.0</v>
      </c>
      <c r="Q15" s="39">
        <v>0.0</v>
      </c>
      <c r="R15" s="39">
        <v>0.0</v>
      </c>
      <c r="S15" s="39">
        <v>0.0</v>
      </c>
      <c r="T15" s="39">
        <v>0.0</v>
      </c>
      <c r="U15" s="39">
        <v>0.0</v>
      </c>
      <c r="V15" s="39">
        <v>0.0</v>
      </c>
      <c r="W15" s="39">
        <v>0.0</v>
      </c>
      <c r="X15" s="39">
        <v>0.0</v>
      </c>
      <c r="Y15" s="39">
        <v>0.0</v>
      </c>
      <c r="Z15" s="39">
        <v>0.0</v>
      </c>
      <c r="AA15" s="37">
        <v>0.0</v>
      </c>
      <c r="AB15" s="37" t="s">
        <v>29</v>
      </c>
      <c r="AC15" s="37">
        <v>0.0</v>
      </c>
      <c r="AD15" s="37">
        <v>0.0</v>
      </c>
      <c r="AE15" s="37">
        <v>0.0</v>
      </c>
      <c r="AF15" s="37" t="s">
        <v>4494</v>
      </c>
      <c r="AG15" s="37" t="s">
        <v>29</v>
      </c>
      <c r="AH15" s="37" t="s">
        <v>29</v>
      </c>
      <c r="AI15" s="37" t="s">
        <v>29</v>
      </c>
    </row>
    <row r="16" ht="18.75" customHeight="1">
      <c r="A16" s="37" t="s">
        <v>4531</v>
      </c>
      <c r="B16" s="153" t="s">
        <v>4532</v>
      </c>
      <c r="C16" s="37" t="s">
        <v>4533</v>
      </c>
      <c r="D16" s="39" t="s">
        <v>29</v>
      </c>
      <c r="E16" s="39" t="s">
        <v>4534</v>
      </c>
      <c r="F16" s="39" t="s">
        <v>4535</v>
      </c>
      <c r="G16" s="39">
        <v>3.0</v>
      </c>
      <c r="H16" s="39">
        <v>5.0</v>
      </c>
      <c r="I16" s="39">
        <v>5.0</v>
      </c>
      <c r="J16" s="39">
        <v>0.0</v>
      </c>
      <c r="K16" s="39">
        <v>0.0</v>
      </c>
      <c r="L16" s="39">
        <v>0.0</v>
      </c>
      <c r="M16" s="39">
        <v>0.0</v>
      </c>
      <c r="N16" s="39">
        <v>0.0</v>
      </c>
      <c r="O16" s="39">
        <v>0.0</v>
      </c>
      <c r="P16" s="39">
        <v>0.0</v>
      </c>
      <c r="Q16" s="39">
        <v>0.0</v>
      </c>
      <c r="R16" s="39">
        <v>0.0</v>
      </c>
      <c r="S16" s="39">
        <v>0.0</v>
      </c>
      <c r="T16" s="39">
        <v>0.0</v>
      </c>
      <c r="U16" s="39">
        <v>0.0</v>
      </c>
      <c r="V16" s="39">
        <v>0.0</v>
      </c>
      <c r="W16" s="39">
        <v>0.0</v>
      </c>
      <c r="X16" s="39">
        <v>0.0</v>
      </c>
      <c r="Y16" s="39">
        <v>0.0</v>
      </c>
      <c r="Z16" s="39">
        <v>0.0</v>
      </c>
      <c r="AA16" s="37">
        <v>0.0</v>
      </c>
      <c r="AB16" s="37" t="s">
        <v>29</v>
      </c>
      <c r="AC16" s="37">
        <v>0.0</v>
      </c>
      <c r="AD16" s="37">
        <v>0.0</v>
      </c>
      <c r="AE16" s="37">
        <v>0.0</v>
      </c>
      <c r="AF16" s="37" t="s">
        <v>4494</v>
      </c>
      <c r="AG16" s="37" t="s">
        <v>29</v>
      </c>
      <c r="AH16" s="37" t="s">
        <v>29</v>
      </c>
      <c r="AI16" s="37" t="s">
        <v>29</v>
      </c>
    </row>
    <row r="17" ht="18.75" customHeight="1">
      <c r="A17" s="37" t="s">
        <v>4536</v>
      </c>
      <c r="B17" s="153" t="s">
        <v>4532</v>
      </c>
      <c r="C17" s="37" t="s">
        <v>4533</v>
      </c>
      <c r="D17" s="39" t="s">
        <v>29</v>
      </c>
      <c r="E17" s="39" t="s">
        <v>4534</v>
      </c>
      <c r="F17" s="39" t="s">
        <v>4535</v>
      </c>
      <c r="G17" s="39">
        <v>3.0</v>
      </c>
      <c r="H17" s="39">
        <v>5.0</v>
      </c>
      <c r="I17" s="39">
        <v>5.0</v>
      </c>
      <c r="J17" s="39">
        <v>0.0</v>
      </c>
      <c r="K17" s="39">
        <v>0.0</v>
      </c>
      <c r="L17" s="39">
        <v>0.0</v>
      </c>
      <c r="M17" s="39">
        <v>0.0</v>
      </c>
      <c r="N17" s="39">
        <v>0.0</v>
      </c>
      <c r="O17" s="39">
        <v>0.0</v>
      </c>
      <c r="P17" s="39">
        <v>0.0</v>
      </c>
      <c r="Q17" s="39">
        <v>0.0</v>
      </c>
      <c r="R17" s="39">
        <v>0.0</v>
      </c>
      <c r="S17" s="39">
        <v>0.0</v>
      </c>
      <c r="T17" s="39">
        <v>0.0</v>
      </c>
      <c r="U17" s="39">
        <v>0.0</v>
      </c>
      <c r="V17" s="39">
        <v>0.0</v>
      </c>
      <c r="W17" s="39">
        <v>0.0</v>
      </c>
      <c r="X17" s="39">
        <v>0.0</v>
      </c>
      <c r="Y17" s="39">
        <v>0.0</v>
      </c>
      <c r="Z17" s="39">
        <v>0.0</v>
      </c>
      <c r="AA17" s="37">
        <v>0.0</v>
      </c>
      <c r="AB17" s="37" t="s">
        <v>29</v>
      </c>
      <c r="AC17" s="37">
        <v>0.0</v>
      </c>
      <c r="AD17" s="37">
        <v>0.0</v>
      </c>
      <c r="AE17" s="37">
        <v>0.0</v>
      </c>
      <c r="AF17" s="37" t="s">
        <v>4494</v>
      </c>
      <c r="AG17" s="37" t="s">
        <v>29</v>
      </c>
      <c r="AH17" s="37" t="s">
        <v>29</v>
      </c>
      <c r="AI17" s="37" t="s">
        <v>29</v>
      </c>
    </row>
    <row r="18" ht="18.75" customHeight="1">
      <c r="A18" s="37" t="s">
        <v>4537</v>
      </c>
      <c r="B18" s="153" t="s">
        <v>4532</v>
      </c>
      <c r="C18" s="37" t="s">
        <v>4533</v>
      </c>
      <c r="D18" s="39" t="s">
        <v>29</v>
      </c>
      <c r="E18" s="39" t="s">
        <v>4534</v>
      </c>
      <c r="F18" s="39" t="s">
        <v>4535</v>
      </c>
      <c r="G18" s="39">
        <v>3.0</v>
      </c>
      <c r="H18" s="39">
        <v>5.0</v>
      </c>
      <c r="I18" s="39">
        <v>5.0</v>
      </c>
      <c r="J18" s="39">
        <v>0.0</v>
      </c>
      <c r="K18" s="39">
        <v>0.0</v>
      </c>
      <c r="L18" s="39">
        <v>0.0</v>
      </c>
      <c r="M18" s="39">
        <v>0.0</v>
      </c>
      <c r="N18" s="39">
        <v>0.0</v>
      </c>
      <c r="O18" s="39">
        <v>0.0</v>
      </c>
      <c r="P18" s="39">
        <v>0.0</v>
      </c>
      <c r="Q18" s="39">
        <v>0.0</v>
      </c>
      <c r="R18" s="39">
        <v>0.0</v>
      </c>
      <c r="S18" s="39">
        <v>0.0</v>
      </c>
      <c r="T18" s="39">
        <v>0.0</v>
      </c>
      <c r="U18" s="39">
        <v>0.0</v>
      </c>
      <c r="V18" s="39">
        <v>0.0</v>
      </c>
      <c r="W18" s="39">
        <v>0.0</v>
      </c>
      <c r="X18" s="39">
        <v>0.0</v>
      </c>
      <c r="Y18" s="39">
        <v>0.0</v>
      </c>
      <c r="Z18" s="39">
        <v>0.0</v>
      </c>
      <c r="AA18" s="37">
        <v>0.0</v>
      </c>
      <c r="AB18" s="37" t="s">
        <v>29</v>
      </c>
      <c r="AC18" s="37">
        <v>0.0</v>
      </c>
      <c r="AD18" s="37">
        <v>0.0</v>
      </c>
      <c r="AE18" s="37">
        <v>0.0</v>
      </c>
      <c r="AF18" s="37" t="s">
        <v>4494</v>
      </c>
      <c r="AG18" s="37" t="s">
        <v>29</v>
      </c>
      <c r="AH18" s="37" t="s">
        <v>29</v>
      </c>
      <c r="AI18" s="37" t="s">
        <v>29</v>
      </c>
    </row>
    <row r="19" ht="18.75" customHeight="1">
      <c r="A19" s="37" t="s">
        <v>4538</v>
      </c>
      <c r="B19" s="153" t="s">
        <v>4539</v>
      </c>
      <c r="C19" s="37" t="s">
        <v>4540</v>
      </c>
      <c r="D19" s="37" t="s">
        <v>4541</v>
      </c>
      <c r="E19" s="37" t="s">
        <v>4542</v>
      </c>
      <c r="F19" s="37" t="s">
        <v>4543</v>
      </c>
    </row>
    <row r="20" ht="18.75" customHeight="1">
      <c r="A20" s="37" t="s">
        <v>4544</v>
      </c>
      <c r="B20" s="153" t="s">
        <v>4539</v>
      </c>
      <c r="C20" s="37" t="s">
        <v>4540</v>
      </c>
      <c r="D20" s="37" t="s">
        <v>4545</v>
      </c>
      <c r="E20" s="37" t="s">
        <v>4542</v>
      </c>
      <c r="F20" s="37" t="s">
        <v>4543</v>
      </c>
    </row>
    <row r="21" ht="18.75" customHeight="1">
      <c r="A21" s="37" t="s">
        <v>4546</v>
      </c>
      <c r="B21" s="153" t="s">
        <v>4539</v>
      </c>
      <c r="C21" s="37" t="s">
        <v>4540</v>
      </c>
      <c r="D21" s="37" t="s">
        <v>4547</v>
      </c>
      <c r="E21" s="37" t="s">
        <v>4542</v>
      </c>
      <c r="F21" s="37" t="s">
        <v>4543</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sheetData>
  <printOptions/>
  <pageMargins bottom="0.75" footer="0.0" header="0.0" left="0.7" right="0.7" top="0.75"/>
  <pageSetup orientation="landscape"/>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7.0" ySplit="5.0" topLeftCell="H6" activePane="bottomRight" state="frozen"/>
      <selection activeCell="H1" sqref="H1" pane="topRight"/>
      <selection activeCell="A6" sqref="A6" pane="bottomLeft"/>
      <selection activeCell="H6" sqref="H6" pane="bottomRight"/>
    </sheetView>
  </sheetViews>
  <sheetFormatPr customHeight="1" defaultColWidth="12.63" defaultRowHeight="15.0" outlineLevelCol="1"/>
  <cols>
    <col customWidth="1" min="1" max="1" width="7.63"/>
    <col customWidth="1" min="2" max="2" width="8.88"/>
    <col customWidth="1" min="3" max="3" width="28.75"/>
    <col customWidth="1" min="4" max="4" width="7.88"/>
    <col customWidth="1" min="5" max="8" width="4.5"/>
    <col customWidth="1" min="9" max="12" width="4.5" outlineLevel="1"/>
    <col customWidth="1" min="13" max="13" width="3.88"/>
    <col customWidth="1" min="14" max="14" width="3.88" outlineLevel="1"/>
    <col customWidth="1" min="15" max="16" width="4.0" outlineLevel="1"/>
    <col customWidth="1" min="17" max="18" width="3.88" outlineLevel="1"/>
    <col customWidth="1" min="19" max="20" width="4.63" outlineLevel="1"/>
    <col customWidth="1" min="21" max="21" width="4.75" outlineLevel="1"/>
    <col customWidth="1" min="22" max="22" width="3.88" outlineLevel="1"/>
    <col customWidth="1" min="23" max="24" width="4.75" outlineLevel="1"/>
    <col customWidth="1" min="25" max="25" width="3.13" outlineLevel="1"/>
    <col customWidth="1" min="26" max="26" width="7.63"/>
    <col customWidth="1" min="27" max="27" width="4.5"/>
    <col customWidth="1" hidden="1" min="28" max="41" width="4.5" outlineLevel="1"/>
    <col collapsed="1" customWidth="1" min="42" max="42" width="5.0"/>
    <col customWidth="1" min="43" max="43" width="5.75" outlineLevel="1"/>
    <col customWidth="1" min="44" max="44" width="4.5" outlineLevel="1"/>
    <col customWidth="1" min="45" max="45" width="3.38" outlineLevel="1"/>
    <col customWidth="1" min="46" max="47" width="4.5" outlineLevel="1"/>
    <col customWidth="1" min="48" max="48" width="4.13" outlineLevel="1"/>
    <col customWidth="1" min="49" max="49" width="4.5"/>
    <col customWidth="1" min="50" max="50" width="3.25"/>
    <col customWidth="1" min="51" max="51" width="9.75"/>
    <col customWidth="1" min="52" max="60" width="9.25"/>
    <col customWidth="1" min="61" max="61" width="15.13"/>
    <col customWidth="1" min="62" max="65" width="18.88"/>
    <col customWidth="1" min="66" max="68" width="16.38"/>
    <col customWidth="1" min="69" max="69" width="18.25"/>
    <col customWidth="1" min="70" max="70" width="27.63"/>
    <col customWidth="1" min="71" max="75" width="9.63"/>
    <col customWidth="1" min="76" max="76" width="35.13"/>
    <col customWidth="1" min="77" max="83" width="9.63"/>
    <col customWidth="1" min="84" max="86" width="20.13"/>
  </cols>
  <sheetData>
    <row r="1" ht="37.5" customHeight="1">
      <c r="A1" s="64" t="s">
        <v>4548</v>
      </c>
      <c r="B1" s="64" t="s">
        <v>4549</v>
      </c>
      <c r="C1" s="64" t="s">
        <v>2620</v>
      </c>
      <c r="D1" s="102" t="s">
        <v>4550</v>
      </c>
      <c r="E1" s="64" t="s">
        <v>4551</v>
      </c>
      <c r="F1" s="64" t="s">
        <v>4552</v>
      </c>
      <c r="G1" s="64" t="s">
        <v>4553</v>
      </c>
      <c r="H1" s="154" t="s">
        <v>4378</v>
      </c>
      <c r="I1" s="154" t="s">
        <v>4381</v>
      </c>
      <c r="J1" s="154" t="s">
        <v>4383</v>
      </c>
      <c r="K1" s="154" t="s">
        <v>4385</v>
      </c>
      <c r="L1" s="154" t="s">
        <v>4387</v>
      </c>
      <c r="M1" s="155" t="s">
        <v>3201</v>
      </c>
      <c r="N1" s="155" t="s">
        <v>3202</v>
      </c>
      <c r="O1" s="155" t="s">
        <v>3203</v>
      </c>
      <c r="P1" s="156" t="s">
        <v>3204</v>
      </c>
      <c r="Q1" s="156" t="s">
        <v>3205</v>
      </c>
      <c r="R1" s="156" t="s">
        <v>3206</v>
      </c>
      <c r="S1" s="156" t="s">
        <v>3207</v>
      </c>
      <c r="T1" s="156" t="s">
        <v>3208</v>
      </c>
      <c r="U1" s="74" t="s">
        <v>3209</v>
      </c>
      <c r="V1" s="74" t="s">
        <v>3210</v>
      </c>
      <c r="W1" s="74" t="s">
        <v>3211</v>
      </c>
      <c r="X1" s="149" t="s">
        <v>2628</v>
      </c>
      <c r="Y1" s="149" t="s">
        <v>2627</v>
      </c>
      <c r="Z1" s="64"/>
      <c r="AA1" s="49" t="s">
        <v>2593</v>
      </c>
      <c r="AB1" s="49" t="s">
        <v>1921</v>
      </c>
      <c r="AC1" s="49" t="s">
        <v>2594</v>
      </c>
      <c r="AD1" s="49" t="s">
        <v>2595</v>
      </c>
      <c r="AE1" s="49" t="s">
        <v>2596</v>
      </c>
      <c r="AF1" s="51" t="s">
        <v>1139</v>
      </c>
      <c r="AG1" s="51" t="s">
        <v>2598</v>
      </c>
      <c r="AH1" s="157" t="s">
        <v>2599</v>
      </c>
      <c r="AI1" s="157" t="s">
        <v>2600</v>
      </c>
      <c r="AJ1" s="157" t="s">
        <v>2601</v>
      </c>
      <c r="AK1" s="157" t="s">
        <v>2602</v>
      </c>
      <c r="AL1" s="53" t="s">
        <v>2603</v>
      </c>
      <c r="AM1" s="53" t="s">
        <v>2604</v>
      </c>
      <c r="AN1" s="53" t="s">
        <v>2429</v>
      </c>
      <c r="AO1" s="53" t="s">
        <v>1179</v>
      </c>
      <c r="AP1" s="64" t="s">
        <v>4420</v>
      </c>
      <c r="AQ1" s="64" t="s">
        <v>3214</v>
      </c>
      <c r="AR1" s="64" t="s">
        <v>4406</v>
      </c>
      <c r="AS1" s="64" t="s">
        <v>4409</v>
      </c>
      <c r="AT1" s="64" t="s">
        <v>4412</v>
      </c>
      <c r="AU1" s="64" t="s">
        <v>4414</v>
      </c>
      <c r="AV1" s="64" t="s">
        <v>1845</v>
      </c>
      <c r="AW1" s="64" t="s">
        <v>3215</v>
      </c>
      <c r="AX1" s="64" t="s">
        <v>849</v>
      </c>
      <c r="AY1" s="64" t="s">
        <v>3197</v>
      </c>
      <c r="AZ1" s="64" t="s">
        <v>3659</v>
      </c>
      <c r="BA1" s="64" t="s">
        <v>4554</v>
      </c>
      <c r="BB1" s="64" t="s">
        <v>4555</v>
      </c>
      <c r="BC1" s="64" t="s">
        <v>4556</v>
      </c>
      <c r="BD1" s="64" t="s">
        <v>4557</v>
      </c>
      <c r="BE1" s="64" t="s">
        <v>4558</v>
      </c>
      <c r="BF1" s="64" t="s">
        <v>4559</v>
      </c>
      <c r="BG1" s="64" t="s">
        <v>4560</v>
      </c>
      <c r="BH1" s="64" t="s">
        <v>4561</v>
      </c>
      <c r="BI1" s="102" t="s">
        <v>4562</v>
      </c>
      <c r="BJ1" s="102" t="s">
        <v>4563</v>
      </c>
      <c r="BK1" s="102" t="s">
        <v>4564</v>
      </c>
      <c r="BL1" s="102" t="s">
        <v>4565</v>
      </c>
      <c r="BM1" s="102" t="s">
        <v>4566</v>
      </c>
      <c r="BN1" s="158" t="s">
        <v>4567</v>
      </c>
      <c r="BO1" s="158" t="s">
        <v>4568</v>
      </c>
      <c r="BP1" s="158" t="s">
        <v>4569</v>
      </c>
      <c r="BQ1" s="158" t="s">
        <v>4570</v>
      </c>
      <c r="BR1" s="159" t="s">
        <v>4571</v>
      </c>
      <c r="BS1" s="160" t="s">
        <v>4572</v>
      </c>
      <c r="BT1" s="160" t="s">
        <v>4573</v>
      </c>
      <c r="BU1" s="160" t="s">
        <v>4574</v>
      </c>
      <c r="BV1" s="160" t="s">
        <v>4575</v>
      </c>
      <c r="BW1" s="160" t="s">
        <v>4576</v>
      </c>
      <c r="BX1" s="161" t="s">
        <v>4577</v>
      </c>
      <c r="BY1" s="160" t="s">
        <v>4578</v>
      </c>
      <c r="BZ1" s="160" t="s">
        <v>4579</v>
      </c>
      <c r="CA1" s="160" t="s">
        <v>4580</v>
      </c>
      <c r="CB1" s="160" t="s">
        <v>4581</v>
      </c>
      <c r="CC1" s="160" t="s">
        <v>4582</v>
      </c>
      <c r="CD1" s="161" t="s">
        <v>4583</v>
      </c>
      <c r="CE1" s="161" t="s">
        <v>4584</v>
      </c>
      <c r="CF1" s="161" t="s">
        <v>4585</v>
      </c>
      <c r="CG1" s="161" t="s">
        <v>4586</v>
      </c>
      <c r="CH1" s="161" t="s">
        <v>4587</v>
      </c>
    </row>
    <row r="2" ht="13.5" customHeight="1">
      <c r="A2" s="37" t="s">
        <v>4588</v>
      </c>
      <c r="B2" s="37" t="s">
        <v>4589</v>
      </c>
      <c r="C2" s="64" t="s">
        <v>4590</v>
      </c>
      <c r="D2" s="39"/>
      <c r="E2" s="64">
        <v>4.0</v>
      </c>
      <c r="F2" s="64">
        <v>3.0</v>
      </c>
      <c r="G2" s="64"/>
      <c r="M2" s="37">
        <v>100.0</v>
      </c>
      <c r="N2" s="37">
        <v>0.0</v>
      </c>
      <c r="O2" s="37">
        <v>0.0</v>
      </c>
      <c r="P2" s="37">
        <v>100.0</v>
      </c>
      <c r="Q2" s="37">
        <v>50.0</v>
      </c>
      <c r="R2" s="37">
        <f t="array" ref="R2">LET(
_xlpm.h,R$1,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 s="37">
        <f t="array" ref="S2">LET(
_xlpm.h,S$1,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 s="37">
        <f t="array" ref="T2">LET(
_xlpm.h,T$1,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 s="37">
        <f t="array" ref="U2">LET(
_xlpm.h,U$1,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 s="37">
        <f t="array" ref="V2">LET(
_xlpm.h,V$1,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 s="37">
        <f t="array" ref="W2">LET(
_xlpm.h,W$1,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 s="37">
        <f t="array" ref="X2">LET(
_xlpm.h,X$1,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 s="37">
        <f t="array" ref="Y2">LET(
_xlpm.h,Y$1,
_xlpm.baseLv,MAX($H2:$L2),
_xlpm.magicLv,$I2,
_xlpm.faithLv,$J2,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 s="162"/>
      <c r="AI2" s="162"/>
      <c r="AJ2" s="162"/>
      <c r="AK2" s="162"/>
      <c r="AZ2" s="37" t="s">
        <v>4591</v>
      </c>
      <c r="BA2" s="37" t="s">
        <v>4592</v>
      </c>
      <c r="BB2" s="37">
        <v>1.0</v>
      </c>
      <c r="BC2" s="41">
        <v>0.0</v>
      </c>
      <c r="BD2" s="37">
        <v>2.0</v>
      </c>
      <c r="BE2" s="37" t="s">
        <v>4588</v>
      </c>
      <c r="BF2" s="37">
        <v>60.0</v>
      </c>
      <c r="BG2" s="37">
        <v>20.0</v>
      </c>
      <c r="BH2" s="37">
        <v>1.0</v>
      </c>
      <c r="BI2" s="39" t="s">
        <v>4593</v>
      </c>
      <c r="BJ2" s="39"/>
      <c r="BK2" s="39"/>
      <c r="BL2" s="39"/>
      <c r="BM2" s="39"/>
      <c r="BN2" s="158"/>
      <c r="BO2" s="158"/>
      <c r="BP2" s="158"/>
      <c r="BQ2" s="158"/>
      <c r="BR2" s="158"/>
      <c r="BS2" s="158" t="s">
        <v>4594</v>
      </c>
      <c r="BT2" s="158">
        <v>100.0</v>
      </c>
      <c r="BU2" s="158"/>
      <c r="BV2" s="158"/>
      <c r="BW2" s="158"/>
      <c r="BX2" s="158"/>
      <c r="BY2" s="158"/>
      <c r="BZ2" s="158"/>
      <c r="CA2" s="158"/>
      <c r="CB2" s="158"/>
      <c r="CC2" s="158"/>
      <c r="CD2" s="158"/>
      <c r="CE2" s="158"/>
      <c r="CF2" s="158"/>
      <c r="CG2" s="158"/>
      <c r="CH2" s="158"/>
    </row>
    <row r="3" ht="13.5" customHeight="1">
      <c r="A3" s="37" t="s">
        <v>4595</v>
      </c>
      <c r="B3" s="37" t="s">
        <v>4596</v>
      </c>
      <c r="C3" s="64" t="s">
        <v>4597</v>
      </c>
      <c r="D3" s="37" t="s">
        <v>4588</v>
      </c>
      <c r="E3" s="64">
        <v>8.0</v>
      </c>
      <c r="F3" s="64">
        <v>5.0</v>
      </c>
      <c r="G3" s="64"/>
      <c r="M3" s="37">
        <f t="shared" ref="M3:M5" si="2">M2*2</f>
        <v>200</v>
      </c>
      <c r="N3" s="39">
        <v>1.0</v>
      </c>
      <c r="O3" s="37">
        <f t="array" ref="O3">LET(
_xlpm.h,O$1,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 s="37">
        <f t="shared" ref="P3:Q3" si="1">P2*2</f>
        <v>200</v>
      </c>
      <c r="Q3" s="37">
        <f t="shared" si="1"/>
        <v>100</v>
      </c>
      <c r="R3" s="37">
        <f t="array" ref="R3">LET(
_xlpm.h,R$1,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 s="37">
        <f t="array" ref="S3">LET(
_xlpm.h,S$1,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 s="37">
        <f t="array" ref="T3">LET(
_xlpm.h,T$1,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 s="37">
        <f t="array" ref="U3">LET(
_xlpm.h,U$1,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 s="37">
        <f t="array" ref="V3">LET(
_xlpm.h,V$1,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 s="37">
        <f t="array" ref="W3">LET(
_xlpm.h,W$1,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 s="37">
        <f t="array" ref="X3">LET(
_xlpm.h,X$1,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 s="37">
        <f t="array" ref="Y3">LET(
_xlpm.h,Y$1,
_xlpm.baseLv,MAX($H3:$L3),
_xlpm.magicLv,$I3,
_xlpm.faithLv,$J3,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 s="162"/>
      <c r="AI3" s="162"/>
      <c r="AJ3" s="162"/>
      <c r="AK3" s="162"/>
      <c r="AZ3" s="37" t="s">
        <v>4591</v>
      </c>
      <c r="BA3" s="37" t="s">
        <v>4598</v>
      </c>
      <c r="BB3" s="37">
        <v>2.0</v>
      </c>
      <c r="BC3" s="37">
        <v>125.0</v>
      </c>
      <c r="BD3" s="37">
        <v>4.0</v>
      </c>
      <c r="BE3" s="37" t="s">
        <v>4595</v>
      </c>
      <c r="BF3" s="37">
        <v>57.0</v>
      </c>
      <c r="BG3" s="37">
        <v>50.0</v>
      </c>
      <c r="BH3" s="37">
        <v>2.0</v>
      </c>
      <c r="BI3" s="39" t="s">
        <v>4593</v>
      </c>
      <c r="BJ3" s="41" t="s">
        <v>4588</v>
      </c>
      <c r="BK3" s="39"/>
      <c r="BL3" s="39"/>
      <c r="BM3" s="64">
        <v>4.0</v>
      </c>
      <c r="BN3" s="158"/>
      <c r="BO3" s="158"/>
      <c r="BP3" s="158"/>
      <c r="BQ3" s="158"/>
      <c r="BR3" s="163" t="s">
        <v>4599</v>
      </c>
      <c r="BS3" s="158" t="s">
        <v>4594</v>
      </c>
      <c r="BT3" s="158">
        <v>50.0</v>
      </c>
      <c r="BU3" s="158"/>
      <c r="BV3" s="158"/>
      <c r="BW3" s="158"/>
      <c r="BX3" s="158"/>
      <c r="BY3" s="158"/>
      <c r="BZ3" s="158"/>
      <c r="CA3" s="158"/>
      <c r="CB3" s="158"/>
      <c r="CC3" s="158"/>
      <c r="CD3" s="158"/>
      <c r="CE3" s="158"/>
      <c r="CF3" s="158"/>
      <c r="CG3" s="158"/>
      <c r="CH3" s="158"/>
    </row>
    <row r="4" ht="13.5" customHeight="1">
      <c r="A4" s="37" t="s">
        <v>4600</v>
      </c>
      <c r="B4" s="37" t="s">
        <v>4601</v>
      </c>
      <c r="C4" s="64" t="s">
        <v>4602</v>
      </c>
      <c r="D4" s="37" t="s">
        <v>4595</v>
      </c>
      <c r="E4" s="64">
        <v>16.0</v>
      </c>
      <c r="F4" s="64">
        <v>7.0</v>
      </c>
      <c r="G4" s="64"/>
      <c r="M4" s="37">
        <f t="shared" si="2"/>
        <v>400</v>
      </c>
      <c r="N4" s="39">
        <v>2.0</v>
      </c>
      <c r="O4" s="39">
        <v>1.0</v>
      </c>
      <c r="P4" s="37">
        <f t="shared" ref="P4:Q4" si="3">P3*2</f>
        <v>400</v>
      </c>
      <c r="Q4" s="37">
        <f t="shared" si="3"/>
        <v>200</v>
      </c>
      <c r="R4" s="39">
        <v>1.0</v>
      </c>
      <c r="S4" s="39">
        <v>0.0</v>
      </c>
      <c r="T4" s="39">
        <v>0.0</v>
      </c>
      <c r="U4" s="37">
        <v>50.0</v>
      </c>
      <c r="V4" s="39">
        <v>1.0</v>
      </c>
      <c r="W4" s="37">
        <f t="array" ref="W4">LET(
_xlpm.h,W$1,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4" s="37">
        <f t="array" ref="X4">LET(
_xlpm.h,X$1,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4" s="37">
        <f t="array" ref="Y4">LET(
_xlpm.h,Y$1,
_xlpm.baseLv,MAX($H4:$L4),
_xlpm.magicLv,$I4,
_xlpm.faithLv,$J4,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4" s="162"/>
      <c r="AI4" s="162"/>
      <c r="AJ4" s="162"/>
      <c r="AK4" s="162"/>
      <c r="AZ4" s="37" t="s">
        <v>4591</v>
      </c>
      <c r="BA4" s="37" t="s">
        <v>4603</v>
      </c>
      <c r="BB4" s="37">
        <v>3.0</v>
      </c>
      <c r="BC4" s="37">
        <v>260.0</v>
      </c>
      <c r="BD4" s="37">
        <v>7.0</v>
      </c>
      <c r="BE4" s="37" t="s">
        <v>4600</v>
      </c>
      <c r="BF4" s="37">
        <v>66.0</v>
      </c>
      <c r="BG4" s="37">
        <v>100.0</v>
      </c>
      <c r="BH4" s="37">
        <v>3.0</v>
      </c>
      <c r="BI4" s="39" t="s">
        <v>4593</v>
      </c>
      <c r="BJ4" s="41" t="s">
        <v>4595</v>
      </c>
      <c r="BK4" s="39"/>
      <c r="BL4" s="39"/>
      <c r="BM4" s="64">
        <v>8.0</v>
      </c>
      <c r="BN4" s="158"/>
      <c r="BO4" s="158"/>
      <c r="BP4" s="158"/>
      <c r="BQ4" s="158"/>
      <c r="BR4" s="163" t="s">
        <v>4604</v>
      </c>
      <c r="BS4" s="158" t="s">
        <v>4594</v>
      </c>
      <c r="BT4" s="158">
        <v>40.0</v>
      </c>
      <c r="BU4" s="158"/>
      <c r="BV4" s="158"/>
      <c r="BW4" s="158"/>
      <c r="BX4" s="158"/>
      <c r="BY4" s="158"/>
      <c r="BZ4" s="158"/>
      <c r="CA4" s="158"/>
      <c r="CB4" s="158"/>
      <c r="CC4" s="158"/>
      <c r="CD4" s="158"/>
      <c r="CE4" s="158"/>
      <c r="CF4" s="158"/>
      <c r="CG4" s="158"/>
      <c r="CH4" s="158"/>
    </row>
    <row r="5" ht="13.5" customHeight="1">
      <c r="A5" s="37" t="s">
        <v>4605</v>
      </c>
      <c r="B5" s="37" t="s">
        <v>4606</v>
      </c>
      <c r="C5" s="64" t="s">
        <v>4607</v>
      </c>
      <c r="D5" s="37" t="s">
        <v>4600</v>
      </c>
      <c r="E5" s="64">
        <v>32.0</v>
      </c>
      <c r="F5" s="64">
        <v>9.0</v>
      </c>
      <c r="G5" s="64"/>
      <c r="M5" s="37">
        <f t="shared" si="2"/>
        <v>800</v>
      </c>
      <c r="N5" s="39">
        <v>4.0</v>
      </c>
      <c r="O5" s="39">
        <v>1.0</v>
      </c>
      <c r="P5" s="37">
        <f t="shared" ref="P5:Q5" si="4">P4*2</f>
        <v>800</v>
      </c>
      <c r="Q5" s="37">
        <f t="shared" si="4"/>
        <v>400</v>
      </c>
      <c r="R5" s="39">
        <v>1.0</v>
      </c>
      <c r="S5" s="39">
        <v>1.0</v>
      </c>
      <c r="T5" s="39">
        <v>1.0</v>
      </c>
      <c r="U5" s="37">
        <f>U4*2</f>
        <v>100</v>
      </c>
      <c r="V5" s="39">
        <v>2.0</v>
      </c>
      <c r="W5" s="37">
        <f t="array" ref="W5">LET(
_xlpm.h,W$1,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5" s="37">
        <f t="array" ref="X5">LET(
_xlpm.h,X$1,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5" s="37">
        <f t="array" ref="Y5">LET(
_xlpm.h,Y$1,
_xlpm.baseLv,MAX($H5:$L5),
_xlpm.magicLv,$I5,
_xlpm.faithLv,$J5,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5" s="162"/>
      <c r="AI5" s="162"/>
      <c r="AJ5" s="162"/>
      <c r="AK5" s="162"/>
      <c r="AZ5" s="37" t="s">
        <v>4591</v>
      </c>
      <c r="BA5" s="37" t="s">
        <v>4608</v>
      </c>
      <c r="BB5" s="37">
        <v>4.0</v>
      </c>
      <c r="BC5" s="37">
        <v>420.0</v>
      </c>
      <c r="BD5" s="37">
        <v>10.0</v>
      </c>
      <c r="BE5" s="37" t="s">
        <v>4605</v>
      </c>
      <c r="BF5" s="37">
        <v>78.0</v>
      </c>
      <c r="BG5" s="37">
        <v>150.0</v>
      </c>
      <c r="BH5" s="37">
        <v>7.0</v>
      </c>
      <c r="BI5" s="39" t="s">
        <v>4593</v>
      </c>
      <c r="BJ5" s="41" t="s">
        <v>4600</v>
      </c>
      <c r="BK5" s="39"/>
      <c r="BL5" s="39"/>
      <c r="BM5" s="64">
        <v>16.0</v>
      </c>
      <c r="BN5" s="158"/>
      <c r="BO5" s="158"/>
      <c r="BP5" s="158"/>
      <c r="BQ5" s="158"/>
      <c r="BR5" s="163" t="s">
        <v>4609</v>
      </c>
      <c r="BS5" s="158" t="s">
        <v>4594</v>
      </c>
      <c r="BT5" s="158">
        <v>30.0</v>
      </c>
      <c r="BU5" s="158"/>
      <c r="BV5" s="158"/>
      <c r="BW5" s="158"/>
      <c r="BX5" s="158"/>
      <c r="BY5" s="158"/>
      <c r="BZ5" s="158"/>
      <c r="CA5" s="158"/>
      <c r="CB5" s="158"/>
      <c r="CC5" s="158"/>
      <c r="CD5" s="158"/>
      <c r="CE5" s="158"/>
      <c r="CF5" s="158"/>
      <c r="CG5" s="158"/>
      <c r="CH5" s="158"/>
    </row>
    <row r="6" ht="18.75" customHeight="1">
      <c r="A6" s="37" t="s">
        <v>4610</v>
      </c>
      <c r="B6" s="37" t="s">
        <v>4589</v>
      </c>
      <c r="C6" s="64" t="s">
        <v>4611</v>
      </c>
      <c r="D6" s="39"/>
      <c r="E6" s="64">
        <v>2.0</v>
      </c>
      <c r="F6" s="102">
        <v>0.0</v>
      </c>
      <c r="G6" s="64" t="s">
        <v>3064</v>
      </c>
      <c r="K6" s="37">
        <v>1.0</v>
      </c>
      <c r="M6" s="37">
        <f t="array" ref="M6">LET(
_xlpm.h,M$1,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6" s="37">
        <f t="array" ref="N6">LET(
_xlpm.h,N$1,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6" s="37">
        <f t="array" ref="O6">LET(
_xlpm.h,O$1,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6" s="37">
        <f t="array" ref="P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6" s="37">
        <f t="array" ref="Q6">LET(
_xlpm.h,Q$1,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)*2</f>
        <v>20</v>
      </c>
      <c r="R6" s="37">
        <f t="array" ref="R6">LET(
_xlpm.h,R$1,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6" s="37">
        <f t="array" ref="S6">LET(
_xlpm.h,S$1,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6" s="37">
        <f t="array" ref="T6">LET(
_xlpm.h,T$1,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6" s="37">
        <f t="array" ref="U6">LET(
_xlpm.h,U$1,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6" s="37">
        <f t="array" ref="V6">LET(
_xlpm.h,V$1,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6" s="37">
        <f t="array" ref="W6">LET(
_xlpm.h,W$1,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6" s="37">
        <f t="array" ref="X6">LET(
_xlpm.h,X$1,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6" s="37">
        <f t="array" ref="Y6">LET(
_xlpm.h,Y$1,
_xlpm.baseLv,MAX($H6:$L6),
_xlpm.magicLv,$I6,
_xlpm.faithLv,$J6,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6" s="162"/>
      <c r="AI6" s="162"/>
      <c r="AJ6" s="162"/>
      <c r="AK6" s="162"/>
      <c r="BI6" s="39" t="s">
        <v>4593</v>
      </c>
      <c r="BJ6" s="39"/>
      <c r="BK6" s="39"/>
      <c r="BL6" s="39"/>
      <c r="BM6" s="39"/>
      <c r="BN6" s="158" t="s">
        <v>4612</v>
      </c>
      <c r="BO6" s="158" t="s">
        <v>4613</v>
      </c>
      <c r="BP6" s="158">
        <v>0.0</v>
      </c>
      <c r="BQ6" s="158"/>
      <c r="BR6" s="163" t="s">
        <v>4588</v>
      </c>
      <c r="BS6" s="158" t="s">
        <v>4614</v>
      </c>
      <c r="BT6" s="158">
        <v>85.0</v>
      </c>
      <c r="BU6" s="158"/>
      <c r="BV6" s="158"/>
      <c r="BW6" s="158"/>
      <c r="BX6" s="158"/>
      <c r="BY6" s="158"/>
      <c r="BZ6" s="158"/>
      <c r="CA6" s="158"/>
      <c r="CB6" s="158"/>
      <c r="CC6" s="158"/>
      <c r="CD6" s="158"/>
      <c r="CE6" s="158"/>
      <c r="CF6" s="158"/>
      <c r="CG6" s="158"/>
      <c r="CH6" s="158"/>
    </row>
    <row r="7" ht="18.75" customHeight="1">
      <c r="A7" s="37" t="s">
        <v>4615</v>
      </c>
      <c r="B7" s="37" t="s">
        <v>4589</v>
      </c>
      <c r="C7" s="64" t="s">
        <v>4616</v>
      </c>
      <c r="D7" s="39"/>
      <c r="E7" s="64">
        <v>4.0</v>
      </c>
      <c r="F7" s="64"/>
      <c r="G7" s="64" t="s">
        <v>3064</v>
      </c>
      <c r="H7" s="37">
        <v>2.0</v>
      </c>
      <c r="I7" s="37">
        <v>2.0</v>
      </c>
      <c r="J7" s="37">
        <v>2.0</v>
      </c>
      <c r="K7" s="37">
        <v>2.0</v>
      </c>
      <c r="L7" s="37">
        <v>2.0</v>
      </c>
      <c r="M7" s="37">
        <f t="array" ref="M7">LET(
_xlpm.h,M$1,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7" s="37">
        <f t="array" ref="N7">LET(
_xlpm.h,N$1,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7" s="37">
        <f t="array" ref="O7">LET(
_xlpm.h,O$1,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7" s="37">
        <f t="array" ref="P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7" s="37">
        <f t="array" ref="Q7">LET(
_xlpm.h,Q$1,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7" s="37">
        <f t="array" ref="R7">LET(
_xlpm.h,R$1,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7" s="37">
        <f t="array" ref="S7">LET(
_xlpm.h,S$1,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7" s="37">
        <f t="array" ref="T7">LET(
_xlpm.h,T$1,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7" s="37">
        <f t="array" ref="U7">LET(
_xlpm.h,U$1,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7" s="37">
        <f t="array" ref="V7">LET(
_xlpm.h,V$1,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7" s="37">
        <f t="array" ref="W7">LET(
_xlpm.h,W$1,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7" s="37">
        <f t="array" ref="X7">LET(
_xlpm.h,X$1,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7" s="37">
        <f t="array" ref="Y7">LET(
_xlpm.h,Y$1,
_xlpm.baseLv,MAX($H7:$L7),
_xlpm.magicLv,$I7,
_xlpm.faithLv,$J7,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7" s="162"/>
      <c r="AI7" s="162"/>
      <c r="AJ7" s="162"/>
      <c r="AK7" s="162"/>
      <c r="AU7" s="37">
        <v>25.0</v>
      </c>
      <c r="AY7" s="37">
        <v>35.0</v>
      </c>
      <c r="BI7" s="39" t="s">
        <v>4593</v>
      </c>
      <c r="BJ7" s="39"/>
      <c r="BK7" s="39"/>
      <c r="BL7" s="39"/>
      <c r="BM7" s="39"/>
      <c r="BN7" s="158"/>
      <c r="BO7" s="158"/>
      <c r="BP7" s="158"/>
      <c r="BQ7" s="158"/>
      <c r="BR7" s="163" t="s">
        <v>4617</v>
      </c>
      <c r="BS7" s="158" t="s">
        <v>4618</v>
      </c>
      <c r="BT7" s="158">
        <v>50.0</v>
      </c>
      <c r="BU7" s="158"/>
      <c r="BV7" s="158"/>
      <c r="BW7" s="158"/>
      <c r="BX7" s="158"/>
      <c r="BY7" s="158"/>
      <c r="BZ7" s="158"/>
      <c r="CA7" s="158"/>
      <c r="CB7" s="158"/>
      <c r="CC7" s="158"/>
      <c r="CD7" s="158"/>
      <c r="CE7" s="158"/>
      <c r="CF7" s="158"/>
      <c r="CG7" s="158"/>
      <c r="CH7" s="158"/>
    </row>
    <row r="8" ht="18.75" customHeight="1">
      <c r="A8" s="37" t="s">
        <v>4619</v>
      </c>
      <c r="B8" s="37" t="s">
        <v>4589</v>
      </c>
      <c r="C8" s="64" t="s">
        <v>4620</v>
      </c>
      <c r="D8" s="39"/>
      <c r="E8" s="64">
        <v>2.0</v>
      </c>
      <c r="F8" s="102">
        <v>0.0</v>
      </c>
      <c r="G8" s="64" t="s">
        <v>3064</v>
      </c>
      <c r="K8" s="37">
        <v>2.0</v>
      </c>
      <c r="M8" s="37">
        <f t="array" ref="M8">LET(
_xlpm.h,M$1,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8" s="37">
        <f t="array" ref="N8">LET(
_xlpm.h,N$1,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8" s="37">
        <f t="array" ref="O8">LET(
_xlpm.h,O$1,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8" s="37">
        <f t="array" ref="P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8" s="37">
        <f t="array" ref="Q8">LET(
_xlpm.h,Q$1,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8" s="37">
        <f t="array" ref="R8">LET(
_xlpm.h,R$1,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8" s="37">
        <f t="array" ref="S8">LET(
_xlpm.h,S$1,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8" s="37">
        <f t="array" ref="T8">LET(
_xlpm.h,T$1,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8" s="37">
        <f t="array" ref="U8">LET(
_xlpm.h,U$1,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8" s="37">
        <f t="array" ref="V8">LET(
_xlpm.h,V$1,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8" s="37">
        <f t="array" ref="W8">LET(
_xlpm.h,W$1,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8" s="37">
        <f t="array" ref="X8">LET(
_xlpm.h,X$1,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8" s="37">
        <f t="array" ref="Y8">LET(
_xlpm.h,Y$1,
_xlpm.baseLv,MAX($H8:$L8),
_xlpm.magicLv,$I8,
_xlpm.faithLv,$J8,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8" s="162"/>
      <c r="AI8" s="162"/>
      <c r="AJ8" s="162"/>
      <c r="AK8" s="162"/>
      <c r="BI8" s="39" t="s">
        <v>4593</v>
      </c>
      <c r="BJ8" s="39"/>
      <c r="BK8" s="39"/>
      <c r="BL8" s="39"/>
      <c r="BM8" s="39"/>
      <c r="BN8" s="158"/>
      <c r="BO8" s="158"/>
      <c r="BP8" s="158"/>
      <c r="BQ8" s="158"/>
      <c r="BR8" s="163" t="s">
        <v>4610</v>
      </c>
      <c r="BS8" s="158" t="s">
        <v>4614</v>
      </c>
      <c r="BT8" s="158">
        <v>65.0</v>
      </c>
      <c r="BU8" s="158"/>
      <c r="BV8" s="158"/>
      <c r="BW8" s="158"/>
      <c r="BX8" s="158"/>
      <c r="BY8" s="158"/>
      <c r="BZ8" s="158"/>
      <c r="CA8" s="158"/>
      <c r="CB8" s="158"/>
      <c r="CC8" s="158"/>
      <c r="CD8" s="158"/>
      <c r="CE8" s="158"/>
      <c r="CF8" s="158"/>
      <c r="CG8" s="158"/>
      <c r="CH8" s="158"/>
    </row>
    <row r="9" ht="18.75" customHeight="1">
      <c r="A9" s="37" t="s">
        <v>4621</v>
      </c>
      <c r="B9" s="37" t="s">
        <v>4589</v>
      </c>
      <c r="C9" s="64" t="s">
        <v>4622</v>
      </c>
      <c r="D9" s="39"/>
      <c r="E9" s="64">
        <v>2.0</v>
      </c>
      <c r="F9" s="64"/>
      <c r="G9" s="64" t="s">
        <v>3064</v>
      </c>
      <c r="H9" s="37">
        <v>1.0</v>
      </c>
      <c r="M9" s="37">
        <f t="array" ref="M9">LET(
_xlpm.h,M$1,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9" s="37">
        <f t="array" ref="N9">LET(
_xlpm.h,N$1,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9" s="37">
        <f t="array" ref="O9">LET(
_xlpm.h,O$1,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9" s="37">
        <f t="array" ref="P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9" s="37">
        <f t="array" ref="Q9">LET(
_xlpm.h,Q$1,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9" s="37">
        <f t="array" ref="R9">LET(
_xlpm.h,R$1,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9" s="37">
        <f t="array" ref="S9">LET(
_xlpm.h,S$1,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9" s="37">
        <f t="array" ref="T9">LET(
_xlpm.h,T$1,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9" s="37">
        <f t="array" ref="U9">LET(
_xlpm.h,U$1,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9" s="37">
        <f t="array" ref="V9">LET(
_xlpm.h,V$1,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9" s="37">
        <f t="array" ref="W9">LET(
_xlpm.h,W$1,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9" s="37">
        <f t="array" ref="X9">LET(
_xlpm.h,X$1,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9" s="37">
        <f t="array" ref="Y9">LET(
_xlpm.h,Y$1,
_xlpm.baseLv,MAX($H9:$L9),
_xlpm.magicLv,$I9,
_xlpm.faithLv,$J9,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9" s="162"/>
      <c r="AI9" s="162"/>
      <c r="AJ9" s="162"/>
      <c r="AK9" s="162">
        <v>25.0</v>
      </c>
      <c r="AP9" s="37">
        <v>25.0</v>
      </c>
      <c r="BI9" s="39" t="s">
        <v>4593</v>
      </c>
      <c r="BJ9" s="39"/>
      <c r="BK9" s="39"/>
      <c r="BL9" s="39"/>
      <c r="BM9" s="39"/>
      <c r="BN9" s="158"/>
      <c r="BO9" s="158"/>
      <c r="BP9" s="158"/>
      <c r="BQ9" s="158"/>
      <c r="BR9" s="163" t="s">
        <v>4588</v>
      </c>
      <c r="BS9" s="158" t="s">
        <v>4623</v>
      </c>
      <c r="BT9" s="158">
        <v>70.0</v>
      </c>
      <c r="BU9" s="158"/>
      <c r="BV9" s="158"/>
      <c r="BW9" s="158"/>
      <c r="BX9" s="158"/>
      <c r="BY9" s="158"/>
      <c r="BZ9" s="158"/>
      <c r="CA9" s="158"/>
      <c r="CB9" s="158"/>
      <c r="CC9" s="158"/>
      <c r="CD9" s="158"/>
      <c r="CE9" s="158"/>
      <c r="CF9" s="158"/>
      <c r="CG9" s="158"/>
      <c r="CH9" s="158"/>
    </row>
    <row r="10" ht="18.75" customHeight="1">
      <c r="A10" s="37" t="s">
        <v>4624</v>
      </c>
      <c r="B10" s="37" t="s">
        <v>4589</v>
      </c>
      <c r="C10" s="64" t="s">
        <v>4625</v>
      </c>
      <c r="D10" s="39"/>
      <c r="E10" s="64">
        <v>6.0</v>
      </c>
      <c r="F10" s="64"/>
      <c r="G10" s="64" t="s">
        <v>4626</v>
      </c>
      <c r="K10" s="37">
        <v>2.0</v>
      </c>
      <c r="M10" s="37">
        <f t="array" ref="M10">LET(
_xlpm.h,M$1,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0" s="37">
        <f t="array" ref="N10">LET(
_xlpm.h,N$1,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0" s="37">
        <f t="array" ref="O10">LET(
_xlpm.h,O$1,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0" s="37">
        <f t="array" ref="P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0" s="37">
        <f t="array" ref="Q10">LET(
_xlpm.h,Q$1,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0" s="37">
        <f t="array" ref="R10">LET(
_xlpm.h,R$1,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0" s="37">
        <f t="array" ref="S10">LET(
_xlpm.h,S$1,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0" s="37">
        <f t="array" ref="T10">LET(
_xlpm.h,T$1,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0" s="37">
        <f t="array" ref="U10">LET(
_xlpm.h,U$1,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0" s="37">
        <f t="array" ref="V10">LET(
_xlpm.h,V$1,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0" s="37">
        <f t="array" ref="W10">LET(
_xlpm.h,W$1,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0" s="37">
        <f t="array" ref="X10">LET(
_xlpm.h,X$1,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0" s="37">
        <f t="array" ref="Y10">LET(
_xlpm.h,Y$1,
_xlpm.baseLv,MAX($H10:$L10),
_xlpm.magicLv,$I10,
_xlpm.faithLv,$J10,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0" s="162"/>
      <c r="AI10" s="162"/>
      <c r="AJ10" s="162"/>
      <c r="AK10" s="162"/>
      <c r="BI10" s="39" t="s">
        <v>4593</v>
      </c>
      <c r="BJ10" s="39"/>
      <c r="BK10" s="39"/>
      <c r="BL10" s="39"/>
      <c r="BM10" s="39"/>
      <c r="BN10" s="158"/>
      <c r="BO10" s="158"/>
      <c r="BP10" s="158"/>
      <c r="BQ10" s="158"/>
      <c r="BR10" s="163" t="s">
        <v>4588</v>
      </c>
      <c r="BS10" s="158" t="s">
        <v>4614</v>
      </c>
      <c r="BT10" s="158">
        <v>75.0</v>
      </c>
      <c r="BU10" s="158"/>
      <c r="BV10" s="158"/>
      <c r="BW10" s="158"/>
      <c r="BX10" s="158"/>
      <c r="BY10" s="158"/>
      <c r="BZ10" s="158"/>
      <c r="CA10" s="158"/>
      <c r="CB10" s="158"/>
      <c r="CC10" s="158"/>
      <c r="CD10" s="158"/>
      <c r="CE10" s="158"/>
      <c r="CF10" s="163">
        <v>25.0</v>
      </c>
      <c r="CG10" s="163">
        <v>1.0</v>
      </c>
      <c r="CH10" s="163">
        <v>10.0</v>
      </c>
    </row>
    <row r="11" ht="18.75" customHeight="1">
      <c r="A11" s="37" t="s">
        <v>4627</v>
      </c>
      <c r="B11" s="37" t="s">
        <v>4589</v>
      </c>
      <c r="C11" s="64"/>
      <c r="D11" s="39"/>
      <c r="E11" s="64">
        <v>6.0</v>
      </c>
      <c r="F11" s="64"/>
      <c r="G11" s="64" t="s">
        <v>4626</v>
      </c>
      <c r="K11" s="37">
        <v>3.0</v>
      </c>
      <c r="L11" s="37">
        <v>2.0</v>
      </c>
      <c r="M11" s="37">
        <f t="array" ref="M11">LET(
_xlpm.h,M$1,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1" s="37">
        <f t="array" ref="N11">LET(
_xlpm.h,N$1,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1" s="37">
        <f t="array" ref="O11">LET(
_xlpm.h,O$1,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1" s="37">
        <f t="array" ref="P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1" s="37">
        <f t="array" ref="Q11">LET(
_xlpm.h,Q$1,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1" s="37">
        <f t="array" ref="R11">LET(
_xlpm.h,R$1,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1" s="37">
        <f t="array" ref="S11">LET(
_xlpm.h,S$1,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1" s="37">
        <f t="array" ref="T11">LET(
_xlpm.h,T$1,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1" s="37">
        <f t="array" ref="U11">LET(
_xlpm.h,U$1,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1" s="37">
        <f t="array" ref="V11">LET(
_xlpm.h,V$1,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1" s="37">
        <f t="array" ref="W11">LET(
_xlpm.h,W$1,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1" s="37">
        <f t="array" ref="X11">LET(
_xlpm.h,X$1,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1" s="37">
        <f t="array" ref="Y11">LET(
_xlpm.h,Y$1,
_xlpm.baseLv,MAX($H11:$L11),
_xlpm.magicLv,$I11,
_xlpm.faithLv,$J11,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1" s="162"/>
      <c r="AI11" s="162"/>
      <c r="AJ11" s="162"/>
      <c r="AK11" s="162"/>
      <c r="BI11" s="39" t="s">
        <v>4593</v>
      </c>
      <c r="BJ11" s="39"/>
      <c r="BK11" s="39"/>
      <c r="BL11" s="39"/>
      <c r="BM11" s="39"/>
      <c r="BN11" s="158"/>
      <c r="BO11" s="158"/>
      <c r="BP11" s="158"/>
      <c r="BQ11" s="158"/>
      <c r="BR11" s="163" t="s">
        <v>4628</v>
      </c>
      <c r="BS11" s="158" t="s">
        <v>4614</v>
      </c>
      <c r="BT11" s="158">
        <v>55.0</v>
      </c>
      <c r="BU11" s="158"/>
      <c r="BV11" s="158"/>
      <c r="BW11" s="158"/>
      <c r="BX11" s="158"/>
      <c r="BY11" s="158"/>
      <c r="BZ11" s="158"/>
      <c r="CA11" s="158"/>
      <c r="CB11" s="158"/>
      <c r="CC11" s="158"/>
      <c r="CD11" s="158"/>
      <c r="CE11" s="158"/>
      <c r="CF11" s="163">
        <v>25.0</v>
      </c>
      <c r="CG11" s="163">
        <v>1.0</v>
      </c>
      <c r="CH11" s="163">
        <v>10.0</v>
      </c>
    </row>
    <row r="12" ht="18.75" customHeight="1">
      <c r="A12" s="37" t="s">
        <v>4629</v>
      </c>
      <c r="B12" s="37" t="s">
        <v>4589</v>
      </c>
      <c r="C12" s="64" t="s">
        <v>4630</v>
      </c>
      <c r="D12" s="39"/>
      <c r="E12" s="64">
        <v>2.0</v>
      </c>
      <c r="F12" s="64"/>
      <c r="G12" s="64" t="s">
        <v>4626</v>
      </c>
      <c r="K12" s="37">
        <v>2.0</v>
      </c>
      <c r="M12" s="37">
        <f t="array" ref="M12">LET(
_xlpm.h,M$1,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2" s="37">
        <f t="array" ref="N12">LET(
_xlpm.h,N$1,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2" s="37">
        <f t="array" ref="O12">LET(
_xlpm.h,O$1,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2" s="37">
        <f t="array" ref="P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2" s="37">
        <f t="array" ref="Q12">LET(
_xlpm.h,Q$1,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2" s="37">
        <f t="array" ref="R12">LET(
_xlpm.h,R$1,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2" s="37">
        <f t="array" ref="S12">LET(
_xlpm.h,S$1,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2" s="37">
        <f t="array" ref="T12">LET(
_xlpm.h,T$1,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2" s="37">
        <f t="array" ref="U12">LET(
_xlpm.h,U$1,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2" s="37">
        <f t="array" ref="V12">LET(
_xlpm.h,V$1,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2" s="37">
        <f t="array" ref="W12">LET(
_xlpm.h,W$1,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2" s="37">
        <f t="array" ref="X12">LET(
_xlpm.h,X$1,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2" s="37">
        <f t="array" ref="Y12">LET(
_xlpm.h,Y$1,
_xlpm.baseLv,MAX($H12:$L12),
_xlpm.magicLv,$I12,
_xlpm.faithLv,$J12,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G12" s="37">
        <v>75.0</v>
      </c>
      <c r="AH12" s="162"/>
      <c r="AI12" s="162"/>
      <c r="AJ12" s="162"/>
      <c r="AK12" s="162"/>
      <c r="BI12" s="39" t="s">
        <v>4593</v>
      </c>
      <c r="BJ12" s="39"/>
      <c r="BK12" s="39"/>
      <c r="BL12" s="39"/>
      <c r="BM12" s="39"/>
      <c r="BN12" s="158"/>
      <c r="BO12" s="158"/>
      <c r="BP12" s="158"/>
      <c r="BQ12" s="158"/>
      <c r="BR12" s="163" t="s">
        <v>4588</v>
      </c>
      <c r="BS12" s="158" t="s">
        <v>4614</v>
      </c>
      <c r="BT12" s="158">
        <v>80.0</v>
      </c>
      <c r="BU12" s="158"/>
      <c r="BV12" s="158"/>
      <c r="BW12" s="158"/>
      <c r="BX12" s="158"/>
      <c r="BY12" s="158"/>
      <c r="BZ12" s="158"/>
      <c r="CA12" s="158"/>
      <c r="CB12" s="158"/>
      <c r="CC12" s="158"/>
      <c r="CD12" s="158"/>
      <c r="CE12" s="158"/>
      <c r="CF12" s="158"/>
      <c r="CG12" s="158"/>
      <c r="CH12" s="158"/>
    </row>
    <row r="13" ht="18.75" customHeight="1">
      <c r="A13" s="37" t="s">
        <v>4631</v>
      </c>
      <c r="B13" s="37" t="s">
        <v>4589</v>
      </c>
      <c r="C13" s="64" t="s">
        <v>4632</v>
      </c>
      <c r="D13" s="39"/>
      <c r="E13" s="64">
        <v>2.0</v>
      </c>
      <c r="F13" s="64"/>
      <c r="G13" s="64" t="s">
        <v>3064</v>
      </c>
      <c r="K13" s="37">
        <v>3.0</v>
      </c>
      <c r="M13" s="37">
        <f t="array" ref="M13">LET(
_xlpm.h,M$1,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3" s="37">
        <f t="array" ref="N13">LET(
_xlpm.h,N$1,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3" s="37">
        <f t="array" ref="O13">LET(
_xlpm.h,O$1,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3" s="37">
        <f t="array" ref="P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3" s="37">
        <f t="array" ref="Q13">LET(
_xlpm.h,Q$1,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3" s="37">
        <f t="array" ref="R13">LET(
_xlpm.h,R$1,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3" s="37">
        <f t="array" ref="S13">LET(
_xlpm.h,S$1,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3" s="37">
        <f t="array" ref="T13">LET(
_xlpm.h,T$1,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3" s="37">
        <f t="array" ref="U13">LET(
_xlpm.h,U$1,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3" s="37">
        <f t="array" ref="V13">LET(
_xlpm.h,V$1,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3" s="37">
        <f t="array" ref="W13">LET(
_xlpm.h,W$1,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3" s="37">
        <f t="array" ref="X13">LET(
_xlpm.h,X$1,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3" s="37">
        <f t="array" ref="Y13">LET(
_xlpm.h,Y$1,
_xlpm.baseLv,MAX($H13:$L13),
_xlpm.magicLv,$I13,
_xlpm.faithLv,$J13,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A13" s="37">
        <v>25.0</v>
      </c>
      <c r="AH13" s="162"/>
      <c r="AI13" s="162"/>
      <c r="AJ13" s="162"/>
      <c r="AK13" s="162"/>
      <c r="BI13" s="39" t="s">
        <v>4593</v>
      </c>
      <c r="BJ13" s="39"/>
      <c r="BK13" s="39"/>
      <c r="BL13" s="39"/>
      <c r="BM13" s="39"/>
      <c r="BN13" s="158"/>
      <c r="BO13" s="158"/>
      <c r="BP13" s="158"/>
      <c r="BQ13" s="158"/>
      <c r="BR13" s="163" t="s">
        <v>4633</v>
      </c>
      <c r="BS13" s="158" t="s">
        <v>4614</v>
      </c>
      <c r="BT13" s="158">
        <v>45.0</v>
      </c>
      <c r="BU13" s="158"/>
      <c r="BV13" s="158"/>
      <c r="BW13" s="158"/>
      <c r="BX13" s="158"/>
      <c r="BY13" s="158"/>
      <c r="BZ13" s="158"/>
      <c r="CA13" s="158"/>
      <c r="CB13" s="158"/>
      <c r="CC13" s="158"/>
      <c r="CD13" s="158"/>
      <c r="CE13" s="158"/>
      <c r="CF13" s="158"/>
      <c r="CG13" s="158"/>
      <c r="CH13" s="158"/>
    </row>
    <row r="14" ht="18.75" customHeight="1">
      <c r="A14" s="37" t="s">
        <v>4634</v>
      </c>
      <c r="B14" s="37" t="s">
        <v>4589</v>
      </c>
      <c r="C14" s="64" t="s">
        <v>4635</v>
      </c>
      <c r="D14" s="39"/>
      <c r="E14" s="64">
        <v>3.0</v>
      </c>
      <c r="F14" s="64"/>
      <c r="G14" s="64" t="s">
        <v>3064</v>
      </c>
      <c r="L14" s="37">
        <v>2.0</v>
      </c>
      <c r="M14" s="37">
        <f t="array" ref="M14">LET(
_xlpm.h,M$1,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4" s="37">
        <f t="array" ref="N14">LET(
_xlpm.h,N$1,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4" s="37">
        <f t="array" ref="O14">LET(
_xlpm.h,O$1,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4" s="37">
        <f t="array" ref="P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4" s="37">
        <f t="array" ref="Q14">LET(
_xlpm.h,Q$1,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4" s="37">
        <f t="array" ref="R14">LET(
_xlpm.h,R$1,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4" s="37">
        <f t="array" ref="S14">LET(
_xlpm.h,S$1,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4" s="37">
        <f t="array" ref="T14">LET(
_xlpm.h,T$1,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4" s="37">
        <f t="array" ref="U14">LET(
_xlpm.h,U$1,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4" s="37">
        <f t="array" ref="V14">LET(
_xlpm.h,V$1,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4" s="37">
        <f t="array" ref="W14">LET(
_xlpm.h,W$1,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4" s="37">
        <f t="array" ref="X14">LET(
_xlpm.h,X$1,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4" s="37">
        <f t="array" ref="Y14">LET(
_xlpm.h,Y$1,
_xlpm.baseLv,MAX($H14:$L14),
_xlpm.magicLv,$I14,
_xlpm.faithLv,$J14,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4" s="162"/>
      <c r="AI14" s="162"/>
      <c r="AJ14" s="162"/>
      <c r="AK14" s="162"/>
      <c r="AS14" s="37">
        <v>10.0</v>
      </c>
      <c r="AT14" s="37">
        <v>10.0</v>
      </c>
      <c r="BI14" s="39" t="s">
        <v>4593</v>
      </c>
      <c r="BJ14" s="39"/>
      <c r="BK14" s="39"/>
      <c r="BL14" s="39"/>
      <c r="BM14" s="39"/>
      <c r="BN14" s="158"/>
      <c r="BO14" s="158"/>
      <c r="BP14" s="158"/>
      <c r="BQ14" s="158"/>
      <c r="BR14" s="163" t="s">
        <v>4588</v>
      </c>
      <c r="BS14" s="158" t="s">
        <v>4636</v>
      </c>
      <c r="BT14" s="158">
        <v>65.0</v>
      </c>
      <c r="BU14" s="158"/>
      <c r="BV14" s="158"/>
      <c r="BW14" s="158"/>
      <c r="BX14" s="158"/>
      <c r="BY14" s="158"/>
      <c r="BZ14" s="158"/>
      <c r="CA14" s="158"/>
      <c r="CB14" s="158"/>
      <c r="CC14" s="158"/>
      <c r="CD14" s="158"/>
      <c r="CE14" s="158"/>
      <c r="CF14" s="158"/>
      <c r="CG14" s="158"/>
      <c r="CH14" s="158"/>
    </row>
    <row r="15" ht="18.75" customHeight="1">
      <c r="A15" s="37" t="s">
        <v>4637</v>
      </c>
      <c r="B15" s="37" t="s">
        <v>4589</v>
      </c>
      <c r="C15" s="64" t="s">
        <v>4638</v>
      </c>
      <c r="D15" s="39"/>
      <c r="E15" s="64">
        <v>4.0</v>
      </c>
      <c r="F15" s="64"/>
      <c r="G15" s="64" t="s">
        <v>3064</v>
      </c>
      <c r="I15" s="37">
        <v>1.0</v>
      </c>
      <c r="M15" s="37">
        <f t="array" ref="M15">LET(
_xlpm.h,M$1,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5" s="37">
        <f t="array" ref="N15">LET(
_xlpm.h,N$1,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5" s="37">
        <f t="array" ref="O15">LET(
_xlpm.h,O$1,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5" s="37">
        <f t="array" ref="P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5" s="37">
        <f t="array" ref="Q15">LET(
_xlpm.h,Q$1,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5" s="37">
        <f t="array" ref="R15">LET(
_xlpm.h,R$1,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5" s="37">
        <f t="array" ref="S15">LET(
_xlpm.h,S$1,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5" s="37">
        <f t="array" ref="T15">LET(
_xlpm.h,T$1,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5" s="37">
        <f t="array" ref="U15">LET(
_xlpm.h,U$1,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5" s="37">
        <f t="array" ref="V15">LET(
_xlpm.h,V$1,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5" s="37">
        <f t="array" ref="W15">LET(
_xlpm.h,W$1,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5" s="37">
        <f t="array" ref="X15">LET(
_xlpm.h,X$1,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5" s="37">
        <f t="array" ref="Y15">LET(
_xlpm.h,Y$1,
_xlpm.baseLv,MAX($H15:$L15),
_xlpm.magicLv,$I15,
_xlpm.faithLv,$J15,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5" s="162"/>
      <c r="AI15" s="162"/>
      <c r="AJ15" s="162"/>
      <c r="AK15" s="162"/>
      <c r="AN15" s="37">
        <v>15.0</v>
      </c>
      <c r="BI15" s="39" t="s">
        <v>4593</v>
      </c>
      <c r="BJ15" s="39"/>
      <c r="BK15" s="39"/>
      <c r="BL15" s="39"/>
      <c r="BM15" s="39"/>
      <c r="BN15" s="158"/>
      <c r="BO15" s="158"/>
      <c r="BP15" s="158"/>
      <c r="BQ15" s="158"/>
      <c r="BR15" s="163" t="s">
        <v>4634</v>
      </c>
      <c r="BS15" s="158" t="s">
        <v>2429</v>
      </c>
      <c r="BT15" s="158">
        <v>50.0</v>
      </c>
      <c r="BU15" s="158"/>
      <c r="BV15" s="158"/>
      <c r="BW15" s="158"/>
      <c r="BX15" s="158"/>
      <c r="BY15" s="158"/>
      <c r="BZ15" s="158"/>
      <c r="CA15" s="158"/>
      <c r="CB15" s="158"/>
      <c r="CC15" s="158"/>
      <c r="CD15" s="158"/>
      <c r="CE15" s="158"/>
      <c r="CF15" s="158"/>
      <c r="CG15" s="158"/>
      <c r="CH15" s="158"/>
    </row>
    <row r="16" ht="18.75" customHeight="1">
      <c r="A16" s="37" t="s">
        <v>4639</v>
      </c>
      <c r="B16" s="37" t="s">
        <v>4589</v>
      </c>
      <c r="C16" s="64" t="s">
        <v>4640</v>
      </c>
      <c r="D16" s="39"/>
      <c r="E16" s="64">
        <v>3.0</v>
      </c>
      <c r="F16" s="64"/>
      <c r="G16" s="64" t="s">
        <v>3064</v>
      </c>
      <c r="H16" s="37">
        <v>1.0</v>
      </c>
      <c r="I16" s="37">
        <v>2.0</v>
      </c>
      <c r="M16" s="37">
        <f t="array" ref="M16">LET(
_xlpm.h,M$1,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16" s="37">
        <f t="array" ref="N16">LET(
_xlpm.h,N$1,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6" s="37">
        <f t="array" ref="O16">LET(
_xlpm.h,O$1,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6" s="37">
        <f t="array" ref="P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16" s="37">
        <f t="array" ref="Q16">LET(
_xlpm.h,Q$1,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16" s="37">
        <f t="array" ref="R16">LET(
_xlpm.h,R$1,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6" s="37">
        <f t="array" ref="S16">LET(
_xlpm.h,S$1,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6" s="37">
        <f t="array" ref="T16">LET(
_xlpm.h,T$1,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6" s="37">
        <f t="array" ref="U16">LET(
_xlpm.h,U$1,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6" s="37">
        <f t="array" ref="V16">LET(
_xlpm.h,V$1,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6" s="37">
        <f t="array" ref="W16">LET(
_xlpm.h,W$1,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6" s="37">
        <f t="array" ref="X16">LET(
_xlpm.h,X$1,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6" s="37">
        <f t="array" ref="Y16">LET(
_xlpm.h,Y$1,
_xlpm.baseLv,MAX($H16:$L16),
_xlpm.magicLv,$I16,
_xlpm.faithLv,$J16,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6" s="162"/>
      <c r="AI16" s="162"/>
      <c r="AJ16" s="162"/>
      <c r="AK16" s="162">
        <v>10.0</v>
      </c>
      <c r="AN16" s="37">
        <v>5.0</v>
      </c>
      <c r="BI16" s="39" t="s">
        <v>4593</v>
      </c>
      <c r="BJ16" s="39"/>
      <c r="BK16" s="39"/>
      <c r="BL16" s="39"/>
      <c r="BM16" s="39"/>
      <c r="BN16" s="158"/>
      <c r="BO16" s="158"/>
      <c r="BP16" s="158"/>
      <c r="BQ16" s="158"/>
      <c r="BR16" s="163" t="s">
        <v>4641</v>
      </c>
      <c r="BS16" s="158" t="s">
        <v>2429</v>
      </c>
      <c r="BT16" s="158">
        <v>45.0</v>
      </c>
      <c r="BU16" s="158"/>
      <c r="BV16" s="158"/>
      <c r="BW16" s="158"/>
      <c r="BX16" s="158"/>
      <c r="BY16" s="158"/>
      <c r="BZ16" s="158"/>
      <c r="CA16" s="158"/>
      <c r="CB16" s="158"/>
      <c r="CC16" s="158"/>
      <c r="CD16" s="158"/>
      <c r="CE16" s="158"/>
      <c r="CF16" s="158"/>
      <c r="CG16" s="158"/>
      <c r="CH16" s="158"/>
    </row>
    <row r="17" ht="18.75" customHeight="1">
      <c r="A17" s="37" t="s">
        <v>4642</v>
      </c>
      <c r="B17" s="37" t="s">
        <v>4589</v>
      </c>
      <c r="C17" s="64" t="s">
        <v>4643</v>
      </c>
      <c r="D17" s="39"/>
      <c r="E17" s="64">
        <v>8.0</v>
      </c>
      <c r="F17" s="64"/>
      <c r="G17" s="64" t="s">
        <v>4626</v>
      </c>
      <c r="I17" s="37">
        <v>3.0</v>
      </c>
      <c r="K17" s="37">
        <v>3.0</v>
      </c>
      <c r="M17" s="37">
        <f t="array" ref="M17">LET(
_xlpm.h,M$1,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17" s="37">
        <f t="array" ref="N17">LET(
_xlpm.h,N$1,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17" s="37">
        <f t="array" ref="O17">LET(
_xlpm.h,O$1,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7" s="37">
        <f t="array" ref="P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17" s="37">
        <f t="array" ref="Q17">LET(
_xlpm.h,Q$1,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17" s="37">
        <f t="array" ref="R17">LET(
_xlpm.h,R$1,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17" s="37">
        <f t="array" ref="S17">LET(
_xlpm.h,S$1,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7" s="37">
        <f t="array" ref="T17">LET(
_xlpm.h,T$1,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7" s="37">
        <f t="array" ref="U17">LET(
_xlpm.h,U$1,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7" s="37">
        <f t="array" ref="V17">LET(
_xlpm.h,V$1,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7" s="37">
        <f t="array" ref="W17">LET(
_xlpm.h,W$1,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7" s="37">
        <f t="array" ref="X17">LET(
_xlpm.h,X$1,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7" s="37">
        <f t="array" ref="Y17">LET(
_xlpm.h,Y$1,
_xlpm.baseLv,MAX($H17:$L17),
_xlpm.magicLv,$I17,
_xlpm.faithLv,$J17,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7" s="162"/>
      <c r="AI17" s="162"/>
      <c r="AJ17" s="162"/>
      <c r="AK17" s="162"/>
      <c r="AS17" s="37">
        <v>15.0</v>
      </c>
      <c r="AU17" s="37">
        <v>30.0</v>
      </c>
      <c r="BI17" s="39" t="s">
        <v>4593</v>
      </c>
      <c r="BJ17" s="41"/>
      <c r="BK17" s="39"/>
      <c r="BL17" s="39"/>
      <c r="BM17" s="39"/>
      <c r="BN17" s="158"/>
      <c r="BO17" s="158"/>
      <c r="BP17" s="158"/>
      <c r="BQ17" s="158"/>
      <c r="BR17" s="163" t="s">
        <v>4644</v>
      </c>
      <c r="BS17" s="158" t="s">
        <v>2429</v>
      </c>
      <c r="BT17" s="158">
        <v>40.0</v>
      </c>
      <c r="BU17" s="158"/>
      <c r="BV17" s="158"/>
      <c r="BW17" s="158"/>
      <c r="BX17" s="158"/>
      <c r="BY17" s="158"/>
      <c r="BZ17" s="158"/>
      <c r="CA17" s="158"/>
      <c r="CB17" s="158"/>
      <c r="CC17" s="158"/>
      <c r="CD17" s="158"/>
      <c r="CE17" s="158"/>
      <c r="CF17" s="158"/>
      <c r="CG17" s="158"/>
      <c r="CH17" s="158"/>
    </row>
    <row r="18" ht="18.75" customHeight="1">
      <c r="A18" s="37" t="s">
        <v>4645</v>
      </c>
      <c r="B18" s="37" t="s">
        <v>4589</v>
      </c>
      <c r="C18" s="64" t="s">
        <v>4646</v>
      </c>
      <c r="D18" s="39"/>
      <c r="E18" s="64">
        <v>2.0</v>
      </c>
      <c r="F18" s="102">
        <v>1.0</v>
      </c>
      <c r="G18" s="64" t="s">
        <v>3064</v>
      </c>
      <c r="J18" s="37">
        <v>1.0</v>
      </c>
      <c r="M18" s="37">
        <f t="array" ref="M18">LET(
_xlpm.h,M$1,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8" s="37">
        <f t="array" ref="N18">LET(
_xlpm.h,N$1,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8" s="37">
        <f t="array" ref="O18">LET(
_xlpm.h,O$1,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8" s="37">
        <f t="array" ref="P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8" s="37">
        <f t="array" ref="Q18">LET(
_xlpm.h,Q$1,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8" s="37">
        <f t="array" ref="R18">LET(
_xlpm.h,R$1,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8" s="37">
        <f t="array" ref="S18">LET(
_xlpm.h,S$1,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8" s="37">
        <f t="array" ref="T18">LET(
_xlpm.h,T$1,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8" s="37">
        <f t="array" ref="U18">LET(
_xlpm.h,U$1,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8" s="37">
        <f t="array" ref="V18">LET(
_xlpm.h,V$1,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8" s="37">
        <f t="array" ref="W18">LET(
_xlpm.h,W$1,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8" s="37">
        <f t="array" ref="X18">LET(
_xlpm.h,X$1,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8" s="37">
        <f t="array" ref="Y18">LET(
_xlpm.h,Y$1,
_xlpm.baseLv,MAX($H18:$L18),
_xlpm.magicLv,$I18,
_xlpm.faithLv,$J18,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8" s="162"/>
      <c r="AI18" s="162"/>
      <c r="AJ18" s="162"/>
      <c r="AK18" s="162"/>
      <c r="AS18" s="37">
        <v>10.0</v>
      </c>
      <c r="AT18" s="37">
        <v>5.0</v>
      </c>
      <c r="AV18" s="37">
        <v>5.0</v>
      </c>
      <c r="AX18" s="37">
        <v>3.0</v>
      </c>
      <c r="BI18" s="39" t="s">
        <v>4593</v>
      </c>
      <c r="BJ18" s="39"/>
      <c r="BK18" s="39"/>
      <c r="BL18" s="39"/>
      <c r="BM18" s="39"/>
      <c r="BN18" s="158"/>
      <c r="BO18" s="158"/>
      <c r="BP18" s="158"/>
      <c r="BQ18" s="158"/>
      <c r="BR18" s="163" t="s">
        <v>4647</v>
      </c>
      <c r="BS18" s="158" t="s">
        <v>1179</v>
      </c>
      <c r="BT18" s="158">
        <v>50.0</v>
      </c>
      <c r="BU18" s="158"/>
      <c r="BV18" s="158"/>
      <c r="BW18" s="158"/>
      <c r="BX18" s="158"/>
      <c r="BY18" s="158"/>
      <c r="BZ18" s="158"/>
      <c r="CA18" s="158"/>
      <c r="CB18" s="158"/>
      <c r="CC18" s="158"/>
      <c r="CD18" s="158"/>
      <c r="CE18" s="158"/>
      <c r="CF18" s="158"/>
      <c r="CG18" s="158"/>
      <c r="CH18" s="158"/>
    </row>
    <row r="19" ht="17.25" customHeight="1">
      <c r="A19" s="37" t="s">
        <v>4647</v>
      </c>
      <c r="B19" s="37" t="s">
        <v>4589</v>
      </c>
      <c r="C19" s="64" t="s">
        <v>4648</v>
      </c>
      <c r="D19" s="39"/>
      <c r="E19" s="64">
        <v>4.0</v>
      </c>
      <c r="F19" s="64"/>
      <c r="G19" s="64" t="s">
        <v>4626</v>
      </c>
      <c r="J19" s="37">
        <v>1.0</v>
      </c>
      <c r="M19" s="37">
        <f t="array" ref="M19">LET(
_xlpm.h,M$1,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19" s="37">
        <f t="array" ref="N19">LET(
_xlpm.h,N$1,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19" s="37">
        <f t="array" ref="O19">LET(
_xlpm.h,O$1,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19" s="37">
        <f t="array" ref="P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19" s="37">
        <f t="array" ref="Q19">LET(
_xlpm.h,Q$1,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19" s="37">
        <f t="array" ref="R19">LET(
_xlpm.h,R$1,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19" s="37">
        <f t="array" ref="S19">LET(
_xlpm.h,S$1,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19" s="37">
        <f t="array" ref="T19">LET(
_xlpm.h,T$1,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19" s="37">
        <f t="array" ref="U19">LET(
_xlpm.h,U$1,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19" s="37">
        <f t="array" ref="V19">LET(
_xlpm.h,V$1,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19" s="37">
        <f t="array" ref="W19">LET(
_xlpm.h,W$1,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19" s="37">
        <f t="array" ref="X19">LET(
_xlpm.h,X$1,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19" s="37">
        <f t="array" ref="Y19">LET(
_xlpm.h,Y$1,
_xlpm.baseLv,MAX($H19:$L19),
_xlpm.magicLv,$I19,
_xlpm.faithLv,$J19,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19" s="162"/>
      <c r="AI19" s="162"/>
      <c r="AJ19" s="162"/>
      <c r="AK19" s="162"/>
      <c r="AO19" s="37">
        <v>15.0</v>
      </c>
      <c r="AS19" s="37">
        <v>10.0</v>
      </c>
      <c r="AT19" s="37">
        <v>10.0</v>
      </c>
      <c r="AV19" s="37">
        <v>15.0</v>
      </c>
      <c r="AX19" s="37">
        <v>5.0</v>
      </c>
      <c r="BI19" s="39" t="s">
        <v>4593</v>
      </c>
      <c r="BJ19" s="39"/>
      <c r="BK19" s="39"/>
      <c r="BL19" s="39"/>
      <c r="BM19" s="39"/>
      <c r="BN19" s="158"/>
      <c r="BO19" s="158"/>
      <c r="BP19" s="158"/>
      <c r="BQ19" s="158"/>
      <c r="BR19" s="163" t="s">
        <v>4649</v>
      </c>
      <c r="BS19" s="158" t="s">
        <v>1179</v>
      </c>
      <c r="BT19" s="158">
        <v>65.0</v>
      </c>
      <c r="BU19" s="158"/>
      <c r="BV19" s="158"/>
      <c r="BW19" s="158"/>
      <c r="BX19" s="158"/>
      <c r="BY19" s="158"/>
      <c r="BZ19" s="158"/>
      <c r="CA19" s="158"/>
      <c r="CB19" s="158"/>
      <c r="CC19" s="158"/>
      <c r="CD19" s="158"/>
      <c r="CE19" s="158"/>
      <c r="CF19" s="158"/>
      <c r="CG19" s="158"/>
      <c r="CH19" s="158"/>
    </row>
    <row r="20" ht="18.75" customHeight="1">
      <c r="A20" s="37" t="s">
        <v>4650</v>
      </c>
      <c r="B20" s="37" t="s">
        <v>4589</v>
      </c>
      <c r="C20" s="64" t="s">
        <v>4651</v>
      </c>
      <c r="D20" s="39"/>
      <c r="E20" s="64">
        <v>8.0</v>
      </c>
      <c r="F20" s="102">
        <v>1.0</v>
      </c>
      <c r="G20" s="64" t="s">
        <v>4626</v>
      </c>
      <c r="J20" s="37">
        <v>2.0</v>
      </c>
      <c r="M20" s="37">
        <f t="array" ref="M20">LET(
_xlpm.h,M$1,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0" s="37">
        <f t="array" ref="N20">LET(
_xlpm.h,N$1,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0" s="37">
        <f t="array" ref="O20">LET(
_xlpm.h,O$1,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0" s="37">
        <f t="array" ref="P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0" s="37">
        <f t="array" ref="Q20">LET(
_xlpm.h,Q$1,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0" s="37">
        <f t="array" ref="R20">LET(
_xlpm.h,R$1,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0" s="37">
        <f t="array" ref="S20">LET(
_xlpm.h,S$1,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0" s="37">
        <f t="array" ref="T20">LET(
_xlpm.h,T$1,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0" s="37">
        <f t="array" ref="U20">LET(
_xlpm.h,U$1,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0" s="37">
        <f t="array" ref="V20">LET(
_xlpm.h,V$1,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0" s="37">
        <f t="array" ref="W20">LET(
_xlpm.h,W$1,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0" s="37">
        <f t="array" ref="X20">LET(
_xlpm.h,X$1,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0" s="37">
        <f t="array" ref="Y20">LET(
_xlpm.h,Y$1,
_xlpm.baseLv,MAX($H20:$L20),
_xlpm.magicLv,$I20,
_xlpm.faithLv,$J20,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0" s="162"/>
      <c r="AI20" s="162"/>
      <c r="AJ20" s="162"/>
      <c r="AK20" s="162"/>
      <c r="AO20" s="37">
        <v>25.0</v>
      </c>
      <c r="AS20" s="37">
        <v>10.0</v>
      </c>
      <c r="AV20" s="37">
        <v>5.0</v>
      </c>
      <c r="AX20" s="37">
        <v>15.0</v>
      </c>
      <c r="BI20" s="39" t="s">
        <v>4593</v>
      </c>
      <c r="BJ20" s="39"/>
      <c r="BK20" s="39"/>
      <c r="BL20" s="39"/>
      <c r="BM20" s="39"/>
      <c r="BN20" s="158"/>
      <c r="BO20" s="158"/>
      <c r="BP20" s="158"/>
      <c r="BQ20" s="158"/>
      <c r="BR20" s="163" t="s">
        <v>4652</v>
      </c>
      <c r="BS20" s="158" t="s">
        <v>1179</v>
      </c>
      <c r="BT20" s="158">
        <v>45.0</v>
      </c>
      <c r="BU20" s="158"/>
      <c r="BV20" s="158"/>
      <c r="BW20" s="158"/>
      <c r="BX20" s="158"/>
      <c r="BY20" s="158"/>
      <c r="BZ20" s="158"/>
      <c r="CA20" s="158"/>
      <c r="CB20" s="158"/>
      <c r="CC20" s="158"/>
      <c r="CD20" s="158"/>
      <c r="CE20" s="158"/>
      <c r="CF20" s="158"/>
      <c r="CG20" s="158"/>
      <c r="CH20" s="158"/>
    </row>
    <row r="21" ht="18.75" customHeight="1">
      <c r="A21" s="37" t="s">
        <v>4653</v>
      </c>
      <c r="B21" s="37" t="s">
        <v>4589</v>
      </c>
      <c r="C21" s="64" t="s">
        <v>4654</v>
      </c>
      <c r="D21" s="39"/>
      <c r="E21" s="64">
        <v>16.0</v>
      </c>
      <c r="F21" s="64"/>
      <c r="G21" s="64" t="s">
        <v>3064</v>
      </c>
      <c r="J21" s="37">
        <v>4.0</v>
      </c>
      <c r="M21" s="37">
        <f t="array" ref="M21">LET(
_xlpm.h,M$1,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N21" s="37">
        <f t="array" ref="N21">LET(
_xlpm.h,N$1,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21" s="37">
        <f t="array" ref="O21">LET(
_xlpm.h,O$1,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P21" s="37">
        <f t="array" ref="P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Q21" s="37">
        <f t="array" ref="Q21">LET(
_xlpm.h,Q$1,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200</v>
      </c>
      <c r="R21" s="37">
        <f t="array" ref="R21">LET(
_xlpm.h,R$1,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21" s="37">
        <f t="array" ref="S21">LET(
_xlpm.h,S$1,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21" s="37">
        <f t="array" ref="T21">LET(
_xlpm.h,T$1,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1" s="37">
        <f t="array" ref="U21">LET(
_xlpm.h,U$1,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1" s="37">
        <f t="array" ref="V21">LET(
_xlpm.h,V$1,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1" s="37">
        <f t="array" ref="W21">LET(
_xlpm.h,W$1,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1" s="37">
        <f t="array" ref="X21">LET(
_xlpm.h,X$1,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1" s="37">
        <f t="array" ref="Y21">LET(
_xlpm.h,Y$1,
_xlpm.baseLv,MAX($H21:$L21),
_xlpm.magicLv,$I21,
_xlpm.faithLv,$J21,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1" s="162"/>
      <c r="AI21" s="162"/>
      <c r="AJ21" s="162"/>
      <c r="AK21" s="162"/>
      <c r="AO21" s="37">
        <v>50.0</v>
      </c>
      <c r="AS21" s="37">
        <v>10.0</v>
      </c>
      <c r="AT21" s="37">
        <v>10.0</v>
      </c>
      <c r="AU21" s="37">
        <v>20.0</v>
      </c>
      <c r="AV21" s="37">
        <v>10.0</v>
      </c>
      <c r="AX21" s="37">
        <v>10.0</v>
      </c>
      <c r="BI21" s="39" t="s">
        <v>4593</v>
      </c>
      <c r="BJ21" s="39"/>
      <c r="BK21" s="39"/>
      <c r="BL21" s="39"/>
      <c r="BM21" s="39"/>
      <c r="BN21" s="158"/>
      <c r="BO21" s="158"/>
      <c r="BP21" s="158"/>
      <c r="BQ21" s="158"/>
      <c r="BR21" s="163" t="s">
        <v>4655</v>
      </c>
      <c r="BS21" s="158" t="s">
        <v>1179</v>
      </c>
      <c r="BT21" s="158">
        <v>30.0</v>
      </c>
      <c r="BU21" s="158"/>
      <c r="BV21" s="158"/>
      <c r="BW21" s="158"/>
      <c r="BX21" s="158"/>
      <c r="BY21" s="158"/>
      <c r="BZ21" s="158"/>
      <c r="CA21" s="158"/>
      <c r="CB21" s="158"/>
      <c r="CC21" s="158"/>
      <c r="CD21" s="158"/>
      <c r="CE21" s="158"/>
      <c r="CF21" s="158"/>
      <c r="CG21" s="158"/>
      <c r="CH21" s="158"/>
    </row>
    <row r="22" ht="18.75" customHeight="1">
      <c r="A22" s="37" t="s">
        <v>4656</v>
      </c>
      <c r="B22" s="37" t="s">
        <v>54</v>
      </c>
      <c r="C22" s="64" t="s">
        <v>4657</v>
      </c>
      <c r="D22" s="41"/>
      <c r="E22" s="64">
        <v>2.0</v>
      </c>
      <c r="F22" s="64"/>
      <c r="G22" s="64" t="s">
        <v>4626</v>
      </c>
      <c r="L22" s="37">
        <v>1.0</v>
      </c>
      <c r="M22" s="39">
        <v>30.0</v>
      </c>
      <c r="N22" s="37">
        <f t="array" ref="N22">LET(
_xlpm.h,N$1,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2" s="37">
        <f t="array" ref="O22">LET(
_xlpm.h,O$1,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2" s="39">
        <v>0.0</v>
      </c>
      <c r="Q22" s="41">
        <v>0.0</v>
      </c>
      <c r="R22" s="37">
        <f t="array" ref="R22">LET(
_xlpm.h,R$1,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2" s="37">
        <f t="array" ref="S22">LET(
_xlpm.h,S$1,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2" s="37">
        <f t="array" ref="T22">LET(
_xlpm.h,T$1,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2" s="37">
        <f t="array" ref="U22">LET(
_xlpm.h,U$1,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2" s="37">
        <f t="array" ref="V22">LET(
_xlpm.h,V$1,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2" s="37">
        <f t="array" ref="W22">LET(
_xlpm.h,W$1,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2" s="37">
        <f t="array" ref="X22">LET(
_xlpm.h,X$1,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2" s="37">
        <f t="array" ref="Y22">LET(
_xlpm.h,Y$1,
_xlpm.baseLv,MAX($H22:$L22),
_xlpm.magicLv,$I22,
_xlpm.faithLv,$J22,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2" s="162">
        <v>100.0</v>
      </c>
      <c r="AI22" s="162"/>
      <c r="AJ22" s="162"/>
      <c r="AK22" s="162"/>
      <c r="BI22" s="41" t="s">
        <v>4658</v>
      </c>
      <c r="BJ22" s="41"/>
      <c r="BK22" s="41"/>
      <c r="BL22" s="41"/>
      <c r="BM22" s="41"/>
      <c r="BN22" s="158"/>
      <c r="BO22" s="158"/>
      <c r="BP22" s="158"/>
      <c r="BQ22" s="158"/>
      <c r="BR22" s="86" t="s">
        <v>4588</v>
      </c>
      <c r="BS22" s="158" t="s">
        <v>4421</v>
      </c>
      <c r="BT22" s="158">
        <v>100.0</v>
      </c>
      <c r="BU22" s="158"/>
      <c r="BV22" s="158"/>
      <c r="BW22" s="158"/>
      <c r="BX22" s="158"/>
      <c r="BY22" s="158"/>
      <c r="BZ22" s="158"/>
      <c r="CA22" s="158"/>
      <c r="CB22" s="158"/>
      <c r="CC22" s="158"/>
      <c r="CD22" s="158"/>
      <c r="CE22" s="158"/>
      <c r="CF22" s="158"/>
      <c r="CG22" s="158"/>
      <c r="CH22" s="158"/>
    </row>
    <row r="23" ht="18.75" customHeight="1">
      <c r="A23" s="37" t="s">
        <v>4659</v>
      </c>
      <c r="B23" s="37" t="s">
        <v>56</v>
      </c>
      <c r="C23" s="64" t="s">
        <v>4660</v>
      </c>
      <c r="D23" s="41"/>
      <c r="E23" s="64">
        <v>2.0</v>
      </c>
      <c r="F23" s="64"/>
      <c r="G23" s="64" t="s">
        <v>4626</v>
      </c>
      <c r="L23" s="37">
        <v>1.0</v>
      </c>
      <c r="M23" s="39">
        <v>20.0</v>
      </c>
      <c r="N23" s="37">
        <f t="array" ref="N23">LET(
_xlpm.h,N$1,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3" s="37">
        <f t="array" ref="O23">LET(
_xlpm.h,O$1,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3" s="39">
        <v>0.0</v>
      </c>
      <c r="Q23" s="41">
        <v>0.0</v>
      </c>
      <c r="R23" s="37">
        <f t="array" ref="R23">LET(
_xlpm.h,R$1,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3" s="37">
        <f t="array" ref="S23">LET(
_xlpm.h,S$1,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3" s="37">
        <f t="array" ref="T23">LET(
_xlpm.h,T$1,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3" s="37">
        <f t="array" ref="U23">LET(
_xlpm.h,U$1,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3" s="37">
        <f t="array" ref="V23">LET(
_xlpm.h,V$1,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3" s="37">
        <f t="array" ref="W23">LET(
_xlpm.h,W$1,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3" s="37">
        <f t="array" ref="X23">LET(
_xlpm.h,X$1,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3" s="37">
        <f t="array" ref="Y23">LET(
_xlpm.h,Y$1,
_xlpm.baseLv,MAX($H23:$L23),
_xlpm.magicLv,$I23,
_xlpm.faithLv,$J23,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3" s="162"/>
      <c r="AI23" s="162">
        <v>100.0</v>
      </c>
      <c r="AJ23" s="162"/>
      <c r="AK23" s="162"/>
      <c r="BI23" s="41" t="s">
        <v>4658</v>
      </c>
      <c r="BJ23" s="41"/>
      <c r="BK23" s="41"/>
      <c r="BL23" s="41"/>
      <c r="BM23" s="41"/>
      <c r="BN23" s="158"/>
      <c r="BO23" s="158"/>
      <c r="BP23" s="158"/>
      <c r="BQ23" s="158"/>
      <c r="BR23" s="163"/>
      <c r="BS23" s="158" t="s">
        <v>4623</v>
      </c>
      <c r="BT23" s="158">
        <v>95.0</v>
      </c>
      <c r="BU23" s="158"/>
      <c r="BV23" s="158"/>
      <c r="BW23" s="158"/>
      <c r="BX23" s="158"/>
      <c r="BY23" s="158"/>
      <c r="BZ23" s="158"/>
      <c r="CA23" s="158"/>
      <c r="CB23" s="158"/>
      <c r="CC23" s="158"/>
      <c r="CD23" s="158"/>
      <c r="CE23" s="158"/>
      <c r="CF23" s="158"/>
      <c r="CG23" s="158"/>
      <c r="CH23" s="158"/>
    </row>
    <row r="24" ht="18.75" customHeight="1">
      <c r="A24" s="37" t="s">
        <v>4661</v>
      </c>
      <c r="B24" s="37" t="s">
        <v>3239</v>
      </c>
      <c r="C24" s="64" t="s">
        <v>4662</v>
      </c>
      <c r="D24" s="41"/>
      <c r="E24" s="64">
        <v>2.0</v>
      </c>
      <c r="F24" s="64"/>
      <c r="G24" s="64" t="s">
        <v>4626</v>
      </c>
      <c r="L24" s="37">
        <v>1.0</v>
      </c>
      <c r="M24" s="39">
        <v>30.0</v>
      </c>
      <c r="N24" s="37">
        <f t="array" ref="N24">LET(
_xlpm.h,N$1,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4" s="37">
        <f t="array" ref="O24">LET(
_xlpm.h,O$1,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4" s="39">
        <v>0.0</v>
      </c>
      <c r="Q24" s="41">
        <v>0.0</v>
      </c>
      <c r="R24" s="37">
        <f t="array" ref="R24">LET(
_xlpm.h,R$1,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4" s="37">
        <f t="array" ref="S24">LET(
_xlpm.h,S$1,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4" s="37">
        <f t="array" ref="T24">LET(
_xlpm.h,T$1,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4" s="37">
        <f t="array" ref="U24">LET(
_xlpm.h,U$1,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4" s="37">
        <f t="array" ref="V24">LET(
_xlpm.h,V$1,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4" s="37">
        <f t="array" ref="W24">LET(
_xlpm.h,W$1,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4" s="37">
        <f t="array" ref="X24">LET(
_xlpm.h,X$1,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4" s="37">
        <f t="array" ref="Y24">LET(
_xlpm.h,Y$1,
_xlpm.baseLv,MAX($H24:$L24),
_xlpm.magicLv,$I24,
_xlpm.faithLv,$J24,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4" s="162"/>
      <c r="AI24" s="162"/>
      <c r="AJ24" s="162"/>
      <c r="AK24" s="162">
        <v>100.0</v>
      </c>
      <c r="BI24" s="41" t="s">
        <v>4658</v>
      </c>
      <c r="BJ24" s="41"/>
      <c r="BK24" s="41"/>
      <c r="BL24" s="41"/>
      <c r="BM24" s="41"/>
      <c r="BN24" s="158"/>
      <c r="BO24" s="158"/>
      <c r="BP24" s="158"/>
      <c r="BQ24" s="158"/>
      <c r="BR24" s="163"/>
      <c r="BS24" s="158" t="s">
        <v>4623</v>
      </c>
      <c r="BT24" s="158">
        <v>90.0</v>
      </c>
      <c r="BU24" s="158"/>
      <c r="BV24" s="158"/>
      <c r="BW24" s="158"/>
      <c r="BX24" s="158"/>
      <c r="BY24" s="158"/>
      <c r="BZ24" s="158"/>
      <c r="CA24" s="158"/>
      <c r="CB24" s="158"/>
      <c r="CC24" s="158"/>
      <c r="CD24" s="158"/>
      <c r="CE24" s="158"/>
      <c r="CF24" s="158"/>
      <c r="CG24" s="158"/>
      <c r="CH24" s="158"/>
    </row>
    <row r="25" ht="18.75" customHeight="1">
      <c r="A25" s="37" t="s">
        <v>4663</v>
      </c>
      <c r="B25" s="37" t="s">
        <v>3242</v>
      </c>
      <c r="C25" s="64" t="s">
        <v>4664</v>
      </c>
      <c r="D25" s="41"/>
      <c r="E25" s="64">
        <v>2.0</v>
      </c>
      <c r="F25" s="64"/>
      <c r="G25" s="64" t="s">
        <v>4626</v>
      </c>
      <c r="H25" s="37">
        <v>1.0</v>
      </c>
      <c r="L25" s="37">
        <v>1.0</v>
      </c>
      <c r="M25" s="39">
        <v>40.0</v>
      </c>
      <c r="N25" s="37">
        <f t="array" ref="N25">LET(
_xlpm.h,N$1,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5" s="37">
        <f t="array" ref="O25">LET(
_xlpm.h,O$1,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5" s="39">
        <v>20.0</v>
      </c>
      <c r="Q25" s="41">
        <v>0.0</v>
      </c>
      <c r="R25" s="37">
        <f t="array" ref="R25">LET(
_xlpm.h,R$1,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5" s="37">
        <f t="array" ref="S25">LET(
_xlpm.h,S$1,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5" s="37">
        <f t="array" ref="T25">LET(
_xlpm.h,T$1,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5" s="37">
        <f t="array" ref="U25">LET(
_xlpm.h,U$1,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5" s="37">
        <f t="array" ref="V25">LET(
_xlpm.h,V$1,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5" s="37">
        <f t="array" ref="W25">LET(
_xlpm.h,W$1,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5" s="37">
        <f t="array" ref="X25">LET(
_xlpm.h,X$1,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5" s="37">
        <f t="array" ref="Y25">LET(
_xlpm.h,Y$1,
_xlpm.baseLv,MAX($H25:$L25),
_xlpm.magicLv,$I25,
_xlpm.faithLv,$J25,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5" s="162"/>
      <c r="AI25" s="162"/>
      <c r="AJ25" s="162"/>
      <c r="AK25" s="162">
        <v>100.0</v>
      </c>
      <c r="BI25" s="41" t="s">
        <v>4658</v>
      </c>
      <c r="BJ25" s="41"/>
      <c r="BK25" s="41"/>
      <c r="BL25" s="41"/>
      <c r="BM25" s="41"/>
      <c r="BN25" s="158"/>
      <c r="BO25" s="158"/>
      <c r="BP25" s="158"/>
      <c r="BQ25" s="158"/>
      <c r="BR25" s="163"/>
      <c r="BS25" s="158" t="s">
        <v>4623</v>
      </c>
      <c r="BT25" s="158">
        <v>75.0</v>
      </c>
      <c r="BU25" s="158"/>
      <c r="BV25" s="158"/>
      <c r="BW25" s="158"/>
      <c r="BX25" s="158"/>
      <c r="BY25" s="158"/>
      <c r="BZ25" s="158"/>
      <c r="CA25" s="158"/>
      <c r="CB25" s="158"/>
      <c r="CC25" s="158"/>
      <c r="CD25" s="158"/>
      <c r="CE25" s="158"/>
      <c r="CF25" s="158"/>
      <c r="CG25" s="158"/>
      <c r="CH25" s="158"/>
    </row>
    <row r="26" ht="18.75" customHeight="1">
      <c r="A26" s="37" t="s">
        <v>4665</v>
      </c>
      <c r="B26" s="37" t="s">
        <v>4666</v>
      </c>
      <c r="C26" s="102" t="s">
        <v>4667</v>
      </c>
      <c r="D26" s="39" t="s">
        <v>4668</v>
      </c>
      <c r="E26" s="64">
        <v>2.0</v>
      </c>
      <c r="F26" s="64"/>
      <c r="G26" s="64" t="s">
        <v>4626</v>
      </c>
      <c r="L26" s="37">
        <v>2.0</v>
      </c>
      <c r="M26" s="37">
        <f t="array" ref="M26">LET(
_xlpm.h,M$1,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6" s="37">
        <f t="array" ref="N26">LET(
_xlpm.h,N$1,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6" s="37">
        <f t="array" ref="O26">LET(
_xlpm.h,O$1,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6" s="37">
        <f t="array" ref="P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6" s="37">
        <f t="array" ref="Q26">LET(
_xlpm.h,Q$1,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6" s="37">
        <f t="array" ref="R26">LET(
_xlpm.h,R$1,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6" s="37">
        <f t="array" ref="S26">LET(
_xlpm.h,S$1,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6" s="37">
        <f t="array" ref="T26">LET(
_xlpm.h,T$1,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6" s="37">
        <f t="array" ref="U26">LET(
_xlpm.h,U$1,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6" s="37">
        <f t="array" ref="V26">LET(
_xlpm.h,V$1,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6" s="37">
        <f t="array" ref="W26">LET(
_xlpm.h,W$1,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6" s="37">
        <f t="array" ref="X26">LET(
_xlpm.h,X$1,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6" s="37">
        <f t="array" ref="Y26">LET(
_xlpm.h,Y$1,
_xlpm.baseLv,MAX($H26:$L26),
_xlpm.magicLv,$I26,
_xlpm.faithLv,$J26,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6" s="162"/>
      <c r="AI26" s="162"/>
      <c r="AJ26" s="162">
        <v>100.0</v>
      </c>
      <c r="AK26" s="162"/>
      <c r="AR26" s="37">
        <v>10.0</v>
      </c>
      <c r="BI26" s="39" t="s">
        <v>4593</v>
      </c>
      <c r="BJ26" s="39" t="s">
        <v>4595</v>
      </c>
      <c r="BK26" s="39" t="s">
        <v>2626</v>
      </c>
      <c r="BL26" s="39">
        <v>2.0</v>
      </c>
      <c r="BM26" s="39">
        <f>E31</f>
        <v>1</v>
      </c>
      <c r="BN26" s="158"/>
      <c r="BO26" s="158"/>
      <c r="BP26" s="158"/>
      <c r="BQ26" s="158"/>
      <c r="BR26" s="163" t="s">
        <v>4669</v>
      </c>
      <c r="BS26" s="158" t="s">
        <v>4670</v>
      </c>
      <c r="BT26" s="158">
        <v>45.0</v>
      </c>
      <c r="BU26" s="158"/>
      <c r="BV26" s="158"/>
      <c r="BW26" s="158"/>
      <c r="BX26" s="158"/>
      <c r="BY26" s="158"/>
      <c r="BZ26" s="158"/>
      <c r="CA26" s="158"/>
      <c r="CB26" s="158"/>
      <c r="CC26" s="158"/>
      <c r="CD26" s="158"/>
      <c r="CE26" s="158"/>
      <c r="CF26" s="158"/>
      <c r="CG26" s="158"/>
      <c r="CH26" s="158"/>
    </row>
    <row r="27" ht="18.75" customHeight="1">
      <c r="A27" s="37" t="s">
        <v>4617</v>
      </c>
      <c r="B27" s="37" t="s">
        <v>4589</v>
      </c>
      <c r="C27" s="64" t="s">
        <v>4671</v>
      </c>
      <c r="D27" s="39"/>
      <c r="E27" s="64">
        <v>2.0</v>
      </c>
      <c r="F27" s="64"/>
      <c r="G27" s="64" t="s">
        <v>4626</v>
      </c>
      <c r="L27" s="37">
        <v>1.0</v>
      </c>
      <c r="M27" s="37">
        <f t="array" ref="M27">LET(
_xlpm.h,M$1,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27" s="37">
        <f t="array" ref="N27">LET(
_xlpm.h,N$1,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7" s="37">
        <f t="array" ref="O27">LET(
_xlpm.h,O$1,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7" s="37">
        <f t="array" ref="P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27" s="37">
        <f t="array" ref="Q27">LET(
_xlpm.h,Q$1,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27" s="37">
        <f t="array" ref="R27">LET(
_xlpm.h,R$1,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7" s="37">
        <f t="array" ref="S27">LET(
_xlpm.h,S$1,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7" s="37">
        <f t="array" ref="T27">LET(
_xlpm.h,T$1,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7" s="37">
        <f t="array" ref="U27">LET(
_xlpm.h,U$1,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7" s="37">
        <f t="array" ref="V27">LET(
_xlpm.h,V$1,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7" s="37">
        <f t="array" ref="W27">LET(
_xlpm.h,W$1,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7" s="37">
        <f t="array" ref="X27">LET(
_xlpm.h,X$1,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7" s="37">
        <f t="array" ref="Y27">LET(
_xlpm.h,Y$1,
_xlpm.baseLv,MAX($H27:$L27),
_xlpm.magicLv,$I27,
_xlpm.faithLv,$J27,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7" s="162"/>
      <c r="AI27" s="162"/>
      <c r="AJ27" s="162"/>
      <c r="AK27" s="162"/>
      <c r="AP27" s="37">
        <v>15.0</v>
      </c>
      <c r="AT27" s="37">
        <v>10.0</v>
      </c>
      <c r="BI27" s="39" t="s">
        <v>4593</v>
      </c>
      <c r="BJ27" s="39"/>
      <c r="BK27" s="39"/>
      <c r="BL27" s="39"/>
      <c r="BM27" s="39"/>
      <c r="BN27" s="158"/>
      <c r="BO27" s="158"/>
      <c r="BP27" s="158"/>
      <c r="BQ27" s="158"/>
      <c r="BR27" s="163" t="s">
        <v>4588</v>
      </c>
      <c r="BS27" s="158" t="s">
        <v>4672</v>
      </c>
      <c r="BT27" s="158">
        <v>75.0</v>
      </c>
      <c r="BU27" s="158"/>
      <c r="BV27" s="158"/>
      <c r="BW27" s="158"/>
      <c r="BX27" s="158"/>
      <c r="BY27" s="158"/>
      <c r="BZ27" s="158"/>
      <c r="CA27" s="158"/>
      <c r="CB27" s="158"/>
      <c r="CC27" s="158"/>
      <c r="CD27" s="158"/>
      <c r="CE27" s="158"/>
      <c r="CF27" s="158"/>
      <c r="CG27" s="158"/>
      <c r="CH27" s="158"/>
    </row>
    <row r="28" ht="18.75" customHeight="1">
      <c r="A28" s="37" t="s">
        <v>4673</v>
      </c>
      <c r="B28" s="37" t="s">
        <v>4589</v>
      </c>
      <c r="C28" s="64" t="s">
        <v>4674</v>
      </c>
      <c r="D28" s="39"/>
      <c r="E28" s="64">
        <v>2.0</v>
      </c>
      <c r="F28" s="64"/>
      <c r="G28" s="64" t="s">
        <v>4626</v>
      </c>
      <c r="L28" s="37">
        <v>2.0</v>
      </c>
      <c r="M28" s="37">
        <f t="array" ref="M28">LET(
_xlpm.h,M$1,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8" s="37">
        <f t="array" ref="N28">LET(
_xlpm.h,N$1,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8" s="37">
        <f t="array" ref="O28">LET(
_xlpm.h,O$1,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8" s="37">
        <f t="array" ref="P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8" s="37">
        <f t="array" ref="Q28">LET(
_xlpm.h,Q$1,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8" s="37">
        <f t="array" ref="R28">LET(
_xlpm.h,R$1,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8" s="37">
        <f t="array" ref="S28">LET(
_xlpm.h,S$1,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8" s="37">
        <f t="array" ref="T28">LET(
_xlpm.h,T$1,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8" s="37">
        <f t="array" ref="U28">LET(
_xlpm.h,U$1,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8" s="37">
        <f t="array" ref="V28">LET(
_xlpm.h,V$1,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8" s="37">
        <f t="array" ref="W28">LET(
_xlpm.h,W$1,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8" s="37">
        <f t="array" ref="X28">LET(
_xlpm.h,X$1,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8" s="37">
        <f t="array" ref="Y28">LET(
_xlpm.h,Y$1,
_xlpm.baseLv,MAX($H28:$L28),
_xlpm.magicLv,$I28,
_xlpm.faithLv,$J28,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8" s="162"/>
      <c r="AI28" s="162"/>
      <c r="AJ28" s="162"/>
      <c r="AK28" s="162"/>
      <c r="AP28" s="37">
        <v>25.0</v>
      </c>
      <c r="BI28" s="39" t="s">
        <v>4593</v>
      </c>
      <c r="BJ28" s="39"/>
      <c r="BK28" s="39"/>
      <c r="BL28" s="39"/>
      <c r="BM28" s="39"/>
      <c r="BN28" s="158"/>
      <c r="BO28" s="158"/>
      <c r="BP28" s="158"/>
      <c r="BQ28" s="158"/>
      <c r="BR28" s="163" t="s">
        <v>4588</v>
      </c>
      <c r="BS28" s="158" t="s">
        <v>4670</v>
      </c>
      <c r="BT28" s="158">
        <v>80.0</v>
      </c>
      <c r="BU28" s="158"/>
      <c r="BV28" s="158"/>
      <c r="BW28" s="158"/>
      <c r="BX28" s="158"/>
      <c r="BY28" s="158"/>
      <c r="BZ28" s="158"/>
      <c r="CA28" s="158"/>
      <c r="CB28" s="158"/>
      <c r="CC28" s="158"/>
      <c r="CD28" s="158"/>
      <c r="CE28" s="158"/>
      <c r="CF28" s="158"/>
      <c r="CG28" s="158"/>
      <c r="CH28" s="158"/>
    </row>
    <row r="29" ht="18.75" customHeight="1">
      <c r="A29" s="37" t="s">
        <v>4675</v>
      </c>
      <c r="B29" s="37" t="s">
        <v>4589</v>
      </c>
      <c r="C29" s="64" t="s">
        <v>4676</v>
      </c>
      <c r="D29" s="39"/>
      <c r="E29" s="64">
        <v>2.0</v>
      </c>
      <c r="F29" s="64"/>
      <c r="G29" s="64" t="s">
        <v>4626</v>
      </c>
      <c r="L29" s="37">
        <v>2.0</v>
      </c>
      <c r="M29" s="37">
        <f t="array" ref="M29">LET(
_xlpm.h,M$1,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29" s="37">
        <f t="array" ref="N29">LET(
_xlpm.h,N$1,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29" s="37">
        <f t="array" ref="O29">LET(
_xlpm.h,O$1,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29" s="37">
        <f t="array" ref="P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29" s="37">
        <f t="array" ref="Q29">LET(
_xlpm.h,Q$1,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29" s="37">
        <f t="array" ref="R29">LET(
_xlpm.h,R$1,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29" s="37">
        <f t="array" ref="S29">LET(
_xlpm.h,S$1,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29" s="37">
        <f t="array" ref="T29">LET(
_xlpm.h,T$1,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29" s="37">
        <f t="array" ref="U29">LET(
_xlpm.h,U$1,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29" s="37">
        <f t="array" ref="V29">LET(
_xlpm.h,V$1,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29" s="37">
        <f t="array" ref="W29">LET(
_xlpm.h,W$1,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29" s="37">
        <f t="array" ref="X29">LET(
_xlpm.h,X$1,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29" s="37">
        <f t="array" ref="Y29">LET(
_xlpm.h,Y$1,
_xlpm.baseLv,MAX($H29:$L29),
_xlpm.magicLv,$I29,
_xlpm.faithLv,$J29,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29" s="162"/>
      <c r="AI29" s="162"/>
      <c r="AJ29" s="162"/>
      <c r="AK29" s="162"/>
      <c r="AR29" s="37">
        <v>3.0</v>
      </c>
      <c r="AS29" s="37">
        <v>10.0</v>
      </c>
      <c r="AT29" s="37">
        <v>10.0</v>
      </c>
      <c r="AX29" s="37">
        <v>3.0</v>
      </c>
      <c r="BI29" s="39" t="s">
        <v>4593</v>
      </c>
      <c r="BJ29" s="39"/>
      <c r="BK29" s="39"/>
      <c r="BL29" s="39"/>
      <c r="BM29" s="39"/>
      <c r="BN29" s="158"/>
      <c r="BO29" s="158"/>
      <c r="BP29" s="158"/>
      <c r="BQ29" s="158"/>
      <c r="BR29" s="163" t="s">
        <v>4595</v>
      </c>
      <c r="BS29" s="158" t="s">
        <v>4677</v>
      </c>
      <c r="BT29" s="158">
        <v>50.0</v>
      </c>
      <c r="BU29" s="158"/>
      <c r="BV29" s="158"/>
      <c r="BW29" s="158"/>
      <c r="BX29" s="158"/>
      <c r="BY29" s="158"/>
      <c r="BZ29" s="158"/>
      <c r="CA29" s="158"/>
      <c r="CB29" s="158"/>
      <c r="CC29" s="158"/>
      <c r="CD29" s="158"/>
      <c r="CE29" s="158"/>
      <c r="CF29" s="158"/>
      <c r="CG29" s="158"/>
      <c r="CH29" s="158"/>
    </row>
    <row r="30" ht="18.75" customHeight="1">
      <c r="A30" s="37" t="s">
        <v>4678</v>
      </c>
      <c r="B30" s="37" t="s">
        <v>4679</v>
      </c>
      <c r="C30" s="64" t="s">
        <v>4680</v>
      </c>
      <c r="D30" s="39"/>
      <c r="E30" s="64">
        <v>2.0</v>
      </c>
      <c r="F30" s="64"/>
      <c r="G30" s="64" t="s">
        <v>4626</v>
      </c>
      <c r="J30" s="37">
        <v>1.0</v>
      </c>
      <c r="L30" s="37">
        <v>3.0</v>
      </c>
      <c r="M30" s="37">
        <f t="array" ref="M30">LET(
_xlpm.h,M$1,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N30" s="37">
        <f t="array" ref="N30">LET(
_xlpm.h,N$1,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O30" s="37">
        <f t="array" ref="O30">LET(
_xlpm.h,O$1,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0" s="37">
        <f t="array" ref="P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Q30" s="37">
        <f t="array" ref="Q30">LET(
_xlpm.h,Q$1,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150</v>
      </c>
      <c r="R30" s="37">
        <f t="array" ref="R30">LET(
_xlpm.h,R$1,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S30" s="37">
        <f t="array" ref="S30">LET(
_xlpm.h,S$1,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0" s="37">
        <f t="array" ref="T30">LET(
_xlpm.h,T$1,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0" s="37">
        <f t="array" ref="U30">LET(
_xlpm.h,U$1,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0" s="37">
        <f t="array" ref="V30">LET(
_xlpm.h,V$1,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0" s="37">
        <f t="array" ref="W30">LET(
_xlpm.h,W$1,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0" s="37">
        <f t="array" ref="X30">LET(
_xlpm.h,X$1,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0" s="37">
        <f t="array" ref="Y30">LET(
_xlpm.h,Y$1,
_xlpm.baseLv,MAX($H30:$L30),
_xlpm.magicLv,$I30,
_xlpm.faithLv,$J30,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0" s="162"/>
      <c r="AI30" s="162"/>
      <c r="AJ30" s="162"/>
      <c r="AK30" s="162"/>
      <c r="AR30" s="37">
        <v>3.0</v>
      </c>
      <c r="AS30" s="37">
        <v>5.0</v>
      </c>
      <c r="AT30" s="37">
        <v>15.0</v>
      </c>
      <c r="AX30" s="37">
        <v>5.0</v>
      </c>
      <c r="BI30" s="39" t="s">
        <v>4593</v>
      </c>
      <c r="BJ30" s="39"/>
      <c r="BK30" s="39"/>
      <c r="BL30" s="39"/>
      <c r="BM30" s="39"/>
      <c r="BN30" s="158"/>
      <c r="BO30" s="158"/>
      <c r="BP30" s="158"/>
      <c r="BQ30" s="158"/>
      <c r="BR30" s="163"/>
      <c r="BS30" s="158" t="s">
        <v>4677</v>
      </c>
      <c r="BT30" s="158">
        <v>45.0</v>
      </c>
      <c r="BU30" s="158"/>
      <c r="BV30" s="158"/>
      <c r="BW30" s="158"/>
      <c r="BX30" s="158"/>
      <c r="BY30" s="158"/>
      <c r="BZ30" s="158"/>
      <c r="CA30" s="158"/>
      <c r="CB30" s="158"/>
      <c r="CC30" s="158"/>
      <c r="CD30" s="158"/>
      <c r="CE30" s="158"/>
      <c r="CF30" s="158"/>
      <c r="CG30" s="158"/>
      <c r="CH30" s="158"/>
    </row>
    <row r="31" ht="18.75" customHeight="1">
      <c r="A31" s="39" t="s">
        <v>4668</v>
      </c>
      <c r="B31" s="39" t="s">
        <v>4666</v>
      </c>
      <c r="C31" s="102" t="s">
        <v>4681</v>
      </c>
      <c r="E31" s="102">
        <v>1.0</v>
      </c>
      <c r="F31" s="64"/>
      <c r="G31" s="102" t="s">
        <v>4626</v>
      </c>
      <c r="L31" s="39">
        <v>1.0</v>
      </c>
      <c r="M31" s="39">
        <v>40.0</v>
      </c>
      <c r="N31" s="37">
        <f t="array" ref="N31">LET(
_xlpm.h,N$1,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1" s="37">
        <f t="array" ref="O31">LET(
_xlpm.h,O$1,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1" s="39">
        <v>0.0</v>
      </c>
      <c r="Q31" s="39">
        <v>0.0</v>
      </c>
      <c r="R31" s="37">
        <f t="array" ref="R31">LET(
_xlpm.h,R$1,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1" s="37">
        <f t="array" ref="S31">LET(
_xlpm.h,S$1,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1" s="37">
        <f t="array" ref="T31">LET(
_xlpm.h,T$1,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1" s="37">
        <f t="array" ref="U31">LET(
_xlpm.h,U$1,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1" s="37">
        <f t="array" ref="V31">LET(
_xlpm.h,V$1,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1" s="37">
        <f t="array" ref="W31">LET(
_xlpm.h,W$1,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1" s="37">
        <f t="array" ref="X31">LET(
_xlpm.h,X$1,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1" s="37">
        <f t="array" ref="Y31">LET(
_xlpm.h,Y$1,
_xlpm.baseLv,MAX($H31:$L31),
_xlpm.magicLv,$I31,
_xlpm.faithLv,$J31,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1" s="162"/>
      <c r="AI31" s="162"/>
      <c r="AJ31" s="162"/>
      <c r="AK31" s="162"/>
      <c r="BI31" s="39" t="s">
        <v>4593</v>
      </c>
      <c r="BJ31" s="39" t="s">
        <v>4588</v>
      </c>
      <c r="BK31" s="39" t="s">
        <v>2626</v>
      </c>
      <c r="BL31" s="39">
        <v>1.0</v>
      </c>
      <c r="BN31" s="158"/>
      <c r="BO31" s="158"/>
      <c r="BP31" s="158"/>
      <c r="BQ31" s="158"/>
      <c r="BR31" s="163" t="s">
        <v>4682</v>
      </c>
      <c r="BS31" s="158" t="s">
        <v>4670</v>
      </c>
      <c r="BT31" s="158">
        <v>70.0</v>
      </c>
      <c r="BU31" s="158"/>
      <c r="BV31" s="158"/>
      <c r="BW31" s="158"/>
      <c r="BX31" s="158"/>
      <c r="BY31" s="158"/>
      <c r="BZ31" s="158"/>
      <c r="CA31" s="158"/>
      <c r="CB31" s="158"/>
      <c r="CC31" s="158"/>
      <c r="CD31" s="158"/>
      <c r="CE31" s="158"/>
      <c r="CF31" s="158"/>
      <c r="CG31" s="158"/>
      <c r="CH31" s="158"/>
    </row>
    <row r="32" ht="18.75" customHeight="1">
      <c r="A32" s="39" t="s">
        <v>4683</v>
      </c>
      <c r="B32" s="39" t="s">
        <v>4589</v>
      </c>
      <c r="C32" s="102" t="s">
        <v>4684</v>
      </c>
      <c r="E32" s="102">
        <v>3.0</v>
      </c>
      <c r="F32" s="64"/>
      <c r="G32" s="102" t="s">
        <v>3064</v>
      </c>
      <c r="I32" s="39">
        <v>2.0</v>
      </c>
      <c r="M32" s="37">
        <f t="array" ref="M32">LET(
_xlpm.h,M$1,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2" s="37">
        <f t="array" ref="N32">LET(
_xlpm.h,N$1,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2" s="37">
        <f t="array" ref="O32">LET(
_xlpm.h,O$1,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2" s="37">
        <f t="array" ref="P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2" s="37">
        <f t="array" ref="Q32">LET(
_xlpm.h,Q$1,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2" s="37">
        <f t="array" ref="R32">LET(
_xlpm.h,R$1,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2" s="37">
        <f t="array" ref="S32">LET(
_xlpm.h,S$1,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2" s="37">
        <f t="array" ref="T32">LET(
_xlpm.h,T$1,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2" s="37">
        <f t="array" ref="U32">LET(
_xlpm.h,U$1,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2" s="37">
        <f t="array" ref="V32">LET(
_xlpm.h,V$1,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2" s="37">
        <f t="array" ref="W32">LET(
_xlpm.h,W$1,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2" s="37">
        <f t="array" ref="X32">LET(
_xlpm.h,X$1,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2" s="37">
        <f t="array" ref="Y32">LET(
_xlpm.h,Y$1,
_xlpm.baseLv,MAX($H32:$L32),
_xlpm.magicLv,$I32,
_xlpm.faithLv,$J32,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2" s="162"/>
      <c r="AI32" s="162"/>
      <c r="AJ32" s="162"/>
      <c r="AK32" s="162"/>
      <c r="BI32" s="39" t="s">
        <v>4593</v>
      </c>
      <c r="BN32" s="158"/>
      <c r="BO32" s="158"/>
      <c r="BP32" s="158"/>
      <c r="BQ32" s="158"/>
      <c r="BR32" s="163" t="s">
        <v>4588</v>
      </c>
      <c r="BS32" s="158" t="s">
        <v>4685</v>
      </c>
      <c r="BT32" s="158">
        <v>70.0</v>
      </c>
      <c r="BU32" s="158"/>
      <c r="BV32" s="158"/>
      <c r="BW32" s="158"/>
      <c r="BX32" s="158"/>
      <c r="BY32" s="158"/>
      <c r="BZ32" s="158"/>
      <c r="CA32" s="158"/>
      <c r="CB32" s="158"/>
      <c r="CC32" s="158"/>
      <c r="CD32" s="158"/>
      <c r="CE32" s="158"/>
      <c r="CF32" s="158"/>
      <c r="CG32" s="158"/>
      <c r="CH32" s="158"/>
    </row>
    <row r="33" ht="18.75" customHeight="1">
      <c r="A33" s="39" t="s">
        <v>4686</v>
      </c>
      <c r="B33" s="39" t="s">
        <v>4589</v>
      </c>
      <c r="C33" s="102" t="s">
        <v>4687</v>
      </c>
      <c r="E33" s="102">
        <v>6.0</v>
      </c>
      <c r="F33" s="64"/>
      <c r="G33" s="102" t="s">
        <v>3064</v>
      </c>
      <c r="I33" s="39">
        <v>5.0</v>
      </c>
      <c r="J33" s="39">
        <v>5.0</v>
      </c>
      <c r="M33" s="37">
        <f t="array" ref="M33">LET(
_xlpm.h,M$1,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N33" s="37">
        <f t="array" ref="N33">LET(
_xlpm.h,N$1,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O33" s="37">
        <f t="array" ref="O33">LET(
_xlpm.h,O$1,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P33" s="37">
        <f t="array" ref="P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Q33" s="37">
        <f t="array" ref="Q33">LET(
_xlpm.h,Q$1,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250</v>
      </c>
      <c r="R33" s="37">
        <f t="array" ref="R33">LET(
_xlpm.h,R$1,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v>
      </c>
      <c r="S33" s="37">
        <f t="array" ref="S33">LET(
_xlpm.h,S$1,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T33" s="37">
        <f t="array" ref="T33">LET(
_xlpm.h,T$1,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v>
      </c>
      <c r="U33" s="37">
        <f t="array" ref="U33">LET(
_xlpm.h,U$1,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V33" s="37">
        <f t="array" ref="V33">LET(
_xlpm.h,V$1,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3" s="37">
        <f t="array" ref="W33">LET(
_xlpm.h,W$1,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3" s="37">
        <f t="array" ref="X33">LET(
_xlpm.h,X$1,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3" s="37">
        <f t="array" ref="Y33">LET(
_xlpm.h,Y$1,
_xlpm.baseLv,MAX($H33:$L33),
_xlpm.magicLv,$I33,
_xlpm.faithLv,$J33,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3" s="162"/>
      <c r="AI33" s="162"/>
      <c r="AJ33" s="162"/>
      <c r="AK33" s="162"/>
      <c r="BI33" s="39" t="s">
        <v>4593</v>
      </c>
      <c r="BN33" s="158"/>
      <c r="BO33" s="158"/>
      <c r="BP33" s="158"/>
      <c r="BQ33" s="158"/>
      <c r="BR33" s="163" t="s">
        <v>4688</v>
      </c>
      <c r="BS33" s="158" t="s">
        <v>4685</v>
      </c>
      <c r="BT33" s="158">
        <v>35.0</v>
      </c>
      <c r="BU33" s="158"/>
      <c r="BV33" s="158"/>
      <c r="BW33" s="158"/>
      <c r="BX33" s="158"/>
      <c r="BY33" s="158"/>
      <c r="BZ33" s="158"/>
      <c r="CA33" s="158"/>
      <c r="CB33" s="158"/>
      <c r="CC33" s="158"/>
      <c r="CD33" s="158"/>
      <c r="CE33" s="158"/>
      <c r="CF33" s="158"/>
      <c r="CG33" s="158"/>
      <c r="CH33" s="158"/>
    </row>
    <row r="34">
      <c r="A34" s="39" t="s">
        <v>4689</v>
      </c>
      <c r="B34" s="39" t="s">
        <v>4589</v>
      </c>
      <c r="C34" s="102" t="s">
        <v>4690</v>
      </c>
      <c r="E34" s="102">
        <v>4.0</v>
      </c>
      <c r="F34" s="102">
        <v>1.0</v>
      </c>
      <c r="G34" s="102" t="s">
        <v>3064</v>
      </c>
      <c r="H34" s="39">
        <v>0.0</v>
      </c>
      <c r="I34" s="39">
        <v>2.0</v>
      </c>
      <c r="J34" s="39">
        <v>0.0</v>
      </c>
      <c r="K34" s="39">
        <v>0.0</v>
      </c>
      <c r="L34" s="39">
        <v>0.0</v>
      </c>
      <c r="M34" s="37">
        <f t="array" ref="M34">LET(
_xlpm.h,M$1,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4" s="37">
        <f t="array" ref="N34">LET(
_xlpm.h,N$1,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4" s="37">
        <f t="array" ref="O34">LET(
_xlpm.h,O$1,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4" s="37">
        <f t="array" ref="P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4" s="37">
        <f t="array" ref="Q34">LET(
_xlpm.h,Q$1,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4" s="37">
        <f t="array" ref="R34">LET(
_xlpm.h,R$1,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4" s="37">
        <f t="array" ref="S34">LET(
_xlpm.h,S$1,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4" s="37">
        <f t="array" ref="T34">LET(
_xlpm.h,T$1,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4" s="37">
        <f t="array" ref="U34">LET(
_xlpm.h,U$1,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4" s="37">
        <f t="array" ref="V34">LET(
_xlpm.h,V$1,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4" s="37">
        <f t="array" ref="W34">LET(
_xlpm.h,W$1,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4" s="37">
        <f t="array" ref="X34">LET(
_xlpm.h,X$1,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4" s="37">
        <f t="array" ref="Y34">LET(
_xlpm.h,Y$1,
_xlpm.baseLv,MAX($H34:$L34),
_xlpm.magicLv,$I34,
_xlpm.faithLv,$J34,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4" s="162"/>
      <c r="AI34" s="162"/>
      <c r="AJ34" s="162"/>
      <c r="AK34" s="162"/>
      <c r="BI34" s="39" t="s">
        <v>4593</v>
      </c>
      <c r="BN34" s="158" t="s">
        <v>2627</v>
      </c>
      <c r="BO34" s="158" t="s">
        <v>4691</v>
      </c>
      <c r="BP34" s="158">
        <v>0.0</v>
      </c>
      <c r="BQ34" s="158"/>
      <c r="BR34" s="163" t="s">
        <v>4692</v>
      </c>
      <c r="BS34" s="158" t="s">
        <v>2627</v>
      </c>
      <c r="BT34" s="158">
        <v>30.0</v>
      </c>
      <c r="BU34" s="158"/>
      <c r="BV34" s="158"/>
      <c r="BW34" s="158"/>
      <c r="BX34" s="158"/>
      <c r="BY34" s="158"/>
      <c r="BZ34" s="158"/>
      <c r="CA34" s="158"/>
      <c r="CB34" s="158"/>
      <c r="CC34" s="158"/>
      <c r="CD34" s="158"/>
      <c r="CE34" s="158"/>
      <c r="CF34" s="158"/>
      <c r="CG34" s="158"/>
      <c r="CH34" s="158"/>
    </row>
    <row r="35" ht="54.0" customHeight="1">
      <c r="A35" s="39" t="s">
        <v>4693</v>
      </c>
      <c r="B35" s="39" t="s">
        <v>4589</v>
      </c>
      <c r="C35" s="102" t="s">
        <v>4694</v>
      </c>
      <c r="E35" s="102">
        <v>3.0</v>
      </c>
      <c r="F35" s="102">
        <v>0.0</v>
      </c>
      <c r="G35" s="102" t="s">
        <v>3064</v>
      </c>
      <c r="H35" s="39">
        <v>0.0</v>
      </c>
      <c r="I35" s="39">
        <v>2.0</v>
      </c>
      <c r="J35" s="39">
        <v>0.0</v>
      </c>
      <c r="K35" s="39">
        <v>0.0</v>
      </c>
      <c r="L35" s="39">
        <v>0.0</v>
      </c>
      <c r="M35" s="37">
        <f t="array" ref="M35">LET(
_xlpm.h,M$1,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N35" s="37">
        <f t="array" ref="N35">LET(
_xlpm.h,N$1,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5" s="37">
        <f t="array" ref="O35">LET(
_xlpm.h,O$1,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5" s="37">
        <f t="array" ref="P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Q35" s="37">
        <f t="array" ref="Q35">LET(
_xlpm.h,Q$1,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100</v>
      </c>
      <c r="R35" s="37">
        <f t="array" ref="R35">LET(
_xlpm.h,R$1,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5" s="37">
        <f t="array" ref="S35">LET(
_xlpm.h,S$1,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5" s="37">
        <f t="array" ref="T35">LET(
_xlpm.h,T$1,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5" s="37">
        <f t="array" ref="U35">LET(
_xlpm.h,U$1,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5" s="37">
        <f t="array" ref="V35">LET(
_xlpm.h,V$1,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5" s="37">
        <f t="array" ref="W35">LET(
_xlpm.h,W$1,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5" s="37">
        <f t="array" ref="X35">LET(
_xlpm.h,X$1,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5" s="37">
        <f t="array" ref="Y35">LET(
_xlpm.h,Y$1,
_xlpm.baseLv,MAX($H35:$L35),
_xlpm.magicLv,$I35,
_xlpm.faithLv,$J35,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5" s="162"/>
      <c r="AI35" s="162"/>
      <c r="AJ35" s="162"/>
      <c r="AK35" s="162"/>
      <c r="BI35" s="39" t="s">
        <v>4593</v>
      </c>
      <c r="BN35" s="158" t="s">
        <v>4612</v>
      </c>
      <c r="BO35" s="158" t="s">
        <v>4691</v>
      </c>
      <c r="BP35" s="158">
        <v>0.0</v>
      </c>
      <c r="BQ35" s="158"/>
      <c r="BR35" s="163" t="s">
        <v>4695</v>
      </c>
      <c r="BS35" s="158" t="s">
        <v>4696</v>
      </c>
      <c r="BT35" s="158">
        <v>30.0</v>
      </c>
      <c r="BU35" s="158"/>
      <c r="BV35" s="158"/>
      <c r="BW35" s="158"/>
      <c r="BX35" s="158"/>
      <c r="BY35" s="158"/>
      <c r="BZ35" s="158"/>
      <c r="CA35" s="158"/>
      <c r="CB35" s="158"/>
      <c r="CC35" s="158"/>
      <c r="CD35" s="158"/>
      <c r="CE35" s="158"/>
      <c r="CF35" s="158"/>
      <c r="CG35" s="158"/>
      <c r="CH35" s="158"/>
    </row>
    <row r="36" ht="54.0" customHeight="1">
      <c r="A36" s="39" t="s">
        <v>4649</v>
      </c>
      <c r="B36" s="39" t="s">
        <v>4589</v>
      </c>
      <c r="C36" s="102" t="s">
        <v>4697</v>
      </c>
      <c r="E36" s="102">
        <v>2.0</v>
      </c>
      <c r="F36" s="102">
        <v>0.0</v>
      </c>
      <c r="G36" s="102" t="s">
        <v>3064</v>
      </c>
      <c r="H36" s="39">
        <v>0.0</v>
      </c>
      <c r="I36" s="39">
        <v>0.0</v>
      </c>
      <c r="J36" s="39">
        <v>1.0</v>
      </c>
      <c r="K36" s="39">
        <v>0.0</v>
      </c>
      <c r="L36" s="39">
        <v>0.0</v>
      </c>
      <c r="M36" s="39">
        <v>20.0</v>
      </c>
      <c r="N36" s="37">
        <f t="array" ref="N36">LET(
_xlpm.h,N$1,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6" s="37">
        <f t="array" ref="O36">LET(
_xlpm.h,O$1,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6" s="41">
        <v>15.0</v>
      </c>
      <c r="Q36" s="39">
        <v>0.0</v>
      </c>
      <c r="R36" s="37">
        <f t="array" ref="R36">LET(
_xlpm.h,R$1,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6" s="37">
        <f t="array" ref="S36">LET(
_xlpm.h,S$1,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6" s="37">
        <f t="array" ref="T36">LET(
_xlpm.h,T$1,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6" s="37">
        <f t="array" ref="U36">LET(
_xlpm.h,U$1,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6" s="37">
        <f t="array" ref="V36">LET(
_xlpm.h,V$1,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6" s="37">
        <f t="array" ref="W36">LET(
_xlpm.h,W$1,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6" s="37">
        <f t="array" ref="X36">LET(
_xlpm.h,X$1,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6" s="37">
        <f t="array" ref="Y36">LET(
_xlpm.h,Y$1,
_xlpm.baseLv,MAX($H36:$L36),
_xlpm.magicLv,$I36,
_xlpm.faithLv,$J36,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6" s="162"/>
      <c r="AI36" s="162"/>
      <c r="AJ36" s="162"/>
      <c r="AK36" s="162"/>
      <c r="BI36" s="39" t="s">
        <v>4593</v>
      </c>
      <c r="BQ36" s="158">
        <v>2.0</v>
      </c>
      <c r="BR36" s="163" t="s">
        <v>4588</v>
      </c>
      <c r="BS36" s="158" t="s">
        <v>1845</v>
      </c>
      <c r="BT36" s="158">
        <v>90.0</v>
      </c>
      <c r="BU36" s="158"/>
      <c r="BV36" s="158"/>
      <c r="BW36" s="158"/>
      <c r="BX36" s="158"/>
      <c r="BY36" s="158"/>
      <c r="BZ36" s="158"/>
      <c r="CA36" s="158"/>
      <c r="CB36" s="158"/>
      <c r="CC36" s="158"/>
      <c r="CD36" s="158"/>
      <c r="CE36" s="158"/>
      <c r="CF36" s="158"/>
      <c r="CG36" s="158"/>
      <c r="CH36" s="158"/>
    </row>
    <row r="37" ht="54.0" customHeight="1">
      <c r="A37" s="39" t="s">
        <v>4698</v>
      </c>
      <c r="B37" s="39" t="s">
        <v>29</v>
      </c>
      <c r="C37" s="102" t="s">
        <v>4699</v>
      </c>
      <c r="E37" s="102">
        <v>2.0</v>
      </c>
      <c r="F37" s="102">
        <v>0.0</v>
      </c>
      <c r="G37" s="102">
        <v>0.0</v>
      </c>
      <c r="H37" s="39">
        <v>0.0</v>
      </c>
      <c r="I37" s="39">
        <v>0.0</v>
      </c>
      <c r="J37" s="39">
        <v>1.0</v>
      </c>
      <c r="K37" s="39">
        <v>0.0</v>
      </c>
      <c r="L37" s="39">
        <v>0.0</v>
      </c>
      <c r="M37" s="37">
        <f t="array" ref="M37">LET(
_xlpm.h,M$1,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N37" s="37">
        <f t="array" ref="N37">LET(
_xlpm.h,N$1,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7" s="37">
        <f t="array" ref="O37">LET(
_xlpm.h,O$1,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7" s="37">
        <f t="array" ref="P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Q37" s="37">
        <f t="array" ref="Q37">LET(
_xlpm.h,Q$1,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50</v>
      </c>
      <c r="R37" s="37">
        <f t="array" ref="R37">LET(
_xlpm.h,R$1,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7" s="37">
        <f t="array" ref="S37">LET(
_xlpm.h,S$1,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7" s="37">
        <f t="array" ref="T37">LET(
_xlpm.h,T$1,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7" s="37">
        <f t="array" ref="U37">LET(
_xlpm.h,U$1,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7" s="37">
        <f t="array" ref="V37">LET(
_xlpm.h,V$1,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7" s="37">
        <f t="array" ref="W37">LET(
_xlpm.h,W$1,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7" s="37">
        <f t="array" ref="X37">LET(
_xlpm.h,X$1,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7" s="37">
        <f t="array" ref="Y37">LET(
_xlpm.h,Y$1,
_xlpm.baseLv,MAX($H37:$L37),
_xlpm.magicLv,$I37,
_xlpm.faithLv,$J37,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7" s="162"/>
      <c r="AI37" s="162"/>
      <c r="AJ37" s="162"/>
      <c r="AK37" s="162"/>
      <c r="BI37" s="39" t="s">
        <v>4593</v>
      </c>
      <c r="BN37" s="39" t="s">
        <v>2628</v>
      </c>
      <c r="BO37" s="39" t="s">
        <v>4691</v>
      </c>
      <c r="BP37" s="39">
        <v>0.0</v>
      </c>
      <c r="BQ37" s="158"/>
      <c r="BR37" s="163" t="s">
        <v>4700</v>
      </c>
      <c r="BS37" s="158" t="s">
        <v>1845</v>
      </c>
      <c r="BT37" s="158">
        <v>40.0</v>
      </c>
      <c r="BU37" s="158"/>
      <c r="BV37" s="158"/>
      <c r="BW37" s="158"/>
      <c r="BX37" s="158"/>
      <c r="BY37" s="158"/>
      <c r="BZ37" s="158"/>
      <c r="CA37" s="158"/>
      <c r="CB37" s="158"/>
      <c r="CC37" s="158"/>
      <c r="CD37" s="158"/>
      <c r="CE37" s="158"/>
      <c r="CF37" s="158"/>
      <c r="CG37" s="158"/>
      <c r="CH37" s="158"/>
    </row>
    <row r="38" ht="18.75" customHeight="1">
      <c r="A38" s="39" t="s">
        <v>4701</v>
      </c>
      <c r="B38" s="39" t="s">
        <v>4589</v>
      </c>
      <c r="C38" s="102" t="s">
        <v>4702</v>
      </c>
      <c r="E38" s="102">
        <v>3.0</v>
      </c>
      <c r="F38" s="102">
        <v>1.0</v>
      </c>
      <c r="G38" s="102" t="s">
        <v>3064</v>
      </c>
      <c r="I38" s="39">
        <v>1.0</v>
      </c>
      <c r="J38" s="39" t="s">
        <v>29</v>
      </c>
      <c r="M38" s="39">
        <v>50.0</v>
      </c>
      <c r="N38" s="37">
        <f t="array" ref="N38">LET(
_xlpm.h,N$1,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O38" s="37">
        <f t="array" ref="O38">LET(
_xlpm.h,O$1,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P38" s="39">
        <v>50.0</v>
      </c>
      <c r="Q38" s="39">
        <v>25.0</v>
      </c>
      <c r="R38" s="37">
        <f t="array" ref="R38">LET(
_xlpm.h,R$1,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S38" s="37">
        <f t="array" ref="S38">LET(
_xlpm.h,S$1,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T38" s="37">
        <f t="array" ref="T38">LET(
_xlpm.h,T$1,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U38" s="37">
        <f t="array" ref="U38">LET(
_xlpm.h,U$1,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V38" s="37">
        <f t="array" ref="V38">LET(
_xlpm.h,V$1,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W38" s="37">
        <f t="array" ref="W38">LET(
_xlpm.h,W$1,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X38" s="37">
        <f t="array" ref="X38">LET(
_xlpm.h,X$1,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Y38" s="37">
        <f t="array" ref="Y38">LET(
_xlpm.h,Y$1,
_xlpm.baseLv,MAX($H38:$L38),
_xlpm.magicLv,$I38,
_xlpm.faithLv,$J38,
_xlpm.col,IFERROR(_xlfn.XMATCH(_xlpm.h,'消費量'!$A$1:$V$1,0),0),
_xlpm.baseCost,IF(_xlpm.col=0,0,IFERROR(INDEX('消費量'!$A$2:$V$15,MATCH(1,('消費量'!$A$2:$A$15=_xlpm.baseLv)*('消費量'!$B$2:$B$15="装備"),0),_xlpm.col),0)),
_xlpm.magicCost,IF(OR(_xlpm.col=0,_xlpm.magicLv&lt;=0),0,IFERROR(INDEX('消費量'!$A$2:$V$15,MATCH(1,('消費量'!$A$2:$A$15=_xlpm.magicLv)*('消費量'!$B$2:$B$15="魔法/信仰"),0),_xlpm.col)/2,0)),
_xlpm.faithCost,IF(OR(_xlpm.col=0,_xlpm.faithLv&lt;=0),0,IFERROR(INDEX('消費量'!$A$2:$V$15,MATCH(1,('消費量'!$A$2:$A$15=_xlpm.faithLv)*('消費量'!$B$2:$B$15="魔法/信仰"),0),_xlpm.col)/2,0)),
_xlpm.baseCost+_xlpm.magicCost+_xlpm.faithCost
)*5</f>
        <v>0</v>
      </c>
      <c r="AH38" s="162"/>
      <c r="AI38" s="162"/>
      <c r="AJ38" s="162"/>
      <c r="AK38" s="162"/>
      <c r="AZ38" s="39" t="s">
        <v>4703</v>
      </c>
      <c r="BI38" s="39" t="s">
        <v>4593</v>
      </c>
      <c r="BR38" s="39" t="s">
        <v>4637</v>
      </c>
      <c r="BS38" s="126" t="s">
        <v>4704</v>
      </c>
      <c r="BT38" s="126">
        <v>35.0</v>
      </c>
      <c r="BU38" s="126" t="s">
        <v>4705</v>
      </c>
      <c r="BV38" s="126">
        <v>10.0</v>
      </c>
      <c r="BW38" s="126">
        <v>0.0</v>
      </c>
      <c r="BX38" s="126"/>
      <c r="BY38" s="126" t="s">
        <v>29</v>
      </c>
      <c r="BZ38" s="126" t="s">
        <v>29</v>
      </c>
      <c r="CA38" s="126" t="s">
        <v>29</v>
      </c>
      <c r="CB38" s="126" t="s">
        <v>4706</v>
      </c>
      <c r="CC38" s="126">
        <v>25.0</v>
      </c>
      <c r="CD38" s="126">
        <v>0.0</v>
      </c>
      <c r="CE38" s="126"/>
      <c r="CF38" s="126"/>
      <c r="CG38" s="126"/>
      <c r="CH38" s="126"/>
    </row>
    <row r="39" ht="18.75" customHeight="1">
      <c r="A39" s="39" t="s">
        <v>4707</v>
      </c>
      <c r="B39" s="39" t="s">
        <v>4589</v>
      </c>
      <c r="C39" s="102" t="s">
        <v>4708</v>
      </c>
      <c r="E39" s="102">
        <v>3.0</v>
      </c>
      <c r="F39" s="102">
        <v>1.0</v>
      </c>
      <c r="G39" s="102" t="s">
        <v>3064</v>
      </c>
      <c r="I39" s="39">
        <v>1.0</v>
      </c>
      <c r="J39" s="39" t="s">
        <v>29</v>
      </c>
      <c r="M39" s="39">
        <v>50.0</v>
      </c>
      <c r="P39" s="39">
        <v>50.0</v>
      </c>
      <c r="Q39" s="39">
        <v>25.0</v>
      </c>
      <c r="AH39" s="162"/>
      <c r="AI39" s="162"/>
      <c r="AJ39" s="162"/>
      <c r="AK39" s="162"/>
      <c r="AZ39" s="39" t="s">
        <v>4703</v>
      </c>
      <c r="BI39" s="39" t="s">
        <v>4593</v>
      </c>
      <c r="BR39" s="39" t="s">
        <v>4701</v>
      </c>
      <c r="BS39" s="126" t="s">
        <v>4704</v>
      </c>
      <c r="BT39" s="126">
        <v>28.0</v>
      </c>
      <c r="BU39" s="126" t="s">
        <v>4709</v>
      </c>
      <c r="BV39" s="126">
        <v>10.0</v>
      </c>
      <c r="BW39" s="126">
        <v>1.0</v>
      </c>
      <c r="BX39" s="126" t="s">
        <v>4710</v>
      </c>
      <c r="BY39" s="126" t="s">
        <v>29</v>
      </c>
      <c r="BZ39" s="126" t="s">
        <v>29</v>
      </c>
      <c r="CA39" s="126" t="s">
        <v>29</v>
      </c>
      <c r="CB39" s="126" t="s">
        <v>4711</v>
      </c>
      <c r="CC39" s="126">
        <v>25.0</v>
      </c>
      <c r="CD39" s="126">
        <v>1.0</v>
      </c>
      <c r="CE39" s="126">
        <v>10.0</v>
      </c>
      <c r="CF39" s="126"/>
      <c r="CG39" s="126"/>
      <c r="CH39" s="126"/>
    </row>
    <row r="40" ht="18.75" customHeight="1">
      <c r="A40" s="39" t="s">
        <v>4712</v>
      </c>
      <c r="B40" s="39" t="s">
        <v>4589</v>
      </c>
      <c r="C40" s="102" t="s">
        <v>4713</v>
      </c>
      <c r="D40" s="39" t="s">
        <v>4707</v>
      </c>
      <c r="E40" s="102">
        <v>5.0</v>
      </c>
      <c r="F40" s="102">
        <v>1.0</v>
      </c>
      <c r="G40" s="102" t="s">
        <v>3064</v>
      </c>
      <c r="I40" s="39">
        <v>2.0</v>
      </c>
      <c r="J40" s="39" t="s">
        <v>29</v>
      </c>
      <c r="M40" s="39">
        <v>100.0</v>
      </c>
      <c r="P40" s="39">
        <v>100.0</v>
      </c>
      <c r="Q40" s="39">
        <v>50.0</v>
      </c>
      <c r="AH40" s="162"/>
      <c r="AI40" s="162"/>
      <c r="AJ40" s="162"/>
      <c r="AK40" s="162"/>
      <c r="AZ40" s="39" t="s">
        <v>4703</v>
      </c>
      <c r="BI40" s="39" t="s">
        <v>4593</v>
      </c>
      <c r="BM40" s="39">
        <v>0.0</v>
      </c>
      <c r="BR40" s="39" t="s">
        <v>4707</v>
      </c>
      <c r="BS40" s="126" t="s">
        <v>4704</v>
      </c>
      <c r="BT40" s="126">
        <v>26.0</v>
      </c>
      <c r="BU40" s="126" t="s">
        <v>4709</v>
      </c>
      <c r="BV40" s="126">
        <v>20.0</v>
      </c>
      <c r="BW40" s="126">
        <v>2.0</v>
      </c>
      <c r="BX40" s="126" t="s">
        <v>4714</v>
      </c>
      <c r="BY40" s="126" t="s">
        <v>29</v>
      </c>
      <c r="BZ40" s="126" t="s">
        <v>29</v>
      </c>
      <c r="CA40" s="126" t="s">
        <v>29</v>
      </c>
      <c r="CB40" s="126" t="s">
        <v>4711</v>
      </c>
      <c r="CC40" s="126">
        <v>25.0</v>
      </c>
      <c r="CD40" s="126">
        <v>3.0</v>
      </c>
      <c r="CE40" s="126">
        <v>20.0</v>
      </c>
      <c r="CF40" s="126"/>
      <c r="CG40" s="126"/>
      <c r="CH40" s="126"/>
    </row>
    <row r="41" ht="18.75" customHeight="1">
      <c r="A41" s="39" t="s">
        <v>4715</v>
      </c>
      <c r="B41" s="39" t="s">
        <v>4589</v>
      </c>
      <c r="C41" s="102" t="s">
        <v>4716</v>
      </c>
      <c r="D41" s="39" t="s">
        <v>4712</v>
      </c>
      <c r="E41" s="102">
        <v>7.0</v>
      </c>
      <c r="F41" s="102">
        <v>1.0</v>
      </c>
      <c r="G41" s="102" t="s">
        <v>3064</v>
      </c>
      <c r="I41" s="39">
        <v>3.0</v>
      </c>
      <c r="J41" s="39" t="s">
        <v>29</v>
      </c>
      <c r="M41" s="39">
        <v>150.0</v>
      </c>
      <c r="P41" s="39">
        <v>150.0</v>
      </c>
      <c r="Q41" s="39">
        <v>75.0</v>
      </c>
      <c r="AH41" s="162"/>
      <c r="AI41" s="162"/>
      <c r="AJ41" s="162"/>
      <c r="AK41" s="162"/>
      <c r="AZ41" s="39" t="s">
        <v>4703</v>
      </c>
      <c r="BI41" s="39" t="s">
        <v>4593</v>
      </c>
      <c r="BM41" s="39">
        <v>0.0</v>
      </c>
      <c r="BR41" s="39" t="s">
        <v>4712</v>
      </c>
      <c r="BS41" s="126" t="s">
        <v>4704</v>
      </c>
      <c r="BT41" s="126">
        <v>24.0</v>
      </c>
      <c r="BU41" s="126" t="s">
        <v>4709</v>
      </c>
      <c r="BV41" s="126">
        <v>25.0</v>
      </c>
      <c r="BW41" s="126">
        <v>3.0</v>
      </c>
      <c r="BX41" s="126" t="s">
        <v>4717</v>
      </c>
      <c r="BY41" s="126" t="s">
        <v>29</v>
      </c>
      <c r="BZ41" s="126" t="s">
        <v>29</v>
      </c>
      <c r="CA41" s="126" t="s">
        <v>29</v>
      </c>
      <c r="CB41" s="126" t="s">
        <v>4711</v>
      </c>
      <c r="CC41" s="126">
        <v>25.0</v>
      </c>
      <c r="CD41" s="126">
        <v>5.0</v>
      </c>
      <c r="CE41" s="126">
        <v>25.0</v>
      </c>
      <c r="CF41" s="126"/>
      <c r="CG41" s="126"/>
      <c r="CH41" s="126"/>
    </row>
    <row r="42" ht="18.75" customHeight="1">
      <c r="A42" s="39" t="s">
        <v>4718</v>
      </c>
      <c r="B42" s="39" t="s">
        <v>4589</v>
      </c>
      <c r="C42" s="102" t="s">
        <v>4719</v>
      </c>
      <c r="E42" s="102">
        <v>3.0</v>
      </c>
      <c r="F42" s="102">
        <v>1.0</v>
      </c>
      <c r="G42" s="102" t="s">
        <v>3064</v>
      </c>
      <c r="I42" s="39">
        <v>1.0</v>
      </c>
      <c r="J42" s="39" t="s">
        <v>29</v>
      </c>
      <c r="M42" s="39">
        <v>50.0</v>
      </c>
      <c r="P42" s="39">
        <v>50.0</v>
      </c>
      <c r="Q42" s="39">
        <v>25.0</v>
      </c>
      <c r="AH42" s="162"/>
      <c r="AI42" s="162"/>
      <c r="AJ42" s="162"/>
      <c r="AK42" s="162"/>
      <c r="AZ42" s="39" t="s">
        <v>4703</v>
      </c>
      <c r="BI42" s="39" t="s">
        <v>4593</v>
      </c>
      <c r="BR42" s="39" t="s">
        <v>4701</v>
      </c>
      <c r="BS42" s="126" t="s">
        <v>4704</v>
      </c>
      <c r="BT42" s="126">
        <v>28.0</v>
      </c>
      <c r="BU42" s="126" t="s">
        <v>4720</v>
      </c>
      <c r="BV42" s="126">
        <v>10.0</v>
      </c>
      <c r="BW42" s="126">
        <v>1.0</v>
      </c>
      <c r="BX42" s="126" t="s">
        <v>4710</v>
      </c>
      <c r="BY42" s="126" t="s">
        <v>29</v>
      </c>
      <c r="BZ42" s="126" t="s">
        <v>29</v>
      </c>
      <c r="CA42" s="126" t="s">
        <v>29</v>
      </c>
      <c r="CB42" s="126" t="s">
        <v>4721</v>
      </c>
      <c r="CC42" s="126">
        <v>25.0</v>
      </c>
      <c r="CD42" s="126">
        <v>1.0</v>
      </c>
      <c r="CE42" s="126">
        <v>10.0</v>
      </c>
      <c r="CF42" s="126"/>
      <c r="CG42" s="126"/>
      <c r="CH42" s="126"/>
    </row>
    <row r="43" ht="18.75" customHeight="1">
      <c r="A43" s="39" t="s">
        <v>4722</v>
      </c>
      <c r="B43" s="39" t="s">
        <v>4589</v>
      </c>
      <c r="C43" s="102" t="s">
        <v>4723</v>
      </c>
      <c r="D43" s="39" t="s">
        <v>4718</v>
      </c>
      <c r="E43" s="102">
        <v>5.0</v>
      </c>
      <c r="F43" s="102">
        <v>1.0</v>
      </c>
      <c r="G43" s="102" t="s">
        <v>3064</v>
      </c>
      <c r="I43" s="39">
        <v>2.0</v>
      </c>
      <c r="J43" s="39" t="s">
        <v>29</v>
      </c>
      <c r="M43" s="39">
        <v>100.0</v>
      </c>
      <c r="P43" s="39">
        <v>100.0</v>
      </c>
      <c r="Q43" s="39">
        <v>50.0</v>
      </c>
      <c r="AH43" s="162"/>
      <c r="AI43" s="162"/>
      <c r="AJ43" s="162"/>
      <c r="AK43" s="162"/>
      <c r="AZ43" s="39" t="s">
        <v>4703</v>
      </c>
      <c r="BI43" s="39" t="s">
        <v>4593</v>
      </c>
      <c r="BM43" s="39">
        <v>0.0</v>
      </c>
      <c r="BR43" s="39" t="s">
        <v>4718</v>
      </c>
      <c r="BS43" s="126" t="s">
        <v>4704</v>
      </c>
      <c r="BT43" s="126">
        <v>26.0</v>
      </c>
      <c r="BU43" s="126" t="s">
        <v>4720</v>
      </c>
      <c r="BV43" s="126">
        <v>20.0</v>
      </c>
      <c r="BW43" s="126">
        <v>2.0</v>
      </c>
      <c r="BX43" s="126" t="s">
        <v>4714</v>
      </c>
      <c r="BY43" s="126" t="s">
        <v>29</v>
      </c>
      <c r="BZ43" s="126" t="s">
        <v>29</v>
      </c>
      <c r="CA43" s="126" t="s">
        <v>29</v>
      </c>
      <c r="CB43" s="126" t="s">
        <v>4721</v>
      </c>
      <c r="CC43" s="126">
        <v>25.0</v>
      </c>
      <c r="CD43" s="126">
        <v>3.0</v>
      </c>
      <c r="CE43" s="126">
        <v>20.0</v>
      </c>
      <c r="CF43" s="126"/>
      <c r="CG43" s="126"/>
      <c r="CH43" s="126"/>
    </row>
    <row r="44" ht="18.75" customHeight="1">
      <c r="A44" s="39" t="s">
        <v>4724</v>
      </c>
      <c r="B44" s="39" t="s">
        <v>4589</v>
      </c>
      <c r="C44" s="102" t="s">
        <v>4725</v>
      </c>
      <c r="D44" s="39" t="s">
        <v>4722</v>
      </c>
      <c r="E44" s="102">
        <v>7.0</v>
      </c>
      <c r="F44" s="102">
        <v>1.0</v>
      </c>
      <c r="G44" s="102" t="s">
        <v>3064</v>
      </c>
      <c r="I44" s="39">
        <v>3.0</v>
      </c>
      <c r="J44" s="39" t="s">
        <v>29</v>
      </c>
      <c r="M44" s="39">
        <v>150.0</v>
      </c>
      <c r="P44" s="39">
        <v>150.0</v>
      </c>
      <c r="Q44" s="39">
        <v>75.0</v>
      </c>
      <c r="AH44" s="162"/>
      <c r="AI44" s="162"/>
      <c r="AJ44" s="162"/>
      <c r="AK44" s="162"/>
      <c r="AZ44" s="39" t="s">
        <v>4703</v>
      </c>
      <c r="BI44" s="39" t="s">
        <v>4593</v>
      </c>
      <c r="BM44" s="39">
        <v>0.0</v>
      </c>
      <c r="BR44" s="39" t="s">
        <v>4722</v>
      </c>
      <c r="BS44" s="126" t="s">
        <v>4704</v>
      </c>
      <c r="BT44" s="126">
        <v>24.0</v>
      </c>
      <c r="BU44" s="126" t="s">
        <v>4720</v>
      </c>
      <c r="BV44" s="126">
        <v>25.0</v>
      </c>
      <c r="BW44" s="126">
        <v>3.0</v>
      </c>
      <c r="BX44" s="126" t="s">
        <v>4717</v>
      </c>
      <c r="BY44" s="126" t="s">
        <v>29</v>
      </c>
      <c r="BZ44" s="126" t="s">
        <v>29</v>
      </c>
      <c r="CA44" s="126" t="s">
        <v>29</v>
      </c>
      <c r="CB44" s="126" t="s">
        <v>4721</v>
      </c>
      <c r="CC44" s="126">
        <v>25.0</v>
      </c>
      <c r="CD44" s="126">
        <v>5.0</v>
      </c>
      <c r="CE44" s="126">
        <v>25.0</v>
      </c>
      <c r="CF44" s="126"/>
      <c r="CG44" s="126"/>
      <c r="CH44" s="126"/>
    </row>
    <row r="45" ht="18.75" customHeight="1">
      <c r="A45" s="39" t="s">
        <v>4726</v>
      </c>
      <c r="B45" s="39" t="s">
        <v>4589</v>
      </c>
      <c r="C45" s="102" t="s">
        <v>4727</v>
      </c>
      <c r="E45" s="102">
        <v>3.0</v>
      </c>
      <c r="F45" s="102">
        <v>1.0</v>
      </c>
      <c r="G45" s="102" t="s">
        <v>3064</v>
      </c>
      <c r="I45" s="39">
        <v>1.0</v>
      </c>
      <c r="J45" s="39" t="s">
        <v>29</v>
      </c>
      <c r="M45" s="39">
        <v>50.0</v>
      </c>
      <c r="P45" s="39">
        <v>50.0</v>
      </c>
      <c r="Q45" s="39">
        <v>25.0</v>
      </c>
      <c r="AH45" s="162"/>
      <c r="AI45" s="162"/>
      <c r="AJ45" s="162"/>
      <c r="AK45" s="162"/>
      <c r="AZ45" s="39" t="s">
        <v>4703</v>
      </c>
      <c r="BI45" s="39" t="s">
        <v>4593</v>
      </c>
      <c r="BR45" s="39" t="s">
        <v>4701</v>
      </c>
      <c r="BS45" s="126" t="s">
        <v>4704</v>
      </c>
      <c r="BT45" s="126">
        <v>28.0</v>
      </c>
      <c r="BU45" s="126" t="s">
        <v>4728</v>
      </c>
      <c r="BV45" s="126">
        <v>10.0</v>
      </c>
      <c r="BW45" s="126">
        <v>1.0</v>
      </c>
      <c r="BX45" s="126" t="s">
        <v>4710</v>
      </c>
      <c r="BY45" s="126" t="s">
        <v>29</v>
      </c>
      <c r="BZ45" s="126" t="s">
        <v>29</v>
      </c>
      <c r="CA45" s="126" t="s">
        <v>29</v>
      </c>
      <c r="CB45" s="126" t="s">
        <v>4729</v>
      </c>
      <c r="CC45" s="126">
        <v>25.0</v>
      </c>
      <c r="CD45" s="126">
        <v>1.0</v>
      </c>
      <c r="CE45" s="126">
        <v>10.0</v>
      </c>
      <c r="CF45" s="126"/>
      <c r="CG45" s="126"/>
      <c r="CH45" s="126"/>
    </row>
    <row r="46" ht="18.75" customHeight="1">
      <c r="A46" s="39" t="s">
        <v>4730</v>
      </c>
      <c r="B46" s="39" t="s">
        <v>4589</v>
      </c>
      <c r="C46" s="102" t="s">
        <v>4731</v>
      </c>
      <c r="D46" s="39" t="s">
        <v>4726</v>
      </c>
      <c r="E46" s="102">
        <v>5.0</v>
      </c>
      <c r="F46" s="102">
        <v>1.0</v>
      </c>
      <c r="G46" s="102" t="s">
        <v>3064</v>
      </c>
      <c r="I46" s="39">
        <v>2.0</v>
      </c>
      <c r="J46" s="39" t="s">
        <v>29</v>
      </c>
      <c r="M46" s="39">
        <v>100.0</v>
      </c>
      <c r="P46" s="39">
        <v>100.0</v>
      </c>
      <c r="Q46" s="39">
        <v>50.0</v>
      </c>
      <c r="AH46" s="162"/>
      <c r="AI46" s="162"/>
      <c r="AJ46" s="162"/>
      <c r="AK46" s="162"/>
      <c r="AZ46" s="39" t="s">
        <v>4703</v>
      </c>
      <c r="BI46" s="39" t="s">
        <v>4593</v>
      </c>
      <c r="BM46" s="39">
        <v>0.0</v>
      </c>
      <c r="BR46" s="39" t="s">
        <v>4726</v>
      </c>
      <c r="BS46" s="126" t="s">
        <v>4704</v>
      </c>
      <c r="BT46" s="126">
        <v>26.0</v>
      </c>
      <c r="BU46" s="126" t="s">
        <v>4728</v>
      </c>
      <c r="BV46" s="126">
        <v>20.0</v>
      </c>
      <c r="BW46" s="126">
        <v>2.0</v>
      </c>
      <c r="BX46" s="126" t="s">
        <v>4714</v>
      </c>
      <c r="BY46" s="126" t="s">
        <v>29</v>
      </c>
      <c r="BZ46" s="126" t="s">
        <v>29</v>
      </c>
      <c r="CA46" s="126" t="s">
        <v>29</v>
      </c>
      <c r="CB46" s="126" t="s">
        <v>4729</v>
      </c>
      <c r="CC46" s="126">
        <v>25.0</v>
      </c>
      <c r="CD46" s="126">
        <v>3.0</v>
      </c>
      <c r="CE46" s="126">
        <v>20.0</v>
      </c>
      <c r="CF46" s="126"/>
      <c r="CG46" s="126"/>
      <c r="CH46" s="126"/>
    </row>
    <row r="47" ht="18.75" customHeight="1">
      <c r="A47" s="39" t="s">
        <v>4732</v>
      </c>
      <c r="B47" s="39" t="s">
        <v>4589</v>
      </c>
      <c r="C47" s="102" t="s">
        <v>4733</v>
      </c>
      <c r="D47" s="39" t="s">
        <v>4730</v>
      </c>
      <c r="E47" s="102">
        <v>7.0</v>
      </c>
      <c r="F47" s="102">
        <v>1.0</v>
      </c>
      <c r="G47" s="102" t="s">
        <v>3064</v>
      </c>
      <c r="I47" s="39">
        <v>3.0</v>
      </c>
      <c r="J47" s="39" t="s">
        <v>29</v>
      </c>
      <c r="M47" s="39">
        <v>150.0</v>
      </c>
      <c r="P47" s="39">
        <v>150.0</v>
      </c>
      <c r="Q47" s="39">
        <v>75.0</v>
      </c>
      <c r="AH47" s="162"/>
      <c r="AI47" s="162"/>
      <c r="AJ47" s="162"/>
      <c r="AK47" s="162"/>
      <c r="AZ47" s="39" t="s">
        <v>4703</v>
      </c>
      <c r="BI47" s="39" t="s">
        <v>4593</v>
      </c>
      <c r="BM47" s="39">
        <v>0.0</v>
      </c>
      <c r="BR47" s="39" t="s">
        <v>4730</v>
      </c>
      <c r="BS47" s="126" t="s">
        <v>4704</v>
      </c>
      <c r="BT47" s="126">
        <v>24.0</v>
      </c>
      <c r="BU47" s="126" t="s">
        <v>4728</v>
      </c>
      <c r="BV47" s="126">
        <v>25.0</v>
      </c>
      <c r="BW47" s="126">
        <v>3.0</v>
      </c>
      <c r="BX47" s="126" t="s">
        <v>4717</v>
      </c>
      <c r="BY47" s="126" t="s">
        <v>29</v>
      </c>
      <c r="BZ47" s="126" t="s">
        <v>29</v>
      </c>
      <c r="CA47" s="126" t="s">
        <v>29</v>
      </c>
      <c r="CB47" s="126" t="s">
        <v>4729</v>
      </c>
      <c r="CC47" s="126">
        <v>25.0</v>
      </c>
      <c r="CD47" s="126">
        <v>5.0</v>
      </c>
      <c r="CE47" s="126">
        <v>25.0</v>
      </c>
      <c r="CF47" s="126"/>
      <c r="CG47" s="126"/>
      <c r="CH47" s="126"/>
    </row>
    <row r="48" ht="18.75" customHeight="1">
      <c r="A48" s="39" t="s">
        <v>4734</v>
      </c>
      <c r="B48" s="39" t="s">
        <v>4589</v>
      </c>
      <c r="C48" s="102" t="s">
        <v>4735</v>
      </c>
      <c r="E48" s="102">
        <v>3.0</v>
      </c>
      <c r="F48" s="102">
        <v>1.0</v>
      </c>
      <c r="G48" s="102" t="s">
        <v>3064</v>
      </c>
      <c r="I48" s="39">
        <v>1.0</v>
      </c>
      <c r="J48" s="39" t="s">
        <v>29</v>
      </c>
      <c r="M48" s="39">
        <v>50.0</v>
      </c>
      <c r="P48" s="39">
        <v>50.0</v>
      </c>
      <c r="Q48" s="39">
        <v>25.0</v>
      </c>
      <c r="AH48" s="162"/>
      <c r="AI48" s="162"/>
      <c r="AJ48" s="162"/>
      <c r="AK48" s="162"/>
      <c r="AZ48" s="39" t="s">
        <v>4703</v>
      </c>
      <c r="BI48" s="39" t="s">
        <v>4593</v>
      </c>
      <c r="BR48" s="39" t="s">
        <v>4701</v>
      </c>
      <c r="BS48" s="126" t="s">
        <v>4704</v>
      </c>
      <c r="BT48" s="126">
        <v>28.0</v>
      </c>
      <c r="BU48" s="126" t="s">
        <v>4736</v>
      </c>
      <c r="BV48" s="126">
        <v>10.0</v>
      </c>
      <c r="BW48" s="126">
        <v>1.0</v>
      </c>
      <c r="BX48" s="126" t="s">
        <v>4710</v>
      </c>
      <c r="BY48" s="126" t="s">
        <v>29</v>
      </c>
      <c r="BZ48" s="126" t="s">
        <v>29</v>
      </c>
      <c r="CA48" s="126" t="s">
        <v>29</v>
      </c>
      <c r="CB48" s="126" t="s">
        <v>4737</v>
      </c>
      <c r="CC48" s="126">
        <v>25.0</v>
      </c>
      <c r="CD48" s="126">
        <v>1.0</v>
      </c>
      <c r="CE48" s="126">
        <v>10.0</v>
      </c>
      <c r="CF48" s="126"/>
      <c r="CG48" s="126"/>
      <c r="CH48" s="126"/>
    </row>
    <row r="49" ht="18.75" customHeight="1">
      <c r="A49" s="39" t="s">
        <v>4738</v>
      </c>
      <c r="B49" s="39" t="s">
        <v>4589</v>
      </c>
      <c r="C49" s="102" t="s">
        <v>4739</v>
      </c>
      <c r="D49" s="39" t="s">
        <v>4734</v>
      </c>
      <c r="E49" s="102">
        <v>5.0</v>
      </c>
      <c r="F49" s="102">
        <v>1.0</v>
      </c>
      <c r="G49" s="102" t="s">
        <v>3064</v>
      </c>
      <c r="I49" s="39">
        <v>2.0</v>
      </c>
      <c r="J49" s="39" t="s">
        <v>29</v>
      </c>
      <c r="M49" s="39">
        <v>100.0</v>
      </c>
      <c r="P49" s="39">
        <v>100.0</v>
      </c>
      <c r="Q49" s="39">
        <v>50.0</v>
      </c>
      <c r="AH49" s="162"/>
      <c r="AI49" s="162"/>
      <c r="AJ49" s="162"/>
      <c r="AK49" s="162"/>
      <c r="AZ49" s="39" t="s">
        <v>4703</v>
      </c>
      <c r="BI49" s="39" t="s">
        <v>4593</v>
      </c>
      <c r="BM49" s="39">
        <v>0.0</v>
      </c>
      <c r="BR49" s="39" t="s">
        <v>4734</v>
      </c>
      <c r="BS49" s="126" t="s">
        <v>4704</v>
      </c>
      <c r="BT49" s="126">
        <v>26.0</v>
      </c>
      <c r="BU49" s="126" t="s">
        <v>4736</v>
      </c>
      <c r="BV49" s="126">
        <v>20.0</v>
      </c>
      <c r="BW49" s="126">
        <v>2.0</v>
      </c>
      <c r="BX49" s="126" t="s">
        <v>4714</v>
      </c>
      <c r="BY49" s="126" t="s">
        <v>29</v>
      </c>
      <c r="BZ49" s="126" t="s">
        <v>29</v>
      </c>
      <c r="CA49" s="126" t="s">
        <v>29</v>
      </c>
      <c r="CB49" s="126" t="s">
        <v>4737</v>
      </c>
      <c r="CC49" s="126">
        <v>25.0</v>
      </c>
      <c r="CD49" s="126">
        <v>3.0</v>
      </c>
      <c r="CE49" s="126">
        <v>20.0</v>
      </c>
      <c r="CF49" s="126"/>
      <c r="CG49" s="126"/>
      <c r="CH49" s="126"/>
    </row>
    <row r="50" ht="18.75" customHeight="1">
      <c r="A50" s="39" t="s">
        <v>4740</v>
      </c>
      <c r="B50" s="39" t="s">
        <v>4589</v>
      </c>
      <c r="C50" s="102" t="s">
        <v>4741</v>
      </c>
      <c r="D50" s="39" t="s">
        <v>4738</v>
      </c>
      <c r="E50" s="102">
        <v>7.0</v>
      </c>
      <c r="F50" s="102">
        <v>1.0</v>
      </c>
      <c r="G50" s="102" t="s">
        <v>3064</v>
      </c>
      <c r="I50" s="39">
        <v>3.0</v>
      </c>
      <c r="J50" s="39" t="s">
        <v>29</v>
      </c>
      <c r="M50" s="39">
        <v>150.0</v>
      </c>
      <c r="P50" s="39">
        <v>150.0</v>
      </c>
      <c r="Q50" s="39">
        <v>75.0</v>
      </c>
      <c r="AH50" s="162"/>
      <c r="AI50" s="162"/>
      <c r="AJ50" s="162"/>
      <c r="AK50" s="162"/>
      <c r="AZ50" s="39" t="s">
        <v>4703</v>
      </c>
      <c r="BI50" s="39" t="s">
        <v>4593</v>
      </c>
      <c r="BM50" s="39">
        <v>0.0</v>
      </c>
      <c r="BR50" s="39" t="s">
        <v>4738</v>
      </c>
      <c r="BS50" s="126" t="s">
        <v>4704</v>
      </c>
      <c r="BT50" s="126">
        <v>24.0</v>
      </c>
      <c r="BU50" s="126" t="s">
        <v>4736</v>
      </c>
      <c r="BV50" s="126">
        <v>25.0</v>
      </c>
      <c r="BW50" s="126">
        <v>3.0</v>
      </c>
      <c r="BX50" s="126" t="s">
        <v>4717</v>
      </c>
      <c r="BY50" s="126" t="s">
        <v>29</v>
      </c>
      <c r="BZ50" s="126" t="s">
        <v>29</v>
      </c>
      <c r="CA50" s="126" t="s">
        <v>29</v>
      </c>
      <c r="CB50" s="126" t="s">
        <v>4737</v>
      </c>
      <c r="CC50" s="126">
        <v>25.0</v>
      </c>
      <c r="CD50" s="126">
        <v>5.0</v>
      </c>
      <c r="CE50" s="126">
        <v>25.0</v>
      </c>
      <c r="CF50" s="126"/>
      <c r="CG50" s="126"/>
      <c r="CH50" s="126"/>
    </row>
    <row r="51" ht="18.75" customHeight="1">
      <c r="A51" s="39" t="s">
        <v>4742</v>
      </c>
      <c r="B51" s="39" t="s">
        <v>4589</v>
      </c>
      <c r="C51" s="102" t="s">
        <v>4743</v>
      </c>
      <c r="E51" s="102">
        <v>3.0</v>
      </c>
      <c r="F51" s="102">
        <v>1.0</v>
      </c>
      <c r="G51" s="102" t="s">
        <v>3064</v>
      </c>
      <c r="I51" s="39">
        <v>1.0</v>
      </c>
      <c r="J51" s="39" t="s">
        <v>29</v>
      </c>
      <c r="M51" s="39">
        <v>50.0</v>
      </c>
      <c r="P51" s="39">
        <v>50.0</v>
      </c>
      <c r="Q51" s="39">
        <v>25.0</v>
      </c>
      <c r="AH51" s="162"/>
      <c r="AI51" s="162"/>
      <c r="AJ51" s="162"/>
      <c r="AK51" s="162"/>
      <c r="AZ51" s="39" t="s">
        <v>4703</v>
      </c>
      <c r="BI51" s="39" t="s">
        <v>4593</v>
      </c>
      <c r="BR51" s="39" t="s">
        <v>4744</v>
      </c>
      <c r="BS51" s="126" t="s">
        <v>4704</v>
      </c>
      <c r="BT51" s="126">
        <v>28.0</v>
      </c>
      <c r="BU51" s="126" t="s">
        <v>3664</v>
      </c>
      <c r="BV51" s="126">
        <v>10.0</v>
      </c>
      <c r="BW51" s="126">
        <v>1.0</v>
      </c>
      <c r="BX51" s="126"/>
      <c r="BY51" s="126" t="s">
        <v>29</v>
      </c>
      <c r="BZ51" s="126" t="s">
        <v>29</v>
      </c>
      <c r="CA51" s="126" t="s">
        <v>29</v>
      </c>
      <c r="CB51" s="126" t="s">
        <v>4745</v>
      </c>
      <c r="CC51" s="126">
        <v>25.0</v>
      </c>
      <c r="CD51" s="126">
        <v>0.0</v>
      </c>
      <c r="CE51" s="126"/>
      <c r="CF51" s="126"/>
      <c r="CG51" s="126"/>
      <c r="CH51" s="126"/>
    </row>
    <row r="52" ht="18.75" customHeight="1">
      <c r="A52" s="39" t="s">
        <v>4746</v>
      </c>
      <c r="B52" s="39" t="s">
        <v>4589</v>
      </c>
      <c r="C52" s="102" t="s">
        <v>4747</v>
      </c>
      <c r="D52" s="39" t="s">
        <v>4742</v>
      </c>
      <c r="E52" s="102">
        <v>5.0</v>
      </c>
      <c r="F52" s="102">
        <v>1.0</v>
      </c>
      <c r="G52" s="102" t="s">
        <v>3064</v>
      </c>
      <c r="I52" s="39">
        <v>2.0</v>
      </c>
      <c r="J52" s="39" t="s">
        <v>29</v>
      </c>
      <c r="M52" s="39">
        <v>100.0</v>
      </c>
      <c r="P52" s="39">
        <v>100.0</v>
      </c>
      <c r="Q52" s="39">
        <v>50.0</v>
      </c>
      <c r="AH52" s="162"/>
      <c r="AI52" s="162"/>
      <c r="AJ52" s="162"/>
      <c r="AK52" s="162"/>
      <c r="AZ52" s="39" t="s">
        <v>4703</v>
      </c>
      <c r="BI52" s="39" t="s">
        <v>4593</v>
      </c>
      <c r="BM52" s="39">
        <v>0.0</v>
      </c>
      <c r="BR52" s="39" t="s">
        <v>4742</v>
      </c>
      <c r="BS52" s="126" t="s">
        <v>4704</v>
      </c>
      <c r="BT52" s="126">
        <v>26.0</v>
      </c>
      <c r="BU52" s="126" t="s">
        <v>3664</v>
      </c>
      <c r="BV52" s="126">
        <v>20.0</v>
      </c>
      <c r="BW52" s="126">
        <v>2.0</v>
      </c>
      <c r="BX52" s="126"/>
      <c r="BY52" s="126" t="s">
        <v>29</v>
      </c>
      <c r="BZ52" s="126" t="s">
        <v>29</v>
      </c>
      <c r="CA52" s="126" t="s">
        <v>29</v>
      </c>
      <c r="CB52" s="126" t="s">
        <v>4745</v>
      </c>
      <c r="CC52" s="126">
        <v>25.0</v>
      </c>
      <c r="CD52" s="126">
        <v>0.0</v>
      </c>
      <c r="CE52" s="126"/>
      <c r="CF52" s="126"/>
      <c r="CG52" s="126"/>
      <c r="CH52" s="126"/>
    </row>
    <row r="53" ht="18.75" customHeight="1">
      <c r="A53" s="39" t="s">
        <v>4748</v>
      </c>
      <c r="B53" s="39" t="s">
        <v>4589</v>
      </c>
      <c r="C53" s="102" t="s">
        <v>4749</v>
      </c>
      <c r="D53" s="39" t="s">
        <v>4746</v>
      </c>
      <c r="E53" s="102">
        <v>7.0</v>
      </c>
      <c r="F53" s="102">
        <v>1.0</v>
      </c>
      <c r="G53" s="102" t="s">
        <v>3064</v>
      </c>
      <c r="I53" s="39">
        <v>3.0</v>
      </c>
      <c r="J53" s="39" t="s">
        <v>29</v>
      </c>
      <c r="M53" s="39">
        <v>150.0</v>
      </c>
      <c r="P53" s="39">
        <v>150.0</v>
      </c>
      <c r="Q53" s="39">
        <v>75.0</v>
      </c>
      <c r="AH53" s="162"/>
      <c r="AI53" s="162"/>
      <c r="AJ53" s="162"/>
      <c r="AK53" s="162"/>
      <c r="AZ53" s="39" t="s">
        <v>4703</v>
      </c>
      <c r="BI53" s="39" t="s">
        <v>4593</v>
      </c>
      <c r="BM53" s="39">
        <v>0.0</v>
      </c>
      <c r="BR53" s="39" t="s">
        <v>4746</v>
      </c>
      <c r="BS53" s="126" t="s">
        <v>4704</v>
      </c>
      <c r="BT53" s="126">
        <v>24.0</v>
      </c>
      <c r="BU53" s="126" t="s">
        <v>3664</v>
      </c>
      <c r="BV53" s="126">
        <v>25.0</v>
      </c>
      <c r="BW53" s="126">
        <v>3.0</v>
      </c>
      <c r="BX53" s="126"/>
      <c r="BY53" s="126" t="s">
        <v>29</v>
      </c>
      <c r="BZ53" s="126" t="s">
        <v>29</v>
      </c>
      <c r="CA53" s="126" t="s">
        <v>29</v>
      </c>
      <c r="CB53" s="126" t="s">
        <v>4745</v>
      </c>
      <c r="CC53" s="126">
        <v>25.0</v>
      </c>
      <c r="CD53" s="126">
        <v>0.0</v>
      </c>
      <c r="CE53" s="126"/>
      <c r="CF53" s="126"/>
      <c r="CG53" s="126"/>
      <c r="CH53" s="126"/>
    </row>
    <row r="54" ht="18.75" customHeight="1">
      <c r="A54" s="39" t="s">
        <v>4750</v>
      </c>
      <c r="B54" s="39" t="s">
        <v>4589</v>
      </c>
      <c r="C54" s="102" t="s">
        <v>4751</v>
      </c>
      <c r="E54" s="102">
        <v>3.0</v>
      </c>
      <c r="F54" s="102">
        <v>1.0</v>
      </c>
      <c r="G54" s="102" t="s">
        <v>3064</v>
      </c>
      <c r="I54" s="39" t="s">
        <v>29</v>
      </c>
      <c r="J54" s="39">
        <v>1.0</v>
      </c>
      <c r="M54" s="39">
        <v>50.0</v>
      </c>
      <c r="P54" s="39">
        <v>50.0</v>
      </c>
      <c r="Q54" s="39">
        <v>25.0</v>
      </c>
      <c r="AH54" s="162"/>
      <c r="AI54" s="162"/>
      <c r="AJ54" s="162"/>
      <c r="AK54" s="162"/>
      <c r="AZ54" s="39" t="s">
        <v>4703</v>
      </c>
      <c r="BI54" s="39" t="s">
        <v>4593</v>
      </c>
      <c r="BR54" s="39" t="s">
        <v>4647</v>
      </c>
      <c r="BS54" s="126" t="s">
        <v>4752</v>
      </c>
      <c r="BT54" s="126">
        <v>28.0</v>
      </c>
      <c r="BU54" s="126" t="s">
        <v>1295</v>
      </c>
      <c r="BV54" s="126">
        <v>10.0</v>
      </c>
      <c r="BW54" s="126">
        <v>1.0</v>
      </c>
      <c r="BX54" s="126"/>
      <c r="BY54" s="126" t="s">
        <v>1295</v>
      </c>
      <c r="BZ54" s="126">
        <v>1.1</v>
      </c>
      <c r="CA54" s="126">
        <v>4.0</v>
      </c>
      <c r="CB54" s="126" t="s">
        <v>4753</v>
      </c>
      <c r="CC54" s="126">
        <v>25.0</v>
      </c>
      <c r="CD54" s="126">
        <v>0.0</v>
      </c>
      <c r="CE54" s="126"/>
      <c r="CF54" s="126"/>
      <c r="CG54" s="126"/>
      <c r="CH54" s="126"/>
    </row>
    <row r="55" ht="18.75" customHeight="1">
      <c r="A55" s="39" t="s">
        <v>4754</v>
      </c>
      <c r="B55" s="39" t="s">
        <v>4589</v>
      </c>
      <c r="C55" s="102" t="s">
        <v>4755</v>
      </c>
      <c r="D55" s="39" t="s">
        <v>4750</v>
      </c>
      <c r="E55" s="102">
        <v>5.0</v>
      </c>
      <c r="F55" s="102">
        <v>1.0</v>
      </c>
      <c r="G55" s="102" t="s">
        <v>3064</v>
      </c>
      <c r="I55" s="39" t="s">
        <v>29</v>
      </c>
      <c r="J55" s="39">
        <v>2.0</v>
      </c>
      <c r="M55" s="39">
        <v>100.0</v>
      </c>
      <c r="P55" s="39">
        <v>100.0</v>
      </c>
      <c r="Q55" s="39">
        <v>50.0</v>
      </c>
      <c r="AH55" s="162"/>
      <c r="AI55" s="162"/>
      <c r="AJ55" s="162"/>
      <c r="AK55" s="162"/>
      <c r="AZ55" s="39" t="s">
        <v>4703</v>
      </c>
      <c r="BI55" s="39" t="s">
        <v>4593</v>
      </c>
      <c r="BM55" s="39">
        <v>0.0</v>
      </c>
      <c r="BR55" s="39" t="s">
        <v>4750</v>
      </c>
      <c r="BS55" s="126" t="s">
        <v>4752</v>
      </c>
      <c r="BT55" s="126">
        <v>26.0</v>
      </c>
      <c r="BU55" s="126" t="s">
        <v>1295</v>
      </c>
      <c r="BV55" s="126">
        <v>20.0</v>
      </c>
      <c r="BW55" s="126">
        <v>2.0</v>
      </c>
      <c r="BX55" s="126"/>
      <c r="BY55" s="126" t="s">
        <v>1295</v>
      </c>
      <c r="BZ55" s="126">
        <v>1.25</v>
      </c>
      <c r="CA55" s="126">
        <v>5.0</v>
      </c>
      <c r="CB55" s="126" t="s">
        <v>4753</v>
      </c>
      <c r="CC55" s="126">
        <v>25.0</v>
      </c>
      <c r="CD55" s="126">
        <v>0.0</v>
      </c>
      <c r="CE55" s="126"/>
      <c r="CF55" s="126"/>
      <c r="CG55" s="126"/>
      <c r="CH55" s="126"/>
    </row>
    <row r="56" ht="18.75" customHeight="1">
      <c r="A56" s="39" t="s">
        <v>4756</v>
      </c>
      <c r="B56" s="39" t="s">
        <v>4589</v>
      </c>
      <c r="C56" s="102" t="s">
        <v>4757</v>
      </c>
      <c r="D56" s="39" t="s">
        <v>4754</v>
      </c>
      <c r="E56" s="102">
        <v>7.0</v>
      </c>
      <c r="F56" s="102">
        <v>1.0</v>
      </c>
      <c r="G56" s="102" t="s">
        <v>3064</v>
      </c>
      <c r="I56" s="39" t="s">
        <v>29</v>
      </c>
      <c r="J56" s="39">
        <v>3.0</v>
      </c>
      <c r="M56" s="39">
        <v>150.0</v>
      </c>
      <c r="P56" s="39">
        <v>150.0</v>
      </c>
      <c r="Q56" s="39">
        <v>75.0</v>
      </c>
      <c r="AH56" s="162"/>
      <c r="AI56" s="162"/>
      <c r="AJ56" s="162"/>
      <c r="AK56" s="162"/>
      <c r="AZ56" s="39" t="s">
        <v>4703</v>
      </c>
      <c r="BI56" s="39" t="s">
        <v>4593</v>
      </c>
      <c r="BM56" s="39">
        <v>0.0</v>
      </c>
      <c r="BR56" s="39" t="s">
        <v>4754</v>
      </c>
      <c r="BS56" s="126" t="s">
        <v>4752</v>
      </c>
      <c r="BT56" s="126">
        <v>24.0</v>
      </c>
      <c r="BU56" s="126" t="s">
        <v>1295</v>
      </c>
      <c r="BV56" s="126">
        <v>25.0</v>
      </c>
      <c r="BW56" s="126">
        <v>3.0</v>
      </c>
      <c r="BX56" s="126"/>
      <c r="BY56" s="126" t="s">
        <v>1295</v>
      </c>
      <c r="BZ56" s="126">
        <v>1.5</v>
      </c>
      <c r="CA56" s="126">
        <v>6.0</v>
      </c>
      <c r="CB56" s="126" t="s">
        <v>4753</v>
      </c>
      <c r="CC56" s="126">
        <v>25.0</v>
      </c>
      <c r="CD56" s="126">
        <v>0.0</v>
      </c>
      <c r="CE56" s="126"/>
      <c r="CF56" s="126"/>
      <c r="CG56" s="126"/>
      <c r="CH56" s="126"/>
    </row>
    <row r="57" ht="18.75" customHeight="1">
      <c r="A57" s="39" t="s">
        <v>4758</v>
      </c>
      <c r="B57" s="39" t="s">
        <v>4589</v>
      </c>
      <c r="C57" s="102" t="s">
        <v>4759</v>
      </c>
      <c r="E57" s="102">
        <v>3.0</v>
      </c>
      <c r="F57" s="102">
        <v>1.0</v>
      </c>
      <c r="G57" s="102" t="s">
        <v>3064</v>
      </c>
      <c r="I57" s="39" t="s">
        <v>29</v>
      </c>
      <c r="J57" s="39">
        <v>1.0</v>
      </c>
      <c r="M57" s="39">
        <v>50.0</v>
      </c>
      <c r="P57" s="39">
        <v>50.0</v>
      </c>
      <c r="Q57" s="39">
        <v>25.0</v>
      </c>
      <c r="AH57" s="162"/>
      <c r="AI57" s="162"/>
      <c r="AJ57" s="162"/>
      <c r="AK57" s="162"/>
      <c r="AZ57" s="39" t="s">
        <v>4703</v>
      </c>
      <c r="BI57" s="39" t="s">
        <v>4593</v>
      </c>
      <c r="BR57" s="39" t="s">
        <v>4647</v>
      </c>
      <c r="BS57" s="126" t="s">
        <v>4752</v>
      </c>
      <c r="BT57" s="126">
        <v>28.0</v>
      </c>
      <c r="BU57" s="126" t="s">
        <v>1280</v>
      </c>
      <c r="BV57" s="126">
        <v>10.0</v>
      </c>
      <c r="BW57" s="126">
        <v>1.0</v>
      </c>
      <c r="BX57" s="126"/>
      <c r="BY57" s="126" t="s">
        <v>1280</v>
      </c>
      <c r="BZ57" s="126">
        <v>1.1</v>
      </c>
      <c r="CA57" s="126">
        <v>4.0</v>
      </c>
      <c r="CB57" s="126" t="s">
        <v>4760</v>
      </c>
      <c r="CC57" s="126">
        <v>25.0</v>
      </c>
      <c r="CD57" s="126">
        <v>0.0</v>
      </c>
      <c r="CE57" s="126"/>
      <c r="CF57" s="126"/>
      <c r="CG57" s="126"/>
      <c r="CH57" s="126"/>
    </row>
    <row r="58" ht="18.75" customHeight="1">
      <c r="A58" s="39" t="s">
        <v>4761</v>
      </c>
      <c r="B58" s="39" t="s">
        <v>4589</v>
      </c>
      <c r="C58" s="102" t="s">
        <v>4762</v>
      </c>
      <c r="D58" s="39" t="s">
        <v>4758</v>
      </c>
      <c r="E58" s="102">
        <v>5.0</v>
      </c>
      <c r="F58" s="102">
        <v>1.0</v>
      </c>
      <c r="G58" s="102" t="s">
        <v>3064</v>
      </c>
      <c r="I58" s="39" t="s">
        <v>29</v>
      </c>
      <c r="J58" s="39">
        <v>2.0</v>
      </c>
      <c r="M58" s="39">
        <v>100.0</v>
      </c>
      <c r="P58" s="39">
        <v>100.0</v>
      </c>
      <c r="Q58" s="39">
        <v>50.0</v>
      </c>
      <c r="AH58" s="162"/>
      <c r="AI58" s="162"/>
      <c r="AJ58" s="162"/>
      <c r="AK58" s="162"/>
      <c r="AZ58" s="39" t="s">
        <v>4703</v>
      </c>
      <c r="BI58" s="39" t="s">
        <v>4593</v>
      </c>
      <c r="BM58" s="39">
        <v>0.0</v>
      </c>
      <c r="BR58" s="39" t="s">
        <v>4758</v>
      </c>
      <c r="BS58" s="126" t="s">
        <v>4752</v>
      </c>
      <c r="BT58" s="126">
        <v>26.0</v>
      </c>
      <c r="BU58" s="126" t="s">
        <v>1280</v>
      </c>
      <c r="BV58" s="126">
        <v>20.0</v>
      </c>
      <c r="BW58" s="126">
        <v>2.0</v>
      </c>
      <c r="BX58" s="126"/>
      <c r="BY58" s="126" t="s">
        <v>1280</v>
      </c>
      <c r="BZ58" s="126">
        <v>1.25</v>
      </c>
      <c r="CA58" s="126">
        <v>5.0</v>
      </c>
      <c r="CB58" s="126" t="s">
        <v>4760</v>
      </c>
      <c r="CC58" s="126">
        <v>25.0</v>
      </c>
      <c r="CD58" s="126">
        <v>0.0</v>
      </c>
      <c r="CE58" s="126"/>
      <c r="CF58" s="126"/>
      <c r="CG58" s="126"/>
      <c r="CH58" s="126"/>
    </row>
    <row r="59" ht="18.75" customHeight="1">
      <c r="A59" s="39" t="s">
        <v>4763</v>
      </c>
      <c r="B59" s="39" t="s">
        <v>4589</v>
      </c>
      <c r="C59" s="102" t="s">
        <v>4764</v>
      </c>
      <c r="D59" s="39" t="s">
        <v>4761</v>
      </c>
      <c r="E59" s="102">
        <v>7.0</v>
      </c>
      <c r="F59" s="102">
        <v>1.0</v>
      </c>
      <c r="G59" s="102" t="s">
        <v>3064</v>
      </c>
      <c r="I59" s="39" t="s">
        <v>29</v>
      </c>
      <c r="J59" s="39">
        <v>3.0</v>
      </c>
      <c r="M59" s="39">
        <v>150.0</v>
      </c>
      <c r="P59" s="39">
        <v>150.0</v>
      </c>
      <c r="Q59" s="39">
        <v>75.0</v>
      </c>
      <c r="AH59" s="162"/>
      <c r="AI59" s="162"/>
      <c r="AJ59" s="162"/>
      <c r="AK59" s="162"/>
      <c r="AZ59" s="39" t="s">
        <v>4703</v>
      </c>
      <c r="BI59" s="39" t="s">
        <v>4593</v>
      </c>
      <c r="BM59" s="39">
        <v>0.0</v>
      </c>
      <c r="BR59" s="39" t="s">
        <v>4761</v>
      </c>
      <c r="BS59" s="126" t="s">
        <v>4752</v>
      </c>
      <c r="BT59" s="126">
        <v>24.0</v>
      </c>
      <c r="BU59" s="126" t="s">
        <v>1280</v>
      </c>
      <c r="BV59" s="126">
        <v>25.0</v>
      </c>
      <c r="BW59" s="126">
        <v>3.0</v>
      </c>
      <c r="BX59" s="126"/>
      <c r="BY59" s="126" t="s">
        <v>1280</v>
      </c>
      <c r="BZ59" s="126">
        <v>1.5</v>
      </c>
      <c r="CA59" s="126">
        <v>6.0</v>
      </c>
      <c r="CB59" s="126" t="s">
        <v>4760</v>
      </c>
      <c r="CC59" s="126">
        <v>25.0</v>
      </c>
      <c r="CD59" s="126">
        <v>0.0</v>
      </c>
      <c r="CE59" s="126"/>
      <c r="CF59" s="126"/>
      <c r="CG59" s="126"/>
      <c r="CH59" s="126"/>
    </row>
    <row r="60" ht="18.75" customHeight="1">
      <c r="C60" s="64"/>
      <c r="E60" s="64"/>
      <c r="F60" s="64"/>
      <c r="G60" s="64"/>
      <c r="AH60" s="162"/>
      <c r="AI60" s="162"/>
      <c r="AJ60" s="162"/>
      <c r="AK60" s="162"/>
      <c r="BS60" s="131"/>
      <c r="BT60" s="131"/>
      <c r="BU60" s="131"/>
      <c r="BV60" s="131"/>
      <c r="BW60" s="131"/>
      <c r="BX60" s="131"/>
      <c r="BY60" s="131"/>
      <c r="BZ60" s="131"/>
      <c r="CA60" s="131"/>
      <c r="CB60" s="131"/>
      <c r="CC60" s="131"/>
      <c r="CD60" s="131"/>
      <c r="CE60" s="131"/>
      <c r="CF60" s="131"/>
      <c r="CG60" s="131"/>
      <c r="CH60" s="131"/>
    </row>
    <row r="61" ht="18.75" customHeight="1">
      <c r="C61" s="64"/>
      <c r="E61" s="64"/>
      <c r="F61" s="64"/>
      <c r="G61" s="64"/>
      <c r="AH61" s="162"/>
      <c r="AI61" s="162"/>
      <c r="AJ61" s="162"/>
      <c r="AK61" s="162"/>
      <c r="BS61" s="131"/>
      <c r="BT61" s="131"/>
      <c r="BU61" s="131"/>
      <c r="BV61" s="131"/>
      <c r="BW61" s="131"/>
      <c r="BX61" s="131"/>
      <c r="BY61" s="131"/>
      <c r="BZ61" s="131"/>
      <c r="CA61" s="131"/>
      <c r="CB61" s="131"/>
      <c r="CC61" s="131"/>
      <c r="CD61" s="131"/>
      <c r="CE61" s="131"/>
      <c r="CF61" s="131"/>
      <c r="CG61" s="131"/>
      <c r="CH61" s="131"/>
    </row>
    <row r="62" ht="18.75" customHeight="1">
      <c r="C62" s="64"/>
      <c r="E62" s="64"/>
      <c r="F62" s="64"/>
      <c r="G62" s="64"/>
      <c r="AH62" s="162"/>
      <c r="AI62" s="162"/>
      <c r="AJ62" s="162"/>
      <c r="AK62" s="162"/>
      <c r="BS62" s="131"/>
      <c r="BT62" s="131"/>
      <c r="BU62" s="131"/>
      <c r="BV62" s="131"/>
      <c r="BW62" s="131"/>
      <c r="BX62" s="131"/>
      <c r="BY62" s="131"/>
      <c r="BZ62" s="131"/>
      <c r="CA62" s="131"/>
      <c r="CB62" s="131"/>
      <c r="CC62" s="131"/>
      <c r="CD62" s="131"/>
      <c r="CE62" s="131"/>
      <c r="CF62" s="131"/>
      <c r="CG62" s="131"/>
      <c r="CH62" s="131"/>
    </row>
    <row r="63" ht="18.75" customHeight="1">
      <c r="C63" s="64"/>
      <c r="E63" s="64"/>
      <c r="F63" s="64"/>
      <c r="G63" s="64"/>
      <c r="AH63" s="162"/>
      <c r="AI63" s="162"/>
      <c r="AJ63" s="162"/>
      <c r="AK63" s="162"/>
      <c r="BS63" s="131"/>
      <c r="BT63" s="131"/>
      <c r="BU63" s="131"/>
      <c r="BV63" s="131"/>
      <c r="BW63" s="131"/>
      <c r="BX63" s="131"/>
      <c r="BY63" s="131"/>
      <c r="BZ63" s="131"/>
      <c r="CA63" s="131"/>
      <c r="CB63" s="131"/>
      <c r="CC63" s="131"/>
      <c r="CD63" s="131"/>
      <c r="CE63" s="131"/>
      <c r="CF63" s="131"/>
      <c r="CG63" s="131"/>
      <c r="CH63" s="131"/>
    </row>
    <row r="64" ht="18.75" customHeight="1">
      <c r="C64" s="64"/>
      <c r="E64" s="64"/>
      <c r="F64" s="64"/>
      <c r="G64" s="64"/>
      <c r="AH64" s="162"/>
      <c r="AI64" s="162"/>
      <c r="AJ64" s="162"/>
      <c r="AK64" s="162"/>
      <c r="BS64" s="131"/>
      <c r="BT64" s="131"/>
      <c r="BU64" s="131"/>
      <c r="BV64" s="131"/>
      <c r="BW64" s="131"/>
      <c r="BX64" s="131"/>
      <c r="BY64" s="131"/>
      <c r="BZ64" s="131"/>
      <c r="CA64" s="131"/>
      <c r="CB64" s="131"/>
      <c r="CC64" s="131"/>
      <c r="CD64" s="131"/>
      <c r="CE64" s="131"/>
      <c r="CF64" s="131"/>
      <c r="CG64" s="131"/>
      <c r="CH64" s="131"/>
    </row>
    <row r="65" ht="18.75" customHeight="1">
      <c r="C65" s="64"/>
      <c r="E65" s="64"/>
      <c r="F65" s="64"/>
      <c r="G65" s="64"/>
      <c r="AH65" s="162"/>
      <c r="AI65" s="162"/>
      <c r="AJ65" s="162"/>
      <c r="AK65" s="162"/>
      <c r="BS65" s="131"/>
      <c r="BT65" s="131"/>
      <c r="BU65" s="131"/>
      <c r="BV65" s="131"/>
      <c r="BW65" s="131"/>
      <c r="BX65" s="131"/>
      <c r="BY65" s="131"/>
      <c r="BZ65" s="131"/>
      <c r="CA65" s="131"/>
      <c r="CB65" s="131"/>
      <c r="CC65" s="131"/>
      <c r="CD65" s="131"/>
      <c r="CE65" s="131"/>
      <c r="CF65" s="131"/>
      <c r="CG65" s="131"/>
      <c r="CH65" s="131"/>
    </row>
    <row r="66" ht="18.75" customHeight="1">
      <c r="C66" s="64"/>
      <c r="E66" s="64"/>
      <c r="F66" s="64"/>
      <c r="G66" s="64"/>
      <c r="AH66" s="162"/>
      <c r="AI66" s="162"/>
      <c r="AJ66" s="162"/>
      <c r="AK66" s="162"/>
      <c r="BS66" s="131"/>
      <c r="BT66" s="131"/>
      <c r="BU66" s="131"/>
      <c r="BV66" s="131"/>
      <c r="BW66" s="131"/>
      <c r="BX66" s="131"/>
      <c r="BY66" s="131"/>
      <c r="BZ66" s="131"/>
      <c r="CA66" s="131"/>
      <c r="CB66" s="131"/>
      <c r="CC66" s="131"/>
      <c r="CD66" s="131"/>
      <c r="CE66" s="131"/>
      <c r="CF66" s="131"/>
      <c r="CG66" s="131"/>
      <c r="CH66" s="131"/>
    </row>
    <row r="67" ht="18.75" customHeight="1">
      <c r="C67" s="64"/>
      <c r="E67" s="64"/>
      <c r="F67" s="64"/>
      <c r="G67" s="64"/>
      <c r="AH67" s="162"/>
      <c r="AI67" s="162"/>
      <c r="AJ67" s="162"/>
      <c r="AK67" s="162"/>
      <c r="BS67" s="131"/>
      <c r="BT67" s="131"/>
      <c r="BU67" s="131"/>
      <c r="BV67" s="131"/>
      <c r="BW67" s="131"/>
      <c r="BX67" s="131"/>
      <c r="BY67" s="131"/>
      <c r="BZ67" s="131"/>
      <c r="CA67" s="131"/>
      <c r="CB67" s="131"/>
      <c r="CC67" s="131"/>
      <c r="CD67" s="131"/>
      <c r="CE67" s="131"/>
      <c r="CF67" s="131"/>
      <c r="CG67" s="131"/>
      <c r="CH67" s="131"/>
    </row>
    <row r="68" ht="18.75" customHeight="1">
      <c r="C68" s="64"/>
      <c r="E68" s="64"/>
      <c r="F68" s="64"/>
      <c r="G68" s="64"/>
      <c r="AH68" s="162"/>
      <c r="AI68" s="162"/>
      <c r="AJ68" s="162"/>
      <c r="AK68" s="162"/>
      <c r="BS68" s="131"/>
      <c r="BT68" s="131"/>
      <c r="BU68" s="131"/>
      <c r="BV68" s="131"/>
      <c r="BW68" s="131"/>
      <c r="BX68" s="131"/>
      <c r="BY68" s="131"/>
      <c r="BZ68" s="131"/>
      <c r="CA68" s="131"/>
      <c r="CB68" s="131"/>
      <c r="CC68" s="131"/>
      <c r="CD68" s="131"/>
      <c r="CE68" s="131"/>
      <c r="CF68" s="131"/>
      <c r="CG68" s="131"/>
      <c r="CH68" s="131"/>
    </row>
    <row r="69" ht="18.75" customHeight="1">
      <c r="C69" s="64"/>
      <c r="E69" s="64"/>
      <c r="F69" s="64"/>
      <c r="G69" s="64"/>
      <c r="AH69" s="162"/>
      <c r="AI69" s="162"/>
      <c r="AJ69" s="162"/>
      <c r="AK69" s="162"/>
      <c r="BS69" s="131"/>
      <c r="BT69" s="131"/>
      <c r="BU69" s="131"/>
      <c r="BV69" s="131"/>
      <c r="BW69" s="131"/>
      <c r="BX69" s="131"/>
      <c r="BY69" s="131"/>
      <c r="BZ69" s="131"/>
      <c r="CA69" s="131"/>
      <c r="CB69" s="131"/>
      <c r="CC69" s="131"/>
      <c r="CD69" s="131"/>
      <c r="CE69" s="131"/>
      <c r="CF69" s="131"/>
      <c r="CG69" s="131"/>
      <c r="CH69" s="131"/>
    </row>
    <row r="70" ht="18.75" customHeight="1">
      <c r="C70" s="64"/>
      <c r="E70" s="64"/>
      <c r="F70" s="64"/>
      <c r="G70" s="64"/>
      <c r="AH70" s="162"/>
      <c r="AI70" s="162"/>
      <c r="AJ70" s="162"/>
      <c r="AK70" s="162"/>
      <c r="BS70" s="131"/>
      <c r="BT70" s="131"/>
      <c r="BU70" s="131"/>
      <c r="BV70" s="131"/>
      <c r="BW70" s="131"/>
      <c r="BX70" s="131"/>
      <c r="BY70" s="131"/>
      <c r="BZ70" s="131"/>
      <c r="CA70" s="131"/>
      <c r="CB70" s="131"/>
      <c r="CC70" s="131"/>
      <c r="CD70" s="131"/>
      <c r="CE70" s="131"/>
      <c r="CF70" s="131"/>
      <c r="CG70" s="131"/>
      <c r="CH70" s="131"/>
    </row>
    <row r="71" ht="18.75" customHeight="1">
      <c r="C71" s="64"/>
      <c r="E71" s="64"/>
      <c r="F71" s="64"/>
      <c r="G71" s="64"/>
      <c r="AH71" s="162"/>
      <c r="AI71" s="162"/>
      <c r="AJ71" s="162"/>
      <c r="AK71" s="162"/>
      <c r="BS71" s="131"/>
      <c r="BT71" s="131"/>
      <c r="BU71" s="131"/>
      <c r="BV71" s="131"/>
      <c r="BW71" s="131"/>
      <c r="BX71" s="131"/>
      <c r="BY71" s="131"/>
      <c r="BZ71" s="131"/>
      <c r="CA71" s="131"/>
      <c r="CB71" s="131"/>
      <c r="CC71" s="131"/>
      <c r="CD71" s="131"/>
      <c r="CE71" s="131"/>
      <c r="CF71" s="131"/>
      <c r="CG71" s="131"/>
      <c r="CH71" s="131"/>
    </row>
    <row r="72" ht="18.75" customHeight="1">
      <c r="C72" s="64"/>
      <c r="E72" s="64"/>
      <c r="F72" s="64"/>
      <c r="G72" s="64"/>
      <c r="AH72" s="162"/>
      <c r="AI72" s="162"/>
      <c r="AJ72" s="162"/>
      <c r="AK72" s="162"/>
      <c r="BS72" s="131"/>
      <c r="BT72" s="131"/>
      <c r="BU72" s="131"/>
      <c r="BV72" s="131"/>
      <c r="BW72" s="131"/>
      <c r="BX72" s="131"/>
      <c r="BY72" s="131"/>
      <c r="BZ72" s="131"/>
      <c r="CA72" s="131"/>
      <c r="CB72" s="131"/>
      <c r="CC72" s="131"/>
      <c r="CD72" s="131"/>
      <c r="CE72" s="131"/>
      <c r="CF72" s="131"/>
      <c r="CG72" s="131"/>
      <c r="CH72" s="131"/>
    </row>
    <row r="73" ht="18.75" customHeight="1">
      <c r="C73" s="64"/>
      <c r="E73" s="64"/>
      <c r="F73" s="64"/>
      <c r="G73" s="64"/>
      <c r="AH73" s="162"/>
      <c r="AI73" s="162"/>
      <c r="AJ73" s="162"/>
      <c r="AK73" s="162"/>
      <c r="BS73" s="131"/>
      <c r="BT73" s="131"/>
      <c r="BU73" s="131"/>
      <c r="BV73" s="131"/>
      <c r="BW73" s="131"/>
      <c r="BX73" s="131"/>
      <c r="BY73" s="131"/>
      <c r="BZ73" s="131"/>
      <c r="CA73" s="131"/>
      <c r="CB73" s="131"/>
      <c r="CC73" s="131"/>
      <c r="CD73" s="131"/>
      <c r="CE73" s="131"/>
      <c r="CF73" s="131"/>
      <c r="CG73" s="131"/>
      <c r="CH73" s="131"/>
    </row>
    <row r="74" ht="18.75" customHeight="1">
      <c r="C74" s="64"/>
      <c r="E74" s="64"/>
      <c r="F74" s="64"/>
      <c r="G74" s="64"/>
      <c r="AH74" s="162"/>
      <c r="AI74" s="162"/>
      <c r="AJ74" s="162"/>
      <c r="AK74" s="162"/>
      <c r="BS74" s="131"/>
      <c r="BT74" s="131"/>
      <c r="BU74" s="131"/>
      <c r="BV74" s="131"/>
      <c r="BW74" s="131"/>
      <c r="BX74" s="131"/>
      <c r="BY74" s="131"/>
      <c r="BZ74" s="131"/>
      <c r="CA74" s="131"/>
      <c r="CB74" s="131"/>
      <c r="CC74" s="131"/>
      <c r="CD74" s="131"/>
      <c r="CE74" s="131"/>
      <c r="CF74" s="131"/>
      <c r="CG74" s="131"/>
      <c r="CH74" s="131"/>
    </row>
    <row r="75" ht="18.75" customHeight="1">
      <c r="C75" s="64"/>
      <c r="E75" s="64"/>
      <c r="F75" s="64"/>
      <c r="G75" s="64"/>
      <c r="AH75" s="162"/>
      <c r="AI75" s="162"/>
      <c r="AJ75" s="162"/>
      <c r="AK75" s="162"/>
      <c r="BS75" s="131"/>
      <c r="BT75" s="131"/>
      <c r="BU75" s="131"/>
      <c r="BV75" s="131"/>
      <c r="BW75" s="131"/>
      <c r="BX75" s="131"/>
      <c r="BY75" s="131"/>
      <c r="BZ75" s="131"/>
      <c r="CA75" s="131"/>
      <c r="CB75" s="131"/>
      <c r="CC75" s="131"/>
      <c r="CD75" s="131"/>
      <c r="CE75" s="131"/>
      <c r="CF75" s="131"/>
      <c r="CG75" s="131"/>
      <c r="CH75" s="131"/>
    </row>
    <row r="76" ht="18.75" customHeight="1">
      <c r="C76" s="64"/>
      <c r="E76" s="64"/>
      <c r="F76" s="64"/>
      <c r="G76" s="64"/>
      <c r="AH76" s="162"/>
      <c r="AI76" s="162"/>
      <c r="AJ76" s="162"/>
      <c r="AK76" s="162"/>
      <c r="BS76" s="131"/>
      <c r="BT76" s="131"/>
      <c r="BU76" s="131"/>
      <c r="BV76" s="131"/>
      <c r="BW76" s="131"/>
      <c r="BX76" s="131"/>
      <c r="BY76" s="131"/>
      <c r="BZ76" s="131"/>
      <c r="CA76" s="131"/>
      <c r="CB76" s="131"/>
      <c r="CC76" s="131"/>
      <c r="CD76" s="131"/>
      <c r="CE76" s="131"/>
      <c r="CF76" s="131"/>
      <c r="CG76" s="131"/>
      <c r="CH76" s="131"/>
    </row>
    <row r="77" ht="18.75" customHeight="1">
      <c r="C77" s="64"/>
      <c r="E77" s="64"/>
      <c r="F77" s="64"/>
      <c r="G77" s="64"/>
      <c r="AH77" s="162"/>
      <c r="AI77" s="162"/>
      <c r="AJ77" s="162"/>
      <c r="AK77" s="162"/>
      <c r="BS77" s="131"/>
      <c r="BT77" s="131"/>
      <c r="BU77" s="131"/>
      <c r="BV77" s="131"/>
      <c r="BW77" s="131"/>
      <c r="BX77" s="131"/>
      <c r="BY77" s="131"/>
      <c r="BZ77" s="131"/>
      <c r="CA77" s="131"/>
      <c r="CB77" s="131"/>
      <c r="CC77" s="131"/>
      <c r="CD77" s="131"/>
      <c r="CE77" s="131"/>
      <c r="CF77" s="131"/>
      <c r="CG77" s="131"/>
      <c r="CH77" s="131"/>
    </row>
    <row r="78" ht="18.75" customHeight="1">
      <c r="C78" s="64"/>
      <c r="E78" s="64"/>
      <c r="F78" s="64"/>
      <c r="G78" s="64"/>
      <c r="AH78" s="162"/>
      <c r="AI78" s="162"/>
      <c r="AJ78" s="162"/>
      <c r="AK78" s="162"/>
      <c r="BS78" s="131"/>
      <c r="BT78" s="131"/>
      <c r="BU78" s="131"/>
      <c r="BV78" s="131"/>
      <c r="BW78" s="131"/>
      <c r="BX78" s="131"/>
      <c r="BY78" s="131"/>
      <c r="BZ78" s="131"/>
      <c r="CA78" s="131"/>
      <c r="CB78" s="131"/>
      <c r="CC78" s="131"/>
      <c r="CD78" s="131"/>
      <c r="CE78" s="131"/>
      <c r="CF78" s="131"/>
      <c r="CG78" s="131"/>
      <c r="CH78" s="131"/>
    </row>
    <row r="79" ht="18.75" customHeight="1">
      <c r="C79" s="64"/>
      <c r="E79" s="64"/>
      <c r="F79" s="64"/>
      <c r="G79" s="64"/>
      <c r="AH79" s="162"/>
      <c r="AI79" s="162"/>
      <c r="AJ79" s="162"/>
      <c r="AK79" s="162"/>
      <c r="BS79" s="131"/>
      <c r="BT79" s="131"/>
      <c r="BU79" s="131"/>
      <c r="BV79" s="131"/>
      <c r="BW79" s="131"/>
      <c r="BX79" s="131"/>
      <c r="BY79" s="131"/>
      <c r="BZ79" s="131"/>
      <c r="CA79" s="131"/>
      <c r="CB79" s="131"/>
      <c r="CC79" s="131"/>
      <c r="CD79" s="131"/>
      <c r="CE79" s="131"/>
      <c r="CF79" s="131"/>
      <c r="CG79" s="131"/>
      <c r="CH79" s="131"/>
    </row>
    <row r="80" ht="18.75" customHeight="1">
      <c r="C80" s="64"/>
      <c r="E80" s="64"/>
      <c r="F80" s="64"/>
      <c r="G80" s="64"/>
      <c r="AH80" s="162"/>
      <c r="AI80" s="162"/>
      <c r="AJ80" s="162"/>
      <c r="AK80" s="162"/>
      <c r="BS80" s="131"/>
      <c r="BT80" s="131"/>
      <c r="BU80" s="131"/>
      <c r="BV80" s="131"/>
      <c r="BW80" s="131"/>
      <c r="BX80" s="131"/>
      <c r="BY80" s="131"/>
      <c r="BZ80" s="131"/>
      <c r="CA80" s="131"/>
      <c r="CB80" s="131"/>
      <c r="CC80" s="131"/>
      <c r="CD80" s="131"/>
      <c r="CE80" s="131"/>
      <c r="CF80" s="131"/>
      <c r="CG80" s="131"/>
      <c r="CH80" s="131"/>
    </row>
    <row r="81" ht="18.75" customHeight="1">
      <c r="C81" s="64"/>
      <c r="E81" s="64"/>
      <c r="F81" s="64"/>
      <c r="G81" s="64"/>
      <c r="AH81" s="162"/>
      <c r="AI81" s="162"/>
      <c r="AJ81" s="162"/>
      <c r="AK81" s="162"/>
      <c r="BS81" s="131"/>
      <c r="BT81" s="131"/>
      <c r="BU81" s="131"/>
      <c r="BV81" s="131"/>
      <c r="BW81" s="131"/>
      <c r="BX81" s="131"/>
      <c r="BY81" s="131"/>
      <c r="BZ81" s="131"/>
      <c r="CA81" s="131"/>
      <c r="CB81" s="131"/>
      <c r="CC81" s="131"/>
      <c r="CD81" s="131"/>
      <c r="CE81" s="131"/>
      <c r="CF81" s="131"/>
      <c r="CG81" s="131"/>
      <c r="CH81" s="131"/>
    </row>
    <row r="82" ht="18.75" customHeight="1">
      <c r="C82" s="64"/>
      <c r="E82" s="64"/>
      <c r="F82" s="64"/>
      <c r="G82" s="64"/>
      <c r="AH82" s="162"/>
      <c r="AI82" s="162"/>
      <c r="AJ82" s="162"/>
      <c r="AK82" s="162"/>
      <c r="BS82" s="131"/>
      <c r="BT82" s="131"/>
      <c r="BU82" s="131"/>
      <c r="BV82" s="131"/>
      <c r="BW82" s="131"/>
      <c r="BX82" s="131"/>
      <c r="BY82" s="131"/>
      <c r="BZ82" s="131"/>
      <c r="CA82" s="131"/>
      <c r="CB82" s="131"/>
      <c r="CC82" s="131"/>
      <c r="CD82" s="131"/>
      <c r="CE82" s="131"/>
      <c r="CF82" s="131"/>
      <c r="CG82" s="131"/>
      <c r="CH82" s="131"/>
    </row>
    <row r="83" ht="18.75" customHeight="1">
      <c r="C83" s="64"/>
      <c r="E83" s="64"/>
      <c r="F83" s="64"/>
      <c r="G83" s="64"/>
      <c r="AH83" s="162"/>
      <c r="AI83" s="162"/>
      <c r="AJ83" s="162"/>
      <c r="AK83" s="162"/>
      <c r="BS83" s="131"/>
      <c r="BT83" s="131"/>
      <c r="BU83" s="131"/>
      <c r="BV83" s="131"/>
      <c r="BW83" s="131"/>
      <c r="BX83" s="131"/>
      <c r="BY83" s="131"/>
      <c r="BZ83" s="131"/>
      <c r="CA83" s="131"/>
      <c r="CB83" s="131"/>
      <c r="CC83" s="131"/>
      <c r="CD83" s="131"/>
      <c r="CE83" s="131"/>
      <c r="CF83" s="131"/>
      <c r="CG83" s="131"/>
      <c r="CH83" s="131"/>
    </row>
    <row r="84" ht="18.75" customHeight="1">
      <c r="C84" s="64"/>
      <c r="E84" s="64"/>
      <c r="F84" s="64"/>
      <c r="G84" s="64"/>
      <c r="AH84" s="162"/>
      <c r="AI84" s="162"/>
      <c r="AJ84" s="162"/>
      <c r="AK84" s="162"/>
      <c r="BS84" s="131"/>
      <c r="BT84" s="131"/>
      <c r="BU84" s="131"/>
      <c r="BV84" s="131"/>
      <c r="BW84" s="131"/>
      <c r="BX84" s="131"/>
      <c r="BY84" s="131"/>
      <c r="BZ84" s="131"/>
      <c r="CA84" s="131"/>
      <c r="CB84" s="131"/>
      <c r="CC84" s="131"/>
      <c r="CD84" s="131"/>
      <c r="CE84" s="131"/>
      <c r="CF84" s="131"/>
      <c r="CG84" s="131"/>
      <c r="CH84" s="131"/>
    </row>
    <row r="85" ht="18.75" customHeight="1">
      <c r="C85" s="64"/>
      <c r="E85" s="64"/>
      <c r="F85" s="64"/>
      <c r="G85" s="64"/>
      <c r="AH85" s="162"/>
      <c r="AI85" s="162"/>
      <c r="AJ85" s="162"/>
      <c r="AK85" s="162"/>
      <c r="BS85" s="131"/>
      <c r="BT85" s="131"/>
      <c r="BU85" s="131"/>
      <c r="BV85" s="131"/>
      <c r="BW85" s="131"/>
      <c r="BX85" s="131"/>
      <c r="BY85" s="131"/>
      <c r="BZ85" s="131"/>
      <c r="CA85" s="131"/>
      <c r="CB85" s="131"/>
      <c r="CC85" s="131"/>
      <c r="CD85" s="131"/>
      <c r="CE85" s="131"/>
      <c r="CF85" s="131"/>
      <c r="CG85" s="131"/>
      <c r="CH85" s="131"/>
    </row>
    <row r="86" ht="18.75" customHeight="1">
      <c r="C86" s="64"/>
      <c r="E86" s="64"/>
      <c r="F86" s="64"/>
      <c r="G86" s="64"/>
      <c r="AH86" s="162"/>
      <c r="AI86" s="162"/>
      <c r="AJ86" s="162"/>
      <c r="AK86" s="162"/>
      <c r="BS86" s="131"/>
      <c r="BT86" s="131"/>
      <c r="BU86" s="131"/>
      <c r="BV86" s="131"/>
      <c r="BW86" s="131"/>
      <c r="BX86" s="131"/>
      <c r="BY86" s="131"/>
      <c r="BZ86" s="131"/>
      <c r="CA86" s="131"/>
      <c r="CB86" s="131"/>
      <c r="CC86" s="131"/>
      <c r="CD86" s="131"/>
      <c r="CE86" s="131"/>
      <c r="CF86" s="131"/>
      <c r="CG86" s="131"/>
      <c r="CH86" s="131"/>
    </row>
    <row r="87" ht="18.75" customHeight="1">
      <c r="C87" s="64"/>
      <c r="E87" s="64"/>
      <c r="F87" s="64"/>
      <c r="G87" s="64"/>
      <c r="AH87" s="162"/>
      <c r="AI87" s="162"/>
      <c r="AJ87" s="162"/>
      <c r="AK87" s="162"/>
      <c r="BS87" s="131"/>
      <c r="BT87" s="131"/>
      <c r="BU87" s="131"/>
      <c r="BV87" s="131"/>
      <c r="BW87" s="131"/>
      <c r="BX87" s="131"/>
      <c r="BY87" s="131"/>
      <c r="BZ87" s="131"/>
      <c r="CA87" s="131"/>
      <c r="CB87" s="131"/>
      <c r="CC87" s="131"/>
      <c r="CD87" s="131"/>
      <c r="CE87" s="131"/>
      <c r="CF87" s="131"/>
      <c r="CG87" s="131"/>
      <c r="CH87" s="131"/>
    </row>
    <row r="88" ht="18.75" customHeight="1">
      <c r="C88" s="64"/>
      <c r="E88" s="64"/>
      <c r="F88" s="64"/>
      <c r="G88" s="64"/>
      <c r="AH88" s="162"/>
      <c r="AI88" s="162"/>
      <c r="AJ88" s="162"/>
      <c r="AK88" s="162"/>
      <c r="BS88" s="131"/>
      <c r="BT88" s="131"/>
      <c r="BU88" s="131"/>
      <c r="BV88" s="131"/>
      <c r="BW88" s="131"/>
      <c r="BX88" s="131"/>
      <c r="BY88" s="131"/>
      <c r="BZ88" s="131"/>
      <c r="CA88" s="131"/>
      <c r="CB88" s="131"/>
      <c r="CC88" s="131"/>
      <c r="CD88" s="131"/>
      <c r="CE88" s="131"/>
      <c r="CF88" s="131"/>
      <c r="CG88" s="131"/>
      <c r="CH88" s="131"/>
    </row>
    <row r="89" ht="18.75" customHeight="1">
      <c r="C89" s="64"/>
      <c r="E89" s="64"/>
      <c r="F89" s="64"/>
      <c r="G89" s="64"/>
      <c r="AH89" s="162"/>
      <c r="AI89" s="162"/>
      <c r="AJ89" s="162"/>
      <c r="AK89" s="162"/>
      <c r="BS89" s="131"/>
      <c r="BT89" s="131"/>
      <c r="BU89" s="131"/>
      <c r="BV89" s="131"/>
      <c r="BW89" s="131"/>
      <c r="BX89" s="131"/>
      <c r="BY89" s="131"/>
      <c r="BZ89" s="131"/>
      <c r="CA89" s="131"/>
      <c r="CB89" s="131"/>
      <c r="CC89" s="131"/>
      <c r="CD89" s="131"/>
      <c r="CE89" s="131"/>
      <c r="CF89" s="131"/>
      <c r="CG89" s="131"/>
      <c r="CH89" s="131"/>
    </row>
    <row r="90" ht="18.75" customHeight="1">
      <c r="C90" s="64"/>
      <c r="E90" s="64"/>
      <c r="F90" s="64"/>
      <c r="G90" s="64"/>
      <c r="AH90" s="162"/>
      <c r="AI90" s="162"/>
      <c r="AJ90" s="162"/>
      <c r="AK90" s="162"/>
      <c r="BS90" s="131"/>
      <c r="BT90" s="131"/>
      <c r="BU90" s="131"/>
      <c r="BV90" s="131"/>
      <c r="BW90" s="131"/>
      <c r="BX90" s="131"/>
      <c r="BY90" s="131"/>
      <c r="BZ90" s="131"/>
      <c r="CA90" s="131"/>
      <c r="CB90" s="131"/>
      <c r="CC90" s="131"/>
      <c r="CD90" s="131"/>
      <c r="CE90" s="131"/>
      <c r="CF90" s="131"/>
      <c r="CG90" s="131"/>
      <c r="CH90" s="131"/>
    </row>
    <row r="91" ht="18.75" customHeight="1">
      <c r="C91" s="64"/>
      <c r="E91" s="64"/>
      <c r="F91" s="64"/>
      <c r="G91" s="64"/>
      <c r="AH91" s="162"/>
      <c r="AI91" s="162"/>
      <c r="AJ91" s="162"/>
      <c r="AK91" s="162"/>
      <c r="BS91" s="131"/>
      <c r="BT91" s="131"/>
      <c r="BU91" s="131"/>
      <c r="BV91" s="131"/>
      <c r="BW91" s="131"/>
      <c r="BX91" s="131"/>
      <c r="BY91" s="131"/>
      <c r="BZ91" s="131"/>
      <c r="CA91" s="131"/>
      <c r="CB91" s="131"/>
      <c r="CC91" s="131"/>
      <c r="CD91" s="131"/>
      <c r="CE91" s="131"/>
      <c r="CF91" s="131"/>
      <c r="CG91" s="131"/>
      <c r="CH91" s="131"/>
    </row>
    <row r="92" ht="18.75" customHeight="1">
      <c r="C92" s="64"/>
      <c r="E92" s="64"/>
      <c r="F92" s="64"/>
      <c r="G92" s="64"/>
      <c r="AH92" s="162"/>
      <c r="AI92" s="162"/>
      <c r="AJ92" s="162"/>
      <c r="AK92" s="162"/>
      <c r="BS92" s="131"/>
      <c r="BT92" s="131"/>
      <c r="BU92" s="131"/>
      <c r="BV92" s="131"/>
      <c r="BW92" s="131"/>
      <c r="BX92" s="131"/>
      <c r="BY92" s="131"/>
      <c r="BZ92" s="131"/>
      <c r="CA92" s="131"/>
      <c r="CB92" s="131"/>
      <c r="CC92" s="131"/>
      <c r="CD92" s="131"/>
      <c r="CE92" s="131"/>
      <c r="CF92" s="131"/>
      <c r="CG92" s="131"/>
      <c r="CH92" s="131"/>
    </row>
    <row r="93" ht="18.75" customHeight="1">
      <c r="C93" s="64"/>
      <c r="E93" s="64"/>
      <c r="F93" s="64"/>
      <c r="G93" s="64"/>
      <c r="AH93" s="162"/>
      <c r="AI93" s="162"/>
      <c r="AJ93" s="162"/>
      <c r="AK93" s="162"/>
      <c r="BS93" s="131"/>
      <c r="BT93" s="131"/>
      <c r="BU93" s="131"/>
      <c r="BV93" s="131"/>
      <c r="BW93" s="131"/>
      <c r="BX93" s="131"/>
      <c r="BY93" s="131"/>
      <c r="BZ93" s="131"/>
      <c r="CA93" s="131"/>
      <c r="CB93" s="131"/>
      <c r="CC93" s="131"/>
      <c r="CD93" s="131"/>
      <c r="CE93" s="131"/>
      <c r="CF93" s="131"/>
      <c r="CG93" s="131"/>
      <c r="CH93" s="131"/>
    </row>
    <row r="94" ht="18.75" customHeight="1">
      <c r="C94" s="64"/>
      <c r="E94" s="64"/>
      <c r="F94" s="64"/>
      <c r="G94" s="64"/>
      <c r="AH94" s="162"/>
      <c r="AI94" s="162"/>
      <c r="AJ94" s="162"/>
      <c r="AK94" s="162"/>
      <c r="BS94" s="131"/>
      <c r="BT94" s="131"/>
      <c r="BU94" s="131"/>
      <c r="BV94" s="131"/>
      <c r="BW94" s="131"/>
      <c r="BX94" s="131"/>
      <c r="BY94" s="131"/>
      <c r="BZ94" s="131"/>
      <c r="CA94" s="131"/>
      <c r="CB94" s="131"/>
      <c r="CC94" s="131"/>
      <c r="CD94" s="131"/>
      <c r="CE94" s="131"/>
      <c r="CF94" s="131"/>
      <c r="CG94" s="131"/>
      <c r="CH94" s="131"/>
    </row>
    <row r="95" ht="18.75" customHeight="1">
      <c r="C95" s="64"/>
      <c r="E95" s="64"/>
      <c r="F95" s="64"/>
      <c r="G95" s="64"/>
      <c r="AH95" s="162"/>
      <c r="AI95" s="162"/>
      <c r="AJ95" s="162"/>
      <c r="AK95" s="162"/>
      <c r="BS95" s="131"/>
      <c r="BT95" s="131"/>
      <c r="BU95" s="131"/>
      <c r="BV95" s="131"/>
      <c r="BW95" s="131"/>
      <c r="BX95" s="131"/>
      <c r="BY95" s="131"/>
      <c r="BZ95" s="131"/>
      <c r="CA95" s="131"/>
      <c r="CB95" s="131"/>
      <c r="CC95" s="131"/>
      <c r="CD95" s="131"/>
      <c r="CE95" s="131"/>
      <c r="CF95" s="131"/>
      <c r="CG95" s="131"/>
      <c r="CH95" s="131"/>
    </row>
    <row r="96" ht="18.75" customHeight="1">
      <c r="C96" s="64"/>
      <c r="E96" s="64"/>
      <c r="F96" s="64"/>
      <c r="G96" s="64"/>
      <c r="AH96" s="162"/>
      <c r="AI96" s="162"/>
      <c r="AJ96" s="162"/>
      <c r="AK96" s="162"/>
      <c r="BS96" s="131"/>
      <c r="BT96" s="131"/>
      <c r="BU96" s="131"/>
      <c r="BV96" s="131"/>
      <c r="BW96" s="131"/>
      <c r="BX96" s="131"/>
      <c r="BY96" s="131"/>
      <c r="BZ96" s="131"/>
      <c r="CA96" s="131"/>
      <c r="CB96" s="131"/>
      <c r="CC96" s="131"/>
      <c r="CD96" s="131"/>
      <c r="CE96" s="131"/>
      <c r="CF96" s="131"/>
      <c r="CG96" s="131"/>
      <c r="CH96" s="131"/>
    </row>
    <row r="97" ht="18.75" customHeight="1">
      <c r="C97" s="64"/>
      <c r="E97" s="64"/>
      <c r="F97" s="64"/>
      <c r="G97" s="64"/>
      <c r="AH97" s="162"/>
      <c r="AI97" s="162"/>
      <c r="AJ97" s="162"/>
      <c r="AK97" s="162"/>
      <c r="BS97" s="131"/>
      <c r="BT97" s="131"/>
      <c r="BU97" s="131"/>
      <c r="BV97" s="131"/>
      <c r="BW97" s="131"/>
      <c r="BX97" s="131"/>
      <c r="BY97" s="131"/>
      <c r="BZ97" s="131"/>
      <c r="CA97" s="131"/>
      <c r="CB97" s="131"/>
      <c r="CC97" s="131"/>
      <c r="CD97" s="131"/>
      <c r="CE97" s="131"/>
      <c r="CF97" s="131"/>
      <c r="CG97" s="131"/>
      <c r="CH97" s="131"/>
    </row>
    <row r="98" ht="18.75" customHeight="1">
      <c r="C98" s="64"/>
      <c r="E98" s="64"/>
      <c r="F98" s="64"/>
      <c r="G98" s="64"/>
      <c r="AH98" s="162"/>
      <c r="AI98" s="162"/>
      <c r="AJ98" s="162"/>
      <c r="AK98" s="162"/>
      <c r="BS98" s="131"/>
      <c r="BT98" s="131"/>
      <c r="BU98" s="131"/>
      <c r="BV98" s="131"/>
      <c r="BW98" s="131"/>
      <c r="BX98" s="131"/>
      <c r="BY98" s="131"/>
      <c r="BZ98" s="131"/>
      <c r="CA98" s="131"/>
      <c r="CB98" s="131"/>
      <c r="CC98" s="131"/>
      <c r="CD98" s="131"/>
      <c r="CE98" s="131"/>
      <c r="CF98" s="131"/>
      <c r="CG98" s="131"/>
      <c r="CH98" s="131"/>
    </row>
    <row r="99" ht="18.75" customHeight="1">
      <c r="C99" s="64"/>
      <c r="E99" s="64"/>
      <c r="F99" s="64"/>
      <c r="G99" s="64"/>
      <c r="AH99" s="162"/>
      <c r="AI99" s="162"/>
      <c r="AJ99" s="162"/>
      <c r="AK99" s="162"/>
      <c r="BS99" s="131"/>
      <c r="BT99" s="131"/>
      <c r="BU99" s="131"/>
      <c r="BV99" s="131"/>
      <c r="BW99" s="131"/>
      <c r="BX99" s="131"/>
      <c r="BY99" s="131"/>
      <c r="BZ99" s="131"/>
      <c r="CA99" s="131"/>
      <c r="CB99" s="131"/>
      <c r="CC99" s="131"/>
      <c r="CD99" s="131"/>
      <c r="CE99" s="131"/>
      <c r="CF99" s="131"/>
      <c r="CG99" s="131"/>
      <c r="CH99" s="131"/>
    </row>
    <row r="100" ht="18.75" customHeight="1">
      <c r="C100" s="64"/>
      <c r="E100" s="64"/>
      <c r="F100" s="64"/>
      <c r="G100" s="64"/>
      <c r="AH100" s="162"/>
      <c r="AI100" s="162"/>
      <c r="AJ100" s="162"/>
      <c r="AK100" s="162"/>
      <c r="BS100" s="131"/>
      <c r="BT100" s="131"/>
      <c r="BU100" s="131"/>
      <c r="BV100" s="131"/>
      <c r="BW100" s="131"/>
      <c r="BX100" s="131"/>
      <c r="BY100" s="131"/>
      <c r="BZ100" s="131"/>
      <c r="CA100" s="131"/>
      <c r="CB100" s="131"/>
      <c r="CC100" s="131"/>
      <c r="CD100" s="131"/>
      <c r="CE100" s="131"/>
      <c r="CF100" s="131"/>
      <c r="CG100" s="131"/>
      <c r="CH100" s="131"/>
    </row>
    <row r="101" ht="18.75" customHeight="1">
      <c r="C101" s="64"/>
      <c r="E101" s="64"/>
      <c r="F101" s="64"/>
      <c r="G101" s="64"/>
      <c r="AH101" s="162"/>
      <c r="AI101" s="162"/>
      <c r="AJ101" s="162"/>
      <c r="AK101" s="162"/>
      <c r="BS101" s="131"/>
      <c r="BT101" s="131"/>
      <c r="BU101" s="131"/>
      <c r="BV101" s="131"/>
      <c r="BW101" s="131"/>
      <c r="BX101" s="131"/>
      <c r="BY101" s="131"/>
      <c r="BZ101" s="131"/>
      <c r="CA101" s="131"/>
      <c r="CB101" s="131"/>
      <c r="CC101" s="131"/>
      <c r="CD101" s="131"/>
      <c r="CE101" s="131"/>
      <c r="CF101" s="131"/>
      <c r="CG101" s="131"/>
      <c r="CH101" s="131"/>
    </row>
    <row r="102" ht="18.75" customHeight="1">
      <c r="C102" s="64"/>
      <c r="E102" s="64"/>
      <c r="F102" s="64"/>
      <c r="G102" s="64"/>
      <c r="AH102" s="162"/>
      <c r="AI102" s="162"/>
      <c r="AJ102" s="162"/>
      <c r="AK102" s="162"/>
      <c r="BS102" s="131"/>
      <c r="BT102" s="131"/>
      <c r="BU102" s="131"/>
      <c r="BV102" s="131"/>
      <c r="BW102" s="131"/>
      <c r="BX102" s="131"/>
      <c r="BY102" s="131"/>
      <c r="BZ102" s="131"/>
      <c r="CA102" s="131"/>
      <c r="CB102" s="131"/>
      <c r="CC102" s="131"/>
      <c r="CD102" s="131"/>
      <c r="CE102" s="131"/>
      <c r="CF102" s="131"/>
      <c r="CG102" s="131"/>
      <c r="CH102" s="131"/>
    </row>
    <row r="103" ht="18.75" customHeight="1">
      <c r="C103" s="64"/>
      <c r="E103" s="64"/>
      <c r="F103" s="64"/>
      <c r="G103" s="64"/>
      <c r="AH103" s="162"/>
      <c r="AI103" s="162"/>
      <c r="AJ103" s="162"/>
      <c r="AK103" s="162"/>
      <c r="BS103" s="131"/>
      <c r="BT103" s="131"/>
      <c r="BU103" s="131"/>
      <c r="BV103" s="131"/>
      <c r="BW103" s="131"/>
      <c r="BX103" s="131"/>
      <c r="BY103" s="131"/>
      <c r="BZ103" s="131"/>
      <c r="CA103" s="131"/>
      <c r="CB103" s="131"/>
      <c r="CC103" s="131"/>
      <c r="CD103" s="131"/>
      <c r="CE103" s="131"/>
      <c r="CF103" s="131"/>
      <c r="CG103" s="131"/>
      <c r="CH103" s="131"/>
    </row>
    <row r="104" ht="18.75" customHeight="1">
      <c r="C104" s="64"/>
      <c r="E104" s="64"/>
      <c r="F104" s="64"/>
      <c r="G104" s="64"/>
      <c r="AH104" s="162"/>
      <c r="AI104" s="162"/>
      <c r="AJ104" s="162"/>
      <c r="AK104" s="162"/>
      <c r="BS104" s="131"/>
      <c r="BT104" s="131"/>
      <c r="BU104" s="131"/>
      <c r="BV104" s="131"/>
      <c r="BW104" s="131"/>
      <c r="BX104" s="131"/>
      <c r="BY104" s="131"/>
      <c r="BZ104" s="131"/>
      <c r="CA104" s="131"/>
      <c r="CB104" s="131"/>
      <c r="CC104" s="131"/>
      <c r="CD104" s="131"/>
      <c r="CE104" s="131"/>
      <c r="CF104" s="131"/>
      <c r="CG104" s="131"/>
      <c r="CH104" s="131"/>
    </row>
    <row r="105" ht="18.75" customHeight="1">
      <c r="C105" s="64"/>
      <c r="E105" s="64"/>
      <c r="F105" s="64"/>
      <c r="G105" s="64"/>
      <c r="AH105" s="162"/>
      <c r="AI105" s="162"/>
      <c r="AJ105" s="162"/>
      <c r="AK105" s="162"/>
      <c r="BS105" s="131"/>
      <c r="BT105" s="131"/>
      <c r="BU105" s="131"/>
      <c r="BV105" s="131"/>
      <c r="BW105" s="131"/>
      <c r="BX105" s="131"/>
      <c r="BY105" s="131"/>
      <c r="BZ105" s="131"/>
      <c r="CA105" s="131"/>
      <c r="CB105" s="131"/>
      <c r="CC105" s="131"/>
      <c r="CD105" s="131"/>
      <c r="CE105" s="131"/>
      <c r="CF105" s="131"/>
      <c r="CG105" s="131"/>
      <c r="CH105" s="131"/>
    </row>
    <row r="106" ht="18.75" customHeight="1">
      <c r="C106" s="64"/>
      <c r="E106" s="64"/>
      <c r="F106" s="64"/>
      <c r="G106" s="64"/>
      <c r="AH106" s="162"/>
      <c r="AI106" s="162"/>
      <c r="AJ106" s="162"/>
      <c r="AK106" s="162"/>
      <c r="BS106" s="131"/>
      <c r="BT106" s="131"/>
      <c r="BU106" s="131"/>
      <c r="BV106" s="131"/>
      <c r="BW106" s="131"/>
      <c r="BX106" s="131"/>
      <c r="BY106" s="131"/>
      <c r="BZ106" s="131"/>
      <c r="CA106" s="131"/>
      <c r="CB106" s="131"/>
      <c r="CC106" s="131"/>
      <c r="CD106" s="131"/>
      <c r="CE106" s="131"/>
      <c r="CF106" s="131"/>
      <c r="CG106" s="131"/>
      <c r="CH106" s="131"/>
    </row>
    <row r="107" ht="18.75" customHeight="1">
      <c r="C107" s="64"/>
      <c r="E107" s="64"/>
      <c r="F107" s="64"/>
      <c r="G107" s="64"/>
      <c r="AH107" s="162"/>
      <c r="AI107" s="162"/>
      <c r="AJ107" s="162"/>
      <c r="AK107" s="162"/>
      <c r="BS107" s="131"/>
      <c r="BT107" s="131"/>
      <c r="BU107" s="131"/>
      <c r="BV107" s="131"/>
      <c r="BW107" s="131"/>
      <c r="BX107" s="131"/>
      <c r="BY107" s="131"/>
      <c r="BZ107" s="131"/>
      <c r="CA107" s="131"/>
      <c r="CB107" s="131"/>
      <c r="CC107" s="131"/>
      <c r="CD107" s="131"/>
      <c r="CE107" s="131"/>
      <c r="CF107" s="131"/>
      <c r="CG107" s="131"/>
      <c r="CH107" s="131"/>
    </row>
    <row r="108" ht="18.75" customHeight="1">
      <c r="C108" s="64"/>
      <c r="E108" s="64"/>
      <c r="F108" s="64"/>
      <c r="G108" s="64"/>
      <c r="AH108" s="162"/>
      <c r="AI108" s="162"/>
      <c r="AJ108" s="162"/>
      <c r="AK108" s="162"/>
      <c r="BS108" s="131"/>
      <c r="BT108" s="131"/>
      <c r="BU108" s="131"/>
      <c r="BV108" s="131"/>
      <c r="BW108" s="131"/>
      <c r="BX108" s="131"/>
      <c r="BY108" s="131"/>
      <c r="BZ108" s="131"/>
      <c r="CA108" s="131"/>
      <c r="CB108" s="131"/>
      <c r="CC108" s="131"/>
      <c r="CD108" s="131"/>
      <c r="CE108" s="131"/>
      <c r="CF108" s="131"/>
      <c r="CG108" s="131"/>
      <c r="CH108" s="131"/>
    </row>
    <row r="109" ht="18.75" customHeight="1">
      <c r="C109" s="64"/>
      <c r="E109" s="64"/>
      <c r="F109" s="64"/>
      <c r="G109" s="64"/>
      <c r="AH109" s="162"/>
      <c r="AI109" s="162"/>
      <c r="AJ109" s="162"/>
      <c r="AK109" s="162"/>
      <c r="BS109" s="131"/>
      <c r="BT109" s="131"/>
      <c r="BU109" s="131"/>
      <c r="BV109" s="131"/>
      <c r="BW109" s="131"/>
      <c r="BX109" s="131"/>
      <c r="BY109" s="131"/>
      <c r="BZ109" s="131"/>
      <c r="CA109" s="131"/>
      <c r="CB109" s="131"/>
      <c r="CC109" s="131"/>
      <c r="CD109" s="131"/>
      <c r="CE109" s="131"/>
      <c r="CF109" s="131"/>
      <c r="CG109" s="131"/>
      <c r="CH109" s="131"/>
    </row>
    <row r="110" ht="18.75" customHeight="1">
      <c r="C110" s="64"/>
      <c r="E110" s="64"/>
      <c r="F110" s="64"/>
      <c r="G110" s="64"/>
      <c r="AH110" s="162"/>
      <c r="AI110" s="162"/>
      <c r="AJ110" s="162"/>
      <c r="AK110" s="162"/>
      <c r="BS110" s="131"/>
      <c r="BT110" s="131"/>
      <c r="BU110" s="131"/>
      <c r="BV110" s="131"/>
      <c r="BW110" s="131"/>
      <c r="BX110" s="131"/>
      <c r="BY110" s="131"/>
      <c r="BZ110" s="131"/>
      <c r="CA110" s="131"/>
      <c r="CB110" s="131"/>
      <c r="CC110" s="131"/>
      <c r="CD110" s="131"/>
      <c r="CE110" s="131"/>
      <c r="CF110" s="131"/>
      <c r="CG110" s="131"/>
      <c r="CH110" s="131"/>
    </row>
    <row r="111" ht="18.75" customHeight="1">
      <c r="C111" s="64"/>
      <c r="E111" s="64"/>
      <c r="F111" s="64"/>
      <c r="G111" s="64"/>
      <c r="AH111" s="162"/>
      <c r="AI111" s="162"/>
      <c r="AJ111" s="162"/>
      <c r="AK111" s="162"/>
      <c r="BS111" s="131"/>
      <c r="BT111" s="131"/>
      <c r="BU111" s="131"/>
      <c r="BV111" s="131"/>
      <c r="BW111" s="131"/>
      <c r="BX111" s="131"/>
      <c r="BY111" s="131"/>
      <c r="BZ111" s="131"/>
      <c r="CA111" s="131"/>
      <c r="CB111" s="131"/>
      <c r="CC111" s="131"/>
      <c r="CD111" s="131"/>
      <c r="CE111" s="131"/>
      <c r="CF111" s="131"/>
      <c r="CG111" s="131"/>
      <c r="CH111" s="131"/>
    </row>
    <row r="112" ht="18.75" customHeight="1">
      <c r="C112" s="64"/>
      <c r="E112" s="64"/>
      <c r="F112" s="64"/>
      <c r="G112" s="64"/>
      <c r="AH112" s="162"/>
      <c r="AI112" s="162"/>
      <c r="AJ112" s="162"/>
      <c r="AK112" s="162"/>
      <c r="BS112" s="131"/>
      <c r="BT112" s="131"/>
      <c r="BU112" s="131"/>
      <c r="BV112" s="131"/>
      <c r="BW112" s="131"/>
      <c r="BX112" s="131"/>
      <c r="BY112" s="131"/>
      <c r="BZ112" s="131"/>
      <c r="CA112" s="131"/>
      <c r="CB112" s="131"/>
      <c r="CC112" s="131"/>
      <c r="CD112" s="131"/>
      <c r="CE112" s="131"/>
      <c r="CF112" s="131"/>
      <c r="CG112" s="131"/>
      <c r="CH112" s="131"/>
    </row>
    <row r="113" ht="18.75" customHeight="1">
      <c r="C113" s="64"/>
      <c r="E113" s="64"/>
      <c r="F113" s="64"/>
      <c r="G113" s="64"/>
      <c r="AH113" s="162"/>
      <c r="AI113" s="162"/>
      <c r="AJ113" s="162"/>
      <c r="AK113" s="162"/>
      <c r="BS113" s="131"/>
      <c r="BT113" s="131"/>
      <c r="BU113" s="131"/>
      <c r="BV113" s="131"/>
      <c r="BW113" s="131"/>
      <c r="BX113" s="131"/>
      <c r="BY113" s="131"/>
      <c r="BZ113" s="131"/>
      <c r="CA113" s="131"/>
      <c r="CB113" s="131"/>
      <c r="CC113" s="131"/>
      <c r="CD113" s="131"/>
      <c r="CE113" s="131"/>
      <c r="CF113" s="131"/>
      <c r="CG113" s="131"/>
      <c r="CH113" s="131"/>
    </row>
    <row r="114" ht="18.75" customHeight="1">
      <c r="C114" s="64"/>
      <c r="E114" s="64"/>
      <c r="F114" s="64"/>
      <c r="G114" s="64"/>
      <c r="AH114" s="162"/>
      <c r="AI114" s="162"/>
      <c r="AJ114" s="162"/>
      <c r="AK114" s="162"/>
      <c r="BS114" s="131"/>
      <c r="BT114" s="131"/>
      <c r="BU114" s="131"/>
      <c r="BV114" s="131"/>
      <c r="BW114" s="131"/>
      <c r="BX114" s="131"/>
      <c r="BY114" s="131"/>
      <c r="BZ114" s="131"/>
      <c r="CA114" s="131"/>
      <c r="CB114" s="131"/>
      <c r="CC114" s="131"/>
      <c r="CD114" s="131"/>
      <c r="CE114" s="131"/>
      <c r="CF114" s="131"/>
      <c r="CG114" s="131"/>
      <c r="CH114" s="131"/>
    </row>
    <row r="115" ht="18.75" customHeight="1">
      <c r="C115" s="64"/>
      <c r="E115" s="64"/>
      <c r="F115" s="64"/>
      <c r="G115" s="64"/>
      <c r="AH115" s="162"/>
      <c r="AI115" s="162"/>
      <c r="AJ115" s="162"/>
      <c r="AK115" s="162"/>
      <c r="BS115" s="131"/>
      <c r="BT115" s="131"/>
      <c r="BU115" s="131"/>
      <c r="BV115" s="131"/>
      <c r="BW115" s="131"/>
      <c r="BX115" s="131"/>
      <c r="BY115" s="131"/>
      <c r="BZ115" s="131"/>
      <c r="CA115" s="131"/>
      <c r="CB115" s="131"/>
      <c r="CC115" s="131"/>
      <c r="CD115" s="131"/>
      <c r="CE115" s="131"/>
      <c r="CF115" s="131"/>
      <c r="CG115" s="131"/>
      <c r="CH115" s="131"/>
    </row>
    <row r="116" ht="18.75" customHeight="1">
      <c r="C116" s="64"/>
      <c r="E116" s="64"/>
      <c r="F116" s="64"/>
      <c r="G116" s="64"/>
      <c r="AH116" s="162"/>
      <c r="AI116" s="162"/>
      <c r="AJ116" s="162"/>
      <c r="AK116" s="162"/>
      <c r="BS116" s="131"/>
      <c r="BT116" s="131"/>
      <c r="BU116" s="131"/>
      <c r="BV116" s="131"/>
      <c r="BW116" s="131"/>
      <c r="BX116" s="131"/>
      <c r="BY116" s="131"/>
      <c r="BZ116" s="131"/>
      <c r="CA116" s="131"/>
      <c r="CB116" s="131"/>
      <c r="CC116" s="131"/>
      <c r="CD116" s="131"/>
      <c r="CE116" s="131"/>
      <c r="CF116" s="131"/>
      <c r="CG116" s="131"/>
      <c r="CH116" s="131"/>
    </row>
    <row r="117" ht="18.75" customHeight="1">
      <c r="C117" s="64"/>
      <c r="E117" s="64"/>
      <c r="F117" s="64"/>
      <c r="G117" s="64"/>
      <c r="AH117" s="162"/>
      <c r="AI117" s="162"/>
      <c r="AJ117" s="162"/>
      <c r="AK117" s="162"/>
      <c r="BS117" s="131"/>
      <c r="BT117" s="131"/>
      <c r="BU117" s="131"/>
      <c r="BV117" s="131"/>
      <c r="BW117" s="131"/>
      <c r="BX117" s="131"/>
      <c r="BY117" s="131"/>
      <c r="BZ117" s="131"/>
      <c r="CA117" s="131"/>
      <c r="CB117" s="131"/>
      <c r="CC117" s="131"/>
      <c r="CD117" s="131"/>
      <c r="CE117" s="131"/>
      <c r="CF117" s="131"/>
      <c r="CG117" s="131"/>
      <c r="CH117" s="131"/>
    </row>
    <row r="118" ht="18.75" customHeight="1">
      <c r="C118" s="64"/>
      <c r="E118" s="64"/>
      <c r="F118" s="64"/>
      <c r="G118" s="64"/>
      <c r="AH118" s="162"/>
      <c r="AI118" s="162"/>
      <c r="AJ118" s="162"/>
      <c r="AK118" s="162"/>
      <c r="BS118" s="131"/>
      <c r="BT118" s="131"/>
      <c r="BU118" s="131"/>
      <c r="BV118" s="131"/>
      <c r="BW118" s="131"/>
      <c r="BX118" s="131"/>
      <c r="BY118" s="131"/>
      <c r="BZ118" s="131"/>
      <c r="CA118" s="131"/>
      <c r="CB118" s="131"/>
      <c r="CC118" s="131"/>
      <c r="CD118" s="131"/>
      <c r="CE118" s="131"/>
      <c r="CF118" s="131"/>
      <c r="CG118" s="131"/>
      <c r="CH118" s="131"/>
    </row>
    <row r="119" ht="18.75" customHeight="1">
      <c r="C119" s="64"/>
      <c r="E119" s="64"/>
      <c r="F119" s="64"/>
      <c r="G119" s="64"/>
      <c r="AH119" s="162"/>
      <c r="AI119" s="162"/>
      <c r="AJ119" s="162"/>
      <c r="AK119" s="162"/>
      <c r="BS119" s="131"/>
      <c r="BT119" s="131"/>
      <c r="BU119" s="131"/>
      <c r="BV119" s="131"/>
      <c r="BW119" s="131"/>
      <c r="BX119" s="131"/>
      <c r="BY119" s="131"/>
      <c r="BZ119" s="131"/>
      <c r="CA119" s="131"/>
      <c r="CB119" s="131"/>
      <c r="CC119" s="131"/>
      <c r="CD119" s="131"/>
      <c r="CE119" s="131"/>
      <c r="CF119" s="131"/>
      <c r="CG119" s="131"/>
      <c r="CH119" s="131"/>
    </row>
    <row r="120" ht="18.75" customHeight="1">
      <c r="C120" s="64"/>
      <c r="E120" s="64"/>
      <c r="F120" s="64"/>
      <c r="G120" s="64"/>
      <c r="AH120" s="162"/>
      <c r="AI120" s="162"/>
      <c r="AJ120" s="162"/>
      <c r="AK120" s="162"/>
      <c r="BS120" s="131"/>
      <c r="BT120" s="131"/>
      <c r="BU120" s="131"/>
      <c r="BV120" s="131"/>
      <c r="BW120" s="131"/>
      <c r="BX120" s="131"/>
      <c r="BY120" s="131"/>
      <c r="BZ120" s="131"/>
      <c r="CA120" s="131"/>
      <c r="CB120" s="131"/>
      <c r="CC120" s="131"/>
      <c r="CD120" s="131"/>
      <c r="CE120" s="131"/>
      <c r="CF120" s="131"/>
      <c r="CG120" s="131"/>
      <c r="CH120" s="131"/>
    </row>
    <row r="121" ht="18.75" customHeight="1">
      <c r="C121" s="64"/>
      <c r="E121" s="64"/>
      <c r="F121" s="64"/>
      <c r="G121" s="64"/>
      <c r="AH121" s="162"/>
      <c r="AI121" s="162"/>
      <c r="AJ121" s="162"/>
      <c r="AK121" s="162"/>
      <c r="BS121" s="131"/>
      <c r="BT121" s="131"/>
      <c r="BU121" s="131"/>
      <c r="BV121" s="131"/>
      <c r="BW121" s="131"/>
      <c r="BX121" s="131"/>
      <c r="BY121" s="131"/>
      <c r="BZ121" s="131"/>
      <c r="CA121" s="131"/>
      <c r="CB121" s="131"/>
      <c r="CC121" s="131"/>
      <c r="CD121" s="131"/>
      <c r="CE121" s="131"/>
      <c r="CF121" s="131"/>
      <c r="CG121" s="131"/>
      <c r="CH121" s="131"/>
    </row>
    <row r="122" ht="18.75" customHeight="1">
      <c r="C122" s="64"/>
      <c r="E122" s="64"/>
      <c r="F122" s="64"/>
      <c r="G122" s="64"/>
      <c r="AH122" s="162"/>
      <c r="AI122" s="162"/>
      <c r="AJ122" s="162"/>
      <c r="AK122" s="162"/>
      <c r="BS122" s="131"/>
      <c r="BT122" s="131"/>
      <c r="BU122" s="131"/>
      <c r="BV122" s="131"/>
      <c r="BW122" s="131"/>
      <c r="BX122" s="131"/>
      <c r="BY122" s="131"/>
      <c r="BZ122" s="131"/>
      <c r="CA122" s="131"/>
      <c r="CB122" s="131"/>
      <c r="CC122" s="131"/>
      <c r="CD122" s="131"/>
      <c r="CE122" s="131"/>
      <c r="CF122" s="131"/>
      <c r="CG122" s="131"/>
      <c r="CH122" s="131"/>
    </row>
    <row r="123" ht="18.75" customHeight="1">
      <c r="C123" s="64"/>
      <c r="E123" s="64"/>
      <c r="F123" s="64"/>
      <c r="G123" s="64"/>
      <c r="AH123" s="162"/>
      <c r="AI123" s="162"/>
      <c r="AJ123" s="162"/>
      <c r="AK123" s="162"/>
      <c r="BS123" s="131"/>
      <c r="BT123" s="131"/>
      <c r="BU123" s="131"/>
      <c r="BV123" s="131"/>
      <c r="BW123" s="131"/>
      <c r="BX123" s="131"/>
      <c r="BY123" s="131"/>
      <c r="BZ123" s="131"/>
      <c r="CA123" s="131"/>
      <c r="CB123" s="131"/>
      <c r="CC123" s="131"/>
      <c r="CD123" s="131"/>
      <c r="CE123" s="131"/>
      <c r="CF123" s="131"/>
      <c r="CG123" s="131"/>
      <c r="CH123" s="131"/>
    </row>
    <row r="124" ht="18.75" customHeight="1">
      <c r="C124" s="64"/>
      <c r="E124" s="64"/>
      <c r="F124" s="64"/>
      <c r="G124" s="64"/>
      <c r="AH124" s="162"/>
      <c r="AI124" s="162"/>
      <c r="AJ124" s="162"/>
      <c r="AK124" s="162"/>
      <c r="BS124" s="131"/>
      <c r="BT124" s="131"/>
      <c r="BU124" s="131"/>
      <c r="BV124" s="131"/>
      <c r="BW124" s="131"/>
      <c r="BX124" s="131"/>
      <c r="BY124" s="131"/>
      <c r="BZ124" s="131"/>
      <c r="CA124" s="131"/>
      <c r="CB124" s="131"/>
      <c r="CC124" s="131"/>
      <c r="CD124" s="131"/>
      <c r="CE124" s="131"/>
      <c r="CF124" s="131"/>
      <c r="CG124" s="131"/>
      <c r="CH124" s="131"/>
    </row>
    <row r="125" ht="18.75" customHeight="1">
      <c r="C125" s="64"/>
      <c r="E125" s="64"/>
      <c r="F125" s="64"/>
      <c r="G125" s="64"/>
      <c r="AH125" s="162"/>
      <c r="AI125" s="162"/>
      <c r="AJ125" s="162"/>
      <c r="AK125" s="162"/>
      <c r="BS125" s="131"/>
      <c r="BT125" s="131"/>
      <c r="BU125" s="131"/>
      <c r="BV125" s="131"/>
      <c r="BW125" s="131"/>
      <c r="BX125" s="131"/>
      <c r="BY125" s="131"/>
      <c r="BZ125" s="131"/>
      <c r="CA125" s="131"/>
      <c r="CB125" s="131"/>
      <c r="CC125" s="131"/>
      <c r="CD125" s="131"/>
      <c r="CE125" s="131"/>
      <c r="CF125" s="131"/>
      <c r="CG125" s="131"/>
      <c r="CH125" s="131"/>
    </row>
    <row r="126" ht="18.75" customHeight="1">
      <c r="C126" s="64"/>
      <c r="E126" s="64"/>
      <c r="F126" s="64"/>
      <c r="G126" s="64"/>
      <c r="AH126" s="162"/>
      <c r="AI126" s="162"/>
      <c r="AJ126" s="162"/>
      <c r="AK126" s="162"/>
      <c r="BS126" s="131"/>
      <c r="BT126" s="131"/>
      <c r="BU126" s="131"/>
      <c r="BV126" s="131"/>
      <c r="BW126" s="131"/>
      <c r="BX126" s="131"/>
      <c r="BY126" s="131"/>
      <c r="BZ126" s="131"/>
      <c r="CA126" s="131"/>
      <c r="CB126" s="131"/>
      <c r="CC126" s="131"/>
      <c r="CD126" s="131"/>
      <c r="CE126" s="131"/>
      <c r="CF126" s="131"/>
      <c r="CG126" s="131"/>
      <c r="CH126" s="131"/>
    </row>
    <row r="127" ht="18.75" customHeight="1">
      <c r="C127" s="64"/>
      <c r="E127" s="64"/>
      <c r="F127" s="64"/>
      <c r="G127" s="64"/>
      <c r="AH127" s="162"/>
      <c r="AI127" s="162"/>
      <c r="AJ127" s="162"/>
      <c r="AK127" s="162"/>
      <c r="BS127" s="131"/>
      <c r="BT127" s="131"/>
      <c r="BU127" s="131"/>
      <c r="BV127" s="131"/>
      <c r="BW127" s="131"/>
      <c r="BX127" s="131"/>
      <c r="BY127" s="131"/>
      <c r="BZ127" s="131"/>
      <c r="CA127" s="131"/>
      <c r="CB127" s="131"/>
      <c r="CC127" s="131"/>
      <c r="CD127" s="131"/>
      <c r="CE127" s="131"/>
      <c r="CF127" s="131"/>
      <c r="CG127" s="131"/>
      <c r="CH127" s="131"/>
    </row>
    <row r="128" ht="18.75" customHeight="1">
      <c r="C128" s="64"/>
      <c r="E128" s="64"/>
      <c r="F128" s="64"/>
      <c r="G128" s="64"/>
      <c r="AH128" s="162"/>
      <c r="AI128" s="162"/>
      <c r="AJ128" s="162"/>
      <c r="AK128" s="162"/>
      <c r="BS128" s="131"/>
      <c r="BT128" s="131"/>
      <c r="BU128" s="131"/>
      <c r="BV128" s="131"/>
      <c r="BW128" s="131"/>
      <c r="BX128" s="131"/>
      <c r="BY128" s="131"/>
      <c r="BZ128" s="131"/>
      <c r="CA128" s="131"/>
      <c r="CB128" s="131"/>
      <c r="CC128" s="131"/>
      <c r="CD128" s="131"/>
      <c r="CE128" s="131"/>
      <c r="CF128" s="131"/>
      <c r="CG128" s="131"/>
      <c r="CH128" s="131"/>
    </row>
    <row r="129" ht="18.75" customHeight="1">
      <c r="C129" s="64"/>
      <c r="E129" s="64"/>
      <c r="F129" s="64"/>
      <c r="G129" s="64"/>
      <c r="AH129" s="162"/>
      <c r="AI129" s="162"/>
      <c r="AJ129" s="162"/>
      <c r="AK129" s="162"/>
      <c r="BS129" s="131"/>
      <c r="BT129" s="131"/>
      <c r="BU129" s="131"/>
      <c r="BV129" s="131"/>
      <c r="BW129" s="131"/>
      <c r="BX129" s="131"/>
      <c r="BY129" s="131"/>
      <c r="BZ129" s="131"/>
      <c r="CA129" s="131"/>
      <c r="CB129" s="131"/>
      <c r="CC129" s="131"/>
      <c r="CD129" s="131"/>
      <c r="CE129" s="131"/>
      <c r="CF129" s="131"/>
      <c r="CG129" s="131"/>
      <c r="CH129" s="131"/>
    </row>
    <row r="130" ht="18.75" customHeight="1">
      <c r="C130" s="64"/>
      <c r="E130" s="64"/>
      <c r="F130" s="64"/>
      <c r="G130" s="64"/>
      <c r="AH130" s="162"/>
      <c r="AI130" s="162"/>
      <c r="AJ130" s="162"/>
      <c r="AK130" s="162"/>
      <c r="BS130" s="131"/>
      <c r="BT130" s="131"/>
      <c r="BU130" s="131"/>
      <c r="BV130" s="131"/>
      <c r="BW130" s="131"/>
      <c r="BX130" s="131"/>
      <c r="BY130" s="131"/>
      <c r="BZ130" s="131"/>
      <c r="CA130" s="131"/>
      <c r="CB130" s="131"/>
      <c r="CC130" s="131"/>
      <c r="CD130" s="131"/>
      <c r="CE130" s="131"/>
      <c r="CF130" s="131"/>
      <c r="CG130" s="131"/>
      <c r="CH130" s="131"/>
    </row>
    <row r="131" ht="18.75" customHeight="1">
      <c r="C131" s="64"/>
      <c r="E131" s="64"/>
      <c r="F131" s="64"/>
      <c r="G131" s="64"/>
      <c r="AH131" s="162"/>
      <c r="AI131" s="162"/>
      <c r="AJ131" s="162"/>
      <c r="AK131" s="162"/>
      <c r="BS131" s="131"/>
      <c r="BT131" s="131"/>
      <c r="BU131" s="131"/>
      <c r="BV131" s="131"/>
      <c r="BW131" s="131"/>
      <c r="BX131" s="131"/>
      <c r="BY131" s="131"/>
      <c r="BZ131" s="131"/>
      <c r="CA131" s="131"/>
      <c r="CB131" s="131"/>
      <c r="CC131" s="131"/>
      <c r="CD131" s="131"/>
      <c r="CE131" s="131"/>
      <c r="CF131" s="131"/>
      <c r="CG131" s="131"/>
      <c r="CH131" s="131"/>
    </row>
    <row r="132" ht="18.75" customHeight="1">
      <c r="C132" s="64"/>
      <c r="E132" s="64"/>
      <c r="F132" s="64"/>
      <c r="G132" s="64"/>
      <c r="AH132" s="162"/>
      <c r="AI132" s="162"/>
      <c r="AJ132" s="162"/>
      <c r="AK132" s="162"/>
      <c r="BS132" s="131"/>
      <c r="BT132" s="131"/>
      <c r="BU132" s="131"/>
      <c r="BV132" s="131"/>
      <c r="BW132" s="131"/>
      <c r="BX132" s="131"/>
      <c r="BY132" s="131"/>
      <c r="BZ132" s="131"/>
      <c r="CA132" s="131"/>
      <c r="CB132" s="131"/>
      <c r="CC132" s="131"/>
      <c r="CD132" s="131"/>
      <c r="CE132" s="131"/>
      <c r="CF132" s="131"/>
      <c r="CG132" s="131"/>
      <c r="CH132" s="131"/>
    </row>
    <row r="133" ht="18.75" customHeight="1">
      <c r="C133" s="64"/>
      <c r="E133" s="64"/>
      <c r="F133" s="64"/>
      <c r="G133" s="64"/>
      <c r="AH133" s="162"/>
      <c r="AI133" s="162"/>
      <c r="AJ133" s="162"/>
      <c r="AK133" s="162"/>
      <c r="BS133" s="131"/>
      <c r="BT133" s="131"/>
      <c r="BU133" s="131"/>
      <c r="BV133" s="131"/>
      <c r="BW133" s="131"/>
      <c r="BX133" s="131"/>
      <c r="BY133" s="131"/>
      <c r="BZ133" s="131"/>
      <c r="CA133" s="131"/>
      <c r="CB133" s="131"/>
      <c r="CC133" s="131"/>
      <c r="CD133" s="131"/>
      <c r="CE133" s="131"/>
      <c r="CF133" s="131"/>
      <c r="CG133" s="131"/>
      <c r="CH133" s="131"/>
    </row>
    <row r="134" ht="18.75" customHeight="1">
      <c r="C134" s="64"/>
      <c r="E134" s="64"/>
      <c r="F134" s="64"/>
      <c r="G134" s="64"/>
      <c r="AH134" s="162"/>
      <c r="AI134" s="162"/>
      <c r="AJ134" s="162"/>
      <c r="AK134" s="162"/>
      <c r="BS134" s="131"/>
      <c r="BT134" s="131"/>
      <c r="BU134" s="131"/>
      <c r="BV134" s="131"/>
      <c r="BW134" s="131"/>
      <c r="BX134" s="131"/>
      <c r="BY134" s="131"/>
      <c r="BZ134" s="131"/>
      <c r="CA134" s="131"/>
      <c r="CB134" s="131"/>
      <c r="CC134" s="131"/>
      <c r="CD134" s="131"/>
      <c r="CE134" s="131"/>
      <c r="CF134" s="131"/>
      <c r="CG134" s="131"/>
      <c r="CH134" s="131"/>
    </row>
    <row r="135" ht="18.75" customHeight="1">
      <c r="C135" s="64"/>
      <c r="E135" s="64"/>
      <c r="F135" s="64"/>
      <c r="G135" s="64"/>
      <c r="AH135" s="162"/>
      <c r="AI135" s="162"/>
      <c r="AJ135" s="162"/>
      <c r="AK135" s="162"/>
      <c r="BS135" s="131"/>
      <c r="BT135" s="131"/>
      <c r="BU135" s="131"/>
      <c r="BV135" s="131"/>
      <c r="BW135" s="131"/>
      <c r="BX135" s="131"/>
      <c r="BY135" s="131"/>
      <c r="BZ135" s="131"/>
      <c r="CA135" s="131"/>
      <c r="CB135" s="131"/>
      <c r="CC135" s="131"/>
      <c r="CD135" s="131"/>
      <c r="CE135" s="131"/>
      <c r="CF135" s="131"/>
      <c r="CG135" s="131"/>
      <c r="CH135" s="131"/>
    </row>
    <row r="136" ht="18.75" customHeight="1">
      <c r="C136" s="64"/>
      <c r="E136" s="64"/>
      <c r="F136" s="64"/>
      <c r="G136" s="64"/>
      <c r="AH136" s="162"/>
      <c r="AI136" s="162"/>
      <c r="AJ136" s="162"/>
      <c r="AK136" s="162"/>
      <c r="BS136" s="131"/>
      <c r="BT136" s="131"/>
      <c r="BU136" s="131"/>
      <c r="BV136" s="131"/>
      <c r="BW136" s="131"/>
      <c r="BX136" s="131"/>
      <c r="BY136" s="131"/>
      <c r="BZ136" s="131"/>
      <c r="CA136" s="131"/>
      <c r="CB136" s="131"/>
      <c r="CC136" s="131"/>
      <c r="CD136" s="131"/>
      <c r="CE136" s="131"/>
      <c r="CF136" s="131"/>
      <c r="CG136" s="131"/>
      <c r="CH136" s="131"/>
    </row>
    <row r="137" ht="18.75" customHeight="1">
      <c r="C137" s="64"/>
      <c r="E137" s="64"/>
      <c r="F137" s="64"/>
      <c r="G137" s="64"/>
      <c r="AH137" s="162"/>
      <c r="AI137" s="162"/>
      <c r="AJ137" s="162"/>
      <c r="AK137" s="162"/>
      <c r="BS137" s="131"/>
      <c r="BT137" s="131"/>
      <c r="BU137" s="131"/>
      <c r="BV137" s="131"/>
      <c r="BW137" s="131"/>
      <c r="BX137" s="131"/>
      <c r="BY137" s="131"/>
      <c r="BZ137" s="131"/>
      <c r="CA137" s="131"/>
      <c r="CB137" s="131"/>
      <c r="CC137" s="131"/>
      <c r="CD137" s="131"/>
      <c r="CE137" s="131"/>
      <c r="CF137" s="131"/>
      <c r="CG137" s="131"/>
      <c r="CH137" s="131"/>
    </row>
    <row r="138" ht="18.75" customHeight="1">
      <c r="C138" s="64"/>
      <c r="E138" s="64"/>
      <c r="F138" s="64"/>
      <c r="G138" s="64"/>
      <c r="AH138" s="162"/>
      <c r="AI138" s="162"/>
      <c r="AJ138" s="162"/>
      <c r="AK138" s="162"/>
      <c r="BS138" s="131"/>
      <c r="BT138" s="131"/>
      <c r="BU138" s="131"/>
      <c r="BV138" s="131"/>
      <c r="BW138" s="131"/>
      <c r="BX138" s="131"/>
      <c r="BY138" s="131"/>
      <c r="BZ138" s="131"/>
      <c r="CA138" s="131"/>
      <c r="CB138" s="131"/>
      <c r="CC138" s="131"/>
      <c r="CD138" s="131"/>
      <c r="CE138" s="131"/>
      <c r="CF138" s="131"/>
      <c r="CG138" s="131"/>
      <c r="CH138" s="131"/>
    </row>
    <row r="139" ht="18.75" customHeight="1">
      <c r="C139" s="64"/>
      <c r="E139" s="64"/>
      <c r="F139" s="64"/>
      <c r="G139" s="64"/>
      <c r="AH139" s="162"/>
      <c r="AI139" s="162"/>
      <c r="AJ139" s="162"/>
      <c r="AK139" s="162"/>
      <c r="BS139" s="131"/>
      <c r="BT139" s="131"/>
      <c r="BU139" s="131"/>
      <c r="BV139" s="131"/>
      <c r="BW139" s="131"/>
      <c r="BX139" s="131"/>
      <c r="BY139" s="131"/>
      <c r="BZ139" s="131"/>
      <c r="CA139" s="131"/>
      <c r="CB139" s="131"/>
      <c r="CC139" s="131"/>
      <c r="CD139" s="131"/>
      <c r="CE139" s="131"/>
      <c r="CF139" s="131"/>
      <c r="CG139" s="131"/>
      <c r="CH139" s="131"/>
    </row>
    <row r="140" ht="18.75" customHeight="1">
      <c r="C140" s="64"/>
      <c r="E140" s="64"/>
      <c r="F140" s="64"/>
      <c r="G140" s="64"/>
      <c r="AH140" s="162"/>
      <c r="AI140" s="162"/>
      <c r="AJ140" s="162"/>
      <c r="AK140" s="162"/>
      <c r="BS140" s="131"/>
      <c r="BT140" s="131"/>
      <c r="BU140" s="131"/>
      <c r="BV140" s="131"/>
      <c r="BW140" s="131"/>
      <c r="BX140" s="131"/>
      <c r="BY140" s="131"/>
      <c r="BZ140" s="131"/>
      <c r="CA140" s="131"/>
      <c r="CB140" s="131"/>
      <c r="CC140" s="131"/>
      <c r="CD140" s="131"/>
      <c r="CE140" s="131"/>
      <c r="CF140" s="131"/>
      <c r="CG140" s="131"/>
      <c r="CH140" s="131"/>
    </row>
    <row r="141" ht="18.75" customHeight="1">
      <c r="C141" s="64"/>
      <c r="E141" s="64"/>
      <c r="F141" s="64"/>
      <c r="G141" s="64"/>
      <c r="AH141" s="162"/>
      <c r="AI141" s="162"/>
      <c r="AJ141" s="162"/>
      <c r="AK141" s="162"/>
      <c r="BS141" s="131"/>
      <c r="BT141" s="131"/>
      <c r="BU141" s="131"/>
      <c r="BV141" s="131"/>
      <c r="BW141" s="131"/>
      <c r="BX141" s="131"/>
      <c r="BY141" s="131"/>
      <c r="BZ141" s="131"/>
      <c r="CA141" s="131"/>
      <c r="CB141" s="131"/>
      <c r="CC141" s="131"/>
      <c r="CD141" s="131"/>
      <c r="CE141" s="131"/>
      <c r="CF141" s="131"/>
      <c r="CG141" s="131"/>
      <c r="CH141" s="131"/>
    </row>
    <row r="142" ht="18.75" customHeight="1">
      <c r="C142" s="64"/>
      <c r="E142" s="64"/>
      <c r="F142" s="64"/>
      <c r="G142" s="64"/>
      <c r="AH142" s="162"/>
      <c r="AI142" s="162"/>
      <c r="AJ142" s="162"/>
      <c r="AK142" s="162"/>
      <c r="BS142" s="131"/>
      <c r="BT142" s="131"/>
      <c r="BU142" s="131"/>
      <c r="BV142" s="131"/>
      <c r="BW142" s="131"/>
      <c r="BX142" s="131"/>
      <c r="BY142" s="131"/>
      <c r="BZ142" s="131"/>
      <c r="CA142" s="131"/>
      <c r="CB142" s="131"/>
      <c r="CC142" s="131"/>
      <c r="CD142" s="131"/>
      <c r="CE142" s="131"/>
      <c r="CF142" s="131"/>
      <c r="CG142" s="131"/>
      <c r="CH142" s="131"/>
    </row>
    <row r="143" ht="18.75" customHeight="1">
      <c r="C143" s="64"/>
      <c r="E143" s="64"/>
      <c r="F143" s="64"/>
      <c r="G143" s="64"/>
      <c r="AH143" s="162"/>
      <c r="AI143" s="162"/>
      <c r="AJ143" s="162"/>
      <c r="AK143" s="162"/>
      <c r="BS143" s="131"/>
      <c r="BT143" s="131"/>
      <c r="BU143" s="131"/>
      <c r="BV143" s="131"/>
      <c r="BW143" s="131"/>
      <c r="BX143" s="131"/>
      <c r="BY143" s="131"/>
      <c r="BZ143" s="131"/>
      <c r="CA143" s="131"/>
      <c r="CB143" s="131"/>
      <c r="CC143" s="131"/>
      <c r="CD143" s="131"/>
      <c r="CE143" s="131"/>
      <c r="CF143" s="131"/>
      <c r="CG143" s="131"/>
      <c r="CH143" s="131"/>
    </row>
    <row r="144" ht="18.75" customHeight="1">
      <c r="C144" s="64"/>
      <c r="E144" s="64"/>
      <c r="F144" s="64"/>
      <c r="G144" s="64"/>
      <c r="AH144" s="162"/>
      <c r="AI144" s="162"/>
      <c r="AJ144" s="162"/>
      <c r="AK144" s="162"/>
      <c r="BS144" s="131"/>
      <c r="BT144" s="131"/>
      <c r="BU144" s="131"/>
      <c r="BV144" s="131"/>
      <c r="BW144" s="131"/>
      <c r="BX144" s="131"/>
      <c r="BY144" s="131"/>
      <c r="BZ144" s="131"/>
      <c r="CA144" s="131"/>
      <c r="CB144" s="131"/>
      <c r="CC144" s="131"/>
      <c r="CD144" s="131"/>
      <c r="CE144" s="131"/>
      <c r="CF144" s="131"/>
      <c r="CG144" s="131"/>
      <c r="CH144" s="131"/>
    </row>
    <row r="145" ht="18.75" customHeight="1">
      <c r="C145" s="64"/>
      <c r="E145" s="64"/>
      <c r="F145" s="64"/>
      <c r="G145" s="64"/>
      <c r="AH145" s="162"/>
      <c r="AI145" s="162"/>
      <c r="AJ145" s="162"/>
      <c r="AK145" s="162"/>
      <c r="BS145" s="131"/>
      <c r="BT145" s="131"/>
      <c r="BU145" s="131"/>
      <c r="BV145" s="131"/>
      <c r="BW145" s="131"/>
      <c r="BX145" s="131"/>
      <c r="BY145" s="131"/>
      <c r="BZ145" s="131"/>
      <c r="CA145" s="131"/>
      <c r="CB145" s="131"/>
      <c r="CC145" s="131"/>
      <c r="CD145" s="131"/>
      <c r="CE145" s="131"/>
      <c r="CF145" s="131"/>
      <c r="CG145" s="131"/>
      <c r="CH145" s="131"/>
    </row>
    <row r="146" ht="18.75" customHeight="1">
      <c r="C146" s="64"/>
      <c r="E146" s="64"/>
      <c r="F146" s="64"/>
      <c r="G146" s="64"/>
      <c r="AH146" s="162"/>
      <c r="AI146" s="162"/>
      <c r="AJ146" s="162"/>
      <c r="AK146" s="162"/>
      <c r="BS146" s="131"/>
      <c r="BT146" s="131"/>
      <c r="BU146" s="131"/>
      <c r="BV146" s="131"/>
      <c r="BW146" s="131"/>
      <c r="BX146" s="131"/>
      <c r="BY146" s="131"/>
      <c r="BZ146" s="131"/>
      <c r="CA146" s="131"/>
      <c r="CB146" s="131"/>
      <c r="CC146" s="131"/>
      <c r="CD146" s="131"/>
      <c r="CE146" s="131"/>
      <c r="CF146" s="131"/>
      <c r="CG146" s="131"/>
      <c r="CH146" s="131"/>
    </row>
    <row r="147" ht="18.75" customHeight="1">
      <c r="C147" s="64"/>
      <c r="E147" s="64"/>
      <c r="F147" s="64"/>
      <c r="G147" s="64"/>
      <c r="AH147" s="162"/>
      <c r="AI147" s="162"/>
      <c r="AJ147" s="162"/>
      <c r="AK147" s="162"/>
      <c r="BS147" s="131"/>
      <c r="BT147" s="131"/>
      <c r="BU147" s="131"/>
      <c r="BV147" s="131"/>
      <c r="BW147" s="131"/>
      <c r="BX147" s="131"/>
      <c r="BY147" s="131"/>
      <c r="BZ147" s="131"/>
      <c r="CA147" s="131"/>
      <c r="CB147" s="131"/>
      <c r="CC147" s="131"/>
      <c r="CD147" s="131"/>
      <c r="CE147" s="131"/>
      <c r="CF147" s="131"/>
      <c r="CG147" s="131"/>
      <c r="CH147" s="131"/>
    </row>
    <row r="148" ht="18.75" customHeight="1">
      <c r="C148" s="64"/>
      <c r="E148" s="64"/>
      <c r="F148" s="64"/>
      <c r="G148" s="64"/>
      <c r="AH148" s="162"/>
      <c r="AI148" s="162"/>
      <c r="AJ148" s="162"/>
      <c r="AK148" s="162"/>
      <c r="BS148" s="131"/>
      <c r="BT148" s="131"/>
      <c r="BU148" s="131"/>
      <c r="BV148" s="131"/>
      <c r="BW148" s="131"/>
      <c r="BX148" s="131"/>
      <c r="BY148" s="131"/>
      <c r="BZ148" s="131"/>
      <c r="CA148" s="131"/>
      <c r="CB148" s="131"/>
      <c r="CC148" s="131"/>
      <c r="CD148" s="131"/>
      <c r="CE148" s="131"/>
      <c r="CF148" s="131"/>
      <c r="CG148" s="131"/>
      <c r="CH148" s="131"/>
    </row>
    <row r="149" ht="18.75" customHeight="1">
      <c r="C149" s="64"/>
      <c r="E149" s="64"/>
      <c r="F149" s="64"/>
      <c r="G149" s="64"/>
      <c r="AH149" s="162"/>
      <c r="AI149" s="162"/>
      <c r="AJ149" s="162"/>
      <c r="AK149" s="162"/>
      <c r="BS149" s="131"/>
      <c r="BT149" s="131"/>
      <c r="BU149" s="131"/>
      <c r="BV149" s="131"/>
      <c r="BW149" s="131"/>
      <c r="BX149" s="131"/>
      <c r="BY149" s="131"/>
      <c r="BZ149" s="131"/>
      <c r="CA149" s="131"/>
      <c r="CB149" s="131"/>
      <c r="CC149" s="131"/>
      <c r="CD149" s="131"/>
      <c r="CE149" s="131"/>
      <c r="CF149" s="131"/>
      <c r="CG149" s="131"/>
      <c r="CH149" s="131"/>
    </row>
    <row r="150" ht="18.75" customHeight="1">
      <c r="C150" s="64"/>
      <c r="E150" s="64"/>
      <c r="F150" s="64"/>
      <c r="G150" s="64"/>
      <c r="AH150" s="162"/>
      <c r="AI150" s="162"/>
      <c r="AJ150" s="162"/>
      <c r="AK150" s="162"/>
      <c r="BS150" s="131"/>
      <c r="BT150" s="131"/>
      <c r="BU150" s="131"/>
      <c r="BV150" s="131"/>
      <c r="BW150" s="131"/>
      <c r="BX150" s="131"/>
      <c r="BY150" s="131"/>
      <c r="BZ150" s="131"/>
      <c r="CA150" s="131"/>
      <c r="CB150" s="131"/>
      <c r="CC150" s="131"/>
      <c r="CD150" s="131"/>
      <c r="CE150" s="131"/>
      <c r="CF150" s="131"/>
      <c r="CG150" s="131"/>
      <c r="CH150" s="131"/>
    </row>
    <row r="151" ht="18.75" customHeight="1">
      <c r="C151" s="64"/>
      <c r="E151" s="64"/>
      <c r="F151" s="64"/>
      <c r="G151" s="64"/>
      <c r="AH151" s="162"/>
      <c r="AI151" s="162"/>
      <c r="AJ151" s="162"/>
      <c r="AK151" s="162"/>
      <c r="BS151" s="131"/>
      <c r="BT151" s="131"/>
      <c r="BU151" s="131"/>
      <c r="BV151" s="131"/>
      <c r="BW151" s="131"/>
      <c r="BX151" s="131"/>
      <c r="BY151" s="131"/>
      <c r="BZ151" s="131"/>
      <c r="CA151" s="131"/>
      <c r="CB151" s="131"/>
      <c r="CC151" s="131"/>
      <c r="CD151" s="131"/>
      <c r="CE151" s="131"/>
      <c r="CF151" s="131"/>
      <c r="CG151" s="131"/>
      <c r="CH151" s="131"/>
    </row>
    <row r="152" ht="18.75" customHeight="1">
      <c r="C152" s="64"/>
      <c r="E152" s="64"/>
      <c r="F152" s="64"/>
      <c r="G152" s="64"/>
      <c r="AH152" s="162"/>
      <c r="AI152" s="162"/>
      <c r="AJ152" s="162"/>
      <c r="AK152" s="162"/>
      <c r="BS152" s="131"/>
      <c r="BT152" s="131"/>
      <c r="BU152" s="131"/>
      <c r="BV152" s="131"/>
      <c r="BW152" s="131"/>
      <c r="BX152" s="131"/>
      <c r="BY152" s="131"/>
      <c r="BZ152" s="131"/>
      <c r="CA152" s="131"/>
      <c r="CB152" s="131"/>
      <c r="CC152" s="131"/>
      <c r="CD152" s="131"/>
      <c r="CE152" s="131"/>
      <c r="CF152" s="131"/>
      <c r="CG152" s="131"/>
      <c r="CH152" s="131"/>
    </row>
    <row r="153" ht="18.75" customHeight="1">
      <c r="C153" s="64"/>
      <c r="E153" s="64"/>
      <c r="F153" s="64"/>
      <c r="G153" s="64"/>
      <c r="AH153" s="162"/>
      <c r="AI153" s="162"/>
      <c r="AJ153" s="162"/>
      <c r="AK153" s="162"/>
      <c r="BS153" s="131"/>
      <c r="BT153" s="131"/>
      <c r="BU153" s="131"/>
      <c r="BV153" s="131"/>
      <c r="BW153" s="131"/>
      <c r="BX153" s="131"/>
      <c r="BY153" s="131"/>
      <c r="BZ153" s="131"/>
      <c r="CA153" s="131"/>
      <c r="CB153" s="131"/>
      <c r="CC153" s="131"/>
      <c r="CD153" s="131"/>
      <c r="CE153" s="131"/>
      <c r="CF153" s="131"/>
      <c r="CG153" s="131"/>
      <c r="CH153" s="131"/>
    </row>
    <row r="154" ht="18.75" customHeight="1">
      <c r="C154" s="64"/>
      <c r="E154" s="64"/>
      <c r="F154" s="64"/>
      <c r="G154" s="64"/>
      <c r="AH154" s="162"/>
      <c r="AI154" s="162"/>
      <c r="AJ154" s="162"/>
      <c r="AK154" s="162"/>
      <c r="BS154" s="131"/>
      <c r="BT154" s="131"/>
      <c r="BU154" s="131"/>
      <c r="BV154" s="131"/>
      <c r="BW154" s="131"/>
      <c r="BX154" s="131"/>
      <c r="BY154" s="131"/>
      <c r="BZ154" s="131"/>
      <c r="CA154" s="131"/>
      <c r="CB154" s="131"/>
      <c r="CC154" s="131"/>
      <c r="CD154" s="131"/>
      <c r="CE154" s="131"/>
      <c r="CF154" s="131"/>
      <c r="CG154" s="131"/>
      <c r="CH154" s="131"/>
    </row>
    <row r="155" ht="18.75" customHeight="1">
      <c r="C155" s="64"/>
      <c r="E155" s="64"/>
      <c r="F155" s="64"/>
      <c r="G155" s="64"/>
      <c r="AH155" s="162"/>
      <c r="AI155" s="162"/>
      <c r="AJ155" s="162"/>
      <c r="AK155" s="162"/>
      <c r="BS155" s="131"/>
      <c r="BT155" s="131"/>
      <c r="BU155" s="131"/>
      <c r="BV155" s="131"/>
      <c r="BW155" s="131"/>
      <c r="BX155" s="131"/>
      <c r="BY155" s="131"/>
      <c r="BZ155" s="131"/>
      <c r="CA155" s="131"/>
      <c r="CB155" s="131"/>
      <c r="CC155" s="131"/>
      <c r="CD155" s="131"/>
      <c r="CE155" s="131"/>
      <c r="CF155" s="131"/>
      <c r="CG155" s="131"/>
      <c r="CH155" s="131"/>
    </row>
    <row r="156" ht="18.75" customHeight="1">
      <c r="C156" s="64"/>
      <c r="E156" s="64"/>
      <c r="F156" s="64"/>
      <c r="G156" s="64"/>
      <c r="AH156" s="162"/>
      <c r="AI156" s="162"/>
      <c r="AJ156" s="162"/>
      <c r="AK156" s="162"/>
      <c r="BS156" s="131"/>
      <c r="BT156" s="131"/>
      <c r="BU156" s="131"/>
      <c r="BV156" s="131"/>
      <c r="BW156" s="131"/>
      <c r="BX156" s="131"/>
      <c r="BY156" s="131"/>
      <c r="BZ156" s="131"/>
      <c r="CA156" s="131"/>
      <c r="CB156" s="131"/>
      <c r="CC156" s="131"/>
      <c r="CD156" s="131"/>
      <c r="CE156" s="131"/>
      <c r="CF156" s="131"/>
      <c r="CG156" s="131"/>
      <c r="CH156" s="131"/>
    </row>
    <row r="157" ht="18.75" customHeight="1">
      <c r="C157" s="64"/>
      <c r="E157" s="64"/>
      <c r="F157" s="64"/>
      <c r="G157" s="64"/>
      <c r="AH157" s="162"/>
      <c r="AI157" s="162"/>
      <c r="AJ157" s="162"/>
      <c r="AK157" s="162"/>
      <c r="BS157" s="131"/>
      <c r="BT157" s="131"/>
      <c r="BU157" s="131"/>
      <c r="BV157" s="131"/>
      <c r="BW157" s="131"/>
      <c r="BX157" s="131"/>
      <c r="BY157" s="131"/>
      <c r="BZ157" s="131"/>
      <c r="CA157" s="131"/>
      <c r="CB157" s="131"/>
      <c r="CC157" s="131"/>
      <c r="CD157" s="131"/>
      <c r="CE157" s="131"/>
      <c r="CF157" s="131"/>
      <c r="CG157" s="131"/>
      <c r="CH157" s="131"/>
    </row>
    <row r="158" ht="18.75" customHeight="1">
      <c r="C158" s="64"/>
      <c r="E158" s="64"/>
      <c r="F158" s="64"/>
      <c r="G158" s="64"/>
      <c r="AH158" s="162"/>
      <c r="AI158" s="162"/>
      <c r="AJ158" s="162"/>
      <c r="AK158" s="162"/>
      <c r="BS158" s="131"/>
      <c r="BT158" s="131"/>
      <c r="BU158" s="131"/>
      <c r="BV158" s="131"/>
      <c r="BW158" s="131"/>
      <c r="BX158" s="131"/>
      <c r="BY158" s="131"/>
      <c r="BZ158" s="131"/>
      <c r="CA158" s="131"/>
      <c r="CB158" s="131"/>
      <c r="CC158" s="131"/>
      <c r="CD158" s="131"/>
      <c r="CE158" s="131"/>
      <c r="CF158" s="131"/>
      <c r="CG158" s="131"/>
      <c r="CH158" s="131"/>
    </row>
    <row r="159" ht="18.75" customHeight="1">
      <c r="C159" s="64"/>
      <c r="E159" s="64"/>
      <c r="F159" s="64"/>
      <c r="G159" s="64"/>
      <c r="AH159" s="162"/>
      <c r="AI159" s="162"/>
      <c r="AJ159" s="162"/>
      <c r="AK159" s="162"/>
      <c r="BS159" s="131"/>
      <c r="BT159" s="131"/>
      <c r="BU159" s="131"/>
      <c r="BV159" s="131"/>
      <c r="BW159" s="131"/>
      <c r="BX159" s="131"/>
      <c r="BY159" s="131"/>
      <c r="BZ159" s="131"/>
      <c r="CA159" s="131"/>
      <c r="CB159" s="131"/>
      <c r="CC159" s="131"/>
      <c r="CD159" s="131"/>
      <c r="CE159" s="131"/>
      <c r="CF159" s="131"/>
      <c r="CG159" s="131"/>
      <c r="CH159" s="131"/>
    </row>
    <row r="160" ht="18.75" customHeight="1">
      <c r="C160" s="64"/>
      <c r="E160" s="64"/>
      <c r="F160" s="64"/>
      <c r="G160" s="64"/>
      <c r="AH160" s="162"/>
      <c r="AI160" s="162"/>
      <c r="AJ160" s="162"/>
      <c r="AK160" s="162"/>
      <c r="BS160" s="131"/>
      <c r="BT160" s="131"/>
      <c r="BU160" s="131"/>
      <c r="BV160" s="131"/>
      <c r="BW160" s="131"/>
      <c r="BX160" s="131"/>
      <c r="BY160" s="131"/>
      <c r="BZ160" s="131"/>
      <c r="CA160" s="131"/>
      <c r="CB160" s="131"/>
      <c r="CC160" s="131"/>
      <c r="CD160" s="131"/>
      <c r="CE160" s="131"/>
      <c r="CF160" s="131"/>
      <c r="CG160" s="131"/>
      <c r="CH160" s="131"/>
    </row>
    <row r="161" ht="18.75" customHeight="1">
      <c r="C161" s="64"/>
      <c r="E161" s="64"/>
      <c r="F161" s="64"/>
      <c r="G161" s="64"/>
      <c r="AH161" s="162"/>
      <c r="AI161" s="162"/>
      <c r="AJ161" s="162"/>
      <c r="AK161" s="162"/>
      <c r="BS161" s="131"/>
      <c r="BT161" s="131"/>
      <c r="BU161" s="131"/>
      <c r="BV161" s="131"/>
      <c r="BW161" s="131"/>
      <c r="BX161" s="131"/>
      <c r="BY161" s="131"/>
      <c r="BZ161" s="131"/>
      <c r="CA161" s="131"/>
      <c r="CB161" s="131"/>
      <c r="CC161" s="131"/>
      <c r="CD161" s="131"/>
      <c r="CE161" s="131"/>
      <c r="CF161" s="131"/>
      <c r="CG161" s="131"/>
      <c r="CH161" s="131"/>
    </row>
    <row r="162" ht="18.75" customHeight="1">
      <c r="C162" s="64"/>
      <c r="E162" s="64"/>
      <c r="F162" s="64"/>
      <c r="G162" s="64"/>
      <c r="AH162" s="162"/>
      <c r="AI162" s="162"/>
      <c r="AJ162" s="162"/>
      <c r="AK162" s="162"/>
      <c r="BS162" s="131"/>
      <c r="BT162" s="131"/>
      <c r="BU162" s="131"/>
      <c r="BV162" s="131"/>
      <c r="BW162" s="131"/>
      <c r="BX162" s="131"/>
      <c r="BY162" s="131"/>
      <c r="BZ162" s="131"/>
      <c r="CA162" s="131"/>
      <c r="CB162" s="131"/>
      <c r="CC162" s="131"/>
      <c r="CD162" s="131"/>
      <c r="CE162" s="131"/>
      <c r="CF162" s="131"/>
      <c r="CG162" s="131"/>
      <c r="CH162" s="131"/>
    </row>
    <row r="163" ht="18.75" customHeight="1">
      <c r="C163" s="64"/>
      <c r="E163" s="64"/>
      <c r="F163" s="64"/>
      <c r="G163" s="64"/>
      <c r="AH163" s="162"/>
      <c r="AI163" s="162"/>
      <c r="AJ163" s="162"/>
      <c r="AK163" s="162"/>
      <c r="BS163" s="131"/>
      <c r="BT163" s="131"/>
      <c r="BU163" s="131"/>
      <c r="BV163" s="131"/>
      <c r="BW163" s="131"/>
      <c r="BX163" s="131"/>
      <c r="BY163" s="131"/>
      <c r="BZ163" s="131"/>
      <c r="CA163" s="131"/>
      <c r="CB163" s="131"/>
      <c r="CC163" s="131"/>
      <c r="CD163" s="131"/>
      <c r="CE163" s="131"/>
      <c r="CF163" s="131"/>
      <c r="CG163" s="131"/>
      <c r="CH163" s="131"/>
    </row>
    <row r="164" ht="18.75" customHeight="1">
      <c r="C164" s="64"/>
      <c r="E164" s="64"/>
      <c r="F164" s="64"/>
      <c r="G164" s="64"/>
      <c r="AH164" s="162"/>
      <c r="AI164" s="162"/>
      <c r="AJ164" s="162"/>
      <c r="AK164" s="162"/>
      <c r="BS164" s="131"/>
      <c r="BT164" s="131"/>
      <c r="BU164" s="131"/>
      <c r="BV164" s="131"/>
      <c r="BW164" s="131"/>
      <c r="BX164" s="131"/>
      <c r="BY164" s="131"/>
      <c r="BZ164" s="131"/>
      <c r="CA164" s="131"/>
      <c r="CB164" s="131"/>
      <c r="CC164" s="131"/>
      <c r="CD164" s="131"/>
      <c r="CE164" s="131"/>
      <c r="CF164" s="131"/>
      <c r="CG164" s="131"/>
      <c r="CH164" s="131"/>
    </row>
    <row r="165" ht="18.75" customHeight="1">
      <c r="C165" s="64"/>
      <c r="E165" s="64"/>
      <c r="F165" s="64"/>
      <c r="G165" s="64"/>
      <c r="AH165" s="162"/>
      <c r="AI165" s="162"/>
      <c r="AJ165" s="162"/>
      <c r="AK165" s="162"/>
      <c r="BS165" s="131"/>
      <c r="BT165" s="131"/>
      <c r="BU165" s="131"/>
      <c r="BV165" s="131"/>
      <c r="BW165" s="131"/>
      <c r="BX165" s="131"/>
      <c r="BY165" s="131"/>
      <c r="BZ165" s="131"/>
      <c r="CA165" s="131"/>
      <c r="CB165" s="131"/>
      <c r="CC165" s="131"/>
      <c r="CD165" s="131"/>
      <c r="CE165" s="131"/>
      <c r="CF165" s="131"/>
      <c r="CG165" s="131"/>
      <c r="CH165" s="131"/>
    </row>
    <row r="166" ht="18.75" customHeight="1">
      <c r="C166" s="64"/>
      <c r="E166" s="64"/>
      <c r="F166" s="64"/>
      <c r="G166" s="64"/>
      <c r="AH166" s="162"/>
      <c r="AI166" s="162"/>
      <c r="AJ166" s="162"/>
      <c r="AK166" s="162"/>
      <c r="BS166" s="131"/>
      <c r="BT166" s="131"/>
      <c r="BU166" s="131"/>
      <c r="BV166" s="131"/>
      <c r="BW166" s="131"/>
      <c r="BX166" s="131"/>
      <c r="BY166" s="131"/>
      <c r="BZ166" s="131"/>
      <c r="CA166" s="131"/>
      <c r="CB166" s="131"/>
      <c r="CC166" s="131"/>
      <c r="CD166" s="131"/>
      <c r="CE166" s="131"/>
      <c r="CF166" s="131"/>
      <c r="CG166" s="131"/>
      <c r="CH166" s="131"/>
    </row>
    <row r="167" ht="18.75" customHeight="1">
      <c r="C167" s="64"/>
      <c r="E167" s="64"/>
      <c r="F167" s="64"/>
      <c r="G167" s="64"/>
      <c r="AH167" s="162"/>
      <c r="AI167" s="162"/>
      <c r="AJ167" s="162"/>
      <c r="AK167" s="162"/>
      <c r="BS167" s="131"/>
      <c r="BT167" s="131"/>
      <c r="BU167" s="131"/>
      <c r="BV167" s="131"/>
      <c r="BW167" s="131"/>
      <c r="BX167" s="131"/>
      <c r="BY167" s="131"/>
      <c r="BZ167" s="131"/>
      <c r="CA167" s="131"/>
      <c r="CB167" s="131"/>
      <c r="CC167" s="131"/>
      <c r="CD167" s="131"/>
      <c r="CE167" s="131"/>
      <c r="CF167" s="131"/>
      <c r="CG167" s="131"/>
      <c r="CH167" s="131"/>
    </row>
    <row r="168" ht="18.75" customHeight="1">
      <c r="C168" s="64"/>
      <c r="E168" s="64"/>
      <c r="F168" s="64"/>
      <c r="G168" s="64"/>
      <c r="AH168" s="162"/>
      <c r="AI168" s="162"/>
      <c r="AJ168" s="162"/>
      <c r="AK168" s="162"/>
      <c r="BS168" s="131"/>
      <c r="BT168" s="131"/>
      <c r="BU168" s="131"/>
      <c r="BV168" s="131"/>
      <c r="BW168" s="131"/>
      <c r="BX168" s="131"/>
      <c r="BY168" s="131"/>
      <c r="BZ168" s="131"/>
      <c r="CA168" s="131"/>
      <c r="CB168" s="131"/>
      <c r="CC168" s="131"/>
      <c r="CD168" s="131"/>
      <c r="CE168" s="131"/>
      <c r="CF168" s="131"/>
      <c r="CG168" s="131"/>
      <c r="CH168" s="131"/>
    </row>
    <row r="169" ht="18.75" customHeight="1">
      <c r="C169" s="64"/>
      <c r="E169" s="64"/>
      <c r="F169" s="64"/>
      <c r="G169" s="64"/>
      <c r="AH169" s="162"/>
      <c r="AI169" s="162"/>
      <c r="AJ169" s="162"/>
      <c r="AK169" s="162"/>
      <c r="BS169" s="131"/>
      <c r="BT169" s="131"/>
      <c r="BU169" s="131"/>
      <c r="BV169" s="131"/>
      <c r="BW169" s="131"/>
      <c r="BX169" s="131"/>
      <c r="BY169" s="131"/>
      <c r="BZ169" s="131"/>
      <c r="CA169" s="131"/>
      <c r="CB169" s="131"/>
      <c r="CC169" s="131"/>
      <c r="CD169" s="131"/>
      <c r="CE169" s="131"/>
      <c r="CF169" s="131"/>
      <c r="CG169" s="131"/>
      <c r="CH169" s="131"/>
    </row>
    <row r="170" ht="18.75" customHeight="1">
      <c r="C170" s="64"/>
      <c r="E170" s="64"/>
      <c r="F170" s="64"/>
      <c r="G170" s="64"/>
      <c r="AH170" s="162"/>
      <c r="AI170" s="162"/>
      <c r="AJ170" s="162"/>
      <c r="AK170" s="162"/>
      <c r="BS170" s="131"/>
      <c r="BT170" s="131"/>
      <c r="BU170" s="131"/>
      <c r="BV170" s="131"/>
      <c r="BW170" s="131"/>
      <c r="BX170" s="131"/>
      <c r="BY170" s="131"/>
      <c r="BZ170" s="131"/>
      <c r="CA170" s="131"/>
      <c r="CB170" s="131"/>
      <c r="CC170" s="131"/>
      <c r="CD170" s="131"/>
      <c r="CE170" s="131"/>
      <c r="CF170" s="131"/>
      <c r="CG170" s="131"/>
      <c r="CH170" s="131"/>
    </row>
    <row r="171" ht="18.75" customHeight="1">
      <c r="C171" s="64"/>
      <c r="E171" s="64"/>
      <c r="F171" s="64"/>
      <c r="G171" s="64"/>
      <c r="AH171" s="162"/>
      <c r="AI171" s="162"/>
      <c r="AJ171" s="162"/>
      <c r="AK171" s="162"/>
      <c r="BS171" s="131"/>
      <c r="BT171" s="131"/>
      <c r="BU171" s="131"/>
      <c r="BV171" s="131"/>
      <c r="BW171" s="131"/>
      <c r="BX171" s="131"/>
      <c r="BY171" s="131"/>
      <c r="BZ171" s="131"/>
      <c r="CA171" s="131"/>
      <c r="CB171" s="131"/>
      <c r="CC171" s="131"/>
      <c r="CD171" s="131"/>
      <c r="CE171" s="131"/>
      <c r="CF171" s="131"/>
      <c r="CG171" s="131"/>
      <c r="CH171" s="131"/>
    </row>
    <row r="172" ht="18.75" customHeight="1">
      <c r="C172" s="64"/>
      <c r="E172" s="64"/>
      <c r="F172" s="64"/>
      <c r="G172" s="64"/>
      <c r="AH172" s="162"/>
      <c r="AI172" s="162"/>
      <c r="AJ172" s="162"/>
      <c r="AK172" s="162"/>
      <c r="BS172" s="131"/>
      <c r="BT172" s="131"/>
      <c r="BU172" s="131"/>
      <c r="BV172" s="131"/>
      <c r="BW172" s="131"/>
      <c r="BX172" s="131"/>
      <c r="BY172" s="131"/>
      <c r="BZ172" s="131"/>
      <c r="CA172" s="131"/>
      <c r="CB172" s="131"/>
      <c r="CC172" s="131"/>
      <c r="CD172" s="131"/>
      <c r="CE172" s="131"/>
      <c r="CF172" s="131"/>
      <c r="CG172" s="131"/>
      <c r="CH172" s="131"/>
    </row>
    <row r="173" ht="18.75" customHeight="1">
      <c r="C173" s="64"/>
      <c r="E173" s="64"/>
      <c r="F173" s="64"/>
      <c r="G173" s="64"/>
      <c r="AH173" s="162"/>
      <c r="AI173" s="162"/>
      <c r="AJ173" s="162"/>
      <c r="AK173" s="162"/>
      <c r="BS173" s="131"/>
      <c r="BT173" s="131"/>
      <c r="BU173" s="131"/>
      <c r="BV173" s="131"/>
      <c r="BW173" s="131"/>
      <c r="BX173" s="131"/>
      <c r="BY173" s="131"/>
      <c r="BZ173" s="131"/>
      <c r="CA173" s="131"/>
      <c r="CB173" s="131"/>
      <c r="CC173" s="131"/>
      <c r="CD173" s="131"/>
      <c r="CE173" s="131"/>
      <c r="CF173" s="131"/>
      <c r="CG173" s="131"/>
      <c r="CH173" s="131"/>
    </row>
    <row r="174" ht="18.75" customHeight="1">
      <c r="C174" s="64"/>
      <c r="E174" s="64"/>
      <c r="F174" s="64"/>
      <c r="G174" s="64"/>
      <c r="AH174" s="162"/>
      <c r="AI174" s="162"/>
      <c r="AJ174" s="162"/>
      <c r="AK174" s="162"/>
      <c r="BS174" s="131"/>
      <c r="BT174" s="131"/>
      <c r="BU174" s="131"/>
      <c r="BV174" s="131"/>
      <c r="BW174" s="131"/>
      <c r="BX174" s="131"/>
      <c r="BY174" s="131"/>
      <c r="BZ174" s="131"/>
      <c r="CA174" s="131"/>
      <c r="CB174" s="131"/>
      <c r="CC174" s="131"/>
      <c r="CD174" s="131"/>
      <c r="CE174" s="131"/>
      <c r="CF174" s="131"/>
      <c r="CG174" s="131"/>
      <c r="CH174" s="131"/>
    </row>
    <row r="175" ht="18.75" customHeight="1">
      <c r="C175" s="64"/>
      <c r="E175" s="64"/>
      <c r="F175" s="64"/>
      <c r="G175" s="64"/>
      <c r="AH175" s="162"/>
      <c r="AI175" s="162"/>
      <c r="AJ175" s="162"/>
      <c r="AK175" s="162"/>
      <c r="BS175" s="131"/>
      <c r="BT175" s="131"/>
      <c r="BU175" s="131"/>
      <c r="BV175" s="131"/>
      <c r="BW175" s="131"/>
      <c r="BX175" s="131"/>
      <c r="BY175" s="131"/>
      <c r="BZ175" s="131"/>
      <c r="CA175" s="131"/>
      <c r="CB175" s="131"/>
      <c r="CC175" s="131"/>
      <c r="CD175" s="131"/>
      <c r="CE175" s="131"/>
      <c r="CF175" s="131"/>
      <c r="CG175" s="131"/>
      <c r="CH175" s="131"/>
    </row>
    <row r="176" ht="18.75" customHeight="1">
      <c r="C176" s="64"/>
      <c r="E176" s="64"/>
      <c r="F176" s="64"/>
      <c r="G176" s="64"/>
      <c r="AH176" s="162"/>
      <c r="AI176" s="162"/>
      <c r="AJ176" s="162"/>
      <c r="AK176" s="162"/>
      <c r="BS176" s="131"/>
      <c r="BT176" s="131"/>
      <c r="BU176" s="131"/>
      <c r="BV176" s="131"/>
      <c r="BW176" s="131"/>
      <c r="BX176" s="131"/>
      <c r="BY176" s="131"/>
      <c r="BZ176" s="131"/>
      <c r="CA176" s="131"/>
      <c r="CB176" s="131"/>
      <c r="CC176" s="131"/>
      <c r="CD176" s="131"/>
      <c r="CE176" s="131"/>
      <c r="CF176" s="131"/>
      <c r="CG176" s="131"/>
      <c r="CH176" s="131"/>
    </row>
    <row r="177" ht="18.75" customHeight="1">
      <c r="C177" s="64"/>
      <c r="E177" s="64"/>
      <c r="F177" s="64"/>
      <c r="G177" s="64"/>
      <c r="AH177" s="162"/>
      <c r="AI177" s="162"/>
      <c r="AJ177" s="162"/>
      <c r="AK177" s="162"/>
      <c r="BS177" s="131"/>
      <c r="BT177" s="131"/>
      <c r="BU177" s="131"/>
      <c r="BV177" s="131"/>
      <c r="BW177" s="131"/>
      <c r="BX177" s="131"/>
      <c r="BY177" s="131"/>
      <c r="BZ177" s="131"/>
      <c r="CA177" s="131"/>
      <c r="CB177" s="131"/>
      <c r="CC177" s="131"/>
      <c r="CD177" s="131"/>
      <c r="CE177" s="131"/>
      <c r="CF177" s="131"/>
      <c r="CG177" s="131"/>
      <c r="CH177" s="131"/>
    </row>
    <row r="178" ht="18.75" customHeight="1">
      <c r="C178" s="64"/>
      <c r="E178" s="64"/>
      <c r="F178" s="64"/>
      <c r="G178" s="64"/>
      <c r="AH178" s="162"/>
      <c r="AI178" s="162"/>
      <c r="AJ178" s="162"/>
      <c r="AK178" s="162"/>
      <c r="BS178" s="131"/>
      <c r="BT178" s="131"/>
      <c r="BU178" s="131"/>
      <c r="BV178" s="131"/>
      <c r="BW178" s="131"/>
      <c r="BX178" s="131"/>
      <c r="BY178" s="131"/>
      <c r="BZ178" s="131"/>
      <c r="CA178" s="131"/>
      <c r="CB178" s="131"/>
      <c r="CC178" s="131"/>
      <c r="CD178" s="131"/>
      <c r="CE178" s="131"/>
      <c r="CF178" s="131"/>
      <c r="CG178" s="131"/>
      <c r="CH178" s="131"/>
    </row>
    <row r="179" ht="18.75" customHeight="1">
      <c r="C179" s="64"/>
      <c r="E179" s="64"/>
      <c r="F179" s="64"/>
      <c r="G179" s="64"/>
      <c r="AH179" s="162"/>
      <c r="AI179" s="162"/>
      <c r="AJ179" s="162"/>
      <c r="AK179" s="162"/>
      <c r="BS179" s="131"/>
      <c r="BT179" s="131"/>
      <c r="BU179" s="131"/>
      <c r="BV179" s="131"/>
      <c r="BW179" s="131"/>
      <c r="BX179" s="131"/>
      <c r="BY179" s="131"/>
      <c r="BZ179" s="131"/>
      <c r="CA179" s="131"/>
      <c r="CB179" s="131"/>
      <c r="CC179" s="131"/>
      <c r="CD179" s="131"/>
      <c r="CE179" s="131"/>
      <c r="CF179" s="131"/>
      <c r="CG179" s="131"/>
      <c r="CH179" s="131"/>
    </row>
    <row r="180" ht="18.75" customHeight="1">
      <c r="C180" s="64"/>
      <c r="E180" s="64"/>
      <c r="F180" s="64"/>
      <c r="G180" s="64"/>
      <c r="AH180" s="162"/>
      <c r="AI180" s="162"/>
      <c r="AJ180" s="162"/>
      <c r="AK180" s="162"/>
      <c r="BS180" s="131"/>
      <c r="BT180" s="131"/>
      <c r="BU180" s="131"/>
      <c r="BV180" s="131"/>
      <c r="BW180" s="131"/>
      <c r="BX180" s="131"/>
      <c r="BY180" s="131"/>
      <c r="BZ180" s="131"/>
      <c r="CA180" s="131"/>
      <c r="CB180" s="131"/>
      <c r="CC180" s="131"/>
      <c r="CD180" s="131"/>
      <c r="CE180" s="131"/>
      <c r="CF180" s="131"/>
      <c r="CG180" s="131"/>
      <c r="CH180" s="131"/>
    </row>
    <row r="181" ht="18.75" customHeight="1">
      <c r="C181" s="64"/>
      <c r="E181" s="64"/>
      <c r="F181" s="64"/>
      <c r="G181" s="64"/>
      <c r="AH181" s="162"/>
      <c r="AI181" s="162"/>
      <c r="AJ181" s="162"/>
      <c r="AK181" s="162"/>
      <c r="BS181" s="131"/>
      <c r="BT181" s="131"/>
      <c r="BU181" s="131"/>
      <c r="BV181" s="131"/>
      <c r="BW181" s="131"/>
      <c r="BX181" s="131"/>
      <c r="BY181" s="131"/>
      <c r="BZ181" s="131"/>
      <c r="CA181" s="131"/>
      <c r="CB181" s="131"/>
      <c r="CC181" s="131"/>
      <c r="CD181" s="131"/>
      <c r="CE181" s="131"/>
      <c r="CF181" s="131"/>
      <c r="CG181" s="131"/>
      <c r="CH181" s="131"/>
    </row>
    <row r="182" ht="18.75" customHeight="1">
      <c r="C182" s="64"/>
      <c r="E182" s="64"/>
      <c r="F182" s="64"/>
      <c r="G182" s="64"/>
      <c r="AH182" s="162"/>
      <c r="AI182" s="162"/>
      <c r="AJ182" s="162"/>
      <c r="AK182" s="162"/>
      <c r="BS182" s="131"/>
      <c r="BT182" s="131"/>
      <c r="BU182" s="131"/>
      <c r="BV182" s="131"/>
      <c r="BW182" s="131"/>
      <c r="BX182" s="131"/>
      <c r="BY182" s="131"/>
      <c r="BZ182" s="131"/>
      <c r="CA182" s="131"/>
      <c r="CB182" s="131"/>
      <c r="CC182" s="131"/>
      <c r="CD182" s="131"/>
      <c r="CE182" s="131"/>
      <c r="CF182" s="131"/>
      <c r="CG182" s="131"/>
      <c r="CH182" s="131"/>
    </row>
    <row r="183" ht="18.75" customHeight="1">
      <c r="C183" s="64"/>
      <c r="E183" s="64"/>
      <c r="F183" s="64"/>
      <c r="G183" s="64"/>
      <c r="AH183" s="162"/>
      <c r="AI183" s="162"/>
      <c r="AJ183" s="162"/>
      <c r="AK183" s="162"/>
      <c r="BS183" s="131"/>
      <c r="BT183" s="131"/>
      <c r="BU183" s="131"/>
      <c r="BV183" s="131"/>
      <c r="BW183" s="131"/>
      <c r="BX183" s="131"/>
      <c r="BY183" s="131"/>
      <c r="BZ183" s="131"/>
      <c r="CA183" s="131"/>
      <c r="CB183" s="131"/>
      <c r="CC183" s="131"/>
      <c r="CD183" s="131"/>
      <c r="CE183" s="131"/>
      <c r="CF183" s="131"/>
      <c r="CG183" s="131"/>
      <c r="CH183" s="131"/>
    </row>
    <row r="184" ht="18.75" customHeight="1">
      <c r="C184" s="64"/>
      <c r="E184" s="64"/>
      <c r="F184" s="64"/>
      <c r="G184" s="64"/>
      <c r="AH184" s="162"/>
      <c r="AI184" s="162"/>
      <c r="AJ184" s="162"/>
      <c r="AK184" s="162"/>
      <c r="BS184" s="131"/>
      <c r="BT184" s="131"/>
      <c r="BU184" s="131"/>
      <c r="BV184" s="131"/>
      <c r="BW184" s="131"/>
      <c r="BX184" s="131"/>
      <c r="BY184" s="131"/>
      <c r="BZ184" s="131"/>
      <c r="CA184" s="131"/>
      <c r="CB184" s="131"/>
      <c r="CC184" s="131"/>
      <c r="CD184" s="131"/>
      <c r="CE184" s="131"/>
      <c r="CF184" s="131"/>
      <c r="CG184" s="131"/>
      <c r="CH184" s="131"/>
    </row>
    <row r="185" ht="18.75" customHeight="1">
      <c r="C185" s="64"/>
      <c r="E185" s="64"/>
      <c r="F185" s="64"/>
      <c r="G185" s="64"/>
      <c r="AH185" s="162"/>
      <c r="AI185" s="162"/>
      <c r="AJ185" s="162"/>
      <c r="AK185" s="162"/>
      <c r="BS185" s="131"/>
      <c r="BT185" s="131"/>
      <c r="BU185" s="131"/>
      <c r="BV185" s="131"/>
      <c r="BW185" s="131"/>
      <c r="BX185" s="131"/>
      <c r="BY185" s="131"/>
      <c r="BZ185" s="131"/>
      <c r="CA185" s="131"/>
      <c r="CB185" s="131"/>
      <c r="CC185" s="131"/>
      <c r="CD185" s="131"/>
      <c r="CE185" s="131"/>
      <c r="CF185" s="131"/>
      <c r="CG185" s="131"/>
      <c r="CH185" s="131"/>
    </row>
    <row r="186" ht="18.75" customHeight="1">
      <c r="C186" s="64"/>
      <c r="E186" s="64"/>
      <c r="F186" s="64"/>
      <c r="G186" s="64"/>
      <c r="AH186" s="162"/>
      <c r="AI186" s="162"/>
      <c r="AJ186" s="162"/>
      <c r="AK186" s="162"/>
      <c r="BS186" s="131"/>
      <c r="BT186" s="131"/>
      <c r="BU186" s="131"/>
      <c r="BV186" s="131"/>
      <c r="BW186" s="131"/>
      <c r="BX186" s="131"/>
      <c r="BY186" s="131"/>
      <c r="BZ186" s="131"/>
      <c r="CA186" s="131"/>
      <c r="CB186" s="131"/>
      <c r="CC186" s="131"/>
      <c r="CD186" s="131"/>
      <c r="CE186" s="131"/>
      <c r="CF186" s="131"/>
      <c r="CG186" s="131"/>
      <c r="CH186" s="131"/>
    </row>
    <row r="187" ht="18.75" customHeight="1">
      <c r="C187" s="64"/>
      <c r="E187" s="64"/>
      <c r="F187" s="64"/>
      <c r="G187" s="64"/>
      <c r="AH187" s="162"/>
      <c r="AI187" s="162"/>
      <c r="AJ187" s="162"/>
      <c r="AK187" s="162"/>
      <c r="BS187" s="131"/>
      <c r="BT187" s="131"/>
      <c r="BU187" s="131"/>
      <c r="BV187" s="131"/>
      <c r="BW187" s="131"/>
      <c r="BX187" s="131"/>
      <c r="BY187" s="131"/>
      <c r="BZ187" s="131"/>
      <c r="CA187" s="131"/>
      <c r="CB187" s="131"/>
      <c r="CC187" s="131"/>
      <c r="CD187" s="131"/>
      <c r="CE187" s="131"/>
      <c r="CF187" s="131"/>
      <c r="CG187" s="131"/>
      <c r="CH187" s="131"/>
    </row>
    <row r="188" ht="18.75" customHeight="1">
      <c r="C188" s="64"/>
      <c r="E188" s="64"/>
      <c r="F188" s="64"/>
      <c r="G188" s="64"/>
      <c r="AH188" s="162"/>
      <c r="AI188" s="162"/>
      <c r="AJ188" s="162"/>
      <c r="AK188" s="162"/>
      <c r="BS188" s="131"/>
      <c r="BT188" s="131"/>
      <c r="BU188" s="131"/>
      <c r="BV188" s="131"/>
      <c r="BW188" s="131"/>
      <c r="BX188" s="131"/>
      <c r="BY188" s="131"/>
      <c r="BZ188" s="131"/>
      <c r="CA188" s="131"/>
      <c r="CB188" s="131"/>
      <c r="CC188" s="131"/>
      <c r="CD188" s="131"/>
      <c r="CE188" s="131"/>
      <c r="CF188" s="131"/>
      <c r="CG188" s="131"/>
      <c r="CH188" s="131"/>
    </row>
    <row r="189" ht="18.75" customHeight="1">
      <c r="C189" s="64"/>
      <c r="E189" s="64"/>
      <c r="F189" s="64"/>
      <c r="G189" s="64"/>
      <c r="AH189" s="162"/>
      <c r="AI189" s="162"/>
      <c r="AJ189" s="162"/>
      <c r="AK189" s="162"/>
      <c r="BS189" s="131"/>
      <c r="BT189" s="131"/>
      <c r="BU189" s="131"/>
      <c r="BV189" s="131"/>
      <c r="BW189" s="131"/>
      <c r="BX189" s="131"/>
      <c r="BY189" s="131"/>
      <c r="BZ189" s="131"/>
      <c r="CA189" s="131"/>
      <c r="CB189" s="131"/>
      <c r="CC189" s="131"/>
      <c r="CD189" s="131"/>
      <c r="CE189" s="131"/>
      <c r="CF189" s="131"/>
      <c r="CG189" s="131"/>
      <c r="CH189" s="131"/>
    </row>
    <row r="190" ht="18.75" customHeight="1">
      <c r="C190" s="64"/>
      <c r="E190" s="64"/>
      <c r="F190" s="64"/>
      <c r="G190" s="64"/>
      <c r="AH190" s="162"/>
      <c r="AI190" s="162"/>
      <c r="AJ190" s="162"/>
      <c r="AK190" s="162"/>
      <c r="BS190" s="131"/>
      <c r="BT190" s="131"/>
      <c r="BU190" s="131"/>
      <c r="BV190" s="131"/>
      <c r="BW190" s="131"/>
      <c r="BX190" s="131"/>
      <c r="BY190" s="131"/>
      <c r="BZ190" s="131"/>
      <c r="CA190" s="131"/>
      <c r="CB190" s="131"/>
      <c r="CC190" s="131"/>
      <c r="CD190" s="131"/>
      <c r="CE190" s="131"/>
      <c r="CF190" s="131"/>
      <c r="CG190" s="131"/>
      <c r="CH190" s="131"/>
    </row>
    <row r="191" ht="18.75" customHeight="1">
      <c r="C191" s="64"/>
      <c r="E191" s="64"/>
      <c r="F191" s="64"/>
      <c r="G191" s="64"/>
      <c r="AH191" s="162"/>
      <c r="AI191" s="162"/>
      <c r="AJ191" s="162"/>
      <c r="AK191" s="162"/>
      <c r="BS191" s="131"/>
      <c r="BT191" s="131"/>
      <c r="BU191" s="131"/>
      <c r="BV191" s="131"/>
      <c r="BW191" s="131"/>
      <c r="BX191" s="131"/>
      <c r="BY191" s="131"/>
      <c r="BZ191" s="131"/>
      <c r="CA191" s="131"/>
      <c r="CB191" s="131"/>
      <c r="CC191" s="131"/>
      <c r="CD191" s="131"/>
      <c r="CE191" s="131"/>
      <c r="CF191" s="131"/>
      <c r="CG191" s="131"/>
      <c r="CH191" s="131"/>
    </row>
    <row r="192" ht="18.75" customHeight="1">
      <c r="C192" s="64"/>
      <c r="E192" s="64"/>
      <c r="F192" s="64"/>
      <c r="G192" s="64"/>
      <c r="AH192" s="162"/>
      <c r="AI192" s="162"/>
      <c r="AJ192" s="162"/>
      <c r="AK192" s="162"/>
      <c r="BS192" s="131"/>
      <c r="BT192" s="131"/>
      <c r="BU192" s="131"/>
      <c r="BV192" s="131"/>
      <c r="BW192" s="131"/>
      <c r="BX192" s="131"/>
      <c r="BY192" s="131"/>
      <c r="BZ192" s="131"/>
      <c r="CA192" s="131"/>
      <c r="CB192" s="131"/>
      <c r="CC192" s="131"/>
      <c r="CD192" s="131"/>
      <c r="CE192" s="131"/>
      <c r="CF192" s="131"/>
      <c r="CG192" s="131"/>
      <c r="CH192" s="131"/>
    </row>
    <row r="193" ht="18.75" customHeight="1">
      <c r="C193" s="64"/>
      <c r="E193" s="64"/>
      <c r="F193" s="64"/>
      <c r="G193" s="64"/>
      <c r="AH193" s="162"/>
      <c r="AI193" s="162"/>
      <c r="AJ193" s="162"/>
      <c r="AK193" s="162"/>
      <c r="BS193" s="131"/>
      <c r="BT193" s="131"/>
      <c r="BU193" s="131"/>
      <c r="BV193" s="131"/>
      <c r="BW193" s="131"/>
      <c r="BX193" s="131"/>
      <c r="BY193" s="131"/>
      <c r="BZ193" s="131"/>
      <c r="CA193" s="131"/>
      <c r="CB193" s="131"/>
      <c r="CC193" s="131"/>
      <c r="CD193" s="131"/>
      <c r="CE193" s="131"/>
      <c r="CF193" s="131"/>
      <c r="CG193" s="131"/>
      <c r="CH193" s="131"/>
    </row>
    <row r="194" ht="18.75" customHeight="1">
      <c r="C194" s="64"/>
      <c r="E194" s="64"/>
      <c r="F194" s="64"/>
      <c r="G194" s="64"/>
      <c r="AH194" s="162"/>
      <c r="AI194" s="162"/>
      <c r="AJ194" s="162"/>
      <c r="AK194" s="162"/>
      <c r="BS194" s="131"/>
      <c r="BT194" s="131"/>
      <c r="BU194" s="131"/>
      <c r="BV194" s="131"/>
      <c r="BW194" s="131"/>
      <c r="BX194" s="131"/>
      <c r="BY194" s="131"/>
      <c r="BZ194" s="131"/>
      <c r="CA194" s="131"/>
      <c r="CB194" s="131"/>
      <c r="CC194" s="131"/>
      <c r="CD194" s="131"/>
      <c r="CE194" s="131"/>
      <c r="CF194" s="131"/>
      <c r="CG194" s="131"/>
      <c r="CH194" s="131"/>
    </row>
    <row r="195" ht="18.75" customHeight="1">
      <c r="C195" s="64"/>
      <c r="E195" s="64"/>
      <c r="F195" s="64"/>
      <c r="G195" s="64"/>
      <c r="AH195" s="162"/>
      <c r="AI195" s="162"/>
      <c r="AJ195" s="162"/>
      <c r="AK195" s="162"/>
      <c r="BS195" s="131"/>
      <c r="BT195" s="131"/>
      <c r="BU195" s="131"/>
      <c r="BV195" s="131"/>
      <c r="BW195" s="131"/>
      <c r="BX195" s="131"/>
      <c r="BY195" s="131"/>
      <c r="BZ195" s="131"/>
      <c r="CA195" s="131"/>
      <c r="CB195" s="131"/>
      <c r="CC195" s="131"/>
      <c r="CD195" s="131"/>
      <c r="CE195" s="131"/>
      <c r="CF195" s="131"/>
      <c r="CG195" s="131"/>
      <c r="CH195" s="131"/>
    </row>
    <row r="196" ht="18.75" customHeight="1">
      <c r="C196" s="64"/>
      <c r="E196" s="64"/>
      <c r="F196" s="64"/>
      <c r="G196" s="64"/>
      <c r="AH196" s="162"/>
      <c r="AI196" s="162"/>
      <c r="AJ196" s="162"/>
      <c r="AK196" s="162"/>
      <c r="BS196" s="131"/>
      <c r="BT196" s="131"/>
      <c r="BU196" s="131"/>
      <c r="BV196" s="131"/>
      <c r="BW196" s="131"/>
      <c r="BX196" s="131"/>
      <c r="BY196" s="131"/>
      <c r="BZ196" s="131"/>
      <c r="CA196" s="131"/>
      <c r="CB196" s="131"/>
      <c r="CC196" s="131"/>
      <c r="CD196" s="131"/>
      <c r="CE196" s="131"/>
      <c r="CF196" s="131"/>
      <c r="CG196" s="131"/>
      <c r="CH196" s="131"/>
    </row>
    <row r="197" ht="18.75" customHeight="1">
      <c r="C197" s="64"/>
      <c r="E197" s="64"/>
      <c r="F197" s="64"/>
      <c r="G197" s="64"/>
      <c r="AH197" s="162"/>
      <c r="AI197" s="162"/>
      <c r="AJ197" s="162"/>
      <c r="AK197" s="162"/>
      <c r="BS197" s="131"/>
      <c r="BT197" s="131"/>
      <c r="BU197" s="131"/>
      <c r="BV197" s="131"/>
      <c r="BW197" s="131"/>
      <c r="BX197" s="131"/>
      <c r="BY197" s="131"/>
      <c r="BZ197" s="131"/>
      <c r="CA197" s="131"/>
      <c r="CB197" s="131"/>
      <c r="CC197" s="131"/>
      <c r="CD197" s="131"/>
      <c r="CE197" s="131"/>
      <c r="CF197" s="131"/>
      <c r="CG197" s="131"/>
      <c r="CH197" s="131"/>
    </row>
    <row r="198" ht="18.75" customHeight="1">
      <c r="C198" s="64"/>
      <c r="E198" s="64"/>
      <c r="F198" s="64"/>
      <c r="G198" s="64"/>
      <c r="AH198" s="162"/>
      <c r="AI198" s="162"/>
      <c r="AJ198" s="162"/>
      <c r="AK198" s="162"/>
      <c r="BS198" s="131"/>
      <c r="BT198" s="131"/>
      <c r="BU198" s="131"/>
      <c r="BV198" s="131"/>
      <c r="BW198" s="131"/>
      <c r="BX198" s="131"/>
      <c r="BY198" s="131"/>
      <c r="BZ198" s="131"/>
      <c r="CA198" s="131"/>
      <c r="CB198" s="131"/>
      <c r="CC198" s="131"/>
      <c r="CD198" s="131"/>
      <c r="CE198" s="131"/>
      <c r="CF198" s="131"/>
      <c r="CG198" s="131"/>
      <c r="CH198" s="131"/>
    </row>
    <row r="199" ht="18.75" customHeight="1">
      <c r="C199" s="64"/>
      <c r="E199" s="64"/>
      <c r="F199" s="64"/>
      <c r="G199" s="64"/>
      <c r="AH199" s="162"/>
      <c r="AI199" s="162"/>
      <c r="AJ199" s="162"/>
      <c r="AK199" s="162"/>
      <c r="BS199" s="131"/>
      <c r="BT199" s="131"/>
      <c r="BU199" s="131"/>
      <c r="BV199" s="131"/>
      <c r="BW199" s="131"/>
      <c r="BX199" s="131"/>
      <c r="BY199" s="131"/>
      <c r="BZ199" s="131"/>
      <c r="CA199" s="131"/>
      <c r="CB199" s="131"/>
      <c r="CC199" s="131"/>
      <c r="CD199" s="131"/>
      <c r="CE199" s="131"/>
      <c r="CF199" s="131"/>
      <c r="CG199" s="131"/>
      <c r="CH199" s="131"/>
    </row>
    <row r="200" ht="18.75" customHeight="1">
      <c r="C200" s="64"/>
      <c r="E200" s="64"/>
      <c r="F200" s="64"/>
      <c r="G200" s="64"/>
      <c r="AH200" s="162"/>
      <c r="AI200" s="162"/>
      <c r="AJ200" s="162"/>
      <c r="AK200" s="162"/>
      <c r="BS200" s="131"/>
      <c r="BT200" s="131"/>
      <c r="BU200" s="131"/>
      <c r="BV200" s="131"/>
      <c r="BW200" s="131"/>
      <c r="BX200" s="131"/>
      <c r="BY200" s="131"/>
      <c r="BZ200" s="131"/>
      <c r="CA200" s="131"/>
      <c r="CB200" s="131"/>
      <c r="CC200" s="131"/>
      <c r="CD200" s="131"/>
      <c r="CE200" s="131"/>
      <c r="CF200" s="131"/>
      <c r="CG200" s="131"/>
      <c r="CH200" s="131"/>
    </row>
    <row r="201" ht="18.75" customHeight="1">
      <c r="C201" s="64"/>
      <c r="E201" s="64"/>
      <c r="F201" s="64"/>
      <c r="G201" s="64"/>
      <c r="AH201" s="162"/>
      <c r="AI201" s="162"/>
      <c r="AJ201" s="162"/>
      <c r="AK201" s="162"/>
      <c r="BS201" s="131"/>
      <c r="BT201" s="131"/>
      <c r="BU201" s="131"/>
      <c r="BV201" s="131"/>
      <c r="BW201" s="131"/>
      <c r="BX201" s="131"/>
      <c r="BY201" s="131"/>
      <c r="BZ201" s="131"/>
      <c r="CA201" s="131"/>
      <c r="CB201" s="131"/>
      <c r="CC201" s="131"/>
      <c r="CD201" s="131"/>
      <c r="CE201" s="131"/>
      <c r="CF201" s="131"/>
      <c r="CG201" s="131"/>
      <c r="CH201" s="131"/>
    </row>
    <row r="202" ht="18.75" customHeight="1">
      <c r="C202" s="64"/>
      <c r="E202" s="64"/>
      <c r="F202" s="64"/>
      <c r="G202" s="64"/>
      <c r="AH202" s="162"/>
      <c r="AI202" s="162"/>
      <c r="AJ202" s="162"/>
      <c r="AK202" s="162"/>
      <c r="BS202" s="131"/>
      <c r="BT202" s="131"/>
      <c r="BU202" s="131"/>
      <c r="BV202" s="131"/>
      <c r="BW202" s="131"/>
      <c r="BX202" s="131"/>
      <c r="BY202" s="131"/>
      <c r="BZ202" s="131"/>
      <c r="CA202" s="131"/>
      <c r="CB202" s="131"/>
      <c r="CC202" s="131"/>
      <c r="CD202" s="131"/>
      <c r="CE202" s="131"/>
      <c r="CF202" s="131"/>
      <c r="CG202" s="131"/>
      <c r="CH202" s="131"/>
    </row>
    <row r="203" ht="18.75" customHeight="1">
      <c r="C203" s="64"/>
      <c r="E203" s="64"/>
      <c r="F203" s="64"/>
      <c r="G203" s="64"/>
      <c r="AH203" s="162"/>
      <c r="AI203" s="162"/>
      <c r="AJ203" s="162"/>
      <c r="AK203" s="162"/>
      <c r="BS203" s="131"/>
      <c r="BT203" s="131"/>
      <c r="BU203" s="131"/>
      <c r="BV203" s="131"/>
      <c r="BW203" s="131"/>
      <c r="BX203" s="131"/>
      <c r="BY203" s="131"/>
      <c r="BZ203" s="131"/>
      <c r="CA203" s="131"/>
      <c r="CB203" s="131"/>
      <c r="CC203" s="131"/>
      <c r="CD203" s="131"/>
      <c r="CE203" s="131"/>
      <c r="CF203" s="131"/>
      <c r="CG203" s="131"/>
      <c r="CH203" s="131"/>
    </row>
    <row r="204" ht="18.75" customHeight="1">
      <c r="C204" s="64"/>
      <c r="E204" s="64"/>
      <c r="F204" s="64"/>
      <c r="G204" s="64"/>
      <c r="AH204" s="162"/>
      <c r="AI204" s="162"/>
      <c r="AJ204" s="162"/>
      <c r="AK204" s="162"/>
      <c r="BS204" s="131"/>
      <c r="BT204" s="131"/>
      <c r="BU204" s="131"/>
      <c r="BV204" s="131"/>
      <c r="BW204" s="131"/>
      <c r="BX204" s="131"/>
      <c r="BY204" s="131"/>
      <c r="BZ204" s="131"/>
      <c r="CA204" s="131"/>
      <c r="CB204" s="131"/>
      <c r="CC204" s="131"/>
      <c r="CD204" s="131"/>
      <c r="CE204" s="131"/>
      <c r="CF204" s="131"/>
      <c r="CG204" s="131"/>
      <c r="CH204" s="131"/>
    </row>
    <row r="205" ht="18.75" customHeight="1">
      <c r="C205" s="64"/>
      <c r="E205" s="64"/>
      <c r="F205" s="64"/>
      <c r="G205" s="64"/>
      <c r="AH205" s="162"/>
      <c r="AI205" s="162"/>
      <c r="AJ205" s="162"/>
      <c r="AK205" s="162"/>
      <c r="BS205" s="131"/>
      <c r="BT205" s="131"/>
      <c r="BU205" s="131"/>
      <c r="BV205" s="131"/>
      <c r="BW205" s="131"/>
      <c r="BX205" s="131"/>
      <c r="BY205" s="131"/>
      <c r="BZ205" s="131"/>
      <c r="CA205" s="131"/>
      <c r="CB205" s="131"/>
      <c r="CC205" s="131"/>
      <c r="CD205" s="131"/>
      <c r="CE205" s="131"/>
      <c r="CF205" s="131"/>
      <c r="CG205" s="131"/>
      <c r="CH205" s="131"/>
    </row>
    <row r="206" ht="18.75" customHeight="1">
      <c r="C206" s="64"/>
      <c r="E206" s="64"/>
      <c r="F206" s="64"/>
      <c r="G206" s="64"/>
      <c r="AH206" s="162"/>
      <c r="AI206" s="162"/>
      <c r="AJ206" s="162"/>
      <c r="AK206" s="162"/>
      <c r="BS206" s="131"/>
      <c r="BT206" s="131"/>
      <c r="BU206" s="131"/>
      <c r="BV206" s="131"/>
      <c r="BW206" s="131"/>
      <c r="BX206" s="131"/>
      <c r="BY206" s="131"/>
      <c r="BZ206" s="131"/>
      <c r="CA206" s="131"/>
      <c r="CB206" s="131"/>
      <c r="CC206" s="131"/>
      <c r="CD206" s="131"/>
      <c r="CE206" s="131"/>
      <c r="CF206" s="131"/>
      <c r="CG206" s="131"/>
      <c r="CH206" s="131"/>
    </row>
    <row r="207" ht="18.75" customHeight="1">
      <c r="C207" s="64"/>
      <c r="E207" s="64"/>
      <c r="F207" s="64"/>
      <c r="G207" s="64"/>
      <c r="AH207" s="162"/>
      <c r="AI207" s="162"/>
      <c r="AJ207" s="162"/>
      <c r="AK207" s="162"/>
      <c r="BS207" s="131"/>
      <c r="BT207" s="131"/>
      <c r="BU207" s="131"/>
      <c r="BV207" s="131"/>
      <c r="BW207" s="131"/>
      <c r="BX207" s="131"/>
      <c r="BY207" s="131"/>
      <c r="BZ207" s="131"/>
      <c r="CA207" s="131"/>
      <c r="CB207" s="131"/>
      <c r="CC207" s="131"/>
      <c r="CD207" s="131"/>
      <c r="CE207" s="131"/>
      <c r="CF207" s="131"/>
      <c r="CG207" s="131"/>
      <c r="CH207" s="131"/>
    </row>
    <row r="208" ht="18.75" customHeight="1">
      <c r="C208" s="64"/>
      <c r="E208" s="64"/>
      <c r="F208" s="64"/>
      <c r="G208" s="64"/>
      <c r="AH208" s="162"/>
      <c r="AI208" s="162"/>
      <c r="AJ208" s="162"/>
      <c r="AK208" s="162"/>
      <c r="BS208" s="131"/>
      <c r="BT208" s="131"/>
      <c r="BU208" s="131"/>
      <c r="BV208" s="131"/>
      <c r="BW208" s="131"/>
      <c r="BX208" s="131"/>
      <c r="BY208" s="131"/>
      <c r="BZ208" s="131"/>
      <c r="CA208" s="131"/>
      <c r="CB208" s="131"/>
      <c r="CC208" s="131"/>
      <c r="CD208" s="131"/>
      <c r="CE208" s="131"/>
      <c r="CF208" s="131"/>
      <c r="CG208" s="131"/>
      <c r="CH208" s="131"/>
    </row>
    <row r="209" ht="18.75" customHeight="1">
      <c r="C209" s="64"/>
      <c r="E209" s="64"/>
      <c r="F209" s="64"/>
      <c r="G209" s="64"/>
      <c r="AH209" s="162"/>
      <c r="AI209" s="162"/>
      <c r="AJ209" s="162"/>
      <c r="AK209" s="162"/>
      <c r="BS209" s="131"/>
      <c r="BT209" s="131"/>
      <c r="BU209" s="131"/>
      <c r="BV209" s="131"/>
      <c r="BW209" s="131"/>
      <c r="BX209" s="131"/>
      <c r="BY209" s="131"/>
      <c r="BZ209" s="131"/>
      <c r="CA209" s="131"/>
      <c r="CB209" s="131"/>
      <c r="CC209" s="131"/>
      <c r="CD209" s="131"/>
      <c r="CE209" s="131"/>
      <c r="CF209" s="131"/>
      <c r="CG209" s="131"/>
      <c r="CH209" s="131"/>
    </row>
    <row r="210" ht="18.75" customHeight="1">
      <c r="C210" s="64"/>
      <c r="E210" s="64"/>
      <c r="F210" s="64"/>
      <c r="G210" s="64"/>
      <c r="AH210" s="162"/>
      <c r="AI210" s="162"/>
      <c r="AJ210" s="162"/>
      <c r="AK210" s="162"/>
      <c r="BS210" s="131"/>
      <c r="BT210" s="131"/>
      <c r="BU210" s="131"/>
      <c r="BV210" s="131"/>
      <c r="BW210" s="131"/>
      <c r="BX210" s="131"/>
      <c r="BY210" s="131"/>
      <c r="BZ210" s="131"/>
      <c r="CA210" s="131"/>
      <c r="CB210" s="131"/>
      <c r="CC210" s="131"/>
      <c r="CD210" s="131"/>
      <c r="CE210" s="131"/>
      <c r="CF210" s="131"/>
      <c r="CG210" s="131"/>
      <c r="CH210" s="131"/>
    </row>
    <row r="211" ht="18.75" customHeight="1">
      <c r="C211" s="64"/>
      <c r="E211" s="64"/>
      <c r="F211" s="64"/>
      <c r="G211" s="64"/>
      <c r="AH211" s="162"/>
      <c r="AI211" s="162"/>
      <c r="AJ211" s="162"/>
      <c r="AK211" s="162"/>
      <c r="BS211" s="131"/>
      <c r="BT211" s="131"/>
      <c r="BU211" s="131"/>
      <c r="BV211" s="131"/>
      <c r="BW211" s="131"/>
      <c r="BX211" s="131"/>
      <c r="BY211" s="131"/>
      <c r="BZ211" s="131"/>
      <c r="CA211" s="131"/>
      <c r="CB211" s="131"/>
      <c r="CC211" s="131"/>
      <c r="CD211" s="131"/>
      <c r="CE211" s="131"/>
      <c r="CF211" s="131"/>
      <c r="CG211" s="131"/>
      <c r="CH211" s="131"/>
    </row>
    <row r="212" ht="18.75" customHeight="1">
      <c r="C212" s="64"/>
      <c r="E212" s="64"/>
      <c r="F212" s="64"/>
      <c r="G212" s="64"/>
      <c r="AH212" s="162"/>
      <c r="AI212" s="162"/>
      <c r="AJ212" s="162"/>
      <c r="AK212" s="162"/>
      <c r="BS212" s="131"/>
      <c r="BT212" s="131"/>
      <c r="BU212" s="131"/>
      <c r="BV212" s="131"/>
      <c r="BW212" s="131"/>
      <c r="BX212" s="131"/>
      <c r="BY212" s="131"/>
      <c r="BZ212" s="131"/>
      <c r="CA212" s="131"/>
      <c r="CB212" s="131"/>
      <c r="CC212" s="131"/>
      <c r="CD212" s="131"/>
      <c r="CE212" s="131"/>
      <c r="CF212" s="131"/>
      <c r="CG212" s="131"/>
      <c r="CH212" s="131"/>
    </row>
    <row r="213" ht="18.75" customHeight="1">
      <c r="C213" s="64"/>
      <c r="E213" s="64"/>
      <c r="F213" s="64"/>
      <c r="G213" s="64"/>
      <c r="AH213" s="162"/>
      <c r="AI213" s="162"/>
      <c r="AJ213" s="162"/>
      <c r="AK213" s="162"/>
      <c r="BS213" s="131"/>
      <c r="BT213" s="131"/>
      <c r="BU213" s="131"/>
      <c r="BV213" s="131"/>
      <c r="BW213" s="131"/>
      <c r="BX213" s="131"/>
      <c r="BY213" s="131"/>
      <c r="BZ213" s="131"/>
      <c r="CA213" s="131"/>
      <c r="CB213" s="131"/>
      <c r="CC213" s="131"/>
      <c r="CD213" s="131"/>
      <c r="CE213" s="131"/>
      <c r="CF213" s="131"/>
      <c r="CG213" s="131"/>
      <c r="CH213" s="131"/>
    </row>
    <row r="214" ht="18.75" customHeight="1">
      <c r="C214" s="64"/>
      <c r="E214" s="64"/>
      <c r="F214" s="64"/>
      <c r="G214" s="64"/>
      <c r="AH214" s="162"/>
      <c r="AI214" s="162"/>
      <c r="AJ214" s="162"/>
      <c r="AK214" s="162"/>
      <c r="BS214" s="131"/>
      <c r="BT214" s="131"/>
      <c r="BU214" s="131"/>
      <c r="BV214" s="131"/>
      <c r="BW214" s="131"/>
      <c r="BX214" s="131"/>
      <c r="BY214" s="131"/>
      <c r="BZ214" s="131"/>
      <c r="CA214" s="131"/>
      <c r="CB214" s="131"/>
      <c r="CC214" s="131"/>
      <c r="CD214" s="131"/>
      <c r="CE214" s="131"/>
      <c r="CF214" s="131"/>
      <c r="CG214" s="131"/>
      <c r="CH214" s="131"/>
    </row>
    <row r="215" ht="18.75" customHeight="1">
      <c r="C215" s="64"/>
      <c r="E215" s="64"/>
      <c r="F215" s="64"/>
      <c r="G215" s="64"/>
      <c r="AH215" s="162"/>
      <c r="AI215" s="162"/>
      <c r="AJ215" s="162"/>
      <c r="AK215" s="162"/>
      <c r="BS215" s="131"/>
      <c r="BT215" s="131"/>
      <c r="BU215" s="131"/>
      <c r="BV215" s="131"/>
      <c r="BW215" s="131"/>
      <c r="BX215" s="131"/>
      <c r="BY215" s="131"/>
      <c r="BZ215" s="131"/>
      <c r="CA215" s="131"/>
      <c r="CB215" s="131"/>
      <c r="CC215" s="131"/>
      <c r="CD215" s="131"/>
      <c r="CE215" s="131"/>
      <c r="CF215" s="131"/>
      <c r="CG215" s="131"/>
      <c r="CH215" s="131"/>
    </row>
    <row r="216" ht="18.75" customHeight="1">
      <c r="C216" s="64"/>
      <c r="E216" s="64"/>
      <c r="F216" s="64"/>
      <c r="G216" s="64"/>
      <c r="AH216" s="162"/>
      <c r="AI216" s="162"/>
      <c r="AJ216" s="162"/>
      <c r="AK216" s="162"/>
      <c r="BS216" s="131"/>
      <c r="BT216" s="131"/>
      <c r="BU216" s="131"/>
      <c r="BV216" s="131"/>
      <c r="BW216" s="131"/>
      <c r="BX216" s="131"/>
      <c r="BY216" s="131"/>
      <c r="BZ216" s="131"/>
      <c r="CA216" s="131"/>
      <c r="CB216" s="131"/>
      <c r="CC216" s="131"/>
      <c r="CD216" s="131"/>
      <c r="CE216" s="131"/>
      <c r="CF216" s="131"/>
      <c r="CG216" s="131"/>
      <c r="CH216" s="131"/>
    </row>
    <row r="217" ht="18.75" customHeight="1">
      <c r="C217" s="64"/>
      <c r="E217" s="64"/>
      <c r="F217" s="64"/>
      <c r="G217" s="64"/>
      <c r="AH217" s="162"/>
      <c r="AI217" s="162"/>
      <c r="AJ217" s="162"/>
      <c r="AK217" s="162"/>
      <c r="BS217" s="131"/>
      <c r="BT217" s="131"/>
      <c r="BU217" s="131"/>
      <c r="BV217" s="131"/>
      <c r="BW217" s="131"/>
      <c r="BX217" s="131"/>
      <c r="BY217" s="131"/>
      <c r="BZ217" s="131"/>
      <c r="CA217" s="131"/>
      <c r="CB217" s="131"/>
      <c r="CC217" s="131"/>
      <c r="CD217" s="131"/>
      <c r="CE217" s="131"/>
      <c r="CF217" s="131"/>
      <c r="CG217" s="131"/>
      <c r="CH217" s="131"/>
    </row>
    <row r="218" ht="18.75" customHeight="1">
      <c r="C218" s="64"/>
      <c r="E218" s="64"/>
      <c r="F218" s="64"/>
      <c r="G218" s="64"/>
      <c r="AH218" s="162"/>
      <c r="AI218" s="162"/>
      <c r="AJ218" s="162"/>
      <c r="AK218" s="162"/>
      <c r="BS218" s="131"/>
      <c r="BT218" s="131"/>
      <c r="BU218" s="131"/>
      <c r="BV218" s="131"/>
      <c r="BW218" s="131"/>
      <c r="BX218" s="131"/>
      <c r="BY218" s="131"/>
      <c r="BZ218" s="131"/>
      <c r="CA218" s="131"/>
      <c r="CB218" s="131"/>
      <c r="CC218" s="131"/>
      <c r="CD218" s="131"/>
      <c r="CE218" s="131"/>
      <c r="CF218" s="131"/>
      <c r="CG218" s="131"/>
      <c r="CH218" s="131"/>
    </row>
    <row r="219" ht="18.75" customHeight="1">
      <c r="C219" s="64"/>
      <c r="E219" s="64"/>
      <c r="F219" s="64"/>
      <c r="G219" s="64"/>
      <c r="AH219" s="162"/>
      <c r="AI219" s="162"/>
      <c r="AJ219" s="162"/>
      <c r="AK219" s="162"/>
      <c r="BS219" s="131"/>
      <c r="BT219" s="131"/>
      <c r="BU219" s="131"/>
      <c r="BV219" s="131"/>
      <c r="BW219" s="131"/>
      <c r="BX219" s="131"/>
      <c r="BY219" s="131"/>
      <c r="BZ219" s="131"/>
      <c r="CA219" s="131"/>
      <c r="CB219" s="131"/>
      <c r="CC219" s="131"/>
      <c r="CD219" s="131"/>
      <c r="CE219" s="131"/>
      <c r="CF219" s="131"/>
      <c r="CG219" s="131"/>
      <c r="CH219" s="131"/>
    </row>
    <row r="220" ht="18.75" customHeight="1">
      <c r="C220" s="64"/>
      <c r="E220" s="64"/>
      <c r="F220" s="64"/>
      <c r="G220" s="64"/>
      <c r="AH220" s="162"/>
      <c r="AI220" s="162"/>
      <c r="AJ220" s="162"/>
      <c r="AK220" s="162"/>
      <c r="BS220" s="131"/>
      <c r="BT220" s="131"/>
      <c r="BU220" s="131"/>
      <c r="BV220" s="131"/>
      <c r="BW220" s="131"/>
      <c r="BX220" s="131"/>
      <c r="BY220" s="131"/>
      <c r="BZ220" s="131"/>
      <c r="CA220" s="131"/>
      <c r="CB220" s="131"/>
      <c r="CC220" s="131"/>
      <c r="CD220" s="131"/>
      <c r="CE220" s="131"/>
      <c r="CF220" s="131"/>
      <c r="CG220" s="131"/>
      <c r="CH220" s="131"/>
    </row>
    <row r="221" ht="18.75" customHeight="1">
      <c r="C221" s="64"/>
      <c r="E221" s="64"/>
      <c r="F221" s="64"/>
      <c r="G221" s="64"/>
      <c r="AH221" s="162"/>
      <c r="AI221" s="162"/>
      <c r="AJ221" s="162"/>
      <c r="AK221" s="162"/>
      <c r="BS221" s="131"/>
      <c r="BT221" s="131"/>
      <c r="BU221" s="131"/>
      <c r="BV221" s="131"/>
      <c r="BW221" s="131"/>
      <c r="BX221" s="131"/>
      <c r="BY221" s="131"/>
      <c r="BZ221" s="131"/>
      <c r="CA221" s="131"/>
      <c r="CB221" s="131"/>
      <c r="CC221" s="131"/>
      <c r="CD221" s="131"/>
      <c r="CE221" s="131"/>
      <c r="CF221" s="131"/>
      <c r="CG221" s="131"/>
      <c r="CH221" s="131"/>
    </row>
    <row r="222" ht="18.75" customHeight="1">
      <c r="C222" s="64"/>
      <c r="E222" s="64"/>
      <c r="F222" s="64"/>
      <c r="G222" s="64"/>
      <c r="AH222" s="162"/>
      <c r="AI222" s="162"/>
      <c r="AJ222" s="162"/>
      <c r="AK222" s="162"/>
      <c r="BS222" s="131"/>
      <c r="BT222" s="131"/>
      <c r="BU222" s="131"/>
      <c r="BV222" s="131"/>
      <c r="BW222" s="131"/>
      <c r="BX222" s="131"/>
      <c r="BY222" s="131"/>
      <c r="BZ222" s="131"/>
      <c r="CA222" s="131"/>
      <c r="CB222" s="131"/>
      <c r="CC222" s="131"/>
      <c r="CD222" s="131"/>
      <c r="CE222" s="131"/>
      <c r="CF222" s="131"/>
      <c r="CG222" s="131"/>
      <c r="CH222" s="131"/>
    </row>
    <row r="223" ht="18.75" customHeight="1">
      <c r="C223" s="64"/>
      <c r="E223" s="64"/>
      <c r="F223" s="64"/>
      <c r="G223" s="64"/>
      <c r="AH223" s="162"/>
      <c r="AI223" s="162"/>
      <c r="AJ223" s="162"/>
      <c r="AK223" s="162"/>
      <c r="BS223" s="131"/>
      <c r="BT223" s="131"/>
      <c r="BU223" s="131"/>
      <c r="BV223" s="131"/>
      <c r="BW223" s="131"/>
      <c r="BX223" s="131"/>
      <c r="BY223" s="131"/>
      <c r="BZ223" s="131"/>
      <c r="CA223" s="131"/>
      <c r="CB223" s="131"/>
      <c r="CC223" s="131"/>
      <c r="CD223" s="131"/>
      <c r="CE223" s="131"/>
      <c r="CF223" s="131"/>
      <c r="CG223" s="131"/>
      <c r="CH223" s="131"/>
    </row>
    <row r="224" ht="18.75" customHeight="1">
      <c r="C224" s="64"/>
      <c r="E224" s="64"/>
      <c r="F224" s="64"/>
      <c r="G224" s="64"/>
      <c r="AH224" s="162"/>
      <c r="AI224" s="162"/>
      <c r="AJ224" s="162"/>
      <c r="AK224" s="162"/>
      <c r="BS224" s="131"/>
      <c r="BT224" s="131"/>
      <c r="BU224" s="131"/>
      <c r="BV224" s="131"/>
      <c r="BW224" s="131"/>
      <c r="BX224" s="131"/>
      <c r="BY224" s="131"/>
      <c r="BZ224" s="131"/>
      <c r="CA224" s="131"/>
      <c r="CB224" s="131"/>
      <c r="CC224" s="131"/>
      <c r="CD224" s="131"/>
      <c r="CE224" s="131"/>
      <c r="CF224" s="131"/>
      <c r="CG224" s="131"/>
      <c r="CH224" s="131"/>
    </row>
    <row r="225" ht="18.75" customHeight="1">
      <c r="C225" s="64"/>
      <c r="E225" s="64"/>
      <c r="F225" s="64"/>
      <c r="G225" s="64"/>
      <c r="AH225" s="162"/>
      <c r="AI225" s="162"/>
      <c r="AJ225" s="162"/>
      <c r="AK225" s="162"/>
      <c r="BS225" s="131"/>
      <c r="BT225" s="131"/>
      <c r="BU225" s="131"/>
      <c r="BV225" s="131"/>
      <c r="BW225" s="131"/>
      <c r="BX225" s="131"/>
      <c r="BY225" s="131"/>
      <c r="BZ225" s="131"/>
      <c r="CA225" s="131"/>
      <c r="CB225" s="131"/>
      <c r="CC225" s="131"/>
      <c r="CD225" s="131"/>
      <c r="CE225" s="131"/>
      <c r="CF225" s="131"/>
      <c r="CG225" s="131"/>
      <c r="CH225" s="131"/>
    </row>
    <row r="226" ht="18.75" customHeight="1">
      <c r="C226" s="64"/>
      <c r="E226" s="64"/>
      <c r="F226" s="64"/>
      <c r="G226" s="64"/>
      <c r="AH226" s="162"/>
      <c r="AI226" s="162"/>
      <c r="AJ226" s="162"/>
      <c r="AK226" s="162"/>
      <c r="BS226" s="131"/>
      <c r="BT226" s="131"/>
      <c r="BU226" s="131"/>
      <c r="BV226" s="131"/>
      <c r="BW226" s="131"/>
      <c r="BX226" s="131"/>
      <c r="BY226" s="131"/>
      <c r="BZ226" s="131"/>
      <c r="CA226" s="131"/>
      <c r="CB226" s="131"/>
      <c r="CC226" s="131"/>
      <c r="CD226" s="131"/>
      <c r="CE226" s="131"/>
      <c r="CF226" s="131"/>
      <c r="CG226" s="131"/>
      <c r="CH226" s="131"/>
    </row>
    <row r="227" ht="18.75" customHeight="1">
      <c r="C227" s="64"/>
      <c r="E227" s="64"/>
      <c r="F227" s="64"/>
      <c r="G227" s="64"/>
      <c r="AH227" s="162"/>
      <c r="AI227" s="162"/>
      <c r="AJ227" s="162"/>
      <c r="AK227" s="162"/>
      <c r="BS227" s="131"/>
      <c r="BT227" s="131"/>
      <c r="BU227" s="131"/>
      <c r="BV227" s="131"/>
      <c r="BW227" s="131"/>
      <c r="BX227" s="131"/>
      <c r="BY227" s="131"/>
      <c r="BZ227" s="131"/>
      <c r="CA227" s="131"/>
      <c r="CB227" s="131"/>
      <c r="CC227" s="131"/>
      <c r="CD227" s="131"/>
      <c r="CE227" s="131"/>
      <c r="CF227" s="131"/>
      <c r="CG227" s="131"/>
      <c r="CH227" s="131"/>
    </row>
    <row r="228" ht="18.75" customHeight="1">
      <c r="C228" s="64"/>
      <c r="E228" s="64"/>
      <c r="F228" s="64"/>
      <c r="G228" s="64"/>
      <c r="AH228" s="162"/>
      <c r="AI228" s="162"/>
      <c r="AJ228" s="162"/>
      <c r="AK228" s="162"/>
      <c r="BS228" s="131"/>
      <c r="BT228" s="131"/>
      <c r="BU228" s="131"/>
      <c r="BV228" s="131"/>
      <c r="BW228" s="131"/>
      <c r="BX228" s="131"/>
      <c r="BY228" s="131"/>
      <c r="BZ228" s="131"/>
      <c r="CA228" s="131"/>
      <c r="CB228" s="131"/>
      <c r="CC228" s="131"/>
      <c r="CD228" s="131"/>
      <c r="CE228" s="131"/>
      <c r="CF228" s="131"/>
      <c r="CG228" s="131"/>
      <c r="CH228" s="131"/>
    </row>
    <row r="229" ht="18.75" customHeight="1">
      <c r="C229" s="64"/>
      <c r="E229" s="64"/>
      <c r="F229" s="64"/>
      <c r="G229" s="64"/>
      <c r="AH229" s="162"/>
      <c r="AI229" s="162"/>
      <c r="AJ229" s="162"/>
      <c r="AK229" s="162"/>
      <c r="BS229" s="131"/>
      <c r="BT229" s="131"/>
      <c r="BU229" s="131"/>
      <c r="BV229" s="131"/>
      <c r="BW229" s="131"/>
      <c r="BX229" s="131"/>
      <c r="BY229" s="131"/>
      <c r="BZ229" s="131"/>
      <c r="CA229" s="131"/>
      <c r="CB229" s="131"/>
      <c r="CC229" s="131"/>
      <c r="CD229" s="131"/>
      <c r="CE229" s="131"/>
      <c r="CF229" s="131"/>
      <c r="CG229" s="131"/>
      <c r="CH229" s="131"/>
    </row>
    <row r="230" ht="18.75" customHeight="1">
      <c r="C230" s="64"/>
      <c r="E230" s="64"/>
      <c r="F230" s="64"/>
      <c r="G230" s="64"/>
      <c r="AH230" s="162"/>
      <c r="AI230" s="162"/>
      <c r="AJ230" s="162"/>
      <c r="AK230" s="162"/>
      <c r="BS230" s="131"/>
      <c r="BT230" s="131"/>
      <c r="BU230" s="131"/>
      <c r="BV230" s="131"/>
      <c r="BW230" s="131"/>
      <c r="BX230" s="131"/>
      <c r="BY230" s="131"/>
      <c r="BZ230" s="131"/>
      <c r="CA230" s="131"/>
      <c r="CB230" s="131"/>
      <c r="CC230" s="131"/>
      <c r="CD230" s="131"/>
      <c r="CE230" s="131"/>
      <c r="CF230" s="131"/>
      <c r="CG230" s="131"/>
      <c r="CH230" s="131"/>
    </row>
    <row r="231" ht="18.75" customHeight="1">
      <c r="C231" s="64"/>
      <c r="E231" s="64"/>
      <c r="F231" s="64"/>
      <c r="G231" s="64"/>
      <c r="AH231" s="162"/>
      <c r="AI231" s="162"/>
      <c r="AJ231" s="162"/>
      <c r="AK231" s="162"/>
      <c r="BS231" s="131"/>
      <c r="BT231" s="131"/>
      <c r="BU231" s="131"/>
      <c r="BV231" s="131"/>
      <c r="BW231" s="131"/>
      <c r="BX231" s="131"/>
      <c r="BY231" s="131"/>
      <c r="BZ231" s="131"/>
      <c r="CA231" s="131"/>
      <c r="CB231" s="131"/>
      <c r="CC231" s="131"/>
      <c r="CD231" s="131"/>
      <c r="CE231" s="131"/>
      <c r="CF231" s="131"/>
      <c r="CG231" s="131"/>
      <c r="CH231" s="131"/>
    </row>
    <row r="232" ht="18.75" customHeight="1">
      <c r="C232" s="64"/>
      <c r="E232" s="64"/>
      <c r="F232" s="64"/>
      <c r="G232" s="64"/>
      <c r="AH232" s="162"/>
      <c r="AI232" s="162"/>
      <c r="AJ232" s="162"/>
      <c r="AK232" s="162"/>
      <c r="BS232" s="131"/>
      <c r="BT232" s="131"/>
      <c r="BU232" s="131"/>
      <c r="BV232" s="131"/>
      <c r="BW232" s="131"/>
      <c r="BX232" s="131"/>
      <c r="BY232" s="131"/>
      <c r="BZ232" s="131"/>
      <c r="CA232" s="131"/>
      <c r="CB232" s="131"/>
      <c r="CC232" s="131"/>
      <c r="CD232" s="131"/>
      <c r="CE232" s="131"/>
      <c r="CF232" s="131"/>
      <c r="CG232" s="131"/>
      <c r="CH232" s="131"/>
    </row>
    <row r="233" ht="18.75" customHeight="1">
      <c r="C233" s="64"/>
      <c r="E233" s="64"/>
      <c r="F233" s="64"/>
      <c r="G233" s="64"/>
      <c r="AH233" s="162"/>
      <c r="AI233" s="162"/>
      <c r="AJ233" s="162"/>
      <c r="AK233" s="162"/>
      <c r="BS233" s="131"/>
      <c r="BT233" s="131"/>
      <c r="BU233" s="131"/>
      <c r="BV233" s="131"/>
      <c r="BW233" s="131"/>
      <c r="BX233" s="131"/>
      <c r="BY233" s="131"/>
      <c r="BZ233" s="131"/>
      <c r="CA233" s="131"/>
      <c r="CB233" s="131"/>
      <c r="CC233" s="131"/>
      <c r="CD233" s="131"/>
      <c r="CE233" s="131"/>
      <c r="CF233" s="131"/>
      <c r="CG233" s="131"/>
      <c r="CH233" s="131"/>
    </row>
    <row r="234" ht="18.75" customHeight="1">
      <c r="C234" s="64"/>
      <c r="E234" s="64"/>
      <c r="F234" s="64"/>
      <c r="G234" s="64"/>
      <c r="AH234" s="162"/>
      <c r="AI234" s="162"/>
      <c r="AJ234" s="162"/>
      <c r="AK234" s="162"/>
      <c r="BS234" s="131"/>
      <c r="BT234" s="131"/>
      <c r="BU234" s="131"/>
      <c r="BV234" s="131"/>
      <c r="BW234" s="131"/>
      <c r="BX234" s="131"/>
      <c r="BY234" s="131"/>
      <c r="BZ234" s="131"/>
      <c r="CA234" s="131"/>
      <c r="CB234" s="131"/>
      <c r="CC234" s="131"/>
      <c r="CD234" s="131"/>
      <c r="CE234" s="131"/>
      <c r="CF234" s="131"/>
      <c r="CG234" s="131"/>
      <c r="CH234" s="131"/>
    </row>
    <row r="235" ht="18.75" customHeight="1">
      <c r="C235" s="64"/>
      <c r="E235" s="64"/>
      <c r="F235" s="64"/>
      <c r="G235" s="64"/>
      <c r="AH235" s="162"/>
      <c r="AI235" s="162"/>
      <c r="AJ235" s="162"/>
      <c r="AK235" s="162"/>
      <c r="BS235" s="131"/>
      <c r="BT235" s="131"/>
      <c r="BU235" s="131"/>
      <c r="BV235" s="131"/>
      <c r="BW235" s="131"/>
      <c r="BX235" s="131"/>
      <c r="BY235" s="131"/>
      <c r="BZ235" s="131"/>
      <c r="CA235" s="131"/>
      <c r="CB235" s="131"/>
      <c r="CC235" s="131"/>
      <c r="CD235" s="131"/>
      <c r="CE235" s="131"/>
      <c r="CF235" s="131"/>
      <c r="CG235" s="131"/>
      <c r="CH235" s="131"/>
    </row>
    <row r="236" ht="18.75" customHeight="1">
      <c r="C236" s="64"/>
      <c r="E236" s="64"/>
      <c r="F236" s="64"/>
      <c r="G236" s="64"/>
      <c r="AH236" s="162"/>
      <c r="AI236" s="162"/>
      <c r="AJ236" s="162"/>
      <c r="AK236" s="162"/>
      <c r="BS236" s="131"/>
      <c r="BT236" s="131"/>
      <c r="BU236" s="131"/>
      <c r="BV236" s="131"/>
      <c r="BW236" s="131"/>
      <c r="BX236" s="131"/>
      <c r="BY236" s="131"/>
      <c r="BZ236" s="131"/>
      <c r="CA236" s="131"/>
      <c r="CB236" s="131"/>
      <c r="CC236" s="131"/>
      <c r="CD236" s="131"/>
      <c r="CE236" s="131"/>
      <c r="CF236" s="131"/>
      <c r="CG236" s="131"/>
      <c r="CH236" s="131"/>
    </row>
    <row r="237" ht="18.75" customHeight="1">
      <c r="C237" s="64"/>
      <c r="E237" s="64"/>
      <c r="F237" s="64"/>
      <c r="G237" s="64"/>
      <c r="AH237" s="162"/>
      <c r="AI237" s="162"/>
      <c r="AJ237" s="162"/>
      <c r="AK237" s="162"/>
      <c r="BS237" s="131"/>
      <c r="BT237" s="131"/>
      <c r="BU237" s="131"/>
      <c r="BV237" s="131"/>
      <c r="BW237" s="131"/>
      <c r="BX237" s="131"/>
      <c r="BY237" s="131"/>
      <c r="BZ237" s="131"/>
      <c r="CA237" s="131"/>
      <c r="CB237" s="131"/>
      <c r="CC237" s="131"/>
      <c r="CD237" s="131"/>
      <c r="CE237" s="131"/>
      <c r="CF237" s="131"/>
      <c r="CG237" s="131"/>
      <c r="CH237" s="131"/>
    </row>
    <row r="238" ht="18.75" customHeight="1">
      <c r="C238" s="64"/>
      <c r="E238" s="64"/>
      <c r="F238" s="64"/>
      <c r="G238" s="64"/>
      <c r="AH238" s="162"/>
      <c r="AI238" s="162"/>
      <c r="AJ238" s="162"/>
      <c r="AK238" s="162"/>
      <c r="BS238" s="131"/>
      <c r="BT238" s="131"/>
      <c r="BU238" s="131"/>
      <c r="BV238" s="131"/>
      <c r="BW238" s="131"/>
      <c r="BX238" s="131"/>
      <c r="BY238" s="131"/>
      <c r="BZ238" s="131"/>
      <c r="CA238" s="131"/>
      <c r="CB238" s="131"/>
      <c r="CC238" s="131"/>
      <c r="CD238" s="131"/>
      <c r="CE238" s="131"/>
      <c r="CF238" s="131"/>
      <c r="CG238" s="131"/>
      <c r="CH238" s="131"/>
    </row>
    <row r="239" ht="18.75" customHeight="1">
      <c r="C239" s="64"/>
      <c r="E239" s="64"/>
      <c r="F239" s="64"/>
      <c r="G239" s="64"/>
      <c r="AH239" s="162"/>
      <c r="AI239" s="162"/>
      <c r="AJ239" s="162"/>
      <c r="AK239" s="162"/>
      <c r="BS239" s="131"/>
      <c r="BT239" s="131"/>
      <c r="BU239" s="131"/>
      <c r="BV239" s="131"/>
      <c r="BW239" s="131"/>
      <c r="BX239" s="131"/>
      <c r="BY239" s="131"/>
      <c r="BZ239" s="131"/>
      <c r="CA239" s="131"/>
      <c r="CB239" s="131"/>
      <c r="CC239" s="131"/>
      <c r="CD239" s="131"/>
      <c r="CE239" s="131"/>
      <c r="CF239" s="131"/>
      <c r="CG239" s="131"/>
      <c r="CH239" s="131"/>
    </row>
    <row r="240" ht="18.75" customHeight="1">
      <c r="C240" s="64"/>
      <c r="E240" s="64"/>
      <c r="F240" s="64"/>
      <c r="G240" s="64"/>
      <c r="AH240" s="162"/>
      <c r="AI240" s="162"/>
      <c r="AJ240" s="162"/>
      <c r="AK240" s="162"/>
      <c r="BS240" s="131"/>
      <c r="BT240" s="131"/>
      <c r="BU240" s="131"/>
      <c r="BV240" s="131"/>
      <c r="BW240" s="131"/>
      <c r="BX240" s="131"/>
      <c r="BY240" s="131"/>
      <c r="BZ240" s="131"/>
      <c r="CA240" s="131"/>
      <c r="CB240" s="131"/>
      <c r="CC240" s="131"/>
      <c r="CD240" s="131"/>
      <c r="CE240" s="131"/>
      <c r="CF240" s="131"/>
      <c r="CG240" s="131"/>
      <c r="CH240" s="131"/>
    </row>
    <row r="241" ht="18.75" customHeight="1">
      <c r="C241" s="64"/>
      <c r="E241" s="64"/>
      <c r="F241" s="64"/>
      <c r="G241" s="64"/>
      <c r="AH241" s="162"/>
      <c r="AI241" s="162"/>
      <c r="AJ241" s="162"/>
      <c r="AK241" s="162"/>
      <c r="BS241" s="131"/>
      <c r="BT241" s="131"/>
      <c r="BU241" s="131"/>
      <c r="BV241" s="131"/>
      <c r="BW241" s="131"/>
      <c r="BX241" s="131"/>
      <c r="BY241" s="131"/>
      <c r="BZ241" s="131"/>
      <c r="CA241" s="131"/>
      <c r="CB241" s="131"/>
      <c r="CC241" s="131"/>
      <c r="CD241" s="131"/>
      <c r="CE241" s="131"/>
      <c r="CF241" s="131"/>
      <c r="CG241" s="131"/>
      <c r="CH241" s="131"/>
    </row>
    <row r="242" ht="18.75" customHeight="1">
      <c r="C242" s="64"/>
      <c r="E242" s="64"/>
      <c r="F242" s="64"/>
      <c r="G242" s="64"/>
      <c r="AH242" s="162"/>
      <c r="AI242" s="162"/>
      <c r="AJ242" s="162"/>
      <c r="AK242" s="162"/>
      <c r="BS242" s="131"/>
      <c r="BT242" s="131"/>
      <c r="BU242" s="131"/>
      <c r="BV242" s="131"/>
      <c r="BW242" s="131"/>
      <c r="BX242" s="131"/>
      <c r="BY242" s="131"/>
      <c r="BZ242" s="131"/>
      <c r="CA242" s="131"/>
      <c r="CB242" s="131"/>
      <c r="CC242" s="131"/>
      <c r="CD242" s="131"/>
      <c r="CE242" s="131"/>
      <c r="CF242" s="131"/>
      <c r="CG242" s="131"/>
      <c r="CH242" s="131"/>
    </row>
    <row r="243" ht="18.75" customHeight="1">
      <c r="C243" s="64"/>
      <c r="E243" s="64"/>
      <c r="F243" s="64"/>
      <c r="G243" s="64"/>
      <c r="AH243" s="162"/>
      <c r="AI243" s="162"/>
      <c r="AJ243" s="162"/>
      <c r="AK243" s="162"/>
      <c r="BS243" s="131"/>
      <c r="BT243" s="131"/>
      <c r="BU243" s="131"/>
      <c r="BV243" s="131"/>
      <c r="BW243" s="131"/>
      <c r="BX243" s="131"/>
      <c r="BY243" s="131"/>
      <c r="BZ243" s="131"/>
      <c r="CA243" s="131"/>
      <c r="CB243" s="131"/>
      <c r="CC243" s="131"/>
      <c r="CD243" s="131"/>
      <c r="CE243" s="131"/>
      <c r="CF243" s="131"/>
      <c r="CG243" s="131"/>
      <c r="CH243" s="131"/>
    </row>
    <row r="244" ht="18.75" customHeight="1">
      <c r="C244" s="64"/>
      <c r="E244" s="64"/>
      <c r="F244" s="64"/>
      <c r="G244" s="64"/>
      <c r="AH244" s="162"/>
      <c r="AI244" s="162"/>
      <c r="AJ244" s="162"/>
      <c r="AK244" s="162"/>
      <c r="BS244" s="131"/>
      <c r="BT244" s="131"/>
      <c r="BU244" s="131"/>
      <c r="BV244" s="131"/>
      <c r="BW244" s="131"/>
      <c r="BX244" s="131"/>
      <c r="BY244" s="131"/>
      <c r="BZ244" s="131"/>
      <c r="CA244" s="131"/>
      <c r="CB244" s="131"/>
      <c r="CC244" s="131"/>
      <c r="CD244" s="131"/>
      <c r="CE244" s="131"/>
      <c r="CF244" s="131"/>
      <c r="CG244" s="131"/>
      <c r="CH244" s="131"/>
    </row>
    <row r="245" ht="18.75" customHeight="1">
      <c r="C245" s="64"/>
      <c r="E245" s="64"/>
      <c r="F245" s="64"/>
      <c r="G245" s="64"/>
      <c r="AH245" s="162"/>
      <c r="AI245" s="162"/>
      <c r="AJ245" s="162"/>
      <c r="AK245" s="162"/>
      <c r="BS245" s="131"/>
      <c r="BT245" s="131"/>
      <c r="BU245" s="131"/>
      <c r="BV245" s="131"/>
      <c r="BW245" s="131"/>
      <c r="BX245" s="131"/>
      <c r="BY245" s="131"/>
      <c r="BZ245" s="131"/>
      <c r="CA245" s="131"/>
      <c r="CB245" s="131"/>
      <c r="CC245" s="131"/>
      <c r="CD245" s="131"/>
      <c r="CE245" s="131"/>
      <c r="CF245" s="131"/>
      <c r="CG245" s="131"/>
      <c r="CH245" s="131"/>
    </row>
    <row r="246" ht="18.75" customHeight="1">
      <c r="C246" s="64"/>
      <c r="E246" s="64"/>
      <c r="F246" s="64"/>
      <c r="G246" s="64"/>
      <c r="AH246" s="162"/>
      <c r="AI246" s="162"/>
      <c r="AJ246" s="162"/>
      <c r="AK246" s="162"/>
      <c r="BS246" s="131"/>
      <c r="BT246" s="131"/>
      <c r="BU246" s="131"/>
      <c r="BV246" s="131"/>
      <c r="BW246" s="131"/>
      <c r="BX246" s="131"/>
      <c r="BY246" s="131"/>
      <c r="BZ246" s="131"/>
      <c r="CA246" s="131"/>
      <c r="CB246" s="131"/>
      <c r="CC246" s="131"/>
      <c r="CD246" s="131"/>
      <c r="CE246" s="131"/>
      <c r="CF246" s="131"/>
      <c r="CG246" s="131"/>
      <c r="CH246" s="131"/>
    </row>
    <row r="247" ht="18.75" customHeight="1">
      <c r="C247" s="64"/>
      <c r="E247" s="64"/>
      <c r="F247" s="64"/>
      <c r="G247" s="64"/>
      <c r="AH247" s="162"/>
      <c r="AI247" s="162"/>
      <c r="AJ247" s="162"/>
      <c r="AK247" s="162"/>
      <c r="BS247" s="131"/>
      <c r="BT247" s="131"/>
      <c r="BU247" s="131"/>
      <c r="BV247" s="131"/>
      <c r="BW247" s="131"/>
      <c r="BX247" s="131"/>
      <c r="BY247" s="131"/>
      <c r="BZ247" s="131"/>
      <c r="CA247" s="131"/>
      <c r="CB247" s="131"/>
      <c r="CC247" s="131"/>
      <c r="CD247" s="131"/>
      <c r="CE247" s="131"/>
      <c r="CF247" s="131"/>
      <c r="CG247" s="131"/>
      <c r="CH247" s="131"/>
    </row>
    <row r="248" ht="18.75" customHeight="1">
      <c r="C248" s="64"/>
      <c r="E248" s="64"/>
      <c r="F248" s="64"/>
      <c r="G248" s="64"/>
      <c r="AH248" s="162"/>
      <c r="AI248" s="162"/>
      <c r="AJ248" s="162"/>
      <c r="AK248" s="162"/>
      <c r="BS248" s="131"/>
      <c r="BT248" s="131"/>
      <c r="BU248" s="131"/>
      <c r="BV248" s="131"/>
      <c r="BW248" s="131"/>
      <c r="BX248" s="131"/>
      <c r="BY248" s="131"/>
      <c r="BZ248" s="131"/>
      <c r="CA248" s="131"/>
      <c r="CB248" s="131"/>
      <c r="CC248" s="131"/>
      <c r="CD248" s="131"/>
      <c r="CE248" s="131"/>
      <c r="CF248" s="131"/>
      <c r="CG248" s="131"/>
      <c r="CH248" s="131"/>
    </row>
    <row r="249" ht="18.75" customHeight="1">
      <c r="C249" s="64"/>
      <c r="E249" s="64"/>
      <c r="F249" s="64"/>
      <c r="G249" s="64"/>
      <c r="AH249" s="162"/>
      <c r="AI249" s="162"/>
      <c r="AJ249" s="162"/>
      <c r="AK249" s="162"/>
      <c r="BS249" s="131"/>
      <c r="BT249" s="131"/>
      <c r="BU249" s="131"/>
      <c r="BV249" s="131"/>
      <c r="BW249" s="131"/>
      <c r="BX249" s="131"/>
      <c r="BY249" s="131"/>
      <c r="BZ249" s="131"/>
      <c r="CA249" s="131"/>
      <c r="CB249" s="131"/>
      <c r="CC249" s="131"/>
      <c r="CD249" s="131"/>
      <c r="CE249" s="131"/>
      <c r="CF249" s="131"/>
      <c r="CG249" s="131"/>
      <c r="CH249" s="131"/>
    </row>
    <row r="250" ht="18.75" customHeight="1">
      <c r="C250" s="64"/>
      <c r="E250" s="64"/>
      <c r="F250" s="64"/>
      <c r="G250" s="64"/>
      <c r="AH250" s="162"/>
      <c r="AI250" s="162"/>
      <c r="AJ250" s="162"/>
      <c r="AK250" s="162"/>
      <c r="BS250" s="131"/>
      <c r="BT250" s="131"/>
      <c r="BU250" s="131"/>
      <c r="BV250" s="131"/>
      <c r="BW250" s="131"/>
      <c r="BX250" s="131"/>
      <c r="BY250" s="131"/>
      <c r="BZ250" s="131"/>
      <c r="CA250" s="131"/>
      <c r="CB250" s="131"/>
      <c r="CC250" s="131"/>
      <c r="CD250" s="131"/>
      <c r="CE250" s="131"/>
      <c r="CF250" s="131"/>
      <c r="CG250" s="131"/>
      <c r="CH250" s="131"/>
    </row>
    <row r="251" ht="18.75" customHeight="1">
      <c r="C251" s="64"/>
      <c r="E251" s="64"/>
      <c r="F251" s="64"/>
      <c r="G251" s="64"/>
      <c r="AH251" s="162"/>
      <c r="AI251" s="162"/>
      <c r="AJ251" s="162"/>
      <c r="AK251" s="162"/>
      <c r="BS251" s="131"/>
      <c r="BT251" s="131"/>
      <c r="BU251" s="131"/>
      <c r="BV251" s="131"/>
      <c r="BW251" s="131"/>
      <c r="BX251" s="131"/>
      <c r="BY251" s="131"/>
      <c r="BZ251" s="131"/>
      <c r="CA251" s="131"/>
      <c r="CB251" s="131"/>
      <c r="CC251" s="131"/>
      <c r="CD251" s="131"/>
      <c r="CE251" s="131"/>
      <c r="CF251" s="131"/>
      <c r="CG251" s="131"/>
      <c r="CH251" s="131"/>
    </row>
    <row r="252" ht="18.75" customHeight="1">
      <c r="C252" s="64"/>
      <c r="E252" s="64"/>
      <c r="F252" s="64"/>
      <c r="G252" s="64"/>
      <c r="AH252" s="162"/>
      <c r="AI252" s="162"/>
      <c r="AJ252" s="162"/>
      <c r="AK252" s="162"/>
      <c r="BS252" s="131"/>
      <c r="BT252" s="131"/>
      <c r="BU252" s="131"/>
      <c r="BV252" s="131"/>
      <c r="BW252" s="131"/>
      <c r="BX252" s="131"/>
      <c r="BY252" s="131"/>
      <c r="BZ252" s="131"/>
      <c r="CA252" s="131"/>
      <c r="CB252" s="131"/>
      <c r="CC252" s="131"/>
      <c r="CD252" s="131"/>
      <c r="CE252" s="131"/>
      <c r="CF252" s="131"/>
      <c r="CG252" s="131"/>
      <c r="CH252" s="131"/>
    </row>
    <row r="253" ht="18.75" customHeight="1">
      <c r="C253" s="64"/>
      <c r="E253" s="64"/>
      <c r="F253" s="64"/>
      <c r="G253" s="64"/>
      <c r="AH253" s="162"/>
      <c r="AI253" s="162"/>
      <c r="AJ253" s="162"/>
      <c r="AK253" s="162"/>
      <c r="BS253" s="131"/>
      <c r="BT253" s="131"/>
      <c r="BU253" s="131"/>
      <c r="BV253" s="131"/>
      <c r="BW253" s="131"/>
      <c r="BX253" s="131"/>
      <c r="BY253" s="131"/>
      <c r="BZ253" s="131"/>
      <c r="CA253" s="131"/>
      <c r="CB253" s="131"/>
      <c r="CC253" s="131"/>
      <c r="CD253" s="131"/>
      <c r="CE253" s="131"/>
      <c r="CF253" s="131"/>
      <c r="CG253" s="131"/>
      <c r="CH253" s="131"/>
    </row>
    <row r="254" ht="18.75" customHeight="1">
      <c r="C254" s="64"/>
      <c r="E254" s="64"/>
      <c r="F254" s="64"/>
      <c r="G254" s="64"/>
      <c r="AH254" s="162"/>
      <c r="AI254" s="162"/>
      <c r="AJ254" s="162"/>
      <c r="AK254" s="162"/>
      <c r="BS254" s="131"/>
      <c r="BT254" s="131"/>
      <c r="BU254" s="131"/>
      <c r="BV254" s="131"/>
      <c r="BW254" s="131"/>
      <c r="BX254" s="131"/>
      <c r="BY254" s="131"/>
      <c r="BZ254" s="131"/>
      <c r="CA254" s="131"/>
      <c r="CB254" s="131"/>
      <c r="CC254" s="131"/>
      <c r="CD254" s="131"/>
      <c r="CE254" s="131"/>
      <c r="CF254" s="131"/>
      <c r="CG254" s="131"/>
      <c r="CH254" s="131"/>
    </row>
    <row r="255" ht="18.75" customHeight="1">
      <c r="C255" s="64"/>
      <c r="E255" s="64"/>
      <c r="F255" s="64"/>
      <c r="G255" s="64"/>
      <c r="AH255" s="162"/>
      <c r="AI255" s="162"/>
      <c r="AJ255" s="162"/>
      <c r="AK255" s="162"/>
      <c r="BS255" s="131"/>
      <c r="BT255" s="131"/>
      <c r="BU255" s="131"/>
      <c r="BV255" s="131"/>
      <c r="BW255" s="131"/>
      <c r="BX255" s="131"/>
      <c r="BY255" s="131"/>
      <c r="BZ255" s="131"/>
      <c r="CA255" s="131"/>
      <c r="CB255" s="131"/>
      <c r="CC255" s="131"/>
      <c r="CD255" s="131"/>
      <c r="CE255" s="131"/>
      <c r="CF255" s="131"/>
      <c r="CG255" s="131"/>
      <c r="CH255" s="131"/>
    </row>
    <row r="256" ht="18.75" customHeight="1">
      <c r="C256" s="64"/>
      <c r="E256" s="64"/>
      <c r="F256" s="64"/>
      <c r="G256" s="64"/>
      <c r="AH256" s="162"/>
      <c r="AI256" s="162"/>
      <c r="AJ256" s="162"/>
      <c r="AK256" s="162"/>
      <c r="BS256" s="131"/>
      <c r="BT256" s="131"/>
      <c r="BU256" s="131"/>
      <c r="BV256" s="131"/>
      <c r="BW256" s="131"/>
      <c r="BX256" s="131"/>
      <c r="BY256" s="131"/>
      <c r="BZ256" s="131"/>
      <c r="CA256" s="131"/>
      <c r="CB256" s="131"/>
      <c r="CC256" s="131"/>
      <c r="CD256" s="131"/>
      <c r="CE256" s="131"/>
      <c r="CF256" s="131"/>
      <c r="CG256" s="131"/>
      <c r="CH256" s="131"/>
    </row>
    <row r="257" ht="18.75" customHeight="1">
      <c r="C257" s="64"/>
      <c r="E257" s="64"/>
      <c r="F257" s="64"/>
      <c r="G257" s="64"/>
      <c r="AH257" s="162"/>
      <c r="AI257" s="162"/>
      <c r="AJ257" s="162"/>
      <c r="AK257" s="162"/>
      <c r="BS257" s="131"/>
      <c r="BT257" s="131"/>
      <c r="BU257" s="131"/>
      <c r="BV257" s="131"/>
      <c r="BW257" s="131"/>
      <c r="BX257" s="131"/>
      <c r="BY257" s="131"/>
      <c r="BZ257" s="131"/>
      <c r="CA257" s="131"/>
      <c r="CB257" s="131"/>
      <c r="CC257" s="131"/>
      <c r="CD257" s="131"/>
      <c r="CE257" s="131"/>
      <c r="CF257" s="131"/>
      <c r="CG257" s="131"/>
      <c r="CH257" s="131"/>
    </row>
    <row r="258" ht="18.75" customHeight="1">
      <c r="C258" s="64"/>
      <c r="E258" s="64"/>
      <c r="F258" s="64"/>
      <c r="G258" s="64"/>
      <c r="AH258" s="162"/>
      <c r="AI258" s="162"/>
      <c r="AJ258" s="162"/>
      <c r="AK258" s="162"/>
      <c r="BS258" s="131"/>
      <c r="BT258" s="131"/>
      <c r="BU258" s="131"/>
      <c r="BV258" s="131"/>
      <c r="BW258" s="131"/>
      <c r="BX258" s="131"/>
      <c r="BY258" s="131"/>
      <c r="BZ258" s="131"/>
      <c r="CA258" s="131"/>
      <c r="CB258" s="131"/>
      <c r="CC258" s="131"/>
      <c r="CD258" s="131"/>
      <c r="CE258" s="131"/>
      <c r="CF258" s="131"/>
      <c r="CG258" s="131"/>
      <c r="CH258" s="131"/>
    </row>
    <row r="259" ht="18.75" customHeight="1">
      <c r="C259" s="64"/>
      <c r="E259" s="64"/>
      <c r="F259" s="64"/>
      <c r="G259" s="64"/>
      <c r="AH259" s="162"/>
      <c r="AI259" s="162"/>
      <c r="AJ259" s="162"/>
      <c r="AK259" s="162"/>
      <c r="BS259" s="131"/>
      <c r="BT259" s="131"/>
      <c r="BU259" s="131"/>
      <c r="BV259" s="131"/>
      <c r="BW259" s="131"/>
      <c r="BX259" s="131"/>
      <c r="BY259" s="131"/>
      <c r="BZ259" s="131"/>
      <c r="CA259" s="131"/>
      <c r="CB259" s="131"/>
      <c r="CC259" s="131"/>
      <c r="CD259" s="131"/>
      <c r="CE259" s="131"/>
      <c r="CF259" s="131"/>
      <c r="CG259" s="131"/>
      <c r="CH259" s="131"/>
    </row>
    <row r="260" ht="18.75" customHeight="1">
      <c r="C260" s="64"/>
      <c r="E260" s="64"/>
      <c r="F260" s="64"/>
      <c r="G260" s="64"/>
      <c r="AH260" s="162"/>
      <c r="AI260" s="162"/>
      <c r="AJ260" s="162"/>
      <c r="AK260" s="162"/>
      <c r="BS260" s="131"/>
      <c r="BT260" s="131"/>
      <c r="BU260" s="131"/>
      <c r="BV260" s="131"/>
      <c r="BW260" s="131"/>
      <c r="BX260" s="131"/>
      <c r="BY260" s="131"/>
      <c r="BZ260" s="131"/>
      <c r="CA260" s="131"/>
      <c r="CB260" s="131"/>
      <c r="CC260" s="131"/>
      <c r="CD260" s="131"/>
      <c r="CE260" s="131"/>
      <c r="CF260" s="131"/>
      <c r="CG260" s="131"/>
      <c r="CH260" s="131"/>
    </row>
    <row r="261" ht="18.75" customHeight="1">
      <c r="C261" s="64"/>
      <c r="E261" s="64"/>
      <c r="F261" s="64"/>
      <c r="G261" s="64"/>
      <c r="AH261" s="162"/>
      <c r="AI261" s="162"/>
      <c r="AJ261" s="162"/>
      <c r="AK261" s="162"/>
      <c r="BS261" s="131"/>
      <c r="BT261" s="131"/>
      <c r="BU261" s="131"/>
      <c r="BV261" s="131"/>
      <c r="BW261" s="131"/>
      <c r="BX261" s="131"/>
      <c r="BY261" s="131"/>
      <c r="BZ261" s="131"/>
      <c r="CA261" s="131"/>
      <c r="CB261" s="131"/>
      <c r="CC261" s="131"/>
      <c r="CD261" s="131"/>
      <c r="CE261" s="131"/>
      <c r="CF261" s="131"/>
      <c r="CG261" s="131"/>
      <c r="CH261" s="131"/>
    </row>
    <row r="262" ht="18.75" customHeight="1">
      <c r="C262" s="64"/>
      <c r="E262" s="64"/>
      <c r="F262" s="64"/>
      <c r="G262" s="64"/>
      <c r="AH262" s="162"/>
      <c r="AI262" s="162"/>
      <c r="AJ262" s="162"/>
      <c r="AK262" s="162"/>
      <c r="BS262" s="131"/>
      <c r="BT262" s="131"/>
      <c r="BU262" s="131"/>
      <c r="BV262" s="131"/>
      <c r="BW262" s="131"/>
      <c r="BX262" s="131"/>
      <c r="BY262" s="131"/>
      <c r="BZ262" s="131"/>
      <c r="CA262" s="131"/>
      <c r="CB262" s="131"/>
      <c r="CC262" s="131"/>
      <c r="CD262" s="131"/>
      <c r="CE262" s="131"/>
      <c r="CF262" s="131"/>
      <c r="CG262" s="131"/>
      <c r="CH262" s="131"/>
    </row>
    <row r="263" ht="18.75" customHeight="1">
      <c r="C263" s="64"/>
      <c r="E263" s="64"/>
      <c r="F263" s="64"/>
      <c r="G263" s="64"/>
      <c r="AH263" s="162"/>
      <c r="AI263" s="162"/>
      <c r="AJ263" s="162"/>
      <c r="AK263" s="162"/>
      <c r="BS263" s="131"/>
      <c r="BT263" s="131"/>
      <c r="BU263" s="131"/>
      <c r="BV263" s="131"/>
      <c r="BW263" s="131"/>
      <c r="BX263" s="131"/>
      <c r="BY263" s="131"/>
      <c r="BZ263" s="131"/>
      <c r="CA263" s="131"/>
      <c r="CB263" s="131"/>
      <c r="CC263" s="131"/>
      <c r="CD263" s="131"/>
      <c r="CE263" s="131"/>
      <c r="CF263" s="131"/>
      <c r="CG263" s="131"/>
      <c r="CH263" s="131"/>
    </row>
    <row r="264" ht="18.75" customHeight="1">
      <c r="C264" s="64"/>
      <c r="E264" s="64"/>
      <c r="F264" s="64"/>
      <c r="G264" s="64"/>
      <c r="AH264" s="162"/>
      <c r="AI264" s="162"/>
      <c r="AJ264" s="162"/>
      <c r="AK264" s="162"/>
      <c r="BS264" s="131"/>
      <c r="BT264" s="131"/>
      <c r="BU264" s="131"/>
      <c r="BV264" s="131"/>
      <c r="BW264" s="131"/>
      <c r="BX264" s="131"/>
      <c r="BY264" s="131"/>
      <c r="BZ264" s="131"/>
      <c r="CA264" s="131"/>
      <c r="CB264" s="131"/>
      <c r="CC264" s="131"/>
      <c r="CD264" s="131"/>
      <c r="CE264" s="131"/>
      <c r="CF264" s="131"/>
      <c r="CG264" s="131"/>
      <c r="CH264" s="131"/>
    </row>
    <row r="265" ht="18.75" customHeight="1">
      <c r="C265" s="64"/>
      <c r="E265" s="64"/>
      <c r="F265" s="64"/>
      <c r="G265" s="64"/>
      <c r="AH265" s="162"/>
      <c r="AI265" s="162"/>
      <c r="AJ265" s="162"/>
      <c r="AK265" s="162"/>
      <c r="BS265" s="131"/>
      <c r="BT265" s="131"/>
      <c r="BU265" s="131"/>
      <c r="BV265" s="131"/>
      <c r="BW265" s="131"/>
      <c r="BX265" s="131"/>
      <c r="BY265" s="131"/>
      <c r="BZ265" s="131"/>
      <c r="CA265" s="131"/>
      <c r="CB265" s="131"/>
      <c r="CC265" s="131"/>
      <c r="CD265" s="131"/>
      <c r="CE265" s="131"/>
      <c r="CF265" s="131"/>
      <c r="CG265" s="131"/>
      <c r="CH265" s="131"/>
    </row>
    <row r="266" ht="18.75" customHeight="1">
      <c r="C266" s="64"/>
      <c r="E266" s="64"/>
      <c r="F266" s="64"/>
      <c r="G266" s="64"/>
      <c r="AH266" s="162"/>
      <c r="AI266" s="162"/>
      <c r="AJ266" s="162"/>
      <c r="AK266" s="162"/>
      <c r="BS266" s="131"/>
      <c r="BT266" s="131"/>
      <c r="BU266" s="131"/>
      <c r="BV266" s="131"/>
      <c r="BW266" s="131"/>
      <c r="BX266" s="131"/>
      <c r="BY266" s="131"/>
      <c r="BZ266" s="131"/>
      <c r="CA266" s="131"/>
      <c r="CB266" s="131"/>
      <c r="CC266" s="131"/>
      <c r="CD266" s="131"/>
      <c r="CE266" s="131"/>
      <c r="CF266" s="131"/>
      <c r="CG266" s="131"/>
      <c r="CH266" s="131"/>
    </row>
    <row r="267" ht="18.75" customHeight="1">
      <c r="C267" s="64"/>
      <c r="E267" s="64"/>
      <c r="F267" s="64"/>
      <c r="G267" s="64"/>
      <c r="AH267" s="162"/>
      <c r="AI267" s="162"/>
      <c r="AJ267" s="162"/>
      <c r="AK267" s="162"/>
      <c r="BS267" s="131"/>
      <c r="BT267" s="131"/>
      <c r="BU267" s="131"/>
      <c r="BV267" s="131"/>
      <c r="BW267" s="131"/>
      <c r="BX267" s="131"/>
      <c r="BY267" s="131"/>
      <c r="BZ267" s="131"/>
      <c r="CA267" s="131"/>
      <c r="CB267" s="131"/>
      <c r="CC267" s="131"/>
      <c r="CD267" s="131"/>
      <c r="CE267" s="131"/>
      <c r="CF267" s="131"/>
      <c r="CG267" s="131"/>
      <c r="CH267" s="131"/>
    </row>
    <row r="268" ht="18.75" customHeight="1">
      <c r="C268" s="64"/>
      <c r="E268" s="64"/>
      <c r="F268" s="64"/>
      <c r="G268" s="64"/>
      <c r="AH268" s="162"/>
      <c r="AI268" s="162"/>
      <c r="AJ268" s="162"/>
      <c r="AK268" s="162"/>
      <c r="BS268" s="131"/>
      <c r="BT268" s="131"/>
      <c r="BU268" s="131"/>
      <c r="BV268" s="131"/>
      <c r="BW268" s="131"/>
      <c r="BX268" s="131"/>
      <c r="BY268" s="131"/>
      <c r="BZ268" s="131"/>
      <c r="CA268" s="131"/>
      <c r="CB268" s="131"/>
      <c r="CC268" s="131"/>
      <c r="CD268" s="131"/>
      <c r="CE268" s="131"/>
      <c r="CF268" s="131"/>
      <c r="CG268" s="131"/>
      <c r="CH268" s="131"/>
    </row>
    <row r="269" ht="18.75" customHeight="1">
      <c r="C269" s="64"/>
      <c r="E269" s="64"/>
      <c r="F269" s="64"/>
      <c r="G269" s="64"/>
      <c r="AH269" s="162"/>
      <c r="AI269" s="162"/>
      <c r="AJ269" s="162"/>
      <c r="AK269" s="162"/>
      <c r="BS269" s="131"/>
      <c r="BT269" s="131"/>
      <c r="BU269" s="131"/>
      <c r="BV269" s="131"/>
      <c r="BW269" s="131"/>
      <c r="BX269" s="131"/>
      <c r="BY269" s="131"/>
      <c r="BZ269" s="131"/>
      <c r="CA269" s="131"/>
      <c r="CB269" s="131"/>
      <c r="CC269" s="131"/>
      <c r="CD269" s="131"/>
      <c r="CE269" s="131"/>
      <c r="CF269" s="131"/>
      <c r="CG269" s="131"/>
      <c r="CH269" s="131"/>
    </row>
    <row r="270" ht="18.75" customHeight="1">
      <c r="C270" s="64"/>
      <c r="E270" s="64"/>
      <c r="F270" s="64"/>
      <c r="G270" s="64"/>
      <c r="AH270" s="162"/>
      <c r="AI270" s="162"/>
      <c r="AJ270" s="162"/>
      <c r="AK270" s="162"/>
      <c r="BS270" s="131"/>
      <c r="BT270" s="131"/>
      <c r="BU270" s="131"/>
      <c r="BV270" s="131"/>
      <c r="BW270" s="131"/>
      <c r="BX270" s="131"/>
      <c r="BY270" s="131"/>
      <c r="BZ270" s="131"/>
      <c r="CA270" s="131"/>
      <c r="CB270" s="131"/>
      <c r="CC270" s="131"/>
      <c r="CD270" s="131"/>
      <c r="CE270" s="131"/>
      <c r="CF270" s="131"/>
      <c r="CG270" s="131"/>
      <c r="CH270" s="131"/>
    </row>
    <row r="271" ht="18.75" customHeight="1">
      <c r="C271" s="64"/>
      <c r="E271" s="64"/>
      <c r="F271" s="64"/>
      <c r="G271" s="64"/>
      <c r="AH271" s="162"/>
      <c r="AI271" s="162"/>
      <c r="AJ271" s="162"/>
      <c r="AK271" s="162"/>
      <c r="BS271" s="131"/>
      <c r="BT271" s="131"/>
      <c r="BU271" s="131"/>
      <c r="BV271" s="131"/>
      <c r="BW271" s="131"/>
      <c r="BX271" s="131"/>
      <c r="BY271" s="131"/>
      <c r="BZ271" s="131"/>
      <c r="CA271" s="131"/>
      <c r="CB271" s="131"/>
      <c r="CC271" s="131"/>
      <c r="CD271" s="131"/>
      <c r="CE271" s="131"/>
      <c r="CF271" s="131"/>
      <c r="CG271" s="131"/>
      <c r="CH271" s="131"/>
    </row>
    <row r="272" ht="18.75" customHeight="1">
      <c r="C272" s="64"/>
      <c r="E272" s="64"/>
      <c r="F272" s="64"/>
      <c r="G272" s="64"/>
      <c r="AH272" s="162"/>
      <c r="AI272" s="162"/>
      <c r="AJ272" s="162"/>
      <c r="AK272" s="162"/>
      <c r="BS272" s="131"/>
      <c r="BT272" s="131"/>
      <c r="BU272" s="131"/>
      <c r="BV272" s="131"/>
      <c r="BW272" s="131"/>
      <c r="BX272" s="131"/>
      <c r="BY272" s="131"/>
      <c r="BZ272" s="131"/>
      <c r="CA272" s="131"/>
      <c r="CB272" s="131"/>
      <c r="CC272" s="131"/>
      <c r="CD272" s="131"/>
      <c r="CE272" s="131"/>
      <c r="CF272" s="131"/>
      <c r="CG272" s="131"/>
      <c r="CH272" s="131"/>
    </row>
    <row r="273" ht="18.75" customHeight="1">
      <c r="C273" s="64"/>
      <c r="E273" s="64"/>
      <c r="F273" s="64"/>
      <c r="G273" s="64"/>
      <c r="AH273" s="162"/>
      <c r="AI273" s="162"/>
      <c r="AJ273" s="162"/>
      <c r="AK273" s="162"/>
      <c r="BS273" s="131"/>
      <c r="BT273" s="131"/>
      <c r="BU273" s="131"/>
      <c r="BV273" s="131"/>
      <c r="BW273" s="131"/>
      <c r="BX273" s="131"/>
      <c r="BY273" s="131"/>
      <c r="BZ273" s="131"/>
      <c r="CA273" s="131"/>
      <c r="CB273" s="131"/>
      <c r="CC273" s="131"/>
      <c r="CD273" s="131"/>
      <c r="CE273" s="131"/>
      <c r="CF273" s="131"/>
      <c r="CG273" s="131"/>
      <c r="CH273" s="131"/>
    </row>
    <row r="274" ht="18.75" customHeight="1">
      <c r="C274" s="64"/>
      <c r="E274" s="64"/>
      <c r="F274" s="64"/>
      <c r="G274" s="64"/>
      <c r="AH274" s="162"/>
      <c r="AI274" s="162"/>
      <c r="AJ274" s="162"/>
      <c r="AK274" s="162"/>
      <c r="BS274" s="131"/>
      <c r="BT274" s="131"/>
      <c r="BU274" s="131"/>
      <c r="BV274" s="131"/>
      <c r="BW274" s="131"/>
      <c r="BX274" s="131"/>
      <c r="BY274" s="131"/>
      <c r="BZ274" s="131"/>
      <c r="CA274" s="131"/>
      <c r="CB274" s="131"/>
      <c r="CC274" s="131"/>
      <c r="CD274" s="131"/>
      <c r="CE274" s="131"/>
      <c r="CF274" s="131"/>
      <c r="CG274" s="131"/>
      <c r="CH274" s="131"/>
    </row>
    <row r="275" ht="18.75" customHeight="1">
      <c r="C275" s="64"/>
      <c r="E275" s="64"/>
      <c r="F275" s="64"/>
      <c r="G275" s="64"/>
      <c r="AH275" s="162"/>
      <c r="AI275" s="162"/>
      <c r="AJ275" s="162"/>
      <c r="AK275" s="162"/>
      <c r="BS275" s="131"/>
      <c r="BT275" s="131"/>
      <c r="BU275" s="131"/>
      <c r="BV275" s="131"/>
      <c r="BW275" s="131"/>
      <c r="BX275" s="131"/>
      <c r="BY275" s="131"/>
      <c r="BZ275" s="131"/>
      <c r="CA275" s="131"/>
      <c r="CB275" s="131"/>
      <c r="CC275" s="131"/>
      <c r="CD275" s="131"/>
      <c r="CE275" s="131"/>
      <c r="CF275" s="131"/>
      <c r="CG275" s="131"/>
      <c r="CH275" s="131"/>
    </row>
    <row r="276" ht="18.75" customHeight="1">
      <c r="C276" s="64"/>
      <c r="E276" s="64"/>
      <c r="F276" s="64"/>
      <c r="G276" s="64"/>
      <c r="AH276" s="162"/>
      <c r="AI276" s="162"/>
      <c r="AJ276" s="162"/>
      <c r="AK276" s="162"/>
      <c r="BS276" s="131"/>
      <c r="BT276" s="131"/>
      <c r="BU276" s="131"/>
      <c r="BV276" s="131"/>
      <c r="BW276" s="131"/>
      <c r="BX276" s="131"/>
      <c r="BY276" s="131"/>
      <c r="BZ276" s="131"/>
      <c r="CA276" s="131"/>
      <c r="CB276" s="131"/>
      <c r="CC276" s="131"/>
      <c r="CD276" s="131"/>
      <c r="CE276" s="131"/>
      <c r="CF276" s="131"/>
      <c r="CG276" s="131"/>
      <c r="CH276" s="131"/>
    </row>
    <row r="277" ht="18.75" customHeight="1">
      <c r="C277" s="64"/>
      <c r="E277" s="64"/>
      <c r="F277" s="64"/>
      <c r="G277" s="64"/>
      <c r="AH277" s="162"/>
      <c r="AI277" s="162"/>
      <c r="AJ277" s="162"/>
      <c r="AK277" s="162"/>
      <c r="BS277" s="131"/>
      <c r="BT277" s="131"/>
      <c r="BU277" s="131"/>
      <c r="BV277" s="131"/>
      <c r="BW277" s="131"/>
      <c r="BX277" s="131"/>
      <c r="BY277" s="131"/>
      <c r="BZ277" s="131"/>
      <c r="CA277" s="131"/>
      <c r="CB277" s="131"/>
      <c r="CC277" s="131"/>
      <c r="CD277" s="131"/>
      <c r="CE277" s="131"/>
      <c r="CF277" s="131"/>
      <c r="CG277" s="131"/>
      <c r="CH277" s="131"/>
    </row>
    <row r="278" ht="18.75" customHeight="1">
      <c r="C278" s="64"/>
      <c r="E278" s="64"/>
      <c r="F278" s="64"/>
      <c r="G278" s="64"/>
      <c r="AH278" s="162"/>
      <c r="AI278" s="162"/>
      <c r="AJ278" s="162"/>
      <c r="AK278" s="162"/>
      <c r="BS278" s="131"/>
      <c r="BT278" s="131"/>
      <c r="BU278" s="131"/>
      <c r="BV278" s="131"/>
      <c r="BW278" s="131"/>
      <c r="BX278" s="131"/>
      <c r="BY278" s="131"/>
      <c r="BZ278" s="131"/>
      <c r="CA278" s="131"/>
      <c r="CB278" s="131"/>
      <c r="CC278" s="131"/>
      <c r="CD278" s="131"/>
      <c r="CE278" s="131"/>
      <c r="CF278" s="131"/>
      <c r="CG278" s="131"/>
      <c r="CH278" s="131"/>
    </row>
    <row r="279" ht="18.75" customHeight="1">
      <c r="C279" s="64"/>
      <c r="E279" s="64"/>
      <c r="F279" s="64"/>
      <c r="G279" s="64"/>
      <c r="AH279" s="162"/>
      <c r="AI279" s="162"/>
      <c r="AJ279" s="162"/>
      <c r="AK279" s="162"/>
      <c r="BS279" s="131"/>
      <c r="BT279" s="131"/>
      <c r="BU279" s="131"/>
      <c r="BV279" s="131"/>
      <c r="BW279" s="131"/>
      <c r="BX279" s="131"/>
      <c r="BY279" s="131"/>
      <c r="BZ279" s="131"/>
      <c r="CA279" s="131"/>
      <c r="CB279" s="131"/>
      <c r="CC279" s="131"/>
      <c r="CD279" s="131"/>
      <c r="CE279" s="131"/>
      <c r="CF279" s="131"/>
      <c r="CG279" s="131"/>
      <c r="CH279" s="131"/>
    </row>
    <row r="280" ht="18.75" customHeight="1">
      <c r="C280" s="64"/>
      <c r="E280" s="64"/>
      <c r="F280" s="64"/>
      <c r="G280" s="64"/>
      <c r="AH280" s="162"/>
      <c r="AI280" s="162"/>
      <c r="AJ280" s="162"/>
      <c r="AK280" s="162"/>
      <c r="BS280" s="131"/>
      <c r="BT280" s="131"/>
      <c r="BU280" s="131"/>
      <c r="BV280" s="131"/>
      <c r="BW280" s="131"/>
      <c r="BX280" s="131"/>
      <c r="BY280" s="131"/>
      <c r="BZ280" s="131"/>
      <c r="CA280" s="131"/>
      <c r="CB280" s="131"/>
      <c r="CC280" s="131"/>
      <c r="CD280" s="131"/>
      <c r="CE280" s="131"/>
      <c r="CF280" s="131"/>
      <c r="CG280" s="131"/>
      <c r="CH280" s="131"/>
    </row>
    <row r="281" ht="18.75" customHeight="1">
      <c r="C281" s="64"/>
      <c r="E281" s="64"/>
      <c r="F281" s="64"/>
      <c r="G281" s="64"/>
      <c r="AH281" s="162"/>
      <c r="AI281" s="162"/>
      <c r="AJ281" s="162"/>
      <c r="AK281" s="162"/>
      <c r="BS281" s="131"/>
      <c r="BT281" s="131"/>
      <c r="BU281" s="131"/>
      <c r="BV281" s="131"/>
      <c r="BW281" s="131"/>
      <c r="BX281" s="131"/>
      <c r="BY281" s="131"/>
      <c r="BZ281" s="131"/>
      <c r="CA281" s="131"/>
      <c r="CB281" s="131"/>
      <c r="CC281" s="131"/>
      <c r="CD281" s="131"/>
      <c r="CE281" s="131"/>
      <c r="CF281" s="131"/>
      <c r="CG281" s="131"/>
      <c r="CH281" s="131"/>
    </row>
    <row r="282" ht="18.75" customHeight="1">
      <c r="C282" s="64"/>
      <c r="E282" s="64"/>
      <c r="F282" s="64"/>
      <c r="G282" s="64"/>
      <c r="AH282" s="162"/>
      <c r="AI282" s="162"/>
      <c r="AJ282" s="162"/>
      <c r="AK282" s="162"/>
      <c r="BS282" s="131"/>
      <c r="BT282" s="131"/>
      <c r="BU282" s="131"/>
      <c r="BV282" s="131"/>
      <c r="BW282" s="131"/>
      <c r="BX282" s="131"/>
      <c r="BY282" s="131"/>
      <c r="BZ282" s="131"/>
      <c r="CA282" s="131"/>
      <c r="CB282" s="131"/>
      <c r="CC282" s="131"/>
      <c r="CD282" s="131"/>
      <c r="CE282" s="131"/>
      <c r="CF282" s="131"/>
      <c r="CG282" s="131"/>
      <c r="CH282" s="131"/>
    </row>
    <row r="283" ht="18.75" customHeight="1">
      <c r="C283" s="64"/>
      <c r="E283" s="64"/>
      <c r="F283" s="64"/>
      <c r="G283" s="64"/>
      <c r="AH283" s="162"/>
      <c r="AI283" s="162"/>
      <c r="AJ283" s="162"/>
      <c r="AK283" s="162"/>
      <c r="BS283" s="131"/>
      <c r="BT283" s="131"/>
      <c r="BU283" s="131"/>
      <c r="BV283" s="131"/>
      <c r="BW283" s="131"/>
      <c r="BX283" s="131"/>
      <c r="BY283" s="131"/>
      <c r="BZ283" s="131"/>
      <c r="CA283" s="131"/>
      <c r="CB283" s="131"/>
      <c r="CC283" s="131"/>
      <c r="CD283" s="131"/>
      <c r="CE283" s="131"/>
      <c r="CF283" s="131"/>
      <c r="CG283" s="131"/>
      <c r="CH283" s="131"/>
    </row>
    <row r="284" ht="18.75" customHeight="1">
      <c r="C284" s="64"/>
      <c r="E284" s="64"/>
      <c r="F284" s="64"/>
      <c r="G284" s="64"/>
      <c r="AH284" s="162"/>
      <c r="AI284" s="162"/>
      <c r="AJ284" s="162"/>
      <c r="AK284" s="162"/>
      <c r="BS284" s="131"/>
      <c r="BT284" s="131"/>
      <c r="BU284" s="131"/>
      <c r="BV284" s="131"/>
      <c r="BW284" s="131"/>
      <c r="BX284" s="131"/>
      <c r="BY284" s="131"/>
      <c r="BZ284" s="131"/>
      <c r="CA284" s="131"/>
      <c r="CB284" s="131"/>
      <c r="CC284" s="131"/>
      <c r="CD284" s="131"/>
      <c r="CE284" s="131"/>
      <c r="CF284" s="131"/>
      <c r="CG284" s="131"/>
      <c r="CH284" s="131"/>
    </row>
    <row r="285" ht="18.75" customHeight="1">
      <c r="C285" s="64"/>
      <c r="E285" s="64"/>
      <c r="F285" s="64"/>
      <c r="G285" s="64"/>
      <c r="AH285" s="162"/>
      <c r="AI285" s="162"/>
      <c r="AJ285" s="162"/>
      <c r="AK285" s="162"/>
      <c r="BS285" s="131"/>
      <c r="BT285" s="131"/>
      <c r="BU285" s="131"/>
      <c r="BV285" s="131"/>
      <c r="BW285" s="131"/>
      <c r="BX285" s="131"/>
      <c r="BY285" s="131"/>
      <c r="BZ285" s="131"/>
      <c r="CA285" s="131"/>
      <c r="CB285" s="131"/>
      <c r="CC285" s="131"/>
      <c r="CD285" s="131"/>
      <c r="CE285" s="131"/>
      <c r="CF285" s="131"/>
      <c r="CG285" s="131"/>
      <c r="CH285" s="131"/>
    </row>
    <row r="286" ht="18.75" customHeight="1">
      <c r="C286" s="64"/>
      <c r="E286" s="64"/>
      <c r="F286" s="64"/>
      <c r="G286" s="64"/>
      <c r="AH286" s="162"/>
      <c r="AI286" s="162"/>
      <c r="AJ286" s="162"/>
      <c r="AK286" s="162"/>
      <c r="BS286" s="131"/>
      <c r="BT286" s="131"/>
      <c r="BU286" s="131"/>
      <c r="BV286" s="131"/>
      <c r="BW286" s="131"/>
      <c r="BX286" s="131"/>
      <c r="BY286" s="131"/>
      <c r="BZ286" s="131"/>
      <c r="CA286" s="131"/>
      <c r="CB286" s="131"/>
      <c r="CC286" s="131"/>
      <c r="CD286" s="131"/>
      <c r="CE286" s="131"/>
      <c r="CF286" s="131"/>
      <c r="CG286" s="131"/>
      <c r="CH286" s="131"/>
    </row>
    <row r="287" ht="18.75" customHeight="1">
      <c r="C287" s="64"/>
      <c r="E287" s="64"/>
      <c r="F287" s="64"/>
      <c r="G287" s="64"/>
      <c r="AH287" s="162"/>
      <c r="AI287" s="162"/>
      <c r="AJ287" s="162"/>
      <c r="AK287" s="162"/>
      <c r="BS287" s="131"/>
      <c r="BT287" s="131"/>
      <c r="BU287" s="131"/>
      <c r="BV287" s="131"/>
      <c r="BW287" s="131"/>
      <c r="BX287" s="131"/>
      <c r="BY287" s="131"/>
      <c r="BZ287" s="131"/>
      <c r="CA287" s="131"/>
      <c r="CB287" s="131"/>
      <c r="CC287" s="131"/>
      <c r="CD287" s="131"/>
      <c r="CE287" s="131"/>
      <c r="CF287" s="131"/>
      <c r="CG287" s="131"/>
      <c r="CH287" s="131"/>
    </row>
    <row r="288" ht="18.75" customHeight="1">
      <c r="C288" s="64"/>
      <c r="E288" s="64"/>
      <c r="F288" s="64"/>
      <c r="G288" s="64"/>
      <c r="AH288" s="162"/>
      <c r="AI288" s="162"/>
      <c r="AJ288" s="162"/>
      <c r="AK288" s="162"/>
      <c r="BS288" s="131"/>
      <c r="BT288" s="131"/>
      <c r="BU288" s="131"/>
      <c r="BV288" s="131"/>
      <c r="BW288" s="131"/>
      <c r="BX288" s="131"/>
      <c r="BY288" s="131"/>
      <c r="BZ288" s="131"/>
      <c r="CA288" s="131"/>
      <c r="CB288" s="131"/>
      <c r="CC288" s="131"/>
      <c r="CD288" s="131"/>
      <c r="CE288" s="131"/>
      <c r="CF288" s="131"/>
      <c r="CG288" s="131"/>
      <c r="CH288" s="131"/>
    </row>
    <row r="289" ht="18.75" customHeight="1">
      <c r="C289" s="64"/>
      <c r="E289" s="64"/>
      <c r="F289" s="64"/>
      <c r="G289" s="64"/>
      <c r="AH289" s="162"/>
      <c r="AI289" s="162"/>
      <c r="AJ289" s="162"/>
      <c r="AK289" s="162"/>
      <c r="BS289" s="131"/>
      <c r="BT289" s="131"/>
      <c r="BU289" s="131"/>
      <c r="BV289" s="131"/>
      <c r="BW289" s="131"/>
      <c r="BX289" s="131"/>
      <c r="BY289" s="131"/>
      <c r="BZ289" s="131"/>
      <c r="CA289" s="131"/>
      <c r="CB289" s="131"/>
      <c r="CC289" s="131"/>
      <c r="CD289" s="131"/>
      <c r="CE289" s="131"/>
      <c r="CF289" s="131"/>
      <c r="CG289" s="131"/>
      <c r="CH289" s="131"/>
    </row>
    <row r="290" ht="18.75" customHeight="1">
      <c r="C290" s="64"/>
      <c r="E290" s="64"/>
      <c r="F290" s="64"/>
      <c r="G290" s="64"/>
      <c r="AH290" s="162"/>
      <c r="AI290" s="162"/>
      <c r="AJ290" s="162"/>
      <c r="AK290" s="162"/>
      <c r="BS290" s="131"/>
      <c r="BT290" s="131"/>
      <c r="BU290" s="131"/>
      <c r="BV290" s="131"/>
      <c r="BW290" s="131"/>
      <c r="BX290" s="131"/>
      <c r="BY290" s="131"/>
      <c r="BZ290" s="131"/>
      <c r="CA290" s="131"/>
      <c r="CB290" s="131"/>
      <c r="CC290" s="131"/>
      <c r="CD290" s="131"/>
      <c r="CE290" s="131"/>
      <c r="CF290" s="131"/>
      <c r="CG290" s="131"/>
      <c r="CH290" s="131"/>
    </row>
    <row r="291" ht="18.75" customHeight="1">
      <c r="C291" s="64"/>
      <c r="E291" s="64"/>
      <c r="F291" s="64"/>
      <c r="G291" s="64"/>
      <c r="AH291" s="162"/>
      <c r="AI291" s="162"/>
      <c r="AJ291" s="162"/>
      <c r="AK291" s="162"/>
      <c r="BS291" s="131"/>
      <c r="BT291" s="131"/>
      <c r="BU291" s="131"/>
      <c r="BV291" s="131"/>
      <c r="BW291" s="131"/>
      <c r="BX291" s="131"/>
      <c r="BY291" s="131"/>
      <c r="BZ291" s="131"/>
      <c r="CA291" s="131"/>
      <c r="CB291" s="131"/>
      <c r="CC291" s="131"/>
      <c r="CD291" s="131"/>
      <c r="CE291" s="131"/>
      <c r="CF291" s="131"/>
      <c r="CG291" s="131"/>
      <c r="CH291" s="131"/>
    </row>
    <row r="292" ht="18.75" customHeight="1">
      <c r="C292" s="64"/>
      <c r="E292" s="64"/>
      <c r="F292" s="64"/>
      <c r="G292" s="64"/>
      <c r="AH292" s="162"/>
      <c r="AI292" s="162"/>
      <c r="AJ292" s="162"/>
      <c r="AK292" s="162"/>
      <c r="BS292" s="131"/>
      <c r="BT292" s="131"/>
      <c r="BU292" s="131"/>
      <c r="BV292" s="131"/>
      <c r="BW292" s="131"/>
      <c r="BX292" s="131"/>
      <c r="BY292" s="131"/>
      <c r="BZ292" s="131"/>
      <c r="CA292" s="131"/>
      <c r="CB292" s="131"/>
      <c r="CC292" s="131"/>
      <c r="CD292" s="131"/>
      <c r="CE292" s="131"/>
      <c r="CF292" s="131"/>
      <c r="CG292" s="131"/>
      <c r="CH292" s="131"/>
    </row>
    <row r="293" ht="18.75" customHeight="1">
      <c r="C293" s="64"/>
      <c r="E293" s="64"/>
      <c r="F293" s="64"/>
      <c r="G293" s="64"/>
      <c r="AH293" s="162"/>
      <c r="AI293" s="162"/>
      <c r="AJ293" s="162"/>
      <c r="AK293" s="162"/>
      <c r="BS293" s="131"/>
      <c r="BT293" s="131"/>
      <c r="BU293" s="131"/>
      <c r="BV293" s="131"/>
      <c r="BW293" s="131"/>
      <c r="BX293" s="131"/>
      <c r="BY293" s="131"/>
      <c r="BZ293" s="131"/>
      <c r="CA293" s="131"/>
      <c r="CB293" s="131"/>
      <c r="CC293" s="131"/>
      <c r="CD293" s="131"/>
      <c r="CE293" s="131"/>
      <c r="CF293" s="131"/>
      <c r="CG293" s="131"/>
      <c r="CH293" s="131"/>
    </row>
    <row r="294" ht="18.75" customHeight="1">
      <c r="C294" s="64"/>
      <c r="E294" s="64"/>
      <c r="F294" s="64"/>
      <c r="G294" s="64"/>
      <c r="AH294" s="162"/>
      <c r="AI294" s="162"/>
      <c r="AJ294" s="162"/>
      <c r="AK294" s="162"/>
      <c r="BS294" s="131"/>
      <c r="BT294" s="131"/>
      <c r="BU294" s="131"/>
      <c r="BV294" s="131"/>
      <c r="BW294" s="131"/>
      <c r="BX294" s="131"/>
      <c r="BY294" s="131"/>
      <c r="BZ294" s="131"/>
      <c r="CA294" s="131"/>
      <c r="CB294" s="131"/>
      <c r="CC294" s="131"/>
      <c r="CD294" s="131"/>
      <c r="CE294" s="131"/>
      <c r="CF294" s="131"/>
      <c r="CG294" s="131"/>
      <c r="CH294" s="131"/>
    </row>
    <row r="295" ht="18.75" customHeight="1">
      <c r="C295" s="64"/>
      <c r="E295" s="64"/>
      <c r="F295" s="64"/>
      <c r="G295" s="64"/>
      <c r="AH295" s="162"/>
      <c r="AI295" s="162"/>
      <c r="AJ295" s="162"/>
      <c r="AK295" s="162"/>
      <c r="BS295" s="131"/>
      <c r="BT295" s="131"/>
      <c r="BU295" s="131"/>
      <c r="BV295" s="131"/>
      <c r="BW295" s="131"/>
      <c r="BX295" s="131"/>
      <c r="BY295" s="131"/>
      <c r="BZ295" s="131"/>
      <c r="CA295" s="131"/>
      <c r="CB295" s="131"/>
      <c r="CC295" s="131"/>
      <c r="CD295" s="131"/>
      <c r="CE295" s="131"/>
      <c r="CF295" s="131"/>
      <c r="CG295" s="131"/>
      <c r="CH295" s="131"/>
    </row>
    <row r="296" ht="18.75" customHeight="1">
      <c r="C296" s="64"/>
      <c r="E296" s="64"/>
      <c r="F296" s="64"/>
      <c r="G296" s="64"/>
      <c r="AH296" s="162"/>
      <c r="AI296" s="162"/>
      <c r="AJ296" s="162"/>
      <c r="AK296" s="162"/>
      <c r="BS296" s="131"/>
      <c r="BT296" s="131"/>
      <c r="BU296" s="131"/>
      <c r="BV296" s="131"/>
      <c r="BW296" s="131"/>
      <c r="BX296" s="131"/>
      <c r="BY296" s="131"/>
      <c r="BZ296" s="131"/>
      <c r="CA296" s="131"/>
      <c r="CB296" s="131"/>
      <c r="CC296" s="131"/>
      <c r="CD296" s="131"/>
      <c r="CE296" s="131"/>
      <c r="CF296" s="131"/>
      <c r="CG296" s="131"/>
      <c r="CH296" s="131"/>
    </row>
    <row r="297" ht="18.75" customHeight="1">
      <c r="C297" s="64"/>
      <c r="E297" s="64"/>
      <c r="F297" s="64"/>
      <c r="G297" s="64"/>
      <c r="AH297" s="162"/>
      <c r="AI297" s="162"/>
      <c r="AJ297" s="162"/>
      <c r="AK297" s="162"/>
      <c r="BS297" s="131"/>
      <c r="BT297" s="131"/>
      <c r="BU297" s="131"/>
      <c r="BV297" s="131"/>
      <c r="BW297" s="131"/>
      <c r="BX297" s="131"/>
      <c r="BY297" s="131"/>
      <c r="BZ297" s="131"/>
      <c r="CA297" s="131"/>
      <c r="CB297" s="131"/>
      <c r="CC297" s="131"/>
      <c r="CD297" s="131"/>
      <c r="CE297" s="131"/>
      <c r="CF297" s="131"/>
      <c r="CG297" s="131"/>
      <c r="CH297" s="131"/>
    </row>
    <row r="298" ht="18.75" customHeight="1">
      <c r="C298" s="64"/>
      <c r="E298" s="64"/>
      <c r="F298" s="64"/>
      <c r="G298" s="64"/>
      <c r="AH298" s="162"/>
      <c r="AI298" s="162"/>
      <c r="AJ298" s="162"/>
      <c r="AK298" s="162"/>
      <c r="BS298" s="131"/>
      <c r="BT298" s="131"/>
      <c r="BU298" s="131"/>
      <c r="BV298" s="131"/>
      <c r="BW298" s="131"/>
      <c r="BX298" s="131"/>
      <c r="BY298" s="131"/>
      <c r="BZ298" s="131"/>
      <c r="CA298" s="131"/>
      <c r="CB298" s="131"/>
      <c r="CC298" s="131"/>
      <c r="CD298" s="131"/>
      <c r="CE298" s="131"/>
      <c r="CF298" s="131"/>
      <c r="CG298" s="131"/>
      <c r="CH298" s="131"/>
    </row>
    <row r="299" ht="18.75" customHeight="1">
      <c r="C299" s="64"/>
      <c r="E299" s="64"/>
      <c r="F299" s="64"/>
      <c r="G299" s="64"/>
      <c r="AH299" s="162"/>
      <c r="AI299" s="162"/>
      <c r="AJ299" s="162"/>
      <c r="AK299" s="162"/>
      <c r="BS299" s="131"/>
      <c r="BT299" s="131"/>
      <c r="BU299" s="131"/>
      <c r="BV299" s="131"/>
      <c r="BW299" s="131"/>
      <c r="BX299" s="131"/>
      <c r="BY299" s="131"/>
      <c r="BZ299" s="131"/>
      <c r="CA299" s="131"/>
      <c r="CB299" s="131"/>
      <c r="CC299" s="131"/>
      <c r="CD299" s="131"/>
      <c r="CE299" s="131"/>
      <c r="CF299" s="131"/>
      <c r="CG299" s="131"/>
      <c r="CH299" s="131"/>
    </row>
    <row r="300" ht="18.75" customHeight="1">
      <c r="C300" s="64"/>
      <c r="E300" s="64"/>
      <c r="F300" s="64"/>
      <c r="G300" s="64"/>
      <c r="AH300" s="162"/>
      <c r="AI300" s="162"/>
      <c r="AJ300" s="162"/>
      <c r="AK300" s="162"/>
      <c r="BS300" s="131"/>
      <c r="BT300" s="131"/>
      <c r="BU300" s="131"/>
      <c r="BV300" s="131"/>
      <c r="BW300" s="131"/>
      <c r="BX300" s="131"/>
      <c r="BY300" s="131"/>
      <c r="BZ300" s="131"/>
      <c r="CA300" s="131"/>
      <c r="CB300" s="131"/>
      <c r="CC300" s="131"/>
      <c r="CD300" s="131"/>
      <c r="CE300" s="131"/>
      <c r="CF300" s="131"/>
      <c r="CG300" s="131"/>
      <c r="CH300" s="131"/>
    </row>
    <row r="301" ht="18.75" customHeight="1">
      <c r="C301" s="64"/>
      <c r="E301" s="64"/>
      <c r="F301" s="64"/>
      <c r="G301" s="64"/>
      <c r="AH301" s="162"/>
      <c r="AI301" s="162"/>
      <c r="AJ301" s="162"/>
      <c r="AK301" s="162"/>
      <c r="BS301" s="131"/>
      <c r="BT301" s="131"/>
      <c r="BU301" s="131"/>
      <c r="BV301" s="131"/>
      <c r="BW301" s="131"/>
      <c r="BX301" s="131"/>
      <c r="BY301" s="131"/>
      <c r="BZ301" s="131"/>
      <c r="CA301" s="131"/>
      <c r="CB301" s="131"/>
      <c r="CC301" s="131"/>
      <c r="CD301" s="131"/>
      <c r="CE301" s="131"/>
      <c r="CF301" s="131"/>
      <c r="CG301" s="131"/>
      <c r="CH301" s="131"/>
    </row>
    <row r="302" ht="18.75" customHeight="1">
      <c r="C302" s="64"/>
      <c r="E302" s="64"/>
      <c r="F302" s="64"/>
      <c r="G302" s="64"/>
      <c r="AH302" s="162"/>
      <c r="AI302" s="162"/>
      <c r="AJ302" s="162"/>
      <c r="AK302" s="162"/>
      <c r="BS302" s="131"/>
      <c r="BT302" s="131"/>
      <c r="BU302" s="131"/>
      <c r="BV302" s="131"/>
      <c r="BW302" s="131"/>
      <c r="BX302" s="131"/>
      <c r="BY302" s="131"/>
      <c r="BZ302" s="131"/>
      <c r="CA302" s="131"/>
      <c r="CB302" s="131"/>
      <c r="CC302" s="131"/>
      <c r="CD302" s="131"/>
      <c r="CE302" s="131"/>
      <c r="CF302" s="131"/>
      <c r="CG302" s="131"/>
      <c r="CH302" s="131"/>
    </row>
    <row r="303" ht="18.75" customHeight="1">
      <c r="C303" s="64"/>
      <c r="E303" s="64"/>
      <c r="F303" s="64"/>
      <c r="G303" s="64"/>
      <c r="AH303" s="162"/>
      <c r="AI303" s="162"/>
      <c r="AJ303" s="162"/>
      <c r="AK303" s="162"/>
      <c r="BS303" s="131"/>
      <c r="BT303" s="131"/>
      <c r="BU303" s="131"/>
      <c r="BV303" s="131"/>
      <c r="BW303" s="131"/>
      <c r="BX303" s="131"/>
      <c r="BY303" s="131"/>
      <c r="BZ303" s="131"/>
      <c r="CA303" s="131"/>
      <c r="CB303" s="131"/>
      <c r="CC303" s="131"/>
      <c r="CD303" s="131"/>
      <c r="CE303" s="131"/>
      <c r="CF303" s="131"/>
      <c r="CG303" s="131"/>
      <c r="CH303" s="131"/>
    </row>
    <row r="304" ht="18.75" customHeight="1">
      <c r="C304" s="64"/>
      <c r="E304" s="64"/>
      <c r="F304" s="64"/>
      <c r="G304" s="64"/>
      <c r="AH304" s="162"/>
      <c r="AI304" s="162"/>
      <c r="AJ304" s="162"/>
      <c r="AK304" s="162"/>
      <c r="BS304" s="131"/>
      <c r="BT304" s="131"/>
      <c r="BU304" s="131"/>
      <c r="BV304" s="131"/>
      <c r="BW304" s="131"/>
      <c r="BX304" s="131"/>
      <c r="BY304" s="131"/>
      <c r="BZ304" s="131"/>
      <c r="CA304" s="131"/>
      <c r="CB304" s="131"/>
      <c r="CC304" s="131"/>
      <c r="CD304" s="131"/>
      <c r="CE304" s="131"/>
      <c r="CF304" s="131"/>
      <c r="CG304" s="131"/>
      <c r="CH304" s="131"/>
    </row>
    <row r="305" ht="18.75" customHeight="1">
      <c r="C305" s="64"/>
      <c r="E305" s="64"/>
      <c r="F305" s="64"/>
      <c r="G305" s="64"/>
      <c r="AH305" s="162"/>
      <c r="AI305" s="162"/>
      <c r="AJ305" s="162"/>
      <c r="AK305" s="162"/>
      <c r="BS305" s="131"/>
      <c r="BT305" s="131"/>
      <c r="BU305" s="131"/>
      <c r="BV305" s="131"/>
      <c r="BW305" s="131"/>
      <c r="BX305" s="131"/>
      <c r="BY305" s="131"/>
      <c r="BZ305" s="131"/>
      <c r="CA305" s="131"/>
      <c r="CB305" s="131"/>
      <c r="CC305" s="131"/>
      <c r="CD305" s="131"/>
      <c r="CE305" s="131"/>
      <c r="CF305" s="131"/>
      <c r="CG305" s="131"/>
      <c r="CH305" s="131"/>
    </row>
    <row r="306" ht="18.75" customHeight="1">
      <c r="C306" s="64"/>
      <c r="E306" s="64"/>
      <c r="F306" s="64"/>
      <c r="G306" s="64"/>
      <c r="AH306" s="162"/>
      <c r="AI306" s="162"/>
      <c r="AJ306" s="162"/>
      <c r="AK306" s="162"/>
      <c r="BS306" s="131"/>
      <c r="BT306" s="131"/>
      <c r="BU306" s="131"/>
      <c r="BV306" s="131"/>
      <c r="BW306" s="131"/>
      <c r="BX306" s="131"/>
      <c r="BY306" s="131"/>
      <c r="BZ306" s="131"/>
      <c r="CA306" s="131"/>
      <c r="CB306" s="131"/>
      <c r="CC306" s="131"/>
      <c r="CD306" s="131"/>
      <c r="CE306" s="131"/>
      <c r="CF306" s="131"/>
      <c r="CG306" s="131"/>
      <c r="CH306" s="131"/>
    </row>
    <row r="307" ht="18.75" customHeight="1">
      <c r="C307" s="64"/>
      <c r="E307" s="64"/>
      <c r="F307" s="64"/>
      <c r="G307" s="64"/>
      <c r="AH307" s="162"/>
      <c r="AI307" s="162"/>
      <c r="AJ307" s="162"/>
      <c r="AK307" s="162"/>
      <c r="BS307" s="131"/>
      <c r="BT307" s="131"/>
      <c r="BU307" s="131"/>
      <c r="BV307" s="131"/>
      <c r="BW307" s="131"/>
      <c r="BX307" s="131"/>
      <c r="BY307" s="131"/>
      <c r="BZ307" s="131"/>
      <c r="CA307" s="131"/>
      <c r="CB307" s="131"/>
      <c r="CC307" s="131"/>
      <c r="CD307" s="131"/>
      <c r="CE307" s="131"/>
      <c r="CF307" s="131"/>
      <c r="CG307" s="131"/>
      <c r="CH307" s="131"/>
    </row>
    <row r="308" ht="18.75" customHeight="1">
      <c r="C308" s="64"/>
      <c r="E308" s="64"/>
      <c r="F308" s="64"/>
      <c r="G308" s="64"/>
      <c r="AH308" s="162"/>
      <c r="AI308" s="162"/>
      <c r="AJ308" s="162"/>
      <c r="AK308" s="162"/>
      <c r="BS308" s="131"/>
      <c r="BT308" s="131"/>
      <c r="BU308" s="131"/>
      <c r="BV308" s="131"/>
      <c r="BW308" s="131"/>
      <c r="BX308" s="131"/>
      <c r="BY308" s="131"/>
      <c r="BZ308" s="131"/>
      <c r="CA308" s="131"/>
      <c r="CB308" s="131"/>
      <c r="CC308" s="131"/>
      <c r="CD308" s="131"/>
      <c r="CE308" s="131"/>
      <c r="CF308" s="131"/>
      <c r="CG308" s="131"/>
      <c r="CH308" s="131"/>
    </row>
    <row r="309" ht="18.75" customHeight="1">
      <c r="C309" s="64"/>
      <c r="E309" s="64"/>
      <c r="F309" s="64"/>
      <c r="G309" s="64"/>
      <c r="AH309" s="162"/>
      <c r="AI309" s="162"/>
      <c r="AJ309" s="162"/>
      <c r="AK309" s="162"/>
      <c r="BS309" s="131"/>
      <c r="BT309" s="131"/>
      <c r="BU309" s="131"/>
      <c r="BV309" s="131"/>
      <c r="BW309" s="131"/>
      <c r="BX309" s="131"/>
      <c r="BY309" s="131"/>
      <c r="BZ309" s="131"/>
      <c r="CA309" s="131"/>
      <c r="CB309" s="131"/>
      <c r="CC309" s="131"/>
      <c r="CD309" s="131"/>
      <c r="CE309" s="131"/>
      <c r="CF309" s="131"/>
      <c r="CG309" s="131"/>
      <c r="CH309" s="131"/>
    </row>
    <row r="310" ht="18.75" customHeight="1">
      <c r="C310" s="64"/>
      <c r="E310" s="64"/>
      <c r="F310" s="64"/>
      <c r="G310" s="64"/>
      <c r="AH310" s="162"/>
      <c r="AI310" s="162"/>
      <c r="AJ310" s="162"/>
      <c r="AK310" s="162"/>
      <c r="BS310" s="131"/>
      <c r="BT310" s="131"/>
      <c r="BU310" s="131"/>
      <c r="BV310" s="131"/>
      <c r="BW310" s="131"/>
      <c r="BX310" s="131"/>
      <c r="BY310" s="131"/>
      <c r="BZ310" s="131"/>
      <c r="CA310" s="131"/>
      <c r="CB310" s="131"/>
      <c r="CC310" s="131"/>
      <c r="CD310" s="131"/>
      <c r="CE310" s="131"/>
      <c r="CF310" s="131"/>
      <c r="CG310" s="131"/>
      <c r="CH310" s="131"/>
    </row>
    <row r="311" ht="18.75" customHeight="1">
      <c r="C311" s="64"/>
      <c r="E311" s="64"/>
      <c r="F311" s="64"/>
      <c r="G311" s="64"/>
      <c r="AH311" s="162"/>
      <c r="AI311" s="162"/>
      <c r="AJ311" s="162"/>
      <c r="AK311" s="162"/>
      <c r="BS311" s="131"/>
      <c r="BT311" s="131"/>
      <c r="BU311" s="131"/>
      <c r="BV311" s="131"/>
      <c r="BW311" s="131"/>
      <c r="BX311" s="131"/>
      <c r="BY311" s="131"/>
      <c r="BZ311" s="131"/>
      <c r="CA311" s="131"/>
      <c r="CB311" s="131"/>
      <c r="CC311" s="131"/>
      <c r="CD311" s="131"/>
      <c r="CE311" s="131"/>
      <c r="CF311" s="131"/>
      <c r="CG311" s="131"/>
      <c r="CH311" s="131"/>
    </row>
    <row r="312" ht="18.75" customHeight="1">
      <c r="C312" s="64"/>
      <c r="E312" s="64"/>
      <c r="F312" s="64"/>
      <c r="G312" s="64"/>
      <c r="AH312" s="162"/>
      <c r="AI312" s="162"/>
      <c r="AJ312" s="162"/>
      <c r="AK312" s="162"/>
      <c r="BS312" s="131"/>
      <c r="BT312" s="131"/>
      <c r="BU312" s="131"/>
      <c r="BV312" s="131"/>
      <c r="BW312" s="131"/>
      <c r="BX312" s="131"/>
      <c r="BY312" s="131"/>
      <c r="BZ312" s="131"/>
      <c r="CA312" s="131"/>
      <c r="CB312" s="131"/>
      <c r="CC312" s="131"/>
      <c r="CD312" s="131"/>
      <c r="CE312" s="131"/>
      <c r="CF312" s="131"/>
      <c r="CG312" s="131"/>
      <c r="CH312" s="131"/>
    </row>
    <row r="313" ht="18.75" customHeight="1">
      <c r="C313" s="64"/>
      <c r="E313" s="64"/>
      <c r="F313" s="64"/>
      <c r="G313" s="64"/>
      <c r="AH313" s="162"/>
      <c r="AI313" s="162"/>
      <c r="AJ313" s="162"/>
      <c r="AK313" s="162"/>
      <c r="BS313" s="131"/>
      <c r="BT313" s="131"/>
      <c r="BU313" s="131"/>
      <c r="BV313" s="131"/>
      <c r="BW313" s="131"/>
      <c r="BX313" s="131"/>
      <c r="BY313" s="131"/>
      <c r="BZ313" s="131"/>
      <c r="CA313" s="131"/>
      <c r="CB313" s="131"/>
      <c r="CC313" s="131"/>
      <c r="CD313" s="131"/>
      <c r="CE313" s="131"/>
      <c r="CF313" s="131"/>
      <c r="CG313" s="131"/>
      <c r="CH313" s="131"/>
    </row>
    <row r="314" ht="18.75" customHeight="1">
      <c r="C314" s="64"/>
      <c r="E314" s="64"/>
      <c r="F314" s="64"/>
      <c r="G314" s="64"/>
      <c r="AH314" s="162"/>
      <c r="AI314" s="162"/>
      <c r="AJ314" s="162"/>
      <c r="AK314" s="162"/>
      <c r="BS314" s="131"/>
      <c r="BT314" s="131"/>
      <c r="BU314" s="131"/>
      <c r="BV314" s="131"/>
      <c r="BW314" s="131"/>
      <c r="BX314" s="131"/>
      <c r="BY314" s="131"/>
      <c r="BZ314" s="131"/>
      <c r="CA314" s="131"/>
      <c r="CB314" s="131"/>
      <c r="CC314" s="131"/>
      <c r="CD314" s="131"/>
      <c r="CE314" s="131"/>
      <c r="CF314" s="131"/>
      <c r="CG314" s="131"/>
      <c r="CH314" s="131"/>
    </row>
    <row r="315" ht="18.75" customHeight="1">
      <c r="C315" s="64"/>
      <c r="E315" s="64"/>
      <c r="F315" s="64"/>
      <c r="G315" s="64"/>
      <c r="AH315" s="162"/>
      <c r="AI315" s="162"/>
      <c r="AJ315" s="162"/>
      <c r="AK315" s="162"/>
      <c r="BS315" s="131"/>
      <c r="BT315" s="131"/>
      <c r="BU315" s="131"/>
      <c r="BV315" s="131"/>
      <c r="BW315" s="131"/>
      <c r="BX315" s="131"/>
      <c r="BY315" s="131"/>
      <c r="BZ315" s="131"/>
      <c r="CA315" s="131"/>
      <c r="CB315" s="131"/>
      <c r="CC315" s="131"/>
      <c r="CD315" s="131"/>
      <c r="CE315" s="131"/>
      <c r="CF315" s="131"/>
      <c r="CG315" s="131"/>
      <c r="CH315" s="131"/>
    </row>
    <row r="316" ht="18.75" customHeight="1">
      <c r="C316" s="64"/>
      <c r="E316" s="64"/>
      <c r="F316" s="64"/>
      <c r="G316" s="64"/>
      <c r="AH316" s="162"/>
      <c r="AI316" s="162"/>
      <c r="AJ316" s="162"/>
      <c r="AK316" s="162"/>
      <c r="BS316" s="131"/>
      <c r="BT316" s="131"/>
      <c r="BU316" s="131"/>
      <c r="BV316" s="131"/>
      <c r="BW316" s="131"/>
      <c r="BX316" s="131"/>
      <c r="BY316" s="131"/>
      <c r="BZ316" s="131"/>
      <c r="CA316" s="131"/>
      <c r="CB316" s="131"/>
      <c r="CC316" s="131"/>
      <c r="CD316" s="131"/>
      <c r="CE316" s="131"/>
      <c r="CF316" s="131"/>
      <c r="CG316" s="131"/>
      <c r="CH316" s="131"/>
    </row>
    <row r="317" ht="18.75" customHeight="1">
      <c r="C317" s="64"/>
      <c r="E317" s="64"/>
      <c r="F317" s="64"/>
      <c r="G317" s="64"/>
      <c r="AH317" s="162"/>
      <c r="AI317" s="162"/>
      <c r="AJ317" s="162"/>
      <c r="AK317" s="162"/>
      <c r="BS317" s="131"/>
      <c r="BT317" s="131"/>
      <c r="BU317" s="131"/>
      <c r="BV317" s="131"/>
      <c r="BW317" s="131"/>
      <c r="BX317" s="131"/>
      <c r="BY317" s="131"/>
      <c r="BZ317" s="131"/>
      <c r="CA317" s="131"/>
      <c r="CB317" s="131"/>
      <c r="CC317" s="131"/>
      <c r="CD317" s="131"/>
      <c r="CE317" s="131"/>
      <c r="CF317" s="131"/>
      <c r="CG317" s="131"/>
      <c r="CH317" s="131"/>
    </row>
    <row r="318" ht="18.75" customHeight="1">
      <c r="C318" s="64"/>
      <c r="E318" s="64"/>
      <c r="F318" s="64"/>
      <c r="G318" s="64"/>
      <c r="AH318" s="162"/>
      <c r="AI318" s="162"/>
      <c r="AJ318" s="162"/>
      <c r="AK318" s="162"/>
      <c r="BS318" s="131"/>
      <c r="BT318" s="131"/>
      <c r="BU318" s="131"/>
      <c r="BV318" s="131"/>
      <c r="BW318" s="131"/>
      <c r="BX318" s="131"/>
      <c r="BY318" s="131"/>
      <c r="BZ318" s="131"/>
      <c r="CA318" s="131"/>
      <c r="CB318" s="131"/>
      <c r="CC318" s="131"/>
      <c r="CD318" s="131"/>
      <c r="CE318" s="131"/>
      <c r="CF318" s="131"/>
      <c r="CG318" s="131"/>
      <c r="CH318" s="131"/>
    </row>
    <row r="319" ht="18.75" customHeight="1">
      <c r="C319" s="64"/>
      <c r="E319" s="64"/>
      <c r="F319" s="64"/>
      <c r="G319" s="64"/>
      <c r="AH319" s="162"/>
      <c r="AI319" s="162"/>
      <c r="AJ319" s="162"/>
      <c r="AK319" s="162"/>
      <c r="BS319" s="131"/>
      <c r="BT319" s="131"/>
      <c r="BU319" s="131"/>
      <c r="BV319" s="131"/>
      <c r="BW319" s="131"/>
      <c r="BX319" s="131"/>
      <c r="BY319" s="131"/>
      <c r="BZ319" s="131"/>
      <c r="CA319" s="131"/>
      <c r="CB319" s="131"/>
      <c r="CC319" s="131"/>
      <c r="CD319" s="131"/>
      <c r="CE319" s="131"/>
      <c r="CF319" s="131"/>
      <c r="CG319" s="131"/>
      <c r="CH319" s="131"/>
    </row>
    <row r="320" ht="18.75" customHeight="1">
      <c r="C320" s="64"/>
      <c r="E320" s="64"/>
      <c r="F320" s="64"/>
      <c r="G320" s="64"/>
      <c r="AH320" s="162"/>
      <c r="AI320" s="162"/>
      <c r="AJ320" s="162"/>
      <c r="AK320" s="162"/>
      <c r="BS320" s="131"/>
      <c r="BT320" s="131"/>
      <c r="BU320" s="131"/>
      <c r="BV320" s="131"/>
      <c r="BW320" s="131"/>
      <c r="BX320" s="131"/>
      <c r="BY320" s="131"/>
      <c r="BZ320" s="131"/>
      <c r="CA320" s="131"/>
      <c r="CB320" s="131"/>
      <c r="CC320" s="131"/>
      <c r="CD320" s="131"/>
      <c r="CE320" s="131"/>
      <c r="CF320" s="131"/>
      <c r="CG320" s="131"/>
      <c r="CH320" s="131"/>
    </row>
    <row r="321" ht="18.75" customHeight="1">
      <c r="C321" s="64"/>
      <c r="E321" s="64"/>
      <c r="F321" s="64"/>
      <c r="G321" s="64"/>
      <c r="AH321" s="162"/>
      <c r="AI321" s="162"/>
      <c r="AJ321" s="162"/>
      <c r="AK321" s="162"/>
      <c r="BS321" s="131"/>
      <c r="BT321" s="131"/>
      <c r="BU321" s="131"/>
      <c r="BV321" s="131"/>
      <c r="BW321" s="131"/>
      <c r="BX321" s="131"/>
      <c r="BY321" s="131"/>
      <c r="BZ321" s="131"/>
      <c r="CA321" s="131"/>
      <c r="CB321" s="131"/>
      <c r="CC321" s="131"/>
      <c r="CD321" s="131"/>
      <c r="CE321" s="131"/>
      <c r="CF321" s="131"/>
      <c r="CG321" s="131"/>
      <c r="CH321" s="131"/>
    </row>
    <row r="322" ht="18.75" customHeight="1">
      <c r="C322" s="64"/>
      <c r="E322" s="64"/>
      <c r="F322" s="64"/>
      <c r="G322" s="64"/>
      <c r="AH322" s="162"/>
      <c r="AI322" s="162"/>
      <c r="AJ322" s="162"/>
      <c r="AK322" s="162"/>
      <c r="BS322" s="131"/>
      <c r="BT322" s="131"/>
      <c r="BU322" s="131"/>
      <c r="BV322" s="131"/>
      <c r="BW322" s="131"/>
      <c r="BX322" s="131"/>
      <c r="BY322" s="131"/>
      <c r="BZ322" s="131"/>
      <c r="CA322" s="131"/>
      <c r="CB322" s="131"/>
      <c r="CC322" s="131"/>
      <c r="CD322" s="131"/>
      <c r="CE322" s="131"/>
      <c r="CF322" s="131"/>
      <c r="CG322" s="131"/>
      <c r="CH322" s="131"/>
    </row>
    <row r="323" ht="18.75" customHeight="1">
      <c r="C323" s="64"/>
      <c r="E323" s="64"/>
      <c r="F323" s="64"/>
      <c r="G323" s="64"/>
      <c r="AH323" s="162"/>
      <c r="AI323" s="162"/>
      <c r="AJ323" s="162"/>
      <c r="AK323" s="162"/>
      <c r="BS323" s="131"/>
      <c r="BT323" s="131"/>
      <c r="BU323" s="131"/>
      <c r="BV323" s="131"/>
      <c r="BW323" s="131"/>
      <c r="BX323" s="131"/>
      <c r="BY323" s="131"/>
      <c r="BZ323" s="131"/>
      <c r="CA323" s="131"/>
      <c r="CB323" s="131"/>
      <c r="CC323" s="131"/>
      <c r="CD323" s="131"/>
      <c r="CE323" s="131"/>
      <c r="CF323" s="131"/>
      <c r="CG323" s="131"/>
      <c r="CH323" s="131"/>
    </row>
    <row r="324" ht="18.75" customHeight="1">
      <c r="C324" s="64"/>
      <c r="E324" s="64"/>
      <c r="F324" s="64"/>
      <c r="G324" s="64"/>
      <c r="AH324" s="162"/>
      <c r="AI324" s="162"/>
      <c r="AJ324" s="162"/>
      <c r="AK324" s="162"/>
      <c r="BS324" s="131"/>
      <c r="BT324" s="131"/>
      <c r="BU324" s="131"/>
      <c r="BV324" s="131"/>
      <c r="BW324" s="131"/>
      <c r="BX324" s="131"/>
      <c r="BY324" s="131"/>
      <c r="BZ324" s="131"/>
      <c r="CA324" s="131"/>
      <c r="CB324" s="131"/>
      <c r="CC324" s="131"/>
      <c r="CD324" s="131"/>
      <c r="CE324" s="131"/>
      <c r="CF324" s="131"/>
      <c r="CG324" s="131"/>
      <c r="CH324" s="131"/>
    </row>
    <row r="325" ht="18.75" customHeight="1">
      <c r="C325" s="64"/>
      <c r="E325" s="64"/>
      <c r="F325" s="64"/>
      <c r="G325" s="64"/>
      <c r="AH325" s="162"/>
      <c r="AI325" s="162"/>
      <c r="AJ325" s="162"/>
      <c r="AK325" s="162"/>
      <c r="BS325" s="131"/>
      <c r="BT325" s="131"/>
      <c r="BU325" s="131"/>
      <c r="BV325" s="131"/>
      <c r="BW325" s="131"/>
      <c r="BX325" s="131"/>
      <c r="BY325" s="131"/>
      <c r="BZ325" s="131"/>
      <c r="CA325" s="131"/>
      <c r="CB325" s="131"/>
      <c r="CC325" s="131"/>
      <c r="CD325" s="131"/>
      <c r="CE325" s="131"/>
      <c r="CF325" s="131"/>
      <c r="CG325" s="131"/>
      <c r="CH325" s="131"/>
    </row>
    <row r="326" ht="18.75" customHeight="1">
      <c r="C326" s="64"/>
      <c r="E326" s="64"/>
      <c r="F326" s="64"/>
      <c r="G326" s="64"/>
      <c r="AH326" s="162"/>
      <c r="AI326" s="162"/>
      <c r="AJ326" s="162"/>
      <c r="AK326" s="162"/>
      <c r="BS326" s="131"/>
      <c r="BT326" s="131"/>
      <c r="BU326" s="131"/>
      <c r="BV326" s="131"/>
      <c r="BW326" s="131"/>
      <c r="BX326" s="131"/>
      <c r="BY326" s="131"/>
      <c r="BZ326" s="131"/>
      <c r="CA326" s="131"/>
      <c r="CB326" s="131"/>
      <c r="CC326" s="131"/>
      <c r="CD326" s="131"/>
      <c r="CE326" s="131"/>
      <c r="CF326" s="131"/>
      <c r="CG326" s="131"/>
      <c r="CH326" s="131"/>
    </row>
    <row r="327" ht="18.75" customHeight="1">
      <c r="C327" s="64"/>
      <c r="E327" s="64"/>
      <c r="F327" s="64"/>
      <c r="G327" s="64"/>
      <c r="AH327" s="162"/>
      <c r="AI327" s="162"/>
      <c r="AJ327" s="162"/>
      <c r="AK327" s="162"/>
      <c r="BS327" s="131"/>
      <c r="BT327" s="131"/>
      <c r="BU327" s="131"/>
      <c r="BV327" s="131"/>
      <c r="BW327" s="131"/>
      <c r="BX327" s="131"/>
      <c r="BY327" s="131"/>
      <c r="BZ327" s="131"/>
      <c r="CA327" s="131"/>
      <c r="CB327" s="131"/>
      <c r="CC327" s="131"/>
      <c r="CD327" s="131"/>
      <c r="CE327" s="131"/>
      <c r="CF327" s="131"/>
      <c r="CG327" s="131"/>
      <c r="CH327" s="131"/>
    </row>
    <row r="328" ht="18.75" customHeight="1">
      <c r="C328" s="64"/>
      <c r="E328" s="64"/>
      <c r="F328" s="64"/>
      <c r="G328" s="64"/>
      <c r="AH328" s="162"/>
      <c r="AI328" s="162"/>
      <c r="AJ328" s="162"/>
      <c r="AK328" s="162"/>
      <c r="BS328" s="131"/>
      <c r="BT328" s="131"/>
      <c r="BU328" s="131"/>
      <c r="BV328" s="131"/>
      <c r="BW328" s="131"/>
      <c r="BX328" s="131"/>
      <c r="BY328" s="131"/>
      <c r="BZ328" s="131"/>
      <c r="CA328" s="131"/>
      <c r="CB328" s="131"/>
      <c r="CC328" s="131"/>
      <c r="CD328" s="131"/>
      <c r="CE328" s="131"/>
      <c r="CF328" s="131"/>
      <c r="CG328" s="131"/>
      <c r="CH328" s="131"/>
    </row>
    <row r="329" ht="18.75" customHeight="1">
      <c r="C329" s="64"/>
      <c r="E329" s="64"/>
      <c r="F329" s="64"/>
      <c r="G329" s="64"/>
      <c r="AH329" s="162"/>
      <c r="AI329" s="162"/>
      <c r="AJ329" s="162"/>
      <c r="AK329" s="162"/>
      <c r="BS329" s="131"/>
      <c r="BT329" s="131"/>
      <c r="BU329" s="131"/>
      <c r="BV329" s="131"/>
      <c r="BW329" s="131"/>
      <c r="BX329" s="131"/>
      <c r="BY329" s="131"/>
      <c r="BZ329" s="131"/>
      <c r="CA329" s="131"/>
      <c r="CB329" s="131"/>
      <c r="CC329" s="131"/>
      <c r="CD329" s="131"/>
      <c r="CE329" s="131"/>
      <c r="CF329" s="131"/>
      <c r="CG329" s="131"/>
      <c r="CH329" s="131"/>
    </row>
    <row r="330" ht="18.75" customHeight="1">
      <c r="C330" s="64"/>
      <c r="E330" s="64"/>
      <c r="F330" s="64"/>
      <c r="G330" s="64"/>
      <c r="AH330" s="162"/>
      <c r="AI330" s="162"/>
      <c r="AJ330" s="162"/>
      <c r="AK330" s="162"/>
      <c r="BS330" s="131"/>
      <c r="BT330" s="131"/>
      <c r="BU330" s="131"/>
      <c r="BV330" s="131"/>
      <c r="BW330" s="131"/>
      <c r="BX330" s="131"/>
      <c r="BY330" s="131"/>
      <c r="BZ330" s="131"/>
      <c r="CA330" s="131"/>
      <c r="CB330" s="131"/>
      <c r="CC330" s="131"/>
      <c r="CD330" s="131"/>
      <c r="CE330" s="131"/>
      <c r="CF330" s="131"/>
      <c r="CG330" s="131"/>
      <c r="CH330" s="131"/>
    </row>
    <row r="331" ht="18.75" customHeight="1">
      <c r="C331" s="64"/>
      <c r="E331" s="64"/>
      <c r="F331" s="64"/>
      <c r="G331" s="64"/>
      <c r="AH331" s="162"/>
      <c r="AI331" s="162"/>
      <c r="AJ331" s="162"/>
      <c r="AK331" s="162"/>
      <c r="BS331" s="131"/>
      <c r="BT331" s="131"/>
      <c r="BU331" s="131"/>
      <c r="BV331" s="131"/>
      <c r="BW331" s="131"/>
      <c r="BX331" s="131"/>
      <c r="BY331" s="131"/>
      <c r="BZ331" s="131"/>
      <c r="CA331" s="131"/>
      <c r="CB331" s="131"/>
      <c r="CC331" s="131"/>
      <c r="CD331" s="131"/>
      <c r="CE331" s="131"/>
      <c r="CF331" s="131"/>
      <c r="CG331" s="131"/>
      <c r="CH331" s="131"/>
    </row>
    <row r="332" ht="18.75" customHeight="1">
      <c r="C332" s="64"/>
      <c r="E332" s="64"/>
      <c r="F332" s="64"/>
      <c r="G332" s="64"/>
      <c r="AH332" s="162"/>
      <c r="AI332" s="162"/>
      <c r="AJ332" s="162"/>
      <c r="AK332" s="162"/>
      <c r="BS332" s="131"/>
      <c r="BT332" s="131"/>
      <c r="BU332" s="131"/>
      <c r="BV332" s="131"/>
      <c r="BW332" s="131"/>
      <c r="BX332" s="131"/>
      <c r="BY332" s="131"/>
      <c r="BZ332" s="131"/>
      <c r="CA332" s="131"/>
      <c r="CB332" s="131"/>
      <c r="CC332" s="131"/>
      <c r="CD332" s="131"/>
      <c r="CE332" s="131"/>
      <c r="CF332" s="131"/>
      <c r="CG332" s="131"/>
      <c r="CH332" s="131"/>
    </row>
    <row r="333" ht="18.75" customHeight="1">
      <c r="C333" s="64"/>
      <c r="E333" s="64"/>
      <c r="F333" s="64"/>
      <c r="G333" s="64"/>
      <c r="AH333" s="162"/>
      <c r="AI333" s="162"/>
      <c r="AJ333" s="162"/>
      <c r="AK333" s="162"/>
      <c r="BS333" s="131"/>
      <c r="BT333" s="131"/>
      <c r="BU333" s="131"/>
      <c r="BV333" s="131"/>
      <c r="BW333" s="131"/>
      <c r="BX333" s="131"/>
      <c r="BY333" s="131"/>
      <c r="BZ333" s="131"/>
      <c r="CA333" s="131"/>
      <c r="CB333" s="131"/>
      <c r="CC333" s="131"/>
      <c r="CD333" s="131"/>
      <c r="CE333" s="131"/>
      <c r="CF333" s="131"/>
      <c r="CG333" s="131"/>
      <c r="CH333" s="131"/>
    </row>
    <row r="334" ht="18.75" customHeight="1">
      <c r="C334" s="64"/>
      <c r="E334" s="64"/>
      <c r="F334" s="64"/>
      <c r="G334" s="64"/>
      <c r="AH334" s="162"/>
      <c r="AI334" s="162"/>
      <c r="AJ334" s="162"/>
      <c r="AK334" s="162"/>
      <c r="BS334" s="131"/>
      <c r="BT334" s="131"/>
      <c r="BU334" s="131"/>
      <c r="BV334" s="131"/>
      <c r="BW334" s="131"/>
      <c r="BX334" s="131"/>
      <c r="BY334" s="131"/>
      <c r="BZ334" s="131"/>
      <c r="CA334" s="131"/>
      <c r="CB334" s="131"/>
      <c r="CC334" s="131"/>
      <c r="CD334" s="131"/>
      <c r="CE334" s="131"/>
      <c r="CF334" s="131"/>
      <c r="CG334" s="131"/>
      <c r="CH334" s="131"/>
    </row>
    <row r="335" ht="18.75" customHeight="1">
      <c r="C335" s="64"/>
      <c r="E335" s="64"/>
      <c r="F335" s="64"/>
      <c r="G335" s="64"/>
      <c r="AH335" s="162"/>
      <c r="AI335" s="162"/>
      <c r="AJ335" s="162"/>
      <c r="AK335" s="162"/>
      <c r="BS335" s="131"/>
      <c r="BT335" s="131"/>
      <c r="BU335" s="131"/>
      <c r="BV335" s="131"/>
      <c r="BW335" s="131"/>
      <c r="BX335" s="131"/>
      <c r="BY335" s="131"/>
      <c r="BZ335" s="131"/>
      <c r="CA335" s="131"/>
      <c r="CB335" s="131"/>
      <c r="CC335" s="131"/>
      <c r="CD335" s="131"/>
      <c r="CE335" s="131"/>
      <c r="CF335" s="131"/>
      <c r="CG335" s="131"/>
      <c r="CH335" s="131"/>
    </row>
    <row r="336" ht="18.75" customHeight="1">
      <c r="C336" s="64"/>
      <c r="E336" s="64"/>
      <c r="F336" s="64"/>
      <c r="G336" s="64"/>
      <c r="AH336" s="162"/>
      <c r="AI336" s="162"/>
      <c r="AJ336" s="162"/>
      <c r="AK336" s="162"/>
      <c r="BS336" s="131"/>
      <c r="BT336" s="131"/>
      <c r="BU336" s="131"/>
      <c r="BV336" s="131"/>
      <c r="BW336" s="131"/>
      <c r="BX336" s="131"/>
      <c r="BY336" s="131"/>
      <c r="BZ336" s="131"/>
      <c r="CA336" s="131"/>
      <c r="CB336" s="131"/>
      <c r="CC336" s="131"/>
      <c r="CD336" s="131"/>
      <c r="CE336" s="131"/>
      <c r="CF336" s="131"/>
      <c r="CG336" s="131"/>
      <c r="CH336" s="131"/>
    </row>
    <row r="337" ht="18.75" customHeight="1">
      <c r="C337" s="64"/>
      <c r="E337" s="64"/>
      <c r="F337" s="64"/>
      <c r="G337" s="64"/>
      <c r="AH337" s="162"/>
      <c r="AI337" s="162"/>
      <c r="AJ337" s="162"/>
      <c r="AK337" s="162"/>
      <c r="BS337" s="131"/>
      <c r="BT337" s="131"/>
      <c r="BU337" s="131"/>
      <c r="BV337" s="131"/>
      <c r="BW337" s="131"/>
      <c r="BX337" s="131"/>
      <c r="BY337" s="131"/>
      <c r="BZ337" s="131"/>
      <c r="CA337" s="131"/>
      <c r="CB337" s="131"/>
      <c r="CC337" s="131"/>
      <c r="CD337" s="131"/>
      <c r="CE337" s="131"/>
      <c r="CF337" s="131"/>
      <c r="CG337" s="131"/>
      <c r="CH337" s="131"/>
    </row>
    <row r="338" ht="18.75" customHeight="1">
      <c r="C338" s="64"/>
      <c r="E338" s="64"/>
      <c r="F338" s="64"/>
      <c r="G338" s="64"/>
      <c r="AH338" s="162"/>
      <c r="AI338" s="162"/>
      <c r="AJ338" s="162"/>
      <c r="AK338" s="162"/>
      <c r="BS338" s="131"/>
      <c r="BT338" s="131"/>
      <c r="BU338" s="131"/>
      <c r="BV338" s="131"/>
      <c r="BW338" s="131"/>
      <c r="BX338" s="131"/>
      <c r="BY338" s="131"/>
      <c r="BZ338" s="131"/>
      <c r="CA338" s="131"/>
      <c r="CB338" s="131"/>
      <c r="CC338" s="131"/>
      <c r="CD338" s="131"/>
      <c r="CE338" s="131"/>
      <c r="CF338" s="131"/>
      <c r="CG338" s="131"/>
      <c r="CH338" s="131"/>
    </row>
    <row r="339" ht="18.75" customHeight="1">
      <c r="C339" s="64"/>
      <c r="E339" s="64"/>
      <c r="F339" s="64"/>
      <c r="G339" s="64"/>
      <c r="AH339" s="162"/>
      <c r="AI339" s="162"/>
      <c r="AJ339" s="162"/>
      <c r="AK339" s="162"/>
      <c r="BS339" s="131"/>
      <c r="BT339" s="131"/>
      <c r="BU339" s="131"/>
      <c r="BV339" s="131"/>
      <c r="BW339" s="131"/>
      <c r="BX339" s="131"/>
      <c r="BY339" s="131"/>
      <c r="BZ339" s="131"/>
      <c r="CA339" s="131"/>
      <c r="CB339" s="131"/>
      <c r="CC339" s="131"/>
      <c r="CD339" s="131"/>
      <c r="CE339" s="131"/>
      <c r="CF339" s="131"/>
      <c r="CG339" s="131"/>
      <c r="CH339" s="131"/>
    </row>
    <row r="340" ht="18.75" customHeight="1">
      <c r="C340" s="64"/>
      <c r="E340" s="64"/>
      <c r="F340" s="64"/>
      <c r="G340" s="64"/>
      <c r="AH340" s="162"/>
      <c r="AI340" s="162"/>
      <c r="AJ340" s="162"/>
      <c r="AK340" s="162"/>
      <c r="BS340" s="131"/>
      <c r="BT340" s="131"/>
      <c r="BU340" s="131"/>
      <c r="BV340" s="131"/>
      <c r="BW340" s="131"/>
      <c r="BX340" s="131"/>
      <c r="BY340" s="131"/>
      <c r="BZ340" s="131"/>
      <c r="CA340" s="131"/>
      <c r="CB340" s="131"/>
      <c r="CC340" s="131"/>
      <c r="CD340" s="131"/>
      <c r="CE340" s="131"/>
      <c r="CF340" s="131"/>
      <c r="CG340" s="131"/>
      <c r="CH340" s="131"/>
    </row>
    <row r="341" ht="18.75" customHeight="1">
      <c r="C341" s="64"/>
      <c r="E341" s="64"/>
      <c r="F341" s="64"/>
      <c r="G341" s="64"/>
      <c r="AH341" s="162"/>
      <c r="AI341" s="162"/>
      <c r="AJ341" s="162"/>
      <c r="AK341" s="162"/>
      <c r="BS341" s="131"/>
      <c r="BT341" s="131"/>
      <c r="BU341" s="131"/>
      <c r="BV341" s="131"/>
      <c r="BW341" s="131"/>
      <c r="BX341" s="131"/>
      <c r="BY341" s="131"/>
      <c r="BZ341" s="131"/>
      <c r="CA341" s="131"/>
      <c r="CB341" s="131"/>
      <c r="CC341" s="131"/>
      <c r="CD341" s="131"/>
      <c r="CE341" s="131"/>
      <c r="CF341" s="131"/>
      <c r="CG341" s="131"/>
      <c r="CH341" s="131"/>
    </row>
    <row r="342" ht="18.75" customHeight="1">
      <c r="C342" s="64"/>
      <c r="E342" s="64"/>
      <c r="F342" s="64"/>
      <c r="G342" s="64"/>
      <c r="AH342" s="162"/>
      <c r="AI342" s="162"/>
      <c r="AJ342" s="162"/>
      <c r="AK342" s="162"/>
      <c r="BS342" s="131"/>
      <c r="BT342" s="131"/>
      <c r="BU342" s="131"/>
      <c r="BV342" s="131"/>
      <c r="BW342" s="131"/>
      <c r="BX342" s="131"/>
      <c r="BY342" s="131"/>
      <c r="BZ342" s="131"/>
      <c r="CA342" s="131"/>
      <c r="CB342" s="131"/>
      <c r="CC342" s="131"/>
      <c r="CD342" s="131"/>
      <c r="CE342" s="131"/>
      <c r="CF342" s="131"/>
      <c r="CG342" s="131"/>
      <c r="CH342" s="131"/>
    </row>
    <row r="343" ht="18.75" customHeight="1">
      <c r="C343" s="64"/>
      <c r="E343" s="64"/>
      <c r="F343" s="64"/>
      <c r="G343" s="64"/>
      <c r="AH343" s="162"/>
      <c r="AI343" s="162"/>
      <c r="AJ343" s="162"/>
      <c r="AK343" s="162"/>
      <c r="BS343" s="131"/>
      <c r="BT343" s="131"/>
      <c r="BU343" s="131"/>
      <c r="BV343" s="131"/>
      <c r="BW343" s="131"/>
      <c r="BX343" s="131"/>
      <c r="BY343" s="131"/>
      <c r="BZ343" s="131"/>
      <c r="CA343" s="131"/>
      <c r="CB343" s="131"/>
      <c r="CC343" s="131"/>
      <c r="CD343" s="131"/>
      <c r="CE343" s="131"/>
      <c r="CF343" s="131"/>
      <c r="CG343" s="131"/>
      <c r="CH343" s="131"/>
    </row>
    <row r="344" ht="18.75" customHeight="1">
      <c r="C344" s="64"/>
      <c r="E344" s="64"/>
      <c r="F344" s="64"/>
      <c r="G344" s="64"/>
      <c r="AH344" s="162"/>
      <c r="AI344" s="162"/>
      <c r="AJ344" s="162"/>
      <c r="AK344" s="162"/>
      <c r="BS344" s="131"/>
      <c r="BT344" s="131"/>
      <c r="BU344" s="131"/>
      <c r="BV344" s="131"/>
      <c r="BW344" s="131"/>
      <c r="BX344" s="131"/>
      <c r="BY344" s="131"/>
      <c r="BZ344" s="131"/>
      <c r="CA344" s="131"/>
      <c r="CB344" s="131"/>
      <c r="CC344" s="131"/>
      <c r="CD344" s="131"/>
      <c r="CE344" s="131"/>
      <c r="CF344" s="131"/>
      <c r="CG344" s="131"/>
      <c r="CH344" s="131"/>
    </row>
    <row r="345" ht="18.75" customHeight="1">
      <c r="C345" s="64"/>
      <c r="E345" s="64"/>
      <c r="F345" s="64"/>
      <c r="G345" s="64"/>
      <c r="AH345" s="162"/>
      <c r="AI345" s="162"/>
      <c r="AJ345" s="162"/>
      <c r="AK345" s="162"/>
      <c r="BS345" s="131"/>
      <c r="BT345" s="131"/>
      <c r="BU345" s="131"/>
      <c r="BV345" s="131"/>
      <c r="BW345" s="131"/>
      <c r="BX345" s="131"/>
      <c r="BY345" s="131"/>
      <c r="BZ345" s="131"/>
      <c r="CA345" s="131"/>
      <c r="CB345" s="131"/>
      <c r="CC345" s="131"/>
      <c r="CD345" s="131"/>
      <c r="CE345" s="131"/>
      <c r="CF345" s="131"/>
      <c r="CG345" s="131"/>
      <c r="CH345" s="131"/>
    </row>
    <row r="346" ht="18.75" customHeight="1">
      <c r="C346" s="64"/>
      <c r="E346" s="64"/>
      <c r="F346" s="64"/>
      <c r="G346" s="64"/>
      <c r="AH346" s="162"/>
      <c r="AI346" s="162"/>
      <c r="AJ346" s="162"/>
      <c r="AK346" s="162"/>
      <c r="BS346" s="131"/>
      <c r="BT346" s="131"/>
      <c r="BU346" s="131"/>
      <c r="BV346" s="131"/>
      <c r="BW346" s="131"/>
      <c r="BX346" s="131"/>
      <c r="BY346" s="131"/>
      <c r="BZ346" s="131"/>
      <c r="CA346" s="131"/>
      <c r="CB346" s="131"/>
      <c r="CC346" s="131"/>
      <c r="CD346" s="131"/>
      <c r="CE346" s="131"/>
      <c r="CF346" s="131"/>
      <c r="CG346" s="131"/>
      <c r="CH346" s="131"/>
    </row>
    <row r="347" ht="18.75" customHeight="1">
      <c r="C347" s="64"/>
      <c r="E347" s="64"/>
      <c r="F347" s="64"/>
      <c r="G347" s="64"/>
      <c r="AH347" s="162"/>
      <c r="AI347" s="162"/>
      <c r="AJ347" s="162"/>
      <c r="AK347" s="162"/>
      <c r="BS347" s="131"/>
      <c r="BT347" s="131"/>
      <c r="BU347" s="131"/>
      <c r="BV347" s="131"/>
      <c r="BW347" s="131"/>
      <c r="BX347" s="131"/>
      <c r="BY347" s="131"/>
      <c r="BZ347" s="131"/>
      <c r="CA347" s="131"/>
      <c r="CB347" s="131"/>
      <c r="CC347" s="131"/>
      <c r="CD347" s="131"/>
      <c r="CE347" s="131"/>
      <c r="CF347" s="131"/>
      <c r="CG347" s="131"/>
      <c r="CH347" s="131"/>
    </row>
    <row r="348" ht="18.75" customHeight="1">
      <c r="C348" s="64"/>
      <c r="E348" s="64"/>
      <c r="F348" s="64"/>
      <c r="G348" s="64"/>
      <c r="AH348" s="162"/>
      <c r="AI348" s="162"/>
      <c r="AJ348" s="162"/>
      <c r="AK348" s="162"/>
      <c r="BS348" s="131"/>
      <c r="BT348" s="131"/>
      <c r="BU348" s="131"/>
      <c r="BV348" s="131"/>
      <c r="BW348" s="131"/>
      <c r="BX348" s="131"/>
      <c r="BY348" s="131"/>
      <c r="BZ348" s="131"/>
      <c r="CA348" s="131"/>
      <c r="CB348" s="131"/>
      <c r="CC348" s="131"/>
      <c r="CD348" s="131"/>
      <c r="CE348" s="131"/>
      <c r="CF348" s="131"/>
      <c r="CG348" s="131"/>
      <c r="CH348" s="131"/>
    </row>
    <row r="349" ht="18.75" customHeight="1">
      <c r="C349" s="64"/>
      <c r="E349" s="64"/>
      <c r="F349" s="64"/>
      <c r="G349" s="64"/>
      <c r="AH349" s="162"/>
      <c r="AI349" s="162"/>
      <c r="AJ349" s="162"/>
      <c r="AK349" s="162"/>
      <c r="BS349" s="131"/>
      <c r="BT349" s="131"/>
      <c r="BU349" s="131"/>
      <c r="BV349" s="131"/>
      <c r="BW349" s="131"/>
      <c r="BX349" s="131"/>
      <c r="BY349" s="131"/>
      <c r="BZ349" s="131"/>
      <c r="CA349" s="131"/>
      <c r="CB349" s="131"/>
      <c r="CC349" s="131"/>
      <c r="CD349" s="131"/>
      <c r="CE349" s="131"/>
      <c r="CF349" s="131"/>
      <c r="CG349" s="131"/>
      <c r="CH349" s="131"/>
    </row>
    <row r="350" ht="18.75" customHeight="1">
      <c r="C350" s="64"/>
      <c r="E350" s="64"/>
      <c r="F350" s="64"/>
      <c r="G350" s="64"/>
      <c r="AH350" s="162"/>
      <c r="AI350" s="162"/>
      <c r="AJ350" s="162"/>
      <c r="AK350" s="162"/>
      <c r="BS350" s="131"/>
      <c r="BT350" s="131"/>
      <c r="BU350" s="131"/>
      <c r="BV350" s="131"/>
      <c r="BW350" s="131"/>
      <c r="BX350" s="131"/>
      <c r="BY350" s="131"/>
      <c r="BZ350" s="131"/>
      <c r="CA350" s="131"/>
      <c r="CB350" s="131"/>
      <c r="CC350" s="131"/>
      <c r="CD350" s="131"/>
      <c r="CE350" s="131"/>
      <c r="CF350" s="131"/>
      <c r="CG350" s="131"/>
      <c r="CH350" s="131"/>
    </row>
    <row r="351" ht="18.75" customHeight="1">
      <c r="C351" s="64"/>
      <c r="E351" s="64"/>
      <c r="F351" s="64"/>
      <c r="G351" s="64"/>
      <c r="AH351" s="162"/>
      <c r="AI351" s="162"/>
      <c r="AJ351" s="162"/>
      <c r="AK351" s="162"/>
      <c r="BS351" s="131"/>
      <c r="BT351" s="131"/>
      <c r="BU351" s="131"/>
      <c r="BV351" s="131"/>
      <c r="BW351" s="131"/>
      <c r="BX351" s="131"/>
      <c r="BY351" s="131"/>
      <c r="BZ351" s="131"/>
      <c r="CA351" s="131"/>
      <c r="CB351" s="131"/>
      <c r="CC351" s="131"/>
      <c r="CD351" s="131"/>
      <c r="CE351" s="131"/>
      <c r="CF351" s="131"/>
      <c r="CG351" s="131"/>
      <c r="CH351" s="131"/>
    </row>
    <row r="352" ht="18.75" customHeight="1">
      <c r="C352" s="64"/>
      <c r="E352" s="64"/>
      <c r="F352" s="64"/>
      <c r="G352" s="64"/>
      <c r="AH352" s="162"/>
      <c r="AI352" s="162"/>
      <c r="AJ352" s="162"/>
      <c r="AK352" s="162"/>
      <c r="BS352" s="131"/>
      <c r="BT352" s="131"/>
      <c r="BU352" s="131"/>
      <c r="BV352" s="131"/>
      <c r="BW352" s="131"/>
      <c r="BX352" s="131"/>
      <c r="BY352" s="131"/>
      <c r="BZ352" s="131"/>
      <c r="CA352" s="131"/>
      <c r="CB352" s="131"/>
      <c r="CC352" s="131"/>
      <c r="CD352" s="131"/>
      <c r="CE352" s="131"/>
      <c r="CF352" s="131"/>
      <c r="CG352" s="131"/>
      <c r="CH352" s="131"/>
    </row>
    <row r="353" ht="18.75" customHeight="1">
      <c r="C353" s="64"/>
      <c r="E353" s="64"/>
      <c r="F353" s="64"/>
      <c r="G353" s="64"/>
      <c r="AH353" s="162"/>
      <c r="AI353" s="162"/>
      <c r="AJ353" s="162"/>
      <c r="AK353" s="162"/>
      <c r="BS353" s="131"/>
      <c r="BT353" s="131"/>
      <c r="BU353" s="131"/>
      <c r="BV353" s="131"/>
      <c r="BW353" s="131"/>
      <c r="BX353" s="131"/>
      <c r="BY353" s="131"/>
      <c r="BZ353" s="131"/>
      <c r="CA353" s="131"/>
      <c r="CB353" s="131"/>
      <c r="CC353" s="131"/>
      <c r="CD353" s="131"/>
      <c r="CE353" s="131"/>
      <c r="CF353" s="131"/>
      <c r="CG353" s="131"/>
      <c r="CH353" s="131"/>
    </row>
    <row r="354" ht="18.75" customHeight="1">
      <c r="C354" s="64"/>
      <c r="E354" s="64"/>
      <c r="F354" s="64"/>
      <c r="G354" s="64"/>
      <c r="AH354" s="162"/>
      <c r="AI354" s="162"/>
      <c r="AJ354" s="162"/>
      <c r="AK354" s="162"/>
      <c r="BS354" s="131"/>
      <c r="BT354" s="131"/>
      <c r="BU354" s="131"/>
      <c r="BV354" s="131"/>
      <c r="BW354" s="131"/>
      <c r="BX354" s="131"/>
      <c r="BY354" s="131"/>
      <c r="BZ354" s="131"/>
      <c r="CA354" s="131"/>
      <c r="CB354" s="131"/>
      <c r="CC354" s="131"/>
      <c r="CD354" s="131"/>
      <c r="CE354" s="131"/>
      <c r="CF354" s="131"/>
      <c r="CG354" s="131"/>
      <c r="CH354" s="131"/>
    </row>
    <row r="355" ht="18.75" customHeight="1">
      <c r="C355" s="64"/>
      <c r="E355" s="64"/>
      <c r="F355" s="64"/>
      <c r="G355" s="64"/>
      <c r="AH355" s="162"/>
      <c r="AI355" s="162"/>
      <c r="AJ355" s="162"/>
      <c r="AK355" s="162"/>
      <c r="BS355" s="131"/>
      <c r="BT355" s="131"/>
      <c r="BU355" s="131"/>
      <c r="BV355" s="131"/>
      <c r="BW355" s="131"/>
      <c r="BX355" s="131"/>
      <c r="BY355" s="131"/>
      <c r="BZ355" s="131"/>
      <c r="CA355" s="131"/>
      <c r="CB355" s="131"/>
      <c r="CC355" s="131"/>
      <c r="CD355" s="131"/>
      <c r="CE355" s="131"/>
      <c r="CF355" s="131"/>
      <c r="CG355" s="131"/>
      <c r="CH355" s="131"/>
    </row>
    <row r="356" ht="18.75" customHeight="1">
      <c r="C356" s="64"/>
      <c r="E356" s="64"/>
      <c r="F356" s="64"/>
      <c r="G356" s="64"/>
      <c r="AH356" s="162"/>
      <c r="AI356" s="162"/>
      <c r="AJ356" s="162"/>
      <c r="AK356" s="162"/>
      <c r="BS356" s="131"/>
      <c r="BT356" s="131"/>
      <c r="BU356" s="131"/>
      <c r="BV356" s="131"/>
      <c r="BW356" s="131"/>
      <c r="BX356" s="131"/>
      <c r="BY356" s="131"/>
      <c r="BZ356" s="131"/>
      <c r="CA356" s="131"/>
      <c r="CB356" s="131"/>
      <c r="CC356" s="131"/>
      <c r="CD356" s="131"/>
      <c r="CE356" s="131"/>
      <c r="CF356" s="131"/>
      <c r="CG356" s="131"/>
      <c r="CH356" s="131"/>
    </row>
    <row r="357" ht="18.75" customHeight="1">
      <c r="C357" s="64"/>
      <c r="E357" s="64"/>
      <c r="F357" s="64"/>
      <c r="G357" s="64"/>
      <c r="AH357" s="162"/>
      <c r="AI357" s="162"/>
      <c r="AJ357" s="162"/>
      <c r="AK357" s="162"/>
      <c r="BS357" s="131"/>
      <c r="BT357" s="131"/>
      <c r="BU357" s="131"/>
      <c r="BV357" s="131"/>
      <c r="BW357" s="131"/>
      <c r="BX357" s="131"/>
      <c r="BY357" s="131"/>
      <c r="BZ357" s="131"/>
      <c r="CA357" s="131"/>
      <c r="CB357" s="131"/>
      <c r="CC357" s="131"/>
      <c r="CD357" s="131"/>
      <c r="CE357" s="131"/>
      <c r="CF357" s="131"/>
      <c r="CG357" s="131"/>
      <c r="CH357" s="131"/>
    </row>
    <row r="358" ht="18.75" customHeight="1">
      <c r="C358" s="64"/>
      <c r="E358" s="64"/>
      <c r="F358" s="64"/>
      <c r="G358" s="64"/>
      <c r="AH358" s="162"/>
      <c r="AI358" s="162"/>
      <c r="AJ358" s="162"/>
      <c r="AK358" s="162"/>
      <c r="BS358" s="131"/>
      <c r="BT358" s="131"/>
      <c r="BU358" s="131"/>
      <c r="BV358" s="131"/>
      <c r="BW358" s="131"/>
      <c r="BX358" s="131"/>
      <c r="BY358" s="131"/>
      <c r="BZ358" s="131"/>
      <c r="CA358" s="131"/>
      <c r="CB358" s="131"/>
      <c r="CC358" s="131"/>
      <c r="CD358" s="131"/>
      <c r="CE358" s="131"/>
      <c r="CF358" s="131"/>
      <c r="CG358" s="131"/>
      <c r="CH358" s="131"/>
    </row>
    <row r="359" ht="18.75" customHeight="1">
      <c r="C359" s="64"/>
      <c r="E359" s="64"/>
      <c r="F359" s="64"/>
      <c r="G359" s="64"/>
      <c r="AH359" s="162"/>
      <c r="AI359" s="162"/>
      <c r="AJ359" s="162"/>
      <c r="AK359" s="162"/>
      <c r="BS359" s="131"/>
      <c r="BT359" s="131"/>
      <c r="BU359" s="131"/>
      <c r="BV359" s="131"/>
      <c r="BW359" s="131"/>
      <c r="BX359" s="131"/>
      <c r="BY359" s="131"/>
      <c r="BZ359" s="131"/>
      <c r="CA359" s="131"/>
      <c r="CB359" s="131"/>
      <c r="CC359" s="131"/>
      <c r="CD359" s="131"/>
      <c r="CE359" s="131"/>
      <c r="CF359" s="131"/>
      <c r="CG359" s="131"/>
      <c r="CH359" s="131"/>
    </row>
    <row r="360" ht="18.75" customHeight="1">
      <c r="C360" s="64"/>
      <c r="E360" s="64"/>
      <c r="F360" s="64"/>
      <c r="G360" s="64"/>
      <c r="AH360" s="162"/>
      <c r="AI360" s="162"/>
      <c r="AJ360" s="162"/>
      <c r="AK360" s="162"/>
      <c r="BS360" s="131"/>
      <c r="BT360" s="131"/>
      <c r="BU360" s="131"/>
      <c r="BV360" s="131"/>
      <c r="BW360" s="131"/>
      <c r="BX360" s="131"/>
      <c r="BY360" s="131"/>
      <c r="BZ360" s="131"/>
      <c r="CA360" s="131"/>
      <c r="CB360" s="131"/>
      <c r="CC360" s="131"/>
      <c r="CD360" s="131"/>
      <c r="CE360" s="131"/>
      <c r="CF360" s="131"/>
      <c r="CG360" s="131"/>
      <c r="CH360" s="131"/>
    </row>
    <row r="361" ht="18.75" customHeight="1">
      <c r="C361" s="64"/>
      <c r="E361" s="64"/>
      <c r="F361" s="64"/>
      <c r="G361" s="64"/>
      <c r="AH361" s="162"/>
      <c r="AI361" s="162"/>
      <c r="AJ361" s="162"/>
      <c r="AK361" s="162"/>
      <c r="BS361" s="131"/>
      <c r="BT361" s="131"/>
      <c r="BU361" s="131"/>
      <c r="BV361" s="131"/>
      <c r="BW361" s="131"/>
      <c r="BX361" s="131"/>
      <c r="BY361" s="131"/>
      <c r="BZ361" s="131"/>
      <c r="CA361" s="131"/>
      <c r="CB361" s="131"/>
      <c r="CC361" s="131"/>
      <c r="CD361" s="131"/>
      <c r="CE361" s="131"/>
      <c r="CF361" s="131"/>
      <c r="CG361" s="131"/>
      <c r="CH361" s="131"/>
    </row>
    <row r="362" ht="18.75" customHeight="1">
      <c r="C362" s="64"/>
      <c r="E362" s="64"/>
      <c r="F362" s="64"/>
      <c r="G362" s="64"/>
      <c r="AH362" s="162"/>
      <c r="AI362" s="162"/>
      <c r="AJ362" s="162"/>
      <c r="AK362" s="162"/>
      <c r="BS362" s="131"/>
      <c r="BT362" s="131"/>
      <c r="BU362" s="131"/>
      <c r="BV362" s="131"/>
      <c r="BW362" s="131"/>
      <c r="BX362" s="131"/>
      <c r="BY362" s="131"/>
      <c r="BZ362" s="131"/>
      <c r="CA362" s="131"/>
      <c r="CB362" s="131"/>
      <c r="CC362" s="131"/>
      <c r="CD362" s="131"/>
      <c r="CE362" s="131"/>
      <c r="CF362" s="131"/>
      <c r="CG362" s="131"/>
      <c r="CH362" s="131"/>
    </row>
    <row r="363" ht="18.75" customHeight="1">
      <c r="C363" s="64"/>
      <c r="E363" s="64"/>
      <c r="F363" s="64"/>
      <c r="G363" s="64"/>
      <c r="AH363" s="162"/>
      <c r="AI363" s="162"/>
      <c r="AJ363" s="162"/>
      <c r="AK363" s="162"/>
      <c r="BS363" s="131"/>
      <c r="BT363" s="131"/>
      <c r="BU363" s="131"/>
      <c r="BV363" s="131"/>
      <c r="BW363" s="131"/>
      <c r="BX363" s="131"/>
      <c r="BY363" s="131"/>
      <c r="BZ363" s="131"/>
      <c r="CA363" s="131"/>
      <c r="CB363" s="131"/>
      <c r="CC363" s="131"/>
      <c r="CD363" s="131"/>
      <c r="CE363" s="131"/>
      <c r="CF363" s="131"/>
      <c r="CG363" s="131"/>
      <c r="CH363" s="131"/>
    </row>
    <row r="364" ht="18.75" customHeight="1">
      <c r="C364" s="64"/>
      <c r="E364" s="64"/>
      <c r="F364" s="64"/>
      <c r="G364" s="64"/>
      <c r="AH364" s="162"/>
      <c r="AI364" s="162"/>
      <c r="AJ364" s="162"/>
      <c r="AK364" s="162"/>
      <c r="BS364" s="131"/>
      <c r="BT364" s="131"/>
      <c r="BU364" s="131"/>
      <c r="BV364" s="131"/>
      <c r="BW364" s="131"/>
      <c r="BX364" s="131"/>
      <c r="BY364" s="131"/>
      <c r="BZ364" s="131"/>
      <c r="CA364" s="131"/>
      <c r="CB364" s="131"/>
      <c r="CC364" s="131"/>
      <c r="CD364" s="131"/>
      <c r="CE364" s="131"/>
      <c r="CF364" s="131"/>
      <c r="CG364" s="131"/>
      <c r="CH364" s="131"/>
    </row>
    <row r="365" ht="18.75" customHeight="1">
      <c r="C365" s="64"/>
      <c r="E365" s="64"/>
      <c r="F365" s="64"/>
      <c r="G365" s="64"/>
      <c r="AH365" s="162"/>
      <c r="AI365" s="162"/>
      <c r="AJ365" s="162"/>
      <c r="AK365" s="162"/>
      <c r="BS365" s="131"/>
      <c r="BT365" s="131"/>
      <c r="BU365" s="131"/>
      <c r="BV365" s="131"/>
      <c r="BW365" s="131"/>
      <c r="BX365" s="131"/>
      <c r="BY365" s="131"/>
      <c r="BZ365" s="131"/>
      <c r="CA365" s="131"/>
      <c r="CB365" s="131"/>
      <c r="CC365" s="131"/>
      <c r="CD365" s="131"/>
      <c r="CE365" s="131"/>
      <c r="CF365" s="131"/>
      <c r="CG365" s="131"/>
      <c r="CH365" s="131"/>
    </row>
    <row r="366" ht="18.75" customHeight="1">
      <c r="C366" s="64"/>
      <c r="E366" s="64"/>
      <c r="F366" s="64"/>
      <c r="G366" s="64"/>
      <c r="AH366" s="162"/>
      <c r="AI366" s="162"/>
      <c r="AJ366" s="162"/>
      <c r="AK366" s="162"/>
      <c r="BS366" s="131"/>
      <c r="BT366" s="131"/>
      <c r="BU366" s="131"/>
      <c r="BV366" s="131"/>
      <c r="BW366" s="131"/>
      <c r="BX366" s="131"/>
      <c r="BY366" s="131"/>
      <c r="BZ366" s="131"/>
      <c r="CA366" s="131"/>
      <c r="CB366" s="131"/>
      <c r="CC366" s="131"/>
      <c r="CD366" s="131"/>
      <c r="CE366" s="131"/>
      <c r="CF366" s="131"/>
      <c r="CG366" s="131"/>
      <c r="CH366" s="131"/>
    </row>
    <row r="367" ht="18.75" customHeight="1">
      <c r="C367" s="64"/>
      <c r="E367" s="64"/>
      <c r="F367" s="64"/>
      <c r="G367" s="64"/>
      <c r="AH367" s="162"/>
      <c r="AI367" s="162"/>
      <c r="AJ367" s="162"/>
      <c r="AK367" s="162"/>
      <c r="BS367" s="131"/>
      <c r="BT367" s="131"/>
      <c r="BU367" s="131"/>
      <c r="BV367" s="131"/>
      <c r="BW367" s="131"/>
      <c r="BX367" s="131"/>
      <c r="BY367" s="131"/>
      <c r="BZ367" s="131"/>
      <c r="CA367" s="131"/>
      <c r="CB367" s="131"/>
      <c r="CC367" s="131"/>
      <c r="CD367" s="131"/>
      <c r="CE367" s="131"/>
      <c r="CF367" s="131"/>
      <c r="CG367" s="131"/>
      <c r="CH367" s="131"/>
    </row>
    <row r="368" ht="18.75" customHeight="1">
      <c r="C368" s="64"/>
      <c r="E368" s="64"/>
      <c r="F368" s="64"/>
      <c r="G368" s="64"/>
      <c r="AH368" s="162"/>
      <c r="AI368" s="162"/>
      <c r="AJ368" s="162"/>
      <c r="AK368" s="162"/>
      <c r="BS368" s="131"/>
      <c r="BT368" s="131"/>
      <c r="BU368" s="131"/>
      <c r="BV368" s="131"/>
      <c r="BW368" s="131"/>
      <c r="BX368" s="131"/>
      <c r="BY368" s="131"/>
      <c r="BZ368" s="131"/>
      <c r="CA368" s="131"/>
      <c r="CB368" s="131"/>
      <c r="CC368" s="131"/>
      <c r="CD368" s="131"/>
      <c r="CE368" s="131"/>
      <c r="CF368" s="131"/>
      <c r="CG368" s="131"/>
      <c r="CH368" s="131"/>
    </row>
    <row r="369" ht="18.75" customHeight="1">
      <c r="C369" s="64"/>
      <c r="E369" s="64"/>
      <c r="F369" s="64"/>
      <c r="G369" s="64"/>
      <c r="AH369" s="162"/>
      <c r="AI369" s="162"/>
      <c r="AJ369" s="162"/>
      <c r="AK369" s="162"/>
      <c r="BS369" s="131"/>
      <c r="BT369" s="131"/>
      <c r="BU369" s="131"/>
      <c r="BV369" s="131"/>
      <c r="BW369" s="131"/>
      <c r="BX369" s="131"/>
      <c r="BY369" s="131"/>
      <c r="BZ369" s="131"/>
      <c r="CA369" s="131"/>
      <c r="CB369" s="131"/>
      <c r="CC369" s="131"/>
      <c r="CD369" s="131"/>
      <c r="CE369" s="131"/>
      <c r="CF369" s="131"/>
      <c r="CG369" s="131"/>
      <c r="CH369" s="131"/>
    </row>
    <row r="370" ht="18.75" customHeight="1">
      <c r="C370" s="64"/>
      <c r="E370" s="64"/>
      <c r="F370" s="64"/>
      <c r="G370" s="64"/>
      <c r="AH370" s="162"/>
      <c r="AI370" s="162"/>
      <c r="AJ370" s="162"/>
      <c r="AK370" s="162"/>
      <c r="BS370" s="131"/>
      <c r="BT370" s="131"/>
      <c r="BU370" s="131"/>
      <c r="BV370" s="131"/>
      <c r="BW370" s="131"/>
      <c r="BX370" s="131"/>
      <c r="BY370" s="131"/>
      <c r="BZ370" s="131"/>
      <c r="CA370" s="131"/>
      <c r="CB370" s="131"/>
      <c r="CC370" s="131"/>
      <c r="CD370" s="131"/>
      <c r="CE370" s="131"/>
      <c r="CF370" s="131"/>
      <c r="CG370" s="131"/>
      <c r="CH370" s="131"/>
    </row>
    <row r="371" ht="18.75" customHeight="1">
      <c r="C371" s="64"/>
      <c r="E371" s="64"/>
      <c r="F371" s="64"/>
      <c r="G371" s="64"/>
      <c r="AH371" s="162"/>
      <c r="AI371" s="162"/>
      <c r="AJ371" s="162"/>
      <c r="AK371" s="162"/>
      <c r="BS371" s="131"/>
      <c r="BT371" s="131"/>
      <c r="BU371" s="131"/>
      <c r="BV371" s="131"/>
      <c r="BW371" s="131"/>
      <c r="BX371" s="131"/>
      <c r="BY371" s="131"/>
      <c r="BZ371" s="131"/>
      <c r="CA371" s="131"/>
      <c r="CB371" s="131"/>
      <c r="CC371" s="131"/>
      <c r="CD371" s="131"/>
      <c r="CE371" s="131"/>
      <c r="CF371" s="131"/>
      <c r="CG371" s="131"/>
      <c r="CH371" s="131"/>
    </row>
    <row r="372" ht="18.75" customHeight="1">
      <c r="C372" s="64"/>
      <c r="E372" s="64"/>
      <c r="F372" s="64"/>
      <c r="G372" s="64"/>
      <c r="AH372" s="162"/>
      <c r="AI372" s="162"/>
      <c r="AJ372" s="162"/>
      <c r="AK372" s="162"/>
      <c r="BS372" s="131"/>
      <c r="BT372" s="131"/>
      <c r="BU372" s="131"/>
      <c r="BV372" s="131"/>
      <c r="BW372" s="131"/>
      <c r="BX372" s="131"/>
      <c r="BY372" s="131"/>
      <c r="BZ372" s="131"/>
      <c r="CA372" s="131"/>
      <c r="CB372" s="131"/>
      <c r="CC372" s="131"/>
      <c r="CD372" s="131"/>
      <c r="CE372" s="131"/>
      <c r="CF372" s="131"/>
      <c r="CG372" s="131"/>
      <c r="CH372" s="131"/>
    </row>
    <row r="373" ht="18.75" customHeight="1">
      <c r="C373" s="64"/>
      <c r="E373" s="64"/>
      <c r="F373" s="64"/>
      <c r="G373" s="64"/>
      <c r="AH373" s="162"/>
      <c r="AI373" s="162"/>
      <c r="AJ373" s="162"/>
      <c r="AK373" s="162"/>
      <c r="BS373" s="131"/>
      <c r="BT373" s="131"/>
      <c r="BU373" s="131"/>
      <c r="BV373" s="131"/>
      <c r="BW373" s="131"/>
      <c r="BX373" s="131"/>
      <c r="BY373" s="131"/>
      <c r="BZ373" s="131"/>
      <c r="CA373" s="131"/>
      <c r="CB373" s="131"/>
      <c r="CC373" s="131"/>
      <c r="CD373" s="131"/>
      <c r="CE373" s="131"/>
      <c r="CF373" s="131"/>
      <c r="CG373" s="131"/>
      <c r="CH373" s="131"/>
    </row>
    <row r="374" ht="18.75" customHeight="1">
      <c r="C374" s="64"/>
      <c r="E374" s="64"/>
      <c r="F374" s="64"/>
      <c r="G374" s="64"/>
      <c r="AH374" s="162"/>
      <c r="AI374" s="162"/>
      <c r="AJ374" s="162"/>
      <c r="AK374" s="162"/>
      <c r="BS374" s="131"/>
      <c r="BT374" s="131"/>
      <c r="BU374" s="131"/>
      <c r="BV374" s="131"/>
      <c r="BW374" s="131"/>
      <c r="BX374" s="131"/>
      <c r="BY374" s="131"/>
      <c r="BZ374" s="131"/>
      <c r="CA374" s="131"/>
      <c r="CB374" s="131"/>
      <c r="CC374" s="131"/>
      <c r="CD374" s="131"/>
      <c r="CE374" s="131"/>
      <c r="CF374" s="131"/>
      <c r="CG374" s="131"/>
      <c r="CH374" s="131"/>
    </row>
    <row r="375" ht="18.75" customHeight="1">
      <c r="C375" s="64"/>
      <c r="E375" s="64"/>
      <c r="F375" s="64"/>
      <c r="G375" s="64"/>
      <c r="AH375" s="162"/>
      <c r="AI375" s="162"/>
      <c r="AJ375" s="162"/>
      <c r="AK375" s="162"/>
      <c r="BS375" s="131"/>
      <c r="BT375" s="131"/>
      <c r="BU375" s="131"/>
      <c r="BV375" s="131"/>
      <c r="BW375" s="131"/>
      <c r="BX375" s="131"/>
      <c r="BY375" s="131"/>
      <c r="BZ375" s="131"/>
      <c r="CA375" s="131"/>
      <c r="CB375" s="131"/>
      <c r="CC375" s="131"/>
      <c r="CD375" s="131"/>
      <c r="CE375" s="131"/>
      <c r="CF375" s="131"/>
      <c r="CG375" s="131"/>
      <c r="CH375" s="131"/>
    </row>
    <row r="376" ht="18.75" customHeight="1">
      <c r="C376" s="64"/>
      <c r="E376" s="64"/>
      <c r="F376" s="64"/>
      <c r="G376" s="64"/>
      <c r="AH376" s="162"/>
      <c r="AI376" s="162"/>
      <c r="AJ376" s="162"/>
      <c r="AK376" s="162"/>
      <c r="BS376" s="131"/>
      <c r="BT376" s="131"/>
      <c r="BU376" s="131"/>
      <c r="BV376" s="131"/>
      <c r="BW376" s="131"/>
      <c r="BX376" s="131"/>
      <c r="BY376" s="131"/>
      <c r="BZ376" s="131"/>
      <c r="CA376" s="131"/>
      <c r="CB376" s="131"/>
      <c r="CC376" s="131"/>
      <c r="CD376" s="131"/>
      <c r="CE376" s="131"/>
      <c r="CF376" s="131"/>
      <c r="CG376" s="131"/>
      <c r="CH376" s="131"/>
    </row>
    <row r="377" ht="18.75" customHeight="1">
      <c r="C377" s="64"/>
      <c r="E377" s="64"/>
      <c r="F377" s="64"/>
      <c r="G377" s="64"/>
      <c r="AH377" s="162"/>
      <c r="AI377" s="162"/>
      <c r="AJ377" s="162"/>
      <c r="AK377" s="162"/>
      <c r="BS377" s="131"/>
      <c r="BT377" s="131"/>
      <c r="BU377" s="131"/>
      <c r="BV377" s="131"/>
      <c r="BW377" s="131"/>
      <c r="BX377" s="131"/>
      <c r="BY377" s="131"/>
      <c r="BZ377" s="131"/>
      <c r="CA377" s="131"/>
      <c r="CB377" s="131"/>
      <c r="CC377" s="131"/>
      <c r="CD377" s="131"/>
      <c r="CE377" s="131"/>
      <c r="CF377" s="131"/>
      <c r="CG377" s="131"/>
      <c r="CH377" s="131"/>
    </row>
    <row r="378" ht="18.75" customHeight="1">
      <c r="C378" s="64"/>
      <c r="E378" s="64"/>
      <c r="F378" s="64"/>
      <c r="G378" s="64"/>
      <c r="AH378" s="162"/>
      <c r="AI378" s="162"/>
      <c r="AJ378" s="162"/>
      <c r="AK378" s="162"/>
      <c r="BS378" s="131"/>
      <c r="BT378" s="131"/>
      <c r="BU378" s="131"/>
      <c r="BV378" s="131"/>
      <c r="BW378" s="131"/>
      <c r="BX378" s="131"/>
      <c r="BY378" s="131"/>
      <c r="BZ378" s="131"/>
      <c r="CA378" s="131"/>
      <c r="CB378" s="131"/>
      <c r="CC378" s="131"/>
      <c r="CD378" s="131"/>
      <c r="CE378" s="131"/>
      <c r="CF378" s="131"/>
      <c r="CG378" s="131"/>
      <c r="CH378" s="131"/>
    </row>
    <row r="379" ht="18.75" customHeight="1">
      <c r="C379" s="64"/>
      <c r="E379" s="64"/>
      <c r="F379" s="64"/>
      <c r="G379" s="64"/>
      <c r="AH379" s="162"/>
      <c r="AI379" s="162"/>
      <c r="AJ379" s="162"/>
      <c r="AK379" s="162"/>
      <c r="BS379" s="131"/>
      <c r="BT379" s="131"/>
      <c r="BU379" s="131"/>
      <c r="BV379" s="131"/>
      <c r="BW379" s="131"/>
      <c r="BX379" s="131"/>
      <c r="BY379" s="131"/>
      <c r="BZ379" s="131"/>
      <c r="CA379" s="131"/>
      <c r="CB379" s="131"/>
      <c r="CC379" s="131"/>
      <c r="CD379" s="131"/>
      <c r="CE379" s="131"/>
      <c r="CF379" s="131"/>
      <c r="CG379" s="131"/>
      <c r="CH379" s="131"/>
    </row>
    <row r="380" ht="18.75" customHeight="1">
      <c r="C380" s="64"/>
      <c r="E380" s="64"/>
      <c r="F380" s="64"/>
      <c r="G380" s="64"/>
      <c r="AH380" s="162"/>
      <c r="AI380" s="162"/>
      <c r="AJ380" s="162"/>
      <c r="AK380" s="162"/>
      <c r="BS380" s="131"/>
      <c r="BT380" s="131"/>
      <c r="BU380" s="131"/>
      <c r="BV380" s="131"/>
      <c r="BW380" s="131"/>
      <c r="BX380" s="131"/>
      <c r="BY380" s="131"/>
      <c r="BZ380" s="131"/>
      <c r="CA380" s="131"/>
      <c r="CB380" s="131"/>
      <c r="CC380" s="131"/>
      <c r="CD380" s="131"/>
      <c r="CE380" s="131"/>
      <c r="CF380" s="131"/>
      <c r="CG380" s="131"/>
      <c r="CH380" s="131"/>
    </row>
    <row r="381" ht="18.75" customHeight="1">
      <c r="C381" s="64"/>
      <c r="E381" s="64"/>
      <c r="F381" s="64"/>
      <c r="G381" s="64"/>
      <c r="AH381" s="162"/>
      <c r="AI381" s="162"/>
      <c r="AJ381" s="162"/>
      <c r="AK381" s="162"/>
      <c r="BS381" s="131"/>
      <c r="BT381" s="131"/>
      <c r="BU381" s="131"/>
      <c r="BV381" s="131"/>
      <c r="BW381" s="131"/>
      <c r="BX381" s="131"/>
      <c r="BY381" s="131"/>
      <c r="BZ381" s="131"/>
      <c r="CA381" s="131"/>
      <c r="CB381" s="131"/>
      <c r="CC381" s="131"/>
      <c r="CD381" s="131"/>
      <c r="CE381" s="131"/>
      <c r="CF381" s="131"/>
      <c r="CG381" s="131"/>
      <c r="CH381" s="131"/>
    </row>
    <row r="382" ht="18.75" customHeight="1">
      <c r="C382" s="64"/>
      <c r="E382" s="64"/>
      <c r="F382" s="64"/>
      <c r="G382" s="64"/>
      <c r="AH382" s="162"/>
      <c r="AI382" s="162"/>
      <c r="AJ382" s="162"/>
      <c r="AK382" s="162"/>
      <c r="BS382" s="131"/>
      <c r="BT382" s="131"/>
      <c r="BU382" s="131"/>
      <c r="BV382" s="131"/>
      <c r="BW382" s="131"/>
      <c r="BX382" s="131"/>
      <c r="BY382" s="131"/>
      <c r="BZ382" s="131"/>
      <c r="CA382" s="131"/>
      <c r="CB382" s="131"/>
      <c r="CC382" s="131"/>
      <c r="CD382" s="131"/>
      <c r="CE382" s="131"/>
      <c r="CF382" s="131"/>
      <c r="CG382" s="131"/>
      <c r="CH382" s="131"/>
    </row>
    <row r="383" ht="18.75" customHeight="1">
      <c r="C383" s="64"/>
      <c r="E383" s="64"/>
      <c r="F383" s="64"/>
      <c r="G383" s="64"/>
      <c r="AH383" s="162"/>
      <c r="AI383" s="162"/>
      <c r="AJ383" s="162"/>
      <c r="AK383" s="162"/>
      <c r="BS383" s="131"/>
      <c r="BT383" s="131"/>
      <c r="BU383" s="131"/>
      <c r="BV383" s="131"/>
      <c r="BW383" s="131"/>
      <c r="BX383" s="131"/>
      <c r="BY383" s="131"/>
      <c r="BZ383" s="131"/>
      <c r="CA383" s="131"/>
      <c r="CB383" s="131"/>
      <c r="CC383" s="131"/>
      <c r="CD383" s="131"/>
      <c r="CE383" s="131"/>
      <c r="CF383" s="131"/>
      <c r="CG383" s="131"/>
      <c r="CH383" s="131"/>
    </row>
    <row r="384" ht="18.75" customHeight="1">
      <c r="C384" s="64"/>
      <c r="E384" s="64"/>
      <c r="F384" s="64"/>
      <c r="G384" s="64"/>
      <c r="AH384" s="162"/>
      <c r="AI384" s="162"/>
      <c r="AJ384" s="162"/>
      <c r="AK384" s="162"/>
      <c r="BS384" s="131"/>
      <c r="BT384" s="131"/>
      <c r="BU384" s="131"/>
      <c r="BV384" s="131"/>
      <c r="BW384" s="131"/>
      <c r="BX384" s="131"/>
      <c r="BY384" s="131"/>
      <c r="BZ384" s="131"/>
      <c r="CA384" s="131"/>
      <c r="CB384" s="131"/>
      <c r="CC384" s="131"/>
      <c r="CD384" s="131"/>
      <c r="CE384" s="131"/>
      <c r="CF384" s="131"/>
      <c r="CG384" s="131"/>
      <c r="CH384" s="131"/>
    </row>
    <row r="385" ht="18.75" customHeight="1">
      <c r="C385" s="64"/>
      <c r="E385" s="64"/>
      <c r="F385" s="64"/>
      <c r="G385" s="64"/>
      <c r="AH385" s="162"/>
      <c r="AI385" s="162"/>
      <c r="AJ385" s="162"/>
      <c r="AK385" s="162"/>
      <c r="BS385" s="131"/>
      <c r="BT385" s="131"/>
      <c r="BU385" s="131"/>
      <c r="BV385" s="131"/>
      <c r="BW385" s="131"/>
      <c r="BX385" s="131"/>
      <c r="BY385" s="131"/>
      <c r="BZ385" s="131"/>
      <c r="CA385" s="131"/>
      <c r="CB385" s="131"/>
      <c r="CC385" s="131"/>
      <c r="CD385" s="131"/>
      <c r="CE385" s="131"/>
      <c r="CF385" s="131"/>
      <c r="CG385" s="131"/>
      <c r="CH385" s="131"/>
    </row>
    <row r="386" ht="18.75" customHeight="1">
      <c r="C386" s="64"/>
      <c r="E386" s="64"/>
      <c r="F386" s="64"/>
      <c r="G386" s="64"/>
      <c r="AH386" s="162"/>
      <c r="AI386" s="162"/>
      <c r="AJ386" s="162"/>
      <c r="AK386" s="162"/>
      <c r="BS386" s="131"/>
      <c r="BT386" s="131"/>
      <c r="BU386" s="131"/>
      <c r="BV386" s="131"/>
      <c r="BW386" s="131"/>
      <c r="BX386" s="131"/>
      <c r="BY386" s="131"/>
      <c r="BZ386" s="131"/>
      <c r="CA386" s="131"/>
      <c r="CB386" s="131"/>
      <c r="CC386" s="131"/>
      <c r="CD386" s="131"/>
      <c r="CE386" s="131"/>
      <c r="CF386" s="131"/>
      <c r="CG386" s="131"/>
      <c r="CH386" s="131"/>
    </row>
    <row r="387" ht="18.75" customHeight="1">
      <c r="C387" s="64"/>
      <c r="E387" s="64"/>
      <c r="F387" s="64"/>
      <c r="G387" s="64"/>
      <c r="AH387" s="162"/>
      <c r="AI387" s="162"/>
      <c r="AJ387" s="162"/>
      <c r="AK387" s="162"/>
      <c r="BS387" s="131"/>
      <c r="BT387" s="131"/>
      <c r="BU387" s="131"/>
      <c r="BV387" s="131"/>
      <c r="BW387" s="131"/>
      <c r="BX387" s="131"/>
      <c r="BY387" s="131"/>
      <c r="BZ387" s="131"/>
      <c r="CA387" s="131"/>
      <c r="CB387" s="131"/>
      <c r="CC387" s="131"/>
      <c r="CD387" s="131"/>
      <c r="CE387" s="131"/>
      <c r="CF387" s="131"/>
      <c r="CG387" s="131"/>
      <c r="CH387" s="131"/>
    </row>
    <row r="388" ht="18.75" customHeight="1">
      <c r="C388" s="64"/>
      <c r="E388" s="64"/>
      <c r="F388" s="64"/>
      <c r="G388" s="64"/>
      <c r="AH388" s="162"/>
      <c r="AI388" s="162"/>
      <c r="AJ388" s="162"/>
      <c r="AK388" s="162"/>
      <c r="BS388" s="131"/>
      <c r="BT388" s="131"/>
      <c r="BU388" s="131"/>
      <c r="BV388" s="131"/>
      <c r="BW388" s="131"/>
      <c r="BX388" s="131"/>
      <c r="BY388" s="131"/>
      <c r="BZ388" s="131"/>
      <c r="CA388" s="131"/>
      <c r="CB388" s="131"/>
      <c r="CC388" s="131"/>
      <c r="CD388" s="131"/>
      <c r="CE388" s="131"/>
      <c r="CF388" s="131"/>
      <c r="CG388" s="131"/>
      <c r="CH388" s="131"/>
    </row>
    <row r="389" ht="18.75" customHeight="1">
      <c r="C389" s="64"/>
      <c r="E389" s="64"/>
      <c r="F389" s="64"/>
      <c r="G389" s="64"/>
      <c r="AH389" s="162"/>
      <c r="AI389" s="162"/>
      <c r="AJ389" s="162"/>
      <c r="AK389" s="162"/>
      <c r="BS389" s="131"/>
      <c r="BT389" s="131"/>
      <c r="BU389" s="131"/>
      <c r="BV389" s="131"/>
      <c r="BW389" s="131"/>
      <c r="BX389" s="131"/>
      <c r="BY389" s="131"/>
      <c r="BZ389" s="131"/>
      <c r="CA389" s="131"/>
      <c r="CB389" s="131"/>
      <c r="CC389" s="131"/>
      <c r="CD389" s="131"/>
      <c r="CE389" s="131"/>
      <c r="CF389" s="131"/>
      <c r="CG389" s="131"/>
      <c r="CH389" s="131"/>
    </row>
    <row r="390" ht="18.75" customHeight="1">
      <c r="C390" s="64"/>
      <c r="E390" s="64"/>
      <c r="F390" s="64"/>
      <c r="G390" s="64"/>
      <c r="AH390" s="162"/>
      <c r="AI390" s="162"/>
      <c r="AJ390" s="162"/>
      <c r="AK390" s="162"/>
      <c r="BS390" s="131"/>
      <c r="BT390" s="131"/>
      <c r="BU390" s="131"/>
      <c r="BV390" s="131"/>
      <c r="BW390" s="131"/>
      <c r="BX390" s="131"/>
      <c r="BY390" s="131"/>
      <c r="BZ390" s="131"/>
      <c r="CA390" s="131"/>
      <c r="CB390" s="131"/>
      <c r="CC390" s="131"/>
      <c r="CD390" s="131"/>
      <c r="CE390" s="131"/>
      <c r="CF390" s="131"/>
      <c r="CG390" s="131"/>
      <c r="CH390" s="131"/>
    </row>
    <row r="391" ht="18.75" customHeight="1">
      <c r="C391" s="64"/>
      <c r="E391" s="64"/>
      <c r="F391" s="64"/>
      <c r="G391" s="64"/>
      <c r="AH391" s="162"/>
      <c r="AI391" s="162"/>
      <c r="AJ391" s="162"/>
      <c r="AK391" s="162"/>
      <c r="BS391" s="131"/>
      <c r="BT391" s="131"/>
      <c r="BU391" s="131"/>
      <c r="BV391" s="131"/>
      <c r="BW391" s="131"/>
      <c r="BX391" s="131"/>
      <c r="BY391" s="131"/>
      <c r="BZ391" s="131"/>
      <c r="CA391" s="131"/>
      <c r="CB391" s="131"/>
      <c r="CC391" s="131"/>
      <c r="CD391" s="131"/>
      <c r="CE391" s="131"/>
      <c r="CF391" s="131"/>
      <c r="CG391" s="131"/>
      <c r="CH391" s="131"/>
    </row>
    <row r="392" ht="18.75" customHeight="1">
      <c r="C392" s="64"/>
      <c r="E392" s="64"/>
      <c r="F392" s="64"/>
      <c r="G392" s="64"/>
      <c r="AH392" s="162"/>
      <c r="AI392" s="162"/>
      <c r="AJ392" s="162"/>
      <c r="AK392" s="162"/>
      <c r="BS392" s="131"/>
      <c r="BT392" s="131"/>
      <c r="BU392" s="131"/>
      <c r="BV392" s="131"/>
      <c r="BW392" s="131"/>
      <c r="BX392" s="131"/>
      <c r="BY392" s="131"/>
      <c r="BZ392" s="131"/>
      <c r="CA392" s="131"/>
      <c r="CB392" s="131"/>
      <c r="CC392" s="131"/>
      <c r="CD392" s="131"/>
      <c r="CE392" s="131"/>
      <c r="CF392" s="131"/>
      <c r="CG392" s="131"/>
      <c r="CH392" s="131"/>
    </row>
    <row r="393" ht="18.75" customHeight="1">
      <c r="C393" s="64"/>
      <c r="E393" s="64"/>
      <c r="F393" s="64"/>
      <c r="G393" s="64"/>
      <c r="AH393" s="162"/>
      <c r="AI393" s="162"/>
      <c r="AJ393" s="162"/>
      <c r="AK393" s="162"/>
      <c r="BS393" s="131"/>
      <c r="BT393" s="131"/>
      <c r="BU393" s="131"/>
      <c r="BV393" s="131"/>
      <c r="BW393" s="131"/>
      <c r="BX393" s="131"/>
      <c r="BY393" s="131"/>
      <c r="BZ393" s="131"/>
      <c r="CA393" s="131"/>
      <c r="CB393" s="131"/>
      <c r="CC393" s="131"/>
      <c r="CD393" s="131"/>
      <c r="CE393" s="131"/>
      <c r="CF393" s="131"/>
      <c r="CG393" s="131"/>
      <c r="CH393" s="131"/>
    </row>
    <row r="394" ht="18.75" customHeight="1">
      <c r="C394" s="64"/>
      <c r="E394" s="64"/>
      <c r="F394" s="64"/>
      <c r="G394" s="64"/>
      <c r="AH394" s="162"/>
      <c r="AI394" s="162"/>
      <c r="AJ394" s="162"/>
      <c r="AK394" s="162"/>
      <c r="BS394" s="131"/>
      <c r="BT394" s="131"/>
      <c r="BU394" s="131"/>
      <c r="BV394" s="131"/>
      <c r="BW394" s="131"/>
      <c r="BX394" s="131"/>
      <c r="BY394" s="131"/>
      <c r="BZ394" s="131"/>
      <c r="CA394" s="131"/>
      <c r="CB394" s="131"/>
      <c r="CC394" s="131"/>
      <c r="CD394" s="131"/>
      <c r="CE394" s="131"/>
      <c r="CF394" s="131"/>
      <c r="CG394" s="131"/>
      <c r="CH394" s="131"/>
    </row>
    <row r="395" ht="18.75" customHeight="1">
      <c r="C395" s="64"/>
      <c r="E395" s="64"/>
      <c r="F395" s="64"/>
      <c r="G395" s="64"/>
      <c r="AH395" s="162"/>
      <c r="AI395" s="162"/>
      <c r="AJ395" s="162"/>
      <c r="AK395" s="162"/>
      <c r="BS395" s="131"/>
      <c r="BT395" s="131"/>
      <c r="BU395" s="131"/>
      <c r="BV395" s="131"/>
      <c r="BW395" s="131"/>
      <c r="BX395" s="131"/>
      <c r="BY395" s="131"/>
      <c r="BZ395" s="131"/>
      <c r="CA395" s="131"/>
      <c r="CB395" s="131"/>
      <c r="CC395" s="131"/>
      <c r="CD395" s="131"/>
      <c r="CE395" s="131"/>
      <c r="CF395" s="131"/>
      <c r="CG395" s="131"/>
      <c r="CH395" s="131"/>
    </row>
    <row r="396" ht="18.75" customHeight="1">
      <c r="C396" s="64"/>
      <c r="E396" s="64"/>
      <c r="F396" s="64"/>
      <c r="G396" s="64"/>
      <c r="AH396" s="162"/>
      <c r="AI396" s="162"/>
      <c r="AJ396" s="162"/>
      <c r="AK396" s="162"/>
      <c r="BS396" s="131"/>
      <c r="BT396" s="131"/>
      <c r="BU396" s="131"/>
      <c r="BV396" s="131"/>
      <c r="BW396" s="131"/>
      <c r="BX396" s="131"/>
      <c r="BY396" s="131"/>
      <c r="BZ396" s="131"/>
      <c r="CA396" s="131"/>
      <c r="CB396" s="131"/>
      <c r="CC396" s="131"/>
      <c r="CD396" s="131"/>
      <c r="CE396" s="131"/>
      <c r="CF396" s="131"/>
      <c r="CG396" s="131"/>
      <c r="CH396" s="131"/>
    </row>
    <row r="397" ht="18.75" customHeight="1">
      <c r="C397" s="64"/>
      <c r="E397" s="64"/>
      <c r="F397" s="64"/>
      <c r="G397" s="64"/>
      <c r="AH397" s="162"/>
      <c r="AI397" s="162"/>
      <c r="AJ397" s="162"/>
      <c r="AK397" s="162"/>
      <c r="BS397" s="131"/>
      <c r="BT397" s="131"/>
      <c r="BU397" s="131"/>
      <c r="BV397" s="131"/>
      <c r="BW397" s="131"/>
      <c r="BX397" s="131"/>
      <c r="BY397" s="131"/>
      <c r="BZ397" s="131"/>
      <c r="CA397" s="131"/>
      <c r="CB397" s="131"/>
      <c r="CC397" s="131"/>
      <c r="CD397" s="131"/>
      <c r="CE397" s="131"/>
      <c r="CF397" s="131"/>
      <c r="CG397" s="131"/>
      <c r="CH397" s="131"/>
    </row>
    <row r="398" ht="18.75" customHeight="1">
      <c r="C398" s="64"/>
      <c r="E398" s="64"/>
      <c r="F398" s="64"/>
      <c r="G398" s="64"/>
      <c r="AH398" s="162"/>
      <c r="AI398" s="162"/>
      <c r="AJ398" s="162"/>
      <c r="AK398" s="162"/>
      <c r="BS398" s="131"/>
      <c r="BT398" s="131"/>
      <c r="BU398" s="131"/>
      <c r="BV398" s="131"/>
      <c r="BW398" s="131"/>
      <c r="BX398" s="131"/>
      <c r="BY398" s="131"/>
      <c r="BZ398" s="131"/>
      <c r="CA398" s="131"/>
      <c r="CB398" s="131"/>
      <c r="CC398" s="131"/>
      <c r="CD398" s="131"/>
      <c r="CE398" s="131"/>
      <c r="CF398" s="131"/>
      <c r="CG398" s="131"/>
      <c r="CH398" s="131"/>
    </row>
    <row r="399" ht="18.75" customHeight="1">
      <c r="C399" s="64"/>
      <c r="E399" s="64"/>
      <c r="F399" s="64"/>
      <c r="G399" s="64"/>
      <c r="AH399" s="162"/>
      <c r="AI399" s="162"/>
      <c r="AJ399" s="162"/>
      <c r="AK399" s="162"/>
      <c r="BS399" s="131"/>
      <c r="BT399" s="131"/>
      <c r="BU399" s="131"/>
      <c r="BV399" s="131"/>
      <c r="BW399" s="131"/>
      <c r="BX399" s="131"/>
      <c r="BY399" s="131"/>
      <c r="BZ399" s="131"/>
      <c r="CA399" s="131"/>
      <c r="CB399" s="131"/>
      <c r="CC399" s="131"/>
      <c r="CD399" s="131"/>
      <c r="CE399" s="131"/>
      <c r="CF399" s="131"/>
      <c r="CG399" s="131"/>
      <c r="CH399" s="131"/>
    </row>
    <row r="400" ht="18.75" customHeight="1">
      <c r="C400" s="64"/>
      <c r="E400" s="64"/>
      <c r="F400" s="64"/>
      <c r="G400" s="64"/>
      <c r="AH400" s="162"/>
      <c r="AI400" s="162"/>
      <c r="AJ400" s="162"/>
      <c r="AK400" s="162"/>
      <c r="BS400" s="131"/>
      <c r="BT400" s="131"/>
      <c r="BU400" s="131"/>
      <c r="BV400" s="131"/>
      <c r="BW400" s="131"/>
      <c r="BX400" s="131"/>
      <c r="BY400" s="131"/>
      <c r="BZ400" s="131"/>
      <c r="CA400" s="131"/>
      <c r="CB400" s="131"/>
      <c r="CC400" s="131"/>
      <c r="CD400" s="131"/>
      <c r="CE400" s="131"/>
      <c r="CF400" s="131"/>
      <c r="CG400" s="131"/>
      <c r="CH400" s="131"/>
    </row>
    <row r="401" ht="18.75" customHeight="1">
      <c r="C401" s="64"/>
      <c r="E401" s="64"/>
      <c r="F401" s="64"/>
      <c r="G401" s="64"/>
      <c r="AH401" s="162"/>
      <c r="AI401" s="162"/>
      <c r="AJ401" s="162"/>
      <c r="AK401" s="162"/>
      <c r="BS401" s="131"/>
      <c r="BT401" s="131"/>
      <c r="BU401" s="131"/>
      <c r="BV401" s="131"/>
      <c r="BW401" s="131"/>
      <c r="BX401" s="131"/>
      <c r="BY401" s="131"/>
      <c r="BZ401" s="131"/>
      <c r="CA401" s="131"/>
      <c r="CB401" s="131"/>
      <c r="CC401" s="131"/>
      <c r="CD401" s="131"/>
      <c r="CE401" s="131"/>
      <c r="CF401" s="131"/>
      <c r="CG401" s="131"/>
      <c r="CH401" s="131"/>
    </row>
    <row r="402" ht="18.75" customHeight="1">
      <c r="C402" s="64"/>
      <c r="E402" s="64"/>
      <c r="F402" s="64"/>
      <c r="G402" s="64"/>
      <c r="AH402" s="162"/>
      <c r="AI402" s="162"/>
      <c r="AJ402" s="162"/>
      <c r="AK402" s="162"/>
      <c r="BS402" s="131"/>
      <c r="BT402" s="131"/>
      <c r="BU402" s="131"/>
      <c r="BV402" s="131"/>
      <c r="BW402" s="131"/>
      <c r="BX402" s="131"/>
      <c r="BY402" s="131"/>
      <c r="BZ402" s="131"/>
      <c r="CA402" s="131"/>
      <c r="CB402" s="131"/>
      <c r="CC402" s="131"/>
      <c r="CD402" s="131"/>
      <c r="CE402" s="131"/>
      <c r="CF402" s="131"/>
      <c r="CG402" s="131"/>
      <c r="CH402" s="131"/>
    </row>
    <row r="403" ht="18.75" customHeight="1">
      <c r="C403" s="64"/>
      <c r="E403" s="64"/>
      <c r="F403" s="64"/>
      <c r="G403" s="64"/>
      <c r="AH403" s="162"/>
      <c r="AI403" s="162"/>
      <c r="AJ403" s="162"/>
      <c r="AK403" s="162"/>
      <c r="BS403" s="131"/>
      <c r="BT403" s="131"/>
      <c r="BU403" s="131"/>
      <c r="BV403" s="131"/>
      <c r="BW403" s="131"/>
      <c r="BX403" s="131"/>
      <c r="BY403" s="131"/>
      <c r="BZ403" s="131"/>
      <c r="CA403" s="131"/>
      <c r="CB403" s="131"/>
      <c r="CC403" s="131"/>
      <c r="CD403" s="131"/>
      <c r="CE403" s="131"/>
      <c r="CF403" s="131"/>
      <c r="CG403" s="131"/>
      <c r="CH403" s="131"/>
    </row>
    <row r="404" ht="18.75" customHeight="1">
      <c r="C404" s="64"/>
      <c r="E404" s="64"/>
      <c r="F404" s="64"/>
      <c r="G404" s="64"/>
      <c r="AH404" s="162"/>
      <c r="AI404" s="162"/>
      <c r="AJ404" s="162"/>
      <c r="AK404" s="162"/>
      <c r="BS404" s="131"/>
      <c r="BT404" s="131"/>
      <c r="BU404" s="131"/>
      <c r="BV404" s="131"/>
      <c r="BW404" s="131"/>
      <c r="BX404" s="131"/>
      <c r="BY404" s="131"/>
      <c r="BZ404" s="131"/>
      <c r="CA404" s="131"/>
      <c r="CB404" s="131"/>
      <c r="CC404" s="131"/>
      <c r="CD404" s="131"/>
      <c r="CE404" s="131"/>
      <c r="CF404" s="131"/>
      <c r="CG404" s="131"/>
      <c r="CH404" s="131"/>
    </row>
    <row r="405" ht="18.75" customHeight="1">
      <c r="C405" s="64"/>
      <c r="E405" s="64"/>
      <c r="F405" s="64"/>
      <c r="G405" s="64"/>
      <c r="AH405" s="162"/>
      <c r="AI405" s="162"/>
      <c r="AJ405" s="162"/>
      <c r="AK405" s="162"/>
      <c r="BS405" s="131"/>
      <c r="BT405" s="131"/>
      <c r="BU405" s="131"/>
      <c r="BV405" s="131"/>
      <c r="BW405" s="131"/>
      <c r="BX405" s="131"/>
      <c r="BY405" s="131"/>
      <c r="BZ405" s="131"/>
      <c r="CA405" s="131"/>
      <c r="CB405" s="131"/>
      <c r="CC405" s="131"/>
      <c r="CD405" s="131"/>
      <c r="CE405" s="131"/>
      <c r="CF405" s="131"/>
      <c r="CG405" s="131"/>
      <c r="CH405" s="131"/>
    </row>
    <row r="406" ht="18.75" customHeight="1">
      <c r="C406" s="64"/>
      <c r="E406" s="64"/>
      <c r="F406" s="64"/>
      <c r="G406" s="64"/>
      <c r="AH406" s="162"/>
      <c r="AI406" s="162"/>
      <c r="AJ406" s="162"/>
      <c r="AK406" s="162"/>
      <c r="BS406" s="131"/>
      <c r="BT406" s="131"/>
      <c r="BU406" s="131"/>
      <c r="BV406" s="131"/>
      <c r="BW406" s="131"/>
      <c r="BX406" s="131"/>
      <c r="BY406" s="131"/>
      <c r="BZ406" s="131"/>
      <c r="CA406" s="131"/>
      <c r="CB406" s="131"/>
      <c r="CC406" s="131"/>
      <c r="CD406" s="131"/>
      <c r="CE406" s="131"/>
      <c r="CF406" s="131"/>
      <c r="CG406" s="131"/>
      <c r="CH406" s="131"/>
    </row>
    <row r="407" ht="18.75" customHeight="1">
      <c r="C407" s="64"/>
      <c r="E407" s="64"/>
      <c r="F407" s="64"/>
      <c r="G407" s="64"/>
      <c r="AH407" s="162"/>
      <c r="AI407" s="162"/>
      <c r="AJ407" s="162"/>
      <c r="AK407" s="162"/>
      <c r="BS407" s="131"/>
      <c r="BT407" s="131"/>
      <c r="BU407" s="131"/>
      <c r="BV407" s="131"/>
      <c r="BW407" s="131"/>
      <c r="BX407" s="131"/>
      <c r="BY407" s="131"/>
      <c r="BZ407" s="131"/>
      <c r="CA407" s="131"/>
      <c r="CB407" s="131"/>
      <c r="CC407" s="131"/>
      <c r="CD407" s="131"/>
      <c r="CE407" s="131"/>
      <c r="CF407" s="131"/>
      <c r="CG407" s="131"/>
      <c r="CH407" s="131"/>
    </row>
    <row r="408" ht="18.75" customHeight="1">
      <c r="C408" s="64"/>
      <c r="E408" s="64"/>
      <c r="F408" s="64"/>
      <c r="G408" s="64"/>
      <c r="AH408" s="162"/>
      <c r="AI408" s="162"/>
      <c r="AJ408" s="162"/>
      <c r="AK408" s="162"/>
      <c r="BS408" s="131"/>
      <c r="BT408" s="131"/>
      <c r="BU408" s="131"/>
      <c r="BV408" s="131"/>
      <c r="BW408" s="131"/>
      <c r="BX408" s="131"/>
      <c r="BY408" s="131"/>
      <c r="BZ408" s="131"/>
      <c r="CA408" s="131"/>
      <c r="CB408" s="131"/>
      <c r="CC408" s="131"/>
      <c r="CD408" s="131"/>
      <c r="CE408" s="131"/>
      <c r="CF408" s="131"/>
      <c r="CG408" s="131"/>
      <c r="CH408" s="131"/>
    </row>
    <row r="409" ht="18.75" customHeight="1">
      <c r="C409" s="64"/>
      <c r="E409" s="64"/>
      <c r="F409" s="64"/>
      <c r="G409" s="64"/>
      <c r="AH409" s="162"/>
      <c r="AI409" s="162"/>
      <c r="AJ409" s="162"/>
      <c r="AK409" s="162"/>
      <c r="BS409" s="131"/>
      <c r="BT409" s="131"/>
      <c r="BU409" s="131"/>
      <c r="BV409" s="131"/>
      <c r="BW409" s="131"/>
      <c r="BX409" s="131"/>
      <c r="BY409" s="131"/>
      <c r="BZ409" s="131"/>
      <c r="CA409" s="131"/>
      <c r="CB409" s="131"/>
      <c r="CC409" s="131"/>
      <c r="CD409" s="131"/>
      <c r="CE409" s="131"/>
      <c r="CF409" s="131"/>
      <c r="CG409" s="131"/>
      <c r="CH409" s="131"/>
    </row>
    <row r="410" ht="18.75" customHeight="1">
      <c r="C410" s="64"/>
      <c r="E410" s="64"/>
      <c r="F410" s="64"/>
      <c r="G410" s="64"/>
      <c r="AH410" s="162"/>
      <c r="AI410" s="162"/>
      <c r="AJ410" s="162"/>
      <c r="AK410" s="162"/>
      <c r="BS410" s="131"/>
      <c r="BT410" s="131"/>
      <c r="BU410" s="131"/>
      <c r="BV410" s="131"/>
      <c r="BW410" s="131"/>
      <c r="BX410" s="131"/>
      <c r="BY410" s="131"/>
      <c r="BZ410" s="131"/>
      <c r="CA410" s="131"/>
      <c r="CB410" s="131"/>
      <c r="CC410" s="131"/>
      <c r="CD410" s="131"/>
      <c r="CE410" s="131"/>
      <c r="CF410" s="131"/>
      <c r="CG410" s="131"/>
      <c r="CH410" s="131"/>
    </row>
    <row r="411" ht="18.75" customHeight="1">
      <c r="C411" s="64"/>
      <c r="E411" s="64"/>
      <c r="F411" s="64"/>
      <c r="G411" s="64"/>
      <c r="AH411" s="162"/>
      <c r="AI411" s="162"/>
      <c r="AJ411" s="162"/>
      <c r="AK411" s="162"/>
      <c r="BS411" s="131"/>
      <c r="BT411" s="131"/>
      <c r="BU411" s="131"/>
      <c r="BV411" s="131"/>
      <c r="BW411" s="131"/>
      <c r="BX411" s="131"/>
      <c r="BY411" s="131"/>
      <c r="BZ411" s="131"/>
      <c r="CA411" s="131"/>
      <c r="CB411" s="131"/>
      <c r="CC411" s="131"/>
      <c r="CD411" s="131"/>
      <c r="CE411" s="131"/>
      <c r="CF411" s="131"/>
      <c r="CG411" s="131"/>
      <c r="CH411" s="131"/>
    </row>
    <row r="412" ht="18.75" customHeight="1">
      <c r="C412" s="64"/>
      <c r="E412" s="64"/>
      <c r="F412" s="64"/>
      <c r="G412" s="64"/>
      <c r="AH412" s="162"/>
      <c r="AI412" s="162"/>
      <c r="AJ412" s="162"/>
      <c r="AK412" s="162"/>
      <c r="BS412" s="131"/>
      <c r="BT412" s="131"/>
      <c r="BU412" s="131"/>
      <c r="BV412" s="131"/>
      <c r="BW412" s="131"/>
      <c r="BX412" s="131"/>
      <c r="BY412" s="131"/>
      <c r="BZ412" s="131"/>
      <c r="CA412" s="131"/>
      <c r="CB412" s="131"/>
      <c r="CC412" s="131"/>
      <c r="CD412" s="131"/>
      <c r="CE412" s="131"/>
      <c r="CF412" s="131"/>
      <c r="CG412" s="131"/>
      <c r="CH412" s="131"/>
    </row>
    <row r="413" ht="18.75" customHeight="1">
      <c r="C413" s="64"/>
      <c r="E413" s="64"/>
      <c r="F413" s="64"/>
      <c r="G413" s="64"/>
      <c r="AH413" s="162"/>
      <c r="AI413" s="162"/>
      <c r="AJ413" s="162"/>
      <c r="AK413" s="162"/>
      <c r="BS413" s="131"/>
      <c r="BT413" s="131"/>
      <c r="BU413" s="131"/>
      <c r="BV413" s="131"/>
      <c r="BW413" s="131"/>
      <c r="BX413" s="131"/>
      <c r="BY413" s="131"/>
      <c r="BZ413" s="131"/>
      <c r="CA413" s="131"/>
      <c r="CB413" s="131"/>
      <c r="CC413" s="131"/>
      <c r="CD413" s="131"/>
      <c r="CE413" s="131"/>
      <c r="CF413" s="131"/>
      <c r="CG413" s="131"/>
      <c r="CH413" s="131"/>
    </row>
    <row r="414" ht="18.75" customHeight="1">
      <c r="C414" s="64"/>
      <c r="E414" s="64"/>
      <c r="F414" s="64"/>
      <c r="G414" s="64"/>
      <c r="AH414" s="162"/>
      <c r="AI414" s="162"/>
      <c r="AJ414" s="162"/>
      <c r="AK414" s="162"/>
      <c r="BS414" s="131"/>
      <c r="BT414" s="131"/>
      <c r="BU414" s="131"/>
      <c r="BV414" s="131"/>
      <c r="BW414" s="131"/>
      <c r="BX414" s="131"/>
      <c r="BY414" s="131"/>
      <c r="BZ414" s="131"/>
      <c r="CA414" s="131"/>
      <c r="CB414" s="131"/>
      <c r="CC414" s="131"/>
      <c r="CD414" s="131"/>
      <c r="CE414" s="131"/>
      <c r="CF414" s="131"/>
      <c r="CG414" s="131"/>
      <c r="CH414" s="131"/>
    </row>
    <row r="415" ht="18.75" customHeight="1">
      <c r="C415" s="64"/>
      <c r="E415" s="64"/>
      <c r="F415" s="64"/>
      <c r="G415" s="64"/>
      <c r="AH415" s="162"/>
      <c r="AI415" s="162"/>
      <c r="AJ415" s="162"/>
      <c r="AK415" s="162"/>
      <c r="BS415" s="131"/>
      <c r="BT415" s="131"/>
      <c r="BU415" s="131"/>
      <c r="BV415" s="131"/>
      <c r="BW415" s="131"/>
      <c r="BX415" s="131"/>
      <c r="BY415" s="131"/>
      <c r="BZ415" s="131"/>
      <c r="CA415" s="131"/>
      <c r="CB415" s="131"/>
      <c r="CC415" s="131"/>
      <c r="CD415" s="131"/>
      <c r="CE415" s="131"/>
      <c r="CF415" s="131"/>
      <c r="CG415" s="131"/>
      <c r="CH415" s="131"/>
    </row>
    <row r="416" ht="18.75" customHeight="1">
      <c r="C416" s="64"/>
      <c r="E416" s="64"/>
      <c r="F416" s="64"/>
      <c r="G416" s="64"/>
      <c r="AH416" s="162"/>
      <c r="AI416" s="162"/>
      <c r="AJ416" s="162"/>
      <c r="AK416" s="162"/>
      <c r="BS416" s="131"/>
      <c r="BT416" s="131"/>
      <c r="BU416" s="131"/>
      <c r="BV416" s="131"/>
      <c r="BW416" s="131"/>
      <c r="BX416" s="131"/>
      <c r="BY416" s="131"/>
      <c r="BZ416" s="131"/>
      <c r="CA416" s="131"/>
      <c r="CB416" s="131"/>
      <c r="CC416" s="131"/>
      <c r="CD416" s="131"/>
      <c r="CE416" s="131"/>
      <c r="CF416" s="131"/>
      <c r="CG416" s="131"/>
      <c r="CH416" s="131"/>
    </row>
    <row r="417" ht="18.75" customHeight="1">
      <c r="C417" s="64"/>
      <c r="E417" s="64"/>
      <c r="F417" s="64"/>
      <c r="G417" s="64"/>
      <c r="AH417" s="162"/>
      <c r="AI417" s="162"/>
      <c r="AJ417" s="162"/>
      <c r="AK417" s="162"/>
      <c r="BS417" s="131"/>
      <c r="BT417" s="131"/>
      <c r="BU417" s="131"/>
      <c r="BV417" s="131"/>
      <c r="BW417" s="131"/>
      <c r="BX417" s="131"/>
      <c r="BY417" s="131"/>
      <c r="BZ417" s="131"/>
      <c r="CA417" s="131"/>
      <c r="CB417" s="131"/>
      <c r="CC417" s="131"/>
      <c r="CD417" s="131"/>
      <c r="CE417" s="131"/>
      <c r="CF417" s="131"/>
      <c r="CG417" s="131"/>
      <c r="CH417" s="131"/>
    </row>
    <row r="418" ht="18.75" customHeight="1">
      <c r="C418" s="64"/>
      <c r="E418" s="64"/>
      <c r="F418" s="64"/>
      <c r="G418" s="64"/>
      <c r="AH418" s="162"/>
      <c r="AI418" s="162"/>
      <c r="AJ418" s="162"/>
      <c r="AK418" s="162"/>
      <c r="BS418" s="131"/>
      <c r="BT418" s="131"/>
      <c r="BU418" s="131"/>
      <c r="BV418" s="131"/>
      <c r="BW418" s="131"/>
      <c r="BX418" s="131"/>
      <c r="BY418" s="131"/>
      <c r="BZ418" s="131"/>
      <c r="CA418" s="131"/>
      <c r="CB418" s="131"/>
      <c r="CC418" s="131"/>
      <c r="CD418" s="131"/>
      <c r="CE418" s="131"/>
      <c r="CF418" s="131"/>
      <c r="CG418" s="131"/>
      <c r="CH418" s="131"/>
    </row>
    <row r="419" ht="18.75" customHeight="1">
      <c r="C419" s="64"/>
      <c r="E419" s="64"/>
      <c r="F419" s="64"/>
      <c r="G419" s="64"/>
      <c r="AH419" s="162"/>
      <c r="AI419" s="162"/>
      <c r="AJ419" s="162"/>
      <c r="AK419" s="162"/>
      <c r="BS419" s="131"/>
      <c r="BT419" s="131"/>
      <c r="BU419" s="131"/>
      <c r="BV419" s="131"/>
      <c r="BW419" s="131"/>
      <c r="BX419" s="131"/>
      <c r="BY419" s="131"/>
      <c r="BZ419" s="131"/>
      <c r="CA419" s="131"/>
      <c r="CB419" s="131"/>
      <c r="CC419" s="131"/>
      <c r="CD419" s="131"/>
      <c r="CE419" s="131"/>
      <c r="CF419" s="131"/>
      <c r="CG419" s="131"/>
      <c r="CH419" s="131"/>
    </row>
    <row r="420" ht="18.75" customHeight="1">
      <c r="C420" s="64"/>
      <c r="E420" s="64"/>
      <c r="F420" s="64"/>
      <c r="G420" s="64"/>
      <c r="AH420" s="162"/>
      <c r="AI420" s="162"/>
      <c r="AJ420" s="162"/>
      <c r="AK420" s="162"/>
      <c r="BS420" s="131"/>
      <c r="BT420" s="131"/>
      <c r="BU420" s="131"/>
      <c r="BV420" s="131"/>
      <c r="BW420" s="131"/>
      <c r="BX420" s="131"/>
      <c r="BY420" s="131"/>
      <c r="BZ420" s="131"/>
      <c r="CA420" s="131"/>
      <c r="CB420" s="131"/>
      <c r="CC420" s="131"/>
      <c r="CD420" s="131"/>
      <c r="CE420" s="131"/>
      <c r="CF420" s="131"/>
      <c r="CG420" s="131"/>
      <c r="CH420" s="131"/>
    </row>
    <row r="421" ht="18.75" customHeight="1">
      <c r="C421" s="64"/>
      <c r="E421" s="64"/>
      <c r="F421" s="64"/>
      <c r="G421" s="64"/>
      <c r="AH421" s="162"/>
      <c r="AI421" s="162"/>
      <c r="AJ421" s="162"/>
      <c r="AK421" s="162"/>
      <c r="BS421" s="131"/>
      <c r="BT421" s="131"/>
      <c r="BU421" s="131"/>
      <c r="BV421" s="131"/>
      <c r="BW421" s="131"/>
      <c r="BX421" s="131"/>
      <c r="BY421" s="131"/>
      <c r="BZ421" s="131"/>
      <c r="CA421" s="131"/>
      <c r="CB421" s="131"/>
      <c r="CC421" s="131"/>
      <c r="CD421" s="131"/>
      <c r="CE421" s="131"/>
      <c r="CF421" s="131"/>
      <c r="CG421" s="131"/>
      <c r="CH421" s="131"/>
    </row>
    <row r="422" ht="18.75" customHeight="1">
      <c r="C422" s="64"/>
      <c r="E422" s="64"/>
      <c r="F422" s="64"/>
      <c r="G422" s="64"/>
      <c r="AH422" s="162"/>
      <c r="AI422" s="162"/>
      <c r="AJ422" s="162"/>
      <c r="AK422" s="162"/>
      <c r="BS422" s="131"/>
      <c r="BT422" s="131"/>
      <c r="BU422" s="131"/>
      <c r="BV422" s="131"/>
      <c r="BW422" s="131"/>
      <c r="BX422" s="131"/>
      <c r="BY422" s="131"/>
      <c r="BZ422" s="131"/>
      <c r="CA422" s="131"/>
      <c r="CB422" s="131"/>
      <c r="CC422" s="131"/>
      <c r="CD422" s="131"/>
      <c r="CE422" s="131"/>
      <c r="CF422" s="131"/>
      <c r="CG422" s="131"/>
      <c r="CH422" s="131"/>
    </row>
    <row r="423" ht="18.75" customHeight="1">
      <c r="C423" s="64"/>
      <c r="E423" s="64"/>
      <c r="F423" s="64"/>
      <c r="G423" s="64"/>
      <c r="AH423" s="162"/>
      <c r="AI423" s="162"/>
      <c r="AJ423" s="162"/>
      <c r="AK423" s="162"/>
      <c r="BS423" s="131"/>
      <c r="BT423" s="131"/>
      <c r="BU423" s="131"/>
      <c r="BV423" s="131"/>
      <c r="BW423" s="131"/>
      <c r="BX423" s="131"/>
      <c r="BY423" s="131"/>
      <c r="BZ423" s="131"/>
      <c r="CA423" s="131"/>
      <c r="CB423" s="131"/>
      <c r="CC423" s="131"/>
      <c r="CD423" s="131"/>
      <c r="CE423" s="131"/>
      <c r="CF423" s="131"/>
      <c r="CG423" s="131"/>
      <c r="CH423" s="131"/>
    </row>
    <row r="424" ht="18.75" customHeight="1">
      <c r="C424" s="64"/>
      <c r="E424" s="64"/>
      <c r="F424" s="64"/>
      <c r="G424" s="64"/>
      <c r="AH424" s="162"/>
      <c r="AI424" s="162"/>
      <c r="AJ424" s="162"/>
      <c r="AK424" s="162"/>
      <c r="BS424" s="131"/>
      <c r="BT424" s="131"/>
      <c r="BU424" s="131"/>
      <c r="BV424" s="131"/>
      <c r="BW424" s="131"/>
      <c r="BX424" s="131"/>
      <c r="BY424" s="131"/>
      <c r="BZ424" s="131"/>
      <c r="CA424" s="131"/>
      <c r="CB424" s="131"/>
      <c r="CC424" s="131"/>
      <c r="CD424" s="131"/>
      <c r="CE424" s="131"/>
      <c r="CF424" s="131"/>
      <c r="CG424" s="131"/>
      <c r="CH424" s="131"/>
    </row>
    <row r="425" ht="18.75" customHeight="1">
      <c r="C425" s="64"/>
      <c r="E425" s="64"/>
      <c r="F425" s="64"/>
      <c r="G425" s="64"/>
      <c r="AH425" s="162"/>
      <c r="AI425" s="162"/>
      <c r="AJ425" s="162"/>
      <c r="AK425" s="162"/>
      <c r="BS425" s="131"/>
      <c r="BT425" s="131"/>
      <c r="BU425" s="131"/>
      <c r="BV425" s="131"/>
      <c r="BW425" s="131"/>
      <c r="BX425" s="131"/>
      <c r="BY425" s="131"/>
      <c r="BZ425" s="131"/>
      <c r="CA425" s="131"/>
      <c r="CB425" s="131"/>
      <c r="CC425" s="131"/>
      <c r="CD425" s="131"/>
      <c r="CE425" s="131"/>
      <c r="CF425" s="131"/>
      <c r="CG425" s="131"/>
      <c r="CH425" s="131"/>
    </row>
    <row r="426" ht="18.75" customHeight="1">
      <c r="C426" s="64"/>
      <c r="E426" s="64"/>
      <c r="F426" s="64"/>
      <c r="G426" s="64"/>
      <c r="AH426" s="162"/>
      <c r="AI426" s="162"/>
      <c r="AJ426" s="162"/>
      <c r="AK426" s="162"/>
      <c r="BS426" s="131"/>
      <c r="BT426" s="131"/>
      <c r="BU426" s="131"/>
      <c r="BV426" s="131"/>
      <c r="BW426" s="131"/>
      <c r="BX426" s="131"/>
      <c r="BY426" s="131"/>
      <c r="BZ426" s="131"/>
      <c r="CA426" s="131"/>
      <c r="CB426" s="131"/>
      <c r="CC426" s="131"/>
      <c r="CD426" s="131"/>
      <c r="CE426" s="131"/>
      <c r="CF426" s="131"/>
      <c r="CG426" s="131"/>
      <c r="CH426" s="131"/>
    </row>
    <row r="427" ht="18.75" customHeight="1">
      <c r="C427" s="64"/>
      <c r="E427" s="64"/>
      <c r="F427" s="64"/>
      <c r="G427" s="64"/>
      <c r="AH427" s="162"/>
      <c r="AI427" s="162"/>
      <c r="AJ427" s="162"/>
      <c r="AK427" s="162"/>
      <c r="BS427" s="131"/>
      <c r="BT427" s="131"/>
      <c r="BU427" s="131"/>
      <c r="BV427" s="131"/>
      <c r="BW427" s="131"/>
      <c r="BX427" s="131"/>
      <c r="BY427" s="131"/>
      <c r="BZ427" s="131"/>
      <c r="CA427" s="131"/>
      <c r="CB427" s="131"/>
      <c r="CC427" s="131"/>
      <c r="CD427" s="131"/>
      <c r="CE427" s="131"/>
      <c r="CF427" s="131"/>
      <c r="CG427" s="131"/>
      <c r="CH427" s="131"/>
    </row>
    <row r="428" ht="18.75" customHeight="1">
      <c r="C428" s="64"/>
      <c r="E428" s="64"/>
      <c r="F428" s="64"/>
      <c r="G428" s="64"/>
      <c r="AH428" s="162"/>
      <c r="AI428" s="162"/>
      <c r="AJ428" s="162"/>
      <c r="AK428" s="162"/>
      <c r="BS428" s="131"/>
      <c r="BT428" s="131"/>
      <c r="BU428" s="131"/>
      <c r="BV428" s="131"/>
      <c r="BW428" s="131"/>
      <c r="BX428" s="131"/>
      <c r="BY428" s="131"/>
      <c r="BZ428" s="131"/>
      <c r="CA428" s="131"/>
      <c r="CB428" s="131"/>
      <c r="CC428" s="131"/>
      <c r="CD428" s="131"/>
      <c r="CE428" s="131"/>
      <c r="CF428" s="131"/>
      <c r="CG428" s="131"/>
      <c r="CH428" s="131"/>
    </row>
    <row r="429" ht="18.75" customHeight="1">
      <c r="C429" s="64"/>
      <c r="E429" s="64"/>
      <c r="F429" s="64"/>
      <c r="G429" s="64"/>
      <c r="AH429" s="162"/>
      <c r="AI429" s="162"/>
      <c r="AJ429" s="162"/>
      <c r="AK429" s="162"/>
      <c r="BS429" s="131"/>
      <c r="BT429" s="131"/>
      <c r="BU429" s="131"/>
      <c r="BV429" s="131"/>
      <c r="BW429" s="131"/>
      <c r="BX429" s="131"/>
      <c r="BY429" s="131"/>
      <c r="BZ429" s="131"/>
      <c r="CA429" s="131"/>
      <c r="CB429" s="131"/>
      <c r="CC429" s="131"/>
      <c r="CD429" s="131"/>
      <c r="CE429" s="131"/>
      <c r="CF429" s="131"/>
      <c r="CG429" s="131"/>
      <c r="CH429" s="131"/>
    </row>
    <row r="430" ht="18.75" customHeight="1">
      <c r="C430" s="64"/>
      <c r="E430" s="64"/>
      <c r="F430" s="64"/>
      <c r="G430" s="64"/>
      <c r="AH430" s="162"/>
      <c r="AI430" s="162"/>
      <c r="AJ430" s="162"/>
      <c r="AK430" s="162"/>
      <c r="BS430" s="131"/>
      <c r="BT430" s="131"/>
      <c r="BU430" s="131"/>
      <c r="BV430" s="131"/>
      <c r="BW430" s="131"/>
      <c r="BX430" s="131"/>
      <c r="BY430" s="131"/>
      <c r="BZ430" s="131"/>
      <c r="CA430" s="131"/>
      <c r="CB430" s="131"/>
      <c r="CC430" s="131"/>
      <c r="CD430" s="131"/>
      <c r="CE430" s="131"/>
      <c r="CF430" s="131"/>
      <c r="CG430" s="131"/>
      <c r="CH430" s="131"/>
    </row>
    <row r="431" ht="18.75" customHeight="1">
      <c r="C431" s="64"/>
      <c r="E431" s="64"/>
      <c r="F431" s="64"/>
      <c r="G431" s="64"/>
      <c r="AH431" s="162"/>
      <c r="AI431" s="162"/>
      <c r="AJ431" s="162"/>
      <c r="AK431" s="162"/>
      <c r="BS431" s="131"/>
      <c r="BT431" s="131"/>
      <c r="BU431" s="131"/>
      <c r="BV431" s="131"/>
      <c r="BW431" s="131"/>
      <c r="BX431" s="131"/>
      <c r="BY431" s="131"/>
      <c r="BZ431" s="131"/>
      <c r="CA431" s="131"/>
      <c r="CB431" s="131"/>
      <c r="CC431" s="131"/>
      <c r="CD431" s="131"/>
      <c r="CE431" s="131"/>
      <c r="CF431" s="131"/>
      <c r="CG431" s="131"/>
      <c r="CH431" s="131"/>
    </row>
    <row r="432" ht="18.75" customHeight="1">
      <c r="C432" s="64"/>
      <c r="E432" s="64"/>
      <c r="F432" s="64"/>
      <c r="G432" s="64"/>
      <c r="AH432" s="162"/>
      <c r="AI432" s="162"/>
      <c r="AJ432" s="162"/>
      <c r="AK432" s="162"/>
      <c r="BS432" s="131"/>
      <c r="BT432" s="131"/>
      <c r="BU432" s="131"/>
      <c r="BV432" s="131"/>
      <c r="BW432" s="131"/>
      <c r="BX432" s="131"/>
      <c r="BY432" s="131"/>
      <c r="BZ432" s="131"/>
      <c r="CA432" s="131"/>
      <c r="CB432" s="131"/>
      <c r="CC432" s="131"/>
      <c r="CD432" s="131"/>
      <c r="CE432" s="131"/>
      <c r="CF432" s="131"/>
      <c r="CG432" s="131"/>
      <c r="CH432" s="131"/>
    </row>
    <row r="433" ht="18.75" customHeight="1">
      <c r="C433" s="64"/>
      <c r="E433" s="64"/>
      <c r="F433" s="64"/>
      <c r="G433" s="64"/>
      <c r="AH433" s="162"/>
      <c r="AI433" s="162"/>
      <c r="AJ433" s="162"/>
      <c r="AK433" s="162"/>
      <c r="BS433" s="131"/>
      <c r="BT433" s="131"/>
      <c r="BU433" s="131"/>
      <c r="BV433" s="131"/>
      <c r="BW433" s="131"/>
      <c r="BX433" s="131"/>
      <c r="BY433" s="131"/>
      <c r="BZ433" s="131"/>
      <c r="CA433" s="131"/>
      <c r="CB433" s="131"/>
      <c r="CC433" s="131"/>
      <c r="CD433" s="131"/>
      <c r="CE433" s="131"/>
      <c r="CF433" s="131"/>
      <c r="CG433" s="131"/>
      <c r="CH433" s="131"/>
    </row>
    <row r="434" ht="18.75" customHeight="1">
      <c r="C434" s="64"/>
      <c r="E434" s="64"/>
      <c r="F434" s="64"/>
      <c r="G434" s="64"/>
      <c r="AH434" s="162"/>
      <c r="AI434" s="162"/>
      <c r="AJ434" s="162"/>
      <c r="AK434" s="162"/>
      <c r="BS434" s="131"/>
      <c r="BT434" s="131"/>
      <c r="BU434" s="131"/>
      <c r="BV434" s="131"/>
      <c r="BW434" s="131"/>
      <c r="BX434" s="131"/>
      <c r="BY434" s="131"/>
      <c r="BZ434" s="131"/>
      <c r="CA434" s="131"/>
      <c r="CB434" s="131"/>
      <c r="CC434" s="131"/>
      <c r="CD434" s="131"/>
      <c r="CE434" s="131"/>
      <c r="CF434" s="131"/>
      <c r="CG434" s="131"/>
      <c r="CH434" s="131"/>
    </row>
    <row r="435" ht="18.75" customHeight="1">
      <c r="C435" s="64"/>
      <c r="E435" s="64"/>
      <c r="F435" s="64"/>
      <c r="G435" s="64"/>
      <c r="AH435" s="162"/>
      <c r="AI435" s="162"/>
      <c r="AJ435" s="162"/>
      <c r="AK435" s="162"/>
      <c r="BS435" s="131"/>
      <c r="BT435" s="131"/>
      <c r="BU435" s="131"/>
      <c r="BV435" s="131"/>
      <c r="BW435" s="131"/>
      <c r="BX435" s="131"/>
      <c r="BY435" s="131"/>
      <c r="BZ435" s="131"/>
      <c r="CA435" s="131"/>
      <c r="CB435" s="131"/>
      <c r="CC435" s="131"/>
      <c r="CD435" s="131"/>
      <c r="CE435" s="131"/>
      <c r="CF435" s="131"/>
      <c r="CG435" s="131"/>
      <c r="CH435" s="131"/>
    </row>
    <row r="436" ht="18.75" customHeight="1">
      <c r="C436" s="64"/>
      <c r="E436" s="64"/>
      <c r="F436" s="64"/>
      <c r="G436" s="64"/>
      <c r="AH436" s="162"/>
      <c r="AI436" s="162"/>
      <c r="AJ436" s="162"/>
      <c r="AK436" s="162"/>
      <c r="BS436" s="131"/>
      <c r="BT436" s="131"/>
      <c r="BU436" s="131"/>
      <c r="BV436" s="131"/>
      <c r="BW436" s="131"/>
      <c r="BX436" s="131"/>
      <c r="BY436" s="131"/>
      <c r="BZ436" s="131"/>
      <c r="CA436" s="131"/>
      <c r="CB436" s="131"/>
      <c r="CC436" s="131"/>
      <c r="CD436" s="131"/>
      <c r="CE436" s="131"/>
      <c r="CF436" s="131"/>
      <c r="CG436" s="131"/>
      <c r="CH436" s="131"/>
    </row>
    <row r="437" ht="18.75" customHeight="1">
      <c r="C437" s="64"/>
      <c r="E437" s="64"/>
      <c r="F437" s="64"/>
      <c r="G437" s="64"/>
      <c r="AH437" s="162"/>
      <c r="AI437" s="162"/>
      <c r="AJ437" s="162"/>
      <c r="AK437" s="162"/>
      <c r="BS437" s="131"/>
      <c r="BT437" s="131"/>
      <c r="BU437" s="131"/>
      <c r="BV437" s="131"/>
      <c r="BW437" s="131"/>
      <c r="BX437" s="131"/>
      <c r="BY437" s="131"/>
      <c r="BZ437" s="131"/>
      <c r="CA437" s="131"/>
      <c r="CB437" s="131"/>
      <c r="CC437" s="131"/>
      <c r="CD437" s="131"/>
      <c r="CE437" s="131"/>
      <c r="CF437" s="131"/>
      <c r="CG437" s="131"/>
      <c r="CH437" s="131"/>
    </row>
    <row r="438" ht="18.75" customHeight="1">
      <c r="C438" s="64"/>
      <c r="E438" s="64"/>
      <c r="F438" s="64"/>
      <c r="G438" s="64"/>
      <c r="AH438" s="162"/>
      <c r="AI438" s="162"/>
      <c r="AJ438" s="162"/>
      <c r="AK438" s="162"/>
      <c r="BS438" s="131"/>
      <c r="BT438" s="131"/>
      <c r="BU438" s="131"/>
      <c r="BV438" s="131"/>
      <c r="BW438" s="131"/>
      <c r="BX438" s="131"/>
      <c r="BY438" s="131"/>
      <c r="BZ438" s="131"/>
      <c r="CA438" s="131"/>
      <c r="CB438" s="131"/>
      <c r="CC438" s="131"/>
      <c r="CD438" s="131"/>
      <c r="CE438" s="131"/>
      <c r="CF438" s="131"/>
      <c r="CG438" s="131"/>
      <c r="CH438" s="131"/>
    </row>
    <row r="439" ht="18.75" customHeight="1">
      <c r="C439" s="64"/>
      <c r="E439" s="64"/>
      <c r="F439" s="64"/>
      <c r="G439" s="64"/>
      <c r="AH439" s="162"/>
      <c r="AI439" s="162"/>
      <c r="AJ439" s="162"/>
      <c r="AK439" s="162"/>
      <c r="BS439" s="131"/>
      <c r="BT439" s="131"/>
      <c r="BU439" s="131"/>
      <c r="BV439" s="131"/>
      <c r="BW439" s="131"/>
      <c r="BX439" s="131"/>
      <c r="BY439" s="131"/>
      <c r="BZ439" s="131"/>
      <c r="CA439" s="131"/>
      <c r="CB439" s="131"/>
      <c r="CC439" s="131"/>
      <c r="CD439" s="131"/>
      <c r="CE439" s="131"/>
      <c r="CF439" s="131"/>
      <c r="CG439" s="131"/>
      <c r="CH439" s="131"/>
    </row>
    <row r="440" ht="18.75" customHeight="1">
      <c r="C440" s="64"/>
      <c r="E440" s="64"/>
      <c r="F440" s="64"/>
      <c r="G440" s="64"/>
      <c r="AH440" s="162"/>
      <c r="AI440" s="162"/>
      <c r="AJ440" s="162"/>
      <c r="AK440" s="162"/>
      <c r="BS440" s="131"/>
      <c r="BT440" s="131"/>
      <c r="BU440" s="131"/>
      <c r="BV440" s="131"/>
      <c r="BW440" s="131"/>
      <c r="BX440" s="131"/>
      <c r="BY440" s="131"/>
      <c r="BZ440" s="131"/>
      <c r="CA440" s="131"/>
      <c r="CB440" s="131"/>
      <c r="CC440" s="131"/>
      <c r="CD440" s="131"/>
      <c r="CE440" s="131"/>
      <c r="CF440" s="131"/>
      <c r="CG440" s="131"/>
      <c r="CH440" s="131"/>
    </row>
    <row r="441" ht="18.75" customHeight="1">
      <c r="C441" s="64"/>
      <c r="E441" s="64"/>
      <c r="F441" s="64"/>
      <c r="G441" s="64"/>
      <c r="AH441" s="162"/>
      <c r="AI441" s="162"/>
      <c r="AJ441" s="162"/>
      <c r="AK441" s="162"/>
      <c r="BS441" s="131"/>
      <c r="BT441" s="131"/>
      <c r="BU441" s="131"/>
      <c r="BV441" s="131"/>
      <c r="BW441" s="131"/>
      <c r="BX441" s="131"/>
      <c r="BY441" s="131"/>
      <c r="BZ441" s="131"/>
      <c r="CA441" s="131"/>
      <c r="CB441" s="131"/>
      <c r="CC441" s="131"/>
      <c r="CD441" s="131"/>
      <c r="CE441" s="131"/>
      <c r="CF441" s="131"/>
      <c r="CG441" s="131"/>
      <c r="CH441" s="131"/>
    </row>
    <row r="442" ht="18.75" customHeight="1">
      <c r="C442" s="64"/>
      <c r="E442" s="64"/>
      <c r="F442" s="64"/>
      <c r="G442" s="64"/>
      <c r="AH442" s="162"/>
      <c r="AI442" s="162"/>
      <c r="AJ442" s="162"/>
      <c r="AK442" s="162"/>
      <c r="BS442" s="131"/>
      <c r="BT442" s="131"/>
      <c r="BU442" s="131"/>
      <c r="BV442" s="131"/>
      <c r="BW442" s="131"/>
      <c r="BX442" s="131"/>
      <c r="BY442" s="131"/>
      <c r="BZ442" s="131"/>
      <c r="CA442" s="131"/>
      <c r="CB442" s="131"/>
      <c r="CC442" s="131"/>
      <c r="CD442" s="131"/>
      <c r="CE442" s="131"/>
      <c r="CF442" s="131"/>
      <c r="CG442" s="131"/>
      <c r="CH442" s="131"/>
    </row>
    <row r="443" ht="18.75" customHeight="1">
      <c r="C443" s="64"/>
      <c r="E443" s="64"/>
      <c r="F443" s="64"/>
      <c r="G443" s="64"/>
      <c r="AH443" s="162"/>
      <c r="AI443" s="162"/>
      <c r="AJ443" s="162"/>
      <c r="AK443" s="162"/>
      <c r="BS443" s="131"/>
      <c r="BT443" s="131"/>
      <c r="BU443" s="131"/>
      <c r="BV443" s="131"/>
      <c r="BW443" s="131"/>
      <c r="BX443" s="131"/>
      <c r="BY443" s="131"/>
      <c r="BZ443" s="131"/>
      <c r="CA443" s="131"/>
      <c r="CB443" s="131"/>
      <c r="CC443" s="131"/>
      <c r="CD443" s="131"/>
      <c r="CE443" s="131"/>
      <c r="CF443" s="131"/>
      <c r="CG443" s="131"/>
      <c r="CH443" s="131"/>
    </row>
    <row r="444" ht="18.75" customHeight="1">
      <c r="C444" s="64"/>
      <c r="E444" s="64"/>
      <c r="F444" s="64"/>
      <c r="G444" s="64"/>
      <c r="AH444" s="162"/>
      <c r="AI444" s="162"/>
      <c r="AJ444" s="162"/>
      <c r="AK444" s="162"/>
      <c r="BS444" s="131"/>
      <c r="BT444" s="131"/>
      <c r="BU444" s="131"/>
      <c r="BV444" s="131"/>
      <c r="BW444" s="131"/>
      <c r="BX444" s="131"/>
      <c r="BY444" s="131"/>
      <c r="BZ444" s="131"/>
      <c r="CA444" s="131"/>
      <c r="CB444" s="131"/>
      <c r="CC444" s="131"/>
      <c r="CD444" s="131"/>
      <c r="CE444" s="131"/>
      <c r="CF444" s="131"/>
      <c r="CG444" s="131"/>
      <c r="CH444" s="131"/>
    </row>
    <row r="445" ht="18.75" customHeight="1">
      <c r="C445" s="64"/>
      <c r="E445" s="64"/>
      <c r="F445" s="64"/>
      <c r="G445" s="64"/>
      <c r="AH445" s="162"/>
      <c r="AI445" s="162"/>
      <c r="AJ445" s="162"/>
      <c r="AK445" s="162"/>
      <c r="BS445" s="131"/>
      <c r="BT445" s="131"/>
      <c r="BU445" s="131"/>
      <c r="BV445" s="131"/>
      <c r="BW445" s="131"/>
      <c r="BX445" s="131"/>
      <c r="BY445" s="131"/>
      <c r="BZ445" s="131"/>
      <c r="CA445" s="131"/>
      <c r="CB445" s="131"/>
      <c r="CC445" s="131"/>
      <c r="CD445" s="131"/>
      <c r="CE445" s="131"/>
      <c r="CF445" s="131"/>
      <c r="CG445" s="131"/>
      <c r="CH445" s="131"/>
    </row>
    <row r="446" ht="18.75" customHeight="1">
      <c r="C446" s="64"/>
      <c r="E446" s="64"/>
      <c r="F446" s="64"/>
      <c r="G446" s="64"/>
      <c r="AH446" s="162"/>
      <c r="AI446" s="162"/>
      <c r="AJ446" s="162"/>
      <c r="AK446" s="162"/>
      <c r="BS446" s="131"/>
      <c r="BT446" s="131"/>
      <c r="BU446" s="131"/>
      <c r="BV446" s="131"/>
      <c r="BW446" s="131"/>
      <c r="BX446" s="131"/>
      <c r="BY446" s="131"/>
      <c r="BZ446" s="131"/>
      <c r="CA446" s="131"/>
      <c r="CB446" s="131"/>
      <c r="CC446" s="131"/>
      <c r="CD446" s="131"/>
      <c r="CE446" s="131"/>
      <c r="CF446" s="131"/>
      <c r="CG446" s="131"/>
      <c r="CH446" s="131"/>
    </row>
    <row r="447" ht="18.75" customHeight="1">
      <c r="C447" s="64"/>
      <c r="E447" s="64"/>
      <c r="F447" s="64"/>
      <c r="G447" s="64"/>
      <c r="AH447" s="162"/>
      <c r="AI447" s="162"/>
      <c r="AJ447" s="162"/>
      <c r="AK447" s="162"/>
      <c r="BS447" s="131"/>
      <c r="BT447" s="131"/>
      <c r="BU447" s="131"/>
      <c r="BV447" s="131"/>
      <c r="BW447" s="131"/>
      <c r="BX447" s="131"/>
      <c r="BY447" s="131"/>
      <c r="BZ447" s="131"/>
      <c r="CA447" s="131"/>
      <c r="CB447" s="131"/>
      <c r="CC447" s="131"/>
      <c r="CD447" s="131"/>
      <c r="CE447" s="131"/>
      <c r="CF447" s="131"/>
      <c r="CG447" s="131"/>
      <c r="CH447" s="131"/>
    </row>
    <row r="448" ht="18.75" customHeight="1">
      <c r="C448" s="64"/>
      <c r="E448" s="64"/>
      <c r="F448" s="64"/>
      <c r="G448" s="64"/>
      <c r="AH448" s="162"/>
      <c r="AI448" s="162"/>
      <c r="AJ448" s="162"/>
      <c r="AK448" s="162"/>
      <c r="BS448" s="131"/>
      <c r="BT448" s="131"/>
      <c r="BU448" s="131"/>
      <c r="BV448" s="131"/>
      <c r="BW448" s="131"/>
      <c r="BX448" s="131"/>
      <c r="BY448" s="131"/>
      <c r="BZ448" s="131"/>
      <c r="CA448" s="131"/>
      <c r="CB448" s="131"/>
      <c r="CC448" s="131"/>
      <c r="CD448" s="131"/>
      <c r="CE448" s="131"/>
      <c r="CF448" s="131"/>
      <c r="CG448" s="131"/>
      <c r="CH448" s="131"/>
    </row>
    <row r="449" ht="18.75" customHeight="1">
      <c r="C449" s="64"/>
      <c r="E449" s="64"/>
      <c r="F449" s="64"/>
      <c r="G449" s="64"/>
      <c r="AH449" s="162"/>
      <c r="AI449" s="162"/>
      <c r="AJ449" s="162"/>
      <c r="AK449" s="162"/>
      <c r="BS449" s="131"/>
      <c r="BT449" s="131"/>
      <c r="BU449" s="131"/>
      <c r="BV449" s="131"/>
      <c r="BW449" s="131"/>
      <c r="BX449" s="131"/>
      <c r="BY449" s="131"/>
      <c r="BZ449" s="131"/>
      <c r="CA449" s="131"/>
      <c r="CB449" s="131"/>
      <c r="CC449" s="131"/>
      <c r="CD449" s="131"/>
      <c r="CE449" s="131"/>
      <c r="CF449" s="131"/>
      <c r="CG449" s="131"/>
      <c r="CH449" s="131"/>
    </row>
    <row r="450" ht="18.75" customHeight="1">
      <c r="C450" s="64"/>
      <c r="E450" s="64"/>
      <c r="F450" s="64"/>
      <c r="G450" s="64"/>
      <c r="AH450" s="162"/>
      <c r="AI450" s="162"/>
      <c r="AJ450" s="162"/>
      <c r="AK450" s="162"/>
      <c r="BS450" s="131"/>
      <c r="BT450" s="131"/>
      <c r="BU450" s="131"/>
      <c r="BV450" s="131"/>
      <c r="BW450" s="131"/>
      <c r="BX450" s="131"/>
      <c r="BY450" s="131"/>
      <c r="BZ450" s="131"/>
      <c r="CA450" s="131"/>
      <c r="CB450" s="131"/>
      <c r="CC450" s="131"/>
      <c r="CD450" s="131"/>
      <c r="CE450" s="131"/>
      <c r="CF450" s="131"/>
      <c r="CG450" s="131"/>
      <c r="CH450" s="131"/>
    </row>
    <row r="451" ht="18.75" customHeight="1">
      <c r="C451" s="64"/>
      <c r="E451" s="64"/>
      <c r="F451" s="64"/>
      <c r="G451" s="64"/>
      <c r="AH451" s="162"/>
      <c r="AI451" s="162"/>
      <c r="AJ451" s="162"/>
      <c r="AK451" s="162"/>
      <c r="BS451" s="131"/>
      <c r="BT451" s="131"/>
      <c r="BU451" s="131"/>
      <c r="BV451" s="131"/>
      <c r="BW451" s="131"/>
      <c r="BX451" s="131"/>
      <c r="BY451" s="131"/>
      <c r="BZ451" s="131"/>
      <c r="CA451" s="131"/>
      <c r="CB451" s="131"/>
      <c r="CC451" s="131"/>
      <c r="CD451" s="131"/>
      <c r="CE451" s="131"/>
      <c r="CF451" s="131"/>
      <c r="CG451" s="131"/>
      <c r="CH451" s="131"/>
    </row>
    <row r="452" ht="18.75" customHeight="1">
      <c r="C452" s="64"/>
      <c r="E452" s="64"/>
      <c r="F452" s="64"/>
      <c r="G452" s="64"/>
      <c r="AH452" s="162"/>
      <c r="AI452" s="162"/>
      <c r="AJ452" s="162"/>
      <c r="AK452" s="162"/>
      <c r="BS452" s="131"/>
      <c r="BT452" s="131"/>
      <c r="BU452" s="131"/>
      <c r="BV452" s="131"/>
      <c r="BW452" s="131"/>
      <c r="BX452" s="131"/>
      <c r="BY452" s="131"/>
      <c r="BZ452" s="131"/>
      <c r="CA452" s="131"/>
      <c r="CB452" s="131"/>
      <c r="CC452" s="131"/>
      <c r="CD452" s="131"/>
      <c r="CE452" s="131"/>
      <c r="CF452" s="131"/>
      <c r="CG452" s="131"/>
      <c r="CH452" s="131"/>
    </row>
    <row r="453" ht="18.75" customHeight="1">
      <c r="C453" s="64"/>
      <c r="E453" s="64"/>
      <c r="F453" s="64"/>
      <c r="G453" s="64"/>
      <c r="AH453" s="162"/>
      <c r="AI453" s="162"/>
      <c r="AJ453" s="162"/>
      <c r="AK453" s="162"/>
      <c r="BS453" s="131"/>
      <c r="BT453" s="131"/>
      <c r="BU453" s="131"/>
      <c r="BV453" s="131"/>
      <c r="BW453" s="131"/>
      <c r="BX453" s="131"/>
      <c r="BY453" s="131"/>
      <c r="BZ453" s="131"/>
      <c r="CA453" s="131"/>
      <c r="CB453" s="131"/>
      <c r="CC453" s="131"/>
      <c r="CD453" s="131"/>
      <c r="CE453" s="131"/>
      <c r="CF453" s="131"/>
      <c r="CG453" s="131"/>
      <c r="CH453" s="131"/>
    </row>
    <row r="454" ht="18.75" customHeight="1">
      <c r="C454" s="64"/>
      <c r="E454" s="64"/>
      <c r="F454" s="64"/>
      <c r="G454" s="64"/>
      <c r="AH454" s="162"/>
      <c r="AI454" s="162"/>
      <c r="AJ454" s="162"/>
      <c r="AK454" s="162"/>
      <c r="BS454" s="131"/>
      <c r="BT454" s="131"/>
      <c r="BU454" s="131"/>
      <c r="BV454" s="131"/>
      <c r="BW454" s="131"/>
      <c r="BX454" s="131"/>
      <c r="BY454" s="131"/>
      <c r="BZ454" s="131"/>
      <c r="CA454" s="131"/>
      <c r="CB454" s="131"/>
      <c r="CC454" s="131"/>
      <c r="CD454" s="131"/>
      <c r="CE454" s="131"/>
      <c r="CF454" s="131"/>
      <c r="CG454" s="131"/>
      <c r="CH454" s="131"/>
    </row>
    <row r="455" ht="18.75" customHeight="1">
      <c r="C455" s="64"/>
      <c r="E455" s="64"/>
      <c r="F455" s="64"/>
      <c r="G455" s="64"/>
      <c r="AH455" s="162"/>
      <c r="AI455" s="162"/>
      <c r="AJ455" s="162"/>
      <c r="AK455" s="162"/>
      <c r="BS455" s="131"/>
      <c r="BT455" s="131"/>
      <c r="BU455" s="131"/>
      <c r="BV455" s="131"/>
      <c r="BW455" s="131"/>
      <c r="BX455" s="131"/>
      <c r="BY455" s="131"/>
      <c r="BZ455" s="131"/>
      <c r="CA455" s="131"/>
      <c r="CB455" s="131"/>
      <c r="CC455" s="131"/>
      <c r="CD455" s="131"/>
      <c r="CE455" s="131"/>
      <c r="CF455" s="131"/>
      <c r="CG455" s="131"/>
      <c r="CH455" s="131"/>
    </row>
    <row r="456" ht="18.75" customHeight="1">
      <c r="C456" s="64"/>
      <c r="E456" s="64"/>
      <c r="F456" s="64"/>
      <c r="G456" s="64"/>
      <c r="AH456" s="162"/>
      <c r="AI456" s="162"/>
      <c r="AJ456" s="162"/>
      <c r="AK456" s="162"/>
      <c r="BS456" s="131"/>
      <c r="BT456" s="131"/>
      <c r="BU456" s="131"/>
      <c r="BV456" s="131"/>
      <c r="BW456" s="131"/>
      <c r="BX456" s="131"/>
      <c r="BY456" s="131"/>
      <c r="BZ456" s="131"/>
      <c r="CA456" s="131"/>
      <c r="CB456" s="131"/>
      <c r="CC456" s="131"/>
      <c r="CD456" s="131"/>
      <c r="CE456" s="131"/>
      <c r="CF456" s="131"/>
      <c r="CG456" s="131"/>
      <c r="CH456" s="131"/>
    </row>
    <row r="457" ht="18.75" customHeight="1">
      <c r="C457" s="64"/>
      <c r="E457" s="64"/>
      <c r="F457" s="64"/>
      <c r="G457" s="64"/>
      <c r="AH457" s="162"/>
      <c r="AI457" s="162"/>
      <c r="AJ457" s="162"/>
      <c r="AK457" s="162"/>
      <c r="BS457" s="131"/>
      <c r="BT457" s="131"/>
      <c r="BU457" s="131"/>
      <c r="BV457" s="131"/>
      <c r="BW457" s="131"/>
      <c r="BX457" s="131"/>
      <c r="BY457" s="131"/>
      <c r="BZ457" s="131"/>
      <c r="CA457" s="131"/>
      <c r="CB457" s="131"/>
      <c r="CC457" s="131"/>
      <c r="CD457" s="131"/>
      <c r="CE457" s="131"/>
      <c r="CF457" s="131"/>
      <c r="CG457" s="131"/>
      <c r="CH457" s="131"/>
    </row>
    <row r="458" ht="18.75" customHeight="1">
      <c r="C458" s="64"/>
      <c r="E458" s="64"/>
      <c r="F458" s="64"/>
      <c r="G458" s="64"/>
      <c r="AH458" s="162"/>
      <c r="AI458" s="162"/>
      <c r="AJ458" s="162"/>
      <c r="AK458" s="162"/>
      <c r="BS458" s="131"/>
      <c r="BT458" s="131"/>
      <c r="BU458" s="131"/>
      <c r="BV458" s="131"/>
      <c r="BW458" s="131"/>
      <c r="BX458" s="131"/>
      <c r="BY458" s="131"/>
      <c r="BZ458" s="131"/>
      <c r="CA458" s="131"/>
      <c r="CB458" s="131"/>
      <c r="CC458" s="131"/>
      <c r="CD458" s="131"/>
      <c r="CE458" s="131"/>
      <c r="CF458" s="131"/>
      <c r="CG458" s="131"/>
      <c r="CH458" s="131"/>
    </row>
    <row r="459" ht="18.75" customHeight="1">
      <c r="C459" s="64"/>
      <c r="E459" s="64"/>
      <c r="F459" s="64"/>
      <c r="G459" s="64"/>
      <c r="AH459" s="162"/>
      <c r="AI459" s="162"/>
      <c r="AJ459" s="162"/>
      <c r="AK459" s="162"/>
      <c r="BS459" s="131"/>
      <c r="BT459" s="131"/>
      <c r="BU459" s="131"/>
      <c r="BV459" s="131"/>
      <c r="BW459" s="131"/>
      <c r="BX459" s="131"/>
      <c r="BY459" s="131"/>
      <c r="BZ459" s="131"/>
      <c r="CA459" s="131"/>
      <c r="CB459" s="131"/>
      <c r="CC459" s="131"/>
      <c r="CD459" s="131"/>
      <c r="CE459" s="131"/>
      <c r="CF459" s="131"/>
      <c r="CG459" s="131"/>
      <c r="CH459" s="131"/>
    </row>
    <row r="460" ht="18.75" customHeight="1">
      <c r="C460" s="64"/>
      <c r="E460" s="64"/>
      <c r="F460" s="64"/>
      <c r="G460" s="64"/>
      <c r="AH460" s="162"/>
      <c r="AI460" s="162"/>
      <c r="AJ460" s="162"/>
      <c r="AK460" s="162"/>
      <c r="BS460" s="131"/>
      <c r="BT460" s="131"/>
      <c r="BU460" s="131"/>
      <c r="BV460" s="131"/>
      <c r="BW460" s="131"/>
      <c r="BX460" s="131"/>
      <c r="BY460" s="131"/>
      <c r="BZ460" s="131"/>
      <c r="CA460" s="131"/>
      <c r="CB460" s="131"/>
      <c r="CC460" s="131"/>
      <c r="CD460" s="131"/>
      <c r="CE460" s="131"/>
      <c r="CF460" s="131"/>
      <c r="CG460" s="131"/>
      <c r="CH460" s="131"/>
    </row>
    <row r="461" ht="18.75" customHeight="1">
      <c r="C461" s="64"/>
      <c r="E461" s="64"/>
      <c r="F461" s="64"/>
      <c r="G461" s="64"/>
      <c r="AH461" s="162"/>
      <c r="AI461" s="162"/>
      <c r="AJ461" s="162"/>
      <c r="AK461" s="162"/>
      <c r="BS461" s="131"/>
      <c r="BT461" s="131"/>
      <c r="BU461" s="131"/>
      <c r="BV461" s="131"/>
      <c r="BW461" s="131"/>
      <c r="BX461" s="131"/>
      <c r="BY461" s="131"/>
      <c r="BZ461" s="131"/>
      <c r="CA461" s="131"/>
      <c r="CB461" s="131"/>
      <c r="CC461" s="131"/>
      <c r="CD461" s="131"/>
      <c r="CE461" s="131"/>
      <c r="CF461" s="131"/>
      <c r="CG461" s="131"/>
      <c r="CH461" s="131"/>
    </row>
    <row r="462" ht="18.75" customHeight="1">
      <c r="C462" s="64"/>
      <c r="E462" s="64"/>
      <c r="F462" s="64"/>
      <c r="G462" s="64"/>
      <c r="AH462" s="162"/>
      <c r="AI462" s="162"/>
      <c r="AJ462" s="162"/>
      <c r="AK462" s="162"/>
      <c r="BS462" s="131"/>
      <c r="BT462" s="131"/>
      <c r="BU462" s="131"/>
      <c r="BV462" s="131"/>
      <c r="BW462" s="131"/>
      <c r="BX462" s="131"/>
      <c r="BY462" s="131"/>
      <c r="BZ462" s="131"/>
      <c r="CA462" s="131"/>
      <c r="CB462" s="131"/>
      <c r="CC462" s="131"/>
      <c r="CD462" s="131"/>
      <c r="CE462" s="131"/>
      <c r="CF462" s="131"/>
      <c r="CG462" s="131"/>
      <c r="CH462" s="131"/>
    </row>
    <row r="463" ht="18.75" customHeight="1">
      <c r="C463" s="64"/>
      <c r="E463" s="64"/>
      <c r="F463" s="64"/>
      <c r="G463" s="64"/>
      <c r="AH463" s="162"/>
      <c r="AI463" s="162"/>
      <c r="AJ463" s="162"/>
      <c r="AK463" s="162"/>
      <c r="BS463" s="131"/>
      <c r="BT463" s="131"/>
      <c r="BU463" s="131"/>
      <c r="BV463" s="131"/>
      <c r="BW463" s="131"/>
      <c r="BX463" s="131"/>
      <c r="BY463" s="131"/>
      <c r="BZ463" s="131"/>
      <c r="CA463" s="131"/>
      <c r="CB463" s="131"/>
      <c r="CC463" s="131"/>
      <c r="CD463" s="131"/>
      <c r="CE463" s="131"/>
      <c r="CF463" s="131"/>
      <c r="CG463" s="131"/>
      <c r="CH463" s="131"/>
    </row>
    <row r="464" ht="18.75" customHeight="1">
      <c r="C464" s="64"/>
      <c r="E464" s="64"/>
      <c r="F464" s="64"/>
      <c r="G464" s="64"/>
      <c r="AH464" s="162"/>
      <c r="AI464" s="162"/>
      <c r="AJ464" s="162"/>
      <c r="AK464" s="162"/>
      <c r="BS464" s="131"/>
      <c r="BT464" s="131"/>
      <c r="BU464" s="131"/>
      <c r="BV464" s="131"/>
      <c r="BW464" s="131"/>
      <c r="BX464" s="131"/>
      <c r="BY464" s="131"/>
      <c r="BZ464" s="131"/>
      <c r="CA464" s="131"/>
      <c r="CB464" s="131"/>
      <c r="CC464" s="131"/>
      <c r="CD464" s="131"/>
      <c r="CE464" s="131"/>
      <c r="CF464" s="131"/>
      <c r="CG464" s="131"/>
      <c r="CH464" s="131"/>
    </row>
    <row r="465" ht="18.75" customHeight="1">
      <c r="C465" s="64"/>
      <c r="E465" s="64"/>
      <c r="F465" s="64"/>
      <c r="G465" s="64"/>
      <c r="AH465" s="162"/>
      <c r="AI465" s="162"/>
      <c r="AJ465" s="162"/>
      <c r="AK465" s="162"/>
      <c r="BS465" s="131"/>
      <c r="BT465" s="131"/>
      <c r="BU465" s="131"/>
      <c r="BV465" s="131"/>
      <c r="BW465" s="131"/>
      <c r="BX465" s="131"/>
      <c r="BY465" s="131"/>
      <c r="BZ465" s="131"/>
      <c r="CA465" s="131"/>
      <c r="CB465" s="131"/>
      <c r="CC465" s="131"/>
      <c r="CD465" s="131"/>
      <c r="CE465" s="131"/>
      <c r="CF465" s="131"/>
      <c r="CG465" s="131"/>
      <c r="CH465" s="131"/>
    </row>
    <row r="466" ht="18.75" customHeight="1">
      <c r="C466" s="64"/>
      <c r="E466" s="64"/>
      <c r="F466" s="64"/>
      <c r="G466" s="64"/>
      <c r="AH466" s="162"/>
      <c r="AI466" s="162"/>
      <c r="AJ466" s="162"/>
      <c r="AK466" s="162"/>
      <c r="BS466" s="131"/>
      <c r="BT466" s="131"/>
      <c r="BU466" s="131"/>
      <c r="BV466" s="131"/>
      <c r="BW466" s="131"/>
      <c r="BX466" s="131"/>
      <c r="BY466" s="131"/>
      <c r="BZ466" s="131"/>
      <c r="CA466" s="131"/>
      <c r="CB466" s="131"/>
      <c r="CC466" s="131"/>
      <c r="CD466" s="131"/>
      <c r="CE466" s="131"/>
      <c r="CF466" s="131"/>
      <c r="CG466" s="131"/>
      <c r="CH466" s="131"/>
    </row>
    <row r="467" ht="18.75" customHeight="1">
      <c r="C467" s="64"/>
      <c r="E467" s="64"/>
      <c r="F467" s="64"/>
      <c r="G467" s="64"/>
      <c r="AH467" s="162"/>
      <c r="AI467" s="162"/>
      <c r="AJ467" s="162"/>
      <c r="AK467" s="162"/>
      <c r="BS467" s="131"/>
      <c r="BT467" s="131"/>
      <c r="BU467" s="131"/>
      <c r="BV467" s="131"/>
      <c r="BW467" s="131"/>
      <c r="BX467" s="131"/>
      <c r="BY467" s="131"/>
      <c r="BZ467" s="131"/>
      <c r="CA467" s="131"/>
      <c r="CB467" s="131"/>
      <c r="CC467" s="131"/>
      <c r="CD467" s="131"/>
      <c r="CE467" s="131"/>
      <c r="CF467" s="131"/>
      <c r="CG467" s="131"/>
      <c r="CH467" s="131"/>
    </row>
    <row r="468" ht="18.75" customHeight="1">
      <c r="C468" s="64"/>
      <c r="E468" s="64"/>
      <c r="F468" s="64"/>
      <c r="G468" s="64"/>
      <c r="AH468" s="162"/>
      <c r="AI468" s="162"/>
      <c r="AJ468" s="162"/>
      <c r="AK468" s="162"/>
      <c r="BS468" s="131"/>
      <c r="BT468" s="131"/>
      <c r="BU468" s="131"/>
      <c r="BV468" s="131"/>
      <c r="BW468" s="131"/>
      <c r="BX468" s="131"/>
      <c r="BY468" s="131"/>
      <c r="BZ468" s="131"/>
      <c r="CA468" s="131"/>
      <c r="CB468" s="131"/>
      <c r="CC468" s="131"/>
      <c r="CD468" s="131"/>
      <c r="CE468" s="131"/>
      <c r="CF468" s="131"/>
      <c r="CG468" s="131"/>
      <c r="CH468" s="131"/>
    </row>
    <row r="469" ht="18.75" customHeight="1">
      <c r="C469" s="64"/>
      <c r="E469" s="64"/>
      <c r="F469" s="64"/>
      <c r="G469" s="64"/>
      <c r="AH469" s="162"/>
      <c r="AI469" s="162"/>
      <c r="AJ469" s="162"/>
      <c r="AK469" s="162"/>
      <c r="BS469" s="131"/>
      <c r="BT469" s="131"/>
      <c r="BU469" s="131"/>
      <c r="BV469" s="131"/>
      <c r="BW469" s="131"/>
      <c r="BX469" s="131"/>
      <c r="BY469" s="131"/>
      <c r="BZ469" s="131"/>
      <c r="CA469" s="131"/>
      <c r="CB469" s="131"/>
      <c r="CC469" s="131"/>
      <c r="CD469" s="131"/>
      <c r="CE469" s="131"/>
      <c r="CF469" s="131"/>
      <c r="CG469" s="131"/>
      <c r="CH469" s="131"/>
    </row>
    <row r="470" ht="18.75" customHeight="1">
      <c r="C470" s="64"/>
      <c r="E470" s="64"/>
      <c r="F470" s="64"/>
      <c r="G470" s="64"/>
      <c r="AH470" s="162"/>
      <c r="AI470" s="162"/>
      <c r="AJ470" s="162"/>
      <c r="AK470" s="162"/>
      <c r="BS470" s="131"/>
      <c r="BT470" s="131"/>
      <c r="BU470" s="131"/>
      <c r="BV470" s="131"/>
      <c r="BW470" s="131"/>
      <c r="BX470" s="131"/>
      <c r="BY470" s="131"/>
      <c r="BZ470" s="131"/>
      <c r="CA470" s="131"/>
      <c r="CB470" s="131"/>
      <c r="CC470" s="131"/>
      <c r="CD470" s="131"/>
      <c r="CE470" s="131"/>
      <c r="CF470" s="131"/>
      <c r="CG470" s="131"/>
      <c r="CH470" s="131"/>
    </row>
    <row r="471" ht="18.75" customHeight="1">
      <c r="C471" s="64"/>
      <c r="E471" s="64"/>
      <c r="F471" s="64"/>
      <c r="G471" s="64"/>
      <c r="AH471" s="162"/>
      <c r="AI471" s="162"/>
      <c r="AJ471" s="162"/>
      <c r="AK471" s="162"/>
      <c r="BS471" s="131"/>
      <c r="BT471" s="131"/>
      <c r="BU471" s="131"/>
      <c r="BV471" s="131"/>
      <c r="BW471" s="131"/>
      <c r="BX471" s="131"/>
      <c r="BY471" s="131"/>
      <c r="BZ471" s="131"/>
      <c r="CA471" s="131"/>
      <c r="CB471" s="131"/>
      <c r="CC471" s="131"/>
      <c r="CD471" s="131"/>
      <c r="CE471" s="131"/>
      <c r="CF471" s="131"/>
      <c r="CG471" s="131"/>
      <c r="CH471" s="131"/>
    </row>
    <row r="472" ht="18.75" customHeight="1">
      <c r="C472" s="64"/>
      <c r="E472" s="64"/>
      <c r="F472" s="64"/>
      <c r="G472" s="64"/>
      <c r="AH472" s="162"/>
      <c r="AI472" s="162"/>
      <c r="AJ472" s="162"/>
      <c r="AK472" s="162"/>
      <c r="BS472" s="131"/>
      <c r="BT472" s="131"/>
      <c r="BU472" s="131"/>
      <c r="BV472" s="131"/>
      <c r="BW472" s="131"/>
      <c r="BX472" s="131"/>
      <c r="BY472" s="131"/>
      <c r="BZ472" s="131"/>
      <c r="CA472" s="131"/>
      <c r="CB472" s="131"/>
      <c r="CC472" s="131"/>
      <c r="CD472" s="131"/>
      <c r="CE472" s="131"/>
      <c r="CF472" s="131"/>
      <c r="CG472" s="131"/>
      <c r="CH472" s="131"/>
    </row>
    <row r="473" ht="18.75" customHeight="1">
      <c r="C473" s="64"/>
      <c r="E473" s="64"/>
      <c r="F473" s="64"/>
      <c r="G473" s="64"/>
      <c r="AH473" s="162"/>
      <c r="AI473" s="162"/>
      <c r="AJ473" s="162"/>
      <c r="AK473" s="162"/>
      <c r="BS473" s="131"/>
      <c r="BT473" s="131"/>
      <c r="BU473" s="131"/>
      <c r="BV473" s="131"/>
      <c r="BW473" s="131"/>
      <c r="BX473" s="131"/>
      <c r="BY473" s="131"/>
      <c r="BZ473" s="131"/>
      <c r="CA473" s="131"/>
      <c r="CB473" s="131"/>
      <c r="CC473" s="131"/>
      <c r="CD473" s="131"/>
      <c r="CE473" s="131"/>
      <c r="CF473" s="131"/>
      <c r="CG473" s="131"/>
      <c r="CH473" s="131"/>
    </row>
    <row r="474" ht="18.75" customHeight="1">
      <c r="C474" s="64"/>
      <c r="E474" s="64"/>
      <c r="F474" s="64"/>
      <c r="G474" s="64"/>
      <c r="AH474" s="162"/>
      <c r="AI474" s="162"/>
      <c r="AJ474" s="162"/>
      <c r="AK474" s="162"/>
      <c r="BS474" s="131"/>
      <c r="BT474" s="131"/>
      <c r="BU474" s="131"/>
      <c r="BV474" s="131"/>
      <c r="BW474" s="131"/>
      <c r="BX474" s="131"/>
      <c r="BY474" s="131"/>
      <c r="BZ474" s="131"/>
      <c r="CA474" s="131"/>
      <c r="CB474" s="131"/>
      <c r="CC474" s="131"/>
      <c r="CD474" s="131"/>
      <c r="CE474" s="131"/>
      <c r="CF474" s="131"/>
      <c r="CG474" s="131"/>
      <c r="CH474" s="131"/>
    </row>
    <row r="475" ht="18.75" customHeight="1">
      <c r="C475" s="64"/>
      <c r="E475" s="64"/>
      <c r="F475" s="64"/>
      <c r="G475" s="64"/>
      <c r="AH475" s="162"/>
      <c r="AI475" s="162"/>
      <c r="AJ475" s="162"/>
      <c r="AK475" s="162"/>
      <c r="BS475" s="131"/>
      <c r="BT475" s="131"/>
      <c r="BU475" s="131"/>
      <c r="BV475" s="131"/>
      <c r="BW475" s="131"/>
      <c r="BX475" s="131"/>
      <c r="BY475" s="131"/>
      <c r="BZ475" s="131"/>
      <c r="CA475" s="131"/>
      <c r="CB475" s="131"/>
      <c r="CC475" s="131"/>
      <c r="CD475" s="131"/>
      <c r="CE475" s="131"/>
      <c r="CF475" s="131"/>
      <c r="CG475" s="131"/>
      <c r="CH475" s="131"/>
    </row>
    <row r="476" ht="18.75" customHeight="1">
      <c r="C476" s="64"/>
      <c r="E476" s="64"/>
      <c r="F476" s="64"/>
      <c r="G476" s="64"/>
      <c r="AH476" s="162"/>
      <c r="AI476" s="162"/>
      <c r="AJ476" s="162"/>
      <c r="AK476" s="162"/>
      <c r="BS476" s="131"/>
      <c r="BT476" s="131"/>
      <c r="BU476" s="131"/>
      <c r="BV476" s="131"/>
      <c r="BW476" s="131"/>
      <c r="BX476" s="131"/>
      <c r="BY476" s="131"/>
      <c r="BZ476" s="131"/>
      <c r="CA476" s="131"/>
      <c r="CB476" s="131"/>
      <c r="CC476" s="131"/>
      <c r="CD476" s="131"/>
      <c r="CE476" s="131"/>
      <c r="CF476" s="131"/>
      <c r="CG476" s="131"/>
      <c r="CH476" s="131"/>
    </row>
    <row r="477" ht="18.75" customHeight="1">
      <c r="C477" s="64"/>
      <c r="E477" s="64"/>
      <c r="F477" s="64"/>
      <c r="G477" s="64"/>
      <c r="AH477" s="162"/>
      <c r="AI477" s="162"/>
      <c r="AJ477" s="162"/>
      <c r="AK477" s="162"/>
      <c r="BS477" s="131"/>
      <c r="BT477" s="131"/>
      <c r="BU477" s="131"/>
      <c r="BV477" s="131"/>
      <c r="BW477" s="131"/>
      <c r="BX477" s="131"/>
      <c r="BY477" s="131"/>
      <c r="BZ477" s="131"/>
      <c r="CA477" s="131"/>
      <c r="CB477" s="131"/>
      <c r="CC477" s="131"/>
      <c r="CD477" s="131"/>
      <c r="CE477" s="131"/>
      <c r="CF477" s="131"/>
      <c r="CG477" s="131"/>
      <c r="CH477" s="131"/>
    </row>
    <row r="478" ht="18.75" customHeight="1">
      <c r="C478" s="64"/>
      <c r="E478" s="64"/>
      <c r="F478" s="64"/>
      <c r="G478" s="64"/>
      <c r="AH478" s="162"/>
      <c r="AI478" s="162"/>
      <c r="AJ478" s="162"/>
      <c r="AK478" s="162"/>
      <c r="BS478" s="131"/>
      <c r="BT478" s="131"/>
      <c r="BU478" s="131"/>
      <c r="BV478" s="131"/>
      <c r="BW478" s="131"/>
      <c r="BX478" s="131"/>
      <c r="BY478" s="131"/>
      <c r="BZ478" s="131"/>
      <c r="CA478" s="131"/>
      <c r="CB478" s="131"/>
      <c r="CC478" s="131"/>
      <c r="CD478" s="131"/>
      <c r="CE478" s="131"/>
      <c r="CF478" s="131"/>
      <c r="CG478" s="131"/>
      <c r="CH478" s="131"/>
    </row>
    <row r="479" ht="18.75" customHeight="1">
      <c r="C479" s="64"/>
      <c r="E479" s="64"/>
      <c r="F479" s="64"/>
      <c r="G479" s="64"/>
      <c r="AH479" s="162"/>
      <c r="AI479" s="162"/>
      <c r="AJ479" s="162"/>
      <c r="AK479" s="162"/>
      <c r="BS479" s="131"/>
      <c r="BT479" s="131"/>
      <c r="BU479" s="131"/>
      <c r="BV479" s="131"/>
      <c r="BW479" s="131"/>
      <c r="BX479" s="131"/>
      <c r="BY479" s="131"/>
      <c r="BZ479" s="131"/>
      <c r="CA479" s="131"/>
      <c r="CB479" s="131"/>
      <c r="CC479" s="131"/>
      <c r="CD479" s="131"/>
      <c r="CE479" s="131"/>
      <c r="CF479" s="131"/>
      <c r="CG479" s="131"/>
      <c r="CH479" s="131"/>
    </row>
    <row r="480" ht="18.75" customHeight="1">
      <c r="C480" s="64"/>
      <c r="E480" s="64"/>
      <c r="F480" s="64"/>
      <c r="G480" s="64"/>
      <c r="AH480" s="162"/>
      <c r="AI480" s="162"/>
      <c r="AJ480" s="162"/>
      <c r="AK480" s="162"/>
      <c r="BS480" s="131"/>
      <c r="BT480" s="131"/>
      <c r="BU480" s="131"/>
      <c r="BV480" s="131"/>
      <c r="BW480" s="131"/>
      <c r="BX480" s="131"/>
      <c r="BY480" s="131"/>
      <c r="BZ480" s="131"/>
      <c r="CA480" s="131"/>
      <c r="CB480" s="131"/>
      <c r="CC480" s="131"/>
      <c r="CD480" s="131"/>
      <c r="CE480" s="131"/>
      <c r="CF480" s="131"/>
      <c r="CG480" s="131"/>
      <c r="CH480" s="131"/>
    </row>
    <row r="481" ht="18.75" customHeight="1">
      <c r="C481" s="64"/>
      <c r="E481" s="64"/>
      <c r="F481" s="64"/>
      <c r="G481" s="64"/>
      <c r="AH481" s="162"/>
      <c r="AI481" s="162"/>
      <c r="AJ481" s="162"/>
      <c r="AK481" s="162"/>
      <c r="BS481" s="131"/>
      <c r="BT481" s="131"/>
      <c r="BU481" s="131"/>
      <c r="BV481" s="131"/>
      <c r="BW481" s="131"/>
      <c r="BX481" s="131"/>
      <c r="BY481" s="131"/>
      <c r="BZ481" s="131"/>
      <c r="CA481" s="131"/>
      <c r="CB481" s="131"/>
      <c r="CC481" s="131"/>
      <c r="CD481" s="131"/>
      <c r="CE481" s="131"/>
      <c r="CF481" s="131"/>
      <c r="CG481" s="131"/>
      <c r="CH481" s="131"/>
    </row>
    <row r="482" ht="18.75" customHeight="1">
      <c r="C482" s="64"/>
      <c r="E482" s="64"/>
      <c r="F482" s="64"/>
      <c r="G482" s="64"/>
      <c r="AH482" s="162"/>
      <c r="AI482" s="162"/>
      <c r="AJ482" s="162"/>
      <c r="AK482" s="162"/>
      <c r="BS482" s="131"/>
      <c r="BT482" s="131"/>
      <c r="BU482" s="131"/>
      <c r="BV482" s="131"/>
      <c r="BW482" s="131"/>
      <c r="BX482" s="131"/>
      <c r="BY482" s="131"/>
      <c r="BZ482" s="131"/>
      <c r="CA482" s="131"/>
      <c r="CB482" s="131"/>
      <c r="CC482" s="131"/>
      <c r="CD482" s="131"/>
      <c r="CE482" s="131"/>
      <c r="CF482" s="131"/>
      <c r="CG482" s="131"/>
      <c r="CH482" s="131"/>
    </row>
    <row r="483" ht="18.75" customHeight="1">
      <c r="C483" s="64"/>
      <c r="E483" s="64"/>
      <c r="F483" s="64"/>
      <c r="G483" s="64"/>
      <c r="AH483" s="162"/>
      <c r="AI483" s="162"/>
      <c r="AJ483" s="162"/>
      <c r="AK483" s="162"/>
      <c r="BS483" s="131"/>
      <c r="BT483" s="131"/>
      <c r="BU483" s="131"/>
      <c r="BV483" s="131"/>
      <c r="BW483" s="131"/>
      <c r="BX483" s="131"/>
      <c r="BY483" s="131"/>
      <c r="BZ483" s="131"/>
      <c r="CA483" s="131"/>
      <c r="CB483" s="131"/>
      <c r="CC483" s="131"/>
      <c r="CD483" s="131"/>
      <c r="CE483" s="131"/>
      <c r="CF483" s="131"/>
      <c r="CG483" s="131"/>
      <c r="CH483" s="131"/>
    </row>
    <row r="484" ht="18.75" customHeight="1">
      <c r="C484" s="64"/>
      <c r="E484" s="64"/>
      <c r="F484" s="64"/>
      <c r="G484" s="64"/>
      <c r="AH484" s="162"/>
      <c r="AI484" s="162"/>
      <c r="AJ484" s="162"/>
      <c r="AK484" s="162"/>
      <c r="BS484" s="131"/>
      <c r="BT484" s="131"/>
      <c r="BU484" s="131"/>
      <c r="BV484" s="131"/>
      <c r="BW484" s="131"/>
      <c r="BX484" s="131"/>
      <c r="BY484" s="131"/>
      <c r="BZ484" s="131"/>
      <c r="CA484" s="131"/>
      <c r="CB484" s="131"/>
      <c r="CC484" s="131"/>
      <c r="CD484" s="131"/>
      <c r="CE484" s="131"/>
      <c r="CF484" s="131"/>
      <c r="CG484" s="131"/>
      <c r="CH484" s="131"/>
    </row>
    <row r="485" ht="18.75" customHeight="1">
      <c r="C485" s="64"/>
      <c r="E485" s="64"/>
      <c r="F485" s="64"/>
      <c r="G485" s="64"/>
      <c r="AH485" s="162"/>
      <c r="AI485" s="162"/>
      <c r="AJ485" s="162"/>
      <c r="AK485" s="162"/>
      <c r="BS485" s="131"/>
      <c r="BT485" s="131"/>
      <c r="BU485" s="131"/>
      <c r="BV485" s="131"/>
      <c r="BW485" s="131"/>
      <c r="BX485" s="131"/>
      <c r="BY485" s="131"/>
      <c r="BZ485" s="131"/>
      <c r="CA485" s="131"/>
      <c r="CB485" s="131"/>
      <c r="CC485" s="131"/>
      <c r="CD485" s="131"/>
      <c r="CE485" s="131"/>
      <c r="CF485" s="131"/>
      <c r="CG485" s="131"/>
      <c r="CH485" s="131"/>
    </row>
    <row r="486" ht="18.75" customHeight="1">
      <c r="C486" s="64"/>
      <c r="E486" s="64"/>
      <c r="F486" s="64"/>
      <c r="G486" s="64"/>
      <c r="AH486" s="162"/>
      <c r="AI486" s="162"/>
      <c r="AJ486" s="162"/>
      <c r="AK486" s="162"/>
      <c r="BS486" s="131"/>
      <c r="BT486" s="131"/>
      <c r="BU486" s="131"/>
      <c r="BV486" s="131"/>
      <c r="BW486" s="131"/>
      <c r="BX486" s="131"/>
      <c r="BY486" s="131"/>
      <c r="BZ486" s="131"/>
      <c r="CA486" s="131"/>
      <c r="CB486" s="131"/>
      <c r="CC486" s="131"/>
      <c r="CD486" s="131"/>
      <c r="CE486" s="131"/>
      <c r="CF486" s="131"/>
      <c r="CG486" s="131"/>
      <c r="CH486" s="131"/>
    </row>
    <row r="487" ht="18.75" customHeight="1">
      <c r="C487" s="64"/>
      <c r="E487" s="64"/>
      <c r="F487" s="64"/>
      <c r="G487" s="64"/>
      <c r="AH487" s="162"/>
      <c r="AI487" s="162"/>
      <c r="AJ487" s="162"/>
      <c r="AK487" s="162"/>
      <c r="BS487" s="131"/>
      <c r="BT487" s="131"/>
      <c r="BU487" s="131"/>
      <c r="BV487" s="131"/>
      <c r="BW487" s="131"/>
      <c r="BX487" s="131"/>
      <c r="BY487" s="131"/>
      <c r="BZ487" s="131"/>
      <c r="CA487" s="131"/>
      <c r="CB487" s="131"/>
      <c r="CC487" s="131"/>
      <c r="CD487" s="131"/>
      <c r="CE487" s="131"/>
      <c r="CF487" s="131"/>
      <c r="CG487" s="131"/>
      <c r="CH487" s="131"/>
    </row>
    <row r="488" ht="18.75" customHeight="1">
      <c r="C488" s="64"/>
      <c r="E488" s="64"/>
      <c r="F488" s="64"/>
      <c r="G488" s="64"/>
      <c r="AH488" s="162"/>
      <c r="AI488" s="162"/>
      <c r="AJ488" s="162"/>
      <c r="AK488" s="162"/>
      <c r="BS488" s="131"/>
      <c r="BT488" s="131"/>
      <c r="BU488" s="131"/>
      <c r="BV488" s="131"/>
      <c r="BW488" s="131"/>
      <c r="BX488" s="131"/>
      <c r="BY488" s="131"/>
      <c r="BZ488" s="131"/>
      <c r="CA488" s="131"/>
      <c r="CB488" s="131"/>
      <c r="CC488" s="131"/>
      <c r="CD488" s="131"/>
      <c r="CE488" s="131"/>
      <c r="CF488" s="131"/>
      <c r="CG488" s="131"/>
      <c r="CH488" s="131"/>
    </row>
    <row r="489" ht="18.75" customHeight="1">
      <c r="C489" s="64"/>
      <c r="E489" s="64"/>
      <c r="F489" s="64"/>
      <c r="G489" s="64"/>
      <c r="AH489" s="162"/>
      <c r="AI489" s="162"/>
      <c r="AJ489" s="162"/>
      <c r="AK489" s="162"/>
      <c r="BS489" s="131"/>
      <c r="BT489" s="131"/>
      <c r="BU489" s="131"/>
      <c r="BV489" s="131"/>
      <c r="BW489" s="131"/>
      <c r="BX489" s="131"/>
      <c r="BY489" s="131"/>
      <c r="BZ489" s="131"/>
      <c r="CA489" s="131"/>
      <c r="CB489" s="131"/>
      <c r="CC489" s="131"/>
      <c r="CD489" s="131"/>
      <c r="CE489" s="131"/>
      <c r="CF489" s="131"/>
      <c r="CG489" s="131"/>
      <c r="CH489" s="131"/>
    </row>
    <row r="490" ht="18.75" customHeight="1">
      <c r="C490" s="64"/>
      <c r="E490" s="64"/>
      <c r="F490" s="64"/>
      <c r="G490" s="64"/>
      <c r="AH490" s="162"/>
      <c r="AI490" s="162"/>
      <c r="AJ490" s="162"/>
      <c r="AK490" s="162"/>
      <c r="BS490" s="131"/>
      <c r="BT490" s="131"/>
      <c r="BU490" s="131"/>
      <c r="BV490" s="131"/>
      <c r="BW490" s="131"/>
      <c r="BX490" s="131"/>
      <c r="BY490" s="131"/>
      <c r="BZ490" s="131"/>
      <c r="CA490" s="131"/>
      <c r="CB490" s="131"/>
      <c r="CC490" s="131"/>
      <c r="CD490" s="131"/>
      <c r="CE490" s="131"/>
      <c r="CF490" s="131"/>
      <c r="CG490" s="131"/>
      <c r="CH490" s="131"/>
    </row>
    <row r="491" ht="18.75" customHeight="1">
      <c r="C491" s="64"/>
      <c r="E491" s="64"/>
      <c r="F491" s="64"/>
      <c r="G491" s="64"/>
      <c r="AH491" s="162"/>
      <c r="AI491" s="162"/>
      <c r="AJ491" s="162"/>
      <c r="AK491" s="162"/>
      <c r="BS491" s="131"/>
      <c r="BT491" s="131"/>
      <c r="BU491" s="131"/>
      <c r="BV491" s="131"/>
      <c r="BW491" s="131"/>
      <c r="BX491" s="131"/>
      <c r="BY491" s="131"/>
      <c r="BZ491" s="131"/>
      <c r="CA491" s="131"/>
      <c r="CB491" s="131"/>
      <c r="CC491" s="131"/>
      <c r="CD491" s="131"/>
      <c r="CE491" s="131"/>
      <c r="CF491" s="131"/>
      <c r="CG491" s="131"/>
      <c r="CH491" s="131"/>
    </row>
    <row r="492" ht="18.75" customHeight="1">
      <c r="C492" s="64"/>
      <c r="E492" s="64"/>
      <c r="F492" s="64"/>
      <c r="G492" s="64"/>
      <c r="AH492" s="162"/>
      <c r="AI492" s="162"/>
      <c r="AJ492" s="162"/>
      <c r="AK492" s="162"/>
      <c r="BS492" s="131"/>
      <c r="BT492" s="131"/>
      <c r="BU492" s="131"/>
      <c r="BV492" s="131"/>
      <c r="BW492" s="131"/>
      <c r="BX492" s="131"/>
      <c r="BY492" s="131"/>
      <c r="BZ492" s="131"/>
      <c r="CA492" s="131"/>
      <c r="CB492" s="131"/>
      <c r="CC492" s="131"/>
      <c r="CD492" s="131"/>
      <c r="CE492" s="131"/>
      <c r="CF492" s="131"/>
      <c r="CG492" s="131"/>
      <c r="CH492" s="131"/>
    </row>
    <row r="493" ht="18.75" customHeight="1">
      <c r="C493" s="64"/>
      <c r="E493" s="64"/>
      <c r="F493" s="64"/>
      <c r="G493" s="64"/>
      <c r="AH493" s="162"/>
      <c r="AI493" s="162"/>
      <c r="AJ493" s="162"/>
      <c r="AK493" s="162"/>
      <c r="BS493" s="131"/>
      <c r="BT493" s="131"/>
      <c r="BU493" s="131"/>
      <c r="BV493" s="131"/>
      <c r="BW493" s="131"/>
      <c r="BX493" s="131"/>
      <c r="BY493" s="131"/>
      <c r="BZ493" s="131"/>
      <c r="CA493" s="131"/>
      <c r="CB493" s="131"/>
      <c r="CC493" s="131"/>
      <c r="CD493" s="131"/>
      <c r="CE493" s="131"/>
      <c r="CF493" s="131"/>
      <c r="CG493" s="131"/>
      <c r="CH493" s="131"/>
    </row>
    <row r="494" ht="18.75" customHeight="1">
      <c r="C494" s="64"/>
      <c r="E494" s="64"/>
      <c r="F494" s="64"/>
      <c r="G494" s="64"/>
      <c r="AH494" s="162"/>
      <c r="AI494" s="162"/>
      <c r="AJ494" s="162"/>
      <c r="AK494" s="162"/>
      <c r="BS494" s="131"/>
      <c r="BT494" s="131"/>
      <c r="BU494" s="131"/>
      <c r="BV494" s="131"/>
      <c r="BW494" s="131"/>
      <c r="BX494" s="131"/>
      <c r="BY494" s="131"/>
      <c r="BZ494" s="131"/>
      <c r="CA494" s="131"/>
      <c r="CB494" s="131"/>
      <c r="CC494" s="131"/>
      <c r="CD494" s="131"/>
      <c r="CE494" s="131"/>
      <c r="CF494" s="131"/>
      <c r="CG494" s="131"/>
      <c r="CH494" s="131"/>
    </row>
    <row r="495" ht="18.75" customHeight="1">
      <c r="C495" s="64"/>
      <c r="E495" s="64"/>
      <c r="F495" s="64"/>
      <c r="G495" s="64"/>
      <c r="AH495" s="162"/>
      <c r="AI495" s="162"/>
      <c r="AJ495" s="162"/>
      <c r="AK495" s="162"/>
      <c r="BS495" s="131"/>
      <c r="BT495" s="131"/>
      <c r="BU495" s="131"/>
      <c r="BV495" s="131"/>
      <c r="BW495" s="131"/>
      <c r="BX495" s="131"/>
      <c r="BY495" s="131"/>
      <c r="BZ495" s="131"/>
      <c r="CA495" s="131"/>
      <c r="CB495" s="131"/>
      <c r="CC495" s="131"/>
      <c r="CD495" s="131"/>
      <c r="CE495" s="131"/>
      <c r="CF495" s="131"/>
      <c r="CG495" s="131"/>
      <c r="CH495" s="131"/>
    </row>
    <row r="496" ht="18.75" customHeight="1">
      <c r="C496" s="64"/>
      <c r="E496" s="64"/>
      <c r="F496" s="64"/>
      <c r="G496" s="64"/>
      <c r="AH496" s="162"/>
      <c r="AI496" s="162"/>
      <c r="AJ496" s="162"/>
      <c r="AK496" s="162"/>
      <c r="BS496" s="131"/>
      <c r="BT496" s="131"/>
      <c r="BU496" s="131"/>
      <c r="BV496" s="131"/>
      <c r="BW496" s="131"/>
      <c r="BX496" s="131"/>
      <c r="BY496" s="131"/>
      <c r="BZ496" s="131"/>
      <c r="CA496" s="131"/>
      <c r="CB496" s="131"/>
      <c r="CC496" s="131"/>
      <c r="CD496" s="131"/>
      <c r="CE496" s="131"/>
      <c r="CF496" s="131"/>
      <c r="CG496" s="131"/>
      <c r="CH496" s="131"/>
    </row>
    <row r="497" ht="18.75" customHeight="1">
      <c r="C497" s="64"/>
      <c r="E497" s="64"/>
      <c r="F497" s="64"/>
      <c r="G497" s="64"/>
      <c r="AH497" s="162"/>
      <c r="AI497" s="162"/>
      <c r="AJ497" s="162"/>
      <c r="AK497" s="162"/>
      <c r="BS497" s="131"/>
      <c r="BT497" s="131"/>
      <c r="BU497" s="131"/>
      <c r="BV497" s="131"/>
      <c r="BW497" s="131"/>
      <c r="BX497" s="131"/>
      <c r="BY497" s="131"/>
      <c r="BZ497" s="131"/>
      <c r="CA497" s="131"/>
      <c r="CB497" s="131"/>
      <c r="CC497" s="131"/>
      <c r="CD497" s="131"/>
      <c r="CE497" s="131"/>
      <c r="CF497" s="131"/>
      <c r="CG497" s="131"/>
      <c r="CH497" s="131"/>
    </row>
    <row r="498" ht="18.75" customHeight="1">
      <c r="C498" s="64"/>
      <c r="E498" s="64"/>
      <c r="F498" s="64"/>
      <c r="G498" s="64"/>
      <c r="AH498" s="162"/>
      <c r="AI498" s="162"/>
      <c r="AJ498" s="162"/>
      <c r="AK498" s="162"/>
      <c r="BS498" s="131"/>
      <c r="BT498" s="131"/>
      <c r="BU498" s="131"/>
      <c r="BV498" s="131"/>
      <c r="BW498" s="131"/>
      <c r="BX498" s="131"/>
      <c r="BY498" s="131"/>
      <c r="BZ498" s="131"/>
      <c r="CA498" s="131"/>
      <c r="CB498" s="131"/>
      <c r="CC498" s="131"/>
      <c r="CD498" s="131"/>
      <c r="CE498" s="131"/>
      <c r="CF498" s="131"/>
      <c r="CG498" s="131"/>
      <c r="CH498" s="131"/>
    </row>
    <row r="499" ht="18.75" customHeight="1">
      <c r="C499" s="64"/>
      <c r="E499" s="64"/>
      <c r="F499" s="64"/>
      <c r="G499" s="64"/>
      <c r="AH499" s="162"/>
      <c r="AI499" s="162"/>
      <c r="AJ499" s="162"/>
      <c r="AK499" s="162"/>
      <c r="BS499" s="131"/>
      <c r="BT499" s="131"/>
      <c r="BU499" s="131"/>
      <c r="BV499" s="131"/>
      <c r="BW499" s="131"/>
      <c r="BX499" s="131"/>
      <c r="BY499" s="131"/>
      <c r="BZ499" s="131"/>
      <c r="CA499" s="131"/>
      <c r="CB499" s="131"/>
      <c r="CC499" s="131"/>
      <c r="CD499" s="131"/>
      <c r="CE499" s="131"/>
      <c r="CF499" s="131"/>
      <c r="CG499" s="131"/>
      <c r="CH499" s="131"/>
    </row>
    <row r="500" ht="18.75" customHeight="1">
      <c r="C500" s="64"/>
      <c r="E500" s="64"/>
      <c r="F500" s="64"/>
      <c r="G500" s="64"/>
      <c r="AH500" s="162"/>
      <c r="AI500" s="162"/>
      <c r="AJ500" s="162"/>
      <c r="AK500" s="162"/>
      <c r="BS500" s="131"/>
      <c r="BT500" s="131"/>
      <c r="BU500" s="131"/>
      <c r="BV500" s="131"/>
      <c r="BW500" s="131"/>
      <c r="BX500" s="131"/>
      <c r="BY500" s="131"/>
      <c r="BZ500" s="131"/>
      <c r="CA500" s="131"/>
      <c r="CB500" s="131"/>
      <c r="CC500" s="131"/>
      <c r="CD500" s="131"/>
      <c r="CE500" s="131"/>
      <c r="CF500" s="131"/>
      <c r="CG500" s="131"/>
      <c r="CH500" s="131"/>
    </row>
    <row r="501" ht="18.75" customHeight="1">
      <c r="C501" s="64"/>
      <c r="E501" s="64"/>
      <c r="F501" s="64"/>
      <c r="G501" s="64"/>
      <c r="AH501" s="162"/>
      <c r="AI501" s="162"/>
      <c r="AJ501" s="162"/>
      <c r="AK501" s="162"/>
      <c r="BS501" s="131"/>
      <c r="BT501" s="131"/>
      <c r="BU501" s="131"/>
      <c r="BV501" s="131"/>
      <c r="BW501" s="131"/>
      <c r="BX501" s="131"/>
      <c r="BY501" s="131"/>
      <c r="BZ501" s="131"/>
      <c r="CA501" s="131"/>
      <c r="CB501" s="131"/>
      <c r="CC501" s="131"/>
      <c r="CD501" s="131"/>
      <c r="CE501" s="131"/>
      <c r="CF501" s="131"/>
      <c r="CG501" s="131"/>
      <c r="CH501" s="131"/>
    </row>
    <row r="502" ht="18.75" customHeight="1">
      <c r="C502" s="64"/>
      <c r="E502" s="64"/>
      <c r="F502" s="64"/>
      <c r="G502" s="64"/>
      <c r="AH502" s="162"/>
      <c r="AI502" s="162"/>
      <c r="AJ502" s="162"/>
      <c r="AK502" s="162"/>
      <c r="BS502" s="131"/>
      <c r="BT502" s="131"/>
      <c r="BU502" s="131"/>
      <c r="BV502" s="131"/>
      <c r="BW502" s="131"/>
      <c r="BX502" s="131"/>
      <c r="BY502" s="131"/>
      <c r="BZ502" s="131"/>
      <c r="CA502" s="131"/>
      <c r="CB502" s="131"/>
      <c r="CC502" s="131"/>
      <c r="CD502" s="131"/>
      <c r="CE502" s="131"/>
      <c r="CF502" s="131"/>
      <c r="CG502" s="131"/>
      <c r="CH502" s="131"/>
    </row>
    <row r="503" ht="18.75" customHeight="1">
      <c r="C503" s="64"/>
      <c r="E503" s="64"/>
      <c r="F503" s="64"/>
      <c r="G503" s="64"/>
      <c r="AH503" s="162"/>
      <c r="AI503" s="162"/>
      <c r="AJ503" s="162"/>
      <c r="AK503" s="162"/>
      <c r="BS503" s="131"/>
      <c r="BT503" s="131"/>
      <c r="BU503" s="131"/>
      <c r="BV503" s="131"/>
      <c r="BW503" s="131"/>
      <c r="BX503" s="131"/>
      <c r="BY503" s="131"/>
      <c r="BZ503" s="131"/>
      <c r="CA503" s="131"/>
      <c r="CB503" s="131"/>
      <c r="CC503" s="131"/>
      <c r="CD503" s="131"/>
      <c r="CE503" s="131"/>
      <c r="CF503" s="131"/>
      <c r="CG503" s="131"/>
      <c r="CH503" s="131"/>
    </row>
    <row r="504" ht="18.75" customHeight="1">
      <c r="C504" s="64"/>
      <c r="E504" s="64"/>
      <c r="F504" s="64"/>
      <c r="G504" s="64"/>
      <c r="AH504" s="162"/>
      <c r="AI504" s="162"/>
      <c r="AJ504" s="162"/>
      <c r="AK504" s="162"/>
      <c r="BS504" s="131"/>
      <c r="BT504" s="131"/>
      <c r="BU504" s="131"/>
      <c r="BV504" s="131"/>
      <c r="BW504" s="131"/>
      <c r="BX504" s="131"/>
      <c r="BY504" s="131"/>
      <c r="BZ504" s="131"/>
      <c r="CA504" s="131"/>
      <c r="CB504" s="131"/>
      <c r="CC504" s="131"/>
      <c r="CD504" s="131"/>
      <c r="CE504" s="131"/>
      <c r="CF504" s="131"/>
      <c r="CG504" s="131"/>
      <c r="CH504" s="131"/>
    </row>
    <row r="505" ht="18.75" customHeight="1">
      <c r="C505" s="64"/>
      <c r="E505" s="64"/>
      <c r="F505" s="64"/>
      <c r="G505" s="64"/>
      <c r="AH505" s="162"/>
      <c r="AI505" s="162"/>
      <c r="AJ505" s="162"/>
      <c r="AK505" s="162"/>
      <c r="BS505" s="131"/>
      <c r="BT505" s="131"/>
      <c r="BU505" s="131"/>
      <c r="BV505" s="131"/>
      <c r="BW505" s="131"/>
      <c r="BX505" s="131"/>
      <c r="BY505" s="131"/>
      <c r="BZ505" s="131"/>
      <c r="CA505" s="131"/>
      <c r="CB505" s="131"/>
      <c r="CC505" s="131"/>
      <c r="CD505" s="131"/>
      <c r="CE505" s="131"/>
      <c r="CF505" s="131"/>
      <c r="CG505" s="131"/>
      <c r="CH505" s="131"/>
    </row>
    <row r="506" ht="18.75" customHeight="1">
      <c r="C506" s="64"/>
      <c r="E506" s="64"/>
      <c r="F506" s="64"/>
      <c r="G506" s="64"/>
      <c r="AH506" s="162"/>
      <c r="AI506" s="162"/>
      <c r="AJ506" s="162"/>
      <c r="AK506" s="162"/>
      <c r="BS506" s="131"/>
      <c r="BT506" s="131"/>
      <c r="BU506" s="131"/>
      <c r="BV506" s="131"/>
      <c r="BW506" s="131"/>
      <c r="BX506" s="131"/>
      <c r="BY506" s="131"/>
      <c r="BZ506" s="131"/>
      <c r="CA506" s="131"/>
      <c r="CB506" s="131"/>
      <c r="CC506" s="131"/>
      <c r="CD506" s="131"/>
      <c r="CE506" s="131"/>
      <c r="CF506" s="131"/>
      <c r="CG506" s="131"/>
      <c r="CH506" s="131"/>
    </row>
    <row r="507" ht="18.75" customHeight="1">
      <c r="C507" s="64"/>
      <c r="E507" s="64"/>
      <c r="F507" s="64"/>
      <c r="G507" s="64"/>
      <c r="AH507" s="162"/>
      <c r="AI507" s="162"/>
      <c r="AJ507" s="162"/>
      <c r="AK507" s="162"/>
      <c r="BS507" s="131"/>
      <c r="BT507" s="131"/>
      <c r="BU507" s="131"/>
      <c r="BV507" s="131"/>
      <c r="BW507" s="131"/>
      <c r="BX507" s="131"/>
      <c r="BY507" s="131"/>
      <c r="BZ507" s="131"/>
      <c r="CA507" s="131"/>
      <c r="CB507" s="131"/>
      <c r="CC507" s="131"/>
      <c r="CD507" s="131"/>
      <c r="CE507" s="131"/>
      <c r="CF507" s="131"/>
      <c r="CG507" s="131"/>
      <c r="CH507" s="131"/>
    </row>
    <row r="508" ht="18.75" customHeight="1">
      <c r="C508" s="64"/>
      <c r="E508" s="64"/>
      <c r="F508" s="64"/>
      <c r="G508" s="64"/>
      <c r="AH508" s="162"/>
      <c r="AI508" s="162"/>
      <c r="AJ508" s="162"/>
      <c r="AK508" s="162"/>
      <c r="BS508" s="131"/>
      <c r="BT508" s="131"/>
      <c r="BU508" s="131"/>
      <c r="BV508" s="131"/>
      <c r="BW508" s="131"/>
      <c r="BX508" s="131"/>
      <c r="BY508" s="131"/>
      <c r="BZ508" s="131"/>
      <c r="CA508" s="131"/>
      <c r="CB508" s="131"/>
      <c r="CC508" s="131"/>
      <c r="CD508" s="131"/>
      <c r="CE508" s="131"/>
      <c r="CF508" s="131"/>
      <c r="CG508" s="131"/>
      <c r="CH508" s="131"/>
    </row>
    <row r="509" ht="18.75" customHeight="1">
      <c r="C509" s="64"/>
      <c r="E509" s="64"/>
      <c r="F509" s="64"/>
      <c r="G509" s="64"/>
      <c r="AH509" s="162"/>
      <c r="AI509" s="162"/>
      <c r="AJ509" s="162"/>
      <c r="AK509" s="162"/>
      <c r="BS509" s="131"/>
      <c r="BT509" s="131"/>
      <c r="BU509" s="131"/>
      <c r="BV509" s="131"/>
      <c r="BW509" s="131"/>
      <c r="BX509" s="131"/>
      <c r="BY509" s="131"/>
      <c r="BZ509" s="131"/>
      <c r="CA509" s="131"/>
      <c r="CB509" s="131"/>
      <c r="CC509" s="131"/>
      <c r="CD509" s="131"/>
      <c r="CE509" s="131"/>
      <c r="CF509" s="131"/>
      <c r="CG509" s="131"/>
      <c r="CH509" s="131"/>
    </row>
    <row r="510" ht="18.75" customHeight="1">
      <c r="C510" s="64"/>
      <c r="E510" s="64"/>
      <c r="F510" s="64"/>
      <c r="G510" s="64"/>
      <c r="AH510" s="162"/>
      <c r="AI510" s="162"/>
      <c r="AJ510" s="162"/>
      <c r="AK510" s="162"/>
      <c r="BS510" s="131"/>
      <c r="BT510" s="131"/>
      <c r="BU510" s="131"/>
      <c r="BV510" s="131"/>
      <c r="BW510" s="131"/>
      <c r="BX510" s="131"/>
      <c r="BY510" s="131"/>
      <c r="BZ510" s="131"/>
      <c r="CA510" s="131"/>
      <c r="CB510" s="131"/>
      <c r="CC510" s="131"/>
      <c r="CD510" s="131"/>
      <c r="CE510" s="131"/>
      <c r="CF510" s="131"/>
      <c r="CG510" s="131"/>
      <c r="CH510" s="131"/>
    </row>
    <row r="511" ht="18.75" customHeight="1">
      <c r="C511" s="64"/>
      <c r="E511" s="64"/>
      <c r="F511" s="64"/>
      <c r="G511" s="64"/>
      <c r="AH511" s="162"/>
      <c r="AI511" s="162"/>
      <c r="AJ511" s="162"/>
      <c r="AK511" s="162"/>
      <c r="BS511" s="131"/>
      <c r="BT511" s="131"/>
      <c r="BU511" s="131"/>
      <c r="BV511" s="131"/>
      <c r="BW511" s="131"/>
      <c r="BX511" s="131"/>
      <c r="BY511" s="131"/>
      <c r="BZ511" s="131"/>
      <c r="CA511" s="131"/>
      <c r="CB511" s="131"/>
      <c r="CC511" s="131"/>
      <c r="CD511" s="131"/>
      <c r="CE511" s="131"/>
      <c r="CF511" s="131"/>
      <c r="CG511" s="131"/>
      <c r="CH511" s="131"/>
    </row>
    <row r="512" ht="18.75" customHeight="1">
      <c r="C512" s="64"/>
      <c r="E512" s="64"/>
      <c r="F512" s="64"/>
      <c r="G512" s="64"/>
      <c r="AH512" s="162"/>
      <c r="AI512" s="162"/>
      <c r="AJ512" s="162"/>
      <c r="AK512" s="162"/>
      <c r="BS512" s="131"/>
      <c r="BT512" s="131"/>
      <c r="BU512" s="131"/>
      <c r="BV512" s="131"/>
      <c r="BW512" s="131"/>
      <c r="BX512" s="131"/>
      <c r="BY512" s="131"/>
      <c r="BZ512" s="131"/>
      <c r="CA512" s="131"/>
      <c r="CB512" s="131"/>
      <c r="CC512" s="131"/>
      <c r="CD512" s="131"/>
      <c r="CE512" s="131"/>
      <c r="CF512" s="131"/>
      <c r="CG512" s="131"/>
      <c r="CH512" s="131"/>
    </row>
    <row r="513" ht="18.75" customHeight="1">
      <c r="C513" s="64"/>
      <c r="E513" s="64"/>
      <c r="F513" s="64"/>
      <c r="G513" s="64"/>
      <c r="AH513" s="162"/>
      <c r="AI513" s="162"/>
      <c r="AJ513" s="162"/>
      <c r="AK513" s="162"/>
      <c r="BS513" s="131"/>
      <c r="BT513" s="131"/>
      <c r="BU513" s="131"/>
      <c r="BV513" s="131"/>
      <c r="BW513" s="131"/>
      <c r="BX513" s="131"/>
      <c r="BY513" s="131"/>
      <c r="BZ513" s="131"/>
      <c r="CA513" s="131"/>
      <c r="CB513" s="131"/>
      <c r="CC513" s="131"/>
      <c r="CD513" s="131"/>
      <c r="CE513" s="131"/>
      <c r="CF513" s="131"/>
      <c r="CG513" s="131"/>
      <c r="CH513" s="131"/>
    </row>
    <row r="514" ht="18.75" customHeight="1">
      <c r="C514" s="64"/>
      <c r="E514" s="64"/>
      <c r="F514" s="64"/>
      <c r="G514" s="64"/>
      <c r="AH514" s="162"/>
      <c r="AI514" s="162"/>
      <c r="AJ514" s="162"/>
      <c r="AK514" s="162"/>
      <c r="BS514" s="131"/>
      <c r="BT514" s="131"/>
      <c r="BU514" s="131"/>
      <c r="BV514" s="131"/>
      <c r="BW514" s="131"/>
      <c r="BX514" s="131"/>
      <c r="BY514" s="131"/>
      <c r="BZ514" s="131"/>
      <c r="CA514" s="131"/>
      <c r="CB514" s="131"/>
      <c r="CC514" s="131"/>
      <c r="CD514" s="131"/>
      <c r="CE514" s="131"/>
      <c r="CF514" s="131"/>
      <c r="CG514" s="131"/>
      <c r="CH514" s="131"/>
    </row>
    <row r="515" ht="18.75" customHeight="1">
      <c r="C515" s="64"/>
      <c r="E515" s="64"/>
      <c r="F515" s="64"/>
      <c r="G515" s="64"/>
      <c r="AH515" s="162"/>
      <c r="AI515" s="162"/>
      <c r="AJ515" s="162"/>
      <c r="AK515" s="162"/>
      <c r="BS515" s="131"/>
      <c r="BT515" s="131"/>
      <c r="BU515" s="131"/>
      <c r="BV515" s="131"/>
      <c r="BW515" s="131"/>
      <c r="BX515" s="131"/>
      <c r="BY515" s="131"/>
      <c r="BZ515" s="131"/>
      <c r="CA515" s="131"/>
      <c r="CB515" s="131"/>
      <c r="CC515" s="131"/>
      <c r="CD515" s="131"/>
      <c r="CE515" s="131"/>
      <c r="CF515" s="131"/>
      <c r="CG515" s="131"/>
      <c r="CH515" s="131"/>
    </row>
    <row r="516" ht="18.75" customHeight="1">
      <c r="C516" s="64"/>
      <c r="E516" s="64"/>
      <c r="F516" s="64"/>
      <c r="G516" s="64"/>
      <c r="AH516" s="162"/>
      <c r="AI516" s="162"/>
      <c r="AJ516" s="162"/>
      <c r="AK516" s="162"/>
      <c r="BS516" s="131"/>
      <c r="BT516" s="131"/>
      <c r="BU516" s="131"/>
      <c r="BV516" s="131"/>
      <c r="BW516" s="131"/>
      <c r="BX516" s="131"/>
      <c r="BY516" s="131"/>
      <c r="BZ516" s="131"/>
      <c r="CA516" s="131"/>
      <c r="CB516" s="131"/>
      <c r="CC516" s="131"/>
      <c r="CD516" s="131"/>
      <c r="CE516" s="131"/>
      <c r="CF516" s="131"/>
      <c r="CG516" s="131"/>
      <c r="CH516" s="131"/>
    </row>
    <row r="517" ht="18.75" customHeight="1">
      <c r="C517" s="64"/>
      <c r="E517" s="64"/>
      <c r="F517" s="64"/>
      <c r="G517" s="64"/>
      <c r="AH517" s="162"/>
      <c r="AI517" s="162"/>
      <c r="AJ517" s="162"/>
      <c r="AK517" s="162"/>
      <c r="BS517" s="131"/>
      <c r="BT517" s="131"/>
      <c r="BU517" s="131"/>
      <c r="BV517" s="131"/>
      <c r="BW517" s="131"/>
      <c r="BX517" s="131"/>
      <c r="BY517" s="131"/>
      <c r="BZ517" s="131"/>
      <c r="CA517" s="131"/>
      <c r="CB517" s="131"/>
      <c r="CC517" s="131"/>
      <c r="CD517" s="131"/>
      <c r="CE517" s="131"/>
      <c r="CF517" s="131"/>
      <c r="CG517" s="131"/>
      <c r="CH517" s="131"/>
    </row>
    <row r="518" ht="18.75" customHeight="1">
      <c r="C518" s="64"/>
      <c r="E518" s="64"/>
      <c r="F518" s="64"/>
      <c r="G518" s="64"/>
      <c r="AH518" s="162"/>
      <c r="AI518" s="162"/>
      <c r="AJ518" s="162"/>
      <c r="AK518" s="162"/>
      <c r="BS518" s="131"/>
      <c r="BT518" s="131"/>
      <c r="BU518" s="131"/>
      <c r="BV518" s="131"/>
      <c r="BW518" s="131"/>
      <c r="BX518" s="131"/>
      <c r="BY518" s="131"/>
      <c r="BZ518" s="131"/>
      <c r="CA518" s="131"/>
      <c r="CB518" s="131"/>
      <c r="CC518" s="131"/>
      <c r="CD518" s="131"/>
      <c r="CE518" s="131"/>
      <c r="CF518" s="131"/>
      <c r="CG518" s="131"/>
      <c r="CH518" s="131"/>
    </row>
    <row r="519" ht="18.75" customHeight="1">
      <c r="C519" s="64"/>
      <c r="E519" s="64"/>
      <c r="F519" s="64"/>
      <c r="G519" s="64"/>
      <c r="AH519" s="162"/>
      <c r="AI519" s="162"/>
      <c r="AJ519" s="162"/>
      <c r="AK519" s="162"/>
      <c r="BS519" s="131"/>
      <c r="BT519" s="131"/>
      <c r="BU519" s="131"/>
      <c r="BV519" s="131"/>
      <c r="BW519" s="131"/>
      <c r="BX519" s="131"/>
      <c r="BY519" s="131"/>
      <c r="BZ519" s="131"/>
      <c r="CA519" s="131"/>
      <c r="CB519" s="131"/>
      <c r="CC519" s="131"/>
      <c r="CD519" s="131"/>
      <c r="CE519" s="131"/>
      <c r="CF519" s="131"/>
      <c r="CG519" s="131"/>
      <c r="CH519" s="131"/>
    </row>
    <row r="520" ht="18.75" customHeight="1">
      <c r="C520" s="64"/>
      <c r="E520" s="64"/>
      <c r="F520" s="64"/>
      <c r="G520" s="64"/>
      <c r="AH520" s="162"/>
      <c r="AI520" s="162"/>
      <c r="AJ520" s="162"/>
      <c r="AK520" s="162"/>
      <c r="BS520" s="131"/>
      <c r="BT520" s="131"/>
      <c r="BU520" s="131"/>
      <c r="BV520" s="131"/>
      <c r="BW520" s="131"/>
      <c r="BX520" s="131"/>
      <c r="BY520" s="131"/>
      <c r="BZ520" s="131"/>
      <c r="CA520" s="131"/>
      <c r="CB520" s="131"/>
      <c r="CC520" s="131"/>
      <c r="CD520" s="131"/>
      <c r="CE520" s="131"/>
      <c r="CF520" s="131"/>
      <c r="CG520" s="131"/>
      <c r="CH520" s="131"/>
    </row>
    <row r="521" ht="18.75" customHeight="1">
      <c r="C521" s="64"/>
      <c r="E521" s="64"/>
      <c r="F521" s="64"/>
      <c r="G521" s="64"/>
      <c r="AH521" s="162"/>
      <c r="AI521" s="162"/>
      <c r="AJ521" s="162"/>
      <c r="AK521" s="162"/>
      <c r="BS521" s="131"/>
      <c r="BT521" s="131"/>
      <c r="BU521" s="131"/>
      <c r="BV521" s="131"/>
      <c r="BW521" s="131"/>
      <c r="BX521" s="131"/>
      <c r="BY521" s="131"/>
      <c r="BZ521" s="131"/>
      <c r="CA521" s="131"/>
      <c r="CB521" s="131"/>
      <c r="CC521" s="131"/>
      <c r="CD521" s="131"/>
      <c r="CE521" s="131"/>
      <c r="CF521" s="131"/>
      <c r="CG521" s="131"/>
      <c r="CH521" s="131"/>
    </row>
    <row r="522" ht="18.75" customHeight="1">
      <c r="C522" s="64"/>
      <c r="E522" s="64"/>
      <c r="F522" s="64"/>
      <c r="G522" s="64"/>
      <c r="AH522" s="162"/>
      <c r="AI522" s="162"/>
      <c r="AJ522" s="162"/>
      <c r="AK522" s="162"/>
      <c r="BS522" s="131"/>
      <c r="BT522" s="131"/>
      <c r="BU522" s="131"/>
      <c r="BV522" s="131"/>
      <c r="BW522" s="131"/>
      <c r="BX522" s="131"/>
      <c r="BY522" s="131"/>
      <c r="BZ522" s="131"/>
      <c r="CA522" s="131"/>
      <c r="CB522" s="131"/>
      <c r="CC522" s="131"/>
      <c r="CD522" s="131"/>
      <c r="CE522" s="131"/>
      <c r="CF522" s="131"/>
      <c r="CG522" s="131"/>
      <c r="CH522" s="131"/>
    </row>
    <row r="523" ht="18.75" customHeight="1">
      <c r="C523" s="64"/>
      <c r="E523" s="64"/>
      <c r="F523" s="64"/>
      <c r="G523" s="64"/>
      <c r="AH523" s="162"/>
      <c r="AI523" s="162"/>
      <c r="AJ523" s="162"/>
      <c r="AK523" s="162"/>
      <c r="BS523" s="131"/>
      <c r="BT523" s="131"/>
      <c r="BU523" s="131"/>
      <c r="BV523" s="131"/>
      <c r="BW523" s="131"/>
      <c r="BX523" s="131"/>
      <c r="BY523" s="131"/>
      <c r="BZ523" s="131"/>
      <c r="CA523" s="131"/>
      <c r="CB523" s="131"/>
      <c r="CC523" s="131"/>
      <c r="CD523" s="131"/>
      <c r="CE523" s="131"/>
      <c r="CF523" s="131"/>
      <c r="CG523" s="131"/>
      <c r="CH523" s="131"/>
    </row>
    <row r="524" ht="18.75" customHeight="1">
      <c r="C524" s="64"/>
      <c r="E524" s="64"/>
      <c r="F524" s="64"/>
      <c r="G524" s="64"/>
      <c r="AH524" s="162"/>
      <c r="AI524" s="162"/>
      <c r="AJ524" s="162"/>
      <c r="AK524" s="162"/>
      <c r="BS524" s="131"/>
      <c r="BT524" s="131"/>
      <c r="BU524" s="131"/>
      <c r="BV524" s="131"/>
      <c r="BW524" s="131"/>
      <c r="BX524" s="131"/>
      <c r="BY524" s="131"/>
      <c r="BZ524" s="131"/>
      <c r="CA524" s="131"/>
      <c r="CB524" s="131"/>
      <c r="CC524" s="131"/>
      <c r="CD524" s="131"/>
      <c r="CE524" s="131"/>
      <c r="CF524" s="131"/>
      <c r="CG524" s="131"/>
      <c r="CH524" s="131"/>
    </row>
    <row r="525" ht="18.75" customHeight="1">
      <c r="C525" s="64"/>
      <c r="E525" s="64"/>
      <c r="F525" s="64"/>
      <c r="G525" s="64"/>
      <c r="AH525" s="162"/>
      <c r="AI525" s="162"/>
      <c r="AJ525" s="162"/>
      <c r="AK525" s="162"/>
      <c r="BS525" s="131"/>
      <c r="BT525" s="131"/>
      <c r="BU525" s="131"/>
      <c r="BV525" s="131"/>
      <c r="BW525" s="131"/>
      <c r="BX525" s="131"/>
      <c r="BY525" s="131"/>
      <c r="BZ525" s="131"/>
      <c r="CA525" s="131"/>
      <c r="CB525" s="131"/>
      <c r="CC525" s="131"/>
      <c r="CD525" s="131"/>
      <c r="CE525" s="131"/>
      <c r="CF525" s="131"/>
      <c r="CG525" s="131"/>
      <c r="CH525" s="131"/>
    </row>
    <row r="526" ht="18.75" customHeight="1">
      <c r="C526" s="64"/>
      <c r="E526" s="64"/>
      <c r="F526" s="64"/>
      <c r="G526" s="64"/>
      <c r="AH526" s="162"/>
      <c r="AI526" s="162"/>
      <c r="AJ526" s="162"/>
      <c r="AK526" s="162"/>
      <c r="BS526" s="131"/>
      <c r="BT526" s="131"/>
      <c r="BU526" s="131"/>
      <c r="BV526" s="131"/>
      <c r="BW526" s="131"/>
      <c r="BX526" s="131"/>
      <c r="BY526" s="131"/>
      <c r="BZ526" s="131"/>
      <c r="CA526" s="131"/>
      <c r="CB526" s="131"/>
      <c r="CC526" s="131"/>
      <c r="CD526" s="131"/>
      <c r="CE526" s="131"/>
      <c r="CF526" s="131"/>
      <c r="CG526" s="131"/>
      <c r="CH526" s="131"/>
    </row>
    <row r="527" ht="18.75" customHeight="1">
      <c r="C527" s="64"/>
      <c r="E527" s="64"/>
      <c r="F527" s="64"/>
      <c r="G527" s="64"/>
      <c r="AH527" s="162"/>
      <c r="AI527" s="162"/>
      <c r="AJ527" s="162"/>
      <c r="AK527" s="162"/>
      <c r="BS527" s="131"/>
      <c r="BT527" s="131"/>
      <c r="BU527" s="131"/>
      <c r="BV527" s="131"/>
      <c r="BW527" s="131"/>
      <c r="BX527" s="131"/>
      <c r="BY527" s="131"/>
      <c r="BZ527" s="131"/>
      <c r="CA527" s="131"/>
      <c r="CB527" s="131"/>
      <c r="CC527" s="131"/>
      <c r="CD527" s="131"/>
      <c r="CE527" s="131"/>
      <c r="CF527" s="131"/>
      <c r="CG527" s="131"/>
      <c r="CH527" s="131"/>
    </row>
    <row r="528" ht="18.75" customHeight="1">
      <c r="C528" s="64"/>
      <c r="E528" s="64"/>
      <c r="F528" s="64"/>
      <c r="G528" s="64"/>
      <c r="AH528" s="162"/>
      <c r="AI528" s="162"/>
      <c r="AJ528" s="162"/>
      <c r="AK528" s="162"/>
      <c r="BS528" s="131"/>
      <c r="BT528" s="131"/>
      <c r="BU528" s="131"/>
      <c r="BV528" s="131"/>
      <c r="BW528" s="131"/>
      <c r="BX528" s="131"/>
      <c r="BY528" s="131"/>
      <c r="BZ528" s="131"/>
      <c r="CA528" s="131"/>
      <c r="CB528" s="131"/>
      <c r="CC528" s="131"/>
      <c r="CD528" s="131"/>
      <c r="CE528" s="131"/>
      <c r="CF528" s="131"/>
      <c r="CG528" s="131"/>
      <c r="CH528" s="131"/>
    </row>
    <row r="529" ht="18.75" customHeight="1">
      <c r="C529" s="64"/>
      <c r="E529" s="64"/>
      <c r="F529" s="64"/>
      <c r="G529" s="64"/>
      <c r="AH529" s="162"/>
      <c r="AI529" s="162"/>
      <c r="AJ529" s="162"/>
      <c r="AK529" s="162"/>
      <c r="BS529" s="131"/>
      <c r="BT529" s="131"/>
      <c r="BU529" s="131"/>
      <c r="BV529" s="131"/>
      <c r="BW529" s="131"/>
      <c r="BX529" s="131"/>
      <c r="BY529" s="131"/>
      <c r="BZ529" s="131"/>
      <c r="CA529" s="131"/>
      <c r="CB529" s="131"/>
      <c r="CC529" s="131"/>
      <c r="CD529" s="131"/>
      <c r="CE529" s="131"/>
      <c r="CF529" s="131"/>
      <c r="CG529" s="131"/>
      <c r="CH529" s="131"/>
    </row>
    <row r="530" ht="18.75" customHeight="1">
      <c r="C530" s="64"/>
      <c r="E530" s="64"/>
      <c r="F530" s="64"/>
      <c r="G530" s="64"/>
      <c r="AH530" s="162"/>
      <c r="AI530" s="162"/>
      <c r="AJ530" s="162"/>
      <c r="AK530" s="162"/>
      <c r="BS530" s="131"/>
      <c r="BT530" s="131"/>
      <c r="BU530" s="131"/>
      <c r="BV530" s="131"/>
      <c r="BW530" s="131"/>
      <c r="BX530" s="131"/>
      <c r="BY530" s="131"/>
      <c r="BZ530" s="131"/>
      <c r="CA530" s="131"/>
      <c r="CB530" s="131"/>
      <c r="CC530" s="131"/>
      <c r="CD530" s="131"/>
      <c r="CE530" s="131"/>
      <c r="CF530" s="131"/>
      <c r="CG530" s="131"/>
      <c r="CH530" s="131"/>
    </row>
    <row r="531" ht="18.75" customHeight="1">
      <c r="C531" s="64"/>
      <c r="E531" s="64"/>
      <c r="F531" s="64"/>
      <c r="G531" s="64"/>
      <c r="AH531" s="162"/>
      <c r="AI531" s="162"/>
      <c r="AJ531" s="162"/>
      <c r="AK531" s="162"/>
      <c r="BS531" s="131"/>
      <c r="BT531" s="131"/>
      <c r="BU531" s="131"/>
      <c r="BV531" s="131"/>
      <c r="BW531" s="131"/>
      <c r="BX531" s="131"/>
      <c r="BY531" s="131"/>
      <c r="BZ531" s="131"/>
      <c r="CA531" s="131"/>
      <c r="CB531" s="131"/>
      <c r="CC531" s="131"/>
      <c r="CD531" s="131"/>
      <c r="CE531" s="131"/>
      <c r="CF531" s="131"/>
      <c r="CG531" s="131"/>
      <c r="CH531" s="131"/>
    </row>
    <row r="532" ht="18.75" customHeight="1">
      <c r="C532" s="64"/>
      <c r="E532" s="64"/>
      <c r="F532" s="64"/>
      <c r="G532" s="64"/>
      <c r="AH532" s="162"/>
      <c r="AI532" s="162"/>
      <c r="AJ532" s="162"/>
      <c r="AK532" s="162"/>
      <c r="BS532" s="131"/>
      <c r="BT532" s="131"/>
      <c r="BU532" s="131"/>
      <c r="BV532" s="131"/>
      <c r="BW532" s="131"/>
      <c r="BX532" s="131"/>
      <c r="BY532" s="131"/>
      <c r="BZ532" s="131"/>
      <c r="CA532" s="131"/>
      <c r="CB532" s="131"/>
      <c r="CC532" s="131"/>
      <c r="CD532" s="131"/>
      <c r="CE532" s="131"/>
      <c r="CF532" s="131"/>
      <c r="CG532" s="131"/>
      <c r="CH532" s="131"/>
    </row>
    <row r="533" ht="18.75" customHeight="1">
      <c r="C533" s="64"/>
      <c r="E533" s="64"/>
      <c r="F533" s="64"/>
      <c r="G533" s="64"/>
      <c r="AH533" s="162"/>
      <c r="AI533" s="162"/>
      <c r="AJ533" s="162"/>
      <c r="AK533" s="162"/>
      <c r="BS533" s="131"/>
      <c r="BT533" s="131"/>
      <c r="BU533" s="131"/>
      <c r="BV533" s="131"/>
      <c r="BW533" s="131"/>
      <c r="BX533" s="131"/>
      <c r="BY533" s="131"/>
      <c r="BZ533" s="131"/>
      <c r="CA533" s="131"/>
      <c r="CB533" s="131"/>
      <c r="CC533" s="131"/>
      <c r="CD533" s="131"/>
      <c r="CE533" s="131"/>
      <c r="CF533" s="131"/>
      <c r="CG533" s="131"/>
      <c r="CH533" s="131"/>
    </row>
    <row r="534" ht="18.75" customHeight="1">
      <c r="C534" s="64"/>
      <c r="E534" s="64"/>
      <c r="F534" s="64"/>
      <c r="G534" s="64"/>
      <c r="AH534" s="162"/>
      <c r="AI534" s="162"/>
      <c r="AJ534" s="162"/>
      <c r="AK534" s="162"/>
      <c r="BS534" s="131"/>
      <c r="BT534" s="131"/>
      <c r="BU534" s="131"/>
      <c r="BV534" s="131"/>
      <c r="BW534" s="131"/>
      <c r="BX534" s="131"/>
      <c r="BY534" s="131"/>
      <c r="BZ534" s="131"/>
      <c r="CA534" s="131"/>
      <c r="CB534" s="131"/>
      <c r="CC534" s="131"/>
      <c r="CD534" s="131"/>
      <c r="CE534" s="131"/>
      <c r="CF534" s="131"/>
      <c r="CG534" s="131"/>
      <c r="CH534" s="131"/>
    </row>
    <row r="535" ht="18.75" customHeight="1">
      <c r="C535" s="64"/>
      <c r="E535" s="64"/>
      <c r="F535" s="64"/>
      <c r="G535" s="64"/>
      <c r="AH535" s="162"/>
      <c r="AI535" s="162"/>
      <c r="AJ535" s="162"/>
      <c r="AK535" s="162"/>
      <c r="BS535" s="131"/>
      <c r="BT535" s="131"/>
      <c r="BU535" s="131"/>
      <c r="BV535" s="131"/>
      <c r="BW535" s="131"/>
      <c r="BX535" s="131"/>
      <c r="BY535" s="131"/>
      <c r="BZ535" s="131"/>
      <c r="CA535" s="131"/>
      <c r="CB535" s="131"/>
      <c r="CC535" s="131"/>
      <c r="CD535" s="131"/>
      <c r="CE535" s="131"/>
      <c r="CF535" s="131"/>
      <c r="CG535" s="131"/>
      <c r="CH535" s="131"/>
    </row>
    <row r="536" ht="18.75" customHeight="1">
      <c r="C536" s="64"/>
      <c r="E536" s="64"/>
      <c r="F536" s="64"/>
      <c r="G536" s="64"/>
      <c r="AH536" s="162"/>
      <c r="AI536" s="162"/>
      <c r="AJ536" s="162"/>
      <c r="AK536" s="162"/>
      <c r="BS536" s="131"/>
      <c r="BT536" s="131"/>
      <c r="BU536" s="131"/>
      <c r="BV536" s="131"/>
      <c r="BW536" s="131"/>
      <c r="BX536" s="131"/>
      <c r="BY536" s="131"/>
      <c r="BZ536" s="131"/>
      <c r="CA536" s="131"/>
      <c r="CB536" s="131"/>
      <c r="CC536" s="131"/>
      <c r="CD536" s="131"/>
      <c r="CE536" s="131"/>
      <c r="CF536" s="131"/>
      <c r="CG536" s="131"/>
      <c r="CH536" s="131"/>
    </row>
    <row r="537" ht="18.75" customHeight="1">
      <c r="C537" s="64"/>
      <c r="E537" s="64"/>
      <c r="F537" s="64"/>
      <c r="G537" s="64"/>
      <c r="AH537" s="162"/>
      <c r="AI537" s="162"/>
      <c r="AJ537" s="162"/>
      <c r="AK537" s="162"/>
      <c r="BS537" s="131"/>
      <c r="BT537" s="131"/>
      <c r="BU537" s="131"/>
      <c r="BV537" s="131"/>
      <c r="BW537" s="131"/>
      <c r="BX537" s="131"/>
      <c r="BY537" s="131"/>
      <c r="BZ537" s="131"/>
      <c r="CA537" s="131"/>
      <c r="CB537" s="131"/>
      <c r="CC537" s="131"/>
      <c r="CD537" s="131"/>
      <c r="CE537" s="131"/>
      <c r="CF537" s="131"/>
      <c r="CG537" s="131"/>
      <c r="CH537" s="131"/>
    </row>
    <row r="538" ht="18.75" customHeight="1">
      <c r="C538" s="64"/>
      <c r="E538" s="64"/>
      <c r="F538" s="64"/>
      <c r="G538" s="64"/>
      <c r="AH538" s="162"/>
      <c r="AI538" s="162"/>
      <c r="AJ538" s="162"/>
      <c r="AK538" s="162"/>
      <c r="BS538" s="131"/>
      <c r="BT538" s="131"/>
      <c r="BU538" s="131"/>
      <c r="BV538" s="131"/>
      <c r="BW538" s="131"/>
      <c r="BX538" s="131"/>
      <c r="BY538" s="131"/>
      <c r="BZ538" s="131"/>
      <c r="CA538" s="131"/>
      <c r="CB538" s="131"/>
      <c r="CC538" s="131"/>
      <c r="CD538" s="131"/>
      <c r="CE538" s="131"/>
      <c r="CF538" s="131"/>
      <c r="CG538" s="131"/>
      <c r="CH538" s="131"/>
    </row>
    <row r="539" ht="18.75" customHeight="1">
      <c r="C539" s="64"/>
      <c r="E539" s="64"/>
      <c r="F539" s="64"/>
      <c r="G539" s="64"/>
      <c r="AH539" s="162"/>
      <c r="AI539" s="162"/>
      <c r="AJ539" s="162"/>
      <c r="AK539" s="162"/>
      <c r="BS539" s="131"/>
      <c r="BT539" s="131"/>
      <c r="BU539" s="131"/>
      <c r="BV539" s="131"/>
      <c r="BW539" s="131"/>
      <c r="BX539" s="131"/>
      <c r="BY539" s="131"/>
      <c r="BZ539" s="131"/>
      <c r="CA539" s="131"/>
      <c r="CB539" s="131"/>
      <c r="CC539" s="131"/>
      <c r="CD539" s="131"/>
      <c r="CE539" s="131"/>
      <c r="CF539" s="131"/>
      <c r="CG539" s="131"/>
      <c r="CH539" s="131"/>
    </row>
    <row r="540" ht="18.75" customHeight="1">
      <c r="C540" s="64"/>
      <c r="E540" s="64"/>
      <c r="F540" s="64"/>
      <c r="G540" s="64"/>
      <c r="AH540" s="162"/>
      <c r="AI540" s="162"/>
      <c r="AJ540" s="162"/>
      <c r="AK540" s="162"/>
      <c r="BS540" s="131"/>
      <c r="BT540" s="131"/>
      <c r="BU540" s="131"/>
      <c r="BV540" s="131"/>
      <c r="BW540" s="131"/>
      <c r="BX540" s="131"/>
      <c r="BY540" s="131"/>
      <c r="BZ540" s="131"/>
      <c r="CA540" s="131"/>
      <c r="CB540" s="131"/>
      <c r="CC540" s="131"/>
      <c r="CD540" s="131"/>
      <c r="CE540" s="131"/>
      <c r="CF540" s="131"/>
      <c r="CG540" s="131"/>
      <c r="CH540" s="131"/>
    </row>
    <row r="541" ht="18.75" customHeight="1">
      <c r="C541" s="64"/>
      <c r="E541" s="64"/>
      <c r="F541" s="64"/>
      <c r="G541" s="64"/>
      <c r="AH541" s="162"/>
      <c r="AI541" s="162"/>
      <c r="AJ541" s="162"/>
      <c r="AK541" s="162"/>
      <c r="BS541" s="131"/>
      <c r="BT541" s="131"/>
      <c r="BU541" s="131"/>
      <c r="BV541" s="131"/>
      <c r="BW541" s="131"/>
      <c r="BX541" s="131"/>
      <c r="BY541" s="131"/>
      <c r="BZ541" s="131"/>
      <c r="CA541" s="131"/>
      <c r="CB541" s="131"/>
      <c r="CC541" s="131"/>
      <c r="CD541" s="131"/>
      <c r="CE541" s="131"/>
      <c r="CF541" s="131"/>
      <c r="CG541" s="131"/>
      <c r="CH541" s="131"/>
    </row>
    <row r="542" ht="18.75" customHeight="1">
      <c r="C542" s="64"/>
      <c r="E542" s="64"/>
      <c r="F542" s="64"/>
      <c r="G542" s="64"/>
      <c r="AH542" s="162"/>
      <c r="AI542" s="162"/>
      <c r="AJ542" s="162"/>
      <c r="AK542" s="162"/>
      <c r="BS542" s="131"/>
      <c r="BT542" s="131"/>
      <c r="BU542" s="131"/>
      <c r="BV542" s="131"/>
      <c r="BW542" s="131"/>
      <c r="BX542" s="131"/>
      <c r="BY542" s="131"/>
      <c r="BZ542" s="131"/>
      <c r="CA542" s="131"/>
      <c r="CB542" s="131"/>
      <c r="CC542" s="131"/>
      <c r="CD542" s="131"/>
      <c r="CE542" s="131"/>
      <c r="CF542" s="131"/>
      <c r="CG542" s="131"/>
      <c r="CH542" s="131"/>
    </row>
    <row r="543" ht="18.75" customHeight="1">
      <c r="C543" s="64"/>
      <c r="E543" s="64"/>
      <c r="F543" s="64"/>
      <c r="G543" s="64"/>
      <c r="AH543" s="162"/>
      <c r="AI543" s="162"/>
      <c r="AJ543" s="162"/>
      <c r="AK543" s="162"/>
      <c r="BS543" s="131"/>
      <c r="BT543" s="131"/>
      <c r="BU543" s="131"/>
      <c r="BV543" s="131"/>
      <c r="BW543" s="131"/>
      <c r="BX543" s="131"/>
      <c r="BY543" s="131"/>
      <c r="BZ543" s="131"/>
      <c r="CA543" s="131"/>
      <c r="CB543" s="131"/>
      <c r="CC543" s="131"/>
      <c r="CD543" s="131"/>
      <c r="CE543" s="131"/>
      <c r="CF543" s="131"/>
      <c r="CG543" s="131"/>
      <c r="CH543" s="131"/>
    </row>
    <row r="544" ht="18.75" customHeight="1">
      <c r="C544" s="64"/>
      <c r="E544" s="64"/>
      <c r="F544" s="64"/>
      <c r="G544" s="64"/>
      <c r="AH544" s="162"/>
      <c r="AI544" s="162"/>
      <c r="AJ544" s="162"/>
      <c r="AK544" s="162"/>
      <c r="BS544" s="131"/>
      <c r="BT544" s="131"/>
      <c r="BU544" s="131"/>
      <c r="BV544" s="131"/>
      <c r="BW544" s="131"/>
      <c r="BX544" s="131"/>
      <c r="BY544" s="131"/>
      <c r="BZ544" s="131"/>
      <c r="CA544" s="131"/>
      <c r="CB544" s="131"/>
      <c r="CC544" s="131"/>
      <c r="CD544" s="131"/>
      <c r="CE544" s="131"/>
      <c r="CF544" s="131"/>
      <c r="CG544" s="131"/>
      <c r="CH544" s="131"/>
    </row>
    <row r="545" ht="18.75" customHeight="1">
      <c r="C545" s="64"/>
      <c r="E545" s="64"/>
      <c r="F545" s="64"/>
      <c r="G545" s="64"/>
      <c r="AH545" s="162"/>
      <c r="AI545" s="162"/>
      <c r="AJ545" s="162"/>
      <c r="AK545" s="162"/>
      <c r="BS545" s="131"/>
      <c r="BT545" s="131"/>
      <c r="BU545" s="131"/>
      <c r="BV545" s="131"/>
      <c r="BW545" s="131"/>
      <c r="BX545" s="131"/>
      <c r="BY545" s="131"/>
      <c r="BZ545" s="131"/>
      <c r="CA545" s="131"/>
      <c r="CB545" s="131"/>
      <c r="CC545" s="131"/>
      <c r="CD545" s="131"/>
      <c r="CE545" s="131"/>
      <c r="CF545" s="131"/>
      <c r="CG545" s="131"/>
      <c r="CH545" s="131"/>
    </row>
    <row r="546" ht="18.75" customHeight="1">
      <c r="C546" s="64"/>
      <c r="E546" s="64"/>
      <c r="F546" s="64"/>
      <c r="G546" s="64"/>
      <c r="AH546" s="162"/>
      <c r="AI546" s="162"/>
      <c r="AJ546" s="162"/>
      <c r="AK546" s="162"/>
      <c r="BS546" s="131"/>
      <c r="BT546" s="131"/>
      <c r="BU546" s="131"/>
      <c r="BV546" s="131"/>
      <c r="BW546" s="131"/>
      <c r="BX546" s="131"/>
      <c r="BY546" s="131"/>
      <c r="BZ546" s="131"/>
      <c r="CA546" s="131"/>
      <c r="CB546" s="131"/>
      <c r="CC546" s="131"/>
      <c r="CD546" s="131"/>
      <c r="CE546" s="131"/>
      <c r="CF546" s="131"/>
      <c r="CG546" s="131"/>
      <c r="CH546" s="131"/>
    </row>
    <row r="547" ht="18.75" customHeight="1">
      <c r="C547" s="64"/>
      <c r="E547" s="64"/>
      <c r="F547" s="64"/>
      <c r="G547" s="64"/>
      <c r="AH547" s="162"/>
      <c r="AI547" s="162"/>
      <c r="AJ547" s="162"/>
      <c r="AK547" s="162"/>
      <c r="BS547" s="131"/>
      <c r="BT547" s="131"/>
      <c r="BU547" s="131"/>
      <c r="BV547" s="131"/>
      <c r="BW547" s="131"/>
      <c r="BX547" s="131"/>
      <c r="BY547" s="131"/>
      <c r="BZ547" s="131"/>
      <c r="CA547" s="131"/>
      <c r="CB547" s="131"/>
      <c r="CC547" s="131"/>
      <c r="CD547" s="131"/>
      <c r="CE547" s="131"/>
      <c r="CF547" s="131"/>
      <c r="CG547" s="131"/>
      <c r="CH547" s="131"/>
    </row>
    <row r="548" ht="18.75" customHeight="1">
      <c r="C548" s="64"/>
      <c r="E548" s="64"/>
      <c r="F548" s="64"/>
      <c r="G548" s="64"/>
      <c r="AH548" s="162"/>
      <c r="AI548" s="162"/>
      <c r="AJ548" s="162"/>
      <c r="AK548" s="162"/>
      <c r="BS548" s="131"/>
      <c r="BT548" s="131"/>
      <c r="BU548" s="131"/>
      <c r="BV548" s="131"/>
      <c r="BW548" s="131"/>
      <c r="BX548" s="131"/>
      <c r="BY548" s="131"/>
      <c r="BZ548" s="131"/>
      <c r="CA548" s="131"/>
      <c r="CB548" s="131"/>
      <c r="CC548" s="131"/>
      <c r="CD548" s="131"/>
      <c r="CE548" s="131"/>
      <c r="CF548" s="131"/>
      <c r="CG548" s="131"/>
      <c r="CH548" s="131"/>
    </row>
    <row r="549" ht="18.75" customHeight="1">
      <c r="C549" s="64"/>
      <c r="E549" s="64"/>
      <c r="F549" s="64"/>
      <c r="G549" s="64"/>
      <c r="AH549" s="162"/>
      <c r="AI549" s="162"/>
      <c r="AJ549" s="162"/>
      <c r="AK549" s="162"/>
      <c r="BS549" s="131"/>
      <c r="BT549" s="131"/>
      <c r="BU549" s="131"/>
      <c r="BV549" s="131"/>
      <c r="BW549" s="131"/>
      <c r="BX549" s="131"/>
      <c r="BY549" s="131"/>
      <c r="BZ549" s="131"/>
      <c r="CA549" s="131"/>
      <c r="CB549" s="131"/>
      <c r="CC549" s="131"/>
      <c r="CD549" s="131"/>
      <c r="CE549" s="131"/>
      <c r="CF549" s="131"/>
      <c r="CG549" s="131"/>
      <c r="CH549" s="131"/>
    </row>
    <row r="550" ht="18.75" customHeight="1">
      <c r="C550" s="64"/>
      <c r="E550" s="64"/>
      <c r="F550" s="64"/>
      <c r="G550" s="64"/>
      <c r="AH550" s="162"/>
      <c r="AI550" s="162"/>
      <c r="AJ550" s="162"/>
      <c r="AK550" s="162"/>
      <c r="BS550" s="131"/>
      <c r="BT550" s="131"/>
      <c r="BU550" s="131"/>
      <c r="BV550" s="131"/>
      <c r="BW550" s="131"/>
      <c r="BX550" s="131"/>
      <c r="BY550" s="131"/>
      <c r="BZ550" s="131"/>
      <c r="CA550" s="131"/>
      <c r="CB550" s="131"/>
      <c r="CC550" s="131"/>
      <c r="CD550" s="131"/>
      <c r="CE550" s="131"/>
      <c r="CF550" s="131"/>
      <c r="CG550" s="131"/>
      <c r="CH550" s="131"/>
    </row>
    <row r="551" ht="18.75" customHeight="1">
      <c r="C551" s="64"/>
      <c r="E551" s="64"/>
      <c r="F551" s="64"/>
      <c r="G551" s="64"/>
      <c r="AH551" s="162"/>
      <c r="AI551" s="162"/>
      <c r="AJ551" s="162"/>
      <c r="AK551" s="162"/>
      <c r="BS551" s="131"/>
      <c r="BT551" s="131"/>
      <c r="BU551" s="131"/>
      <c r="BV551" s="131"/>
      <c r="BW551" s="131"/>
      <c r="BX551" s="131"/>
      <c r="BY551" s="131"/>
      <c r="BZ551" s="131"/>
      <c r="CA551" s="131"/>
      <c r="CB551" s="131"/>
      <c r="CC551" s="131"/>
      <c r="CD551" s="131"/>
      <c r="CE551" s="131"/>
      <c r="CF551" s="131"/>
      <c r="CG551" s="131"/>
      <c r="CH551" s="131"/>
    </row>
    <row r="552" ht="18.75" customHeight="1">
      <c r="C552" s="64"/>
      <c r="E552" s="64"/>
      <c r="F552" s="64"/>
      <c r="G552" s="64"/>
      <c r="AH552" s="162"/>
      <c r="AI552" s="162"/>
      <c r="AJ552" s="162"/>
      <c r="AK552" s="162"/>
      <c r="BS552" s="131"/>
      <c r="BT552" s="131"/>
      <c r="BU552" s="131"/>
      <c r="BV552" s="131"/>
      <c r="BW552" s="131"/>
      <c r="BX552" s="131"/>
      <c r="BY552" s="131"/>
      <c r="BZ552" s="131"/>
      <c r="CA552" s="131"/>
      <c r="CB552" s="131"/>
      <c r="CC552" s="131"/>
      <c r="CD552" s="131"/>
      <c r="CE552" s="131"/>
      <c r="CF552" s="131"/>
      <c r="CG552" s="131"/>
      <c r="CH552" s="131"/>
    </row>
    <row r="553" ht="18.75" customHeight="1">
      <c r="C553" s="64"/>
      <c r="E553" s="64"/>
      <c r="F553" s="64"/>
      <c r="G553" s="64"/>
      <c r="AH553" s="162"/>
      <c r="AI553" s="162"/>
      <c r="AJ553" s="162"/>
      <c r="AK553" s="162"/>
      <c r="BS553" s="131"/>
      <c r="BT553" s="131"/>
      <c r="BU553" s="131"/>
      <c r="BV553" s="131"/>
      <c r="BW553" s="131"/>
      <c r="BX553" s="131"/>
      <c r="BY553" s="131"/>
      <c r="BZ553" s="131"/>
      <c r="CA553" s="131"/>
      <c r="CB553" s="131"/>
      <c r="CC553" s="131"/>
      <c r="CD553" s="131"/>
      <c r="CE553" s="131"/>
      <c r="CF553" s="131"/>
      <c r="CG553" s="131"/>
      <c r="CH553" s="131"/>
    </row>
    <row r="554" ht="18.75" customHeight="1">
      <c r="C554" s="64"/>
      <c r="E554" s="64"/>
      <c r="F554" s="64"/>
      <c r="G554" s="64"/>
      <c r="AH554" s="162"/>
      <c r="AI554" s="162"/>
      <c r="AJ554" s="162"/>
      <c r="AK554" s="162"/>
      <c r="BS554" s="131"/>
      <c r="BT554" s="131"/>
      <c r="BU554" s="131"/>
      <c r="BV554" s="131"/>
      <c r="BW554" s="131"/>
      <c r="BX554" s="131"/>
      <c r="BY554" s="131"/>
      <c r="BZ554" s="131"/>
      <c r="CA554" s="131"/>
      <c r="CB554" s="131"/>
      <c r="CC554" s="131"/>
      <c r="CD554" s="131"/>
      <c r="CE554" s="131"/>
      <c r="CF554" s="131"/>
      <c r="CG554" s="131"/>
      <c r="CH554" s="131"/>
    </row>
    <row r="555" ht="18.75" customHeight="1">
      <c r="C555" s="64"/>
      <c r="E555" s="64"/>
      <c r="F555" s="64"/>
      <c r="G555" s="64"/>
      <c r="AH555" s="162"/>
      <c r="AI555" s="162"/>
      <c r="AJ555" s="162"/>
      <c r="AK555" s="162"/>
      <c r="BS555" s="131"/>
      <c r="BT555" s="131"/>
      <c r="BU555" s="131"/>
      <c r="BV555" s="131"/>
      <c r="BW555" s="131"/>
      <c r="BX555" s="131"/>
      <c r="BY555" s="131"/>
      <c r="BZ555" s="131"/>
      <c r="CA555" s="131"/>
      <c r="CB555" s="131"/>
      <c r="CC555" s="131"/>
      <c r="CD555" s="131"/>
      <c r="CE555" s="131"/>
      <c r="CF555" s="131"/>
      <c r="CG555" s="131"/>
      <c r="CH555" s="131"/>
    </row>
    <row r="556" ht="18.75" customHeight="1">
      <c r="C556" s="64"/>
      <c r="E556" s="64"/>
      <c r="F556" s="64"/>
      <c r="G556" s="64"/>
      <c r="AH556" s="162"/>
      <c r="AI556" s="162"/>
      <c r="AJ556" s="162"/>
      <c r="AK556" s="162"/>
      <c r="BS556" s="131"/>
      <c r="BT556" s="131"/>
      <c r="BU556" s="131"/>
      <c r="BV556" s="131"/>
      <c r="BW556" s="131"/>
      <c r="BX556" s="131"/>
      <c r="BY556" s="131"/>
      <c r="BZ556" s="131"/>
      <c r="CA556" s="131"/>
      <c r="CB556" s="131"/>
      <c r="CC556" s="131"/>
      <c r="CD556" s="131"/>
      <c r="CE556" s="131"/>
      <c r="CF556" s="131"/>
      <c r="CG556" s="131"/>
      <c r="CH556" s="131"/>
    </row>
    <row r="557" ht="18.75" customHeight="1">
      <c r="C557" s="64"/>
      <c r="E557" s="64"/>
      <c r="F557" s="64"/>
      <c r="G557" s="64"/>
      <c r="AH557" s="162"/>
      <c r="AI557" s="162"/>
      <c r="AJ557" s="162"/>
      <c r="AK557" s="162"/>
      <c r="BS557" s="131"/>
      <c r="BT557" s="131"/>
      <c r="BU557" s="131"/>
      <c r="BV557" s="131"/>
      <c r="BW557" s="131"/>
      <c r="BX557" s="131"/>
      <c r="BY557" s="131"/>
      <c r="BZ557" s="131"/>
      <c r="CA557" s="131"/>
      <c r="CB557" s="131"/>
      <c r="CC557" s="131"/>
      <c r="CD557" s="131"/>
      <c r="CE557" s="131"/>
      <c r="CF557" s="131"/>
      <c r="CG557" s="131"/>
      <c r="CH557" s="131"/>
    </row>
    <row r="558" ht="18.75" customHeight="1">
      <c r="C558" s="64"/>
      <c r="E558" s="64"/>
      <c r="F558" s="64"/>
      <c r="G558" s="64"/>
      <c r="AH558" s="162"/>
      <c r="AI558" s="162"/>
      <c r="AJ558" s="162"/>
      <c r="AK558" s="162"/>
      <c r="BS558" s="131"/>
      <c r="BT558" s="131"/>
      <c r="BU558" s="131"/>
      <c r="BV558" s="131"/>
      <c r="BW558" s="131"/>
      <c r="BX558" s="131"/>
      <c r="BY558" s="131"/>
      <c r="BZ558" s="131"/>
      <c r="CA558" s="131"/>
      <c r="CB558" s="131"/>
      <c r="CC558" s="131"/>
      <c r="CD558" s="131"/>
      <c r="CE558" s="131"/>
      <c r="CF558" s="131"/>
      <c r="CG558" s="131"/>
      <c r="CH558" s="131"/>
    </row>
    <row r="559" ht="18.75" customHeight="1">
      <c r="C559" s="64"/>
      <c r="E559" s="64"/>
      <c r="F559" s="64"/>
      <c r="G559" s="64"/>
      <c r="AH559" s="162"/>
      <c r="AI559" s="162"/>
      <c r="AJ559" s="162"/>
      <c r="AK559" s="162"/>
      <c r="BS559" s="131"/>
      <c r="BT559" s="131"/>
      <c r="BU559" s="131"/>
      <c r="BV559" s="131"/>
      <c r="BW559" s="131"/>
      <c r="BX559" s="131"/>
      <c r="BY559" s="131"/>
      <c r="BZ559" s="131"/>
      <c r="CA559" s="131"/>
      <c r="CB559" s="131"/>
      <c r="CC559" s="131"/>
      <c r="CD559" s="131"/>
      <c r="CE559" s="131"/>
      <c r="CF559" s="131"/>
      <c r="CG559" s="131"/>
      <c r="CH559" s="131"/>
    </row>
    <row r="560" ht="18.75" customHeight="1">
      <c r="C560" s="64"/>
      <c r="E560" s="64"/>
      <c r="F560" s="64"/>
      <c r="G560" s="64"/>
      <c r="AH560" s="162"/>
      <c r="AI560" s="162"/>
      <c r="AJ560" s="162"/>
      <c r="AK560" s="162"/>
      <c r="BS560" s="131"/>
      <c r="BT560" s="131"/>
      <c r="BU560" s="131"/>
      <c r="BV560" s="131"/>
      <c r="BW560" s="131"/>
      <c r="BX560" s="131"/>
      <c r="BY560" s="131"/>
      <c r="BZ560" s="131"/>
      <c r="CA560" s="131"/>
      <c r="CB560" s="131"/>
      <c r="CC560" s="131"/>
      <c r="CD560" s="131"/>
      <c r="CE560" s="131"/>
      <c r="CF560" s="131"/>
      <c r="CG560" s="131"/>
      <c r="CH560" s="131"/>
    </row>
    <row r="561" ht="18.75" customHeight="1">
      <c r="C561" s="64"/>
      <c r="E561" s="64"/>
      <c r="F561" s="64"/>
      <c r="G561" s="64"/>
      <c r="AH561" s="162"/>
      <c r="AI561" s="162"/>
      <c r="AJ561" s="162"/>
      <c r="AK561" s="162"/>
      <c r="BS561" s="131"/>
      <c r="BT561" s="131"/>
      <c r="BU561" s="131"/>
      <c r="BV561" s="131"/>
      <c r="BW561" s="131"/>
      <c r="BX561" s="131"/>
      <c r="BY561" s="131"/>
      <c r="BZ561" s="131"/>
      <c r="CA561" s="131"/>
      <c r="CB561" s="131"/>
      <c r="CC561" s="131"/>
      <c r="CD561" s="131"/>
      <c r="CE561" s="131"/>
      <c r="CF561" s="131"/>
      <c r="CG561" s="131"/>
      <c r="CH561" s="131"/>
    </row>
    <row r="562" ht="18.75" customHeight="1">
      <c r="C562" s="64"/>
      <c r="E562" s="64"/>
      <c r="F562" s="64"/>
      <c r="G562" s="64"/>
      <c r="AH562" s="162"/>
      <c r="AI562" s="162"/>
      <c r="AJ562" s="162"/>
      <c r="AK562" s="162"/>
      <c r="BS562" s="131"/>
      <c r="BT562" s="131"/>
      <c r="BU562" s="131"/>
      <c r="BV562" s="131"/>
      <c r="BW562" s="131"/>
      <c r="BX562" s="131"/>
      <c r="BY562" s="131"/>
      <c r="BZ562" s="131"/>
      <c r="CA562" s="131"/>
      <c r="CB562" s="131"/>
      <c r="CC562" s="131"/>
      <c r="CD562" s="131"/>
      <c r="CE562" s="131"/>
      <c r="CF562" s="131"/>
      <c r="CG562" s="131"/>
      <c r="CH562" s="131"/>
    </row>
    <row r="563" ht="18.75" customHeight="1">
      <c r="C563" s="64"/>
      <c r="E563" s="64"/>
      <c r="F563" s="64"/>
      <c r="G563" s="64"/>
      <c r="AH563" s="162"/>
      <c r="AI563" s="162"/>
      <c r="AJ563" s="162"/>
      <c r="AK563" s="162"/>
      <c r="BS563" s="131"/>
      <c r="BT563" s="131"/>
      <c r="BU563" s="131"/>
      <c r="BV563" s="131"/>
      <c r="BW563" s="131"/>
      <c r="BX563" s="131"/>
      <c r="BY563" s="131"/>
      <c r="BZ563" s="131"/>
      <c r="CA563" s="131"/>
      <c r="CB563" s="131"/>
      <c r="CC563" s="131"/>
      <c r="CD563" s="131"/>
      <c r="CE563" s="131"/>
      <c r="CF563" s="131"/>
      <c r="CG563" s="131"/>
      <c r="CH563" s="131"/>
    </row>
    <row r="564" ht="18.75" customHeight="1">
      <c r="C564" s="64"/>
      <c r="E564" s="64"/>
      <c r="F564" s="64"/>
      <c r="G564" s="64"/>
      <c r="AH564" s="162"/>
      <c r="AI564" s="162"/>
      <c r="AJ564" s="162"/>
      <c r="AK564" s="162"/>
      <c r="BS564" s="131"/>
      <c r="BT564" s="131"/>
      <c r="BU564" s="131"/>
      <c r="BV564" s="131"/>
      <c r="BW564" s="131"/>
      <c r="BX564" s="131"/>
      <c r="BY564" s="131"/>
      <c r="BZ564" s="131"/>
      <c r="CA564" s="131"/>
      <c r="CB564" s="131"/>
      <c r="CC564" s="131"/>
      <c r="CD564" s="131"/>
      <c r="CE564" s="131"/>
      <c r="CF564" s="131"/>
      <c r="CG564" s="131"/>
      <c r="CH564" s="131"/>
    </row>
    <row r="565" ht="18.75" customHeight="1">
      <c r="C565" s="64"/>
      <c r="E565" s="64"/>
      <c r="F565" s="64"/>
      <c r="G565" s="64"/>
      <c r="AH565" s="162"/>
      <c r="AI565" s="162"/>
      <c r="AJ565" s="162"/>
      <c r="AK565" s="162"/>
      <c r="BS565" s="131"/>
      <c r="BT565" s="131"/>
      <c r="BU565" s="131"/>
      <c r="BV565" s="131"/>
      <c r="BW565" s="131"/>
      <c r="BX565" s="131"/>
      <c r="BY565" s="131"/>
      <c r="BZ565" s="131"/>
      <c r="CA565" s="131"/>
      <c r="CB565" s="131"/>
      <c r="CC565" s="131"/>
      <c r="CD565" s="131"/>
      <c r="CE565" s="131"/>
      <c r="CF565" s="131"/>
      <c r="CG565" s="131"/>
      <c r="CH565" s="131"/>
    </row>
    <row r="566" ht="18.75" customHeight="1">
      <c r="C566" s="64"/>
      <c r="E566" s="64"/>
      <c r="F566" s="64"/>
      <c r="G566" s="64"/>
      <c r="AH566" s="162"/>
      <c r="AI566" s="162"/>
      <c r="AJ566" s="162"/>
      <c r="AK566" s="162"/>
      <c r="BS566" s="131"/>
      <c r="BT566" s="131"/>
      <c r="BU566" s="131"/>
      <c r="BV566" s="131"/>
      <c r="BW566" s="131"/>
      <c r="BX566" s="131"/>
      <c r="BY566" s="131"/>
      <c r="BZ566" s="131"/>
      <c r="CA566" s="131"/>
      <c r="CB566" s="131"/>
      <c r="CC566" s="131"/>
      <c r="CD566" s="131"/>
      <c r="CE566" s="131"/>
      <c r="CF566" s="131"/>
      <c r="CG566" s="131"/>
      <c r="CH566" s="131"/>
    </row>
    <row r="567" ht="18.75" customHeight="1">
      <c r="C567" s="64"/>
      <c r="E567" s="64"/>
      <c r="F567" s="64"/>
      <c r="G567" s="64"/>
      <c r="AH567" s="162"/>
      <c r="AI567" s="162"/>
      <c r="AJ567" s="162"/>
      <c r="AK567" s="162"/>
      <c r="BS567" s="131"/>
      <c r="BT567" s="131"/>
      <c r="BU567" s="131"/>
      <c r="BV567" s="131"/>
      <c r="BW567" s="131"/>
      <c r="BX567" s="131"/>
      <c r="BY567" s="131"/>
      <c r="BZ567" s="131"/>
      <c r="CA567" s="131"/>
      <c r="CB567" s="131"/>
      <c r="CC567" s="131"/>
      <c r="CD567" s="131"/>
      <c r="CE567" s="131"/>
      <c r="CF567" s="131"/>
      <c r="CG567" s="131"/>
      <c r="CH567" s="131"/>
    </row>
    <row r="568" ht="18.75" customHeight="1">
      <c r="C568" s="64"/>
      <c r="E568" s="64"/>
      <c r="F568" s="64"/>
      <c r="G568" s="64"/>
      <c r="AH568" s="162"/>
      <c r="AI568" s="162"/>
      <c r="AJ568" s="162"/>
      <c r="AK568" s="162"/>
      <c r="BS568" s="131"/>
      <c r="BT568" s="131"/>
      <c r="BU568" s="131"/>
      <c r="BV568" s="131"/>
      <c r="BW568" s="131"/>
      <c r="BX568" s="131"/>
      <c r="BY568" s="131"/>
      <c r="BZ568" s="131"/>
      <c r="CA568" s="131"/>
      <c r="CB568" s="131"/>
      <c r="CC568" s="131"/>
      <c r="CD568" s="131"/>
      <c r="CE568" s="131"/>
      <c r="CF568" s="131"/>
      <c r="CG568" s="131"/>
      <c r="CH568" s="131"/>
    </row>
    <row r="569" ht="18.75" customHeight="1">
      <c r="C569" s="64"/>
      <c r="E569" s="64"/>
      <c r="F569" s="64"/>
      <c r="G569" s="64"/>
      <c r="AH569" s="162"/>
      <c r="AI569" s="162"/>
      <c r="AJ569" s="162"/>
      <c r="AK569" s="162"/>
      <c r="BS569" s="131"/>
      <c r="BT569" s="131"/>
      <c r="BU569" s="131"/>
      <c r="BV569" s="131"/>
      <c r="BW569" s="131"/>
      <c r="BX569" s="131"/>
      <c r="BY569" s="131"/>
      <c r="BZ569" s="131"/>
      <c r="CA569" s="131"/>
      <c r="CB569" s="131"/>
      <c r="CC569" s="131"/>
      <c r="CD569" s="131"/>
      <c r="CE569" s="131"/>
      <c r="CF569" s="131"/>
      <c r="CG569" s="131"/>
      <c r="CH569" s="131"/>
    </row>
    <row r="570" ht="18.75" customHeight="1">
      <c r="C570" s="64"/>
      <c r="E570" s="64"/>
      <c r="F570" s="64"/>
      <c r="G570" s="64"/>
      <c r="AH570" s="162"/>
      <c r="AI570" s="162"/>
      <c r="AJ570" s="162"/>
      <c r="AK570" s="162"/>
      <c r="BS570" s="131"/>
      <c r="BT570" s="131"/>
      <c r="BU570" s="131"/>
      <c r="BV570" s="131"/>
      <c r="BW570" s="131"/>
      <c r="BX570" s="131"/>
      <c r="BY570" s="131"/>
      <c r="BZ570" s="131"/>
      <c r="CA570" s="131"/>
      <c r="CB570" s="131"/>
      <c r="CC570" s="131"/>
      <c r="CD570" s="131"/>
      <c r="CE570" s="131"/>
      <c r="CF570" s="131"/>
      <c r="CG570" s="131"/>
      <c r="CH570" s="131"/>
    </row>
    <row r="571" ht="18.75" customHeight="1">
      <c r="C571" s="64"/>
      <c r="E571" s="64"/>
      <c r="F571" s="64"/>
      <c r="G571" s="64"/>
      <c r="AH571" s="162"/>
      <c r="AI571" s="162"/>
      <c r="AJ571" s="162"/>
      <c r="AK571" s="162"/>
      <c r="BS571" s="131"/>
      <c r="BT571" s="131"/>
      <c r="BU571" s="131"/>
      <c r="BV571" s="131"/>
      <c r="BW571" s="131"/>
      <c r="BX571" s="131"/>
      <c r="BY571" s="131"/>
      <c r="BZ571" s="131"/>
      <c r="CA571" s="131"/>
      <c r="CB571" s="131"/>
      <c r="CC571" s="131"/>
      <c r="CD571" s="131"/>
      <c r="CE571" s="131"/>
      <c r="CF571" s="131"/>
      <c r="CG571" s="131"/>
      <c r="CH571" s="131"/>
    </row>
    <row r="572" ht="18.75" customHeight="1">
      <c r="C572" s="64"/>
      <c r="E572" s="64"/>
      <c r="F572" s="64"/>
      <c r="G572" s="64"/>
      <c r="AH572" s="162"/>
      <c r="AI572" s="162"/>
      <c r="AJ572" s="162"/>
      <c r="AK572" s="162"/>
      <c r="BS572" s="131"/>
      <c r="BT572" s="131"/>
      <c r="BU572" s="131"/>
      <c r="BV572" s="131"/>
      <c r="BW572" s="131"/>
      <c r="BX572" s="131"/>
      <c r="BY572" s="131"/>
      <c r="BZ572" s="131"/>
      <c r="CA572" s="131"/>
      <c r="CB572" s="131"/>
      <c r="CC572" s="131"/>
      <c r="CD572" s="131"/>
      <c r="CE572" s="131"/>
      <c r="CF572" s="131"/>
      <c r="CG572" s="131"/>
      <c r="CH572" s="131"/>
    </row>
    <row r="573" ht="18.75" customHeight="1">
      <c r="C573" s="64"/>
      <c r="E573" s="64"/>
      <c r="F573" s="64"/>
      <c r="G573" s="64"/>
      <c r="AH573" s="162"/>
      <c r="AI573" s="162"/>
      <c r="AJ573" s="162"/>
      <c r="AK573" s="162"/>
      <c r="BS573" s="131"/>
      <c r="BT573" s="131"/>
      <c r="BU573" s="131"/>
      <c r="BV573" s="131"/>
      <c r="BW573" s="131"/>
      <c r="BX573" s="131"/>
      <c r="BY573" s="131"/>
      <c r="BZ573" s="131"/>
      <c r="CA573" s="131"/>
      <c r="CB573" s="131"/>
      <c r="CC573" s="131"/>
      <c r="CD573" s="131"/>
      <c r="CE573" s="131"/>
      <c r="CF573" s="131"/>
      <c r="CG573" s="131"/>
      <c r="CH573" s="131"/>
    </row>
    <row r="574" ht="18.75" customHeight="1">
      <c r="C574" s="64"/>
      <c r="E574" s="64"/>
      <c r="F574" s="64"/>
      <c r="G574" s="64"/>
      <c r="AH574" s="162"/>
      <c r="AI574" s="162"/>
      <c r="AJ574" s="162"/>
      <c r="AK574" s="162"/>
      <c r="BS574" s="131"/>
      <c r="BT574" s="131"/>
      <c r="BU574" s="131"/>
      <c r="BV574" s="131"/>
      <c r="BW574" s="131"/>
      <c r="BX574" s="131"/>
      <c r="BY574" s="131"/>
      <c r="BZ574" s="131"/>
      <c r="CA574" s="131"/>
      <c r="CB574" s="131"/>
      <c r="CC574" s="131"/>
      <c r="CD574" s="131"/>
      <c r="CE574" s="131"/>
      <c r="CF574" s="131"/>
      <c r="CG574" s="131"/>
      <c r="CH574" s="131"/>
    </row>
    <row r="575" ht="18.75" customHeight="1">
      <c r="C575" s="64"/>
      <c r="E575" s="64"/>
      <c r="F575" s="64"/>
      <c r="G575" s="64"/>
      <c r="AH575" s="162"/>
      <c r="AI575" s="162"/>
      <c r="AJ575" s="162"/>
      <c r="AK575" s="162"/>
      <c r="BS575" s="131"/>
      <c r="BT575" s="131"/>
      <c r="BU575" s="131"/>
      <c r="BV575" s="131"/>
      <c r="BW575" s="131"/>
      <c r="BX575" s="131"/>
      <c r="BY575" s="131"/>
      <c r="BZ575" s="131"/>
      <c r="CA575" s="131"/>
      <c r="CB575" s="131"/>
      <c r="CC575" s="131"/>
      <c r="CD575" s="131"/>
      <c r="CE575" s="131"/>
      <c r="CF575" s="131"/>
      <c r="CG575" s="131"/>
      <c r="CH575" s="131"/>
    </row>
    <row r="576" ht="18.75" customHeight="1">
      <c r="C576" s="64"/>
      <c r="E576" s="64"/>
      <c r="F576" s="64"/>
      <c r="G576" s="64"/>
      <c r="AH576" s="162"/>
      <c r="AI576" s="162"/>
      <c r="AJ576" s="162"/>
      <c r="AK576" s="162"/>
      <c r="BS576" s="131"/>
      <c r="BT576" s="131"/>
      <c r="BU576" s="131"/>
      <c r="BV576" s="131"/>
      <c r="BW576" s="131"/>
      <c r="BX576" s="131"/>
      <c r="BY576" s="131"/>
      <c r="BZ576" s="131"/>
      <c r="CA576" s="131"/>
      <c r="CB576" s="131"/>
      <c r="CC576" s="131"/>
      <c r="CD576" s="131"/>
      <c r="CE576" s="131"/>
      <c r="CF576" s="131"/>
      <c r="CG576" s="131"/>
      <c r="CH576" s="131"/>
    </row>
    <row r="577" ht="18.75" customHeight="1">
      <c r="C577" s="64"/>
      <c r="E577" s="64"/>
      <c r="F577" s="64"/>
      <c r="G577" s="64"/>
      <c r="AH577" s="162"/>
      <c r="AI577" s="162"/>
      <c r="AJ577" s="162"/>
      <c r="AK577" s="162"/>
      <c r="BS577" s="131"/>
      <c r="BT577" s="131"/>
      <c r="BU577" s="131"/>
      <c r="BV577" s="131"/>
      <c r="BW577" s="131"/>
      <c r="BX577" s="131"/>
      <c r="BY577" s="131"/>
      <c r="BZ577" s="131"/>
      <c r="CA577" s="131"/>
      <c r="CB577" s="131"/>
      <c r="CC577" s="131"/>
      <c r="CD577" s="131"/>
      <c r="CE577" s="131"/>
      <c r="CF577" s="131"/>
      <c r="CG577" s="131"/>
      <c r="CH577" s="131"/>
    </row>
    <row r="578" ht="18.75" customHeight="1">
      <c r="C578" s="64"/>
      <c r="E578" s="64"/>
      <c r="F578" s="64"/>
      <c r="G578" s="64"/>
      <c r="AH578" s="162"/>
      <c r="AI578" s="162"/>
      <c r="AJ578" s="162"/>
      <c r="AK578" s="162"/>
      <c r="BS578" s="131"/>
      <c r="BT578" s="131"/>
      <c r="BU578" s="131"/>
      <c r="BV578" s="131"/>
      <c r="BW578" s="131"/>
      <c r="BX578" s="131"/>
      <c r="BY578" s="131"/>
      <c r="BZ578" s="131"/>
      <c r="CA578" s="131"/>
      <c r="CB578" s="131"/>
      <c r="CC578" s="131"/>
      <c r="CD578" s="131"/>
      <c r="CE578" s="131"/>
      <c r="CF578" s="131"/>
      <c r="CG578" s="131"/>
      <c r="CH578" s="131"/>
    </row>
    <row r="579" ht="18.75" customHeight="1">
      <c r="C579" s="64"/>
      <c r="E579" s="64"/>
      <c r="F579" s="64"/>
      <c r="G579" s="64"/>
      <c r="AH579" s="162"/>
      <c r="AI579" s="162"/>
      <c r="AJ579" s="162"/>
      <c r="AK579" s="162"/>
      <c r="BS579" s="131"/>
      <c r="BT579" s="131"/>
      <c r="BU579" s="131"/>
      <c r="BV579" s="131"/>
      <c r="BW579" s="131"/>
      <c r="BX579" s="131"/>
      <c r="BY579" s="131"/>
      <c r="BZ579" s="131"/>
      <c r="CA579" s="131"/>
      <c r="CB579" s="131"/>
      <c r="CC579" s="131"/>
      <c r="CD579" s="131"/>
      <c r="CE579" s="131"/>
      <c r="CF579" s="131"/>
      <c r="CG579" s="131"/>
      <c r="CH579" s="131"/>
    </row>
    <row r="580" ht="18.75" customHeight="1">
      <c r="C580" s="64"/>
      <c r="E580" s="64"/>
      <c r="F580" s="64"/>
      <c r="G580" s="64"/>
      <c r="AH580" s="162"/>
      <c r="AI580" s="162"/>
      <c r="AJ580" s="162"/>
      <c r="AK580" s="162"/>
      <c r="BS580" s="131"/>
      <c r="BT580" s="131"/>
      <c r="BU580" s="131"/>
      <c r="BV580" s="131"/>
      <c r="BW580" s="131"/>
      <c r="BX580" s="131"/>
      <c r="BY580" s="131"/>
      <c r="BZ580" s="131"/>
      <c r="CA580" s="131"/>
      <c r="CB580" s="131"/>
      <c r="CC580" s="131"/>
      <c r="CD580" s="131"/>
      <c r="CE580" s="131"/>
      <c r="CF580" s="131"/>
      <c r="CG580" s="131"/>
      <c r="CH580" s="131"/>
    </row>
    <row r="581" ht="18.75" customHeight="1">
      <c r="C581" s="64"/>
      <c r="E581" s="64"/>
      <c r="F581" s="64"/>
      <c r="G581" s="64"/>
      <c r="AH581" s="162"/>
      <c r="AI581" s="162"/>
      <c r="AJ581" s="162"/>
      <c r="AK581" s="162"/>
      <c r="BS581" s="131"/>
      <c r="BT581" s="131"/>
      <c r="BU581" s="131"/>
      <c r="BV581" s="131"/>
      <c r="BW581" s="131"/>
      <c r="BX581" s="131"/>
      <c r="BY581" s="131"/>
      <c r="BZ581" s="131"/>
      <c r="CA581" s="131"/>
      <c r="CB581" s="131"/>
      <c r="CC581" s="131"/>
      <c r="CD581" s="131"/>
      <c r="CE581" s="131"/>
      <c r="CF581" s="131"/>
      <c r="CG581" s="131"/>
      <c r="CH581" s="131"/>
    </row>
    <row r="582" ht="18.75" customHeight="1">
      <c r="C582" s="64"/>
      <c r="E582" s="64"/>
      <c r="F582" s="64"/>
      <c r="G582" s="64"/>
      <c r="AH582" s="162"/>
      <c r="AI582" s="162"/>
      <c r="AJ582" s="162"/>
      <c r="AK582" s="162"/>
      <c r="BS582" s="131"/>
      <c r="BT582" s="131"/>
      <c r="BU582" s="131"/>
      <c r="BV582" s="131"/>
      <c r="BW582" s="131"/>
      <c r="BX582" s="131"/>
      <c r="BY582" s="131"/>
      <c r="BZ582" s="131"/>
      <c r="CA582" s="131"/>
      <c r="CB582" s="131"/>
      <c r="CC582" s="131"/>
      <c r="CD582" s="131"/>
      <c r="CE582" s="131"/>
      <c r="CF582" s="131"/>
      <c r="CG582" s="131"/>
      <c r="CH582" s="131"/>
    </row>
    <row r="583" ht="18.75" customHeight="1">
      <c r="C583" s="64"/>
      <c r="E583" s="64"/>
      <c r="F583" s="64"/>
      <c r="G583" s="64"/>
      <c r="AH583" s="162"/>
      <c r="AI583" s="162"/>
      <c r="AJ583" s="162"/>
      <c r="AK583" s="162"/>
      <c r="BS583" s="131"/>
      <c r="BT583" s="131"/>
      <c r="BU583" s="131"/>
      <c r="BV583" s="131"/>
      <c r="BW583" s="131"/>
      <c r="BX583" s="131"/>
      <c r="BY583" s="131"/>
      <c r="BZ583" s="131"/>
      <c r="CA583" s="131"/>
      <c r="CB583" s="131"/>
      <c r="CC583" s="131"/>
      <c r="CD583" s="131"/>
      <c r="CE583" s="131"/>
      <c r="CF583" s="131"/>
      <c r="CG583" s="131"/>
      <c r="CH583" s="131"/>
    </row>
    <row r="584" ht="18.75" customHeight="1">
      <c r="C584" s="64"/>
      <c r="E584" s="64"/>
      <c r="F584" s="64"/>
      <c r="G584" s="64"/>
      <c r="AH584" s="162"/>
      <c r="AI584" s="162"/>
      <c r="AJ584" s="162"/>
      <c r="AK584" s="162"/>
      <c r="BS584" s="131"/>
      <c r="BT584" s="131"/>
      <c r="BU584" s="131"/>
      <c r="BV584" s="131"/>
      <c r="BW584" s="131"/>
      <c r="BX584" s="131"/>
      <c r="BY584" s="131"/>
      <c r="BZ584" s="131"/>
      <c r="CA584" s="131"/>
      <c r="CB584" s="131"/>
      <c r="CC584" s="131"/>
      <c r="CD584" s="131"/>
      <c r="CE584" s="131"/>
      <c r="CF584" s="131"/>
      <c r="CG584" s="131"/>
      <c r="CH584" s="131"/>
    </row>
    <row r="585" ht="18.75" customHeight="1">
      <c r="C585" s="64"/>
      <c r="E585" s="64"/>
      <c r="F585" s="64"/>
      <c r="G585" s="64"/>
      <c r="AH585" s="162"/>
      <c r="AI585" s="162"/>
      <c r="AJ585" s="162"/>
      <c r="AK585" s="162"/>
      <c r="BS585" s="131"/>
      <c r="BT585" s="131"/>
      <c r="BU585" s="131"/>
      <c r="BV585" s="131"/>
      <c r="BW585" s="131"/>
      <c r="BX585" s="131"/>
      <c r="BY585" s="131"/>
      <c r="BZ585" s="131"/>
      <c r="CA585" s="131"/>
      <c r="CB585" s="131"/>
      <c r="CC585" s="131"/>
      <c r="CD585" s="131"/>
      <c r="CE585" s="131"/>
      <c r="CF585" s="131"/>
      <c r="CG585" s="131"/>
      <c r="CH585" s="131"/>
    </row>
    <row r="586" ht="18.75" customHeight="1">
      <c r="C586" s="64"/>
      <c r="E586" s="64"/>
      <c r="F586" s="64"/>
      <c r="G586" s="64"/>
      <c r="AH586" s="162"/>
      <c r="AI586" s="162"/>
      <c r="AJ586" s="162"/>
      <c r="AK586" s="162"/>
      <c r="BS586" s="131"/>
      <c r="BT586" s="131"/>
      <c r="BU586" s="131"/>
      <c r="BV586" s="131"/>
      <c r="BW586" s="131"/>
      <c r="BX586" s="131"/>
      <c r="BY586" s="131"/>
      <c r="BZ586" s="131"/>
      <c r="CA586" s="131"/>
      <c r="CB586" s="131"/>
      <c r="CC586" s="131"/>
      <c r="CD586" s="131"/>
      <c r="CE586" s="131"/>
      <c r="CF586" s="131"/>
      <c r="CG586" s="131"/>
      <c r="CH586" s="131"/>
    </row>
    <row r="587" ht="18.75" customHeight="1">
      <c r="C587" s="64"/>
      <c r="E587" s="64"/>
      <c r="F587" s="64"/>
      <c r="G587" s="64"/>
      <c r="AH587" s="162"/>
      <c r="AI587" s="162"/>
      <c r="AJ587" s="162"/>
      <c r="AK587" s="162"/>
      <c r="BS587" s="131"/>
      <c r="BT587" s="131"/>
      <c r="BU587" s="131"/>
      <c r="BV587" s="131"/>
      <c r="BW587" s="131"/>
      <c r="BX587" s="131"/>
      <c r="BY587" s="131"/>
      <c r="BZ587" s="131"/>
      <c r="CA587" s="131"/>
      <c r="CB587" s="131"/>
      <c r="CC587" s="131"/>
      <c r="CD587" s="131"/>
      <c r="CE587" s="131"/>
      <c r="CF587" s="131"/>
      <c r="CG587" s="131"/>
      <c r="CH587" s="131"/>
    </row>
    <row r="588" ht="18.75" customHeight="1">
      <c r="C588" s="64"/>
      <c r="E588" s="64"/>
      <c r="F588" s="64"/>
      <c r="G588" s="64"/>
      <c r="AH588" s="162"/>
      <c r="AI588" s="162"/>
      <c r="AJ588" s="162"/>
      <c r="AK588" s="162"/>
      <c r="BS588" s="131"/>
      <c r="BT588" s="131"/>
      <c r="BU588" s="131"/>
      <c r="BV588" s="131"/>
      <c r="BW588" s="131"/>
      <c r="BX588" s="131"/>
      <c r="BY588" s="131"/>
      <c r="BZ588" s="131"/>
      <c r="CA588" s="131"/>
      <c r="CB588" s="131"/>
      <c r="CC588" s="131"/>
      <c r="CD588" s="131"/>
      <c r="CE588" s="131"/>
      <c r="CF588" s="131"/>
      <c r="CG588" s="131"/>
      <c r="CH588" s="131"/>
    </row>
    <row r="589" ht="18.75" customHeight="1">
      <c r="C589" s="64"/>
      <c r="E589" s="64"/>
      <c r="F589" s="64"/>
      <c r="G589" s="64"/>
      <c r="AH589" s="162"/>
      <c r="AI589" s="162"/>
      <c r="AJ589" s="162"/>
      <c r="AK589" s="162"/>
      <c r="BS589" s="131"/>
      <c r="BT589" s="131"/>
      <c r="BU589" s="131"/>
      <c r="BV589" s="131"/>
      <c r="BW589" s="131"/>
      <c r="BX589" s="131"/>
      <c r="BY589" s="131"/>
      <c r="BZ589" s="131"/>
      <c r="CA589" s="131"/>
      <c r="CB589" s="131"/>
      <c r="CC589" s="131"/>
      <c r="CD589" s="131"/>
      <c r="CE589" s="131"/>
      <c r="CF589" s="131"/>
      <c r="CG589" s="131"/>
      <c r="CH589" s="131"/>
    </row>
    <row r="590" ht="18.75" customHeight="1">
      <c r="C590" s="64"/>
      <c r="E590" s="64"/>
      <c r="F590" s="64"/>
      <c r="G590" s="64"/>
      <c r="AH590" s="162"/>
      <c r="AI590" s="162"/>
      <c r="AJ590" s="162"/>
      <c r="AK590" s="162"/>
      <c r="BS590" s="131"/>
      <c r="BT590" s="131"/>
      <c r="BU590" s="131"/>
      <c r="BV590" s="131"/>
      <c r="BW590" s="131"/>
      <c r="BX590" s="131"/>
      <c r="BY590" s="131"/>
      <c r="BZ590" s="131"/>
      <c r="CA590" s="131"/>
      <c r="CB590" s="131"/>
      <c r="CC590" s="131"/>
      <c r="CD590" s="131"/>
      <c r="CE590" s="131"/>
      <c r="CF590" s="131"/>
      <c r="CG590" s="131"/>
      <c r="CH590" s="131"/>
    </row>
    <row r="591" ht="18.75" customHeight="1">
      <c r="C591" s="64"/>
      <c r="E591" s="64"/>
      <c r="F591" s="64"/>
      <c r="G591" s="64"/>
      <c r="AH591" s="162"/>
      <c r="AI591" s="162"/>
      <c r="AJ591" s="162"/>
      <c r="AK591" s="162"/>
      <c r="BS591" s="131"/>
      <c r="BT591" s="131"/>
      <c r="BU591" s="131"/>
      <c r="BV591" s="131"/>
      <c r="BW591" s="131"/>
      <c r="BX591" s="131"/>
      <c r="BY591" s="131"/>
      <c r="BZ591" s="131"/>
      <c r="CA591" s="131"/>
      <c r="CB591" s="131"/>
      <c r="CC591" s="131"/>
      <c r="CD591" s="131"/>
      <c r="CE591" s="131"/>
      <c r="CF591" s="131"/>
      <c r="CG591" s="131"/>
      <c r="CH591" s="131"/>
    </row>
    <row r="592" ht="18.75" customHeight="1">
      <c r="C592" s="64"/>
      <c r="E592" s="64"/>
      <c r="F592" s="64"/>
      <c r="G592" s="64"/>
      <c r="AH592" s="162"/>
      <c r="AI592" s="162"/>
      <c r="AJ592" s="162"/>
      <c r="AK592" s="162"/>
      <c r="BS592" s="131"/>
      <c r="BT592" s="131"/>
      <c r="BU592" s="131"/>
      <c r="BV592" s="131"/>
      <c r="BW592" s="131"/>
      <c r="BX592" s="131"/>
      <c r="BY592" s="131"/>
      <c r="BZ592" s="131"/>
      <c r="CA592" s="131"/>
      <c r="CB592" s="131"/>
      <c r="CC592" s="131"/>
      <c r="CD592" s="131"/>
      <c r="CE592" s="131"/>
      <c r="CF592" s="131"/>
      <c r="CG592" s="131"/>
      <c r="CH592" s="131"/>
    </row>
    <row r="593" ht="18.75" customHeight="1">
      <c r="C593" s="64"/>
      <c r="E593" s="64"/>
      <c r="F593" s="64"/>
      <c r="G593" s="64"/>
      <c r="AH593" s="162"/>
      <c r="AI593" s="162"/>
      <c r="AJ593" s="162"/>
      <c r="AK593" s="162"/>
      <c r="BS593" s="131"/>
      <c r="BT593" s="131"/>
      <c r="BU593" s="131"/>
      <c r="BV593" s="131"/>
      <c r="BW593" s="131"/>
      <c r="BX593" s="131"/>
      <c r="BY593" s="131"/>
      <c r="BZ593" s="131"/>
      <c r="CA593" s="131"/>
      <c r="CB593" s="131"/>
      <c r="CC593" s="131"/>
      <c r="CD593" s="131"/>
      <c r="CE593" s="131"/>
      <c r="CF593" s="131"/>
      <c r="CG593" s="131"/>
      <c r="CH593" s="131"/>
    </row>
    <row r="594" ht="18.75" customHeight="1">
      <c r="C594" s="64"/>
      <c r="E594" s="64"/>
      <c r="F594" s="64"/>
      <c r="G594" s="64"/>
      <c r="AH594" s="162"/>
      <c r="AI594" s="162"/>
      <c r="AJ594" s="162"/>
      <c r="AK594" s="162"/>
      <c r="BS594" s="131"/>
      <c r="BT594" s="131"/>
      <c r="BU594" s="131"/>
      <c r="BV594" s="131"/>
      <c r="BW594" s="131"/>
      <c r="BX594" s="131"/>
      <c r="BY594" s="131"/>
      <c r="BZ594" s="131"/>
      <c r="CA594" s="131"/>
      <c r="CB594" s="131"/>
      <c r="CC594" s="131"/>
      <c r="CD594" s="131"/>
      <c r="CE594" s="131"/>
      <c r="CF594" s="131"/>
      <c r="CG594" s="131"/>
      <c r="CH594" s="131"/>
    </row>
    <row r="595" ht="18.75" customHeight="1">
      <c r="C595" s="64"/>
      <c r="E595" s="64"/>
      <c r="F595" s="64"/>
      <c r="G595" s="64"/>
      <c r="AH595" s="162"/>
      <c r="AI595" s="162"/>
      <c r="AJ595" s="162"/>
      <c r="AK595" s="162"/>
      <c r="BS595" s="131"/>
      <c r="BT595" s="131"/>
      <c r="BU595" s="131"/>
      <c r="BV595" s="131"/>
      <c r="BW595" s="131"/>
      <c r="BX595" s="131"/>
      <c r="BY595" s="131"/>
      <c r="BZ595" s="131"/>
      <c r="CA595" s="131"/>
      <c r="CB595" s="131"/>
      <c r="CC595" s="131"/>
      <c r="CD595" s="131"/>
      <c r="CE595" s="131"/>
      <c r="CF595" s="131"/>
      <c r="CG595" s="131"/>
      <c r="CH595" s="131"/>
    </row>
    <row r="596" ht="18.75" customHeight="1">
      <c r="C596" s="64"/>
      <c r="E596" s="64"/>
      <c r="F596" s="64"/>
      <c r="G596" s="64"/>
      <c r="AH596" s="162"/>
      <c r="AI596" s="162"/>
      <c r="AJ596" s="162"/>
      <c r="AK596" s="162"/>
      <c r="BS596" s="131"/>
      <c r="BT596" s="131"/>
      <c r="BU596" s="131"/>
      <c r="BV596" s="131"/>
      <c r="BW596" s="131"/>
      <c r="BX596" s="131"/>
      <c r="BY596" s="131"/>
      <c r="BZ596" s="131"/>
      <c r="CA596" s="131"/>
      <c r="CB596" s="131"/>
      <c r="CC596" s="131"/>
      <c r="CD596" s="131"/>
      <c r="CE596" s="131"/>
      <c r="CF596" s="131"/>
      <c r="CG596" s="131"/>
      <c r="CH596" s="131"/>
    </row>
    <row r="597" ht="18.75" customHeight="1">
      <c r="C597" s="64"/>
      <c r="E597" s="64"/>
      <c r="F597" s="64"/>
      <c r="G597" s="64"/>
      <c r="AH597" s="162"/>
      <c r="AI597" s="162"/>
      <c r="AJ597" s="162"/>
      <c r="AK597" s="162"/>
      <c r="BS597" s="131"/>
      <c r="BT597" s="131"/>
      <c r="BU597" s="131"/>
      <c r="BV597" s="131"/>
      <c r="BW597" s="131"/>
      <c r="BX597" s="131"/>
      <c r="BY597" s="131"/>
      <c r="BZ597" s="131"/>
      <c r="CA597" s="131"/>
      <c r="CB597" s="131"/>
      <c r="CC597" s="131"/>
      <c r="CD597" s="131"/>
      <c r="CE597" s="131"/>
      <c r="CF597" s="131"/>
      <c r="CG597" s="131"/>
      <c r="CH597" s="131"/>
    </row>
    <row r="598" ht="18.75" customHeight="1">
      <c r="C598" s="64"/>
      <c r="E598" s="64"/>
      <c r="F598" s="64"/>
      <c r="G598" s="64"/>
      <c r="AH598" s="162"/>
      <c r="AI598" s="162"/>
      <c r="AJ598" s="162"/>
      <c r="AK598" s="162"/>
      <c r="BS598" s="131"/>
      <c r="BT598" s="131"/>
      <c r="BU598" s="131"/>
      <c r="BV598" s="131"/>
      <c r="BW598" s="131"/>
      <c r="BX598" s="131"/>
      <c r="BY598" s="131"/>
      <c r="BZ598" s="131"/>
      <c r="CA598" s="131"/>
      <c r="CB598" s="131"/>
      <c r="CC598" s="131"/>
      <c r="CD598" s="131"/>
      <c r="CE598" s="131"/>
      <c r="CF598" s="131"/>
      <c r="CG598" s="131"/>
      <c r="CH598" s="131"/>
    </row>
    <row r="599" ht="18.75" customHeight="1">
      <c r="C599" s="64"/>
      <c r="E599" s="64"/>
      <c r="F599" s="64"/>
      <c r="G599" s="64"/>
      <c r="AH599" s="162"/>
      <c r="AI599" s="162"/>
      <c r="AJ599" s="162"/>
      <c r="AK599" s="162"/>
      <c r="BS599" s="131"/>
      <c r="BT599" s="131"/>
      <c r="BU599" s="131"/>
      <c r="BV599" s="131"/>
      <c r="BW599" s="131"/>
      <c r="BX599" s="131"/>
      <c r="BY599" s="131"/>
      <c r="BZ599" s="131"/>
      <c r="CA599" s="131"/>
      <c r="CB599" s="131"/>
      <c r="CC599" s="131"/>
      <c r="CD599" s="131"/>
      <c r="CE599" s="131"/>
      <c r="CF599" s="131"/>
      <c r="CG599" s="131"/>
      <c r="CH599" s="131"/>
    </row>
    <row r="600" ht="18.75" customHeight="1">
      <c r="C600" s="64"/>
      <c r="E600" s="64"/>
      <c r="F600" s="64"/>
      <c r="G600" s="64"/>
      <c r="AH600" s="162"/>
      <c r="AI600" s="162"/>
      <c r="AJ600" s="162"/>
      <c r="AK600" s="162"/>
      <c r="BS600" s="131"/>
      <c r="BT600" s="131"/>
      <c r="BU600" s="131"/>
      <c r="BV600" s="131"/>
      <c r="BW600" s="131"/>
      <c r="BX600" s="131"/>
      <c r="BY600" s="131"/>
      <c r="BZ600" s="131"/>
      <c r="CA600" s="131"/>
      <c r="CB600" s="131"/>
      <c r="CC600" s="131"/>
      <c r="CD600" s="131"/>
      <c r="CE600" s="131"/>
      <c r="CF600" s="131"/>
      <c r="CG600" s="131"/>
      <c r="CH600" s="131"/>
    </row>
    <row r="601" ht="18.75" customHeight="1">
      <c r="C601" s="64"/>
      <c r="E601" s="64"/>
      <c r="F601" s="64"/>
      <c r="G601" s="64"/>
      <c r="AH601" s="162"/>
      <c r="AI601" s="162"/>
      <c r="AJ601" s="162"/>
      <c r="AK601" s="162"/>
      <c r="BS601" s="131"/>
      <c r="BT601" s="131"/>
      <c r="BU601" s="131"/>
      <c r="BV601" s="131"/>
      <c r="BW601" s="131"/>
      <c r="BX601" s="131"/>
      <c r="BY601" s="131"/>
      <c r="BZ601" s="131"/>
      <c r="CA601" s="131"/>
      <c r="CB601" s="131"/>
      <c r="CC601" s="131"/>
      <c r="CD601" s="131"/>
      <c r="CE601" s="131"/>
      <c r="CF601" s="131"/>
      <c r="CG601" s="131"/>
      <c r="CH601" s="131"/>
    </row>
    <row r="602" ht="18.75" customHeight="1">
      <c r="C602" s="64"/>
      <c r="E602" s="64"/>
      <c r="F602" s="64"/>
      <c r="G602" s="64"/>
      <c r="AH602" s="162"/>
      <c r="AI602" s="162"/>
      <c r="AJ602" s="162"/>
      <c r="AK602" s="162"/>
      <c r="BS602" s="131"/>
      <c r="BT602" s="131"/>
      <c r="BU602" s="131"/>
      <c r="BV602" s="131"/>
      <c r="BW602" s="131"/>
      <c r="BX602" s="131"/>
      <c r="BY602" s="131"/>
      <c r="BZ602" s="131"/>
      <c r="CA602" s="131"/>
      <c r="CB602" s="131"/>
      <c r="CC602" s="131"/>
      <c r="CD602" s="131"/>
      <c r="CE602" s="131"/>
      <c r="CF602" s="131"/>
      <c r="CG602" s="131"/>
      <c r="CH602" s="131"/>
    </row>
    <row r="603" ht="18.75" customHeight="1">
      <c r="C603" s="64"/>
      <c r="E603" s="64"/>
      <c r="F603" s="64"/>
      <c r="G603" s="64"/>
      <c r="AH603" s="162"/>
      <c r="AI603" s="162"/>
      <c r="AJ603" s="162"/>
      <c r="AK603" s="162"/>
      <c r="BS603" s="131"/>
      <c r="BT603" s="131"/>
      <c r="BU603" s="131"/>
      <c r="BV603" s="131"/>
      <c r="BW603" s="131"/>
      <c r="BX603" s="131"/>
      <c r="BY603" s="131"/>
      <c r="BZ603" s="131"/>
      <c r="CA603" s="131"/>
      <c r="CB603" s="131"/>
      <c r="CC603" s="131"/>
      <c r="CD603" s="131"/>
      <c r="CE603" s="131"/>
      <c r="CF603" s="131"/>
      <c r="CG603" s="131"/>
      <c r="CH603" s="131"/>
    </row>
    <row r="604" ht="18.75" customHeight="1">
      <c r="C604" s="64"/>
      <c r="E604" s="64"/>
      <c r="F604" s="64"/>
      <c r="G604" s="64"/>
      <c r="AH604" s="162"/>
      <c r="AI604" s="162"/>
      <c r="AJ604" s="162"/>
      <c r="AK604" s="162"/>
      <c r="BS604" s="131"/>
      <c r="BT604" s="131"/>
      <c r="BU604" s="131"/>
      <c r="BV604" s="131"/>
      <c r="BW604" s="131"/>
      <c r="BX604" s="131"/>
      <c r="BY604" s="131"/>
      <c r="BZ604" s="131"/>
      <c r="CA604" s="131"/>
      <c r="CB604" s="131"/>
      <c r="CC604" s="131"/>
      <c r="CD604" s="131"/>
      <c r="CE604" s="131"/>
      <c r="CF604" s="131"/>
      <c r="CG604" s="131"/>
      <c r="CH604" s="131"/>
    </row>
    <row r="605" ht="18.75" customHeight="1">
      <c r="C605" s="64"/>
      <c r="E605" s="64"/>
      <c r="F605" s="64"/>
      <c r="G605" s="64"/>
      <c r="AH605" s="162"/>
      <c r="AI605" s="162"/>
      <c r="AJ605" s="162"/>
      <c r="AK605" s="162"/>
      <c r="BS605" s="131"/>
      <c r="BT605" s="131"/>
      <c r="BU605" s="131"/>
      <c r="BV605" s="131"/>
      <c r="BW605" s="131"/>
      <c r="BX605" s="131"/>
      <c r="BY605" s="131"/>
      <c r="BZ605" s="131"/>
      <c r="CA605" s="131"/>
      <c r="CB605" s="131"/>
      <c r="CC605" s="131"/>
      <c r="CD605" s="131"/>
      <c r="CE605" s="131"/>
      <c r="CF605" s="131"/>
      <c r="CG605" s="131"/>
      <c r="CH605" s="131"/>
    </row>
    <row r="606" ht="18.75" customHeight="1">
      <c r="C606" s="64"/>
      <c r="E606" s="64"/>
      <c r="F606" s="64"/>
      <c r="G606" s="64"/>
      <c r="AH606" s="162"/>
      <c r="AI606" s="162"/>
      <c r="AJ606" s="162"/>
      <c r="AK606" s="162"/>
      <c r="BS606" s="131"/>
      <c r="BT606" s="131"/>
      <c r="BU606" s="131"/>
      <c r="BV606" s="131"/>
      <c r="BW606" s="131"/>
      <c r="BX606" s="131"/>
      <c r="BY606" s="131"/>
      <c r="BZ606" s="131"/>
      <c r="CA606" s="131"/>
      <c r="CB606" s="131"/>
      <c r="CC606" s="131"/>
      <c r="CD606" s="131"/>
      <c r="CE606" s="131"/>
      <c r="CF606" s="131"/>
      <c r="CG606" s="131"/>
      <c r="CH606" s="131"/>
    </row>
    <row r="607" ht="18.75" customHeight="1">
      <c r="C607" s="64"/>
      <c r="E607" s="64"/>
      <c r="F607" s="64"/>
      <c r="G607" s="64"/>
      <c r="AH607" s="162"/>
      <c r="AI607" s="162"/>
      <c r="AJ607" s="162"/>
      <c r="AK607" s="162"/>
      <c r="BS607" s="131"/>
      <c r="BT607" s="131"/>
      <c r="BU607" s="131"/>
      <c r="BV607" s="131"/>
      <c r="BW607" s="131"/>
      <c r="BX607" s="131"/>
      <c r="BY607" s="131"/>
      <c r="BZ607" s="131"/>
      <c r="CA607" s="131"/>
      <c r="CB607" s="131"/>
      <c r="CC607" s="131"/>
      <c r="CD607" s="131"/>
      <c r="CE607" s="131"/>
      <c r="CF607" s="131"/>
      <c r="CG607" s="131"/>
      <c r="CH607" s="131"/>
    </row>
    <row r="608" ht="18.75" customHeight="1">
      <c r="C608" s="64"/>
      <c r="E608" s="64"/>
      <c r="F608" s="64"/>
      <c r="G608" s="64"/>
      <c r="AH608" s="162"/>
      <c r="AI608" s="162"/>
      <c r="AJ608" s="162"/>
      <c r="AK608" s="162"/>
      <c r="BS608" s="131"/>
      <c r="BT608" s="131"/>
      <c r="BU608" s="131"/>
      <c r="BV608" s="131"/>
      <c r="BW608" s="131"/>
      <c r="BX608" s="131"/>
      <c r="BY608" s="131"/>
      <c r="BZ608" s="131"/>
      <c r="CA608" s="131"/>
      <c r="CB608" s="131"/>
      <c r="CC608" s="131"/>
      <c r="CD608" s="131"/>
      <c r="CE608" s="131"/>
      <c r="CF608" s="131"/>
      <c r="CG608" s="131"/>
      <c r="CH608" s="131"/>
    </row>
    <row r="609" ht="18.75" customHeight="1">
      <c r="C609" s="64"/>
      <c r="E609" s="64"/>
      <c r="F609" s="64"/>
      <c r="G609" s="64"/>
      <c r="AH609" s="162"/>
      <c r="AI609" s="162"/>
      <c r="AJ609" s="162"/>
      <c r="AK609" s="162"/>
      <c r="BS609" s="131"/>
      <c r="BT609" s="131"/>
      <c r="BU609" s="131"/>
      <c r="BV609" s="131"/>
      <c r="BW609" s="131"/>
      <c r="BX609" s="131"/>
      <c r="BY609" s="131"/>
      <c r="BZ609" s="131"/>
      <c r="CA609" s="131"/>
      <c r="CB609" s="131"/>
      <c r="CC609" s="131"/>
      <c r="CD609" s="131"/>
      <c r="CE609" s="131"/>
      <c r="CF609" s="131"/>
      <c r="CG609" s="131"/>
      <c r="CH609" s="131"/>
    </row>
    <row r="610" ht="18.75" customHeight="1">
      <c r="C610" s="64"/>
      <c r="E610" s="64"/>
      <c r="F610" s="64"/>
      <c r="G610" s="64"/>
      <c r="AH610" s="162"/>
      <c r="AI610" s="162"/>
      <c r="AJ610" s="162"/>
      <c r="AK610" s="162"/>
      <c r="BS610" s="131"/>
      <c r="BT610" s="131"/>
      <c r="BU610" s="131"/>
      <c r="BV610" s="131"/>
      <c r="BW610" s="131"/>
      <c r="BX610" s="131"/>
      <c r="BY610" s="131"/>
      <c r="BZ610" s="131"/>
      <c r="CA610" s="131"/>
      <c r="CB610" s="131"/>
      <c r="CC610" s="131"/>
      <c r="CD610" s="131"/>
      <c r="CE610" s="131"/>
      <c r="CF610" s="131"/>
      <c r="CG610" s="131"/>
      <c r="CH610" s="131"/>
    </row>
    <row r="611" ht="18.75" customHeight="1">
      <c r="C611" s="64"/>
      <c r="E611" s="64"/>
      <c r="F611" s="64"/>
      <c r="G611" s="64"/>
      <c r="AH611" s="162"/>
      <c r="AI611" s="162"/>
      <c r="AJ611" s="162"/>
      <c r="AK611" s="162"/>
      <c r="BS611" s="131"/>
      <c r="BT611" s="131"/>
      <c r="BU611" s="131"/>
      <c r="BV611" s="131"/>
      <c r="BW611" s="131"/>
      <c r="BX611" s="131"/>
      <c r="BY611" s="131"/>
      <c r="BZ611" s="131"/>
      <c r="CA611" s="131"/>
      <c r="CB611" s="131"/>
      <c r="CC611" s="131"/>
      <c r="CD611" s="131"/>
      <c r="CE611" s="131"/>
      <c r="CF611" s="131"/>
      <c r="CG611" s="131"/>
      <c r="CH611" s="131"/>
    </row>
    <row r="612" ht="18.75" customHeight="1">
      <c r="C612" s="64"/>
      <c r="E612" s="64"/>
      <c r="F612" s="64"/>
      <c r="G612" s="64"/>
      <c r="AH612" s="162"/>
      <c r="AI612" s="162"/>
      <c r="AJ612" s="162"/>
      <c r="AK612" s="162"/>
      <c r="BS612" s="131"/>
      <c r="BT612" s="131"/>
      <c r="BU612" s="131"/>
      <c r="BV612" s="131"/>
      <c r="BW612" s="131"/>
      <c r="BX612" s="131"/>
      <c r="BY612" s="131"/>
      <c r="BZ612" s="131"/>
      <c r="CA612" s="131"/>
      <c r="CB612" s="131"/>
      <c r="CC612" s="131"/>
      <c r="CD612" s="131"/>
      <c r="CE612" s="131"/>
      <c r="CF612" s="131"/>
      <c r="CG612" s="131"/>
      <c r="CH612" s="131"/>
    </row>
    <row r="613" ht="18.75" customHeight="1">
      <c r="C613" s="64"/>
      <c r="E613" s="64"/>
      <c r="F613" s="64"/>
      <c r="G613" s="64"/>
      <c r="AH613" s="162"/>
      <c r="AI613" s="162"/>
      <c r="AJ613" s="162"/>
      <c r="AK613" s="162"/>
      <c r="BS613" s="131"/>
      <c r="BT613" s="131"/>
      <c r="BU613" s="131"/>
      <c r="BV613" s="131"/>
      <c r="BW613" s="131"/>
      <c r="BX613" s="131"/>
      <c r="BY613" s="131"/>
      <c r="BZ613" s="131"/>
      <c r="CA613" s="131"/>
      <c r="CB613" s="131"/>
      <c r="CC613" s="131"/>
      <c r="CD613" s="131"/>
      <c r="CE613" s="131"/>
      <c r="CF613" s="131"/>
      <c r="CG613" s="131"/>
      <c r="CH613" s="131"/>
    </row>
    <row r="614" ht="18.75" customHeight="1">
      <c r="C614" s="64"/>
      <c r="E614" s="64"/>
      <c r="F614" s="64"/>
      <c r="G614" s="64"/>
      <c r="AH614" s="162"/>
      <c r="AI614" s="162"/>
      <c r="AJ614" s="162"/>
      <c r="AK614" s="162"/>
      <c r="BS614" s="131"/>
      <c r="BT614" s="131"/>
      <c r="BU614" s="131"/>
      <c r="BV614" s="131"/>
      <c r="BW614" s="131"/>
      <c r="BX614" s="131"/>
      <c r="BY614" s="131"/>
      <c r="BZ614" s="131"/>
      <c r="CA614" s="131"/>
      <c r="CB614" s="131"/>
      <c r="CC614" s="131"/>
      <c r="CD614" s="131"/>
      <c r="CE614" s="131"/>
      <c r="CF614" s="131"/>
      <c r="CG614" s="131"/>
      <c r="CH614" s="131"/>
    </row>
    <row r="615" ht="18.75" customHeight="1">
      <c r="C615" s="64"/>
      <c r="E615" s="64"/>
      <c r="F615" s="64"/>
      <c r="G615" s="64"/>
      <c r="AH615" s="162"/>
      <c r="AI615" s="162"/>
      <c r="AJ615" s="162"/>
      <c r="AK615" s="162"/>
      <c r="BS615" s="131"/>
      <c r="BT615" s="131"/>
      <c r="BU615" s="131"/>
      <c r="BV615" s="131"/>
      <c r="BW615" s="131"/>
      <c r="BX615" s="131"/>
      <c r="BY615" s="131"/>
      <c r="BZ615" s="131"/>
      <c r="CA615" s="131"/>
      <c r="CB615" s="131"/>
      <c r="CC615" s="131"/>
      <c r="CD615" s="131"/>
      <c r="CE615" s="131"/>
      <c r="CF615" s="131"/>
      <c r="CG615" s="131"/>
      <c r="CH615" s="131"/>
    </row>
    <row r="616" ht="18.75" customHeight="1">
      <c r="C616" s="64"/>
      <c r="E616" s="64"/>
      <c r="F616" s="64"/>
      <c r="G616" s="64"/>
      <c r="AH616" s="162"/>
      <c r="AI616" s="162"/>
      <c r="AJ616" s="162"/>
      <c r="AK616" s="162"/>
      <c r="BS616" s="131"/>
      <c r="BT616" s="131"/>
      <c r="BU616" s="131"/>
      <c r="BV616" s="131"/>
      <c r="BW616" s="131"/>
      <c r="BX616" s="131"/>
      <c r="BY616" s="131"/>
      <c r="BZ616" s="131"/>
      <c r="CA616" s="131"/>
      <c r="CB616" s="131"/>
      <c r="CC616" s="131"/>
      <c r="CD616" s="131"/>
      <c r="CE616" s="131"/>
      <c r="CF616" s="131"/>
      <c r="CG616" s="131"/>
      <c r="CH616" s="131"/>
    </row>
    <row r="617" ht="18.75" customHeight="1">
      <c r="C617" s="64"/>
      <c r="E617" s="64"/>
      <c r="F617" s="64"/>
      <c r="G617" s="64"/>
      <c r="AH617" s="162"/>
      <c r="AI617" s="162"/>
      <c r="AJ617" s="162"/>
      <c r="AK617" s="162"/>
      <c r="BS617" s="131"/>
      <c r="BT617" s="131"/>
      <c r="BU617" s="131"/>
      <c r="BV617" s="131"/>
      <c r="BW617" s="131"/>
      <c r="BX617" s="131"/>
      <c r="BY617" s="131"/>
      <c r="BZ617" s="131"/>
      <c r="CA617" s="131"/>
      <c r="CB617" s="131"/>
      <c r="CC617" s="131"/>
      <c r="CD617" s="131"/>
      <c r="CE617" s="131"/>
      <c r="CF617" s="131"/>
      <c r="CG617" s="131"/>
      <c r="CH617" s="131"/>
    </row>
    <row r="618" ht="18.75" customHeight="1">
      <c r="C618" s="64"/>
      <c r="E618" s="64"/>
      <c r="F618" s="64"/>
      <c r="G618" s="64"/>
      <c r="AH618" s="162"/>
      <c r="AI618" s="162"/>
      <c r="AJ618" s="162"/>
      <c r="AK618" s="162"/>
      <c r="BS618" s="131"/>
      <c r="BT618" s="131"/>
      <c r="BU618" s="131"/>
      <c r="BV618" s="131"/>
      <c r="BW618" s="131"/>
      <c r="BX618" s="131"/>
      <c r="BY618" s="131"/>
      <c r="BZ618" s="131"/>
      <c r="CA618" s="131"/>
      <c r="CB618" s="131"/>
      <c r="CC618" s="131"/>
      <c r="CD618" s="131"/>
      <c r="CE618" s="131"/>
      <c r="CF618" s="131"/>
      <c r="CG618" s="131"/>
      <c r="CH618" s="131"/>
    </row>
    <row r="619" ht="18.75" customHeight="1">
      <c r="C619" s="64"/>
      <c r="E619" s="64"/>
      <c r="F619" s="64"/>
      <c r="G619" s="64"/>
      <c r="AH619" s="162"/>
      <c r="AI619" s="162"/>
      <c r="AJ619" s="162"/>
      <c r="AK619" s="162"/>
      <c r="BS619" s="131"/>
      <c r="BT619" s="131"/>
      <c r="BU619" s="131"/>
      <c r="BV619" s="131"/>
      <c r="BW619" s="131"/>
      <c r="BX619" s="131"/>
      <c r="BY619" s="131"/>
      <c r="BZ619" s="131"/>
      <c r="CA619" s="131"/>
      <c r="CB619" s="131"/>
      <c r="CC619" s="131"/>
      <c r="CD619" s="131"/>
      <c r="CE619" s="131"/>
      <c r="CF619" s="131"/>
      <c r="CG619" s="131"/>
      <c r="CH619" s="131"/>
    </row>
    <row r="620" ht="18.75" customHeight="1">
      <c r="C620" s="64"/>
      <c r="E620" s="64"/>
      <c r="F620" s="64"/>
      <c r="G620" s="64"/>
      <c r="AH620" s="162"/>
      <c r="AI620" s="162"/>
      <c r="AJ620" s="162"/>
      <c r="AK620" s="162"/>
      <c r="BS620" s="131"/>
      <c r="BT620" s="131"/>
      <c r="BU620" s="131"/>
      <c r="BV620" s="131"/>
      <c r="BW620" s="131"/>
      <c r="BX620" s="131"/>
      <c r="BY620" s="131"/>
      <c r="BZ620" s="131"/>
      <c r="CA620" s="131"/>
      <c r="CB620" s="131"/>
      <c r="CC620" s="131"/>
      <c r="CD620" s="131"/>
      <c r="CE620" s="131"/>
      <c r="CF620" s="131"/>
      <c r="CG620" s="131"/>
      <c r="CH620" s="131"/>
    </row>
    <row r="621" ht="18.75" customHeight="1">
      <c r="C621" s="64"/>
      <c r="E621" s="64"/>
      <c r="F621" s="64"/>
      <c r="G621" s="64"/>
      <c r="AH621" s="162"/>
      <c r="AI621" s="162"/>
      <c r="AJ621" s="162"/>
      <c r="AK621" s="162"/>
      <c r="BS621" s="131"/>
      <c r="BT621" s="131"/>
      <c r="BU621" s="131"/>
      <c r="BV621" s="131"/>
      <c r="BW621" s="131"/>
      <c r="BX621" s="131"/>
      <c r="BY621" s="131"/>
      <c r="BZ621" s="131"/>
      <c r="CA621" s="131"/>
      <c r="CB621" s="131"/>
      <c r="CC621" s="131"/>
      <c r="CD621" s="131"/>
      <c r="CE621" s="131"/>
      <c r="CF621" s="131"/>
      <c r="CG621" s="131"/>
      <c r="CH621" s="131"/>
    </row>
    <row r="622" ht="18.75" customHeight="1">
      <c r="C622" s="64"/>
      <c r="E622" s="64"/>
      <c r="F622" s="64"/>
      <c r="G622" s="64"/>
      <c r="AH622" s="162"/>
      <c r="AI622" s="162"/>
      <c r="AJ622" s="162"/>
      <c r="AK622" s="162"/>
      <c r="BS622" s="131"/>
      <c r="BT622" s="131"/>
      <c r="BU622" s="131"/>
      <c r="BV622" s="131"/>
      <c r="BW622" s="131"/>
      <c r="BX622" s="131"/>
      <c r="BY622" s="131"/>
      <c r="BZ622" s="131"/>
      <c r="CA622" s="131"/>
      <c r="CB622" s="131"/>
      <c r="CC622" s="131"/>
      <c r="CD622" s="131"/>
      <c r="CE622" s="131"/>
      <c r="CF622" s="131"/>
      <c r="CG622" s="131"/>
      <c r="CH622" s="131"/>
    </row>
    <row r="623" ht="18.75" customHeight="1">
      <c r="C623" s="64"/>
      <c r="E623" s="64"/>
      <c r="F623" s="64"/>
      <c r="G623" s="64"/>
      <c r="AH623" s="162"/>
      <c r="AI623" s="162"/>
      <c r="AJ623" s="162"/>
      <c r="AK623" s="162"/>
      <c r="BS623" s="131"/>
      <c r="BT623" s="131"/>
      <c r="BU623" s="131"/>
      <c r="BV623" s="131"/>
      <c r="BW623" s="131"/>
      <c r="BX623" s="131"/>
      <c r="BY623" s="131"/>
      <c r="BZ623" s="131"/>
      <c r="CA623" s="131"/>
      <c r="CB623" s="131"/>
      <c r="CC623" s="131"/>
      <c r="CD623" s="131"/>
      <c r="CE623" s="131"/>
      <c r="CF623" s="131"/>
      <c r="CG623" s="131"/>
      <c r="CH623" s="131"/>
    </row>
    <row r="624" ht="18.75" customHeight="1">
      <c r="C624" s="64"/>
      <c r="E624" s="64"/>
      <c r="F624" s="64"/>
      <c r="G624" s="64"/>
      <c r="AH624" s="162"/>
      <c r="AI624" s="162"/>
      <c r="AJ624" s="162"/>
      <c r="AK624" s="162"/>
      <c r="BS624" s="131"/>
      <c r="BT624" s="131"/>
      <c r="BU624" s="131"/>
      <c r="BV624" s="131"/>
      <c r="BW624" s="131"/>
      <c r="BX624" s="131"/>
      <c r="BY624" s="131"/>
      <c r="BZ624" s="131"/>
      <c r="CA624" s="131"/>
      <c r="CB624" s="131"/>
      <c r="CC624" s="131"/>
      <c r="CD624" s="131"/>
      <c r="CE624" s="131"/>
      <c r="CF624" s="131"/>
      <c r="CG624" s="131"/>
      <c r="CH624" s="131"/>
    </row>
    <row r="625" ht="18.75" customHeight="1">
      <c r="C625" s="64"/>
      <c r="E625" s="64"/>
      <c r="F625" s="64"/>
      <c r="G625" s="64"/>
      <c r="AH625" s="162"/>
      <c r="AI625" s="162"/>
      <c r="AJ625" s="162"/>
      <c r="AK625" s="162"/>
      <c r="BS625" s="131"/>
      <c r="BT625" s="131"/>
      <c r="BU625" s="131"/>
      <c r="BV625" s="131"/>
      <c r="BW625" s="131"/>
      <c r="BX625" s="131"/>
      <c r="BY625" s="131"/>
      <c r="BZ625" s="131"/>
      <c r="CA625" s="131"/>
      <c r="CB625" s="131"/>
      <c r="CC625" s="131"/>
      <c r="CD625" s="131"/>
      <c r="CE625" s="131"/>
      <c r="CF625" s="131"/>
      <c r="CG625" s="131"/>
      <c r="CH625" s="131"/>
    </row>
    <row r="626" ht="18.75" customHeight="1">
      <c r="C626" s="64"/>
      <c r="E626" s="64"/>
      <c r="F626" s="64"/>
      <c r="G626" s="64"/>
      <c r="AH626" s="162"/>
      <c r="AI626" s="162"/>
      <c r="AJ626" s="162"/>
      <c r="AK626" s="162"/>
      <c r="BS626" s="131"/>
      <c r="BT626" s="131"/>
      <c r="BU626" s="131"/>
      <c r="BV626" s="131"/>
      <c r="BW626" s="131"/>
      <c r="BX626" s="131"/>
      <c r="BY626" s="131"/>
      <c r="BZ626" s="131"/>
      <c r="CA626" s="131"/>
      <c r="CB626" s="131"/>
      <c r="CC626" s="131"/>
      <c r="CD626" s="131"/>
      <c r="CE626" s="131"/>
      <c r="CF626" s="131"/>
      <c r="CG626" s="131"/>
      <c r="CH626" s="131"/>
    </row>
    <row r="627" ht="18.75" customHeight="1">
      <c r="C627" s="64"/>
      <c r="E627" s="64"/>
      <c r="F627" s="64"/>
      <c r="G627" s="64"/>
      <c r="AH627" s="162"/>
      <c r="AI627" s="162"/>
      <c r="AJ627" s="162"/>
      <c r="AK627" s="162"/>
      <c r="BS627" s="131"/>
      <c r="BT627" s="131"/>
      <c r="BU627" s="131"/>
      <c r="BV627" s="131"/>
      <c r="BW627" s="131"/>
      <c r="BX627" s="131"/>
      <c r="BY627" s="131"/>
      <c r="BZ627" s="131"/>
      <c r="CA627" s="131"/>
      <c r="CB627" s="131"/>
      <c r="CC627" s="131"/>
      <c r="CD627" s="131"/>
      <c r="CE627" s="131"/>
      <c r="CF627" s="131"/>
      <c r="CG627" s="131"/>
      <c r="CH627" s="131"/>
    </row>
    <row r="628" ht="18.75" customHeight="1">
      <c r="C628" s="64"/>
      <c r="E628" s="64"/>
      <c r="F628" s="64"/>
      <c r="G628" s="64"/>
      <c r="AH628" s="162"/>
      <c r="AI628" s="162"/>
      <c r="AJ628" s="162"/>
      <c r="AK628" s="162"/>
      <c r="BS628" s="131"/>
      <c r="BT628" s="131"/>
      <c r="BU628" s="131"/>
      <c r="BV628" s="131"/>
      <c r="BW628" s="131"/>
      <c r="BX628" s="131"/>
      <c r="BY628" s="131"/>
      <c r="BZ628" s="131"/>
      <c r="CA628" s="131"/>
      <c r="CB628" s="131"/>
      <c r="CC628" s="131"/>
      <c r="CD628" s="131"/>
      <c r="CE628" s="131"/>
      <c r="CF628" s="131"/>
      <c r="CG628" s="131"/>
      <c r="CH628" s="131"/>
    </row>
    <row r="629" ht="18.75" customHeight="1">
      <c r="C629" s="64"/>
      <c r="E629" s="64"/>
      <c r="F629" s="64"/>
      <c r="G629" s="64"/>
      <c r="AH629" s="162"/>
      <c r="AI629" s="162"/>
      <c r="AJ629" s="162"/>
      <c r="AK629" s="162"/>
      <c r="BS629" s="131"/>
      <c r="BT629" s="131"/>
      <c r="BU629" s="131"/>
      <c r="BV629" s="131"/>
      <c r="BW629" s="131"/>
      <c r="BX629" s="131"/>
      <c r="BY629" s="131"/>
      <c r="BZ629" s="131"/>
      <c r="CA629" s="131"/>
      <c r="CB629" s="131"/>
      <c r="CC629" s="131"/>
      <c r="CD629" s="131"/>
      <c r="CE629" s="131"/>
      <c r="CF629" s="131"/>
      <c r="CG629" s="131"/>
      <c r="CH629" s="131"/>
    </row>
    <row r="630" ht="18.75" customHeight="1">
      <c r="C630" s="64"/>
      <c r="E630" s="64"/>
      <c r="F630" s="64"/>
      <c r="G630" s="64"/>
      <c r="AH630" s="162"/>
      <c r="AI630" s="162"/>
      <c r="AJ630" s="162"/>
      <c r="AK630" s="162"/>
      <c r="BS630" s="131"/>
      <c r="BT630" s="131"/>
      <c r="BU630" s="131"/>
      <c r="BV630" s="131"/>
      <c r="BW630" s="131"/>
      <c r="BX630" s="131"/>
      <c r="BY630" s="131"/>
      <c r="BZ630" s="131"/>
      <c r="CA630" s="131"/>
      <c r="CB630" s="131"/>
      <c r="CC630" s="131"/>
      <c r="CD630" s="131"/>
      <c r="CE630" s="131"/>
      <c r="CF630" s="131"/>
      <c r="CG630" s="131"/>
      <c r="CH630" s="131"/>
    </row>
    <row r="631" ht="18.75" customHeight="1">
      <c r="C631" s="64"/>
      <c r="E631" s="64"/>
      <c r="F631" s="64"/>
      <c r="G631" s="64"/>
      <c r="AH631" s="162"/>
      <c r="AI631" s="162"/>
      <c r="AJ631" s="162"/>
      <c r="AK631" s="162"/>
      <c r="BS631" s="131"/>
      <c r="BT631" s="131"/>
      <c r="BU631" s="131"/>
      <c r="BV631" s="131"/>
      <c r="BW631" s="131"/>
      <c r="BX631" s="131"/>
      <c r="BY631" s="131"/>
      <c r="BZ631" s="131"/>
      <c r="CA631" s="131"/>
      <c r="CB631" s="131"/>
      <c r="CC631" s="131"/>
      <c r="CD631" s="131"/>
      <c r="CE631" s="131"/>
      <c r="CF631" s="131"/>
      <c r="CG631" s="131"/>
      <c r="CH631" s="131"/>
    </row>
    <row r="632" ht="18.75" customHeight="1">
      <c r="C632" s="64"/>
      <c r="E632" s="64"/>
      <c r="F632" s="64"/>
      <c r="G632" s="64"/>
      <c r="AH632" s="162"/>
      <c r="AI632" s="162"/>
      <c r="AJ632" s="162"/>
      <c r="AK632" s="162"/>
      <c r="BS632" s="131"/>
      <c r="BT632" s="131"/>
      <c r="BU632" s="131"/>
      <c r="BV632" s="131"/>
      <c r="BW632" s="131"/>
      <c r="BX632" s="131"/>
      <c r="BY632" s="131"/>
      <c r="BZ632" s="131"/>
      <c r="CA632" s="131"/>
      <c r="CB632" s="131"/>
      <c r="CC632" s="131"/>
      <c r="CD632" s="131"/>
      <c r="CE632" s="131"/>
      <c r="CF632" s="131"/>
      <c r="CG632" s="131"/>
      <c r="CH632" s="131"/>
    </row>
    <row r="633" ht="18.75" customHeight="1">
      <c r="C633" s="64"/>
      <c r="E633" s="64"/>
      <c r="F633" s="64"/>
      <c r="G633" s="64"/>
      <c r="AH633" s="162"/>
      <c r="AI633" s="162"/>
      <c r="AJ633" s="162"/>
      <c r="AK633" s="162"/>
      <c r="BS633" s="131"/>
      <c r="BT633" s="131"/>
      <c r="BU633" s="131"/>
      <c r="BV633" s="131"/>
      <c r="BW633" s="131"/>
      <c r="BX633" s="131"/>
      <c r="BY633" s="131"/>
      <c r="BZ633" s="131"/>
      <c r="CA633" s="131"/>
      <c r="CB633" s="131"/>
      <c r="CC633" s="131"/>
      <c r="CD633" s="131"/>
      <c r="CE633" s="131"/>
      <c r="CF633" s="131"/>
      <c r="CG633" s="131"/>
      <c r="CH633" s="131"/>
    </row>
    <row r="634" ht="18.75" customHeight="1">
      <c r="C634" s="64"/>
      <c r="E634" s="64"/>
      <c r="F634" s="64"/>
      <c r="G634" s="64"/>
      <c r="AH634" s="162"/>
      <c r="AI634" s="162"/>
      <c r="AJ634" s="162"/>
      <c r="AK634" s="162"/>
      <c r="BS634" s="131"/>
      <c r="BT634" s="131"/>
      <c r="BU634" s="131"/>
      <c r="BV634" s="131"/>
      <c r="BW634" s="131"/>
      <c r="BX634" s="131"/>
      <c r="BY634" s="131"/>
      <c r="BZ634" s="131"/>
      <c r="CA634" s="131"/>
      <c r="CB634" s="131"/>
      <c r="CC634" s="131"/>
      <c r="CD634" s="131"/>
      <c r="CE634" s="131"/>
      <c r="CF634" s="131"/>
      <c r="CG634" s="131"/>
      <c r="CH634" s="131"/>
    </row>
    <row r="635" ht="18.75" customHeight="1">
      <c r="C635" s="64"/>
      <c r="E635" s="64"/>
      <c r="F635" s="64"/>
      <c r="G635" s="64"/>
      <c r="AH635" s="162"/>
      <c r="AI635" s="162"/>
      <c r="AJ635" s="162"/>
      <c r="AK635" s="162"/>
      <c r="BS635" s="131"/>
      <c r="BT635" s="131"/>
      <c r="BU635" s="131"/>
      <c r="BV635" s="131"/>
      <c r="BW635" s="131"/>
      <c r="BX635" s="131"/>
      <c r="BY635" s="131"/>
      <c r="BZ635" s="131"/>
      <c r="CA635" s="131"/>
      <c r="CB635" s="131"/>
      <c r="CC635" s="131"/>
      <c r="CD635" s="131"/>
      <c r="CE635" s="131"/>
      <c r="CF635" s="131"/>
      <c r="CG635" s="131"/>
      <c r="CH635" s="131"/>
    </row>
    <row r="636" ht="18.75" customHeight="1">
      <c r="C636" s="64"/>
      <c r="E636" s="64"/>
      <c r="F636" s="64"/>
      <c r="G636" s="64"/>
      <c r="AH636" s="162"/>
      <c r="AI636" s="162"/>
      <c r="AJ636" s="162"/>
      <c r="AK636" s="162"/>
      <c r="BS636" s="131"/>
      <c r="BT636" s="131"/>
      <c r="BU636" s="131"/>
      <c r="BV636" s="131"/>
      <c r="BW636" s="131"/>
      <c r="BX636" s="131"/>
      <c r="BY636" s="131"/>
      <c r="BZ636" s="131"/>
      <c r="CA636" s="131"/>
      <c r="CB636" s="131"/>
      <c r="CC636" s="131"/>
      <c r="CD636" s="131"/>
      <c r="CE636" s="131"/>
      <c r="CF636" s="131"/>
      <c r="CG636" s="131"/>
      <c r="CH636" s="131"/>
    </row>
    <row r="637" ht="18.75" customHeight="1">
      <c r="C637" s="64"/>
      <c r="E637" s="64"/>
      <c r="F637" s="64"/>
      <c r="G637" s="64"/>
      <c r="AH637" s="162"/>
      <c r="AI637" s="162"/>
      <c r="AJ637" s="162"/>
      <c r="AK637" s="162"/>
      <c r="BS637" s="131"/>
      <c r="BT637" s="131"/>
      <c r="BU637" s="131"/>
      <c r="BV637" s="131"/>
      <c r="BW637" s="131"/>
      <c r="BX637" s="131"/>
      <c r="BY637" s="131"/>
      <c r="BZ637" s="131"/>
      <c r="CA637" s="131"/>
      <c r="CB637" s="131"/>
      <c r="CC637" s="131"/>
      <c r="CD637" s="131"/>
      <c r="CE637" s="131"/>
      <c r="CF637" s="131"/>
      <c r="CG637" s="131"/>
      <c r="CH637" s="131"/>
    </row>
    <row r="638" ht="18.75" customHeight="1">
      <c r="C638" s="64"/>
      <c r="E638" s="64"/>
      <c r="F638" s="64"/>
      <c r="G638" s="64"/>
      <c r="AH638" s="162"/>
      <c r="AI638" s="162"/>
      <c r="AJ638" s="162"/>
      <c r="AK638" s="162"/>
      <c r="BS638" s="131"/>
      <c r="BT638" s="131"/>
      <c r="BU638" s="131"/>
      <c r="BV638" s="131"/>
      <c r="BW638" s="131"/>
      <c r="BX638" s="131"/>
      <c r="BY638" s="131"/>
      <c r="BZ638" s="131"/>
      <c r="CA638" s="131"/>
      <c r="CB638" s="131"/>
      <c r="CC638" s="131"/>
      <c r="CD638" s="131"/>
      <c r="CE638" s="131"/>
      <c r="CF638" s="131"/>
      <c r="CG638" s="131"/>
      <c r="CH638" s="131"/>
    </row>
    <row r="639" ht="18.75" customHeight="1">
      <c r="C639" s="64"/>
      <c r="E639" s="64"/>
      <c r="F639" s="64"/>
      <c r="G639" s="64"/>
      <c r="AH639" s="162"/>
      <c r="AI639" s="162"/>
      <c r="AJ639" s="162"/>
      <c r="AK639" s="162"/>
      <c r="BS639" s="131"/>
      <c r="BT639" s="131"/>
      <c r="BU639" s="131"/>
      <c r="BV639" s="131"/>
      <c r="BW639" s="131"/>
      <c r="BX639" s="131"/>
      <c r="BY639" s="131"/>
      <c r="BZ639" s="131"/>
      <c r="CA639" s="131"/>
      <c r="CB639" s="131"/>
      <c r="CC639" s="131"/>
      <c r="CD639" s="131"/>
      <c r="CE639" s="131"/>
      <c r="CF639" s="131"/>
      <c r="CG639" s="131"/>
      <c r="CH639" s="131"/>
    </row>
    <row r="640" ht="18.75" customHeight="1">
      <c r="C640" s="64"/>
      <c r="E640" s="64"/>
      <c r="F640" s="64"/>
      <c r="G640" s="64"/>
      <c r="AH640" s="162"/>
      <c r="AI640" s="162"/>
      <c r="AJ640" s="162"/>
      <c r="AK640" s="162"/>
      <c r="BS640" s="131"/>
      <c r="BT640" s="131"/>
      <c r="BU640" s="131"/>
      <c r="BV640" s="131"/>
      <c r="BW640" s="131"/>
      <c r="BX640" s="131"/>
      <c r="BY640" s="131"/>
      <c r="BZ640" s="131"/>
      <c r="CA640" s="131"/>
      <c r="CB640" s="131"/>
      <c r="CC640" s="131"/>
      <c r="CD640" s="131"/>
      <c r="CE640" s="131"/>
      <c r="CF640" s="131"/>
      <c r="CG640" s="131"/>
      <c r="CH640" s="131"/>
    </row>
    <row r="641" ht="18.75" customHeight="1">
      <c r="C641" s="64"/>
      <c r="E641" s="64"/>
      <c r="F641" s="64"/>
      <c r="G641" s="64"/>
      <c r="AH641" s="162"/>
      <c r="AI641" s="162"/>
      <c r="AJ641" s="162"/>
      <c r="AK641" s="162"/>
      <c r="BS641" s="131"/>
      <c r="BT641" s="131"/>
      <c r="BU641" s="131"/>
      <c r="BV641" s="131"/>
      <c r="BW641" s="131"/>
      <c r="BX641" s="131"/>
      <c r="BY641" s="131"/>
      <c r="BZ641" s="131"/>
      <c r="CA641" s="131"/>
      <c r="CB641" s="131"/>
      <c r="CC641" s="131"/>
      <c r="CD641" s="131"/>
      <c r="CE641" s="131"/>
      <c r="CF641" s="131"/>
      <c r="CG641" s="131"/>
      <c r="CH641" s="131"/>
    </row>
    <row r="642" ht="18.75" customHeight="1">
      <c r="C642" s="64"/>
      <c r="E642" s="64"/>
      <c r="F642" s="64"/>
      <c r="G642" s="64"/>
      <c r="AH642" s="162"/>
      <c r="AI642" s="162"/>
      <c r="AJ642" s="162"/>
      <c r="AK642" s="162"/>
      <c r="BS642" s="131"/>
      <c r="BT642" s="131"/>
      <c r="BU642" s="131"/>
      <c r="BV642" s="131"/>
      <c r="BW642" s="131"/>
      <c r="BX642" s="131"/>
      <c r="BY642" s="131"/>
      <c r="BZ642" s="131"/>
      <c r="CA642" s="131"/>
      <c r="CB642" s="131"/>
      <c r="CC642" s="131"/>
      <c r="CD642" s="131"/>
      <c r="CE642" s="131"/>
      <c r="CF642" s="131"/>
      <c r="CG642" s="131"/>
      <c r="CH642" s="131"/>
    </row>
    <row r="643" ht="18.75" customHeight="1">
      <c r="C643" s="64"/>
      <c r="E643" s="64"/>
      <c r="F643" s="64"/>
      <c r="G643" s="64"/>
      <c r="AH643" s="162"/>
      <c r="AI643" s="162"/>
      <c r="AJ643" s="162"/>
      <c r="AK643" s="162"/>
      <c r="BS643" s="131"/>
      <c r="BT643" s="131"/>
      <c r="BU643" s="131"/>
      <c r="BV643" s="131"/>
      <c r="BW643" s="131"/>
      <c r="BX643" s="131"/>
      <c r="BY643" s="131"/>
      <c r="BZ643" s="131"/>
      <c r="CA643" s="131"/>
      <c r="CB643" s="131"/>
      <c r="CC643" s="131"/>
      <c r="CD643" s="131"/>
      <c r="CE643" s="131"/>
      <c r="CF643" s="131"/>
      <c r="CG643" s="131"/>
      <c r="CH643" s="131"/>
    </row>
    <row r="644" ht="18.75" customHeight="1">
      <c r="C644" s="64"/>
      <c r="E644" s="64"/>
      <c r="F644" s="64"/>
      <c r="G644" s="64"/>
      <c r="AH644" s="162"/>
      <c r="AI644" s="162"/>
      <c r="AJ644" s="162"/>
      <c r="AK644" s="162"/>
      <c r="BS644" s="131"/>
      <c r="BT644" s="131"/>
      <c r="BU644" s="131"/>
      <c r="BV644" s="131"/>
      <c r="BW644" s="131"/>
      <c r="BX644" s="131"/>
      <c r="BY644" s="131"/>
      <c r="BZ644" s="131"/>
      <c r="CA644" s="131"/>
      <c r="CB644" s="131"/>
      <c r="CC644" s="131"/>
      <c r="CD644" s="131"/>
      <c r="CE644" s="131"/>
      <c r="CF644" s="131"/>
      <c r="CG644" s="131"/>
      <c r="CH644" s="131"/>
    </row>
    <row r="645" ht="18.75" customHeight="1">
      <c r="C645" s="64"/>
      <c r="E645" s="64"/>
      <c r="F645" s="64"/>
      <c r="G645" s="64"/>
      <c r="AH645" s="162"/>
      <c r="AI645" s="162"/>
      <c r="AJ645" s="162"/>
      <c r="AK645" s="162"/>
      <c r="BS645" s="131"/>
      <c r="BT645" s="131"/>
      <c r="BU645" s="131"/>
      <c r="BV645" s="131"/>
      <c r="BW645" s="131"/>
      <c r="BX645" s="131"/>
      <c r="BY645" s="131"/>
      <c r="BZ645" s="131"/>
      <c r="CA645" s="131"/>
      <c r="CB645" s="131"/>
      <c r="CC645" s="131"/>
      <c r="CD645" s="131"/>
      <c r="CE645" s="131"/>
      <c r="CF645" s="131"/>
      <c r="CG645" s="131"/>
      <c r="CH645" s="131"/>
    </row>
    <row r="646" ht="18.75" customHeight="1">
      <c r="C646" s="64"/>
      <c r="E646" s="64"/>
      <c r="F646" s="64"/>
      <c r="G646" s="64"/>
      <c r="AH646" s="162"/>
      <c r="AI646" s="162"/>
      <c r="AJ646" s="162"/>
      <c r="AK646" s="162"/>
      <c r="BS646" s="131"/>
      <c r="BT646" s="131"/>
      <c r="BU646" s="131"/>
      <c r="BV646" s="131"/>
      <c r="BW646" s="131"/>
      <c r="BX646" s="131"/>
      <c r="BY646" s="131"/>
      <c r="BZ646" s="131"/>
      <c r="CA646" s="131"/>
      <c r="CB646" s="131"/>
      <c r="CC646" s="131"/>
      <c r="CD646" s="131"/>
      <c r="CE646" s="131"/>
      <c r="CF646" s="131"/>
      <c r="CG646" s="131"/>
      <c r="CH646" s="131"/>
    </row>
    <row r="647" ht="18.75" customHeight="1">
      <c r="C647" s="64"/>
      <c r="E647" s="64"/>
      <c r="F647" s="64"/>
      <c r="G647" s="64"/>
      <c r="AH647" s="162"/>
      <c r="AI647" s="162"/>
      <c r="AJ647" s="162"/>
      <c r="AK647" s="162"/>
      <c r="BS647" s="131"/>
      <c r="BT647" s="131"/>
      <c r="BU647" s="131"/>
      <c r="BV647" s="131"/>
      <c r="BW647" s="131"/>
      <c r="BX647" s="131"/>
      <c r="BY647" s="131"/>
      <c r="BZ647" s="131"/>
      <c r="CA647" s="131"/>
      <c r="CB647" s="131"/>
      <c r="CC647" s="131"/>
      <c r="CD647" s="131"/>
      <c r="CE647" s="131"/>
      <c r="CF647" s="131"/>
      <c r="CG647" s="131"/>
      <c r="CH647" s="131"/>
    </row>
    <row r="648" ht="18.75" customHeight="1">
      <c r="C648" s="64"/>
      <c r="E648" s="64"/>
      <c r="F648" s="64"/>
      <c r="G648" s="64"/>
      <c r="AH648" s="162"/>
      <c r="AI648" s="162"/>
      <c r="AJ648" s="162"/>
      <c r="AK648" s="162"/>
      <c r="BS648" s="131"/>
      <c r="BT648" s="131"/>
      <c r="BU648" s="131"/>
      <c r="BV648" s="131"/>
      <c r="BW648" s="131"/>
      <c r="BX648" s="131"/>
      <c r="BY648" s="131"/>
      <c r="BZ648" s="131"/>
      <c r="CA648" s="131"/>
      <c r="CB648" s="131"/>
      <c r="CC648" s="131"/>
      <c r="CD648" s="131"/>
      <c r="CE648" s="131"/>
      <c r="CF648" s="131"/>
      <c r="CG648" s="131"/>
      <c r="CH648" s="131"/>
    </row>
    <row r="649" ht="18.75" customHeight="1">
      <c r="C649" s="64"/>
      <c r="E649" s="64"/>
      <c r="F649" s="64"/>
      <c r="G649" s="64"/>
      <c r="AH649" s="162"/>
      <c r="AI649" s="162"/>
      <c r="AJ649" s="162"/>
      <c r="AK649" s="162"/>
      <c r="BS649" s="131"/>
      <c r="BT649" s="131"/>
      <c r="BU649" s="131"/>
      <c r="BV649" s="131"/>
      <c r="BW649" s="131"/>
      <c r="BX649" s="131"/>
      <c r="BY649" s="131"/>
      <c r="BZ649" s="131"/>
      <c r="CA649" s="131"/>
      <c r="CB649" s="131"/>
      <c r="CC649" s="131"/>
      <c r="CD649" s="131"/>
      <c r="CE649" s="131"/>
      <c r="CF649" s="131"/>
      <c r="CG649" s="131"/>
      <c r="CH649" s="131"/>
    </row>
    <row r="650" ht="18.75" customHeight="1">
      <c r="C650" s="64"/>
      <c r="E650" s="64"/>
      <c r="F650" s="64"/>
      <c r="G650" s="64"/>
      <c r="AH650" s="162"/>
      <c r="AI650" s="162"/>
      <c r="AJ650" s="162"/>
      <c r="AK650" s="162"/>
      <c r="BS650" s="131"/>
      <c r="BT650" s="131"/>
      <c r="BU650" s="131"/>
      <c r="BV650" s="131"/>
      <c r="BW650" s="131"/>
      <c r="BX650" s="131"/>
      <c r="BY650" s="131"/>
      <c r="BZ650" s="131"/>
      <c r="CA650" s="131"/>
      <c r="CB650" s="131"/>
      <c r="CC650" s="131"/>
      <c r="CD650" s="131"/>
      <c r="CE650" s="131"/>
      <c r="CF650" s="131"/>
      <c r="CG650" s="131"/>
      <c r="CH650" s="131"/>
    </row>
    <row r="651" ht="18.75" customHeight="1">
      <c r="C651" s="64"/>
      <c r="E651" s="64"/>
      <c r="F651" s="64"/>
      <c r="G651" s="64"/>
      <c r="AH651" s="162"/>
      <c r="AI651" s="162"/>
      <c r="AJ651" s="162"/>
      <c r="AK651" s="162"/>
      <c r="BS651" s="131"/>
      <c r="BT651" s="131"/>
      <c r="BU651" s="131"/>
      <c r="BV651" s="131"/>
      <c r="BW651" s="131"/>
      <c r="BX651" s="131"/>
      <c r="BY651" s="131"/>
      <c r="BZ651" s="131"/>
      <c r="CA651" s="131"/>
      <c r="CB651" s="131"/>
      <c r="CC651" s="131"/>
      <c r="CD651" s="131"/>
      <c r="CE651" s="131"/>
      <c r="CF651" s="131"/>
      <c r="CG651" s="131"/>
      <c r="CH651" s="131"/>
    </row>
    <row r="652" ht="18.75" customHeight="1">
      <c r="C652" s="64"/>
      <c r="E652" s="64"/>
      <c r="F652" s="64"/>
      <c r="G652" s="64"/>
      <c r="AH652" s="162"/>
      <c r="AI652" s="162"/>
      <c r="AJ652" s="162"/>
      <c r="AK652" s="162"/>
      <c r="BS652" s="131"/>
      <c r="BT652" s="131"/>
      <c r="BU652" s="131"/>
      <c r="BV652" s="131"/>
      <c r="BW652" s="131"/>
      <c r="BX652" s="131"/>
      <c r="BY652" s="131"/>
      <c r="BZ652" s="131"/>
      <c r="CA652" s="131"/>
      <c r="CB652" s="131"/>
      <c r="CC652" s="131"/>
      <c r="CD652" s="131"/>
      <c r="CE652" s="131"/>
      <c r="CF652" s="131"/>
      <c r="CG652" s="131"/>
      <c r="CH652" s="131"/>
    </row>
    <row r="653" ht="18.75" customHeight="1">
      <c r="C653" s="64"/>
      <c r="E653" s="64"/>
      <c r="F653" s="64"/>
      <c r="G653" s="64"/>
      <c r="AH653" s="162"/>
      <c r="AI653" s="162"/>
      <c r="AJ653" s="162"/>
      <c r="AK653" s="162"/>
      <c r="BS653" s="131"/>
      <c r="BT653" s="131"/>
      <c r="BU653" s="131"/>
      <c r="BV653" s="131"/>
      <c r="BW653" s="131"/>
      <c r="BX653" s="131"/>
      <c r="BY653" s="131"/>
      <c r="BZ653" s="131"/>
      <c r="CA653" s="131"/>
      <c r="CB653" s="131"/>
      <c r="CC653" s="131"/>
      <c r="CD653" s="131"/>
      <c r="CE653" s="131"/>
      <c r="CF653" s="131"/>
      <c r="CG653" s="131"/>
      <c r="CH653" s="131"/>
    </row>
    <row r="654" ht="18.75" customHeight="1">
      <c r="C654" s="64"/>
      <c r="E654" s="64"/>
      <c r="F654" s="64"/>
      <c r="G654" s="64"/>
      <c r="AH654" s="162"/>
      <c r="AI654" s="162"/>
      <c r="AJ654" s="162"/>
      <c r="AK654" s="162"/>
      <c r="BS654" s="131"/>
      <c r="BT654" s="131"/>
      <c r="BU654" s="131"/>
      <c r="BV654" s="131"/>
      <c r="BW654" s="131"/>
      <c r="BX654" s="131"/>
      <c r="BY654" s="131"/>
      <c r="BZ654" s="131"/>
      <c r="CA654" s="131"/>
      <c r="CB654" s="131"/>
      <c r="CC654" s="131"/>
      <c r="CD654" s="131"/>
      <c r="CE654" s="131"/>
      <c r="CF654" s="131"/>
      <c r="CG654" s="131"/>
      <c r="CH654" s="131"/>
    </row>
    <row r="655" ht="18.75" customHeight="1">
      <c r="C655" s="64"/>
      <c r="E655" s="64"/>
      <c r="F655" s="64"/>
      <c r="G655" s="64"/>
      <c r="AH655" s="162"/>
      <c r="AI655" s="162"/>
      <c r="AJ655" s="162"/>
      <c r="AK655" s="162"/>
      <c r="BS655" s="131"/>
      <c r="BT655" s="131"/>
      <c r="BU655" s="131"/>
      <c r="BV655" s="131"/>
      <c r="BW655" s="131"/>
      <c r="BX655" s="131"/>
      <c r="BY655" s="131"/>
      <c r="BZ655" s="131"/>
      <c r="CA655" s="131"/>
      <c r="CB655" s="131"/>
      <c r="CC655" s="131"/>
      <c r="CD655" s="131"/>
      <c r="CE655" s="131"/>
      <c r="CF655" s="131"/>
      <c r="CG655" s="131"/>
      <c r="CH655" s="131"/>
    </row>
    <row r="656" ht="18.75" customHeight="1">
      <c r="C656" s="64"/>
      <c r="E656" s="64"/>
      <c r="F656" s="64"/>
      <c r="G656" s="64"/>
      <c r="AH656" s="162"/>
      <c r="AI656" s="162"/>
      <c r="AJ656" s="162"/>
      <c r="AK656" s="162"/>
      <c r="BS656" s="131"/>
      <c r="BT656" s="131"/>
      <c r="BU656" s="131"/>
      <c r="BV656" s="131"/>
      <c r="BW656" s="131"/>
      <c r="BX656" s="131"/>
      <c r="BY656" s="131"/>
      <c r="BZ656" s="131"/>
      <c r="CA656" s="131"/>
      <c r="CB656" s="131"/>
      <c r="CC656" s="131"/>
      <c r="CD656" s="131"/>
      <c r="CE656" s="131"/>
      <c r="CF656" s="131"/>
      <c r="CG656" s="131"/>
      <c r="CH656" s="131"/>
    </row>
    <row r="657" ht="18.75" customHeight="1">
      <c r="C657" s="64"/>
      <c r="E657" s="64"/>
      <c r="F657" s="64"/>
      <c r="G657" s="64"/>
      <c r="AH657" s="162"/>
      <c r="AI657" s="162"/>
      <c r="AJ657" s="162"/>
      <c r="AK657" s="162"/>
      <c r="BS657" s="131"/>
      <c r="BT657" s="131"/>
      <c r="BU657" s="131"/>
      <c r="BV657" s="131"/>
      <c r="BW657" s="131"/>
      <c r="BX657" s="131"/>
      <c r="BY657" s="131"/>
      <c r="BZ657" s="131"/>
      <c r="CA657" s="131"/>
      <c r="CB657" s="131"/>
      <c r="CC657" s="131"/>
      <c r="CD657" s="131"/>
      <c r="CE657" s="131"/>
      <c r="CF657" s="131"/>
      <c r="CG657" s="131"/>
      <c r="CH657" s="131"/>
    </row>
    <row r="658" ht="18.75" customHeight="1">
      <c r="C658" s="64"/>
      <c r="E658" s="64"/>
      <c r="F658" s="64"/>
      <c r="G658" s="64"/>
      <c r="AH658" s="162"/>
      <c r="AI658" s="162"/>
      <c r="AJ658" s="162"/>
      <c r="AK658" s="162"/>
      <c r="BS658" s="131"/>
      <c r="BT658" s="131"/>
      <c r="BU658" s="131"/>
      <c r="BV658" s="131"/>
      <c r="BW658" s="131"/>
      <c r="BX658" s="131"/>
      <c r="BY658" s="131"/>
      <c r="BZ658" s="131"/>
      <c r="CA658" s="131"/>
      <c r="CB658" s="131"/>
      <c r="CC658" s="131"/>
      <c r="CD658" s="131"/>
      <c r="CE658" s="131"/>
      <c r="CF658" s="131"/>
      <c r="CG658" s="131"/>
      <c r="CH658" s="131"/>
    </row>
    <row r="659" ht="18.75" customHeight="1">
      <c r="C659" s="64"/>
      <c r="E659" s="64"/>
      <c r="F659" s="64"/>
      <c r="G659" s="64"/>
      <c r="AH659" s="162"/>
      <c r="AI659" s="162"/>
      <c r="AJ659" s="162"/>
      <c r="AK659" s="162"/>
      <c r="BS659" s="131"/>
      <c r="BT659" s="131"/>
      <c r="BU659" s="131"/>
      <c r="BV659" s="131"/>
      <c r="BW659" s="131"/>
      <c r="BX659" s="131"/>
      <c r="BY659" s="131"/>
      <c r="BZ659" s="131"/>
      <c r="CA659" s="131"/>
      <c r="CB659" s="131"/>
      <c r="CC659" s="131"/>
      <c r="CD659" s="131"/>
      <c r="CE659" s="131"/>
      <c r="CF659" s="131"/>
      <c r="CG659" s="131"/>
      <c r="CH659" s="131"/>
    </row>
    <row r="660" ht="18.75" customHeight="1">
      <c r="C660" s="64"/>
      <c r="E660" s="64"/>
      <c r="F660" s="64"/>
      <c r="G660" s="64"/>
      <c r="AH660" s="162"/>
      <c r="AI660" s="162"/>
      <c r="AJ660" s="162"/>
      <c r="AK660" s="162"/>
      <c r="BS660" s="131"/>
      <c r="BT660" s="131"/>
      <c r="BU660" s="131"/>
      <c r="BV660" s="131"/>
      <c r="BW660" s="131"/>
      <c r="BX660" s="131"/>
      <c r="BY660" s="131"/>
      <c r="BZ660" s="131"/>
      <c r="CA660" s="131"/>
      <c r="CB660" s="131"/>
      <c r="CC660" s="131"/>
      <c r="CD660" s="131"/>
      <c r="CE660" s="131"/>
      <c r="CF660" s="131"/>
      <c r="CG660" s="131"/>
      <c r="CH660" s="131"/>
    </row>
    <row r="661" ht="18.75" customHeight="1">
      <c r="C661" s="64"/>
      <c r="E661" s="64"/>
      <c r="F661" s="64"/>
      <c r="G661" s="64"/>
      <c r="AH661" s="162"/>
      <c r="AI661" s="162"/>
      <c r="AJ661" s="162"/>
      <c r="AK661" s="162"/>
      <c r="BS661" s="131"/>
      <c r="BT661" s="131"/>
      <c r="BU661" s="131"/>
      <c r="BV661" s="131"/>
      <c r="BW661" s="131"/>
      <c r="BX661" s="131"/>
      <c r="BY661" s="131"/>
      <c r="BZ661" s="131"/>
      <c r="CA661" s="131"/>
      <c r="CB661" s="131"/>
      <c r="CC661" s="131"/>
      <c r="CD661" s="131"/>
      <c r="CE661" s="131"/>
      <c r="CF661" s="131"/>
      <c r="CG661" s="131"/>
      <c r="CH661" s="131"/>
    </row>
    <row r="662" ht="18.75" customHeight="1">
      <c r="C662" s="64"/>
      <c r="E662" s="64"/>
      <c r="F662" s="64"/>
      <c r="G662" s="64"/>
      <c r="AH662" s="162"/>
      <c r="AI662" s="162"/>
      <c r="AJ662" s="162"/>
      <c r="AK662" s="162"/>
      <c r="BS662" s="131"/>
      <c r="BT662" s="131"/>
      <c r="BU662" s="131"/>
      <c r="BV662" s="131"/>
      <c r="BW662" s="131"/>
      <c r="BX662" s="131"/>
      <c r="BY662" s="131"/>
      <c r="BZ662" s="131"/>
      <c r="CA662" s="131"/>
      <c r="CB662" s="131"/>
      <c r="CC662" s="131"/>
      <c r="CD662" s="131"/>
      <c r="CE662" s="131"/>
      <c r="CF662" s="131"/>
      <c r="CG662" s="131"/>
      <c r="CH662" s="131"/>
    </row>
    <row r="663" ht="18.75" customHeight="1">
      <c r="C663" s="64"/>
      <c r="E663" s="64"/>
      <c r="F663" s="64"/>
      <c r="G663" s="64"/>
      <c r="AH663" s="162"/>
      <c r="AI663" s="162"/>
      <c r="AJ663" s="162"/>
      <c r="AK663" s="162"/>
      <c r="BS663" s="131"/>
      <c r="BT663" s="131"/>
      <c r="BU663" s="131"/>
      <c r="BV663" s="131"/>
      <c r="BW663" s="131"/>
      <c r="BX663" s="131"/>
      <c r="BY663" s="131"/>
      <c r="BZ663" s="131"/>
      <c r="CA663" s="131"/>
      <c r="CB663" s="131"/>
      <c r="CC663" s="131"/>
      <c r="CD663" s="131"/>
      <c r="CE663" s="131"/>
      <c r="CF663" s="131"/>
      <c r="CG663" s="131"/>
      <c r="CH663" s="131"/>
    </row>
    <row r="664" ht="18.75" customHeight="1">
      <c r="C664" s="64"/>
      <c r="E664" s="64"/>
      <c r="F664" s="64"/>
      <c r="G664" s="64"/>
      <c r="AH664" s="162"/>
      <c r="AI664" s="162"/>
      <c r="AJ664" s="162"/>
      <c r="AK664" s="162"/>
      <c r="BS664" s="131"/>
      <c r="BT664" s="131"/>
      <c r="BU664" s="131"/>
      <c r="BV664" s="131"/>
      <c r="BW664" s="131"/>
      <c r="BX664" s="131"/>
      <c r="BY664" s="131"/>
      <c r="BZ664" s="131"/>
      <c r="CA664" s="131"/>
      <c r="CB664" s="131"/>
      <c r="CC664" s="131"/>
      <c r="CD664" s="131"/>
      <c r="CE664" s="131"/>
      <c r="CF664" s="131"/>
      <c r="CG664" s="131"/>
      <c r="CH664" s="131"/>
    </row>
    <row r="665" ht="18.75" customHeight="1">
      <c r="C665" s="64"/>
      <c r="E665" s="64"/>
      <c r="F665" s="64"/>
      <c r="G665" s="64"/>
      <c r="AH665" s="162"/>
      <c r="AI665" s="162"/>
      <c r="AJ665" s="162"/>
      <c r="AK665" s="162"/>
      <c r="BS665" s="131"/>
      <c r="BT665" s="131"/>
      <c r="BU665" s="131"/>
      <c r="BV665" s="131"/>
      <c r="BW665" s="131"/>
      <c r="BX665" s="131"/>
      <c r="BY665" s="131"/>
      <c r="BZ665" s="131"/>
      <c r="CA665" s="131"/>
      <c r="CB665" s="131"/>
      <c r="CC665" s="131"/>
      <c r="CD665" s="131"/>
      <c r="CE665" s="131"/>
      <c r="CF665" s="131"/>
      <c r="CG665" s="131"/>
      <c r="CH665" s="131"/>
    </row>
    <row r="666" ht="18.75" customHeight="1">
      <c r="C666" s="64"/>
      <c r="E666" s="64"/>
      <c r="F666" s="64"/>
      <c r="G666" s="64"/>
      <c r="AH666" s="162"/>
      <c r="AI666" s="162"/>
      <c r="AJ666" s="162"/>
      <c r="AK666" s="162"/>
      <c r="BS666" s="131"/>
      <c r="BT666" s="131"/>
      <c r="BU666" s="131"/>
      <c r="BV666" s="131"/>
      <c r="BW666" s="131"/>
      <c r="BX666" s="131"/>
      <c r="BY666" s="131"/>
      <c r="BZ666" s="131"/>
      <c r="CA666" s="131"/>
      <c r="CB666" s="131"/>
      <c r="CC666" s="131"/>
      <c r="CD666" s="131"/>
      <c r="CE666" s="131"/>
      <c r="CF666" s="131"/>
      <c r="CG666" s="131"/>
      <c r="CH666" s="131"/>
    </row>
    <row r="667" ht="18.75" customHeight="1">
      <c r="C667" s="64"/>
      <c r="E667" s="64"/>
      <c r="F667" s="64"/>
      <c r="G667" s="64"/>
      <c r="AH667" s="162"/>
      <c r="AI667" s="162"/>
      <c r="AJ667" s="162"/>
      <c r="AK667" s="162"/>
      <c r="BS667" s="131"/>
      <c r="BT667" s="131"/>
      <c r="BU667" s="131"/>
      <c r="BV667" s="131"/>
      <c r="BW667" s="131"/>
      <c r="BX667" s="131"/>
      <c r="BY667" s="131"/>
      <c r="BZ667" s="131"/>
      <c r="CA667" s="131"/>
      <c r="CB667" s="131"/>
      <c r="CC667" s="131"/>
      <c r="CD667" s="131"/>
      <c r="CE667" s="131"/>
      <c r="CF667" s="131"/>
      <c r="CG667" s="131"/>
      <c r="CH667" s="131"/>
    </row>
    <row r="668" ht="18.75" customHeight="1">
      <c r="C668" s="64"/>
      <c r="E668" s="64"/>
      <c r="F668" s="64"/>
      <c r="G668" s="64"/>
      <c r="AH668" s="162"/>
      <c r="AI668" s="162"/>
      <c r="AJ668" s="162"/>
      <c r="AK668" s="162"/>
      <c r="BS668" s="131"/>
      <c r="BT668" s="131"/>
      <c r="BU668" s="131"/>
      <c r="BV668" s="131"/>
      <c r="BW668" s="131"/>
      <c r="BX668" s="131"/>
      <c r="BY668" s="131"/>
      <c r="BZ668" s="131"/>
      <c r="CA668" s="131"/>
      <c r="CB668" s="131"/>
      <c r="CC668" s="131"/>
      <c r="CD668" s="131"/>
      <c r="CE668" s="131"/>
      <c r="CF668" s="131"/>
      <c r="CG668" s="131"/>
      <c r="CH668" s="131"/>
    </row>
    <row r="669" ht="18.75" customHeight="1">
      <c r="C669" s="64"/>
      <c r="E669" s="64"/>
      <c r="F669" s="64"/>
      <c r="G669" s="64"/>
      <c r="AH669" s="162"/>
      <c r="AI669" s="162"/>
      <c r="AJ669" s="162"/>
      <c r="AK669" s="162"/>
      <c r="BS669" s="131"/>
      <c r="BT669" s="131"/>
      <c r="BU669" s="131"/>
      <c r="BV669" s="131"/>
      <c r="BW669" s="131"/>
      <c r="BX669" s="131"/>
      <c r="BY669" s="131"/>
      <c r="BZ669" s="131"/>
      <c r="CA669" s="131"/>
      <c r="CB669" s="131"/>
      <c r="CC669" s="131"/>
      <c r="CD669" s="131"/>
      <c r="CE669" s="131"/>
      <c r="CF669" s="131"/>
      <c r="CG669" s="131"/>
      <c r="CH669" s="131"/>
    </row>
    <row r="670" ht="18.75" customHeight="1">
      <c r="C670" s="64"/>
      <c r="E670" s="64"/>
      <c r="F670" s="64"/>
      <c r="G670" s="64"/>
      <c r="AH670" s="162"/>
      <c r="AI670" s="162"/>
      <c r="AJ670" s="162"/>
      <c r="AK670" s="162"/>
      <c r="BS670" s="131"/>
      <c r="BT670" s="131"/>
      <c r="BU670" s="131"/>
      <c r="BV670" s="131"/>
      <c r="BW670" s="131"/>
      <c r="BX670" s="131"/>
      <c r="BY670" s="131"/>
      <c r="BZ670" s="131"/>
      <c r="CA670" s="131"/>
      <c r="CB670" s="131"/>
      <c r="CC670" s="131"/>
      <c r="CD670" s="131"/>
      <c r="CE670" s="131"/>
      <c r="CF670" s="131"/>
      <c r="CG670" s="131"/>
      <c r="CH670" s="131"/>
    </row>
    <row r="671" ht="18.75" customHeight="1">
      <c r="C671" s="64"/>
      <c r="E671" s="64"/>
      <c r="F671" s="64"/>
      <c r="G671" s="64"/>
      <c r="AH671" s="162"/>
      <c r="AI671" s="162"/>
      <c r="AJ671" s="162"/>
      <c r="AK671" s="162"/>
      <c r="BS671" s="131"/>
      <c r="BT671" s="131"/>
      <c r="BU671" s="131"/>
      <c r="BV671" s="131"/>
      <c r="BW671" s="131"/>
      <c r="BX671" s="131"/>
      <c r="BY671" s="131"/>
      <c r="BZ671" s="131"/>
      <c r="CA671" s="131"/>
      <c r="CB671" s="131"/>
      <c r="CC671" s="131"/>
      <c r="CD671" s="131"/>
      <c r="CE671" s="131"/>
      <c r="CF671" s="131"/>
      <c r="CG671" s="131"/>
      <c r="CH671" s="131"/>
    </row>
    <row r="672" ht="18.75" customHeight="1">
      <c r="C672" s="64"/>
      <c r="E672" s="64"/>
      <c r="F672" s="64"/>
      <c r="G672" s="64"/>
      <c r="AH672" s="162"/>
      <c r="AI672" s="162"/>
      <c r="AJ672" s="162"/>
      <c r="AK672" s="162"/>
      <c r="BS672" s="131"/>
      <c r="BT672" s="131"/>
      <c r="BU672" s="131"/>
      <c r="BV672" s="131"/>
      <c r="BW672" s="131"/>
      <c r="BX672" s="131"/>
      <c r="BY672" s="131"/>
      <c r="BZ672" s="131"/>
      <c r="CA672" s="131"/>
      <c r="CB672" s="131"/>
      <c r="CC672" s="131"/>
      <c r="CD672" s="131"/>
      <c r="CE672" s="131"/>
      <c r="CF672" s="131"/>
      <c r="CG672" s="131"/>
      <c r="CH672" s="131"/>
    </row>
    <row r="673" ht="18.75" customHeight="1">
      <c r="C673" s="64"/>
      <c r="E673" s="64"/>
      <c r="F673" s="64"/>
      <c r="G673" s="64"/>
      <c r="AH673" s="162"/>
      <c r="AI673" s="162"/>
      <c r="AJ673" s="162"/>
      <c r="AK673" s="162"/>
      <c r="BS673" s="131"/>
      <c r="BT673" s="131"/>
      <c r="BU673" s="131"/>
      <c r="BV673" s="131"/>
      <c r="BW673" s="131"/>
      <c r="BX673" s="131"/>
      <c r="BY673" s="131"/>
      <c r="BZ673" s="131"/>
      <c r="CA673" s="131"/>
      <c r="CB673" s="131"/>
      <c r="CC673" s="131"/>
      <c r="CD673" s="131"/>
      <c r="CE673" s="131"/>
      <c r="CF673" s="131"/>
      <c r="CG673" s="131"/>
      <c r="CH673" s="131"/>
    </row>
    <row r="674" ht="18.75" customHeight="1">
      <c r="C674" s="64"/>
      <c r="E674" s="64"/>
      <c r="F674" s="64"/>
      <c r="G674" s="64"/>
      <c r="AH674" s="162"/>
      <c r="AI674" s="162"/>
      <c r="AJ674" s="162"/>
      <c r="AK674" s="162"/>
      <c r="BS674" s="131"/>
      <c r="BT674" s="131"/>
      <c r="BU674" s="131"/>
      <c r="BV674" s="131"/>
      <c r="BW674" s="131"/>
      <c r="BX674" s="131"/>
      <c r="BY674" s="131"/>
      <c r="BZ674" s="131"/>
      <c r="CA674" s="131"/>
      <c r="CB674" s="131"/>
      <c r="CC674" s="131"/>
      <c r="CD674" s="131"/>
      <c r="CE674" s="131"/>
      <c r="CF674" s="131"/>
      <c r="CG674" s="131"/>
      <c r="CH674" s="131"/>
    </row>
    <row r="675" ht="18.75" customHeight="1">
      <c r="C675" s="64"/>
      <c r="E675" s="64"/>
      <c r="F675" s="64"/>
      <c r="G675" s="64"/>
      <c r="AH675" s="162"/>
      <c r="AI675" s="162"/>
      <c r="AJ675" s="162"/>
      <c r="AK675" s="162"/>
      <c r="BS675" s="131"/>
      <c r="BT675" s="131"/>
      <c r="BU675" s="131"/>
      <c r="BV675" s="131"/>
      <c r="BW675" s="131"/>
      <c r="BX675" s="131"/>
      <c r="BY675" s="131"/>
      <c r="BZ675" s="131"/>
      <c r="CA675" s="131"/>
      <c r="CB675" s="131"/>
      <c r="CC675" s="131"/>
      <c r="CD675" s="131"/>
      <c r="CE675" s="131"/>
      <c r="CF675" s="131"/>
      <c r="CG675" s="131"/>
      <c r="CH675" s="131"/>
    </row>
    <row r="676" ht="18.75" customHeight="1">
      <c r="C676" s="64"/>
      <c r="E676" s="64"/>
      <c r="F676" s="64"/>
      <c r="G676" s="64"/>
      <c r="AH676" s="162"/>
      <c r="AI676" s="162"/>
      <c r="AJ676" s="162"/>
      <c r="AK676" s="162"/>
      <c r="BS676" s="131"/>
      <c r="BT676" s="131"/>
      <c r="BU676" s="131"/>
      <c r="BV676" s="131"/>
      <c r="BW676" s="131"/>
      <c r="BX676" s="131"/>
      <c r="BY676" s="131"/>
      <c r="BZ676" s="131"/>
      <c r="CA676" s="131"/>
      <c r="CB676" s="131"/>
      <c r="CC676" s="131"/>
      <c r="CD676" s="131"/>
      <c r="CE676" s="131"/>
      <c r="CF676" s="131"/>
      <c r="CG676" s="131"/>
      <c r="CH676" s="131"/>
    </row>
    <row r="677" ht="18.75" customHeight="1">
      <c r="C677" s="64"/>
      <c r="E677" s="64"/>
      <c r="F677" s="64"/>
      <c r="G677" s="64"/>
      <c r="AH677" s="162"/>
      <c r="AI677" s="162"/>
      <c r="AJ677" s="162"/>
      <c r="AK677" s="162"/>
      <c r="BS677" s="131"/>
      <c r="BT677" s="131"/>
      <c r="BU677" s="131"/>
      <c r="BV677" s="131"/>
      <c r="BW677" s="131"/>
      <c r="BX677" s="131"/>
      <c r="BY677" s="131"/>
      <c r="BZ677" s="131"/>
      <c r="CA677" s="131"/>
      <c r="CB677" s="131"/>
      <c r="CC677" s="131"/>
      <c r="CD677" s="131"/>
      <c r="CE677" s="131"/>
      <c r="CF677" s="131"/>
      <c r="CG677" s="131"/>
      <c r="CH677" s="131"/>
    </row>
    <row r="678" ht="18.75" customHeight="1">
      <c r="C678" s="64"/>
      <c r="E678" s="64"/>
      <c r="F678" s="64"/>
      <c r="G678" s="64"/>
      <c r="AH678" s="162"/>
      <c r="AI678" s="162"/>
      <c r="AJ678" s="162"/>
      <c r="AK678" s="162"/>
      <c r="BS678" s="131"/>
      <c r="BT678" s="131"/>
      <c r="BU678" s="131"/>
      <c r="BV678" s="131"/>
      <c r="BW678" s="131"/>
      <c r="BX678" s="131"/>
      <c r="BY678" s="131"/>
      <c r="BZ678" s="131"/>
      <c r="CA678" s="131"/>
      <c r="CB678" s="131"/>
      <c r="CC678" s="131"/>
      <c r="CD678" s="131"/>
      <c r="CE678" s="131"/>
      <c r="CF678" s="131"/>
      <c r="CG678" s="131"/>
      <c r="CH678" s="131"/>
    </row>
    <row r="679" ht="18.75" customHeight="1">
      <c r="C679" s="64"/>
      <c r="E679" s="64"/>
      <c r="F679" s="64"/>
      <c r="G679" s="64"/>
      <c r="AH679" s="162"/>
      <c r="AI679" s="162"/>
      <c r="AJ679" s="162"/>
      <c r="AK679" s="162"/>
      <c r="BS679" s="131"/>
      <c r="BT679" s="131"/>
      <c r="BU679" s="131"/>
      <c r="BV679" s="131"/>
      <c r="BW679" s="131"/>
      <c r="BX679" s="131"/>
      <c r="BY679" s="131"/>
      <c r="BZ679" s="131"/>
      <c r="CA679" s="131"/>
      <c r="CB679" s="131"/>
      <c r="CC679" s="131"/>
      <c r="CD679" s="131"/>
      <c r="CE679" s="131"/>
      <c r="CF679" s="131"/>
      <c r="CG679" s="131"/>
      <c r="CH679" s="131"/>
    </row>
    <row r="680" ht="18.75" customHeight="1">
      <c r="C680" s="64"/>
      <c r="E680" s="64"/>
      <c r="F680" s="64"/>
      <c r="G680" s="64"/>
      <c r="AH680" s="162"/>
      <c r="AI680" s="162"/>
      <c r="AJ680" s="162"/>
      <c r="AK680" s="162"/>
      <c r="BS680" s="131"/>
      <c r="BT680" s="131"/>
      <c r="BU680" s="131"/>
      <c r="BV680" s="131"/>
      <c r="BW680" s="131"/>
      <c r="BX680" s="131"/>
      <c r="BY680" s="131"/>
      <c r="BZ680" s="131"/>
      <c r="CA680" s="131"/>
      <c r="CB680" s="131"/>
      <c r="CC680" s="131"/>
      <c r="CD680" s="131"/>
      <c r="CE680" s="131"/>
      <c r="CF680" s="131"/>
      <c r="CG680" s="131"/>
      <c r="CH680" s="131"/>
    </row>
    <row r="681" ht="18.75" customHeight="1">
      <c r="C681" s="64"/>
      <c r="E681" s="64"/>
      <c r="F681" s="64"/>
      <c r="G681" s="64"/>
      <c r="AH681" s="162"/>
      <c r="AI681" s="162"/>
      <c r="AJ681" s="162"/>
      <c r="AK681" s="162"/>
      <c r="BS681" s="131"/>
      <c r="BT681" s="131"/>
      <c r="BU681" s="131"/>
      <c r="BV681" s="131"/>
      <c r="BW681" s="131"/>
      <c r="BX681" s="131"/>
      <c r="BY681" s="131"/>
      <c r="BZ681" s="131"/>
      <c r="CA681" s="131"/>
      <c r="CB681" s="131"/>
      <c r="CC681" s="131"/>
      <c r="CD681" s="131"/>
      <c r="CE681" s="131"/>
      <c r="CF681" s="131"/>
      <c r="CG681" s="131"/>
      <c r="CH681" s="131"/>
    </row>
    <row r="682" ht="18.75" customHeight="1">
      <c r="C682" s="64"/>
      <c r="E682" s="64"/>
      <c r="F682" s="64"/>
      <c r="G682" s="64"/>
      <c r="AH682" s="162"/>
      <c r="AI682" s="162"/>
      <c r="AJ682" s="162"/>
      <c r="AK682" s="162"/>
      <c r="BS682" s="131"/>
      <c r="BT682" s="131"/>
      <c r="BU682" s="131"/>
      <c r="BV682" s="131"/>
      <c r="BW682" s="131"/>
      <c r="BX682" s="131"/>
      <c r="BY682" s="131"/>
      <c r="BZ682" s="131"/>
      <c r="CA682" s="131"/>
      <c r="CB682" s="131"/>
      <c r="CC682" s="131"/>
      <c r="CD682" s="131"/>
      <c r="CE682" s="131"/>
      <c r="CF682" s="131"/>
      <c r="CG682" s="131"/>
      <c r="CH682" s="131"/>
    </row>
    <row r="683" ht="18.75" customHeight="1">
      <c r="C683" s="64"/>
      <c r="E683" s="64"/>
      <c r="F683" s="64"/>
      <c r="G683" s="64"/>
      <c r="AH683" s="162"/>
      <c r="AI683" s="162"/>
      <c r="AJ683" s="162"/>
      <c r="AK683" s="162"/>
      <c r="BS683" s="131"/>
      <c r="BT683" s="131"/>
      <c r="BU683" s="131"/>
      <c r="BV683" s="131"/>
      <c r="BW683" s="131"/>
      <c r="BX683" s="131"/>
      <c r="BY683" s="131"/>
      <c r="BZ683" s="131"/>
      <c r="CA683" s="131"/>
      <c r="CB683" s="131"/>
      <c r="CC683" s="131"/>
      <c r="CD683" s="131"/>
      <c r="CE683" s="131"/>
      <c r="CF683" s="131"/>
      <c r="CG683" s="131"/>
      <c r="CH683" s="131"/>
    </row>
    <row r="684" ht="18.75" customHeight="1">
      <c r="C684" s="64"/>
      <c r="E684" s="64"/>
      <c r="F684" s="64"/>
      <c r="G684" s="64"/>
      <c r="AH684" s="162"/>
      <c r="AI684" s="162"/>
      <c r="AJ684" s="162"/>
      <c r="AK684" s="162"/>
      <c r="BS684" s="131"/>
      <c r="BT684" s="131"/>
      <c r="BU684" s="131"/>
      <c r="BV684" s="131"/>
      <c r="BW684" s="131"/>
      <c r="BX684" s="131"/>
      <c r="BY684" s="131"/>
      <c r="BZ684" s="131"/>
      <c r="CA684" s="131"/>
      <c r="CB684" s="131"/>
      <c r="CC684" s="131"/>
      <c r="CD684" s="131"/>
      <c r="CE684" s="131"/>
      <c r="CF684" s="131"/>
      <c r="CG684" s="131"/>
      <c r="CH684" s="131"/>
    </row>
    <row r="685" ht="18.75" customHeight="1">
      <c r="C685" s="64"/>
      <c r="E685" s="64"/>
      <c r="F685" s="64"/>
      <c r="G685" s="64"/>
      <c r="AH685" s="162"/>
      <c r="AI685" s="162"/>
      <c r="AJ685" s="162"/>
      <c r="AK685" s="162"/>
      <c r="BS685" s="131"/>
      <c r="BT685" s="131"/>
      <c r="BU685" s="131"/>
      <c r="BV685" s="131"/>
      <c r="BW685" s="131"/>
      <c r="BX685" s="131"/>
      <c r="BY685" s="131"/>
      <c r="BZ685" s="131"/>
      <c r="CA685" s="131"/>
      <c r="CB685" s="131"/>
      <c r="CC685" s="131"/>
      <c r="CD685" s="131"/>
      <c r="CE685" s="131"/>
      <c r="CF685" s="131"/>
      <c r="CG685" s="131"/>
      <c r="CH685" s="131"/>
    </row>
    <row r="686" ht="18.75" customHeight="1">
      <c r="C686" s="64"/>
      <c r="E686" s="64"/>
      <c r="F686" s="64"/>
      <c r="G686" s="64"/>
      <c r="AH686" s="162"/>
      <c r="AI686" s="162"/>
      <c r="AJ686" s="162"/>
      <c r="AK686" s="162"/>
      <c r="BS686" s="131"/>
      <c r="BT686" s="131"/>
      <c r="BU686" s="131"/>
      <c r="BV686" s="131"/>
      <c r="BW686" s="131"/>
      <c r="BX686" s="131"/>
      <c r="BY686" s="131"/>
      <c r="BZ686" s="131"/>
      <c r="CA686" s="131"/>
      <c r="CB686" s="131"/>
      <c r="CC686" s="131"/>
      <c r="CD686" s="131"/>
      <c r="CE686" s="131"/>
      <c r="CF686" s="131"/>
      <c r="CG686" s="131"/>
      <c r="CH686" s="131"/>
    </row>
    <row r="687" ht="18.75" customHeight="1">
      <c r="C687" s="64"/>
      <c r="E687" s="64"/>
      <c r="F687" s="64"/>
      <c r="G687" s="64"/>
      <c r="AH687" s="162"/>
      <c r="AI687" s="162"/>
      <c r="AJ687" s="162"/>
      <c r="AK687" s="162"/>
      <c r="BS687" s="131"/>
      <c r="BT687" s="131"/>
      <c r="BU687" s="131"/>
      <c r="BV687" s="131"/>
      <c r="BW687" s="131"/>
      <c r="BX687" s="131"/>
      <c r="BY687" s="131"/>
      <c r="BZ687" s="131"/>
      <c r="CA687" s="131"/>
      <c r="CB687" s="131"/>
      <c r="CC687" s="131"/>
      <c r="CD687" s="131"/>
      <c r="CE687" s="131"/>
      <c r="CF687" s="131"/>
      <c r="CG687" s="131"/>
      <c r="CH687" s="131"/>
    </row>
    <row r="688" ht="18.75" customHeight="1">
      <c r="C688" s="64"/>
      <c r="E688" s="64"/>
      <c r="F688" s="64"/>
      <c r="G688" s="64"/>
      <c r="AH688" s="162"/>
      <c r="AI688" s="162"/>
      <c r="AJ688" s="162"/>
      <c r="AK688" s="162"/>
      <c r="BS688" s="131"/>
      <c r="BT688" s="131"/>
      <c r="BU688" s="131"/>
      <c r="BV688" s="131"/>
      <c r="BW688" s="131"/>
      <c r="BX688" s="131"/>
      <c r="BY688" s="131"/>
      <c r="BZ688" s="131"/>
      <c r="CA688" s="131"/>
      <c r="CB688" s="131"/>
      <c r="CC688" s="131"/>
      <c r="CD688" s="131"/>
      <c r="CE688" s="131"/>
      <c r="CF688" s="131"/>
      <c r="CG688" s="131"/>
      <c r="CH688" s="131"/>
    </row>
    <row r="689" ht="18.75" customHeight="1">
      <c r="C689" s="64"/>
      <c r="E689" s="64"/>
      <c r="F689" s="64"/>
      <c r="G689" s="64"/>
      <c r="AH689" s="162"/>
      <c r="AI689" s="162"/>
      <c r="AJ689" s="162"/>
      <c r="AK689" s="162"/>
      <c r="BS689" s="131"/>
      <c r="BT689" s="131"/>
      <c r="BU689" s="131"/>
      <c r="BV689" s="131"/>
      <c r="BW689" s="131"/>
      <c r="BX689" s="131"/>
      <c r="BY689" s="131"/>
      <c r="BZ689" s="131"/>
      <c r="CA689" s="131"/>
      <c r="CB689" s="131"/>
      <c r="CC689" s="131"/>
      <c r="CD689" s="131"/>
      <c r="CE689" s="131"/>
      <c r="CF689" s="131"/>
      <c r="CG689" s="131"/>
      <c r="CH689" s="131"/>
    </row>
    <row r="690" ht="18.75" customHeight="1">
      <c r="C690" s="64"/>
      <c r="E690" s="64"/>
      <c r="F690" s="64"/>
      <c r="G690" s="64"/>
      <c r="AH690" s="162"/>
      <c r="AI690" s="162"/>
      <c r="AJ690" s="162"/>
      <c r="AK690" s="162"/>
      <c r="BS690" s="131"/>
      <c r="BT690" s="131"/>
      <c r="BU690" s="131"/>
      <c r="BV690" s="131"/>
      <c r="BW690" s="131"/>
      <c r="BX690" s="131"/>
      <c r="BY690" s="131"/>
      <c r="BZ690" s="131"/>
      <c r="CA690" s="131"/>
      <c r="CB690" s="131"/>
      <c r="CC690" s="131"/>
      <c r="CD690" s="131"/>
      <c r="CE690" s="131"/>
      <c r="CF690" s="131"/>
      <c r="CG690" s="131"/>
      <c r="CH690" s="131"/>
    </row>
    <row r="691" ht="18.75" customHeight="1">
      <c r="C691" s="64"/>
      <c r="E691" s="64"/>
      <c r="F691" s="64"/>
      <c r="G691" s="64"/>
      <c r="AH691" s="162"/>
      <c r="AI691" s="162"/>
      <c r="AJ691" s="162"/>
      <c r="AK691" s="162"/>
      <c r="BS691" s="131"/>
      <c r="BT691" s="131"/>
      <c r="BU691" s="131"/>
      <c r="BV691" s="131"/>
      <c r="BW691" s="131"/>
      <c r="BX691" s="131"/>
      <c r="BY691" s="131"/>
      <c r="BZ691" s="131"/>
      <c r="CA691" s="131"/>
      <c r="CB691" s="131"/>
      <c r="CC691" s="131"/>
      <c r="CD691" s="131"/>
      <c r="CE691" s="131"/>
      <c r="CF691" s="131"/>
      <c r="CG691" s="131"/>
      <c r="CH691" s="131"/>
    </row>
    <row r="692" ht="18.75" customHeight="1">
      <c r="C692" s="64"/>
      <c r="E692" s="64"/>
      <c r="F692" s="64"/>
      <c r="G692" s="64"/>
      <c r="AH692" s="162"/>
      <c r="AI692" s="162"/>
      <c r="AJ692" s="162"/>
      <c r="AK692" s="162"/>
      <c r="BS692" s="131"/>
      <c r="BT692" s="131"/>
      <c r="BU692" s="131"/>
      <c r="BV692" s="131"/>
      <c r="BW692" s="131"/>
      <c r="BX692" s="131"/>
      <c r="BY692" s="131"/>
      <c r="BZ692" s="131"/>
      <c r="CA692" s="131"/>
      <c r="CB692" s="131"/>
      <c r="CC692" s="131"/>
      <c r="CD692" s="131"/>
      <c r="CE692" s="131"/>
      <c r="CF692" s="131"/>
      <c r="CG692" s="131"/>
      <c r="CH692" s="131"/>
    </row>
    <row r="693" ht="18.75" customHeight="1">
      <c r="C693" s="64"/>
      <c r="E693" s="64"/>
      <c r="F693" s="64"/>
      <c r="G693" s="64"/>
      <c r="AH693" s="162"/>
      <c r="AI693" s="162"/>
      <c r="AJ693" s="162"/>
      <c r="AK693" s="162"/>
      <c r="BS693" s="131"/>
      <c r="BT693" s="131"/>
      <c r="BU693" s="131"/>
      <c r="BV693" s="131"/>
      <c r="BW693" s="131"/>
      <c r="BX693" s="131"/>
      <c r="BY693" s="131"/>
      <c r="BZ693" s="131"/>
      <c r="CA693" s="131"/>
      <c r="CB693" s="131"/>
      <c r="CC693" s="131"/>
      <c r="CD693" s="131"/>
      <c r="CE693" s="131"/>
      <c r="CF693" s="131"/>
      <c r="CG693" s="131"/>
      <c r="CH693" s="131"/>
    </row>
    <row r="694" ht="18.75" customHeight="1">
      <c r="C694" s="64"/>
      <c r="E694" s="64"/>
      <c r="F694" s="64"/>
      <c r="G694" s="64"/>
      <c r="AH694" s="162"/>
      <c r="AI694" s="162"/>
      <c r="AJ694" s="162"/>
      <c r="AK694" s="162"/>
      <c r="BS694" s="131"/>
      <c r="BT694" s="131"/>
      <c r="BU694" s="131"/>
      <c r="BV694" s="131"/>
      <c r="BW694" s="131"/>
      <c r="BX694" s="131"/>
      <c r="BY694" s="131"/>
      <c r="BZ694" s="131"/>
      <c r="CA694" s="131"/>
      <c r="CB694" s="131"/>
      <c r="CC694" s="131"/>
      <c r="CD694" s="131"/>
      <c r="CE694" s="131"/>
      <c r="CF694" s="131"/>
      <c r="CG694" s="131"/>
      <c r="CH694" s="131"/>
    </row>
    <row r="695" ht="18.75" customHeight="1">
      <c r="C695" s="64"/>
      <c r="E695" s="64"/>
      <c r="F695" s="64"/>
      <c r="G695" s="64"/>
      <c r="AH695" s="162"/>
      <c r="AI695" s="162"/>
      <c r="AJ695" s="162"/>
      <c r="AK695" s="162"/>
      <c r="BS695" s="131"/>
      <c r="BT695" s="131"/>
      <c r="BU695" s="131"/>
      <c r="BV695" s="131"/>
      <c r="BW695" s="131"/>
      <c r="BX695" s="131"/>
      <c r="BY695" s="131"/>
      <c r="BZ695" s="131"/>
      <c r="CA695" s="131"/>
      <c r="CB695" s="131"/>
      <c r="CC695" s="131"/>
      <c r="CD695" s="131"/>
      <c r="CE695" s="131"/>
      <c r="CF695" s="131"/>
      <c r="CG695" s="131"/>
      <c r="CH695" s="131"/>
    </row>
    <row r="696" ht="18.75" customHeight="1">
      <c r="C696" s="64"/>
      <c r="E696" s="64"/>
      <c r="F696" s="64"/>
      <c r="G696" s="64"/>
      <c r="AH696" s="162"/>
      <c r="AI696" s="162"/>
      <c r="AJ696" s="162"/>
      <c r="AK696" s="162"/>
      <c r="BS696" s="131"/>
      <c r="BT696" s="131"/>
      <c r="BU696" s="131"/>
      <c r="BV696" s="131"/>
      <c r="BW696" s="131"/>
      <c r="BX696" s="131"/>
      <c r="BY696" s="131"/>
      <c r="BZ696" s="131"/>
      <c r="CA696" s="131"/>
      <c r="CB696" s="131"/>
      <c r="CC696" s="131"/>
      <c r="CD696" s="131"/>
      <c r="CE696" s="131"/>
      <c r="CF696" s="131"/>
      <c r="CG696" s="131"/>
      <c r="CH696" s="131"/>
    </row>
    <row r="697" ht="18.75" customHeight="1">
      <c r="C697" s="64"/>
      <c r="E697" s="64"/>
      <c r="F697" s="64"/>
      <c r="G697" s="64"/>
      <c r="AH697" s="162"/>
      <c r="AI697" s="162"/>
      <c r="AJ697" s="162"/>
      <c r="AK697" s="162"/>
      <c r="BS697" s="131"/>
      <c r="BT697" s="131"/>
      <c r="BU697" s="131"/>
      <c r="BV697" s="131"/>
      <c r="BW697" s="131"/>
      <c r="BX697" s="131"/>
      <c r="BY697" s="131"/>
      <c r="BZ697" s="131"/>
      <c r="CA697" s="131"/>
      <c r="CB697" s="131"/>
      <c r="CC697" s="131"/>
      <c r="CD697" s="131"/>
      <c r="CE697" s="131"/>
      <c r="CF697" s="131"/>
      <c r="CG697" s="131"/>
      <c r="CH697" s="131"/>
    </row>
    <row r="698" ht="18.75" customHeight="1">
      <c r="C698" s="64"/>
      <c r="E698" s="64"/>
      <c r="F698" s="64"/>
      <c r="G698" s="64"/>
      <c r="AH698" s="162"/>
      <c r="AI698" s="162"/>
      <c r="AJ698" s="162"/>
      <c r="AK698" s="162"/>
      <c r="BS698" s="131"/>
      <c r="BT698" s="131"/>
      <c r="BU698" s="131"/>
      <c r="BV698" s="131"/>
      <c r="BW698" s="131"/>
      <c r="BX698" s="131"/>
      <c r="BY698" s="131"/>
      <c r="BZ698" s="131"/>
      <c r="CA698" s="131"/>
      <c r="CB698" s="131"/>
      <c r="CC698" s="131"/>
      <c r="CD698" s="131"/>
      <c r="CE698" s="131"/>
      <c r="CF698" s="131"/>
      <c r="CG698" s="131"/>
      <c r="CH698" s="131"/>
    </row>
    <row r="699" ht="18.75" customHeight="1">
      <c r="C699" s="64"/>
      <c r="E699" s="64"/>
      <c r="F699" s="64"/>
      <c r="G699" s="64"/>
      <c r="AH699" s="162"/>
      <c r="AI699" s="162"/>
      <c r="AJ699" s="162"/>
      <c r="AK699" s="162"/>
      <c r="BS699" s="131"/>
      <c r="BT699" s="131"/>
      <c r="BU699" s="131"/>
      <c r="BV699" s="131"/>
      <c r="BW699" s="131"/>
      <c r="BX699" s="131"/>
      <c r="BY699" s="131"/>
      <c r="BZ699" s="131"/>
      <c r="CA699" s="131"/>
      <c r="CB699" s="131"/>
      <c r="CC699" s="131"/>
      <c r="CD699" s="131"/>
      <c r="CE699" s="131"/>
      <c r="CF699" s="131"/>
      <c r="CG699" s="131"/>
      <c r="CH699" s="131"/>
    </row>
    <row r="700" ht="18.75" customHeight="1">
      <c r="C700" s="64"/>
      <c r="E700" s="64"/>
      <c r="F700" s="64"/>
      <c r="G700" s="64"/>
      <c r="AH700" s="162"/>
      <c r="AI700" s="162"/>
      <c r="AJ700" s="162"/>
      <c r="AK700" s="162"/>
      <c r="BS700" s="131"/>
      <c r="BT700" s="131"/>
      <c r="BU700" s="131"/>
      <c r="BV700" s="131"/>
      <c r="BW700" s="131"/>
      <c r="BX700" s="131"/>
      <c r="BY700" s="131"/>
      <c r="BZ700" s="131"/>
      <c r="CA700" s="131"/>
      <c r="CB700" s="131"/>
      <c r="CC700" s="131"/>
      <c r="CD700" s="131"/>
      <c r="CE700" s="131"/>
      <c r="CF700" s="131"/>
      <c r="CG700" s="131"/>
      <c r="CH700" s="131"/>
    </row>
    <row r="701" ht="18.75" customHeight="1">
      <c r="C701" s="64"/>
      <c r="E701" s="64"/>
      <c r="F701" s="64"/>
      <c r="G701" s="64"/>
      <c r="AH701" s="162"/>
      <c r="AI701" s="162"/>
      <c r="AJ701" s="162"/>
      <c r="AK701" s="162"/>
      <c r="BS701" s="131"/>
      <c r="BT701" s="131"/>
      <c r="BU701" s="131"/>
      <c r="BV701" s="131"/>
      <c r="BW701" s="131"/>
      <c r="BX701" s="131"/>
      <c r="BY701" s="131"/>
      <c r="BZ701" s="131"/>
      <c r="CA701" s="131"/>
      <c r="CB701" s="131"/>
      <c r="CC701" s="131"/>
      <c r="CD701" s="131"/>
      <c r="CE701" s="131"/>
      <c r="CF701" s="131"/>
      <c r="CG701" s="131"/>
      <c r="CH701" s="131"/>
    </row>
    <row r="702" ht="18.75" customHeight="1">
      <c r="C702" s="64"/>
      <c r="E702" s="64"/>
      <c r="F702" s="64"/>
      <c r="G702" s="64"/>
      <c r="AH702" s="162"/>
      <c r="AI702" s="162"/>
      <c r="AJ702" s="162"/>
      <c r="AK702" s="162"/>
      <c r="BS702" s="131"/>
      <c r="BT702" s="131"/>
      <c r="BU702" s="131"/>
      <c r="BV702" s="131"/>
      <c r="BW702" s="131"/>
      <c r="BX702" s="131"/>
      <c r="BY702" s="131"/>
      <c r="BZ702" s="131"/>
      <c r="CA702" s="131"/>
      <c r="CB702" s="131"/>
      <c r="CC702" s="131"/>
      <c r="CD702" s="131"/>
      <c r="CE702" s="131"/>
      <c r="CF702" s="131"/>
      <c r="CG702" s="131"/>
      <c r="CH702" s="131"/>
    </row>
    <row r="703" ht="18.75" customHeight="1">
      <c r="C703" s="64"/>
      <c r="E703" s="64"/>
      <c r="F703" s="64"/>
      <c r="G703" s="64"/>
      <c r="AH703" s="162"/>
      <c r="AI703" s="162"/>
      <c r="AJ703" s="162"/>
      <c r="AK703" s="162"/>
      <c r="BS703" s="131"/>
      <c r="BT703" s="131"/>
      <c r="BU703" s="131"/>
      <c r="BV703" s="131"/>
      <c r="BW703" s="131"/>
      <c r="BX703" s="131"/>
      <c r="BY703" s="131"/>
      <c r="BZ703" s="131"/>
      <c r="CA703" s="131"/>
      <c r="CB703" s="131"/>
      <c r="CC703" s="131"/>
      <c r="CD703" s="131"/>
      <c r="CE703" s="131"/>
      <c r="CF703" s="131"/>
      <c r="CG703" s="131"/>
      <c r="CH703" s="131"/>
    </row>
    <row r="704" ht="18.75" customHeight="1">
      <c r="C704" s="64"/>
      <c r="E704" s="64"/>
      <c r="F704" s="64"/>
      <c r="G704" s="64"/>
      <c r="AH704" s="162"/>
      <c r="AI704" s="162"/>
      <c r="AJ704" s="162"/>
      <c r="AK704" s="162"/>
      <c r="BS704" s="131"/>
      <c r="BT704" s="131"/>
      <c r="BU704" s="131"/>
      <c r="BV704" s="131"/>
      <c r="BW704" s="131"/>
      <c r="BX704" s="131"/>
      <c r="BY704" s="131"/>
      <c r="BZ704" s="131"/>
      <c r="CA704" s="131"/>
      <c r="CB704" s="131"/>
      <c r="CC704" s="131"/>
      <c r="CD704" s="131"/>
      <c r="CE704" s="131"/>
      <c r="CF704" s="131"/>
      <c r="CG704" s="131"/>
      <c r="CH704" s="131"/>
    </row>
    <row r="705" ht="18.75" customHeight="1">
      <c r="C705" s="64"/>
      <c r="E705" s="64"/>
      <c r="F705" s="64"/>
      <c r="G705" s="64"/>
      <c r="AH705" s="162"/>
      <c r="AI705" s="162"/>
      <c r="AJ705" s="162"/>
      <c r="AK705" s="162"/>
      <c r="BS705" s="131"/>
      <c r="BT705" s="131"/>
      <c r="BU705" s="131"/>
      <c r="BV705" s="131"/>
      <c r="BW705" s="131"/>
      <c r="BX705" s="131"/>
      <c r="BY705" s="131"/>
      <c r="BZ705" s="131"/>
      <c r="CA705" s="131"/>
      <c r="CB705" s="131"/>
      <c r="CC705" s="131"/>
      <c r="CD705" s="131"/>
      <c r="CE705" s="131"/>
      <c r="CF705" s="131"/>
      <c r="CG705" s="131"/>
      <c r="CH705" s="131"/>
    </row>
    <row r="706" ht="18.75" customHeight="1">
      <c r="C706" s="64"/>
      <c r="E706" s="64"/>
      <c r="F706" s="64"/>
      <c r="G706" s="64"/>
      <c r="AH706" s="162"/>
      <c r="AI706" s="162"/>
      <c r="AJ706" s="162"/>
      <c r="AK706" s="162"/>
      <c r="BS706" s="131"/>
      <c r="BT706" s="131"/>
      <c r="BU706" s="131"/>
      <c r="BV706" s="131"/>
      <c r="BW706" s="131"/>
      <c r="BX706" s="131"/>
      <c r="BY706" s="131"/>
      <c r="BZ706" s="131"/>
      <c r="CA706" s="131"/>
      <c r="CB706" s="131"/>
      <c r="CC706" s="131"/>
      <c r="CD706" s="131"/>
      <c r="CE706" s="131"/>
      <c r="CF706" s="131"/>
      <c r="CG706" s="131"/>
      <c r="CH706" s="131"/>
    </row>
    <row r="707" ht="18.75" customHeight="1">
      <c r="C707" s="64"/>
      <c r="E707" s="64"/>
      <c r="F707" s="64"/>
      <c r="G707" s="64"/>
      <c r="AH707" s="162"/>
      <c r="AI707" s="162"/>
      <c r="AJ707" s="162"/>
      <c r="AK707" s="162"/>
      <c r="BS707" s="131"/>
      <c r="BT707" s="131"/>
      <c r="BU707" s="131"/>
      <c r="BV707" s="131"/>
      <c r="BW707" s="131"/>
      <c r="BX707" s="131"/>
      <c r="BY707" s="131"/>
      <c r="BZ707" s="131"/>
      <c r="CA707" s="131"/>
      <c r="CB707" s="131"/>
      <c r="CC707" s="131"/>
      <c r="CD707" s="131"/>
      <c r="CE707" s="131"/>
      <c r="CF707" s="131"/>
      <c r="CG707" s="131"/>
      <c r="CH707" s="131"/>
    </row>
    <row r="708" ht="18.75" customHeight="1">
      <c r="C708" s="64"/>
      <c r="E708" s="64"/>
      <c r="F708" s="64"/>
      <c r="G708" s="64"/>
      <c r="AH708" s="162"/>
      <c r="AI708" s="162"/>
      <c r="AJ708" s="162"/>
      <c r="AK708" s="162"/>
      <c r="BS708" s="131"/>
      <c r="BT708" s="131"/>
      <c r="BU708" s="131"/>
      <c r="BV708" s="131"/>
      <c r="BW708" s="131"/>
      <c r="BX708" s="131"/>
      <c r="BY708" s="131"/>
      <c r="BZ708" s="131"/>
      <c r="CA708" s="131"/>
      <c r="CB708" s="131"/>
      <c r="CC708" s="131"/>
      <c r="CD708" s="131"/>
      <c r="CE708" s="131"/>
      <c r="CF708" s="131"/>
      <c r="CG708" s="131"/>
      <c r="CH708" s="131"/>
    </row>
    <row r="709" ht="18.75" customHeight="1">
      <c r="C709" s="64"/>
      <c r="E709" s="64"/>
      <c r="F709" s="64"/>
      <c r="G709" s="64"/>
      <c r="AH709" s="162"/>
      <c r="AI709" s="162"/>
      <c r="AJ709" s="162"/>
      <c r="AK709" s="162"/>
      <c r="BS709" s="131"/>
      <c r="BT709" s="131"/>
      <c r="BU709" s="131"/>
      <c r="BV709" s="131"/>
      <c r="BW709" s="131"/>
      <c r="BX709" s="131"/>
      <c r="BY709" s="131"/>
      <c r="BZ709" s="131"/>
      <c r="CA709" s="131"/>
      <c r="CB709" s="131"/>
      <c r="CC709" s="131"/>
      <c r="CD709" s="131"/>
      <c r="CE709" s="131"/>
      <c r="CF709" s="131"/>
      <c r="CG709" s="131"/>
      <c r="CH709" s="131"/>
    </row>
    <row r="710" ht="18.75" customHeight="1">
      <c r="C710" s="64"/>
      <c r="E710" s="64"/>
      <c r="F710" s="64"/>
      <c r="G710" s="64"/>
      <c r="AH710" s="162"/>
      <c r="AI710" s="162"/>
      <c r="AJ710" s="162"/>
      <c r="AK710" s="162"/>
      <c r="BS710" s="131"/>
      <c r="BT710" s="131"/>
      <c r="BU710" s="131"/>
      <c r="BV710" s="131"/>
      <c r="BW710" s="131"/>
      <c r="BX710" s="131"/>
      <c r="BY710" s="131"/>
      <c r="BZ710" s="131"/>
      <c r="CA710" s="131"/>
      <c r="CB710" s="131"/>
      <c r="CC710" s="131"/>
      <c r="CD710" s="131"/>
      <c r="CE710" s="131"/>
      <c r="CF710" s="131"/>
      <c r="CG710" s="131"/>
      <c r="CH710" s="131"/>
    </row>
    <row r="711" ht="18.75" customHeight="1">
      <c r="C711" s="64"/>
      <c r="E711" s="64"/>
      <c r="F711" s="64"/>
      <c r="G711" s="64"/>
      <c r="AH711" s="162"/>
      <c r="AI711" s="162"/>
      <c r="AJ711" s="162"/>
      <c r="AK711" s="162"/>
      <c r="BS711" s="131"/>
      <c r="BT711" s="131"/>
      <c r="BU711" s="131"/>
      <c r="BV711" s="131"/>
      <c r="BW711" s="131"/>
      <c r="BX711" s="131"/>
      <c r="BY711" s="131"/>
      <c r="BZ711" s="131"/>
      <c r="CA711" s="131"/>
      <c r="CB711" s="131"/>
      <c r="CC711" s="131"/>
      <c r="CD711" s="131"/>
      <c r="CE711" s="131"/>
      <c r="CF711" s="131"/>
      <c r="CG711" s="131"/>
      <c r="CH711" s="131"/>
    </row>
    <row r="712" ht="18.75" customHeight="1">
      <c r="C712" s="64"/>
      <c r="E712" s="64"/>
      <c r="F712" s="64"/>
      <c r="G712" s="64"/>
      <c r="AH712" s="162"/>
      <c r="AI712" s="162"/>
      <c r="AJ712" s="162"/>
      <c r="AK712" s="162"/>
      <c r="BS712" s="131"/>
      <c r="BT712" s="131"/>
      <c r="BU712" s="131"/>
      <c r="BV712" s="131"/>
      <c r="BW712" s="131"/>
      <c r="BX712" s="131"/>
      <c r="BY712" s="131"/>
      <c r="BZ712" s="131"/>
      <c r="CA712" s="131"/>
      <c r="CB712" s="131"/>
      <c r="CC712" s="131"/>
      <c r="CD712" s="131"/>
      <c r="CE712" s="131"/>
      <c r="CF712" s="131"/>
      <c r="CG712" s="131"/>
      <c r="CH712" s="131"/>
    </row>
    <row r="713" ht="18.75" customHeight="1">
      <c r="C713" s="64"/>
      <c r="E713" s="64"/>
      <c r="F713" s="64"/>
      <c r="G713" s="64"/>
      <c r="AH713" s="162"/>
      <c r="AI713" s="162"/>
      <c r="AJ713" s="162"/>
      <c r="AK713" s="162"/>
      <c r="BS713" s="131"/>
      <c r="BT713" s="131"/>
      <c r="BU713" s="131"/>
      <c r="BV713" s="131"/>
      <c r="BW713" s="131"/>
      <c r="BX713" s="131"/>
      <c r="BY713" s="131"/>
      <c r="BZ713" s="131"/>
      <c r="CA713" s="131"/>
      <c r="CB713" s="131"/>
      <c r="CC713" s="131"/>
      <c r="CD713" s="131"/>
      <c r="CE713" s="131"/>
      <c r="CF713" s="131"/>
      <c r="CG713" s="131"/>
      <c r="CH713" s="131"/>
    </row>
    <row r="714" ht="18.75" customHeight="1">
      <c r="C714" s="64"/>
      <c r="E714" s="64"/>
      <c r="F714" s="64"/>
      <c r="G714" s="64"/>
      <c r="AH714" s="162"/>
      <c r="AI714" s="162"/>
      <c r="AJ714" s="162"/>
      <c r="AK714" s="162"/>
      <c r="BS714" s="131"/>
      <c r="BT714" s="131"/>
      <c r="BU714" s="131"/>
      <c r="BV714" s="131"/>
      <c r="BW714" s="131"/>
      <c r="BX714" s="131"/>
      <c r="BY714" s="131"/>
      <c r="BZ714" s="131"/>
      <c r="CA714" s="131"/>
      <c r="CB714" s="131"/>
      <c r="CC714" s="131"/>
      <c r="CD714" s="131"/>
      <c r="CE714" s="131"/>
      <c r="CF714" s="131"/>
      <c r="CG714" s="131"/>
      <c r="CH714" s="131"/>
    </row>
    <row r="715" ht="18.75" customHeight="1">
      <c r="C715" s="64"/>
      <c r="E715" s="64"/>
      <c r="F715" s="64"/>
      <c r="G715" s="64"/>
      <c r="AH715" s="162"/>
      <c r="AI715" s="162"/>
      <c r="AJ715" s="162"/>
      <c r="AK715" s="162"/>
      <c r="BS715" s="131"/>
      <c r="BT715" s="131"/>
      <c r="BU715" s="131"/>
      <c r="BV715" s="131"/>
      <c r="BW715" s="131"/>
      <c r="BX715" s="131"/>
      <c r="BY715" s="131"/>
      <c r="BZ715" s="131"/>
      <c r="CA715" s="131"/>
      <c r="CB715" s="131"/>
      <c r="CC715" s="131"/>
      <c r="CD715" s="131"/>
      <c r="CE715" s="131"/>
      <c r="CF715" s="131"/>
      <c r="CG715" s="131"/>
      <c r="CH715" s="131"/>
    </row>
    <row r="716" ht="18.75" customHeight="1">
      <c r="C716" s="64"/>
      <c r="E716" s="64"/>
      <c r="F716" s="64"/>
      <c r="G716" s="64"/>
      <c r="AH716" s="162"/>
      <c r="AI716" s="162"/>
      <c r="AJ716" s="162"/>
      <c r="AK716" s="162"/>
      <c r="BS716" s="131"/>
      <c r="BT716" s="131"/>
      <c r="BU716" s="131"/>
      <c r="BV716" s="131"/>
      <c r="BW716" s="131"/>
      <c r="BX716" s="131"/>
      <c r="BY716" s="131"/>
      <c r="BZ716" s="131"/>
      <c r="CA716" s="131"/>
      <c r="CB716" s="131"/>
      <c r="CC716" s="131"/>
      <c r="CD716" s="131"/>
      <c r="CE716" s="131"/>
      <c r="CF716" s="131"/>
      <c r="CG716" s="131"/>
      <c r="CH716" s="131"/>
    </row>
    <row r="717" ht="18.75" customHeight="1">
      <c r="C717" s="64"/>
      <c r="E717" s="64"/>
      <c r="F717" s="64"/>
      <c r="G717" s="64"/>
      <c r="AH717" s="162"/>
      <c r="AI717" s="162"/>
      <c r="AJ717" s="162"/>
      <c r="AK717" s="162"/>
      <c r="BS717" s="131"/>
      <c r="BT717" s="131"/>
      <c r="BU717" s="131"/>
      <c r="BV717" s="131"/>
      <c r="BW717" s="131"/>
      <c r="BX717" s="131"/>
      <c r="BY717" s="131"/>
      <c r="BZ717" s="131"/>
      <c r="CA717" s="131"/>
      <c r="CB717" s="131"/>
      <c r="CC717" s="131"/>
      <c r="CD717" s="131"/>
      <c r="CE717" s="131"/>
      <c r="CF717" s="131"/>
      <c r="CG717" s="131"/>
      <c r="CH717" s="131"/>
    </row>
    <row r="718" ht="18.75" customHeight="1">
      <c r="C718" s="64"/>
      <c r="E718" s="64"/>
      <c r="F718" s="64"/>
      <c r="G718" s="64"/>
      <c r="AH718" s="162"/>
      <c r="AI718" s="162"/>
      <c r="AJ718" s="162"/>
      <c r="AK718" s="162"/>
      <c r="BS718" s="131"/>
      <c r="BT718" s="131"/>
      <c r="BU718" s="131"/>
      <c r="BV718" s="131"/>
      <c r="BW718" s="131"/>
      <c r="BX718" s="131"/>
      <c r="BY718" s="131"/>
      <c r="BZ718" s="131"/>
      <c r="CA718" s="131"/>
      <c r="CB718" s="131"/>
      <c r="CC718" s="131"/>
      <c r="CD718" s="131"/>
      <c r="CE718" s="131"/>
      <c r="CF718" s="131"/>
      <c r="CG718" s="131"/>
      <c r="CH718" s="131"/>
    </row>
    <row r="719" ht="18.75" customHeight="1">
      <c r="C719" s="64"/>
      <c r="E719" s="64"/>
      <c r="F719" s="64"/>
      <c r="G719" s="64"/>
      <c r="AH719" s="162"/>
      <c r="AI719" s="162"/>
      <c r="AJ719" s="162"/>
      <c r="AK719" s="162"/>
      <c r="BS719" s="131"/>
      <c r="BT719" s="131"/>
      <c r="BU719" s="131"/>
      <c r="BV719" s="131"/>
      <c r="BW719" s="131"/>
      <c r="BX719" s="131"/>
      <c r="BY719" s="131"/>
      <c r="BZ719" s="131"/>
      <c r="CA719" s="131"/>
      <c r="CB719" s="131"/>
      <c r="CC719" s="131"/>
      <c r="CD719" s="131"/>
      <c r="CE719" s="131"/>
      <c r="CF719" s="131"/>
      <c r="CG719" s="131"/>
      <c r="CH719" s="131"/>
    </row>
    <row r="720" ht="18.75" customHeight="1">
      <c r="C720" s="64"/>
      <c r="E720" s="64"/>
      <c r="F720" s="64"/>
      <c r="G720" s="64"/>
      <c r="AH720" s="162"/>
      <c r="AI720" s="162"/>
      <c r="AJ720" s="162"/>
      <c r="AK720" s="162"/>
      <c r="BS720" s="131"/>
      <c r="BT720" s="131"/>
      <c r="BU720" s="131"/>
      <c r="BV720" s="131"/>
      <c r="BW720" s="131"/>
      <c r="BX720" s="131"/>
      <c r="BY720" s="131"/>
      <c r="BZ720" s="131"/>
      <c r="CA720" s="131"/>
      <c r="CB720" s="131"/>
      <c r="CC720" s="131"/>
      <c r="CD720" s="131"/>
      <c r="CE720" s="131"/>
      <c r="CF720" s="131"/>
      <c r="CG720" s="131"/>
      <c r="CH720" s="131"/>
    </row>
    <row r="721" ht="18.75" customHeight="1">
      <c r="C721" s="64"/>
      <c r="E721" s="64"/>
      <c r="F721" s="64"/>
      <c r="G721" s="64"/>
      <c r="AH721" s="162"/>
      <c r="AI721" s="162"/>
      <c r="AJ721" s="162"/>
      <c r="AK721" s="162"/>
      <c r="BS721" s="131"/>
      <c r="BT721" s="131"/>
      <c r="BU721" s="131"/>
      <c r="BV721" s="131"/>
      <c r="BW721" s="131"/>
      <c r="BX721" s="131"/>
      <c r="BY721" s="131"/>
      <c r="BZ721" s="131"/>
      <c r="CA721" s="131"/>
      <c r="CB721" s="131"/>
      <c r="CC721" s="131"/>
      <c r="CD721" s="131"/>
      <c r="CE721" s="131"/>
      <c r="CF721" s="131"/>
      <c r="CG721" s="131"/>
      <c r="CH721" s="131"/>
    </row>
    <row r="722" ht="18.75" customHeight="1">
      <c r="C722" s="64"/>
      <c r="E722" s="64"/>
      <c r="F722" s="64"/>
      <c r="G722" s="64"/>
      <c r="AH722" s="162"/>
      <c r="AI722" s="162"/>
      <c r="AJ722" s="162"/>
      <c r="AK722" s="162"/>
      <c r="BS722" s="131"/>
      <c r="BT722" s="131"/>
      <c r="BU722" s="131"/>
      <c r="BV722" s="131"/>
      <c r="BW722" s="131"/>
      <c r="BX722" s="131"/>
      <c r="BY722" s="131"/>
      <c r="BZ722" s="131"/>
      <c r="CA722" s="131"/>
      <c r="CB722" s="131"/>
      <c r="CC722" s="131"/>
      <c r="CD722" s="131"/>
      <c r="CE722" s="131"/>
      <c r="CF722" s="131"/>
      <c r="CG722" s="131"/>
      <c r="CH722" s="131"/>
    </row>
    <row r="723" ht="18.75" customHeight="1">
      <c r="C723" s="64"/>
      <c r="E723" s="64"/>
      <c r="F723" s="64"/>
      <c r="G723" s="64"/>
      <c r="AH723" s="162"/>
      <c r="AI723" s="162"/>
      <c r="AJ723" s="162"/>
      <c r="AK723" s="162"/>
      <c r="BS723" s="131"/>
      <c r="BT723" s="131"/>
      <c r="BU723" s="131"/>
      <c r="BV723" s="131"/>
      <c r="BW723" s="131"/>
      <c r="BX723" s="131"/>
      <c r="BY723" s="131"/>
      <c r="BZ723" s="131"/>
      <c r="CA723" s="131"/>
      <c r="CB723" s="131"/>
      <c r="CC723" s="131"/>
      <c r="CD723" s="131"/>
      <c r="CE723" s="131"/>
      <c r="CF723" s="131"/>
      <c r="CG723" s="131"/>
      <c r="CH723" s="131"/>
    </row>
    <row r="724" ht="18.75" customHeight="1">
      <c r="C724" s="64"/>
      <c r="E724" s="64"/>
      <c r="F724" s="64"/>
      <c r="G724" s="64"/>
      <c r="AH724" s="162"/>
      <c r="AI724" s="162"/>
      <c r="AJ724" s="162"/>
      <c r="AK724" s="162"/>
      <c r="BS724" s="131"/>
      <c r="BT724" s="131"/>
      <c r="BU724" s="131"/>
      <c r="BV724" s="131"/>
      <c r="BW724" s="131"/>
      <c r="BX724" s="131"/>
      <c r="BY724" s="131"/>
      <c r="BZ724" s="131"/>
      <c r="CA724" s="131"/>
      <c r="CB724" s="131"/>
      <c r="CC724" s="131"/>
      <c r="CD724" s="131"/>
      <c r="CE724" s="131"/>
      <c r="CF724" s="131"/>
      <c r="CG724" s="131"/>
      <c r="CH724" s="131"/>
    </row>
    <row r="725" ht="18.75" customHeight="1">
      <c r="C725" s="64"/>
      <c r="E725" s="64"/>
      <c r="F725" s="64"/>
      <c r="G725" s="64"/>
      <c r="AH725" s="162"/>
      <c r="AI725" s="162"/>
      <c r="AJ725" s="162"/>
      <c r="AK725" s="162"/>
      <c r="BS725" s="131"/>
      <c r="BT725" s="131"/>
      <c r="BU725" s="131"/>
      <c r="BV725" s="131"/>
      <c r="BW725" s="131"/>
      <c r="BX725" s="131"/>
      <c r="BY725" s="131"/>
      <c r="BZ725" s="131"/>
      <c r="CA725" s="131"/>
      <c r="CB725" s="131"/>
      <c r="CC725" s="131"/>
      <c r="CD725" s="131"/>
      <c r="CE725" s="131"/>
      <c r="CF725" s="131"/>
      <c r="CG725" s="131"/>
      <c r="CH725" s="131"/>
    </row>
    <row r="726" ht="18.75" customHeight="1">
      <c r="C726" s="64"/>
      <c r="E726" s="64"/>
      <c r="F726" s="64"/>
      <c r="G726" s="64"/>
      <c r="AH726" s="162"/>
      <c r="AI726" s="162"/>
      <c r="AJ726" s="162"/>
      <c r="AK726" s="162"/>
      <c r="BS726" s="131"/>
      <c r="BT726" s="131"/>
      <c r="BU726" s="131"/>
      <c r="BV726" s="131"/>
      <c r="BW726" s="131"/>
      <c r="BX726" s="131"/>
      <c r="BY726" s="131"/>
      <c r="BZ726" s="131"/>
      <c r="CA726" s="131"/>
      <c r="CB726" s="131"/>
      <c r="CC726" s="131"/>
      <c r="CD726" s="131"/>
      <c r="CE726" s="131"/>
      <c r="CF726" s="131"/>
      <c r="CG726" s="131"/>
      <c r="CH726" s="131"/>
    </row>
    <row r="727" ht="18.75" customHeight="1">
      <c r="C727" s="64"/>
      <c r="E727" s="64"/>
      <c r="F727" s="64"/>
      <c r="G727" s="64"/>
      <c r="AH727" s="162"/>
      <c r="AI727" s="162"/>
      <c r="AJ727" s="162"/>
      <c r="AK727" s="162"/>
      <c r="BS727" s="131"/>
      <c r="BT727" s="131"/>
      <c r="BU727" s="131"/>
      <c r="BV727" s="131"/>
      <c r="BW727" s="131"/>
      <c r="BX727" s="131"/>
      <c r="BY727" s="131"/>
      <c r="BZ727" s="131"/>
      <c r="CA727" s="131"/>
      <c r="CB727" s="131"/>
      <c r="CC727" s="131"/>
      <c r="CD727" s="131"/>
      <c r="CE727" s="131"/>
      <c r="CF727" s="131"/>
      <c r="CG727" s="131"/>
      <c r="CH727" s="131"/>
    </row>
    <row r="728" ht="18.75" customHeight="1">
      <c r="C728" s="64"/>
      <c r="E728" s="64"/>
      <c r="F728" s="64"/>
      <c r="G728" s="64"/>
      <c r="AH728" s="162"/>
      <c r="AI728" s="162"/>
      <c r="AJ728" s="162"/>
      <c r="AK728" s="162"/>
      <c r="BS728" s="131"/>
      <c r="BT728" s="131"/>
      <c r="BU728" s="131"/>
      <c r="BV728" s="131"/>
      <c r="BW728" s="131"/>
      <c r="BX728" s="131"/>
      <c r="BY728" s="131"/>
      <c r="BZ728" s="131"/>
      <c r="CA728" s="131"/>
      <c r="CB728" s="131"/>
      <c r="CC728" s="131"/>
      <c r="CD728" s="131"/>
      <c r="CE728" s="131"/>
      <c r="CF728" s="131"/>
      <c r="CG728" s="131"/>
      <c r="CH728" s="131"/>
    </row>
    <row r="729" ht="18.75" customHeight="1">
      <c r="C729" s="64"/>
      <c r="E729" s="64"/>
      <c r="F729" s="64"/>
      <c r="G729" s="64"/>
      <c r="AH729" s="162"/>
      <c r="AI729" s="162"/>
      <c r="AJ729" s="162"/>
      <c r="AK729" s="162"/>
      <c r="BS729" s="131"/>
      <c r="BT729" s="131"/>
      <c r="BU729" s="131"/>
      <c r="BV729" s="131"/>
      <c r="BW729" s="131"/>
      <c r="BX729" s="131"/>
      <c r="BY729" s="131"/>
      <c r="BZ729" s="131"/>
      <c r="CA729" s="131"/>
      <c r="CB729" s="131"/>
      <c r="CC729" s="131"/>
      <c r="CD729" s="131"/>
      <c r="CE729" s="131"/>
      <c r="CF729" s="131"/>
      <c r="CG729" s="131"/>
      <c r="CH729" s="131"/>
    </row>
    <row r="730" ht="18.75" customHeight="1">
      <c r="C730" s="64"/>
      <c r="E730" s="64"/>
      <c r="F730" s="64"/>
      <c r="G730" s="64"/>
      <c r="AH730" s="162"/>
      <c r="AI730" s="162"/>
      <c r="AJ730" s="162"/>
      <c r="AK730" s="162"/>
      <c r="BS730" s="131"/>
      <c r="BT730" s="131"/>
      <c r="BU730" s="131"/>
      <c r="BV730" s="131"/>
      <c r="BW730" s="131"/>
      <c r="BX730" s="131"/>
      <c r="BY730" s="131"/>
      <c r="BZ730" s="131"/>
      <c r="CA730" s="131"/>
      <c r="CB730" s="131"/>
      <c r="CC730" s="131"/>
      <c r="CD730" s="131"/>
      <c r="CE730" s="131"/>
      <c r="CF730" s="131"/>
      <c r="CG730" s="131"/>
      <c r="CH730" s="131"/>
    </row>
    <row r="731" ht="18.75" customHeight="1">
      <c r="C731" s="64"/>
      <c r="E731" s="64"/>
      <c r="F731" s="64"/>
      <c r="G731" s="64"/>
      <c r="AH731" s="162"/>
      <c r="AI731" s="162"/>
      <c r="AJ731" s="162"/>
      <c r="AK731" s="162"/>
      <c r="BS731" s="131"/>
      <c r="BT731" s="131"/>
      <c r="BU731" s="131"/>
      <c r="BV731" s="131"/>
      <c r="BW731" s="131"/>
      <c r="BX731" s="131"/>
      <c r="BY731" s="131"/>
      <c r="BZ731" s="131"/>
      <c r="CA731" s="131"/>
      <c r="CB731" s="131"/>
      <c r="CC731" s="131"/>
      <c r="CD731" s="131"/>
      <c r="CE731" s="131"/>
      <c r="CF731" s="131"/>
      <c r="CG731" s="131"/>
      <c r="CH731" s="131"/>
    </row>
    <row r="732" ht="18.75" customHeight="1">
      <c r="C732" s="64"/>
      <c r="E732" s="64"/>
      <c r="F732" s="64"/>
      <c r="G732" s="64"/>
      <c r="AH732" s="162"/>
      <c r="AI732" s="162"/>
      <c r="AJ732" s="162"/>
      <c r="AK732" s="162"/>
      <c r="BS732" s="131"/>
      <c r="BT732" s="131"/>
      <c r="BU732" s="131"/>
      <c r="BV732" s="131"/>
      <c r="BW732" s="131"/>
      <c r="BX732" s="131"/>
      <c r="BY732" s="131"/>
      <c r="BZ732" s="131"/>
      <c r="CA732" s="131"/>
      <c r="CB732" s="131"/>
      <c r="CC732" s="131"/>
      <c r="CD732" s="131"/>
      <c r="CE732" s="131"/>
      <c r="CF732" s="131"/>
      <c r="CG732" s="131"/>
      <c r="CH732" s="131"/>
    </row>
    <row r="733" ht="18.75" customHeight="1">
      <c r="C733" s="64"/>
      <c r="E733" s="64"/>
      <c r="F733" s="64"/>
      <c r="G733" s="64"/>
      <c r="AH733" s="162"/>
      <c r="AI733" s="162"/>
      <c r="AJ733" s="162"/>
      <c r="AK733" s="162"/>
      <c r="BS733" s="131"/>
      <c r="BT733" s="131"/>
      <c r="BU733" s="131"/>
      <c r="BV733" s="131"/>
      <c r="BW733" s="131"/>
      <c r="BX733" s="131"/>
      <c r="BY733" s="131"/>
      <c r="BZ733" s="131"/>
      <c r="CA733" s="131"/>
      <c r="CB733" s="131"/>
      <c r="CC733" s="131"/>
      <c r="CD733" s="131"/>
      <c r="CE733" s="131"/>
      <c r="CF733" s="131"/>
      <c r="CG733" s="131"/>
      <c r="CH733" s="131"/>
    </row>
    <row r="734" ht="18.75" customHeight="1">
      <c r="C734" s="64"/>
      <c r="E734" s="64"/>
      <c r="F734" s="64"/>
      <c r="G734" s="64"/>
      <c r="AH734" s="162"/>
      <c r="AI734" s="162"/>
      <c r="AJ734" s="162"/>
      <c r="AK734" s="162"/>
      <c r="BS734" s="131"/>
      <c r="BT734" s="131"/>
      <c r="BU734" s="131"/>
      <c r="BV734" s="131"/>
      <c r="BW734" s="131"/>
      <c r="BX734" s="131"/>
      <c r="BY734" s="131"/>
      <c r="BZ734" s="131"/>
      <c r="CA734" s="131"/>
      <c r="CB734" s="131"/>
      <c r="CC734" s="131"/>
      <c r="CD734" s="131"/>
      <c r="CE734" s="131"/>
      <c r="CF734" s="131"/>
      <c r="CG734" s="131"/>
      <c r="CH734" s="131"/>
    </row>
    <row r="735" ht="18.75" customHeight="1">
      <c r="C735" s="64"/>
      <c r="E735" s="64"/>
      <c r="F735" s="64"/>
      <c r="G735" s="64"/>
      <c r="AH735" s="162"/>
      <c r="AI735" s="162"/>
      <c r="AJ735" s="162"/>
      <c r="AK735" s="162"/>
      <c r="BS735" s="131"/>
      <c r="BT735" s="131"/>
      <c r="BU735" s="131"/>
      <c r="BV735" s="131"/>
      <c r="BW735" s="131"/>
      <c r="BX735" s="131"/>
      <c r="BY735" s="131"/>
      <c r="BZ735" s="131"/>
      <c r="CA735" s="131"/>
      <c r="CB735" s="131"/>
      <c r="CC735" s="131"/>
      <c r="CD735" s="131"/>
      <c r="CE735" s="131"/>
      <c r="CF735" s="131"/>
      <c r="CG735" s="131"/>
      <c r="CH735" s="131"/>
    </row>
    <row r="736" ht="18.75" customHeight="1">
      <c r="C736" s="64"/>
      <c r="E736" s="64"/>
      <c r="F736" s="64"/>
      <c r="G736" s="64"/>
      <c r="AH736" s="162"/>
      <c r="AI736" s="162"/>
      <c r="AJ736" s="162"/>
      <c r="AK736" s="162"/>
      <c r="BS736" s="131"/>
      <c r="BT736" s="131"/>
      <c r="BU736" s="131"/>
      <c r="BV736" s="131"/>
      <c r="BW736" s="131"/>
      <c r="BX736" s="131"/>
      <c r="BY736" s="131"/>
      <c r="BZ736" s="131"/>
      <c r="CA736" s="131"/>
      <c r="CB736" s="131"/>
      <c r="CC736" s="131"/>
      <c r="CD736" s="131"/>
      <c r="CE736" s="131"/>
      <c r="CF736" s="131"/>
      <c r="CG736" s="131"/>
      <c r="CH736" s="131"/>
    </row>
    <row r="737" ht="18.75" customHeight="1">
      <c r="C737" s="64"/>
      <c r="E737" s="64"/>
      <c r="F737" s="64"/>
      <c r="G737" s="64"/>
      <c r="AH737" s="162"/>
      <c r="AI737" s="162"/>
      <c r="AJ737" s="162"/>
      <c r="AK737" s="162"/>
      <c r="BS737" s="131"/>
      <c r="BT737" s="131"/>
      <c r="BU737" s="131"/>
      <c r="BV737" s="131"/>
      <c r="BW737" s="131"/>
      <c r="BX737" s="131"/>
      <c r="BY737" s="131"/>
      <c r="BZ737" s="131"/>
      <c r="CA737" s="131"/>
      <c r="CB737" s="131"/>
      <c r="CC737" s="131"/>
      <c r="CD737" s="131"/>
      <c r="CE737" s="131"/>
      <c r="CF737" s="131"/>
      <c r="CG737" s="131"/>
      <c r="CH737" s="131"/>
    </row>
    <row r="738" ht="18.75" customHeight="1">
      <c r="C738" s="64"/>
      <c r="E738" s="64"/>
      <c r="F738" s="64"/>
      <c r="G738" s="64"/>
      <c r="AH738" s="162"/>
      <c r="AI738" s="162"/>
      <c r="AJ738" s="162"/>
      <c r="AK738" s="162"/>
      <c r="BS738" s="131"/>
      <c r="BT738" s="131"/>
      <c r="BU738" s="131"/>
      <c r="BV738" s="131"/>
      <c r="BW738" s="131"/>
      <c r="BX738" s="131"/>
      <c r="BY738" s="131"/>
      <c r="BZ738" s="131"/>
      <c r="CA738" s="131"/>
      <c r="CB738" s="131"/>
      <c r="CC738" s="131"/>
      <c r="CD738" s="131"/>
      <c r="CE738" s="131"/>
      <c r="CF738" s="131"/>
      <c r="CG738" s="131"/>
      <c r="CH738" s="131"/>
    </row>
    <row r="739" ht="18.75" customHeight="1">
      <c r="C739" s="64"/>
      <c r="E739" s="64"/>
      <c r="F739" s="64"/>
      <c r="G739" s="64"/>
      <c r="AH739" s="162"/>
      <c r="AI739" s="162"/>
      <c r="AJ739" s="162"/>
      <c r="AK739" s="162"/>
      <c r="BS739" s="131"/>
      <c r="BT739" s="131"/>
      <c r="BU739" s="131"/>
      <c r="BV739" s="131"/>
      <c r="BW739" s="131"/>
      <c r="BX739" s="131"/>
      <c r="BY739" s="131"/>
      <c r="BZ739" s="131"/>
      <c r="CA739" s="131"/>
      <c r="CB739" s="131"/>
      <c r="CC739" s="131"/>
      <c r="CD739" s="131"/>
      <c r="CE739" s="131"/>
      <c r="CF739" s="131"/>
      <c r="CG739" s="131"/>
      <c r="CH739" s="131"/>
    </row>
    <row r="740" ht="18.75" customHeight="1">
      <c r="C740" s="64"/>
      <c r="E740" s="64"/>
      <c r="F740" s="64"/>
      <c r="G740" s="64"/>
      <c r="AH740" s="162"/>
      <c r="AI740" s="162"/>
      <c r="AJ740" s="162"/>
      <c r="AK740" s="162"/>
      <c r="BS740" s="131"/>
      <c r="BT740" s="131"/>
      <c r="BU740" s="131"/>
      <c r="BV740" s="131"/>
      <c r="BW740" s="131"/>
      <c r="BX740" s="131"/>
      <c r="BY740" s="131"/>
      <c r="BZ740" s="131"/>
      <c r="CA740" s="131"/>
      <c r="CB740" s="131"/>
      <c r="CC740" s="131"/>
      <c r="CD740" s="131"/>
      <c r="CE740" s="131"/>
      <c r="CF740" s="131"/>
      <c r="CG740" s="131"/>
      <c r="CH740" s="131"/>
    </row>
    <row r="741" ht="18.75" customHeight="1">
      <c r="C741" s="64"/>
      <c r="E741" s="64"/>
      <c r="F741" s="64"/>
      <c r="G741" s="64"/>
      <c r="AH741" s="162"/>
      <c r="AI741" s="162"/>
      <c r="AJ741" s="162"/>
      <c r="AK741" s="162"/>
      <c r="BS741" s="131"/>
      <c r="BT741" s="131"/>
      <c r="BU741" s="131"/>
      <c r="BV741" s="131"/>
      <c r="BW741" s="131"/>
      <c r="BX741" s="131"/>
      <c r="BY741" s="131"/>
      <c r="BZ741" s="131"/>
      <c r="CA741" s="131"/>
      <c r="CB741" s="131"/>
      <c r="CC741" s="131"/>
      <c r="CD741" s="131"/>
      <c r="CE741" s="131"/>
      <c r="CF741" s="131"/>
      <c r="CG741" s="131"/>
      <c r="CH741" s="131"/>
    </row>
    <row r="742" ht="18.75" customHeight="1">
      <c r="C742" s="64"/>
      <c r="E742" s="64"/>
      <c r="F742" s="64"/>
      <c r="G742" s="64"/>
      <c r="AH742" s="162"/>
      <c r="AI742" s="162"/>
      <c r="AJ742" s="162"/>
      <c r="AK742" s="162"/>
      <c r="BS742" s="131"/>
      <c r="BT742" s="131"/>
      <c r="BU742" s="131"/>
      <c r="BV742" s="131"/>
      <c r="BW742" s="131"/>
      <c r="BX742" s="131"/>
      <c r="BY742" s="131"/>
      <c r="BZ742" s="131"/>
      <c r="CA742" s="131"/>
      <c r="CB742" s="131"/>
      <c r="CC742" s="131"/>
      <c r="CD742" s="131"/>
      <c r="CE742" s="131"/>
      <c r="CF742" s="131"/>
      <c r="CG742" s="131"/>
      <c r="CH742" s="131"/>
    </row>
    <row r="743" ht="18.75" customHeight="1">
      <c r="C743" s="64"/>
      <c r="E743" s="64"/>
      <c r="F743" s="64"/>
      <c r="G743" s="64"/>
      <c r="AH743" s="162"/>
      <c r="AI743" s="162"/>
      <c r="AJ743" s="162"/>
      <c r="AK743" s="162"/>
      <c r="BS743" s="131"/>
      <c r="BT743" s="131"/>
      <c r="BU743" s="131"/>
      <c r="BV743" s="131"/>
      <c r="BW743" s="131"/>
      <c r="BX743" s="131"/>
      <c r="BY743" s="131"/>
      <c r="BZ743" s="131"/>
      <c r="CA743" s="131"/>
      <c r="CB743" s="131"/>
      <c r="CC743" s="131"/>
      <c r="CD743" s="131"/>
      <c r="CE743" s="131"/>
      <c r="CF743" s="131"/>
      <c r="CG743" s="131"/>
      <c r="CH743" s="131"/>
    </row>
    <row r="744" ht="18.75" customHeight="1">
      <c r="C744" s="64"/>
      <c r="E744" s="64"/>
      <c r="F744" s="64"/>
      <c r="G744" s="64"/>
      <c r="AH744" s="162"/>
      <c r="AI744" s="162"/>
      <c r="AJ744" s="162"/>
      <c r="AK744" s="162"/>
      <c r="BS744" s="131"/>
      <c r="BT744" s="131"/>
      <c r="BU744" s="131"/>
      <c r="BV744" s="131"/>
      <c r="BW744" s="131"/>
      <c r="BX744" s="131"/>
      <c r="BY744" s="131"/>
      <c r="BZ744" s="131"/>
      <c r="CA744" s="131"/>
      <c r="CB744" s="131"/>
      <c r="CC744" s="131"/>
      <c r="CD744" s="131"/>
      <c r="CE744" s="131"/>
      <c r="CF744" s="131"/>
      <c r="CG744" s="131"/>
      <c r="CH744" s="131"/>
    </row>
    <row r="745" ht="18.75" customHeight="1">
      <c r="C745" s="64"/>
      <c r="E745" s="64"/>
      <c r="F745" s="64"/>
      <c r="G745" s="64"/>
      <c r="AH745" s="162"/>
      <c r="AI745" s="162"/>
      <c r="AJ745" s="162"/>
      <c r="AK745" s="162"/>
      <c r="BS745" s="131"/>
      <c r="BT745" s="131"/>
      <c r="BU745" s="131"/>
      <c r="BV745" s="131"/>
      <c r="BW745" s="131"/>
      <c r="BX745" s="131"/>
      <c r="BY745" s="131"/>
      <c r="BZ745" s="131"/>
      <c r="CA745" s="131"/>
      <c r="CB745" s="131"/>
      <c r="CC745" s="131"/>
      <c r="CD745" s="131"/>
      <c r="CE745" s="131"/>
      <c r="CF745" s="131"/>
      <c r="CG745" s="131"/>
      <c r="CH745" s="131"/>
    </row>
    <row r="746" ht="18.75" customHeight="1">
      <c r="C746" s="64"/>
      <c r="E746" s="64"/>
      <c r="F746" s="64"/>
      <c r="G746" s="64"/>
      <c r="AH746" s="162"/>
      <c r="AI746" s="162"/>
      <c r="AJ746" s="162"/>
      <c r="AK746" s="162"/>
      <c r="BS746" s="131"/>
      <c r="BT746" s="131"/>
      <c r="BU746" s="131"/>
      <c r="BV746" s="131"/>
      <c r="BW746" s="131"/>
      <c r="BX746" s="131"/>
      <c r="BY746" s="131"/>
      <c r="BZ746" s="131"/>
      <c r="CA746" s="131"/>
      <c r="CB746" s="131"/>
      <c r="CC746" s="131"/>
      <c r="CD746" s="131"/>
      <c r="CE746" s="131"/>
      <c r="CF746" s="131"/>
      <c r="CG746" s="131"/>
      <c r="CH746" s="131"/>
    </row>
    <row r="747" ht="18.75" customHeight="1">
      <c r="C747" s="64"/>
      <c r="E747" s="64"/>
      <c r="F747" s="64"/>
      <c r="G747" s="64"/>
      <c r="AH747" s="162"/>
      <c r="AI747" s="162"/>
      <c r="AJ747" s="162"/>
      <c r="AK747" s="162"/>
      <c r="BS747" s="131"/>
      <c r="BT747" s="131"/>
      <c r="BU747" s="131"/>
      <c r="BV747" s="131"/>
      <c r="BW747" s="131"/>
      <c r="BX747" s="131"/>
      <c r="BY747" s="131"/>
      <c r="BZ747" s="131"/>
      <c r="CA747" s="131"/>
      <c r="CB747" s="131"/>
      <c r="CC747" s="131"/>
      <c r="CD747" s="131"/>
      <c r="CE747" s="131"/>
      <c r="CF747" s="131"/>
      <c r="CG747" s="131"/>
      <c r="CH747" s="131"/>
    </row>
    <row r="748" ht="18.75" customHeight="1">
      <c r="C748" s="64"/>
      <c r="E748" s="64"/>
      <c r="F748" s="64"/>
      <c r="G748" s="64"/>
      <c r="AH748" s="162"/>
      <c r="AI748" s="162"/>
      <c r="AJ748" s="162"/>
      <c r="AK748" s="162"/>
      <c r="BS748" s="131"/>
      <c r="BT748" s="131"/>
      <c r="BU748" s="131"/>
      <c r="BV748" s="131"/>
      <c r="BW748" s="131"/>
      <c r="BX748" s="131"/>
      <c r="BY748" s="131"/>
      <c r="BZ748" s="131"/>
      <c r="CA748" s="131"/>
      <c r="CB748" s="131"/>
      <c r="CC748" s="131"/>
      <c r="CD748" s="131"/>
      <c r="CE748" s="131"/>
      <c r="CF748" s="131"/>
      <c r="CG748" s="131"/>
      <c r="CH748" s="131"/>
    </row>
    <row r="749" ht="18.75" customHeight="1">
      <c r="C749" s="64"/>
      <c r="E749" s="64"/>
      <c r="F749" s="64"/>
      <c r="G749" s="64"/>
      <c r="AH749" s="162"/>
      <c r="AI749" s="162"/>
      <c r="AJ749" s="162"/>
      <c r="AK749" s="162"/>
      <c r="BS749" s="131"/>
      <c r="BT749" s="131"/>
      <c r="BU749" s="131"/>
      <c r="BV749" s="131"/>
      <c r="BW749" s="131"/>
      <c r="BX749" s="131"/>
      <c r="BY749" s="131"/>
      <c r="BZ749" s="131"/>
      <c r="CA749" s="131"/>
      <c r="CB749" s="131"/>
      <c r="CC749" s="131"/>
      <c r="CD749" s="131"/>
      <c r="CE749" s="131"/>
      <c r="CF749" s="131"/>
      <c r="CG749" s="131"/>
      <c r="CH749" s="131"/>
    </row>
    <row r="750" ht="18.75" customHeight="1">
      <c r="C750" s="64"/>
      <c r="E750" s="64"/>
      <c r="F750" s="64"/>
      <c r="G750" s="64"/>
      <c r="AH750" s="162"/>
      <c r="AI750" s="162"/>
      <c r="AJ750" s="162"/>
      <c r="AK750" s="162"/>
      <c r="BS750" s="131"/>
      <c r="BT750" s="131"/>
      <c r="BU750" s="131"/>
      <c r="BV750" s="131"/>
      <c r="BW750" s="131"/>
      <c r="BX750" s="131"/>
      <c r="BY750" s="131"/>
      <c r="BZ750" s="131"/>
      <c r="CA750" s="131"/>
      <c r="CB750" s="131"/>
      <c r="CC750" s="131"/>
      <c r="CD750" s="131"/>
      <c r="CE750" s="131"/>
      <c r="CF750" s="131"/>
      <c r="CG750" s="131"/>
      <c r="CH750" s="131"/>
    </row>
    <row r="751" ht="18.75" customHeight="1">
      <c r="C751" s="64"/>
      <c r="E751" s="64"/>
      <c r="F751" s="64"/>
      <c r="G751" s="64"/>
      <c r="AH751" s="162"/>
      <c r="AI751" s="162"/>
      <c r="AJ751" s="162"/>
      <c r="AK751" s="162"/>
      <c r="BS751" s="131"/>
      <c r="BT751" s="131"/>
      <c r="BU751" s="131"/>
      <c r="BV751" s="131"/>
      <c r="BW751" s="131"/>
      <c r="BX751" s="131"/>
      <c r="BY751" s="131"/>
      <c r="BZ751" s="131"/>
      <c r="CA751" s="131"/>
      <c r="CB751" s="131"/>
      <c r="CC751" s="131"/>
      <c r="CD751" s="131"/>
      <c r="CE751" s="131"/>
      <c r="CF751" s="131"/>
      <c r="CG751" s="131"/>
      <c r="CH751" s="131"/>
    </row>
    <row r="752" ht="18.75" customHeight="1">
      <c r="C752" s="64"/>
      <c r="E752" s="64"/>
      <c r="F752" s="64"/>
      <c r="G752" s="64"/>
      <c r="AH752" s="162"/>
      <c r="AI752" s="162"/>
      <c r="AJ752" s="162"/>
      <c r="AK752" s="162"/>
      <c r="BS752" s="131"/>
      <c r="BT752" s="131"/>
      <c r="BU752" s="131"/>
      <c r="BV752" s="131"/>
      <c r="BW752" s="131"/>
      <c r="BX752" s="131"/>
      <c r="BY752" s="131"/>
      <c r="BZ752" s="131"/>
      <c r="CA752" s="131"/>
      <c r="CB752" s="131"/>
      <c r="CC752" s="131"/>
      <c r="CD752" s="131"/>
      <c r="CE752" s="131"/>
      <c r="CF752" s="131"/>
      <c r="CG752" s="131"/>
      <c r="CH752" s="131"/>
    </row>
    <row r="753" ht="18.75" customHeight="1">
      <c r="C753" s="64"/>
      <c r="E753" s="64"/>
      <c r="F753" s="64"/>
      <c r="G753" s="64"/>
      <c r="AH753" s="162"/>
      <c r="AI753" s="162"/>
      <c r="AJ753" s="162"/>
      <c r="AK753" s="162"/>
      <c r="BS753" s="131"/>
      <c r="BT753" s="131"/>
      <c r="BU753" s="131"/>
      <c r="BV753" s="131"/>
      <c r="BW753" s="131"/>
      <c r="BX753" s="131"/>
      <c r="BY753" s="131"/>
      <c r="BZ753" s="131"/>
      <c r="CA753" s="131"/>
      <c r="CB753" s="131"/>
      <c r="CC753" s="131"/>
      <c r="CD753" s="131"/>
      <c r="CE753" s="131"/>
      <c r="CF753" s="131"/>
      <c r="CG753" s="131"/>
      <c r="CH753" s="131"/>
    </row>
    <row r="754" ht="18.75" customHeight="1">
      <c r="C754" s="64"/>
      <c r="E754" s="64"/>
      <c r="F754" s="64"/>
      <c r="G754" s="64"/>
      <c r="AH754" s="162"/>
      <c r="AI754" s="162"/>
      <c r="AJ754" s="162"/>
      <c r="AK754" s="162"/>
      <c r="BS754" s="131"/>
      <c r="BT754" s="131"/>
      <c r="BU754" s="131"/>
      <c r="BV754" s="131"/>
      <c r="BW754" s="131"/>
      <c r="BX754" s="131"/>
      <c r="BY754" s="131"/>
      <c r="BZ754" s="131"/>
      <c r="CA754" s="131"/>
      <c r="CB754" s="131"/>
      <c r="CC754" s="131"/>
      <c r="CD754" s="131"/>
      <c r="CE754" s="131"/>
      <c r="CF754" s="131"/>
      <c r="CG754" s="131"/>
      <c r="CH754" s="131"/>
    </row>
    <row r="755" ht="18.75" customHeight="1">
      <c r="C755" s="64"/>
      <c r="E755" s="64"/>
      <c r="F755" s="64"/>
      <c r="G755" s="64"/>
      <c r="AH755" s="162"/>
      <c r="AI755" s="162"/>
      <c r="AJ755" s="162"/>
      <c r="AK755" s="162"/>
      <c r="BS755" s="131"/>
      <c r="BT755" s="131"/>
      <c r="BU755" s="131"/>
      <c r="BV755" s="131"/>
      <c r="BW755" s="131"/>
      <c r="BX755" s="131"/>
      <c r="BY755" s="131"/>
      <c r="BZ755" s="131"/>
      <c r="CA755" s="131"/>
      <c r="CB755" s="131"/>
      <c r="CC755" s="131"/>
      <c r="CD755" s="131"/>
      <c r="CE755" s="131"/>
      <c r="CF755" s="131"/>
      <c r="CG755" s="131"/>
      <c r="CH755" s="131"/>
    </row>
    <row r="756" ht="18.75" customHeight="1">
      <c r="C756" s="64"/>
      <c r="E756" s="64"/>
      <c r="F756" s="64"/>
      <c r="G756" s="64"/>
      <c r="AH756" s="162"/>
      <c r="AI756" s="162"/>
      <c r="AJ756" s="162"/>
      <c r="AK756" s="162"/>
      <c r="BS756" s="131"/>
      <c r="BT756" s="131"/>
      <c r="BU756" s="131"/>
      <c r="BV756" s="131"/>
      <c r="BW756" s="131"/>
      <c r="BX756" s="131"/>
      <c r="BY756" s="131"/>
      <c r="BZ756" s="131"/>
      <c r="CA756" s="131"/>
      <c r="CB756" s="131"/>
      <c r="CC756" s="131"/>
      <c r="CD756" s="131"/>
      <c r="CE756" s="131"/>
      <c r="CF756" s="131"/>
      <c r="CG756" s="131"/>
      <c r="CH756" s="131"/>
    </row>
    <row r="757" ht="18.75" customHeight="1">
      <c r="C757" s="64"/>
      <c r="E757" s="64"/>
      <c r="F757" s="64"/>
      <c r="G757" s="64"/>
      <c r="AH757" s="162"/>
      <c r="AI757" s="162"/>
      <c r="AJ757" s="162"/>
      <c r="AK757" s="162"/>
      <c r="BS757" s="131"/>
      <c r="BT757" s="131"/>
      <c r="BU757" s="131"/>
      <c r="BV757" s="131"/>
      <c r="BW757" s="131"/>
      <c r="BX757" s="131"/>
      <c r="BY757" s="131"/>
      <c r="BZ757" s="131"/>
      <c r="CA757" s="131"/>
      <c r="CB757" s="131"/>
      <c r="CC757" s="131"/>
      <c r="CD757" s="131"/>
      <c r="CE757" s="131"/>
      <c r="CF757" s="131"/>
      <c r="CG757" s="131"/>
      <c r="CH757" s="131"/>
    </row>
    <row r="758" ht="18.75" customHeight="1">
      <c r="C758" s="64"/>
      <c r="E758" s="64"/>
      <c r="F758" s="64"/>
      <c r="G758" s="64"/>
      <c r="AH758" s="162"/>
      <c r="AI758" s="162"/>
      <c r="AJ758" s="162"/>
      <c r="AK758" s="162"/>
      <c r="BS758" s="131"/>
      <c r="BT758" s="131"/>
      <c r="BU758" s="131"/>
      <c r="BV758" s="131"/>
      <c r="BW758" s="131"/>
      <c r="BX758" s="131"/>
      <c r="BY758" s="131"/>
      <c r="BZ758" s="131"/>
      <c r="CA758" s="131"/>
      <c r="CB758" s="131"/>
      <c r="CC758" s="131"/>
      <c r="CD758" s="131"/>
      <c r="CE758" s="131"/>
      <c r="CF758" s="131"/>
      <c r="CG758" s="131"/>
      <c r="CH758" s="131"/>
    </row>
    <row r="759" ht="18.75" customHeight="1">
      <c r="C759" s="64"/>
      <c r="E759" s="64"/>
      <c r="F759" s="64"/>
      <c r="G759" s="64"/>
      <c r="AH759" s="162"/>
      <c r="AI759" s="162"/>
      <c r="AJ759" s="162"/>
      <c r="AK759" s="162"/>
      <c r="BS759" s="131"/>
      <c r="BT759" s="131"/>
      <c r="BU759" s="131"/>
      <c r="BV759" s="131"/>
      <c r="BW759" s="131"/>
      <c r="BX759" s="131"/>
      <c r="BY759" s="131"/>
      <c r="BZ759" s="131"/>
      <c r="CA759" s="131"/>
      <c r="CB759" s="131"/>
      <c r="CC759" s="131"/>
      <c r="CD759" s="131"/>
      <c r="CE759" s="131"/>
      <c r="CF759" s="131"/>
      <c r="CG759" s="131"/>
      <c r="CH759" s="131"/>
    </row>
    <row r="760" ht="18.75" customHeight="1">
      <c r="C760" s="64"/>
      <c r="E760" s="64"/>
      <c r="F760" s="64"/>
      <c r="G760" s="64"/>
      <c r="AH760" s="162"/>
      <c r="AI760" s="162"/>
      <c r="AJ760" s="162"/>
      <c r="AK760" s="162"/>
      <c r="BS760" s="131"/>
      <c r="BT760" s="131"/>
      <c r="BU760" s="131"/>
      <c r="BV760" s="131"/>
      <c r="BW760" s="131"/>
      <c r="BX760" s="131"/>
      <c r="BY760" s="131"/>
      <c r="BZ760" s="131"/>
      <c r="CA760" s="131"/>
      <c r="CB760" s="131"/>
      <c r="CC760" s="131"/>
      <c r="CD760" s="131"/>
      <c r="CE760" s="131"/>
      <c r="CF760" s="131"/>
      <c r="CG760" s="131"/>
      <c r="CH760" s="131"/>
    </row>
    <row r="761" ht="18.75" customHeight="1">
      <c r="C761" s="64"/>
      <c r="E761" s="64"/>
      <c r="F761" s="64"/>
      <c r="G761" s="64"/>
      <c r="AH761" s="162"/>
      <c r="AI761" s="162"/>
      <c r="AJ761" s="162"/>
      <c r="AK761" s="162"/>
      <c r="BS761" s="131"/>
      <c r="BT761" s="131"/>
      <c r="BU761" s="131"/>
      <c r="BV761" s="131"/>
      <c r="BW761" s="131"/>
      <c r="BX761" s="131"/>
      <c r="BY761" s="131"/>
      <c r="BZ761" s="131"/>
      <c r="CA761" s="131"/>
      <c r="CB761" s="131"/>
      <c r="CC761" s="131"/>
      <c r="CD761" s="131"/>
      <c r="CE761" s="131"/>
      <c r="CF761" s="131"/>
      <c r="CG761" s="131"/>
      <c r="CH761" s="131"/>
    </row>
    <row r="762" ht="18.75" customHeight="1">
      <c r="C762" s="64"/>
      <c r="E762" s="64"/>
      <c r="F762" s="64"/>
      <c r="G762" s="64"/>
      <c r="AH762" s="162"/>
      <c r="AI762" s="162"/>
      <c r="AJ762" s="162"/>
      <c r="AK762" s="162"/>
      <c r="BS762" s="131"/>
      <c r="BT762" s="131"/>
      <c r="BU762" s="131"/>
      <c r="BV762" s="131"/>
      <c r="BW762" s="131"/>
      <c r="BX762" s="131"/>
      <c r="BY762" s="131"/>
      <c r="BZ762" s="131"/>
      <c r="CA762" s="131"/>
      <c r="CB762" s="131"/>
      <c r="CC762" s="131"/>
      <c r="CD762" s="131"/>
      <c r="CE762" s="131"/>
      <c r="CF762" s="131"/>
      <c r="CG762" s="131"/>
      <c r="CH762" s="131"/>
    </row>
    <row r="763" ht="18.75" customHeight="1">
      <c r="C763" s="64"/>
      <c r="E763" s="64"/>
      <c r="F763" s="64"/>
      <c r="G763" s="64"/>
      <c r="AH763" s="162"/>
      <c r="AI763" s="162"/>
      <c r="AJ763" s="162"/>
      <c r="AK763" s="162"/>
      <c r="BS763" s="131"/>
      <c r="BT763" s="131"/>
      <c r="BU763" s="131"/>
      <c r="BV763" s="131"/>
      <c r="BW763" s="131"/>
      <c r="BX763" s="131"/>
      <c r="BY763" s="131"/>
      <c r="BZ763" s="131"/>
      <c r="CA763" s="131"/>
      <c r="CB763" s="131"/>
      <c r="CC763" s="131"/>
      <c r="CD763" s="131"/>
      <c r="CE763" s="131"/>
      <c r="CF763" s="131"/>
      <c r="CG763" s="131"/>
      <c r="CH763" s="131"/>
    </row>
    <row r="764" ht="18.75" customHeight="1">
      <c r="C764" s="64"/>
      <c r="E764" s="64"/>
      <c r="F764" s="64"/>
      <c r="G764" s="64"/>
      <c r="AH764" s="162"/>
      <c r="AI764" s="162"/>
      <c r="AJ764" s="162"/>
      <c r="AK764" s="162"/>
      <c r="BS764" s="131"/>
      <c r="BT764" s="131"/>
      <c r="BU764" s="131"/>
      <c r="BV764" s="131"/>
      <c r="BW764" s="131"/>
      <c r="BX764" s="131"/>
      <c r="BY764" s="131"/>
      <c r="BZ764" s="131"/>
      <c r="CA764" s="131"/>
      <c r="CB764" s="131"/>
      <c r="CC764" s="131"/>
      <c r="CD764" s="131"/>
      <c r="CE764" s="131"/>
      <c r="CF764" s="131"/>
      <c r="CG764" s="131"/>
      <c r="CH764" s="131"/>
    </row>
    <row r="765" ht="18.75" customHeight="1">
      <c r="C765" s="64"/>
      <c r="E765" s="64"/>
      <c r="F765" s="64"/>
      <c r="G765" s="64"/>
      <c r="AH765" s="162"/>
      <c r="AI765" s="162"/>
      <c r="AJ765" s="162"/>
      <c r="AK765" s="162"/>
      <c r="BS765" s="131"/>
      <c r="BT765" s="131"/>
      <c r="BU765" s="131"/>
      <c r="BV765" s="131"/>
      <c r="BW765" s="131"/>
      <c r="BX765" s="131"/>
      <c r="BY765" s="131"/>
      <c r="BZ765" s="131"/>
      <c r="CA765" s="131"/>
      <c r="CB765" s="131"/>
      <c r="CC765" s="131"/>
      <c r="CD765" s="131"/>
      <c r="CE765" s="131"/>
      <c r="CF765" s="131"/>
      <c r="CG765" s="131"/>
      <c r="CH765" s="131"/>
    </row>
    <row r="766" ht="18.75" customHeight="1">
      <c r="C766" s="64"/>
      <c r="E766" s="64"/>
      <c r="F766" s="64"/>
      <c r="G766" s="64"/>
      <c r="AH766" s="162"/>
      <c r="AI766" s="162"/>
      <c r="AJ766" s="162"/>
      <c r="AK766" s="162"/>
      <c r="BS766" s="131"/>
      <c r="BT766" s="131"/>
      <c r="BU766" s="131"/>
      <c r="BV766" s="131"/>
      <c r="BW766" s="131"/>
      <c r="BX766" s="131"/>
      <c r="BY766" s="131"/>
      <c r="BZ766" s="131"/>
      <c r="CA766" s="131"/>
      <c r="CB766" s="131"/>
      <c r="CC766" s="131"/>
      <c r="CD766" s="131"/>
      <c r="CE766" s="131"/>
      <c r="CF766" s="131"/>
      <c r="CG766" s="131"/>
      <c r="CH766" s="131"/>
    </row>
    <row r="767" ht="18.75" customHeight="1">
      <c r="C767" s="64"/>
      <c r="E767" s="64"/>
      <c r="F767" s="64"/>
      <c r="G767" s="64"/>
      <c r="AH767" s="162"/>
      <c r="AI767" s="162"/>
      <c r="AJ767" s="162"/>
      <c r="AK767" s="162"/>
      <c r="BS767" s="131"/>
      <c r="BT767" s="131"/>
      <c r="BU767" s="131"/>
      <c r="BV767" s="131"/>
      <c r="BW767" s="131"/>
      <c r="BX767" s="131"/>
      <c r="BY767" s="131"/>
      <c r="BZ767" s="131"/>
      <c r="CA767" s="131"/>
      <c r="CB767" s="131"/>
      <c r="CC767" s="131"/>
      <c r="CD767" s="131"/>
      <c r="CE767" s="131"/>
      <c r="CF767" s="131"/>
      <c r="CG767" s="131"/>
      <c r="CH767" s="131"/>
    </row>
    <row r="768" ht="18.75" customHeight="1">
      <c r="C768" s="64"/>
      <c r="E768" s="64"/>
      <c r="F768" s="64"/>
      <c r="G768" s="64"/>
      <c r="AH768" s="162"/>
      <c r="AI768" s="162"/>
      <c r="AJ768" s="162"/>
      <c r="AK768" s="162"/>
      <c r="BS768" s="131"/>
      <c r="BT768" s="131"/>
      <c r="BU768" s="131"/>
      <c r="BV768" s="131"/>
      <c r="BW768" s="131"/>
      <c r="BX768" s="131"/>
      <c r="BY768" s="131"/>
      <c r="BZ768" s="131"/>
      <c r="CA768" s="131"/>
      <c r="CB768" s="131"/>
      <c r="CC768" s="131"/>
      <c r="CD768" s="131"/>
      <c r="CE768" s="131"/>
      <c r="CF768" s="131"/>
      <c r="CG768" s="131"/>
      <c r="CH768" s="131"/>
    </row>
    <row r="769" ht="18.75" customHeight="1">
      <c r="C769" s="64"/>
      <c r="E769" s="64"/>
      <c r="F769" s="64"/>
      <c r="G769" s="64"/>
      <c r="AH769" s="162"/>
      <c r="AI769" s="162"/>
      <c r="AJ769" s="162"/>
      <c r="AK769" s="162"/>
      <c r="BS769" s="131"/>
      <c r="BT769" s="131"/>
      <c r="BU769" s="131"/>
      <c r="BV769" s="131"/>
      <c r="BW769" s="131"/>
      <c r="BX769" s="131"/>
      <c r="BY769" s="131"/>
      <c r="BZ769" s="131"/>
      <c r="CA769" s="131"/>
      <c r="CB769" s="131"/>
      <c r="CC769" s="131"/>
      <c r="CD769" s="131"/>
      <c r="CE769" s="131"/>
      <c r="CF769" s="131"/>
      <c r="CG769" s="131"/>
      <c r="CH769" s="131"/>
    </row>
    <row r="770" ht="18.75" customHeight="1">
      <c r="C770" s="64"/>
      <c r="E770" s="64"/>
      <c r="F770" s="64"/>
      <c r="G770" s="64"/>
      <c r="AH770" s="162"/>
      <c r="AI770" s="162"/>
      <c r="AJ770" s="162"/>
      <c r="AK770" s="162"/>
      <c r="BS770" s="131"/>
      <c r="BT770" s="131"/>
      <c r="BU770" s="131"/>
      <c r="BV770" s="131"/>
      <c r="BW770" s="131"/>
      <c r="BX770" s="131"/>
      <c r="BY770" s="131"/>
      <c r="BZ770" s="131"/>
      <c r="CA770" s="131"/>
      <c r="CB770" s="131"/>
      <c r="CC770" s="131"/>
      <c r="CD770" s="131"/>
      <c r="CE770" s="131"/>
      <c r="CF770" s="131"/>
      <c r="CG770" s="131"/>
      <c r="CH770" s="131"/>
    </row>
    <row r="771" ht="18.75" customHeight="1">
      <c r="C771" s="64"/>
      <c r="E771" s="64"/>
      <c r="F771" s="64"/>
      <c r="G771" s="64"/>
      <c r="AH771" s="162"/>
      <c r="AI771" s="162"/>
      <c r="AJ771" s="162"/>
      <c r="AK771" s="162"/>
      <c r="BS771" s="131"/>
      <c r="BT771" s="131"/>
      <c r="BU771" s="131"/>
      <c r="BV771" s="131"/>
      <c r="BW771" s="131"/>
      <c r="BX771" s="131"/>
      <c r="BY771" s="131"/>
      <c r="BZ771" s="131"/>
      <c r="CA771" s="131"/>
      <c r="CB771" s="131"/>
      <c r="CC771" s="131"/>
      <c r="CD771" s="131"/>
      <c r="CE771" s="131"/>
      <c r="CF771" s="131"/>
      <c r="CG771" s="131"/>
      <c r="CH771" s="131"/>
    </row>
    <row r="772" ht="18.75" customHeight="1">
      <c r="C772" s="64"/>
      <c r="E772" s="64"/>
      <c r="F772" s="64"/>
      <c r="G772" s="64"/>
      <c r="AH772" s="162"/>
      <c r="AI772" s="162"/>
      <c r="AJ772" s="162"/>
      <c r="AK772" s="162"/>
      <c r="BS772" s="131"/>
      <c r="BT772" s="131"/>
      <c r="BU772" s="131"/>
      <c r="BV772" s="131"/>
      <c r="BW772" s="131"/>
      <c r="BX772" s="131"/>
      <c r="BY772" s="131"/>
      <c r="BZ772" s="131"/>
      <c r="CA772" s="131"/>
      <c r="CB772" s="131"/>
      <c r="CC772" s="131"/>
      <c r="CD772" s="131"/>
      <c r="CE772" s="131"/>
      <c r="CF772" s="131"/>
      <c r="CG772" s="131"/>
      <c r="CH772" s="131"/>
    </row>
    <row r="773" ht="18.75" customHeight="1">
      <c r="C773" s="64"/>
      <c r="E773" s="64"/>
      <c r="F773" s="64"/>
      <c r="G773" s="64"/>
      <c r="AH773" s="162"/>
      <c r="AI773" s="162"/>
      <c r="AJ773" s="162"/>
      <c r="AK773" s="162"/>
      <c r="BS773" s="131"/>
      <c r="BT773" s="131"/>
      <c r="BU773" s="131"/>
      <c r="BV773" s="131"/>
      <c r="BW773" s="131"/>
      <c r="BX773" s="131"/>
      <c r="BY773" s="131"/>
      <c r="BZ773" s="131"/>
      <c r="CA773" s="131"/>
      <c r="CB773" s="131"/>
      <c r="CC773" s="131"/>
      <c r="CD773" s="131"/>
      <c r="CE773" s="131"/>
      <c r="CF773" s="131"/>
      <c r="CG773" s="131"/>
      <c r="CH773" s="131"/>
    </row>
    <row r="774" ht="18.75" customHeight="1">
      <c r="C774" s="64"/>
      <c r="E774" s="64"/>
      <c r="F774" s="64"/>
      <c r="G774" s="64"/>
      <c r="AH774" s="162"/>
      <c r="AI774" s="162"/>
      <c r="AJ774" s="162"/>
      <c r="AK774" s="162"/>
      <c r="BS774" s="131"/>
      <c r="BT774" s="131"/>
      <c r="BU774" s="131"/>
      <c r="BV774" s="131"/>
      <c r="BW774" s="131"/>
      <c r="BX774" s="131"/>
      <c r="BY774" s="131"/>
      <c r="BZ774" s="131"/>
      <c r="CA774" s="131"/>
      <c r="CB774" s="131"/>
      <c r="CC774" s="131"/>
      <c r="CD774" s="131"/>
      <c r="CE774" s="131"/>
      <c r="CF774" s="131"/>
      <c r="CG774" s="131"/>
      <c r="CH774" s="131"/>
    </row>
    <row r="775" ht="18.75" customHeight="1">
      <c r="C775" s="64"/>
      <c r="E775" s="64"/>
      <c r="F775" s="64"/>
      <c r="G775" s="64"/>
      <c r="AH775" s="162"/>
      <c r="AI775" s="162"/>
      <c r="AJ775" s="162"/>
      <c r="AK775" s="162"/>
      <c r="BS775" s="131"/>
      <c r="BT775" s="131"/>
      <c r="BU775" s="131"/>
      <c r="BV775" s="131"/>
      <c r="BW775" s="131"/>
      <c r="BX775" s="131"/>
      <c r="BY775" s="131"/>
      <c r="BZ775" s="131"/>
      <c r="CA775" s="131"/>
      <c r="CB775" s="131"/>
      <c r="CC775" s="131"/>
      <c r="CD775" s="131"/>
      <c r="CE775" s="131"/>
      <c r="CF775" s="131"/>
      <c r="CG775" s="131"/>
      <c r="CH775" s="131"/>
    </row>
    <row r="776" ht="18.75" customHeight="1">
      <c r="C776" s="64"/>
      <c r="E776" s="64"/>
      <c r="F776" s="64"/>
      <c r="G776" s="64"/>
      <c r="AH776" s="162"/>
      <c r="AI776" s="162"/>
      <c r="AJ776" s="162"/>
      <c r="AK776" s="162"/>
      <c r="BS776" s="131"/>
      <c r="BT776" s="131"/>
      <c r="BU776" s="131"/>
      <c r="BV776" s="131"/>
      <c r="BW776" s="131"/>
      <c r="BX776" s="131"/>
      <c r="BY776" s="131"/>
      <c r="BZ776" s="131"/>
      <c r="CA776" s="131"/>
      <c r="CB776" s="131"/>
      <c r="CC776" s="131"/>
      <c r="CD776" s="131"/>
      <c r="CE776" s="131"/>
      <c r="CF776" s="131"/>
      <c r="CG776" s="131"/>
      <c r="CH776" s="131"/>
    </row>
    <row r="777" ht="18.75" customHeight="1">
      <c r="C777" s="64"/>
      <c r="E777" s="64"/>
      <c r="F777" s="64"/>
      <c r="G777" s="64"/>
      <c r="AH777" s="162"/>
      <c r="AI777" s="162"/>
      <c r="AJ777" s="162"/>
      <c r="AK777" s="162"/>
      <c r="BS777" s="131"/>
      <c r="BT777" s="131"/>
      <c r="BU777" s="131"/>
      <c r="BV777" s="131"/>
      <c r="BW777" s="131"/>
      <c r="BX777" s="131"/>
      <c r="BY777" s="131"/>
      <c r="BZ777" s="131"/>
      <c r="CA777" s="131"/>
      <c r="CB777" s="131"/>
      <c r="CC777" s="131"/>
      <c r="CD777" s="131"/>
      <c r="CE777" s="131"/>
      <c r="CF777" s="131"/>
      <c r="CG777" s="131"/>
      <c r="CH777" s="131"/>
    </row>
    <row r="778" ht="18.75" customHeight="1">
      <c r="C778" s="64"/>
      <c r="E778" s="64"/>
      <c r="F778" s="64"/>
      <c r="G778" s="64"/>
      <c r="AH778" s="162"/>
      <c r="AI778" s="162"/>
      <c r="AJ778" s="162"/>
      <c r="AK778" s="162"/>
      <c r="BS778" s="131"/>
      <c r="BT778" s="131"/>
      <c r="BU778" s="131"/>
      <c r="BV778" s="131"/>
      <c r="BW778" s="131"/>
      <c r="BX778" s="131"/>
      <c r="BY778" s="131"/>
      <c r="BZ778" s="131"/>
      <c r="CA778" s="131"/>
      <c r="CB778" s="131"/>
      <c r="CC778" s="131"/>
      <c r="CD778" s="131"/>
      <c r="CE778" s="131"/>
      <c r="CF778" s="131"/>
      <c r="CG778" s="131"/>
      <c r="CH778" s="131"/>
    </row>
    <row r="779" ht="18.75" customHeight="1">
      <c r="C779" s="64"/>
      <c r="E779" s="64"/>
      <c r="F779" s="64"/>
      <c r="G779" s="64"/>
      <c r="AH779" s="162"/>
      <c r="AI779" s="162"/>
      <c r="AJ779" s="162"/>
      <c r="AK779" s="162"/>
      <c r="BS779" s="131"/>
      <c r="BT779" s="131"/>
      <c r="BU779" s="131"/>
      <c r="BV779" s="131"/>
      <c r="BW779" s="131"/>
      <c r="BX779" s="131"/>
      <c r="BY779" s="131"/>
      <c r="BZ779" s="131"/>
      <c r="CA779" s="131"/>
      <c r="CB779" s="131"/>
      <c r="CC779" s="131"/>
      <c r="CD779" s="131"/>
      <c r="CE779" s="131"/>
      <c r="CF779" s="131"/>
      <c r="CG779" s="131"/>
      <c r="CH779" s="131"/>
    </row>
    <row r="780" ht="18.75" customHeight="1">
      <c r="C780" s="64"/>
      <c r="E780" s="64"/>
      <c r="F780" s="64"/>
      <c r="G780" s="64"/>
      <c r="AH780" s="162"/>
      <c r="AI780" s="162"/>
      <c r="AJ780" s="162"/>
      <c r="AK780" s="162"/>
      <c r="BS780" s="131"/>
      <c r="BT780" s="131"/>
      <c r="BU780" s="131"/>
      <c r="BV780" s="131"/>
      <c r="BW780" s="131"/>
      <c r="BX780" s="131"/>
      <c r="BY780" s="131"/>
      <c r="BZ780" s="131"/>
      <c r="CA780" s="131"/>
      <c r="CB780" s="131"/>
      <c r="CC780" s="131"/>
      <c r="CD780" s="131"/>
      <c r="CE780" s="131"/>
      <c r="CF780" s="131"/>
      <c r="CG780" s="131"/>
      <c r="CH780" s="131"/>
    </row>
    <row r="781" ht="18.75" customHeight="1">
      <c r="C781" s="64"/>
      <c r="E781" s="64"/>
      <c r="F781" s="64"/>
      <c r="G781" s="64"/>
      <c r="AH781" s="162"/>
      <c r="AI781" s="162"/>
      <c r="AJ781" s="162"/>
      <c r="AK781" s="162"/>
      <c r="BS781" s="131"/>
      <c r="BT781" s="131"/>
      <c r="BU781" s="131"/>
      <c r="BV781" s="131"/>
      <c r="BW781" s="131"/>
      <c r="BX781" s="131"/>
      <c r="BY781" s="131"/>
      <c r="BZ781" s="131"/>
      <c r="CA781" s="131"/>
      <c r="CB781" s="131"/>
      <c r="CC781" s="131"/>
      <c r="CD781" s="131"/>
      <c r="CE781" s="131"/>
      <c r="CF781" s="131"/>
      <c r="CG781" s="131"/>
      <c r="CH781" s="131"/>
    </row>
    <row r="782" ht="18.75" customHeight="1">
      <c r="C782" s="64"/>
      <c r="E782" s="64"/>
      <c r="F782" s="64"/>
      <c r="G782" s="64"/>
      <c r="AH782" s="162"/>
      <c r="AI782" s="162"/>
      <c r="AJ782" s="162"/>
      <c r="AK782" s="162"/>
      <c r="BS782" s="131"/>
      <c r="BT782" s="131"/>
      <c r="BU782" s="131"/>
      <c r="BV782" s="131"/>
      <c r="BW782" s="131"/>
      <c r="BX782" s="131"/>
      <c r="BY782" s="131"/>
      <c r="BZ782" s="131"/>
      <c r="CA782" s="131"/>
      <c r="CB782" s="131"/>
      <c r="CC782" s="131"/>
      <c r="CD782" s="131"/>
      <c r="CE782" s="131"/>
      <c r="CF782" s="131"/>
      <c r="CG782" s="131"/>
      <c r="CH782" s="131"/>
    </row>
    <row r="783" ht="18.75" customHeight="1">
      <c r="C783" s="64"/>
      <c r="E783" s="64"/>
      <c r="F783" s="64"/>
      <c r="G783" s="64"/>
      <c r="AH783" s="162"/>
      <c r="AI783" s="162"/>
      <c r="AJ783" s="162"/>
      <c r="AK783" s="162"/>
      <c r="BS783" s="131"/>
      <c r="BT783" s="131"/>
      <c r="BU783" s="131"/>
      <c r="BV783" s="131"/>
      <c r="BW783" s="131"/>
      <c r="BX783" s="131"/>
      <c r="BY783" s="131"/>
      <c r="BZ783" s="131"/>
      <c r="CA783" s="131"/>
      <c r="CB783" s="131"/>
      <c r="CC783" s="131"/>
      <c r="CD783" s="131"/>
      <c r="CE783" s="131"/>
      <c r="CF783" s="131"/>
      <c r="CG783" s="131"/>
      <c r="CH783" s="131"/>
    </row>
    <row r="784" ht="18.75" customHeight="1">
      <c r="C784" s="64"/>
      <c r="E784" s="64"/>
      <c r="F784" s="64"/>
      <c r="G784" s="64"/>
      <c r="AH784" s="162"/>
      <c r="AI784" s="162"/>
      <c r="AJ784" s="162"/>
      <c r="AK784" s="162"/>
      <c r="BS784" s="131"/>
      <c r="BT784" s="131"/>
      <c r="BU784" s="131"/>
      <c r="BV784" s="131"/>
      <c r="BW784" s="131"/>
      <c r="BX784" s="131"/>
      <c r="BY784" s="131"/>
      <c r="BZ784" s="131"/>
      <c r="CA784" s="131"/>
      <c r="CB784" s="131"/>
      <c r="CC784" s="131"/>
      <c r="CD784" s="131"/>
      <c r="CE784" s="131"/>
      <c r="CF784" s="131"/>
      <c r="CG784" s="131"/>
      <c r="CH784" s="131"/>
    </row>
    <row r="785" ht="18.75" customHeight="1">
      <c r="C785" s="64"/>
      <c r="E785" s="64"/>
      <c r="F785" s="64"/>
      <c r="G785" s="64"/>
      <c r="AH785" s="162"/>
      <c r="AI785" s="162"/>
      <c r="AJ785" s="162"/>
      <c r="AK785" s="162"/>
      <c r="BS785" s="131"/>
      <c r="BT785" s="131"/>
      <c r="BU785" s="131"/>
      <c r="BV785" s="131"/>
      <c r="BW785" s="131"/>
      <c r="BX785" s="131"/>
      <c r="BY785" s="131"/>
      <c r="BZ785" s="131"/>
      <c r="CA785" s="131"/>
      <c r="CB785" s="131"/>
      <c r="CC785" s="131"/>
      <c r="CD785" s="131"/>
      <c r="CE785" s="131"/>
      <c r="CF785" s="131"/>
      <c r="CG785" s="131"/>
      <c r="CH785" s="131"/>
    </row>
    <row r="786" ht="18.75" customHeight="1">
      <c r="C786" s="64"/>
      <c r="E786" s="64"/>
      <c r="F786" s="64"/>
      <c r="G786" s="64"/>
      <c r="AH786" s="162"/>
      <c r="AI786" s="162"/>
      <c r="AJ786" s="162"/>
      <c r="AK786" s="162"/>
      <c r="BS786" s="131"/>
      <c r="BT786" s="131"/>
      <c r="BU786" s="131"/>
      <c r="BV786" s="131"/>
      <c r="BW786" s="131"/>
      <c r="BX786" s="131"/>
      <c r="BY786" s="131"/>
      <c r="BZ786" s="131"/>
      <c r="CA786" s="131"/>
      <c r="CB786" s="131"/>
      <c r="CC786" s="131"/>
      <c r="CD786" s="131"/>
      <c r="CE786" s="131"/>
      <c r="CF786" s="131"/>
      <c r="CG786" s="131"/>
      <c r="CH786" s="131"/>
    </row>
    <row r="787" ht="18.75" customHeight="1">
      <c r="C787" s="64"/>
      <c r="E787" s="64"/>
      <c r="F787" s="64"/>
      <c r="G787" s="64"/>
      <c r="AH787" s="162"/>
      <c r="AI787" s="162"/>
      <c r="AJ787" s="162"/>
      <c r="AK787" s="162"/>
      <c r="BS787" s="131"/>
      <c r="BT787" s="131"/>
      <c r="BU787" s="131"/>
      <c r="BV787" s="131"/>
      <c r="BW787" s="131"/>
      <c r="BX787" s="131"/>
      <c r="BY787" s="131"/>
      <c r="BZ787" s="131"/>
      <c r="CA787" s="131"/>
      <c r="CB787" s="131"/>
      <c r="CC787" s="131"/>
      <c r="CD787" s="131"/>
      <c r="CE787" s="131"/>
      <c r="CF787" s="131"/>
      <c r="CG787" s="131"/>
      <c r="CH787" s="131"/>
    </row>
    <row r="788" ht="18.75" customHeight="1">
      <c r="C788" s="64"/>
      <c r="E788" s="64"/>
      <c r="F788" s="64"/>
      <c r="G788" s="64"/>
      <c r="AH788" s="162"/>
      <c r="AI788" s="162"/>
      <c r="AJ788" s="162"/>
      <c r="AK788" s="162"/>
      <c r="BS788" s="131"/>
      <c r="BT788" s="131"/>
      <c r="BU788" s="131"/>
      <c r="BV788" s="131"/>
      <c r="BW788" s="131"/>
      <c r="BX788" s="131"/>
      <c r="BY788" s="131"/>
      <c r="BZ788" s="131"/>
      <c r="CA788" s="131"/>
      <c r="CB788" s="131"/>
      <c r="CC788" s="131"/>
      <c r="CD788" s="131"/>
      <c r="CE788" s="131"/>
      <c r="CF788" s="131"/>
      <c r="CG788" s="131"/>
      <c r="CH788" s="131"/>
    </row>
    <row r="789" ht="18.75" customHeight="1">
      <c r="C789" s="64"/>
      <c r="E789" s="64"/>
      <c r="F789" s="64"/>
      <c r="G789" s="64"/>
      <c r="AH789" s="162"/>
      <c r="AI789" s="162"/>
      <c r="AJ789" s="162"/>
      <c r="AK789" s="162"/>
      <c r="BS789" s="131"/>
      <c r="BT789" s="131"/>
      <c r="BU789" s="131"/>
      <c r="BV789" s="131"/>
      <c r="BW789" s="131"/>
      <c r="BX789" s="131"/>
      <c r="BY789" s="131"/>
      <c r="BZ789" s="131"/>
      <c r="CA789" s="131"/>
      <c r="CB789" s="131"/>
      <c r="CC789" s="131"/>
      <c r="CD789" s="131"/>
      <c r="CE789" s="131"/>
      <c r="CF789" s="131"/>
      <c r="CG789" s="131"/>
      <c r="CH789" s="131"/>
    </row>
    <row r="790" ht="18.75" customHeight="1">
      <c r="C790" s="64"/>
      <c r="E790" s="64"/>
      <c r="F790" s="64"/>
      <c r="G790" s="64"/>
      <c r="AH790" s="162"/>
      <c r="AI790" s="162"/>
      <c r="AJ790" s="162"/>
      <c r="AK790" s="162"/>
      <c r="BS790" s="131"/>
      <c r="BT790" s="131"/>
      <c r="BU790" s="131"/>
      <c r="BV790" s="131"/>
      <c r="BW790" s="131"/>
      <c r="BX790" s="131"/>
      <c r="BY790" s="131"/>
      <c r="BZ790" s="131"/>
      <c r="CA790" s="131"/>
      <c r="CB790" s="131"/>
      <c r="CC790" s="131"/>
      <c r="CD790" s="131"/>
      <c r="CE790" s="131"/>
      <c r="CF790" s="131"/>
      <c r="CG790" s="131"/>
      <c r="CH790" s="131"/>
    </row>
    <row r="791" ht="18.75" customHeight="1">
      <c r="C791" s="64"/>
      <c r="E791" s="64"/>
      <c r="F791" s="64"/>
      <c r="G791" s="64"/>
      <c r="AH791" s="162"/>
      <c r="AI791" s="162"/>
      <c r="AJ791" s="162"/>
      <c r="AK791" s="162"/>
      <c r="BS791" s="131"/>
      <c r="BT791" s="131"/>
      <c r="BU791" s="131"/>
      <c r="BV791" s="131"/>
      <c r="BW791" s="131"/>
      <c r="BX791" s="131"/>
      <c r="BY791" s="131"/>
      <c r="BZ791" s="131"/>
      <c r="CA791" s="131"/>
      <c r="CB791" s="131"/>
      <c r="CC791" s="131"/>
      <c r="CD791" s="131"/>
      <c r="CE791" s="131"/>
      <c r="CF791" s="131"/>
      <c r="CG791" s="131"/>
      <c r="CH791" s="131"/>
    </row>
    <row r="792" ht="18.75" customHeight="1">
      <c r="C792" s="64"/>
      <c r="E792" s="64"/>
      <c r="F792" s="64"/>
      <c r="G792" s="64"/>
      <c r="AH792" s="162"/>
      <c r="AI792" s="162"/>
      <c r="AJ792" s="162"/>
      <c r="AK792" s="162"/>
      <c r="BS792" s="131"/>
      <c r="BT792" s="131"/>
      <c r="BU792" s="131"/>
      <c r="BV792" s="131"/>
      <c r="BW792" s="131"/>
      <c r="BX792" s="131"/>
      <c r="BY792" s="131"/>
      <c r="BZ792" s="131"/>
      <c r="CA792" s="131"/>
      <c r="CB792" s="131"/>
      <c r="CC792" s="131"/>
      <c r="CD792" s="131"/>
      <c r="CE792" s="131"/>
      <c r="CF792" s="131"/>
      <c r="CG792" s="131"/>
      <c r="CH792" s="131"/>
    </row>
    <row r="793" ht="18.75" customHeight="1">
      <c r="C793" s="64"/>
      <c r="E793" s="64"/>
      <c r="F793" s="64"/>
      <c r="G793" s="64"/>
      <c r="AH793" s="162"/>
      <c r="AI793" s="162"/>
      <c r="AJ793" s="162"/>
      <c r="AK793" s="162"/>
      <c r="BS793" s="131"/>
      <c r="BT793" s="131"/>
      <c r="BU793" s="131"/>
      <c r="BV793" s="131"/>
      <c r="BW793" s="131"/>
      <c r="BX793" s="131"/>
      <c r="BY793" s="131"/>
      <c r="BZ793" s="131"/>
      <c r="CA793" s="131"/>
      <c r="CB793" s="131"/>
      <c r="CC793" s="131"/>
      <c r="CD793" s="131"/>
      <c r="CE793" s="131"/>
      <c r="CF793" s="131"/>
      <c r="CG793" s="131"/>
      <c r="CH793" s="131"/>
    </row>
    <row r="794" ht="18.75" customHeight="1">
      <c r="C794" s="64"/>
      <c r="E794" s="64"/>
      <c r="F794" s="64"/>
      <c r="G794" s="64"/>
      <c r="AH794" s="162"/>
      <c r="AI794" s="162"/>
      <c r="AJ794" s="162"/>
      <c r="AK794" s="162"/>
      <c r="BS794" s="131"/>
      <c r="BT794" s="131"/>
      <c r="BU794" s="131"/>
      <c r="BV794" s="131"/>
      <c r="BW794" s="131"/>
      <c r="BX794" s="131"/>
      <c r="BY794" s="131"/>
      <c r="BZ794" s="131"/>
      <c r="CA794" s="131"/>
      <c r="CB794" s="131"/>
      <c r="CC794" s="131"/>
      <c r="CD794" s="131"/>
      <c r="CE794" s="131"/>
      <c r="CF794" s="131"/>
      <c r="CG794" s="131"/>
      <c r="CH794" s="131"/>
    </row>
    <row r="795" ht="18.75" customHeight="1">
      <c r="C795" s="64"/>
      <c r="E795" s="64"/>
      <c r="F795" s="64"/>
      <c r="G795" s="64"/>
      <c r="AH795" s="162"/>
      <c r="AI795" s="162"/>
      <c r="AJ795" s="162"/>
      <c r="AK795" s="162"/>
      <c r="BS795" s="131"/>
      <c r="BT795" s="131"/>
      <c r="BU795" s="131"/>
      <c r="BV795" s="131"/>
      <c r="BW795" s="131"/>
      <c r="BX795" s="131"/>
      <c r="BY795" s="131"/>
      <c r="BZ795" s="131"/>
      <c r="CA795" s="131"/>
      <c r="CB795" s="131"/>
      <c r="CC795" s="131"/>
      <c r="CD795" s="131"/>
      <c r="CE795" s="131"/>
      <c r="CF795" s="131"/>
      <c r="CG795" s="131"/>
      <c r="CH795" s="131"/>
    </row>
    <row r="796" ht="18.75" customHeight="1">
      <c r="C796" s="64"/>
      <c r="E796" s="64"/>
      <c r="F796" s="64"/>
      <c r="G796" s="64"/>
      <c r="AH796" s="162"/>
      <c r="AI796" s="162"/>
      <c r="AJ796" s="162"/>
      <c r="AK796" s="162"/>
      <c r="BS796" s="131"/>
      <c r="BT796" s="131"/>
      <c r="BU796" s="131"/>
      <c r="BV796" s="131"/>
      <c r="BW796" s="131"/>
      <c r="BX796" s="131"/>
      <c r="BY796" s="131"/>
      <c r="BZ796" s="131"/>
      <c r="CA796" s="131"/>
      <c r="CB796" s="131"/>
      <c r="CC796" s="131"/>
      <c r="CD796" s="131"/>
      <c r="CE796" s="131"/>
      <c r="CF796" s="131"/>
      <c r="CG796" s="131"/>
      <c r="CH796" s="131"/>
    </row>
    <row r="797" ht="18.75" customHeight="1">
      <c r="C797" s="64"/>
      <c r="E797" s="64"/>
      <c r="F797" s="64"/>
      <c r="G797" s="64"/>
      <c r="AH797" s="162"/>
      <c r="AI797" s="162"/>
      <c r="AJ797" s="162"/>
      <c r="AK797" s="162"/>
      <c r="BS797" s="131"/>
      <c r="BT797" s="131"/>
      <c r="BU797" s="131"/>
      <c r="BV797" s="131"/>
      <c r="BW797" s="131"/>
      <c r="BX797" s="131"/>
      <c r="BY797" s="131"/>
      <c r="BZ797" s="131"/>
      <c r="CA797" s="131"/>
      <c r="CB797" s="131"/>
      <c r="CC797" s="131"/>
      <c r="CD797" s="131"/>
      <c r="CE797" s="131"/>
      <c r="CF797" s="131"/>
      <c r="CG797" s="131"/>
      <c r="CH797" s="131"/>
    </row>
    <row r="798" ht="18.75" customHeight="1">
      <c r="C798" s="64"/>
      <c r="E798" s="64"/>
      <c r="F798" s="64"/>
      <c r="G798" s="64"/>
      <c r="AH798" s="162"/>
      <c r="AI798" s="162"/>
      <c r="AJ798" s="162"/>
      <c r="AK798" s="162"/>
      <c r="BS798" s="131"/>
      <c r="BT798" s="131"/>
      <c r="BU798" s="131"/>
      <c r="BV798" s="131"/>
      <c r="BW798" s="131"/>
      <c r="BX798" s="131"/>
      <c r="BY798" s="131"/>
      <c r="BZ798" s="131"/>
      <c r="CA798" s="131"/>
      <c r="CB798" s="131"/>
      <c r="CC798" s="131"/>
      <c r="CD798" s="131"/>
      <c r="CE798" s="131"/>
      <c r="CF798" s="131"/>
      <c r="CG798" s="131"/>
      <c r="CH798" s="131"/>
    </row>
    <row r="799" ht="18.75" customHeight="1">
      <c r="C799" s="64"/>
      <c r="E799" s="64"/>
      <c r="F799" s="64"/>
      <c r="G799" s="64"/>
      <c r="AH799" s="162"/>
      <c r="AI799" s="162"/>
      <c r="AJ799" s="162"/>
      <c r="AK799" s="162"/>
      <c r="BS799" s="131"/>
      <c r="BT799" s="131"/>
      <c r="BU799" s="131"/>
      <c r="BV799" s="131"/>
      <c r="BW799" s="131"/>
      <c r="BX799" s="131"/>
      <c r="BY799" s="131"/>
      <c r="BZ799" s="131"/>
      <c r="CA799" s="131"/>
      <c r="CB799" s="131"/>
      <c r="CC799" s="131"/>
      <c r="CD799" s="131"/>
      <c r="CE799" s="131"/>
      <c r="CF799" s="131"/>
      <c r="CG799" s="131"/>
      <c r="CH799" s="131"/>
    </row>
    <row r="800" ht="18.75" customHeight="1">
      <c r="C800" s="64"/>
      <c r="E800" s="64"/>
      <c r="F800" s="64"/>
      <c r="G800" s="64"/>
      <c r="AH800" s="162"/>
      <c r="AI800" s="162"/>
      <c r="AJ800" s="162"/>
      <c r="AK800" s="162"/>
      <c r="BS800" s="131"/>
      <c r="BT800" s="131"/>
      <c r="BU800" s="131"/>
      <c r="BV800" s="131"/>
      <c r="BW800" s="131"/>
      <c r="BX800" s="131"/>
      <c r="BY800" s="131"/>
      <c r="BZ800" s="131"/>
      <c r="CA800" s="131"/>
      <c r="CB800" s="131"/>
      <c r="CC800" s="131"/>
      <c r="CD800" s="131"/>
      <c r="CE800" s="131"/>
      <c r="CF800" s="131"/>
      <c r="CG800" s="131"/>
      <c r="CH800" s="131"/>
    </row>
    <row r="801" ht="18.75" customHeight="1">
      <c r="C801" s="64"/>
      <c r="E801" s="64"/>
      <c r="F801" s="64"/>
      <c r="G801" s="64"/>
      <c r="AH801" s="162"/>
      <c r="AI801" s="162"/>
      <c r="AJ801" s="162"/>
      <c r="AK801" s="162"/>
      <c r="BS801" s="131"/>
      <c r="BT801" s="131"/>
      <c r="BU801" s="131"/>
      <c r="BV801" s="131"/>
      <c r="BW801" s="131"/>
      <c r="BX801" s="131"/>
      <c r="BY801" s="131"/>
      <c r="BZ801" s="131"/>
      <c r="CA801" s="131"/>
      <c r="CB801" s="131"/>
      <c r="CC801" s="131"/>
      <c r="CD801" s="131"/>
      <c r="CE801" s="131"/>
      <c r="CF801" s="131"/>
      <c r="CG801" s="131"/>
      <c r="CH801" s="131"/>
    </row>
    <row r="802" ht="18.75" customHeight="1">
      <c r="C802" s="64"/>
      <c r="E802" s="64"/>
      <c r="F802" s="64"/>
      <c r="G802" s="64"/>
      <c r="AH802" s="162"/>
      <c r="AI802" s="162"/>
      <c r="AJ802" s="162"/>
      <c r="AK802" s="162"/>
      <c r="BS802" s="131"/>
      <c r="BT802" s="131"/>
      <c r="BU802" s="131"/>
      <c r="BV802" s="131"/>
      <c r="BW802" s="131"/>
      <c r="BX802" s="131"/>
      <c r="BY802" s="131"/>
      <c r="BZ802" s="131"/>
      <c r="CA802" s="131"/>
      <c r="CB802" s="131"/>
      <c r="CC802" s="131"/>
      <c r="CD802" s="131"/>
      <c r="CE802" s="131"/>
      <c r="CF802" s="131"/>
      <c r="CG802" s="131"/>
      <c r="CH802" s="131"/>
    </row>
    <row r="803" ht="18.75" customHeight="1">
      <c r="C803" s="64"/>
      <c r="E803" s="64"/>
      <c r="F803" s="64"/>
      <c r="G803" s="64"/>
      <c r="AH803" s="162"/>
      <c r="AI803" s="162"/>
      <c r="AJ803" s="162"/>
      <c r="AK803" s="162"/>
      <c r="BS803" s="131"/>
      <c r="BT803" s="131"/>
      <c r="BU803" s="131"/>
      <c r="BV803" s="131"/>
      <c r="BW803" s="131"/>
      <c r="BX803" s="131"/>
      <c r="BY803" s="131"/>
      <c r="BZ803" s="131"/>
      <c r="CA803" s="131"/>
      <c r="CB803" s="131"/>
      <c r="CC803" s="131"/>
      <c r="CD803" s="131"/>
      <c r="CE803" s="131"/>
      <c r="CF803" s="131"/>
      <c r="CG803" s="131"/>
      <c r="CH803" s="131"/>
    </row>
    <row r="804" ht="18.75" customHeight="1">
      <c r="C804" s="64"/>
      <c r="E804" s="64"/>
      <c r="F804" s="64"/>
      <c r="G804" s="64"/>
      <c r="AH804" s="162"/>
      <c r="AI804" s="162"/>
      <c r="AJ804" s="162"/>
      <c r="AK804" s="162"/>
      <c r="BS804" s="131"/>
      <c r="BT804" s="131"/>
      <c r="BU804" s="131"/>
      <c r="BV804" s="131"/>
      <c r="BW804" s="131"/>
      <c r="BX804" s="131"/>
      <c r="BY804" s="131"/>
      <c r="BZ804" s="131"/>
      <c r="CA804" s="131"/>
      <c r="CB804" s="131"/>
      <c r="CC804" s="131"/>
      <c r="CD804" s="131"/>
      <c r="CE804" s="131"/>
      <c r="CF804" s="131"/>
      <c r="CG804" s="131"/>
      <c r="CH804" s="131"/>
    </row>
    <row r="805" ht="18.75" customHeight="1">
      <c r="C805" s="64"/>
      <c r="E805" s="64"/>
      <c r="F805" s="64"/>
      <c r="G805" s="64"/>
      <c r="AH805" s="162"/>
      <c r="AI805" s="162"/>
      <c r="AJ805" s="162"/>
      <c r="AK805" s="162"/>
      <c r="BS805" s="131"/>
      <c r="BT805" s="131"/>
      <c r="BU805" s="131"/>
      <c r="BV805" s="131"/>
      <c r="BW805" s="131"/>
      <c r="BX805" s="131"/>
      <c r="BY805" s="131"/>
      <c r="BZ805" s="131"/>
      <c r="CA805" s="131"/>
      <c r="CB805" s="131"/>
      <c r="CC805" s="131"/>
      <c r="CD805" s="131"/>
      <c r="CE805" s="131"/>
      <c r="CF805" s="131"/>
      <c r="CG805" s="131"/>
      <c r="CH805" s="131"/>
    </row>
    <row r="806" ht="18.75" customHeight="1">
      <c r="C806" s="64"/>
      <c r="E806" s="64"/>
      <c r="F806" s="64"/>
      <c r="G806" s="64"/>
      <c r="AH806" s="162"/>
      <c r="AI806" s="162"/>
      <c r="AJ806" s="162"/>
      <c r="AK806" s="162"/>
      <c r="BS806" s="131"/>
      <c r="BT806" s="131"/>
      <c r="BU806" s="131"/>
      <c r="BV806" s="131"/>
      <c r="BW806" s="131"/>
      <c r="BX806" s="131"/>
      <c r="BY806" s="131"/>
      <c r="BZ806" s="131"/>
      <c r="CA806" s="131"/>
      <c r="CB806" s="131"/>
      <c r="CC806" s="131"/>
      <c r="CD806" s="131"/>
      <c r="CE806" s="131"/>
      <c r="CF806" s="131"/>
      <c r="CG806" s="131"/>
      <c r="CH806" s="131"/>
    </row>
    <row r="807" ht="18.75" customHeight="1">
      <c r="C807" s="64"/>
      <c r="E807" s="64"/>
      <c r="F807" s="64"/>
      <c r="G807" s="64"/>
      <c r="AH807" s="162"/>
      <c r="AI807" s="162"/>
      <c r="AJ807" s="162"/>
      <c r="AK807" s="162"/>
      <c r="BS807" s="131"/>
      <c r="BT807" s="131"/>
      <c r="BU807" s="131"/>
      <c r="BV807" s="131"/>
      <c r="BW807" s="131"/>
      <c r="BX807" s="131"/>
      <c r="BY807" s="131"/>
      <c r="BZ807" s="131"/>
      <c r="CA807" s="131"/>
      <c r="CB807" s="131"/>
      <c r="CC807" s="131"/>
      <c r="CD807" s="131"/>
      <c r="CE807" s="131"/>
      <c r="CF807" s="131"/>
      <c r="CG807" s="131"/>
      <c r="CH807" s="131"/>
    </row>
    <row r="808" ht="18.75" customHeight="1">
      <c r="C808" s="64"/>
      <c r="E808" s="64"/>
      <c r="F808" s="64"/>
      <c r="G808" s="64"/>
      <c r="AH808" s="162"/>
      <c r="AI808" s="162"/>
      <c r="AJ808" s="162"/>
      <c r="AK808" s="162"/>
      <c r="BS808" s="131"/>
      <c r="BT808" s="131"/>
      <c r="BU808" s="131"/>
      <c r="BV808" s="131"/>
      <c r="BW808" s="131"/>
      <c r="BX808" s="131"/>
      <c r="BY808" s="131"/>
      <c r="BZ808" s="131"/>
      <c r="CA808" s="131"/>
      <c r="CB808" s="131"/>
      <c r="CC808" s="131"/>
      <c r="CD808" s="131"/>
      <c r="CE808" s="131"/>
      <c r="CF808" s="131"/>
      <c r="CG808" s="131"/>
      <c r="CH808" s="131"/>
    </row>
    <row r="809" ht="18.75" customHeight="1">
      <c r="C809" s="64"/>
      <c r="E809" s="64"/>
      <c r="F809" s="64"/>
      <c r="G809" s="64"/>
      <c r="AH809" s="162"/>
      <c r="AI809" s="162"/>
      <c r="AJ809" s="162"/>
      <c r="AK809" s="162"/>
      <c r="BS809" s="131"/>
      <c r="BT809" s="131"/>
      <c r="BU809" s="131"/>
      <c r="BV809" s="131"/>
      <c r="BW809" s="131"/>
      <c r="BX809" s="131"/>
      <c r="BY809" s="131"/>
      <c r="BZ809" s="131"/>
      <c r="CA809" s="131"/>
      <c r="CB809" s="131"/>
      <c r="CC809" s="131"/>
      <c r="CD809" s="131"/>
      <c r="CE809" s="131"/>
      <c r="CF809" s="131"/>
      <c r="CG809" s="131"/>
      <c r="CH809" s="131"/>
    </row>
    <row r="810" ht="18.75" customHeight="1">
      <c r="C810" s="64"/>
      <c r="E810" s="64"/>
      <c r="F810" s="64"/>
      <c r="G810" s="64"/>
      <c r="AH810" s="162"/>
      <c r="AI810" s="162"/>
      <c r="AJ810" s="162"/>
      <c r="AK810" s="162"/>
      <c r="BS810" s="131"/>
      <c r="BT810" s="131"/>
      <c r="BU810" s="131"/>
      <c r="BV810" s="131"/>
      <c r="BW810" s="131"/>
      <c r="BX810" s="131"/>
      <c r="BY810" s="131"/>
      <c r="BZ810" s="131"/>
      <c r="CA810" s="131"/>
      <c r="CB810" s="131"/>
      <c r="CC810" s="131"/>
      <c r="CD810" s="131"/>
      <c r="CE810" s="131"/>
      <c r="CF810" s="131"/>
      <c r="CG810" s="131"/>
      <c r="CH810" s="131"/>
    </row>
    <row r="811" ht="18.75" customHeight="1">
      <c r="C811" s="64"/>
      <c r="E811" s="64"/>
      <c r="F811" s="64"/>
      <c r="G811" s="64"/>
      <c r="AH811" s="162"/>
      <c r="AI811" s="162"/>
      <c r="AJ811" s="162"/>
      <c r="AK811" s="162"/>
      <c r="BS811" s="131"/>
      <c r="BT811" s="131"/>
      <c r="BU811" s="131"/>
      <c r="BV811" s="131"/>
      <c r="BW811" s="131"/>
      <c r="BX811" s="131"/>
      <c r="BY811" s="131"/>
      <c r="BZ811" s="131"/>
      <c r="CA811" s="131"/>
      <c r="CB811" s="131"/>
      <c r="CC811" s="131"/>
      <c r="CD811" s="131"/>
      <c r="CE811" s="131"/>
      <c r="CF811" s="131"/>
      <c r="CG811" s="131"/>
      <c r="CH811" s="131"/>
    </row>
    <row r="812" ht="18.75" customHeight="1">
      <c r="C812" s="64"/>
      <c r="E812" s="64"/>
      <c r="F812" s="64"/>
      <c r="G812" s="64"/>
      <c r="AH812" s="162"/>
      <c r="AI812" s="162"/>
      <c r="AJ812" s="162"/>
      <c r="AK812" s="162"/>
      <c r="BS812" s="131"/>
      <c r="BT812" s="131"/>
      <c r="BU812" s="131"/>
      <c r="BV812" s="131"/>
      <c r="BW812" s="131"/>
      <c r="BX812" s="131"/>
      <c r="BY812" s="131"/>
      <c r="BZ812" s="131"/>
      <c r="CA812" s="131"/>
      <c r="CB812" s="131"/>
      <c r="CC812" s="131"/>
      <c r="CD812" s="131"/>
      <c r="CE812" s="131"/>
      <c r="CF812" s="131"/>
      <c r="CG812" s="131"/>
      <c r="CH812" s="131"/>
    </row>
    <row r="813" ht="18.75" customHeight="1">
      <c r="C813" s="64"/>
      <c r="E813" s="64"/>
      <c r="F813" s="64"/>
      <c r="G813" s="64"/>
      <c r="AH813" s="162"/>
      <c r="AI813" s="162"/>
      <c r="AJ813" s="162"/>
      <c r="AK813" s="162"/>
      <c r="BS813" s="131"/>
      <c r="BT813" s="131"/>
      <c r="BU813" s="131"/>
      <c r="BV813" s="131"/>
      <c r="BW813" s="131"/>
      <c r="BX813" s="131"/>
      <c r="BY813" s="131"/>
      <c r="BZ813" s="131"/>
      <c r="CA813" s="131"/>
      <c r="CB813" s="131"/>
      <c r="CC813" s="131"/>
      <c r="CD813" s="131"/>
      <c r="CE813" s="131"/>
      <c r="CF813" s="131"/>
      <c r="CG813" s="131"/>
      <c r="CH813" s="131"/>
    </row>
    <row r="814" ht="18.75" customHeight="1">
      <c r="C814" s="64"/>
      <c r="E814" s="64"/>
      <c r="F814" s="64"/>
      <c r="G814" s="64"/>
      <c r="AH814" s="162"/>
      <c r="AI814" s="162"/>
      <c r="AJ814" s="162"/>
      <c r="AK814" s="162"/>
      <c r="BS814" s="131"/>
      <c r="BT814" s="131"/>
      <c r="BU814" s="131"/>
      <c r="BV814" s="131"/>
      <c r="BW814" s="131"/>
      <c r="BX814" s="131"/>
      <c r="BY814" s="131"/>
      <c r="BZ814" s="131"/>
      <c r="CA814" s="131"/>
      <c r="CB814" s="131"/>
      <c r="CC814" s="131"/>
      <c r="CD814" s="131"/>
      <c r="CE814" s="131"/>
      <c r="CF814" s="131"/>
      <c r="CG814" s="131"/>
      <c r="CH814" s="131"/>
    </row>
    <row r="815" ht="18.75" customHeight="1">
      <c r="C815" s="64"/>
      <c r="E815" s="64"/>
      <c r="F815" s="64"/>
      <c r="G815" s="64"/>
      <c r="AH815" s="162"/>
      <c r="AI815" s="162"/>
      <c r="AJ815" s="162"/>
      <c r="AK815" s="162"/>
      <c r="BS815" s="131"/>
      <c r="BT815" s="131"/>
      <c r="BU815" s="131"/>
      <c r="BV815" s="131"/>
      <c r="BW815" s="131"/>
      <c r="BX815" s="131"/>
      <c r="BY815" s="131"/>
      <c r="BZ815" s="131"/>
      <c r="CA815" s="131"/>
      <c r="CB815" s="131"/>
      <c r="CC815" s="131"/>
      <c r="CD815" s="131"/>
      <c r="CE815" s="131"/>
      <c r="CF815" s="131"/>
      <c r="CG815" s="131"/>
      <c r="CH815" s="131"/>
    </row>
    <row r="816" ht="18.75" customHeight="1">
      <c r="C816" s="64"/>
      <c r="E816" s="64"/>
      <c r="F816" s="64"/>
      <c r="G816" s="64"/>
      <c r="AH816" s="162"/>
      <c r="AI816" s="162"/>
      <c r="AJ816" s="162"/>
      <c r="AK816" s="162"/>
      <c r="BS816" s="131"/>
      <c r="BT816" s="131"/>
      <c r="BU816" s="131"/>
      <c r="BV816" s="131"/>
      <c r="BW816" s="131"/>
      <c r="BX816" s="131"/>
      <c r="BY816" s="131"/>
      <c r="BZ816" s="131"/>
      <c r="CA816" s="131"/>
      <c r="CB816" s="131"/>
      <c r="CC816" s="131"/>
      <c r="CD816" s="131"/>
      <c r="CE816" s="131"/>
      <c r="CF816" s="131"/>
      <c r="CG816" s="131"/>
      <c r="CH816" s="131"/>
    </row>
    <row r="817" ht="18.75" customHeight="1">
      <c r="C817" s="64"/>
      <c r="E817" s="64"/>
      <c r="F817" s="64"/>
      <c r="G817" s="64"/>
      <c r="AH817" s="162"/>
      <c r="AI817" s="162"/>
      <c r="AJ817" s="162"/>
      <c r="AK817" s="162"/>
      <c r="BS817" s="131"/>
      <c r="BT817" s="131"/>
      <c r="BU817" s="131"/>
      <c r="BV817" s="131"/>
      <c r="BW817" s="131"/>
      <c r="BX817" s="131"/>
      <c r="BY817" s="131"/>
      <c r="BZ817" s="131"/>
      <c r="CA817" s="131"/>
      <c r="CB817" s="131"/>
      <c r="CC817" s="131"/>
      <c r="CD817" s="131"/>
      <c r="CE817" s="131"/>
      <c r="CF817" s="131"/>
      <c r="CG817" s="131"/>
      <c r="CH817" s="131"/>
    </row>
    <row r="818" ht="18.75" customHeight="1">
      <c r="C818" s="64"/>
      <c r="E818" s="64"/>
      <c r="F818" s="64"/>
      <c r="G818" s="64"/>
      <c r="AH818" s="162"/>
      <c r="AI818" s="162"/>
      <c r="AJ818" s="162"/>
      <c r="AK818" s="162"/>
      <c r="BS818" s="131"/>
      <c r="BT818" s="131"/>
      <c r="BU818" s="131"/>
      <c r="BV818" s="131"/>
      <c r="BW818" s="131"/>
      <c r="BX818" s="131"/>
      <c r="BY818" s="131"/>
      <c r="BZ818" s="131"/>
      <c r="CA818" s="131"/>
      <c r="CB818" s="131"/>
      <c r="CC818" s="131"/>
      <c r="CD818" s="131"/>
      <c r="CE818" s="131"/>
      <c r="CF818" s="131"/>
      <c r="CG818" s="131"/>
      <c r="CH818" s="131"/>
    </row>
    <row r="819" ht="18.75" customHeight="1">
      <c r="C819" s="64"/>
      <c r="E819" s="64"/>
      <c r="F819" s="64"/>
      <c r="G819" s="64"/>
      <c r="AH819" s="162"/>
      <c r="AI819" s="162"/>
      <c r="AJ819" s="162"/>
      <c r="AK819" s="162"/>
      <c r="BS819" s="131"/>
      <c r="BT819" s="131"/>
      <c r="BU819" s="131"/>
      <c r="BV819" s="131"/>
      <c r="BW819" s="131"/>
      <c r="BX819" s="131"/>
      <c r="BY819" s="131"/>
      <c r="BZ819" s="131"/>
      <c r="CA819" s="131"/>
      <c r="CB819" s="131"/>
      <c r="CC819" s="131"/>
      <c r="CD819" s="131"/>
      <c r="CE819" s="131"/>
      <c r="CF819" s="131"/>
      <c r="CG819" s="131"/>
      <c r="CH819" s="131"/>
    </row>
    <row r="820" ht="18.75" customHeight="1">
      <c r="C820" s="64"/>
      <c r="E820" s="64"/>
      <c r="F820" s="64"/>
      <c r="G820" s="64"/>
      <c r="AH820" s="162"/>
      <c r="AI820" s="162"/>
      <c r="AJ820" s="162"/>
      <c r="AK820" s="162"/>
      <c r="BS820" s="131"/>
      <c r="BT820" s="131"/>
      <c r="BU820" s="131"/>
      <c r="BV820" s="131"/>
      <c r="BW820" s="131"/>
      <c r="BX820" s="131"/>
      <c r="BY820" s="131"/>
      <c r="BZ820" s="131"/>
      <c r="CA820" s="131"/>
      <c r="CB820" s="131"/>
      <c r="CC820" s="131"/>
      <c r="CD820" s="131"/>
      <c r="CE820" s="131"/>
      <c r="CF820" s="131"/>
      <c r="CG820" s="131"/>
      <c r="CH820" s="131"/>
    </row>
    <row r="821" ht="18.75" customHeight="1">
      <c r="C821" s="64"/>
      <c r="E821" s="64"/>
      <c r="F821" s="64"/>
      <c r="G821" s="64"/>
      <c r="AH821" s="162"/>
      <c r="AI821" s="162"/>
      <c r="AJ821" s="162"/>
      <c r="AK821" s="162"/>
      <c r="BS821" s="131"/>
      <c r="BT821" s="131"/>
      <c r="BU821" s="131"/>
      <c r="BV821" s="131"/>
      <c r="BW821" s="131"/>
      <c r="BX821" s="131"/>
      <c r="BY821" s="131"/>
      <c r="BZ821" s="131"/>
      <c r="CA821" s="131"/>
      <c r="CB821" s="131"/>
      <c r="CC821" s="131"/>
      <c r="CD821" s="131"/>
      <c r="CE821" s="131"/>
      <c r="CF821" s="131"/>
      <c r="CG821" s="131"/>
      <c r="CH821" s="131"/>
    </row>
    <row r="822" ht="18.75" customHeight="1">
      <c r="C822" s="64"/>
      <c r="E822" s="64"/>
      <c r="F822" s="64"/>
      <c r="G822" s="64"/>
      <c r="AH822" s="162"/>
      <c r="AI822" s="162"/>
      <c r="AJ822" s="162"/>
      <c r="AK822" s="162"/>
      <c r="BS822" s="131"/>
      <c r="BT822" s="131"/>
      <c r="BU822" s="131"/>
      <c r="BV822" s="131"/>
      <c r="BW822" s="131"/>
      <c r="BX822" s="131"/>
      <c r="BY822" s="131"/>
      <c r="BZ822" s="131"/>
      <c r="CA822" s="131"/>
      <c r="CB822" s="131"/>
      <c r="CC822" s="131"/>
      <c r="CD822" s="131"/>
      <c r="CE822" s="131"/>
      <c r="CF822" s="131"/>
      <c r="CG822" s="131"/>
      <c r="CH822" s="131"/>
    </row>
    <row r="823" ht="18.75" customHeight="1">
      <c r="C823" s="64"/>
      <c r="E823" s="64"/>
      <c r="F823" s="64"/>
      <c r="G823" s="64"/>
      <c r="AH823" s="162"/>
      <c r="AI823" s="162"/>
      <c r="AJ823" s="162"/>
      <c r="AK823" s="162"/>
      <c r="BS823" s="131"/>
      <c r="BT823" s="131"/>
      <c r="BU823" s="131"/>
      <c r="BV823" s="131"/>
      <c r="BW823" s="131"/>
      <c r="BX823" s="131"/>
      <c r="BY823" s="131"/>
      <c r="BZ823" s="131"/>
      <c r="CA823" s="131"/>
      <c r="CB823" s="131"/>
      <c r="CC823" s="131"/>
      <c r="CD823" s="131"/>
      <c r="CE823" s="131"/>
      <c r="CF823" s="131"/>
      <c r="CG823" s="131"/>
      <c r="CH823" s="131"/>
    </row>
    <row r="824" ht="18.75" customHeight="1">
      <c r="C824" s="64"/>
      <c r="E824" s="64"/>
      <c r="F824" s="64"/>
      <c r="G824" s="64"/>
      <c r="AH824" s="162"/>
      <c r="AI824" s="162"/>
      <c r="AJ824" s="162"/>
      <c r="AK824" s="162"/>
      <c r="BS824" s="131"/>
      <c r="BT824" s="131"/>
      <c r="BU824" s="131"/>
      <c r="BV824" s="131"/>
      <c r="BW824" s="131"/>
      <c r="BX824" s="131"/>
      <c r="BY824" s="131"/>
      <c r="BZ824" s="131"/>
      <c r="CA824" s="131"/>
      <c r="CB824" s="131"/>
      <c r="CC824" s="131"/>
      <c r="CD824" s="131"/>
      <c r="CE824" s="131"/>
      <c r="CF824" s="131"/>
      <c r="CG824" s="131"/>
      <c r="CH824" s="131"/>
    </row>
    <row r="825" ht="18.75" customHeight="1">
      <c r="C825" s="64"/>
      <c r="E825" s="64"/>
      <c r="F825" s="64"/>
      <c r="G825" s="64"/>
      <c r="AH825" s="162"/>
      <c r="AI825" s="162"/>
      <c r="AJ825" s="162"/>
      <c r="AK825" s="162"/>
      <c r="BS825" s="131"/>
      <c r="BT825" s="131"/>
      <c r="BU825" s="131"/>
      <c r="BV825" s="131"/>
      <c r="BW825" s="131"/>
      <c r="BX825" s="131"/>
      <c r="BY825" s="131"/>
      <c r="BZ825" s="131"/>
      <c r="CA825" s="131"/>
      <c r="CB825" s="131"/>
      <c r="CC825" s="131"/>
      <c r="CD825" s="131"/>
      <c r="CE825" s="131"/>
      <c r="CF825" s="131"/>
      <c r="CG825" s="131"/>
      <c r="CH825" s="131"/>
    </row>
    <row r="826" ht="18.75" customHeight="1">
      <c r="C826" s="64"/>
      <c r="E826" s="64"/>
      <c r="F826" s="64"/>
      <c r="G826" s="64"/>
      <c r="AH826" s="162"/>
      <c r="AI826" s="162"/>
      <c r="AJ826" s="162"/>
      <c r="AK826" s="162"/>
      <c r="BS826" s="131"/>
      <c r="BT826" s="131"/>
      <c r="BU826" s="131"/>
      <c r="BV826" s="131"/>
      <c r="BW826" s="131"/>
      <c r="BX826" s="131"/>
      <c r="BY826" s="131"/>
      <c r="BZ826" s="131"/>
      <c r="CA826" s="131"/>
      <c r="CB826" s="131"/>
      <c r="CC826" s="131"/>
      <c r="CD826" s="131"/>
      <c r="CE826" s="131"/>
      <c r="CF826" s="131"/>
      <c r="CG826" s="131"/>
      <c r="CH826" s="131"/>
    </row>
    <row r="827" ht="18.75" customHeight="1">
      <c r="C827" s="64"/>
      <c r="E827" s="64"/>
      <c r="F827" s="64"/>
      <c r="G827" s="64"/>
      <c r="AH827" s="162"/>
      <c r="AI827" s="162"/>
      <c r="AJ827" s="162"/>
      <c r="AK827" s="162"/>
      <c r="BS827" s="131"/>
      <c r="BT827" s="131"/>
      <c r="BU827" s="131"/>
      <c r="BV827" s="131"/>
      <c r="BW827" s="131"/>
      <c r="BX827" s="131"/>
      <c r="BY827" s="131"/>
      <c r="BZ827" s="131"/>
      <c r="CA827" s="131"/>
      <c r="CB827" s="131"/>
      <c r="CC827" s="131"/>
      <c r="CD827" s="131"/>
      <c r="CE827" s="131"/>
      <c r="CF827" s="131"/>
      <c r="CG827" s="131"/>
      <c r="CH827" s="131"/>
    </row>
    <row r="828" ht="18.75" customHeight="1">
      <c r="C828" s="64"/>
      <c r="E828" s="64"/>
      <c r="F828" s="64"/>
      <c r="G828" s="64"/>
      <c r="AH828" s="162"/>
      <c r="AI828" s="162"/>
      <c r="AJ828" s="162"/>
      <c r="AK828" s="162"/>
      <c r="BS828" s="131"/>
      <c r="BT828" s="131"/>
      <c r="BU828" s="131"/>
      <c r="BV828" s="131"/>
      <c r="BW828" s="131"/>
      <c r="BX828" s="131"/>
      <c r="BY828" s="131"/>
      <c r="BZ828" s="131"/>
      <c r="CA828" s="131"/>
      <c r="CB828" s="131"/>
      <c r="CC828" s="131"/>
      <c r="CD828" s="131"/>
      <c r="CE828" s="131"/>
      <c r="CF828" s="131"/>
      <c r="CG828" s="131"/>
      <c r="CH828" s="131"/>
    </row>
    <row r="829" ht="18.75" customHeight="1">
      <c r="C829" s="64"/>
      <c r="E829" s="64"/>
      <c r="F829" s="64"/>
      <c r="G829" s="64"/>
      <c r="AH829" s="162"/>
      <c r="AI829" s="162"/>
      <c r="AJ829" s="162"/>
      <c r="AK829" s="162"/>
      <c r="BS829" s="131"/>
      <c r="BT829" s="131"/>
      <c r="BU829" s="131"/>
      <c r="BV829" s="131"/>
      <c r="BW829" s="131"/>
      <c r="BX829" s="131"/>
      <c r="BY829" s="131"/>
      <c r="BZ829" s="131"/>
      <c r="CA829" s="131"/>
      <c r="CB829" s="131"/>
      <c r="CC829" s="131"/>
      <c r="CD829" s="131"/>
      <c r="CE829" s="131"/>
      <c r="CF829" s="131"/>
      <c r="CG829" s="131"/>
      <c r="CH829" s="131"/>
    </row>
    <row r="830" ht="18.75" customHeight="1">
      <c r="C830" s="64"/>
      <c r="E830" s="64"/>
      <c r="F830" s="64"/>
      <c r="G830" s="64"/>
      <c r="AH830" s="162"/>
      <c r="AI830" s="162"/>
      <c r="AJ830" s="162"/>
      <c r="AK830" s="162"/>
      <c r="BS830" s="131"/>
      <c r="BT830" s="131"/>
      <c r="BU830" s="131"/>
      <c r="BV830" s="131"/>
      <c r="BW830" s="131"/>
      <c r="BX830" s="131"/>
      <c r="BY830" s="131"/>
      <c r="BZ830" s="131"/>
      <c r="CA830" s="131"/>
      <c r="CB830" s="131"/>
      <c r="CC830" s="131"/>
      <c r="CD830" s="131"/>
      <c r="CE830" s="131"/>
      <c r="CF830" s="131"/>
      <c r="CG830" s="131"/>
      <c r="CH830" s="131"/>
    </row>
    <row r="831" ht="18.75" customHeight="1">
      <c r="C831" s="64"/>
      <c r="E831" s="64"/>
      <c r="F831" s="64"/>
      <c r="G831" s="64"/>
      <c r="AH831" s="162"/>
      <c r="AI831" s="162"/>
      <c r="AJ831" s="162"/>
      <c r="AK831" s="162"/>
      <c r="BS831" s="131"/>
      <c r="BT831" s="131"/>
      <c r="BU831" s="131"/>
      <c r="BV831" s="131"/>
      <c r="BW831" s="131"/>
      <c r="BX831" s="131"/>
      <c r="BY831" s="131"/>
      <c r="BZ831" s="131"/>
      <c r="CA831" s="131"/>
      <c r="CB831" s="131"/>
      <c r="CC831" s="131"/>
      <c r="CD831" s="131"/>
      <c r="CE831" s="131"/>
      <c r="CF831" s="131"/>
      <c r="CG831" s="131"/>
      <c r="CH831" s="131"/>
    </row>
    <row r="832" ht="18.75" customHeight="1">
      <c r="C832" s="64"/>
      <c r="E832" s="64"/>
      <c r="F832" s="64"/>
      <c r="G832" s="64"/>
      <c r="AH832" s="162"/>
      <c r="AI832" s="162"/>
      <c r="AJ832" s="162"/>
      <c r="AK832" s="162"/>
      <c r="BS832" s="131"/>
      <c r="BT832" s="131"/>
      <c r="BU832" s="131"/>
      <c r="BV832" s="131"/>
      <c r="BW832" s="131"/>
      <c r="BX832" s="131"/>
      <c r="BY832" s="131"/>
      <c r="BZ832" s="131"/>
      <c r="CA832" s="131"/>
      <c r="CB832" s="131"/>
      <c r="CC832" s="131"/>
      <c r="CD832" s="131"/>
      <c r="CE832" s="131"/>
      <c r="CF832" s="131"/>
      <c r="CG832" s="131"/>
      <c r="CH832" s="131"/>
    </row>
    <row r="833" ht="18.75" customHeight="1">
      <c r="C833" s="64"/>
      <c r="E833" s="64"/>
      <c r="F833" s="64"/>
      <c r="G833" s="64"/>
      <c r="AH833" s="162"/>
      <c r="AI833" s="162"/>
      <c r="AJ833" s="162"/>
      <c r="AK833" s="162"/>
      <c r="BS833" s="131"/>
      <c r="BT833" s="131"/>
      <c r="BU833" s="131"/>
      <c r="BV833" s="131"/>
      <c r="BW833" s="131"/>
      <c r="BX833" s="131"/>
      <c r="BY833" s="131"/>
      <c r="BZ833" s="131"/>
      <c r="CA833" s="131"/>
      <c r="CB833" s="131"/>
      <c r="CC833" s="131"/>
      <c r="CD833" s="131"/>
      <c r="CE833" s="131"/>
      <c r="CF833" s="131"/>
      <c r="CG833" s="131"/>
      <c r="CH833" s="131"/>
    </row>
    <row r="834" ht="18.75" customHeight="1">
      <c r="C834" s="64"/>
      <c r="E834" s="64"/>
      <c r="F834" s="64"/>
      <c r="G834" s="64"/>
      <c r="AH834" s="162"/>
      <c r="AI834" s="162"/>
      <c r="AJ834" s="162"/>
      <c r="AK834" s="162"/>
      <c r="BS834" s="131"/>
      <c r="BT834" s="131"/>
      <c r="BU834" s="131"/>
      <c r="BV834" s="131"/>
      <c r="BW834" s="131"/>
      <c r="BX834" s="131"/>
      <c r="BY834" s="131"/>
      <c r="BZ834" s="131"/>
      <c r="CA834" s="131"/>
      <c r="CB834" s="131"/>
      <c r="CC834" s="131"/>
      <c r="CD834" s="131"/>
      <c r="CE834" s="131"/>
      <c r="CF834" s="131"/>
      <c r="CG834" s="131"/>
      <c r="CH834" s="131"/>
    </row>
    <row r="835" ht="18.75" customHeight="1">
      <c r="C835" s="64"/>
      <c r="E835" s="64"/>
      <c r="F835" s="64"/>
      <c r="G835" s="64"/>
      <c r="AH835" s="162"/>
      <c r="AI835" s="162"/>
      <c r="AJ835" s="162"/>
      <c r="AK835" s="162"/>
      <c r="BS835" s="131"/>
      <c r="BT835" s="131"/>
      <c r="BU835" s="131"/>
      <c r="BV835" s="131"/>
      <c r="BW835" s="131"/>
      <c r="BX835" s="131"/>
      <c r="BY835" s="131"/>
      <c r="BZ835" s="131"/>
      <c r="CA835" s="131"/>
      <c r="CB835" s="131"/>
      <c r="CC835" s="131"/>
      <c r="CD835" s="131"/>
      <c r="CE835" s="131"/>
      <c r="CF835" s="131"/>
      <c r="CG835" s="131"/>
      <c r="CH835" s="131"/>
    </row>
    <row r="836" ht="18.75" customHeight="1">
      <c r="C836" s="64"/>
      <c r="E836" s="64"/>
      <c r="F836" s="64"/>
      <c r="G836" s="64"/>
      <c r="AH836" s="162"/>
      <c r="AI836" s="162"/>
      <c r="AJ836" s="162"/>
      <c r="AK836" s="162"/>
      <c r="BS836" s="131"/>
      <c r="BT836" s="131"/>
      <c r="BU836" s="131"/>
      <c r="BV836" s="131"/>
      <c r="BW836" s="131"/>
      <c r="BX836" s="131"/>
      <c r="BY836" s="131"/>
      <c r="BZ836" s="131"/>
      <c r="CA836" s="131"/>
      <c r="CB836" s="131"/>
      <c r="CC836" s="131"/>
      <c r="CD836" s="131"/>
      <c r="CE836" s="131"/>
      <c r="CF836" s="131"/>
      <c r="CG836" s="131"/>
      <c r="CH836" s="131"/>
    </row>
    <row r="837" ht="18.75" customHeight="1">
      <c r="C837" s="64"/>
      <c r="E837" s="64"/>
      <c r="F837" s="64"/>
      <c r="G837" s="64"/>
      <c r="AH837" s="162"/>
      <c r="AI837" s="162"/>
      <c r="AJ837" s="162"/>
      <c r="AK837" s="162"/>
      <c r="BS837" s="131"/>
      <c r="BT837" s="131"/>
      <c r="BU837" s="131"/>
      <c r="BV837" s="131"/>
      <c r="BW837" s="131"/>
      <c r="BX837" s="131"/>
      <c r="BY837" s="131"/>
      <c r="BZ837" s="131"/>
      <c r="CA837" s="131"/>
      <c r="CB837" s="131"/>
      <c r="CC837" s="131"/>
      <c r="CD837" s="131"/>
      <c r="CE837" s="131"/>
      <c r="CF837" s="131"/>
      <c r="CG837" s="131"/>
      <c r="CH837" s="131"/>
    </row>
    <row r="838" ht="18.75" customHeight="1">
      <c r="C838" s="64"/>
      <c r="E838" s="64"/>
      <c r="F838" s="64"/>
      <c r="G838" s="64"/>
      <c r="AH838" s="162"/>
      <c r="AI838" s="162"/>
      <c r="AJ838" s="162"/>
      <c r="AK838" s="162"/>
      <c r="BS838" s="131"/>
      <c r="BT838" s="131"/>
      <c r="BU838" s="131"/>
      <c r="BV838" s="131"/>
      <c r="BW838" s="131"/>
      <c r="BX838" s="131"/>
      <c r="BY838" s="131"/>
      <c r="BZ838" s="131"/>
      <c r="CA838" s="131"/>
      <c r="CB838" s="131"/>
      <c r="CC838" s="131"/>
      <c r="CD838" s="131"/>
      <c r="CE838" s="131"/>
      <c r="CF838" s="131"/>
      <c r="CG838" s="131"/>
      <c r="CH838" s="131"/>
    </row>
    <row r="839" ht="18.75" customHeight="1">
      <c r="C839" s="64"/>
      <c r="E839" s="64"/>
      <c r="F839" s="64"/>
      <c r="G839" s="64"/>
      <c r="AH839" s="162"/>
      <c r="AI839" s="162"/>
      <c r="AJ839" s="162"/>
      <c r="AK839" s="162"/>
      <c r="BS839" s="131"/>
      <c r="BT839" s="131"/>
      <c r="BU839" s="131"/>
      <c r="BV839" s="131"/>
      <c r="BW839" s="131"/>
      <c r="BX839" s="131"/>
      <c r="BY839" s="131"/>
      <c r="BZ839" s="131"/>
      <c r="CA839" s="131"/>
      <c r="CB839" s="131"/>
      <c r="CC839" s="131"/>
      <c r="CD839" s="131"/>
      <c r="CE839" s="131"/>
      <c r="CF839" s="131"/>
      <c r="CG839" s="131"/>
      <c r="CH839" s="131"/>
    </row>
    <row r="840" ht="18.75" customHeight="1">
      <c r="C840" s="64"/>
      <c r="E840" s="64"/>
      <c r="F840" s="64"/>
      <c r="G840" s="64"/>
      <c r="AH840" s="162"/>
      <c r="AI840" s="162"/>
      <c r="AJ840" s="162"/>
      <c r="AK840" s="162"/>
      <c r="BS840" s="131"/>
      <c r="BT840" s="131"/>
      <c r="BU840" s="131"/>
      <c r="BV840" s="131"/>
      <c r="BW840" s="131"/>
      <c r="BX840" s="131"/>
      <c r="BY840" s="131"/>
      <c r="BZ840" s="131"/>
      <c r="CA840" s="131"/>
      <c r="CB840" s="131"/>
      <c r="CC840" s="131"/>
      <c r="CD840" s="131"/>
      <c r="CE840" s="131"/>
      <c r="CF840" s="131"/>
      <c r="CG840" s="131"/>
      <c r="CH840" s="131"/>
    </row>
    <row r="841" ht="18.75" customHeight="1">
      <c r="C841" s="64"/>
      <c r="E841" s="64"/>
      <c r="F841" s="64"/>
      <c r="G841" s="64"/>
      <c r="AH841" s="162"/>
      <c r="AI841" s="162"/>
      <c r="AJ841" s="162"/>
      <c r="AK841" s="162"/>
      <c r="BS841" s="131"/>
      <c r="BT841" s="131"/>
      <c r="BU841" s="131"/>
      <c r="BV841" s="131"/>
      <c r="BW841" s="131"/>
      <c r="BX841" s="131"/>
      <c r="BY841" s="131"/>
      <c r="BZ841" s="131"/>
      <c r="CA841" s="131"/>
      <c r="CB841" s="131"/>
      <c r="CC841" s="131"/>
      <c r="CD841" s="131"/>
      <c r="CE841" s="131"/>
      <c r="CF841" s="131"/>
      <c r="CG841" s="131"/>
      <c r="CH841" s="131"/>
    </row>
    <row r="842" ht="18.75" customHeight="1">
      <c r="C842" s="64"/>
      <c r="E842" s="64"/>
      <c r="F842" s="64"/>
      <c r="G842" s="64"/>
      <c r="AH842" s="162"/>
      <c r="AI842" s="162"/>
      <c r="AJ842" s="162"/>
      <c r="AK842" s="162"/>
      <c r="BS842" s="131"/>
      <c r="BT842" s="131"/>
      <c r="BU842" s="131"/>
      <c r="BV842" s="131"/>
      <c r="BW842" s="131"/>
      <c r="BX842" s="131"/>
      <c r="BY842" s="131"/>
      <c r="BZ842" s="131"/>
      <c r="CA842" s="131"/>
      <c r="CB842" s="131"/>
      <c r="CC842" s="131"/>
      <c r="CD842" s="131"/>
      <c r="CE842" s="131"/>
      <c r="CF842" s="131"/>
      <c r="CG842" s="131"/>
      <c r="CH842" s="131"/>
    </row>
    <row r="843" ht="18.75" customHeight="1">
      <c r="C843" s="64"/>
      <c r="E843" s="64"/>
      <c r="F843" s="64"/>
      <c r="G843" s="64"/>
      <c r="AH843" s="162"/>
      <c r="AI843" s="162"/>
      <c r="AJ843" s="162"/>
      <c r="AK843" s="162"/>
      <c r="BS843" s="131"/>
      <c r="BT843" s="131"/>
      <c r="BU843" s="131"/>
      <c r="BV843" s="131"/>
      <c r="BW843" s="131"/>
      <c r="BX843" s="131"/>
      <c r="BY843" s="131"/>
      <c r="BZ843" s="131"/>
      <c r="CA843" s="131"/>
      <c r="CB843" s="131"/>
      <c r="CC843" s="131"/>
      <c r="CD843" s="131"/>
      <c r="CE843" s="131"/>
      <c r="CF843" s="131"/>
      <c r="CG843" s="131"/>
      <c r="CH843" s="131"/>
    </row>
    <row r="844" ht="18.75" customHeight="1">
      <c r="C844" s="64"/>
      <c r="E844" s="64"/>
      <c r="F844" s="64"/>
      <c r="G844" s="64"/>
      <c r="AH844" s="162"/>
      <c r="AI844" s="162"/>
      <c r="AJ844" s="162"/>
      <c r="AK844" s="162"/>
      <c r="BS844" s="131"/>
      <c r="BT844" s="131"/>
      <c r="BU844" s="131"/>
      <c r="BV844" s="131"/>
      <c r="BW844" s="131"/>
      <c r="BX844" s="131"/>
      <c r="BY844" s="131"/>
      <c r="BZ844" s="131"/>
      <c r="CA844" s="131"/>
      <c r="CB844" s="131"/>
      <c r="CC844" s="131"/>
      <c r="CD844" s="131"/>
      <c r="CE844" s="131"/>
      <c r="CF844" s="131"/>
      <c r="CG844" s="131"/>
      <c r="CH844" s="131"/>
    </row>
    <row r="845" ht="18.75" customHeight="1">
      <c r="C845" s="64"/>
      <c r="E845" s="64"/>
      <c r="F845" s="64"/>
      <c r="G845" s="64"/>
      <c r="AH845" s="162"/>
      <c r="AI845" s="162"/>
      <c r="AJ845" s="162"/>
      <c r="AK845" s="162"/>
      <c r="BS845" s="131"/>
      <c r="BT845" s="131"/>
      <c r="BU845" s="131"/>
      <c r="BV845" s="131"/>
      <c r="BW845" s="131"/>
      <c r="BX845" s="131"/>
      <c r="BY845" s="131"/>
      <c r="BZ845" s="131"/>
      <c r="CA845" s="131"/>
      <c r="CB845" s="131"/>
      <c r="CC845" s="131"/>
      <c r="CD845" s="131"/>
      <c r="CE845" s="131"/>
      <c r="CF845" s="131"/>
      <c r="CG845" s="131"/>
      <c r="CH845" s="131"/>
    </row>
    <row r="846" ht="18.75" customHeight="1">
      <c r="C846" s="64"/>
      <c r="E846" s="64"/>
      <c r="F846" s="64"/>
      <c r="G846" s="64"/>
      <c r="AH846" s="162"/>
      <c r="AI846" s="162"/>
      <c r="AJ846" s="162"/>
      <c r="AK846" s="162"/>
      <c r="BS846" s="131"/>
      <c r="BT846" s="131"/>
      <c r="BU846" s="131"/>
      <c r="BV846" s="131"/>
      <c r="BW846" s="131"/>
      <c r="BX846" s="131"/>
      <c r="BY846" s="131"/>
      <c r="BZ846" s="131"/>
      <c r="CA846" s="131"/>
      <c r="CB846" s="131"/>
      <c r="CC846" s="131"/>
      <c r="CD846" s="131"/>
      <c r="CE846" s="131"/>
      <c r="CF846" s="131"/>
      <c r="CG846" s="131"/>
      <c r="CH846" s="131"/>
    </row>
    <row r="847" ht="18.75" customHeight="1">
      <c r="C847" s="64"/>
      <c r="E847" s="64"/>
      <c r="F847" s="64"/>
      <c r="G847" s="64"/>
      <c r="AH847" s="162"/>
      <c r="AI847" s="162"/>
      <c r="AJ847" s="162"/>
      <c r="AK847" s="162"/>
      <c r="BS847" s="131"/>
      <c r="BT847" s="131"/>
      <c r="BU847" s="131"/>
      <c r="BV847" s="131"/>
      <c r="BW847" s="131"/>
      <c r="BX847" s="131"/>
      <c r="BY847" s="131"/>
      <c r="BZ847" s="131"/>
      <c r="CA847" s="131"/>
      <c r="CB847" s="131"/>
      <c r="CC847" s="131"/>
      <c r="CD847" s="131"/>
      <c r="CE847" s="131"/>
      <c r="CF847" s="131"/>
      <c r="CG847" s="131"/>
      <c r="CH847" s="131"/>
    </row>
    <row r="848" ht="18.75" customHeight="1">
      <c r="C848" s="64"/>
      <c r="E848" s="64"/>
      <c r="F848" s="64"/>
      <c r="G848" s="64"/>
      <c r="AH848" s="162"/>
      <c r="AI848" s="162"/>
      <c r="AJ848" s="162"/>
      <c r="AK848" s="162"/>
      <c r="BS848" s="131"/>
      <c r="BT848" s="131"/>
      <c r="BU848" s="131"/>
      <c r="BV848" s="131"/>
      <c r="BW848" s="131"/>
      <c r="BX848" s="131"/>
      <c r="BY848" s="131"/>
      <c r="BZ848" s="131"/>
      <c r="CA848" s="131"/>
      <c r="CB848" s="131"/>
      <c r="CC848" s="131"/>
      <c r="CD848" s="131"/>
      <c r="CE848" s="131"/>
      <c r="CF848" s="131"/>
      <c r="CG848" s="131"/>
      <c r="CH848" s="131"/>
    </row>
    <row r="849" ht="18.75" customHeight="1">
      <c r="C849" s="64"/>
      <c r="E849" s="64"/>
      <c r="F849" s="64"/>
      <c r="G849" s="64"/>
      <c r="AH849" s="162"/>
      <c r="AI849" s="162"/>
      <c r="AJ849" s="162"/>
      <c r="AK849" s="162"/>
      <c r="BS849" s="131"/>
      <c r="BT849" s="131"/>
      <c r="BU849" s="131"/>
      <c r="BV849" s="131"/>
      <c r="BW849" s="131"/>
      <c r="BX849" s="131"/>
      <c r="BY849" s="131"/>
      <c r="BZ849" s="131"/>
      <c r="CA849" s="131"/>
      <c r="CB849" s="131"/>
      <c r="CC849" s="131"/>
      <c r="CD849" s="131"/>
      <c r="CE849" s="131"/>
      <c r="CF849" s="131"/>
      <c r="CG849" s="131"/>
      <c r="CH849" s="131"/>
    </row>
    <row r="850" ht="18.75" customHeight="1">
      <c r="C850" s="64"/>
      <c r="E850" s="64"/>
      <c r="F850" s="64"/>
      <c r="G850" s="64"/>
      <c r="AH850" s="162"/>
      <c r="AI850" s="162"/>
      <c r="AJ850" s="162"/>
      <c r="AK850" s="162"/>
      <c r="BS850" s="131"/>
      <c r="BT850" s="131"/>
      <c r="BU850" s="131"/>
      <c r="BV850" s="131"/>
      <c r="BW850" s="131"/>
      <c r="BX850" s="131"/>
      <c r="BY850" s="131"/>
      <c r="BZ850" s="131"/>
      <c r="CA850" s="131"/>
      <c r="CB850" s="131"/>
      <c r="CC850" s="131"/>
      <c r="CD850" s="131"/>
      <c r="CE850" s="131"/>
      <c r="CF850" s="131"/>
      <c r="CG850" s="131"/>
      <c r="CH850" s="131"/>
    </row>
    <row r="851" ht="18.75" customHeight="1">
      <c r="C851" s="64"/>
      <c r="E851" s="64"/>
      <c r="F851" s="64"/>
      <c r="G851" s="64"/>
      <c r="AH851" s="162"/>
      <c r="AI851" s="162"/>
      <c r="AJ851" s="162"/>
      <c r="AK851" s="162"/>
      <c r="BS851" s="131"/>
      <c r="BT851" s="131"/>
      <c r="BU851" s="131"/>
      <c r="BV851" s="131"/>
      <c r="BW851" s="131"/>
      <c r="BX851" s="131"/>
      <c r="BY851" s="131"/>
      <c r="BZ851" s="131"/>
      <c r="CA851" s="131"/>
      <c r="CB851" s="131"/>
      <c r="CC851" s="131"/>
      <c r="CD851" s="131"/>
      <c r="CE851" s="131"/>
      <c r="CF851" s="131"/>
      <c r="CG851" s="131"/>
      <c r="CH851" s="131"/>
    </row>
    <row r="852" ht="18.75" customHeight="1">
      <c r="C852" s="64"/>
      <c r="E852" s="64"/>
      <c r="F852" s="64"/>
      <c r="G852" s="64"/>
      <c r="AH852" s="162"/>
      <c r="AI852" s="162"/>
      <c r="AJ852" s="162"/>
      <c r="AK852" s="162"/>
      <c r="BS852" s="131"/>
      <c r="BT852" s="131"/>
      <c r="BU852" s="131"/>
      <c r="BV852" s="131"/>
      <c r="BW852" s="131"/>
      <c r="BX852" s="131"/>
      <c r="BY852" s="131"/>
      <c r="BZ852" s="131"/>
      <c r="CA852" s="131"/>
      <c r="CB852" s="131"/>
      <c r="CC852" s="131"/>
      <c r="CD852" s="131"/>
      <c r="CE852" s="131"/>
      <c r="CF852" s="131"/>
      <c r="CG852" s="131"/>
      <c r="CH852" s="131"/>
    </row>
    <row r="853" ht="18.75" customHeight="1">
      <c r="C853" s="64"/>
      <c r="E853" s="64"/>
      <c r="F853" s="64"/>
      <c r="G853" s="64"/>
      <c r="AH853" s="162"/>
      <c r="AI853" s="162"/>
      <c r="AJ853" s="162"/>
      <c r="AK853" s="162"/>
      <c r="BS853" s="131"/>
      <c r="BT853" s="131"/>
      <c r="BU853" s="131"/>
      <c r="BV853" s="131"/>
      <c r="BW853" s="131"/>
      <c r="BX853" s="131"/>
      <c r="BY853" s="131"/>
      <c r="BZ853" s="131"/>
      <c r="CA853" s="131"/>
      <c r="CB853" s="131"/>
      <c r="CC853" s="131"/>
      <c r="CD853" s="131"/>
      <c r="CE853" s="131"/>
      <c r="CF853" s="131"/>
      <c r="CG853" s="131"/>
      <c r="CH853" s="131"/>
    </row>
    <row r="854" ht="18.75" customHeight="1">
      <c r="C854" s="64"/>
      <c r="E854" s="64"/>
      <c r="F854" s="64"/>
      <c r="G854" s="64"/>
      <c r="AH854" s="162"/>
      <c r="AI854" s="162"/>
      <c r="AJ854" s="162"/>
      <c r="AK854" s="162"/>
      <c r="BS854" s="131"/>
      <c r="BT854" s="131"/>
      <c r="BU854" s="131"/>
      <c r="BV854" s="131"/>
      <c r="BW854" s="131"/>
      <c r="BX854" s="131"/>
      <c r="BY854" s="131"/>
      <c r="BZ854" s="131"/>
      <c r="CA854" s="131"/>
      <c r="CB854" s="131"/>
      <c r="CC854" s="131"/>
      <c r="CD854" s="131"/>
      <c r="CE854" s="131"/>
      <c r="CF854" s="131"/>
      <c r="CG854" s="131"/>
      <c r="CH854" s="131"/>
    </row>
    <row r="855" ht="18.75" customHeight="1">
      <c r="C855" s="64"/>
      <c r="E855" s="64"/>
      <c r="F855" s="64"/>
      <c r="G855" s="64"/>
      <c r="AH855" s="162"/>
      <c r="AI855" s="162"/>
      <c r="AJ855" s="162"/>
      <c r="AK855" s="162"/>
      <c r="BS855" s="131"/>
      <c r="BT855" s="131"/>
      <c r="BU855" s="131"/>
      <c r="BV855" s="131"/>
      <c r="BW855" s="131"/>
      <c r="BX855" s="131"/>
      <c r="BY855" s="131"/>
      <c r="BZ855" s="131"/>
      <c r="CA855" s="131"/>
      <c r="CB855" s="131"/>
      <c r="CC855" s="131"/>
      <c r="CD855" s="131"/>
      <c r="CE855" s="131"/>
      <c r="CF855" s="131"/>
      <c r="CG855" s="131"/>
      <c r="CH855" s="131"/>
    </row>
    <row r="856" ht="18.75" customHeight="1">
      <c r="C856" s="64"/>
      <c r="E856" s="64"/>
      <c r="F856" s="64"/>
      <c r="G856" s="64"/>
      <c r="AH856" s="162"/>
      <c r="AI856" s="162"/>
      <c r="AJ856" s="162"/>
      <c r="AK856" s="162"/>
      <c r="BS856" s="131"/>
      <c r="BT856" s="131"/>
      <c r="BU856" s="131"/>
      <c r="BV856" s="131"/>
      <c r="BW856" s="131"/>
      <c r="BX856" s="131"/>
      <c r="BY856" s="131"/>
      <c r="BZ856" s="131"/>
      <c r="CA856" s="131"/>
      <c r="CB856" s="131"/>
      <c r="CC856" s="131"/>
      <c r="CD856" s="131"/>
      <c r="CE856" s="131"/>
      <c r="CF856" s="131"/>
      <c r="CG856" s="131"/>
      <c r="CH856" s="131"/>
    </row>
    <row r="857" ht="18.75" customHeight="1">
      <c r="C857" s="64"/>
      <c r="E857" s="64"/>
      <c r="F857" s="64"/>
      <c r="G857" s="64"/>
      <c r="AH857" s="162"/>
      <c r="AI857" s="162"/>
      <c r="AJ857" s="162"/>
      <c r="AK857" s="162"/>
      <c r="BS857" s="131"/>
      <c r="BT857" s="131"/>
      <c r="BU857" s="131"/>
      <c r="BV857" s="131"/>
      <c r="BW857" s="131"/>
      <c r="BX857" s="131"/>
      <c r="BY857" s="131"/>
      <c r="BZ857" s="131"/>
      <c r="CA857" s="131"/>
      <c r="CB857" s="131"/>
      <c r="CC857" s="131"/>
      <c r="CD857" s="131"/>
      <c r="CE857" s="131"/>
      <c r="CF857" s="131"/>
      <c r="CG857" s="131"/>
      <c r="CH857" s="131"/>
    </row>
    <row r="858" ht="18.75" customHeight="1">
      <c r="C858" s="64"/>
      <c r="E858" s="64"/>
      <c r="F858" s="64"/>
      <c r="G858" s="64"/>
      <c r="AH858" s="162"/>
      <c r="AI858" s="162"/>
      <c r="AJ858" s="162"/>
      <c r="AK858" s="162"/>
      <c r="BS858" s="131"/>
      <c r="BT858" s="131"/>
      <c r="BU858" s="131"/>
      <c r="BV858" s="131"/>
      <c r="BW858" s="131"/>
      <c r="BX858" s="131"/>
      <c r="BY858" s="131"/>
      <c r="BZ858" s="131"/>
      <c r="CA858" s="131"/>
      <c r="CB858" s="131"/>
      <c r="CC858" s="131"/>
      <c r="CD858" s="131"/>
      <c r="CE858" s="131"/>
      <c r="CF858" s="131"/>
      <c r="CG858" s="131"/>
      <c r="CH858" s="131"/>
    </row>
    <row r="859" ht="18.75" customHeight="1">
      <c r="C859" s="64"/>
      <c r="E859" s="64"/>
      <c r="F859" s="64"/>
      <c r="G859" s="64"/>
      <c r="AH859" s="162"/>
      <c r="AI859" s="162"/>
      <c r="AJ859" s="162"/>
      <c r="AK859" s="162"/>
      <c r="BS859" s="131"/>
      <c r="BT859" s="131"/>
      <c r="BU859" s="131"/>
      <c r="BV859" s="131"/>
      <c r="BW859" s="131"/>
      <c r="BX859" s="131"/>
      <c r="BY859" s="131"/>
      <c r="BZ859" s="131"/>
      <c r="CA859" s="131"/>
      <c r="CB859" s="131"/>
      <c r="CC859" s="131"/>
      <c r="CD859" s="131"/>
      <c r="CE859" s="131"/>
      <c r="CF859" s="131"/>
      <c r="CG859" s="131"/>
      <c r="CH859" s="131"/>
    </row>
    <row r="860" ht="18.75" customHeight="1">
      <c r="C860" s="64"/>
      <c r="E860" s="64"/>
      <c r="F860" s="64"/>
      <c r="G860" s="64"/>
      <c r="AH860" s="162"/>
      <c r="AI860" s="162"/>
      <c r="AJ860" s="162"/>
      <c r="AK860" s="162"/>
      <c r="BS860" s="131"/>
      <c r="BT860" s="131"/>
      <c r="BU860" s="131"/>
      <c r="BV860" s="131"/>
      <c r="BW860" s="131"/>
      <c r="BX860" s="131"/>
      <c r="BY860" s="131"/>
      <c r="BZ860" s="131"/>
      <c r="CA860" s="131"/>
      <c r="CB860" s="131"/>
      <c r="CC860" s="131"/>
      <c r="CD860" s="131"/>
      <c r="CE860" s="131"/>
      <c r="CF860" s="131"/>
      <c r="CG860" s="131"/>
      <c r="CH860" s="131"/>
    </row>
    <row r="861" ht="18.75" customHeight="1">
      <c r="C861" s="64"/>
      <c r="E861" s="64"/>
      <c r="F861" s="64"/>
      <c r="G861" s="64"/>
      <c r="AH861" s="162"/>
      <c r="AI861" s="162"/>
      <c r="AJ861" s="162"/>
      <c r="AK861" s="162"/>
      <c r="BS861" s="131"/>
      <c r="BT861" s="131"/>
      <c r="BU861" s="131"/>
      <c r="BV861" s="131"/>
      <c r="BW861" s="131"/>
      <c r="BX861" s="131"/>
      <c r="BY861" s="131"/>
      <c r="BZ861" s="131"/>
      <c r="CA861" s="131"/>
      <c r="CB861" s="131"/>
      <c r="CC861" s="131"/>
      <c r="CD861" s="131"/>
      <c r="CE861" s="131"/>
      <c r="CF861" s="131"/>
      <c r="CG861" s="131"/>
      <c r="CH861" s="131"/>
    </row>
    <row r="862" ht="18.75" customHeight="1">
      <c r="C862" s="64"/>
      <c r="E862" s="64"/>
      <c r="F862" s="64"/>
      <c r="G862" s="64"/>
      <c r="AH862" s="162"/>
      <c r="AI862" s="162"/>
      <c r="AJ862" s="162"/>
      <c r="AK862" s="162"/>
      <c r="BS862" s="131"/>
      <c r="BT862" s="131"/>
      <c r="BU862" s="131"/>
      <c r="BV862" s="131"/>
      <c r="BW862" s="131"/>
      <c r="BX862" s="131"/>
      <c r="BY862" s="131"/>
      <c r="BZ862" s="131"/>
      <c r="CA862" s="131"/>
      <c r="CB862" s="131"/>
      <c r="CC862" s="131"/>
      <c r="CD862" s="131"/>
      <c r="CE862" s="131"/>
      <c r="CF862" s="131"/>
      <c r="CG862" s="131"/>
      <c r="CH862" s="131"/>
    </row>
    <row r="863" ht="18.75" customHeight="1">
      <c r="C863" s="64"/>
      <c r="E863" s="64"/>
      <c r="F863" s="64"/>
      <c r="G863" s="64"/>
      <c r="AH863" s="162"/>
      <c r="AI863" s="162"/>
      <c r="AJ863" s="162"/>
      <c r="AK863" s="162"/>
      <c r="BS863" s="131"/>
      <c r="BT863" s="131"/>
      <c r="BU863" s="131"/>
      <c r="BV863" s="131"/>
      <c r="BW863" s="131"/>
      <c r="BX863" s="131"/>
      <c r="BY863" s="131"/>
      <c r="BZ863" s="131"/>
      <c r="CA863" s="131"/>
      <c r="CB863" s="131"/>
      <c r="CC863" s="131"/>
      <c r="CD863" s="131"/>
      <c r="CE863" s="131"/>
      <c r="CF863" s="131"/>
      <c r="CG863" s="131"/>
      <c r="CH863" s="131"/>
    </row>
    <row r="864" ht="18.75" customHeight="1">
      <c r="C864" s="64"/>
      <c r="E864" s="64"/>
      <c r="F864" s="64"/>
      <c r="G864" s="64"/>
      <c r="AH864" s="162"/>
      <c r="AI864" s="162"/>
      <c r="AJ864" s="162"/>
      <c r="AK864" s="162"/>
      <c r="BS864" s="131"/>
      <c r="BT864" s="131"/>
      <c r="BU864" s="131"/>
      <c r="BV864" s="131"/>
      <c r="BW864" s="131"/>
      <c r="BX864" s="131"/>
      <c r="BY864" s="131"/>
      <c r="BZ864" s="131"/>
      <c r="CA864" s="131"/>
      <c r="CB864" s="131"/>
      <c r="CC864" s="131"/>
      <c r="CD864" s="131"/>
      <c r="CE864" s="131"/>
      <c r="CF864" s="131"/>
      <c r="CG864" s="131"/>
      <c r="CH864" s="131"/>
    </row>
    <row r="865" ht="18.75" customHeight="1">
      <c r="C865" s="64"/>
      <c r="E865" s="64"/>
      <c r="F865" s="64"/>
      <c r="G865" s="64"/>
      <c r="AH865" s="162"/>
      <c r="AI865" s="162"/>
      <c r="AJ865" s="162"/>
      <c r="AK865" s="162"/>
      <c r="BS865" s="131"/>
      <c r="BT865" s="131"/>
      <c r="BU865" s="131"/>
      <c r="BV865" s="131"/>
      <c r="BW865" s="131"/>
      <c r="BX865" s="131"/>
      <c r="BY865" s="131"/>
      <c r="BZ865" s="131"/>
      <c r="CA865" s="131"/>
      <c r="CB865" s="131"/>
      <c r="CC865" s="131"/>
      <c r="CD865" s="131"/>
      <c r="CE865" s="131"/>
      <c r="CF865" s="131"/>
      <c r="CG865" s="131"/>
      <c r="CH865" s="131"/>
    </row>
    <row r="866" ht="18.75" customHeight="1">
      <c r="C866" s="64"/>
      <c r="E866" s="64"/>
      <c r="F866" s="64"/>
      <c r="G866" s="64"/>
      <c r="AH866" s="162"/>
      <c r="AI866" s="162"/>
      <c r="AJ866" s="162"/>
      <c r="AK866" s="162"/>
      <c r="BS866" s="131"/>
      <c r="BT866" s="131"/>
      <c r="BU866" s="131"/>
      <c r="BV866" s="131"/>
      <c r="BW866" s="131"/>
      <c r="BX866" s="131"/>
      <c r="BY866" s="131"/>
      <c r="BZ866" s="131"/>
      <c r="CA866" s="131"/>
      <c r="CB866" s="131"/>
      <c r="CC866" s="131"/>
      <c r="CD866" s="131"/>
      <c r="CE866" s="131"/>
      <c r="CF866" s="131"/>
      <c r="CG866" s="131"/>
      <c r="CH866" s="131"/>
    </row>
    <row r="867" ht="18.75" customHeight="1">
      <c r="C867" s="64"/>
      <c r="E867" s="64"/>
      <c r="F867" s="64"/>
      <c r="G867" s="64"/>
      <c r="AH867" s="162"/>
      <c r="AI867" s="162"/>
      <c r="AJ867" s="162"/>
      <c r="AK867" s="162"/>
      <c r="BS867" s="131"/>
      <c r="BT867" s="131"/>
      <c r="BU867" s="131"/>
      <c r="BV867" s="131"/>
      <c r="BW867" s="131"/>
      <c r="BX867" s="131"/>
      <c r="BY867" s="131"/>
      <c r="BZ867" s="131"/>
      <c r="CA867" s="131"/>
      <c r="CB867" s="131"/>
      <c r="CC867" s="131"/>
      <c r="CD867" s="131"/>
      <c r="CE867" s="131"/>
      <c r="CF867" s="131"/>
      <c r="CG867" s="131"/>
      <c r="CH867" s="131"/>
    </row>
    <row r="868" ht="18.75" customHeight="1">
      <c r="C868" s="64"/>
      <c r="E868" s="64"/>
      <c r="F868" s="64"/>
      <c r="G868" s="64"/>
      <c r="AH868" s="162"/>
      <c r="AI868" s="162"/>
      <c r="AJ868" s="162"/>
      <c r="AK868" s="162"/>
      <c r="BS868" s="131"/>
      <c r="BT868" s="131"/>
      <c r="BU868" s="131"/>
      <c r="BV868" s="131"/>
      <c r="BW868" s="131"/>
      <c r="BX868" s="131"/>
      <c r="BY868" s="131"/>
      <c r="BZ868" s="131"/>
      <c r="CA868" s="131"/>
      <c r="CB868" s="131"/>
      <c r="CC868" s="131"/>
      <c r="CD868" s="131"/>
      <c r="CE868" s="131"/>
      <c r="CF868" s="131"/>
      <c r="CG868" s="131"/>
      <c r="CH868" s="131"/>
    </row>
    <row r="869" ht="18.75" customHeight="1">
      <c r="C869" s="64"/>
      <c r="E869" s="64"/>
      <c r="F869" s="64"/>
      <c r="G869" s="64"/>
      <c r="AH869" s="162"/>
      <c r="AI869" s="162"/>
      <c r="AJ869" s="162"/>
      <c r="AK869" s="162"/>
      <c r="BS869" s="131"/>
      <c r="BT869" s="131"/>
      <c r="BU869" s="131"/>
      <c r="BV869" s="131"/>
      <c r="BW869" s="131"/>
      <c r="BX869" s="131"/>
      <c r="BY869" s="131"/>
      <c r="BZ869" s="131"/>
      <c r="CA869" s="131"/>
      <c r="CB869" s="131"/>
      <c r="CC869" s="131"/>
      <c r="CD869" s="131"/>
      <c r="CE869" s="131"/>
      <c r="CF869" s="131"/>
      <c r="CG869" s="131"/>
      <c r="CH869" s="131"/>
    </row>
    <row r="870" ht="18.75" customHeight="1">
      <c r="C870" s="64"/>
      <c r="E870" s="64"/>
      <c r="F870" s="64"/>
      <c r="G870" s="64"/>
      <c r="AH870" s="162"/>
      <c r="AI870" s="162"/>
      <c r="AJ870" s="162"/>
      <c r="AK870" s="162"/>
      <c r="BS870" s="131"/>
      <c r="BT870" s="131"/>
      <c r="BU870" s="131"/>
      <c r="BV870" s="131"/>
      <c r="BW870" s="131"/>
      <c r="BX870" s="131"/>
      <c r="BY870" s="131"/>
      <c r="BZ870" s="131"/>
      <c r="CA870" s="131"/>
      <c r="CB870" s="131"/>
      <c r="CC870" s="131"/>
      <c r="CD870" s="131"/>
      <c r="CE870" s="131"/>
      <c r="CF870" s="131"/>
      <c r="CG870" s="131"/>
      <c r="CH870" s="131"/>
    </row>
    <row r="871" ht="18.75" customHeight="1">
      <c r="C871" s="64"/>
      <c r="E871" s="64"/>
      <c r="F871" s="64"/>
      <c r="G871" s="64"/>
      <c r="AH871" s="162"/>
      <c r="AI871" s="162"/>
      <c r="AJ871" s="162"/>
      <c r="AK871" s="162"/>
      <c r="BS871" s="131"/>
      <c r="BT871" s="131"/>
      <c r="BU871" s="131"/>
      <c r="BV871" s="131"/>
      <c r="BW871" s="131"/>
      <c r="BX871" s="131"/>
      <c r="BY871" s="131"/>
      <c r="BZ871" s="131"/>
      <c r="CA871" s="131"/>
      <c r="CB871" s="131"/>
      <c r="CC871" s="131"/>
      <c r="CD871" s="131"/>
      <c r="CE871" s="131"/>
      <c r="CF871" s="131"/>
      <c r="CG871" s="131"/>
      <c r="CH871" s="131"/>
    </row>
    <row r="872" ht="18.75" customHeight="1">
      <c r="C872" s="64"/>
      <c r="E872" s="64"/>
      <c r="F872" s="64"/>
      <c r="G872" s="64"/>
      <c r="AH872" s="162"/>
      <c r="AI872" s="162"/>
      <c r="AJ872" s="162"/>
      <c r="AK872" s="162"/>
      <c r="BS872" s="131"/>
      <c r="BT872" s="131"/>
      <c r="BU872" s="131"/>
      <c r="BV872" s="131"/>
      <c r="BW872" s="131"/>
      <c r="BX872" s="131"/>
      <c r="BY872" s="131"/>
      <c r="BZ872" s="131"/>
      <c r="CA872" s="131"/>
      <c r="CB872" s="131"/>
      <c r="CC872" s="131"/>
      <c r="CD872" s="131"/>
      <c r="CE872" s="131"/>
      <c r="CF872" s="131"/>
      <c r="CG872" s="131"/>
      <c r="CH872" s="131"/>
    </row>
    <row r="873" ht="18.75" customHeight="1">
      <c r="C873" s="64"/>
      <c r="E873" s="64"/>
      <c r="F873" s="64"/>
      <c r="G873" s="64"/>
      <c r="AH873" s="162"/>
      <c r="AI873" s="162"/>
      <c r="AJ873" s="162"/>
      <c r="AK873" s="162"/>
      <c r="BS873" s="131"/>
      <c r="BT873" s="131"/>
      <c r="BU873" s="131"/>
      <c r="BV873" s="131"/>
      <c r="BW873" s="131"/>
      <c r="BX873" s="131"/>
      <c r="BY873" s="131"/>
      <c r="BZ873" s="131"/>
      <c r="CA873" s="131"/>
      <c r="CB873" s="131"/>
      <c r="CC873" s="131"/>
      <c r="CD873" s="131"/>
      <c r="CE873" s="131"/>
      <c r="CF873" s="131"/>
      <c r="CG873" s="131"/>
      <c r="CH873" s="131"/>
    </row>
    <row r="874" ht="18.75" customHeight="1">
      <c r="C874" s="64"/>
      <c r="E874" s="64"/>
      <c r="F874" s="64"/>
      <c r="G874" s="64"/>
      <c r="AH874" s="162"/>
      <c r="AI874" s="162"/>
      <c r="AJ874" s="162"/>
      <c r="AK874" s="162"/>
      <c r="BS874" s="131"/>
      <c r="BT874" s="131"/>
      <c r="BU874" s="131"/>
      <c r="BV874" s="131"/>
      <c r="BW874" s="131"/>
      <c r="BX874" s="131"/>
      <c r="BY874" s="131"/>
      <c r="BZ874" s="131"/>
      <c r="CA874" s="131"/>
      <c r="CB874" s="131"/>
      <c r="CC874" s="131"/>
      <c r="CD874" s="131"/>
      <c r="CE874" s="131"/>
      <c r="CF874" s="131"/>
      <c r="CG874" s="131"/>
      <c r="CH874" s="131"/>
    </row>
    <row r="875" ht="18.75" customHeight="1">
      <c r="C875" s="64"/>
      <c r="E875" s="64"/>
      <c r="F875" s="64"/>
      <c r="G875" s="64"/>
      <c r="AH875" s="162"/>
      <c r="AI875" s="162"/>
      <c r="AJ875" s="162"/>
      <c r="AK875" s="162"/>
      <c r="BS875" s="131"/>
      <c r="BT875" s="131"/>
      <c r="BU875" s="131"/>
      <c r="BV875" s="131"/>
      <c r="BW875" s="131"/>
      <c r="BX875" s="131"/>
      <c r="BY875" s="131"/>
      <c r="BZ875" s="131"/>
      <c r="CA875" s="131"/>
      <c r="CB875" s="131"/>
      <c r="CC875" s="131"/>
      <c r="CD875" s="131"/>
      <c r="CE875" s="131"/>
      <c r="CF875" s="131"/>
      <c r="CG875" s="131"/>
      <c r="CH875" s="131"/>
    </row>
    <row r="876" ht="18.75" customHeight="1">
      <c r="C876" s="64"/>
      <c r="E876" s="64"/>
      <c r="F876" s="64"/>
      <c r="G876" s="64"/>
      <c r="AH876" s="162"/>
      <c r="AI876" s="162"/>
      <c r="AJ876" s="162"/>
      <c r="AK876" s="162"/>
      <c r="BS876" s="131"/>
      <c r="BT876" s="131"/>
      <c r="BU876" s="131"/>
      <c r="BV876" s="131"/>
      <c r="BW876" s="131"/>
      <c r="BX876" s="131"/>
      <c r="BY876" s="131"/>
      <c r="BZ876" s="131"/>
      <c r="CA876" s="131"/>
      <c r="CB876" s="131"/>
      <c r="CC876" s="131"/>
      <c r="CD876" s="131"/>
      <c r="CE876" s="131"/>
      <c r="CF876" s="131"/>
      <c r="CG876" s="131"/>
      <c r="CH876" s="131"/>
    </row>
    <row r="877" ht="18.75" customHeight="1">
      <c r="C877" s="64"/>
      <c r="E877" s="64"/>
      <c r="F877" s="64"/>
      <c r="G877" s="64"/>
      <c r="AH877" s="162"/>
      <c r="AI877" s="162"/>
      <c r="AJ877" s="162"/>
      <c r="AK877" s="162"/>
      <c r="BS877" s="131"/>
      <c r="BT877" s="131"/>
      <c r="BU877" s="131"/>
      <c r="BV877" s="131"/>
      <c r="BW877" s="131"/>
      <c r="BX877" s="131"/>
      <c r="BY877" s="131"/>
      <c r="BZ877" s="131"/>
      <c r="CA877" s="131"/>
      <c r="CB877" s="131"/>
      <c r="CC877" s="131"/>
      <c r="CD877" s="131"/>
      <c r="CE877" s="131"/>
      <c r="CF877" s="131"/>
      <c r="CG877" s="131"/>
      <c r="CH877" s="131"/>
    </row>
    <row r="878" ht="18.75" customHeight="1">
      <c r="C878" s="64"/>
      <c r="E878" s="64"/>
      <c r="F878" s="64"/>
      <c r="G878" s="64"/>
      <c r="AH878" s="162"/>
      <c r="AI878" s="162"/>
      <c r="AJ878" s="162"/>
      <c r="AK878" s="162"/>
      <c r="BS878" s="131"/>
      <c r="BT878" s="131"/>
      <c r="BU878" s="131"/>
      <c r="BV878" s="131"/>
      <c r="BW878" s="131"/>
      <c r="BX878" s="131"/>
      <c r="BY878" s="131"/>
      <c r="BZ878" s="131"/>
      <c r="CA878" s="131"/>
      <c r="CB878" s="131"/>
      <c r="CC878" s="131"/>
      <c r="CD878" s="131"/>
      <c r="CE878" s="131"/>
      <c r="CF878" s="131"/>
      <c r="CG878" s="131"/>
      <c r="CH878" s="131"/>
    </row>
    <row r="879" ht="18.75" customHeight="1">
      <c r="C879" s="64"/>
      <c r="E879" s="64"/>
      <c r="F879" s="64"/>
      <c r="G879" s="64"/>
      <c r="AH879" s="162"/>
      <c r="AI879" s="162"/>
      <c r="AJ879" s="162"/>
      <c r="AK879" s="162"/>
      <c r="BS879" s="131"/>
      <c r="BT879" s="131"/>
      <c r="BU879" s="131"/>
      <c r="BV879" s="131"/>
      <c r="BW879" s="131"/>
      <c r="BX879" s="131"/>
      <c r="BY879" s="131"/>
      <c r="BZ879" s="131"/>
      <c r="CA879" s="131"/>
      <c r="CB879" s="131"/>
      <c r="CC879" s="131"/>
      <c r="CD879" s="131"/>
      <c r="CE879" s="131"/>
      <c r="CF879" s="131"/>
      <c r="CG879" s="131"/>
      <c r="CH879" s="131"/>
    </row>
    <row r="880" ht="18.75" customHeight="1">
      <c r="C880" s="64"/>
      <c r="E880" s="64"/>
      <c r="F880" s="64"/>
      <c r="G880" s="64"/>
      <c r="AH880" s="162"/>
      <c r="AI880" s="162"/>
      <c r="AJ880" s="162"/>
      <c r="AK880" s="162"/>
      <c r="BS880" s="131"/>
      <c r="BT880" s="131"/>
      <c r="BU880" s="131"/>
      <c r="BV880" s="131"/>
      <c r="BW880" s="131"/>
      <c r="BX880" s="131"/>
      <c r="BY880" s="131"/>
      <c r="BZ880" s="131"/>
      <c r="CA880" s="131"/>
      <c r="CB880" s="131"/>
      <c r="CC880" s="131"/>
      <c r="CD880" s="131"/>
      <c r="CE880" s="131"/>
      <c r="CF880" s="131"/>
      <c r="CG880" s="131"/>
      <c r="CH880" s="131"/>
    </row>
    <row r="881" ht="18.75" customHeight="1">
      <c r="C881" s="64"/>
      <c r="E881" s="64"/>
      <c r="F881" s="64"/>
      <c r="G881" s="64"/>
      <c r="AH881" s="162"/>
      <c r="AI881" s="162"/>
      <c r="AJ881" s="162"/>
      <c r="AK881" s="162"/>
      <c r="BS881" s="131"/>
      <c r="BT881" s="131"/>
      <c r="BU881" s="131"/>
      <c r="BV881" s="131"/>
      <c r="BW881" s="131"/>
      <c r="BX881" s="131"/>
      <c r="BY881" s="131"/>
      <c r="BZ881" s="131"/>
      <c r="CA881" s="131"/>
      <c r="CB881" s="131"/>
      <c r="CC881" s="131"/>
      <c r="CD881" s="131"/>
      <c r="CE881" s="131"/>
      <c r="CF881" s="131"/>
      <c r="CG881" s="131"/>
      <c r="CH881" s="131"/>
    </row>
    <row r="882" ht="18.75" customHeight="1">
      <c r="C882" s="64"/>
      <c r="E882" s="64"/>
      <c r="F882" s="64"/>
      <c r="G882" s="64"/>
      <c r="AH882" s="162"/>
      <c r="AI882" s="162"/>
      <c r="AJ882" s="162"/>
      <c r="AK882" s="162"/>
      <c r="BS882" s="131"/>
      <c r="BT882" s="131"/>
      <c r="BU882" s="131"/>
      <c r="BV882" s="131"/>
      <c r="BW882" s="131"/>
      <c r="BX882" s="131"/>
      <c r="BY882" s="131"/>
      <c r="BZ882" s="131"/>
      <c r="CA882" s="131"/>
      <c r="CB882" s="131"/>
      <c r="CC882" s="131"/>
      <c r="CD882" s="131"/>
      <c r="CE882" s="131"/>
      <c r="CF882" s="131"/>
      <c r="CG882" s="131"/>
      <c r="CH882" s="131"/>
    </row>
    <row r="883" ht="18.75" customHeight="1">
      <c r="C883" s="64"/>
      <c r="E883" s="64"/>
      <c r="F883" s="64"/>
      <c r="G883" s="64"/>
      <c r="AH883" s="162"/>
      <c r="AI883" s="162"/>
      <c r="AJ883" s="162"/>
      <c r="AK883" s="162"/>
      <c r="BS883" s="131"/>
      <c r="BT883" s="131"/>
      <c r="BU883" s="131"/>
      <c r="BV883" s="131"/>
      <c r="BW883" s="131"/>
      <c r="BX883" s="131"/>
      <c r="BY883" s="131"/>
      <c r="BZ883" s="131"/>
      <c r="CA883" s="131"/>
      <c r="CB883" s="131"/>
      <c r="CC883" s="131"/>
      <c r="CD883" s="131"/>
      <c r="CE883" s="131"/>
      <c r="CF883" s="131"/>
      <c r="CG883" s="131"/>
      <c r="CH883" s="131"/>
    </row>
    <row r="884" ht="18.75" customHeight="1">
      <c r="C884" s="64"/>
      <c r="E884" s="64"/>
      <c r="F884" s="64"/>
      <c r="G884" s="64"/>
      <c r="AH884" s="162"/>
      <c r="AI884" s="162"/>
      <c r="AJ884" s="162"/>
      <c r="AK884" s="162"/>
      <c r="BS884" s="131"/>
      <c r="BT884" s="131"/>
      <c r="BU884" s="131"/>
      <c r="BV884" s="131"/>
      <c r="BW884" s="131"/>
      <c r="BX884" s="131"/>
      <c r="BY884" s="131"/>
      <c r="BZ884" s="131"/>
      <c r="CA884" s="131"/>
      <c r="CB884" s="131"/>
      <c r="CC884" s="131"/>
      <c r="CD884" s="131"/>
      <c r="CE884" s="131"/>
      <c r="CF884" s="131"/>
      <c r="CG884" s="131"/>
      <c r="CH884" s="131"/>
    </row>
    <row r="885" ht="18.75" customHeight="1">
      <c r="C885" s="64"/>
      <c r="E885" s="64"/>
      <c r="F885" s="64"/>
      <c r="G885" s="64"/>
      <c r="AH885" s="162"/>
      <c r="AI885" s="162"/>
      <c r="AJ885" s="162"/>
      <c r="AK885" s="162"/>
      <c r="BS885" s="131"/>
      <c r="BT885" s="131"/>
      <c r="BU885" s="131"/>
      <c r="BV885" s="131"/>
      <c r="BW885" s="131"/>
      <c r="BX885" s="131"/>
      <c r="BY885" s="131"/>
      <c r="BZ885" s="131"/>
      <c r="CA885" s="131"/>
      <c r="CB885" s="131"/>
      <c r="CC885" s="131"/>
      <c r="CD885" s="131"/>
      <c r="CE885" s="131"/>
      <c r="CF885" s="131"/>
      <c r="CG885" s="131"/>
      <c r="CH885" s="131"/>
    </row>
    <row r="886" ht="18.75" customHeight="1">
      <c r="C886" s="64"/>
      <c r="E886" s="64"/>
      <c r="F886" s="64"/>
      <c r="G886" s="64"/>
      <c r="AH886" s="162"/>
      <c r="AI886" s="162"/>
      <c r="AJ886" s="162"/>
      <c r="AK886" s="162"/>
      <c r="BS886" s="131"/>
      <c r="BT886" s="131"/>
      <c r="BU886" s="131"/>
      <c r="BV886" s="131"/>
      <c r="BW886" s="131"/>
      <c r="BX886" s="131"/>
      <c r="BY886" s="131"/>
      <c r="BZ886" s="131"/>
      <c r="CA886" s="131"/>
      <c r="CB886" s="131"/>
      <c r="CC886" s="131"/>
      <c r="CD886" s="131"/>
      <c r="CE886" s="131"/>
      <c r="CF886" s="131"/>
      <c r="CG886" s="131"/>
      <c r="CH886" s="131"/>
    </row>
    <row r="887" ht="18.75" customHeight="1">
      <c r="C887" s="64"/>
      <c r="E887" s="64"/>
      <c r="F887" s="64"/>
      <c r="G887" s="64"/>
      <c r="AH887" s="162"/>
      <c r="AI887" s="162"/>
      <c r="AJ887" s="162"/>
      <c r="AK887" s="162"/>
      <c r="BS887" s="131"/>
      <c r="BT887" s="131"/>
      <c r="BU887" s="131"/>
      <c r="BV887" s="131"/>
      <c r="BW887" s="131"/>
      <c r="BX887" s="131"/>
      <c r="BY887" s="131"/>
      <c r="BZ887" s="131"/>
      <c r="CA887" s="131"/>
      <c r="CB887" s="131"/>
      <c r="CC887" s="131"/>
      <c r="CD887" s="131"/>
      <c r="CE887" s="131"/>
      <c r="CF887" s="131"/>
      <c r="CG887" s="131"/>
      <c r="CH887" s="131"/>
    </row>
    <row r="888" ht="18.75" customHeight="1">
      <c r="C888" s="64"/>
      <c r="E888" s="64"/>
      <c r="F888" s="64"/>
      <c r="G888" s="64"/>
      <c r="AH888" s="162"/>
      <c r="AI888" s="162"/>
      <c r="AJ888" s="162"/>
      <c r="AK888" s="162"/>
      <c r="BS888" s="131"/>
      <c r="BT888" s="131"/>
      <c r="BU888" s="131"/>
      <c r="BV888" s="131"/>
      <c r="BW888" s="131"/>
      <c r="BX888" s="131"/>
      <c r="BY888" s="131"/>
      <c r="BZ888" s="131"/>
      <c r="CA888" s="131"/>
      <c r="CB888" s="131"/>
      <c r="CC888" s="131"/>
      <c r="CD888" s="131"/>
      <c r="CE888" s="131"/>
      <c r="CF888" s="131"/>
      <c r="CG888" s="131"/>
      <c r="CH888" s="131"/>
    </row>
    <row r="889" ht="18.75" customHeight="1">
      <c r="C889" s="64"/>
      <c r="E889" s="64"/>
      <c r="F889" s="64"/>
      <c r="G889" s="64"/>
      <c r="AH889" s="162"/>
      <c r="AI889" s="162"/>
      <c r="AJ889" s="162"/>
      <c r="AK889" s="162"/>
      <c r="BS889" s="131"/>
      <c r="BT889" s="131"/>
      <c r="BU889" s="131"/>
      <c r="BV889" s="131"/>
      <c r="BW889" s="131"/>
      <c r="BX889" s="131"/>
      <c r="BY889" s="131"/>
      <c r="BZ889" s="131"/>
      <c r="CA889" s="131"/>
      <c r="CB889" s="131"/>
      <c r="CC889" s="131"/>
      <c r="CD889" s="131"/>
      <c r="CE889" s="131"/>
      <c r="CF889" s="131"/>
      <c r="CG889" s="131"/>
      <c r="CH889" s="131"/>
    </row>
    <row r="890" ht="18.75" customHeight="1">
      <c r="C890" s="64"/>
      <c r="E890" s="64"/>
      <c r="F890" s="64"/>
      <c r="G890" s="64"/>
      <c r="AH890" s="162"/>
      <c r="AI890" s="162"/>
      <c r="AJ890" s="162"/>
      <c r="AK890" s="162"/>
      <c r="BS890" s="131"/>
      <c r="BT890" s="131"/>
      <c r="BU890" s="131"/>
      <c r="BV890" s="131"/>
      <c r="BW890" s="131"/>
      <c r="BX890" s="131"/>
      <c r="BY890" s="131"/>
      <c r="BZ890" s="131"/>
      <c r="CA890" s="131"/>
      <c r="CB890" s="131"/>
      <c r="CC890" s="131"/>
      <c r="CD890" s="131"/>
      <c r="CE890" s="131"/>
      <c r="CF890" s="131"/>
      <c r="CG890" s="131"/>
      <c r="CH890" s="131"/>
    </row>
    <row r="891" ht="18.75" customHeight="1">
      <c r="C891" s="64"/>
      <c r="E891" s="64"/>
      <c r="F891" s="64"/>
      <c r="G891" s="64"/>
      <c r="AH891" s="162"/>
      <c r="AI891" s="162"/>
      <c r="AJ891" s="162"/>
      <c r="AK891" s="162"/>
      <c r="BS891" s="131"/>
      <c r="BT891" s="131"/>
      <c r="BU891" s="131"/>
      <c r="BV891" s="131"/>
      <c r="BW891" s="131"/>
      <c r="BX891" s="131"/>
      <c r="BY891" s="131"/>
      <c r="BZ891" s="131"/>
      <c r="CA891" s="131"/>
      <c r="CB891" s="131"/>
      <c r="CC891" s="131"/>
      <c r="CD891" s="131"/>
      <c r="CE891" s="131"/>
      <c r="CF891" s="131"/>
      <c r="CG891" s="131"/>
      <c r="CH891" s="131"/>
    </row>
    <row r="892" ht="18.75" customHeight="1">
      <c r="C892" s="64"/>
      <c r="E892" s="64"/>
      <c r="F892" s="64"/>
      <c r="G892" s="64"/>
      <c r="AH892" s="162"/>
      <c r="AI892" s="162"/>
      <c r="AJ892" s="162"/>
      <c r="AK892" s="162"/>
      <c r="BS892" s="131"/>
      <c r="BT892" s="131"/>
      <c r="BU892" s="131"/>
      <c r="BV892" s="131"/>
      <c r="BW892" s="131"/>
      <c r="BX892" s="131"/>
      <c r="BY892" s="131"/>
      <c r="BZ892" s="131"/>
      <c r="CA892" s="131"/>
      <c r="CB892" s="131"/>
      <c r="CC892" s="131"/>
      <c r="CD892" s="131"/>
      <c r="CE892" s="131"/>
      <c r="CF892" s="131"/>
      <c r="CG892" s="131"/>
      <c r="CH892" s="131"/>
    </row>
    <row r="893" ht="18.75" customHeight="1">
      <c r="C893" s="64"/>
      <c r="E893" s="64"/>
      <c r="F893" s="64"/>
      <c r="G893" s="64"/>
      <c r="AH893" s="162"/>
      <c r="AI893" s="162"/>
      <c r="AJ893" s="162"/>
      <c r="AK893" s="162"/>
      <c r="BS893" s="131"/>
      <c r="BT893" s="131"/>
      <c r="BU893" s="131"/>
      <c r="BV893" s="131"/>
      <c r="BW893" s="131"/>
      <c r="BX893" s="131"/>
      <c r="BY893" s="131"/>
      <c r="BZ893" s="131"/>
      <c r="CA893" s="131"/>
      <c r="CB893" s="131"/>
      <c r="CC893" s="131"/>
      <c r="CD893" s="131"/>
      <c r="CE893" s="131"/>
      <c r="CF893" s="131"/>
      <c r="CG893" s="131"/>
      <c r="CH893" s="131"/>
    </row>
    <row r="894" ht="18.75" customHeight="1">
      <c r="C894" s="64"/>
      <c r="E894" s="64"/>
      <c r="F894" s="64"/>
      <c r="G894" s="64"/>
      <c r="AH894" s="162"/>
      <c r="AI894" s="162"/>
      <c r="AJ894" s="162"/>
      <c r="AK894" s="162"/>
      <c r="BS894" s="131"/>
      <c r="BT894" s="131"/>
      <c r="BU894" s="131"/>
      <c r="BV894" s="131"/>
      <c r="BW894" s="131"/>
      <c r="BX894" s="131"/>
      <c r="BY894" s="131"/>
      <c r="BZ894" s="131"/>
      <c r="CA894" s="131"/>
      <c r="CB894" s="131"/>
      <c r="CC894" s="131"/>
      <c r="CD894" s="131"/>
      <c r="CE894" s="131"/>
      <c r="CF894" s="131"/>
      <c r="CG894" s="131"/>
      <c r="CH894" s="131"/>
    </row>
    <row r="895" ht="18.75" customHeight="1">
      <c r="C895" s="64"/>
      <c r="E895" s="64"/>
      <c r="F895" s="64"/>
      <c r="G895" s="64"/>
      <c r="AH895" s="162"/>
      <c r="AI895" s="162"/>
      <c r="AJ895" s="162"/>
      <c r="AK895" s="162"/>
      <c r="BS895" s="131"/>
      <c r="BT895" s="131"/>
      <c r="BU895" s="131"/>
      <c r="BV895" s="131"/>
      <c r="BW895" s="131"/>
      <c r="BX895" s="131"/>
      <c r="BY895" s="131"/>
      <c r="BZ895" s="131"/>
      <c r="CA895" s="131"/>
      <c r="CB895" s="131"/>
      <c r="CC895" s="131"/>
      <c r="CD895" s="131"/>
      <c r="CE895" s="131"/>
      <c r="CF895" s="131"/>
      <c r="CG895" s="131"/>
      <c r="CH895" s="131"/>
    </row>
    <row r="896" ht="18.75" customHeight="1">
      <c r="C896" s="64"/>
      <c r="E896" s="64"/>
      <c r="F896" s="64"/>
      <c r="G896" s="64"/>
      <c r="AH896" s="162"/>
      <c r="AI896" s="162"/>
      <c r="AJ896" s="162"/>
      <c r="AK896" s="162"/>
      <c r="BS896" s="131"/>
      <c r="BT896" s="131"/>
      <c r="BU896" s="131"/>
      <c r="BV896" s="131"/>
      <c r="BW896" s="131"/>
      <c r="BX896" s="131"/>
      <c r="BY896" s="131"/>
      <c r="BZ896" s="131"/>
      <c r="CA896" s="131"/>
      <c r="CB896" s="131"/>
      <c r="CC896" s="131"/>
      <c r="CD896" s="131"/>
      <c r="CE896" s="131"/>
      <c r="CF896" s="131"/>
      <c r="CG896" s="131"/>
      <c r="CH896" s="131"/>
    </row>
    <row r="897" ht="18.75" customHeight="1">
      <c r="C897" s="64"/>
      <c r="E897" s="64"/>
      <c r="F897" s="64"/>
      <c r="G897" s="64"/>
      <c r="AH897" s="162"/>
      <c r="AI897" s="162"/>
      <c r="AJ897" s="162"/>
      <c r="AK897" s="162"/>
      <c r="BS897" s="131"/>
      <c r="BT897" s="131"/>
      <c r="BU897" s="131"/>
      <c r="BV897" s="131"/>
      <c r="BW897" s="131"/>
      <c r="BX897" s="131"/>
      <c r="BY897" s="131"/>
      <c r="BZ897" s="131"/>
      <c r="CA897" s="131"/>
      <c r="CB897" s="131"/>
      <c r="CC897" s="131"/>
      <c r="CD897" s="131"/>
      <c r="CE897" s="131"/>
      <c r="CF897" s="131"/>
      <c r="CG897" s="131"/>
      <c r="CH897" s="131"/>
    </row>
    <row r="898" ht="18.75" customHeight="1">
      <c r="C898" s="64"/>
      <c r="E898" s="64"/>
      <c r="F898" s="64"/>
      <c r="G898" s="64"/>
      <c r="AH898" s="162"/>
      <c r="AI898" s="162"/>
      <c r="AJ898" s="162"/>
      <c r="AK898" s="162"/>
      <c r="BS898" s="131"/>
      <c r="BT898" s="131"/>
      <c r="BU898" s="131"/>
      <c r="BV898" s="131"/>
      <c r="BW898" s="131"/>
      <c r="BX898" s="131"/>
      <c r="BY898" s="131"/>
      <c r="BZ898" s="131"/>
      <c r="CA898" s="131"/>
      <c r="CB898" s="131"/>
      <c r="CC898" s="131"/>
      <c r="CD898" s="131"/>
      <c r="CE898" s="131"/>
      <c r="CF898" s="131"/>
      <c r="CG898" s="131"/>
      <c r="CH898" s="131"/>
    </row>
    <row r="899" ht="18.75" customHeight="1">
      <c r="C899" s="64"/>
      <c r="E899" s="64"/>
      <c r="F899" s="64"/>
      <c r="G899" s="64"/>
      <c r="AH899" s="162"/>
      <c r="AI899" s="162"/>
      <c r="AJ899" s="162"/>
      <c r="AK899" s="162"/>
      <c r="BS899" s="131"/>
      <c r="BT899" s="131"/>
      <c r="BU899" s="131"/>
      <c r="BV899" s="131"/>
      <c r="BW899" s="131"/>
      <c r="BX899" s="131"/>
      <c r="BY899" s="131"/>
      <c r="BZ899" s="131"/>
      <c r="CA899" s="131"/>
      <c r="CB899" s="131"/>
      <c r="CC899" s="131"/>
      <c r="CD899" s="131"/>
      <c r="CE899" s="131"/>
      <c r="CF899" s="131"/>
      <c r="CG899" s="131"/>
      <c r="CH899" s="131"/>
    </row>
    <row r="900" ht="18.75" customHeight="1">
      <c r="C900" s="64"/>
      <c r="E900" s="64"/>
      <c r="F900" s="64"/>
      <c r="G900" s="64"/>
      <c r="AH900" s="162"/>
      <c r="AI900" s="162"/>
      <c r="AJ900" s="162"/>
      <c r="AK900" s="162"/>
      <c r="BS900" s="131"/>
      <c r="BT900" s="131"/>
      <c r="BU900" s="131"/>
      <c r="BV900" s="131"/>
      <c r="BW900" s="131"/>
      <c r="BX900" s="131"/>
      <c r="BY900" s="131"/>
      <c r="BZ900" s="131"/>
      <c r="CA900" s="131"/>
      <c r="CB900" s="131"/>
      <c r="CC900" s="131"/>
      <c r="CD900" s="131"/>
      <c r="CE900" s="131"/>
      <c r="CF900" s="131"/>
      <c r="CG900" s="131"/>
      <c r="CH900" s="131"/>
    </row>
    <row r="901" ht="18.75" customHeight="1">
      <c r="C901" s="64"/>
      <c r="E901" s="64"/>
      <c r="F901" s="64"/>
      <c r="G901" s="64"/>
      <c r="AH901" s="162"/>
      <c r="AI901" s="162"/>
      <c r="AJ901" s="162"/>
      <c r="AK901" s="162"/>
      <c r="BS901" s="131"/>
      <c r="BT901" s="131"/>
      <c r="BU901" s="131"/>
      <c r="BV901" s="131"/>
      <c r="BW901" s="131"/>
      <c r="BX901" s="131"/>
      <c r="BY901" s="131"/>
      <c r="BZ901" s="131"/>
      <c r="CA901" s="131"/>
      <c r="CB901" s="131"/>
      <c r="CC901" s="131"/>
      <c r="CD901" s="131"/>
      <c r="CE901" s="131"/>
      <c r="CF901" s="131"/>
      <c r="CG901" s="131"/>
      <c r="CH901" s="131"/>
    </row>
    <row r="902" ht="18.75" customHeight="1">
      <c r="C902" s="64"/>
      <c r="E902" s="64"/>
      <c r="F902" s="64"/>
      <c r="G902" s="64"/>
      <c r="AH902" s="162"/>
      <c r="AI902" s="162"/>
      <c r="AJ902" s="162"/>
      <c r="AK902" s="162"/>
      <c r="BS902" s="131"/>
      <c r="BT902" s="131"/>
      <c r="BU902" s="131"/>
      <c r="BV902" s="131"/>
      <c r="BW902" s="131"/>
      <c r="BX902" s="131"/>
      <c r="BY902" s="131"/>
      <c r="BZ902" s="131"/>
      <c r="CA902" s="131"/>
      <c r="CB902" s="131"/>
      <c r="CC902" s="131"/>
      <c r="CD902" s="131"/>
      <c r="CE902" s="131"/>
      <c r="CF902" s="131"/>
      <c r="CG902" s="131"/>
      <c r="CH902" s="131"/>
    </row>
    <row r="903" ht="18.75" customHeight="1">
      <c r="C903" s="64"/>
      <c r="E903" s="64"/>
      <c r="F903" s="64"/>
      <c r="G903" s="64"/>
      <c r="AH903" s="162"/>
      <c r="AI903" s="162"/>
      <c r="AJ903" s="162"/>
      <c r="AK903" s="162"/>
      <c r="BS903" s="131"/>
      <c r="BT903" s="131"/>
      <c r="BU903" s="131"/>
      <c r="BV903" s="131"/>
      <c r="BW903" s="131"/>
      <c r="BX903" s="131"/>
      <c r="BY903" s="131"/>
      <c r="BZ903" s="131"/>
      <c r="CA903" s="131"/>
      <c r="CB903" s="131"/>
      <c r="CC903" s="131"/>
      <c r="CD903" s="131"/>
      <c r="CE903" s="131"/>
      <c r="CF903" s="131"/>
      <c r="CG903" s="131"/>
      <c r="CH903" s="131"/>
    </row>
    <row r="904" ht="18.75" customHeight="1">
      <c r="C904" s="64"/>
      <c r="E904" s="64"/>
      <c r="F904" s="64"/>
      <c r="G904" s="64"/>
      <c r="AH904" s="162"/>
      <c r="AI904" s="162"/>
      <c r="AJ904" s="162"/>
      <c r="AK904" s="162"/>
      <c r="BS904" s="131"/>
      <c r="BT904" s="131"/>
      <c r="BU904" s="131"/>
      <c r="BV904" s="131"/>
      <c r="BW904" s="131"/>
      <c r="BX904" s="131"/>
      <c r="BY904" s="131"/>
      <c r="BZ904" s="131"/>
      <c r="CA904" s="131"/>
      <c r="CB904" s="131"/>
      <c r="CC904" s="131"/>
      <c r="CD904" s="131"/>
      <c r="CE904" s="131"/>
      <c r="CF904" s="131"/>
      <c r="CG904" s="131"/>
      <c r="CH904" s="131"/>
    </row>
    <row r="905" ht="18.75" customHeight="1">
      <c r="C905" s="64"/>
      <c r="E905" s="64"/>
      <c r="F905" s="64"/>
      <c r="G905" s="64"/>
      <c r="AH905" s="162"/>
      <c r="AI905" s="162"/>
      <c r="AJ905" s="162"/>
      <c r="AK905" s="162"/>
      <c r="BS905" s="131"/>
      <c r="BT905" s="131"/>
      <c r="BU905" s="131"/>
      <c r="BV905" s="131"/>
      <c r="BW905" s="131"/>
      <c r="BX905" s="131"/>
      <c r="BY905" s="131"/>
      <c r="BZ905" s="131"/>
      <c r="CA905" s="131"/>
      <c r="CB905" s="131"/>
      <c r="CC905" s="131"/>
      <c r="CD905" s="131"/>
      <c r="CE905" s="131"/>
      <c r="CF905" s="131"/>
      <c r="CG905" s="131"/>
      <c r="CH905" s="131"/>
    </row>
    <row r="906" ht="18.75" customHeight="1">
      <c r="C906" s="64"/>
      <c r="E906" s="64"/>
      <c r="F906" s="64"/>
      <c r="G906" s="64"/>
      <c r="AH906" s="162"/>
      <c r="AI906" s="162"/>
      <c r="AJ906" s="162"/>
      <c r="AK906" s="162"/>
      <c r="BS906" s="131"/>
      <c r="BT906" s="131"/>
      <c r="BU906" s="131"/>
      <c r="BV906" s="131"/>
      <c r="BW906" s="131"/>
      <c r="BX906" s="131"/>
      <c r="BY906" s="131"/>
      <c r="BZ906" s="131"/>
      <c r="CA906" s="131"/>
      <c r="CB906" s="131"/>
      <c r="CC906" s="131"/>
      <c r="CD906" s="131"/>
      <c r="CE906" s="131"/>
      <c r="CF906" s="131"/>
      <c r="CG906" s="131"/>
      <c r="CH906" s="131"/>
    </row>
    <row r="907" ht="18.75" customHeight="1">
      <c r="C907" s="64"/>
      <c r="E907" s="64"/>
      <c r="F907" s="64"/>
      <c r="G907" s="64"/>
      <c r="AH907" s="162"/>
      <c r="AI907" s="162"/>
      <c r="AJ907" s="162"/>
      <c r="AK907" s="162"/>
      <c r="BS907" s="131"/>
      <c r="BT907" s="131"/>
      <c r="BU907" s="131"/>
      <c r="BV907" s="131"/>
      <c r="BW907" s="131"/>
      <c r="BX907" s="131"/>
      <c r="BY907" s="131"/>
      <c r="BZ907" s="131"/>
      <c r="CA907" s="131"/>
      <c r="CB907" s="131"/>
      <c r="CC907" s="131"/>
      <c r="CD907" s="131"/>
      <c r="CE907" s="131"/>
      <c r="CF907" s="131"/>
      <c r="CG907" s="131"/>
      <c r="CH907" s="131"/>
    </row>
    <row r="908" ht="18.75" customHeight="1">
      <c r="C908" s="64"/>
      <c r="E908" s="64"/>
      <c r="F908" s="64"/>
      <c r="G908" s="64"/>
      <c r="AH908" s="162"/>
      <c r="AI908" s="162"/>
      <c r="AJ908" s="162"/>
      <c r="AK908" s="162"/>
      <c r="BS908" s="131"/>
      <c r="BT908" s="131"/>
      <c r="BU908" s="131"/>
      <c r="BV908" s="131"/>
      <c r="BW908" s="131"/>
      <c r="BX908" s="131"/>
      <c r="BY908" s="131"/>
      <c r="BZ908" s="131"/>
      <c r="CA908" s="131"/>
      <c r="CB908" s="131"/>
      <c r="CC908" s="131"/>
      <c r="CD908" s="131"/>
      <c r="CE908" s="131"/>
      <c r="CF908" s="131"/>
      <c r="CG908" s="131"/>
      <c r="CH908" s="131"/>
    </row>
    <row r="909" ht="18.75" customHeight="1">
      <c r="C909" s="64"/>
      <c r="E909" s="64"/>
      <c r="F909" s="64"/>
      <c r="G909" s="64"/>
      <c r="AH909" s="162"/>
      <c r="AI909" s="162"/>
      <c r="AJ909" s="162"/>
      <c r="AK909" s="162"/>
      <c r="BS909" s="131"/>
      <c r="BT909" s="131"/>
      <c r="BU909" s="131"/>
      <c r="BV909" s="131"/>
      <c r="BW909" s="131"/>
      <c r="BX909" s="131"/>
      <c r="BY909" s="131"/>
      <c r="BZ909" s="131"/>
      <c r="CA909" s="131"/>
      <c r="CB909" s="131"/>
      <c r="CC909" s="131"/>
      <c r="CD909" s="131"/>
      <c r="CE909" s="131"/>
      <c r="CF909" s="131"/>
      <c r="CG909" s="131"/>
      <c r="CH909" s="131"/>
    </row>
    <row r="910" ht="18.75" customHeight="1">
      <c r="C910" s="64"/>
      <c r="E910" s="64"/>
      <c r="F910" s="64"/>
      <c r="G910" s="64"/>
      <c r="AH910" s="162"/>
      <c r="AI910" s="162"/>
      <c r="AJ910" s="162"/>
      <c r="AK910" s="162"/>
      <c r="BS910" s="131"/>
      <c r="BT910" s="131"/>
      <c r="BU910" s="131"/>
      <c r="BV910" s="131"/>
      <c r="BW910" s="131"/>
      <c r="BX910" s="131"/>
      <c r="BY910" s="131"/>
      <c r="BZ910" s="131"/>
      <c r="CA910" s="131"/>
      <c r="CB910" s="131"/>
      <c r="CC910" s="131"/>
      <c r="CD910" s="131"/>
      <c r="CE910" s="131"/>
      <c r="CF910" s="131"/>
      <c r="CG910" s="131"/>
      <c r="CH910" s="131"/>
    </row>
    <row r="911" ht="18.75" customHeight="1">
      <c r="C911" s="64"/>
      <c r="E911" s="64"/>
      <c r="F911" s="64"/>
      <c r="G911" s="64"/>
      <c r="AH911" s="162"/>
      <c r="AI911" s="162"/>
      <c r="AJ911" s="162"/>
      <c r="AK911" s="162"/>
      <c r="BS911" s="131"/>
      <c r="BT911" s="131"/>
      <c r="BU911" s="131"/>
      <c r="BV911" s="131"/>
      <c r="BW911" s="131"/>
      <c r="BX911" s="131"/>
      <c r="BY911" s="131"/>
      <c r="BZ911" s="131"/>
      <c r="CA911" s="131"/>
      <c r="CB911" s="131"/>
      <c r="CC911" s="131"/>
      <c r="CD911" s="131"/>
      <c r="CE911" s="131"/>
      <c r="CF911" s="131"/>
      <c r="CG911" s="131"/>
      <c r="CH911" s="131"/>
    </row>
    <row r="912" ht="18.75" customHeight="1">
      <c r="C912" s="64"/>
      <c r="E912" s="64"/>
      <c r="F912" s="64"/>
      <c r="G912" s="64"/>
      <c r="AH912" s="162"/>
      <c r="AI912" s="162"/>
      <c r="AJ912" s="162"/>
      <c r="AK912" s="162"/>
      <c r="BS912" s="131"/>
      <c r="BT912" s="131"/>
      <c r="BU912" s="131"/>
      <c r="BV912" s="131"/>
      <c r="BW912" s="131"/>
      <c r="BX912" s="131"/>
      <c r="BY912" s="131"/>
      <c r="BZ912" s="131"/>
      <c r="CA912" s="131"/>
      <c r="CB912" s="131"/>
      <c r="CC912" s="131"/>
      <c r="CD912" s="131"/>
      <c r="CE912" s="131"/>
      <c r="CF912" s="131"/>
      <c r="CG912" s="131"/>
      <c r="CH912" s="131"/>
    </row>
    <row r="913" ht="18.75" customHeight="1">
      <c r="C913" s="64"/>
      <c r="E913" s="64"/>
      <c r="F913" s="64"/>
      <c r="G913" s="64"/>
      <c r="AH913" s="162"/>
      <c r="AI913" s="162"/>
      <c r="AJ913" s="162"/>
      <c r="AK913" s="162"/>
      <c r="BS913" s="131"/>
      <c r="BT913" s="131"/>
      <c r="BU913" s="131"/>
      <c r="BV913" s="131"/>
      <c r="BW913" s="131"/>
      <c r="BX913" s="131"/>
      <c r="BY913" s="131"/>
      <c r="BZ913" s="131"/>
      <c r="CA913" s="131"/>
      <c r="CB913" s="131"/>
      <c r="CC913" s="131"/>
      <c r="CD913" s="131"/>
      <c r="CE913" s="131"/>
      <c r="CF913" s="131"/>
      <c r="CG913" s="131"/>
      <c r="CH913" s="131"/>
    </row>
    <row r="914" ht="18.75" customHeight="1">
      <c r="C914" s="64"/>
      <c r="E914" s="64"/>
      <c r="F914" s="64"/>
      <c r="G914" s="64"/>
      <c r="AH914" s="162"/>
      <c r="AI914" s="162"/>
      <c r="AJ914" s="162"/>
      <c r="AK914" s="162"/>
      <c r="BS914" s="131"/>
      <c r="BT914" s="131"/>
      <c r="BU914" s="131"/>
      <c r="BV914" s="131"/>
      <c r="BW914" s="131"/>
      <c r="BX914" s="131"/>
      <c r="BY914" s="131"/>
      <c r="BZ914" s="131"/>
      <c r="CA914" s="131"/>
      <c r="CB914" s="131"/>
      <c r="CC914" s="131"/>
      <c r="CD914" s="131"/>
      <c r="CE914" s="131"/>
      <c r="CF914" s="131"/>
      <c r="CG914" s="131"/>
      <c r="CH914" s="131"/>
    </row>
    <row r="915" ht="18.75" customHeight="1">
      <c r="C915" s="64"/>
      <c r="E915" s="64"/>
      <c r="F915" s="64"/>
      <c r="G915" s="64"/>
      <c r="AH915" s="162"/>
      <c r="AI915" s="162"/>
      <c r="AJ915" s="162"/>
      <c r="AK915" s="162"/>
      <c r="BS915" s="131"/>
      <c r="BT915" s="131"/>
      <c r="BU915" s="131"/>
      <c r="BV915" s="131"/>
      <c r="BW915" s="131"/>
      <c r="BX915" s="131"/>
      <c r="BY915" s="131"/>
      <c r="BZ915" s="131"/>
      <c r="CA915" s="131"/>
      <c r="CB915" s="131"/>
      <c r="CC915" s="131"/>
      <c r="CD915" s="131"/>
      <c r="CE915" s="131"/>
      <c r="CF915" s="131"/>
      <c r="CG915" s="131"/>
      <c r="CH915" s="131"/>
    </row>
    <row r="916" ht="18.75" customHeight="1">
      <c r="C916" s="64"/>
      <c r="E916" s="64"/>
      <c r="F916" s="64"/>
      <c r="G916" s="64"/>
      <c r="AH916" s="162"/>
      <c r="AI916" s="162"/>
      <c r="AJ916" s="162"/>
      <c r="AK916" s="162"/>
      <c r="BS916" s="131"/>
      <c r="BT916" s="131"/>
      <c r="BU916" s="131"/>
      <c r="BV916" s="131"/>
      <c r="BW916" s="131"/>
      <c r="BX916" s="131"/>
      <c r="BY916" s="131"/>
      <c r="BZ916" s="131"/>
      <c r="CA916" s="131"/>
      <c r="CB916" s="131"/>
      <c r="CC916" s="131"/>
      <c r="CD916" s="131"/>
      <c r="CE916" s="131"/>
      <c r="CF916" s="131"/>
      <c r="CG916" s="131"/>
      <c r="CH916" s="131"/>
    </row>
    <row r="917" ht="18.75" customHeight="1">
      <c r="C917" s="64"/>
      <c r="E917" s="64"/>
      <c r="F917" s="64"/>
      <c r="G917" s="64"/>
      <c r="AH917" s="162"/>
      <c r="AI917" s="162"/>
      <c r="AJ917" s="162"/>
      <c r="AK917" s="162"/>
      <c r="BS917" s="131"/>
      <c r="BT917" s="131"/>
      <c r="BU917" s="131"/>
      <c r="BV917" s="131"/>
      <c r="BW917" s="131"/>
      <c r="BX917" s="131"/>
      <c r="BY917" s="131"/>
      <c r="BZ917" s="131"/>
      <c r="CA917" s="131"/>
      <c r="CB917" s="131"/>
      <c r="CC917" s="131"/>
      <c r="CD917" s="131"/>
      <c r="CE917" s="131"/>
      <c r="CF917" s="131"/>
      <c r="CG917" s="131"/>
      <c r="CH917" s="131"/>
    </row>
    <row r="918" ht="18.75" customHeight="1">
      <c r="C918" s="64"/>
      <c r="E918" s="64"/>
      <c r="F918" s="64"/>
      <c r="G918" s="64"/>
      <c r="AH918" s="162"/>
      <c r="AI918" s="162"/>
      <c r="AJ918" s="162"/>
      <c r="AK918" s="162"/>
      <c r="BS918" s="131"/>
      <c r="BT918" s="131"/>
      <c r="BU918" s="131"/>
      <c r="BV918" s="131"/>
      <c r="BW918" s="131"/>
      <c r="BX918" s="131"/>
      <c r="BY918" s="131"/>
      <c r="BZ918" s="131"/>
      <c r="CA918" s="131"/>
      <c r="CB918" s="131"/>
      <c r="CC918" s="131"/>
      <c r="CD918" s="131"/>
      <c r="CE918" s="131"/>
      <c r="CF918" s="131"/>
      <c r="CG918" s="131"/>
      <c r="CH918" s="131"/>
    </row>
    <row r="919" ht="18.75" customHeight="1">
      <c r="C919" s="64"/>
      <c r="E919" s="64"/>
      <c r="F919" s="64"/>
      <c r="G919" s="64"/>
      <c r="AH919" s="162"/>
      <c r="AI919" s="162"/>
      <c r="AJ919" s="162"/>
      <c r="AK919" s="162"/>
      <c r="BS919" s="131"/>
      <c r="BT919" s="131"/>
      <c r="BU919" s="131"/>
      <c r="BV919" s="131"/>
      <c r="BW919" s="131"/>
      <c r="BX919" s="131"/>
      <c r="BY919" s="131"/>
      <c r="BZ919" s="131"/>
      <c r="CA919" s="131"/>
      <c r="CB919" s="131"/>
      <c r="CC919" s="131"/>
      <c r="CD919" s="131"/>
      <c r="CE919" s="131"/>
      <c r="CF919" s="131"/>
      <c r="CG919" s="131"/>
      <c r="CH919" s="131"/>
    </row>
    <row r="920" ht="18.75" customHeight="1">
      <c r="C920" s="64"/>
      <c r="E920" s="64"/>
      <c r="F920" s="64"/>
      <c r="G920" s="64"/>
      <c r="AH920" s="162"/>
      <c r="AI920" s="162"/>
      <c r="AJ920" s="162"/>
      <c r="AK920" s="162"/>
      <c r="BS920" s="131"/>
      <c r="BT920" s="131"/>
      <c r="BU920" s="131"/>
      <c r="BV920" s="131"/>
      <c r="BW920" s="131"/>
      <c r="BX920" s="131"/>
      <c r="BY920" s="131"/>
      <c r="BZ920" s="131"/>
      <c r="CA920" s="131"/>
      <c r="CB920" s="131"/>
      <c r="CC920" s="131"/>
      <c r="CD920" s="131"/>
      <c r="CE920" s="131"/>
      <c r="CF920" s="131"/>
      <c r="CG920" s="131"/>
      <c r="CH920" s="131"/>
    </row>
    <row r="921" ht="18.75" customHeight="1">
      <c r="C921" s="64"/>
      <c r="E921" s="64"/>
      <c r="F921" s="64"/>
      <c r="G921" s="64"/>
      <c r="AH921" s="162"/>
      <c r="AI921" s="162"/>
      <c r="AJ921" s="162"/>
      <c r="AK921" s="162"/>
      <c r="BS921" s="131"/>
      <c r="BT921" s="131"/>
      <c r="BU921" s="131"/>
      <c r="BV921" s="131"/>
      <c r="BW921" s="131"/>
      <c r="BX921" s="131"/>
      <c r="BY921" s="131"/>
      <c r="BZ921" s="131"/>
      <c r="CA921" s="131"/>
      <c r="CB921" s="131"/>
      <c r="CC921" s="131"/>
      <c r="CD921" s="131"/>
      <c r="CE921" s="131"/>
      <c r="CF921" s="131"/>
      <c r="CG921" s="131"/>
      <c r="CH921" s="131"/>
    </row>
    <row r="922" ht="18.75" customHeight="1">
      <c r="C922" s="64"/>
      <c r="E922" s="64"/>
      <c r="F922" s="64"/>
      <c r="G922" s="64"/>
      <c r="AH922" s="162"/>
      <c r="AI922" s="162"/>
      <c r="AJ922" s="162"/>
      <c r="AK922" s="162"/>
      <c r="BS922" s="131"/>
      <c r="BT922" s="131"/>
      <c r="BU922" s="131"/>
      <c r="BV922" s="131"/>
      <c r="BW922" s="131"/>
      <c r="BX922" s="131"/>
      <c r="BY922" s="131"/>
      <c r="BZ922" s="131"/>
      <c r="CA922" s="131"/>
      <c r="CB922" s="131"/>
      <c r="CC922" s="131"/>
      <c r="CD922" s="131"/>
      <c r="CE922" s="131"/>
      <c r="CF922" s="131"/>
      <c r="CG922" s="131"/>
      <c r="CH922" s="131"/>
    </row>
    <row r="923" ht="18.75" customHeight="1">
      <c r="C923" s="64"/>
      <c r="E923" s="64"/>
      <c r="F923" s="64"/>
      <c r="G923" s="64"/>
      <c r="AH923" s="162"/>
      <c r="AI923" s="162"/>
      <c r="AJ923" s="162"/>
      <c r="AK923" s="162"/>
      <c r="BS923" s="131"/>
      <c r="BT923" s="131"/>
      <c r="BU923" s="131"/>
      <c r="BV923" s="131"/>
      <c r="BW923" s="131"/>
      <c r="BX923" s="131"/>
      <c r="BY923" s="131"/>
      <c r="BZ923" s="131"/>
      <c r="CA923" s="131"/>
      <c r="CB923" s="131"/>
      <c r="CC923" s="131"/>
      <c r="CD923" s="131"/>
      <c r="CE923" s="131"/>
      <c r="CF923" s="131"/>
      <c r="CG923" s="131"/>
      <c r="CH923" s="131"/>
    </row>
    <row r="924" ht="18.75" customHeight="1">
      <c r="C924" s="64"/>
      <c r="E924" s="64"/>
      <c r="F924" s="64"/>
      <c r="G924" s="64"/>
      <c r="AH924" s="162"/>
      <c r="AI924" s="162"/>
      <c r="AJ924" s="162"/>
      <c r="AK924" s="162"/>
      <c r="BS924" s="131"/>
      <c r="BT924" s="131"/>
      <c r="BU924" s="131"/>
      <c r="BV924" s="131"/>
      <c r="BW924" s="131"/>
      <c r="BX924" s="131"/>
      <c r="BY924" s="131"/>
      <c r="BZ924" s="131"/>
      <c r="CA924" s="131"/>
      <c r="CB924" s="131"/>
      <c r="CC924" s="131"/>
      <c r="CD924" s="131"/>
      <c r="CE924" s="131"/>
      <c r="CF924" s="131"/>
      <c r="CG924" s="131"/>
      <c r="CH924" s="131"/>
    </row>
    <row r="925" ht="18.75" customHeight="1">
      <c r="C925" s="64"/>
      <c r="E925" s="64"/>
      <c r="F925" s="64"/>
      <c r="G925" s="64"/>
      <c r="AH925" s="162"/>
      <c r="AI925" s="162"/>
      <c r="AJ925" s="162"/>
      <c r="AK925" s="162"/>
      <c r="BS925" s="131"/>
      <c r="BT925" s="131"/>
      <c r="BU925" s="131"/>
      <c r="BV925" s="131"/>
      <c r="BW925" s="131"/>
      <c r="BX925" s="131"/>
      <c r="BY925" s="131"/>
      <c r="BZ925" s="131"/>
      <c r="CA925" s="131"/>
      <c r="CB925" s="131"/>
      <c r="CC925" s="131"/>
      <c r="CD925" s="131"/>
      <c r="CE925" s="131"/>
      <c r="CF925" s="131"/>
      <c r="CG925" s="131"/>
      <c r="CH925" s="131"/>
    </row>
    <row r="926" ht="18.75" customHeight="1">
      <c r="C926" s="64"/>
      <c r="E926" s="64"/>
      <c r="F926" s="64"/>
      <c r="G926" s="64"/>
      <c r="AH926" s="162"/>
      <c r="AI926" s="162"/>
      <c r="AJ926" s="162"/>
      <c r="AK926" s="162"/>
      <c r="BS926" s="131"/>
      <c r="BT926" s="131"/>
      <c r="BU926" s="131"/>
      <c r="BV926" s="131"/>
      <c r="BW926" s="131"/>
      <c r="BX926" s="131"/>
      <c r="BY926" s="131"/>
      <c r="BZ926" s="131"/>
      <c r="CA926" s="131"/>
      <c r="CB926" s="131"/>
      <c r="CC926" s="131"/>
      <c r="CD926" s="131"/>
      <c r="CE926" s="131"/>
      <c r="CF926" s="131"/>
      <c r="CG926" s="131"/>
      <c r="CH926" s="131"/>
    </row>
    <row r="927" ht="18.75" customHeight="1">
      <c r="C927" s="64"/>
      <c r="E927" s="64"/>
      <c r="F927" s="64"/>
      <c r="G927" s="64"/>
      <c r="AH927" s="162"/>
      <c r="AI927" s="162"/>
      <c r="AJ927" s="162"/>
      <c r="AK927" s="162"/>
      <c r="BS927" s="131"/>
      <c r="BT927" s="131"/>
      <c r="BU927" s="131"/>
      <c r="BV927" s="131"/>
      <c r="BW927" s="131"/>
      <c r="BX927" s="131"/>
      <c r="BY927" s="131"/>
      <c r="BZ927" s="131"/>
      <c r="CA927" s="131"/>
      <c r="CB927" s="131"/>
      <c r="CC927" s="131"/>
      <c r="CD927" s="131"/>
      <c r="CE927" s="131"/>
      <c r="CF927" s="131"/>
      <c r="CG927" s="131"/>
      <c r="CH927" s="131"/>
    </row>
    <row r="928" ht="18.75" customHeight="1">
      <c r="C928" s="64"/>
      <c r="E928" s="64"/>
      <c r="F928" s="64"/>
      <c r="G928" s="64"/>
      <c r="AH928" s="162"/>
      <c r="AI928" s="162"/>
      <c r="AJ928" s="162"/>
      <c r="AK928" s="162"/>
      <c r="BS928" s="131"/>
      <c r="BT928" s="131"/>
      <c r="BU928" s="131"/>
      <c r="BV928" s="131"/>
      <c r="BW928" s="131"/>
      <c r="BX928" s="131"/>
      <c r="BY928" s="131"/>
      <c r="BZ928" s="131"/>
      <c r="CA928" s="131"/>
      <c r="CB928" s="131"/>
      <c r="CC928" s="131"/>
      <c r="CD928" s="131"/>
      <c r="CE928" s="131"/>
      <c r="CF928" s="131"/>
      <c r="CG928" s="131"/>
      <c r="CH928" s="131"/>
    </row>
    <row r="929" ht="18.75" customHeight="1">
      <c r="C929" s="64"/>
      <c r="E929" s="64"/>
      <c r="F929" s="64"/>
      <c r="G929" s="64"/>
      <c r="AH929" s="162"/>
      <c r="AI929" s="162"/>
      <c r="AJ929" s="162"/>
      <c r="AK929" s="162"/>
      <c r="BS929" s="131"/>
      <c r="BT929" s="131"/>
      <c r="BU929" s="131"/>
      <c r="BV929" s="131"/>
      <c r="BW929" s="131"/>
      <c r="BX929" s="131"/>
      <c r="BY929" s="131"/>
      <c r="BZ929" s="131"/>
      <c r="CA929" s="131"/>
      <c r="CB929" s="131"/>
      <c r="CC929" s="131"/>
      <c r="CD929" s="131"/>
      <c r="CE929" s="131"/>
      <c r="CF929" s="131"/>
      <c r="CG929" s="131"/>
      <c r="CH929" s="131"/>
    </row>
    <row r="930" ht="18.75" customHeight="1">
      <c r="C930" s="64"/>
      <c r="E930" s="64"/>
      <c r="F930" s="64"/>
      <c r="G930" s="64"/>
      <c r="AH930" s="162"/>
      <c r="AI930" s="162"/>
      <c r="AJ930" s="162"/>
      <c r="AK930" s="162"/>
      <c r="BS930" s="131"/>
      <c r="BT930" s="131"/>
      <c r="BU930" s="131"/>
      <c r="BV930" s="131"/>
      <c r="BW930" s="131"/>
      <c r="BX930" s="131"/>
      <c r="BY930" s="131"/>
      <c r="BZ930" s="131"/>
      <c r="CA930" s="131"/>
      <c r="CB930" s="131"/>
      <c r="CC930" s="131"/>
      <c r="CD930" s="131"/>
      <c r="CE930" s="131"/>
      <c r="CF930" s="131"/>
      <c r="CG930" s="131"/>
      <c r="CH930" s="131"/>
    </row>
    <row r="931" ht="18.75" customHeight="1">
      <c r="C931" s="64"/>
      <c r="E931" s="64"/>
      <c r="F931" s="64"/>
      <c r="G931" s="64"/>
      <c r="AH931" s="162"/>
      <c r="AI931" s="162"/>
      <c r="AJ931" s="162"/>
      <c r="AK931" s="162"/>
      <c r="BS931" s="131"/>
      <c r="BT931" s="131"/>
      <c r="BU931" s="131"/>
      <c r="BV931" s="131"/>
      <c r="BW931" s="131"/>
      <c r="BX931" s="131"/>
      <c r="BY931" s="131"/>
      <c r="BZ931" s="131"/>
      <c r="CA931" s="131"/>
      <c r="CB931" s="131"/>
      <c r="CC931" s="131"/>
      <c r="CD931" s="131"/>
      <c r="CE931" s="131"/>
      <c r="CF931" s="131"/>
      <c r="CG931" s="131"/>
      <c r="CH931" s="131"/>
    </row>
    <row r="932" ht="18.75" customHeight="1">
      <c r="C932" s="64"/>
      <c r="E932" s="64"/>
      <c r="F932" s="64"/>
      <c r="G932" s="64"/>
      <c r="AH932" s="162"/>
      <c r="AI932" s="162"/>
      <c r="AJ932" s="162"/>
      <c r="AK932" s="162"/>
      <c r="BS932" s="131"/>
      <c r="BT932" s="131"/>
      <c r="BU932" s="131"/>
      <c r="BV932" s="131"/>
      <c r="BW932" s="131"/>
      <c r="BX932" s="131"/>
      <c r="BY932" s="131"/>
      <c r="BZ932" s="131"/>
      <c r="CA932" s="131"/>
      <c r="CB932" s="131"/>
      <c r="CC932" s="131"/>
      <c r="CD932" s="131"/>
      <c r="CE932" s="131"/>
      <c r="CF932" s="131"/>
      <c r="CG932" s="131"/>
      <c r="CH932" s="131"/>
    </row>
    <row r="933" ht="18.75" customHeight="1">
      <c r="C933" s="64"/>
      <c r="E933" s="64"/>
      <c r="F933" s="64"/>
      <c r="G933" s="64"/>
      <c r="AH933" s="162"/>
      <c r="AI933" s="162"/>
      <c r="AJ933" s="162"/>
      <c r="AK933" s="162"/>
      <c r="BS933" s="131"/>
      <c r="BT933" s="131"/>
      <c r="BU933" s="131"/>
      <c r="BV933" s="131"/>
      <c r="BW933" s="131"/>
      <c r="BX933" s="131"/>
      <c r="BY933" s="131"/>
      <c r="BZ933" s="131"/>
      <c r="CA933" s="131"/>
      <c r="CB933" s="131"/>
      <c r="CC933" s="131"/>
      <c r="CD933" s="131"/>
      <c r="CE933" s="131"/>
      <c r="CF933" s="131"/>
      <c r="CG933" s="131"/>
      <c r="CH933" s="131"/>
    </row>
    <row r="934" ht="18.75" customHeight="1">
      <c r="C934" s="64"/>
      <c r="E934" s="64"/>
      <c r="F934" s="64"/>
      <c r="G934" s="64"/>
      <c r="AH934" s="162"/>
      <c r="AI934" s="162"/>
      <c r="AJ934" s="162"/>
      <c r="AK934" s="162"/>
      <c r="BS934" s="131"/>
      <c r="BT934" s="131"/>
      <c r="BU934" s="131"/>
      <c r="BV934" s="131"/>
      <c r="BW934" s="131"/>
      <c r="BX934" s="131"/>
      <c r="BY934" s="131"/>
      <c r="BZ934" s="131"/>
      <c r="CA934" s="131"/>
      <c r="CB934" s="131"/>
      <c r="CC934" s="131"/>
      <c r="CD934" s="131"/>
      <c r="CE934" s="131"/>
      <c r="CF934" s="131"/>
      <c r="CG934" s="131"/>
      <c r="CH934" s="131"/>
    </row>
    <row r="935" ht="18.75" customHeight="1">
      <c r="C935" s="64"/>
      <c r="E935" s="64"/>
      <c r="F935" s="64"/>
      <c r="G935" s="64"/>
      <c r="AH935" s="162"/>
      <c r="AI935" s="162"/>
      <c r="AJ935" s="162"/>
      <c r="AK935" s="162"/>
      <c r="BS935" s="131"/>
      <c r="BT935" s="131"/>
      <c r="BU935" s="131"/>
      <c r="BV935" s="131"/>
      <c r="BW935" s="131"/>
      <c r="BX935" s="131"/>
      <c r="BY935" s="131"/>
      <c r="BZ935" s="131"/>
      <c r="CA935" s="131"/>
      <c r="CB935" s="131"/>
      <c r="CC935" s="131"/>
      <c r="CD935" s="131"/>
      <c r="CE935" s="131"/>
      <c r="CF935" s="131"/>
      <c r="CG935" s="131"/>
      <c r="CH935" s="131"/>
    </row>
    <row r="936" ht="18.75" customHeight="1">
      <c r="C936" s="64"/>
      <c r="E936" s="64"/>
      <c r="F936" s="64"/>
      <c r="G936" s="64"/>
      <c r="AH936" s="162"/>
      <c r="AI936" s="162"/>
      <c r="AJ936" s="162"/>
      <c r="AK936" s="162"/>
      <c r="BS936" s="131"/>
      <c r="BT936" s="131"/>
      <c r="BU936" s="131"/>
      <c r="BV936" s="131"/>
      <c r="BW936" s="131"/>
      <c r="BX936" s="131"/>
      <c r="BY936" s="131"/>
      <c r="BZ936" s="131"/>
      <c r="CA936" s="131"/>
      <c r="CB936" s="131"/>
      <c r="CC936" s="131"/>
      <c r="CD936" s="131"/>
      <c r="CE936" s="131"/>
      <c r="CF936" s="131"/>
      <c r="CG936" s="131"/>
      <c r="CH936" s="131"/>
    </row>
    <row r="937" ht="18.75" customHeight="1">
      <c r="C937" s="64"/>
      <c r="E937" s="64"/>
      <c r="F937" s="64"/>
      <c r="G937" s="64"/>
      <c r="AH937" s="162"/>
      <c r="AI937" s="162"/>
      <c r="AJ937" s="162"/>
      <c r="AK937" s="162"/>
      <c r="BS937" s="131"/>
      <c r="BT937" s="131"/>
      <c r="BU937" s="131"/>
      <c r="BV937" s="131"/>
      <c r="BW937" s="131"/>
      <c r="BX937" s="131"/>
      <c r="BY937" s="131"/>
      <c r="BZ937" s="131"/>
      <c r="CA937" s="131"/>
      <c r="CB937" s="131"/>
      <c r="CC937" s="131"/>
      <c r="CD937" s="131"/>
      <c r="CE937" s="131"/>
      <c r="CF937" s="131"/>
      <c r="CG937" s="131"/>
      <c r="CH937" s="131"/>
    </row>
    <row r="938" ht="18.75" customHeight="1">
      <c r="C938" s="64"/>
      <c r="E938" s="64"/>
      <c r="F938" s="64"/>
      <c r="G938" s="64"/>
      <c r="AH938" s="162"/>
      <c r="AI938" s="162"/>
      <c r="AJ938" s="162"/>
      <c r="AK938" s="162"/>
      <c r="BS938" s="131"/>
      <c r="BT938" s="131"/>
      <c r="BU938" s="131"/>
      <c r="BV938" s="131"/>
      <c r="BW938" s="131"/>
      <c r="BX938" s="131"/>
      <c r="BY938" s="131"/>
      <c r="BZ938" s="131"/>
      <c r="CA938" s="131"/>
      <c r="CB938" s="131"/>
      <c r="CC938" s="131"/>
      <c r="CD938" s="131"/>
      <c r="CE938" s="131"/>
      <c r="CF938" s="131"/>
      <c r="CG938" s="131"/>
      <c r="CH938" s="131"/>
    </row>
    <row r="939" ht="18.75" customHeight="1">
      <c r="C939" s="64"/>
      <c r="E939" s="64"/>
      <c r="F939" s="64"/>
      <c r="G939" s="64"/>
      <c r="AH939" s="162"/>
      <c r="AI939" s="162"/>
      <c r="AJ939" s="162"/>
      <c r="AK939" s="162"/>
      <c r="BS939" s="131"/>
      <c r="BT939" s="131"/>
      <c r="BU939" s="131"/>
      <c r="BV939" s="131"/>
      <c r="BW939" s="131"/>
      <c r="BX939" s="131"/>
      <c r="BY939" s="131"/>
      <c r="BZ939" s="131"/>
      <c r="CA939" s="131"/>
      <c r="CB939" s="131"/>
      <c r="CC939" s="131"/>
      <c r="CD939" s="131"/>
      <c r="CE939" s="131"/>
      <c r="CF939" s="131"/>
      <c r="CG939" s="131"/>
      <c r="CH939" s="131"/>
    </row>
    <row r="940" ht="18.75" customHeight="1">
      <c r="C940" s="64"/>
      <c r="E940" s="64"/>
      <c r="F940" s="64"/>
      <c r="G940" s="64"/>
      <c r="AH940" s="162"/>
      <c r="AI940" s="162"/>
      <c r="AJ940" s="162"/>
      <c r="AK940" s="162"/>
      <c r="BS940" s="131"/>
      <c r="BT940" s="131"/>
      <c r="BU940" s="131"/>
      <c r="BV940" s="131"/>
      <c r="BW940" s="131"/>
      <c r="BX940" s="131"/>
      <c r="BY940" s="131"/>
      <c r="BZ940" s="131"/>
      <c r="CA940" s="131"/>
      <c r="CB940" s="131"/>
      <c r="CC940" s="131"/>
      <c r="CD940" s="131"/>
      <c r="CE940" s="131"/>
      <c r="CF940" s="131"/>
      <c r="CG940" s="131"/>
      <c r="CH940" s="131"/>
    </row>
    <row r="941" ht="18.75" customHeight="1">
      <c r="C941" s="64"/>
      <c r="E941" s="64"/>
      <c r="F941" s="64"/>
      <c r="G941" s="64"/>
      <c r="AH941" s="162"/>
      <c r="AI941" s="162"/>
      <c r="AJ941" s="162"/>
      <c r="AK941" s="162"/>
      <c r="BS941" s="131"/>
      <c r="BT941" s="131"/>
      <c r="BU941" s="131"/>
      <c r="BV941" s="131"/>
      <c r="BW941" s="131"/>
      <c r="BX941" s="131"/>
      <c r="BY941" s="131"/>
      <c r="BZ941" s="131"/>
      <c r="CA941" s="131"/>
      <c r="CB941" s="131"/>
      <c r="CC941" s="131"/>
      <c r="CD941" s="131"/>
      <c r="CE941" s="131"/>
      <c r="CF941" s="131"/>
      <c r="CG941" s="131"/>
      <c r="CH941" s="131"/>
    </row>
    <row r="942" ht="18.75" customHeight="1">
      <c r="C942" s="64"/>
      <c r="E942" s="64"/>
      <c r="F942" s="64"/>
      <c r="G942" s="64"/>
      <c r="AH942" s="162"/>
      <c r="AI942" s="162"/>
      <c r="AJ942" s="162"/>
      <c r="AK942" s="162"/>
      <c r="BS942" s="131"/>
      <c r="BT942" s="131"/>
      <c r="BU942" s="131"/>
      <c r="BV942" s="131"/>
      <c r="BW942" s="131"/>
      <c r="BX942" s="131"/>
      <c r="BY942" s="131"/>
      <c r="BZ942" s="131"/>
      <c r="CA942" s="131"/>
      <c r="CB942" s="131"/>
      <c r="CC942" s="131"/>
      <c r="CD942" s="131"/>
      <c r="CE942" s="131"/>
      <c r="CF942" s="131"/>
      <c r="CG942" s="131"/>
      <c r="CH942" s="131"/>
    </row>
    <row r="943" ht="18.75" customHeight="1">
      <c r="C943" s="64"/>
      <c r="E943" s="64"/>
      <c r="F943" s="64"/>
      <c r="G943" s="64"/>
      <c r="AH943" s="162"/>
      <c r="AI943" s="162"/>
      <c r="AJ943" s="162"/>
      <c r="AK943" s="162"/>
      <c r="BS943" s="131"/>
      <c r="BT943" s="131"/>
      <c r="BU943" s="131"/>
      <c r="BV943" s="131"/>
      <c r="BW943" s="131"/>
      <c r="BX943" s="131"/>
      <c r="BY943" s="131"/>
      <c r="BZ943" s="131"/>
      <c r="CA943" s="131"/>
      <c r="CB943" s="131"/>
      <c r="CC943" s="131"/>
      <c r="CD943" s="131"/>
      <c r="CE943" s="131"/>
      <c r="CF943" s="131"/>
      <c r="CG943" s="131"/>
      <c r="CH943" s="131"/>
    </row>
    <row r="944" ht="18.75" customHeight="1">
      <c r="C944" s="64"/>
      <c r="E944" s="64"/>
      <c r="F944" s="64"/>
      <c r="G944" s="64"/>
      <c r="AH944" s="162"/>
      <c r="AI944" s="162"/>
      <c r="AJ944" s="162"/>
      <c r="AK944" s="162"/>
      <c r="BS944" s="131"/>
      <c r="BT944" s="131"/>
      <c r="BU944" s="131"/>
      <c r="BV944" s="131"/>
      <c r="BW944" s="131"/>
      <c r="BX944" s="131"/>
      <c r="BY944" s="131"/>
      <c r="BZ944" s="131"/>
      <c r="CA944" s="131"/>
      <c r="CB944" s="131"/>
      <c r="CC944" s="131"/>
      <c r="CD944" s="131"/>
      <c r="CE944" s="131"/>
      <c r="CF944" s="131"/>
      <c r="CG944" s="131"/>
      <c r="CH944" s="131"/>
    </row>
    <row r="945" ht="18.75" customHeight="1">
      <c r="C945" s="64"/>
      <c r="E945" s="64"/>
      <c r="F945" s="64"/>
      <c r="G945" s="64"/>
      <c r="AH945" s="162"/>
      <c r="AI945" s="162"/>
      <c r="AJ945" s="162"/>
      <c r="AK945" s="162"/>
      <c r="BS945" s="131"/>
      <c r="BT945" s="131"/>
      <c r="BU945" s="131"/>
      <c r="BV945" s="131"/>
      <c r="BW945" s="131"/>
      <c r="BX945" s="131"/>
      <c r="BY945" s="131"/>
      <c r="BZ945" s="131"/>
      <c r="CA945" s="131"/>
      <c r="CB945" s="131"/>
      <c r="CC945" s="131"/>
      <c r="CD945" s="131"/>
      <c r="CE945" s="131"/>
      <c r="CF945" s="131"/>
      <c r="CG945" s="131"/>
      <c r="CH945" s="131"/>
    </row>
    <row r="946" ht="18.75" customHeight="1">
      <c r="C946" s="64"/>
      <c r="E946" s="64"/>
      <c r="F946" s="64"/>
      <c r="G946" s="64"/>
      <c r="AH946" s="162"/>
      <c r="AI946" s="162"/>
      <c r="AJ946" s="162"/>
      <c r="AK946" s="162"/>
      <c r="BS946" s="131"/>
      <c r="BT946" s="131"/>
      <c r="BU946" s="131"/>
      <c r="BV946" s="131"/>
      <c r="BW946" s="131"/>
      <c r="BX946" s="131"/>
      <c r="BY946" s="131"/>
      <c r="BZ946" s="131"/>
      <c r="CA946" s="131"/>
      <c r="CB946" s="131"/>
      <c r="CC946" s="131"/>
      <c r="CD946" s="131"/>
      <c r="CE946" s="131"/>
      <c r="CF946" s="131"/>
      <c r="CG946" s="131"/>
      <c r="CH946" s="131"/>
    </row>
    <row r="947" ht="18.75" customHeight="1">
      <c r="C947" s="64"/>
      <c r="E947" s="64"/>
      <c r="F947" s="64"/>
      <c r="G947" s="64"/>
      <c r="AH947" s="162"/>
      <c r="AI947" s="162"/>
      <c r="AJ947" s="162"/>
      <c r="AK947" s="162"/>
      <c r="BS947" s="131"/>
      <c r="BT947" s="131"/>
      <c r="BU947" s="131"/>
      <c r="BV947" s="131"/>
      <c r="BW947" s="131"/>
      <c r="BX947" s="131"/>
      <c r="BY947" s="131"/>
      <c r="BZ947" s="131"/>
      <c r="CA947" s="131"/>
      <c r="CB947" s="131"/>
      <c r="CC947" s="131"/>
      <c r="CD947" s="131"/>
      <c r="CE947" s="131"/>
      <c r="CF947" s="131"/>
      <c r="CG947" s="131"/>
      <c r="CH947" s="131"/>
    </row>
    <row r="948" ht="18.75" customHeight="1">
      <c r="C948" s="64"/>
      <c r="E948" s="64"/>
      <c r="F948" s="64"/>
      <c r="G948" s="64"/>
      <c r="AH948" s="162"/>
      <c r="AI948" s="162"/>
      <c r="AJ948" s="162"/>
      <c r="AK948" s="162"/>
      <c r="BS948" s="131"/>
      <c r="BT948" s="131"/>
      <c r="BU948" s="131"/>
      <c r="BV948" s="131"/>
      <c r="BW948" s="131"/>
      <c r="BX948" s="131"/>
      <c r="BY948" s="131"/>
      <c r="BZ948" s="131"/>
      <c r="CA948" s="131"/>
      <c r="CB948" s="131"/>
      <c r="CC948" s="131"/>
      <c r="CD948" s="131"/>
      <c r="CE948" s="131"/>
      <c r="CF948" s="131"/>
      <c r="CG948" s="131"/>
      <c r="CH948" s="131"/>
    </row>
    <row r="949" ht="18.75" customHeight="1">
      <c r="C949" s="64"/>
      <c r="E949" s="64"/>
      <c r="F949" s="64"/>
      <c r="G949" s="64"/>
      <c r="AH949" s="162"/>
      <c r="AI949" s="162"/>
      <c r="AJ949" s="162"/>
      <c r="AK949" s="162"/>
      <c r="BS949" s="131"/>
      <c r="BT949" s="131"/>
      <c r="BU949" s="131"/>
      <c r="BV949" s="131"/>
      <c r="BW949" s="131"/>
      <c r="BX949" s="131"/>
      <c r="BY949" s="131"/>
      <c r="BZ949" s="131"/>
      <c r="CA949" s="131"/>
      <c r="CB949" s="131"/>
      <c r="CC949" s="131"/>
      <c r="CD949" s="131"/>
      <c r="CE949" s="131"/>
      <c r="CF949" s="131"/>
      <c r="CG949" s="131"/>
      <c r="CH949" s="131"/>
    </row>
    <row r="950" ht="18.75" customHeight="1">
      <c r="C950" s="64"/>
      <c r="E950" s="64"/>
      <c r="F950" s="64"/>
      <c r="G950" s="64"/>
      <c r="AH950" s="162"/>
      <c r="AI950" s="162"/>
      <c r="AJ950" s="162"/>
      <c r="AK950" s="162"/>
      <c r="BS950" s="131"/>
      <c r="BT950" s="131"/>
      <c r="BU950" s="131"/>
      <c r="BV950" s="131"/>
      <c r="BW950" s="131"/>
      <c r="BX950" s="131"/>
      <c r="BY950" s="131"/>
      <c r="BZ950" s="131"/>
      <c r="CA950" s="131"/>
      <c r="CB950" s="131"/>
      <c r="CC950" s="131"/>
      <c r="CD950" s="131"/>
      <c r="CE950" s="131"/>
      <c r="CF950" s="131"/>
      <c r="CG950" s="131"/>
      <c r="CH950" s="131"/>
    </row>
    <row r="951" ht="18.75" customHeight="1">
      <c r="C951" s="64"/>
      <c r="E951" s="64"/>
      <c r="F951" s="64"/>
      <c r="G951" s="64"/>
      <c r="AH951" s="162"/>
      <c r="AI951" s="162"/>
      <c r="AJ951" s="162"/>
      <c r="AK951" s="162"/>
      <c r="BS951" s="131"/>
      <c r="BT951" s="131"/>
      <c r="BU951" s="131"/>
      <c r="BV951" s="131"/>
      <c r="BW951" s="131"/>
      <c r="BX951" s="131"/>
      <c r="BY951" s="131"/>
      <c r="BZ951" s="131"/>
      <c r="CA951" s="131"/>
      <c r="CB951" s="131"/>
      <c r="CC951" s="131"/>
      <c r="CD951" s="131"/>
      <c r="CE951" s="131"/>
      <c r="CF951" s="131"/>
      <c r="CG951" s="131"/>
      <c r="CH951" s="131"/>
    </row>
    <row r="952" ht="18.75" customHeight="1">
      <c r="C952" s="64"/>
      <c r="E952" s="64"/>
      <c r="F952" s="64"/>
      <c r="G952" s="64"/>
      <c r="AH952" s="162"/>
      <c r="AI952" s="162"/>
      <c r="AJ952" s="162"/>
      <c r="AK952" s="162"/>
      <c r="BS952" s="131"/>
      <c r="BT952" s="131"/>
      <c r="BU952" s="131"/>
      <c r="BV952" s="131"/>
      <c r="BW952" s="131"/>
      <c r="BX952" s="131"/>
      <c r="BY952" s="131"/>
      <c r="BZ952" s="131"/>
      <c r="CA952" s="131"/>
      <c r="CB952" s="131"/>
      <c r="CC952" s="131"/>
      <c r="CD952" s="131"/>
      <c r="CE952" s="131"/>
      <c r="CF952" s="131"/>
      <c r="CG952" s="131"/>
      <c r="CH952" s="131"/>
    </row>
    <row r="953" ht="18.75" customHeight="1">
      <c r="C953" s="64"/>
      <c r="E953" s="64"/>
      <c r="F953" s="64"/>
      <c r="G953" s="64"/>
      <c r="AH953" s="162"/>
      <c r="AI953" s="162"/>
      <c r="AJ953" s="162"/>
      <c r="AK953" s="162"/>
      <c r="BS953" s="131"/>
      <c r="BT953" s="131"/>
      <c r="BU953" s="131"/>
      <c r="BV953" s="131"/>
      <c r="BW953" s="131"/>
      <c r="BX953" s="131"/>
      <c r="BY953" s="131"/>
      <c r="BZ953" s="131"/>
      <c r="CA953" s="131"/>
      <c r="CB953" s="131"/>
      <c r="CC953" s="131"/>
      <c r="CD953" s="131"/>
      <c r="CE953" s="131"/>
      <c r="CF953" s="131"/>
      <c r="CG953" s="131"/>
      <c r="CH953" s="131"/>
    </row>
    <row r="954" ht="18.75" customHeight="1">
      <c r="C954" s="64"/>
      <c r="E954" s="64"/>
      <c r="F954" s="64"/>
      <c r="G954" s="64"/>
      <c r="AH954" s="162"/>
      <c r="AI954" s="162"/>
      <c r="AJ954" s="162"/>
      <c r="AK954" s="162"/>
      <c r="BS954" s="131"/>
      <c r="BT954" s="131"/>
      <c r="BU954" s="131"/>
      <c r="BV954" s="131"/>
      <c r="BW954" s="131"/>
      <c r="BX954" s="131"/>
      <c r="BY954" s="131"/>
      <c r="BZ954" s="131"/>
      <c r="CA954" s="131"/>
      <c r="CB954" s="131"/>
      <c r="CC954" s="131"/>
      <c r="CD954" s="131"/>
      <c r="CE954" s="131"/>
      <c r="CF954" s="131"/>
      <c r="CG954" s="131"/>
      <c r="CH954" s="131"/>
    </row>
    <row r="955" ht="18.75" customHeight="1">
      <c r="C955" s="64"/>
      <c r="E955" s="64"/>
      <c r="F955" s="64"/>
      <c r="G955" s="64"/>
      <c r="AH955" s="162"/>
      <c r="AI955" s="162"/>
      <c r="AJ955" s="162"/>
      <c r="AK955" s="162"/>
      <c r="BS955" s="131"/>
      <c r="BT955" s="131"/>
      <c r="BU955" s="131"/>
      <c r="BV955" s="131"/>
      <c r="BW955" s="131"/>
      <c r="BX955" s="131"/>
      <c r="BY955" s="131"/>
      <c r="BZ955" s="131"/>
      <c r="CA955" s="131"/>
      <c r="CB955" s="131"/>
      <c r="CC955" s="131"/>
      <c r="CD955" s="131"/>
      <c r="CE955" s="131"/>
      <c r="CF955" s="131"/>
      <c r="CG955" s="131"/>
      <c r="CH955" s="131"/>
    </row>
    <row r="956" ht="18.75" customHeight="1">
      <c r="C956" s="64"/>
      <c r="E956" s="64"/>
      <c r="F956" s="64"/>
      <c r="G956" s="64"/>
      <c r="AH956" s="162"/>
      <c r="AI956" s="162"/>
      <c r="AJ956" s="162"/>
      <c r="AK956" s="162"/>
      <c r="BS956" s="131"/>
      <c r="BT956" s="131"/>
      <c r="BU956" s="131"/>
      <c r="BV956" s="131"/>
      <c r="BW956" s="131"/>
      <c r="BX956" s="131"/>
      <c r="BY956" s="131"/>
      <c r="BZ956" s="131"/>
      <c r="CA956" s="131"/>
      <c r="CB956" s="131"/>
      <c r="CC956" s="131"/>
      <c r="CD956" s="131"/>
      <c r="CE956" s="131"/>
      <c r="CF956" s="131"/>
      <c r="CG956" s="131"/>
      <c r="CH956" s="131"/>
    </row>
    <row r="957" ht="18.75" customHeight="1">
      <c r="C957" s="64"/>
      <c r="E957" s="64"/>
      <c r="F957" s="64"/>
      <c r="G957" s="64"/>
      <c r="AH957" s="162"/>
      <c r="AI957" s="162"/>
      <c r="AJ957" s="162"/>
      <c r="AK957" s="162"/>
      <c r="BS957" s="131"/>
      <c r="BT957" s="131"/>
      <c r="BU957" s="131"/>
      <c r="BV957" s="131"/>
      <c r="BW957" s="131"/>
      <c r="BX957" s="131"/>
      <c r="BY957" s="131"/>
      <c r="BZ957" s="131"/>
      <c r="CA957" s="131"/>
      <c r="CB957" s="131"/>
      <c r="CC957" s="131"/>
      <c r="CD957" s="131"/>
      <c r="CE957" s="131"/>
      <c r="CF957" s="131"/>
      <c r="CG957" s="131"/>
      <c r="CH957" s="131"/>
    </row>
    <row r="958" ht="18.75" customHeight="1">
      <c r="C958" s="64"/>
      <c r="E958" s="64"/>
      <c r="F958" s="64"/>
      <c r="G958" s="64"/>
      <c r="AH958" s="162"/>
      <c r="AI958" s="162"/>
      <c r="AJ958" s="162"/>
      <c r="AK958" s="162"/>
      <c r="BS958" s="131"/>
      <c r="BT958" s="131"/>
      <c r="BU958" s="131"/>
      <c r="BV958" s="131"/>
      <c r="BW958" s="131"/>
      <c r="BX958" s="131"/>
      <c r="BY958" s="131"/>
      <c r="BZ958" s="131"/>
      <c r="CA958" s="131"/>
      <c r="CB958" s="131"/>
      <c r="CC958" s="131"/>
      <c r="CD958" s="131"/>
      <c r="CE958" s="131"/>
      <c r="CF958" s="131"/>
      <c r="CG958" s="131"/>
      <c r="CH958" s="131"/>
    </row>
    <row r="959" ht="18.75" customHeight="1">
      <c r="C959" s="64"/>
      <c r="E959" s="64"/>
      <c r="F959" s="64"/>
      <c r="G959" s="64"/>
      <c r="AH959" s="162"/>
      <c r="AI959" s="162"/>
      <c r="AJ959" s="162"/>
      <c r="AK959" s="162"/>
      <c r="BS959" s="131"/>
      <c r="BT959" s="131"/>
      <c r="BU959" s="131"/>
      <c r="BV959" s="131"/>
      <c r="BW959" s="131"/>
      <c r="BX959" s="131"/>
      <c r="BY959" s="131"/>
      <c r="BZ959" s="131"/>
      <c r="CA959" s="131"/>
      <c r="CB959" s="131"/>
      <c r="CC959" s="131"/>
      <c r="CD959" s="131"/>
      <c r="CE959" s="131"/>
      <c r="CF959" s="131"/>
      <c r="CG959" s="131"/>
      <c r="CH959" s="131"/>
    </row>
    <row r="960" ht="18.75" customHeight="1">
      <c r="C960" s="64"/>
      <c r="E960" s="64"/>
      <c r="F960" s="64"/>
      <c r="G960" s="64"/>
      <c r="AH960" s="162"/>
      <c r="AI960" s="162"/>
      <c r="AJ960" s="162"/>
      <c r="AK960" s="162"/>
      <c r="BS960" s="131"/>
      <c r="BT960" s="131"/>
      <c r="BU960" s="131"/>
      <c r="BV960" s="131"/>
      <c r="BW960" s="131"/>
      <c r="BX960" s="131"/>
      <c r="BY960" s="131"/>
      <c r="BZ960" s="131"/>
      <c r="CA960" s="131"/>
      <c r="CB960" s="131"/>
      <c r="CC960" s="131"/>
      <c r="CD960" s="131"/>
      <c r="CE960" s="131"/>
      <c r="CF960" s="131"/>
      <c r="CG960" s="131"/>
      <c r="CH960" s="131"/>
    </row>
    <row r="961" ht="18.75" customHeight="1">
      <c r="C961" s="64"/>
      <c r="E961" s="64"/>
      <c r="F961" s="64"/>
      <c r="G961" s="64"/>
      <c r="AH961" s="162"/>
      <c r="AI961" s="162"/>
      <c r="AJ961" s="162"/>
      <c r="AK961" s="162"/>
      <c r="BS961" s="131"/>
      <c r="BT961" s="131"/>
      <c r="BU961" s="131"/>
      <c r="BV961" s="131"/>
      <c r="BW961" s="131"/>
      <c r="BX961" s="131"/>
      <c r="BY961" s="131"/>
      <c r="BZ961" s="131"/>
      <c r="CA961" s="131"/>
      <c r="CB961" s="131"/>
      <c r="CC961" s="131"/>
      <c r="CD961" s="131"/>
      <c r="CE961" s="131"/>
      <c r="CF961" s="131"/>
      <c r="CG961" s="131"/>
      <c r="CH961" s="131"/>
    </row>
    <row r="962" ht="18.75" customHeight="1">
      <c r="C962" s="64"/>
      <c r="E962" s="64"/>
      <c r="F962" s="64"/>
      <c r="G962" s="64"/>
      <c r="AH962" s="162"/>
      <c r="AI962" s="162"/>
      <c r="AJ962" s="162"/>
      <c r="AK962" s="162"/>
      <c r="BS962" s="131"/>
      <c r="BT962" s="131"/>
      <c r="BU962" s="131"/>
      <c r="BV962" s="131"/>
      <c r="BW962" s="131"/>
      <c r="BX962" s="131"/>
      <c r="BY962" s="131"/>
      <c r="BZ962" s="131"/>
      <c r="CA962" s="131"/>
      <c r="CB962" s="131"/>
      <c r="CC962" s="131"/>
      <c r="CD962" s="131"/>
      <c r="CE962" s="131"/>
      <c r="CF962" s="131"/>
      <c r="CG962" s="131"/>
      <c r="CH962" s="131"/>
    </row>
    <row r="963" ht="18.75" customHeight="1">
      <c r="C963" s="64"/>
      <c r="E963" s="64"/>
      <c r="F963" s="64"/>
      <c r="G963" s="64"/>
      <c r="AH963" s="162"/>
      <c r="AI963" s="162"/>
      <c r="AJ963" s="162"/>
      <c r="AK963" s="162"/>
      <c r="BS963" s="131"/>
      <c r="BT963" s="131"/>
      <c r="BU963" s="131"/>
      <c r="BV963" s="131"/>
      <c r="BW963" s="131"/>
      <c r="BX963" s="131"/>
      <c r="BY963" s="131"/>
      <c r="BZ963" s="131"/>
      <c r="CA963" s="131"/>
      <c r="CB963" s="131"/>
      <c r="CC963" s="131"/>
      <c r="CD963" s="131"/>
      <c r="CE963" s="131"/>
      <c r="CF963" s="131"/>
      <c r="CG963" s="131"/>
      <c r="CH963" s="131"/>
    </row>
    <row r="964" ht="18.75" customHeight="1">
      <c r="C964" s="64"/>
      <c r="E964" s="64"/>
      <c r="F964" s="64"/>
      <c r="G964" s="64"/>
      <c r="AH964" s="162"/>
      <c r="AI964" s="162"/>
      <c r="AJ964" s="162"/>
      <c r="AK964" s="162"/>
      <c r="BS964" s="131"/>
      <c r="BT964" s="131"/>
      <c r="BU964" s="131"/>
      <c r="BV964" s="131"/>
      <c r="BW964" s="131"/>
      <c r="BX964" s="131"/>
      <c r="BY964" s="131"/>
      <c r="BZ964" s="131"/>
      <c r="CA964" s="131"/>
      <c r="CB964" s="131"/>
      <c r="CC964" s="131"/>
      <c r="CD964" s="131"/>
      <c r="CE964" s="131"/>
      <c r="CF964" s="131"/>
      <c r="CG964" s="131"/>
      <c r="CH964" s="131"/>
    </row>
    <row r="965" ht="18.75" customHeight="1">
      <c r="C965" s="64"/>
      <c r="E965" s="64"/>
      <c r="F965" s="64"/>
      <c r="G965" s="64"/>
      <c r="AH965" s="162"/>
      <c r="AI965" s="162"/>
      <c r="AJ965" s="162"/>
      <c r="AK965" s="162"/>
      <c r="BS965" s="131"/>
      <c r="BT965" s="131"/>
      <c r="BU965" s="131"/>
      <c r="BV965" s="131"/>
      <c r="BW965" s="131"/>
      <c r="BX965" s="131"/>
      <c r="BY965" s="131"/>
      <c r="BZ965" s="131"/>
      <c r="CA965" s="131"/>
      <c r="CB965" s="131"/>
      <c r="CC965" s="131"/>
      <c r="CD965" s="131"/>
      <c r="CE965" s="131"/>
      <c r="CF965" s="131"/>
      <c r="CG965" s="131"/>
      <c r="CH965" s="131"/>
    </row>
    <row r="966" ht="18.75" customHeight="1">
      <c r="C966" s="64"/>
      <c r="E966" s="64"/>
      <c r="F966" s="64"/>
      <c r="G966" s="64"/>
      <c r="AH966" s="162"/>
      <c r="AI966" s="162"/>
      <c r="AJ966" s="162"/>
      <c r="AK966" s="162"/>
      <c r="BS966" s="131"/>
      <c r="BT966" s="131"/>
      <c r="BU966" s="131"/>
      <c r="BV966" s="131"/>
      <c r="BW966" s="131"/>
      <c r="BX966" s="131"/>
      <c r="BY966" s="131"/>
      <c r="BZ966" s="131"/>
      <c r="CA966" s="131"/>
      <c r="CB966" s="131"/>
      <c r="CC966" s="131"/>
      <c r="CD966" s="131"/>
      <c r="CE966" s="131"/>
      <c r="CF966" s="131"/>
      <c r="CG966" s="131"/>
      <c r="CH966" s="131"/>
    </row>
    <row r="967" ht="18.75" customHeight="1">
      <c r="C967" s="64"/>
      <c r="E967" s="64"/>
      <c r="F967" s="64"/>
      <c r="G967" s="64"/>
      <c r="AH967" s="162"/>
      <c r="AI967" s="162"/>
      <c r="AJ967" s="162"/>
      <c r="AK967" s="162"/>
      <c r="BS967" s="131"/>
      <c r="BT967" s="131"/>
      <c r="BU967" s="131"/>
      <c r="BV967" s="131"/>
      <c r="BW967" s="131"/>
      <c r="BX967" s="131"/>
      <c r="BY967" s="131"/>
      <c r="BZ967" s="131"/>
      <c r="CA967" s="131"/>
      <c r="CB967" s="131"/>
      <c r="CC967" s="131"/>
      <c r="CD967" s="131"/>
      <c r="CE967" s="131"/>
      <c r="CF967" s="131"/>
      <c r="CG967" s="131"/>
      <c r="CH967" s="131"/>
    </row>
    <row r="968" ht="18.75" customHeight="1">
      <c r="C968" s="64"/>
      <c r="E968" s="64"/>
      <c r="F968" s="64"/>
      <c r="G968" s="64"/>
      <c r="AH968" s="162"/>
      <c r="AI968" s="162"/>
      <c r="AJ968" s="162"/>
      <c r="AK968" s="162"/>
      <c r="BS968" s="131"/>
      <c r="BT968" s="131"/>
      <c r="BU968" s="131"/>
      <c r="BV968" s="131"/>
      <c r="BW968" s="131"/>
      <c r="BX968" s="131"/>
      <c r="BY968" s="131"/>
      <c r="BZ968" s="131"/>
      <c r="CA968" s="131"/>
      <c r="CB968" s="131"/>
      <c r="CC968" s="131"/>
      <c r="CD968" s="131"/>
      <c r="CE968" s="131"/>
      <c r="CF968" s="131"/>
      <c r="CG968" s="131"/>
      <c r="CH968" s="131"/>
    </row>
    <row r="969" ht="18.75" customHeight="1">
      <c r="C969" s="64"/>
      <c r="E969" s="64"/>
      <c r="F969" s="64"/>
      <c r="G969" s="64"/>
      <c r="AH969" s="162"/>
      <c r="AI969" s="162"/>
      <c r="AJ969" s="162"/>
      <c r="AK969" s="162"/>
      <c r="BS969" s="131"/>
      <c r="BT969" s="131"/>
      <c r="BU969" s="131"/>
      <c r="BV969" s="131"/>
      <c r="BW969" s="131"/>
      <c r="BX969" s="131"/>
      <c r="BY969" s="131"/>
      <c r="BZ969" s="131"/>
      <c r="CA969" s="131"/>
      <c r="CB969" s="131"/>
      <c r="CC969" s="131"/>
      <c r="CD969" s="131"/>
      <c r="CE969" s="131"/>
      <c r="CF969" s="131"/>
      <c r="CG969" s="131"/>
      <c r="CH969" s="131"/>
    </row>
    <row r="970" ht="18.75" customHeight="1">
      <c r="C970" s="64"/>
      <c r="E970" s="64"/>
      <c r="F970" s="64"/>
      <c r="G970" s="64"/>
      <c r="AH970" s="162"/>
      <c r="AI970" s="162"/>
      <c r="AJ970" s="162"/>
      <c r="AK970" s="162"/>
      <c r="BS970" s="131"/>
      <c r="BT970" s="131"/>
      <c r="BU970" s="131"/>
      <c r="BV970" s="131"/>
      <c r="BW970" s="131"/>
      <c r="BX970" s="131"/>
      <c r="BY970" s="131"/>
      <c r="BZ970" s="131"/>
      <c r="CA970" s="131"/>
      <c r="CB970" s="131"/>
      <c r="CC970" s="131"/>
      <c r="CD970" s="131"/>
      <c r="CE970" s="131"/>
      <c r="CF970" s="131"/>
      <c r="CG970" s="131"/>
      <c r="CH970" s="131"/>
    </row>
    <row r="971" ht="18.75" customHeight="1">
      <c r="C971" s="64"/>
      <c r="E971" s="64"/>
      <c r="F971" s="64"/>
      <c r="G971" s="64"/>
      <c r="AH971" s="162"/>
      <c r="AI971" s="162"/>
      <c r="AJ971" s="162"/>
      <c r="AK971" s="162"/>
      <c r="BS971" s="131"/>
      <c r="BT971" s="131"/>
      <c r="BU971" s="131"/>
      <c r="BV971" s="131"/>
      <c r="BW971" s="131"/>
      <c r="BX971" s="131"/>
      <c r="BY971" s="131"/>
      <c r="BZ971" s="131"/>
      <c r="CA971" s="131"/>
      <c r="CB971" s="131"/>
      <c r="CC971" s="131"/>
      <c r="CD971" s="131"/>
      <c r="CE971" s="131"/>
      <c r="CF971" s="131"/>
      <c r="CG971" s="131"/>
      <c r="CH971" s="131"/>
    </row>
    <row r="972" ht="18.75" customHeight="1">
      <c r="C972" s="64"/>
      <c r="E972" s="64"/>
      <c r="F972" s="64"/>
      <c r="G972" s="64"/>
      <c r="AH972" s="162"/>
      <c r="AI972" s="162"/>
      <c r="AJ972" s="162"/>
      <c r="AK972" s="162"/>
      <c r="BS972" s="131"/>
      <c r="BT972" s="131"/>
      <c r="BU972" s="131"/>
      <c r="BV972" s="131"/>
      <c r="BW972" s="131"/>
      <c r="BX972" s="131"/>
      <c r="BY972" s="131"/>
      <c r="BZ972" s="131"/>
      <c r="CA972" s="131"/>
      <c r="CB972" s="131"/>
      <c r="CC972" s="131"/>
      <c r="CD972" s="131"/>
      <c r="CE972" s="131"/>
      <c r="CF972" s="131"/>
      <c r="CG972" s="131"/>
      <c r="CH972" s="131"/>
    </row>
    <row r="973" ht="18.75" customHeight="1">
      <c r="C973" s="64"/>
      <c r="E973" s="64"/>
      <c r="F973" s="64"/>
      <c r="G973" s="64"/>
      <c r="AH973" s="162"/>
      <c r="AI973" s="162"/>
      <c r="AJ973" s="162"/>
      <c r="AK973" s="162"/>
      <c r="BS973" s="131"/>
      <c r="BT973" s="131"/>
      <c r="BU973" s="131"/>
      <c r="BV973" s="131"/>
      <c r="BW973" s="131"/>
      <c r="BX973" s="131"/>
      <c r="BY973" s="131"/>
      <c r="BZ973" s="131"/>
      <c r="CA973" s="131"/>
      <c r="CB973" s="131"/>
      <c r="CC973" s="131"/>
      <c r="CD973" s="131"/>
      <c r="CE973" s="131"/>
      <c r="CF973" s="131"/>
      <c r="CG973" s="131"/>
      <c r="CH973" s="131"/>
    </row>
    <row r="974" ht="18.75" customHeight="1">
      <c r="C974" s="64"/>
      <c r="E974" s="64"/>
      <c r="F974" s="64"/>
      <c r="G974" s="64"/>
      <c r="AH974" s="162"/>
      <c r="AI974" s="162"/>
      <c r="AJ974" s="162"/>
      <c r="AK974" s="162"/>
      <c r="BS974" s="131"/>
      <c r="BT974" s="131"/>
      <c r="BU974" s="131"/>
      <c r="BV974" s="131"/>
      <c r="BW974" s="131"/>
      <c r="BX974" s="131"/>
      <c r="BY974" s="131"/>
      <c r="BZ974" s="131"/>
      <c r="CA974" s="131"/>
      <c r="CB974" s="131"/>
      <c r="CC974" s="131"/>
      <c r="CD974" s="131"/>
      <c r="CE974" s="131"/>
      <c r="CF974" s="131"/>
      <c r="CG974" s="131"/>
      <c r="CH974" s="131"/>
    </row>
    <row r="975" ht="18.75" customHeight="1">
      <c r="C975" s="64"/>
      <c r="E975" s="64"/>
      <c r="F975" s="64"/>
      <c r="G975" s="64"/>
      <c r="AH975" s="162"/>
      <c r="AI975" s="162"/>
      <c r="AJ975" s="162"/>
      <c r="AK975" s="162"/>
      <c r="BS975" s="131"/>
      <c r="BT975" s="131"/>
      <c r="BU975" s="131"/>
      <c r="BV975" s="131"/>
      <c r="BW975" s="131"/>
      <c r="BX975" s="131"/>
      <c r="BY975" s="131"/>
      <c r="BZ975" s="131"/>
      <c r="CA975" s="131"/>
      <c r="CB975" s="131"/>
      <c r="CC975" s="131"/>
      <c r="CD975" s="131"/>
      <c r="CE975" s="131"/>
      <c r="CF975" s="131"/>
      <c r="CG975" s="131"/>
      <c r="CH975" s="131"/>
    </row>
    <row r="976" ht="18.75" customHeight="1">
      <c r="C976" s="64"/>
      <c r="E976" s="64"/>
      <c r="F976" s="64"/>
      <c r="G976" s="64"/>
      <c r="AH976" s="162"/>
      <c r="AI976" s="162"/>
      <c r="AJ976" s="162"/>
      <c r="AK976" s="162"/>
      <c r="BS976" s="131"/>
      <c r="BT976" s="131"/>
      <c r="BU976" s="131"/>
      <c r="BV976" s="131"/>
      <c r="BW976" s="131"/>
      <c r="BX976" s="131"/>
      <c r="BY976" s="131"/>
      <c r="BZ976" s="131"/>
      <c r="CA976" s="131"/>
      <c r="CB976" s="131"/>
      <c r="CC976" s="131"/>
      <c r="CD976" s="131"/>
      <c r="CE976" s="131"/>
      <c r="CF976" s="131"/>
      <c r="CG976" s="131"/>
      <c r="CH976" s="131"/>
    </row>
    <row r="977" ht="18.75" customHeight="1">
      <c r="C977" s="64"/>
      <c r="E977" s="64"/>
      <c r="F977" s="64"/>
      <c r="G977" s="64"/>
      <c r="AH977" s="162"/>
      <c r="AI977" s="162"/>
      <c r="AJ977" s="162"/>
      <c r="AK977" s="162"/>
      <c r="BS977" s="131"/>
      <c r="BT977" s="131"/>
      <c r="BU977" s="131"/>
      <c r="BV977" s="131"/>
      <c r="BW977" s="131"/>
      <c r="BX977" s="131"/>
      <c r="BY977" s="131"/>
      <c r="BZ977" s="131"/>
      <c r="CA977" s="131"/>
      <c r="CB977" s="131"/>
      <c r="CC977" s="131"/>
      <c r="CD977" s="131"/>
      <c r="CE977" s="131"/>
      <c r="CF977" s="131"/>
      <c r="CG977" s="131"/>
      <c r="CH977" s="131"/>
    </row>
    <row r="978" ht="18.75" customHeight="1">
      <c r="C978" s="64"/>
      <c r="E978" s="64"/>
      <c r="F978" s="64"/>
      <c r="G978" s="64"/>
      <c r="AH978" s="162"/>
      <c r="AI978" s="162"/>
      <c r="AJ978" s="162"/>
      <c r="AK978" s="162"/>
      <c r="BS978" s="131"/>
      <c r="BT978" s="131"/>
      <c r="BU978" s="131"/>
      <c r="BV978" s="131"/>
      <c r="BW978" s="131"/>
      <c r="BX978" s="131"/>
      <c r="BY978" s="131"/>
      <c r="BZ978" s="131"/>
      <c r="CA978" s="131"/>
      <c r="CB978" s="131"/>
      <c r="CC978" s="131"/>
      <c r="CD978" s="131"/>
      <c r="CE978" s="131"/>
      <c r="CF978" s="131"/>
      <c r="CG978" s="131"/>
      <c r="CH978" s="131"/>
    </row>
    <row r="979" ht="18.75" customHeight="1">
      <c r="C979" s="64"/>
      <c r="E979" s="64"/>
      <c r="F979" s="64"/>
      <c r="G979" s="64"/>
      <c r="AH979" s="162"/>
      <c r="AI979" s="162"/>
      <c r="AJ979" s="162"/>
      <c r="AK979" s="162"/>
      <c r="BS979" s="131"/>
      <c r="BT979" s="131"/>
      <c r="BU979" s="131"/>
      <c r="BV979" s="131"/>
      <c r="BW979" s="131"/>
      <c r="BX979" s="131"/>
      <c r="BY979" s="131"/>
      <c r="BZ979" s="131"/>
      <c r="CA979" s="131"/>
      <c r="CB979" s="131"/>
      <c r="CC979" s="131"/>
      <c r="CD979" s="131"/>
      <c r="CE979" s="131"/>
      <c r="CF979" s="131"/>
      <c r="CG979" s="131"/>
      <c r="CH979" s="131"/>
    </row>
    <row r="980" ht="18.75" customHeight="1">
      <c r="C980" s="64"/>
      <c r="E980" s="64"/>
      <c r="F980" s="64"/>
      <c r="G980" s="64"/>
      <c r="AH980" s="162"/>
      <c r="AI980" s="162"/>
      <c r="AJ980" s="162"/>
      <c r="AK980" s="162"/>
      <c r="BS980" s="131"/>
      <c r="BT980" s="131"/>
      <c r="BU980" s="131"/>
      <c r="BV980" s="131"/>
      <c r="BW980" s="131"/>
      <c r="BX980" s="131"/>
      <c r="BY980" s="131"/>
      <c r="BZ980" s="131"/>
      <c r="CA980" s="131"/>
      <c r="CB980" s="131"/>
      <c r="CC980" s="131"/>
      <c r="CD980" s="131"/>
      <c r="CE980" s="131"/>
      <c r="CF980" s="131"/>
      <c r="CG980" s="131"/>
      <c r="CH980" s="131"/>
    </row>
    <row r="981" ht="18.75" customHeight="1">
      <c r="C981" s="64"/>
      <c r="E981" s="64"/>
      <c r="F981" s="64"/>
      <c r="G981" s="64"/>
      <c r="AH981" s="162"/>
      <c r="AI981" s="162"/>
      <c r="AJ981" s="162"/>
      <c r="AK981" s="162"/>
      <c r="BS981" s="131"/>
      <c r="BT981" s="131"/>
      <c r="BU981" s="131"/>
      <c r="BV981" s="131"/>
      <c r="BW981" s="131"/>
      <c r="BX981" s="131"/>
      <c r="BY981" s="131"/>
      <c r="BZ981" s="131"/>
      <c r="CA981" s="131"/>
      <c r="CB981" s="131"/>
      <c r="CC981" s="131"/>
      <c r="CD981" s="131"/>
      <c r="CE981" s="131"/>
      <c r="CF981" s="131"/>
      <c r="CG981" s="131"/>
      <c r="CH981" s="131"/>
    </row>
    <row r="982" ht="18.75" customHeight="1">
      <c r="C982" s="64"/>
      <c r="E982" s="64"/>
      <c r="F982" s="64"/>
      <c r="G982" s="64"/>
      <c r="AH982" s="162"/>
      <c r="AI982" s="162"/>
      <c r="AJ982" s="162"/>
      <c r="AK982" s="162"/>
      <c r="BS982" s="131"/>
      <c r="BT982" s="131"/>
      <c r="BU982" s="131"/>
      <c r="BV982" s="131"/>
      <c r="BW982" s="131"/>
      <c r="BX982" s="131"/>
      <c r="BY982" s="131"/>
      <c r="BZ982" s="131"/>
      <c r="CA982" s="131"/>
      <c r="CB982" s="131"/>
      <c r="CC982" s="131"/>
      <c r="CD982" s="131"/>
      <c r="CE982" s="131"/>
      <c r="CF982" s="131"/>
      <c r="CG982" s="131"/>
      <c r="CH982" s="131"/>
    </row>
    <row r="983" ht="18.75" customHeight="1">
      <c r="C983" s="64"/>
      <c r="E983" s="64"/>
      <c r="F983" s="64"/>
      <c r="G983" s="64"/>
      <c r="AH983" s="162"/>
      <c r="AI983" s="162"/>
      <c r="AJ983" s="162"/>
      <c r="AK983" s="162"/>
      <c r="BS983" s="131"/>
      <c r="BT983" s="131"/>
      <c r="BU983" s="131"/>
      <c r="BV983" s="131"/>
      <c r="BW983" s="131"/>
      <c r="BX983" s="131"/>
      <c r="BY983" s="131"/>
      <c r="BZ983" s="131"/>
      <c r="CA983" s="131"/>
      <c r="CB983" s="131"/>
      <c r="CC983" s="131"/>
      <c r="CD983" s="131"/>
      <c r="CE983" s="131"/>
      <c r="CF983" s="131"/>
      <c r="CG983" s="131"/>
      <c r="CH983" s="131"/>
    </row>
    <row r="984" ht="18.75" customHeight="1">
      <c r="C984" s="64"/>
      <c r="E984" s="64"/>
      <c r="F984" s="64"/>
      <c r="G984" s="64"/>
      <c r="AH984" s="162"/>
      <c r="AI984" s="162"/>
      <c r="AJ984" s="162"/>
      <c r="AK984" s="162"/>
      <c r="BS984" s="131"/>
      <c r="BT984" s="131"/>
      <c r="BU984" s="131"/>
      <c r="BV984" s="131"/>
      <c r="BW984" s="131"/>
      <c r="BX984" s="131"/>
      <c r="BY984" s="131"/>
      <c r="BZ984" s="131"/>
      <c r="CA984" s="131"/>
      <c r="CB984" s="131"/>
      <c r="CC984" s="131"/>
      <c r="CD984" s="131"/>
      <c r="CE984" s="131"/>
      <c r="CF984" s="131"/>
      <c r="CG984" s="131"/>
      <c r="CH984" s="131"/>
    </row>
    <row r="985" ht="18.75" customHeight="1">
      <c r="C985" s="64"/>
      <c r="E985" s="64"/>
      <c r="F985" s="64"/>
      <c r="G985" s="64"/>
      <c r="AH985" s="162"/>
      <c r="AI985" s="162"/>
      <c r="AJ985" s="162"/>
      <c r="AK985" s="162"/>
      <c r="BS985" s="131"/>
      <c r="BT985" s="131"/>
      <c r="BU985" s="131"/>
      <c r="BV985" s="131"/>
      <c r="BW985" s="131"/>
      <c r="BX985" s="131"/>
      <c r="BY985" s="131"/>
      <c r="BZ985" s="131"/>
      <c r="CA985" s="131"/>
      <c r="CB985" s="131"/>
      <c r="CC985" s="131"/>
      <c r="CD985" s="131"/>
      <c r="CE985" s="131"/>
      <c r="CF985" s="131"/>
      <c r="CG985" s="131"/>
      <c r="CH985" s="131"/>
    </row>
    <row r="986" ht="18.75" customHeight="1">
      <c r="C986" s="64"/>
      <c r="E986" s="64"/>
      <c r="F986" s="64"/>
      <c r="G986" s="64"/>
      <c r="AH986" s="162"/>
      <c r="AI986" s="162"/>
      <c r="AJ986" s="162"/>
      <c r="AK986" s="162"/>
      <c r="BS986" s="131"/>
      <c r="BT986" s="131"/>
      <c r="BU986" s="131"/>
      <c r="BV986" s="131"/>
      <c r="BW986" s="131"/>
      <c r="BX986" s="131"/>
      <c r="BY986" s="131"/>
      <c r="BZ986" s="131"/>
      <c r="CA986" s="131"/>
      <c r="CB986" s="131"/>
      <c r="CC986" s="131"/>
      <c r="CD986" s="131"/>
      <c r="CE986" s="131"/>
      <c r="CF986" s="131"/>
      <c r="CG986" s="131"/>
      <c r="CH986" s="131"/>
    </row>
    <row r="987" ht="18.75" customHeight="1">
      <c r="C987" s="64"/>
      <c r="E987" s="64"/>
      <c r="F987" s="64"/>
      <c r="G987" s="64"/>
      <c r="AH987" s="162"/>
      <c r="AI987" s="162"/>
      <c r="AJ987" s="162"/>
      <c r="AK987" s="162"/>
      <c r="BS987" s="131"/>
      <c r="BT987" s="131"/>
      <c r="BU987" s="131"/>
      <c r="BV987" s="131"/>
      <c r="BW987" s="131"/>
      <c r="BX987" s="131"/>
      <c r="BY987" s="131"/>
      <c r="BZ987" s="131"/>
      <c r="CA987" s="131"/>
      <c r="CB987" s="131"/>
      <c r="CC987" s="131"/>
      <c r="CD987" s="131"/>
      <c r="CE987" s="131"/>
      <c r="CF987" s="131"/>
      <c r="CG987" s="131"/>
      <c r="CH987" s="131"/>
    </row>
    <row r="988" ht="18.75" customHeight="1">
      <c r="C988" s="64"/>
      <c r="E988" s="64"/>
      <c r="F988" s="64"/>
      <c r="G988" s="64"/>
      <c r="AH988" s="162"/>
      <c r="AI988" s="162"/>
      <c r="AJ988" s="162"/>
      <c r="AK988" s="162"/>
      <c r="BS988" s="131"/>
      <c r="BT988" s="131"/>
      <c r="BU988" s="131"/>
      <c r="BV988" s="131"/>
      <c r="BW988" s="131"/>
      <c r="BX988" s="131"/>
      <c r="BY988" s="131"/>
      <c r="BZ988" s="131"/>
      <c r="CA988" s="131"/>
      <c r="CB988" s="131"/>
      <c r="CC988" s="131"/>
      <c r="CD988" s="131"/>
      <c r="CE988" s="131"/>
      <c r="CF988" s="131"/>
      <c r="CG988" s="131"/>
      <c r="CH988" s="131"/>
    </row>
    <row r="989" ht="18.75" customHeight="1">
      <c r="C989" s="64"/>
      <c r="E989" s="64"/>
      <c r="F989" s="64"/>
      <c r="G989" s="64"/>
      <c r="AH989" s="162"/>
      <c r="AI989" s="162"/>
      <c r="AJ989" s="162"/>
      <c r="AK989" s="162"/>
      <c r="BS989" s="131"/>
      <c r="BT989" s="131"/>
      <c r="BU989" s="131"/>
      <c r="BV989" s="131"/>
      <c r="BW989" s="131"/>
      <c r="BX989" s="131"/>
      <c r="BY989" s="131"/>
      <c r="BZ989" s="131"/>
      <c r="CA989" s="131"/>
      <c r="CB989" s="131"/>
      <c r="CC989" s="131"/>
      <c r="CD989" s="131"/>
      <c r="CE989" s="131"/>
      <c r="CF989" s="131"/>
      <c r="CG989" s="131"/>
      <c r="CH989" s="131"/>
    </row>
    <row r="990" ht="18.75" customHeight="1">
      <c r="C990" s="64"/>
      <c r="E990" s="64"/>
      <c r="F990" s="64"/>
      <c r="G990" s="64"/>
      <c r="AH990" s="162"/>
      <c r="AI990" s="162"/>
      <c r="AJ990" s="162"/>
      <c r="AK990" s="162"/>
      <c r="BS990" s="131"/>
      <c r="BT990" s="131"/>
      <c r="BU990" s="131"/>
      <c r="BV990" s="131"/>
      <c r="BW990" s="131"/>
      <c r="BX990" s="131"/>
      <c r="BY990" s="131"/>
      <c r="BZ990" s="131"/>
      <c r="CA990" s="131"/>
      <c r="CB990" s="131"/>
      <c r="CC990" s="131"/>
      <c r="CD990" s="131"/>
      <c r="CE990" s="131"/>
      <c r="CF990" s="131"/>
      <c r="CG990" s="131"/>
      <c r="CH990" s="131"/>
    </row>
    <row r="991" ht="18.75" customHeight="1">
      <c r="C991" s="64"/>
      <c r="E991" s="64"/>
      <c r="F991" s="64"/>
      <c r="G991" s="64"/>
      <c r="AH991" s="162"/>
      <c r="AI991" s="162"/>
      <c r="AJ991" s="162"/>
      <c r="AK991" s="162"/>
      <c r="BS991" s="131"/>
      <c r="BT991" s="131"/>
      <c r="BU991" s="131"/>
      <c r="BV991" s="131"/>
      <c r="BW991" s="131"/>
      <c r="BX991" s="131"/>
      <c r="BY991" s="131"/>
      <c r="BZ991" s="131"/>
      <c r="CA991" s="131"/>
      <c r="CB991" s="131"/>
      <c r="CC991" s="131"/>
      <c r="CD991" s="131"/>
      <c r="CE991" s="131"/>
      <c r="CF991" s="131"/>
      <c r="CG991" s="131"/>
      <c r="CH991" s="131"/>
    </row>
    <row r="992" ht="18.75" customHeight="1">
      <c r="C992" s="64"/>
      <c r="E992" s="64"/>
      <c r="F992" s="64"/>
      <c r="G992" s="64"/>
      <c r="AH992" s="162"/>
      <c r="AI992" s="162"/>
      <c r="AJ992" s="162"/>
      <c r="AK992" s="162"/>
      <c r="BS992" s="131"/>
      <c r="BT992" s="131"/>
      <c r="BU992" s="131"/>
      <c r="BV992" s="131"/>
      <c r="BW992" s="131"/>
      <c r="BX992" s="131"/>
      <c r="BY992" s="131"/>
      <c r="BZ992" s="131"/>
      <c r="CA992" s="131"/>
      <c r="CB992" s="131"/>
      <c r="CC992" s="131"/>
      <c r="CD992" s="131"/>
      <c r="CE992" s="131"/>
      <c r="CF992" s="131"/>
      <c r="CG992" s="131"/>
      <c r="CH992" s="131"/>
    </row>
    <row r="993" ht="18.75" customHeight="1">
      <c r="C993" s="64"/>
      <c r="E993" s="64"/>
      <c r="F993" s="64"/>
      <c r="G993" s="64"/>
      <c r="AH993" s="162"/>
      <c r="AI993" s="162"/>
      <c r="AJ993" s="162"/>
      <c r="AK993" s="162"/>
      <c r="BS993" s="131"/>
      <c r="BT993" s="131"/>
      <c r="BU993" s="131"/>
      <c r="BV993" s="131"/>
      <c r="BW993" s="131"/>
      <c r="BX993" s="131"/>
      <c r="BY993" s="131"/>
      <c r="BZ993" s="131"/>
      <c r="CA993" s="131"/>
      <c r="CB993" s="131"/>
      <c r="CC993" s="131"/>
      <c r="CD993" s="131"/>
      <c r="CE993" s="131"/>
      <c r="CF993" s="131"/>
      <c r="CG993" s="131"/>
      <c r="CH993" s="131"/>
    </row>
    <row r="994" ht="18.75" customHeight="1">
      <c r="C994" s="64"/>
      <c r="E994" s="64"/>
      <c r="F994" s="64"/>
      <c r="G994" s="64"/>
      <c r="AH994" s="162"/>
      <c r="AI994" s="162"/>
      <c r="AJ994" s="162"/>
      <c r="AK994" s="162"/>
      <c r="BS994" s="131"/>
      <c r="BT994" s="131"/>
      <c r="BU994" s="131"/>
      <c r="BV994" s="131"/>
      <c r="BW994" s="131"/>
      <c r="BX994" s="131"/>
      <c r="BY994" s="131"/>
      <c r="BZ994" s="131"/>
      <c r="CA994" s="131"/>
      <c r="CB994" s="131"/>
      <c r="CC994" s="131"/>
      <c r="CD994" s="131"/>
      <c r="CE994" s="131"/>
      <c r="CF994" s="131"/>
      <c r="CG994" s="131"/>
      <c r="CH994" s="131"/>
    </row>
    <row r="995" ht="18.75" customHeight="1">
      <c r="C995" s="64"/>
      <c r="E995" s="64"/>
      <c r="F995" s="64"/>
      <c r="G995" s="64"/>
      <c r="AH995" s="162"/>
      <c r="AI995" s="162"/>
      <c r="AJ995" s="162"/>
      <c r="AK995" s="162"/>
      <c r="BS995" s="131"/>
      <c r="BT995" s="131"/>
      <c r="BU995" s="131"/>
      <c r="BV995" s="131"/>
      <c r="BW995" s="131"/>
      <c r="BX995" s="131"/>
      <c r="BY995" s="131"/>
      <c r="BZ995" s="131"/>
      <c r="CA995" s="131"/>
      <c r="CB995" s="131"/>
      <c r="CC995" s="131"/>
      <c r="CD995" s="131"/>
      <c r="CE995" s="131"/>
      <c r="CF995" s="131"/>
      <c r="CG995" s="131"/>
      <c r="CH995" s="131"/>
    </row>
    <row r="996" ht="18.75" customHeight="1">
      <c r="C996" s="64"/>
      <c r="E996" s="64"/>
      <c r="F996" s="64"/>
      <c r="G996" s="64"/>
      <c r="AH996" s="162"/>
      <c r="AI996" s="162"/>
      <c r="AJ996" s="162"/>
      <c r="AK996" s="162"/>
      <c r="BS996" s="131"/>
      <c r="BT996" s="131"/>
      <c r="BU996" s="131"/>
      <c r="BV996" s="131"/>
      <c r="BW996" s="131"/>
      <c r="BX996" s="131"/>
      <c r="BY996" s="131"/>
      <c r="BZ996" s="131"/>
      <c r="CA996" s="131"/>
      <c r="CB996" s="131"/>
      <c r="CC996" s="131"/>
      <c r="CD996" s="131"/>
      <c r="CE996" s="131"/>
      <c r="CF996" s="131"/>
      <c r="CG996" s="131"/>
      <c r="CH996" s="131"/>
    </row>
    <row r="997" ht="18.75" customHeight="1">
      <c r="C997" s="64"/>
      <c r="E997" s="64"/>
      <c r="F997" s="64"/>
      <c r="G997" s="64"/>
      <c r="AH997" s="162"/>
      <c r="AI997" s="162"/>
      <c r="AJ997" s="162"/>
      <c r="AK997" s="162"/>
      <c r="BS997" s="131"/>
      <c r="BT997" s="131"/>
      <c r="BU997" s="131"/>
      <c r="BV997" s="131"/>
      <c r="BW997" s="131"/>
      <c r="BX997" s="131"/>
      <c r="BY997" s="131"/>
      <c r="BZ997" s="131"/>
      <c r="CA997" s="131"/>
      <c r="CB997" s="131"/>
      <c r="CC997" s="131"/>
      <c r="CD997" s="131"/>
      <c r="CE997" s="131"/>
      <c r="CF997" s="131"/>
      <c r="CG997" s="131"/>
      <c r="CH997" s="131"/>
    </row>
    <row r="998" ht="18.75" customHeight="1">
      <c r="C998" s="64"/>
      <c r="E998" s="64"/>
      <c r="F998" s="64"/>
      <c r="G998" s="64"/>
      <c r="AH998" s="162"/>
      <c r="AI998" s="162"/>
      <c r="AJ998" s="162"/>
      <c r="AK998" s="162"/>
      <c r="BS998" s="131"/>
      <c r="BT998" s="131"/>
      <c r="BU998" s="131"/>
      <c r="BV998" s="131"/>
      <c r="BW998" s="131"/>
      <c r="BX998" s="131"/>
      <c r="BY998" s="131"/>
      <c r="BZ998" s="131"/>
      <c r="CA998" s="131"/>
      <c r="CB998" s="131"/>
      <c r="CC998" s="131"/>
      <c r="CD998" s="131"/>
      <c r="CE998" s="131"/>
      <c r="CF998" s="131"/>
      <c r="CG998" s="131"/>
      <c r="CH998" s="131"/>
    </row>
    <row r="999" ht="18.75" customHeight="1">
      <c r="C999" s="64"/>
      <c r="E999" s="64"/>
      <c r="F999" s="64"/>
      <c r="G999" s="64"/>
      <c r="AH999" s="162"/>
      <c r="AI999" s="162"/>
      <c r="AJ999" s="162"/>
      <c r="AK999" s="162"/>
      <c r="BS999" s="131"/>
      <c r="BT999" s="131"/>
      <c r="BU999" s="131"/>
      <c r="BV999" s="131"/>
      <c r="BW999" s="131"/>
      <c r="BX999" s="131"/>
      <c r="BY999" s="131"/>
      <c r="BZ999" s="131"/>
      <c r="CA999" s="131"/>
      <c r="CB999" s="131"/>
      <c r="CC999" s="131"/>
      <c r="CD999" s="131"/>
      <c r="CE999" s="131"/>
      <c r="CF999" s="131"/>
      <c r="CG999" s="131"/>
      <c r="CH999" s="131"/>
    </row>
    <row r="1000" ht="18.75" customHeight="1">
      <c r="C1000" s="64"/>
      <c r="E1000" s="64"/>
      <c r="F1000" s="64"/>
      <c r="G1000" s="64"/>
      <c r="AH1000" s="162"/>
      <c r="AI1000" s="162"/>
      <c r="AJ1000" s="162"/>
      <c r="AK1000" s="162"/>
      <c r="BS1000" s="131"/>
      <c r="BT1000" s="131"/>
      <c r="BU1000" s="131"/>
      <c r="BV1000" s="131"/>
      <c r="BW1000" s="131"/>
      <c r="BX1000" s="131"/>
      <c r="BY1000" s="131"/>
      <c r="BZ1000" s="131"/>
      <c r="CA1000" s="131"/>
      <c r="CB1000" s="131"/>
      <c r="CC1000" s="131"/>
      <c r="CD1000" s="131"/>
      <c r="CE1000" s="131"/>
      <c r="CF1000" s="131"/>
      <c r="CG1000" s="131"/>
      <c r="CH1000" s="131"/>
    </row>
    <row r="1001" ht="18.75" customHeight="1">
      <c r="C1001" s="64"/>
      <c r="E1001" s="64"/>
      <c r="F1001" s="64"/>
      <c r="G1001" s="64"/>
      <c r="AH1001" s="162"/>
      <c r="AI1001" s="162"/>
      <c r="AJ1001" s="162"/>
      <c r="AK1001" s="162"/>
      <c r="BS1001" s="131"/>
      <c r="BT1001" s="131"/>
      <c r="BU1001" s="131"/>
      <c r="BV1001" s="131"/>
      <c r="BW1001" s="131"/>
      <c r="BX1001" s="131"/>
      <c r="BY1001" s="131"/>
      <c r="BZ1001" s="131"/>
      <c r="CA1001" s="131"/>
      <c r="CB1001" s="131"/>
      <c r="CC1001" s="131"/>
      <c r="CD1001" s="131"/>
      <c r="CE1001" s="131"/>
      <c r="CF1001" s="131"/>
      <c r="CG1001" s="131"/>
      <c r="CH1001" s="131"/>
    </row>
    <row r="1002" ht="18.75" customHeight="1">
      <c r="C1002" s="64"/>
      <c r="E1002" s="64"/>
      <c r="F1002" s="64"/>
      <c r="G1002" s="64"/>
      <c r="AH1002" s="162"/>
      <c r="AI1002" s="162"/>
      <c r="AJ1002" s="162"/>
      <c r="AK1002" s="162"/>
      <c r="BS1002" s="131"/>
      <c r="BT1002" s="131"/>
      <c r="BU1002" s="131"/>
      <c r="BV1002" s="131"/>
      <c r="BW1002" s="131"/>
      <c r="BX1002" s="131"/>
      <c r="BY1002" s="131"/>
      <c r="BZ1002" s="131"/>
      <c r="CA1002" s="131"/>
      <c r="CB1002" s="131"/>
      <c r="CC1002" s="131"/>
      <c r="CD1002" s="131"/>
      <c r="CE1002" s="131"/>
      <c r="CF1002" s="131"/>
      <c r="CG1002" s="131"/>
      <c r="CH1002" s="131"/>
    </row>
    <row r="1003" ht="18.75" customHeight="1">
      <c r="C1003" s="64"/>
      <c r="E1003" s="64"/>
      <c r="F1003" s="64"/>
      <c r="G1003" s="64"/>
      <c r="AH1003" s="162"/>
      <c r="AI1003" s="162"/>
      <c r="AJ1003" s="162"/>
      <c r="AK1003" s="162"/>
      <c r="BS1003" s="131"/>
      <c r="BT1003" s="131"/>
      <c r="BU1003" s="131"/>
      <c r="BV1003" s="131"/>
      <c r="BW1003" s="131"/>
      <c r="BX1003" s="131"/>
      <c r="BY1003" s="131"/>
      <c r="BZ1003" s="131"/>
      <c r="CA1003" s="131"/>
      <c r="CB1003" s="131"/>
      <c r="CC1003" s="131"/>
      <c r="CD1003" s="131"/>
      <c r="CE1003" s="131"/>
      <c r="CF1003" s="131"/>
      <c r="CG1003" s="131"/>
      <c r="CH1003" s="131"/>
    </row>
    <row r="1004" ht="18.75" customHeight="1">
      <c r="C1004" s="64"/>
      <c r="E1004" s="64"/>
      <c r="F1004" s="64"/>
      <c r="G1004" s="64"/>
      <c r="AH1004" s="162"/>
      <c r="AI1004" s="162"/>
      <c r="AJ1004" s="162"/>
      <c r="AK1004" s="162"/>
      <c r="BS1004" s="131"/>
      <c r="BT1004" s="131"/>
      <c r="BU1004" s="131"/>
      <c r="BV1004" s="131"/>
      <c r="BW1004" s="131"/>
      <c r="BX1004" s="131"/>
      <c r="BY1004" s="131"/>
      <c r="BZ1004" s="131"/>
      <c r="CA1004" s="131"/>
      <c r="CB1004" s="131"/>
      <c r="CC1004" s="131"/>
      <c r="CD1004" s="131"/>
      <c r="CE1004" s="131"/>
      <c r="CF1004" s="131"/>
      <c r="CG1004" s="131"/>
      <c r="CH1004" s="131"/>
    </row>
    <row r="1005" ht="18.75" customHeight="1">
      <c r="C1005" s="64"/>
      <c r="E1005" s="64"/>
      <c r="F1005" s="64"/>
      <c r="G1005" s="64"/>
      <c r="AH1005" s="162"/>
      <c r="AI1005" s="162"/>
      <c r="AJ1005" s="162"/>
      <c r="AK1005" s="162"/>
      <c r="BS1005" s="131"/>
      <c r="BT1005" s="131"/>
      <c r="BU1005" s="131"/>
      <c r="BV1005" s="131"/>
      <c r="BW1005" s="131"/>
      <c r="BX1005" s="131"/>
      <c r="BY1005" s="131"/>
      <c r="BZ1005" s="131"/>
      <c r="CA1005" s="131"/>
      <c r="CB1005" s="131"/>
      <c r="CC1005" s="131"/>
      <c r="CD1005" s="131"/>
      <c r="CE1005" s="131"/>
      <c r="CF1005" s="131"/>
      <c r="CG1005" s="131"/>
      <c r="CH1005" s="131"/>
    </row>
    <row r="1006" ht="18.75" customHeight="1">
      <c r="C1006" s="64"/>
      <c r="E1006" s="64"/>
      <c r="F1006" s="64"/>
      <c r="G1006" s="64"/>
      <c r="AH1006" s="162"/>
      <c r="AI1006" s="162"/>
      <c r="AJ1006" s="162"/>
      <c r="AK1006" s="162"/>
      <c r="BS1006" s="131"/>
      <c r="BT1006" s="131"/>
      <c r="BU1006" s="131"/>
      <c r="BV1006" s="131"/>
      <c r="BW1006" s="131"/>
      <c r="BX1006" s="131"/>
      <c r="BY1006" s="131"/>
      <c r="BZ1006" s="131"/>
      <c r="CA1006" s="131"/>
      <c r="CB1006" s="131"/>
      <c r="CC1006" s="131"/>
      <c r="CD1006" s="131"/>
      <c r="CE1006" s="131"/>
      <c r="CF1006" s="131"/>
      <c r="CG1006" s="131"/>
      <c r="CH1006" s="131"/>
    </row>
    <row r="1007" ht="18.75" customHeight="1">
      <c r="C1007" s="64"/>
      <c r="E1007" s="64"/>
      <c r="F1007" s="64"/>
      <c r="G1007" s="64"/>
      <c r="AH1007" s="162"/>
      <c r="AI1007" s="162"/>
      <c r="AJ1007" s="162"/>
      <c r="AK1007" s="162"/>
      <c r="BS1007" s="131"/>
      <c r="BT1007" s="131"/>
      <c r="BU1007" s="131"/>
      <c r="BV1007" s="131"/>
      <c r="BW1007" s="131"/>
      <c r="BX1007" s="131"/>
      <c r="BY1007" s="131"/>
      <c r="BZ1007" s="131"/>
      <c r="CA1007" s="131"/>
      <c r="CB1007" s="131"/>
      <c r="CC1007" s="131"/>
      <c r="CD1007" s="131"/>
      <c r="CE1007" s="131"/>
      <c r="CF1007" s="131"/>
      <c r="CG1007" s="131"/>
      <c r="CH1007" s="131"/>
    </row>
    <row r="1008" ht="18.75" customHeight="1">
      <c r="C1008" s="64"/>
      <c r="E1008" s="64"/>
      <c r="F1008" s="64"/>
      <c r="G1008" s="64"/>
      <c r="AH1008" s="162"/>
      <c r="AI1008" s="162"/>
      <c r="AJ1008" s="162"/>
      <c r="AK1008" s="162"/>
      <c r="BS1008" s="131"/>
      <c r="BT1008" s="131"/>
      <c r="BU1008" s="131"/>
      <c r="BV1008" s="131"/>
      <c r="BW1008" s="131"/>
      <c r="BX1008" s="131"/>
      <c r="BY1008" s="131"/>
      <c r="BZ1008" s="131"/>
      <c r="CA1008" s="131"/>
      <c r="CB1008" s="131"/>
      <c r="CC1008" s="131"/>
      <c r="CD1008" s="131"/>
      <c r="CE1008" s="131"/>
      <c r="CF1008" s="131"/>
      <c r="CG1008" s="131"/>
      <c r="CH1008" s="131"/>
    </row>
    <row r="1009" ht="18.75" customHeight="1">
      <c r="C1009" s="64"/>
      <c r="E1009" s="64"/>
      <c r="F1009" s="64"/>
      <c r="G1009" s="64"/>
      <c r="AH1009" s="162"/>
      <c r="AI1009" s="162"/>
      <c r="AJ1009" s="162"/>
      <c r="AK1009" s="162"/>
      <c r="BS1009" s="131"/>
      <c r="BT1009" s="131"/>
      <c r="BU1009" s="131"/>
      <c r="BV1009" s="131"/>
      <c r="BW1009" s="131"/>
      <c r="BX1009" s="131"/>
      <c r="BY1009" s="131"/>
      <c r="BZ1009" s="131"/>
      <c r="CA1009" s="131"/>
      <c r="CB1009" s="131"/>
      <c r="CC1009" s="131"/>
      <c r="CD1009" s="131"/>
      <c r="CE1009" s="131"/>
      <c r="CF1009" s="131"/>
      <c r="CG1009" s="131"/>
      <c r="CH1009" s="131"/>
    </row>
    <row r="1010" ht="18.75" customHeight="1">
      <c r="C1010" s="64"/>
      <c r="E1010" s="64"/>
      <c r="F1010" s="64"/>
      <c r="G1010" s="64"/>
      <c r="AH1010" s="162"/>
      <c r="AI1010" s="162"/>
      <c r="AJ1010" s="162"/>
      <c r="AK1010" s="162"/>
      <c r="BS1010" s="131"/>
      <c r="BT1010" s="131"/>
      <c r="BU1010" s="131"/>
      <c r="BV1010" s="131"/>
      <c r="BW1010" s="131"/>
      <c r="BX1010" s="131"/>
      <c r="BY1010" s="131"/>
      <c r="BZ1010" s="131"/>
      <c r="CA1010" s="131"/>
      <c r="CB1010" s="131"/>
      <c r="CC1010" s="131"/>
      <c r="CD1010" s="131"/>
      <c r="CE1010" s="131"/>
      <c r="CF1010" s="131"/>
      <c r="CG1010" s="131"/>
      <c r="CH1010" s="131"/>
    </row>
  </sheetData>
  <dataValidations>
    <dataValidation type="list" allowBlank="1" showErrorMessage="1" sqref="BJ2:BJ31">
      <formula1>"村,町,都市,大都市"</formula1>
    </dataValidation>
    <dataValidation type="decimal" operator="greaterThanOrEqual" allowBlank="1" showDropDown="1" showInputMessage="1" showErrorMessage="1" prompt="0以上の数値。空欄は効果なし。" sqref="CF2:CH1010">
      <formula1>0.0</formula1>
    </dataValidation>
    <dataValidation type="list" allowBlank="1" showErrorMessage="1" sqref="BI2:BI31">
      <formula1>"居住化,資源化"</formula1>
    </dataValidation>
  </dataValidations>
  <printOptions/>
  <pageMargins bottom="0.75" footer="0.0" header="0.0" left="0.7" right="0.7" top="0.75"/>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outlineLevelCol="1" outlineLevelRow="1"/>
  <cols>
    <col customWidth="1" min="1" max="1" width="9.5"/>
    <col customWidth="1" min="2" max="2" width="8.13"/>
    <col customWidth="1" min="3" max="4" width="3.25"/>
    <col customWidth="1" min="5" max="5" width="6.25"/>
    <col customWidth="1" min="6" max="6" width="7.88" outlineLevel="1"/>
    <col customWidth="1" min="7" max="7" width="4.63" outlineLevel="1"/>
    <col customWidth="1" min="8" max="8" width="7.88" outlineLevel="1"/>
    <col customWidth="1" min="9" max="9" width="6.25" outlineLevel="1"/>
    <col customWidth="1" min="10" max="10" width="7.88" outlineLevel="1"/>
    <col customWidth="1" min="11" max="11" width="11.25" outlineLevel="1"/>
    <col customWidth="1" min="12" max="12" width="9.63" outlineLevel="1"/>
    <col customWidth="1" min="13" max="13" width="4.63" outlineLevel="1"/>
    <col customWidth="1" min="14" max="14" width="6.25" outlineLevel="1"/>
    <col customWidth="1" min="15" max="15" width="9.63" outlineLevel="1"/>
    <col customWidth="1" min="16" max="17" width="4.63"/>
    <col customWidth="1" min="18" max="18" width="4.63" outlineLevel="1"/>
    <col customWidth="1" min="19" max="20" width="3.0" outlineLevel="1"/>
    <col customWidth="1" min="21" max="24" width="4.63" outlineLevel="1"/>
    <col customWidth="1" min="25" max="25" width="3.0" outlineLevel="1"/>
    <col customWidth="1" min="26" max="26" width="4.63" outlineLevel="1"/>
    <col customWidth="1" min="27" max="28" width="6.25" outlineLevel="1"/>
    <col customWidth="1" min="29" max="30" width="3.0" outlineLevel="1"/>
    <col customWidth="1" min="31" max="31" width="4.63" outlineLevel="1"/>
    <col customWidth="1" min="32" max="32" width="4.75" outlineLevel="1"/>
    <col customWidth="1" min="33" max="33" width="3.13" outlineLevel="1"/>
    <col customWidth="1" min="34" max="35" width="4.63"/>
    <col customWidth="1" min="36" max="36" width="4.5"/>
    <col customWidth="1" min="37" max="40" width="4.5" outlineLevel="1"/>
    <col customWidth="1" min="41" max="41" width="4.5"/>
    <col customWidth="1" min="42" max="42" width="4.5" outlineLevel="1"/>
    <col customWidth="1" min="43" max="43" width="4.5"/>
    <col customWidth="1" min="44" max="46" width="4.5" outlineLevel="1"/>
    <col customWidth="1" min="47" max="47" width="4.5"/>
    <col customWidth="1" min="48" max="50" width="4.5" outlineLevel="1"/>
    <col customWidth="1" min="51" max="51" width="33.75"/>
    <col customWidth="1" min="52" max="55" width="32.63"/>
  </cols>
  <sheetData>
    <row r="1" ht="18.75" customHeight="1">
      <c r="A1" s="37" t="s">
        <v>4470</v>
      </c>
      <c r="B1" s="37" t="s">
        <v>4765</v>
      </c>
      <c r="C1" s="37" t="s">
        <v>0</v>
      </c>
      <c r="D1" s="37" t="s">
        <v>4766</v>
      </c>
      <c r="E1" s="37" t="s">
        <v>2620</v>
      </c>
      <c r="F1" s="37" t="s">
        <v>4376</v>
      </c>
      <c r="G1" s="37" t="s">
        <v>4389</v>
      </c>
      <c r="H1" s="37" t="s">
        <v>4392</v>
      </c>
      <c r="I1" s="37" t="s">
        <v>4394</v>
      </c>
      <c r="J1" s="37" t="s">
        <v>4397</v>
      </c>
      <c r="K1" s="37" t="s">
        <v>4403</v>
      </c>
      <c r="L1" s="37" t="s">
        <v>4406</v>
      </c>
      <c r="M1" s="37" t="s">
        <v>4409</v>
      </c>
      <c r="N1" s="37" t="s">
        <v>4412</v>
      </c>
      <c r="O1" s="37" t="s">
        <v>4414</v>
      </c>
      <c r="Q1" s="146" t="s">
        <v>2623</v>
      </c>
      <c r="R1" s="146" t="s">
        <v>2624</v>
      </c>
      <c r="S1" s="146" t="s">
        <v>2625</v>
      </c>
      <c r="T1" s="146" t="s">
        <v>2626</v>
      </c>
      <c r="U1" s="147" t="s">
        <v>3201</v>
      </c>
      <c r="V1" s="147" t="s">
        <v>3202</v>
      </c>
      <c r="W1" s="147" t="s">
        <v>3203</v>
      </c>
      <c r="X1" s="148" t="s">
        <v>3204</v>
      </c>
      <c r="Y1" s="148" t="s">
        <v>3205</v>
      </c>
      <c r="Z1" s="148" t="s">
        <v>3206</v>
      </c>
      <c r="AA1" s="148" t="s">
        <v>3207</v>
      </c>
      <c r="AB1" s="148" t="s">
        <v>3208</v>
      </c>
      <c r="AC1" s="74" t="s">
        <v>3209</v>
      </c>
      <c r="AD1" s="74" t="s">
        <v>3210</v>
      </c>
      <c r="AE1" s="74" t="s">
        <v>3211</v>
      </c>
      <c r="AF1" s="149" t="s">
        <v>2628</v>
      </c>
      <c r="AG1" s="149" t="s">
        <v>2627</v>
      </c>
      <c r="AH1" s="37" t="s">
        <v>4442</v>
      </c>
      <c r="AI1" s="74" t="s">
        <v>4444</v>
      </c>
      <c r="AJ1" s="49" t="s">
        <v>2593</v>
      </c>
      <c r="AK1" s="49" t="s">
        <v>1921</v>
      </c>
      <c r="AL1" s="49" t="s">
        <v>2594</v>
      </c>
      <c r="AM1" s="49" t="s">
        <v>2595</v>
      </c>
      <c r="AN1" s="49" t="s">
        <v>2596</v>
      </c>
      <c r="AO1" s="51" t="s">
        <v>1139</v>
      </c>
      <c r="AP1" s="51" t="s">
        <v>2598</v>
      </c>
      <c r="AQ1" s="52" t="s">
        <v>2599</v>
      </c>
      <c r="AR1" s="52" t="s">
        <v>2600</v>
      </c>
      <c r="AS1" s="52" t="s">
        <v>2601</v>
      </c>
      <c r="AT1" s="52" t="s">
        <v>2602</v>
      </c>
      <c r="AU1" s="53" t="s">
        <v>2603</v>
      </c>
      <c r="AV1" s="53" t="s">
        <v>2604</v>
      </c>
      <c r="AW1" s="53" t="s">
        <v>2429</v>
      </c>
      <c r="AX1" s="53" t="s">
        <v>1179</v>
      </c>
      <c r="AY1" s="37" t="s">
        <v>3331</v>
      </c>
      <c r="AZ1" s="39" t="s">
        <v>4767</v>
      </c>
      <c r="BA1" s="39" t="s">
        <v>4768</v>
      </c>
      <c r="BB1" s="164" t="s">
        <v>4769</v>
      </c>
      <c r="BC1" s="164" t="s">
        <v>4770</v>
      </c>
    </row>
    <row r="2" ht="18.75" customHeight="1">
      <c r="A2" s="37" t="s">
        <v>4771</v>
      </c>
      <c r="B2" s="37" t="s">
        <v>4772</v>
      </c>
      <c r="C2" s="37">
        <v>1.0</v>
      </c>
      <c r="D2" s="37">
        <v>5.0</v>
      </c>
      <c r="E2" s="37" t="s">
        <v>4773</v>
      </c>
      <c r="AY2" s="37" t="s">
        <v>4774</v>
      </c>
      <c r="AZ2" s="39">
        <v>1.0</v>
      </c>
      <c r="BA2" s="39" t="s">
        <v>29</v>
      </c>
      <c r="BB2" s="39"/>
      <c r="BC2" s="39"/>
    </row>
    <row r="3" ht="18.75" customHeight="1" outlineLevel="1">
      <c r="A3" s="37" t="s">
        <v>4775</v>
      </c>
      <c r="B3" s="37" t="s">
        <v>4772</v>
      </c>
      <c r="C3" s="37">
        <v>1.0</v>
      </c>
      <c r="D3" s="37">
        <v>5.0</v>
      </c>
      <c r="E3" s="37" t="s">
        <v>4776</v>
      </c>
      <c r="AY3" s="37" t="s">
        <v>4777</v>
      </c>
      <c r="AZ3" s="39">
        <v>1.0</v>
      </c>
      <c r="BA3" s="39" t="s">
        <v>29</v>
      </c>
      <c r="BB3" s="39"/>
      <c r="BC3" s="39"/>
    </row>
    <row r="4" ht="18.75" customHeight="1" outlineLevel="1">
      <c r="A4" s="37" t="s">
        <v>4778</v>
      </c>
      <c r="B4" s="37" t="s">
        <v>4772</v>
      </c>
      <c r="C4" s="37">
        <v>1.0</v>
      </c>
      <c r="D4" s="37">
        <v>5.0</v>
      </c>
      <c r="E4" s="37" t="s">
        <v>4779</v>
      </c>
      <c r="AY4" s="37" t="s">
        <v>4780</v>
      </c>
      <c r="AZ4" s="39">
        <v>1.0</v>
      </c>
      <c r="BA4" s="39" t="s">
        <v>29</v>
      </c>
      <c r="BB4" s="39"/>
      <c r="BC4" s="39"/>
    </row>
    <row r="5" ht="18.75" customHeight="1" outlineLevel="1">
      <c r="A5" s="37" t="s">
        <v>4781</v>
      </c>
      <c r="B5" s="37" t="s">
        <v>4772</v>
      </c>
      <c r="C5" s="37">
        <v>2.0</v>
      </c>
      <c r="D5" s="37">
        <v>15.0</v>
      </c>
      <c r="E5" s="37" t="s">
        <v>4782</v>
      </c>
      <c r="AY5" s="37" t="s">
        <v>4783</v>
      </c>
      <c r="AZ5" s="39">
        <v>2.0</v>
      </c>
      <c r="BA5" s="39" t="s">
        <v>4774</v>
      </c>
      <c r="BB5" s="39"/>
      <c r="BC5" s="39"/>
    </row>
    <row r="6" ht="18.75" customHeight="1" outlineLevel="1">
      <c r="A6" s="37" t="s">
        <v>4784</v>
      </c>
      <c r="B6" s="37" t="s">
        <v>4772</v>
      </c>
      <c r="C6" s="37">
        <v>2.0</v>
      </c>
      <c r="D6" s="37">
        <v>15.0</v>
      </c>
      <c r="E6" s="37" t="s">
        <v>4785</v>
      </c>
      <c r="AY6" s="37" t="s">
        <v>4786</v>
      </c>
      <c r="AZ6" s="39">
        <v>2.0</v>
      </c>
      <c r="BA6" s="39" t="s">
        <v>4777</v>
      </c>
      <c r="BB6" s="39"/>
      <c r="BC6" s="39"/>
    </row>
    <row r="7" ht="18.75" customHeight="1" outlineLevel="1">
      <c r="A7" s="37" t="s">
        <v>4787</v>
      </c>
      <c r="B7" s="37" t="s">
        <v>4772</v>
      </c>
      <c r="C7" s="37">
        <v>2.0</v>
      </c>
      <c r="D7" s="37">
        <v>15.0</v>
      </c>
      <c r="E7" s="37" t="s">
        <v>4788</v>
      </c>
      <c r="AY7" s="37" t="s">
        <v>4789</v>
      </c>
      <c r="AZ7" s="39">
        <v>2.0</v>
      </c>
      <c r="BA7" s="39" t="s">
        <v>4780</v>
      </c>
      <c r="BB7" s="39"/>
      <c r="BC7" s="39"/>
    </row>
    <row r="8" ht="18.75" customHeight="1" outlineLevel="1">
      <c r="A8" s="37" t="s">
        <v>4790</v>
      </c>
      <c r="B8" s="37" t="s">
        <v>4772</v>
      </c>
      <c r="C8" s="37">
        <v>3.0</v>
      </c>
      <c r="D8" s="37">
        <v>25.0</v>
      </c>
      <c r="E8" s="37" t="s">
        <v>4791</v>
      </c>
      <c r="AY8" s="37" t="s">
        <v>4792</v>
      </c>
      <c r="AZ8" s="39">
        <v>3.0</v>
      </c>
      <c r="BA8" s="39" t="s">
        <v>4783</v>
      </c>
      <c r="BB8" s="39"/>
      <c r="BC8" s="39"/>
    </row>
    <row r="9" ht="18.75" customHeight="1" outlineLevel="1">
      <c r="A9" s="37" t="s">
        <v>4793</v>
      </c>
      <c r="B9" s="37" t="s">
        <v>4772</v>
      </c>
      <c r="C9" s="37">
        <v>3.0</v>
      </c>
      <c r="D9" s="37">
        <v>25.0</v>
      </c>
      <c r="E9" s="37" t="s">
        <v>4794</v>
      </c>
      <c r="AY9" s="37" t="s">
        <v>4795</v>
      </c>
      <c r="AZ9" s="39">
        <v>3.0</v>
      </c>
      <c r="BA9" s="39" t="s">
        <v>4786</v>
      </c>
      <c r="BB9" s="39"/>
      <c r="BC9" s="39"/>
    </row>
    <row r="10" ht="18.75" customHeight="1" outlineLevel="1">
      <c r="A10" s="37" t="s">
        <v>4796</v>
      </c>
      <c r="B10" s="37" t="s">
        <v>4772</v>
      </c>
      <c r="C10" s="37">
        <v>3.0</v>
      </c>
      <c r="D10" s="37">
        <v>25.0</v>
      </c>
      <c r="E10" s="37" t="s">
        <v>4796</v>
      </c>
      <c r="AY10" s="37" t="s">
        <v>4797</v>
      </c>
      <c r="AZ10" s="39">
        <v>3.0</v>
      </c>
      <c r="BA10" s="39" t="s">
        <v>4789</v>
      </c>
      <c r="BB10" s="39"/>
      <c r="BC10" s="39"/>
    </row>
    <row r="11" ht="18.75" customHeight="1" outlineLevel="1">
      <c r="A11" s="37" t="s">
        <v>4798</v>
      </c>
      <c r="B11" s="37" t="s">
        <v>4772</v>
      </c>
      <c r="C11" s="37">
        <v>4.0</v>
      </c>
      <c r="D11" s="37">
        <v>35.0</v>
      </c>
      <c r="E11" s="37" t="s">
        <v>4799</v>
      </c>
      <c r="AY11" s="37" t="s">
        <v>4800</v>
      </c>
      <c r="AZ11" s="39">
        <v>4.0</v>
      </c>
      <c r="BA11" s="39" t="s">
        <v>4792</v>
      </c>
      <c r="BB11" s="39"/>
      <c r="BC11" s="39"/>
    </row>
    <row r="12" ht="18.75" customHeight="1" outlineLevel="1">
      <c r="A12" s="37" t="s">
        <v>4801</v>
      </c>
      <c r="B12" s="37" t="s">
        <v>4772</v>
      </c>
      <c r="C12" s="37">
        <v>4.0</v>
      </c>
      <c r="D12" s="37">
        <v>35.0</v>
      </c>
      <c r="E12" s="37" t="s">
        <v>4802</v>
      </c>
      <c r="AY12" s="37" t="s">
        <v>4803</v>
      </c>
      <c r="AZ12" s="39">
        <v>4.0</v>
      </c>
      <c r="BA12" s="39" t="s">
        <v>4795</v>
      </c>
      <c r="BB12" s="39"/>
      <c r="BC12" s="39"/>
    </row>
    <row r="13" ht="18.75" customHeight="1" outlineLevel="1">
      <c r="A13" s="37" t="s">
        <v>4804</v>
      </c>
      <c r="B13" s="37" t="s">
        <v>4772</v>
      </c>
      <c r="C13" s="37">
        <v>4.0</v>
      </c>
      <c r="D13" s="37">
        <v>35.0</v>
      </c>
      <c r="E13" s="37" t="s">
        <v>4805</v>
      </c>
      <c r="AY13" s="37" t="s">
        <v>4806</v>
      </c>
      <c r="AZ13" s="39">
        <v>4.0</v>
      </c>
      <c r="BA13" s="39" t="s">
        <v>4797</v>
      </c>
      <c r="BB13" s="39"/>
      <c r="BC13" s="39"/>
    </row>
    <row r="14" ht="18.75" customHeight="1" outlineLevel="1">
      <c r="B14" s="37" t="s">
        <v>4772</v>
      </c>
      <c r="C14" s="37">
        <f t="shared" ref="C14:C21" si="1">C11+1</f>
        <v>5</v>
      </c>
    </row>
    <row r="15" ht="18.75" customHeight="1" outlineLevel="1">
      <c r="B15" s="37" t="s">
        <v>4772</v>
      </c>
      <c r="C15" s="37">
        <f t="shared" si="1"/>
        <v>5</v>
      </c>
    </row>
    <row r="16" ht="18.75" customHeight="1" outlineLevel="1">
      <c r="B16" s="37" t="s">
        <v>4772</v>
      </c>
      <c r="C16" s="37">
        <f t="shared" si="1"/>
        <v>5</v>
      </c>
    </row>
    <row r="17" ht="18.75" customHeight="1" outlineLevel="1">
      <c r="B17" s="37" t="s">
        <v>4772</v>
      </c>
      <c r="C17" s="37">
        <f t="shared" si="1"/>
        <v>6</v>
      </c>
    </row>
    <row r="18" ht="18.75" customHeight="1" outlineLevel="1">
      <c r="B18" s="37" t="s">
        <v>4772</v>
      </c>
      <c r="C18" s="37">
        <f t="shared" si="1"/>
        <v>6</v>
      </c>
    </row>
    <row r="19" ht="18.75" customHeight="1" outlineLevel="1">
      <c r="B19" s="37" t="s">
        <v>4772</v>
      </c>
      <c r="C19" s="37">
        <f t="shared" si="1"/>
        <v>6</v>
      </c>
    </row>
    <row r="20" ht="18.75" customHeight="1" outlineLevel="1">
      <c r="B20" s="37" t="s">
        <v>4772</v>
      </c>
      <c r="C20" s="37">
        <f t="shared" si="1"/>
        <v>7</v>
      </c>
    </row>
    <row r="21" ht="18.75" customHeight="1" outlineLevel="1">
      <c r="B21" s="37" t="s">
        <v>4772</v>
      </c>
      <c r="C21" s="37">
        <f t="shared" si="1"/>
        <v>7</v>
      </c>
    </row>
    <row r="22" ht="18.75" customHeight="1" outlineLevel="1">
      <c r="A22" s="37" t="s">
        <v>4470</v>
      </c>
      <c r="B22" s="37" t="s">
        <v>4765</v>
      </c>
      <c r="C22" s="37" t="s">
        <v>0</v>
      </c>
      <c r="E22" s="37" t="s">
        <v>2620</v>
      </c>
    </row>
    <row r="23" ht="18.75" customHeight="1">
      <c r="A23" s="37" t="s">
        <v>4807</v>
      </c>
      <c r="B23" s="37" t="s">
        <v>4808</v>
      </c>
      <c r="C23" s="37">
        <v>1.0</v>
      </c>
      <c r="D23" s="37">
        <v>5.0</v>
      </c>
      <c r="E23" s="37" t="s">
        <v>4809</v>
      </c>
      <c r="AW23" s="39">
        <v>10.0</v>
      </c>
      <c r="AY23" s="37" t="s">
        <v>4810</v>
      </c>
      <c r="AZ23" s="39">
        <v>1.0</v>
      </c>
      <c r="BA23" s="39" t="s">
        <v>29</v>
      </c>
      <c r="BB23" s="39"/>
      <c r="BC23" s="39"/>
    </row>
    <row r="24" ht="18.75" customHeight="1" outlineLevel="1">
      <c r="A24" s="37" t="s">
        <v>4811</v>
      </c>
      <c r="B24" s="37" t="s">
        <v>4808</v>
      </c>
      <c r="C24" s="37">
        <v>1.0</v>
      </c>
      <c r="D24" s="37">
        <v>5.0</v>
      </c>
      <c r="E24" s="37" t="s">
        <v>4812</v>
      </c>
      <c r="AY24" s="37" t="s">
        <v>4813</v>
      </c>
      <c r="AZ24" s="39">
        <v>1.0</v>
      </c>
      <c r="BA24" s="39" t="s">
        <v>29</v>
      </c>
      <c r="BB24" s="39"/>
      <c r="BC24" s="39"/>
    </row>
    <row r="25" ht="18.75" customHeight="1" outlineLevel="1">
      <c r="A25" s="37" t="s">
        <v>4814</v>
      </c>
      <c r="B25" s="37" t="s">
        <v>4808</v>
      </c>
      <c r="C25" s="37">
        <v>1.0</v>
      </c>
      <c r="D25" s="37">
        <v>5.0</v>
      </c>
      <c r="E25" s="37" t="s">
        <v>4815</v>
      </c>
      <c r="AY25" s="37" t="s">
        <v>4816</v>
      </c>
      <c r="AZ25" s="39">
        <v>1.0</v>
      </c>
      <c r="BA25" s="39" t="s">
        <v>29</v>
      </c>
      <c r="BB25" s="39"/>
      <c r="BC25" s="39"/>
    </row>
    <row r="26" ht="18.75" customHeight="1" outlineLevel="1">
      <c r="A26" s="37" t="s">
        <v>4817</v>
      </c>
      <c r="B26" s="37" t="s">
        <v>4808</v>
      </c>
      <c r="C26" s="37">
        <v>2.0</v>
      </c>
      <c r="D26" s="37">
        <v>15.0</v>
      </c>
      <c r="E26" s="37" t="s">
        <v>4818</v>
      </c>
      <c r="AY26" s="37" t="s">
        <v>4819</v>
      </c>
      <c r="AZ26" s="39">
        <v>2.0</v>
      </c>
      <c r="BA26" s="39" t="s">
        <v>4810</v>
      </c>
      <c r="BB26" s="39"/>
      <c r="BC26" s="39"/>
    </row>
    <row r="27" ht="18.75" customHeight="1" outlineLevel="1">
      <c r="A27" s="37" t="s">
        <v>4820</v>
      </c>
      <c r="B27" s="37" t="s">
        <v>4808</v>
      </c>
      <c r="C27" s="37">
        <v>2.0</v>
      </c>
      <c r="D27" s="37">
        <v>15.0</v>
      </c>
      <c r="E27" s="37" t="s">
        <v>4821</v>
      </c>
      <c r="AY27" s="37" t="s">
        <v>4822</v>
      </c>
      <c r="AZ27" s="39">
        <v>2.0</v>
      </c>
      <c r="BA27" s="39" t="s">
        <v>4813</v>
      </c>
      <c r="BB27" s="39"/>
      <c r="BC27" s="39"/>
    </row>
    <row r="28" ht="18.75" customHeight="1" outlineLevel="1">
      <c r="A28" s="37" t="s">
        <v>4823</v>
      </c>
      <c r="B28" s="37" t="s">
        <v>4808</v>
      </c>
      <c r="C28" s="37">
        <v>2.0</v>
      </c>
      <c r="D28" s="37">
        <v>15.0</v>
      </c>
      <c r="E28" s="37" t="s">
        <v>4824</v>
      </c>
      <c r="AY28" s="37" t="s">
        <v>4825</v>
      </c>
      <c r="AZ28" s="39">
        <v>2.0</v>
      </c>
      <c r="BA28" s="39" t="s">
        <v>4816</v>
      </c>
      <c r="BB28" s="39"/>
      <c r="BC28" s="39"/>
    </row>
    <row r="29" ht="18.75" customHeight="1" outlineLevel="1">
      <c r="A29" s="37" t="s">
        <v>4826</v>
      </c>
      <c r="B29" s="37" t="s">
        <v>4808</v>
      </c>
      <c r="C29" s="37">
        <v>3.0</v>
      </c>
      <c r="D29" s="37">
        <v>25.0</v>
      </c>
      <c r="E29" s="37" t="s">
        <v>4827</v>
      </c>
      <c r="O29" s="39">
        <v>10.0</v>
      </c>
      <c r="AY29" s="37" t="s">
        <v>4828</v>
      </c>
      <c r="AZ29" s="39">
        <v>3.0</v>
      </c>
      <c r="BA29" s="39" t="s">
        <v>4819</v>
      </c>
      <c r="BB29" s="39"/>
      <c r="BC29" s="39"/>
    </row>
    <row r="30" ht="18.75" customHeight="1" outlineLevel="1">
      <c r="A30" s="37" t="s">
        <v>4829</v>
      </c>
      <c r="B30" s="37" t="s">
        <v>4808</v>
      </c>
      <c r="C30" s="37">
        <v>3.0</v>
      </c>
      <c r="D30" s="37">
        <v>25.0</v>
      </c>
      <c r="E30" s="37" t="s">
        <v>4830</v>
      </c>
      <c r="AW30" s="39">
        <v>15.0</v>
      </c>
      <c r="AY30" s="37" t="s">
        <v>4831</v>
      </c>
      <c r="AZ30" s="39">
        <v>3.0</v>
      </c>
      <c r="BA30" s="39" t="s">
        <v>4822</v>
      </c>
      <c r="BB30" s="39"/>
      <c r="BC30" s="39"/>
    </row>
    <row r="31" ht="18.75" customHeight="1" outlineLevel="1">
      <c r="A31" s="37" t="s">
        <v>4832</v>
      </c>
      <c r="B31" s="37" t="s">
        <v>4808</v>
      </c>
      <c r="C31" s="37">
        <v>3.0</v>
      </c>
      <c r="D31" s="37">
        <v>25.0</v>
      </c>
      <c r="E31" s="37" t="s">
        <v>4833</v>
      </c>
      <c r="AY31" s="37" t="s">
        <v>4834</v>
      </c>
      <c r="AZ31" s="39">
        <v>3.0</v>
      </c>
      <c r="BA31" s="39" t="s">
        <v>4825</v>
      </c>
      <c r="BB31" s="39"/>
      <c r="BC31" s="39"/>
    </row>
    <row r="32" ht="18.75" customHeight="1" outlineLevel="1">
      <c r="A32" s="37" t="s">
        <v>4835</v>
      </c>
      <c r="B32" s="37" t="s">
        <v>4808</v>
      </c>
      <c r="C32" s="37">
        <v>4.0</v>
      </c>
      <c r="D32" s="37">
        <v>35.0</v>
      </c>
      <c r="E32" s="37" t="s">
        <v>4836</v>
      </c>
      <c r="AW32" s="39">
        <v>25.0</v>
      </c>
      <c r="AY32" s="37" t="s">
        <v>4837</v>
      </c>
      <c r="AZ32" s="39">
        <v>4.0</v>
      </c>
      <c r="BA32" s="39" t="s">
        <v>4828</v>
      </c>
      <c r="BB32" s="39"/>
      <c r="BC32" s="39"/>
    </row>
    <row r="33" ht="18.75" customHeight="1" outlineLevel="1">
      <c r="A33" s="37" t="s">
        <v>4838</v>
      </c>
      <c r="B33" s="37" t="s">
        <v>4808</v>
      </c>
      <c r="C33" s="37">
        <v>4.0</v>
      </c>
      <c r="D33" s="37">
        <v>35.0</v>
      </c>
      <c r="E33" s="37" t="s">
        <v>4839</v>
      </c>
      <c r="O33" s="39">
        <v>20.0</v>
      </c>
      <c r="AY33" s="37" t="s">
        <v>4840</v>
      </c>
      <c r="AZ33" s="39">
        <v>4.0</v>
      </c>
      <c r="BA33" s="39" t="s">
        <v>4831</v>
      </c>
      <c r="BB33" s="39"/>
      <c r="BC33" s="39"/>
    </row>
    <row r="34" ht="18.75" customHeight="1" outlineLevel="1">
      <c r="A34" s="37" t="s">
        <v>4841</v>
      </c>
      <c r="B34" s="37" t="s">
        <v>4808</v>
      </c>
      <c r="C34" s="37">
        <v>4.0</v>
      </c>
      <c r="D34" s="37">
        <v>35.0</v>
      </c>
      <c r="E34" s="37" t="s">
        <v>4842</v>
      </c>
      <c r="AY34" s="37" t="s">
        <v>4843</v>
      </c>
      <c r="AZ34" s="39">
        <v>4.0</v>
      </c>
      <c r="BA34" s="39" t="s">
        <v>4834</v>
      </c>
      <c r="BB34" s="39"/>
      <c r="BC34" s="39"/>
    </row>
    <row r="35" ht="18.75" customHeight="1" outlineLevel="1">
      <c r="B35" s="37" t="s">
        <v>4808</v>
      </c>
      <c r="C35" s="37">
        <f t="shared" ref="C35:C42" si="2">C32+1</f>
        <v>5</v>
      </c>
    </row>
    <row r="36" ht="18.75" customHeight="1" outlineLevel="1">
      <c r="B36" s="37" t="s">
        <v>4808</v>
      </c>
      <c r="C36" s="37">
        <f t="shared" si="2"/>
        <v>5</v>
      </c>
    </row>
    <row r="37" ht="18.75" customHeight="1" outlineLevel="1">
      <c r="B37" s="37" t="s">
        <v>4808</v>
      </c>
      <c r="C37" s="37">
        <f t="shared" si="2"/>
        <v>5</v>
      </c>
    </row>
    <row r="38" ht="18.75" customHeight="1" outlineLevel="1">
      <c r="B38" s="37" t="s">
        <v>4808</v>
      </c>
      <c r="C38" s="37">
        <f t="shared" si="2"/>
        <v>6</v>
      </c>
    </row>
    <row r="39" ht="18.75" customHeight="1" outlineLevel="1">
      <c r="B39" s="37" t="s">
        <v>4808</v>
      </c>
      <c r="C39" s="37">
        <f t="shared" si="2"/>
        <v>6</v>
      </c>
    </row>
    <row r="40" ht="18.75" customHeight="1" outlineLevel="1">
      <c r="B40" s="37" t="s">
        <v>4808</v>
      </c>
      <c r="C40" s="37">
        <f t="shared" si="2"/>
        <v>6</v>
      </c>
    </row>
    <row r="41" ht="18.75" customHeight="1" outlineLevel="1">
      <c r="B41" s="37" t="s">
        <v>4808</v>
      </c>
      <c r="C41" s="37">
        <f t="shared" si="2"/>
        <v>7</v>
      </c>
    </row>
    <row r="42" ht="18.75" customHeight="1" outlineLevel="1">
      <c r="B42" s="37" t="s">
        <v>4808</v>
      </c>
      <c r="C42" s="37">
        <f t="shared" si="2"/>
        <v>7</v>
      </c>
    </row>
    <row r="43" ht="18.75" customHeight="1" outlineLevel="1">
      <c r="A43" s="37" t="s">
        <v>4470</v>
      </c>
      <c r="B43" s="37" t="s">
        <v>4765</v>
      </c>
      <c r="C43" s="37" t="s">
        <v>0</v>
      </c>
      <c r="E43" s="37" t="s">
        <v>2620</v>
      </c>
    </row>
    <row r="44" ht="18.75" customHeight="1">
      <c r="A44" s="37" t="s">
        <v>4844</v>
      </c>
      <c r="B44" s="37" t="s">
        <v>1179</v>
      </c>
      <c r="C44" s="37">
        <v>1.0</v>
      </c>
      <c r="D44" s="37">
        <v>5.0</v>
      </c>
      <c r="E44" s="37" t="s">
        <v>4845</v>
      </c>
      <c r="AX44" s="39">
        <v>15.0</v>
      </c>
      <c r="AY44" s="37" t="s">
        <v>4846</v>
      </c>
      <c r="AZ44" s="39">
        <v>1.0</v>
      </c>
      <c r="BA44" s="39" t="s">
        <v>29</v>
      </c>
      <c r="BB44" s="39"/>
      <c r="BC44" s="39"/>
    </row>
    <row r="45" ht="18.75" customHeight="1" outlineLevel="1">
      <c r="A45" s="37" t="s">
        <v>4847</v>
      </c>
      <c r="B45" s="37" t="s">
        <v>1179</v>
      </c>
      <c r="C45" s="37">
        <v>1.0</v>
      </c>
      <c r="D45" s="37">
        <v>5.0</v>
      </c>
      <c r="E45" s="37" t="s">
        <v>4848</v>
      </c>
      <c r="AY45" s="37" t="s">
        <v>4849</v>
      </c>
      <c r="AZ45" s="39">
        <v>1.0</v>
      </c>
      <c r="BA45" s="39" t="s">
        <v>29</v>
      </c>
      <c r="BB45" s="39"/>
      <c r="BC45" s="39"/>
    </row>
    <row r="46" ht="18.75" customHeight="1" outlineLevel="1">
      <c r="A46" s="37" t="s">
        <v>4850</v>
      </c>
      <c r="B46" s="37" t="s">
        <v>1179</v>
      </c>
      <c r="C46" s="37">
        <v>1.0</v>
      </c>
      <c r="D46" s="37">
        <v>5.0</v>
      </c>
      <c r="E46" s="37" t="s">
        <v>4851</v>
      </c>
      <c r="AY46" s="37" t="s">
        <v>4852</v>
      </c>
      <c r="AZ46" s="39">
        <v>1.0</v>
      </c>
      <c r="BA46" s="39" t="s">
        <v>29</v>
      </c>
      <c r="BB46" s="39"/>
      <c r="BC46" s="39"/>
    </row>
    <row r="47" ht="18.75" customHeight="1" outlineLevel="1">
      <c r="A47" s="37" t="s">
        <v>4853</v>
      </c>
      <c r="B47" s="37" t="s">
        <v>1179</v>
      </c>
      <c r="C47" s="37">
        <v>2.0</v>
      </c>
      <c r="D47" s="37">
        <v>15.0</v>
      </c>
      <c r="E47" s="37" t="s">
        <v>4854</v>
      </c>
      <c r="AY47" s="37" t="s">
        <v>4855</v>
      </c>
      <c r="AZ47" s="39">
        <v>2.0</v>
      </c>
      <c r="BA47" s="39" t="s">
        <v>4846</v>
      </c>
      <c r="BB47" s="39"/>
      <c r="BC47" s="39"/>
    </row>
    <row r="48" ht="18.75" customHeight="1" outlineLevel="1">
      <c r="A48" s="37" t="s">
        <v>4856</v>
      </c>
      <c r="B48" s="37" t="s">
        <v>1179</v>
      </c>
      <c r="C48" s="37">
        <v>2.0</v>
      </c>
      <c r="D48" s="37">
        <v>15.0</v>
      </c>
      <c r="E48" s="37" t="s">
        <v>4857</v>
      </c>
      <c r="AY48" s="37" t="s">
        <v>4858</v>
      </c>
      <c r="AZ48" s="39">
        <v>2.0</v>
      </c>
      <c r="BA48" s="39" t="s">
        <v>4849</v>
      </c>
      <c r="BB48" s="39"/>
      <c r="BC48" s="39"/>
    </row>
    <row r="49" ht="18.75" customHeight="1" outlineLevel="1">
      <c r="A49" s="37" t="s">
        <v>4859</v>
      </c>
      <c r="B49" s="37" t="s">
        <v>1179</v>
      </c>
      <c r="C49" s="37">
        <v>2.0</v>
      </c>
      <c r="D49" s="37">
        <v>15.0</v>
      </c>
      <c r="E49" s="37" t="s">
        <v>4824</v>
      </c>
      <c r="AY49" s="37" t="s">
        <v>4860</v>
      </c>
      <c r="AZ49" s="39">
        <v>2.0</v>
      </c>
      <c r="BA49" s="39" t="s">
        <v>4852</v>
      </c>
      <c r="BB49" s="39"/>
      <c r="BC49" s="39"/>
    </row>
    <row r="50" ht="18.75" customHeight="1" outlineLevel="1">
      <c r="A50" s="37" t="s">
        <v>4861</v>
      </c>
      <c r="B50" s="37" t="s">
        <v>1179</v>
      </c>
      <c r="C50" s="37">
        <v>3.0</v>
      </c>
      <c r="D50" s="37">
        <v>25.0</v>
      </c>
      <c r="E50" s="37" t="s">
        <v>4827</v>
      </c>
      <c r="O50" s="39">
        <v>10.0</v>
      </c>
      <c r="AY50" s="37" t="s">
        <v>4862</v>
      </c>
      <c r="AZ50" s="39">
        <v>3.0</v>
      </c>
      <c r="BA50" s="39" t="s">
        <v>4855</v>
      </c>
      <c r="BB50" s="39"/>
      <c r="BC50" s="39"/>
    </row>
    <row r="51" ht="18.75" customHeight="1" outlineLevel="1">
      <c r="A51" s="37" t="s">
        <v>4863</v>
      </c>
      <c r="B51" s="37" t="s">
        <v>1179</v>
      </c>
      <c r="C51" s="37">
        <v>3.0</v>
      </c>
      <c r="D51" s="37">
        <v>25.0</v>
      </c>
      <c r="E51" s="37" t="s">
        <v>4864</v>
      </c>
      <c r="AY51" s="37" t="s">
        <v>4865</v>
      </c>
      <c r="AZ51" s="39">
        <v>3.0</v>
      </c>
      <c r="BA51" s="39" t="s">
        <v>4858</v>
      </c>
      <c r="BB51" s="39"/>
      <c r="BC51" s="39"/>
    </row>
    <row r="52" ht="18.75" customHeight="1" outlineLevel="1">
      <c r="A52" s="37" t="s">
        <v>4866</v>
      </c>
      <c r="B52" s="37" t="s">
        <v>1179</v>
      </c>
      <c r="C52" s="37">
        <v>3.0</v>
      </c>
      <c r="D52" s="37">
        <v>25.0</v>
      </c>
      <c r="E52" s="37" t="s">
        <v>4867</v>
      </c>
      <c r="AY52" s="37" t="s">
        <v>4868</v>
      </c>
      <c r="AZ52" s="39">
        <v>3.0</v>
      </c>
      <c r="BA52" s="39" t="s">
        <v>4860</v>
      </c>
      <c r="BB52" s="39"/>
      <c r="BC52" s="39"/>
    </row>
    <row r="53" ht="18.75" customHeight="1" outlineLevel="1">
      <c r="A53" s="37" t="s">
        <v>4869</v>
      </c>
      <c r="B53" s="37" t="s">
        <v>1179</v>
      </c>
      <c r="C53" s="37">
        <v>4.0</v>
      </c>
      <c r="D53" s="37">
        <v>35.0</v>
      </c>
      <c r="E53" s="37" t="s">
        <v>4839</v>
      </c>
      <c r="O53" s="39">
        <v>20.0</v>
      </c>
      <c r="AY53" s="37" t="s">
        <v>4870</v>
      </c>
      <c r="AZ53" s="39">
        <v>4.0</v>
      </c>
      <c r="BA53" s="39" t="s">
        <v>4862</v>
      </c>
      <c r="BB53" s="39"/>
      <c r="BC53" s="39"/>
    </row>
    <row r="54" ht="18.75" customHeight="1" outlineLevel="1">
      <c r="A54" s="37" t="s">
        <v>4871</v>
      </c>
      <c r="B54" s="37" t="s">
        <v>1179</v>
      </c>
      <c r="C54" s="37">
        <v>4.0</v>
      </c>
      <c r="D54" s="37">
        <v>35.0</v>
      </c>
      <c r="E54" s="37" t="s">
        <v>4872</v>
      </c>
      <c r="AX54" s="39">
        <v>25.0</v>
      </c>
      <c r="AY54" s="37" t="s">
        <v>4873</v>
      </c>
      <c r="AZ54" s="39">
        <v>4.0</v>
      </c>
      <c r="BA54" s="39" t="s">
        <v>4865</v>
      </c>
      <c r="BB54" s="39"/>
      <c r="BC54" s="39"/>
    </row>
    <row r="55" ht="18.75" customHeight="1" outlineLevel="1">
      <c r="A55" s="37" t="s">
        <v>4874</v>
      </c>
      <c r="B55" s="37" t="s">
        <v>1179</v>
      </c>
      <c r="C55" s="37">
        <v>4.0</v>
      </c>
      <c r="D55" s="37">
        <v>35.0</v>
      </c>
      <c r="E55" s="37" t="s">
        <v>4875</v>
      </c>
      <c r="AY55" s="37" t="s">
        <v>4876</v>
      </c>
      <c r="AZ55" s="39">
        <v>4.0</v>
      </c>
      <c r="BA55" s="39" t="s">
        <v>4868</v>
      </c>
      <c r="BB55" s="39"/>
      <c r="BC55" s="39"/>
    </row>
    <row r="56" ht="18.75" customHeight="1" outlineLevel="1">
      <c r="B56" s="37" t="s">
        <v>1179</v>
      </c>
      <c r="C56" s="37">
        <f t="shared" ref="C56:C64" si="3">C53+1</f>
        <v>5</v>
      </c>
    </row>
    <row r="57" ht="18.75" customHeight="1" outlineLevel="1">
      <c r="B57" s="37" t="s">
        <v>1179</v>
      </c>
      <c r="C57" s="37">
        <f t="shared" si="3"/>
        <v>5</v>
      </c>
    </row>
    <row r="58" ht="18.75" customHeight="1" outlineLevel="1">
      <c r="B58" s="37" t="s">
        <v>1179</v>
      </c>
      <c r="C58" s="37">
        <f t="shared" si="3"/>
        <v>5</v>
      </c>
    </row>
    <row r="59" ht="18.75" customHeight="1" outlineLevel="1">
      <c r="B59" s="37" t="s">
        <v>1179</v>
      </c>
      <c r="C59" s="37">
        <f t="shared" si="3"/>
        <v>6</v>
      </c>
    </row>
    <row r="60" ht="18.75" customHeight="1" outlineLevel="1">
      <c r="B60" s="37" t="s">
        <v>1179</v>
      </c>
      <c r="C60" s="37">
        <f t="shared" si="3"/>
        <v>6</v>
      </c>
    </row>
    <row r="61" ht="18.75" customHeight="1" outlineLevel="1">
      <c r="B61" s="37" t="s">
        <v>1179</v>
      </c>
      <c r="C61" s="37">
        <f t="shared" si="3"/>
        <v>6</v>
      </c>
    </row>
    <row r="62" ht="18.75" customHeight="1" outlineLevel="1">
      <c r="B62" s="37" t="s">
        <v>1179</v>
      </c>
      <c r="C62" s="37">
        <f t="shared" si="3"/>
        <v>7</v>
      </c>
    </row>
    <row r="63" ht="18.75" customHeight="1" outlineLevel="1">
      <c r="B63" s="37" t="s">
        <v>1179</v>
      </c>
      <c r="C63" s="37">
        <f t="shared" si="3"/>
        <v>7</v>
      </c>
    </row>
    <row r="64" ht="18.75" customHeight="1" outlineLevel="1">
      <c r="B64" s="37" t="s">
        <v>1179</v>
      </c>
      <c r="C64" s="37">
        <f t="shared" si="3"/>
        <v>7</v>
      </c>
    </row>
    <row r="65" ht="18.75" customHeight="1">
      <c r="A65" s="37" t="s">
        <v>4877</v>
      </c>
      <c r="B65" s="37" t="s">
        <v>4395</v>
      </c>
      <c r="C65" s="37">
        <v>1.0</v>
      </c>
      <c r="D65" s="37">
        <v>5.0</v>
      </c>
      <c r="E65" s="37" t="s">
        <v>4878</v>
      </c>
      <c r="AJ65" s="39">
        <v>10.0</v>
      </c>
      <c r="AY65" s="37" t="s">
        <v>4879</v>
      </c>
      <c r="AZ65" s="39">
        <v>1.0</v>
      </c>
      <c r="BA65" s="39" t="s">
        <v>29</v>
      </c>
      <c r="BB65" s="39"/>
      <c r="BC65" s="39"/>
    </row>
    <row r="66" ht="18.75" customHeight="1" outlineLevel="1">
      <c r="A66" s="37" t="s">
        <v>4880</v>
      </c>
      <c r="B66" s="37" t="s">
        <v>4395</v>
      </c>
      <c r="C66" s="37">
        <v>1.0</v>
      </c>
      <c r="D66" s="37">
        <v>5.0</v>
      </c>
      <c r="E66" s="37" t="s">
        <v>4881</v>
      </c>
      <c r="AY66" s="37" t="s">
        <v>4882</v>
      </c>
      <c r="AZ66" s="39">
        <v>1.0</v>
      </c>
      <c r="BA66" s="39" t="s">
        <v>29</v>
      </c>
      <c r="BB66" s="39"/>
      <c r="BC66" s="39"/>
    </row>
    <row r="67" ht="18.75" customHeight="1" outlineLevel="1">
      <c r="A67" s="37" t="s">
        <v>4883</v>
      </c>
      <c r="B67" s="37" t="s">
        <v>4395</v>
      </c>
      <c r="C67" s="37">
        <v>1.0</v>
      </c>
      <c r="D67" s="37">
        <v>5.0</v>
      </c>
      <c r="E67" s="37" t="s">
        <v>4884</v>
      </c>
      <c r="AY67" s="37" t="s">
        <v>4885</v>
      </c>
      <c r="AZ67" s="39">
        <v>1.0</v>
      </c>
      <c r="BA67" s="39" t="s">
        <v>29</v>
      </c>
      <c r="BB67" s="39"/>
      <c r="BC67" s="39"/>
    </row>
    <row r="68" ht="18.75" customHeight="1" outlineLevel="1">
      <c r="A68" s="37" t="s">
        <v>4886</v>
      </c>
      <c r="B68" s="37" t="s">
        <v>4395</v>
      </c>
      <c r="C68" s="37">
        <v>2.0</v>
      </c>
      <c r="D68" s="37">
        <v>15.0</v>
      </c>
      <c r="E68" s="37" t="s">
        <v>4887</v>
      </c>
      <c r="AY68" s="37" t="s">
        <v>4888</v>
      </c>
      <c r="AZ68" s="39">
        <v>2.0</v>
      </c>
      <c r="BA68" s="39" t="s">
        <v>4879</v>
      </c>
      <c r="BB68" s="39"/>
      <c r="BC68" s="39"/>
    </row>
    <row r="69" ht="18.75" customHeight="1" outlineLevel="1">
      <c r="A69" s="37" t="s">
        <v>4889</v>
      </c>
      <c r="B69" s="37" t="s">
        <v>4395</v>
      </c>
      <c r="C69" s="37">
        <v>2.0</v>
      </c>
      <c r="D69" s="37">
        <v>15.0</v>
      </c>
      <c r="E69" s="37" t="s">
        <v>4890</v>
      </c>
      <c r="AY69" s="37" t="s">
        <v>4891</v>
      </c>
      <c r="AZ69" s="39">
        <v>2.0</v>
      </c>
      <c r="BA69" s="39" t="s">
        <v>4882</v>
      </c>
      <c r="BB69" s="39"/>
      <c r="BC69" s="39"/>
    </row>
    <row r="70" ht="18.75" customHeight="1" outlineLevel="1">
      <c r="A70" s="37" t="s">
        <v>4892</v>
      </c>
      <c r="B70" s="37" t="s">
        <v>4395</v>
      </c>
      <c r="C70" s="37">
        <v>2.0</v>
      </c>
      <c r="D70" s="37">
        <v>15.0</v>
      </c>
      <c r="E70" s="37" t="s">
        <v>4893</v>
      </c>
      <c r="AY70" s="37" t="s">
        <v>4894</v>
      </c>
      <c r="AZ70" s="39">
        <v>2.0</v>
      </c>
      <c r="BA70" s="39" t="s">
        <v>4885</v>
      </c>
      <c r="BB70" s="39"/>
      <c r="BC70" s="39"/>
    </row>
    <row r="71" ht="18.75" customHeight="1" outlineLevel="1">
      <c r="A71" s="37" t="s">
        <v>4895</v>
      </c>
      <c r="B71" s="37" t="s">
        <v>4395</v>
      </c>
      <c r="C71" s="37">
        <v>3.0</v>
      </c>
      <c r="D71" s="37">
        <v>25.0</v>
      </c>
      <c r="E71" s="37" t="s">
        <v>4881</v>
      </c>
      <c r="AY71" s="37" t="s">
        <v>4896</v>
      </c>
      <c r="AZ71" s="39">
        <v>3.0</v>
      </c>
      <c r="BA71" s="39" t="s">
        <v>4888</v>
      </c>
      <c r="BB71" s="39"/>
      <c r="BC71" s="39"/>
    </row>
    <row r="72" ht="18.75" customHeight="1" outlineLevel="1">
      <c r="A72" s="37" t="s">
        <v>4897</v>
      </c>
      <c r="B72" s="37" t="s">
        <v>4395</v>
      </c>
      <c r="C72" s="37">
        <v>3.0</v>
      </c>
      <c r="D72" s="37">
        <v>25.0</v>
      </c>
      <c r="E72" s="37" t="s">
        <v>4898</v>
      </c>
      <c r="AY72" s="37" t="s">
        <v>4899</v>
      </c>
      <c r="AZ72" s="39">
        <v>3.0</v>
      </c>
      <c r="BA72" s="39" t="s">
        <v>4891</v>
      </c>
      <c r="BB72" s="39"/>
      <c r="BC72" s="39"/>
    </row>
    <row r="73" ht="18.75" customHeight="1" outlineLevel="1">
      <c r="A73" s="37" t="s">
        <v>4900</v>
      </c>
      <c r="B73" s="37" t="s">
        <v>4395</v>
      </c>
      <c r="C73" s="37">
        <v>3.0</v>
      </c>
      <c r="D73" s="37">
        <v>25.0</v>
      </c>
      <c r="E73" s="37" t="s">
        <v>4901</v>
      </c>
      <c r="AY73" s="37" t="s">
        <v>4902</v>
      </c>
      <c r="AZ73" s="39">
        <v>3.0</v>
      </c>
      <c r="BA73" s="39" t="s">
        <v>4894</v>
      </c>
      <c r="BB73" s="39"/>
      <c r="BC73" s="39"/>
    </row>
    <row r="74" ht="18.75" customHeight="1" outlineLevel="1">
      <c r="A74" s="37" t="s">
        <v>4903</v>
      </c>
      <c r="B74" s="37" t="s">
        <v>4395</v>
      </c>
      <c r="C74" s="37">
        <v>4.0</v>
      </c>
      <c r="D74" s="37">
        <v>35.0</v>
      </c>
      <c r="E74" s="37" t="s">
        <v>4904</v>
      </c>
      <c r="AJ74" s="39">
        <v>25.0</v>
      </c>
      <c r="AY74" s="37" t="s">
        <v>4905</v>
      </c>
      <c r="AZ74" s="39">
        <v>4.0</v>
      </c>
      <c r="BA74" s="39" t="s">
        <v>4896</v>
      </c>
      <c r="BB74" s="39"/>
      <c r="BC74" s="39"/>
    </row>
    <row r="75" ht="18.75" customHeight="1" outlineLevel="1">
      <c r="A75" s="37" t="s">
        <v>4906</v>
      </c>
      <c r="B75" s="37" t="s">
        <v>4395</v>
      </c>
      <c r="C75" s="37">
        <v>4.0</v>
      </c>
      <c r="D75" s="37">
        <v>35.0</v>
      </c>
      <c r="E75" s="37" t="s">
        <v>4907</v>
      </c>
      <c r="AY75" s="37" t="s">
        <v>4908</v>
      </c>
      <c r="AZ75" s="39">
        <v>4.0</v>
      </c>
      <c r="BA75" s="39" t="s">
        <v>4899</v>
      </c>
      <c r="BB75" s="39"/>
      <c r="BC75" s="39"/>
    </row>
    <row r="76" ht="18.75" customHeight="1" outlineLevel="1">
      <c r="A76" s="37" t="s">
        <v>4909</v>
      </c>
      <c r="B76" s="37" t="s">
        <v>4395</v>
      </c>
      <c r="C76" s="37">
        <v>4.0</v>
      </c>
      <c r="D76" s="37">
        <v>35.0</v>
      </c>
      <c r="E76" s="37" t="s">
        <v>4910</v>
      </c>
      <c r="AY76" s="37" t="s">
        <v>4911</v>
      </c>
      <c r="AZ76" s="39">
        <v>4.0</v>
      </c>
      <c r="BA76" s="39" t="s">
        <v>4902</v>
      </c>
      <c r="BB76" s="39"/>
      <c r="BC76" s="39"/>
    </row>
    <row r="77" ht="18.75" customHeight="1" outlineLevel="1">
      <c r="B77" s="37" t="s">
        <v>4395</v>
      </c>
      <c r="C77" s="37">
        <f t="shared" ref="C77:C85" si="4">C74+1</f>
        <v>5</v>
      </c>
    </row>
    <row r="78" ht="18.75" customHeight="1" outlineLevel="1">
      <c r="B78" s="37" t="s">
        <v>4395</v>
      </c>
      <c r="C78" s="37">
        <f t="shared" si="4"/>
        <v>5</v>
      </c>
    </row>
    <row r="79" ht="18.75" customHeight="1" outlineLevel="1">
      <c r="B79" s="37" t="s">
        <v>4395</v>
      </c>
      <c r="C79" s="37">
        <f t="shared" si="4"/>
        <v>5</v>
      </c>
    </row>
    <row r="80" ht="18.75" customHeight="1" outlineLevel="1">
      <c r="B80" s="37" t="s">
        <v>4395</v>
      </c>
      <c r="C80" s="37">
        <f t="shared" si="4"/>
        <v>6</v>
      </c>
    </row>
    <row r="81" ht="18.75" customHeight="1" outlineLevel="1">
      <c r="B81" s="37" t="s">
        <v>4395</v>
      </c>
      <c r="C81" s="37">
        <f t="shared" si="4"/>
        <v>6</v>
      </c>
    </row>
    <row r="82" ht="18.75" customHeight="1" outlineLevel="1">
      <c r="B82" s="37" t="s">
        <v>4395</v>
      </c>
      <c r="C82" s="37">
        <f t="shared" si="4"/>
        <v>6</v>
      </c>
    </row>
    <row r="83" ht="18.75" customHeight="1" outlineLevel="1">
      <c r="B83" s="37" t="s">
        <v>4395</v>
      </c>
      <c r="C83" s="37">
        <f t="shared" si="4"/>
        <v>7</v>
      </c>
    </row>
    <row r="84" ht="18.75" customHeight="1" outlineLevel="1">
      <c r="B84" s="37" t="s">
        <v>4395</v>
      </c>
      <c r="C84" s="37">
        <f t="shared" si="4"/>
        <v>7</v>
      </c>
    </row>
    <row r="85" ht="18.75" customHeight="1" outlineLevel="1">
      <c r="B85" s="37" t="s">
        <v>4395</v>
      </c>
      <c r="C85" s="37">
        <f t="shared" si="4"/>
        <v>7</v>
      </c>
    </row>
    <row r="86" ht="18.75" customHeight="1" outlineLevel="1">
      <c r="A86" s="37" t="s">
        <v>4912</v>
      </c>
      <c r="B86" s="37" t="s">
        <v>4913</v>
      </c>
      <c r="C86" s="37">
        <v>1.0</v>
      </c>
      <c r="D86" s="37">
        <v>5.0</v>
      </c>
      <c r="E86" s="37" t="s">
        <v>4914</v>
      </c>
      <c r="AY86" s="37" t="s">
        <v>4915</v>
      </c>
      <c r="AZ86" s="39">
        <v>1.0</v>
      </c>
      <c r="BA86" s="39" t="s">
        <v>29</v>
      </c>
      <c r="BB86" s="39"/>
      <c r="BC86" s="39"/>
    </row>
    <row r="87" ht="18.75" customHeight="1">
      <c r="A87" s="37" t="s">
        <v>4916</v>
      </c>
      <c r="B87" s="37" t="s">
        <v>4913</v>
      </c>
      <c r="C87" s="37">
        <v>1.0</v>
      </c>
      <c r="D87" s="37">
        <v>5.0</v>
      </c>
      <c r="E87" s="37" t="s">
        <v>4917</v>
      </c>
      <c r="AY87" s="37" t="s">
        <v>4918</v>
      </c>
      <c r="AZ87" s="39">
        <v>1.0</v>
      </c>
      <c r="BA87" s="39" t="s">
        <v>29</v>
      </c>
      <c r="BB87" s="39"/>
      <c r="BC87" s="39"/>
    </row>
    <row r="88" ht="18.75" customHeight="1" outlineLevel="1">
      <c r="A88" s="37" t="s">
        <v>4919</v>
      </c>
      <c r="B88" s="37" t="s">
        <v>4913</v>
      </c>
      <c r="C88" s="37">
        <v>1.0</v>
      </c>
      <c r="D88" s="37">
        <v>5.0</v>
      </c>
      <c r="E88" s="37" t="s">
        <v>4920</v>
      </c>
      <c r="AY88" s="37" t="s">
        <v>4921</v>
      </c>
      <c r="AZ88" s="39">
        <v>1.0</v>
      </c>
      <c r="BA88" s="39" t="s">
        <v>29</v>
      </c>
      <c r="BB88" s="39"/>
      <c r="BC88" s="39"/>
    </row>
    <row r="89" ht="18.75" customHeight="1" outlineLevel="1">
      <c r="A89" s="37" t="s">
        <v>4922</v>
      </c>
      <c r="B89" s="37" t="s">
        <v>4913</v>
      </c>
      <c r="C89" s="37">
        <v>2.0</v>
      </c>
      <c r="D89" s="37">
        <v>15.0</v>
      </c>
      <c r="E89" s="37" t="s">
        <v>4923</v>
      </c>
      <c r="AY89" s="37" t="s">
        <v>4924</v>
      </c>
      <c r="AZ89" s="39">
        <v>2.0</v>
      </c>
      <c r="BA89" s="39" t="s">
        <v>4915</v>
      </c>
      <c r="BB89" s="39"/>
      <c r="BC89" s="39"/>
    </row>
    <row r="90" ht="18.75" customHeight="1" outlineLevel="1">
      <c r="A90" s="37" t="s">
        <v>4925</v>
      </c>
      <c r="B90" s="37" t="s">
        <v>4913</v>
      </c>
      <c r="C90" s="37">
        <v>2.0</v>
      </c>
      <c r="D90" s="37">
        <v>15.0</v>
      </c>
      <c r="E90" s="37" t="s">
        <v>4926</v>
      </c>
      <c r="M90" s="39">
        <v>5.0</v>
      </c>
      <c r="N90" s="39">
        <v>5.0</v>
      </c>
      <c r="AY90" s="37" t="s">
        <v>4927</v>
      </c>
      <c r="AZ90" s="39">
        <v>2.0</v>
      </c>
      <c r="BA90" s="39" t="s">
        <v>4918</v>
      </c>
      <c r="BB90" s="39"/>
      <c r="BC90" s="39"/>
    </row>
    <row r="91" ht="18.75" customHeight="1" outlineLevel="1">
      <c r="A91" s="37" t="s">
        <v>4928</v>
      </c>
      <c r="B91" s="37" t="s">
        <v>4913</v>
      </c>
      <c r="C91" s="37">
        <v>2.0</v>
      </c>
      <c r="D91" s="37">
        <v>15.0</v>
      </c>
      <c r="E91" s="37" t="s">
        <v>4929</v>
      </c>
      <c r="AY91" s="37" t="s">
        <v>4930</v>
      </c>
      <c r="AZ91" s="39">
        <v>2.0</v>
      </c>
      <c r="BA91" s="39" t="s">
        <v>4921</v>
      </c>
      <c r="BB91" s="39"/>
      <c r="BC91" s="39"/>
    </row>
    <row r="92" ht="18.75" customHeight="1" outlineLevel="1">
      <c r="A92" s="37" t="s">
        <v>4931</v>
      </c>
      <c r="B92" s="37" t="s">
        <v>4913</v>
      </c>
      <c r="C92" s="37">
        <v>3.0</v>
      </c>
      <c r="D92" s="37">
        <v>25.0</v>
      </c>
      <c r="E92" s="37" t="s">
        <v>4932</v>
      </c>
      <c r="AY92" s="37" t="s">
        <v>4933</v>
      </c>
      <c r="AZ92" s="39">
        <v>3.0</v>
      </c>
      <c r="BA92" s="39" t="s">
        <v>4924</v>
      </c>
      <c r="BB92" s="39"/>
      <c r="BC92" s="39"/>
    </row>
    <row r="93" ht="18.75" customHeight="1" outlineLevel="1">
      <c r="A93" s="37" t="s">
        <v>4934</v>
      </c>
      <c r="B93" s="37" t="s">
        <v>4913</v>
      </c>
      <c r="C93" s="37">
        <v>3.0</v>
      </c>
      <c r="D93" s="37">
        <v>25.0</v>
      </c>
      <c r="E93" s="37" t="s">
        <v>4935</v>
      </c>
      <c r="AY93" s="37" t="s">
        <v>4936</v>
      </c>
      <c r="AZ93" s="39">
        <v>3.0</v>
      </c>
      <c r="BA93" s="39" t="s">
        <v>4927</v>
      </c>
      <c r="BB93" s="39"/>
      <c r="BC93" s="39"/>
    </row>
    <row r="94" ht="18.75" customHeight="1" outlineLevel="1">
      <c r="A94" s="37" t="s">
        <v>4937</v>
      </c>
      <c r="B94" s="37" t="s">
        <v>4913</v>
      </c>
      <c r="C94" s="37">
        <v>3.0</v>
      </c>
      <c r="D94" s="37">
        <v>25.0</v>
      </c>
      <c r="E94" s="37" t="s">
        <v>4938</v>
      </c>
      <c r="AY94" s="37" t="s">
        <v>4939</v>
      </c>
      <c r="AZ94" s="39">
        <v>3.0</v>
      </c>
      <c r="BA94" s="39" t="s">
        <v>4930</v>
      </c>
      <c r="BB94" s="39"/>
      <c r="BC94" s="39"/>
    </row>
    <row r="95" ht="18.75" customHeight="1" outlineLevel="1">
      <c r="A95" s="37" t="s">
        <v>4940</v>
      </c>
      <c r="B95" s="37" t="s">
        <v>4913</v>
      </c>
      <c r="C95" s="37">
        <v>4.0</v>
      </c>
      <c r="D95" s="37">
        <v>35.0</v>
      </c>
      <c r="E95" s="37" t="s">
        <v>4941</v>
      </c>
      <c r="AY95" s="37" t="s">
        <v>4942</v>
      </c>
      <c r="AZ95" s="39">
        <v>4.0</v>
      </c>
      <c r="BA95" s="39" t="s">
        <v>4933</v>
      </c>
      <c r="BB95" s="39"/>
      <c r="BC95" s="39"/>
    </row>
    <row r="96" ht="18.75" customHeight="1" outlineLevel="1">
      <c r="A96" s="37" t="s">
        <v>4943</v>
      </c>
      <c r="B96" s="37" t="s">
        <v>4913</v>
      </c>
      <c r="C96" s="37">
        <v>4.0</v>
      </c>
      <c r="D96" s="37">
        <v>35.0</v>
      </c>
      <c r="E96" s="37" t="s">
        <v>4944</v>
      </c>
      <c r="M96" s="39">
        <v>10.0</v>
      </c>
      <c r="N96" s="39">
        <v>10.0</v>
      </c>
      <c r="AY96" s="37" t="s">
        <v>4945</v>
      </c>
      <c r="AZ96" s="39">
        <v>4.0</v>
      </c>
      <c r="BA96" s="39" t="s">
        <v>4936</v>
      </c>
      <c r="BB96" s="39"/>
      <c r="BC96" s="39"/>
    </row>
    <row r="97" ht="18.75" customHeight="1" outlineLevel="1">
      <c r="A97" s="37" t="s">
        <v>4946</v>
      </c>
      <c r="B97" s="37" t="s">
        <v>4913</v>
      </c>
      <c r="C97" s="37">
        <v>4.0</v>
      </c>
      <c r="D97" s="37">
        <v>35.0</v>
      </c>
      <c r="E97" s="37" t="s">
        <v>4947</v>
      </c>
      <c r="AY97" s="37" t="s">
        <v>4948</v>
      </c>
      <c r="AZ97" s="39">
        <v>4.0</v>
      </c>
      <c r="BA97" s="39" t="s">
        <v>4939</v>
      </c>
      <c r="BB97" s="39"/>
      <c r="BC97" s="39"/>
    </row>
    <row r="98" ht="18.75" customHeight="1" outlineLevel="1">
      <c r="B98" s="37" t="s">
        <v>4913</v>
      </c>
      <c r="C98" s="37">
        <f t="shared" ref="C98:C106" si="5">C95+1</f>
        <v>5</v>
      </c>
    </row>
    <row r="99" ht="18.75" customHeight="1" outlineLevel="1">
      <c r="B99" s="37" t="s">
        <v>4913</v>
      </c>
      <c r="C99" s="37">
        <f t="shared" si="5"/>
        <v>5</v>
      </c>
    </row>
    <row r="100" ht="18.75" customHeight="1" outlineLevel="1">
      <c r="B100" s="37" t="s">
        <v>4913</v>
      </c>
      <c r="C100" s="37">
        <f t="shared" si="5"/>
        <v>5</v>
      </c>
    </row>
    <row r="101" ht="18.75" customHeight="1" outlineLevel="1">
      <c r="B101" s="37" t="s">
        <v>4913</v>
      </c>
      <c r="C101" s="37">
        <f t="shared" si="5"/>
        <v>6</v>
      </c>
    </row>
    <row r="102" ht="18.75" customHeight="1" outlineLevel="1">
      <c r="B102" s="37" t="s">
        <v>4913</v>
      </c>
      <c r="C102" s="37">
        <f t="shared" si="5"/>
        <v>6</v>
      </c>
    </row>
    <row r="103" ht="18.75" customHeight="1" outlineLevel="1">
      <c r="B103" s="37" t="s">
        <v>4913</v>
      </c>
      <c r="C103" s="37">
        <f t="shared" si="5"/>
        <v>6</v>
      </c>
    </row>
    <row r="104" ht="18.75" customHeight="1" outlineLevel="1">
      <c r="B104" s="37" t="s">
        <v>4913</v>
      </c>
      <c r="C104" s="37">
        <f t="shared" si="5"/>
        <v>7</v>
      </c>
    </row>
    <row r="105" ht="18.75" customHeight="1" outlineLevel="1">
      <c r="B105" s="37" t="s">
        <v>4913</v>
      </c>
      <c r="C105" s="37">
        <f t="shared" si="5"/>
        <v>7</v>
      </c>
    </row>
    <row r="106" ht="18.75" customHeight="1" outlineLevel="1">
      <c r="B106" s="37" t="s">
        <v>4913</v>
      </c>
      <c r="C106" s="37">
        <f t="shared" si="5"/>
        <v>7</v>
      </c>
    </row>
    <row r="107" ht="18.75" customHeight="1">
      <c r="A107" s="39" t="s">
        <v>4949</v>
      </c>
      <c r="B107" s="41" t="s">
        <v>4950</v>
      </c>
      <c r="C107" s="39">
        <v>1.0</v>
      </c>
      <c r="D107" s="39">
        <v>5.0</v>
      </c>
      <c r="E107" s="41" t="s">
        <v>4951</v>
      </c>
      <c r="F107" s="39" t="s">
        <v>29</v>
      </c>
      <c r="G107" s="39" t="s">
        <v>29</v>
      </c>
      <c r="H107" s="39" t="s">
        <v>29</v>
      </c>
      <c r="I107" s="39" t="s">
        <v>29</v>
      </c>
      <c r="J107" s="39" t="s">
        <v>29</v>
      </c>
      <c r="K107" s="39" t="s">
        <v>29</v>
      </c>
      <c r="L107" s="39" t="s">
        <v>29</v>
      </c>
      <c r="M107" s="39" t="s">
        <v>29</v>
      </c>
      <c r="N107" s="39" t="s">
        <v>29</v>
      </c>
      <c r="O107" s="39" t="s">
        <v>29</v>
      </c>
      <c r="P107" s="39" t="s">
        <v>29</v>
      </c>
      <c r="Q107" s="39" t="s">
        <v>29</v>
      </c>
      <c r="R107" s="39" t="s">
        <v>29</v>
      </c>
      <c r="S107" s="39" t="s">
        <v>29</v>
      </c>
      <c r="T107" s="39" t="s">
        <v>29</v>
      </c>
      <c r="U107" s="39" t="s">
        <v>29</v>
      </c>
      <c r="V107" s="39" t="s">
        <v>29</v>
      </c>
      <c r="W107" s="39" t="s">
        <v>29</v>
      </c>
      <c r="X107" s="39" t="s">
        <v>29</v>
      </c>
      <c r="Y107" s="39" t="s">
        <v>29</v>
      </c>
      <c r="Z107" s="39" t="s">
        <v>29</v>
      </c>
      <c r="AA107" s="39" t="s">
        <v>29</v>
      </c>
      <c r="AB107" s="39" t="s">
        <v>29</v>
      </c>
      <c r="AC107" s="39" t="s">
        <v>29</v>
      </c>
      <c r="AD107" s="39" t="s">
        <v>29</v>
      </c>
      <c r="AE107" s="39" t="s">
        <v>29</v>
      </c>
      <c r="AF107" s="39" t="s">
        <v>29</v>
      </c>
      <c r="AG107" s="39" t="s">
        <v>29</v>
      </c>
      <c r="AH107" s="39" t="s">
        <v>29</v>
      </c>
      <c r="AI107" s="39" t="s">
        <v>29</v>
      </c>
      <c r="AJ107" s="39" t="s">
        <v>29</v>
      </c>
      <c r="AK107" s="39" t="s">
        <v>29</v>
      </c>
      <c r="AL107" s="39" t="s">
        <v>29</v>
      </c>
      <c r="AM107" s="39" t="s">
        <v>29</v>
      </c>
      <c r="AN107" s="39" t="s">
        <v>29</v>
      </c>
      <c r="AO107" s="39" t="s">
        <v>29</v>
      </c>
      <c r="AP107" s="39" t="s">
        <v>29</v>
      </c>
      <c r="AQ107" s="39" t="s">
        <v>29</v>
      </c>
      <c r="AR107" s="39" t="s">
        <v>29</v>
      </c>
      <c r="AS107" s="39" t="s">
        <v>29</v>
      </c>
      <c r="AT107" s="39" t="s">
        <v>29</v>
      </c>
      <c r="AU107" s="39" t="s">
        <v>29</v>
      </c>
      <c r="AV107" s="39" t="s">
        <v>29</v>
      </c>
      <c r="AW107" s="39" t="s">
        <v>29</v>
      </c>
      <c r="AX107" s="39" t="s">
        <v>29</v>
      </c>
      <c r="AY107" s="39" t="s">
        <v>4952</v>
      </c>
      <c r="AZ107" s="39">
        <v>1.0</v>
      </c>
      <c r="BA107" s="39" t="s">
        <v>29</v>
      </c>
      <c r="BB107" s="39"/>
      <c r="BC107" s="39"/>
    </row>
    <row r="108" ht="18.75" customHeight="1">
      <c r="A108" s="39" t="s">
        <v>4953</v>
      </c>
      <c r="B108" s="41" t="s">
        <v>4950</v>
      </c>
      <c r="C108" s="39">
        <v>2.0</v>
      </c>
      <c r="D108" s="39">
        <v>15.0</v>
      </c>
      <c r="E108" s="39" t="s">
        <v>4954</v>
      </c>
      <c r="F108" s="39" t="s">
        <v>29</v>
      </c>
      <c r="G108" s="39" t="s">
        <v>29</v>
      </c>
      <c r="H108" s="39" t="s">
        <v>29</v>
      </c>
      <c r="I108" s="39" t="s">
        <v>29</v>
      </c>
      <c r="J108" s="39" t="s">
        <v>29</v>
      </c>
      <c r="K108" s="39" t="s">
        <v>29</v>
      </c>
      <c r="L108" s="39" t="s">
        <v>29</v>
      </c>
      <c r="M108" s="39" t="s">
        <v>29</v>
      </c>
      <c r="N108" s="39" t="s">
        <v>29</v>
      </c>
      <c r="O108" s="39" t="s">
        <v>29</v>
      </c>
      <c r="P108" s="39" t="s">
        <v>29</v>
      </c>
      <c r="Q108" s="39" t="s">
        <v>29</v>
      </c>
      <c r="R108" s="39" t="s">
        <v>29</v>
      </c>
      <c r="S108" s="39" t="s">
        <v>29</v>
      </c>
      <c r="T108" s="39" t="s">
        <v>29</v>
      </c>
      <c r="U108" s="39" t="s">
        <v>29</v>
      </c>
      <c r="V108" s="39" t="s">
        <v>29</v>
      </c>
      <c r="W108" s="39" t="s">
        <v>29</v>
      </c>
      <c r="X108" s="39" t="s">
        <v>29</v>
      </c>
      <c r="Y108" s="39" t="s">
        <v>29</v>
      </c>
      <c r="Z108" s="39" t="s">
        <v>29</v>
      </c>
      <c r="AA108" s="39" t="s">
        <v>29</v>
      </c>
      <c r="AB108" s="39" t="s">
        <v>29</v>
      </c>
      <c r="AC108" s="39" t="s">
        <v>29</v>
      </c>
      <c r="AD108" s="39" t="s">
        <v>29</v>
      </c>
      <c r="AE108" s="39" t="s">
        <v>29</v>
      </c>
      <c r="AF108" s="39" t="s">
        <v>29</v>
      </c>
      <c r="AG108" s="39" t="s">
        <v>29</v>
      </c>
      <c r="AH108" s="39" t="s">
        <v>29</v>
      </c>
      <c r="AI108" s="39" t="s">
        <v>29</v>
      </c>
      <c r="AJ108" s="39" t="s">
        <v>29</v>
      </c>
      <c r="AK108" s="39" t="s">
        <v>29</v>
      </c>
      <c r="AL108" s="39" t="s">
        <v>29</v>
      </c>
      <c r="AM108" s="39" t="s">
        <v>29</v>
      </c>
      <c r="AN108" s="39" t="s">
        <v>29</v>
      </c>
      <c r="AO108" s="39" t="s">
        <v>29</v>
      </c>
      <c r="AP108" s="39" t="s">
        <v>29</v>
      </c>
      <c r="AQ108" s="39" t="s">
        <v>29</v>
      </c>
      <c r="AR108" s="39" t="s">
        <v>29</v>
      </c>
      <c r="AS108" s="39" t="s">
        <v>29</v>
      </c>
      <c r="AT108" s="39" t="s">
        <v>29</v>
      </c>
      <c r="AU108" s="39" t="s">
        <v>29</v>
      </c>
      <c r="AV108" s="39" t="s">
        <v>29</v>
      </c>
      <c r="AW108" s="39" t="s">
        <v>29</v>
      </c>
      <c r="AX108" s="39" t="s">
        <v>29</v>
      </c>
      <c r="AY108" s="39" t="s">
        <v>4955</v>
      </c>
      <c r="AZ108" s="39">
        <v>2.0</v>
      </c>
      <c r="BA108" s="39" t="s">
        <v>4952</v>
      </c>
      <c r="BB108" s="39"/>
      <c r="BC108" s="39"/>
    </row>
    <row r="109" ht="18.75" customHeight="1">
      <c r="A109" s="39" t="s">
        <v>4956</v>
      </c>
      <c r="B109" s="41" t="s">
        <v>4950</v>
      </c>
      <c r="C109" s="39">
        <v>3.0</v>
      </c>
      <c r="D109" s="39">
        <v>25.0</v>
      </c>
      <c r="E109" s="39" t="s">
        <v>4957</v>
      </c>
      <c r="F109" s="39" t="s">
        <v>29</v>
      </c>
      <c r="G109" s="39" t="s">
        <v>29</v>
      </c>
      <c r="H109" s="39" t="s">
        <v>29</v>
      </c>
      <c r="I109" s="39" t="s">
        <v>29</v>
      </c>
      <c r="J109" s="39" t="s">
        <v>29</v>
      </c>
      <c r="K109" s="39" t="s">
        <v>29</v>
      </c>
      <c r="L109" s="39" t="s">
        <v>29</v>
      </c>
      <c r="M109" s="39" t="s">
        <v>29</v>
      </c>
      <c r="N109" s="39" t="s">
        <v>29</v>
      </c>
      <c r="O109" s="39" t="s">
        <v>29</v>
      </c>
      <c r="P109" s="39" t="s">
        <v>29</v>
      </c>
      <c r="Q109" s="39" t="s">
        <v>29</v>
      </c>
      <c r="R109" s="39" t="s">
        <v>29</v>
      </c>
      <c r="S109" s="39" t="s">
        <v>29</v>
      </c>
      <c r="T109" s="39" t="s">
        <v>29</v>
      </c>
      <c r="U109" s="39" t="s">
        <v>29</v>
      </c>
      <c r="V109" s="39" t="s">
        <v>29</v>
      </c>
      <c r="W109" s="39" t="s">
        <v>29</v>
      </c>
      <c r="X109" s="39" t="s">
        <v>29</v>
      </c>
      <c r="Y109" s="39" t="s">
        <v>29</v>
      </c>
      <c r="Z109" s="39" t="s">
        <v>29</v>
      </c>
      <c r="AA109" s="39" t="s">
        <v>29</v>
      </c>
      <c r="AB109" s="39" t="s">
        <v>29</v>
      </c>
      <c r="AC109" s="39" t="s">
        <v>29</v>
      </c>
      <c r="AD109" s="39" t="s">
        <v>29</v>
      </c>
      <c r="AE109" s="39" t="s">
        <v>29</v>
      </c>
      <c r="AF109" s="39" t="s">
        <v>29</v>
      </c>
      <c r="AG109" s="39" t="s">
        <v>29</v>
      </c>
      <c r="AH109" s="39" t="s">
        <v>29</v>
      </c>
      <c r="AI109" s="39" t="s">
        <v>29</v>
      </c>
      <c r="AJ109" s="39" t="s">
        <v>29</v>
      </c>
      <c r="AK109" s="39" t="s">
        <v>29</v>
      </c>
      <c r="AL109" s="39" t="s">
        <v>29</v>
      </c>
      <c r="AM109" s="39" t="s">
        <v>29</v>
      </c>
      <c r="AN109" s="39" t="s">
        <v>29</v>
      </c>
      <c r="AO109" s="39" t="s">
        <v>29</v>
      </c>
      <c r="AP109" s="39" t="s">
        <v>29</v>
      </c>
      <c r="AQ109" s="39" t="s">
        <v>29</v>
      </c>
      <c r="AR109" s="39" t="s">
        <v>29</v>
      </c>
      <c r="AS109" s="39" t="s">
        <v>29</v>
      </c>
      <c r="AT109" s="39" t="s">
        <v>29</v>
      </c>
      <c r="AU109" s="39" t="s">
        <v>29</v>
      </c>
      <c r="AV109" s="39" t="s">
        <v>29</v>
      </c>
      <c r="AW109" s="39" t="s">
        <v>29</v>
      </c>
      <c r="AX109" s="39" t="s">
        <v>29</v>
      </c>
      <c r="AY109" s="39" t="s">
        <v>4958</v>
      </c>
      <c r="AZ109" s="39">
        <v>3.0</v>
      </c>
      <c r="BA109" s="39" t="s">
        <v>4955</v>
      </c>
      <c r="BB109" s="39"/>
      <c r="BC109" s="39"/>
    </row>
    <row r="110" ht="18.75" customHeight="1">
      <c r="A110" s="39" t="s">
        <v>4959</v>
      </c>
      <c r="B110" s="41" t="s">
        <v>4950</v>
      </c>
      <c r="C110" s="39">
        <v>1.0</v>
      </c>
      <c r="D110" s="39">
        <v>5.0</v>
      </c>
      <c r="E110" s="39" t="s">
        <v>4960</v>
      </c>
      <c r="F110" s="39" t="s">
        <v>29</v>
      </c>
      <c r="G110" s="39" t="s">
        <v>29</v>
      </c>
      <c r="H110" s="39" t="s">
        <v>29</v>
      </c>
      <c r="I110" s="39" t="s">
        <v>29</v>
      </c>
      <c r="J110" s="39" t="s">
        <v>29</v>
      </c>
      <c r="K110" s="39" t="s">
        <v>29</v>
      </c>
      <c r="L110" s="39" t="s">
        <v>29</v>
      </c>
      <c r="M110" s="39" t="s">
        <v>29</v>
      </c>
      <c r="N110" s="39" t="s">
        <v>29</v>
      </c>
      <c r="O110" s="39" t="s">
        <v>29</v>
      </c>
      <c r="P110" s="39" t="s">
        <v>29</v>
      </c>
      <c r="Q110" s="39" t="s">
        <v>29</v>
      </c>
      <c r="R110" s="39" t="s">
        <v>29</v>
      </c>
      <c r="S110" s="39" t="s">
        <v>29</v>
      </c>
      <c r="T110" s="39" t="s">
        <v>29</v>
      </c>
      <c r="U110" s="39" t="s">
        <v>29</v>
      </c>
      <c r="V110" s="39" t="s">
        <v>29</v>
      </c>
      <c r="W110" s="39" t="s">
        <v>29</v>
      </c>
      <c r="X110" s="39" t="s">
        <v>29</v>
      </c>
      <c r="Y110" s="39" t="s">
        <v>29</v>
      </c>
      <c r="Z110" s="39" t="s">
        <v>29</v>
      </c>
      <c r="AA110" s="39" t="s">
        <v>29</v>
      </c>
      <c r="AB110" s="39" t="s">
        <v>29</v>
      </c>
      <c r="AC110" s="39" t="s">
        <v>29</v>
      </c>
      <c r="AD110" s="39" t="s">
        <v>29</v>
      </c>
      <c r="AE110" s="39" t="s">
        <v>29</v>
      </c>
      <c r="AF110" s="39" t="s">
        <v>29</v>
      </c>
      <c r="AG110" s="39" t="s">
        <v>29</v>
      </c>
      <c r="AH110" s="39" t="s">
        <v>29</v>
      </c>
      <c r="AI110" s="39" t="s">
        <v>29</v>
      </c>
      <c r="AJ110" s="39" t="s">
        <v>29</v>
      </c>
      <c r="AK110" s="39" t="s">
        <v>29</v>
      </c>
      <c r="AL110" s="39" t="s">
        <v>29</v>
      </c>
      <c r="AM110" s="39" t="s">
        <v>29</v>
      </c>
      <c r="AN110" s="39" t="s">
        <v>29</v>
      </c>
      <c r="AO110" s="39" t="s">
        <v>29</v>
      </c>
      <c r="AP110" s="39" t="s">
        <v>29</v>
      </c>
      <c r="AQ110" s="39" t="s">
        <v>29</v>
      </c>
      <c r="AR110" s="39" t="s">
        <v>29</v>
      </c>
      <c r="AS110" s="39" t="s">
        <v>29</v>
      </c>
      <c r="AT110" s="39" t="s">
        <v>29</v>
      </c>
      <c r="AU110" s="39" t="s">
        <v>29</v>
      </c>
      <c r="AV110" s="39" t="s">
        <v>29</v>
      </c>
      <c r="AW110" s="39" t="s">
        <v>29</v>
      </c>
      <c r="AX110" s="39" t="s">
        <v>29</v>
      </c>
      <c r="AY110" s="39" t="s">
        <v>4961</v>
      </c>
      <c r="AZ110" s="39">
        <v>1.0</v>
      </c>
      <c r="BA110" s="39" t="s">
        <v>29</v>
      </c>
      <c r="BB110" s="39"/>
      <c r="BC110" s="39"/>
    </row>
    <row r="111" ht="18.75" customHeight="1">
      <c r="A111" s="39" t="s">
        <v>4962</v>
      </c>
      <c r="B111" s="41" t="s">
        <v>4950</v>
      </c>
      <c r="C111" s="39">
        <v>2.0</v>
      </c>
      <c r="D111" s="39">
        <v>15.0</v>
      </c>
      <c r="E111" s="39" t="s">
        <v>4963</v>
      </c>
      <c r="F111" s="39" t="s">
        <v>29</v>
      </c>
      <c r="G111" s="39" t="s">
        <v>29</v>
      </c>
      <c r="H111" s="39" t="s">
        <v>29</v>
      </c>
      <c r="I111" s="39" t="s">
        <v>29</v>
      </c>
      <c r="J111" s="39" t="s">
        <v>29</v>
      </c>
      <c r="K111" s="39" t="s">
        <v>29</v>
      </c>
      <c r="L111" s="39" t="s">
        <v>29</v>
      </c>
      <c r="M111" s="39" t="s">
        <v>29</v>
      </c>
      <c r="N111" s="39" t="s">
        <v>29</v>
      </c>
      <c r="O111" s="39" t="s">
        <v>29</v>
      </c>
      <c r="P111" s="39" t="s">
        <v>29</v>
      </c>
      <c r="Q111" s="39" t="s">
        <v>29</v>
      </c>
      <c r="R111" s="39" t="s">
        <v>29</v>
      </c>
      <c r="S111" s="39" t="s">
        <v>29</v>
      </c>
      <c r="T111" s="39" t="s">
        <v>29</v>
      </c>
      <c r="U111" s="39" t="s">
        <v>29</v>
      </c>
      <c r="V111" s="39" t="s">
        <v>29</v>
      </c>
      <c r="W111" s="39" t="s">
        <v>29</v>
      </c>
      <c r="X111" s="39" t="s">
        <v>29</v>
      </c>
      <c r="Y111" s="39" t="s">
        <v>29</v>
      </c>
      <c r="Z111" s="39" t="s">
        <v>29</v>
      </c>
      <c r="AA111" s="39" t="s">
        <v>29</v>
      </c>
      <c r="AB111" s="39" t="s">
        <v>29</v>
      </c>
      <c r="AC111" s="39" t="s">
        <v>29</v>
      </c>
      <c r="AD111" s="39" t="s">
        <v>29</v>
      </c>
      <c r="AE111" s="39" t="s">
        <v>29</v>
      </c>
      <c r="AF111" s="39" t="s">
        <v>29</v>
      </c>
      <c r="AG111" s="39" t="s">
        <v>29</v>
      </c>
      <c r="AH111" s="39" t="s">
        <v>29</v>
      </c>
      <c r="AI111" s="39" t="s">
        <v>29</v>
      </c>
      <c r="AJ111" s="39" t="s">
        <v>29</v>
      </c>
      <c r="AK111" s="39" t="s">
        <v>29</v>
      </c>
      <c r="AL111" s="39" t="s">
        <v>29</v>
      </c>
      <c r="AM111" s="39" t="s">
        <v>29</v>
      </c>
      <c r="AN111" s="39" t="s">
        <v>29</v>
      </c>
      <c r="AO111" s="39" t="s">
        <v>29</v>
      </c>
      <c r="AP111" s="39" t="s">
        <v>29</v>
      </c>
      <c r="AQ111" s="39" t="s">
        <v>29</v>
      </c>
      <c r="AR111" s="39" t="s">
        <v>29</v>
      </c>
      <c r="AS111" s="39" t="s">
        <v>29</v>
      </c>
      <c r="AT111" s="39" t="s">
        <v>29</v>
      </c>
      <c r="AU111" s="39" t="s">
        <v>29</v>
      </c>
      <c r="AV111" s="39" t="s">
        <v>29</v>
      </c>
      <c r="AW111" s="39" t="s">
        <v>29</v>
      </c>
      <c r="AX111" s="39" t="s">
        <v>29</v>
      </c>
      <c r="AY111" s="39" t="s">
        <v>4964</v>
      </c>
      <c r="AZ111" s="39">
        <v>2.0</v>
      </c>
      <c r="BA111" s="39" t="s">
        <v>4961</v>
      </c>
      <c r="BB111" s="39"/>
      <c r="BC111" s="39"/>
    </row>
    <row r="112" ht="18.75" customHeight="1">
      <c r="A112" s="39" t="s">
        <v>4965</v>
      </c>
      <c r="B112" s="41" t="s">
        <v>4950</v>
      </c>
      <c r="C112" s="39">
        <v>3.0</v>
      </c>
      <c r="D112" s="39">
        <v>25.0</v>
      </c>
      <c r="E112" s="39" t="s">
        <v>4966</v>
      </c>
      <c r="F112" s="39" t="s">
        <v>29</v>
      </c>
      <c r="G112" s="39" t="s">
        <v>29</v>
      </c>
      <c r="H112" s="39" t="s">
        <v>29</v>
      </c>
      <c r="I112" s="39" t="s">
        <v>29</v>
      </c>
      <c r="J112" s="39" t="s">
        <v>29</v>
      </c>
      <c r="K112" s="39" t="s">
        <v>29</v>
      </c>
      <c r="L112" s="39" t="s">
        <v>29</v>
      </c>
      <c r="M112" s="39" t="s">
        <v>29</v>
      </c>
      <c r="N112" s="39" t="s">
        <v>29</v>
      </c>
      <c r="O112" s="39" t="s">
        <v>29</v>
      </c>
      <c r="P112" s="39" t="s">
        <v>29</v>
      </c>
      <c r="Q112" s="39" t="s">
        <v>29</v>
      </c>
      <c r="R112" s="39" t="s">
        <v>29</v>
      </c>
      <c r="S112" s="39" t="s">
        <v>29</v>
      </c>
      <c r="T112" s="39" t="s">
        <v>29</v>
      </c>
      <c r="U112" s="39" t="s">
        <v>29</v>
      </c>
      <c r="V112" s="39" t="s">
        <v>29</v>
      </c>
      <c r="W112" s="39" t="s">
        <v>29</v>
      </c>
      <c r="X112" s="39" t="s">
        <v>29</v>
      </c>
      <c r="Y112" s="39" t="s">
        <v>29</v>
      </c>
      <c r="Z112" s="39" t="s">
        <v>29</v>
      </c>
      <c r="AA112" s="39" t="s">
        <v>29</v>
      </c>
      <c r="AB112" s="39" t="s">
        <v>29</v>
      </c>
      <c r="AC112" s="39" t="s">
        <v>29</v>
      </c>
      <c r="AD112" s="39" t="s">
        <v>29</v>
      </c>
      <c r="AE112" s="39" t="s">
        <v>29</v>
      </c>
      <c r="AF112" s="39" t="s">
        <v>29</v>
      </c>
      <c r="AG112" s="39" t="s">
        <v>29</v>
      </c>
      <c r="AH112" s="39" t="s">
        <v>29</v>
      </c>
      <c r="AI112" s="39" t="s">
        <v>29</v>
      </c>
      <c r="AJ112" s="39" t="s">
        <v>29</v>
      </c>
      <c r="AK112" s="39" t="s">
        <v>29</v>
      </c>
      <c r="AL112" s="39" t="s">
        <v>29</v>
      </c>
      <c r="AM112" s="39" t="s">
        <v>29</v>
      </c>
      <c r="AN112" s="39" t="s">
        <v>29</v>
      </c>
      <c r="AO112" s="39" t="s">
        <v>29</v>
      </c>
      <c r="AP112" s="39" t="s">
        <v>29</v>
      </c>
      <c r="AQ112" s="39" t="s">
        <v>29</v>
      </c>
      <c r="AR112" s="39" t="s">
        <v>29</v>
      </c>
      <c r="AS112" s="39" t="s">
        <v>29</v>
      </c>
      <c r="AT112" s="39" t="s">
        <v>29</v>
      </c>
      <c r="AU112" s="39" t="s">
        <v>29</v>
      </c>
      <c r="AV112" s="39" t="s">
        <v>29</v>
      </c>
      <c r="AW112" s="39" t="s">
        <v>29</v>
      </c>
      <c r="AX112" s="39" t="s">
        <v>29</v>
      </c>
      <c r="AY112" s="39" t="s">
        <v>4967</v>
      </c>
      <c r="AZ112" s="39">
        <v>3.0</v>
      </c>
      <c r="BA112" s="39" t="s">
        <v>4964</v>
      </c>
      <c r="BB112" s="39"/>
      <c r="BC112" s="39"/>
    </row>
    <row r="113" ht="18.75" customHeight="1">
      <c r="A113" s="39" t="s">
        <v>4968</v>
      </c>
      <c r="B113" s="41" t="s">
        <v>4950</v>
      </c>
      <c r="C113" s="39">
        <v>1.0</v>
      </c>
      <c r="D113" s="39">
        <v>5.0</v>
      </c>
      <c r="E113" s="39" t="s">
        <v>4969</v>
      </c>
      <c r="F113" s="39" t="s">
        <v>29</v>
      </c>
      <c r="G113" s="39" t="s">
        <v>29</v>
      </c>
      <c r="H113" s="39" t="s">
        <v>29</v>
      </c>
      <c r="I113" s="39" t="s">
        <v>29</v>
      </c>
      <c r="J113" s="39" t="s">
        <v>29</v>
      </c>
      <c r="K113" s="39" t="s">
        <v>29</v>
      </c>
      <c r="L113" s="39" t="s">
        <v>29</v>
      </c>
      <c r="M113" s="39" t="s">
        <v>29</v>
      </c>
      <c r="N113" s="39" t="s">
        <v>29</v>
      </c>
      <c r="O113" s="39" t="s">
        <v>29</v>
      </c>
      <c r="P113" s="39" t="s">
        <v>29</v>
      </c>
      <c r="Q113" s="39" t="s">
        <v>29</v>
      </c>
      <c r="R113" s="39" t="s">
        <v>29</v>
      </c>
      <c r="S113" s="39" t="s">
        <v>29</v>
      </c>
      <c r="T113" s="39" t="s">
        <v>29</v>
      </c>
      <c r="U113" s="39" t="s">
        <v>29</v>
      </c>
      <c r="V113" s="39" t="s">
        <v>29</v>
      </c>
      <c r="W113" s="39" t="s">
        <v>29</v>
      </c>
      <c r="X113" s="39" t="s">
        <v>29</v>
      </c>
      <c r="Y113" s="39" t="s">
        <v>29</v>
      </c>
      <c r="Z113" s="39" t="s">
        <v>29</v>
      </c>
      <c r="AA113" s="39" t="s">
        <v>29</v>
      </c>
      <c r="AB113" s="39" t="s">
        <v>29</v>
      </c>
      <c r="AC113" s="39" t="s">
        <v>29</v>
      </c>
      <c r="AD113" s="39" t="s">
        <v>29</v>
      </c>
      <c r="AE113" s="39" t="s">
        <v>29</v>
      </c>
      <c r="AF113" s="39" t="s">
        <v>29</v>
      </c>
      <c r="AG113" s="39" t="s">
        <v>29</v>
      </c>
      <c r="AH113" s="39" t="s">
        <v>29</v>
      </c>
      <c r="AI113" s="39" t="s">
        <v>29</v>
      </c>
      <c r="AJ113" s="39" t="s">
        <v>29</v>
      </c>
      <c r="AK113" s="39" t="s">
        <v>29</v>
      </c>
      <c r="AL113" s="39" t="s">
        <v>29</v>
      </c>
      <c r="AM113" s="39" t="s">
        <v>29</v>
      </c>
      <c r="AN113" s="39" t="s">
        <v>29</v>
      </c>
      <c r="AO113" s="39" t="s">
        <v>29</v>
      </c>
      <c r="AP113" s="39" t="s">
        <v>29</v>
      </c>
      <c r="AQ113" s="39" t="s">
        <v>29</v>
      </c>
      <c r="AR113" s="39" t="s">
        <v>29</v>
      </c>
      <c r="AS113" s="39" t="s">
        <v>29</v>
      </c>
      <c r="AT113" s="39" t="s">
        <v>29</v>
      </c>
      <c r="AU113" s="39" t="s">
        <v>29</v>
      </c>
      <c r="AV113" s="39" t="s">
        <v>29</v>
      </c>
      <c r="AW113" s="39" t="s">
        <v>29</v>
      </c>
      <c r="AX113" s="39" t="s">
        <v>29</v>
      </c>
      <c r="AY113" s="39" t="s">
        <v>4970</v>
      </c>
      <c r="AZ113" s="39">
        <v>1.0</v>
      </c>
      <c r="BA113" s="39" t="s">
        <v>29</v>
      </c>
      <c r="BB113" s="39"/>
      <c r="BC113" s="39"/>
    </row>
    <row r="114" ht="18.75" customHeight="1">
      <c r="A114" s="39" t="s">
        <v>4971</v>
      </c>
      <c r="B114" s="39" t="s">
        <v>4808</v>
      </c>
      <c r="C114" s="39">
        <v>1.0</v>
      </c>
      <c r="D114" s="39">
        <v>5.0</v>
      </c>
      <c r="E114" s="39" t="s">
        <v>4972</v>
      </c>
      <c r="AY114" s="39" t="s">
        <v>4973</v>
      </c>
      <c r="AZ114" s="39">
        <v>1.0</v>
      </c>
      <c r="BB114" s="39">
        <v>5.0</v>
      </c>
      <c r="BC114" s="39">
        <v>0.0</v>
      </c>
    </row>
    <row r="115" ht="18.75" customHeight="1">
      <c r="A115" s="39" t="s">
        <v>4974</v>
      </c>
      <c r="B115" s="39" t="s">
        <v>4808</v>
      </c>
      <c r="C115" s="39">
        <v>2.0</v>
      </c>
      <c r="D115" s="39">
        <v>15.0</v>
      </c>
      <c r="E115" s="39" t="s">
        <v>4975</v>
      </c>
      <c r="AY115" s="39" t="s">
        <v>4976</v>
      </c>
      <c r="AZ115" s="39">
        <v>2.0</v>
      </c>
      <c r="BA115" s="39" t="s">
        <v>4973</v>
      </c>
      <c r="BB115" s="39">
        <v>5.0</v>
      </c>
      <c r="BC115" s="39">
        <v>0.0</v>
      </c>
    </row>
    <row r="116" ht="18.75" customHeight="1">
      <c r="A116" s="39" t="s">
        <v>4977</v>
      </c>
      <c r="B116" s="39" t="s">
        <v>4808</v>
      </c>
      <c r="C116" s="39">
        <v>3.0</v>
      </c>
      <c r="D116" s="39">
        <v>25.0</v>
      </c>
      <c r="E116" s="39" t="s">
        <v>4978</v>
      </c>
      <c r="AY116" s="39" t="s">
        <v>4979</v>
      </c>
      <c r="AZ116" s="39">
        <v>3.0</v>
      </c>
      <c r="BA116" s="39" t="s">
        <v>4976</v>
      </c>
      <c r="BB116" s="39">
        <v>5.0</v>
      </c>
      <c r="BC116" s="39">
        <v>1.0</v>
      </c>
    </row>
    <row r="117" ht="18.75" customHeight="1">
      <c r="A117" s="39" t="s">
        <v>4980</v>
      </c>
      <c r="B117" s="39" t="s">
        <v>4808</v>
      </c>
      <c r="C117" s="39">
        <v>4.0</v>
      </c>
      <c r="D117" s="39">
        <v>35.0</v>
      </c>
      <c r="E117" s="39" t="s">
        <v>4975</v>
      </c>
      <c r="AY117" s="39" t="s">
        <v>4981</v>
      </c>
      <c r="AZ117" s="39">
        <v>4.0</v>
      </c>
      <c r="BA117" s="39" t="s">
        <v>4979</v>
      </c>
      <c r="BB117" s="39">
        <v>5.0</v>
      </c>
      <c r="BC117" s="39">
        <v>0.0</v>
      </c>
    </row>
    <row r="118" ht="18.75" customHeight="1">
      <c r="A118" s="39" t="s">
        <v>4982</v>
      </c>
      <c r="B118" s="39" t="s">
        <v>4808</v>
      </c>
      <c r="C118" s="39">
        <v>5.0</v>
      </c>
      <c r="D118" s="39">
        <v>45.0</v>
      </c>
      <c r="E118" s="39" t="s">
        <v>4983</v>
      </c>
      <c r="AY118" s="39" t="s">
        <v>4984</v>
      </c>
      <c r="AZ118" s="39">
        <v>5.0</v>
      </c>
      <c r="BA118" s="39" t="s">
        <v>4981</v>
      </c>
      <c r="BB118" s="39">
        <v>5.0</v>
      </c>
      <c r="BC118" s="39">
        <v>1.0</v>
      </c>
    </row>
    <row r="119" ht="18.75" customHeight="1">
      <c r="A119" s="39" t="s">
        <v>4985</v>
      </c>
      <c r="B119" s="39" t="s">
        <v>4808</v>
      </c>
      <c r="C119" s="39">
        <v>6.0</v>
      </c>
      <c r="D119" s="39">
        <v>55.0</v>
      </c>
      <c r="E119" s="39" t="s">
        <v>4975</v>
      </c>
      <c r="AY119" s="39" t="s">
        <v>4986</v>
      </c>
      <c r="AZ119" s="39">
        <v>6.0</v>
      </c>
      <c r="BA119" s="39" t="s">
        <v>4984</v>
      </c>
      <c r="BB119" s="39">
        <v>5.0</v>
      </c>
      <c r="BC119" s="39">
        <v>0.0</v>
      </c>
    </row>
    <row r="120" ht="18.75" customHeight="1">
      <c r="A120" s="39" t="s">
        <v>4987</v>
      </c>
      <c r="B120" s="39" t="s">
        <v>4808</v>
      </c>
      <c r="C120" s="39">
        <v>7.0</v>
      </c>
      <c r="D120" s="39">
        <v>65.0</v>
      </c>
      <c r="E120" s="39" t="s">
        <v>4988</v>
      </c>
      <c r="AY120" s="39" t="s">
        <v>4989</v>
      </c>
      <c r="AZ120" s="39">
        <v>7.0</v>
      </c>
      <c r="BA120" s="39" t="s">
        <v>4986</v>
      </c>
      <c r="BB120" s="39">
        <v>5.0</v>
      </c>
      <c r="BC120" s="39">
        <v>1.0</v>
      </c>
    </row>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11.0" ySplit="2.0" topLeftCell="L3" activePane="bottomRight" state="frozen"/>
      <selection activeCell="L1" sqref="L1" pane="topRight"/>
      <selection activeCell="A3" sqref="A3" pane="bottomLeft"/>
      <selection activeCell="L3" sqref="L3" pane="bottomRight"/>
    </sheetView>
  </sheetViews>
  <sheetFormatPr customHeight="1" defaultColWidth="12.63" defaultRowHeight="15.0" outlineLevelCol="1" outlineLevelRow="1"/>
  <cols>
    <col customWidth="1" min="1" max="2" width="10.13"/>
    <col customWidth="1" min="3" max="3" width="5.5"/>
    <col customWidth="1" min="4" max="4" width="6.5"/>
    <col customWidth="1" min="5" max="5" width="2.88"/>
    <col customWidth="1" min="6" max="7" width="3.13"/>
    <col customWidth="1" min="8" max="8" width="3.38"/>
    <col customWidth="1" min="9" max="9" width="3.13"/>
    <col customWidth="1" min="10" max="11" width="3.38"/>
    <col customWidth="1" min="12" max="12" width="2.38"/>
    <col customWidth="1" min="13" max="13" width="2.63"/>
    <col customWidth="1" min="14" max="14" width="2.75"/>
    <col customWidth="1" min="15" max="15" width="3.0"/>
    <col customWidth="1" min="16" max="16" width="4.25"/>
    <col customWidth="1" hidden="1" min="17" max="24" width="4.25" outlineLevel="1"/>
    <col collapsed="1" customWidth="1" min="25" max="25" width="4.25"/>
    <col customWidth="1" hidden="1" min="26" max="30" width="4.25" outlineLevel="1"/>
    <col customWidth="1" hidden="1" min="31" max="31" width="4.63" outlineLevel="1"/>
    <col customWidth="1" hidden="1" min="32" max="32" width="6.25" outlineLevel="1"/>
    <col customWidth="1" min="33" max="33" width="3.63"/>
    <col customWidth="1" hidden="1" min="34" max="35" width="3.63" outlineLevel="1"/>
    <col customWidth="1" hidden="1" min="36" max="41" width="4.63" outlineLevel="1"/>
    <col customWidth="1" hidden="1" min="42" max="42" width="3.75" outlineLevel="1"/>
    <col customWidth="1" min="43" max="43" width="4.63"/>
    <col customWidth="1" hidden="1" min="44" max="57" width="4.63" outlineLevel="1"/>
    <col customWidth="1" min="58" max="58" width="4.25"/>
    <col customWidth="1" hidden="1" min="59" max="75" width="4.25" outlineLevel="1"/>
    <col customWidth="1" hidden="1" min="76" max="76" width="4.38" outlineLevel="1"/>
    <col customWidth="1" hidden="1" min="77" max="77" width="5.75" outlineLevel="1"/>
    <col customWidth="1" min="78" max="88" width="4.25"/>
  </cols>
  <sheetData>
    <row r="1" ht="18.75" customHeight="1">
      <c r="A1" s="11" t="s">
        <v>4990</v>
      </c>
      <c r="B1" s="11" t="s">
        <v>2</v>
      </c>
      <c r="C1" s="2" t="s">
        <v>4991</v>
      </c>
      <c r="D1" s="3" t="s">
        <v>3844</v>
      </c>
      <c r="E1" s="3" t="s">
        <v>0</v>
      </c>
      <c r="F1" s="4" t="s">
        <v>4378</v>
      </c>
      <c r="G1" s="5" t="s">
        <v>4381</v>
      </c>
      <c r="H1" s="165" t="s">
        <v>4383</v>
      </c>
      <c r="I1" s="5" t="s">
        <v>4385</v>
      </c>
      <c r="J1" s="165" t="s">
        <v>4387</v>
      </c>
      <c r="K1" s="165" t="s">
        <v>4992</v>
      </c>
      <c r="L1" s="166"/>
      <c r="M1" s="167" t="s">
        <v>849</v>
      </c>
      <c r="N1" s="167" t="s">
        <v>4993</v>
      </c>
      <c r="O1" s="167" t="s">
        <v>1492</v>
      </c>
      <c r="P1" s="167" t="s">
        <v>4994</v>
      </c>
      <c r="Q1" s="167" t="s">
        <v>4808</v>
      </c>
      <c r="R1" s="167" t="s">
        <v>4995</v>
      </c>
      <c r="S1" s="167" t="s">
        <v>284</v>
      </c>
      <c r="T1" s="167" t="s">
        <v>370</v>
      </c>
      <c r="U1" s="167" t="s">
        <v>518</v>
      </c>
      <c r="V1" s="167" t="s">
        <v>644</v>
      </c>
      <c r="W1" s="167" t="s">
        <v>783</v>
      </c>
      <c r="X1" s="167" t="s">
        <v>716</v>
      </c>
      <c r="Y1" s="167"/>
      <c r="Z1" s="167" t="s">
        <v>4996</v>
      </c>
      <c r="AA1" s="167" t="s">
        <v>1490</v>
      </c>
      <c r="AB1" s="167" t="s">
        <v>4997</v>
      </c>
      <c r="AC1" s="167" t="s">
        <v>4998</v>
      </c>
      <c r="AD1" s="167" t="s">
        <v>4999</v>
      </c>
      <c r="AE1" s="167" t="s">
        <v>5000</v>
      </c>
      <c r="AF1" s="167" t="s">
        <v>5001</v>
      </c>
      <c r="AG1" s="45" t="s">
        <v>2565</v>
      </c>
      <c r="AH1" s="45" t="s">
        <v>2566</v>
      </c>
      <c r="AI1" s="45" t="s">
        <v>2567</v>
      </c>
      <c r="AJ1" s="45" t="s">
        <v>2568</v>
      </c>
      <c r="AK1" s="45" t="s">
        <v>81</v>
      </c>
      <c r="AL1" s="45" t="s">
        <v>2569</v>
      </c>
      <c r="AM1" s="45" t="s">
        <v>1348</v>
      </c>
      <c r="AN1" s="45" t="s">
        <v>2570</v>
      </c>
      <c r="AO1" s="45" t="s">
        <v>2571</v>
      </c>
      <c r="AP1" s="45" t="s">
        <v>2572</v>
      </c>
      <c r="AQ1" s="49" t="s">
        <v>2593</v>
      </c>
      <c r="AR1" s="49" t="s">
        <v>1921</v>
      </c>
      <c r="AS1" s="49" t="s">
        <v>2594</v>
      </c>
      <c r="AT1" s="49" t="s">
        <v>2595</v>
      </c>
      <c r="AU1" s="49" t="s">
        <v>2596</v>
      </c>
      <c r="AV1" s="51" t="s">
        <v>1139</v>
      </c>
      <c r="AW1" s="51" t="s">
        <v>2598</v>
      </c>
      <c r="AX1" s="52" t="s">
        <v>2599</v>
      </c>
      <c r="AY1" s="52" t="s">
        <v>2600</v>
      </c>
      <c r="AZ1" s="52" t="s">
        <v>2601</v>
      </c>
      <c r="BA1" s="52" t="s">
        <v>2602</v>
      </c>
      <c r="BB1" s="53" t="s">
        <v>2603</v>
      </c>
      <c r="BC1" s="53" t="s">
        <v>2604</v>
      </c>
      <c r="BD1" s="53" t="s">
        <v>2429</v>
      </c>
      <c r="BE1" s="53" t="s">
        <v>1179</v>
      </c>
      <c r="BF1" s="48" t="s">
        <v>2574</v>
      </c>
      <c r="BG1" s="48" t="s">
        <v>2575</v>
      </c>
      <c r="BH1" s="48" t="s">
        <v>2576</v>
      </c>
      <c r="BI1" s="48" t="s">
        <v>2577</v>
      </c>
      <c r="BJ1" s="48" t="s">
        <v>2578</v>
      </c>
      <c r="BK1" s="48" t="s">
        <v>2579</v>
      </c>
      <c r="BL1" s="48" t="s">
        <v>2580</v>
      </c>
      <c r="BM1" s="48" t="s">
        <v>2581</v>
      </c>
      <c r="BN1" s="48" t="s">
        <v>2582</v>
      </c>
      <c r="BO1" s="48" t="s">
        <v>2583</v>
      </c>
      <c r="BP1" s="48" t="s">
        <v>2584</v>
      </c>
      <c r="BQ1" s="48" t="s">
        <v>2585</v>
      </c>
      <c r="BR1" s="48" t="s">
        <v>2586</v>
      </c>
      <c r="BS1" s="48" t="s">
        <v>5002</v>
      </c>
      <c r="BT1" s="48" t="s">
        <v>2587</v>
      </c>
      <c r="BU1" s="48" t="s">
        <v>2588</v>
      </c>
      <c r="BV1" s="48" t="s">
        <v>2589</v>
      </c>
      <c r="BW1" s="48" t="s">
        <v>2590</v>
      </c>
      <c r="BX1" s="48" t="s">
        <v>2591</v>
      </c>
      <c r="BY1" s="48" t="s">
        <v>2592</v>
      </c>
      <c r="BZ1" s="168" t="s">
        <v>5003</v>
      </c>
      <c r="CA1" s="168" t="s">
        <v>5004</v>
      </c>
      <c r="CB1" s="168" t="s">
        <v>5005</v>
      </c>
      <c r="CC1" s="168" t="s">
        <v>8</v>
      </c>
      <c r="CD1" s="168" t="s">
        <v>4369</v>
      </c>
      <c r="CE1" s="168" t="s">
        <v>5006</v>
      </c>
      <c r="CF1" s="168" t="s">
        <v>5007</v>
      </c>
      <c r="CG1" s="168" t="s">
        <v>5008</v>
      </c>
      <c r="CH1" s="168" t="s">
        <v>5009</v>
      </c>
      <c r="CI1" s="168" t="s">
        <v>5010</v>
      </c>
      <c r="CJ1" s="168" t="s">
        <v>5011</v>
      </c>
    </row>
    <row r="2" ht="18.75" customHeight="1">
      <c r="A2" s="11"/>
      <c r="B2" s="11" t="s">
        <v>5012</v>
      </c>
      <c r="C2" s="2"/>
      <c r="D2" s="3"/>
      <c r="E2" s="3"/>
      <c r="F2" s="169"/>
      <c r="G2" s="165"/>
      <c r="H2" s="165"/>
      <c r="I2" s="165"/>
      <c r="J2" s="165"/>
      <c r="K2" s="165"/>
      <c r="L2" s="166"/>
      <c r="M2" s="167"/>
      <c r="N2" s="167"/>
      <c r="O2" s="167"/>
      <c r="P2" s="167"/>
      <c r="Q2" s="167"/>
      <c r="R2" s="167"/>
      <c r="S2" s="167"/>
      <c r="T2" s="167"/>
      <c r="U2" s="167"/>
      <c r="V2" s="167"/>
      <c r="W2" s="167"/>
      <c r="X2" s="167"/>
      <c r="Y2" s="167"/>
      <c r="Z2" s="167"/>
      <c r="AA2" s="167"/>
      <c r="AB2" s="167"/>
      <c r="AC2" s="167"/>
      <c r="AD2" s="167"/>
      <c r="AE2" s="167"/>
      <c r="AF2" s="167"/>
      <c r="AG2" s="45"/>
      <c r="AH2" s="45"/>
      <c r="AI2" s="45"/>
      <c r="AJ2" s="45"/>
      <c r="AK2" s="45"/>
      <c r="AL2" s="45"/>
      <c r="AM2" s="45"/>
      <c r="AN2" s="45"/>
      <c r="AO2" s="45"/>
      <c r="AP2" s="45"/>
      <c r="AQ2" s="49"/>
      <c r="AR2" s="49"/>
      <c r="AS2" s="49"/>
      <c r="AT2" s="49"/>
      <c r="AU2" s="49"/>
      <c r="AV2" s="51"/>
      <c r="AW2" s="51"/>
      <c r="AX2" s="52"/>
      <c r="AY2" s="52"/>
      <c r="AZ2" s="52"/>
      <c r="BA2" s="52"/>
      <c r="BB2" s="53"/>
      <c r="BC2" s="53"/>
      <c r="BD2" s="53"/>
      <c r="BE2" s="53"/>
      <c r="BF2" s="48"/>
      <c r="BG2" s="48"/>
      <c r="BH2" s="48"/>
      <c r="BI2" s="48"/>
      <c r="BJ2" s="48"/>
      <c r="BK2" s="48"/>
      <c r="BL2" s="48"/>
      <c r="BM2" s="48"/>
      <c r="BN2" s="48"/>
      <c r="BO2" s="48"/>
      <c r="BP2" s="48"/>
      <c r="BQ2" s="48"/>
      <c r="BR2" s="48"/>
      <c r="BS2" s="48"/>
      <c r="BT2" s="48"/>
      <c r="BU2" s="48"/>
      <c r="BV2" s="48"/>
      <c r="BW2" s="48"/>
      <c r="BX2" s="48"/>
      <c r="BY2" s="48"/>
      <c r="BZ2" s="168"/>
      <c r="CA2" s="168"/>
      <c r="CB2" s="168"/>
      <c r="CC2" s="168"/>
      <c r="CD2" s="168"/>
      <c r="CE2" s="168"/>
      <c r="CF2" s="168"/>
      <c r="CG2" s="168"/>
      <c r="CH2" s="168"/>
      <c r="CI2" s="168"/>
      <c r="CJ2" s="168"/>
    </row>
    <row r="3" ht="18.75" customHeight="1" outlineLevel="1">
      <c r="A3" s="37" t="str">
        <f t="shared" ref="A3:A5" si="1">"炎付与"&amp;B3</f>
        <v>炎付与Ⅰ</v>
      </c>
      <c r="B3" s="37" t="s">
        <v>5013</v>
      </c>
      <c r="C3" s="37" t="s">
        <v>3327</v>
      </c>
      <c r="E3" s="37">
        <f t="shared" ref="E3:E20" si="2">MAX(F3:K3)</f>
        <v>2</v>
      </c>
      <c r="G3" s="37">
        <v>2.0</v>
      </c>
      <c r="S3" s="37">
        <f t="shared" ref="S3:S5" si="3">$G3*15</f>
        <v>30</v>
      </c>
    </row>
    <row r="4" ht="18.75" customHeight="1" outlineLevel="1">
      <c r="A4" s="37" t="str">
        <f t="shared" si="1"/>
        <v>炎付与Ⅱ</v>
      </c>
      <c r="B4" s="37" t="s">
        <v>5014</v>
      </c>
      <c r="C4" s="37" t="s">
        <v>3327</v>
      </c>
      <c r="E4" s="37">
        <f t="shared" si="2"/>
        <v>4</v>
      </c>
      <c r="G4" s="37">
        <v>4.0</v>
      </c>
      <c r="H4" s="64"/>
      <c r="J4" s="64"/>
      <c r="K4" s="64"/>
      <c r="M4" s="64"/>
      <c r="N4" s="64"/>
      <c r="O4" s="64"/>
      <c r="P4" s="64"/>
      <c r="Q4" s="64"/>
      <c r="R4" s="64"/>
      <c r="S4" s="37">
        <f t="shared" si="3"/>
        <v>60</v>
      </c>
      <c r="T4" s="64"/>
      <c r="U4" s="64"/>
      <c r="V4" s="64"/>
      <c r="W4" s="64"/>
      <c r="BF4" s="64"/>
      <c r="BG4" s="64"/>
      <c r="BH4" s="64"/>
      <c r="BI4" s="64"/>
      <c r="BJ4" s="64"/>
      <c r="BK4" s="64"/>
      <c r="BL4" s="64"/>
      <c r="BM4" s="64"/>
      <c r="BN4" s="64"/>
      <c r="BO4" s="64"/>
      <c r="BP4" s="64"/>
    </row>
    <row r="5" ht="18.75" customHeight="1" outlineLevel="1">
      <c r="A5" s="37" t="str">
        <f t="shared" si="1"/>
        <v>炎付与Ⅲ</v>
      </c>
      <c r="B5" s="37" t="s">
        <v>5015</v>
      </c>
      <c r="C5" s="37" t="s">
        <v>3327</v>
      </c>
      <c r="E5" s="37">
        <f t="shared" si="2"/>
        <v>6</v>
      </c>
      <c r="G5" s="37">
        <v>6.0</v>
      </c>
      <c r="H5" s="64"/>
      <c r="J5" s="64"/>
      <c r="K5" s="64"/>
      <c r="M5" s="64"/>
      <c r="N5" s="64"/>
      <c r="O5" s="64"/>
      <c r="P5" s="64"/>
      <c r="Q5" s="64"/>
      <c r="R5" s="64"/>
      <c r="S5" s="37">
        <f t="shared" si="3"/>
        <v>90</v>
      </c>
      <c r="T5" s="64"/>
      <c r="U5" s="64"/>
      <c r="V5" s="64"/>
      <c r="W5" s="64"/>
      <c r="BF5" s="64"/>
      <c r="BG5" s="64"/>
      <c r="BH5" s="64"/>
      <c r="BI5" s="64"/>
      <c r="BJ5" s="64"/>
      <c r="BK5" s="64"/>
      <c r="BL5" s="64"/>
      <c r="BM5" s="64"/>
      <c r="BN5" s="64"/>
      <c r="BO5" s="64"/>
      <c r="BP5" s="64"/>
    </row>
    <row r="6" ht="18.75" customHeight="1" outlineLevel="1">
      <c r="A6" s="37" t="str">
        <f t="shared" ref="A6:A8" si="4">"氷付与"&amp;B6</f>
        <v>氷付与Ⅰ</v>
      </c>
      <c r="B6" s="37" t="s">
        <v>5013</v>
      </c>
      <c r="C6" s="37" t="s">
        <v>3327</v>
      </c>
      <c r="E6" s="37">
        <f t="shared" si="2"/>
        <v>2</v>
      </c>
      <c r="G6" s="37">
        <v>2.0</v>
      </c>
      <c r="J6" s="64"/>
      <c r="K6" s="64"/>
      <c r="M6" s="64"/>
      <c r="N6" s="64"/>
      <c r="O6" s="64"/>
      <c r="P6" s="64"/>
      <c r="Q6" s="64"/>
      <c r="R6" s="64"/>
      <c r="T6" s="37">
        <f t="shared" ref="T6:T8" si="5">$G6*15</f>
        <v>30</v>
      </c>
    </row>
    <row r="7" ht="18.75" customHeight="1" outlineLevel="1">
      <c r="A7" s="37" t="str">
        <f t="shared" si="4"/>
        <v>氷付与Ⅱ</v>
      </c>
      <c r="B7" s="37" t="s">
        <v>5014</v>
      </c>
      <c r="C7" s="37" t="s">
        <v>3327</v>
      </c>
      <c r="E7" s="37">
        <f t="shared" si="2"/>
        <v>4</v>
      </c>
      <c r="G7" s="37">
        <v>4.0</v>
      </c>
      <c r="H7" s="64"/>
      <c r="J7" s="64"/>
      <c r="K7" s="64"/>
      <c r="M7" s="64"/>
      <c r="N7" s="64"/>
      <c r="O7" s="64"/>
      <c r="P7" s="64"/>
      <c r="Q7" s="64"/>
      <c r="R7" s="64"/>
      <c r="S7" s="64"/>
      <c r="T7" s="37">
        <f t="shared" si="5"/>
        <v>60</v>
      </c>
      <c r="U7" s="64"/>
      <c r="V7" s="64"/>
      <c r="W7" s="64"/>
      <c r="BF7" s="64"/>
      <c r="BG7" s="64"/>
      <c r="BH7" s="64"/>
      <c r="BI7" s="64"/>
      <c r="BJ7" s="64"/>
      <c r="BK7" s="64"/>
      <c r="BL7" s="64"/>
      <c r="BM7" s="64"/>
      <c r="BN7" s="64"/>
      <c r="BO7" s="64"/>
      <c r="BP7" s="64"/>
    </row>
    <row r="8" ht="18.75" customHeight="1" outlineLevel="1">
      <c r="A8" s="37" t="str">
        <f t="shared" si="4"/>
        <v>氷付与Ⅲ</v>
      </c>
      <c r="B8" s="37" t="s">
        <v>5015</v>
      </c>
      <c r="C8" s="37" t="s">
        <v>3327</v>
      </c>
      <c r="E8" s="37">
        <f t="shared" si="2"/>
        <v>6</v>
      </c>
      <c r="G8" s="37">
        <v>6.0</v>
      </c>
      <c r="H8" s="64"/>
      <c r="J8" s="64"/>
      <c r="K8" s="64"/>
      <c r="M8" s="64"/>
      <c r="N8" s="64"/>
      <c r="O8" s="64"/>
      <c r="P8" s="64"/>
      <c r="Q8" s="64"/>
      <c r="R8" s="64"/>
      <c r="S8" s="64"/>
      <c r="T8" s="37">
        <f t="shared" si="5"/>
        <v>90</v>
      </c>
      <c r="U8" s="64"/>
      <c r="V8" s="64"/>
      <c r="W8" s="64"/>
      <c r="BF8" s="64"/>
      <c r="BG8" s="64"/>
      <c r="BH8" s="64"/>
      <c r="BI8" s="64"/>
      <c r="BJ8" s="64"/>
      <c r="BK8" s="64"/>
      <c r="BL8" s="64"/>
      <c r="BM8" s="64"/>
      <c r="BN8" s="64"/>
      <c r="BO8" s="64"/>
      <c r="BP8" s="64"/>
    </row>
    <row r="9" ht="18.75" customHeight="1" outlineLevel="1">
      <c r="A9" s="37" t="str">
        <f t="shared" ref="A9:A11" si="6">"雷付与"&amp;B9</f>
        <v>雷付与Ⅰ</v>
      </c>
      <c r="B9" s="37" t="s">
        <v>5013</v>
      </c>
      <c r="C9" s="37" t="s">
        <v>3327</v>
      </c>
      <c r="E9" s="37">
        <f t="shared" si="2"/>
        <v>2</v>
      </c>
      <c r="G9" s="37">
        <v>2.0</v>
      </c>
      <c r="J9" s="64"/>
      <c r="K9" s="64"/>
      <c r="M9" s="64"/>
      <c r="N9" s="64"/>
      <c r="O9" s="64"/>
      <c r="P9" s="64"/>
      <c r="Q9" s="64"/>
      <c r="R9" s="64"/>
      <c r="U9" s="37">
        <f t="shared" ref="U9:U11" si="7">$G9*15</f>
        <v>30</v>
      </c>
    </row>
    <row r="10" ht="18.75" customHeight="1" outlineLevel="1">
      <c r="A10" s="37" t="str">
        <f t="shared" si="6"/>
        <v>雷付与Ⅱ</v>
      </c>
      <c r="B10" s="37" t="s">
        <v>5014</v>
      </c>
      <c r="C10" s="37" t="s">
        <v>3327</v>
      </c>
      <c r="E10" s="37">
        <f t="shared" si="2"/>
        <v>4</v>
      </c>
      <c r="G10" s="37">
        <v>4.0</v>
      </c>
      <c r="H10" s="64"/>
      <c r="J10" s="64"/>
      <c r="K10" s="64"/>
      <c r="M10" s="64"/>
      <c r="N10" s="64"/>
      <c r="O10" s="64"/>
      <c r="P10" s="64"/>
      <c r="Q10" s="64"/>
      <c r="R10" s="64"/>
      <c r="S10" s="64"/>
      <c r="T10" s="64"/>
      <c r="U10" s="37">
        <f t="shared" si="7"/>
        <v>60</v>
      </c>
      <c r="V10" s="64"/>
      <c r="W10" s="64"/>
      <c r="BF10" s="64"/>
      <c r="BG10" s="64"/>
      <c r="BH10" s="64"/>
      <c r="BI10" s="64"/>
      <c r="BJ10" s="64"/>
      <c r="BK10" s="64"/>
      <c r="BL10" s="64"/>
      <c r="BM10" s="64"/>
      <c r="BN10" s="64"/>
      <c r="BO10" s="64"/>
      <c r="BP10" s="64"/>
    </row>
    <row r="11" ht="18.75" customHeight="1" outlineLevel="1">
      <c r="A11" s="37" t="str">
        <f t="shared" si="6"/>
        <v>雷付与Ⅲ</v>
      </c>
      <c r="B11" s="37" t="s">
        <v>5015</v>
      </c>
      <c r="C11" s="37" t="s">
        <v>3327</v>
      </c>
      <c r="E11" s="37">
        <f t="shared" si="2"/>
        <v>6</v>
      </c>
      <c r="G11" s="37">
        <v>6.0</v>
      </c>
      <c r="H11" s="64"/>
      <c r="J11" s="64"/>
      <c r="K11" s="64"/>
      <c r="M11" s="64"/>
      <c r="N11" s="64"/>
      <c r="O11" s="64"/>
      <c r="P11" s="64"/>
      <c r="Q11" s="64"/>
      <c r="R11" s="64"/>
      <c r="S11" s="64"/>
      <c r="T11" s="64"/>
      <c r="U11" s="37">
        <f t="shared" si="7"/>
        <v>90</v>
      </c>
      <c r="V11" s="64"/>
      <c r="W11" s="64"/>
      <c r="BF11" s="64"/>
      <c r="BG11" s="64"/>
      <c r="BH11" s="64"/>
      <c r="BI11" s="64"/>
      <c r="BJ11" s="64"/>
      <c r="BK11" s="64"/>
      <c r="BL11" s="64"/>
      <c r="BM11" s="64"/>
      <c r="BN11" s="64"/>
      <c r="BO11" s="64"/>
      <c r="BP11" s="64"/>
    </row>
    <row r="12" ht="18.75" customHeight="1" outlineLevel="1">
      <c r="A12" s="37" t="str">
        <f t="shared" ref="A12:A14" si="8">"毒付与"&amp;B12</f>
        <v>毒付与Ⅰ</v>
      </c>
      <c r="B12" s="37" t="s">
        <v>5013</v>
      </c>
      <c r="C12" s="37" t="s">
        <v>3327</v>
      </c>
      <c r="E12" s="37">
        <f t="shared" si="2"/>
        <v>2</v>
      </c>
      <c r="G12" s="37">
        <v>2.0</v>
      </c>
      <c r="V12" s="37">
        <f t="shared" ref="V12:V14" si="9">$G12*15</f>
        <v>30</v>
      </c>
    </row>
    <row r="13" ht="18.75" customHeight="1" outlineLevel="1">
      <c r="A13" s="37" t="str">
        <f t="shared" si="8"/>
        <v>毒付与Ⅱ</v>
      </c>
      <c r="B13" s="37" t="s">
        <v>5014</v>
      </c>
      <c r="C13" s="37" t="s">
        <v>3327</v>
      </c>
      <c r="E13" s="37">
        <f t="shared" si="2"/>
        <v>4</v>
      </c>
      <c r="G13" s="37">
        <v>4.0</v>
      </c>
      <c r="H13" s="64"/>
      <c r="J13" s="64"/>
      <c r="K13" s="64"/>
      <c r="M13" s="64"/>
      <c r="N13" s="64"/>
      <c r="O13" s="64"/>
      <c r="P13" s="64"/>
      <c r="Q13" s="64"/>
      <c r="R13" s="64"/>
      <c r="S13" s="64"/>
      <c r="T13" s="64"/>
      <c r="U13" s="64"/>
      <c r="V13" s="37">
        <f t="shared" si="9"/>
        <v>60</v>
      </c>
      <c r="W13" s="64"/>
      <c r="X13" s="64"/>
      <c r="BF13" s="64"/>
      <c r="BG13" s="64"/>
      <c r="BH13" s="64"/>
      <c r="BI13" s="64"/>
      <c r="BJ13" s="64"/>
      <c r="BK13" s="64"/>
      <c r="BL13" s="64"/>
      <c r="BM13" s="64"/>
      <c r="BN13" s="64"/>
      <c r="BO13" s="64"/>
      <c r="BP13" s="64"/>
    </row>
    <row r="14" ht="18.75" customHeight="1" outlineLevel="1">
      <c r="A14" s="37" t="str">
        <f t="shared" si="8"/>
        <v>毒付与Ⅲ</v>
      </c>
      <c r="B14" s="37" t="s">
        <v>5015</v>
      </c>
      <c r="C14" s="37" t="s">
        <v>3327</v>
      </c>
      <c r="E14" s="37">
        <f t="shared" si="2"/>
        <v>6</v>
      </c>
      <c r="G14" s="37">
        <v>6.0</v>
      </c>
      <c r="H14" s="64"/>
      <c r="J14" s="64"/>
      <c r="K14" s="64"/>
      <c r="M14" s="64"/>
      <c r="N14" s="64"/>
      <c r="O14" s="64"/>
      <c r="P14" s="64"/>
      <c r="Q14" s="64"/>
      <c r="R14" s="64"/>
      <c r="S14" s="64"/>
      <c r="T14" s="64"/>
      <c r="U14" s="64"/>
      <c r="V14" s="37">
        <f t="shared" si="9"/>
        <v>90</v>
      </c>
      <c r="W14" s="64"/>
      <c r="X14" s="64"/>
      <c r="BF14" s="64"/>
      <c r="BG14" s="64"/>
      <c r="BH14" s="64"/>
      <c r="BI14" s="64"/>
      <c r="BJ14" s="64"/>
      <c r="BK14" s="64"/>
      <c r="BL14" s="64"/>
      <c r="BM14" s="64"/>
      <c r="BN14" s="64"/>
      <c r="BO14" s="64"/>
      <c r="BP14" s="64"/>
    </row>
    <row r="15" ht="18.75" customHeight="1" outlineLevel="1">
      <c r="A15" s="37" t="str">
        <f t="shared" ref="A15:A17" si="10">"光付与"&amp;B15</f>
        <v>光付与Ⅰ</v>
      </c>
      <c r="B15" s="37" t="s">
        <v>5013</v>
      </c>
      <c r="C15" s="37" t="s">
        <v>3327</v>
      </c>
      <c r="E15" s="37">
        <f t="shared" si="2"/>
        <v>2</v>
      </c>
      <c r="H15" s="37">
        <v>2.0</v>
      </c>
      <c r="W15" s="37">
        <f t="shared" ref="W15:W17" si="11">$H15*15</f>
        <v>30</v>
      </c>
    </row>
    <row r="16" ht="18.75" customHeight="1" outlineLevel="1">
      <c r="A16" s="37" t="str">
        <f t="shared" si="10"/>
        <v>光付与Ⅱ</v>
      </c>
      <c r="B16" s="37" t="s">
        <v>5014</v>
      </c>
      <c r="C16" s="37" t="s">
        <v>3327</v>
      </c>
      <c r="E16" s="37">
        <f t="shared" si="2"/>
        <v>4</v>
      </c>
      <c r="H16" s="37">
        <v>4.0</v>
      </c>
      <c r="J16" s="64"/>
      <c r="K16" s="64"/>
      <c r="M16" s="64"/>
      <c r="N16" s="64"/>
      <c r="O16" s="64"/>
      <c r="P16" s="64"/>
      <c r="Q16" s="64"/>
      <c r="R16" s="64"/>
      <c r="S16" s="64"/>
      <c r="T16" s="64"/>
      <c r="U16" s="64"/>
      <c r="V16" s="64"/>
      <c r="W16" s="37">
        <f t="shared" si="11"/>
        <v>60</v>
      </c>
      <c r="X16" s="64"/>
      <c r="BF16" s="64"/>
      <c r="BG16" s="64"/>
      <c r="BH16" s="64"/>
      <c r="BI16" s="64"/>
      <c r="BJ16" s="64"/>
      <c r="BK16" s="64"/>
      <c r="BL16" s="64"/>
      <c r="BM16" s="64"/>
      <c r="BN16" s="64"/>
      <c r="BO16" s="64"/>
      <c r="BP16" s="64"/>
    </row>
    <row r="17" ht="18.75" customHeight="1" outlineLevel="1">
      <c r="A17" s="37" t="str">
        <f t="shared" si="10"/>
        <v>光付与Ⅲ</v>
      </c>
      <c r="B17" s="37" t="s">
        <v>5015</v>
      </c>
      <c r="C17" s="37" t="s">
        <v>3327</v>
      </c>
      <c r="E17" s="37">
        <f t="shared" si="2"/>
        <v>6</v>
      </c>
      <c r="H17" s="37">
        <v>6.0</v>
      </c>
      <c r="J17" s="64"/>
      <c r="K17" s="64"/>
      <c r="M17" s="64"/>
      <c r="N17" s="64"/>
      <c r="O17" s="64"/>
      <c r="P17" s="64"/>
      <c r="Q17" s="64"/>
      <c r="R17" s="64"/>
      <c r="S17" s="64"/>
      <c r="T17" s="64"/>
      <c r="U17" s="64"/>
      <c r="V17" s="64"/>
      <c r="W17" s="37">
        <f t="shared" si="11"/>
        <v>90</v>
      </c>
      <c r="X17" s="64"/>
      <c r="BF17" s="64"/>
      <c r="BG17" s="64"/>
      <c r="BH17" s="64"/>
      <c r="BI17" s="64"/>
      <c r="BJ17" s="64"/>
      <c r="BK17" s="64"/>
      <c r="BL17" s="64"/>
      <c r="BM17" s="64"/>
      <c r="BN17" s="64"/>
      <c r="BO17" s="64"/>
      <c r="BP17" s="64"/>
    </row>
    <row r="18" ht="18.75" customHeight="1" outlineLevel="1">
      <c r="A18" s="37" t="str">
        <f t="shared" ref="A18:A20" si="12">"闇付与"&amp;B18</f>
        <v>闇付与Ⅰ</v>
      </c>
      <c r="B18" s="37" t="s">
        <v>5013</v>
      </c>
      <c r="C18" s="37" t="s">
        <v>3327</v>
      </c>
      <c r="E18" s="37">
        <f t="shared" si="2"/>
        <v>2</v>
      </c>
      <c r="G18" s="37">
        <v>2.0</v>
      </c>
      <c r="X18" s="37">
        <f t="shared" ref="X18:X20" si="13">$G18*15</f>
        <v>30</v>
      </c>
    </row>
    <row r="19" ht="18.75" customHeight="1" outlineLevel="1">
      <c r="A19" s="37" t="str">
        <f t="shared" si="12"/>
        <v>闇付与Ⅱ</v>
      </c>
      <c r="B19" s="37" t="s">
        <v>5014</v>
      </c>
      <c r="C19" s="37" t="s">
        <v>3327</v>
      </c>
      <c r="E19" s="37">
        <f t="shared" si="2"/>
        <v>4</v>
      </c>
      <c r="G19" s="37">
        <v>4.0</v>
      </c>
      <c r="H19" s="64"/>
      <c r="J19" s="64"/>
      <c r="K19" s="64"/>
      <c r="M19" s="64"/>
      <c r="N19" s="64"/>
      <c r="O19" s="64"/>
      <c r="P19" s="64"/>
      <c r="Q19" s="64"/>
      <c r="R19" s="64"/>
      <c r="S19" s="64"/>
      <c r="T19" s="64"/>
      <c r="U19" s="64"/>
      <c r="V19" s="64"/>
      <c r="W19" s="64"/>
      <c r="X19" s="37">
        <f t="shared" si="13"/>
        <v>60</v>
      </c>
      <c r="BF19" s="64"/>
      <c r="BG19" s="64"/>
      <c r="BH19" s="64"/>
      <c r="BI19" s="64"/>
      <c r="BJ19" s="64"/>
      <c r="BK19" s="64"/>
      <c r="BL19" s="64"/>
      <c r="BM19" s="64"/>
      <c r="BN19" s="64"/>
      <c r="BO19" s="64"/>
      <c r="BP19" s="64"/>
    </row>
    <row r="20" ht="18.75" customHeight="1" outlineLevel="1">
      <c r="A20" s="37" t="str">
        <f t="shared" si="12"/>
        <v>闇付与Ⅲ</v>
      </c>
      <c r="B20" s="37" t="s">
        <v>5015</v>
      </c>
      <c r="C20" s="37" t="s">
        <v>3327</v>
      </c>
      <c r="E20" s="37">
        <f t="shared" si="2"/>
        <v>6</v>
      </c>
      <c r="G20" s="37">
        <v>6.0</v>
      </c>
      <c r="H20" s="64"/>
      <c r="J20" s="64"/>
      <c r="K20" s="64"/>
      <c r="M20" s="64"/>
      <c r="N20" s="64"/>
      <c r="O20" s="64"/>
      <c r="P20" s="64"/>
      <c r="Q20" s="64"/>
      <c r="R20" s="64"/>
      <c r="S20" s="64"/>
      <c r="T20" s="64"/>
      <c r="U20" s="64"/>
      <c r="V20" s="64"/>
      <c r="W20" s="64"/>
      <c r="X20" s="37">
        <f t="shared" si="13"/>
        <v>90</v>
      </c>
      <c r="BF20" s="64"/>
      <c r="BG20" s="64"/>
      <c r="BH20" s="64"/>
      <c r="BI20" s="64"/>
      <c r="BJ20" s="64"/>
      <c r="BK20" s="64"/>
      <c r="BL20" s="64"/>
      <c r="BM20" s="64"/>
      <c r="BN20" s="64"/>
      <c r="BO20" s="64"/>
      <c r="BP20" s="64"/>
    </row>
    <row r="21" ht="18.75" customHeight="1" outlineLevel="1">
      <c r="A21" s="1"/>
      <c r="H21" s="64"/>
      <c r="J21" s="64"/>
      <c r="K21" s="64"/>
      <c r="M21" s="64"/>
      <c r="N21" s="64"/>
      <c r="O21" s="64"/>
      <c r="P21" s="64"/>
      <c r="Q21" s="64"/>
      <c r="R21" s="64"/>
      <c r="S21" s="64"/>
      <c r="T21" s="64"/>
      <c r="U21" s="64"/>
      <c r="V21" s="64"/>
      <c r="W21" s="64"/>
      <c r="BF21" s="64"/>
      <c r="BG21" s="64"/>
      <c r="BH21" s="64"/>
      <c r="BI21" s="64"/>
      <c r="BJ21" s="64"/>
      <c r="BK21" s="64"/>
      <c r="BL21" s="64"/>
      <c r="BM21" s="64"/>
      <c r="BN21" s="64"/>
      <c r="BO21" s="64"/>
      <c r="BP21" s="64"/>
    </row>
    <row r="22" ht="18.75" customHeight="1" outlineLevel="1">
      <c r="A22" s="37" t="s">
        <v>5016</v>
      </c>
      <c r="C22" s="37" t="s">
        <v>5017</v>
      </c>
      <c r="E22" s="37">
        <f t="shared" ref="E22:E42" si="14">MAX(F22:K22)</f>
        <v>1</v>
      </c>
      <c r="H22" s="64">
        <v>1.0</v>
      </c>
      <c r="J22" s="64"/>
      <c r="K22" s="64"/>
      <c r="M22" s="64"/>
      <c r="N22" s="64"/>
      <c r="O22" s="64"/>
      <c r="P22" s="64"/>
      <c r="Q22" s="64"/>
      <c r="R22" s="64"/>
      <c r="S22" s="64"/>
      <c r="T22" s="64"/>
      <c r="U22" s="64"/>
      <c r="V22" s="64"/>
      <c r="W22" s="64"/>
      <c r="AG22" s="37">
        <v>5.0</v>
      </c>
      <c r="BF22" s="64"/>
      <c r="BG22" s="64"/>
      <c r="BH22" s="64"/>
      <c r="BI22" s="64"/>
      <c r="BJ22" s="64"/>
      <c r="BK22" s="64"/>
      <c r="BL22" s="64"/>
      <c r="BM22" s="64"/>
      <c r="BN22" s="64"/>
      <c r="BO22" s="64"/>
      <c r="BP22" s="64"/>
    </row>
    <row r="23" ht="18.75" customHeight="1" outlineLevel="1">
      <c r="A23" s="37" t="s">
        <v>5018</v>
      </c>
      <c r="C23" s="37" t="s">
        <v>5017</v>
      </c>
      <c r="E23" s="37">
        <f t="shared" si="14"/>
        <v>3</v>
      </c>
      <c r="H23" s="64">
        <v>3.0</v>
      </c>
      <c r="J23" s="64"/>
      <c r="K23" s="64"/>
      <c r="M23" s="64"/>
      <c r="N23" s="64"/>
      <c r="O23" s="64"/>
      <c r="P23" s="64"/>
      <c r="Q23" s="64"/>
      <c r="R23" s="64"/>
      <c r="S23" s="64"/>
      <c r="T23" s="64"/>
      <c r="U23" s="64"/>
      <c r="V23" s="64"/>
      <c r="W23" s="64"/>
      <c r="AG23" s="37">
        <v>10.0</v>
      </c>
      <c r="BF23" s="64"/>
      <c r="BG23" s="64"/>
      <c r="BH23" s="64"/>
      <c r="BI23" s="64"/>
      <c r="BJ23" s="64"/>
      <c r="BK23" s="64"/>
      <c r="BL23" s="64"/>
      <c r="BM23" s="64"/>
      <c r="BN23" s="64"/>
      <c r="BO23" s="64"/>
      <c r="BP23" s="64"/>
    </row>
    <row r="24" ht="18.75" customHeight="1" outlineLevel="1">
      <c r="A24" s="37" t="s">
        <v>5019</v>
      </c>
      <c r="C24" s="37" t="s">
        <v>5017</v>
      </c>
      <c r="E24" s="37">
        <f t="shared" si="14"/>
        <v>5</v>
      </c>
      <c r="H24" s="64">
        <v>5.0</v>
      </c>
      <c r="J24" s="64"/>
      <c r="K24" s="64"/>
      <c r="M24" s="64"/>
      <c r="N24" s="64"/>
      <c r="O24" s="64"/>
      <c r="P24" s="64"/>
      <c r="Q24" s="64"/>
      <c r="R24" s="64"/>
      <c r="S24" s="64"/>
      <c r="T24" s="64"/>
      <c r="U24" s="64"/>
      <c r="V24" s="64"/>
      <c r="W24" s="64"/>
      <c r="AG24" s="37">
        <v>15.0</v>
      </c>
      <c r="BF24" s="64"/>
      <c r="BG24" s="64"/>
      <c r="BH24" s="64"/>
      <c r="BI24" s="64"/>
      <c r="BJ24" s="64"/>
      <c r="BK24" s="64"/>
      <c r="BL24" s="64"/>
      <c r="BM24" s="64"/>
      <c r="BN24" s="64"/>
      <c r="BO24" s="64"/>
      <c r="BP24" s="64"/>
    </row>
    <row r="25" ht="18.75" customHeight="1" outlineLevel="1">
      <c r="A25" s="37" t="s">
        <v>5020</v>
      </c>
      <c r="C25" s="37" t="s">
        <v>5021</v>
      </c>
      <c r="E25" s="37">
        <f t="shared" si="14"/>
        <v>1</v>
      </c>
      <c r="G25" s="37">
        <v>1.0</v>
      </c>
      <c r="H25" s="64"/>
      <c r="J25" s="64"/>
      <c r="K25" s="64"/>
      <c r="M25" s="64"/>
      <c r="N25" s="64"/>
      <c r="O25" s="64"/>
      <c r="P25" s="64"/>
      <c r="Q25" s="64"/>
      <c r="R25" s="64"/>
      <c r="S25" s="64"/>
      <c r="T25" s="64"/>
      <c r="U25" s="64"/>
      <c r="V25" s="64"/>
      <c r="W25" s="64"/>
      <c r="AJ25" s="37">
        <v>10.0</v>
      </c>
      <c r="BF25" s="64"/>
      <c r="BG25" s="64"/>
      <c r="BH25" s="64"/>
      <c r="BI25" s="64"/>
      <c r="BJ25" s="64"/>
      <c r="BK25" s="64"/>
      <c r="BL25" s="64"/>
      <c r="BM25" s="64"/>
      <c r="BN25" s="64"/>
      <c r="BO25" s="64"/>
      <c r="BP25" s="64"/>
    </row>
    <row r="26" ht="18.75" customHeight="1" outlineLevel="1">
      <c r="A26" s="37" t="s">
        <v>5022</v>
      </c>
      <c r="C26" s="37" t="s">
        <v>5021</v>
      </c>
      <c r="E26" s="37">
        <f t="shared" si="14"/>
        <v>3</v>
      </c>
      <c r="G26" s="37">
        <v>3.0</v>
      </c>
      <c r="H26" s="64"/>
      <c r="J26" s="64"/>
      <c r="K26" s="64"/>
      <c r="M26" s="64"/>
      <c r="N26" s="64"/>
      <c r="O26" s="64"/>
      <c r="P26" s="64"/>
      <c r="Q26" s="64"/>
      <c r="R26" s="64"/>
      <c r="S26" s="64"/>
      <c r="T26" s="64"/>
      <c r="U26" s="64"/>
      <c r="V26" s="64"/>
      <c r="W26" s="64"/>
      <c r="AJ26" s="37">
        <v>30.0</v>
      </c>
      <c r="BF26" s="64"/>
      <c r="BG26" s="64"/>
      <c r="BH26" s="64"/>
      <c r="BI26" s="64"/>
      <c r="BJ26" s="64"/>
      <c r="BK26" s="64"/>
      <c r="BL26" s="64"/>
      <c r="BM26" s="64"/>
      <c r="BN26" s="64"/>
      <c r="BO26" s="64"/>
      <c r="BP26" s="64"/>
    </row>
    <row r="27" ht="18.75" customHeight="1" outlineLevel="1">
      <c r="A27" s="37" t="s">
        <v>5023</v>
      </c>
      <c r="C27" s="37" t="s">
        <v>5021</v>
      </c>
      <c r="E27" s="37">
        <f t="shared" si="14"/>
        <v>5</v>
      </c>
      <c r="G27" s="37">
        <v>5.0</v>
      </c>
      <c r="H27" s="64"/>
      <c r="J27" s="64"/>
      <c r="K27" s="64"/>
      <c r="M27" s="64"/>
      <c r="N27" s="64"/>
      <c r="O27" s="64"/>
      <c r="P27" s="64"/>
      <c r="Q27" s="64"/>
      <c r="R27" s="64"/>
      <c r="S27" s="64"/>
      <c r="T27" s="64"/>
      <c r="U27" s="64"/>
      <c r="V27" s="64"/>
      <c r="W27" s="64"/>
      <c r="AJ27" s="37">
        <v>50.0</v>
      </c>
      <c r="BF27" s="64"/>
      <c r="BG27" s="64"/>
      <c r="BH27" s="64"/>
      <c r="BI27" s="64"/>
      <c r="BJ27" s="64"/>
      <c r="BK27" s="64"/>
      <c r="BL27" s="64"/>
      <c r="BM27" s="64"/>
      <c r="BN27" s="64"/>
      <c r="BO27" s="64"/>
      <c r="BP27" s="64"/>
    </row>
    <row r="28" ht="18.75" customHeight="1" outlineLevel="1">
      <c r="A28" s="37" t="s">
        <v>5024</v>
      </c>
      <c r="C28" s="37" t="s">
        <v>5017</v>
      </c>
      <c r="E28" s="37">
        <f t="shared" si="14"/>
        <v>1</v>
      </c>
      <c r="G28" s="37">
        <v>1.0</v>
      </c>
      <c r="H28" s="64"/>
      <c r="J28" s="64"/>
      <c r="K28" s="64"/>
      <c r="M28" s="64"/>
      <c r="N28" s="64"/>
      <c r="O28" s="64"/>
      <c r="P28" s="64"/>
      <c r="Q28" s="64"/>
      <c r="R28" s="64"/>
      <c r="S28" s="64"/>
      <c r="T28" s="64"/>
      <c r="U28" s="64"/>
      <c r="V28" s="64"/>
      <c r="W28" s="64"/>
      <c r="AK28" s="37">
        <v>10.0</v>
      </c>
      <c r="BF28" s="64"/>
      <c r="BG28" s="64"/>
      <c r="BH28" s="64"/>
      <c r="BI28" s="64"/>
      <c r="BJ28" s="64"/>
      <c r="BK28" s="64"/>
      <c r="BL28" s="64"/>
      <c r="BM28" s="64"/>
      <c r="BN28" s="64"/>
      <c r="BO28" s="64"/>
      <c r="BP28" s="64"/>
    </row>
    <row r="29" ht="18.75" customHeight="1" outlineLevel="1">
      <c r="A29" s="37" t="s">
        <v>5025</v>
      </c>
      <c r="C29" s="37" t="s">
        <v>5017</v>
      </c>
      <c r="E29" s="37">
        <f t="shared" si="14"/>
        <v>3</v>
      </c>
      <c r="G29" s="37">
        <v>3.0</v>
      </c>
      <c r="H29" s="64"/>
      <c r="J29" s="64"/>
      <c r="K29" s="64"/>
      <c r="M29" s="64"/>
      <c r="N29" s="64"/>
      <c r="O29" s="64"/>
      <c r="P29" s="64"/>
      <c r="Q29" s="64"/>
      <c r="R29" s="64"/>
      <c r="S29" s="64"/>
      <c r="T29" s="64"/>
      <c r="U29" s="64"/>
      <c r="V29" s="64"/>
      <c r="W29" s="64"/>
      <c r="AK29" s="37">
        <v>30.0</v>
      </c>
      <c r="BF29" s="64"/>
      <c r="BG29" s="64"/>
      <c r="BH29" s="64"/>
      <c r="BI29" s="64"/>
      <c r="BJ29" s="64"/>
      <c r="BK29" s="64"/>
      <c r="BL29" s="64"/>
      <c r="BM29" s="64"/>
      <c r="BN29" s="64"/>
      <c r="BO29" s="64"/>
      <c r="BP29" s="64"/>
    </row>
    <row r="30" ht="18.75" customHeight="1" outlineLevel="1">
      <c r="A30" s="37" t="s">
        <v>5026</v>
      </c>
      <c r="C30" s="37" t="s">
        <v>5017</v>
      </c>
      <c r="E30" s="37">
        <f t="shared" si="14"/>
        <v>5</v>
      </c>
      <c r="G30" s="37">
        <v>5.0</v>
      </c>
      <c r="H30" s="64"/>
      <c r="J30" s="64"/>
      <c r="K30" s="64"/>
      <c r="M30" s="64"/>
      <c r="N30" s="64"/>
      <c r="O30" s="64"/>
      <c r="P30" s="64"/>
      <c r="Q30" s="64"/>
      <c r="R30" s="64"/>
      <c r="S30" s="64"/>
      <c r="T30" s="64"/>
      <c r="U30" s="64"/>
      <c r="V30" s="64"/>
      <c r="W30" s="64"/>
      <c r="AK30" s="37">
        <v>50.0</v>
      </c>
      <c r="BF30" s="64"/>
      <c r="BG30" s="64"/>
      <c r="BH30" s="64"/>
      <c r="BI30" s="64"/>
      <c r="BJ30" s="64"/>
      <c r="BK30" s="64"/>
      <c r="BL30" s="64"/>
      <c r="BM30" s="64"/>
      <c r="BN30" s="64"/>
      <c r="BO30" s="64"/>
      <c r="BP30" s="64"/>
    </row>
    <row r="31" ht="18.75" customHeight="1" outlineLevel="1">
      <c r="A31" s="37" t="s">
        <v>5027</v>
      </c>
      <c r="C31" s="37" t="s">
        <v>5028</v>
      </c>
      <c r="E31" s="37">
        <f t="shared" si="14"/>
        <v>1</v>
      </c>
      <c r="G31" s="37">
        <v>1.0</v>
      </c>
      <c r="H31" s="64"/>
      <c r="J31" s="64"/>
      <c r="K31" s="64"/>
      <c r="M31" s="64"/>
      <c r="N31" s="64"/>
      <c r="O31" s="64"/>
      <c r="P31" s="64"/>
      <c r="Q31" s="64"/>
      <c r="R31" s="64"/>
      <c r="S31" s="64"/>
      <c r="T31" s="64"/>
      <c r="U31" s="64"/>
      <c r="V31" s="64"/>
      <c r="W31" s="64"/>
      <c r="AL31" s="37">
        <v>10.0</v>
      </c>
      <c r="BF31" s="64"/>
      <c r="BG31" s="64"/>
      <c r="BH31" s="64"/>
      <c r="BI31" s="64"/>
      <c r="BJ31" s="64"/>
      <c r="BK31" s="64"/>
      <c r="BL31" s="64"/>
      <c r="BM31" s="64"/>
      <c r="BN31" s="64"/>
      <c r="BO31" s="64"/>
      <c r="BP31" s="64"/>
    </row>
    <row r="32" ht="18.75" customHeight="1" outlineLevel="1">
      <c r="A32" s="37" t="s">
        <v>5029</v>
      </c>
      <c r="C32" s="37" t="s">
        <v>5028</v>
      </c>
      <c r="E32" s="37">
        <f t="shared" si="14"/>
        <v>3</v>
      </c>
      <c r="G32" s="37">
        <v>3.0</v>
      </c>
      <c r="H32" s="64"/>
      <c r="J32" s="64"/>
      <c r="K32" s="64"/>
      <c r="M32" s="64"/>
      <c r="N32" s="64"/>
      <c r="O32" s="64"/>
      <c r="P32" s="64"/>
      <c r="Q32" s="64"/>
      <c r="R32" s="64"/>
      <c r="S32" s="64"/>
      <c r="T32" s="64"/>
      <c r="U32" s="64"/>
      <c r="V32" s="64"/>
      <c r="W32" s="64"/>
      <c r="AL32" s="37">
        <v>30.0</v>
      </c>
      <c r="BF32" s="64"/>
      <c r="BG32" s="64"/>
      <c r="BH32" s="64"/>
      <c r="BI32" s="64"/>
      <c r="BJ32" s="64"/>
      <c r="BK32" s="64"/>
      <c r="BL32" s="64"/>
      <c r="BM32" s="64"/>
      <c r="BN32" s="64"/>
      <c r="BO32" s="64"/>
      <c r="BP32" s="64"/>
    </row>
    <row r="33" ht="19.5" customHeight="1" outlineLevel="1">
      <c r="A33" s="37" t="s">
        <v>5030</v>
      </c>
      <c r="C33" s="37" t="s">
        <v>5028</v>
      </c>
      <c r="E33" s="37">
        <f t="shared" si="14"/>
        <v>5</v>
      </c>
      <c r="G33" s="37">
        <v>5.0</v>
      </c>
      <c r="H33" s="64"/>
      <c r="J33" s="64"/>
      <c r="K33" s="64"/>
      <c r="M33" s="64"/>
      <c r="N33" s="64"/>
      <c r="O33" s="64"/>
      <c r="P33" s="64"/>
      <c r="Q33" s="64"/>
      <c r="R33" s="64"/>
      <c r="S33" s="64"/>
      <c r="T33" s="64"/>
      <c r="U33" s="64"/>
      <c r="V33" s="64"/>
      <c r="W33" s="64"/>
      <c r="AL33" s="37">
        <v>50.0</v>
      </c>
      <c r="BF33" s="64"/>
      <c r="BG33" s="64"/>
      <c r="BH33" s="64"/>
      <c r="BI33" s="64"/>
      <c r="BJ33" s="64"/>
      <c r="BK33" s="64"/>
      <c r="BL33" s="64"/>
      <c r="BM33" s="64"/>
      <c r="BN33" s="64"/>
      <c r="BO33" s="64"/>
      <c r="BP33" s="64"/>
    </row>
    <row r="34" ht="18.75" customHeight="1" outlineLevel="1">
      <c r="A34" s="37" t="s">
        <v>5031</v>
      </c>
      <c r="C34" s="37" t="s">
        <v>5032</v>
      </c>
      <c r="E34" s="37">
        <f t="shared" si="14"/>
        <v>1</v>
      </c>
      <c r="H34" s="64">
        <v>1.0</v>
      </c>
      <c r="J34" s="64"/>
      <c r="K34" s="64"/>
      <c r="M34" s="64"/>
      <c r="N34" s="64"/>
      <c r="O34" s="64"/>
      <c r="P34" s="64"/>
      <c r="Q34" s="64"/>
      <c r="R34" s="64"/>
      <c r="S34" s="64"/>
      <c r="T34" s="64"/>
      <c r="U34" s="64"/>
      <c r="V34" s="64"/>
      <c r="W34" s="64"/>
      <c r="AM34" s="37">
        <v>10.0</v>
      </c>
      <c r="BF34" s="64"/>
      <c r="BG34" s="64"/>
      <c r="BH34" s="64"/>
      <c r="BI34" s="64"/>
      <c r="BJ34" s="64"/>
      <c r="BK34" s="64"/>
      <c r="BL34" s="64"/>
      <c r="BM34" s="64"/>
      <c r="BN34" s="64"/>
      <c r="BO34" s="64"/>
      <c r="BP34" s="64"/>
    </row>
    <row r="35" ht="18.75" customHeight="1" outlineLevel="1">
      <c r="A35" s="37" t="s">
        <v>5033</v>
      </c>
      <c r="C35" s="37" t="s">
        <v>5032</v>
      </c>
      <c r="E35" s="37">
        <f t="shared" si="14"/>
        <v>3</v>
      </c>
      <c r="H35" s="64">
        <v>3.0</v>
      </c>
      <c r="J35" s="64"/>
      <c r="K35" s="64"/>
      <c r="M35" s="64"/>
      <c r="N35" s="64"/>
      <c r="O35" s="64"/>
      <c r="P35" s="64"/>
      <c r="Q35" s="64"/>
      <c r="R35" s="64"/>
      <c r="S35" s="64"/>
      <c r="T35" s="64"/>
      <c r="U35" s="64"/>
      <c r="V35" s="64"/>
      <c r="W35" s="64"/>
      <c r="AM35" s="37">
        <v>30.0</v>
      </c>
      <c r="BF35" s="64"/>
      <c r="BG35" s="64"/>
      <c r="BH35" s="64"/>
      <c r="BI35" s="64"/>
      <c r="BJ35" s="64"/>
      <c r="BK35" s="64"/>
      <c r="BL35" s="64"/>
      <c r="BM35" s="64"/>
      <c r="BN35" s="64"/>
      <c r="BO35" s="64"/>
      <c r="BP35" s="64"/>
    </row>
    <row r="36" ht="18.75" customHeight="1" outlineLevel="1">
      <c r="A36" s="37" t="s">
        <v>5034</v>
      </c>
      <c r="C36" s="37" t="s">
        <v>5032</v>
      </c>
      <c r="E36" s="37">
        <f t="shared" si="14"/>
        <v>5</v>
      </c>
      <c r="H36" s="64">
        <v>5.0</v>
      </c>
      <c r="J36" s="64"/>
      <c r="K36" s="64"/>
      <c r="M36" s="64"/>
      <c r="N36" s="64"/>
      <c r="O36" s="64"/>
      <c r="P36" s="64"/>
      <c r="Q36" s="64"/>
      <c r="R36" s="64"/>
      <c r="S36" s="64"/>
      <c r="T36" s="64"/>
      <c r="U36" s="64"/>
      <c r="V36" s="64"/>
      <c r="W36" s="64"/>
      <c r="AM36" s="37">
        <v>50.0</v>
      </c>
      <c r="BF36" s="64"/>
      <c r="BG36" s="64"/>
      <c r="BH36" s="64"/>
      <c r="BI36" s="64"/>
      <c r="BJ36" s="64"/>
      <c r="BK36" s="64"/>
      <c r="BL36" s="64"/>
      <c r="BM36" s="64"/>
      <c r="BN36" s="64"/>
      <c r="BO36" s="64"/>
      <c r="BP36" s="64"/>
    </row>
    <row r="37" ht="18.75" customHeight="1" outlineLevel="1">
      <c r="A37" s="37" t="s">
        <v>5035</v>
      </c>
      <c r="C37" s="37" t="s">
        <v>2802</v>
      </c>
      <c r="E37" s="37">
        <f t="shared" si="14"/>
        <v>1</v>
      </c>
      <c r="G37" s="37">
        <v>1.0</v>
      </c>
      <c r="H37" s="64"/>
      <c r="J37" s="64"/>
      <c r="K37" s="64"/>
      <c r="M37" s="64"/>
      <c r="N37" s="64"/>
      <c r="O37" s="64"/>
      <c r="P37" s="64"/>
      <c r="Q37" s="64"/>
      <c r="R37" s="64"/>
      <c r="S37" s="64"/>
      <c r="T37" s="64"/>
      <c r="U37" s="64"/>
      <c r="V37" s="64"/>
      <c r="W37" s="64"/>
      <c r="AN37" s="37">
        <v>10.0</v>
      </c>
      <c r="BF37" s="64"/>
      <c r="BG37" s="64"/>
      <c r="BH37" s="64"/>
      <c r="BI37" s="64"/>
      <c r="BJ37" s="64"/>
      <c r="BK37" s="64"/>
      <c r="BL37" s="64"/>
      <c r="BM37" s="64"/>
      <c r="BN37" s="64"/>
      <c r="BO37" s="64"/>
      <c r="BP37" s="64"/>
    </row>
    <row r="38" ht="18.75" customHeight="1" outlineLevel="1">
      <c r="A38" s="37" t="s">
        <v>5036</v>
      </c>
      <c r="C38" s="37" t="s">
        <v>2802</v>
      </c>
      <c r="E38" s="37">
        <f t="shared" si="14"/>
        <v>3</v>
      </c>
      <c r="G38" s="37">
        <v>3.0</v>
      </c>
      <c r="H38" s="64"/>
      <c r="J38" s="64"/>
      <c r="K38" s="64"/>
      <c r="M38" s="64"/>
      <c r="N38" s="64"/>
      <c r="O38" s="64"/>
      <c r="P38" s="64"/>
      <c r="Q38" s="64"/>
      <c r="R38" s="64"/>
      <c r="S38" s="64"/>
      <c r="T38" s="64"/>
      <c r="U38" s="64"/>
      <c r="V38" s="64"/>
      <c r="W38" s="64"/>
      <c r="AN38" s="37">
        <v>30.0</v>
      </c>
      <c r="BF38" s="64"/>
      <c r="BG38" s="64"/>
      <c r="BH38" s="64"/>
      <c r="BI38" s="64"/>
      <c r="BJ38" s="64"/>
      <c r="BK38" s="64"/>
      <c r="BL38" s="64"/>
      <c r="BM38" s="64"/>
      <c r="BN38" s="64"/>
      <c r="BO38" s="64"/>
      <c r="BP38" s="64"/>
    </row>
    <row r="39" ht="18.75" customHeight="1" outlineLevel="1">
      <c r="A39" s="37" t="s">
        <v>5037</v>
      </c>
      <c r="C39" s="37" t="s">
        <v>2802</v>
      </c>
      <c r="E39" s="37">
        <f t="shared" si="14"/>
        <v>5</v>
      </c>
      <c r="G39" s="37">
        <v>5.0</v>
      </c>
      <c r="H39" s="64"/>
      <c r="J39" s="64"/>
      <c r="K39" s="64"/>
      <c r="M39" s="64"/>
      <c r="N39" s="64"/>
      <c r="O39" s="64"/>
      <c r="P39" s="64"/>
      <c r="Q39" s="64"/>
      <c r="R39" s="64"/>
      <c r="S39" s="64"/>
      <c r="T39" s="64"/>
      <c r="U39" s="64"/>
      <c r="V39" s="64"/>
      <c r="W39" s="64"/>
      <c r="AN39" s="37">
        <v>50.0</v>
      </c>
      <c r="BF39" s="64"/>
      <c r="BG39" s="64"/>
      <c r="BH39" s="64"/>
      <c r="BI39" s="64"/>
      <c r="BJ39" s="64"/>
      <c r="BK39" s="64"/>
      <c r="BL39" s="64"/>
      <c r="BM39" s="64"/>
      <c r="BN39" s="64"/>
      <c r="BO39" s="64"/>
      <c r="BP39" s="64"/>
    </row>
    <row r="40" ht="18.75" customHeight="1" outlineLevel="1">
      <c r="A40" s="37" t="s">
        <v>5038</v>
      </c>
      <c r="C40" s="37" t="s">
        <v>5039</v>
      </c>
      <c r="E40" s="37">
        <f t="shared" si="14"/>
        <v>1</v>
      </c>
      <c r="G40" s="37">
        <v>1.0</v>
      </c>
      <c r="H40" s="64"/>
      <c r="J40" s="64"/>
      <c r="K40" s="64"/>
      <c r="M40" s="64"/>
      <c r="N40" s="64"/>
      <c r="O40" s="64"/>
      <c r="P40" s="64"/>
      <c r="Q40" s="64"/>
      <c r="R40" s="64"/>
      <c r="S40" s="64"/>
      <c r="T40" s="64"/>
      <c r="U40" s="64"/>
      <c r="V40" s="64"/>
      <c r="W40" s="64"/>
      <c r="AO40" s="37">
        <v>10.0</v>
      </c>
      <c r="BF40" s="64"/>
      <c r="BG40" s="64"/>
      <c r="BH40" s="64"/>
      <c r="BI40" s="64"/>
      <c r="BJ40" s="64"/>
      <c r="BK40" s="64"/>
      <c r="BL40" s="64"/>
      <c r="BM40" s="64"/>
      <c r="BN40" s="64"/>
      <c r="BO40" s="64"/>
      <c r="BP40" s="64"/>
    </row>
    <row r="41" ht="18.75" customHeight="1" outlineLevel="1">
      <c r="A41" s="37" t="s">
        <v>5040</v>
      </c>
      <c r="C41" s="37" t="s">
        <v>5039</v>
      </c>
      <c r="E41" s="37">
        <f t="shared" si="14"/>
        <v>3</v>
      </c>
      <c r="G41" s="37">
        <v>3.0</v>
      </c>
      <c r="H41" s="64"/>
      <c r="J41" s="64"/>
      <c r="K41" s="64"/>
      <c r="M41" s="64"/>
      <c r="N41" s="64"/>
      <c r="O41" s="64"/>
      <c r="P41" s="64"/>
      <c r="Q41" s="64"/>
      <c r="R41" s="64"/>
      <c r="S41" s="64"/>
      <c r="T41" s="64"/>
      <c r="U41" s="64"/>
      <c r="V41" s="64"/>
      <c r="W41" s="64"/>
      <c r="AO41" s="37">
        <v>30.0</v>
      </c>
      <c r="BF41" s="64"/>
      <c r="BG41" s="64"/>
      <c r="BH41" s="64"/>
      <c r="BI41" s="64"/>
      <c r="BJ41" s="64"/>
      <c r="BK41" s="64"/>
      <c r="BL41" s="64"/>
      <c r="BM41" s="64"/>
      <c r="BN41" s="64"/>
      <c r="BO41" s="64"/>
      <c r="BP41" s="64"/>
    </row>
    <row r="42" ht="18.75" customHeight="1" outlineLevel="1">
      <c r="A42" s="37" t="s">
        <v>5041</v>
      </c>
      <c r="C42" s="37" t="s">
        <v>5039</v>
      </c>
      <c r="E42" s="37">
        <f t="shared" si="14"/>
        <v>5</v>
      </c>
      <c r="G42" s="37">
        <v>5.0</v>
      </c>
      <c r="H42" s="64"/>
      <c r="J42" s="64"/>
      <c r="K42" s="64"/>
      <c r="M42" s="64"/>
      <c r="N42" s="64"/>
      <c r="O42" s="64"/>
      <c r="P42" s="64"/>
      <c r="Q42" s="64"/>
      <c r="R42" s="64"/>
      <c r="S42" s="64"/>
      <c r="T42" s="64"/>
      <c r="U42" s="64"/>
      <c r="V42" s="64"/>
      <c r="W42" s="64"/>
      <c r="AO42" s="37">
        <v>50.0</v>
      </c>
      <c r="BF42" s="64"/>
      <c r="BG42" s="64"/>
      <c r="BH42" s="64"/>
      <c r="BI42" s="64"/>
      <c r="BJ42" s="64"/>
      <c r="BK42" s="64"/>
      <c r="BL42" s="64"/>
      <c r="BM42" s="64"/>
      <c r="BN42" s="64"/>
      <c r="BO42" s="64"/>
      <c r="BP42" s="64"/>
    </row>
    <row r="43" ht="18.75" customHeight="1" outlineLevel="1">
      <c r="A43" s="1"/>
      <c r="H43" s="64"/>
      <c r="J43" s="64"/>
      <c r="K43" s="64"/>
      <c r="M43" s="64"/>
      <c r="N43" s="64"/>
      <c r="O43" s="64"/>
      <c r="P43" s="64"/>
      <c r="Q43" s="64"/>
      <c r="R43" s="64"/>
      <c r="S43" s="64"/>
      <c r="T43" s="64"/>
      <c r="U43" s="64"/>
      <c r="V43" s="64"/>
      <c r="W43" s="64"/>
      <c r="BF43" s="64"/>
      <c r="BG43" s="64"/>
      <c r="BH43" s="64"/>
      <c r="BI43" s="64"/>
      <c r="BJ43" s="64"/>
      <c r="BK43" s="64"/>
      <c r="BL43" s="64"/>
      <c r="BM43" s="64"/>
      <c r="BN43" s="64"/>
      <c r="BO43" s="64"/>
      <c r="BP43" s="64"/>
    </row>
    <row r="44" ht="18.75" customHeight="1" outlineLevel="1">
      <c r="A44" s="1"/>
      <c r="H44" s="64"/>
      <c r="J44" s="64"/>
      <c r="K44" s="64"/>
      <c r="M44" s="64"/>
      <c r="N44" s="64"/>
      <c r="O44" s="64"/>
      <c r="P44" s="64"/>
      <c r="Q44" s="64"/>
      <c r="R44" s="64"/>
      <c r="S44" s="64"/>
      <c r="T44" s="64"/>
      <c r="U44" s="64"/>
      <c r="V44" s="64"/>
      <c r="W44" s="64"/>
      <c r="BF44" s="64"/>
      <c r="BG44" s="64"/>
      <c r="BH44" s="64"/>
      <c r="BI44" s="64"/>
      <c r="BJ44" s="64"/>
      <c r="BK44" s="64"/>
      <c r="BL44" s="64"/>
      <c r="BM44" s="64"/>
      <c r="BN44" s="64"/>
      <c r="BO44" s="64"/>
      <c r="BP44" s="64"/>
    </row>
    <row r="45" ht="18.75" customHeight="1" outlineLevel="1">
      <c r="A45" s="1"/>
      <c r="H45" s="64"/>
      <c r="J45" s="64"/>
      <c r="K45" s="64"/>
      <c r="M45" s="64"/>
      <c r="N45" s="64"/>
      <c r="O45" s="64"/>
      <c r="P45" s="64"/>
      <c r="Q45" s="64"/>
      <c r="R45" s="64"/>
      <c r="S45" s="64"/>
      <c r="T45" s="64"/>
      <c r="U45" s="64"/>
      <c r="V45" s="64"/>
      <c r="W45" s="64"/>
      <c r="BF45" s="64"/>
      <c r="BG45" s="64"/>
      <c r="BH45" s="64"/>
      <c r="BI45" s="64"/>
      <c r="BJ45" s="64"/>
      <c r="BK45" s="64"/>
      <c r="BL45" s="64"/>
      <c r="BM45" s="64"/>
      <c r="BN45" s="64"/>
      <c r="BO45" s="64"/>
      <c r="BP45" s="64"/>
    </row>
    <row r="46" ht="18.75" customHeight="1" outlineLevel="1">
      <c r="A46" s="1"/>
      <c r="H46" s="64"/>
      <c r="J46" s="64"/>
      <c r="K46" s="64"/>
      <c r="M46" s="64"/>
      <c r="N46" s="64"/>
      <c r="O46" s="64"/>
      <c r="P46" s="64"/>
      <c r="Q46" s="64"/>
      <c r="R46" s="64"/>
      <c r="S46" s="64"/>
      <c r="T46" s="64"/>
      <c r="U46" s="64"/>
      <c r="V46" s="64"/>
      <c r="W46" s="64"/>
      <c r="BF46" s="64"/>
      <c r="BG46" s="64"/>
      <c r="BH46" s="64"/>
      <c r="BI46" s="64"/>
      <c r="BJ46" s="64"/>
      <c r="BK46" s="64"/>
      <c r="BL46" s="64"/>
      <c r="BM46" s="64"/>
      <c r="BN46" s="64"/>
      <c r="BO46" s="64"/>
      <c r="BP46" s="64"/>
    </row>
    <row r="47" ht="18.75" customHeight="1" outlineLevel="1">
      <c r="A47" s="1"/>
      <c r="H47" s="64"/>
      <c r="J47" s="64"/>
      <c r="K47" s="64"/>
      <c r="M47" s="64"/>
      <c r="N47" s="64"/>
      <c r="O47" s="64"/>
      <c r="P47" s="64"/>
      <c r="Q47" s="64"/>
      <c r="R47" s="64"/>
      <c r="S47" s="64"/>
      <c r="T47" s="64"/>
      <c r="U47" s="64"/>
      <c r="V47" s="64"/>
      <c r="W47" s="64"/>
      <c r="BF47" s="64"/>
      <c r="BG47" s="64"/>
      <c r="BH47" s="64"/>
      <c r="BI47" s="64"/>
      <c r="BJ47" s="64"/>
      <c r="BK47" s="64"/>
      <c r="BL47" s="64"/>
      <c r="BM47" s="64"/>
      <c r="BN47" s="64"/>
      <c r="BO47" s="64"/>
      <c r="BP47" s="64"/>
    </row>
    <row r="48" ht="18.75" customHeight="1" outlineLevel="1">
      <c r="A48" s="1"/>
      <c r="H48" s="64"/>
      <c r="J48" s="64"/>
      <c r="K48" s="64"/>
      <c r="M48" s="64"/>
      <c r="N48" s="64"/>
      <c r="O48" s="64"/>
      <c r="P48" s="64"/>
      <c r="Q48" s="64"/>
      <c r="R48" s="64"/>
      <c r="S48" s="64"/>
      <c r="T48" s="64"/>
      <c r="U48" s="64"/>
      <c r="V48" s="64"/>
      <c r="W48" s="64"/>
      <c r="BF48" s="64"/>
      <c r="BG48" s="64"/>
      <c r="BH48" s="64"/>
      <c r="BI48" s="64"/>
      <c r="BJ48" s="64"/>
      <c r="BK48" s="64"/>
      <c r="BL48" s="64"/>
      <c r="BM48" s="64"/>
      <c r="BN48" s="64"/>
      <c r="BO48" s="64"/>
      <c r="BP48" s="64"/>
    </row>
    <row r="49" ht="18.75" customHeight="1" outlineLevel="1">
      <c r="A49" s="1"/>
      <c r="H49" s="64"/>
      <c r="J49" s="64"/>
      <c r="K49" s="64"/>
      <c r="M49" s="64"/>
      <c r="N49" s="64"/>
      <c r="O49" s="64"/>
      <c r="P49" s="64"/>
      <c r="Q49" s="64"/>
      <c r="R49" s="64"/>
      <c r="S49" s="64"/>
      <c r="T49" s="64"/>
      <c r="U49" s="64"/>
      <c r="V49" s="64"/>
      <c r="W49" s="64"/>
      <c r="BF49" s="64"/>
      <c r="BG49" s="64"/>
      <c r="BH49" s="64"/>
      <c r="BI49" s="64"/>
      <c r="BJ49" s="64"/>
      <c r="BK49" s="64"/>
      <c r="BL49" s="64"/>
      <c r="BM49" s="64"/>
      <c r="BN49" s="64"/>
      <c r="BO49" s="64"/>
      <c r="BP49" s="64"/>
    </row>
    <row r="50" ht="18.75" customHeight="1" outlineLevel="1">
      <c r="A50" s="1"/>
      <c r="H50" s="64"/>
      <c r="J50" s="64"/>
      <c r="K50" s="64"/>
      <c r="M50" s="64"/>
      <c r="N50" s="64"/>
      <c r="O50" s="64"/>
      <c r="P50" s="64"/>
      <c r="Q50" s="64"/>
      <c r="R50" s="64"/>
      <c r="S50" s="64"/>
      <c r="T50" s="64"/>
      <c r="U50" s="64"/>
      <c r="V50" s="64"/>
      <c r="W50" s="64"/>
      <c r="BF50" s="64"/>
      <c r="BG50" s="64"/>
      <c r="BH50" s="64"/>
      <c r="BI50" s="64"/>
      <c r="BJ50" s="64"/>
      <c r="BK50" s="64"/>
      <c r="BL50" s="64"/>
      <c r="BM50" s="64"/>
      <c r="BN50" s="64"/>
      <c r="BO50" s="64"/>
      <c r="BP50" s="64"/>
    </row>
    <row r="51" ht="18.75" customHeight="1" outlineLevel="1">
      <c r="A51" s="1"/>
      <c r="H51" s="64"/>
      <c r="J51" s="64"/>
      <c r="K51" s="64"/>
      <c r="M51" s="64"/>
      <c r="N51" s="64"/>
      <c r="O51" s="64"/>
      <c r="P51" s="64"/>
      <c r="Q51" s="64"/>
      <c r="R51" s="64"/>
      <c r="S51" s="64"/>
      <c r="T51" s="64"/>
      <c r="U51" s="64"/>
      <c r="V51" s="64"/>
      <c r="W51" s="64"/>
      <c r="BF51" s="64"/>
      <c r="BG51" s="64"/>
      <c r="BH51" s="64"/>
      <c r="BI51" s="64"/>
      <c r="BJ51" s="64"/>
      <c r="BK51" s="64"/>
      <c r="BL51" s="64"/>
      <c r="BM51" s="64"/>
      <c r="BN51" s="64"/>
      <c r="BO51" s="64"/>
      <c r="BP51" s="64"/>
    </row>
    <row r="52" ht="18.75" customHeight="1" outlineLevel="1">
      <c r="A52" s="1"/>
      <c r="H52" s="64"/>
      <c r="J52" s="64"/>
      <c r="K52" s="64"/>
      <c r="M52" s="64"/>
      <c r="N52" s="64"/>
      <c r="O52" s="64"/>
      <c r="P52" s="64"/>
      <c r="Q52" s="64"/>
      <c r="R52" s="64"/>
      <c r="S52" s="64"/>
      <c r="T52" s="64"/>
      <c r="U52" s="64"/>
      <c r="V52" s="64"/>
      <c r="W52" s="64"/>
      <c r="BF52" s="64"/>
      <c r="BG52" s="64"/>
      <c r="BH52" s="64"/>
      <c r="BI52" s="64"/>
      <c r="BJ52" s="64"/>
      <c r="BK52" s="64"/>
      <c r="BL52" s="64"/>
      <c r="BM52" s="64"/>
      <c r="BN52" s="64"/>
      <c r="BO52" s="64"/>
      <c r="BP52" s="64"/>
    </row>
    <row r="53" ht="18.75" customHeight="1" outlineLevel="1">
      <c r="A53" s="1"/>
      <c r="H53" s="64"/>
      <c r="J53" s="64"/>
      <c r="K53" s="64"/>
      <c r="M53" s="64"/>
      <c r="N53" s="64"/>
      <c r="O53" s="64"/>
      <c r="P53" s="64"/>
      <c r="Q53" s="64"/>
      <c r="R53" s="64"/>
      <c r="S53" s="64"/>
      <c r="T53" s="64"/>
      <c r="U53" s="64"/>
      <c r="V53" s="64"/>
      <c r="W53" s="64"/>
      <c r="BF53" s="64"/>
      <c r="BG53" s="64"/>
      <c r="BH53" s="64"/>
      <c r="BI53" s="64"/>
      <c r="BJ53" s="64"/>
      <c r="BK53" s="64"/>
      <c r="BL53" s="64"/>
      <c r="BM53" s="64"/>
      <c r="BN53" s="64"/>
      <c r="BO53" s="64"/>
      <c r="BP53" s="64"/>
    </row>
    <row r="54" ht="18.75" customHeight="1" outlineLevel="1">
      <c r="A54" s="1"/>
      <c r="H54" s="64"/>
      <c r="J54" s="64"/>
      <c r="K54" s="64"/>
      <c r="M54" s="64"/>
      <c r="N54" s="64"/>
      <c r="O54" s="64"/>
      <c r="P54" s="64"/>
      <c r="Q54" s="64"/>
      <c r="R54" s="64"/>
      <c r="S54" s="64"/>
      <c r="T54" s="64"/>
      <c r="U54" s="64"/>
      <c r="V54" s="64"/>
      <c r="W54" s="64"/>
      <c r="BF54" s="64"/>
      <c r="BG54" s="64"/>
      <c r="BH54" s="64"/>
      <c r="BI54" s="64"/>
      <c r="BJ54" s="64"/>
      <c r="BK54" s="64"/>
      <c r="BL54" s="64"/>
      <c r="BM54" s="64"/>
      <c r="BN54" s="64"/>
      <c r="BO54" s="64"/>
      <c r="BP54" s="64"/>
    </row>
    <row r="55" ht="18.75" customHeight="1" outlineLevel="1">
      <c r="A55" s="1"/>
      <c r="H55" s="64"/>
      <c r="J55" s="64"/>
      <c r="K55" s="64"/>
      <c r="M55" s="64"/>
      <c r="N55" s="64"/>
      <c r="O55" s="64"/>
      <c r="P55" s="64"/>
      <c r="Q55" s="64"/>
      <c r="R55" s="64"/>
      <c r="S55" s="64"/>
      <c r="T55" s="64"/>
      <c r="U55" s="64"/>
      <c r="V55" s="64"/>
      <c r="W55" s="64"/>
      <c r="BF55" s="64"/>
      <c r="BG55" s="64"/>
      <c r="BH55" s="64"/>
      <c r="BI55" s="64"/>
      <c r="BJ55" s="64"/>
      <c r="BK55" s="64"/>
      <c r="BL55" s="64"/>
      <c r="BM55" s="64"/>
      <c r="BN55" s="64"/>
      <c r="BO55" s="64"/>
      <c r="BP55" s="64"/>
    </row>
    <row r="56" ht="18.75" customHeight="1" outlineLevel="1">
      <c r="A56" s="1"/>
      <c r="H56" s="64"/>
      <c r="J56" s="64"/>
      <c r="K56" s="64"/>
      <c r="M56" s="64"/>
      <c r="N56" s="64"/>
      <c r="O56" s="64"/>
      <c r="P56" s="64"/>
      <c r="Q56" s="64"/>
      <c r="R56" s="64"/>
      <c r="S56" s="64"/>
      <c r="T56" s="64"/>
      <c r="U56" s="64"/>
      <c r="V56" s="64"/>
      <c r="W56" s="64"/>
      <c r="BF56" s="64"/>
      <c r="BG56" s="64"/>
      <c r="BH56" s="64"/>
      <c r="BI56" s="64"/>
      <c r="BJ56" s="64"/>
      <c r="BK56" s="64"/>
      <c r="BL56" s="64"/>
      <c r="BM56" s="64"/>
      <c r="BN56" s="64"/>
      <c r="BO56" s="64"/>
      <c r="BP56" s="64"/>
    </row>
    <row r="57" ht="18.75" customHeight="1" outlineLevel="1">
      <c r="A57" s="1"/>
      <c r="H57" s="64"/>
      <c r="J57" s="64"/>
      <c r="K57" s="64"/>
      <c r="M57" s="64"/>
      <c r="N57" s="64"/>
      <c r="O57" s="64"/>
      <c r="P57" s="64"/>
      <c r="Q57" s="64"/>
      <c r="R57" s="64"/>
      <c r="S57" s="64"/>
      <c r="T57" s="64"/>
      <c r="U57" s="64"/>
      <c r="V57" s="64"/>
      <c r="W57" s="64"/>
      <c r="BF57" s="64"/>
      <c r="BG57" s="64"/>
      <c r="BH57" s="64"/>
      <c r="BI57" s="64"/>
      <c r="BJ57" s="64"/>
      <c r="BK57" s="64"/>
      <c r="BL57" s="64"/>
      <c r="BM57" s="64"/>
      <c r="BN57" s="64"/>
      <c r="BO57" s="64"/>
      <c r="BP57" s="64"/>
    </row>
    <row r="58" ht="18.75" customHeight="1" outlineLevel="1">
      <c r="H58" s="64"/>
      <c r="J58" s="64"/>
      <c r="K58" s="64"/>
      <c r="M58" s="64"/>
      <c r="N58" s="64"/>
      <c r="O58" s="64"/>
      <c r="P58" s="64"/>
      <c r="Q58" s="64"/>
      <c r="R58" s="64"/>
      <c r="S58" s="64"/>
      <c r="T58" s="64"/>
      <c r="U58" s="64"/>
      <c r="V58" s="64"/>
      <c r="W58" s="64"/>
      <c r="BF58" s="64"/>
      <c r="BG58" s="64"/>
      <c r="BH58" s="64"/>
      <c r="BI58" s="64"/>
      <c r="BJ58" s="64"/>
      <c r="BK58" s="64"/>
      <c r="BL58" s="64"/>
      <c r="BM58" s="64"/>
      <c r="BN58" s="64"/>
      <c r="BO58" s="64"/>
      <c r="BP58" s="64"/>
    </row>
    <row r="59" ht="18.75" customHeight="1" outlineLevel="1">
      <c r="H59" s="64"/>
      <c r="J59" s="64"/>
      <c r="K59" s="64"/>
      <c r="M59" s="64"/>
      <c r="N59" s="64"/>
      <c r="O59" s="64"/>
      <c r="P59" s="64"/>
      <c r="Q59" s="64"/>
      <c r="R59" s="64"/>
      <c r="S59" s="64"/>
      <c r="T59" s="64"/>
      <c r="U59" s="64"/>
      <c r="V59" s="64"/>
      <c r="W59" s="64"/>
      <c r="BF59" s="64"/>
      <c r="BG59" s="64"/>
      <c r="BH59" s="64"/>
      <c r="BI59" s="64"/>
      <c r="BJ59" s="64"/>
      <c r="BK59" s="64"/>
      <c r="BL59" s="64"/>
      <c r="BM59" s="64"/>
      <c r="BN59" s="64"/>
      <c r="BO59" s="64"/>
      <c r="BP59" s="64"/>
    </row>
    <row r="60" ht="18.75" customHeight="1" outlineLevel="1">
      <c r="H60" s="64"/>
      <c r="J60" s="64"/>
      <c r="K60" s="64"/>
      <c r="M60" s="64"/>
      <c r="N60" s="64"/>
      <c r="O60" s="64"/>
      <c r="P60" s="64"/>
      <c r="Q60" s="64"/>
      <c r="R60" s="64"/>
      <c r="S60" s="64"/>
      <c r="T60" s="64"/>
      <c r="U60" s="64"/>
      <c r="V60" s="64"/>
      <c r="W60" s="64"/>
      <c r="BF60" s="64"/>
      <c r="BG60" s="64"/>
      <c r="BH60" s="64"/>
      <c r="BI60" s="64"/>
      <c r="BJ60" s="64"/>
      <c r="BK60" s="64"/>
      <c r="BL60" s="64"/>
      <c r="BM60" s="64"/>
      <c r="BN60" s="64"/>
      <c r="BO60" s="64"/>
      <c r="BP60" s="64"/>
    </row>
    <row r="61" ht="18.75" customHeight="1" outlineLevel="1">
      <c r="H61" s="64"/>
      <c r="J61" s="64"/>
      <c r="K61" s="64"/>
      <c r="M61" s="64"/>
      <c r="N61" s="64"/>
      <c r="O61" s="64"/>
      <c r="P61" s="64"/>
      <c r="Q61" s="64"/>
      <c r="R61" s="64"/>
      <c r="S61" s="64"/>
      <c r="T61" s="64"/>
      <c r="U61" s="64"/>
      <c r="V61" s="64"/>
      <c r="W61" s="64"/>
      <c r="BF61" s="64"/>
      <c r="BG61" s="64"/>
      <c r="BH61" s="64"/>
      <c r="BI61" s="64"/>
      <c r="BJ61" s="64"/>
      <c r="BK61" s="64"/>
      <c r="BL61" s="64"/>
      <c r="BM61" s="64"/>
      <c r="BN61" s="64"/>
      <c r="BO61" s="64"/>
      <c r="BP61" s="64"/>
    </row>
    <row r="62" ht="18.75" customHeight="1" outlineLevel="1">
      <c r="H62" s="64"/>
      <c r="J62" s="64"/>
      <c r="K62" s="64"/>
      <c r="M62" s="64"/>
      <c r="N62" s="64"/>
      <c r="O62" s="64"/>
      <c r="P62" s="64"/>
      <c r="Q62" s="64"/>
      <c r="R62" s="64"/>
      <c r="S62" s="64"/>
      <c r="T62" s="64"/>
      <c r="U62" s="64"/>
      <c r="V62" s="64"/>
      <c r="W62" s="64"/>
      <c r="BF62" s="64"/>
      <c r="BG62" s="64"/>
      <c r="BH62" s="64"/>
      <c r="BI62" s="64"/>
      <c r="BJ62" s="64"/>
      <c r="BK62" s="64"/>
      <c r="BL62" s="64"/>
      <c r="BM62" s="64"/>
      <c r="BN62" s="64"/>
      <c r="BO62" s="64"/>
      <c r="BP62" s="64"/>
    </row>
    <row r="63" ht="18.75" customHeight="1" outlineLevel="1">
      <c r="H63" s="64"/>
      <c r="J63" s="64"/>
      <c r="K63" s="64"/>
      <c r="M63" s="64"/>
      <c r="N63" s="64"/>
      <c r="O63" s="64"/>
      <c r="P63" s="64"/>
      <c r="Q63" s="64"/>
      <c r="R63" s="64"/>
      <c r="S63" s="64"/>
      <c r="T63" s="64"/>
      <c r="U63" s="64"/>
      <c r="V63" s="64"/>
      <c r="W63" s="64"/>
      <c r="BF63" s="64"/>
      <c r="BG63" s="64"/>
      <c r="BH63" s="64"/>
      <c r="BI63" s="64"/>
      <c r="BJ63" s="64"/>
      <c r="BK63" s="64"/>
      <c r="BL63" s="64"/>
      <c r="BM63" s="64"/>
      <c r="BN63" s="64"/>
      <c r="BO63" s="64"/>
      <c r="BP63" s="64"/>
    </row>
    <row r="64" ht="18.75" customHeight="1" outlineLevel="1">
      <c r="H64" s="64"/>
      <c r="J64" s="64"/>
      <c r="K64" s="64"/>
      <c r="M64" s="64"/>
      <c r="N64" s="64"/>
      <c r="O64" s="64"/>
      <c r="P64" s="64"/>
      <c r="Q64" s="64"/>
      <c r="R64" s="64"/>
      <c r="S64" s="64"/>
      <c r="T64" s="64"/>
      <c r="U64" s="64"/>
      <c r="V64" s="64"/>
      <c r="W64" s="64"/>
      <c r="BF64" s="64"/>
      <c r="BG64" s="64"/>
      <c r="BH64" s="64"/>
      <c r="BI64" s="64"/>
      <c r="BJ64" s="64"/>
      <c r="BK64" s="64"/>
      <c r="BL64" s="64"/>
      <c r="BM64" s="64"/>
      <c r="BN64" s="64"/>
      <c r="BO64" s="64"/>
      <c r="BP64" s="64"/>
    </row>
    <row r="65" ht="18.75" customHeight="1" outlineLevel="1">
      <c r="H65" s="64"/>
      <c r="J65" s="64"/>
      <c r="K65" s="64"/>
      <c r="M65" s="64"/>
      <c r="N65" s="64"/>
      <c r="O65" s="64"/>
      <c r="P65" s="64"/>
      <c r="Q65" s="64"/>
      <c r="R65" s="64"/>
      <c r="S65" s="64"/>
      <c r="T65" s="64"/>
      <c r="U65" s="64"/>
      <c r="V65" s="64"/>
      <c r="W65" s="64"/>
      <c r="BF65" s="64"/>
      <c r="BG65" s="64"/>
      <c r="BH65" s="64"/>
      <c r="BI65" s="64"/>
      <c r="BJ65" s="64"/>
      <c r="BK65" s="64"/>
      <c r="BL65" s="64"/>
      <c r="BM65" s="64"/>
      <c r="BN65" s="64"/>
      <c r="BO65" s="64"/>
      <c r="BP65" s="64"/>
    </row>
    <row r="66" ht="18.75" customHeight="1" outlineLevel="1">
      <c r="H66" s="64"/>
      <c r="J66" s="64"/>
      <c r="K66" s="64"/>
      <c r="M66" s="64"/>
      <c r="N66" s="64"/>
      <c r="O66" s="64"/>
      <c r="P66" s="64"/>
      <c r="Q66" s="64"/>
      <c r="R66" s="64"/>
      <c r="S66" s="64"/>
      <c r="T66" s="64"/>
      <c r="U66" s="64"/>
      <c r="V66" s="64"/>
      <c r="W66" s="64"/>
      <c r="BF66" s="64"/>
      <c r="BG66" s="64"/>
      <c r="BH66" s="64"/>
      <c r="BI66" s="64"/>
      <c r="BJ66" s="64"/>
      <c r="BK66" s="64"/>
      <c r="BL66" s="64"/>
      <c r="BM66" s="64"/>
      <c r="BN66" s="64"/>
      <c r="BO66" s="64"/>
      <c r="BP66" s="64"/>
    </row>
    <row r="67" ht="18.75" customHeight="1" outlineLevel="1">
      <c r="H67" s="64"/>
      <c r="J67" s="64"/>
      <c r="K67" s="64"/>
      <c r="M67" s="64"/>
      <c r="N67" s="64"/>
      <c r="O67" s="64"/>
      <c r="P67" s="64"/>
      <c r="Q67" s="64"/>
      <c r="R67" s="64"/>
      <c r="S67" s="64"/>
      <c r="T67" s="64"/>
      <c r="U67" s="64"/>
      <c r="V67" s="64"/>
      <c r="W67" s="64"/>
      <c r="BF67" s="64"/>
      <c r="BG67" s="64"/>
      <c r="BH67" s="64"/>
      <c r="BI67" s="64"/>
      <c r="BJ67" s="64"/>
      <c r="BK67" s="64"/>
      <c r="BL67" s="64"/>
      <c r="BM67" s="64"/>
      <c r="BN67" s="64"/>
      <c r="BO67" s="64"/>
      <c r="BP67" s="64"/>
    </row>
    <row r="68" ht="18.75" customHeight="1" outlineLevel="1">
      <c r="H68" s="64"/>
      <c r="J68" s="64"/>
      <c r="K68" s="64"/>
      <c r="M68" s="64"/>
      <c r="N68" s="64"/>
      <c r="O68" s="64"/>
      <c r="P68" s="64"/>
      <c r="Q68" s="64"/>
      <c r="R68" s="64"/>
      <c r="S68" s="64"/>
      <c r="T68" s="64"/>
      <c r="U68" s="64"/>
      <c r="V68" s="64"/>
      <c r="W68" s="64"/>
      <c r="BF68" s="64"/>
      <c r="BG68" s="64"/>
      <c r="BH68" s="64"/>
      <c r="BI68" s="64"/>
      <c r="BJ68" s="64"/>
      <c r="BK68" s="64"/>
      <c r="BL68" s="64"/>
      <c r="BM68" s="64"/>
      <c r="BN68" s="64"/>
      <c r="BO68" s="64"/>
      <c r="BP68" s="64"/>
    </row>
    <row r="69" ht="18.75" customHeight="1" outlineLevel="1">
      <c r="H69" s="64"/>
      <c r="J69" s="64"/>
      <c r="K69" s="64"/>
      <c r="M69" s="64"/>
      <c r="N69" s="64"/>
      <c r="O69" s="64"/>
      <c r="P69" s="64"/>
      <c r="Q69" s="64"/>
      <c r="R69" s="64"/>
      <c r="S69" s="64"/>
      <c r="T69" s="64"/>
      <c r="U69" s="64"/>
      <c r="V69" s="64"/>
      <c r="W69" s="64"/>
      <c r="BF69" s="64"/>
      <c r="BG69" s="64"/>
      <c r="BH69" s="64"/>
      <c r="BI69" s="64"/>
      <c r="BJ69" s="64"/>
      <c r="BK69" s="64"/>
      <c r="BL69" s="64"/>
      <c r="BM69" s="64"/>
      <c r="BN69" s="64"/>
      <c r="BO69" s="64"/>
      <c r="BP69" s="64"/>
    </row>
    <row r="70" ht="18.75" customHeight="1" outlineLevel="1">
      <c r="H70" s="64"/>
      <c r="J70" s="64"/>
      <c r="K70" s="64"/>
      <c r="M70" s="64"/>
      <c r="N70" s="64"/>
      <c r="O70" s="64"/>
      <c r="P70" s="64"/>
      <c r="Q70" s="64"/>
      <c r="R70" s="64"/>
      <c r="S70" s="64"/>
      <c r="T70" s="64"/>
      <c r="U70" s="64"/>
      <c r="V70" s="64"/>
      <c r="W70" s="64"/>
      <c r="BF70" s="64"/>
      <c r="BG70" s="64"/>
      <c r="BH70" s="64"/>
      <c r="BI70" s="64"/>
      <c r="BJ70" s="64"/>
      <c r="BK70" s="64"/>
      <c r="BL70" s="64"/>
      <c r="BM70" s="64"/>
      <c r="BN70" s="64"/>
      <c r="BO70" s="64"/>
      <c r="BP70" s="64"/>
    </row>
    <row r="71" ht="18.75" customHeight="1" outlineLevel="1">
      <c r="H71" s="64"/>
      <c r="J71" s="64"/>
      <c r="K71" s="64"/>
      <c r="M71" s="64"/>
      <c r="N71" s="64"/>
      <c r="O71" s="64"/>
      <c r="P71" s="64"/>
      <c r="Q71" s="64"/>
      <c r="R71" s="64"/>
      <c r="S71" s="64"/>
      <c r="T71" s="64"/>
      <c r="U71" s="64"/>
      <c r="V71" s="64"/>
      <c r="W71" s="64"/>
      <c r="BF71" s="64"/>
      <c r="BG71" s="64"/>
      <c r="BH71" s="64"/>
      <c r="BI71" s="64"/>
      <c r="BJ71" s="64"/>
      <c r="BK71" s="64"/>
      <c r="BL71" s="64"/>
      <c r="BM71" s="64"/>
      <c r="BN71" s="64"/>
      <c r="BO71" s="64"/>
      <c r="BP71" s="64"/>
    </row>
    <row r="72" ht="18.75" customHeight="1" outlineLevel="1">
      <c r="H72" s="64"/>
      <c r="J72" s="64"/>
      <c r="K72" s="64"/>
      <c r="M72" s="64"/>
      <c r="N72" s="64"/>
      <c r="O72" s="64"/>
      <c r="P72" s="64"/>
      <c r="Q72" s="64"/>
      <c r="R72" s="64"/>
      <c r="S72" s="64"/>
      <c r="T72" s="64"/>
      <c r="U72" s="64"/>
      <c r="V72" s="64"/>
      <c r="W72" s="64"/>
      <c r="BF72" s="64"/>
      <c r="BG72" s="64"/>
      <c r="BH72" s="64"/>
      <c r="BI72" s="64"/>
      <c r="BJ72" s="64"/>
      <c r="BK72" s="64"/>
      <c r="BL72" s="64"/>
      <c r="BM72" s="64"/>
      <c r="BN72" s="64"/>
      <c r="BO72" s="64"/>
      <c r="BP72" s="64"/>
    </row>
    <row r="73" ht="18.75" customHeight="1" outlineLevel="1">
      <c r="H73" s="64"/>
      <c r="J73" s="64"/>
      <c r="K73" s="64"/>
      <c r="M73" s="64"/>
      <c r="N73" s="64"/>
      <c r="O73" s="64"/>
      <c r="P73" s="64"/>
      <c r="Q73" s="64"/>
      <c r="R73" s="64"/>
      <c r="S73" s="64"/>
      <c r="T73" s="64"/>
      <c r="U73" s="64"/>
      <c r="V73" s="64"/>
      <c r="W73" s="64"/>
      <c r="BF73" s="64"/>
      <c r="BG73" s="64"/>
      <c r="BH73" s="64"/>
      <c r="BI73" s="64"/>
      <c r="BJ73" s="64"/>
      <c r="BK73" s="64"/>
      <c r="BL73" s="64"/>
      <c r="BM73" s="64"/>
      <c r="BN73" s="64"/>
      <c r="BO73" s="64"/>
      <c r="BP73" s="64"/>
    </row>
    <row r="74" ht="18.75" customHeight="1" outlineLevel="1">
      <c r="H74" s="64"/>
      <c r="J74" s="64"/>
      <c r="K74" s="64"/>
      <c r="M74" s="64"/>
      <c r="N74" s="64"/>
      <c r="O74" s="64"/>
      <c r="P74" s="64"/>
      <c r="Q74" s="64"/>
      <c r="R74" s="64"/>
      <c r="S74" s="64"/>
      <c r="T74" s="64"/>
      <c r="U74" s="64"/>
      <c r="V74" s="64"/>
      <c r="W74" s="64"/>
      <c r="BF74" s="64"/>
      <c r="BG74" s="64"/>
      <c r="BH74" s="64"/>
      <c r="BI74" s="64"/>
      <c r="BJ74" s="64"/>
      <c r="BK74" s="64"/>
      <c r="BL74" s="64"/>
      <c r="BM74" s="64"/>
      <c r="BN74" s="64"/>
      <c r="BO74" s="64"/>
      <c r="BP74" s="64"/>
    </row>
    <row r="75" ht="18.75" customHeight="1" outlineLevel="1">
      <c r="H75" s="64"/>
      <c r="J75" s="64"/>
      <c r="K75" s="64"/>
      <c r="M75" s="64"/>
      <c r="N75" s="64"/>
      <c r="O75" s="64"/>
      <c r="P75" s="64"/>
      <c r="Q75" s="64"/>
      <c r="R75" s="64"/>
      <c r="S75" s="64"/>
      <c r="T75" s="64"/>
      <c r="U75" s="64"/>
      <c r="V75" s="64"/>
      <c r="W75" s="64"/>
      <c r="BF75" s="64"/>
      <c r="BG75" s="64"/>
      <c r="BH75" s="64"/>
      <c r="BI75" s="64"/>
      <c r="BJ75" s="64"/>
      <c r="BK75" s="64"/>
      <c r="BL75" s="64"/>
      <c r="BM75" s="64"/>
      <c r="BN75" s="64"/>
      <c r="BO75" s="64"/>
      <c r="BP75" s="64"/>
    </row>
    <row r="76" ht="18.75" customHeight="1" outlineLevel="1">
      <c r="H76" s="64"/>
      <c r="J76" s="64"/>
      <c r="K76" s="64"/>
      <c r="M76" s="64"/>
      <c r="N76" s="64"/>
      <c r="O76" s="64"/>
      <c r="P76" s="64"/>
      <c r="Q76" s="64"/>
      <c r="R76" s="64"/>
      <c r="S76" s="64"/>
      <c r="T76" s="64"/>
      <c r="U76" s="64"/>
      <c r="V76" s="64"/>
      <c r="W76" s="64"/>
      <c r="BF76" s="64"/>
      <c r="BG76" s="64"/>
      <c r="BH76" s="64"/>
      <c r="BI76" s="64"/>
      <c r="BJ76" s="64"/>
      <c r="BK76" s="64"/>
      <c r="BL76" s="64"/>
      <c r="BM76" s="64"/>
      <c r="BN76" s="64"/>
      <c r="BO76" s="64"/>
      <c r="BP76" s="64"/>
    </row>
    <row r="77" ht="18.75" customHeight="1" outlineLevel="1">
      <c r="H77" s="64"/>
      <c r="J77" s="64"/>
      <c r="K77" s="64"/>
      <c r="M77" s="64"/>
      <c r="N77" s="64"/>
      <c r="O77" s="64"/>
      <c r="P77" s="64"/>
      <c r="Q77" s="64"/>
      <c r="R77" s="64"/>
      <c r="S77" s="64"/>
      <c r="T77" s="64"/>
      <c r="U77" s="64"/>
      <c r="V77" s="64"/>
      <c r="W77" s="64"/>
      <c r="BF77" s="64"/>
      <c r="BG77" s="64"/>
      <c r="BH77" s="64"/>
      <c r="BI77" s="64"/>
      <c r="BJ77" s="64"/>
      <c r="BK77" s="64"/>
      <c r="BL77" s="64"/>
      <c r="BM77" s="64"/>
      <c r="BN77" s="64"/>
      <c r="BO77" s="64"/>
      <c r="BP77" s="64"/>
    </row>
    <row r="78" ht="18.75" customHeight="1" outlineLevel="1">
      <c r="H78" s="64"/>
      <c r="J78" s="64"/>
      <c r="K78" s="64"/>
      <c r="M78" s="64"/>
      <c r="N78" s="64"/>
      <c r="O78" s="64"/>
      <c r="P78" s="64"/>
      <c r="Q78" s="64"/>
      <c r="R78" s="64"/>
      <c r="S78" s="64"/>
      <c r="T78" s="64"/>
      <c r="U78" s="64"/>
      <c r="V78" s="64"/>
      <c r="W78" s="64"/>
      <c r="BF78" s="64"/>
      <c r="BG78" s="64"/>
      <c r="BH78" s="64"/>
      <c r="BI78" s="64"/>
      <c r="BJ78" s="64"/>
      <c r="BK78" s="64"/>
      <c r="BL78" s="64"/>
      <c r="BM78" s="64"/>
      <c r="BN78" s="64"/>
      <c r="BO78" s="64"/>
      <c r="BP78" s="64"/>
    </row>
    <row r="79" ht="18.75" customHeight="1" outlineLevel="1">
      <c r="H79" s="64"/>
      <c r="J79" s="64"/>
      <c r="K79" s="64"/>
      <c r="M79" s="64"/>
      <c r="N79" s="64"/>
      <c r="O79" s="64"/>
      <c r="P79" s="64"/>
      <c r="Q79" s="64"/>
      <c r="R79" s="64"/>
      <c r="S79" s="64"/>
      <c r="T79" s="64"/>
      <c r="U79" s="64"/>
      <c r="V79" s="64"/>
      <c r="W79" s="64"/>
      <c r="BF79" s="64"/>
      <c r="BG79" s="64"/>
      <c r="BH79" s="64"/>
      <c r="BI79" s="64"/>
      <c r="BJ79" s="64"/>
      <c r="BK79" s="64"/>
      <c r="BL79" s="64"/>
      <c r="BM79" s="64"/>
      <c r="BN79" s="64"/>
      <c r="BO79" s="64"/>
      <c r="BP79" s="64"/>
    </row>
    <row r="80" ht="18.75" customHeight="1" outlineLevel="1">
      <c r="H80" s="64"/>
      <c r="J80" s="64"/>
      <c r="K80" s="64"/>
      <c r="M80" s="64"/>
      <c r="N80" s="64"/>
      <c r="O80" s="64"/>
      <c r="P80" s="64"/>
      <c r="Q80" s="64"/>
      <c r="R80" s="64"/>
      <c r="S80" s="64"/>
      <c r="T80" s="64"/>
      <c r="U80" s="64"/>
      <c r="V80" s="64"/>
      <c r="W80" s="64"/>
      <c r="BF80" s="64"/>
      <c r="BG80" s="64"/>
      <c r="BH80" s="64"/>
      <c r="BI80" s="64"/>
      <c r="BJ80" s="64"/>
      <c r="BK80" s="64"/>
      <c r="BL80" s="64"/>
      <c r="BM80" s="64"/>
      <c r="BN80" s="64"/>
      <c r="BO80" s="64"/>
      <c r="BP80" s="64"/>
    </row>
    <row r="81" ht="18.75" customHeight="1" outlineLevel="1">
      <c r="H81" s="64"/>
      <c r="J81" s="64"/>
      <c r="K81" s="64"/>
      <c r="M81" s="64"/>
      <c r="N81" s="64"/>
      <c r="O81" s="64"/>
      <c r="P81" s="64"/>
      <c r="Q81" s="64"/>
      <c r="R81" s="64"/>
      <c r="S81" s="64"/>
      <c r="T81" s="64"/>
      <c r="U81" s="64"/>
      <c r="V81" s="64"/>
      <c r="W81" s="64"/>
      <c r="BF81" s="64"/>
      <c r="BG81" s="64"/>
      <c r="BH81" s="64"/>
      <c r="BI81" s="64"/>
      <c r="BJ81" s="64"/>
      <c r="BK81" s="64"/>
      <c r="BL81" s="64"/>
      <c r="BM81" s="64"/>
      <c r="BN81" s="64"/>
      <c r="BO81" s="64"/>
      <c r="BP81" s="64"/>
    </row>
    <row r="82" ht="18.75" customHeight="1" outlineLevel="1">
      <c r="H82" s="64"/>
      <c r="J82" s="64"/>
      <c r="K82" s="64"/>
      <c r="M82" s="64"/>
      <c r="N82" s="64"/>
      <c r="O82" s="64"/>
      <c r="P82" s="64"/>
      <c r="Q82" s="64"/>
      <c r="R82" s="64"/>
      <c r="S82" s="64"/>
      <c r="T82" s="64"/>
      <c r="U82" s="64"/>
      <c r="V82" s="64"/>
      <c r="W82" s="64"/>
      <c r="BF82" s="64"/>
      <c r="BG82" s="64"/>
      <c r="BH82" s="64"/>
      <c r="BI82" s="64"/>
      <c r="BJ82" s="64"/>
      <c r="BK82" s="64"/>
      <c r="BL82" s="64"/>
      <c r="BM82" s="64"/>
      <c r="BN82" s="64"/>
      <c r="BO82" s="64"/>
      <c r="BP82" s="64"/>
    </row>
    <row r="83" ht="18.75" customHeight="1" outlineLevel="1">
      <c r="H83" s="64"/>
      <c r="J83" s="64"/>
      <c r="K83" s="64"/>
      <c r="M83" s="64"/>
      <c r="N83" s="64"/>
      <c r="O83" s="64"/>
      <c r="P83" s="64"/>
      <c r="Q83" s="64"/>
      <c r="R83" s="64"/>
      <c r="S83" s="64"/>
      <c r="T83" s="64"/>
      <c r="U83" s="64"/>
      <c r="V83" s="64"/>
      <c r="W83" s="64"/>
      <c r="BF83" s="64"/>
      <c r="BG83" s="64"/>
      <c r="BH83" s="64"/>
      <c r="BI83" s="64"/>
      <c r="BJ83" s="64"/>
      <c r="BK83" s="64"/>
      <c r="BL83" s="64"/>
      <c r="BM83" s="64"/>
      <c r="BN83" s="64"/>
      <c r="BO83" s="64"/>
      <c r="BP83" s="64"/>
    </row>
    <row r="84" ht="18.75" customHeight="1" outlineLevel="1">
      <c r="H84" s="64"/>
      <c r="J84" s="64"/>
      <c r="K84" s="64"/>
      <c r="M84" s="64"/>
      <c r="N84" s="64"/>
      <c r="O84" s="64"/>
      <c r="P84" s="64"/>
      <c r="Q84" s="64"/>
      <c r="R84" s="64"/>
      <c r="S84" s="64"/>
      <c r="T84" s="64"/>
      <c r="U84" s="64"/>
      <c r="V84" s="64"/>
      <c r="W84" s="64"/>
      <c r="BF84" s="64"/>
      <c r="BG84" s="64"/>
      <c r="BH84" s="64"/>
      <c r="BI84" s="64"/>
      <c r="BJ84" s="64"/>
      <c r="BK84" s="64"/>
      <c r="BL84" s="64"/>
      <c r="BM84" s="64"/>
      <c r="BN84" s="64"/>
      <c r="BO84" s="64"/>
      <c r="BP84" s="64"/>
    </row>
    <row r="85" ht="18.75" customHeight="1" outlineLevel="1">
      <c r="H85" s="64"/>
      <c r="J85" s="64"/>
      <c r="K85" s="64"/>
      <c r="M85" s="64"/>
      <c r="N85" s="64"/>
      <c r="O85" s="64"/>
      <c r="P85" s="64"/>
      <c r="Q85" s="64"/>
      <c r="R85" s="64"/>
      <c r="S85" s="64"/>
      <c r="T85" s="64"/>
      <c r="U85" s="64"/>
      <c r="V85" s="64"/>
      <c r="W85" s="64"/>
      <c r="BF85" s="64"/>
      <c r="BG85" s="64"/>
      <c r="BH85" s="64"/>
      <c r="BI85" s="64"/>
      <c r="BJ85" s="64"/>
      <c r="BK85" s="64"/>
      <c r="BL85" s="64"/>
      <c r="BM85" s="64"/>
      <c r="BN85" s="64"/>
      <c r="BO85" s="64"/>
      <c r="BP85" s="64"/>
    </row>
    <row r="86" ht="18.75" customHeight="1" outlineLevel="1">
      <c r="H86" s="64"/>
      <c r="J86" s="64"/>
      <c r="K86" s="64"/>
      <c r="M86" s="64"/>
      <c r="N86" s="64"/>
      <c r="O86" s="64"/>
      <c r="P86" s="64"/>
      <c r="Q86" s="64"/>
      <c r="R86" s="64"/>
      <c r="S86" s="64"/>
      <c r="T86" s="64"/>
      <c r="U86" s="64"/>
      <c r="V86" s="64"/>
      <c r="W86" s="64"/>
      <c r="BF86" s="64"/>
      <c r="BG86" s="64"/>
      <c r="BH86" s="64"/>
      <c r="BI86" s="64"/>
      <c r="BJ86" s="64"/>
      <c r="BK86" s="64"/>
      <c r="BL86" s="64"/>
      <c r="BM86" s="64"/>
      <c r="BN86" s="64"/>
      <c r="BO86" s="64"/>
      <c r="BP86" s="64"/>
    </row>
    <row r="87" ht="18.75" customHeight="1" outlineLevel="1">
      <c r="H87" s="64"/>
      <c r="J87" s="64"/>
      <c r="K87" s="64"/>
      <c r="M87" s="64"/>
      <c r="N87" s="64"/>
      <c r="O87" s="64"/>
      <c r="P87" s="64"/>
      <c r="Q87" s="64"/>
      <c r="R87" s="64"/>
      <c r="S87" s="64"/>
      <c r="T87" s="64"/>
      <c r="U87" s="64"/>
      <c r="V87" s="64"/>
      <c r="W87" s="64"/>
      <c r="BF87" s="64"/>
      <c r="BG87" s="64"/>
      <c r="BH87" s="64"/>
      <c r="BI87" s="64"/>
      <c r="BJ87" s="64"/>
      <c r="BK87" s="64"/>
      <c r="BL87" s="64"/>
      <c r="BM87" s="64"/>
      <c r="BN87" s="64"/>
      <c r="BO87" s="64"/>
      <c r="BP87" s="64"/>
    </row>
    <row r="88" ht="18.75" customHeight="1" outlineLevel="1">
      <c r="H88" s="64"/>
      <c r="J88" s="64"/>
      <c r="K88" s="64"/>
      <c r="M88" s="64"/>
      <c r="N88" s="64"/>
      <c r="O88" s="64"/>
      <c r="P88" s="64"/>
      <c r="Q88" s="64"/>
      <c r="R88" s="64"/>
      <c r="S88" s="64"/>
      <c r="T88" s="64"/>
      <c r="U88" s="64"/>
      <c r="V88" s="64"/>
      <c r="W88" s="64"/>
      <c r="BF88" s="64"/>
      <c r="BG88" s="64"/>
      <c r="BH88" s="64"/>
      <c r="BI88" s="64"/>
      <c r="BJ88" s="64"/>
      <c r="BK88" s="64"/>
      <c r="BL88" s="64"/>
      <c r="BM88" s="64"/>
      <c r="BN88" s="64"/>
      <c r="BO88" s="64"/>
      <c r="BP88" s="64"/>
    </row>
    <row r="89" ht="18.75" customHeight="1" outlineLevel="1">
      <c r="H89" s="64"/>
      <c r="J89" s="64"/>
      <c r="K89" s="64"/>
      <c r="M89" s="64"/>
      <c r="N89" s="64"/>
      <c r="O89" s="64"/>
      <c r="P89" s="64"/>
      <c r="Q89" s="64"/>
      <c r="R89" s="64"/>
      <c r="S89" s="64"/>
      <c r="T89" s="64"/>
      <c r="U89" s="64"/>
      <c r="V89" s="64"/>
      <c r="W89" s="64"/>
      <c r="BF89" s="64"/>
      <c r="BG89" s="64"/>
      <c r="BH89" s="64"/>
      <c r="BI89" s="64"/>
      <c r="BJ89" s="64"/>
      <c r="BK89" s="64"/>
      <c r="BL89" s="64"/>
      <c r="BM89" s="64"/>
      <c r="BN89" s="64"/>
      <c r="BO89" s="64"/>
      <c r="BP89" s="64"/>
    </row>
    <row r="90" ht="18.75" customHeight="1" outlineLevel="1">
      <c r="H90" s="64"/>
      <c r="J90" s="64"/>
      <c r="K90" s="64"/>
      <c r="M90" s="64"/>
      <c r="N90" s="64"/>
      <c r="O90" s="64"/>
      <c r="P90" s="64"/>
      <c r="Q90" s="64"/>
      <c r="R90" s="64"/>
      <c r="S90" s="64"/>
      <c r="T90" s="64"/>
      <c r="U90" s="64"/>
      <c r="V90" s="64"/>
      <c r="W90" s="64"/>
      <c r="BF90" s="64"/>
      <c r="BG90" s="64"/>
      <c r="BH90" s="64"/>
      <c r="BI90" s="64"/>
      <c r="BJ90" s="64"/>
      <c r="BK90" s="64"/>
      <c r="BL90" s="64"/>
      <c r="BM90" s="64"/>
      <c r="BN90" s="64"/>
      <c r="BO90" s="64"/>
      <c r="BP90" s="64"/>
    </row>
    <row r="91" ht="18.75" customHeight="1" outlineLevel="1">
      <c r="H91" s="64"/>
      <c r="J91" s="64"/>
      <c r="K91" s="64"/>
      <c r="M91" s="64"/>
      <c r="N91" s="64"/>
      <c r="O91" s="64"/>
      <c r="P91" s="64"/>
      <c r="Q91" s="64"/>
      <c r="R91" s="64"/>
      <c r="S91" s="64"/>
      <c r="T91" s="64"/>
      <c r="U91" s="64"/>
      <c r="V91" s="64"/>
      <c r="W91" s="64"/>
      <c r="BF91" s="64"/>
      <c r="BG91" s="64"/>
      <c r="BH91" s="64"/>
      <c r="BI91" s="64"/>
      <c r="BJ91" s="64"/>
      <c r="BK91" s="64"/>
      <c r="BL91" s="64"/>
      <c r="BM91" s="64"/>
      <c r="BN91" s="64"/>
      <c r="BO91" s="64"/>
      <c r="BP91" s="64"/>
    </row>
    <row r="92" ht="18.75" customHeight="1" outlineLevel="1">
      <c r="H92" s="64"/>
      <c r="J92" s="64"/>
      <c r="K92" s="64"/>
      <c r="M92" s="64"/>
      <c r="N92" s="64"/>
      <c r="O92" s="64"/>
      <c r="P92" s="64"/>
      <c r="Q92" s="64"/>
      <c r="R92" s="64"/>
      <c r="S92" s="64"/>
      <c r="T92" s="64"/>
      <c r="U92" s="64"/>
      <c r="V92" s="64"/>
      <c r="W92" s="64"/>
      <c r="BF92" s="64"/>
      <c r="BG92" s="64"/>
      <c r="BH92" s="64"/>
      <c r="BI92" s="64"/>
      <c r="BJ92" s="64"/>
      <c r="BK92" s="64"/>
      <c r="BL92" s="64"/>
      <c r="BM92" s="64"/>
      <c r="BN92" s="64"/>
      <c r="BO92" s="64"/>
      <c r="BP92" s="64"/>
    </row>
    <row r="93" ht="18.75" customHeight="1" outlineLevel="1">
      <c r="H93" s="64"/>
      <c r="J93" s="64"/>
      <c r="K93" s="64"/>
      <c r="M93" s="64"/>
      <c r="N93" s="64"/>
      <c r="O93" s="64"/>
      <c r="P93" s="64"/>
      <c r="Q93" s="64"/>
      <c r="R93" s="64"/>
      <c r="S93" s="64"/>
      <c r="T93" s="64"/>
      <c r="U93" s="64"/>
      <c r="V93" s="64"/>
      <c r="W93" s="64"/>
      <c r="BF93" s="64"/>
      <c r="BG93" s="64"/>
      <c r="BH93" s="64"/>
      <c r="BI93" s="64"/>
      <c r="BJ93" s="64"/>
      <c r="BK93" s="64"/>
      <c r="BL93" s="64"/>
      <c r="BM93" s="64"/>
      <c r="BN93" s="64"/>
      <c r="BO93" s="64"/>
      <c r="BP93" s="64"/>
    </row>
    <row r="94" ht="18.75" customHeight="1" outlineLevel="1">
      <c r="H94" s="64"/>
      <c r="J94" s="64"/>
      <c r="K94" s="64"/>
      <c r="M94" s="64"/>
      <c r="N94" s="64"/>
      <c r="O94" s="64"/>
      <c r="P94" s="64"/>
      <c r="Q94" s="64"/>
      <c r="R94" s="64"/>
      <c r="S94" s="64"/>
      <c r="T94" s="64"/>
      <c r="U94" s="64"/>
      <c r="V94" s="64"/>
      <c r="W94" s="64"/>
      <c r="BF94" s="64"/>
      <c r="BG94" s="64"/>
      <c r="BH94" s="64"/>
      <c r="BI94" s="64"/>
      <c r="BJ94" s="64"/>
      <c r="BK94" s="64"/>
      <c r="BL94" s="64"/>
      <c r="BM94" s="64"/>
      <c r="BN94" s="64"/>
      <c r="BO94" s="64"/>
      <c r="BP94" s="64"/>
    </row>
    <row r="95" ht="18.75" customHeight="1" outlineLevel="1">
      <c r="H95" s="64"/>
      <c r="J95" s="64"/>
      <c r="K95" s="64"/>
      <c r="M95" s="64"/>
      <c r="N95" s="64"/>
      <c r="O95" s="64"/>
      <c r="P95" s="64"/>
      <c r="Q95" s="64"/>
      <c r="R95" s="64"/>
      <c r="S95" s="64"/>
      <c r="T95" s="64"/>
      <c r="U95" s="64"/>
      <c r="V95" s="64"/>
      <c r="W95" s="64"/>
      <c r="BF95" s="64"/>
      <c r="BG95" s="64"/>
      <c r="BH95" s="64"/>
      <c r="BI95" s="64"/>
      <c r="BJ95" s="64"/>
      <c r="BK95" s="64"/>
      <c r="BL95" s="64"/>
      <c r="BM95" s="64"/>
      <c r="BN95" s="64"/>
      <c r="BO95" s="64"/>
      <c r="BP95" s="64"/>
    </row>
    <row r="96" ht="18.75" customHeight="1" outlineLevel="1">
      <c r="H96" s="64"/>
      <c r="J96" s="64"/>
      <c r="K96" s="64"/>
      <c r="M96" s="64"/>
      <c r="N96" s="64"/>
      <c r="O96" s="64"/>
      <c r="P96" s="64"/>
      <c r="Q96" s="64"/>
      <c r="R96" s="64"/>
      <c r="S96" s="64"/>
      <c r="T96" s="64"/>
      <c r="U96" s="64"/>
      <c r="V96" s="64"/>
      <c r="W96" s="64"/>
      <c r="BF96" s="64"/>
      <c r="BG96" s="64"/>
      <c r="BH96" s="64"/>
      <c r="BI96" s="64"/>
      <c r="BJ96" s="64"/>
      <c r="BK96" s="64"/>
      <c r="BL96" s="64"/>
      <c r="BM96" s="64"/>
      <c r="BN96" s="64"/>
      <c r="BO96" s="64"/>
      <c r="BP96" s="64"/>
    </row>
    <row r="97" ht="18.75" customHeight="1" outlineLevel="1">
      <c r="H97" s="64"/>
      <c r="J97" s="64"/>
      <c r="K97" s="64"/>
      <c r="M97" s="64"/>
      <c r="N97" s="64"/>
      <c r="O97" s="64"/>
      <c r="P97" s="64"/>
      <c r="Q97" s="64"/>
      <c r="R97" s="64"/>
      <c r="S97" s="64"/>
      <c r="T97" s="64"/>
      <c r="U97" s="64"/>
      <c r="V97" s="64"/>
      <c r="W97" s="64"/>
      <c r="BF97" s="64"/>
      <c r="BG97" s="64"/>
      <c r="BH97" s="64"/>
      <c r="BI97" s="64"/>
      <c r="BJ97" s="64"/>
      <c r="BK97" s="64"/>
      <c r="BL97" s="64"/>
      <c r="BM97" s="64"/>
      <c r="BN97" s="64"/>
      <c r="BO97" s="64"/>
      <c r="BP97" s="64"/>
    </row>
    <row r="98" ht="18.75" customHeight="1" outlineLevel="1">
      <c r="H98" s="64"/>
      <c r="J98" s="64"/>
      <c r="K98" s="64"/>
      <c r="M98" s="64"/>
      <c r="N98" s="64"/>
      <c r="O98" s="64"/>
      <c r="P98" s="64"/>
      <c r="Q98" s="64"/>
      <c r="R98" s="64"/>
      <c r="S98" s="64"/>
      <c r="T98" s="64"/>
      <c r="U98" s="64"/>
      <c r="V98" s="64"/>
      <c r="W98" s="64"/>
      <c r="BF98" s="64"/>
      <c r="BG98" s="64"/>
      <c r="BH98" s="64"/>
      <c r="BI98" s="64"/>
      <c r="BJ98" s="64"/>
      <c r="BK98" s="64"/>
      <c r="BL98" s="64"/>
      <c r="BM98" s="64"/>
      <c r="BN98" s="64"/>
      <c r="BO98" s="64"/>
      <c r="BP98" s="64"/>
    </row>
    <row r="99" ht="18.75" customHeight="1" outlineLevel="1">
      <c r="H99" s="64"/>
      <c r="J99" s="64"/>
      <c r="K99" s="64"/>
      <c r="M99" s="64"/>
      <c r="N99" s="64"/>
      <c r="O99" s="64"/>
      <c r="P99" s="64"/>
      <c r="Q99" s="64"/>
      <c r="R99" s="64"/>
      <c r="S99" s="64"/>
      <c r="T99" s="64"/>
      <c r="U99" s="64"/>
      <c r="V99" s="64"/>
      <c r="W99" s="64"/>
      <c r="BF99" s="64"/>
      <c r="BG99" s="64"/>
      <c r="BH99" s="64"/>
      <c r="BI99" s="64"/>
      <c r="BJ99" s="64"/>
      <c r="BK99" s="64"/>
      <c r="BL99" s="64"/>
      <c r="BM99" s="64"/>
      <c r="BN99" s="64"/>
      <c r="BO99" s="64"/>
      <c r="BP99" s="64"/>
    </row>
    <row r="100" ht="18.75" customHeight="1" outlineLevel="1">
      <c r="H100" s="64"/>
      <c r="J100" s="64"/>
      <c r="K100" s="64"/>
      <c r="M100" s="64"/>
      <c r="N100" s="64"/>
      <c r="O100" s="64"/>
      <c r="P100" s="64"/>
      <c r="Q100" s="64"/>
      <c r="R100" s="64"/>
      <c r="S100" s="64"/>
      <c r="T100" s="64"/>
      <c r="U100" s="64"/>
      <c r="V100" s="64"/>
      <c r="W100" s="64"/>
      <c r="BF100" s="64"/>
      <c r="BG100" s="64"/>
      <c r="BH100" s="64"/>
      <c r="BI100" s="64"/>
      <c r="BJ100" s="64"/>
      <c r="BK100" s="64"/>
      <c r="BL100" s="64"/>
      <c r="BM100" s="64"/>
      <c r="BN100" s="64"/>
      <c r="BO100" s="64"/>
      <c r="BP100" s="64"/>
    </row>
    <row r="101" ht="18.75" customHeight="1" outlineLevel="1">
      <c r="H101" s="64"/>
      <c r="J101" s="64"/>
      <c r="K101" s="64"/>
      <c r="M101" s="64"/>
      <c r="N101" s="64"/>
      <c r="O101" s="64"/>
      <c r="P101" s="64"/>
      <c r="Q101" s="64"/>
      <c r="R101" s="64"/>
      <c r="S101" s="64"/>
      <c r="T101" s="64"/>
      <c r="U101" s="64"/>
      <c r="V101" s="64"/>
      <c r="W101" s="64"/>
      <c r="BF101" s="64"/>
      <c r="BG101" s="64"/>
      <c r="BH101" s="64"/>
      <c r="BI101" s="64"/>
      <c r="BJ101" s="64"/>
      <c r="BK101" s="64"/>
      <c r="BL101" s="64"/>
      <c r="BM101" s="64"/>
      <c r="BN101" s="64"/>
      <c r="BO101" s="64"/>
      <c r="BP101" s="64"/>
    </row>
    <row r="102" ht="18.75" customHeight="1" outlineLevel="1">
      <c r="H102" s="64"/>
      <c r="J102" s="64"/>
      <c r="K102" s="64"/>
      <c r="M102" s="64"/>
      <c r="N102" s="64"/>
      <c r="O102" s="64"/>
      <c r="P102" s="64"/>
      <c r="Q102" s="64"/>
      <c r="R102" s="64"/>
      <c r="S102" s="64"/>
      <c r="T102" s="64"/>
      <c r="U102" s="64"/>
      <c r="V102" s="64"/>
      <c r="W102" s="64"/>
      <c r="BF102" s="64"/>
      <c r="BG102" s="64"/>
      <c r="BH102" s="64"/>
      <c r="BI102" s="64"/>
      <c r="BJ102" s="64"/>
      <c r="BK102" s="64"/>
      <c r="BL102" s="64"/>
      <c r="BM102" s="64"/>
      <c r="BN102" s="64"/>
      <c r="BO102" s="64"/>
      <c r="BP102" s="64"/>
    </row>
    <row r="103" ht="18.75" customHeight="1" outlineLevel="1">
      <c r="H103" s="64"/>
      <c r="J103" s="64"/>
      <c r="K103" s="64"/>
      <c r="M103" s="64"/>
      <c r="N103" s="64"/>
      <c r="O103" s="64"/>
      <c r="P103" s="64"/>
      <c r="Q103" s="64"/>
      <c r="R103" s="64"/>
      <c r="S103" s="64"/>
      <c r="T103" s="64"/>
      <c r="U103" s="64"/>
      <c r="V103" s="64"/>
      <c r="W103" s="64"/>
      <c r="BF103" s="64"/>
      <c r="BG103" s="64"/>
      <c r="BH103" s="64"/>
      <c r="BI103" s="64"/>
      <c r="BJ103" s="64"/>
      <c r="BK103" s="64"/>
      <c r="BL103" s="64"/>
      <c r="BM103" s="64"/>
      <c r="BN103" s="64"/>
      <c r="BO103" s="64"/>
      <c r="BP103" s="64"/>
    </row>
    <row r="104" ht="18.75" customHeight="1" outlineLevel="1">
      <c r="H104" s="64"/>
      <c r="J104" s="64"/>
      <c r="K104" s="64"/>
      <c r="M104" s="64"/>
      <c r="N104" s="64"/>
      <c r="O104" s="64"/>
      <c r="P104" s="64"/>
      <c r="Q104" s="64"/>
      <c r="R104" s="64"/>
      <c r="S104" s="64"/>
      <c r="T104" s="64"/>
      <c r="U104" s="64"/>
      <c r="V104" s="64"/>
      <c r="W104" s="64"/>
      <c r="BF104" s="64"/>
      <c r="BG104" s="64"/>
      <c r="BH104" s="64"/>
      <c r="BI104" s="64"/>
      <c r="BJ104" s="64"/>
      <c r="BK104" s="64"/>
      <c r="BL104" s="64"/>
      <c r="BM104" s="64"/>
      <c r="BN104" s="64"/>
      <c r="BO104" s="64"/>
      <c r="BP104" s="64"/>
    </row>
    <row r="105" ht="18.75" customHeight="1" outlineLevel="1">
      <c r="H105" s="64"/>
      <c r="J105" s="64"/>
      <c r="K105" s="64"/>
      <c r="M105" s="64"/>
      <c r="N105" s="64"/>
      <c r="O105" s="64"/>
      <c r="P105" s="64"/>
      <c r="Q105" s="64"/>
      <c r="R105" s="64"/>
      <c r="S105" s="64"/>
      <c r="T105" s="64"/>
      <c r="U105" s="64"/>
      <c r="V105" s="64"/>
      <c r="W105" s="64"/>
      <c r="BF105" s="64"/>
      <c r="BG105" s="64"/>
      <c r="BH105" s="64"/>
      <c r="BI105" s="64"/>
      <c r="BJ105" s="64"/>
      <c r="BK105" s="64"/>
      <c r="BL105" s="64"/>
      <c r="BM105" s="64"/>
      <c r="BN105" s="64"/>
      <c r="BO105" s="64"/>
      <c r="BP105" s="64"/>
    </row>
    <row r="106" ht="18.75" customHeight="1" outlineLevel="1">
      <c r="H106" s="64"/>
      <c r="J106" s="64"/>
      <c r="K106" s="64"/>
      <c r="M106" s="64"/>
      <c r="N106" s="64"/>
      <c r="O106" s="64"/>
      <c r="P106" s="64"/>
      <c r="Q106" s="64"/>
      <c r="R106" s="64"/>
      <c r="S106" s="64"/>
      <c r="T106" s="64"/>
      <c r="U106" s="64"/>
      <c r="V106" s="64"/>
      <c r="W106" s="64"/>
      <c r="BF106" s="64"/>
      <c r="BG106" s="64"/>
      <c r="BH106" s="64"/>
      <c r="BI106" s="64"/>
      <c r="BJ106" s="64"/>
      <c r="BK106" s="64"/>
      <c r="BL106" s="64"/>
      <c r="BM106" s="64"/>
      <c r="BN106" s="64"/>
      <c r="BO106" s="64"/>
      <c r="BP106" s="64"/>
    </row>
    <row r="107" ht="18.75" customHeight="1" outlineLevel="1">
      <c r="H107" s="64"/>
      <c r="J107" s="64"/>
      <c r="K107" s="64"/>
      <c r="M107" s="64"/>
      <c r="N107" s="64"/>
      <c r="O107" s="64"/>
      <c r="P107" s="64"/>
      <c r="Q107" s="64"/>
      <c r="R107" s="64"/>
      <c r="S107" s="64"/>
      <c r="T107" s="64"/>
      <c r="U107" s="64"/>
      <c r="V107" s="64"/>
      <c r="W107" s="64"/>
      <c r="BF107" s="64"/>
      <c r="BG107" s="64"/>
      <c r="BH107" s="64"/>
      <c r="BI107" s="64"/>
      <c r="BJ107" s="64"/>
      <c r="BK107" s="64"/>
      <c r="BL107" s="64"/>
      <c r="BM107" s="64"/>
      <c r="BN107" s="64"/>
      <c r="BO107" s="64"/>
      <c r="BP107" s="64"/>
    </row>
    <row r="108" ht="18.75" customHeight="1" outlineLevel="1">
      <c r="H108" s="64"/>
      <c r="J108" s="64"/>
      <c r="K108" s="64"/>
      <c r="M108" s="64"/>
      <c r="N108" s="64"/>
      <c r="O108" s="64"/>
      <c r="P108" s="64"/>
      <c r="Q108" s="64"/>
      <c r="R108" s="64"/>
      <c r="S108" s="64"/>
      <c r="T108" s="64"/>
      <c r="U108" s="64"/>
      <c r="V108" s="64"/>
      <c r="W108" s="64"/>
      <c r="BF108" s="64"/>
      <c r="BG108" s="64"/>
      <c r="BH108" s="64"/>
      <c r="BI108" s="64"/>
      <c r="BJ108" s="64"/>
      <c r="BK108" s="64"/>
      <c r="BL108" s="64"/>
      <c r="BM108" s="64"/>
      <c r="BN108" s="64"/>
      <c r="BO108" s="64"/>
      <c r="BP108" s="64"/>
    </row>
    <row r="109" ht="18.75" customHeight="1" outlineLevel="1">
      <c r="H109" s="64"/>
      <c r="J109" s="64"/>
      <c r="K109" s="64"/>
      <c r="M109" s="64"/>
      <c r="N109" s="64"/>
      <c r="O109" s="64"/>
      <c r="P109" s="64"/>
      <c r="Q109" s="64"/>
      <c r="R109" s="64"/>
      <c r="S109" s="64"/>
      <c r="T109" s="64"/>
      <c r="U109" s="64"/>
      <c r="V109" s="64"/>
      <c r="W109" s="64"/>
      <c r="BF109" s="64"/>
      <c r="BG109" s="64"/>
      <c r="BH109" s="64"/>
      <c r="BI109" s="64"/>
      <c r="BJ109" s="64"/>
      <c r="BK109" s="64"/>
      <c r="BL109" s="64"/>
      <c r="BM109" s="64"/>
      <c r="BN109" s="64"/>
      <c r="BO109" s="64"/>
      <c r="BP109" s="64"/>
    </row>
    <row r="110" ht="18.75" customHeight="1" outlineLevel="1">
      <c r="H110" s="64"/>
      <c r="J110" s="64"/>
      <c r="K110" s="64"/>
      <c r="M110" s="64"/>
      <c r="N110" s="64"/>
      <c r="O110" s="64"/>
      <c r="P110" s="64"/>
      <c r="Q110" s="64"/>
      <c r="R110" s="64"/>
      <c r="S110" s="64"/>
      <c r="T110" s="64"/>
      <c r="U110" s="64"/>
      <c r="V110" s="64"/>
      <c r="W110" s="64"/>
      <c r="BF110" s="64"/>
      <c r="BG110" s="64"/>
      <c r="BH110" s="64"/>
      <c r="BI110" s="64"/>
      <c r="BJ110" s="64"/>
      <c r="BK110" s="64"/>
      <c r="BL110" s="64"/>
      <c r="BM110" s="64"/>
      <c r="BN110" s="64"/>
      <c r="BO110" s="64"/>
      <c r="BP110" s="64"/>
    </row>
    <row r="111" ht="18.75" customHeight="1" outlineLevel="1">
      <c r="H111" s="64"/>
      <c r="J111" s="64"/>
      <c r="K111" s="64"/>
      <c r="M111" s="64"/>
      <c r="N111" s="64"/>
      <c r="O111" s="64"/>
      <c r="P111" s="64"/>
      <c r="Q111" s="64"/>
      <c r="R111" s="64"/>
      <c r="S111" s="64"/>
      <c r="T111" s="64"/>
      <c r="U111" s="64"/>
      <c r="V111" s="64"/>
      <c r="W111" s="64"/>
      <c r="BF111" s="64"/>
      <c r="BG111" s="64"/>
      <c r="BH111" s="64"/>
      <c r="BI111" s="64"/>
      <c r="BJ111" s="64"/>
      <c r="BK111" s="64"/>
      <c r="BL111" s="64"/>
      <c r="BM111" s="64"/>
      <c r="BN111" s="64"/>
      <c r="BO111" s="64"/>
      <c r="BP111" s="64"/>
    </row>
    <row r="112" ht="18.75" customHeight="1" outlineLevel="1">
      <c r="H112" s="64"/>
      <c r="J112" s="64"/>
      <c r="K112" s="64"/>
      <c r="M112" s="64"/>
      <c r="N112" s="64"/>
      <c r="O112" s="64"/>
      <c r="P112" s="64"/>
      <c r="Q112" s="64"/>
      <c r="R112" s="64"/>
      <c r="S112" s="64"/>
      <c r="T112" s="64"/>
      <c r="U112" s="64"/>
      <c r="V112" s="64"/>
      <c r="W112" s="64"/>
      <c r="BF112" s="64"/>
      <c r="BG112" s="64"/>
      <c r="BH112" s="64"/>
      <c r="BI112" s="64"/>
      <c r="BJ112" s="64"/>
      <c r="BK112" s="64"/>
      <c r="BL112" s="64"/>
      <c r="BM112" s="64"/>
      <c r="BN112" s="64"/>
      <c r="BO112" s="64"/>
      <c r="BP112" s="64"/>
    </row>
    <row r="113" ht="18.75" customHeight="1" outlineLevel="1">
      <c r="H113" s="64"/>
      <c r="J113" s="64"/>
      <c r="K113" s="64"/>
      <c r="M113" s="64"/>
      <c r="N113" s="64"/>
      <c r="O113" s="64"/>
      <c r="P113" s="64"/>
      <c r="Q113" s="64"/>
      <c r="R113" s="64"/>
      <c r="S113" s="64"/>
      <c r="T113" s="64"/>
      <c r="U113" s="64"/>
      <c r="V113" s="64"/>
      <c r="W113" s="64"/>
      <c r="BF113" s="64"/>
      <c r="BG113" s="64"/>
      <c r="BH113" s="64"/>
      <c r="BI113" s="64"/>
      <c r="BJ113" s="64"/>
      <c r="BK113" s="64"/>
      <c r="BL113" s="64"/>
      <c r="BM113" s="64"/>
      <c r="BN113" s="64"/>
      <c r="BO113" s="64"/>
      <c r="BP113" s="64"/>
    </row>
    <row r="114" ht="18.75" customHeight="1">
      <c r="H114" s="64"/>
      <c r="J114" s="64"/>
      <c r="K114" s="64"/>
      <c r="M114" s="64"/>
      <c r="N114" s="64"/>
      <c r="O114" s="64"/>
      <c r="P114" s="64"/>
      <c r="Q114" s="64"/>
      <c r="R114" s="64"/>
      <c r="S114" s="64"/>
      <c r="T114" s="64"/>
      <c r="U114" s="64"/>
      <c r="V114" s="64"/>
      <c r="W114" s="64"/>
      <c r="BF114" s="64"/>
      <c r="BG114" s="64"/>
      <c r="BH114" s="64"/>
      <c r="BI114" s="64"/>
      <c r="BJ114" s="64"/>
      <c r="BK114" s="64"/>
      <c r="BL114" s="64"/>
      <c r="BM114" s="64"/>
      <c r="BN114" s="64"/>
      <c r="BO114" s="64"/>
      <c r="BP114" s="64"/>
    </row>
    <row r="115" ht="18.75" customHeight="1">
      <c r="H115" s="64"/>
      <c r="J115" s="64"/>
      <c r="K115" s="64"/>
      <c r="M115" s="64"/>
      <c r="N115" s="64"/>
      <c r="O115" s="64"/>
      <c r="P115" s="64"/>
      <c r="Q115" s="64"/>
      <c r="R115" s="64"/>
      <c r="S115" s="64"/>
      <c r="T115" s="64"/>
      <c r="U115" s="64"/>
      <c r="V115" s="64"/>
      <c r="W115" s="64"/>
      <c r="BF115" s="64"/>
      <c r="BG115" s="64"/>
      <c r="BH115" s="64"/>
      <c r="BI115" s="64"/>
      <c r="BJ115" s="64"/>
      <c r="BK115" s="64"/>
      <c r="BL115" s="64"/>
      <c r="BM115" s="64"/>
      <c r="BN115" s="64"/>
      <c r="BO115" s="64"/>
      <c r="BP115" s="64"/>
    </row>
    <row r="116" ht="18.75" customHeight="1">
      <c r="H116" s="64"/>
      <c r="J116" s="64"/>
      <c r="K116" s="64"/>
      <c r="M116" s="64"/>
      <c r="N116" s="64"/>
      <c r="O116" s="64"/>
      <c r="P116" s="64"/>
      <c r="Q116" s="64"/>
      <c r="R116" s="64"/>
      <c r="S116" s="64"/>
      <c r="T116" s="64"/>
      <c r="U116" s="64"/>
      <c r="V116" s="64"/>
      <c r="W116" s="64"/>
      <c r="BF116" s="64"/>
      <c r="BG116" s="64"/>
      <c r="BH116" s="64"/>
      <c r="BI116" s="64"/>
      <c r="BJ116" s="64"/>
      <c r="BK116" s="64"/>
      <c r="BL116" s="64"/>
      <c r="BM116" s="64"/>
      <c r="BN116" s="64"/>
      <c r="BO116" s="64"/>
      <c r="BP116" s="64"/>
    </row>
    <row r="117" ht="18.75" customHeight="1">
      <c r="H117" s="64"/>
      <c r="J117" s="64"/>
      <c r="K117" s="64"/>
      <c r="M117" s="64"/>
      <c r="N117" s="64"/>
      <c r="O117" s="64"/>
      <c r="P117" s="64"/>
      <c r="Q117" s="64"/>
      <c r="R117" s="64"/>
      <c r="S117" s="64"/>
      <c r="T117" s="64"/>
      <c r="U117" s="64"/>
      <c r="V117" s="64"/>
      <c r="W117" s="64"/>
      <c r="BF117" s="64"/>
      <c r="BG117" s="64"/>
      <c r="BH117" s="64"/>
      <c r="BI117" s="64"/>
      <c r="BJ117" s="64"/>
      <c r="BK117" s="64"/>
      <c r="BL117" s="64"/>
      <c r="BM117" s="64"/>
      <c r="BN117" s="64"/>
      <c r="BO117" s="64"/>
      <c r="BP117" s="64"/>
    </row>
    <row r="118" ht="18.75" customHeight="1">
      <c r="H118" s="64"/>
      <c r="J118" s="64"/>
      <c r="K118" s="64"/>
      <c r="M118" s="64"/>
      <c r="N118" s="64"/>
      <c r="O118" s="64"/>
      <c r="P118" s="64"/>
      <c r="Q118" s="64"/>
      <c r="R118" s="64"/>
      <c r="S118" s="64"/>
      <c r="T118" s="64"/>
      <c r="U118" s="64"/>
      <c r="V118" s="64"/>
      <c r="W118" s="64"/>
      <c r="BF118" s="64"/>
      <c r="BG118" s="64"/>
      <c r="BH118" s="64"/>
      <c r="BI118" s="64"/>
      <c r="BJ118" s="64"/>
      <c r="BK118" s="64"/>
      <c r="BL118" s="64"/>
      <c r="BM118" s="64"/>
      <c r="BN118" s="64"/>
      <c r="BO118" s="64"/>
      <c r="BP118" s="64"/>
    </row>
    <row r="119" ht="18.75" customHeight="1">
      <c r="H119" s="64"/>
      <c r="J119" s="64"/>
      <c r="K119" s="64"/>
      <c r="M119" s="64"/>
      <c r="N119" s="64"/>
      <c r="O119" s="64"/>
      <c r="P119" s="64"/>
      <c r="Q119" s="64"/>
      <c r="R119" s="64"/>
      <c r="S119" s="64"/>
      <c r="T119" s="64"/>
      <c r="U119" s="64"/>
      <c r="V119" s="64"/>
      <c r="W119" s="64"/>
      <c r="BF119" s="64"/>
      <c r="BG119" s="64"/>
      <c r="BH119" s="64"/>
      <c r="BI119" s="64"/>
      <c r="BJ119" s="64"/>
      <c r="BK119" s="64"/>
      <c r="BL119" s="64"/>
      <c r="BM119" s="64"/>
      <c r="BN119" s="64"/>
      <c r="BO119" s="64"/>
      <c r="BP119" s="64"/>
    </row>
    <row r="120" ht="18.75" customHeight="1">
      <c r="H120" s="64"/>
      <c r="J120" s="64"/>
      <c r="K120" s="64"/>
      <c r="M120" s="64"/>
      <c r="N120" s="64"/>
      <c r="O120" s="64"/>
      <c r="P120" s="64"/>
      <c r="Q120" s="64"/>
      <c r="R120" s="64"/>
      <c r="S120" s="64"/>
      <c r="T120" s="64"/>
      <c r="U120" s="64"/>
      <c r="V120" s="64"/>
      <c r="W120" s="64"/>
      <c r="BF120" s="64"/>
      <c r="BG120" s="64"/>
      <c r="BH120" s="64"/>
      <c r="BI120" s="64"/>
      <c r="BJ120" s="64"/>
      <c r="BK120" s="64"/>
      <c r="BL120" s="64"/>
      <c r="BM120" s="64"/>
      <c r="BN120" s="64"/>
      <c r="BO120" s="64"/>
      <c r="BP120" s="64"/>
    </row>
    <row r="121" ht="18.75" customHeight="1">
      <c r="H121" s="64"/>
      <c r="J121" s="64"/>
      <c r="K121" s="64"/>
      <c r="M121" s="64"/>
      <c r="N121" s="64"/>
      <c r="O121" s="64"/>
      <c r="P121" s="64"/>
      <c r="Q121" s="64"/>
      <c r="R121" s="64"/>
      <c r="S121" s="64"/>
      <c r="T121" s="64"/>
      <c r="U121" s="64"/>
      <c r="V121" s="64"/>
      <c r="W121" s="64"/>
      <c r="BF121" s="64"/>
      <c r="BG121" s="64"/>
      <c r="BH121" s="64"/>
      <c r="BI121" s="64"/>
      <c r="BJ121" s="64"/>
      <c r="BK121" s="64"/>
      <c r="BL121" s="64"/>
      <c r="BM121" s="64"/>
      <c r="BN121" s="64"/>
      <c r="BO121" s="64"/>
      <c r="BP121" s="64"/>
    </row>
    <row r="122" ht="18.75" customHeight="1">
      <c r="H122" s="64"/>
      <c r="J122" s="64"/>
      <c r="K122" s="64"/>
      <c r="M122" s="64"/>
      <c r="N122" s="64"/>
      <c r="O122" s="64"/>
      <c r="P122" s="64"/>
      <c r="Q122" s="64"/>
      <c r="R122" s="64"/>
      <c r="S122" s="64"/>
      <c r="T122" s="64"/>
      <c r="U122" s="64"/>
      <c r="V122" s="64"/>
      <c r="W122" s="64"/>
      <c r="BF122" s="64"/>
      <c r="BG122" s="64"/>
      <c r="BH122" s="64"/>
      <c r="BI122" s="64"/>
      <c r="BJ122" s="64"/>
      <c r="BK122" s="64"/>
      <c r="BL122" s="64"/>
      <c r="BM122" s="64"/>
      <c r="BN122" s="64"/>
      <c r="BO122" s="64"/>
      <c r="BP122" s="64"/>
    </row>
    <row r="123" ht="18.75" customHeight="1">
      <c r="H123" s="64"/>
      <c r="J123" s="64"/>
      <c r="K123" s="64"/>
      <c r="M123" s="64"/>
      <c r="N123" s="64"/>
      <c r="O123" s="64"/>
      <c r="P123" s="64"/>
      <c r="Q123" s="64"/>
      <c r="R123" s="64"/>
      <c r="S123" s="64"/>
      <c r="T123" s="64"/>
      <c r="U123" s="64"/>
      <c r="V123" s="64"/>
      <c r="W123" s="64"/>
      <c r="BF123" s="64"/>
      <c r="BG123" s="64"/>
      <c r="BH123" s="64"/>
      <c r="BI123" s="64"/>
      <c r="BJ123" s="64"/>
      <c r="BK123" s="64"/>
      <c r="BL123" s="64"/>
      <c r="BM123" s="64"/>
      <c r="BN123" s="64"/>
      <c r="BO123" s="64"/>
      <c r="BP123" s="64"/>
    </row>
    <row r="124" ht="18.75" customHeight="1">
      <c r="H124" s="64"/>
      <c r="J124" s="64"/>
      <c r="K124" s="64"/>
      <c r="M124" s="64"/>
      <c r="N124" s="64"/>
      <c r="O124" s="64"/>
      <c r="P124" s="64"/>
      <c r="Q124" s="64"/>
      <c r="R124" s="64"/>
      <c r="S124" s="64"/>
      <c r="T124" s="64"/>
      <c r="U124" s="64"/>
      <c r="V124" s="64"/>
      <c r="W124" s="64"/>
      <c r="BF124" s="64"/>
      <c r="BG124" s="64"/>
      <c r="BH124" s="64"/>
      <c r="BI124" s="64"/>
      <c r="BJ124" s="64"/>
      <c r="BK124" s="64"/>
      <c r="BL124" s="64"/>
      <c r="BM124" s="64"/>
      <c r="BN124" s="64"/>
      <c r="BO124" s="64"/>
      <c r="BP124" s="64"/>
    </row>
    <row r="125" ht="18.75" customHeight="1">
      <c r="H125" s="64"/>
      <c r="J125" s="64"/>
      <c r="K125" s="64"/>
      <c r="M125" s="64"/>
      <c r="N125" s="64"/>
      <c r="O125" s="64"/>
      <c r="P125" s="64"/>
      <c r="Q125" s="64"/>
      <c r="R125" s="64"/>
      <c r="S125" s="64"/>
      <c r="T125" s="64"/>
      <c r="U125" s="64"/>
      <c r="V125" s="64"/>
      <c r="W125" s="64"/>
      <c r="BF125" s="64"/>
      <c r="BG125" s="64"/>
      <c r="BH125" s="64"/>
      <c r="BI125" s="64"/>
      <c r="BJ125" s="64"/>
      <c r="BK125" s="64"/>
      <c r="BL125" s="64"/>
      <c r="BM125" s="64"/>
      <c r="BN125" s="64"/>
      <c r="BO125" s="64"/>
      <c r="BP125" s="64"/>
    </row>
    <row r="126" ht="18.75" customHeight="1">
      <c r="H126" s="64"/>
      <c r="J126" s="64"/>
      <c r="K126" s="64"/>
      <c r="M126" s="64"/>
      <c r="N126" s="64"/>
      <c r="O126" s="64"/>
      <c r="P126" s="64"/>
      <c r="Q126" s="64"/>
      <c r="R126" s="64"/>
      <c r="S126" s="64"/>
      <c r="T126" s="64"/>
      <c r="U126" s="64"/>
      <c r="V126" s="64"/>
      <c r="W126" s="64"/>
      <c r="BF126" s="64"/>
      <c r="BG126" s="64"/>
      <c r="BH126" s="64"/>
      <c r="BI126" s="64"/>
      <c r="BJ126" s="64"/>
      <c r="BK126" s="64"/>
      <c r="BL126" s="64"/>
      <c r="BM126" s="64"/>
      <c r="BN126" s="64"/>
      <c r="BO126" s="64"/>
      <c r="BP126" s="64"/>
    </row>
    <row r="127" ht="18.75" customHeight="1">
      <c r="H127" s="64"/>
      <c r="J127" s="64"/>
      <c r="K127" s="64"/>
      <c r="M127" s="64"/>
      <c r="N127" s="64"/>
      <c r="O127" s="64"/>
      <c r="P127" s="64"/>
      <c r="Q127" s="64"/>
      <c r="R127" s="64"/>
      <c r="S127" s="64"/>
      <c r="T127" s="64"/>
      <c r="U127" s="64"/>
      <c r="V127" s="64"/>
      <c r="W127" s="64"/>
      <c r="BF127" s="64"/>
      <c r="BG127" s="64"/>
      <c r="BH127" s="64"/>
      <c r="BI127" s="64"/>
      <c r="BJ127" s="64"/>
      <c r="BK127" s="64"/>
      <c r="BL127" s="64"/>
      <c r="BM127" s="64"/>
      <c r="BN127" s="64"/>
      <c r="BO127" s="64"/>
      <c r="BP127" s="64"/>
    </row>
    <row r="128" ht="18.75" customHeight="1">
      <c r="H128" s="64"/>
      <c r="J128" s="64"/>
      <c r="K128" s="64"/>
      <c r="M128" s="64"/>
      <c r="N128" s="64"/>
      <c r="O128" s="64"/>
      <c r="P128" s="64"/>
      <c r="Q128" s="64"/>
      <c r="R128" s="64"/>
      <c r="S128" s="64"/>
      <c r="T128" s="64"/>
      <c r="U128" s="64"/>
      <c r="V128" s="64"/>
      <c r="W128" s="64"/>
      <c r="BF128" s="64"/>
      <c r="BG128" s="64"/>
      <c r="BH128" s="64"/>
      <c r="BI128" s="64"/>
      <c r="BJ128" s="64"/>
      <c r="BK128" s="64"/>
      <c r="BL128" s="64"/>
      <c r="BM128" s="64"/>
      <c r="BN128" s="64"/>
      <c r="BO128" s="64"/>
      <c r="BP128" s="64"/>
    </row>
    <row r="129" ht="18.75" customHeight="1">
      <c r="H129" s="64"/>
      <c r="J129" s="64"/>
      <c r="K129" s="64"/>
      <c r="M129" s="64"/>
      <c r="N129" s="64"/>
      <c r="O129" s="64"/>
      <c r="P129" s="64"/>
      <c r="Q129" s="64"/>
      <c r="R129" s="64"/>
      <c r="S129" s="64"/>
      <c r="T129" s="64"/>
      <c r="U129" s="64"/>
      <c r="V129" s="64"/>
      <c r="W129" s="64"/>
      <c r="BF129" s="64"/>
      <c r="BG129" s="64"/>
      <c r="BH129" s="64"/>
      <c r="BI129" s="64"/>
      <c r="BJ129" s="64"/>
      <c r="BK129" s="64"/>
      <c r="BL129" s="64"/>
      <c r="BM129" s="64"/>
      <c r="BN129" s="64"/>
      <c r="BO129" s="64"/>
      <c r="BP129" s="64"/>
    </row>
    <row r="130" ht="18.75" customHeight="1">
      <c r="H130" s="64"/>
      <c r="J130" s="64"/>
      <c r="K130" s="64"/>
      <c r="M130" s="64"/>
      <c r="N130" s="64"/>
      <c r="O130" s="64"/>
      <c r="P130" s="64"/>
      <c r="Q130" s="64"/>
      <c r="R130" s="64"/>
      <c r="S130" s="64"/>
      <c r="T130" s="64"/>
      <c r="U130" s="64"/>
      <c r="V130" s="64"/>
      <c r="W130" s="64"/>
      <c r="BF130" s="64"/>
      <c r="BG130" s="64"/>
      <c r="BH130" s="64"/>
      <c r="BI130" s="64"/>
      <c r="BJ130" s="64"/>
      <c r="BK130" s="64"/>
      <c r="BL130" s="64"/>
      <c r="BM130" s="64"/>
      <c r="BN130" s="64"/>
      <c r="BO130" s="64"/>
      <c r="BP130" s="64"/>
    </row>
    <row r="131" ht="18.75" customHeight="1">
      <c r="H131" s="64"/>
      <c r="J131" s="64"/>
      <c r="K131" s="64"/>
      <c r="M131" s="64"/>
      <c r="N131" s="64"/>
      <c r="O131" s="64"/>
      <c r="P131" s="64"/>
      <c r="Q131" s="64"/>
      <c r="R131" s="64"/>
      <c r="S131" s="64"/>
      <c r="T131" s="64"/>
      <c r="U131" s="64"/>
      <c r="V131" s="64"/>
      <c r="W131" s="64"/>
      <c r="BF131" s="64"/>
      <c r="BG131" s="64"/>
      <c r="BH131" s="64"/>
      <c r="BI131" s="64"/>
      <c r="BJ131" s="64"/>
      <c r="BK131" s="64"/>
      <c r="BL131" s="64"/>
      <c r="BM131" s="64"/>
      <c r="BN131" s="64"/>
      <c r="BO131" s="64"/>
      <c r="BP131" s="64"/>
    </row>
    <row r="132" ht="18.75" customHeight="1">
      <c r="H132" s="64"/>
      <c r="J132" s="64"/>
      <c r="K132" s="64"/>
      <c r="M132" s="64"/>
      <c r="N132" s="64"/>
      <c r="O132" s="64"/>
      <c r="P132" s="64"/>
      <c r="Q132" s="64"/>
      <c r="R132" s="64"/>
      <c r="S132" s="64"/>
      <c r="T132" s="64"/>
      <c r="U132" s="64"/>
      <c r="V132" s="64"/>
      <c r="W132" s="64"/>
      <c r="BF132" s="64"/>
      <c r="BG132" s="64"/>
      <c r="BH132" s="64"/>
      <c r="BI132" s="64"/>
      <c r="BJ132" s="64"/>
      <c r="BK132" s="64"/>
      <c r="BL132" s="64"/>
      <c r="BM132" s="64"/>
      <c r="BN132" s="64"/>
      <c r="BO132" s="64"/>
      <c r="BP132" s="64"/>
    </row>
    <row r="133" ht="18.75" customHeight="1">
      <c r="H133" s="64"/>
      <c r="J133" s="64"/>
      <c r="K133" s="64"/>
      <c r="M133" s="64"/>
      <c r="N133" s="64"/>
      <c r="O133" s="64"/>
      <c r="P133" s="64"/>
      <c r="Q133" s="64"/>
      <c r="R133" s="64"/>
      <c r="S133" s="64"/>
      <c r="T133" s="64"/>
      <c r="U133" s="64"/>
      <c r="V133" s="64"/>
      <c r="W133" s="64"/>
      <c r="BF133" s="64"/>
      <c r="BG133" s="64"/>
      <c r="BH133" s="64"/>
      <c r="BI133" s="64"/>
      <c r="BJ133" s="64"/>
      <c r="BK133" s="64"/>
      <c r="BL133" s="64"/>
      <c r="BM133" s="64"/>
      <c r="BN133" s="64"/>
      <c r="BO133" s="64"/>
      <c r="BP133" s="64"/>
    </row>
    <row r="134" ht="18.75" customHeight="1">
      <c r="H134" s="64"/>
      <c r="J134" s="64"/>
      <c r="K134" s="64"/>
      <c r="M134" s="64"/>
      <c r="N134" s="64"/>
      <c r="O134" s="64"/>
      <c r="P134" s="64"/>
      <c r="Q134" s="64"/>
      <c r="R134" s="64"/>
      <c r="S134" s="64"/>
      <c r="T134" s="64"/>
      <c r="U134" s="64"/>
      <c r="V134" s="64"/>
      <c r="W134" s="64"/>
      <c r="BF134" s="64"/>
      <c r="BG134" s="64"/>
      <c r="BH134" s="64"/>
      <c r="BI134" s="64"/>
      <c r="BJ134" s="64"/>
      <c r="BK134" s="64"/>
      <c r="BL134" s="64"/>
      <c r="BM134" s="64"/>
      <c r="BN134" s="64"/>
      <c r="BO134" s="64"/>
      <c r="BP134" s="64"/>
    </row>
    <row r="135" ht="18.75" customHeight="1">
      <c r="H135" s="64"/>
      <c r="J135" s="64"/>
      <c r="K135" s="64"/>
      <c r="M135" s="64"/>
      <c r="N135" s="64"/>
      <c r="O135" s="64"/>
      <c r="P135" s="64"/>
      <c r="Q135" s="64"/>
      <c r="R135" s="64"/>
      <c r="S135" s="64"/>
      <c r="T135" s="64"/>
      <c r="U135" s="64"/>
      <c r="V135" s="64"/>
      <c r="W135" s="64"/>
      <c r="BF135" s="64"/>
      <c r="BG135" s="64"/>
      <c r="BH135" s="64"/>
      <c r="BI135" s="64"/>
      <c r="BJ135" s="64"/>
      <c r="BK135" s="64"/>
      <c r="BL135" s="64"/>
      <c r="BM135" s="64"/>
      <c r="BN135" s="64"/>
      <c r="BO135" s="64"/>
      <c r="BP135" s="64"/>
    </row>
    <row r="136" ht="18.75" customHeight="1">
      <c r="H136" s="64"/>
      <c r="J136" s="64"/>
      <c r="K136" s="64"/>
      <c r="M136" s="64"/>
      <c r="N136" s="64"/>
      <c r="O136" s="64"/>
      <c r="P136" s="64"/>
      <c r="Q136" s="64"/>
      <c r="R136" s="64"/>
      <c r="S136" s="64"/>
      <c r="T136" s="64"/>
      <c r="U136" s="64"/>
      <c r="V136" s="64"/>
      <c r="W136" s="64"/>
      <c r="BF136" s="64"/>
      <c r="BG136" s="64"/>
      <c r="BH136" s="64"/>
      <c r="BI136" s="64"/>
      <c r="BJ136" s="64"/>
      <c r="BK136" s="64"/>
      <c r="BL136" s="64"/>
      <c r="BM136" s="64"/>
      <c r="BN136" s="64"/>
      <c r="BO136" s="64"/>
      <c r="BP136" s="64"/>
    </row>
    <row r="137" ht="18.75" customHeight="1">
      <c r="H137" s="64"/>
      <c r="J137" s="64"/>
      <c r="K137" s="64"/>
      <c r="M137" s="64"/>
      <c r="N137" s="64"/>
      <c r="O137" s="64"/>
      <c r="P137" s="64"/>
      <c r="Q137" s="64"/>
      <c r="R137" s="64"/>
      <c r="S137" s="64"/>
      <c r="T137" s="64"/>
      <c r="U137" s="64"/>
      <c r="V137" s="64"/>
      <c r="W137" s="64"/>
      <c r="BF137" s="64"/>
      <c r="BG137" s="64"/>
      <c r="BH137" s="64"/>
      <c r="BI137" s="64"/>
      <c r="BJ137" s="64"/>
      <c r="BK137" s="64"/>
      <c r="BL137" s="64"/>
      <c r="BM137" s="64"/>
      <c r="BN137" s="64"/>
      <c r="BO137" s="64"/>
      <c r="BP137" s="64"/>
    </row>
    <row r="138" ht="18.75" customHeight="1">
      <c r="H138" s="64"/>
      <c r="J138" s="64"/>
      <c r="K138" s="64"/>
      <c r="M138" s="64"/>
      <c r="N138" s="64"/>
      <c r="O138" s="64"/>
      <c r="P138" s="64"/>
      <c r="Q138" s="64"/>
      <c r="R138" s="64"/>
      <c r="S138" s="64"/>
      <c r="T138" s="64"/>
      <c r="U138" s="64"/>
      <c r="V138" s="64"/>
      <c r="W138" s="64"/>
      <c r="BF138" s="64"/>
      <c r="BG138" s="64"/>
      <c r="BH138" s="64"/>
      <c r="BI138" s="64"/>
      <c r="BJ138" s="64"/>
      <c r="BK138" s="64"/>
      <c r="BL138" s="64"/>
      <c r="BM138" s="64"/>
      <c r="BN138" s="64"/>
      <c r="BO138" s="64"/>
      <c r="BP138" s="64"/>
    </row>
    <row r="139" ht="18.75" customHeight="1">
      <c r="H139" s="64"/>
      <c r="J139" s="64"/>
      <c r="K139" s="64"/>
      <c r="M139" s="64"/>
      <c r="N139" s="64"/>
      <c r="O139" s="64"/>
      <c r="P139" s="64"/>
      <c r="Q139" s="64"/>
      <c r="R139" s="64"/>
      <c r="S139" s="64"/>
      <c r="T139" s="64"/>
      <c r="U139" s="64"/>
      <c r="V139" s="64"/>
      <c r="W139" s="64"/>
      <c r="BF139" s="64"/>
      <c r="BG139" s="64"/>
      <c r="BH139" s="64"/>
      <c r="BI139" s="64"/>
      <c r="BJ139" s="64"/>
      <c r="BK139" s="64"/>
      <c r="BL139" s="64"/>
      <c r="BM139" s="64"/>
      <c r="BN139" s="64"/>
      <c r="BO139" s="64"/>
      <c r="BP139" s="64"/>
    </row>
    <row r="140" ht="18.75" customHeight="1">
      <c r="H140" s="64"/>
      <c r="J140" s="64"/>
      <c r="K140" s="64"/>
      <c r="M140" s="64"/>
      <c r="N140" s="64"/>
      <c r="O140" s="64"/>
      <c r="P140" s="64"/>
      <c r="Q140" s="64"/>
      <c r="R140" s="64"/>
      <c r="S140" s="64"/>
      <c r="T140" s="64"/>
      <c r="U140" s="64"/>
      <c r="V140" s="64"/>
      <c r="W140" s="64"/>
      <c r="BF140" s="64"/>
      <c r="BG140" s="64"/>
      <c r="BH140" s="64"/>
      <c r="BI140" s="64"/>
      <c r="BJ140" s="64"/>
      <c r="BK140" s="64"/>
      <c r="BL140" s="64"/>
      <c r="BM140" s="64"/>
      <c r="BN140" s="64"/>
      <c r="BO140" s="64"/>
      <c r="BP140" s="64"/>
    </row>
    <row r="141" ht="18.75" customHeight="1">
      <c r="H141" s="64"/>
      <c r="J141" s="64"/>
      <c r="K141" s="64"/>
      <c r="M141" s="64"/>
      <c r="N141" s="64"/>
      <c r="O141" s="64"/>
      <c r="P141" s="64"/>
      <c r="Q141" s="64"/>
      <c r="R141" s="64"/>
      <c r="S141" s="64"/>
      <c r="T141" s="64"/>
      <c r="U141" s="64"/>
      <c r="V141" s="64"/>
      <c r="W141" s="64"/>
      <c r="BF141" s="64"/>
      <c r="BG141" s="64"/>
      <c r="BH141" s="64"/>
      <c r="BI141" s="64"/>
      <c r="BJ141" s="64"/>
      <c r="BK141" s="64"/>
      <c r="BL141" s="64"/>
      <c r="BM141" s="64"/>
      <c r="BN141" s="64"/>
      <c r="BO141" s="64"/>
      <c r="BP141" s="64"/>
    </row>
    <row r="142" ht="18.75" customHeight="1">
      <c r="H142" s="64"/>
      <c r="J142" s="64"/>
      <c r="K142" s="64"/>
      <c r="M142" s="64"/>
      <c r="N142" s="64"/>
      <c r="O142" s="64"/>
      <c r="P142" s="64"/>
      <c r="Q142" s="64"/>
      <c r="R142" s="64"/>
      <c r="S142" s="64"/>
      <c r="T142" s="64"/>
      <c r="U142" s="64"/>
      <c r="V142" s="64"/>
      <c r="W142" s="64"/>
      <c r="BF142" s="64"/>
      <c r="BG142" s="64"/>
      <c r="BH142" s="64"/>
      <c r="BI142" s="64"/>
      <c r="BJ142" s="64"/>
      <c r="BK142" s="64"/>
      <c r="BL142" s="64"/>
      <c r="BM142" s="64"/>
      <c r="BN142" s="64"/>
      <c r="BO142" s="64"/>
      <c r="BP142" s="64"/>
    </row>
    <row r="143" ht="18.75" customHeight="1">
      <c r="H143" s="64"/>
      <c r="J143" s="64"/>
      <c r="K143" s="64"/>
      <c r="M143" s="64"/>
      <c r="N143" s="64"/>
      <c r="O143" s="64"/>
      <c r="P143" s="64"/>
      <c r="Q143" s="64"/>
      <c r="R143" s="64"/>
      <c r="S143" s="64"/>
      <c r="T143" s="64"/>
      <c r="U143" s="64"/>
      <c r="V143" s="64"/>
      <c r="W143" s="64"/>
      <c r="BF143" s="64"/>
      <c r="BG143" s="64"/>
      <c r="BH143" s="64"/>
      <c r="BI143" s="64"/>
      <c r="BJ143" s="64"/>
      <c r="BK143" s="64"/>
      <c r="BL143" s="64"/>
      <c r="BM143" s="64"/>
      <c r="BN143" s="64"/>
      <c r="BO143" s="64"/>
      <c r="BP143" s="64"/>
    </row>
    <row r="144" ht="18.75" customHeight="1">
      <c r="H144" s="64"/>
      <c r="J144" s="64"/>
      <c r="K144" s="64"/>
      <c r="M144" s="64"/>
      <c r="N144" s="64"/>
      <c r="O144" s="64"/>
      <c r="P144" s="64"/>
      <c r="Q144" s="64"/>
      <c r="R144" s="64"/>
      <c r="S144" s="64"/>
      <c r="T144" s="64"/>
      <c r="U144" s="64"/>
      <c r="V144" s="64"/>
      <c r="W144" s="64"/>
      <c r="BF144" s="64"/>
      <c r="BG144" s="64"/>
      <c r="BH144" s="64"/>
      <c r="BI144" s="64"/>
      <c r="BJ144" s="64"/>
      <c r="BK144" s="64"/>
      <c r="BL144" s="64"/>
      <c r="BM144" s="64"/>
      <c r="BN144" s="64"/>
      <c r="BO144" s="64"/>
      <c r="BP144" s="64"/>
    </row>
    <row r="145" ht="18.75" customHeight="1">
      <c r="H145" s="64"/>
      <c r="J145" s="64"/>
      <c r="K145" s="64"/>
      <c r="M145" s="64"/>
      <c r="N145" s="64"/>
      <c r="O145" s="64"/>
      <c r="P145" s="64"/>
      <c r="Q145" s="64"/>
      <c r="R145" s="64"/>
      <c r="S145" s="64"/>
      <c r="T145" s="64"/>
      <c r="U145" s="64"/>
      <c r="V145" s="64"/>
      <c r="W145" s="64"/>
      <c r="BF145" s="64"/>
      <c r="BG145" s="64"/>
      <c r="BH145" s="64"/>
      <c r="BI145" s="64"/>
      <c r="BJ145" s="64"/>
      <c r="BK145" s="64"/>
      <c r="BL145" s="64"/>
      <c r="BM145" s="64"/>
      <c r="BN145" s="64"/>
      <c r="BO145" s="64"/>
      <c r="BP145" s="64"/>
    </row>
    <row r="146" ht="18.75" customHeight="1">
      <c r="H146" s="64"/>
      <c r="J146" s="64"/>
      <c r="K146" s="64"/>
      <c r="M146" s="64"/>
      <c r="N146" s="64"/>
      <c r="O146" s="64"/>
      <c r="P146" s="64"/>
      <c r="Q146" s="64"/>
      <c r="R146" s="64"/>
      <c r="S146" s="64"/>
      <c r="T146" s="64"/>
      <c r="U146" s="64"/>
      <c r="V146" s="64"/>
      <c r="W146" s="64"/>
      <c r="BF146" s="64"/>
      <c r="BG146" s="64"/>
      <c r="BH146" s="64"/>
      <c r="BI146" s="64"/>
      <c r="BJ146" s="64"/>
      <c r="BK146" s="64"/>
      <c r="BL146" s="64"/>
      <c r="BM146" s="64"/>
      <c r="BN146" s="64"/>
      <c r="BO146" s="64"/>
      <c r="BP146" s="64"/>
    </row>
    <row r="147" ht="18.75" customHeight="1">
      <c r="H147" s="64"/>
      <c r="J147" s="64"/>
      <c r="K147" s="64"/>
      <c r="M147" s="64"/>
      <c r="N147" s="64"/>
      <c r="O147" s="64"/>
      <c r="P147" s="64"/>
      <c r="Q147" s="64"/>
      <c r="R147" s="64"/>
      <c r="S147" s="64"/>
      <c r="T147" s="64"/>
      <c r="U147" s="64"/>
      <c r="V147" s="64"/>
      <c r="W147" s="64"/>
      <c r="BF147" s="64"/>
      <c r="BG147" s="64"/>
      <c r="BH147" s="64"/>
      <c r="BI147" s="64"/>
      <c r="BJ147" s="64"/>
      <c r="BK147" s="64"/>
      <c r="BL147" s="64"/>
      <c r="BM147" s="64"/>
      <c r="BN147" s="64"/>
      <c r="BO147" s="64"/>
      <c r="BP147" s="64"/>
    </row>
    <row r="148" ht="18.75" customHeight="1">
      <c r="H148" s="64"/>
      <c r="J148" s="64"/>
      <c r="K148" s="64"/>
      <c r="M148" s="64"/>
      <c r="N148" s="64"/>
      <c r="O148" s="64"/>
      <c r="P148" s="64"/>
      <c r="Q148" s="64"/>
      <c r="R148" s="64"/>
      <c r="S148" s="64"/>
      <c r="T148" s="64"/>
      <c r="U148" s="64"/>
      <c r="V148" s="64"/>
      <c r="W148" s="64"/>
      <c r="BF148" s="64"/>
      <c r="BG148" s="64"/>
      <c r="BH148" s="64"/>
      <c r="BI148" s="64"/>
      <c r="BJ148" s="64"/>
      <c r="BK148" s="64"/>
      <c r="BL148" s="64"/>
      <c r="BM148" s="64"/>
      <c r="BN148" s="64"/>
      <c r="BO148" s="64"/>
      <c r="BP148" s="64"/>
    </row>
    <row r="149" ht="18.75" customHeight="1">
      <c r="H149" s="64"/>
      <c r="J149" s="64"/>
      <c r="K149" s="64"/>
      <c r="M149" s="64"/>
      <c r="N149" s="64"/>
      <c r="O149" s="64"/>
      <c r="P149" s="64"/>
      <c r="Q149" s="64"/>
      <c r="R149" s="64"/>
      <c r="S149" s="64"/>
      <c r="T149" s="64"/>
      <c r="U149" s="64"/>
      <c r="V149" s="64"/>
      <c r="W149" s="64"/>
      <c r="BF149" s="64"/>
      <c r="BG149" s="64"/>
      <c r="BH149" s="64"/>
      <c r="BI149" s="64"/>
      <c r="BJ149" s="64"/>
      <c r="BK149" s="64"/>
      <c r="BL149" s="64"/>
      <c r="BM149" s="64"/>
      <c r="BN149" s="64"/>
      <c r="BO149" s="64"/>
      <c r="BP149" s="64"/>
    </row>
    <row r="150" ht="18.75" customHeight="1">
      <c r="H150" s="64"/>
      <c r="J150" s="64"/>
      <c r="K150" s="64"/>
      <c r="M150" s="64"/>
      <c r="N150" s="64"/>
      <c r="O150" s="64"/>
      <c r="P150" s="64"/>
      <c r="Q150" s="64"/>
      <c r="R150" s="64"/>
      <c r="S150" s="64"/>
      <c r="T150" s="64"/>
      <c r="U150" s="64"/>
      <c r="V150" s="64"/>
      <c r="W150" s="64"/>
      <c r="BF150" s="64"/>
      <c r="BG150" s="64"/>
      <c r="BH150" s="64"/>
      <c r="BI150" s="64"/>
      <c r="BJ150" s="64"/>
      <c r="BK150" s="64"/>
      <c r="BL150" s="64"/>
      <c r="BM150" s="64"/>
      <c r="BN150" s="64"/>
      <c r="BO150" s="64"/>
      <c r="BP150" s="64"/>
    </row>
    <row r="151" ht="18.75" customHeight="1">
      <c r="H151" s="64"/>
      <c r="J151" s="64"/>
      <c r="K151" s="64"/>
      <c r="M151" s="64"/>
      <c r="N151" s="64"/>
      <c r="O151" s="64"/>
      <c r="P151" s="64"/>
      <c r="Q151" s="64"/>
      <c r="R151" s="64"/>
      <c r="S151" s="64"/>
      <c r="T151" s="64"/>
      <c r="U151" s="64"/>
      <c r="V151" s="64"/>
      <c r="W151" s="64"/>
      <c r="BF151" s="64"/>
      <c r="BG151" s="64"/>
      <c r="BH151" s="64"/>
      <c r="BI151" s="64"/>
      <c r="BJ151" s="64"/>
      <c r="BK151" s="64"/>
      <c r="BL151" s="64"/>
      <c r="BM151" s="64"/>
      <c r="BN151" s="64"/>
      <c r="BO151" s="64"/>
      <c r="BP151" s="64"/>
    </row>
    <row r="152" ht="18.75" customHeight="1">
      <c r="H152" s="64"/>
      <c r="J152" s="64"/>
      <c r="K152" s="64"/>
      <c r="M152" s="64"/>
      <c r="N152" s="64"/>
      <c r="O152" s="64"/>
      <c r="P152" s="64"/>
      <c r="Q152" s="64"/>
      <c r="R152" s="64"/>
      <c r="S152" s="64"/>
      <c r="T152" s="64"/>
      <c r="U152" s="64"/>
      <c r="V152" s="64"/>
      <c r="W152" s="64"/>
      <c r="BF152" s="64"/>
      <c r="BG152" s="64"/>
      <c r="BH152" s="64"/>
      <c r="BI152" s="64"/>
      <c r="BJ152" s="64"/>
      <c r="BK152" s="64"/>
      <c r="BL152" s="64"/>
      <c r="BM152" s="64"/>
      <c r="BN152" s="64"/>
      <c r="BO152" s="64"/>
      <c r="BP152" s="64"/>
    </row>
    <row r="153" ht="18.75" customHeight="1">
      <c r="H153" s="64"/>
      <c r="J153" s="64"/>
      <c r="K153" s="64"/>
      <c r="M153" s="64"/>
      <c r="N153" s="64"/>
      <c r="O153" s="64"/>
      <c r="P153" s="64"/>
      <c r="Q153" s="64"/>
      <c r="R153" s="64"/>
      <c r="S153" s="64"/>
      <c r="T153" s="64"/>
      <c r="U153" s="64"/>
      <c r="V153" s="64"/>
      <c r="W153" s="64"/>
      <c r="BF153" s="64"/>
      <c r="BG153" s="64"/>
      <c r="BH153" s="64"/>
      <c r="BI153" s="64"/>
      <c r="BJ153" s="64"/>
      <c r="BK153" s="64"/>
      <c r="BL153" s="64"/>
      <c r="BM153" s="64"/>
      <c r="BN153" s="64"/>
      <c r="BO153" s="64"/>
      <c r="BP153" s="64"/>
    </row>
    <row r="154" ht="18.75" customHeight="1">
      <c r="H154" s="64"/>
      <c r="J154" s="64"/>
      <c r="K154" s="64"/>
      <c r="M154" s="64"/>
      <c r="N154" s="64"/>
      <c r="O154" s="64"/>
      <c r="P154" s="64"/>
      <c r="Q154" s="64"/>
      <c r="R154" s="64"/>
      <c r="S154" s="64"/>
      <c r="T154" s="64"/>
      <c r="U154" s="64"/>
      <c r="V154" s="64"/>
      <c r="W154" s="64"/>
      <c r="BF154" s="64"/>
      <c r="BG154" s="64"/>
      <c r="BH154" s="64"/>
      <c r="BI154" s="64"/>
      <c r="BJ154" s="64"/>
      <c r="BK154" s="64"/>
      <c r="BL154" s="64"/>
      <c r="BM154" s="64"/>
      <c r="BN154" s="64"/>
      <c r="BO154" s="64"/>
      <c r="BP154" s="64"/>
    </row>
    <row r="155" ht="18.75" customHeight="1">
      <c r="H155" s="64"/>
      <c r="J155" s="64"/>
      <c r="K155" s="64"/>
      <c r="M155" s="64"/>
      <c r="N155" s="64"/>
      <c r="O155" s="64"/>
      <c r="P155" s="64"/>
      <c r="Q155" s="64"/>
      <c r="R155" s="64"/>
      <c r="S155" s="64"/>
      <c r="T155" s="64"/>
      <c r="U155" s="64"/>
      <c r="V155" s="64"/>
      <c r="W155" s="64"/>
      <c r="BF155" s="64"/>
      <c r="BG155" s="64"/>
      <c r="BH155" s="64"/>
      <c r="BI155" s="64"/>
      <c r="BJ155" s="64"/>
      <c r="BK155" s="64"/>
      <c r="BL155" s="64"/>
      <c r="BM155" s="64"/>
      <c r="BN155" s="64"/>
      <c r="BO155" s="64"/>
      <c r="BP155" s="64"/>
    </row>
    <row r="156" ht="18.75" customHeight="1">
      <c r="H156" s="64"/>
      <c r="J156" s="64"/>
      <c r="K156" s="64"/>
      <c r="M156" s="64"/>
      <c r="N156" s="64"/>
      <c r="O156" s="64"/>
      <c r="P156" s="64"/>
      <c r="Q156" s="64"/>
      <c r="R156" s="64"/>
      <c r="S156" s="64"/>
      <c r="T156" s="64"/>
      <c r="U156" s="64"/>
      <c r="V156" s="64"/>
      <c r="W156" s="64"/>
      <c r="BF156" s="64"/>
      <c r="BG156" s="64"/>
      <c r="BH156" s="64"/>
      <c r="BI156" s="64"/>
      <c r="BJ156" s="64"/>
      <c r="BK156" s="64"/>
      <c r="BL156" s="64"/>
      <c r="BM156" s="64"/>
      <c r="BN156" s="64"/>
      <c r="BO156" s="64"/>
      <c r="BP156" s="64"/>
    </row>
    <row r="157" ht="18.75" customHeight="1">
      <c r="H157" s="64"/>
      <c r="J157" s="64"/>
      <c r="K157" s="64"/>
      <c r="M157" s="64"/>
      <c r="N157" s="64"/>
      <c r="O157" s="64"/>
      <c r="P157" s="64"/>
      <c r="Q157" s="64"/>
      <c r="R157" s="64"/>
      <c r="S157" s="64"/>
      <c r="T157" s="64"/>
      <c r="U157" s="64"/>
      <c r="V157" s="64"/>
      <c r="W157" s="64"/>
      <c r="BF157" s="64"/>
      <c r="BG157" s="64"/>
      <c r="BH157" s="64"/>
      <c r="BI157" s="64"/>
      <c r="BJ157" s="64"/>
      <c r="BK157" s="64"/>
      <c r="BL157" s="64"/>
      <c r="BM157" s="64"/>
      <c r="BN157" s="64"/>
      <c r="BO157" s="64"/>
      <c r="BP157" s="64"/>
    </row>
    <row r="158" ht="18.75" customHeight="1">
      <c r="H158" s="64"/>
      <c r="J158" s="64"/>
      <c r="K158" s="64"/>
      <c r="M158" s="64"/>
      <c r="N158" s="64"/>
      <c r="O158" s="64"/>
      <c r="P158" s="64"/>
      <c r="Q158" s="64"/>
      <c r="R158" s="64"/>
      <c r="S158" s="64"/>
      <c r="T158" s="64"/>
      <c r="U158" s="64"/>
      <c r="V158" s="64"/>
      <c r="W158" s="64"/>
      <c r="BF158" s="64"/>
      <c r="BG158" s="64"/>
      <c r="BH158" s="64"/>
      <c r="BI158" s="64"/>
      <c r="BJ158" s="64"/>
      <c r="BK158" s="64"/>
      <c r="BL158" s="64"/>
      <c r="BM158" s="64"/>
      <c r="BN158" s="64"/>
      <c r="BO158" s="64"/>
      <c r="BP158" s="64"/>
    </row>
    <row r="159" ht="18.75" customHeight="1">
      <c r="H159" s="64"/>
      <c r="J159" s="64"/>
      <c r="K159" s="64"/>
      <c r="M159" s="64"/>
      <c r="N159" s="64"/>
      <c r="O159" s="64"/>
      <c r="P159" s="64"/>
      <c r="Q159" s="64"/>
      <c r="R159" s="64"/>
      <c r="S159" s="64"/>
      <c r="T159" s="64"/>
      <c r="U159" s="64"/>
      <c r="V159" s="64"/>
      <c r="W159" s="64"/>
      <c r="BF159" s="64"/>
      <c r="BG159" s="64"/>
      <c r="BH159" s="64"/>
      <c r="BI159" s="64"/>
      <c r="BJ159" s="64"/>
      <c r="BK159" s="64"/>
      <c r="BL159" s="64"/>
      <c r="BM159" s="64"/>
      <c r="BN159" s="64"/>
      <c r="BO159" s="64"/>
      <c r="BP159" s="64"/>
    </row>
    <row r="160" ht="18.75" customHeight="1">
      <c r="H160" s="64"/>
      <c r="J160" s="64"/>
      <c r="K160" s="64"/>
      <c r="M160" s="64"/>
      <c r="N160" s="64"/>
      <c r="O160" s="64"/>
      <c r="P160" s="64"/>
      <c r="Q160" s="64"/>
      <c r="R160" s="64"/>
      <c r="S160" s="64"/>
      <c r="T160" s="64"/>
      <c r="U160" s="64"/>
      <c r="V160" s="64"/>
      <c r="W160" s="64"/>
      <c r="BF160" s="64"/>
      <c r="BG160" s="64"/>
      <c r="BH160" s="64"/>
      <c r="BI160" s="64"/>
      <c r="BJ160" s="64"/>
      <c r="BK160" s="64"/>
      <c r="BL160" s="64"/>
      <c r="BM160" s="64"/>
      <c r="BN160" s="64"/>
      <c r="BO160" s="64"/>
      <c r="BP160" s="64"/>
    </row>
    <row r="161" ht="18.75" customHeight="1">
      <c r="H161" s="64"/>
      <c r="J161" s="64"/>
      <c r="K161" s="64"/>
      <c r="M161" s="64"/>
      <c r="N161" s="64"/>
      <c r="O161" s="64"/>
      <c r="P161" s="64"/>
      <c r="Q161" s="64"/>
      <c r="R161" s="64"/>
      <c r="S161" s="64"/>
      <c r="T161" s="64"/>
      <c r="U161" s="64"/>
      <c r="V161" s="64"/>
      <c r="W161" s="64"/>
      <c r="BF161" s="64"/>
      <c r="BG161" s="64"/>
      <c r="BH161" s="64"/>
      <c r="BI161" s="64"/>
      <c r="BJ161" s="64"/>
      <c r="BK161" s="64"/>
      <c r="BL161" s="64"/>
      <c r="BM161" s="64"/>
      <c r="BN161" s="64"/>
      <c r="BO161" s="64"/>
      <c r="BP161" s="64"/>
    </row>
    <row r="162" ht="18.75" customHeight="1">
      <c r="H162" s="64"/>
      <c r="J162" s="64"/>
      <c r="K162" s="64"/>
      <c r="M162" s="64"/>
      <c r="N162" s="64"/>
      <c r="O162" s="64"/>
      <c r="P162" s="64"/>
      <c r="Q162" s="64"/>
      <c r="R162" s="64"/>
      <c r="S162" s="64"/>
      <c r="T162" s="64"/>
      <c r="U162" s="64"/>
      <c r="V162" s="64"/>
      <c r="W162" s="64"/>
      <c r="BF162" s="64"/>
      <c r="BG162" s="64"/>
      <c r="BH162" s="64"/>
      <c r="BI162" s="64"/>
      <c r="BJ162" s="64"/>
      <c r="BK162" s="64"/>
      <c r="BL162" s="64"/>
      <c r="BM162" s="64"/>
      <c r="BN162" s="64"/>
      <c r="BO162" s="64"/>
      <c r="BP162" s="64"/>
    </row>
    <row r="163" ht="18.75" customHeight="1">
      <c r="H163" s="64"/>
      <c r="J163" s="64"/>
      <c r="K163" s="64"/>
      <c r="M163" s="64"/>
      <c r="N163" s="64"/>
      <c r="O163" s="64"/>
      <c r="P163" s="64"/>
      <c r="Q163" s="64"/>
      <c r="R163" s="64"/>
      <c r="S163" s="64"/>
      <c r="T163" s="64"/>
      <c r="U163" s="64"/>
      <c r="V163" s="64"/>
      <c r="W163" s="64"/>
      <c r="BF163" s="64"/>
      <c r="BG163" s="64"/>
      <c r="BH163" s="64"/>
      <c r="BI163" s="64"/>
      <c r="BJ163" s="64"/>
      <c r="BK163" s="64"/>
      <c r="BL163" s="64"/>
      <c r="BM163" s="64"/>
      <c r="BN163" s="64"/>
      <c r="BO163" s="64"/>
      <c r="BP163" s="64"/>
    </row>
    <row r="164" ht="18.75" customHeight="1">
      <c r="H164" s="64"/>
      <c r="J164" s="64"/>
      <c r="K164" s="64"/>
      <c r="M164" s="64"/>
      <c r="N164" s="64"/>
      <c r="O164" s="64"/>
      <c r="P164" s="64"/>
      <c r="Q164" s="64"/>
      <c r="R164" s="64"/>
      <c r="S164" s="64"/>
      <c r="T164" s="64"/>
      <c r="U164" s="64"/>
      <c r="V164" s="64"/>
      <c r="W164" s="64"/>
      <c r="BF164" s="64"/>
      <c r="BG164" s="64"/>
      <c r="BH164" s="64"/>
      <c r="BI164" s="64"/>
      <c r="BJ164" s="64"/>
      <c r="BK164" s="64"/>
      <c r="BL164" s="64"/>
      <c r="BM164" s="64"/>
      <c r="BN164" s="64"/>
      <c r="BO164" s="64"/>
      <c r="BP164" s="64"/>
    </row>
    <row r="165" ht="18.75" customHeight="1">
      <c r="H165" s="64"/>
      <c r="J165" s="64"/>
      <c r="K165" s="64"/>
      <c r="M165" s="64"/>
      <c r="N165" s="64"/>
      <c r="O165" s="64"/>
      <c r="P165" s="64"/>
      <c r="Q165" s="64"/>
      <c r="R165" s="64"/>
      <c r="S165" s="64"/>
      <c r="T165" s="64"/>
      <c r="U165" s="64"/>
      <c r="V165" s="64"/>
      <c r="W165" s="64"/>
      <c r="BF165" s="64"/>
      <c r="BG165" s="64"/>
      <c r="BH165" s="64"/>
      <c r="BI165" s="64"/>
      <c r="BJ165" s="64"/>
      <c r="BK165" s="64"/>
      <c r="BL165" s="64"/>
      <c r="BM165" s="64"/>
      <c r="BN165" s="64"/>
      <c r="BO165" s="64"/>
      <c r="BP165" s="64"/>
    </row>
    <row r="166" ht="18.75" customHeight="1">
      <c r="H166" s="64"/>
      <c r="J166" s="64"/>
      <c r="K166" s="64"/>
      <c r="M166" s="64"/>
      <c r="N166" s="64"/>
      <c r="O166" s="64"/>
      <c r="P166" s="64"/>
      <c r="Q166" s="64"/>
      <c r="R166" s="64"/>
      <c r="S166" s="64"/>
      <c r="T166" s="64"/>
      <c r="U166" s="64"/>
      <c r="V166" s="64"/>
      <c r="W166" s="64"/>
      <c r="BF166" s="64"/>
      <c r="BG166" s="64"/>
      <c r="BH166" s="64"/>
      <c r="BI166" s="64"/>
      <c r="BJ166" s="64"/>
      <c r="BK166" s="64"/>
      <c r="BL166" s="64"/>
      <c r="BM166" s="64"/>
      <c r="BN166" s="64"/>
      <c r="BO166" s="64"/>
      <c r="BP166" s="64"/>
    </row>
    <row r="167" ht="18.75" customHeight="1">
      <c r="H167" s="64"/>
      <c r="J167" s="64"/>
      <c r="K167" s="64"/>
      <c r="M167" s="64"/>
      <c r="N167" s="64"/>
      <c r="O167" s="64"/>
      <c r="P167" s="64"/>
      <c r="Q167" s="64"/>
      <c r="R167" s="64"/>
      <c r="S167" s="64"/>
      <c r="T167" s="64"/>
      <c r="U167" s="64"/>
      <c r="V167" s="64"/>
      <c r="W167" s="64"/>
      <c r="BF167" s="64"/>
      <c r="BG167" s="64"/>
      <c r="BH167" s="64"/>
      <c r="BI167" s="64"/>
      <c r="BJ167" s="64"/>
      <c r="BK167" s="64"/>
      <c r="BL167" s="64"/>
      <c r="BM167" s="64"/>
      <c r="BN167" s="64"/>
      <c r="BO167" s="64"/>
      <c r="BP167" s="64"/>
    </row>
    <row r="168" ht="18.75" customHeight="1">
      <c r="H168" s="64"/>
      <c r="J168" s="64"/>
      <c r="K168" s="64"/>
      <c r="M168" s="64"/>
      <c r="N168" s="64"/>
      <c r="O168" s="64"/>
      <c r="P168" s="64"/>
      <c r="Q168" s="64"/>
      <c r="R168" s="64"/>
      <c r="S168" s="64"/>
      <c r="T168" s="64"/>
      <c r="U168" s="64"/>
      <c r="V168" s="64"/>
      <c r="W168" s="64"/>
      <c r="BF168" s="64"/>
      <c r="BG168" s="64"/>
      <c r="BH168" s="64"/>
      <c r="BI168" s="64"/>
      <c r="BJ168" s="64"/>
      <c r="BK168" s="64"/>
      <c r="BL168" s="64"/>
      <c r="BM168" s="64"/>
      <c r="BN168" s="64"/>
      <c r="BO168" s="64"/>
      <c r="BP168" s="64"/>
    </row>
    <row r="169" ht="18.75" customHeight="1">
      <c r="H169" s="64"/>
      <c r="J169" s="64"/>
      <c r="K169" s="64"/>
      <c r="M169" s="64"/>
      <c r="N169" s="64"/>
      <c r="O169" s="64"/>
      <c r="P169" s="64"/>
      <c r="Q169" s="64"/>
      <c r="R169" s="64"/>
      <c r="S169" s="64"/>
      <c r="T169" s="64"/>
      <c r="U169" s="64"/>
      <c r="V169" s="64"/>
      <c r="W169" s="64"/>
      <c r="BF169" s="64"/>
      <c r="BG169" s="64"/>
      <c r="BH169" s="64"/>
      <c r="BI169" s="64"/>
      <c r="BJ169" s="64"/>
      <c r="BK169" s="64"/>
      <c r="BL169" s="64"/>
      <c r="BM169" s="64"/>
      <c r="BN169" s="64"/>
      <c r="BO169" s="64"/>
      <c r="BP169" s="64"/>
    </row>
    <row r="170" ht="18.75" customHeight="1">
      <c r="H170" s="64"/>
      <c r="J170" s="64"/>
      <c r="K170" s="64"/>
      <c r="M170" s="64"/>
      <c r="N170" s="64"/>
      <c r="O170" s="64"/>
      <c r="P170" s="64"/>
      <c r="Q170" s="64"/>
      <c r="R170" s="64"/>
      <c r="S170" s="64"/>
      <c r="T170" s="64"/>
      <c r="U170" s="64"/>
      <c r="V170" s="64"/>
      <c r="W170" s="64"/>
      <c r="BF170" s="64"/>
      <c r="BG170" s="64"/>
      <c r="BH170" s="64"/>
      <c r="BI170" s="64"/>
      <c r="BJ170" s="64"/>
      <c r="BK170" s="64"/>
      <c r="BL170" s="64"/>
      <c r="BM170" s="64"/>
      <c r="BN170" s="64"/>
      <c r="BO170" s="64"/>
      <c r="BP170" s="64"/>
    </row>
    <row r="171" ht="18.75" customHeight="1">
      <c r="H171" s="64"/>
      <c r="J171" s="64"/>
      <c r="K171" s="64"/>
      <c r="M171" s="64"/>
      <c r="N171" s="64"/>
      <c r="O171" s="64"/>
      <c r="P171" s="64"/>
      <c r="Q171" s="64"/>
      <c r="R171" s="64"/>
      <c r="S171" s="64"/>
      <c r="T171" s="64"/>
      <c r="U171" s="64"/>
      <c r="V171" s="64"/>
      <c r="W171" s="64"/>
      <c r="BF171" s="64"/>
      <c r="BG171" s="64"/>
      <c r="BH171" s="64"/>
      <c r="BI171" s="64"/>
      <c r="BJ171" s="64"/>
      <c r="BK171" s="64"/>
      <c r="BL171" s="64"/>
      <c r="BM171" s="64"/>
      <c r="BN171" s="64"/>
      <c r="BO171" s="64"/>
      <c r="BP171" s="64"/>
    </row>
    <row r="172" ht="18.75" customHeight="1">
      <c r="H172" s="64"/>
      <c r="J172" s="64"/>
      <c r="K172" s="64"/>
      <c r="M172" s="64"/>
      <c r="N172" s="64"/>
      <c r="O172" s="64"/>
      <c r="P172" s="64"/>
      <c r="Q172" s="64"/>
      <c r="R172" s="64"/>
      <c r="S172" s="64"/>
      <c r="T172" s="64"/>
      <c r="U172" s="64"/>
      <c r="V172" s="64"/>
      <c r="W172" s="64"/>
      <c r="BF172" s="64"/>
      <c r="BG172" s="64"/>
      <c r="BH172" s="64"/>
      <c r="BI172" s="64"/>
      <c r="BJ172" s="64"/>
      <c r="BK172" s="64"/>
      <c r="BL172" s="64"/>
      <c r="BM172" s="64"/>
      <c r="BN172" s="64"/>
      <c r="BO172" s="64"/>
      <c r="BP172" s="64"/>
    </row>
    <row r="173" ht="18.75" customHeight="1">
      <c r="H173" s="64"/>
      <c r="J173" s="64"/>
      <c r="K173" s="64"/>
      <c r="M173" s="64"/>
      <c r="N173" s="64"/>
      <c r="O173" s="64"/>
      <c r="P173" s="64"/>
      <c r="Q173" s="64"/>
      <c r="R173" s="64"/>
      <c r="S173" s="64"/>
      <c r="T173" s="64"/>
      <c r="U173" s="64"/>
      <c r="V173" s="64"/>
      <c r="W173" s="64"/>
      <c r="BF173" s="64"/>
      <c r="BG173" s="64"/>
      <c r="BH173" s="64"/>
      <c r="BI173" s="64"/>
      <c r="BJ173" s="64"/>
      <c r="BK173" s="64"/>
      <c r="BL173" s="64"/>
      <c r="BM173" s="64"/>
      <c r="BN173" s="64"/>
      <c r="BO173" s="64"/>
      <c r="BP173" s="64"/>
    </row>
    <row r="174" ht="18.75" customHeight="1">
      <c r="H174" s="64"/>
      <c r="J174" s="64"/>
      <c r="K174" s="64"/>
      <c r="M174" s="64"/>
      <c r="N174" s="64"/>
      <c r="O174" s="64"/>
      <c r="P174" s="64"/>
      <c r="Q174" s="64"/>
      <c r="R174" s="64"/>
      <c r="S174" s="64"/>
      <c r="T174" s="64"/>
      <c r="U174" s="64"/>
      <c r="V174" s="64"/>
      <c r="W174" s="64"/>
      <c r="BF174" s="64"/>
      <c r="BG174" s="64"/>
      <c r="BH174" s="64"/>
      <c r="BI174" s="64"/>
      <c r="BJ174" s="64"/>
      <c r="BK174" s="64"/>
      <c r="BL174" s="64"/>
      <c r="BM174" s="64"/>
      <c r="BN174" s="64"/>
      <c r="BO174" s="64"/>
      <c r="BP174" s="64"/>
    </row>
    <row r="175" ht="18.75" customHeight="1">
      <c r="H175" s="64"/>
      <c r="J175" s="64"/>
      <c r="K175" s="64"/>
      <c r="M175" s="64"/>
      <c r="N175" s="64"/>
      <c r="O175" s="64"/>
      <c r="P175" s="64"/>
      <c r="Q175" s="64"/>
      <c r="R175" s="64"/>
      <c r="S175" s="64"/>
      <c r="T175" s="64"/>
      <c r="U175" s="64"/>
      <c r="V175" s="64"/>
      <c r="W175" s="64"/>
      <c r="BF175" s="64"/>
      <c r="BG175" s="64"/>
      <c r="BH175" s="64"/>
      <c r="BI175" s="64"/>
      <c r="BJ175" s="64"/>
      <c r="BK175" s="64"/>
      <c r="BL175" s="64"/>
      <c r="BM175" s="64"/>
      <c r="BN175" s="64"/>
      <c r="BO175" s="64"/>
      <c r="BP175" s="64"/>
    </row>
    <row r="176" ht="18.75" customHeight="1">
      <c r="H176" s="64"/>
      <c r="J176" s="64"/>
      <c r="K176" s="64"/>
      <c r="M176" s="64"/>
      <c r="N176" s="64"/>
      <c r="O176" s="64"/>
      <c r="P176" s="64"/>
      <c r="Q176" s="64"/>
      <c r="R176" s="64"/>
      <c r="S176" s="64"/>
      <c r="T176" s="64"/>
      <c r="U176" s="64"/>
      <c r="V176" s="64"/>
      <c r="W176" s="64"/>
      <c r="BF176" s="64"/>
      <c r="BG176" s="64"/>
      <c r="BH176" s="64"/>
      <c r="BI176" s="64"/>
      <c r="BJ176" s="64"/>
      <c r="BK176" s="64"/>
      <c r="BL176" s="64"/>
      <c r="BM176" s="64"/>
      <c r="BN176" s="64"/>
      <c r="BO176" s="64"/>
      <c r="BP176" s="64"/>
    </row>
    <row r="177" ht="18.75" customHeight="1">
      <c r="H177" s="64"/>
      <c r="J177" s="64"/>
      <c r="K177" s="64"/>
      <c r="M177" s="64"/>
      <c r="N177" s="64"/>
      <c r="O177" s="64"/>
      <c r="P177" s="64"/>
      <c r="Q177" s="64"/>
      <c r="R177" s="64"/>
      <c r="S177" s="64"/>
      <c r="T177" s="64"/>
      <c r="U177" s="64"/>
      <c r="V177" s="64"/>
      <c r="W177" s="64"/>
      <c r="BF177" s="64"/>
      <c r="BG177" s="64"/>
      <c r="BH177" s="64"/>
      <c r="BI177" s="64"/>
      <c r="BJ177" s="64"/>
      <c r="BK177" s="64"/>
      <c r="BL177" s="64"/>
      <c r="BM177" s="64"/>
      <c r="BN177" s="64"/>
      <c r="BO177" s="64"/>
      <c r="BP177" s="64"/>
    </row>
    <row r="178" ht="18.75" customHeight="1">
      <c r="H178" s="64"/>
      <c r="J178" s="64"/>
      <c r="K178" s="64"/>
      <c r="M178" s="64"/>
      <c r="N178" s="64"/>
      <c r="O178" s="64"/>
      <c r="P178" s="64"/>
      <c r="Q178" s="64"/>
      <c r="R178" s="64"/>
      <c r="S178" s="64"/>
      <c r="T178" s="64"/>
      <c r="U178" s="64"/>
      <c r="V178" s="64"/>
      <c r="W178" s="64"/>
      <c r="BF178" s="64"/>
      <c r="BG178" s="64"/>
      <c r="BH178" s="64"/>
      <c r="BI178" s="64"/>
      <c r="BJ178" s="64"/>
      <c r="BK178" s="64"/>
      <c r="BL178" s="64"/>
      <c r="BM178" s="64"/>
      <c r="BN178" s="64"/>
      <c r="BO178" s="64"/>
      <c r="BP178" s="64"/>
    </row>
    <row r="179" ht="18.75" customHeight="1">
      <c r="H179" s="64"/>
      <c r="J179" s="64"/>
      <c r="K179" s="64"/>
      <c r="M179" s="64"/>
      <c r="N179" s="64"/>
      <c r="O179" s="64"/>
      <c r="P179" s="64"/>
      <c r="Q179" s="64"/>
      <c r="R179" s="64"/>
      <c r="S179" s="64"/>
      <c r="T179" s="64"/>
      <c r="U179" s="64"/>
      <c r="V179" s="64"/>
      <c r="W179" s="64"/>
      <c r="BF179" s="64"/>
      <c r="BG179" s="64"/>
      <c r="BH179" s="64"/>
      <c r="BI179" s="64"/>
      <c r="BJ179" s="64"/>
      <c r="BK179" s="64"/>
      <c r="BL179" s="64"/>
      <c r="BM179" s="64"/>
      <c r="BN179" s="64"/>
      <c r="BO179" s="64"/>
      <c r="BP179" s="64"/>
    </row>
    <row r="180" ht="18.75" customHeight="1">
      <c r="H180" s="64"/>
      <c r="J180" s="64"/>
      <c r="K180" s="64"/>
      <c r="M180" s="64"/>
      <c r="N180" s="64"/>
      <c r="O180" s="64"/>
      <c r="P180" s="64"/>
      <c r="Q180" s="64"/>
      <c r="R180" s="64"/>
      <c r="S180" s="64"/>
      <c r="T180" s="64"/>
      <c r="U180" s="64"/>
      <c r="V180" s="64"/>
      <c r="W180" s="64"/>
      <c r="BF180" s="64"/>
      <c r="BG180" s="64"/>
      <c r="BH180" s="64"/>
      <c r="BI180" s="64"/>
      <c r="BJ180" s="64"/>
      <c r="BK180" s="64"/>
      <c r="BL180" s="64"/>
      <c r="BM180" s="64"/>
      <c r="BN180" s="64"/>
      <c r="BO180" s="64"/>
      <c r="BP180" s="64"/>
    </row>
    <row r="181" ht="18.75" customHeight="1">
      <c r="H181" s="64"/>
      <c r="J181" s="64"/>
      <c r="K181" s="64"/>
      <c r="M181" s="64"/>
      <c r="N181" s="64"/>
      <c r="O181" s="64"/>
      <c r="P181" s="64"/>
      <c r="Q181" s="64"/>
      <c r="R181" s="64"/>
      <c r="S181" s="64"/>
      <c r="T181" s="64"/>
      <c r="U181" s="64"/>
      <c r="V181" s="64"/>
      <c r="W181" s="64"/>
      <c r="BF181" s="64"/>
      <c r="BG181" s="64"/>
      <c r="BH181" s="64"/>
      <c r="BI181" s="64"/>
      <c r="BJ181" s="64"/>
      <c r="BK181" s="64"/>
      <c r="BL181" s="64"/>
      <c r="BM181" s="64"/>
      <c r="BN181" s="64"/>
      <c r="BO181" s="64"/>
      <c r="BP181" s="64"/>
    </row>
    <row r="182" ht="18.75" customHeight="1">
      <c r="H182" s="64"/>
      <c r="J182" s="64"/>
      <c r="K182" s="64"/>
      <c r="M182" s="64"/>
      <c r="N182" s="64"/>
      <c r="O182" s="64"/>
      <c r="P182" s="64"/>
      <c r="Q182" s="64"/>
      <c r="R182" s="64"/>
      <c r="S182" s="64"/>
      <c r="T182" s="64"/>
      <c r="U182" s="64"/>
      <c r="V182" s="64"/>
      <c r="W182" s="64"/>
      <c r="BF182" s="64"/>
      <c r="BG182" s="64"/>
      <c r="BH182" s="64"/>
      <c r="BI182" s="64"/>
      <c r="BJ182" s="64"/>
      <c r="BK182" s="64"/>
      <c r="BL182" s="64"/>
      <c r="BM182" s="64"/>
      <c r="BN182" s="64"/>
      <c r="BO182" s="64"/>
      <c r="BP182" s="64"/>
    </row>
    <row r="183" ht="18.75" customHeight="1">
      <c r="H183" s="64"/>
      <c r="J183" s="64"/>
      <c r="K183" s="64"/>
      <c r="M183" s="64"/>
      <c r="N183" s="64"/>
      <c r="O183" s="64"/>
      <c r="P183" s="64"/>
      <c r="Q183" s="64"/>
      <c r="R183" s="64"/>
      <c r="S183" s="64"/>
      <c r="T183" s="64"/>
      <c r="U183" s="64"/>
      <c r="V183" s="64"/>
      <c r="W183" s="64"/>
      <c r="BF183" s="64"/>
      <c r="BG183" s="64"/>
      <c r="BH183" s="64"/>
      <c r="BI183" s="64"/>
      <c r="BJ183" s="64"/>
      <c r="BK183" s="64"/>
      <c r="BL183" s="64"/>
      <c r="BM183" s="64"/>
      <c r="BN183" s="64"/>
      <c r="BO183" s="64"/>
      <c r="BP183" s="64"/>
    </row>
    <row r="184" ht="18.75" customHeight="1">
      <c r="H184" s="64"/>
      <c r="J184" s="64"/>
      <c r="K184" s="64"/>
      <c r="M184" s="64"/>
      <c r="N184" s="64"/>
      <c r="O184" s="64"/>
      <c r="P184" s="64"/>
      <c r="Q184" s="64"/>
      <c r="R184" s="64"/>
      <c r="S184" s="64"/>
      <c r="T184" s="64"/>
      <c r="U184" s="64"/>
      <c r="V184" s="64"/>
      <c r="W184" s="64"/>
      <c r="BF184" s="64"/>
      <c r="BG184" s="64"/>
      <c r="BH184" s="64"/>
      <c r="BI184" s="64"/>
      <c r="BJ184" s="64"/>
      <c r="BK184" s="64"/>
      <c r="BL184" s="64"/>
      <c r="BM184" s="64"/>
      <c r="BN184" s="64"/>
      <c r="BO184" s="64"/>
      <c r="BP184" s="64"/>
    </row>
    <row r="185" ht="18.75" customHeight="1">
      <c r="H185" s="64"/>
      <c r="J185" s="64"/>
      <c r="K185" s="64"/>
      <c r="M185" s="64"/>
      <c r="N185" s="64"/>
      <c r="O185" s="64"/>
      <c r="P185" s="64"/>
      <c r="Q185" s="64"/>
      <c r="R185" s="64"/>
      <c r="S185" s="64"/>
      <c r="T185" s="64"/>
      <c r="U185" s="64"/>
      <c r="V185" s="64"/>
      <c r="W185" s="64"/>
      <c r="BF185" s="64"/>
      <c r="BG185" s="64"/>
      <c r="BH185" s="64"/>
      <c r="BI185" s="64"/>
      <c r="BJ185" s="64"/>
      <c r="BK185" s="64"/>
      <c r="BL185" s="64"/>
      <c r="BM185" s="64"/>
      <c r="BN185" s="64"/>
      <c r="BO185" s="64"/>
      <c r="BP185" s="64"/>
    </row>
    <row r="186" ht="18.75" customHeight="1">
      <c r="H186" s="64"/>
      <c r="J186" s="64"/>
      <c r="K186" s="64"/>
      <c r="M186" s="64"/>
      <c r="N186" s="64"/>
      <c r="O186" s="64"/>
      <c r="P186" s="64"/>
      <c r="Q186" s="64"/>
      <c r="R186" s="64"/>
      <c r="S186" s="64"/>
      <c r="T186" s="64"/>
      <c r="U186" s="64"/>
      <c r="V186" s="64"/>
      <c r="W186" s="64"/>
      <c r="BF186" s="64"/>
      <c r="BG186" s="64"/>
      <c r="BH186" s="64"/>
      <c r="BI186" s="64"/>
      <c r="BJ186" s="64"/>
      <c r="BK186" s="64"/>
      <c r="BL186" s="64"/>
      <c r="BM186" s="64"/>
      <c r="BN186" s="64"/>
      <c r="BO186" s="64"/>
      <c r="BP186" s="64"/>
    </row>
    <row r="187" ht="18.75" customHeight="1">
      <c r="H187" s="64"/>
      <c r="J187" s="64"/>
      <c r="K187" s="64"/>
      <c r="M187" s="64"/>
      <c r="N187" s="64"/>
      <c r="O187" s="64"/>
      <c r="P187" s="64"/>
      <c r="Q187" s="64"/>
      <c r="R187" s="64"/>
      <c r="S187" s="64"/>
      <c r="T187" s="64"/>
      <c r="U187" s="64"/>
      <c r="V187" s="64"/>
      <c r="W187" s="64"/>
      <c r="BF187" s="64"/>
      <c r="BG187" s="64"/>
      <c r="BH187" s="64"/>
      <c r="BI187" s="64"/>
      <c r="BJ187" s="64"/>
      <c r="BK187" s="64"/>
      <c r="BL187" s="64"/>
      <c r="BM187" s="64"/>
      <c r="BN187" s="64"/>
      <c r="BO187" s="64"/>
      <c r="BP187" s="64"/>
    </row>
    <row r="188" ht="18.75" customHeight="1">
      <c r="H188" s="64"/>
      <c r="J188" s="64"/>
      <c r="K188" s="64"/>
      <c r="M188" s="64"/>
      <c r="N188" s="64"/>
      <c r="O188" s="64"/>
      <c r="P188" s="64"/>
      <c r="Q188" s="64"/>
      <c r="R188" s="64"/>
      <c r="S188" s="64"/>
      <c r="T188" s="64"/>
      <c r="U188" s="64"/>
      <c r="V188" s="64"/>
      <c r="W188" s="64"/>
      <c r="BF188" s="64"/>
      <c r="BG188" s="64"/>
      <c r="BH188" s="64"/>
      <c r="BI188" s="64"/>
      <c r="BJ188" s="64"/>
      <c r="BK188" s="64"/>
      <c r="BL188" s="64"/>
      <c r="BM188" s="64"/>
      <c r="BN188" s="64"/>
      <c r="BO188" s="64"/>
      <c r="BP188" s="64"/>
    </row>
    <row r="189" ht="18.75" customHeight="1">
      <c r="H189" s="64"/>
      <c r="J189" s="64"/>
      <c r="K189" s="64"/>
      <c r="M189" s="64"/>
      <c r="N189" s="64"/>
      <c r="O189" s="64"/>
      <c r="P189" s="64"/>
      <c r="Q189" s="64"/>
      <c r="R189" s="64"/>
      <c r="S189" s="64"/>
      <c r="T189" s="64"/>
      <c r="U189" s="64"/>
      <c r="V189" s="64"/>
      <c r="W189" s="64"/>
      <c r="BF189" s="64"/>
      <c r="BG189" s="64"/>
      <c r="BH189" s="64"/>
      <c r="BI189" s="64"/>
      <c r="BJ189" s="64"/>
      <c r="BK189" s="64"/>
      <c r="BL189" s="64"/>
      <c r="BM189" s="64"/>
      <c r="BN189" s="64"/>
      <c r="BO189" s="64"/>
      <c r="BP189" s="64"/>
    </row>
    <row r="190" ht="18.75" customHeight="1">
      <c r="H190" s="64"/>
      <c r="J190" s="64"/>
      <c r="K190" s="64"/>
      <c r="M190" s="64"/>
      <c r="N190" s="64"/>
      <c r="O190" s="64"/>
      <c r="P190" s="64"/>
      <c r="Q190" s="64"/>
      <c r="R190" s="64"/>
      <c r="S190" s="64"/>
      <c r="T190" s="64"/>
      <c r="U190" s="64"/>
      <c r="V190" s="64"/>
      <c r="W190" s="64"/>
      <c r="BF190" s="64"/>
      <c r="BG190" s="64"/>
      <c r="BH190" s="64"/>
      <c r="BI190" s="64"/>
      <c r="BJ190" s="64"/>
      <c r="BK190" s="64"/>
      <c r="BL190" s="64"/>
      <c r="BM190" s="64"/>
      <c r="BN190" s="64"/>
      <c r="BO190" s="64"/>
      <c r="BP190" s="64"/>
    </row>
    <row r="191" ht="18.75" customHeight="1">
      <c r="H191" s="64"/>
      <c r="J191" s="64"/>
      <c r="K191" s="64"/>
      <c r="M191" s="64"/>
      <c r="N191" s="64"/>
      <c r="O191" s="64"/>
      <c r="P191" s="64"/>
      <c r="Q191" s="64"/>
      <c r="R191" s="64"/>
      <c r="S191" s="64"/>
      <c r="T191" s="64"/>
      <c r="U191" s="64"/>
      <c r="V191" s="64"/>
      <c r="W191" s="64"/>
      <c r="BF191" s="64"/>
      <c r="BG191" s="64"/>
      <c r="BH191" s="64"/>
      <c r="BI191" s="64"/>
      <c r="BJ191" s="64"/>
      <c r="BK191" s="64"/>
      <c r="BL191" s="64"/>
      <c r="BM191" s="64"/>
      <c r="BN191" s="64"/>
      <c r="BO191" s="64"/>
      <c r="BP191" s="64"/>
    </row>
    <row r="192" ht="18.75" customHeight="1">
      <c r="H192" s="64"/>
      <c r="J192" s="64"/>
      <c r="K192" s="64"/>
      <c r="M192" s="64"/>
      <c r="N192" s="64"/>
      <c r="O192" s="64"/>
      <c r="P192" s="64"/>
      <c r="Q192" s="64"/>
      <c r="R192" s="64"/>
      <c r="S192" s="64"/>
      <c r="T192" s="64"/>
      <c r="U192" s="64"/>
      <c r="V192" s="64"/>
      <c r="W192" s="64"/>
      <c r="BF192" s="64"/>
      <c r="BG192" s="64"/>
      <c r="BH192" s="64"/>
      <c r="BI192" s="64"/>
      <c r="BJ192" s="64"/>
      <c r="BK192" s="64"/>
      <c r="BL192" s="64"/>
      <c r="BM192" s="64"/>
      <c r="BN192" s="64"/>
      <c r="BO192" s="64"/>
      <c r="BP192" s="64"/>
    </row>
    <row r="193" ht="18.75" customHeight="1">
      <c r="H193" s="64"/>
      <c r="J193" s="64"/>
      <c r="K193" s="64"/>
      <c r="M193" s="64"/>
      <c r="N193" s="64"/>
      <c r="O193" s="64"/>
      <c r="P193" s="64"/>
      <c r="Q193" s="64"/>
      <c r="R193" s="64"/>
      <c r="S193" s="64"/>
      <c r="T193" s="64"/>
      <c r="U193" s="64"/>
      <c r="V193" s="64"/>
      <c r="W193" s="64"/>
      <c r="BF193" s="64"/>
      <c r="BG193" s="64"/>
      <c r="BH193" s="64"/>
      <c r="BI193" s="64"/>
      <c r="BJ193" s="64"/>
      <c r="BK193" s="64"/>
      <c r="BL193" s="64"/>
      <c r="BM193" s="64"/>
      <c r="BN193" s="64"/>
      <c r="BO193" s="64"/>
      <c r="BP193" s="64"/>
    </row>
    <row r="194" ht="18.75" customHeight="1">
      <c r="H194" s="64"/>
      <c r="J194" s="64"/>
      <c r="K194" s="64"/>
      <c r="M194" s="64"/>
      <c r="N194" s="64"/>
      <c r="O194" s="64"/>
      <c r="P194" s="64"/>
      <c r="Q194" s="64"/>
      <c r="R194" s="64"/>
      <c r="S194" s="64"/>
      <c r="T194" s="64"/>
      <c r="U194" s="64"/>
      <c r="V194" s="64"/>
      <c r="W194" s="64"/>
      <c r="BF194" s="64"/>
      <c r="BG194" s="64"/>
      <c r="BH194" s="64"/>
      <c r="BI194" s="64"/>
      <c r="BJ194" s="64"/>
      <c r="BK194" s="64"/>
      <c r="BL194" s="64"/>
      <c r="BM194" s="64"/>
      <c r="BN194" s="64"/>
      <c r="BO194" s="64"/>
      <c r="BP194" s="64"/>
    </row>
    <row r="195" ht="18.75" customHeight="1">
      <c r="H195" s="64"/>
      <c r="J195" s="64"/>
      <c r="K195" s="64"/>
      <c r="M195" s="64"/>
      <c r="N195" s="64"/>
      <c r="O195" s="64"/>
      <c r="P195" s="64"/>
      <c r="Q195" s="64"/>
      <c r="R195" s="64"/>
      <c r="S195" s="64"/>
      <c r="T195" s="64"/>
      <c r="U195" s="64"/>
      <c r="V195" s="64"/>
      <c r="W195" s="64"/>
      <c r="BF195" s="64"/>
      <c r="BG195" s="64"/>
      <c r="BH195" s="64"/>
      <c r="BI195" s="64"/>
      <c r="BJ195" s="64"/>
      <c r="BK195" s="64"/>
      <c r="BL195" s="64"/>
      <c r="BM195" s="64"/>
      <c r="BN195" s="64"/>
      <c r="BO195" s="64"/>
      <c r="BP195" s="64"/>
    </row>
    <row r="196" ht="18.75" customHeight="1">
      <c r="H196" s="64"/>
      <c r="J196" s="64"/>
      <c r="K196" s="64"/>
      <c r="M196" s="64"/>
      <c r="N196" s="64"/>
      <c r="O196" s="64"/>
      <c r="P196" s="64"/>
      <c r="Q196" s="64"/>
      <c r="R196" s="64"/>
      <c r="S196" s="64"/>
      <c r="T196" s="64"/>
      <c r="U196" s="64"/>
      <c r="V196" s="64"/>
      <c r="W196" s="64"/>
      <c r="BF196" s="64"/>
      <c r="BG196" s="64"/>
      <c r="BH196" s="64"/>
      <c r="BI196" s="64"/>
      <c r="BJ196" s="64"/>
      <c r="BK196" s="64"/>
      <c r="BL196" s="64"/>
      <c r="BM196" s="64"/>
      <c r="BN196" s="64"/>
      <c r="BO196" s="64"/>
      <c r="BP196" s="64"/>
    </row>
    <row r="197" ht="18.75" customHeight="1">
      <c r="H197" s="64"/>
      <c r="J197" s="64"/>
      <c r="K197" s="64"/>
      <c r="M197" s="64"/>
      <c r="N197" s="64"/>
      <c r="O197" s="64"/>
      <c r="P197" s="64"/>
      <c r="Q197" s="64"/>
      <c r="R197" s="64"/>
      <c r="S197" s="64"/>
      <c r="T197" s="64"/>
      <c r="U197" s="64"/>
      <c r="V197" s="64"/>
      <c r="W197" s="64"/>
      <c r="BF197" s="64"/>
      <c r="BG197" s="64"/>
      <c r="BH197" s="64"/>
      <c r="BI197" s="64"/>
      <c r="BJ197" s="64"/>
      <c r="BK197" s="64"/>
      <c r="BL197" s="64"/>
      <c r="BM197" s="64"/>
      <c r="BN197" s="64"/>
      <c r="BO197" s="64"/>
      <c r="BP197" s="64"/>
    </row>
    <row r="198" ht="18.75" customHeight="1">
      <c r="H198" s="64"/>
      <c r="J198" s="64"/>
      <c r="K198" s="64"/>
      <c r="M198" s="64"/>
      <c r="N198" s="64"/>
      <c r="O198" s="64"/>
      <c r="P198" s="64"/>
      <c r="Q198" s="64"/>
      <c r="R198" s="64"/>
      <c r="S198" s="64"/>
      <c r="T198" s="64"/>
      <c r="U198" s="64"/>
      <c r="V198" s="64"/>
      <c r="W198" s="64"/>
      <c r="BF198" s="64"/>
      <c r="BG198" s="64"/>
      <c r="BH198" s="64"/>
      <c r="BI198" s="64"/>
      <c r="BJ198" s="64"/>
      <c r="BK198" s="64"/>
      <c r="BL198" s="64"/>
      <c r="BM198" s="64"/>
      <c r="BN198" s="64"/>
      <c r="BO198" s="64"/>
      <c r="BP198" s="64"/>
    </row>
    <row r="199" ht="18.75" customHeight="1">
      <c r="H199" s="64"/>
      <c r="J199" s="64"/>
      <c r="K199" s="64"/>
      <c r="M199" s="64"/>
      <c r="N199" s="64"/>
      <c r="O199" s="64"/>
      <c r="P199" s="64"/>
      <c r="Q199" s="64"/>
      <c r="R199" s="64"/>
      <c r="S199" s="64"/>
      <c r="T199" s="64"/>
      <c r="U199" s="64"/>
      <c r="V199" s="64"/>
      <c r="W199" s="64"/>
      <c r="BF199" s="64"/>
      <c r="BG199" s="64"/>
      <c r="BH199" s="64"/>
      <c r="BI199" s="64"/>
      <c r="BJ199" s="64"/>
      <c r="BK199" s="64"/>
      <c r="BL199" s="64"/>
      <c r="BM199" s="64"/>
      <c r="BN199" s="64"/>
      <c r="BO199" s="64"/>
      <c r="BP199" s="64"/>
    </row>
    <row r="200" ht="18.75" customHeight="1">
      <c r="H200" s="64"/>
      <c r="J200" s="64"/>
      <c r="K200" s="64"/>
      <c r="M200" s="64"/>
      <c r="N200" s="64"/>
      <c r="O200" s="64"/>
      <c r="P200" s="64"/>
      <c r="Q200" s="64"/>
      <c r="R200" s="64"/>
      <c r="S200" s="64"/>
      <c r="T200" s="64"/>
      <c r="U200" s="64"/>
      <c r="V200" s="64"/>
      <c r="W200" s="64"/>
      <c r="BF200" s="64"/>
      <c r="BG200" s="64"/>
      <c r="BH200" s="64"/>
      <c r="BI200" s="64"/>
      <c r="BJ200" s="64"/>
      <c r="BK200" s="64"/>
      <c r="BL200" s="64"/>
      <c r="BM200" s="64"/>
      <c r="BN200" s="64"/>
      <c r="BO200" s="64"/>
      <c r="BP200" s="64"/>
    </row>
    <row r="201" ht="18.75" customHeight="1">
      <c r="H201" s="64"/>
      <c r="J201" s="64"/>
      <c r="K201" s="64"/>
      <c r="M201" s="64"/>
      <c r="N201" s="64"/>
      <c r="O201" s="64"/>
      <c r="P201" s="64"/>
      <c r="Q201" s="64"/>
      <c r="R201" s="64"/>
      <c r="S201" s="64"/>
      <c r="T201" s="64"/>
      <c r="U201" s="64"/>
      <c r="V201" s="64"/>
      <c r="W201" s="64"/>
      <c r="BF201" s="64"/>
      <c r="BG201" s="64"/>
      <c r="BH201" s="64"/>
      <c r="BI201" s="64"/>
      <c r="BJ201" s="64"/>
      <c r="BK201" s="64"/>
      <c r="BL201" s="64"/>
      <c r="BM201" s="64"/>
      <c r="BN201" s="64"/>
      <c r="BO201" s="64"/>
      <c r="BP201" s="64"/>
    </row>
    <row r="202" ht="18.75" customHeight="1">
      <c r="H202" s="64"/>
      <c r="J202" s="64"/>
      <c r="K202" s="64"/>
      <c r="M202" s="64"/>
      <c r="N202" s="64"/>
      <c r="O202" s="64"/>
      <c r="P202" s="64"/>
      <c r="Q202" s="64"/>
      <c r="R202" s="64"/>
      <c r="S202" s="64"/>
      <c r="T202" s="64"/>
      <c r="U202" s="64"/>
      <c r="V202" s="64"/>
      <c r="W202" s="64"/>
      <c r="BF202" s="64"/>
      <c r="BG202" s="64"/>
      <c r="BH202" s="64"/>
      <c r="BI202" s="64"/>
      <c r="BJ202" s="64"/>
      <c r="BK202" s="64"/>
      <c r="BL202" s="64"/>
      <c r="BM202" s="64"/>
      <c r="BN202" s="64"/>
      <c r="BO202" s="64"/>
      <c r="BP202" s="64"/>
    </row>
    <row r="203" ht="18.75" customHeight="1">
      <c r="H203" s="64"/>
      <c r="J203" s="64"/>
      <c r="K203" s="64"/>
      <c r="M203" s="64"/>
      <c r="N203" s="64"/>
      <c r="O203" s="64"/>
      <c r="P203" s="64"/>
      <c r="Q203" s="64"/>
      <c r="R203" s="64"/>
      <c r="S203" s="64"/>
      <c r="T203" s="64"/>
      <c r="U203" s="64"/>
      <c r="V203" s="64"/>
      <c r="W203" s="64"/>
      <c r="BF203" s="64"/>
      <c r="BG203" s="64"/>
      <c r="BH203" s="64"/>
      <c r="BI203" s="64"/>
      <c r="BJ203" s="64"/>
      <c r="BK203" s="64"/>
      <c r="BL203" s="64"/>
      <c r="BM203" s="64"/>
      <c r="BN203" s="64"/>
      <c r="BO203" s="64"/>
      <c r="BP203" s="64"/>
    </row>
    <row r="204" ht="18.75" customHeight="1">
      <c r="H204" s="64"/>
      <c r="J204" s="64"/>
      <c r="K204" s="64"/>
      <c r="M204" s="64"/>
      <c r="N204" s="64"/>
      <c r="O204" s="64"/>
      <c r="P204" s="64"/>
      <c r="Q204" s="64"/>
      <c r="R204" s="64"/>
      <c r="S204" s="64"/>
      <c r="T204" s="64"/>
      <c r="U204" s="64"/>
      <c r="V204" s="64"/>
      <c r="W204" s="64"/>
      <c r="BF204" s="64"/>
      <c r="BG204" s="64"/>
      <c r="BH204" s="64"/>
      <c r="BI204" s="64"/>
      <c r="BJ204" s="64"/>
      <c r="BK204" s="64"/>
      <c r="BL204" s="64"/>
      <c r="BM204" s="64"/>
      <c r="BN204" s="64"/>
      <c r="BO204" s="64"/>
      <c r="BP204" s="64"/>
    </row>
    <row r="205" ht="18.75" customHeight="1">
      <c r="H205" s="64"/>
      <c r="J205" s="64"/>
      <c r="K205" s="64"/>
      <c r="M205" s="64"/>
      <c r="N205" s="64"/>
      <c r="O205" s="64"/>
      <c r="P205" s="64"/>
      <c r="Q205" s="64"/>
      <c r="R205" s="64"/>
      <c r="S205" s="64"/>
      <c r="T205" s="64"/>
      <c r="U205" s="64"/>
      <c r="V205" s="64"/>
      <c r="W205" s="64"/>
      <c r="BF205" s="64"/>
      <c r="BG205" s="64"/>
      <c r="BH205" s="64"/>
      <c r="BI205" s="64"/>
      <c r="BJ205" s="64"/>
      <c r="BK205" s="64"/>
      <c r="BL205" s="64"/>
      <c r="BM205" s="64"/>
      <c r="BN205" s="64"/>
      <c r="BO205" s="64"/>
      <c r="BP205" s="64"/>
    </row>
    <row r="206" ht="18.75" customHeight="1">
      <c r="H206" s="64"/>
      <c r="J206" s="64"/>
      <c r="K206" s="64"/>
      <c r="M206" s="64"/>
      <c r="N206" s="64"/>
      <c r="O206" s="64"/>
      <c r="P206" s="64"/>
      <c r="Q206" s="64"/>
      <c r="R206" s="64"/>
      <c r="S206" s="64"/>
      <c r="T206" s="64"/>
      <c r="U206" s="64"/>
      <c r="V206" s="64"/>
      <c r="W206" s="64"/>
      <c r="BF206" s="64"/>
      <c r="BG206" s="64"/>
      <c r="BH206" s="64"/>
      <c r="BI206" s="64"/>
      <c r="BJ206" s="64"/>
      <c r="BK206" s="64"/>
      <c r="BL206" s="64"/>
      <c r="BM206" s="64"/>
      <c r="BN206" s="64"/>
      <c r="BO206" s="64"/>
      <c r="BP206" s="64"/>
    </row>
    <row r="207" ht="18.75" customHeight="1">
      <c r="H207" s="64"/>
      <c r="J207" s="64"/>
      <c r="K207" s="64"/>
      <c r="M207" s="64"/>
      <c r="N207" s="64"/>
      <c r="O207" s="64"/>
      <c r="P207" s="64"/>
      <c r="Q207" s="64"/>
      <c r="R207" s="64"/>
      <c r="S207" s="64"/>
      <c r="T207" s="64"/>
      <c r="U207" s="64"/>
      <c r="V207" s="64"/>
      <c r="W207" s="64"/>
      <c r="BF207" s="64"/>
      <c r="BG207" s="64"/>
      <c r="BH207" s="64"/>
      <c r="BI207" s="64"/>
      <c r="BJ207" s="64"/>
      <c r="BK207" s="64"/>
      <c r="BL207" s="64"/>
      <c r="BM207" s="64"/>
      <c r="BN207" s="64"/>
      <c r="BO207" s="64"/>
      <c r="BP207" s="64"/>
    </row>
    <row r="208" ht="18.75" customHeight="1">
      <c r="H208" s="64"/>
      <c r="J208" s="64"/>
      <c r="K208" s="64"/>
      <c r="M208" s="64"/>
      <c r="N208" s="64"/>
      <c r="O208" s="64"/>
      <c r="P208" s="64"/>
      <c r="Q208" s="64"/>
      <c r="R208" s="64"/>
      <c r="S208" s="64"/>
      <c r="T208" s="64"/>
      <c r="U208" s="64"/>
      <c r="V208" s="64"/>
      <c r="W208" s="64"/>
      <c r="BF208" s="64"/>
      <c r="BG208" s="64"/>
      <c r="BH208" s="64"/>
      <c r="BI208" s="64"/>
      <c r="BJ208" s="64"/>
      <c r="BK208" s="64"/>
      <c r="BL208" s="64"/>
      <c r="BM208" s="64"/>
      <c r="BN208" s="64"/>
      <c r="BO208" s="64"/>
      <c r="BP208" s="64"/>
    </row>
    <row r="209" ht="18.75" customHeight="1">
      <c r="H209" s="64"/>
      <c r="J209" s="64"/>
      <c r="K209" s="64"/>
      <c r="M209" s="64"/>
      <c r="N209" s="64"/>
      <c r="O209" s="64"/>
      <c r="P209" s="64"/>
      <c r="Q209" s="64"/>
      <c r="R209" s="64"/>
      <c r="S209" s="64"/>
      <c r="T209" s="64"/>
      <c r="U209" s="64"/>
      <c r="V209" s="64"/>
      <c r="W209" s="64"/>
      <c r="BF209" s="64"/>
      <c r="BG209" s="64"/>
      <c r="BH209" s="64"/>
      <c r="BI209" s="64"/>
      <c r="BJ209" s="64"/>
      <c r="BK209" s="64"/>
      <c r="BL209" s="64"/>
      <c r="BM209" s="64"/>
      <c r="BN209" s="64"/>
      <c r="BO209" s="64"/>
      <c r="BP209" s="64"/>
    </row>
    <row r="210" ht="18.75" customHeight="1">
      <c r="H210" s="64"/>
      <c r="J210" s="64"/>
      <c r="K210" s="64"/>
      <c r="M210" s="64"/>
      <c r="N210" s="64"/>
      <c r="O210" s="64"/>
      <c r="P210" s="64"/>
      <c r="Q210" s="64"/>
      <c r="R210" s="64"/>
      <c r="S210" s="64"/>
      <c r="T210" s="64"/>
      <c r="U210" s="64"/>
      <c r="V210" s="64"/>
      <c r="W210" s="64"/>
      <c r="BF210" s="64"/>
      <c r="BG210" s="64"/>
      <c r="BH210" s="64"/>
      <c r="BI210" s="64"/>
      <c r="BJ210" s="64"/>
      <c r="BK210" s="64"/>
      <c r="BL210" s="64"/>
      <c r="BM210" s="64"/>
      <c r="BN210" s="64"/>
      <c r="BO210" s="64"/>
      <c r="BP210" s="64"/>
    </row>
    <row r="211" ht="18.75" customHeight="1">
      <c r="H211" s="64"/>
      <c r="J211" s="64"/>
      <c r="K211" s="64"/>
      <c r="M211" s="64"/>
      <c r="N211" s="64"/>
      <c r="O211" s="64"/>
      <c r="P211" s="64"/>
      <c r="Q211" s="64"/>
      <c r="R211" s="64"/>
      <c r="S211" s="64"/>
      <c r="T211" s="64"/>
      <c r="U211" s="64"/>
      <c r="V211" s="64"/>
      <c r="W211" s="64"/>
      <c r="BF211" s="64"/>
      <c r="BG211" s="64"/>
      <c r="BH211" s="64"/>
      <c r="BI211" s="64"/>
      <c r="BJ211" s="64"/>
      <c r="BK211" s="64"/>
      <c r="BL211" s="64"/>
      <c r="BM211" s="64"/>
      <c r="BN211" s="64"/>
      <c r="BO211" s="64"/>
      <c r="BP211" s="64"/>
    </row>
    <row r="212" ht="18.75" customHeight="1">
      <c r="H212" s="64"/>
      <c r="J212" s="64"/>
      <c r="K212" s="64"/>
      <c r="M212" s="64"/>
      <c r="N212" s="64"/>
      <c r="O212" s="64"/>
      <c r="P212" s="64"/>
      <c r="Q212" s="64"/>
      <c r="R212" s="64"/>
      <c r="S212" s="64"/>
      <c r="T212" s="64"/>
      <c r="U212" s="64"/>
      <c r="V212" s="64"/>
      <c r="W212" s="64"/>
      <c r="BF212" s="64"/>
      <c r="BG212" s="64"/>
      <c r="BH212" s="64"/>
      <c r="BI212" s="64"/>
      <c r="BJ212" s="64"/>
      <c r="BK212" s="64"/>
      <c r="BL212" s="64"/>
      <c r="BM212" s="64"/>
      <c r="BN212" s="64"/>
      <c r="BO212" s="64"/>
      <c r="BP212" s="64"/>
    </row>
    <row r="213" ht="18.75" customHeight="1">
      <c r="H213" s="64"/>
      <c r="J213" s="64"/>
      <c r="K213" s="64"/>
      <c r="M213" s="64"/>
      <c r="N213" s="64"/>
      <c r="O213" s="64"/>
      <c r="P213" s="64"/>
      <c r="Q213" s="64"/>
      <c r="R213" s="64"/>
      <c r="S213" s="64"/>
      <c r="T213" s="64"/>
      <c r="U213" s="64"/>
      <c r="V213" s="64"/>
      <c r="W213" s="64"/>
      <c r="BF213" s="64"/>
      <c r="BG213" s="64"/>
      <c r="BH213" s="64"/>
      <c r="BI213" s="64"/>
      <c r="BJ213" s="64"/>
      <c r="BK213" s="64"/>
      <c r="BL213" s="64"/>
      <c r="BM213" s="64"/>
      <c r="BN213" s="64"/>
      <c r="BO213" s="64"/>
      <c r="BP213" s="64"/>
    </row>
    <row r="214" ht="18.75" customHeight="1">
      <c r="H214" s="64"/>
      <c r="J214" s="64"/>
      <c r="K214" s="64"/>
      <c r="M214" s="64"/>
      <c r="N214" s="64"/>
      <c r="O214" s="64"/>
      <c r="P214" s="64"/>
      <c r="Q214" s="64"/>
      <c r="R214" s="64"/>
      <c r="S214" s="64"/>
      <c r="T214" s="64"/>
      <c r="U214" s="64"/>
      <c r="V214" s="64"/>
      <c r="W214" s="64"/>
      <c r="BF214" s="64"/>
      <c r="BG214" s="64"/>
      <c r="BH214" s="64"/>
      <c r="BI214" s="64"/>
      <c r="BJ214" s="64"/>
      <c r="BK214" s="64"/>
      <c r="BL214" s="64"/>
      <c r="BM214" s="64"/>
      <c r="BN214" s="64"/>
      <c r="BO214" s="64"/>
      <c r="BP214" s="64"/>
    </row>
    <row r="215" ht="18.75" customHeight="1">
      <c r="H215" s="64"/>
      <c r="J215" s="64"/>
      <c r="K215" s="64"/>
      <c r="M215" s="64"/>
      <c r="N215" s="64"/>
      <c r="O215" s="64"/>
      <c r="P215" s="64"/>
      <c r="Q215" s="64"/>
      <c r="R215" s="64"/>
      <c r="S215" s="64"/>
      <c r="T215" s="64"/>
      <c r="U215" s="64"/>
      <c r="V215" s="64"/>
      <c r="W215" s="64"/>
      <c r="BF215" s="64"/>
      <c r="BG215" s="64"/>
      <c r="BH215" s="64"/>
      <c r="BI215" s="64"/>
      <c r="BJ215" s="64"/>
      <c r="BK215" s="64"/>
      <c r="BL215" s="64"/>
      <c r="BM215" s="64"/>
      <c r="BN215" s="64"/>
      <c r="BO215" s="64"/>
      <c r="BP215" s="64"/>
    </row>
    <row r="216" ht="18.75" customHeight="1">
      <c r="H216" s="64"/>
      <c r="J216" s="64"/>
      <c r="K216" s="64"/>
      <c r="M216" s="64"/>
      <c r="N216" s="64"/>
      <c r="O216" s="64"/>
      <c r="P216" s="64"/>
      <c r="Q216" s="64"/>
      <c r="R216" s="64"/>
      <c r="S216" s="64"/>
      <c r="T216" s="64"/>
      <c r="U216" s="64"/>
      <c r="V216" s="64"/>
      <c r="W216" s="64"/>
      <c r="BF216" s="64"/>
      <c r="BG216" s="64"/>
      <c r="BH216" s="64"/>
      <c r="BI216" s="64"/>
      <c r="BJ216" s="64"/>
      <c r="BK216" s="64"/>
      <c r="BL216" s="64"/>
      <c r="BM216" s="64"/>
      <c r="BN216" s="64"/>
      <c r="BO216" s="64"/>
      <c r="BP216" s="64"/>
    </row>
    <row r="217" ht="18.75" customHeight="1">
      <c r="H217" s="64"/>
      <c r="J217" s="64"/>
      <c r="K217" s="64"/>
      <c r="M217" s="64"/>
      <c r="N217" s="64"/>
      <c r="O217" s="64"/>
      <c r="P217" s="64"/>
      <c r="Q217" s="64"/>
      <c r="R217" s="64"/>
      <c r="S217" s="64"/>
      <c r="T217" s="64"/>
      <c r="U217" s="64"/>
      <c r="V217" s="64"/>
      <c r="W217" s="64"/>
      <c r="BF217" s="64"/>
      <c r="BG217" s="64"/>
      <c r="BH217" s="64"/>
      <c r="BI217" s="64"/>
      <c r="BJ217" s="64"/>
      <c r="BK217" s="64"/>
      <c r="BL217" s="64"/>
      <c r="BM217" s="64"/>
      <c r="BN217" s="64"/>
      <c r="BO217" s="64"/>
      <c r="BP217" s="64"/>
    </row>
    <row r="218" ht="18.75" customHeight="1">
      <c r="H218" s="64"/>
      <c r="J218" s="64"/>
      <c r="K218" s="64"/>
      <c r="M218" s="64"/>
      <c r="N218" s="64"/>
      <c r="O218" s="64"/>
      <c r="P218" s="64"/>
      <c r="Q218" s="64"/>
      <c r="R218" s="64"/>
      <c r="S218" s="64"/>
      <c r="T218" s="64"/>
      <c r="U218" s="64"/>
      <c r="V218" s="64"/>
      <c r="W218" s="64"/>
      <c r="BF218" s="64"/>
      <c r="BG218" s="64"/>
      <c r="BH218" s="64"/>
      <c r="BI218" s="64"/>
      <c r="BJ218" s="64"/>
      <c r="BK218" s="64"/>
      <c r="BL218" s="64"/>
      <c r="BM218" s="64"/>
      <c r="BN218" s="64"/>
      <c r="BO218" s="64"/>
      <c r="BP218" s="64"/>
    </row>
    <row r="219" ht="18.75" customHeight="1">
      <c r="H219" s="64"/>
      <c r="J219" s="64"/>
      <c r="K219" s="64"/>
      <c r="M219" s="64"/>
      <c r="N219" s="64"/>
      <c r="O219" s="64"/>
      <c r="P219" s="64"/>
      <c r="Q219" s="64"/>
      <c r="R219" s="64"/>
      <c r="S219" s="64"/>
      <c r="T219" s="64"/>
      <c r="U219" s="64"/>
      <c r="V219" s="64"/>
      <c r="W219" s="64"/>
      <c r="BF219" s="64"/>
      <c r="BG219" s="64"/>
      <c r="BH219" s="64"/>
      <c r="BI219" s="64"/>
      <c r="BJ219" s="64"/>
      <c r="BK219" s="64"/>
      <c r="BL219" s="64"/>
      <c r="BM219" s="64"/>
      <c r="BN219" s="64"/>
      <c r="BO219" s="64"/>
      <c r="BP219" s="64"/>
    </row>
    <row r="220" ht="18.75" customHeight="1">
      <c r="H220" s="64"/>
      <c r="J220" s="64"/>
      <c r="K220" s="64"/>
      <c r="M220" s="64"/>
      <c r="N220" s="64"/>
      <c r="O220" s="64"/>
      <c r="P220" s="64"/>
      <c r="Q220" s="64"/>
      <c r="R220" s="64"/>
      <c r="S220" s="64"/>
      <c r="T220" s="64"/>
      <c r="U220" s="64"/>
      <c r="V220" s="64"/>
      <c r="W220" s="64"/>
      <c r="BF220" s="64"/>
      <c r="BG220" s="64"/>
      <c r="BH220" s="64"/>
      <c r="BI220" s="64"/>
      <c r="BJ220" s="64"/>
      <c r="BK220" s="64"/>
      <c r="BL220" s="64"/>
      <c r="BM220" s="64"/>
      <c r="BN220" s="64"/>
      <c r="BO220" s="64"/>
      <c r="BP220" s="64"/>
    </row>
    <row r="221" ht="18.75" customHeight="1">
      <c r="H221" s="64"/>
      <c r="J221" s="64"/>
      <c r="K221" s="64"/>
      <c r="M221" s="64"/>
      <c r="N221" s="64"/>
      <c r="O221" s="64"/>
      <c r="P221" s="64"/>
      <c r="Q221" s="64"/>
      <c r="R221" s="64"/>
      <c r="S221" s="64"/>
      <c r="T221" s="64"/>
      <c r="U221" s="64"/>
      <c r="V221" s="64"/>
      <c r="W221" s="64"/>
      <c r="BF221" s="64"/>
      <c r="BG221" s="64"/>
      <c r="BH221" s="64"/>
      <c r="BI221" s="64"/>
      <c r="BJ221" s="64"/>
      <c r="BK221" s="64"/>
      <c r="BL221" s="64"/>
      <c r="BM221" s="64"/>
      <c r="BN221" s="64"/>
      <c r="BO221" s="64"/>
      <c r="BP221" s="64"/>
    </row>
    <row r="222" ht="18.75" customHeight="1">
      <c r="H222" s="64"/>
      <c r="J222" s="64"/>
      <c r="K222" s="64"/>
      <c r="M222" s="64"/>
      <c r="N222" s="64"/>
      <c r="O222" s="64"/>
      <c r="P222" s="64"/>
      <c r="Q222" s="64"/>
      <c r="R222" s="64"/>
      <c r="S222" s="64"/>
      <c r="T222" s="64"/>
      <c r="U222" s="64"/>
      <c r="V222" s="64"/>
      <c r="W222" s="64"/>
      <c r="BF222" s="64"/>
      <c r="BG222" s="64"/>
      <c r="BH222" s="64"/>
      <c r="BI222" s="64"/>
      <c r="BJ222" s="64"/>
      <c r="BK222" s="64"/>
      <c r="BL222" s="64"/>
      <c r="BM222" s="64"/>
      <c r="BN222" s="64"/>
      <c r="BO222" s="64"/>
      <c r="BP222" s="64"/>
    </row>
    <row r="223" ht="18.75" customHeight="1">
      <c r="H223" s="64"/>
      <c r="J223" s="64"/>
      <c r="K223" s="64"/>
      <c r="M223" s="64"/>
      <c r="N223" s="64"/>
      <c r="O223" s="64"/>
      <c r="P223" s="64"/>
      <c r="Q223" s="64"/>
      <c r="R223" s="64"/>
      <c r="S223" s="64"/>
      <c r="T223" s="64"/>
      <c r="U223" s="64"/>
      <c r="V223" s="64"/>
      <c r="W223" s="64"/>
      <c r="BF223" s="64"/>
      <c r="BG223" s="64"/>
      <c r="BH223" s="64"/>
      <c r="BI223" s="64"/>
      <c r="BJ223" s="64"/>
      <c r="BK223" s="64"/>
      <c r="BL223" s="64"/>
      <c r="BM223" s="64"/>
      <c r="BN223" s="64"/>
      <c r="BO223" s="64"/>
      <c r="BP223" s="64"/>
    </row>
    <row r="224" ht="18.75" customHeight="1">
      <c r="H224" s="64"/>
      <c r="J224" s="64"/>
      <c r="K224" s="64"/>
      <c r="M224" s="64"/>
      <c r="N224" s="64"/>
      <c r="O224" s="64"/>
      <c r="P224" s="64"/>
      <c r="Q224" s="64"/>
      <c r="R224" s="64"/>
      <c r="S224" s="64"/>
      <c r="T224" s="64"/>
      <c r="U224" s="64"/>
      <c r="V224" s="64"/>
      <c r="W224" s="64"/>
      <c r="BF224" s="64"/>
      <c r="BG224" s="64"/>
      <c r="BH224" s="64"/>
      <c r="BI224" s="64"/>
      <c r="BJ224" s="64"/>
      <c r="BK224" s="64"/>
      <c r="BL224" s="64"/>
      <c r="BM224" s="64"/>
      <c r="BN224" s="64"/>
      <c r="BO224" s="64"/>
      <c r="BP224" s="64"/>
    </row>
    <row r="225" ht="18.75" customHeight="1">
      <c r="H225" s="64"/>
      <c r="J225" s="64"/>
      <c r="K225" s="64"/>
      <c r="M225" s="64"/>
      <c r="N225" s="64"/>
      <c r="O225" s="64"/>
      <c r="P225" s="64"/>
      <c r="Q225" s="64"/>
      <c r="R225" s="64"/>
      <c r="S225" s="64"/>
      <c r="T225" s="64"/>
      <c r="U225" s="64"/>
      <c r="V225" s="64"/>
      <c r="W225" s="64"/>
      <c r="BF225" s="64"/>
      <c r="BG225" s="64"/>
      <c r="BH225" s="64"/>
      <c r="BI225" s="64"/>
      <c r="BJ225" s="64"/>
      <c r="BK225" s="64"/>
      <c r="BL225" s="64"/>
      <c r="BM225" s="64"/>
      <c r="BN225" s="64"/>
      <c r="BO225" s="64"/>
      <c r="BP225" s="64"/>
    </row>
    <row r="226" ht="18.75" customHeight="1">
      <c r="H226" s="64"/>
      <c r="J226" s="64"/>
      <c r="K226" s="64"/>
      <c r="M226" s="64"/>
      <c r="N226" s="64"/>
      <c r="O226" s="64"/>
      <c r="P226" s="64"/>
      <c r="Q226" s="64"/>
      <c r="R226" s="64"/>
      <c r="S226" s="64"/>
      <c r="T226" s="64"/>
      <c r="U226" s="64"/>
      <c r="V226" s="64"/>
      <c r="W226" s="64"/>
      <c r="BF226" s="64"/>
      <c r="BG226" s="64"/>
      <c r="BH226" s="64"/>
      <c r="BI226" s="64"/>
      <c r="BJ226" s="64"/>
      <c r="BK226" s="64"/>
      <c r="BL226" s="64"/>
      <c r="BM226" s="64"/>
      <c r="BN226" s="64"/>
      <c r="BO226" s="64"/>
      <c r="BP226" s="64"/>
    </row>
    <row r="227" ht="18.75" customHeight="1">
      <c r="H227" s="64"/>
      <c r="J227" s="64"/>
      <c r="K227" s="64"/>
      <c r="M227" s="64"/>
      <c r="N227" s="64"/>
      <c r="O227" s="64"/>
      <c r="P227" s="64"/>
      <c r="Q227" s="64"/>
      <c r="R227" s="64"/>
      <c r="S227" s="64"/>
      <c r="T227" s="64"/>
      <c r="U227" s="64"/>
      <c r="V227" s="64"/>
      <c r="W227" s="64"/>
      <c r="BF227" s="64"/>
      <c r="BG227" s="64"/>
      <c r="BH227" s="64"/>
      <c r="BI227" s="64"/>
      <c r="BJ227" s="64"/>
      <c r="BK227" s="64"/>
      <c r="BL227" s="64"/>
      <c r="BM227" s="64"/>
      <c r="BN227" s="64"/>
      <c r="BO227" s="64"/>
      <c r="BP227" s="64"/>
    </row>
    <row r="228" ht="18.75" customHeight="1">
      <c r="H228" s="64"/>
      <c r="J228" s="64"/>
      <c r="K228" s="64"/>
      <c r="M228" s="64"/>
      <c r="N228" s="64"/>
      <c r="O228" s="64"/>
      <c r="P228" s="64"/>
      <c r="Q228" s="64"/>
      <c r="R228" s="64"/>
      <c r="S228" s="64"/>
      <c r="T228" s="64"/>
      <c r="U228" s="64"/>
      <c r="V228" s="64"/>
      <c r="W228" s="64"/>
      <c r="BF228" s="64"/>
      <c r="BG228" s="64"/>
      <c r="BH228" s="64"/>
      <c r="BI228" s="64"/>
      <c r="BJ228" s="64"/>
      <c r="BK228" s="64"/>
      <c r="BL228" s="64"/>
      <c r="BM228" s="64"/>
      <c r="BN228" s="64"/>
      <c r="BO228" s="64"/>
      <c r="BP228" s="64"/>
    </row>
    <row r="229" ht="18.75" customHeight="1">
      <c r="H229" s="64"/>
      <c r="J229" s="64"/>
      <c r="K229" s="64"/>
      <c r="M229" s="64"/>
      <c r="N229" s="64"/>
      <c r="O229" s="64"/>
      <c r="P229" s="64"/>
      <c r="Q229" s="64"/>
      <c r="R229" s="64"/>
      <c r="S229" s="64"/>
      <c r="T229" s="64"/>
      <c r="U229" s="64"/>
      <c r="V229" s="64"/>
      <c r="W229" s="64"/>
      <c r="BF229" s="64"/>
      <c r="BG229" s="64"/>
      <c r="BH229" s="64"/>
      <c r="BI229" s="64"/>
      <c r="BJ229" s="64"/>
      <c r="BK229" s="64"/>
      <c r="BL229" s="64"/>
      <c r="BM229" s="64"/>
      <c r="BN229" s="64"/>
      <c r="BO229" s="64"/>
      <c r="BP229" s="64"/>
    </row>
    <row r="230" ht="18.75" customHeight="1">
      <c r="H230" s="64"/>
      <c r="J230" s="64"/>
      <c r="K230" s="64"/>
      <c r="M230" s="64"/>
      <c r="N230" s="64"/>
      <c r="O230" s="64"/>
      <c r="P230" s="64"/>
      <c r="Q230" s="64"/>
      <c r="R230" s="64"/>
      <c r="S230" s="64"/>
      <c r="T230" s="64"/>
      <c r="U230" s="64"/>
      <c r="V230" s="64"/>
      <c r="W230" s="64"/>
      <c r="BF230" s="64"/>
      <c r="BG230" s="64"/>
      <c r="BH230" s="64"/>
      <c r="BI230" s="64"/>
      <c r="BJ230" s="64"/>
      <c r="BK230" s="64"/>
      <c r="BL230" s="64"/>
      <c r="BM230" s="64"/>
      <c r="BN230" s="64"/>
      <c r="BO230" s="64"/>
      <c r="BP230" s="64"/>
    </row>
    <row r="231" ht="18.75" customHeight="1">
      <c r="H231" s="64"/>
      <c r="J231" s="64"/>
      <c r="K231" s="64"/>
      <c r="M231" s="64"/>
      <c r="N231" s="64"/>
      <c r="O231" s="64"/>
      <c r="P231" s="64"/>
      <c r="Q231" s="64"/>
      <c r="R231" s="64"/>
      <c r="S231" s="64"/>
      <c r="T231" s="64"/>
      <c r="U231" s="64"/>
      <c r="V231" s="64"/>
      <c r="W231" s="64"/>
      <c r="BF231" s="64"/>
      <c r="BG231" s="64"/>
      <c r="BH231" s="64"/>
      <c r="BI231" s="64"/>
      <c r="BJ231" s="64"/>
      <c r="BK231" s="64"/>
      <c r="BL231" s="64"/>
      <c r="BM231" s="64"/>
      <c r="BN231" s="64"/>
      <c r="BO231" s="64"/>
      <c r="BP231" s="64"/>
    </row>
    <row r="232" ht="18.75" customHeight="1">
      <c r="H232" s="64"/>
      <c r="J232" s="64"/>
      <c r="K232" s="64"/>
      <c r="M232" s="64"/>
      <c r="N232" s="64"/>
      <c r="O232" s="64"/>
      <c r="P232" s="64"/>
      <c r="Q232" s="64"/>
      <c r="R232" s="64"/>
      <c r="S232" s="64"/>
      <c r="T232" s="64"/>
      <c r="U232" s="64"/>
      <c r="V232" s="64"/>
      <c r="W232" s="64"/>
      <c r="BF232" s="64"/>
      <c r="BG232" s="64"/>
      <c r="BH232" s="64"/>
      <c r="BI232" s="64"/>
      <c r="BJ232" s="64"/>
      <c r="BK232" s="64"/>
      <c r="BL232" s="64"/>
      <c r="BM232" s="64"/>
      <c r="BN232" s="64"/>
      <c r="BO232" s="64"/>
      <c r="BP232" s="64"/>
    </row>
    <row r="233" ht="18.75" customHeight="1">
      <c r="H233" s="64"/>
      <c r="J233" s="64"/>
      <c r="K233" s="64"/>
      <c r="M233" s="64"/>
      <c r="N233" s="64"/>
      <c r="O233" s="64"/>
      <c r="P233" s="64"/>
      <c r="Q233" s="64"/>
      <c r="R233" s="64"/>
      <c r="S233" s="64"/>
      <c r="T233" s="64"/>
      <c r="U233" s="64"/>
      <c r="V233" s="64"/>
      <c r="W233" s="64"/>
      <c r="BF233" s="64"/>
      <c r="BG233" s="64"/>
      <c r="BH233" s="64"/>
      <c r="BI233" s="64"/>
      <c r="BJ233" s="64"/>
      <c r="BK233" s="64"/>
      <c r="BL233" s="64"/>
      <c r="BM233" s="64"/>
      <c r="BN233" s="64"/>
      <c r="BO233" s="64"/>
      <c r="BP233" s="64"/>
    </row>
    <row r="234" ht="18.75" customHeight="1">
      <c r="H234" s="64"/>
      <c r="J234" s="64"/>
      <c r="K234" s="64"/>
      <c r="M234" s="64"/>
      <c r="N234" s="64"/>
      <c r="O234" s="64"/>
      <c r="P234" s="64"/>
      <c r="Q234" s="64"/>
      <c r="R234" s="64"/>
      <c r="S234" s="64"/>
      <c r="T234" s="64"/>
      <c r="U234" s="64"/>
      <c r="V234" s="64"/>
      <c r="W234" s="64"/>
      <c r="BF234" s="64"/>
      <c r="BG234" s="64"/>
      <c r="BH234" s="64"/>
      <c r="BI234" s="64"/>
      <c r="BJ234" s="64"/>
      <c r="BK234" s="64"/>
      <c r="BL234" s="64"/>
      <c r="BM234" s="64"/>
      <c r="BN234" s="64"/>
      <c r="BO234" s="64"/>
      <c r="BP234" s="64"/>
    </row>
    <row r="235" ht="18.75" customHeight="1">
      <c r="H235" s="64"/>
      <c r="J235" s="64"/>
      <c r="K235" s="64"/>
      <c r="M235" s="64"/>
      <c r="N235" s="64"/>
      <c r="O235" s="64"/>
      <c r="P235" s="64"/>
      <c r="Q235" s="64"/>
      <c r="R235" s="64"/>
      <c r="S235" s="64"/>
      <c r="T235" s="64"/>
      <c r="U235" s="64"/>
      <c r="V235" s="64"/>
      <c r="W235" s="64"/>
      <c r="BF235" s="64"/>
      <c r="BG235" s="64"/>
      <c r="BH235" s="64"/>
      <c r="BI235" s="64"/>
      <c r="BJ235" s="64"/>
      <c r="BK235" s="64"/>
      <c r="BL235" s="64"/>
      <c r="BM235" s="64"/>
      <c r="BN235" s="64"/>
      <c r="BO235" s="64"/>
      <c r="BP235" s="64"/>
    </row>
    <row r="236" ht="18.75" customHeight="1">
      <c r="H236" s="64"/>
      <c r="J236" s="64"/>
      <c r="K236" s="64"/>
      <c r="M236" s="64"/>
      <c r="N236" s="64"/>
      <c r="O236" s="64"/>
      <c r="P236" s="64"/>
      <c r="Q236" s="64"/>
      <c r="R236" s="64"/>
      <c r="S236" s="64"/>
      <c r="T236" s="64"/>
      <c r="U236" s="64"/>
      <c r="V236" s="64"/>
      <c r="W236" s="64"/>
      <c r="BF236" s="64"/>
      <c r="BG236" s="64"/>
      <c r="BH236" s="64"/>
      <c r="BI236" s="64"/>
      <c r="BJ236" s="64"/>
      <c r="BK236" s="64"/>
      <c r="BL236" s="64"/>
      <c r="BM236" s="64"/>
      <c r="BN236" s="64"/>
      <c r="BO236" s="64"/>
      <c r="BP236" s="64"/>
    </row>
    <row r="237" ht="18.75" customHeight="1">
      <c r="H237" s="64"/>
      <c r="J237" s="64"/>
      <c r="K237" s="64"/>
      <c r="M237" s="64"/>
      <c r="N237" s="64"/>
      <c r="O237" s="64"/>
      <c r="P237" s="64"/>
      <c r="Q237" s="64"/>
      <c r="R237" s="64"/>
      <c r="S237" s="64"/>
      <c r="T237" s="64"/>
      <c r="U237" s="64"/>
      <c r="V237" s="64"/>
      <c r="W237" s="64"/>
      <c r="BF237" s="64"/>
      <c r="BG237" s="64"/>
      <c r="BH237" s="64"/>
      <c r="BI237" s="64"/>
      <c r="BJ237" s="64"/>
      <c r="BK237" s="64"/>
      <c r="BL237" s="64"/>
      <c r="BM237" s="64"/>
      <c r="BN237" s="64"/>
      <c r="BO237" s="64"/>
      <c r="BP237" s="64"/>
    </row>
    <row r="238" ht="18.75" customHeight="1">
      <c r="H238" s="64"/>
      <c r="J238" s="64"/>
      <c r="K238" s="64"/>
      <c r="M238" s="64"/>
      <c r="N238" s="64"/>
      <c r="O238" s="64"/>
      <c r="P238" s="64"/>
      <c r="Q238" s="64"/>
      <c r="R238" s="64"/>
      <c r="S238" s="64"/>
      <c r="T238" s="64"/>
      <c r="U238" s="64"/>
      <c r="V238" s="64"/>
      <c r="W238" s="64"/>
      <c r="BF238" s="64"/>
      <c r="BG238" s="64"/>
      <c r="BH238" s="64"/>
      <c r="BI238" s="64"/>
      <c r="BJ238" s="64"/>
      <c r="BK238" s="64"/>
      <c r="BL238" s="64"/>
      <c r="BM238" s="64"/>
      <c r="BN238" s="64"/>
      <c r="BO238" s="64"/>
      <c r="BP238" s="64"/>
    </row>
    <row r="239" ht="18.75" customHeight="1">
      <c r="H239" s="64"/>
      <c r="J239" s="64"/>
      <c r="K239" s="64"/>
      <c r="M239" s="64"/>
      <c r="N239" s="64"/>
      <c r="O239" s="64"/>
      <c r="P239" s="64"/>
      <c r="Q239" s="64"/>
      <c r="R239" s="64"/>
      <c r="S239" s="64"/>
      <c r="T239" s="64"/>
      <c r="U239" s="64"/>
      <c r="V239" s="64"/>
      <c r="W239" s="64"/>
      <c r="BF239" s="64"/>
      <c r="BG239" s="64"/>
      <c r="BH239" s="64"/>
      <c r="BI239" s="64"/>
      <c r="BJ239" s="64"/>
      <c r="BK239" s="64"/>
      <c r="BL239" s="64"/>
      <c r="BM239" s="64"/>
      <c r="BN239" s="64"/>
      <c r="BO239" s="64"/>
      <c r="BP239" s="64"/>
    </row>
    <row r="240" ht="18.75" customHeight="1">
      <c r="H240" s="64"/>
      <c r="J240" s="64"/>
      <c r="K240" s="64"/>
      <c r="M240" s="64"/>
      <c r="N240" s="64"/>
      <c r="O240" s="64"/>
      <c r="P240" s="64"/>
      <c r="Q240" s="64"/>
      <c r="R240" s="64"/>
      <c r="S240" s="64"/>
      <c r="T240" s="64"/>
      <c r="U240" s="64"/>
      <c r="V240" s="64"/>
      <c r="W240" s="64"/>
      <c r="BF240" s="64"/>
      <c r="BG240" s="64"/>
      <c r="BH240" s="64"/>
      <c r="BI240" s="64"/>
      <c r="BJ240" s="64"/>
      <c r="BK240" s="64"/>
      <c r="BL240" s="64"/>
      <c r="BM240" s="64"/>
      <c r="BN240" s="64"/>
      <c r="BO240" s="64"/>
      <c r="BP240" s="64"/>
    </row>
    <row r="241" ht="18.75" customHeight="1">
      <c r="H241" s="64"/>
      <c r="J241" s="64"/>
      <c r="K241" s="64"/>
      <c r="M241" s="64"/>
      <c r="N241" s="64"/>
      <c r="O241" s="64"/>
      <c r="P241" s="64"/>
      <c r="Q241" s="64"/>
      <c r="R241" s="64"/>
      <c r="S241" s="64"/>
      <c r="T241" s="64"/>
      <c r="U241" s="64"/>
      <c r="V241" s="64"/>
      <c r="W241" s="64"/>
      <c r="BF241" s="64"/>
      <c r="BG241" s="64"/>
      <c r="BH241" s="64"/>
      <c r="BI241" s="64"/>
      <c r="BJ241" s="64"/>
      <c r="BK241" s="64"/>
      <c r="BL241" s="64"/>
      <c r="BM241" s="64"/>
      <c r="BN241" s="64"/>
      <c r="BO241" s="64"/>
      <c r="BP241" s="64"/>
    </row>
    <row r="242" ht="18.75" customHeight="1">
      <c r="H242" s="64"/>
      <c r="J242" s="64"/>
      <c r="K242" s="64"/>
      <c r="M242" s="64"/>
      <c r="N242" s="64"/>
      <c r="O242" s="64"/>
      <c r="P242" s="64"/>
      <c r="Q242" s="64"/>
      <c r="R242" s="64"/>
      <c r="S242" s="64"/>
      <c r="T242" s="64"/>
      <c r="U242" s="64"/>
      <c r="V242" s="64"/>
      <c r="W242" s="64"/>
      <c r="BF242" s="64"/>
      <c r="BG242" s="64"/>
      <c r="BH242" s="64"/>
      <c r="BI242" s="64"/>
      <c r="BJ242" s="64"/>
      <c r="BK242" s="64"/>
      <c r="BL242" s="64"/>
      <c r="BM242" s="64"/>
      <c r="BN242" s="64"/>
      <c r="BO242" s="64"/>
      <c r="BP242" s="64"/>
    </row>
    <row r="243" ht="18.75" customHeight="1">
      <c r="H243" s="64"/>
      <c r="J243" s="64"/>
      <c r="K243" s="64"/>
      <c r="M243" s="64"/>
      <c r="N243" s="64"/>
      <c r="O243" s="64"/>
      <c r="P243" s="64"/>
      <c r="Q243" s="64"/>
      <c r="R243" s="64"/>
      <c r="S243" s="64"/>
      <c r="T243" s="64"/>
      <c r="U243" s="64"/>
      <c r="V243" s="64"/>
      <c r="W243" s="64"/>
      <c r="BF243" s="64"/>
      <c r="BG243" s="64"/>
      <c r="BH243" s="64"/>
      <c r="BI243" s="64"/>
      <c r="BJ243" s="64"/>
      <c r="BK243" s="64"/>
      <c r="BL243" s="64"/>
      <c r="BM243" s="64"/>
      <c r="BN243" s="64"/>
      <c r="BO243" s="64"/>
      <c r="BP243" s="64"/>
    </row>
    <row r="244" ht="18.75" customHeight="1">
      <c r="H244" s="64"/>
      <c r="J244" s="64"/>
      <c r="K244" s="64"/>
      <c r="M244" s="64"/>
      <c r="N244" s="64"/>
      <c r="O244" s="64"/>
      <c r="P244" s="64"/>
      <c r="Q244" s="64"/>
      <c r="R244" s="64"/>
      <c r="S244" s="64"/>
      <c r="T244" s="64"/>
      <c r="U244" s="64"/>
      <c r="V244" s="64"/>
      <c r="W244" s="64"/>
      <c r="BF244" s="64"/>
      <c r="BG244" s="64"/>
      <c r="BH244" s="64"/>
      <c r="BI244" s="64"/>
      <c r="BJ244" s="64"/>
      <c r="BK244" s="64"/>
      <c r="BL244" s="64"/>
      <c r="BM244" s="64"/>
      <c r="BN244" s="64"/>
      <c r="BO244" s="64"/>
      <c r="BP244" s="64"/>
    </row>
    <row r="245" ht="18.75" customHeight="1">
      <c r="H245" s="64"/>
      <c r="J245" s="64"/>
      <c r="K245" s="64"/>
      <c r="M245" s="64"/>
      <c r="N245" s="64"/>
      <c r="O245" s="64"/>
      <c r="P245" s="64"/>
      <c r="Q245" s="64"/>
      <c r="R245" s="64"/>
      <c r="S245" s="64"/>
      <c r="T245" s="64"/>
      <c r="U245" s="64"/>
      <c r="V245" s="64"/>
      <c r="W245" s="64"/>
      <c r="BF245" s="64"/>
      <c r="BG245" s="64"/>
      <c r="BH245" s="64"/>
      <c r="BI245" s="64"/>
      <c r="BJ245" s="64"/>
      <c r="BK245" s="64"/>
      <c r="BL245" s="64"/>
      <c r="BM245" s="64"/>
      <c r="BN245" s="64"/>
      <c r="BO245" s="64"/>
      <c r="BP245" s="64"/>
    </row>
    <row r="246" ht="18.75" customHeight="1">
      <c r="H246" s="64"/>
      <c r="J246" s="64"/>
      <c r="K246" s="64"/>
      <c r="M246" s="64"/>
      <c r="N246" s="64"/>
      <c r="O246" s="64"/>
      <c r="P246" s="64"/>
      <c r="Q246" s="64"/>
      <c r="R246" s="64"/>
      <c r="S246" s="64"/>
      <c r="T246" s="64"/>
      <c r="U246" s="64"/>
      <c r="V246" s="64"/>
      <c r="W246" s="64"/>
      <c r="BF246" s="64"/>
      <c r="BG246" s="64"/>
      <c r="BH246" s="64"/>
      <c r="BI246" s="64"/>
      <c r="BJ246" s="64"/>
      <c r="BK246" s="64"/>
      <c r="BL246" s="64"/>
      <c r="BM246" s="64"/>
      <c r="BN246" s="64"/>
      <c r="BO246" s="64"/>
      <c r="BP246" s="64"/>
    </row>
    <row r="247" ht="18.75" customHeight="1">
      <c r="H247" s="64"/>
      <c r="J247" s="64"/>
      <c r="K247" s="64"/>
      <c r="M247" s="64"/>
      <c r="N247" s="64"/>
      <c r="O247" s="64"/>
      <c r="P247" s="64"/>
      <c r="Q247" s="64"/>
      <c r="R247" s="64"/>
      <c r="S247" s="64"/>
      <c r="T247" s="64"/>
      <c r="U247" s="64"/>
      <c r="V247" s="64"/>
      <c r="W247" s="64"/>
      <c r="BF247" s="64"/>
      <c r="BG247" s="64"/>
      <c r="BH247" s="64"/>
      <c r="BI247" s="64"/>
      <c r="BJ247" s="64"/>
      <c r="BK247" s="64"/>
      <c r="BL247" s="64"/>
      <c r="BM247" s="64"/>
      <c r="BN247" s="64"/>
      <c r="BO247" s="64"/>
      <c r="BP247" s="64"/>
    </row>
    <row r="248" ht="18.75" customHeight="1">
      <c r="H248" s="64"/>
      <c r="J248" s="64"/>
      <c r="K248" s="64"/>
      <c r="M248" s="64"/>
      <c r="N248" s="64"/>
      <c r="O248" s="64"/>
      <c r="P248" s="64"/>
      <c r="Q248" s="64"/>
      <c r="R248" s="64"/>
      <c r="S248" s="64"/>
      <c r="T248" s="64"/>
      <c r="U248" s="64"/>
      <c r="V248" s="64"/>
      <c r="W248" s="64"/>
      <c r="BF248" s="64"/>
      <c r="BG248" s="64"/>
      <c r="BH248" s="64"/>
      <c r="BI248" s="64"/>
      <c r="BJ248" s="64"/>
      <c r="BK248" s="64"/>
      <c r="BL248" s="64"/>
      <c r="BM248" s="64"/>
      <c r="BN248" s="64"/>
      <c r="BO248" s="64"/>
      <c r="BP248" s="64"/>
    </row>
    <row r="249" ht="18.75" customHeight="1">
      <c r="H249" s="64"/>
      <c r="J249" s="64"/>
      <c r="K249" s="64"/>
      <c r="M249" s="64"/>
      <c r="N249" s="64"/>
      <c r="O249" s="64"/>
      <c r="P249" s="64"/>
      <c r="Q249" s="64"/>
      <c r="R249" s="64"/>
      <c r="S249" s="64"/>
      <c r="T249" s="64"/>
      <c r="U249" s="64"/>
      <c r="V249" s="64"/>
      <c r="W249" s="64"/>
      <c r="BF249" s="64"/>
      <c r="BG249" s="64"/>
      <c r="BH249" s="64"/>
      <c r="BI249" s="64"/>
      <c r="BJ249" s="64"/>
      <c r="BK249" s="64"/>
      <c r="BL249" s="64"/>
      <c r="BM249" s="64"/>
      <c r="BN249" s="64"/>
      <c r="BO249" s="64"/>
      <c r="BP249" s="64"/>
    </row>
    <row r="250" ht="18.75" customHeight="1">
      <c r="H250" s="64"/>
      <c r="J250" s="64"/>
      <c r="K250" s="64"/>
      <c r="M250" s="64"/>
      <c r="N250" s="64"/>
      <c r="O250" s="64"/>
      <c r="P250" s="64"/>
      <c r="Q250" s="64"/>
      <c r="R250" s="64"/>
      <c r="S250" s="64"/>
      <c r="T250" s="64"/>
      <c r="U250" s="64"/>
      <c r="V250" s="64"/>
      <c r="W250" s="64"/>
      <c r="BF250" s="64"/>
      <c r="BG250" s="64"/>
      <c r="BH250" s="64"/>
      <c r="BI250" s="64"/>
      <c r="BJ250" s="64"/>
      <c r="BK250" s="64"/>
      <c r="BL250" s="64"/>
      <c r="BM250" s="64"/>
      <c r="BN250" s="64"/>
      <c r="BO250" s="64"/>
      <c r="BP250" s="64"/>
    </row>
    <row r="251" ht="18.75" customHeight="1">
      <c r="H251" s="64"/>
      <c r="J251" s="64"/>
      <c r="K251" s="64"/>
      <c r="M251" s="64"/>
      <c r="N251" s="64"/>
      <c r="O251" s="64"/>
      <c r="P251" s="64"/>
      <c r="Q251" s="64"/>
      <c r="R251" s="64"/>
      <c r="S251" s="64"/>
      <c r="T251" s="64"/>
      <c r="U251" s="64"/>
      <c r="V251" s="64"/>
      <c r="W251" s="64"/>
      <c r="BF251" s="64"/>
      <c r="BG251" s="64"/>
      <c r="BH251" s="64"/>
      <c r="BI251" s="64"/>
      <c r="BJ251" s="64"/>
      <c r="BK251" s="64"/>
      <c r="BL251" s="64"/>
      <c r="BM251" s="64"/>
      <c r="BN251" s="64"/>
      <c r="BO251" s="64"/>
      <c r="BP251" s="64"/>
    </row>
    <row r="252" ht="18.75" customHeight="1">
      <c r="H252" s="64"/>
      <c r="J252" s="64"/>
      <c r="K252" s="64"/>
      <c r="M252" s="64"/>
      <c r="N252" s="64"/>
      <c r="O252" s="64"/>
      <c r="P252" s="64"/>
      <c r="Q252" s="64"/>
      <c r="R252" s="64"/>
      <c r="S252" s="64"/>
      <c r="T252" s="64"/>
      <c r="U252" s="64"/>
      <c r="V252" s="64"/>
      <c r="W252" s="64"/>
      <c r="BF252" s="64"/>
      <c r="BG252" s="64"/>
      <c r="BH252" s="64"/>
      <c r="BI252" s="64"/>
      <c r="BJ252" s="64"/>
      <c r="BK252" s="64"/>
      <c r="BL252" s="64"/>
      <c r="BM252" s="64"/>
      <c r="BN252" s="64"/>
      <c r="BO252" s="64"/>
      <c r="BP252" s="64"/>
    </row>
    <row r="253" ht="18.75" customHeight="1">
      <c r="H253" s="64"/>
      <c r="J253" s="64"/>
      <c r="K253" s="64"/>
      <c r="M253" s="64"/>
      <c r="N253" s="64"/>
      <c r="O253" s="64"/>
      <c r="P253" s="64"/>
      <c r="Q253" s="64"/>
      <c r="R253" s="64"/>
      <c r="S253" s="64"/>
      <c r="T253" s="64"/>
      <c r="U253" s="64"/>
      <c r="V253" s="64"/>
      <c r="W253" s="64"/>
      <c r="BF253" s="64"/>
      <c r="BG253" s="64"/>
      <c r="BH253" s="64"/>
      <c r="BI253" s="64"/>
      <c r="BJ253" s="64"/>
      <c r="BK253" s="64"/>
      <c r="BL253" s="64"/>
      <c r="BM253" s="64"/>
      <c r="BN253" s="64"/>
      <c r="BO253" s="64"/>
      <c r="BP253" s="64"/>
    </row>
    <row r="254" ht="18.75" customHeight="1">
      <c r="H254" s="64"/>
      <c r="J254" s="64"/>
      <c r="K254" s="64"/>
      <c r="M254" s="64"/>
      <c r="N254" s="64"/>
      <c r="O254" s="64"/>
      <c r="P254" s="64"/>
      <c r="Q254" s="64"/>
      <c r="R254" s="64"/>
      <c r="S254" s="64"/>
      <c r="T254" s="64"/>
      <c r="U254" s="64"/>
      <c r="V254" s="64"/>
      <c r="W254" s="64"/>
      <c r="BF254" s="64"/>
      <c r="BG254" s="64"/>
      <c r="BH254" s="64"/>
      <c r="BI254" s="64"/>
      <c r="BJ254" s="64"/>
      <c r="BK254" s="64"/>
      <c r="BL254" s="64"/>
      <c r="BM254" s="64"/>
      <c r="BN254" s="64"/>
      <c r="BO254" s="64"/>
      <c r="BP254" s="64"/>
    </row>
    <row r="255" ht="18.75" customHeight="1">
      <c r="H255" s="64"/>
      <c r="J255" s="64"/>
      <c r="K255" s="64"/>
      <c r="M255" s="64"/>
      <c r="N255" s="64"/>
      <c r="O255" s="64"/>
      <c r="P255" s="64"/>
      <c r="Q255" s="64"/>
      <c r="R255" s="64"/>
      <c r="S255" s="64"/>
      <c r="T255" s="64"/>
      <c r="U255" s="64"/>
      <c r="V255" s="64"/>
      <c r="W255" s="64"/>
      <c r="BF255" s="64"/>
      <c r="BG255" s="64"/>
      <c r="BH255" s="64"/>
      <c r="BI255" s="64"/>
      <c r="BJ255" s="64"/>
      <c r="BK255" s="64"/>
      <c r="BL255" s="64"/>
      <c r="BM255" s="64"/>
      <c r="BN255" s="64"/>
      <c r="BO255" s="64"/>
      <c r="BP255" s="64"/>
    </row>
    <row r="256" ht="18.75" customHeight="1">
      <c r="H256" s="64"/>
      <c r="J256" s="64"/>
      <c r="K256" s="64"/>
      <c r="M256" s="64"/>
      <c r="N256" s="64"/>
      <c r="O256" s="64"/>
      <c r="P256" s="64"/>
      <c r="Q256" s="64"/>
      <c r="R256" s="64"/>
      <c r="S256" s="64"/>
      <c r="T256" s="64"/>
      <c r="U256" s="64"/>
      <c r="V256" s="64"/>
      <c r="W256" s="64"/>
      <c r="BF256" s="64"/>
      <c r="BG256" s="64"/>
      <c r="BH256" s="64"/>
      <c r="BI256" s="64"/>
      <c r="BJ256" s="64"/>
      <c r="BK256" s="64"/>
      <c r="BL256" s="64"/>
      <c r="BM256" s="64"/>
      <c r="BN256" s="64"/>
      <c r="BO256" s="64"/>
      <c r="BP256" s="64"/>
    </row>
    <row r="257" ht="18.75" customHeight="1">
      <c r="H257" s="64"/>
      <c r="J257" s="64"/>
      <c r="K257" s="64"/>
      <c r="M257" s="64"/>
      <c r="N257" s="64"/>
      <c r="O257" s="64"/>
      <c r="P257" s="64"/>
      <c r="Q257" s="64"/>
      <c r="R257" s="64"/>
      <c r="S257" s="64"/>
      <c r="T257" s="64"/>
      <c r="U257" s="64"/>
      <c r="V257" s="64"/>
      <c r="W257" s="64"/>
      <c r="BF257" s="64"/>
      <c r="BG257" s="64"/>
      <c r="BH257" s="64"/>
      <c r="BI257" s="64"/>
      <c r="BJ257" s="64"/>
      <c r="BK257" s="64"/>
      <c r="BL257" s="64"/>
      <c r="BM257" s="64"/>
      <c r="BN257" s="64"/>
      <c r="BO257" s="64"/>
      <c r="BP257" s="64"/>
    </row>
    <row r="258" ht="18.75" customHeight="1">
      <c r="H258" s="64"/>
      <c r="J258" s="64"/>
      <c r="K258" s="64"/>
      <c r="M258" s="64"/>
      <c r="N258" s="64"/>
      <c r="O258" s="64"/>
      <c r="P258" s="64"/>
      <c r="Q258" s="64"/>
      <c r="R258" s="64"/>
      <c r="S258" s="64"/>
      <c r="T258" s="64"/>
      <c r="U258" s="64"/>
      <c r="V258" s="64"/>
      <c r="W258" s="64"/>
      <c r="BF258" s="64"/>
      <c r="BG258" s="64"/>
      <c r="BH258" s="64"/>
      <c r="BI258" s="64"/>
      <c r="BJ258" s="64"/>
      <c r="BK258" s="64"/>
      <c r="BL258" s="64"/>
      <c r="BM258" s="64"/>
      <c r="BN258" s="64"/>
      <c r="BO258" s="64"/>
      <c r="BP258" s="64"/>
    </row>
    <row r="259" ht="18.75" customHeight="1">
      <c r="H259" s="64"/>
      <c r="J259" s="64"/>
      <c r="K259" s="64"/>
      <c r="M259" s="64"/>
      <c r="N259" s="64"/>
      <c r="O259" s="64"/>
      <c r="P259" s="64"/>
      <c r="Q259" s="64"/>
      <c r="R259" s="64"/>
      <c r="S259" s="64"/>
      <c r="T259" s="64"/>
      <c r="U259" s="64"/>
      <c r="V259" s="64"/>
      <c r="W259" s="64"/>
      <c r="BF259" s="64"/>
      <c r="BG259" s="64"/>
      <c r="BH259" s="64"/>
      <c r="BI259" s="64"/>
      <c r="BJ259" s="64"/>
      <c r="BK259" s="64"/>
      <c r="BL259" s="64"/>
      <c r="BM259" s="64"/>
      <c r="BN259" s="64"/>
      <c r="BO259" s="64"/>
      <c r="BP259" s="64"/>
    </row>
    <row r="260" ht="18.75" customHeight="1">
      <c r="H260" s="64"/>
      <c r="J260" s="64"/>
      <c r="K260" s="64"/>
      <c r="M260" s="64"/>
      <c r="N260" s="64"/>
      <c r="O260" s="64"/>
      <c r="P260" s="64"/>
      <c r="Q260" s="64"/>
      <c r="R260" s="64"/>
      <c r="S260" s="64"/>
      <c r="T260" s="64"/>
      <c r="U260" s="64"/>
      <c r="V260" s="64"/>
      <c r="W260" s="64"/>
      <c r="BF260" s="64"/>
      <c r="BG260" s="64"/>
      <c r="BH260" s="64"/>
      <c r="BI260" s="64"/>
      <c r="BJ260" s="64"/>
      <c r="BK260" s="64"/>
      <c r="BL260" s="64"/>
      <c r="BM260" s="64"/>
      <c r="BN260" s="64"/>
      <c r="BO260" s="64"/>
      <c r="BP260" s="64"/>
    </row>
    <row r="261" ht="18.75" customHeight="1">
      <c r="H261" s="64"/>
      <c r="J261" s="64"/>
      <c r="K261" s="64"/>
      <c r="M261" s="64"/>
      <c r="N261" s="64"/>
      <c r="O261" s="64"/>
      <c r="P261" s="64"/>
      <c r="Q261" s="64"/>
      <c r="R261" s="64"/>
      <c r="S261" s="64"/>
      <c r="T261" s="64"/>
      <c r="U261" s="64"/>
      <c r="V261" s="64"/>
      <c r="W261" s="64"/>
      <c r="BF261" s="64"/>
      <c r="BG261" s="64"/>
      <c r="BH261" s="64"/>
      <c r="BI261" s="64"/>
      <c r="BJ261" s="64"/>
      <c r="BK261" s="64"/>
      <c r="BL261" s="64"/>
      <c r="BM261" s="64"/>
      <c r="BN261" s="64"/>
      <c r="BO261" s="64"/>
      <c r="BP261" s="64"/>
    </row>
    <row r="262" ht="18.75" customHeight="1">
      <c r="H262" s="64"/>
      <c r="J262" s="64"/>
      <c r="K262" s="64"/>
      <c r="M262" s="64"/>
      <c r="N262" s="64"/>
      <c r="O262" s="64"/>
      <c r="P262" s="64"/>
      <c r="Q262" s="64"/>
      <c r="R262" s="64"/>
      <c r="S262" s="64"/>
      <c r="T262" s="64"/>
      <c r="U262" s="64"/>
      <c r="V262" s="64"/>
      <c r="W262" s="64"/>
      <c r="BF262" s="64"/>
      <c r="BG262" s="64"/>
      <c r="BH262" s="64"/>
      <c r="BI262" s="64"/>
      <c r="BJ262" s="64"/>
      <c r="BK262" s="64"/>
      <c r="BL262" s="64"/>
      <c r="BM262" s="64"/>
      <c r="BN262" s="64"/>
      <c r="BO262" s="64"/>
      <c r="BP262" s="64"/>
    </row>
    <row r="263" ht="18.75" customHeight="1">
      <c r="H263" s="64"/>
      <c r="J263" s="64"/>
      <c r="K263" s="64"/>
      <c r="M263" s="64"/>
      <c r="N263" s="64"/>
      <c r="O263" s="64"/>
      <c r="P263" s="64"/>
      <c r="Q263" s="64"/>
      <c r="R263" s="64"/>
      <c r="S263" s="64"/>
      <c r="T263" s="64"/>
      <c r="U263" s="64"/>
      <c r="V263" s="64"/>
      <c r="W263" s="64"/>
      <c r="BF263" s="64"/>
      <c r="BG263" s="64"/>
      <c r="BH263" s="64"/>
      <c r="BI263" s="64"/>
      <c r="BJ263" s="64"/>
      <c r="BK263" s="64"/>
      <c r="BL263" s="64"/>
      <c r="BM263" s="64"/>
      <c r="BN263" s="64"/>
      <c r="BO263" s="64"/>
      <c r="BP263" s="64"/>
    </row>
    <row r="264" ht="18.75" customHeight="1">
      <c r="H264" s="64"/>
      <c r="J264" s="64"/>
      <c r="K264" s="64"/>
      <c r="M264" s="64"/>
      <c r="N264" s="64"/>
      <c r="O264" s="64"/>
      <c r="P264" s="64"/>
      <c r="Q264" s="64"/>
      <c r="R264" s="64"/>
      <c r="S264" s="64"/>
      <c r="T264" s="64"/>
      <c r="U264" s="64"/>
      <c r="V264" s="64"/>
      <c r="W264" s="64"/>
      <c r="BF264" s="64"/>
      <c r="BG264" s="64"/>
      <c r="BH264" s="64"/>
      <c r="BI264" s="64"/>
      <c r="BJ264" s="64"/>
      <c r="BK264" s="64"/>
      <c r="BL264" s="64"/>
      <c r="BM264" s="64"/>
      <c r="BN264" s="64"/>
      <c r="BO264" s="64"/>
      <c r="BP264" s="64"/>
    </row>
    <row r="265" ht="18.75" customHeight="1">
      <c r="H265" s="64"/>
      <c r="J265" s="64"/>
      <c r="K265" s="64"/>
      <c r="M265" s="64"/>
      <c r="N265" s="64"/>
      <c r="O265" s="64"/>
      <c r="P265" s="64"/>
      <c r="Q265" s="64"/>
      <c r="R265" s="64"/>
      <c r="S265" s="64"/>
      <c r="T265" s="64"/>
      <c r="U265" s="64"/>
      <c r="V265" s="64"/>
      <c r="W265" s="64"/>
      <c r="BF265" s="64"/>
      <c r="BG265" s="64"/>
      <c r="BH265" s="64"/>
      <c r="BI265" s="64"/>
      <c r="BJ265" s="64"/>
      <c r="BK265" s="64"/>
      <c r="BL265" s="64"/>
      <c r="BM265" s="64"/>
      <c r="BN265" s="64"/>
      <c r="BO265" s="64"/>
      <c r="BP265" s="64"/>
    </row>
    <row r="266" ht="18.75" customHeight="1">
      <c r="H266" s="64"/>
      <c r="J266" s="64"/>
      <c r="K266" s="64"/>
      <c r="M266" s="64"/>
      <c r="N266" s="64"/>
      <c r="O266" s="64"/>
      <c r="P266" s="64"/>
      <c r="Q266" s="64"/>
      <c r="R266" s="64"/>
      <c r="S266" s="64"/>
      <c r="T266" s="64"/>
      <c r="U266" s="64"/>
      <c r="V266" s="64"/>
      <c r="W266" s="64"/>
      <c r="BF266" s="64"/>
      <c r="BG266" s="64"/>
      <c r="BH266" s="64"/>
      <c r="BI266" s="64"/>
      <c r="BJ266" s="64"/>
      <c r="BK266" s="64"/>
      <c r="BL266" s="64"/>
      <c r="BM266" s="64"/>
      <c r="BN266" s="64"/>
      <c r="BO266" s="64"/>
      <c r="BP266" s="64"/>
    </row>
    <row r="267" ht="18.75" customHeight="1">
      <c r="H267" s="64"/>
      <c r="J267" s="64"/>
      <c r="K267" s="64"/>
      <c r="M267" s="64"/>
      <c r="N267" s="64"/>
      <c r="O267" s="64"/>
      <c r="P267" s="64"/>
      <c r="Q267" s="64"/>
      <c r="R267" s="64"/>
      <c r="S267" s="64"/>
      <c r="T267" s="64"/>
      <c r="U267" s="64"/>
      <c r="V267" s="64"/>
      <c r="W267" s="64"/>
      <c r="BF267" s="64"/>
      <c r="BG267" s="64"/>
      <c r="BH267" s="64"/>
      <c r="BI267" s="64"/>
      <c r="BJ267" s="64"/>
      <c r="BK267" s="64"/>
      <c r="BL267" s="64"/>
      <c r="BM267" s="64"/>
      <c r="BN267" s="64"/>
      <c r="BO267" s="64"/>
      <c r="BP267" s="64"/>
    </row>
    <row r="268" ht="18.75" customHeight="1">
      <c r="H268" s="64"/>
      <c r="J268" s="64"/>
      <c r="K268" s="64"/>
      <c r="M268" s="64"/>
      <c r="N268" s="64"/>
      <c r="O268" s="64"/>
      <c r="P268" s="64"/>
      <c r="Q268" s="64"/>
      <c r="R268" s="64"/>
      <c r="S268" s="64"/>
      <c r="T268" s="64"/>
      <c r="U268" s="64"/>
      <c r="V268" s="64"/>
      <c r="W268" s="64"/>
      <c r="BF268" s="64"/>
      <c r="BG268" s="64"/>
      <c r="BH268" s="64"/>
      <c r="BI268" s="64"/>
      <c r="BJ268" s="64"/>
      <c r="BK268" s="64"/>
      <c r="BL268" s="64"/>
      <c r="BM268" s="64"/>
      <c r="BN268" s="64"/>
      <c r="BO268" s="64"/>
      <c r="BP268" s="64"/>
    </row>
    <row r="269" ht="18.75" customHeight="1">
      <c r="H269" s="64"/>
      <c r="J269" s="64"/>
      <c r="K269" s="64"/>
      <c r="M269" s="64"/>
      <c r="N269" s="64"/>
      <c r="O269" s="64"/>
      <c r="P269" s="64"/>
      <c r="Q269" s="64"/>
      <c r="R269" s="64"/>
      <c r="S269" s="64"/>
      <c r="T269" s="64"/>
      <c r="U269" s="64"/>
      <c r="V269" s="64"/>
      <c r="W269" s="64"/>
      <c r="BF269" s="64"/>
      <c r="BG269" s="64"/>
      <c r="BH269" s="64"/>
      <c r="BI269" s="64"/>
      <c r="BJ269" s="64"/>
      <c r="BK269" s="64"/>
      <c r="BL269" s="64"/>
      <c r="BM269" s="64"/>
      <c r="BN269" s="64"/>
      <c r="BO269" s="64"/>
      <c r="BP269" s="64"/>
    </row>
    <row r="270" ht="18.75" customHeight="1">
      <c r="H270" s="64"/>
      <c r="J270" s="64"/>
      <c r="K270" s="64"/>
      <c r="M270" s="64"/>
      <c r="N270" s="64"/>
      <c r="O270" s="64"/>
      <c r="P270" s="64"/>
      <c r="Q270" s="64"/>
      <c r="R270" s="64"/>
      <c r="S270" s="64"/>
      <c r="T270" s="64"/>
      <c r="U270" s="64"/>
      <c r="V270" s="64"/>
      <c r="W270" s="64"/>
      <c r="BF270" s="64"/>
      <c r="BG270" s="64"/>
      <c r="BH270" s="64"/>
      <c r="BI270" s="64"/>
      <c r="BJ270" s="64"/>
      <c r="BK270" s="64"/>
      <c r="BL270" s="64"/>
      <c r="BM270" s="64"/>
      <c r="BN270" s="64"/>
      <c r="BO270" s="64"/>
      <c r="BP270" s="64"/>
    </row>
    <row r="271" ht="18.75" customHeight="1">
      <c r="H271" s="64"/>
      <c r="J271" s="64"/>
      <c r="K271" s="64"/>
      <c r="M271" s="64"/>
      <c r="N271" s="64"/>
      <c r="O271" s="64"/>
      <c r="P271" s="64"/>
      <c r="Q271" s="64"/>
      <c r="R271" s="64"/>
      <c r="S271" s="64"/>
      <c r="T271" s="64"/>
      <c r="U271" s="64"/>
      <c r="V271" s="64"/>
      <c r="W271" s="64"/>
      <c r="BF271" s="64"/>
      <c r="BG271" s="64"/>
      <c r="BH271" s="64"/>
      <c r="BI271" s="64"/>
      <c r="BJ271" s="64"/>
      <c r="BK271" s="64"/>
      <c r="BL271" s="64"/>
      <c r="BM271" s="64"/>
      <c r="BN271" s="64"/>
      <c r="BO271" s="64"/>
      <c r="BP271" s="64"/>
    </row>
    <row r="272" ht="18.75" customHeight="1">
      <c r="H272" s="64"/>
      <c r="J272" s="64"/>
      <c r="K272" s="64"/>
      <c r="M272" s="64"/>
      <c r="N272" s="64"/>
      <c r="O272" s="64"/>
      <c r="P272" s="64"/>
      <c r="Q272" s="64"/>
      <c r="R272" s="64"/>
      <c r="S272" s="64"/>
      <c r="T272" s="64"/>
      <c r="U272" s="64"/>
      <c r="V272" s="64"/>
      <c r="W272" s="64"/>
      <c r="BF272" s="64"/>
      <c r="BG272" s="64"/>
      <c r="BH272" s="64"/>
      <c r="BI272" s="64"/>
      <c r="BJ272" s="64"/>
      <c r="BK272" s="64"/>
      <c r="BL272" s="64"/>
      <c r="BM272" s="64"/>
      <c r="BN272" s="64"/>
      <c r="BO272" s="64"/>
      <c r="BP272" s="64"/>
    </row>
    <row r="273" ht="18.75" customHeight="1">
      <c r="H273" s="64"/>
      <c r="J273" s="64"/>
      <c r="K273" s="64"/>
      <c r="M273" s="64"/>
      <c r="N273" s="64"/>
      <c r="O273" s="64"/>
      <c r="P273" s="64"/>
      <c r="Q273" s="64"/>
      <c r="R273" s="64"/>
      <c r="S273" s="64"/>
      <c r="T273" s="64"/>
      <c r="U273" s="64"/>
      <c r="V273" s="64"/>
      <c r="W273" s="64"/>
      <c r="BF273" s="64"/>
      <c r="BG273" s="64"/>
      <c r="BH273" s="64"/>
      <c r="BI273" s="64"/>
      <c r="BJ273" s="64"/>
      <c r="BK273" s="64"/>
      <c r="BL273" s="64"/>
      <c r="BM273" s="64"/>
      <c r="BN273" s="64"/>
      <c r="BO273" s="64"/>
      <c r="BP273" s="64"/>
    </row>
    <row r="274" ht="18.75" customHeight="1">
      <c r="H274" s="64"/>
      <c r="J274" s="64"/>
      <c r="K274" s="64"/>
      <c r="M274" s="64"/>
      <c r="N274" s="64"/>
      <c r="O274" s="64"/>
      <c r="P274" s="64"/>
      <c r="Q274" s="64"/>
      <c r="R274" s="64"/>
      <c r="S274" s="64"/>
      <c r="T274" s="64"/>
      <c r="U274" s="64"/>
      <c r="V274" s="64"/>
      <c r="W274" s="64"/>
      <c r="BF274" s="64"/>
      <c r="BG274" s="64"/>
      <c r="BH274" s="64"/>
      <c r="BI274" s="64"/>
      <c r="BJ274" s="64"/>
      <c r="BK274" s="64"/>
      <c r="BL274" s="64"/>
      <c r="BM274" s="64"/>
      <c r="BN274" s="64"/>
      <c r="BO274" s="64"/>
      <c r="BP274" s="64"/>
    </row>
    <row r="275" ht="18.75" customHeight="1">
      <c r="H275" s="64"/>
      <c r="J275" s="64"/>
      <c r="K275" s="64"/>
      <c r="M275" s="64"/>
      <c r="N275" s="64"/>
      <c r="O275" s="64"/>
      <c r="P275" s="64"/>
      <c r="Q275" s="64"/>
      <c r="R275" s="64"/>
      <c r="S275" s="64"/>
      <c r="T275" s="64"/>
      <c r="U275" s="64"/>
      <c r="V275" s="64"/>
      <c r="W275" s="64"/>
      <c r="BF275" s="64"/>
      <c r="BG275" s="64"/>
      <c r="BH275" s="64"/>
      <c r="BI275" s="64"/>
      <c r="BJ275" s="64"/>
      <c r="BK275" s="64"/>
      <c r="BL275" s="64"/>
      <c r="BM275" s="64"/>
      <c r="BN275" s="64"/>
      <c r="BO275" s="64"/>
      <c r="BP275" s="64"/>
    </row>
    <row r="276" ht="18.75" customHeight="1">
      <c r="H276" s="64"/>
      <c r="J276" s="64"/>
      <c r="K276" s="64"/>
      <c r="M276" s="64"/>
      <c r="N276" s="64"/>
      <c r="O276" s="64"/>
      <c r="P276" s="64"/>
      <c r="Q276" s="64"/>
      <c r="R276" s="64"/>
      <c r="S276" s="64"/>
      <c r="T276" s="64"/>
      <c r="U276" s="64"/>
      <c r="V276" s="64"/>
      <c r="W276" s="64"/>
      <c r="BF276" s="64"/>
      <c r="BG276" s="64"/>
      <c r="BH276" s="64"/>
      <c r="BI276" s="64"/>
      <c r="BJ276" s="64"/>
      <c r="BK276" s="64"/>
      <c r="BL276" s="64"/>
      <c r="BM276" s="64"/>
      <c r="BN276" s="64"/>
      <c r="BO276" s="64"/>
      <c r="BP276" s="64"/>
    </row>
    <row r="277" ht="18.75" customHeight="1">
      <c r="H277" s="64"/>
      <c r="J277" s="64"/>
      <c r="K277" s="64"/>
      <c r="M277" s="64"/>
      <c r="N277" s="64"/>
      <c r="O277" s="64"/>
      <c r="P277" s="64"/>
      <c r="Q277" s="64"/>
      <c r="R277" s="64"/>
      <c r="S277" s="64"/>
      <c r="T277" s="64"/>
      <c r="U277" s="64"/>
      <c r="V277" s="64"/>
      <c r="W277" s="64"/>
      <c r="BF277" s="64"/>
      <c r="BG277" s="64"/>
      <c r="BH277" s="64"/>
      <c r="BI277" s="64"/>
      <c r="BJ277" s="64"/>
      <c r="BK277" s="64"/>
      <c r="BL277" s="64"/>
      <c r="BM277" s="64"/>
      <c r="BN277" s="64"/>
      <c r="BO277" s="64"/>
      <c r="BP277" s="64"/>
    </row>
    <row r="278" ht="18.75" customHeight="1">
      <c r="H278" s="64"/>
      <c r="J278" s="64"/>
      <c r="K278" s="64"/>
      <c r="M278" s="64"/>
      <c r="N278" s="64"/>
      <c r="O278" s="64"/>
      <c r="P278" s="64"/>
      <c r="Q278" s="64"/>
      <c r="R278" s="64"/>
      <c r="S278" s="64"/>
      <c r="T278" s="64"/>
      <c r="U278" s="64"/>
      <c r="V278" s="64"/>
      <c r="W278" s="64"/>
      <c r="BF278" s="64"/>
      <c r="BG278" s="64"/>
      <c r="BH278" s="64"/>
      <c r="BI278" s="64"/>
      <c r="BJ278" s="64"/>
      <c r="BK278" s="64"/>
      <c r="BL278" s="64"/>
      <c r="BM278" s="64"/>
      <c r="BN278" s="64"/>
      <c r="BO278" s="64"/>
      <c r="BP278" s="64"/>
    </row>
    <row r="279" ht="18.75" customHeight="1">
      <c r="H279" s="64"/>
      <c r="J279" s="64"/>
      <c r="K279" s="64"/>
      <c r="M279" s="64"/>
      <c r="N279" s="64"/>
      <c r="O279" s="64"/>
      <c r="P279" s="64"/>
      <c r="Q279" s="64"/>
      <c r="R279" s="64"/>
      <c r="S279" s="64"/>
      <c r="T279" s="64"/>
      <c r="U279" s="64"/>
      <c r="V279" s="64"/>
      <c r="W279" s="64"/>
      <c r="BF279" s="64"/>
      <c r="BG279" s="64"/>
      <c r="BH279" s="64"/>
      <c r="BI279" s="64"/>
      <c r="BJ279" s="64"/>
      <c r="BK279" s="64"/>
      <c r="BL279" s="64"/>
      <c r="BM279" s="64"/>
      <c r="BN279" s="64"/>
      <c r="BO279" s="64"/>
      <c r="BP279" s="64"/>
    </row>
    <row r="280" ht="18.75" customHeight="1">
      <c r="H280" s="64"/>
      <c r="J280" s="64"/>
      <c r="K280" s="64"/>
      <c r="M280" s="64"/>
      <c r="N280" s="64"/>
      <c r="O280" s="64"/>
      <c r="P280" s="64"/>
      <c r="Q280" s="64"/>
      <c r="R280" s="64"/>
      <c r="S280" s="64"/>
      <c r="T280" s="64"/>
      <c r="U280" s="64"/>
      <c r="V280" s="64"/>
      <c r="W280" s="64"/>
      <c r="BF280" s="64"/>
      <c r="BG280" s="64"/>
      <c r="BH280" s="64"/>
      <c r="BI280" s="64"/>
      <c r="BJ280" s="64"/>
      <c r="BK280" s="64"/>
      <c r="BL280" s="64"/>
      <c r="BM280" s="64"/>
      <c r="BN280" s="64"/>
      <c r="BO280" s="64"/>
      <c r="BP280" s="64"/>
    </row>
    <row r="281" ht="18.75" customHeight="1">
      <c r="H281" s="64"/>
      <c r="J281" s="64"/>
      <c r="K281" s="64"/>
      <c r="M281" s="64"/>
      <c r="N281" s="64"/>
      <c r="O281" s="64"/>
      <c r="P281" s="64"/>
      <c r="Q281" s="64"/>
      <c r="R281" s="64"/>
      <c r="S281" s="64"/>
      <c r="T281" s="64"/>
      <c r="U281" s="64"/>
      <c r="V281" s="64"/>
      <c r="W281" s="64"/>
      <c r="BF281" s="64"/>
      <c r="BG281" s="64"/>
      <c r="BH281" s="64"/>
      <c r="BI281" s="64"/>
      <c r="BJ281" s="64"/>
      <c r="BK281" s="64"/>
      <c r="BL281" s="64"/>
      <c r="BM281" s="64"/>
      <c r="BN281" s="64"/>
      <c r="BO281" s="64"/>
      <c r="BP281" s="64"/>
    </row>
    <row r="282" ht="18.75" customHeight="1">
      <c r="H282" s="64"/>
      <c r="J282" s="64"/>
      <c r="K282" s="64"/>
      <c r="M282" s="64"/>
      <c r="N282" s="64"/>
      <c r="O282" s="64"/>
      <c r="P282" s="64"/>
      <c r="Q282" s="64"/>
      <c r="R282" s="64"/>
      <c r="S282" s="64"/>
      <c r="T282" s="64"/>
      <c r="U282" s="64"/>
      <c r="V282" s="64"/>
      <c r="W282" s="64"/>
      <c r="BF282" s="64"/>
      <c r="BG282" s="64"/>
      <c r="BH282" s="64"/>
      <c r="BI282" s="64"/>
      <c r="BJ282" s="64"/>
      <c r="BK282" s="64"/>
      <c r="BL282" s="64"/>
      <c r="BM282" s="64"/>
      <c r="BN282" s="64"/>
      <c r="BO282" s="64"/>
      <c r="BP282" s="64"/>
    </row>
    <row r="283" ht="18.75" customHeight="1">
      <c r="H283" s="64"/>
      <c r="J283" s="64"/>
      <c r="K283" s="64"/>
      <c r="M283" s="64"/>
      <c r="N283" s="64"/>
      <c r="O283" s="64"/>
      <c r="P283" s="64"/>
      <c r="Q283" s="64"/>
      <c r="R283" s="64"/>
      <c r="S283" s="64"/>
      <c r="T283" s="64"/>
      <c r="U283" s="64"/>
      <c r="V283" s="64"/>
      <c r="W283" s="64"/>
      <c r="BF283" s="64"/>
      <c r="BG283" s="64"/>
      <c r="BH283" s="64"/>
      <c r="BI283" s="64"/>
      <c r="BJ283" s="64"/>
      <c r="BK283" s="64"/>
      <c r="BL283" s="64"/>
      <c r="BM283" s="64"/>
      <c r="BN283" s="64"/>
      <c r="BO283" s="64"/>
      <c r="BP283" s="64"/>
    </row>
    <row r="284" ht="18.75" customHeight="1">
      <c r="H284" s="64"/>
      <c r="J284" s="64"/>
      <c r="K284" s="64"/>
      <c r="M284" s="64"/>
      <c r="N284" s="64"/>
      <c r="O284" s="64"/>
      <c r="P284" s="64"/>
      <c r="Q284" s="64"/>
      <c r="R284" s="64"/>
      <c r="S284" s="64"/>
      <c r="T284" s="64"/>
      <c r="U284" s="64"/>
      <c r="V284" s="64"/>
      <c r="W284" s="64"/>
      <c r="BF284" s="64"/>
      <c r="BG284" s="64"/>
      <c r="BH284" s="64"/>
      <c r="BI284" s="64"/>
      <c r="BJ284" s="64"/>
      <c r="BK284" s="64"/>
      <c r="BL284" s="64"/>
      <c r="BM284" s="64"/>
      <c r="BN284" s="64"/>
      <c r="BO284" s="64"/>
      <c r="BP284" s="64"/>
    </row>
    <row r="285" ht="18.75" customHeight="1">
      <c r="H285" s="64"/>
      <c r="J285" s="64"/>
      <c r="K285" s="64"/>
      <c r="M285" s="64"/>
      <c r="N285" s="64"/>
      <c r="O285" s="64"/>
      <c r="P285" s="64"/>
      <c r="Q285" s="64"/>
      <c r="R285" s="64"/>
      <c r="S285" s="64"/>
      <c r="T285" s="64"/>
      <c r="U285" s="64"/>
      <c r="V285" s="64"/>
      <c r="W285" s="64"/>
      <c r="BF285" s="64"/>
      <c r="BG285" s="64"/>
      <c r="BH285" s="64"/>
      <c r="BI285" s="64"/>
      <c r="BJ285" s="64"/>
      <c r="BK285" s="64"/>
      <c r="BL285" s="64"/>
      <c r="BM285" s="64"/>
      <c r="BN285" s="64"/>
      <c r="BO285" s="64"/>
      <c r="BP285" s="64"/>
    </row>
    <row r="286" ht="18.75" customHeight="1">
      <c r="H286" s="64"/>
      <c r="J286" s="64"/>
      <c r="K286" s="64"/>
      <c r="M286" s="64"/>
      <c r="N286" s="64"/>
      <c r="O286" s="64"/>
      <c r="P286" s="64"/>
      <c r="Q286" s="64"/>
      <c r="R286" s="64"/>
      <c r="S286" s="64"/>
      <c r="T286" s="64"/>
      <c r="U286" s="64"/>
      <c r="V286" s="64"/>
      <c r="W286" s="64"/>
      <c r="BF286" s="64"/>
      <c r="BG286" s="64"/>
      <c r="BH286" s="64"/>
      <c r="BI286" s="64"/>
      <c r="BJ286" s="64"/>
      <c r="BK286" s="64"/>
      <c r="BL286" s="64"/>
      <c r="BM286" s="64"/>
      <c r="BN286" s="64"/>
      <c r="BO286" s="64"/>
      <c r="BP286" s="64"/>
    </row>
    <row r="287" ht="18.75" customHeight="1">
      <c r="H287" s="64"/>
      <c r="J287" s="64"/>
      <c r="K287" s="64"/>
      <c r="M287" s="64"/>
      <c r="N287" s="64"/>
      <c r="O287" s="64"/>
      <c r="P287" s="64"/>
      <c r="Q287" s="64"/>
      <c r="R287" s="64"/>
      <c r="S287" s="64"/>
      <c r="T287" s="64"/>
      <c r="U287" s="64"/>
      <c r="V287" s="64"/>
      <c r="W287" s="64"/>
      <c r="BF287" s="64"/>
      <c r="BG287" s="64"/>
      <c r="BH287" s="64"/>
      <c r="BI287" s="64"/>
      <c r="BJ287" s="64"/>
      <c r="BK287" s="64"/>
      <c r="BL287" s="64"/>
      <c r="BM287" s="64"/>
      <c r="BN287" s="64"/>
      <c r="BO287" s="64"/>
      <c r="BP287" s="64"/>
    </row>
    <row r="288" ht="18.75" customHeight="1">
      <c r="H288" s="64"/>
      <c r="J288" s="64"/>
      <c r="K288" s="64"/>
      <c r="M288" s="64"/>
      <c r="N288" s="64"/>
      <c r="O288" s="64"/>
      <c r="P288" s="64"/>
      <c r="Q288" s="64"/>
      <c r="R288" s="64"/>
      <c r="S288" s="64"/>
      <c r="T288" s="64"/>
      <c r="U288" s="64"/>
      <c r="V288" s="64"/>
      <c r="W288" s="64"/>
      <c r="BF288" s="64"/>
      <c r="BG288" s="64"/>
      <c r="BH288" s="64"/>
      <c r="BI288" s="64"/>
      <c r="BJ288" s="64"/>
      <c r="BK288" s="64"/>
      <c r="BL288" s="64"/>
      <c r="BM288" s="64"/>
      <c r="BN288" s="64"/>
      <c r="BO288" s="64"/>
      <c r="BP288" s="64"/>
    </row>
    <row r="289" ht="18.75" customHeight="1">
      <c r="H289" s="64"/>
      <c r="J289" s="64"/>
      <c r="K289" s="64"/>
      <c r="M289" s="64"/>
      <c r="N289" s="64"/>
      <c r="O289" s="64"/>
      <c r="P289" s="64"/>
      <c r="Q289" s="64"/>
      <c r="R289" s="64"/>
      <c r="S289" s="64"/>
      <c r="T289" s="64"/>
      <c r="U289" s="64"/>
      <c r="V289" s="64"/>
      <c r="W289" s="64"/>
      <c r="BF289" s="64"/>
      <c r="BG289" s="64"/>
      <c r="BH289" s="64"/>
      <c r="BI289" s="64"/>
      <c r="BJ289" s="64"/>
      <c r="BK289" s="64"/>
      <c r="BL289" s="64"/>
      <c r="BM289" s="64"/>
      <c r="BN289" s="64"/>
      <c r="BO289" s="64"/>
      <c r="BP289" s="64"/>
    </row>
    <row r="290" ht="18.75" customHeight="1">
      <c r="H290" s="64"/>
      <c r="J290" s="64"/>
      <c r="K290" s="64"/>
      <c r="M290" s="64"/>
      <c r="N290" s="64"/>
      <c r="O290" s="64"/>
      <c r="P290" s="64"/>
      <c r="Q290" s="64"/>
      <c r="R290" s="64"/>
      <c r="S290" s="64"/>
      <c r="T290" s="64"/>
      <c r="U290" s="64"/>
      <c r="V290" s="64"/>
      <c r="W290" s="64"/>
      <c r="BF290" s="64"/>
      <c r="BG290" s="64"/>
      <c r="BH290" s="64"/>
      <c r="BI290" s="64"/>
      <c r="BJ290" s="64"/>
      <c r="BK290" s="64"/>
      <c r="BL290" s="64"/>
      <c r="BM290" s="64"/>
      <c r="BN290" s="64"/>
      <c r="BO290" s="64"/>
      <c r="BP290" s="64"/>
    </row>
    <row r="291" ht="18.75" customHeight="1">
      <c r="H291" s="64"/>
      <c r="J291" s="64"/>
      <c r="K291" s="64"/>
      <c r="M291" s="64"/>
      <c r="N291" s="64"/>
      <c r="O291" s="64"/>
      <c r="P291" s="64"/>
      <c r="Q291" s="64"/>
      <c r="R291" s="64"/>
      <c r="S291" s="64"/>
      <c r="T291" s="64"/>
      <c r="U291" s="64"/>
      <c r="V291" s="64"/>
      <c r="W291" s="64"/>
      <c r="BF291" s="64"/>
      <c r="BG291" s="64"/>
      <c r="BH291" s="64"/>
      <c r="BI291" s="64"/>
      <c r="BJ291" s="64"/>
      <c r="BK291" s="64"/>
      <c r="BL291" s="64"/>
      <c r="BM291" s="64"/>
      <c r="BN291" s="64"/>
      <c r="BO291" s="64"/>
      <c r="BP291" s="64"/>
    </row>
    <row r="292" ht="18.75" customHeight="1">
      <c r="H292" s="64"/>
      <c r="J292" s="64"/>
      <c r="K292" s="64"/>
      <c r="M292" s="64"/>
      <c r="N292" s="64"/>
      <c r="O292" s="64"/>
      <c r="P292" s="64"/>
      <c r="Q292" s="64"/>
      <c r="R292" s="64"/>
      <c r="S292" s="64"/>
      <c r="T292" s="64"/>
      <c r="U292" s="64"/>
      <c r="V292" s="64"/>
      <c r="W292" s="64"/>
      <c r="BF292" s="64"/>
      <c r="BG292" s="64"/>
      <c r="BH292" s="64"/>
      <c r="BI292" s="64"/>
      <c r="BJ292" s="64"/>
      <c r="BK292" s="64"/>
      <c r="BL292" s="64"/>
      <c r="BM292" s="64"/>
      <c r="BN292" s="64"/>
      <c r="BO292" s="64"/>
      <c r="BP292" s="64"/>
    </row>
    <row r="293" ht="18.75" customHeight="1">
      <c r="H293" s="64"/>
      <c r="J293" s="64"/>
      <c r="K293" s="64"/>
      <c r="M293" s="64"/>
      <c r="N293" s="64"/>
      <c r="O293" s="64"/>
      <c r="P293" s="64"/>
      <c r="Q293" s="64"/>
      <c r="R293" s="64"/>
      <c r="S293" s="64"/>
      <c r="T293" s="64"/>
      <c r="U293" s="64"/>
      <c r="V293" s="64"/>
      <c r="W293" s="64"/>
      <c r="BF293" s="64"/>
      <c r="BG293" s="64"/>
      <c r="BH293" s="64"/>
      <c r="BI293" s="64"/>
      <c r="BJ293" s="64"/>
      <c r="BK293" s="64"/>
      <c r="BL293" s="64"/>
      <c r="BM293" s="64"/>
      <c r="BN293" s="64"/>
      <c r="BO293" s="64"/>
      <c r="BP293" s="64"/>
    </row>
    <row r="294" ht="18.75" customHeight="1">
      <c r="H294" s="64"/>
      <c r="J294" s="64"/>
      <c r="K294" s="64"/>
      <c r="M294" s="64"/>
      <c r="N294" s="64"/>
      <c r="O294" s="64"/>
      <c r="P294" s="64"/>
      <c r="Q294" s="64"/>
      <c r="R294" s="64"/>
      <c r="S294" s="64"/>
      <c r="T294" s="64"/>
      <c r="U294" s="64"/>
      <c r="V294" s="64"/>
      <c r="W294" s="64"/>
      <c r="BF294" s="64"/>
      <c r="BG294" s="64"/>
      <c r="BH294" s="64"/>
      <c r="BI294" s="64"/>
      <c r="BJ294" s="64"/>
      <c r="BK294" s="64"/>
      <c r="BL294" s="64"/>
      <c r="BM294" s="64"/>
      <c r="BN294" s="64"/>
      <c r="BO294" s="64"/>
      <c r="BP294" s="64"/>
    </row>
    <row r="295" ht="18.75" customHeight="1">
      <c r="H295" s="64"/>
      <c r="J295" s="64"/>
      <c r="K295" s="64"/>
      <c r="M295" s="64"/>
      <c r="N295" s="64"/>
      <c r="O295" s="64"/>
      <c r="P295" s="64"/>
      <c r="Q295" s="64"/>
      <c r="R295" s="64"/>
      <c r="S295" s="64"/>
      <c r="T295" s="64"/>
      <c r="U295" s="64"/>
      <c r="V295" s="64"/>
      <c r="W295" s="64"/>
      <c r="BF295" s="64"/>
      <c r="BG295" s="64"/>
      <c r="BH295" s="64"/>
      <c r="BI295" s="64"/>
      <c r="BJ295" s="64"/>
      <c r="BK295" s="64"/>
      <c r="BL295" s="64"/>
      <c r="BM295" s="64"/>
      <c r="BN295" s="64"/>
      <c r="BO295" s="64"/>
      <c r="BP295" s="64"/>
    </row>
    <row r="296" ht="18.75" customHeight="1">
      <c r="H296" s="64"/>
      <c r="J296" s="64"/>
      <c r="K296" s="64"/>
      <c r="M296" s="64"/>
      <c r="N296" s="64"/>
      <c r="O296" s="64"/>
      <c r="P296" s="64"/>
      <c r="Q296" s="64"/>
      <c r="R296" s="64"/>
      <c r="S296" s="64"/>
      <c r="T296" s="64"/>
      <c r="U296" s="64"/>
      <c r="V296" s="64"/>
      <c r="W296" s="64"/>
      <c r="BF296" s="64"/>
      <c r="BG296" s="64"/>
      <c r="BH296" s="64"/>
      <c r="BI296" s="64"/>
      <c r="BJ296" s="64"/>
      <c r="BK296" s="64"/>
      <c r="BL296" s="64"/>
      <c r="BM296" s="64"/>
      <c r="BN296" s="64"/>
      <c r="BO296" s="64"/>
      <c r="BP296" s="64"/>
    </row>
    <row r="297" ht="18.75" customHeight="1">
      <c r="H297" s="64"/>
      <c r="J297" s="64"/>
      <c r="K297" s="64"/>
      <c r="M297" s="64"/>
      <c r="N297" s="64"/>
      <c r="O297" s="64"/>
      <c r="P297" s="64"/>
      <c r="Q297" s="64"/>
      <c r="R297" s="64"/>
      <c r="S297" s="64"/>
      <c r="T297" s="64"/>
      <c r="U297" s="64"/>
      <c r="V297" s="64"/>
      <c r="W297" s="64"/>
      <c r="BF297" s="64"/>
      <c r="BG297" s="64"/>
      <c r="BH297" s="64"/>
      <c r="BI297" s="64"/>
      <c r="BJ297" s="64"/>
      <c r="BK297" s="64"/>
      <c r="BL297" s="64"/>
      <c r="BM297" s="64"/>
      <c r="BN297" s="64"/>
      <c r="BO297" s="64"/>
      <c r="BP297" s="64"/>
    </row>
    <row r="298" ht="18.75" customHeight="1">
      <c r="H298" s="64"/>
      <c r="J298" s="64"/>
      <c r="K298" s="64"/>
      <c r="M298" s="64"/>
      <c r="N298" s="64"/>
      <c r="O298" s="64"/>
      <c r="P298" s="64"/>
      <c r="Q298" s="64"/>
      <c r="R298" s="64"/>
      <c r="S298" s="64"/>
      <c r="T298" s="64"/>
      <c r="U298" s="64"/>
      <c r="V298" s="64"/>
      <c r="W298" s="64"/>
      <c r="BF298" s="64"/>
      <c r="BG298" s="64"/>
      <c r="BH298" s="64"/>
      <c r="BI298" s="64"/>
      <c r="BJ298" s="64"/>
      <c r="BK298" s="64"/>
      <c r="BL298" s="64"/>
      <c r="BM298" s="64"/>
      <c r="BN298" s="64"/>
      <c r="BO298" s="64"/>
      <c r="BP298" s="64"/>
    </row>
    <row r="299" ht="18.75" customHeight="1">
      <c r="H299" s="64"/>
      <c r="J299" s="64"/>
      <c r="K299" s="64"/>
      <c r="M299" s="64"/>
      <c r="N299" s="64"/>
      <c r="O299" s="64"/>
      <c r="P299" s="64"/>
      <c r="Q299" s="64"/>
      <c r="R299" s="64"/>
      <c r="S299" s="64"/>
      <c r="T299" s="64"/>
      <c r="U299" s="64"/>
      <c r="V299" s="64"/>
      <c r="W299" s="64"/>
      <c r="BF299" s="64"/>
      <c r="BG299" s="64"/>
      <c r="BH299" s="64"/>
      <c r="BI299" s="64"/>
      <c r="BJ299" s="64"/>
      <c r="BK299" s="64"/>
      <c r="BL299" s="64"/>
      <c r="BM299" s="64"/>
      <c r="BN299" s="64"/>
      <c r="BO299" s="64"/>
      <c r="BP299" s="64"/>
    </row>
    <row r="300" ht="18.75" customHeight="1">
      <c r="H300" s="64"/>
      <c r="J300" s="64"/>
      <c r="K300" s="64"/>
      <c r="M300" s="64"/>
      <c r="N300" s="64"/>
      <c r="O300" s="64"/>
      <c r="P300" s="64"/>
      <c r="Q300" s="64"/>
      <c r="R300" s="64"/>
      <c r="S300" s="64"/>
      <c r="T300" s="64"/>
      <c r="U300" s="64"/>
      <c r="V300" s="64"/>
      <c r="W300" s="64"/>
      <c r="BF300" s="64"/>
      <c r="BG300" s="64"/>
      <c r="BH300" s="64"/>
      <c r="BI300" s="64"/>
      <c r="BJ300" s="64"/>
      <c r="BK300" s="64"/>
      <c r="BL300" s="64"/>
      <c r="BM300" s="64"/>
      <c r="BN300" s="64"/>
      <c r="BO300" s="64"/>
      <c r="BP300" s="64"/>
    </row>
    <row r="301" ht="18.75" customHeight="1">
      <c r="H301" s="64"/>
      <c r="J301" s="64"/>
      <c r="K301" s="64"/>
      <c r="M301" s="64"/>
      <c r="N301" s="64"/>
      <c r="O301" s="64"/>
      <c r="P301" s="64"/>
      <c r="Q301" s="64"/>
      <c r="R301" s="64"/>
      <c r="S301" s="64"/>
      <c r="T301" s="64"/>
      <c r="U301" s="64"/>
      <c r="V301" s="64"/>
      <c r="W301" s="64"/>
      <c r="BF301" s="64"/>
      <c r="BG301" s="64"/>
      <c r="BH301" s="64"/>
      <c r="BI301" s="64"/>
      <c r="BJ301" s="64"/>
      <c r="BK301" s="64"/>
      <c r="BL301" s="64"/>
      <c r="BM301" s="64"/>
      <c r="BN301" s="64"/>
      <c r="BO301" s="64"/>
      <c r="BP301" s="64"/>
    </row>
    <row r="302" ht="18.75" customHeight="1">
      <c r="H302" s="64"/>
      <c r="J302" s="64"/>
      <c r="K302" s="64"/>
      <c r="M302" s="64"/>
      <c r="N302" s="64"/>
      <c r="O302" s="64"/>
      <c r="P302" s="64"/>
      <c r="Q302" s="64"/>
      <c r="R302" s="64"/>
      <c r="S302" s="64"/>
      <c r="T302" s="64"/>
      <c r="U302" s="64"/>
      <c r="V302" s="64"/>
      <c r="W302" s="64"/>
      <c r="BF302" s="64"/>
      <c r="BG302" s="64"/>
      <c r="BH302" s="64"/>
      <c r="BI302" s="64"/>
      <c r="BJ302" s="64"/>
      <c r="BK302" s="64"/>
      <c r="BL302" s="64"/>
      <c r="BM302" s="64"/>
      <c r="BN302" s="64"/>
      <c r="BO302" s="64"/>
      <c r="BP302" s="64"/>
    </row>
    <row r="303" ht="18.75" customHeight="1">
      <c r="H303" s="64"/>
      <c r="J303" s="64"/>
      <c r="K303" s="64"/>
      <c r="M303" s="64"/>
      <c r="N303" s="64"/>
      <c r="O303" s="64"/>
      <c r="P303" s="64"/>
      <c r="Q303" s="64"/>
      <c r="R303" s="64"/>
      <c r="S303" s="64"/>
      <c r="T303" s="64"/>
      <c r="U303" s="64"/>
      <c r="V303" s="64"/>
      <c r="W303" s="64"/>
      <c r="BF303" s="64"/>
      <c r="BG303" s="64"/>
      <c r="BH303" s="64"/>
      <c r="BI303" s="64"/>
      <c r="BJ303" s="64"/>
      <c r="BK303" s="64"/>
      <c r="BL303" s="64"/>
      <c r="BM303" s="64"/>
      <c r="BN303" s="64"/>
      <c r="BO303" s="64"/>
      <c r="BP303" s="64"/>
    </row>
    <row r="304" ht="18.75" customHeight="1">
      <c r="H304" s="64"/>
      <c r="J304" s="64"/>
      <c r="K304" s="64"/>
      <c r="M304" s="64"/>
      <c r="N304" s="64"/>
      <c r="O304" s="64"/>
      <c r="P304" s="64"/>
      <c r="Q304" s="64"/>
      <c r="R304" s="64"/>
      <c r="S304" s="64"/>
      <c r="T304" s="64"/>
      <c r="U304" s="64"/>
      <c r="V304" s="64"/>
      <c r="W304" s="64"/>
      <c r="BF304" s="64"/>
      <c r="BG304" s="64"/>
      <c r="BH304" s="64"/>
      <c r="BI304" s="64"/>
      <c r="BJ304" s="64"/>
      <c r="BK304" s="64"/>
      <c r="BL304" s="64"/>
      <c r="BM304" s="64"/>
      <c r="BN304" s="64"/>
      <c r="BO304" s="64"/>
      <c r="BP304" s="64"/>
    </row>
    <row r="305" ht="18.75" customHeight="1">
      <c r="H305" s="64"/>
      <c r="J305" s="64"/>
      <c r="K305" s="64"/>
      <c r="M305" s="64"/>
      <c r="N305" s="64"/>
      <c r="O305" s="64"/>
      <c r="P305" s="64"/>
      <c r="Q305" s="64"/>
      <c r="R305" s="64"/>
      <c r="S305" s="64"/>
      <c r="T305" s="64"/>
      <c r="U305" s="64"/>
      <c r="V305" s="64"/>
      <c r="W305" s="64"/>
      <c r="BF305" s="64"/>
      <c r="BG305" s="64"/>
      <c r="BH305" s="64"/>
      <c r="BI305" s="64"/>
      <c r="BJ305" s="64"/>
      <c r="BK305" s="64"/>
      <c r="BL305" s="64"/>
      <c r="BM305" s="64"/>
      <c r="BN305" s="64"/>
      <c r="BO305" s="64"/>
      <c r="BP305" s="64"/>
    </row>
    <row r="306" ht="18.75" customHeight="1">
      <c r="H306" s="64"/>
      <c r="J306" s="64"/>
      <c r="K306" s="64"/>
      <c r="M306" s="64"/>
      <c r="N306" s="64"/>
      <c r="O306" s="64"/>
      <c r="P306" s="64"/>
      <c r="Q306" s="64"/>
      <c r="R306" s="64"/>
      <c r="S306" s="64"/>
      <c r="T306" s="64"/>
      <c r="U306" s="64"/>
      <c r="V306" s="64"/>
      <c r="W306" s="64"/>
      <c r="BF306" s="64"/>
      <c r="BG306" s="64"/>
      <c r="BH306" s="64"/>
      <c r="BI306" s="64"/>
      <c r="BJ306" s="64"/>
      <c r="BK306" s="64"/>
      <c r="BL306" s="64"/>
      <c r="BM306" s="64"/>
      <c r="BN306" s="64"/>
      <c r="BO306" s="64"/>
      <c r="BP306" s="64"/>
    </row>
    <row r="307" ht="18.75" customHeight="1">
      <c r="H307" s="64"/>
      <c r="J307" s="64"/>
      <c r="K307" s="64"/>
      <c r="M307" s="64"/>
      <c r="N307" s="64"/>
      <c r="O307" s="64"/>
      <c r="P307" s="64"/>
      <c r="Q307" s="64"/>
      <c r="R307" s="64"/>
      <c r="S307" s="64"/>
      <c r="T307" s="64"/>
      <c r="U307" s="64"/>
      <c r="V307" s="64"/>
      <c r="W307" s="64"/>
      <c r="BF307" s="64"/>
      <c r="BG307" s="64"/>
      <c r="BH307" s="64"/>
      <c r="BI307" s="64"/>
      <c r="BJ307" s="64"/>
      <c r="BK307" s="64"/>
      <c r="BL307" s="64"/>
      <c r="BM307" s="64"/>
      <c r="BN307" s="64"/>
      <c r="BO307" s="64"/>
      <c r="BP307" s="64"/>
    </row>
    <row r="308" ht="18.75" customHeight="1">
      <c r="H308" s="64"/>
      <c r="J308" s="64"/>
      <c r="K308" s="64"/>
      <c r="M308" s="64"/>
      <c r="N308" s="64"/>
      <c r="O308" s="64"/>
      <c r="P308" s="64"/>
      <c r="Q308" s="64"/>
      <c r="R308" s="64"/>
      <c r="S308" s="64"/>
      <c r="T308" s="64"/>
      <c r="U308" s="64"/>
      <c r="V308" s="64"/>
      <c r="W308" s="64"/>
      <c r="BF308" s="64"/>
      <c r="BG308" s="64"/>
      <c r="BH308" s="64"/>
      <c r="BI308" s="64"/>
      <c r="BJ308" s="64"/>
      <c r="BK308" s="64"/>
      <c r="BL308" s="64"/>
      <c r="BM308" s="64"/>
      <c r="BN308" s="64"/>
      <c r="BO308" s="64"/>
      <c r="BP308" s="64"/>
    </row>
    <row r="309" ht="18.75" customHeight="1">
      <c r="H309" s="64"/>
      <c r="J309" s="64"/>
      <c r="K309" s="64"/>
      <c r="M309" s="64"/>
      <c r="N309" s="64"/>
      <c r="O309" s="64"/>
      <c r="P309" s="64"/>
      <c r="Q309" s="64"/>
      <c r="R309" s="64"/>
      <c r="S309" s="64"/>
      <c r="T309" s="64"/>
      <c r="U309" s="64"/>
      <c r="V309" s="64"/>
      <c r="W309" s="64"/>
      <c r="BF309" s="64"/>
      <c r="BG309" s="64"/>
      <c r="BH309" s="64"/>
      <c r="BI309" s="64"/>
      <c r="BJ309" s="64"/>
      <c r="BK309" s="64"/>
      <c r="BL309" s="64"/>
      <c r="BM309" s="64"/>
      <c r="BN309" s="64"/>
      <c r="BO309" s="64"/>
      <c r="BP309" s="64"/>
    </row>
    <row r="310" ht="18.75" customHeight="1">
      <c r="H310" s="64"/>
      <c r="J310" s="64"/>
      <c r="K310" s="64"/>
      <c r="M310" s="64"/>
      <c r="N310" s="64"/>
      <c r="O310" s="64"/>
      <c r="P310" s="64"/>
      <c r="Q310" s="64"/>
      <c r="R310" s="64"/>
      <c r="S310" s="64"/>
      <c r="T310" s="64"/>
      <c r="U310" s="64"/>
      <c r="V310" s="64"/>
      <c r="W310" s="64"/>
      <c r="BF310" s="64"/>
      <c r="BG310" s="64"/>
      <c r="BH310" s="64"/>
      <c r="BI310" s="64"/>
      <c r="BJ310" s="64"/>
      <c r="BK310" s="64"/>
      <c r="BL310" s="64"/>
      <c r="BM310" s="64"/>
      <c r="BN310" s="64"/>
      <c r="BO310" s="64"/>
      <c r="BP310" s="64"/>
    </row>
    <row r="311" ht="18.75" customHeight="1">
      <c r="H311" s="64"/>
      <c r="J311" s="64"/>
      <c r="K311" s="64"/>
      <c r="M311" s="64"/>
      <c r="N311" s="64"/>
      <c r="O311" s="64"/>
      <c r="P311" s="64"/>
      <c r="Q311" s="64"/>
      <c r="R311" s="64"/>
      <c r="S311" s="64"/>
      <c r="T311" s="64"/>
      <c r="U311" s="64"/>
      <c r="V311" s="64"/>
      <c r="W311" s="64"/>
      <c r="BF311" s="64"/>
      <c r="BG311" s="64"/>
      <c r="BH311" s="64"/>
      <c r="BI311" s="64"/>
      <c r="BJ311" s="64"/>
      <c r="BK311" s="64"/>
      <c r="BL311" s="64"/>
      <c r="BM311" s="64"/>
      <c r="BN311" s="64"/>
      <c r="BO311" s="64"/>
      <c r="BP311" s="64"/>
    </row>
    <row r="312" ht="18.75" customHeight="1">
      <c r="H312" s="64"/>
      <c r="J312" s="64"/>
      <c r="K312" s="64"/>
      <c r="M312" s="64"/>
      <c r="N312" s="64"/>
      <c r="O312" s="64"/>
      <c r="P312" s="64"/>
      <c r="Q312" s="64"/>
      <c r="R312" s="64"/>
      <c r="S312" s="64"/>
      <c r="T312" s="64"/>
      <c r="U312" s="64"/>
      <c r="V312" s="64"/>
      <c r="W312" s="64"/>
      <c r="BF312" s="64"/>
      <c r="BG312" s="64"/>
      <c r="BH312" s="64"/>
      <c r="BI312" s="64"/>
      <c r="BJ312" s="64"/>
      <c r="BK312" s="64"/>
      <c r="BL312" s="64"/>
      <c r="BM312" s="64"/>
      <c r="BN312" s="64"/>
      <c r="BO312" s="64"/>
      <c r="BP312" s="64"/>
    </row>
    <row r="313" ht="18.75" customHeight="1">
      <c r="H313" s="64"/>
      <c r="J313" s="64"/>
      <c r="K313" s="64"/>
      <c r="M313" s="64"/>
      <c r="N313" s="64"/>
      <c r="O313" s="64"/>
      <c r="P313" s="64"/>
      <c r="Q313" s="64"/>
      <c r="R313" s="64"/>
      <c r="S313" s="64"/>
      <c r="T313" s="64"/>
      <c r="U313" s="64"/>
      <c r="V313" s="64"/>
      <c r="W313" s="64"/>
      <c r="BF313" s="64"/>
      <c r="BG313" s="64"/>
      <c r="BH313" s="64"/>
      <c r="BI313" s="64"/>
      <c r="BJ313" s="64"/>
      <c r="BK313" s="64"/>
      <c r="BL313" s="64"/>
      <c r="BM313" s="64"/>
      <c r="BN313" s="64"/>
      <c r="BO313" s="64"/>
      <c r="BP313" s="64"/>
    </row>
    <row r="314" ht="18.75" customHeight="1">
      <c r="H314" s="64"/>
      <c r="J314" s="64"/>
      <c r="K314" s="64"/>
      <c r="M314" s="64"/>
      <c r="N314" s="64"/>
      <c r="O314" s="64"/>
      <c r="P314" s="64"/>
      <c r="Q314" s="64"/>
      <c r="R314" s="64"/>
      <c r="S314" s="64"/>
      <c r="T314" s="64"/>
      <c r="U314" s="64"/>
      <c r="V314" s="64"/>
      <c r="W314" s="64"/>
      <c r="BF314" s="64"/>
      <c r="BG314" s="64"/>
      <c r="BH314" s="64"/>
      <c r="BI314" s="64"/>
      <c r="BJ314" s="64"/>
      <c r="BK314" s="64"/>
      <c r="BL314" s="64"/>
      <c r="BM314" s="64"/>
      <c r="BN314" s="64"/>
      <c r="BO314" s="64"/>
      <c r="BP314" s="64"/>
    </row>
    <row r="315" ht="18.75" customHeight="1">
      <c r="H315" s="64"/>
      <c r="J315" s="64"/>
      <c r="K315" s="64"/>
      <c r="M315" s="64"/>
      <c r="N315" s="64"/>
      <c r="O315" s="64"/>
      <c r="P315" s="64"/>
      <c r="Q315" s="64"/>
      <c r="R315" s="64"/>
      <c r="S315" s="64"/>
      <c r="T315" s="64"/>
      <c r="U315" s="64"/>
      <c r="V315" s="64"/>
      <c r="W315" s="64"/>
      <c r="BF315" s="64"/>
      <c r="BG315" s="64"/>
      <c r="BH315" s="64"/>
      <c r="BI315" s="64"/>
      <c r="BJ315" s="64"/>
      <c r="BK315" s="64"/>
      <c r="BL315" s="64"/>
      <c r="BM315" s="64"/>
      <c r="BN315" s="64"/>
      <c r="BO315" s="64"/>
      <c r="BP315" s="64"/>
    </row>
    <row r="316" ht="18.75" customHeight="1">
      <c r="H316" s="64"/>
      <c r="J316" s="64"/>
      <c r="K316" s="64"/>
      <c r="M316" s="64"/>
      <c r="N316" s="64"/>
      <c r="O316" s="64"/>
      <c r="P316" s="64"/>
      <c r="Q316" s="64"/>
      <c r="R316" s="64"/>
      <c r="S316" s="64"/>
      <c r="T316" s="64"/>
      <c r="U316" s="64"/>
      <c r="V316" s="64"/>
      <c r="W316" s="64"/>
      <c r="BF316" s="64"/>
      <c r="BG316" s="64"/>
      <c r="BH316" s="64"/>
      <c r="BI316" s="64"/>
      <c r="BJ316" s="64"/>
      <c r="BK316" s="64"/>
      <c r="BL316" s="64"/>
      <c r="BM316" s="64"/>
      <c r="BN316" s="64"/>
      <c r="BO316" s="64"/>
      <c r="BP316" s="64"/>
    </row>
    <row r="317" ht="18.75" customHeight="1">
      <c r="H317" s="64"/>
      <c r="J317" s="64"/>
      <c r="K317" s="64"/>
      <c r="M317" s="64"/>
      <c r="N317" s="64"/>
      <c r="O317" s="64"/>
      <c r="P317" s="64"/>
      <c r="Q317" s="64"/>
      <c r="R317" s="64"/>
      <c r="S317" s="64"/>
      <c r="T317" s="64"/>
      <c r="U317" s="64"/>
      <c r="V317" s="64"/>
      <c r="W317" s="64"/>
      <c r="BF317" s="64"/>
      <c r="BG317" s="64"/>
      <c r="BH317" s="64"/>
      <c r="BI317" s="64"/>
      <c r="BJ317" s="64"/>
      <c r="BK317" s="64"/>
      <c r="BL317" s="64"/>
      <c r="BM317" s="64"/>
      <c r="BN317" s="64"/>
      <c r="BO317" s="64"/>
      <c r="BP317" s="64"/>
    </row>
    <row r="318" ht="18.75" customHeight="1">
      <c r="H318" s="64"/>
      <c r="J318" s="64"/>
      <c r="K318" s="64"/>
      <c r="M318" s="64"/>
      <c r="N318" s="64"/>
      <c r="O318" s="64"/>
      <c r="P318" s="64"/>
      <c r="Q318" s="64"/>
      <c r="R318" s="64"/>
      <c r="S318" s="64"/>
      <c r="T318" s="64"/>
      <c r="U318" s="64"/>
      <c r="V318" s="64"/>
      <c r="W318" s="64"/>
      <c r="BF318" s="64"/>
      <c r="BG318" s="64"/>
      <c r="BH318" s="64"/>
      <c r="BI318" s="64"/>
      <c r="BJ318" s="64"/>
      <c r="BK318" s="64"/>
      <c r="BL318" s="64"/>
      <c r="BM318" s="64"/>
      <c r="BN318" s="64"/>
      <c r="BO318" s="64"/>
      <c r="BP318" s="64"/>
    </row>
    <row r="319" ht="18.75" customHeight="1">
      <c r="H319" s="64"/>
      <c r="J319" s="64"/>
      <c r="K319" s="64"/>
      <c r="M319" s="64"/>
      <c r="N319" s="64"/>
      <c r="O319" s="64"/>
      <c r="P319" s="64"/>
      <c r="Q319" s="64"/>
      <c r="R319" s="64"/>
      <c r="S319" s="64"/>
      <c r="T319" s="64"/>
      <c r="U319" s="64"/>
      <c r="V319" s="64"/>
      <c r="W319" s="64"/>
      <c r="BF319" s="64"/>
      <c r="BG319" s="64"/>
      <c r="BH319" s="64"/>
      <c r="BI319" s="64"/>
      <c r="BJ319" s="64"/>
      <c r="BK319" s="64"/>
      <c r="BL319" s="64"/>
      <c r="BM319" s="64"/>
      <c r="BN319" s="64"/>
      <c r="BO319" s="64"/>
      <c r="BP319" s="64"/>
    </row>
    <row r="320" ht="18.75" customHeight="1">
      <c r="H320" s="64"/>
      <c r="J320" s="64"/>
      <c r="K320" s="64"/>
      <c r="M320" s="64"/>
      <c r="N320" s="64"/>
      <c r="O320" s="64"/>
      <c r="P320" s="64"/>
      <c r="Q320" s="64"/>
      <c r="R320" s="64"/>
      <c r="S320" s="64"/>
      <c r="T320" s="64"/>
      <c r="U320" s="64"/>
      <c r="V320" s="64"/>
      <c r="W320" s="64"/>
      <c r="BF320" s="64"/>
      <c r="BG320" s="64"/>
      <c r="BH320" s="64"/>
      <c r="BI320" s="64"/>
      <c r="BJ320" s="64"/>
      <c r="BK320" s="64"/>
      <c r="BL320" s="64"/>
      <c r="BM320" s="64"/>
      <c r="BN320" s="64"/>
      <c r="BO320" s="64"/>
      <c r="BP320" s="64"/>
    </row>
    <row r="321" ht="18.75" customHeight="1">
      <c r="H321" s="64"/>
      <c r="J321" s="64"/>
      <c r="K321" s="64"/>
      <c r="M321" s="64"/>
      <c r="N321" s="64"/>
      <c r="O321" s="64"/>
      <c r="P321" s="64"/>
      <c r="Q321" s="64"/>
      <c r="R321" s="64"/>
      <c r="S321" s="64"/>
      <c r="T321" s="64"/>
      <c r="U321" s="64"/>
      <c r="V321" s="64"/>
      <c r="W321" s="64"/>
      <c r="BF321" s="64"/>
      <c r="BG321" s="64"/>
      <c r="BH321" s="64"/>
      <c r="BI321" s="64"/>
      <c r="BJ321" s="64"/>
      <c r="BK321" s="64"/>
      <c r="BL321" s="64"/>
      <c r="BM321" s="64"/>
      <c r="BN321" s="64"/>
      <c r="BO321" s="64"/>
      <c r="BP321" s="64"/>
    </row>
    <row r="322" ht="18.75" customHeight="1">
      <c r="H322" s="64"/>
      <c r="J322" s="64"/>
      <c r="K322" s="64"/>
      <c r="M322" s="64"/>
      <c r="N322" s="64"/>
      <c r="O322" s="64"/>
      <c r="P322" s="64"/>
      <c r="Q322" s="64"/>
      <c r="R322" s="64"/>
      <c r="S322" s="64"/>
      <c r="T322" s="64"/>
      <c r="U322" s="64"/>
      <c r="V322" s="64"/>
      <c r="W322" s="64"/>
      <c r="BF322" s="64"/>
      <c r="BG322" s="64"/>
      <c r="BH322" s="64"/>
      <c r="BI322" s="64"/>
      <c r="BJ322" s="64"/>
      <c r="BK322" s="64"/>
      <c r="BL322" s="64"/>
      <c r="BM322" s="64"/>
      <c r="BN322" s="64"/>
      <c r="BO322" s="64"/>
      <c r="BP322" s="64"/>
    </row>
    <row r="323" ht="18.75" customHeight="1">
      <c r="H323" s="64"/>
      <c r="J323" s="64"/>
      <c r="K323" s="64"/>
      <c r="M323" s="64"/>
      <c r="N323" s="64"/>
      <c r="O323" s="64"/>
      <c r="P323" s="64"/>
      <c r="Q323" s="64"/>
      <c r="R323" s="64"/>
      <c r="S323" s="64"/>
      <c r="T323" s="64"/>
      <c r="U323" s="64"/>
      <c r="V323" s="64"/>
      <c r="W323" s="64"/>
      <c r="BF323" s="64"/>
      <c r="BG323" s="64"/>
      <c r="BH323" s="64"/>
      <c r="BI323" s="64"/>
      <c r="BJ323" s="64"/>
      <c r="BK323" s="64"/>
      <c r="BL323" s="64"/>
      <c r="BM323" s="64"/>
      <c r="BN323" s="64"/>
      <c r="BO323" s="64"/>
      <c r="BP323" s="64"/>
    </row>
    <row r="324" ht="18.75" customHeight="1">
      <c r="H324" s="64"/>
      <c r="J324" s="64"/>
      <c r="K324" s="64"/>
      <c r="M324" s="64"/>
      <c r="N324" s="64"/>
      <c r="O324" s="64"/>
      <c r="P324" s="64"/>
      <c r="Q324" s="64"/>
      <c r="R324" s="64"/>
      <c r="S324" s="64"/>
      <c r="T324" s="64"/>
      <c r="U324" s="64"/>
      <c r="V324" s="64"/>
      <c r="W324" s="64"/>
      <c r="BF324" s="64"/>
      <c r="BG324" s="64"/>
      <c r="BH324" s="64"/>
      <c r="BI324" s="64"/>
      <c r="BJ324" s="64"/>
      <c r="BK324" s="64"/>
      <c r="BL324" s="64"/>
      <c r="BM324" s="64"/>
      <c r="BN324" s="64"/>
      <c r="BO324" s="64"/>
      <c r="BP324" s="64"/>
    </row>
    <row r="325" ht="18.75" customHeight="1">
      <c r="H325" s="64"/>
      <c r="J325" s="64"/>
      <c r="K325" s="64"/>
      <c r="M325" s="64"/>
      <c r="N325" s="64"/>
      <c r="O325" s="64"/>
      <c r="P325" s="64"/>
      <c r="Q325" s="64"/>
      <c r="R325" s="64"/>
      <c r="S325" s="64"/>
      <c r="T325" s="64"/>
      <c r="U325" s="64"/>
      <c r="V325" s="64"/>
      <c r="W325" s="64"/>
      <c r="BF325" s="64"/>
      <c r="BG325" s="64"/>
      <c r="BH325" s="64"/>
      <c r="BI325" s="64"/>
      <c r="BJ325" s="64"/>
      <c r="BK325" s="64"/>
      <c r="BL325" s="64"/>
      <c r="BM325" s="64"/>
      <c r="BN325" s="64"/>
      <c r="BO325" s="64"/>
      <c r="BP325" s="64"/>
    </row>
    <row r="326" ht="18.75" customHeight="1">
      <c r="H326" s="64"/>
      <c r="J326" s="64"/>
      <c r="K326" s="64"/>
      <c r="M326" s="64"/>
      <c r="N326" s="64"/>
      <c r="O326" s="64"/>
      <c r="P326" s="64"/>
      <c r="Q326" s="64"/>
      <c r="R326" s="64"/>
      <c r="S326" s="64"/>
      <c r="T326" s="64"/>
      <c r="U326" s="64"/>
      <c r="V326" s="64"/>
      <c r="W326" s="64"/>
      <c r="BF326" s="64"/>
      <c r="BG326" s="64"/>
      <c r="BH326" s="64"/>
      <c r="BI326" s="64"/>
      <c r="BJ326" s="64"/>
      <c r="BK326" s="64"/>
      <c r="BL326" s="64"/>
      <c r="BM326" s="64"/>
      <c r="BN326" s="64"/>
      <c r="BO326" s="64"/>
      <c r="BP326" s="64"/>
    </row>
    <row r="327" ht="18.75" customHeight="1">
      <c r="H327" s="64"/>
      <c r="J327" s="64"/>
      <c r="K327" s="64"/>
      <c r="M327" s="64"/>
      <c r="N327" s="64"/>
      <c r="O327" s="64"/>
      <c r="P327" s="64"/>
      <c r="Q327" s="64"/>
      <c r="R327" s="64"/>
      <c r="S327" s="64"/>
      <c r="T327" s="64"/>
      <c r="U327" s="64"/>
      <c r="V327" s="64"/>
      <c r="W327" s="64"/>
      <c r="BF327" s="64"/>
      <c r="BG327" s="64"/>
      <c r="BH327" s="64"/>
      <c r="BI327" s="64"/>
      <c r="BJ327" s="64"/>
      <c r="BK327" s="64"/>
      <c r="BL327" s="64"/>
      <c r="BM327" s="64"/>
      <c r="BN327" s="64"/>
      <c r="BO327" s="64"/>
      <c r="BP327" s="64"/>
    </row>
    <row r="328" ht="18.75" customHeight="1">
      <c r="H328" s="64"/>
      <c r="J328" s="64"/>
      <c r="K328" s="64"/>
      <c r="M328" s="64"/>
      <c r="N328" s="64"/>
      <c r="O328" s="64"/>
      <c r="P328" s="64"/>
      <c r="Q328" s="64"/>
      <c r="R328" s="64"/>
      <c r="S328" s="64"/>
      <c r="T328" s="64"/>
      <c r="U328" s="64"/>
      <c r="V328" s="64"/>
      <c r="W328" s="64"/>
      <c r="BF328" s="64"/>
      <c r="BG328" s="64"/>
      <c r="BH328" s="64"/>
      <c r="BI328" s="64"/>
      <c r="BJ328" s="64"/>
      <c r="BK328" s="64"/>
      <c r="BL328" s="64"/>
      <c r="BM328" s="64"/>
      <c r="BN328" s="64"/>
      <c r="BO328" s="64"/>
      <c r="BP328" s="64"/>
    </row>
    <row r="329" ht="18.75" customHeight="1">
      <c r="H329" s="64"/>
      <c r="J329" s="64"/>
      <c r="K329" s="64"/>
      <c r="M329" s="64"/>
      <c r="N329" s="64"/>
      <c r="O329" s="64"/>
      <c r="P329" s="64"/>
      <c r="Q329" s="64"/>
      <c r="R329" s="64"/>
      <c r="S329" s="64"/>
      <c r="T329" s="64"/>
      <c r="U329" s="64"/>
      <c r="V329" s="64"/>
      <c r="W329" s="64"/>
      <c r="BF329" s="64"/>
      <c r="BG329" s="64"/>
      <c r="BH329" s="64"/>
      <c r="BI329" s="64"/>
      <c r="BJ329" s="64"/>
      <c r="BK329" s="64"/>
      <c r="BL329" s="64"/>
      <c r="BM329" s="64"/>
      <c r="BN329" s="64"/>
      <c r="BO329" s="64"/>
      <c r="BP329" s="64"/>
    </row>
    <row r="330" ht="18.75" customHeight="1">
      <c r="H330" s="64"/>
      <c r="J330" s="64"/>
      <c r="K330" s="64"/>
      <c r="M330" s="64"/>
      <c r="N330" s="64"/>
      <c r="O330" s="64"/>
      <c r="P330" s="64"/>
      <c r="Q330" s="64"/>
      <c r="R330" s="64"/>
      <c r="S330" s="64"/>
      <c r="T330" s="64"/>
      <c r="U330" s="64"/>
      <c r="V330" s="64"/>
      <c r="W330" s="64"/>
      <c r="BF330" s="64"/>
      <c r="BG330" s="64"/>
      <c r="BH330" s="64"/>
      <c r="BI330" s="64"/>
      <c r="BJ330" s="64"/>
      <c r="BK330" s="64"/>
      <c r="BL330" s="64"/>
      <c r="BM330" s="64"/>
      <c r="BN330" s="64"/>
      <c r="BO330" s="64"/>
      <c r="BP330" s="64"/>
    </row>
    <row r="331" ht="18.75" customHeight="1">
      <c r="H331" s="64"/>
      <c r="J331" s="64"/>
      <c r="K331" s="64"/>
      <c r="M331" s="64"/>
      <c r="N331" s="64"/>
      <c r="O331" s="64"/>
      <c r="P331" s="64"/>
      <c r="Q331" s="64"/>
      <c r="R331" s="64"/>
      <c r="S331" s="64"/>
      <c r="T331" s="64"/>
      <c r="U331" s="64"/>
      <c r="V331" s="64"/>
      <c r="W331" s="64"/>
      <c r="BF331" s="64"/>
      <c r="BG331" s="64"/>
      <c r="BH331" s="64"/>
      <c r="BI331" s="64"/>
      <c r="BJ331" s="64"/>
      <c r="BK331" s="64"/>
      <c r="BL331" s="64"/>
      <c r="BM331" s="64"/>
      <c r="BN331" s="64"/>
      <c r="BO331" s="64"/>
      <c r="BP331" s="64"/>
    </row>
    <row r="332" ht="18.75" customHeight="1">
      <c r="H332" s="64"/>
      <c r="J332" s="64"/>
      <c r="K332" s="64"/>
      <c r="M332" s="64"/>
      <c r="N332" s="64"/>
      <c r="O332" s="64"/>
      <c r="P332" s="64"/>
      <c r="Q332" s="64"/>
      <c r="R332" s="64"/>
      <c r="S332" s="64"/>
      <c r="T332" s="64"/>
      <c r="U332" s="64"/>
      <c r="V332" s="64"/>
      <c r="W332" s="64"/>
      <c r="BF332" s="64"/>
      <c r="BG332" s="64"/>
      <c r="BH332" s="64"/>
      <c r="BI332" s="64"/>
      <c r="BJ332" s="64"/>
      <c r="BK332" s="64"/>
      <c r="BL332" s="64"/>
      <c r="BM332" s="64"/>
      <c r="BN332" s="64"/>
      <c r="BO332" s="64"/>
      <c r="BP332" s="64"/>
    </row>
    <row r="333" ht="18.75" customHeight="1">
      <c r="H333" s="64"/>
      <c r="J333" s="64"/>
      <c r="K333" s="64"/>
      <c r="M333" s="64"/>
      <c r="N333" s="64"/>
      <c r="O333" s="64"/>
      <c r="P333" s="64"/>
      <c r="Q333" s="64"/>
      <c r="R333" s="64"/>
      <c r="S333" s="64"/>
      <c r="T333" s="64"/>
      <c r="U333" s="64"/>
      <c r="V333" s="64"/>
      <c r="W333" s="64"/>
      <c r="BF333" s="64"/>
      <c r="BG333" s="64"/>
      <c r="BH333" s="64"/>
      <c r="BI333" s="64"/>
      <c r="BJ333" s="64"/>
      <c r="BK333" s="64"/>
      <c r="BL333" s="64"/>
      <c r="BM333" s="64"/>
      <c r="BN333" s="64"/>
      <c r="BO333" s="64"/>
      <c r="BP333" s="64"/>
    </row>
    <row r="334" ht="18.75" customHeight="1">
      <c r="H334" s="64"/>
      <c r="J334" s="64"/>
      <c r="K334" s="64"/>
      <c r="M334" s="64"/>
      <c r="N334" s="64"/>
      <c r="O334" s="64"/>
      <c r="P334" s="64"/>
      <c r="Q334" s="64"/>
      <c r="R334" s="64"/>
      <c r="S334" s="64"/>
      <c r="T334" s="64"/>
      <c r="U334" s="64"/>
      <c r="V334" s="64"/>
      <c r="W334" s="64"/>
      <c r="BF334" s="64"/>
      <c r="BG334" s="64"/>
      <c r="BH334" s="64"/>
      <c r="BI334" s="64"/>
      <c r="BJ334" s="64"/>
      <c r="BK334" s="64"/>
      <c r="BL334" s="64"/>
      <c r="BM334" s="64"/>
      <c r="BN334" s="64"/>
      <c r="BO334" s="64"/>
      <c r="BP334" s="64"/>
    </row>
    <row r="335" ht="18.75" customHeight="1">
      <c r="H335" s="64"/>
      <c r="J335" s="64"/>
      <c r="K335" s="64"/>
      <c r="M335" s="64"/>
      <c r="N335" s="64"/>
      <c r="O335" s="64"/>
      <c r="P335" s="64"/>
      <c r="Q335" s="64"/>
      <c r="R335" s="64"/>
      <c r="S335" s="64"/>
      <c r="T335" s="64"/>
      <c r="U335" s="64"/>
      <c r="V335" s="64"/>
      <c r="W335" s="64"/>
      <c r="BF335" s="64"/>
      <c r="BG335" s="64"/>
      <c r="BH335" s="64"/>
      <c r="BI335" s="64"/>
      <c r="BJ335" s="64"/>
      <c r="BK335" s="64"/>
      <c r="BL335" s="64"/>
      <c r="BM335" s="64"/>
      <c r="BN335" s="64"/>
      <c r="BO335" s="64"/>
      <c r="BP335" s="64"/>
    </row>
    <row r="336" ht="18.75" customHeight="1">
      <c r="H336" s="64"/>
      <c r="J336" s="64"/>
      <c r="K336" s="64"/>
      <c r="M336" s="64"/>
      <c r="N336" s="64"/>
      <c r="O336" s="64"/>
      <c r="P336" s="64"/>
      <c r="Q336" s="64"/>
      <c r="R336" s="64"/>
      <c r="S336" s="64"/>
      <c r="T336" s="64"/>
      <c r="U336" s="64"/>
      <c r="V336" s="64"/>
      <c r="W336" s="64"/>
      <c r="BF336" s="64"/>
      <c r="BG336" s="64"/>
      <c r="BH336" s="64"/>
      <c r="BI336" s="64"/>
      <c r="BJ336" s="64"/>
      <c r="BK336" s="64"/>
      <c r="BL336" s="64"/>
      <c r="BM336" s="64"/>
      <c r="BN336" s="64"/>
      <c r="BO336" s="64"/>
      <c r="BP336" s="64"/>
    </row>
    <row r="337" ht="18.75" customHeight="1">
      <c r="H337" s="64"/>
      <c r="J337" s="64"/>
      <c r="K337" s="64"/>
      <c r="M337" s="64"/>
      <c r="N337" s="64"/>
      <c r="O337" s="64"/>
      <c r="P337" s="64"/>
      <c r="Q337" s="64"/>
      <c r="R337" s="64"/>
      <c r="S337" s="64"/>
      <c r="T337" s="64"/>
      <c r="U337" s="64"/>
      <c r="V337" s="64"/>
      <c r="W337" s="64"/>
      <c r="BF337" s="64"/>
      <c r="BG337" s="64"/>
      <c r="BH337" s="64"/>
      <c r="BI337" s="64"/>
      <c r="BJ337" s="64"/>
      <c r="BK337" s="64"/>
      <c r="BL337" s="64"/>
      <c r="BM337" s="64"/>
      <c r="BN337" s="64"/>
      <c r="BO337" s="64"/>
      <c r="BP337" s="64"/>
    </row>
    <row r="338" ht="18.75" customHeight="1">
      <c r="H338" s="64"/>
      <c r="J338" s="64"/>
      <c r="K338" s="64"/>
      <c r="M338" s="64"/>
      <c r="N338" s="64"/>
      <c r="O338" s="64"/>
      <c r="P338" s="64"/>
      <c r="Q338" s="64"/>
      <c r="R338" s="64"/>
      <c r="S338" s="64"/>
      <c r="T338" s="64"/>
      <c r="U338" s="64"/>
      <c r="V338" s="64"/>
      <c r="W338" s="64"/>
      <c r="BF338" s="64"/>
      <c r="BG338" s="64"/>
      <c r="BH338" s="64"/>
      <c r="BI338" s="64"/>
      <c r="BJ338" s="64"/>
      <c r="BK338" s="64"/>
      <c r="BL338" s="64"/>
      <c r="BM338" s="64"/>
      <c r="BN338" s="64"/>
      <c r="BO338" s="64"/>
      <c r="BP338" s="64"/>
    </row>
    <row r="339" ht="18.75" customHeight="1">
      <c r="H339" s="64"/>
      <c r="J339" s="64"/>
      <c r="K339" s="64"/>
      <c r="M339" s="64"/>
      <c r="N339" s="64"/>
      <c r="O339" s="64"/>
      <c r="P339" s="64"/>
      <c r="Q339" s="64"/>
      <c r="R339" s="64"/>
      <c r="S339" s="64"/>
      <c r="T339" s="64"/>
      <c r="U339" s="64"/>
      <c r="V339" s="64"/>
      <c r="W339" s="64"/>
      <c r="BF339" s="64"/>
      <c r="BG339" s="64"/>
      <c r="BH339" s="64"/>
      <c r="BI339" s="64"/>
      <c r="BJ339" s="64"/>
      <c r="BK339" s="64"/>
      <c r="BL339" s="64"/>
      <c r="BM339" s="64"/>
      <c r="BN339" s="64"/>
      <c r="BO339" s="64"/>
      <c r="BP339" s="64"/>
    </row>
    <row r="340" ht="18.75" customHeight="1">
      <c r="H340" s="64"/>
      <c r="J340" s="64"/>
      <c r="K340" s="64"/>
      <c r="M340" s="64"/>
      <c r="N340" s="64"/>
      <c r="O340" s="64"/>
      <c r="P340" s="64"/>
      <c r="Q340" s="64"/>
      <c r="R340" s="64"/>
      <c r="S340" s="64"/>
      <c r="T340" s="64"/>
      <c r="U340" s="64"/>
      <c r="V340" s="64"/>
      <c r="W340" s="64"/>
      <c r="BF340" s="64"/>
      <c r="BG340" s="64"/>
      <c r="BH340" s="64"/>
      <c r="BI340" s="64"/>
      <c r="BJ340" s="64"/>
      <c r="BK340" s="64"/>
      <c r="BL340" s="64"/>
      <c r="BM340" s="64"/>
      <c r="BN340" s="64"/>
      <c r="BO340" s="64"/>
      <c r="BP340" s="64"/>
    </row>
    <row r="341" ht="18.75" customHeight="1">
      <c r="H341" s="64"/>
      <c r="J341" s="64"/>
      <c r="K341" s="64"/>
      <c r="M341" s="64"/>
      <c r="N341" s="64"/>
      <c r="O341" s="64"/>
      <c r="P341" s="64"/>
      <c r="Q341" s="64"/>
      <c r="R341" s="64"/>
      <c r="S341" s="64"/>
      <c r="T341" s="64"/>
      <c r="U341" s="64"/>
      <c r="V341" s="64"/>
      <c r="W341" s="64"/>
      <c r="BF341" s="64"/>
      <c r="BG341" s="64"/>
      <c r="BH341" s="64"/>
      <c r="BI341" s="64"/>
      <c r="BJ341" s="64"/>
      <c r="BK341" s="64"/>
      <c r="BL341" s="64"/>
      <c r="BM341" s="64"/>
      <c r="BN341" s="64"/>
      <c r="BO341" s="64"/>
      <c r="BP341" s="64"/>
    </row>
    <row r="342" ht="18.75" customHeight="1">
      <c r="H342" s="64"/>
      <c r="J342" s="64"/>
      <c r="K342" s="64"/>
      <c r="M342" s="64"/>
      <c r="N342" s="64"/>
      <c r="O342" s="64"/>
      <c r="P342" s="64"/>
      <c r="Q342" s="64"/>
      <c r="R342" s="64"/>
      <c r="S342" s="64"/>
      <c r="T342" s="64"/>
      <c r="U342" s="64"/>
      <c r="V342" s="64"/>
      <c r="W342" s="64"/>
      <c r="BF342" s="64"/>
      <c r="BG342" s="64"/>
      <c r="BH342" s="64"/>
      <c r="BI342" s="64"/>
      <c r="BJ342" s="64"/>
      <c r="BK342" s="64"/>
      <c r="BL342" s="64"/>
      <c r="BM342" s="64"/>
      <c r="BN342" s="64"/>
      <c r="BO342" s="64"/>
      <c r="BP342" s="64"/>
    </row>
    <row r="343" ht="18.75" customHeight="1">
      <c r="H343" s="64"/>
      <c r="J343" s="64"/>
      <c r="K343" s="64"/>
      <c r="M343" s="64"/>
      <c r="N343" s="64"/>
      <c r="O343" s="64"/>
      <c r="P343" s="64"/>
      <c r="Q343" s="64"/>
      <c r="R343" s="64"/>
      <c r="S343" s="64"/>
      <c r="T343" s="64"/>
      <c r="U343" s="64"/>
      <c r="V343" s="64"/>
      <c r="W343" s="64"/>
      <c r="BF343" s="64"/>
      <c r="BG343" s="64"/>
      <c r="BH343" s="64"/>
      <c r="BI343" s="64"/>
      <c r="BJ343" s="64"/>
      <c r="BK343" s="64"/>
      <c r="BL343" s="64"/>
      <c r="BM343" s="64"/>
      <c r="BN343" s="64"/>
      <c r="BO343" s="64"/>
      <c r="BP343" s="64"/>
    </row>
    <row r="344" ht="18.75" customHeight="1">
      <c r="H344" s="64"/>
      <c r="J344" s="64"/>
      <c r="K344" s="64"/>
      <c r="M344" s="64"/>
      <c r="N344" s="64"/>
      <c r="O344" s="64"/>
      <c r="P344" s="64"/>
      <c r="Q344" s="64"/>
      <c r="R344" s="64"/>
      <c r="S344" s="64"/>
      <c r="T344" s="64"/>
      <c r="U344" s="64"/>
      <c r="V344" s="64"/>
      <c r="W344" s="64"/>
      <c r="BF344" s="64"/>
      <c r="BG344" s="64"/>
      <c r="BH344" s="64"/>
      <c r="BI344" s="64"/>
      <c r="BJ344" s="64"/>
      <c r="BK344" s="64"/>
      <c r="BL344" s="64"/>
      <c r="BM344" s="64"/>
      <c r="BN344" s="64"/>
      <c r="BO344" s="64"/>
      <c r="BP344" s="64"/>
    </row>
    <row r="345" ht="18.75" customHeight="1">
      <c r="H345" s="64"/>
      <c r="J345" s="64"/>
      <c r="K345" s="64"/>
      <c r="M345" s="64"/>
      <c r="N345" s="64"/>
      <c r="O345" s="64"/>
      <c r="P345" s="64"/>
      <c r="Q345" s="64"/>
      <c r="R345" s="64"/>
      <c r="S345" s="64"/>
      <c r="T345" s="64"/>
      <c r="U345" s="64"/>
      <c r="V345" s="64"/>
      <c r="W345" s="64"/>
      <c r="BF345" s="64"/>
      <c r="BG345" s="64"/>
      <c r="BH345" s="64"/>
      <c r="BI345" s="64"/>
      <c r="BJ345" s="64"/>
      <c r="BK345" s="64"/>
      <c r="BL345" s="64"/>
      <c r="BM345" s="64"/>
      <c r="BN345" s="64"/>
      <c r="BO345" s="64"/>
      <c r="BP345" s="64"/>
    </row>
    <row r="346" ht="18.75" customHeight="1">
      <c r="H346" s="64"/>
      <c r="J346" s="64"/>
      <c r="K346" s="64"/>
      <c r="M346" s="64"/>
      <c r="N346" s="64"/>
      <c r="O346" s="64"/>
      <c r="P346" s="64"/>
      <c r="Q346" s="64"/>
      <c r="R346" s="64"/>
      <c r="S346" s="64"/>
      <c r="T346" s="64"/>
      <c r="U346" s="64"/>
      <c r="V346" s="64"/>
      <c r="W346" s="64"/>
      <c r="BF346" s="64"/>
      <c r="BG346" s="64"/>
      <c r="BH346" s="64"/>
      <c r="BI346" s="64"/>
      <c r="BJ346" s="64"/>
      <c r="BK346" s="64"/>
      <c r="BL346" s="64"/>
      <c r="BM346" s="64"/>
      <c r="BN346" s="64"/>
      <c r="BO346" s="64"/>
      <c r="BP346" s="64"/>
    </row>
    <row r="347" ht="18.75" customHeight="1">
      <c r="H347" s="64"/>
      <c r="J347" s="64"/>
      <c r="K347" s="64"/>
      <c r="M347" s="64"/>
      <c r="N347" s="64"/>
      <c r="O347" s="64"/>
      <c r="P347" s="64"/>
      <c r="Q347" s="64"/>
      <c r="R347" s="64"/>
      <c r="S347" s="64"/>
      <c r="T347" s="64"/>
      <c r="U347" s="64"/>
      <c r="V347" s="64"/>
      <c r="W347" s="64"/>
      <c r="BF347" s="64"/>
      <c r="BG347" s="64"/>
      <c r="BH347" s="64"/>
      <c r="BI347" s="64"/>
      <c r="BJ347" s="64"/>
      <c r="BK347" s="64"/>
      <c r="BL347" s="64"/>
      <c r="BM347" s="64"/>
      <c r="BN347" s="64"/>
      <c r="BO347" s="64"/>
      <c r="BP347" s="64"/>
    </row>
    <row r="348" ht="18.75" customHeight="1">
      <c r="H348" s="64"/>
      <c r="J348" s="64"/>
      <c r="K348" s="64"/>
      <c r="M348" s="64"/>
      <c r="N348" s="64"/>
      <c r="O348" s="64"/>
      <c r="P348" s="64"/>
      <c r="Q348" s="64"/>
      <c r="R348" s="64"/>
      <c r="S348" s="64"/>
      <c r="T348" s="64"/>
      <c r="U348" s="64"/>
      <c r="V348" s="64"/>
      <c r="W348" s="64"/>
      <c r="BF348" s="64"/>
      <c r="BG348" s="64"/>
      <c r="BH348" s="64"/>
      <c r="BI348" s="64"/>
      <c r="BJ348" s="64"/>
      <c r="BK348" s="64"/>
      <c r="BL348" s="64"/>
      <c r="BM348" s="64"/>
      <c r="BN348" s="64"/>
      <c r="BO348" s="64"/>
      <c r="BP348" s="64"/>
    </row>
    <row r="349" ht="18.75" customHeight="1">
      <c r="H349" s="64"/>
      <c r="J349" s="64"/>
      <c r="K349" s="64"/>
      <c r="M349" s="64"/>
      <c r="N349" s="64"/>
      <c r="O349" s="64"/>
      <c r="P349" s="64"/>
      <c r="Q349" s="64"/>
      <c r="R349" s="64"/>
      <c r="S349" s="64"/>
      <c r="T349" s="64"/>
      <c r="U349" s="64"/>
      <c r="V349" s="64"/>
      <c r="W349" s="64"/>
      <c r="BF349" s="64"/>
      <c r="BG349" s="64"/>
      <c r="BH349" s="64"/>
      <c r="BI349" s="64"/>
      <c r="BJ349" s="64"/>
      <c r="BK349" s="64"/>
      <c r="BL349" s="64"/>
      <c r="BM349" s="64"/>
      <c r="BN349" s="64"/>
      <c r="BO349" s="64"/>
      <c r="BP349" s="64"/>
    </row>
    <row r="350" ht="18.75" customHeight="1">
      <c r="H350" s="64"/>
      <c r="J350" s="64"/>
      <c r="K350" s="64"/>
      <c r="M350" s="64"/>
      <c r="N350" s="64"/>
      <c r="O350" s="64"/>
      <c r="P350" s="64"/>
      <c r="Q350" s="64"/>
      <c r="R350" s="64"/>
      <c r="S350" s="64"/>
      <c r="T350" s="64"/>
      <c r="U350" s="64"/>
      <c r="V350" s="64"/>
      <c r="W350" s="64"/>
      <c r="BF350" s="64"/>
      <c r="BG350" s="64"/>
      <c r="BH350" s="64"/>
      <c r="BI350" s="64"/>
      <c r="BJ350" s="64"/>
      <c r="BK350" s="64"/>
      <c r="BL350" s="64"/>
      <c r="BM350" s="64"/>
      <c r="BN350" s="64"/>
      <c r="BO350" s="64"/>
      <c r="BP350" s="64"/>
    </row>
    <row r="351" ht="18.75" customHeight="1">
      <c r="H351" s="64"/>
      <c r="J351" s="64"/>
      <c r="K351" s="64"/>
      <c r="M351" s="64"/>
      <c r="N351" s="64"/>
      <c r="O351" s="64"/>
      <c r="P351" s="64"/>
      <c r="Q351" s="64"/>
      <c r="R351" s="64"/>
      <c r="S351" s="64"/>
      <c r="T351" s="64"/>
      <c r="U351" s="64"/>
      <c r="V351" s="64"/>
      <c r="W351" s="64"/>
      <c r="BF351" s="64"/>
      <c r="BG351" s="64"/>
      <c r="BH351" s="64"/>
      <c r="BI351" s="64"/>
      <c r="BJ351" s="64"/>
      <c r="BK351" s="64"/>
      <c r="BL351" s="64"/>
      <c r="BM351" s="64"/>
      <c r="BN351" s="64"/>
      <c r="BO351" s="64"/>
      <c r="BP351" s="64"/>
    </row>
    <row r="352" ht="18.75" customHeight="1">
      <c r="H352" s="64"/>
      <c r="J352" s="64"/>
      <c r="K352" s="64"/>
      <c r="M352" s="64"/>
      <c r="N352" s="64"/>
      <c r="O352" s="64"/>
      <c r="P352" s="64"/>
      <c r="Q352" s="64"/>
      <c r="R352" s="64"/>
      <c r="S352" s="64"/>
      <c r="T352" s="64"/>
      <c r="U352" s="64"/>
      <c r="V352" s="64"/>
      <c r="W352" s="64"/>
      <c r="BF352" s="64"/>
      <c r="BG352" s="64"/>
      <c r="BH352" s="64"/>
      <c r="BI352" s="64"/>
      <c r="BJ352" s="64"/>
      <c r="BK352" s="64"/>
      <c r="BL352" s="64"/>
      <c r="BM352" s="64"/>
      <c r="BN352" s="64"/>
      <c r="BO352" s="64"/>
      <c r="BP352" s="64"/>
    </row>
    <row r="353" ht="18.75" customHeight="1">
      <c r="H353" s="64"/>
      <c r="J353" s="64"/>
      <c r="K353" s="64"/>
      <c r="M353" s="64"/>
      <c r="N353" s="64"/>
      <c r="O353" s="64"/>
      <c r="P353" s="64"/>
      <c r="Q353" s="64"/>
      <c r="R353" s="64"/>
      <c r="S353" s="64"/>
      <c r="T353" s="64"/>
      <c r="U353" s="64"/>
      <c r="V353" s="64"/>
      <c r="W353" s="64"/>
      <c r="BF353" s="64"/>
      <c r="BG353" s="64"/>
      <c r="BH353" s="64"/>
      <c r="BI353" s="64"/>
      <c r="BJ353" s="64"/>
      <c r="BK353" s="64"/>
      <c r="BL353" s="64"/>
      <c r="BM353" s="64"/>
      <c r="BN353" s="64"/>
      <c r="BO353" s="64"/>
      <c r="BP353" s="64"/>
    </row>
    <row r="354" ht="18.75" customHeight="1">
      <c r="H354" s="64"/>
      <c r="J354" s="64"/>
      <c r="K354" s="64"/>
      <c r="M354" s="64"/>
      <c r="N354" s="64"/>
      <c r="O354" s="64"/>
      <c r="P354" s="64"/>
      <c r="Q354" s="64"/>
      <c r="R354" s="64"/>
      <c r="S354" s="64"/>
      <c r="T354" s="64"/>
      <c r="U354" s="64"/>
      <c r="V354" s="64"/>
      <c r="W354" s="64"/>
      <c r="BF354" s="64"/>
      <c r="BG354" s="64"/>
      <c r="BH354" s="64"/>
      <c r="BI354" s="64"/>
      <c r="BJ354" s="64"/>
      <c r="BK354" s="64"/>
      <c r="BL354" s="64"/>
      <c r="BM354" s="64"/>
      <c r="BN354" s="64"/>
      <c r="BO354" s="64"/>
      <c r="BP354" s="64"/>
    </row>
    <row r="355" ht="18.75" customHeight="1">
      <c r="H355" s="64"/>
      <c r="J355" s="64"/>
      <c r="K355" s="64"/>
      <c r="M355" s="64"/>
      <c r="N355" s="64"/>
      <c r="O355" s="64"/>
      <c r="P355" s="64"/>
      <c r="Q355" s="64"/>
      <c r="R355" s="64"/>
      <c r="S355" s="64"/>
      <c r="T355" s="64"/>
      <c r="U355" s="64"/>
      <c r="V355" s="64"/>
      <c r="W355" s="64"/>
      <c r="BF355" s="64"/>
      <c r="BG355" s="64"/>
      <c r="BH355" s="64"/>
      <c r="BI355" s="64"/>
      <c r="BJ355" s="64"/>
      <c r="BK355" s="64"/>
      <c r="BL355" s="64"/>
      <c r="BM355" s="64"/>
      <c r="BN355" s="64"/>
      <c r="BO355" s="64"/>
      <c r="BP355" s="64"/>
    </row>
    <row r="356" ht="18.75" customHeight="1">
      <c r="H356" s="64"/>
      <c r="J356" s="64"/>
      <c r="K356" s="64"/>
      <c r="M356" s="64"/>
      <c r="N356" s="64"/>
      <c r="O356" s="64"/>
      <c r="P356" s="64"/>
      <c r="Q356" s="64"/>
      <c r="R356" s="64"/>
      <c r="S356" s="64"/>
      <c r="T356" s="64"/>
      <c r="U356" s="64"/>
      <c r="V356" s="64"/>
      <c r="W356" s="64"/>
      <c r="BF356" s="64"/>
      <c r="BG356" s="64"/>
      <c r="BH356" s="64"/>
      <c r="BI356" s="64"/>
      <c r="BJ356" s="64"/>
      <c r="BK356" s="64"/>
      <c r="BL356" s="64"/>
      <c r="BM356" s="64"/>
      <c r="BN356" s="64"/>
      <c r="BO356" s="64"/>
      <c r="BP356" s="64"/>
    </row>
    <row r="357" ht="18.75" customHeight="1">
      <c r="H357" s="64"/>
      <c r="J357" s="64"/>
      <c r="K357" s="64"/>
      <c r="M357" s="64"/>
      <c r="N357" s="64"/>
      <c r="O357" s="64"/>
      <c r="P357" s="64"/>
      <c r="Q357" s="64"/>
      <c r="R357" s="64"/>
      <c r="S357" s="64"/>
      <c r="T357" s="64"/>
      <c r="U357" s="64"/>
      <c r="V357" s="64"/>
      <c r="W357" s="64"/>
      <c r="BF357" s="64"/>
      <c r="BG357" s="64"/>
      <c r="BH357" s="64"/>
      <c r="BI357" s="64"/>
      <c r="BJ357" s="64"/>
      <c r="BK357" s="64"/>
      <c r="BL357" s="64"/>
      <c r="BM357" s="64"/>
      <c r="BN357" s="64"/>
      <c r="BO357" s="64"/>
      <c r="BP357" s="64"/>
    </row>
    <row r="358" ht="18.75" customHeight="1">
      <c r="H358" s="64"/>
      <c r="J358" s="64"/>
      <c r="K358" s="64"/>
      <c r="M358" s="64"/>
      <c r="N358" s="64"/>
      <c r="O358" s="64"/>
      <c r="P358" s="64"/>
      <c r="Q358" s="64"/>
      <c r="R358" s="64"/>
      <c r="S358" s="64"/>
      <c r="T358" s="64"/>
      <c r="U358" s="64"/>
      <c r="V358" s="64"/>
      <c r="W358" s="64"/>
      <c r="BF358" s="64"/>
      <c r="BG358" s="64"/>
      <c r="BH358" s="64"/>
      <c r="BI358" s="64"/>
      <c r="BJ358" s="64"/>
      <c r="BK358" s="64"/>
      <c r="BL358" s="64"/>
      <c r="BM358" s="64"/>
      <c r="BN358" s="64"/>
      <c r="BO358" s="64"/>
      <c r="BP358" s="64"/>
    </row>
    <row r="359" ht="18.75" customHeight="1">
      <c r="H359" s="64"/>
      <c r="J359" s="64"/>
      <c r="K359" s="64"/>
      <c r="M359" s="64"/>
      <c r="N359" s="64"/>
      <c r="O359" s="64"/>
      <c r="P359" s="64"/>
      <c r="Q359" s="64"/>
      <c r="R359" s="64"/>
      <c r="S359" s="64"/>
      <c r="T359" s="64"/>
      <c r="U359" s="64"/>
      <c r="V359" s="64"/>
      <c r="W359" s="64"/>
      <c r="BF359" s="64"/>
      <c r="BG359" s="64"/>
      <c r="BH359" s="64"/>
      <c r="BI359" s="64"/>
      <c r="BJ359" s="64"/>
      <c r="BK359" s="64"/>
      <c r="BL359" s="64"/>
      <c r="BM359" s="64"/>
      <c r="BN359" s="64"/>
      <c r="BO359" s="64"/>
      <c r="BP359" s="64"/>
    </row>
    <row r="360" ht="18.75" customHeight="1">
      <c r="H360" s="64"/>
      <c r="J360" s="64"/>
      <c r="K360" s="64"/>
      <c r="M360" s="64"/>
      <c r="N360" s="64"/>
      <c r="O360" s="64"/>
      <c r="P360" s="64"/>
      <c r="Q360" s="64"/>
      <c r="R360" s="64"/>
      <c r="S360" s="64"/>
      <c r="T360" s="64"/>
      <c r="U360" s="64"/>
      <c r="V360" s="64"/>
      <c r="W360" s="64"/>
      <c r="BF360" s="64"/>
      <c r="BG360" s="64"/>
      <c r="BH360" s="64"/>
      <c r="BI360" s="64"/>
      <c r="BJ360" s="64"/>
      <c r="BK360" s="64"/>
      <c r="BL360" s="64"/>
      <c r="BM360" s="64"/>
      <c r="BN360" s="64"/>
      <c r="BO360" s="64"/>
      <c r="BP360" s="64"/>
    </row>
    <row r="361" ht="18.75" customHeight="1">
      <c r="H361" s="64"/>
      <c r="J361" s="64"/>
      <c r="K361" s="64"/>
      <c r="M361" s="64"/>
      <c r="N361" s="64"/>
      <c r="O361" s="64"/>
      <c r="P361" s="64"/>
      <c r="Q361" s="64"/>
      <c r="R361" s="64"/>
      <c r="S361" s="64"/>
      <c r="T361" s="64"/>
      <c r="U361" s="64"/>
      <c r="V361" s="64"/>
      <c r="W361" s="64"/>
      <c r="BF361" s="64"/>
      <c r="BG361" s="64"/>
      <c r="BH361" s="64"/>
      <c r="BI361" s="64"/>
      <c r="BJ361" s="64"/>
      <c r="BK361" s="64"/>
      <c r="BL361" s="64"/>
      <c r="BM361" s="64"/>
      <c r="BN361" s="64"/>
      <c r="BO361" s="64"/>
      <c r="BP361" s="64"/>
    </row>
    <row r="362" ht="18.75" customHeight="1">
      <c r="H362" s="64"/>
      <c r="J362" s="64"/>
      <c r="K362" s="64"/>
      <c r="M362" s="64"/>
      <c r="N362" s="64"/>
      <c r="O362" s="64"/>
      <c r="P362" s="64"/>
      <c r="Q362" s="64"/>
      <c r="R362" s="64"/>
      <c r="S362" s="64"/>
      <c r="T362" s="64"/>
      <c r="U362" s="64"/>
      <c r="V362" s="64"/>
      <c r="W362" s="64"/>
      <c r="BF362" s="64"/>
      <c r="BG362" s="64"/>
      <c r="BH362" s="64"/>
      <c r="BI362" s="64"/>
      <c r="BJ362" s="64"/>
      <c r="BK362" s="64"/>
      <c r="BL362" s="64"/>
      <c r="BM362" s="64"/>
      <c r="BN362" s="64"/>
      <c r="BO362" s="64"/>
      <c r="BP362" s="64"/>
    </row>
    <row r="363" ht="18.75" customHeight="1">
      <c r="H363" s="64"/>
      <c r="J363" s="64"/>
      <c r="K363" s="64"/>
      <c r="M363" s="64"/>
      <c r="N363" s="64"/>
      <c r="O363" s="64"/>
      <c r="P363" s="64"/>
      <c r="Q363" s="64"/>
      <c r="R363" s="64"/>
      <c r="S363" s="64"/>
      <c r="T363" s="64"/>
      <c r="U363" s="64"/>
      <c r="V363" s="64"/>
      <c r="W363" s="64"/>
      <c r="BF363" s="64"/>
      <c r="BG363" s="64"/>
      <c r="BH363" s="64"/>
      <c r="BI363" s="64"/>
      <c r="BJ363" s="64"/>
      <c r="BK363" s="64"/>
      <c r="BL363" s="64"/>
      <c r="BM363" s="64"/>
      <c r="BN363" s="64"/>
      <c r="BO363" s="64"/>
      <c r="BP363" s="64"/>
    </row>
    <row r="364" ht="18.75" customHeight="1">
      <c r="H364" s="64"/>
      <c r="J364" s="64"/>
      <c r="K364" s="64"/>
      <c r="M364" s="64"/>
      <c r="N364" s="64"/>
      <c r="O364" s="64"/>
      <c r="P364" s="64"/>
      <c r="Q364" s="64"/>
      <c r="R364" s="64"/>
      <c r="S364" s="64"/>
      <c r="T364" s="64"/>
      <c r="U364" s="64"/>
      <c r="V364" s="64"/>
      <c r="W364" s="64"/>
      <c r="BF364" s="64"/>
      <c r="BG364" s="64"/>
      <c r="BH364" s="64"/>
      <c r="BI364" s="64"/>
      <c r="BJ364" s="64"/>
      <c r="BK364" s="64"/>
      <c r="BL364" s="64"/>
      <c r="BM364" s="64"/>
      <c r="BN364" s="64"/>
      <c r="BO364" s="64"/>
      <c r="BP364" s="64"/>
    </row>
    <row r="365" ht="18.75" customHeight="1">
      <c r="H365" s="64"/>
      <c r="J365" s="64"/>
      <c r="K365" s="64"/>
      <c r="M365" s="64"/>
      <c r="N365" s="64"/>
      <c r="O365" s="64"/>
      <c r="P365" s="64"/>
      <c r="Q365" s="64"/>
      <c r="R365" s="64"/>
      <c r="S365" s="64"/>
      <c r="T365" s="64"/>
      <c r="U365" s="64"/>
      <c r="V365" s="64"/>
      <c r="W365" s="64"/>
      <c r="BF365" s="64"/>
      <c r="BG365" s="64"/>
      <c r="BH365" s="64"/>
      <c r="BI365" s="64"/>
      <c r="BJ365" s="64"/>
      <c r="BK365" s="64"/>
      <c r="BL365" s="64"/>
      <c r="BM365" s="64"/>
      <c r="BN365" s="64"/>
      <c r="BO365" s="64"/>
      <c r="BP365" s="64"/>
    </row>
    <row r="366" ht="18.75" customHeight="1">
      <c r="H366" s="64"/>
      <c r="J366" s="64"/>
      <c r="K366" s="64"/>
      <c r="M366" s="64"/>
      <c r="N366" s="64"/>
      <c r="O366" s="64"/>
      <c r="P366" s="64"/>
      <c r="Q366" s="64"/>
      <c r="R366" s="64"/>
      <c r="S366" s="64"/>
      <c r="T366" s="64"/>
      <c r="U366" s="64"/>
      <c r="V366" s="64"/>
      <c r="W366" s="64"/>
      <c r="BF366" s="64"/>
      <c r="BG366" s="64"/>
      <c r="BH366" s="64"/>
      <c r="BI366" s="64"/>
      <c r="BJ366" s="64"/>
      <c r="BK366" s="64"/>
      <c r="BL366" s="64"/>
      <c r="BM366" s="64"/>
      <c r="BN366" s="64"/>
      <c r="BO366" s="64"/>
      <c r="BP366" s="64"/>
    </row>
    <row r="367" ht="18.75" customHeight="1">
      <c r="H367" s="64"/>
      <c r="J367" s="64"/>
      <c r="K367" s="64"/>
      <c r="M367" s="64"/>
      <c r="N367" s="64"/>
      <c r="O367" s="64"/>
      <c r="P367" s="64"/>
      <c r="Q367" s="64"/>
      <c r="R367" s="64"/>
      <c r="S367" s="64"/>
      <c r="T367" s="64"/>
      <c r="U367" s="64"/>
      <c r="V367" s="64"/>
      <c r="W367" s="64"/>
      <c r="BF367" s="64"/>
      <c r="BG367" s="64"/>
      <c r="BH367" s="64"/>
      <c r="BI367" s="64"/>
      <c r="BJ367" s="64"/>
      <c r="BK367" s="64"/>
      <c r="BL367" s="64"/>
      <c r="BM367" s="64"/>
      <c r="BN367" s="64"/>
      <c r="BO367" s="64"/>
      <c r="BP367" s="64"/>
    </row>
    <row r="368" ht="18.75" customHeight="1">
      <c r="H368" s="64"/>
      <c r="J368" s="64"/>
      <c r="K368" s="64"/>
      <c r="M368" s="64"/>
      <c r="N368" s="64"/>
      <c r="O368" s="64"/>
      <c r="P368" s="64"/>
      <c r="Q368" s="64"/>
      <c r="R368" s="64"/>
      <c r="S368" s="64"/>
      <c r="T368" s="64"/>
      <c r="U368" s="64"/>
      <c r="V368" s="64"/>
      <c r="W368" s="64"/>
      <c r="BF368" s="64"/>
      <c r="BG368" s="64"/>
      <c r="BH368" s="64"/>
      <c r="BI368" s="64"/>
      <c r="BJ368" s="64"/>
      <c r="BK368" s="64"/>
      <c r="BL368" s="64"/>
      <c r="BM368" s="64"/>
      <c r="BN368" s="64"/>
      <c r="BO368" s="64"/>
      <c r="BP368" s="64"/>
    </row>
    <row r="369" ht="18.75" customHeight="1">
      <c r="H369" s="64"/>
      <c r="J369" s="64"/>
      <c r="K369" s="64"/>
      <c r="M369" s="64"/>
      <c r="N369" s="64"/>
      <c r="O369" s="64"/>
      <c r="P369" s="64"/>
      <c r="Q369" s="64"/>
      <c r="R369" s="64"/>
      <c r="S369" s="64"/>
      <c r="T369" s="64"/>
      <c r="U369" s="64"/>
      <c r="V369" s="64"/>
      <c r="W369" s="64"/>
      <c r="BF369" s="64"/>
      <c r="BG369" s="64"/>
      <c r="BH369" s="64"/>
      <c r="BI369" s="64"/>
      <c r="BJ369" s="64"/>
      <c r="BK369" s="64"/>
      <c r="BL369" s="64"/>
      <c r="BM369" s="64"/>
      <c r="BN369" s="64"/>
      <c r="BO369" s="64"/>
      <c r="BP369" s="64"/>
    </row>
    <row r="370" ht="18.75" customHeight="1">
      <c r="H370" s="64"/>
      <c r="J370" s="64"/>
      <c r="K370" s="64"/>
      <c r="M370" s="64"/>
      <c r="N370" s="64"/>
      <c r="O370" s="64"/>
      <c r="P370" s="64"/>
      <c r="Q370" s="64"/>
      <c r="R370" s="64"/>
      <c r="S370" s="64"/>
      <c r="T370" s="64"/>
      <c r="U370" s="64"/>
      <c r="V370" s="64"/>
      <c r="W370" s="64"/>
      <c r="BF370" s="64"/>
      <c r="BG370" s="64"/>
      <c r="BH370" s="64"/>
      <c r="BI370" s="64"/>
      <c r="BJ370" s="64"/>
      <c r="BK370" s="64"/>
      <c r="BL370" s="64"/>
      <c r="BM370" s="64"/>
      <c r="BN370" s="64"/>
      <c r="BO370" s="64"/>
      <c r="BP370" s="64"/>
    </row>
    <row r="371" ht="18.75" customHeight="1">
      <c r="H371" s="64"/>
      <c r="J371" s="64"/>
      <c r="K371" s="64"/>
      <c r="M371" s="64"/>
      <c r="N371" s="64"/>
      <c r="O371" s="64"/>
      <c r="P371" s="64"/>
      <c r="Q371" s="64"/>
      <c r="R371" s="64"/>
      <c r="S371" s="64"/>
      <c r="T371" s="64"/>
      <c r="U371" s="64"/>
      <c r="V371" s="64"/>
      <c r="W371" s="64"/>
      <c r="BF371" s="64"/>
      <c r="BG371" s="64"/>
      <c r="BH371" s="64"/>
      <c r="BI371" s="64"/>
      <c r="BJ371" s="64"/>
      <c r="BK371" s="64"/>
      <c r="BL371" s="64"/>
      <c r="BM371" s="64"/>
      <c r="BN371" s="64"/>
      <c r="BO371" s="64"/>
      <c r="BP371" s="64"/>
    </row>
    <row r="372" ht="18.75" customHeight="1">
      <c r="H372" s="64"/>
      <c r="J372" s="64"/>
      <c r="K372" s="64"/>
      <c r="M372" s="64"/>
      <c r="N372" s="64"/>
      <c r="O372" s="64"/>
      <c r="P372" s="64"/>
      <c r="Q372" s="64"/>
      <c r="R372" s="64"/>
      <c r="S372" s="64"/>
      <c r="T372" s="64"/>
      <c r="U372" s="64"/>
      <c r="V372" s="64"/>
      <c r="W372" s="64"/>
      <c r="BF372" s="64"/>
      <c r="BG372" s="64"/>
      <c r="BH372" s="64"/>
      <c r="BI372" s="64"/>
      <c r="BJ372" s="64"/>
      <c r="BK372" s="64"/>
      <c r="BL372" s="64"/>
      <c r="BM372" s="64"/>
      <c r="BN372" s="64"/>
      <c r="BO372" s="64"/>
      <c r="BP372" s="64"/>
    </row>
    <row r="373" ht="18.75" customHeight="1">
      <c r="H373" s="64"/>
      <c r="J373" s="64"/>
      <c r="K373" s="64"/>
      <c r="M373" s="64"/>
      <c r="N373" s="64"/>
      <c r="O373" s="64"/>
      <c r="P373" s="64"/>
      <c r="Q373" s="64"/>
      <c r="R373" s="64"/>
      <c r="S373" s="64"/>
      <c r="T373" s="64"/>
      <c r="U373" s="64"/>
      <c r="V373" s="64"/>
      <c r="W373" s="64"/>
      <c r="BF373" s="64"/>
      <c r="BG373" s="64"/>
      <c r="BH373" s="64"/>
      <c r="BI373" s="64"/>
      <c r="BJ373" s="64"/>
      <c r="BK373" s="64"/>
      <c r="BL373" s="64"/>
      <c r="BM373" s="64"/>
      <c r="BN373" s="64"/>
      <c r="BO373" s="64"/>
      <c r="BP373" s="64"/>
    </row>
    <row r="374" ht="18.75" customHeight="1">
      <c r="H374" s="64"/>
      <c r="J374" s="64"/>
      <c r="K374" s="64"/>
      <c r="M374" s="64"/>
      <c r="N374" s="64"/>
      <c r="O374" s="64"/>
      <c r="P374" s="64"/>
      <c r="Q374" s="64"/>
      <c r="R374" s="64"/>
      <c r="S374" s="64"/>
      <c r="T374" s="64"/>
      <c r="U374" s="64"/>
      <c r="V374" s="64"/>
      <c r="W374" s="64"/>
      <c r="BF374" s="64"/>
      <c r="BG374" s="64"/>
      <c r="BH374" s="64"/>
      <c r="BI374" s="64"/>
      <c r="BJ374" s="64"/>
      <c r="BK374" s="64"/>
      <c r="BL374" s="64"/>
      <c r="BM374" s="64"/>
      <c r="BN374" s="64"/>
      <c r="BO374" s="64"/>
      <c r="BP374" s="64"/>
    </row>
    <row r="375" ht="18.75" customHeight="1">
      <c r="H375" s="64"/>
      <c r="J375" s="64"/>
      <c r="K375" s="64"/>
      <c r="M375" s="64"/>
      <c r="N375" s="64"/>
      <c r="O375" s="64"/>
      <c r="P375" s="64"/>
      <c r="Q375" s="64"/>
      <c r="R375" s="64"/>
      <c r="S375" s="64"/>
      <c r="T375" s="64"/>
      <c r="U375" s="64"/>
      <c r="V375" s="64"/>
      <c r="W375" s="64"/>
      <c r="BF375" s="64"/>
      <c r="BG375" s="64"/>
      <c r="BH375" s="64"/>
      <c r="BI375" s="64"/>
      <c r="BJ375" s="64"/>
      <c r="BK375" s="64"/>
      <c r="BL375" s="64"/>
      <c r="BM375" s="64"/>
      <c r="BN375" s="64"/>
      <c r="BO375" s="64"/>
      <c r="BP375" s="64"/>
    </row>
    <row r="376" ht="18.75" customHeight="1">
      <c r="H376" s="64"/>
      <c r="J376" s="64"/>
      <c r="K376" s="64"/>
      <c r="M376" s="64"/>
      <c r="N376" s="64"/>
      <c r="O376" s="64"/>
      <c r="P376" s="64"/>
      <c r="Q376" s="64"/>
      <c r="R376" s="64"/>
      <c r="S376" s="64"/>
      <c r="T376" s="64"/>
      <c r="U376" s="64"/>
      <c r="V376" s="64"/>
      <c r="W376" s="64"/>
      <c r="BF376" s="64"/>
      <c r="BG376" s="64"/>
      <c r="BH376" s="64"/>
      <c r="BI376" s="64"/>
      <c r="BJ376" s="64"/>
      <c r="BK376" s="64"/>
      <c r="BL376" s="64"/>
      <c r="BM376" s="64"/>
      <c r="BN376" s="64"/>
      <c r="BO376" s="64"/>
      <c r="BP376" s="64"/>
    </row>
    <row r="377" ht="18.75" customHeight="1">
      <c r="H377" s="64"/>
      <c r="J377" s="64"/>
      <c r="K377" s="64"/>
      <c r="M377" s="64"/>
      <c r="N377" s="64"/>
      <c r="O377" s="64"/>
      <c r="P377" s="64"/>
      <c r="Q377" s="64"/>
      <c r="R377" s="64"/>
      <c r="S377" s="64"/>
      <c r="T377" s="64"/>
      <c r="U377" s="64"/>
      <c r="V377" s="64"/>
      <c r="W377" s="64"/>
      <c r="BF377" s="64"/>
      <c r="BG377" s="64"/>
      <c r="BH377" s="64"/>
      <c r="BI377" s="64"/>
      <c r="BJ377" s="64"/>
      <c r="BK377" s="64"/>
      <c r="BL377" s="64"/>
      <c r="BM377" s="64"/>
      <c r="BN377" s="64"/>
      <c r="BO377" s="64"/>
      <c r="BP377" s="64"/>
    </row>
    <row r="378" ht="18.75" customHeight="1">
      <c r="H378" s="64"/>
      <c r="J378" s="64"/>
      <c r="K378" s="64"/>
      <c r="M378" s="64"/>
      <c r="N378" s="64"/>
      <c r="O378" s="64"/>
      <c r="P378" s="64"/>
      <c r="Q378" s="64"/>
      <c r="R378" s="64"/>
      <c r="S378" s="64"/>
      <c r="T378" s="64"/>
      <c r="U378" s="64"/>
      <c r="V378" s="64"/>
      <c r="W378" s="64"/>
      <c r="BF378" s="64"/>
      <c r="BG378" s="64"/>
      <c r="BH378" s="64"/>
      <c r="BI378" s="64"/>
      <c r="BJ378" s="64"/>
      <c r="BK378" s="64"/>
      <c r="BL378" s="64"/>
      <c r="BM378" s="64"/>
      <c r="BN378" s="64"/>
      <c r="BO378" s="64"/>
      <c r="BP378" s="64"/>
    </row>
    <row r="379" ht="18.75" customHeight="1">
      <c r="H379" s="64"/>
      <c r="J379" s="64"/>
      <c r="K379" s="64"/>
      <c r="M379" s="64"/>
      <c r="N379" s="64"/>
      <c r="O379" s="64"/>
      <c r="P379" s="64"/>
      <c r="Q379" s="64"/>
      <c r="R379" s="64"/>
      <c r="S379" s="64"/>
      <c r="T379" s="64"/>
      <c r="U379" s="64"/>
      <c r="V379" s="64"/>
      <c r="W379" s="64"/>
      <c r="BF379" s="64"/>
      <c r="BG379" s="64"/>
      <c r="BH379" s="64"/>
      <c r="BI379" s="64"/>
      <c r="BJ379" s="64"/>
      <c r="BK379" s="64"/>
      <c r="BL379" s="64"/>
      <c r="BM379" s="64"/>
      <c r="BN379" s="64"/>
      <c r="BO379" s="64"/>
      <c r="BP379" s="64"/>
    </row>
    <row r="380" ht="18.75" customHeight="1">
      <c r="H380" s="64"/>
      <c r="J380" s="64"/>
      <c r="K380" s="64"/>
      <c r="M380" s="64"/>
      <c r="N380" s="64"/>
      <c r="O380" s="64"/>
      <c r="P380" s="64"/>
      <c r="Q380" s="64"/>
      <c r="R380" s="64"/>
      <c r="S380" s="64"/>
      <c r="T380" s="64"/>
      <c r="U380" s="64"/>
      <c r="V380" s="64"/>
      <c r="W380" s="64"/>
      <c r="BF380" s="64"/>
      <c r="BG380" s="64"/>
      <c r="BH380" s="64"/>
      <c r="BI380" s="64"/>
      <c r="BJ380" s="64"/>
      <c r="BK380" s="64"/>
      <c r="BL380" s="64"/>
      <c r="BM380" s="64"/>
      <c r="BN380" s="64"/>
      <c r="BO380" s="64"/>
      <c r="BP380" s="64"/>
    </row>
    <row r="381" ht="18.75" customHeight="1">
      <c r="H381" s="64"/>
      <c r="J381" s="64"/>
      <c r="K381" s="64"/>
      <c r="M381" s="64"/>
      <c r="N381" s="64"/>
      <c r="O381" s="64"/>
      <c r="P381" s="64"/>
      <c r="Q381" s="64"/>
      <c r="R381" s="64"/>
      <c r="S381" s="64"/>
      <c r="T381" s="64"/>
      <c r="U381" s="64"/>
      <c r="V381" s="64"/>
      <c r="W381" s="64"/>
      <c r="BF381" s="64"/>
      <c r="BG381" s="64"/>
      <c r="BH381" s="64"/>
      <c r="BI381" s="64"/>
      <c r="BJ381" s="64"/>
      <c r="BK381" s="64"/>
      <c r="BL381" s="64"/>
      <c r="BM381" s="64"/>
      <c r="BN381" s="64"/>
      <c r="BO381" s="64"/>
      <c r="BP381" s="64"/>
    </row>
    <row r="382" ht="18.75" customHeight="1">
      <c r="H382" s="64"/>
      <c r="J382" s="64"/>
      <c r="K382" s="64"/>
      <c r="M382" s="64"/>
      <c r="N382" s="64"/>
      <c r="O382" s="64"/>
      <c r="P382" s="64"/>
      <c r="Q382" s="64"/>
      <c r="R382" s="64"/>
      <c r="S382" s="64"/>
      <c r="T382" s="64"/>
      <c r="U382" s="64"/>
      <c r="V382" s="64"/>
      <c r="W382" s="64"/>
      <c r="BF382" s="64"/>
      <c r="BG382" s="64"/>
      <c r="BH382" s="64"/>
      <c r="BI382" s="64"/>
      <c r="BJ382" s="64"/>
      <c r="BK382" s="64"/>
      <c r="BL382" s="64"/>
      <c r="BM382" s="64"/>
      <c r="BN382" s="64"/>
      <c r="BO382" s="64"/>
      <c r="BP382" s="64"/>
    </row>
    <row r="383" ht="18.75" customHeight="1">
      <c r="H383" s="64"/>
      <c r="J383" s="64"/>
      <c r="K383" s="64"/>
      <c r="M383" s="64"/>
      <c r="N383" s="64"/>
      <c r="O383" s="64"/>
      <c r="P383" s="64"/>
      <c r="Q383" s="64"/>
      <c r="R383" s="64"/>
      <c r="S383" s="64"/>
      <c r="T383" s="64"/>
      <c r="U383" s="64"/>
      <c r="V383" s="64"/>
      <c r="W383" s="64"/>
      <c r="BF383" s="64"/>
      <c r="BG383" s="64"/>
      <c r="BH383" s="64"/>
      <c r="BI383" s="64"/>
      <c r="BJ383" s="64"/>
      <c r="BK383" s="64"/>
      <c r="BL383" s="64"/>
      <c r="BM383" s="64"/>
      <c r="BN383" s="64"/>
      <c r="BO383" s="64"/>
      <c r="BP383" s="64"/>
    </row>
    <row r="384" ht="18.75" customHeight="1">
      <c r="H384" s="64"/>
      <c r="J384" s="64"/>
      <c r="K384" s="64"/>
      <c r="M384" s="64"/>
      <c r="N384" s="64"/>
      <c r="O384" s="64"/>
      <c r="P384" s="64"/>
      <c r="Q384" s="64"/>
      <c r="R384" s="64"/>
      <c r="S384" s="64"/>
      <c r="T384" s="64"/>
      <c r="U384" s="64"/>
      <c r="V384" s="64"/>
      <c r="W384" s="64"/>
      <c r="BF384" s="64"/>
      <c r="BG384" s="64"/>
      <c r="BH384" s="64"/>
      <c r="BI384" s="64"/>
      <c r="BJ384" s="64"/>
      <c r="BK384" s="64"/>
      <c r="BL384" s="64"/>
      <c r="BM384" s="64"/>
      <c r="BN384" s="64"/>
      <c r="BO384" s="64"/>
      <c r="BP384" s="64"/>
    </row>
    <row r="385" ht="18.75" customHeight="1">
      <c r="H385" s="64"/>
      <c r="J385" s="64"/>
      <c r="K385" s="64"/>
      <c r="M385" s="64"/>
      <c r="N385" s="64"/>
      <c r="O385" s="64"/>
      <c r="P385" s="64"/>
      <c r="Q385" s="64"/>
      <c r="R385" s="64"/>
      <c r="S385" s="64"/>
      <c r="T385" s="64"/>
      <c r="U385" s="64"/>
      <c r="V385" s="64"/>
      <c r="W385" s="64"/>
      <c r="BF385" s="64"/>
      <c r="BG385" s="64"/>
      <c r="BH385" s="64"/>
      <c r="BI385" s="64"/>
      <c r="BJ385" s="64"/>
      <c r="BK385" s="64"/>
      <c r="BL385" s="64"/>
      <c r="BM385" s="64"/>
      <c r="BN385" s="64"/>
      <c r="BO385" s="64"/>
      <c r="BP385" s="64"/>
    </row>
    <row r="386" ht="18.75" customHeight="1">
      <c r="H386" s="64"/>
      <c r="J386" s="64"/>
      <c r="K386" s="64"/>
      <c r="M386" s="64"/>
      <c r="N386" s="64"/>
      <c r="O386" s="64"/>
      <c r="P386" s="64"/>
      <c r="Q386" s="64"/>
      <c r="R386" s="64"/>
      <c r="S386" s="64"/>
      <c r="T386" s="64"/>
      <c r="U386" s="64"/>
      <c r="V386" s="64"/>
      <c r="W386" s="64"/>
      <c r="BF386" s="64"/>
      <c r="BG386" s="64"/>
      <c r="BH386" s="64"/>
      <c r="BI386" s="64"/>
      <c r="BJ386" s="64"/>
      <c r="BK386" s="64"/>
      <c r="BL386" s="64"/>
      <c r="BM386" s="64"/>
      <c r="BN386" s="64"/>
      <c r="BO386" s="64"/>
      <c r="BP386" s="64"/>
    </row>
    <row r="387" ht="18.75" customHeight="1">
      <c r="H387" s="64"/>
      <c r="J387" s="64"/>
      <c r="K387" s="64"/>
      <c r="M387" s="64"/>
      <c r="N387" s="64"/>
      <c r="O387" s="64"/>
      <c r="P387" s="64"/>
      <c r="Q387" s="64"/>
      <c r="R387" s="64"/>
      <c r="S387" s="64"/>
      <c r="T387" s="64"/>
      <c r="U387" s="64"/>
      <c r="V387" s="64"/>
      <c r="W387" s="64"/>
      <c r="BF387" s="64"/>
      <c r="BG387" s="64"/>
      <c r="BH387" s="64"/>
      <c r="BI387" s="64"/>
      <c r="BJ387" s="64"/>
      <c r="BK387" s="64"/>
      <c r="BL387" s="64"/>
      <c r="BM387" s="64"/>
      <c r="BN387" s="64"/>
      <c r="BO387" s="64"/>
      <c r="BP387" s="64"/>
    </row>
    <row r="388" ht="18.75" customHeight="1">
      <c r="H388" s="64"/>
      <c r="J388" s="64"/>
      <c r="K388" s="64"/>
      <c r="M388" s="64"/>
      <c r="N388" s="64"/>
      <c r="O388" s="64"/>
      <c r="P388" s="64"/>
      <c r="Q388" s="64"/>
      <c r="R388" s="64"/>
      <c r="S388" s="64"/>
      <c r="T388" s="64"/>
      <c r="U388" s="64"/>
      <c r="V388" s="64"/>
      <c r="W388" s="64"/>
      <c r="BF388" s="64"/>
      <c r="BG388" s="64"/>
      <c r="BH388" s="64"/>
      <c r="BI388" s="64"/>
      <c r="BJ388" s="64"/>
      <c r="BK388" s="64"/>
      <c r="BL388" s="64"/>
      <c r="BM388" s="64"/>
      <c r="BN388" s="64"/>
      <c r="BO388" s="64"/>
      <c r="BP388" s="64"/>
    </row>
    <row r="389" ht="18.75" customHeight="1">
      <c r="H389" s="64"/>
      <c r="J389" s="64"/>
      <c r="K389" s="64"/>
      <c r="M389" s="64"/>
      <c r="N389" s="64"/>
      <c r="O389" s="64"/>
      <c r="P389" s="64"/>
      <c r="Q389" s="64"/>
      <c r="R389" s="64"/>
      <c r="S389" s="64"/>
      <c r="T389" s="64"/>
      <c r="U389" s="64"/>
      <c r="V389" s="64"/>
      <c r="W389" s="64"/>
      <c r="BF389" s="64"/>
      <c r="BG389" s="64"/>
      <c r="BH389" s="64"/>
      <c r="BI389" s="64"/>
      <c r="BJ389" s="64"/>
      <c r="BK389" s="64"/>
      <c r="BL389" s="64"/>
      <c r="BM389" s="64"/>
      <c r="BN389" s="64"/>
      <c r="BO389" s="64"/>
      <c r="BP389" s="64"/>
    </row>
    <row r="390" ht="18.75" customHeight="1">
      <c r="H390" s="64"/>
      <c r="J390" s="64"/>
      <c r="K390" s="64"/>
      <c r="M390" s="64"/>
      <c r="N390" s="64"/>
      <c r="O390" s="64"/>
      <c r="P390" s="64"/>
      <c r="Q390" s="64"/>
      <c r="R390" s="64"/>
      <c r="S390" s="64"/>
      <c r="T390" s="64"/>
      <c r="U390" s="64"/>
      <c r="V390" s="64"/>
      <c r="W390" s="64"/>
      <c r="BF390" s="64"/>
      <c r="BG390" s="64"/>
      <c r="BH390" s="64"/>
      <c r="BI390" s="64"/>
      <c r="BJ390" s="64"/>
      <c r="BK390" s="64"/>
      <c r="BL390" s="64"/>
      <c r="BM390" s="64"/>
      <c r="BN390" s="64"/>
      <c r="BO390" s="64"/>
      <c r="BP390" s="64"/>
    </row>
    <row r="391" ht="18.75" customHeight="1">
      <c r="H391" s="64"/>
      <c r="J391" s="64"/>
      <c r="K391" s="64"/>
      <c r="M391" s="64"/>
      <c r="N391" s="64"/>
      <c r="O391" s="64"/>
      <c r="P391" s="64"/>
      <c r="Q391" s="64"/>
      <c r="R391" s="64"/>
      <c r="S391" s="64"/>
      <c r="T391" s="64"/>
      <c r="U391" s="64"/>
      <c r="V391" s="64"/>
      <c r="W391" s="64"/>
      <c r="BF391" s="64"/>
      <c r="BG391" s="64"/>
      <c r="BH391" s="64"/>
      <c r="BI391" s="64"/>
      <c r="BJ391" s="64"/>
      <c r="BK391" s="64"/>
      <c r="BL391" s="64"/>
      <c r="BM391" s="64"/>
      <c r="BN391" s="64"/>
      <c r="BO391" s="64"/>
      <c r="BP391" s="64"/>
    </row>
    <row r="392" ht="18.75" customHeight="1">
      <c r="H392" s="64"/>
      <c r="J392" s="64"/>
      <c r="K392" s="64"/>
      <c r="M392" s="64"/>
      <c r="N392" s="64"/>
      <c r="O392" s="64"/>
      <c r="P392" s="64"/>
      <c r="Q392" s="64"/>
      <c r="R392" s="64"/>
      <c r="S392" s="64"/>
      <c r="T392" s="64"/>
      <c r="U392" s="64"/>
      <c r="V392" s="64"/>
      <c r="W392" s="64"/>
      <c r="BF392" s="64"/>
      <c r="BG392" s="64"/>
      <c r="BH392" s="64"/>
      <c r="BI392" s="64"/>
      <c r="BJ392" s="64"/>
      <c r="BK392" s="64"/>
      <c r="BL392" s="64"/>
      <c r="BM392" s="64"/>
      <c r="BN392" s="64"/>
      <c r="BO392" s="64"/>
      <c r="BP392" s="64"/>
    </row>
    <row r="393" ht="18.75" customHeight="1">
      <c r="H393" s="64"/>
      <c r="J393" s="64"/>
      <c r="K393" s="64"/>
      <c r="M393" s="64"/>
      <c r="N393" s="64"/>
      <c r="O393" s="64"/>
      <c r="P393" s="64"/>
      <c r="Q393" s="64"/>
      <c r="R393" s="64"/>
      <c r="S393" s="64"/>
      <c r="T393" s="64"/>
      <c r="U393" s="64"/>
      <c r="V393" s="64"/>
      <c r="W393" s="64"/>
      <c r="BF393" s="64"/>
      <c r="BG393" s="64"/>
      <c r="BH393" s="64"/>
      <c r="BI393" s="64"/>
      <c r="BJ393" s="64"/>
      <c r="BK393" s="64"/>
      <c r="BL393" s="64"/>
      <c r="BM393" s="64"/>
      <c r="BN393" s="64"/>
      <c r="BO393" s="64"/>
      <c r="BP393" s="64"/>
    </row>
    <row r="394" ht="18.75" customHeight="1">
      <c r="H394" s="64"/>
      <c r="J394" s="64"/>
      <c r="K394" s="64"/>
      <c r="M394" s="64"/>
      <c r="N394" s="64"/>
      <c r="O394" s="64"/>
      <c r="P394" s="64"/>
      <c r="Q394" s="64"/>
      <c r="R394" s="64"/>
      <c r="S394" s="64"/>
      <c r="T394" s="64"/>
      <c r="U394" s="64"/>
      <c r="V394" s="64"/>
      <c r="W394" s="64"/>
      <c r="BF394" s="64"/>
      <c r="BG394" s="64"/>
      <c r="BH394" s="64"/>
      <c r="BI394" s="64"/>
      <c r="BJ394" s="64"/>
      <c r="BK394" s="64"/>
      <c r="BL394" s="64"/>
      <c r="BM394" s="64"/>
      <c r="BN394" s="64"/>
      <c r="BO394" s="64"/>
      <c r="BP394" s="64"/>
    </row>
    <row r="395" ht="18.75" customHeight="1">
      <c r="H395" s="64"/>
      <c r="J395" s="64"/>
      <c r="K395" s="64"/>
      <c r="M395" s="64"/>
      <c r="N395" s="64"/>
      <c r="O395" s="64"/>
      <c r="P395" s="64"/>
      <c r="Q395" s="64"/>
      <c r="R395" s="64"/>
      <c r="S395" s="64"/>
      <c r="T395" s="64"/>
      <c r="U395" s="64"/>
      <c r="V395" s="64"/>
      <c r="W395" s="64"/>
      <c r="BF395" s="64"/>
      <c r="BG395" s="64"/>
      <c r="BH395" s="64"/>
      <c r="BI395" s="64"/>
      <c r="BJ395" s="64"/>
      <c r="BK395" s="64"/>
      <c r="BL395" s="64"/>
      <c r="BM395" s="64"/>
      <c r="BN395" s="64"/>
      <c r="BO395" s="64"/>
      <c r="BP395" s="64"/>
    </row>
    <row r="396" ht="18.75" customHeight="1">
      <c r="H396" s="64"/>
      <c r="J396" s="64"/>
      <c r="K396" s="64"/>
      <c r="M396" s="64"/>
      <c r="N396" s="64"/>
      <c r="O396" s="64"/>
      <c r="P396" s="64"/>
      <c r="Q396" s="64"/>
      <c r="R396" s="64"/>
      <c r="S396" s="64"/>
      <c r="T396" s="64"/>
      <c r="U396" s="64"/>
      <c r="V396" s="64"/>
      <c r="W396" s="64"/>
      <c r="BF396" s="64"/>
      <c r="BG396" s="64"/>
      <c r="BH396" s="64"/>
      <c r="BI396" s="64"/>
      <c r="BJ396" s="64"/>
      <c r="BK396" s="64"/>
      <c r="BL396" s="64"/>
      <c r="BM396" s="64"/>
      <c r="BN396" s="64"/>
      <c r="BO396" s="64"/>
      <c r="BP396" s="64"/>
    </row>
    <row r="397" ht="18.75" customHeight="1">
      <c r="H397" s="64"/>
      <c r="J397" s="64"/>
      <c r="K397" s="64"/>
      <c r="M397" s="64"/>
      <c r="N397" s="64"/>
      <c r="O397" s="64"/>
      <c r="P397" s="64"/>
      <c r="Q397" s="64"/>
      <c r="R397" s="64"/>
      <c r="S397" s="64"/>
      <c r="T397" s="64"/>
      <c r="U397" s="64"/>
      <c r="V397" s="64"/>
      <c r="W397" s="64"/>
      <c r="BF397" s="64"/>
      <c r="BG397" s="64"/>
      <c r="BH397" s="64"/>
      <c r="BI397" s="64"/>
      <c r="BJ397" s="64"/>
      <c r="BK397" s="64"/>
      <c r="BL397" s="64"/>
      <c r="BM397" s="64"/>
      <c r="BN397" s="64"/>
      <c r="BO397" s="64"/>
      <c r="BP397" s="64"/>
    </row>
    <row r="398" ht="18.75" customHeight="1">
      <c r="H398" s="64"/>
      <c r="J398" s="64"/>
      <c r="K398" s="64"/>
      <c r="M398" s="64"/>
      <c r="N398" s="64"/>
      <c r="O398" s="64"/>
      <c r="P398" s="64"/>
      <c r="Q398" s="64"/>
      <c r="R398" s="64"/>
      <c r="S398" s="64"/>
      <c r="T398" s="64"/>
      <c r="U398" s="64"/>
      <c r="V398" s="64"/>
      <c r="W398" s="64"/>
      <c r="BF398" s="64"/>
      <c r="BG398" s="64"/>
      <c r="BH398" s="64"/>
      <c r="BI398" s="64"/>
      <c r="BJ398" s="64"/>
      <c r="BK398" s="64"/>
      <c r="BL398" s="64"/>
      <c r="BM398" s="64"/>
      <c r="BN398" s="64"/>
      <c r="BO398" s="64"/>
      <c r="BP398" s="64"/>
    </row>
    <row r="399" ht="18.75" customHeight="1">
      <c r="H399" s="64"/>
      <c r="J399" s="64"/>
      <c r="K399" s="64"/>
      <c r="M399" s="64"/>
      <c r="N399" s="64"/>
      <c r="O399" s="64"/>
      <c r="P399" s="64"/>
      <c r="Q399" s="64"/>
      <c r="R399" s="64"/>
      <c r="S399" s="64"/>
      <c r="T399" s="64"/>
      <c r="U399" s="64"/>
      <c r="V399" s="64"/>
      <c r="W399" s="64"/>
      <c r="BF399" s="64"/>
      <c r="BG399" s="64"/>
      <c r="BH399" s="64"/>
      <c r="BI399" s="64"/>
      <c r="BJ399" s="64"/>
      <c r="BK399" s="64"/>
      <c r="BL399" s="64"/>
      <c r="BM399" s="64"/>
      <c r="BN399" s="64"/>
      <c r="BO399" s="64"/>
      <c r="BP399" s="64"/>
    </row>
    <row r="400" ht="18.75" customHeight="1">
      <c r="H400" s="64"/>
      <c r="J400" s="64"/>
      <c r="K400" s="64"/>
      <c r="M400" s="64"/>
      <c r="N400" s="64"/>
      <c r="O400" s="64"/>
      <c r="P400" s="64"/>
      <c r="Q400" s="64"/>
      <c r="R400" s="64"/>
      <c r="S400" s="64"/>
      <c r="T400" s="64"/>
      <c r="U400" s="64"/>
      <c r="V400" s="64"/>
      <c r="W400" s="64"/>
      <c r="BF400" s="64"/>
      <c r="BG400" s="64"/>
      <c r="BH400" s="64"/>
      <c r="BI400" s="64"/>
      <c r="BJ400" s="64"/>
      <c r="BK400" s="64"/>
      <c r="BL400" s="64"/>
      <c r="BM400" s="64"/>
      <c r="BN400" s="64"/>
      <c r="BO400" s="64"/>
      <c r="BP400" s="64"/>
    </row>
    <row r="401" ht="18.75" customHeight="1">
      <c r="H401" s="64"/>
      <c r="J401" s="64"/>
      <c r="K401" s="64"/>
      <c r="M401" s="64"/>
      <c r="N401" s="64"/>
      <c r="O401" s="64"/>
      <c r="P401" s="64"/>
      <c r="Q401" s="64"/>
      <c r="R401" s="64"/>
      <c r="S401" s="64"/>
      <c r="T401" s="64"/>
      <c r="U401" s="64"/>
      <c r="V401" s="64"/>
      <c r="W401" s="64"/>
      <c r="BF401" s="64"/>
      <c r="BG401" s="64"/>
      <c r="BH401" s="64"/>
      <c r="BI401" s="64"/>
      <c r="BJ401" s="64"/>
      <c r="BK401" s="64"/>
      <c r="BL401" s="64"/>
      <c r="BM401" s="64"/>
      <c r="BN401" s="64"/>
      <c r="BO401" s="64"/>
      <c r="BP401" s="64"/>
    </row>
    <row r="402" ht="18.75" customHeight="1">
      <c r="H402" s="64"/>
      <c r="J402" s="64"/>
      <c r="K402" s="64"/>
      <c r="M402" s="64"/>
      <c r="N402" s="64"/>
      <c r="O402" s="64"/>
      <c r="P402" s="64"/>
      <c r="Q402" s="64"/>
      <c r="R402" s="64"/>
      <c r="S402" s="64"/>
      <c r="T402" s="64"/>
      <c r="U402" s="64"/>
      <c r="V402" s="64"/>
      <c r="W402" s="64"/>
      <c r="BF402" s="64"/>
      <c r="BG402" s="64"/>
      <c r="BH402" s="64"/>
      <c r="BI402" s="64"/>
      <c r="BJ402" s="64"/>
      <c r="BK402" s="64"/>
      <c r="BL402" s="64"/>
      <c r="BM402" s="64"/>
      <c r="BN402" s="64"/>
      <c r="BO402" s="64"/>
      <c r="BP402" s="64"/>
    </row>
    <row r="403" ht="18.75" customHeight="1">
      <c r="H403" s="64"/>
      <c r="J403" s="64"/>
      <c r="K403" s="64"/>
      <c r="M403" s="64"/>
      <c r="N403" s="64"/>
      <c r="O403" s="64"/>
      <c r="P403" s="64"/>
      <c r="Q403" s="64"/>
      <c r="R403" s="64"/>
      <c r="S403" s="64"/>
      <c r="T403" s="64"/>
      <c r="U403" s="64"/>
      <c r="V403" s="64"/>
      <c r="W403" s="64"/>
      <c r="BF403" s="64"/>
      <c r="BG403" s="64"/>
      <c r="BH403" s="64"/>
      <c r="BI403" s="64"/>
      <c r="BJ403" s="64"/>
      <c r="BK403" s="64"/>
      <c r="BL403" s="64"/>
      <c r="BM403" s="64"/>
      <c r="BN403" s="64"/>
      <c r="BO403" s="64"/>
      <c r="BP403" s="64"/>
    </row>
    <row r="404" ht="18.75" customHeight="1">
      <c r="H404" s="64"/>
      <c r="J404" s="64"/>
      <c r="K404" s="64"/>
      <c r="M404" s="64"/>
      <c r="N404" s="64"/>
      <c r="O404" s="64"/>
      <c r="P404" s="64"/>
      <c r="Q404" s="64"/>
      <c r="R404" s="64"/>
      <c r="S404" s="64"/>
      <c r="T404" s="64"/>
      <c r="U404" s="64"/>
      <c r="V404" s="64"/>
      <c r="W404" s="64"/>
      <c r="BF404" s="64"/>
      <c r="BG404" s="64"/>
      <c r="BH404" s="64"/>
      <c r="BI404" s="64"/>
      <c r="BJ404" s="64"/>
      <c r="BK404" s="64"/>
      <c r="BL404" s="64"/>
      <c r="BM404" s="64"/>
      <c r="BN404" s="64"/>
      <c r="BO404" s="64"/>
      <c r="BP404" s="64"/>
    </row>
    <row r="405" ht="18.75" customHeight="1">
      <c r="H405" s="64"/>
      <c r="J405" s="64"/>
      <c r="K405" s="64"/>
      <c r="M405" s="64"/>
      <c r="N405" s="64"/>
      <c r="O405" s="64"/>
      <c r="P405" s="64"/>
      <c r="Q405" s="64"/>
      <c r="R405" s="64"/>
      <c r="S405" s="64"/>
      <c r="T405" s="64"/>
      <c r="U405" s="64"/>
      <c r="V405" s="64"/>
      <c r="W405" s="64"/>
      <c r="BF405" s="64"/>
      <c r="BG405" s="64"/>
      <c r="BH405" s="64"/>
      <c r="BI405" s="64"/>
      <c r="BJ405" s="64"/>
      <c r="BK405" s="64"/>
      <c r="BL405" s="64"/>
      <c r="BM405" s="64"/>
      <c r="BN405" s="64"/>
      <c r="BO405" s="64"/>
      <c r="BP405" s="64"/>
    </row>
    <row r="406" ht="18.75" customHeight="1">
      <c r="H406" s="64"/>
      <c r="J406" s="64"/>
      <c r="K406" s="64"/>
      <c r="M406" s="64"/>
      <c r="N406" s="64"/>
      <c r="O406" s="64"/>
      <c r="P406" s="64"/>
      <c r="Q406" s="64"/>
      <c r="R406" s="64"/>
      <c r="S406" s="64"/>
      <c r="T406" s="64"/>
      <c r="U406" s="64"/>
      <c r="V406" s="64"/>
      <c r="W406" s="64"/>
      <c r="BF406" s="64"/>
      <c r="BG406" s="64"/>
      <c r="BH406" s="64"/>
      <c r="BI406" s="64"/>
      <c r="BJ406" s="64"/>
      <c r="BK406" s="64"/>
      <c r="BL406" s="64"/>
      <c r="BM406" s="64"/>
      <c r="BN406" s="64"/>
      <c r="BO406" s="64"/>
      <c r="BP406" s="64"/>
    </row>
    <row r="407" ht="18.75" customHeight="1">
      <c r="H407" s="64"/>
      <c r="J407" s="64"/>
      <c r="K407" s="64"/>
      <c r="M407" s="64"/>
      <c r="N407" s="64"/>
      <c r="O407" s="64"/>
      <c r="P407" s="64"/>
      <c r="Q407" s="64"/>
      <c r="R407" s="64"/>
      <c r="S407" s="64"/>
      <c r="T407" s="64"/>
      <c r="U407" s="64"/>
      <c r="V407" s="64"/>
      <c r="W407" s="64"/>
      <c r="BF407" s="64"/>
      <c r="BG407" s="64"/>
      <c r="BH407" s="64"/>
      <c r="BI407" s="64"/>
      <c r="BJ407" s="64"/>
      <c r="BK407" s="64"/>
      <c r="BL407" s="64"/>
      <c r="BM407" s="64"/>
      <c r="BN407" s="64"/>
      <c r="BO407" s="64"/>
      <c r="BP407" s="64"/>
    </row>
    <row r="408" ht="18.75" customHeight="1">
      <c r="H408" s="64"/>
      <c r="J408" s="64"/>
      <c r="K408" s="64"/>
      <c r="M408" s="64"/>
      <c r="N408" s="64"/>
      <c r="O408" s="64"/>
      <c r="P408" s="64"/>
      <c r="Q408" s="64"/>
      <c r="R408" s="64"/>
      <c r="S408" s="64"/>
      <c r="T408" s="64"/>
      <c r="U408" s="64"/>
      <c r="V408" s="64"/>
      <c r="W408" s="64"/>
      <c r="BF408" s="64"/>
      <c r="BG408" s="64"/>
      <c r="BH408" s="64"/>
      <c r="BI408" s="64"/>
      <c r="BJ408" s="64"/>
      <c r="BK408" s="64"/>
      <c r="BL408" s="64"/>
      <c r="BM408" s="64"/>
      <c r="BN408" s="64"/>
      <c r="BO408" s="64"/>
      <c r="BP408" s="64"/>
    </row>
    <row r="409" ht="18.75" customHeight="1">
      <c r="H409" s="64"/>
      <c r="J409" s="64"/>
      <c r="K409" s="64"/>
      <c r="M409" s="64"/>
      <c r="N409" s="64"/>
      <c r="O409" s="64"/>
      <c r="P409" s="64"/>
      <c r="Q409" s="64"/>
      <c r="R409" s="64"/>
      <c r="S409" s="64"/>
      <c r="T409" s="64"/>
      <c r="U409" s="64"/>
      <c r="V409" s="64"/>
      <c r="W409" s="64"/>
      <c r="BF409" s="64"/>
      <c r="BG409" s="64"/>
      <c r="BH409" s="64"/>
      <c r="BI409" s="64"/>
      <c r="BJ409" s="64"/>
      <c r="BK409" s="64"/>
      <c r="BL409" s="64"/>
      <c r="BM409" s="64"/>
      <c r="BN409" s="64"/>
      <c r="BO409" s="64"/>
      <c r="BP409" s="64"/>
    </row>
    <row r="410" ht="18.75" customHeight="1">
      <c r="H410" s="64"/>
      <c r="J410" s="64"/>
      <c r="K410" s="64"/>
      <c r="M410" s="64"/>
      <c r="N410" s="64"/>
      <c r="O410" s="64"/>
      <c r="P410" s="64"/>
      <c r="Q410" s="64"/>
      <c r="R410" s="64"/>
      <c r="S410" s="64"/>
      <c r="T410" s="64"/>
      <c r="U410" s="64"/>
      <c r="V410" s="64"/>
      <c r="W410" s="64"/>
      <c r="BF410" s="64"/>
      <c r="BG410" s="64"/>
      <c r="BH410" s="64"/>
      <c r="BI410" s="64"/>
      <c r="BJ410" s="64"/>
      <c r="BK410" s="64"/>
      <c r="BL410" s="64"/>
      <c r="BM410" s="64"/>
      <c r="BN410" s="64"/>
      <c r="BO410" s="64"/>
      <c r="BP410" s="64"/>
    </row>
    <row r="411" ht="18.75" customHeight="1">
      <c r="H411" s="64"/>
      <c r="J411" s="64"/>
      <c r="K411" s="64"/>
      <c r="M411" s="64"/>
      <c r="N411" s="64"/>
      <c r="O411" s="64"/>
      <c r="P411" s="64"/>
      <c r="Q411" s="64"/>
      <c r="R411" s="64"/>
      <c r="S411" s="64"/>
      <c r="T411" s="64"/>
      <c r="U411" s="64"/>
      <c r="V411" s="64"/>
      <c r="W411" s="64"/>
      <c r="BF411" s="64"/>
      <c r="BG411" s="64"/>
      <c r="BH411" s="64"/>
      <c r="BI411" s="64"/>
      <c r="BJ411" s="64"/>
      <c r="BK411" s="64"/>
      <c r="BL411" s="64"/>
      <c r="BM411" s="64"/>
      <c r="BN411" s="64"/>
      <c r="BO411" s="64"/>
      <c r="BP411" s="64"/>
    </row>
    <row r="412" ht="18.75" customHeight="1">
      <c r="H412" s="64"/>
      <c r="J412" s="64"/>
      <c r="K412" s="64"/>
      <c r="M412" s="64"/>
      <c r="N412" s="64"/>
      <c r="O412" s="64"/>
      <c r="P412" s="64"/>
      <c r="Q412" s="64"/>
      <c r="R412" s="64"/>
      <c r="S412" s="64"/>
      <c r="T412" s="64"/>
      <c r="U412" s="64"/>
      <c r="V412" s="64"/>
      <c r="W412" s="64"/>
      <c r="BF412" s="64"/>
      <c r="BG412" s="64"/>
      <c r="BH412" s="64"/>
      <c r="BI412" s="64"/>
      <c r="BJ412" s="64"/>
      <c r="BK412" s="64"/>
      <c r="BL412" s="64"/>
      <c r="BM412" s="64"/>
      <c r="BN412" s="64"/>
      <c r="BO412" s="64"/>
      <c r="BP412" s="64"/>
    </row>
    <row r="413" ht="18.75" customHeight="1">
      <c r="H413" s="64"/>
      <c r="J413" s="64"/>
      <c r="K413" s="64"/>
      <c r="M413" s="64"/>
      <c r="N413" s="64"/>
      <c r="O413" s="64"/>
      <c r="P413" s="64"/>
      <c r="Q413" s="64"/>
      <c r="R413" s="64"/>
      <c r="S413" s="64"/>
      <c r="T413" s="64"/>
      <c r="U413" s="64"/>
      <c r="V413" s="64"/>
      <c r="W413" s="64"/>
      <c r="BF413" s="64"/>
      <c r="BG413" s="64"/>
      <c r="BH413" s="64"/>
      <c r="BI413" s="64"/>
      <c r="BJ413" s="64"/>
      <c r="BK413" s="64"/>
      <c r="BL413" s="64"/>
      <c r="BM413" s="64"/>
      <c r="BN413" s="64"/>
      <c r="BO413" s="64"/>
      <c r="BP413" s="64"/>
    </row>
    <row r="414" ht="18.75" customHeight="1">
      <c r="H414" s="64"/>
      <c r="J414" s="64"/>
      <c r="K414" s="64"/>
      <c r="M414" s="64"/>
      <c r="N414" s="64"/>
      <c r="O414" s="64"/>
      <c r="P414" s="64"/>
      <c r="Q414" s="64"/>
      <c r="R414" s="64"/>
      <c r="S414" s="64"/>
      <c r="T414" s="64"/>
      <c r="U414" s="64"/>
      <c r="V414" s="64"/>
      <c r="W414" s="64"/>
      <c r="BF414" s="64"/>
      <c r="BG414" s="64"/>
      <c r="BH414" s="64"/>
      <c r="BI414" s="64"/>
      <c r="BJ414" s="64"/>
      <c r="BK414" s="64"/>
      <c r="BL414" s="64"/>
      <c r="BM414" s="64"/>
      <c r="BN414" s="64"/>
      <c r="BO414" s="64"/>
      <c r="BP414" s="64"/>
    </row>
    <row r="415" ht="18.75" customHeight="1">
      <c r="H415" s="64"/>
      <c r="J415" s="64"/>
      <c r="K415" s="64"/>
      <c r="M415" s="64"/>
      <c r="N415" s="64"/>
      <c r="O415" s="64"/>
      <c r="P415" s="64"/>
      <c r="Q415" s="64"/>
      <c r="R415" s="64"/>
      <c r="S415" s="64"/>
      <c r="T415" s="64"/>
      <c r="U415" s="64"/>
      <c r="V415" s="64"/>
      <c r="W415" s="64"/>
      <c r="BF415" s="64"/>
      <c r="BG415" s="64"/>
      <c r="BH415" s="64"/>
      <c r="BI415" s="64"/>
      <c r="BJ415" s="64"/>
      <c r="BK415" s="64"/>
      <c r="BL415" s="64"/>
      <c r="BM415" s="64"/>
      <c r="BN415" s="64"/>
      <c r="BO415" s="64"/>
      <c r="BP415" s="64"/>
    </row>
    <row r="416" ht="18.75" customHeight="1">
      <c r="H416" s="64"/>
      <c r="J416" s="64"/>
      <c r="K416" s="64"/>
      <c r="M416" s="64"/>
      <c r="N416" s="64"/>
      <c r="O416" s="64"/>
      <c r="P416" s="64"/>
      <c r="Q416" s="64"/>
      <c r="R416" s="64"/>
      <c r="S416" s="64"/>
      <c r="T416" s="64"/>
      <c r="U416" s="64"/>
      <c r="V416" s="64"/>
      <c r="W416" s="64"/>
      <c r="BF416" s="64"/>
      <c r="BG416" s="64"/>
      <c r="BH416" s="64"/>
      <c r="BI416" s="64"/>
      <c r="BJ416" s="64"/>
      <c r="BK416" s="64"/>
      <c r="BL416" s="64"/>
      <c r="BM416" s="64"/>
      <c r="BN416" s="64"/>
      <c r="BO416" s="64"/>
      <c r="BP416" s="64"/>
    </row>
    <row r="417" ht="18.75" customHeight="1">
      <c r="H417" s="64"/>
      <c r="J417" s="64"/>
      <c r="K417" s="64"/>
      <c r="M417" s="64"/>
      <c r="N417" s="64"/>
      <c r="O417" s="64"/>
      <c r="P417" s="64"/>
      <c r="Q417" s="64"/>
      <c r="R417" s="64"/>
      <c r="S417" s="64"/>
      <c r="T417" s="64"/>
      <c r="U417" s="64"/>
      <c r="V417" s="64"/>
      <c r="W417" s="64"/>
      <c r="BF417" s="64"/>
      <c r="BG417" s="64"/>
      <c r="BH417" s="64"/>
      <c r="BI417" s="64"/>
      <c r="BJ417" s="64"/>
      <c r="BK417" s="64"/>
      <c r="BL417" s="64"/>
      <c r="BM417" s="64"/>
      <c r="BN417" s="64"/>
      <c r="BO417" s="64"/>
      <c r="BP417" s="64"/>
    </row>
    <row r="418" ht="18.75" customHeight="1">
      <c r="H418" s="64"/>
      <c r="J418" s="64"/>
      <c r="K418" s="64"/>
      <c r="M418" s="64"/>
      <c r="N418" s="64"/>
      <c r="O418" s="64"/>
      <c r="P418" s="64"/>
      <c r="Q418" s="64"/>
      <c r="R418" s="64"/>
      <c r="S418" s="64"/>
      <c r="T418" s="64"/>
      <c r="U418" s="64"/>
      <c r="V418" s="64"/>
      <c r="W418" s="64"/>
      <c r="BF418" s="64"/>
      <c r="BG418" s="64"/>
      <c r="BH418" s="64"/>
      <c r="BI418" s="64"/>
      <c r="BJ418" s="64"/>
      <c r="BK418" s="64"/>
      <c r="BL418" s="64"/>
      <c r="BM418" s="64"/>
      <c r="BN418" s="64"/>
      <c r="BO418" s="64"/>
      <c r="BP418" s="64"/>
    </row>
    <row r="419" ht="18.75" customHeight="1">
      <c r="H419" s="64"/>
      <c r="J419" s="64"/>
      <c r="K419" s="64"/>
      <c r="M419" s="64"/>
      <c r="N419" s="64"/>
      <c r="O419" s="64"/>
      <c r="P419" s="64"/>
      <c r="Q419" s="64"/>
      <c r="R419" s="64"/>
      <c r="S419" s="64"/>
      <c r="T419" s="64"/>
      <c r="U419" s="64"/>
      <c r="V419" s="64"/>
      <c r="W419" s="64"/>
      <c r="BF419" s="64"/>
      <c r="BG419" s="64"/>
      <c r="BH419" s="64"/>
      <c r="BI419" s="64"/>
      <c r="BJ419" s="64"/>
      <c r="BK419" s="64"/>
      <c r="BL419" s="64"/>
      <c r="BM419" s="64"/>
      <c r="BN419" s="64"/>
      <c r="BO419" s="64"/>
      <c r="BP419" s="64"/>
    </row>
    <row r="420" ht="18.75" customHeight="1">
      <c r="H420" s="64"/>
      <c r="J420" s="64"/>
      <c r="K420" s="64"/>
      <c r="M420" s="64"/>
      <c r="N420" s="64"/>
      <c r="O420" s="64"/>
      <c r="P420" s="64"/>
      <c r="Q420" s="64"/>
      <c r="R420" s="64"/>
      <c r="S420" s="64"/>
      <c r="T420" s="64"/>
      <c r="U420" s="64"/>
      <c r="V420" s="64"/>
      <c r="W420" s="64"/>
      <c r="BF420" s="64"/>
      <c r="BG420" s="64"/>
      <c r="BH420" s="64"/>
      <c r="BI420" s="64"/>
      <c r="BJ420" s="64"/>
      <c r="BK420" s="64"/>
      <c r="BL420" s="64"/>
      <c r="BM420" s="64"/>
      <c r="BN420" s="64"/>
      <c r="BO420" s="64"/>
      <c r="BP420" s="64"/>
    </row>
    <row r="421" ht="18.75" customHeight="1">
      <c r="H421" s="64"/>
      <c r="J421" s="64"/>
      <c r="K421" s="64"/>
      <c r="M421" s="64"/>
      <c r="N421" s="64"/>
      <c r="O421" s="64"/>
      <c r="P421" s="64"/>
      <c r="Q421" s="64"/>
      <c r="R421" s="64"/>
      <c r="S421" s="64"/>
      <c r="T421" s="64"/>
      <c r="U421" s="64"/>
      <c r="V421" s="64"/>
      <c r="W421" s="64"/>
      <c r="BF421" s="64"/>
      <c r="BG421" s="64"/>
      <c r="BH421" s="64"/>
      <c r="BI421" s="64"/>
      <c r="BJ421" s="64"/>
      <c r="BK421" s="64"/>
      <c r="BL421" s="64"/>
      <c r="BM421" s="64"/>
      <c r="BN421" s="64"/>
      <c r="BO421" s="64"/>
      <c r="BP421" s="64"/>
    </row>
    <row r="422" ht="18.75" customHeight="1">
      <c r="H422" s="64"/>
      <c r="J422" s="64"/>
      <c r="K422" s="64"/>
      <c r="M422" s="64"/>
      <c r="N422" s="64"/>
      <c r="O422" s="64"/>
      <c r="P422" s="64"/>
      <c r="Q422" s="64"/>
      <c r="R422" s="64"/>
      <c r="S422" s="64"/>
      <c r="T422" s="64"/>
      <c r="U422" s="64"/>
      <c r="V422" s="64"/>
      <c r="W422" s="64"/>
      <c r="BF422" s="64"/>
      <c r="BG422" s="64"/>
      <c r="BH422" s="64"/>
      <c r="BI422" s="64"/>
      <c r="BJ422" s="64"/>
      <c r="BK422" s="64"/>
      <c r="BL422" s="64"/>
      <c r="BM422" s="64"/>
      <c r="BN422" s="64"/>
      <c r="BO422" s="64"/>
      <c r="BP422" s="64"/>
    </row>
    <row r="423" ht="18.75" customHeight="1">
      <c r="H423" s="64"/>
      <c r="J423" s="64"/>
      <c r="K423" s="64"/>
      <c r="M423" s="64"/>
      <c r="N423" s="64"/>
      <c r="O423" s="64"/>
      <c r="P423" s="64"/>
      <c r="Q423" s="64"/>
      <c r="R423" s="64"/>
      <c r="S423" s="64"/>
      <c r="T423" s="64"/>
      <c r="U423" s="64"/>
      <c r="V423" s="64"/>
      <c r="W423" s="64"/>
      <c r="BF423" s="64"/>
      <c r="BG423" s="64"/>
      <c r="BH423" s="64"/>
      <c r="BI423" s="64"/>
      <c r="BJ423" s="64"/>
      <c r="BK423" s="64"/>
      <c r="BL423" s="64"/>
      <c r="BM423" s="64"/>
      <c r="BN423" s="64"/>
      <c r="BO423" s="64"/>
      <c r="BP423" s="64"/>
    </row>
    <row r="424" ht="18.75" customHeight="1">
      <c r="H424" s="64"/>
      <c r="J424" s="64"/>
      <c r="K424" s="64"/>
      <c r="M424" s="64"/>
      <c r="N424" s="64"/>
      <c r="O424" s="64"/>
      <c r="P424" s="64"/>
      <c r="Q424" s="64"/>
      <c r="R424" s="64"/>
      <c r="S424" s="64"/>
      <c r="T424" s="64"/>
      <c r="U424" s="64"/>
      <c r="V424" s="64"/>
      <c r="W424" s="64"/>
      <c r="BF424" s="64"/>
      <c r="BG424" s="64"/>
      <c r="BH424" s="64"/>
      <c r="BI424" s="64"/>
      <c r="BJ424" s="64"/>
      <c r="BK424" s="64"/>
      <c r="BL424" s="64"/>
      <c r="BM424" s="64"/>
      <c r="BN424" s="64"/>
      <c r="BO424" s="64"/>
      <c r="BP424" s="64"/>
    </row>
    <row r="425" ht="18.75" customHeight="1">
      <c r="H425" s="64"/>
      <c r="J425" s="64"/>
      <c r="K425" s="64"/>
      <c r="M425" s="64"/>
      <c r="N425" s="64"/>
      <c r="O425" s="64"/>
      <c r="P425" s="64"/>
      <c r="Q425" s="64"/>
      <c r="R425" s="64"/>
      <c r="S425" s="64"/>
      <c r="T425" s="64"/>
      <c r="U425" s="64"/>
      <c r="V425" s="64"/>
      <c r="W425" s="64"/>
      <c r="BF425" s="64"/>
      <c r="BG425" s="64"/>
      <c r="BH425" s="64"/>
      <c r="BI425" s="64"/>
      <c r="BJ425" s="64"/>
      <c r="BK425" s="64"/>
      <c r="BL425" s="64"/>
      <c r="BM425" s="64"/>
      <c r="BN425" s="64"/>
      <c r="BO425" s="64"/>
      <c r="BP425" s="64"/>
    </row>
    <row r="426" ht="18.75" customHeight="1">
      <c r="H426" s="64"/>
      <c r="J426" s="64"/>
      <c r="K426" s="64"/>
      <c r="M426" s="64"/>
      <c r="N426" s="64"/>
      <c r="O426" s="64"/>
      <c r="P426" s="64"/>
      <c r="Q426" s="64"/>
      <c r="R426" s="64"/>
      <c r="S426" s="64"/>
      <c r="T426" s="64"/>
      <c r="U426" s="64"/>
      <c r="V426" s="64"/>
      <c r="W426" s="64"/>
      <c r="BF426" s="64"/>
      <c r="BG426" s="64"/>
      <c r="BH426" s="64"/>
      <c r="BI426" s="64"/>
      <c r="BJ426" s="64"/>
      <c r="BK426" s="64"/>
      <c r="BL426" s="64"/>
      <c r="BM426" s="64"/>
      <c r="BN426" s="64"/>
      <c r="BO426" s="64"/>
      <c r="BP426" s="64"/>
    </row>
    <row r="427" ht="18.75" customHeight="1">
      <c r="H427" s="64"/>
      <c r="J427" s="64"/>
      <c r="K427" s="64"/>
      <c r="M427" s="64"/>
      <c r="N427" s="64"/>
      <c r="O427" s="64"/>
      <c r="P427" s="64"/>
      <c r="Q427" s="64"/>
      <c r="R427" s="64"/>
      <c r="S427" s="64"/>
      <c r="T427" s="64"/>
      <c r="U427" s="64"/>
      <c r="V427" s="64"/>
      <c r="W427" s="64"/>
      <c r="BF427" s="64"/>
      <c r="BG427" s="64"/>
      <c r="BH427" s="64"/>
      <c r="BI427" s="64"/>
      <c r="BJ427" s="64"/>
      <c r="BK427" s="64"/>
      <c r="BL427" s="64"/>
      <c r="BM427" s="64"/>
      <c r="BN427" s="64"/>
      <c r="BO427" s="64"/>
      <c r="BP427" s="64"/>
    </row>
    <row r="428" ht="18.75" customHeight="1">
      <c r="H428" s="64"/>
      <c r="J428" s="64"/>
      <c r="K428" s="64"/>
      <c r="M428" s="64"/>
      <c r="N428" s="64"/>
      <c r="O428" s="64"/>
      <c r="P428" s="64"/>
      <c r="Q428" s="64"/>
      <c r="R428" s="64"/>
      <c r="S428" s="64"/>
      <c r="T428" s="64"/>
      <c r="U428" s="64"/>
      <c r="V428" s="64"/>
      <c r="W428" s="64"/>
      <c r="BF428" s="64"/>
      <c r="BG428" s="64"/>
      <c r="BH428" s="64"/>
      <c r="BI428" s="64"/>
      <c r="BJ428" s="64"/>
      <c r="BK428" s="64"/>
      <c r="BL428" s="64"/>
      <c r="BM428" s="64"/>
      <c r="BN428" s="64"/>
      <c r="BO428" s="64"/>
      <c r="BP428" s="64"/>
    </row>
    <row r="429" ht="18.75" customHeight="1">
      <c r="H429" s="64"/>
      <c r="J429" s="64"/>
      <c r="K429" s="64"/>
      <c r="M429" s="64"/>
      <c r="N429" s="64"/>
      <c r="O429" s="64"/>
      <c r="P429" s="64"/>
      <c r="Q429" s="64"/>
      <c r="R429" s="64"/>
      <c r="S429" s="64"/>
      <c r="T429" s="64"/>
      <c r="U429" s="64"/>
      <c r="V429" s="64"/>
      <c r="W429" s="64"/>
      <c r="BF429" s="64"/>
      <c r="BG429" s="64"/>
      <c r="BH429" s="64"/>
      <c r="BI429" s="64"/>
      <c r="BJ429" s="64"/>
      <c r="BK429" s="64"/>
      <c r="BL429" s="64"/>
      <c r="BM429" s="64"/>
      <c r="BN429" s="64"/>
      <c r="BO429" s="64"/>
      <c r="BP429" s="64"/>
    </row>
    <row r="430" ht="18.75" customHeight="1">
      <c r="H430" s="64"/>
      <c r="J430" s="64"/>
      <c r="K430" s="64"/>
      <c r="M430" s="64"/>
      <c r="N430" s="64"/>
      <c r="O430" s="64"/>
      <c r="P430" s="64"/>
      <c r="Q430" s="64"/>
      <c r="R430" s="64"/>
      <c r="S430" s="64"/>
      <c r="T430" s="64"/>
      <c r="U430" s="64"/>
      <c r="V430" s="64"/>
      <c r="W430" s="64"/>
      <c r="BF430" s="64"/>
      <c r="BG430" s="64"/>
      <c r="BH430" s="64"/>
      <c r="BI430" s="64"/>
      <c r="BJ430" s="64"/>
      <c r="BK430" s="64"/>
      <c r="BL430" s="64"/>
      <c r="BM430" s="64"/>
      <c r="BN430" s="64"/>
      <c r="BO430" s="64"/>
      <c r="BP430" s="64"/>
    </row>
    <row r="431" ht="18.75" customHeight="1">
      <c r="H431" s="64"/>
      <c r="J431" s="64"/>
      <c r="K431" s="64"/>
      <c r="M431" s="64"/>
      <c r="N431" s="64"/>
      <c r="O431" s="64"/>
      <c r="P431" s="64"/>
      <c r="Q431" s="64"/>
      <c r="R431" s="64"/>
      <c r="S431" s="64"/>
      <c r="T431" s="64"/>
      <c r="U431" s="64"/>
      <c r="V431" s="64"/>
      <c r="W431" s="64"/>
      <c r="BF431" s="64"/>
      <c r="BG431" s="64"/>
      <c r="BH431" s="64"/>
      <c r="BI431" s="64"/>
      <c r="BJ431" s="64"/>
      <c r="BK431" s="64"/>
      <c r="BL431" s="64"/>
      <c r="BM431" s="64"/>
      <c r="BN431" s="64"/>
      <c r="BO431" s="64"/>
      <c r="BP431" s="64"/>
    </row>
    <row r="432" ht="18.75" customHeight="1">
      <c r="H432" s="64"/>
      <c r="J432" s="64"/>
      <c r="K432" s="64"/>
      <c r="M432" s="64"/>
      <c r="N432" s="64"/>
      <c r="O432" s="64"/>
      <c r="P432" s="64"/>
      <c r="Q432" s="64"/>
      <c r="R432" s="64"/>
      <c r="S432" s="64"/>
      <c r="T432" s="64"/>
      <c r="U432" s="64"/>
      <c r="V432" s="64"/>
      <c r="W432" s="64"/>
      <c r="BF432" s="64"/>
      <c r="BG432" s="64"/>
      <c r="BH432" s="64"/>
      <c r="BI432" s="64"/>
      <c r="BJ432" s="64"/>
      <c r="BK432" s="64"/>
      <c r="BL432" s="64"/>
      <c r="BM432" s="64"/>
      <c r="BN432" s="64"/>
      <c r="BO432" s="64"/>
      <c r="BP432" s="64"/>
    </row>
    <row r="433" ht="18.75" customHeight="1">
      <c r="H433" s="64"/>
      <c r="J433" s="64"/>
      <c r="K433" s="64"/>
      <c r="M433" s="64"/>
      <c r="N433" s="64"/>
      <c r="O433" s="64"/>
      <c r="P433" s="64"/>
      <c r="Q433" s="64"/>
      <c r="R433" s="64"/>
      <c r="S433" s="64"/>
      <c r="T433" s="64"/>
      <c r="U433" s="64"/>
      <c r="V433" s="64"/>
      <c r="W433" s="64"/>
      <c r="BF433" s="64"/>
      <c r="BG433" s="64"/>
      <c r="BH433" s="64"/>
      <c r="BI433" s="64"/>
      <c r="BJ433" s="64"/>
      <c r="BK433" s="64"/>
      <c r="BL433" s="64"/>
      <c r="BM433" s="64"/>
      <c r="BN433" s="64"/>
      <c r="BO433" s="64"/>
      <c r="BP433" s="64"/>
    </row>
    <row r="434" ht="18.75" customHeight="1">
      <c r="H434" s="64"/>
      <c r="J434" s="64"/>
      <c r="K434" s="64"/>
      <c r="M434" s="64"/>
      <c r="N434" s="64"/>
      <c r="O434" s="64"/>
      <c r="P434" s="64"/>
      <c r="Q434" s="64"/>
      <c r="R434" s="64"/>
      <c r="S434" s="64"/>
      <c r="T434" s="64"/>
      <c r="U434" s="64"/>
      <c r="V434" s="64"/>
      <c r="W434" s="64"/>
      <c r="BF434" s="64"/>
      <c r="BG434" s="64"/>
      <c r="BH434" s="64"/>
      <c r="BI434" s="64"/>
      <c r="BJ434" s="64"/>
      <c r="BK434" s="64"/>
      <c r="BL434" s="64"/>
      <c r="BM434" s="64"/>
      <c r="BN434" s="64"/>
      <c r="BO434" s="64"/>
      <c r="BP434" s="64"/>
    </row>
    <row r="435" ht="18.75" customHeight="1">
      <c r="H435" s="64"/>
      <c r="J435" s="64"/>
      <c r="K435" s="64"/>
      <c r="M435" s="64"/>
      <c r="N435" s="64"/>
      <c r="O435" s="64"/>
      <c r="P435" s="64"/>
      <c r="Q435" s="64"/>
      <c r="R435" s="64"/>
      <c r="S435" s="64"/>
      <c r="T435" s="64"/>
      <c r="U435" s="64"/>
      <c r="V435" s="64"/>
      <c r="W435" s="64"/>
      <c r="BF435" s="64"/>
      <c r="BG435" s="64"/>
      <c r="BH435" s="64"/>
      <c r="BI435" s="64"/>
      <c r="BJ435" s="64"/>
      <c r="BK435" s="64"/>
      <c r="BL435" s="64"/>
      <c r="BM435" s="64"/>
      <c r="BN435" s="64"/>
      <c r="BO435" s="64"/>
      <c r="BP435" s="64"/>
    </row>
    <row r="436" ht="18.75" customHeight="1">
      <c r="H436" s="64"/>
      <c r="J436" s="64"/>
      <c r="K436" s="64"/>
      <c r="M436" s="64"/>
      <c r="N436" s="64"/>
      <c r="O436" s="64"/>
      <c r="P436" s="64"/>
      <c r="Q436" s="64"/>
      <c r="R436" s="64"/>
      <c r="S436" s="64"/>
      <c r="T436" s="64"/>
      <c r="U436" s="64"/>
      <c r="V436" s="64"/>
      <c r="W436" s="64"/>
      <c r="BF436" s="64"/>
      <c r="BG436" s="64"/>
      <c r="BH436" s="64"/>
      <c r="BI436" s="64"/>
      <c r="BJ436" s="64"/>
      <c r="BK436" s="64"/>
      <c r="BL436" s="64"/>
      <c r="BM436" s="64"/>
      <c r="BN436" s="64"/>
      <c r="BO436" s="64"/>
      <c r="BP436" s="64"/>
    </row>
    <row r="437" ht="18.75" customHeight="1">
      <c r="H437" s="64"/>
      <c r="J437" s="64"/>
      <c r="K437" s="64"/>
      <c r="M437" s="64"/>
      <c r="N437" s="64"/>
      <c r="O437" s="64"/>
      <c r="P437" s="64"/>
      <c r="Q437" s="64"/>
      <c r="R437" s="64"/>
      <c r="S437" s="64"/>
      <c r="T437" s="64"/>
      <c r="U437" s="64"/>
      <c r="V437" s="64"/>
      <c r="W437" s="64"/>
      <c r="BF437" s="64"/>
      <c r="BG437" s="64"/>
      <c r="BH437" s="64"/>
      <c r="BI437" s="64"/>
      <c r="BJ437" s="64"/>
      <c r="BK437" s="64"/>
      <c r="BL437" s="64"/>
      <c r="BM437" s="64"/>
      <c r="BN437" s="64"/>
      <c r="BO437" s="64"/>
      <c r="BP437" s="64"/>
    </row>
    <row r="438" ht="18.75" customHeight="1">
      <c r="H438" s="64"/>
      <c r="J438" s="64"/>
      <c r="K438" s="64"/>
      <c r="M438" s="64"/>
      <c r="N438" s="64"/>
      <c r="O438" s="64"/>
      <c r="P438" s="64"/>
      <c r="Q438" s="64"/>
      <c r="R438" s="64"/>
      <c r="S438" s="64"/>
      <c r="T438" s="64"/>
      <c r="U438" s="64"/>
      <c r="V438" s="64"/>
      <c r="W438" s="64"/>
      <c r="BF438" s="64"/>
      <c r="BG438" s="64"/>
      <c r="BH438" s="64"/>
      <c r="BI438" s="64"/>
      <c r="BJ438" s="64"/>
      <c r="BK438" s="64"/>
      <c r="BL438" s="64"/>
      <c r="BM438" s="64"/>
      <c r="BN438" s="64"/>
      <c r="BO438" s="64"/>
      <c r="BP438" s="64"/>
    </row>
    <row r="439" ht="18.75" customHeight="1">
      <c r="H439" s="64"/>
      <c r="J439" s="64"/>
      <c r="K439" s="64"/>
      <c r="M439" s="64"/>
      <c r="N439" s="64"/>
      <c r="O439" s="64"/>
      <c r="P439" s="64"/>
      <c r="Q439" s="64"/>
      <c r="R439" s="64"/>
      <c r="S439" s="64"/>
      <c r="T439" s="64"/>
      <c r="U439" s="64"/>
      <c r="V439" s="64"/>
      <c r="W439" s="64"/>
      <c r="BF439" s="64"/>
      <c r="BG439" s="64"/>
      <c r="BH439" s="64"/>
      <c r="BI439" s="64"/>
      <c r="BJ439" s="64"/>
      <c r="BK439" s="64"/>
      <c r="BL439" s="64"/>
      <c r="BM439" s="64"/>
      <c r="BN439" s="64"/>
      <c r="BO439" s="64"/>
      <c r="BP439" s="64"/>
    </row>
    <row r="440" ht="18.75" customHeight="1">
      <c r="H440" s="64"/>
      <c r="J440" s="64"/>
      <c r="K440" s="64"/>
      <c r="M440" s="64"/>
      <c r="N440" s="64"/>
      <c r="O440" s="64"/>
      <c r="P440" s="64"/>
      <c r="Q440" s="64"/>
      <c r="R440" s="64"/>
      <c r="S440" s="64"/>
      <c r="T440" s="64"/>
      <c r="U440" s="64"/>
      <c r="V440" s="64"/>
      <c r="W440" s="64"/>
      <c r="BF440" s="64"/>
      <c r="BG440" s="64"/>
      <c r="BH440" s="64"/>
      <c r="BI440" s="64"/>
      <c r="BJ440" s="64"/>
      <c r="BK440" s="64"/>
      <c r="BL440" s="64"/>
      <c r="BM440" s="64"/>
      <c r="BN440" s="64"/>
      <c r="BO440" s="64"/>
      <c r="BP440" s="64"/>
    </row>
    <row r="441" ht="18.75" customHeight="1">
      <c r="H441" s="64"/>
      <c r="J441" s="64"/>
      <c r="K441" s="64"/>
      <c r="M441" s="64"/>
      <c r="N441" s="64"/>
      <c r="O441" s="64"/>
      <c r="P441" s="64"/>
      <c r="Q441" s="64"/>
      <c r="R441" s="64"/>
      <c r="S441" s="64"/>
      <c r="T441" s="64"/>
      <c r="U441" s="64"/>
      <c r="V441" s="64"/>
      <c r="W441" s="64"/>
      <c r="BF441" s="64"/>
      <c r="BG441" s="64"/>
      <c r="BH441" s="64"/>
      <c r="BI441" s="64"/>
      <c r="BJ441" s="64"/>
      <c r="BK441" s="64"/>
      <c r="BL441" s="64"/>
      <c r="BM441" s="64"/>
      <c r="BN441" s="64"/>
      <c r="BO441" s="64"/>
      <c r="BP441" s="64"/>
    </row>
    <row r="442" ht="18.75" customHeight="1">
      <c r="H442" s="64"/>
      <c r="J442" s="64"/>
      <c r="K442" s="64"/>
      <c r="M442" s="64"/>
      <c r="N442" s="64"/>
      <c r="O442" s="64"/>
      <c r="P442" s="64"/>
      <c r="Q442" s="64"/>
      <c r="R442" s="64"/>
      <c r="S442" s="64"/>
      <c r="T442" s="64"/>
      <c r="U442" s="64"/>
      <c r="V442" s="64"/>
      <c r="W442" s="64"/>
      <c r="BF442" s="64"/>
      <c r="BG442" s="64"/>
      <c r="BH442" s="64"/>
      <c r="BI442" s="64"/>
      <c r="BJ442" s="64"/>
      <c r="BK442" s="64"/>
      <c r="BL442" s="64"/>
      <c r="BM442" s="64"/>
      <c r="BN442" s="64"/>
      <c r="BO442" s="64"/>
      <c r="BP442" s="64"/>
    </row>
    <row r="443" ht="18.75" customHeight="1">
      <c r="H443" s="64"/>
      <c r="J443" s="64"/>
      <c r="K443" s="64"/>
      <c r="M443" s="64"/>
      <c r="N443" s="64"/>
      <c r="O443" s="64"/>
      <c r="P443" s="64"/>
      <c r="Q443" s="64"/>
      <c r="R443" s="64"/>
      <c r="S443" s="64"/>
      <c r="T443" s="64"/>
      <c r="U443" s="64"/>
      <c r="V443" s="64"/>
      <c r="W443" s="64"/>
      <c r="BF443" s="64"/>
      <c r="BG443" s="64"/>
      <c r="BH443" s="64"/>
      <c r="BI443" s="64"/>
      <c r="BJ443" s="64"/>
      <c r="BK443" s="64"/>
      <c r="BL443" s="64"/>
      <c r="BM443" s="64"/>
      <c r="BN443" s="64"/>
      <c r="BO443" s="64"/>
      <c r="BP443" s="64"/>
    </row>
    <row r="444" ht="18.75" customHeight="1">
      <c r="H444" s="64"/>
      <c r="J444" s="64"/>
      <c r="K444" s="64"/>
      <c r="M444" s="64"/>
      <c r="N444" s="64"/>
      <c r="O444" s="64"/>
      <c r="P444" s="64"/>
      <c r="Q444" s="64"/>
      <c r="R444" s="64"/>
      <c r="S444" s="64"/>
      <c r="T444" s="64"/>
      <c r="U444" s="64"/>
      <c r="V444" s="64"/>
      <c r="W444" s="64"/>
      <c r="BF444" s="64"/>
      <c r="BG444" s="64"/>
      <c r="BH444" s="64"/>
      <c r="BI444" s="64"/>
      <c r="BJ444" s="64"/>
      <c r="BK444" s="64"/>
      <c r="BL444" s="64"/>
      <c r="BM444" s="64"/>
      <c r="BN444" s="64"/>
      <c r="BO444" s="64"/>
      <c r="BP444" s="64"/>
    </row>
    <row r="445" ht="18.75" customHeight="1">
      <c r="H445" s="64"/>
      <c r="J445" s="64"/>
      <c r="K445" s="64"/>
      <c r="M445" s="64"/>
      <c r="N445" s="64"/>
      <c r="O445" s="64"/>
      <c r="P445" s="64"/>
      <c r="Q445" s="64"/>
      <c r="R445" s="64"/>
      <c r="S445" s="64"/>
      <c r="T445" s="64"/>
      <c r="U445" s="64"/>
      <c r="V445" s="64"/>
      <c r="W445" s="64"/>
      <c r="BF445" s="64"/>
      <c r="BG445" s="64"/>
      <c r="BH445" s="64"/>
      <c r="BI445" s="64"/>
      <c r="BJ445" s="64"/>
      <c r="BK445" s="64"/>
      <c r="BL445" s="64"/>
      <c r="BM445" s="64"/>
      <c r="BN445" s="64"/>
      <c r="BO445" s="64"/>
      <c r="BP445" s="64"/>
    </row>
    <row r="446" ht="18.75" customHeight="1">
      <c r="H446" s="64"/>
      <c r="J446" s="64"/>
      <c r="K446" s="64"/>
      <c r="M446" s="64"/>
      <c r="N446" s="64"/>
      <c r="O446" s="64"/>
      <c r="P446" s="64"/>
      <c r="Q446" s="64"/>
      <c r="R446" s="64"/>
      <c r="S446" s="64"/>
      <c r="T446" s="64"/>
      <c r="U446" s="64"/>
      <c r="V446" s="64"/>
      <c r="W446" s="64"/>
      <c r="BF446" s="64"/>
      <c r="BG446" s="64"/>
      <c r="BH446" s="64"/>
      <c r="BI446" s="64"/>
      <c r="BJ446" s="64"/>
      <c r="BK446" s="64"/>
      <c r="BL446" s="64"/>
      <c r="BM446" s="64"/>
      <c r="BN446" s="64"/>
      <c r="BO446" s="64"/>
      <c r="BP446" s="64"/>
    </row>
    <row r="447" ht="18.75" customHeight="1">
      <c r="H447" s="64"/>
      <c r="J447" s="64"/>
      <c r="K447" s="64"/>
      <c r="M447" s="64"/>
      <c r="N447" s="64"/>
      <c r="O447" s="64"/>
      <c r="P447" s="64"/>
      <c r="Q447" s="64"/>
      <c r="R447" s="64"/>
      <c r="S447" s="64"/>
      <c r="T447" s="64"/>
      <c r="U447" s="64"/>
      <c r="V447" s="64"/>
      <c r="W447" s="64"/>
      <c r="BF447" s="64"/>
      <c r="BG447" s="64"/>
      <c r="BH447" s="64"/>
      <c r="BI447" s="64"/>
      <c r="BJ447" s="64"/>
      <c r="BK447" s="64"/>
      <c r="BL447" s="64"/>
      <c r="BM447" s="64"/>
      <c r="BN447" s="64"/>
      <c r="BO447" s="64"/>
      <c r="BP447" s="64"/>
    </row>
    <row r="448" ht="18.75" customHeight="1">
      <c r="H448" s="64"/>
      <c r="J448" s="64"/>
      <c r="K448" s="64"/>
      <c r="M448" s="64"/>
      <c r="N448" s="64"/>
      <c r="O448" s="64"/>
      <c r="P448" s="64"/>
      <c r="Q448" s="64"/>
      <c r="R448" s="64"/>
      <c r="S448" s="64"/>
      <c r="T448" s="64"/>
      <c r="U448" s="64"/>
      <c r="V448" s="64"/>
      <c r="W448" s="64"/>
      <c r="BF448" s="64"/>
      <c r="BG448" s="64"/>
      <c r="BH448" s="64"/>
      <c r="BI448" s="64"/>
      <c r="BJ448" s="64"/>
      <c r="BK448" s="64"/>
      <c r="BL448" s="64"/>
      <c r="BM448" s="64"/>
      <c r="BN448" s="64"/>
      <c r="BO448" s="64"/>
      <c r="BP448" s="64"/>
    </row>
    <row r="449" ht="18.75" customHeight="1">
      <c r="H449" s="64"/>
      <c r="J449" s="64"/>
      <c r="K449" s="64"/>
      <c r="M449" s="64"/>
      <c r="N449" s="64"/>
      <c r="O449" s="64"/>
      <c r="P449" s="64"/>
      <c r="Q449" s="64"/>
      <c r="R449" s="64"/>
      <c r="S449" s="64"/>
      <c r="T449" s="64"/>
      <c r="U449" s="64"/>
      <c r="V449" s="64"/>
      <c r="W449" s="64"/>
      <c r="BF449" s="64"/>
      <c r="BG449" s="64"/>
      <c r="BH449" s="64"/>
      <c r="BI449" s="64"/>
      <c r="BJ449" s="64"/>
      <c r="BK449" s="64"/>
      <c r="BL449" s="64"/>
      <c r="BM449" s="64"/>
      <c r="BN449" s="64"/>
      <c r="BO449" s="64"/>
      <c r="BP449" s="64"/>
    </row>
    <row r="450" ht="18.75" customHeight="1">
      <c r="H450" s="64"/>
      <c r="J450" s="64"/>
      <c r="K450" s="64"/>
      <c r="M450" s="64"/>
      <c r="N450" s="64"/>
      <c r="O450" s="64"/>
      <c r="P450" s="64"/>
      <c r="Q450" s="64"/>
      <c r="R450" s="64"/>
      <c r="S450" s="64"/>
      <c r="T450" s="64"/>
      <c r="U450" s="64"/>
      <c r="V450" s="64"/>
      <c r="W450" s="64"/>
      <c r="BF450" s="64"/>
      <c r="BG450" s="64"/>
      <c r="BH450" s="64"/>
      <c r="BI450" s="64"/>
      <c r="BJ450" s="64"/>
      <c r="BK450" s="64"/>
      <c r="BL450" s="64"/>
      <c r="BM450" s="64"/>
      <c r="BN450" s="64"/>
      <c r="BO450" s="64"/>
      <c r="BP450" s="64"/>
    </row>
    <row r="451" ht="18.75" customHeight="1">
      <c r="H451" s="64"/>
      <c r="J451" s="64"/>
      <c r="K451" s="64"/>
      <c r="M451" s="64"/>
      <c r="N451" s="64"/>
      <c r="O451" s="64"/>
      <c r="P451" s="64"/>
      <c r="Q451" s="64"/>
      <c r="R451" s="64"/>
      <c r="S451" s="64"/>
      <c r="T451" s="64"/>
      <c r="U451" s="64"/>
      <c r="V451" s="64"/>
      <c r="W451" s="64"/>
      <c r="BF451" s="64"/>
      <c r="BG451" s="64"/>
      <c r="BH451" s="64"/>
      <c r="BI451" s="64"/>
      <c r="BJ451" s="64"/>
      <c r="BK451" s="64"/>
      <c r="BL451" s="64"/>
      <c r="BM451" s="64"/>
      <c r="BN451" s="64"/>
      <c r="BO451" s="64"/>
      <c r="BP451" s="64"/>
    </row>
    <row r="452" ht="18.75" customHeight="1">
      <c r="H452" s="64"/>
      <c r="J452" s="64"/>
      <c r="K452" s="64"/>
      <c r="M452" s="64"/>
      <c r="N452" s="64"/>
      <c r="O452" s="64"/>
      <c r="P452" s="64"/>
      <c r="Q452" s="64"/>
      <c r="R452" s="64"/>
      <c r="S452" s="64"/>
      <c r="T452" s="64"/>
      <c r="U452" s="64"/>
      <c r="V452" s="64"/>
      <c r="W452" s="64"/>
      <c r="BF452" s="64"/>
      <c r="BG452" s="64"/>
      <c r="BH452" s="64"/>
      <c r="BI452" s="64"/>
      <c r="BJ452" s="64"/>
      <c r="BK452" s="64"/>
      <c r="BL452" s="64"/>
      <c r="BM452" s="64"/>
      <c r="BN452" s="64"/>
      <c r="BO452" s="64"/>
      <c r="BP452" s="64"/>
    </row>
    <row r="453" ht="18.75" customHeight="1">
      <c r="H453" s="64"/>
      <c r="J453" s="64"/>
      <c r="K453" s="64"/>
      <c r="M453" s="64"/>
      <c r="N453" s="64"/>
      <c r="O453" s="64"/>
      <c r="P453" s="64"/>
      <c r="Q453" s="64"/>
      <c r="R453" s="64"/>
      <c r="S453" s="64"/>
      <c r="T453" s="64"/>
      <c r="U453" s="64"/>
      <c r="V453" s="64"/>
      <c r="W453" s="64"/>
      <c r="BF453" s="64"/>
      <c r="BG453" s="64"/>
      <c r="BH453" s="64"/>
      <c r="BI453" s="64"/>
      <c r="BJ453" s="64"/>
      <c r="BK453" s="64"/>
      <c r="BL453" s="64"/>
      <c r="BM453" s="64"/>
      <c r="BN453" s="64"/>
      <c r="BO453" s="64"/>
      <c r="BP453" s="64"/>
    </row>
    <row r="454" ht="18.75" customHeight="1">
      <c r="H454" s="64"/>
      <c r="J454" s="64"/>
      <c r="K454" s="64"/>
      <c r="M454" s="64"/>
      <c r="N454" s="64"/>
      <c r="O454" s="64"/>
      <c r="P454" s="64"/>
      <c r="Q454" s="64"/>
      <c r="R454" s="64"/>
      <c r="S454" s="64"/>
      <c r="T454" s="64"/>
      <c r="U454" s="64"/>
      <c r="V454" s="64"/>
      <c r="W454" s="64"/>
      <c r="BF454" s="64"/>
      <c r="BG454" s="64"/>
      <c r="BH454" s="64"/>
      <c r="BI454" s="64"/>
      <c r="BJ454" s="64"/>
      <c r="BK454" s="64"/>
      <c r="BL454" s="64"/>
      <c r="BM454" s="64"/>
      <c r="BN454" s="64"/>
      <c r="BO454" s="64"/>
      <c r="BP454" s="64"/>
    </row>
    <row r="455" ht="18.75" customHeight="1">
      <c r="H455" s="64"/>
      <c r="J455" s="64"/>
      <c r="K455" s="64"/>
      <c r="M455" s="64"/>
      <c r="N455" s="64"/>
      <c r="O455" s="64"/>
      <c r="P455" s="64"/>
      <c r="Q455" s="64"/>
      <c r="R455" s="64"/>
      <c r="S455" s="64"/>
      <c r="T455" s="64"/>
      <c r="U455" s="64"/>
      <c r="V455" s="64"/>
      <c r="W455" s="64"/>
      <c r="BF455" s="64"/>
      <c r="BG455" s="64"/>
      <c r="BH455" s="64"/>
      <c r="BI455" s="64"/>
      <c r="BJ455" s="64"/>
      <c r="BK455" s="64"/>
      <c r="BL455" s="64"/>
      <c r="BM455" s="64"/>
      <c r="BN455" s="64"/>
      <c r="BO455" s="64"/>
      <c r="BP455" s="64"/>
    </row>
    <row r="456" ht="18.75" customHeight="1">
      <c r="H456" s="64"/>
      <c r="J456" s="64"/>
      <c r="K456" s="64"/>
      <c r="M456" s="64"/>
      <c r="N456" s="64"/>
      <c r="O456" s="64"/>
      <c r="P456" s="64"/>
      <c r="Q456" s="64"/>
      <c r="R456" s="64"/>
      <c r="S456" s="64"/>
      <c r="T456" s="64"/>
      <c r="U456" s="64"/>
      <c r="V456" s="64"/>
      <c r="W456" s="64"/>
      <c r="BF456" s="64"/>
      <c r="BG456" s="64"/>
      <c r="BH456" s="64"/>
      <c r="BI456" s="64"/>
      <c r="BJ456" s="64"/>
      <c r="BK456" s="64"/>
      <c r="BL456" s="64"/>
      <c r="BM456" s="64"/>
      <c r="BN456" s="64"/>
      <c r="BO456" s="64"/>
      <c r="BP456" s="64"/>
    </row>
    <row r="457" ht="18.75" customHeight="1">
      <c r="H457" s="64"/>
      <c r="J457" s="64"/>
      <c r="K457" s="64"/>
      <c r="M457" s="64"/>
      <c r="N457" s="64"/>
      <c r="O457" s="64"/>
      <c r="P457" s="64"/>
      <c r="Q457" s="64"/>
      <c r="R457" s="64"/>
      <c r="S457" s="64"/>
      <c r="T457" s="64"/>
      <c r="U457" s="64"/>
      <c r="V457" s="64"/>
      <c r="W457" s="64"/>
      <c r="BF457" s="64"/>
      <c r="BG457" s="64"/>
      <c r="BH457" s="64"/>
      <c r="BI457" s="64"/>
      <c r="BJ457" s="64"/>
      <c r="BK457" s="64"/>
      <c r="BL457" s="64"/>
      <c r="BM457" s="64"/>
      <c r="BN457" s="64"/>
      <c r="BO457" s="64"/>
      <c r="BP457" s="64"/>
    </row>
    <row r="458" ht="18.75" customHeight="1">
      <c r="H458" s="64"/>
      <c r="J458" s="64"/>
      <c r="K458" s="64"/>
      <c r="M458" s="64"/>
      <c r="N458" s="64"/>
      <c r="O458" s="64"/>
      <c r="P458" s="64"/>
      <c r="Q458" s="64"/>
      <c r="R458" s="64"/>
      <c r="S458" s="64"/>
      <c r="T458" s="64"/>
      <c r="U458" s="64"/>
      <c r="V458" s="64"/>
      <c r="W458" s="64"/>
      <c r="BF458" s="64"/>
      <c r="BG458" s="64"/>
      <c r="BH458" s="64"/>
      <c r="BI458" s="64"/>
      <c r="BJ458" s="64"/>
      <c r="BK458" s="64"/>
      <c r="BL458" s="64"/>
      <c r="BM458" s="64"/>
      <c r="BN458" s="64"/>
      <c r="BO458" s="64"/>
      <c r="BP458" s="64"/>
    </row>
    <row r="459" ht="18.75" customHeight="1">
      <c r="H459" s="64"/>
      <c r="J459" s="64"/>
      <c r="K459" s="64"/>
      <c r="M459" s="64"/>
      <c r="N459" s="64"/>
      <c r="O459" s="64"/>
      <c r="P459" s="64"/>
      <c r="Q459" s="64"/>
      <c r="R459" s="64"/>
      <c r="S459" s="64"/>
      <c r="T459" s="64"/>
      <c r="U459" s="64"/>
      <c r="V459" s="64"/>
      <c r="W459" s="64"/>
      <c r="BF459" s="64"/>
      <c r="BG459" s="64"/>
      <c r="BH459" s="64"/>
      <c r="BI459" s="64"/>
      <c r="BJ459" s="64"/>
      <c r="BK459" s="64"/>
      <c r="BL459" s="64"/>
      <c r="BM459" s="64"/>
      <c r="BN459" s="64"/>
      <c r="BO459" s="64"/>
      <c r="BP459" s="64"/>
    </row>
    <row r="460" ht="18.75" customHeight="1">
      <c r="H460" s="64"/>
      <c r="J460" s="64"/>
      <c r="K460" s="64"/>
      <c r="M460" s="64"/>
      <c r="N460" s="64"/>
      <c r="O460" s="64"/>
      <c r="P460" s="64"/>
      <c r="Q460" s="64"/>
      <c r="R460" s="64"/>
      <c r="S460" s="64"/>
      <c r="T460" s="64"/>
      <c r="U460" s="64"/>
      <c r="V460" s="64"/>
      <c r="W460" s="64"/>
      <c r="BF460" s="64"/>
      <c r="BG460" s="64"/>
      <c r="BH460" s="64"/>
      <c r="BI460" s="64"/>
      <c r="BJ460" s="64"/>
      <c r="BK460" s="64"/>
      <c r="BL460" s="64"/>
      <c r="BM460" s="64"/>
      <c r="BN460" s="64"/>
      <c r="BO460" s="64"/>
      <c r="BP460" s="64"/>
    </row>
    <row r="461" ht="18.75" customHeight="1">
      <c r="H461" s="64"/>
      <c r="J461" s="64"/>
      <c r="K461" s="64"/>
      <c r="M461" s="64"/>
      <c r="N461" s="64"/>
      <c r="O461" s="64"/>
      <c r="P461" s="64"/>
      <c r="Q461" s="64"/>
      <c r="R461" s="64"/>
      <c r="S461" s="64"/>
      <c r="T461" s="64"/>
      <c r="U461" s="64"/>
      <c r="V461" s="64"/>
      <c r="W461" s="64"/>
      <c r="BF461" s="64"/>
      <c r="BG461" s="64"/>
      <c r="BH461" s="64"/>
      <c r="BI461" s="64"/>
      <c r="BJ461" s="64"/>
      <c r="BK461" s="64"/>
      <c r="BL461" s="64"/>
      <c r="BM461" s="64"/>
      <c r="BN461" s="64"/>
      <c r="BO461" s="64"/>
      <c r="BP461" s="64"/>
    </row>
    <row r="462" ht="18.75" customHeight="1">
      <c r="H462" s="64"/>
      <c r="J462" s="64"/>
      <c r="K462" s="64"/>
      <c r="M462" s="64"/>
      <c r="N462" s="64"/>
      <c r="O462" s="64"/>
      <c r="P462" s="64"/>
      <c r="Q462" s="64"/>
      <c r="R462" s="64"/>
      <c r="S462" s="64"/>
      <c r="T462" s="64"/>
      <c r="U462" s="64"/>
      <c r="V462" s="64"/>
      <c r="W462" s="64"/>
      <c r="BF462" s="64"/>
      <c r="BG462" s="64"/>
      <c r="BH462" s="64"/>
      <c r="BI462" s="64"/>
      <c r="BJ462" s="64"/>
      <c r="BK462" s="64"/>
      <c r="BL462" s="64"/>
      <c r="BM462" s="64"/>
      <c r="BN462" s="64"/>
      <c r="BO462" s="64"/>
      <c r="BP462" s="64"/>
    </row>
    <row r="463" ht="18.75" customHeight="1">
      <c r="H463" s="64"/>
      <c r="J463" s="64"/>
      <c r="K463" s="64"/>
      <c r="M463" s="64"/>
      <c r="N463" s="64"/>
      <c r="O463" s="64"/>
      <c r="P463" s="64"/>
      <c r="Q463" s="64"/>
      <c r="R463" s="64"/>
      <c r="S463" s="64"/>
      <c r="T463" s="64"/>
      <c r="U463" s="64"/>
      <c r="V463" s="64"/>
      <c r="W463" s="64"/>
      <c r="BF463" s="64"/>
      <c r="BG463" s="64"/>
      <c r="BH463" s="64"/>
      <c r="BI463" s="64"/>
      <c r="BJ463" s="64"/>
      <c r="BK463" s="64"/>
      <c r="BL463" s="64"/>
      <c r="BM463" s="64"/>
      <c r="BN463" s="64"/>
      <c r="BO463" s="64"/>
      <c r="BP463" s="64"/>
    </row>
    <row r="464" ht="18.75" customHeight="1">
      <c r="H464" s="64"/>
      <c r="J464" s="64"/>
      <c r="K464" s="64"/>
      <c r="M464" s="64"/>
      <c r="N464" s="64"/>
      <c r="O464" s="64"/>
      <c r="P464" s="64"/>
      <c r="Q464" s="64"/>
      <c r="R464" s="64"/>
      <c r="S464" s="64"/>
      <c r="T464" s="64"/>
      <c r="U464" s="64"/>
      <c r="V464" s="64"/>
      <c r="W464" s="64"/>
      <c r="BF464" s="64"/>
      <c r="BG464" s="64"/>
      <c r="BH464" s="64"/>
      <c r="BI464" s="64"/>
      <c r="BJ464" s="64"/>
      <c r="BK464" s="64"/>
      <c r="BL464" s="64"/>
      <c r="BM464" s="64"/>
      <c r="BN464" s="64"/>
      <c r="BO464" s="64"/>
      <c r="BP464" s="64"/>
    </row>
    <row r="465" ht="18.75" customHeight="1">
      <c r="H465" s="64"/>
      <c r="J465" s="64"/>
      <c r="K465" s="64"/>
      <c r="M465" s="64"/>
      <c r="N465" s="64"/>
      <c r="O465" s="64"/>
      <c r="P465" s="64"/>
      <c r="Q465" s="64"/>
      <c r="R465" s="64"/>
      <c r="S465" s="64"/>
      <c r="T465" s="64"/>
      <c r="U465" s="64"/>
      <c r="V465" s="64"/>
      <c r="W465" s="64"/>
      <c r="BF465" s="64"/>
      <c r="BG465" s="64"/>
      <c r="BH465" s="64"/>
      <c r="BI465" s="64"/>
      <c r="BJ465" s="64"/>
      <c r="BK465" s="64"/>
      <c r="BL465" s="64"/>
      <c r="BM465" s="64"/>
      <c r="BN465" s="64"/>
      <c r="BO465" s="64"/>
      <c r="BP465" s="64"/>
    </row>
    <row r="466" ht="18.75" customHeight="1">
      <c r="H466" s="64"/>
      <c r="J466" s="64"/>
      <c r="K466" s="64"/>
      <c r="M466" s="64"/>
      <c r="N466" s="64"/>
      <c r="O466" s="64"/>
      <c r="P466" s="64"/>
      <c r="Q466" s="64"/>
      <c r="R466" s="64"/>
      <c r="S466" s="64"/>
      <c r="T466" s="64"/>
      <c r="U466" s="64"/>
      <c r="V466" s="64"/>
      <c r="W466" s="64"/>
      <c r="BF466" s="64"/>
      <c r="BG466" s="64"/>
      <c r="BH466" s="64"/>
      <c r="BI466" s="64"/>
      <c r="BJ466" s="64"/>
      <c r="BK466" s="64"/>
      <c r="BL466" s="64"/>
      <c r="BM466" s="64"/>
      <c r="BN466" s="64"/>
      <c r="BO466" s="64"/>
      <c r="BP466" s="64"/>
    </row>
    <row r="467" ht="18.75" customHeight="1">
      <c r="H467" s="64"/>
      <c r="J467" s="64"/>
      <c r="K467" s="64"/>
      <c r="M467" s="64"/>
      <c r="N467" s="64"/>
      <c r="O467" s="64"/>
      <c r="P467" s="64"/>
      <c r="Q467" s="64"/>
      <c r="R467" s="64"/>
      <c r="S467" s="64"/>
      <c r="T467" s="64"/>
      <c r="U467" s="64"/>
      <c r="V467" s="64"/>
      <c r="W467" s="64"/>
      <c r="BF467" s="64"/>
      <c r="BG467" s="64"/>
      <c r="BH467" s="64"/>
      <c r="BI467" s="64"/>
      <c r="BJ467" s="64"/>
      <c r="BK467" s="64"/>
      <c r="BL467" s="64"/>
      <c r="BM467" s="64"/>
      <c r="BN467" s="64"/>
      <c r="BO467" s="64"/>
      <c r="BP467" s="64"/>
    </row>
    <row r="468" ht="18.75" customHeight="1">
      <c r="H468" s="64"/>
      <c r="J468" s="64"/>
      <c r="K468" s="64"/>
      <c r="M468" s="64"/>
      <c r="N468" s="64"/>
      <c r="O468" s="64"/>
      <c r="P468" s="64"/>
      <c r="Q468" s="64"/>
      <c r="R468" s="64"/>
      <c r="S468" s="64"/>
      <c r="T468" s="64"/>
      <c r="U468" s="64"/>
      <c r="V468" s="64"/>
      <c r="W468" s="64"/>
      <c r="BF468" s="64"/>
      <c r="BG468" s="64"/>
      <c r="BH468" s="64"/>
      <c r="BI468" s="64"/>
      <c r="BJ468" s="64"/>
      <c r="BK468" s="64"/>
      <c r="BL468" s="64"/>
      <c r="BM468" s="64"/>
      <c r="BN468" s="64"/>
      <c r="BO468" s="64"/>
      <c r="BP468" s="64"/>
    </row>
    <row r="469" ht="18.75" customHeight="1">
      <c r="H469" s="64"/>
      <c r="J469" s="64"/>
      <c r="K469" s="64"/>
      <c r="M469" s="64"/>
      <c r="N469" s="64"/>
      <c r="O469" s="64"/>
      <c r="P469" s="64"/>
      <c r="Q469" s="64"/>
      <c r="R469" s="64"/>
      <c r="S469" s="64"/>
      <c r="T469" s="64"/>
      <c r="U469" s="64"/>
      <c r="V469" s="64"/>
      <c r="W469" s="64"/>
      <c r="BF469" s="64"/>
      <c r="BG469" s="64"/>
      <c r="BH469" s="64"/>
      <c r="BI469" s="64"/>
      <c r="BJ469" s="64"/>
      <c r="BK469" s="64"/>
      <c r="BL469" s="64"/>
      <c r="BM469" s="64"/>
      <c r="BN469" s="64"/>
      <c r="BO469" s="64"/>
      <c r="BP469" s="64"/>
    </row>
    <row r="470" ht="18.75" customHeight="1">
      <c r="H470" s="64"/>
      <c r="J470" s="64"/>
      <c r="K470" s="64"/>
      <c r="M470" s="64"/>
      <c r="N470" s="64"/>
      <c r="O470" s="64"/>
      <c r="P470" s="64"/>
      <c r="Q470" s="64"/>
      <c r="R470" s="64"/>
      <c r="S470" s="64"/>
      <c r="T470" s="64"/>
      <c r="U470" s="64"/>
      <c r="V470" s="64"/>
      <c r="W470" s="64"/>
      <c r="BF470" s="64"/>
      <c r="BG470" s="64"/>
      <c r="BH470" s="64"/>
      <c r="BI470" s="64"/>
      <c r="BJ470" s="64"/>
      <c r="BK470" s="64"/>
      <c r="BL470" s="64"/>
      <c r="BM470" s="64"/>
      <c r="BN470" s="64"/>
      <c r="BO470" s="64"/>
      <c r="BP470" s="64"/>
    </row>
    <row r="471" ht="18.75" customHeight="1">
      <c r="H471" s="64"/>
      <c r="J471" s="64"/>
      <c r="K471" s="64"/>
      <c r="M471" s="64"/>
      <c r="N471" s="64"/>
      <c r="O471" s="64"/>
      <c r="P471" s="64"/>
      <c r="Q471" s="64"/>
      <c r="R471" s="64"/>
      <c r="S471" s="64"/>
      <c r="T471" s="64"/>
      <c r="U471" s="64"/>
      <c r="V471" s="64"/>
      <c r="W471" s="64"/>
      <c r="BF471" s="64"/>
      <c r="BG471" s="64"/>
      <c r="BH471" s="64"/>
      <c r="BI471" s="64"/>
      <c r="BJ471" s="64"/>
      <c r="BK471" s="64"/>
      <c r="BL471" s="64"/>
      <c r="BM471" s="64"/>
      <c r="BN471" s="64"/>
      <c r="BO471" s="64"/>
      <c r="BP471" s="64"/>
    </row>
    <row r="472" ht="18.75" customHeight="1">
      <c r="H472" s="64"/>
      <c r="J472" s="64"/>
      <c r="K472" s="64"/>
      <c r="M472" s="64"/>
      <c r="N472" s="64"/>
      <c r="O472" s="64"/>
      <c r="P472" s="64"/>
      <c r="Q472" s="64"/>
      <c r="R472" s="64"/>
      <c r="S472" s="64"/>
      <c r="T472" s="64"/>
      <c r="U472" s="64"/>
      <c r="V472" s="64"/>
      <c r="W472" s="64"/>
      <c r="BF472" s="64"/>
      <c r="BG472" s="64"/>
      <c r="BH472" s="64"/>
      <c r="BI472" s="64"/>
      <c r="BJ472" s="64"/>
      <c r="BK472" s="64"/>
      <c r="BL472" s="64"/>
      <c r="BM472" s="64"/>
      <c r="BN472" s="64"/>
      <c r="BO472" s="64"/>
      <c r="BP472" s="64"/>
    </row>
    <row r="473" ht="18.75" customHeight="1">
      <c r="H473" s="64"/>
      <c r="J473" s="64"/>
      <c r="K473" s="64"/>
      <c r="M473" s="64"/>
      <c r="N473" s="64"/>
      <c r="O473" s="64"/>
      <c r="P473" s="64"/>
      <c r="Q473" s="64"/>
      <c r="R473" s="64"/>
      <c r="S473" s="64"/>
      <c r="T473" s="64"/>
      <c r="U473" s="64"/>
      <c r="V473" s="64"/>
      <c r="W473" s="64"/>
      <c r="BF473" s="64"/>
      <c r="BG473" s="64"/>
      <c r="BH473" s="64"/>
      <c r="BI473" s="64"/>
      <c r="BJ473" s="64"/>
      <c r="BK473" s="64"/>
      <c r="BL473" s="64"/>
      <c r="BM473" s="64"/>
      <c r="BN473" s="64"/>
      <c r="BO473" s="64"/>
      <c r="BP473" s="64"/>
    </row>
    <row r="474" ht="18.75" customHeight="1">
      <c r="H474" s="64"/>
      <c r="J474" s="64"/>
      <c r="K474" s="64"/>
      <c r="M474" s="64"/>
      <c r="N474" s="64"/>
      <c r="O474" s="64"/>
      <c r="P474" s="64"/>
      <c r="Q474" s="64"/>
      <c r="R474" s="64"/>
      <c r="S474" s="64"/>
      <c r="T474" s="64"/>
      <c r="U474" s="64"/>
      <c r="V474" s="64"/>
      <c r="W474" s="64"/>
      <c r="BF474" s="64"/>
      <c r="BG474" s="64"/>
      <c r="BH474" s="64"/>
      <c r="BI474" s="64"/>
      <c r="BJ474" s="64"/>
      <c r="BK474" s="64"/>
      <c r="BL474" s="64"/>
      <c r="BM474" s="64"/>
      <c r="BN474" s="64"/>
      <c r="BO474" s="64"/>
      <c r="BP474" s="64"/>
    </row>
    <row r="475" ht="18.75" customHeight="1">
      <c r="H475" s="64"/>
      <c r="J475" s="64"/>
      <c r="K475" s="64"/>
      <c r="M475" s="64"/>
      <c r="N475" s="64"/>
      <c r="O475" s="64"/>
      <c r="P475" s="64"/>
      <c r="Q475" s="64"/>
      <c r="R475" s="64"/>
      <c r="S475" s="64"/>
      <c r="T475" s="64"/>
      <c r="U475" s="64"/>
      <c r="V475" s="64"/>
      <c r="W475" s="64"/>
      <c r="BF475" s="64"/>
      <c r="BG475" s="64"/>
      <c r="BH475" s="64"/>
      <c r="BI475" s="64"/>
      <c r="BJ475" s="64"/>
      <c r="BK475" s="64"/>
      <c r="BL475" s="64"/>
      <c r="BM475" s="64"/>
      <c r="BN475" s="64"/>
      <c r="BO475" s="64"/>
      <c r="BP475" s="64"/>
    </row>
    <row r="476" ht="18.75" customHeight="1">
      <c r="H476" s="64"/>
      <c r="J476" s="64"/>
      <c r="K476" s="64"/>
      <c r="M476" s="64"/>
      <c r="N476" s="64"/>
      <c r="O476" s="64"/>
      <c r="P476" s="64"/>
      <c r="Q476" s="64"/>
      <c r="R476" s="64"/>
      <c r="S476" s="64"/>
      <c r="T476" s="64"/>
      <c r="U476" s="64"/>
      <c r="V476" s="64"/>
      <c r="W476" s="64"/>
      <c r="BF476" s="64"/>
      <c r="BG476" s="64"/>
      <c r="BH476" s="64"/>
      <c r="BI476" s="64"/>
      <c r="BJ476" s="64"/>
      <c r="BK476" s="64"/>
      <c r="BL476" s="64"/>
      <c r="BM476" s="64"/>
      <c r="BN476" s="64"/>
      <c r="BO476" s="64"/>
      <c r="BP476" s="64"/>
    </row>
    <row r="477" ht="18.75" customHeight="1">
      <c r="H477" s="64"/>
      <c r="J477" s="64"/>
      <c r="K477" s="64"/>
      <c r="M477" s="64"/>
      <c r="N477" s="64"/>
      <c r="O477" s="64"/>
      <c r="P477" s="64"/>
      <c r="Q477" s="64"/>
      <c r="R477" s="64"/>
      <c r="S477" s="64"/>
      <c r="T477" s="64"/>
      <c r="U477" s="64"/>
      <c r="V477" s="64"/>
      <c r="W477" s="64"/>
      <c r="BF477" s="64"/>
      <c r="BG477" s="64"/>
      <c r="BH477" s="64"/>
      <c r="BI477" s="64"/>
      <c r="BJ477" s="64"/>
      <c r="BK477" s="64"/>
      <c r="BL477" s="64"/>
      <c r="BM477" s="64"/>
      <c r="BN477" s="64"/>
      <c r="BO477" s="64"/>
      <c r="BP477" s="64"/>
    </row>
    <row r="478" ht="18.75" customHeight="1">
      <c r="H478" s="64"/>
      <c r="J478" s="64"/>
      <c r="K478" s="64"/>
      <c r="M478" s="64"/>
      <c r="N478" s="64"/>
      <c r="O478" s="64"/>
      <c r="P478" s="64"/>
      <c r="Q478" s="64"/>
      <c r="R478" s="64"/>
      <c r="S478" s="64"/>
      <c r="T478" s="64"/>
      <c r="U478" s="64"/>
      <c r="V478" s="64"/>
      <c r="W478" s="64"/>
      <c r="BF478" s="64"/>
      <c r="BG478" s="64"/>
      <c r="BH478" s="64"/>
      <c r="BI478" s="64"/>
      <c r="BJ478" s="64"/>
      <c r="BK478" s="64"/>
      <c r="BL478" s="64"/>
      <c r="BM478" s="64"/>
      <c r="BN478" s="64"/>
      <c r="BO478" s="64"/>
      <c r="BP478" s="64"/>
    </row>
    <row r="479" ht="18.75" customHeight="1">
      <c r="H479" s="64"/>
      <c r="J479" s="64"/>
      <c r="K479" s="64"/>
      <c r="M479" s="64"/>
      <c r="N479" s="64"/>
      <c r="O479" s="64"/>
      <c r="P479" s="64"/>
      <c r="Q479" s="64"/>
      <c r="R479" s="64"/>
      <c r="S479" s="64"/>
      <c r="T479" s="64"/>
      <c r="U479" s="64"/>
      <c r="V479" s="64"/>
      <c r="W479" s="64"/>
      <c r="BF479" s="64"/>
      <c r="BG479" s="64"/>
      <c r="BH479" s="64"/>
      <c r="BI479" s="64"/>
      <c r="BJ479" s="64"/>
      <c r="BK479" s="64"/>
      <c r="BL479" s="64"/>
      <c r="BM479" s="64"/>
      <c r="BN479" s="64"/>
      <c r="BO479" s="64"/>
      <c r="BP479" s="64"/>
    </row>
    <row r="480" ht="18.75" customHeight="1">
      <c r="H480" s="64"/>
      <c r="J480" s="64"/>
      <c r="K480" s="64"/>
      <c r="M480" s="64"/>
      <c r="N480" s="64"/>
      <c r="O480" s="64"/>
      <c r="P480" s="64"/>
      <c r="Q480" s="64"/>
      <c r="R480" s="64"/>
      <c r="S480" s="64"/>
      <c r="T480" s="64"/>
      <c r="U480" s="64"/>
      <c r="V480" s="64"/>
      <c r="W480" s="64"/>
      <c r="BF480" s="64"/>
      <c r="BG480" s="64"/>
      <c r="BH480" s="64"/>
      <c r="BI480" s="64"/>
      <c r="BJ480" s="64"/>
      <c r="BK480" s="64"/>
      <c r="BL480" s="64"/>
      <c r="BM480" s="64"/>
      <c r="BN480" s="64"/>
      <c r="BO480" s="64"/>
      <c r="BP480" s="64"/>
    </row>
    <row r="481" ht="18.75" customHeight="1">
      <c r="H481" s="64"/>
      <c r="J481" s="64"/>
      <c r="K481" s="64"/>
      <c r="M481" s="64"/>
      <c r="N481" s="64"/>
      <c r="O481" s="64"/>
      <c r="P481" s="64"/>
      <c r="Q481" s="64"/>
      <c r="R481" s="64"/>
      <c r="S481" s="64"/>
      <c r="T481" s="64"/>
      <c r="U481" s="64"/>
      <c r="V481" s="64"/>
      <c r="W481" s="64"/>
      <c r="BF481" s="64"/>
      <c r="BG481" s="64"/>
      <c r="BH481" s="64"/>
      <c r="BI481" s="64"/>
      <c r="BJ481" s="64"/>
      <c r="BK481" s="64"/>
      <c r="BL481" s="64"/>
      <c r="BM481" s="64"/>
      <c r="BN481" s="64"/>
      <c r="BO481" s="64"/>
      <c r="BP481" s="64"/>
    </row>
    <row r="482" ht="18.75" customHeight="1">
      <c r="H482" s="64"/>
      <c r="J482" s="64"/>
      <c r="K482" s="64"/>
      <c r="M482" s="64"/>
      <c r="N482" s="64"/>
      <c r="O482" s="64"/>
      <c r="P482" s="64"/>
      <c r="Q482" s="64"/>
      <c r="R482" s="64"/>
      <c r="S482" s="64"/>
      <c r="T482" s="64"/>
      <c r="U482" s="64"/>
      <c r="V482" s="64"/>
      <c r="W482" s="64"/>
      <c r="BF482" s="64"/>
      <c r="BG482" s="64"/>
      <c r="BH482" s="64"/>
      <c r="BI482" s="64"/>
      <c r="BJ482" s="64"/>
      <c r="BK482" s="64"/>
      <c r="BL482" s="64"/>
      <c r="BM482" s="64"/>
      <c r="BN482" s="64"/>
      <c r="BO482" s="64"/>
      <c r="BP482" s="64"/>
    </row>
    <row r="483" ht="18.75" customHeight="1">
      <c r="H483" s="64"/>
      <c r="J483" s="64"/>
      <c r="K483" s="64"/>
      <c r="M483" s="64"/>
      <c r="N483" s="64"/>
      <c r="O483" s="64"/>
      <c r="P483" s="64"/>
      <c r="Q483" s="64"/>
      <c r="R483" s="64"/>
      <c r="S483" s="64"/>
      <c r="T483" s="64"/>
      <c r="U483" s="64"/>
      <c r="V483" s="64"/>
      <c r="W483" s="64"/>
      <c r="BF483" s="64"/>
      <c r="BG483" s="64"/>
      <c r="BH483" s="64"/>
      <c r="BI483" s="64"/>
      <c r="BJ483" s="64"/>
      <c r="BK483" s="64"/>
      <c r="BL483" s="64"/>
      <c r="BM483" s="64"/>
      <c r="BN483" s="64"/>
      <c r="BO483" s="64"/>
      <c r="BP483" s="64"/>
    </row>
    <row r="484" ht="18.75" customHeight="1">
      <c r="H484" s="64"/>
      <c r="J484" s="64"/>
      <c r="K484" s="64"/>
      <c r="M484" s="64"/>
      <c r="N484" s="64"/>
      <c r="O484" s="64"/>
      <c r="P484" s="64"/>
      <c r="Q484" s="64"/>
      <c r="R484" s="64"/>
      <c r="S484" s="64"/>
      <c r="T484" s="64"/>
      <c r="U484" s="64"/>
      <c r="V484" s="64"/>
      <c r="W484" s="64"/>
      <c r="BF484" s="64"/>
      <c r="BG484" s="64"/>
      <c r="BH484" s="64"/>
      <c r="BI484" s="64"/>
      <c r="BJ484" s="64"/>
      <c r="BK484" s="64"/>
      <c r="BL484" s="64"/>
      <c r="BM484" s="64"/>
      <c r="BN484" s="64"/>
      <c r="BO484" s="64"/>
      <c r="BP484" s="64"/>
    </row>
    <row r="485" ht="18.75" customHeight="1">
      <c r="H485" s="64"/>
      <c r="J485" s="64"/>
      <c r="K485" s="64"/>
      <c r="M485" s="64"/>
      <c r="N485" s="64"/>
      <c r="O485" s="64"/>
      <c r="P485" s="64"/>
      <c r="Q485" s="64"/>
      <c r="R485" s="64"/>
      <c r="S485" s="64"/>
      <c r="T485" s="64"/>
      <c r="U485" s="64"/>
      <c r="V485" s="64"/>
      <c r="W485" s="64"/>
      <c r="BF485" s="64"/>
      <c r="BG485" s="64"/>
      <c r="BH485" s="64"/>
      <c r="BI485" s="64"/>
      <c r="BJ485" s="64"/>
      <c r="BK485" s="64"/>
      <c r="BL485" s="64"/>
      <c r="BM485" s="64"/>
      <c r="BN485" s="64"/>
      <c r="BO485" s="64"/>
      <c r="BP485" s="64"/>
    </row>
    <row r="486" ht="18.75" customHeight="1">
      <c r="H486" s="64"/>
      <c r="J486" s="64"/>
      <c r="K486" s="64"/>
      <c r="M486" s="64"/>
      <c r="N486" s="64"/>
      <c r="O486" s="64"/>
      <c r="P486" s="64"/>
      <c r="Q486" s="64"/>
      <c r="R486" s="64"/>
      <c r="S486" s="64"/>
      <c r="T486" s="64"/>
      <c r="U486" s="64"/>
      <c r="V486" s="64"/>
      <c r="W486" s="64"/>
      <c r="BF486" s="64"/>
      <c r="BG486" s="64"/>
      <c r="BH486" s="64"/>
      <c r="BI486" s="64"/>
      <c r="BJ486" s="64"/>
      <c r="BK486" s="64"/>
      <c r="BL486" s="64"/>
      <c r="BM486" s="64"/>
      <c r="BN486" s="64"/>
      <c r="BO486" s="64"/>
      <c r="BP486" s="64"/>
    </row>
    <row r="487" ht="18.75" customHeight="1">
      <c r="H487" s="64"/>
      <c r="J487" s="64"/>
      <c r="K487" s="64"/>
      <c r="M487" s="64"/>
      <c r="N487" s="64"/>
      <c r="O487" s="64"/>
      <c r="P487" s="64"/>
      <c r="Q487" s="64"/>
      <c r="R487" s="64"/>
      <c r="S487" s="64"/>
      <c r="T487" s="64"/>
      <c r="U487" s="64"/>
      <c r="V487" s="64"/>
      <c r="W487" s="64"/>
      <c r="BF487" s="64"/>
      <c r="BG487" s="64"/>
      <c r="BH487" s="64"/>
      <c r="BI487" s="64"/>
      <c r="BJ487" s="64"/>
      <c r="BK487" s="64"/>
      <c r="BL487" s="64"/>
      <c r="BM487" s="64"/>
      <c r="BN487" s="64"/>
      <c r="BO487" s="64"/>
      <c r="BP487" s="64"/>
    </row>
    <row r="488" ht="18.75" customHeight="1">
      <c r="H488" s="64"/>
      <c r="J488" s="64"/>
      <c r="K488" s="64"/>
      <c r="M488" s="64"/>
      <c r="N488" s="64"/>
      <c r="O488" s="64"/>
      <c r="P488" s="64"/>
      <c r="Q488" s="64"/>
      <c r="R488" s="64"/>
      <c r="S488" s="64"/>
      <c r="T488" s="64"/>
      <c r="U488" s="64"/>
      <c r="V488" s="64"/>
      <c r="W488" s="64"/>
      <c r="BF488" s="64"/>
      <c r="BG488" s="64"/>
      <c r="BH488" s="64"/>
      <c r="BI488" s="64"/>
      <c r="BJ488" s="64"/>
      <c r="BK488" s="64"/>
      <c r="BL488" s="64"/>
      <c r="BM488" s="64"/>
      <c r="BN488" s="64"/>
      <c r="BO488" s="64"/>
      <c r="BP488" s="64"/>
    </row>
    <row r="489" ht="18.75" customHeight="1">
      <c r="H489" s="64"/>
      <c r="J489" s="64"/>
      <c r="K489" s="64"/>
      <c r="M489" s="64"/>
      <c r="N489" s="64"/>
      <c r="O489" s="64"/>
      <c r="P489" s="64"/>
      <c r="Q489" s="64"/>
      <c r="R489" s="64"/>
      <c r="S489" s="64"/>
      <c r="T489" s="64"/>
      <c r="U489" s="64"/>
      <c r="V489" s="64"/>
      <c r="W489" s="64"/>
      <c r="BF489" s="64"/>
      <c r="BG489" s="64"/>
      <c r="BH489" s="64"/>
      <c r="BI489" s="64"/>
      <c r="BJ489" s="64"/>
      <c r="BK489" s="64"/>
      <c r="BL489" s="64"/>
      <c r="BM489" s="64"/>
      <c r="BN489" s="64"/>
      <c r="BO489" s="64"/>
      <c r="BP489" s="64"/>
    </row>
    <row r="490" ht="18.75" customHeight="1">
      <c r="H490" s="64"/>
      <c r="J490" s="64"/>
      <c r="K490" s="64"/>
      <c r="M490" s="64"/>
      <c r="N490" s="64"/>
      <c r="O490" s="64"/>
      <c r="P490" s="64"/>
      <c r="Q490" s="64"/>
      <c r="R490" s="64"/>
      <c r="S490" s="64"/>
      <c r="T490" s="64"/>
      <c r="U490" s="64"/>
      <c r="V490" s="64"/>
      <c r="W490" s="64"/>
      <c r="BF490" s="64"/>
      <c r="BG490" s="64"/>
      <c r="BH490" s="64"/>
      <c r="BI490" s="64"/>
      <c r="BJ490" s="64"/>
      <c r="BK490" s="64"/>
      <c r="BL490" s="64"/>
      <c r="BM490" s="64"/>
      <c r="BN490" s="64"/>
      <c r="BO490" s="64"/>
      <c r="BP490" s="64"/>
    </row>
    <row r="491" ht="18.75" customHeight="1">
      <c r="H491" s="64"/>
      <c r="J491" s="64"/>
      <c r="K491" s="64"/>
      <c r="M491" s="64"/>
      <c r="N491" s="64"/>
      <c r="O491" s="64"/>
      <c r="P491" s="64"/>
      <c r="Q491" s="64"/>
      <c r="R491" s="64"/>
      <c r="S491" s="64"/>
      <c r="T491" s="64"/>
      <c r="U491" s="64"/>
      <c r="V491" s="64"/>
      <c r="W491" s="64"/>
      <c r="BF491" s="64"/>
      <c r="BG491" s="64"/>
      <c r="BH491" s="64"/>
      <c r="BI491" s="64"/>
      <c r="BJ491" s="64"/>
      <c r="BK491" s="64"/>
      <c r="BL491" s="64"/>
      <c r="BM491" s="64"/>
      <c r="BN491" s="64"/>
      <c r="BO491" s="64"/>
      <c r="BP491" s="64"/>
    </row>
    <row r="492" ht="18.75" customHeight="1">
      <c r="H492" s="64"/>
      <c r="J492" s="64"/>
      <c r="K492" s="64"/>
      <c r="M492" s="64"/>
      <c r="N492" s="64"/>
      <c r="O492" s="64"/>
      <c r="P492" s="64"/>
      <c r="Q492" s="64"/>
      <c r="R492" s="64"/>
      <c r="S492" s="64"/>
      <c r="T492" s="64"/>
      <c r="U492" s="64"/>
      <c r="V492" s="64"/>
      <c r="W492" s="64"/>
      <c r="BF492" s="64"/>
      <c r="BG492" s="64"/>
      <c r="BH492" s="64"/>
      <c r="BI492" s="64"/>
      <c r="BJ492" s="64"/>
      <c r="BK492" s="64"/>
      <c r="BL492" s="64"/>
      <c r="BM492" s="64"/>
      <c r="BN492" s="64"/>
      <c r="BO492" s="64"/>
      <c r="BP492" s="64"/>
    </row>
    <row r="493" ht="18.75" customHeight="1">
      <c r="H493" s="64"/>
      <c r="J493" s="64"/>
      <c r="K493" s="64"/>
      <c r="M493" s="64"/>
      <c r="N493" s="64"/>
      <c r="O493" s="64"/>
      <c r="P493" s="64"/>
      <c r="Q493" s="64"/>
      <c r="R493" s="64"/>
      <c r="S493" s="64"/>
      <c r="T493" s="64"/>
      <c r="U493" s="64"/>
      <c r="V493" s="64"/>
      <c r="W493" s="64"/>
      <c r="BF493" s="64"/>
      <c r="BG493" s="64"/>
      <c r="BH493" s="64"/>
      <c r="BI493" s="64"/>
      <c r="BJ493" s="64"/>
      <c r="BK493" s="64"/>
      <c r="BL493" s="64"/>
      <c r="BM493" s="64"/>
      <c r="BN493" s="64"/>
      <c r="BO493" s="64"/>
      <c r="BP493" s="64"/>
    </row>
    <row r="494" ht="18.75" customHeight="1">
      <c r="H494" s="64"/>
      <c r="J494" s="64"/>
      <c r="K494" s="64"/>
      <c r="M494" s="64"/>
      <c r="N494" s="64"/>
      <c r="O494" s="64"/>
      <c r="P494" s="64"/>
      <c r="Q494" s="64"/>
      <c r="R494" s="64"/>
      <c r="S494" s="64"/>
      <c r="T494" s="64"/>
      <c r="U494" s="64"/>
      <c r="V494" s="64"/>
      <c r="W494" s="64"/>
      <c r="BF494" s="64"/>
      <c r="BG494" s="64"/>
      <c r="BH494" s="64"/>
      <c r="BI494" s="64"/>
      <c r="BJ494" s="64"/>
      <c r="BK494" s="64"/>
      <c r="BL494" s="64"/>
      <c r="BM494" s="64"/>
      <c r="BN494" s="64"/>
      <c r="BO494" s="64"/>
      <c r="BP494" s="64"/>
    </row>
    <row r="495" ht="18.75" customHeight="1">
      <c r="H495" s="64"/>
      <c r="J495" s="64"/>
      <c r="K495" s="64"/>
      <c r="M495" s="64"/>
      <c r="N495" s="64"/>
      <c r="O495" s="64"/>
      <c r="P495" s="64"/>
      <c r="Q495" s="64"/>
      <c r="R495" s="64"/>
      <c r="S495" s="64"/>
      <c r="T495" s="64"/>
      <c r="U495" s="64"/>
      <c r="V495" s="64"/>
      <c r="W495" s="64"/>
      <c r="BF495" s="64"/>
      <c r="BG495" s="64"/>
      <c r="BH495" s="64"/>
      <c r="BI495" s="64"/>
      <c r="BJ495" s="64"/>
      <c r="BK495" s="64"/>
      <c r="BL495" s="64"/>
      <c r="BM495" s="64"/>
      <c r="BN495" s="64"/>
      <c r="BO495" s="64"/>
      <c r="BP495" s="64"/>
    </row>
    <row r="496" ht="18.75" customHeight="1">
      <c r="H496" s="64"/>
      <c r="J496" s="64"/>
      <c r="K496" s="64"/>
      <c r="M496" s="64"/>
      <c r="N496" s="64"/>
      <c r="O496" s="64"/>
      <c r="P496" s="64"/>
      <c r="Q496" s="64"/>
      <c r="R496" s="64"/>
      <c r="S496" s="64"/>
      <c r="T496" s="64"/>
      <c r="U496" s="64"/>
      <c r="V496" s="64"/>
      <c r="W496" s="64"/>
      <c r="BF496" s="64"/>
      <c r="BG496" s="64"/>
      <c r="BH496" s="64"/>
      <c r="BI496" s="64"/>
      <c r="BJ496" s="64"/>
      <c r="BK496" s="64"/>
      <c r="BL496" s="64"/>
      <c r="BM496" s="64"/>
      <c r="BN496" s="64"/>
      <c r="BO496" s="64"/>
      <c r="BP496" s="64"/>
    </row>
    <row r="497" ht="18.75" customHeight="1">
      <c r="H497" s="64"/>
      <c r="J497" s="64"/>
      <c r="K497" s="64"/>
      <c r="M497" s="64"/>
      <c r="N497" s="64"/>
      <c r="O497" s="64"/>
      <c r="P497" s="64"/>
      <c r="Q497" s="64"/>
      <c r="R497" s="64"/>
      <c r="S497" s="64"/>
      <c r="T497" s="64"/>
      <c r="U497" s="64"/>
      <c r="V497" s="64"/>
      <c r="W497" s="64"/>
      <c r="BF497" s="64"/>
      <c r="BG497" s="64"/>
      <c r="BH497" s="64"/>
      <c r="BI497" s="64"/>
      <c r="BJ497" s="64"/>
      <c r="BK497" s="64"/>
      <c r="BL497" s="64"/>
      <c r="BM497" s="64"/>
      <c r="BN497" s="64"/>
      <c r="BO497" s="64"/>
      <c r="BP497" s="64"/>
    </row>
    <row r="498" ht="18.75" customHeight="1">
      <c r="H498" s="64"/>
      <c r="J498" s="64"/>
      <c r="K498" s="64"/>
      <c r="M498" s="64"/>
      <c r="N498" s="64"/>
      <c r="O498" s="64"/>
      <c r="P498" s="64"/>
      <c r="Q498" s="64"/>
      <c r="R498" s="64"/>
      <c r="S498" s="64"/>
      <c r="T498" s="64"/>
      <c r="U498" s="64"/>
      <c r="V498" s="64"/>
      <c r="W498" s="64"/>
      <c r="BF498" s="64"/>
      <c r="BG498" s="64"/>
      <c r="BH498" s="64"/>
      <c r="BI498" s="64"/>
      <c r="BJ498" s="64"/>
      <c r="BK498" s="64"/>
      <c r="BL498" s="64"/>
      <c r="BM498" s="64"/>
      <c r="BN498" s="64"/>
      <c r="BO498" s="64"/>
      <c r="BP498" s="64"/>
    </row>
    <row r="499" ht="18.75" customHeight="1">
      <c r="H499" s="64"/>
      <c r="J499" s="64"/>
      <c r="K499" s="64"/>
      <c r="M499" s="64"/>
      <c r="N499" s="64"/>
      <c r="O499" s="64"/>
      <c r="P499" s="64"/>
      <c r="Q499" s="64"/>
      <c r="R499" s="64"/>
      <c r="S499" s="64"/>
      <c r="T499" s="64"/>
      <c r="U499" s="64"/>
      <c r="V499" s="64"/>
      <c r="W499" s="64"/>
      <c r="BF499" s="64"/>
      <c r="BG499" s="64"/>
      <c r="BH499" s="64"/>
      <c r="BI499" s="64"/>
      <c r="BJ499" s="64"/>
      <c r="BK499" s="64"/>
      <c r="BL499" s="64"/>
      <c r="BM499" s="64"/>
      <c r="BN499" s="64"/>
      <c r="BO499" s="64"/>
      <c r="BP499" s="64"/>
    </row>
    <row r="500" ht="18.75" customHeight="1">
      <c r="H500" s="64"/>
      <c r="J500" s="64"/>
      <c r="K500" s="64"/>
      <c r="M500" s="64"/>
      <c r="N500" s="64"/>
      <c r="O500" s="64"/>
      <c r="P500" s="64"/>
      <c r="Q500" s="64"/>
      <c r="R500" s="64"/>
      <c r="S500" s="64"/>
      <c r="T500" s="64"/>
      <c r="U500" s="64"/>
      <c r="V500" s="64"/>
      <c r="W500" s="64"/>
      <c r="BF500" s="64"/>
      <c r="BG500" s="64"/>
      <c r="BH500" s="64"/>
      <c r="BI500" s="64"/>
      <c r="BJ500" s="64"/>
      <c r="BK500" s="64"/>
      <c r="BL500" s="64"/>
      <c r="BM500" s="64"/>
      <c r="BN500" s="64"/>
      <c r="BO500" s="64"/>
      <c r="BP500" s="64"/>
    </row>
    <row r="501" ht="18.75" customHeight="1">
      <c r="H501" s="64"/>
      <c r="J501" s="64"/>
      <c r="K501" s="64"/>
      <c r="M501" s="64"/>
      <c r="N501" s="64"/>
      <c r="O501" s="64"/>
      <c r="P501" s="64"/>
      <c r="Q501" s="64"/>
      <c r="R501" s="64"/>
      <c r="S501" s="64"/>
      <c r="T501" s="64"/>
      <c r="U501" s="64"/>
      <c r="V501" s="64"/>
      <c r="W501" s="64"/>
      <c r="BF501" s="64"/>
      <c r="BG501" s="64"/>
      <c r="BH501" s="64"/>
      <c r="BI501" s="64"/>
      <c r="BJ501" s="64"/>
      <c r="BK501" s="64"/>
      <c r="BL501" s="64"/>
      <c r="BM501" s="64"/>
      <c r="BN501" s="64"/>
      <c r="BO501" s="64"/>
      <c r="BP501" s="64"/>
    </row>
    <row r="502" ht="18.75" customHeight="1">
      <c r="H502" s="64"/>
      <c r="J502" s="64"/>
      <c r="K502" s="64"/>
      <c r="M502" s="64"/>
      <c r="N502" s="64"/>
      <c r="O502" s="64"/>
      <c r="P502" s="64"/>
      <c r="Q502" s="64"/>
      <c r="R502" s="64"/>
      <c r="S502" s="64"/>
      <c r="T502" s="64"/>
      <c r="U502" s="64"/>
      <c r="V502" s="64"/>
      <c r="W502" s="64"/>
      <c r="BF502" s="64"/>
      <c r="BG502" s="64"/>
      <c r="BH502" s="64"/>
      <c r="BI502" s="64"/>
      <c r="BJ502" s="64"/>
      <c r="BK502" s="64"/>
      <c r="BL502" s="64"/>
      <c r="BM502" s="64"/>
      <c r="BN502" s="64"/>
      <c r="BO502" s="64"/>
      <c r="BP502" s="64"/>
    </row>
    <row r="503" ht="18.75" customHeight="1">
      <c r="H503" s="64"/>
      <c r="J503" s="64"/>
      <c r="K503" s="64"/>
      <c r="M503" s="64"/>
      <c r="N503" s="64"/>
      <c r="O503" s="64"/>
      <c r="P503" s="64"/>
      <c r="Q503" s="64"/>
      <c r="R503" s="64"/>
      <c r="S503" s="64"/>
      <c r="T503" s="64"/>
      <c r="U503" s="64"/>
      <c r="V503" s="64"/>
      <c r="W503" s="64"/>
      <c r="BF503" s="64"/>
      <c r="BG503" s="64"/>
      <c r="BH503" s="64"/>
      <c r="BI503" s="64"/>
      <c r="BJ503" s="64"/>
      <c r="BK503" s="64"/>
      <c r="BL503" s="64"/>
      <c r="BM503" s="64"/>
      <c r="BN503" s="64"/>
      <c r="BO503" s="64"/>
      <c r="BP503" s="64"/>
    </row>
    <row r="504" ht="18.75" customHeight="1">
      <c r="H504" s="64"/>
      <c r="J504" s="64"/>
      <c r="K504" s="64"/>
      <c r="M504" s="64"/>
      <c r="N504" s="64"/>
      <c r="O504" s="64"/>
      <c r="P504" s="64"/>
      <c r="Q504" s="64"/>
      <c r="R504" s="64"/>
      <c r="S504" s="64"/>
      <c r="T504" s="64"/>
      <c r="U504" s="64"/>
      <c r="V504" s="64"/>
      <c r="W504" s="64"/>
      <c r="BF504" s="64"/>
      <c r="BG504" s="64"/>
      <c r="BH504" s="64"/>
      <c r="BI504" s="64"/>
      <c r="BJ504" s="64"/>
      <c r="BK504" s="64"/>
      <c r="BL504" s="64"/>
      <c r="BM504" s="64"/>
      <c r="BN504" s="64"/>
      <c r="BO504" s="64"/>
      <c r="BP504" s="64"/>
    </row>
    <row r="505" ht="18.75" customHeight="1">
      <c r="H505" s="64"/>
      <c r="J505" s="64"/>
      <c r="K505" s="64"/>
      <c r="M505" s="64"/>
      <c r="N505" s="64"/>
      <c r="O505" s="64"/>
      <c r="P505" s="64"/>
      <c r="Q505" s="64"/>
      <c r="R505" s="64"/>
      <c r="S505" s="64"/>
      <c r="T505" s="64"/>
      <c r="U505" s="64"/>
      <c r="V505" s="64"/>
      <c r="W505" s="64"/>
      <c r="BF505" s="64"/>
      <c r="BG505" s="64"/>
      <c r="BH505" s="64"/>
      <c r="BI505" s="64"/>
      <c r="BJ505" s="64"/>
      <c r="BK505" s="64"/>
      <c r="BL505" s="64"/>
      <c r="BM505" s="64"/>
      <c r="BN505" s="64"/>
      <c r="BO505" s="64"/>
      <c r="BP505" s="64"/>
    </row>
    <row r="506" ht="18.75" customHeight="1">
      <c r="H506" s="64"/>
      <c r="J506" s="64"/>
      <c r="K506" s="64"/>
      <c r="M506" s="64"/>
      <c r="N506" s="64"/>
      <c r="O506" s="64"/>
      <c r="P506" s="64"/>
      <c r="Q506" s="64"/>
      <c r="R506" s="64"/>
      <c r="S506" s="64"/>
      <c r="T506" s="64"/>
      <c r="U506" s="64"/>
      <c r="V506" s="64"/>
      <c r="W506" s="64"/>
      <c r="BF506" s="64"/>
      <c r="BG506" s="64"/>
      <c r="BH506" s="64"/>
      <c r="BI506" s="64"/>
      <c r="BJ506" s="64"/>
      <c r="BK506" s="64"/>
      <c r="BL506" s="64"/>
      <c r="BM506" s="64"/>
      <c r="BN506" s="64"/>
      <c r="BO506" s="64"/>
      <c r="BP506" s="64"/>
    </row>
    <row r="507" ht="18.75" customHeight="1">
      <c r="H507" s="64"/>
      <c r="J507" s="64"/>
      <c r="K507" s="64"/>
      <c r="M507" s="64"/>
      <c r="N507" s="64"/>
      <c r="O507" s="64"/>
      <c r="P507" s="64"/>
      <c r="Q507" s="64"/>
      <c r="R507" s="64"/>
      <c r="S507" s="64"/>
      <c r="T507" s="64"/>
      <c r="U507" s="64"/>
      <c r="V507" s="64"/>
      <c r="W507" s="64"/>
      <c r="BF507" s="64"/>
      <c r="BG507" s="64"/>
      <c r="BH507" s="64"/>
      <c r="BI507" s="64"/>
      <c r="BJ507" s="64"/>
      <c r="BK507" s="64"/>
      <c r="BL507" s="64"/>
      <c r="BM507" s="64"/>
      <c r="BN507" s="64"/>
      <c r="BO507" s="64"/>
      <c r="BP507" s="64"/>
    </row>
    <row r="508" ht="18.75" customHeight="1">
      <c r="H508" s="64"/>
      <c r="J508" s="64"/>
      <c r="K508" s="64"/>
      <c r="M508" s="64"/>
      <c r="N508" s="64"/>
      <c r="O508" s="64"/>
      <c r="P508" s="64"/>
      <c r="Q508" s="64"/>
      <c r="R508" s="64"/>
      <c r="S508" s="64"/>
      <c r="T508" s="64"/>
      <c r="U508" s="64"/>
      <c r="V508" s="64"/>
      <c r="W508" s="64"/>
      <c r="BF508" s="64"/>
      <c r="BG508" s="64"/>
      <c r="BH508" s="64"/>
      <c r="BI508" s="64"/>
      <c r="BJ508" s="64"/>
      <c r="BK508" s="64"/>
      <c r="BL508" s="64"/>
      <c r="BM508" s="64"/>
      <c r="BN508" s="64"/>
      <c r="BO508" s="64"/>
      <c r="BP508" s="64"/>
    </row>
    <row r="509" ht="18.75" customHeight="1">
      <c r="H509" s="64"/>
      <c r="J509" s="64"/>
      <c r="K509" s="64"/>
      <c r="M509" s="64"/>
      <c r="N509" s="64"/>
      <c r="O509" s="64"/>
      <c r="P509" s="64"/>
      <c r="Q509" s="64"/>
      <c r="R509" s="64"/>
      <c r="S509" s="64"/>
      <c r="T509" s="64"/>
      <c r="U509" s="64"/>
      <c r="V509" s="64"/>
      <c r="W509" s="64"/>
      <c r="BF509" s="64"/>
      <c r="BG509" s="64"/>
      <c r="BH509" s="64"/>
      <c r="BI509" s="64"/>
      <c r="BJ509" s="64"/>
      <c r="BK509" s="64"/>
      <c r="BL509" s="64"/>
      <c r="BM509" s="64"/>
      <c r="BN509" s="64"/>
      <c r="BO509" s="64"/>
      <c r="BP509" s="64"/>
    </row>
    <row r="510" ht="18.75" customHeight="1">
      <c r="H510" s="64"/>
      <c r="J510" s="64"/>
      <c r="K510" s="64"/>
      <c r="M510" s="64"/>
      <c r="N510" s="64"/>
      <c r="O510" s="64"/>
      <c r="P510" s="64"/>
      <c r="Q510" s="64"/>
      <c r="R510" s="64"/>
      <c r="S510" s="64"/>
      <c r="T510" s="64"/>
      <c r="U510" s="64"/>
      <c r="V510" s="64"/>
      <c r="W510" s="64"/>
      <c r="BF510" s="64"/>
      <c r="BG510" s="64"/>
      <c r="BH510" s="64"/>
      <c r="BI510" s="64"/>
      <c r="BJ510" s="64"/>
      <c r="BK510" s="64"/>
      <c r="BL510" s="64"/>
      <c r="BM510" s="64"/>
      <c r="BN510" s="64"/>
      <c r="BO510" s="64"/>
      <c r="BP510" s="64"/>
    </row>
    <row r="511" ht="18.75" customHeight="1">
      <c r="H511" s="64"/>
      <c r="J511" s="64"/>
      <c r="K511" s="64"/>
      <c r="M511" s="64"/>
      <c r="N511" s="64"/>
      <c r="O511" s="64"/>
      <c r="P511" s="64"/>
      <c r="Q511" s="64"/>
      <c r="R511" s="64"/>
      <c r="S511" s="64"/>
      <c r="T511" s="64"/>
      <c r="U511" s="64"/>
      <c r="V511" s="64"/>
      <c r="W511" s="64"/>
      <c r="BF511" s="64"/>
      <c r="BG511" s="64"/>
      <c r="BH511" s="64"/>
      <c r="BI511" s="64"/>
      <c r="BJ511" s="64"/>
      <c r="BK511" s="64"/>
      <c r="BL511" s="64"/>
      <c r="BM511" s="64"/>
      <c r="BN511" s="64"/>
      <c r="BO511" s="64"/>
      <c r="BP511" s="64"/>
    </row>
    <row r="512" ht="18.75" customHeight="1">
      <c r="H512" s="64"/>
      <c r="J512" s="64"/>
      <c r="K512" s="64"/>
      <c r="M512" s="64"/>
      <c r="N512" s="64"/>
      <c r="O512" s="64"/>
      <c r="P512" s="64"/>
      <c r="Q512" s="64"/>
      <c r="R512" s="64"/>
      <c r="S512" s="64"/>
      <c r="T512" s="64"/>
      <c r="U512" s="64"/>
      <c r="V512" s="64"/>
      <c r="W512" s="64"/>
      <c r="BF512" s="64"/>
      <c r="BG512" s="64"/>
      <c r="BH512" s="64"/>
      <c r="BI512" s="64"/>
      <c r="BJ512" s="64"/>
      <c r="BK512" s="64"/>
      <c r="BL512" s="64"/>
      <c r="BM512" s="64"/>
      <c r="BN512" s="64"/>
      <c r="BO512" s="64"/>
      <c r="BP512" s="64"/>
    </row>
    <row r="513" ht="18.75" customHeight="1">
      <c r="H513" s="64"/>
      <c r="J513" s="64"/>
      <c r="K513" s="64"/>
      <c r="M513" s="64"/>
      <c r="N513" s="64"/>
      <c r="O513" s="64"/>
      <c r="P513" s="64"/>
      <c r="Q513" s="64"/>
      <c r="R513" s="64"/>
      <c r="S513" s="64"/>
      <c r="T513" s="64"/>
      <c r="U513" s="64"/>
      <c r="V513" s="64"/>
      <c r="W513" s="64"/>
      <c r="BF513" s="64"/>
      <c r="BG513" s="64"/>
      <c r="BH513" s="64"/>
      <c r="BI513" s="64"/>
      <c r="BJ513" s="64"/>
      <c r="BK513" s="64"/>
      <c r="BL513" s="64"/>
      <c r="BM513" s="64"/>
      <c r="BN513" s="64"/>
      <c r="BO513" s="64"/>
      <c r="BP513" s="64"/>
    </row>
    <row r="514" ht="18.75" customHeight="1">
      <c r="H514" s="64"/>
      <c r="J514" s="64"/>
      <c r="K514" s="64"/>
      <c r="M514" s="64"/>
      <c r="N514" s="64"/>
      <c r="O514" s="64"/>
      <c r="P514" s="64"/>
      <c r="Q514" s="64"/>
      <c r="R514" s="64"/>
      <c r="S514" s="64"/>
      <c r="T514" s="64"/>
      <c r="U514" s="64"/>
      <c r="V514" s="64"/>
      <c r="W514" s="64"/>
      <c r="BF514" s="64"/>
      <c r="BG514" s="64"/>
      <c r="BH514" s="64"/>
      <c r="BI514" s="64"/>
      <c r="BJ514" s="64"/>
      <c r="BK514" s="64"/>
      <c r="BL514" s="64"/>
      <c r="BM514" s="64"/>
      <c r="BN514" s="64"/>
      <c r="BO514" s="64"/>
      <c r="BP514" s="64"/>
    </row>
    <row r="515" ht="18.75" customHeight="1">
      <c r="H515" s="64"/>
      <c r="J515" s="64"/>
      <c r="K515" s="64"/>
      <c r="M515" s="64"/>
      <c r="N515" s="64"/>
      <c r="O515" s="64"/>
      <c r="P515" s="64"/>
      <c r="Q515" s="64"/>
      <c r="R515" s="64"/>
      <c r="S515" s="64"/>
      <c r="T515" s="64"/>
      <c r="U515" s="64"/>
      <c r="V515" s="64"/>
      <c r="W515" s="64"/>
      <c r="BF515" s="64"/>
      <c r="BG515" s="64"/>
      <c r="BH515" s="64"/>
      <c r="BI515" s="64"/>
      <c r="BJ515" s="64"/>
      <c r="BK515" s="64"/>
      <c r="BL515" s="64"/>
      <c r="BM515" s="64"/>
      <c r="BN515" s="64"/>
      <c r="BO515" s="64"/>
      <c r="BP515" s="64"/>
    </row>
    <row r="516" ht="18.75" customHeight="1">
      <c r="H516" s="64"/>
      <c r="J516" s="64"/>
      <c r="K516" s="64"/>
      <c r="M516" s="64"/>
      <c r="N516" s="64"/>
      <c r="O516" s="64"/>
      <c r="P516" s="64"/>
      <c r="Q516" s="64"/>
      <c r="R516" s="64"/>
      <c r="S516" s="64"/>
      <c r="T516" s="64"/>
      <c r="U516" s="64"/>
      <c r="V516" s="64"/>
      <c r="W516" s="64"/>
      <c r="BF516" s="64"/>
      <c r="BG516" s="64"/>
      <c r="BH516" s="64"/>
      <c r="BI516" s="64"/>
      <c r="BJ516" s="64"/>
      <c r="BK516" s="64"/>
      <c r="BL516" s="64"/>
      <c r="BM516" s="64"/>
      <c r="BN516" s="64"/>
      <c r="BO516" s="64"/>
      <c r="BP516" s="64"/>
    </row>
    <row r="517" ht="18.75" customHeight="1">
      <c r="H517" s="64"/>
      <c r="J517" s="64"/>
      <c r="K517" s="64"/>
      <c r="M517" s="64"/>
      <c r="N517" s="64"/>
      <c r="O517" s="64"/>
      <c r="P517" s="64"/>
      <c r="Q517" s="64"/>
      <c r="R517" s="64"/>
      <c r="S517" s="64"/>
      <c r="T517" s="64"/>
      <c r="U517" s="64"/>
      <c r="V517" s="64"/>
      <c r="W517" s="64"/>
      <c r="BF517" s="64"/>
      <c r="BG517" s="64"/>
      <c r="BH517" s="64"/>
      <c r="BI517" s="64"/>
      <c r="BJ517" s="64"/>
      <c r="BK517" s="64"/>
      <c r="BL517" s="64"/>
      <c r="BM517" s="64"/>
      <c r="BN517" s="64"/>
      <c r="BO517" s="64"/>
      <c r="BP517" s="64"/>
    </row>
    <row r="518" ht="18.75" customHeight="1">
      <c r="H518" s="64"/>
      <c r="J518" s="64"/>
      <c r="K518" s="64"/>
      <c r="M518" s="64"/>
      <c r="N518" s="64"/>
      <c r="O518" s="64"/>
      <c r="P518" s="64"/>
      <c r="Q518" s="64"/>
      <c r="R518" s="64"/>
      <c r="S518" s="64"/>
      <c r="T518" s="64"/>
      <c r="U518" s="64"/>
      <c r="V518" s="64"/>
      <c r="W518" s="64"/>
      <c r="BF518" s="64"/>
      <c r="BG518" s="64"/>
      <c r="BH518" s="64"/>
      <c r="BI518" s="64"/>
      <c r="BJ518" s="64"/>
      <c r="BK518" s="64"/>
      <c r="BL518" s="64"/>
      <c r="BM518" s="64"/>
      <c r="BN518" s="64"/>
      <c r="BO518" s="64"/>
      <c r="BP518" s="64"/>
    </row>
    <row r="519" ht="18.75" customHeight="1">
      <c r="H519" s="64"/>
      <c r="J519" s="64"/>
      <c r="K519" s="64"/>
      <c r="M519" s="64"/>
      <c r="N519" s="64"/>
      <c r="O519" s="64"/>
      <c r="P519" s="64"/>
      <c r="Q519" s="64"/>
      <c r="R519" s="64"/>
      <c r="S519" s="64"/>
      <c r="T519" s="64"/>
      <c r="U519" s="64"/>
      <c r="V519" s="64"/>
      <c r="W519" s="64"/>
      <c r="BF519" s="64"/>
      <c r="BG519" s="64"/>
      <c r="BH519" s="64"/>
      <c r="BI519" s="64"/>
      <c r="BJ519" s="64"/>
      <c r="BK519" s="64"/>
      <c r="BL519" s="64"/>
      <c r="BM519" s="64"/>
      <c r="BN519" s="64"/>
      <c r="BO519" s="64"/>
      <c r="BP519" s="64"/>
    </row>
    <row r="520" ht="18.75" customHeight="1">
      <c r="H520" s="64"/>
      <c r="J520" s="64"/>
      <c r="K520" s="64"/>
      <c r="M520" s="64"/>
      <c r="N520" s="64"/>
      <c r="O520" s="64"/>
      <c r="P520" s="64"/>
      <c r="Q520" s="64"/>
      <c r="R520" s="64"/>
      <c r="S520" s="64"/>
      <c r="T520" s="64"/>
      <c r="U520" s="64"/>
      <c r="V520" s="64"/>
      <c r="W520" s="64"/>
      <c r="BF520" s="64"/>
      <c r="BG520" s="64"/>
      <c r="BH520" s="64"/>
      <c r="BI520" s="64"/>
      <c r="BJ520" s="64"/>
      <c r="BK520" s="64"/>
      <c r="BL520" s="64"/>
      <c r="BM520" s="64"/>
      <c r="BN520" s="64"/>
      <c r="BO520" s="64"/>
      <c r="BP520" s="64"/>
    </row>
    <row r="521" ht="18.75" customHeight="1">
      <c r="H521" s="64"/>
      <c r="J521" s="64"/>
      <c r="K521" s="64"/>
      <c r="M521" s="64"/>
      <c r="N521" s="64"/>
      <c r="O521" s="64"/>
      <c r="P521" s="64"/>
      <c r="Q521" s="64"/>
      <c r="R521" s="64"/>
      <c r="S521" s="64"/>
      <c r="T521" s="64"/>
      <c r="U521" s="64"/>
      <c r="V521" s="64"/>
      <c r="W521" s="64"/>
      <c r="BF521" s="64"/>
      <c r="BG521" s="64"/>
      <c r="BH521" s="64"/>
      <c r="BI521" s="64"/>
      <c r="BJ521" s="64"/>
      <c r="BK521" s="64"/>
      <c r="BL521" s="64"/>
      <c r="BM521" s="64"/>
      <c r="BN521" s="64"/>
      <c r="BO521" s="64"/>
      <c r="BP521" s="64"/>
    </row>
    <row r="522" ht="18.75" customHeight="1">
      <c r="H522" s="64"/>
      <c r="J522" s="64"/>
      <c r="K522" s="64"/>
      <c r="M522" s="64"/>
      <c r="N522" s="64"/>
      <c r="O522" s="64"/>
      <c r="P522" s="64"/>
      <c r="Q522" s="64"/>
      <c r="R522" s="64"/>
      <c r="S522" s="64"/>
      <c r="T522" s="64"/>
      <c r="U522" s="64"/>
      <c r="V522" s="64"/>
      <c r="W522" s="64"/>
      <c r="BF522" s="64"/>
      <c r="BG522" s="64"/>
      <c r="BH522" s="64"/>
      <c r="BI522" s="64"/>
      <c r="BJ522" s="64"/>
      <c r="BK522" s="64"/>
      <c r="BL522" s="64"/>
      <c r="BM522" s="64"/>
      <c r="BN522" s="64"/>
      <c r="BO522" s="64"/>
      <c r="BP522" s="64"/>
    </row>
    <row r="523" ht="18.75" customHeight="1">
      <c r="H523" s="64"/>
      <c r="J523" s="64"/>
      <c r="K523" s="64"/>
      <c r="M523" s="64"/>
      <c r="N523" s="64"/>
      <c r="O523" s="64"/>
      <c r="P523" s="64"/>
      <c r="Q523" s="64"/>
      <c r="R523" s="64"/>
      <c r="S523" s="64"/>
      <c r="T523" s="64"/>
      <c r="U523" s="64"/>
      <c r="V523" s="64"/>
      <c r="W523" s="64"/>
      <c r="BF523" s="64"/>
      <c r="BG523" s="64"/>
      <c r="BH523" s="64"/>
      <c r="BI523" s="64"/>
      <c r="BJ523" s="64"/>
      <c r="BK523" s="64"/>
      <c r="BL523" s="64"/>
      <c r="BM523" s="64"/>
      <c r="BN523" s="64"/>
      <c r="BO523" s="64"/>
      <c r="BP523" s="64"/>
    </row>
    <row r="524" ht="18.75" customHeight="1">
      <c r="H524" s="64"/>
      <c r="J524" s="64"/>
      <c r="K524" s="64"/>
      <c r="M524" s="64"/>
      <c r="N524" s="64"/>
      <c r="O524" s="64"/>
      <c r="P524" s="64"/>
      <c r="Q524" s="64"/>
      <c r="R524" s="64"/>
      <c r="S524" s="64"/>
      <c r="T524" s="64"/>
      <c r="U524" s="64"/>
      <c r="V524" s="64"/>
      <c r="W524" s="64"/>
      <c r="BF524" s="64"/>
      <c r="BG524" s="64"/>
      <c r="BH524" s="64"/>
      <c r="BI524" s="64"/>
      <c r="BJ524" s="64"/>
      <c r="BK524" s="64"/>
      <c r="BL524" s="64"/>
      <c r="BM524" s="64"/>
      <c r="BN524" s="64"/>
      <c r="BO524" s="64"/>
      <c r="BP524" s="64"/>
    </row>
    <row r="525" ht="18.75" customHeight="1">
      <c r="H525" s="64"/>
      <c r="J525" s="64"/>
      <c r="K525" s="64"/>
      <c r="M525" s="64"/>
      <c r="N525" s="64"/>
      <c r="O525" s="64"/>
      <c r="P525" s="64"/>
      <c r="Q525" s="64"/>
      <c r="R525" s="64"/>
      <c r="S525" s="64"/>
      <c r="T525" s="64"/>
      <c r="U525" s="64"/>
      <c r="V525" s="64"/>
      <c r="W525" s="64"/>
      <c r="BF525" s="64"/>
      <c r="BG525" s="64"/>
      <c r="BH525" s="64"/>
      <c r="BI525" s="64"/>
      <c r="BJ525" s="64"/>
      <c r="BK525" s="64"/>
      <c r="BL525" s="64"/>
      <c r="BM525" s="64"/>
      <c r="BN525" s="64"/>
      <c r="BO525" s="64"/>
      <c r="BP525" s="64"/>
    </row>
    <row r="526" ht="18.75" customHeight="1">
      <c r="H526" s="64"/>
      <c r="J526" s="64"/>
      <c r="K526" s="64"/>
      <c r="M526" s="64"/>
      <c r="N526" s="64"/>
      <c r="O526" s="64"/>
      <c r="P526" s="64"/>
      <c r="Q526" s="64"/>
      <c r="R526" s="64"/>
      <c r="S526" s="64"/>
      <c r="T526" s="64"/>
      <c r="U526" s="64"/>
      <c r="V526" s="64"/>
      <c r="W526" s="64"/>
      <c r="BF526" s="64"/>
      <c r="BG526" s="64"/>
      <c r="BH526" s="64"/>
      <c r="BI526" s="64"/>
      <c r="BJ526" s="64"/>
      <c r="BK526" s="64"/>
      <c r="BL526" s="64"/>
      <c r="BM526" s="64"/>
      <c r="BN526" s="64"/>
      <c r="BO526" s="64"/>
      <c r="BP526" s="64"/>
    </row>
    <row r="527" ht="18.75" customHeight="1">
      <c r="H527" s="64"/>
      <c r="J527" s="64"/>
      <c r="K527" s="64"/>
      <c r="M527" s="64"/>
      <c r="N527" s="64"/>
      <c r="O527" s="64"/>
      <c r="P527" s="64"/>
      <c r="Q527" s="64"/>
      <c r="R527" s="64"/>
      <c r="S527" s="64"/>
      <c r="T527" s="64"/>
      <c r="U527" s="64"/>
      <c r="V527" s="64"/>
      <c r="W527" s="64"/>
      <c r="BF527" s="64"/>
      <c r="BG527" s="64"/>
      <c r="BH527" s="64"/>
      <c r="BI527" s="64"/>
      <c r="BJ527" s="64"/>
      <c r="BK527" s="64"/>
      <c r="BL527" s="64"/>
      <c r="BM527" s="64"/>
      <c r="BN527" s="64"/>
      <c r="BO527" s="64"/>
      <c r="BP527" s="64"/>
    </row>
    <row r="528" ht="18.75" customHeight="1">
      <c r="H528" s="64"/>
      <c r="J528" s="64"/>
      <c r="K528" s="64"/>
      <c r="M528" s="64"/>
      <c r="N528" s="64"/>
      <c r="O528" s="64"/>
      <c r="P528" s="64"/>
      <c r="Q528" s="64"/>
      <c r="R528" s="64"/>
      <c r="S528" s="64"/>
      <c r="T528" s="64"/>
      <c r="U528" s="64"/>
      <c r="V528" s="64"/>
      <c r="W528" s="64"/>
      <c r="BF528" s="64"/>
      <c r="BG528" s="64"/>
      <c r="BH528" s="64"/>
      <c r="BI528" s="64"/>
      <c r="BJ528" s="64"/>
      <c r="BK528" s="64"/>
      <c r="BL528" s="64"/>
      <c r="BM528" s="64"/>
      <c r="BN528" s="64"/>
      <c r="BO528" s="64"/>
      <c r="BP528" s="64"/>
    </row>
    <row r="529" ht="18.75" customHeight="1">
      <c r="H529" s="64"/>
      <c r="J529" s="64"/>
      <c r="K529" s="64"/>
      <c r="M529" s="64"/>
      <c r="N529" s="64"/>
      <c r="O529" s="64"/>
      <c r="P529" s="64"/>
      <c r="Q529" s="64"/>
      <c r="R529" s="64"/>
      <c r="S529" s="64"/>
      <c r="T529" s="64"/>
      <c r="U529" s="64"/>
      <c r="V529" s="64"/>
      <c r="W529" s="64"/>
      <c r="BF529" s="64"/>
      <c r="BG529" s="64"/>
      <c r="BH529" s="64"/>
      <c r="BI529" s="64"/>
      <c r="BJ529" s="64"/>
      <c r="BK529" s="64"/>
      <c r="BL529" s="64"/>
      <c r="BM529" s="64"/>
      <c r="BN529" s="64"/>
      <c r="BO529" s="64"/>
      <c r="BP529" s="64"/>
    </row>
    <row r="530" ht="18.75" customHeight="1">
      <c r="H530" s="64"/>
      <c r="J530" s="64"/>
      <c r="K530" s="64"/>
      <c r="M530" s="64"/>
      <c r="N530" s="64"/>
      <c r="O530" s="64"/>
      <c r="P530" s="64"/>
      <c r="Q530" s="64"/>
      <c r="R530" s="64"/>
      <c r="S530" s="64"/>
      <c r="T530" s="64"/>
      <c r="U530" s="64"/>
      <c r="V530" s="64"/>
      <c r="W530" s="64"/>
      <c r="BF530" s="64"/>
      <c r="BG530" s="64"/>
      <c r="BH530" s="64"/>
      <c r="BI530" s="64"/>
      <c r="BJ530" s="64"/>
      <c r="BK530" s="64"/>
      <c r="BL530" s="64"/>
      <c r="BM530" s="64"/>
      <c r="BN530" s="64"/>
      <c r="BO530" s="64"/>
      <c r="BP530" s="64"/>
    </row>
    <row r="531" ht="18.75" customHeight="1">
      <c r="H531" s="64"/>
      <c r="J531" s="64"/>
      <c r="K531" s="64"/>
      <c r="M531" s="64"/>
      <c r="N531" s="64"/>
      <c r="O531" s="64"/>
      <c r="P531" s="64"/>
      <c r="Q531" s="64"/>
      <c r="R531" s="64"/>
      <c r="S531" s="64"/>
      <c r="T531" s="64"/>
      <c r="U531" s="64"/>
      <c r="V531" s="64"/>
      <c r="W531" s="64"/>
      <c r="BF531" s="64"/>
      <c r="BG531" s="64"/>
      <c r="BH531" s="64"/>
      <c r="BI531" s="64"/>
      <c r="BJ531" s="64"/>
      <c r="BK531" s="64"/>
      <c r="BL531" s="64"/>
      <c r="BM531" s="64"/>
      <c r="BN531" s="64"/>
      <c r="BO531" s="64"/>
      <c r="BP531" s="64"/>
    </row>
    <row r="532" ht="18.75" customHeight="1">
      <c r="H532" s="64"/>
      <c r="J532" s="64"/>
      <c r="K532" s="64"/>
      <c r="M532" s="64"/>
      <c r="N532" s="64"/>
      <c r="O532" s="64"/>
      <c r="P532" s="64"/>
      <c r="Q532" s="64"/>
      <c r="R532" s="64"/>
      <c r="S532" s="64"/>
      <c r="T532" s="64"/>
      <c r="U532" s="64"/>
      <c r="V532" s="64"/>
      <c r="W532" s="64"/>
      <c r="BF532" s="64"/>
      <c r="BG532" s="64"/>
      <c r="BH532" s="64"/>
      <c r="BI532" s="64"/>
      <c r="BJ532" s="64"/>
      <c r="BK532" s="64"/>
      <c r="BL532" s="64"/>
      <c r="BM532" s="64"/>
      <c r="BN532" s="64"/>
      <c r="BO532" s="64"/>
      <c r="BP532" s="64"/>
    </row>
    <row r="533" ht="18.75" customHeight="1">
      <c r="H533" s="64"/>
      <c r="J533" s="64"/>
      <c r="K533" s="64"/>
      <c r="M533" s="64"/>
      <c r="N533" s="64"/>
      <c r="O533" s="64"/>
      <c r="P533" s="64"/>
      <c r="Q533" s="64"/>
      <c r="R533" s="64"/>
      <c r="S533" s="64"/>
      <c r="T533" s="64"/>
      <c r="U533" s="64"/>
      <c r="V533" s="64"/>
      <c r="W533" s="64"/>
      <c r="BF533" s="64"/>
      <c r="BG533" s="64"/>
      <c r="BH533" s="64"/>
      <c r="BI533" s="64"/>
      <c r="BJ533" s="64"/>
      <c r="BK533" s="64"/>
      <c r="BL533" s="64"/>
      <c r="BM533" s="64"/>
      <c r="BN533" s="64"/>
      <c r="BO533" s="64"/>
      <c r="BP533" s="64"/>
    </row>
    <row r="534" ht="18.75" customHeight="1">
      <c r="H534" s="64"/>
      <c r="J534" s="64"/>
      <c r="K534" s="64"/>
      <c r="M534" s="64"/>
      <c r="N534" s="64"/>
      <c r="O534" s="64"/>
      <c r="P534" s="64"/>
      <c r="Q534" s="64"/>
      <c r="R534" s="64"/>
      <c r="S534" s="64"/>
      <c r="T534" s="64"/>
      <c r="U534" s="64"/>
      <c r="V534" s="64"/>
      <c r="W534" s="64"/>
      <c r="BF534" s="64"/>
      <c r="BG534" s="64"/>
      <c r="BH534" s="64"/>
      <c r="BI534" s="64"/>
      <c r="BJ534" s="64"/>
      <c r="BK534" s="64"/>
      <c r="BL534" s="64"/>
      <c r="BM534" s="64"/>
      <c r="BN534" s="64"/>
      <c r="BO534" s="64"/>
      <c r="BP534" s="64"/>
    </row>
    <row r="535" ht="18.75" customHeight="1">
      <c r="H535" s="64"/>
      <c r="J535" s="64"/>
      <c r="K535" s="64"/>
      <c r="M535" s="64"/>
      <c r="N535" s="64"/>
      <c r="O535" s="64"/>
      <c r="P535" s="64"/>
      <c r="Q535" s="64"/>
      <c r="R535" s="64"/>
      <c r="S535" s="64"/>
      <c r="T535" s="64"/>
      <c r="U535" s="64"/>
      <c r="V535" s="64"/>
      <c r="W535" s="64"/>
      <c r="BF535" s="64"/>
      <c r="BG535" s="64"/>
      <c r="BH535" s="64"/>
      <c r="BI535" s="64"/>
      <c r="BJ535" s="64"/>
      <c r="BK535" s="64"/>
      <c r="BL535" s="64"/>
      <c r="BM535" s="64"/>
      <c r="BN535" s="64"/>
      <c r="BO535" s="64"/>
      <c r="BP535" s="64"/>
    </row>
    <row r="536" ht="18.75" customHeight="1">
      <c r="H536" s="64"/>
      <c r="J536" s="64"/>
      <c r="K536" s="64"/>
      <c r="M536" s="64"/>
      <c r="N536" s="64"/>
      <c r="O536" s="64"/>
      <c r="P536" s="64"/>
      <c r="Q536" s="64"/>
      <c r="R536" s="64"/>
      <c r="S536" s="64"/>
      <c r="T536" s="64"/>
      <c r="U536" s="64"/>
      <c r="V536" s="64"/>
      <c r="W536" s="64"/>
      <c r="BF536" s="64"/>
      <c r="BG536" s="64"/>
      <c r="BH536" s="64"/>
      <c r="BI536" s="64"/>
      <c r="BJ536" s="64"/>
      <c r="BK536" s="64"/>
      <c r="BL536" s="64"/>
      <c r="BM536" s="64"/>
      <c r="BN536" s="64"/>
      <c r="BO536" s="64"/>
      <c r="BP536" s="64"/>
    </row>
    <row r="537" ht="18.75" customHeight="1">
      <c r="H537" s="64"/>
      <c r="J537" s="64"/>
      <c r="K537" s="64"/>
      <c r="M537" s="64"/>
      <c r="N537" s="64"/>
      <c r="O537" s="64"/>
      <c r="P537" s="64"/>
      <c r="Q537" s="64"/>
      <c r="R537" s="64"/>
      <c r="S537" s="64"/>
      <c r="T537" s="64"/>
      <c r="U537" s="64"/>
      <c r="V537" s="64"/>
      <c r="W537" s="64"/>
      <c r="BF537" s="64"/>
      <c r="BG537" s="64"/>
      <c r="BH537" s="64"/>
      <c r="BI537" s="64"/>
      <c r="BJ537" s="64"/>
      <c r="BK537" s="64"/>
      <c r="BL537" s="64"/>
      <c r="BM537" s="64"/>
      <c r="BN537" s="64"/>
      <c r="BO537" s="64"/>
      <c r="BP537" s="64"/>
    </row>
    <row r="538" ht="18.75" customHeight="1">
      <c r="H538" s="64"/>
      <c r="J538" s="64"/>
      <c r="K538" s="64"/>
      <c r="M538" s="64"/>
      <c r="N538" s="64"/>
      <c r="O538" s="64"/>
      <c r="P538" s="64"/>
      <c r="Q538" s="64"/>
      <c r="R538" s="64"/>
      <c r="S538" s="64"/>
      <c r="T538" s="64"/>
      <c r="U538" s="64"/>
      <c r="V538" s="64"/>
      <c r="W538" s="64"/>
      <c r="BF538" s="64"/>
      <c r="BG538" s="64"/>
      <c r="BH538" s="64"/>
      <c r="BI538" s="64"/>
      <c r="BJ538" s="64"/>
      <c r="BK538" s="64"/>
      <c r="BL538" s="64"/>
      <c r="BM538" s="64"/>
      <c r="BN538" s="64"/>
      <c r="BO538" s="64"/>
      <c r="BP538" s="64"/>
    </row>
    <row r="539" ht="18.75" customHeight="1">
      <c r="H539" s="64"/>
      <c r="J539" s="64"/>
      <c r="K539" s="64"/>
      <c r="M539" s="64"/>
      <c r="N539" s="64"/>
      <c r="O539" s="64"/>
      <c r="P539" s="64"/>
      <c r="Q539" s="64"/>
      <c r="R539" s="64"/>
      <c r="S539" s="64"/>
      <c r="T539" s="64"/>
      <c r="U539" s="64"/>
      <c r="V539" s="64"/>
      <c r="W539" s="64"/>
      <c r="BF539" s="64"/>
      <c r="BG539" s="64"/>
      <c r="BH539" s="64"/>
      <c r="BI539" s="64"/>
      <c r="BJ539" s="64"/>
      <c r="BK539" s="64"/>
      <c r="BL539" s="64"/>
      <c r="BM539" s="64"/>
      <c r="BN539" s="64"/>
      <c r="BO539" s="64"/>
      <c r="BP539" s="64"/>
    </row>
    <row r="540" ht="18.75" customHeight="1">
      <c r="H540" s="64"/>
      <c r="J540" s="64"/>
      <c r="K540" s="64"/>
      <c r="M540" s="64"/>
      <c r="N540" s="64"/>
      <c r="O540" s="64"/>
      <c r="P540" s="64"/>
      <c r="Q540" s="64"/>
      <c r="R540" s="64"/>
      <c r="S540" s="64"/>
      <c r="T540" s="64"/>
      <c r="U540" s="64"/>
      <c r="V540" s="64"/>
      <c r="W540" s="64"/>
      <c r="BF540" s="64"/>
      <c r="BG540" s="64"/>
      <c r="BH540" s="64"/>
      <c r="BI540" s="64"/>
      <c r="BJ540" s="64"/>
      <c r="BK540" s="64"/>
      <c r="BL540" s="64"/>
      <c r="BM540" s="64"/>
      <c r="BN540" s="64"/>
      <c r="BO540" s="64"/>
      <c r="BP540" s="64"/>
    </row>
    <row r="541" ht="18.75" customHeight="1">
      <c r="H541" s="64"/>
      <c r="J541" s="64"/>
      <c r="K541" s="64"/>
      <c r="M541" s="64"/>
      <c r="N541" s="64"/>
      <c r="O541" s="64"/>
      <c r="P541" s="64"/>
      <c r="Q541" s="64"/>
      <c r="R541" s="64"/>
      <c r="S541" s="64"/>
      <c r="T541" s="64"/>
      <c r="U541" s="64"/>
      <c r="V541" s="64"/>
      <c r="W541" s="64"/>
      <c r="BF541" s="64"/>
      <c r="BG541" s="64"/>
      <c r="BH541" s="64"/>
      <c r="BI541" s="64"/>
      <c r="BJ541" s="64"/>
      <c r="BK541" s="64"/>
      <c r="BL541" s="64"/>
      <c r="BM541" s="64"/>
      <c r="BN541" s="64"/>
      <c r="BO541" s="64"/>
      <c r="BP541" s="64"/>
    </row>
    <row r="542" ht="18.75" customHeight="1">
      <c r="H542" s="64"/>
      <c r="J542" s="64"/>
      <c r="K542" s="64"/>
      <c r="M542" s="64"/>
      <c r="N542" s="64"/>
      <c r="O542" s="64"/>
      <c r="P542" s="64"/>
      <c r="Q542" s="64"/>
      <c r="R542" s="64"/>
      <c r="S542" s="64"/>
      <c r="T542" s="64"/>
      <c r="U542" s="64"/>
      <c r="V542" s="64"/>
      <c r="W542" s="64"/>
      <c r="BF542" s="64"/>
      <c r="BG542" s="64"/>
      <c r="BH542" s="64"/>
      <c r="BI542" s="64"/>
      <c r="BJ542" s="64"/>
      <c r="BK542" s="64"/>
      <c r="BL542" s="64"/>
      <c r="BM542" s="64"/>
      <c r="BN542" s="64"/>
      <c r="BO542" s="64"/>
      <c r="BP542" s="64"/>
    </row>
    <row r="543" ht="18.75" customHeight="1">
      <c r="H543" s="64"/>
      <c r="J543" s="64"/>
      <c r="K543" s="64"/>
      <c r="M543" s="64"/>
      <c r="N543" s="64"/>
      <c r="O543" s="64"/>
      <c r="P543" s="64"/>
      <c r="Q543" s="64"/>
      <c r="R543" s="64"/>
      <c r="S543" s="64"/>
      <c r="T543" s="64"/>
      <c r="U543" s="64"/>
      <c r="V543" s="64"/>
      <c r="W543" s="64"/>
      <c r="BF543" s="64"/>
      <c r="BG543" s="64"/>
      <c r="BH543" s="64"/>
      <c r="BI543" s="64"/>
      <c r="BJ543" s="64"/>
      <c r="BK543" s="64"/>
      <c r="BL543" s="64"/>
      <c r="BM543" s="64"/>
      <c r="BN543" s="64"/>
      <c r="BO543" s="64"/>
      <c r="BP543" s="64"/>
    </row>
    <row r="544" ht="18.75" customHeight="1">
      <c r="H544" s="64"/>
      <c r="J544" s="64"/>
      <c r="K544" s="64"/>
      <c r="M544" s="64"/>
      <c r="N544" s="64"/>
      <c r="O544" s="64"/>
      <c r="P544" s="64"/>
      <c r="Q544" s="64"/>
      <c r="R544" s="64"/>
      <c r="S544" s="64"/>
      <c r="T544" s="64"/>
      <c r="U544" s="64"/>
      <c r="V544" s="64"/>
      <c r="W544" s="64"/>
      <c r="BF544" s="64"/>
      <c r="BG544" s="64"/>
      <c r="BH544" s="64"/>
      <c r="BI544" s="64"/>
      <c r="BJ544" s="64"/>
      <c r="BK544" s="64"/>
      <c r="BL544" s="64"/>
      <c r="BM544" s="64"/>
      <c r="BN544" s="64"/>
      <c r="BO544" s="64"/>
      <c r="BP544" s="64"/>
    </row>
    <row r="545" ht="18.75" customHeight="1">
      <c r="H545" s="64"/>
      <c r="J545" s="64"/>
      <c r="K545" s="64"/>
      <c r="M545" s="64"/>
      <c r="N545" s="64"/>
      <c r="O545" s="64"/>
      <c r="P545" s="64"/>
      <c r="Q545" s="64"/>
      <c r="R545" s="64"/>
      <c r="S545" s="64"/>
      <c r="T545" s="64"/>
      <c r="U545" s="64"/>
      <c r="V545" s="64"/>
      <c r="W545" s="64"/>
      <c r="BF545" s="64"/>
      <c r="BG545" s="64"/>
      <c r="BH545" s="64"/>
      <c r="BI545" s="64"/>
      <c r="BJ545" s="64"/>
      <c r="BK545" s="64"/>
      <c r="BL545" s="64"/>
      <c r="BM545" s="64"/>
      <c r="BN545" s="64"/>
      <c r="BO545" s="64"/>
      <c r="BP545" s="64"/>
    </row>
    <row r="546" ht="18.75" customHeight="1">
      <c r="H546" s="64"/>
      <c r="J546" s="64"/>
      <c r="K546" s="64"/>
      <c r="M546" s="64"/>
      <c r="N546" s="64"/>
      <c r="O546" s="64"/>
      <c r="P546" s="64"/>
      <c r="Q546" s="64"/>
      <c r="R546" s="64"/>
      <c r="S546" s="64"/>
      <c r="T546" s="64"/>
      <c r="U546" s="64"/>
      <c r="V546" s="64"/>
      <c r="W546" s="64"/>
      <c r="BF546" s="64"/>
      <c r="BG546" s="64"/>
      <c r="BH546" s="64"/>
      <c r="BI546" s="64"/>
      <c r="BJ546" s="64"/>
      <c r="BK546" s="64"/>
      <c r="BL546" s="64"/>
      <c r="BM546" s="64"/>
      <c r="BN546" s="64"/>
      <c r="BO546" s="64"/>
      <c r="BP546" s="64"/>
    </row>
    <row r="547" ht="18.75" customHeight="1">
      <c r="H547" s="64"/>
      <c r="J547" s="64"/>
      <c r="K547" s="64"/>
      <c r="M547" s="64"/>
      <c r="N547" s="64"/>
      <c r="O547" s="64"/>
      <c r="P547" s="64"/>
      <c r="Q547" s="64"/>
      <c r="R547" s="64"/>
      <c r="S547" s="64"/>
      <c r="T547" s="64"/>
      <c r="U547" s="64"/>
      <c r="V547" s="64"/>
      <c r="W547" s="64"/>
      <c r="BF547" s="64"/>
      <c r="BG547" s="64"/>
      <c r="BH547" s="64"/>
      <c r="BI547" s="64"/>
      <c r="BJ547" s="64"/>
      <c r="BK547" s="64"/>
      <c r="BL547" s="64"/>
      <c r="BM547" s="64"/>
      <c r="BN547" s="64"/>
      <c r="BO547" s="64"/>
      <c r="BP547" s="64"/>
    </row>
    <row r="548" ht="18.75" customHeight="1">
      <c r="H548" s="64"/>
      <c r="J548" s="64"/>
      <c r="K548" s="64"/>
      <c r="M548" s="64"/>
      <c r="N548" s="64"/>
      <c r="O548" s="64"/>
      <c r="P548" s="64"/>
      <c r="Q548" s="64"/>
      <c r="R548" s="64"/>
      <c r="S548" s="64"/>
      <c r="T548" s="64"/>
      <c r="U548" s="64"/>
      <c r="V548" s="64"/>
      <c r="W548" s="64"/>
      <c r="BF548" s="64"/>
      <c r="BG548" s="64"/>
      <c r="BH548" s="64"/>
      <c r="BI548" s="64"/>
      <c r="BJ548" s="64"/>
      <c r="BK548" s="64"/>
      <c r="BL548" s="64"/>
      <c r="BM548" s="64"/>
      <c r="BN548" s="64"/>
      <c r="BO548" s="64"/>
      <c r="BP548" s="64"/>
    </row>
    <row r="549" ht="18.75" customHeight="1">
      <c r="H549" s="64"/>
      <c r="J549" s="64"/>
      <c r="K549" s="64"/>
      <c r="M549" s="64"/>
      <c r="N549" s="64"/>
      <c r="O549" s="64"/>
      <c r="P549" s="64"/>
      <c r="Q549" s="64"/>
      <c r="R549" s="64"/>
      <c r="S549" s="64"/>
      <c r="T549" s="64"/>
      <c r="U549" s="64"/>
      <c r="V549" s="64"/>
      <c r="W549" s="64"/>
      <c r="BF549" s="64"/>
      <c r="BG549" s="64"/>
      <c r="BH549" s="64"/>
      <c r="BI549" s="64"/>
      <c r="BJ549" s="64"/>
      <c r="BK549" s="64"/>
      <c r="BL549" s="64"/>
      <c r="BM549" s="64"/>
      <c r="BN549" s="64"/>
      <c r="BO549" s="64"/>
      <c r="BP549" s="64"/>
    </row>
    <row r="550" ht="18.75" customHeight="1">
      <c r="H550" s="64"/>
      <c r="J550" s="64"/>
      <c r="K550" s="64"/>
      <c r="M550" s="64"/>
      <c r="N550" s="64"/>
      <c r="O550" s="64"/>
      <c r="P550" s="64"/>
      <c r="Q550" s="64"/>
      <c r="R550" s="64"/>
      <c r="S550" s="64"/>
      <c r="T550" s="64"/>
      <c r="U550" s="64"/>
      <c r="V550" s="64"/>
      <c r="W550" s="64"/>
      <c r="BF550" s="64"/>
      <c r="BG550" s="64"/>
      <c r="BH550" s="64"/>
      <c r="BI550" s="64"/>
      <c r="BJ550" s="64"/>
      <c r="BK550" s="64"/>
      <c r="BL550" s="64"/>
      <c r="BM550" s="64"/>
      <c r="BN550" s="64"/>
      <c r="BO550" s="64"/>
      <c r="BP550" s="64"/>
    </row>
    <row r="551" ht="18.75" customHeight="1">
      <c r="H551" s="64"/>
      <c r="J551" s="64"/>
      <c r="K551" s="64"/>
      <c r="M551" s="64"/>
      <c r="N551" s="64"/>
      <c r="O551" s="64"/>
      <c r="P551" s="64"/>
      <c r="Q551" s="64"/>
      <c r="R551" s="64"/>
      <c r="S551" s="64"/>
      <c r="T551" s="64"/>
      <c r="U551" s="64"/>
      <c r="V551" s="64"/>
      <c r="W551" s="64"/>
      <c r="BF551" s="64"/>
      <c r="BG551" s="64"/>
      <c r="BH551" s="64"/>
      <c r="BI551" s="64"/>
      <c r="BJ551" s="64"/>
      <c r="BK551" s="64"/>
      <c r="BL551" s="64"/>
      <c r="BM551" s="64"/>
      <c r="BN551" s="64"/>
      <c r="BO551" s="64"/>
      <c r="BP551" s="64"/>
    </row>
    <row r="552" ht="18.75" customHeight="1">
      <c r="H552" s="64"/>
      <c r="J552" s="64"/>
      <c r="K552" s="64"/>
      <c r="M552" s="64"/>
      <c r="N552" s="64"/>
      <c r="O552" s="64"/>
      <c r="P552" s="64"/>
      <c r="Q552" s="64"/>
      <c r="R552" s="64"/>
      <c r="S552" s="64"/>
      <c r="T552" s="64"/>
      <c r="U552" s="64"/>
      <c r="V552" s="64"/>
      <c r="W552" s="64"/>
      <c r="BF552" s="64"/>
      <c r="BG552" s="64"/>
      <c r="BH552" s="64"/>
      <c r="BI552" s="64"/>
      <c r="BJ552" s="64"/>
      <c r="BK552" s="64"/>
      <c r="BL552" s="64"/>
      <c r="BM552" s="64"/>
      <c r="BN552" s="64"/>
      <c r="BO552" s="64"/>
      <c r="BP552" s="64"/>
    </row>
    <row r="553" ht="18.75" customHeight="1">
      <c r="H553" s="64"/>
      <c r="J553" s="64"/>
      <c r="K553" s="64"/>
      <c r="M553" s="64"/>
      <c r="N553" s="64"/>
      <c r="O553" s="64"/>
      <c r="P553" s="64"/>
      <c r="Q553" s="64"/>
      <c r="R553" s="64"/>
      <c r="S553" s="64"/>
      <c r="T553" s="64"/>
      <c r="U553" s="64"/>
      <c r="V553" s="64"/>
      <c r="W553" s="64"/>
      <c r="BF553" s="64"/>
      <c r="BG553" s="64"/>
      <c r="BH553" s="64"/>
      <c r="BI553" s="64"/>
      <c r="BJ553" s="64"/>
      <c r="BK553" s="64"/>
      <c r="BL553" s="64"/>
      <c r="BM553" s="64"/>
      <c r="BN553" s="64"/>
      <c r="BO553" s="64"/>
      <c r="BP553" s="64"/>
    </row>
    <row r="554" ht="18.75" customHeight="1">
      <c r="H554" s="64"/>
      <c r="J554" s="64"/>
      <c r="K554" s="64"/>
      <c r="M554" s="64"/>
      <c r="N554" s="64"/>
      <c r="O554" s="64"/>
      <c r="P554" s="64"/>
      <c r="Q554" s="64"/>
      <c r="R554" s="64"/>
      <c r="S554" s="64"/>
      <c r="T554" s="64"/>
      <c r="U554" s="64"/>
      <c r="V554" s="64"/>
      <c r="W554" s="64"/>
      <c r="BF554" s="64"/>
      <c r="BG554" s="64"/>
      <c r="BH554" s="64"/>
      <c r="BI554" s="64"/>
      <c r="BJ554" s="64"/>
      <c r="BK554" s="64"/>
      <c r="BL554" s="64"/>
      <c r="BM554" s="64"/>
      <c r="BN554" s="64"/>
      <c r="BO554" s="64"/>
      <c r="BP554" s="64"/>
    </row>
    <row r="555" ht="18.75" customHeight="1">
      <c r="H555" s="64"/>
      <c r="J555" s="64"/>
      <c r="K555" s="64"/>
      <c r="M555" s="64"/>
      <c r="N555" s="64"/>
      <c r="O555" s="64"/>
      <c r="P555" s="64"/>
      <c r="Q555" s="64"/>
      <c r="R555" s="64"/>
      <c r="S555" s="64"/>
      <c r="T555" s="64"/>
      <c r="U555" s="64"/>
      <c r="V555" s="64"/>
      <c r="W555" s="64"/>
      <c r="BF555" s="64"/>
      <c r="BG555" s="64"/>
      <c r="BH555" s="64"/>
      <c r="BI555" s="64"/>
      <c r="BJ555" s="64"/>
      <c r="BK555" s="64"/>
      <c r="BL555" s="64"/>
      <c r="BM555" s="64"/>
      <c r="BN555" s="64"/>
      <c r="BO555" s="64"/>
      <c r="BP555" s="64"/>
    </row>
    <row r="556" ht="18.75" customHeight="1">
      <c r="H556" s="64"/>
      <c r="J556" s="64"/>
      <c r="K556" s="64"/>
      <c r="M556" s="64"/>
      <c r="N556" s="64"/>
      <c r="O556" s="64"/>
      <c r="P556" s="64"/>
      <c r="Q556" s="64"/>
      <c r="R556" s="64"/>
      <c r="S556" s="64"/>
      <c r="T556" s="64"/>
      <c r="U556" s="64"/>
      <c r="V556" s="64"/>
      <c r="W556" s="64"/>
      <c r="BF556" s="64"/>
      <c r="BG556" s="64"/>
      <c r="BH556" s="64"/>
      <c r="BI556" s="64"/>
      <c r="BJ556" s="64"/>
      <c r="BK556" s="64"/>
      <c r="BL556" s="64"/>
      <c r="BM556" s="64"/>
      <c r="BN556" s="64"/>
      <c r="BO556" s="64"/>
      <c r="BP556" s="64"/>
    </row>
    <row r="557" ht="18.75" customHeight="1">
      <c r="H557" s="64"/>
      <c r="J557" s="64"/>
      <c r="K557" s="64"/>
      <c r="M557" s="64"/>
      <c r="N557" s="64"/>
      <c r="O557" s="64"/>
      <c r="P557" s="64"/>
      <c r="Q557" s="64"/>
      <c r="R557" s="64"/>
      <c r="S557" s="64"/>
      <c r="T557" s="64"/>
      <c r="U557" s="64"/>
      <c r="V557" s="64"/>
      <c r="W557" s="64"/>
      <c r="BF557" s="64"/>
      <c r="BG557" s="64"/>
      <c r="BH557" s="64"/>
      <c r="BI557" s="64"/>
      <c r="BJ557" s="64"/>
      <c r="BK557" s="64"/>
      <c r="BL557" s="64"/>
      <c r="BM557" s="64"/>
      <c r="BN557" s="64"/>
      <c r="BO557" s="64"/>
      <c r="BP557" s="64"/>
    </row>
    <row r="558" ht="18.75" customHeight="1">
      <c r="H558" s="64"/>
      <c r="J558" s="64"/>
      <c r="K558" s="64"/>
      <c r="M558" s="64"/>
      <c r="N558" s="64"/>
      <c r="O558" s="64"/>
      <c r="P558" s="64"/>
      <c r="Q558" s="64"/>
      <c r="R558" s="64"/>
      <c r="S558" s="64"/>
      <c r="T558" s="64"/>
      <c r="U558" s="64"/>
      <c r="V558" s="64"/>
      <c r="W558" s="64"/>
      <c r="BF558" s="64"/>
      <c r="BG558" s="64"/>
      <c r="BH558" s="64"/>
      <c r="BI558" s="64"/>
      <c r="BJ558" s="64"/>
      <c r="BK558" s="64"/>
      <c r="BL558" s="64"/>
      <c r="BM558" s="64"/>
      <c r="BN558" s="64"/>
      <c r="BO558" s="64"/>
      <c r="BP558" s="64"/>
    </row>
    <row r="559" ht="18.75" customHeight="1">
      <c r="H559" s="64"/>
      <c r="J559" s="64"/>
      <c r="K559" s="64"/>
      <c r="M559" s="64"/>
      <c r="N559" s="64"/>
      <c r="O559" s="64"/>
      <c r="P559" s="64"/>
      <c r="Q559" s="64"/>
      <c r="R559" s="64"/>
      <c r="S559" s="64"/>
      <c r="T559" s="64"/>
      <c r="U559" s="64"/>
      <c r="V559" s="64"/>
      <c r="W559" s="64"/>
      <c r="BF559" s="64"/>
      <c r="BG559" s="64"/>
      <c r="BH559" s="64"/>
      <c r="BI559" s="64"/>
      <c r="BJ559" s="64"/>
      <c r="BK559" s="64"/>
      <c r="BL559" s="64"/>
      <c r="BM559" s="64"/>
      <c r="BN559" s="64"/>
      <c r="BO559" s="64"/>
      <c r="BP559" s="64"/>
    </row>
    <row r="560" ht="18.75" customHeight="1">
      <c r="H560" s="64"/>
      <c r="J560" s="64"/>
      <c r="K560" s="64"/>
      <c r="M560" s="64"/>
      <c r="N560" s="64"/>
      <c r="O560" s="64"/>
      <c r="P560" s="64"/>
      <c r="Q560" s="64"/>
      <c r="R560" s="64"/>
      <c r="S560" s="64"/>
      <c r="T560" s="64"/>
      <c r="U560" s="64"/>
      <c r="V560" s="64"/>
      <c r="W560" s="64"/>
      <c r="BF560" s="64"/>
      <c r="BG560" s="64"/>
      <c r="BH560" s="64"/>
      <c r="BI560" s="64"/>
      <c r="BJ560" s="64"/>
      <c r="BK560" s="64"/>
      <c r="BL560" s="64"/>
      <c r="BM560" s="64"/>
      <c r="BN560" s="64"/>
      <c r="BO560" s="64"/>
      <c r="BP560" s="64"/>
    </row>
    <row r="561" ht="18.75" customHeight="1">
      <c r="H561" s="64"/>
      <c r="J561" s="64"/>
      <c r="K561" s="64"/>
      <c r="M561" s="64"/>
      <c r="N561" s="64"/>
      <c r="O561" s="64"/>
      <c r="P561" s="64"/>
      <c r="Q561" s="64"/>
      <c r="R561" s="64"/>
      <c r="S561" s="64"/>
      <c r="T561" s="64"/>
      <c r="U561" s="64"/>
      <c r="V561" s="64"/>
      <c r="W561" s="64"/>
      <c r="BF561" s="64"/>
      <c r="BG561" s="64"/>
      <c r="BH561" s="64"/>
      <c r="BI561" s="64"/>
      <c r="BJ561" s="64"/>
      <c r="BK561" s="64"/>
      <c r="BL561" s="64"/>
      <c r="BM561" s="64"/>
      <c r="BN561" s="64"/>
      <c r="BO561" s="64"/>
      <c r="BP561" s="64"/>
    </row>
    <row r="562" ht="18.75" customHeight="1">
      <c r="H562" s="64"/>
      <c r="J562" s="64"/>
      <c r="K562" s="64"/>
      <c r="M562" s="64"/>
      <c r="N562" s="64"/>
      <c r="O562" s="64"/>
      <c r="P562" s="64"/>
      <c r="Q562" s="64"/>
      <c r="R562" s="64"/>
      <c r="S562" s="64"/>
      <c r="T562" s="64"/>
      <c r="U562" s="64"/>
      <c r="V562" s="64"/>
      <c r="W562" s="64"/>
      <c r="BF562" s="64"/>
      <c r="BG562" s="64"/>
      <c r="BH562" s="64"/>
      <c r="BI562" s="64"/>
      <c r="BJ562" s="64"/>
      <c r="BK562" s="64"/>
      <c r="BL562" s="64"/>
      <c r="BM562" s="64"/>
      <c r="BN562" s="64"/>
      <c r="BO562" s="64"/>
      <c r="BP562" s="64"/>
    </row>
    <row r="563" ht="18.75" customHeight="1">
      <c r="H563" s="64"/>
      <c r="J563" s="64"/>
      <c r="K563" s="64"/>
      <c r="M563" s="64"/>
      <c r="N563" s="64"/>
      <c r="O563" s="64"/>
      <c r="P563" s="64"/>
      <c r="Q563" s="64"/>
      <c r="R563" s="64"/>
      <c r="S563" s="64"/>
      <c r="T563" s="64"/>
      <c r="U563" s="64"/>
      <c r="V563" s="64"/>
      <c r="W563" s="64"/>
      <c r="BF563" s="64"/>
      <c r="BG563" s="64"/>
      <c r="BH563" s="64"/>
      <c r="BI563" s="64"/>
      <c r="BJ563" s="64"/>
      <c r="BK563" s="64"/>
      <c r="BL563" s="64"/>
      <c r="BM563" s="64"/>
      <c r="BN563" s="64"/>
      <c r="BO563" s="64"/>
      <c r="BP563" s="64"/>
    </row>
    <row r="564" ht="18.75" customHeight="1">
      <c r="H564" s="64"/>
      <c r="J564" s="64"/>
      <c r="K564" s="64"/>
      <c r="M564" s="64"/>
      <c r="N564" s="64"/>
      <c r="O564" s="64"/>
      <c r="P564" s="64"/>
      <c r="Q564" s="64"/>
      <c r="R564" s="64"/>
      <c r="S564" s="64"/>
      <c r="T564" s="64"/>
      <c r="U564" s="64"/>
      <c r="V564" s="64"/>
      <c r="W564" s="64"/>
      <c r="BF564" s="64"/>
      <c r="BG564" s="64"/>
      <c r="BH564" s="64"/>
      <c r="BI564" s="64"/>
      <c r="BJ564" s="64"/>
      <c r="BK564" s="64"/>
      <c r="BL564" s="64"/>
      <c r="BM564" s="64"/>
      <c r="BN564" s="64"/>
      <c r="BO564" s="64"/>
      <c r="BP564" s="64"/>
    </row>
    <row r="565" ht="18.75" customHeight="1">
      <c r="H565" s="64"/>
      <c r="J565" s="64"/>
      <c r="K565" s="64"/>
      <c r="M565" s="64"/>
      <c r="N565" s="64"/>
      <c r="O565" s="64"/>
      <c r="P565" s="64"/>
      <c r="Q565" s="64"/>
      <c r="R565" s="64"/>
      <c r="S565" s="64"/>
      <c r="T565" s="64"/>
      <c r="U565" s="64"/>
      <c r="V565" s="64"/>
      <c r="W565" s="64"/>
      <c r="BF565" s="64"/>
      <c r="BG565" s="64"/>
      <c r="BH565" s="64"/>
      <c r="BI565" s="64"/>
      <c r="BJ565" s="64"/>
      <c r="BK565" s="64"/>
      <c r="BL565" s="64"/>
      <c r="BM565" s="64"/>
      <c r="BN565" s="64"/>
      <c r="BO565" s="64"/>
      <c r="BP565" s="64"/>
    </row>
    <row r="566" ht="18.75" customHeight="1">
      <c r="H566" s="64"/>
      <c r="J566" s="64"/>
      <c r="K566" s="64"/>
      <c r="M566" s="64"/>
      <c r="N566" s="64"/>
      <c r="O566" s="64"/>
      <c r="P566" s="64"/>
      <c r="Q566" s="64"/>
      <c r="R566" s="64"/>
      <c r="S566" s="64"/>
      <c r="T566" s="64"/>
      <c r="U566" s="64"/>
      <c r="V566" s="64"/>
      <c r="W566" s="64"/>
      <c r="BF566" s="64"/>
      <c r="BG566" s="64"/>
      <c r="BH566" s="64"/>
      <c r="BI566" s="64"/>
      <c r="BJ566" s="64"/>
      <c r="BK566" s="64"/>
      <c r="BL566" s="64"/>
      <c r="BM566" s="64"/>
      <c r="BN566" s="64"/>
      <c r="BO566" s="64"/>
      <c r="BP566" s="64"/>
    </row>
    <row r="567" ht="18.75" customHeight="1">
      <c r="H567" s="64"/>
      <c r="J567" s="64"/>
      <c r="K567" s="64"/>
      <c r="M567" s="64"/>
      <c r="N567" s="64"/>
      <c r="O567" s="64"/>
      <c r="P567" s="64"/>
      <c r="Q567" s="64"/>
      <c r="R567" s="64"/>
      <c r="S567" s="64"/>
      <c r="T567" s="64"/>
      <c r="U567" s="64"/>
      <c r="V567" s="64"/>
      <c r="W567" s="64"/>
      <c r="BF567" s="64"/>
      <c r="BG567" s="64"/>
      <c r="BH567" s="64"/>
      <c r="BI567" s="64"/>
      <c r="BJ567" s="64"/>
      <c r="BK567" s="64"/>
      <c r="BL567" s="64"/>
      <c r="BM567" s="64"/>
      <c r="BN567" s="64"/>
      <c r="BO567" s="64"/>
      <c r="BP567" s="64"/>
    </row>
    <row r="568" ht="18.75" customHeight="1">
      <c r="H568" s="64"/>
      <c r="J568" s="64"/>
      <c r="K568" s="64"/>
      <c r="M568" s="64"/>
      <c r="N568" s="64"/>
      <c r="O568" s="64"/>
      <c r="P568" s="64"/>
      <c r="Q568" s="64"/>
      <c r="R568" s="64"/>
      <c r="S568" s="64"/>
      <c r="T568" s="64"/>
      <c r="U568" s="64"/>
      <c r="V568" s="64"/>
      <c r="W568" s="64"/>
      <c r="BF568" s="64"/>
      <c r="BG568" s="64"/>
      <c r="BH568" s="64"/>
      <c r="BI568" s="64"/>
      <c r="BJ568" s="64"/>
      <c r="BK568" s="64"/>
      <c r="BL568" s="64"/>
      <c r="BM568" s="64"/>
      <c r="BN568" s="64"/>
      <c r="BO568" s="64"/>
      <c r="BP568" s="64"/>
    </row>
    <row r="569" ht="18.75" customHeight="1">
      <c r="H569" s="64"/>
      <c r="J569" s="64"/>
      <c r="K569" s="64"/>
      <c r="M569" s="64"/>
      <c r="N569" s="64"/>
      <c r="O569" s="64"/>
      <c r="P569" s="64"/>
      <c r="Q569" s="64"/>
      <c r="R569" s="64"/>
      <c r="S569" s="64"/>
      <c r="T569" s="64"/>
      <c r="U569" s="64"/>
      <c r="V569" s="64"/>
      <c r="W569" s="64"/>
      <c r="BF569" s="64"/>
      <c r="BG569" s="64"/>
      <c r="BH569" s="64"/>
      <c r="BI569" s="64"/>
      <c r="BJ569" s="64"/>
      <c r="BK569" s="64"/>
      <c r="BL569" s="64"/>
      <c r="BM569" s="64"/>
      <c r="BN569" s="64"/>
      <c r="BO569" s="64"/>
      <c r="BP569" s="64"/>
    </row>
    <row r="570" ht="18.75" customHeight="1">
      <c r="H570" s="64"/>
      <c r="J570" s="64"/>
      <c r="K570" s="64"/>
      <c r="M570" s="64"/>
      <c r="N570" s="64"/>
      <c r="O570" s="64"/>
      <c r="P570" s="64"/>
      <c r="Q570" s="64"/>
      <c r="R570" s="64"/>
      <c r="S570" s="64"/>
      <c r="T570" s="64"/>
      <c r="U570" s="64"/>
      <c r="V570" s="64"/>
      <c r="W570" s="64"/>
      <c r="BF570" s="64"/>
      <c r="BG570" s="64"/>
      <c r="BH570" s="64"/>
      <c r="BI570" s="64"/>
      <c r="BJ570" s="64"/>
      <c r="BK570" s="64"/>
      <c r="BL570" s="64"/>
      <c r="BM570" s="64"/>
      <c r="BN570" s="64"/>
      <c r="BO570" s="64"/>
      <c r="BP570" s="64"/>
    </row>
    <row r="571" ht="18.75" customHeight="1">
      <c r="H571" s="64"/>
      <c r="J571" s="64"/>
      <c r="K571" s="64"/>
      <c r="M571" s="64"/>
      <c r="N571" s="64"/>
      <c r="O571" s="64"/>
      <c r="P571" s="64"/>
      <c r="Q571" s="64"/>
      <c r="R571" s="64"/>
      <c r="S571" s="64"/>
      <c r="T571" s="64"/>
      <c r="U571" s="64"/>
      <c r="V571" s="64"/>
      <c r="W571" s="64"/>
      <c r="BF571" s="64"/>
      <c r="BG571" s="64"/>
      <c r="BH571" s="64"/>
      <c r="BI571" s="64"/>
      <c r="BJ571" s="64"/>
      <c r="BK571" s="64"/>
      <c r="BL571" s="64"/>
      <c r="BM571" s="64"/>
      <c r="BN571" s="64"/>
      <c r="BO571" s="64"/>
      <c r="BP571" s="64"/>
    </row>
    <row r="572" ht="18.75" customHeight="1">
      <c r="H572" s="64"/>
      <c r="J572" s="64"/>
      <c r="K572" s="64"/>
      <c r="M572" s="64"/>
      <c r="N572" s="64"/>
      <c r="O572" s="64"/>
      <c r="P572" s="64"/>
      <c r="Q572" s="64"/>
      <c r="R572" s="64"/>
      <c r="S572" s="64"/>
      <c r="T572" s="64"/>
      <c r="U572" s="64"/>
      <c r="V572" s="64"/>
      <c r="W572" s="64"/>
      <c r="BF572" s="64"/>
      <c r="BG572" s="64"/>
      <c r="BH572" s="64"/>
      <c r="BI572" s="64"/>
      <c r="BJ572" s="64"/>
      <c r="BK572" s="64"/>
      <c r="BL572" s="64"/>
      <c r="BM572" s="64"/>
      <c r="BN572" s="64"/>
      <c r="BO572" s="64"/>
      <c r="BP572" s="64"/>
    </row>
    <row r="573" ht="18.75" customHeight="1">
      <c r="H573" s="64"/>
      <c r="J573" s="64"/>
      <c r="K573" s="64"/>
      <c r="M573" s="64"/>
      <c r="N573" s="64"/>
      <c r="O573" s="64"/>
      <c r="P573" s="64"/>
      <c r="Q573" s="64"/>
      <c r="R573" s="64"/>
      <c r="S573" s="64"/>
      <c r="T573" s="64"/>
      <c r="U573" s="64"/>
      <c r="V573" s="64"/>
      <c r="W573" s="64"/>
      <c r="BF573" s="64"/>
      <c r="BG573" s="64"/>
      <c r="BH573" s="64"/>
      <c r="BI573" s="64"/>
      <c r="BJ573" s="64"/>
      <c r="BK573" s="64"/>
      <c r="BL573" s="64"/>
      <c r="BM573" s="64"/>
      <c r="BN573" s="64"/>
      <c r="BO573" s="64"/>
      <c r="BP573" s="64"/>
    </row>
    <row r="574" ht="18.75" customHeight="1">
      <c r="H574" s="64"/>
      <c r="J574" s="64"/>
      <c r="K574" s="64"/>
      <c r="M574" s="64"/>
      <c r="N574" s="64"/>
      <c r="O574" s="64"/>
      <c r="P574" s="64"/>
      <c r="Q574" s="64"/>
      <c r="R574" s="64"/>
      <c r="S574" s="64"/>
      <c r="T574" s="64"/>
      <c r="U574" s="64"/>
      <c r="V574" s="64"/>
      <c r="W574" s="64"/>
      <c r="BF574" s="64"/>
      <c r="BG574" s="64"/>
      <c r="BH574" s="64"/>
      <c r="BI574" s="64"/>
      <c r="BJ574" s="64"/>
      <c r="BK574" s="64"/>
      <c r="BL574" s="64"/>
      <c r="BM574" s="64"/>
      <c r="BN574" s="64"/>
      <c r="BO574" s="64"/>
      <c r="BP574" s="64"/>
    </row>
    <row r="575" ht="18.75" customHeight="1">
      <c r="H575" s="64"/>
      <c r="J575" s="64"/>
      <c r="K575" s="64"/>
      <c r="M575" s="64"/>
      <c r="N575" s="64"/>
      <c r="O575" s="64"/>
      <c r="P575" s="64"/>
      <c r="Q575" s="64"/>
      <c r="R575" s="64"/>
      <c r="S575" s="64"/>
      <c r="T575" s="64"/>
      <c r="U575" s="64"/>
      <c r="V575" s="64"/>
      <c r="W575" s="64"/>
      <c r="BF575" s="64"/>
      <c r="BG575" s="64"/>
      <c r="BH575" s="64"/>
      <c r="BI575" s="64"/>
      <c r="BJ575" s="64"/>
      <c r="BK575" s="64"/>
      <c r="BL575" s="64"/>
      <c r="BM575" s="64"/>
      <c r="BN575" s="64"/>
      <c r="BO575" s="64"/>
      <c r="BP575" s="64"/>
    </row>
    <row r="576" ht="18.75" customHeight="1">
      <c r="H576" s="64"/>
      <c r="J576" s="64"/>
      <c r="K576" s="64"/>
      <c r="M576" s="64"/>
      <c r="N576" s="64"/>
      <c r="O576" s="64"/>
      <c r="P576" s="64"/>
      <c r="Q576" s="64"/>
      <c r="R576" s="64"/>
      <c r="S576" s="64"/>
      <c r="T576" s="64"/>
      <c r="U576" s="64"/>
      <c r="V576" s="64"/>
      <c r="W576" s="64"/>
      <c r="BF576" s="64"/>
      <c r="BG576" s="64"/>
      <c r="BH576" s="64"/>
      <c r="BI576" s="64"/>
      <c r="BJ576" s="64"/>
      <c r="BK576" s="64"/>
      <c r="BL576" s="64"/>
      <c r="BM576" s="64"/>
      <c r="BN576" s="64"/>
      <c r="BO576" s="64"/>
      <c r="BP576" s="64"/>
    </row>
    <row r="577" ht="18.75" customHeight="1">
      <c r="H577" s="64"/>
      <c r="J577" s="64"/>
      <c r="K577" s="64"/>
      <c r="M577" s="64"/>
      <c r="N577" s="64"/>
      <c r="O577" s="64"/>
      <c r="P577" s="64"/>
      <c r="Q577" s="64"/>
      <c r="R577" s="64"/>
      <c r="S577" s="64"/>
      <c r="T577" s="64"/>
      <c r="U577" s="64"/>
      <c r="V577" s="64"/>
      <c r="W577" s="64"/>
      <c r="BF577" s="64"/>
      <c r="BG577" s="64"/>
      <c r="BH577" s="64"/>
      <c r="BI577" s="64"/>
      <c r="BJ577" s="64"/>
      <c r="BK577" s="64"/>
      <c r="BL577" s="64"/>
      <c r="BM577" s="64"/>
      <c r="BN577" s="64"/>
      <c r="BO577" s="64"/>
      <c r="BP577" s="64"/>
    </row>
    <row r="578" ht="18.75" customHeight="1">
      <c r="H578" s="64"/>
      <c r="J578" s="64"/>
      <c r="K578" s="64"/>
      <c r="M578" s="64"/>
      <c r="N578" s="64"/>
      <c r="O578" s="64"/>
      <c r="P578" s="64"/>
      <c r="Q578" s="64"/>
      <c r="R578" s="64"/>
      <c r="S578" s="64"/>
      <c r="T578" s="64"/>
      <c r="U578" s="64"/>
      <c r="V578" s="64"/>
      <c r="W578" s="64"/>
      <c r="BF578" s="64"/>
      <c r="BG578" s="64"/>
      <c r="BH578" s="64"/>
      <c r="BI578" s="64"/>
      <c r="BJ578" s="64"/>
      <c r="BK578" s="64"/>
      <c r="BL578" s="64"/>
      <c r="BM578" s="64"/>
      <c r="BN578" s="64"/>
      <c r="BO578" s="64"/>
      <c r="BP578" s="64"/>
    </row>
    <row r="579" ht="18.75" customHeight="1">
      <c r="H579" s="64"/>
      <c r="J579" s="64"/>
      <c r="K579" s="64"/>
      <c r="M579" s="64"/>
      <c r="N579" s="64"/>
      <c r="O579" s="64"/>
      <c r="P579" s="64"/>
      <c r="Q579" s="64"/>
      <c r="R579" s="64"/>
      <c r="S579" s="64"/>
      <c r="T579" s="64"/>
      <c r="U579" s="64"/>
      <c r="V579" s="64"/>
      <c r="W579" s="64"/>
      <c r="BF579" s="64"/>
      <c r="BG579" s="64"/>
      <c r="BH579" s="64"/>
      <c r="BI579" s="64"/>
      <c r="BJ579" s="64"/>
      <c r="BK579" s="64"/>
      <c r="BL579" s="64"/>
      <c r="BM579" s="64"/>
      <c r="BN579" s="64"/>
      <c r="BO579" s="64"/>
      <c r="BP579" s="64"/>
    </row>
    <row r="580" ht="18.75" customHeight="1">
      <c r="H580" s="64"/>
      <c r="J580" s="64"/>
      <c r="K580" s="64"/>
      <c r="M580" s="64"/>
      <c r="N580" s="64"/>
      <c r="O580" s="64"/>
      <c r="P580" s="64"/>
      <c r="Q580" s="64"/>
      <c r="R580" s="64"/>
      <c r="S580" s="64"/>
      <c r="T580" s="64"/>
      <c r="U580" s="64"/>
      <c r="V580" s="64"/>
      <c r="W580" s="64"/>
      <c r="BF580" s="64"/>
      <c r="BG580" s="64"/>
      <c r="BH580" s="64"/>
      <c r="BI580" s="64"/>
      <c r="BJ580" s="64"/>
      <c r="BK580" s="64"/>
      <c r="BL580" s="64"/>
      <c r="BM580" s="64"/>
      <c r="BN580" s="64"/>
      <c r="BO580" s="64"/>
      <c r="BP580" s="64"/>
    </row>
    <row r="581" ht="18.75" customHeight="1">
      <c r="H581" s="64"/>
      <c r="J581" s="64"/>
      <c r="K581" s="64"/>
      <c r="M581" s="64"/>
      <c r="N581" s="64"/>
      <c r="O581" s="64"/>
      <c r="P581" s="64"/>
      <c r="Q581" s="64"/>
      <c r="R581" s="64"/>
      <c r="S581" s="64"/>
      <c r="T581" s="64"/>
      <c r="U581" s="64"/>
      <c r="V581" s="64"/>
      <c r="W581" s="64"/>
      <c r="BF581" s="64"/>
      <c r="BG581" s="64"/>
      <c r="BH581" s="64"/>
      <c r="BI581" s="64"/>
      <c r="BJ581" s="64"/>
      <c r="BK581" s="64"/>
      <c r="BL581" s="64"/>
      <c r="BM581" s="64"/>
      <c r="BN581" s="64"/>
      <c r="BO581" s="64"/>
      <c r="BP581" s="64"/>
    </row>
    <row r="582" ht="18.75" customHeight="1">
      <c r="H582" s="64"/>
      <c r="J582" s="64"/>
      <c r="K582" s="64"/>
      <c r="M582" s="64"/>
      <c r="N582" s="64"/>
      <c r="O582" s="64"/>
      <c r="P582" s="64"/>
      <c r="Q582" s="64"/>
      <c r="R582" s="64"/>
      <c r="S582" s="64"/>
      <c r="T582" s="64"/>
      <c r="U582" s="64"/>
      <c r="V582" s="64"/>
      <c r="W582" s="64"/>
      <c r="BF582" s="64"/>
      <c r="BG582" s="64"/>
      <c r="BH582" s="64"/>
      <c r="BI582" s="64"/>
      <c r="BJ582" s="64"/>
      <c r="BK582" s="64"/>
      <c r="BL582" s="64"/>
      <c r="BM582" s="64"/>
      <c r="BN582" s="64"/>
      <c r="BO582" s="64"/>
      <c r="BP582" s="64"/>
    </row>
    <row r="583" ht="18.75" customHeight="1">
      <c r="H583" s="64"/>
      <c r="J583" s="64"/>
      <c r="K583" s="64"/>
      <c r="M583" s="64"/>
      <c r="N583" s="64"/>
      <c r="O583" s="64"/>
      <c r="P583" s="64"/>
      <c r="Q583" s="64"/>
      <c r="R583" s="64"/>
      <c r="S583" s="64"/>
      <c r="T583" s="64"/>
      <c r="U583" s="64"/>
      <c r="V583" s="64"/>
      <c r="W583" s="64"/>
      <c r="BF583" s="64"/>
      <c r="BG583" s="64"/>
      <c r="BH583" s="64"/>
      <c r="BI583" s="64"/>
      <c r="BJ583" s="64"/>
      <c r="BK583" s="64"/>
      <c r="BL583" s="64"/>
      <c r="BM583" s="64"/>
      <c r="BN583" s="64"/>
      <c r="BO583" s="64"/>
      <c r="BP583" s="64"/>
    </row>
    <row r="584" ht="18.75" customHeight="1">
      <c r="H584" s="64"/>
      <c r="J584" s="64"/>
      <c r="K584" s="64"/>
      <c r="M584" s="64"/>
      <c r="N584" s="64"/>
      <c r="O584" s="64"/>
      <c r="P584" s="64"/>
      <c r="Q584" s="64"/>
      <c r="R584" s="64"/>
      <c r="S584" s="64"/>
      <c r="T584" s="64"/>
      <c r="U584" s="64"/>
      <c r="V584" s="64"/>
      <c r="W584" s="64"/>
      <c r="BF584" s="64"/>
      <c r="BG584" s="64"/>
      <c r="BH584" s="64"/>
      <c r="BI584" s="64"/>
      <c r="BJ584" s="64"/>
      <c r="BK584" s="64"/>
      <c r="BL584" s="64"/>
      <c r="BM584" s="64"/>
      <c r="BN584" s="64"/>
      <c r="BO584" s="64"/>
      <c r="BP584" s="64"/>
    </row>
    <row r="585" ht="18.75" customHeight="1">
      <c r="H585" s="64"/>
      <c r="J585" s="64"/>
      <c r="K585" s="64"/>
      <c r="M585" s="64"/>
      <c r="N585" s="64"/>
      <c r="O585" s="64"/>
      <c r="P585" s="64"/>
      <c r="Q585" s="64"/>
      <c r="R585" s="64"/>
      <c r="S585" s="64"/>
      <c r="T585" s="64"/>
      <c r="U585" s="64"/>
      <c r="V585" s="64"/>
      <c r="W585" s="64"/>
      <c r="BF585" s="64"/>
      <c r="BG585" s="64"/>
      <c r="BH585" s="64"/>
      <c r="BI585" s="64"/>
      <c r="BJ585" s="64"/>
      <c r="BK585" s="64"/>
      <c r="BL585" s="64"/>
      <c r="BM585" s="64"/>
      <c r="BN585" s="64"/>
      <c r="BO585" s="64"/>
      <c r="BP585" s="64"/>
    </row>
    <row r="586" ht="18.75" customHeight="1">
      <c r="H586" s="64"/>
      <c r="J586" s="64"/>
      <c r="K586" s="64"/>
      <c r="M586" s="64"/>
      <c r="N586" s="64"/>
      <c r="O586" s="64"/>
      <c r="P586" s="64"/>
      <c r="Q586" s="64"/>
      <c r="R586" s="64"/>
      <c r="S586" s="64"/>
      <c r="T586" s="64"/>
      <c r="U586" s="64"/>
      <c r="V586" s="64"/>
      <c r="W586" s="64"/>
      <c r="BF586" s="64"/>
      <c r="BG586" s="64"/>
      <c r="BH586" s="64"/>
      <c r="BI586" s="64"/>
      <c r="BJ586" s="64"/>
      <c r="BK586" s="64"/>
      <c r="BL586" s="64"/>
      <c r="BM586" s="64"/>
      <c r="BN586" s="64"/>
      <c r="BO586" s="64"/>
      <c r="BP586" s="64"/>
    </row>
    <row r="587" ht="18.75" customHeight="1">
      <c r="H587" s="64"/>
      <c r="J587" s="64"/>
      <c r="K587" s="64"/>
      <c r="M587" s="64"/>
      <c r="N587" s="64"/>
      <c r="O587" s="64"/>
      <c r="P587" s="64"/>
      <c r="Q587" s="64"/>
      <c r="R587" s="64"/>
      <c r="S587" s="64"/>
      <c r="T587" s="64"/>
      <c r="U587" s="64"/>
      <c r="V587" s="64"/>
      <c r="W587" s="64"/>
      <c r="BF587" s="64"/>
      <c r="BG587" s="64"/>
      <c r="BH587" s="64"/>
      <c r="BI587" s="64"/>
      <c r="BJ587" s="64"/>
      <c r="BK587" s="64"/>
      <c r="BL587" s="64"/>
      <c r="BM587" s="64"/>
      <c r="BN587" s="64"/>
      <c r="BO587" s="64"/>
      <c r="BP587" s="64"/>
    </row>
    <row r="588" ht="18.75" customHeight="1">
      <c r="H588" s="64"/>
      <c r="J588" s="64"/>
      <c r="K588" s="64"/>
      <c r="M588" s="64"/>
      <c r="N588" s="64"/>
      <c r="O588" s="64"/>
      <c r="P588" s="64"/>
      <c r="Q588" s="64"/>
      <c r="R588" s="64"/>
      <c r="S588" s="64"/>
      <c r="T588" s="64"/>
      <c r="U588" s="64"/>
      <c r="V588" s="64"/>
      <c r="W588" s="64"/>
      <c r="BF588" s="64"/>
      <c r="BG588" s="64"/>
      <c r="BH588" s="64"/>
      <c r="BI588" s="64"/>
      <c r="BJ588" s="64"/>
      <c r="BK588" s="64"/>
      <c r="BL588" s="64"/>
      <c r="BM588" s="64"/>
      <c r="BN588" s="64"/>
      <c r="BO588" s="64"/>
      <c r="BP588" s="64"/>
    </row>
    <row r="589" ht="18.75" customHeight="1">
      <c r="H589" s="64"/>
      <c r="J589" s="64"/>
      <c r="K589" s="64"/>
      <c r="M589" s="64"/>
      <c r="N589" s="64"/>
      <c r="O589" s="64"/>
      <c r="P589" s="64"/>
      <c r="Q589" s="64"/>
      <c r="R589" s="64"/>
      <c r="S589" s="64"/>
      <c r="T589" s="64"/>
      <c r="U589" s="64"/>
      <c r="V589" s="64"/>
      <c r="W589" s="64"/>
      <c r="BF589" s="64"/>
      <c r="BG589" s="64"/>
      <c r="BH589" s="64"/>
      <c r="BI589" s="64"/>
      <c r="BJ589" s="64"/>
      <c r="BK589" s="64"/>
      <c r="BL589" s="64"/>
      <c r="BM589" s="64"/>
      <c r="BN589" s="64"/>
      <c r="BO589" s="64"/>
      <c r="BP589" s="64"/>
    </row>
    <row r="590" ht="18.75" customHeight="1">
      <c r="H590" s="64"/>
      <c r="J590" s="64"/>
      <c r="K590" s="64"/>
      <c r="M590" s="64"/>
      <c r="N590" s="64"/>
      <c r="O590" s="64"/>
      <c r="P590" s="64"/>
      <c r="Q590" s="64"/>
      <c r="R590" s="64"/>
      <c r="S590" s="64"/>
      <c r="T590" s="64"/>
      <c r="U590" s="64"/>
      <c r="V590" s="64"/>
      <c r="W590" s="64"/>
      <c r="BF590" s="64"/>
      <c r="BG590" s="64"/>
      <c r="BH590" s="64"/>
      <c r="BI590" s="64"/>
      <c r="BJ590" s="64"/>
      <c r="BK590" s="64"/>
      <c r="BL590" s="64"/>
      <c r="BM590" s="64"/>
      <c r="BN590" s="64"/>
      <c r="BO590" s="64"/>
      <c r="BP590" s="64"/>
    </row>
    <row r="591" ht="18.75" customHeight="1">
      <c r="H591" s="64"/>
      <c r="J591" s="64"/>
      <c r="K591" s="64"/>
      <c r="M591" s="64"/>
      <c r="N591" s="64"/>
      <c r="O591" s="64"/>
      <c r="P591" s="64"/>
      <c r="Q591" s="64"/>
      <c r="R591" s="64"/>
      <c r="S591" s="64"/>
      <c r="T591" s="64"/>
      <c r="U591" s="64"/>
      <c r="V591" s="64"/>
      <c r="W591" s="64"/>
      <c r="BF591" s="64"/>
      <c r="BG591" s="64"/>
      <c r="BH591" s="64"/>
      <c r="BI591" s="64"/>
      <c r="BJ591" s="64"/>
      <c r="BK591" s="64"/>
      <c r="BL591" s="64"/>
      <c r="BM591" s="64"/>
      <c r="BN591" s="64"/>
      <c r="BO591" s="64"/>
      <c r="BP591" s="64"/>
    </row>
    <row r="592" ht="18.75" customHeight="1">
      <c r="H592" s="64"/>
      <c r="J592" s="64"/>
      <c r="K592" s="64"/>
      <c r="M592" s="64"/>
      <c r="N592" s="64"/>
      <c r="O592" s="64"/>
      <c r="P592" s="64"/>
      <c r="Q592" s="64"/>
      <c r="R592" s="64"/>
      <c r="S592" s="64"/>
      <c r="T592" s="64"/>
      <c r="U592" s="64"/>
      <c r="V592" s="64"/>
      <c r="W592" s="64"/>
      <c r="BF592" s="64"/>
      <c r="BG592" s="64"/>
      <c r="BH592" s="64"/>
      <c r="BI592" s="64"/>
      <c r="BJ592" s="64"/>
      <c r="BK592" s="64"/>
      <c r="BL592" s="64"/>
      <c r="BM592" s="64"/>
      <c r="BN592" s="64"/>
      <c r="BO592" s="64"/>
      <c r="BP592" s="64"/>
    </row>
    <row r="593" ht="18.75" customHeight="1">
      <c r="H593" s="64"/>
      <c r="J593" s="64"/>
      <c r="K593" s="64"/>
      <c r="M593" s="64"/>
      <c r="N593" s="64"/>
      <c r="O593" s="64"/>
      <c r="P593" s="64"/>
      <c r="Q593" s="64"/>
      <c r="R593" s="64"/>
      <c r="S593" s="64"/>
      <c r="T593" s="64"/>
      <c r="U593" s="64"/>
      <c r="V593" s="64"/>
      <c r="W593" s="64"/>
      <c r="BF593" s="64"/>
      <c r="BG593" s="64"/>
      <c r="BH593" s="64"/>
      <c r="BI593" s="64"/>
      <c r="BJ593" s="64"/>
      <c r="BK593" s="64"/>
      <c r="BL593" s="64"/>
      <c r="BM593" s="64"/>
      <c r="BN593" s="64"/>
      <c r="BO593" s="64"/>
      <c r="BP593" s="64"/>
    </row>
    <row r="594" ht="18.75" customHeight="1">
      <c r="H594" s="64"/>
      <c r="J594" s="64"/>
      <c r="K594" s="64"/>
      <c r="M594" s="64"/>
      <c r="N594" s="64"/>
      <c r="O594" s="64"/>
      <c r="P594" s="64"/>
      <c r="Q594" s="64"/>
      <c r="R594" s="64"/>
      <c r="S594" s="64"/>
      <c r="T594" s="64"/>
      <c r="U594" s="64"/>
      <c r="V594" s="64"/>
      <c r="W594" s="64"/>
      <c r="BF594" s="64"/>
      <c r="BG594" s="64"/>
      <c r="BH594" s="64"/>
      <c r="BI594" s="64"/>
      <c r="BJ594" s="64"/>
      <c r="BK594" s="64"/>
      <c r="BL594" s="64"/>
      <c r="BM594" s="64"/>
      <c r="BN594" s="64"/>
      <c r="BO594" s="64"/>
      <c r="BP594" s="64"/>
    </row>
    <row r="595" ht="18.75" customHeight="1">
      <c r="H595" s="64"/>
      <c r="J595" s="64"/>
      <c r="K595" s="64"/>
      <c r="M595" s="64"/>
      <c r="N595" s="64"/>
      <c r="O595" s="64"/>
      <c r="P595" s="64"/>
      <c r="Q595" s="64"/>
      <c r="R595" s="64"/>
      <c r="S595" s="64"/>
      <c r="T595" s="64"/>
      <c r="U595" s="64"/>
      <c r="V595" s="64"/>
      <c r="W595" s="64"/>
      <c r="BF595" s="64"/>
      <c r="BG595" s="64"/>
      <c r="BH595" s="64"/>
      <c r="BI595" s="64"/>
      <c r="BJ595" s="64"/>
      <c r="BK595" s="64"/>
      <c r="BL595" s="64"/>
      <c r="BM595" s="64"/>
      <c r="BN595" s="64"/>
      <c r="BO595" s="64"/>
      <c r="BP595" s="64"/>
    </row>
    <row r="596" ht="18.75" customHeight="1">
      <c r="H596" s="64"/>
      <c r="J596" s="64"/>
      <c r="K596" s="64"/>
      <c r="M596" s="64"/>
      <c r="N596" s="64"/>
      <c r="O596" s="64"/>
      <c r="P596" s="64"/>
      <c r="Q596" s="64"/>
      <c r="R596" s="64"/>
      <c r="S596" s="64"/>
      <c r="T596" s="64"/>
      <c r="U596" s="64"/>
      <c r="V596" s="64"/>
      <c r="W596" s="64"/>
      <c r="BF596" s="64"/>
      <c r="BG596" s="64"/>
      <c r="BH596" s="64"/>
      <c r="BI596" s="64"/>
      <c r="BJ596" s="64"/>
      <c r="BK596" s="64"/>
      <c r="BL596" s="64"/>
      <c r="BM596" s="64"/>
      <c r="BN596" s="64"/>
      <c r="BO596" s="64"/>
      <c r="BP596" s="64"/>
    </row>
    <row r="597" ht="18.75" customHeight="1">
      <c r="H597" s="64"/>
      <c r="J597" s="64"/>
      <c r="K597" s="64"/>
      <c r="M597" s="64"/>
      <c r="N597" s="64"/>
      <c r="O597" s="64"/>
      <c r="P597" s="64"/>
      <c r="Q597" s="64"/>
      <c r="R597" s="64"/>
      <c r="S597" s="64"/>
      <c r="T597" s="64"/>
      <c r="U597" s="64"/>
      <c r="V597" s="64"/>
      <c r="W597" s="64"/>
      <c r="BF597" s="64"/>
      <c r="BG597" s="64"/>
      <c r="BH597" s="64"/>
      <c r="BI597" s="64"/>
      <c r="BJ597" s="64"/>
      <c r="BK597" s="64"/>
      <c r="BL597" s="64"/>
      <c r="BM597" s="64"/>
      <c r="BN597" s="64"/>
      <c r="BO597" s="64"/>
      <c r="BP597" s="64"/>
    </row>
    <row r="598" ht="18.75" customHeight="1">
      <c r="H598" s="64"/>
      <c r="J598" s="64"/>
      <c r="K598" s="64"/>
      <c r="M598" s="64"/>
      <c r="N598" s="64"/>
      <c r="O598" s="64"/>
      <c r="P598" s="64"/>
      <c r="Q598" s="64"/>
      <c r="R598" s="64"/>
      <c r="S598" s="64"/>
      <c r="T598" s="64"/>
      <c r="U598" s="64"/>
      <c r="V598" s="64"/>
      <c r="W598" s="64"/>
      <c r="BF598" s="64"/>
      <c r="BG598" s="64"/>
      <c r="BH598" s="64"/>
      <c r="BI598" s="64"/>
      <c r="BJ598" s="64"/>
      <c r="BK598" s="64"/>
      <c r="BL598" s="64"/>
      <c r="BM598" s="64"/>
      <c r="BN598" s="64"/>
      <c r="BO598" s="64"/>
      <c r="BP598" s="64"/>
    </row>
    <row r="599" ht="18.75" customHeight="1">
      <c r="H599" s="64"/>
      <c r="J599" s="64"/>
      <c r="K599" s="64"/>
      <c r="M599" s="64"/>
      <c r="N599" s="64"/>
      <c r="O599" s="64"/>
      <c r="P599" s="64"/>
      <c r="Q599" s="64"/>
      <c r="R599" s="64"/>
      <c r="S599" s="64"/>
      <c r="T599" s="64"/>
      <c r="U599" s="64"/>
      <c r="V599" s="64"/>
      <c r="W599" s="64"/>
      <c r="BF599" s="64"/>
      <c r="BG599" s="64"/>
      <c r="BH599" s="64"/>
      <c r="BI599" s="64"/>
      <c r="BJ599" s="64"/>
      <c r="BK599" s="64"/>
      <c r="BL599" s="64"/>
      <c r="BM599" s="64"/>
      <c r="BN599" s="64"/>
      <c r="BO599" s="64"/>
      <c r="BP599" s="64"/>
    </row>
    <row r="600" ht="18.75" customHeight="1">
      <c r="H600" s="64"/>
      <c r="J600" s="64"/>
      <c r="K600" s="64"/>
      <c r="M600" s="64"/>
      <c r="N600" s="64"/>
      <c r="O600" s="64"/>
      <c r="P600" s="64"/>
      <c r="Q600" s="64"/>
      <c r="R600" s="64"/>
      <c r="S600" s="64"/>
      <c r="T600" s="64"/>
      <c r="U600" s="64"/>
      <c r="V600" s="64"/>
      <c r="W600" s="64"/>
      <c r="BF600" s="64"/>
      <c r="BG600" s="64"/>
      <c r="BH600" s="64"/>
      <c r="BI600" s="64"/>
      <c r="BJ600" s="64"/>
      <c r="BK600" s="64"/>
      <c r="BL600" s="64"/>
      <c r="BM600" s="64"/>
      <c r="BN600" s="64"/>
      <c r="BO600" s="64"/>
      <c r="BP600" s="64"/>
    </row>
    <row r="601" ht="18.75" customHeight="1">
      <c r="H601" s="64"/>
      <c r="J601" s="64"/>
      <c r="K601" s="64"/>
      <c r="M601" s="64"/>
      <c r="N601" s="64"/>
      <c r="O601" s="64"/>
      <c r="P601" s="64"/>
      <c r="Q601" s="64"/>
      <c r="R601" s="64"/>
      <c r="S601" s="64"/>
      <c r="T601" s="64"/>
      <c r="U601" s="64"/>
      <c r="V601" s="64"/>
      <c r="W601" s="64"/>
      <c r="BF601" s="64"/>
      <c r="BG601" s="64"/>
      <c r="BH601" s="64"/>
      <c r="BI601" s="64"/>
      <c r="BJ601" s="64"/>
      <c r="BK601" s="64"/>
      <c r="BL601" s="64"/>
      <c r="BM601" s="64"/>
      <c r="BN601" s="64"/>
      <c r="BO601" s="64"/>
      <c r="BP601" s="64"/>
    </row>
    <row r="602" ht="18.75" customHeight="1">
      <c r="H602" s="64"/>
      <c r="J602" s="64"/>
      <c r="K602" s="64"/>
      <c r="M602" s="64"/>
      <c r="N602" s="64"/>
      <c r="O602" s="64"/>
      <c r="P602" s="64"/>
      <c r="Q602" s="64"/>
      <c r="R602" s="64"/>
      <c r="S602" s="64"/>
      <c r="T602" s="64"/>
      <c r="U602" s="64"/>
      <c r="V602" s="64"/>
      <c r="W602" s="64"/>
      <c r="BF602" s="64"/>
      <c r="BG602" s="64"/>
      <c r="BH602" s="64"/>
      <c r="BI602" s="64"/>
      <c r="BJ602" s="64"/>
      <c r="BK602" s="64"/>
      <c r="BL602" s="64"/>
      <c r="BM602" s="64"/>
      <c r="BN602" s="64"/>
      <c r="BO602" s="64"/>
      <c r="BP602" s="64"/>
    </row>
    <row r="603" ht="18.75" customHeight="1">
      <c r="H603" s="64"/>
      <c r="J603" s="64"/>
      <c r="K603" s="64"/>
      <c r="M603" s="64"/>
      <c r="N603" s="64"/>
      <c r="O603" s="64"/>
      <c r="P603" s="64"/>
      <c r="Q603" s="64"/>
      <c r="R603" s="64"/>
      <c r="S603" s="64"/>
      <c r="T603" s="64"/>
      <c r="U603" s="64"/>
      <c r="V603" s="64"/>
      <c r="W603" s="64"/>
      <c r="BF603" s="64"/>
      <c r="BG603" s="64"/>
      <c r="BH603" s="64"/>
      <c r="BI603" s="64"/>
      <c r="BJ603" s="64"/>
      <c r="BK603" s="64"/>
      <c r="BL603" s="64"/>
      <c r="BM603" s="64"/>
      <c r="BN603" s="64"/>
      <c r="BO603" s="64"/>
      <c r="BP603" s="64"/>
    </row>
    <row r="604" ht="18.75" customHeight="1">
      <c r="H604" s="64"/>
      <c r="J604" s="64"/>
      <c r="K604" s="64"/>
      <c r="M604" s="64"/>
      <c r="N604" s="64"/>
      <c r="O604" s="64"/>
      <c r="P604" s="64"/>
      <c r="Q604" s="64"/>
      <c r="R604" s="64"/>
      <c r="S604" s="64"/>
      <c r="T604" s="64"/>
      <c r="U604" s="64"/>
      <c r="V604" s="64"/>
      <c r="W604" s="64"/>
      <c r="BF604" s="64"/>
      <c r="BG604" s="64"/>
      <c r="BH604" s="64"/>
      <c r="BI604" s="64"/>
      <c r="BJ604" s="64"/>
      <c r="BK604" s="64"/>
      <c r="BL604" s="64"/>
      <c r="BM604" s="64"/>
      <c r="BN604" s="64"/>
      <c r="BO604" s="64"/>
      <c r="BP604" s="64"/>
    </row>
    <row r="605" ht="18.75" customHeight="1">
      <c r="H605" s="64"/>
      <c r="J605" s="64"/>
      <c r="K605" s="64"/>
      <c r="M605" s="64"/>
      <c r="N605" s="64"/>
      <c r="O605" s="64"/>
      <c r="P605" s="64"/>
      <c r="Q605" s="64"/>
      <c r="R605" s="64"/>
      <c r="S605" s="64"/>
      <c r="T605" s="64"/>
      <c r="U605" s="64"/>
      <c r="V605" s="64"/>
      <c r="W605" s="64"/>
      <c r="BF605" s="64"/>
      <c r="BG605" s="64"/>
      <c r="BH605" s="64"/>
      <c r="BI605" s="64"/>
      <c r="BJ605" s="64"/>
      <c r="BK605" s="64"/>
      <c r="BL605" s="64"/>
      <c r="BM605" s="64"/>
      <c r="BN605" s="64"/>
      <c r="BO605" s="64"/>
      <c r="BP605" s="64"/>
    </row>
    <row r="606" ht="18.75" customHeight="1">
      <c r="H606" s="64"/>
      <c r="J606" s="64"/>
      <c r="K606" s="64"/>
      <c r="M606" s="64"/>
      <c r="N606" s="64"/>
      <c r="O606" s="64"/>
      <c r="P606" s="64"/>
      <c r="Q606" s="64"/>
      <c r="R606" s="64"/>
      <c r="S606" s="64"/>
      <c r="T606" s="64"/>
      <c r="U606" s="64"/>
      <c r="V606" s="64"/>
      <c r="W606" s="64"/>
      <c r="BF606" s="64"/>
      <c r="BG606" s="64"/>
      <c r="BH606" s="64"/>
      <c r="BI606" s="64"/>
      <c r="BJ606" s="64"/>
      <c r="BK606" s="64"/>
      <c r="BL606" s="64"/>
      <c r="BM606" s="64"/>
      <c r="BN606" s="64"/>
      <c r="BO606" s="64"/>
      <c r="BP606" s="64"/>
    </row>
    <row r="607" ht="18.75" customHeight="1">
      <c r="H607" s="64"/>
      <c r="J607" s="64"/>
      <c r="K607" s="64"/>
      <c r="M607" s="64"/>
      <c r="N607" s="64"/>
      <c r="O607" s="64"/>
      <c r="P607" s="64"/>
      <c r="Q607" s="64"/>
      <c r="R607" s="64"/>
      <c r="S607" s="64"/>
      <c r="T607" s="64"/>
      <c r="U607" s="64"/>
      <c r="V607" s="64"/>
      <c r="W607" s="64"/>
      <c r="BF607" s="64"/>
      <c r="BG607" s="64"/>
      <c r="BH607" s="64"/>
      <c r="BI607" s="64"/>
      <c r="BJ607" s="64"/>
      <c r="BK607" s="64"/>
      <c r="BL607" s="64"/>
      <c r="BM607" s="64"/>
      <c r="BN607" s="64"/>
      <c r="BO607" s="64"/>
      <c r="BP607" s="64"/>
    </row>
    <row r="608" ht="18.75" customHeight="1">
      <c r="H608" s="64"/>
      <c r="J608" s="64"/>
      <c r="K608" s="64"/>
      <c r="M608" s="64"/>
      <c r="N608" s="64"/>
      <c r="O608" s="64"/>
      <c r="P608" s="64"/>
      <c r="Q608" s="64"/>
      <c r="R608" s="64"/>
      <c r="S608" s="64"/>
      <c r="T608" s="64"/>
      <c r="U608" s="64"/>
      <c r="V608" s="64"/>
      <c r="W608" s="64"/>
      <c r="BF608" s="64"/>
      <c r="BG608" s="64"/>
      <c r="BH608" s="64"/>
      <c r="BI608" s="64"/>
      <c r="BJ608" s="64"/>
      <c r="BK608" s="64"/>
      <c r="BL608" s="64"/>
      <c r="BM608" s="64"/>
      <c r="BN608" s="64"/>
      <c r="BO608" s="64"/>
      <c r="BP608" s="64"/>
    </row>
    <row r="609" ht="18.75" customHeight="1">
      <c r="H609" s="64"/>
      <c r="J609" s="64"/>
      <c r="K609" s="64"/>
      <c r="M609" s="64"/>
      <c r="N609" s="64"/>
      <c r="O609" s="64"/>
      <c r="P609" s="64"/>
      <c r="Q609" s="64"/>
      <c r="R609" s="64"/>
      <c r="S609" s="64"/>
      <c r="T609" s="64"/>
      <c r="U609" s="64"/>
      <c r="V609" s="64"/>
      <c r="W609" s="64"/>
      <c r="BF609" s="64"/>
      <c r="BG609" s="64"/>
      <c r="BH609" s="64"/>
      <c r="BI609" s="64"/>
      <c r="BJ609" s="64"/>
      <c r="BK609" s="64"/>
      <c r="BL609" s="64"/>
      <c r="BM609" s="64"/>
      <c r="BN609" s="64"/>
      <c r="BO609" s="64"/>
      <c r="BP609" s="64"/>
    </row>
    <row r="610" ht="18.75" customHeight="1">
      <c r="H610" s="64"/>
      <c r="J610" s="64"/>
      <c r="K610" s="64"/>
      <c r="M610" s="64"/>
      <c r="N610" s="64"/>
      <c r="O610" s="64"/>
      <c r="P610" s="64"/>
      <c r="Q610" s="64"/>
      <c r="R610" s="64"/>
      <c r="S610" s="64"/>
      <c r="T610" s="64"/>
      <c r="U610" s="64"/>
      <c r="V610" s="64"/>
      <c r="W610" s="64"/>
      <c r="BF610" s="64"/>
      <c r="BG610" s="64"/>
      <c r="BH610" s="64"/>
      <c r="BI610" s="64"/>
      <c r="BJ610" s="64"/>
      <c r="BK610" s="64"/>
      <c r="BL610" s="64"/>
      <c r="BM610" s="64"/>
      <c r="BN610" s="64"/>
      <c r="BO610" s="64"/>
      <c r="BP610" s="64"/>
    </row>
    <row r="611" ht="18.75" customHeight="1">
      <c r="H611" s="64"/>
      <c r="J611" s="64"/>
      <c r="K611" s="64"/>
      <c r="M611" s="64"/>
      <c r="N611" s="64"/>
      <c r="O611" s="64"/>
      <c r="P611" s="64"/>
      <c r="Q611" s="64"/>
      <c r="R611" s="64"/>
      <c r="S611" s="64"/>
      <c r="T611" s="64"/>
      <c r="U611" s="64"/>
      <c r="V611" s="64"/>
      <c r="W611" s="64"/>
      <c r="BF611" s="64"/>
      <c r="BG611" s="64"/>
      <c r="BH611" s="64"/>
      <c r="BI611" s="64"/>
      <c r="BJ611" s="64"/>
      <c r="BK611" s="64"/>
      <c r="BL611" s="64"/>
      <c r="BM611" s="64"/>
      <c r="BN611" s="64"/>
      <c r="BO611" s="64"/>
      <c r="BP611" s="64"/>
    </row>
    <row r="612" ht="18.75" customHeight="1">
      <c r="H612" s="64"/>
      <c r="J612" s="64"/>
      <c r="K612" s="64"/>
      <c r="M612" s="64"/>
      <c r="N612" s="64"/>
      <c r="O612" s="64"/>
      <c r="P612" s="64"/>
      <c r="Q612" s="64"/>
      <c r="R612" s="64"/>
      <c r="S612" s="64"/>
      <c r="T612" s="64"/>
      <c r="U612" s="64"/>
      <c r="V612" s="64"/>
      <c r="W612" s="64"/>
      <c r="BF612" s="64"/>
      <c r="BG612" s="64"/>
      <c r="BH612" s="64"/>
      <c r="BI612" s="64"/>
      <c r="BJ612" s="64"/>
      <c r="BK612" s="64"/>
      <c r="BL612" s="64"/>
      <c r="BM612" s="64"/>
      <c r="BN612" s="64"/>
      <c r="BO612" s="64"/>
      <c r="BP612" s="64"/>
    </row>
    <row r="613" ht="18.75" customHeight="1">
      <c r="H613" s="64"/>
      <c r="J613" s="64"/>
      <c r="K613" s="64"/>
      <c r="M613" s="64"/>
      <c r="N613" s="64"/>
      <c r="O613" s="64"/>
      <c r="P613" s="64"/>
      <c r="Q613" s="64"/>
      <c r="R613" s="64"/>
      <c r="S613" s="64"/>
      <c r="T613" s="64"/>
      <c r="U613" s="64"/>
      <c r="V613" s="64"/>
      <c r="W613" s="64"/>
      <c r="BF613" s="64"/>
      <c r="BG613" s="64"/>
      <c r="BH613" s="64"/>
      <c r="BI613" s="64"/>
      <c r="BJ613" s="64"/>
      <c r="BK613" s="64"/>
      <c r="BL613" s="64"/>
      <c r="BM613" s="64"/>
      <c r="BN613" s="64"/>
      <c r="BO613" s="64"/>
      <c r="BP613" s="64"/>
    </row>
    <row r="614" ht="18.75" customHeight="1">
      <c r="H614" s="64"/>
      <c r="J614" s="64"/>
      <c r="K614" s="64"/>
      <c r="M614" s="64"/>
      <c r="N614" s="64"/>
      <c r="O614" s="64"/>
      <c r="P614" s="64"/>
      <c r="Q614" s="64"/>
      <c r="R614" s="64"/>
      <c r="S614" s="64"/>
      <c r="T614" s="64"/>
      <c r="U614" s="64"/>
      <c r="V614" s="64"/>
      <c r="W614" s="64"/>
      <c r="BF614" s="64"/>
      <c r="BG614" s="64"/>
      <c r="BH614" s="64"/>
      <c r="BI614" s="64"/>
      <c r="BJ614" s="64"/>
      <c r="BK614" s="64"/>
      <c r="BL614" s="64"/>
      <c r="BM614" s="64"/>
      <c r="BN614" s="64"/>
      <c r="BO614" s="64"/>
      <c r="BP614" s="64"/>
    </row>
    <row r="615" ht="18.75" customHeight="1">
      <c r="H615" s="64"/>
      <c r="J615" s="64"/>
      <c r="K615" s="64"/>
      <c r="M615" s="64"/>
      <c r="N615" s="64"/>
      <c r="O615" s="64"/>
      <c r="P615" s="64"/>
      <c r="Q615" s="64"/>
      <c r="R615" s="64"/>
      <c r="S615" s="64"/>
      <c r="T615" s="64"/>
      <c r="U615" s="64"/>
      <c r="V615" s="64"/>
      <c r="W615" s="64"/>
      <c r="BF615" s="64"/>
      <c r="BG615" s="64"/>
      <c r="BH615" s="64"/>
      <c r="BI615" s="64"/>
      <c r="BJ615" s="64"/>
      <c r="BK615" s="64"/>
      <c r="BL615" s="64"/>
      <c r="BM615" s="64"/>
      <c r="BN615" s="64"/>
      <c r="BO615" s="64"/>
      <c r="BP615" s="64"/>
    </row>
    <row r="616" ht="18.75" customHeight="1">
      <c r="H616" s="64"/>
      <c r="J616" s="64"/>
      <c r="K616" s="64"/>
      <c r="M616" s="64"/>
      <c r="N616" s="64"/>
      <c r="O616" s="64"/>
      <c r="P616" s="64"/>
      <c r="Q616" s="64"/>
      <c r="R616" s="64"/>
      <c r="S616" s="64"/>
      <c r="T616" s="64"/>
      <c r="U616" s="64"/>
      <c r="V616" s="64"/>
      <c r="W616" s="64"/>
      <c r="BF616" s="64"/>
      <c r="BG616" s="64"/>
      <c r="BH616" s="64"/>
      <c r="BI616" s="64"/>
      <c r="BJ616" s="64"/>
      <c r="BK616" s="64"/>
      <c r="BL616" s="64"/>
      <c r="BM616" s="64"/>
      <c r="BN616" s="64"/>
      <c r="BO616" s="64"/>
      <c r="BP616" s="64"/>
    </row>
    <row r="617" ht="18.75" customHeight="1">
      <c r="H617" s="64"/>
      <c r="J617" s="64"/>
      <c r="K617" s="64"/>
      <c r="M617" s="64"/>
      <c r="N617" s="64"/>
      <c r="O617" s="64"/>
      <c r="P617" s="64"/>
      <c r="Q617" s="64"/>
      <c r="R617" s="64"/>
      <c r="S617" s="64"/>
      <c r="T617" s="64"/>
      <c r="U617" s="64"/>
      <c r="V617" s="64"/>
      <c r="W617" s="64"/>
      <c r="BF617" s="64"/>
      <c r="BG617" s="64"/>
      <c r="BH617" s="64"/>
      <c r="BI617" s="64"/>
      <c r="BJ617" s="64"/>
      <c r="BK617" s="64"/>
      <c r="BL617" s="64"/>
      <c r="BM617" s="64"/>
      <c r="BN617" s="64"/>
      <c r="BO617" s="64"/>
      <c r="BP617" s="64"/>
    </row>
    <row r="618" ht="18.75" customHeight="1">
      <c r="H618" s="64"/>
      <c r="J618" s="64"/>
      <c r="K618" s="64"/>
      <c r="M618" s="64"/>
      <c r="N618" s="64"/>
      <c r="O618" s="64"/>
      <c r="P618" s="64"/>
      <c r="Q618" s="64"/>
      <c r="R618" s="64"/>
      <c r="S618" s="64"/>
      <c r="T618" s="64"/>
      <c r="U618" s="64"/>
      <c r="V618" s="64"/>
      <c r="W618" s="64"/>
      <c r="BF618" s="64"/>
      <c r="BG618" s="64"/>
      <c r="BH618" s="64"/>
      <c r="BI618" s="64"/>
      <c r="BJ618" s="64"/>
      <c r="BK618" s="64"/>
      <c r="BL618" s="64"/>
      <c r="BM618" s="64"/>
      <c r="BN618" s="64"/>
      <c r="BO618" s="64"/>
      <c r="BP618" s="64"/>
    </row>
    <row r="619" ht="18.75" customHeight="1">
      <c r="H619" s="64"/>
      <c r="J619" s="64"/>
      <c r="K619" s="64"/>
      <c r="M619" s="64"/>
      <c r="N619" s="64"/>
      <c r="O619" s="64"/>
      <c r="P619" s="64"/>
      <c r="Q619" s="64"/>
      <c r="R619" s="64"/>
      <c r="S619" s="64"/>
      <c r="T619" s="64"/>
      <c r="U619" s="64"/>
      <c r="V619" s="64"/>
      <c r="W619" s="64"/>
      <c r="BF619" s="64"/>
      <c r="BG619" s="64"/>
      <c r="BH619" s="64"/>
      <c r="BI619" s="64"/>
      <c r="BJ619" s="64"/>
      <c r="BK619" s="64"/>
      <c r="BL619" s="64"/>
      <c r="BM619" s="64"/>
      <c r="BN619" s="64"/>
      <c r="BO619" s="64"/>
      <c r="BP619" s="64"/>
    </row>
    <row r="620" ht="18.75" customHeight="1">
      <c r="H620" s="64"/>
      <c r="J620" s="64"/>
      <c r="K620" s="64"/>
      <c r="M620" s="64"/>
      <c r="N620" s="64"/>
      <c r="O620" s="64"/>
      <c r="P620" s="64"/>
      <c r="Q620" s="64"/>
      <c r="R620" s="64"/>
      <c r="S620" s="64"/>
      <c r="T620" s="64"/>
      <c r="U620" s="64"/>
      <c r="V620" s="64"/>
      <c r="W620" s="64"/>
      <c r="BF620" s="64"/>
      <c r="BG620" s="64"/>
      <c r="BH620" s="64"/>
      <c r="BI620" s="64"/>
      <c r="BJ620" s="64"/>
      <c r="BK620" s="64"/>
      <c r="BL620" s="64"/>
      <c r="BM620" s="64"/>
      <c r="BN620" s="64"/>
      <c r="BO620" s="64"/>
      <c r="BP620" s="64"/>
    </row>
    <row r="621" ht="18.75" customHeight="1">
      <c r="H621" s="64"/>
      <c r="J621" s="64"/>
      <c r="K621" s="64"/>
      <c r="M621" s="64"/>
      <c r="N621" s="64"/>
      <c r="O621" s="64"/>
      <c r="P621" s="64"/>
      <c r="Q621" s="64"/>
      <c r="R621" s="64"/>
      <c r="S621" s="64"/>
      <c r="T621" s="64"/>
      <c r="U621" s="64"/>
      <c r="V621" s="64"/>
      <c r="W621" s="64"/>
      <c r="BF621" s="64"/>
      <c r="BG621" s="64"/>
      <c r="BH621" s="64"/>
      <c r="BI621" s="64"/>
      <c r="BJ621" s="64"/>
      <c r="BK621" s="64"/>
      <c r="BL621" s="64"/>
      <c r="BM621" s="64"/>
      <c r="BN621" s="64"/>
      <c r="BO621" s="64"/>
      <c r="BP621" s="64"/>
    </row>
    <row r="622" ht="18.75" customHeight="1">
      <c r="H622" s="64"/>
      <c r="J622" s="64"/>
      <c r="K622" s="64"/>
      <c r="M622" s="64"/>
      <c r="N622" s="64"/>
      <c r="O622" s="64"/>
      <c r="P622" s="64"/>
      <c r="Q622" s="64"/>
      <c r="R622" s="64"/>
      <c r="S622" s="64"/>
      <c r="T622" s="64"/>
      <c r="U622" s="64"/>
      <c r="V622" s="64"/>
      <c r="W622" s="64"/>
      <c r="BF622" s="64"/>
      <c r="BG622" s="64"/>
      <c r="BH622" s="64"/>
      <c r="BI622" s="64"/>
      <c r="BJ622" s="64"/>
      <c r="BK622" s="64"/>
      <c r="BL622" s="64"/>
      <c r="BM622" s="64"/>
      <c r="BN622" s="64"/>
      <c r="BO622" s="64"/>
      <c r="BP622" s="64"/>
    </row>
    <row r="623" ht="18.75" customHeight="1">
      <c r="H623" s="64"/>
      <c r="J623" s="64"/>
      <c r="K623" s="64"/>
      <c r="M623" s="64"/>
      <c r="N623" s="64"/>
      <c r="O623" s="64"/>
      <c r="P623" s="64"/>
      <c r="Q623" s="64"/>
      <c r="R623" s="64"/>
      <c r="S623" s="64"/>
      <c r="T623" s="64"/>
      <c r="U623" s="64"/>
      <c r="V623" s="64"/>
      <c r="W623" s="64"/>
      <c r="BF623" s="64"/>
      <c r="BG623" s="64"/>
      <c r="BH623" s="64"/>
      <c r="BI623" s="64"/>
      <c r="BJ623" s="64"/>
      <c r="BK623" s="64"/>
      <c r="BL623" s="64"/>
      <c r="BM623" s="64"/>
      <c r="BN623" s="64"/>
      <c r="BO623" s="64"/>
      <c r="BP623" s="64"/>
    </row>
    <row r="624" ht="18.75" customHeight="1">
      <c r="H624" s="64"/>
      <c r="J624" s="64"/>
      <c r="K624" s="64"/>
      <c r="M624" s="64"/>
      <c r="N624" s="64"/>
      <c r="O624" s="64"/>
      <c r="P624" s="64"/>
      <c r="Q624" s="64"/>
      <c r="R624" s="64"/>
      <c r="S624" s="64"/>
      <c r="T624" s="64"/>
      <c r="U624" s="64"/>
      <c r="V624" s="64"/>
      <c r="W624" s="64"/>
      <c r="BF624" s="64"/>
      <c r="BG624" s="64"/>
      <c r="BH624" s="64"/>
      <c r="BI624" s="64"/>
      <c r="BJ624" s="64"/>
      <c r="BK624" s="64"/>
      <c r="BL624" s="64"/>
      <c r="BM624" s="64"/>
      <c r="BN624" s="64"/>
      <c r="BO624" s="64"/>
      <c r="BP624" s="64"/>
    </row>
    <row r="625" ht="18.75" customHeight="1">
      <c r="H625" s="64"/>
      <c r="J625" s="64"/>
      <c r="K625" s="64"/>
      <c r="M625" s="64"/>
      <c r="N625" s="64"/>
      <c r="O625" s="64"/>
      <c r="P625" s="64"/>
      <c r="Q625" s="64"/>
      <c r="R625" s="64"/>
      <c r="S625" s="64"/>
      <c r="T625" s="64"/>
      <c r="U625" s="64"/>
      <c r="V625" s="64"/>
      <c r="W625" s="64"/>
      <c r="BF625" s="64"/>
      <c r="BG625" s="64"/>
      <c r="BH625" s="64"/>
      <c r="BI625" s="64"/>
      <c r="BJ625" s="64"/>
      <c r="BK625" s="64"/>
      <c r="BL625" s="64"/>
      <c r="BM625" s="64"/>
      <c r="BN625" s="64"/>
      <c r="BO625" s="64"/>
      <c r="BP625" s="64"/>
    </row>
    <row r="626" ht="18.75" customHeight="1">
      <c r="H626" s="64"/>
      <c r="J626" s="64"/>
      <c r="K626" s="64"/>
      <c r="M626" s="64"/>
      <c r="N626" s="64"/>
      <c r="O626" s="64"/>
      <c r="P626" s="64"/>
      <c r="Q626" s="64"/>
      <c r="R626" s="64"/>
      <c r="S626" s="64"/>
      <c r="T626" s="64"/>
      <c r="U626" s="64"/>
      <c r="V626" s="64"/>
      <c r="W626" s="64"/>
      <c r="BF626" s="64"/>
      <c r="BG626" s="64"/>
      <c r="BH626" s="64"/>
      <c r="BI626" s="64"/>
      <c r="BJ626" s="64"/>
      <c r="BK626" s="64"/>
      <c r="BL626" s="64"/>
      <c r="BM626" s="64"/>
      <c r="BN626" s="64"/>
      <c r="BO626" s="64"/>
      <c r="BP626" s="64"/>
    </row>
    <row r="627" ht="18.75" customHeight="1">
      <c r="H627" s="64"/>
      <c r="J627" s="64"/>
      <c r="K627" s="64"/>
      <c r="M627" s="64"/>
      <c r="N627" s="64"/>
      <c r="O627" s="64"/>
      <c r="P627" s="64"/>
      <c r="Q627" s="64"/>
      <c r="R627" s="64"/>
      <c r="S627" s="64"/>
      <c r="T627" s="64"/>
      <c r="U627" s="64"/>
      <c r="V627" s="64"/>
      <c r="W627" s="64"/>
      <c r="BF627" s="64"/>
      <c r="BG627" s="64"/>
      <c r="BH627" s="64"/>
      <c r="BI627" s="64"/>
      <c r="BJ627" s="64"/>
      <c r="BK627" s="64"/>
      <c r="BL627" s="64"/>
      <c r="BM627" s="64"/>
      <c r="BN627" s="64"/>
      <c r="BO627" s="64"/>
      <c r="BP627" s="64"/>
    </row>
    <row r="628" ht="18.75" customHeight="1">
      <c r="H628" s="64"/>
      <c r="J628" s="64"/>
      <c r="K628" s="64"/>
      <c r="M628" s="64"/>
      <c r="N628" s="64"/>
      <c r="O628" s="64"/>
      <c r="P628" s="64"/>
      <c r="Q628" s="64"/>
      <c r="R628" s="64"/>
      <c r="S628" s="64"/>
      <c r="T628" s="64"/>
      <c r="U628" s="64"/>
      <c r="V628" s="64"/>
      <c r="W628" s="64"/>
      <c r="BF628" s="64"/>
      <c r="BG628" s="64"/>
      <c r="BH628" s="64"/>
      <c r="BI628" s="64"/>
      <c r="BJ628" s="64"/>
      <c r="BK628" s="64"/>
      <c r="BL628" s="64"/>
      <c r="BM628" s="64"/>
      <c r="BN628" s="64"/>
      <c r="BO628" s="64"/>
      <c r="BP628" s="64"/>
    </row>
    <row r="629" ht="18.75" customHeight="1">
      <c r="H629" s="64"/>
      <c r="J629" s="64"/>
      <c r="K629" s="64"/>
      <c r="M629" s="64"/>
      <c r="N629" s="64"/>
      <c r="O629" s="64"/>
      <c r="P629" s="64"/>
      <c r="Q629" s="64"/>
      <c r="R629" s="64"/>
      <c r="S629" s="64"/>
      <c r="T629" s="64"/>
      <c r="U629" s="64"/>
      <c r="V629" s="64"/>
      <c r="W629" s="64"/>
      <c r="BF629" s="64"/>
      <c r="BG629" s="64"/>
      <c r="BH629" s="64"/>
      <c r="BI629" s="64"/>
      <c r="BJ629" s="64"/>
      <c r="BK629" s="64"/>
      <c r="BL629" s="64"/>
      <c r="BM629" s="64"/>
      <c r="BN629" s="64"/>
      <c r="BO629" s="64"/>
      <c r="BP629" s="64"/>
    </row>
    <row r="630" ht="18.75" customHeight="1">
      <c r="H630" s="64"/>
      <c r="J630" s="64"/>
      <c r="K630" s="64"/>
      <c r="M630" s="64"/>
      <c r="N630" s="64"/>
      <c r="O630" s="64"/>
      <c r="P630" s="64"/>
      <c r="Q630" s="64"/>
      <c r="R630" s="64"/>
      <c r="S630" s="64"/>
      <c r="T630" s="64"/>
      <c r="U630" s="64"/>
      <c r="V630" s="64"/>
      <c r="W630" s="64"/>
      <c r="BF630" s="64"/>
      <c r="BG630" s="64"/>
      <c r="BH630" s="64"/>
      <c r="BI630" s="64"/>
      <c r="BJ630" s="64"/>
      <c r="BK630" s="64"/>
      <c r="BL630" s="64"/>
      <c r="BM630" s="64"/>
      <c r="BN630" s="64"/>
      <c r="BO630" s="64"/>
      <c r="BP630" s="64"/>
    </row>
    <row r="631" ht="18.75" customHeight="1">
      <c r="H631" s="64"/>
      <c r="J631" s="64"/>
      <c r="K631" s="64"/>
      <c r="M631" s="64"/>
      <c r="N631" s="64"/>
      <c r="O631" s="64"/>
      <c r="P631" s="64"/>
      <c r="Q631" s="64"/>
      <c r="R631" s="64"/>
      <c r="S631" s="64"/>
      <c r="T631" s="64"/>
      <c r="U631" s="64"/>
      <c r="V631" s="64"/>
      <c r="W631" s="64"/>
      <c r="BF631" s="64"/>
      <c r="BG631" s="64"/>
      <c r="BH631" s="64"/>
      <c r="BI631" s="64"/>
      <c r="BJ631" s="64"/>
      <c r="BK631" s="64"/>
      <c r="BL631" s="64"/>
      <c r="BM631" s="64"/>
      <c r="BN631" s="64"/>
      <c r="BO631" s="64"/>
      <c r="BP631" s="64"/>
    </row>
    <row r="632" ht="18.75" customHeight="1">
      <c r="H632" s="64"/>
      <c r="J632" s="64"/>
      <c r="K632" s="64"/>
      <c r="M632" s="64"/>
      <c r="N632" s="64"/>
      <c r="O632" s="64"/>
      <c r="P632" s="64"/>
      <c r="Q632" s="64"/>
      <c r="R632" s="64"/>
      <c r="S632" s="64"/>
      <c r="T632" s="64"/>
      <c r="U632" s="64"/>
      <c r="V632" s="64"/>
      <c r="W632" s="64"/>
      <c r="BF632" s="64"/>
      <c r="BG632" s="64"/>
      <c r="BH632" s="64"/>
      <c r="BI632" s="64"/>
      <c r="BJ632" s="64"/>
      <c r="BK632" s="64"/>
      <c r="BL632" s="64"/>
      <c r="BM632" s="64"/>
      <c r="BN632" s="64"/>
      <c r="BO632" s="64"/>
      <c r="BP632" s="64"/>
    </row>
    <row r="633" ht="18.75" customHeight="1">
      <c r="H633" s="64"/>
      <c r="J633" s="64"/>
      <c r="K633" s="64"/>
      <c r="M633" s="64"/>
      <c r="N633" s="64"/>
      <c r="O633" s="64"/>
      <c r="P633" s="64"/>
      <c r="Q633" s="64"/>
      <c r="R633" s="64"/>
      <c r="S633" s="64"/>
      <c r="T633" s="64"/>
      <c r="U633" s="64"/>
      <c r="V633" s="64"/>
      <c r="W633" s="64"/>
      <c r="BF633" s="64"/>
      <c r="BG633" s="64"/>
      <c r="BH633" s="64"/>
      <c r="BI633" s="64"/>
      <c r="BJ633" s="64"/>
      <c r="BK633" s="64"/>
      <c r="BL633" s="64"/>
      <c r="BM633" s="64"/>
      <c r="BN633" s="64"/>
      <c r="BO633" s="64"/>
      <c r="BP633" s="64"/>
    </row>
    <row r="634" ht="18.75" customHeight="1">
      <c r="H634" s="64"/>
      <c r="J634" s="64"/>
      <c r="K634" s="64"/>
      <c r="M634" s="64"/>
      <c r="N634" s="64"/>
      <c r="O634" s="64"/>
      <c r="P634" s="64"/>
      <c r="Q634" s="64"/>
      <c r="R634" s="64"/>
      <c r="S634" s="64"/>
      <c r="T634" s="64"/>
      <c r="U634" s="64"/>
      <c r="V634" s="64"/>
      <c r="W634" s="64"/>
      <c r="BF634" s="64"/>
      <c r="BG634" s="64"/>
      <c r="BH634" s="64"/>
      <c r="BI634" s="64"/>
      <c r="BJ634" s="64"/>
      <c r="BK634" s="64"/>
      <c r="BL634" s="64"/>
      <c r="BM634" s="64"/>
      <c r="BN634" s="64"/>
      <c r="BO634" s="64"/>
      <c r="BP634" s="64"/>
    </row>
    <row r="635" ht="18.75" customHeight="1">
      <c r="H635" s="64"/>
      <c r="J635" s="64"/>
      <c r="K635" s="64"/>
      <c r="M635" s="64"/>
      <c r="N635" s="64"/>
      <c r="O635" s="64"/>
      <c r="P635" s="64"/>
      <c r="Q635" s="64"/>
      <c r="R635" s="64"/>
      <c r="S635" s="64"/>
      <c r="T635" s="64"/>
      <c r="U635" s="64"/>
      <c r="V635" s="64"/>
      <c r="W635" s="64"/>
      <c r="BF635" s="64"/>
      <c r="BG635" s="64"/>
      <c r="BH635" s="64"/>
      <c r="BI635" s="64"/>
      <c r="BJ635" s="64"/>
      <c r="BK635" s="64"/>
      <c r="BL635" s="64"/>
      <c r="BM635" s="64"/>
      <c r="BN635" s="64"/>
      <c r="BO635" s="64"/>
      <c r="BP635" s="64"/>
    </row>
    <row r="636" ht="18.75" customHeight="1">
      <c r="H636" s="64"/>
      <c r="J636" s="64"/>
      <c r="K636" s="64"/>
      <c r="M636" s="64"/>
      <c r="N636" s="64"/>
      <c r="O636" s="64"/>
      <c r="P636" s="64"/>
      <c r="Q636" s="64"/>
      <c r="R636" s="64"/>
      <c r="S636" s="64"/>
      <c r="T636" s="64"/>
      <c r="U636" s="64"/>
      <c r="V636" s="64"/>
      <c r="W636" s="64"/>
      <c r="BF636" s="64"/>
      <c r="BG636" s="64"/>
      <c r="BH636" s="64"/>
      <c r="BI636" s="64"/>
      <c r="BJ636" s="64"/>
      <c r="BK636" s="64"/>
      <c r="BL636" s="64"/>
      <c r="BM636" s="64"/>
      <c r="BN636" s="64"/>
      <c r="BO636" s="64"/>
      <c r="BP636" s="64"/>
    </row>
    <row r="637" ht="18.75" customHeight="1">
      <c r="H637" s="64"/>
      <c r="J637" s="64"/>
      <c r="K637" s="64"/>
      <c r="M637" s="64"/>
      <c r="N637" s="64"/>
      <c r="O637" s="64"/>
      <c r="P637" s="64"/>
      <c r="Q637" s="64"/>
      <c r="R637" s="64"/>
      <c r="S637" s="64"/>
      <c r="T637" s="64"/>
      <c r="U637" s="64"/>
      <c r="V637" s="64"/>
      <c r="W637" s="64"/>
      <c r="BF637" s="64"/>
      <c r="BG637" s="64"/>
      <c r="BH637" s="64"/>
      <c r="BI637" s="64"/>
      <c r="BJ637" s="64"/>
      <c r="BK637" s="64"/>
      <c r="BL637" s="64"/>
      <c r="BM637" s="64"/>
      <c r="BN637" s="64"/>
      <c r="BO637" s="64"/>
      <c r="BP637" s="64"/>
    </row>
    <row r="638" ht="18.75" customHeight="1">
      <c r="H638" s="64"/>
      <c r="J638" s="64"/>
      <c r="K638" s="64"/>
      <c r="M638" s="64"/>
      <c r="N638" s="64"/>
      <c r="O638" s="64"/>
      <c r="P638" s="64"/>
      <c r="Q638" s="64"/>
      <c r="R638" s="64"/>
      <c r="S638" s="64"/>
      <c r="T638" s="64"/>
      <c r="U638" s="64"/>
      <c r="V638" s="64"/>
      <c r="W638" s="64"/>
      <c r="BF638" s="64"/>
      <c r="BG638" s="64"/>
      <c r="BH638" s="64"/>
      <c r="BI638" s="64"/>
      <c r="BJ638" s="64"/>
      <c r="BK638" s="64"/>
      <c r="BL638" s="64"/>
      <c r="BM638" s="64"/>
      <c r="BN638" s="64"/>
      <c r="BO638" s="64"/>
      <c r="BP638" s="64"/>
    </row>
    <row r="639" ht="18.75" customHeight="1">
      <c r="H639" s="64"/>
      <c r="J639" s="64"/>
      <c r="K639" s="64"/>
      <c r="M639" s="64"/>
      <c r="N639" s="64"/>
      <c r="O639" s="64"/>
      <c r="P639" s="64"/>
      <c r="Q639" s="64"/>
      <c r="R639" s="64"/>
      <c r="S639" s="64"/>
      <c r="T639" s="64"/>
      <c r="U639" s="64"/>
      <c r="V639" s="64"/>
      <c r="W639" s="64"/>
      <c r="BF639" s="64"/>
      <c r="BG639" s="64"/>
      <c r="BH639" s="64"/>
      <c r="BI639" s="64"/>
      <c r="BJ639" s="64"/>
      <c r="BK639" s="64"/>
      <c r="BL639" s="64"/>
      <c r="BM639" s="64"/>
      <c r="BN639" s="64"/>
      <c r="BO639" s="64"/>
      <c r="BP639" s="64"/>
    </row>
    <row r="640" ht="18.75" customHeight="1">
      <c r="H640" s="64"/>
      <c r="J640" s="64"/>
      <c r="K640" s="64"/>
      <c r="M640" s="64"/>
      <c r="N640" s="64"/>
      <c r="O640" s="64"/>
      <c r="P640" s="64"/>
      <c r="Q640" s="64"/>
      <c r="R640" s="64"/>
      <c r="S640" s="64"/>
      <c r="T640" s="64"/>
      <c r="U640" s="64"/>
      <c r="V640" s="64"/>
      <c r="W640" s="64"/>
      <c r="BF640" s="64"/>
      <c r="BG640" s="64"/>
      <c r="BH640" s="64"/>
      <c r="BI640" s="64"/>
      <c r="BJ640" s="64"/>
      <c r="BK640" s="64"/>
      <c r="BL640" s="64"/>
      <c r="BM640" s="64"/>
      <c r="BN640" s="64"/>
      <c r="BO640" s="64"/>
      <c r="BP640" s="64"/>
    </row>
    <row r="641" ht="18.75" customHeight="1">
      <c r="H641" s="64"/>
      <c r="J641" s="64"/>
      <c r="K641" s="64"/>
      <c r="M641" s="64"/>
      <c r="N641" s="64"/>
      <c r="O641" s="64"/>
      <c r="P641" s="64"/>
      <c r="Q641" s="64"/>
      <c r="R641" s="64"/>
      <c r="S641" s="64"/>
      <c r="T641" s="64"/>
      <c r="U641" s="64"/>
      <c r="V641" s="64"/>
      <c r="W641" s="64"/>
      <c r="BF641" s="64"/>
      <c r="BG641" s="64"/>
      <c r="BH641" s="64"/>
      <c r="BI641" s="64"/>
      <c r="BJ641" s="64"/>
      <c r="BK641" s="64"/>
      <c r="BL641" s="64"/>
      <c r="BM641" s="64"/>
      <c r="BN641" s="64"/>
      <c r="BO641" s="64"/>
      <c r="BP641" s="64"/>
    </row>
    <row r="642" ht="18.75" customHeight="1">
      <c r="H642" s="64"/>
      <c r="J642" s="64"/>
      <c r="K642" s="64"/>
      <c r="M642" s="64"/>
      <c r="N642" s="64"/>
      <c r="O642" s="64"/>
      <c r="P642" s="64"/>
      <c r="Q642" s="64"/>
      <c r="R642" s="64"/>
      <c r="S642" s="64"/>
      <c r="T642" s="64"/>
      <c r="U642" s="64"/>
      <c r="V642" s="64"/>
      <c r="W642" s="64"/>
      <c r="BF642" s="64"/>
      <c r="BG642" s="64"/>
      <c r="BH642" s="64"/>
      <c r="BI642" s="64"/>
      <c r="BJ642" s="64"/>
      <c r="BK642" s="64"/>
      <c r="BL642" s="64"/>
      <c r="BM642" s="64"/>
      <c r="BN642" s="64"/>
      <c r="BO642" s="64"/>
      <c r="BP642" s="64"/>
    </row>
    <row r="643" ht="18.75" customHeight="1">
      <c r="H643" s="64"/>
      <c r="J643" s="64"/>
      <c r="K643" s="64"/>
      <c r="M643" s="64"/>
      <c r="N643" s="64"/>
      <c r="O643" s="64"/>
      <c r="P643" s="64"/>
      <c r="Q643" s="64"/>
      <c r="R643" s="64"/>
      <c r="S643" s="64"/>
      <c r="T643" s="64"/>
      <c r="U643" s="64"/>
      <c r="V643" s="64"/>
      <c r="W643" s="64"/>
      <c r="BF643" s="64"/>
      <c r="BG643" s="64"/>
      <c r="BH643" s="64"/>
      <c r="BI643" s="64"/>
      <c r="BJ643" s="64"/>
      <c r="BK643" s="64"/>
      <c r="BL643" s="64"/>
      <c r="BM643" s="64"/>
      <c r="BN643" s="64"/>
      <c r="BO643" s="64"/>
      <c r="BP643" s="64"/>
    </row>
    <row r="644" ht="18.75" customHeight="1">
      <c r="H644" s="64"/>
      <c r="J644" s="64"/>
      <c r="K644" s="64"/>
      <c r="M644" s="64"/>
      <c r="N644" s="64"/>
      <c r="O644" s="64"/>
      <c r="P644" s="64"/>
      <c r="Q644" s="64"/>
      <c r="R644" s="64"/>
      <c r="S644" s="64"/>
      <c r="T644" s="64"/>
      <c r="U644" s="64"/>
      <c r="V644" s="64"/>
      <c r="W644" s="64"/>
      <c r="BF644" s="64"/>
      <c r="BG644" s="64"/>
      <c r="BH644" s="64"/>
      <c r="BI644" s="64"/>
      <c r="BJ644" s="64"/>
      <c r="BK644" s="64"/>
      <c r="BL644" s="64"/>
      <c r="BM644" s="64"/>
      <c r="BN644" s="64"/>
      <c r="BO644" s="64"/>
      <c r="BP644" s="64"/>
    </row>
    <row r="645" ht="18.75" customHeight="1">
      <c r="H645" s="64"/>
      <c r="J645" s="64"/>
      <c r="K645" s="64"/>
      <c r="M645" s="64"/>
      <c r="N645" s="64"/>
      <c r="O645" s="64"/>
      <c r="P645" s="64"/>
      <c r="Q645" s="64"/>
      <c r="R645" s="64"/>
      <c r="S645" s="64"/>
      <c r="T645" s="64"/>
      <c r="U645" s="64"/>
      <c r="V645" s="64"/>
      <c r="W645" s="64"/>
      <c r="BF645" s="64"/>
      <c r="BG645" s="64"/>
      <c r="BH645" s="64"/>
      <c r="BI645" s="64"/>
      <c r="BJ645" s="64"/>
      <c r="BK645" s="64"/>
      <c r="BL645" s="64"/>
      <c r="BM645" s="64"/>
      <c r="BN645" s="64"/>
      <c r="BO645" s="64"/>
      <c r="BP645" s="64"/>
    </row>
    <row r="646" ht="18.75" customHeight="1">
      <c r="H646" s="64"/>
      <c r="J646" s="64"/>
      <c r="K646" s="64"/>
      <c r="M646" s="64"/>
      <c r="N646" s="64"/>
      <c r="O646" s="64"/>
      <c r="P646" s="64"/>
      <c r="Q646" s="64"/>
      <c r="R646" s="64"/>
      <c r="S646" s="64"/>
      <c r="T646" s="64"/>
      <c r="U646" s="64"/>
      <c r="V646" s="64"/>
      <c r="W646" s="64"/>
      <c r="BF646" s="64"/>
      <c r="BG646" s="64"/>
      <c r="BH646" s="64"/>
      <c r="BI646" s="64"/>
      <c r="BJ646" s="64"/>
      <c r="BK646" s="64"/>
      <c r="BL646" s="64"/>
      <c r="BM646" s="64"/>
      <c r="BN646" s="64"/>
      <c r="BO646" s="64"/>
      <c r="BP646" s="64"/>
    </row>
    <row r="647" ht="18.75" customHeight="1">
      <c r="H647" s="64"/>
      <c r="J647" s="64"/>
      <c r="K647" s="64"/>
      <c r="M647" s="64"/>
      <c r="N647" s="64"/>
      <c r="O647" s="64"/>
      <c r="P647" s="64"/>
      <c r="Q647" s="64"/>
      <c r="R647" s="64"/>
      <c r="S647" s="64"/>
      <c r="T647" s="64"/>
      <c r="U647" s="64"/>
      <c r="V647" s="64"/>
      <c r="W647" s="64"/>
      <c r="BF647" s="64"/>
      <c r="BG647" s="64"/>
      <c r="BH647" s="64"/>
      <c r="BI647" s="64"/>
      <c r="BJ647" s="64"/>
      <c r="BK647" s="64"/>
      <c r="BL647" s="64"/>
      <c r="BM647" s="64"/>
      <c r="BN647" s="64"/>
      <c r="BO647" s="64"/>
      <c r="BP647" s="64"/>
    </row>
    <row r="648" ht="18.75" customHeight="1">
      <c r="H648" s="64"/>
      <c r="J648" s="64"/>
      <c r="K648" s="64"/>
      <c r="M648" s="64"/>
      <c r="N648" s="64"/>
      <c r="O648" s="64"/>
      <c r="P648" s="64"/>
      <c r="Q648" s="64"/>
      <c r="R648" s="64"/>
      <c r="S648" s="64"/>
      <c r="T648" s="64"/>
      <c r="U648" s="64"/>
      <c r="V648" s="64"/>
      <c r="W648" s="64"/>
      <c r="BF648" s="64"/>
      <c r="BG648" s="64"/>
      <c r="BH648" s="64"/>
      <c r="BI648" s="64"/>
      <c r="BJ648" s="64"/>
      <c r="BK648" s="64"/>
      <c r="BL648" s="64"/>
      <c r="BM648" s="64"/>
      <c r="BN648" s="64"/>
      <c r="BO648" s="64"/>
      <c r="BP648" s="64"/>
    </row>
    <row r="649" ht="18.75" customHeight="1">
      <c r="H649" s="64"/>
      <c r="J649" s="64"/>
      <c r="K649" s="64"/>
      <c r="M649" s="64"/>
      <c r="N649" s="64"/>
      <c r="O649" s="64"/>
      <c r="P649" s="64"/>
      <c r="Q649" s="64"/>
      <c r="R649" s="64"/>
      <c r="S649" s="64"/>
      <c r="T649" s="64"/>
      <c r="U649" s="64"/>
      <c r="V649" s="64"/>
      <c r="W649" s="64"/>
      <c r="BF649" s="64"/>
      <c r="BG649" s="64"/>
      <c r="BH649" s="64"/>
      <c r="BI649" s="64"/>
      <c r="BJ649" s="64"/>
      <c r="BK649" s="64"/>
      <c r="BL649" s="64"/>
      <c r="BM649" s="64"/>
      <c r="BN649" s="64"/>
      <c r="BO649" s="64"/>
      <c r="BP649" s="64"/>
    </row>
    <row r="650" ht="18.75" customHeight="1">
      <c r="H650" s="64"/>
      <c r="J650" s="64"/>
      <c r="K650" s="64"/>
      <c r="M650" s="64"/>
      <c r="N650" s="64"/>
      <c r="O650" s="64"/>
      <c r="P650" s="64"/>
      <c r="Q650" s="64"/>
      <c r="R650" s="64"/>
      <c r="S650" s="64"/>
      <c r="T650" s="64"/>
      <c r="U650" s="64"/>
      <c r="V650" s="64"/>
      <c r="W650" s="64"/>
      <c r="BF650" s="64"/>
      <c r="BG650" s="64"/>
      <c r="BH650" s="64"/>
      <c r="BI650" s="64"/>
      <c r="BJ650" s="64"/>
      <c r="BK650" s="64"/>
      <c r="BL650" s="64"/>
      <c r="BM650" s="64"/>
      <c r="BN650" s="64"/>
      <c r="BO650" s="64"/>
      <c r="BP650" s="64"/>
    </row>
    <row r="651" ht="18.75" customHeight="1">
      <c r="H651" s="64"/>
      <c r="J651" s="64"/>
      <c r="K651" s="64"/>
      <c r="M651" s="64"/>
      <c r="N651" s="64"/>
      <c r="O651" s="64"/>
      <c r="P651" s="64"/>
      <c r="Q651" s="64"/>
      <c r="R651" s="64"/>
      <c r="S651" s="64"/>
      <c r="T651" s="64"/>
      <c r="U651" s="64"/>
      <c r="V651" s="64"/>
      <c r="W651" s="64"/>
      <c r="BF651" s="64"/>
      <c r="BG651" s="64"/>
      <c r="BH651" s="64"/>
      <c r="BI651" s="64"/>
      <c r="BJ651" s="64"/>
      <c r="BK651" s="64"/>
      <c r="BL651" s="64"/>
      <c r="BM651" s="64"/>
      <c r="BN651" s="64"/>
      <c r="BO651" s="64"/>
      <c r="BP651" s="64"/>
    </row>
    <row r="652" ht="18.75" customHeight="1">
      <c r="H652" s="64"/>
      <c r="J652" s="64"/>
      <c r="K652" s="64"/>
      <c r="M652" s="64"/>
      <c r="N652" s="64"/>
      <c r="O652" s="64"/>
      <c r="P652" s="64"/>
      <c r="Q652" s="64"/>
      <c r="R652" s="64"/>
      <c r="S652" s="64"/>
      <c r="T652" s="64"/>
      <c r="U652" s="64"/>
      <c r="V652" s="64"/>
      <c r="W652" s="64"/>
      <c r="BF652" s="64"/>
      <c r="BG652" s="64"/>
      <c r="BH652" s="64"/>
      <c r="BI652" s="64"/>
      <c r="BJ652" s="64"/>
      <c r="BK652" s="64"/>
      <c r="BL652" s="64"/>
      <c r="BM652" s="64"/>
      <c r="BN652" s="64"/>
      <c r="BO652" s="64"/>
      <c r="BP652" s="64"/>
    </row>
    <row r="653" ht="18.75" customHeight="1">
      <c r="H653" s="64"/>
      <c r="J653" s="64"/>
      <c r="K653" s="64"/>
      <c r="M653" s="64"/>
      <c r="N653" s="64"/>
      <c r="O653" s="64"/>
      <c r="P653" s="64"/>
      <c r="Q653" s="64"/>
      <c r="R653" s="64"/>
      <c r="S653" s="64"/>
      <c r="T653" s="64"/>
      <c r="U653" s="64"/>
      <c r="V653" s="64"/>
      <c r="W653" s="64"/>
      <c r="BF653" s="64"/>
      <c r="BG653" s="64"/>
      <c r="BH653" s="64"/>
      <c r="BI653" s="64"/>
      <c r="BJ653" s="64"/>
      <c r="BK653" s="64"/>
      <c r="BL653" s="64"/>
      <c r="BM653" s="64"/>
      <c r="BN653" s="64"/>
      <c r="BO653" s="64"/>
      <c r="BP653" s="64"/>
    </row>
    <row r="654" ht="18.75" customHeight="1">
      <c r="H654" s="64"/>
      <c r="J654" s="64"/>
      <c r="K654" s="64"/>
      <c r="M654" s="64"/>
      <c r="N654" s="64"/>
      <c r="O654" s="64"/>
      <c r="P654" s="64"/>
      <c r="Q654" s="64"/>
      <c r="R654" s="64"/>
      <c r="S654" s="64"/>
      <c r="T654" s="64"/>
      <c r="U654" s="64"/>
      <c r="V654" s="64"/>
      <c r="W654" s="64"/>
      <c r="BF654" s="64"/>
      <c r="BG654" s="64"/>
      <c r="BH654" s="64"/>
      <c r="BI654" s="64"/>
      <c r="BJ654" s="64"/>
      <c r="BK654" s="64"/>
      <c r="BL654" s="64"/>
      <c r="BM654" s="64"/>
      <c r="BN654" s="64"/>
      <c r="BO654" s="64"/>
      <c r="BP654" s="64"/>
    </row>
    <row r="655" ht="18.75" customHeight="1">
      <c r="H655" s="64"/>
      <c r="J655" s="64"/>
      <c r="K655" s="64"/>
      <c r="M655" s="64"/>
      <c r="N655" s="64"/>
      <c r="O655" s="64"/>
      <c r="P655" s="64"/>
      <c r="Q655" s="64"/>
      <c r="R655" s="64"/>
      <c r="S655" s="64"/>
      <c r="T655" s="64"/>
      <c r="U655" s="64"/>
      <c r="V655" s="64"/>
      <c r="W655" s="64"/>
      <c r="BF655" s="64"/>
      <c r="BG655" s="64"/>
      <c r="BH655" s="64"/>
      <c r="BI655" s="64"/>
      <c r="BJ655" s="64"/>
      <c r="BK655" s="64"/>
      <c r="BL655" s="64"/>
      <c r="BM655" s="64"/>
      <c r="BN655" s="64"/>
      <c r="BO655" s="64"/>
      <c r="BP655" s="64"/>
    </row>
    <row r="656" ht="18.75" customHeight="1">
      <c r="H656" s="64"/>
      <c r="J656" s="64"/>
      <c r="K656" s="64"/>
      <c r="M656" s="64"/>
      <c r="N656" s="64"/>
      <c r="O656" s="64"/>
      <c r="P656" s="64"/>
      <c r="Q656" s="64"/>
      <c r="R656" s="64"/>
      <c r="S656" s="64"/>
      <c r="T656" s="64"/>
      <c r="U656" s="64"/>
      <c r="V656" s="64"/>
      <c r="W656" s="64"/>
      <c r="BF656" s="64"/>
      <c r="BG656" s="64"/>
      <c r="BH656" s="64"/>
      <c r="BI656" s="64"/>
      <c r="BJ656" s="64"/>
      <c r="BK656" s="64"/>
      <c r="BL656" s="64"/>
      <c r="BM656" s="64"/>
      <c r="BN656" s="64"/>
      <c r="BO656" s="64"/>
      <c r="BP656" s="64"/>
    </row>
    <row r="657" ht="18.75" customHeight="1">
      <c r="H657" s="64"/>
      <c r="J657" s="64"/>
      <c r="K657" s="64"/>
      <c r="M657" s="64"/>
      <c r="N657" s="64"/>
      <c r="O657" s="64"/>
      <c r="P657" s="64"/>
      <c r="Q657" s="64"/>
      <c r="R657" s="64"/>
      <c r="S657" s="64"/>
      <c r="T657" s="64"/>
      <c r="U657" s="64"/>
      <c r="V657" s="64"/>
      <c r="W657" s="64"/>
      <c r="BF657" s="64"/>
      <c r="BG657" s="64"/>
      <c r="BH657" s="64"/>
      <c r="BI657" s="64"/>
      <c r="BJ657" s="64"/>
      <c r="BK657" s="64"/>
      <c r="BL657" s="64"/>
      <c r="BM657" s="64"/>
      <c r="BN657" s="64"/>
      <c r="BO657" s="64"/>
      <c r="BP657" s="64"/>
    </row>
    <row r="658" ht="18.75" customHeight="1">
      <c r="H658" s="64"/>
      <c r="J658" s="64"/>
      <c r="K658" s="64"/>
      <c r="M658" s="64"/>
      <c r="N658" s="64"/>
      <c r="O658" s="64"/>
      <c r="P658" s="64"/>
      <c r="Q658" s="64"/>
      <c r="R658" s="64"/>
      <c r="S658" s="64"/>
      <c r="T658" s="64"/>
      <c r="U658" s="64"/>
      <c r="V658" s="64"/>
      <c r="W658" s="64"/>
      <c r="BF658" s="64"/>
      <c r="BG658" s="64"/>
      <c r="BH658" s="64"/>
      <c r="BI658" s="64"/>
      <c r="BJ658" s="64"/>
      <c r="BK658" s="64"/>
      <c r="BL658" s="64"/>
      <c r="BM658" s="64"/>
      <c r="BN658" s="64"/>
      <c r="BO658" s="64"/>
      <c r="BP658" s="64"/>
    </row>
    <row r="659" ht="18.75" customHeight="1">
      <c r="H659" s="64"/>
      <c r="J659" s="64"/>
      <c r="K659" s="64"/>
      <c r="M659" s="64"/>
      <c r="N659" s="64"/>
      <c r="O659" s="64"/>
      <c r="P659" s="64"/>
      <c r="Q659" s="64"/>
      <c r="R659" s="64"/>
      <c r="S659" s="64"/>
      <c r="T659" s="64"/>
      <c r="U659" s="64"/>
      <c r="V659" s="64"/>
      <c r="W659" s="64"/>
      <c r="BF659" s="64"/>
      <c r="BG659" s="64"/>
      <c r="BH659" s="64"/>
      <c r="BI659" s="64"/>
      <c r="BJ659" s="64"/>
      <c r="BK659" s="64"/>
      <c r="BL659" s="64"/>
      <c r="BM659" s="64"/>
      <c r="BN659" s="64"/>
      <c r="BO659" s="64"/>
      <c r="BP659" s="64"/>
    </row>
    <row r="660" ht="18.75" customHeight="1">
      <c r="H660" s="64"/>
      <c r="J660" s="64"/>
      <c r="K660" s="64"/>
      <c r="M660" s="64"/>
      <c r="N660" s="64"/>
      <c r="O660" s="64"/>
      <c r="P660" s="64"/>
      <c r="Q660" s="64"/>
      <c r="R660" s="64"/>
      <c r="S660" s="64"/>
      <c r="T660" s="64"/>
      <c r="U660" s="64"/>
      <c r="V660" s="64"/>
      <c r="W660" s="64"/>
      <c r="BF660" s="64"/>
      <c r="BG660" s="64"/>
      <c r="BH660" s="64"/>
      <c r="BI660" s="64"/>
      <c r="BJ660" s="64"/>
      <c r="BK660" s="64"/>
      <c r="BL660" s="64"/>
      <c r="BM660" s="64"/>
      <c r="BN660" s="64"/>
      <c r="BO660" s="64"/>
      <c r="BP660" s="64"/>
    </row>
    <row r="661" ht="18.75" customHeight="1">
      <c r="H661" s="64"/>
      <c r="J661" s="64"/>
      <c r="K661" s="64"/>
      <c r="M661" s="64"/>
      <c r="N661" s="64"/>
      <c r="O661" s="64"/>
      <c r="P661" s="64"/>
      <c r="Q661" s="64"/>
      <c r="R661" s="64"/>
      <c r="S661" s="64"/>
      <c r="T661" s="64"/>
      <c r="U661" s="64"/>
      <c r="V661" s="64"/>
      <c r="W661" s="64"/>
      <c r="BF661" s="64"/>
      <c r="BG661" s="64"/>
      <c r="BH661" s="64"/>
      <c r="BI661" s="64"/>
      <c r="BJ661" s="64"/>
      <c r="BK661" s="64"/>
      <c r="BL661" s="64"/>
      <c r="BM661" s="64"/>
      <c r="BN661" s="64"/>
      <c r="BO661" s="64"/>
      <c r="BP661" s="64"/>
    </row>
    <row r="662" ht="18.75" customHeight="1">
      <c r="H662" s="64"/>
      <c r="J662" s="64"/>
      <c r="K662" s="64"/>
      <c r="M662" s="64"/>
      <c r="N662" s="64"/>
      <c r="O662" s="64"/>
      <c r="P662" s="64"/>
      <c r="Q662" s="64"/>
      <c r="R662" s="64"/>
      <c r="S662" s="64"/>
      <c r="T662" s="64"/>
      <c r="U662" s="64"/>
      <c r="V662" s="64"/>
      <c r="W662" s="64"/>
      <c r="BF662" s="64"/>
      <c r="BG662" s="64"/>
      <c r="BH662" s="64"/>
      <c r="BI662" s="64"/>
      <c r="BJ662" s="64"/>
      <c r="BK662" s="64"/>
      <c r="BL662" s="64"/>
      <c r="BM662" s="64"/>
      <c r="BN662" s="64"/>
      <c r="BO662" s="64"/>
      <c r="BP662" s="64"/>
    </row>
    <row r="663" ht="18.75" customHeight="1">
      <c r="H663" s="64"/>
      <c r="J663" s="64"/>
      <c r="K663" s="64"/>
      <c r="M663" s="64"/>
      <c r="N663" s="64"/>
      <c r="O663" s="64"/>
      <c r="P663" s="64"/>
      <c r="Q663" s="64"/>
      <c r="R663" s="64"/>
      <c r="S663" s="64"/>
      <c r="T663" s="64"/>
      <c r="U663" s="64"/>
      <c r="V663" s="64"/>
      <c r="W663" s="64"/>
      <c r="BF663" s="64"/>
      <c r="BG663" s="64"/>
      <c r="BH663" s="64"/>
      <c r="BI663" s="64"/>
      <c r="BJ663" s="64"/>
      <c r="BK663" s="64"/>
      <c r="BL663" s="64"/>
      <c r="BM663" s="64"/>
      <c r="BN663" s="64"/>
      <c r="BO663" s="64"/>
      <c r="BP663" s="64"/>
    </row>
    <row r="664" ht="18.75" customHeight="1">
      <c r="H664" s="64"/>
      <c r="J664" s="64"/>
      <c r="K664" s="64"/>
      <c r="M664" s="64"/>
      <c r="N664" s="64"/>
      <c r="O664" s="64"/>
      <c r="P664" s="64"/>
      <c r="Q664" s="64"/>
      <c r="R664" s="64"/>
      <c r="S664" s="64"/>
      <c r="T664" s="64"/>
      <c r="U664" s="64"/>
      <c r="V664" s="64"/>
      <c r="W664" s="64"/>
      <c r="BF664" s="64"/>
      <c r="BG664" s="64"/>
      <c r="BH664" s="64"/>
      <c r="BI664" s="64"/>
      <c r="BJ664" s="64"/>
      <c r="BK664" s="64"/>
      <c r="BL664" s="64"/>
      <c r="BM664" s="64"/>
      <c r="BN664" s="64"/>
      <c r="BO664" s="64"/>
      <c r="BP664" s="64"/>
    </row>
    <row r="665" ht="18.75" customHeight="1">
      <c r="H665" s="64"/>
      <c r="J665" s="64"/>
      <c r="K665" s="64"/>
      <c r="M665" s="64"/>
      <c r="N665" s="64"/>
      <c r="O665" s="64"/>
      <c r="P665" s="64"/>
      <c r="Q665" s="64"/>
      <c r="R665" s="64"/>
      <c r="S665" s="64"/>
      <c r="T665" s="64"/>
      <c r="U665" s="64"/>
      <c r="V665" s="64"/>
      <c r="W665" s="64"/>
      <c r="BF665" s="64"/>
      <c r="BG665" s="64"/>
      <c r="BH665" s="64"/>
      <c r="BI665" s="64"/>
      <c r="BJ665" s="64"/>
      <c r="BK665" s="64"/>
      <c r="BL665" s="64"/>
      <c r="BM665" s="64"/>
      <c r="BN665" s="64"/>
      <c r="BO665" s="64"/>
      <c r="BP665" s="64"/>
    </row>
    <row r="666" ht="18.75" customHeight="1">
      <c r="H666" s="64"/>
      <c r="J666" s="64"/>
      <c r="K666" s="64"/>
      <c r="M666" s="64"/>
      <c r="N666" s="64"/>
      <c r="O666" s="64"/>
      <c r="P666" s="64"/>
      <c r="Q666" s="64"/>
      <c r="R666" s="64"/>
      <c r="S666" s="64"/>
      <c r="T666" s="64"/>
      <c r="U666" s="64"/>
      <c r="V666" s="64"/>
      <c r="W666" s="64"/>
      <c r="BF666" s="64"/>
      <c r="BG666" s="64"/>
      <c r="BH666" s="64"/>
      <c r="BI666" s="64"/>
      <c r="BJ666" s="64"/>
      <c r="BK666" s="64"/>
      <c r="BL666" s="64"/>
      <c r="BM666" s="64"/>
      <c r="BN666" s="64"/>
      <c r="BO666" s="64"/>
      <c r="BP666" s="64"/>
    </row>
    <row r="667" ht="18.75" customHeight="1">
      <c r="H667" s="64"/>
      <c r="J667" s="64"/>
      <c r="K667" s="64"/>
      <c r="M667" s="64"/>
      <c r="N667" s="64"/>
      <c r="O667" s="64"/>
      <c r="P667" s="64"/>
      <c r="Q667" s="64"/>
      <c r="R667" s="64"/>
      <c r="S667" s="64"/>
      <c r="T667" s="64"/>
      <c r="U667" s="64"/>
      <c r="V667" s="64"/>
      <c r="W667" s="64"/>
      <c r="BF667" s="64"/>
      <c r="BG667" s="64"/>
      <c r="BH667" s="64"/>
      <c r="BI667" s="64"/>
      <c r="BJ667" s="64"/>
      <c r="BK667" s="64"/>
      <c r="BL667" s="64"/>
      <c r="BM667" s="64"/>
      <c r="BN667" s="64"/>
      <c r="BO667" s="64"/>
      <c r="BP667" s="64"/>
    </row>
    <row r="668" ht="18.75" customHeight="1">
      <c r="H668" s="64"/>
      <c r="J668" s="64"/>
      <c r="K668" s="64"/>
      <c r="M668" s="64"/>
      <c r="N668" s="64"/>
      <c r="O668" s="64"/>
      <c r="P668" s="64"/>
      <c r="Q668" s="64"/>
      <c r="R668" s="64"/>
      <c r="S668" s="64"/>
      <c r="T668" s="64"/>
      <c r="U668" s="64"/>
      <c r="V668" s="64"/>
      <c r="W668" s="64"/>
      <c r="BF668" s="64"/>
      <c r="BG668" s="64"/>
      <c r="BH668" s="64"/>
      <c r="BI668" s="64"/>
      <c r="BJ668" s="64"/>
      <c r="BK668" s="64"/>
      <c r="BL668" s="64"/>
      <c r="BM668" s="64"/>
      <c r="BN668" s="64"/>
      <c r="BO668" s="64"/>
      <c r="BP668" s="64"/>
    </row>
    <row r="669" ht="18.75" customHeight="1">
      <c r="H669" s="64"/>
      <c r="J669" s="64"/>
      <c r="K669" s="64"/>
      <c r="M669" s="64"/>
      <c r="N669" s="64"/>
      <c r="O669" s="64"/>
      <c r="P669" s="64"/>
      <c r="Q669" s="64"/>
      <c r="R669" s="64"/>
      <c r="S669" s="64"/>
      <c r="T669" s="64"/>
      <c r="U669" s="64"/>
      <c r="V669" s="64"/>
      <c r="W669" s="64"/>
      <c r="BF669" s="64"/>
      <c r="BG669" s="64"/>
      <c r="BH669" s="64"/>
      <c r="BI669" s="64"/>
      <c r="BJ669" s="64"/>
      <c r="BK669" s="64"/>
      <c r="BL669" s="64"/>
      <c r="BM669" s="64"/>
      <c r="BN669" s="64"/>
      <c r="BO669" s="64"/>
      <c r="BP669" s="64"/>
    </row>
    <row r="670" ht="18.75" customHeight="1">
      <c r="H670" s="64"/>
      <c r="J670" s="64"/>
      <c r="K670" s="64"/>
      <c r="M670" s="64"/>
      <c r="N670" s="64"/>
      <c r="O670" s="64"/>
      <c r="P670" s="64"/>
      <c r="Q670" s="64"/>
      <c r="R670" s="64"/>
      <c r="S670" s="64"/>
      <c r="T670" s="64"/>
      <c r="U670" s="64"/>
      <c r="V670" s="64"/>
      <c r="W670" s="64"/>
      <c r="BF670" s="64"/>
      <c r="BG670" s="64"/>
      <c r="BH670" s="64"/>
      <c r="BI670" s="64"/>
      <c r="BJ670" s="64"/>
      <c r="BK670" s="64"/>
      <c r="BL670" s="64"/>
      <c r="BM670" s="64"/>
      <c r="BN670" s="64"/>
      <c r="BO670" s="64"/>
      <c r="BP670" s="64"/>
    </row>
    <row r="671" ht="18.75" customHeight="1">
      <c r="H671" s="64"/>
      <c r="J671" s="64"/>
      <c r="K671" s="64"/>
      <c r="M671" s="64"/>
      <c r="N671" s="64"/>
      <c r="O671" s="64"/>
      <c r="P671" s="64"/>
      <c r="Q671" s="64"/>
      <c r="R671" s="64"/>
      <c r="S671" s="64"/>
      <c r="T671" s="64"/>
      <c r="U671" s="64"/>
      <c r="V671" s="64"/>
      <c r="W671" s="64"/>
      <c r="BF671" s="64"/>
      <c r="BG671" s="64"/>
      <c r="BH671" s="64"/>
      <c r="BI671" s="64"/>
      <c r="BJ671" s="64"/>
      <c r="BK671" s="64"/>
      <c r="BL671" s="64"/>
      <c r="BM671" s="64"/>
      <c r="BN671" s="64"/>
      <c r="BO671" s="64"/>
      <c r="BP671" s="64"/>
    </row>
    <row r="672" ht="18.75" customHeight="1">
      <c r="H672" s="64"/>
      <c r="J672" s="64"/>
      <c r="K672" s="64"/>
      <c r="M672" s="64"/>
      <c r="N672" s="64"/>
      <c r="O672" s="64"/>
      <c r="P672" s="64"/>
      <c r="Q672" s="64"/>
      <c r="R672" s="64"/>
      <c r="S672" s="64"/>
      <c r="T672" s="64"/>
      <c r="U672" s="64"/>
      <c r="V672" s="64"/>
      <c r="W672" s="64"/>
      <c r="BF672" s="64"/>
      <c r="BG672" s="64"/>
      <c r="BH672" s="64"/>
      <c r="BI672" s="64"/>
      <c r="BJ672" s="64"/>
      <c r="BK672" s="64"/>
      <c r="BL672" s="64"/>
      <c r="BM672" s="64"/>
      <c r="BN672" s="64"/>
      <c r="BO672" s="64"/>
      <c r="BP672" s="64"/>
    </row>
    <row r="673" ht="18.75" customHeight="1">
      <c r="H673" s="64"/>
      <c r="J673" s="64"/>
      <c r="K673" s="64"/>
      <c r="M673" s="64"/>
      <c r="N673" s="64"/>
      <c r="O673" s="64"/>
      <c r="P673" s="64"/>
      <c r="Q673" s="64"/>
      <c r="R673" s="64"/>
      <c r="S673" s="64"/>
      <c r="T673" s="64"/>
      <c r="U673" s="64"/>
      <c r="V673" s="64"/>
      <c r="W673" s="64"/>
      <c r="BF673" s="64"/>
      <c r="BG673" s="64"/>
      <c r="BH673" s="64"/>
      <c r="BI673" s="64"/>
      <c r="BJ673" s="64"/>
      <c r="BK673" s="64"/>
      <c r="BL673" s="64"/>
      <c r="BM673" s="64"/>
      <c r="BN673" s="64"/>
      <c r="BO673" s="64"/>
      <c r="BP673" s="64"/>
    </row>
    <row r="674" ht="18.75" customHeight="1">
      <c r="H674" s="64"/>
      <c r="J674" s="64"/>
      <c r="K674" s="64"/>
      <c r="M674" s="64"/>
      <c r="N674" s="64"/>
      <c r="O674" s="64"/>
      <c r="P674" s="64"/>
      <c r="Q674" s="64"/>
      <c r="R674" s="64"/>
      <c r="S674" s="64"/>
      <c r="T674" s="64"/>
      <c r="U674" s="64"/>
      <c r="V674" s="64"/>
      <c r="W674" s="64"/>
      <c r="BF674" s="64"/>
      <c r="BG674" s="64"/>
      <c r="BH674" s="64"/>
      <c r="BI674" s="64"/>
      <c r="BJ674" s="64"/>
      <c r="BK674" s="64"/>
      <c r="BL674" s="64"/>
      <c r="BM674" s="64"/>
      <c r="BN674" s="64"/>
      <c r="BO674" s="64"/>
      <c r="BP674" s="64"/>
    </row>
    <row r="675" ht="18.75" customHeight="1">
      <c r="H675" s="64"/>
      <c r="J675" s="64"/>
      <c r="K675" s="64"/>
      <c r="M675" s="64"/>
      <c r="N675" s="64"/>
      <c r="O675" s="64"/>
      <c r="P675" s="64"/>
      <c r="Q675" s="64"/>
      <c r="R675" s="64"/>
      <c r="S675" s="64"/>
      <c r="T675" s="64"/>
      <c r="U675" s="64"/>
      <c r="V675" s="64"/>
      <c r="W675" s="64"/>
      <c r="BF675" s="64"/>
      <c r="BG675" s="64"/>
      <c r="BH675" s="64"/>
      <c r="BI675" s="64"/>
      <c r="BJ675" s="64"/>
      <c r="BK675" s="64"/>
      <c r="BL675" s="64"/>
      <c r="BM675" s="64"/>
      <c r="BN675" s="64"/>
      <c r="BO675" s="64"/>
      <c r="BP675" s="64"/>
    </row>
    <row r="676" ht="18.75" customHeight="1">
      <c r="H676" s="64"/>
      <c r="J676" s="64"/>
      <c r="K676" s="64"/>
      <c r="M676" s="64"/>
      <c r="N676" s="64"/>
      <c r="O676" s="64"/>
      <c r="P676" s="64"/>
      <c r="Q676" s="64"/>
      <c r="R676" s="64"/>
      <c r="S676" s="64"/>
      <c r="T676" s="64"/>
      <c r="U676" s="64"/>
      <c r="V676" s="64"/>
      <c r="W676" s="64"/>
      <c r="BF676" s="64"/>
      <c r="BG676" s="64"/>
      <c r="BH676" s="64"/>
      <c r="BI676" s="64"/>
      <c r="BJ676" s="64"/>
      <c r="BK676" s="64"/>
      <c r="BL676" s="64"/>
      <c r="BM676" s="64"/>
      <c r="BN676" s="64"/>
      <c r="BO676" s="64"/>
      <c r="BP676" s="64"/>
    </row>
    <row r="677" ht="18.75" customHeight="1">
      <c r="H677" s="64"/>
      <c r="J677" s="64"/>
      <c r="K677" s="64"/>
      <c r="M677" s="64"/>
      <c r="N677" s="64"/>
      <c r="O677" s="64"/>
      <c r="P677" s="64"/>
      <c r="Q677" s="64"/>
      <c r="R677" s="64"/>
      <c r="S677" s="64"/>
      <c r="T677" s="64"/>
      <c r="U677" s="64"/>
      <c r="V677" s="64"/>
      <c r="W677" s="64"/>
      <c r="BF677" s="64"/>
      <c r="BG677" s="64"/>
      <c r="BH677" s="64"/>
      <c r="BI677" s="64"/>
      <c r="BJ677" s="64"/>
      <c r="BK677" s="64"/>
      <c r="BL677" s="64"/>
      <c r="BM677" s="64"/>
      <c r="BN677" s="64"/>
      <c r="BO677" s="64"/>
      <c r="BP677" s="64"/>
    </row>
    <row r="678" ht="18.75" customHeight="1">
      <c r="H678" s="64"/>
      <c r="J678" s="64"/>
      <c r="K678" s="64"/>
      <c r="M678" s="64"/>
      <c r="N678" s="64"/>
      <c r="O678" s="64"/>
      <c r="P678" s="64"/>
      <c r="Q678" s="64"/>
      <c r="R678" s="64"/>
      <c r="S678" s="64"/>
      <c r="T678" s="64"/>
      <c r="U678" s="64"/>
      <c r="V678" s="64"/>
      <c r="W678" s="64"/>
      <c r="BF678" s="64"/>
      <c r="BG678" s="64"/>
      <c r="BH678" s="64"/>
      <c r="BI678" s="64"/>
      <c r="BJ678" s="64"/>
      <c r="BK678" s="64"/>
      <c r="BL678" s="64"/>
      <c r="BM678" s="64"/>
      <c r="BN678" s="64"/>
      <c r="BO678" s="64"/>
      <c r="BP678" s="64"/>
    </row>
    <row r="679" ht="18.75" customHeight="1">
      <c r="H679" s="64"/>
      <c r="J679" s="64"/>
      <c r="K679" s="64"/>
      <c r="M679" s="64"/>
      <c r="N679" s="64"/>
      <c r="O679" s="64"/>
      <c r="P679" s="64"/>
      <c r="Q679" s="64"/>
      <c r="R679" s="64"/>
      <c r="S679" s="64"/>
      <c r="T679" s="64"/>
      <c r="U679" s="64"/>
      <c r="V679" s="64"/>
      <c r="W679" s="64"/>
      <c r="BF679" s="64"/>
      <c r="BG679" s="64"/>
      <c r="BH679" s="64"/>
      <c r="BI679" s="64"/>
      <c r="BJ679" s="64"/>
      <c r="BK679" s="64"/>
      <c r="BL679" s="64"/>
      <c r="BM679" s="64"/>
      <c r="BN679" s="64"/>
      <c r="BO679" s="64"/>
      <c r="BP679" s="64"/>
    </row>
    <row r="680" ht="18.75" customHeight="1">
      <c r="H680" s="64"/>
      <c r="J680" s="64"/>
      <c r="K680" s="64"/>
      <c r="M680" s="64"/>
      <c r="N680" s="64"/>
      <c r="O680" s="64"/>
      <c r="P680" s="64"/>
      <c r="Q680" s="64"/>
      <c r="R680" s="64"/>
      <c r="S680" s="64"/>
      <c r="T680" s="64"/>
      <c r="U680" s="64"/>
      <c r="V680" s="64"/>
      <c r="W680" s="64"/>
      <c r="BF680" s="64"/>
      <c r="BG680" s="64"/>
      <c r="BH680" s="64"/>
      <c r="BI680" s="64"/>
      <c r="BJ680" s="64"/>
      <c r="BK680" s="64"/>
      <c r="BL680" s="64"/>
      <c r="BM680" s="64"/>
      <c r="BN680" s="64"/>
      <c r="BO680" s="64"/>
      <c r="BP680" s="64"/>
    </row>
    <row r="681" ht="18.75" customHeight="1">
      <c r="H681" s="64"/>
      <c r="J681" s="64"/>
      <c r="K681" s="64"/>
      <c r="M681" s="64"/>
      <c r="N681" s="64"/>
      <c r="O681" s="64"/>
      <c r="P681" s="64"/>
      <c r="Q681" s="64"/>
      <c r="R681" s="64"/>
      <c r="S681" s="64"/>
      <c r="T681" s="64"/>
      <c r="U681" s="64"/>
      <c r="V681" s="64"/>
      <c r="W681" s="64"/>
      <c r="BF681" s="64"/>
      <c r="BG681" s="64"/>
      <c r="BH681" s="64"/>
      <c r="BI681" s="64"/>
      <c r="BJ681" s="64"/>
      <c r="BK681" s="64"/>
      <c r="BL681" s="64"/>
      <c r="BM681" s="64"/>
      <c r="BN681" s="64"/>
      <c r="BO681" s="64"/>
      <c r="BP681" s="64"/>
    </row>
    <row r="682" ht="18.75" customHeight="1">
      <c r="H682" s="64"/>
      <c r="J682" s="64"/>
      <c r="K682" s="64"/>
      <c r="M682" s="64"/>
      <c r="N682" s="64"/>
      <c r="O682" s="64"/>
      <c r="P682" s="64"/>
      <c r="Q682" s="64"/>
      <c r="R682" s="64"/>
      <c r="S682" s="64"/>
      <c r="T682" s="64"/>
      <c r="U682" s="64"/>
      <c r="V682" s="64"/>
      <c r="W682" s="64"/>
      <c r="BF682" s="64"/>
      <c r="BG682" s="64"/>
      <c r="BH682" s="64"/>
      <c r="BI682" s="64"/>
      <c r="BJ682" s="64"/>
      <c r="BK682" s="64"/>
      <c r="BL682" s="64"/>
      <c r="BM682" s="64"/>
      <c r="BN682" s="64"/>
      <c r="BO682" s="64"/>
      <c r="BP682" s="64"/>
    </row>
    <row r="683" ht="18.75" customHeight="1">
      <c r="H683" s="64"/>
      <c r="J683" s="64"/>
      <c r="K683" s="64"/>
      <c r="M683" s="64"/>
      <c r="N683" s="64"/>
      <c r="O683" s="64"/>
      <c r="P683" s="64"/>
      <c r="Q683" s="64"/>
      <c r="R683" s="64"/>
      <c r="S683" s="64"/>
      <c r="T683" s="64"/>
      <c r="U683" s="64"/>
      <c r="V683" s="64"/>
      <c r="W683" s="64"/>
      <c r="BF683" s="64"/>
      <c r="BG683" s="64"/>
      <c r="BH683" s="64"/>
      <c r="BI683" s="64"/>
      <c r="BJ683" s="64"/>
      <c r="BK683" s="64"/>
      <c r="BL683" s="64"/>
      <c r="BM683" s="64"/>
      <c r="BN683" s="64"/>
      <c r="BO683" s="64"/>
      <c r="BP683" s="64"/>
    </row>
    <row r="684" ht="18.75" customHeight="1">
      <c r="H684" s="64"/>
      <c r="J684" s="64"/>
      <c r="K684" s="64"/>
      <c r="M684" s="64"/>
      <c r="N684" s="64"/>
      <c r="O684" s="64"/>
      <c r="P684" s="64"/>
      <c r="Q684" s="64"/>
      <c r="R684" s="64"/>
      <c r="S684" s="64"/>
      <c r="T684" s="64"/>
      <c r="U684" s="64"/>
      <c r="V684" s="64"/>
      <c r="W684" s="64"/>
      <c r="BF684" s="64"/>
      <c r="BG684" s="64"/>
      <c r="BH684" s="64"/>
      <c r="BI684" s="64"/>
      <c r="BJ684" s="64"/>
      <c r="BK684" s="64"/>
      <c r="BL684" s="64"/>
      <c r="BM684" s="64"/>
      <c r="BN684" s="64"/>
      <c r="BO684" s="64"/>
      <c r="BP684" s="64"/>
    </row>
    <row r="685" ht="18.75" customHeight="1">
      <c r="H685" s="64"/>
      <c r="J685" s="64"/>
      <c r="K685" s="64"/>
      <c r="M685" s="64"/>
      <c r="N685" s="64"/>
      <c r="O685" s="64"/>
      <c r="P685" s="64"/>
      <c r="Q685" s="64"/>
      <c r="R685" s="64"/>
      <c r="S685" s="64"/>
      <c r="T685" s="64"/>
      <c r="U685" s="64"/>
      <c r="V685" s="64"/>
      <c r="W685" s="64"/>
      <c r="BF685" s="64"/>
      <c r="BG685" s="64"/>
      <c r="BH685" s="64"/>
      <c r="BI685" s="64"/>
      <c r="BJ685" s="64"/>
      <c r="BK685" s="64"/>
      <c r="BL685" s="64"/>
      <c r="BM685" s="64"/>
      <c r="BN685" s="64"/>
      <c r="BO685" s="64"/>
      <c r="BP685" s="64"/>
    </row>
    <row r="686" ht="18.75" customHeight="1">
      <c r="H686" s="64"/>
      <c r="J686" s="64"/>
      <c r="K686" s="64"/>
      <c r="M686" s="64"/>
      <c r="N686" s="64"/>
      <c r="O686" s="64"/>
      <c r="P686" s="64"/>
      <c r="Q686" s="64"/>
      <c r="R686" s="64"/>
      <c r="S686" s="64"/>
      <c r="T686" s="64"/>
      <c r="U686" s="64"/>
      <c r="V686" s="64"/>
      <c r="W686" s="64"/>
      <c r="BF686" s="64"/>
      <c r="BG686" s="64"/>
      <c r="BH686" s="64"/>
      <c r="BI686" s="64"/>
      <c r="BJ686" s="64"/>
      <c r="BK686" s="64"/>
      <c r="BL686" s="64"/>
      <c r="BM686" s="64"/>
      <c r="BN686" s="64"/>
      <c r="BO686" s="64"/>
      <c r="BP686" s="64"/>
    </row>
    <row r="687" ht="18.75" customHeight="1">
      <c r="H687" s="64"/>
      <c r="J687" s="64"/>
      <c r="K687" s="64"/>
      <c r="M687" s="64"/>
      <c r="N687" s="64"/>
      <c r="O687" s="64"/>
      <c r="P687" s="64"/>
      <c r="Q687" s="64"/>
      <c r="R687" s="64"/>
      <c r="S687" s="64"/>
      <c r="T687" s="64"/>
      <c r="U687" s="64"/>
      <c r="V687" s="64"/>
      <c r="W687" s="64"/>
      <c r="BF687" s="64"/>
      <c r="BG687" s="64"/>
      <c r="BH687" s="64"/>
      <c r="BI687" s="64"/>
      <c r="BJ687" s="64"/>
      <c r="BK687" s="64"/>
      <c r="BL687" s="64"/>
      <c r="BM687" s="64"/>
      <c r="BN687" s="64"/>
      <c r="BO687" s="64"/>
      <c r="BP687" s="64"/>
    </row>
    <row r="688" ht="18.75" customHeight="1">
      <c r="H688" s="64"/>
      <c r="J688" s="64"/>
      <c r="K688" s="64"/>
      <c r="M688" s="64"/>
      <c r="N688" s="64"/>
      <c r="O688" s="64"/>
      <c r="P688" s="64"/>
      <c r="Q688" s="64"/>
      <c r="R688" s="64"/>
      <c r="S688" s="64"/>
      <c r="T688" s="64"/>
      <c r="U688" s="64"/>
      <c r="V688" s="64"/>
      <c r="W688" s="64"/>
      <c r="BF688" s="64"/>
      <c r="BG688" s="64"/>
      <c r="BH688" s="64"/>
      <c r="BI688" s="64"/>
      <c r="BJ688" s="64"/>
      <c r="BK688" s="64"/>
      <c r="BL688" s="64"/>
      <c r="BM688" s="64"/>
      <c r="BN688" s="64"/>
      <c r="BO688" s="64"/>
      <c r="BP688" s="64"/>
    </row>
    <row r="689" ht="18.75" customHeight="1">
      <c r="H689" s="64"/>
      <c r="J689" s="64"/>
      <c r="K689" s="64"/>
      <c r="M689" s="64"/>
      <c r="N689" s="64"/>
      <c r="O689" s="64"/>
      <c r="P689" s="64"/>
      <c r="Q689" s="64"/>
      <c r="R689" s="64"/>
      <c r="S689" s="64"/>
      <c r="T689" s="64"/>
      <c r="U689" s="64"/>
      <c r="V689" s="64"/>
      <c r="W689" s="64"/>
      <c r="BF689" s="64"/>
      <c r="BG689" s="64"/>
      <c r="BH689" s="64"/>
      <c r="BI689" s="64"/>
      <c r="BJ689" s="64"/>
      <c r="BK689" s="64"/>
      <c r="BL689" s="64"/>
      <c r="BM689" s="64"/>
      <c r="BN689" s="64"/>
      <c r="BO689" s="64"/>
      <c r="BP689" s="64"/>
    </row>
    <row r="690" ht="18.75" customHeight="1">
      <c r="H690" s="64"/>
      <c r="J690" s="64"/>
      <c r="K690" s="64"/>
      <c r="M690" s="64"/>
      <c r="N690" s="64"/>
      <c r="O690" s="64"/>
      <c r="P690" s="64"/>
      <c r="Q690" s="64"/>
      <c r="R690" s="64"/>
      <c r="S690" s="64"/>
      <c r="T690" s="64"/>
      <c r="U690" s="64"/>
      <c r="V690" s="64"/>
      <c r="W690" s="64"/>
      <c r="BF690" s="64"/>
      <c r="BG690" s="64"/>
      <c r="BH690" s="64"/>
      <c r="BI690" s="64"/>
      <c r="BJ690" s="64"/>
      <c r="BK690" s="64"/>
      <c r="BL690" s="64"/>
      <c r="BM690" s="64"/>
      <c r="BN690" s="64"/>
      <c r="BO690" s="64"/>
      <c r="BP690" s="64"/>
    </row>
    <row r="691" ht="18.75" customHeight="1">
      <c r="H691" s="64"/>
      <c r="J691" s="64"/>
      <c r="K691" s="64"/>
      <c r="M691" s="64"/>
      <c r="N691" s="64"/>
      <c r="O691" s="64"/>
      <c r="P691" s="64"/>
      <c r="Q691" s="64"/>
      <c r="R691" s="64"/>
      <c r="S691" s="64"/>
      <c r="T691" s="64"/>
      <c r="U691" s="64"/>
      <c r="V691" s="64"/>
      <c r="W691" s="64"/>
      <c r="BF691" s="64"/>
      <c r="BG691" s="64"/>
      <c r="BH691" s="64"/>
      <c r="BI691" s="64"/>
      <c r="BJ691" s="64"/>
      <c r="BK691" s="64"/>
      <c r="BL691" s="64"/>
      <c r="BM691" s="64"/>
      <c r="BN691" s="64"/>
      <c r="BO691" s="64"/>
      <c r="BP691" s="64"/>
    </row>
    <row r="692" ht="18.75" customHeight="1">
      <c r="H692" s="64"/>
      <c r="J692" s="64"/>
      <c r="K692" s="64"/>
      <c r="M692" s="64"/>
      <c r="N692" s="64"/>
      <c r="O692" s="64"/>
      <c r="P692" s="64"/>
      <c r="Q692" s="64"/>
      <c r="R692" s="64"/>
      <c r="S692" s="64"/>
      <c r="T692" s="64"/>
      <c r="U692" s="64"/>
      <c r="V692" s="64"/>
      <c r="W692" s="64"/>
      <c r="BF692" s="64"/>
      <c r="BG692" s="64"/>
      <c r="BH692" s="64"/>
      <c r="BI692" s="64"/>
      <c r="BJ692" s="64"/>
      <c r="BK692" s="64"/>
      <c r="BL692" s="64"/>
      <c r="BM692" s="64"/>
      <c r="BN692" s="64"/>
      <c r="BO692" s="64"/>
      <c r="BP692" s="64"/>
    </row>
    <row r="693" ht="18.75" customHeight="1">
      <c r="H693" s="64"/>
      <c r="J693" s="64"/>
      <c r="K693" s="64"/>
      <c r="M693" s="64"/>
      <c r="N693" s="64"/>
      <c r="O693" s="64"/>
      <c r="P693" s="64"/>
      <c r="Q693" s="64"/>
      <c r="R693" s="64"/>
      <c r="S693" s="64"/>
      <c r="T693" s="64"/>
      <c r="U693" s="64"/>
      <c r="V693" s="64"/>
      <c r="W693" s="64"/>
      <c r="BF693" s="64"/>
      <c r="BG693" s="64"/>
      <c r="BH693" s="64"/>
      <c r="BI693" s="64"/>
      <c r="BJ693" s="64"/>
      <c r="BK693" s="64"/>
      <c r="BL693" s="64"/>
      <c r="BM693" s="64"/>
      <c r="BN693" s="64"/>
      <c r="BO693" s="64"/>
      <c r="BP693" s="64"/>
    </row>
    <row r="694" ht="18.75" customHeight="1">
      <c r="H694" s="64"/>
      <c r="J694" s="64"/>
      <c r="K694" s="64"/>
      <c r="M694" s="64"/>
      <c r="N694" s="64"/>
      <c r="O694" s="64"/>
      <c r="P694" s="64"/>
      <c r="Q694" s="64"/>
      <c r="R694" s="64"/>
      <c r="S694" s="64"/>
      <c r="T694" s="64"/>
      <c r="U694" s="64"/>
      <c r="V694" s="64"/>
      <c r="W694" s="64"/>
      <c r="BF694" s="64"/>
      <c r="BG694" s="64"/>
      <c r="BH694" s="64"/>
      <c r="BI694" s="64"/>
      <c r="BJ694" s="64"/>
      <c r="BK694" s="64"/>
      <c r="BL694" s="64"/>
      <c r="BM694" s="64"/>
      <c r="BN694" s="64"/>
      <c r="BO694" s="64"/>
      <c r="BP694" s="64"/>
    </row>
    <row r="695" ht="18.75" customHeight="1">
      <c r="H695" s="64"/>
      <c r="J695" s="64"/>
      <c r="K695" s="64"/>
      <c r="M695" s="64"/>
      <c r="N695" s="64"/>
      <c r="O695" s="64"/>
      <c r="P695" s="64"/>
      <c r="Q695" s="64"/>
      <c r="R695" s="64"/>
      <c r="S695" s="64"/>
      <c r="T695" s="64"/>
      <c r="U695" s="64"/>
      <c r="V695" s="64"/>
      <c r="W695" s="64"/>
      <c r="BF695" s="64"/>
      <c r="BG695" s="64"/>
      <c r="BH695" s="64"/>
      <c r="BI695" s="64"/>
      <c r="BJ695" s="64"/>
      <c r="BK695" s="64"/>
      <c r="BL695" s="64"/>
      <c r="BM695" s="64"/>
      <c r="BN695" s="64"/>
      <c r="BO695" s="64"/>
      <c r="BP695" s="64"/>
    </row>
    <row r="696" ht="18.75" customHeight="1">
      <c r="H696" s="64"/>
      <c r="J696" s="64"/>
      <c r="K696" s="64"/>
      <c r="M696" s="64"/>
      <c r="N696" s="64"/>
      <c r="O696" s="64"/>
      <c r="P696" s="64"/>
      <c r="Q696" s="64"/>
      <c r="R696" s="64"/>
      <c r="S696" s="64"/>
      <c r="T696" s="64"/>
      <c r="U696" s="64"/>
      <c r="V696" s="64"/>
      <c r="W696" s="64"/>
      <c r="BF696" s="64"/>
      <c r="BG696" s="64"/>
      <c r="BH696" s="64"/>
      <c r="BI696" s="64"/>
      <c r="BJ696" s="64"/>
      <c r="BK696" s="64"/>
      <c r="BL696" s="64"/>
      <c r="BM696" s="64"/>
      <c r="BN696" s="64"/>
      <c r="BO696" s="64"/>
      <c r="BP696" s="64"/>
    </row>
    <row r="697" ht="18.75" customHeight="1">
      <c r="H697" s="64"/>
      <c r="J697" s="64"/>
      <c r="K697" s="64"/>
      <c r="M697" s="64"/>
      <c r="N697" s="64"/>
      <c r="O697" s="64"/>
      <c r="P697" s="64"/>
      <c r="Q697" s="64"/>
      <c r="R697" s="64"/>
      <c r="S697" s="64"/>
      <c r="T697" s="64"/>
      <c r="U697" s="64"/>
      <c r="V697" s="64"/>
      <c r="W697" s="64"/>
      <c r="BF697" s="64"/>
      <c r="BG697" s="64"/>
      <c r="BH697" s="64"/>
      <c r="BI697" s="64"/>
      <c r="BJ697" s="64"/>
      <c r="BK697" s="64"/>
      <c r="BL697" s="64"/>
      <c r="BM697" s="64"/>
      <c r="BN697" s="64"/>
      <c r="BO697" s="64"/>
      <c r="BP697" s="64"/>
    </row>
    <row r="698" ht="18.75" customHeight="1">
      <c r="H698" s="64"/>
      <c r="J698" s="64"/>
      <c r="K698" s="64"/>
      <c r="M698" s="64"/>
      <c r="N698" s="64"/>
      <c r="O698" s="64"/>
      <c r="P698" s="64"/>
      <c r="Q698" s="64"/>
      <c r="R698" s="64"/>
      <c r="S698" s="64"/>
      <c r="T698" s="64"/>
      <c r="U698" s="64"/>
      <c r="V698" s="64"/>
      <c r="W698" s="64"/>
      <c r="BF698" s="64"/>
      <c r="BG698" s="64"/>
      <c r="BH698" s="64"/>
      <c r="BI698" s="64"/>
      <c r="BJ698" s="64"/>
      <c r="BK698" s="64"/>
      <c r="BL698" s="64"/>
      <c r="BM698" s="64"/>
      <c r="BN698" s="64"/>
      <c r="BO698" s="64"/>
      <c r="BP698" s="64"/>
    </row>
    <row r="699" ht="18.75" customHeight="1">
      <c r="H699" s="64"/>
      <c r="J699" s="64"/>
      <c r="K699" s="64"/>
      <c r="M699" s="64"/>
      <c r="N699" s="64"/>
      <c r="O699" s="64"/>
      <c r="P699" s="64"/>
      <c r="Q699" s="64"/>
      <c r="R699" s="64"/>
      <c r="S699" s="64"/>
      <c r="T699" s="64"/>
      <c r="U699" s="64"/>
      <c r="V699" s="64"/>
      <c r="W699" s="64"/>
      <c r="BF699" s="64"/>
      <c r="BG699" s="64"/>
      <c r="BH699" s="64"/>
      <c r="BI699" s="64"/>
      <c r="BJ699" s="64"/>
      <c r="BK699" s="64"/>
      <c r="BL699" s="64"/>
      <c r="BM699" s="64"/>
      <c r="BN699" s="64"/>
      <c r="BO699" s="64"/>
      <c r="BP699" s="64"/>
    </row>
    <row r="700" ht="18.75" customHeight="1">
      <c r="H700" s="64"/>
      <c r="J700" s="64"/>
      <c r="K700" s="64"/>
      <c r="M700" s="64"/>
      <c r="N700" s="64"/>
      <c r="O700" s="64"/>
      <c r="P700" s="64"/>
      <c r="Q700" s="64"/>
      <c r="R700" s="64"/>
      <c r="S700" s="64"/>
      <c r="T700" s="64"/>
      <c r="U700" s="64"/>
      <c r="V700" s="64"/>
      <c r="W700" s="64"/>
      <c r="BF700" s="64"/>
      <c r="BG700" s="64"/>
      <c r="BH700" s="64"/>
      <c r="BI700" s="64"/>
      <c r="BJ700" s="64"/>
      <c r="BK700" s="64"/>
      <c r="BL700" s="64"/>
      <c r="BM700" s="64"/>
      <c r="BN700" s="64"/>
      <c r="BO700" s="64"/>
      <c r="BP700" s="64"/>
    </row>
    <row r="701" ht="18.75" customHeight="1">
      <c r="H701" s="64"/>
      <c r="J701" s="64"/>
      <c r="K701" s="64"/>
      <c r="M701" s="64"/>
      <c r="N701" s="64"/>
      <c r="O701" s="64"/>
      <c r="P701" s="64"/>
      <c r="Q701" s="64"/>
      <c r="R701" s="64"/>
      <c r="S701" s="64"/>
      <c r="T701" s="64"/>
      <c r="U701" s="64"/>
      <c r="V701" s="64"/>
      <c r="W701" s="64"/>
      <c r="BF701" s="64"/>
      <c r="BG701" s="64"/>
      <c r="BH701" s="64"/>
      <c r="BI701" s="64"/>
      <c r="BJ701" s="64"/>
      <c r="BK701" s="64"/>
      <c r="BL701" s="64"/>
      <c r="BM701" s="64"/>
      <c r="BN701" s="64"/>
      <c r="BO701" s="64"/>
      <c r="BP701" s="64"/>
    </row>
    <row r="702" ht="18.75" customHeight="1">
      <c r="H702" s="64"/>
      <c r="J702" s="64"/>
      <c r="K702" s="64"/>
      <c r="M702" s="64"/>
      <c r="N702" s="64"/>
      <c r="O702" s="64"/>
      <c r="P702" s="64"/>
      <c r="Q702" s="64"/>
      <c r="R702" s="64"/>
      <c r="S702" s="64"/>
      <c r="T702" s="64"/>
      <c r="U702" s="64"/>
      <c r="V702" s="64"/>
      <c r="W702" s="64"/>
      <c r="BF702" s="64"/>
      <c r="BG702" s="64"/>
      <c r="BH702" s="64"/>
      <c r="BI702" s="64"/>
      <c r="BJ702" s="64"/>
      <c r="BK702" s="64"/>
      <c r="BL702" s="64"/>
      <c r="BM702" s="64"/>
      <c r="BN702" s="64"/>
      <c r="BO702" s="64"/>
      <c r="BP702" s="64"/>
    </row>
    <row r="703" ht="18.75" customHeight="1">
      <c r="H703" s="64"/>
      <c r="J703" s="64"/>
      <c r="K703" s="64"/>
      <c r="M703" s="64"/>
      <c r="N703" s="64"/>
      <c r="O703" s="64"/>
      <c r="P703" s="64"/>
      <c r="Q703" s="64"/>
      <c r="R703" s="64"/>
      <c r="S703" s="64"/>
      <c r="T703" s="64"/>
      <c r="U703" s="64"/>
      <c r="V703" s="64"/>
      <c r="W703" s="64"/>
      <c r="BF703" s="64"/>
      <c r="BG703" s="64"/>
      <c r="BH703" s="64"/>
      <c r="BI703" s="64"/>
      <c r="BJ703" s="64"/>
      <c r="BK703" s="64"/>
      <c r="BL703" s="64"/>
      <c r="BM703" s="64"/>
      <c r="BN703" s="64"/>
      <c r="BO703" s="64"/>
      <c r="BP703" s="64"/>
    </row>
    <row r="704" ht="18.75" customHeight="1">
      <c r="H704" s="64"/>
      <c r="J704" s="64"/>
      <c r="K704" s="64"/>
      <c r="M704" s="64"/>
      <c r="N704" s="64"/>
      <c r="O704" s="64"/>
      <c r="P704" s="64"/>
      <c r="Q704" s="64"/>
      <c r="R704" s="64"/>
      <c r="S704" s="64"/>
      <c r="T704" s="64"/>
      <c r="U704" s="64"/>
      <c r="V704" s="64"/>
      <c r="W704" s="64"/>
      <c r="BF704" s="64"/>
      <c r="BG704" s="64"/>
      <c r="BH704" s="64"/>
      <c r="BI704" s="64"/>
      <c r="BJ704" s="64"/>
      <c r="BK704" s="64"/>
      <c r="BL704" s="64"/>
      <c r="BM704" s="64"/>
      <c r="BN704" s="64"/>
      <c r="BO704" s="64"/>
      <c r="BP704" s="64"/>
    </row>
    <row r="705" ht="18.75" customHeight="1">
      <c r="H705" s="64"/>
      <c r="J705" s="64"/>
      <c r="K705" s="64"/>
      <c r="M705" s="64"/>
      <c r="N705" s="64"/>
      <c r="O705" s="64"/>
      <c r="P705" s="64"/>
      <c r="Q705" s="64"/>
      <c r="R705" s="64"/>
      <c r="S705" s="64"/>
      <c r="T705" s="64"/>
      <c r="U705" s="64"/>
      <c r="V705" s="64"/>
      <c r="W705" s="64"/>
      <c r="BF705" s="64"/>
      <c r="BG705" s="64"/>
      <c r="BH705" s="64"/>
      <c r="BI705" s="64"/>
      <c r="BJ705" s="64"/>
      <c r="BK705" s="64"/>
      <c r="BL705" s="64"/>
      <c r="BM705" s="64"/>
      <c r="BN705" s="64"/>
      <c r="BO705" s="64"/>
      <c r="BP705" s="64"/>
    </row>
    <row r="706" ht="18.75" customHeight="1">
      <c r="H706" s="64"/>
      <c r="J706" s="64"/>
      <c r="K706" s="64"/>
      <c r="M706" s="64"/>
      <c r="N706" s="64"/>
      <c r="O706" s="64"/>
      <c r="P706" s="64"/>
      <c r="Q706" s="64"/>
      <c r="R706" s="64"/>
      <c r="S706" s="64"/>
      <c r="T706" s="64"/>
      <c r="U706" s="64"/>
      <c r="V706" s="64"/>
      <c r="W706" s="64"/>
      <c r="BF706" s="64"/>
      <c r="BG706" s="64"/>
      <c r="BH706" s="64"/>
      <c r="BI706" s="64"/>
      <c r="BJ706" s="64"/>
      <c r="BK706" s="64"/>
      <c r="BL706" s="64"/>
      <c r="BM706" s="64"/>
      <c r="BN706" s="64"/>
      <c r="BO706" s="64"/>
      <c r="BP706" s="64"/>
    </row>
    <row r="707" ht="18.75" customHeight="1">
      <c r="H707" s="64"/>
      <c r="J707" s="64"/>
      <c r="K707" s="64"/>
      <c r="M707" s="64"/>
      <c r="N707" s="64"/>
      <c r="O707" s="64"/>
      <c r="P707" s="64"/>
      <c r="Q707" s="64"/>
      <c r="R707" s="64"/>
      <c r="S707" s="64"/>
      <c r="T707" s="64"/>
      <c r="U707" s="64"/>
      <c r="V707" s="64"/>
      <c r="W707" s="64"/>
      <c r="BF707" s="64"/>
      <c r="BG707" s="64"/>
      <c r="BH707" s="64"/>
      <c r="BI707" s="64"/>
      <c r="BJ707" s="64"/>
      <c r="BK707" s="64"/>
      <c r="BL707" s="64"/>
      <c r="BM707" s="64"/>
      <c r="BN707" s="64"/>
      <c r="BO707" s="64"/>
      <c r="BP707" s="64"/>
    </row>
    <row r="708" ht="18.75" customHeight="1">
      <c r="H708" s="64"/>
      <c r="J708" s="64"/>
      <c r="K708" s="64"/>
      <c r="M708" s="64"/>
      <c r="N708" s="64"/>
      <c r="O708" s="64"/>
      <c r="P708" s="64"/>
      <c r="Q708" s="64"/>
      <c r="R708" s="64"/>
      <c r="S708" s="64"/>
      <c r="T708" s="64"/>
      <c r="U708" s="64"/>
      <c r="V708" s="64"/>
      <c r="W708" s="64"/>
      <c r="BF708" s="64"/>
      <c r="BG708" s="64"/>
      <c r="BH708" s="64"/>
      <c r="BI708" s="64"/>
      <c r="BJ708" s="64"/>
      <c r="BK708" s="64"/>
      <c r="BL708" s="64"/>
      <c r="BM708" s="64"/>
      <c r="BN708" s="64"/>
      <c r="BO708" s="64"/>
      <c r="BP708" s="64"/>
    </row>
    <row r="709" ht="18.75" customHeight="1">
      <c r="H709" s="64"/>
      <c r="J709" s="64"/>
      <c r="K709" s="64"/>
      <c r="M709" s="64"/>
      <c r="N709" s="64"/>
      <c r="O709" s="64"/>
      <c r="P709" s="64"/>
      <c r="Q709" s="64"/>
      <c r="R709" s="64"/>
      <c r="S709" s="64"/>
      <c r="T709" s="64"/>
      <c r="U709" s="64"/>
      <c r="V709" s="64"/>
      <c r="W709" s="64"/>
      <c r="BF709" s="64"/>
      <c r="BG709" s="64"/>
      <c r="BH709" s="64"/>
      <c r="BI709" s="64"/>
      <c r="BJ709" s="64"/>
      <c r="BK709" s="64"/>
      <c r="BL709" s="64"/>
      <c r="BM709" s="64"/>
      <c r="BN709" s="64"/>
      <c r="BO709" s="64"/>
      <c r="BP709" s="64"/>
    </row>
    <row r="710" ht="18.75" customHeight="1">
      <c r="H710" s="64"/>
      <c r="J710" s="64"/>
      <c r="K710" s="64"/>
      <c r="M710" s="64"/>
      <c r="N710" s="64"/>
      <c r="O710" s="64"/>
      <c r="P710" s="64"/>
      <c r="Q710" s="64"/>
      <c r="R710" s="64"/>
      <c r="S710" s="64"/>
      <c r="T710" s="64"/>
      <c r="U710" s="64"/>
      <c r="V710" s="64"/>
      <c r="W710" s="64"/>
      <c r="BF710" s="64"/>
      <c r="BG710" s="64"/>
      <c r="BH710" s="64"/>
      <c r="BI710" s="64"/>
      <c r="BJ710" s="64"/>
      <c r="BK710" s="64"/>
      <c r="BL710" s="64"/>
      <c r="BM710" s="64"/>
      <c r="BN710" s="64"/>
      <c r="BO710" s="64"/>
      <c r="BP710" s="64"/>
    </row>
    <row r="711" ht="18.75" customHeight="1">
      <c r="H711" s="64"/>
      <c r="J711" s="64"/>
      <c r="K711" s="64"/>
      <c r="M711" s="64"/>
      <c r="N711" s="64"/>
      <c r="O711" s="64"/>
      <c r="P711" s="64"/>
      <c r="Q711" s="64"/>
      <c r="R711" s="64"/>
      <c r="S711" s="64"/>
      <c r="T711" s="64"/>
      <c r="U711" s="64"/>
      <c r="V711" s="64"/>
      <c r="W711" s="64"/>
      <c r="BF711" s="64"/>
      <c r="BG711" s="64"/>
      <c r="BH711" s="64"/>
      <c r="BI711" s="64"/>
      <c r="BJ711" s="64"/>
      <c r="BK711" s="64"/>
      <c r="BL711" s="64"/>
      <c r="BM711" s="64"/>
      <c r="BN711" s="64"/>
      <c r="BO711" s="64"/>
      <c r="BP711" s="64"/>
    </row>
    <row r="712" ht="18.75" customHeight="1">
      <c r="H712" s="64"/>
      <c r="J712" s="64"/>
      <c r="K712" s="64"/>
      <c r="M712" s="64"/>
      <c r="N712" s="64"/>
      <c r="O712" s="64"/>
      <c r="P712" s="64"/>
      <c r="Q712" s="64"/>
      <c r="R712" s="64"/>
      <c r="S712" s="64"/>
      <c r="T712" s="64"/>
      <c r="U712" s="64"/>
      <c r="V712" s="64"/>
      <c r="W712" s="64"/>
      <c r="BF712" s="64"/>
      <c r="BG712" s="64"/>
      <c r="BH712" s="64"/>
      <c r="BI712" s="64"/>
      <c r="BJ712" s="64"/>
      <c r="BK712" s="64"/>
      <c r="BL712" s="64"/>
      <c r="BM712" s="64"/>
      <c r="BN712" s="64"/>
      <c r="BO712" s="64"/>
      <c r="BP712" s="64"/>
    </row>
    <row r="713" ht="18.75" customHeight="1">
      <c r="H713" s="64"/>
      <c r="J713" s="64"/>
      <c r="K713" s="64"/>
      <c r="M713" s="64"/>
      <c r="N713" s="64"/>
      <c r="O713" s="64"/>
      <c r="P713" s="64"/>
      <c r="Q713" s="64"/>
      <c r="R713" s="64"/>
      <c r="S713" s="64"/>
      <c r="T713" s="64"/>
      <c r="U713" s="64"/>
      <c r="V713" s="64"/>
      <c r="W713" s="64"/>
      <c r="BF713" s="64"/>
      <c r="BG713" s="64"/>
      <c r="BH713" s="64"/>
      <c r="BI713" s="64"/>
      <c r="BJ713" s="64"/>
      <c r="BK713" s="64"/>
      <c r="BL713" s="64"/>
      <c r="BM713" s="64"/>
      <c r="BN713" s="64"/>
      <c r="BO713" s="64"/>
      <c r="BP713" s="64"/>
    </row>
    <row r="714" ht="18.75" customHeight="1">
      <c r="H714" s="64"/>
      <c r="J714" s="64"/>
      <c r="K714" s="64"/>
      <c r="M714" s="64"/>
      <c r="N714" s="64"/>
      <c r="O714" s="64"/>
      <c r="P714" s="64"/>
      <c r="Q714" s="64"/>
      <c r="R714" s="64"/>
      <c r="S714" s="64"/>
      <c r="T714" s="64"/>
      <c r="U714" s="64"/>
      <c r="V714" s="64"/>
      <c r="W714" s="64"/>
      <c r="BF714" s="64"/>
      <c r="BG714" s="64"/>
      <c r="BH714" s="64"/>
      <c r="BI714" s="64"/>
      <c r="BJ714" s="64"/>
      <c r="BK714" s="64"/>
      <c r="BL714" s="64"/>
      <c r="BM714" s="64"/>
      <c r="BN714" s="64"/>
      <c r="BO714" s="64"/>
      <c r="BP714" s="64"/>
    </row>
    <row r="715" ht="18.75" customHeight="1">
      <c r="H715" s="64"/>
      <c r="J715" s="64"/>
      <c r="K715" s="64"/>
      <c r="M715" s="64"/>
      <c r="N715" s="64"/>
      <c r="O715" s="64"/>
      <c r="P715" s="64"/>
      <c r="Q715" s="64"/>
      <c r="R715" s="64"/>
      <c r="S715" s="64"/>
      <c r="T715" s="64"/>
      <c r="U715" s="64"/>
      <c r="V715" s="64"/>
      <c r="W715" s="64"/>
      <c r="BF715" s="64"/>
      <c r="BG715" s="64"/>
      <c r="BH715" s="64"/>
      <c r="BI715" s="64"/>
      <c r="BJ715" s="64"/>
      <c r="BK715" s="64"/>
      <c r="BL715" s="64"/>
      <c r="BM715" s="64"/>
      <c r="BN715" s="64"/>
      <c r="BO715" s="64"/>
      <c r="BP715" s="64"/>
    </row>
    <row r="716" ht="18.75" customHeight="1">
      <c r="H716" s="64"/>
      <c r="J716" s="64"/>
      <c r="K716" s="64"/>
      <c r="M716" s="64"/>
      <c r="N716" s="64"/>
      <c r="O716" s="64"/>
      <c r="P716" s="64"/>
      <c r="Q716" s="64"/>
      <c r="R716" s="64"/>
      <c r="S716" s="64"/>
      <c r="T716" s="64"/>
      <c r="U716" s="64"/>
      <c r="V716" s="64"/>
      <c r="W716" s="64"/>
      <c r="BF716" s="64"/>
      <c r="BG716" s="64"/>
      <c r="BH716" s="64"/>
      <c r="BI716" s="64"/>
      <c r="BJ716" s="64"/>
      <c r="BK716" s="64"/>
      <c r="BL716" s="64"/>
      <c r="BM716" s="64"/>
      <c r="BN716" s="64"/>
      <c r="BO716" s="64"/>
      <c r="BP716" s="64"/>
    </row>
    <row r="717" ht="18.75" customHeight="1">
      <c r="H717" s="64"/>
      <c r="J717" s="64"/>
      <c r="K717" s="64"/>
      <c r="M717" s="64"/>
      <c r="N717" s="64"/>
      <c r="O717" s="64"/>
      <c r="P717" s="64"/>
      <c r="Q717" s="64"/>
      <c r="R717" s="64"/>
      <c r="S717" s="64"/>
      <c r="T717" s="64"/>
      <c r="U717" s="64"/>
      <c r="V717" s="64"/>
      <c r="W717" s="64"/>
      <c r="BF717" s="64"/>
      <c r="BG717" s="64"/>
      <c r="BH717" s="64"/>
      <c r="BI717" s="64"/>
      <c r="BJ717" s="64"/>
      <c r="BK717" s="64"/>
      <c r="BL717" s="64"/>
      <c r="BM717" s="64"/>
      <c r="BN717" s="64"/>
      <c r="BO717" s="64"/>
      <c r="BP717" s="64"/>
    </row>
    <row r="718" ht="18.75" customHeight="1">
      <c r="H718" s="64"/>
      <c r="J718" s="64"/>
      <c r="K718" s="64"/>
      <c r="M718" s="64"/>
      <c r="N718" s="64"/>
      <c r="O718" s="64"/>
      <c r="P718" s="64"/>
      <c r="Q718" s="64"/>
      <c r="R718" s="64"/>
      <c r="S718" s="64"/>
      <c r="T718" s="64"/>
      <c r="U718" s="64"/>
      <c r="V718" s="64"/>
      <c r="W718" s="64"/>
      <c r="BF718" s="64"/>
      <c r="BG718" s="64"/>
      <c r="BH718" s="64"/>
      <c r="BI718" s="64"/>
      <c r="BJ718" s="64"/>
      <c r="BK718" s="64"/>
      <c r="BL718" s="64"/>
      <c r="BM718" s="64"/>
      <c r="BN718" s="64"/>
      <c r="BO718" s="64"/>
      <c r="BP718" s="64"/>
    </row>
    <row r="719" ht="18.75" customHeight="1">
      <c r="H719" s="64"/>
      <c r="J719" s="64"/>
      <c r="K719" s="64"/>
      <c r="M719" s="64"/>
      <c r="N719" s="64"/>
      <c r="O719" s="64"/>
      <c r="P719" s="64"/>
      <c r="Q719" s="64"/>
      <c r="R719" s="64"/>
      <c r="S719" s="64"/>
      <c r="T719" s="64"/>
      <c r="U719" s="64"/>
      <c r="V719" s="64"/>
      <c r="W719" s="64"/>
      <c r="BF719" s="64"/>
      <c r="BG719" s="64"/>
      <c r="BH719" s="64"/>
      <c r="BI719" s="64"/>
      <c r="BJ719" s="64"/>
      <c r="BK719" s="64"/>
      <c r="BL719" s="64"/>
      <c r="BM719" s="64"/>
      <c r="BN719" s="64"/>
      <c r="BO719" s="64"/>
      <c r="BP719" s="64"/>
    </row>
    <row r="720" ht="18.75" customHeight="1">
      <c r="H720" s="64"/>
      <c r="J720" s="64"/>
      <c r="K720" s="64"/>
      <c r="M720" s="64"/>
      <c r="N720" s="64"/>
      <c r="O720" s="64"/>
      <c r="P720" s="64"/>
      <c r="Q720" s="64"/>
      <c r="R720" s="64"/>
      <c r="S720" s="64"/>
      <c r="T720" s="64"/>
      <c r="U720" s="64"/>
      <c r="V720" s="64"/>
      <c r="W720" s="64"/>
      <c r="BF720" s="64"/>
      <c r="BG720" s="64"/>
      <c r="BH720" s="64"/>
      <c r="BI720" s="64"/>
      <c r="BJ720" s="64"/>
      <c r="BK720" s="64"/>
      <c r="BL720" s="64"/>
      <c r="BM720" s="64"/>
      <c r="BN720" s="64"/>
      <c r="BO720" s="64"/>
      <c r="BP720" s="64"/>
    </row>
    <row r="721" ht="18.75" customHeight="1">
      <c r="H721" s="64"/>
      <c r="J721" s="64"/>
      <c r="K721" s="64"/>
      <c r="M721" s="64"/>
      <c r="N721" s="64"/>
      <c r="O721" s="64"/>
      <c r="P721" s="64"/>
      <c r="Q721" s="64"/>
      <c r="R721" s="64"/>
      <c r="S721" s="64"/>
      <c r="T721" s="64"/>
      <c r="U721" s="64"/>
      <c r="V721" s="64"/>
      <c r="W721" s="64"/>
      <c r="BF721" s="64"/>
      <c r="BG721" s="64"/>
      <c r="BH721" s="64"/>
      <c r="BI721" s="64"/>
      <c r="BJ721" s="64"/>
      <c r="BK721" s="64"/>
      <c r="BL721" s="64"/>
      <c r="BM721" s="64"/>
      <c r="BN721" s="64"/>
      <c r="BO721" s="64"/>
      <c r="BP721" s="64"/>
    </row>
    <row r="722" ht="18.75" customHeight="1">
      <c r="H722" s="64"/>
      <c r="J722" s="64"/>
      <c r="K722" s="64"/>
      <c r="M722" s="64"/>
      <c r="N722" s="64"/>
      <c r="O722" s="64"/>
      <c r="P722" s="64"/>
      <c r="Q722" s="64"/>
      <c r="R722" s="64"/>
      <c r="S722" s="64"/>
      <c r="T722" s="64"/>
      <c r="U722" s="64"/>
      <c r="V722" s="64"/>
      <c r="W722" s="64"/>
      <c r="BF722" s="64"/>
      <c r="BG722" s="64"/>
      <c r="BH722" s="64"/>
      <c r="BI722" s="64"/>
      <c r="BJ722" s="64"/>
      <c r="BK722" s="64"/>
      <c r="BL722" s="64"/>
      <c r="BM722" s="64"/>
      <c r="BN722" s="64"/>
      <c r="BO722" s="64"/>
      <c r="BP722" s="64"/>
    </row>
    <row r="723" ht="18.75" customHeight="1">
      <c r="H723" s="64"/>
      <c r="J723" s="64"/>
      <c r="K723" s="64"/>
      <c r="M723" s="64"/>
      <c r="N723" s="64"/>
      <c r="O723" s="64"/>
      <c r="P723" s="64"/>
      <c r="Q723" s="64"/>
      <c r="R723" s="64"/>
      <c r="S723" s="64"/>
      <c r="T723" s="64"/>
      <c r="U723" s="64"/>
      <c r="V723" s="64"/>
      <c r="W723" s="64"/>
      <c r="BF723" s="64"/>
      <c r="BG723" s="64"/>
      <c r="BH723" s="64"/>
      <c r="BI723" s="64"/>
      <c r="BJ723" s="64"/>
      <c r="BK723" s="64"/>
      <c r="BL723" s="64"/>
      <c r="BM723" s="64"/>
      <c r="BN723" s="64"/>
      <c r="BO723" s="64"/>
      <c r="BP723" s="64"/>
    </row>
    <row r="724" ht="18.75" customHeight="1">
      <c r="H724" s="64"/>
      <c r="J724" s="64"/>
      <c r="K724" s="64"/>
      <c r="M724" s="64"/>
      <c r="N724" s="64"/>
      <c r="O724" s="64"/>
      <c r="P724" s="64"/>
      <c r="Q724" s="64"/>
      <c r="R724" s="64"/>
      <c r="S724" s="64"/>
      <c r="T724" s="64"/>
      <c r="U724" s="64"/>
      <c r="V724" s="64"/>
      <c r="W724" s="64"/>
      <c r="BF724" s="64"/>
      <c r="BG724" s="64"/>
      <c r="BH724" s="64"/>
      <c r="BI724" s="64"/>
      <c r="BJ724" s="64"/>
      <c r="BK724" s="64"/>
      <c r="BL724" s="64"/>
      <c r="BM724" s="64"/>
      <c r="BN724" s="64"/>
      <c r="BO724" s="64"/>
      <c r="BP724" s="64"/>
    </row>
    <row r="725" ht="18.75" customHeight="1">
      <c r="H725" s="64"/>
      <c r="J725" s="64"/>
      <c r="K725" s="64"/>
      <c r="M725" s="64"/>
      <c r="N725" s="64"/>
      <c r="O725" s="64"/>
      <c r="P725" s="64"/>
      <c r="Q725" s="64"/>
      <c r="R725" s="64"/>
      <c r="S725" s="64"/>
      <c r="T725" s="64"/>
      <c r="U725" s="64"/>
      <c r="V725" s="64"/>
      <c r="W725" s="64"/>
      <c r="BF725" s="64"/>
      <c r="BG725" s="64"/>
      <c r="BH725" s="64"/>
      <c r="BI725" s="64"/>
      <c r="BJ725" s="64"/>
      <c r="BK725" s="64"/>
      <c r="BL725" s="64"/>
      <c r="BM725" s="64"/>
      <c r="BN725" s="64"/>
      <c r="BO725" s="64"/>
      <c r="BP725" s="64"/>
    </row>
    <row r="726" ht="18.75" customHeight="1">
      <c r="H726" s="64"/>
      <c r="J726" s="64"/>
      <c r="K726" s="64"/>
      <c r="M726" s="64"/>
      <c r="N726" s="64"/>
      <c r="O726" s="64"/>
      <c r="P726" s="64"/>
      <c r="Q726" s="64"/>
      <c r="R726" s="64"/>
      <c r="S726" s="64"/>
      <c r="T726" s="64"/>
      <c r="U726" s="64"/>
      <c r="V726" s="64"/>
      <c r="W726" s="64"/>
      <c r="BF726" s="64"/>
      <c r="BG726" s="64"/>
      <c r="BH726" s="64"/>
      <c r="BI726" s="64"/>
      <c r="BJ726" s="64"/>
      <c r="BK726" s="64"/>
      <c r="BL726" s="64"/>
      <c r="BM726" s="64"/>
      <c r="BN726" s="64"/>
      <c r="BO726" s="64"/>
      <c r="BP726" s="64"/>
    </row>
    <row r="727" ht="18.75" customHeight="1">
      <c r="H727" s="64"/>
      <c r="J727" s="64"/>
      <c r="K727" s="64"/>
      <c r="M727" s="64"/>
      <c r="N727" s="64"/>
      <c r="O727" s="64"/>
      <c r="P727" s="64"/>
      <c r="Q727" s="64"/>
      <c r="R727" s="64"/>
      <c r="S727" s="64"/>
      <c r="T727" s="64"/>
      <c r="U727" s="64"/>
      <c r="V727" s="64"/>
      <c r="W727" s="64"/>
      <c r="BF727" s="64"/>
      <c r="BG727" s="64"/>
      <c r="BH727" s="64"/>
      <c r="BI727" s="64"/>
      <c r="BJ727" s="64"/>
      <c r="BK727" s="64"/>
      <c r="BL727" s="64"/>
      <c r="BM727" s="64"/>
      <c r="BN727" s="64"/>
      <c r="BO727" s="64"/>
      <c r="BP727" s="64"/>
    </row>
    <row r="728" ht="18.75" customHeight="1">
      <c r="H728" s="64"/>
      <c r="J728" s="64"/>
      <c r="K728" s="64"/>
      <c r="M728" s="64"/>
      <c r="N728" s="64"/>
      <c r="O728" s="64"/>
      <c r="P728" s="64"/>
      <c r="Q728" s="64"/>
      <c r="R728" s="64"/>
      <c r="S728" s="64"/>
      <c r="T728" s="64"/>
      <c r="U728" s="64"/>
      <c r="V728" s="64"/>
      <c r="W728" s="64"/>
      <c r="BF728" s="64"/>
      <c r="BG728" s="64"/>
      <c r="BH728" s="64"/>
      <c r="BI728" s="64"/>
      <c r="BJ728" s="64"/>
      <c r="BK728" s="64"/>
      <c r="BL728" s="64"/>
      <c r="BM728" s="64"/>
      <c r="BN728" s="64"/>
      <c r="BO728" s="64"/>
      <c r="BP728" s="64"/>
    </row>
    <row r="729" ht="18.75" customHeight="1">
      <c r="H729" s="64"/>
      <c r="J729" s="64"/>
      <c r="K729" s="64"/>
      <c r="M729" s="64"/>
      <c r="N729" s="64"/>
      <c r="O729" s="64"/>
      <c r="P729" s="64"/>
      <c r="Q729" s="64"/>
      <c r="R729" s="64"/>
      <c r="S729" s="64"/>
      <c r="T729" s="64"/>
      <c r="U729" s="64"/>
      <c r="V729" s="64"/>
      <c r="W729" s="64"/>
      <c r="BF729" s="64"/>
      <c r="BG729" s="64"/>
      <c r="BH729" s="64"/>
      <c r="BI729" s="64"/>
      <c r="BJ729" s="64"/>
      <c r="BK729" s="64"/>
      <c r="BL729" s="64"/>
      <c r="BM729" s="64"/>
      <c r="BN729" s="64"/>
      <c r="BO729" s="64"/>
      <c r="BP729" s="64"/>
    </row>
    <row r="730" ht="18.75" customHeight="1">
      <c r="H730" s="64"/>
      <c r="J730" s="64"/>
      <c r="K730" s="64"/>
      <c r="M730" s="64"/>
      <c r="N730" s="64"/>
      <c r="O730" s="64"/>
      <c r="P730" s="64"/>
      <c r="Q730" s="64"/>
      <c r="R730" s="64"/>
      <c r="S730" s="64"/>
      <c r="T730" s="64"/>
      <c r="U730" s="64"/>
      <c r="V730" s="64"/>
      <c r="W730" s="64"/>
      <c r="BF730" s="64"/>
      <c r="BG730" s="64"/>
      <c r="BH730" s="64"/>
      <c r="BI730" s="64"/>
      <c r="BJ730" s="64"/>
      <c r="BK730" s="64"/>
      <c r="BL730" s="64"/>
      <c r="BM730" s="64"/>
      <c r="BN730" s="64"/>
      <c r="BO730" s="64"/>
      <c r="BP730" s="64"/>
    </row>
    <row r="731" ht="18.75" customHeight="1">
      <c r="H731" s="64"/>
      <c r="J731" s="64"/>
      <c r="K731" s="64"/>
      <c r="M731" s="64"/>
      <c r="N731" s="64"/>
      <c r="O731" s="64"/>
      <c r="P731" s="64"/>
      <c r="Q731" s="64"/>
      <c r="R731" s="64"/>
      <c r="S731" s="64"/>
      <c r="T731" s="64"/>
      <c r="U731" s="64"/>
      <c r="V731" s="64"/>
      <c r="W731" s="64"/>
      <c r="BF731" s="64"/>
      <c r="BG731" s="64"/>
      <c r="BH731" s="64"/>
      <c r="BI731" s="64"/>
      <c r="BJ731" s="64"/>
      <c r="BK731" s="64"/>
      <c r="BL731" s="64"/>
      <c r="BM731" s="64"/>
      <c r="BN731" s="64"/>
      <c r="BO731" s="64"/>
      <c r="BP731" s="64"/>
    </row>
    <row r="732" ht="18.75" customHeight="1">
      <c r="H732" s="64"/>
      <c r="J732" s="64"/>
      <c r="K732" s="64"/>
      <c r="M732" s="64"/>
      <c r="N732" s="64"/>
      <c r="O732" s="64"/>
      <c r="P732" s="64"/>
      <c r="Q732" s="64"/>
      <c r="R732" s="64"/>
      <c r="S732" s="64"/>
      <c r="T732" s="64"/>
      <c r="U732" s="64"/>
      <c r="V732" s="64"/>
      <c r="W732" s="64"/>
      <c r="BF732" s="64"/>
      <c r="BG732" s="64"/>
      <c r="BH732" s="64"/>
      <c r="BI732" s="64"/>
      <c r="BJ732" s="64"/>
      <c r="BK732" s="64"/>
      <c r="BL732" s="64"/>
      <c r="BM732" s="64"/>
      <c r="BN732" s="64"/>
      <c r="BO732" s="64"/>
      <c r="BP732" s="64"/>
    </row>
    <row r="733" ht="18.75" customHeight="1">
      <c r="H733" s="64"/>
      <c r="J733" s="64"/>
      <c r="K733" s="64"/>
      <c r="M733" s="64"/>
      <c r="N733" s="64"/>
      <c r="O733" s="64"/>
      <c r="P733" s="64"/>
      <c r="Q733" s="64"/>
      <c r="R733" s="64"/>
      <c r="S733" s="64"/>
      <c r="T733" s="64"/>
      <c r="U733" s="64"/>
      <c r="V733" s="64"/>
      <c r="W733" s="64"/>
      <c r="BF733" s="64"/>
      <c r="BG733" s="64"/>
      <c r="BH733" s="64"/>
      <c r="BI733" s="64"/>
      <c r="BJ733" s="64"/>
      <c r="BK733" s="64"/>
      <c r="BL733" s="64"/>
      <c r="BM733" s="64"/>
      <c r="BN733" s="64"/>
      <c r="BO733" s="64"/>
      <c r="BP733" s="64"/>
    </row>
    <row r="734" ht="18.75" customHeight="1">
      <c r="H734" s="64"/>
      <c r="J734" s="64"/>
      <c r="K734" s="64"/>
      <c r="M734" s="64"/>
      <c r="N734" s="64"/>
      <c r="O734" s="64"/>
      <c r="P734" s="64"/>
      <c r="Q734" s="64"/>
      <c r="R734" s="64"/>
      <c r="S734" s="64"/>
      <c r="T734" s="64"/>
      <c r="U734" s="64"/>
      <c r="V734" s="64"/>
      <c r="W734" s="64"/>
      <c r="BF734" s="64"/>
      <c r="BG734" s="64"/>
      <c r="BH734" s="64"/>
      <c r="BI734" s="64"/>
      <c r="BJ734" s="64"/>
      <c r="BK734" s="64"/>
      <c r="BL734" s="64"/>
      <c r="BM734" s="64"/>
      <c r="BN734" s="64"/>
      <c r="BO734" s="64"/>
      <c r="BP734" s="64"/>
    </row>
    <row r="735" ht="18.75" customHeight="1">
      <c r="H735" s="64"/>
      <c r="J735" s="64"/>
      <c r="K735" s="64"/>
      <c r="M735" s="64"/>
      <c r="N735" s="64"/>
      <c r="O735" s="64"/>
      <c r="P735" s="64"/>
      <c r="Q735" s="64"/>
      <c r="R735" s="64"/>
      <c r="S735" s="64"/>
      <c r="T735" s="64"/>
      <c r="U735" s="64"/>
      <c r="V735" s="64"/>
      <c r="W735" s="64"/>
      <c r="BF735" s="64"/>
      <c r="BG735" s="64"/>
      <c r="BH735" s="64"/>
      <c r="BI735" s="64"/>
      <c r="BJ735" s="64"/>
      <c r="BK735" s="64"/>
      <c r="BL735" s="64"/>
      <c r="BM735" s="64"/>
      <c r="BN735" s="64"/>
      <c r="BO735" s="64"/>
      <c r="BP735" s="64"/>
    </row>
    <row r="736" ht="18.75" customHeight="1">
      <c r="H736" s="64"/>
      <c r="J736" s="64"/>
      <c r="K736" s="64"/>
      <c r="M736" s="64"/>
      <c r="N736" s="64"/>
      <c r="O736" s="64"/>
      <c r="P736" s="64"/>
      <c r="Q736" s="64"/>
      <c r="R736" s="64"/>
      <c r="S736" s="64"/>
      <c r="T736" s="64"/>
      <c r="U736" s="64"/>
      <c r="V736" s="64"/>
      <c r="W736" s="64"/>
      <c r="BF736" s="64"/>
      <c r="BG736" s="64"/>
      <c r="BH736" s="64"/>
      <c r="BI736" s="64"/>
      <c r="BJ736" s="64"/>
      <c r="BK736" s="64"/>
      <c r="BL736" s="64"/>
      <c r="BM736" s="64"/>
      <c r="BN736" s="64"/>
      <c r="BO736" s="64"/>
      <c r="BP736" s="64"/>
    </row>
    <row r="737" ht="18.75" customHeight="1">
      <c r="H737" s="64"/>
      <c r="J737" s="64"/>
      <c r="K737" s="64"/>
      <c r="M737" s="64"/>
      <c r="N737" s="64"/>
      <c r="O737" s="64"/>
      <c r="P737" s="64"/>
      <c r="Q737" s="64"/>
      <c r="R737" s="64"/>
      <c r="S737" s="64"/>
      <c r="T737" s="64"/>
      <c r="U737" s="64"/>
      <c r="V737" s="64"/>
      <c r="W737" s="64"/>
      <c r="BF737" s="64"/>
      <c r="BG737" s="64"/>
      <c r="BH737" s="64"/>
      <c r="BI737" s="64"/>
      <c r="BJ737" s="64"/>
      <c r="BK737" s="64"/>
      <c r="BL737" s="64"/>
      <c r="BM737" s="64"/>
      <c r="BN737" s="64"/>
      <c r="BO737" s="64"/>
      <c r="BP737" s="64"/>
    </row>
    <row r="738" ht="18.75" customHeight="1">
      <c r="H738" s="64"/>
      <c r="J738" s="64"/>
      <c r="K738" s="64"/>
      <c r="M738" s="64"/>
      <c r="N738" s="64"/>
      <c r="O738" s="64"/>
      <c r="P738" s="64"/>
      <c r="Q738" s="64"/>
      <c r="R738" s="64"/>
      <c r="S738" s="64"/>
      <c r="T738" s="64"/>
      <c r="U738" s="64"/>
      <c r="V738" s="64"/>
      <c r="W738" s="64"/>
      <c r="BF738" s="64"/>
      <c r="BG738" s="64"/>
      <c r="BH738" s="64"/>
      <c r="BI738" s="64"/>
      <c r="BJ738" s="64"/>
      <c r="BK738" s="64"/>
      <c r="BL738" s="64"/>
      <c r="BM738" s="64"/>
      <c r="BN738" s="64"/>
      <c r="BO738" s="64"/>
      <c r="BP738" s="64"/>
    </row>
    <row r="739" ht="18.75" customHeight="1">
      <c r="H739" s="64"/>
      <c r="J739" s="64"/>
      <c r="K739" s="64"/>
      <c r="M739" s="64"/>
      <c r="N739" s="64"/>
      <c r="O739" s="64"/>
      <c r="P739" s="64"/>
      <c r="Q739" s="64"/>
      <c r="R739" s="64"/>
      <c r="S739" s="64"/>
      <c r="T739" s="64"/>
      <c r="U739" s="64"/>
      <c r="V739" s="64"/>
      <c r="W739" s="64"/>
      <c r="BF739" s="64"/>
      <c r="BG739" s="64"/>
      <c r="BH739" s="64"/>
      <c r="BI739" s="64"/>
      <c r="BJ739" s="64"/>
      <c r="BK739" s="64"/>
      <c r="BL739" s="64"/>
      <c r="BM739" s="64"/>
      <c r="BN739" s="64"/>
      <c r="BO739" s="64"/>
      <c r="BP739" s="64"/>
    </row>
    <row r="740" ht="18.75" customHeight="1">
      <c r="H740" s="64"/>
      <c r="J740" s="64"/>
      <c r="K740" s="64"/>
      <c r="M740" s="64"/>
      <c r="N740" s="64"/>
      <c r="O740" s="64"/>
      <c r="P740" s="64"/>
      <c r="Q740" s="64"/>
      <c r="R740" s="64"/>
      <c r="S740" s="64"/>
      <c r="T740" s="64"/>
      <c r="U740" s="64"/>
      <c r="V740" s="64"/>
      <c r="W740" s="64"/>
      <c r="BF740" s="64"/>
      <c r="BG740" s="64"/>
      <c r="BH740" s="64"/>
      <c r="BI740" s="64"/>
      <c r="BJ740" s="64"/>
      <c r="BK740" s="64"/>
      <c r="BL740" s="64"/>
      <c r="BM740" s="64"/>
      <c r="BN740" s="64"/>
      <c r="BO740" s="64"/>
      <c r="BP740" s="64"/>
    </row>
    <row r="741" ht="18.75" customHeight="1">
      <c r="H741" s="64"/>
      <c r="J741" s="64"/>
      <c r="K741" s="64"/>
      <c r="M741" s="64"/>
      <c r="N741" s="64"/>
      <c r="O741" s="64"/>
      <c r="P741" s="64"/>
      <c r="Q741" s="64"/>
      <c r="R741" s="64"/>
      <c r="S741" s="64"/>
      <c r="T741" s="64"/>
      <c r="U741" s="64"/>
      <c r="V741" s="64"/>
      <c r="W741" s="64"/>
      <c r="BF741" s="64"/>
      <c r="BG741" s="64"/>
      <c r="BH741" s="64"/>
      <c r="BI741" s="64"/>
      <c r="BJ741" s="64"/>
      <c r="BK741" s="64"/>
      <c r="BL741" s="64"/>
      <c r="BM741" s="64"/>
      <c r="BN741" s="64"/>
      <c r="BO741" s="64"/>
      <c r="BP741" s="64"/>
    </row>
    <row r="742" ht="18.75" customHeight="1">
      <c r="H742" s="64"/>
      <c r="J742" s="64"/>
      <c r="K742" s="64"/>
      <c r="M742" s="64"/>
      <c r="N742" s="64"/>
      <c r="O742" s="64"/>
      <c r="P742" s="64"/>
      <c r="Q742" s="64"/>
      <c r="R742" s="64"/>
      <c r="S742" s="64"/>
      <c r="T742" s="64"/>
      <c r="U742" s="64"/>
      <c r="V742" s="64"/>
      <c r="W742" s="64"/>
      <c r="BF742" s="64"/>
      <c r="BG742" s="64"/>
      <c r="BH742" s="64"/>
      <c r="BI742" s="64"/>
      <c r="BJ742" s="64"/>
      <c r="BK742" s="64"/>
      <c r="BL742" s="64"/>
      <c r="BM742" s="64"/>
      <c r="BN742" s="64"/>
      <c r="BO742" s="64"/>
      <c r="BP742" s="64"/>
    </row>
    <row r="743" ht="18.75" customHeight="1">
      <c r="H743" s="64"/>
      <c r="J743" s="64"/>
      <c r="K743" s="64"/>
      <c r="M743" s="64"/>
      <c r="N743" s="64"/>
      <c r="O743" s="64"/>
      <c r="P743" s="64"/>
      <c r="Q743" s="64"/>
      <c r="R743" s="64"/>
      <c r="S743" s="64"/>
      <c r="T743" s="64"/>
      <c r="U743" s="64"/>
      <c r="V743" s="64"/>
      <c r="W743" s="64"/>
      <c r="BF743" s="64"/>
      <c r="BG743" s="64"/>
      <c r="BH743" s="64"/>
      <c r="BI743" s="64"/>
      <c r="BJ743" s="64"/>
      <c r="BK743" s="64"/>
      <c r="BL743" s="64"/>
      <c r="BM743" s="64"/>
      <c r="BN743" s="64"/>
      <c r="BO743" s="64"/>
      <c r="BP743" s="64"/>
    </row>
    <row r="744" ht="18.75" customHeight="1">
      <c r="H744" s="64"/>
      <c r="J744" s="64"/>
      <c r="K744" s="64"/>
      <c r="M744" s="64"/>
      <c r="N744" s="64"/>
      <c r="O744" s="64"/>
      <c r="P744" s="64"/>
      <c r="Q744" s="64"/>
      <c r="R744" s="64"/>
      <c r="S744" s="64"/>
      <c r="T744" s="64"/>
      <c r="U744" s="64"/>
      <c r="V744" s="64"/>
      <c r="W744" s="64"/>
      <c r="BF744" s="64"/>
      <c r="BG744" s="64"/>
      <c r="BH744" s="64"/>
      <c r="BI744" s="64"/>
      <c r="BJ744" s="64"/>
      <c r="BK744" s="64"/>
      <c r="BL744" s="64"/>
      <c r="BM744" s="64"/>
      <c r="BN744" s="64"/>
      <c r="BO744" s="64"/>
      <c r="BP744" s="64"/>
    </row>
    <row r="745" ht="18.75" customHeight="1">
      <c r="H745" s="64"/>
      <c r="J745" s="64"/>
      <c r="K745" s="64"/>
      <c r="M745" s="64"/>
      <c r="N745" s="64"/>
      <c r="O745" s="64"/>
      <c r="P745" s="64"/>
      <c r="Q745" s="64"/>
      <c r="R745" s="64"/>
      <c r="S745" s="64"/>
      <c r="T745" s="64"/>
      <c r="U745" s="64"/>
      <c r="V745" s="64"/>
      <c r="W745" s="64"/>
      <c r="BF745" s="64"/>
      <c r="BG745" s="64"/>
      <c r="BH745" s="64"/>
      <c r="BI745" s="64"/>
      <c r="BJ745" s="64"/>
      <c r="BK745" s="64"/>
      <c r="BL745" s="64"/>
      <c r="BM745" s="64"/>
      <c r="BN745" s="64"/>
      <c r="BO745" s="64"/>
      <c r="BP745" s="64"/>
    </row>
    <row r="746" ht="18.75" customHeight="1">
      <c r="H746" s="64"/>
      <c r="J746" s="64"/>
      <c r="K746" s="64"/>
      <c r="M746" s="64"/>
      <c r="N746" s="64"/>
      <c r="O746" s="64"/>
      <c r="P746" s="64"/>
      <c r="Q746" s="64"/>
      <c r="R746" s="64"/>
      <c r="S746" s="64"/>
      <c r="T746" s="64"/>
      <c r="U746" s="64"/>
      <c r="V746" s="64"/>
      <c r="W746" s="64"/>
      <c r="BF746" s="64"/>
      <c r="BG746" s="64"/>
      <c r="BH746" s="64"/>
      <c r="BI746" s="64"/>
      <c r="BJ746" s="64"/>
      <c r="BK746" s="64"/>
      <c r="BL746" s="64"/>
      <c r="BM746" s="64"/>
      <c r="BN746" s="64"/>
      <c r="BO746" s="64"/>
      <c r="BP746" s="64"/>
    </row>
    <row r="747" ht="18.75" customHeight="1">
      <c r="H747" s="64"/>
      <c r="J747" s="64"/>
      <c r="K747" s="64"/>
      <c r="M747" s="64"/>
      <c r="N747" s="64"/>
      <c r="O747" s="64"/>
      <c r="P747" s="64"/>
      <c r="Q747" s="64"/>
      <c r="R747" s="64"/>
      <c r="S747" s="64"/>
      <c r="T747" s="64"/>
      <c r="U747" s="64"/>
      <c r="V747" s="64"/>
      <c r="W747" s="64"/>
      <c r="BF747" s="64"/>
      <c r="BG747" s="64"/>
      <c r="BH747" s="64"/>
      <c r="BI747" s="64"/>
      <c r="BJ747" s="64"/>
      <c r="BK747" s="64"/>
      <c r="BL747" s="64"/>
      <c r="BM747" s="64"/>
      <c r="BN747" s="64"/>
      <c r="BO747" s="64"/>
      <c r="BP747" s="64"/>
    </row>
    <row r="748" ht="18.75" customHeight="1">
      <c r="H748" s="64"/>
      <c r="J748" s="64"/>
      <c r="K748" s="64"/>
      <c r="M748" s="64"/>
      <c r="N748" s="64"/>
      <c r="O748" s="64"/>
      <c r="P748" s="64"/>
      <c r="Q748" s="64"/>
      <c r="R748" s="64"/>
      <c r="S748" s="64"/>
      <c r="T748" s="64"/>
      <c r="U748" s="64"/>
      <c r="V748" s="64"/>
      <c r="W748" s="64"/>
      <c r="BF748" s="64"/>
      <c r="BG748" s="64"/>
      <c r="BH748" s="64"/>
      <c r="BI748" s="64"/>
      <c r="BJ748" s="64"/>
      <c r="BK748" s="64"/>
      <c r="BL748" s="64"/>
      <c r="BM748" s="64"/>
      <c r="BN748" s="64"/>
      <c r="BO748" s="64"/>
      <c r="BP748" s="64"/>
    </row>
    <row r="749" ht="18.75" customHeight="1">
      <c r="H749" s="64"/>
      <c r="J749" s="64"/>
      <c r="K749" s="64"/>
      <c r="M749" s="64"/>
      <c r="N749" s="64"/>
      <c r="O749" s="64"/>
      <c r="P749" s="64"/>
      <c r="Q749" s="64"/>
      <c r="R749" s="64"/>
      <c r="S749" s="64"/>
      <c r="T749" s="64"/>
      <c r="U749" s="64"/>
      <c r="V749" s="64"/>
      <c r="W749" s="64"/>
      <c r="BF749" s="64"/>
      <c r="BG749" s="64"/>
      <c r="BH749" s="64"/>
      <c r="BI749" s="64"/>
      <c r="BJ749" s="64"/>
      <c r="BK749" s="64"/>
      <c r="BL749" s="64"/>
      <c r="BM749" s="64"/>
      <c r="BN749" s="64"/>
      <c r="BO749" s="64"/>
      <c r="BP749" s="64"/>
    </row>
    <row r="750" ht="18.75" customHeight="1">
      <c r="H750" s="64"/>
      <c r="J750" s="64"/>
      <c r="K750" s="64"/>
      <c r="M750" s="64"/>
      <c r="N750" s="64"/>
      <c r="O750" s="64"/>
      <c r="P750" s="64"/>
      <c r="Q750" s="64"/>
      <c r="R750" s="64"/>
      <c r="S750" s="64"/>
      <c r="T750" s="64"/>
      <c r="U750" s="64"/>
      <c r="V750" s="64"/>
      <c r="W750" s="64"/>
      <c r="BF750" s="64"/>
      <c r="BG750" s="64"/>
      <c r="BH750" s="64"/>
      <c r="BI750" s="64"/>
      <c r="BJ750" s="64"/>
      <c r="BK750" s="64"/>
      <c r="BL750" s="64"/>
      <c r="BM750" s="64"/>
      <c r="BN750" s="64"/>
      <c r="BO750" s="64"/>
      <c r="BP750" s="64"/>
    </row>
    <row r="751" ht="18.75" customHeight="1">
      <c r="H751" s="64"/>
      <c r="J751" s="64"/>
      <c r="K751" s="64"/>
      <c r="M751" s="64"/>
      <c r="N751" s="64"/>
      <c r="O751" s="64"/>
      <c r="P751" s="64"/>
      <c r="Q751" s="64"/>
      <c r="R751" s="64"/>
      <c r="S751" s="64"/>
      <c r="T751" s="64"/>
      <c r="U751" s="64"/>
      <c r="V751" s="64"/>
      <c r="W751" s="64"/>
      <c r="BF751" s="64"/>
      <c r="BG751" s="64"/>
      <c r="BH751" s="64"/>
      <c r="BI751" s="64"/>
      <c r="BJ751" s="64"/>
      <c r="BK751" s="64"/>
      <c r="BL751" s="64"/>
      <c r="BM751" s="64"/>
      <c r="BN751" s="64"/>
      <c r="BO751" s="64"/>
      <c r="BP751" s="64"/>
    </row>
    <row r="752" ht="18.75" customHeight="1">
      <c r="H752" s="64"/>
      <c r="J752" s="64"/>
      <c r="K752" s="64"/>
      <c r="M752" s="64"/>
      <c r="N752" s="64"/>
      <c r="O752" s="64"/>
      <c r="P752" s="64"/>
      <c r="Q752" s="64"/>
      <c r="R752" s="64"/>
      <c r="S752" s="64"/>
      <c r="T752" s="64"/>
      <c r="U752" s="64"/>
      <c r="V752" s="64"/>
      <c r="W752" s="64"/>
      <c r="BF752" s="64"/>
      <c r="BG752" s="64"/>
      <c r="BH752" s="64"/>
      <c r="BI752" s="64"/>
      <c r="BJ752" s="64"/>
      <c r="BK752" s="64"/>
      <c r="BL752" s="64"/>
      <c r="BM752" s="64"/>
      <c r="BN752" s="64"/>
      <c r="BO752" s="64"/>
      <c r="BP752" s="64"/>
    </row>
    <row r="753" ht="18.75" customHeight="1">
      <c r="H753" s="64"/>
      <c r="J753" s="64"/>
      <c r="K753" s="64"/>
      <c r="M753" s="64"/>
      <c r="N753" s="64"/>
      <c r="O753" s="64"/>
      <c r="P753" s="64"/>
      <c r="Q753" s="64"/>
      <c r="R753" s="64"/>
      <c r="S753" s="64"/>
      <c r="T753" s="64"/>
      <c r="U753" s="64"/>
      <c r="V753" s="64"/>
      <c r="W753" s="64"/>
      <c r="BF753" s="64"/>
      <c r="BG753" s="64"/>
      <c r="BH753" s="64"/>
      <c r="BI753" s="64"/>
      <c r="BJ753" s="64"/>
      <c r="BK753" s="64"/>
      <c r="BL753" s="64"/>
      <c r="BM753" s="64"/>
      <c r="BN753" s="64"/>
      <c r="BO753" s="64"/>
      <c r="BP753" s="64"/>
    </row>
    <row r="754" ht="18.75" customHeight="1">
      <c r="H754" s="64"/>
      <c r="J754" s="64"/>
      <c r="K754" s="64"/>
      <c r="M754" s="64"/>
      <c r="N754" s="64"/>
      <c r="O754" s="64"/>
      <c r="P754" s="64"/>
      <c r="Q754" s="64"/>
      <c r="R754" s="64"/>
      <c r="S754" s="64"/>
      <c r="T754" s="64"/>
      <c r="U754" s="64"/>
      <c r="V754" s="64"/>
      <c r="W754" s="64"/>
      <c r="BF754" s="64"/>
      <c r="BG754" s="64"/>
      <c r="BH754" s="64"/>
      <c r="BI754" s="64"/>
      <c r="BJ754" s="64"/>
      <c r="BK754" s="64"/>
      <c r="BL754" s="64"/>
      <c r="BM754" s="64"/>
      <c r="BN754" s="64"/>
      <c r="BO754" s="64"/>
      <c r="BP754" s="64"/>
    </row>
    <row r="755" ht="18.75" customHeight="1">
      <c r="H755" s="64"/>
      <c r="J755" s="64"/>
      <c r="K755" s="64"/>
      <c r="M755" s="64"/>
      <c r="N755" s="64"/>
      <c r="O755" s="64"/>
      <c r="P755" s="64"/>
      <c r="Q755" s="64"/>
      <c r="R755" s="64"/>
      <c r="S755" s="64"/>
      <c r="T755" s="64"/>
      <c r="U755" s="64"/>
      <c r="V755" s="64"/>
      <c r="W755" s="64"/>
      <c r="BF755" s="64"/>
      <c r="BG755" s="64"/>
      <c r="BH755" s="64"/>
      <c r="BI755" s="64"/>
      <c r="BJ755" s="64"/>
      <c r="BK755" s="64"/>
      <c r="BL755" s="64"/>
      <c r="BM755" s="64"/>
      <c r="BN755" s="64"/>
      <c r="BO755" s="64"/>
      <c r="BP755" s="64"/>
    </row>
    <row r="756" ht="18.75" customHeight="1">
      <c r="H756" s="64"/>
      <c r="J756" s="64"/>
      <c r="K756" s="64"/>
      <c r="M756" s="64"/>
      <c r="N756" s="64"/>
      <c r="O756" s="64"/>
      <c r="P756" s="64"/>
      <c r="Q756" s="64"/>
      <c r="R756" s="64"/>
      <c r="S756" s="64"/>
      <c r="T756" s="64"/>
      <c r="U756" s="64"/>
      <c r="V756" s="64"/>
      <c r="W756" s="64"/>
      <c r="BF756" s="64"/>
      <c r="BG756" s="64"/>
      <c r="BH756" s="64"/>
      <c r="BI756" s="64"/>
      <c r="BJ756" s="64"/>
      <c r="BK756" s="64"/>
      <c r="BL756" s="64"/>
      <c r="BM756" s="64"/>
      <c r="BN756" s="64"/>
      <c r="BO756" s="64"/>
      <c r="BP756" s="64"/>
    </row>
    <row r="757" ht="18.75" customHeight="1">
      <c r="H757" s="64"/>
      <c r="J757" s="64"/>
      <c r="K757" s="64"/>
      <c r="M757" s="64"/>
      <c r="N757" s="64"/>
      <c r="O757" s="64"/>
      <c r="P757" s="64"/>
      <c r="Q757" s="64"/>
      <c r="R757" s="64"/>
      <c r="S757" s="64"/>
      <c r="T757" s="64"/>
      <c r="U757" s="64"/>
      <c r="V757" s="64"/>
      <c r="W757" s="64"/>
      <c r="BF757" s="64"/>
      <c r="BG757" s="64"/>
      <c r="BH757" s="64"/>
      <c r="BI757" s="64"/>
      <c r="BJ757" s="64"/>
      <c r="BK757" s="64"/>
      <c r="BL757" s="64"/>
      <c r="BM757" s="64"/>
      <c r="BN757" s="64"/>
      <c r="BO757" s="64"/>
      <c r="BP757" s="64"/>
    </row>
    <row r="758" ht="18.75" customHeight="1">
      <c r="H758" s="64"/>
      <c r="J758" s="64"/>
      <c r="K758" s="64"/>
      <c r="M758" s="64"/>
      <c r="N758" s="64"/>
      <c r="O758" s="64"/>
      <c r="P758" s="64"/>
      <c r="Q758" s="64"/>
      <c r="R758" s="64"/>
      <c r="S758" s="64"/>
      <c r="T758" s="64"/>
      <c r="U758" s="64"/>
      <c r="V758" s="64"/>
      <c r="W758" s="64"/>
      <c r="BF758" s="64"/>
      <c r="BG758" s="64"/>
      <c r="BH758" s="64"/>
      <c r="BI758" s="64"/>
      <c r="BJ758" s="64"/>
      <c r="BK758" s="64"/>
      <c r="BL758" s="64"/>
      <c r="BM758" s="64"/>
      <c r="BN758" s="64"/>
      <c r="BO758" s="64"/>
      <c r="BP758" s="64"/>
    </row>
    <row r="759" ht="18.75" customHeight="1">
      <c r="H759" s="64"/>
      <c r="J759" s="64"/>
      <c r="K759" s="64"/>
      <c r="M759" s="64"/>
      <c r="N759" s="64"/>
      <c r="O759" s="64"/>
      <c r="P759" s="64"/>
      <c r="Q759" s="64"/>
      <c r="R759" s="64"/>
      <c r="S759" s="64"/>
      <c r="T759" s="64"/>
      <c r="U759" s="64"/>
      <c r="V759" s="64"/>
      <c r="W759" s="64"/>
      <c r="BF759" s="64"/>
      <c r="BG759" s="64"/>
      <c r="BH759" s="64"/>
      <c r="BI759" s="64"/>
      <c r="BJ759" s="64"/>
      <c r="BK759" s="64"/>
      <c r="BL759" s="64"/>
      <c r="BM759" s="64"/>
      <c r="BN759" s="64"/>
      <c r="BO759" s="64"/>
      <c r="BP759" s="64"/>
    </row>
    <row r="760" ht="18.75" customHeight="1">
      <c r="H760" s="64"/>
      <c r="J760" s="64"/>
      <c r="K760" s="64"/>
      <c r="M760" s="64"/>
      <c r="N760" s="64"/>
      <c r="O760" s="64"/>
      <c r="P760" s="64"/>
      <c r="Q760" s="64"/>
      <c r="R760" s="64"/>
      <c r="S760" s="64"/>
      <c r="T760" s="64"/>
      <c r="U760" s="64"/>
      <c r="V760" s="64"/>
      <c r="W760" s="64"/>
      <c r="BF760" s="64"/>
      <c r="BG760" s="64"/>
      <c r="BH760" s="64"/>
      <c r="BI760" s="64"/>
      <c r="BJ760" s="64"/>
      <c r="BK760" s="64"/>
      <c r="BL760" s="64"/>
      <c r="BM760" s="64"/>
      <c r="BN760" s="64"/>
      <c r="BO760" s="64"/>
      <c r="BP760" s="64"/>
    </row>
    <row r="761" ht="18.75" customHeight="1">
      <c r="H761" s="64"/>
      <c r="J761" s="64"/>
      <c r="K761" s="64"/>
      <c r="M761" s="64"/>
      <c r="N761" s="64"/>
      <c r="O761" s="64"/>
      <c r="P761" s="64"/>
      <c r="Q761" s="64"/>
      <c r="R761" s="64"/>
      <c r="S761" s="64"/>
      <c r="T761" s="64"/>
      <c r="U761" s="64"/>
      <c r="V761" s="64"/>
      <c r="W761" s="64"/>
      <c r="BF761" s="64"/>
      <c r="BG761" s="64"/>
      <c r="BH761" s="64"/>
      <c r="BI761" s="64"/>
      <c r="BJ761" s="64"/>
      <c r="BK761" s="64"/>
      <c r="BL761" s="64"/>
      <c r="BM761" s="64"/>
      <c r="BN761" s="64"/>
      <c r="BO761" s="64"/>
      <c r="BP761" s="64"/>
    </row>
    <row r="762" ht="18.75" customHeight="1">
      <c r="H762" s="64"/>
      <c r="J762" s="64"/>
      <c r="K762" s="64"/>
      <c r="M762" s="64"/>
      <c r="N762" s="64"/>
      <c r="O762" s="64"/>
      <c r="P762" s="64"/>
      <c r="Q762" s="64"/>
      <c r="R762" s="64"/>
      <c r="S762" s="64"/>
      <c r="T762" s="64"/>
      <c r="U762" s="64"/>
      <c r="V762" s="64"/>
      <c r="W762" s="64"/>
      <c r="BF762" s="64"/>
      <c r="BG762" s="64"/>
      <c r="BH762" s="64"/>
      <c r="BI762" s="64"/>
      <c r="BJ762" s="64"/>
      <c r="BK762" s="64"/>
      <c r="BL762" s="64"/>
      <c r="BM762" s="64"/>
      <c r="BN762" s="64"/>
      <c r="BO762" s="64"/>
      <c r="BP762" s="64"/>
    </row>
    <row r="763" ht="18.75" customHeight="1">
      <c r="H763" s="64"/>
      <c r="J763" s="64"/>
      <c r="K763" s="64"/>
      <c r="M763" s="64"/>
      <c r="N763" s="64"/>
      <c r="O763" s="64"/>
      <c r="P763" s="64"/>
      <c r="Q763" s="64"/>
      <c r="R763" s="64"/>
      <c r="S763" s="64"/>
      <c r="T763" s="64"/>
      <c r="U763" s="64"/>
      <c r="V763" s="64"/>
      <c r="W763" s="64"/>
      <c r="BF763" s="64"/>
      <c r="BG763" s="64"/>
      <c r="BH763" s="64"/>
      <c r="BI763" s="64"/>
      <c r="BJ763" s="64"/>
      <c r="BK763" s="64"/>
      <c r="BL763" s="64"/>
      <c r="BM763" s="64"/>
      <c r="BN763" s="64"/>
      <c r="BO763" s="64"/>
      <c r="BP763" s="64"/>
    </row>
    <row r="764" ht="18.75" customHeight="1">
      <c r="H764" s="64"/>
      <c r="J764" s="64"/>
      <c r="K764" s="64"/>
      <c r="M764" s="64"/>
      <c r="N764" s="64"/>
      <c r="O764" s="64"/>
      <c r="P764" s="64"/>
      <c r="Q764" s="64"/>
      <c r="R764" s="64"/>
      <c r="S764" s="64"/>
      <c r="T764" s="64"/>
      <c r="U764" s="64"/>
      <c r="V764" s="64"/>
      <c r="W764" s="64"/>
      <c r="BF764" s="64"/>
      <c r="BG764" s="64"/>
      <c r="BH764" s="64"/>
      <c r="BI764" s="64"/>
      <c r="BJ764" s="64"/>
      <c r="BK764" s="64"/>
      <c r="BL764" s="64"/>
      <c r="BM764" s="64"/>
      <c r="BN764" s="64"/>
      <c r="BO764" s="64"/>
      <c r="BP764" s="64"/>
    </row>
    <row r="765" ht="18.75" customHeight="1">
      <c r="H765" s="64"/>
      <c r="J765" s="64"/>
      <c r="K765" s="64"/>
      <c r="M765" s="64"/>
      <c r="N765" s="64"/>
      <c r="O765" s="64"/>
      <c r="P765" s="64"/>
      <c r="Q765" s="64"/>
      <c r="R765" s="64"/>
      <c r="S765" s="64"/>
      <c r="T765" s="64"/>
      <c r="U765" s="64"/>
      <c r="V765" s="64"/>
      <c r="W765" s="64"/>
      <c r="BF765" s="64"/>
      <c r="BG765" s="64"/>
      <c r="BH765" s="64"/>
      <c r="BI765" s="64"/>
      <c r="BJ765" s="64"/>
      <c r="BK765" s="64"/>
      <c r="BL765" s="64"/>
      <c r="BM765" s="64"/>
      <c r="BN765" s="64"/>
      <c r="BO765" s="64"/>
      <c r="BP765" s="64"/>
    </row>
    <row r="766" ht="18.75" customHeight="1">
      <c r="H766" s="64"/>
      <c r="J766" s="64"/>
      <c r="K766" s="64"/>
      <c r="M766" s="64"/>
      <c r="N766" s="64"/>
      <c r="O766" s="64"/>
      <c r="P766" s="64"/>
      <c r="Q766" s="64"/>
      <c r="R766" s="64"/>
      <c r="S766" s="64"/>
      <c r="T766" s="64"/>
      <c r="U766" s="64"/>
      <c r="V766" s="64"/>
      <c r="W766" s="64"/>
      <c r="BF766" s="64"/>
      <c r="BG766" s="64"/>
      <c r="BH766" s="64"/>
      <c r="BI766" s="64"/>
      <c r="BJ766" s="64"/>
      <c r="BK766" s="64"/>
      <c r="BL766" s="64"/>
      <c r="BM766" s="64"/>
      <c r="BN766" s="64"/>
      <c r="BO766" s="64"/>
      <c r="BP766" s="64"/>
    </row>
    <row r="767" ht="18.75" customHeight="1">
      <c r="H767" s="64"/>
      <c r="J767" s="64"/>
      <c r="K767" s="64"/>
      <c r="M767" s="64"/>
      <c r="N767" s="64"/>
      <c r="O767" s="64"/>
      <c r="P767" s="64"/>
      <c r="Q767" s="64"/>
      <c r="R767" s="64"/>
      <c r="S767" s="64"/>
      <c r="T767" s="64"/>
      <c r="U767" s="64"/>
      <c r="V767" s="64"/>
      <c r="W767" s="64"/>
      <c r="BF767" s="64"/>
      <c r="BG767" s="64"/>
      <c r="BH767" s="64"/>
      <c r="BI767" s="64"/>
      <c r="BJ767" s="64"/>
      <c r="BK767" s="64"/>
      <c r="BL767" s="64"/>
      <c r="BM767" s="64"/>
      <c r="BN767" s="64"/>
      <c r="BO767" s="64"/>
      <c r="BP767" s="64"/>
    </row>
    <row r="768" ht="18.75" customHeight="1">
      <c r="H768" s="64"/>
      <c r="J768" s="64"/>
      <c r="K768" s="64"/>
      <c r="M768" s="64"/>
      <c r="N768" s="64"/>
      <c r="O768" s="64"/>
      <c r="P768" s="64"/>
      <c r="Q768" s="64"/>
      <c r="R768" s="64"/>
      <c r="S768" s="64"/>
      <c r="T768" s="64"/>
      <c r="U768" s="64"/>
      <c r="V768" s="64"/>
      <c r="W768" s="64"/>
      <c r="BF768" s="64"/>
      <c r="BG768" s="64"/>
      <c r="BH768" s="64"/>
      <c r="BI768" s="64"/>
      <c r="BJ768" s="64"/>
      <c r="BK768" s="64"/>
      <c r="BL768" s="64"/>
      <c r="BM768" s="64"/>
      <c r="BN768" s="64"/>
      <c r="BO768" s="64"/>
      <c r="BP768" s="64"/>
    </row>
    <row r="769" ht="18.75" customHeight="1">
      <c r="H769" s="64"/>
      <c r="J769" s="64"/>
      <c r="K769" s="64"/>
      <c r="M769" s="64"/>
      <c r="N769" s="64"/>
      <c r="O769" s="64"/>
      <c r="P769" s="64"/>
      <c r="Q769" s="64"/>
      <c r="R769" s="64"/>
      <c r="S769" s="64"/>
      <c r="T769" s="64"/>
      <c r="U769" s="64"/>
      <c r="V769" s="64"/>
      <c r="W769" s="64"/>
      <c r="BF769" s="64"/>
      <c r="BG769" s="64"/>
      <c r="BH769" s="64"/>
      <c r="BI769" s="64"/>
      <c r="BJ769" s="64"/>
      <c r="BK769" s="64"/>
      <c r="BL769" s="64"/>
      <c r="BM769" s="64"/>
      <c r="BN769" s="64"/>
      <c r="BO769" s="64"/>
      <c r="BP769" s="64"/>
    </row>
    <row r="770" ht="18.75" customHeight="1">
      <c r="H770" s="64"/>
      <c r="J770" s="64"/>
      <c r="K770" s="64"/>
      <c r="M770" s="64"/>
      <c r="N770" s="64"/>
      <c r="O770" s="64"/>
      <c r="P770" s="64"/>
      <c r="Q770" s="64"/>
      <c r="R770" s="64"/>
      <c r="S770" s="64"/>
      <c r="T770" s="64"/>
      <c r="U770" s="64"/>
      <c r="V770" s="64"/>
      <c r="W770" s="64"/>
      <c r="BF770" s="64"/>
      <c r="BG770" s="64"/>
      <c r="BH770" s="64"/>
      <c r="BI770" s="64"/>
      <c r="BJ770" s="64"/>
      <c r="BK770" s="64"/>
      <c r="BL770" s="64"/>
      <c r="BM770" s="64"/>
      <c r="BN770" s="64"/>
      <c r="BO770" s="64"/>
      <c r="BP770" s="64"/>
    </row>
    <row r="771" ht="18.75" customHeight="1">
      <c r="H771" s="64"/>
      <c r="J771" s="64"/>
      <c r="K771" s="64"/>
      <c r="M771" s="64"/>
      <c r="N771" s="64"/>
      <c r="O771" s="64"/>
      <c r="P771" s="64"/>
      <c r="Q771" s="64"/>
      <c r="R771" s="64"/>
      <c r="S771" s="64"/>
      <c r="T771" s="64"/>
      <c r="U771" s="64"/>
      <c r="V771" s="64"/>
      <c r="W771" s="64"/>
      <c r="BF771" s="64"/>
      <c r="BG771" s="64"/>
      <c r="BH771" s="64"/>
      <c r="BI771" s="64"/>
      <c r="BJ771" s="64"/>
      <c r="BK771" s="64"/>
      <c r="BL771" s="64"/>
      <c r="BM771" s="64"/>
      <c r="BN771" s="64"/>
      <c r="BO771" s="64"/>
      <c r="BP771" s="64"/>
    </row>
    <row r="772" ht="18.75" customHeight="1">
      <c r="H772" s="64"/>
      <c r="J772" s="64"/>
      <c r="K772" s="64"/>
      <c r="M772" s="64"/>
      <c r="N772" s="64"/>
      <c r="O772" s="64"/>
      <c r="P772" s="64"/>
      <c r="Q772" s="64"/>
      <c r="R772" s="64"/>
      <c r="S772" s="64"/>
      <c r="T772" s="64"/>
      <c r="U772" s="64"/>
      <c r="V772" s="64"/>
      <c r="W772" s="64"/>
      <c r="BF772" s="64"/>
      <c r="BG772" s="64"/>
      <c r="BH772" s="64"/>
      <c r="BI772" s="64"/>
      <c r="BJ772" s="64"/>
      <c r="BK772" s="64"/>
      <c r="BL772" s="64"/>
      <c r="BM772" s="64"/>
      <c r="BN772" s="64"/>
      <c r="BO772" s="64"/>
      <c r="BP772" s="64"/>
    </row>
    <row r="773" ht="18.75" customHeight="1">
      <c r="H773" s="64"/>
      <c r="J773" s="64"/>
      <c r="K773" s="64"/>
      <c r="M773" s="64"/>
      <c r="N773" s="64"/>
      <c r="O773" s="64"/>
      <c r="P773" s="64"/>
      <c r="Q773" s="64"/>
      <c r="R773" s="64"/>
      <c r="S773" s="64"/>
      <c r="T773" s="64"/>
      <c r="U773" s="64"/>
      <c r="V773" s="64"/>
      <c r="W773" s="64"/>
      <c r="BF773" s="64"/>
      <c r="BG773" s="64"/>
      <c r="BH773" s="64"/>
      <c r="BI773" s="64"/>
      <c r="BJ773" s="64"/>
      <c r="BK773" s="64"/>
      <c r="BL773" s="64"/>
      <c r="BM773" s="64"/>
      <c r="BN773" s="64"/>
      <c r="BO773" s="64"/>
      <c r="BP773" s="64"/>
    </row>
    <row r="774" ht="18.75" customHeight="1">
      <c r="H774" s="64"/>
      <c r="J774" s="64"/>
      <c r="K774" s="64"/>
      <c r="M774" s="64"/>
      <c r="N774" s="64"/>
      <c r="O774" s="64"/>
      <c r="P774" s="64"/>
      <c r="Q774" s="64"/>
      <c r="R774" s="64"/>
      <c r="S774" s="64"/>
      <c r="T774" s="64"/>
      <c r="U774" s="64"/>
      <c r="V774" s="64"/>
      <c r="W774" s="64"/>
      <c r="BF774" s="64"/>
      <c r="BG774" s="64"/>
      <c r="BH774" s="64"/>
      <c r="BI774" s="64"/>
      <c r="BJ774" s="64"/>
      <c r="BK774" s="64"/>
      <c r="BL774" s="64"/>
      <c r="BM774" s="64"/>
      <c r="BN774" s="64"/>
      <c r="BO774" s="64"/>
      <c r="BP774" s="64"/>
    </row>
    <row r="775" ht="18.75" customHeight="1">
      <c r="H775" s="64"/>
      <c r="J775" s="64"/>
      <c r="K775" s="64"/>
      <c r="M775" s="64"/>
      <c r="N775" s="64"/>
      <c r="O775" s="64"/>
      <c r="P775" s="64"/>
      <c r="Q775" s="64"/>
      <c r="R775" s="64"/>
      <c r="S775" s="64"/>
      <c r="T775" s="64"/>
      <c r="U775" s="64"/>
      <c r="V775" s="64"/>
      <c r="W775" s="64"/>
      <c r="BF775" s="64"/>
      <c r="BG775" s="64"/>
      <c r="BH775" s="64"/>
      <c r="BI775" s="64"/>
      <c r="BJ775" s="64"/>
      <c r="BK775" s="64"/>
      <c r="BL775" s="64"/>
      <c r="BM775" s="64"/>
      <c r="BN775" s="64"/>
      <c r="BO775" s="64"/>
      <c r="BP775" s="64"/>
    </row>
    <row r="776" ht="18.75" customHeight="1">
      <c r="H776" s="64"/>
      <c r="J776" s="64"/>
      <c r="K776" s="64"/>
      <c r="M776" s="64"/>
      <c r="N776" s="64"/>
      <c r="O776" s="64"/>
      <c r="P776" s="64"/>
      <c r="Q776" s="64"/>
      <c r="R776" s="64"/>
      <c r="S776" s="64"/>
      <c r="T776" s="64"/>
      <c r="U776" s="64"/>
      <c r="V776" s="64"/>
      <c r="W776" s="64"/>
      <c r="BF776" s="64"/>
      <c r="BG776" s="64"/>
      <c r="BH776" s="64"/>
      <c r="BI776" s="64"/>
      <c r="BJ776" s="64"/>
      <c r="BK776" s="64"/>
      <c r="BL776" s="64"/>
      <c r="BM776" s="64"/>
      <c r="BN776" s="64"/>
      <c r="BO776" s="64"/>
      <c r="BP776" s="64"/>
    </row>
    <row r="777" ht="18.75" customHeight="1">
      <c r="H777" s="64"/>
      <c r="J777" s="64"/>
      <c r="K777" s="64"/>
      <c r="M777" s="64"/>
      <c r="N777" s="64"/>
      <c r="O777" s="64"/>
      <c r="P777" s="64"/>
      <c r="Q777" s="64"/>
      <c r="R777" s="64"/>
      <c r="S777" s="64"/>
      <c r="T777" s="64"/>
      <c r="U777" s="64"/>
      <c r="V777" s="64"/>
      <c r="W777" s="64"/>
      <c r="BF777" s="64"/>
      <c r="BG777" s="64"/>
      <c r="BH777" s="64"/>
      <c r="BI777" s="64"/>
      <c r="BJ777" s="64"/>
      <c r="BK777" s="64"/>
      <c r="BL777" s="64"/>
      <c r="BM777" s="64"/>
      <c r="BN777" s="64"/>
      <c r="BO777" s="64"/>
      <c r="BP777" s="64"/>
    </row>
    <row r="778" ht="18.75" customHeight="1">
      <c r="H778" s="64"/>
      <c r="J778" s="64"/>
      <c r="K778" s="64"/>
      <c r="M778" s="64"/>
      <c r="N778" s="64"/>
      <c r="O778" s="64"/>
      <c r="P778" s="64"/>
      <c r="Q778" s="64"/>
      <c r="R778" s="64"/>
      <c r="S778" s="64"/>
      <c r="T778" s="64"/>
      <c r="U778" s="64"/>
      <c r="V778" s="64"/>
      <c r="W778" s="64"/>
      <c r="BF778" s="64"/>
      <c r="BG778" s="64"/>
      <c r="BH778" s="64"/>
      <c r="BI778" s="64"/>
      <c r="BJ778" s="64"/>
      <c r="BK778" s="64"/>
      <c r="BL778" s="64"/>
      <c r="BM778" s="64"/>
      <c r="BN778" s="64"/>
      <c r="BO778" s="64"/>
      <c r="BP778" s="64"/>
    </row>
    <row r="779" ht="18.75" customHeight="1">
      <c r="H779" s="64"/>
      <c r="J779" s="64"/>
      <c r="K779" s="64"/>
      <c r="M779" s="64"/>
      <c r="N779" s="64"/>
      <c r="O779" s="64"/>
      <c r="P779" s="64"/>
      <c r="Q779" s="64"/>
      <c r="R779" s="64"/>
      <c r="S779" s="64"/>
      <c r="T779" s="64"/>
      <c r="U779" s="64"/>
      <c r="V779" s="64"/>
      <c r="W779" s="64"/>
      <c r="BF779" s="64"/>
      <c r="BG779" s="64"/>
      <c r="BH779" s="64"/>
      <c r="BI779" s="64"/>
      <c r="BJ779" s="64"/>
      <c r="BK779" s="64"/>
      <c r="BL779" s="64"/>
      <c r="BM779" s="64"/>
      <c r="BN779" s="64"/>
      <c r="BO779" s="64"/>
      <c r="BP779" s="64"/>
    </row>
    <row r="780" ht="18.75" customHeight="1">
      <c r="H780" s="64"/>
      <c r="J780" s="64"/>
      <c r="K780" s="64"/>
      <c r="M780" s="64"/>
      <c r="N780" s="64"/>
      <c r="O780" s="64"/>
      <c r="P780" s="64"/>
      <c r="Q780" s="64"/>
      <c r="R780" s="64"/>
      <c r="S780" s="64"/>
      <c r="T780" s="64"/>
      <c r="U780" s="64"/>
      <c r="V780" s="64"/>
      <c r="W780" s="64"/>
      <c r="BF780" s="64"/>
      <c r="BG780" s="64"/>
      <c r="BH780" s="64"/>
      <c r="BI780" s="64"/>
      <c r="BJ780" s="64"/>
      <c r="BK780" s="64"/>
      <c r="BL780" s="64"/>
      <c r="BM780" s="64"/>
      <c r="BN780" s="64"/>
      <c r="BO780" s="64"/>
      <c r="BP780" s="64"/>
    </row>
    <row r="781" ht="18.75" customHeight="1">
      <c r="H781" s="64"/>
      <c r="J781" s="64"/>
      <c r="K781" s="64"/>
      <c r="M781" s="64"/>
      <c r="N781" s="64"/>
      <c r="O781" s="64"/>
      <c r="P781" s="64"/>
      <c r="Q781" s="64"/>
      <c r="R781" s="64"/>
      <c r="S781" s="64"/>
      <c r="T781" s="64"/>
      <c r="U781" s="64"/>
      <c r="V781" s="64"/>
      <c r="W781" s="64"/>
      <c r="BF781" s="64"/>
      <c r="BG781" s="64"/>
      <c r="BH781" s="64"/>
      <c r="BI781" s="64"/>
      <c r="BJ781" s="64"/>
      <c r="BK781" s="64"/>
      <c r="BL781" s="64"/>
      <c r="BM781" s="64"/>
      <c r="BN781" s="64"/>
      <c r="BO781" s="64"/>
      <c r="BP781" s="64"/>
    </row>
    <row r="782" ht="18.75" customHeight="1">
      <c r="H782" s="64"/>
      <c r="J782" s="64"/>
      <c r="K782" s="64"/>
      <c r="M782" s="64"/>
      <c r="N782" s="64"/>
      <c r="O782" s="64"/>
      <c r="P782" s="64"/>
      <c r="Q782" s="64"/>
      <c r="R782" s="64"/>
      <c r="S782" s="64"/>
      <c r="T782" s="64"/>
      <c r="U782" s="64"/>
      <c r="V782" s="64"/>
      <c r="W782" s="64"/>
      <c r="BF782" s="64"/>
      <c r="BG782" s="64"/>
      <c r="BH782" s="64"/>
      <c r="BI782" s="64"/>
      <c r="BJ782" s="64"/>
      <c r="BK782" s="64"/>
      <c r="BL782" s="64"/>
      <c r="BM782" s="64"/>
      <c r="BN782" s="64"/>
      <c r="BO782" s="64"/>
      <c r="BP782" s="64"/>
    </row>
    <row r="783" ht="18.75" customHeight="1">
      <c r="H783" s="64"/>
      <c r="J783" s="64"/>
      <c r="K783" s="64"/>
      <c r="M783" s="64"/>
      <c r="N783" s="64"/>
      <c r="O783" s="64"/>
      <c r="P783" s="64"/>
      <c r="Q783" s="64"/>
      <c r="R783" s="64"/>
      <c r="S783" s="64"/>
      <c r="T783" s="64"/>
      <c r="U783" s="64"/>
      <c r="V783" s="64"/>
      <c r="W783" s="64"/>
      <c r="BF783" s="64"/>
      <c r="BG783" s="64"/>
      <c r="BH783" s="64"/>
      <c r="BI783" s="64"/>
      <c r="BJ783" s="64"/>
      <c r="BK783" s="64"/>
      <c r="BL783" s="64"/>
      <c r="BM783" s="64"/>
      <c r="BN783" s="64"/>
      <c r="BO783" s="64"/>
      <c r="BP783" s="64"/>
    </row>
    <row r="784" ht="18.75" customHeight="1">
      <c r="H784" s="64"/>
      <c r="J784" s="64"/>
      <c r="K784" s="64"/>
      <c r="M784" s="64"/>
      <c r="N784" s="64"/>
      <c r="O784" s="64"/>
      <c r="P784" s="64"/>
      <c r="Q784" s="64"/>
      <c r="R784" s="64"/>
      <c r="S784" s="64"/>
      <c r="T784" s="64"/>
      <c r="U784" s="64"/>
      <c r="V784" s="64"/>
      <c r="W784" s="64"/>
      <c r="BF784" s="64"/>
      <c r="BG784" s="64"/>
      <c r="BH784" s="64"/>
      <c r="BI784" s="64"/>
      <c r="BJ784" s="64"/>
      <c r="BK784" s="64"/>
      <c r="BL784" s="64"/>
      <c r="BM784" s="64"/>
      <c r="BN784" s="64"/>
      <c r="BO784" s="64"/>
      <c r="BP784" s="64"/>
    </row>
    <row r="785" ht="18.75" customHeight="1">
      <c r="H785" s="64"/>
      <c r="J785" s="64"/>
      <c r="K785" s="64"/>
      <c r="M785" s="64"/>
      <c r="N785" s="64"/>
      <c r="O785" s="64"/>
      <c r="P785" s="64"/>
      <c r="Q785" s="64"/>
      <c r="R785" s="64"/>
      <c r="S785" s="64"/>
      <c r="T785" s="64"/>
      <c r="U785" s="64"/>
      <c r="V785" s="64"/>
      <c r="W785" s="64"/>
      <c r="BF785" s="64"/>
      <c r="BG785" s="64"/>
      <c r="BH785" s="64"/>
      <c r="BI785" s="64"/>
      <c r="BJ785" s="64"/>
      <c r="BK785" s="64"/>
      <c r="BL785" s="64"/>
      <c r="BM785" s="64"/>
      <c r="BN785" s="64"/>
      <c r="BO785" s="64"/>
      <c r="BP785" s="64"/>
    </row>
    <row r="786" ht="18.75" customHeight="1">
      <c r="H786" s="64"/>
      <c r="J786" s="64"/>
      <c r="K786" s="64"/>
      <c r="M786" s="64"/>
      <c r="N786" s="64"/>
      <c r="O786" s="64"/>
      <c r="P786" s="64"/>
      <c r="Q786" s="64"/>
      <c r="R786" s="64"/>
      <c r="S786" s="64"/>
      <c r="T786" s="64"/>
      <c r="U786" s="64"/>
      <c r="V786" s="64"/>
      <c r="W786" s="64"/>
      <c r="BF786" s="64"/>
      <c r="BG786" s="64"/>
      <c r="BH786" s="64"/>
      <c r="BI786" s="64"/>
      <c r="BJ786" s="64"/>
      <c r="BK786" s="64"/>
      <c r="BL786" s="64"/>
      <c r="BM786" s="64"/>
      <c r="BN786" s="64"/>
      <c r="BO786" s="64"/>
      <c r="BP786" s="64"/>
    </row>
    <row r="787" ht="18.75" customHeight="1">
      <c r="H787" s="64"/>
      <c r="J787" s="64"/>
      <c r="K787" s="64"/>
      <c r="M787" s="64"/>
      <c r="N787" s="64"/>
      <c r="O787" s="64"/>
      <c r="P787" s="64"/>
      <c r="Q787" s="64"/>
      <c r="R787" s="64"/>
      <c r="S787" s="64"/>
      <c r="T787" s="64"/>
      <c r="U787" s="64"/>
      <c r="V787" s="64"/>
      <c r="W787" s="64"/>
      <c r="BF787" s="64"/>
      <c r="BG787" s="64"/>
      <c r="BH787" s="64"/>
      <c r="BI787" s="64"/>
      <c r="BJ787" s="64"/>
      <c r="BK787" s="64"/>
      <c r="BL787" s="64"/>
      <c r="BM787" s="64"/>
      <c r="BN787" s="64"/>
      <c r="BO787" s="64"/>
      <c r="BP787" s="64"/>
    </row>
    <row r="788" ht="18.75" customHeight="1">
      <c r="H788" s="64"/>
      <c r="J788" s="64"/>
      <c r="K788" s="64"/>
      <c r="M788" s="64"/>
      <c r="N788" s="64"/>
      <c r="O788" s="64"/>
      <c r="P788" s="64"/>
      <c r="Q788" s="64"/>
      <c r="R788" s="64"/>
      <c r="S788" s="64"/>
      <c r="T788" s="64"/>
      <c r="U788" s="64"/>
      <c r="V788" s="64"/>
      <c r="W788" s="64"/>
      <c r="BF788" s="64"/>
      <c r="BG788" s="64"/>
      <c r="BH788" s="64"/>
      <c r="BI788" s="64"/>
      <c r="BJ788" s="64"/>
      <c r="BK788" s="64"/>
      <c r="BL788" s="64"/>
      <c r="BM788" s="64"/>
      <c r="BN788" s="64"/>
      <c r="BO788" s="64"/>
      <c r="BP788" s="64"/>
    </row>
    <row r="789" ht="18.75" customHeight="1">
      <c r="H789" s="64"/>
      <c r="J789" s="64"/>
      <c r="K789" s="64"/>
      <c r="M789" s="64"/>
      <c r="N789" s="64"/>
      <c r="O789" s="64"/>
      <c r="P789" s="64"/>
      <c r="Q789" s="64"/>
      <c r="R789" s="64"/>
      <c r="S789" s="64"/>
      <c r="T789" s="64"/>
      <c r="U789" s="64"/>
      <c r="V789" s="64"/>
      <c r="W789" s="64"/>
      <c r="BF789" s="64"/>
      <c r="BG789" s="64"/>
      <c r="BH789" s="64"/>
      <c r="BI789" s="64"/>
      <c r="BJ789" s="64"/>
      <c r="BK789" s="64"/>
      <c r="BL789" s="64"/>
      <c r="BM789" s="64"/>
      <c r="BN789" s="64"/>
      <c r="BO789" s="64"/>
      <c r="BP789" s="64"/>
    </row>
    <row r="790" ht="18.75" customHeight="1">
      <c r="H790" s="64"/>
      <c r="J790" s="64"/>
      <c r="K790" s="64"/>
      <c r="M790" s="64"/>
      <c r="N790" s="64"/>
      <c r="O790" s="64"/>
      <c r="P790" s="64"/>
      <c r="Q790" s="64"/>
      <c r="R790" s="64"/>
      <c r="S790" s="64"/>
      <c r="T790" s="64"/>
      <c r="U790" s="64"/>
      <c r="V790" s="64"/>
      <c r="W790" s="64"/>
      <c r="BF790" s="64"/>
      <c r="BG790" s="64"/>
      <c r="BH790" s="64"/>
      <c r="BI790" s="64"/>
      <c r="BJ790" s="64"/>
      <c r="BK790" s="64"/>
      <c r="BL790" s="64"/>
      <c r="BM790" s="64"/>
      <c r="BN790" s="64"/>
      <c r="BO790" s="64"/>
      <c r="BP790" s="64"/>
    </row>
    <row r="791" ht="18.75" customHeight="1">
      <c r="H791" s="64"/>
      <c r="J791" s="64"/>
      <c r="K791" s="64"/>
      <c r="M791" s="64"/>
      <c r="N791" s="64"/>
      <c r="O791" s="64"/>
      <c r="P791" s="64"/>
      <c r="Q791" s="64"/>
      <c r="R791" s="64"/>
      <c r="S791" s="64"/>
      <c r="T791" s="64"/>
      <c r="U791" s="64"/>
      <c r="V791" s="64"/>
      <c r="W791" s="64"/>
      <c r="BF791" s="64"/>
      <c r="BG791" s="64"/>
      <c r="BH791" s="64"/>
      <c r="BI791" s="64"/>
      <c r="BJ791" s="64"/>
      <c r="BK791" s="64"/>
      <c r="BL791" s="64"/>
      <c r="BM791" s="64"/>
      <c r="BN791" s="64"/>
      <c r="BO791" s="64"/>
      <c r="BP791" s="64"/>
    </row>
    <row r="792" ht="18.75" customHeight="1">
      <c r="H792" s="64"/>
      <c r="J792" s="64"/>
      <c r="K792" s="64"/>
      <c r="M792" s="64"/>
      <c r="N792" s="64"/>
      <c r="O792" s="64"/>
      <c r="P792" s="64"/>
      <c r="Q792" s="64"/>
      <c r="R792" s="64"/>
      <c r="S792" s="64"/>
      <c r="T792" s="64"/>
      <c r="U792" s="64"/>
      <c r="V792" s="64"/>
      <c r="W792" s="64"/>
      <c r="BF792" s="64"/>
      <c r="BG792" s="64"/>
      <c r="BH792" s="64"/>
      <c r="BI792" s="64"/>
      <c r="BJ792" s="64"/>
      <c r="BK792" s="64"/>
      <c r="BL792" s="64"/>
      <c r="BM792" s="64"/>
      <c r="BN792" s="64"/>
      <c r="BO792" s="64"/>
      <c r="BP792" s="64"/>
    </row>
    <row r="793" ht="18.75" customHeight="1">
      <c r="H793" s="64"/>
      <c r="J793" s="64"/>
      <c r="K793" s="64"/>
      <c r="M793" s="64"/>
      <c r="N793" s="64"/>
      <c r="O793" s="64"/>
      <c r="P793" s="64"/>
      <c r="Q793" s="64"/>
      <c r="R793" s="64"/>
      <c r="S793" s="64"/>
      <c r="T793" s="64"/>
      <c r="U793" s="64"/>
      <c r="V793" s="64"/>
      <c r="W793" s="64"/>
      <c r="BF793" s="64"/>
      <c r="BG793" s="64"/>
      <c r="BH793" s="64"/>
      <c r="BI793" s="64"/>
      <c r="BJ793" s="64"/>
      <c r="BK793" s="64"/>
      <c r="BL793" s="64"/>
      <c r="BM793" s="64"/>
      <c r="BN793" s="64"/>
      <c r="BO793" s="64"/>
      <c r="BP793" s="64"/>
    </row>
    <row r="794" ht="18.75" customHeight="1">
      <c r="H794" s="64"/>
      <c r="J794" s="64"/>
      <c r="K794" s="64"/>
      <c r="M794" s="64"/>
      <c r="N794" s="64"/>
      <c r="O794" s="64"/>
      <c r="P794" s="64"/>
      <c r="Q794" s="64"/>
      <c r="R794" s="64"/>
      <c r="S794" s="64"/>
      <c r="T794" s="64"/>
      <c r="U794" s="64"/>
      <c r="V794" s="64"/>
      <c r="W794" s="64"/>
      <c r="BF794" s="64"/>
      <c r="BG794" s="64"/>
      <c r="BH794" s="64"/>
      <c r="BI794" s="64"/>
      <c r="BJ794" s="64"/>
      <c r="BK794" s="64"/>
      <c r="BL794" s="64"/>
      <c r="BM794" s="64"/>
      <c r="BN794" s="64"/>
      <c r="BO794" s="64"/>
      <c r="BP794" s="64"/>
    </row>
    <row r="795" ht="18.75" customHeight="1">
      <c r="H795" s="64"/>
      <c r="J795" s="64"/>
      <c r="K795" s="64"/>
      <c r="M795" s="64"/>
      <c r="N795" s="64"/>
      <c r="O795" s="64"/>
      <c r="P795" s="64"/>
      <c r="Q795" s="64"/>
      <c r="R795" s="64"/>
      <c r="S795" s="64"/>
      <c r="T795" s="64"/>
      <c r="U795" s="64"/>
      <c r="V795" s="64"/>
      <c r="W795" s="64"/>
      <c r="BF795" s="64"/>
      <c r="BG795" s="64"/>
      <c r="BH795" s="64"/>
      <c r="BI795" s="64"/>
      <c r="BJ795" s="64"/>
      <c r="BK795" s="64"/>
      <c r="BL795" s="64"/>
      <c r="BM795" s="64"/>
      <c r="BN795" s="64"/>
      <c r="BO795" s="64"/>
      <c r="BP795" s="64"/>
    </row>
    <row r="796" ht="18.75" customHeight="1">
      <c r="H796" s="64"/>
      <c r="J796" s="64"/>
      <c r="K796" s="64"/>
      <c r="M796" s="64"/>
      <c r="N796" s="64"/>
      <c r="O796" s="64"/>
      <c r="P796" s="64"/>
      <c r="Q796" s="64"/>
      <c r="R796" s="64"/>
      <c r="S796" s="64"/>
      <c r="T796" s="64"/>
      <c r="U796" s="64"/>
      <c r="V796" s="64"/>
      <c r="W796" s="64"/>
      <c r="BF796" s="64"/>
      <c r="BG796" s="64"/>
      <c r="BH796" s="64"/>
      <c r="BI796" s="64"/>
      <c r="BJ796" s="64"/>
      <c r="BK796" s="64"/>
      <c r="BL796" s="64"/>
      <c r="BM796" s="64"/>
      <c r="BN796" s="64"/>
      <c r="BO796" s="64"/>
      <c r="BP796" s="64"/>
    </row>
    <row r="797" ht="18.75" customHeight="1">
      <c r="H797" s="64"/>
      <c r="J797" s="64"/>
      <c r="K797" s="64"/>
      <c r="M797" s="64"/>
      <c r="N797" s="64"/>
      <c r="O797" s="64"/>
      <c r="P797" s="64"/>
      <c r="Q797" s="64"/>
      <c r="R797" s="64"/>
      <c r="S797" s="64"/>
      <c r="T797" s="64"/>
      <c r="U797" s="64"/>
      <c r="V797" s="64"/>
      <c r="W797" s="64"/>
      <c r="BF797" s="64"/>
      <c r="BG797" s="64"/>
      <c r="BH797" s="64"/>
      <c r="BI797" s="64"/>
      <c r="BJ797" s="64"/>
      <c r="BK797" s="64"/>
      <c r="BL797" s="64"/>
      <c r="BM797" s="64"/>
      <c r="BN797" s="64"/>
      <c r="BO797" s="64"/>
      <c r="BP797" s="64"/>
    </row>
    <row r="798" ht="18.75" customHeight="1">
      <c r="H798" s="64"/>
      <c r="J798" s="64"/>
      <c r="K798" s="64"/>
      <c r="M798" s="64"/>
      <c r="N798" s="64"/>
      <c r="O798" s="64"/>
      <c r="P798" s="64"/>
      <c r="Q798" s="64"/>
      <c r="R798" s="64"/>
      <c r="S798" s="64"/>
      <c r="T798" s="64"/>
      <c r="U798" s="64"/>
      <c r="V798" s="64"/>
      <c r="W798" s="64"/>
      <c r="BF798" s="64"/>
      <c r="BG798" s="64"/>
      <c r="BH798" s="64"/>
      <c r="BI798" s="64"/>
      <c r="BJ798" s="64"/>
      <c r="BK798" s="64"/>
      <c r="BL798" s="64"/>
      <c r="BM798" s="64"/>
      <c r="BN798" s="64"/>
      <c r="BO798" s="64"/>
      <c r="BP798" s="64"/>
    </row>
    <row r="799" ht="18.75" customHeight="1">
      <c r="H799" s="64"/>
      <c r="J799" s="64"/>
      <c r="K799" s="64"/>
      <c r="M799" s="64"/>
      <c r="N799" s="64"/>
      <c r="O799" s="64"/>
      <c r="P799" s="64"/>
      <c r="Q799" s="64"/>
      <c r="R799" s="64"/>
      <c r="S799" s="64"/>
      <c r="T799" s="64"/>
      <c r="U799" s="64"/>
      <c r="V799" s="64"/>
      <c r="W799" s="64"/>
      <c r="BF799" s="64"/>
      <c r="BG799" s="64"/>
      <c r="BH799" s="64"/>
      <c r="BI799" s="64"/>
      <c r="BJ799" s="64"/>
      <c r="BK799" s="64"/>
      <c r="BL799" s="64"/>
      <c r="BM799" s="64"/>
      <c r="BN799" s="64"/>
      <c r="BO799" s="64"/>
      <c r="BP799" s="64"/>
    </row>
    <row r="800" ht="18.75" customHeight="1">
      <c r="H800" s="64"/>
      <c r="J800" s="64"/>
      <c r="K800" s="64"/>
      <c r="M800" s="64"/>
      <c r="N800" s="64"/>
      <c r="O800" s="64"/>
      <c r="P800" s="64"/>
      <c r="Q800" s="64"/>
      <c r="R800" s="64"/>
      <c r="S800" s="64"/>
      <c r="T800" s="64"/>
      <c r="U800" s="64"/>
      <c r="V800" s="64"/>
      <c r="W800" s="64"/>
      <c r="BF800" s="64"/>
      <c r="BG800" s="64"/>
      <c r="BH800" s="64"/>
      <c r="BI800" s="64"/>
      <c r="BJ800" s="64"/>
      <c r="BK800" s="64"/>
      <c r="BL800" s="64"/>
      <c r="BM800" s="64"/>
      <c r="BN800" s="64"/>
      <c r="BO800" s="64"/>
      <c r="BP800" s="64"/>
    </row>
    <row r="801" ht="18.75" customHeight="1">
      <c r="H801" s="64"/>
      <c r="J801" s="64"/>
      <c r="K801" s="64"/>
      <c r="M801" s="64"/>
      <c r="N801" s="64"/>
      <c r="O801" s="64"/>
      <c r="P801" s="64"/>
      <c r="Q801" s="64"/>
      <c r="R801" s="64"/>
      <c r="S801" s="64"/>
      <c r="T801" s="64"/>
      <c r="U801" s="64"/>
      <c r="V801" s="64"/>
      <c r="W801" s="64"/>
      <c r="BF801" s="64"/>
      <c r="BG801" s="64"/>
      <c r="BH801" s="64"/>
      <c r="BI801" s="64"/>
      <c r="BJ801" s="64"/>
      <c r="BK801" s="64"/>
      <c r="BL801" s="64"/>
      <c r="BM801" s="64"/>
      <c r="BN801" s="64"/>
      <c r="BO801" s="64"/>
      <c r="BP801" s="64"/>
    </row>
    <row r="802" ht="18.75" customHeight="1">
      <c r="H802" s="64"/>
      <c r="J802" s="64"/>
      <c r="K802" s="64"/>
      <c r="M802" s="64"/>
      <c r="N802" s="64"/>
      <c r="O802" s="64"/>
      <c r="P802" s="64"/>
      <c r="Q802" s="64"/>
      <c r="R802" s="64"/>
      <c r="S802" s="64"/>
      <c r="T802" s="64"/>
      <c r="U802" s="64"/>
      <c r="V802" s="64"/>
      <c r="W802" s="64"/>
      <c r="BF802" s="64"/>
      <c r="BG802" s="64"/>
      <c r="BH802" s="64"/>
      <c r="BI802" s="64"/>
      <c r="BJ802" s="64"/>
      <c r="BK802" s="64"/>
      <c r="BL802" s="64"/>
      <c r="BM802" s="64"/>
      <c r="BN802" s="64"/>
      <c r="BO802" s="64"/>
      <c r="BP802" s="64"/>
    </row>
    <row r="803" ht="18.75" customHeight="1">
      <c r="H803" s="64"/>
      <c r="J803" s="64"/>
      <c r="K803" s="64"/>
      <c r="M803" s="64"/>
      <c r="N803" s="64"/>
      <c r="O803" s="64"/>
      <c r="P803" s="64"/>
      <c r="Q803" s="64"/>
      <c r="R803" s="64"/>
      <c r="S803" s="64"/>
      <c r="T803" s="64"/>
      <c r="U803" s="64"/>
      <c r="V803" s="64"/>
      <c r="W803" s="64"/>
      <c r="BF803" s="64"/>
      <c r="BG803" s="64"/>
      <c r="BH803" s="64"/>
      <c r="BI803" s="64"/>
      <c r="BJ803" s="64"/>
      <c r="BK803" s="64"/>
      <c r="BL803" s="64"/>
      <c r="BM803" s="64"/>
      <c r="BN803" s="64"/>
      <c r="BO803" s="64"/>
      <c r="BP803" s="64"/>
    </row>
    <row r="804" ht="18.75" customHeight="1">
      <c r="H804" s="64"/>
      <c r="J804" s="64"/>
      <c r="K804" s="64"/>
      <c r="M804" s="64"/>
      <c r="N804" s="64"/>
      <c r="O804" s="64"/>
      <c r="P804" s="64"/>
      <c r="Q804" s="64"/>
      <c r="R804" s="64"/>
      <c r="S804" s="64"/>
      <c r="T804" s="64"/>
      <c r="U804" s="64"/>
      <c r="V804" s="64"/>
      <c r="W804" s="64"/>
      <c r="BF804" s="64"/>
      <c r="BG804" s="64"/>
      <c r="BH804" s="64"/>
      <c r="BI804" s="64"/>
      <c r="BJ804" s="64"/>
      <c r="BK804" s="64"/>
      <c r="BL804" s="64"/>
      <c r="BM804" s="64"/>
      <c r="BN804" s="64"/>
      <c r="BO804" s="64"/>
      <c r="BP804" s="64"/>
    </row>
    <row r="805" ht="18.75" customHeight="1">
      <c r="H805" s="64"/>
      <c r="J805" s="64"/>
      <c r="K805" s="64"/>
      <c r="M805" s="64"/>
      <c r="N805" s="64"/>
      <c r="O805" s="64"/>
      <c r="P805" s="64"/>
      <c r="Q805" s="64"/>
      <c r="R805" s="64"/>
      <c r="S805" s="64"/>
      <c r="T805" s="64"/>
      <c r="U805" s="64"/>
      <c r="V805" s="64"/>
      <c r="W805" s="64"/>
      <c r="BF805" s="64"/>
      <c r="BG805" s="64"/>
      <c r="BH805" s="64"/>
      <c r="BI805" s="64"/>
      <c r="BJ805" s="64"/>
      <c r="BK805" s="64"/>
      <c r="BL805" s="64"/>
      <c r="BM805" s="64"/>
      <c r="BN805" s="64"/>
      <c r="BO805" s="64"/>
      <c r="BP805" s="64"/>
    </row>
    <row r="806" ht="18.75" customHeight="1">
      <c r="H806" s="64"/>
      <c r="J806" s="64"/>
      <c r="K806" s="64"/>
      <c r="M806" s="64"/>
      <c r="N806" s="64"/>
      <c r="O806" s="64"/>
      <c r="P806" s="64"/>
      <c r="Q806" s="64"/>
      <c r="R806" s="64"/>
      <c r="S806" s="64"/>
      <c r="T806" s="64"/>
      <c r="U806" s="64"/>
      <c r="V806" s="64"/>
      <c r="W806" s="64"/>
      <c r="BF806" s="64"/>
      <c r="BG806" s="64"/>
      <c r="BH806" s="64"/>
      <c r="BI806" s="64"/>
      <c r="BJ806" s="64"/>
      <c r="BK806" s="64"/>
      <c r="BL806" s="64"/>
      <c r="BM806" s="64"/>
      <c r="BN806" s="64"/>
      <c r="BO806" s="64"/>
      <c r="BP806" s="64"/>
    </row>
    <row r="807" ht="18.75" customHeight="1">
      <c r="H807" s="64"/>
      <c r="J807" s="64"/>
      <c r="K807" s="64"/>
      <c r="M807" s="64"/>
      <c r="N807" s="64"/>
      <c r="O807" s="64"/>
      <c r="P807" s="64"/>
      <c r="Q807" s="64"/>
      <c r="R807" s="64"/>
      <c r="S807" s="64"/>
      <c r="T807" s="64"/>
      <c r="U807" s="64"/>
      <c r="V807" s="64"/>
      <c r="W807" s="64"/>
      <c r="BF807" s="64"/>
      <c r="BG807" s="64"/>
      <c r="BH807" s="64"/>
      <c r="BI807" s="64"/>
      <c r="BJ807" s="64"/>
      <c r="BK807" s="64"/>
      <c r="BL807" s="64"/>
      <c r="BM807" s="64"/>
      <c r="BN807" s="64"/>
      <c r="BO807" s="64"/>
      <c r="BP807" s="64"/>
    </row>
    <row r="808" ht="18.75" customHeight="1">
      <c r="H808" s="64"/>
      <c r="J808" s="64"/>
      <c r="K808" s="64"/>
      <c r="M808" s="64"/>
      <c r="N808" s="64"/>
      <c r="O808" s="64"/>
      <c r="P808" s="64"/>
      <c r="Q808" s="64"/>
      <c r="R808" s="64"/>
      <c r="S808" s="64"/>
      <c r="T808" s="64"/>
      <c r="U808" s="64"/>
      <c r="V808" s="64"/>
      <c r="W808" s="64"/>
      <c r="BF808" s="64"/>
      <c r="BG808" s="64"/>
      <c r="BH808" s="64"/>
      <c r="BI808" s="64"/>
      <c r="BJ808" s="64"/>
      <c r="BK808" s="64"/>
      <c r="BL808" s="64"/>
      <c r="BM808" s="64"/>
      <c r="BN808" s="64"/>
      <c r="BO808" s="64"/>
      <c r="BP808" s="64"/>
    </row>
    <row r="809" ht="18.75" customHeight="1">
      <c r="H809" s="64"/>
      <c r="J809" s="64"/>
      <c r="K809" s="64"/>
      <c r="M809" s="64"/>
      <c r="N809" s="64"/>
      <c r="O809" s="64"/>
      <c r="P809" s="64"/>
      <c r="Q809" s="64"/>
      <c r="R809" s="64"/>
      <c r="S809" s="64"/>
      <c r="T809" s="64"/>
      <c r="U809" s="64"/>
      <c r="V809" s="64"/>
      <c r="W809" s="64"/>
      <c r="BF809" s="64"/>
      <c r="BG809" s="64"/>
      <c r="BH809" s="64"/>
      <c r="BI809" s="64"/>
      <c r="BJ809" s="64"/>
      <c r="BK809" s="64"/>
      <c r="BL809" s="64"/>
      <c r="BM809" s="64"/>
      <c r="BN809" s="64"/>
      <c r="BO809" s="64"/>
      <c r="BP809" s="64"/>
    </row>
    <row r="810" ht="18.75" customHeight="1">
      <c r="H810" s="64"/>
      <c r="J810" s="64"/>
      <c r="K810" s="64"/>
      <c r="M810" s="64"/>
      <c r="N810" s="64"/>
      <c r="O810" s="64"/>
      <c r="P810" s="64"/>
      <c r="Q810" s="64"/>
      <c r="R810" s="64"/>
      <c r="S810" s="64"/>
      <c r="T810" s="64"/>
      <c r="U810" s="64"/>
      <c r="V810" s="64"/>
      <c r="W810" s="64"/>
      <c r="BF810" s="64"/>
      <c r="BG810" s="64"/>
      <c r="BH810" s="64"/>
      <c r="BI810" s="64"/>
      <c r="BJ810" s="64"/>
      <c r="BK810" s="64"/>
      <c r="BL810" s="64"/>
      <c r="BM810" s="64"/>
      <c r="BN810" s="64"/>
      <c r="BO810" s="64"/>
      <c r="BP810" s="64"/>
    </row>
    <row r="811" ht="18.75" customHeight="1">
      <c r="H811" s="64"/>
      <c r="J811" s="64"/>
      <c r="K811" s="64"/>
      <c r="M811" s="64"/>
      <c r="N811" s="64"/>
      <c r="O811" s="64"/>
      <c r="P811" s="64"/>
      <c r="Q811" s="64"/>
      <c r="R811" s="64"/>
      <c r="S811" s="64"/>
      <c r="T811" s="64"/>
      <c r="U811" s="64"/>
      <c r="V811" s="64"/>
      <c r="W811" s="64"/>
      <c r="BF811" s="64"/>
      <c r="BG811" s="64"/>
      <c r="BH811" s="64"/>
      <c r="BI811" s="64"/>
      <c r="BJ811" s="64"/>
      <c r="BK811" s="64"/>
      <c r="BL811" s="64"/>
      <c r="BM811" s="64"/>
      <c r="BN811" s="64"/>
      <c r="BO811" s="64"/>
      <c r="BP811" s="64"/>
    </row>
    <row r="812" ht="18.75" customHeight="1">
      <c r="H812" s="64"/>
      <c r="J812" s="64"/>
      <c r="K812" s="64"/>
      <c r="M812" s="64"/>
      <c r="N812" s="64"/>
      <c r="O812" s="64"/>
      <c r="P812" s="64"/>
      <c r="Q812" s="64"/>
      <c r="R812" s="64"/>
      <c r="S812" s="64"/>
      <c r="T812" s="64"/>
      <c r="U812" s="64"/>
      <c r="V812" s="64"/>
      <c r="W812" s="64"/>
      <c r="BF812" s="64"/>
      <c r="BG812" s="64"/>
      <c r="BH812" s="64"/>
      <c r="BI812" s="64"/>
      <c r="BJ812" s="64"/>
      <c r="BK812" s="64"/>
      <c r="BL812" s="64"/>
      <c r="BM812" s="64"/>
      <c r="BN812" s="64"/>
      <c r="BO812" s="64"/>
      <c r="BP812" s="64"/>
    </row>
    <row r="813" ht="18.75" customHeight="1">
      <c r="H813" s="64"/>
      <c r="J813" s="64"/>
      <c r="K813" s="64"/>
      <c r="M813" s="64"/>
      <c r="N813" s="64"/>
      <c r="O813" s="64"/>
      <c r="P813" s="64"/>
      <c r="Q813" s="64"/>
      <c r="R813" s="64"/>
      <c r="S813" s="64"/>
      <c r="T813" s="64"/>
      <c r="U813" s="64"/>
      <c r="V813" s="64"/>
      <c r="W813" s="64"/>
      <c r="BF813" s="64"/>
      <c r="BG813" s="64"/>
      <c r="BH813" s="64"/>
      <c r="BI813" s="64"/>
      <c r="BJ813" s="64"/>
      <c r="BK813" s="64"/>
      <c r="BL813" s="64"/>
      <c r="BM813" s="64"/>
      <c r="BN813" s="64"/>
      <c r="BO813" s="64"/>
      <c r="BP813" s="64"/>
    </row>
    <row r="814" ht="18.75" customHeight="1">
      <c r="H814" s="64"/>
      <c r="J814" s="64"/>
      <c r="K814" s="64"/>
      <c r="M814" s="64"/>
      <c r="N814" s="64"/>
      <c r="O814" s="64"/>
      <c r="P814" s="64"/>
      <c r="Q814" s="64"/>
      <c r="R814" s="64"/>
      <c r="S814" s="64"/>
      <c r="T814" s="64"/>
      <c r="U814" s="64"/>
      <c r="V814" s="64"/>
      <c r="W814" s="64"/>
      <c r="BF814" s="64"/>
      <c r="BG814" s="64"/>
      <c r="BH814" s="64"/>
      <c r="BI814" s="64"/>
      <c r="BJ814" s="64"/>
      <c r="BK814" s="64"/>
      <c r="BL814" s="64"/>
      <c r="BM814" s="64"/>
      <c r="BN814" s="64"/>
      <c r="BO814" s="64"/>
      <c r="BP814" s="64"/>
    </row>
    <row r="815" ht="18.75" customHeight="1">
      <c r="H815" s="64"/>
      <c r="J815" s="64"/>
      <c r="K815" s="64"/>
      <c r="M815" s="64"/>
      <c r="N815" s="64"/>
      <c r="O815" s="64"/>
      <c r="P815" s="64"/>
      <c r="Q815" s="64"/>
      <c r="R815" s="64"/>
      <c r="S815" s="64"/>
      <c r="T815" s="64"/>
      <c r="U815" s="64"/>
      <c r="V815" s="64"/>
      <c r="W815" s="64"/>
      <c r="BF815" s="64"/>
      <c r="BG815" s="64"/>
      <c r="BH815" s="64"/>
      <c r="BI815" s="64"/>
      <c r="BJ815" s="64"/>
      <c r="BK815" s="64"/>
      <c r="BL815" s="64"/>
      <c r="BM815" s="64"/>
      <c r="BN815" s="64"/>
      <c r="BO815" s="64"/>
      <c r="BP815" s="64"/>
    </row>
    <row r="816" ht="18.75" customHeight="1">
      <c r="H816" s="64"/>
      <c r="J816" s="64"/>
      <c r="K816" s="64"/>
      <c r="M816" s="64"/>
      <c r="N816" s="64"/>
      <c r="O816" s="64"/>
      <c r="P816" s="64"/>
      <c r="Q816" s="64"/>
      <c r="R816" s="64"/>
      <c r="S816" s="64"/>
      <c r="T816" s="64"/>
      <c r="U816" s="64"/>
      <c r="V816" s="64"/>
      <c r="W816" s="64"/>
      <c r="BF816" s="64"/>
      <c r="BG816" s="64"/>
      <c r="BH816" s="64"/>
      <c r="BI816" s="64"/>
      <c r="BJ816" s="64"/>
      <c r="BK816" s="64"/>
      <c r="BL816" s="64"/>
      <c r="BM816" s="64"/>
      <c r="BN816" s="64"/>
      <c r="BO816" s="64"/>
      <c r="BP816" s="64"/>
    </row>
    <row r="817" ht="18.75" customHeight="1">
      <c r="H817" s="64"/>
      <c r="J817" s="64"/>
      <c r="K817" s="64"/>
      <c r="M817" s="64"/>
      <c r="N817" s="64"/>
      <c r="O817" s="64"/>
      <c r="P817" s="64"/>
      <c r="Q817" s="64"/>
      <c r="R817" s="64"/>
      <c r="S817" s="64"/>
      <c r="T817" s="64"/>
      <c r="U817" s="64"/>
      <c r="V817" s="64"/>
      <c r="W817" s="64"/>
      <c r="BF817" s="64"/>
      <c r="BG817" s="64"/>
      <c r="BH817" s="64"/>
      <c r="BI817" s="64"/>
      <c r="BJ817" s="64"/>
      <c r="BK817" s="64"/>
      <c r="BL817" s="64"/>
      <c r="BM817" s="64"/>
      <c r="BN817" s="64"/>
      <c r="BO817" s="64"/>
      <c r="BP817" s="64"/>
    </row>
    <row r="818" ht="18.75" customHeight="1">
      <c r="H818" s="64"/>
      <c r="J818" s="64"/>
      <c r="K818" s="64"/>
      <c r="M818" s="64"/>
      <c r="N818" s="64"/>
      <c r="O818" s="64"/>
      <c r="P818" s="64"/>
      <c r="Q818" s="64"/>
      <c r="R818" s="64"/>
      <c r="S818" s="64"/>
      <c r="T818" s="64"/>
      <c r="U818" s="64"/>
      <c r="V818" s="64"/>
      <c r="W818" s="64"/>
      <c r="BF818" s="64"/>
      <c r="BG818" s="64"/>
      <c r="BH818" s="64"/>
      <c r="BI818" s="64"/>
      <c r="BJ818" s="64"/>
      <c r="BK818" s="64"/>
      <c r="BL818" s="64"/>
      <c r="BM818" s="64"/>
      <c r="BN818" s="64"/>
      <c r="BO818" s="64"/>
      <c r="BP818" s="64"/>
    </row>
    <row r="819" ht="18.75" customHeight="1">
      <c r="H819" s="64"/>
      <c r="J819" s="64"/>
      <c r="K819" s="64"/>
      <c r="M819" s="64"/>
      <c r="N819" s="64"/>
      <c r="O819" s="64"/>
      <c r="P819" s="64"/>
      <c r="Q819" s="64"/>
      <c r="R819" s="64"/>
      <c r="S819" s="64"/>
      <c r="T819" s="64"/>
      <c r="U819" s="64"/>
      <c r="V819" s="64"/>
      <c r="W819" s="64"/>
      <c r="BF819" s="64"/>
      <c r="BG819" s="64"/>
      <c r="BH819" s="64"/>
      <c r="BI819" s="64"/>
      <c r="BJ819" s="64"/>
      <c r="BK819" s="64"/>
      <c r="BL819" s="64"/>
      <c r="BM819" s="64"/>
      <c r="BN819" s="64"/>
      <c r="BO819" s="64"/>
      <c r="BP819" s="64"/>
    </row>
    <row r="820" ht="18.75" customHeight="1">
      <c r="H820" s="64"/>
      <c r="J820" s="64"/>
      <c r="K820" s="64"/>
      <c r="M820" s="64"/>
      <c r="N820" s="64"/>
      <c r="O820" s="64"/>
      <c r="P820" s="64"/>
      <c r="Q820" s="64"/>
      <c r="R820" s="64"/>
      <c r="S820" s="64"/>
      <c r="T820" s="64"/>
      <c r="U820" s="64"/>
      <c r="V820" s="64"/>
      <c r="W820" s="64"/>
      <c r="BF820" s="64"/>
      <c r="BG820" s="64"/>
      <c r="BH820" s="64"/>
      <c r="BI820" s="64"/>
      <c r="BJ820" s="64"/>
      <c r="BK820" s="64"/>
      <c r="BL820" s="64"/>
      <c r="BM820" s="64"/>
      <c r="BN820" s="64"/>
      <c r="BO820" s="64"/>
      <c r="BP820" s="64"/>
    </row>
    <row r="821" ht="18.75" customHeight="1">
      <c r="H821" s="64"/>
      <c r="J821" s="64"/>
      <c r="K821" s="64"/>
      <c r="M821" s="64"/>
      <c r="N821" s="64"/>
      <c r="O821" s="64"/>
      <c r="P821" s="64"/>
      <c r="Q821" s="64"/>
      <c r="R821" s="64"/>
      <c r="S821" s="64"/>
      <c r="T821" s="64"/>
      <c r="U821" s="64"/>
      <c r="V821" s="64"/>
      <c r="W821" s="64"/>
      <c r="BF821" s="64"/>
      <c r="BG821" s="64"/>
      <c r="BH821" s="64"/>
      <c r="BI821" s="64"/>
      <c r="BJ821" s="64"/>
      <c r="BK821" s="64"/>
      <c r="BL821" s="64"/>
      <c r="BM821" s="64"/>
      <c r="BN821" s="64"/>
      <c r="BO821" s="64"/>
      <c r="BP821" s="64"/>
    </row>
    <row r="822" ht="18.75" customHeight="1">
      <c r="H822" s="64"/>
      <c r="J822" s="64"/>
      <c r="K822" s="64"/>
      <c r="M822" s="64"/>
      <c r="N822" s="64"/>
      <c r="O822" s="64"/>
      <c r="P822" s="64"/>
      <c r="Q822" s="64"/>
      <c r="R822" s="64"/>
      <c r="S822" s="64"/>
      <c r="T822" s="64"/>
      <c r="U822" s="64"/>
      <c r="V822" s="64"/>
      <c r="W822" s="64"/>
      <c r="BF822" s="64"/>
      <c r="BG822" s="64"/>
      <c r="BH822" s="64"/>
      <c r="BI822" s="64"/>
      <c r="BJ822" s="64"/>
      <c r="BK822" s="64"/>
      <c r="BL822" s="64"/>
      <c r="BM822" s="64"/>
      <c r="BN822" s="64"/>
      <c r="BO822" s="64"/>
      <c r="BP822" s="64"/>
    </row>
    <row r="823" ht="18.75" customHeight="1">
      <c r="H823" s="64"/>
      <c r="J823" s="64"/>
      <c r="K823" s="64"/>
      <c r="M823" s="64"/>
      <c r="N823" s="64"/>
      <c r="O823" s="64"/>
      <c r="P823" s="64"/>
      <c r="Q823" s="64"/>
      <c r="R823" s="64"/>
      <c r="S823" s="64"/>
      <c r="T823" s="64"/>
      <c r="U823" s="64"/>
      <c r="V823" s="64"/>
      <c r="W823" s="64"/>
      <c r="BF823" s="64"/>
      <c r="BG823" s="64"/>
      <c r="BH823" s="64"/>
      <c r="BI823" s="64"/>
      <c r="BJ823" s="64"/>
      <c r="BK823" s="64"/>
      <c r="BL823" s="64"/>
      <c r="BM823" s="64"/>
      <c r="BN823" s="64"/>
      <c r="BO823" s="64"/>
      <c r="BP823" s="64"/>
    </row>
    <row r="824" ht="18.75" customHeight="1">
      <c r="H824" s="64"/>
      <c r="J824" s="64"/>
      <c r="K824" s="64"/>
      <c r="M824" s="64"/>
      <c r="N824" s="64"/>
      <c r="O824" s="64"/>
      <c r="P824" s="64"/>
      <c r="Q824" s="64"/>
      <c r="R824" s="64"/>
      <c r="S824" s="64"/>
      <c r="T824" s="64"/>
      <c r="U824" s="64"/>
      <c r="V824" s="64"/>
      <c r="W824" s="64"/>
      <c r="BF824" s="64"/>
      <c r="BG824" s="64"/>
      <c r="BH824" s="64"/>
      <c r="BI824" s="64"/>
      <c r="BJ824" s="64"/>
      <c r="BK824" s="64"/>
      <c r="BL824" s="64"/>
      <c r="BM824" s="64"/>
      <c r="BN824" s="64"/>
      <c r="BO824" s="64"/>
      <c r="BP824" s="64"/>
    </row>
    <row r="825" ht="18.75" customHeight="1">
      <c r="H825" s="64"/>
      <c r="J825" s="64"/>
      <c r="K825" s="64"/>
      <c r="M825" s="64"/>
      <c r="N825" s="64"/>
      <c r="O825" s="64"/>
      <c r="P825" s="64"/>
      <c r="Q825" s="64"/>
      <c r="R825" s="64"/>
      <c r="S825" s="64"/>
      <c r="T825" s="64"/>
      <c r="U825" s="64"/>
      <c r="V825" s="64"/>
      <c r="W825" s="64"/>
      <c r="BF825" s="64"/>
      <c r="BG825" s="64"/>
      <c r="BH825" s="64"/>
      <c r="BI825" s="64"/>
      <c r="BJ825" s="64"/>
      <c r="BK825" s="64"/>
      <c r="BL825" s="64"/>
      <c r="BM825" s="64"/>
      <c r="BN825" s="64"/>
      <c r="BO825" s="64"/>
      <c r="BP825" s="64"/>
    </row>
    <row r="826" ht="18.75" customHeight="1">
      <c r="H826" s="64"/>
      <c r="J826" s="64"/>
      <c r="K826" s="64"/>
      <c r="M826" s="64"/>
      <c r="N826" s="64"/>
      <c r="O826" s="64"/>
      <c r="P826" s="64"/>
      <c r="Q826" s="64"/>
      <c r="R826" s="64"/>
      <c r="S826" s="64"/>
      <c r="T826" s="64"/>
      <c r="U826" s="64"/>
      <c r="V826" s="64"/>
      <c r="W826" s="64"/>
      <c r="BF826" s="64"/>
      <c r="BG826" s="64"/>
      <c r="BH826" s="64"/>
      <c r="BI826" s="64"/>
      <c r="BJ826" s="64"/>
      <c r="BK826" s="64"/>
      <c r="BL826" s="64"/>
      <c r="BM826" s="64"/>
      <c r="BN826" s="64"/>
      <c r="BO826" s="64"/>
      <c r="BP826" s="64"/>
    </row>
    <row r="827" ht="18.75" customHeight="1">
      <c r="H827" s="64"/>
      <c r="J827" s="64"/>
      <c r="K827" s="64"/>
      <c r="M827" s="64"/>
      <c r="N827" s="64"/>
      <c r="O827" s="64"/>
      <c r="P827" s="64"/>
      <c r="Q827" s="64"/>
      <c r="R827" s="64"/>
      <c r="S827" s="64"/>
      <c r="T827" s="64"/>
      <c r="U827" s="64"/>
      <c r="V827" s="64"/>
      <c r="W827" s="64"/>
      <c r="BF827" s="64"/>
      <c r="BG827" s="64"/>
      <c r="BH827" s="64"/>
      <c r="BI827" s="64"/>
      <c r="BJ827" s="64"/>
      <c r="BK827" s="64"/>
      <c r="BL827" s="64"/>
      <c r="BM827" s="64"/>
      <c r="BN827" s="64"/>
      <c r="BO827" s="64"/>
      <c r="BP827" s="64"/>
    </row>
    <row r="828" ht="18.75" customHeight="1">
      <c r="H828" s="64"/>
      <c r="J828" s="64"/>
      <c r="K828" s="64"/>
      <c r="M828" s="64"/>
      <c r="N828" s="64"/>
      <c r="O828" s="64"/>
      <c r="P828" s="64"/>
      <c r="Q828" s="64"/>
      <c r="R828" s="64"/>
      <c r="S828" s="64"/>
      <c r="T828" s="64"/>
      <c r="U828" s="64"/>
      <c r="V828" s="64"/>
      <c r="W828" s="64"/>
      <c r="BF828" s="64"/>
      <c r="BG828" s="64"/>
      <c r="BH828" s="64"/>
      <c r="BI828" s="64"/>
      <c r="BJ828" s="64"/>
      <c r="BK828" s="64"/>
      <c r="BL828" s="64"/>
      <c r="BM828" s="64"/>
      <c r="BN828" s="64"/>
      <c r="BO828" s="64"/>
      <c r="BP828" s="64"/>
    </row>
    <row r="829" ht="18.75" customHeight="1">
      <c r="H829" s="64"/>
      <c r="J829" s="64"/>
      <c r="K829" s="64"/>
      <c r="M829" s="64"/>
      <c r="N829" s="64"/>
      <c r="O829" s="64"/>
      <c r="P829" s="64"/>
      <c r="Q829" s="64"/>
      <c r="R829" s="64"/>
      <c r="S829" s="64"/>
      <c r="T829" s="64"/>
      <c r="U829" s="64"/>
      <c r="V829" s="64"/>
      <c r="W829" s="64"/>
      <c r="BF829" s="64"/>
      <c r="BG829" s="64"/>
      <c r="BH829" s="64"/>
      <c r="BI829" s="64"/>
      <c r="BJ829" s="64"/>
      <c r="BK829" s="64"/>
      <c r="BL829" s="64"/>
      <c r="BM829" s="64"/>
      <c r="BN829" s="64"/>
      <c r="BO829" s="64"/>
      <c r="BP829" s="64"/>
    </row>
    <row r="830" ht="18.75" customHeight="1">
      <c r="H830" s="64"/>
      <c r="J830" s="64"/>
      <c r="K830" s="64"/>
      <c r="M830" s="64"/>
      <c r="N830" s="64"/>
      <c r="O830" s="64"/>
      <c r="P830" s="64"/>
      <c r="Q830" s="64"/>
      <c r="R830" s="64"/>
      <c r="S830" s="64"/>
      <c r="T830" s="64"/>
      <c r="U830" s="64"/>
      <c r="V830" s="64"/>
      <c r="W830" s="64"/>
      <c r="BF830" s="64"/>
      <c r="BG830" s="64"/>
      <c r="BH830" s="64"/>
      <c r="BI830" s="64"/>
      <c r="BJ830" s="64"/>
      <c r="BK830" s="64"/>
      <c r="BL830" s="64"/>
      <c r="BM830" s="64"/>
      <c r="BN830" s="64"/>
      <c r="BO830" s="64"/>
      <c r="BP830" s="64"/>
    </row>
    <row r="831" ht="18.75" customHeight="1">
      <c r="H831" s="64"/>
      <c r="J831" s="64"/>
      <c r="K831" s="64"/>
      <c r="M831" s="64"/>
      <c r="N831" s="64"/>
      <c r="O831" s="64"/>
      <c r="P831" s="64"/>
      <c r="Q831" s="64"/>
      <c r="R831" s="64"/>
      <c r="S831" s="64"/>
      <c r="T831" s="64"/>
      <c r="U831" s="64"/>
      <c r="V831" s="64"/>
      <c r="W831" s="64"/>
      <c r="BF831" s="64"/>
      <c r="BG831" s="64"/>
      <c r="BH831" s="64"/>
      <c r="BI831" s="64"/>
      <c r="BJ831" s="64"/>
      <c r="BK831" s="64"/>
      <c r="BL831" s="64"/>
      <c r="BM831" s="64"/>
      <c r="BN831" s="64"/>
      <c r="BO831" s="64"/>
      <c r="BP831" s="64"/>
    </row>
    <row r="832" ht="18.75" customHeight="1">
      <c r="H832" s="64"/>
      <c r="J832" s="64"/>
      <c r="K832" s="64"/>
      <c r="M832" s="64"/>
      <c r="N832" s="64"/>
      <c r="O832" s="64"/>
      <c r="P832" s="64"/>
      <c r="Q832" s="64"/>
      <c r="R832" s="64"/>
      <c r="S832" s="64"/>
      <c r="T832" s="64"/>
      <c r="U832" s="64"/>
      <c r="V832" s="64"/>
      <c r="W832" s="64"/>
      <c r="BF832" s="64"/>
      <c r="BG832" s="64"/>
      <c r="BH832" s="64"/>
      <c r="BI832" s="64"/>
      <c r="BJ832" s="64"/>
      <c r="BK832" s="64"/>
      <c r="BL832" s="64"/>
      <c r="BM832" s="64"/>
      <c r="BN832" s="64"/>
      <c r="BO832" s="64"/>
      <c r="BP832" s="64"/>
    </row>
    <row r="833" ht="18.75" customHeight="1">
      <c r="H833" s="64"/>
      <c r="J833" s="64"/>
      <c r="K833" s="64"/>
      <c r="M833" s="64"/>
      <c r="N833" s="64"/>
      <c r="O833" s="64"/>
      <c r="P833" s="64"/>
      <c r="Q833" s="64"/>
      <c r="R833" s="64"/>
      <c r="S833" s="64"/>
      <c r="T833" s="64"/>
      <c r="U833" s="64"/>
      <c r="V833" s="64"/>
      <c r="W833" s="64"/>
      <c r="BF833" s="64"/>
      <c r="BG833" s="64"/>
      <c r="BH833" s="64"/>
      <c r="BI833" s="64"/>
      <c r="BJ833" s="64"/>
      <c r="BK833" s="64"/>
      <c r="BL833" s="64"/>
      <c r="BM833" s="64"/>
      <c r="BN833" s="64"/>
      <c r="BO833" s="64"/>
      <c r="BP833" s="64"/>
    </row>
    <row r="834" ht="18.75" customHeight="1">
      <c r="H834" s="64"/>
      <c r="J834" s="64"/>
      <c r="K834" s="64"/>
      <c r="M834" s="64"/>
      <c r="N834" s="64"/>
      <c r="O834" s="64"/>
      <c r="P834" s="64"/>
      <c r="Q834" s="64"/>
      <c r="R834" s="64"/>
      <c r="S834" s="64"/>
      <c r="T834" s="64"/>
      <c r="U834" s="64"/>
      <c r="V834" s="64"/>
      <c r="W834" s="64"/>
      <c r="BF834" s="64"/>
      <c r="BG834" s="64"/>
      <c r="BH834" s="64"/>
      <c r="BI834" s="64"/>
      <c r="BJ834" s="64"/>
      <c r="BK834" s="64"/>
      <c r="BL834" s="64"/>
      <c r="BM834" s="64"/>
      <c r="BN834" s="64"/>
      <c r="BO834" s="64"/>
      <c r="BP834" s="64"/>
    </row>
    <row r="835" ht="18.75" customHeight="1">
      <c r="H835" s="64"/>
      <c r="J835" s="64"/>
      <c r="K835" s="64"/>
      <c r="M835" s="64"/>
      <c r="N835" s="64"/>
      <c r="O835" s="64"/>
      <c r="P835" s="64"/>
      <c r="Q835" s="64"/>
      <c r="R835" s="64"/>
      <c r="S835" s="64"/>
      <c r="T835" s="64"/>
      <c r="U835" s="64"/>
      <c r="V835" s="64"/>
      <c r="W835" s="64"/>
      <c r="BF835" s="64"/>
      <c r="BG835" s="64"/>
      <c r="BH835" s="64"/>
      <c r="BI835" s="64"/>
      <c r="BJ835" s="64"/>
      <c r="BK835" s="64"/>
      <c r="BL835" s="64"/>
      <c r="BM835" s="64"/>
      <c r="BN835" s="64"/>
      <c r="BO835" s="64"/>
      <c r="BP835" s="64"/>
    </row>
    <row r="836" ht="18.75" customHeight="1">
      <c r="H836" s="64"/>
      <c r="J836" s="64"/>
      <c r="K836" s="64"/>
      <c r="M836" s="64"/>
      <c r="N836" s="64"/>
      <c r="O836" s="64"/>
      <c r="P836" s="64"/>
      <c r="Q836" s="64"/>
      <c r="R836" s="64"/>
      <c r="S836" s="64"/>
      <c r="T836" s="64"/>
      <c r="U836" s="64"/>
      <c r="V836" s="64"/>
      <c r="W836" s="64"/>
      <c r="BF836" s="64"/>
      <c r="BG836" s="64"/>
      <c r="BH836" s="64"/>
      <c r="BI836" s="64"/>
      <c r="BJ836" s="64"/>
      <c r="BK836" s="64"/>
      <c r="BL836" s="64"/>
      <c r="BM836" s="64"/>
      <c r="BN836" s="64"/>
      <c r="BO836" s="64"/>
      <c r="BP836" s="64"/>
    </row>
    <row r="837" ht="18.75" customHeight="1">
      <c r="H837" s="64"/>
      <c r="J837" s="64"/>
      <c r="K837" s="64"/>
      <c r="M837" s="64"/>
      <c r="N837" s="64"/>
      <c r="O837" s="64"/>
      <c r="P837" s="64"/>
      <c r="Q837" s="64"/>
      <c r="R837" s="64"/>
      <c r="S837" s="64"/>
      <c r="T837" s="64"/>
      <c r="U837" s="64"/>
      <c r="V837" s="64"/>
      <c r="W837" s="64"/>
      <c r="BF837" s="64"/>
      <c r="BG837" s="64"/>
      <c r="BH837" s="64"/>
      <c r="BI837" s="64"/>
      <c r="BJ837" s="64"/>
      <c r="BK837" s="64"/>
      <c r="BL837" s="64"/>
      <c r="BM837" s="64"/>
      <c r="BN837" s="64"/>
      <c r="BO837" s="64"/>
      <c r="BP837" s="64"/>
    </row>
    <row r="838" ht="18.75" customHeight="1">
      <c r="H838" s="64"/>
      <c r="J838" s="64"/>
      <c r="K838" s="64"/>
      <c r="M838" s="64"/>
      <c r="N838" s="64"/>
      <c r="O838" s="64"/>
      <c r="P838" s="64"/>
      <c r="Q838" s="64"/>
      <c r="R838" s="64"/>
      <c r="S838" s="64"/>
      <c r="T838" s="64"/>
      <c r="U838" s="64"/>
      <c r="V838" s="64"/>
      <c r="W838" s="64"/>
      <c r="BF838" s="64"/>
      <c r="BG838" s="64"/>
      <c r="BH838" s="64"/>
      <c r="BI838" s="64"/>
      <c r="BJ838" s="64"/>
      <c r="BK838" s="64"/>
      <c r="BL838" s="64"/>
      <c r="BM838" s="64"/>
      <c r="BN838" s="64"/>
      <c r="BO838" s="64"/>
      <c r="BP838" s="64"/>
    </row>
    <row r="839" ht="18.75" customHeight="1">
      <c r="H839" s="64"/>
      <c r="J839" s="64"/>
      <c r="K839" s="64"/>
      <c r="M839" s="64"/>
      <c r="N839" s="64"/>
      <c r="O839" s="64"/>
      <c r="P839" s="64"/>
      <c r="Q839" s="64"/>
      <c r="R839" s="64"/>
      <c r="S839" s="64"/>
      <c r="T839" s="64"/>
      <c r="U839" s="64"/>
      <c r="V839" s="64"/>
      <c r="W839" s="64"/>
      <c r="BF839" s="64"/>
      <c r="BG839" s="64"/>
      <c r="BH839" s="64"/>
      <c r="BI839" s="64"/>
      <c r="BJ839" s="64"/>
      <c r="BK839" s="64"/>
      <c r="BL839" s="64"/>
      <c r="BM839" s="64"/>
      <c r="BN839" s="64"/>
      <c r="BO839" s="64"/>
      <c r="BP839" s="64"/>
    </row>
    <row r="840" ht="18.75" customHeight="1">
      <c r="H840" s="64"/>
      <c r="J840" s="64"/>
      <c r="K840" s="64"/>
      <c r="M840" s="64"/>
      <c r="N840" s="64"/>
      <c r="O840" s="64"/>
      <c r="P840" s="64"/>
      <c r="Q840" s="64"/>
      <c r="R840" s="64"/>
      <c r="S840" s="64"/>
      <c r="T840" s="64"/>
      <c r="U840" s="64"/>
      <c r="V840" s="64"/>
      <c r="W840" s="64"/>
      <c r="BF840" s="64"/>
      <c r="BG840" s="64"/>
      <c r="BH840" s="64"/>
      <c r="BI840" s="64"/>
      <c r="BJ840" s="64"/>
      <c r="BK840" s="64"/>
      <c r="BL840" s="64"/>
      <c r="BM840" s="64"/>
      <c r="BN840" s="64"/>
      <c r="BO840" s="64"/>
      <c r="BP840" s="64"/>
    </row>
    <row r="841" ht="18.75" customHeight="1">
      <c r="H841" s="64"/>
      <c r="J841" s="64"/>
      <c r="K841" s="64"/>
      <c r="M841" s="64"/>
      <c r="N841" s="64"/>
      <c r="O841" s="64"/>
      <c r="P841" s="64"/>
      <c r="Q841" s="64"/>
      <c r="R841" s="64"/>
      <c r="S841" s="64"/>
      <c r="T841" s="64"/>
      <c r="U841" s="64"/>
      <c r="V841" s="64"/>
      <c r="W841" s="64"/>
      <c r="BF841" s="64"/>
      <c r="BG841" s="64"/>
      <c r="BH841" s="64"/>
      <c r="BI841" s="64"/>
      <c r="BJ841" s="64"/>
      <c r="BK841" s="64"/>
      <c r="BL841" s="64"/>
      <c r="BM841" s="64"/>
      <c r="BN841" s="64"/>
      <c r="BO841" s="64"/>
      <c r="BP841" s="64"/>
    </row>
    <row r="842" ht="18.75" customHeight="1">
      <c r="H842" s="64"/>
      <c r="J842" s="64"/>
      <c r="K842" s="64"/>
      <c r="M842" s="64"/>
      <c r="N842" s="64"/>
      <c r="O842" s="64"/>
      <c r="P842" s="64"/>
      <c r="Q842" s="64"/>
      <c r="R842" s="64"/>
      <c r="S842" s="64"/>
      <c r="T842" s="64"/>
      <c r="U842" s="64"/>
      <c r="V842" s="64"/>
      <c r="W842" s="64"/>
      <c r="BF842" s="64"/>
      <c r="BG842" s="64"/>
      <c r="BH842" s="64"/>
      <c r="BI842" s="64"/>
      <c r="BJ842" s="64"/>
      <c r="BK842" s="64"/>
      <c r="BL842" s="64"/>
      <c r="BM842" s="64"/>
      <c r="BN842" s="64"/>
      <c r="BO842" s="64"/>
      <c r="BP842" s="64"/>
    </row>
    <row r="843" ht="18.75" customHeight="1">
      <c r="H843" s="64"/>
      <c r="J843" s="64"/>
      <c r="K843" s="64"/>
      <c r="M843" s="64"/>
      <c r="N843" s="64"/>
      <c r="O843" s="64"/>
      <c r="P843" s="64"/>
      <c r="Q843" s="64"/>
      <c r="R843" s="64"/>
      <c r="S843" s="64"/>
      <c r="T843" s="64"/>
      <c r="U843" s="64"/>
      <c r="V843" s="64"/>
      <c r="W843" s="64"/>
      <c r="BF843" s="64"/>
      <c r="BG843" s="64"/>
      <c r="BH843" s="64"/>
      <c r="BI843" s="64"/>
      <c r="BJ843" s="64"/>
      <c r="BK843" s="64"/>
      <c r="BL843" s="64"/>
      <c r="BM843" s="64"/>
      <c r="BN843" s="64"/>
      <c r="BO843" s="64"/>
      <c r="BP843" s="64"/>
    </row>
    <row r="844" ht="18.75" customHeight="1">
      <c r="H844" s="64"/>
      <c r="J844" s="64"/>
      <c r="K844" s="64"/>
      <c r="M844" s="64"/>
      <c r="N844" s="64"/>
      <c r="O844" s="64"/>
      <c r="P844" s="64"/>
      <c r="Q844" s="64"/>
      <c r="R844" s="64"/>
      <c r="S844" s="64"/>
      <c r="T844" s="64"/>
      <c r="U844" s="64"/>
      <c r="V844" s="64"/>
      <c r="W844" s="64"/>
      <c r="BF844" s="64"/>
      <c r="BG844" s="64"/>
      <c r="BH844" s="64"/>
      <c r="BI844" s="64"/>
      <c r="BJ844" s="64"/>
      <c r="BK844" s="64"/>
      <c r="BL844" s="64"/>
      <c r="BM844" s="64"/>
      <c r="BN844" s="64"/>
      <c r="BO844" s="64"/>
      <c r="BP844" s="64"/>
    </row>
    <row r="845" ht="18.75" customHeight="1">
      <c r="H845" s="64"/>
      <c r="J845" s="64"/>
      <c r="K845" s="64"/>
      <c r="M845" s="64"/>
      <c r="N845" s="64"/>
      <c r="O845" s="64"/>
      <c r="P845" s="64"/>
      <c r="Q845" s="64"/>
      <c r="R845" s="64"/>
      <c r="S845" s="64"/>
      <c r="T845" s="64"/>
      <c r="U845" s="64"/>
      <c r="V845" s="64"/>
      <c r="W845" s="64"/>
      <c r="BF845" s="64"/>
      <c r="BG845" s="64"/>
      <c r="BH845" s="64"/>
      <c r="BI845" s="64"/>
      <c r="BJ845" s="64"/>
      <c r="BK845" s="64"/>
      <c r="BL845" s="64"/>
      <c r="BM845" s="64"/>
      <c r="BN845" s="64"/>
      <c r="BO845" s="64"/>
      <c r="BP845" s="64"/>
    </row>
    <row r="846" ht="18.75" customHeight="1">
      <c r="H846" s="64"/>
      <c r="J846" s="64"/>
      <c r="K846" s="64"/>
      <c r="M846" s="64"/>
      <c r="N846" s="64"/>
      <c r="O846" s="64"/>
      <c r="P846" s="64"/>
      <c r="Q846" s="64"/>
      <c r="R846" s="64"/>
      <c r="S846" s="64"/>
      <c r="T846" s="64"/>
      <c r="U846" s="64"/>
      <c r="V846" s="64"/>
      <c r="W846" s="64"/>
      <c r="BF846" s="64"/>
      <c r="BG846" s="64"/>
      <c r="BH846" s="64"/>
      <c r="BI846" s="64"/>
      <c r="BJ846" s="64"/>
      <c r="BK846" s="64"/>
      <c r="BL846" s="64"/>
      <c r="BM846" s="64"/>
      <c r="BN846" s="64"/>
      <c r="BO846" s="64"/>
      <c r="BP846" s="64"/>
    </row>
    <row r="847" ht="18.75" customHeight="1">
      <c r="H847" s="64"/>
      <c r="J847" s="64"/>
      <c r="K847" s="64"/>
      <c r="M847" s="64"/>
      <c r="N847" s="64"/>
      <c r="O847" s="64"/>
      <c r="P847" s="64"/>
      <c r="Q847" s="64"/>
      <c r="R847" s="64"/>
      <c r="S847" s="64"/>
      <c r="T847" s="64"/>
      <c r="U847" s="64"/>
      <c r="V847" s="64"/>
      <c r="W847" s="64"/>
      <c r="BF847" s="64"/>
      <c r="BG847" s="64"/>
      <c r="BH847" s="64"/>
      <c r="BI847" s="64"/>
      <c r="BJ847" s="64"/>
      <c r="BK847" s="64"/>
      <c r="BL847" s="64"/>
      <c r="BM847" s="64"/>
      <c r="BN847" s="64"/>
      <c r="BO847" s="64"/>
      <c r="BP847" s="64"/>
    </row>
    <row r="848" ht="18.75" customHeight="1">
      <c r="H848" s="64"/>
      <c r="J848" s="64"/>
      <c r="K848" s="64"/>
      <c r="M848" s="64"/>
      <c r="N848" s="64"/>
      <c r="O848" s="64"/>
      <c r="P848" s="64"/>
      <c r="Q848" s="64"/>
      <c r="R848" s="64"/>
      <c r="S848" s="64"/>
      <c r="T848" s="64"/>
      <c r="U848" s="64"/>
      <c r="V848" s="64"/>
      <c r="W848" s="64"/>
      <c r="BF848" s="64"/>
      <c r="BG848" s="64"/>
      <c r="BH848" s="64"/>
      <c r="BI848" s="64"/>
      <c r="BJ848" s="64"/>
      <c r="BK848" s="64"/>
      <c r="BL848" s="64"/>
      <c r="BM848" s="64"/>
      <c r="BN848" s="64"/>
      <c r="BO848" s="64"/>
      <c r="BP848" s="64"/>
    </row>
    <row r="849" ht="18.75" customHeight="1">
      <c r="H849" s="64"/>
      <c r="J849" s="64"/>
      <c r="K849" s="64"/>
      <c r="M849" s="64"/>
      <c r="N849" s="64"/>
      <c r="O849" s="64"/>
      <c r="P849" s="64"/>
      <c r="Q849" s="64"/>
      <c r="R849" s="64"/>
      <c r="S849" s="64"/>
      <c r="T849" s="64"/>
      <c r="U849" s="64"/>
      <c r="V849" s="64"/>
      <c r="W849" s="64"/>
      <c r="BF849" s="64"/>
      <c r="BG849" s="64"/>
      <c r="BH849" s="64"/>
      <c r="BI849" s="64"/>
      <c r="BJ849" s="64"/>
      <c r="BK849" s="64"/>
      <c r="BL849" s="64"/>
      <c r="BM849" s="64"/>
      <c r="BN849" s="64"/>
      <c r="BO849" s="64"/>
      <c r="BP849" s="64"/>
    </row>
    <row r="850" ht="18.75" customHeight="1">
      <c r="H850" s="64"/>
      <c r="J850" s="64"/>
      <c r="K850" s="64"/>
      <c r="M850" s="64"/>
      <c r="N850" s="64"/>
      <c r="O850" s="64"/>
      <c r="P850" s="64"/>
      <c r="Q850" s="64"/>
      <c r="R850" s="64"/>
      <c r="S850" s="64"/>
      <c r="T850" s="64"/>
      <c r="U850" s="64"/>
      <c r="V850" s="64"/>
      <c r="W850" s="64"/>
      <c r="BF850" s="64"/>
      <c r="BG850" s="64"/>
      <c r="BH850" s="64"/>
      <c r="BI850" s="64"/>
      <c r="BJ850" s="64"/>
      <c r="BK850" s="64"/>
      <c r="BL850" s="64"/>
      <c r="BM850" s="64"/>
      <c r="BN850" s="64"/>
      <c r="BO850" s="64"/>
      <c r="BP850" s="64"/>
    </row>
    <row r="851" ht="18.75" customHeight="1">
      <c r="H851" s="64"/>
      <c r="J851" s="64"/>
      <c r="K851" s="64"/>
      <c r="M851" s="64"/>
      <c r="N851" s="64"/>
      <c r="O851" s="64"/>
      <c r="P851" s="64"/>
      <c r="Q851" s="64"/>
      <c r="R851" s="64"/>
      <c r="S851" s="64"/>
      <c r="T851" s="64"/>
      <c r="U851" s="64"/>
      <c r="V851" s="64"/>
      <c r="W851" s="64"/>
      <c r="BF851" s="64"/>
      <c r="BG851" s="64"/>
      <c r="BH851" s="64"/>
      <c r="BI851" s="64"/>
      <c r="BJ851" s="64"/>
      <c r="BK851" s="64"/>
      <c r="BL851" s="64"/>
      <c r="BM851" s="64"/>
      <c r="BN851" s="64"/>
      <c r="BO851" s="64"/>
      <c r="BP851" s="64"/>
    </row>
    <row r="852" ht="18.75" customHeight="1">
      <c r="H852" s="64"/>
      <c r="J852" s="64"/>
      <c r="K852" s="64"/>
      <c r="M852" s="64"/>
      <c r="N852" s="64"/>
      <c r="O852" s="64"/>
      <c r="P852" s="64"/>
      <c r="Q852" s="64"/>
      <c r="R852" s="64"/>
      <c r="S852" s="64"/>
      <c r="T852" s="64"/>
      <c r="U852" s="64"/>
      <c r="V852" s="64"/>
      <c r="W852" s="64"/>
      <c r="BF852" s="64"/>
      <c r="BG852" s="64"/>
      <c r="BH852" s="64"/>
      <c r="BI852" s="64"/>
      <c r="BJ852" s="64"/>
      <c r="BK852" s="64"/>
      <c r="BL852" s="64"/>
      <c r="BM852" s="64"/>
      <c r="BN852" s="64"/>
      <c r="BO852" s="64"/>
      <c r="BP852" s="64"/>
    </row>
    <row r="853" ht="18.75" customHeight="1">
      <c r="H853" s="64"/>
      <c r="J853" s="64"/>
      <c r="K853" s="64"/>
      <c r="M853" s="64"/>
      <c r="N853" s="64"/>
      <c r="O853" s="64"/>
      <c r="P853" s="64"/>
      <c r="Q853" s="64"/>
      <c r="R853" s="64"/>
      <c r="S853" s="64"/>
      <c r="T853" s="64"/>
      <c r="U853" s="64"/>
      <c r="V853" s="64"/>
      <c r="W853" s="64"/>
      <c r="BF853" s="64"/>
      <c r="BG853" s="64"/>
      <c r="BH853" s="64"/>
      <c r="BI853" s="64"/>
      <c r="BJ853" s="64"/>
      <c r="BK853" s="64"/>
      <c r="BL853" s="64"/>
      <c r="BM853" s="64"/>
      <c r="BN853" s="64"/>
      <c r="BO853" s="64"/>
      <c r="BP853" s="64"/>
    </row>
    <row r="854" ht="18.75" customHeight="1">
      <c r="H854" s="64"/>
      <c r="J854" s="64"/>
      <c r="K854" s="64"/>
      <c r="M854" s="64"/>
      <c r="N854" s="64"/>
      <c r="O854" s="64"/>
      <c r="P854" s="64"/>
      <c r="Q854" s="64"/>
      <c r="R854" s="64"/>
      <c r="S854" s="64"/>
      <c r="T854" s="64"/>
      <c r="U854" s="64"/>
      <c r="V854" s="64"/>
      <c r="W854" s="64"/>
      <c r="BF854" s="64"/>
      <c r="BG854" s="64"/>
      <c r="BH854" s="64"/>
      <c r="BI854" s="64"/>
      <c r="BJ854" s="64"/>
      <c r="BK854" s="64"/>
      <c r="BL854" s="64"/>
      <c r="BM854" s="64"/>
      <c r="BN854" s="64"/>
      <c r="BO854" s="64"/>
      <c r="BP854" s="64"/>
    </row>
    <row r="855" ht="18.75" customHeight="1">
      <c r="H855" s="64"/>
      <c r="J855" s="64"/>
      <c r="K855" s="64"/>
      <c r="M855" s="64"/>
      <c r="N855" s="64"/>
      <c r="O855" s="64"/>
      <c r="P855" s="64"/>
      <c r="Q855" s="64"/>
      <c r="R855" s="64"/>
      <c r="S855" s="64"/>
      <c r="T855" s="64"/>
      <c r="U855" s="64"/>
      <c r="V855" s="64"/>
      <c r="W855" s="64"/>
      <c r="BF855" s="64"/>
      <c r="BG855" s="64"/>
      <c r="BH855" s="64"/>
      <c r="BI855" s="64"/>
      <c r="BJ855" s="64"/>
      <c r="BK855" s="64"/>
      <c r="BL855" s="64"/>
      <c r="BM855" s="64"/>
      <c r="BN855" s="64"/>
      <c r="BO855" s="64"/>
      <c r="BP855" s="64"/>
    </row>
    <row r="856" ht="18.75" customHeight="1">
      <c r="H856" s="64"/>
      <c r="J856" s="64"/>
      <c r="K856" s="64"/>
      <c r="M856" s="64"/>
      <c r="N856" s="64"/>
      <c r="O856" s="64"/>
      <c r="P856" s="64"/>
      <c r="Q856" s="64"/>
      <c r="R856" s="64"/>
      <c r="S856" s="64"/>
      <c r="T856" s="64"/>
      <c r="U856" s="64"/>
      <c r="V856" s="64"/>
      <c r="W856" s="64"/>
      <c r="BF856" s="64"/>
      <c r="BG856" s="64"/>
      <c r="BH856" s="64"/>
      <c r="BI856" s="64"/>
      <c r="BJ856" s="64"/>
      <c r="BK856" s="64"/>
      <c r="BL856" s="64"/>
      <c r="BM856" s="64"/>
      <c r="BN856" s="64"/>
      <c r="BO856" s="64"/>
      <c r="BP856" s="64"/>
    </row>
    <row r="857" ht="18.75" customHeight="1">
      <c r="H857" s="64"/>
      <c r="J857" s="64"/>
      <c r="K857" s="64"/>
      <c r="M857" s="64"/>
      <c r="N857" s="64"/>
      <c r="O857" s="64"/>
      <c r="P857" s="64"/>
      <c r="Q857" s="64"/>
      <c r="R857" s="64"/>
      <c r="S857" s="64"/>
      <c r="T857" s="64"/>
      <c r="U857" s="64"/>
      <c r="V857" s="64"/>
      <c r="W857" s="64"/>
      <c r="BF857" s="64"/>
      <c r="BG857" s="64"/>
      <c r="BH857" s="64"/>
      <c r="BI857" s="64"/>
      <c r="BJ857" s="64"/>
      <c r="BK857" s="64"/>
      <c r="BL857" s="64"/>
      <c r="BM857" s="64"/>
      <c r="BN857" s="64"/>
      <c r="BO857" s="64"/>
      <c r="BP857" s="64"/>
    </row>
    <row r="858" ht="18.75" customHeight="1">
      <c r="H858" s="64"/>
      <c r="J858" s="64"/>
      <c r="K858" s="64"/>
      <c r="M858" s="64"/>
      <c r="N858" s="64"/>
      <c r="O858" s="64"/>
      <c r="P858" s="64"/>
      <c r="Q858" s="64"/>
      <c r="R858" s="64"/>
      <c r="S858" s="64"/>
      <c r="T858" s="64"/>
      <c r="U858" s="64"/>
      <c r="V858" s="64"/>
      <c r="W858" s="64"/>
      <c r="BF858" s="64"/>
      <c r="BG858" s="64"/>
      <c r="BH858" s="64"/>
      <c r="BI858" s="64"/>
      <c r="BJ858" s="64"/>
      <c r="BK858" s="64"/>
      <c r="BL858" s="64"/>
      <c r="BM858" s="64"/>
      <c r="BN858" s="64"/>
      <c r="BO858" s="64"/>
      <c r="BP858" s="64"/>
    </row>
    <row r="859" ht="18.75" customHeight="1">
      <c r="H859" s="64"/>
      <c r="J859" s="64"/>
      <c r="K859" s="64"/>
      <c r="M859" s="64"/>
      <c r="N859" s="64"/>
      <c r="O859" s="64"/>
      <c r="P859" s="64"/>
      <c r="Q859" s="64"/>
      <c r="R859" s="64"/>
      <c r="S859" s="64"/>
      <c r="T859" s="64"/>
      <c r="U859" s="64"/>
      <c r="V859" s="64"/>
      <c r="W859" s="64"/>
      <c r="BF859" s="64"/>
      <c r="BG859" s="64"/>
      <c r="BH859" s="64"/>
      <c r="BI859" s="64"/>
      <c r="BJ859" s="64"/>
      <c r="BK859" s="64"/>
      <c r="BL859" s="64"/>
      <c r="BM859" s="64"/>
      <c r="BN859" s="64"/>
      <c r="BO859" s="64"/>
      <c r="BP859" s="64"/>
    </row>
    <row r="860" ht="18.75" customHeight="1">
      <c r="H860" s="64"/>
      <c r="J860" s="64"/>
      <c r="K860" s="64"/>
      <c r="M860" s="64"/>
      <c r="N860" s="64"/>
      <c r="O860" s="64"/>
      <c r="P860" s="64"/>
      <c r="Q860" s="64"/>
      <c r="R860" s="64"/>
      <c r="S860" s="64"/>
      <c r="T860" s="64"/>
      <c r="U860" s="64"/>
      <c r="V860" s="64"/>
      <c r="W860" s="64"/>
      <c r="BF860" s="64"/>
      <c r="BG860" s="64"/>
      <c r="BH860" s="64"/>
      <c r="BI860" s="64"/>
      <c r="BJ860" s="64"/>
      <c r="BK860" s="64"/>
      <c r="BL860" s="64"/>
      <c r="BM860" s="64"/>
      <c r="BN860" s="64"/>
      <c r="BO860" s="64"/>
      <c r="BP860" s="64"/>
    </row>
    <row r="861" ht="18.75" customHeight="1">
      <c r="H861" s="64"/>
      <c r="J861" s="64"/>
      <c r="K861" s="64"/>
      <c r="M861" s="64"/>
      <c r="N861" s="64"/>
      <c r="O861" s="64"/>
      <c r="P861" s="64"/>
      <c r="Q861" s="64"/>
      <c r="R861" s="64"/>
      <c r="S861" s="64"/>
      <c r="T861" s="64"/>
      <c r="U861" s="64"/>
      <c r="V861" s="64"/>
      <c r="W861" s="64"/>
      <c r="BF861" s="64"/>
      <c r="BG861" s="64"/>
      <c r="BH861" s="64"/>
      <c r="BI861" s="64"/>
      <c r="BJ861" s="64"/>
      <c r="BK861" s="64"/>
      <c r="BL861" s="64"/>
      <c r="BM861" s="64"/>
      <c r="BN861" s="64"/>
      <c r="BO861" s="64"/>
      <c r="BP861" s="64"/>
    </row>
    <row r="862" ht="18.75" customHeight="1">
      <c r="H862" s="64"/>
      <c r="J862" s="64"/>
      <c r="K862" s="64"/>
      <c r="M862" s="64"/>
      <c r="N862" s="64"/>
      <c r="O862" s="64"/>
      <c r="P862" s="64"/>
      <c r="Q862" s="64"/>
      <c r="R862" s="64"/>
      <c r="S862" s="64"/>
      <c r="T862" s="64"/>
      <c r="U862" s="64"/>
      <c r="V862" s="64"/>
      <c r="W862" s="64"/>
      <c r="BF862" s="64"/>
      <c r="BG862" s="64"/>
      <c r="BH862" s="64"/>
      <c r="BI862" s="64"/>
      <c r="BJ862" s="64"/>
      <c r="BK862" s="64"/>
      <c r="BL862" s="64"/>
      <c r="BM862" s="64"/>
      <c r="BN862" s="64"/>
      <c r="BO862" s="64"/>
      <c r="BP862" s="64"/>
    </row>
    <row r="863" ht="18.75" customHeight="1">
      <c r="H863" s="64"/>
      <c r="J863" s="64"/>
      <c r="K863" s="64"/>
      <c r="M863" s="64"/>
      <c r="N863" s="64"/>
      <c r="O863" s="64"/>
      <c r="P863" s="64"/>
      <c r="Q863" s="64"/>
      <c r="R863" s="64"/>
      <c r="S863" s="64"/>
      <c r="T863" s="64"/>
      <c r="U863" s="64"/>
      <c r="V863" s="64"/>
      <c r="W863" s="64"/>
      <c r="BF863" s="64"/>
      <c r="BG863" s="64"/>
      <c r="BH863" s="64"/>
      <c r="BI863" s="64"/>
      <c r="BJ863" s="64"/>
      <c r="BK863" s="64"/>
      <c r="BL863" s="64"/>
      <c r="BM863" s="64"/>
      <c r="BN863" s="64"/>
      <c r="BO863" s="64"/>
      <c r="BP863" s="64"/>
    </row>
    <row r="864" ht="18.75" customHeight="1">
      <c r="H864" s="64"/>
      <c r="J864" s="64"/>
      <c r="K864" s="64"/>
      <c r="M864" s="64"/>
      <c r="N864" s="64"/>
      <c r="O864" s="64"/>
      <c r="P864" s="64"/>
      <c r="Q864" s="64"/>
      <c r="R864" s="64"/>
      <c r="S864" s="64"/>
      <c r="T864" s="64"/>
      <c r="U864" s="64"/>
      <c r="V864" s="64"/>
      <c r="W864" s="64"/>
      <c r="BF864" s="64"/>
      <c r="BG864" s="64"/>
      <c r="BH864" s="64"/>
      <c r="BI864" s="64"/>
      <c r="BJ864" s="64"/>
      <c r="BK864" s="64"/>
      <c r="BL864" s="64"/>
      <c r="BM864" s="64"/>
      <c r="BN864" s="64"/>
      <c r="BO864" s="64"/>
      <c r="BP864" s="64"/>
    </row>
    <row r="865" ht="18.75" customHeight="1">
      <c r="H865" s="64"/>
      <c r="J865" s="64"/>
      <c r="K865" s="64"/>
      <c r="M865" s="64"/>
      <c r="N865" s="64"/>
      <c r="O865" s="64"/>
      <c r="P865" s="64"/>
      <c r="Q865" s="64"/>
      <c r="R865" s="64"/>
      <c r="S865" s="64"/>
      <c r="T865" s="64"/>
      <c r="U865" s="64"/>
      <c r="V865" s="64"/>
      <c r="W865" s="64"/>
      <c r="BF865" s="64"/>
      <c r="BG865" s="64"/>
      <c r="BH865" s="64"/>
      <c r="BI865" s="64"/>
      <c r="BJ865" s="64"/>
      <c r="BK865" s="64"/>
      <c r="BL865" s="64"/>
      <c r="BM865" s="64"/>
      <c r="BN865" s="64"/>
      <c r="BO865" s="64"/>
      <c r="BP865" s="64"/>
    </row>
    <row r="866" ht="18.75" customHeight="1">
      <c r="H866" s="64"/>
      <c r="J866" s="64"/>
      <c r="K866" s="64"/>
      <c r="M866" s="64"/>
      <c r="N866" s="64"/>
      <c r="O866" s="64"/>
      <c r="P866" s="64"/>
      <c r="Q866" s="64"/>
      <c r="R866" s="64"/>
      <c r="S866" s="64"/>
      <c r="T866" s="64"/>
      <c r="U866" s="64"/>
      <c r="V866" s="64"/>
      <c r="W866" s="64"/>
      <c r="BF866" s="64"/>
      <c r="BG866" s="64"/>
      <c r="BH866" s="64"/>
      <c r="BI866" s="64"/>
      <c r="BJ866" s="64"/>
      <c r="BK866" s="64"/>
      <c r="BL866" s="64"/>
      <c r="BM866" s="64"/>
      <c r="BN866" s="64"/>
      <c r="BO866" s="64"/>
      <c r="BP866" s="64"/>
    </row>
    <row r="867" ht="18.75" customHeight="1">
      <c r="H867" s="64"/>
      <c r="J867" s="64"/>
      <c r="K867" s="64"/>
      <c r="M867" s="64"/>
      <c r="N867" s="64"/>
      <c r="O867" s="64"/>
      <c r="P867" s="64"/>
      <c r="Q867" s="64"/>
      <c r="R867" s="64"/>
      <c r="S867" s="64"/>
      <c r="T867" s="64"/>
      <c r="U867" s="64"/>
      <c r="V867" s="64"/>
      <c r="W867" s="64"/>
      <c r="BF867" s="64"/>
      <c r="BG867" s="64"/>
      <c r="BH867" s="64"/>
      <c r="BI867" s="64"/>
      <c r="BJ867" s="64"/>
      <c r="BK867" s="64"/>
      <c r="BL867" s="64"/>
      <c r="BM867" s="64"/>
      <c r="BN867" s="64"/>
      <c r="BO867" s="64"/>
      <c r="BP867" s="64"/>
    </row>
    <row r="868" ht="18.75" customHeight="1">
      <c r="H868" s="64"/>
      <c r="J868" s="64"/>
      <c r="K868" s="64"/>
      <c r="M868" s="64"/>
      <c r="N868" s="64"/>
      <c r="O868" s="64"/>
      <c r="P868" s="64"/>
      <c r="Q868" s="64"/>
      <c r="R868" s="64"/>
      <c r="S868" s="64"/>
      <c r="T868" s="64"/>
      <c r="U868" s="64"/>
      <c r="V868" s="64"/>
      <c r="W868" s="64"/>
      <c r="BF868" s="64"/>
      <c r="BG868" s="64"/>
      <c r="BH868" s="64"/>
      <c r="BI868" s="64"/>
      <c r="BJ868" s="64"/>
      <c r="BK868" s="64"/>
      <c r="BL868" s="64"/>
      <c r="BM868" s="64"/>
      <c r="BN868" s="64"/>
      <c r="BO868" s="64"/>
      <c r="BP868" s="64"/>
    </row>
    <row r="869" ht="18.75" customHeight="1">
      <c r="H869" s="64"/>
      <c r="J869" s="64"/>
      <c r="K869" s="64"/>
      <c r="M869" s="64"/>
      <c r="N869" s="64"/>
      <c r="O869" s="64"/>
      <c r="P869" s="64"/>
      <c r="Q869" s="64"/>
      <c r="R869" s="64"/>
      <c r="S869" s="64"/>
      <c r="T869" s="64"/>
      <c r="U869" s="64"/>
      <c r="V869" s="64"/>
      <c r="W869" s="64"/>
      <c r="BF869" s="64"/>
      <c r="BG869" s="64"/>
      <c r="BH869" s="64"/>
      <c r="BI869" s="64"/>
      <c r="BJ869" s="64"/>
      <c r="BK869" s="64"/>
      <c r="BL869" s="64"/>
      <c r="BM869" s="64"/>
      <c r="BN869" s="64"/>
      <c r="BO869" s="64"/>
      <c r="BP869" s="64"/>
    </row>
    <row r="870" ht="18.75" customHeight="1">
      <c r="H870" s="64"/>
      <c r="J870" s="64"/>
      <c r="K870" s="64"/>
      <c r="M870" s="64"/>
      <c r="N870" s="64"/>
      <c r="O870" s="64"/>
      <c r="P870" s="64"/>
      <c r="Q870" s="64"/>
      <c r="R870" s="64"/>
      <c r="S870" s="64"/>
      <c r="T870" s="64"/>
      <c r="U870" s="64"/>
      <c r="V870" s="64"/>
      <c r="W870" s="64"/>
      <c r="BF870" s="64"/>
      <c r="BG870" s="64"/>
      <c r="BH870" s="64"/>
      <c r="BI870" s="64"/>
      <c r="BJ870" s="64"/>
      <c r="BK870" s="64"/>
      <c r="BL870" s="64"/>
      <c r="BM870" s="64"/>
      <c r="BN870" s="64"/>
      <c r="BO870" s="64"/>
      <c r="BP870" s="64"/>
    </row>
    <row r="871" ht="18.75" customHeight="1">
      <c r="H871" s="64"/>
      <c r="J871" s="64"/>
      <c r="K871" s="64"/>
      <c r="M871" s="64"/>
      <c r="N871" s="64"/>
      <c r="O871" s="64"/>
      <c r="P871" s="64"/>
      <c r="Q871" s="64"/>
      <c r="R871" s="64"/>
      <c r="S871" s="64"/>
      <c r="T871" s="64"/>
      <c r="U871" s="64"/>
      <c r="V871" s="64"/>
      <c r="W871" s="64"/>
      <c r="BF871" s="64"/>
      <c r="BG871" s="64"/>
      <c r="BH871" s="64"/>
      <c r="BI871" s="64"/>
      <c r="BJ871" s="64"/>
      <c r="BK871" s="64"/>
      <c r="BL871" s="64"/>
      <c r="BM871" s="64"/>
      <c r="BN871" s="64"/>
      <c r="BO871" s="64"/>
      <c r="BP871" s="64"/>
    </row>
    <row r="872" ht="18.75" customHeight="1">
      <c r="H872" s="64"/>
      <c r="J872" s="64"/>
      <c r="K872" s="64"/>
      <c r="M872" s="64"/>
      <c r="N872" s="64"/>
      <c r="O872" s="64"/>
      <c r="P872" s="64"/>
      <c r="Q872" s="64"/>
      <c r="R872" s="64"/>
      <c r="S872" s="64"/>
      <c r="T872" s="64"/>
      <c r="U872" s="64"/>
      <c r="V872" s="64"/>
      <c r="W872" s="64"/>
      <c r="BF872" s="64"/>
      <c r="BG872" s="64"/>
      <c r="BH872" s="64"/>
      <c r="BI872" s="64"/>
      <c r="BJ872" s="64"/>
      <c r="BK872" s="64"/>
      <c r="BL872" s="64"/>
      <c r="BM872" s="64"/>
      <c r="BN872" s="64"/>
      <c r="BO872" s="64"/>
      <c r="BP872" s="64"/>
    </row>
    <row r="873" ht="18.75" customHeight="1">
      <c r="H873" s="64"/>
      <c r="J873" s="64"/>
      <c r="K873" s="64"/>
      <c r="M873" s="64"/>
      <c r="N873" s="64"/>
      <c r="O873" s="64"/>
      <c r="P873" s="64"/>
      <c r="Q873" s="64"/>
      <c r="R873" s="64"/>
      <c r="S873" s="64"/>
      <c r="T873" s="64"/>
      <c r="U873" s="64"/>
      <c r="V873" s="64"/>
      <c r="W873" s="64"/>
      <c r="BF873" s="64"/>
      <c r="BG873" s="64"/>
      <c r="BH873" s="64"/>
      <c r="BI873" s="64"/>
      <c r="BJ873" s="64"/>
      <c r="BK873" s="64"/>
      <c r="BL873" s="64"/>
      <c r="BM873" s="64"/>
      <c r="BN873" s="64"/>
      <c r="BO873" s="64"/>
      <c r="BP873" s="64"/>
    </row>
    <row r="874" ht="18.75" customHeight="1">
      <c r="H874" s="64"/>
      <c r="J874" s="64"/>
      <c r="K874" s="64"/>
      <c r="M874" s="64"/>
      <c r="N874" s="64"/>
      <c r="O874" s="64"/>
      <c r="P874" s="64"/>
      <c r="Q874" s="64"/>
      <c r="R874" s="64"/>
      <c r="S874" s="64"/>
      <c r="T874" s="64"/>
      <c r="U874" s="64"/>
      <c r="V874" s="64"/>
      <c r="W874" s="64"/>
      <c r="BF874" s="64"/>
      <c r="BG874" s="64"/>
      <c r="BH874" s="64"/>
      <c r="BI874" s="64"/>
      <c r="BJ874" s="64"/>
      <c r="BK874" s="64"/>
      <c r="BL874" s="64"/>
      <c r="BM874" s="64"/>
      <c r="BN874" s="64"/>
      <c r="BO874" s="64"/>
      <c r="BP874" s="64"/>
    </row>
    <row r="875" ht="18.75" customHeight="1">
      <c r="H875" s="64"/>
      <c r="J875" s="64"/>
      <c r="K875" s="64"/>
      <c r="M875" s="64"/>
      <c r="N875" s="64"/>
      <c r="O875" s="64"/>
      <c r="P875" s="64"/>
      <c r="Q875" s="64"/>
      <c r="R875" s="64"/>
      <c r="S875" s="64"/>
      <c r="T875" s="64"/>
      <c r="U875" s="64"/>
      <c r="V875" s="64"/>
      <c r="W875" s="64"/>
      <c r="BF875" s="64"/>
      <c r="BG875" s="64"/>
      <c r="BH875" s="64"/>
      <c r="BI875" s="64"/>
      <c r="BJ875" s="64"/>
      <c r="BK875" s="64"/>
      <c r="BL875" s="64"/>
      <c r="BM875" s="64"/>
      <c r="BN875" s="64"/>
      <c r="BO875" s="64"/>
      <c r="BP875" s="64"/>
    </row>
    <row r="876" ht="18.75" customHeight="1">
      <c r="H876" s="64"/>
      <c r="J876" s="64"/>
      <c r="K876" s="64"/>
      <c r="M876" s="64"/>
      <c r="N876" s="64"/>
      <c r="O876" s="64"/>
      <c r="P876" s="64"/>
      <c r="Q876" s="64"/>
      <c r="R876" s="64"/>
      <c r="S876" s="64"/>
      <c r="T876" s="64"/>
      <c r="U876" s="64"/>
      <c r="V876" s="64"/>
      <c r="W876" s="64"/>
      <c r="BF876" s="64"/>
      <c r="BG876" s="64"/>
      <c r="BH876" s="64"/>
      <c r="BI876" s="64"/>
      <c r="BJ876" s="64"/>
      <c r="BK876" s="64"/>
      <c r="BL876" s="64"/>
      <c r="BM876" s="64"/>
      <c r="BN876" s="64"/>
      <c r="BO876" s="64"/>
      <c r="BP876" s="64"/>
    </row>
    <row r="877" ht="18.75" customHeight="1">
      <c r="H877" s="64"/>
      <c r="J877" s="64"/>
      <c r="K877" s="64"/>
      <c r="M877" s="64"/>
      <c r="N877" s="64"/>
      <c r="O877" s="64"/>
      <c r="P877" s="64"/>
      <c r="Q877" s="64"/>
      <c r="R877" s="64"/>
      <c r="S877" s="64"/>
      <c r="T877" s="64"/>
      <c r="U877" s="64"/>
      <c r="V877" s="64"/>
      <c r="W877" s="64"/>
      <c r="BF877" s="64"/>
      <c r="BG877" s="64"/>
      <c r="BH877" s="64"/>
      <c r="BI877" s="64"/>
      <c r="BJ877" s="64"/>
      <c r="BK877" s="64"/>
      <c r="BL877" s="64"/>
      <c r="BM877" s="64"/>
      <c r="BN877" s="64"/>
      <c r="BO877" s="64"/>
      <c r="BP877" s="64"/>
    </row>
    <row r="878" ht="18.75" customHeight="1">
      <c r="H878" s="64"/>
      <c r="J878" s="64"/>
      <c r="K878" s="64"/>
      <c r="M878" s="64"/>
      <c r="N878" s="64"/>
      <c r="O878" s="64"/>
      <c r="P878" s="64"/>
      <c r="Q878" s="64"/>
      <c r="R878" s="64"/>
      <c r="S878" s="64"/>
      <c r="T878" s="64"/>
      <c r="U878" s="64"/>
      <c r="V878" s="64"/>
      <c r="W878" s="64"/>
      <c r="BF878" s="64"/>
      <c r="BG878" s="64"/>
      <c r="BH878" s="64"/>
      <c r="BI878" s="64"/>
      <c r="BJ878" s="64"/>
      <c r="BK878" s="64"/>
      <c r="BL878" s="64"/>
      <c r="BM878" s="64"/>
      <c r="BN878" s="64"/>
      <c r="BO878" s="64"/>
      <c r="BP878" s="64"/>
    </row>
    <row r="879" ht="18.75" customHeight="1">
      <c r="H879" s="64"/>
      <c r="J879" s="64"/>
      <c r="K879" s="64"/>
      <c r="M879" s="64"/>
      <c r="N879" s="64"/>
      <c r="O879" s="64"/>
      <c r="P879" s="64"/>
      <c r="Q879" s="64"/>
      <c r="R879" s="64"/>
      <c r="S879" s="64"/>
      <c r="T879" s="64"/>
      <c r="U879" s="64"/>
      <c r="V879" s="64"/>
      <c r="W879" s="64"/>
      <c r="BF879" s="64"/>
      <c r="BG879" s="64"/>
      <c r="BH879" s="64"/>
      <c r="BI879" s="64"/>
      <c r="BJ879" s="64"/>
      <c r="BK879" s="64"/>
      <c r="BL879" s="64"/>
      <c r="BM879" s="64"/>
      <c r="BN879" s="64"/>
      <c r="BO879" s="64"/>
      <c r="BP879" s="64"/>
    </row>
    <row r="880" ht="18.75" customHeight="1">
      <c r="H880" s="64"/>
      <c r="J880" s="64"/>
      <c r="K880" s="64"/>
      <c r="M880" s="64"/>
      <c r="N880" s="64"/>
      <c r="O880" s="64"/>
      <c r="P880" s="64"/>
      <c r="Q880" s="64"/>
      <c r="R880" s="64"/>
      <c r="S880" s="64"/>
      <c r="T880" s="64"/>
      <c r="U880" s="64"/>
      <c r="V880" s="64"/>
      <c r="W880" s="64"/>
      <c r="BF880" s="64"/>
      <c r="BG880" s="64"/>
      <c r="BH880" s="64"/>
      <c r="BI880" s="64"/>
      <c r="BJ880" s="64"/>
      <c r="BK880" s="64"/>
      <c r="BL880" s="64"/>
      <c r="BM880" s="64"/>
      <c r="BN880" s="64"/>
      <c r="BO880" s="64"/>
      <c r="BP880" s="64"/>
    </row>
    <row r="881" ht="18.75" customHeight="1">
      <c r="H881" s="64"/>
      <c r="J881" s="64"/>
      <c r="K881" s="64"/>
      <c r="M881" s="64"/>
      <c r="N881" s="64"/>
      <c r="O881" s="64"/>
      <c r="P881" s="64"/>
      <c r="Q881" s="64"/>
      <c r="R881" s="64"/>
      <c r="S881" s="64"/>
      <c r="T881" s="64"/>
      <c r="U881" s="64"/>
      <c r="V881" s="64"/>
      <c r="W881" s="64"/>
      <c r="BF881" s="64"/>
      <c r="BG881" s="64"/>
      <c r="BH881" s="64"/>
      <c r="BI881" s="64"/>
      <c r="BJ881" s="64"/>
      <c r="BK881" s="64"/>
      <c r="BL881" s="64"/>
      <c r="BM881" s="64"/>
      <c r="BN881" s="64"/>
      <c r="BO881" s="64"/>
      <c r="BP881" s="64"/>
    </row>
    <row r="882" ht="18.75" customHeight="1">
      <c r="H882" s="64"/>
      <c r="J882" s="64"/>
      <c r="K882" s="64"/>
      <c r="M882" s="64"/>
      <c r="N882" s="64"/>
      <c r="O882" s="64"/>
      <c r="P882" s="64"/>
      <c r="Q882" s="64"/>
      <c r="R882" s="64"/>
      <c r="S882" s="64"/>
      <c r="T882" s="64"/>
      <c r="U882" s="64"/>
      <c r="V882" s="64"/>
      <c r="W882" s="64"/>
      <c r="BF882" s="64"/>
      <c r="BG882" s="64"/>
      <c r="BH882" s="64"/>
      <c r="BI882" s="64"/>
      <c r="BJ882" s="64"/>
      <c r="BK882" s="64"/>
      <c r="BL882" s="64"/>
      <c r="BM882" s="64"/>
      <c r="BN882" s="64"/>
      <c r="BO882" s="64"/>
      <c r="BP882" s="64"/>
    </row>
    <row r="883" ht="18.75" customHeight="1">
      <c r="H883" s="64"/>
      <c r="J883" s="64"/>
      <c r="K883" s="64"/>
      <c r="M883" s="64"/>
      <c r="N883" s="64"/>
      <c r="O883" s="64"/>
      <c r="P883" s="64"/>
      <c r="Q883" s="64"/>
      <c r="R883" s="64"/>
      <c r="S883" s="64"/>
      <c r="T883" s="64"/>
      <c r="U883" s="64"/>
      <c r="V883" s="64"/>
      <c r="W883" s="64"/>
      <c r="BF883" s="64"/>
      <c r="BG883" s="64"/>
      <c r="BH883" s="64"/>
      <c r="BI883" s="64"/>
      <c r="BJ883" s="64"/>
      <c r="BK883" s="64"/>
      <c r="BL883" s="64"/>
      <c r="BM883" s="64"/>
      <c r="BN883" s="64"/>
      <c r="BO883" s="64"/>
      <c r="BP883" s="64"/>
    </row>
    <row r="884" ht="18.75" customHeight="1">
      <c r="H884" s="64"/>
      <c r="J884" s="64"/>
      <c r="K884" s="64"/>
      <c r="M884" s="64"/>
      <c r="N884" s="64"/>
      <c r="O884" s="64"/>
      <c r="P884" s="64"/>
      <c r="Q884" s="64"/>
      <c r="R884" s="64"/>
      <c r="S884" s="64"/>
      <c r="T884" s="64"/>
      <c r="U884" s="64"/>
      <c r="V884" s="64"/>
      <c r="W884" s="64"/>
      <c r="BF884" s="64"/>
      <c r="BG884" s="64"/>
      <c r="BH884" s="64"/>
      <c r="BI884" s="64"/>
      <c r="BJ884" s="64"/>
      <c r="BK884" s="64"/>
      <c r="BL884" s="64"/>
      <c r="BM884" s="64"/>
      <c r="BN884" s="64"/>
      <c r="BO884" s="64"/>
      <c r="BP884" s="64"/>
    </row>
    <row r="885" ht="18.75" customHeight="1">
      <c r="H885" s="64"/>
      <c r="J885" s="64"/>
      <c r="K885" s="64"/>
      <c r="M885" s="64"/>
      <c r="N885" s="64"/>
      <c r="O885" s="64"/>
      <c r="P885" s="64"/>
      <c r="Q885" s="64"/>
      <c r="R885" s="64"/>
      <c r="S885" s="64"/>
      <c r="T885" s="64"/>
      <c r="U885" s="64"/>
      <c r="V885" s="64"/>
      <c r="W885" s="64"/>
      <c r="BF885" s="64"/>
      <c r="BG885" s="64"/>
      <c r="BH885" s="64"/>
      <c r="BI885" s="64"/>
      <c r="BJ885" s="64"/>
      <c r="BK885" s="64"/>
      <c r="BL885" s="64"/>
      <c r="BM885" s="64"/>
      <c r="BN885" s="64"/>
      <c r="BO885" s="64"/>
      <c r="BP885" s="64"/>
    </row>
    <row r="886" ht="18.75" customHeight="1">
      <c r="H886" s="64"/>
      <c r="J886" s="64"/>
      <c r="K886" s="64"/>
      <c r="M886" s="64"/>
      <c r="N886" s="64"/>
      <c r="O886" s="64"/>
      <c r="P886" s="64"/>
      <c r="Q886" s="64"/>
      <c r="R886" s="64"/>
      <c r="S886" s="64"/>
      <c r="T886" s="64"/>
      <c r="U886" s="64"/>
      <c r="V886" s="64"/>
      <c r="W886" s="64"/>
      <c r="BF886" s="64"/>
      <c r="BG886" s="64"/>
      <c r="BH886" s="64"/>
      <c r="BI886" s="64"/>
      <c r="BJ886" s="64"/>
      <c r="BK886" s="64"/>
      <c r="BL886" s="64"/>
      <c r="BM886" s="64"/>
      <c r="BN886" s="64"/>
      <c r="BO886" s="64"/>
      <c r="BP886" s="64"/>
    </row>
    <row r="887" ht="18.75" customHeight="1">
      <c r="H887" s="64"/>
      <c r="J887" s="64"/>
      <c r="K887" s="64"/>
      <c r="M887" s="64"/>
      <c r="N887" s="64"/>
      <c r="O887" s="64"/>
      <c r="P887" s="64"/>
      <c r="Q887" s="64"/>
      <c r="R887" s="64"/>
      <c r="S887" s="64"/>
      <c r="T887" s="64"/>
      <c r="U887" s="64"/>
      <c r="V887" s="64"/>
      <c r="W887" s="64"/>
      <c r="BF887" s="64"/>
      <c r="BG887" s="64"/>
      <c r="BH887" s="64"/>
      <c r="BI887" s="64"/>
      <c r="BJ887" s="64"/>
      <c r="BK887" s="64"/>
      <c r="BL887" s="64"/>
      <c r="BM887" s="64"/>
      <c r="BN887" s="64"/>
      <c r="BO887" s="64"/>
      <c r="BP887" s="64"/>
    </row>
    <row r="888" ht="18.75" customHeight="1">
      <c r="H888" s="64"/>
      <c r="J888" s="64"/>
      <c r="K888" s="64"/>
      <c r="M888" s="64"/>
      <c r="N888" s="64"/>
      <c r="O888" s="64"/>
      <c r="P888" s="64"/>
      <c r="Q888" s="64"/>
      <c r="R888" s="64"/>
      <c r="S888" s="64"/>
      <c r="T888" s="64"/>
      <c r="U888" s="64"/>
      <c r="V888" s="64"/>
      <c r="W888" s="64"/>
      <c r="BF888" s="64"/>
      <c r="BG888" s="64"/>
      <c r="BH888" s="64"/>
      <c r="BI888" s="64"/>
      <c r="BJ888" s="64"/>
      <c r="BK888" s="64"/>
      <c r="BL888" s="64"/>
      <c r="BM888" s="64"/>
      <c r="BN888" s="64"/>
      <c r="BO888" s="64"/>
      <c r="BP888" s="64"/>
    </row>
    <row r="889" ht="18.75" customHeight="1">
      <c r="H889" s="64"/>
      <c r="J889" s="64"/>
      <c r="K889" s="64"/>
      <c r="M889" s="64"/>
      <c r="N889" s="64"/>
      <c r="O889" s="64"/>
      <c r="P889" s="64"/>
      <c r="Q889" s="64"/>
      <c r="R889" s="64"/>
      <c r="S889" s="64"/>
      <c r="T889" s="64"/>
      <c r="U889" s="64"/>
      <c r="V889" s="64"/>
      <c r="W889" s="64"/>
      <c r="BF889" s="64"/>
      <c r="BG889" s="64"/>
      <c r="BH889" s="64"/>
      <c r="BI889" s="64"/>
      <c r="BJ889" s="64"/>
      <c r="BK889" s="64"/>
      <c r="BL889" s="64"/>
      <c r="BM889" s="64"/>
      <c r="BN889" s="64"/>
      <c r="BO889" s="64"/>
      <c r="BP889" s="64"/>
    </row>
    <row r="890" ht="18.75" customHeight="1">
      <c r="H890" s="64"/>
      <c r="J890" s="64"/>
      <c r="K890" s="64"/>
      <c r="M890" s="64"/>
      <c r="N890" s="64"/>
      <c r="O890" s="64"/>
      <c r="P890" s="64"/>
      <c r="Q890" s="64"/>
      <c r="R890" s="64"/>
      <c r="S890" s="64"/>
      <c r="T890" s="64"/>
      <c r="U890" s="64"/>
      <c r="V890" s="64"/>
      <c r="W890" s="64"/>
      <c r="BF890" s="64"/>
      <c r="BG890" s="64"/>
      <c r="BH890" s="64"/>
      <c r="BI890" s="64"/>
      <c r="BJ890" s="64"/>
      <c r="BK890" s="64"/>
      <c r="BL890" s="64"/>
      <c r="BM890" s="64"/>
      <c r="BN890" s="64"/>
      <c r="BO890" s="64"/>
      <c r="BP890" s="64"/>
    </row>
    <row r="891" ht="18.75" customHeight="1">
      <c r="H891" s="64"/>
      <c r="J891" s="64"/>
      <c r="K891" s="64"/>
      <c r="M891" s="64"/>
      <c r="N891" s="64"/>
      <c r="O891" s="64"/>
      <c r="P891" s="64"/>
      <c r="Q891" s="64"/>
      <c r="R891" s="64"/>
      <c r="S891" s="64"/>
      <c r="T891" s="64"/>
      <c r="U891" s="64"/>
      <c r="V891" s="64"/>
      <c r="W891" s="64"/>
      <c r="BF891" s="64"/>
      <c r="BG891" s="64"/>
      <c r="BH891" s="64"/>
      <c r="BI891" s="64"/>
      <c r="BJ891" s="64"/>
      <c r="BK891" s="64"/>
      <c r="BL891" s="64"/>
      <c r="BM891" s="64"/>
      <c r="BN891" s="64"/>
      <c r="BO891" s="64"/>
      <c r="BP891" s="64"/>
    </row>
    <row r="892" ht="18.75" customHeight="1">
      <c r="H892" s="64"/>
      <c r="J892" s="64"/>
      <c r="K892" s="64"/>
      <c r="M892" s="64"/>
      <c r="N892" s="64"/>
      <c r="O892" s="64"/>
      <c r="P892" s="64"/>
      <c r="Q892" s="64"/>
      <c r="R892" s="64"/>
      <c r="S892" s="64"/>
      <c r="T892" s="64"/>
      <c r="U892" s="64"/>
      <c r="V892" s="64"/>
      <c r="W892" s="64"/>
      <c r="BF892" s="64"/>
      <c r="BG892" s="64"/>
      <c r="BH892" s="64"/>
      <c r="BI892" s="64"/>
      <c r="BJ892" s="64"/>
      <c r="BK892" s="64"/>
      <c r="BL892" s="64"/>
      <c r="BM892" s="64"/>
      <c r="BN892" s="64"/>
      <c r="BO892" s="64"/>
      <c r="BP892" s="64"/>
    </row>
    <row r="893" ht="18.75" customHeight="1">
      <c r="H893" s="64"/>
      <c r="J893" s="64"/>
      <c r="K893" s="64"/>
      <c r="M893" s="64"/>
      <c r="N893" s="64"/>
      <c r="O893" s="64"/>
      <c r="P893" s="64"/>
      <c r="Q893" s="64"/>
      <c r="R893" s="64"/>
      <c r="S893" s="64"/>
      <c r="T893" s="64"/>
      <c r="U893" s="64"/>
      <c r="V893" s="64"/>
      <c r="W893" s="64"/>
      <c r="BF893" s="64"/>
      <c r="BG893" s="64"/>
      <c r="BH893" s="64"/>
      <c r="BI893" s="64"/>
      <c r="BJ893" s="64"/>
      <c r="BK893" s="64"/>
      <c r="BL893" s="64"/>
      <c r="BM893" s="64"/>
      <c r="BN893" s="64"/>
      <c r="BO893" s="64"/>
      <c r="BP893" s="64"/>
    </row>
    <row r="894" ht="18.75" customHeight="1">
      <c r="H894" s="64"/>
      <c r="J894" s="64"/>
      <c r="K894" s="64"/>
      <c r="M894" s="64"/>
      <c r="N894" s="64"/>
      <c r="O894" s="64"/>
      <c r="P894" s="64"/>
      <c r="Q894" s="64"/>
      <c r="R894" s="64"/>
      <c r="S894" s="64"/>
      <c r="T894" s="64"/>
      <c r="U894" s="64"/>
      <c r="V894" s="64"/>
      <c r="W894" s="64"/>
      <c r="BF894" s="64"/>
      <c r="BG894" s="64"/>
      <c r="BH894" s="64"/>
      <c r="BI894" s="64"/>
      <c r="BJ894" s="64"/>
      <c r="BK894" s="64"/>
      <c r="BL894" s="64"/>
      <c r="BM894" s="64"/>
      <c r="BN894" s="64"/>
      <c r="BO894" s="64"/>
      <c r="BP894" s="64"/>
    </row>
    <row r="895" ht="18.75" customHeight="1">
      <c r="H895" s="64"/>
      <c r="J895" s="64"/>
      <c r="K895" s="64"/>
      <c r="M895" s="64"/>
      <c r="N895" s="64"/>
      <c r="O895" s="64"/>
      <c r="P895" s="64"/>
      <c r="Q895" s="64"/>
      <c r="R895" s="64"/>
      <c r="S895" s="64"/>
      <c r="T895" s="64"/>
      <c r="U895" s="64"/>
      <c r="V895" s="64"/>
      <c r="W895" s="64"/>
      <c r="BF895" s="64"/>
      <c r="BG895" s="64"/>
      <c r="BH895" s="64"/>
      <c r="BI895" s="64"/>
      <c r="BJ895" s="64"/>
      <c r="BK895" s="64"/>
      <c r="BL895" s="64"/>
      <c r="BM895" s="64"/>
      <c r="BN895" s="64"/>
      <c r="BO895" s="64"/>
      <c r="BP895" s="64"/>
    </row>
    <row r="896" ht="18.75" customHeight="1">
      <c r="H896" s="64"/>
      <c r="J896" s="64"/>
      <c r="K896" s="64"/>
      <c r="M896" s="64"/>
      <c r="N896" s="64"/>
      <c r="O896" s="64"/>
      <c r="P896" s="64"/>
      <c r="Q896" s="64"/>
      <c r="R896" s="64"/>
      <c r="S896" s="64"/>
      <c r="T896" s="64"/>
      <c r="U896" s="64"/>
      <c r="V896" s="64"/>
      <c r="W896" s="64"/>
      <c r="BF896" s="64"/>
      <c r="BG896" s="64"/>
      <c r="BH896" s="64"/>
      <c r="BI896" s="64"/>
      <c r="BJ896" s="64"/>
      <c r="BK896" s="64"/>
      <c r="BL896" s="64"/>
      <c r="BM896" s="64"/>
      <c r="BN896" s="64"/>
      <c r="BO896" s="64"/>
      <c r="BP896" s="64"/>
    </row>
    <row r="897" ht="18.75" customHeight="1">
      <c r="H897" s="64"/>
      <c r="J897" s="64"/>
      <c r="K897" s="64"/>
      <c r="M897" s="64"/>
      <c r="N897" s="64"/>
      <c r="O897" s="64"/>
      <c r="P897" s="64"/>
      <c r="Q897" s="64"/>
      <c r="R897" s="64"/>
      <c r="S897" s="64"/>
      <c r="T897" s="64"/>
      <c r="U897" s="64"/>
      <c r="V897" s="64"/>
      <c r="W897" s="64"/>
      <c r="BF897" s="64"/>
      <c r="BG897" s="64"/>
      <c r="BH897" s="64"/>
      <c r="BI897" s="64"/>
      <c r="BJ897" s="64"/>
      <c r="BK897" s="64"/>
      <c r="BL897" s="64"/>
      <c r="BM897" s="64"/>
      <c r="BN897" s="64"/>
      <c r="BO897" s="64"/>
      <c r="BP897" s="64"/>
    </row>
    <row r="898" ht="18.75" customHeight="1">
      <c r="H898" s="64"/>
      <c r="J898" s="64"/>
      <c r="K898" s="64"/>
      <c r="M898" s="64"/>
      <c r="N898" s="64"/>
      <c r="O898" s="64"/>
      <c r="P898" s="64"/>
      <c r="Q898" s="64"/>
      <c r="R898" s="64"/>
      <c r="S898" s="64"/>
      <c r="T898" s="64"/>
      <c r="U898" s="64"/>
      <c r="V898" s="64"/>
      <c r="W898" s="64"/>
      <c r="BF898" s="64"/>
      <c r="BG898" s="64"/>
      <c r="BH898" s="64"/>
      <c r="BI898" s="64"/>
      <c r="BJ898" s="64"/>
      <c r="BK898" s="64"/>
      <c r="BL898" s="64"/>
      <c r="BM898" s="64"/>
      <c r="BN898" s="64"/>
      <c r="BO898" s="64"/>
      <c r="BP898" s="64"/>
    </row>
    <row r="899" ht="18.75" customHeight="1">
      <c r="H899" s="64"/>
      <c r="J899" s="64"/>
      <c r="K899" s="64"/>
      <c r="M899" s="64"/>
      <c r="N899" s="64"/>
      <c r="O899" s="64"/>
      <c r="P899" s="64"/>
      <c r="Q899" s="64"/>
      <c r="R899" s="64"/>
      <c r="S899" s="64"/>
      <c r="T899" s="64"/>
      <c r="U899" s="64"/>
      <c r="V899" s="64"/>
      <c r="W899" s="64"/>
      <c r="BF899" s="64"/>
      <c r="BG899" s="64"/>
      <c r="BH899" s="64"/>
      <c r="BI899" s="64"/>
      <c r="BJ899" s="64"/>
      <c r="BK899" s="64"/>
      <c r="BL899" s="64"/>
      <c r="BM899" s="64"/>
      <c r="BN899" s="64"/>
      <c r="BO899" s="64"/>
      <c r="BP899" s="64"/>
    </row>
    <row r="900" ht="18.75" customHeight="1">
      <c r="H900" s="64"/>
      <c r="J900" s="64"/>
      <c r="K900" s="64"/>
      <c r="M900" s="64"/>
      <c r="N900" s="64"/>
      <c r="O900" s="64"/>
      <c r="P900" s="64"/>
      <c r="Q900" s="64"/>
      <c r="R900" s="64"/>
      <c r="S900" s="64"/>
      <c r="T900" s="64"/>
      <c r="U900" s="64"/>
      <c r="V900" s="64"/>
      <c r="W900" s="64"/>
      <c r="BF900" s="64"/>
      <c r="BG900" s="64"/>
      <c r="BH900" s="64"/>
      <c r="BI900" s="64"/>
      <c r="BJ900" s="64"/>
      <c r="BK900" s="64"/>
      <c r="BL900" s="64"/>
      <c r="BM900" s="64"/>
      <c r="BN900" s="64"/>
      <c r="BO900" s="64"/>
      <c r="BP900" s="64"/>
    </row>
    <row r="901" ht="18.75" customHeight="1">
      <c r="H901" s="64"/>
      <c r="J901" s="64"/>
      <c r="K901" s="64"/>
      <c r="M901" s="64"/>
      <c r="N901" s="64"/>
      <c r="O901" s="64"/>
      <c r="P901" s="64"/>
      <c r="Q901" s="64"/>
      <c r="R901" s="64"/>
      <c r="S901" s="64"/>
      <c r="T901" s="64"/>
      <c r="U901" s="64"/>
      <c r="V901" s="64"/>
      <c r="W901" s="64"/>
      <c r="BF901" s="64"/>
      <c r="BG901" s="64"/>
      <c r="BH901" s="64"/>
      <c r="BI901" s="64"/>
      <c r="BJ901" s="64"/>
      <c r="BK901" s="64"/>
      <c r="BL901" s="64"/>
      <c r="BM901" s="64"/>
      <c r="BN901" s="64"/>
      <c r="BO901" s="64"/>
      <c r="BP901" s="64"/>
    </row>
    <row r="902" ht="18.75" customHeight="1">
      <c r="H902" s="64"/>
      <c r="J902" s="64"/>
      <c r="K902" s="64"/>
      <c r="M902" s="64"/>
      <c r="N902" s="64"/>
      <c r="O902" s="64"/>
      <c r="P902" s="64"/>
      <c r="Q902" s="64"/>
      <c r="R902" s="64"/>
      <c r="S902" s="64"/>
      <c r="T902" s="64"/>
      <c r="U902" s="64"/>
      <c r="V902" s="64"/>
      <c r="W902" s="64"/>
      <c r="BF902" s="64"/>
      <c r="BG902" s="64"/>
      <c r="BH902" s="64"/>
      <c r="BI902" s="64"/>
      <c r="BJ902" s="64"/>
      <c r="BK902" s="64"/>
      <c r="BL902" s="64"/>
      <c r="BM902" s="64"/>
      <c r="BN902" s="64"/>
      <c r="BO902" s="64"/>
      <c r="BP902" s="64"/>
    </row>
    <row r="903" ht="18.75" customHeight="1">
      <c r="H903" s="64"/>
      <c r="J903" s="64"/>
      <c r="K903" s="64"/>
      <c r="M903" s="64"/>
      <c r="N903" s="64"/>
      <c r="O903" s="64"/>
      <c r="P903" s="64"/>
      <c r="Q903" s="64"/>
      <c r="R903" s="64"/>
      <c r="S903" s="64"/>
      <c r="T903" s="64"/>
      <c r="U903" s="64"/>
      <c r="V903" s="64"/>
      <c r="W903" s="64"/>
      <c r="BF903" s="64"/>
      <c r="BG903" s="64"/>
      <c r="BH903" s="64"/>
      <c r="BI903" s="64"/>
      <c r="BJ903" s="64"/>
      <c r="BK903" s="64"/>
      <c r="BL903" s="64"/>
      <c r="BM903" s="64"/>
      <c r="BN903" s="64"/>
      <c r="BO903" s="64"/>
      <c r="BP903" s="64"/>
    </row>
    <row r="904" ht="18.75" customHeight="1">
      <c r="H904" s="64"/>
      <c r="J904" s="64"/>
      <c r="K904" s="64"/>
      <c r="M904" s="64"/>
      <c r="N904" s="64"/>
      <c r="O904" s="64"/>
      <c r="P904" s="64"/>
      <c r="Q904" s="64"/>
      <c r="R904" s="64"/>
      <c r="S904" s="64"/>
      <c r="T904" s="64"/>
      <c r="U904" s="64"/>
      <c r="V904" s="64"/>
      <c r="W904" s="64"/>
      <c r="BF904" s="64"/>
      <c r="BG904" s="64"/>
      <c r="BH904" s="64"/>
      <c r="BI904" s="64"/>
      <c r="BJ904" s="64"/>
      <c r="BK904" s="64"/>
      <c r="BL904" s="64"/>
      <c r="BM904" s="64"/>
      <c r="BN904" s="64"/>
      <c r="BO904" s="64"/>
      <c r="BP904" s="64"/>
    </row>
    <row r="905" ht="18.75" customHeight="1">
      <c r="H905" s="64"/>
      <c r="J905" s="64"/>
      <c r="K905" s="64"/>
      <c r="M905" s="64"/>
      <c r="N905" s="64"/>
      <c r="O905" s="64"/>
      <c r="P905" s="64"/>
      <c r="Q905" s="64"/>
      <c r="R905" s="64"/>
      <c r="S905" s="64"/>
      <c r="T905" s="64"/>
      <c r="U905" s="64"/>
      <c r="V905" s="64"/>
      <c r="W905" s="64"/>
      <c r="BF905" s="64"/>
      <c r="BG905" s="64"/>
      <c r="BH905" s="64"/>
      <c r="BI905" s="64"/>
      <c r="BJ905" s="64"/>
      <c r="BK905" s="64"/>
      <c r="BL905" s="64"/>
      <c r="BM905" s="64"/>
      <c r="BN905" s="64"/>
      <c r="BO905" s="64"/>
      <c r="BP905" s="64"/>
    </row>
    <row r="906" ht="18.75" customHeight="1">
      <c r="H906" s="64"/>
      <c r="J906" s="64"/>
      <c r="K906" s="64"/>
      <c r="M906" s="64"/>
      <c r="N906" s="64"/>
      <c r="O906" s="64"/>
      <c r="P906" s="64"/>
      <c r="Q906" s="64"/>
      <c r="R906" s="64"/>
      <c r="S906" s="64"/>
      <c r="T906" s="64"/>
      <c r="U906" s="64"/>
      <c r="V906" s="64"/>
      <c r="W906" s="64"/>
      <c r="BF906" s="64"/>
      <c r="BG906" s="64"/>
      <c r="BH906" s="64"/>
      <c r="BI906" s="64"/>
      <c r="BJ906" s="64"/>
      <c r="BK906" s="64"/>
      <c r="BL906" s="64"/>
      <c r="BM906" s="64"/>
      <c r="BN906" s="64"/>
      <c r="BO906" s="64"/>
      <c r="BP906" s="64"/>
    </row>
    <row r="907" ht="18.75" customHeight="1">
      <c r="H907" s="64"/>
      <c r="J907" s="64"/>
      <c r="K907" s="64"/>
      <c r="M907" s="64"/>
      <c r="N907" s="64"/>
      <c r="O907" s="64"/>
      <c r="P907" s="64"/>
      <c r="Q907" s="64"/>
      <c r="R907" s="64"/>
      <c r="S907" s="64"/>
      <c r="T907" s="64"/>
      <c r="U907" s="64"/>
      <c r="V907" s="64"/>
      <c r="W907" s="64"/>
      <c r="BF907" s="64"/>
      <c r="BG907" s="64"/>
      <c r="BH907" s="64"/>
      <c r="BI907" s="64"/>
      <c r="BJ907" s="64"/>
      <c r="BK907" s="64"/>
      <c r="BL907" s="64"/>
      <c r="BM907" s="64"/>
      <c r="BN907" s="64"/>
      <c r="BO907" s="64"/>
      <c r="BP907" s="64"/>
    </row>
    <row r="908" ht="18.75" customHeight="1">
      <c r="H908" s="64"/>
      <c r="J908" s="64"/>
      <c r="K908" s="64"/>
      <c r="M908" s="64"/>
      <c r="N908" s="64"/>
      <c r="O908" s="64"/>
      <c r="P908" s="64"/>
      <c r="Q908" s="64"/>
      <c r="R908" s="64"/>
      <c r="S908" s="64"/>
      <c r="T908" s="64"/>
      <c r="U908" s="64"/>
      <c r="V908" s="64"/>
      <c r="W908" s="64"/>
      <c r="BF908" s="64"/>
      <c r="BG908" s="64"/>
      <c r="BH908" s="64"/>
      <c r="BI908" s="64"/>
      <c r="BJ908" s="64"/>
      <c r="BK908" s="64"/>
      <c r="BL908" s="64"/>
      <c r="BM908" s="64"/>
      <c r="BN908" s="64"/>
      <c r="BO908" s="64"/>
      <c r="BP908" s="64"/>
    </row>
    <row r="909" ht="18.75" customHeight="1">
      <c r="H909" s="64"/>
      <c r="J909" s="64"/>
      <c r="K909" s="64"/>
      <c r="M909" s="64"/>
      <c r="N909" s="64"/>
      <c r="O909" s="64"/>
      <c r="P909" s="64"/>
      <c r="Q909" s="64"/>
      <c r="R909" s="64"/>
      <c r="S909" s="64"/>
      <c r="T909" s="64"/>
      <c r="U909" s="64"/>
      <c r="V909" s="64"/>
      <c r="W909" s="64"/>
      <c r="BF909" s="64"/>
      <c r="BG909" s="64"/>
      <c r="BH909" s="64"/>
      <c r="BI909" s="64"/>
      <c r="BJ909" s="64"/>
      <c r="BK909" s="64"/>
      <c r="BL909" s="64"/>
      <c r="BM909" s="64"/>
      <c r="BN909" s="64"/>
      <c r="BO909" s="64"/>
      <c r="BP909" s="64"/>
    </row>
    <row r="910" ht="18.75" customHeight="1">
      <c r="H910" s="64"/>
      <c r="J910" s="64"/>
      <c r="K910" s="64"/>
      <c r="M910" s="64"/>
      <c r="N910" s="64"/>
      <c r="O910" s="64"/>
      <c r="P910" s="64"/>
      <c r="Q910" s="64"/>
      <c r="R910" s="64"/>
      <c r="S910" s="64"/>
      <c r="T910" s="64"/>
      <c r="U910" s="64"/>
      <c r="V910" s="64"/>
      <c r="W910" s="64"/>
      <c r="BF910" s="64"/>
      <c r="BG910" s="64"/>
      <c r="BH910" s="64"/>
      <c r="BI910" s="64"/>
      <c r="BJ910" s="64"/>
      <c r="BK910" s="64"/>
      <c r="BL910" s="64"/>
      <c r="BM910" s="64"/>
      <c r="BN910" s="64"/>
      <c r="BO910" s="64"/>
      <c r="BP910" s="64"/>
    </row>
    <row r="911" ht="18.75" customHeight="1">
      <c r="H911" s="64"/>
      <c r="J911" s="64"/>
      <c r="K911" s="64"/>
      <c r="M911" s="64"/>
      <c r="N911" s="64"/>
      <c r="O911" s="64"/>
      <c r="P911" s="64"/>
      <c r="Q911" s="64"/>
      <c r="R911" s="64"/>
      <c r="S911" s="64"/>
      <c r="T911" s="64"/>
      <c r="U911" s="64"/>
      <c r="V911" s="64"/>
      <c r="W911" s="64"/>
      <c r="BF911" s="64"/>
      <c r="BG911" s="64"/>
      <c r="BH911" s="64"/>
      <c r="BI911" s="64"/>
      <c r="BJ911" s="64"/>
      <c r="BK911" s="64"/>
      <c r="BL911" s="64"/>
      <c r="BM911" s="64"/>
      <c r="BN911" s="64"/>
      <c r="BO911" s="64"/>
      <c r="BP911" s="64"/>
    </row>
    <row r="912" ht="18.75" customHeight="1">
      <c r="H912" s="64"/>
      <c r="J912" s="64"/>
      <c r="K912" s="64"/>
      <c r="M912" s="64"/>
      <c r="N912" s="64"/>
      <c r="O912" s="64"/>
      <c r="P912" s="64"/>
      <c r="Q912" s="64"/>
      <c r="R912" s="64"/>
      <c r="S912" s="64"/>
      <c r="T912" s="64"/>
      <c r="U912" s="64"/>
      <c r="V912" s="64"/>
      <c r="W912" s="64"/>
      <c r="BF912" s="64"/>
      <c r="BG912" s="64"/>
      <c r="BH912" s="64"/>
      <c r="BI912" s="64"/>
      <c r="BJ912" s="64"/>
      <c r="BK912" s="64"/>
      <c r="BL912" s="64"/>
      <c r="BM912" s="64"/>
      <c r="BN912" s="64"/>
      <c r="BO912" s="64"/>
      <c r="BP912" s="64"/>
    </row>
    <row r="913" ht="18.75" customHeight="1">
      <c r="H913" s="64"/>
      <c r="J913" s="64"/>
      <c r="K913" s="64"/>
      <c r="M913" s="64"/>
      <c r="N913" s="64"/>
      <c r="O913" s="64"/>
      <c r="P913" s="64"/>
      <c r="Q913" s="64"/>
      <c r="R913" s="64"/>
      <c r="S913" s="64"/>
      <c r="T913" s="64"/>
      <c r="U913" s="64"/>
      <c r="V913" s="64"/>
      <c r="W913" s="64"/>
      <c r="BF913" s="64"/>
      <c r="BG913" s="64"/>
      <c r="BH913" s="64"/>
      <c r="BI913" s="64"/>
      <c r="BJ913" s="64"/>
      <c r="BK913" s="64"/>
      <c r="BL913" s="64"/>
      <c r="BM913" s="64"/>
      <c r="BN913" s="64"/>
      <c r="BO913" s="64"/>
      <c r="BP913" s="64"/>
    </row>
    <row r="914" ht="18.75" customHeight="1">
      <c r="H914" s="64"/>
      <c r="J914" s="64"/>
      <c r="K914" s="64"/>
      <c r="M914" s="64"/>
      <c r="N914" s="64"/>
      <c r="O914" s="64"/>
      <c r="P914" s="64"/>
      <c r="Q914" s="64"/>
      <c r="R914" s="64"/>
      <c r="S914" s="64"/>
      <c r="T914" s="64"/>
      <c r="U914" s="64"/>
      <c r="V914" s="64"/>
      <c r="W914" s="64"/>
      <c r="BF914" s="64"/>
      <c r="BG914" s="64"/>
      <c r="BH914" s="64"/>
      <c r="BI914" s="64"/>
      <c r="BJ914" s="64"/>
      <c r="BK914" s="64"/>
      <c r="BL914" s="64"/>
      <c r="BM914" s="64"/>
      <c r="BN914" s="64"/>
      <c r="BO914" s="64"/>
      <c r="BP914" s="64"/>
    </row>
    <row r="915" ht="18.75" customHeight="1">
      <c r="H915" s="64"/>
      <c r="J915" s="64"/>
      <c r="K915" s="64"/>
      <c r="M915" s="64"/>
      <c r="N915" s="64"/>
      <c r="O915" s="64"/>
      <c r="P915" s="64"/>
      <c r="Q915" s="64"/>
      <c r="R915" s="64"/>
      <c r="S915" s="64"/>
      <c r="T915" s="64"/>
      <c r="U915" s="64"/>
      <c r="V915" s="64"/>
      <c r="W915" s="64"/>
      <c r="BF915" s="64"/>
      <c r="BG915" s="64"/>
      <c r="BH915" s="64"/>
      <c r="BI915" s="64"/>
      <c r="BJ915" s="64"/>
      <c r="BK915" s="64"/>
      <c r="BL915" s="64"/>
      <c r="BM915" s="64"/>
      <c r="BN915" s="64"/>
      <c r="BO915" s="64"/>
      <c r="BP915" s="64"/>
    </row>
    <row r="916" ht="18.75" customHeight="1">
      <c r="H916" s="64"/>
      <c r="J916" s="64"/>
      <c r="K916" s="64"/>
      <c r="M916" s="64"/>
      <c r="N916" s="64"/>
      <c r="O916" s="64"/>
      <c r="P916" s="64"/>
      <c r="Q916" s="64"/>
      <c r="R916" s="64"/>
      <c r="S916" s="64"/>
      <c r="T916" s="64"/>
      <c r="U916" s="64"/>
      <c r="V916" s="64"/>
      <c r="W916" s="64"/>
      <c r="BF916" s="64"/>
      <c r="BG916" s="64"/>
      <c r="BH916" s="64"/>
      <c r="BI916" s="64"/>
      <c r="BJ916" s="64"/>
      <c r="BK916" s="64"/>
      <c r="BL916" s="64"/>
      <c r="BM916" s="64"/>
      <c r="BN916" s="64"/>
      <c r="BO916" s="64"/>
      <c r="BP916" s="64"/>
    </row>
    <row r="917" ht="18.75" customHeight="1">
      <c r="H917" s="64"/>
      <c r="J917" s="64"/>
      <c r="K917" s="64"/>
      <c r="M917" s="64"/>
      <c r="N917" s="64"/>
      <c r="O917" s="64"/>
      <c r="P917" s="64"/>
      <c r="Q917" s="64"/>
      <c r="R917" s="64"/>
      <c r="S917" s="64"/>
      <c r="T917" s="64"/>
      <c r="U917" s="64"/>
      <c r="V917" s="64"/>
      <c r="W917" s="64"/>
      <c r="BF917" s="64"/>
      <c r="BG917" s="64"/>
      <c r="BH917" s="64"/>
      <c r="BI917" s="64"/>
      <c r="BJ917" s="64"/>
      <c r="BK917" s="64"/>
      <c r="BL917" s="64"/>
      <c r="BM917" s="64"/>
      <c r="BN917" s="64"/>
      <c r="BO917" s="64"/>
      <c r="BP917" s="64"/>
    </row>
    <row r="918" ht="18.75" customHeight="1">
      <c r="H918" s="64"/>
      <c r="J918" s="64"/>
      <c r="K918" s="64"/>
      <c r="M918" s="64"/>
      <c r="N918" s="64"/>
      <c r="O918" s="64"/>
      <c r="P918" s="64"/>
      <c r="Q918" s="64"/>
      <c r="R918" s="64"/>
      <c r="S918" s="64"/>
      <c r="T918" s="64"/>
      <c r="U918" s="64"/>
      <c r="V918" s="64"/>
      <c r="W918" s="64"/>
      <c r="BF918" s="64"/>
      <c r="BG918" s="64"/>
      <c r="BH918" s="64"/>
      <c r="BI918" s="64"/>
      <c r="BJ918" s="64"/>
      <c r="BK918" s="64"/>
      <c r="BL918" s="64"/>
      <c r="BM918" s="64"/>
      <c r="BN918" s="64"/>
      <c r="BO918" s="64"/>
      <c r="BP918" s="64"/>
    </row>
    <row r="919" ht="18.75" customHeight="1">
      <c r="H919" s="64"/>
      <c r="J919" s="64"/>
      <c r="K919" s="64"/>
      <c r="M919" s="64"/>
      <c r="N919" s="64"/>
      <c r="O919" s="64"/>
      <c r="P919" s="64"/>
      <c r="Q919" s="64"/>
      <c r="R919" s="64"/>
      <c r="S919" s="64"/>
      <c r="T919" s="64"/>
      <c r="U919" s="64"/>
      <c r="V919" s="64"/>
      <c r="W919" s="64"/>
      <c r="BF919" s="64"/>
      <c r="BG919" s="64"/>
      <c r="BH919" s="64"/>
      <c r="BI919" s="64"/>
      <c r="BJ919" s="64"/>
      <c r="BK919" s="64"/>
      <c r="BL919" s="64"/>
      <c r="BM919" s="64"/>
      <c r="BN919" s="64"/>
      <c r="BO919" s="64"/>
      <c r="BP919" s="64"/>
    </row>
    <row r="920" ht="18.75" customHeight="1">
      <c r="H920" s="64"/>
      <c r="J920" s="64"/>
      <c r="K920" s="64"/>
      <c r="M920" s="64"/>
      <c r="N920" s="64"/>
      <c r="O920" s="64"/>
      <c r="P920" s="64"/>
      <c r="Q920" s="64"/>
      <c r="R920" s="64"/>
      <c r="S920" s="64"/>
      <c r="T920" s="64"/>
      <c r="U920" s="64"/>
      <c r="V920" s="64"/>
      <c r="W920" s="64"/>
      <c r="BF920" s="64"/>
      <c r="BG920" s="64"/>
      <c r="BH920" s="64"/>
      <c r="BI920" s="64"/>
      <c r="BJ920" s="64"/>
      <c r="BK920" s="64"/>
      <c r="BL920" s="64"/>
      <c r="BM920" s="64"/>
      <c r="BN920" s="64"/>
      <c r="BO920" s="64"/>
      <c r="BP920" s="64"/>
    </row>
    <row r="921" ht="18.75" customHeight="1">
      <c r="H921" s="64"/>
      <c r="J921" s="64"/>
      <c r="K921" s="64"/>
      <c r="M921" s="64"/>
      <c r="N921" s="64"/>
      <c r="O921" s="64"/>
      <c r="P921" s="64"/>
      <c r="Q921" s="64"/>
      <c r="R921" s="64"/>
      <c r="S921" s="64"/>
      <c r="T921" s="64"/>
      <c r="U921" s="64"/>
      <c r="V921" s="64"/>
      <c r="W921" s="64"/>
      <c r="BF921" s="64"/>
      <c r="BG921" s="64"/>
      <c r="BH921" s="64"/>
      <c r="BI921" s="64"/>
      <c r="BJ921" s="64"/>
      <c r="BK921" s="64"/>
      <c r="BL921" s="64"/>
      <c r="BM921" s="64"/>
      <c r="BN921" s="64"/>
      <c r="BO921" s="64"/>
      <c r="BP921" s="64"/>
    </row>
    <row r="922" ht="18.75" customHeight="1">
      <c r="H922" s="64"/>
      <c r="J922" s="64"/>
      <c r="K922" s="64"/>
      <c r="M922" s="64"/>
      <c r="N922" s="64"/>
      <c r="O922" s="64"/>
      <c r="P922" s="64"/>
      <c r="Q922" s="64"/>
      <c r="R922" s="64"/>
      <c r="S922" s="64"/>
      <c r="T922" s="64"/>
      <c r="U922" s="64"/>
      <c r="V922" s="64"/>
      <c r="W922" s="64"/>
      <c r="BF922" s="64"/>
      <c r="BG922" s="64"/>
      <c r="BH922" s="64"/>
      <c r="BI922" s="64"/>
      <c r="BJ922" s="64"/>
      <c r="BK922" s="64"/>
      <c r="BL922" s="64"/>
      <c r="BM922" s="64"/>
      <c r="BN922" s="64"/>
      <c r="BO922" s="64"/>
      <c r="BP922" s="64"/>
    </row>
    <row r="923" ht="18.75" customHeight="1">
      <c r="H923" s="64"/>
      <c r="J923" s="64"/>
      <c r="K923" s="64"/>
      <c r="M923" s="64"/>
      <c r="N923" s="64"/>
      <c r="O923" s="64"/>
      <c r="P923" s="64"/>
      <c r="Q923" s="64"/>
      <c r="R923" s="64"/>
      <c r="S923" s="64"/>
      <c r="T923" s="64"/>
      <c r="U923" s="64"/>
      <c r="V923" s="64"/>
      <c r="W923" s="64"/>
      <c r="BF923" s="64"/>
      <c r="BG923" s="64"/>
      <c r="BH923" s="64"/>
      <c r="BI923" s="64"/>
      <c r="BJ923" s="64"/>
      <c r="BK923" s="64"/>
      <c r="BL923" s="64"/>
      <c r="BM923" s="64"/>
      <c r="BN923" s="64"/>
      <c r="BO923" s="64"/>
      <c r="BP923" s="64"/>
    </row>
    <row r="924" ht="18.75" customHeight="1">
      <c r="H924" s="64"/>
      <c r="J924" s="64"/>
      <c r="K924" s="64"/>
      <c r="M924" s="64"/>
      <c r="N924" s="64"/>
      <c r="O924" s="64"/>
      <c r="P924" s="64"/>
      <c r="Q924" s="64"/>
      <c r="R924" s="64"/>
      <c r="S924" s="64"/>
      <c r="T924" s="64"/>
      <c r="U924" s="64"/>
      <c r="V924" s="64"/>
      <c r="W924" s="64"/>
      <c r="BF924" s="64"/>
      <c r="BG924" s="64"/>
      <c r="BH924" s="64"/>
      <c r="BI924" s="64"/>
      <c r="BJ924" s="64"/>
      <c r="BK924" s="64"/>
      <c r="BL924" s="64"/>
      <c r="BM924" s="64"/>
      <c r="BN924" s="64"/>
      <c r="BO924" s="64"/>
      <c r="BP924" s="64"/>
    </row>
    <row r="925" ht="18.75" customHeight="1">
      <c r="H925" s="64"/>
      <c r="J925" s="64"/>
      <c r="K925" s="64"/>
      <c r="M925" s="64"/>
      <c r="N925" s="64"/>
      <c r="O925" s="64"/>
      <c r="P925" s="64"/>
      <c r="Q925" s="64"/>
      <c r="R925" s="64"/>
      <c r="S925" s="64"/>
      <c r="T925" s="64"/>
      <c r="U925" s="64"/>
      <c r="V925" s="64"/>
      <c r="W925" s="64"/>
      <c r="BF925" s="64"/>
      <c r="BG925" s="64"/>
      <c r="BH925" s="64"/>
      <c r="BI925" s="64"/>
      <c r="BJ925" s="64"/>
      <c r="BK925" s="64"/>
      <c r="BL925" s="64"/>
      <c r="BM925" s="64"/>
      <c r="BN925" s="64"/>
      <c r="BO925" s="64"/>
      <c r="BP925" s="64"/>
    </row>
    <row r="926" ht="18.75" customHeight="1">
      <c r="H926" s="64"/>
      <c r="J926" s="64"/>
      <c r="K926" s="64"/>
      <c r="M926" s="64"/>
      <c r="N926" s="64"/>
      <c r="O926" s="64"/>
      <c r="P926" s="64"/>
      <c r="Q926" s="64"/>
      <c r="R926" s="64"/>
      <c r="S926" s="64"/>
      <c r="T926" s="64"/>
      <c r="U926" s="64"/>
      <c r="V926" s="64"/>
      <c r="W926" s="64"/>
      <c r="BF926" s="64"/>
      <c r="BG926" s="64"/>
      <c r="BH926" s="64"/>
      <c r="BI926" s="64"/>
      <c r="BJ926" s="64"/>
      <c r="BK926" s="64"/>
      <c r="BL926" s="64"/>
      <c r="BM926" s="64"/>
      <c r="BN926" s="64"/>
      <c r="BO926" s="64"/>
      <c r="BP926" s="64"/>
    </row>
    <row r="927" ht="18.75" customHeight="1">
      <c r="H927" s="64"/>
      <c r="J927" s="64"/>
      <c r="K927" s="64"/>
      <c r="M927" s="64"/>
      <c r="N927" s="64"/>
      <c r="O927" s="64"/>
      <c r="P927" s="64"/>
      <c r="Q927" s="64"/>
      <c r="R927" s="64"/>
      <c r="S927" s="64"/>
      <c r="T927" s="64"/>
      <c r="U927" s="64"/>
      <c r="V927" s="64"/>
      <c r="W927" s="64"/>
      <c r="BF927" s="64"/>
      <c r="BG927" s="64"/>
      <c r="BH927" s="64"/>
      <c r="BI927" s="64"/>
      <c r="BJ927" s="64"/>
      <c r="BK927" s="64"/>
      <c r="BL927" s="64"/>
      <c r="BM927" s="64"/>
      <c r="BN927" s="64"/>
      <c r="BO927" s="64"/>
      <c r="BP927" s="64"/>
    </row>
    <row r="928" ht="18.75" customHeight="1">
      <c r="H928" s="64"/>
      <c r="J928" s="64"/>
      <c r="K928" s="64"/>
      <c r="M928" s="64"/>
      <c r="N928" s="64"/>
      <c r="O928" s="64"/>
      <c r="P928" s="64"/>
      <c r="Q928" s="64"/>
      <c r="R928" s="64"/>
      <c r="S928" s="64"/>
      <c r="T928" s="64"/>
      <c r="U928" s="64"/>
      <c r="V928" s="64"/>
      <c r="W928" s="64"/>
      <c r="BF928" s="64"/>
      <c r="BG928" s="64"/>
      <c r="BH928" s="64"/>
      <c r="BI928" s="64"/>
      <c r="BJ928" s="64"/>
      <c r="BK928" s="64"/>
      <c r="BL928" s="64"/>
      <c r="BM928" s="64"/>
      <c r="BN928" s="64"/>
      <c r="BO928" s="64"/>
      <c r="BP928" s="64"/>
    </row>
    <row r="929" ht="18.75" customHeight="1">
      <c r="H929" s="64"/>
      <c r="J929" s="64"/>
      <c r="K929" s="64"/>
      <c r="M929" s="64"/>
      <c r="N929" s="64"/>
      <c r="O929" s="64"/>
      <c r="P929" s="64"/>
      <c r="Q929" s="64"/>
      <c r="R929" s="64"/>
      <c r="S929" s="64"/>
      <c r="T929" s="64"/>
      <c r="U929" s="64"/>
      <c r="V929" s="64"/>
      <c r="W929" s="64"/>
      <c r="BF929" s="64"/>
      <c r="BG929" s="64"/>
      <c r="BH929" s="64"/>
      <c r="BI929" s="64"/>
      <c r="BJ929" s="64"/>
      <c r="BK929" s="64"/>
      <c r="BL929" s="64"/>
      <c r="BM929" s="64"/>
      <c r="BN929" s="64"/>
      <c r="BO929" s="64"/>
      <c r="BP929" s="64"/>
    </row>
    <row r="930" ht="18.75" customHeight="1">
      <c r="H930" s="64"/>
      <c r="J930" s="64"/>
      <c r="K930" s="64"/>
      <c r="M930" s="64"/>
      <c r="N930" s="64"/>
      <c r="O930" s="64"/>
      <c r="P930" s="64"/>
      <c r="Q930" s="64"/>
      <c r="R930" s="64"/>
      <c r="S930" s="64"/>
      <c r="T930" s="64"/>
      <c r="U930" s="64"/>
      <c r="V930" s="64"/>
      <c r="W930" s="64"/>
      <c r="BF930" s="64"/>
      <c r="BG930" s="64"/>
      <c r="BH930" s="64"/>
      <c r="BI930" s="64"/>
      <c r="BJ930" s="64"/>
      <c r="BK930" s="64"/>
      <c r="BL930" s="64"/>
      <c r="BM930" s="64"/>
      <c r="BN930" s="64"/>
      <c r="BO930" s="64"/>
      <c r="BP930" s="64"/>
    </row>
    <row r="931" ht="18.75" customHeight="1">
      <c r="H931" s="64"/>
      <c r="J931" s="64"/>
      <c r="K931" s="64"/>
      <c r="M931" s="64"/>
      <c r="N931" s="64"/>
      <c r="O931" s="64"/>
      <c r="P931" s="64"/>
      <c r="Q931" s="64"/>
      <c r="R931" s="64"/>
      <c r="S931" s="64"/>
      <c r="T931" s="64"/>
      <c r="U931" s="64"/>
      <c r="V931" s="64"/>
      <c r="W931" s="64"/>
      <c r="BF931" s="64"/>
      <c r="BG931" s="64"/>
      <c r="BH931" s="64"/>
      <c r="BI931" s="64"/>
      <c r="BJ931" s="64"/>
      <c r="BK931" s="64"/>
      <c r="BL931" s="64"/>
      <c r="BM931" s="64"/>
      <c r="BN931" s="64"/>
      <c r="BO931" s="64"/>
      <c r="BP931" s="64"/>
    </row>
    <row r="932" ht="18.75" customHeight="1">
      <c r="H932" s="64"/>
      <c r="J932" s="64"/>
      <c r="K932" s="64"/>
      <c r="M932" s="64"/>
      <c r="N932" s="64"/>
      <c r="O932" s="64"/>
      <c r="P932" s="64"/>
      <c r="Q932" s="64"/>
      <c r="R932" s="64"/>
      <c r="S932" s="64"/>
      <c r="T932" s="64"/>
      <c r="U932" s="64"/>
      <c r="V932" s="64"/>
      <c r="W932" s="64"/>
      <c r="BF932" s="64"/>
      <c r="BG932" s="64"/>
      <c r="BH932" s="64"/>
      <c r="BI932" s="64"/>
      <c r="BJ932" s="64"/>
      <c r="BK932" s="64"/>
      <c r="BL932" s="64"/>
      <c r="BM932" s="64"/>
      <c r="BN932" s="64"/>
      <c r="BO932" s="64"/>
      <c r="BP932" s="64"/>
    </row>
    <row r="933" ht="18.75" customHeight="1">
      <c r="H933" s="64"/>
      <c r="J933" s="64"/>
      <c r="K933" s="64"/>
      <c r="M933" s="64"/>
      <c r="N933" s="64"/>
      <c r="O933" s="64"/>
      <c r="P933" s="64"/>
      <c r="Q933" s="64"/>
      <c r="R933" s="64"/>
      <c r="S933" s="64"/>
      <c r="T933" s="64"/>
      <c r="U933" s="64"/>
      <c r="V933" s="64"/>
      <c r="W933" s="64"/>
      <c r="BF933" s="64"/>
      <c r="BG933" s="64"/>
      <c r="BH933" s="64"/>
      <c r="BI933" s="64"/>
      <c r="BJ933" s="64"/>
      <c r="BK933" s="64"/>
      <c r="BL933" s="64"/>
      <c r="BM933" s="64"/>
      <c r="BN933" s="64"/>
      <c r="BO933" s="64"/>
      <c r="BP933" s="64"/>
    </row>
    <row r="934" ht="18.75" customHeight="1">
      <c r="H934" s="64"/>
      <c r="J934" s="64"/>
      <c r="K934" s="64"/>
      <c r="M934" s="64"/>
      <c r="N934" s="64"/>
      <c r="O934" s="64"/>
      <c r="P934" s="64"/>
      <c r="Q934" s="64"/>
      <c r="R934" s="64"/>
      <c r="S934" s="64"/>
      <c r="T934" s="64"/>
      <c r="U934" s="64"/>
      <c r="V934" s="64"/>
      <c r="W934" s="64"/>
      <c r="BF934" s="64"/>
      <c r="BG934" s="64"/>
      <c r="BH934" s="64"/>
      <c r="BI934" s="64"/>
      <c r="BJ934" s="64"/>
      <c r="BK934" s="64"/>
      <c r="BL934" s="64"/>
      <c r="BM934" s="64"/>
      <c r="BN934" s="64"/>
      <c r="BO934" s="64"/>
      <c r="BP934" s="64"/>
    </row>
    <row r="935" ht="18.75" customHeight="1">
      <c r="H935" s="64"/>
      <c r="J935" s="64"/>
      <c r="K935" s="64"/>
      <c r="M935" s="64"/>
      <c r="N935" s="64"/>
      <c r="O935" s="64"/>
      <c r="P935" s="64"/>
      <c r="Q935" s="64"/>
      <c r="R935" s="64"/>
      <c r="S935" s="64"/>
      <c r="T935" s="64"/>
      <c r="U935" s="64"/>
      <c r="V935" s="64"/>
      <c r="W935" s="64"/>
      <c r="BF935" s="64"/>
      <c r="BG935" s="64"/>
      <c r="BH935" s="64"/>
      <c r="BI935" s="64"/>
      <c r="BJ935" s="64"/>
      <c r="BK935" s="64"/>
      <c r="BL935" s="64"/>
      <c r="BM935" s="64"/>
      <c r="BN935" s="64"/>
      <c r="BO935" s="64"/>
      <c r="BP935" s="64"/>
    </row>
    <row r="936" ht="18.75" customHeight="1">
      <c r="H936" s="64"/>
      <c r="J936" s="64"/>
      <c r="K936" s="64"/>
      <c r="M936" s="64"/>
      <c r="N936" s="64"/>
      <c r="O936" s="64"/>
      <c r="P936" s="64"/>
      <c r="Q936" s="64"/>
      <c r="R936" s="64"/>
      <c r="S936" s="64"/>
      <c r="T936" s="64"/>
      <c r="U936" s="64"/>
      <c r="V936" s="64"/>
      <c r="W936" s="64"/>
      <c r="BF936" s="64"/>
      <c r="BG936" s="64"/>
      <c r="BH936" s="64"/>
      <c r="BI936" s="64"/>
      <c r="BJ936" s="64"/>
      <c r="BK936" s="64"/>
      <c r="BL936" s="64"/>
      <c r="BM936" s="64"/>
      <c r="BN936" s="64"/>
      <c r="BO936" s="64"/>
      <c r="BP936" s="64"/>
    </row>
    <row r="937" ht="18.75" customHeight="1">
      <c r="H937" s="64"/>
      <c r="J937" s="64"/>
      <c r="K937" s="64"/>
      <c r="M937" s="64"/>
      <c r="N937" s="64"/>
      <c r="O937" s="64"/>
      <c r="P937" s="64"/>
      <c r="Q937" s="64"/>
      <c r="R937" s="64"/>
      <c r="S937" s="64"/>
      <c r="T937" s="64"/>
      <c r="U937" s="64"/>
      <c r="V937" s="64"/>
      <c r="W937" s="64"/>
      <c r="BF937" s="64"/>
      <c r="BG937" s="64"/>
      <c r="BH937" s="64"/>
      <c r="BI937" s="64"/>
      <c r="BJ937" s="64"/>
      <c r="BK937" s="64"/>
      <c r="BL937" s="64"/>
      <c r="BM937" s="64"/>
      <c r="BN937" s="64"/>
      <c r="BO937" s="64"/>
      <c r="BP937" s="64"/>
    </row>
    <row r="938" ht="18.75" customHeight="1">
      <c r="H938" s="64"/>
      <c r="J938" s="64"/>
      <c r="K938" s="64"/>
      <c r="M938" s="64"/>
      <c r="N938" s="64"/>
      <c r="O938" s="64"/>
      <c r="P938" s="64"/>
      <c r="Q938" s="64"/>
      <c r="R938" s="64"/>
      <c r="S938" s="64"/>
      <c r="T938" s="64"/>
      <c r="U938" s="64"/>
      <c r="V938" s="64"/>
      <c r="W938" s="64"/>
      <c r="BF938" s="64"/>
      <c r="BG938" s="64"/>
      <c r="BH938" s="64"/>
      <c r="BI938" s="64"/>
      <c r="BJ938" s="64"/>
      <c r="BK938" s="64"/>
      <c r="BL938" s="64"/>
      <c r="BM938" s="64"/>
      <c r="BN938" s="64"/>
      <c r="BO938" s="64"/>
      <c r="BP938" s="64"/>
    </row>
    <row r="939" ht="18.75" customHeight="1">
      <c r="H939" s="64"/>
      <c r="J939" s="64"/>
      <c r="K939" s="64"/>
      <c r="M939" s="64"/>
      <c r="N939" s="64"/>
      <c r="O939" s="64"/>
      <c r="P939" s="64"/>
      <c r="Q939" s="64"/>
      <c r="R939" s="64"/>
      <c r="S939" s="64"/>
      <c r="T939" s="64"/>
      <c r="U939" s="64"/>
      <c r="V939" s="64"/>
      <c r="W939" s="64"/>
      <c r="BF939" s="64"/>
      <c r="BG939" s="64"/>
      <c r="BH939" s="64"/>
      <c r="BI939" s="64"/>
      <c r="BJ939" s="64"/>
      <c r="BK939" s="64"/>
      <c r="BL939" s="64"/>
      <c r="BM939" s="64"/>
      <c r="BN939" s="64"/>
      <c r="BO939" s="64"/>
      <c r="BP939" s="64"/>
    </row>
    <row r="940" ht="18.75" customHeight="1">
      <c r="H940" s="64"/>
      <c r="J940" s="64"/>
      <c r="K940" s="64"/>
      <c r="M940" s="64"/>
      <c r="N940" s="64"/>
      <c r="O940" s="64"/>
      <c r="P940" s="64"/>
      <c r="Q940" s="64"/>
      <c r="R940" s="64"/>
      <c r="S940" s="64"/>
      <c r="T940" s="64"/>
      <c r="U940" s="64"/>
      <c r="V940" s="64"/>
      <c r="W940" s="64"/>
      <c r="BF940" s="64"/>
      <c r="BG940" s="64"/>
      <c r="BH940" s="64"/>
      <c r="BI940" s="64"/>
      <c r="BJ940" s="64"/>
      <c r="BK940" s="64"/>
      <c r="BL940" s="64"/>
      <c r="BM940" s="64"/>
      <c r="BN940" s="64"/>
      <c r="BO940" s="64"/>
      <c r="BP940" s="64"/>
    </row>
    <row r="941" ht="18.75" customHeight="1">
      <c r="H941" s="64"/>
      <c r="J941" s="64"/>
      <c r="K941" s="64"/>
      <c r="M941" s="64"/>
      <c r="N941" s="64"/>
      <c r="O941" s="64"/>
      <c r="P941" s="64"/>
      <c r="Q941" s="64"/>
      <c r="R941" s="64"/>
      <c r="S941" s="64"/>
      <c r="T941" s="64"/>
      <c r="U941" s="64"/>
      <c r="V941" s="64"/>
      <c r="W941" s="64"/>
      <c r="BF941" s="64"/>
      <c r="BG941" s="64"/>
      <c r="BH941" s="64"/>
      <c r="BI941" s="64"/>
      <c r="BJ941" s="64"/>
      <c r="BK941" s="64"/>
      <c r="BL941" s="64"/>
      <c r="BM941" s="64"/>
      <c r="BN941" s="64"/>
      <c r="BO941" s="64"/>
      <c r="BP941" s="64"/>
    </row>
    <row r="942" ht="18.75" customHeight="1">
      <c r="H942" s="64"/>
      <c r="J942" s="64"/>
      <c r="K942" s="64"/>
      <c r="M942" s="64"/>
      <c r="N942" s="64"/>
      <c r="O942" s="64"/>
      <c r="P942" s="64"/>
      <c r="Q942" s="64"/>
      <c r="R942" s="64"/>
      <c r="S942" s="64"/>
      <c r="T942" s="64"/>
      <c r="U942" s="64"/>
      <c r="V942" s="64"/>
      <c r="W942" s="64"/>
      <c r="BF942" s="64"/>
      <c r="BG942" s="64"/>
      <c r="BH942" s="64"/>
      <c r="BI942" s="64"/>
      <c r="BJ942" s="64"/>
      <c r="BK942" s="64"/>
      <c r="BL942" s="64"/>
      <c r="BM942" s="64"/>
      <c r="BN942" s="64"/>
      <c r="BO942" s="64"/>
      <c r="BP942" s="64"/>
    </row>
    <row r="943" ht="18.75" customHeight="1">
      <c r="H943" s="64"/>
      <c r="J943" s="64"/>
      <c r="K943" s="64"/>
      <c r="M943" s="64"/>
      <c r="N943" s="64"/>
      <c r="O943" s="64"/>
      <c r="P943" s="64"/>
      <c r="Q943" s="64"/>
      <c r="R943" s="64"/>
      <c r="S943" s="64"/>
      <c r="T943" s="64"/>
      <c r="U943" s="64"/>
      <c r="V943" s="64"/>
      <c r="W943" s="64"/>
      <c r="BF943" s="64"/>
      <c r="BG943" s="64"/>
      <c r="BH943" s="64"/>
      <c r="BI943" s="64"/>
      <c r="BJ943" s="64"/>
      <c r="BK943" s="64"/>
      <c r="BL943" s="64"/>
      <c r="BM943" s="64"/>
      <c r="BN943" s="64"/>
      <c r="BO943" s="64"/>
      <c r="BP943" s="64"/>
    </row>
    <row r="944" ht="18.75" customHeight="1">
      <c r="H944" s="64"/>
      <c r="J944" s="64"/>
      <c r="K944" s="64"/>
      <c r="M944" s="64"/>
      <c r="N944" s="64"/>
      <c r="O944" s="64"/>
      <c r="P944" s="64"/>
      <c r="Q944" s="64"/>
      <c r="R944" s="64"/>
      <c r="S944" s="64"/>
      <c r="T944" s="64"/>
      <c r="U944" s="64"/>
      <c r="V944" s="64"/>
      <c r="W944" s="64"/>
      <c r="BF944" s="64"/>
      <c r="BG944" s="64"/>
      <c r="BH944" s="64"/>
      <c r="BI944" s="64"/>
      <c r="BJ944" s="64"/>
      <c r="BK944" s="64"/>
      <c r="BL944" s="64"/>
      <c r="BM944" s="64"/>
      <c r="BN944" s="64"/>
      <c r="BO944" s="64"/>
      <c r="BP944" s="64"/>
    </row>
    <row r="945" ht="18.75" customHeight="1">
      <c r="H945" s="64"/>
      <c r="J945" s="64"/>
      <c r="K945" s="64"/>
      <c r="M945" s="64"/>
      <c r="N945" s="64"/>
      <c r="O945" s="64"/>
      <c r="P945" s="64"/>
      <c r="Q945" s="64"/>
      <c r="R945" s="64"/>
      <c r="S945" s="64"/>
      <c r="T945" s="64"/>
      <c r="U945" s="64"/>
      <c r="V945" s="64"/>
      <c r="W945" s="64"/>
      <c r="BF945" s="64"/>
      <c r="BG945" s="64"/>
      <c r="BH945" s="64"/>
      <c r="BI945" s="64"/>
      <c r="BJ945" s="64"/>
      <c r="BK945" s="64"/>
      <c r="BL945" s="64"/>
      <c r="BM945" s="64"/>
      <c r="BN945" s="64"/>
      <c r="BO945" s="64"/>
      <c r="BP945" s="64"/>
    </row>
    <row r="946" ht="18.75" customHeight="1">
      <c r="H946" s="64"/>
      <c r="J946" s="64"/>
      <c r="K946" s="64"/>
      <c r="M946" s="64"/>
      <c r="N946" s="64"/>
      <c r="O946" s="64"/>
      <c r="P946" s="64"/>
      <c r="Q946" s="64"/>
      <c r="R946" s="64"/>
      <c r="S946" s="64"/>
      <c r="T946" s="64"/>
      <c r="U946" s="64"/>
      <c r="V946" s="64"/>
      <c r="W946" s="64"/>
      <c r="BF946" s="64"/>
      <c r="BG946" s="64"/>
      <c r="BH946" s="64"/>
      <c r="BI946" s="64"/>
      <c r="BJ946" s="64"/>
      <c r="BK946" s="64"/>
      <c r="BL946" s="64"/>
      <c r="BM946" s="64"/>
      <c r="BN946" s="64"/>
      <c r="BO946" s="64"/>
      <c r="BP946" s="64"/>
    </row>
    <row r="947" ht="18.75" customHeight="1">
      <c r="H947" s="64"/>
      <c r="J947" s="64"/>
      <c r="K947" s="64"/>
      <c r="M947" s="64"/>
      <c r="N947" s="64"/>
      <c r="O947" s="64"/>
      <c r="P947" s="64"/>
      <c r="Q947" s="64"/>
      <c r="R947" s="64"/>
      <c r="S947" s="64"/>
      <c r="T947" s="64"/>
      <c r="U947" s="64"/>
      <c r="V947" s="64"/>
      <c r="W947" s="64"/>
      <c r="BF947" s="64"/>
      <c r="BG947" s="64"/>
      <c r="BH947" s="64"/>
      <c r="BI947" s="64"/>
      <c r="BJ947" s="64"/>
      <c r="BK947" s="64"/>
      <c r="BL947" s="64"/>
      <c r="BM947" s="64"/>
      <c r="BN947" s="64"/>
      <c r="BO947" s="64"/>
      <c r="BP947" s="64"/>
    </row>
    <row r="948" ht="18.75" customHeight="1">
      <c r="H948" s="64"/>
      <c r="J948" s="64"/>
      <c r="K948" s="64"/>
      <c r="M948" s="64"/>
      <c r="N948" s="64"/>
      <c r="O948" s="64"/>
      <c r="P948" s="64"/>
      <c r="Q948" s="64"/>
      <c r="R948" s="64"/>
      <c r="S948" s="64"/>
      <c r="T948" s="64"/>
      <c r="U948" s="64"/>
      <c r="V948" s="64"/>
      <c r="W948" s="64"/>
      <c r="BF948" s="64"/>
      <c r="BG948" s="64"/>
      <c r="BH948" s="64"/>
      <c r="BI948" s="64"/>
      <c r="BJ948" s="64"/>
      <c r="BK948" s="64"/>
      <c r="BL948" s="64"/>
      <c r="BM948" s="64"/>
      <c r="BN948" s="64"/>
      <c r="BO948" s="64"/>
      <c r="BP948" s="64"/>
    </row>
    <row r="949" ht="18.75" customHeight="1">
      <c r="H949" s="64"/>
      <c r="J949" s="64"/>
      <c r="K949" s="64"/>
      <c r="M949" s="64"/>
      <c r="N949" s="64"/>
      <c r="O949" s="64"/>
      <c r="P949" s="64"/>
      <c r="Q949" s="64"/>
      <c r="R949" s="64"/>
      <c r="S949" s="64"/>
      <c r="T949" s="64"/>
      <c r="U949" s="64"/>
      <c r="V949" s="64"/>
      <c r="W949" s="64"/>
      <c r="BF949" s="64"/>
      <c r="BG949" s="64"/>
      <c r="BH949" s="64"/>
      <c r="BI949" s="64"/>
      <c r="BJ949" s="64"/>
      <c r="BK949" s="64"/>
      <c r="BL949" s="64"/>
      <c r="BM949" s="64"/>
      <c r="BN949" s="64"/>
      <c r="BO949" s="64"/>
      <c r="BP949" s="64"/>
    </row>
    <row r="950" ht="18.75" customHeight="1">
      <c r="H950" s="64"/>
      <c r="J950" s="64"/>
      <c r="K950" s="64"/>
      <c r="M950" s="64"/>
      <c r="N950" s="64"/>
      <c r="O950" s="64"/>
      <c r="P950" s="64"/>
      <c r="Q950" s="64"/>
      <c r="R950" s="64"/>
      <c r="S950" s="64"/>
      <c r="T950" s="64"/>
      <c r="U950" s="64"/>
      <c r="V950" s="64"/>
      <c r="W950" s="64"/>
      <c r="BF950" s="64"/>
      <c r="BG950" s="64"/>
      <c r="BH950" s="64"/>
      <c r="BI950" s="64"/>
      <c r="BJ950" s="64"/>
      <c r="BK950" s="64"/>
      <c r="BL950" s="64"/>
      <c r="BM950" s="64"/>
      <c r="BN950" s="64"/>
      <c r="BO950" s="64"/>
      <c r="BP950" s="64"/>
    </row>
    <row r="951" ht="18.75" customHeight="1">
      <c r="H951" s="64"/>
      <c r="J951" s="64"/>
      <c r="K951" s="64"/>
      <c r="M951" s="64"/>
      <c r="N951" s="64"/>
      <c r="O951" s="64"/>
      <c r="P951" s="64"/>
      <c r="Q951" s="64"/>
      <c r="R951" s="64"/>
      <c r="S951" s="64"/>
      <c r="T951" s="64"/>
      <c r="U951" s="64"/>
      <c r="V951" s="64"/>
      <c r="W951" s="64"/>
      <c r="BF951" s="64"/>
      <c r="BG951" s="64"/>
      <c r="BH951" s="64"/>
      <c r="BI951" s="64"/>
      <c r="BJ951" s="64"/>
      <c r="BK951" s="64"/>
      <c r="BL951" s="64"/>
      <c r="BM951" s="64"/>
      <c r="BN951" s="64"/>
      <c r="BO951" s="64"/>
      <c r="BP951" s="64"/>
    </row>
    <row r="952" ht="18.75" customHeight="1">
      <c r="H952" s="64"/>
      <c r="J952" s="64"/>
      <c r="K952" s="64"/>
      <c r="M952" s="64"/>
      <c r="N952" s="64"/>
      <c r="O952" s="64"/>
      <c r="P952" s="64"/>
      <c r="Q952" s="64"/>
      <c r="R952" s="64"/>
      <c r="S952" s="64"/>
      <c r="T952" s="64"/>
      <c r="U952" s="64"/>
      <c r="V952" s="64"/>
      <c r="W952" s="64"/>
      <c r="BF952" s="64"/>
      <c r="BG952" s="64"/>
      <c r="BH952" s="64"/>
      <c r="BI952" s="64"/>
      <c r="BJ952" s="64"/>
      <c r="BK952" s="64"/>
      <c r="BL952" s="64"/>
      <c r="BM952" s="64"/>
      <c r="BN952" s="64"/>
      <c r="BO952" s="64"/>
      <c r="BP952" s="64"/>
    </row>
    <row r="953" ht="18.75" customHeight="1">
      <c r="H953" s="64"/>
      <c r="J953" s="64"/>
      <c r="K953" s="64"/>
      <c r="M953" s="64"/>
      <c r="N953" s="64"/>
      <c r="O953" s="64"/>
      <c r="P953" s="64"/>
      <c r="Q953" s="64"/>
      <c r="R953" s="64"/>
      <c r="S953" s="64"/>
      <c r="T953" s="64"/>
      <c r="U953" s="64"/>
      <c r="V953" s="64"/>
      <c r="W953" s="64"/>
      <c r="BF953" s="64"/>
      <c r="BG953" s="64"/>
      <c r="BH953" s="64"/>
      <c r="BI953" s="64"/>
      <c r="BJ953" s="64"/>
      <c r="BK953" s="64"/>
      <c r="BL953" s="64"/>
      <c r="BM953" s="64"/>
      <c r="BN953" s="64"/>
      <c r="BO953" s="64"/>
      <c r="BP953" s="64"/>
    </row>
    <row r="954" ht="18.75" customHeight="1">
      <c r="H954" s="64"/>
      <c r="J954" s="64"/>
      <c r="K954" s="64"/>
      <c r="M954" s="64"/>
      <c r="N954" s="64"/>
      <c r="O954" s="64"/>
      <c r="P954" s="64"/>
      <c r="Q954" s="64"/>
      <c r="R954" s="64"/>
      <c r="S954" s="64"/>
      <c r="T954" s="64"/>
      <c r="U954" s="64"/>
      <c r="V954" s="64"/>
      <c r="W954" s="64"/>
      <c r="BF954" s="64"/>
      <c r="BG954" s="64"/>
      <c r="BH954" s="64"/>
      <c r="BI954" s="64"/>
      <c r="BJ954" s="64"/>
      <c r="BK954" s="64"/>
      <c r="BL954" s="64"/>
      <c r="BM954" s="64"/>
      <c r="BN954" s="64"/>
      <c r="BO954" s="64"/>
      <c r="BP954" s="64"/>
    </row>
    <row r="955" ht="18.75" customHeight="1">
      <c r="H955" s="64"/>
      <c r="J955" s="64"/>
      <c r="K955" s="64"/>
      <c r="M955" s="64"/>
      <c r="N955" s="64"/>
      <c r="O955" s="64"/>
      <c r="P955" s="64"/>
      <c r="Q955" s="64"/>
      <c r="R955" s="64"/>
      <c r="S955" s="64"/>
      <c r="T955" s="64"/>
      <c r="U955" s="64"/>
      <c r="V955" s="64"/>
      <c r="W955" s="64"/>
      <c r="BF955" s="64"/>
      <c r="BG955" s="64"/>
      <c r="BH955" s="64"/>
      <c r="BI955" s="64"/>
      <c r="BJ955" s="64"/>
      <c r="BK955" s="64"/>
      <c r="BL955" s="64"/>
      <c r="BM955" s="64"/>
      <c r="BN955" s="64"/>
      <c r="BO955" s="64"/>
      <c r="BP955" s="64"/>
    </row>
    <row r="956" ht="18.75" customHeight="1">
      <c r="H956" s="64"/>
      <c r="J956" s="64"/>
      <c r="K956" s="64"/>
      <c r="M956" s="64"/>
      <c r="N956" s="64"/>
      <c r="O956" s="64"/>
      <c r="P956" s="64"/>
      <c r="Q956" s="64"/>
      <c r="R956" s="64"/>
      <c r="S956" s="64"/>
      <c r="T956" s="64"/>
      <c r="U956" s="64"/>
      <c r="V956" s="64"/>
      <c r="W956" s="64"/>
      <c r="BF956" s="64"/>
      <c r="BG956" s="64"/>
      <c r="BH956" s="64"/>
      <c r="BI956" s="64"/>
      <c r="BJ956" s="64"/>
      <c r="BK956" s="64"/>
      <c r="BL956" s="64"/>
      <c r="BM956" s="64"/>
      <c r="BN956" s="64"/>
      <c r="BO956" s="64"/>
      <c r="BP956" s="64"/>
    </row>
    <row r="957" ht="18.75" customHeight="1">
      <c r="H957" s="64"/>
      <c r="J957" s="64"/>
      <c r="K957" s="64"/>
      <c r="M957" s="64"/>
      <c r="N957" s="64"/>
      <c r="O957" s="64"/>
      <c r="P957" s="64"/>
      <c r="Q957" s="64"/>
      <c r="R957" s="64"/>
      <c r="S957" s="64"/>
      <c r="T957" s="64"/>
      <c r="U957" s="64"/>
      <c r="V957" s="64"/>
      <c r="W957" s="64"/>
      <c r="BF957" s="64"/>
      <c r="BG957" s="64"/>
      <c r="BH957" s="64"/>
      <c r="BI957" s="64"/>
      <c r="BJ957" s="64"/>
      <c r="BK957" s="64"/>
      <c r="BL957" s="64"/>
      <c r="BM957" s="64"/>
      <c r="BN957" s="64"/>
      <c r="BO957" s="64"/>
      <c r="BP957" s="64"/>
    </row>
    <row r="958" ht="18.75" customHeight="1">
      <c r="H958" s="64"/>
      <c r="J958" s="64"/>
      <c r="K958" s="64"/>
      <c r="M958" s="64"/>
      <c r="N958" s="64"/>
      <c r="O958" s="64"/>
      <c r="P958" s="64"/>
      <c r="Q958" s="64"/>
      <c r="R958" s="64"/>
      <c r="S958" s="64"/>
      <c r="T958" s="64"/>
      <c r="U958" s="64"/>
      <c r="V958" s="64"/>
      <c r="W958" s="64"/>
      <c r="BF958" s="64"/>
      <c r="BG958" s="64"/>
      <c r="BH958" s="64"/>
      <c r="BI958" s="64"/>
      <c r="BJ958" s="64"/>
      <c r="BK958" s="64"/>
      <c r="BL958" s="64"/>
      <c r="BM958" s="64"/>
      <c r="BN958" s="64"/>
      <c r="BO958" s="64"/>
      <c r="BP958" s="64"/>
    </row>
    <row r="959" ht="18.75" customHeight="1">
      <c r="H959" s="64"/>
      <c r="J959" s="64"/>
      <c r="K959" s="64"/>
      <c r="M959" s="64"/>
      <c r="N959" s="64"/>
      <c r="O959" s="64"/>
      <c r="P959" s="64"/>
      <c r="Q959" s="64"/>
      <c r="R959" s="64"/>
      <c r="S959" s="64"/>
      <c r="T959" s="64"/>
      <c r="U959" s="64"/>
      <c r="V959" s="64"/>
      <c r="W959" s="64"/>
      <c r="BF959" s="64"/>
      <c r="BG959" s="64"/>
      <c r="BH959" s="64"/>
      <c r="BI959" s="64"/>
      <c r="BJ959" s="64"/>
      <c r="BK959" s="64"/>
      <c r="BL959" s="64"/>
      <c r="BM959" s="64"/>
      <c r="BN959" s="64"/>
      <c r="BO959" s="64"/>
      <c r="BP959" s="64"/>
    </row>
    <row r="960" ht="18.75" customHeight="1">
      <c r="H960" s="64"/>
      <c r="J960" s="64"/>
      <c r="K960" s="64"/>
      <c r="M960" s="64"/>
      <c r="N960" s="64"/>
      <c r="O960" s="64"/>
      <c r="P960" s="64"/>
      <c r="Q960" s="64"/>
      <c r="R960" s="64"/>
      <c r="S960" s="64"/>
      <c r="T960" s="64"/>
      <c r="U960" s="64"/>
      <c r="V960" s="64"/>
      <c r="W960" s="64"/>
      <c r="BF960" s="64"/>
      <c r="BG960" s="64"/>
      <c r="BH960" s="64"/>
      <c r="BI960" s="64"/>
      <c r="BJ960" s="64"/>
      <c r="BK960" s="64"/>
      <c r="BL960" s="64"/>
      <c r="BM960" s="64"/>
      <c r="BN960" s="64"/>
      <c r="BO960" s="64"/>
      <c r="BP960" s="64"/>
    </row>
    <row r="961" ht="18.75" customHeight="1">
      <c r="H961" s="64"/>
      <c r="J961" s="64"/>
      <c r="K961" s="64"/>
      <c r="M961" s="64"/>
      <c r="N961" s="64"/>
      <c r="O961" s="64"/>
      <c r="P961" s="64"/>
      <c r="Q961" s="64"/>
      <c r="R961" s="64"/>
      <c r="S961" s="64"/>
      <c r="T961" s="64"/>
      <c r="U961" s="64"/>
      <c r="V961" s="64"/>
      <c r="W961" s="64"/>
      <c r="BF961" s="64"/>
      <c r="BG961" s="64"/>
      <c r="BH961" s="64"/>
      <c r="BI961" s="64"/>
      <c r="BJ961" s="64"/>
      <c r="BK961" s="64"/>
      <c r="BL961" s="64"/>
      <c r="BM961" s="64"/>
      <c r="BN961" s="64"/>
      <c r="BO961" s="64"/>
      <c r="BP961" s="64"/>
    </row>
    <row r="962" ht="18.75" customHeight="1">
      <c r="H962" s="64"/>
      <c r="J962" s="64"/>
      <c r="K962" s="64"/>
      <c r="M962" s="64"/>
      <c r="N962" s="64"/>
      <c r="O962" s="64"/>
      <c r="P962" s="64"/>
      <c r="Q962" s="64"/>
      <c r="R962" s="64"/>
      <c r="S962" s="64"/>
      <c r="T962" s="64"/>
      <c r="U962" s="64"/>
      <c r="V962" s="64"/>
      <c r="W962" s="64"/>
      <c r="BF962" s="64"/>
      <c r="BG962" s="64"/>
      <c r="BH962" s="64"/>
      <c r="BI962" s="64"/>
      <c r="BJ962" s="64"/>
      <c r="BK962" s="64"/>
      <c r="BL962" s="64"/>
      <c r="BM962" s="64"/>
      <c r="BN962" s="64"/>
      <c r="BO962" s="64"/>
      <c r="BP962" s="64"/>
    </row>
    <row r="963" ht="18.75" customHeight="1">
      <c r="H963" s="64"/>
      <c r="J963" s="64"/>
      <c r="K963" s="64"/>
      <c r="M963" s="64"/>
      <c r="N963" s="64"/>
      <c r="O963" s="64"/>
      <c r="P963" s="64"/>
      <c r="Q963" s="64"/>
      <c r="R963" s="64"/>
      <c r="S963" s="64"/>
      <c r="T963" s="64"/>
      <c r="U963" s="64"/>
      <c r="V963" s="64"/>
      <c r="W963" s="64"/>
      <c r="BF963" s="64"/>
      <c r="BG963" s="64"/>
      <c r="BH963" s="64"/>
      <c r="BI963" s="64"/>
      <c r="BJ963" s="64"/>
      <c r="BK963" s="64"/>
      <c r="BL963" s="64"/>
      <c r="BM963" s="64"/>
      <c r="BN963" s="64"/>
      <c r="BO963" s="64"/>
      <c r="BP963" s="64"/>
    </row>
    <row r="964" ht="18.75" customHeight="1">
      <c r="H964" s="64"/>
      <c r="J964" s="64"/>
      <c r="K964" s="64"/>
      <c r="M964" s="64"/>
      <c r="N964" s="64"/>
      <c r="O964" s="64"/>
      <c r="P964" s="64"/>
      <c r="Q964" s="64"/>
      <c r="R964" s="64"/>
      <c r="S964" s="64"/>
      <c r="T964" s="64"/>
      <c r="U964" s="64"/>
      <c r="V964" s="64"/>
      <c r="W964" s="64"/>
      <c r="BF964" s="64"/>
      <c r="BG964" s="64"/>
      <c r="BH964" s="64"/>
      <c r="BI964" s="64"/>
      <c r="BJ964" s="64"/>
      <c r="BK964" s="64"/>
      <c r="BL964" s="64"/>
      <c r="BM964" s="64"/>
      <c r="BN964" s="64"/>
      <c r="BO964" s="64"/>
      <c r="BP964" s="64"/>
    </row>
    <row r="965" ht="18.75" customHeight="1">
      <c r="H965" s="64"/>
      <c r="J965" s="64"/>
      <c r="K965" s="64"/>
      <c r="M965" s="64"/>
      <c r="N965" s="64"/>
      <c r="O965" s="64"/>
      <c r="P965" s="64"/>
      <c r="Q965" s="64"/>
      <c r="R965" s="64"/>
      <c r="S965" s="64"/>
      <c r="T965" s="64"/>
      <c r="U965" s="64"/>
      <c r="V965" s="64"/>
      <c r="W965" s="64"/>
      <c r="BF965" s="64"/>
      <c r="BG965" s="64"/>
      <c r="BH965" s="64"/>
      <c r="BI965" s="64"/>
      <c r="BJ965" s="64"/>
      <c r="BK965" s="64"/>
      <c r="BL965" s="64"/>
      <c r="BM965" s="64"/>
      <c r="BN965" s="64"/>
      <c r="BO965" s="64"/>
      <c r="BP965" s="64"/>
    </row>
    <row r="966" ht="18.75" customHeight="1">
      <c r="H966" s="64"/>
      <c r="J966" s="64"/>
      <c r="K966" s="64"/>
      <c r="M966" s="64"/>
      <c r="N966" s="64"/>
      <c r="O966" s="64"/>
      <c r="P966" s="64"/>
      <c r="Q966" s="64"/>
      <c r="R966" s="64"/>
      <c r="S966" s="64"/>
      <c r="T966" s="64"/>
      <c r="U966" s="64"/>
      <c r="V966" s="64"/>
      <c r="W966" s="64"/>
      <c r="BF966" s="64"/>
      <c r="BG966" s="64"/>
      <c r="BH966" s="64"/>
      <c r="BI966" s="64"/>
      <c r="BJ966" s="64"/>
      <c r="BK966" s="64"/>
      <c r="BL966" s="64"/>
      <c r="BM966" s="64"/>
      <c r="BN966" s="64"/>
      <c r="BO966" s="64"/>
      <c r="BP966" s="64"/>
    </row>
    <row r="967" ht="18.75" customHeight="1">
      <c r="H967" s="64"/>
      <c r="J967" s="64"/>
      <c r="K967" s="64"/>
      <c r="M967" s="64"/>
      <c r="N967" s="64"/>
      <c r="O967" s="64"/>
      <c r="P967" s="64"/>
      <c r="Q967" s="64"/>
      <c r="R967" s="64"/>
      <c r="S967" s="64"/>
      <c r="T967" s="64"/>
      <c r="U967" s="64"/>
      <c r="V967" s="64"/>
      <c r="W967" s="64"/>
      <c r="BF967" s="64"/>
      <c r="BG967" s="64"/>
      <c r="BH967" s="64"/>
      <c r="BI967" s="64"/>
      <c r="BJ967" s="64"/>
      <c r="BK967" s="64"/>
      <c r="BL967" s="64"/>
      <c r="BM967" s="64"/>
      <c r="BN967" s="64"/>
      <c r="BO967" s="64"/>
      <c r="BP967" s="64"/>
    </row>
    <row r="968" ht="18.75" customHeight="1">
      <c r="H968" s="64"/>
      <c r="J968" s="64"/>
      <c r="K968" s="64"/>
      <c r="M968" s="64"/>
      <c r="N968" s="64"/>
      <c r="O968" s="64"/>
      <c r="P968" s="64"/>
      <c r="Q968" s="64"/>
      <c r="R968" s="64"/>
      <c r="S968" s="64"/>
      <c r="T968" s="64"/>
      <c r="U968" s="64"/>
      <c r="V968" s="64"/>
      <c r="W968" s="64"/>
      <c r="BF968" s="64"/>
      <c r="BG968" s="64"/>
      <c r="BH968" s="64"/>
      <c r="BI968" s="64"/>
      <c r="BJ968" s="64"/>
      <c r="BK968" s="64"/>
      <c r="BL968" s="64"/>
      <c r="BM968" s="64"/>
      <c r="BN968" s="64"/>
      <c r="BO968" s="64"/>
      <c r="BP968" s="64"/>
    </row>
    <row r="969" ht="18.75" customHeight="1">
      <c r="H969" s="64"/>
      <c r="J969" s="64"/>
      <c r="K969" s="64"/>
      <c r="M969" s="64"/>
      <c r="N969" s="64"/>
      <c r="O969" s="64"/>
      <c r="P969" s="64"/>
      <c r="Q969" s="64"/>
      <c r="R969" s="64"/>
      <c r="S969" s="64"/>
      <c r="T969" s="64"/>
      <c r="U969" s="64"/>
      <c r="V969" s="64"/>
      <c r="W969" s="64"/>
      <c r="BF969" s="64"/>
      <c r="BG969" s="64"/>
      <c r="BH969" s="64"/>
      <c r="BI969" s="64"/>
      <c r="BJ969" s="64"/>
      <c r="BK969" s="64"/>
      <c r="BL969" s="64"/>
      <c r="BM969" s="64"/>
      <c r="BN969" s="64"/>
      <c r="BO969" s="64"/>
      <c r="BP969" s="64"/>
    </row>
    <row r="970" ht="18.75" customHeight="1">
      <c r="H970" s="64"/>
      <c r="J970" s="64"/>
      <c r="K970" s="64"/>
      <c r="M970" s="64"/>
      <c r="N970" s="64"/>
      <c r="O970" s="64"/>
      <c r="P970" s="64"/>
      <c r="Q970" s="64"/>
      <c r="R970" s="64"/>
      <c r="S970" s="64"/>
      <c r="T970" s="64"/>
      <c r="U970" s="64"/>
      <c r="V970" s="64"/>
      <c r="W970" s="64"/>
      <c r="BF970" s="64"/>
      <c r="BG970" s="64"/>
      <c r="BH970" s="64"/>
      <c r="BI970" s="64"/>
      <c r="BJ970" s="64"/>
      <c r="BK970" s="64"/>
      <c r="BL970" s="64"/>
      <c r="BM970" s="64"/>
      <c r="BN970" s="64"/>
      <c r="BO970" s="64"/>
      <c r="BP970" s="64"/>
    </row>
    <row r="971" ht="18.75" customHeight="1">
      <c r="H971" s="64"/>
      <c r="J971" s="64"/>
      <c r="K971" s="64"/>
      <c r="M971" s="64"/>
      <c r="N971" s="64"/>
      <c r="O971" s="64"/>
      <c r="P971" s="64"/>
      <c r="Q971" s="64"/>
      <c r="R971" s="64"/>
      <c r="S971" s="64"/>
      <c r="T971" s="64"/>
      <c r="U971" s="64"/>
      <c r="V971" s="64"/>
      <c r="W971" s="64"/>
      <c r="BF971" s="64"/>
      <c r="BG971" s="64"/>
      <c r="BH971" s="64"/>
      <c r="BI971" s="64"/>
      <c r="BJ971" s="64"/>
      <c r="BK971" s="64"/>
      <c r="BL971" s="64"/>
      <c r="BM971" s="64"/>
      <c r="BN971" s="64"/>
      <c r="BO971" s="64"/>
      <c r="BP971" s="64"/>
    </row>
    <row r="972" ht="18.75" customHeight="1">
      <c r="H972" s="64"/>
      <c r="J972" s="64"/>
      <c r="K972" s="64"/>
      <c r="M972" s="64"/>
      <c r="N972" s="64"/>
      <c r="O972" s="64"/>
      <c r="P972" s="64"/>
      <c r="Q972" s="64"/>
      <c r="R972" s="64"/>
      <c r="S972" s="64"/>
      <c r="T972" s="64"/>
      <c r="U972" s="64"/>
      <c r="V972" s="64"/>
      <c r="W972" s="64"/>
      <c r="BF972" s="64"/>
      <c r="BG972" s="64"/>
      <c r="BH972" s="64"/>
      <c r="BI972" s="64"/>
      <c r="BJ972" s="64"/>
      <c r="BK972" s="64"/>
      <c r="BL972" s="64"/>
      <c r="BM972" s="64"/>
      <c r="BN972" s="64"/>
      <c r="BO972" s="64"/>
      <c r="BP972" s="64"/>
    </row>
    <row r="973" ht="18.75" customHeight="1">
      <c r="H973" s="64"/>
      <c r="J973" s="64"/>
      <c r="K973" s="64"/>
      <c r="M973" s="64"/>
      <c r="N973" s="64"/>
      <c r="O973" s="64"/>
      <c r="P973" s="64"/>
      <c r="Q973" s="64"/>
      <c r="R973" s="64"/>
      <c r="S973" s="64"/>
      <c r="T973" s="64"/>
      <c r="U973" s="64"/>
      <c r="V973" s="64"/>
      <c r="W973" s="64"/>
      <c r="BF973" s="64"/>
      <c r="BG973" s="64"/>
      <c r="BH973" s="64"/>
      <c r="BI973" s="64"/>
      <c r="BJ973" s="64"/>
      <c r="BK973" s="64"/>
      <c r="BL973" s="64"/>
      <c r="BM973" s="64"/>
      <c r="BN973" s="64"/>
      <c r="BO973" s="64"/>
      <c r="BP973" s="64"/>
    </row>
    <row r="974" ht="18.75" customHeight="1">
      <c r="H974" s="64"/>
      <c r="J974" s="64"/>
      <c r="K974" s="64"/>
      <c r="M974" s="64"/>
      <c r="N974" s="64"/>
      <c r="O974" s="64"/>
      <c r="P974" s="64"/>
      <c r="Q974" s="64"/>
      <c r="R974" s="64"/>
      <c r="S974" s="64"/>
      <c r="T974" s="64"/>
      <c r="U974" s="64"/>
      <c r="V974" s="64"/>
      <c r="W974" s="64"/>
      <c r="BF974" s="64"/>
      <c r="BG974" s="64"/>
      <c r="BH974" s="64"/>
      <c r="BI974" s="64"/>
      <c r="BJ974" s="64"/>
      <c r="BK974" s="64"/>
      <c r="BL974" s="64"/>
      <c r="BM974" s="64"/>
      <c r="BN974" s="64"/>
      <c r="BO974" s="64"/>
      <c r="BP974" s="64"/>
    </row>
    <row r="975" ht="18.75" customHeight="1">
      <c r="H975" s="64"/>
      <c r="J975" s="64"/>
      <c r="K975" s="64"/>
      <c r="M975" s="64"/>
      <c r="N975" s="64"/>
      <c r="O975" s="64"/>
      <c r="P975" s="64"/>
      <c r="Q975" s="64"/>
      <c r="R975" s="64"/>
      <c r="S975" s="64"/>
      <c r="T975" s="64"/>
      <c r="U975" s="64"/>
      <c r="V975" s="64"/>
      <c r="W975" s="64"/>
      <c r="BF975" s="64"/>
      <c r="BG975" s="64"/>
      <c r="BH975" s="64"/>
      <c r="BI975" s="64"/>
      <c r="BJ975" s="64"/>
      <c r="BK975" s="64"/>
      <c r="BL975" s="64"/>
      <c r="BM975" s="64"/>
      <c r="BN975" s="64"/>
      <c r="BO975" s="64"/>
      <c r="BP975" s="64"/>
    </row>
    <row r="976" ht="18.75" customHeight="1">
      <c r="H976" s="64"/>
      <c r="J976" s="64"/>
      <c r="K976" s="64"/>
      <c r="M976" s="64"/>
      <c r="N976" s="64"/>
      <c r="O976" s="64"/>
      <c r="P976" s="64"/>
      <c r="Q976" s="64"/>
      <c r="R976" s="64"/>
      <c r="S976" s="64"/>
      <c r="T976" s="64"/>
      <c r="U976" s="64"/>
      <c r="V976" s="64"/>
      <c r="W976" s="64"/>
      <c r="BF976" s="64"/>
      <c r="BG976" s="64"/>
      <c r="BH976" s="64"/>
      <c r="BI976" s="64"/>
      <c r="BJ976" s="64"/>
      <c r="BK976" s="64"/>
      <c r="BL976" s="64"/>
      <c r="BM976" s="64"/>
      <c r="BN976" s="64"/>
      <c r="BO976" s="64"/>
      <c r="BP976" s="64"/>
    </row>
    <row r="977" ht="18.75" customHeight="1">
      <c r="H977" s="64"/>
      <c r="J977" s="64"/>
      <c r="K977" s="64"/>
      <c r="M977" s="64"/>
      <c r="N977" s="64"/>
      <c r="O977" s="64"/>
      <c r="P977" s="64"/>
      <c r="Q977" s="64"/>
      <c r="R977" s="64"/>
      <c r="S977" s="64"/>
      <c r="T977" s="64"/>
      <c r="U977" s="64"/>
      <c r="V977" s="64"/>
      <c r="W977" s="64"/>
      <c r="BF977" s="64"/>
      <c r="BG977" s="64"/>
      <c r="BH977" s="64"/>
      <c r="BI977" s="64"/>
      <c r="BJ977" s="64"/>
      <c r="BK977" s="64"/>
      <c r="BL977" s="64"/>
      <c r="BM977" s="64"/>
      <c r="BN977" s="64"/>
      <c r="BO977" s="64"/>
      <c r="BP977" s="64"/>
    </row>
    <row r="978" ht="18.75" customHeight="1">
      <c r="H978" s="64"/>
      <c r="J978" s="64"/>
      <c r="K978" s="64"/>
      <c r="M978" s="64"/>
      <c r="N978" s="64"/>
      <c r="O978" s="64"/>
      <c r="P978" s="64"/>
      <c r="Q978" s="64"/>
      <c r="R978" s="64"/>
      <c r="S978" s="64"/>
      <c r="T978" s="64"/>
      <c r="U978" s="64"/>
      <c r="V978" s="64"/>
      <c r="W978" s="64"/>
      <c r="BF978" s="64"/>
      <c r="BG978" s="64"/>
      <c r="BH978" s="64"/>
      <c r="BI978" s="64"/>
      <c r="BJ978" s="64"/>
      <c r="BK978" s="64"/>
      <c r="BL978" s="64"/>
      <c r="BM978" s="64"/>
      <c r="BN978" s="64"/>
      <c r="BO978" s="64"/>
      <c r="BP978" s="64"/>
    </row>
    <row r="979" ht="18.75" customHeight="1">
      <c r="H979" s="64"/>
      <c r="J979" s="64"/>
      <c r="K979" s="64"/>
      <c r="M979" s="64"/>
      <c r="N979" s="64"/>
      <c r="O979" s="64"/>
      <c r="P979" s="64"/>
      <c r="Q979" s="64"/>
      <c r="R979" s="64"/>
      <c r="S979" s="64"/>
      <c r="T979" s="64"/>
      <c r="U979" s="64"/>
      <c r="V979" s="64"/>
      <c r="W979" s="64"/>
      <c r="BF979" s="64"/>
      <c r="BG979" s="64"/>
      <c r="BH979" s="64"/>
      <c r="BI979" s="64"/>
      <c r="BJ979" s="64"/>
      <c r="BK979" s="64"/>
      <c r="BL979" s="64"/>
      <c r="BM979" s="64"/>
      <c r="BN979" s="64"/>
      <c r="BO979" s="64"/>
      <c r="BP979" s="64"/>
    </row>
    <row r="980" ht="18.75" customHeight="1">
      <c r="H980" s="64"/>
      <c r="J980" s="64"/>
      <c r="K980" s="64"/>
      <c r="M980" s="64"/>
      <c r="N980" s="64"/>
      <c r="O980" s="64"/>
      <c r="P980" s="64"/>
      <c r="Q980" s="64"/>
      <c r="R980" s="64"/>
      <c r="S980" s="64"/>
      <c r="T980" s="64"/>
      <c r="U980" s="64"/>
      <c r="V980" s="64"/>
      <c r="W980" s="64"/>
      <c r="BF980" s="64"/>
      <c r="BG980" s="64"/>
      <c r="BH980" s="64"/>
      <c r="BI980" s="64"/>
      <c r="BJ980" s="64"/>
      <c r="BK980" s="64"/>
      <c r="BL980" s="64"/>
      <c r="BM980" s="64"/>
      <c r="BN980" s="64"/>
      <c r="BO980" s="64"/>
      <c r="BP980" s="64"/>
    </row>
    <row r="981" ht="18.75" customHeight="1">
      <c r="H981" s="64"/>
      <c r="J981" s="64"/>
      <c r="K981" s="64"/>
      <c r="M981" s="64"/>
      <c r="N981" s="64"/>
      <c r="O981" s="64"/>
      <c r="P981" s="64"/>
      <c r="Q981" s="64"/>
      <c r="R981" s="64"/>
      <c r="S981" s="64"/>
      <c r="T981" s="64"/>
      <c r="U981" s="64"/>
      <c r="V981" s="64"/>
      <c r="W981" s="64"/>
      <c r="BF981" s="64"/>
      <c r="BG981" s="64"/>
      <c r="BH981" s="64"/>
      <c r="BI981" s="64"/>
      <c r="BJ981" s="64"/>
      <c r="BK981" s="64"/>
      <c r="BL981" s="64"/>
      <c r="BM981" s="64"/>
      <c r="BN981" s="64"/>
      <c r="BO981" s="64"/>
      <c r="BP981" s="64"/>
    </row>
    <row r="982" ht="18.75" customHeight="1">
      <c r="H982" s="64"/>
      <c r="J982" s="64"/>
      <c r="K982" s="64"/>
      <c r="M982" s="64"/>
      <c r="N982" s="64"/>
      <c r="O982" s="64"/>
      <c r="P982" s="64"/>
      <c r="Q982" s="64"/>
      <c r="R982" s="64"/>
      <c r="S982" s="64"/>
      <c r="T982" s="64"/>
      <c r="U982" s="64"/>
      <c r="V982" s="64"/>
      <c r="W982" s="64"/>
      <c r="BF982" s="64"/>
      <c r="BG982" s="64"/>
      <c r="BH982" s="64"/>
      <c r="BI982" s="64"/>
      <c r="BJ982" s="64"/>
      <c r="BK982" s="64"/>
      <c r="BL982" s="64"/>
      <c r="BM982" s="64"/>
      <c r="BN982" s="64"/>
      <c r="BO982" s="64"/>
      <c r="BP982" s="64"/>
    </row>
    <row r="983" ht="18.75" customHeight="1">
      <c r="H983" s="64"/>
      <c r="J983" s="64"/>
      <c r="K983" s="64"/>
      <c r="M983" s="64"/>
      <c r="N983" s="64"/>
      <c r="O983" s="64"/>
      <c r="P983" s="64"/>
      <c r="Q983" s="64"/>
      <c r="R983" s="64"/>
      <c r="S983" s="64"/>
      <c r="T983" s="64"/>
      <c r="U983" s="64"/>
      <c r="V983" s="64"/>
      <c r="W983" s="64"/>
      <c r="BF983" s="64"/>
      <c r="BG983" s="64"/>
      <c r="BH983" s="64"/>
      <c r="BI983" s="64"/>
      <c r="BJ983" s="64"/>
      <c r="BK983" s="64"/>
      <c r="BL983" s="64"/>
      <c r="BM983" s="64"/>
      <c r="BN983" s="64"/>
      <c r="BO983" s="64"/>
      <c r="BP983" s="64"/>
    </row>
    <row r="984" ht="18.75" customHeight="1">
      <c r="H984" s="64"/>
      <c r="J984" s="64"/>
      <c r="K984" s="64"/>
      <c r="M984" s="64"/>
      <c r="N984" s="64"/>
      <c r="O984" s="64"/>
      <c r="P984" s="64"/>
      <c r="Q984" s="64"/>
      <c r="R984" s="64"/>
      <c r="S984" s="64"/>
      <c r="T984" s="64"/>
      <c r="U984" s="64"/>
      <c r="V984" s="64"/>
      <c r="W984" s="64"/>
      <c r="BF984" s="64"/>
      <c r="BG984" s="64"/>
      <c r="BH984" s="64"/>
      <c r="BI984" s="64"/>
      <c r="BJ984" s="64"/>
      <c r="BK984" s="64"/>
      <c r="BL984" s="64"/>
      <c r="BM984" s="64"/>
      <c r="BN984" s="64"/>
      <c r="BO984" s="64"/>
      <c r="BP984" s="64"/>
    </row>
    <row r="985" ht="18.75" customHeight="1">
      <c r="H985" s="64"/>
      <c r="J985" s="64"/>
      <c r="K985" s="64"/>
      <c r="M985" s="64"/>
      <c r="N985" s="64"/>
      <c r="O985" s="64"/>
      <c r="P985" s="64"/>
      <c r="Q985" s="64"/>
      <c r="R985" s="64"/>
      <c r="S985" s="64"/>
      <c r="T985" s="64"/>
      <c r="U985" s="64"/>
      <c r="V985" s="64"/>
      <c r="W985" s="64"/>
      <c r="BF985" s="64"/>
      <c r="BG985" s="64"/>
      <c r="BH985" s="64"/>
      <c r="BI985" s="64"/>
      <c r="BJ985" s="64"/>
      <c r="BK985" s="64"/>
      <c r="BL985" s="64"/>
      <c r="BM985" s="64"/>
      <c r="BN985" s="64"/>
      <c r="BO985" s="64"/>
      <c r="BP985" s="64"/>
    </row>
    <row r="986" ht="18.75" customHeight="1">
      <c r="H986" s="64"/>
      <c r="J986" s="64"/>
      <c r="K986" s="64"/>
      <c r="M986" s="64"/>
      <c r="N986" s="64"/>
      <c r="O986" s="64"/>
      <c r="P986" s="64"/>
      <c r="Q986" s="64"/>
      <c r="R986" s="64"/>
      <c r="S986" s="64"/>
      <c r="T986" s="64"/>
      <c r="U986" s="64"/>
      <c r="V986" s="64"/>
      <c r="W986" s="64"/>
      <c r="BF986" s="64"/>
      <c r="BG986" s="64"/>
      <c r="BH986" s="64"/>
      <c r="BI986" s="64"/>
      <c r="BJ986" s="64"/>
      <c r="BK986" s="64"/>
      <c r="BL986" s="64"/>
      <c r="BM986" s="64"/>
      <c r="BN986" s="64"/>
      <c r="BO986" s="64"/>
      <c r="BP986" s="64"/>
    </row>
    <row r="987" ht="18.75" customHeight="1">
      <c r="H987" s="64"/>
      <c r="J987" s="64"/>
      <c r="K987" s="64"/>
      <c r="M987" s="64"/>
      <c r="N987" s="64"/>
      <c r="O987" s="64"/>
      <c r="P987" s="64"/>
      <c r="Q987" s="64"/>
      <c r="R987" s="64"/>
      <c r="S987" s="64"/>
      <c r="T987" s="64"/>
      <c r="U987" s="64"/>
      <c r="V987" s="64"/>
      <c r="W987" s="64"/>
      <c r="BF987" s="64"/>
      <c r="BG987" s="64"/>
      <c r="BH987" s="64"/>
      <c r="BI987" s="64"/>
      <c r="BJ987" s="64"/>
      <c r="BK987" s="64"/>
      <c r="BL987" s="64"/>
      <c r="BM987" s="64"/>
      <c r="BN987" s="64"/>
      <c r="BO987" s="64"/>
      <c r="BP987" s="64"/>
    </row>
    <row r="988" ht="18.75" customHeight="1">
      <c r="H988" s="64"/>
      <c r="J988" s="64"/>
      <c r="K988" s="64"/>
      <c r="M988" s="64"/>
      <c r="N988" s="64"/>
      <c r="O988" s="64"/>
      <c r="P988" s="64"/>
      <c r="Q988" s="64"/>
      <c r="R988" s="64"/>
      <c r="S988" s="64"/>
      <c r="T988" s="64"/>
      <c r="U988" s="64"/>
      <c r="V988" s="64"/>
      <c r="W988" s="64"/>
      <c r="BF988" s="64"/>
      <c r="BG988" s="64"/>
      <c r="BH988" s="64"/>
      <c r="BI988" s="64"/>
      <c r="BJ988" s="64"/>
      <c r="BK988" s="64"/>
      <c r="BL988" s="64"/>
      <c r="BM988" s="64"/>
      <c r="BN988" s="64"/>
      <c r="BO988" s="64"/>
      <c r="BP988" s="64"/>
    </row>
    <row r="989" ht="18.75" customHeight="1">
      <c r="H989" s="64"/>
      <c r="J989" s="64"/>
      <c r="K989" s="64"/>
      <c r="M989" s="64"/>
      <c r="N989" s="64"/>
      <c r="O989" s="64"/>
      <c r="P989" s="64"/>
      <c r="Q989" s="64"/>
      <c r="R989" s="64"/>
      <c r="S989" s="64"/>
      <c r="T989" s="64"/>
      <c r="U989" s="64"/>
      <c r="V989" s="64"/>
      <c r="W989" s="64"/>
      <c r="BF989" s="64"/>
      <c r="BG989" s="64"/>
      <c r="BH989" s="64"/>
      <c r="BI989" s="64"/>
      <c r="BJ989" s="64"/>
      <c r="BK989" s="64"/>
      <c r="BL989" s="64"/>
      <c r="BM989" s="64"/>
      <c r="BN989" s="64"/>
      <c r="BO989" s="64"/>
      <c r="BP989" s="64"/>
    </row>
    <row r="990" ht="18.75" customHeight="1">
      <c r="H990" s="64"/>
      <c r="J990" s="64"/>
      <c r="K990" s="64"/>
      <c r="M990" s="64"/>
      <c r="N990" s="64"/>
      <c r="O990" s="64"/>
      <c r="P990" s="64"/>
      <c r="Q990" s="64"/>
      <c r="R990" s="64"/>
      <c r="S990" s="64"/>
      <c r="T990" s="64"/>
      <c r="U990" s="64"/>
      <c r="V990" s="64"/>
      <c r="W990" s="64"/>
      <c r="BF990" s="64"/>
      <c r="BG990" s="64"/>
      <c r="BH990" s="64"/>
      <c r="BI990" s="64"/>
      <c r="BJ990" s="64"/>
      <c r="BK990" s="64"/>
      <c r="BL990" s="64"/>
      <c r="BM990" s="64"/>
      <c r="BN990" s="64"/>
      <c r="BO990" s="64"/>
      <c r="BP990" s="64"/>
    </row>
    <row r="991" ht="18.75" customHeight="1">
      <c r="H991" s="64"/>
      <c r="J991" s="64"/>
      <c r="K991" s="64"/>
      <c r="M991" s="64"/>
      <c r="N991" s="64"/>
      <c r="O991" s="64"/>
      <c r="P991" s="64"/>
      <c r="Q991" s="64"/>
      <c r="R991" s="64"/>
      <c r="S991" s="64"/>
      <c r="T991" s="64"/>
      <c r="U991" s="64"/>
      <c r="V991" s="64"/>
      <c r="W991" s="64"/>
      <c r="BF991" s="64"/>
      <c r="BG991" s="64"/>
      <c r="BH991" s="64"/>
      <c r="BI991" s="64"/>
      <c r="BJ991" s="64"/>
      <c r="BK991" s="64"/>
      <c r="BL991" s="64"/>
      <c r="BM991" s="64"/>
      <c r="BN991" s="64"/>
      <c r="BO991" s="64"/>
      <c r="BP991" s="64"/>
    </row>
    <row r="992" ht="18.75" customHeight="1">
      <c r="H992" s="64"/>
      <c r="J992" s="64"/>
      <c r="K992" s="64"/>
      <c r="M992" s="64"/>
      <c r="N992" s="64"/>
      <c r="O992" s="64"/>
      <c r="P992" s="64"/>
      <c r="Q992" s="64"/>
      <c r="R992" s="64"/>
      <c r="S992" s="64"/>
      <c r="T992" s="64"/>
      <c r="U992" s="64"/>
      <c r="V992" s="64"/>
      <c r="W992" s="64"/>
      <c r="BF992" s="64"/>
      <c r="BG992" s="64"/>
      <c r="BH992" s="64"/>
      <c r="BI992" s="64"/>
      <c r="BJ992" s="64"/>
      <c r="BK992" s="64"/>
      <c r="BL992" s="64"/>
      <c r="BM992" s="64"/>
      <c r="BN992" s="64"/>
      <c r="BO992" s="64"/>
      <c r="BP992" s="64"/>
    </row>
    <row r="993" ht="18.75" customHeight="1">
      <c r="H993" s="64"/>
      <c r="J993" s="64"/>
      <c r="K993" s="64"/>
      <c r="M993" s="64"/>
      <c r="N993" s="64"/>
      <c r="O993" s="64"/>
      <c r="P993" s="64"/>
      <c r="Q993" s="64"/>
      <c r="R993" s="64"/>
      <c r="S993" s="64"/>
      <c r="T993" s="64"/>
      <c r="U993" s="64"/>
      <c r="V993" s="64"/>
      <c r="W993" s="64"/>
      <c r="BF993" s="64"/>
      <c r="BG993" s="64"/>
      <c r="BH993" s="64"/>
      <c r="BI993" s="64"/>
      <c r="BJ993" s="64"/>
      <c r="BK993" s="64"/>
      <c r="BL993" s="64"/>
      <c r="BM993" s="64"/>
      <c r="BN993" s="64"/>
      <c r="BO993" s="64"/>
      <c r="BP993" s="64"/>
    </row>
    <row r="994" ht="18.75" customHeight="1">
      <c r="H994" s="64"/>
      <c r="J994" s="64"/>
      <c r="K994" s="64"/>
      <c r="M994" s="64"/>
      <c r="N994" s="64"/>
      <c r="O994" s="64"/>
      <c r="P994" s="64"/>
      <c r="Q994" s="64"/>
      <c r="R994" s="64"/>
      <c r="S994" s="64"/>
      <c r="T994" s="64"/>
      <c r="U994" s="64"/>
      <c r="V994" s="64"/>
      <c r="W994" s="64"/>
      <c r="BF994" s="64"/>
      <c r="BG994" s="64"/>
      <c r="BH994" s="64"/>
      <c r="BI994" s="64"/>
      <c r="BJ994" s="64"/>
      <c r="BK994" s="64"/>
      <c r="BL994" s="64"/>
      <c r="BM994" s="64"/>
      <c r="BN994" s="64"/>
      <c r="BO994" s="64"/>
      <c r="BP994" s="64"/>
    </row>
    <row r="995" ht="18.75" customHeight="1">
      <c r="H995" s="64"/>
      <c r="J995" s="64"/>
      <c r="K995" s="64"/>
      <c r="M995" s="64"/>
      <c r="N995" s="64"/>
      <c r="O995" s="64"/>
      <c r="P995" s="64"/>
      <c r="Q995" s="64"/>
      <c r="R995" s="64"/>
      <c r="S995" s="64"/>
      <c r="T995" s="64"/>
      <c r="U995" s="64"/>
      <c r="V995" s="64"/>
      <c r="W995" s="64"/>
      <c r="BF995" s="64"/>
      <c r="BG995" s="64"/>
      <c r="BH995" s="64"/>
      <c r="BI995" s="64"/>
      <c r="BJ995" s="64"/>
      <c r="BK995" s="64"/>
      <c r="BL995" s="64"/>
      <c r="BM995" s="64"/>
      <c r="BN995" s="64"/>
      <c r="BO995" s="64"/>
      <c r="BP995" s="64"/>
    </row>
    <row r="996" ht="18.75" customHeight="1">
      <c r="H996" s="64"/>
      <c r="J996" s="64"/>
      <c r="K996" s="64"/>
      <c r="M996" s="64"/>
      <c r="N996" s="64"/>
      <c r="O996" s="64"/>
      <c r="P996" s="64"/>
      <c r="Q996" s="64"/>
      <c r="R996" s="64"/>
      <c r="S996" s="64"/>
      <c r="T996" s="64"/>
      <c r="U996" s="64"/>
      <c r="V996" s="64"/>
      <c r="W996" s="64"/>
      <c r="BF996" s="64"/>
      <c r="BG996" s="64"/>
      <c r="BH996" s="64"/>
      <c r="BI996" s="64"/>
      <c r="BJ996" s="64"/>
      <c r="BK996" s="64"/>
      <c r="BL996" s="64"/>
      <c r="BM996" s="64"/>
      <c r="BN996" s="64"/>
      <c r="BO996" s="64"/>
      <c r="BP996" s="64"/>
    </row>
    <row r="997" ht="18.75" customHeight="1">
      <c r="H997" s="64"/>
      <c r="J997" s="64"/>
      <c r="K997" s="64"/>
      <c r="M997" s="64"/>
      <c r="N997" s="64"/>
      <c r="O997" s="64"/>
      <c r="P997" s="64"/>
      <c r="Q997" s="64"/>
      <c r="R997" s="64"/>
      <c r="S997" s="64"/>
      <c r="T997" s="64"/>
      <c r="U997" s="64"/>
      <c r="V997" s="64"/>
      <c r="W997" s="64"/>
      <c r="BF997" s="64"/>
      <c r="BG997" s="64"/>
      <c r="BH997" s="64"/>
      <c r="BI997" s="64"/>
      <c r="BJ997" s="64"/>
      <c r="BK997" s="64"/>
      <c r="BL997" s="64"/>
      <c r="BM997" s="64"/>
      <c r="BN997" s="64"/>
      <c r="BO997" s="64"/>
      <c r="BP997" s="64"/>
    </row>
    <row r="998" ht="18.75" customHeight="1">
      <c r="H998" s="64"/>
      <c r="J998" s="64"/>
      <c r="K998" s="64"/>
      <c r="M998" s="64"/>
      <c r="N998" s="64"/>
      <c r="O998" s="64"/>
      <c r="P998" s="64"/>
      <c r="Q998" s="64"/>
      <c r="R998" s="64"/>
      <c r="S998" s="64"/>
      <c r="T998" s="64"/>
      <c r="U998" s="64"/>
      <c r="V998" s="64"/>
      <c r="W998" s="64"/>
      <c r="BF998" s="64"/>
      <c r="BG998" s="64"/>
      <c r="BH998" s="64"/>
      <c r="BI998" s="64"/>
      <c r="BJ998" s="64"/>
      <c r="BK998" s="64"/>
      <c r="BL998" s="64"/>
      <c r="BM998" s="64"/>
      <c r="BN998" s="64"/>
      <c r="BO998" s="64"/>
      <c r="BP998" s="64"/>
    </row>
    <row r="999" ht="18.75" customHeight="1">
      <c r="H999" s="64"/>
      <c r="J999" s="64"/>
      <c r="K999" s="64"/>
      <c r="M999" s="64"/>
      <c r="N999" s="64"/>
      <c r="O999" s="64"/>
      <c r="P999" s="64"/>
      <c r="Q999" s="64"/>
      <c r="R999" s="64"/>
      <c r="S999" s="64"/>
      <c r="T999" s="64"/>
      <c r="U999" s="64"/>
      <c r="V999" s="64"/>
      <c r="W999" s="64"/>
      <c r="BF999" s="64"/>
      <c r="BG999" s="64"/>
      <c r="BH999" s="64"/>
      <c r="BI999" s="64"/>
      <c r="BJ999" s="64"/>
      <c r="BK999" s="64"/>
      <c r="BL999" s="64"/>
      <c r="BM999" s="64"/>
      <c r="BN999" s="64"/>
      <c r="BO999" s="64"/>
      <c r="BP999" s="64"/>
    </row>
    <row r="1000" ht="18.75" customHeight="1">
      <c r="H1000" s="64"/>
      <c r="J1000" s="64"/>
      <c r="K1000" s="64"/>
      <c r="M1000" s="64"/>
      <c r="N1000" s="64"/>
      <c r="O1000" s="64"/>
      <c r="P1000" s="64"/>
      <c r="Q1000" s="64"/>
      <c r="R1000" s="64"/>
      <c r="S1000" s="64"/>
      <c r="T1000" s="64"/>
      <c r="U1000" s="64"/>
      <c r="V1000" s="64"/>
      <c r="W1000" s="64"/>
      <c r="BF1000" s="64"/>
      <c r="BG1000" s="64"/>
      <c r="BH1000" s="64"/>
      <c r="BI1000" s="64"/>
      <c r="BJ1000" s="64"/>
      <c r="BK1000" s="64"/>
      <c r="BL1000" s="64"/>
      <c r="BM1000" s="64"/>
      <c r="BN1000" s="64"/>
      <c r="BO1000" s="64"/>
      <c r="BP1000" s="64"/>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F75"/>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cols>
    <col customWidth="1" min="1" max="1" width="10.38"/>
    <col customWidth="1" min="2" max="2" width="9.63"/>
    <col customWidth="1" min="3" max="3" width="9.5"/>
    <col customWidth="1" min="4" max="4" width="5.75"/>
    <col customWidth="1" min="5" max="5" width="5.88"/>
    <col customWidth="1" min="6" max="25" width="4.38"/>
    <col customWidth="1" min="26" max="26" width="2.38"/>
    <col customWidth="1" min="27" max="33" width="17.63"/>
    <col customWidth="1" min="34" max="35" width="32.63"/>
    <col customWidth="1" min="36" max="36" width="2.38"/>
    <col customWidth="1" min="37" max="38" width="20.13"/>
    <col customWidth="1" min="39" max="40" width="35.13"/>
  </cols>
  <sheetData>
    <row r="1">
      <c r="A1" s="113" t="s">
        <v>5042</v>
      </c>
      <c r="B1" s="113" t="s">
        <v>4470</v>
      </c>
      <c r="C1" s="113" t="s">
        <v>4472</v>
      </c>
      <c r="D1" s="113" t="s">
        <v>4474</v>
      </c>
      <c r="E1" s="113" t="s">
        <v>3326</v>
      </c>
      <c r="F1" s="170" t="s">
        <v>4378</v>
      </c>
      <c r="G1" s="170" t="s">
        <v>4381</v>
      </c>
      <c r="H1" s="170" t="s">
        <v>4383</v>
      </c>
      <c r="I1" s="170" t="s">
        <v>4385</v>
      </c>
      <c r="J1" s="170" t="s">
        <v>4387</v>
      </c>
      <c r="K1" s="170" t="s">
        <v>2593</v>
      </c>
      <c r="L1" s="170" t="s">
        <v>1921</v>
      </c>
      <c r="M1" s="170" t="s">
        <v>2594</v>
      </c>
      <c r="N1" s="170" t="s">
        <v>2595</v>
      </c>
      <c r="O1" s="170" t="s">
        <v>2596</v>
      </c>
      <c r="P1" s="170" t="s">
        <v>1139</v>
      </c>
      <c r="Q1" s="170" t="s">
        <v>2598</v>
      </c>
      <c r="R1" s="170" t="s">
        <v>2599</v>
      </c>
      <c r="S1" s="170" t="s">
        <v>2600</v>
      </c>
      <c r="T1" s="170" t="s">
        <v>2601</v>
      </c>
      <c r="U1" s="170" t="s">
        <v>2602</v>
      </c>
      <c r="V1" s="170" t="s">
        <v>2603</v>
      </c>
      <c r="W1" s="170" t="s">
        <v>2604</v>
      </c>
      <c r="X1" s="170" t="s">
        <v>2429</v>
      </c>
      <c r="Y1" s="170" t="s">
        <v>1179</v>
      </c>
      <c r="AA1" s="171" t="s">
        <v>5042</v>
      </c>
      <c r="AB1" s="172" t="s">
        <v>4470</v>
      </c>
      <c r="AC1" s="172" t="s">
        <v>4472</v>
      </c>
      <c r="AD1" s="172" t="s">
        <v>4412</v>
      </c>
      <c r="AE1" s="172" t="s">
        <v>5043</v>
      </c>
      <c r="AF1" s="172" t="s">
        <v>5044</v>
      </c>
      <c r="AG1" s="172" t="s">
        <v>5045</v>
      </c>
      <c r="AH1" s="172" t="s">
        <v>4474</v>
      </c>
      <c r="AI1" s="172" t="s">
        <v>3326</v>
      </c>
      <c r="AJ1" s="109"/>
      <c r="AK1" s="172" t="s">
        <v>4470</v>
      </c>
      <c r="AL1" s="172" t="s">
        <v>4472</v>
      </c>
      <c r="AM1" s="172" t="s">
        <v>4474</v>
      </c>
      <c r="AN1" s="172" t="s">
        <v>3326</v>
      </c>
    </row>
    <row r="2">
      <c r="F2" s="173" t="s">
        <v>5046</v>
      </c>
      <c r="G2" s="173" t="s">
        <v>5046</v>
      </c>
      <c r="H2" s="173" t="s">
        <v>5046</v>
      </c>
      <c r="I2" s="173" t="s">
        <v>5046</v>
      </c>
      <c r="J2" s="173" t="s">
        <v>5046</v>
      </c>
      <c r="K2" s="49"/>
      <c r="L2" s="49"/>
      <c r="M2" s="49"/>
      <c r="N2" s="49"/>
      <c r="O2" s="49"/>
      <c r="P2" s="51"/>
      <c r="Q2" s="51"/>
      <c r="R2" s="52"/>
      <c r="S2" s="52"/>
      <c r="T2" s="52"/>
      <c r="U2" s="52"/>
      <c r="V2" s="53"/>
      <c r="W2" s="53"/>
      <c r="X2" s="53"/>
      <c r="Y2" s="53"/>
      <c r="AA2" s="174" t="s">
        <v>5047</v>
      </c>
      <c r="AB2" s="109" t="s">
        <v>5048</v>
      </c>
      <c r="AC2" s="109" t="s">
        <v>5049</v>
      </c>
      <c r="AD2" s="175">
        <v>-0.15</v>
      </c>
      <c r="AE2" s="109"/>
      <c r="AF2" s="109"/>
      <c r="AG2" s="109"/>
      <c r="AH2" s="109" t="s">
        <v>5050</v>
      </c>
      <c r="AI2" s="109" t="s">
        <v>4543</v>
      </c>
      <c r="AJ2" s="109"/>
      <c r="AK2" s="109" t="s">
        <v>5051</v>
      </c>
      <c r="AL2" s="109" t="s">
        <v>5052</v>
      </c>
      <c r="AM2" s="109" t="s">
        <v>5053</v>
      </c>
      <c r="AN2" s="109" t="s">
        <v>4543</v>
      </c>
    </row>
    <row r="3">
      <c r="A3" s="37" t="s">
        <v>1179</v>
      </c>
      <c r="B3" s="37" t="s">
        <v>5054</v>
      </c>
      <c r="C3" s="37" t="s">
        <v>5055</v>
      </c>
      <c r="D3" s="37" t="s">
        <v>5056</v>
      </c>
      <c r="E3" s="37" t="s">
        <v>5057</v>
      </c>
      <c r="AA3" s="174" t="s">
        <v>5047</v>
      </c>
      <c r="AB3" s="109" t="s">
        <v>5058</v>
      </c>
      <c r="AC3" s="109" t="s">
        <v>5049</v>
      </c>
      <c r="AD3" s="109"/>
      <c r="AE3" s="109"/>
      <c r="AF3" s="109"/>
      <c r="AG3" s="109"/>
      <c r="AH3" s="109" t="s">
        <v>5050</v>
      </c>
      <c r="AI3" s="109" t="s">
        <v>4543</v>
      </c>
      <c r="AJ3" s="109"/>
      <c r="AK3" s="109" t="s">
        <v>5059</v>
      </c>
      <c r="AL3" s="109" t="s">
        <v>5052</v>
      </c>
      <c r="AM3" s="109" t="s">
        <v>5053</v>
      </c>
      <c r="AN3" s="109" t="s">
        <v>4543</v>
      </c>
    </row>
    <row r="4">
      <c r="A4" s="37" t="s">
        <v>1179</v>
      </c>
      <c r="B4" s="37" t="s">
        <v>5060</v>
      </c>
      <c r="C4" s="37" t="s">
        <v>5055</v>
      </c>
      <c r="D4" s="37" t="s">
        <v>5056</v>
      </c>
      <c r="E4" s="37" t="s">
        <v>5057</v>
      </c>
      <c r="AA4" s="174" t="s">
        <v>5047</v>
      </c>
      <c r="AB4" s="109" t="s">
        <v>5061</v>
      </c>
      <c r="AC4" s="109" t="s">
        <v>5049</v>
      </c>
      <c r="AD4" s="109"/>
      <c r="AE4" s="109"/>
      <c r="AF4" s="109"/>
      <c r="AG4" s="109"/>
      <c r="AH4" s="109" t="s">
        <v>5050</v>
      </c>
      <c r="AI4" s="109" t="s">
        <v>4543</v>
      </c>
      <c r="AJ4" s="109"/>
      <c r="AK4" s="109" t="s">
        <v>5062</v>
      </c>
      <c r="AL4" s="109" t="s">
        <v>5052</v>
      </c>
      <c r="AM4" s="109" t="s">
        <v>5053</v>
      </c>
      <c r="AN4" s="109" t="s">
        <v>4543</v>
      </c>
    </row>
    <row r="5">
      <c r="A5" s="37" t="s">
        <v>1179</v>
      </c>
      <c r="B5" s="37" t="s">
        <v>5063</v>
      </c>
      <c r="C5" s="37" t="s">
        <v>5055</v>
      </c>
      <c r="D5" s="37" t="s">
        <v>5056</v>
      </c>
      <c r="E5" s="37" t="s">
        <v>5057</v>
      </c>
      <c r="AA5" s="174" t="s">
        <v>5047</v>
      </c>
      <c r="AB5" s="109" t="s">
        <v>5064</v>
      </c>
      <c r="AC5" s="109" t="s">
        <v>5049</v>
      </c>
      <c r="AD5" s="109"/>
      <c r="AE5" s="109"/>
      <c r="AF5" s="109"/>
      <c r="AG5" s="109"/>
      <c r="AH5" s="109" t="s">
        <v>5050</v>
      </c>
      <c r="AI5" s="109" t="s">
        <v>4543</v>
      </c>
      <c r="AJ5" s="109"/>
      <c r="AK5" s="109" t="s">
        <v>5065</v>
      </c>
      <c r="AL5" s="109" t="s">
        <v>5052</v>
      </c>
      <c r="AM5" s="109" t="s">
        <v>5053</v>
      </c>
      <c r="AN5" s="109" t="s">
        <v>4543</v>
      </c>
    </row>
    <row r="6">
      <c r="A6" s="37" t="s">
        <v>1179</v>
      </c>
      <c r="B6" s="37" t="s">
        <v>5066</v>
      </c>
      <c r="C6" s="37" t="s">
        <v>5055</v>
      </c>
      <c r="D6" s="37" t="s">
        <v>5056</v>
      </c>
      <c r="E6" s="37" t="s">
        <v>5057</v>
      </c>
      <c r="AA6" s="174" t="s">
        <v>5047</v>
      </c>
      <c r="AB6" s="109" t="s">
        <v>5067</v>
      </c>
      <c r="AC6" s="109" t="s">
        <v>5049</v>
      </c>
      <c r="AD6" s="109"/>
      <c r="AE6" s="109"/>
      <c r="AF6" s="109"/>
      <c r="AG6" s="109"/>
      <c r="AH6" s="109" t="s">
        <v>5050</v>
      </c>
      <c r="AI6" s="109" t="s">
        <v>4543</v>
      </c>
      <c r="AJ6" s="109"/>
      <c r="AK6" s="109"/>
      <c r="AL6" s="109"/>
      <c r="AM6" s="109"/>
      <c r="AN6" s="109"/>
    </row>
    <row r="7">
      <c r="A7" s="37" t="s">
        <v>1179</v>
      </c>
      <c r="B7" s="37" t="s">
        <v>5068</v>
      </c>
      <c r="C7" s="37" t="s">
        <v>5055</v>
      </c>
      <c r="D7" s="37" t="s">
        <v>5056</v>
      </c>
      <c r="E7" s="37" t="s">
        <v>5057</v>
      </c>
      <c r="AA7" s="109"/>
      <c r="AB7" s="109"/>
      <c r="AC7" s="109"/>
      <c r="AD7" s="109"/>
      <c r="AE7" s="109"/>
      <c r="AF7" s="109"/>
      <c r="AG7" s="109"/>
      <c r="AH7" s="109"/>
      <c r="AI7" s="109"/>
      <c r="AJ7" s="109"/>
      <c r="AK7" s="109"/>
      <c r="AL7" s="109"/>
      <c r="AM7" s="109"/>
      <c r="AN7" s="109"/>
    </row>
    <row r="8">
      <c r="A8" s="37" t="s">
        <v>1179</v>
      </c>
      <c r="B8" s="37" t="s">
        <v>5069</v>
      </c>
      <c r="C8" s="37" t="s">
        <v>5055</v>
      </c>
      <c r="D8" s="37" t="s">
        <v>5056</v>
      </c>
      <c r="E8" s="37" t="s">
        <v>5057</v>
      </c>
      <c r="AA8" s="109"/>
      <c r="AB8" s="109"/>
      <c r="AC8" s="109"/>
      <c r="AD8" s="109"/>
      <c r="AE8" s="109"/>
      <c r="AF8" s="109"/>
      <c r="AG8" s="109"/>
      <c r="AH8" s="109"/>
      <c r="AI8" s="109"/>
      <c r="AJ8" s="109"/>
      <c r="AK8" s="109"/>
      <c r="AL8" s="109"/>
      <c r="AM8" s="109"/>
      <c r="AN8" s="109"/>
    </row>
    <row r="9">
      <c r="A9" s="37" t="s">
        <v>1179</v>
      </c>
      <c r="B9" s="37" t="s">
        <v>5070</v>
      </c>
      <c r="C9" s="37" t="s">
        <v>5055</v>
      </c>
      <c r="D9" s="37" t="s">
        <v>5056</v>
      </c>
      <c r="E9" s="37" t="s">
        <v>5057</v>
      </c>
      <c r="AA9" s="109"/>
      <c r="AB9" s="109"/>
      <c r="AC9" s="109"/>
      <c r="AD9" s="109"/>
      <c r="AE9" s="109"/>
      <c r="AF9" s="109"/>
      <c r="AG9" s="109"/>
      <c r="AH9" s="109"/>
      <c r="AI9" s="109"/>
      <c r="AJ9" s="109"/>
      <c r="AK9" s="109"/>
      <c r="AL9" s="109"/>
      <c r="AM9" s="109"/>
      <c r="AN9" s="109"/>
    </row>
    <row r="10">
      <c r="A10" s="37" t="s">
        <v>1179</v>
      </c>
      <c r="B10" s="37" t="s">
        <v>5071</v>
      </c>
      <c r="C10" s="37" t="s">
        <v>5055</v>
      </c>
      <c r="D10" s="37" t="s">
        <v>5056</v>
      </c>
      <c r="E10" s="37" t="s">
        <v>5057</v>
      </c>
      <c r="AA10" s="109"/>
      <c r="AB10" s="109"/>
      <c r="AC10" s="109"/>
      <c r="AD10" s="109"/>
      <c r="AE10" s="109"/>
      <c r="AF10" s="109"/>
      <c r="AG10" s="109"/>
      <c r="AH10" s="109"/>
      <c r="AI10" s="109"/>
      <c r="AJ10" s="109"/>
      <c r="AK10" s="109"/>
      <c r="AL10" s="109"/>
      <c r="AM10" s="109"/>
      <c r="AN10" s="109"/>
    </row>
    <row r="11">
      <c r="A11" s="37" t="s">
        <v>1179</v>
      </c>
      <c r="B11" s="37" t="s">
        <v>5072</v>
      </c>
      <c r="C11" s="37" t="s">
        <v>5055</v>
      </c>
      <c r="D11" s="37" t="s">
        <v>5056</v>
      </c>
      <c r="E11" s="37" t="s">
        <v>5057</v>
      </c>
      <c r="AA11" s="109"/>
      <c r="AB11" s="109"/>
      <c r="AC11" s="109"/>
      <c r="AD11" s="109"/>
      <c r="AE11" s="109"/>
      <c r="AF11" s="109"/>
      <c r="AG11" s="109"/>
      <c r="AH11" s="109"/>
      <c r="AI11" s="109"/>
      <c r="AJ11" s="109"/>
      <c r="AK11" s="109"/>
      <c r="AL11" s="109"/>
      <c r="AM11" s="109"/>
      <c r="AN11" s="109"/>
    </row>
    <row r="12">
      <c r="A12" s="37" t="s">
        <v>1179</v>
      </c>
      <c r="B12" s="37" t="s">
        <v>5073</v>
      </c>
      <c r="C12" s="37" t="s">
        <v>5055</v>
      </c>
      <c r="D12" s="37" t="s">
        <v>5056</v>
      </c>
      <c r="E12" s="37" t="s">
        <v>5057</v>
      </c>
      <c r="AA12" s="109"/>
      <c r="AB12" s="109"/>
      <c r="AC12" s="109"/>
      <c r="AD12" s="109"/>
      <c r="AE12" s="109"/>
      <c r="AF12" s="109"/>
      <c r="AG12" s="109"/>
      <c r="AH12" s="109"/>
      <c r="AI12" s="109"/>
      <c r="AJ12" s="109"/>
      <c r="AK12" s="109"/>
      <c r="AL12" s="109"/>
      <c r="AM12" s="109"/>
      <c r="AN12" s="109"/>
    </row>
    <row r="13">
      <c r="A13" s="37" t="s">
        <v>1179</v>
      </c>
      <c r="B13" s="37" t="s">
        <v>5074</v>
      </c>
      <c r="C13" s="37" t="s">
        <v>5055</v>
      </c>
      <c r="D13" s="37" t="s">
        <v>5056</v>
      </c>
      <c r="E13" s="37" t="s">
        <v>5057</v>
      </c>
      <c r="AA13" s="109"/>
      <c r="AB13" s="109"/>
      <c r="AC13" s="109"/>
      <c r="AD13" s="109"/>
      <c r="AE13" s="109"/>
      <c r="AF13" s="109"/>
      <c r="AG13" s="109"/>
      <c r="AH13" s="109"/>
      <c r="AI13" s="109"/>
      <c r="AJ13" s="109"/>
      <c r="AK13" s="109"/>
      <c r="AL13" s="109"/>
      <c r="AM13" s="109"/>
      <c r="AN13" s="109"/>
    </row>
    <row r="14">
      <c r="A14" s="37" t="s">
        <v>1179</v>
      </c>
      <c r="B14" s="37" t="s">
        <v>5075</v>
      </c>
      <c r="C14" s="37" t="s">
        <v>5055</v>
      </c>
      <c r="D14" s="37" t="s">
        <v>5056</v>
      </c>
      <c r="E14" s="37" t="s">
        <v>5057</v>
      </c>
      <c r="AA14" s="109"/>
      <c r="AB14" s="109"/>
      <c r="AC14" s="109"/>
      <c r="AD14" s="109"/>
      <c r="AE14" s="109"/>
      <c r="AF14" s="109"/>
      <c r="AG14" s="109"/>
      <c r="AH14" s="109"/>
      <c r="AI14" s="109"/>
      <c r="AJ14" s="109"/>
      <c r="AK14" s="109"/>
      <c r="AL14" s="109"/>
      <c r="AM14" s="109"/>
    </row>
    <row r="15" ht="18.75" customHeight="1"/>
    <row r="16" ht="18.75" customHeight="1"/>
    <row r="17" ht="18.75" customHeight="1"/>
    <row r="18" ht="18.75" customHeight="1"/>
    <row r="19" ht="18.75" customHeight="1"/>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6" width="4.75"/>
    <col customWidth="1" min="7" max="10" width="4.63"/>
    <col customWidth="1" min="11" max="11" width="3.0"/>
    <col customWidth="1" min="12" max="12" width="4.63"/>
    <col customWidth="1" min="13" max="14" width="6.25"/>
    <col customWidth="1" min="15" max="16" width="3.88"/>
    <col customWidth="1" min="17" max="17" width="4.63"/>
    <col customWidth="1" min="18" max="18" width="7.13"/>
    <col customWidth="1" min="19" max="20" width="3.75"/>
    <col customWidth="1" min="21" max="21" width="8.13"/>
    <col customWidth="1" min="22" max="22" width="8.5"/>
    <col customWidth="1" min="23" max="26" width="9.25"/>
  </cols>
  <sheetData>
    <row r="1" ht="18.75" customHeight="1">
      <c r="A1" s="2" t="s">
        <v>0</v>
      </c>
      <c r="B1" s="2" t="s">
        <v>5076</v>
      </c>
      <c r="C1" s="2" t="s">
        <v>2623</v>
      </c>
      <c r="D1" s="2" t="s">
        <v>2624</v>
      </c>
      <c r="E1" s="2" t="s">
        <v>2625</v>
      </c>
      <c r="F1" s="2" t="s">
        <v>2626</v>
      </c>
      <c r="G1" s="147" t="s">
        <v>3201</v>
      </c>
      <c r="H1" s="147" t="s">
        <v>3202</v>
      </c>
      <c r="I1" s="147" t="s">
        <v>3203</v>
      </c>
      <c r="J1" s="147" t="s">
        <v>3204</v>
      </c>
      <c r="K1" s="148" t="s">
        <v>3205</v>
      </c>
      <c r="L1" s="148" t="s">
        <v>3206</v>
      </c>
      <c r="M1" s="148" t="s">
        <v>3207</v>
      </c>
      <c r="N1" s="148" t="s">
        <v>3208</v>
      </c>
      <c r="O1" s="74" t="s">
        <v>3209</v>
      </c>
      <c r="P1" s="74" t="s">
        <v>3210</v>
      </c>
      <c r="Q1" s="74" t="s">
        <v>3211</v>
      </c>
      <c r="R1" s="74" t="s">
        <v>5077</v>
      </c>
      <c r="S1" s="149" t="s">
        <v>2628</v>
      </c>
      <c r="T1" s="149" t="s">
        <v>2627</v>
      </c>
      <c r="U1" s="74" t="s">
        <v>5078</v>
      </c>
      <c r="V1" s="74" t="s">
        <v>5079</v>
      </c>
      <c r="W1" s="2" t="s">
        <v>5080</v>
      </c>
      <c r="X1" s="2" t="s">
        <v>5081</v>
      </c>
      <c r="Y1" s="2" t="s">
        <v>5082</v>
      </c>
      <c r="Z1" s="2" t="s">
        <v>5083</v>
      </c>
    </row>
    <row r="2" ht="18.75" customHeight="1">
      <c r="A2" s="64">
        <v>1.0</v>
      </c>
      <c r="B2" s="64" t="s">
        <v>5084</v>
      </c>
      <c r="C2" s="64"/>
      <c r="D2" s="64"/>
      <c r="E2" s="64"/>
      <c r="F2" s="64"/>
      <c r="G2" s="64">
        <v>10.0</v>
      </c>
      <c r="H2" s="64">
        <v>0.0</v>
      </c>
      <c r="I2" s="64">
        <v>0.0</v>
      </c>
      <c r="J2" s="64"/>
      <c r="K2" s="64">
        <v>10.0</v>
      </c>
      <c r="U2" s="118">
        <v>1.0</v>
      </c>
      <c r="V2" s="118">
        <v>0.0</v>
      </c>
      <c r="W2" s="37" t="s">
        <v>5085</v>
      </c>
      <c r="X2" s="37" t="s">
        <v>5086</v>
      </c>
      <c r="Y2" s="37" t="s">
        <v>5087</v>
      </c>
      <c r="Z2" s="37">
        <v>1.0</v>
      </c>
    </row>
    <row r="3" ht="18.75" customHeight="1">
      <c r="A3" s="64">
        <v>2.0</v>
      </c>
      <c r="B3" s="64" t="s">
        <v>5084</v>
      </c>
      <c r="C3" s="64"/>
      <c r="D3" s="64"/>
      <c r="E3" s="64"/>
      <c r="F3" s="64"/>
      <c r="G3" s="64">
        <v>20.0</v>
      </c>
      <c r="H3" s="64">
        <v>0.0</v>
      </c>
      <c r="I3" s="64">
        <v>0.0</v>
      </c>
      <c r="J3" s="64"/>
      <c r="K3" s="64">
        <v>20.0</v>
      </c>
      <c r="U3" s="118">
        <v>1.0</v>
      </c>
      <c r="V3" s="118">
        <v>0.15</v>
      </c>
      <c r="W3" s="37" t="s">
        <v>5088</v>
      </c>
      <c r="X3" s="37" t="s">
        <v>5089</v>
      </c>
      <c r="Y3" s="37" t="s">
        <v>5090</v>
      </c>
      <c r="Z3" s="37">
        <v>1.25</v>
      </c>
    </row>
    <row r="4" ht="18.75" customHeight="1">
      <c r="A4" s="64">
        <v>3.0</v>
      </c>
      <c r="B4" s="64" t="s">
        <v>5084</v>
      </c>
      <c r="C4" s="64"/>
      <c r="D4" s="64"/>
      <c r="E4" s="64"/>
      <c r="F4" s="64"/>
      <c r="G4" s="64">
        <v>30.0</v>
      </c>
      <c r="H4" s="86">
        <v>1.0</v>
      </c>
      <c r="I4" s="64"/>
      <c r="J4" s="64"/>
      <c r="K4" s="64">
        <v>30.0</v>
      </c>
      <c r="L4" s="86">
        <v>1.0</v>
      </c>
      <c r="U4" s="118">
        <v>1.0</v>
      </c>
      <c r="V4" s="118">
        <v>0.3</v>
      </c>
      <c r="W4" s="37" t="s">
        <v>5091</v>
      </c>
      <c r="X4" s="37" t="s">
        <v>4532</v>
      </c>
      <c r="Y4" s="37" t="s">
        <v>5092</v>
      </c>
      <c r="Z4" s="37">
        <v>1.5</v>
      </c>
    </row>
    <row r="5" ht="18.75" customHeight="1">
      <c r="A5" s="64">
        <v>4.0</v>
      </c>
      <c r="B5" s="64" t="s">
        <v>5084</v>
      </c>
      <c r="C5" s="64"/>
      <c r="D5" s="64"/>
      <c r="E5" s="64"/>
      <c r="F5" s="64"/>
      <c r="G5" s="64">
        <v>40.0</v>
      </c>
      <c r="H5" s="86">
        <v>2.0</v>
      </c>
      <c r="I5" s="86">
        <v>1.0</v>
      </c>
      <c r="J5" s="64"/>
      <c r="K5" s="64">
        <v>40.0</v>
      </c>
      <c r="L5" s="86">
        <v>1.0</v>
      </c>
      <c r="M5" s="41">
        <v>1.0</v>
      </c>
      <c r="N5" s="39">
        <v>0.0</v>
      </c>
      <c r="U5" s="118">
        <v>1.0</v>
      </c>
      <c r="V5" s="118">
        <v>0.5</v>
      </c>
      <c r="W5" s="37" t="s">
        <v>5093</v>
      </c>
      <c r="X5" s="37" t="s">
        <v>5094</v>
      </c>
      <c r="Y5" s="37" t="s">
        <v>5095</v>
      </c>
      <c r="Z5" s="37">
        <v>1.75</v>
      </c>
    </row>
    <row r="6" ht="18.75" customHeight="1">
      <c r="A6" s="64">
        <v>5.0</v>
      </c>
      <c r="B6" s="64" t="s">
        <v>5084</v>
      </c>
      <c r="C6" s="64"/>
      <c r="D6" s="64"/>
      <c r="E6" s="64"/>
      <c r="F6" s="64"/>
      <c r="G6" s="64">
        <v>50.0</v>
      </c>
      <c r="H6" s="86">
        <v>2.0</v>
      </c>
      <c r="I6" s="86">
        <v>2.0</v>
      </c>
      <c r="J6" s="64"/>
      <c r="K6" s="64">
        <v>50.0</v>
      </c>
      <c r="L6" s="86">
        <v>2.0</v>
      </c>
      <c r="M6" s="86">
        <v>1.0</v>
      </c>
      <c r="N6" s="86">
        <v>1.0</v>
      </c>
      <c r="O6" s="37">
        <v>20.0</v>
      </c>
      <c r="P6" s="39">
        <v>0.0</v>
      </c>
      <c r="Q6" s="39">
        <v>0.0</v>
      </c>
      <c r="R6" s="37" t="s">
        <v>5096</v>
      </c>
      <c r="U6" s="118">
        <v>1.0</v>
      </c>
      <c r="V6" s="118">
        <v>0.65</v>
      </c>
      <c r="W6" s="37" t="s">
        <v>5097</v>
      </c>
      <c r="X6" s="37" t="s">
        <v>5098</v>
      </c>
      <c r="Y6" s="37" t="s">
        <v>5099</v>
      </c>
      <c r="Z6" s="37">
        <v>2.0</v>
      </c>
    </row>
    <row r="7" ht="18.75" customHeight="1">
      <c r="A7" s="64">
        <v>6.0</v>
      </c>
      <c r="B7" s="64" t="s">
        <v>5084</v>
      </c>
      <c r="C7" s="64"/>
      <c r="D7" s="64"/>
      <c r="E7" s="64"/>
      <c r="F7" s="64"/>
      <c r="G7" s="64">
        <f t="shared" ref="G7:G8" si="1">G6*2</f>
        <v>100</v>
      </c>
      <c r="H7" s="86">
        <v>3.0</v>
      </c>
      <c r="I7" s="86">
        <v>3.0</v>
      </c>
      <c r="J7" s="64"/>
      <c r="K7" s="64">
        <f t="shared" ref="K7:K8" si="2">K6*2</f>
        <v>100</v>
      </c>
      <c r="L7" s="86">
        <v>3.0</v>
      </c>
      <c r="M7" s="86">
        <v>2.0</v>
      </c>
      <c r="N7" s="86">
        <v>1.0</v>
      </c>
      <c r="O7" s="37">
        <v>40.0</v>
      </c>
      <c r="P7" s="39">
        <v>1.0</v>
      </c>
      <c r="Q7" s="39">
        <v>0.0</v>
      </c>
      <c r="R7" s="37" t="s">
        <v>5096</v>
      </c>
      <c r="U7" s="118">
        <v>1.0</v>
      </c>
      <c r="V7" s="118">
        <v>0.8</v>
      </c>
    </row>
    <row r="8" ht="18.75" customHeight="1">
      <c r="A8" s="64">
        <v>7.0</v>
      </c>
      <c r="B8" s="64" t="s">
        <v>5084</v>
      </c>
      <c r="C8" s="64"/>
      <c r="D8" s="64"/>
      <c r="E8" s="64"/>
      <c r="F8" s="64"/>
      <c r="G8" s="64">
        <f t="shared" si="1"/>
        <v>200</v>
      </c>
      <c r="H8" s="86">
        <v>4.0</v>
      </c>
      <c r="I8" s="86">
        <v>4.0</v>
      </c>
      <c r="J8" s="64"/>
      <c r="K8" s="64">
        <f t="shared" si="2"/>
        <v>200</v>
      </c>
      <c r="L8" s="86">
        <v>4.0</v>
      </c>
      <c r="M8" s="86">
        <v>2.0</v>
      </c>
      <c r="N8" s="86">
        <v>2.0</v>
      </c>
      <c r="O8" s="37">
        <v>80.0</v>
      </c>
      <c r="P8" s="39">
        <v>2.0</v>
      </c>
      <c r="Q8" s="39">
        <v>0.0</v>
      </c>
      <c r="R8" s="37" t="s">
        <v>5096</v>
      </c>
      <c r="U8" s="118">
        <v>1.0</v>
      </c>
      <c r="V8" s="118">
        <v>1.0</v>
      </c>
    </row>
    <row r="9" ht="18.75" customHeight="1">
      <c r="A9" s="64">
        <v>1.0</v>
      </c>
      <c r="B9" s="37" t="s">
        <v>5100</v>
      </c>
      <c r="O9" s="37">
        <v>5.0</v>
      </c>
      <c r="P9" s="39">
        <v>0.0</v>
      </c>
    </row>
    <row r="10" ht="18.75" customHeight="1">
      <c r="A10" s="64">
        <v>2.0</v>
      </c>
      <c r="B10" s="37" t="s">
        <v>5100</v>
      </c>
      <c r="O10" s="37">
        <v>10.0</v>
      </c>
      <c r="P10" s="39">
        <v>0.0</v>
      </c>
      <c r="Q10" s="39">
        <v>0.0</v>
      </c>
    </row>
    <row r="11" ht="18.75" customHeight="1">
      <c r="A11" s="64">
        <v>3.0</v>
      </c>
      <c r="B11" s="37" t="s">
        <v>5100</v>
      </c>
      <c r="O11" s="37">
        <v>20.0</v>
      </c>
      <c r="P11" s="39">
        <v>0.0</v>
      </c>
      <c r="Q11" s="39">
        <v>0.0</v>
      </c>
    </row>
    <row r="12" ht="18.75" customHeight="1">
      <c r="A12" s="64">
        <v>4.0</v>
      </c>
      <c r="B12" s="37" t="s">
        <v>5100</v>
      </c>
      <c r="O12" s="37">
        <v>40.0</v>
      </c>
      <c r="P12" s="39">
        <v>1.0</v>
      </c>
      <c r="Q12" s="39">
        <v>0.0</v>
      </c>
    </row>
    <row r="13" ht="18.75" customHeight="1">
      <c r="A13" s="64">
        <v>5.0</v>
      </c>
      <c r="B13" s="37" t="s">
        <v>5100</v>
      </c>
      <c r="O13" s="37">
        <v>80.0</v>
      </c>
      <c r="P13" s="39">
        <v>2.0</v>
      </c>
      <c r="Q13" s="39">
        <v>0.0</v>
      </c>
      <c r="R13" s="37" t="s">
        <v>5096</v>
      </c>
    </row>
    <row r="14" ht="18.75" customHeight="1">
      <c r="A14" s="64">
        <v>6.0</v>
      </c>
      <c r="B14" s="37" t="s">
        <v>5100</v>
      </c>
      <c r="O14" s="37">
        <v>160.0</v>
      </c>
      <c r="P14" s="39">
        <v>3.0</v>
      </c>
      <c r="Q14" s="39">
        <v>1.0</v>
      </c>
      <c r="R14" s="37" t="s">
        <v>5096</v>
      </c>
    </row>
    <row r="15" ht="18.75" customHeight="1">
      <c r="A15" s="64">
        <v>7.0</v>
      </c>
      <c r="B15" s="37" t="s">
        <v>5100</v>
      </c>
      <c r="O15" s="37">
        <v>320.0</v>
      </c>
      <c r="P15" s="39">
        <v>6.0</v>
      </c>
      <c r="Q15" s="39">
        <v>2.0</v>
      </c>
      <c r="R15" s="37" t="s">
        <v>5096</v>
      </c>
    </row>
    <row r="16" ht="18.75" customHeight="1">
      <c r="A16" s="37">
        <v>1.0</v>
      </c>
      <c r="B16" s="37" t="s">
        <v>4447</v>
      </c>
      <c r="C16" s="37">
        <v>2.0</v>
      </c>
      <c r="D16" s="37">
        <v>2.0</v>
      </c>
      <c r="E16" s="37">
        <v>2.0</v>
      </c>
      <c r="G16" s="37">
        <v>2.0</v>
      </c>
      <c r="J16" s="37">
        <v>2.0</v>
      </c>
      <c r="K16" s="37">
        <v>2.0</v>
      </c>
    </row>
    <row r="17" ht="18.75" customHeight="1"/>
    <row r="18" ht="18.75" customHeight="1"/>
    <row r="19" ht="18.75" customHeight="1"/>
    <row r="20" ht="18.75" customHeight="1"/>
    <row r="21" ht="18.75" customHeight="1">
      <c r="H21" s="37" t="s">
        <v>5101</v>
      </c>
      <c r="I21" s="37" t="s">
        <v>2931</v>
      </c>
    </row>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8.75" customHeight="1"/>
    <row r="33" ht="18.75" customHeight="1"/>
    <row r="34" ht="18.75" customHeight="1"/>
    <row r="35" ht="18.75" customHeight="1"/>
    <row r="36" ht="18.75" customHeight="1"/>
    <row r="37" ht="18.75" customHeight="1"/>
    <row r="38" ht="18.75" customHeight="1"/>
    <row r="39" ht="18.75" customHeight="1"/>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AEDFB"/>
    <pageSetUpPr/>
  </sheetPr>
  <sheetViews>
    <sheetView workbookViewId="0"/>
  </sheetViews>
  <sheetFormatPr customHeight="1" defaultColWidth="12.63" defaultRowHeight="15.0"/>
  <cols>
    <col customWidth="1" min="1" max="2" width="7.63"/>
    <col customWidth="1" min="3" max="3" width="7.25"/>
    <col customWidth="1" min="4" max="4" width="6.75"/>
    <col customWidth="1" min="5" max="5" width="6.38"/>
    <col customWidth="1" min="6" max="10" width="4.0"/>
    <col customWidth="1" min="11" max="11" width="5.5"/>
    <col customWidth="1" min="12" max="13" width="4.63"/>
    <col customWidth="1" min="14" max="14" width="6.25"/>
    <col customWidth="1" min="15" max="15" width="4.63"/>
    <col customWidth="1" min="16" max="16" width="6.0"/>
    <col customWidth="1" min="17" max="17" width="4.63"/>
    <col customWidth="1" min="18" max="18" width="11.88"/>
    <col customWidth="1" min="19" max="26" width="7.63"/>
    <col customWidth="1" min="27" max="27" width="11.38"/>
  </cols>
  <sheetData>
    <row r="1" ht="18.75" customHeight="1">
      <c r="A1" s="37" t="s">
        <v>5102</v>
      </c>
      <c r="B1" s="37" t="s">
        <v>5103</v>
      </c>
      <c r="C1" s="37" t="s">
        <v>5104</v>
      </c>
      <c r="D1" s="37" t="s">
        <v>5105</v>
      </c>
      <c r="E1" s="37" t="s">
        <v>5106</v>
      </c>
      <c r="F1" s="37" t="s">
        <v>5107</v>
      </c>
      <c r="G1" s="37" t="s">
        <v>2569</v>
      </c>
      <c r="H1" s="37" t="s">
        <v>1452</v>
      </c>
      <c r="I1" s="37" t="s">
        <v>5108</v>
      </c>
      <c r="J1" s="37" t="s">
        <v>1782</v>
      </c>
      <c r="K1" s="37" t="s">
        <v>1492</v>
      </c>
      <c r="L1" s="37" t="s">
        <v>4995</v>
      </c>
      <c r="M1" s="37" t="s">
        <v>5000</v>
      </c>
      <c r="N1" s="37" t="s">
        <v>5001</v>
      </c>
      <c r="O1" s="37" t="s">
        <v>5003</v>
      </c>
      <c r="P1" s="37" t="s">
        <v>5109</v>
      </c>
      <c r="Q1" s="37" t="s">
        <v>4486</v>
      </c>
      <c r="R1" s="37" t="s">
        <v>5110</v>
      </c>
      <c r="S1" s="37" t="s">
        <v>5111</v>
      </c>
      <c r="T1" s="37" t="s">
        <v>5112</v>
      </c>
      <c r="U1" s="37" t="s">
        <v>5113</v>
      </c>
      <c r="V1" s="176" t="s">
        <v>5114</v>
      </c>
      <c r="W1" s="177" t="s">
        <v>5115</v>
      </c>
      <c r="X1" s="177" t="s">
        <v>3201</v>
      </c>
      <c r="Y1" s="39" t="s">
        <v>4369</v>
      </c>
      <c r="Z1" s="39" t="s">
        <v>3326</v>
      </c>
      <c r="AA1" s="39" t="s">
        <v>5116</v>
      </c>
    </row>
    <row r="2" ht="18.75" customHeight="1">
      <c r="A2" s="37" t="s">
        <v>2813</v>
      </c>
      <c r="B2" s="37" t="s">
        <v>3327</v>
      </c>
      <c r="C2" s="37" t="s">
        <v>5117</v>
      </c>
      <c r="D2" s="37">
        <v>20.0</v>
      </c>
      <c r="E2" s="39">
        <v>10.0</v>
      </c>
      <c r="F2" s="37">
        <v>25.0</v>
      </c>
      <c r="K2" s="37">
        <v>20.0</v>
      </c>
      <c r="M2" s="37">
        <v>10.0</v>
      </c>
      <c r="N2" s="37">
        <v>135.0</v>
      </c>
      <c r="R2" s="37" t="s">
        <v>5118</v>
      </c>
      <c r="S2" s="37" t="s">
        <v>5119</v>
      </c>
      <c r="T2" s="37" t="s">
        <v>5120</v>
      </c>
      <c r="V2" s="176">
        <v>1.0</v>
      </c>
      <c r="W2" s="178">
        <v>0.5</v>
      </c>
      <c r="X2" s="178">
        <v>0.0</v>
      </c>
    </row>
    <row r="3" ht="18.75" customHeight="1">
      <c r="A3" s="37" t="s">
        <v>2804</v>
      </c>
      <c r="B3" s="37" t="s">
        <v>3327</v>
      </c>
      <c r="C3" s="37" t="s">
        <v>5117</v>
      </c>
      <c r="D3" s="37">
        <v>30.0</v>
      </c>
      <c r="E3" s="39">
        <v>20.0</v>
      </c>
      <c r="F3" s="37">
        <v>35.0</v>
      </c>
      <c r="K3" s="37">
        <v>25.0</v>
      </c>
      <c r="M3" s="37">
        <v>10.0</v>
      </c>
      <c r="N3" s="37">
        <v>135.0</v>
      </c>
      <c r="R3" s="37" t="s">
        <v>4997</v>
      </c>
      <c r="S3" s="37" t="s">
        <v>5120</v>
      </c>
      <c r="V3" s="176">
        <v>1.25</v>
      </c>
      <c r="W3" s="178">
        <v>1.0</v>
      </c>
      <c r="X3" s="178">
        <v>0.1</v>
      </c>
    </row>
    <row r="4" ht="18.75" customHeight="1">
      <c r="A4" s="37" t="s">
        <v>2800</v>
      </c>
      <c r="B4" s="37" t="s">
        <v>3327</v>
      </c>
      <c r="C4" s="37" t="s">
        <v>5117</v>
      </c>
      <c r="D4" s="37">
        <v>40.0</v>
      </c>
      <c r="E4" s="39">
        <v>25.0</v>
      </c>
      <c r="F4" s="37">
        <v>40.0</v>
      </c>
      <c r="K4" s="37">
        <v>25.0</v>
      </c>
      <c r="M4" s="37">
        <v>10.0</v>
      </c>
      <c r="N4" s="37">
        <v>135.0</v>
      </c>
      <c r="R4" s="37" t="s">
        <v>4997</v>
      </c>
      <c r="V4" s="176">
        <v>1.5</v>
      </c>
      <c r="W4" s="178">
        <v>1.4</v>
      </c>
      <c r="X4" s="178">
        <v>0.1</v>
      </c>
    </row>
    <row r="5" ht="18.75" customHeight="1">
      <c r="A5" s="37" t="s">
        <v>2807</v>
      </c>
      <c r="B5" s="37" t="s">
        <v>3327</v>
      </c>
      <c r="C5" s="37" t="s">
        <v>5117</v>
      </c>
      <c r="D5" s="37">
        <v>40.0</v>
      </c>
      <c r="E5" s="39">
        <v>20.0</v>
      </c>
      <c r="F5" s="37">
        <v>45.0</v>
      </c>
      <c r="K5" s="37">
        <v>25.0</v>
      </c>
      <c r="M5" s="37">
        <v>10.0</v>
      </c>
      <c r="N5" s="37">
        <v>135.0</v>
      </c>
      <c r="R5" s="37" t="s">
        <v>5119</v>
      </c>
      <c r="S5" s="37" t="s">
        <v>5108</v>
      </c>
      <c r="V5" s="176">
        <v>1.25</v>
      </c>
      <c r="W5" s="178">
        <v>0.6</v>
      </c>
      <c r="X5" s="178">
        <v>1.2</v>
      </c>
    </row>
    <row r="6" ht="18.75" customHeight="1">
      <c r="A6" s="37" t="s">
        <v>5121</v>
      </c>
      <c r="B6" s="37" t="s">
        <v>3327</v>
      </c>
      <c r="C6" s="37" t="s">
        <v>5117</v>
      </c>
      <c r="D6" s="37">
        <v>50.0</v>
      </c>
      <c r="E6" s="39">
        <v>30.0</v>
      </c>
      <c r="F6" s="37">
        <v>45.0</v>
      </c>
      <c r="K6" s="37">
        <v>30.0</v>
      </c>
      <c r="M6" s="37">
        <v>10.0</v>
      </c>
      <c r="N6" s="37">
        <v>125.0</v>
      </c>
      <c r="R6" s="37" t="s">
        <v>5119</v>
      </c>
      <c r="V6" s="176">
        <v>1.25</v>
      </c>
      <c r="W6" s="178">
        <v>1.2</v>
      </c>
      <c r="X6" s="178">
        <v>0.4</v>
      </c>
    </row>
    <row r="7" ht="18.75" customHeight="1">
      <c r="A7" s="37" t="s">
        <v>2823</v>
      </c>
      <c r="B7" s="37" t="s">
        <v>3327</v>
      </c>
      <c r="C7" s="37" t="s">
        <v>5117</v>
      </c>
      <c r="D7" s="37">
        <v>30.0</v>
      </c>
      <c r="E7" s="39">
        <v>10.0</v>
      </c>
      <c r="F7" s="37">
        <v>30.0</v>
      </c>
      <c r="K7" s="37">
        <v>20.0</v>
      </c>
      <c r="M7" s="37">
        <v>10.0</v>
      </c>
      <c r="N7" s="37">
        <v>125.0</v>
      </c>
      <c r="R7" s="37" t="s">
        <v>1490</v>
      </c>
      <c r="V7" s="176">
        <v>1.0</v>
      </c>
      <c r="W7" s="178">
        <v>0.0</v>
      </c>
      <c r="X7" s="178">
        <v>1.0</v>
      </c>
    </row>
    <row r="8" ht="18.75" customHeight="1">
      <c r="A8" s="37" t="s">
        <v>5122</v>
      </c>
      <c r="B8" s="37" t="s">
        <v>3327</v>
      </c>
      <c r="C8" s="37" t="s">
        <v>5117</v>
      </c>
      <c r="D8" s="37">
        <v>50.0</v>
      </c>
      <c r="E8" s="39">
        <v>30.0</v>
      </c>
      <c r="F8" s="37">
        <v>45.0</v>
      </c>
      <c r="K8" s="37">
        <v>25.0</v>
      </c>
      <c r="M8" s="37">
        <v>10.0</v>
      </c>
      <c r="N8" s="37">
        <v>125.0</v>
      </c>
      <c r="R8" s="37" t="s">
        <v>1490</v>
      </c>
      <c r="V8" s="176">
        <v>1.5</v>
      </c>
      <c r="W8" s="178">
        <v>1.6</v>
      </c>
      <c r="X8" s="178">
        <v>0.2</v>
      </c>
    </row>
    <row r="9" ht="18.75" customHeight="1">
      <c r="A9" s="37" t="s">
        <v>2815</v>
      </c>
      <c r="B9" s="37" t="s">
        <v>3327</v>
      </c>
      <c r="C9" s="37" t="s">
        <v>4995</v>
      </c>
      <c r="D9" s="37">
        <v>65.0</v>
      </c>
      <c r="E9" s="39">
        <v>20.0</v>
      </c>
      <c r="F9" s="37">
        <v>25.0</v>
      </c>
      <c r="K9" s="37">
        <v>25.0</v>
      </c>
      <c r="L9" s="37">
        <v>40.0</v>
      </c>
      <c r="M9" s="37">
        <v>10.0</v>
      </c>
      <c r="N9" s="37">
        <v>135.0</v>
      </c>
      <c r="O9" s="37">
        <v>20.0</v>
      </c>
      <c r="V9" s="176">
        <v>1.25</v>
      </c>
      <c r="W9" s="178">
        <v>0.2</v>
      </c>
      <c r="X9" s="178">
        <v>1.4</v>
      </c>
    </row>
    <row r="10" ht="18.75" customHeight="1">
      <c r="A10" s="37" t="s">
        <v>5123</v>
      </c>
      <c r="B10" s="37" t="s">
        <v>3327</v>
      </c>
      <c r="C10" s="37" t="s">
        <v>4995</v>
      </c>
      <c r="D10" s="37">
        <v>20.0</v>
      </c>
      <c r="E10" s="39">
        <v>10.0</v>
      </c>
      <c r="F10" s="37">
        <v>10.0</v>
      </c>
      <c r="K10" s="37">
        <v>25.0</v>
      </c>
      <c r="L10" s="37">
        <v>40.0</v>
      </c>
      <c r="M10" s="37">
        <v>10.0</v>
      </c>
      <c r="N10" s="37">
        <v>140.0</v>
      </c>
      <c r="O10" s="37">
        <v>20.0</v>
      </c>
      <c r="R10" s="37" t="s">
        <v>5124</v>
      </c>
      <c r="V10" s="176">
        <v>2.0</v>
      </c>
      <c r="W10" s="178">
        <v>2.0</v>
      </c>
      <c r="X10" s="178">
        <v>0.3</v>
      </c>
      <c r="Y10" s="41">
        <v>3.0</v>
      </c>
    </row>
    <row r="11" ht="18.75" customHeight="1">
      <c r="A11" s="37" t="s">
        <v>2818</v>
      </c>
      <c r="B11" s="37" t="s">
        <v>3327</v>
      </c>
      <c r="C11" s="37" t="s">
        <v>4808</v>
      </c>
      <c r="D11" s="37">
        <v>40.0</v>
      </c>
      <c r="E11" s="39">
        <v>-20.0</v>
      </c>
      <c r="F11" s="37">
        <v>15.0</v>
      </c>
      <c r="G11" s="37">
        <v>15.0</v>
      </c>
      <c r="K11" s="37">
        <v>25.0</v>
      </c>
      <c r="M11" s="37">
        <v>10.0</v>
      </c>
      <c r="N11" s="37">
        <v>120.0</v>
      </c>
      <c r="R11" s="37" t="s">
        <v>137</v>
      </c>
      <c r="V11" s="176">
        <v>2.0</v>
      </c>
      <c r="W11" s="178">
        <v>0.1</v>
      </c>
      <c r="X11" s="178">
        <v>1.3</v>
      </c>
    </row>
    <row r="12" ht="18.75" customHeight="1">
      <c r="V12" s="176"/>
      <c r="W12" s="176"/>
      <c r="X12" s="176"/>
    </row>
    <row r="13" ht="18.75" customHeight="1">
      <c r="A13" s="37" t="s">
        <v>2805</v>
      </c>
      <c r="B13" s="37" t="s">
        <v>3327</v>
      </c>
      <c r="C13" s="37" t="s">
        <v>79</v>
      </c>
      <c r="D13" s="37">
        <v>-5.0</v>
      </c>
      <c r="E13" s="39">
        <v>10.0</v>
      </c>
      <c r="F13" s="37">
        <v>15.0</v>
      </c>
      <c r="K13" s="37">
        <v>25.0</v>
      </c>
      <c r="M13" s="37">
        <v>10.0</v>
      </c>
      <c r="N13" s="37">
        <v>120.0</v>
      </c>
      <c r="V13" s="176">
        <v>1.0</v>
      </c>
      <c r="W13" s="178">
        <v>0.2</v>
      </c>
      <c r="X13" s="178">
        <v>1.0</v>
      </c>
    </row>
    <row r="14" ht="18.75" customHeight="1">
      <c r="A14" s="37" t="s">
        <v>79</v>
      </c>
      <c r="B14" s="37" t="s">
        <v>3327</v>
      </c>
      <c r="C14" s="37" t="s">
        <v>79</v>
      </c>
      <c r="D14" s="37">
        <v>0.0</v>
      </c>
      <c r="E14" s="39">
        <v>20.0</v>
      </c>
      <c r="F14" s="37">
        <v>20.0</v>
      </c>
      <c r="K14" s="37">
        <v>35.0</v>
      </c>
      <c r="M14" s="37">
        <v>10.0</v>
      </c>
      <c r="N14" s="37">
        <v>120.0</v>
      </c>
      <c r="V14" s="176">
        <v>1.0</v>
      </c>
      <c r="W14" s="178">
        <v>0.6</v>
      </c>
      <c r="X14" s="178">
        <v>0.8</v>
      </c>
    </row>
    <row r="15" ht="18.75" customHeight="1">
      <c r="A15" s="37" t="s">
        <v>5125</v>
      </c>
      <c r="B15" s="37" t="s">
        <v>3327</v>
      </c>
      <c r="C15" s="37" t="s">
        <v>79</v>
      </c>
      <c r="D15" s="37">
        <v>10.0</v>
      </c>
      <c r="E15" s="39">
        <v>30.0</v>
      </c>
      <c r="F15" s="37">
        <v>25.0</v>
      </c>
      <c r="K15" s="37">
        <v>45.0</v>
      </c>
      <c r="M15" s="37">
        <v>10.0</v>
      </c>
      <c r="N15" s="37">
        <v>120.0</v>
      </c>
      <c r="V15" s="176">
        <v>1.5</v>
      </c>
      <c r="W15" s="178">
        <v>1.0</v>
      </c>
      <c r="X15" s="178">
        <v>1.2</v>
      </c>
    </row>
    <row r="16" ht="18.75" customHeight="1">
      <c r="V16" s="176"/>
      <c r="W16" s="178">
        <v>0.2</v>
      </c>
      <c r="X16" s="178">
        <v>0.0</v>
      </c>
    </row>
    <row r="17" ht="18.75" customHeight="1">
      <c r="A17" s="37" t="s">
        <v>2828</v>
      </c>
      <c r="B17" s="37" t="s">
        <v>2634</v>
      </c>
      <c r="Q17" s="37">
        <v>3.0</v>
      </c>
      <c r="R17" s="37" t="s">
        <v>137</v>
      </c>
      <c r="V17" s="176">
        <v>1.0</v>
      </c>
      <c r="W17" s="178">
        <v>0.2</v>
      </c>
      <c r="X17" s="178">
        <v>0.1</v>
      </c>
    </row>
    <row r="18" ht="18.75" customHeight="1">
      <c r="A18" s="37" t="s">
        <v>5126</v>
      </c>
      <c r="B18" s="37" t="s">
        <v>2634</v>
      </c>
      <c r="E18" s="37">
        <v>5.0</v>
      </c>
      <c r="P18" s="37">
        <v>5.0</v>
      </c>
      <c r="Q18" s="37">
        <v>10.0</v>
      </c>
      <c r="V18" s="176">
        <v>1.5</v>
      </c>
      <c r="W18" s="178">
        <v>0.7</v>
      </c>
      <c r="X18" s="178">
        <v>0.1</v>
      </c>
    </row>
    <row r="19" ht="18.75" customHeight="1">
      <c r="A19" s="37" t="s">
        <v>2808</v>
      </c>
      <c r="B19" s="37" t="s">
        <v>2634</v>
      </c>
      <c r="Q19" s="37">
        <v>4.0</v>
      </c>
      <c r="V19" s="176">
        <v>1.0</v>
      </c>
      <c r="W19" s="178">
        <v>0.1</v>
      </c>
      <c r="X19" s="178">
        <v>0.3</v>
      </c>
    </row>
    <row r="20" ht="18.75" customHeight="1">
      <c r="A20" s="37" t="s">
        <v>5127</v>
      </c>
      <c r="B20" s="37" t="s">
        <v>2634</v>
      </c>
      <c r="Q20" s="37">
        <v>0.0</v>
      </c>
      <c r="R20" s="37" t="s">
        <v>5128</v>
      </c>
      <c r="S20" s="37" t="s">
        <v>5129</v>
      </c>
      <c r="V20" s="176">
        <v>1.0</v>
      </c>
      <c r="W20" s="178">
        <v>0.1</v>
      </c>
      <c r="X20" s="178">
        <v>0.3</v>
      </c>
    </row>
    <row r="21" ht="18.75" customHeight="1">
      <c r="V21" s="176"/>
      <c r="W21" s="176"/>
      <c r="X21" s="176"/>
    </row>
    <row r="22" ht="18.75" customHeight="1">
      <c r="A22" s="37" t="s">
        <v>2801</v>
      </c>
      <c r="B22" s="37" t="s">
        <v>2635</v>
      </c>
      <c r="E22" s="37">
        <v>10.0</v>
      </c>
      <c r="P22" s="37">
        <v>10.0</v>
      </c>
      <c r="Q22" s="37">
        <v>20.0</v>
      </c>
      <c r="V22" s="176">
        <v>2.0</v>
      </c>
      <c r="W22" s="178">
        <v>2.8</v>
      </c>
      <c r="X22" s="178">
        <v>0.25</v>
      </c>
      <c r="AA22" s="39">
        <v>1.0</v>
      </c>
    </row>
    <row r="23" ht="18.75" customHeight="1">
      <c r="A23" s="37" t="s">
        <v>2809</v>
      </c>
      <c r="B23" s="37" t="s">
        <v>2635</v>
      </c>
      <c r="Q23" s="37">
        <v>10.0</v>
      </c>
      <c r="V23" s="176">
        <v>1.5</v>
      </c>
      <c r="W23" s="178">
        <v>0.25</v>
      </c>
      <c r="X23" s="178">
        <v>1.0</v>
      </c>
      <c r="AA23" s="39">
        <v>2.0</v>
      </c>
    </row>
    <row r="24" ht="18.75" customHeight="1">
      <c r="A24" s="37" t="s">
        <v>2819</v>
      </c>
      <c r="B24" s="37" t="s">
        <v>2635</v>
      </c>
      <c r="Q24" s="37">
        <v>5.0</v>
      </c>
      <c r="R24" s="37" t="s">
        <v>5130</v>
      </c>
      <c r="V24" s="176">
        <v>1.5</v>
      </c>
      <c r="W24" s="178">
        <v>0.25</v>
      </c>
      <c r="X24" s="178">
        <v>1.0</v>
      </c>
      <c r="AA24" s="39">
        <v>3.0</v>
      </c>
    </row>
    <row r="25" ht="18.75" customHeight="1">
      <c r="V25" s="176"/>
      <c r="W25" s="176"/>
      <c r="X25" s="176"/>
    </row>
    <row r="26" ht="18.75" customHeight="1">
      <c r="A26" s="37" t="s">
        <v>5131</v>
      </c>
      <c r="B26" s="37" t="s">
        <v>2636</v>
      </c>
      <c r="E26" s="37">
        <v>5.0</v>
      </c>
      <c r="Q26" s="37">
        <v>3.0</v>
      </c>
      <c r="R26" s="37" t="s">
        <v>5128</v>
      </c>
      <c r="V26" s="176"/>
      <c r="W26" s="176"/>
      <c r="X26" s="176"/>
    </row>
    <row r="27" ht="18.75" customHeight="1">
      <c r="A27" s="37" t="s">
        <v>2802</v>
      </c>
      <c r="B27" s="37" t="s">
        <v>2636</v>
      </c>
      <c r="Q27" s="37">
        <v>1.0</v>
      </c>
      <c r="R27" s="37" t="s">
        <v>5132</v>
      </c>
      <c r="V27" s="176"/>
      <c r="W27" s="176"/>
      <c r="X27" s="176"/>
    </row>
    <row r="28" ht="18.75" customHeight="1">
      <c r="V28" s="176"/>
      <c r="W28" s="176"/>
      <c r="X28" s="176"/>
    </row>
    <row r="29" ht="18.75" customHeight="1">
      <c r="A29" s="37" t="s">
        <v>5133</v>
      </c>
      <c r="B29" s="37" t="s">
        <v>5134</v>
      </c>
      <c r="R29" s="37" t="s">
        <v>137</v>
      </c>
      <c r="V29" s="176">
        <v>1.0</v>
      </c>
      <c r="W29" s="178">
        <v>0.15</v>
      </c>
      <c r="X29" s="178">
        <v>0.05</v>
      </c>
    </row>
    <row r="30" ht="18.75" customHeight="1">
      <c r="A30" s="37" t="s">
        <v>5039</v>
      </c>
      <c r="B30" s="37" t="s">
        <v>5134</v>
      </c>
      <c r="R30" s="37" t="s">
        <v>5128</v>
      </c>
      <c r="S30" s="37" t="s">
        <v>5129</v>
      </c>
      <c r="V30" s="176">
        <v>1.0</v>
      </c>
      <c r="W30" s="178">
        <v>0.1</v>
      </c>
      <c r="X30" s="178">
        <v>0.05</v>
      </c>
    </row>
    <row r="31" ht="18.75" customHeight="1">
      <c r="A31" s="37" t="s">
        <v>5135</v>
      </c>
      <c r="B31" s="37" t="s">
        <v>5134</v>
      </c>
      <c r="R31" s="37" t="s">
        <v>5136</v>
      </c>
      <c r="V31" s="176">
        <v>1.0</v>
      </c>
      <c r="W31" s="178">
        <v>0.1</v>
      </c>
      <c r="X31" s="178">
        <v>0.05</v>
      </c>
    </row>
    <row r="32" ht="18.75" customHeight="1">
      <c r="A32" s="37" t="s">
        <v>5137</v>
      </c>
      <c r="B32" s="37" t="s">
        <v>5134</v>
      </c>
      <c r="R32" s="37" t="s">
        <v>5138</v>
      </c>
      <c r="S32" s="37" t="s">
        <v>5139</v>
      </c>
      <c r="V32" s="176">
        <v>1.0</v>
      </c>
      <c r="W32" s="178">
        <v>0.2</v>
      </c>
      <c r="X32" s="178">
        <v>0.05</v>
      </c>
    </row>
    <row r="33" ht="18.75" customHeight="1"/>
    <row r="34" ht="18.75" customHeight="1">
      <c r="A34" s="39" t="s">
        <v>32</v>
      </c>
      <c r="B34" s="39" t="s">
        <v>5140</v>
      </c>
      <c r="C34" s="39" t="s">
        <v>5117</v>
      </c>
      <c r="D34" s="39">
        <v>60.0</v>
      </c>
      <c r="F34" s="41">
        <v>35.0</v>
      </c>
      <c r="K34" s="41">
        <v>15.0</v>
      </c>
      <c r="M34" s="41">
        <v>10.0</v>
      </c>
      <c r="N34" s="41">
        <v>125.0</v>
      </c>
      <c r="V34" s="176"/>
      <c r="W34" s="178"/>
      <c r="X34" s="178"/>
      <c r="Y34" s="39">
        <v>1.0</v>
      </c>
      <c r="Z34" s="39" t="s">
        <v>5141</v>
      </c>
      <c r="AA34" s="39"/>
    </row>
    <row r="35" ht="18.75" customHeight="1">
      <c r="A35" s="39" t="s">
        <v>35</v>
      </c>
      <c r="B35" s="39" t="s">
        <v>5140</v>
      </c>
      <c r="C35" s="39" t="s">
        <v>5117</v>
      </c>
      <c r="D35" s="41">
        <v>30.0</v>
      </c>
      <c r="F35" s="41">
        <v>25.0</v>
      </c>
      <c r="K35" s="41">
        <v>10.0</v>
      </c>
      <c r="M35" s="41">
        <v>10.0</v>
      </c>
      <c r="N35" s="41">
        <v>135.0</v>
      </c>
      <c r="P35" s="41">
        <v>15.0</v>
      </c>
      <c r="V35" s="176"/>
      <c r="W35" s="178"/>
      <c r="X35" s="178"/>
      <c r="Y35" s="39">
        <v>1.0</v>
      </c>
      <c r="Z35" s="39" t="s">
        <v>5141</v>
      </c>
      <c r="AA35" s="39"/>
    </row>
    <row r="36" ht="18.75" customHeight="1">
      <c r="A36" s="39" t="s">
        <v>37</v>
      </c>
      <c r="B36" s="39" t="s">
        <v>5140</v>
      </c>
      <c r="C36" s="39" t="s">
        <v>5117</v>
      </c>
      <c r="D36" s="41">
        <v>50.0</v>
      </c>
      <c r="F36" s="39">
        <v>15.0</v>
      </c>
      <c r="K36" s="41">
        <v>10.0</v>
      </c>
      <c r="M36" s="41">
        <v>10.0</v>
      </c>
      <c r="N36" s="41">
        <v>135.0</v>
      </c>
      <c r="V36" s="176"/>
      <c r="W36" s="178"/>
      <c r="X36" s="178"/>
      <c r="Y36" s="39">
        <v>2.0</v>
      </c>
      <c r="Z36" s="39" t="s">
        <v>5141</v>
      </c>
      <c r="AA36" s="39"/>
    </row>
    <row r="37" ht="18.75" customHeight="1">
      <c r="A37" s="39" t="s">
        <v>39</v>
      </c>
      <c r="B37" s="39" t="s">
        <v>5140</v>
      </c>
      <c r="C37" s="39" t="s">
        <v>5117</v>
      </c>
      <c r="D37" s="39">
        <v>20.0</v>
      </c>
      <c r="F37" s="41">
        <v>12.0</v>
      </c>
      <c r="K37" s="41">
        <v>7.0</v>
      </c>
      <c r="M37" s="41">
        <v>10.0</v>
      </c>
      <c r="N37" s="41">
        <v>125.0</v>
      </c>
      <c r="V37" s="176"/>
      <c r="W37" s="178"/>
      <c r="X37" s="178"/>
      <c r="Y37" s="39">
        <v>1.0</v>
      </c>
      <c r="Z37" s="39" t="s">
        <v>5141</v>
      </c>
      <c r="AA37" s="39"/>
    </row>
    <row r="38" ht="18.75" customHeight="1">
      <c r="A38" s="39" t="s">
        <v>45</v>
      </c>
      <c r="B38" s="39" t="s">
        <v>5140</v>
      </c>
      <c r="C38" s="39" t="s">
        <v>5117</v>
      </c>
      <c r="D38" s="41">
        <v>20.0</v>
      </c>
      <c r="F38" s="39">
        <v>10.0</v>
      </c>
      <c r="K38" s="39">
        <v>15.0</v>
      </c>
      <c r="M38" s="41">
        <v>5.0</v>
      </c>
      <c r="N38" s="41">
        <v>115.0</v>
      </c>
      <c r="V38" s="176"/>
      <c r="W38" s="178"/>
      <c r="X38" s="178"/>
      <c r="Y38" s="39">
        <v>2.0</v>
      </c>
      <c r="Z38" s="39" t="s">
        <v>5141</v>
      </c>
      <c r="AA38" s="39"/>
    </row>
    <row r="39" ht="18.75" customHeight="1">
      <c r="A39" s="39" t="s">
        <v>2605</v>
      </c>
      <c r="B39" s="39" t="s">
        <v>5142</v>
      </c>
      <c r="C39" s="41" t="s">
        <v>5140</v>
      </c>
      <c r="D39" s="41">
        <v>10.0</v>
      </c>
      <c r="F39" s="41">
        <v>10.0</v>
      </c>
      <c r="K39" s="41">
        <v>8.0</v>
      </c>
      <c r="M39" s="41">
        <v>5.0</v>
      </c>
      <c r="N39" s="41">
        <v>110.0</v>
      </c>
      <c r="Q39" s="41">
        <v>10.0</v>
      </c>
      <c r="V39" s="176"/>
      <c r="W39" s="178"/>
      <c r="X39" s="178"/>
      <c r="Z39" s="39" t="s">
        <v>5143</v>
      </c>
      <c r="AA39" s="39"/>
    </row>
    <row r="40" ht="18.75" customHeight="1"/>
    <row r="41" ht="18.75" customHeight="1"/>
    <row r="42" ht="18.75" customHeight="1"/>
    <row r="43" ht="18.75" customHeight="1"/>
    <row r="44" ht="18.75" customHeight="1"/>
    <row r="45" ht="18.75" customHeight="1"/>
    <row r="46" ht="18.75" customHeight="1"/>
    <row r="47" ht="18.75" customHeight="1"/>
    <row r="48"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row r="101" ht="18.75" customHeight="1"/>
    <row r="102" ht="18.75" customHeight="1"/>
    <row r="103" ht="18.75" customHeight="1"/>
    <row r="104" ht="18.75" customHeight="1"/>
    <row r="105" ht="18.75" customHeight="1"/>
    <row r="106" ht="18.75" customHeight="1"/>
    <row r="107" ht="18.75" customHeight="1"/>
    <row r="108" ht="18.75" customHeight="1"/>
    <row r="109" ht="18.75" customHeight="1"/>
    <row r="110" ht="18.75" customHeight="1"/>
    <row r="111" ht="18.75" customHeight="1"/>
    <row r="112"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row r="202" ht="18.75" customHeight="1"/>
    <row r="203" ht="18.75" customHeight="1"/>
    <row r="204" ht="18.75" customHeight="1"/>
    <row r="205" ht="18.75" customHeight="1"/>
    <row r="206" ht="18.75" customHeight="1"/>
    <row r="207" ht="18.75" customHeight="1"/>
    <row r="208" ht="18.75" customHeight="1"/>
    <row r="209" ht="18.75" customHeight="1"/>
    <row r="210" ht="18.75" customHeight="1"/>
    <row r="211" ht="18.75" customHeight="1"/>
    <row r="212" ht="18.75" customHeight="1"/>
    <row r="213" ht="18.75" customHeight="1"/>
    <row r="214" ht="18.75" customHeight="1"/>
    <row r="215" ht="18.75" customHeight="1"/>
    <row r="216" ht="18.75" customHeight="1"/>
    <row r="217" ht="18.75" customHeight="1"/>
    <row r="218" ht="18.75" customHeight="1"/>
    <row r="219" ht="18.75" customHeight="1"/>
    <row r="220" ht="18.75" customHeight="1"/>
    <row r="221" ht="18.75" customHeight="1"/>
    <row r="222" ht="18.75" customHeight="1"/>
    <row r="223" ht="18.75" customHeight="1"/>
    <row r="224" ht="18.75" customHeight="1"/>
    <row r="225" ht="18.75" customHeight="1"/>
    <row r="226" ht="18.75" customHeight="1"/>
    <row r="227" ht="18.75" customHeight="1"/>
    <row r="228" ht="18.75" customHeight="1"/>
    <row r="229" ht="18.75" customHeight="1"/>
    <row r="230" ht="18.75" customHeight="1"/>
    <row r="231" ht="18.75" customHeight="1"/>
    <row r="232" ht="18.75" customHeight="1"/>
    <row r="233" ht="18.75" customHeight="1"/>
    <row r="234" ht="18.75" customHeight="1"/>
    <row r="235" ht="18.75" customHeight="1"/>
    <row r="236" ht="18.75" customHeight="1"/>
    <row r="237" ht="18.75" customHeight="1"/>
    <row r="238" ht="18.75" customHeight="1"/>
    <row r="239" ht="18.75" customHeight="1"/>
    <row r="240" ht="18.75" customHeight="1"/>
    <row r="241" ht="18.75" customHeight="1"/>
    <row r="242" ht="18.75" customHeight="1"/>
    <row r="243" ht="18.75" customHeight="1"/>
    <row r="244" ht="18.75" customHeight="1"/>
    <row r="245" ht="18.75" customHeight="1"/>
    <row r="246" ht="18.75" customHeight="1"/>
    <row r="247" ht="18.75" customHeight="1"/>
    <row r="248" ht="18.75" customHeight="1"/>
    <row r="249" ht="18.75" customHeight="1"/>
    <row r="250" ht="18.75" customHeight="1"/>
    <row r="251" ht="18.75" customHeight="1"/>
    <row r="252" ht="18.75" customHeight="1"/>
    <row r="253" ht="18.75" customHeight="1"/>
    <row r="254" ht="18.75" customHeight="1"/>
    <row r="255" ht="18.75" customHeight="1"/>
    <row r="256" ht="18.75" customHeight="1"/>
    <row r="257" ht="18.75" customHeight="1"/>
    <row r="258" ht="18.75" customHeight="1"/>
    <row r="259" ht="18.75" customHeight="1"/>
    <row r="260" ht="18.75" customHeight="1"/>
    <row r="261" ht="18.75" customHeight="1"/>
    <row r="262" ht="18.75" customHeight="1"/>
    <row r="263" ht="18.75" customHeight="1"/>
    <row r="264" ht="18.75" customHeight="1"/>
    <row r="265" ht="18.75" customHeight="1"/>
    <row r="266" ht="18.75" customHeight="1"/>
    <row r="267" ht="18.75" customHeight="1"/>
    <row r="268" ht="18.75" customHeight="1"/>
    <row r="269" ht="18.75" customHeight="1"/>
    <row r="270" ht="18.75" customHeight="1"/>
    <row r="271" ht="18.75" customHeight="1"/>
    <row r="272" ht="18.75" customHeight="1"/>
    <row r="273" ht="18.75" customHeight="1"/>
    <row r="274" ht="18.75" customHeight="1"/>
    <row r="275" ht="18.75" customHeight="1"/>
    <row r="276" ht="18.75" customHeight="1"/>
    <row r="277" ht="18.75" customHeight="1"/>
    <row r="278" ht="18.75" customHeight="1"/>
    <row r="279" ht="18.75" customHeight="1"/>
    <row r="280" ht="18.75" customHeight="1"/>
    <row r="281" ht="18.75" customHeight="1"/>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row r="371" ht="18.75" customHeight="1"/>
    <row r="372" ht="18.75" customHeight="1"/>
    <row r="373" ht="18.75" customHeight="1"/>
    <row r="374" ht="18.75" customHeight="1"/>
    <row r="375" ht="18.75" customHeight="1"/>
    <row r="376" ht="18.75" customHeight="1"/>
    <row r="377" ht="18.75" customHeight="1"/>
    <row r="378" ht="18.75" customHeight="1"/>
    <row r="379" ht="18.75" customHeight="1"/>
    <row r="380" ht="18.75" customHeight="1"/>
    <row r="381" ht="18.75" customHeight="1"/>
    <row r="382" ht="18.75" customHeight="1"/>
    <row r="383" ht="18.75" customHeight="1"/>
    <row r="384" ht="18.75" customHeight="1"/>
    <row r="385" ht="18.75" customHeight="1"/>
    <row r="386" ht="18.75" customHeight="1"/>
    <row r="387" ht="18.75" customHeight="1"/>
    <row r="388" ht="18.75" customHeight="1"/>
    <row r="389" ht="18.75" customHeight="1"/>
    <row r="390" ht="18.75" customHeight="1"/>
    <row r="391" ht="18.75" customHeight="1"/>
    <row r="392" ht="18.75" customHeight="1"/>
    <row r="393" ht="18.75" customHeight="1"/>
    <row r="394" ht="18.75" customHeight="1"/>
    <row r="395" ht="18.75" customHeight="1"/>
    <row r="396" ht="18.75" customHeight="1"/>
    <row r="397" ht="18.75" customHeight="1"/>
    <row r="398" ht="18.75" customHeight="1"/>
    <row r="399" ht="18.75" customHeight="1"/>
    <row r="400" ht="18.75" customHeight="1"/>
    <row r="401" ht="18.75" customHeight="1"/>
    <row r="402" ht="18.75" customHeight="1"/>
    <row r="403" ht="18.75" customHeight="1"/>
    <row r="404" ht="18.75" customHeight="1"/>
    <row r="405" ht="18.75" customHeight="1"/>
    <row r="406" ht="18.75" customHeight="1"/>
    <row r="407" ht="18.75" customHeight="1"/>
    <row r="408" ht="18.75" customHeight="1"/>
    <row r="409" ht="18.75" customHeight="1"/>
    <row r="410" ht="18.75" customHeight="1"/>
    <row r="411" ht="18.75" customHeight="1"/>
    <row r="412" ht="18.75" customHeight="1"/>
    <row r="413" ht="18.75" customHeight="1"/>
    <row r="414" ht="18.75" customHeight="1"/>
    <row r="415" ht="18.75" customHeight="1"/>
    <row r="416" ht="18.75" customHeight="1"/>
    <row r="417" ht="18.75" customHeight="1"/>
    <row r="418" ht="18.75" customHeight="1"/>
    <row r="419" ht="18.75" customHeight="1"/>
    <row r="420" ht="18.75" customHeight="1"/>
    <row r="421" ht="18.75" customHeight="1"/>
    <row r="422" ht="18.75" customHeight="1"/>
    <row r="423" ht="18.75" customHeight="1"/>
    <row r="424" ht="18.75" customHeight="1"/>
    <row r="425" ht="18.75" customHeight="1"/>
    <row r="426" ht="18.75" customHeight="1"/>
    <row r="427" ht="18.75" customHeight="1"/>
    <row r="428" ht="18.75" customHeight="1"/>
    <row r="429" ht="18.75" customHeight="1"/>
    <row r="430" ht="18.75" customHeight="1"/>
    <row r="431" ht="18.75" customHeight="1"/>
    <row r="432" ht="18.75" customHeight="1"/>
    <row r="433" ht="18.75" customHeight="1"/>
    <row r="434" ht="18.75" customHeight="1"/>
    <row r="435" ht="18.75" customHeight="1"/>
    <row r="436" ht="18.75" customHeight="1"/>
    <row r="437" ht="18.75" customHeight="1"/>
    <row r="438" ht="18.75" customHeight="1"/>
    <row r="439" ht="18.75" customHeight="1"/>
    <row r="440" ht="18.75" customHeight="1"/>
    <row r="441" ht="18.75" customHeight="1"/>
    <row r="442" ht="18.75" customHeight="1"/>
    <row r="443" ht="18.75" customHeight="1"/>
    <row r="444" ht="18.75" customHeight="1"/>
    <row r="445" ht="18.75" customHeight="1"/>
    <row r="446" ht="18.75" customHeight="1"/>
    <row r="447" ht="18.75" customHeight="1"/>
    <row r="448" ht="18.75" customHeight="1"/>
    <row r="449" ht="18.75" customHeight="1"/>
    <row r="450" ht="18.75" customHeight="1"/>
    <row r="451" ht="18.75" customHeight="1"/>
    <row r="452" ht="18.75" customHeight="1"/>
    <row r="453" ht="18.75" customHeight="1"/>
    <row r="454" ht="18.75" customHeight="1"/>
    <row r="455" ht="18.75" customHeight="1"/>
    <row r="456" ht="18.75" customHeight="1"/>
    <row r="457" ht="18.75" customHeight="1"/>
    <row r="458" ht="18.75" customHeight="1"/>
    <row r="459" ht="18.75" customHeight="1"/>
    <row r="460" ht="18.75" customHeight="1"/>
    <row r="461" ht="18.75" customHeight="1"/>
    <row r="462" ht="18.75" customHeight="1"/>
    <row r="463" ht="18.75" customHeight="1"/>
    <row r="464" ht="18.75" customHeight="1"/>
    <row r="465" ht="18.75" customHeight="1"/>
    <row r="466" ht="18.75" customHeight="1"/>
    <row r="467" ht="18.75" customHeight="1"/>
    <row r="468" ht="18.75" customHeight="1"/>
    <row r="469" ht="18.75" customHeight="1"/>
    <row r="470" ht="18.75" customHeight="1"/>
    <row r="471" ht="18.75" customHeight="1"/>
    <row r="472" ht="18.75" customHeight="1"/>
    <row r="473" ht="18.75" customHeight="1"/>
    <row r="474" ht="18.75" customHeight="1"/>
    <row r="475" ht="18.75" customHeight="1"/>
    <row r="476" ht="18.75" customHeight="1"/>
    <row r="477" ht="18.75" customHeight="1"/>
    <row r="478" ht="18.75" customHeight="1"/>
    <row r="479" ht="18.75" customHeight="1"/>
    <row r="480" ht="18.75" customHeight="1"/>
    <row r="481" ht="18.75" customHeight="1"/>
    <row r="482" ht="18.75" customHeight="1"/>
    <row r="483" ht="18.75" customHeight="1"/>
    <row r="484" ht="18.75" customHeight="1"/>
    <row r="485" ht="18.75" customHeight="1"/>
    <row r="486" ht="18.75" customHeight="1"/>
    <row r="487" ht="18.75" customHeight="1"/>
    <row r="488" ht="18.75" customHeight="1"/>
    <row r="489" ht="18.75" customHeight="1"/>
    <row r="490" ht="18.75" customHeight="1"/>
    <row r="491" ht="18.75" customHeight="1"/>
    <row r="492" ht="18.75" customHeight="1"/>
    <row r="493" ht="18.75" customHeight="1"/>
    <row r="494" ht="18.75" customHeight="1"/>
    <row r="495" ht="18.75" customHeight="1"/>
    <row r="496" ht="18.75" customHeight="1"/>
    <row r="497" ht="18.75" customHeight="1"/>
    <row r="498" ht="18.75" customHeight="1"/>
    <row r="499" ht="18.75" customHeight="1"/>
    <row r="500" ht="18.75" customHeight="1"/>
    <row r="501" ht="18.75" customHeight="1"/>
    <row r="502" ht="18.75" customHeight="1"/>
    <row r="503" ht="18.75" customHeight="1"/>
    <row r="504" ht="18.75" customHeight="1"/>
    <row r="505" ht="18.75" customHeight="1"/>
    <row r="506" ht="18.75" customHeight="1"/>
    <row r="507" ht="18.75" customHeight="1"/>
    <row r="508" ht="18.75" customHeight="1"/>
    <row r="509" ht="18.75" customHeight="1"/>
    <row r="510" ht="18.75" customHeight="1"/>
    <row r="511" ht="18.75" customHeight="1"/>
    <row r="512" ht="18.75" customHeight="1"/>
    <row r="513" ht="18.75" customHeight="1"/>
    <row r="514" ht="18.75" customHeight="1"/>
    <row r="515" ht="18.75" customHeight="1"/>
    <row r="516" ht="18.75" customHeight="1"/>
    <row r="517" ht="18.75" customHeight="1"/>
    <row r="518" ht="18.75" customHeight="1"/>
    <row r="519" ht="18.75" customHeight="1"/>
    <row r="520" ht="18.75" customHeight="1"/>
    <row r="521" ht="18.75" customHeight="1"/>
    <row r="522" ht="18.75" customHeight="1"/>
    <row r="523" ht="18.75" customHeight="1"/>
    <row r="524" ht="18.75" customHeight="1"/>
    <row r="525" ht="18.75" customHeight="1"/>
    <row r="526" ht="18.75" customHeight="1"/>
    <row r="527" ht="18.75" customHeight="1"/>
    <row r="528" ht="18.75" customHeight="1"/>
    <row r="529" ht="18.75" customHeight="1"/>
    <row r="530" ht="18.75" customHeight="1"/>
    <row r="531" ht="18.75" customHeight="1"/>
    <row r="532" ht="18.75" customHeight="1"/>
    <row r="533" ht="18.75" customHeight="1"/>
    <row r="534" ht="18.75" customHeight="1"/>
    <row r="535" ht="18.75" customHeight="1"/>
    <row r="536" ht="18.75" customHeight="1"/>
    <row r="537" ht="18.75" customHeight="1"/>
    <row r="538" ht="18.75" customHeight="1"/>
    <row r="539" ht="18.75" customHeight="1"/>
    <row r="540" ht="18.75" customHeight="1"/>
    <row r="541" ht="18.75" customHeight="1"/>
    <row r="542" ht="18.75" customHeight="1"/>
    <row r="543" ht="18.75" customHeight="1"/>
    <row r="544" ht="18.75" customHeight="1"/>
    <row r="545" ht="18.75" customHeight="1"/>
    <row r="546" ht="18.75" customHeight="1"/>
    <row r="547" ht="18.75" customHeight="1"/>
    <row r="548" ht="18.75" customHeight="1"/>
    <row r="549" ht="18.75" customHeight="1"/>
    <row r="550" ht="18.75" customHeight="1"/>
    <row r="551" ht="18.75" customHeight="1"/>
    <row r="552" ht="18.75" customHeight="1"/>
    <row r="553" ht="18.75" customHeight="1"/>
    <row r="554" ht="18.75" customHeight="1"/>
    <row r="555" ht="18.75" customHeight="1"/>
    <row r="556" ht="18.75" customHeight="1"/>
    <row r="557" ht="18.75" customHeight="1"/>
    <row r="558" ht="18.75" customHeight="1"/>
    <row r="559" ht="18.75" customHeight="1"/>
    <row r="560" ht="18.75" customHeight="1"/>
    <row r="561" ht="18.75" customHeight="1"/>
    <row r="562" ht="18.75" customHeight="1"/>
    <row r="563" ht="18.75" customHeight="1"/>
    <row r="564" ht="18.75" customHeight="1"/>
    <row r="565" ht="18.75" customHeight="1"/>
    <row r="566" ht="18.75" customHeight="1"/>
    <row r="567" ht="18.75" customHeight="1"/>
    <row r="568" ht="18.75" customHeight="1"/>
    <row r="569" ht="18.75" customHeight="1"/>
    <row r="570" ht="18.75" customHeight="1"/>
    <row r="571" ht="18.75" customHeight="1"/>
    <row r="572" ht="18.75" customHeight="1"/>
    <row r="573" ht="18.75" customHeight="1"/>
    <row r="574" ht="18.75" customHeight="1"/>
    <row r="575" ht="18.75" customHeight="1"/>
    <row r="576" ht="18.75" customHeight="1"/>
    <row r="577" ht="18.75" customHeight="1"/>
    <row r="578" ht="18.75" customHeight="1"/>
    <row r="579" ht="18.75" customHeight="1"/>
    <row r="580" ht="18.75" customHeight="1"/>
    <row r="581" ht="18.75" customHeight="1"/>
    <row r="582" ht="18.75" customHeight="1"/>
    <row r="583" ht="18.75" customHeight="1"/>
    <row r="584" ht="18.75" customHeight="1"/>
    <row r="585" ht="18.75" customHeight="1"/>
    <row r="586" ht="18.75" customHeight="1"/>
    <row r="587" ht="18.75" customHeight="1"/>
    <row r="588" ht="18.75" customHeight="1"/>
    <row r="589" ht="18.75" customHeight="1"/>
    <row r="590" ht="18.75" customHeight="1"/>
    <row r="591" ht="18.75" customHeight="1"/>
    <row r="592" ht="18.75" customHeight="1"/>
    <row r="593" ht="18.75" customHeight="1"/>
    <row r="594" ht="18.75" customHeight="1"/>
    <row r="595" ht="18.75" customHeight="1"/>
    <row r="596" ht="18.75" customHeight="1"/>
    <row r="597" ht="18.75" customHeight="1"/>
    <row r="598" ht="18.75" customHeight="1"/>
    <row r="599" ht="18.75" customHeight="1"/>
    <row r="600" ht="18.75" customHeight="1"/>
    <row r="601" ht="18.75" customHeight="1"/>
    <row r="602" ht="18.75" customHeight="1"/>
    <row r="603" ht="18.75" customHeight="1"/>
    <row r="604" ht="18.75" customHeight="1"/>
    <row r="605" ht="18.75" customHeight="1"/>
    <row r="606" ht="18.75" customHeight="1"/>
    <row r="607" ht="18.75" customHeight="1"/>
    <row r="608" ht="18.75" customHeight="1"/>
    <row r="609" ht="18.75" customHeight="1"/>
    <row r="610" ht="18.75" customHeight="1"/>
    <row r="611" ht="18.75" customHeight="1"/>
    <row r="612" ht="18.75" customHeight="1"/>
    <row r="613" ht="18.75" customHeight="1"/>
    <row r="614" ht="18.75" customHeight="1"/>
    <row r="615" ht="18.75" customHeight="1"/>
    <row r="616" ht="18.75" customHeight="1"/>
    <row r="617" ht="18.75" customHeight="1"/>
    <row r="618" ht="18.75" customHeight="1"/>
    <row r="619" ht="18.75" customHeight="1"/>
    <row r="620" ht="18.75" customHeight="1"/>
    <row r="621" ht="18.75" customHeight="1"/>
    <row r="622" ht="18.75" customHeight="1"/>
    <row r="623" ht="18.75" customHeight="1"/>
    <row r="624" ht="18.75" customHeight="1"/>
    <row r="625" ht="18.75" customHeight="1"/>
    <row r="626" ht="18.75" customHeight="1"/>
    <row r="627" ht="18.75" customHeight="1"/>
    <row r="628" ht="18.75" customHeight="1"/>
    <row r="629" ht="18.75" customHeight="1"/>
    <row r="630" ht="18.75" customHeight="1"/>
    <row r="631" ht="18.75" customHeight="1"/>
    <row r="632" ht="18.75" customHeight="1"/>
    <row r="633" ht="18.75" customHeight="1"/>
    <row r="634" ht="18.75" customHeight="1"/>
    <row r="635" ht="18.75" customHeight="1"/>
    <row r="636" ht="18.75" customHeight="1"/>
    <row r="637" ht="18.75" customHeight="1"/>
    <row r="638" ht="18.75" customHeight="1"/>
    <row r="639" ht="18.75" customHeight="1"/>
    <row r="640" ht="18.75" customHeight="1"/>
    <row r="641" ht="18.75" customHeight="1"/>
    <row r="642" ht="18.75" customHeight="1"/>
    <row r="643" ht="18.75" customHeight="1"/>
    <row r="644" ht="18.75" customHeight="1"/>
    <row r="645" ht="18.75" customHeight="1"/>
    <row r="646" ht="18.75" customHeight="1"/>
    <row r="647" ht="18.75" customHeight="1"/>
    <row r="648" ht="18.75" customHeight="1"/>
    <row r="649" ht="18.75" customHeight="1"/>
    <row r="650" ht="18.75" customHeight="1"/>
    <row r="651" ht="18.75" customHeight="1"/>
    <row r="652" ht="18.75" customHeight="1"/>
    <row r="653" ht="18.75" customHeight="1"/>
    <row r="654" ht="18.75" customHeight="1"/>
    <row r="655" ht="18.75" customHeight="1"/>
    <row r="656" ht="18.75" customHeight="1"/>
    <row r="657" ht="18.75" customHeight="1"/>
    <row r="658" ht="18.75" customHeight="1"/>
    <row r="659" ht="18.75" customHeight="1"/>
    <row r="660" ht="18.75" customHeight="1"/>
    <row r="661" ht="18.75" customHeight="1"/>
    <row r="662" ht="18.75" customHeight="1"/>
    <row r="663" ht="18.75" customHeight="1"/>
    <row r="664" ht="18.75" customHeight="1"/>
    <row r="665" ht="18.75" customHeight="1"/>
    <row r="666" ht="18.75" customHeight="1"/>
    <row r="667" ht="18.75" customHeight="1"/>
    <row r="668" ht="18.75" customHeight="1"/>
    <row r="669" ht="18.75" customHeight="1"/>
    <row r="670" ht="18.75" customHeight="1"/>
    <row r="671" ht="18.75" customHeight="1"/>
    <row r="672" ht="18.75" customHeight="1"/>
    <row r="673" ht="18.75" customHeight="1"/>
    <row r="674" ht="18.75" customHeight="1"/>
    <row r="675" ht="18.75" customHeight="1"/>
    <row r="676" ht="18.75" customHeight="1"/>
    <row r="677" ht="18.75" customHeight="1"/>
    <row r="678" ht="18.75" customHeight="1"/>
    <row r="679" ht="18.75" customHeight="1"/>
    <row r="680" ht="18.75" customHeight="1"/>
    <row r="681" ht="18.75" customHeight="1"/>
    <row r="682" ht="18.75" customHeight="1"/>
    <row r="683" ht="18.75" customHeight="1"/>
    <row r="684" ht="18.75" customHeight="1"/>
    <row r="685" ht="18.75" customHeight="1"/>
    <row r="686" ht="18.75" customHeight="1"/>
    <row r="687" ht="18.75" customHeight="1"/>
    <row r="688" ht="18.75" customHeight="1"/>
    <row r="689" ht="18.75" customHeight="1"/>
    <row r="690" ht="18.75" customHeight="1"/>
    <row r="691" ht="18.75" customHeight="1"/>
    <row r="692" ht="18.75" customHeight="1"/>
    <row r="693" ht="18.75" customHeight="1"/>
    <row r="694" ht="18.75" customHeight="1"/>
    <row r="695" ht="18.75" customHeight="1"/>
    <row r="696" ht="18.75" customHeight="1"/>
    <row r="697" ht="18.75" customHeight="1"/>
    <row r="698" ht="18.75" customHeight="1"/>
    <row r="699" ht="18.75" customHeight="1"/>
    <row r="700" ht="18.75" customHeight="1"/>
    <row r="701" ht="18.75" customHeight="1"/>
    <row r="702" ht="18.75" customHeight="1"/>
    <row r="703" ht="18.75" customHeight="1"/>
    <row r="704" ht="18.75" customHeight="1"/>
    <row r="705" ht="18.75" customHeight="1"/>
    <row r="706" ht="18.75" customHeight="1"/>
    <row r="707" ht="18.75" customHeight="1"/>
    <row r="708" ht="18.75" customHeight="1"/>
    <row r="709" ht="18.75" customHeight="1"/>
    <row r="710" ht="18.75" customHeight="1"/>
    <row r="711" ht="18.75" customHeight="1"/>
    <row r="712" ht="18.75" customHeight="1"/>
    <row r="713" ht="18.75" customHeight="1"/>
    <row r="714" ht="18.75" customHeight="1"/>
    <row r="715" ht="18.75" customHeight="1"/>
    <row r="716" ht="18.75" customHeight="1"/>
    <row r="717" ht="18.75" customHeight="1"/>
    <row r="718" ht="18.75" customHeight="1"/>
    <row r="719" ht="18.75" customHeight="1"/>
    <row r="720" ht="18.75" customHeight="1"/>
    <row r="721" ht="18.75" customHeight="1"/>
    <row r="722" ht="18.75" customHeight="1"/>
    <row r="723" ht="18.75" customHeight="1"/>
    <row r="724" ht="18.75" customHeight="1"/>
    <row r="725" ht="18.75" customHeight="1"/>
    <row r="726" ht="18.75" customHeight="1"/>
    <row r="727" ht="18.75" customHeight="1"/>
    <row r="728" ht="18.75" customHeight="1"/>
    <row r="729" ht="18.75" customHeight="1"/>
    <row r="730" ht="18.75" customHeight="1"/>
    <row r="731" ht="18.75" customHeight="1"/>
    <row r="732" ht="18.75" customHeight="1"/>
    <row r="733" ht="18.75" customHeight="1"/>
    <row r="734" ht="18.75" customHeight="1"/>
    <row r="735" ht="18.75" customHeight="1"/>
    <row r="736" ht="18.75" customHeight="1"/>
    <row r="737" ht="18.75" customHeight="1"/>
    <row r="738" ht="18.75" customHeight="1"/>
    <row r="739" ht="18.75" customHeight="1"/>
    <row r="740" ht="18.75" customHeight="1"/>
    <row r="741" ht="18.75" customHeight="1"/>
    <row r="742" ht="18.75" customHeight="1"/>
    <row r="743" ht="18.75" customHeight="1"/>
    <row r="744" ht="18.75" customHeight="1"/>
    <row r="745" ht="18.75" customHeight="1"/>
    <row r="746" ht="18.75" customHeight="1"/>
    <row r="747" ht="18.75" customHeight="1"/>
    <row r="748" ht="18.75" customHeight="1"/>
    <row r="749" ht="18.75" customHeight="1"/>
    <row r="750" ht="18.75" customHeight="1"/>
    <row r="751" ht="18.75" customHeight="1"/>
    <row r="752" ht="18.75" customHeight="1"/>
    <row r="753" ht="18.75" customHeight="1"/>
    <row r="754" ht="18.75" customHeight="1"/>
    <row r="755" ht="18.75" customHeight="1"/>
    <row r="756" ht="18.75" customHeight="1"/>
    <row r="757" ht="18.75" customHeight="1"/>
    <row r="758" ht="18.75" customHeight="1"/>
    <row r="759" ht="18.75" customHeight="1"/>
    <row r="760" ht="18.75" customHeight="1"/>
    <row r="761" ht="18.75" customHeight="1"/>
    <row r="762" ht="18.75" customHeight="1"/>
    <row r="763" ht="18.75" customHeight="1"/>
    <row r="764" ht="18.75" customHeight="1"/>
    <row r="765" ht="18.75" customHeight="1"/>
    <row r="766" ht="18.75" customHeight="1"/>
    <row r="767" ht="18.75" customHeight="1"/>
    <row r="768" ht="18.75" customHeight="1"/>
    <row r="769" ht="18.75" customHeight="1"/>
    <row r="770" ht="18.75" customHeight="1"/>
    <row r="771" ht="18.75" customHeight="1"/>
    <row r="772" ht="18.75" customHeight="1"/>
    <row r="773" ht="18.75" customHeight="1"/>
    <row r="774" ht="18.75" customHeight="1"/>
    <row r="775" ht="18.75" customHeight="1"/>
    <row r="776" ht="18.75" customHeight="1"/>
    <row r="777" ht="18.75" customHeight="1"/>
    <row r="778" ht="18.75" customHeight="1"/>
    <row r="779" ht="18.75" customHeight="1"/>
    <row r="780" ht="18.75" customHeight="1"/>
    <row r="781" ht="18.75" customHeight="1"/>
    <row r="782" ht="18.75" customHeight="1"/>
    <row r="783" ht="18.75" customHeight="1"/>
    <row r="784" ht="18.75" customHeight="1"/>
    <row r="785" ht="18.75" customHeight="1"/>
    <row r="786" ht="18.75" customHeight="1"/>
    <row r="787" ht="18.75" customHeight="1"/>
    <row r="788" ht="18.75" customHeight="1"/>
    <row r="789" ht="18.75" customHeight="1"/>
    <row r="790" ht="18.75" customHeight="1"/>
    <row r="791" ht="18.75" customHeight="1"/>
    <row r="792" ht="18.75" customHeight="1"/>
    <row r="793" ht="18.75" customHeight="1"/>
    <row r="794" ht="18.75" customHeight="1"/>
    <row r="795" ht="18.75" customHeight="1"/>
    <row r="796" ht="18.75" customHeight="1"/>
    <row r="797" ht="18.75" customHeight="1"/>
    <row r="798" ht="18.75" customHeight="1"/>
    <row r="799" ht="18.75" customHeight="1"/>
    <row r="800" ht="18.75" customHeight="1"/>
    <row r="801" ht="18.75" customHeight="1"/>
    <row r="802" ht="18.75" customHeight="1"/>
    <row r="803" ht="18.75" customHeight="1"/>
    <row r="804" ht="18.75" customHeight="1"/>
    <row r="805" ht="18.75" customHeight="1"/>
    <row r="806" ht="18.75" customHeight="1"/>
    <row r="807" ht="18.75" customHeight="1"/>
    <row r="808" ht="18.75" customHeight="1"/>
    <row r="809" ht="18.75" customHeight="1"/>
    <row r="810" ht="18.75" customHeight="1"/>
    <row r="811" ht="18.75" customHeight="1"/>
    <row r="812" ht="18.75" customHeight="1"/>
    <row r="813" ht="18.75" customHeight="1"/>
    <row r="814" ht="18.75" customHeight="1"/>
    <row r="815" ht="18.75" customHeight="1"/>
    <row r="816" ht="18.75" customHeight="1"/>
    <row r="817" ht="18.75" customHeight="1"/>
    <row r="818" ht="18.75" customHeight="1"/>
    <row r="819" ht="18.75" customHeight="1"/>
    <row r="820" ht="18.75" customHeight="1"/>
    <row r="821" ht="18.75" customHeight="1"/>
    <row r="822" ht="18.75" customHeight="1"/>
    <row r="823" ht="18.75" customHeight="1"/>
    <row r="824" ht="18.75" customHeight="1"/>
    <row r="825" ht="18.75" customHeight="1"/>
    <row r="826" ht="18.75" customHeight="1"/>
    <row r="827" ht="18.75" customHeight="1"/>
    <row r="828" ht="18.75" customHeight="1"/>
    <row r="829" ht="18.75" customHeight="1"/>
    <row r="830" ht="18.75" customHeight="1"/>
    <row r="831" ht="18.75" customHeight="1"/>
    <row r="832" ht="18.75" customHeight="1"/>
    <row r="833" ht="18.75" customHeight="1"/>
    <row r="834" ht="18.75" customHeight="1"/>
    <row r="835" ht="18.75" customHeight="1"/>
    <row r="836" ht="18.75" customHeight="1"/>
    <row r="837" ht="18.75" customHeight="1"/>
    <row r="838" ht="18.75" customHeight="1"/>
    <row r="839" ht="18.75" customHeight="1"/>
    <row r="840" ht="18.75" customHeight="1"/>
    <row r="841" ht="18.75" customHeight="1"/>
    <row r="842" ht="18.75" customHeight="1"/>
    <row r="843" ht="18.75" customHeight="1"/>
    <row r="844" ht="18.75" customHeight="1"/>
    <row r="845" ht="18.75" customHeight="1"/>
    <row r="846" ht="18.75" customHeight="1"/>
    <row r="847" ht="18.75" customHeight="1"/>
    <row r="848" ht="18.75" customHeight="1"/>
    <row r="849" ht="18.75" customHeight="1"/>
    <row r="850" ht="18.75" customHeight="1"/>
    <row r="851" ht="18.75" customHeight="1"/>
    <row r="852" ht="18.75" customHeight="1"/>
    <row r="853" ht="18.75" customHeight="1"/>
    <row r="854" ht="18.75" customHeight="1"/>
    <row r="855" ht="18.75" customHeight="1"/>
    <row r="856" ht="18.75" customHeight="1"/>
    <row r="857" ht="18.75" customHeight="1"/>
    <row r="858" ht="18.75" customHeight="1"/>
    <row r="859" ht="18.75" customHeight="1"/>
    <row r="860" ht="18.75" customHeight="1"/>
    <row r="861" ht="18.75" customHeight="1"/>
    <row r="862" ht="18.75" customHeight="1"/>
    <row r="863" ht="18.75" customHeight="1"/>
    <row r="864" ht="18.75" customHeight="1"/>
    <row r="865" ht="18.75" customHeight="1"/>
    <row r="866" ht="18.75" customHeight="1"/>
    <row r="867" ht="18.75" customHeight="1"/>
    <row r="868" ht="18.75" customHeight="1"/>
    <row r="869" ht="18.75" customHeight="1"/>
    <row r="870" ht="18.75" customHeight="1"/>
    <row r="871" ht="18.75" customHeight="1"/>
    <row r="872" ht="18.75" customHeight="1"/>
    <row r="873" ht="18.75" customHeight="1"/>
    <row r="874" ht="18.75" customHeight="1"/>
    <row r="875" ht="18.75" customHeight="1"/>
    <row r="876" ht="18.75" customHeight="1"/>
    <row r="877" ht="18.75" customHeight="1"/>
    <row r="878" ht="18.75" customHeight="1"/>
    <row r="879" ht="18.75" customHeight="1"/>
    <row r="880" ht="18.75" customHeight="1"/>
    <row r="881" ht="18.75" customHeight="1"/>
    <row r="882" ht="18.75" customHeight="1"/>
    <row r="883" ht="18.75" customHeight="1"/>
    <row r="884" ht="18.75" customHeight="1"/>
    <row r="885" ht="18.75" customHeight="1"/>
    <row r="886" ht="18.75" customHeight="1"/>
    <row r="887" ht="18.75" customHeight="1"/>
    <row r="888" ht="18.75" customHeight="1"/>
    <row r="889" ht="18.75" customHeight="1"/>
    <row r="890" ht="18.75" customHeight="1"/>
    <row r="891" ht="18.75" customHeight="1"/>
    <row r="892" ht="18.75" customHeight="1"/>
    <row r="893" ht="18.75" customHeight="1"/>
    <row r="894" ht="18.75" customHeight="1"/>
    <row r="895" ht="18.75" customHeight="1"/>
    <row r="896" ht="18.75" customHeight="1"/>
    <row r="897" ht="18.75" customHeight="1"/>
    <row r="898" ht="18.75" customHeight="1"/>
    <row r="899" ht="18.75" customHeight="1"/>
    <row r="900" ht="18.75" customHeight="1"/>
    <row r="901" ht="18.75" customHeight="1"/>
    <row r="902" ht="18.75" customHeight="1"/>
    <row r="903" ht="18.75" customHeight="1"/>
    <row r="904" ht="18.75" customHeight="1"/>
    <row r="905" ht="18.75" customHeight="1"/>
    <row r="906" ht="18.75" customHeight="1"/>
    <row r="907" ht="18.75" customHeight="1"/>
    <row r="908" ht="18.75" customHeight="1"/>
    <row r="909" ht="18.75" customHeight="1"/>
    <row r="910" ht="18.75" customHeight="1"/>
    <row r="911" ht="18.75" customHeight="1"/>
    <row r="912" ht="18.75" customHeight="1"/>
    <row r="913" ht="18.75" customHeight="1"/>
    <row r="914" ht="18.75" customHeight="1"/>
    <row r="915" ht="18.75" customHeight="1"/>
    <row r="916" ht="18.75" customHeight="1"/>
    <row r="917" ht="18.75" customHeight="1"/>
    <row r="918" ht="18.75" customHeight="1"/>
    <row r="919" ht="18.75" customHeight="1"/>
    <row r="920" ht="18.75" customHeight="1"/>
    <row r="921" ht="18.75" customHeight="1"/>
    <row r="922" ht="18.75" customHeight="1"/>
    <row r="923" ht="18.75" customHeight="1"/>
    <row r="924" ht="18.75" customHeight="1"/>
    <row r="925" ht="18.75" customHeight="1"/>
    <row r="926" ht="18.75" customHeight="1"/>
    <row r="927" ht="18.75" customHeight="1"/>
    <row r="928" ht="18.75" customHeight="1"/>
    <row r="929" ht="18.75" customHeight="1"/>
    <row r="930" ht="18.75" customHeight="1"/>
    <row r="931" ht="18.75" customHeight="1"/>
    <row r="932" ht="18.75" customHeight="1"/>
    <row r="933" ht="18.75" customHeight="1"/>
    <row r="934" ht="18.75" customHeight="1"/>
    <row r="935" ht="18.75" customHeight="1"/>
    <row r="936" ht="18.75" customHeight="1"/>
    <row r="937" ht="18.75" customHeight="1"/>
    <row r="938" ht="18.75" customHeight="1"/>
    <row r="939" ht="18.75" customHeight="1"/>
    <row r="940" ht="18.75" customHeight="1"/>
    <row r="941" ht="18.75" customHeight="1"/>
    <row r="942" ht="18.75" customHeight="1"/>
    <row r="943" ht="18.75" customHeight="1"/>
    <row r="944" ht="18.75" customHeight="1"/>
    <row r="945" ht="18.75" customHeight="1"/>
    <row r="946" ht="18.75" customHeight="1"/>
    <row r="947" ht="18.75" customHeight="1"/>
    <row r="948" ht="18.75" customHeight="1"/>
    <row r="949" ht="18.75" customHeight="1"/>
    <row r="950" ht="18.75" customHeight="1"/>
    <row r="951" ht="18.75" customHeight="1"/>
    <row r="952" ht="18.75" customHeight="1"/>
    <row r="953" ht="18.75" customHeight="1"/>
    <row r="954" ht="18.75" customHeight="1"/>
    <row r="955" ht="18.75" customHeight="1"/>
    <row r="956" ht="18.75" customHeight="1"/>
    <row r="957" ht="18.75" customHeight="1"/>
    <row r="958" ht="18.75" customHeight="1"/>
    <row r="959" ht="18.75" customHeight="1"/>
    <row r="960" ht="18.75" customHeight="1"/>
    <row r="961" ht="18.75" customHeight="1"/>
    <row r="962" ht="18.75" customHeight="1"/>
    <row r="963" ht="18.75" customHeight="1"/>
    <row r="964" ht="18.75" customHeight="1"/>
    <row r="965" ht="18.75" customHeight="1"/>
    <row r="966" ht="18.75" customHeight="1"/>
    <row r="967" ht="18.75" customHeight="1"/>
    <row r="968" ht="18.75" customHeight="1"/>
    <row r="969" ht="18.75" customHeight="1"/>
    <row r="970" ht="18.75" customHeight="1"/>
    <row r="971" ht="18.75" customHeight="1"/>
    <row r="972" ht="18.75" customHeight="1"/>
    <row r="973" ht="18.75" customHeight="1"/>
    <row r="974" ht="18.75" customHeight="1"/>
    <row r="975" ht="18.75" customHeight="1"/>
    <row r="976" ht="18.75" customHeight="1"/>
    <row r="977" ht="18.75" customHeight="1"/>
    <row r="978" ht="18.75" customHeight="1"/>
    <row r="979" ht="18.75" customHeight="1"/>
    <row r="980" ht="18.75" customHeight="1"/>
    <row r="981" ht="18.75" customHeight="1"/>
    <row r="982" ht="18.75" customHeight="1"/>
    <row r="983" ht="18.75" customHeight="1"/>
    <row r="984" ht="18.75" customHeight="1"/>
    <row r="985" ht="18.75" customHeight="1"/>
    <row r="986" ht="18.75" customHeight="1"/>
    <row r="987" ht="18.75" customHeight="1"/>
    <row r="988" ht="18.75" customHeight="1"/>
    <row r="989" ht="18.75" customHeight="1"/>
    <row r="990" ht="18.75" customHeight="1"/>
    <row r="991" ht="18.75" customHeight="1"/>
    <row r="992" ht="18.75" customHeight="1"/>
    <row r="993" ht="18.75" customHeight="1"/>
    <row r="994" ht="18.75" customHeight="1"/>
    <row r="995" ht="18.75" customHeight="1"/>
    <row r="996" ht="18.75" customHeight="1"/>
    <row r="997" ht="18.75" customHeight="1"/>
    <row r="998" ht="18.75" customHeight="1"/>
    <row r="999" ht="18.75" customHeight="1"/>
    <row r="1000" ht="18.75" customHeight="1"/>
  </sheetData>
  <printOptions/>
  <pageMargins bottom="0.75" footer="0.0" header="0.0" left="0.7" right="0.7" top="0.75"/>
  <pageSetup orientation="landscape"/>
  <drawing r:id="rId2"/>
  <legacyDrawing r:id="rId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5"/>
    <col customWidth="1" min="2" max="3" width="7.13"/>
    <col customWidth="1" min="4" max="4" width="10.75"/>
    <col customWidth="1" min="5" max="5" width="34.0"/>
    <col customWidth="1" min="6" max="6" width="13.38"/>
    <col customWidth="1" min="7" max="7" width="11.88"/>
    <col customWidth="1" min="8" max="8" width="17.75"/>
    <col customWidth="1" min="9" max="9" width="41.38"/>
    <col customWidth="1" min="10" max="10" width="31.0"/>
    <col customWidth="1" min="11" max="11" width="11.38"/>
    <col customWidth="1" min="12" max="12" width="17.63"/>
    <col customWidth="1" min="13" max="13" width="24.0"/>
    <col customWidth="1" min="14" max="14" width="45.13"/>
    <col customWidth="1" min="15" max="15" width="12.63"/>
    <col customWidth="1" min="16" max="16" width="9.0"/>
    <col customWidth="1" min="17" max="17" width="14.5"/>
    <col customWidth="1" min="18" max="19" width="7.13"/>
    <col customWidth="1" min="20" max="20" width="45.0"/>
    <col customWidth="1" min="21" max="21" width="28.75"/>
    <col customWidth="1" min="22" max="29" width="18.88"/>
  </cols>
  <sheetData>
    <row r="1">
      <c r="A1" s="179" t="s">
        <v>2561</v>
      </c>
      <c r="B1" s="179" t="s">
        <v>3846</v>
      </c>
      <c r="C1" s="179" t="s">
        <v>3659</v>
      </c>
      <c r="D1" s="179" t="s">
        <v>5144</v>
      </c>
      <c r="E1" s="179" t="s">
        <v>3024</v>
      </c>
      <c r="F1" s="179" t="s">
        <v>5145</v>
      </c>
      <c r="G1" s="179" t="s">
        <v>4155</v>
      </c>
      <c r="H1" s="179" t="s">
        <v>5146</v>
      </c>
      <c r="I1" s="179" t="s">
        <v>5147</v>
      </c>
      <c r="J1" s="179" t="s">
        <v>4473</v>
      </c>
      <c r="K1" s="179" t="s">
        <v>5148</v>
      </c>
      <c r="L1" s="179" t="s">
        <v>5149</v>
      </c>
      <c r="M1" s="179" t="s">
        <v>8</v>
      </c>
      <c r="N1" s="179" t="s">
        <v>5150</v>
      </c>
      <c r="O1" s="179" t="s">
        <v>5151</v>
      </c>
      <c r="P1" s="179" t="s">
        <v>5152</v>
      </c>
      <c r="Q1" s="179" t="s">
        <v>5153</v>
      </c>
      <c r="R1" s="179" t="s">
        <v>5154</v>
      </c>
      <c r="S1" s="179" t="s">
        <v>5155</v>
      </c>
      <c r="T1" s="179" t="s">
        <v>3326</v>
      </c>
      <c r="U1" s="179" t="s">
        <v>3331</v>
      </c>
      <c r="V1" s="180" t="s">
        <v>5156</v>
      </c>
      <c r="W1" s="180" t="s">
        <v>5157</v>
      </c>
      <c r="X1" s="180" t="s">
        <v>5158</v>
      </c>
      <c r="Y1" s="180" t="s">
        <v>5159</v>
      </c>
      <c r="Z1" s="180" t="s">
        <v>5160</v>
      </c>
      <c r="AA1" s="180" t="s">
        <v>5161</v>
      </c>
      <c r="AB1" s="180" t="s">
        <v>5162</v>
      </c>
      <c r="AC1" s="180" t="s">
        <v>5163</v>
      </c>
    </row>
    <row r="2">
      <c r="A2" s="181" t="s">
        <v>5164</v>
      </c>
      <c r="B2" s="181" t="s">
        <v>5165</v>
      </c>
      <c r="C2" s="181" t="s">
        <v>5166</v>
      </c>
      <c r="D2" s="181" t="s">
        <v>5167</v>
      </c>
      <c r="E2" s="181" t="s">
        <v>5168</v>
      </c>
      <c r="F2" s="181" t="s">
        <v>5169</v>
      </c>
      <c r="G2" s="181" t="s">
        <v>5170</v>
      </c>
      <c r="H2" s="181" t="s">
        <v>5171</v>
      </c>
      <c r="I2" s="181" t="s">
        <v>5172</v>
      </c>
      <c r="J2" s="181" t="s">
        <v>5173</v>
      </c>
      <c r="K2" s="181" t="s">
        <v>5174</v>
      </c>
      <c r="L2" s="181" t="s">
        <v>5175</v>
      </c>
      <c r="M2" s="181" t="s">
        <v>5176</v>
      </c>
      <c r="N2" s="181" t="s">
        <v>5177</v>
      </c>
      <c r="O2" s="181">
        <v>10.0</v>
      </c>
      <c r="P2" s="181" t="b">
        <v>1</v>
      </c>
      <c r="Q2" s="181">
        <v>5.0</v>
      </c>
      <c r="R2" s="181" t="s">
        <v>29</v>
      </c>
      <c r="S2" s="181" t="s">
        <v>29</v>
      </c>
      <c r="T2" s="181" t="s">
        <v>5178</v>
      </c>
      <c r="U2" s="181" t="s">
        <v>5179</v>
      </c>
      <c r="V2" s="181"/>
      <c r="W2" s="181"/>
      <c r="X2" s="181"/>
      <c r="Y2" s="181"/>
      <c r="Z2" s="181"/>
      <c r="AA2" s="181"/>
      <c r="AB2" s="181"/>
      <c r="AC2" s="181"/>
    </row>
    <row r="3">
      <c r="A3" s="181" t="s">
        <v>5180</v>
      </c>
      <c r="B3" s="181" t="s">
        <v>5165</v>
      </c>
      <c r="C3" s="181" t="s">
        <v>5166</v>
      </c>
      <c r="D3" s="181" t="s">
        <v>5167</v>
      </c>
      <c r="E3" s="181" t="s">
        <v>5181</v>
      </c>
      <c r="F3" s="181" t="s">
        <v>5169</v>
      </c>
      <c r="G3" s="181" t="s">
        <v>29</v>
      </c>
      <c r="H3" s="181" t="s">
        <v>5182</v>
      </c>
      <c r="I3" s="181" t="s">
        <v>5183</v>
      </c>
      <c r="J3" s="181" t="s">
        <v>5184</v>
      </c>
      <c r="K3" s="181" t="s">
        <v>29</v>
      </c>
      <c r="L3" s="181" t="s">
        <v>5175</v>
      </c>
      <c r="M3" s="181" t="s">
        <v>5185</v>
      </c>
      <c r="N3" s="181" t="s">
        <v>5186</v>
      </c>
      <c r="O3" s="181">
        <v>15.0</v>
      </c>
      <c r="P3" s="181" t="b">
        <v>1</v>
      </c>
      <c r="Q3" s="181">
        <v>5.0</v>
      </c>
      <c r="R3" s="181" t="s">
        <v>29</v>
      </c>
      <c r="S3" s="181" t="s">
        <v>29</v>
      </c>
      <c r="T3" s="181" t="s">
        <v>5187</v>
      </c>
      <c r="U3" s="181" t="s">
        <v>5188</v>
      </c>
      <c r="V3" s="181"/>
      <c r="W3" s="181"/>
      <c r="X3" s="181"/>
      <c r="Y3" s="181"/>
      <c r="Z3" s="181"/>
      <c r="AA3" s="181"/>
      <c r="AB3" s="181"/>
      <c r="AC3" s="181"/>
    </row>
    <row r="4">
      <c r="A4" s="181" t="s">
        <v>5189</v>
      </c>
      <c r="B4" s="181" t="s">
        <v>5165</v>
      </c>
      <c r="C4" s="181" t="s">
        <v>5166</v>
      </c>
      <c r="D4" s="181" t="s">
        <v>5190</v>
      </c>
      <c r="E4" s="181" t="s">
        <v>5191</v>
      </c>
      <c r="F4" s="181" t="s">
        <v>5169</v>
      </c>
      <c r="G4" s="181" t="s">
        <v>29</v>
      </c>
      <c r="H4" s="181" t="s">
        <v>5192</v>
      </c>
      <c r="I4" s="181" t="s">
        <v>5193</v>
      </c>
      <c r="J4" s="181" t="s">
        <v>5194</v>
      </c>
      <c r="K4" s="181" t="s">
        <v>29</v>
      </c>
      <c r="L4" s="181" t="s">
        <v>29</v>
      </c>
      <c r="M4" s="181" t="s">
        <v>5195</v>
      </c>
      <c r="N4" s="181" t="s">
        <v>29</v>
      </c>
      <c r="O4" s="181" t="s">
        <v>29</v>
      </c>
      <c r="P4" s="181" t="b">
        <v>0</v>
      </c>
      <c r="Q4" s="181" t="s">
        <v>29</v>
      </c>
      <c r="R4" s="181">
        <v>5.0</v>
      </c>
      <c r="S4" s="181">
        <v>3.0</v>
      </c>
      <c r="T4" s="181" t="s">
        <v>5196</v>
      </c>
      <c r="U4" s="181" t="s">
        <v>5197</v>
      </c>
      <c r="V4" s="181"/>
      <c r="W4" s="181"/>
      <c r="X4" s="181"/>
      <c r="Y4" s="181"/>
      <c r="Z4" s="181"/>
      <c r="AA4" s="181"/>
      <c r="AB4" s="181"/>
      <c r="AC4" s="181"/>
    </row>
    <row r="5">
      <c r="A5" s="181" t="s">
        <v>5198</v>
      </c>
      <c r="B5" s="181" t="s">
        <v>5165</v>
      </c>
      <c r="C5" s="181" t="s">
        <v>5166</v>
      </c>
      <c r="D5" s="181" t="s">
        <v>5167</v>
      </c>
      <c r="E5" s="181" t="s">
        <v>5199</v>
      </c>
      <c r="F5" s="181" t="s">
        <v>5169</v>
      </c>
      <c r="G5" s="181" t="s">
        <v>5200</v>
      </c>
      <c r="H5" s="181" t="s">
        <v>5171</v>
      </c>
      <c r="I5" s="181" t="s">
        <v>5201</v>
      </c>
      <c r="J5" s="181" t="s">
        <v>5202</v>
      </c>
      <c r="K5" s="181" t="s">
        <v>5203</v>
      </c>
      <c r="L5" s="181" t="s">
        <v>5204</v>
      </c>
      <c r="M5" s="181" t="s">
        <v>5205</v>
      </c>
      <c r="N5" s="181" t="s">
        <v>5206</v>
      </c>
      <c r="O5" s="181">
        <v>10.0</v>
      </c>
      <c r="P5" s="181" t="b">
        <v>1</v>
      </c>
      <c r="Q5" s="181">
        <v>5.0</v>
      </c>
      <c r="R5" s="181" t="s">
        <v>29</v>
      </c>
      <c r="S5" s="181" t="s">
        <v>29</v>
      </c>
      <c r="T5" s="181" t="s">
        <v>5207</v>
      </c>
      <c r="U5" s="181" t="s">
        <v>5208</v>
      </c>
      <c r="V5" s="181"/>
      <c r="W5" s="181"/>
      <c r="X5" s="181"/>
      <c r="Y5" s="181"/>
      <c r="Z5" s="181"/>
      <c r="AA5" s="181"/>
      <c r="AB5" s="181"/>
      <c r="AC5" s="181"/>
    </row>
    <row r="6">
      <c r="A6" s="181" t="s">
        <v>5209</v>
      </c>
      <c r="B6" s="182" t="s">
        <v>5210</v>
      </c>
      <c r="C6" s="181" t="s">
        <v>5166</v>
      </c>
      <c r="D6" s="181" t="s">
        <v>5167</v>
      </c>
      <c r="E6" s="181" t="s">
        <v>5211</v>
      </c>
      <c r="F6" s="181" t="s">
        <v>5169</v>
      </c>
      <c r="G6" s="181" t="s">
        <v>29</v>
      </c>
      <c r="H6" s="181" t="s">
        <v>5171</v>
      </c>
      <c r="I6" s="181" t="s">
        <v>5212</v>
      </c>
      <c r="J6" s="181" t="s">
        <v>5213</v>
      </c>
      <c r="K6" s="181" t="s">
        <v>5214</v>
      </c>
      <c r="L6" s="181" t="s">
        <v>5175</v>
      </c>
      <c r="M6" s="181" t="s">
        <v>5215</v>
      </c>
      <c r="N6" s="181" t="s">
        <v>5216</v>
      </c>
      <c r="O6" s="181">
        <v>15.0</v>
      </c>
      <c r="P6" s="181" t="b">
        <v>1</v>
      </c>
      <c r="Q6" s="181">
        <v>5.0</v>
      </c>
      <c r="R6" s="181" t="s">
        <v>29</v>
      </c>
      <c r="S6" s="181" t="s">
        <v>29</v>
      </c>
      <c r="T6" s="181" t="s">
        <v>5217</v>
      </c>
      <c r="U6" s="181" t="s">
        <v>5218</v>
      </c>
      <c r="V6" s="181"/>
      <c r="W6" s="181"/>
      <c r="X6" s="181"/>
      <c r="Y6" s="181"/>
      <c r="Z6" s="181"/>
      <c r="AA6" s="181"/>
      <c r="AB6" s="181"/>
      <c r="AC6" s="181"/>
    </row>
    <row r="7">
      <c r="A7" s="181" t="s">
        <v>5219</v>
      </c>
      <c r="B7" s="182" t="s">
        <v>5210</v>
      </c>
      <c r="C7" s="181" t="s">
        <v>5166</v>
      </c>
      <c r="D7" s="181" t="s">
        <v>5167</v>
      </c>
      <c r="E7" s="181" t="s">
        <v>5211</v>
      </c>
      <c r="F7" s="181" t="s">
        <v>5169</v>
      </c>
      <c r="G7" s="181" t="s">
        <v>29</v>
      </c>
      <c r="H7" s="181" t="s">
        <v>5171</v>
      </c>
      <c r="I7" s="181" t="s">
        <v>5220</v>
      </c>
      <c r="J7" s="181" t="s">
        <v>5221</v>
      </c>
      <c r="K7" s="181" t="s">
        <v>5222</v>
      </c>
      <c r="L7" s="181" t="s">
        <v>5175</v>
      </c>
      <c r="M7" s="181" t="s">
        <v>5223</v>
      </c>
      <c r="N7" s="181" t="s">
        <v>5224</v>
      </c>
      <c r="O7" s="181">
        <v>15.0</v>
      </c>
      <c r="P7" s="181" t="b">
        <v>1</v>
      </c>
      <c r="Q7" s="181">
        <v>5.0</v>
      </c>
      <c r="R7" s="181" t="s">
        <v>29</v>
      </c>
      <c r="S7" s="181" t="s">
        <v>29</v>
      </c>
      <c r="T7" s="181" t="s">
        <v>5217</v>
      </c>
      <c r="U7" s="181" t="s">
        <v>5225</v>
      </c>
      <c r="V7" s="181"/>
      <c r="W7" s="181"/>
      <c r="X7" s="181"/>
      <c r="Y7" s="181"/>
      <c r="Z7" s="181"/>
      <c r="AA7" s="181"/>
      <c r="AB7" s="181"/>
      <c r="AC7" s="181"/>
    </row>
    <row r="8">
      <c r="A8" s="181" t="s">
        <v>5180</v>
      </c>
      <c r="B8" s="182" t="s">
        <v>5210</v>
      </c>
      <c r="C8" s="181" t="s">
        <v>5166</v>
      </c>
      <c r="D8" s="181" t="s">
        <v>5167</v>
      </c>
      <c r="E8" s="181" t="s">
        <v>5226</v>
      </c>
      <c r="F8" s="181" t="s">
        <v>5169</v>
      </c>
      <c r="G8" s="181" t="s">
        <v>29</v>
      </c>
      <c r="H8" s="181" t="s">
        <v>5227</v>
      </c>
      <c r="I8" s="181" t="s">
        <v>5228</v>
      </c>
      <c r="J8" s="181" t="s">
        <v>5184</v>
      </c>
      <c r="K8" s="181" t="s">
        <v>29</v>
      </c>
      <c r="L8" s="181" t="s">
        <v>5175</v>
      </c>
      <c r="M8" s="181" t="s">
        <v>5229</v>
      </c>
      <c r="N8" s="181" t="s">
        <v>5186</v>
      </c>
      <c r="O8" s="181">
        <v>15.0</v>
      </c>
      <c r="P8" s="181" t="b">
        <v>1</v>
      </c>
      <c r="Q8" s="181">
        <v>5.0</v>
      </c>
      <c r="R8" s="181" t="s">
        <v>29</v>
      </c>
      <c r="S8" s="181" t="s">
        <v>29</v>
      </c>
      <c r="T8" s="181" t="s">
        <v>5217</v>
      </c>
      <c r="U8" s="181" t="s">
        <v>5230</v>
      </c>
      <c r="V8" s="181"/>
      <c r="W8" s="181"/>
      <c r="X8" s="181"/>
      <c r="Y8" s="181"/>
      <c r="Z8" s="181"/>
      <c r="AA8" s="181"/>
      <c r="AB8" s="181"/>
      <c r="AC8" s="181"/>
    </row>
    <row r="9">
      <c r="A9" s="181" t="s">
        <v>5198</v>
      </c>
      <c r="B9" s="181" t="s">
        <v>4143</v>
      </c>
      <c r="C9" s="181" t="s">
        <v>5166</v>
      </c>
      <c r="D9" s="181" t="s">
        <v>5167</v>
      </c>
      <c r="E9" s="181" t="s">
        <v>5211</v>
      </c>
      <c r="F9" s="181" t="s">
        <v>5169</v>
      </c>
      <c r="G9" s="181" t="s">
        <v>5200</v>
      </c>
      <c r="H9" s="181" t="s">
        <v>5171</v>
      </c>
      <c r="I9" s="181" t="s">
        <v>5231</v>
      </c>
      <c r="J9" s="181" t="s">
        <v>5202</v>
      </c>
      <c r="K9" s="181" t="s">
        <v>5203</v>
      </c>
      <c r="L9" s="181" t="s">
        <v>5232</v>
      </c>
      <c r="M9" s="181" t="s">
        <v>5233</v>
      </c>
      <c r="N9" s="181" t="s">
        <v>5206</v>
      </c>
      <c r="O9" s="181">
        <v>15.0</v>
      </c>
      <c r="P9" s="181" t="b">
        <v>1</v>
      </c>
      <c r="Q9" s="181">
        <v>5.0</v>
      </c>
      <c r="R9" s="181" t="s">
        <v>29</v>
      </c>
      <c r="S9" s="181" t="s">
        <v>29</v>
      </c>
      <c r="T9" s="181" t="s">
        <v>5217</v>
      </c>
      <c r="U9" s="181" t="s">
        <v>5234</v>
      </c>
      <c r="V9" s="181"/>
      <c r="W9" s="181"/>
      <c r="X9" s="181"/>
      <c r="Y9" s="181"/>
      <c r="Z9" s="181"/>
      <c r="AA9" s="181"/>
      <c r="AB9" s="181"/>
      <c r="AC9" s="181"/>
    </row>
    <row r="10">
      <c r="A10" s="182" t="s">
        <v>5235</v>
      </c>
      <c r="B10" s="182" t="s">
        <v>4143</v>
      </c>
      <c r="C10" s="182" t="s">
        <v>5166</v>
      </c>
      <c r="D10" s="182" t="s">
        <v>5236</v>
      </c>
      <c r="E10" s="182" t="s">
        <v>5237</v>
      </c>
      <c r="F10" s="181"/>
      <c r="G10" s="181"/>
      <c r="H10" s="181"/>
      <c r="I10" s="181"/>
      <c r="J10" s="181"/>
      <c r="K10" s="181"/>
      <c r="L10" s="181"/>
      <c r="M10" s="181"/>
      <c r="N10" s="181"/>
      <c r="O10" s="181"/>
      <c r="P10" s="181"/>
      <c r="Q10" s="181"/>
      <c r="R10" s="181"/>
      <c r="S10" s="181"/>
      <c r="T10" s="182" t="s">
        <v>5238</v>
      </c>
      <c r="U10" s="182" t="s">
        <v>5239</v>
      </c>
      <c r="V10" s="181" t="s">
        <v>5240</v>
      </c>
      <c r="W10" s="181">
        <v>100.0</v>
      </c>
      <c r="X10" s="181" t="s">
        <v>5241</v>
      </c>
      <c r="Y10" s="181" t="s">
        <v>5242</v>
      </c>
      <c r="Z10" s="181" t="s">
        <v>5243</v>
      </c>
      <c r="AA10" s="181">
        <v>3.0</v>
      </c>
      <c r="AB10" s="181">
        <v>3.0</v>
      </c>
      <c r="AC10" s="181">
        <v>5.0</v>
      </c>
    </row>
    <row r="11">
      <c r="A11" s="182" t="s">
        <v>5244</v>
      </c>
      <c r="B11" s="182" t="s">
        <v>4143</v>
      </c>
      <c r="C11" s="182" t="s">
        <v>5166</v>
      </c>
      <c r="D11" s="182" t="s">
        <v>5236</v>
      </c>
      <c r="E11" s="182" t="s">
        <v>5245</v>
      </c>
      <c r="F11" s="181"/>
      <c r="G11" s="181"/>
      <c r="H11" s="181"/>
      <c r="I11" s="181"/>
      <c r="J11" s="181"/>
      <c r="K11" s="181"/>
      <c r="L11" s="181"/>
      <c r="M11" s="181"/>
      <c r="N11" s="181"/>
      <c r="O11" s="181"/>
      <c r="P11" s="181"/>
      <c r="Q11" s="181"/>
      <c r="R11" s="181"/>
      <c r="S11" s="181"/>
      <c r="T11" s="182" t="s">
        <v>5246</v>
      </c>
      <c r="U11" s="182" t="s">
        <v>5247</v>
      </c>
      <c r="V11" s="181" t="s">
        <v>5248</v>
      </c>
      <c r="W11" s="181">
        <v>90.0</v>
      </c>
      <c r="X11" s="181" t="s">
        <v>5249</v>
      </c>
      <c r="Y11" s="181" t="s">
        <v>5250</v>
      </c>
      <c r="Z11" s="181"/>
      <c r="AA11" s="181">
        <v>3.0</v>
      </c>
      <c r="AB11" s="181">
        <v>1.0</v>
      </c>
      <c r="AC11" s="181">
        <v>3.0</v>
      </c>
    </row>
    <row r="12">
      <c r="A12" s="182" t="s">
        <v>5251</v>
      </c>
      <c r="B12" s="182" t="s">
        <v>4143</v>
      </c>
      <c r="C12" s="182" t="s">
        <v>5166</v>
      </c>
      <c r="D12" s="182" t="s">
        <v>5236</v>
      </c>
      <c r="E12" s="182" t="s">
        <v>5252</v>
      </c>
      <c r="F12" s="181"/>
      <c r="G12" s="181"/>
      <c r="H12" s="181"/>
      <c r="I12" s="181"/>
      <c r="J12" s="181"/>
      <c r="K12" s="181"/>
      <c r="L12" s="181"/>
      <c r="M12" s="181"/>
      <c r="N12" s="181"/>
      <c r="O12" s="181"/>
      <c r="P12" s="181"/>
      <c r="Q12" s="181"/>
      <c r="R12" s="181"/>
      <c r="S12" s="181"/>
      <c r="T12" s="182" t="s">
        <v>5253</v>
      </c>
      <c r="U12" s="182" t="s">
        <v>5254</v>
      </c>
      <c r="V12" s="181" t="s">
        <v>4421</v>
      </c>
      <c r="W12" s="181">
        <v>80.0</v>
      </c>
      <c r="X12" s="181" t="s">
        <v>5255</v>
      </c>
      <c r="Y12" s="181" t="s">
        <v>5256</v>
      </c>
      <c r="Z12" s="181" t="s">
        <v>5257</v>
      </c>
      <c r="AA12" s="181">
        <v>3.0</v>
      </c>
      <c r="AB12" s="181">
        <v>100.0</v>
      </c>
      <c r="AC12" s="181">
        <v>3.0</v>
      </c>
    </row>
    <row r="13">
      <c r="A13" s="182" t="s">
        <v>5258</v>
      </c>
      <c r="B13" s="182" t="s">
        <v>4143</v>
      </c>
      <c r="C13" s="182" t="s">
        <v>5166</v>
      </c>
      <c r="D13" s="182" t="s">
        <v>5236</v>
      </c>
      <c r="E13" s="182" t="s">
        <v>5259</v>
      </c>
      <c r="F13" s="181"/>
      <c r="G13" s="181"/>
      <c r="H13" s="181"/>
      <c r="I13" s="181"/>
      <c r="J13" s="181"/>
      <c r="K13" s="181"/>
      <c r="L13" s="181"/>
      <c r="M13" s="181"/>
      <c r="N13" s="181"/>
      <c r="O13" s="181"/>
      <c r="P13" s="181"/>
      <c r="Q13" s="181"/>
      <c r="R13" s="181"/>
      <c r="S13" s="181"/>
      <c r="T13" s="182" t="s">
        <v>5260</v>
      </c>
      <c r="U13" s="182" t="s">
        <v>5261</v>
      </c>
      <c r="V13" s="181" t="s">
        <v>4649</v>
      </c>
      <c r="W13" s="181">
        <v>60.0</v>
      </c>
      <c r="X13" s="181" t="s">
        <v>5262</v>
      </c>
      <c r="Y13" s="181" t="s">
        <v>5263</v>
      </c>
      <c r="Z13" s="181" t="s">
        <v>5257</v>
      </c>
      <c r="AA13" s="181">
        <v>3.0</v>
      </c>
      <c r="AB13" s="181">
        <v>100.0</v>
      </c>
      <c r="AC13" s="181">
        <v>5.0</v>
      </c>
    </row>
    <row r="14">
      <c r="A14" s="182" t="s">
        <v>5264</v>
      </c>
      <c r="B14" s="182" t="s">
        <v>5265</v>
      </c>
      <c r="C14" s="182" t="s">
        <v>5166</v>
      </c>
      <c r="D14" s="182" t="s">
        <v>5236</v>
      </c>
      <c r="E14" s="182" t="s">
        <v>5266</v>
      </c>
      <c r="F14" s="181"/>
      <c r="G14" s="181"/>
      <c r="H14" s="181"/>
      <c r="I14" s="181"/>
      <c r="J14" s="181"/>
      <c r="K14" s="181"/>
      <c r="L14" s="181"/>
      <c r="M14" s="181"/>
      <c r="N14" s="181"/>
      <c r="O14" s="181"/>
      <c r="P14" s="181"/>
      <c r="Q14" s="181"/>
      <c r="R14" s="181"/>
      <c r="S14" s="181"/>
      <c r="T14" s="182" t="s">
        <v>5267</v>
      </c>
      <c r="U14" s="182" t="s">
        <v>5268</v>
      </c>
      <c r="V14" s="181" t="s">
        <v>4647</v>
      </c>
      <c r="W14" s="181">
        <v>50.0</v>
      </c>
      <c r="X14" s="181" t="s">
        <v>5269</v>
      </c>
      <c r="Y14" s="181" t="s">
        <v>5263</v>
      </c>
      <c r="Z14" s="181" t="s">
        <v>5257</v>
      </c>
      <c r="AA14" s="181">
        <v>3.0</v>
      </c>
      <c r="AB14" s="181">
        <v>100.0</v>
      </c>
      <c r="AC14" s="181">
        <v>8.0</v>
      </c>
    </row>
    <row r="15">
      <c r="A15" s="182" t="s">
        <v>5270</v>
      </c>
      <c r="B15" s="182" t="s">
        <v>5265</v>
      </c>
      <c r="C15" s="182" t="s">
        <v>5166</v>
      </c>
      <c r="D15" s="182" t="s">
        <v>5236</v>
      </c>
      <c r="E15" s="182" t="s">
        <v>5271</v>
      </c>
      <c r="F15" s="181"/>
      <c r="G15" s="181"/>
      <c r="H15" s="181"/>
      <c r="I15" s="181"/>
      <c r="J15" s="181"/>
      <c r="K15" s="181"/>
      <c r="L15" s="181"/>
      <c r="M15" s="181"/>
      <c r="N15" s="181"/>
      <c r="O15" s="181"/>
      <c r="P15" s="181"/>
      <c r="Q15" s="181"/>
      <c r="R15" s="181"/>
      <c r="S15" s="181"/>
      <c r="T15" s="182" t="s">
        <v>5272</v>
      </c>
      <c r="U15" s="182" t="s">
        <v>5273</v>
      </c>
      <c r="V15" s="181" t="s">
        <v>5274</v>
      </c>
      <c r="W15" s="181">
        <v>70.0</v>
      </c>
      <c r="X15" s="181" t="s">
        <v>5275</v>
      </c>
      <c r="Y15" s="181" t="s">
        <v>5276</v>
      </c>
      <c r="Z15" s="181"/>
      <c r="AA15" s="181">
        <v>5.0</v>
      </c>
      <c r="AB15" s="181">
        <v>1.0</v>
      </c>
      <c r="AC15" s="181">
        <v>10.0</v>
      </c>
    </row>
    <row r="16">
      <c r="A16" s="182" t="s">
        <v>5277</v>
      </c>
      <c r="B16" s="182" t="s">
        <v>4143</v>
      </c>
      <c r="C16" s="182" t="s">
        <v>5166</v>
      </c>
      <c r="D16" s="182" t="s">
        <v>5278</v>
      </c>
      <c r="E16" s="182" t="s">
        <v>5279</v>
      </c>
      <c r="F16" s="182" t="s">
        <v>5169</v>
      </c>
      <c r="G16" s="181"/>
      <c r="H16" s="182" t="s">
        <v>5280</v>
      </c>
      <c r="I16" s="182" t="s">
        <v>5281</v>
      </c>
      <c r="J16" s="182" t="s">
        <v>5282</v>
      </c>
      <c r="K16" s="181"/>
      <c r="L16" s="182" t="s">
        <v>5283</v>
      </c>
      <c r="M16" s="181"/>
      <c r="N16" s="182" t="s">
        <v>5284</v>
      </c>
      <c r="O16" s="182">
        <v>15.0</v>
      </c>
      <c r="P16" s="182" t="b">
        <v>1</v>
      </c>
      <c r="Q16" s="182">
        <v>5.0</v>
      </c>
      <c r="R16" s="181"/>
      <c r="S16" s="181"/>
      <c r="T16" s="182" t="s">
        <v>5285</v>
      </c>
      <c r="U16" s="182" t="s">
        <v>5257</v>
      </c>
      <c r="V16" s="181" t="s">
        <v>5286</v>
      </c>
      <c r="W16" s="181"/>
      <c r="X16" s="181"/>
      <c r="Y16" s="181"/>
      <c r="Z16" s="181"/>
      <c r="AA16" s="181"/>
      <c r="AB16" s="181">
        <v>100.0</v>
      </c>
      <c r="AC16" s="181"/>
    </row>
    <row r="17">
      <c r="A17" s="182" t="s">
        <v>5287</v>
      </c>
      <c r="B17" s="182" t="s">
        <v>4143</v>
      </c>
      <c r="C17" s="182" t="s">
        <v>5166</v>
      </c>
      <c r="D17" s="182" t="s">
        <v>5278</v>
      </c>
      <c r="E17" s="182" t="s">
        <v>5288</v>
      </c>
      <c r="F17" s="182" t="s">
        <v>5169</v>
      </c>
      <c r="G17" s="181"/>
      <c r="H17" s="182" t="s">
        <v>5280</v>
      </c>
      <c r="I17" s="182" t="s">
        <v>5281</v>
      </c>
      <c r="J17" s="182" t="s">
        <v>5282</v>
      </c>
      <c r="K17" s="181"/>
      <c r="L17" s="182" t="s">
        <v>5283</v>
      </c>
      <c r="M17" s="181"/>
      <c r="N17" s="182" t="s">
        <v>5289</v>
      </c>
      <c r="O17" s="182">
        <v>15.0</v>
      </c>
      <c r="P17" s="182" t="b">
        <v>1</v>
      </c>
      <c r="Q17" s="182">
        <v>5.0</v>
      </c>
      <c r="R17" s="181"/>
      <c r="S17" s="181"/>
      <c r="T17" s="182" t="s">
        <v>5290</v>
      </c>
      <c r="U17" s="182" t="s">
        <v>5243</v>
      </c>
      <c r="V17" s="181" t="s">
        <v>5240</v>
      </c>
      <c r="W17" s="181"/>
      <c r="X17" s="181"/>
      <c r="Y17" s="181"/>
      <c r="Z17" s="181"/>
      <c r="AA17" s="181"/>
      <c r="AB17" s="181">
        <v>3.0</v>
      </c>
      <c r="AC17" s="181"/>
    </row>
    <row r="18">
      <c r="A18" s="182" t="s">
        <v>5291</v>
      </c>
      <c r="B18" s="182" t="s">
        <v>4143</v>
      </c>
      <c r="C18" s="182" t="s">
        <v>2049</v>
      </c>
      <c r="D18" s="182" t="s">
        <v>5167</v>
      </c>
      <c r="E18" s="182" t="s">
        <v>5292</v>
      </c>
      <c r="F18" s="182" t="s">
        <v>5293</v>
      </c>
      <c r="G18" s="182" t="s">
        <v>29</v>
      </c>
      <c r="H18" s="182" t="s">
        <v>5294</v>
      </c>
      <c r="I18" s="182" t="s">
        <v>5295</v>
      </c>
      <c r="J18" s="182" t="s">
        <v>5282</v>
      </c>
      <c r="K18" s="182" t="s">
        <v>5296</v>
      </c>
      <c r="L18" s="182" t="s">
        <v>5297</v>
      </c>
      <c r="M18" s="182" t="s">
        <v>5298</v>
      </c>
      <c r="N18" s="182" t="s">
        <v>5299</v>
      </c>
      <c r="O18" s="182" t="s">
        <v>29</v>
      </c>
      <c r="P18" s="182" t="b">
        <v>0</v>
      </c>
      <c r="Q18" s="182" t="s">
        <v>29</v>
      </c>
      <c r="R18" s="182" t="s">
        <v>29</v>
      </c>
      <c r="S18" s="182" t="s">
        <v>29</v>
      </c>
      <c r="T18" s="182" t="s">
        <v>5300</v>
      </c>
      <c r="U18" s="182" t="s">
        <v>5301</v>
      </c>
      <c r="V18" s="182" t="s">
        <v>29</v>
      </c>
      <c r="W18" s="182" t="s">
        <v>29</v>
      </c>
      <c r="X18" s="182" t="s">
        <v>29</v>
      </c>
      <c r="Y18" s="182" t="s">
        <v>29</v>
      </c>
      <c r="Z18" s="182" t="s">
        <v>29</v>
      </c>
      <c r="AA18" s="182" t="s">
        <v>29</v>
      </c>
      <c r="AB18" s="182" t="s">
        <v>29</v>
      </c>
      <c r="AC18" s="182" t="s">
        <v>29</v>
      </c>
    </row>
    <row r="19">
      <c r="A19" s="182" t="s">
        <v>5302</v>
      </c>
      <c r="B19" s="182" t="s">
        <v>4143</v>
      </c>
      <c r="C19" s="182" t="s">
        <v>2049</v>
      </c>
      <c r="D19" s="182" t="s">
        <v>5167</v>
      </c>
      <c r="E19" s="182" t="s">
        <v>5303</v>
      </c>
      <c r="F19" s="182" t="s">
        <v>5293</v>
      </c>
      <c r="G19" s="182" t="s">
        <v>29</v>
      </c>
      <c r="H19" s="182" t="s">
        <v>5294</v>
      </c>
      <c r="I19" s="182" t="s">
        <v>5295</v>
      </c>
      <c r="J19" s="182" t="s">
        <v>5282</v>
      </c>
      <c r="K19" s="182" t="s">
        <v>29</v>
      </c>
      <c r="L19" s="182" t="s">
        <v>5297</v>
      </c>
      <c r="M19" s="182" t="s">
        <v>5304</v>
      </c>
      <c r="N19" s="182" t="s">
        <v>5305</v>
      </c>
      <c r="O19" s="182" t="s">
        <v>29</v>
      </c>
      <c r="P19" s="182" t="b">
        <v>0</v>
      </c>
      <c r="Q19" s="182" t="s">
        <v>29</v>
      </c>
      <c r="R19" s="182" t="s">
        <v>29</v>
      </c>
      <c r="S19" s="182" t="s">
        <v>29</v>
      </c>
      <c r="T19" s="182" t="s">
        <v>5300</v>
      </c>
      <c r="U19" s="182" t="s">
        <v>5306</v>
      </c>
      <c r="V19" s="182" t="s">
        <v>29</v>
      </c>
      <c r="W19" s="182" t="s">
        <v>29</v>
      </c>
      <c r="X19" s="182" t="s">
        <v>29</v>
      </c>
      <c r="Y19" s="182" t="s">
        <v>29</v>
      </c>
      <c r="Z19" s="182" t="s">
        <v>29</v>
      </c>
      <c r="AA19" s="182">
        <v>16.0</v>
      </c>
      <c r="AB19" s="182" t="s">
        <v>29</v>
      </c>
      <c r="AC19" s="182" t="s">
        <v>29</v>
      </c>
    </row>
    <row r="20">
      <c r="A20" s="182" t="s">
        <v>5307</v>
      </c>
      <c r="B20" s="182" t="s">
        <v>4143</v>
      </c>
      <c r="C20" s="182" t="s">
        <v>2049</v>
      </c>
      <c r="D20" s="182" t="s">
        <v>5167</v>
      </c>
      <c r="E20" s="182" t="s">
        <v>5308</v>
      </c>
      <c r="F20" s="182" t="s">
        <v>5293</v>
      </c>
      <c r="G20" s="182" t="s">
        <v>29</v>
      </c>
      <c r="H20" s="182" t="s">
        <v>5294</v>
      </c>
      <c r="I20" s="182" t="s">
        <v>5295</v>
      </c>
      <c r="J20" s="182" t="s">
        <v>5282</v>
      </c>
      <c r="K20" s="182" t="s">
        <v>29</v>
      </c>
      <c r="L20" s="182" t="s">
        <v>5297</v>
      </c>
      <c r="M20" s="182" t="s">
        <v>5309</v>
      </c>
      <c r="N20" s="182" t="s">
        <v>5310</v>
      </c>
      <c r="O20" s="182" t="s">
        <v>29</v>
      </c>
      <c r="P20" s="182" t="b">
        <v>0</v>
      </c>
      <c r="Q20" s="182" t="s">
        <v>29</v>
      </c>
      <c r="R20" s="182" t="s">
        <v>29</v>
      </c>
      <c r="S20" s="182" t="s">
        <v>29</v>
      </c>
      <c r="T20" s="182" t="s">
        <v>5300</v>
      </c>
      <c r="U20" s="182" t="s">
        <v>5311</v>
      </c>
      <c r="V20" s="182" t="s">
        <v>29</v>
      </c>
      <c r="W20" s="182" t="s">
        <v>29</v>
      </c>
      <c r="X20" s="182" t="s">
        <v>29</v>
      </c>
      <c r="Y20" s="182" t="s">
        <v>29</v>
      </c>
      <c r="Z20" s="182" t="s">
        <v>29</v>
      </c>
      <c r="AA20" s="182">
        <v>3.0</v>
      </c>
      <c r="AB20" s="182" t="s">
        <v>29</v>
      </c>
      <c r="AC20" s="182" t="s">
        <v>29</v>
      </c>
    </row>
    <row r="21">
      <c r="A21" s="182" t="s">
        <v>5312</v>
      </c>
      <c r="B21" s="182" t="s">
        <v>4143</v>
      </c>
      <c r="C21" s="182" t="s">
        <v>5166</v>
      </c>
      <c r="D21" s="182" t="s">
        <v>5278</v>
      </c>
      <c r="E21" s="182" t="s">
        <v>5313</v>
      </c>
      <c r="F21" s="182" t="s">
        <v>5169</v>
      </c>
      <c r="G21" s="182" t="s">
        <v>29</v>
      </c>
      <c r="H21" s="182" t="s">
        <v>5280</v>
      </c>
      <c r="I21" s="182" t="s">
        <v>5281</v>
      </c>
      <c r="J21" s="182" t="s">
        <v>5282</v>
      </c>
      <c r="K21" s="182" t="s">
        <v>29</v>
      </c>
      <c r="L21" s="182" t="s">
        <v>5283</v>
      </c>
      <c r="M21" s="182" t="s">
        <v>29</v>
      </c>
      <c r="N21" s="182" t="s">
        <v>5314</v>
      </c>
      <c r="O21" s="182">
        <v>20.0</v>
      </c>
      <c r="P21" s="182" t="b">
        <v>1</v>
      </c>
      <c r="Q21" s="182">
        <v>5.0</v>
      </c>
      <c r="R21" s="182" t="s">
        <v>29</v>
      </c>
      <c r="S21" s="182" t="s">
        <v>29</v>
      </c>
      <c r="T21" s="182" t="s">
        <v>5315</v>
      </c>
      <c r="U21" s="182" t="s">
        <v>5316</v>
      </c>
      <c r="V21" s="182" t="s">
        <v>5317</v>
      </c>
      <c r="W21" s="182" t="s">
        <v>29</v>
      </c>
      <c r="X21" s="182" t="s">
        <v>29</v>
      </c>
      <c r="Y21" s="182" t="s">
        <v>29</v>
      </c>
      <c r="Z21" s="182" t="s">
        <v>29</v>
      </c>
      <c r="AA21" s="182">
        <v>1.0</v>
      </c>
      <c r="AB21" s="182" t="s">
        <v>29</v>
      </c>
      <c r="AC21" s="182" t="s">
        <v>29</v>
      </c>
    </row>
    <row r="22">
      <c r="A22" s="182" t="s">
        <v>5318</v>
      </c>
      <c r="B22" s="182" t="s">
        <v>4143</v>
      </c>
      <c r="C22" s="182" t="s">
        <v>5166</v>
      </c>
      <c r="D22" s="182" t="s">
        <v>5278</v>
      </c>
      <c r="E22" s="182" t="s">
        <v>5319</v>
      </c>
      <c r="F22" s="182" t="s">
        <v>5169</v>
      </c>
      <c r="G22" s="182" t="s">
        <v>29</v>
      </c>
      <c r="H22" s="182" t="s">
        <v>5280</v>
      </c>
      <c r="I22" s="182" t="s">
        <v>5281</v>
      </c>
      <c r="J22" s="182" t="s">
        <v>5282</v>
      </c>
      <c r="K22" s="182" t="s">
        <v>29</v>
      </c>
      <c r="L22" s="182" t="s">
        <v>5283</v>
      </c>
      <c r="M22" s="182" t="s">
        <v>29</v>
      </c>
      <c r="N22" s="182" t="s">
        <v>5320</v>
      </c>
      <c r="O22" s="182">
        <v>20.0</v>
      </c>
      <c r="P22" s="182" t="b">
        <v>1</v>
      </c>
      <c r="Q22" s="182">
        <v>5.0</v>
      </c>
      <c r="R22" s="182" t="s">
        <v>29</v>
      </c>
      <c r="S22" s="182" t="s">
        <v>29</v>
      </c>
      <c r="T22" s="182" t="s">
        <v>5315</v>
      </c>
      <c r="U22" s="182" t="s">
        <v>5321</v>
      </c>
      <c r="V22" s="182" t="s">
        <v>5322</v>
      </c>
      <c r="W22" s="182" t="s">
        <v>29</v>
      </c>
      <c r="X22" s="182" t="s">
        <v>29</v>
      </c>
      <c r="Y22" s="182" t="s">
        <v>29</v>
      </c>
      <c r="Z22" s="182" t="s">
        <v>29</v>
      </c>
      <c r="AA22" s="182">
        <v>3.0</v>
      </c>
      <c r="AB22" s="182" t="s">
        <v>29</v>
      </c>
      <c r="AC22" s="182" t="s">
        <v>29</v>
      </c>
    </row>
    <row r="23">
      <c r="A23" s="182" t="s">
        <v>5323</v>
      </c>
      <c r="B23" s="182" t="s">
        <v>4143</v>
      </c>
      <c r="C23" s="182" t="s">
        <v>5166</v>
      </c>
      <c r="D23" s="182" t="s">
        <v>5278</v>
      </c>
      <c r="E23" s="182" t="s">
        <v>5324</v>
      </c>
      <c r="F23" s="182" t="s">
        <v>5169</v>
      </c>
      <c r="G23" s="182" t="s">
        <v>29</v>
      </c>
      <c r="H23" s="182" t="s">
        <v>5280</v>
      </c>
      <c r="I23" s="182" t="s">
        <v>5281</v>
      </c>
      <c r="J23" s="182" t="s">
        <v>5282</v>
      </c>
      <c r="K23" s="182" t="s">
        <v>29</v>
      </c>
      <c r="L23" s="182" t="s">
        <v>5283</v>
      </c>
      <c r="M23" s="182" t="s">
        <v>29</v>
      </c>
      <c r="N23" s="182" t="s">
        <v>5325</v>
      </c>
      <c r="O23" s="182">
        <v>20.0</v>
      </c>
      <c r="P23" s="182" t="b">
        <v>1</v>
      </c>
      <c r="Q23" s="182">
        <v>5.0</v>
      </c>
      <c r="R23" s="182" t="s">
        <v>29</v>
      </c>
      <c r="S23" s="182" t="s">
        <v>29</v>
      </c>
      <c r="T23" s="182" t="s">
        <v>5315</v>
      </c>
      <c r="U23" s="182" t="s">
        <v>5326</v>
      </c>
      <c r="V23" s="182" t="s">
        <v>5327</v>
      </c>
      <c r="W23" s="182" t="s">
        <v>29</v>
      </c>
      <c r="X23" s="182" t="s">
        <v>29</v>
      </c>
      <c r="Y23" s="182" t="s">
        <v>29</v>
      </c>
      <c r="Z23" s="182" t="s">
        <v>29</v>
      </c>
      <c r="AA23" s="182">
        <v>1.0</v>
      </c>
      <c r="AB23" s="182" t="s">
        <v>29</v>
      </c>
      <c r="AC23" s="182" t="s">
        <v>29</v>
      </c>
    </row>
    <row r="24">
      <c r="A24" s="182" t="s">
        <v>5328</v>
      </c>
      <c r="B24" s="182" t="s">
        <v>4143</v>
      </c>
      <c r="C24" s="182" t="s">
        <v>5166</v>
      </c>
      <c r="D24" s="182" t="s">
        <v>5278</v>
      </c>
      <c r="E24" s="182" t="s">
        <v>5329</v>
      </c>
      <c r="F24" s="182" t="s">
        <v>5169</v>
      </c>
      <c r="G24" s="182" t="s">
        <v>29</v>
      </c>
      <c r="H24" s="182" t="s">
        <v>5280</v>
      </c>
      <c r="I24" s="182" t="s">
        <v>5281</v>
      </c>
      <c r="J24" s="182" t="s">
        <v>5282</v>
      </c>
      <c r="K24" s="182" t="s">
        <v>29</v>
      </c>
      <c r="L24" s="182" t="s">
        <v>5283</v>
      </c>
      <c r="M24" s="182" t="s">
        <v>29</v>
      </c>
      <c r="N24" s="182" t="s">
        <v>29</v>
      </c>
      <c r="O24" s="182" t="s">
        <v>29</v>
      </c>
      <c r="P24" s="182" t="b">
        <v>1</v>
      </c>
      <c r="Q24" s="182">
        <v>5.0</v>
      </c>
      <c r="R24" s="182">
        <v>5.0</v>
      </c>
      <c r="S24" s="182">
        <v>3.0</v>
      </c>
      <c r="T24" s="182" t="s">
        <v>5315</v>
      </c>
      <c r="U24" s="182" t="s">
        <v>5330</v>
      </c>
      <c r="V24" s="182" t="s">
        <v>5331</v>
      </c>
      <c r="W24" s="182" t="s">
        <v>29</v>
      </c>
      <c r="X24" s="182" t="s">
        <v>29</v>
      </c>
      <c r="Y24" s="182" t="s">
        <v>29</v>
      </c>
      <c r="Z24" s="182" t="s">
        <v>29</v>
      </c>
      <c r="AA24" s="182" t="s">
        <v>29</v>
      </c>
      <c r="AB24" s="182">
        <v>20.0</v>
      </c>
      <c r="AC24" s="182">
        <v>3.0</v>
      </c>
    </row>
  </sheetData>
  <autoFilter ref="$A$1:$U$100"/>
  <drawing r:id="rId2"/>
  <legacy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1.38"/>
    <col customWidth="1" min="2" max="4" width="13.88"/>
    <col customWidth="1" min="5" max="5" width="30.13"/>
    <col customWidth="1" min="6" max="6" width="12.63"/>
    <col customWidth="1" min="7" max="8" width="43.88"/>
    <col customWidth="1" min="13" max="13" width="41.38"/>
  </cols>
  <sheetData>
    <row r="1">
      <c r="A1" s="183" t="s">
        <v>3331</v>
      </c>
      <c r="B1" s="183" t="s">
        <v>3658</v>
      </c>
      <c r="C1" s="183" t="s">
        <v>5332</v>
      </c>
      <c r="D1" s="183" t="s">
        <v>5333</v>
      </c>
      <c r="E1" s="183" t="s">
        <v>2620</v>
      </c>
      <c r="F1" s="183" t="s">
        <v>5334</v>
      </c>
      <c r="G1" s="184" t="s">
        <v>5335</v>
      </c>
      <c r="H1" s="184" t="s">
        <v>5336</v>
      </c>
      <c r="I1" s="184" t="s">
        <v>5337</v>
      </c>
      <c r="J1" s="184" t="s">
        <v>5338</v>
      </c>
      <c r="K1" s="184" t="s">
        <v>5339</v>
      </c>
      <c r="L1" s="184" t="s">
        <v>5340</v>
      </c>
      <c r="M1" s="184" t="s">
        <v>5341</v>
      </c>
      <c r="N1" s="184" t="s">
        <v>5342</v>
      </c>
    </row>
    <row r="2">
      <c r="A2" s="126" t="s">
        <v>5343</v>
      </c>
      <c r="B2" s="126" t="s">
        <v>3292</v>
      </c>
      <c r="C2" s="126" t="s">
        <v>57</v>
      </c>
      <c r="D2" s="126" t="s">
        <v>58</v>
      </c>
      <c r="E2" s="126" t="s">
        <v>5344</v>
      </c>
      <c r="F2" s="126" t="s">
        <v>4950</v>
      </c>
      <c r="G2" s="106" t="s">
        <v>5345</v>
      </c>
      <c r="H2" s="106" t="s">
        <v>5346</v>
      </c>
      <c r="I2" s="106">
        <v>40.0</v>
      </c>
      <c r="J2" s="106">
        <v>2.0</v>
      </c>
      <c r="K2" s="106">
        <v>20.0</v>
      </c>
      <c r="L2" s="106">
        <v>5.0</v>
      </c>
      <c r="M2" s="106" t="s">
        <v>5347</v>
      </c>
      <c r="N2" s="106">
        <v>3.0</v>
      </c>
    </row>
    <row r="3">
      <c r="A3" s="126" t="s">
        <v>5348</v>
      </c>
      <c r="B3" s="126" t="s">
        <v>3294</v>
      </c>
      <c r="C3" s="126" t="s">
        <v>56</v>
      </c>
      <c r="D3" s="126" t="s">
        <v>54</v>
      </c>
      <c r="E3" s="126" t="s">
        <v>5349</v>
      </c>
      <c r="F3" s="126" t="s">
        <v>4950</v>
      </c>
      <c r="G3" s="106" t="s">
        <v>5350</v>
      </c>
      <c r="H3" s="106" t="s">
        <v>5351</v>
      </c>
      <c r="I3" s="106">
        <v>40.0</v>
      </c>
      <c r="J3" s="106">
        <v>2.0</v>
      </c>
      <c r="K3" s="106">
        <v>20.0</v>
      </c>
      <c r="L3" s="106">
        <v>5.0</v>
      </c>
      <c r="M3" s="106" t="s">
        <v>5347</v>
      </c>
      <c r="N3" s="106">
        <v>3.0</v>
      </c>
    </row>
    <row r="4">
      <c r="A4" s="126" t="s">
        <v>5352</v>
      </c>
      <c r="B4" s="126" t="s">
        <v>3296</v>
      </c>
      <c r="C4" s="126" t="s">
        <v>67</v>
      </c>
      <c r="D4" s="126" t="s">
        <v>57</v>
      </c>
      <c r="E4" s="126" t="s">
        <v>5353</v>
      </c>
      <c r="F4" s="126" t="s">
        <v>4950</v>
      </c>
      <c r="G4" s="106" t="s">
        <v>5354</v>
      </c>
      <c r="H4" s="106" t="s">
        <v>5355</v>
      </c>
      <c r="I4" s="106">
        <v>40.0</v>
      </c>
      <c r="J4" s="106">
        <v>2.0</v>
      </c>
      <c r="K4" s="106">
        <v>20.0</v>
      </c>
      <c r="L4" s="106">
        <v>5.0</v>
      </c>
      <c r="M4" s="106" t="s">
        <v>5347</v>
      </c>
      <c r="N4" s="106">
        <v>3.0</v>
      </c>
    </row>
    <row r="5">
      <c r="A5" s="126" t="s">
        <v>5356</v>
      </c>
      <c r="B5" s="126" t="s">
        <v>3298</v>
      </c>
      <c r="C5" s="126" t="s">
        <v>61</v>
      </c>
      <c r="D5" s="126" t="s">
        <v>60</v>
      </c>
      <c r="E5" s="126" t="s">
        <v>5357</v>
      </c>
      <c r="F5" s="126" t="s">
        <v>4950</v>
      </c>
      <c r="G5" s="106" t="s">
        <v>5358</v>
      </c>
      <c r="H5" s="106" t="s">
        <v>5359</v>
      </c>
      <c r="I5" s="106">
        <v>40.0</v>
      </c>
      <c r="J5" s="106">
        <v>2.0</v>
      </c>
      <c r="K5" s="106">
        <v>20.0</v>
      </c>
      <c r="L5" s="106">
        <v>5.0</v>
      </c>
      <c r="M5" s="106" t="s">
        <v>5347</v>
      </c>
      <c r="N5" s="106">
        <v>3.0</v>
      </c>
    </row>
  </sheetData>
  <drawing r:id="rId2"/>
  <legacyDrawing r:id="rId3"/>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8.38"/>
    <col customWidth="1" min="2" max="2" width="23.38"/>
    <col customWidth="1" min="3" max="3" width="10.13"/>
    <col customWidth="1" min="4" max="4" width="8.38"/>
    <col customWidth="1" min="5" max="5" width="6.5"/>
    <col customWidth="1" min="6" max="6" width="8.38"/>
    <col customWidth="1" min="7" max="7" width="12.0"/>
    <col customWidth="1" min="8" max="8" width="26.63"/>
    <col customWidth="1" min="9" max="11" width="8.38"/>
    <col customWidth="1" min="12" max="12" width="12.0"/>
    <col customWidth="1" min="13" max="13" width="14.13"/>
    <col customWidth="1" min="14" max="17" width="17.63"/>
    <col customWidth="1" min="18" max="20" width="15.75"/>
  </cols>
  <sheetData>
    <row r="1">
      <c r="A1" s="185" t="s">
        <v>2561</v>
      </c>
      <c r="B1" s="185" t="s">
        <v>3318</v>
      </c>
      <c r="C1" s="185" t="s">
        <v>3659</v>
      </c>
      <c r="D1" s="185" t="s">
        <v>5360</v>
      </c>
      <c r="E1" s="185" t="s">
        <v>5361</v>
      </c>
      <c r="F1" s="185" t="s">
        <v>5362</v>
      </c>
      <c r="G1" s="185" t="s">
        <v>5363</v>
      </c>
      <c r="H1" s="185" t="s">
        <v>5364</v>
      </c>
      <c r="I1" s="185" t="s">
        <v>5365</v>
      </c>
      <c r="J1" s="185" t="s">
        <v>5366</v>
      </c>
      <c r="K1" s="185" t="s">
        <v>5367</v>
      </c>
      <c r="L1" s="186" t="s">
        <v>3227</v>
      </c>
      <c r="M1" s="186" t="s">
        <v>3228</v>
      </c>
      <c r="N1" s="123" t="s">
        <v>3339</v>
      </c>
      <c r="O1" s="123" t="s">
        <v>3340</v>
      </c>
      <c r="P1" s="123" t="s">
        <v>5368</v>
      </c>
      <c r="Q1" s="123" t="s">
        <v>5369</v>
      </c>
      <c r="R1" s="187" t="s">
        <v>5370</v>
      </c>
      <c r="S1" s="187" t="s">
        <v>5371</v>
      </c>
      <c r="T1" s="187" t="s">
        <v>5372</v>
      </c>
    </row>
    <row r="2">
      <c r="A2" s="39" t="s">
        <v>5373</v>
      </c>
      <c r="B2" s="39" t="s">
        <v>5374</v>
      </c>
      <c r="C2" s="39" t="s">
        <v>4421</v>
      </c>
      <c r="D2" s="39" t="s">
        <v>29</v>
      </c>
      <c r="E2" s="39" t="s">
        <v>29</v>
      </c>
      <c r="F2" s="39" t="s">
        <v>29</v>
      </c>
      <c r="G2" s="39" t="s">
        <v>29</v>
      </c>
      <c r="H2" s="39" t="s">
        <v>29</v>
      </c>
      <c r="I2" s="39"/>
      <c r="J2" s="39"/>
      <c r="K2" s="39">
        <v>1.0</v>
      </c>
      <c r="L2" s="39" t="s">
        <v>3279</v>
      </c>
      <c r="M2" s="39">
        <v>0.0</v>
      </c>
      <c r="N2" s="39">
        <v>-5.0</v>
      </c>
      <c r="O2" s="39">
        <v>30.0</v>
      </c>
      <c r="P2" s="39">
        <v>50.0</v>
      </c>
      <c r="Q2" s="39"/>
      <c r="R2" s="39" t="s">
        <v>2623</v>
      </c>
      <c r="S2" s="39">
        <v>15.0</v>
      </c>
      <c r="T2" s="39">
        <v>5.0</v>
      </c>
    </row>
    <row r="3">
      <c r="A3" s="39" t="s">
        <v>5375</v>
      </c>
      <c r="B3" s="39" t="s">
        <v>5376</v>
      </c>
      <c r="C3" s="39" t="s">
        <v>4421</v>
      </c>
      <c r="D3" s="39" t="s">
        <v>29</v>
      </c>
      <c r="E3" s="39" t="s">
        <v>29</v>
      </c>
      <c r="F3" s="39" t="s">
        <v>29</v>
      </c>
      <c r="G3" s="39" t="s">
        <v>29</v>
      </c>
      <c r="H3" s="39" t="s">
        <v>29</v>
      </c>
      <c r="I3" s="39"/>
      <c r="J3" s="39"/>
      <c r="K3" s="39">
        <v>1.0</v>
      </c>
      <c r="L3" s="39" t="s">
        <v>3279</v>
      </c>
      <c r="M3" s="39">
        <v>0.0</v>
      </c>
      <c r="N3" s="39">
        <v>-5.0</v>
      </c>
      <c r="O3" s="39">
        <v>30.0</v>
      </c>
      <c r="P3" s="39">
        <v>30.0</v>
      </c>
      <c r="Q3" s="39"/>
      <c r="R3" s="39" t="s">
        <v>2624</v>
      </c>
      <c r="S3" s="39">
        <v>15.0</v>
      </c>
      <c r="T3" s="39">
        <v>5.0</v>
      </c>
    </row>
    <row r="4">
      <c r="A4" s="39" t="s">
        <v>5377</v>
      </c>
      <c r="B4" s="39" t="s">
        <v>56</v>
      </c>
      <c r="C4" s="39" t="s">
        <v>4421</v>
      </c>
      <c r="D4" s="39" t="s">
        <v>29</v>
      </c>
      <c r="E4" s="39" t="s">
        <v>29</v>
      </c>
      <c r="F4" s="39" t="s">
        <v>29</v>
      </c>
      <c r="G4" s="39" t="s">
        <v>29</v>
      </c>
      <c r="H4" s="39" t="s">
        <v>29</v>
      </c>
      <c r="I4" s="39"/>
      <c r="J4" s="39"/>
      <c r="K4" s="39">
        <v>1.0</v>
      </c>
      <c r="L4" s="39" t="s">
        <v>3279</v>
      </c>
      <c r="M4" s="39">
        <v>0.0</v>
      </c>
      <c r="N4" s="39">
        <v>18.0</v>
      </c>
      <c r="O4" s="39">
        <v>40.0</v>
      </c>
      <c r="P4" s="39">
        <v>55.0</v>
      </c>
      <c r="Q4" s="39"/>
      <c r="R4" s="39" t="s">
        <v>2624</v>
      </c>
      <c r="S4" s="39">
        <v>15.0</v>
      </c>
      <c r="T4" s="39">
        <v>5.0</v>
      </c>
    </row>
    <row r="5">
      <c r="A5" s="39" t="s">
        <v>5378</v>
      </c>
      <c r="B5" s="39" t="s">
        <v>5376</v>
      </c>
      <c r="C5" s="39" t="s">
        <v>4421</v>
      </c>
      <c r="D5" s="39"/>
      <c r="E5" s="39"/>
      <c r="F5" s="39"/>
      <c r="G5" s="39"/>
      <c r="H5" s="39"/>
      <c r="I5" s="39"/>
      <c r="J5" s="39"/>
      <c r="K5" s="39">
        <v>1.0</v>
      </c>
      <c r="L5" s="39" t="s">
        <v>3279</v>
      </c>
      <c r="M5" s="39">
        <v>0.0</v>
      </c>
      <c r="N5" s="39">
        <v>0.0</v>
      </c>
      <c r="O5" s="39">
        <v>28.0</v>
      </c>
      <c r="P5" s="39">
        <v>30.0</v>
      </c>
      <c r="Q5" s="39"/>
      <c r="R5" s="39" t="s">
        <v>2624</v>
      </c>
      <c r="S5" s="39">
        <v>15.0</v>
      </c>
      <c r="T5" s="39">
        <v>5.0</v>
      </c>
    </row>
    <row r="6">
      <c r="A6" s="39" t="s">
        <v>5379</v>
      </c>
      <c r="B6" s="39" t="s">
        <v>5380</v>
      </c>
      <c r="C6" s="39" t="s">
        <v>4421</v>
      </c>
      <c r="D6" s="39"/>
      <c r="E6" s="39"/>
      <c r="F6" s="39"/>
      <c r="G6" s="39"/>
      <c r="H6" s="39"/>
      <c r="I6" s="39"/>
      <c r="J6" s="39"/>
      <c r="K6" s="39">
        <v>1.0</v>
      </c>
      <c r="L6" s="39" t="s">
        <v>3279</v>
      </c>
      <c r="M6" s="39">
        <v>0.0</v>
      </c>
      <c r="N6" s="39">
        <v>10.0</v>
      </c>
      <c r="O6" s="39">
        <v>35.0</v>
      </c>
      <c r="P6" s="39">
        <v>35.0</v>
      </c>
      <c r="Q6" s="39"/>
      <c r="R6" s="39" t="s">
        <v>2624</v>
      </c>
      <c r="S6" s="39">
        <v>15.0</v>
      </c>
      <c r="T6" s="39">
        <v>5.0</v>
      </c>
    </row>
    <row r="7">
      <c r="A7" s="39" t="s">
        <v>5381</v>
      </c>
      <c r="B7" s="39" t="s">
        <v>5380</v>
      </c>
      <c r="C7" s="39" t="s">
        <v>4421</v>
      </c>
      <c r="D7" s="39" t="s">
        <v>29</v>
      </c>
      <c r="E7" s="39" t="s">
        <v>29</v>
      </c>
      <c r="F7" s="39" t="s">
        <v>29</v>
      </c>
      <c r="G7" s="39" t="s">
        <v>29</v>
      </c>
      <c r="H7" s="39" t="s">
        <v>29</v>
      </c>
      <c r="I7" s="39"/>
      <c r="J7" s="39"/>
      <c r="K7" s="39">
        <v>1.0</v>
      </c>
      <c r="L7" s="39" t="s">
        <v>3279</v>
      </c>
      <c r="M7" s="39">
        <v>0.0</v>
      </c>
      <c r="N7" s="39">
        <v>5.0</v>
      </c>
      <c r="O7" s="39">
        <v>35.0</v>
      </c>
      <c r="P7" s="39">
        <v>25.0</v>
      </c>
      <c r="Q7" s="39"/>
      <c r="R7" s="39" t="s">
        <v>2623</v>
      </c>
      <c r="S7" s="39">
        <v>15.0</v>
      </c>
      <c r="T7" s="39">
        <v>5.0</v>
      </c>
    </row>
    <row r="8">
      <c r="A8" s="39" t="s">
        <v>5382</v>
      </c>
      <c r="B8" s="39" t="s">
        <v>5383</v>
      </c>
      <c r="C8" s="39" t="s">
        <v>4421</v>
      </c>
      <c r="D8" s="39" t="s">
        <v>29</v>
      </c>
      <c r="E8" s="39" t="s">
        <v>29</v>
      </c>
      <c r="F8" s="39" t="s">
        <v>29</v>
      </c>
      <c r="G8" s="39" t="s">
        <v>29</v>
      </c>
      <c r="H8" s="39" t="s">
        <v>29</v>
      </c>
      <c r="I8" s="39"/>
      <c r="J8" s="39"/>
      <c r="K8" s="39">
        <v>1.0</v>
      </c>
      <c r="L8" s="39" t="s">
        <v>3279</v>
      </c>
      <c r="M8" s="39">
        <v>0.0</v>
      </c>
      <c r="N8" s="39">
        <v>-20.0</v>
      </c>
      <c r="O8" s="39">
        <v>35.0</v>
      </c>
      <c r="P8" s="39"/>
      <c r="Q8" s="39"/>
      <c r="R8" s="39" t="s">
        <v>2626</v>
      </c>
      <c r="S8" s="39">
        <v>15.0</v>
      </c>
      <c r="T8" s="39">
        <v>5.0</v>
      </c>
    </row>
    <row r="9">
      <c r="A9" s="39" t="s">
        <v>5384</v>
      </c>
      <c r="B9" s="39" t="s">
        <v>61</v>
      </c>
      <c r="C9" s="39" t="s">
        <v>4421</v>
      </c>
      <c r="D9" s="39"/>
      <c r="E9" s="39"/>
      <c r="F9" s="39"/>
      <c r="G9" s="39"/>
      <c r="H9" s="39"/>
      <c r="I9" s="39"/>
      <c r="J9" s="39"/>
      <c r="K9" s="39">
        <v>1.0</v>
      </c>
      <c r="L9" s="39" t="s">
        <v>3279</v>
      </c>
      <c r="M9" s="39">
        <v>0.0</v>
      </c>
      <c r="N9" s="39">
        <v>-5.0</v>
      </c>
      <c r="O9" s="39">
        <v>30.0</v>
      </c>
      <c r="P9" s="39"/>
      <c r="Q9" s="39"/>
      <c r="R9" s="39" t="s">
        <v>2626</v>
      </c>
      <c r="S9" s="39">
        <v>15.0</v>
      </c>
      <c r="T9" s="39">
        <v>5.0</v>
      </c>
    </row>
    <row r="10">
      <c r="A10" s="39" t="s">
        <v>5385</v>
      </c>
      <c r="B10" s="39" t="s">
        <v>61</v>
      </c>
      <c r="C10" s="39" t="s">
        <v>4421</v>
      </c>
      <c r="D10" s="39"/>
      <c r="E10" s="39"/>
      <c r="F10" s="39"/>
      <c r="G10" s="39"/>
      <c r="H10" s="39"/>
      <c r="I10" s="39"/>
      <c r="J10" s="39"/>
      <c r="K10" s="39">
        <v>1.0</v>
      </c>
      <c r="L10" s="39" t="s">
        <v>3279</v>
      </c>
      <c r="M10" s="39">
        <v>0.0</v>
      </c>
      <c r="N10" s="39">
        <v>0.0</v>
      </c>
      <c r="O10" s="39">
        <v>35.0</v>
      </c>
      <c r="P10" s="39"/>
      <c r="Q10" s="39"/>
      <c r="R10" s="39" t="s">
        <v>2626</v>
      </c>
      <c r="S10" s="39">
        <v>15.0</v>
      </c>
      <c r="T10" s="39">
        <v>5.0</v>
      </c>
    </row>
    <row r="11">
      <c r="A11" s="39" t="s">
        <v>5386</v>
      </c>
      <c r="B11" s="39" t="s">
        <v>5383</v>
      </c>
      <c r="C11" s="39" t="s">
        <v>4421</v>
      </c>
      <c r="D11" s="39"/>
      <c r="E11" s="39"/>
      <c r="F11" s="39"/>
      <c r="G11" s="39"/>
      <c r="H11" s="39"/>
      <c r="I11" s="39"/>
      <c r="J11" s="39"/>
      <c r="K11" s="39">
        <v>1.0</v>
      </c>
      <c r="L11" s="39" t="s">
        <v>3279</v>
      </c>
      <c r="M11" s="39">
        <v>0.0</v>
      </c>
      <c r="N11" s="39">
        <v>-10.0</v>
      </c>
      <c r="O11" s="39">
        <v>35.0</v>
      </c>
      <c r="P11" s="39"/>
      <c r="Q11" s="39"/>
      <c r="R11" s="39" t="s">
        <v>2626</v>
      </c>
      <c r="S11" s="39">
        <v>15.0</v>
      </c>
      <c r="T11" s="39">
        <v>5.0</v>
      </c>
    </row>
    <row r="12">
      <c r="A12" s="39" t="s">
        <v>5387</v>
      </c>
      <c r="B12" s="39" t="s">
        <v>5383</v>
      </c>
      <c r="C12" s="39" t="s">
        <v>4421</v>
      </c>
      <c r="D12" s="39"/>
      <c r="E12" s="39"/>
      <c r="F12" s="39"/>
      <c r="G12" s="39"/>
      <c r="H12" s="39"/>
      <c r="I12" s="39"/>
      <c r="J12" s="39"/>
      <c r="K12" s="39">
        <v>1.0</v>
      </c>
      <c r="L12" s="39" t="s">
        <v>3279</v>
      </c>
      <c r="M12" s="39">
        <v>0.0</v>
      </c>
      <c r="N12" s="39">
        <v>0.0</v>
      </c>
      <c r="O12" s="39">
        <v>35.0</v>
      </c>
      <c r="P12" s="39"/>
      <c r="Q12" s="39"/>
      <c r="R12" s="39" t="s">
        <v>2626</v>
      </c>
      <c r="S12" s="39">
        <v>15.0</v>
      </c>
      <c r="T12" s="39">
        <v>5.0</v>
      </c>
    </row>
    <row r="13">
      <c r="A13" s="39" t="s">
        <v>3205</v>
      </c>
      <c r="B13" s="39" t="s">
        <v>5388</v>
      </c>
      <c r="C13" s="39" t="s">
        <v>5115</v>
      </c>
      <c r="D13" s="39" t="s">
        <v>29</v>
      </c>
      <c r="E13" s="39" t="s">
        <v>29</v>
      </c>
      <c r="F13" s="39" t="s">
        <v>29</v>
      </c>
      <c r="G13" s="39" t="s">
        <v>29</v>
      </c>
      <c r="H13" s="39" t="s">
        <v>29</v>
      </c>
      <c r="I13" s="39"/>
      <c r="J13" s="39"/>
      <c r="K13" s="39">
        <v>1.0</v>
      </c>
      <c r="L13" s="39" t="s">
        <v>3281</v>
      </c>
      <c r="M13" s="39">
        <v>1.0</v>
      </c>
      <c r="N13" s="39"/>
      <c r="O13" s="39"/>
      <c r="P13" s="39"/>
      <c r="Q13" s="39"/>
      <c r="R13" s="39"/>
      <c r="S13" s="39"/>
      <c r="T13" s="39"/>
    </row>
    <row r="14">
      <c r="A14" s="39" t="s">
        <v>3206</v>
      </c>
      <c r="B14" s="39" t="s">
        <v>5389</v>
      </c>
      <c r="C14" s="39" t="s">
        <v>4439</v>
      </c>
      <c r="D14" s="39">
        <v>5.0</v>
      </c>
      <c r="E14" s="39">
        <v>1.0</v>
      </c>
      <c r="F14" s="39" t="s">
        <v>4772</v>
      </c>
      <c r="G14" s="39">
        <v>0.2</v>
      </c>
      <c r="H14" s="39" t="s">
        <v>5390</v>
      </c>
      <c r="I14" s="39"/>
      <c r="J14" s="39"/>
      <c r="K14" s="39">
        <v>1.0</v>
      </c>
      <c r="L14" s="39" t="s">
        <v>3281</v>
      </c>
      <c r="M14" s="39">
        <v>2.0</v>
      </c>
      <c r="N14" s="39"/>
      <c r="O14" s="39"/>
      <c r="P14" s="39"/>
      <c r="Q14" s="39"/>
      <c r="R14" s="39"/>
      <c r="S14" s="39"/>
      <c r="T14" s="39"/>
    </row>
    <row r="15">
      <c r="A15" s="41" t="s">
        <v>3211</v>
      </c>
      <c r="B15" s="39" t="s">
        <v>5391</v>
      </c>
      <c r="C15" s="39" t="s">
        <v>4439</v>
      </c>
      <c r="D15" s="39">
        <v>5.0</v>
      </c>
      <c r="E15" s="39">
        <v>1.0</v>
      </c>
      <c r="F15" s="39" t="s">
        <v>4772</v>
      </c>
      <c r="G15" s="39">
        <v>0.2</v>
      </c>
      <c r="H15" s="39" t="s">
        <v>5390</v>
      </c>
      <c r="I15" s="39"/>
      <c r="J15" s="39"/>
      <c r="K15" s="39">
        <v>1.0</v>
      </c>
      <c r="L15" s="39" t="s">
        <v>3281</v>
      </c>
      <c r="M15" s="39">
        <v>2.0</v>
      </c>
      <c r="N15" s="39"/>
      <c r="O15" s="39"/>
      <c r="P15" s="39"/>
      <c r="Q15" s="39"/>
      <c r="R15" s="39"/>
      <c r="S15" s="39"/>
      <c r="T15" s="39"/>
    </row>
    <row r="16">
      <c r="A16" s="39" t="s">
        <v>3202</v>
      </c>
      <c r="B16" s="39" t="s">
        <v>56</v>
      </c>
      <c r="C16" s="39" t="s">
        <v>4439</v>
      </c>
      <c r="D16" s="39">
        <v>5.0</v>
      </c>
      <c r="E16" s="39">
        <v>1.0</v>
      </c>
      <c r="F16" s="39" t="s">
        <v>4913</v>
      </c>
      <c r="G16" s="39">
        <v>0.2</v>
      </c>
      <c r="H16" s="39" t="s">
        <v>5390</v>
      </c>
      <c r="I16" s="39"/>
      <c r="J16" s="39"/>
      <c r="K16" s="39">
        <v>1.0</v>
      </c>
      <c r="L16" s="39" t="s">
        <v>3279</v>
      </c>
      <c r="M16" s="39">
        <v>2.0</v>
      </c>
      <c r="N16" s="39"/>
      <c r="O16" s="39"/>
      <c r="P16" s="39"/>
      <c r="Q16" s="39"/>
      <c r="R16" s="39"/>
      <c r="S16" s="39"/>
      <c r="T16" s="39"/>
    </row>
    <row r="17">
      <c r="A17" s="39" t="s">
        <v>3203</v>
      </c>
      <c r="B17" s="39" t="s">
        <v>56</v>
      </c>
      <c r="C17" s="39" t="s">
        <v>4439</v>
      </c>
      <c r="D17" s="39">
        <v>5.0</v>
      </c>
      <c r="E17" s="39">
        <v>1.0</v>
      </c>
      <c r="F17" s="39" t="s">
        <v>4913</v>
      </c>
      <c r="G17" s="39">
        <v>0.2</v>
      </c>
      <c r="H17" s="39" t="s">
        <v>5390</v>
      </c>
      <c r="I17" s="39"/>
      <c r="J17" s="39"/>
      <c r="K17" s="39">
        <v>1.0</v>
      </c>
      <c r="L17" s="39" t="s">
        <v>3279</v>
      </c>
      <c r="M17" s="39">
        <v>3.0</v>
      </c>
      <c r="N17" s="39"/>
      <c r="O17" s="39"/>
      <c r="P17" s="39"/>
      <c r="Q17" s="39"/>
      <c r="R17" s="39"/>
      <c r="S17" s="39"/>
      <c r="T17" s="39"/>
    </row>
    <row r="18">
      <c r="A18" s="39" t="s">
        <v>3207</v>
      </c>
      <c r="B18" s="39" t="s">
        <v>5389</v>
      </c>
      <c r="C18" s="39" t="s">
        <v>4439</v>
      </c>
      <c r="D18" s="39">
        <v>5.0</v>
      </c>
      <c r="E18" s="39">
        <v>1.0</v>
      </c>
      <c r="F18" s="39" t="s">
        <v>4772</v>
      </c>
      <c r="G18" s="39">
        <v>0.2</v>
      </c>
      <c r="H18" s="39" t="s">
        <v>5390</v>
      </c>
      <c r="I18" s="39"/>
      <c r="J18" s="39"/>
      <c r="K18" s="39">
        <v>1.0</v>
      </c>
      <c r="L18" s="39" t="s">
        <v>3281</v>
      </c>
      <c r="M18" s="39">
        <v>3.0</v>
      </c>
      <c r="N18" s="39"/>
      <c r="O18" s="39"/>
      <c r="P18" s="39"/>
      <c r="Q18" s="39"/>
      <c r="R18" s="39"/>
      <c r="S18" s="39"/>
      <c r="T18" s="39"/>
    </row>
    <row r="19">
      <c r="A19" s="39" t="s">
        <v>3208</v>
      </c>
      <c r="B19" s="39" t="s">
        <v>5389</v>
      </c>
      <c r="C19" s="39" t="s">
        <v>4439</v>
      </c>
      <c r="D19" s="39">
        <v>5.0</v>
      </c>
      <c r="E19" s="39">
        <v>1.0</v>
      </c>
      <c r="F19" s="39" t="s">
        <v>4772</v>
      </c>
      <c r="G19" s="39">
        <v>0.2</v>
      </c>
      <c r="H19" s="39" t="s">
        <v>5390</v>
      </c>
      <c r="I19" s="39"/>
      <c r="J19" s="39"/>
      <c r="K19" s="39">
        <v>1.0</v>
      </c>
      <c r="L19" s="39" t="s">
        <v>3281</v>
      </c>
      <c r="M19" s="39">
        <v>3.0</v>
      </c>
      <c r="N19" s="39"/>
      <c r="O19" s="39"/>
      <c r="P19" s="39"/>
      <c r="Q19" s="39"/>
      <c r="R19" s="39"/>
      <c r="S19" s="39"/>
      <c r="T19" s="39"/>
    </row>
    <row r="20">
      <c r="A20" s="39" t="s">
        <v>3210</v>
      </c>
      <c r="B20" s="39" t="s">
        <v>5392</v>
      </c>
      <c r="C20" s="39" t="s">
        <v>4439</v>
      </c>
      <c r="D20" s="39">
        <v>5.0</v>
      </c>
      <c r="E20" s="39">
        <v>1.0</v>
      </c>
      <c r="F20" s="39" t="s">
        <v>4772</v>
      </c>
      <c r="G20" s="39">
        <v>0.2</v>
      </c>
      <c r="H20" s="39" t="s">
        <v>5390</v>
      </c>
      <c r="I20" s="39"/>
      <c r="J20" s="39"/>
      <c r="K20" s="39">
        <v>1.0</v>
      </c>
      <c r="L20" s="39" t="s">
        <v>3281</v>
      </c>
      <c r="M20" s="39">
        <v>1.0</v>
      </c>
      <c r="N20" s="39"/>
      <c r="O20" s="39"/>
      <c r="P20" s="39"/>
      <c r="Q20" s="39"/>
      <c r="R20" s="39"/>
      <c r="S20" s="39"/>
      <c r="T20" s="39"/>
    </row>
    <row r="21">
      <c r="A21" s="39" t="s">
        <v>48</v>
      </c>
      <c r="B21" s="39" t="s">
        <v>5393</v>
      </c>
      <c r="C21" s="39" t="s">
        <v>48</v>
      </c>
      <c r="D21" s="39" t="s">
        <v>29</v>
      </c>
      <c r="E21" s="39" t="s">
        <v>29</v>
      </c>
      <c r="F21" s="39" t="s">
        <v>29</v>
      </c>
      <c r="G21" s="39" t="s">
        <v>29</v>
      </c>
      <c r="H21" s="39" t="s">
        <v>5394</v>
      </c>
      <c r="I21" s="39" t="s">
        <v>29</v>
      </c>
      <c r="J21" s="39" t="s">
        <v>29</v>
      </c>
      <c r="K21" s="39">
        <v>1.0</v>
      </c>
      <c r="L21" s="39" t="s">
        <v>3279</v>
      </c>
      <c r="M21" s="39">
        <v>1.0</v>
      </c>
      <c r="N21" s="39">
        <v>0.0</v>
      </c>
      <c r="O21" s="39">
        <v>30.0</v>
      </c>
      <c r="P21" s="39">
        <v>35.0</v>
      </c>
      <c r="Q21" s="39"/>
      <c r="R21" s="39"/>
      <c r="S21" s="39"/>
      <c r="T21" s="39"/>
    </row>
    <row r="22">
      <c r="R22" s="37"/>
      <c r="S22" s="37"/>
      <c r="T22" s="37"/>
    </row>
    <row r="23">
      <c r="R23" s="37"/>
      <c r="S23" s="37"/>
      <c r="T23" s="37"/>
    </row>
    <row r="24">
      <c r="R24" s="37"/>
      <c r="S24" s="37"/>
      <c r="T24" s="37"/>
    </row>
    <row r="25">
      <c r="R25" s="37"/>
      <c r="S25" s="37"/>
      <c r="T25" s="37"/>
    </row>
    <row r="26">
      <c r="R26" s="37"/>
      <c r="S26" s="37"/>
      <c r="T26" s="37"/>
    </row>
    <row r="27">
      <c r="R27" s="37"/>
      <c r="S27" s="37"/>
      <c r="T27" s="37"/>
    </row>
    <row r="28">
      <c r="R28" s="37"/>
      <c r="S28" s="37"/>
      <c r="T28" s="37"/>
    </row>
    <row r="29">
      <c r="R29" s="37"/>
      <c r="S29" s="37"/>
      <c r="T29" s="37"/>
    </row>
    <row r="30">
      <c r="R30" s="37"/>
      <c r="S30" s="37"/>
      <c r="T30" s="37"/>
    </row>
    <row r="31">
      <c r="R31" s="37"/>
      <c r="S31" s="37"/>
      <c r="T31" s="37"/>
    </row>
    <row r="32">
      <c r="R32" s="37"/>
      <c r="S32" s="37"/>
      <c r="T32" s="37"/>
    </row>
    <row r="33">
      <c r="R33" s="37"/>
      <c r="S33" s="37"/>
      <c r="T33" s="37"/>
    </row>
    <row r="34">
      <c r="R34" s="37"/>
      <c r="S34" s="37"/>
      <c r="T34" s="37"/>
    </row>
    <row r="35">
      <c r="R35" s="37"/>
      <c r="S35" s="37"/>
      <c r="T35" s="37"/>
    </row>
    <row r="36">
      <c r="R36" s="37"/>
      <c r="S36" s="37"/>
      <c r="T36" s="37"/>
    </row>
    <row r="37">
      <c r="R37" s="37"/>
      <c r="S37" s="37"/>
      <c r="T37" s="37"/>
    </row>
    <row r="38">
      <c r="R38" s="37"/>
      <c r="S38" s="37"/>
      <c r="T38" s="37"/>
    </row>
    <row r="39">
      <c r="R39" s="37"/>
      <c r="S39" s="37"/>
      <c r="T39" s="37"/>
    </row>
    <row r="40">
      <c r="R40" s="37"/>
      <c r="S40" s="37"/>
      <c r="T40" s="37"/>
    </row>
    <row r="41">
      <c r="R41" s="37"/>
      <c r="S41" s="37"/>
      <c r="T41" s="37"/>
    </row>
    <row r="42">
      <c r="R42" s="37"/>
      <c r="S42" s="37"/>
      <c r="T42" s="37"/>
    </row>
    <row r="43">
      <c r="R43" s="37"/>
      <c r="S43" s="37"/>
      <c r="T43" s="37"/>
    </row>
    <row r="44">
      <c r="R44" s="37"/>
      <c r="S44" s="37"/>
      <c r="T44" s="37"/>
    </row>
    <row r="45">
      <c r="R45" s="37"/>
      <c r="S45" s="37"/>
      <c r="T45" s="37"/>
    </row>
    <row r="46">
      <c r="R46" s="37"/>
      <c r="S46" s="37"/>
      <c r="T46" s="37"/>
    </row>
    <row r="47">
      <c r="R47" s="37"/>
      <c r="S47" s="37"/>
      <c r="T47" s="37"/>
    </row>
    <row r="48">
      <c r="R48" s="37"/>
      <c r="S48" s="37"/>
      <c r="T48" s="37"/>
    </row>
    <row r="49">
      <c r="R49" s="37"/>
      <c r="S49" s="37"/>
      <c r="T49" s="37"/>
    </row>
    <row r="50">
      <c r="R50" s="37"/>
      <c r="S50" s="37"/>
      <c r="T50" s="37"/>
    </row>
    <row r="51">
      <c r="R51" s="37"/>
      <c r="S51" s="37"/>
      <c r="T51" s="37"/>
    </row>
    <row r="52">
      <c r="R52" s="37"/>
      <c r="S52" s="37"/>
      <c r="T52" s="37"/>
    </row>
    <row r="53">
      <c r="R53" s="37"/>
      <c r="S53" s="37"/>
      <c r="T53" s="37"/>
    </row>
    <row r="54">
      <c r="R54" s="37"/>
      <c r="S54" s="37"/>
      <c r="T54" s="37"/>
    </row>
    <row r="55">
      <c r="R55" s="37"/>
      <c r="S55" s="37"/>
      <c r="T55" s="37"/>
    </row>
    <row r="56">
      <c r="R56" s="37"/>
      <c r="S56" s="37"/>
      <c r="T56" s="37"/>
    </row>
    <row r="57">
      <c r="R57" s="37"/>
      <c r="S57" s="37"/>
      <c r="T57" s="37"/>
    </row>
    <row r="58">
      <c r="R58" s="37"/>
      <c r="S58" s="37"/>
      <c r="T58" s="37"/>
    </row>
    <row r="59">
      <c r="R59" s="37"/>
      <c r="S59" s="37"/>
      <c r="T59" s="37"/>
    </row>
    <row r="60">
      <c r="R60" s="37"/>
      <c r="S60" s="37"/>
      <c r="T60" s="37"/>
    </row>
    <row r="61">
      <c r="R61" s="37"/>
      <c r="S61" s="37"/>
      <c r="T61" s="37"/>
    </row>
    <row r="62">
      <c r="R62" s="37"/>
      <c r="S62" s="37"/>
      <c r="T62" s="37"/>
    </row>
    <row r="63">
      <c r="R63" s="37"/>
      <c r="S63" s="37"/>
      <c r="T63" s="37"/>
    </row>
    <row r="64">
      <c r="R64" s="37"/>
      <c r="S64" s="37"/>
      <c r="T64" s="37"/>
    </row>
    <row r="65">
      <c r="R65" s="37"/>
      <c r="S65" s="37"/>
      <c r="T65" s="37"/>
    </row>
    <row r="66">
      <c r="R66" s="37"/>
      <c r="S66" s="37"/>
      <c r="T66" s="37"/>
    </row>
    <row r="67">
      <c r="R67" s="37"/>
      <c r="S67" s="37"/>
      <c r="T67" s="37"/>
    </row>
    <row r="68">
      <c r="R68" s="37"/>
      <c r="S68" s="37"/>
      <c r="T68" s="37"/>
    </row>
    <row r="69">
      <c r="R69" s="37"/>
      <c r="S69" s="37"/>
      <c r="T69" s="37"/>
    </row>
    <row r="70">
      <c r="R70" s="37"/>
      <c r="S70" s="37"/>
      <c r="T70" s="37"/>
    </row>
    <row r="71">
      <c r="R71" s="37"/>
      <c r="S71" s="37"/>
      <c r="T71" s="37"/>
    </row>
    <row r="72">
      <c r="R72" s="37"/>
      <c r="S72" s="37"/>
      <c r="T72" s="37"/>
    </row>
    <row r="73">
      <c r="R73" s="37"/>
      <c r="S73" s="37"/>
      <c r="T73" s="37"/>
    </row>
    <row r="74">
      <c r="R74" s="37"/>
      <c r="S74" s="37"/>
      <c r="T74" s="37"/>
    </row>
    <row r="75">
      <c r="R75" s="37"/>
      <c r="S75" s="37"/>
      <c r="T75" s="37"/>
    </row>
    <row r="76">
      <c r="R76" s="37"/>
      <c r="S76" s="37"/>
      <c r="T76" s="37"/>
    </row>
    <row r="77">
      <c r="R77" s="37"/>
      <c r="S77" s="37"/>
      <c r="T77" s="37"/>
    </row>
    <row r="78">
      <c r="R78" s="37"/>
      <c r="S78" s="37"/>
      <c r="T78" s="37"/>
    </row>
    <row r="79">
      <c r="R79" s="37"/>
      <c r="S79" s="37"/>
      <c r="T79" s="37"/>
    </row>
    <row r="80">
      <c r="R80" s="37"/>
      <c r="S80" s="37"/>
      <c r="T80" s="37"/>
    </row>
    <row r="81">
      <c r="R81" s="37"/>
      <c r="S81" s="37"/>
      <c r="T81" s="37"/>
    </row>
    <row r="82">
      <c r="R82" s="37"/>
      <c r="S82" s="37"/>
      <c r="T82" s="37"/>
    </row>
    <row r="83">
      <c r="R83" s="37"/>
      <c r="S83" s="37"/>
      <c r="T83" s="37"/>
    </row>
    <row r="84">
      <c r="R84" s="37"/>
      <c r="S84" s="37"/>
      <c r="T84" s="37"/>
    </row>
    <row r="85">
      <c r="R85" s="37"/>
      <c r="S85" s="37"/>
      <c r="T85" s="37"/>
    </row>
    <row r="86">
      <c r="R86" s="37"/>
      <c r="S86" s="37"/>
      <c r="T86" s="37"/>
    </row>
    <row r="87">
      <c r="R87" s="37"/>
      <c r="S87" s="37"/>
      <c r="T87" s="37"/>
    </row>
    <row r="88">
      <c r="R88" s="37"/>
      <c r="S88" s="37"/>
      <c r="T88" s="37"/>
    </row>
    <row r="89">
      <c r="R89" s="37"/>
      <c r="S89" s="37"/>
      <c r="T89" s="37"/>
    </row>
    <row r="90">
      <c r="R90" s="37"/>
      <c r="S90" s="37"/>
      <c r="T90" s="37"/>
    </row>
    <row r="91">
      <c r="R91" s="37"/>
      <c r="S91" s="37"/>
      <c r="T91" s="37"/>
    </row>
    <row r="92">
      <c r="R92" s="37"/>
      <c r="S92" s="37"/>
      <c r="T92" s="37"/>
    </row>
    <row r="93">
      <c r="R93" s="37"/>
      <c r="S93" s="37"/>
      <c r="T93" s="37"/>
    </row>
    <row r="94">
      <c r="R94" s="37"/>
      <c r="S94" s="37"/>
      <c r="T94" s="37"/>
    </row>
    <row r="95">
      <c r="R95" s="37"/>
      <c r="S95" s="37"/>
      <c r="T95" s="37"/>
    </row>
    <row r="96">
      <c r="R96" s="37"/>
      <c r="S96" s="37"/>
      <c r="T96" s="37"/>
    </row>
    <row r="97">
      <c r="R97" s="37"/>
      <c r="S97" s="37"/>
      <c r="T97" s="37"/>
    </row>
    <row r="98">
      <c r="R98" s="37"/>
      <c r="S98" s="37"/>
      <c r="T98" s="37"/>
    </row>
    <row r="99">
      <c r="R99" s="37"/>
      <c r="S99" s="37"/>
      <c r="T99" s="37"/>
    </row>
    <row r="100">
      <c r="R100" s="37"/>
      <c r="S100" s="37"/>
      <c r="T100" s="37"/>
    </row>
  </sheetData>
  <dataValidations>
    <dataValidation type="decimal" operator="greaterThanOrEqual" allowBlank="1" showDropDown="1" showErrorMessage="1" sqref="S2:T100">
      <formula1>0.0</formula1>
    </dataValidation>
    <dataValidation type="list" allowBlank="1" showInputMessage="1" showErrorMessage="1" prompt="対応する食料を選択。対象外は空欄。" sqref="R2:R100">
      <formula1>"穀物,野菜,肉,魚"</formula1>
    </dataValidation>
  </dataValidations>
  <drawing r:id="rId2"/>
  <legacyDrawing r:id="rId3"/>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2" width="13.25"/>
    <col customWidth="1" min="13" max="13" width="48.88"/>
  </cols>
  <sheetData>
    <row r="1">
      <c r="A1" s="188" t="s">
        <v>2561</v>
      </c>
      <c r="B1" s="188" t="s">
        <v>6</v>
      </c>
      <c r="C1" s="188" t="s">
        <v>5395</v>
      </c>
      <c r="D1" s="188" t="s">
        <v>5396</v>
      </c>
      <c r="E1" s="188" t="s">
        <v>5397</v>
      </c>
      <c r="F1" s="188" t="s">
        <v>5398</v>
      </c>
      <c r="G1" s="188" t="s">
        <v>5399</v>
      </c>
      <c r="H1" s="188" t="s">
        <v>5400</v>
      </c>
      <c r="I1" s="188" t="s">
        <v>5401</v>
      </c>
      <c r="J1" s="188" t="s">
        <v>5402</v>
      </c>
      <c r="K1" s="188" t="s">
        <v>8</v>
      </c>
      <c r="L1" s="188" t="s">
        <v>5003</v>
      </c>
      <c r="M1" s="188" t="s">
        <v>2620</v>
      </c>
    </row>
    <row r="2">
      <c r="A2" s="142" t="s">
        <v>48</v>
      </c>
      <c r="B2" s="142">
        <v>20.0</v>
      </c>
      <c r="C2" s="142">
        <v>0.0</v>
      </c>
      <c r="D2" s="142">
        <v>5.0</v>
      </c>
      <c r="E2" s="142">
        <v>6.0</v>
      </c>
      <c r="F2" s="142">
        <v>3.0</v>
      </c>
      <c r="G2" s="142" t="s">
        <v>29</v>
      </c>
      <c r="H2" s="142" t="s">
        <v>29</v>
      </c>
      <c r="I2" s="142">
        <v>1.0</v>
      </c>
      <c r="J2" s="142">
        <v>1.0</v>
      </c>
      <c r="K2" s="142" t="s">
        <v>849</v>
      </c>
      <c r="L2" s="142">
        <v>0.0</v>
      </c>
      <c r="M2" s="142" t="s">
        <v>5403</v>
      </c>
    </row>
    <row r="3">
      <c r="A3" s="142" t="s">
        <v>50</v>
      </c>
      <c r="B3" s="142">
        <v>20.0</v>
      </c>
      <c r="C3" s="142">
        <v>20.0</v>
      </c>
      <c r="D3" s="142">
        <v>5.0</v>
      </c>
      <c r="E3" s="142">
        <v>6.0</v>
      </c>
      <c r="F3" s="142">
        <v>3.0</v>
      </c>
      <c r="G3" s="142" t="s">
        <v>5404</v>
      </c>
      <c r="H3" s="142" t="s">
        <v>4683</v>
      </c>
      <c r="I3" s="142">
        <v>1.0</v>
      </c>
      <c r="J3" s="142">
        <v>1.0</v>
      </c>
      <c r="K3" s="142" t="s">
        <v>849</v>
      </c>
      <c r="L3" s="142">
        <v>0.0</v>
      </c>
      <c r="M3" s="142" t="s">
        <v>5405</v>
      </c>
    </row>
    <row r="4">
      <c r="A4" s="142" t="s">
        <v>52</v>
      </c>
      <c r="B4" s="142">
        <v>20.0</v>
      </c>
      <c r="C4" s="142">
        <v>80.0</v>
      </c>
      <c r="D4" s="142">
        <v>0.0</v>
      </c>
      <c r="E4" s="142">
        <v>0.0</v>
      </c>
      <c r="F4" s="142">
        <v>3.0</v>
      </c>
      <c r="G4" s="142" t="s">
        <v>5406</v>
      </c>
      <c r="H4" s="142" t="s">
        <v>4686</v>
      </c>
      <c r="I4" s="142">
        <v>1.0</v>
      </c>
      <c r="J4" s="142">
        <v>1.0</v>
      </c>
      <c r="K4" s="142" t="s">
        <v>849</v>
      </c>
      <c r="L4" s="142">
        <v>0.0</v>
      </c>
      <c r="M4" s="142" t="s">
        <v>5407</v>
      </c>
    </row>
    <row r="5">
      <c r="A5" s="142" t="s">
        <v>484</v>
      </c>
      <c r="B5" s="142">
        <v>20.0</v>
      </c>
      <c r="C5" s="142">
        <v>0.0</v>
      </c>
      <c r="D5" s="142">
        <v>0.0</v>
      </c>
      <c r="E5" s="142">
        <v>0.0</v>
      </c>
      <c r="F5" s="142">
        <v>3.0</v>
      </c>
      <c r="G5" s="142" t="s">
        <v>5404</v>
      </c>
      <c r="H5" s="142" t="s">
        <v>4647</v>
      </c>
      <c r="I5" s="142">
        <v>1.0</v>
      </c>
      <c r="J5" s="142">
        <v>1.0</v>
      </c>
      <c r="K5" s="142" t="s">
        <v>1845</v>
      </c>
      <c r="L5" s="142">
        <v>0.0</v>
      </c>
      <c r="M5" s="142" t="s">
        <v>5408</v>
      </c>
    </row>
    <row r="6">
      <c r="A6" s="142" t="s">
        <v>5409</v>
      </c>
      <c r="B6" s="142">
        <v>20.0</v>
      </c>
      <c r="C6" s="142">
        <v>0.0</v>
      </c>
      <c r="D6" s="142">
        <v>0.0</v>
      </c>
      <c r="E6" s="142">
        <v>3.0</v>
      </c>
      <c r="F6" s="142">
        <v>3.0</v>
      </c>
      <c r="G6" s="142" t="s">
        <v>5410</v>
      </c>
      <c r="H6" s="142" t="s">
        <v>4639</v>
      </c>
      <c r="I6" s="142">
        <v>1.0</v>
      </c>
      <c r="J6" s="142">
        <v>1.0</v>
      </c>
      <c r="K6" s="142" t="s">
        <v>4308</v>
      </c>
      <c r="L6" s="142">
        <v>10.0</v>
      </c>
      <c r="M6" s="142" t="s">
        <v>5411</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AE2D5"/>
    <pageSetUpPr/>
  </sheetPr>
  <sheetViews>
    <sheetView workbookViewId="0">
      <pane xSplit="8.0" ySplit="3.0" topLeftCell="I4" activePane="bottomRight" state="frozen"/>
      <selection activeCell="I1" sqref="I1" pane="topRight"/>
      <selection activeCell="A4" sqref="A4" pane="bottomLeft"/>
      <selection activeCell="I4" sqref="I4" pane="bottomRight"/>
    </sheetView>
  </sheetViews>
  <sheetFormatPr customHeight="1" defaultColWidth="12.63" defaultRowHeight="15.0" outlineLevelCol="1" outlineLevelRow="1"/>
  <cols>
    <col customWidth="1" min="1" max="2" width="10.13"/>
    <col customWidth="1" min="3" max="4" width="2.5"/>
    <col customWidth="1" min="5" max="6" width="3.13"/>
    <col customWidth="1" min="7" max="7" width="5.5"/>
    <col customWidth="1" min="8" max="8" width="27.5"/>
    <col customWidth="1" min="9" max="12" width="4.75"/>
    <col customWidth="1" min="13" max="14" width="5.63"/>
    <col customWidth="1" min="15" max="15" width="4.25"/>
    <col customWidth="1" min="16" max="32" width="4.25" outlineLevel="1"/>
    <col customWidth="1" min="33" max="33" width="4.63" outlineLevel="1"/>
    <col customWidth="1" min="34" max="34" width="6.25" outlineLevel="1"/>
    <col customWidth="1" min="35" max="35" width="3.63"/>
    <col customWidth="1" min="36" max="37" width="3.88" outlineLevel="1"/>
    <col customWidth="1" min="38" max="43" width="4.63" outlineLevel="1"/>
    <col customWidth="1" min="44" max="44" width="3.75" outlineLevel="1"/>
    <col customWidth="1" min="45" max="45" width="4.63"/>
    <col customWidth="1" min="46" max="59" width="4.63" outlineLevel="1"/>
    <col customWidth="1" min="60" max="60" width="4.25"/>
    <col customWidth="1" min="61" max="77" width="4.25" outlineLevel="1"/>
    <col customWidth="1" min="78" max="78" width="4.38" outlineLevel="1"/>
    <col customWidth="1" min="79" max="79" width="5.75" outlineLevel="1"/>
    <col customWidth="1" min="80" max="80" width="5.25"/>
    <col customWidth="1" min="81" max="92" width="4.25"/>
  </cols>
  <sheetData>
    <row r="1" ht="34.5" customHeight="1">
      <c r="A1" s="11" t="s">
        <v>2561</v>
      </c>
      <c r="B1" s="11" t="s">
        <v>2</v>
      </c>
      <c r="C1" s="2" t="s">
        <v>3</v>
      </c>
      <c r="D1" s="3" t="s">
        <v>4</v>
      </c>
      <c r="E1" s="4" t="s">
        <v>5</v>
      </c>
      <c r="F1" s="5" t="s">
        <v>6</v>
      </c>
      <c r="G1" s="189" t="s">
        <v>13</v>
      </c>
      <c r="H1" s="165" t="s">
        <v>2620</v>
      </c>
      <c r="I1" s="166" t="s">
        <v>5412</v>
      </c>
      <c r="J1" s="166" t="s">
        <v>4473</v>
      </c>
      <c r="K1" s="166" t="s">
        <v>5413</v>
      </c>
      <c r="L1" s="167" t="s">
        <v>849</v>
      </c>
      <c r="M1" s="167" t="s">
        <v>4993</v>
      </c>
      <c r="N1" s="167" t="s">
        <v>1492</v>
      </c>
      <c r="O1" s="167" t="s">
        <v>4994</v>
      </c>
      <c r="P1" s="167" t="s">
        <v>4808</v>
      </c>
      <c r="Q1" s="167" t="s">
        <v>4995</v>
      </c>
      <c r="R1" s="167" t="s">
        <v>1452</v>
      </c>
      <c r="S1" s="167" t="s">
        <v>5108</v>
      </c>
      <c r="T1" s="167" t="s">
        <v>1782</v>
      </c>
      <c r="U1" s="167" t="s">
        <v>284</v>
      </c>
      <c r="V1" s="167" t="s">
        <v>370</v>
      </c>
      <c r="W1" s="167" t="s">
        <v>518</v>
      </c>
      <c r="X1" s="167" t="s">
        <v>644</v>
      </c>
      <c r="Y1" s="167" t="s">
        <v>783</v>
      </c>
      <c r="Z1" s="167" t="s">
        <v>716</v>
      </c>
      <c r="AA1" s="167" t="s">
        <v>5414</v>
      </c>
      <c r="AB1" s="167" t="s">
        <v>4996</v>
      </c>
      <c r="AC1" s="167" t="s">
        <v>1490</v>
      </c>
      <c r="AD1" s="167" t="s">
        <v>4997</v>
      </c>
      <c r="AE1" s="167" t="s">
        <v>4998</v>
      </c>
      <c r="AF1" s="167" t="s">
        <v>4999</v>
      </c>
      <c r="AG1" s="167" t="s">
        <v>5000</v>
      </c>
      <c r="AH1" s="167" t="s">
        <v>5001</v>
      </c>
      <c r="AI1" s="45" t="s">
        <v>2565</v>
      </c>
      <c r="AJ1" s="45" t="s">
        <v>2566</v>
      </c>
      <c r="AK1" s="45" t="s">
        <v>2567</v>
      </c>
      <c r="AL1" s="45" t="s">
        <v>2568</v>
      </c>
      <c r="AM1" s="45" t="s">
        <v>81</v>
      </c>
      <c r="AN1" s="45" t="s">
        <v>2569</v>
      </c>
      <c r="AO1" s="45" t="s">
        <v>1348</v>
      </c>
      <c r="AP1" s="45" t="s">
        <v>2570</v>
      </c>
      <c r="AQ1" s="45" t="s">
        <v>2571</v>
      </c>
      <c r="AR1" s="45" t="s">
        <v>2572</v>
      </c>
      <c r="AS1" s="49" t="s">
        <v>2593</v>
      </c>
      <c r="AT1" s="49" t="s">
        <v>1921</v>
      </c>
      <c r="AU1" s="49" t="s">
        <v>2594</v>
      </c>
      <c r="AV1" s="49" t="s">
        <v>2595</v>
      </c>
      <c r="AW1" s="49" t="s">
        <v>2596</v>
      </c>
      <c r="AX1" s="51" t="s">
        <v>1139</v>
      </c>
      <c r="AY1" s="51" t="s">
        <v>2598</v>
      </c>
      <c r="AZ1" s="52" t="s">
        <v>2599</v>
      </c>
      <c r="BA1" s="52" t="s">
        <v>2600</v>
      </c>
      <c r="BB1" s="52" t="s">
        <v>2601</v>
      </c>
      <c r="BC1" s="52" t="s">
        <v>2602</v>
      </c>
      <c r="BD1" s="53" t="s">
        <v>2603</v>
      </c>
      <c r="BE1" s="53" t="s">
        <v>2604</v>
      </c>
      <c r="BF1" s="53" t="s">
        <v>2429</v>
      </c>
      <c r="BG1" s="53" t="s">
        <v>1179</v>
      </c>
      <c r="BH1" s="48" t="s">
        <v>2574</v>
      </c>
      <c r="BI1" s="48" t="s">
        <v>2575</v>
      </c>
      <c r="BJ1" s="48" t="s">
        <v>2576</v>
      </c>
      <c r="BK1" s="48" t="s">
        <v>2577</v>
      </c>
      <c r="BL1" s="48" t="s">
        <v>2578</v>
      </c>
      <c r="BM1" s="48" t="s">
        <v>2579</v>
      </c>
      <c r="BN1" s="48" t="s">
        <v>2580</v>
      </c>
      <c r="BO1" s="48" t="s">
        <v>2581</v>
      </c>
      <c r="BP1" s="48" t="s">
        <v>2582</v>
      </c>
      <c r="BQ1" s="48" t="s">
        <v>2583</v>
      </c>
      <c r="BR1" s="48" t="s">
        <v>2584</v>
      </c>
      <c r="BS1" s="48" t="s">
        <v>2585</v>
      </c>
      <c r="BT1" s="48" t="s">
        <v>5415</v>
      </c>
      <c r="BU1" s="48" t="s">
        <v>5002</v>
      </c>
      <c r="BV1" s="48" t="s">
        <v>2587</v>
      </c>
      <c r="BW1" s="48" t="s">
        <v>2588</v>
      </c>
      <c r="BX1" s="48" t="s">
        <v>2589</v>
      </c>
      <c r="BY1" s="48" t="s">
        <v>2590</v>
      </c>
      <c r="BZ1" s="48" t="s">
        <v>2591</v>
      </c>
      <c r="CA1" s="48" t="s">
        <v>2592</v>
      </c>
      <c r="CB1" s="190" t="s">
        <v>1842</v>
      </c>
      <c r="CC1" s="168" t="s">
        <v>5003</v>
      </c>
      <c r="CD1" s="168" t="s">
        <v>5004</v>
      </c>
      <c r="CE1" s="168" t="s">
        <v>3099</v>
      </c>
      <c r="CF1" s="168" t="s">
        <v>5005</v>
      </c>
      <c r="CG1" s="168" t="s">
        <v>8</v>
      </c>
      <c r="CH1" s="168" t="s">
        <v>4369</v>
      </c>
      <c r="CI1" s="168" t="s">
        <v>5006</v>
      </c>
      <c r="CJ1" s="168" t="s">
        <v>5007</v>
      </c>
      <c r="CK1" s="168" t="s">
        <v>5008</v>
      </c>
      <c r="CL1" s="168" t="s">
        <v>5009</v>
      </c>
      <c r="CM1" s="168" t="s">
        <v>5010</v>
      </c>
      <c r="CN1" s="168" t="s">
        <v>5011</v>
      </c>
    </row>
    <row r="2" ht="18.75" customHeight="1" outlineLevel="1">
      <c r="B2" s="37">
        <v>2.0</v>
      </c>
      <c r="C2" s="37">
        <v>3.0</v>
      </c>
      <c r="D2" s="37">
        <v>4.0</v>
      </c>
      <c r="E2" s="37">
        <v>5.0</v>
      </c>
      <c r="F2" s="37">
        <v>6.0</v>
      </c>
      <c r="G2" s="122"/>
      <c r="H2" s="37">
        <v>7.0</v>
      </c>
    </row>
    <row r="3" ht="18.75" customHeight="1" outlineLevel="1">
      <c r="B3" s="37" t="str">
        <f>IFERROR(LET(_xlpm.v,
VLOOKUP($A3,CS!$B:$H,COLUMN(CS!B$1),FALSE),
IF(_xlpm.v=0,"",_xlpm.v)
),"")</f>
        <v/>
      </c>
      <c r="C3" s="37" t="str">
        <f>IFERROR(LET(_xlpm.v,
VLOOKUP($A3,CS!$B:$H,COLUMN(CS!C$1),FALSE),
IF(_xlpm.v=0,"",_xlpm.v)
),"")</f>
        <v/>
      </c>
      <c r="D3" s="37" t="str">
        <f>IFERROR(LET(_xlpm.v,
VLOOKUP($A3,CS!$B:$H,COLUMN(CS!D$1),FALSE),
IF(_xlpm.v=0,"",_xlpm.v)
),"")</f>
        <v/>
      </c>
      <c r="E3" s="37" t="str">
        <f>IFERROR(LET(_xlpm.v,
VLOOKUP($A3,CS!$B:$H,COLUMN(CS!E$1),FALSE),
IF(_xlpm.v=0,"",_xlpm.v)
),"")</f>
        <v/>
      </c>
      <c r="F3" s="37" t="str">
        <f>IFERROR(LET(_xlpm.v,
VLOOKUP($A3,CS!$B:$H,COLUMN(CS!F$1),FALSE),
IF(_xlpm.v=0,"",_xlpm.v)
),"")</f>
        <v/>
      </c>
      <c r="G3" s="122"/>
      <c r="H3" s="64" t="str">
        <f>IFERROR(LET(_xlpm.v,
VLOOKUP($A3,CS!$B:$H,COLUMN(CS!G$1),FALSE),
IF(_xlpm.v=0,"",_xlpm.v)
),"")</f>
        <v/>
      </c>
      <c r="L3" s="64"/>
      <c r="M3" s="64"/>
      <c r="N3" s="64"/>
      <c r="O3" s="64"/>
      <c r="P3" s="64"/>
      <c r="Q3" s="64"/>
      <c r="R3" s="64"/>
      <c r="S3" s="64"/>
      <c r="T3" s="64"/>
      <c r="U3" s="64"/>
      <c r="V3" s="64"/>
      <c r="W3" s="64"/>
      <c r="X3" s="64"/>
      <c r="Y3" s="64"/>
      <c r="BH3" s="64"/>
      <c r="BI3" s="64"/>
      <c r="BJ3" s="64"/>
      <c r="BK3" s="64"/>
      <c r="BL3" s="64"/>
      <c r="BM3" s="64"/>
      <c r="BN3" s="64"/>
      <c r="BO3" s="64"/>
      <c r="BP3" s="64"/>
      <c r="BQ3" s="64"/>
      <c r="BR3" s="64"/>
    </row>
    <row r="4" ht="18.75" customHeight="1" outlineLevel="1">
      <c r="A4" s="1" t="s">
        <v>32</v>
      </c>
      <c r="B4" s="37" t="str">
        <f>IFERROR(LET(_xlpm.v,
VLOOKUP($A4,CS!$B:$H,COLUMN(CS!B$1),FALSE),
IF(_xlpm.v=0,"",_xlpm.v)
),"")</f>
        <v/>
      </c>
      <c r="C4" s="37" t="str">
        <f>IFERROR(LET(_xlpm.v,
VLOOKUP($A4,CS!$B:$H,COLUMN(CS!C$1),FALSE),
IF(_xlpm.v=0,"",_xlpm.v)
),"")</f>
        <v/>
      </c>
      <c r="D4" s="37" t="str">
        <f>IFERROR(LET(_xlpm.v,
VLOOKUP($A4,CS!$B:$H,COLUMN(CS!D$1),FALSE),
IF(_xlpm.v=0,"",_xlpm.v)
),"")</f>
        <v>A</v>
      </c>
      <c r="E4" s="37" t="str">
        <f>IFERROR(LET(_xlpm.v,
VLOOKUP($A4,CS!$B:$H,COLUMN(CS!E$1),FALSE),
IF(_xlpm.v=0,"",_xlpm.v)
),"")</f>
        <v/>
      </c>
      <c r="F4" s="37">
        <f>IFERROR(LET(_xlpm.v,
VLOOKUP($A4,CS!$B:$H,COLUMN(CS!F$1),FALSE),
IF(_xlpm.v=0,"",_xlpm.v)
),"")</f>
        <v>60</v>
      </c>
      <c r="G4" s="122" t="str">
        <f>IFERROR(LET(_xlpm.v,
VLOOKUP($A4,CS!$B:$N,COLUMN(CS!M$1),FALSE),
IF(_xlpm.v=0,"",_xlpm.v)
),"")</f>
        <v>角</v>
      </c>
      <c r="H4" s="64" t="str">
        <f>IFERROR(LET(_xlpm.v,
VLOOKUP($A4,CS!$B:$H,COLUMN(CS!G$1),FALSE),
IF(_xlpm.v=0,"",_xlpm.v)
),"")</f>
        <v>攻撃手段:角 物理+25 判定:攻撃</v>
      </c>
      <c r="I4" s="37" t="s">
        <v>32</v>
      </c>
      <c r="L4" s="64"/>
      <c r="M4" s="64"/>
      <c r="N4" s="64"/>
      <c r="O4" s="64">
        <v>25.0</v>
      </c>
      <c r="P4" s="64"/>
      <c r="Q4" s="64"/>
      <c r="R4" s="64"/>
      <c r="S4" s="64"/>
      <c r="T4" s="64"/>
      <c r="U4" s="64"/>
      <c r="V4" s="64"/>
      <c r="W4" s="64"/>
      <c r="X4" s="64"/>
      <c r="Y4" s="64"/>
      <c r="BH4" s="64"/>
      <c r="BI4" s="64"/>
      <c r="BJ4" s="64"/>
      <c r="BK4" s="64"/>
      <c r="BL4" s="64"/>
      <c r="BM4" s="64"/>
      <c r="BN4" s="64"/>
      <c r="BO4" s="64"/>
      <c r="BP4" s="64"/>
      <c r="BQ4" s="64"/>
      <c r="BR4" s="64"/>
      <c r="CK4" s="37" t="s">
        <v>2568</v>
      </c>
    </row>
    <row r="5" ht="18.75" customHeight="1" outlineLevel="1">
      <c r="A5" s="1" t="s">
        <v>35</v>
      </c>
      <c r="B5" s="37" t="str">
        <f>IFERROR(LET(_xlpm.v,
VLOOKUP($A5,CS!$B:$H,COLUMN(CS!B$1),FALSE),
IF(_xlpm.v=0,"",_xlpm.v)
),"")</f>
        <v/>
      </c>
      <c r="C5" s="37" t="str">
        <f>IFERROR(LET(_xlpm.v,
VLOOKUP($A5,CS!$B:$H,COLUMN(CS!C$1),FALSE),
IF(_xlpm.v=0,"",_xlpm.v)
),"")</f>
        <v/>
      </c>
      <c r="D5" s="37" t="str">
        <f>IFERROR(LET(_xlpm.v,
VLOOKUP($A5,CS!$B:$H,COLUMN(CS!D$1),FALSE),
IF(_xlpm.v=0,"",_xlpm.v)
),"")</f>
        <v>A</v>
      </c>
      <c r="E5" s="37" t="str">
        <f>IFERROR(LET(_xlpm.v,
VLOOKUP($A5,CS!$B:$H,COLUMN(CS!E$1),FALSE),
IF(_xlpm.v=0,"",_xlpm.v)
),"")</f>
        <v/>
      </c>
      <c r="F5" s="37">
        <f>IFERROR(LET(_xlpm.v,
VLOOKUP($A5,CS!$B:$H,COLUMN(CS!F$1),FALSE),
IF(_xlpm.v=0,"",_xlpm.v)
),"")</f>
        <v>30</v>
      </c>
      <c r="G5" s="122" t="str">
        <f>IFERROR(LET(_xlpm.v,
VLOOKUP($A5,CS!$B:$N,COLUMN(CS!M$1),FALSE),
IF(_xlpm.v=0,"",_xlpm.v)
),"")</f>
        <v>牙</v>
      </c>
      <c r="H5" s="64" t="str">
        <f>IFERROR(LET(_xlpm.v,
VLOOKUP($A5,CS!$B:$H,COLUMN(CS!G$1),FALSE),
IF(_xlpm.v=0,"",_xlpm.v)
),"")</f>
        <v>攻撃手段:牙 物理+20 判定:攻撃</v>
      </c>
      <c r="I5" s="37" t="s">
        <v>35</v>
      </c>
      <c r="L5" s="64"/>
      <c r="M5" s="64"/>
      <c r="N5" s="64"/>
      <c r="O5" s="64">
        <v>20.0</v>
      </c>
      <c r="P5" s="64"/>
      <c r="Q5" s="64"/>
      <c r="R5" s="64"/>
      <c r="S5" s="64"/>
      <c r="T5" s="64"/>
      <c r="U5" s="64"/>
      <c r="V5" s="64"/>
      <c r="W5" s="64"/>
      <c r="X5" s="64"/>
      <c r="Y5" s="64"/>
      <c r="BH5" s="64"/>
      <c r="BI5" s="64"/>
      <c r="BJ5" s="64"/>
      <c r="BK5" s="64"/>
      <c r="BL5" s="64"/>
      <c r="BM5" s="64"/>
      <c r="BN5" s="64"/>
      <c r="BO5" s="64"/>
      <c r="BP5" s="64"/>
      <c r="BQ5" s="64"/>
      <c r="BR5" s="64"/>
      <c r="CK5" s="37" t="s">
        <v>2568</v>
      </c>
    </row>
    <row r="6" ht="18.75" customHeight="1" outlineLevel="1">
      <c r="A6" s="1" t="s">
        <v>37</v>
      </c>
      <c r="B6" s="37" t="str">
        <f>IFERROR(LET(_xlpm.v,
VLOOKUP($A6,CS!$B:$H,COLUMN(CS!B$1),FALSE),
IF(_xlpm.v=0,"",_xlpm.v)
),"")</f>
        <v/>
      </c>
      <c r="C6" s="37" t="str">
        <f>IFERROR(LET(_xlpm.v,
VLOOKUP($A6,CS!$B:$H,COLUMN(CS!C$1),FALSE),
IF(_xlpm.v=0,"",_xlpm.v)
),"")</f>
        <v/>
      </c>
      <c r="D6" s="37" t="str">
        <f>IFERROR(LET(_xlpm.v,
VLOOKUP($A6,CS!$B:$H,COLUMN(CS!D$1),FALSE),
IF(_xlpm.v=0,"",_xlpm.v)
),"")</f>
        <v>A</v>
      </c>
      <c r="E6" s="37" t="str">
        <f>IFERROR(LET(_xlpm.v,
VLOOKUP($A6,CS!$B:$H,COLUMN(CS!E$1),FALSE),
IF(_xlpm.v=0,"",_xlpm.v)
),"")</f>
        <v/>
      </c>
      <c r="F6" s="37">
        <f>IFERROR(LET(_xlpm.v,
VLOOKUP($A6,CS!$B:$H,COLUMN(CS!F$1),FALSE),
IF(_xlpm.v=0,"",_xlpm.v)
),"")</f>
        <v>40</v>
      </c>
      <c r="G6" s="122" t="str">
        <f>IFERROR(LET(_xlpm.v,
VLOOKUP($A6,CS!$B:$N,COLUMN(CS!M$1),FALSE),
IF(_xlpm.v=0,"",_xlpm.v)
),"")</f>
        <v>爪</v>
      </c>
      <c r="H6" s="64" t="str">
        <f>IFERROR(LET(_xlpm.v,
VLOOKUP($A6,CS!$B:$H,COLUMN(CS!G$1),FALSE),
IF(_xlpm.v=0,"",_xlpm.v)
),"")</f>
        <v>攻撃手段:爪 物理+15 攻撃回数:2 判定:攻撃</v>
      </c>
      <c r="I6" s="37" t="s">
        <v>37</v>
      </c>
      <c r="L6" s="64"/>
      <c r="M6" s="64"/>
      <c r="N6" s="64"/>
      <c r="O6" s="64">
        <v>15.0</v>
      </c>
      <c r="P6" s="64"/>
      <c r="Q6" s="64"/>
      <c r="R6" s="64"/>
      <c r="S6" s="64"/>
      <c r="T6" s="64"/>
      <c r="U6" s="64"/>
      <c r="V6" s="64"/>
      <c r="W6" s="64"/>
      <c r="X6" s="64"/>
      <c r="Y6" s="64"/>
      <c r="BH6" s="64"/>
      <c r="BI6" s="64"/>
      <c r="BJ6" s="64"/>
      <c r="BK6" s="64"/>
      <c r="BL6" s="64"/>
      <c r="BM6" s="64"/>
      <c r="BN6" s="64"/>
      <c r="BO6" s="64"/>
      <c r="BP6" s="64"/>
      <c r="BQ6" s="64"/>
      <c r="BR6" s="64"/>
      <c r="CH6" s="37">
        <v>2.0</v>
      </c>
      <c r="CK6" s="37" t="s">
        <v>2568</v>
      </c>
    </row>
    <row r="7" ht="18.75" customHeight="1" outlineLevel="1">
      <c r="A7" s="1" t="s">
        <v>39</v>
      </c>
      <c r="B7" s="37" t="str">
        <f>IFERROR(LET(_xlpm.v,
VLOOKUP($A7,CS!$B:$H,COLUMN(CS!B$1),FALSE),
IF(_xlpm.v=0,"",_xlpm.v)
),"")</f>
        <v/>
      </c>
      <c r="C7" s="37" t="str">
        <f>IFERROR(LET(_xlpm.v,
VLOOKUP($A7,CS!$B:$H,COLUMN(CS!C$1),FALSE),
IF(_xlpm.v=0,"",_xlpm.v)
),"")</f>
        <v/>
      </c>
      <c r="D7" s="37" t="str">
        <f>IFERROR(LET(_xlpm.v,
VLOOKUP($A7,CS!$B:$H,COLUMN(CS!D$1),FALSE),
IF(_xlpm.v=0,"",_xlpm.v)
),"")</f>
        <v>A</v>
      </c>
      <c r="E7" s="37" t="str">
        <f>IFERROR(LET(_xlpm.v,
VLOOKUP($A7,CS!$B:$H,COLUMN(CS!E$1),FALSE),
IF(_xlpm.v=0,"",_xlpm.v)
),"")</f>
        <v/>
      </c>
      <c r="F7" s="37">
        <f>IFERROR(LET(_xlpm.v,
VLOOKUP($A7,CS!$B:$H,COLUMN(CS!F$1),FALSE),
IF(_xlpm.v=0,"",_xlpm.v)
),"")</f>
        <v>20</v>
      </c>
      <c r="G7" s="122" t="str">
        <f>IFERROR(LET(_xlpm.v,
VLOOKUP($A7,CS!$B:$N,COLUMN(CS!M$1),FALSE),
IF(_xlpm.v=0,"",_xlpm.v)
),"")</f>
        <v>尾</v>
      </c>
      <c r="H7" s="64" t="str">
        <f>IFERROR(LET(_xlpm.v,
VLOOKUP($A7,CS!$B:$H,COLUMN(CS!G$1),FALSE),
IF(_xlpm.v=0,"",_xlpm.v)
),"")</f>
        <v>攻撃手段:尾 物理+15 判定:攻撃</v>
      </c>
      <c r="I7" s="37" t="s">
        <v>39</v>
      </c>
      <c r="L7" s="64"/>
      <c r="M7" s="64"/>
      <c r="N7" s="64"/>
      <c r="O7" s="64">
        <v>15.0</v>
      </c>
      <c r="P7" s="64"/>
      <c r="Q7" s="64"/>
      <c r="R7" s="64"/>
      <c r="S7" s="64"/>
      <c r="T7" s="64"/>
      <c r="U7" s="64"/>
      <c r="V7" s="64"/>
      <c r="W7" s="64"/>
      <c r="X7" s="64"/>
      <c r="Y7" s="64"/>
      <c r="BH7" s="64"/>
      <c r="BI7" s="64"/>
      <c r="BJ7" s="64"/>
      <c r="BK7" s="64"/>
      <c r="BL7" s="64"/>
      <c r="BM7" s="64"/>
      <c r="BN7" s="64"/>
      <c r="BO7" s="64"/>
      <c r="BP7" s="64"/>
      <c r="BQ7" s="64"/>
      <c r="BR7" s="64"/>
      <c r="CK7" s="37" t="s">
        <v>2568</v>
      </c>
    </row>
    <row r="8" ht="18.75" customHeight="1" outlineLevel="1">
      <c r="A8" s="1" t="s">
        <v>41</v>
      </c>
      <c r="B8" s="37" t="str">
        <f>IFERROR(LET(_xlpm.v,
VLOOKUP($A8,CS!$B:$H,COLUMN(CS!B$1),FALSE),
IF(_xlpm.v=0,"",_xlpm.v)
),"")</f>
        <v/>
      </c>
      <c r="C8" s="37" t="str">
        <f>IFERROR(LET(_xlpm.v,
VLOOKUP($A8,CS!$B:$H,COLUMN(CS!C$1),FALSE),
IF(_xlpm.v=0,"",_xlpm.v)
),"")</f>
        <v/>
      </c>
      <c r="D8" s="37" t="str">
        <f>IFERROR(LET(_xlpm.v,
VLOOKUP($A8,CS!$B:$H,COLUMN(CS!D$1),FALSE),
IF(_xlpm.v=0,"",_xlpm.v)
),"")</f>
        <v>A</v>
      </c>
      <c r="E8" s="37" t="str">
        <f>IFERROR(LET(_xlpm.v,
VLOOKUP($A8,CS!$B:$H,COLUMN(CS!E$1),FALSE),
IF(_xlpm.v=0,"",_xlpm.v)
),"")</f>
        <v/>
      </c>
      <c r="F8" s="37">
        <f>IFERROR(LET(_xlpm.v,
VLOOKUP($A8,CS!$B:$H,COLUMN(CS!F$1),FALSE),
IF(_xlpm.v=0,"",_xlpm.v)
),"")</f>
        <v>20</v>
      </c>
      <c r="G8" s="122" t="str">
        <f>IFERROR(LET(_xlpm.v,
VLOOKUP($A8,CS!$B:$N,COLUMN(CS!M$1),FALSE),
IF(_xlpm.v=0,"",_xlpm.v)
),"")</f>
        <v/>
      </c>
      <c r="H8" s="64" t="str">
        <f>IFERROR(LET(_xlpm.v,
VLOOKUP($A8,CS!$B:$H,COLUMN(CS!G$1),FALSE),
IF(_xlpm.v=0,"",_xlpm.v)
),"")</f>
        <v>攻撃手段:尾 物理+25  判定:攻撃</v>
      </c>
      <c r="I8" s="37" t="s">
        <v>39</v>
      </c>
      <c r="L8" s="64"/>
      <c r="M8" s="64"/>
      <c r="N8" s="64"/>
      <c r="O8" s="64">
        <v>25.0</v>
      </c>
      <c r="P8" s="64"/>
      <c r="Q8" s="64"/>
      <c r="R8" s="64"/>
      <c r="S8" s="64"/>
      <c r="T8" s="64"/>
      <c r="U8" s="64"/>
      <c r="V8" s="64"/>
      <c r="W8" s="64"/>
      <c r="X8" s="64"/>
      <c r="Y8" s="64"/>
      <c r="BH8" s="64"/>
      <c r="BI8" s="64"/>
      <c r="BJ8" s="64"/>
      <c r="BK8" s="64"/>
      <c r="BL8" s="64"/>
      <c r="BM8" s="64"/>
      <c r="BN8" s="64"/>
      <c r="BO8" s="64"/>
      <c r="BP8" s="64"/>
      <c r="BQ8" s="64"/>
      <c r="BR8" s="64"/>
      <c r="CK8" s="37" t="s">
        <v>2568</v>
      </c>
    </row>
    <row r="9" ht="18.75" customHeight="1" outlineLevel="1">
      <c r="A9" s="1" t="s">
        <v>43</v>
      </c>
      <c r="B9" s="37" t="str">
        <f>IFERROR(LET(_xlpm.v,
VLOOKUP($A9,CS!$B:$H,COLUMN(CS!B$1),FALSE),
IF(_xlpm.v=0,"",_xlpm.v)
),"")</f>
        <v/>
      </c>
      <c r="C9" s="37" t="str">
        <f>IFERROR(LET(_xlpm.v,
VLOOKUP($A9,CS!$B:$H,COLUMN(CS!C$1),FALSE),
IF(_xlpm.v=0,"",_xlpm.v)
),"")</f>
        <v/>
      </c>
      <c r="D9" s="37" t="str">
        <f>IFERROR(LET(_xlpm.v,
VLOOKUP($A9,CS!$B:$H,COLUMN(CS!D$1),FALSE),
IF(_xlpm.v=0,"",_xlpm.v)
),"")</f>
        <v>A</v>
      </c>
      <c r="E9" s="37" t="str">
        <f>IFERROR(LET(_xlpm.v,
VLOOKUP($A9,CS!$B:$H,COLUMN(CS!E$1),FALSE),
IF(_xlpm.v=0,"",_xlpm.v)
),"")</f>
        <v/>
      </c>
      <c r="F9" s="37">
        <f>IFERROR(LET(_xlpm.v,
VLOOKUP($A9,CS!$B:$H,COLUMN(CS!F$1),FALSE),
IF(_xlpm.v=0,"",_xlpm.v)
),"")</f>
        <v>70</v>
      </c>
      <c r="G9" s="122" t="str">
        <f>IFERROR(LET(_xlpm.v,
VLOOKUP($A9,CS!$B:$N,COLUMN(CS!M$1),FALSE),
IF(_xlpm.v=0,"",_xlpm.v)
),"")</f>
        <v/>
      </c>
      <c r="H9" s="64" t="str">
        <f>IFERROR(LET(_xlpm.v,
VLOOKUP($A9,CS!$B:$H,COLUMN(CS!G$1),FALSE),
IF(_xlpm.v=0,"",_xlpm.v)
),"")</f>
        <v>攻撃手段:尾 物理+10 拘束+30 判定:攻撃</v>
      </c>
      <c r="I9" s="37" t="s">
        <v>39</v>
      </c>
      <c r="L9" s="64"/>
      <c r="M9" s="64"/>
      <c r="N9" s="64"/>
      <c r="O9" s="64">
        <v>10.0</v>
      </c>
      <c r="P9" s="64"/>
      <c r="Q9" s="64"/>
      <c r="R9" s="64"/>
      <c r="S9" s="64"/>
      <c r="T9" s="64"/>
      <c r="U9" s="64"/>
      <c r="V9" s="64"/>
      <c r="W9" s="64"/>
      <c r="X9" s="64"/>
      <c r="Y9" s="64"/>
      <c r="AE9" s="37">
        <v>30.0</v>
      </c>
      <c r="BH9" s="64"/>
      <c r="BI9" s="64"/>
      <c r="BJ9" s="64"/>
      <c r="BK9" s="64"/>
      <c r="BL9" s="64"/>
      <c r="BM9" s="64"/>
      <c r="BN9" s="64"/>
      <c r="BO9" s="64"/>
      <c r="BP9" s="64"/>
      <c r="BQ9" s="64"/>
      <c r="BR9" s="64"/>
      <c r="CK9" s="37" t="s">
        <v>2568</v>
      </c>
    </row>
    <row r="10" ht="18.75" customHeight="1" outlineLevel="1">
      <c r="A10" s="1" t="s">
        <v>45</v>
      </c>
      <c r="B10" s="37" t="str">
        <f>IFERROR(LET(_xlpm.v,
VLOOKUP($A10,CS!$B:$H,COLUMN(CS!B$1),FALSE),
IF(_xlpm.v=0,"",_xlpm.v)
),"")</f>
        <v/>
      </c>
      <c r="C10" s="37" t="str">
        <f>IFERROR(LET(_xlpm.v,
VLOOKUP($A10,CS!$B:$H,COLUMN(CS!C$1),FALSE),
IF(_xlpm.v=0,"",_xlpm.v)
),"")</f>
        <v/>
      </c>
      <c r="D10" s="37" t="str">
        <f>IFERROR(LET(_xlpm.v,
VLOOKUP($A10,CS!$B:$H,COLUMN(CS!D$1),FALSE),
IF(_xlpm.v=0,"",_xlpm.v)
),"")</f>
        <v>A</v>
      </c>
      <c r="E10" s="37" t="str">
        <f>IFERROR(LET(_xlpm.v,
VLOOKUP($A10,CS!$B:$H,COLUMN(CS!E$1),FALSE),
IF(_xlpm.v=0,"",_xlpm.v)
),"")</f>
        <v/>
      </c>
      <c r="F10" s="37">
        <f>IFERROR(LET(_xlpm.v,
VLOOKUP($A10,CS!$B:$H,COLUMN(CS!F$1),FALSE),
IF(_xlpm.v=0,"",_xlpm.v)
),"")</f>
        <v>40</v>
      </c>
      <c r="G10" s="122" t="str">
        <f>IFERROR(LET(_xlpm.v,
VLOOKUP($A10,CS!$B:$N,COLUMN(CS!M$1),FALSE),
IF(_xlpm.v=0,"",_xlpm.v)
),"")</f>
        <v/>
      </c>
      <c r="H10" s="64" t="str">
        <f>IFERROR(LET(_xlpm.v,
VLOOKUP($A10,CS!$B:$H,COLUMN(CS!G$1),FALSE),
IF(_xlpm.v=0,"",_xlpm.v)
),"")</f>
        <v>攻撃手段:翼 物理+10 ガード+15 攻撃回数:2 判定:攻撃</v>
      </c>
      <c r="I10" s="37" t="s">
        <v>45</v>
      </c>
      <c r="L10" s="64"/>
      <c r="M10" s="64"/>
      <c r="N10" s="64">
        <v>15.0</v>
      </c>
      <c r="O10" s="64">
        <v>10.0</v>
      </c>
      <c r="P10" s="64"/>
      <c r="Q10" s="64"/>
      <c r="R10" s="64"/>
      <c r="S10" s="64"/>
      <c r="T10" s="64"/>
      <c r="U10" s="64"/>
      <c r="V10" s="64"/>
      <c r="W10" s="64"/>
      <c r="X10" s="64"/>
      <c r="Y10" s="64"/>
      <c r="BH10" s="64"/>
      <c r="BI10" s="64"/>
      <c r="BJ10" s="64"/>
      <c r="BK10" s="64"/>
      <c r="BL10" s="64"/>
      <c r="BM10" s="64"/>
      <c r="BN10" s="64"/>
      <c r="BO10" s="64"/>
      <c r="BP10" s="64"/>
      <c r="BQ10" s="64"/>
      <c r="BR10" s="64"/>
      <c r="CH10" s="37">
        <v>2.0</v>
      </c>
      <c r="CK10" s="37" t="s">
        <v>2568</v>
      </c>
    </row>
    <row r="11" ht="18.75" customHeight="1" outlineLevel="1">
      <c r="A11" s="1" t="s">
        <v>1103</v>
      </c>
      <c r="B11" s="37" t="str">
        <f>IFERROR(LET(_xlpm.v,
VLOOKUP($A11,CS!$B:$H,COLUMN(CS!B$1),FALSE),
IF(_xlpm.v=0,"",_xlpm.v)
),"")</f>
        <v>オーラ・ストライク</v>
      </c>
      <c r="C11" s="37" t="str">
        <f>IFERROR(LET(_xlpm.v,
VLOOKUP($A11,CS!$B:$H,COLUMN(CS!C$1),FALSE),
IF(_xlpm.v=0,"",_xlpm.v)
),"")</f>
        <v/>
      </c>
      <c r="D11" s="37" t="str">
        <f>IFERROR(LET(_xlpm.v,
VLOOKUP($A11,CS!$B:$H,COLUMN(CS!D$1),FALSE),
IF(_xlpm.v=0,"",_xlpm.v)
),"")</f>
        <v>A</v>
      </c>
      <c r="E11" s="37" t="str">
        <f>IFERROR(LET(_xlpm.v,
VLOOKUP($A11,CS!$B:$H,COLUMN(CS!E$1),FALSE),
IF(_xlpm.v=0,"",_xlpm.v)
),"")</f>
        <v/>
      </c>
      <c r="F11" s="37">
        <f>IFERROR(LET(_xlpm.v,
VLOOKUP($A11,CS!$B:$H,COLUMN(CS!F$1),FALSE),
IF(_xlpm.v=0,"",_xlpm.v)
),"")</f>
        <v>60</v>
      </c>
      <c r="G11" s="122" t="str">
        <f>IFERROR(LET(_xlpm.v,
VLOOKUP($A11,CS!$B:$N,COLUMN(CS!M$1),FALSE),
IF(_xlpm.v=0,"",_xlpm.v)
),"")</f>
        <v/>
      </c>
      <c r="H11" s="64" t="str">
        <f>IFERROR(LET(_xlpm.v,
VLOOKUP($A11,CS!$B:$H,COLUMN(CS!G$1),FALSE),
IF(_xlpm.v=0,"",_xlpm.v)
),"")</f>
        <v>攻撃手段:武器 物理+25 判定:攻撃</v>
      </c>
      <c r="I11" s="37" t="s">
        <v>3327</v>
      </c>
      <c r="L11" s="64"/>
      <c r="M11" s="64"/>
      <c r="N11" s="64"/>
      <c r="O11" s="64">
        <v>25.0</v>
      </c>
      <c r="P11" s="64"/>
      <c r="Q11" s="64"/>
      <c r="R11" s="64"/>
      <c r="S11" s="64"/>
      <c r="T11" s="64"/>
      <c r="U11" s="64"/>
      <c r="V11" s="64"/>
      <c r="W11" s="64"/>
      <c r="X11" s="64"/>
      <c r="Y11" s="64"/>
      <c r="BH11" s="64"/>
      <c r="BI11" s="64"/>
      <c r="BJ11" s="64"/>
      <c r="BK11" s="64"/>
      <c r="BL11" s="64"/>
      <c r="BM11" s="64"/>
      <c r="BN11" s="64"/>
      <c r="BO11" s="64"/>
      <c r="BP11" s="64"/>
      <c r="BQ11" s="64"/>
      <c r="BR11" s="64"/>
      <c r="CK11" s="37" t="s">
        <v>2568</v>
      </c>
    </row>
    <row r="12" ht="18.75" customHeight="1" outlineLevel="1">
      <c r="A12" s="1" t="s">
        <v>1106</v>
      </c>
      <c r="B12" s="37" t="str">
        <f>IFERROR(LET(_xlpm.v,
VLOOKUP($A12,CS!$B:$H,COLUMN(CS!B$1),FALSE),
IF(_xlpm.v=0,"",_xlpm.v)
),"")</f>
        <v/>
      </c>
      <c r="C12" s="37" t="str">
        <f>IFERROR(LET(_xlpm.v,
VLOOKUP($A12,CS!$B:$H,COLUMN(CS!C$1),FALSE),
IF(_xlpm.v=0,"",_xlpm.v)
),"")</f>
        <v/>
      </c>
      <c r="D12" s="37" t="str">
        <f>IFERROR(LET(_xlpm.v,
VLOOKUP($A12,CS!$B:$H,COLUMN(CS!D$1),FALSE),
IF(_xlpm.v=0,"",_xlpm.v)
),"")</f>
        <v>P</v>
      </c>
      <c r="E12" s="37" t="str">
        <f>IFERROR(LET(_xlpm.v,
VLOOKUP($A12,CS!$B:$H,COLUMN(CS!E$1),FALSE),
IF(_xlpm.v=0,"",_xlpm.v)
),"")</f>
        <v/>
      </c>
      <c r="F12" s="37" t="str">
        <f>IFERROR(LET(_xlpm.v,
VLOOKUP($A12,CS!$B:$H,COLUMN(CS!F$1),FALSE),
IF(_xlpm.v=0,"",_xlpm.v)
),"")</f>
        <v/>
      </c>
      <c r="G12" s="122" t="str">
        <f>IFERROR(LET(_xlpm.v,
VLOOKUP($A12,CS!$B:$N,COLUMN(CS!M$1),FALSE),
IF(_xlpm.v=0,"",_xlpm.v)
),"")</f>
        <v/>
      </c>
      <c r="H12" s="64" t="str">
        <f>IFERROR(LET(_xlpm.v,
VLOOKUP($A12,CS!$B:$H,COLUMN(CS!G$1),FALSE),
IF(_xlpm.v=0,"",_xlpm.v)
),"")</f>
        <v>攻撃手段:武器 命中+10</v>
      </c>
      <c r="I12" s="37" t="s">
        <v>3327</v>
      </c>
      <c r="L12" s="64"/>
      <c r="M12" s="64"/>
      <c r="N12" s="64"/>
      <c r="O12" s="64"/>
      <c r="P12" s="64"/>
      <c r="Q12" s="64"/>
      <c r="R12" s="64"/>
      <c r="S12" s="64"/>
      <c r="T12" s="64"/>
      <c r="U12" s="64"/>
      <c r="V12" s="64"/>
      <c r="W12" s="64"/>
      <c r="X12" s="64"/>
      <c r="Y12" s="64"/>
      <c r="AQ12" s="37">
        <v>10.0</v>
      </c>
      <c r="BH12" s="64"/>
      <c r="BI12" s="64"/>
      <c r="BJ12" s="64"/>
      <c r="BK12" s="64"/>
      <c r="BL12" s="64"/>
      <c r="BM12" s="64"/>
      <c r="BN12" s="64"/>
      <c r="BO12" s="64"/>
      <c r="BP12" s="64"/>
      <c r="BQ12" s="64"/>
      <c r="BR12" s="64"/>
    </row>
    <row r="13" ht="18.75" customHeight="1" outlineLevel="1">
      <c r="A13" s="1" t="s">
        <v>1108</v>
      </c>
      <c r="B13" s="37" t="str">
        <f>IFERROR(LET(_xlpm.v,
VLOOKUP($A13,CS!$B:$H,COLUMN(CS!B$1),FALSE),
IF(_xlpm.v=0,"",_xlpm.v)
),"")</f>
        <v>オーラ・ガード</v>
      </c>
      <c r="C13" s="37" t="str">
        <f>IFERROR(LET(_xlpm.v,
VLOOKUP($A13,CS!$B:$H,COLUMN(CS!C$1),FALSE),
IF(_xlpm.v=0,"",_xlpm.v)
),"")</f>
        <v/>
      </c>
      <c r="D13" s="37" t="str">
        <f>IFERROR(LET(_xlpm.v,
VLOOKUP($A13,CS!$B:$H,COLUMN(CS!D$1),FALSE),
IF(_xlpm.v=0,"",_xlpm.v)
),"")</f>
        <v>A</v>
      </c>
      <c r="E13" s="37" t="str">
        <f>IFERROR(LET(_xlpm.v,
VLOOKUP($A13,CS!$B:$H,COLUMN(CS!E$1),FALSE),
IF(_xlpm.v=0,"",_xlpm.v)
),"")</f>
        <v/>
      </c>
      <c r="F13" s="37">
        <f>IFERROR(LET(_xlpm.v,
VLOOKUP($A13,CS!$B:$H,COLUMN(CS!F$1),FALSE),
IF(_xlpm.v=0,"",_xlpm.v)
),"")</f>
        <v>50</v>
      </c>
      <c r="G13" s="122" t="str">
        <f>IFERROR(LET(_xlpm.v,
VLOOKUP($A13,CS!$B:$N,COLUMN(CS!M$1),FALSE),
IF(_xlpm.v=0,"",_xlpm.v)
),"")</f>
        <v/>
      </c>
      <c r="H13" s="64" t="str">
        <f>IFERROR(LET(_xlpm.v,
VLOOKUP($A13,CS!$B:$H,COLUMN(CS!G$1),FALSE),
IF(_xlpm.v=0,"",_xlpm.v)
),"")</f>
        <v>攻撃手段:武器 ガード+25 判定:防御</v>
      </c>
      <c r="I13" s="37" t="s">
        <v>3327</v>
      </c>
      <c r="L13" s="64"/>
      <c r="M13" s="64"/>
      <c r="N13" s="64">
        <v>25.0</v>
      </c>
      <c r="O13" s="64"/>
      <c r="P13" s="64"/>
      <c r="Q13" s="64"/>
      <c r="R13" s="64"/>
      <c r="S13" s="64"/>
      <c r="T13" s="64"/>
      <c r="U13" s="64"/>
      <c r="V13" s="64"/>
      <c r="W13" s="64"/>
      <c r="X13" s="64"/>
      <c r="Y13" s="64"/>
      <c r="BH13" s="64"/>
      <c r="BI13" s="64"/>
      <c r="BJ13" s="64"/>
      <c r="BK13" s="64"/>
      <c r="BL13" s="64"/>
      <c r="BM13" s="64"/>
      <c r="BN13" s="64"/>
      <c r="BO13" s="64"/>
      <c r="BP13" s="64"/>
      <c r="BQ13" s="64"/>
      <c r="BR13" s="64"/>
      <c r="CK13" s="37" t="s">
        <v>81</v>
      </c>
    </row>
    <row r="14" ht="18.75" customHeight="1" outlineLevel="1">
      <c r="A14" s="1" t="s">
        <v>1111</v>
      </c>
      <c r="B14" s="37" t="str">
        <f>IFERROR(LET(_xlpm.v,
VLOOKUP($A14,CS!$B:$H,COLUMN(CS!B$1),FALSE),
IF(_xlpm.v=0,"",_xlpm.v)
),"")</f>
        <v>ロアー</v>
      </c>
      <c r="C14" s="37" t="str">
        <f>IFERROR(LET(_xlpm.v,
VLOOKUP($A14,CS!$B:$H,COLUMN(CS!C$1),FALSE),
IF(_xlpm.v=0,"",_xlpm.v)
),"")</f>
        <v/>
      </c>
      <c r="D14" s="37" t="str">
        <f>IFERROR(LET(_xlpm.v,
VLOOKUP($A14,CS!$B:$H,COLUMN(CS!D$1),FALSE),
IF(_xlpm.v=0,"",_xlpm.v)
),"")</f>
        <v>A</v>
      </c>
      <c r="E14" s="37" t="str">
        <f>IFERROR(LET(_xlpm.v,
VLOOKUP($A14,CS!$B:$H,COLUMN(CS!E$1),FALSE),
IF(_xlpm.v=0,"",_xlpm.v)
),"")</f>
        <v/>
      </c>
      <c r="F14" s="37">
        <f>IFERROR(LET(_xlpm.v,
VLOOKUP($A14,CS!$B:$H,COLUMN(CS!F$1),FALSE),
IF(_xlpm.v=0,"",_xlpm.v)
),"")</f>
        <v>40</v>
      </c>
      <c r="G14" s="122" t="str">
        <f>IFERROR(LET(_xlpm.v,
VLOOKUP($A14,CS!$B:$N,COLUMN(CS!M$1),FALSE),
IF(_xlpm.v=0,"",_xlpm.v)
),"")</f>
        <v/>
      </c>
      <c r="H14" s="64" t="str">
        <f>IFERROR(LET(_xlpm.v,
VLOOKUP($A14,CS!$B:$H,COLUMN(CS!G$1),FALSE),
IF(_xlpm.v=0,"",_xlpm.v)
),"")</f>
        <v>効果時間:4t 攻撃+15 精神耐性+10</v>
      </c>
      <c r="L14" s="64"/>
      <c r="M14" s="64"/>
      <c r="N14" s="64"/>
      <c r="O14" s="64"/>
      <c r="P14" s="64"/>
      <c r="Q14" s="64"/>
      <c r="R14" s="64"/>
      <c r="S14" s="64"/>
      <c r="T14" s="64"/>
      <c r="U14" s="64"/>
      <c r="V14" s="64"/>
      <c r="W14" s="64"/>
      <c r="X14" s="64"/>
      <c r="Y14" s="64"/>
      <c r="AL14" s="37">
        <v>15.0</v>
      </c>
      <c r="BH14" s="64"/>
      <c r="BI14" s="64"/>
      <c r="BJ14" s="64"/>
      <c r="BK14" s="64"/>
      <c r="BL14" s="64"/>
      <c r="BM14" s="64"/>
      <c r="BN14" s="64"/>
      <c r="BO14" s="64"/>
      <c r="BP14" s="64"/>
      <c r="BQ14" s="64"/>
      <c r="BR14" s="64"/>
      <c r="CL14" s="37" t="s">
        <v>5416</v>
      </c>
    </row>
    <row r="15" ht="18.75" customHeight="1" outlineLevel="1">
      <c r="A15" s="1" t="s">
        <v>1114</v>
      </c>
      <c r="B15" s="37" t="str">
        <f>IFERROR(LET(_xlpm.v,
VLOOKUP($A15,CS!$B:$H,COLUMN(CS!B$1),FALSE),
IF(_xlpm.v=0,"",_xlpm.v)
),"")</f>
        <v/>
      </c>
      <c r="C15" s="37" t="str">
        <f>IFERROR(LET(_xlpm.v,
VLOOKUP($A15,CS!$B:$H,COLUMN(CS!C$1),FALSE),
IF(_xlpm.v=0,"",_xlpm.v)
),"")</f>
        <v/>
      </c>
      <c r="D15" s="37" t="str">
        <f>IFERROR(LET(_xlpm.v,
VLOOKUP($A15,CS!$B:$H,COLUMN(CS!D$1),FALSE),
IF(_xlpm.v=0,"",_xlpm.v)
),"")</f>
        <v>P</v>
      </c>
      <c r="E15" s="37" t="str">
        <f>IFERROR(LET(_xlpm.v,
VLOOKUP($A15,CS!$B:$H,COLUMN(CS!E$1),FALSE),
IF(_xlpm.v=0,"",_xlpm.v)
),"")</f>
        <v/>
      </c>
      <c r="F15" s="37" t="str">
        <f>IFERROR(LET(_xlpm.v,
VLOOKUP($A15,CS!$B:$H,COLUMN(CS!F$1),FALSE),
IF(_xlpm.v=0,"",_xlpm.v)
),"")</f>
        <v/>
      </c>
      <c r="G15" s="122" t="str">
        <f>IFERROR(LET(_xlpm.v,
VLOOKUP($A15,CS!$B:$N,COLUMN(CS!M$1),FALSE),
IF(_xlpm.v=0,"",_xlpm.v)
),"")</f>
        <v/>
      </c>
      <c r="H15" s="64" t="str">
        <f>IFERROR(LET(_xlpm.v,
VLOOKUP($A15,CS!$B:$H,COLUMN(CS!G$1),FALSE),
IF(_xlpm.v=0,"",_xlpm.v)
),"")</f>
        <v>攻撃手段:武器 物理+2 命中+5</v>
      </c>
      <c r="I15" s="37" t="s">
        <v>3327</v>
      </c>
      <c r="L15" s="64"/>
      <c r="M15" s="64"/>
      <c r="N15" s="64"/>
      <c r="O15" s="64">
        <v>2.0</v>
      </c>
      <c r="P15" s="64"/>
      <c r="Q15" s="64"/>
      <c r="R15" s="64"/>
      <c r="S15" s="64"/>
      <c r="T15" s="64"/>
      <c r="U15" s="64"/>
      <c r="V15" s="64"/>
      <c r="W15" s="64"/>
      <c r="X15" s="64"/>
      <c r="Y15" s="64"/>
      <c r="AQ15" s="37">
        <v>5.0</v>
      </c>
      <c r="BH15" s="64"/>
      <c r="BI15" s="64"/>
      <c r="BJ15" s="64"/>
      <c r="BK15" s="64"/>
      <c r="BL15" s="64"/>
      <c r="BM15" s="64"/>
      <c r="BN15" s="64"/>
      <c r="BO15" s="64"/>
      <c r="BP15" s="64"/>
      <c r="BQ15" s="64"/>
      <c r="BR15" s="64"/>
    </row>
    <row r="16" ht="18.75" customHeight="1" outlineLevel="1">
      <c r="A16" s="1" t="s">
        <v>1116</v>
      </c>
      <c r="B16" s="37" t="str">
        <f>IFERROR(LET(_xlpm.v,
VLOOKUP($A16,CS!$B:$H,COLUMN(CS!B$1),FALSE),
IF(_xlpm.v=0,"",_xlpm.v)
),"")</f>
        <v>ブランデッシュ</v>
      </c>
      <c r="C16" s="37" t="str">
        <f>IFERROR(LET(_xlpm.v,
VLOOKUP($A16,CS!$B:$H,COLUMN(CS!C$1),FALSE),
IF(_xlpm.v=0,"",_xlpm.v)
),"")</f>
        <v/>
      </c>
      <c r="D16" s="37" t="str">
        <f>IFERROR(LET(_xlpm.v,
VLOOKUP($A16,CS!$B:$H,COLUMN(CS!D$1),FALSE),
IF(_xlpm.v=0,"",_xlpm.v)
),"")</f>
        <v>A</v>
      </c>
      <c r="E16" s="37" t="str">
        <f>IFERROR(LET(_xlpm.v,
VLOOKUP($A16,CS!$B:$H,COLUMN(CS!E$1),FALSE),
IF(_xlpm.v=0,"",_xlpm.v)
),"")</f>
        <v/>
      </c>
      <c r="F16" s="37">
        <f>IFERROR(LET(_xlpm.v,
VLOOKUP($A16,CS!$B:$H,COLUMN(CS!F$1),FALSE),
IF(_xlpm.v=0,"",_xlpm.v)
),"")</f>
        <v>60</v>
      </c>
      <c r="G16" s="122" t="str">
        <f>IFERROR(LET(_xlpm.v,
VLOOKUP($A16,CS!$B:$N,COLUMN(CS!M$1),FALSE),
IF(_xlpm.v=0,"",_xlpm.v)
),"")</f>
        <v/>
      </c>
      <c r="H16" s="64" t="str">
        <f>IFERROR(LET(_xlpm.v,
VLOOKUP($A16,CS!$B:$H,COLUMN(CS!G$1),FALSE),
IF(_xlpm.v=0,"",_xlpm.v)
),"")</f>
        <v>攻撃手段:武器 物理+15 命中+25 判定:攻撃</v>
      </c>
      <c r="I16" s="37" t="s">
        <v>3327</v>
      </c>
      <c r="L16" s="64"/>
      <c r="M16" s="64"/>
      <c r="N16" s="64"/>
      <c r="O16" s="64">
        <v>15.0</v>
      </c>
      <c r="P16" s="64"/>
      <c r="Q16" s="64"/>
      <c r="R16" s="64"/>
      <c r="S16" s="64"/>
      <c r="T16" s="64"/>
      <c r="U16" s="64"/>
      <c r="V16" s="64"/>
      <c r="W16" s="64"/>
      <c r="X16" s="64"/>
      <c r="Y16" s="64"/>
      <c r="AQ16" s="37">
        <v>25.0</v>
      </c>
      <c r="BH16" s="64"/>
      <c r="BI16" s="64"/>
      <c r="BJ16" s="64"/>
      <c r="BK16" s="64"/>
      <c r="BL16" s="64"/>
      <c r="BM16" s="64"/>
      <c r="BN16" s="64"/>
      <c r="BO16" s="64"/>
      <c r="BP16" s="64"/>
      <c r="BQ16" s="64"/>
      <c r="BR16" s="64"/>
      <c r="CK16" s="37" t="s">
        <v>2568</v>
      </c>
    </row>
    <row r="17" ht="18.75" customHeight="1" outlineLevel="1">
      <c r="A17" s="1" t="s">
        <v>1120</v>
      </c>
      <c r="B17" s="37" t="str">
        <f>IFERROR(LET(_xlpm.v,
VLOOKUP($A17,CS!$B:$H,COLUMN(CS!B$1),FALSE),
IF(_xlpm.v=0,"",_xlpm.v)
),"")</f>
        <v/>
      </c>
      <c r="C17" s="37" t="str">
        <f>IFERROR(LET(_xlpm.v,
VLOOKUP($A17,CS!$B:$H,COLUMN(CS!C$1),FALSE),
IF(_xlpm.v=0,"",_xlpm.v)
),"")</f>
        <v/>
      </c>
      <c r="D17" s="37" t="str">
        <f>IFERROR(LET(_xlpm.v,
VLOOKUP($A17,CS!$B:$H,COLUMN(CS!D$1),FALSE),
IF(_xlpm.v=0,"",_xlpm.v)
),"")</f>
        <v>P</v>
      </c>
      <c r="E17" s="37" t="str">
        <f>IFERROR(LET(_xlpm.v,
VLOOKUP($A17,CS!$B:$H,COLUMN(CS!E$1),FALSE),
IF(_xlpm.v=0,"",_xlpm.v)
),"")</f>
        <v/>
      </c>
      <c r="F17" s="37" t="str">
        <f>IFERROR(LET(_xlpm.v,
VLOOKUP($A17,CS!$B:$H,COLUMN(CS!F$1),FALSE),
IF(_xlpm.v=0,"",_xlpm.v)
),"")</f>
        <v/>
      </c>
      <c r="G17" s="122" t="str">
        <f>IFERROR(LET(_xlpm.v,
VLOOKUP($A17,CS!$B:$N,COLUMN(CS!M$1),FALSE),
IF(_xlpm.v=0,"",_xlpm.v)
),"")</f>
        <v/>
      </c>
      <c r="H17" s="64" t="str">
        <f>IFERROR(LET(_xlpm.v,
VLOOKUP($A17,CS!$B:$H,COLUMN(CS!G$1),FALSE),
IF(_xlpm.v=0,"",_xlpm.v)
),"")</f>
        <v>条件:ガード時 物理+3 </v>
      </c>
      <c r="J17" s="37" t="s">
        <v>5417</v>
      </c>
      <c r="L17" s="64"/>
      <c r="M17" s="64"/>
      <c r="N17" s="64"/>
      <c r="O17" s="64">
        <v>3.0</v>
      </c>
      <c r="P17" s="64"/>
      <c r="Q17" s="64"/>
      <c r="R17" s="64"/>
      <c r="S17" s="64"/>
      <c r="T17" s="64"/>
      <c r="U17" s="64"/>
      <c r="V17" s="64"/>
      <c r="W17" s="64"/>
      <c r="X17" s="64"/>
      <c r="Y17" s="64"/>
      <c r="BH17" s="64"/>
      <c r="BI17" s="64"/>
      <c r="BJ17" s="64"/>
      <c r="BK17" s="64"/>
      <c r="BL17" s="64"/>
      <c r="BM17" s="64"/>
      <c r="BN17" s="64"/>
      <c r="BO17" s="64"/>
      <c r="BP17" s="64"/>
      <c r="BQ17" s="64"/>
      <c r="BR17" s="64"/>
    </row>
    <row r="18" ht="18.75" customHeight="1" outlineLevel="1">
      <c r="A18" s="1" t="s">
        <v>1122</v>
      </c>
      <c r="B18" s="37" t="str">
        <f>IFERROR(LET(_xlpm.v,
VLOOKUP($A18,CS!$B:$H,COLUMN(CS!B$1),FALSE),
IF(_xlpm.v=0,"",_xlpm.v)
),"")</f>
        <v/>
      </c>
      <c r="C18" s="37" t="str">
        <f>IFERROR(LET(_xlpm.v,
VLOOKUP($A18,CS!$B:$H,COLUMN(CS!C$1),FALSE),
IF(_xlpm.v=0,"",_xlpm.v)
),"")</f>
        <v/>
      </c>
      <c r="D18" s="37" t="str">
        <f>IFERROR(LET(_xlpm.v,
VLOOKUP($A18,CS!$B:$H,COLUMN(CS!D$1),FALSE),
IF(_xlpm.v=0,"",_xlpm.v)
),"")</f>
        <v>P</v>
      </c>
      <c r="E18" s="37" t="str">
        <f>IFERROR(LET(_xlpm.v,
VLOOKUP($A18,CS!$B:$H,COLUMN(CS!E$1),FALSE),
IF(_xlpm.v=0,"",_xlpm.v)
),"")</f>
        <v/>
      </c>
      <c r="F18" s="37" t="str">
        <f>IFERROR(LET(_xlpm.v,
VLOOKUP($A18,CS!$B:$H,COLUMN(CS!F$1),FALSE),
IF(_xlpm.v=0,"",_xlpm.v)
),"")</f>
        <v/>
      </c>
      <c r="G18" s="122" t="str">
        <f>IFERROR(LET(_xlpm.v,
VLOOKUP($A18,CS!$B:$N,COLUMN(CS!M$1),FALSE),
IF(_xlpm.v=0,"",_xlpm.v)
),"")</f>
        <v/>
      </c>
      <c r="H18" s="64" t="str">
        <f>IFERROR(LET(_xlpm.v,
VLOOKUP($A18,CS!$B:$H,COLUMN(CS!G$1),FALSE),
IF(_xlpm.v=0,"",_xlpm.v)
),"")</f>
        <v>攻撃手段:武器 ガード+2 命中+5</v>
      </c>
      <c r="I18" s="37" t="s">
        <v>3327</v>
      </c>
      <c r="L18" s="64"/>
      <c r="M18" s="64"/>
      <c r="N18" s="64">
        <v>2.0</v>
      </c>
      <c r="O18" s="64"/>
      <c r="P18" s="64"/>
      <c r="Q18" s="64"/>
      <c r="R18" s="64"/>
      <c r="S18" s="64"/>
      <c r="T18" s="64"/>
      <c r="U18" s="64"/>
      <c r="V18" s="64"/>
      <c r="W18" s="64"/>
      <c r="X18" s="64"/>
      <c r="Y18" s="64"/>
      <c r="AQ18" s="37">
        <v>5.0</v>
      </c>
      <c r="BH18" s="64"/>
      <c r="BI18" s="64"/>
      <c r="BJ18" s="64"/>
      <c r="BK18" s="64"/>
      <c r="BL18" s="64"/>
      <c r="BM18" s="64"/>
      <c r="BN18" s="64"/>
      <c r="BO18" s="64"/>
      <c r="BP18" s="64"/>
      <c r="BQ18" s="64"/>
      <c r="BR18" s="64"/>
    </row>
    <row r="19" ht="18.75" customHeight="1" outlineLevel="1">
      <c r="A19" s="1" t="s">
        <v>1125</v>
      </c>
      <c r="B19" s="37" t="str">
        <f>IFERROR(LET(_xlpm.v,
VLOOKUP($A19,CS!$B:$H,COLUMN(CS!B$1),FALSE),
IF(_xlpm.v=0,"",_xlpm.v)
),"")</f>
        <v>オーラ・クイック</v>
      </c>
      <c r="C19" s="37" t="str">
        <f>IFERROR(LET(_xlpm.v,
VLOOKUP($A19,CS!$B:$H,COLUMN(CS!C$1),FALSE),
IF(_xlpm.v=0,"",_xlpm.v)
),"")</f>
        <v/>
      </c>
      <c r="D19" s="37" t="str">
        <f>IFERROR(LET(_xlpm.v,
VLOOKUP($A19,CS!$B:$H,COLUMN(CS!D$1),FALSE),
IF(_xlpm.v=0,"",_xlpm.v)
),"")</f>
        <v>A</v>
      </c>
      <c r="E19" s="37" t="str">
        <f>IFERROR(LET(_xlpm.v,
VLOOKUP($A19,CS!$B:$H,COLUMN(CS!E$1),FALSE),
IF(_xlpm.v=0,"",_xlpm.v)
),"")</f>
        <v/>
      </c>
      <c r="F19" s="37">
        <f>IFERROR(LET(_xlpm.v,
VLOOKUP($A19,CS!$B:$H,COLUMN(CS!F$1),FALSE),
IF(_xlpm.v=0,"",_xlpm.v)
),"")</f>
        <v>40</v>
      </c>
      <c r="G19" s="122" t="str">
        <f>IFERROR(LET(_xlpm.v,
VLOOKUP($A19,CS!$B:$N,COLUMN(CS!M$1),FALSE),
IF(_xlpm.v=0,"",_xlpm.v)
),"")</f>
        <v/>
      </c>
      <c r="H19" s="64" t="str">
        <f>IFERROR(LET(_xlpm.v,
VLOOKUP($A19,CS!$B:$H,COLUMN(CS!G$1),FALSE),
IF(_xlpm.v=0,"",_xlpm.v)
),"")</f>
        <v>攻撃手段:武器 物理+15 速度+25 判定:速度 </v>
      </c>
      <c r="I19" s="37" t="s">
        <v>3327</v>
      </c>
      <c r="L19" s="64"/>
      <c r="M19" s="64"/>
      <c r="N19" s="64"/>
      <c r="O19" s="64">
        <v>15.0</v>
      </c>
      <c r="P19" s="64"/>
      <c r="Q19" s="64"/>
      <c r="R19" s="64"/>
      <c r="S19" s="64"/>
      <c r="T19" s="64"/>
      <c r="U19" s="64"/>
      <c r="V19" s="64"/>
      <c r="W19" s="64"/>
      <c r="X19" s="64"/>
      <c r="Y19" s="64"/>
      <c r="AP19" s="37">
        <v>25.0</v>
      </c>
      <c r="BH19" s="64"/>
      <c r="BI19" s="64"/>
      <c r="BJ19" s="64"/>
      <c r="BK19" s="64"/>
      <c r="BL19" s="64"/>
      <c r="BM19" s="64"/>
      <c r="BN19" s="64"/>
      <c r="BO19" s="64"/>
      <c r="BP19" s="64"/>
      <c r="BQ19" s="64"/>
      <c r="BR19" s="64"/>
      <c r="CK19" s="37" t="s">
        <v>2570</v>
      </c>
    </row>
    <row r="20" ht="18.75" customHeight="1" outlineLevel="1">
      <c r="A20" s="1" t="s">
        <v>1136</v>
      </c>
      <c r="B20" s="37" t="str">
        <f>IFERROR(LET(_xlpm.v,
VLOOKUP($A20,CS!$B:$H,COLUMN(CS!B$1),FALSE),
IF(_xlpm.v=0,"",_xlpm.v)
),"")</f>
        <v>ポイントストライク</v>
      </c>
      <c r="C20" s="37" t="str">
        <f>IFERROR(LET(_xlpm.v,
VLOOKUP($A20,CS!$B:$H,COLUMN(CS!C$1),FALSE),
IF(_xlpm.v=0,"",_xlpm.v)
),"")</f>
        <v/>
      </c>
      <c r="D20" s="37" t="str">
        <f>IFERROR(LET(_xlpm.v,
VLOOKUP($A20,CS!$B:$H,COLUMN(CS!D$1),FALSE),
IF(_xlpm.v=0,"",_xlpm.v)
),"")</f>
        <v>A</v>
      </c>
      <c r="E20" s="37" t="str">
        <f>IFERROR(LET(_xlpm.v,
VLOOKUP($A20,CS!$B:$H,COLUMN(CS!E$1),FALSE),
IF(_xlpm.v=0,"",_xlpm.v)
),"")</f>
        <v/>
      </c>
      <c r="F20" s="37">
        <f>IFERROR(LET(_xlpm.v,
VLOOKUP($A20,CS!$B:$H,COLUMN(CS!F$1),FALSE),
IF(_xlpm.v=0,"",_xlpm.v)
),"")</f>
        <v>60</v>
      </c>
      <c r="G20" s="122" t="str">
        <f>IFERROR(LET(_xlpm.v,
VLOOKUP($A20,CS!$B:$N,COLUMN(CS!M$1),FALSE),
IF(_xlpm.v=0,"",_xlpm.v)
),"")</f>
        <v/>
      </c>
      <c r="H20" s="64" t="str">
        <f>IFERROR(LET(_xlpm.v,
VLOOKUP($A20,CS!$B:$H,COLUMN(CS!G$1),FALSE),
IF(_xlpm.v=0,"",_xlpm.v)
),"")</f>
        <v>条件:不意打ち 物理+35 判定:命中 </v>
      </c>
      <c r="J20" s="37" t="s">
        <v>5418</v>
      </c>
      <c r="L20" s="64"/>
      <c r="M20" s="64"/>
      <c r="N20" s="64"/>
      <c r="O20" s="64">
        <v>35.0</v>
      </c>
      <c r="P20" s="64"/>
      <c r="Q20" s="64"/>
      <c r="R20" s="64"/>
      <c r="S20" s="64"/>
      <c r="T20" s="64"/>
      <c r="U20" s="64"/>
      <c r="V20" s="64"/>
      <c r="W20" s="64"/>
      <c r="X20" s="64"/>
      <c r="Y20" s="64"/>
      <c r="BH20" s="64"/>
      <c r="BI20" s="64"/>
      <c r="BJ20" s="64"/>
      <c r="BK20" s="64"/>
      <c r="BL20" s="64"/>
      <c r="BM20" s="64"/>
      <c r="BN20" s="64"/>
      <c r="BO20" s="64"/>
      <c r="BP20" s="64"/>
      <c r="BQ20" s="64"/>
      <c r="BR20" s="64"/>
      <c r="CK20" s="37" t="s">
        <v>2571</v>
      </c>
    </row>
    <row r="21" ht="18.75" customHeight="1" outlineLevel="1">
      <c r="A21" s="1" t="s">
        <v>1139</v>
      </c>
      <c r="B21" s="37" t="str">
        <f>IFERROR(LET(_xlpm.v,
VLOOKUP($A21,CS!$B:$H,COLUMN(CS!B$1),FALSE),
IF(_xlpm.v=0,"",_xlpm.v)
),"")</f>
        <v/>
      </c>
      <c r="C21" s="37" t="str">
        <f>IFERROR(LET(_xlpm.v,
VLOOKUP($A21,CS!$B:$H,COLUMN(CS!C$1),FALSE),
IF(_xlpm.v=0,"",_xlpm.v)
),"")</f>
        <v/>
      </c>
      <c r="D21" s="37" t="str">
        <f>IFERROR(LET(_xlpm.v,
VLOOKUP($A21,CS!$B:$H,COLUMN(CS!D$1),FALSE),
IF(_xlpm.v=0,"",_xlpm.v)
),"")</f>
        <v>P</v>
      </c>
      <c r="E21" s="37" t="str">
        <f>IFERROR(LET(_xlpm.v,
VLOOKUP($A21,CS!$B:$H,COLUMN(CS!E$1),FALSE),
IF(_xlpm.v=0,"",_xlpm.v)
),"")</f>
        <v/>
      </c>
      <c r="F21" s="37" t="str">
        <f>IFERROR(LET(_xlpm.v,
VLOOKUP($A21,CS!$B:$H,COLUMN(CS!F$1),FALSE),
IF(_xlpm.v=0,"",_xlpm.v)
),"")</f>
        <v/>
      </c>
      <c r="G21" s="122" t="str">
        <f>IFERROR(LET(_xlpm.v,
VLOOKUP($A21,CS!$B:$N,COLUMN(CS!M$1),FALSE),
IF(_xlpm.v=0,"",_xlpm.v)
),"")</f>
        <v/>
      </c>
      <c r="H21" s="64" t="str">
        <f>IFERROR(LET(_xlpm.v,
VLOOKUP($A21,CS!$B:$H,COLUMN(CS!G$1),FALSE),
IF(_xlpm.v=0,"",_xlpm.v)
),"")</f>
        <v/>
      </c>
      <c r="L21" s="64"/>
      <c r="M21" s="64"/>
      <c r="N21" s="64"/>
      <c r="O21" s="64"/>
      <c r="P21" s="64"/>
      <c r="Q21" s="64"/>
      <c r="R21" s="64"/>
      <c r="S21" s="64"/>
      <c r="T21" s="64"/>
      <c r="U21" s="64"/>
      <c r="V21" s="64"/>
      <c r="W21" s="64"/>
      <c r="X21" s="64"/>
      <c r="Y21" s="64"/>
      <c r="BH21" s="64"/>
      <c r="BI21" s="64"/>
      <c r="BJ21" s="64"/>
      <c r="BK21" s="64"/>
      <c r="BL21" s="64"/>
      <c r="BM21" s="64"/>
      <c r="BN21" s="64"/>
      <c r="BO21" s="64"/>
      <c r="BP21" s="64"/>
      <c r="BQ21" s="64"/>
      <c r="BR21" s="64"/>
    </row>
    <row r="22" ht="18.75" customHeight="1" outlineLevel="1">
      <c r="A22" s="1" t="s">
        <v>1140</v>
      </c>
      <c r="B22" s="37" t="str">
        <f>IFERROR(LET(_xlpm.v,
VLOOKUP($A22,CS!$B:$H,COLUMN(CS!B$1),FALSE),
IF(_xlpm.v=0,"",_xlpm.v)
),"")</f>
        <v>ペイン・ストライク</v>
      </c>
      <c r="C22" s="37" t="str">
        <f>IFERROR(LET(_xlpm.v,
VLOOKUP($A22,CS!$B:$H,COLUMN(CS!C$1),FALSE),
IF(_xlpm.v=0,"",_xlpm.v)
),"")</f>
        <v/>
      </c>
      <c r="D22" s="37" t="str">
        <f>IFERROR(LET(_xlpm.v,
VLOOKUP($A22,CS!$B:$H,COLUMN(CS!D$1),FALSE),
IF(_xlpm.v=0,"",_xlpm.v)
),"")</f>
        <v>A</v>
      </c>
      <c r="E22" s="37" t="str">
        <f>IFERROR(LET(_xlpm.v,
VLOOKUP($A22,CS!$B:$H,COLUMN(CS!E$1),FALSE),
IF(_xlpm.v=0,"",_xlpm.v)
),"")</f>
        <v/>
      </c>
      <c r="F22" s="37">
        <f>IFERROR(LET(_xlpm.v,
VLOOKUP($A22,CS!$B:$H,COLUMN(CS!F$1),FALSE),
IF(_xlpm.v=0,"",_xlpm.v)
),"")</f>
        <v>60</v>
      </c>
      <c r="G22" s="122" t="str">
        <f>IFERROR(LET(_xlpm.v,
VLOOKUP($A22,CS!$B:$N,COLUMN(CS!M$1),FALSE),
IF(_xlpm.v=0,"",_xlpm.v)
),"")</f>
        <v/>
      </c>
      <c r="H22" s="64" t="str">
        <f>IFERROR(LET(_xlpm.v,
VLOOKUP($A22,CS!$B:$H,COLUMN(CS!G$1),FALSE),
IF(_xlpm.v=0,"",_xlpm.v)
),"")</f>
        <v>攻撃手段:武器 怯み+30 判定:命中</v>
      </c>
      <c r="I22" s="37" t="s">
        <v>3327</v>
      </c>
      <c r="L22" s="64"/>
      <c r="M22" s="64"/>
      <c r="N22" s="64"/>
      <c r="O22" s="64"/>
      <c r="P22" s="64"/>
      <c r="Q22" s="64"/>
      <c r="R22" s="64"/>
      <c r="S22" s="64"/>
      <c r="T22" s="64"/>
      <c r="U22" s="64"/>
      <c r="V22" s="64"/>
      <c r="W22" s="64"/>
      <c r="X22" s="64"/>
      <c r="Y22" s="64"/>
      <c r="AC22" s="37">
        <v>30.0</v>
      </c>
      <c r="BH22" s="64"/>
      <c r="BI22" s="64"/>
      <c r="BJ22" s="64"/>
      <c r="BK22" s="64"/>
      <c r="BL22" s="64"/>
      <c r="BM22" s="64"/>
      <c r="BN22" s="64"/>
      <c r="BO22" s="64"/>
      <c r="BP22" s="64"/>
      <c r="BQ22" s="64"/>
      <c r="BR22" s="64"/>
      <c r="CK22" s="37" t="s">
        <v>2571</v>
      </c>
    </row>
    <row r="23" ht="18.75" customHeight="1" outlineLevel="1">
      <c r="A23" s="1" t="s">
        <v>1143</v>
      </c>
      <c r="B23" s="37" t="str">
        <f>IFERROR(LET(_xlpm.v,
VLOOKUP($A23,CS!$B:$H,COLUMN(CS!B$1),FALSE),
IF(_xlpm.v=0,"",_xlpm.v)
),"")</f>
        <v/>
      </c>
      <c r="C23" s="37" t="str">
        <f>IFERROR(LET(_xlpm.v,
VLOOKUP($A23,CS!$B:$H,COLUMN(CS!C$1),FALSE),
IF(_xlpm.v=0,"",_xlpm.v)
),"")</f>
        <v/>
      </c>
      <c r="D23" s="37" t="str">
        <f>IFERROR(LET(_xlpm.v,
VLOOKUP($A23,CS!$B:$H,COLUMN(CS!D$1),FALSE),
IF(_xlpm.v=0,"",_xlpm.v)
),"")</f>
        <v>P</v>
      </c>
      <c r="E23" s="37" t="str">
        <f>IFERROR(LET(_xlpm.v,
VLOOKUP($A23,CS!$B:$H,COLUMN(CS!E$1),FALSE),
IF(_xlpm.v=0,"",_xlpm.v)
),"")</f>
        <v/>
      </c>
      <c r="F23" s="37" t="str">
        <f>IFERROR(LET(_xlpm.v,
VLOOKUP($A23,CS!$B:$H,COLUMN(CS!F$1),FALSE),
IF(_xlpm.v=0,"",_xlpm.v)
),"")</f>
        <v/>
      </c>
      <c r="G23" s="122" t="str">
        <f>IFERROR(LET(_xlpm.v,
VLOOKUP($A23,CS!$B:$N,COLUMN(CS!M$1),FALSE),
IF(_xlpm.v=0,"",_xlpm.v)
),"")</f>
        <v/>
      </c>
      <c r="H23" s="64" t="str">
        <f>IFERROR(LET(_xlpm.v,
VLOOKUP($A23,CS!$B:$H,COLUMN(CS!G$1),FALSE),
IF(_xlpm.v=0,"",_xlpm.v)
),"")</f>
        <v/>
      </c>
      <c r="L23" s="64"/>
      <c r="M23" s="64"/>
      <c r="N23" s="64"/>
      <c r="O23" s="64"/>
      <c r="P23" s="64"/>
      <c r="Q23" s="64"/>
      <c r="R23" s="64"/>
      <c r="S23" s="64"/>
      <c r="T23" s="64"/>
      <c r="U23" s="64"/>
      <c r="V23" s="64"/>
      <c r="W23" s="64"/>
      <c r="X23" s="64"/>
      <c r="Y23" s="64"/>
      <c r="BH23" s="64"/>
      <c r="BI23" s="64"/>
      <c r="BJ23" s="64"/>
      <c r="BK23" s="64"/>
      <c r="BL23" s="64"/>
      <c r="BM23" s="64"/>
      <c r="BN23" s="64"/>
      <c r="BO23" s="64"/>
      <c r="BP23" s="64"/>
      <c r="BQ23" s="64"/>
      <c r="BR23" s="64"/>
    </row>
    <row r="24" ht="18.75" customHeight="1" outlineLevel="1">
      <c r="A24" s="1" t="s">
        <v>1144</v>
      </c>
      <c r="B24" s="37" t="str">
        <f>IFERROR(LET(_xlpm.v,
VLOOKUP($A24,CS!$B:$H,COLUMN(CS!B$1),FALSE),
IF(_xlpm.v=0,"",_xlpm.v)
),"")</f>
        <v>ターゲット</v>
      </c>
      <c r="C24" s="37" t="str">
        <f>IFERROR(LET(_xlpm.v,
VLOOKUP($A24,CS!$B:$H,COLUMN(CS!C$1),FALSE),
IF(_xlpm.v=0,"",_xlpm.v)
),"")</f>
        <v/>
      </c>
      <c r="D24" s="37" t="str">
        <f>IFERROR(LET(_xlpm.v,
VLOOKUP($A24,CS!$B:$H,COLUMN(CS!D$1),FALSE),
IF(_xlpm.v=0,"",_xlpm.v)
),"")</f>
        <v>A</v>
      </c>
      <c r="E24" s="37" t="str">
        <f>IFERROR(LET(_xlpm.v,
VLOOKUP($A24,CS!$B:$H,COLUMN(CS!E$1),FALSE),
IF(_xlpm.v=0,"",_xlpm.v)
),"")</f>
        <v/>
      </c>
      <c r="F24" s="37" t="str">
        <f>IFERROR(LET(_xlpm.v,
VLOOKUP($A24,CS!$B:$H,COLUMN(CS!F$1),FALSE),
IF(_xlpm.v=0,"",_xlpm.v)
),"")</f>
        <v/>
      </c>
      <c r="G24" s="122" t="str">
        <f>IFERROR(LET(_xlpm.v,
VLOOKUP($A24,CS!$B:$N,COLUMN(CS!M$1),FALSE),
IF(_xlpm.v=0,"",_xlpm.v)
),"")</f>
        <v/>
      </c>
      <c r="H24" s="64" t="str">
        <f>IFERROR(LET(_xlpm.v,
VLOOKUP($A24,CS!$B:$H,COLUMN(CS!G$1),FALSE),
IF(_xlpm.v=0,"",_xlpm.v)
),"")</f>
        <v>効果時間:4t 命中+20 Cr率+5</v>
      </c>
      <c r="L24" s="64"/>
      <c r="M24" s="64"/>
      <c r="N24" s="64"/>
      <c r="O24" s="64"/>
      <c r="P24" s="64"/>
      <c r="Q24" s="64"/>
      <c r="R24" s="64"/>
      <c r="S24" s="64"/>
      <c r="T24" s="64"/>
      <c r="U24" s="64"/>
      <c r="V24" s="64"/>
      <c r="W24" s="64"/>
      <c r="X24" s="64"/>
      <c r="Y24" s="64"/>
      <c r="AG24" s="37">
        <v>5.0</v>
      </c>
      <c r="AQ24" s="37">
        <v>20.0</v>
      </c>
      <c r="BH24" s="64"/>
      <c r="BI24" s="64"/>
      <c r="BJ24" s="64"/>
      <c r="BK24" s="64"/>
      <c r="BL24" s="64"/>
      <c r="BM24" s="64"/>
      <c r="BN24" s="64"/>
      <c r="BO24" s="64"/>
      <c r="BP24" s="64"/>
      <c r="BQ24" s="64"/>
      <c r="BR24" s="64"/>
      <c r="CL24" s="37" t="s">
        <v>5416</v>
      </c>
    </row>
    <row r="25" ht="18.75" customHeight="1" outlineLevel="1">
      <c r="A25" s="1" t="s">
        <v>2396</v>
      </c>
      <c r="B25" s="37" t="str">
        <f>IFERROR(LET(_xlpm.v,
VLOOKUP($A25,CS!$B:$H,COLUMN(CS!B$1),FALSE),
IF(_xlpm.v=0,"",_xlpm.v)
),"")</f>
        <v/>
      </c>
      <c r="C25" s="37" t="str">
        <f>IFERROR(LET(_xlpm.v,
VLOOKUP($A25,CS!$B:$H,COLUMN(CS!C$1),FALSE),
IF(_xlpm.v=0,"",_xlpm.v)
),"")</f>
        <v>炎</v>
      </c>
      <c r="D25" s="37" t="str">
        <f>IFERROR(LET(_xlpm.v,
VLOOKUP($A25,CS!$B:$H,COLUMN(CS!D$1),FALSE),
IF(_xlpm.v=0,"",_xlpm.v)
),"")</f>
        <v>A</v>
      </c>
      <c r="E25" s="37" t="str">
        <f>IFERROR(LET(_xlpm.v,
VLOOKUP($A25,CS!$B:$H,COLUMN(CS!E$1),FALSE),
IF(_xlpm.v=0,"",_xlpm.v)
),"")</f>
        <v/>
      </c>
      <c r="F25" s="37">
        <f>IFERROR(LET(_xlpm.v,
VLOOKUP($A25,CS!$B:$H,COLUMN(CS!F$1),FALSE),
IF(_xlpm.v=0,"",_xlpm.v)
),"")</f>
        <v>60</v>
      </c>
      <c r="G25" s="122" t="str">
        <f>IFERROR(LET(_xlpm.v,
VLOOKUP($A25,CS!$B:$N,COLUMN(CS!M$1),FALSE),
IF(_xlpm.v=0,"",_xlpm.v)
),"")</f>
        <v/>
      </c>
      <c r="H25" s="64" t="str">
        <f>IFERROR(LET(_xlpm.v,
VLOOKUP($A25,CS!$B:$H,COLUMN(CS!G$1),FALSE),
IF(_xlpm.v=0,"",_xlpm.v)
),"")</f>
        <v>攻撃手段:素手 物理+15 炎+25 判定:攻撃</v>
      </c>
      <c r="I25" s="37" t="s">
        <v>5419</v>
      </c>
      <c r="L25" s="64"/>
      <c r="M25" s="64"/>
      <c r="N25" s="64"/>
      <c r="O25" s="64">
        <v>15.0</v>
      </c>
      <c r="P25" s="64"/>
      <c r="Q25" s="64"/>
      <c r="R25" s="64"/>
      <c r="S25" s="64"/>
      <c r="T25" s="64"/>
      <c r="U25" s="64">
        <v>25.0</v>
      </c>
      <c r="V25" s="64"/>
      <c r="W25" s="64"/>
      <c r="X25" s="64"/>
      <c r="Y25" s="64"/>
      <c r="BH25" s="64"/>
      <c r="BI25" s="64"/>
      <c r="BJ25" s="64"/>
      <c r="BK25" s="64"/>
      <c r="BL25" s="64"/>
      <c r="BM25" s="64"/>
      <c r="BN25" s="64"/>
      <c r="BO25" s="64"/>
      <c r="BP25" s="64"/>
      <c r="BQ25" s="64"/>
      <c r="BR25" s="64"/>
      <c r="CK25" s="37" t="s">
        <v>2568</v>
      </c>
    </row>
    <row r="26" ht="18.75" customHeight="1" outlineLevel="1">
      <c r="A26" s="1" t="s">
        <v>1296</v>
      </c>
      <c r="B26" s="37" t="str">
        <f>IFERROR(LET(_xlpm.v,
VLOOKUP($A26,CS!$B:$H,COLUMN(CS!B$1),FALSE),
IF(_xlpm.v=0,"",_xlpm.v)
),"")</f>
        <v/>
      </c>
      <c r="C26" s="37" t="str">
        <f>IFERROR(LET(_xlpm.v,
VLOOKUP($A26,CS!$B:$H,COLUMN(CS!C$1),FALSE),
IF(_xlpm.v=0,"",_xlpm.v)
),"")</f>
        <v/>
      </c>
      <c r="D26" s="37" t="str">
        <f>IFERROR(LET(_xlpm.v,
VLOOKUP($A26,CS!$B:$H,COLUMN(CS!D$1),FALSE),
IF(_xlpm.v=0,"",_xlpm.v)
),"")</f>
        <v/>
      </c>
      <c r="E26" s="37" t="str">
        <f>IFERROR(LET(_xlpm.v,
VLOOKUP($A26,CS!$B:$H,COLUMN(CS!E$1),FALSE),
IF(_xlpm.v=0,"",_xlpm.v)
),"")</f>
        <v/>
      </c>
      <c r="F26" s="37" t="str">
        <f>IFERROR(LET(_xlpm.v,
VLOOKUP($A26,CS!$B:$H,COLUMN(CS!F$1),FALSE),
IF(_xlpm.v=0,"",_xlpm.v)
),"")</f>
        <v/>
      </c>
      <c r="G26" s="122" t="str">
        <f>IFERROR(LET(_xlpm.v,
VLOOKUP($A26,CS!$B:$N,COLUMN(CS!M$1),FALSE),
IF(_xlpm.v=0,"",_xlpm.v)
),"")</f>
        <v/>
      </c>
      <c r="H26" s="64" t="str">
        <f>IFERROR(LET(_xlpm.v,
VLOOKUP($A26,CS!$B:$H,COLUMN(CS!G$1),FALSE),
IF(_xlpm.v=0,"",_xlpm.v)
),"")</f>
        <v/>
      </c>
      <c r="L26" s="64"/>
      <c r="M26" s="64"/>
      <c r="N26" s="64"/>
      <c r="O26" s="64"/>
      <c r="P26" s="64"/>
      <c r="Q26" s="64"/>
      <c r="R26" s="64"/>
      <c r="S26" s="64"/>
      <c r="T26" s="64"/>
      <c r="U26" s="64"/>
      <c r="V26" s="64"/>
      <c r="W26" s="64"/>
      <c r="X26" s="64"/>
      <c r="Y26" s="64"/>
      <c r="BH26" s="64"/>
      <c r="BI26" s="64"/>
      <c r="BJ26" s="64"/>
      <c r="BK26" s="64"/>
      <c r="BL26" s="64"/>
      <c r="BM26" s="64"/>
      <c r="BN26" s="64"/>
      <c r="BO26" s="64"/>
      <c r="BP26" s="64"/>
      <c r="BQ26" s="64"/>
      <c r="BR26" s="64"/>
      <c r="CG26" s="37" t="s">
        <v>1296</v>
      </c>
    </row>
    <row r="27" ht="18.75" customHeight="1" outlineLevel="1">
      <c r="A27" s="1" t="s">
        <v>5420</v>
      </c>
      <c r="B27" s="37" t="str">
        <f>IFERROR(LET(_xlpm.v,
VLOOKUP($A27,CS!$B:$H,COLUMN(CS!B$1),FALSE),
IF(_xlpm.v=0,"",_xlpm.v)
),"")</f>
        <v/>
      </c>
      <c r="C27" s="37" t="str">
        <f>IFERROR(LET(_xlpm.v,
VLOOKUP($A27,CS!$B:$H,COLUMN(CS!C$1),FALSE),
IF(_xlpm.v=0,"",_xlpm.v)
),"")</f>
        <v/>
      </c>
      <c r="D27" s="37" t="str">
        <f>IFERROR(LET(_xlpm.v,
VLOOKUP($A27,CS!$B:$H,COLUMN(CS!D$1),FALSE),
IF(_xlpm.v=0,"",_xlpm.v)
),"")</f>
        <v>P</v>
      </c>
      <c r="E27" s="37" t="str">
        <f>IFERROR(LET(_xlpm.v,
VLOOKUP($A27,CS!$B:$H,COLUMN(CS!E$1),FALSE),
IF(_xlpm.v=0,"",_xlpm.v)
),"")</f>
        <v/>
      </c>
      <c r="F27" s="37" t="str">
        <f>IFERROR(LET(_xlpm.v,
VLOOKUP($A27,CS!$B:$H,COLUMN(CS!F$1),FALSE),
IF(_xlpm.v=0,"",_xlpm.v)
),"")</f>
        <v/>
      </c>
      <c r="G27" s="122" t="str">
        <f>IFERROR(LET(_xlpm.v,
VLOOKUP($A27,CS!$B:$N,COLUMN(CS!M$1),FALSE),
IF(_xlpm.v=0,"",_xlpm.v)
),"")</f>
        <v/>
      </c>
      <c r="H27" s="64" t="str">
        <f>IFERROR(LET(_xlpm.v,
VLOOKUP($A27,CS!$B:$H,COLUMN(CS!G$1),FALSE),
IF(_xlpm.v=0,"",_xlpm.v)
),"")</f>
        <v>条件系統:炎 魔力+30</v>
      </c>
      <c r="K27" s="37" t="s">
        <v>284</v>
      </c>
      <c r="L27" s="64"/>
      <c r="M27" s="64"/>
      <c r="N27" s="64"/>
      <c r="O27" s="64"/>
      <c r="P27" s="64"/>
      <c r="Q27" s="64"/>
      <c r="R27" s="64"/>
      <c r="S27" s="64"/>
      <c r="T27" s="64"/>
      <c r="U27" s="64"/>
      <c r="V27" s="64"/>
      <c r="W27" s="64"/>
      <c r="X27" s="64"/>
      <c r="Y27" s="64"/>
      <c r="AN27" s="37">
        <v>30.0</v>
      </c>
      <c r="BH27" s="64"/>
      <c r="BI27" s="64"/>
      <c r="BJ27" s="64"/>
      <c r="BK27" s="64"/>
      <c r="BL27" s="64"/>
      <c r="BM27" s="64"/>
      <c r="BN27" s="64"/>
      <c r="BO27" s="64"/>
      <c r="BP27" s="64"/>
      <c r="BQ27" s="64"/>
      <c r="BR27" s="64"/>
    </row>
    <row r="28" ht="18.75" customHeight="1" outlineLevel="1">
      <c r="A28" s="1" t="s">
        <v>5421</v>
      </c>
      <c r="B28" s="37" t="str">
        <f>IFERROR(LET(_xlpm.v,
VLOOKUP($A28,CS!$B:$H,COLUMN(CS!B$1),FALSE),
IF(_xlpm.v=0,"",_xlpm.v)
),"")</f>
        <v/>
      </c>
      <c r="C28" s="37" t="str">
        <f>IFERROR(LET(_xlpm.v,
VLOOKUP($A28,CS!$B:$H,COLUMN(CS!C$1),FALSE),
IF(_xlpm.v=0,"",_xlpm.v)
),"")</f>
        <v/>
      </c>
      <c r="D28" s="37" t="str">
        <f>IFERROR(LET(_xlpm.v,
VLOOKUP($A28,CS!$B:$H,COLUMN(CS!D$1),FALSE),
IF(_xlpm.v=0,"",_xlpm.v)
),"")</f>
        <v>P</v>
      </c>
      <c r="E28" s="37" t="str">
        <f>IFERROR(LET(_xlpm.v,
VLOOKUP($A28,CS!$B:$H,COLUMN(CS!E$1),FALSE),
IF(_xlpm.v=0,"",_xlpm.v)
),"")</f>
        <v/>
      </c>
      <c r="F28" s="37" t="str">
        <f>IFERROR(LET(_xlpm.v,
VLOOKUP($A28,CS!$B:$H,COLUMN(CS!F$1),FALSE),
IF(_xlpm.v=0,"",_xlpm.v)
),"")</f>
        <v/>
      </c>
      <c r="G28" s="122" t="str">
        <f>IFERROR(LET(_xlpm.v,
VLOOKUP($A28,CS!$B:$N,COLUMN(CS!M$1),FALSE),
IF(_xlpm.v=0,"",_xlpm.v)
),"")</f>
        <v/>
      </c>
      <c r="H28" s="64" t="str">
        <f>IFERROR(LET(_xlpm.v,
VLOOKUP($A28,CS!$B:$H,COLUMN(CS!G$1),FALSE),
IF(_xlpm.v=0,"",_xlpm.v)
),"")</f>
        <v>条件系統:炎 攻撃+30</v>
      </c>
      <c r="K28" s="37" t="s">
        <v>284</v>
      </c>
      <c r="L28" s="64"/>
      <c r="M28" s="64"/>
      <c r="N28" s="64"/>
      <c r="O28" s="64"/>
      <c r="P28" s="64"/>
      <c r="Q28" s="64"/>
      <c r="R28" s="64"/>
      <c r="S28" s="64"/>
      <c r="T28" s="64"/>
      <c r="U28" s="64"/>
      <c r="V28" s="64"/>
      <c r="W28" s="64"/>
      <c r="X28" s="64"/>
      <c r="Y28" s="64"/>
      <c r="AL28" s="37">
        <v>30.0</v>
      </c>
      <c r="BH28" s="64"/>
      <c r="BI28" s="64"/>
      <c r="BJ28" s="64"/>
      <c r="BK28" s="64"/>
      <c r="BL28" s="64"/>
      <c r="BM28" s="64"/>
      <c r="BN28" s="64"/>
      <c r="BO28" s="64"/>
      <c r="BP28" s="64"/>
      <c r="BQ28" s="64"/>
      <c r="BR28" s="64"/>
    </row>
    <row r="29" ht="18.75" customHeight="1" outlineLevel="1">
      <c r="A29" s="1" t="s">
        <v>5422</v>
      </c>
      <c r="B29" s="37" t="str">
        <f>IFERROR(LET(_xlpm.v,
VLOOKUP($A29,CS!$B:$H,COLUMN(CS!B$1),FALSE),
IF(_xlpm.v=0,"",_xlpm.v)
),"")</f>
        <v/>
      </c>
      <c r="C29" s="37" t="str">
        <f>IFERROR(LET(_xlpm.v,
VLOOKUP($A29,CS!$B:$H,COLUMN(CS!C$1),FALSE),
IF(_xlpm.v=0,"",_xlpm.v)
),"")</f>
        <v>炎</v>
      </c>
      <c r="D29" s="37" t="str">
        <f>IFERROR(LET(_xlpm.v,
VLOOKUP($A29,CS!$B:$H,COLUMN(CS!D$1),FALSE),
IF(_xlpm.v=0,"",_xlpm.v)
),"")</f>
        <v>A</v>
      </c>
      <c r="E29" s="37" t="str">
        <f>IFERROR(LET(_xlpm.v,
VLOOKUP($A29,CS!$B:$H,COLUMN(CS!E$1),FALSE),
IF(_xlpm.v=0,"",_xlpm.v)
),"")</f>
        <v/>
      </c>
      <c r="F29" s="37">
        <f>IFERROR(LET(_xlpm.v,
VLOOKUP($A29,CS!$B:$H,COLUMN(CS!F$1),FALSE),
IF(_xlpm.v=0,"",_xlpm.v)
),"")</f>
        <v>80</v>
      </c>
      <c r="G29" s="122" t="str">
        <f>IFERROR(LET(_xlpm.v,
VLOOKUP($A29,CS!$B:$N,COLUMN(CS!M$1),FALSE),
IF(_xlpm.v=0,"",_xlpm.v)
),"")</f>
        <v/>
      </c>
      <c r="H29" s="64" t="str">
        <f>IFERROR(LET(_xlpm.v,
VLOOKUP($A29,CS!$B:$H,COLUMN(CS!G$1),FALSE),
IF(_xlpm.v=0,"",_xlpm.v)
),"")</f>
        <v>攻撃手段:吐息 炎+45 射程:20 範囲:放射</v>
      </c>
      <c r="I29" s="37" t="s">
        <v>5423</v>
      </c>
      <c r="L29" s="64"/>
      <c r="M29" s="64"/>
      <c r="N29" s="64"/>
      <c r="O29" s="64"/>
      <c r="P29" s="64"/>
      <c r="Q29" s="64"/>
      <c r="R29" s="64"/>
      <c r="S29" s="64"/>
      <c r="T29" s="64"/>
      <c r="U29" s="64">
        <v>45.0</v>
      </c>
      <c r="V29" s="64"/>
      <c r="W29" s="64"/>
      <c r="X29" s="64"/>
      <c r="Y29" s="64"/>
      <c r="BH29" s="64"/>
      <c r="BI29" s="64"/>
      <c r="BJ29" s="64"/>
      <c r="BK29" s="64"/>
      <c r="BL29" s="64"/>
      <c r="BM29" s="64"/>
      <c r="BN29" s="64"/>
      <c r="BO29" s="64"/>
      <c r="BP29" s="64"/>
      <c r="BQ29" s="64"/>
      <c r="BR29" s="64"/>
      <c r="CC29" s="37">
        <v>20.0</v>
      </c>
      <c r="CD29" s="37" t="s">
        <v>3084</v>
      </c>
    </row>
    <row r="30" ht="18.75" customHeight="1" outlineLevel="1">
      <c r="A30" s="1" t="s">
        <v>2400</v>
      </c>
      <c r="B30" s="37" t="str">
        <f>IFERROR(LET(_xlpm.v,
VLOOKUP($A30,CS!$B:$H,COLUMN(CS!B$1),FALSE),
IF(_xlpm.v=0,"",_xlpm.v)
),"")</f>
        <v/>
      </c>
      <c r="C30" s="37" t="str">
        <f>IFERROR(LET(_xlpm.v,
VLOOKUP($A30,CS!$B:$H,COLUMN(CS!C$1),FALSE),
IF(_xlpm.v=0,"",_xlpm.v)
),"")</f>
        <v>氷</v>
      </c>
      <c r="D30" s="37" t="str">
        <f>IFERROR(LET(_xlpm.v,
VLOOKUP($A30,CS!$B:$H,COLUMN(CS!D$1),FALSE),
IF(_xlpm.v=0,"",_xlpm.v)
),"")</f>
        <v>A</v>
      </c>
      <c r="E30" s="37" t="str">
        <f>IFERROR(LET(_xlpm.v,
VLOOKUP($A30,CS!$B:$H,COLUMN(CS!E$1),FALSE),
IF(_xlpm.v=0,"",_xlpm.v)
),"")</f>
        <v/>
      </c>
      <c r="F30" s="37">
        <f>IFERROR(LET(_xlpm.v,
VLOOKUP($A30,CS!$B:$H,COLUMN(CS!F$1),FALSE),
IF(_xlpm.v=0,"",_xlpm.v)
),"")</f>
        <v>60</v>
      </c>
      <c r="G30" s="122" t="str">
        <f>IFERROR(LET(_xlpm.v,
VLOOKUP($A30,CS!$B:$N,COLUMN(CS!M$1),FALSE),
IF(_xlpm.v=0,"",_xlpm.v)
),"")</f>
        <v/>
      </c>
      <c r="H30" s="64" t="str">
        <f>IFERROR(LET(_xlpm.v,
VLOOKUP($A30,CS!$B:$H,COLUMN(CS!G$1),FALSE),
IF(_xlpm.v=0,"",_xlpm.v)
),"")</f>
        <v>攻撃手段:素手 物理+15 氷+25 判定:攻撃</v>
      </c>
      <c r="I30" s="37" t="s">
        <v>5419</v>
      </c>
      <c r="L30" s="64"/>
      <c r="M30" s="64"/>
      <c r="N30" s="64"/>
      <c r="O30" s="64">
        <v>15.0</v>
      </c>
      <c r="P30" s="64"/>
      <c r="Q30" s="64"/>
      <c r="R30" s="64"/>
      <c r="S30" s="64"/>
      <c r="T30" s="64"/>
      <c r="U30" s="64"/>
      <c r="V30" s="64">
        <v>25.0</v>
      </c>
      <c r="W30" s="64"/>
      <c r="X30" s="64"/>
      <c r="Y30" s="64"/>
      <c r="BH30" s="64"/>
      <c r="BI30" s="64"/>
      <c r="BJ30" s="64"/>
      <c r="BK30" s="64"/>
      <c r="BL30" s="64"/>
      <c r="BM30" s="64"/>
      <c r="BN30" s="64"/>
      <c r="BO30" s="64"/>
      <c r="BP30" s="64"/>
      <c r="BQ30" s="64"/>
      <c r="BR30" s="64"/>
      <c r="CK30" s="37" t="s">
        <v>2568</v>
      </c>
    </row>
    <row r="31" ht="18.75" customHeight="1" outlineLevel="1">
      <c r="A31" s="1" t="s">
        <v>5424</v>
      </c>
      <c r="B31" s="37" t="str">
        <f>IFERROR(LET(_xlpm.v,
VLOOKUP($A31,CS!$B:$H,COLUMN(CS!B$1),FALSE),
IF(_xlpm.v=0,"",_xlpm.v)
),"")</f>
        <v/>
      </c>
      <c r="C31" s="37" t="str">
        <f>IFERROR(LET(_xlpm.v,
VLOOKUP($A31,CS!$B:$H,COLUMN(CS!C$1),FALSE),
IF(_xlpm.v=0,"",_xlpm.v)
),"")</f>
        <v/>
      </c>
      <c r="D31" s="37" t="str">
        <f>IFERROR(LET(_xlpm.v,
VLOOKUP($A31,CS!$B:$H,COLUMN(CS!D$1),FALSE),
IF(_xlpm.v=0,"",_xlpm.v)
),"")</f>
        <v>P</v>
      </c>
      <c r="E31" s="37" t="str">
        <f>IFERROR(LET(_xlpm.v,
VLOOKUP($A31,CS!$B:$H,COLUMN(CS!E$1),FALSE),
IF(_xlpm.v=0,"",_xlpm.v)
),"")</f>
        <v/>
      </c>
      <c r="F31" s="37" t="str">
        <f>IFERROR(LET(_xlpm.v,
VLOOKUP($A31,CS!$B:$H,COLUMN(CS!F$1),FALSE),
IF(_xlpm.v=0,"",_xlpm.v)
),"")</f>
        <v/>
      </c>
      <c r="G31" s="122" t="str">
        <f>IFERROR(LET(_xlpm.v,
VLOOKUP($A31,CS!$B:$N,COLUMN(CS!M$1),FALSE),
IF(_xlpm.v=0,"",_xlpm.v)
),"")</f>
        <v/>
      </c>
      <c r="H31" s="64" t="str">
        <f>IFERROR(LET(_xlpm.v,
VLOOKUP($A31,CS!$B:$H,COLUMN(CS!G$1),FALSE),
IF(_xlpm.v=0,"",_xlpm.v)
),"")</f>
        <v>条件系統:氷 魔力+30</v>
      </c>
      <c r="K31" s="37" t="s">
        <v>370</v>
      </c>
      <c r="L31" s="64"/>
      <c r="M31" s="64"/>
      <c r="N31" s="64"/>
      <c r="O31" s="64"/>
      <c r="P31" s="64"/>
      <c r="Q31" s="64"/>
      <c r="R31" s="64"/>
      <c r="S31" s="64"/>
      <c r="T31" s="64"/>
      <c r="U31" s="64"/>
      <c r="V31" s="64"/>
      <c r="W31" s="64"/>
      <c r="X31" s="64"/>
      <c r="Y31" s="64"/>
      <c r="AN31" s="37">
        <v>30.0</v>
      </c>
      <c r="BH31" s="64"/>
      <c r="BI31" s="64"/>
      <c r="BJ31" s="64"/>
      <c r="BK31" s="64"/>
      <c r="BL31" s="64"/>
      <c r="BM31" s="64"/>
      <c r="BN31" s="64"/>
      <c r="BO31" s="64"/>
      <c r="BP31" s="64"/>
      <c r="BQ31" s="64"/>
      <c r="BR31" s="64"/>
    </row>
    <row r="32" ht="18.75" customHeight="1" outlineLevel="1">
      <c r="A32" s="1" t="s">
        <v>5425</v>
      </c>
      <c r="B32" s="37" t="str">
        <f>IFERROR(LET(_xlpm.v,
VLOOKUP($A32,CS!$B:$H,COLUMN(CS!B$1),FALSE),
IF(_xlpm.v=0,"",_xlpm.v)
),"")</f>
        <v/>
      </c>
      <c r="C32" s="37" t="str">
        <f>IFERROR(LET(_xlpm.v,
VLOOKUP($A32,CS!$B:$H,COLUMN(CS!C$1),FALSE),
IF(_xlpm.v=0,"",_xlpm.v)
),"")</f>
        <v/>
      </c>
      <c r="D32" s="37" t="str">
        <f>IFERROR(LET(_xlpm.v,
VLOOKUP($A32,CS!$B:$H,COLUMN(CS!D$1),FALSE),
IF(_xlpm.v=0,"",_xlpm.v)
),"")</f>
        <v>P</v>
      </c>
      <c r="E32" s="37" t="str">
        <f>IFERROR(LET(_xlpm.v,
VLOOKUP($A32,CS!$B:$H,COLUMN(CS!E$1),FALSE),
IF(_xlpm.v=0,"",_xlpm.v)
),"")</f>
        <v/>
      </c>
      <c r="F32" s="37" t="str">
        <f>IFERROR(LET(_xlpm.v,
VLOOKUP($A32,CS!$B:$H,COLUMN(CS!F$1),FALSE),
IF(_xlpm.v=0,"",_xlpm.v)
),"")</f>
        <v/>
      </c>
      <c r="G32" s="122" t="str">
        <f>IFERROR(LET(_xlpm.v,
VLOOKUP($A32,CS!$B:$N,COLUMN(CS!M$1),FALSE),
IF(_xlpm.v=0,"",_xlpm.v)
),"")</f>
        <v/>
      </c>
      <c r="H32" s="64" t="str">
        <f>IFERROR(LET(_xlpm.v,
VLOOKUP($A32,CS!$B:$H,COLUMN(CS!G$1),FALSE),
IF(_xlpm.v=0,"",_xlpm.v)
),"")</f>
        <v>条件系統:氷 攻撃+30</v>
      </c>
      <c r="K32" s="37" t="s">
        <v>370</v>
      </c>
      <c r="L32" s="64"/>
      <c r="M32" s="64"/>
      <c r="N32" s="64"/>
      <c r="O32" s="64"/>
      <c r="P32" s="64"/>
      <c r="Q32" s="64"/>
      <c r="R32" s="64"/>
      <c r="S32" s="64"/>
      <c r="T32" s="64"/>
      <c r="U32" s="64"/>
      <c r="V32" s="64"/>
      <c r="W32" s="64"/>
      <c r="X32" s="64"/>
      <c r="Y32" s="64"/>
      <c r="AL32" s="37">
        <v>30.0</v>
      </c>
      <c r="BH32" s="64"/>
      <c r="BI32" s="64"/>
      <c r="BJ32" s="64"/>
      <c r="BK32" s="64"/>
      <c r="BL32" s="64"/>
      <c r="BM32" s="64"/>
      <c r="BN32" s="64"/>
      <c r="BO32" s="64"/>
      <c r="BP32" s="64"/>
      <c r="BQ32" s="64"/>
      <c r="BR32" s="64"/>
    </row>
    <row r="33" ht="18.75" customHeight="1" outlineLevel="1">
      <c r="A33" s="1" t="s">
        <v>5426</v>
      </c>
      <c r="B33" s="37" t="str">
        <f>IFERROR(LET(_xlpm.v,
VLOOKUP($A33,CS!$B:$H,COLUMN(CS!B$1),FALSE),
IF(_xlpm.v=0,"",_xlpm.v)
),"")</f>
        <v/>
      </c>
      <c r="C33" s="37" t="str">
        <f>IFERROR(LET(_xlpm.v,
VLOOKUP($A33,CS!$B:$H,COLUMN(CS!C$1),FALSE),
IF(_xlpm.v=0,"",_xlpm.v)
),"")</f>
        <v>氷</v>
      </c>
      <c r="D33" s="37" t="str">
        <f>IFERROR(LET(_xlpm.v,
VLOOKUP($A33,CS!$B:$H,COLUMN(CS!D$1),FALSE),
IF(_xlpm.v=0,"",_xlpm.v)
),"")</f>
        <v>A</v>
      </c>
      <c r="E33" s="37" t="str">
        <f>IFERROR(LET(_xlpm.v,
VLOOKUP($A33,CS!$B:$H,COLUMN(CS!E$1),FALSE),
IF(_xlpm.v=0,"",_xlpm.v)
),"")</f>
        <v/>
      </c>
      <c r="F33" s="37">
        <f>IFERROR(LET(_xlpm.v,
VLOOKUP($A33,CS!$B:$H,COLUMN(CS!F$1),FALSE),
IF(_xlpm.v=0,"",_xlpm.v)
),"")</f>
        <v>80</v>
      </c>
      <c r="G33" s="122" t="str">
        <f>IFERROR(LET(_xlpm.v,
VLOOKUP($A33,CS!$B:$N,COLUMN(CS!M$1),FALSE),
IF(_xlpm.v=0,"",_xlpm.v)
),"")</f>
        <v/>
      </c>
      <c r="H33" s="64" t="str">
        <f>IFERROR(LET(_xlpm.v,
VLOOKUP($A33,CS!$B:$H,COLUMN(CS!G$1),FALSE),
IF(_xlpm.v=0,"",_xlpm.v)
),"")</f>
        <v>攻撃手段:吐息 氷+45 射程:20 範囲:放射</v>
      </c>
      <c r="I33" s="37" t="s">
        <v>5423</v>
      </c>
      <c r="L33" s="64"/>
      <c r="M33" s="64"/>
      <c r="N33" s="64"/>
      <c r="O33" s="64"/>
      <c r="P33" s="64"/>
      <c r="Q33" s="64"/>
      <c r="R33" s="64"/>
      <c r="S33" s="64"/>
      <c r="T33" s="64"/>
      <c r="U33" s="64"/>
      <c r="V33" s="64">
        <v>45.0</v>
      </c>
      <c r="W33" s="64"/>
      <c r="X33" s="64"/>
      <c r="Y33" s="64"/>
      <c r="BH33" s="64"/>
      <c r="BI33" s="64"/>
      <c r="BJ33" s="64"/>
      <c r="BK33" s="64"/>
      <c r="BL33" s="64"/>
      <c r="BM33" s="64"/>
      <c r="BN33" s="64"/>
      <c r="BO33" s="64"/>
      <c r="BP33" s="64"/>
      <c r="BQ33" s="64"/>
      <c r="BR33" s="64"/>
      <c r="CC33" s="37">
        <v>20.0</v>
      </c>
      <c r="CD33" s="37" t="s">
        <v>3084</v>
      </c>
    </row>
    <row r="34" ht="18.75" customHeight="1" outlineLevel="1">
      <c r="A34" s="1" t="s">
        <v>5427</v>
      </c>
      <c r="B34" s="37" t="str">
        <f>IFERROR(LET(_xlpm.v,
VLOOKUP($A34,CS!$B:$H,COLUMN(CS!B$1),FALSE),
IF(_xlpm.v=0,"",_xlpm.v)
),"")</f>
        <v/>
      </c>
      <c r="C34" s="37" t="str">
        <f>IFERROR(LET(_xlpm.v,
VLOOKUP($A34,CS!$B:$H,COLUMN(CS!C$1),FALSE),
IF(_xlpm.v=0,"",_xlpm.v)
),"")</f>
        <v>風</v>
      </c>
      <c r="D34" s="37" t="str">
        <f>IFERROR(LET(_xlpm.v,
VLOOKUP($A34,CS!$B:$H,COLUMN(CS!D$1),FALSE),
IF(_xlpm.v=0,"",_xlpm.v)
),"")</f>
        <v>A</v>
      </c>
      <c r="E34" s="37" t="str">
        <f>IFERROR(LET(_xlpm.v,
VLOOKUP($A34,CS!$B:$H,COLUMN(CS!E$1),FALSE),
IF(_xlpm.v=0,"",_xlpm.v)
),"")</f>
        <v/>
      </c>
      <c r="F34" s="37">
        <f>IFERROR(LET(_xlpm.v,
VLOOKUP($A34,CS!$B:$H,COLUMN(CS!F$1),FALSE),
IF(_xlpm.v=0,"",_xlpm.v)
),"")</f>
        <v>60</v>
      </c>
      <c r="G34" s="122" t="str">
        <f>IFERROR(LET(_xlpm.v,
VLOOKUP($A34,CS!$B:$N,COLUMN(CS!M$1),FALSE),
IF(_xlpm.v=0,"",_xlpm.v)
),"")</f>
        <v/>
      </c>
      <c r="H34" s="64" t="str">
        <f>IFERROR(LET(_xlpm.v,
VLOOKUP($A34,CS!$B:$H,COLUMN(CS!G$1),FALSE),
IF(_xlpm.v=0,"",_xlpm.v)
),"")</f>
        <v>攻撃手段:素手 物理+15 怯み+25 判定:攻撃</v>
      </c>
      <c r="I34" s="37" t="s">
        <v>5419</v>
      </c>
      <c r="L34" s="64"/>
      <c r="M34" s="64"/>
      <c r="N34" s="64"/>
      <c r="O34" s="64">
        <v>15.0</v>
      </c>
      <c r="P34" s="64"/>
      <c r="Q34" s="64"/>
      <c r="R34" s="64"/>
      <c r="S34" s="64"/>
      <c r="T34" s="64"/>
      <c r="U34" s="64"/>
      <c r="V34" s="64"/>
      <c r="W34" s="64"/>
      <c r="X34" s="64"/>
      <c r="Y34" s="64"/>
      <c r="AC34" s="37">
        <v>25.0</v>
      </c>
      <c r="BH34" s="64"/>
      <c r="BI34" s="64"/>
      <c r="BJ34" s="64"/>
      <c r="BK34" s="64"/>
      <c r="BL34" s="64"/>
      <c r="BM34" s="64"/>
      <c r="BN34" s="64"/>
      <c r="BO34" s="64"/>
      <c r="BP34" s="64"/>
      <c r="BQ34" s="64"/>
      <c r="BR34" s="64"/>
      <c r="CK34" s="37" t="s">
        <v>2568</v>
      </c>
    </row>
    <row r="35" ht="18.75" customHeight="1" outlineLevel="1">
      <c r="A35" s="1" t="s">
        <v>5428</v>
      </c>
      <c r="B35" s="37" t="str">
        <f>IFERROR(LET(_xlpm.v,
VLOOKUP($A35,CS!$B:$H,COLUMN(CS!B$1),FALSE),
IF(_xlpm.v=0,"",_xlpm.v)
),"")</f>
        <v/>
      </c>
      <c r="C35" s="37" t="str">
        <f>IFERROR(LET(_xlpm.v,
VLOOKUP($A35,CS!$B:$H,COLUMN(CS!C$1),FALSE),
IF(_xlpm.v=0,"",_xlpm.v)
),"")</f>
        <v/>
      </c>
      <c r="D35" s="37" t="str">
        <f>IFERROR(LET(_xlpm.v,
VLOOKUP($A35,CS!$B:$H,COLUMN(CS!D$1),FALSE),
IF(_xlpm.v=0,"",_xlpm.v)
),"")</f>
        <v>P</v>
      </c>
      <c r="E35" s="37" t="str">
        <f>IFERROR(LET(_xlpm.v,
VLOOKUP($A35,CS!$B:$H,COLUMN(CS!E$1),FALSE),
IF(_xlpm.v=0,"",_xlpm.v)
),"")</f>
        <v/>
      </c>
      <c r="F35" s="37" t="str">
        <f>IFERROR(LET(_xlpm.v,
VLOOKUP($A35,CS!$B:$H,COLUMN(CS!F$1),FALSE),
IF(_xlpm.v=0,"",_xlpm.v)
),"")</f>
        <v/>
      </c>
      <c r="G35" s="122" t="str">
        <f>IFERROR(LET(_xlpm.v,
VLOOKUP($A35,CS!$B:$N,COLUMN(CS!M$1),FALSE),
IF(_xlpm.v=0,"",_xlpm.v)
),"")</f>
        <v/>
      </c>
      <c r="H35" s="64" t="str">
        <f>IFERROR(LET(_xlpm.v,
VLOOKUP($A35,CS!$B:$H,COLUMN(CS!G$1),FALSE),
IF(_xlpm.v=0,"",_xlpm.v)
),"")</f>
        <v>条件系統:風 魔力+30</v>
      </c>
      <c r="K35" s="37" t="s">
        <v>908</v>
      </c>
      <c r="L35" s="64"/>
      <c r="M35" s="64"/>
      <c r="N35" s="64"/>
      <c r="O35" s="64"/>
      <c r="P35" s="64"/>
      <c r="Q35" s="64"/>
      <c r="R35" s="64"/>
      <c r="S35" s="64"/>
      <c r="T35" s="64"/>
      <c r="U35" s="64"/>
      <c r="V35" s="64"/>
      <c r="W35" s="64"/>
      <c r="X35" s="64"/>
      <c r="Y35" s="64"/>
      <c r="AN35" s="37">
        <v>30.0</v>
      </c>
      <c r="BH35" s="64"/>
      <c r="BI35" s="64"/>
      <c r="BJ35" s="64"/>
      <c r="BK35" s="64"/>
      <c r="BL35" s="64"/>
      <c r="BM35" s="64"/>
      <c r="BN35" s="64"/>
      <c r="BO35" s="64"/>
      <c r="BP35" s="64"/>
      <c r="BQ35" s="64"/>
      <c r="BR35" s="64"/>
    </row>
    <row r="36" ht="18.75" customHeight="1" outlineLevel="1">
      <c r="A36" s="1" t="s">
        <v>5429</v>
      </c>
      <c r="B36" s="37" t="str">
        <f>IFERROR(LET(_xlpm.v,
VLOOKUP($A36,CS!$B:$H,COLUMN(CS!B$1),FALSE),
IF(_xlpm.v=0,"",_xlpm.v)
),"")</f>
        <v/>
      </c>
      <c r="C36" s="37" t="str">
        <f>IFERROR(LET(_xlpm.v,
VLOOKUP($A36,CS!$B:$H,COLUMN(CS!C$1),FALSE),
IF(_xlpm.v=0,"",_xlpm.v)
),"")</f>
        <v/>
      </c>
      <c r="D36" s="37" t="str">
        <f>IFERROR(LET(_xlpm.v,
VLOOKUP($A36,CS!$B:$H,COLUMN(CS!D$1),FALSE),
IF(_xlpm.v=0,"",_xlpm.v)
),"")</f>
        <v>P</v>
      </c>
      <c r="E36" s="37" t="str">
        <f>IFERROR(LET(_xlpm.v,
VLOOKUP($A36,CS!$B:$H,COLUMN(CS!E$1),FALSE),
IF(_xlpm.v=0,"",_xlpm.v)
),"")</f>
        <v/>
      </c>
      <c r="F36" s="37" t="str">
        <f>IFERROR(LET(_xlpm.v,
VLOOKUP($A36,CS!$B:$H,COLUMN(CS!F$1),FALSE),
IF(_xlpm.v=0,"",_xlpm.v)
),"")</f>
        <v/>
      </c>
      <c r="G36" s="122" t="str">
        <f>IFERROR(LET(_xlpm.v,
VLOOKUP($A36,CS!$B:$N,COLUMN(CS!M$1),FALSE),
IF(_xlpm.v=0,"",_xlpm.v)
),"")</f>
        <v/>
      </c>
      <c r="H36" s="64" t="str">
        <f>IFERROR(LET(_xlpm.v,
VLOOKUP($A36,CS!$B:$H,COLUMN(CS!G$1),FALSE),
IF(_xlpm.v=0,"",_xlpm.v)
),"")</f>
        <v>条件系統:風 攻撃+30</v>
      </c>
      <c r="K36" s="37" t="s">
        <v>908</v>
      </c>
      <c r="L36" s="64"/>
      <c r="M36" s="64"/>
      <c r="N36" s="64"/>
      <c r="O36" s="64"/>
      <c r="P36" s="64"/>
      <c r="Q36" s="64"/>
      <c r="R36" s="64"/>
      <c r="S36" s="64"/>
      <c r="T36" s="64"/>
      <c r="U36" s="64"/>
      <c r="V36" s="64"/>
      <c r="W36" s="64"/>
      <c r="X36" s="64"/>
      <c r="Y36" s="64"/>
      <c r="AL36" s="37">
        <v>30.0</v>
      </c>
      <c r="BH36" s="64"/>
      <c r="BI36" s="64"/>
      <c r="BJ36" s="64"/>
      <c r="BK36" s="64"/>
      <c r="BL36" s="64"/>
      <c r="BM36" s="64"/>
      <c r="BN36" s="64"/>
      <c r="BO36" s="64"/>
      <c r="BP36" s="64"/>
      <c r="BQ36" s="64"/>
      <c r="BR36" s="64"/>
    </row>
    <row r="37" ht="18.75" customHeight="1" outlineLevel="1">
      <c r="A37" s="1" t="s">
        <v>5430</v>
      </c>
      <c r="B37" s="37" t="str">
        <f>IFERROR(LET(_xlpm.v,
VLOOKUP($A37,CS!$B:$H,COLUMN(CS!B$1),FALSE),
IF(_xlpm.v=0,"",_xlpm.v)
),"")</f>
        <v/>
      </c>
      <c r="C37" s="37" t="str">
        <f>IFERROR(LET(_xlpm.v,
VLOOKUP($A37,CS!$B:$H,COLUMN(CS!C$1),FALSE),
IF(_xlpm.v=0,"",_xlpm.v)
),"")</f>
        <v>風</v>
      </c>
      <c r="D37" s="37" t="str">
        <f>IFERROR(LET(_xlpm.v,
VLOOKUP($A37,CS!$B:$H,COLUMN(CS!D$1),FALSE),
IF(_xlpm.v=0,"",_xlpm.v)
),"")</f>
        <v>A</v>
      </c>
      <c r="E37" s="37" t="str">
        <f>IFERROR(LET(_xlpm.v,
VLOOKUP($A37,CS!$B:$H,COLUMN(CS!E$1),FALSE),
IF(_xlpm.v=0,"",_xlpm.v)
),"")</f>
        <v/>
      </c>
      <c r="F37" s="37">
        <f>IFERROR(LET(_xlpm.v,
VLOOKUP($A37,CS!$B:$H,COLUMN(CS!F$1),FALSE),
IF(_xlpm.v=0,"",_xlpm.v)
),"")</f>
        <v>80</v>
      </c>
      <c r="G37" s="122" t="str">
        <f>IFERROR(LET(_xlpm.v,
VLOOKUP($A37,CS!$B:$N,COLUMN(CS!M$1),FALSE),
IF(_xlpm.v=0,"",_xlpm.v)
),"")</f>
        <v/>
      </c>
      <c r="H37" s="64" t="str">
        <f>IFERROR(LET(_xlpm.v,
VLOOKUP($A37,CS!$B:$H,COLUMN(CS!G$1),FALSE),
IF(_xlpm.v=0,"",_xlpm.v)
),"")</f>
        <v>攻撃手段:吐息 怯み+45 射程:20 範囲:放射</v>
      </c>
      <c r="I37" s="37" t="s">
        <v>5423</v>
      </c>
      <c r="L37" s="64"/>
      <c r="M37" s="64"/>
      <c r="N37" s="64"/>
      <c r="O37" s="64"/>
      <c r="P37" s="64"/>
      <c r="Q37" s="64"/>
      <c r="R37" s="64"/>
      <c r="S37" s="64"/>
      <c r="T37" s="64"/>
      <c r="U37" s="64"/>
      <c r="V37" s="64"/>
      <c r="W37" s="64"/>
      <c r="X37" s="64"/>
      <c r="Y37" s="64"/>
      <c r="AC37" s="37">
        <v>45.0</v>
      </c>
      <c r="BH37" s="64"/>
      <c r="BI37" s="64"/>
      <c r="BJ37" s="64"/>
      <c r="BK37" s="64"/>
      <c r="BL37" s="64"/>
      <c r="BM37" s="64"/>
      <c r="BN37" s="64"/>
      <c r="BO37" s="64"/>
      <c r="BP37" s="64"/>
      <c r="BQ37" s="64"/>
      <c r="BR37" s="64"/>
      <c r="CC37" s="37">
        <v>20.0</v>
      </c>
      <c r="CD37" s="37" t="s">
        <v>3084</v>
      </c>
    </row>
    <row r="38" ht="18.75" customHeight="1" outlineLevel="1">
      <c r="A38" s="1" t="s">
        <v>5431</v>
      </c>
      <c r="B38" s="37" t="str">
        <f>IFERROR(LET(_xlpm.v,
VLOOKUP($A38,CS!$B:$H,COLUMN(CS!B$1),FALSE),
IF(_xlpm.v=0,"",_xlpm.v)
),"")</f>
        <v/>
      </c>
      <c r="C38" s="37" t="str">
        <f>IFERROR(LET(_xlpm.v,
VLOOKUP($A38,CS!$B:$H,COLUMN(CS!C$1),FALSE),
IF(_xlpm.v=0,"",_xlpm.v)
),"")</f>
        <v>地</v>
      </c>
      <c r="D38" s="37" t="str">
        <f>IFERROR(LET(_xlpm.v,
VLOOKUP($A38,CS!$B:$H,COLUMN(CS!D$1),FALSE),
IF(_xlpm.v=0,"",_xlpm.v)
),"")</f>
        <v>A</v>
      </c>
      <c r="E38" s="37" t="str">
        <f>IFERROR(LET(_xlpm.v,
VLOOKUP($A38,CS!$B:$H,COLUMN(CS!E$1),FALSE),
IF(_xlpm.v=0,"",_xlpm.v)
),"")</f>
        <v/>
      </c>
      <c r="F38" s="37">
        <f>IFERROR(LET(_xlpm.v,
VLOOKUP($A38,CS!$B:$H,COLUMN(CS!F$1),FALSE),
IF(_xlpm.v=0,"",_xlpm.v)
),"")</f>
        <v>60</v>
      </c>
      <c r="G38" s="122" t="str">
        <f>IFERROR(LET(_xlpm.v,
VLOOKUP($A38,CS!$B:$N,COLUMN(CS!M$1),FALSE),
IF(_xlpm.v=0,"",_xlpm.v)
),"")</f>
        <v/>
      </c>
      <c r="H38" s="64" t="str">
        <f>IFERROR(LET(_xlpm.v,
VLOOKUP($A38,CS!$B:$H,COLUMN(CS!G$1),FALSE),
IF(_xlpm.v=0,"",_xlpm.v)
),"")</f>
        <v>攻撃手段:素手 物理+15 ガード+25 判定:攻撃</v>
      </c>
      <c r="I38" s="37" t="s">
        <v>5419</v>
      </c>
      <c r="L38" s="64"/>
      <c r="M38" s="64"/>
      <c r="N38" s="64">
        <v>25.0</v>
      </c>
      <c r="O38" s="64">
        <v>15.0</v>
      </c>
      <c r="P38" s="64"/>
      <c r="Q38" s="64"/>
      <c r="R38" s="64"/>
      <c r="S38" s="64"/>
      <c r="T38" s="64"/>
      <c r="U38" s="64"/>
      <c r="V38" s="64"/>
      <c r="W38" s="64"/>
      <c r="X38" s="64"/>
      <c r="Y38" s="64"/>
      <c r="BH38" s="64"/>
      <c r="BI38" s="64"/>
      <c r="BJ38" s="64"/>
      <c r="BK38" s="64"/>
      <c r="BL38" s="64"/>
      <c r="BM38" s="64"/>
      <c r="BN38" s="64"/>
      <c r="BO38" s="64"/>
      <c r="BP38" s="64"/>
      <c r="BQ38" s="64"/>
      <c r="BR38" s="64"/>
      <c r="CK38" s="37" t="s">
        <v>2568</v>
      </c>
    </row>
    <row r="39" ht="18.75" customHeight="1" outlineLevel="1">
      <c r="A39" s="1" t="s">
        <v>5432</v>
      </c>
      <c r="B39" s="37" t="str">
        <f>IFERROR(LET(_xlpm.v,
VLOOKUP($A39,CS!$B:$H,COLUMN(CS!B$1),FALSE),
IF(_xlpm.v=0,"",_xlpm.v)
),"")</f>
        <v/>
      </c>
      <c r="C39" s="37" t="str">
        <f>IFERROR(LET(_xlpm.v,
VLOOKUP($A39,CS!$B:$H,COLUMN(CS!C$1),FALSE),
IF(_xlpm.v=0,"",_xlpm.v)
),"")</f>
        <v/>
      </c>
      <c r="D39" s="37" t="str">
        <f>IFERROR(LET(_xlpm.v,
VLOOKUP($A39,CS!$B:$H,COLUMN(CS!D$1),FALSE),
IF(_xlpm.v=0,"",_xlpm.v)
),"")</f>
        <v>P</v>
      </c>
      <c r="E39" s="37" t="str">
        <f>IFERROR(LET(_xlpm.v,
VLOOKUP($A39,CS!$B:$H,COLUMN(CS!E$1),FALSE),
IF(_xlpm.v=0,"",_xlpm.v)
),"")</f>
        <v/>
      </c>
      <c r="F39" s="37" t="str">
        <f>IFERROR(LET(_xlpm.v,
VLOOKUP($A39,CS!$B:$H,COLUMN(CS!F$1),FALSE),
IF(_xlpm.v=0,"",_xlpm.v)
),"")</f>
        <v/>
      </c>
      <c r="G39" s="122" t="str">
        <f>IFERROR(LET(_xlpm.v,
VLOOKUP($A39,CS!$B:$N,COLUMN(CS!M$1),FALSE),
IF(_xlpm.v=0,"",_xlpm.v)
),"")</f>
        <v/>
      </c>
      <c r="H39" s="64" t="str">
        <f>IFERROR(LET(_xlpm.v,
VLOOKUP($A39,CS!$B:$H,COLUMN(CS!G$1),FALSE),
IF(_xlpm.v=0,"",_xlpm.v)
),"")</f>
        <v>条件系統:地 魔力+30</v>
      </c>
      <c r="K39" s="37" t="s">
        <v>965</v>
      </c>
      <c r="L39" s="64"/>
      <c r="M39" s="64"/>
      <c r="N39" s="64"/>
      <c r="O39" s="64"/>
      <c r="P39" s="64"/>
      <c r="Q39" s="64"/>
      <c r="R39" s="64"/>
      <c r="S39" s="64"/>
      <c r="T39" s="64"/>
      <c r="U39" s="64"/>
      <c r="V39" s="64"/>
      <c r="W39" s="64"/>
      <c r="X39" s="64"/>
      <c r="Y39" s="64"/>
      <c r="AN39" s="37">
        <v>30.0</v>
      </c>
      <c r="BH39" s="64"/>
      <c r="BI39" s="64"/>
      <c r="BJ39" s="64"/>
      <c r="BK39" s="64"/>
      <c r="BL39" s="64"/>
      <c r="BM39" s="64"/>
      <c r="BN39" s="64"/>
      <c r="BO39" s="64"/>
      <c r="BP39" s="64"/>
      <c r="BQ39" s="64"/>
      <c r="BR39" s="64"/>
    </row>
    <row r="40" ht="18.75" customHeight="1" outlineLevel="1">
      <c r="A40" s="1" t="s">
        <v>5433</v>
      </c>
      <c r="B40" s="37" t="str">
        <f>IFERROR(LET(_xlpm.v,
VLOOKUP($A40,CS!$B:$H,COLUMN(CS!B$1),FALSE),
IF(_xlpm.v=0,"",_xlpm.v)
),"")</f>
        <v/>
      </c>
      <c r="C40" s="37" t="str">
        <f>IFERROR(LET(_xlpm.v,
VLOOKUP($A40,CS!$B:$H,COLUMN(CS!C$1),FALSE),
IF(_xlpm.v=0,"",_xlpm.v)
),"")</f>
        <v/>
      </c>
      <c r="D40" s="37" t="str">
        <f>IFERROR(LET(_xlpm.v,
VLOOKUP($A40,CS!$B:$H,COLUMN(CS!D$1),FALSE),
IF(_xlpm.v=0,"",_xlpm.v)
),"")</f>
        <v>P</v>
      </c>
      <c r="E40" s="37" t="str">
        <f>IFERROR(LET(_xlpm.v,
VLOOKUP($A40,CS!$B:$H,COLUMN(CS!E$1),FALSE),
IF(_xlpm.v=0,"",_xlpm.v)
),"")</f>
        <v/>
      </c>
      <c r="F40" s="37" t="str">
        <f>IFERROR(LET(_xlpm.v,
VLOOKUP($A40,CS!$B:$H,COLUMN(CS!F$1),FALSE),
IF(_xlpm.v=0,"",_xlpm.v)
),"")</f>
        <v/>
      </c>
      <c r="G40" s="122" t="str">
        <f>IFERROR(LET(_xlpm.v,
VLOOKUP($A40,CS!$B:$N,COLUMN(CS!M$1),FALSE),
IF(_xlpm.v=0,"",_xlpm.v)
),"")</f>
        <v/>
      </c>
      <c r="H40" s="64" t="str">
        <f>IFERROR(LET(_xlpm.v,
VLOOKUP($A40,CS!$B:$H,COLUMN(CS!G$1),FALSE),
IF(_xlpm.v=0,"",_xlpm.v)
),"")</f>
        <v>条件系統:地 攻撃+30</v>
      </c>
      <c r="K40" s="37" t="s">
        <v>965</v>
      </c>
      <c r="L40" s="64"/>
      <c r="M40" s="64"/>
      <c r="N40" s="64"/>
      <c r="O40" s="64"/>
      <c r="P40" s="64"/>
      <c r="Q40" s="64"/>
      <c r="R40" s="64"/>
      <c r="S40" s="64"/>
      <c r="T40" s="64"/>
      <c r="U40" s="64"/>
      <c r="V40" s="64"/>
      <c r="W40" s="64"/>
      <c r="X40" s="64"/>
      <c r="Y40" s="64"/>
      <c r="AL40" s="37">
        <v>30.0</v>
      </c>
      <c r="BH40" s="64"/>
      <c r="BI40" s="64"/>
      <c r="BJ40" s="64"/>
      <c r="BK40" s="64"/>
      <c r="BL40" s="64"/>
      <c r="BM40" s="64"/>
      <c r="BN40" s="64"/>
      <c r="BO40" s="64"/>
      <c r="BP40" s="64"/>
      <c r="BQ40" s="64"/>
      <c r="BR40" s="64"/>
    </row>
    <row r="41" ht="18.75" customHeight="1" outlineLevel="1">
      <c r="A41" s="1" t="s">
        <v>5434</v>
      </c>
      <c r="B41" s="37" t="str">
        <f>IFERROR(LET(_xlpm.v,
VLOOKUP($A41,CS!$B:$H,COLUMN(CS!B$1),FALSE),
IF(_xlpm.v=0,"",_xlpm.v)
),"")</f>
        <v/>
      </c>
      <c r="C41" s="37" t="str">
        <f>IFERROR(LET(_xlpm.v,
VLOOKUP($A41,CS!$B:$H,COLUMN(CS!C$1),FALSE),
IF(_xlpm.v=0,"",_xlpm.v)
),"")</f>
        <v>地</v>
      </c>
      <c r="D41" s="37" t="str">
        <f>IFERROR(LET(_xlpm.v,
VLOOKUP($A41,CS!$B:$H,COLUMN(CS!D$1),FALSE),
IF(_xlpm.v=0,"",_xlpm.v)
),"")</f>
        <v>A</v>
      </c>
      <c r="E41" s="37" t="str">
        <f>IFERROR(LET(_xlpm.v,
VLOOKUP($A41,CS!$B:$H,COLUMN(CS!E$1),FALSE),
IF(_xlpm.v=0,"",_xlpm.v)
),"")</f>
        <v/>
      </c>
      <c r="F41" s="37">
        <f>IFERROR(LET(_xlpm.v,
VLOOKUP($A41,CS!$B:$H,COLUMN(CS!F$1),FALSE),
IF(_xlpm.v=0,"",_xlpm.v)
),"")</f>
        <v>80</v>
      </c>
      <c r="G41" s="122" t="str">
        <f>IFERROR(LET(_xlpm.v,
VLOOKUP($A41,CS!$B:$N,COLUMN(CS!M$1),FALSE),
IF(_xlpm.v=0,"",_xlpm.v)
),"")</f>
        <v/>
      </c>
      <c r="H41" s="64" t="str">
        <f>IFERROR(LET(_xlpm.v,
VLOOKUP($A41,CS!$B:$H,COLUMN(CS!G$1),FALSE),
IF(_xlpm.v=0,"",_xlpm.v)
),"")</f>
        <v>攻撃手段:吐息 物理+35 怯み+20 射程:20 範囲:放射</v>
      </c>
      <c r="I41" s="37" t="s">
        <v>5423</v>
      </c>
      <c r="L41" s="64"/>
      <c r="M41" s="64"/>
      <c r="N41" s="64"/>
      <c r="O41" s="64">
        <v>35.0</v>
      </c>
      <c r="P41" s="64"/>
      <c r="Q41" s="64"/>
      <c r="R41" s="64"/>
      <c r="S41" s="64"/>
      <c r="T41" s="64"/>
      <c r="U41" s="64"/>
      <c r="V41" s="64"/>
      <c r="W41" s="64"/>
      <c r="X41" s="64"/>
      <c r="Y41" s="64"/>
      <c r="AC41" s="37">
        <v>20.0</v>
      </c>
      <c r="BH41" s="64"/>
      <c r="BI41" s="64"/>
      <c r="BJ41" s="64"/>
      <c r="BK41" s="64"/>
      <c r="BL41" s="64"/>
      <c r="BM41" s="64"/>
      <c r="BN41" s="64"/>
      <c r="BO41" s="64"/>
      <c r="BP41" s="64"/>
      <c r="BQ41" s="64"/>
      <c r="BR41" s="64"/>
      <c r="CC41" s="37">
        <v>20.0</v>
      </c>
      <c r="CD41" s="37" t="s">
        <v>3084</v>
      </c>
    </row>
    <row r="42" ht="18.75" customHeight="1" outlineLevel="1">
      <c r="A42" s="1" t="s">
        <v>1168</v>
      </c>
      <c r="B42" s="37" t="str">
        <f>IFERROR(LET(_xlpm.v,
VLOOKUP($A42,CS!$B:$H,COLUMN(CS!B$1),FALSE),
IF(_xlpm.v=0,"",_xlpm.v)
),"")</f>
        <v/>
      </c>
      <c r="C42" s="37" t="str">
        <f>IFERROR(LET(_xlpm.v,
VLOOKUP($A42,CS!$B:$H,COLUMN(CS!C$1),FALSE),
IF(_xlpm.v=0,"",_xlpm.v)
),"")</f>
        <v>光</v>
      </c>
      <c r="D42" s="37" t="str">
        <f>IFERROR(LET(_xlpm.v,
VLOOKUP($A42,CS!$B:$H,COLUMN(CS!D$1),FALSE),
IF(_xlpm.v=0,"",_xlpm.v)
),"")</f>
        <v>A</v>
      </c>
      <c r="E42" s="37" t="str">
        <f>IFERROR(LET(_xlpm.v,
VLOOKUP($A42,CS!$B:$H,COLUMN(CS!E$1),FALSE),
IF(_xlpm.v=0,"",_xlpm.v)
),"")</f>
        <v/>
      </c>
      <c r="F42" s="37" t="str">
        <f>IFERROR(LET(_xlpm.v,
VLOOKUP($A42,CS!$B:$H,COLUMN(CS!F$1),FALSE),
IF(_xlpm.v=0,"",_xlpm.v)
),"")</f>
        <v/>
      </c>
      <c r="G42" s="122" t="str">
        <f>IFERROR(LET(_xlpm.v,
VLOOKUP($A42,CS!$B:$N,COLUMN(CS!M$1),FALSE),
IF(_xlpm.v=0,"",_xlpm.v)
),"")</f>
        <v/>
      </c>
      <c r="H42" s="64" t="str">
        <f>IFERROR(LET(_xlpm.v,
VLOOKUP($A42,CS!$B:$H,COLUMN(CS!G$1),FALSE),
IF(_xlpm.v=0,"",_xlpm.v)
),"")</f>
        <v>攻撃手段:魔法 光+25 盲目+20 射程:10 判定:魔力</v>
      </c>
      <c r="I42" s="37" t="s">
        <v>4808</v>
      </c>
      <c r="L42" s="64"/>
      <c r="M42" s="64"/>
      <c r="N42" s="64"/>
      <c r="O42" s="64"/>
      <c r="P42" s="64"/>
      <c r="Q42" s="64"/>
      <c r="R42" s="64"/>
      <c r="S42" s="64"/>
      <c r="T42" s="64"/>
      <c r="U42" s="64"/>
      <c r="V42" s="64"/>
      <c r="W42" s="64"/>
      <c r="X42" s="64"/>
      <c r="Y42" s="64">
        <v>25.0</v>
      </c>
      <c r="AB42" s="37">
        <v>20.0</v>
      </c>
      <c r="BH42" s="64"/>
      <c r="BI42" s="64"/>
      <c r="BJ42" s="64"/>
      <c r="BK42" s="64"/>
      <c r="BL42" s="64"/>
      <c r="BM42" s="64"/>
      <c r="BN42" s="64"/>
      <c r="BO42" s="64"/>
      <c r="BP42" s="64"/>
      <c r="BQ42" s="64"/>
      <c r="BR42" s="64"/>
      <c r="CC42" s="37">
        <v>10.0</v>
      </c>
      <c r="CK42" s="37" t="s">
        <v>2569</v>
      </c>
    </row>
    <row r="43" ht="18.75" customHeight="1" outlineLevel="1">
      <c r="A43" s="1" t="s">
        <v>1177</v>
      </c>
      <c r="B43" s="37" t="str">
        <f>IFERROR(LET(_xlpm.v,
VLOOKUP($A43,CS!$B:$H,COLUMN(CS!B$1),FALSE),
IF(_xlpm.v=0,"",_xlpm.v)
),"")</f>
        <v/>
      </c>
      <c r="C43" s="37" t="str">
        <f>IFERROR(LET(_xlpm.v,
VLOOKUP($A43,CS!$B:$H,COLUMN(CS!C$1),FALSE),
IF(_xlpm.v=0,"",_xlpm.v)
),"")</f>
        <v/>
      </c>
      <c r="D43" s="37" t="str">
        <f>IFERROR(LET(_xlpm.v,
VLOOKUP($A43,CS!$B:$H,COLUMN(CS!D$1),FALSE),
IF(_xlpm.v=0,"",_xlpm.v)
),"")</f>
        <v/>
      </c>
      <c r="E43" s="37" t="str">
        <f>IFERROR(LET(_xlpm.v,
VLOOKUP($A43,CS!$B:$H,COLUMN(CS!E$1),FALSE),
IF(_xlpm.v=0,"",_xlpm.v)
),"")</f>
        <v/>
      </c>
      <c r="F43" s="37" t="str">
        <f>IFERROR(LET(_xlpm.v,
VLOOKUP($A43,CS!$B:$H,COLUMN(CS!F$1),FALSE),
IF(_xlpm.v=0,"",_xlpm.v)
),"")</f>
        <v/>
      </c>
      <c r="G43" s="122" t="str">
        <f>IFERROR(LET(_xlpm.v,
VLOOKUP($A43,CS!$B:$N,COLUMN(CS!M$1),FALSE),
IF(_xlpm.v=0,"",_xlpm.v)
),"")</f>
        <v/>
      </c>
      <c r="H43" s="64" t="str">
        <f>IFERROR(LET(_xlpm.v,
VLOOKUP($A43,CS!$B:$H,COLUMN(CS!G$1),FALSE),
IF(_xlpm.v=0,"",_xlpm.v)
),"")</f>
        <v/>
      </c>
      <c r="I43" s="37" t="s">
        <v>4808</v>
      </c>
      <c r="L43" s="64">
        <v>15.0</v>
      </c>
      <c r="M43" s="64"/>
      <c r="N43" s="64"/>
      <c r="O43" s="64"/>
      <c r="P43" s="64"/>
      <c r="Q43" s="64"/>
      <c r="R43" s="64"/>
      <c r="S43" s="64"/>
      <c r="T43" s="64"/>
      <c r="U43" s="64"/>
      <c r="V43" s="64"/>
      <c r="W43" s="64"/>
      <c r="X43" s="64"/>
      <c r="Y43" s="64"/>
      <c r="BH43" s="64"/>
      <c r="BI43" s="64"/>
      <c r="BJ43" s="64"/>
      <c r="BK43" s="64"/>
      <c r="BL43" s="64"/>
      <c r="BM43" s="64"/>
      <c r="BN43" s="64"/>
      <c r="BO43" s="64"/>
      <c r="BP43" s="64"/>
      <c r="BQ43" s="64"/>
      <c r="BR43" s="64"/>
      <c r="CC43" s="37">
        <v>10.0</v>
      </c>
      <c r="CJ43" s="37" t="s">
        <v>2569</v>
      </c>
    </row>
    <row r="44" ht="18.75" customHeight="1" outlineLevel="1">
      <c r="A44" s="1" t="s">
        <v>1183</v>
      </c>
      <c r="B44" s="37" t="str">
        <f>IFERROR(LET(_xlpm.v,
VLOOKUP($A44,CS!$B:$H,COLUMN(CS!B$1),FALSE),
IF(_xlpm.v=0,"",_xlpm.v)
),"")</f>
        <v>ヴァイン・プラント</v>
      </c>
      <c r="C44" s="37" t="str">
        <f>IFERROR(LET(_xlpm.v,
VLOOKUP($A44,CS!$B:$H,COLUMN(CS!C$1),FALSE),
IF(_xlpm.v=0,"",_xlpm.v)
),"")</f>
        <v/>
      </c>
      <c r="D44" s="37" t="str">
        <f>IFERROR(LET(_xlpm.v,
VLOOKUP($A44,CS!$B:$H,COLUMN(CS!D$1),FALSE),
IF(_xlpm.v=0,"",_xlpm.v)
),"")</f>
        <v>A</v>
      </c>
      <c r="E44" s="37" t="str">
        <f>IFERROR(LET(_xlpm.v,
VLOOKUP($A44,CS!$B:$H,COLUMN(CS!E$1),FALSE),
IF(_xlpm.v=0,"",_xlpm.v)
),"")</f>
        <v/>
      </c>
      <c r="F44" s="37">
        <f>IFERROR(LET(_xlpm.v,
VLOOKUP($A44,CS!$B:$H,COLUMN(CS!F$1),FALSE),
IF(_xlpm.v=0,"",_xlpm.v)
),"")</f>
        <v>100</v>
      </c>
      <c r="G44" s="122" t="str">
        <f>IFERROR(LET(_xlpm.v,
VLOOKUP($A44,CS!$B:$N,COLUMN(CS!M$1),FALSE),
IF(_xlpm.v=0,"",_xlpm.v)
),"")</f>
        <v/>
      </c>
      <c r="H44" s="64" t="str">
        <f>IFERROR(LET(_xlpm.v,
VLOOKUP($A44,CS!$B:$H,COLUMN(CS!G$1),FALSE),
IF(_xlpm.v=0,"",_xlpm.v)
),"")</f>
        <v>攻撃手段:魔法 物理+10 拘束+30 射程:20 判定:魔力</v>
      </c>
      <c r="I44" s="37" t="s">
        <v>4808</v>
      </c>
      <c r="L44" s="64"/>
      <c r="M44" s="64"/>
      <c r="N44" s="64"/>
      <c r="O44" s="64">
        <v>10.0</v>
      </c>
      <c r="P44" s="64"/>
      <c r="Q44" s="64"/>
      <c r="R44" s="64"/>
      <c r="S44" s="64"/>
      <c r="T44" s="64"/>
      <c r="U44" s="64"/>
      <c r="V44" s="64"/>
      <c r="W44" s="64"/>
      <c r="X44" s="64"/>
      <c r="Y44" s="64"/>
      <c r="AE44" s="37">
        <v>30.0</v>
      </c>
      <c r="BH44" s="64"/>
      <c r="BI44" s="64"/>
      <c r="BJ44" s="64"/>
      <c r="BK44" s="64"/>
      <c r="BL44" s="64"/>
      <c r="BM44" s="64"/>
      <c r="BN44" s="64"/>
      <c r="BO44" s="64"/>
      <c r="BP44" s="64"/>
      <c r="BQ44" s="64"/>
      <c r="BR44" s="64"/>
      <c r="CC44" s="37">
        <v>20.0</v>
      </c>
      <c r="CK44" s="37" t="s">
        <v>2569</v>
      </c>
    </row>
    <row r="45" ht="18.75" customHeight="1" outlineLevel="1">
      <c r="A45" s="1" t="s">
        <v>1161</v>
      </c>
      <c r="B45" s="37" t="str">
        <f>IFERROR(LET(_xlpm.v,
VLOOKUP($A45,CS!$B:$H,COLUMN(CS!B$1),FALSE),
IF(_xlpm.v=0,"",_xlpm.v)
),"")</f>
        <v>ボム</v>
      </c>
      <c r="C45" s="37" t="str">
        <f>IFERROR(LET(_xlpm.v,
VLOOKUP($A45,CS!$B:$H,COLUMN(CS!C$1),FALSE),
IF(_xlpm.v=0,"",_xlpm.v)
),"")</f>
        <v>錬金</v>
      </c>
      <c r="D45" s="37" t="str">
        <f>IFERROR(LET(_xlpm.v,
VLOOKUP($A45,CS!$B:$H,COLUMN(CS!D$1),FALSE),
IF(_xlpm.v=0,"",_xlpm.v)
),"")</f>
        <v>A</v>
      </c>
      <c r="E45" s="37" t="str">
        <f>IFERROR(LET(_xlpm.v,
VLOOKUP($A45,CS!$B:$H,COLUMN(CS!E$1),FALSE),
IF(_xlpm.v=0,"",_xlpm.v)
),"")</f>
        <v/>
      </c>
      <c r="F45" s="37">
        <f>IFERROR(LET(_xlpm.v,
VLOOKUP($A45,CS!$B:$H,COLUMN(CS!F$1),FALSE),
IF(_xlpm.v=0,"",_xlpm.v)
),"")</f>
        <v>50</v>
      </c>
      <c r="G45" s="122" t="str">
        <f>IFERROR(LET(_xlpm.v,
VLOOKUP($A45,CS!$B:$N,COLUMN(CS!M$1),FALSE),
IF(_xlpm.v=0,"",_xlpm.v)
),"")</f>
        <v/>
      </c>
      <c r="H45" s="64" t="str">
        <f>IFERROR(LET(_xlpm.v,
VLOOKUP($A45,CS!$B:$H,COLUMN(CS!G$1),FALSE),
IF(_xlpm.v=0,"",_xlpm.v)
),"")</f>
        <v>攻撃手段:魔法 炎+15 射程:10 炸裂:1 判定:魔力 追加威力:技術 </v>
      </c>
      <c r="I45" s="37" t="s">
        <v>4808</v>
      </c>
      <c r="L45" s="64"/>
      <c r="M45" s="64"/>
      <c r="N45" s="64"/>
      <c r="O45" s="64"/>
      <c r="P45" s="64"/>
      <c r="Q45" s="64"/>
      <c r="R45" s="64"/>
      <c r="S45" s="64"/>
      <c r="T45" s="64"/>
      <c r="U45" s="64">
        <v>15.0</v>
      </c>
      <c r="V45" s="64"/>
      <c r="W45" s="64"/>
      <c r="X45" s="64"/>
      <c r="Y45" s="64"/>
      <c r="BH45" s="64"/>
      <c r="BI45" s="64"/>
      <c r="BJ45" s="64"/>
      <c r="BK45" s="64"/>
      <c r="BL45" s="64"/>
      <c r="BM45" s="64"/>
      <c r="BN45" s="64"/>
      <c r="BO45" s="64"/>
      <c r="BP45" s="64"/>
      <c r="BQ45" s="64"/>
      <c r="BR45" s="64"/>
      <c r="CC45" s="37">
        <v>10.0</v>
      </c>
      <c r="CE45" s="37">
        <v>1.0</v>
      </c>
      <c r="CJ45" s="37" t="s">
        <v>2596</v>
      </c>
      <c r="CK45" s="37" t="s">
        <v>2569</v>
      </c>
    </row>
    <row r="46" ht="18.75" customHeight="1" outlineLevel="1">
      <c r="A46" s="24" t="s">
        <v>282</v>
      </c>
      <c r="B46" s="37" t="str">
        <f>IFERROR(LET(_xlpm.v,
VLOOKUP($A46,CS!$B:$H,COLUMN(CS!B$1),FALSE),
IF(_xlpm.v=0,"",_xlpm.v)
),"")</f>
        <v>バーニング</v>
      </c>
      <c r="C46" s="37" t="str">
        <f>IFERROR(LET(_xlpm.v,
VLOOKUP($A46,CS!$B:$H,COLUMN(CS!C$1),FALSE),
IF(_xlpm.v=0,"",_xlpm.v)
),"")</f>
        <v>炎</v>
      </c>
      <c r="D46" s="37" t="str">
        <f>IFERROR(LET(_xlpm.v,
VLOOKUP($A46,CS!$B:$H,COLUMN(CS!D$1),FALSE),
IF(_xlpm.v=0,"",_xlpm.v)
),"")</f>
        <v>A</v>
      </c>
      <c r="E46" s="37" t="str">
        <f>IFERROR(LET(_xlpm.v,
VLOOKUP($A46,CS!$B:$H,COLUMN(CS!E$1),FALSE),
IF(_xlpm.v=0,"",_xlpm.v)
),"")</f>
        <v/>
      </c>
      <c r="F46" s="37">
        <f>IFERROR(LET(_xlpm.v,
VLOOKUP($A46,CS!$B:$H,COLUMN(CS!F$1),FALSE),
IF(_xlpm.v=0,"",_xlpm.v)
),"")</f>
        <v>60</v>
      </c>
      <c r="G46" s="122" t="str">
        <f>IFERROR(LET(_xlpm.v,
VLOOKUP($A46,CS!$B:$N,COLUMN(CS!M$1),FALSE),
IF(_xlpm.v=0,"",_xlpm.v)
),"")</f>
        <v/>
      </c>
      <c r="H46" s="64" t="str">
        <f>IFERROR(LET(_xlpm.v,
VLOOKUP($A46,CS!$B:$H,COLUMN(CS!G$1),FALSE),
IF(_xlpm.v=0,"",_xlpm.v)
),"")</f>
        <v>攻撃手段:魔法 特殊:攻撃 炎+35 射程:10 判定:魔力</v>
      </c>
      <c r="I46" s="37" t="s">
        <v>4808</v>
      </c>
      <c r="L46" s="64"/>
      <c r="M46" s="64"/>
      <c r="N46" s="64"/>
      <c r="O46" s="64"/>
      <c r="P46" s="64"/>
      <c r="Q46" s="64"/>
      <c r="R46" s="64"/>
      <c r="S46" s="64"/>
      <c r="T46" s="64"/>
      <c r="U46" s="64">
        <v>35.0</v>
      </c>
      <c r="V46" s="64"/>
      <c r="W46" s="64"/>
      <c r="X46" s="64"/>
      <c r="Y46" s="64"/>
      <c r="BH46" s="64"/>
      <c r="BI46" s="64"/>
      <c r="BJ46" s="64"/>
      <c r="BK46" s="64"/>
      <c r="BL46" s="64"/>
      <c r="BM46" s="64"/>
      <c r="BN46" s="64"/>
      <c r="BO46" s="64"/>
      <c r="BP46" s="64"/>
      <c r="BQ46" s="64"/>
      <c r="BR46" s="64"/>
      <c r="CC46" s="37">
        <v>10.0</v>
      </c>
      <c r="CK46" s="37" t="s">
        <v>2569</v>
      </c>
    </row>
    <row r="47" ht="18.75" customHeight="1" outlineLevel="1">
      <c r="A47" s="19" t="s">
        <v>294</v>
      </c>
      <c r="B47" s="37" t="str">
        <f>IFERROR(LET(_xlpm.v,
VLOOKUP($A47,CS!$B:$H,COLUMN(CS!B$1),FALSE),
IF(_xlpm.v=0,"",_xlpm.v)
),"")</f>
        <v>ファイアーレイン</v>
      </c>
      <c r="C47" s="37" t="str">
        <f>IFERROR(LET(_xlpm.v,
VLOOKUP($A47,CS!$B:$H,COLUMN(CS!C$1),FALSE),
IF(_xlpm.v=0,"",_xlpm.v)
),"")</f>
        <v>炎</v>
      </c>
      <c r="D47" s="37" t="str">
        <f>IFERROR(LET(_xlpm.v,
VLOOKUP($A47,CS!$B:$H,COLUMN(CS!D$1),FALSE),
IF(_xlpm.v=0,"",_xlpm.v)
),"")</f>
        <v>A</v>
      </c>
      <c r="E47" s="37" t="str">
        <f>IFERROR(LET(_xlpm.v,
VLOOKUP($A47,CS!$B:$H,COLUMN(CS!E$1),FALSE),
IF(_xlpm.v=0,"",_xlpm.v)
),"")</f>
        <v/>
      </c>
      <c r="F47" s="37">
        <f>IFERROR(LET(_xlpm.v,
VLOOKUP($A47,CS!$B:$H,COLUMN(CS!F$1),FALSE),
IF(_xlpm.v=0,"",_xlpm.v)
),"")</f>
        <v>60</v>
      </c>
      <c r="G47" s="122" t="str">
        <f>IFERROR(LET(_xlpm.v,
VLOOKUP($A47,CS!$B:$N,COLUMN(CS!M$1),FALSE),
IF(_xlpm.v=0,"",_xlpm.v)
),"")</f>
        <v/>
      </c>
      <c r="H47" s="64" t="str">
        <f>IFERROR(LET(_xlpm.v,
VLOOKUP($A47,CS!$B:$H,COLUMN(CS!G$1),FALSE),
IF(_xlpm.v=0,"",_xlpm.v)
),"")</f>
        <v>攻撃手段:魔法 炎+12 攻撃回数4 射程:10 範囲:炸裂</v>
      </c>
      <c r="I47" s="37" t="s">
        <v>4808</v>
      </c>
      <c r="L47" s="64"/>
      <c r="M47" s="64"/>
      <c r="N47" s="64"/>
      <c r="O47" s="64"/>
      <c r="P47" s="64"/>
      <c r="Q47" s="64"/>
      <c r="R47" s="64"/>
      <c r="S47" s="64"/>
      <c r="T47" s="64"/>
      <c r="U47" s="64">
        <v>16.0</v>
      </c>
      <c r="V47" s="64"/>
      <c r="W47" s="64"/>
      <c r="X47" s="64"/>
      <c r="Y47" s="64"/>
      <c r="BH47" s="64"/>
      <c r="BI47" s="64"/>
      <c r="BJ47" s="64"/>
      <c r="BK47" s="64"/>
      <c r="BL47" s="64"/>
      <c r="BM47" s="64"/>
      <c r="BN47" s="64"/>
      <c r="BO47" s="64"/>
      <c r="BP47" s="64"/>
      <c r="BQ47" s="64"/>
      <c r="BR47" s="64"/>
      <c r="CC47" s="37">
        <v>20.0</v>
      </c>
      <c r="CD47" s="37" t="s">
        <v>3088</v>
      </c>
      <c r="CK47" s="37" t="s">
        <v>2569</v>
      </c>
    </row>
    <row r="48" ht="18.75" customHeight="1" outlineLevel="1">
      <c r="A48" s="19" t="s">
        <v>297</v>
      </c>
      <c r="B48" s="37" t="str">
        <f>IFERROR(LET(_xlpm.v,
VLOOKUP($A48,CS!$B:$H,COLUMN(CS!B$1),FALSE),
IF(_xlpm.v=0,"",_xlpm.v)
),"")</f>
        <v>ファイアーボール</v>
      </c>
      <c r="C48" s="37" t="str">
        <f>IFERROR(LET(_xlpm.v,
VLOOKUP($A48,CS!$B:$H,COLUMN(CS!C$1),FALSE),
IF(_xlpm.v=0,"",_xlpm.v)
),"")</f>
        <v>炎</v>
      </c>
      <c r="D48" s="37" t="str">
        <f>IFERROR(LET(_xlpm.v,
VLOOKUP($A48,CS!$B:$H,COLUMN(CS!D$1),FALSE),
IF(_xlpm.v=0,"",_xlpm.v)
),"")</f>
        <v>A</v>
      </c>
      <c r="E48" s="37" t="str">
        <f>IFERROR(LET(_xlpm.v,
VLOOKUP($A48,CS!$B:$H,COLUMN(CS!E$1),FALSE),
IF(_xlpm.v=0,"",_xlpm.v)
),"")</f>
        <v/>
      </c>
      <c r="F48" s="37">
        <f>IFERROR(LET(_xlpm.v,
VLOOKUP($A48,CS!$B:$H,COLUMN(CS!F$1),FALSE),
IF(_xlpm.v=0,"",_xlpm.v)
),"")</f>
        <v>60</v>
      </c>
      <c r="G48" s="122" t="str">
        <f>IFERROR(LET(_xlpm.v,
VLOOKUP($A48,CS!$B:$N,COLUMN(CS!M$1),FALSE),
IF(_xlpm.v=0,"",_xlpm.v)
),"")</f>
        <v/>
      </c>
      <c r="H48" s="64" t="str">
        <f>IFERROR(LET(_xlpm.v,
VLOOKUP($A48,CS!$B:$H,COLUMN(CS!G$1),FALSE),
IF(_xlpm.v=0,"",_xlpm.v)
),"")</f>
        <v>攻撃手段:魔法 特殊:攻撃 炎+55 射程:20 範囲:周囲 判定:魔力</v>
      </c>
      <c r="I48" s="37" t="s">
        <v>4808</v>
      </c>
      <c r="L48" s="64"/>
      <c r="M48" s="64"/>
      <c r="N48" s="64"/>
      <c r="O48" s="64"/>
      <c r="P48" s="64"/>
      <c r="Q48" s="64"/>
      <c r="R48" s="64"/>
      <c r="S48" s="64"/>
      <c r="T48" s="64"/>
      <c r="U48" s="64">
        <v>49.0</v>
      </c>
      <c r="V48" s="64"/>
      <c r="W48" s="64"/>
      <c r="X48" s="64"/>
      <c r="Y48" s="64"/>
      <c r="BH48" s="64"/>
      <c r="BI48" s="64"/>
      <c r="BJ48" s="64"/>
      <c r="BK48" s="64"/>
      <c r="BL48" s="64"/>
      <c r="BM48" s="64"/>
      <c r="BN48" s="64"/>
      <c r="BO48" s="64"/>
      <c r="BP48" s="64"/>
      <c r="BQ48" s="64"/>
      <c r="BR48" s="64"/>
      <c r="CC48" s="37">
        <v>20.0</v>
      </c>
      <c r="CE48" s="37">
        <v>0.5</v>
      </c>
      <c r="CK48" s="37" t="s">
        <v>2569</v>
      </c>
    </row>
    <row r="49" ht="18.75" customHeight="1" outlineLevel="1">
      <c r="A49" s="19" t="s">
        <v>310</v>
      </c>
      <c r="B49" s="37" t="str">
        <f>IFERROR(LET(_xlpm.v,
VLOOKUP($A49,CS!$B:$H,COLUMN(CS!B$1),FALSE),
IF(_xlpm.v=0,"",_xlpm.v)
),"")</f>
        <v>フォール・ファイアー</v>
      </c>
      <c r="C49" s="37" t="str">
        <f>IFERROR(LET(_xlpm.v,
VLOOKUP($A49,CS!$B:$H,COLUMN(CS!C$1),FALSE),
IF(_xlpm.v=0,"",_xlpm.v)
),"")</f>
        <v>炎</v>
      </c>
      <c r="D49" s="37" t="str">
        <f>IFERROR(LET(_xlpm.v,
VLOOKUP($A49,CS!$B:$H,COLUMN(CS!D$1),FALSE),
IF(_xlpm.v=0,"",_xlpm.v)
),"")</f>
        <v>A</v>
      </c>
      <c r="E49" s="37" t="str">
        <f>IFERROR(LET(_xlpm.v,
VLOOKUP($A49,CS!$B:$H,COLUMN(CS!E$1),FALSE),
IF(_xlpm.v=0,"",_xlpm.v)
),"")</f>
        <v/>
      </c>
      <c r="F49" s="37">
        <f>IFERROR(LET(_xlpm.v,
VLOOKUP($A49,CS!$B:$H,COLUMN(CS!F$1),FALSE),
IF(_xlpm.v=0,"",_xlpm.v)
),"")</f>
        <v>60</v>
      </c>
      <c r="G49" s="122" t="str">
        <f>IFERROR(LET(_xlpm.v,
VLOOKUP($A49,CS!$B:$N,COLUMN(CS!M$1),FALSE),
IF(_xlpm.v=0,"",_xlpm.v)
),"")</f>
        <v/>
      </c>
      <c r="H49" s="64" t="str">
        <f>IFERROR(LET(_xlpm.v,
VLOOKUP($A49,CS!$B:$H,COLUMN(CS!G$1),FALSE),
IF(_xlpm.v=0,"",_xlpm.v)
),"")</f>
        <v>攻撃手段:魔法 特殊:攻撃 炎+60 射程:20 範囲:全体 判定:魔力</v>
      </c>
      <c r="I49" s="37" t="s">
        <v>4808</v>
      </c>
      <c r="L49" s="64"/>
      <c r="M49" s="64"/>
      <c r="N49" s="64"/>
      <c r="O49" s="64"/>
      <c r="P49" s="64"/>
      <c r="Q49" s="64"/>
      <c r="R49" s="64"/>
      <c r="S49" s="64"/>
      <c r="T49" s="64"/>
      <c r="U49" s="64">
        <v>56.0</v>
      </c>
      <c r="V49" s="64"/>
      <c r="W49" s="64"/>
      <c r="X49" s="64"/>
      <c r="Y49" s="64"/>
      <c r="BH49" s="64"/>
      <c r="BI49" s="64"/>
      <c r="BJ49" s="64"/>
      <c r="BK49" s="64"/>
      <c r="BL49" s="64"/>
      <c r="BM49" s="64"/>
      <c r="BN49" s="64"/>
      <c r="BO49" s="64"/>
      <c r="BP49" s="64"/>
      <c r="BQ49" s="64"/>
      <c r="BR49" s="64"/>
      <c r="CC49" s="37">
        <v>20.0</v>
      </c>
      <c r="CK49" s="37" t="s">
        <v>2569</v>
      </c>
    </row>
    <row r="50" ht="18.75" customHeight="1" outlineLevel="1">
      <c r="A50" s="19" t="s">
        <v>314</v>
      </c>
      <c r="B50" s="37" t="str">
        <f>IFERROR(LET(_xlpm.v,
VLOOKUP($A50,CS!$B:$H,COLUMN(CS!B$1),FALSE),
IF(_xlpm.v=0,"",_xlpm.v)
),"")</f>
        <v>ファイアー・ウォール</v>
      </c>
      <c r="C50" s="37" t="str">
        <f>IFERROR(LET(_xlpm.v,
VLOOKUP($A50,CS!$B:$H,COLUMN(CS!C$1),FALSE),
IF(_xlpm.v=0,"",_xlpm.v)
),"")</f>
        <v>炎</v>
      </c>
      <c r="D50" s="37" t="str">
        <f>IFERROR(LET(_xlpm.v,
VLOOKUP($A50,CS!$B:$H,COLUMN(CS!D$1),FALSE),
IF(_xlpm.v=0,"",_xlpm.v)
),"")</f>
        <v>A</v>
      </c>
      <c r="E50" s="37" t="str">
        <f>IFERROR(LET(_xlpm.v,
VLOOKUP($A50,CS!$B:$H,COLUMN(CS!E$1),FALSE),
IF(_xlpm.v=0,"",_xlpm.v)
),"")</f>
        <v/>
      </c>
      <c r="F50" s="37">
        <f>IFERROR(LET(_xlpm.v,
VLOOKUP($A50,CS!$B:$H,COLUMN(CS!F$1),FALSE),
IF(_xlpm.v=0,"",_xlpm.v)
),"")</f>
        <v>60</v>
      </c>
      <c r="G50" s="122" t="str">
        <f>IFERROR(LET(_xlpm.v,
VLOOKUP($A50,CS!$B:$N,COLUMN(CS!M$1),FALSE),
IF(_xlpm.v=0,"",_xlpm.v)
),"")</f>
        <v/>
      </c>
      <c r="H50" s="64" t="str">
        <f>IFERROR(LET(_xlpm.v,
VLOOKUP($A50,CS!$B:$H,COLUMN(CS!G$1),FALSE),
IF(_xlpm.v=0,"",_xlpm.v)
),"")</f>
        <v>効果時間2t 攻撃手段:魔法 特殊:攻撃  炎+30 射程:20 範囲:ライン 判定:魔力</v>
      </c>
      <c r="I50" s="37" t="s">
        <v>4808</v>
      </c>
      <c r="L50" s="64"/>
      <c r="M50" s="64"/>
      <c r="N50" s="64"/>
      <c r="O50" s="64"/>
      <c r="P50" s="64"/>
      <c r="Q50" s="64"/>
      <c r="R50" s="64"/>
      <c r="S50" s="64"/>
      <c r="T50" s="64"/>
      <c r="U50" s="64">
        <v>35.0</v>
      </c>
      <c r="V50" s="64"/>
      <c r="W50" s="64"/>
      <c r="X50" s="64"/>
      <c r="Y50" s="64"/>
      <c r="BH50" s="64"/>
      <c r="BI50" s="64"/>
      <c r="BJ50" s="64"/>
      <c r="BK50" s="64"/>
      <c r="BL50" s="64"/>
      <c r="BM50" s="64"/>
      <c r="BN50" s="64"/>
      <c r="BO50" s="64"/>
      <c r="BP50" s="64"/>
      <c r="BQ50" s="64"/>
      <c r="BR50" s="64"/>
      <c r="CC50" s="37">
        <v>20.0</v>
      </c>
      <c r="CD50" s="37" t="s">
        <v>3060</v>
      </c>
      <c r="CK50" s="37" t="s">
        <v>2569</v>
      </c>
    </row>
    <row r="51" ht="18.75" customHeight="1" outlineLevel="1">
      <c r="A51" s="19" t="s">
        <v>1165</v>
      </c>
      <c r="B51" s="37" t="str">
        <f>IFERROR(LET(_xlpm.v,
VLOOKUP($A51,CS!$B:$H,COLUMN(CS!B$1),FALSE),
IF(_xlpm.v=0,"",_xlpm.v)
),"")</f>
        <v/>
      </c>
      <c r="C51" s="37" t="str">
        <f>IFERROR(LET(_xlpm.v,
VLOOKUP($A51,CS!$B:$H,COLUMN(CS!C$1),FALSE),
IF(_xlpm.v=0,"",_xlpm.v)
),"")</f>
        <v/>
      </c>
      <c r="D51" s="37" t="str">
        <f>IFERROR(LET(_xlpm.v,
VLOOKUP($A51,CS!$B:$H,COLUMN(CS!D$1),FALSE),
IF(_xlpm.v=0,"",_xlpm.v)
),"")</f>
        <v/>
      </c>
      <c r="E51" s="37" t="str">
        <f>IFERROR(LET(_xlpm.v,
VLOOKUP($A51,CS!$B:$H,COLUMN(CS!E$1),FALSE),
IF(_xlpm.v=0,"",_xlpm.v)
),"")</f>
        <v/>
      </c>
      <c r="F51" s="37" t="str">
        <f>IFERROR(LET(_xlpm.v,
VLOOKUP($A51,CS!$B:$H,COLUMN(CS!F$1),FALSE),
IF(_xlpm.v=0,"",_xlpm.v)
),"")</f>
        <v/>
      </c>
      <c r="G51" s="122" t="str">
        <f>IFERROR(LET(_xlpm.v,
VLOOKUP($A51,CS!$B:$N,COLUMN(CS!M$1),FALSE),
IF(_xlpm.v=0,"",_xlpm.v)
),"")</f>
        <v/>
      </c>
      <c r="H51" s="64" t="str">
        <f>IFERROR(LET(_xlpm.v,
VLOOKUP($A51,CS!$B:$H,COLUMN(CS!G$1),FALSE),
IF(_xlpm.v=0,"",_xlpm.v)
),"")</f>
        <v/>
      </c>
      <c r="I51" s="37" t="s">
        <v>4808</v>
      </c>
      <c r="L51" s="64"/>
      <c r="M51" s="64"/>
      <c r="N51" s="64"/>
      <c r="O51" s="64"/>
      <c r="P51" s="64"/>
      <c r="Q51" s="64"/>
      <c r="R51" s="64"/>
      <c r="S51" s="64"/>
      <c r="T51" s="64">
        <v>25.0</v>
      </c>
      <c r="U51" s="64">
        <v>65.0</v>
      </c>
      <c r="V51" s="64"/>
      <c r="W51" s="64"/>
      <c r="X51" s="64"/>
      <c r="Y51" s="64"/>
      <c r="BH51" s="64"/>
      <c r="BI51" s="64"/>
      <c r="BJ51" s="64"/>
      <c r="BK51" s="64"/>
      <c r="BL51" s="64"/>
      <c r="BM51" s="64"/>
      <c r="BN51" s="64"/>
      <c r="BO51" s="64"/>
      <c r="BP51" s="64"/>
      <c r="BQ51" s="64"/>
      <c r="BR51" s="64"/>
      <c r="CC51" s="37">
        <v>20.0</v>
      </c>
      <c r="CE51" s="37">
        <v>1.0</v>
      </c>
      <c r="CK51" s="37" t="s">
        <v>2569</v>
      </c>
    </row>
    <row r="52" ht="18.75" customHeight="1" outlineLevel="1">
      <c r="A52" s="19" t="s">
        <v>327</v>
      </c>
      <c r="B52" s="37" t="str">
        <f>IFERROR(LET(_xlpm.v,
VLOOKUP($A52,CS!$B:$H,COLUMN(CS!B$1),FALSE),
IF(_xlpm.v=0,"",_xlpm.v)
),"")</f>
        <v>バーニング・レディエーション</v>
      </c>
      <c r="C52" s="37" t="str">
        <f>IFERROR(LET(_xlpm.v,
VLOOKUP($A52,CS!$B:$H,COLUMN(CS!C$1),FALSE),
IF(_xlpm.v=0,"",_xlpm.v)
),"")</f>
        <v>炎</v>
      </c>
      <c r="D52" s="37" t="str">
        <f>IFERROR(LET(_xlpm.v,
VLOOKUP($A52,CS!$B:$H,COLUMN(CS!D$1),FALSE),
IF(_xlpm.v=0,"",_xlpm.v)
),"")</f>
        <v>A</v>
      </c>
      <c r="E52" s="37" t="str">
        <f>IFERROR(LET(_xlpm.v,
VLOOKUP($A52,CS!$B:$H,COLUMN(CS!E$1),FALSE),
IF(_xlpm.v=0,"",_xlpm.v)
),"")</f>
        <v/>
      </c>
      <c r="F52" s="37">
        <f>IFERROR(LET(_xlpm.v,
VLOOKUP($A52,CS!$B:$H,COLUMN(CS!F$1),FALSE),
IF(_xlpm.v=0,"",_xlpm.v)
),"")</f>
        <v>60</v>
      </c>
      <c r="G52" s="122" t="str">
        <f>IFERROR(LET(_xlpm.v,
VLOOKUP($A52,CS!$B:$N,COLUMN(CS!M$1),FALSE),
IF(_xlpm.v=0,"",_xlpm.v)
),"")</f>
        <v/>
      </c>
      <c r="H52" s="64" t="str">
        <f>IFERROR(LET(_xlpm.v,
VLOOKUP($A52,CS!$B:$H,COLUMN(CS!G$1),FALSE),
IF(_xlpm.v=0,"",_xlpm.v)
),"")</f>
        <v>攻撃手段:魔法 特殊:攻撃 炎+115 射程:3  範囲:縦 判定:魔力</v>
      </c>
      <c r="I52" s="37" t="s">
        <v>4808</v>
      </c>
      <c r="L52" s="64"/>
      <c r="M52" s="64"/>
      <c r="N52" s="64"/>
      <c r="O52" s="64"/>
      <c r="P52" s="64"/>
      <c r="Q52" s="64"/>
      <c r="R52" s="64"/>
      <c r="S52" s="64"/>
      <c r="T52" s="64"/>
      <c r="U52" s="64">
        <v>95.0</v>
      </c>
      <c r="V52" s="64"/>
      <c r="W52" s="64"/>
      <c r="X52" s="64"/>
      <c r="Y52" s="64"/>
      <c r="BH52" s="64"/>
      <c r="BI52" s="64"/>
      <c r="BJ52" s="64"/>
      <c r="BK52" s="64"/>
      <c r="BL52" s="64"/>
      <c r="BM52" s="64"/>
      <c r="BN52" s="64"/>
      <c r="BO52" s="64"/>
      <c r="BP52" s="64"/>
      <c r="BQ52" s="64"/>
      <c r="BR52" s="64"/>
      <c r="CC52" s="37">
        <v>20.0</v>
      </c>
      <c r="CD52" s="37" t="s">
        <v>3092</v>
      </c>
      <c r="CK52" s="37" t="s">
        <v>2569</v>
      </c>
    </row>
    <row r="53" ht="18.75" customHeight="1" outlineLevel="1">
      <c r="A53" s="19" t="s">
        <v>345</v>
      </c>
      <c r="B53" s="37" t="str">
        <f>IFERROR(LET(_xlpm.v,
VLOOKUP($A53,CS!$B:$H,COLUMN(CS!B$1),FALSE),
IF(_xlpm.v=0,"",_xlpm.v)
),"")</f>
        <v>バーニング・ナパーム</v>
      </c>
      <c r="C53" s="37" t="str">
        <f>IFERROR(LET(_xlpm.v,
VLOOKUP($A53,CS!$B:$H,COLUMN(CS!C$1),FALSE),
IF(_xlpm.v=0,"",_xlpm.v)
),"")</f>
        <v>炎</v>
      </c>
      <c r="D53" s="37" t="str">
        <f>IFERROR(LET(_xlpm.v,
VLOOKUP($A53,CS!$B:$H,COLUMN(CS!D$1),FALSE),
IF(_xlpm.v=0,"",_xlpm.v)
),"")</f>
        <v>A</v>
      </c>
      <c r="E53" s="37" t="str">
        <f>IFERROR(LET(_xlpm.v,
VLOOKUP($A53,CS!$B:$H,COLUMN(CS!E$1),FALSE),
IF(_xlpm.v=0,"",_xlpm.v)
),"")</f>
        <v/>
      </c>
      <c r="F53" s="37">
        <f>IFERROR(LET(_xlpm.v,
VLOOKUP($A53,CS!$B:$H,COLUMN(CS!F$1),FALSE),
IF(_xlpm.v=0,"",_xlpm.v)
),"")</f>
        <v>60</v>
      </c>
      <c r="G53" s="122" t="str">
        <f>IFERROR(LET(_xlpm.v,
VLOOKUP($A53,CS!$B:$N,COLUMN(CS!M$1),FALSE),
IF(_xlpm.v=0,"",_xlpm.v)
),"")</f>
        <v/>
      </c>
      <c r="H53" s="64" t="str">
        <f>IFERROR(LET(_xlpm.v,
VLOOKUP($A53,CS!$B:$H,COLUMN(CS!G$1),FALSE),
IF(_xlpm.v=0,"",_xlpm.v)
),"")</f>
        <v/>
      </c>
      <c r="I53" s="37" t="s">
        <v>4808</v>
      </c>
      <c r="L53" s="64"/>
      <c r="M53" s="64"/>
      <c r="N53" s="64"/>
      <c r="O53" s="64"/>
      <c r="P53" s="64"/>
      <c r="Q53" s="64"/>
      <c r="R53" s="64"/>
      <c r="S53" s="64"/>
      <c r="T53" s="64"/>
      <c r="U53" s="64">
        <v>105.0</v>
      </c>
      <c r="V53" s="64"/>
      <c r="W53" s="64"/>
      <c r="X53" s="64"/>
      <c r="Y53" s="64"/>
      <c r="BH53" s="64"/>
      <c r="BI53" s="64"/>
      <c r="BJ53" s="64"/>
      <c r="BK53" s="64"/>
      <c r="BL53" s="64"/>
      <c r="BM53" s="64"/>
      <c r="BN53" s="64"/>
      <c r="BO53" s="64"/>
      <c r="BP53" s="64"/>
      <c r="BQ53" s="64"/>
      <c r="BR53" s="64"/>
      <c r="CC53" s="37">
        <v>20.0</v>
      </c>
      <c r="CD53" s="37" t="s">
        <v>3095</v>
      </c>
      <c r="CK53" s="37" t="s">
        <v>2569</v>
      </c>
    </row>
    <row r="54" ht="18.75" customHeight="1" outlineLevel="1">
      <c r="A54" s="19" t="s">
        <v>354</v>
      </c>
      <c r="B54" s="37" t="str">
        <f>IFERROR(LET(_xlpm.v,
VLOOKUP($A54,CS!$B:$H,COLUMN(CS!B$1),FALSE),
IF(_xlpm.v=0,"",_xlpm.v)
),"")</f>
        <v>インフェルノ</v>
      </c>
      <c r="C54" s="37" t="str">
        <f>IFERROR(LET(_xlpm.v,
VLOOKUP($A54,CS!$B:$H,COLUMN(CS!C$1),FALSE),
IF(_xlpm.v=0,"",_xlpm.v)
),"")</f>
        <v>炎</v>
      </c>
      <c r="D54" s="37" t="str">
        <f>IFERROR(LET(_xlpm.v,
VLOOKUP($A54,CS!$B:$H,COLUMN(CS!D$1),FALSE),
IF(_xlpm.v=0,"",_xlpm.v)
),"")</f>
        <v>A</v>
      </c>
      <c r="E54" s="37" t="str">
        <f>IFERROR(LET(_xlpm.v,
VLOOKUP($A54,CS!$B:$H,COLUMN(CS!E$1),FALSE),
IF(_xlpm.v=0,"",_xlpm.v)
),"")</f>
        <v/>
      </c>
      <c r="F54" s="37">
        <f>IFERROR(LET(_xlpm.v,
VLOOKUP($A54,CS!$B:$H,COLUMN(CS!F$1),FALSE),
IF(_xlpm.v=0,"",_xlpm.v)
),"")</f>
        <v>60</v>
      </c>
      <c r="G54" s="122" t="str">
        <f>IFERROR(LET(_xlpm.v,
VLOOKUP($A54,CS!$B:$N,COLUMN(CS!M$1),FALSE),
IF(_xlpm.v=0,"",_xlpm.v)
),"")</f>
        <v/>
      </c>
      <c r="H54" s="64" t="str">
        <f>IFERROR(LET(_xlpm.v,
VLOOKUP($A54,CS!$B:$H,COLUMN(CS!G$1),FALSE),
IF(_xlpm.v=0,"",_xlpm.v)
),"")</f>
        <v/>
      </c>
      <c r="I54" s="37" t="s">
        <v>4808</v>
      </c>
      <c r="L54" s="64"/>
      <c r="M54" s="64"/>
      <c r="N54" s="64"/>
      <c r="O54" s="64"/>
      <c r="P54" s="64"/>
      <c r="Q54" s="64"/>
      <c r="R54" s="64"/>
      <c r="S54" s="64"/>
      <c r="T54" s="64"/>
      <c r="U54" s="64">
        <v>135.0</v>
      </c>
      <c r="V54" s="64"/>
      <c r="W54" s="64"/>
      <c r="X54" s="64"/>
      <c r="Y54" s="64"/>
      <c r="BH54" s="64"/>
      <c r="BI54" s="64"/>
      <c r="BJ54" s="64"/>
      <c r="BK54" s="64"/>
      <c r="BL54" s="64"/>
      <c r="BM54" s="64"/>
      <c r="BN54" s="64"/>
      <c r="BO54" s="64"/>
      <c r="BP54" s="64"/>
      <c r="BQ54" s="64"/>
      <c r="BR54" s="64"/>
      <c r="CC54" s="37">
        <v>20.0</v>
      </c>
      <c r="CD54" s="37" t="s">
        <v>3095</v>
      </c>
      <c r="CK54" s="37" t="s">
        <v>2569</v>
      </c>
    </row>
    <row r="55" ht="18.75" customHeight="1" outlineLevel="1">
      <c r="A55" s="19" t="s">
        <v>301</v>
      </c>
      <c r="B55" s="37" t="str">
        <f>IFERROR(LET(_xlpm.v,
VLOOKUP($A55,CS!$B:$H,COLUMN(CS!B$1),FALSE),
IF(_xlpm.v=0,"",_xlpm.v)
),"")</f>
        <v>スモーク</v>
      </c>
      <c r="C55" s="37" t="str">
        <f>IFERROR(LET(_xlpm.v,
VLOOKUP($A55,CS!$B:$H,COLUMN(CS!C$1),FALSE),
IF(_xlpm.v=0,"",_xlpm.v)
),"")</f>
        <v>炎</v>
      </c>
      <c r="D55" s="37" t="str">
        <f>IFERROR(LET(_xlpm.v,
VLOOKUP($A55,CS!$B:$H,COLUMN(CS!D$1),FALSE),
IF(_xlpm.v=0,"",_xlpm.v)
),"")</f>
        <v>A</v>
      </c>
      <c r="E55" s="37" t="str">
        <f>IFERROR(LET(_xlpm.v,
VLOOKUP($A55,CS!$B:$H,COLUMN(CS!E$1),FALSE),
IF(_xlpm.v=0,"",_xlpm.v)
),"")</f>
        <v/>
      </c>
      <c r="F55" s="37">
        <f>IFERROR(LET(_xlpm.v,
VLOOKUP($A55,CS!$B:$H,COLUMN(CS!F$1),FALSE),
IF(_xlpm.v=0,"",_xlpm.v)
),"")</f>
        <v>60</v>
      </c>
      <c r="G55" s="122" t="str">
        <f>IFERROR(LET(_xlpm.v,
VLOOKUP($A55,CS!$B:$N,COLUMN(CS!M$1),FALSE),
IF(_xlpm.v=0,"",_xlpm.v)
),"")</f>
        <v/>
      </c>
      <c r="H55" s="64" t="str">
        <f>IFERROR(LET(_xlpm.v,
VLOOKUP($A55,CS!$B:$H,COLUMN(CS!G$1),FALSE),
IF(_xlpm.v=0,"",_xlpm.v)
),"")</f>
        <v>攻撃手段:魔法 盲目+45 疲労+15 射程:10 範囲:炸裂 効果:設置</v>
      </c>
      <c r="I55" s="37" t="s">
        <v>4808</v>
      </c>
      <c r="L55" s="64"/>
      <c r="M55" s="64"/>
      <c r="N55" s="64"/>
      <c r="O55" s="64"/>
      <c r="P55" s="64"/>
      <c r="Q55" s="64"/>
      <c r="R55" s="64"/>
      <c r="S55" s="64"/>
      <c r="T55" s="64"/>
      <c r="U55" s="64"/>
      <c r="V55" s="64"/>
      <c r="W55" s="64"/>
      <c r="X55" s="64"/>
      <c r="Y55" s="64"/>
      <c r="AB55" s="37">
        <v>45.0</v>
      </c>
      <c r="BH55" s="64"/>
      <c r="BI55" s="64"/>
      <c r="BJ55" s="64"/>
      <c r="BK55" s="64"/>
      <c r="BL55" s="64"/>
      <c r="BM55" s="64"/>
      <c r="BN55" s="64"/>
      <c r="BO55" s="64"/>
      <c r="BP55" s="64"/>
      <c r="BQ55" s="64"/>
      <c r="BR55" s="64"/>
      <c r="CC55" s="37">
        <v>10.0</v>
      </c>
      <c r="CD55" s="37" t="s">
        <v>3099</v>
      </c>
      <c r="CG55" s="37" t="s">
        <v>5435</v>
      </c>
    </row>
    <row r="56" ht="18.75" customHeight="1" outlineLevel="1">
      <c r="A56" s="19" t="s">
        <v>348</v>
      </c>
      <c r="B56" s="37" t="str">
        <f>IFERROR(LET(_xlpm.v,
VLOOKUP($A56,CS!$B:$H,COLUMN(CS!B$1),FALSE),
IF(_xlpm.v=0,"",_xlpm.v)
),"")</f>
        <v>ファイアーストーム</v>
      </c>
      <c r="C56" s="37" t="str">
        <f>IFERROR(LET(_xlpm.v,
VLOOKUP($A56,CS!$B:$H,COLUMN(CS!C$1),FALSE),
IF(_xlpm.v=0,"",_xlpm.v)
),"")</f>
        <v>炎</v>
      </c>
      <c r="D56" s="37" t="str">
        <f>IFERROR(LET(_xlpm.v,
VLOOKUP($A56,CS!$B:$H,COLUMN(CS!D$1),FALSE),
IF(_xlpm.v=0,"",_xlpm.v)
),"")</f>
        <v>A</v>
      </c>
      <c r="E56" s="37" t="str">
        <f>IFERROR(LET(_xlpm.v,
VLOOKUP($A56,CS!$B:$H,COLUMN(CS!E$1),FALSE),
IF(_xlpm.v=0,"",_xlpm.v)
),"")</f>
        <v/>
      </c>
      <c r="F56" s="37">
        <f>IFERROR(LET(_xlpm.v,
VLOOKUP($A56,CS!$B:$H,COLUMN(CS!F$1),FALSE),
IF(_xlpm.v=0,"",_xlpm.v)
),"")</f>
        <v>60</v>
      </c>
      <c r="G56" s="122" t="str">
        <f>IFERROR(LET(_xlpm.v,
VLOOKUP($A56,CS!$B:$N,COLUMN(CS!M$1),FALSE),
IF(_xlpm.v=0,"",_xlpm.v)
),"")</f>
        <v/>
      </c>
      <c r="H56" s="64" t="str">
        <f>IFERROR(LET(_xlpm.v,
VLOOKUP($A56,CS!$B:$H,COLUMN(CS!G$1),FALSE),
IF(_xlpm.v=0,"",_xlpm.v)
),"")</f>
        <v>攻撃手段:魔法 特殊:攻撃 炎+115 射程:4 範囲:全体 判定:魔力</v>
      </c>
      <c r="I56" s="37" t="s">
        <v>4808</v>
      </c>
      <c r="L56" s="64"/>
      <c r="M56" s="64"/>
      <c r="N56" s="64"/>
      <c r="O56" s="64"/>
      <c r="P56" s="64"/>
      <c r="Q56" s="64"/>
      <c r="R56" s="64"/>
      <c r="S56" s="64"/>
      <c r="T56" s="64"/>
      <c r="U56" s="64">
        <v>115.0</v>
      </c>
      <c r="V56" s="64"/>
      <c r="W56" s="64"/>
      <c r="X56" s="64"/>
      <c r="Y56" s="64"/>
      <c r="BH56" s="64"/>
      <c r="BI56" s="64"/>
      <c r="BJ56" s="64"/>
      <c r="BK56" s="64"/>
      <c r="BL56" s="64"/>
      <c r="BM56" s="64"/>
      <c r="BN56" s="64"/>
      <c r="BO56" s="64"/>
      <c r="BP56" s="64"/>
      <c r="BQ56" s="64"/>
      <c r="BR56" s="64"/>
      <c r="CC56" s="37">
        <v>40.0</v>
      </c>
      <c r="CD56" s="37" t="s">
        <v>3064</v>
      </c>
      <c r="CK56" s="37" t="s">
        <v>2569</v>
      </c>
    </row>
    <row r="57" ht="18.75" customHeight="1" outlineLevel="1">
      <c r="A57" s="19" t="s">
        <v>5436</v>
      </c>
      <c r="B57" s="37" t="str">
        <f>IFERROR(LET(_xlpm.v,
VLOOKUP($A57,CS!$B:$H,COLUMN(CS!B$1),FALSE),
IF(_xlpm.v=0,"",_xlpm.v)
),"")</f>
        <v/>
      </c>
      <c r="C57" s="37" t="str">
        <f>IFERROR(LET(_xlpm.v,
VLOOKUP($A57,CS!$B:$H,COLUMN(CS!C$1),FALSE),
IF(_xlpm.v=0,"",_xlpm.v)
),"")</f>
        <v/>
      </c>
      <c r="D57" s="37" t="str">
        <f>IFERROR(LET(_xlpm.v,
VLOOKUP($A57,CS!$B:$H,COLUMN(CS!D$1),FALSE),
IF(_xlpm.v=0,"",_xlpm.v)
),"")</f>
        <v/>
      </c>
      <c r="E57" s="37" t="str">
        <f>IFERROR(LET(_xlpm.v,
VLOOKUP($A57,CS!$B:$H,COLUMN(CS!E$1),FALSE),
IF(_xlpm.v=0,"",_xlpm.v)
),"")</f>
        <v/>
      </c>
      <c r="F57" s="37" t="str">
        <f>IFERROR(LET(_xlpm.v,
VLOOKUP($A57,CS!$B:$H,COLUMN(CS!F$1),FALSE),
IF(_xlpm.v=0,"",_xlpm.v)
),"")</f>
        <v/>
      </c>
      <c r="G57" s="122" t="str">
        <f>IFERROR(LET(_xlpm.v,
VLOOKUP($A57,CS!$B:$N,COLUMN(CS!M$1),FALSE),
IF(_xlpm.v=0,"",_xlpm.v)
),"")</f>
        <v/>
      </c>
      <c r="H57" s="64" t="str">
        <f>IFERROR(LET(_xlpm.v,
VLOOKUP($A57,CS!$B:$H,COLUMN(CS!G$1),FALSE),
IF(_xlpm.v=0,"",_xlpm.v)
),"")</f>
        <v/>
      </c>
      <c r="I57" s="37" t="s">
        <v>4808</v>
      </c>
      <c r="L57" s="64">
        <v>35.0</v>
      </c>
      <c r="M57" s="64"/>
      <c r="N57" s="64"/>
      <c r="O57" s="64"/>
      <c r="P57" s="64"/>
      <c r="Q57" s="64"/>
      <c r="R57" s="64"/>
      <c r="S57" s="64"/>
      <c r="T57" s="64"/>
      <c r="U57" s="64"/>
      <c r="V57" s="64"/>
      <c r="W57" s="64"/>
      <c r="X57" s="64"/>
      <c r="Y57" s="64"/>
      <c r="BH57" s="64"/>
      <c r="BI57" s="64"/>
      <c r="BJ57" s="64"/>
      <c r="BK57" s="64"/>
      <c r="BL57" s="64"/>
      <c r="BM57" s="64"/>
      <c r="BN57" s="64"/>
      <c r="BO57" s="64"/>
      <c r="BP57" s="64"/>
      <c r="BQ57" s="64"/>
      <c r="BR57" s="64"/>
      <c r="CC57" s="37">
        <v>10.0</v>
      </c>
      <c r="CG57" s="37" t="s">
        <v>5437</v>
      </c>
    </row>
    <row r="58" ht="18.75" customHeight="1" outlineLevel="1">
      <c r="A58" s="19" t="s">
        <v>887</v>
      </c>
      <c r="B58" s="37" t="str">
        <f>IFERROR(LET(_xlpm.v,
VLOOKUP($A58,CS!$B:$H,COLUMN(CS!B$1),FALSE),
IF(_xlpm.v=0,"",_xlpm.v)
),"")</f>
        <v>リザレクション</v>
      </c>
      <c r="C58" s="37" t="str">
        <f>IFERROR(LET(_xlpm.v,
VLOOKUP($A58,CS!$B:$H,COLUMN(CS!C$1),FALSE),
IF(_xlpm.v=0,"",_xlpm.v)
),"")</f>
        <v>回復</v>
      </c>
      <c r="D58" s="37" t="str">
        <f>IFERROR(LET(_xlpm.v,
VLOOKUP($A58,CS!$B:$H,COLUMN(CS!D$1),FALSE),
IF(_xlpm.v=0,"",_xlpm.v)
),"")</f>
        <v>A</v>
      </c>
      <c r="E58" s="37" t="str">
        <f>IFERROR(LET(_xlpm.v,
VLOOKUP($A58,CS!$B:$H,COLUMN(CS!E$1),FALSE),
IF(_xlpm.v=0,"",_xlpm.v)
),"")</f>
        <v/>
      </c>
      <c r="F58" s="37">
        <f>IFERROR(LET(_xlpm.v,
VLOOKUP($A58,CS!$B:$H,COLUMN(CS!F$1),FALSE),
IF(_xlpm.v=0,"",_xlpm.v)
),"")</f>
        <v>60</v>
      </c>
      <c r="G58" s="122" t="str">
        <f>IFERROR(LET(_xlpm.v,
VLOOKUP($A58,CS!$B:$N,COLUMN(CS!M$1),FALSE),
IF(_xlpm.v=0,"",_xlpm.v)
),"")</f>
        <v/>
      </c>
      <c r="H58" s="64" t="str">
        <f>IFERROR(LET(_xlpm.v,
VLOOKUP($A58,CS!$B:$H,COLUMN(CS!G$1),FALSE),
IF(_xlpm.v=0,"",_xlpm.v)
),"")</f>
        <v>攻撃手段:魔法 特殊:攻撃 回復+75 効果:蘇生 (死亡状態を回復する) 判定:魔力</v>
      </c>
      <c r="I58" s="37" t="s">
        <v>4808</v>
      </c>
      <c r="L58" s="64">
        <v>75.0</v>
      </c>
      <c r="M58" s="64"/>
      <c r="N58" s="64"/>
      <c r="O58" s="64"/>
      <c r="P58" s="64"/>
      <c r="Q58" s="64"/>
      <c r="R58" s="64"/>
      <c r="S58" s="64"/>
      <c r="T58" s="64"/>
      <c r="U58" s="64"/>
      <c r="V58" s="64"/>
      <c r="W58" s="64"/>
      <c r="X58" s="64"/>
      <c r="Y58" s="64"/>
      <c r="BH58" s="64"/>
      <c r="BI58" s="64"/>
      <c r="BJ58" s="64"/>
      <c r="BK58" s="64"/>
      <c r="BL58" s="64"/>
      <c r="BM58" s="64"/>
      <c r="BN58" s="64"/>
      <c r="BO58" s="64"/>
      <c r="BP58" s="64"/>
      <c r="BQ58" s="64"/>
      <c r="BR58" s="64"/>
      <c r="CC58" s="37">
        <v>10.0</v>
      </c>
      <c r="CG58" s="37" t="s">
        <v>5438</v>
      </c>
    </row>
    <row r="59" ht="18.75" customHeight="1" outlineLevel="1">
      <c r="A59" s="19" t="s">
        <v>5439</v>
      </c>
      <c r="B59" s="37" t="str">
        <f>IFERROR(LET(_xlpm.v,
VLOOKUP($A59,CS!$B:$H,COLUMN(CS!B$1),FALSE),
IF(_xlpm.v=0,"",_xlpm.v)
),"")</f>
        <v/>
      </c>
      <c r="C59" s="37" t="str">
        <f>IFERROR(LET(_xlpm.v,
VLOOKUP($A59,CS!$B:$H,COLUMN(CS!C$1),FALSE),
IF(_xlpm.v=0,"",_xlpm.v)
),"")</f>
        <v/>
      </c>
      <c r="D59" s="37" t="str">
        <f>IFERROR(LET(_xlpm.v,
VLOOKUP($A59,CS!$B:$H,COLUMN(CS!D$1),FALSE),
IF(_xlpm.v=0,"",_xlpm.v)
),"")</f>
        <v/>
      </c>
      <c r="E59" s="37" t="str">
        <f>IFERROR(LET(_xlpm.v,
VLOOKUP($A59,CS!$B:$H,COLUMN(CS!E$1),FALSE),
IF(_xlpm.v=0,"",_xlpm.v)
),"")</f>
        <v/>
      </c>
      <c r="F59" s="37" t="str">
        <f>IFERROR(LET(_xlpm.v,
VLOOKUP($A59,CS!$B:$H,COLUMN(CS!F$1),FALSE),
IF(_xlpm.v=0,"",_xlpm.v)
),"")</f>
        <v/>
      </c>
      <c r="G59" s="122" t="str">
        <f>IFERROR(LET(_xlpm.v,
VLOOKUP($A59,CS!$B:$N,COLUMN(CS!M$1),FALSE),
IF(_xlpm.v=0,"",_xlpm.v)
),"")</f>
        <v/>
      </c>
      <c r="H59" s="64" t="str">
        <f>IFERROR(LET(_xlpm.v,
VLOOKUP($A59,CS!$B:$H,COLUMN(CS!G$1),FALSE),
IF(_xlpm.v=0,"",_xlpm.v)
),"")</f>
        <v/>
      </c>
      <c r="I59" s="37" t="s">
        <v>4808</v>
      </c>
      <c r="L59" s="64">
        <v>100.0</v>
      </c>
      <c r="M59" s="64"/>
      <c r="N59" s="64"/>
      <c r="O59" s="64"/>
      <c r="P59" s="64"/>
      <c r="Q59" s="64"/>
      <c r="R59" s="64"/>
      <c r="S59" s="64"/>
      <c r="T59" s="64"/>
      <c r="U59" s="64"/>
      <c r="V59" s="64"/>
      <c r="W59" s="64"/>
      <c r="X59" s="64"/>
      <c r="Y59" s="64"/>
      <c r="BH59" s="64"/>
      <c r="BI59" s="64"/>
      <c r="BJ59" s="64"/>
      <c r="BK59" s="64"/>
      <c r="BL59" s="64"/>
      <c r="BM59" s="64"/>
      <c r="BN59" s="64"/>
      <c r="BO59" s="64"/>
      <c r="BP59" s="64"/>
      <c r="BQ59" s="64"/>
      <c r="BR59" s="64"/>
      <c r="CC59" s="37">
        <v>20.0</v>
      </c>
      <c r="CG59" s="37" t="s">
        <v>5440</v>
      </c>
    </row>
    <row r="60" ht="18.75" customHeight="1" outlineLevel="1">
      <c r="A60" s="24" t="s">
        <v>5441</v>
      </c>
      <c r="B60" s="37" t="str">
        <f>IFERROR(LET(_xlpm.v,
VLOOKUP($A60,CS!$B:$H,COLUMN(CS!B$1),FALSE),
IF(_xlpm.v=0,"",_xlpm.v)
),"")</f>
        <v>平地</v>
      </c>
      <c r="C60" s="37" t="str">
        <f>IFERROR(LET(_xlpm.v,
VLOOKUP($A60,CS!$B:$H,COLUMN(CS!C$1),FALSE),
IF(_xlpm.v=0,"",_xlpm.v)
),"")</f>
        <v/>
      </c>
      <c r="D60" s="37" t="str">
        <f>IFERROR(LET(_xlpm.v,
VLOOKUP($A60,CS!$B:$H,COLUMN(CS!D$1),FALSE),
IF(_xlpm.v=0,"",_xlpm.v)
),"")</f>
        <v>A</v>
      </c>
      <c r="E60" s="37" t="str">
        <f>IFERROR(LET(_xlpm.v,
VLOOKUP($A60,CS!$B:$H,COLUMN(CS!E$1),FALSE),
IF(_xlpm.v=0,"",_xlpm.v)
),"")</f>
        <v/>
      </c>
      <c r="F60" s="37">
        <f>IFERROR(LET(_xlpm.v,
VLOOKUP($A60,CS!$B:$H,COLUMN(CS!F$1),FALSE),
IF(_xlpm.v=0,"",_xlpm.v)
),"")</f>
        <v>50</v>
      </c>
      <c r="G60" s="122" t="str">
        <f>IFERROR(LET(_xlpm.v,
VLOOKUP($A60,CS!$B:$N,COLUMN(CS!M$1),FALSE),
IF(_xlpm.v=0,"",_xlpm.v)
),"")</f>
        <v/>
      </c>
      <c r="H60" s="64" t="str">
        <f>IFERROR(LET(_xlpm.v,
VLOOKUP($A60,CS!$B:$H,COLUMN(CS!G$1),FALSE),
IF(_xlpm.v=0,"",_xlpm.v)
),"")</f>
        <v>攻撃手段:魔法 効果:平地_変換 射程:20</v>
      </c>
      <c r="I60" s="37" t="s">
        <v>4808</v>
      </c>
      <c r="L60" s="64"/>
      <c r="M60" s="64"/>
      <c r="N60" s="64"/>
      <c r="O60" s="64"/>
      <c r="P60" s="64"/>
      <c r="Q60" s="64"/>
      <c r="R60" s="64"/>
      <c r="S60" s="64"/>
      <c r="T60" s="64"/>
      <c r="U60" s="64"/>
      <c r="V60" s="64"/>
      <c r="W60" s="64"/>
      <c r="X60" s="64"/>
      <c r="Y60" s="64"/>
      <c r="BH60" s="64"/>
      <c r="BI60" s="64"/>
      <c r="BJ60" s="64"/>
      <c r="BK60" s="64"/>
      <c r="BL60" s="64"/>
      <c r="BM60" s="64"/>
      <c r="BN60" s="64"/>
      <c r="BO60" s="64"/>
      <c r="BP60" s="64"/>
      <c r="BQ60" s="64"/>
      <c r="BR60" s="64"/>
      <c r="CC60" s="37">
        <v>20.0</v>
      </c>
      <c r="CG60" s="37" t="s">
        <v>5442</v>
      </c>
    </row>
    <row r="61" ht="18.75" customHeight="1" outlineLevel="1">
      <c r="A61" s="24" t="s">
        <v>5443</v>
      </c>
      <c r="B61" s="37" t="str">
        <f>IFERROR(LET(_xlpm.v,
VLOOKUP($A61,CS!$B:$H,COLUMN(CS!B$1),FALSE),
IF(_xlpm.v=0,"",_xlpm.v)
),"")</f>
        <v>森</v>
      </c>
      <c r="C61" s="37" t="str">
        <f>IFERROR(LET(_xlpm.v,
VLOOKUP($A61,CS!$B:$H,COLUMN(CS!C$1),FALSE),
IF(_xlpm.v=0,"",_xlpm.v)
),"")</f>
        <v/>
      </c>
      <c r="D61" s="37" t="str">
        <f>IFERROR(LET(_xlpm.v,
VLOOKUP($A61,CS!$B:$H,COLUMN(CS!D$1),FALSE),
IF(_xlpm.v=0,"",_xlpm.v)
),"")</f>
        <v>A</v>
      </c>
      <c r="E61" s="37" t="str">
        <f>IFERROR(LET(_xlpm.v,
VLOOKUP($A61,CS!$B:$H,COLUMN(CS!E$1),FALSE),
IF(_xlpm.v=0,"",_xlpm.v)
),"")</f>
        <v/>
      </c>
      <c r="F61" s="37">
        <f>IFERROR(LET(_xlpm.v,
VLOOKUP($A61,CS!$B:$H,COLUMN(CS!F$1),FALSE),
IF(_xlpm.v=0,"",_xlpm.v)
),"")</f>
        <v>50</v>
      </c>
      <c r="G61" s="122" t="str">
        <f>IFERROR(LET(_xlpm.v,
VLOOKUP($A61,CS!$B:$N,COLUMN(CS!M$1),FALSE),
IF(_xlpm.v=0,"",_xlpm.v)
),"")</f>
        <v/>
      </c>
      <c r="H61" s="64" t="str">
        <f>IFERROR(LET(_xlpm.v,
VLOOKUP($A61,CS!$B:$H,COLUMN(CS!G$1),FALSE),
IF(_xlpm.v=0,"",_xlpm.v)
),"")</f>
        <v>攻撃手段:魔法 効果:森_変換 射程:20</v>
      </c>
      <c r="I61" s="37" t="s">
        <v>4808</v>
      </c>
      <c r="L61" s="64"/>
      <c r="M61" s="64"/>
      <c r="N61" s="64"/>
      <c r="O61" s="64"/>
      <c r="P61" s="64"/>
      <c r="Q61" s="64"/>
      <c r="R61" s="64"/>
      <c r="S61" s="64"/>
      <c r="T61" s="64"/>
      <c r="U61" s="64"/>
      <c r="V61" s="64"/>
      <c r="W61" s="64"/>
      <c r="X61" s="64"/>
      <c r="Y61" s="64"/>
      <c r="BH61" s="64"/>
      <c r="BI61" s="64"/>
      <c r="BJ61" s="64"/>
      <c r="BK61" s="64"/>
      <c r="BL61" s="64"/>
      <c r="BM61" s="64"/>
      <c r="BN61" s="64"/>
      <c r="BO61" s="64"/>
      <c r="BP61" s="64"/>
      <c r="BQ61" s="64"/>
      <c r="BR61" s="64"/>
      <c r="CC61" s="37">
        <v>20.0</v>
      </c>
      <c r="CG61" s="37" t="s">
        <v>5444</v>
      </c>
    </row>
    <row r="62" ht="18.75" customHeight="1" outlineLevel="1">
      <c r="A62" s="24" t="s">
        <v>5445</v>
      </c>
      <c r="B62" s="37" t="str">
        <f>IFERROR(LET(_xlpm.v,
VLOOKUP($A62,CS!$B:$H,COLUMN(CS!B$1),FALSE),
IF(_xlpm.v=0,"",_xlpm.v)
),"")</f>
        <v>山岳</v>
      </c>
      <c r="C62" s="37" t="str">
        <f>IFERROR(LET(_xlpm.v,
VLOOKUP($A62,CS!$B:$H,COLUMN(CS!C$1),FALSE),
IF(_xlpm.v=0,"",_xlpm.v)
),"")</f>
        <v/>
      </c>
      <c r="D62" s="37" t="str">
        <f>IFERROR(LET(_xlpm.v,
VLOOKUP($A62,CS!$B:$H,COLUMN(CS!D$1),FALSE),
IF(_xlpm.v=0,"",_xlpm.v)
),"")</f>
        <v>A</v>
      </c>
      <c r="E62" s="37" t="str">
        <f>IFERROR(LET(_xlpm.v,
VLOOKUP($A62,CS!$B:$H,COLUMN(CS!E$1),FALSE),
IF(_xlpm.v=0,"",_xlpm.v)
),"")</f>
        <v/>
      </c>
      <c r="F62" s="37">
        <f>IFERROR(LET(_xlpm.v,
VLOOKUP($A62,CS!$B:$H,COLUMN(CS!F$1),FALSE),
IF(_xlpm.v=0,"",_xlpm.v)
),"")</f>
        <v>50</v>
      </c>
      <c r="G62" s="122" t="str">
        <f>IFERROR(LET(_xlpm.v,
VLOOKUP($A62,CS!$B:$N,COLUMN(CS!M$1),FALSE),
IF(_xlpm.v=0,"",_xlpm.v)
),"")</f>
        <v/>
      </c>
      <c r="H62" s="64" t="str">
        <f>IFERROR(LET(_xlpm.v,
VLOOKUP($A62,CS!$B:$H,COLUMN(CS!G$1),FALSE),
IF(_xlpm.v=0,"",_xlpm.v)
),"")</f>
        <v>攻撃手段:魔法 効果:山岳_変換 射程:20</v>
      </c>
      <c r="I62" s="37" t="s">
        <v>4808</v>
      </c>
      <c r="L62" s="64"/>
      <c r="M62" s="64"/>
      <c r="N62" s="64"/>
      <c r="O62" s="64"/>
      <c r="P62" s="64"/>
      <c r="Q62" s="64"/>
      <c r="R62" s="64"/>
      <c r="S62" s="64"/>
      <c r="T62" s="64"/>
      <c r="U62" s="64"/>
      <c r="V62" s="64"/>
      <c r="W62" s="64"/>
      <c r="X62" s="64"/>
      <c r="Y62" s="64"/>
      <c r="BH62" s="64"/>
      <c r="BI62" s="64"/>
      <c r="BJ62" s="64"/>
      <c r="BK62" s="64"/>
      <c r="BL62" s="64"/>
      <c r="BM62" s="64"/>
      <c r="BN62" s="64"/>
      <c r="BO62" s="64"/>
      <c r="BP62" s="64"/>
      <c r="BQ62" s="64"/>
      <c r="BR62" s="64"/>
      <c r="CC62" s="37">
        <v>20.0</v>
      </c>
      <c r="CG62" s="37" t="s">
        <v>5446</v>
      </c>
    </row>
    <row r="63" ht="18.75" customHeight="1" outlineLevel="1">
      <c r="A63" s="24" t="s">
        <v>5447</v>
      </c>
      <c r="B63" s="37" t="str">
        <f>IFERROR(LET(_xlpm.v,
VLOOKUP($A63,CS!$B:$H,COLUMN(CS!B$1),FALSE),
IF(_xlpm.v=0,"",_xlpm.v)
),"")</f>
        <v>丘陵</v>
      </c>
      <c r="C63" s="37" t="str">
        <f>IFERROR(LET(_xlpm.v,
VLOOKUP($A63,CS!$B:$H,COLUMN(CS!C$1),FALSE),
IF(_xlpm.v=0,"",_xlpm.v)
),"")</f>
        <v/>
      </c>
      <c r="D63" s="37" t="str">
        <f>IFERROR(LET(_xlpm.v,
VLOOKUP($A63,CS!$B:$H,COLUMN(CS!D$1),FALSE),
IF(_xlpm.v=0,"",_xlpm.v)
),"")</f>
        <v>A</v>
      </c>
      <c r="E63" s="37" t="str">
        <f>IFERROR(LET(_xlpm.v,
VLOOKUP($A63,CS!$B:$H,COLUMN(CS!E$1),FALSE),
IF(_xlpm.v=0,"",_xlpm.v)
),"")</f>
        <v/>
      </c>
      <c r="F63" s="37">
        <f>IFERROR(LET(_xlpm.v,
VLOOKUP($A63,CS!$B:$H,COLUMN(CS!F$1),FALSE),
IF(_xlpm.v=0,"",_xlpm.v)
),"")</f>
        <v>50</v>
      </c>
      <c r="G63" s="122" t="str">
        <f>IFERROR(LET(_xlpm.v,
VLOOKUP($A63,CS!$B:$N,COLUMN(CS!M$1),FALSE),
IF(_xlpm.v=0,"",_xlpm.v)
),"")</f>
        <v/>
      </c>
      <c r="H63" s="64" t="str">
        <f>IFERROR(LET(_xlpm.v,
VLOOKUP($A63,CS!$B:$H,COLUMN(CS!G$1),FALSE),
IF(_xlpm.v=0,"",_xlpm.v)
),"")</f>
        <v>攻撃手段:魔法 効果:丘陵_変換 射程:20</v>
      </c>
      <c r="I63" s="37" t="s">
        <v>4808</v>
      </c>
      <c r="L63" s="64"/>
      <c r="M63" s="64"/>
      <c r="N63" s="64"/>
      <c r="O63" s="64"/>
      <c r="P63" s="64"/>
      <c r="Q63" s="64"/>
      <c r="R63" s="64"/>
      <c r="S63" s="64"/>
      <c r="T63" s="64"/>
      <c r="U63" s="64"/>
      <c r="V63" s="64"/>
      <c r="W63" s="64"/>
      <c r="X63" s="64"/>
      <c r="Y63" s="64"/>
      <c r="BH63" s="64"/>
      <c r="BI63" s="64"/>
      <c r="BJ63" s="64"/>
      <c r="BK63" s="64"/>
      <c r="BL63" s="64"/>
      <c r="BM63" s="64"/>
      <c r="BN63" s="64"/>
      <c r="BO63" s="64"/>
      <c r="BP63" s="64"/>
      <c r="BQ63" s="64"/>
      <c r="BR63" s="64"/>
      <c r="CC63" s="37">
        <v>20.0</v>
      </c>
      <c r="CG63" s="37" t="s">
        <v>5448</v>
      </c>
    </row>
    <row r="64" ht="18.75" customHeight="1" outlineLevel="1">
      <c r="A64" s="24" t="s">
        <v>5449</v>
      </c>
      <c r="B64" s="37" t="str">
        <f>IFERROR(LET(_xlpm.v,
VLOOKUP($A64,CS!$B:$H,COLUMN(CS!B$1),FALSE),
IF(_xlpm.v=0,"",_xlpm.v)
),"")</f>
        <v>河川</v>
      </c>
      <c r="C64" s="37" t="str">
        <f>IFERROR(LET(_xlpm.v,
VLOOKUP($A64,CS!$B:$H,COLUMN(CS!C$1),FALSE),
IF(_xlpm.v=0,"",_xlpm.v)
),"")</f>
        <v/>
      </c>
      <c r="D64" s="37" t="str">
        <f>IFERROR(LET(_xlpm.v,
VLOOKUP($A64,CS!$B:$H,COLUMN(CS!D$1),FALSE),
IF(_xlpm.v=0,"",_xlpm.v)
),"")</f>
        <v>A</v>
      </c>
      <c r="E64" s="37" t="str">
        <f>IFERROR(LET(_xlpm.v,
VLOOKUP($A64,CS!$B:$H,COLUMN(CS!E$1),FALSE),
IF(_xlpm.v=0,"",_xlpm.v)
),"")</f>
        <v/>
      </c>
      <c r="F64" s="37">
        <f>IFERROR(LET(_xlpm.v,
VLOOKUP($A64,CS!$B:$H,COLUMN(CS!F$1),FALSE),
IF(_xlpm.v=0,"",_xlpm.v)
),"")</f>
        <v>50</v>
      </c>
      <c r="G64" s="122" t="str">
        <f>IFERROR(LET(_xlpm.v,
VLOOKUP($A64,CS!$B:$N,COLUMN(CS!M$1),FALSE),
IF(_xlpm.v=0,"",_xlpm.v)
),"")</f>
        <v/>
      </c>
      <c r="H64" s="64" t="str">
        <f>IFERROR(LET(_xlpm.v,
VLOOKUP($A64,CS!$B:$H,COLUMN(CS!G$1),FALSE),
IF(_xlpm.v=0,"",_xlpm.v)
),"")</f>
        <v>攻撃手段:魔法 効果:河川_変換 射程:20</v>
      </c>
      <c r="I64" s="37" t="s">
        <v>4808</v>
      </c>
      <c r="L64" s="64"/>
      <c r="M64" s="64"/>
      <c r="N64" s="64"/>
      <c r="O64" s="64"/>
      <c r="P64" s="64"/>
      <c r="Q64" s="64"/>
      <c r="R64" s="64"/>
      <c r="S64" s="64"/>
      <c r="T64" s="64"/>
      <c r="U64" s="64"/>
      <c r="V64" s="64"/>
      <c r="W64" s="64"/>
      <c r="X64" s="64"/>
      <c r="Y64" s="64"/>
      <c r="BH64" s="64"/>
      <c r="BI64" s="64"/>
      <c r="BJ64" s="64"/>
      <c r="BK64" s="64"/>
      <c r="BL64" s="64"/>
      <c r="BM64" s="64"/>
      <c r="BN64" s="64"/>
      <c r="BO64" s="64"/>
      <c r="BP64" s="64"/>
      <c r="BQ64" s="64"/>
      <c r="BR64" s="64"/>
      <c r="CC64" s="37">
        <v>20.0</v>
      </c>
      <c r="CG64" s="37" t="s">
        <v>5450</v>
      </c>
    </row>
    <row r="65" ht="18.75" customHeight="1" outlineLevel="1">
      <c r="A65" s="24" t="s">
        <v>5451</v>
      </c>
      <c r="B65" s="37" t="str">
        <f>IFERROR(LET(_xlpm.v,
VLOOKUP($A65,CS!$B:$H,COLUMN(CS!B$1),FALSE),
IF(_xlpm.v=0,"",_xlpm.v)
),"")</f>
        <v>湖</v>
      </c>
      <c r="C65" s="37" t="str">
        <f>IFERROR(LET(_xlpm.v,
VLOOKUP($A65,CS!$B:$H,COLUMN(CS!C$1),FALSE),
IF(_xlpm.v=0,"",_xlpm.v)
),"")</f>
        <v/>
      </c>
      <c r="D65" s="37" t="str">
        <f>IFERROR(LET(_xlpm.v,
VLOOKUP($A65,CS!$B:$H,COLUMN(CS!D$1),FALSE),
IF(_xlpm.v=0,"",_xlpm.v)
),"")</f>
        <v>A</v>
      </c>
      <c r="E65" s="37" t="str">
        <f>IFERROR(LET(_xlpm.v,
VLOOKUP($A65,CS!$B:$H,COLUMN(CS!E$1),FALSE),
IF(_xlpm.v=0,"",_xlpm.v)
),"")</f>
        <v/>
      </c>
      <c r="F65" s="37">
        <f>IFERROR(LET(_xlpm.v,
VLOOKUP($A65,CS!$B:$H,COLUMN(CS!F$1),FALSE),
IF(_xlpm.v=0,"",_xlpm.v)
),"")</f>
        <v>50</v>
      </c>
      <c r="G65" s="122" t="str">
        <f>IFERROR(LET(_xlpm.v,
VLOOKUP($A65,CS!$B:$N,COLUMN(CS!M$1),FALSE),
IF(_xlpm.v=0,"",_xlpm.v)
),"")</f>
        <v/>
      </c>
      <c r="H65" s="64" t="str">
        <f>IFERROR(LET(_xlpm.v,
VLOOKUP($A65,CS!$B:$H,COLUMN(CS!G$1),FALSE),
IF(_xlpm.v=0,"",_xlpm.v)
),"")</f>
        <v>攻撃手段:魔法 効果:湖_変換 射程:20 炸裂:10</v>
      </c>
      <c r="I65" s="37" t="s">
        <v>4808</v>
      </c>
      <c r="L65" s="64"/>
      <c r="M65" s="64"/>
      <c r="N65" s="64"/>
      <c r="O65" s="64"/>
      <c r="P65" s="64"/>
      <c r="Q65" s="64"/>
      <c r="R65" s="64"/>
      <c r="S65" s="64"/>
      <c r="T65" s="64"/>
      <c r="U65" s="64"/>
      <c r="V65" s="64"/>
      <c r="W65" s="64"/>
      <c r="X65" s="64"/>
      <c r="Y65" s="64"/>
      <c r="BH65" s="64"/>
      <c r="BI65" s="64"/>
      <c r="BJ65" s="64"/>
      <c r="BK65" s="64"/>
      <c r="BL65" s="64"/>
      <c r="BM65" s="64"/>
      <c r="BN65" s="64"/>
      <c r="BO65" s="64"/>
      <c r="BP65" s="64"/>
      <c r="BQ65" s="64"/>
      <c r="BR65" s="64"/>
      <c r="CC65" s="37">
        <v>20.0</v>
      </c>
      <c r="CE65" s="37">
        <v>10.0</v>
      </c>
      <c r="CG65" s="37" t="s">
        <v>5452</v>
      </c>
    </row>
    <row r="66" ht="18.75" customHeight="1" outlineLevel="1">
      <c r="A66" s="24" t="s">
        <v>5453</v>
      </c>
      <c r="B66" s="37" t="str">
        <f>IFERROR(LET(_xlpm.v,
VLOOKUP($A66,CS!$B:$H,COLUMN(CS!B$1),FALSE),
IF(_xlpm.v=0,"",_xlpm.v)
),"")</f>
        <v>海</v>
      </c>
      <c r="C66" s="37" t="str">
        <f>IFERROR(LET(_xlpm.v,
VLOOKUP($A66,CS!$B:$H,COLUMN(CS!C$1),FALSE),
IF(_xlpm.v=0,"",_xlpm.v)
),"")</f>
        <v/>
      </c>
      <c r="D66" s="37" t="str">
        <f>IFERROR(LET(_xlpm.v,
VLOOKUP($A66,CS!$B:$H,COLUMN(CS!D$1),FALSE),
IF(_xlpm.v=0,"",_xlpm.v)
),"")</f>
        <v>A</v>
      </c>
      <c r="E66" s="37" t="str">
        <f>IFERROR(LET(_xlpm.v,
VLOOKUP($A66,CS!$B:$H,COLUMN(CS!E$1),FALSE),
IF(_xlpm.v=0,"",_xlpm.v)
),"")</f>
        <v/>
      </c>
      <c r="F66" s="37">
        <f>IFERROR(LET(_xlpm.v,
VLOOKUP($A66,CS!$B:$H,COLUMN(CS!F$1),FALSE),
IF(_xlpm.v=0,"",_xlpm.v)
),"")</f>
        <v>50</v>
      </c>
      <c r="G66" s="122" t="str">
        <f>IFERROR(LET(_xlpm.v,
VLOOKUP($A66,CS!$B:$N,COLUMN(CS!M$1),FALSE),
IF(_xlpm.v=0,"",_xlpm.v)
),"")</f>
        <v/>
      </c>
      <c r="H66" s="64" t="str">
        <f>IFERROR(LET(_xlpm.v,
VLOOKUP($A66,CS!$B:$H,COLUMN(CS!G$1),FALSE),
IF(_xlpm.v=0,"",_xlpm.v)
),"")</f>
        <v>攻撃手段:魔法 効果:海_変換 射程:20</v>
      </c>
      <c r="I66" s="37" t="s">
        <v>4808</v>
      </c>
      <c r="L66" s="64"/>
      <c r="M66" s="64"/>
      <c r="N66" s="64"/>
      <c r="O66" s="64"/>
      <c r="P66" s="64"/>
      <c r="Q66" s="64"/>
      <c r="R66" s="64"/>
      <c r="S66" s="64"/>
      <c r="T66" s="64"/>
      <c r="U66" s="64"/>
      <c r="V66" s="64"/>
      <c r="W66" s="64"/>
      <c r="X66" s="64"/>
      <c r="Y66" s="64"/>
      <c r="BH66" s="64"/>
      <c r="BI66" s="64"/>
      <c r="BJ66" s="64"/>
      <c r="BK66" s="64"/>
      <c r="BL66" s="64"/>
      <c r="BM66" s="64"/>
      <c r="BN66" s="64"/>
      <c r="BO66" s="64"/>
      <c r="BP66" s="64"/>
      <c r="BQ66" s="64"/>
      <c r="BR66" s="64"/>
      <c r="CC66" s="37">
        <v>20.0</v>
      </c>
      <c r="CG66" s="37" t="s">
        <v>5454</v>
      </c>
    </row>
    <row r="67" ht="18.75" customHeight="1" outlineLevel="1">
      <c r="A67" s="24" t="s">
        <v>5455</v>
      </c>
      <c r="B67" s="37" t="str">
        <f>IFERROR(LET(_xlpm.v,
VLOOKUP($A67,CS!$B:$H,COLUMN(CS!B$1),FALSE),
IF(_xlpm.v=0,"",_xlpm.v)
),"")</f>
        <v>砂漠</v>
      </c>
      <c r="C67" s="37" t="str">
        <f>IFERROR(LET(_xlpm.v,
VLOOKUP($A67,CS!$B:$H,COLUMN(CS!C$1),FALSE),
IF(_xlpm.v=0,"",_xlpm.v)
),"")</f>
        <v/>
      </c>
      <c r="D67" s="37" t="str">
        <f>IFERROR(LET(_xlpm.v,
VLOOKUP($A67,CS!$B:$H,COLUMN(CS!D$1),FALSE),
IF(_xlpm.v=0,"",_xlpm.v)
),"")</f>
        <v>A</v>
      </c>
      <c r="E67" s="37" t="str">
        <f>IFERROR(LET(_xlpm.v,
VLOOKUP($A67,CS!$B:$H,COLUMN(CS!E$1),FALSE),
IF(_xlpm.v=0,"",_xlpm.v)
),"")</f>
        <v/>
      </c>
      <c r="F67" s="37">
        <f>IFERROR(LET(_xlpm.v,
VLOOKUP($A67,CS!$B:$H,COLUMN(CS!F$1),FALSE),
IF(_xlpm.v=0,"",_xlpm.v)
),"")</f>
        <v>50</v>
      </c>
      <c r="G67" s="122" t="str">
        <f>IFERROR(LET(_xlpm.v,
VLOOKUP($A67,CS!$B:$N,COLUMN(CS!M$1),FALSE),
IF(_xlpm.v=0,"",_xlpm.v)
),"")</f>
        <v/>
      </c>
      <c r="H67" s="64" t="str">
        <f>IFERROR(LET(_xlpm.v,
VLOOKUP($A67,CS!$B:$H,COLUMN(CS!G$1),FALSE),
IF(_xlpm.v=0,"",_xlpm.v)
),"")</f>
        <v>攻撃手段:魔法 効果:砂漠_変換 射程:20</v>
      </c>
      <c r="I67" s="37" t="s">
        <v>4808</v>
      </c>
      <c r="L67" s="64"/>
      <c r="M67" s="64"/>
      <c r="N67" s="64"/>
      <c r="O67" s="64"/>
      <c r="P67" s="64"/>
      <c r="Q67" s="64"/>
      <c r="R67" s="64"/>
      <c r="S67" s="64"/>
      <c r="T67" s="64"/>
      <c r="U67" s="64"/>
      <c r="V67" s="64"/>
      <c r="W67" s="64"/>
      <c r="X67" s="64"/>
      <c r="Y67" s="64"/>
      <c r="BH67" s="64"/>
      <c r="BI67" s="64"/>
      <c r="BJ67" s="64"/>
      <c r="BK67" s="64"/>
      <c r="BL67" s="64"/>
      <c r="BM67" s="64"/>
      <c r="BN67" s="64"/>
      <c r="BO67" s="64"/>
      <c r="BP67" s="64"/>
      <c r="BQ67" s="64"/>
      <c r="BR67" s="64"/>
      <c r="CC67" s="37">
        <v>20.0</v>
      </c>
      <c r="CG67" s="37" t="s">
        <v>5456</v>
      </c>
    </row>
    <row r="68" ht="18.75" customHeight="1" outlineLevel="1">
      <c r="A68" s="24" t="s">
        <v>5457</v>
      </c>
      <c r="B68" s="37" t="str">
        <f>IFERROR(LET(_xlpm.v,
VLOOKUP($A68,CS!$B:$H,COLUMN(CS!B$1),FALSE),
IF(_xlpm.v=0,"",_xlpm.v)
),"")</f>
        <v>沼地</v>
      </c>
      <c r="C68" s="37" t="str">
        <f>IFERROR(LET(_xlpm.v,
VLOOKUP($A68,CS!$B:$H,COLUMN(CS!C$1),FALSE),
IF(_xlpm.v=0,"",_xlpm.v)
),"")</f>
        <v/>
      </c>
      <c r="D68" s="37" t="str">
        <f>IFERROR(LET(_xlpm.v,
VLOOKUP($A68,CS!$B:$H,COLUMN(CS!D$1),FALSE),
IF(_xlpm.v=0,"",_xlpm.v)
),"")</f>
        <v>A</v>
      </c>
      <c r="E68" s="37" t="str">
        <f>IFERROR(LET(_xlpm.v,
VLOOKUP($A68,CS!$B:$H,COLUMN(CS!E$1),FALSE),
IF(_xlpm.v=0,"",_xlpm.v)
),"")</f>
        <v/>
      </c>
      <c r="F68" s="37">
        <f>IFERROR(LET(_xlpm.v,
VLOOKUP($A68,CS!$B:$H,COLUMN(CS!F$1),FALSE),
IF(_xlpm.v=0,"",_xlpm.v)
),"")</f>
        <v>50</v>
      </c>
      <c r="G68" s="122" t="str">
        <f>IFERROR(LET(_xlpm.v,
VLOOKUP($A68,CS!$B:$N,COLUMN(CS!M$1),FALSE),
IF(_xlpm.v=0,"",_xlpm.v)
),"")</f>
        <v/>
      </c>
      <c r="H68" s="64" t="str">
        <f>IFERROR(LET(_xlpm.v,
VLOOKUP($A68,CS!$B:$H,COLUMN(CS!G$1),FALSE),
IF(_xlpm.v=0,"",_xlpm.v)
),"")</f>
        <v>攻撃手段:魔法 効果:沼地_変換 射程:20</v>
      </c>
      <c r="I68" s="37" t="s">
        <v>4808</v>
      </c>
      <c r="L68" s="64"/>
      <c r="M68" s="64"/>
      <c r="N68" s="64"/>
      <c r="O68" s="64"/>
      <c r="P68" s="64"/>
      <c r="Q68" s="64"/>
      <c r="R68" s="64"/>
      <c r="S68" s="64"/>
      <c r="T68" s="64"/>
      <c r="U68" s="64"/>
      <c r="V68" s="64"/>
      <c r="W68" s="64"/>
      <c r="X68" s="64"/>
      <c r="Y68" s="64"/>
      <c r="BH68" s="64"/>
      <c r="BI68" s="64"/>
      <c r="BJ68" s="64"/>
      <c r="BK68" s="64"/>
      <c r="BL68" s="64"/>
      <c r="BM68" s="64"/>
      <c r="BN68" s="64"/>
      <c r="BO68" s="64"/>
      <c r="BP68" s="64"/>
      <c r="BQ68" s="64"/>
      <c r="BR68" s="64"/>
      <c r="CC68" s="37">
        <v>20.0</v>
      </c>
      <c r="CG68" s="37" t="s">
        <v>5458</v>
      </c>
    </row>
    <row r="69" ht="18.75" customHeight="1" outlineLevel="1">
      <c r="A69" s="24" t="s">
        <v>5459</v>
      </c>
      <c r="B69" s="37" t="str">
        <f>IFERROR(LET(_xlpm.v,
VLOOKUP($A69,CS!$B:$H,COLUMN(CS!B$1),FALSE),
IF(_xlpm.v=0,"",_xlpm.v)
),"")</f>
        <v>薬草繁茂</v>
      </c>
      <c r="C69" s="37" t="str">
        <f>IFERROR(LET(_xlpm.v,
VLOOKUP($A69,CS!$B:$H,COLUMN(CS!C$1),FALSE),
IF(_xlpm.v=0,"",_xlpm.v)
),"")</f>
        <v/>
      </c>
      <c r="D69" s="37" t="str">
        <f>IFERROR(LET(_xlpm.v,
VLOOKUP($A69,CS!$B:$H,COLUMN(CS!D$1),FALSE),
IF(_xlpm.v=0,"",_xlpm.v)
),"")</f>
        <v>A</v>
      </c>
      <c r="E69" s="37" t="str">
        <f>IFERROR(LET(_xlpm.v,
VLOOKUP($A69,CS!$B:$H,COLUMN(CS!E$1),FALSE),
IF(_xlpm.v=0,"",_xlpm.v)
),"")</f>
        <v/>
      </c>
      <c r="F69" s="37">
        <f>IFERROR(LET(_xlpm.v,
VLOOKUP($A69,CS!$B:$H,COLUMN(CS!F$1),FALSE),
IF(_xlpm.v=0,"",_xlpm.v)
),"")</f>
        <v>50</v>
      </c>
      <c r="G69" s="122" t="str">
        <f>IFERROR(LET(_xlpm.v,
VLOOKUP($A69,CS!$B:$N,COLUMN(CS!M$1),FALSE),
IF(_xlpm.v=0,"",_xlpm.v)
),"")</f>
        <v/>
      </c>
      <c r="H69" s="64" t="str">
        <f>IFERROR(LET(_xlpm.v,
VLOOKUP($A69,CS!$B:$H,COLUMN(CS!G$1),FALSE),
IF(_xlpm.v=0,"",_xlpm.v)
),"")</f>
        <v>攻撃手段:魔法 効果:薬草繁茂_変換 射程:20</v>
      </c>
      <c r="I69" s="37" t="s">
        <v>4808</v>
      </c>
      <c r="L69" s="64"/>
      <c r="M69" s="64"/>
      <c r="N69" s="64"/>
      <c r="O69" s="64"/>
      <c r="P69" s="64"/>
      <c r="Q69" s="64"/>
      <c r="R69" s="64"/>
      <c r="S69" s="64"/>
      <c r="T69" s="64"/>
      <c r="U69" s="64"/>
      <c r="V69" s="64"/>
      <c r="W69" s="64"/>
      <c r="X69" s="64"/>
      <c r="Y69" s="64"/>
      <c r="BH69" s="64"/>
      <c r="BI69" s="64"/>
      <c r="BJ69" s="64"/>
      <c r="BK69" s="64"/>
      <c r="BL69" s="64"/>
      <c r="BM69" s="64"/>
      <c r="BN69" s="64"/>
      <c r="BO69" s="64"/>
      <c r="BP69" s="64"/>
      <c r="BQ69" s="64"/>
      <c r="BR69" s="64"/>
      <c r="CC69" s="37">
        <v>20.0</v>
      </c>
      <c r="CG69" s="37" t="s">
        <v>5460</v>
      </c>
    </row>
    <row r="70" ht="18.75" customHeight="1" outlineLevel="1">
      <c r="A70" s="24" t="s">
        <v>5461</v>
      </c>
      <c r="B70" s="37" t="str">
        <f>IFERROR(LET(_xlpm.v,
VLOOKUP($A70,CS!$B:$H,COLUMN(CS!B$1),FALSE),
IF(_xlpm.v=0,"",_xlpm.v)
),"")</f>
        <v>峡谷</v>
      </c>
      <c r="C70" s="37" t="str">
        <f>IFERROR(LET(_xlpm.v,
VLOOKUP($A70,CS!$B:$H,COLUMN(CS!C$1),FALSE),
IF(_xlpm.v=0,"",_xlpm.v)
),"")</f>
        <v/>
      </c>
      <c r="D70" s="37" t="str">
        <f>IFERROR(LET(_xlpm.v,
VLOOKUP($A70,CS!$B:$H,COLUMN(CS!D$1),FALSE),
IF(_xlpm.v=0,"",_xlpm.v)
),"")</f>
        <v>A</v>
      </c>
      <c r="E70" s="37" t="str">
        <f>IFERROR(LET(_xlpm.v,
VLOOKUP($A70,CS!$B:$H,COLUMN(CS!E$1),FALSE),
IF(_xlpm.v=0,"",_xlpm.v)
),"")</f>
        <v/>
      </c>
      <c r="F70" s="37">
        <f>IFERROR(LET(_xlpm.v,
VLOOKUP($A70,CS!$B:$H,COLUMN(CS!F$1),FALSE),
IF(_xlpm.v=0,"",_xlpm.v)
),"")</f>
        <v>50</v>
      </c>
      <c r="G70" s="122" t="str">
        <f>IFERROR(LET(_xlpm.v,
VLOOKUP($A70,CS!$B:$N,COLUMN(CS!M$1),FALSE),
IF(_xlpm.v=0,"",_xlpm.v)
),"")</f>
        <v/>
      </c>
      <c r="H70" s="64" t="str">
        <f>IFERROR(LET(_xlpm.v,
VLOOKUP($A70,CS!$B:$H,COLUMN(CS!G$1),FALSE),
IF(_xlpm.v=0,"",_xlpm.v)
),"")</f>
        <v>攻撃手段:魔法 効果:峡谷_変換 射程:20</v>
      </c>
      <c r="I70" s="37" t="s">
        <v>4808</v>
      </c>
      <c r="L70" s="64"/>
      <c r="M70" s="64"/>
      <c r="N70" s="64"/>
      <c r="O70" s="64"/>
      <c r="P70" s="64"/>
      <c r="Q70" s="64"/>
      <c r="R70" s="64"/>
      <c r="S70" s="64"/>
      <c r="T70" s="64"/>
      <c r="U70" s="64"/>
      <c r="V70" s="64"/>
      <c r="W70" s="64"/>
      <c r="X70" s="64"/>
      <c r="Y70" s="64"/>
      <c r="BH70" s="64"/>
      <c r="BI70" s="64"/>
      <c r="BJ70" s="64"/>
      <c r="BK70" s="64"/>
      <c r="BL70" s="64"/>
      <c r="BM70" s="64"/>
      <c r="BN70" s="64"/>
      <c r="BO70" s="64"/>
      <c r="BP70" s="64"/>
      <c r="BQ70" s="64"/>
      <c r="BR70" s="64"/>
      <c r="CC70" s="37">
        <v>20.0</v>
      </c>
      <c r="CG70" s="37" t="s">
        <v>5462</v>
      </c>
    </row>
    <row r="71" ht="18.75" customHeight="1" outlineLevel="1">
      <c r="A71" s="24" t="s">
        <v>5463</v>
      </c>
      <c r="B71" s="37" t="str">
        <f>IFERROR(LET(_xlpm.v,
VLOOKUP($A71,CS!$B:$H,COLUMN(CS!B$1),FALSE),
IF(_xlpm.v=0,"",_xlpm.v)
),"")</f>
        <v>洞窟</v>
      </c>
      <c r="C71" s="37" t="str">
        <f>IFERROR(LET(_xlpm.v,
VLOOKUP($A71,CS!$B:$H,COLUMN(CS!C$1),FALSE),
IF(_xlpm.v=0,"",_xlpm.v)
),"")</f>
        <v/>
      </c>
      <c r="D71" s="37" t="str">
        <f>IFERROR(LET(_xlpm.v,
VLOOKUP($A71,CS!$B:$H,COLUMN(CS!D$1),FALSE),
IF(_xlpm.v=0,"",_xlpm.v)
),"")</f>
        <v>A</v>
      </c>
      <c r="E71" s="37" t="str">
        <f>IFERROR(LET(_xlpm.v,
VLOOKUP($A71,CS!$B:$H,COLUMN(CS!E$1),FALSE),
IF(_xlpm.v=0,"",_xlpm.v)
),"")</f>
        <v/>
      </c>
      <c r="F71" s="37">
        <f>IFERROR(LET(_xlpm.v,
VLOOKUP($A71,CS!$B:$H,COLUMN(CS!F$1),FALSE),
IF(_xlpm.v=0,"",_xlpm.v)
),"")</f>
        <v>50</v>
      </c>
      <c r="G71" s="122" t="str">
        <f>IFERROR(LET(_xlpm.v,
VLOOKUP($A71,CS!$B:$N,COLUMN(CS!M$1),FALSE),
IF(_xlpm.v=0,"",_xlpm.v)
),"")</f>
        <v/>
      </c>
      <c r="H71" s="64" t="str">
        <f>IFERROR(LET(_xlpm.v,
VLOOKUP($A71,CS!$B:$H,COLUMN(CS!G$1),FALSE),
IF(_xlpm.v=0,"",_xlpm.v)
),"")</f>
        <v>攻撃手段:魔法 効果:洞窟_変換 射程:20</v>
      </c>
      <c r="I71" s="37" t="s">
        <v>4808</v>
      </c>
      <c r="L71" s="64"/>
      <c r="M71" s="64"/>
      <c r="N71" s="64"/>
      <c r="O71" s="64"/>
      <c r="P71" s="64"/>
      <c r="Q71" s="64"/>
      <c r="R71" s="64"/>
      <c r="S71" s="64"/>
      <c r="T71" s="64"/>
      <c r="U71" s="64"/>
      <c r="V71" s="64"/>
      <c r="W71" s="64"/>
      <c r="X71" s="64"/>
      <c r="Y71" s="64"/>
      <c r="BH71" s="64"/>
      <c r="BI71" s="64"/>
      <c r="BJ71" s="64"/>
      <c r="BK71" s="64"/>
      <c r="BL71" s="64"/>
      <c r="BM71" s="64"/>
      <c r="BN71" s="64"/>
      <c r="BO71" s="64"/>
      <c r="BP71" s="64"/>
      <c r="BQ71" s="64"/>
      <c r="BR71" s="64"/>
      <c r="CC71" s="37">
        <v>20.0</v>
      </c>
      <c r="CG71" s="37" t="s">
        <v>5464</v>
      </c>
    </row>
    <row r="72" ht="18.75" customHeight="1" outlineLevel="1">
      <c r="A72" s="24" t="s">
        <v>5465</v>
      </c>
      <c r="B72" s="37" t="str">
        <f>IFERROR(LET(_xlpm.v,
VLOOKUP($A72,CS!$B:$H,COLUMN(CS!B$1),FALSE),
IF(_xlpm.v=0,"",_xlpm.v)
),"")</f>
        <v>雪原</v>
      </c>
      <c r="C72" s="37" t="str">
        <f>IFERROR(LET(_xlpm.v,
VLOOKUP($A72,CS!$B:$H,COLUMN(CS!C$1),FALSE),
IF(_xlpm.v=0,"",_xlpm.v)
),"")</f>
        <v/>
      </c>
      <c r="D72" s="37" t="str">
        <f>IFERROR(LET(_xlpm.v,
VLOOKUP($A72,CS!$B:$H,COLUMN(CS!D$1),FALSE),
IF(_xlpm.v=0,"",_xlpm.v)
),"")</f>
        <v>A</v>
      </c>
      <c r="E72" s="37" t="str">
        <f>IFERROR(LET(_xlpm.v,
VLOOKUP($A72,CS!$B:$H,COLUMN(CS!E$1),FALSE),
IF(_xlpm.v=0,"",_xlpm.v)
),"")</f>
        <v/>
      </c>
      <c r="F72" s="37">
        <f>IFERROR(LET(_xlpm.v,
VLOOKUP($A72,CS!$B:$H,COLUMN(CS!F$1),FALSE),
IF(_xlpm.v=0,"",_xlpm.v)
),"")</f>
        <v>50</v>
      </c>
      <c r="G72" s="122" t="str">
        <f>IFERROR(LET(_xlpm.v,
VLOOKUP($A72,CS!$B:$N,COLUMN(CS!M$1),FALSE),
IF(_xlpm.v=0,"",_xlpm.v)
),"")</f>
        <v/>
      </c>
      <c r="H72" s="64" t="str">
        <f>IFERROR(LET(_xlpm.v,
VLOOKUP($A72,CS!$B:$H,COLUMN(CS!G$1),FALSE),
IF(_xlpm.v=0,"",_xlpm.v)
),"")</f>
        <v>攻撃手段:魔法 効果:雪原_変換 射程:20</v>
      </c>
      <c r="I72" s="37" t="s">
        <v>4808</v>
      </c>
      <c r="L72" s="64"/>
      <c r="M72" s="64"/>
      <c r="N72" s="64"/>
      <c r="O72" s="64"/>
      <c r="P72" s="64"/>
      <c r="Q72" s="64"/>
      <c r="R72" s="64"/>
      <c r="S72" s="64"/>
      <c r="T72" s="64"/>
      <c r="U72" s="64"/>
      <c r="V72" s="64"/>
      <c r="W72" s="64"/>
      <c r="X72" s="64"/>
      <c r="Y72" s="64"/>
      <c r="BH72" s="64"/>
      <c r="BI72" s="64"/>
      <c r="BJ72" s="64"/>
      <c r="BK72" s="64"/>
      <c r="BL72" s="64"/>
      <c r="BM72" s="64"/>
      <c r="BN72" s="64"/>
      <c r="BO72" s="64"/>
      <c r="BP72" s="64"/>
      <c r="BQ72" s="64"/>
      <c r="BR72" s="64"/>
      <c r="CC72" s="37">
        <v>20.0</v>
      </c>
      <c r="CG72" s="37" t="s">
        <v>5466</v>
      </c>
    </row>
    <row r="73" ht="18.75" customHeight="1" outlineLevel="1">
      <c r="A73" s="24" t="s">
        <v>5467</v>
      </c>
      <c r="B73" s="37" t="str">
        <f>IFERROR(LET(_xlpm.v,
VLOOKUP($A73,CS!$B:$H,COLUMN(CS!B$1),FALSE),
IF(_xlpm.v=0,"",_xlpm.v)
),"")</f>
        <v>火山</v>
      </c>
      <c r="C73" s="37" t="str">
        <f>IFERROR(LET(_xlpm.v,
VLOOKUP($A73,CS!$B:$H,COLUMN(CS!C$1),FALSE),
IF(_xlpm.v=0,"",_xlpm.v)
),"")</f>
        <v/>
      </c>
      <c r="D73" s="37" t="str">
        <f>IFERROR(LET(_xlpm.v,
VLOOKUP($A73,CS!$B:$H,COLUMN(CS!D$1),FALSE),
IF(_xlpm.v=0,"",_xlpm.v)
),"")</f>
        <v>A</v>
      </c>
      <c r="E73" s="37" t="str">
        <f>IFERROR(LET(_xlpm.v,
VLOOKUP($A73,CS!$B:$H,COLUMN(CS!E$1),FALSE),
IF(_xlpm.v=0,"",_xlpm.v)
),"")</f>
        <v/>
      </c>
      <c r="F73" s="37">
        <f>IFERROR(LET(_xlpm.v,
VLOOKUP($A73,CS!$B:$H,COLUMN(CS!F$1),FALSE),
IF(_xlpm.v=0,"",_xlpm.v)
),"")</f>
        <v>50</v>
      </c>
      <c r="G73" s="122" t="str">
        <f>IFERROR(LET(_xlpm.v,
VLOOKUP($A73,CS!$B:$N,COLUMN(CS!M$1),FALSE),
IF(_xlpm.v=0,"",_xlpm.v)
),"")</f>
        <v/>
      </c>
      <c r="H73" s="64" t="str">
        <f>IFERROR(LET(_xlpm.v,
VLOOKUP($A73,CS!$B:$H,COLUMN(CS!G$1),FALSE),
IF(_xlpm.v=0,"",_xlpm.v)
),"")</f>
        <v>攻撃手段:魔法 効果:火山_変換 射程:20</v>
      </c>
      <c r="I73" s="37" t="s">
        <v>4808</v>
      </c>
      <c r="L73" s="64"/>
      <c r="M73" s="64"/>
      <c r="N73" s="64"/>
      <c r="O73" s="64"/>
      <c r="P73" s="64"/>
      <c r="Q73" s="64"/>
      <c r="R73" s="64"/>
      <c r="S73" s="64"/>
      <c r="T73" s="64"/>
      <c r="U73" s="64"/>
      <c r="V73" s="64"/>
      <c r="W73" s="64"/>
      <c r="X73" s="64"/>
      <c r="Y73" s="64"/>
      <c r="BH73" s="64"/>
      <c r="BI73" s="64"/>
      <c r="BJ73" s="64"/>
      <c r="BK73" s="64"/>
      <c r="BL73" s="64"/>
      <c r="BM73" s="64"/>
      <c r="BN73" s="64"/>
      <c r="BO73" s="64"/>
      <c r="BP73" s="64"/>
      <c r="BQ73" s="64"/>
      <c r="BR73" s="64"/>
      <c r="CC73" s="37">
        <v>20.0</v>
      </c>
      <c r="CG73" s="37" t="s">
        <v>5468</v>
      </c>
    </row>
    <row r="74" ht="18.75" customHeight="1" outlineLevel="1">
      <c r="A74" s="24" t="s">
        <v>5469</v>
      </c>
      <c r="B74" s="37" t="str">
        <f>IFERROR(LET(_xlpm.v,
VLOOKUP($A74,CS!$B:$H,COLUMN(CS!B$1),FALSE),
IF(_xlpm.v=0,"",_xlpm.v)
),"")</f>
        <v>溶岩</v>
      </c>
      <c r="C74" s="37" t="str">
        <f>IFERROR(LET(_xlpm.v,
VLOOKUP($A74,CS!$B:$H,COLUMN(CS!C$1),FALSE),
IF(_xlpm.v=0,"",_xlpm.v)
),"")</f>
        <v/>
      </c>
      <c r="D74" s="37" t="str">
        <f>IFERROR(LET(_xlpm.v,
VLOOKUP($A74,CS!$B:$H,COLUMN(CS!D$1),FALSE),
IF(_xlpm.v=0,"",_xlpm.v)
),"")</f>
        <v>A</v>
      </c>
      <c r="E74" s="37" t="str">
        <f>IFERROR(LET(_xlpm.v,
VLOOKUP($A74,CS!$B:$H,COLUMN(CS!E$1),FALSE),
IF(_xlpm.v=0,"",_xlpm.v)
),"")</f>
        <v/>
      </c>
      <c r="F74" s="37">
        <f>IFERROR(LET(_xlpm.v,
VLOOKUP($A74,CS!$B:$H,COLUMN(CS!F$1),FALSE),
IF(_xlpm.v=0,"",_xlpm.v)
),"")</f>
        <v>50</v>
      </c>
      <c r="G74" s="122" t="str">
        <f>IFERROR(LET(_xlpm.v,
VLOOKUP($A74,CS!$B:$N,COLUMN(CS!M$1),FALSE),
IF(_xlpm.v=0,"",_xlpm.v)
),"")</f>
        <v/>
      </c>
      <c r="H74" s="64" t="str">
        <f>IFERROR(LET(_xlpm.v,
VLOOKUP($A74,CS!$B:$H,COLUMN(CS!G$1),FALSE),
IF(_xlpm.v=0,"",_xlpm.v)
),"")</f>
        <v>攻撃手段:魔法 効果:溶岩_変換 射程:20</v>
      </c>
      <c r="I74" s="37" t="s">
        <v>4808</v>
      </c>
      <c r="L74" s="64"/>
      <c r="M74" s="64"/>
      <c r="N74" s="64"/>
      <c r="O74" s="64"/>
      <c r="P74" s="64"/>
      <c r="Q74" s="64"/>
      <c r="R74" s="64"/>
      <c r="S74" s="64"/>
      <c r="T74" s="64"/>
      <c r="U74" s="64"/>
      <c r="V74" s="64"/>
      <c r="W74" s="64"/>
      <c r="X74" s="64"/>
      <c r="Y74" s="64"/>
      <c r="BH74" s="64"/>
      <c r="BI74" s="64"/>
      <c r="BJ74" s="64"/>
      <c r="BK74" s="64"/>
      <c r="BL74" s="64"/>
      <c r="BM74" s="64"/>
      <c r="BN74" s="64"/>
      <c r="BO74" s="64"/>
      <c r="BP74" s="64"/>
      <c r="BQ74" s="64"/>
      <c r="BR74" s="64"/>
      <c r="CC74" s="37">
        <v>20.0</v>
      </c>
      <c r="CG74" s="37" t="s">
        <v>5470</v>
      </c>
    </row>
    <row r="75" ht="18.75" customHeight="1" outlineLevel="1">
      <c r="A75" s="24" t="s">
        <v>5471</v>
      </c>
      <c r="B75" s="37" t="str">
        <f>IFERROR(LET(_xlpm.v,
VLOOKUP($A75,CS!$B:$H,COLUMN(CS!B$1),FALSE),
IF(_xlpm.v=0,"",_xlpm.v)
),"")</f>
        <v>死の霧</v>
      </c>
      <c r="C75" s="37" t="str">
        <f>IFERROR(LET(_xlpm.v,
VLOOKUP($A75,CS!$B:$H,COLUMN(CS!C$1),FALSE),
IF(_xlpm.v=0,"",_xlpm.v)
),"")</f>
        <v/>
      </c>
      <c r="D75" s="37" t="str">
        <f>IFERROR(LET(_xlpm.v,
VLOOKUP($A75,CS!$B:$H,COLUMN(CS!D$1),FALSE),
IF(_xlpm.v=0,"",_xlpm.v)
),"")</f>
        <v>A</v>
      </c>
      <c r="E75" s="37" t="str">
        <f>IFERROR(LET(_xlpm.v,
VLOOKUP($A75,CS!$B:$H,COLUMN(CS!E$1),FALSE),
IF(_xlpm.v=0,"",_xlpm.v)
),"")</f>
        <v/>
      </c>
      <c r="F75" s="37">
        <f>IFERROR(LET(_xlpm.v,
VLOOKUP($A75,CS!$B:$H,COLUMN(CS!F$1),FALSE),
IF(_xlpm.v=0,"",_xlpm.v)
),"")</f>
        <v>50</v>
      </c>
      <c r="G75" s="122" t="str">
        <f>IFERROR(LET(_xlpm.v,
VLOOKUP($A75,CS!$B:$N,COLUMN(CS!M$1),FALSE),
IF(_xlpm.v=0,"",_xlpm.v)
),"")</f>
        <v/>
      </c>
      <c r="H75" s="64" t="str">
        <f>IFERROR(LET(_xlpm.v,
VLOOKUP($A75,CS!$B:$H,COLUMN(CS!G$1),FALSE),
IF(_xlpm.v=0,"",_xlpm.v)
),"")</f>
        <v>攻撃手段:魔法 効果:死の霧_変換 射程:20</v>
      </c>
      <c r="I75" s="37" t="s">
        <v>4808</v>
      </c>
      <c r="L75" s="64"/>
      <c r="M75" s="64"/>
      <c r="N75" s="64"/>
      <c r="O75" s="64"/>
      <c r="P75" s="64"/>
      <c r="Q75" s="64"/>
      <c r="R75" s="64"/>
      <c r="S75" s="64"/>
      <c r="T75" s="64"/>
      <c r="U75" s="64"/>
      <c r="V75" s="64"/>
      <c r="W75" s="64"/>
      <c r="X75" s="64"/>
      <c r="Y75" s="64"/>
      <c r="BH75" s="64"/>
      <c r="BI75" s="64"/>
      <c r="BJ75" s="64"/>
      <c r="BK75" s="64"/>
      <c r="BL75" s="64"/>
      <c r="BM75" s="64"/>
      <c r="BN75" s="64"/>
      <c r="BO75" s="64"/>
      <c r="BP75" s="64"/>
      <c r="BQ75" s="64"/>
      <c r="BR75" s="64"/>
      <c r="CC75" s="37">
        <v>20.0</v>
      </c>
      <c r="CG75" s="37" t="s">
        <v>5472</v>
      </c>
    </row>
    <row r="76" ht="18.75" customHeight="1" outlineLevel="1">
      <c r="B76" s="37" t="str">
        <f>IFERROR(LET(_xlpm.v,
VLOOKUP($A76,CS!$B:$H,COLUMN(CS!B$1),FALSE),
IF(_xlpm.v=0,"",_xlpm.v)
),"")</f>
        <v/>
      </c>
      <c r="C76" s="37" t="str">
        <f>IFERROR(LET(_xlpm.v,
VLOOKUP($A76,CS!$B:$H,COLUMN(CS!C$1),FALSE),
IF(_xlpm.v=0,"",_xlpm.v)
),"")</f>
        <v/>
      </c>
      <c r="D76" s="37" t="str">
        <f>IFERROR(LET(_xlpm.v,
VLOOKUP($A76,CS!$B:$H,COLUMN(CS!D$1),FALSE),
IF(_xlpm.v=0,"",_xlpm.v)
),"")</f>
        <v/>
      </c>
      <c r="E76" s="37" t="str">
        <f>IFERROR(LET(_xlpm.v,
VLOOKUP($A76,CS!$B:$H,COLUMN(CS!E$1),FALSE),
IF(_xlpm.v=0,"",_xlpm.v)
),"")</f>
        <v/>
      </c>
      <c r="F76" s="37" t="str">
        <f>IFERROR(LET(_xlpm.v,
VLOOKUP($A76,CS!$B:$H,COLUMN(CS!F$1),FALSE),
IF(_xlpm.v=0,"",_xlpm.v)
),"")</f>
        <v/>
      </c>
      <c r="G76" s="122" t="str">
        <f>IFERROR(LET(_xlpm.v,
VLOOKUP($A76,CS!$B:$N,COLUMN(CS!M$1),FALSE),
IF(_xlpm.v=0,"",_xlpm.v)
),"")</f>
        <v/>
      </c>
      <c r="H76" s="64" t="str">
        <f>IFERROR(LET(_xlpm.v,
VLOOKUP($A76,CS!$B:$H,COLUMN(CS!G$1),FALSE),
IF(_xlpm.v=0,"",_xlpm.v)
),"")</f>
        <v/>
      </c>
      <c r="L76" s="64"/>
      <c r="M76" s="64"/>
      <c r="N76" s="64"/>
      <c r="O76" s="64"/>
      <c r="P76" s="64"/>
      <c r="Q76" s="64"/>
      <c r="R76" s="64"/>
      <c r="S76" s="64"/>
      <c r="T76" s="64"/>
      <c r="U76" s="64"/>
      <c r="V76" s="64"/>
      <c r="W76" s="64"/>
      <c r="X76" s="64"/>
      <c r="Y76" s="64"/>
      <c r="BH76" s="64"/>
      <c r="BI76" s="64"/>
      <c r="BJ76" s="64"/>
      <c r="BK76" s="64"/>
      <c r="BL76" s="64"/>
      <c r="BM76" s="64"/>
      <c r="BN76" s="64"/>
      <c r="BO76" s="64"/>
      <c r="BP76" s="64"/>
      <c r="BQ76" s="64"/>
      <c r="BR76" s="64"/>
    </row>
    <row r="77" ht="18.75" customHeight="1" outlineLevel="1">
      <c r="B77" s="37" t="str">
        <f>IFERROR(LET(_xlpm.v,
VLOOKUP($A77,CS!$B:$H,COLUMN(CS!B$1),FALSE),
IF(_xlpm.v=0,"",_xlpm.v)
),"")</f>
        <v/>
      </c>
      <c r="C77" s="37" t="str">
        <f>IFERROR(LET(_xlpm.v,
VLOOKUP($A77,CS!$B:$H,COLUMN(CS!C$1),FALSE),
IF(_xlpm.v=0,"",_xlpm.v)
),"")</f>
        <v/>
      </c>
      <c r="D77" s="37" t="str">
        <f>IFERROR(LET(_xlpm.v,
VLOOKUP($A77,CS!$B:$H,COLUMN(CS!D$1),FALSE),
IF(_xlpm.v=0,"",_xlpm.v)
),"")</f>
        <v/>
      </c>
      <c r="E77" s="37" t="str">
        <f>IFERROR(LET(_xlpm.v,
VLOOKUP($A77,CS!$B:$H,COLUMN(CS!E$1),FALSE),
IF(_xlpm.v=0,"",_xlpm.v)
),"")</f>
        <v/>
      </c>
      <c r="F77" s="37" t="str">
        <f>IFERROR(LET(_xlpm.v,
VLOOKUP($A77,CS!$B:$H,COLUMN(CS!F$1),FALSE),
IF(_xlpm.v=0,"",_xlpm.v)
),"")</f>
        <v/>
      </c>
      <c r="G77" s="122" t="str">
        <f>IFERROR(LET(_xlpm.v,
VLOOKUP($A77,CS!$B:$N,COLUMN(CS!M$1),FALSE),
IF(_xlpm.v=0,"",_xlpm.v)
),"")</f>
        <v/>
      </c>
      <c r="H77" s="64" t="str">
        <f>IFERROR(LET(_xlpm.v,
VLOOKUP($A77,CS!$B:$H,COLUMN(CS!G$1),FALSE),
IF(_xlpm.v=0,"",_xlpm.v)
),"")</f>
        <v/>
      </c>
      <c r="L77" s="64"/>
      <c r="M77" s="64"/>
      <c r="N77" s="64"/>
      <c r="O77" s="64"/>
      <c r="P77" s="64"/>
      <c r="Q77" s="64"/>
      <c r="R77" s="64"/>
      <c r="S77" s="64"/>
      <c r="T77" s="64"/>
      <c r="U77" s="64"/>
      <c r="V77" s="64"/>
      <c r="W77" s="64"/>
      <c r="X77" s="64"/>
      <c r="Y77" s="64"/>
      <c r="BH77" s="64"/>
      <c r="BI77" s="64"/>
      <c r="BJ77" s="64"/>
      <c r="BK77" s="64"/>
      <c r="BL77" s="64"/>
      <c r="BM77" s="64"/>
      <c r="BN77" s="64"/>
      <c r="BO77" s="64"/>
      <c r="BP77" s="64"/>
      <c r="BQ77" s="64"/>
      <c r="BR77" s="64"/>
    </row>
    <row r="78" ht="18.75" customHeight="1" outlineLevel="1">
      <c r="B78" s="37" t="str">
        <f>IFERROR(LET(_xlpm.v,
VLOOKUP($A78,CS!$B:$H,COLUMN(CS!B$1),FALSE),
IF(_xlpm.v=0,"",_xlpm.v)
),"")</f>
        <v/>
      </c>
      <c r="C78" s="37" t="str">
        <f>IFERROR(LET(_xlpm.v,
VLOOKUP($A78,CS!$B:$H,COLUMN(CS!C$1),FALSE),
IF(_xlpm.v=0,"",_xlpm.v)
),"")</f>
        <v/>
      </c>
      <c r="D78" s="37" t="str">
        <f>IFERROR(LET(_xlpm.v,
VLOOKUP($A78,CS!$B:$H,COLUMN(CS!D$1),FALSE),
IF(_xlpm.v=0,"",_xlpm.v)
),"")</f>
        <v/>
      </c>
      <c r="E78" s="37" t="str">
        <f>IFERROR(LET(_xlpm.v,
VLOOKUP($A78,CS!$B:$H,COLUMN(CS!E$1),FALSE),
IF(_xlpm.v=0,"",_xlpm.v)
),"")</f>
        <v/>
      </c>
      <c r="F78" s="37" t="str">
        <f>IFERROR(LET(_xlpm.v,
VLOOKUP($A78,CS!$B:$H,COLUMN(CS!F$1),FALSE),
IF(_xlpm.v=0,"",_xlpm.v)
),"")</f>
        <v/>
      </c>
      <c r="G78" s="122" t="str">
        <f>IFERROR(LET(_xlpm.v,
VLOOKUP($A78,CS!$B:$N,COLUMN(CS!M$1),FALSE),
IF(_xlpm.v=0,"",_xlpm.v)
),"")</f>
        <v/>
      </c>
      <c r="H78" s="64" t="str">
        <f>IFERROR(LET(_xlpm.v,
VLOOKUP($A78,CS!$B:$H,COLUMN(CS!G$1),FALSE),
IF(_xlpm.v=0,"",_xlpm.v)
),"")</f>
        <v/>
      </c>
      <c r="L78" s="64"/>
      <c r="M78" s="64"/>
      <c r="N78" s="64"/>
      <c r="O78" s="64"/>
      <c r="P78" s="64"/>
      <c r="Q78" s="64"/>
      <c r="R78" s="64"/>
      <c r="S78" s="64"/>
      <c r="T78" s="64"/>
      <c r="U78" s="64"/>
      <c r="V78" s="64"/>
      <c r="W78" s="64"/>
      <c r="X78" s="64"/>
      <c r="Y78" s="64"/>
      <c r="BH78" s="64"/>
      <c r="BI78" s="64"/>
      <c r="BJ78" s="64"/>
      <c r="BK78" s="64"/>
      <c r="BL78" s="64"/>
      <c r="BM78" s="64"/>
      <c r="BN78" s="64"/>
      <c r="BO78" s="64"/>
      <c r="BP78" s="64"/>
      <c r="BQ78" s="64"/>
      <c r="BR78" s="64"/>
    </row>
    <row r="79" ht="18.75" customHeight="1" outlineLevel="1">
      <c r="B79" s="37" t="str">
        <f>IFERROR(LET(_xlpm.v,
VLOOKUP($A79,CS!$B:$H,COLUMN(CS!B$1),FALSE),
IF(_xlpm.v=0,"",_xlpm.v)
),"")</f>
        <v/>
      </c>
      <c r="C79" s="37" t="str">
        <f>IFERROR(LET(_xlpm.v,
VLOOKUP($A79,CS!$B:$H,COLUMN(CS!C$1),FALSE),
IF(_xlpm.v=0,"",_xlpm.v)
),"")</f>
        <v/>
      </c>
      <c r="D79" s="37" t="str">
        <f>IFERROR(LET(_xlpm.v,
VLOOKUP($A79,CS!$B:$H,COLUMN(CS!D$1),FALSE),
IF(_xlpm.v=0,"",_xlpm.v)
),"")</f>
        <v/>
      </c>
      <c r="E79" s="37" t="str">
        <f>IFERROR(LET(_xlpm.v,
VLOOKUP($A79,CS!$B:$H,COLUMN(CS!E$1),FALSE),
IF(_xlpm.v=0,"",_xlpm.v)
),"")</f>
        <v/>
      </c>
      <c r="F79" s="37" t="str">
        <f>IFERROR(LET(_xlpm.v,
VLOOKUP($A79,CS!$B:$H,COLUMN(CS!F$1),FALSE),
IF(_xlpm.v=0,"",_xlpm.v)
),"")</f>
        <v/>
      </c>
      <c r="G79" s="122" t="str">
        <f>IFERROR(LET(_xlpm.v,
VLOOKUP($A79,CS!$B:$N,COLUMN(CS!M$1),FALSE),
IF(_xlpm.v=0,"",_xlpm.v)
),"")</f>
        <v/>
      </c>
      <c r="H79" s="64" t="str">
        <f>IFERROR(LET(_xlpm.v,
VLOOKUP($A79,CS!$B:$H,COLUMN(CS!G$1),FALSE),
IF(_xlpm.v=0,"",_xlpm.v)
),"")</f>
        <v/>
      </c>
      <c r="L79" s="64"/>
      <c r="M79" s="64"/>
      <c r="N79" s="64"/>
      <c r="O79" s="64"/>
      <c r="P79" s="64"/>
      <c r="Q79" s="64"/>
      <c r="R79" s="64"/>
      <c r="S79" s="64"/>
      <c r="T79" s="64"/>
      <c r="U79" s="64"/>
      <c r="V79" s="64"/>
      <c r="W79" s="64"/>
      <c r="X79" s="64"/>
      <c r="Y79" s="64"/>
      <c r="BH79" s="64"/>
      <c r="BI79" s="64"/>
      <c r="BJ79" s="64"/>
      <c r="BK79" s="64"/>
      <c r="BL79" s="64"/>
      <c r="BM79" s="64"/>
      <c r="BN79" s="64"/>
      <c r="BO79" s="64"/>
      <c r="BP79" s="64"/>
      <c r="BQ79" s="64"/>
      <c r="BR79" s="64"/>
    </row>
    <row r="80" ht="18.75" customHeight="1" outlineLevel="1">
      <c r="B80" s="37" t="str">
        <f>IFERROR(LET(_xlpm.v,
VLOOKUP($A80,CS!$B:$H,COLUMN(CS!B$1),FALSE),
IF(_xlpm.v=0,"",_xlpm.v)
),"")</f>
        <v/>
      </c>
      <c r="C80" s="37" t="str">
        <f>IFERROR(LET(_xlpm.v,
VLOOKUP($A80,CS!$B:$H,COLUMN(CS!C$1),FALSE),
IF(_xlpm.v=0,"",_xlpm.v)
),"")</f>
        <v/>
      </c>
      <c r="D80" s="37" t="str">
        <f>IFERROR(LET(_xlpm.v,
VLOOKUP($A80,CS!$B:$H,COLUMN(CS!D$1),FALSE),
IF(_xlpm.v=0,"",_xlpm.v)
),"")</f>
        <v/>
      </c>
      <c r="E80" s="37" t="str">
        <f>IFERROR(LET(_xlpm.v,
VLOOKUP($A80,CS!$B:$H,COLUMN(CS!E$1),FALSE),
IF(_xlpm.v=0,"",_xlpm.v)
),"")</f>
        <v/>
      </c>
      <c r="F80" s="37" t="str">
        <f>IFERROR(LET(_xlpm.v,
VLOOKUP($A80,CS!$B:$H,COLUMN(CS!F$1),FALSE),
IF(_xlpm.v=0,"",_xlpm.v)
),"")</f>
        <v/>
      </c>
      <c r="G80" s="122" t="str">
        <f>IFERROR(LET(_xlpm.v,
VLOOKUP($A80,CS!$B:$N,COLUMN(CS!M$1),FALSE),
IF(_xlpm.v=0,"",_xlpm.v)
),"")</f>
        <v/>
      </c>
      <c r="H80" s="64" t="str">
        <f>IFERROR(LET(_xlpm.v,
VLOOKUP($A80,CS!$B:$H,COLUMN(CS!G$1),FALSE),
IF(_xlpm.v=0,"",_xlpm.v)
),"")</f>
        <v/>
      </c>
      <c r="L80" s="64"/>
      <c r="M80" s="64"/>
      <c r="N80" s="64"/>
      <c r="O80" s="64"/>
      <c r="P80" s="64"/>
      <c r="Q80" s="64"/>
      <c r="R80" s="64"/>
      <c r="S80" s="64"/>
      <c r="T80" s="64"/>
      <c r="U80" s="64"/>
      <c r="V80" s="64"/>
      <c r="W80" s="64"/>
      <c r="X80" s="64"/>
      <c r="Y80" s="64"/>
      <c r="BH80" s="64"/>
      <c r="BI80" s="64"/>
      <c r="BJ80" s="64"/>
      <c r="BK80" s="64"/>
      <c r="BL80" s="64"/>
      <c r="BM80" s="64"/>
      <c r="BN80" s="64"/>
      <c r="BO80" s="64"/>
      <c r="BP80" s="64"/>
      <c r="BQ80" s="64"/>
      <c r="BR80" s="64"/>
    </row>
    <row r="81" ht="18.75" customHeight="1" outlineLevel="1">
      <c r="B81" s="37" t="str">
        <f>IFERROR(LET(_xlpm.v,
VLOOKUP($A81,CS!$B:$H,COLUMN(CS!B$1),FALSE),
IF(_xlpm.v=0,"",_xlpm.v)
),"")</f>
        <v/>
      </c>
      <c r="C81" s="37" t="str">
        <f>IFERROR(LET(_xlpm.v,
VLOOKUP($A81,CS!$B:$H,COLUMN(CS!C$1),FALSE),
IF(_xlpm.v=0,"",_xlpm.v)
),"")</f>
        <v/>
      </c>
      <c r="D81" s="37" t="str">
        <f>IFERROR(LET(_xlpm.v,
VLOOKUP($A81,CS!$B:$H,COLUMN(CS!D$1),FALSE),
IF(_xlpm.v=0,"",_xlpm.v)
),"")</f>
        <v/>
      </c>
      <c r="E81" s="37" t="str">
        <f>IFERROR(LET(_xlpm.v,
VLOOKUP($A81,CS!$B:$H,COLUMN(CS!E$1),FALSE),
IF(_xlpm.v=0,"",_xlpm.v)
),"")</f>
        <v/>
      </c>
      <c r="F81" s="37" t="str">
        <f>IFERROR(LET(_xlpm.v,
VLOOKUP($A81,CS!$B:$H,COLUMN(CS!F$1),FALSE),
IF(_xlpm.v=0,"",_xlpm.v)
),"")</f>
        <v/>
      </c>
      <c r="G81" s="122" t="str">
        <f>IFERROR(LET(_xlpm.v,
VLOOKUP($A81,CS!$B:$N,COLUMN(CS!M$1),FALSE),
IF(_xlpm.v=0,"",_xlpm.v)
),"")</f>
        <v/>
      </c>
      <c r="H81" s="64" t="str">
        <f>IFERROR(LET(_xlpm.v,
VLOOKUP($A81,CS!$B:$H,COLUMN(CS!G$1),FALSE),
IF(_xlpm.v=0,"",_xlpm.v)
),"")</f>
        <v/>
      </c>
      <c r="L81" s="64"/>
      <c r="M81" s="64"/>
      <c r="N81" s="64"/>
      <c r="O81" s="64"/>
      <c r="P81" s="64"/>
      <c r="Q81" s="64"/>
      <c r="R81" s="64"/>
      <c r="S81" s="64"/>
      <c r="T81" s="64"/>
      <c r="U81" s="64"/>
      <c r="V81" s="64"/>
      <c r="W81" s="64"/>
      <c r="X81" s="64"/>
      <c r="Y81" s="64"/>
      <c r="BH81" s="64"/>
      <c r="BI81" s="64"/>
      <c r="BJ81" s="64"/>
      <c r="BK81" s="64"/>
      <c r="BL81" s="64"/>
      <c r="BM81" s="64"/>
      <c r="BN81" s="64"/>
      <c r="BO81" s="64"/>
      <c r="BP81" s="64"/>
      <c r="BQ81" s="64"/>
      <c r="BR81" s="64"/>
    </row>
    <row r="82" ht="18.75" customHeight="1" outlineLevel="1">
      <c r="B82" s="37" t="str">
        <f>IFERROR(LET(_xlpm.v,
VLOOKUP($A82,CS!$B:$H,COLUMN(CS!B$1),FALSE),
IF(_xlpm.v=0,"",_xlpm.v)
),"")</f>
        <v/>
      </c>
      <c r="C82" s="37" t="str">
        <f>IFERROR(LET(_xlpm.v,
VLOOKUP($A82,CS!$B:$H,COLUMN(CS!C$1),FALSE),
IF(_xlpm.v=0,"",_xlpm.v)
),"")</f>
        <v/>
      </c>
      <c r="D82" s="37" t="str">
        <f>IFERROR(LET(_xlpm.v,
VLOOKUP($A82,CS!$B:$H,COLUMN(CS!D$1),FALSE),
IF(_xlpm.v=0,"",_xlpm.v)
),"")</f>
        <v/>
      </c>
      <c r="E82" s="37" t="str">
        <f>IFERROR(LET(_xlpm.v,
VLOOKUP($A82,CS!$B:$H,COLUMN(CS!E$1),FALSE),
IF(_xlpm.v=0,"",_xlpm.v)
),"")</f>
        <v/>
      </c>
      <c r="F82" s="37" t="str">
        <f>IFERROR(LET(_xlpm.v,
VLOOKUP($A82,CS!$B:$H,COLUMN(CS!F$1),FALSE),
IF(_xlpm.v=0,"",_xlpm.v)
),"")</f>
        <v/>
      </c>
      <c r="G82" s="122" t="str">
        <f>IFERROR(LET(_xlpm.v,
VLOOKUP($A82,CS!$B:$N,COLUMN(CS!M$1),FALSE),
IF(_xlpm.v=0,"",_xlpm.v)
),"")</f>
        <v/>
      </c>
      <c r="H82" s="64" t="str">
        <f>IFERROR(LET(_xlpm.v,
VLOOKUP($A82,CS!$B:$H,COLUMN(CS!G$1),FALSE),
IF(_xlpm.v=0,"",_xlpm.v)
),"")</f>
        <v/>
      </c>
      <c r="L82" s="64"/>
      <c r="M82" s="64"/>
      <c r="N82" s="64"/>
      <c r="O82" s="64"/>
      <c r="P82" s="64"/>
      <c r="Q82" s="64"/>
      <c r="R82" s="64"/>
      <c r="S82" s="64"/>
      <c r="T82" s="64"/>
      <c r="U82" s="64"/>
      <c r="V82" s="64"/>
      <c r="W82" s="64"/>
      <c r="X82" s="64"/>
      <c r="Y82" s="64"/>
      <c r="BH82" s="64"/>
      <c r="BI82" s="64"/>
      <c r="BJ82" s="64"/>
      <c r="BK82" s="64"/>
      <c r="BL82" s="64"/>
      <c r="BM82" s="64"/>
      <c r="BN82" s="64"/>
      <c r="BO82" s="64"/>
      <c r="BP82" s="64"/>
      <c r="BQ82" s="64"/>
      <c r="BR82" s="64"/>
    </row>
    <row r="83" ht="18.75" customHeight="1" outlineLevel="1">
      <c r="B83" s="37" t="str">
        <f>IFERROR(LET(_xlpm.v,
VLOOKUP($A83,CS!$B:$H,COLUMN(CS!B$1),FALSE),
IF(_xlpm.v=0,"",_xlpm.v)
),"")</f>
        <v/>
      </c>
      <c r="C83" s="37" t="str">
        <f>IFERROR(LET(_xlpm.v,
VLOOKUP($A83,CS!$B:$H,COLUMN(CS!C$1),FALSE),
IF(_xlpm.v=0,"",_xlpm.v)
),"")</f>
        <v/>
      </c>
      <c r="D83" s="37" t="str">
        <f>IFERROR(LET(_xlpm.v,
VLOOKUP($A83,CS!$B:$H,COLUMN(CS!D$1),FALSE),
IF(_xlpm.v=0,"",_xlpm.v)
),"")</f>
        <v/>
      </c>
      <c r="E83" s="37" t="str">
        <f>IFERROR(LET(_xlpm.v,
VLOOKUP($A83,CS!$B:$H,COLUMN(CS!E$1),FALSE),
IF(_xlpm.v=0,"",_xlpm.v)
),"")</f>
        <v/>
      </c>
      <c r="F83" s="37" t="str">
        <f>IFERROR(LET(_xlpm.v,
VLOOKUP($A83,CS!$B:$H,COLUMN(CS!F$1),FALSE),
IF(_xlpm.v=0,"",_xlpm.v)
),"")</f>
        <v/>
      </c>
      <c r="G83" s="122" t="str">
        <f>IFERROR(LET(_xlpm.v,
VLOOKUP($A83,CS!$B:$N,COLUMN(CS!M$1),FALSE),
IF(_xlpm.v=0,"",_xlpm.v)
),"")</f>
        <v/>
      </c>
      <c r="H83" s="64" t="str">
        <f>IFERROR(LET(_xlpm.v,
VLOOKUP($A83,CS!$B:$H,COLUMN(CS!G$1),FALSE),
IF(_xlpm.v=0,"",_xlpm.v)
),"")</f>
        <v/>
      </c>
      <c r="L83" s="64"/>
      <c r="M83" s="64"/>
      <c r="N83" s="64"/>
      <c r="O83" s="64"/>
      <c r="P83" s="64"/>
      <c r="Q83" s="64"/>
      <c r="R83" s="64"/>
      <c r="S83" s="64"/>
      <c r="T83" s="64"/>
      <c r="U83" s="64"/>
      <c r="V83" s="64"/>
      <c r="W83" s="64"/>
      <c r="X83" s="64"/>
      <c r="Y83" s="64"/>
      <c r="BH83" s="64"/>
      <c r="BI83" s="64"/>
      <c r="BJ83" s="64"/>
      <c r="BK83" s="64"/>
      <c r="BL83" s="64"/>
      <c r="BM83" s="64"/>
      <c r="BN83" s="64"/>
      <c r="BO83" s="64"/>
      <c r="BP83" s="64"/>
      <c r="BQ83" s="64"/>
      <c r="BR83" s="64"/>
    </row>
    <row r="84" ht="18.75" customHeight="1" outlineLevel="1">
      <c r="B84" s="37" t="str">
        <f>IFERROR(LET(_xlpm.v,
VLOOKUP($A84,CS!$B:$H,COLUMN(CS!B$1),FALSE),
IF(_xlpm.v=0,"",_xlpm.v)
),"")</f>
        <v/>
      </c>
      <c r="C84" s="37" t="str">
        <f>IFERROR(LET(_xlpm.v,
VLOOKUP($A84,CS!$B:$H,COLUMN(CS!C$1),FALSE),
IF(_xlpm.v=0,"",_xlpm.v)
),"")</f>
        <v/>
      </c>
      <c r="D84" s="37" t="str">
        <f>IFERROR(LET(_xlpm.v,
VLOOKUP($A84,CS!$B:$H,COLUMN(CS!D$1),FALSE),
IF(_xlpm.v=0,"",_xlpm.v)
),"")</f>
        <v/>
      </c>
      <c r="E84" s="37" t="str">
        <f>IFERROR(LET(_xlpm.v,
VLOOKUP($A84,CS!$B:$H,COLUMN(CS!E$1),FALSE),
IF(_xlpm.v=0,"",_xlpm.v)
),"")</f>
        <v/>
      </c>
      <c r="F84" s="37" t="str">
        <f>IFERROR(LET(_xlpm.v,
VLOOKUP($A84,CS!$B:$H,COLUMN(CS!F$1),FALSE),
IF(_xlpm.v=0,"",_xlpm.v)
),"")</f>
        <v/>
      </c>
      <c r="G84" s="122" t="str">
        <f>IFERROR(LET(_xlpm.v,
VLOOKUP($A84,CS!$B:$N,COLUMN(CS!M$1),FALSE),
IF(_xlpm.v=0,"",_xlpm.v)
),"")</f>
        <v/>
      </c>
      <c r="H84" s="64" t="str">
        <f>IFERROR(LET(_xlpm.v,
VLOOKUP($A84,CS!$B:$H,COLUMN(CS!G$1),FALSE),
IF(_xlpm.v=0,"",_xlpm.v)
),"")</f>
        <v/>
      </c>
      <c r="L84" s="64"/>
      <c r="M84" s="64"/>
      <c r="N84" s="64"/>
      <c r="O84" s="64"/>
      <c r="P84" s="64"/>
      <c r="Q84" s="64"/>
      <c r="R84" s="64"/>
      <c r="S84" s="64"/>
      <c r="T84" s="64"/>
      <c r="U84" s="64"/>
      <c r="V84" s="64"/>
      <c r="W84" s="64"/>
      <c r="X84" s="64"/>
      <c r="Y84" s="64"/>
      <c r="BH84" s="64"/>
      <c r="BI84" s="64"/>
      <c r="BJ84" s="64"/>
      <c r="BK84" s="64"/>
      <c r="BL84" s="64"/>
      <c r="BM84" s="64"/>
      <c r="BN84" s="64"/>
      <c r="BO84" s="64"/>
      <c r="BP84" s="64"/>
      <c r="BQ84" s="64"/>
      <c r="BR84" s="64"/>
    </row>
    <row r="85" ht="18.75" customHeight="1" outlineLevel="1">
      <c r="B85" s="37" t="str">
        <f>IFERROR(LET(_xlpm.v,
VLOOKUP($A85,CS!$B:$H,COLUMN(CS!B$1),FALSE),
IF(_xlpm.v=0,"",_xlpm.v)
),"")</f>
        <v/>
      </c>
      <c r="C85" s="37" t="str">
        <f>IFERROR(LET(_xlpm.v,
VLOOKUP($A85,CS!$B:$H,COLUMN(CS!C$1),FALSE),
IF(_xlpm.v=0,"",_xlpm.v)
),"")</f>
        <v/>
      </c>
      <c r="D85" s="37" t="str">
        <f>IFERROR(LET(_xlpm.v,
VLOOKUP($A85,CS!$B:$H,COLUMN(CS!D$1),FALSE),
IF(_xlpm.v=0,"",_xlpm.v)
),"")</f>
        <v/>
      </c>
      <c r="E85" s="37" t="str">
        <f>IFERROR(LET(_xlpm.v,
VLOOKUP($A85,CS!$B:$H,COLUMN(CS!E$1),FALSE),
IF(_xlpm.v=0,"",_xlpm.v)
),"")</f>
        <v/>
      </c>
      <c r="F85" s="37" t="str">
        <f>IFERROR(LET(_xlpm.v,
VLOOKUP($A85,CS!$B:$H,COLUMN(CS!F$1),FALSE),
IF(_xlpm.v=0,"",_xlpm.v)
),"")</f>
        <v/>
      </c>
      <c r="G85" s="122" t="str">
        <f>IFERROR(LET(_xlpm.v,
VLOOKUP($A85,CS!$B:$N,COLUMN(CS!M$1),FALSE),
IF(_xlpm.v=0,"",_xlpm.v)
),"")</f>
        <v/>
      </c>
      <c r="H85" s="64" t="str">
        <f>IFERROR(LET(_xlpm.v,
VLOOKUP($A85,CS!$B:$H,COLUMN(CS!G$1),FALSE),
IF(_xlpm.v=0,"",_xlpm.v)
),"")</f>
        <v/>
      </c>
      <c r="L85" s="64"/>
      <c r="M85" s="64"/>
      <c r="N85" s="64"/>
      <c r="O85" s="64"/>
      <c r="P85" s="64"/>
      <c r="Q85" s="64"/>
      <c r="R85" s="64"/>
      <c r="S85" s="64"/>
      <c r="T85" s="64"/>
      <c r="U85" s="64"/>
      <c r="V85" s="64"/>
      <c r="W85" s="64"/>
      <c r="X85" s="64"/>
      <c r="Y85" s="64"/>
      <c r="BH85" s="64"/>
      <c r="BI85" s="64"/>
      <c r="BJ85" s="64"/>
      <c r="BK85" s="64"/>
      <c r="BL85" s="64"/>
      <c r="BM85" s="64"/>
      <c r="BN85" s="64"/>
      <c r="BO85" s="64"/>
      <c r="BP85" s="64"/>
      <c r="BQ85" s="64"/>
      <c r="BR85" s="64"/>
    </row>
    <row r="86" ht="18.75" customHeight="1" outlineLevel="1">
      <c r="B86" s="37" t="str">
        <f>IFERROR(LET(_xlpm.v,
VLOOKUP($A86,CS!$B:$H,COLUMN(CS!B$1),FALSE),
IF(_xlpm.v=0,"",_xlpm.v)
),"")</f>
        <v/>
      </c>
      <c r="C86" s="37" t="str">
        <f>IFERROR(LET(_xlpm.v,
VLOOKUP($A86,CS!$B:$H,COLUMN(CS!C$1),FALSE),
IF(_xlpm.v=0,"",_xlpm.v)
),"")</f>
        <v/>
      </c>
      <c r="D86" s="37" t="str">
        <f>IFERROR(LET(_xlpm.v,
VLOOKUP($A86,CS!$B:$H,COLUMN(CS!D$1),FALSE),
IF(_xlpm.v=0,"",_xlpm.v)
),"")</f>
        <v/>
      </c>
      <c r="E86" s="37" t="str">
        <f>IFERROR(LET(_xlpm.v,
VLOOKUP($A86,CS!$B:$H,COLUMN(CS!E$1),FALSE),
IF(_xlpm.v=0,"",_xlpm.v)
),"")</f>
        <v/>
      </c>
      <c r="F86" s="37" t="str">
        <f>IFERROR(LET(_xlpm.v,
VLOOKUP($A86,CS!$B:$H,COLUMN(CS!F$1),FALSE),
IF(_xlpm.v=0,"",_xlpm.v)
),"")</f>
        <v/>
      </c>
      <c r="G86" s="122" t="str">
        <f>IFERROR(LET(_xlpm.v,
VLOOKUP($A86,CS!$B:$N,COLUMN(CS!M$1),FALSE),
IF(_xlpm.v=0,"",_xlpm.v)
),"")</f>
        <v/>
      </c>
      <c r="H86" s="64" t="str">
        <f>IFERROR(LET(_xlpm.v,
VLOOKUP($A86,CS!$B:$H,COLUMN(CS!G$1),FALSE),
IF(_xlpm.v=0,"",_xlpm.v)
),"")</f>
        <v/>
      </c>
      <c r="L86" s="64"/>
      <c r="M86" s="64"/>
      <c r="N86" s="64"/>
      <c r="O86" s="64"/>
      <c r="P86" s="64"/>
      <c r="Q86" s="64"/>
      <c r="R86" s="64"/>
      <c r="S86" s="64"/>
      <c r="T86" s="64"/>
      <c r="U86" s="64"/>
      <c r="V86" s="64"/>
      <c r="W86" s="64"/>
      <c r="X86" s="64"/>
      <c r="Y86" s="64"/>
      <c r="BH86" s="64"/>
      <c r="BI86" s="64"/>
      <c r="BJ86" s="64"/>
      <c r="BK86" s="64"/>
      <c r="BL86" s="64"/>
      <c r="BM86" s="64"/>
      <c r="BN86" s="64"/>
      <c r="BO86" s="64"/>
      <c r="BP86" s="64"/>
      <c r="BQ86" s="64"/>
      <c r="BR86" s="64"/>
    </row>
    <row r="87" ht="18.75" customHeight="1" outlineLevel="1">
      <c r="B87" s="37" t="str">
        <f>IFERROR(LET(_xlpm.v,
VLOOKUP($A87,CS!$B:$H,COLUMN(CS!B$1),FALSE),
IF(_xlpm.v=0,"",_xlpm.v)
),"")</f>
        <v/>
      </c>
      <c r="C87" s="37" t="str">
        <f>IFERROR(LET(_xlpm.v,
VLOOKUP($A87,CS!$B:$H,COLUMN(CS!C$1),FALSE),
IF(_xlpm.v=0,"",_xlpm.v)
),"")</f>
        <v/>
      </c>
      <c r="D87" s="37" t="str">
        <f>IFERROR(LET(_xlpm.v,
VLOOKUP($A87,CS!$B:$H,COLUMN(CS!D$1),FALSE),
IF(_xlpm.v=0,"",_xlpm.v)
),"")</f>
        <v/>
      </c>
      <c r="E87" s="37" t="str">
        <f>IFERROR(LET(_xlpm.v,
VLOOKUP($A87,CS!$B:$H,COLUMN(CS!E$1),FALSE),
IF(_xlpm.v=0,"",_xlpm.v)
),"")</f>
        <v/>
      </c>
      <c r="F87" s="37" t="str">
        <f>IFERROR(LET(_xlpm.v,
VLOOKUP($A87,CS!$B:$H,COLUMN(CS!F$1),FALSE),
IF(_xlpm.v=0,"",_xlpm.v)
),"")</f>
        <v/>
      </c>
      <c r="G87" s="122" t="str">
        <f>IFERROR(LET(_xlpm.v,
VLOOKUP($A87,CS!$B:$N,COLUMN(CS!M$1),FALSE),
IF(_xlpm.v=0,"",_xlpm.v)
),"")</f>
        <v/>
      </c>
      <c r="H87" s="64" t="str">
        <f>IFERROR(LET(_xlpm.v,
VLOOKUP($A87,CS!$B:$H,COLUMN(CS!G$1),FALSE),
IF(_xlpm.v=0,"",_xlpm.v)
),"")</f>
        <v/>
      </c>
      <c r="L87" s="64"/>
      <c r="M87" s="64"/>
      <c r="N87" s="64"/>
      <c r="O87" s="64"/>
      <c r="P87" s="64"/>
      <c r="Q87" s="64"/>
      <c r="R87" s="64"/>
      <c r="S87" s="64"/>
      <c r="T87" s="64"/>
      <c r="U87" s="64"/>
      <c r="V87" s="64"/>
      <c r="W87" s="64"/>
      <c r="X87" s="64"/>
      <c r="Y87" s="64"/>
      <c r="BH87" s="64"/>
      <c r="BI87" s="64"/>
      <c r="BJ87" s="64"/>
      <c r="BK87" s="64"/>
      <c r="BL87" s="64"/>
      <c r="BM87" s="64"/>
      <c r="BN87" s="64"/>
      <c r="BO87" s="64"/>
      <c r="BP87" s="64"/>
      <c r="BQ87" s="64"/>
      <c r="BR87" s="64"/>
    </row>
    <row r="88" ht="18.75" customHeight="1" outlineLevel="1">
      <c r="B88" s="37" t="str">
        <f>IFERROR(LET(_xlpm.v,
VLOOKUP($A88,CS!$B:$H,COLUMN(CS!B$1),FALSE),
IF(_xlpm.v=0,"",_xlpm.v)
),"")</f>
        <v/>
      </c>
      <c r="C88" s="37" t="str">
        <f>IFERROR(LET(_xlpm.v,
VLOOKUP($A88,CS!$B:$H,COLUMN(CS!C$1),FALSE),
IF(_xlpm.v=0,"",_xlpm.v)
),"")</f>
        <v/>
      </c>
      <c r="D88" s="37" t="str">
        <f>IFERROR(LET(_xlpm.v,
VLOOKUP($A88,CS!$B:$H,COLUMN(CS!D$1),FALSE),
IF(_xlpm.v=0,"",_xlpm.v)
),"")</f>
        <v/>
      </c>
      <c r="E88" s="37" t="str">
        <f>IFERROR(LET(_xlpm.v,
VLOOKUP($A88,CS!$B:$H,COLUMN(CS!E$1),FALSE),
IF(_xlpm.v=0,"",_xlpm.v)
),"")</f>
        <v/>
      </c>
      <c r="F88" s="37" t="str">
        <f>IFERROR(LET(_xlpm.v,
VLOOKUP($A88,CS!$B:$H,COLUMN(CS!F$1),FALSE),
IF(_xlpm.v=0,"",_xlpm.v)
),"")</f>
        <v/>
      </c>
      <c r="G88" s="122" t="str">
        <f>IFERROR(LET(_xlpm.v,
VLOOKUP($A88,CS!$B:$N,COLUMN(CS!M$1),FALSE),
IF(_xlpm.v=0,"",_xlpm.v)
),"")</f>
        <v/>
      </c>
      <c r="H88" s="64" t="str">
        <f>IFERROR(LET(_xlpm.v,
VLOOKUP($A88,CS!$B:$H,COLUMN(CS!G$1),FALSE),
IF(_xlpm.v=0,"",_xlpm.v)
),"")</f>
        <v/>
      </c>
      <c r="L88" s="64"/>
      <c r="M88" s="64"/>
      <c r="N88" s="64"/>
      <c r="O88" s="64"/>
      <c r="P88" s="64"/>
      <c r="Q88" s="64"/>
      <c r="R88" s="64"/>
      <c r="S88" s="64"/>
      <c r="T88" s="64"/>
      <c r="U88" s="64"/>
      <c r="V88" s="64"/>
      <c r="W88" s="64"/>
      <c r="X88" s="64"/>
      <c r="Y88" s="64"/>
      <c r="BH88" s="64"/>
      <c r="BI88" s="64"/>
      <c r="BJ88" s="64"/>
      <c r="BK88" s="64"/>
      <c r="BL88" s="64"/>
      <c r="BM88" s="64"/>
      <c r="BN88" s="64"/>
      <c r="BO88" s="64"/>
      <c r="BP88" s="64"/>
      <c r="BQ88" s="64"/>
      <c r="BR88" s="64"/>
    </row>
    <row r="89" ht="18.75" customHeight="1" outlineLevel="1">
      <c r="B89" s="37" t="str">
        <f>IFERROR(LET(_xlpm.v,
VLOOKUP($A89,CS!$B:$H,COLUMN(CS!B$1),FALSE),
IF(_xlpm.v=0,"",_xlpm.v)
),"")</f>
        <v/>
      </c>
      <c r="C89" s="37" t="str">
        <f>IFERROR(LET(_xlpm.v,
VLOOKUP($A89,CS!$B:$H,COLUMN(CS!C$1),FALSE),
IF(_xlpm.v=0,"",_xlpm.v)
),"")</f>
        <v/>
      </c>
      <c r="D89" s="37" t="str">
        <f>IFERROR(LET(_xlpm.v,
VLOOKUP($A89,CS!$B:$H,COLUMN(CS!D$1),FALSE),
IF(_xlpm.v=0,"",_xlpm.v)
),"")</f>
        <v/>
      </c>
      <c r="E89" s="37" t="str">
        <f>IFERROR(LET(_xlpm.v,
VLOOKUP($A89,CS!$B:$H,COLUMN(CS!E$1),FALSE),
IF(_xlpm.v=0,"",_xlpm.v)
),"")</f>
        <v/>
      </c>
      <c r="F89" s="37" t="str">
        <f>IFERROR(LET(_xlpm.v,
VLOOKUP($A89,CS!$B:$H,COLUMN(CS!F$1),FALSE),
IF(_xlpm.v=0,"",_xlpm.v)
),"")</f>
        <v/>
      </c>
      <c r="G89" s="122" t="str">
        <f>IFERROR(LET(_xlpm.v,
VLOOKUP($A89,CS!$B:$N,COLUMN(CS!M$1),FALSE),
IF(_xlpm.v=0,"",_xlpm.v)
),"")</f>
        <v/>
      </c>
      <c r="H89" s="64" t="str">
        <f>IFERROR(LET(_xlpm.v,
VLOOKUP($A89,CS!$B:$H,COLUMN(CS!G$1),FALSE),
IF(_xlpm.v=0,"",_xlpm.v)
),"")</f>
        <v/>
      </c>
      <c r="L89" s="64"/>
      <c r="M89" s="64"/>
      <c r="N89" s="64"/>
      <c r="O89" s="64"/>
      <c r="P89" s="64"/>
      <c r="Q89" s="64"/>
      <c r="R89" s="64"/>
      <c r="S89" s="64"/>
      <c r="T89" s="64"/>
      <c r="U89" s="64"/>
      <c r="V89" s="64"/>
      <c r="W89" s="64"/>
      <c r="X89" s="64"/>
      <c r="Y89" s="64"/>
      <c r="BH89" s="64"/>
      <c r="BI89" s="64"/>
      <c r="BJ89" s="64"/>
      <c r="BK89" s="64"/>
      <c r="BL89" s="64"/>
      <c r="BM89" s="64"/>
      <c r="BN89" s="64"/>
      <c r="BO89" s="64"/>
      <c r="BP89" s="64"/>
      <c r="BQ89" s="64"/>
      <c r="BR89" s="64"/>
    </row>
    <row r="90" ht="18.75" customHeight="1" outlineLevel="1">
      <c r="B90" s="37" t="str">
        <f>IFERROR(LET(_xlpm.v,
VLOOKUP($A90,CS!$B:$H,COLUMN(CS!B$1),FALSE),
IF(_xlpm.v=0,"",_xlpm.v)
),"")</f>
        <v/>
      </c>
      <c r="C90" s="37" t="str">
        <f>IFERROR(LET(_xlpm.v,
VLOOKUP($A90,CS!$B:$H,COLUMN(CS!C$1),FALSE),
IF(_xlpm.v=0,"",_xlpm.v)
),"")</f>
        <v/>
      </c>
      <c r="D90" s="37" t="str">
        <f>IFERROR(LET(_xlpm.v,
VLOOKUP($A90,CS!$B:$H,COLUMN(CS!D$1),FALSE),
IF(_xlpm.v=0,"",_xlpm.v)
),"")</f>
        <v/>
      </c>
      <c r="E90" s="37" t="str">
        <f>IFERROR(LET(_xlpm.v,
VLOOKUP($A90,CS!$B:$H,COLUMN(CS!E$1),FALSE),
IF(_xlpm.v=0,"",_xlpm.v)
),"")</f>
        <v/>
      </c>
      <c r="F90" s="37" t="str">
        <f>IFERROR(LET(_xlpm.v,
VLOOKUP($A90,CS!$B:$H,COLUMN(CS!F$1),FALSE),
IF(_xlpm.v=0,"",_xlpm.v)
),"")</f>
        <v/>
      </c>
      <c r="G90" s="122" t="str">
        <f>IFERROR(LET(_xlpm.v,
VLOOKUP($A90,CS!$B:$N,COLUMN(CS!M$1),FALSE),
IF(_xlpm.v=0,"",_xlpm.v)
),"")</f>
        <v/>
      </c>
      <c r="H90" s="64" t="str">
        <f>IFERROR(LET(_xlpm.v,
VLOOKUP($A90,CS!$B:$H,COLUMN(CS!G$1),FALSE),
IF(_xlpm.v=0,"",_xlpm.v)
),"")</f>
        <v/>
      </c>
      <c r="L90" s="64"/>
      <c r="M90" s="64"/>
      <c r="N90" s="64"/>
      <c r="O90" s="64"/>
      <c r="P90" s="64"/>
      <c r="Q90" s="64"/>
      <c r="R90" s="64"/>
      <c r="S90" s="64"/>
      <c r="T90" s="64"/>
      <c r="U90" s="64"/>
      <c r="V90" s="64"/>
      <c r="W90" s="64"/>
      <c r="X90" s="64"/>
      <c r="Y90" s="64"/>
      <c r="BH90" s="64"/>
      <c r="BI90" s="64"/>
      <c r="BJ90" s="64"/>
      <c r="BK90" s="64"/>
      <c r="BL90" s="64"/>
      <c r="BM90" s="64"/>
      <c r="BN90" s="64"/>
      <c r="BO90" s="64"/>
      <c r="BP90" s="64"/>
      <c r="BQ90" s="64"/>
      <c r="BR90" s="64"/>
    </row>
    <row r="91" ht="18.75" customHeight="1" outlineLevel="1">
      <c r="B91" s="37" t="str">
        <f>IFERROR(LET(_xlpm.v,
VLOOKUP($A91,CS!$B:$H,COLUMN(CS!B$1),FALSE),
IF(_xlpm.v=0,"",_xlpm.v)
),"")</f>
        <v/>
      </c>
      <c r="C91" s="37" t="str">
        <f>IFERROR(LET(_xlpm.v,
VLOOKUP($A91,CS!$B:$H,COLUMN(CS!C$1),FALSE),
IF(_xlpm.v=0,"",_xlpm.v)
),"")</f>
        <v/>
      </c>
      <c r="D91" s="37" t="str">
        <f>IFERROR(LET(_xlpm.v,
VLOOKUP($A91,CS!$B:$H,COLUMN(CS!D$1),FALSE),
IF(_xlpm.v=0,"",_xlpm.v)
),"")</f>
        <v/>
      </c>
      <c r="E91" s="37" t="str">
        <f>IFERROR(LET(_xlpm.v,
VLOOKUP($A91,CS!$B:$H,COLUMN(CS!E$1),FALSE),
IF(_xlpm.v=0,"",_xlpm.v)
),"")</f>
        <v/>
      </c>
      <c r="F91" s="37" t="str">
        <f>IFERROR(LET(_xlpm.v,
VLOOKUP($A91,CS!$B:$H,COLUMN(CS!F$1),FALSE),
IF(_xlpm.v=0,"",_xlpm.v)
),"")</f>
        <v/>
      </c>
      <c r="G91" s="122" t="str">
        <f>IFERROR(LET(_xlpm.v,
VLOOKUP($A91,CS!$B:$N,COLUMN(CS!M$1),FALSE),
IF(_xlpm.v=0,"",_xlpm.v)
),"")</f>
        <v/>
      </c>
      <c r="H91" s="64" t="str">
        <f>IFERROR(LET(_xlpm.v,
VLOOKUP($A91,CS!$B:$H,COLUMN(CS!G$1),FALSE),
IF(_xlpm.v=0,"",_xlpm.v)
),"")</f>
        <v/>
      </c>
      <c r="L91" s="64"/>
      <c r="M91" s="64"/>
      <c r="N91" s="64"/>
      <c r="O91" s="64"/>
      <c r="P91" s="64"/>
      <c r="Q91" s="64"/>
      <c r="R91" s="64"/>
      <c r="S91" s="64"/>
      <c r="T91" s="64"/>
      <c r="U91" s="64"/>
      <c r="V91" s="64"/>
      <c r="W91" s="64"/>
      <c r="X91" s="64"/>
      <c r="Y91" s="64"/>
      <c r="BH91" s="64"/>
      <c r="BI91" s="64"/>
      <c r="BJ91" s="64"/>
      <c r="BK91" s="64"/>
      <c r="BL91" s="64"/>
      <c r="BM91" s="64"/>
      <c r="BN91" s="64"/>
      <c r="BO91" s="64"/>
      <c r="BP91" s="64"/>
      <c r="BQ91" s="64"/>
      <c r="BR91" s="64"/>
    </row>
    <row r="92" ht="18.75" customHeight="1" outlineLevel="1">
      <c r="B92" s="37" t="str">
        <f>IFERROR(LET(_xlpm.v,
VLOOKUP($A92,CS!$B:$H,COLUMN(CS!B$1),FALSE),
IF(_xlpm.v=0,"",_xlpm.v)
),"")</f>
        <v/>
      </c>
      <c r="C92" s="37" t="str">
        <f>IFERROR(LET(_xlpm.v,
VLOOKUP($A92,CS!$B:$H,COLUMN(CS!C$1),FALSE),
IF(_xlpm.v=0,"",_xlpm.v)
),"")</f>
        <v/>
      </c>
      <c r="D92" s="37" t="str">
        <f>IFERROR(LET(_xlpm.v,
VLOOKUP($A92,CS!$B:$H,COLUMN(CS!D$1),FALSE),
IF(_xlpm.v=0,"",_xlpm.v)
),"")</f>
        <v/>
      </c>
      <c r="E92" s="37" t="str">
        <f>IFERROR(LET(_xlpm.v,
VLOOKUP($A92,CS!$B:$H,COLUMN(CS!E$1),FALSE),
IF(_xlpm.v=0,"",_xlpm.v)
),"")</f>
        <v/>
      </c>
      <c r="F92" s="37" t="str">
        <f>IFERROR(LET(_xlpm.v,
VLOOKUP($A92,CS!$B:$H,COLUMN(CS!F$1),FALSE),
IF(_xlpm.v=0,"",_xlpm.v)
),"")</f>
        <v/>
      </c>
      <c r="G92" s="122" t="str">
        <f>IFERROR(LET(_xlpm.v,
VLOOKUP($A92,CS!$B:$N,COLUMN(CS!M$1),FALSE),
IF(_xlpm.v=0,"",_xlpm.v)
),"")</f>
        <v/>
      </c>
      <c r="H92" s="64" t="str">
        <f>IFERROR(LET(_xlpm.v,
VLOOKUP($A92,CS!$B:$H,COLUMN(CS!G$1),FALSE),
IF(_xlpm.v=0,"",_xlpm.v)
),"")</f>
        <v/>
      </c>
      <c r="L92" s="64"/>
      <c r="M92" s="64"/>
      <c r="N92" s="64"/>
      <c r="O92" s="64"/>
      <c r="P92" s="64"/>
      <c r="Q92" s="64"/>
      <c r="R92" s="64"/>
      <c r="S92" s="64"/>
      <c r="T92" s="64"/>
      <c r="U92" s="64"/>
      <c r="V92" s="64"/>
      <c r="W92" s="64"/>
      <c r="X92" s="64"/>
      <c r="Y92" s="64"/>
      <c r="BH92" s="64"/>
      <c r="BI92" s="64"/>
      <c r="BJ92" s="64"/>
      <c r="BK92" s="64"/>
      <c r="BL92" s="64"/>
      <c r="BM92" s="64"/>
      <c r="BN92" s="64"/>
      <c r="BO92" s="64"/>
      <c r="BP92" s="64"/>
      <c r="BQ92" s="64"/>
      <c r="BR92" s="64"/>
    </row>
    <row r="93" ht="18.75" customHeight="1" outlineLevel="1">
      <c r="B93" s="37" t="str">
        <f>IFERROR(LET(_xlpm.v,
VLOOKUP($A93,CS!$B:$H,COLUMN(CS!B$1),FALSE),
IF(_xlpm.v=0,"",_xlpm.v)
),"")</f>
        <v/>
      </c>
      <c r="C93" s="37" t="str">
        <f>IFERROR(LET(_xlpm.v,
VLOOKUP($A93,CS!$B:$H,COLUMN(CS!C$1),FALSE),
IF(_xlpm.v=0,"",_xlpm.v)
),"")</f>
        <v/>
      </c>
      <c r="D93" s="37" t="str">
        <f>IFERROR(LET(_xlpm.v,
VLOOKUP($A93,CS!$B:$H,COLUMN(CS!D$1),FALSE),
IF(_xlpm.v=0,"",_xlpm.v)
),"")</f>
        <v/>
      </c>
      <c r="E93" s="37" t="str">
        <f>IFERROR(LET(_xlpm.v,
VLOOKUP($A93,CS!$B:$H,COLUMN(CS!E$1),FALSE),
IF(_xlpm.v=0,"",_xlpm.v)
),"")</f>
        <v/>
      </c>
      <c r="F93" s="37" t="str">
        <f>IFERROR(LET(_xlpm.v,
VLOOKUP($A93,CS!$B:$H,COLUMN(CS!F$1),FALSE),
IF(_xlpm.v=0,"",_xlpm.v)
),"")</f>
        <v/>
      </c>
      <c r="G93" s="122" t="str">
        <f>IFERROR(LET(_xlpm.v,
VLOOKUP($A93,CS!$B:$N,COLUMN(CS!M$1),FALSE),
IF(_xlpm.v=0,"",_xlpm.v)
),"")</f>
        <v/>
      </c>
      <c r="H93" s="64" t="str">
        <f>IFERROR(LET(_xlpm.v,
VLOOKUP($A93,CS!$B:$H,COLUMN(CS!G$1),FALSE),
IF(_xlpm.v=0,"",_xlpm.v)
),"")</f>
        <v/>
      </c>
      <c r="L93" s="64"/>
      <c r="M93" s="64"/>
      <c r="N93" s="64"/>
      <c r="O93" s="64"/>
      <c r="P93" s="64"/>
      <c r="Q93" s="64"/>
      <c r="R93" s="64"/>
      <c r="S93" s="64"/>
      <c r="T93" s="64"/>
      <c r="U93" s="64"/>
      <c r="V93" s="64"/>
      <c r="W93" s="64"/>
      <c r="X93" s="64"/>
      <c r="Y93" s="64"/>
      <c r="BH93" s="64"/>
      <c r="BI93" s="64"/>
      <c r="BJ93" s="64"/>
      <c r="BK93" s="64"/>
      <c r="BL93" s="64"/>
      <c r="BM93" s="64"/>
      <c r="BN93" s="64"/>
      <c r="BO93" s="64"/>
      <c r="BP93" s="64"/>
      <c r="BQ93" s="64"/>
      <c r="BR93" s="64"/>
    </row>
    <row r="94" ht="18.75" customHeight="1" outlineLevel="1">
      <c r="B94" s="37" t="str">
        <f>IFERROR(LET(_xlpm.v,
VLOOKUP($A94,CS!$B:$H,COLUMN(CS!B$1),FALSE),
IF(_xlpm.v=0,"",_xlpm.v)
),"")</f>
        <v/>
      </c>
      <c r="C94" s="37" t="str">
        <f>IFERROR(LET(_xlpm.v,
VLOOKUP($A94,CS!$B:$H,COLUMN(CS!C$1),FALSE),
IF(_xlpm.v=0,"",_xlpm.v)
),"")</f>
        <v/>
      </c>
      <c r="D94" s="37" t="str">
        <f>IFERROR(LET(_xlpm.v,
VLOOKUP($A94,CS!$B:$H,COLUMN(CS!D$1),FALSE),
IF(_xlpm.v=0,"",_xlpm.v)
),"")</f>
        <v/>
      </c>
      <c r="E94" s="37" t="str">
        <f>IFERROR(LET(_xlpm.v,
VLOOKUP($A94,CS!$B:$H,COLUMN(CS!E$1),FALSE),
IF(_xlpm.v=0,"",_xlpm.v)
),"")</f>
        <v/>
      </c>
      <c r="F94" s="37" t="str">
        <f>IFERROR(LET(_xlpm.v,
VLOOKUP($A94,CS!$B:$H,COLUMN(CS!F$1),FALSE),
IF(_xlpm.v=0,"",_xlpm.v)
),"")</f>
        <v/>
      </c>
      <c r="G94" s="122" t="str">
        <f>IFERROR(LET(_xlpm.v,
VLOOKUP($A94,CS!$B:$N,COLUMN(CS!M$1),FALSE),
IF(_xlpm.v=0,"",_xlpm.v)
),"")</f>
        <v/>
      </c>
      <c r="H94" s="64" t="str">
        <f>IFERROR(LET(_xlpm.v,
VLOOKUP($A94,CS!$B:$H,COLUMN(CS!G$1),FALSE),
IF(_xlpm.v=0,"",_xlpm.v)
),"")</f>
        <v/>
      </c>
      <c r="L94" s="64"/>
      <c r="M94" s="64"/>
      <c r="N94" s="64"/>
      <c r="O94" s="64"/>
      <c r="P94" s="64"/>
      <c r="Q94" s="64"/>
      <c r="R94" s="64"/>
      <c r="S94" s="64"/>
      <c r="T94" s="64"/>
      <c r="U94" s="64"/>
      <c r="V94" s="64"/>
      <c r="W94" s="64"/>
      <c r="X94" s="64"/>
      <c r="Y94" s="64"/>
      <c r="BH94" s="64"/>
      <c r="BI94" s="64"/>
      <c r="BJ94" s="64"/>
      <c r="BK94" s="64"/>
      <c r="BL94" s="64"/>
      <c r="BM94" s="64"/>
      <c r="BN94" s="64"/>
      <c r="BO94" s="64"/>
      <c r="BP94" s="64"/>
      <c r="BQ94" s="64"/>
      <c r="BR94" s="64"/>
    </row>
    <row r="95" ht="18.75" customHeight="1" outlineLevel="1">
      <c r="B95" s="37" t="str">
        <f>IFERROR(LET(_xlpm.v,
VLOOKUP($A95,CS!$B:$H,COLUMN(CS!B$1),FALSE),
IF(_xlpm.v=0,"",_xlpm.v)
),"")</f>
        <v/>
      </c>
      <c r="C95" s="37" t="str">
        <f>IFERROR(LET(_xlpm.v,
VLOOKUP($A95,CS!$B:$H,COLUMN(CS!C$1),FALSE),
IF(_xlpm.v=0,"",_xlpm.v)
),"")</f>
        <v/>
      </c>
      <c r="D95" s="37" t="str">
        <f>IFERROR(LET(_xlpm.v,
VLOOKUP($A95,CS!$B:$H,COLUMN(CS!D$1),FALSE),
IF(_xlpm.v=0,"",_xlpm.v)
),"")</f>
        <v/>
      </c>
      <c r="E95" s="37" t="str">
        <f>IFERROR(LET(_xlpm.v,
VLOOKUP($A95,CS!$B:$H,COLUMN(CS!E$1),FALSE),
IF(_xlpm.v=0,"",_xlpm.v)
),"")</f>
        <v/>
      </c>
      <c r="F95" s="37" t="str">
        <f>IFERROR(LET(_xlpm.v,
VLOOKUP($A95,CS!$B:$H,COLUMN(CS!F$1),FALSE),
IF(_xlpm.v=0,"",_xlpm.v)
),"")</f>
        <v/>
      </c>
      <c r="G95" s="122" t="str">
        <f>IFERROR(LET(_xlpm.v,
VLOOKUP($A95,CS!$B:$N,COLUMN(CS!M$1),FALSE),
IF(_xlpm.v=0,"",_xlpm.v)
),"")</f>
        <v/>
      </c>
      <c r="H95" s="64" t="str">
        <f>IFERROR(LET(_xlpm.v,
VLOOKUP($A95,CS!$B:$H,COLUMN(CS!G$1),FALSE),
IF(_xlpm.v=0,"",_xlpm.v)
),"")</f>
        <v/>
      </c>
      <c r="L95" s="64"/>
      <c r="M95" s="64"/>
      <c r="N95" s="64"/>
      <c r="O95" s="64"/>
      <c r="P95" s="64"/>
      <c r="Q95" s="64"/>
      <c r="R95" s="64"/>
      <c r="S95" s="64"/>
      <c r="T95" s="64"/>
      <c r="U95" s="64"/>
      <c r="V95" s="64"/>
      <c r="W95" s="64"/>
      <c r="X95" s="64"/>
      <c r="Y95" s="64"/>
      <c r="BH95" s="64"/>
      <c r="BI95" s="64"/>
      <c r="BJ95" s="64"/>
      <c r="BK95" s="64"/>
      <c r="BL95" s="64"/>
      <c r="BM95" s="64"/>
      <c r="BN95" s="64"/>
      <c r="BO95" s="64"/>
      <c r="BP95" s="64"/>
      <c r="BQ95" s="64"/>
      <c r="BR95" s="64"/>
    </row>
    <row r="96" ht="18.75" customHeight="1" outlineLevel="1">
      <c r="B96" s="37" t="str">
        <f>IFERROR(LET(_xlpm.v,
VLOOKUP($A96,CS!$B:$H,COLUMN(CS!B$1),FALSE),
IF(_xlpm.v=0,"",_xlpm.v)
),"")</f>
        <v/>
      </c>
      <c r="C96" s="37" t="str">
        <f>IFERROR(LET(_xlpm.v,
VLOOKUP($A96,CS!$B:$H,COLUMN(CS!C$1),FALSE),
IF(_xlpm.v=0,"",_xlpm.v)
),"")</f>
        <v/>
      </c>
      <c r="D96" s="37" t="str">
        <f>IFERROR(LET(_xlpm.v,
VLOOKUP($A96,CS!$B:$H,COLUMN(CS!D$1),FALSE),
IF(_xlpm.v=0,"",_xlpm.v)
),"")</f>
        <v/>
      </c>
      <c r="E96" s="37" t="str">
        <f>IFERROR(LET(_xlpm.v,
VLOOKUP($A96,CS!$B:$H,COLUMN(CS!E$1),FALSE),
IF(_xlpm.v=0,"",_xlpm.v)
),"")</f>
        <v/>
      </c>
      <c r="F96" s="37" t="str">
        <f>IFERROR(LET(_xlpm.v,
VLOOKUP($A96,CS!$B:$H,COLUMN(CS!F$1),FALSE),
IF(_xlpm.v=0,"",_xlpm.v)
),"")</f>
        <v/>
      </c>
      <c r="G96" s="122" t="str">
        <f>IFERROR(LET(_xlpm.v,
VLOOKUP($A96,CS!$B:$N,COLUMN(CS!M$1),FALSE),
IF(_xlpm.v=0,"",_xlpm.v)
),"")</f>
        <v/>
      </c>
      <c r="H96" s="64" t="str">
        <f>IFERROR(LET(_xlpm.v,
VLOOKUP($A96,CS!$B:$H,COLUMN(CS!G$1),FALSE),
IF(_xlpm.v=0,"",_xlpm.v)
),"")</f>
        <v/>
      </c>
      <c r="L96" s="64"/>
      <c r="M96" s="64"/>
      <c r="N96" s="64"/>
      <c r="O96" s="64"/>
      <c r="P96" s="64"/>
      <c r="Q96" s="64"/>
      <c r="R96" s="64"/>
      <c r="S96" s="64"/>
      <c r="T96" s="64"/>
      <c r="U96" s="64"/>
      <c r="V96" s="64"/>
      <c r="W96" s="64"/>
      <c r="X96" s="64"/>
      <c r="Y96" s="64"/>
      <c r="BH96" s="64"/>
      <c r="BI96" s="64"/>
      <c r="BJ96" s="64"/>
      <c r="BK96" s="64"/>
      <c r="BL96" s="64"/>
      <c r="BM96" s="64"/>
      <c r="BN96" s="64"/>
      <c r="BO96" s="64"/>
      <c r="BP96" s="64"/>
      <c r="BQ96" s="64"/>
      <c r="BR96" s="64"/>
    </row>
    <row r="97" ht="18.75" customHeight="1" outlineLevel="1">
      <c r="B97" s="37" t="str">
        <f>IFERROR(LET(_xlpm.v,
VLOOKUP($A97,CS!$B:$H,COLUMN(CS!B$1),FALSE),
IF(_xlpm.v=0,"",_xlpm.v)
),"")</f>
        <v/>
      </c>
      <c r="C97" s="37" t="str">
        <f>IFERROR(LET(_xlpm.v,
VLOOKUP($A97,CS!$B:$H,COLUMN(CS!C$1),FALSE),
IF(_xlpm.v=0,"",_xlpm.v)
),"")</f>
        <v/>
      </c>
      <c r="D97" s="37" t="str">
        <f>IFERROR(LET(_xlpm.v,
VLOOKUP($A97,CS!$B:$H,COLUMN(CS!D$1),FALSE),
IF(_xlpm.v=0,"",_xlpm.v)
),"")</f>
        <v/>
      </c>
      <c r="E97" s="37" t="str">
        <f>IFERROR(LET(_xlpm.v,
VLOOKUP($A97,CS!$B:$H,COLUMN(CS!E$1),FALSE),
IF(_xlpm.v=0,"",_xlpm.v)
),"")</f>
        <v/>
      </c>
      <c r="F97" s="37" t="str">
        <f>IFERROR(LET(_xlpm.v,
VLOOKUP($A97,CS!$B:$H,COLUMN(CS!F$1),FALSE),
IF(_xlpm.v=0,"",_xlpm.v)
),"")</f>
        <v/>
      </c>
      <c r="G97" s="122" t="str">
        <f>IFERROR(LET(_xlpm.v,
VLOOKUP($A97,CS!$B:$N,COLUMN(CS!M$1),FALSE),
IF(_xlpm.v=0,"",_xlpm.v)
),"")</f>
        <v/>
      </c>
      <c r="H97" s="64" t="str">
        <f>IFERROR(LET(_xlpm.v,
VLOOKUP($A97,CS!$B:$H,COLUMN(CS!G$1),FALSE),
IF(_xlpm.v=0,"",_xlpm.v)
),"")</f>
        <v/>
      </c>
      <c r="L97" s="64"/>
      <c r="M97" s="64"/>
      <c r="N97" s="64"/>
      <c r="O97" s="64"/>
      <c r="P97" s="64"/>
      <c r="Q97" s="64"/>
      <c r="R97" s="64"/>
      <c r="S97" s="64"/>
      <c r="T97" s="64"/>
      <c r="U97" s="64"/>
      <c r="V97" s="64"/>
      <c r="W97" s="64"/>
      <c r="X97" s="64"/>
      <c r="Y97" s="64"/>
      <c r="BH97" s="64"/>
      <c r="BI97" s="64"/>
      <c r="BJ97" s="64"/>
      <c r="BK97" s="64"/>
      <c r="BL97" s="64"/>
      <c r="BM97" s="64"/>
      <c r="BN97" s="64"/>
      <c r="BO97" s="64"/>
      <c r="BP97" s="64"/>
      <c r="BQ97" s="64"/>
      <c r="BR97" s="64"/>
    </row>
    <row r="98" ht="18.75" customHeight="1" outlineLevel="1">
      <c r="B98" s="37" t="str">
        <f>IFERROR(LET(_xlpm.v,
VLOOKUP($A98,CS!$B:$H,COLUMN(CS!B$1),FALSE),
IF(_xlpm.v=0,"",_xlpm.v)
),"")</f>
        <v/>
      </c>
      <c r="C98" s="37" t="str">
        <f>IFERROR(LET(_xlpm.v,
VLOOKUP($A98,CS!$B:$H,COLUMN(CS!C$1),FALSE),
IF(_xlpm.v=0,"",_xlpm.v)
),"")</f>
        <v/>
      </c>
      <c r="D98" s="37" t="str">
        <f>IFERROR(LET(_xlpm.v,
VLOOKUP($A98,CS!$B:$H,COLUMN(CS!D$1),FALSE),
IF(_xlpm.v=0,"",_xlpm.v)
),"")</f>
        <v/>
      </c>
      <c r="E98" s="37" t="str">
        <f>IFERROR(LET(_xlpm.v,
VLOOKUP($A98,CS!$B:$H,COLUMN(CS!E$1),FALSE),
IF(_xlpm.v=0,"",_xlpm.v)
),"")</f>
        <v/>
      </c>
      <c r="F98" s="37" t="str">
        <f>IFERROR(LET(_xlpm.v,
VLOOKUP($A98,CS!$B:$H,COLUMN(CS!F$1),FALSE),
IF(_xlpm.v=0,"",_xlpm.v)
),"")</f>
        <v/>
      </c>
      <c r="G98" s="122" t="str">
        <f>IFERROR(LET(_xlpm.v,
VLOOKUP($A98,CS!$B:$N,COLUMN(CS!M$1),FALSE),
IF(_xlpm.v=0,"",_xlpm.v)
),"")</f>
        <v/>
      </c>
      <c r="H98" s="64" t="str">
        <f>IFERROR(LET(_xlpm.v,
VLOOKUP($A98,CS!$B:$H,COLUMN(CS!G$1),FALSE),
IF(_xlpm.v=0,"",_xlpm.v)
),"")</f>
        <v/>
      </c>
      <c r="L98" s="64"/>
      <c r="M98" s="64"/>
      <c r="N98" s="64"/>
      <c r="O98" s="64"/>
      <c r="P98" s="64"/>
      <c r="Q98" s="64"/>
      <c r="R98" s="64"/>
      <c r="S98" s="64"/>
      <c r="T98" s="64"/>
      <c r="U98" s="64"/>
      <c r="V98" s="64"/>
      <c r="W98" s="64"/>
      <c r="X98" s="64"/>
      <c r="Y98" s="64"/>
      <c r="BH98" s="64"/>
      <c r="BI98" s="64"/>
      <c r="BJ98" s="64"/>
      <c r="BK98" s="64"/>
      <c r="BL98" s="64"/>
      <c r="BM98" s="64"/>
      <c r="BN98" s="64"/>
      <c r="BO98" s="64"/>
      <c r="BP98" s="64"/>
      <c r="BQ98" s="64"/>
      <c r="BR98" s="64"/>
    </row>
    <row r="99" ht="18.75" customHeight="1" outlineLevel="1">
      <c r="B99" s="37" t="str">
        <f>IFERROR(LET(_xlpm.v,
VLOOKUP($A99,CS!$B:$H,COLUMN(CS!B$1),FALSE),
IF(_xlpm.v=0,"",_xlpm.v)
),"")</f>
        <v/>
      </c>
      <c r="C99" s="37" t="str">
        <f>IFERROR(LET(_xlpm.v,
VLOOKUP($A99,CS!$B:$H,COLUMN(CS!C$1),FALSE),
IF(_xlpm.v=0,"",_xlpm.v)
),"")</f>
        <v/>
      </c>
      <c r="D99" s="37" t="str">
        <f>IFERROR(LET(_xlpm.v,
VLOOKUP($A99,CS!$B:$H,COLUMN(CS!D$1),FALSE),
IF(_xlpm.v=0,"",_xlpm.v)
),"")</f>
        <v/>
      </c>
      <c r="E99" s="37" t="str">
        <f>IFERROR(LET(_xlpm.v,
VLOOKUP($A99,CS!$B:$H,COLUMN(CS!E$1),FALSE),
IF(_xlpm.v=0,"",_xlpm.v)
),"")</f>
        <v/>
      </c>
      <c r="F99" s="37" t="str">
        <f>IFERROR(LET(_xlpm.v,
VLOOKUP($A99,CS!$B:$H,COLUMN(CS!F$1),FALSE),
IF(_xlpm.v=0,"",_xlpm.v)
),"")</f>
        <v/>
      </c>
      <c r="G99" s="122" t="str">
        <f>IFERROR(LET(_xlpm.v,
VLOOKUP($A99,CS!$B:$N,COLUMN(CS!M$1),FALSE),
IF(_xlpm.v=0,"",_xlpm.v)
),"")</f>
        <v/>
      </c>
      <c r="H99" s="64" t="str">
        <f>IFERROR(LET(_xlpm.v,
VLOOKUP($A99,CS!$B:$H,COLUMN(CS!G$1),FALSE),
IF(_xlpm.v=0,"",_xlpm.v)
),"")</f>
        <v/>
      </c>
      <c r="L99" s="64"/>
      <c r="M99" s="64"/>
      <c r="N99" s="64"/>
      <c r="O99" s="64"/>
      <c r="P99" s="64"/>
      <c r="Q99" s="64"/>
      <c r="R99" s="64"/>
      <c r="S99" s="64"/>
      <c r="T99" s="64"/>
      <c r="U99" s="64"/>
      <c r="V99" s="64"/>
      <c r="W99" s="64"/>
      <c r="X99" s="64"/>
      <c r="Y99" s="64"/>
      <c r="BH99" s="64"/>
      <c r="BI99" s="64"/>
      <c r="BJ99" s="64"/>
      <c r="BK99" s="64"/>
      <c r="BL99" s="64"/>
      <c r="BM99" s="64"/>
      <c r="BN99" s="64"/>
      <c r="BO99" s="64"/>
      <c r="BP99" s="64"/>
      <c r="BQ99" s="64"/>
      <c r="BR99" s="64"/>
    </row>
    <row r="100" ht="18.75" customHeight="1" outlineLevel="1">
      <c r="B100" s="37" t="str">
        <f>IFERROR(LET(_xlpm.v,
VLOOKUP($A100,CS!$B:$H,COLUMN(CS!B$1),FALSE),
IF(_xlpm.v=0,"",_xlpm.v)
),"")</f>
        <v/>
      </c>
      <c r="C100" s="37" t="str">
        <f>IFERROR(LET(_xlpm.v,
VLOOKUP($A100,CS!$B:$H,COLUMN(CS!C$1),FALSE),
IF(_xlpm.v=0,"",_xlpm.v)
),"")</f>
        <v/>
      </c>
      <c r="D100" s="37" t="str">
        <f>IFERROR(LET(_xlpm.v,
VLOOKUP($A100,CS!$B:$H,COLUMN(CS!D$1),FALSE),
IF(_xlpm.v=0,"",_xlpm.v)
),"")</f>
        <v/>
      </c>
      <c r="E100" s="37" t="str">
        <f>IFERROR(LET(_xlpm.v,
VLOOKUP($A100,CS!$B:$H,COLUMN(CS!E$1),FALSE),
IF(_xlpm.v=0,"",_xlpm.v)
),"")</f>
        <v/>
      </c>
      <c r="F100" s="37" t="str">
        <f>IFERROR(LET(_xlpm.v,
VLOOKUP($A100,CS!$B:$H,COLUMN(CS!F$1),FALSE),
IF(_xlpm.v=0,"",_xlpm.v)
),"")</f>
        <v/>
      </c>
      <c r="G100" s="122" t="str">
        <f>IFERROR(LET(_xlpm.v,
VLOOKUP($A100,CS!$B:$N,COLUMN(CS!M$1),FALSE),
IF(_xlpm.v=0,"",_xlpm.v)
),"")</f>
        <v/>
      </c>
      <c r="H100" s="64" t="str">
        <f>IFERROR(LET(_xlpm.v,
VLOOKUP($A100,CS!$B:$H,COLUMN(CS!G$1),FALSE),
IF(_xlpm.v=0,"",_xlpm.v)
),"")</f>
        <v/>
      </c>
      <c r="L100" s="64"/>
      <c r="M100" s="64"/>
      <c r="N100" s="64"/>
      <c r="O100" s="64"/>
      <c r="P100" s="64"/>
      <c r="Q100" s="64"/>
      <c r="R100" s="64"/>
      <c r="S100" s="64"/>
      <c r="T100" s="64"/>
      <c r="U100" s="64"/>
      <c r="V100" s="64"/>
      <c r="W100" s="64"/>
      <c r="X100" s="64"/>
      <c r="Y100" s="64"/>
      <c r="BH100" s="64"/>
      <c r="BI100" s="64"/>
      <c r="BJ100" s="64"/>
      <c r="BK100" s="64"/>
      <c r="BL100" s="64"/>
      <c r="BM100" s="64"/>
      <c r="BN100" s="64"/>
      <c r="BO100" s="64"/>
      <c r="BP100" s="64"/>
      <c r="BQ100" s="64"/>
      <c r="BR100" s="64"/>
    </row>
    <row r="101" ht="18.75" customHeight="1">
      <c r="G101" s="122"/>
      <c r="H101" s="64"/>
      <c r="L101" s="64"/>
      <c r="M101" s="64"/>
      <c r="N101" s="64"/>
      <c r="O101" s="64"/>
      <c r="P101" s="64"/>
      <c r="Q101" s="64"/>
      <c r="R101" s="64"/>
      <c r="S101" s="64"/>
      <c r="T101" s="64"/>
      <c r="U101" s="64"/>
      <c r="V101" s="64"/>
      <c r="W101" s="64"/>
      <c r="X101" s="64"/>
      <c r="Y101" s="64"/>
      <c r="BH101" s="64"/>
      <c r="BI101" s="64"/>
      <c r="BJ101" s="64"/>
      <c r="BK101" s="64"/>
      <c r="BL101" s="64"/>
      <c r="BM101" s="64"/>
      <c r="BN101" s="64"/>
      <c r="BO101" s="64"/>
      <c r="BP101" s="64"/>
      <c r="BQ101" s="64"/>
      <c r="BR101" s="64"/>
    </row>
    <row r="102" ht="18.75" customHeight="1">
      <c r="G102" s="122"/>
      <c r="H102" s="64"/>
      <c r="L102" s="64"/>
      <c r="M102" s="64"/>
      <c r="N102" s="64"/>
      <c r="O102" s="64"/>
      <c r="P102" s="64"/>
      <c r="Q102" s="64"/>
      <c r="R102" s="64"/>
      <c r="S102" s="64"/>
      <c r="T102" s="64"/>
      <c r="U102" s="64"/>
      <c r="V102" s="64"/>
      <c r="W102" s="64"/>
      <c r="X102" s="64"/>
      <c r="Y102" s="64"/>
      <c r="BH102" s="64"/>
      <c r="BI102" s="64"/>
      <c r="BJ102" s="64"/>
      <c r="BK102" s="64"/>
      <c r="BL102" s="64"/>
      <c r="BM102" s="64"/>
      <c r="BN102" s="64"/>
      <c r="BO102" s="64"/>
      <c r="BP102" s="64"/>
      <c r="BQ102" s="64"/>
      <c r="BR102" s="64"/>
    </row>
    <row r="103" ht="18.75" customHeight="1">
      <c r="G103" s="122"/>
      <c r="H103" s="64"/>
      <c r="L103" s="64"/>
      <c r="M103" s="64"/>
      <c r="N103" s="64"/>
      <c r="O103" s="64"/>
      <c r="P103" s="64"/>
      <c r="Q103" s="64"/>
      <c r="R103" s="64"/>
      <c r="S103" s="64"/>
      <c r="T103" s="64"/>
      <c r="U103" s="64"/>
      <c r="V103" s="64"/>
      <c r="W103" s="64"/>
      <c r="X103" s="64"/>
      <c r="Y103" s="64"/>
      <c r="BH103" s="64"/>
      <c r="BI103" s="64"/>
      <c r="BJ103" s="64"/>
      <c r="BK103" s="64"/>
      <c r="BL103" s="64"/>
      <c r="BM103" s="64"/>
      <c r="BN103" s="64"/>
      <c r="BO103" s="64"/>
      <c r="BP103" s="64"/>
      <c r="BQ103" s="64"/>
      <c r="BR103" s="64"/>
    </row>
    <row r="104" ht="18.75" customHeight="1">
      <c r="G104" s="122"/>
      <c r="H104" s="64"/>
      <c r="L104" s="64"/>
      <c r="M104" s="64"/>
      <c r="N104" s="64"/>
      <c r="O104" s="64"/>
      <c r="P104" s="64"/>
      <c r="Q104" s="64"/>
      <c r="R104" s="64"/>
      <c r="S104" s="64"/>
      <c r="T104" s="64"/>
      <c r="U104" s="64"/>
      <c r="V104" s="64"/>
      <c r="W104" s="64"/>
      <c r="X104" s="64"/>
      <c r="Y104" s="64"/>
      <c r="BH104" s="64"/>
      <c r="BI104" s="64"/>
      <c r="BJ104" s="64"/>
      <c r="BK104" s="64"/>
      <c r="BL104" s="64"/>
      <c r="BM104" s="64"/>
      <c r="BN104" s="64"/>
      <c r="BO104" s="64"/>
      <c r="BP104" s="64"/>
      <c r="BQ104" s="64"/>
      <c r="BR104" s="64"/>
    </row>
    <row r="105" ht="18.75" customHeight="1">
      <c r="G105" s="122"/>
      <c r="H105" s="64"/>
      <c r="L105" s="64"/>
      <c r="M105" s="64"/>
      <c r="N105" s="64"/>
      <c r="O105" s="64"/>
      <c r="P105" s="64"/>
      <c r="Q105" s="64"/>
      <c r="R105" s="64"/>
      <c r="S105" s="64"/>
      <c r="T105" s="64"/>
      <c r="U105" s="64"/>
      <c r="V105" s="64"/>
      <c r="W105" s="64"/>
      <c r="X105" s="64"/>
      <c r="Y105" s="64"/>
      <c r="BH105" s="64"/>
      <c r="BI105" s="64"/>
      <c r="BJ105" s="64"/>
      <c r="BK105" s="64"/>
      <c r="BL105" s="64"/>
      <c r="BM105" s="64"/>
      <c r="BN105" s="64"/>
      <c r="BO105" s="64"/>
      <c r="BP105" s="64"/>
      <c r="BQ105" s="64"/>
      <c r="BR105" s="64"/>
    </row>
    <row r="106" ht="18.75" customHeight="1">
      <c r="G106" s="122"/>
      <c r="H106" s="64"/>
      <c r="L106" s="64"/>
      <c r="M106" s="64"/>
      <c r="N106" s="64"/>
      <c r="O106" s="64"/>
      <c r="P106" s="64"/>
      <c r="Q106" s="64"/>
      <c r="R106" s="64"/>
      <c r="S106" s="64"/>
      <c r="T106" s="64"/>
      <c r="U106" s="64"/>
      <c r="V106" s="64"/>
      <c r="W106" s="64"/>
      <c r="X106" s="64"/>
      <c r="Y106" s="64"/>
      <c r="BH106" s="64"/>
      <c r="BI106" s="64"/>
      <c r="BJ106" s="64"/>
      <c r="BK106" s="64"/>
      <c r="BL106" s="64"/>
      <c r="BM106" s="64"/>
      <c r="BN106" s="64"/>
      <c r="BO106" s="64"/>
      <c r="BP106" s="64"/>
      <c r="BQ106" s="64"/>
      <c r="BR106" s="64"/>
    </row>
    <row r="107" ht="18.75" customHeight="1">
      <c r="G107" s="122"/>
      <c r="H107" s="64"/>
      <c r="L107" s="64"/>
      <c r="M107" s="64"/>
      <c r="N107" s="64"/>
      <c r="O107" s="64"/>
      <c r="P107" s="64"/>
      <c r="Q107" s="64"/>
      <c r="R107" s="64"/>
      <c r="S107" s="64"/>
      <c r="T107" s="64"/>
      <c r="U107" s="64"/>
      <c r="V107" s="64"/>
      <c r="W107" s="64"/>
      <c r="X107" s="64"/>
      <c r="Y107" s="64"/>
      <c r="BH107" s="64"/>
      <c r="BI107" s="64"/>
      <c r="BJ107" s="64"/>
      <c r="BK107" s="64"/>
      <c r="BL107" s="64"/>
      <c r="BM107" s="64"/>
      <c r="BN107" s="64"/>
      <c r="BO107" s="64"/>
      <c r="BP107" s="64"/>
      <c r="BQ107" s="64"/>
      <c r="BR107" s="64"/>
    </row>
    <row r="108" ht="18.75" customHeight="1">
      <c r="G108" s="122"/>
      <c r="H108" s="64"/>
      <c r="L108" s="64"/>
      <c r="M108" s="64"/>
      <c r="N108" s="64"/>
      <c r="O108" s="64"/>
      <c r="P108" s="64"/>
      <c r="Q108" s="64"/>
      <c r="R108" s="64"/>
      <c r="S108" s="64"/>
      <c r="T108" s="64"/>
      <c r="U108" s="64"/>
      <c r="V108" s="64"/>
      <c r="W108" s="64"/>
      <c r="X108" s="64"/>
      <c r="Y108" s="64"/>
      <c r="BH108" s="64"/>
      <c r="BI108" s="64"/>
      <c r="BJ108" s="64"/>
      <c r="BK108" s="64"/>
      <c r="BL108" s="64"/>
      <c r="BM108" s="64"/>
      <c r="BN108" s="64"/>
      <c r="BO108" s="64"/>
      <c r="BP108" s="64"/>
      <c r="BQ108" s="64"/>
      <c r="BR108" s="64"/>
    </row>
    <row r="109" ht="18.75" customHeight="1">
      <c r="G109" s="122"/>
      <c r="H109" s="64"/>
      <c r="L109" s="64"/>
      <c r="M109" s="64"/>
      <c r="N109" s="64"/>
      <c r="O109" s="64"/>
      <c r="P109" s="64"/>
      <c r="Q109" s="64"/>
      <c r="R109" s="64"/>
      <c r="S109" s="64"/>
      <c r="T109" s="64"/>
      <c r="U109" s="64"/>
      <c r="V109" s="64"/>
      <c r="W109" s="64"/>
      <c r="X109" s="64"/>
      <c r="Y109" s="64"/>
      <c r="BH109" s="64"/>
      <c r="BI109" s="64"/>
      <c r="BJ109" s="64"/>
      <c r="BK109" s="64"/>
      <c r="BL109" s="64"/>
      <c r="BM109" s="64"/>
      <c r="BN109" s="64"/>
      <c r="BO109" s="64"/>
      <c r="BP109" s="64"/>
      <c r="BQ109" s="64"/>
      <c r="BR109" s="64"/>
    </row>
    <row r="110" ht="18.75" customHeight="1">
      <c r="G110" s="122"/>
      <c r="H110" s="64"/>
      <c r="L110" s="64"/>
      <c r="M110" s="64"/>
      <c r="N110" s="64"/>
      <c r="O110" s="64"/>
      <c r="P110" s="64"/>
      <c r="Q110" s="64"/>
      <c r="R110" s="64"/>
      <c r="S110" s="64"/>
      <c r="T110" s="64"/>
      <c r="U110" s="64"/>
      <c r="V110" s="64"/>
      <c r="W110" s="64"/>
      <c r="X110" s="64"/>
      <c r="Y110" s="64"/>
      <c r="BH110" s="64"/>
      <c r="BI110" s="64"/>
      <c r="BJ110" s="64"/>
      <c r="BK110" s="64"/>
      <c r="BL110" s="64"/>
      <c r="BM110" s="64"/>
      <c r="BN110" s="64"/>
      <c r="BO110" s="64"/>
      <c r="BP110" s="64"/>
      <c r="BQ110" s="64"/>
      <c r="BR110" s="64"/>
    </row>
    <row r="111" ht="18.75" customHeight="1">
      <c r="G111" s="122"/>
      <c r="H111" s="64"/>
      <c r="L111" s="64"/>
      <c r="M111" s="64"/>
      <c r="N111" s="64"/>
      <c r="O111" s="64"/>
      <c r="P111" s="64"/>
      <c r="Q111" s="64"/>
      <c r="R111" s="64"/>
      <c r="S111" s="64"/>
      <c r="T111" s="64"/>
      <c r="U111" s="64"/>
      <c r="V111" s="64"/>
      <c r="W111" s="64"/>
      <c r="X111" s="64"/>
      <c r="Y111" s="64"/>
      <c r="BH111" s="64"/>
      <c r="BI111" s="64"/>
      <c r="BJ111" s="64"/>
      <c r="BK111" s="64"/>
      <c r="BL111" s="64"/>
      <c r="BM111" s="64"/>
      <c r="BN111" s="64"/>
      <c r="BO111" s="64"/>
      <c r="BP111" s="64"/>
      <c r="BQ111" s="64"/>
      <c r="BR111" s="64"/>
    </row>
    <row r="112" ht="18.75" customHeight="1">
      <c r="G112" s="122"/>
      <c r="H112" s="64"/>
      <c r="L112" s="64"/>
      <c r="M112" s="64"/>
      <c r="N112" s="64"/>
      <c r="O112" s="64"/>
      <c r="P112" s="64"/>
      <c r="Q112" s="64"/>
      <c r="R112" s="64"/>
      <c r="S112" s="64"/>
      <c r="T112" s="64"/>
      <c r="U112" s="64"/>
      <c r="V112" s="64"/>
      <c r="W112" s="64"/>
      <c r="X112" s="64"/>
      <c r="Y112" s="64"/>
      <c r="BH112" s="64"/>
      <c r="BI112" s="64"/>
      <c r="BJ112" s="64"/>
      <c r="BK112" s="64"/>
      <c r="BL112" s="64"/>
      <c r="BM112" s="64"/>
      <c r="BN112" s="64"/>
      <c r="BO112" s="64"/>
      <c r="BP112" s="64"/>
      <c r="BQ112" s="64"/>
      <c r="BR112" s="64"/>
    </row>
    <row r="113" ht="18.75" customHeight="1">
      <c r="G113" s="122"/>
      <c r="H113" s="64"/>
      <c r="L113" s="64"/>
      <c r="M113" s="64"/>
      <c r="N113" s="64"/>
      <c r="O113" s="64"/>
      <c r="P113" s="64"/>
      <c r="Q113" s="64"/>
      <c r="R113" s="64"/>
      <c r="S113" s="64"/>
      <c r="T113" s="64"/>
      <c r="U113" s="64"/>
      <c r="V113" s="64"/>
      <c r="W113" s="64"/>
      <c r="X113" s="64"/>
      <c r="Y113" s="64"/>
      <c r="BH113" s="64"/>
      <c r="BI113" s="64"/>
      <c r="BJ113" s="64"/>
      <c r="BK113" s="64"/>
      <c r="BL113" s="64"/>
      <c r="BM113" s="64"/>
      <c r="BN113" s="64"/>
      <c r="BO113" s="64"/>
      <c r="BP113" s="64"/>
      <c r="BQ113" s="64"/>
      <c r="BR113" s="64"/>
    </row>
    <row r="114" ht="18.75" customHeight="1">
      <c r="G114" s="122"/>
      <c r="H114" s="64"/>
      <c r="L114" s="64"/>
      <c r="M114" s="64"/>
      <c r="N114" s="64"/>
      <c r="O114" s="64"/>
      <c r="P114" s="64"/>
      <c r="Q114" s="64"/>
      <c r="R114" s="64"/>
      <c r="S114" s="64"/>
      <c r="T114" s="64"/>
      <c r="U114" s="64"/>
      <c r="V114" s="64"/>
      <c r="W114" s="64"/>
      <c r="X114" s="64"/>
      <c r="Y114" s="64"/>
      <c r="BH114" s="64"/>
      <c r="BI114" s="64"/>
      <c r="BJ114" s="64"/>
      <c r="BK114" s="64"/>
      <c r="BL114" s="64"/>
      <c r="BM114" s="64"/>
      <c r="BN114" s="64"/>
      <c r="BO114" s="64"/>
      <c r="BP114" s="64"/>
      <c r="BQ114" s="64"/>
      <c r="BR114" s="64"/>
    </row>
    <row r="115" ht="18.75" customHeight="1">
      <c r="G115" s="122"/>
      <c r="H115" s="64"/>
      <c r="L115" s="64"/>
      <c r="M115" s="64"/>
      <c r="N115" s="64"/>
      <c r="O115" s="64"/>
      <c r="P115" s="64"/>
      <c r="Q115" s="64"/>
      <c r="R115" s="64"/>
      <c r="S115" s="64"/>
      <c r="T115" s="64"/>
      <c r="U115" s="64"/>
      <c r="V115" s="64"/>
      <c r="W115" s="64"/>
      <c r="X115" s="64"/>
      <c r="Y115" s="64"/>
      <c r="BH115" s="64"/>
      <c r="BI115" s="64"/>
      <c r="BJ115" s="64"/>
      <c r="BK115" s="64"/>
      <c r="BL115" s="64"/>
      <c r="BM115" s="64"/>
      <c r="BN115" s="64"/>
      <c r="BO115" s="64"/>
      <c r="BP115" s="64"/>
      <c r="BQ115" s="64"/>
      <c r="BR115" s="64"/>
    </row>
    <row r="116" ht="18.75" customHeight="1">
      <c r="G116" s="122"/>
      <c r="H116" s="64"/>
      <c r="L116" s="64"/>
      <c r="M116" s="64"/>
      <c r="N116" s="64"/>
      <c r="O116" s="64"/>
      <c r="P116" s="64"/>
      <c r="Q116" s="64"/>
      <c r="R116" s="64"/>
      <c r="S116" s="64"/>
      <c r="T116" s="64"/>
      <c r="U116" s="64"/>
      <c r="V116" s="64"/>
      <c r="W116" s="64"/>
      <c r="X116" s="64"/>
      <c r="Y116" s="64"/>
      <c r="BH116" s="64"/>
      <c r="BI116" s="64"/>
      <c r="BJ116" s="64"/>
      <c r="BK116" s="64"/>
      <c r="BL116" s="64"/>
      <c r="BM116" s="64"/>
      <c r="BN116" s="64"/>
      <c r="BO116" s="64"/>
      <c r="BP116" s="64"/>
      <c r="BQ116" s="64"/>
      <c r="BR116" s="64"/>
    </row>
    <row r="117" ht="18.75" customHeight="1">
      <c r="G117" s="122"/>
      <c r="H117" s="64"/>
      <c r="L117" s="64"/>
      <c r="M117" s="64"/>
      <c r="N117" s="64"/>
      <c r="O117" s="64"/>
      <c r="P117" s="64"/>
      <c r="Q117" s="64"/>
      <c r="R117" s="64"/>
      <c r="S117" s="64"/>
      <c r="T117" s="64"/>
      <c r="U117" s="64"/>
      <c r="V117" s="64"/>
      <c r="W117" s="64"/>
      <c r="X117" s="64"/>
      <c r="Y117" s="64"/>
      <c r="BH117" s="64"/>
      <c r="BI117" s="64"/>
      <c r="BJ117" s="64"/>
      <c r="BK117" s="64"/>
      <c r="BL117" s="64"/>
      <c r="BM117" s="64"/>
      <c r="BN117" s="64"/>
      <c r="BO117" s="64"/>
      <c r="BP117" s="64"/>
      <c r="BQ117" s="64"/>
      <c r="BR117" s="64"/>
    </row>
    <row r="118" ht="18.75" customHeight="1">
      <c r="G118" s="122"/>
      <c r="H118" s="64"/>
      <c r="L118" s="64"/>
      <c r="M118" s="64"/>
      <c r="N118" s="64"/>
      <c r="O118" s="64"/>
      <c r="P118" s="64"/>
      <c r="Q118" s="64"/>
      <c r="R118" s="64"/>
      <c r="S118" s="64"/>
      <c r="T118" s="64"/>
      <c r="U118" s="64"/>
      <c r="V118" s="64"/>
      <c r="W118" s="64"/>
      <c r="X118" s="64"/>
      <c r="Y118" s="64"/>
      <c r="BH118" s="64"/>
      <c r="BI118" s="64"/>
      <c r="BJ118" s="64"/>
      <c r="BK118" s="64"/>
      <c r="BL118" s="64"/>
      <c r="BM118" s="64"/>
      <c r="BN118" s="64"/>
      <c r="BO118" s="64"/>
      <c r="BP118" s="64"/>
      <c r="BQ118" s="64"/>
      <c r="BR118" s="64"/>
    </row>
    <row r="119" ht="18.75" customHeight="1">
      <c r="G119" s="122"/>
      <c r="H119" s="64"/>
      <c r="L119" s="64"/>
      <c r="M119" s="64"/>
      <c r="N119" s="64"/>
      <c r="O119" s="64"/>
      <c r="P119" s="64"/>
      <c r="Q119" s="64"/>
      <c r="R119" s="64"/>
      <c r="S119" s="64"/>
      <c r="T119" s="64"/>
      <c r="U119" s="64"/>
      <c r="V119" s="64"/>
      <c r="W119" s="64"/>
      <c r="X119" s="64"/>
      <c r="Y119" s="64"/>
      <c r="BH119" s="64"/>
      <c r="BI119" s="64"/>
      <c r="BJ119" s="64"/>
      <c r="BK119" s="64"/>
      <c r="BL119" s="64"/>
      <c r="BM119" s="64"/>
      <c r="BN119" s="64"/>
      <c r="BO119" s="64"/>
      <c r="BP119" s="64"/>
      <c r="BQ119" s="64"/>
      <c r="BR119" s="64"/>
    </row>
    <row r="120" ht="18.75" customHeight="1">
      <c r="G120" s="122"/>
      <c r="H120" s="64"/>
      <c r="L120" s="64"/>
      <c r="M120" s="64"/>
      <c r="N120" s="64"/>
      <c r="O120" s="64"/>
      <c r="P120" s="64"/>
      <c r="Q120" s="64"/>
      <c r="R120" s="64"/>
      <c r="S120" s="64"/>
      <c r="T120" s="64"/>
      <c r="U120" s="64"/>
      <c r="V120" s="64"/>
      <c r="W120" s="64"/>
      <c r="X120" s="64"/>
      <c r="Y120" s="64"/>
      <c r="BH120" s="64"/>
      <c r="BI120" s="64"/>
      <c r="BJ120" s="64"/>
      <c r="BK120" s="64"/>
      <c r="BL120" s="64"/>
      <c r="BM120" s="64"/>
      <c r="BN120" s="64"/>
      <c r="BO120" s="64"/>
      <c r="BP120" s="64"/>
      <c r="BQ120" s="64"/>
      <c r="BR120" s="64"/>
    </row>
    <row r="121" ht="18.75" customHeight="1">
      <c r="G121" s="122"/>
      <c r="H121" s="64"/>
      <c r="L121" s="64"/>
      <c r="M121" s="64"/>
      <c r="N121" s="64"/>
      <c r="O121" s="64"/>
      <c r="P121" s="64"/>
      <c r="Q121" s="64"/>
      <c r="R121" s="64"/>
      <c r="S121" s="64"/>
      <c r="T121" s="64"/>
      <c r="U121" s="64"/>
      <c r="V121" s="64"/>
      <c r="W121" s="64"/>
      <c r="X121" s="64"/>
      <c r="Y121" s="64"/>
      <c r="BH121" s="64"/>
      <c r="BI121" s="64"/>
      <c r="BJ121" s="64"/>
      <c r="BK121" s="64"/>
      <c r="BL121" s="64"/>
      <c r="BM121" s="64"/>
      <c r="BN121" s="64"/>
      <c r="BO121" s="64"/>
      <c r="BP121" s="64"/>
      <c r="BQ121" s="64"/>
      <c r="BR121" s="64"/>
    </row>
    <row r="122" ht="18.75" customHeight="1">
      <c r="G122" s="122"/>
      <c r="H122" s="64"/>
      <c r="L122" s="64"/>
      <c r="M122" s="64"/>
      <c r="N122" s="64"/>
      <c r="O122" s="64"/>
      <c r="P122" s="64"/>
      <c r="Q122" s="64"/>
      <c r="R122" s="64"/>
      <c r="S122" s="64"/>
      <c r="T122" s="64"/>
      <c r="U122" s="64"/>
      <c r="V122" s="64"/>
      <c r="W122" s="64"/>
      <c r="X122" s="64"/>
      <c r="Y122" s="64"/>
      <c r="BH122" s="64"/>
      <c r="BI122" s="64"/>
      <c r="BJ122" s="64"/>
      <c r="BK122" s="64"/>
      <c r="BL122" s="64"/>
      <c r="BM122" s="64"/>
      <c r="BN122" s="64"/>
      <c r="BO122" s="64"/>
      <c r="BP122" s="64"/>
      <c r="BQ122" s="64"/>
      <c r="BR122" s="64"/>
    </row>
    <row r="123" ht="18.75" customHeight="1">
      <c r="G123" s="122"/>
      <c r="H123" s="64"/>
      <c r="L123" s="64"/>
      <c r="M123" s="64"/>
      <c r="N123" s="64"/>
      <c r="O123" s="64"/>
      <c r="P123" s="64"/>
      <c r="Q123" s="64"/>
      <c r="R123" s="64"/>
      <c r="S123" s="64"/>
      <c r="T123" s="64"/>
      <c r="U123" s="64"/>
      <c r="V123" s="64"/>
      <c r="W123" s="64"/>
      <c r="X123" s="64"/>
      <c r="Y123" s="64"/>
      <c r="BH123" s="64"/>
      <c r="BI123" s="64"/>
      <c r="BJ123" s="64"/>
      <c r="BK123" s="64"/>
      <c r="BL123" s="64"/>
      <c r="BM123" s="64"/>
      <c r="BN123" s="64"/>
      <c r="BO123" s="64"/>
      <c r="BP123" s="64"/>
      <c r="BQ123" s="64"/>
      <c r="BR123" s="64"/>
    </row>
    <row r="124" ht="18.75" customHeight="1">
      <c r="G124" s="122"/>
      <c r="H124" s="64"/>
      <c r="L124" s="64"/>
      <c r="M124" s="64"/>
      <c r="N124" s="64"/>
      <c r="O124" s="64"/>
      <c r="P124" s="64"/>
      <c r="Q124" s="64"/>
      <c r="R124" s="64"/>
      <c r="S124" s="64"/>
      <c r="T124" s="64"/>
      <c r="U124" s="64"/>
      <c r="V124" s="64"/>
      <c r="W124" s="64"/>
      <c r="X124" s="64"/>
      <c r="Y124" s="64"/>
      <c r="BH124" s="64"/>
      <c r="BI124" s="64"/>
      <c r="BJ124" s="64"/>
      <c r="BK124" s="64"/>
      <c r="BL124" s="64"/>
      <c r="BM124" s="64"/>
      <c r="BN124" s="64"/>
      <c r="BO124" s="64"/>
      <c r="BP124" s="64"/>
      <c r="BQ124" s="64"/>
      <c r="BR124" s="64"/>
    </row>
    <row r="125" ht="18.75" customHeight="1">
      <c r="G125" s="122"/>
      <c r="H125" s="64"/>
      <c r="L125" s="64"/>
      <c r="M125" s="64"/>
      <c r="N125" s="64"/>
      <c r="O125" s="64"/>
      <c r="P125" s="64"/>
      <c r="Q125" s="64"/>
      <c r="R125" s="64"/>
      <c r="S125" s="64"/>
      <c r="T125" s="64"/>
      <c r="U125" s="64"/>
      <c r="V125" s="64"/>
      <c r="W125" s="64"/>
      <c r="X125" s="64"/>
      <c r="Y125" s="64"/>
      <c r="BH125" s="64"/>
      <c r="BI125" s="64"/>
      <c r="BJ125" s="64"/>
      <c r="BK125" s="64"/>
      <c r="BL125" s="64"/>
      <c r="BM125" s="64"/>
      <c r="BN125" s="64"/>
      <c r="BO125" s="64"/>
      <c r="BP125" s="64"/>
      <c r="BQ125" s="64"/>
      <c r="BR125" s="64"/>
    </row>
    <row r="126" ht="18.75" customHeight="1">
      <c r="G126" s="122"/>
      <c r="H126" s="64"/>
      <c r="L126" s="64"/>
      <c r="M126" s="64"/>
      <c r="N126" s="64"/>
      <c r="O126" s="64"/>
      <c r="P126" s="64"/>
      <c r="Q126" s="64"/>
      <c r="R126" s="64"/>
      <c r="S126" s="64"/>
      <c r="T126" s="64"/>
      <c r="U126" s="64"/>
      <c r="V126" s="64"/>
      <c r="W126" s="64"/>
      <c r="X126" s="64"/>
      <c r="Y126" s="64"/>
      <c r="BH126" s="64"/>
      <c r="BI126" s="64"/>
      <c r="BJ126" s="64"/>
      <c r="BK126" s="64"/>
      <c r="BL126" s="64"/>
      <c r="BM126" s="64"/>
      <c r="BN126" s="64"/>
      <c r="BO126" s="64"/>
      <c r="BP126" s="64"/>
      <c r="BQ126" s="64"/>
      <c r="BR126" s="64"/>
    </row>
    <row r="127" ht="18.75" customHeight="1">
      <c r="G127" s="122"/>
      <c r="H127" s="64"/>
      <c r="L127" s="64"/>
      <c r="M127" s="64"/>
      <c r="N127" s="64"/>
      <c r="O127" s="64"/>
      <c r="P127" s="64"/>
      <c r="Q127" s="64"/>
      <c r="R127" s="64"/>
      <c r="S127" s="64"/>
      <c r="T127" s="64"/>
      <c r="U127" s="64"/>
      <c r="V127" s="64"/>
      <c r="W127" s="64"/>
      <c r="X127" s="64"/>
      <c r="Y127" s="64"/>
      <c r="BH127" s="64"/>
      <c r="BI127" s="64"/>
      <c r="BJ127" s="64"/>
      <c r="BK127" s="64"/>
      <c r="BL127" s="64"/>
      <c r="BM127" s="64"/>
      <c r="BN127" s="64"/>
      <c r="BO127" s="64"/>
      <c r="BP127" s="64"/>
      <c r="BQ127" s="64"/>
      <c r="BR127" s="64"/>
    </row>
    <row r="128" ht="18.75" customHeight="1">
      <c r="G128" s="122"/>
      <c r="H128" s="64"/>
      <c r="L128" s="64"/>
      <c r="M128" s="64"/>
      <c r="N128" s="64"/>
      <c r="O128" s="64"/>
      <c r="P128" s="64"/>
      <c r="Q128" s="64"/>
      <c r="R128" s="64"/>
      <c r="S128" s="64"/>
      <c r="T128" s="64"/>
      <c r="U128" s="64"/>
      <c r="V128" s="64"/>
      <c r="W128" s="64"/>
      <c r="X128" s="64"/>
      <c r="Y128" s="64"/>
      <c r="BH128" s="64"/>
      <c r="BI128" s="64"/>
      <c r="BJ128" s="64"/>
      <c r="BK128" s="64"/>
      <c r="BL128" s="64"/>
      <c r="BM128" s="64"/>
      <c r="BN128" s="64"/>
      <c r="BO128" s="64"/>
      <c r="BP128" s="64"/>
      <c r="BQ128" s="64"/>
      <c r="BR128" s="64"/>
    </row>
    <row r="129" ht="18.75" customHeight="1">
      <c r="G129" s="122"/>
      <c r="H129" s="64"/>
      <c r="L129" s="64"/>
      <c r="M129" s="64"/>
      <c r="N129" s="64"/>
      <c r="O129" s="64"/>
      <c r="P129" s="64"/>
      <c r="Q129" s="64"/>
      <c r="R129" s="64"/>
      <c r="S129" s="64"/>
      <c r="T129" s="64"/>
      <c r="U129" s="64"/>
      <c r="V129" s="64"/>
      <c r="W129" s="64"/>
      <c r="X129" s="64"/>
      <c r="Y129" s="64"/>
      <c r="BH129" s="64"/>
      <c r="BI129" s="64"/>
      <c r="BJ129" s="64"/>
      <c r="BK129" s="64"/>
      <c r="BL129" s="64"/>
      <c r="BM129" s="64"/>
      <c r="BN129" s="64"/>
      <c r="BO129" s="64"/>
      <c r="BP129" s="64"/>
      <c r="BQ129" s="64"/>
      <c r="BR129" s="64"/>
    </row>
    <row r="130" ht="18.75" customHeight="1">
      <c r="G130" s="122"/>
      <c r="H130" s="64"/>
      <c r="L130" s="64"/>
      <c r="M130" s="64"/>
      <c r="N130" s="64"/>
      <c r="O130" s="64"/>
      <c r="P130" s="64"/>
      <c r="Q130" s="64"/>
      <c r="R130" s="64"/>
      <c r="S130" s="64"/>
      <c r="T130" s="64"/>
      <c r="U130" s="64"/>
      <c r="V130" s="64"/>
      <c r="W130" s="64"/>
      <c r="X130" s="64"/>
      <c r="Y130" s="64"/>
      <c r="BH130" s="64"/>
      <c r="BI130" s="64"/>
      <c r="BJ130" s="64"/>
      <c r="BK130" s="64"/>
      <c r="BL130" s="64"/>
      <c r="BM130" s="64"/>
      <c r="BN130" s="64"/>
      <c r="BO130" s="64"/>
      <c r="BP130" s="64"/>
      <c r="BQ130" s="64"/>
      <c r="BR130" s="64"/>
    </row>
    <row r="131" ht="18.75" customHeight="1">
      <c r="G131" s="122"/>
      <c r="H131" s="64"/>
      <c r="L131" s="64"/>
      <c r="M131" s="64"/>
      <c r="N131" s="64"/>
      <c r="O131" s="64"/>
      <c r="P131" s="64"/>
      <c r="Q131" s="64"/>
      <c r="R131" s="64"/>
      <c r="S131" s="64"/>
      <c r="T131" s="64"/>
      <c r="U131" s="64"/>
      <c r="V131" s="64"/>
      <c r="W131" s="64"/>
      <c r="X131" s="64"/>
      <c r="Y131" s="64"/>
      <c r="BH131" s="64"/>
      <c r="BI131" s="64"/>
      <c r="BJ131" s="64"/>
      <c r="BK131" s="64"/>
      <c r="BL131" s="64"/>
      <c r="BM131" s="64"/>
      <c r="BN131" s="64"/>
      <c r="BO131" s="64"/>
      <c r="BP131" s="64"/>
      <c r="BQ131" s="64"/>
      <c r="BR131" s="64"/>
    </row>
    <row r="132" ht="18.75" customHeight="1">
      <c r="G132" s="122"/>
      <c r="H132" s="64"/>
      <c r="L132" s="64"/>
      <c r="M132" s="64"/>
      <c r="N132" s="64"/>
      <c r="O132" s="64"/>
      <c r="P132" s="64"/>
      <c r="Q132" s="64"/>
      <c r="R132" s="64"/>
      <c r="S132" s="64"/>
      <c r="T132" s="64"/>
      <c r="U132" s="64"/>
      <c r="V132" s="64"/>
      <c r="W132" s="64"/>
      <c r="X132" s="64"/>
      <c r="Y132" s="64"/>
      <c r="BH132" s="64"/>
      <c r="BI132" s="64"/>
      <c r="BJ132" s="64"/>
      <c r="BK132" s="64"/>
      <c r="BL132" s="64"/>
      <c r="BM132" s="64"/>
      <c r="BN132" s="64"/>
      <c r="BO132" s="64"/>
      <c r="BP132" s="64"/>
      <c r="BQ132" s="64"/>
      <c r="BR132" s="64"/>
    </row>
    <row r="133" ht="18.75" customHeight="1">
      <c r="G133" s="122"/>
      <c r="H133" s="64"/>
      <c r="L133" s="64"/>
      <c r="M133" s="64"/>
      <c r="N133" s="64"/>
      <c r="O133" s="64"/>
      <c r="P133" s="64"/>
      <c r="Q133" s="64"/>
      <c r="R133" s="64"/>
      <c r="S133" s="64"/>
      <c r="T133" s="64"/>
      <c r="U133" s="64"/>
      <c r="V133" s="64"/>
      <c r="W133" s="64"/>
      <c r="X133" s="64"/>
      <c r="Y133" s="64"/>
      <c r="BH133" s="64"/>
      <c r="BI133" s="64"/>
      <c r="BJ133" s="64"/>
      <c r="BK133" s="64"/>
      <c r="BL133" s="64"/>
      <c r="BM133" s="64"/>
      <c r="BN133" s="64"/>
      <c r="BO133" s="64"/>
      <c r="BP133" s="64"/>
      <c r="BQ133" s="64"/>
      <c r="BR133" s="64"/>
    </row>
    <row r="134" ht="18.75" customHeight="1">
      <c r="G134" s="122"/>
      <c r="H134" s="64"/>
      <c r="L134" s="64"/>
      <c r="M134" s="64"/>
      <c r="N134" s="64"/>
      <c r="O134" s="64"/>
      <c r="P134" s="64"/>
      <c r="Q134" s="64"/>
      <c r="R134" s="64"/>
      <c r="S134" s="64"/>
      <c r="T134" s="64"/>
      <c r="U134" s="64"/>
      <c r="V134" s="64"/>
      <c r="W134" s="64"/>
      <c r="X134" s="64"/>
      <c r="Y134" s="64"/>
      <c r="BH134" s="64"/>
      <c r="BI134" s="64"/>
      <c r="BJ134" s="64"/>
      <c r="BK134" s="64"/>
      <c r="BL134" s="64"/>
      <c r="BM134" s="64"/>
      <c r="BN134" s="64"/>
      <c r="BO134" s="64"/>
      <c r="BP134" s="64"/>
      <c r="BQ134" s="64"/>
      <c r="BR134" s="64"/>
    </row>
    <row r="135" ht="18.75" customHeight="1">
      <c r="G135" s="122"/>
      <c r="H135" s="64"/>
      <c r="L135" s="64"/>
      <c r="M135" s="64"/>
      <c r="N135" s="64"/>
      <c r="O135" s="64"/>
      <c r="P135" s="64"/>
      <c r="Q135" s="64"/>
      <c r="R135" s="64"/>
      <c r="S135" s="64"/>
      <c r="T135" s="64"/>
      <c r="U135" s="64"/>
      <c r="V135" s="64"/>
      <c r="W135" s="64"/>
      <c r="X135" s="64"/>
      <c r="Y135" s="64"/>
      <c r="BH135" s="64"/>
      <c r="BI135" s="64"/>
      <c r="BJ135" s="64"/>
      <c r="BK135" s="64"/>
      <c r="BL135" s="64"/>
      <c r="BM135" s="64"/>
      <c r="BN135" s="64"/>
      <c r="BO135" s="64"/>
      <c r="BP135" s="64"/>
      <c r="BQ135" s="64"/>
      <c r="BR135" s="64"/>
    </row>
    <row r="136" ht="18.75" customHeight="1">
      <c r="G136" s="122"/>
      <c r="H136" s="64"/>
      <c r="L136" s="64"/>
      <c r="M136" s="64"/>
      <c r="N136" s="64"/>
      <c r="O136" s="64"/>
      <c r="P136" s="64"/>
      <c r="Q136" s="64"/>
      <c r="R136" s="64"/>
      <c r="S136" s="64"/>
      <c r="T136" s="64"/>
      <c r="U136" s="64"/>
      <c r="V136" s="64"/>
      <c r="W136" s="64"/>
      <c r="X136" s="64"/>
      <c r="Y136" s="64"/>
      <c r="BH136" s="64"/>
      <c r="BI136" s="64"/>
      <c r="BJ136" s="64"/>
      <c r="BK136" s="64"/>
      <c r="BL136" s="64"/>
      <c r="BM136" s="64"/>
      <c r="BN136" s="64"/>
      <c r="BO136" s="64"/>
      <c r="BP136" s="64"/>
      <c r="BQ136" s="64"/>
      <c r="BR136" s="64"/>
    </row>
    <row r="137" ht="18.75" customHeight="1">
      <c r="G137" s="122"/>
      <c r="H137" s="64"/>
      <c r="L137" s="64"/>
      <c r="M137" s="64"/>
      <c r="N137" s="64"/>
      <c r="O137" s="64"/>
      <c r="P137" s="64"/>
      <c r="Q137" s="64"/>
      <c r="R137" s="64"/>
      <c r="S137" s="64"/>
      <c r="T137" s="64"/>
      <c r="U137" s="64"/>
      <c r="V137" s="64"/>
      <c r="W137" s="64"/>
      <c r="X137" s="64"/>
      <c r="Y137" s="64"/>
      <c r="BH137" s="64"/>
      <c r="BI137" s="64"/>
      <c r="BJ137" s="64"/>
      <c r="BK137" s="64"/>
      <c r="BL137" s="64"/>
      <c r="BM137" s="64"/>
      <c r="BN137" s="64"/>
      <c r="BO137" s="64"/>
      <c r="BP137" s="64"/>
      <c r="BQ137" s="64"/>
      <c r="BR137" s="64"/>
    </row>
    <row r="138" ht="18.75" customHeight="1">
      <c r="G138" s="122"/>
      <c r="H138" s="64"/>
      <c r="L138" s="64"/>
      <c r="M138" s="64"/>
      <c r="N138" s="64"/>
      <c r="O138" s="64"/>
      <c r="P138" s="64"/>
      <c r="Q138" s="64"/>
      <c r="R138" s="64"/>
      <c r="S138" s="64"/>
      <c r="T138" s="64"/>
      <c r="U138" s="64"/>
      <c r="V138" s="64"/>
      <c r="W138" s="64"/>
      <c r="X138" s="64"/>
      <c r="Y138" s="64"/>
      <c r="BH138" s="64"/>
      <c r="BI138" s="64"/>
      <c r="BJ138" s="64"/>
      <c r="BK138" s="64"/>
      <c r="BL138" s="64"/>
      <c r="BM138" s="64"/>
      <c r="BN138" s="64"/>
      <c r="BO138" s="64"/>
      <c r="BP138" s="64"/>
      <c r="BQ138" s="64"/>
      <c r="BR138" s="64"/>
    </row>
    <row r="139" ht="18.75" customHeight="1">
      <c r="G139" s="122"/>
      <c r="H139" s="64"/>
      <c r="L139" s="64"/>
      <c r="M139" s="64"/>
      <c r="N139" s="64"/>
      <c r="O139" s="64"/>
      <c r="P139" s="64"/>
      <c r="Q139" s="64"/>
      <c r="R139" s="64"/>
      <c r="S139" s="64"/>
      <c r="T139" s="64"/>
      <c r="U139" s="64"/>
      <c r="V139" s="64"/>
      <c r="W139" s="64"/>
      <c r="X139" s="64"/>
      <c r="Y139" s="64"/>
      <c r="BH139" s="64"/>
      <c r="BI139" s="64"/>
      <c r="BJ139" s="64"/>
      <c r="BK139" s="64"/>
      <c r="BL139" s="64"/>
      <c r="BM139" s="64"/>
      <c r="BN139" s="64"/>
      <c r="BO139" s="64"/>
      <c r="BP139" s="64"/>
      <c r="BQ139" s="64"/>
      <c r="BR139" s="64"/>
    </row>
    <row r="140" ht="18.75" customHeight="1">
      <c r="G140" s="122"/>
      <c r="H140" s="64"/>
      <c r="L140" s="64"/>
      <c r="M140" s="64"/>
      <c r="N140" s="64"/>
      <c r="O140" s="64"/>
      <c r="P140" s="64"/>
      <c r="Q140" s="64"/>
      <c r="R140" s="64"/>
      <c r="S140" s="64"/>
      <c r="T140" s="64"/>
      <c r="U140" s="64"/>
      <c r="V140" s="64"/>
      <c r="W140" s="64"/>
      <c r="X140" s="64"/>
      <c r="Y140" s="64"/>
      <c r="BH140" s="64"/>
      <c r="BI140" s="64"/>
      <c r="BJ140" s="64"/>
      <c r="BK140" s="64"/>
      <c r="BL140" s="64"/>
      <c r="BM140" s="64"/>
      <c r="BN140" s="64"/>
      <c r="BO140" s="64"/>
      <c r="BP140" s="64"/>
      <c r="BQ140" s="64"/>
      <c r="BR140" s="64"/>
    </row>
    <row r="141" ht="18.75" customHeight="1">
      <c r="G141" s="122"/>
      <c r="H141" s="64"/>
      <c r="L141" s="64"/>
      <c r="M141" s="64"/>
      <c r="N141" s="64"/>
      <c r="O141" s="64"/>
      <c r="P141" s="64"/>
      <c r="Q141" s="64"/>
      <c r="R141" s="64"/>
      <c r="S141" s="64"/>
      <c r="T141" s="64"/>
      <c r="U141" s="64"/>
      <c r="V141" s="64"/>
      <c r="W141" s="64"/>
      <c r="X141" s="64"/>
      <c r="Y141" s="64"/>
      <c r="BH141" s="64"/>
      <c r="BI141" s="64"/>
      <c r="BJ141" s="64"/>
      <c r="BK141" s="64"/>
      <c r="BL141" s="64"/>
      <c r="BM141" s="64"/>
      <c r="BN141" s="64"/>
      <c r="BO141" s="64"/>
      <c r="BP141" s="64"/>
      <c r="BQ141" s="64"/>
      <c r="BR141" s="64"/>
    </row>
    <row r="142" ht="18.75" customHeight="1">
      <c r="G142" s="122"/>
      <c r="H142" s="64"/>
      <c r="L142" s="64"/>
      <c r="M142" s="64"/>
      <c r="N142" s="64"/>
      <c r="O142" s="64"/>
      <c r="P142" s="64"/>
      <c r="Q142" s="64"/>
      <c r="R142" s="64"/>
      <c r="S142" s="64"/>
      <c r="T142" s="64"/>
      <c r="U142" s="64"/>
      <c r="V142" s="64"/>
      <c r="W142" s="64"/>
      <c r="X142" s="64"/>
      <c r="Y142" s="64"/>
      <c r="BH142" s="64"/>
      <c r="BI142" s="64"/>
      <c r="BJ142" s="64"/>
      <c r="BK142" s="64"/>
      <c r="BL142" s="64"/>
      <c r="BM142" s="64"/>
      <c r="BN142" s="64"/>
      <c r="BO142" s="64"/>
      <c r="BP142" s="64"/>
      <c r="BQ142" s="64"/>
      <c r="BR142" s="64"/>
    </row>
    <row r="143" ht="18.75" customHeight="1">
      <c r="G143" s="122"/>
      <c r="H143" s="64"/>
      <c r="L143" s="64"/>
      <c r="M143" s="64"/>
      <c r="N143" s="64"/>
      <c r="O143" s="64"/>
      <c r="P143" s="64"/>
      <c r="Q143" s="64"/>
      <c r="R143" s="64"/>
      <c r="S143" s="64"/>
      <c r="T143" s="64"/>
      <c r="U143" s="64"/>
      <c r="V143" s="64"/>
      <c r="W143" s="64"/>
      <c r="X143" s="64"/>
      <c r="Y143" s="64"/>
      <c r="BH143" s="64"/>
      <c r="BI143" s="64"/>
      <c r="BJ143" s="64"/>
      <c r="BK143" s="64"/>
      <c r="BL143" s="64"/>
      <c r="BM143" s="64"/>
      <c r="BN143" s="64"/>
      <c r="BO143" s="64"/>
      <c r="BP143" s="64"/>
      <c r="BQ143" s="64"/>
      <c r="BR143" s="64"/>
    </row>
    <row r="144" ht="18.75" customHeight="1">
      <c r="G144" s="122"/>
      <c r="H144" s="64"/>
      <c r="L144" s="64"/>
      <c r="M144" s="64"/>
      <c r="N144" s="64"/>
      <c r="O144" s="64"/>
      <c r="P144" s="64"/>
      <c r="Q144" s="64"/>
      <c r="R144" s="64"/>
      <c r="S144" s="64"/>
      <c r="T144" s="64"/>
      <c r="U144" s="64"/>
      <c r="V144" s="64"/>
      <c r="W144" s="64"/>
      <c r="X144" s="64"/>
      <c r="Y144" s="64"/>
      <c r="BH144" s="64"/>
      <c r="BI144" s="64"/>
      <c r="BJ144" s="64"/>
      <c r="BK144" s="64"/>
      <c r="BL144" s="64"/>
      <c r="BM144" s="64"/>
      <c r="BN144" s="64"/>
      <c r="BO144" s="64"/>
      <c r="BP144" s="64"/>
      <c r="BQ144" s="64"/>
      <c r="BR144" s="64"/>
    </row>
    <row r="145" ht="18.75" customHeight="1">
      <c r="G145" s="122"/>
      <c r="H145" s="64"/>
      <c r="L145" s="64"/>
      <c r="M145" s="64"/>
      <c r="N145" s="64"/>
      <c r="O145" s="64"/>
      <c r="P145" s="64"/>
      <c r="Q145" s="64"/>
      <c r="R145" s="64"/>
      <c r="S145" s="64"/>
      <c r="T145" s="64"/>
      <c r="U145" s="64"/>
      <c r="V145" s="64"/>
      <c r="W145" s="64"/>
      <c r="X145" s="64"/>
      <c r="Y145" s="64"/>
      <c r="BH145" s="64"/>
      <c r="BI145" s="64"/>
      <c r="BJ145" s="64"/>
      <c r="BK145" s="64"/>
      <c r="BL145" s="64"/>
      <c r="BM145" s="64"/>
      <c r="BN145" s="64"/>
      <c r="BO145" s="64"/>
      <c r="BP145" s="64"/>
      <c r="BQ145" s="64"/>
      <c r="BR145" s="64"/>
    </row>
    <row r="146" ht="18.75" customHeight="1">
      <c r="G146" s="122"/>
      <c r="H146" s="64"/>
      <c r="L146" s="64"/>
      <c r="M146" s="64"/>
      <c r="N146" s="64"/>
      <c r="O146" s="64"/>
      <c r="P146" s="64"/>
      <c r="Q146" s="64"/>
      <c r="R146" s="64"/>
      <c r="S146" s="64"/>
      <c r="T146" s="64"/>
      <c r="U146" s="64"/>
      <c r="V146" s="64"/>
      <c r="W146" s="64"/>
      <c r="X146" s="64"/>
      <c r="Y146" s="64"/>
      <c r="BH146" s="64"/>
      <c r="BI146" s="64"/>
      <c r="BJ146" s="64"/>
      <c r="BK146" s="64"/>
      <c r="BL146" s="64"/>
      <c r="BM146" s="64"/>
      <c r="BN146" s="64"/>
      <c r="BO146" s="64"/>
      <c r="BP146" s="64"/>
      <c r="BQ146" s="64"/>
      <c r="BR146" s="64"/>
    </row>
    <row r="147" ht="18.75" customHeight="1">
      <c r="G147" s="122"/>
      <c r="H147" s="64"/>
      <c r="L147" s="64"/>
      <c r="M147" s="64"/>
      <c r="N147" s="64"/>
      <c r="O147" s="64"/>
      <c r="P147" s="64"/>
      <c r="Q147" s="64"/>
      <c r="R147" s="64"/>
      <c r="S147" s="64"/>
      <c r="T147" s="64"/>
      <c r="U147" s="64"/>
      <c r="V147" s="64"/>
      <c r="W147" s="64"/>
      <c r="X147" s="64"/>
      <c r="Y147" s="64"/>
      <c r="BH147" s="64"/>
      <c r="BI147" s="64"/>
      <c r="BJ147" s="64"/>
      <c r="BK147" s="64"/>
      <c r="BL147" s="64"/>
      <c r="BM147" s="64"/>
      <c r="BN147" s="64"/>
      <c r="BO147" s="64"/>
      <c r="BP147" s="64"/>
      <c r="BQ147" s="64"/>
      <c r="BR147" s="64"/>
    </row>
    <row r="148" ht="18.75" customHeight="1">
      <c r="G148" s="122"/>
      <c r="H148" s="64"/>
      <c r="L148" s="64"/>
      <c r="M148" s="64"/>
      <c r="N148" s="64"/>
      <c r="O148" s="64"/>
      <c r="P148" s="64"/>
      <c r="Q148" s="64"/>
      <c r="R148" s="64"/>
      <c r="S148" s="64"/>
      <c r="T148" s="64"/>
      <c r="U148" s="64"/>
      <c r="V148" s="64"/>
      <c r="W148" s="64"/>
      <c r="X148" s="64"/>
      <c r="Y148" s="64"/>
      <c r="BH148" s="64"/>
      <c r="BI148" s="64"/>
      <c r="BJ148" s="64"/>
      <c r="BK148" s="64"/>
      <c r="BL148" s="64"/>
      <c r="BM148" s="64"/>
      <c r="BN148" s="64"/>
      <c r="BO148" s="64"/>
      <c r="BP148" s="64"/>
      <c r="BQ148" s="64"/>
      <c r="BR148" s="64"/>
    </row>
    <row r="149" ht="18.75" customHeight="1">
      <c r="G149" s="122"/>
      <c r="H149" s="64"/>
      <c r="L149" s="64"/>
      <c r="M149" s="64"/>
      <c r="N149" s="64"/>
      <c r="O149" s="64"/>
      <c r="P149" s="64"/>
      <c r="Q149" s="64"/>
      <c r="R149" s="64"/>
      <c r="S149" s="64"/>
      <c r="T149" s="64"/>
      <c r="U149" s="64"/>
      <c r="V149" s="64"/>
      <c r="W149" s="64"/>
      <c r="X149" s="64"/>
      <c r="Y149" s="64"/>
      <c r="BH149" s="64"/>
      <c r="BI149" s="64"/>
      <c r="BJ149" s="64"/>
      <c r="BK149" s="64"/>
      <c r="BL149" s="64"/>
      <c r="BM149" s="64"/>
      <c r="BN149" s="64"/>
      <c r="BO149" s="64"/>
      <c r="BP149" s="64"/>
      <c r="BQ149" s="64"/>
      <c r="BR149" s="64"/>
    </row>
    <row r="150" ht="18.75" customHeight="1">
      <c r="G150" s="122"/>
      <c r="H150" s="64"/>
      <c r="L150" s="64"/>
      <c r="M150" s="64"/>
      <c r="N150" s="64"/>
      <c r="O150" s="64"/>
      <c r="P150" s="64"/>
      <c r="Q150" s="64"/>
      <c r="R150" s="64"/>
      <c r="S150" s="64"/>
      <c r="T150" s="64"/>
      <c r="U150" s="64"/>
      <c r="V150" s="64"/>
      <c r="W150" s="64"/>
      <c r="X150" s="64"/>
      <c r="Y150" s="64"/>
      <c r="BH150" s="64"/>
      <c r="BI150" s="64"/>
      <c r="BJ150" s="64"/>
      <c r="BK150" s="64"/>
      <c r="BL150" s="64"/>
      <c r="BM150" s="64"/>
      <c r="BN150" s="64"/>
      <c r="BO150" s="64"/>
      <c r="BP150" s="64"/>
      <c r="BQ150" s="64"/>
      <c r="BR150" s="64"/>
    </row>
    <row r="151" ht="18.75" customHeight="1">
      <c r="G151" s="122"/>
      <c r="H151" s="64"/>
      <c r="L151" s="64"/>
      <c r="M151" s="64"/>
      <c r="N151" s="64"/>
      <c r="O151" s="64"/>
      <c r="P151" s="64"/>
      <c r="Q151" s="64"/>
      <c r="R151" s="64"/>
      <c r="S151" s="64"/>
      <c r="T151" s="64"/>
      <c r="U151" s="64"/>
      <c r="V151" s="64"/>
      <c r="W151" s="64"/>
      <c r="X151" s="64"/>
      <c r="Y151" s="64"/>
      <c r="BH151" s="64"/>
      <c r="BI151" s="64"/>
      <c r="BJ151" s="64"/>
      <c r="BK151" s="64"/>
      <c r="BL151" s="64"/>
      <c r="BM151" s="64"/>
      <c r="BN151" s="64"/>
      <c r="BO151" s="64"/>
      <c r="BP151" s="64"/>
      <c r="BQ151" s="64"/>
      <c r="BR151" s="64"/>
    </row>
    <row r="152" ht="18.75" customHeight="1">
      <c r="G152" s="122"/>
      <c r="H152" s="64"/>
      <c r="L152" s="64"/>
      <c r="M152" s="64"/>
      <c r="N152" s="64"/>
      <c r="O152" s="64"/>
      <c r="P152" s="64"/>
      <c r="Q152" s="64"/>
      <c r="R152" s="64"/>
      <c r="S152" s="64"/>
      <c r="T152" s="64"/>
      <c r="U152" s="64"/>
      <c r="V152" s="64"/>
      <c r="W152" s="64"/>
      <c r="X152" s="64"/>
      <c r="Y152" s="64"/>
      <c r="BH152" s="64"/>
      <c r="BI152" s="64"/>
      <c r="BJ152" s="64"/>
      <c r="BK152" s="64"/>
      <c r="BL152" s="64"/>
      <c r="BM152" s="64"/>
      <c r="BN152" s="64"/>
      <c r="BO152" s="64"/>
      <c r="BP152" s="64"/>
      <c r="BQ152" s="64"/>
      <c r="BR152" s="64"/>
    </row>
    <row r="153" ht="18.75" customHeight="1">
      <c r="G153" s="122"/>
      <c r="H153" s="64"/>
      <c r="L153" s="64"/>
      <c r="M153" s="64"/>
      <c r="N153" s="64"/>
      <c r="O153" s="64"/>
      <c r="P153" s="64"/>
      <c r="Q153" s="64"/>
      <c r="R153" s="64"/>
      <c r="S153" s="64"/>
      <c r="T153" s="64"/>
      <c r="U153" s="64"/>
      <c r="V153" s="64"/>
      <c r="W153" s="64"/>
      <c r="X153" s="64"/>
      <c r="Y153" s="64"/>
      <c r="BH153" s="64"/>
      <c r="BI153" s="64"/>
      <c r="BJ153" s="64"/>
      <c r="BK153" s="64"/>
      <c r="BL153" s="64"/>
      <c r="BM153" s="64"/>
      <c r="BN153" s="64"/>
      <c r="BO153" s="64"/>
      <c r="BP153" s="64"/>
      <c r="BQ153" s="64"/>
      <c r="BR153" s="64"/>
    </row>
    <row r="154" ht="18.75" customHeight="1">
      <c r="G154" s="122"/>
      <c r="H154" s="64"/>
      <c r="L154" s="64"/>
      <c r="M154" s="64"/>
      <c r="N154" s="64"/>
      <c r="O154" s="64"/>
      <c r="P154" s="64"/>
      <c r="Q154" s="64"/>
      <c r="R154" s="64"/>
      <c r="S154" s="64"/>
      <c r="T154" s="64"/>
      <c r="U154" s="64"/>
      <c r="V154" s="64"/>
      <c r="W154" s="64"/>
      <c r="X154" s="64"/>
      <c r="Y154" s="64"/>
      <c r="BH154" s="64"/>
      <c r="BI154" s="64"/>
      <c r="BJ154" s="64"/>
      <c r="BK154" s="64"/>
      <c r="BL154" s="64"/>
      <c r="BM154" s="64"/>
      <c r="BN154" s="64"/>
      <c r="BO154" s="64"/>
      <c r="BP154" s="64"/>
      <c r="BQ154" s="64"/>
      <c r="BR154" s="64"/>
    </row>
    <row r="155" ht="18.75" customHeight="1">
      <c r="G155" s="122"/>
      <c r="H155" s="64"/>
      <c r="L155" s="64"/>
      <c r="M155" s="64"/>
      <c r="N155" s="64"/>
      <c r="O155" s="64"/>
      <c r="P155" s="64"/>
      <c r="Q155" s="64"/>
      <c r="R155" s="64"/>
      <c r="S155" s="64"/>
      <c r="T155" s="64"/>
      <c r="U155" s="64"/>
      <c r="V155" s="64"/>
      <c r="W155" s="64"/>
      <c r="X155" s="64"/>
      <c r="Y155" s="64"/>
      <c r="BH155" s="64"/>
      <c r="BI155" s="64"/>
      <c r="BJ155" s="64"/>
      <c r="BK155" s="64"/>
      <c r="BL155" s="64"/>
      <c r="BM155" s="64"/>
      <c r="BN155" s="64"/>
      <c r="BO155" s="64"/>
      <c r="BP155" s="64"/>
      <c r="BQ155" s="64"/>
      <c r="BR155" s="64"/>
    </row>
    <row r="156" ht="18.75" customHeight="1">
      <c r="G156" s="122"/>
      <c r="H156" s="64"/>
      <c r="L156" s="64"/>
      <c r="M156" s="64"/>
      <c r="N156" s="64"/>
      <c r="O156" s="64"/>
      <c r="P156" s="64"/>
      <c r="Q156" s="64"/>
      <c r="R156" s="64"/>
      <c r="S156" s="64"/>
      <c r="T156" s="64"/>
      <c r="U156" s="64"/>
      <c r="V156" s="64"/>
      <c r="W156" s="64"/>
      <c r="X156" s="64"/>
      <c r="Y156" s="64"/>
      <c r="BH156" s="64"/>
      <c r="BI156" s="64"/>
      <c r="BJ156" s="64"/>
      <c r="BK156" s="64"/>
      <c r="BL156" s="64"/>
      <c r="BM156" s="64"/>
      <c r="BN156" s="64"/>
      <c r="BO156" s="64"/>
      <c r="BP156" s="64"/>
      <c r="BQ156" s="64"/>
      <c r="BR156" s="64"/>
    </row>
    <row r="157" ht="18.75" customHeight="1">
      <c r="G157" s="122"/>
      <c r="H157" s="64"/>
      <c r="L157" s="64"/>
      <c r="M157" s="64"/>
      <c r="N157" s="64"/>
      <c r="O157" s="64"/>
      <c r="P157" s="64"/>
      <c r="Q157" s="64"/>
      <c r="R157" s="64"/>
      <c r="S157" s="64"/>
      <c r="T157" s="64"/>
      <c r="U157" s="64"/>
      <c r="V157" s="64"/>
      <c r="W157" s="64"/>
      <c r="X157" s="64"/>
      <c r="Y157" s="64"/>
      <c r="BH157" s="64"/>
      <c r="BI157" s="64"/>
      <c r="BJ157" s="64"/>
      <c r="BK157" s="64"/>
      <c r="BL157" s="64"/>
      <c r="BM157" s="64"/>
      <c r="BN157" s="64"/>
      <c r="BO157" s="64"/>
      <c r="BP157" s="64"/>
      <c r="BQ157" s="64"/>
      <c r="BR157" s="64"/>
    </row>
    <row r="158" ht="18.75" customHeight="1">
      <c r="G158" s="122"/>
      <c r="H158" s="64"/>
      <c r="L158" s="64"/>
      <c r="M158" s="64"/>
      <c r="N158" s="64"/>
      <c r="O158" s="64"/>
      <c r="P158" s="64"/>
      <c r="Q158" s="64"/>
      <c r="R158" s="64"/>
      <c r="S158" s="64"/>
      <c r="T158" s="64"/>
      <c r="U158" s="64"/>
      <c r="V158" s="64"/>
      <c r="W158" s="64"/>
      <c r="X158" s="64"/>
      <c r="Y158" s="64"/>
      <c r="BH158" s="64"/>
      <c r="BI158" s="64"/>
      <c r="BJ158" s="64"/>
      <c r="BK158" s="64"/>
      <c r="BL158" s="64"/>
      <c r="BM158" s="64"/>
      <c r="BN158" s="64"/>
      <c r="BO158" s="64"/>
      <c r="BP158" s="64"/>
      <c r="BQ158" s="64"/>
      <c r="BR158" s="64"/>
    </row>
    <row r="159" ht="18.75" customHeight="1">
      <c r="G159" s="122"/>
      <c r="H159" s="64"/>
      <c r="L159" s="64"/>
      <c r="M159" s="64"/>
      <c r="N159" s="64"/>
      <c r="O159" s="64"/>
      <c r="P159" s="64"/>
      <c r="Q159" s="64"/>
      <c r="R159" s="64"/>
      <c r="S159" s="64"/>
      <c r="T159" s="64"/>
      <c r="U159" s="64"/>
      <c r="V159" s="64"/>
      <c r="W159" s="64"/>
      <c r="X159" s="64"/>
      <c r="Y159" s="64"/>
      <c r="BH159" s="64"/>
      <c r="BI159" s="64"/>
      <c r="BJ159" s="64"/>
      <c r="BK159" s="64"/>
      <c r="BL159" s="64"/>
      <c r="BM159" s="64"/>
      <c r="BN159" s="64"/>
      <c r="BO159" s="64"/>
      <c r="BP159" s="64"/>
      <c r="BQ159" s="64"/>
      <c r="BR159" s="64"/>
    </row>
    <row r="160" ht="18.75" customHeight="1">
      <c r="G160" s="122"/>
      <c r="H160" s="64"/>
      <c r="L160" s="64"/>
      <c r="M160" s="64"/>
      <c r="N160" s="64"/>
      <c r="O160" s="64"/>
      <c r="P160" s="64"/>
      <c r="Q160" s="64"/>
      <c r="R160" s="64"/>
      <c r="S160" s="64"/>
      <c r="T160" s="64"/>
      <c r="U160" s="64"/>
      <c r="V160" s="64"/>
      <c r="W160" s="64"/>
      <c r="X160" s="64"/>
      <c r="Y160" s="64"/>
      <c r="BH160" s="64"/>
      <c r="BI160" s="64"/>
      <c r="BJ160" s="64"/>
      <c r="BK160" s="64"/>
      <c r="BL160" s="64"/>
      <c r="BM160" s="64"/>
      <c r="BN160" s="64"/>
      <c r="BO160" s="64"/>
      <c r="BP160" s="64"/>
      <c r="BQ160" s="64"/>
      <c r="BR160" s="64"/>
    </row>
    <row r="161" ht="18.75" customHeight="1">
      <c r="G161" s="122"/>
      <c r="H161" s="64"/>
      <c r="L161" s="64"/>
      <c r="M161" s="64"/>
      <c r="N161" s="64"/>
      <c r="O161" s="64"/>
      <c r="P161" s="64"/>
      <c r="Q161" s="64"/>
      <c r="R161" s="64"/>
      <c r="S161" s="64"/>
      <c r="T161" s="64"/>
      <c r="U161" s="64"/>
      <c r="V161" s="64"/>
      <c r="W161" s="64"/>
      <c r="X161" s="64"/>
      <c r="Y161" s="64"/>
      <c r="BH161" s="64"/>
      <c r="BI161" s="64"/>
      <c r="BJ161" s="64"/>
      <c r="BK161" s="64"/>
      <c r="BL161" s="64"/>
      <c r="BM161" s="64"/>
      <c r="BN161" s="64"/>
      <c r="BO161" s="64"/>
      <c r="BP161" s="64"/>
      <c r="BQ161" s="64"/>
      <c r="BR161" s="64"/>
    </row>
    <row r="162" ht="18.75" customHeight="1">
      <c r="G162" s="122"/>
      <c r="H162" s="64"/>
      <c r="L162" s="64"/>
      <c r="M162" s="64"/>
      <c r="N162" s="64"/>
      <c r="O162" s="64"/>
      <c r="P162" s="64"/>
      <c r="Q162" s="64"/>
      <c r="R162" s="64"/>
      <c r="S162" s="64"/>
      <c r="T162" s="64"/>
      <c r="U162" s="64"/>
      <c r="V162" s="64"/>
      <c r="W162" s="64"/>
      <c r="X162" s="64"/>
      <c r="Y162" s="64"/>
      <c r="BH162" s="64"/>
      <c r="BI162" s="64"/>
      <c r="BJ162" s="64"/>
      <c r="BK162" s="64"/>
      <c r="BL162" s="64"/>
      <c r="BM162" s="64"/>
      <c r="BN162" s="64"/>
      <c r="BO162" s="64"/>
      <c r="BP162" s="64"/>
      <c r="BQ162" s="64"/>
      <c r="BR162" s="64"/>
    </row>
    <row r="163" ht="18.75" customHeight="1">
      <c r="G163" s="122"/>
      <c r="H163" s="64"/>
      <c r="L163" s="64"/>
      <c r="M163" s="64"/>
      <c r="N163" s="64"/>
      <c r="O163" s="64"/>
      <c r="P163" s="64"/>
      <c r="Q163" s="64"/>
      <c r="R163" s="64"/>
      <c r="S163" s="64"/>
      <c r="T163" s="64"/>
      <c r="U163" s="64"/>
      <c r="V163" s="64"/>
      <c r="W163" s="64"/>
      <c r="X163" s="64"/>
      <c r="Y163" s="64"/>
      <c r="BH163" s="64"/>
      <c r="BI163" s="64"/>
      <c r="BJ163" s="64"/>
      <c r="BK163" s="64"/>
      <c r="BL163" s="64"/>
      <c r="BM163" s="64"/>
      <c r="BN163" s="64"/>
      <c r="BO163" s="64"/>
      <c r="BP163" s="64"/>
      <c r="BQ163" s="64"/>
      <c r="BR163" s="64"/>
    </row>
    <row r="164" ht="18.75" customHeight="1">
      <c r="G164" s="122"/>
      <c r="H164" s="64"/>
      <c r="L164" s="64"/>
      <c r="M164" s="64"/>
      <c r="N164" s="64"/>
      <c r="O164" s="64"/>
      <c r="P164" s="64"/>
      <c r="Q164" s="64"/>
      <c r="R164" s="64"/>
      <c r="S164" s="64"/>
      <c r="T164" s="64"/>
      <c r="U164" s="64"/>
      <c r="V164" s="64"/>
      <c r="W164" s="64"/>
      <c r="X164" s="64"/>
      <c r="Y164" s="64"/>
      <c r="BH164" s="64"/>
      <c r="BI164" s="64"/>
      <c r="BJ164" s="64"/>
      <c r="BK164" s="64"/>
      <c r="BL164" s="64"/>
      <c r="BM164" s="64"/>
      <c r="BN164" s="64"/>
      <c r="BO164" s="64"/>
      <c r="BP164" s="64"/>
      <c r="BQ164" s="64"/>
      <c r="BR164" s="64"/>
    </row>
    <row r="165" ht="18.75" customHeight="1">
      <c r="G165" s="122"/>
      <c r="H165" s="64"/>
      <c r="L165" s="64"/>
      <c r="M165" s="64"/>
      <c r="N165" s="64"/>
      <c r="O165" s="64"/>
      <c r="P165" s="64"/>
      <c r="Q165" s="64"/>
      <c r="R165" s="64"/>
      <c r="S165" s="64"/>
      <c r="T165" s="64"/>
      <c r="U165" s="64"/>
      <c r="V165" s="64"/>
      <c r="W165" s="64"/>
      <c r="X165" s="64"/>
      <c r="Y165" s="64"/>
      <c r="BH165" s="64"/>
      <c r="BI165" s="64"/>
      <c r="BJ165" s="64"/>
      <c r="BK165" s="64"/>
      <c r="BL165" s="64"/>
      <c r="BM165" s="64"/>
      <c r="BN165" s="64"/>
      <c r="BO165" s="64"/>
      <c r="BP165" s="64"/>
      <c r="BQ165" s="64"/>
      <c r="BR165" s="64"/>
    </row>
    <row r="166" ht="18.75" customHeight="1">
      <c r="G166" s="122"/>
      <c r="H166" s="64"/>
      <c r="L166" s="64"/>
      <c r="M166" s="64"/>
      <c r="N166" s="64"/>
      <c r="O166" s="64"/>
      <c r="P166" s="64"/>
      <c r="Q166" s="64"/>
      <c r="R166" s="64"/>
      <c r="S166" s="64"/>
      <c r="T166" s="64"/>
      <c r="U166" s="64"/>
      <c r="V166" s="64"/>
      <c r="W166" s="64"/>
      <c r="X166" s="64"/>
      <c r="Y166" s="64"/>
      <c r="BH166" s="64"/>
      <c r="BI166" s="64"/>
      <c r="BJ166" s="64"/>
      <c r="BK166" s="64"/>
      <c r="BL166" s="64"/>
      <c r="BM166" s="64"/>
      <c r="BN166" s="64"/>
      <c r="BO166" s="64"/>
      <c r="BP166" s="64"/>
      <c r="BQ166" s="64"/>
      <c r="BR166" s="64"/>
    </row>
    <row r="167" ht="18.75" customHeight="1">
      <c r="G167" s="122"/>
      <c r="H167" s="64"/>
      <c r="L167" s="64"/>
      <c r="M167" s="64"/>
      <c r="N167" s="64"/>
      <c r="O167" s="64"/>
      <c r="P167" s="64"/>
      <c r="Q167" s="64"/>
      <c r="R167" s="64"/>
      <c r="S167" s="64"/>
      <c r="T167" s="64"/>
      <c r="U167" s="64"/>
      <c r="V167" s="64"/>
      <c r="W167" s="64"/>
      <c r="X167" s="64"/>
      <c r="Y167" s="64"/>
      <c r="BH167" s="64"/>
      <c r="BI167" s="64"/>
      <c r="BJ167" s="64"/>
      <c r="BK167" s="64"/>
      <c r="BL167" s="64"/>
      <c r="BM167" s="64"/>
      <c r="BN167" s="64"/>
      <c r="BO167" s="64"/>
      <c r="BP167" s="64"/>
      <c r="BQ167" s="64"/>
      <c r="BR167" s="64"/>
    </row>
    <row r="168" ht="18.75" customHeight="1">
      <c r="G168" s="122"/>
      <c r="H168" s="64"/>
      <c r="L168" s="64"/>
      <c r="M168" s="64"/>
      <c r="N168" s="64"/>
      <c r="O168" s="64"/>
      <c r="P168" s="64"/>
      <c r="Q168" s="64"/>
      <c r="R168" s="64"/>
      <c r="S168" s="64"/>
      <c r="T168" s="64"/>
      <c r="U168" s="64"/>
      <c r="V168" s="64"/>
      <c r="W168" s="64"/>
      <c r="X168" s="64"/>
      <c r="Y168" s="64"/>
      <c r="BH168" s="64"/>
      <c r="BI168" s="64"/>
      <c r="BJ168" s="64"/>
      <c r="BK168" s="64"/>
      <c r="BL168" s="64"/>
      <c r="BM168" s="64"/>
      <c r="BN168" s="64"/>
      <c r="BO168" s="64"/>
      <c r="BP168" s="64"/>
      <c r="BQ168" s="64"/>
      <c r="BR168" s="64"/>
    </row>
    <row r="169" ht="18.75" customHeight="1">
      <c r="G169" s="122"/>
      <c r="H169" s="64"/>
      <c r="L169" s="64"/>
      <c r="M169" s="64"/>
      <c r="N169" s="64"/>
      <c r="O169" s="64"/>
      <c r="P169" s="64"/>
      <c r="Q169" s="64"/>
      <c r="R169" s="64"/>
      <c r="S169" s="64"/>
      <c r="T169" s="64"/>
      <c r="U169" s="64"/>
      <c r="V169" s="64"/>
      <c r="W169" s="64"/>
      <c r="X169" s="64"/>
      <c r="Y169" s="64"/>
      <c r="BH169" s="64"/>
      <c r="BI169" s="64"/>
      <c r="BJ169" s="64"/>
      <c r="BK169" s="64"/>
      <c r="BL169" s="64"/>
      <c r="BM169" s="64"/>
      <c r="BN169" s="64"/>
      <c r="BO169" s="64"/>
      <c r="BP169" s="64"/>
      <c r="BQ169" s="64"/>
      <c r="BR169" s="64"/>
    </row>
    <row r="170" ht="18.75" customHeight="1">
      <c r="G170" s="122"/>
      <c r="H170" s="64"/>
      <c r="L170" s="64"/>
      <c r="M170" s="64"/>
      <c r="N170" s="64"/>
      <c r="O170" s="64"/>
      <c r="P170" s="64"/>
      <c r="Q170" s="64"/>
      <c r="R170" s="64"/>
      <c r="S170" s="64"/>
      <c r="T170" s="64"/>
      <c r="U170" s="64"/>
      <c r="V170" s="64"/>
      <c r="W170" s="64"/>
      <c r="X170" s="64"/>
      <c r="Y170" s="64"/>
      <c r="BH170" s="64"/>
      <c r="BI170" s="64"/>
      <c r="BJ170" s="64"/>
      <c r="BK170" s="64"/>
      <c r="BL170" s="64"/>
      <c r="BM170" s="64"/>
      <c r="BN170" s="64"/>
      <c r="BO170" s="64"/>
      <c r="BP170" s="64"/>
      <c r="BQ170" s="64"/>
      <c r="BR170" s="64"/>
    </row>
    <row r="171" ht="18.75" customHeight="1">
      <c r="G171" s="122"/>
      <c r="H171" s="64"/>
      <c r="L171" s="64"/>
      <c r="M171" s="64"/>
      <c r="N171" s="64"/>
      <c r="O171" s="64"/>
      <c r="P171" s="64"/>
      <c r="Q171" s="64"/>
      <c r="R171" s="64"/>
      <c r="S171" s="64"/>
      <c r="T171" s="64"/>
      <c r="U171" s="64"/>
      <c r="V171" s="64"/>
      <c r="W171" s="64"/>
      <c r="X171" s="64"/>
      <c r="Y171" s="64"/>
      <c r="BH171" s="64"/>
      <c r="BI171" s="64"/>
      <c r="BJ171" s="64"/>
      <c r="BK171" s="64"/>
      <c r="BL171" s="64"/>
      <c r="BM171" s="64"/>
      <c r="BN171" s="64"/>
      <c r="BO171" s="64"/>
      <c r="BP171" s="64"/>
      <c r="BQ171" s="64"/>
      <c r="BR171" s="64"/>
    </row>
    <row r="172" ht="18.75" customHeight="1">
      <c r="G172" s="122"/>
      <c r="H172" s="64"/>
      <c r="L172" s="64"/>
      <c r="M172" s="64"/>
      <c r="N172" s="64"/>
      <c r="O172" s="64"/>
      <c r="P172" s="64"/>
      <c r="Q172" s="64"/>
      <c r="R172" s="64"/>
      <c r="S172" s="64"/>
      <c r="T172" s="64"/>
      <c r="U172" s="64"/>
      <c r="V172" s="64"/>
      <c r="W172" s="64"/>
      <c r="X172" s="64"/>
      <c r="Y172" s="64"/>
      <c r="BH172" s="64"/>
      <c r="BI172" s="64"/>
      <c r="BJ172" s="64"/>
      <c r="BK172" s="64"/>
      <c r="BL172" s="64"/>
      <c r="BM172" s="64"/>
      <c r="BN172" s="64"/>
      <c r="BO172" s="64"/>
      <c r="BP172" s="64"/>
      <c r="BQ172" s="64"/>
      <c r="BR172" s="64"/>
    </row>
    <row r="173" ht="18.75" customHeight="1">
      <c r="G173" s="122"/>
      <c r="H173" s="64"/>
      <c r="L173" s="64"/>
      <c r="M173" s="64"/>
      <c r="N173" s="64"/>
      <c r="O173" s="64"/>
      <c r="P173" s="64"/>
      <c r="Q173" s="64"/>
      <c r="R173" s="64"/>
      <c r="S173" s="64"/>
      <c r="T173" s="64"/>
      <c r="U173" s="64"/>
      <c r="V173" s="64"/>
      <c r="W173" s="64"/>
      <c r="X173" s="64"/>
      <c r="Y173" s="64"/>
      <c r="BH173" s="64"/>
      <c r="BI173" s="64"/>
      <c r="BJ173" s="64"/>
      <c r="BK173" s="64"/>
      <c r="BL173" s="64"/>
      <c r="BM173" s="64"/>
      <c r="BN173" s="64"/>
      <c r="BO173" s="64"/>
      <c r="BP173" s="64"/>
      <c r="BQ173" s="64"/>
      <c r="BR173" s="64"/>
    </row>
    <row r="174" ht="18.75" customHeight="1">
      <c r="G174" s="122"/>
      <c r="H174" s="64"/>
      <c r="L174" s="64"/>
      <c r="M174" s="64"/>
      <c r="N174" s="64"/>
      <c r="O174" s="64"/>
      <c r="P174" s="64"/>
      <c r="Q174" s="64"/>
      <c r="R174" s="64"/>
      <c r="S174" s="64"/>
      <c r="T174" s="64"/>
      <c r="U174" s="64"/>
      <c r="V174" s="64"/>
      <c r="W174" s="64"/>
      <c r="X174" s="64"/>
      <c r="Y174" s="64"/>
      <c r="BH174" s="64"/>
      <c r="BI174" s="64"/>
      <c r="BJ174" s="64"/>
      <c r="BK174" s="64"/>
      <c r="BL174" s="64"/>
      <c r="BM174" s="64"/>
      <c r="BN174" s="64"/>
      <c r="BO174" s="64"/>
      <c r="BP174" s="64"/>
      <c r="BQ174" s="64"/>
      <c r="BR174" s="64"/>
    </row>
    <row r="175" ht="18.75" customHeight="1">
      <c r="G175" s="122"/>
      <c r="H175" s="64"/>
      <c r="L175" s="64"/>
      <c r="M175" s="64"/>
      <c r="N175" s="64"/>
      <c r="O175" s="64"/>
      <c r="P175" s="64"/>
      <c r="Q175" s="64"/>
      <c r="R175" s="64"/>
      <c r="S175" s="64"/>
      <c r="T175" s="64"/>
      <c r="U175" s="64"/>
      <c r="V175" s="64"/>
      <c r="W175" s="64"/>
      <c r="X175" s="64"/>
      <c r="Y175" s="64"/>
      <c r="BH175" s="64"/>
      <c r="BI175" s="64"/>
      <c r="BJ175" s="64"/>
      <c r="BK175" s="64"/>
      <c r="BL175" s="64"/>
      <c r="BM175" s="64"/>
      <c r="BN175" s="64"/>
      <c r="BO175" s="64"/>
      <c r="BP175" s="64"/>
      <c r="BQ175" s="64"/>
      <c r="BR175" s="64"/>
    </row>
    <row r="176" ht="18.75" customHeight="1">
      <c r="G176" s="122"/>
      <c r="H176" s="64"/>
      <c r="L176" s="64"/>
      <c r="M176" s="64"/>
      <c r="N176" s="64"/>
      <c r="O176" s="64"/>
      <c r="P176" s="64"/>
      <c r="Q176" s="64"/>
      <c r="R176" s="64"/>
      <c r="S176" s="64"/>
      <c r="T176" s="64"/>
      <c r="U176" s="64"/>
      <c r="V176" s="64"/>
      <c r="W176" s="64"/>
      <c r="X176" s="64"/>
      <c r="Y176" s="64"/>
      <c r="BH176" s="64"/>
      <c r="BI176" s="64"/>
      <c r="BJ176" s="64"/>
      <c r="BK176" s="64"/>
      <c r="BL176" s="64"/>
      <c r="BM176" s="64"/>
      <c r="BN176" s="64"/>
      <c r="BO176" s="64"/>
      <c r="BP176" s="64"/>
      <c r="BQ176" s="64"/>
      <c r="BR176" s="64"/>
    </row>
    <row r="177" ht="18.75" customHeight="1">
      <c r="G177" s="122"/>
      <c r="H177" s="64"/>
      <c r="L177" s="64"/>
      <c r="M177" s="64"/>
      <c r="N177" s="64"/>
      <c r="O177" s="64"/>
      <c r="P177" s="64"/>
      <c r="Q177" s="64"/>
      <c r="R177" s="64"/>
      <c r="S177" s="64"/>
      <c r="T177" s="64"/>
      <c r="U177" s="64"/>
      <c r="V177" s="64"/>
      <c r="W177" s="64"/>
      <c r="X177" s="64"/>
      <c r="Y177" s="64"/>
      <c r="BH177" s="64"/>
      <c r="BI177" s="64"/>
      <c r="BJ177" s="64"/>
      <c r="BK177" s="64"/>
      <c r="BL177" s="64"/>
      <c r="BM177" s="64"/>
      <c r="BN177" s="64"/>
      <c r="BO177" s="64"/>
      <c r="BP177" s="64"/>
      <c r="BQ177" s="64"/>
      <c r="BR177" s="64"/>
    </row>
    <row r="178" ht="18.75" customHeight="1">
      <c r="G178" s="122"/>
      <c r="H178" s="64"/>
      <c r="L178" s="64"/>
      <c r="M178" s="64"/>
      <c r="N178" s="64"/>
      <c r="O178" s="64"/>
      <c r="P178" s="64"/>
      <c r="Q178" s="64"/>
      <c r="R178" s="64"/>
      <c r="S178" s="64"/>
      <c r="T178" s="64"/>
      <c r="U178" s="64"/>
      <c r="V178" s="64"/>
      <c r="W178" s="64"/>
      <c r="X178" s="64"/>
      <c r="Y178" s="64"/>
      <c r="BH178" s="64"/>
      <c r="BI178" s="64"/>
      <c r="BJ178" s="64"/>
      <c r="BK178" s="64"/>
      <c r="BL178" s="64"/>
      <c r="BM178" s="64"/>
      <c r="BN178" s="64"/>
      <c r="BO178" s="64"/>
      <c r="BP178" s="64"/>
      <c r="BQ178" s="64"/>
      <c r="BR178" s="64"/>
    </row>
    <row r="179" ht="18.75" customHeight="1">
      <c r="G179" s="122"/>
      <c r="H179" s="64"/>
      <c r="L179" s="64"/>
      <c r="M179" s="64"/>
      <c r="N179" s="64"/>
      <c r="O179" s="64"/>
      <c r="P179" s="64"/>
      <c r="Q179" s="64"/>
      <c r="R179" s="64"/>
      <c r="S179" s="64"/>
      <c r="T179" s="64"/>
      <c r="U179" s="64"/>
      <c r="V179" s="64"/>
      <c r="W179" s="64"/>
      <c r="X179" s="64"/>
      <c r="Y179" s="64"/>
      <c r="BH179" s="64"/>
      <c r="BI179" s="64"/>
      <c r="BJ179" s="64"/>
      <c r="BK179" s="64"/>
      <c r="BL179" s="64"/>
      <c r="BM179" s="64"/>
      <c r="BN179" s="64"/>
      <c r="BO179" s="64"/>
      <c r="BP179" s="64"/>
      <c r="BQ179" s="64"/>
      <c r="BR179" s="64"/>
    </row>
    <row r="180" ht="18.75" customHeight="1">
      <c r="G180" s="122"/>
      <c r="H180" s="64"/>
      <c r="L180" s="64"/>
      <c r="M180" s="64"/>
      <c r="N180" s="64"/>
      <c r="O180" s="64"/>
      <c r="P180" s="64"/>
      <c r="Q180" s="64"/>
      <c r="R180" s="64"/>
      <c r="S180" s="64"/>
      <c r="T180" s="64"/>
      <c r="U180" s="64"/>
      <c r="V180" s="64"/>
      <c r="W180" s="64"/>
      <c r="X180" s="64"/>
      <c r="Y180" s="64"/>
      <c r="BH180" s="64"/>
      <c r="BI180" s="64"/>
      <c r="BJ180" s="64"/>
      <c r="BK180" s="64"/>
      <c r="BL180" s="64"/>
      <c r="BM180" s="64"/>
      <c r="BN180" s="64"/>
      <c r="BO180" s="64"/>
      <c r="BP180" s="64"/>
      <c r="BQ180" s="64"/>
      <c r="BR180" s="64"/>
    </row>
    <row r="181" ht="18.75" customHeight="1">
      <c r="G181" s="122"/>
      <c r="H181" s="64"/>
      <c r="L181" s="64"/>
      <c r="M181" s="64"/>
      <c r="N181" s="64"/>
      <c r="O181" s="64"/>
      <c r="P181" s="64"/>
      <c r="Q181" s="64"/>
      <c r="R181" s="64"/>
      <c r="S181" s="64"/>
      <c r="T181" s="64"/>
      <c r="U181" s="64"/>
      <c r="V181" s="64"/>
      <c r="W181" s="64"/>
      <c r="X181" s="64"/>
      <c r="Y181" s="64"/>
      <c r="BH181" s="64"/>
      <c r="BI181" s="64"/>
      <c r="BJ181" s="64"/>
      <c r="BK181" s="64"/>
      <c r="BL181" s="64"/>
      <c r="BM181" s="64"/>
      <c r="BN181" s="64"/>
      <c r="BO181" s="64"/>
      <c r="BP181" s="64"/>
      <c r="BQ181" s="64"/>
      <c r="BR181" s="64"/>
    </row>
    <row r="182" ht="18.75" customHeight="1">
      <c r="G182" s="122"/>
      <c r="H182" s="64"/>
      <c r="L182" s="64"/>
      <c r="M182" s="64"/>
      <c r="N182" s="64"/>
      <c r="O182" s="64"/>
      <c r="P182" s="64"/>
      <c r="Q182" s="64"/>
      <c r="R182" s="64"/>
      <c r="S182" s="64"/>
      <c r="T182" s="64"/>
      <c r="U182" s="64"/>
      <c r="V182" s="64"/>
      <c r="W182" s="64"/>
      <c r="X182" s="64"/>
      <c r="Y182" s="64"/>
      <c r="BH182" s="64"/>
      <c r="BI182" s="64"/>
      <c r="BJ182" s="64"/>
      <c r="BK182" s="64"/>
      <c r="BL182" s="64"/>
      <c r="BM182" s="64"/>
      <c r="BN182" s="64"/>
      <c r="BO182" s="64"/>
      <c r="BP182" s="64"/>
      <c r="BQ182" s="64"/>
      <c r="BR182" s="64"/>
    </row>
    <row r="183" ht="18.75" customHeight="1">
      <c r="G183" s="122"/>
      <c r="H183" s="64"/>
      <c r="L183" s="64"/>
      <c r="M183" s="64"/>
      <c r="N183" s="64"/>
      <c r="O183" s="64"/>
      <c r="P183" s="64"/>
      <c r="Q183" s="64"/>
      <c r="R183" s="64"/>
      <c r="S183" s="64"/>
      <c r="T183" s="64"/>
      <c r="U183" s="64"/>
      <c r="V183" s="64"/>
      <c r="W183" s="64"/>
      <c r="X183" s="64"/>
      <c r="Y183" s="64"/>
      <c r="BH183" s="64"/>
      <c r="BI183" s="64"/>
      <c r="BJ183" s="64"/>
      <c r="BK183" s="64"/>
      <c r="BL183" s="64"/>
      <c r="BM183" s="64"/>
      <c r="BN183" s="64"/>
      <c r="BO183" s="64"/>
      <c r="BP183" s="64"/>
      <c r="BQ183" s="64"/>
      <c r="BR183" s="64"/>
    </row>
    <row r="184" ht="18.75" customHeight="1">
      <c r="G184" s="122"/>
      <c r="H184" s="64"/>
      <c r="L184" s="64"/>
      <c r="M184" s="64"/>
      <c r="N184" s="64"/>
      <c r="O184" s="64"/>
      <c r="P184" s="64"/>
      <c r="Q184" s="64"/>
      <c r="R184" s="64"/>
      <c r="S184" s="64"/>
      <c r="T184" s="64"/>
      <c r="U184" s="64"/>
      <c r="V184" s="64"/>
      <c r="W184" s="64"/>
      <c r="X184" s="64"/>
      <c r="Y184" s="64"/>
      <c r="BH184" s="64"/>
      <c r="BI184" s="64"/>
      <c r="BJ184" s="64"/>
      <c r="BK184" s="64"/>
      <c r="BL184" s="64"/>
      <c r="BM184" s="64"/>
      <c r="BN184" s="64"/>
      <c r="BO184" s="64"/>
      <c r="BP184" s="64"/>
      <c r="BQ184" s="64"/>
      <c r="BR184" s="64"/>
    </row>
    <row r="185" ht="18.75" customHeight="1">
      <c r="G185" s="122"/>
      <c r="H185" s="64"/>
      <c r="L185" s="64"/>
      <c r="M185" s="64"/>
      <c r="N185" s="64"/>
      <c r="O185" s="64"/>
      <c r="P185" s="64"/>
      <c r="Q185" s="64"/>
      <c r="R185" s="64"/>
      <c r="S185" s="64"/>
      <c r="T185" s="64"/>
      <c r="U185" s="64"/>
      <c r="V185" s="64"/>
      <c r="W185" s="64"/>
      <c r="X185" s="64"/>
      <c r="Y185" s="64"/>
      <c r="BH185" s="64"/>
      <c r="BI185" s="64"/>
      <c r="BJ185" s="64"/>
      <c r="BK185" s="64"/>
      <c r="BL185" s="64"/>
      <c r="BM185" s="64"/>
      <c r="BN185" s="64"/>
      <c r="BO185" s="64"/>
      <c r="BP185" s="64"/>
      <c r="BQ185" s="64"/>
      <c r="BR185" s="64"/>
    </row>
    <row r="186" ht="18.75" customHeight="1">
      <c r="G186" s="122"/>
      <c r="H186" s="64"/>
      <c r="L186" s="64"/>
      <c r="M186" s="64"/>
      <c r="N186" s="64"/>
      <c r="O186" s="64"/>
      <c r="P186" s="64"/>
      <c r="Q186" s="64"/>
      <c r="R186" s="64"/>
      <c r="S186" s="64"/>
      <c r="T186" s="64"/>
      <c r="U186" s="64"/>
      <c r="V186" s="64"/>
      <c r="W186" s="64"/>
      <c r="X186" s="64"/>
      <c r="Y186" s="64"/>
      <c r="BH186" s="64"/>
      <c r="BI186" s="64"/>
      <c r="BJ186" s="64"/>
      <c r="BK186" s="64"/>
      <c r="BL186" s="64"/>
      <c r="BM186" s="64"/>
      <c r="BN186" s="64"/>
      <c r="BO186" s="64"/>
      <c r="BP186" s="64"/>
      <c r="BQ186" s="64"/>
      <c r="BR186" s="64"/>
    </row>
    <row r="187" ht="18.75" customHeight="1">
      <c r="G187" s="122"/>
      <c r="H187" s="64"/>
      <c r="L187" s="64"/>
      <c r="M187" s="64"/>
      <c r="N187" s="64"/>
      <c r="O187" s="64"/>
      <c r="P187" s="64"/>
      <c r="Q187" s="64"/>
      <c r="R187" s="64"/>
      <c r="S187" s="64"/>
      <c r="T187" s="64"/>
      <c r="U187" s="64"/>
      <c r="V187" s="64"/>
      <c r="W187" s="64"/>
      <c r="X187" s="64"/>
      <c r="Y187" s="64"/>
      <c r="BH187" s="64"/>
      <c r="BI187" s="64"/>
      <c r="BJ187" s="64"/>
      <c r="BK187" s="64"/>
      <c r="BL187" s="64"/>
      <c r="BM187" s="64"/>
      <c r="BN187" s="64"/>
      <c r="BO187" s="64"/>
      <c r="BP187" s="64"/>
      <c r="BQ187" s="64"/>
      <c r="BR187" s="64"/>
    </row>
    <row r="188" ht="18.75" customHeight="1">
      <c r="G188" s="122"/>
      <c r="H188" s="64"/>
      <c r="L188" s="64"/>
      <c r="M188" s="64"/>
      <c r="N188" s="64"/>
      <c r="O188" s="64"/>
      <c r="P188" s="64"/>
      <c r="Q188" s="64"/>
      <c r="R188" s="64"/>
      <c r="S188" s="64"/>
      <c r="T188" s="64"/>
      <c r="U188" s="64"/>
      <c r="V188" s="64"/>
      <c r="W188" s="64"/>
      <c r="X188" s="64"/>
      <c r="Y188" s="64"/>
      <c r="BH188" s="64"/>
      <c r="BI188" s="64"/>
      <c r="BJ188" s="64"/>
      <c r="BK188" s="64"/>
      <c r="BL188" s="64"/>
      <c r="BM188" s="64"/>
      <c r="BN188" s="64"/>
      <c r="BO188" s="64"/>
      <c r="BP188" s="64"/>
      <c r="BQ188" s="64"/>
      <c r="BR188" s="64"/>
    </row>
    <row r="189" ht="18.75" customHeight="1">
      <c r="G189" s="122"/>
      <c r="H189" s="64"/>
      <c r="L189" s="64"/>
      <c r="M189" s="64"/>
      <c r="N189" s="64"/>
      <c r="O189" s="64"/>
      <c r="P189" s="64"/>
      <c r="Q189" s="64"/>
      <c r="R189" s="64"/>
      <c r="S189" s="64"/>
      <c r="T189" s="64"/>
      <c r="U189" s="64"/>
      <c r="V189" s="64"/>
      <c r="W189" s="64"/>
      <c r="X189" s="64"/>
      <c r="Y189" s="64"/>
      <c r="BH189" s="64"/>
      <c r="BI189" s="64"/>
      <c r="BJ189" s="64"/>
      <c r="BK189" s="64"/>
      <c r="BL189" s="64"/>
      <c r="BM189" s="64"/>
      <c r="BN189" s="64"/>
      <c r="BO189" s="64"/>
      <c r="BP189" s="64"/>
      <c r="BQ189" s="64"/>
      <c r="BR189" s="64"/>
    </row>
    <row r="190" ht="18.75" customHeight="1">
      <c r="G190" s="122"/>
      <c r="H190" s="64"/>
      <c r="L190" s="64"/>
      <c r="M190" s="64"/>
      <c r="N190" s="64"/>
      <c r="O190" s="64"/>
      <c r="P190" s="64"/>
      <c r="Q190" s="64"/>
      <c r="R190" s="64"/>
      <c r="S190" s="64"/>
      <c r="T190" s="64"/>
      <c r="U190" s="64"/>
      <c r="V190" s="64"/>
      <c r="W190" s="64"/>
      <c r="X190" s="64"/>
      <c r="Y190" s="64"/>
      <c r="BH190" s="64"/>
      <c r="BI190" s="64"/>
      <c r="BJ190" s="64"/>
      <c r="BK190" s="64"/>
      <c r="BL190" s="64"/>
      <c r="BM190" s="64"/>
      <c r="BN190" s="64"/>
      <c r="BO190" s="64"/>
      <c r="BP190" s="64"/>
      <c r="BQ190" s="64"/>
      <c r="BR190" s="64"/>
    </row>
    <row r="191" ht="18.75" customHeight="1">
      <c r="G191" s="122"/>
      <c r="H191" s="64"/>
      <c r="L191" s="64"/>
      <c r="M191" s="64"/>
      <c r="N191" s="64"/>
      <c r="O191" s="64"/>
      <c r="P191" s="64"/>
      <c r="Q191" s="64"/>
      <c r="R191" s="64"/>
      <c r="S191" s="64"/>
      <c r="T191" s="64"/>
      <c r="U191" s="64"/>
      <c r="V191" s="64"/>
      <c r="W191" s="64"/>
      <c r="X191" s="64"/>
      <c r="Y191" s="64"/>
      <c r="BH191" s="64"/>
      <c r="BI191" s="64"/>
      <c r="BJ191" s="64"/>
      <c r="BK191" s="64"/>
      <c r="BL191" s="64"/>
      <c r="BM191" s="64"/>
      <c r="BN191" s="64"/>
      <c r="BO191" s="64"/>
      <c r="BP191" s="64"/>
      <c r="BQ191" s="64"/>
      <c r="BR191" s="64"/>
    </row>
    <row r="192" ht="18.75" customHeight="1">
      <c r="G192" s="122"/>
      <c r="H192" s="64"/>
      <c r="L192" s="64"/>
      <c r="M192" s="64"/>
      <c r="N192" s="64"/>
      <c r="O192" s="64"/>
      <c r="P192" s="64"/>
      <c r="Q192" s="64"/>
      <c r="R192" s="64"/>
      <c r="S192" s="64"/>
      <c r="T192" s="64"/>
      <c r="U192" s="64"/>
      <c r="V192" s="64"/>
      <c r="W192" s="64"/>
      <c r="X192" s="64"/>
      <c r="Y192" s="64"/>
      <c r="BH192" s="64"/>
      <c r="BI192" s="64"/>
      <c r="BJ192" s="64"/>
      <c r="BK192" s="64"/>
      <c r="BL192" s="64"/>
      <c r="BM192" s="64"/>
      <c r="BN192" s="64"/>
      <c r="BO192" s="64"/>
      <c r="BP192" s="64"/>
      <c r="BQ192" s="64"/>
      <c r="BR192" s="64"/>
    </row>
    <row r="193" ht="18.75" customHeight="1">
      <c r="G193" s="122"/>
      <c r="H193" s="64"/>
      <c r="L193" s="64"/>
      <c r="M193" s="64"/>
      <c r="N193" s="64"/>
      <c r="O193" s="64"/>
      <c r="P193" s="64"/>
      <c r="Q193" s="64"/>
      <c r="R193" s="64"/>
      <c r="S193" s="64"/>
      <c r="T193" s="64"/>
      <c r="U193" s="64"/>
      <c r="V193" s="64"/>
      <c r="W193" s="64"/>
      <c r="X193" s="64"/>
      <c r="Y193" s="64"/>
      <c r="BH193" s="64"/>
      <c r="BI193" s="64"/>
      <c r="BJ193" s="64"/>
      <c r="BK193" s="64"/>
      <c r="BL193" s="64"/>
      <c r="BM193" s="64"/>
      <c r="BN193" s="64"/>
      <c r="BO193" s="64"/>
      <c r="BP193" s="64"/>
      <c r="BQ193" s="64"/>
      <c r="BR193" s="64"/>
    </row>
    <row r="194" ht="18.75" customHeight="1">
      <c r="G194" s="122"/>
      <c r="H194" s="64"/>
      <c r="L194" s="64"/>
      <c r="M194" s="64"/>
      <c r="N194" s="64"/>
      <c r="O194" s="64"/>
      <c r="P194" s="64"/>
      <c r="Q194" s="64"/>
      <c r="R194" s="64"/>
      <c r="S194" s="64"/>
      <c r="T194" s="64"/>
      <c r="U194" s="64"/>
      <c r="V194" s="64"/>
      <c r="W194" s="64"/>
      <c r="X194" s="64"/>
      <c r="Y194" s="64"/>
      <c r="BH194" s="64"/>
      <c r="BI194" s="64"/>
      <c r="BJ194" s="64"/>
      <c r="BK194" s="64"/>
      <c r="BL194" s="64"/>
      <c r="BM194" s="64"/>
      <c r="BN194" s="64"/>
      <c r="BO194" s="64"/>
      <c r="BP194" s="64"/>
      <c r="BQ194" s="64"/>
      <c r="BR194" s="64"/>
    </row>
    <row r="195" ht="18.75" customHeight="1">
      <c r="G195" s="122"/>
      <c r="H195" s="64"/>
      <c r="L195" s="64"/>
      <c r="M195" s="64"/>
      <c r="N195" s="64"/>
      <c r="O195" s="64"/>
      <c r="P195" s="64"/>
      <c r="Q195" s="64"/>
      <c r="R195" s="64"/>
      <c r="S195" s="64"/>
      <c r="T195" s="64"/>
      <c r="U195" s="64"/>
      <c r="V195" s="64"/>
      <c r="W195" s="64"/>
      <c r="X195" s="64"/>
      <c r="Y195" s="64"/>
      <c r="BH195" s="64"/>
      <c r="BI195" s="64"/>
      <c r="BJ195" s="64"/>
      <c r="BK195" s="64"/>
      <c r="BL195" s="64"/>
      <c r="BM195" s="64"/>
      <c r="BN195" s="64"/>
      <c r="BO195" s="64"/>
      <c r="BP195" s="64"/>
      <c r="BQ195" s="64"/>
      <c r="BR195" s="64"/>
    </row>
    <row r="196" ht="18.75" customHeight="1">
      <c r="G196" s="122"/>
      <c r="H196" s="64"/>
      <c r="L196" s="64"/>
      <c r="M196" s="64"/>
      <c r="N196" s="64"/>
      <c r="O196" s="64"/>
      <c r="P196" s="64"/>
      <c r="Q196" s="64"/>
      <c r="R196" s="64"/>
      <c r="S196" s="64"/>
      <c r="T196" s="64"/>
      <c r="U196" s="64"/>
      <c r="V196" s="64"/>
      <c r="W196" s="64"/>
      <c r="X196" s="64"/>
      <c r="Y196" s="64"/>
      <c r="BH196" s="64"/>
      <c r="BI196" s="64"/>
      <c r="BJ196" s="64"/>
      <c r="BK196" s="64"/>
      <c r="BL196" s="64"/>
      <c r="BM196" s="64"/>
      <c r="BN196" s="64"/>
      <c r="BO196" s="64"/>
      <c r="BP196" s="64"/>
      <c r="BQ196" s="64"/>
      <c r="BR196" s="64"/>
    </row>
    <row r="197" ht="18.75" customHeight="1">
      <c r="G197" s="122"/>
      <c r="H197" s="64"/>
      <c r="L197" s="64"/>
      <c r="M197" s="64"/>
      <c r="N197" s="64"/>
      <c r="O197" s="64"/>
      <c r="P197" s="64"/>
      <c r="Q197" s="64"/>
      <c r="R197" s="64"/>
      <c r="S197" s="64"/>
      <c r="T197" s="64"/>
      <c r="U197" s="64"/>
      <c r="V197" s="64"/>
      <c r="W197" s="64"/>
      <c r="X197" s="64"/>
      <c r="Y197" s="64"/>
      <c r="BH197" s="64"/>
      <c r="BI197" s="64"/>
      <c r="BJ197" s="64"/>
      <c r="BK197" s="64"/>
      <c r="BL197" s="64"/>
      <c r="BM197" s="64"/>
      <c r="BN197" s="64"/>
      <c r="BO197" s="64"/>
      <c r="BP197" s="64"/>
      <c r="BQ197" s="64"/>
      <c r="BR197" s="64"/>
    </row>
    <row r="198" ht="18.75" customHeight="1">
      <c r="G198" s="122"/>
      <c r="H198" s="64"/>
      <c r="L198" s="64"/>
      <c r="M198" s="64"/>
      <c r="N198" s="64"/>
      <c r="O198" s="64"/>
      <c r="P198" s="64"/>
      <c r="Q198" s="64"/>
      <c r="R198" s="64"/>
      <c r="S198" s="64"/>
      <c r="T198" s="64"/>
      <c r="U198" s="64"/>
      <c r="V198" s="64"/>
      <c r="W198" s="64"/>
      <c r="X198" s="64"/>
      <c r="Y198" s="64"/>
      <c r="BH198" s="64"/>
      <c r="BI198" s="64"/>
      <c r="BJ198" s="64"/>
      <c r="BK198" s="64"/>
      <c r="BL198" s="64"/>
      <c r="BM198" s="64"/>
      <c r="BN198" s="64"/>
      <c r="BO198" s="64"/>
      <c r="BP198" s="64"/>
      <c r="BQ198" s="64"/>
      <c r="BR198" s="64"/>
    </row>
    <row r="199" ht="18.75" customHeight="1">
      <c r="G199" s="122"/>
      <c r="H199" s="64"/>
      <c r="L199" s="64"/>
      <c r="M199" s="64"/>
      <c r="N199" s="64"/>
      <c r="O199" s="64"/>
      <c r="P199" s="64"/>
      <c r="Q199" s="64"/>
      <c r="R199" s="64"/>
      <c r="S199" s="64"/>
      <c r="T199" s="64"/>
      <c r="U199" s="64"/>
      <c r="V199" s="64"/>
      <c r="W199" s="64"/>
      <c r="X199" s="64"/>
      <c r="Y199" s="64"/>
      <c r="BH199" s="64"/>
      <c r="BI199" s="64"/>
      <c r="BJ199" s="64"/>
      <c r="BK199" s="64"/>
      <c r="BL199" s="64"/>
      <c r="BM199" s="64"/>
      <c r="BN199" s="64"/>
      <c r="BO199" s="64"/>
      <c r="BP199" s="64"/>
      <c r="BQ199" s="64"/>
      <c r="BR199" s="64"/>
    </row>
    <row r="200" ht="18.75" customHeight="1">
      <c r="G200" s="122"/>
      <c r="H200" s="64"/>
      <c r="L200" s="64"/>
      <c r="M200" s="64"/>
      <c r="N200" s="64"/>
      <c r="O200" s="64"/>
      <c r="P200" s="64"/>
      <c r="Q200" s="64"/>
      <c r="R200" s="64"/>
      <c r="S200" s="64"/>
      <c r="T200" s="64"/>
      <c r="U200" s="64"/>
      <c r="V200" s="64"/>
      <c r="W200" s="64"/>
      <c r="X200" s="64"/>
      <c r="Y200" s="64"/>
      <c r="BH200" s="64"/>
      <c r="BI200" s="64"/>
      <c r="BJ200" s="64"/>
      <c r="BK200" s="64"/>
      <c r="BL200" s="64"/>
      <c r="BM200" s="64"/>
      <c r="BN200" s="64"/>
      <c r="BO200" s="64"/>
      <c r="BP200" s="64"/>
      <c r="BQ200" s="64"/>
      <c r="BR200" s="64"/>
    </row>
    <row r="201" ht="18.75" customHeight="1">
      <c r="G201" s="122"/>
      <c r="H201" s="64"/>
      <c r="L201" s="64"/>
      <c r="M201" s="64"/>
      <c r="N201" s="64"/>
      <c r="O201" s="64"/>
      <c r="P201" s="64"/>
      <c r="Q201" s="64"/>
      <c r="R201" s="64"/>
      <c r="S201" s="64"/>
      <c r="T201" s="64"/>
      <c r="U201" s="64"/>
      <c r="V201" s="64"/>
      <c r="W201" s="64"/>
      <c r="X201" s="64"/>
      <c r="Y201" s="64"/>
      <c r="BH201" s="64"/>
      <c r="BI201" s="64"/>
      <c r="BJ201" s="64"/>
      <c r="BK201" s="64"/>
      <c r="BL201" s="64"/>
      <c r="BM201" s="64"/>
      <c r="BN201" s="64"/>
      <c r="BO201" s="64"/>
      <c r="BP201" s="64"/>
      <c r="BQ201" s="64"/>
      <c r="BR201" s="64"/>
    </row>
    <row r="202" ht="18.75" customHeight="1">
      <c r="G202" s="122"/>
      <c r="H202" s="64"/>
      <c r="L202" s="64"/>
      <c r="M202" s="64"/>
      <c r="N202" s="64"/>
      <c r="O202" s="64"/>
      <c r="P202" s="64"/>
      <c r="Q202" s="64"/>
      <c r="R202" s="64"/>
      <c r="S202" s="64"/>
      <c r="T202" s="64"/>
      <c r="U202" s="64"/>
      <c r="V202" s="64"/>
      <c r="W202" s="64"/>
      <c r="X202" s="64"/>
      <c r="Y202" s="64"/>
      <c r="BH202" s="64"/>
      <c r="BI202" s="64"/>
      <c r="BJ202" s="64"/>
      <c r="BK202" s="64"/>
      <c r="BL202" s="64"/>
      <c r="BM202" s="64"/>
      <c r="BN202" s="64"/>
      <c r="BO202" s="64"/>
      <c r="BP202" s="64"/>
      <c r="BQ202" s="64"/>
      <c r="BR202" s="64"/>
    </row>
    <row r="203" ht="18.75" customHeight="1">
      <c r="G203" s="122"/>
      <c r="H203" s="64"/>
      <c r="L203" s="64"/>
      <c r="M203" s="64"/>
      <c r="N203" s="64"/>
      <c r="O203" s="64"/>
      <c r="P203" s="64"/>
      <c r="Q203" s="64"/>
      <c r="R203" s="64"/>
      <c r="S203" s="64"/>
      <c r="T203" s="64"/>
      <c r="U203" s="64"/>
      <c r="V203" s="64"/>
      <c r="W203" s="64"/>
      <c r="X203" s="64"/>
      <c r="Y203" s="64"/>
      <c r="BH203" s="64"/>
      <c r="BI203" s="64"/>
      <c r="BJ203" s="64"/>
      <c r="BK203" s="64"/>
      <c r="BL203" s="64"/>
      <c r="BM203" s="64"/>
      <c r="BN203" s="64"/>
      <c r="BO203" s="64"/>
      <c r="BP203" s="64"/>
      <c r="BQ203" s="64"/>
      <c r="BR203" s="64"/>
    </row>
    <row r="204" ht="18.75" customHeight="1">
      <c r="G204" s="122"/>
      <c r="H204" s="64"/>
      <c r="L204" s="64"/>
      <c r="M204" s="64"/>
      <c r="N204" s="64"/>
      <c r="O204" s="64"/>
      <c r="P204" s="64"/>
      <c r="Q204" s="64"/>
      <c r="R204" s="64"/>
      <c r="S204" s="64"/>
      <c r="T204" s="64"/>
      <c r="U204" s="64"/>
      <c r="V204" s="64"/>
      <c r="W204" s="64"/>
      <c r="X204" s="64"/>
      <c r="Y204" s="64"/>
      <c r="BH204" s="64"/>
      <c r="BI204" s="64"/>
      <c r="BJ204" s="64"/>
      <c r="BK204" s="64"/>
      <c r="BL204" s="64"/>
      <c r="BM204" s="64"/>
      <c r="BN204" s="64"/>
      <c r="BO204" s="64"/>
      <c r="BP204" s="64"/>
      <c r="BQ204" s="64"/>
      <c r="BR204" s="64"/>
    </row>
    <row r="205" ht="18.75" customHeight="1">
      <c r="G205" s="122"/>
      <c r="H205" s="64"/>
      <c r="L205" s="64"/>
      <c r="M205" s="64"/>
      <c r="N205" s="64"/>
      <c r="O205" s="64"/>
      <c r="P205" s="64"/>
      <c r="Q205" s="64"/>
      <c r="R205" s="64"/>
      <c r="S205" s="64"/>
      <c r="T205" s="64"/>
      <c r="U205" s="64"/>
      <c r="V205" s="64"/>
      <c r="W205" s="64"/>
      <c r="X205" s="64"/>
      <c r="Y205" s="64"/>
      <c r="BH205" s="64"/>
      <c r="BI205" s="64"/>
      <c r="BJ205" s="64"/>
      <c r="BK205" s="64"/>
      <c r="BL205" s="64"/>
      <c r="BM205" s="64"/>
      <c r="BN205" s="64"/>
      <c r="BO205" s="64"/>
      <c r="BP205" s="64"/>
      <c r="BQ205" s="64"/>
      <c r="BR205" s="64"/>
    </row>
    <row r="206" ht="18.75" customHeight="1">
      <c r="G206" s="122"/>
      <c r="H206" s="64"/>
      <c r="L206" s="64"/>
      <c r="M206" s="64"/>
      <c r="N206" s="64"/>
      <c r="O206" s="64"/>
      <c r="P206" s="64"/>
      <c r="Q206" s="64"/>
      <c r="R206" s="64"/>
      <c r="S206" s="64"/>
      <c r="T206" s="64"/>
      <c r="U206" s="64"/>
      <c r="V206" s="64"/>
      <c r="W206" s="64"/>
      <c r="X206" s="64"/>
      <c r="Y206" s="64"/>
      <c r="BH206" s="64"/>
      <c r="BI206" s="64"/>
      <c r="BJ206" s="64"/>
      <c r="BK206" s="64"/>
      <c r="BL206" s="64"/>
      <c r="BM206" s="64"/>
      <c r="BN206" s="64"/>
      <c r="BO206" s="64"/>
      <c r="BP206" s="64"/>
      <c r="BQ206" s="64"/>
      <c r="BR206" s="64"/>
    </row>
    <row r="207" ht="18.75" customHeight="1">
      <c r="G207" s="122"/>
      <c r="H207" s="64"/>
      <c r="L207" s="64"/>
      <c r="M207" s="64"/>
      <c r="N207" s="64"/>
      <c r="O207" s="64"/>
      <c r="P207" s="64"/>
      <c r="Q207" s="64"/>
      <c r="R207" s="64"/>
      <c r="S207" s="64"/>
      <c r="T207" s="64"/>
      <c r="U207" s="64"/>
      <c r="V207" s="64"/>
      <c r="W207" s="64"/>
      <c r="X207" s="64"/>
      <c r="Y207" s="64"/>
      <c r="BH207" s="64"/>
      <c r="BI207" s="64"/>
      <c r="BJ207" s="64"/>
      <c r="BK207" s="64"/>
      <c r="BL207" s="64"/>
      <c r="BM207" s="64"/>
      <c r="BN207" s="64"/>
      <c r="BO207" s="64"/>
      <c r="BP207" s="64"/>
      <c r="BQ207" s="64"/>
      <c r="BR207" s="64"/>
    </row>
    <row r="208" ht="18.75" customHeight="1">
      <c r="G208" s="122"/>
      <c r="H208" s="64"/>
      <c r="L208" s="64"/>
      <c r="M208" s="64"/>
      <c r="N208" s="64"/>
      <c r="O208" s="64"/>
      <c r="P208" s="64"/>
      <c r="Q208" s="64"/>
      <c r="R208" s="64"/>
      <c r="S208" s="64"/>
      <c r="T208" s="64"/>
      <c r="U208" s="64"/>
      <c r="V208" s="64"/>
      <c r="W208" s="64"/>
      <c r="X208" s="64"/>
      <c r="Y208" s="64"/>
      <c r="BH208" s="64"/>
      <c r="BI208" s="64"/>
      <c r="BJ208" s="64"/>
      <c r="BK208" s="64"/>
      <c r="BL208" s="64"/>
      <c r="BM208" s="64"/>
      <c r="BN208" s="64"/>
      <c r="BO208" s="64"/>
      <c r="BP208" s="64"/>
      <c r="BQ208" s="64"/>
      <c r="BR208" s="64"/>
    </row>
    <row r="209" ht="18.75" customHeight="1">
      <c r="G209" s="122"/>
      <c r="H209" s="64"/>
      <c r="L209" s="64"/>
      <c r="M209" s="64"/>
      <c r="N209" s="64"/>
      <c r="O209" s="64"/>
      <c r="P209" s="64"/>
      <c r="Q209" s="64"/>
      <c r="R209" s="64"/>
      <c r="S209" s="64"/>
      <c r="T209" s="64"/>
      <c r="U209" s="64"/>
      <c r="V209" s="64"/>
      <c r="W209" s="64"/>
      <c r="X209" s="64"/>
      <c r="Y209" s="64"/>
      <c r="BH209" s="64"/>
      <c r="BI209" s="64"/>
      <c r="BJ209" s="64"/>
      <c r="BK209" s="64"/>
      <c r="BL209" s="64"/>
      <c r="BM209" s="64"/>
      <c r="BN209" s="64"/>
      <c r="BO209" s="64"/>
      <c r="BP209" s="64"/>
      <c r="BQ209" s="64"/>
      <c r="BR209" s="64"/>
    </row>
    <row r="210" ht="18.75" customHeight="1">
      <c r="G210" s="122"/>
      <c r="H210" s="64"/>
      <c r="L210" s="64"/>
      <c r="M210" s="64"/>
      <c r="N210" s="64"/>
      <c r="O210" s="64"/>
      <c r="P210" s="64"/>
      <c r="Q210" s="64"/>
      <c r="R210" s="64"/>
      <c r="S210" s="64"/>
      <c r="T210" s="64"/>
      <c r="U210" s="64"/>
      <c r="V210" s="64"/>
      <c r="W210" s="64"/>
      <c r="X210" s="64"/>
      <c r="Y210" s="64"/>
      <c r="BH210" s="64"/>
      <c r="BI210" s="64"/>
      <c r="BJ210" s="64"/>
      <c r="BK210" s="64"/>
      <c r="BL210" s="64"/>
      <c r="BM210" s="64"/>
      <c r="BN210" s="64"/>
      <c r="BO210" s="64"/>
      <c r="BP210" s="64"/>
      <c r="BQ210" s="64"/>
      <c r="BR210" s="64"/>
    </row>
    <row r="211" ht="18.75" customHeight="1">
      <c r="G211" s="122"/>
      <c r="H211" s="64"/>
      <c r="L211" s="64"/>
      <c r="M211" s="64"/>
      <c r="N211" s="64"/>
      <c r="O211" s="64"/>
      <c r="P211" s="64"/>
      <c r="Q211" s="64"/>
      <c r="R211" s="64"/>
      <c r="S211" s="64"/>
      <c r="T211" s="64"/>
      <c r="U211" s="64"/>
      <c r="V211" s="64"/>
      <c r="W211" s="64"/>
      <c r="X211" s="64"/>
      <c r="Y211" s="64"/>
      <c r="BH211" s="64"/>
      <c r="BI211" s="64"/>
      <c r="BJ211" s="64"/>
      <c r="BK211" s="64"/>
      <c r="BL211" s="64"/>
      <c r="BM211" s="64"/>
      <c r="BN211" s="64"/>
      <c r="BO211" s="64"/>
      <c r="BP211" s="64"/>
      <c r="BQ211" s="64"/>
      <c r="BR211" s="64"/>
    </row>
    <row r="212" ht="18.75" customHeight="1">
      <c r="G212" s="122"/>
      <c r="H212" s="64"/>
      <c r="L212" s="64"/>
      <c r="M212" s="64"/>
      <c r="N212" s="64"/>
      <c r="O212" s="64"/>
      <c r="P212" s="64"/>
      <c r="Q212" s="64"/>
      <c r="R212" s="64"/>
      <c r="S212" s="64"/>
      <c r="T212" s="64"/>
      <c r="U212" s="64"/>
      <c r="V212" s="64"/>
      <c r="W212" s="64"/>
      <c r="X212" s="64"/>
      <c r="Y212" s="64"/>
      <c r="BH212" s="64"/>
      <c r="BI212" s="64"/>
      <c r="BJ212" s="64"/>
      <c r="BK212" s="64"/>
      <c r="BL212" s="64"/>
      <c r="BM212" s="64"/>
      <c r="BN212" s="64"/>
      <c r="BO212" s="64"/>
      <c r="BP212" s="64"/>
      <c r="BQ212" s="64"/>
      <c r="BR212" s="64"/>
    </row>
    <row r="213" ht="18.75" customHeight="1">
      <c r="G213" s="122"/>
      <c r="H213" s="64"/>
      <c r="L213" s="64"/>
      <c r="M213" s="64"/>
      <c r="N213" s="64"/>
      <c r="O213" s="64"/>
      <c r="P213" s="64"/>
      <c r="Q213" s="64"/>
      <c r="R213" s="64"/>
      <c r="S213" s="64"/>
      <c r="T213" s="64"/>
      <c r="U213" s="64"/>
      <c r="V213" s="64"/>
      <c r="W213" s="64"/>
      <c r="X213" s="64"/>
      <c r="Y213" s="64"/>
      <c r="BH213" s="64"/>
      <c r="BI213" s="64"/>
      <c r="BJ213" s="64"/>
      <c r="BK213" s="64"/>
      <c r="BL213" s="64"/>
      <c r="BM213" s="64"/>
      <c r="BN213" s="64"/>
      <c r="BO213" s="64"/>
      <c r="BP213" s="64"/>
      <c r="BQ213" s="64"/>
      <c r="BR213" s="64"/>
    </row>
    <row r="214" ht="18.75" customHeight="1">
      <c r="G214" s="122"/>
      <c r="H214" s="64"/>
      <c r="L214" s="64"/>
      <c r="M214" s="64"/>
      <c r="N214" s="64"/>
      <c r="O214" s="64"/>
      <c r="P214" s="64"/>
      <c r="Q214" s="64"/>
      <c r="R214" s="64"/>
      <c r="S214" s="64"/>
      <c r="T214" s="64"/>
      <c r="U214" s="64"/>
      <c r="V214" s="64"/>
      <c r="W214" s="64"/>
      <c r="X214" s="64"/>
      <c r="Y214" s="64"/>
      <c r="BH214" s="64"/>
      <c r="BI214" s="64"/>
      <c r="BJ214" s="64"/>
      <c r="BK214" s="64"/>
      <c r="BL214" s="64"/>
      <c r="BM214" s="64"/>
      <c r="BN214" s="64"/>
      <c r="BO214" s="64"/>
      <c r="BP214" s="64"/>
      <c r="BQ214" s="64"/>
      <c r="BR214" s="64"/>
    </row>
    <row r="215" ht="18.75" customHeight="1">
      <c r="G215" s="122"/>
      <c r="H215" s="64"/>
      <c r="L215" s="64"/>
      <c r="M215" s="64"/>
      <c r="N215" s="64"/>
      <c r="O215" s="64"/>
      <c r="P215" s="64"/>
      <c r="Q215" s="64"/>
      <c r="R215" s="64"/>
      <c r="S215" s="64"/>
      <c r="T215" s="64"/>
      <c r="U215" s="64"/>
      <c r="V215" s="64"/>
      <c r="W215" s="64"/>
      <c r="X215" s="64"/>
      <c r="Y215" s="64"/>
      <c r="BH215" s="64"/>
      <c r="BI215" s="64"/>
      <c r="BJ215" s="64"/>
      <c r="BK215" s="64"/>
      <c r="BL215" s="64"/>
      <c r="BM215" s="64"/>
      <c r="BN215" s="64"/>
      <c r="BO215" s="64"/>
      <c r="BP215" s="64"/>
      <c r="BQ215" s="64"/>
      <c r="BR215" s="64"/>
    </row>
    <row r="216" ht="18.75" customHeight="1">
      <c r="G216" s="122"/>
      <c r="H216" s="64"/>
      <c r="L216" s="64"/>
      <c r="M216" s="64"/>
      <c r="N216" s="64"/>
      <c r="O216" s="64"/>
      <c r="P216" s="64"/>
      <c r="Q216" s="64"/>
      <c r="R216" s="64"/>
      <c r="S216" s="64"/>
      <c r="T216" s="64"/>
      <c r="U216" s="64"/>
      <c r="V216" s="64"/>
      <c r="W216" s="64"/>
      <c r="X216" s="64"/>
      <c r="Y216" s="64"/>
      <c r="BH216" s="64"/>
      <c r="BI216" s="64"/>
      <c r="BJ216" s="64"/>
      <c r="BK216" s="64"/>
      <c r="BL216" s="64"/>
      <c r="BM216" s="64"/>
      <c r="BN216" s="64"/>
      <c r="BO216" s="64"/>
      <c r="BP216" s="64"/>
      <c r="BQ216" s="64"/>
      <c r="BR216" s="64"/>
    </row>
    <row r="217" ht="18.75" customHeight="1">
      <c r="G217" s="122"/>
      <c r="H217" s="64"/>
      <c r="L217" s="64"/>
      <c r="M217" s="64"/>
      <c r="N217" s="64"/>
      <c r="O217" s="64"/>
      <c r="P217" s="64"/>
      <c r="Q217" s="64"/>
      <c r="R217" s="64"/>
      <c r="S217" s="64"/>
      <c r="T217" s="64"/>
      <c r="U217" s="64"/>
      <c r="V217" s="64"/>
      <c r="W217" s="64"/>
      <c r="X217" s="64"/>
      <c r="Y217" s="64"/>
      <c r="BH217" s="64"/>
      <c r="BI217" s="64"/>
      <c r="BJ217" s="64"/>
      <c r="BK217" s="64"/>
      <c r="BL217" s="64"/>
      <c r="BM217" s="64"/>
      <c r="BN217" s="64"/>
      <c r="BO217" s="64"/>
      <c r="BP217" s="64"/>
      <c r="BQ217" s="64"/>
      <c r="BR217" s="64"/>
    </row>
    <row r="218" ht="18.75" customHeight="1">
      <c r="G218" s="122"/>
      <c r="H218" s="64"/>
      <c r="L218" s="64"/>
      <c r="M218" s="64"/>
      <c r="N218" s="64"/>
      <c r="O218" s="64"/>
      <c r="P218" s="64"/>
      <c r="Q218" s="64"/>
      <c r="R218" s="64"/>
      <c r="S218" s="64"/>
      <c r="T218" s="64"/>
      <c r="U218" s="64"/>
      <c r="V218" s="64"/>
      <c r="W218" s="64"/>
      <c r="X218" s="64"/>
      <c r="Y218" s="64"/>
      <c r="BH218" s="64"/>
      <c r="BI218" s="64"/>
      <c r="BJ218" s="64"/>
      <c r="BK218" s="64"/>
      <c r="BL218" s="64"/>
      <c r="BM218" s="64"/>
      <c r="BN218" s="64"/>
      <c r="BO218" s="64"/>
      <c r="BP218" s="64"/>
      <c r="BQ218" s="64"/>
      <c r="BR218" s="64"/>
    </row>
    <row r="219" ht="18.75" customHeight="1">
      <c r="G219" s="122"/>
      <c r="H219" s="64"/>
      <c r="L219" s="64"/>
      <c r="M219" s="64"/>
      <c r="N219" s="64"/>
      <c r="O219" s="64"/>
      <c r="P219" s="64"/>
      <c r="Q219" s="64"/>
      <c r="R219" s="64"/>
      <c r="S219" s="64"/>
      <c r="T219" s="64"/>
      <c r="U219" s="64"/>
      <c r="V219" s="64"/>
      <c r="W219" s="64"/>
      <c r="X219" s="64"/>
      <c r="Y219" s="64"/>
      <c r="BH219" s="64"/>
      <c r="BI219" s="64"/>
      <c r="BJ219" s="64"/>
      <c r="BK219" s="64"/>
      <c r="BL219" s="64"/>
      <c r="BM219" s="64"/>
      <c r="BN219" s="64"/>
      <c r="BO219" s="64"/>
      <c r="BP219" s="64"/>
      <c r="BQ219" s="64"/>
      <c r="BR219" s="64"/>
    </row>
    <row r="220" ht="18.75" customHeight="1">
      <c r="G220" s="122"/>
      <c r="H220" s="64"/>
      <c r="L220" s="64"/>
      <c r="M220" s="64"/>
      <c r="N220" s="64"/>
      <c r="O220" s="64"/>
      <c r="P220" s="64"/>
      <c r="Q220" s="64"/>
      <c r="R220" s="64"/>
      <c r="S220" s="64"/>
      <c r="T220" s="64"/>
      <c r="U220" s="64"/>
      <c r="V220" s="64"/>
      <c r="W220" s="64"/>
      <c r="X220" s="64"/>
      <c r="Y220" s="64"/>
      <c r="BH220" s="64"/>
      <c r="BI220" s="64"/>
      <c r="BJ220" s="64"/>
      <c r="BK220" s="64"/>
      <c r="BL220" s="64"/>
      <c r="BM220" s="64"/>
      <c r="BN220" s="64"/>
      <c r="BO220" s="64"/>
      <c r="BP220" s="64"/>
      <c r="BQ220" s="64"/>
      <c r="BR220" s="64"/>
    </row>
    <row r="221" ht="18.75" customHeight="1">
      <c r="G221" s="122"/>
      <c r="H221" s="64"/>
      <c r="L221" s="64"/>
      <c r="M221" s="64"/>
      <c r="N221" s="64"/>
      <c r="O221" s="64"/>
      <c r="P221" s="64"/>
      <c r="Q221" s="64"/>
      <c r="R221" s="64"/>
      <c r="S221" s="64"/>
      <c r="T221" s="64"/>
      <c r="U221" s="64"/>
      <c r="V221" s="64"/>
      <c r="W221" s="64"/>
      <c r="X221" s="64"/>
      <c r="Y221" s="64"/>
      <c r="BH221" s="64"/>
      <c r="BI221" s="64"/>
      <c r="BJ221" s="64"/>
      <c r="BK221" s="64"/>
      <c r="BL221" s="64"/>
      <c r="BM221" s="64"/>
      <c r="BN221" s="64"/>
      <c r="BO221" s="64"/>
      <c r="BP221" s="64"/>
      <c r="BQ221" s="64"/>
      <c r="BR221" s="64"/>
    </row>
    <row r="222" ht="18.75" customHeight="1">
      <c r="G222" s="122"/>
      <c r="H222" s="64"/>
      <c r="L222" s="64"/>
      <c r="M222" s="64"/>
      <c r="N222" s="64"/>
      <c r="O222" s="64"/>
      <c r="P222" s="64"/>
      <c r="Q222" s="64"/>
      <c r="R222" s="64"/>
      <c r="S222" s="64"/>
      <c r="T222" s="64"/>
      <c r="U222" s="64"/>
      <c r="V222" s="64"/>
      <c r="W222" s="64"/>
      <c r="X222" s="64"/>
      <c r="Y222" s="64"/>
      <c r="BH222" s="64"/>
      <c r="BI222" s="64"/>
      <c r="BJ222" s="64"/>
      <c r="BK222" s="64"/>
      <c r="BL222" s="64"/>
      <c r="BM222" s="64"/>
      <c r="BN222" s="64"/>
      <c r="BO222" s="64"/>
      <c r="BP222" s="64"/>
      <c r="BQ222" s="64"/>
      <c r="BR222" s="64"/>
    </row>
    <row r="223" ht="18.75" customHeight="1">
      <c r="G223" s="122"/>
      <c r="H223" s="64"/>
      <c r="L223" s="64"/>
      <c r="M223" s="64"/>
      <c r="N223" s="64"/>
      <c r="O223" s="64"/>
      <c r="P223" s="64"/>
      <c r="Q223" s="64"/>
      <c r="R223" s="64"/>
      <c r="S223" s="64"/>
      <c r="T223" s="64"/>
      <c r="U223" s="64"/>
      <c r="V223" s="64"/>
      <c r="W223" s="64"/>
      <c r="X223" s="64"/>
      <c r="Y223" s="64"/>
      <c r="BH223" s="64"/>
      <c r="BI223" s="64"/>
      <c r="BJ223" s="64"/>
      <c r="BK223" s="64"/>
      <c r="BL223" s="64"/>
      <c r="BM223" s="64"/>
      <c r="BN223" s="64"/>
      <c r="BO223" s="64"/>
      <c r="BP223" s="64"/>
      <c r="BQ223" s="64"/>
      <c r="BR223" s="64"/>
    </row>
    <row r="224" ht="18.75" customHeight="1">
      <c r="G224" s="122"/>
      <c r="H224" s="64"/>
      <c r="L224" s="64"/>
      <c r="M224" s="64"/>
      <c r="N224" s="64"/>
      <c r="O224" s="64"/>
      <c r="P224" s="64"/>
      <c r="Q224" s="64"/>
      <c r="R224" s="64"/>
      <c r="S224" s="64"/>
      <c r="T224" s="64"/>
      <c r="U224" s="64"/>
      <c r="V224" s="64"/>
      <c r="W224" s="64"/>
      <c r="X224" s="64"/>
      <c r="Y224" s="64"/>
      <c r="BH224" s="64"/>
      <c r="BI224" s="64"/>
      <c r="BJ224" s="64"/>
      <c r="BK224" s="64"/>
      <c r="BL224" s="64"/>
      <c r="BM224" s="64"/>
      <c r="BN224" s="64"/>
      <c r="BO224" s="64"/>
      <c r="BP224" s="64"/>
      <c r="BQ224" s="64"/>
      <c r="BR224" s="64"/>
    </row>
    <row r="225" ht="18.75" customHeight="1">
      <c r="G225" s="122"/>
      <c r="H225" s="64"/>
      <c r="L225" s="64"/>
      <c r="M225" s="64"/>
      <c r="N225" s="64"/>
      <c r="O225" s="64"/>
      <c r="P225" s="64"/>
      <c r="Q225" s="64"/>
      <c r="R225" s="64"/>
      <c r="S225" s="64"/>
      <c r="T225" s="64"/>
      <c r="U225" s="64"/>
      <c r="V225" s="64"/>
      <c r="W225" s="64"/>
      <c r="X225" s="64"/>
      <c r="Y225" s="64"/>
      <c r="BH225" s="64"/>
      <c r="BI225" s="64"/>
      <c r="BJ225" s="64"/>
      <c r="BK225" s="64"/>
      <c r="BL225" s="64"/>
      <c r="BM225" s="64"/>
      <c r="BN225" s="64"/>
      <c r="BO225" s="64"/>
      <c r="BP225" s="64"/>
      <c r="BQ225" s="64"/>
      <c r="BR225" s="64"/>
    </row>
    <row r="226" ht="18.75" customHeight="1">
      <c r="G226" s="122"/>
      <c r="H226" s="64"/>
      <c r="L226" s="64"/>
      <c r="M226" s="64"/>
      <c r="N226" s="64"/>
      <c r="O226" s="64"/>
      <c r="P226" s="64"/>
      <c r="Q226" s="64"/>
      <c r="R226" s="64"/>
      <c r="S226" s="64"/>
      <c r="T226" s="64"/>
      <c r="U226" s="64"/>
      <c r="V226" s="64"/>
      <c r="W226" s="64"/>
      <c r="X226" s="64"/>
      <c r="Y226" s="64"/>
      <c r="BH226" s="64"/>
      <c r="BI226" s="64"/>
      <c r="BJ226" s="64"/>
      <c r="BK226" s="64"/>
      <c r="BL226" s="64"/>
      <c r="BM226" s="64"/>
      <c r="BN226" s="64"/>
      <c r="BO226" s="64"/>
      <c r="BP226" s="64"/>
      <c r="BQ226" s="64"/>
      <c r="BR226" s="64"/>
    </row>
    <row r="227" ht="18.75" customHeight="1">
      <c r="G227" s="122"/>
      <c r="H227" s="64"/>
      <c r="L227" s="64"/>
      <c r="M227" s="64"/>
      <c r="N227" s="64"/>
      <c r="O227" s="64"/>
      <c r="P227" s="64"/>
      <c r="Q227" s="64"/>
      <c r="R227" s="64"/>
      <c r="S227" s="64"/>
      <c r="T227" s="64"/>
      <c r="U227" s="64"/>
      <c r="V227" s="64"/>
      <c r="W227" s="64"/>
      <c r="X227" s="64"/>
      <c r="Y227" s="64"/>
      <c r="BH227" s="64"/>
      <c r="BI227" s="64"/>
      <c r="BJ227" s="64"/>
      <c r="BK227" s="64"/>
      <c r="BL227" s="64"/>
      <c r="BM227" s="64"/>
      <c r="BN227" s="64"/>
      <c r="BO227" s="64"/>
      <c r="BP227" s="64"/>
      <c r="BQ227" s="64"/>
      <c r="BR227" s="64"/>
    </row>
    <row r="228" ht="18.75" customHeight="1">
      <c r="G228" s="122"/>
      <c r="H228" s="64"/>
      <c r="L228" s="64"/>
      <c r="M228" s="64"/>
      <c r="N228" s="64"/>
      <c r="O228" s="64"/>
      <c r="P228" s="64"/>
      <c r="Q228" s="64"/>
      <c r="R228" s="64"/>
      <c r="S228" s="64"/>
      <c r="T228" s="64"/>
      <c r="U228" s="64"/>
      <c r="V228" s="64"/>
      <c r="W228" s="64"/>
      <c r="X228" s="64"/>
      <c r="Y228" s="64"/>
      <c r="BH228" s="64"/>
      <c r="BI228" s="64"/>
      <c r="BJ228" s="64"/>
      <c r="BK228" s="64"/>
      <c r="BL228" s="64"/>
      <c r="BM228" s="64"/>
      <c r="BN228" s="64"/>
      <c r="BO228" s="64"/>
      <c r="BP228" s="64"/>
      <c r="BQ228" s="64"/>
      <c r="BR228" s="64"/>
    </row>
    <row r="229" ht="18.75" customHeight="1">
      <c r="G229" s="122"/>
      <c r="H229" s="64"/>
      <c r="L229" s="64"/>
      <c r="M229" s="64"/>
      <c r="N229" s="64"/>
      <c r="O229" s="64"/>
      <c r="P229" s="64"/>
      <c r="Q229" s="64"/>
      <c r="R229" s="64"/>
      <c r="S229" s="64"/>
      <c r="T229" s="64"/>
      <c r="U229" s="64"/>
      <c r="V229" s="64"/>
      <c r="W229" s="64"/>
      <c r="X229" s="64"/>
      <c r="Y229" s="64"/>
      <c r="BH229" s="64"/>
      <c r="BI229" s="64"/>
      <c r="BJ229" s="64"/>
      <c r="BK229" s="64"/>
      <c r="BL229" s="64"/>
      <c r="BM229" s="64"/>
      <c r="BN229" s="64"/>
      <c r="BO229" s="64"/>
      <c r="BP229" s="64"/>
      <c r="BQ229" s="64"/>
      <c r="BR229" s="64"/>
    </row>
    <row r="230" ht="18.75" customHeight="1">
      <c r="G230" s="122"/>
      <c r="H230" s="64"/>
      <c r="L230" s="64"/>
      <c r="M230" s="64"/>
      <c r="N230" s="64"/>
      <c r="O230" s="64"/>
      <c r="P230" s="64"/>
      <c r="Q230" s="64"/>
      <c r="R230" s="64"/>
      <c r="S230" s="64"/>
      <c r="T230" s="64"/>
      <c r="U230" s="64"/>
      <c r="V230" s="64"/>
      <c r="W230" s="64"/>
      <c r="X230" s="64"/>
      <c r="Y230" s="64"/>
      <c r="BH230" s="64"/>
      <c r="BI230" s="64"/>
      <c r="BJ230" s="64"/>
      <c r="BK230" s="64"/>
      <c r="BL230" s="64"/>
      <c r="BM230" s="64"/>
      <c r="BN230" s="64"/>
      <c r="BO230" s="64"/>
      <c r="BP230" s="64"/>
      <c r="BQ230" s="64"/>
      <c r="BR230" s="64"/>
    </row>
    <row r="231" ht="18.75" customHeight="1">
      <c r="G231" s="122"/>
      <c r="H231" s="64"/>
      <c r="L231" s="64"/>
      <c r="M231" s="64"/>
      <c r="N231" s="64"/>
      <c r="O231" s="64"/>
      <c r="P231" s="64"/>
      <c r="Q231" s="64"/>
      <c r="R231" s="64"/>
      <c r="S231" s="64"/>
      <c r="T231" s="64"/>
      <c r="U231" s="64"/>
      <c r="V231" s="64"/>
      <c r="W231" s="64"/>
      <c r="X231" s="64"/>
      <c r="Y231" s="64"/>
      <c r="BH231" s="64"/>
      <c r="BI231" s="64"/>
      <c r="BJ231" s="64"/>
      <c r="BK231" s="64"/>
      <c r="BL231" s="64"/>
      <c r="BM231" s="64"/>
      <c r="BN231" s="64"/>
      <c r="BO231" s="64"/>
      <c r="BP231" s="64"/>
      <c r="BQ231" s="64"/>
      <c r="BR231" s="64"/>
    </row>
    <row r="232" ht="18.75" customHeight="1">
      <c r="G232" s="122"/>
      <c r="H232" s="64"/>
      <c r="L232" s="64"/>
      <c r="M232" s="64"/>
      <c r="N232" s="64"/>
      <c r="O232" s="64"/>
      <c r="P232" s="64"/>
      <c r="Q232" s="64"/>
      <c r="R232" s="64"/>
      <c r="S232" s="64"/>
      <c r="T232" s="64"/>
      <c r="U232" s="64"/>
      <c r="V232" s="64"/>
      <c r="W232" s="64"/>
      <c r="X232" s="64"/>
      <c r="Y232" s="64"/>
      <c r="BH232" s="64"/>
      <c r="BI232" s="64"/>
      <c r="BJ232" s="64"/>
      <c r="BK232" s="64"/>
      <c r="BL232" s="64"/>
      <c r="BM232" s="64"/>
      <c r="BN232" s="64"/>
      <c r="BO232" s="64"/>
      <c r="BP232" s="64"/>
      <c r="BQ232" s="64"/>
      <c r="BR232" s="64"/>
    </row>
    <row r="233" ht="18.75" customHeight="1">
      <c r="G233" s="122"/>
      <c r="H233" s="64"/>
      <c r="L233" s="64"/>
      <c r="M233" s="64"/>
      <c r="N233" s="64"/>
      <c r="O233" s="64"/>
      <c r="P233" s="64"/>
      <c r="Q233" s="64"/>
      <c r="R233" s="64"/>
      <c r="S233" s="64"/>
      <c r="T233" s="64"/>
      <c r="U233" s="64"/>
      <c r="V233" s="64"/>
      <c r="W233" s="64"/>
      <c r="X233" s="64"/>
      <c r="Y233" s="64"/>
      <c r="BH233" s="64"/>
      <c r="BI233" s="64"/>
      <c r="BJ233" s="64"/>
      <c r="BK233" s="64"/>
      <c r="BL233" s="64"/>
      <c r="BM233" s="64"/>
      <c r="BN233" s="64"/>
      <c r="BO233" s="64"/>
      <c r="BP233" s="64"/>
      <c r="BQ233" s="64"/>
      <c r="BR233" s="64"/>
    </row>
    <row r="234" ht="18.75" customHeight="1">
      <c r="G234" s="122"/>
      <c r="H234" s="64"/>
      <c r="L234" s="64"/>
      <c r="M234" s="64"/>
      <c r="N234" s="64"/>
      <c r="O234" s="64"/>
      <c r="P234" s="64"/>
      <c r="Q234" s="64"/>
      <c r="R234" s="64"/>
      <c r="S234" s="64"/>
      <c r="T234" s="64"/>
      <c r="U234" s="64"/>
      <c r="V234" s="64"/>
      <c r="W234" s="64"/>
      <c r="X234" s="64"/>
      <c r="Y234" s="64"/>
      <c r="BH234" s="64"/>
      <c r="BI234" s="64"/>
      <c r="BJ234" s="64"/>
      <c r="BK234" s="64"/>
      <c r="BL234" s="64"/>
      <c r="BM234" s="64"/>
      <c r="BN234" s="64"/>
      <c r="BO234" s="64"/>
      <c r="BP234" s="64"/>
      <c r="BQ234" s="64"/>
      <c r="BR234" s="64"/>
    </row>
    <row r="235" ht="18.75" customHeight="1">
      <c r="G235" s="122"/>
      <c r="H235" s="64"/>
      <c r="L235" s="64"/>
      <c r="M235" s="64"/>
      <c r="N235" s="64"/>
      <c r="O235" s="64"/>
      <c r="P235" s="64"/>
      <c r="Q235" s="64"/>
      <c r="R235" s="64"/>
      <c r="S235" s="64"/>
      <c r="T235" s="64"/>
      <c r="U235" s="64"/>
      <c r="V235" s="64"/>
      <c r="W235" s="64"/>
      <c r="X235" s="64"/>
      <c r="Y235" s="64"/>
      <c r="BH235" s="64"/>
      <c r="BI235" s="64"/>
      <c r="BJ235" s="64"/>
      <c r="BK235" s="64"/>
      <c r="BL235" s="64"/>
      <c r="BM235" s="64"/>
      <c r="BN235" s="64"/>
      <c r="BO235" s="64"/>
      <c r="BP235" s="64"/>
      <c r="BQ235" s="64"/>
      <c r="BR235" s="64"/>
    </row>
    <row r="236" ht="18.75" customHeight="1">
      <c r="G236" s="122"/>
      <c r="H236" s="64"/>
      <c r="L236" s="64"/>
      <c r="M236" s="64"/>
      <c r="N236" s="64"/>
      <c r="O236" s="64"/>
      <c r="P236" s="64"/>
      <c r="Q236" s="64"/>
      <c r="R236" s="64"/>
      <c r="S236" s="64"/>
      <c r="T236" s="64"/>
      <c r="U236" s="64"/>
      <c r="V236" s="64"/>
      <c r="W236" s="64"/>
      <c r="X236" s="64"/>
      <c r="Y236" s="64"/>
      <c r="BH236" s="64"/>
      <c r="BI236" s="64"/>
      <c r="BJ236" s="64"/>
      <c r="BK236" s="64"/>
      <c r="BL236" s="64"/>
      <c r="BM236" s="64"/>
      <c r="BN236" s="64"/>
      <c r="BO236" s="64"/>
      <c r="BP236" s="64"/>
      <c r="BQ236" s="64"/>
      <c r="BR236" s="64"/>
    </row>
    <row r="237" ht="18.75" customHeight="1">
      <c r="G237" s="122"/>
      <c r="H237" s="64"/>
      <c r="L237" s="64"/>
      <c r="M237" s="64"/>
      <c r="N237" s="64"/>
      <c r="O237" s="64"/>
      <c r="P237" s="64"/>
      <c r="Q237" s="64"/>
      <c r="R237" s="64"/>
      <c r="S237" s="64"/>
      <c r="T237" s="64"/>
      <c r="U237" s="64"/>
      <c r="V237" s="64"/>
      <c r="W237" s="64"/>
      <c r="X237" s="64"/>
      <c r="Y237" s="64"/>
      <c r="BH237" s="64"/>
      <c r="BI237" s="64"/>
      <c r="BJ237" s="64"/>
      <c r="BK237" s="64"/>
      <c r="BL237" s="64"/>
      <c r="BM237" s="64"/>
      <c r="BN237" s="64"/>
      <c r="BO237" s="64"/>
      <c r="BP237" s="64"/>
      <c r="BQ237" s="64"/>
      <c r="BR237" s="64"/>
    </row>
    <row r="238" ht="18.75" customHeight="1">
      <c r="G238" s="122"/>
      <c r="H238" s="64"/>
      <c r="L238" s="64"/>
      <c r="M238" s="64"/>
      <c r="N238" s="64"/>
      <c r="O238" s="64"/>
      <c r="P238" s="64"/>
      <c r="Q238" s="64"/>
      <c r="R238" s="64"/>
      <c r="S238" s="64"/>
      <c r="T238" s="64"/>
      <c r="U238" s="64"/>
      <c r="V238" s="64"/>
      <c r="W238" s="64"/>
      <c r="X238" s="64"/>
      <c r="Y238" s="64"/>
      <c r="BH238" s="64"/>
      <c r="BI238" s="64"/>
      <c r="BJ238" s="64"/>
      <c r="BK238" s="64"/>
      <c r="BL238" s="64"/>
      <c r="BM238" s="64"/>
      <c r="BN238" s="64"/>
      <c r="BO238" s="64"/>
      <c r="BP238" s="64"/>
      <c r="BQ238" s="64"/>
      <c r="BR238" s="64"/>
    </row>
    <row r="239" ht="18.75" customHeight="1">
      <c r="G239" s="122"/>
      <c r="H239" s="64"/>
      <c r="L239" s="64"/>
      <c r="M239" s="64"/>
      <c r="N239" s="64"/>
      <c r="O239" s="64"/>
      <c r="P239" s="64"/>
      <c r="Q239" s="64"/>
      <c r="R239" s="64"/>
      <c r="S239" s="64"/>
      <c r="T239" s="64"/>
      <c r="U239" s="64"/>
      <c r="V239" s="64"/>
      <c r="W239" s="64"/>
      <c r="X239" s="64"/>
      <c r="Y239" s="64"/>
      <c r="BH239" s="64"/>
      <c r="BI239" s="64"/>
      <c r="BJ239" s="64"/>
      <c r="BK239" s="64"/>
      <c r="BL239" s="64"/>
      <c r="BM239" s="64"/>
      <c r="BN239" s="64"/>
      <c r="BO239" s="64"/>
      <c r="BP239" s="64"/>
      <c r="BQ239" s="64"/>
      <c r="BR239" s="64"/>
    </row>
    <row r="240" ht="18.75" customHeight="1">
      <c r="G240" s="122"/>
      <c r="H240" s="64"/>
      <c r="L240" s="64"/>
      <c r="M240" s="64"/>
      <c r="N240" s="64"/>
      <c r="O240" s="64"/>
      <c r="P240" s="64"/>
      <c r="Q240" s="64"/>
      <c r="R240" s="64"/>
      <c r="S240" s="64"/>
      <c r="T240" s="64"/>
      <c r="U240" s="64"/>
      <c r="V240" s="64"/>
      <c r="W240" s="64"/>
      <c r="X240" s="64"/>
      <c r="Y240" s="64"/>
      <c r="BH240" s="64"/>
      <c r="BI240" s="64"/>
      <c r="BJ240" s="64"/>
      <c r="BK240" s="64"/>
      <c r="BL240" s="64"/>
      <c r="BM240" s="64"/>
      <c r="BN240" s="64"/>
      <c r="BO240" s="64"/>
      <c r="BP240" s="64"/>
      <c r="BQ240" s="64"/>
      <c r="BR240" s="64"/>
    </row>
    <row r="241" ht="18.75" customHeight="1">
      <c r="G241" s="122"/>
      <c r="H241" s="64"/>
      <c r="L241" s="64"/>
      <c r="M241" s="64"/>
      <c r="N241" s="64"/>
      <c r="O241" s="64"/>
      <c r="P241" s="64"/>
      <c r="Q241" s="64"/>
      <c r="R241" s="64"/>
      <c r="S241" s="64"/>
      <c r="T241" s="64"/>
      <c r="U241" s="64"/>
      <c r="V241" s="64"/>
      <c r="W241" s="64"/>
      <c r="X241" s="64"/>
      <c r="Y241" s="64"/>
      <c r="BH241" s="64"/>
      <c r="BI241" s="64"/>
      <c r="BJ241" s="64"/>
      <c r="BK241" s="64"/>
      <c r="BL241" s="64"/>
      <c r="BM241" s="64"/>
      <c r="BN241" s="64"/>
      <c r="BO241" s="64"/>
      <c r="BP241" s="64"/>
      <c r="BQ241" s="64"/>
      <c r="BR241" s="64"/>
    </row>
    <row r="242" ht="18.75" customHeight="1">
      <c r="G242" s="122"/>
      <c r="H242" s="64"/>
      <c r="L242" s="64"/>
      <c r="M242" s="64"/>
      <c r="N242" s="64"/>
      <c r="O242" s="64"/>
      <c r="P242" s="64"/>
      <c r="Q242" s="64"/>
      <c r="R242" s="64"/>
      <c r="S242" s="64"/>
      <c r="T242" s="64"/>
      <c r="U242" s="64"/>
      <c r="V242" s="64"/>
      <c r="W242" s="64"/>
      <c r="X242" s="64"/>
      <c r="Y242" s="64"/>
      <c r="BH242" s="64"/>
      <c r="BI242" s="64"/>
      <c r="BJ242" s="64"/>
      <c r="BK242" s="64"/>
      <c r="BL242" s="64"/>
      <c r="BM242" s="64"/>
      <c r="BN242" s="64"/>
      <c r="BO242" s="64"/>
      <c r="BP242" s="64"/>
      <c r="BQ242" s="64"/>
      <c r="BR242" s="64"/>
    </row>
    <row r="243" ht="18.75" customHeight="1">
      <c r="G243" s="122"/>
      <c r="H243" s="64"/>
      <c r="L243" s="64"/>
      <c r="M243" s="64"/>
      <c r="N243" s="64"/>
      <c r="O243" s="64"/>
      <c r="P243" s="64"/>
      <c r="Q243" s="64"/>
      <c r="R243" s="64"/>
      <c r="S243" s="64"/>
      <c r="T243" s="64"/>
      <c r="U243" s="64"/>
      <c r="V243" s="64"/>
      <c r="W243" s="64"/>
      <c r="X243" s="64"/>
      <c r="Y243" s="64"/>
      <c r="BH243" s="64"/>
      <c r="BI243" s="64"/>
      <c r="BJ243" s="64"/>
      <c r="BK243" s="64"/>
      <c r="BL243" s="64"/>
      <c r="BM243" s="64"/>
      <c r="BN243" s="64"/>
      <c r="BO243" s="64"/>
      <c r="BP243" s="64"/>
      <c r="BQ243" s="64"/>
      <c r="BR243" s="64"/>
    </row>
    <row r="244" ht="18.75" customHeight="1">
      <c r="G244" s="122"/>
      <c r="H244" s="64"/>
      <c r="L244" s="64"/>
      <c r="M244" s="64"/>
      <c r="N244" s="64"/>
      <c r="O244" s="64"/>
      <c r="P244" s="64"/>
      <c r="Q244" s="64"/>
      <c r="R244" s="64"/>
      <c r="S244" s="64"/>
      <c r="T244" s="64"/>
      <c r="U244" s="64"/>
      <c r="V244" s="64"/>
      <c r="W244" s="64"/>
      <c r="X244" s="64"/>
      <c r="Y244" s="64"/>
      <c r="BH244" s="64"/>
      <c r="BI244" s="64"/>
      <c r="BJ244" s="64"/>
      <c r="BK244" s="64"/>
      <c r="BL244" s="64"/>
      <c r="BM244" s="64"/>
      <c r="BN244" s="64"/>
      <c r="BO244" s="64"/>
      <c r="BP244" s="64"/>
      <c r="BQ244" s="64"/>
      <c r="BR244" s="64"/>
    </row>
    <row r="245" ht="18.75" customHeight="1">
      <c r="G245" s="122"/>
      <c r="H245" s="64"/>
      <c r="L245" s="64"/>
      <c r="M245" s="64"/>
      <c r="N245" s="64"/>
      <c r="O245" s="64"/>
      <c r="P245" s="64"/>
      <c r="Q245" s="64"/>
      <c r="R245" s="64"/>
      <c r="S245" s="64"/>
      <c r="T245" s="64"/>
      <c r="U245" s="64"/>
      <c r="V245" s="64"/>
      <c r="W245" s="64"/>
      <c r="X245" s="64"/>
      <c r="Y245" s="64"/>
      <c r="BH245" s="64"/>
      <c r="BI245" s="64"/>
      <c r="BJ245" s="64"/>
      <c r="BK245" s="64"/>
      <c r="BL245" s="64"/>
      <c r="BM245" s="64"/>
      <c r="BN245" s="64"/>
      <c r="BO245" s="64"/>
      <c r="BP245" s="64"/>
      <c r="BQ245" s="64"/>
      <c r="BR245" s="64"/>
    </row>
    <row r="246" ht="18.75" customHeight="1">
      <c r="G246" s="122"/>
      <c r="H246" s="64"/>
      <c r="L246" s="64"/>
      <c r="M246" s="64"/>
      <c r="N246" s="64"/>
      <c r="O246" s="64"/>
      <c r="P246" s="64"/>
      <c r="Q246" s="64"/>
      <c r="R246" s="64"/>
      <c r="S246" s="64"/>
      <c r="T246" s="64"/>
      <c r="U246" s="64"/>
      <c r="V246" s="64"/>
      <c r="W246" s="64"/>
      <c r="X246" s="64"/>
      <c r="Y246" s="64"/>
      <c r="BH246" s="64"/>
      <c r="BI246" s="64"/>
      <c r="BJ246" s="64"/>
      <c r="BK246" s="64"/>
      <c r="BL246" s="64"/>
      <c r="BM246" s="64"/>
      <c r="BN246" s="64"/>
      <c r="BO246" s="64"/>
      <c r="BP246" s="64"/>
      <c r="BQ246" s="64"/>
      <c r="BR246" s="64"/>
    </row>
    <row r="247" ht="18.75" customHeight="1">
      <c r="G247" s="122"/>
      <c r="H247" s="64"/>
      <c r="L247" s="64"/>
      <c r="M247" s="64"/>
      <c r="N247" s="64"/>
      <c r="O247" s="64"/>
      <c r="P247" s="64"/>
      <c r="Q247" s="64"/>
      <c r="R247" s="64"/>
      <c r="S247" s="64"/>
      <c r="T247" s="64"/>
      <c r="U247" s="64"/>
      <c r="V247" s="64"/>
      <c r="W247" s="64"/>
      <c r="X247" s="64"/>
      <c r="Y247" s="64"/>
      <c r="BH247" s="64"/>
      <c r="BI247" s="64"/>
      <c r="BJ247" s="64"/>
      <c r="BK247" s="64"/>
      <c r="BL247" s="64"/>
      <c r="BM247" s="64"/>
      <c r="BN247" s="64"/>
      <c r="BO247" s="64"/>
      <c r="BP247" s="64"/>
      <c r="BQ247" s="64"/>
      <c r="BR247" s="64"/>
    </row>
    <row r="248" ht="18.75" customHeight="1">
      <c r="G248" s="122"/>
      <c r="H248" s="64"/>
      <c r="L248" s="64"/>
      <c r="M248" s="64"/>
      <c r="N248" s="64"/>
      <c r="O248" s="64"/>
      <c r="P248" s="64"/>
      <c r="Q248" s="64"/>
      <c r="R248" s="64"/>
      <c r="S248" s="64"/>
      <c r="T248" s="64"/>
      <c r="U248" s="64"/>
      <c r="V248" s="64"/>
      <c r="W248" s="64"/>
      <c r="X248" s="64"/>
      <c r="Y248" s="64"/>
      <c r="BH248" s="64"/>
      <c r="BI248" s="64"/>
      <c r="BJ248" s="64"/>
      <c r="BK248" s="64"/>
      <c r="BL248" s="64"/>
      <c r="BM248" s="64"/>
      <c r="BN248" s="64"/>
      <c r="BO248" s="64"/>
      <c r="BP248" s="64"/>
      <c r="BQ248" s="64"/>
      <c r="BR248" s="64"/>
    </row>
    <row r="249" ht="18.75" customHeight="1">
      <c r="G249" s="122"/>
      <c r="H249" s="64"/>
      <c r="L249" s="64"/>
      <c r="M249" s="64"/>
      <c r="N249" s="64"/>
      <c r="O249" s="64"/>
      <c r="P249" s="64"/>
      <c r="Q249" s="64"/>
      <c r="R249" s="64"/>
      <c r="S249" s="64"/>
      <c r="T249" s="64"/>
      <c r="U249" s="64"/>
      <c r="V249" s="64"/>
      <c r="W249" s="64"/>
      <c r="X249" s="64"/>
      <c r="Y249" s="64"/>
      <c r="BH249" s="64"/>
      <c r="BI249" s="64"/>
      <c r="BJ249" s="64"/>
      <c r="BK249" s="64"/>
      <c r="BL249" s="64"/>
      <c r="BM249" s="64"/>
      <c r="BN249" s="64"/>
      <c r="BO249" s="64"/>
      <c r="BP249" s="64"/>
      <c r="BQ249" s="64"/>
      <c r="BR249" s="64"/>
    </row>
    <row r="250" ht="18.75" customHeight="1">
      <c r="G250" s="122"/>
      <c r="H250" s="64"/>
      <c r="L250" s="64"/>
      <c r="M250" s="64"/>
      <c r="N250" s="64"/>
      <c r="O250" s="64"/>
      <c r="P250" s="64"/>
      <c r="Q250" s="64"/>
      <c r="R250" s="64"/>
      <c r="S250" s="64"/>
      <c r="T250" s="64"/>
      <c r="U250" s="64"/>
      <c r="V250" s="64"/>
      <c r="W250" s="64"/>
      <c r="X250" s="64"/>
      <c r="Y250" s="64"/>
      <c r="BH250" s="64"/>
      <c r="BI250" s="64"/>
      <c r="BJ250" s="64"/>
      <c r="BK250" s="64"/>
      <c r="BL250" s="64"/>
      <c r="BM250" s="64"/>
      <c r="BN250" s="64"/>
      <c r="BO250" s="64"/>
      <c r="BP250" s="64"/>
      <c r="BQ250" s="64"/>
      <c r="BR250" s="64"/>
    </row>
    <row r="251" ht="18.75" customHeight="1">
      <c r="G251" s="122"/>
      <c r="H251" s="64"/>
      <c r="L251" s="64"/>
      <c r="M251" s="64"/>
      <c r="N251" s="64"/>
      <c r="O251" s="64"/>
      <c r="P251" s="64"/>
      <c r="Q251" s="64"/>
      <c r="R251" s="64"/>
      <c r="S251" s="64"/>
      <c r="T251" s="64"/>
      <c r="U251" s="64"/>
      <c r="V251" s="64"/>
      <c r="W251" s="64"/>
      <c r="X251" s="64"/>
      <c r="Y251" s="64"/>
      <c r="BH251" s="64"/>
      <c r="BI251" s="64"/>
      <c r="BJ251" s="64"/>
      <c r="BK251" s="64"/>
      <c r="BL251" s="64"/>
      <c r="BM251" s="64"/>
      <c r="BN251" s="64"/>
      <c r="BO251" s="64"/>
      <c r="BP251" s="64"/>
      <c r="BQ251" s="64"/>
      <c r="BR251" s="64"/>
    </row>
    <row r="252" ht="18.75" customHeight="1">
      <c r="G252" s="122"/>
      <c r="H252" s="64"/>
      <c r="L252" s="64"/>
      <c r="M252" s="64"/>
      <c r="N252" s="64"/>
      <c r="O252" s="64"/>
      <c r="P252" s="64"/>
      <c r="Q252" s="64"/>
      <c r="R252" s="64"/>
      <c r="S252" s="64"/>
      <c r="T252" s="64"/>
      <c r="U252" s="64"/>
      <c r="V252" s="64"/>
      <c r="W252" s="64"/>
      <c r="X252" s="64"/>
      <c r="Y252" s="64"/>
      <c r="BH252" s="64"/>
      <c r="BI252" s="64"/>
      <c r="BJ252" s="64"/>
      <c r="BK252" s="64"/>
      <c r="BL252" s="64"/>
      <c r="BM252" s="64"/>
      <c r="BN252" s="64"/>
      <c r="BO252" s="64"/>
      <c r="BP252" s="64"/>
      <c r="BQ252" s="64"/>
      <c r="BR252" s="64"/>
    </row>
    <row r="253" ht="18.75" customHeight="1">
      <c r="G253" s="122"/>
      <c r="H253" s="64"/>
      <c r="L253" s="64"/>
      <c r="M253" s="64"/>
      <c r="N253" s="64"/>
      <c r="O253" s="64"/>
      <c r="P253" s="64"/>
      <c r="Q253" s="64"/>
      <c r="R253" s="64"/>
      <c r="S253" s="64"/>
      <c r="T253" s="64"/>
      <c r="U253" s="64"/>
      <c r="V253" s="64"/>
      <c r="W253" s="64"/>
      <c r="X253" s="64"/>
      <c r="Y253" s="64"/>
      <c r="BH253" s="64"/>
      <c r="BI253" s="64"/>
      <c r="BJ253" s="64"/>
      <c r="BK253" s="64"/>
      <c r="BL253" s="64"/>
      <c r="BM253" s="64"/>
      <c r="BN253" s="64"/>
      <c r="BO253" s="64"/>
      <c r="BP253" s="64"/>
      <c r="BQ253" s="64"/>
      <c r="BR253" s="64"/>
    </row>
    <row r="254" ht="18.75" customHeight="1">
      <c r="G254" s="122"/>
      <c r="H254" s="64"/>
      <c r="L254" s="64"/>
      <c r="M254" s="64"/>
      <c r="N254" s="64"/>
      <c r="O254" s="64"/>
      <c r="P254" s="64"/>
      <c r="Q254" s="64"/>
      <c r="R254" s="64"/>
      <c r="S254" s="64"/>
      <c r="T254" s="64"/>
      <c r="U254" s="64"/>
      <c r="V254" s="64"/>
      <c r="W254" s="64"/>
      <c r="X254" s="64"/>
      <c r="Y254" s="64"/>
      <c r="BH254" s="64"/>
      <c r="BI254" s="64"/>
      <c r="BJ254" s="64"/>
      <c r="BK254" s="64"/>
      <c r="BL254" s="64"/>
      <c r="BM254" s="64"/>
      <c r="BN254" s="64"/>
      <c r="BO254" s="64"/>
      <c r="BP254" s="64"/>
      <c r="BQ254" s="64"/>
      <c r="BR254" s="64"/>
    </row>
    <row r="255" ht="18.75" customHeight="1">
      <c r="G255" s="122"/>
      <c r="H255" s="64"/>
      <c r="L255" s="64"/>
      <c r="M255" s="64"/>
      <c r="N255" s="64"/>
      <c r="O255" s="64"/>
      <c r="P255" s="64"/>
      <c r="Q255" s="64"/>
      <c r="R255" s="64"/>
      <c r="S255" s="64"/>
      <c r="T255" s="64"/>
      <c r="U255" s="64"/>
      <c r="V255" s="64"/>
      <c r="W255" s="64"/>
      <c r="X255" s="64"/>
      <c r="Y255" s="64"/>
      <c r="BH255" s="64"/>
      <c r="BI255" s="64"/>
      <c r="BJ255" s="64"/>
      <c r="BK255" s="64"/>
      <c r="BL255" s="64"/>
      <c r="BM255" s="64"/>
      <c r="BN255" s="64"/>
      <c r="BO255" s="64"/>
      <c r="BP255" s="64"/>
      <c r="BQ255" s="64"/>
      <c r="BR255" s="64"/>
    </row>
    <row r="256" ht="18.75" customHeight="1">
      <c r="G256" s="122"/>
      <c r="H256" s="64"/>
      <c r="L256" s="64"/>
      <c r="M256" s="64"/>
      <c r="N256" s="64"/>
      <c r="O256" s="64"/>
      <c r="P256" s="64"/>
      <c r="Q256" s="64"/>
      <c r="R256" s="64"/>
      <c r="S256" s="64"/>
      <c r="T256" s="64"/>
      <c r="U256" s="64"/>
      <c r="V256" s="64"/>
      <c r="W256" s="64"/>
      <c r="X256" s="64"/>
      <c r="Y256" s="64"/>
      <c r="BH256" s="64"/>
      <c r="BI256" s="64"/>
      <c r="BJ256" s="64"/>
      <c r="BK256" s="64"/>
      <c r="BL256" s="64"/>
      <c r="BM256" s="64"/>
      <c r="BN256" s="64"/>
      <c r="BO256" s="64"/>
      <c r="BP256" s="64"/>
      <c r="BQ256" s="64"/>
      <c r="BR256" s="64"/>
    </row>
    <row r="257" ht="18.75" customHeight="1">
      <c r="G257" s="122"/>
      <c r="H257" s="64"/>
      <c r="L257" s="64"/>
      <c r="M257" s="64"/>
      <c r="N257" s="64"/>
      <c r="O257" s="64"/>
      <c r="P257" s="64"/>
      <c r="Q257" s="64"/>
      <c r="R257" s="64"/>
      <c r="S257" s="64"/>
      <c r="T257" s="64"/>
      <c r="U257" s="64"/>
      <c r="V257" s="64"/>
      <c r="W257" s="64"/>
      <c r="X257" s="64"/>
      <c r="Y257" s="64"/>
      <c r="BH257" s="64"/>
      <c r="BI257" s="64"/>
      <c r="BJ257" s="64"/>
      <c r="BK257" s="64"/>
      <c r="BL257" s="64"/>
      <c r="BM257" s="64"/>
      <c r="BN257" s="64"/>
      <c r="BO257" s="64"/>
      <c r="BP257" s="64"/>
      <c r="BQ257" s="64"/>
      <c r="BR257" s="64"/>
    </row>
    <row r="258" ht="18.75" customHeight="1">
      <c r="G258" s="122"/>
      <c r="H258" s="64"/>
      <c r="L258" s="64"/>
      <c r="M258" s="64"/>
      <c r="N258" s="64"/>
      <c r="O258" s="64"/>
      <c r="P258" s="64"/>
      <c r="Q258" s="64"/>
      <c r="R258" s="64"/>
      <c r="S258" s="64"/>
      <c r="T258" s="64"/>
      <c r="U258" s="64"/>
      <c r="V258" s="64"/>
      <c r="W258" s="64"/>
      <c r="X258" s="64"/>
      <c r="Y258" s="64"/>
      <c r="BH258" s="64"/>
      <c r="BI258" s="64"/>
      <c r="BJ258" s="64"/>
      <c r="BK258" s="64"/>
      <c r="BL258" s="64"/>
      <c r="BM258" s="64"/>
      <c r="BN258" s="64"/>
      <c r="BO258" s="64"/>
      <c r="BP258" s="64"/>
      <c r="BQ258" s="64"/>
      <c r="BR258" s="64"/>
    </row>
    <row r="259" ht="18.75" customHeight="1">
      <c r="G259" s="122"/>
      <c r="H259" s="64"/>
      <c r="L259" s="64"/>
      <c r="M259" s="64"/>
      <c r="N259" s="64"/>
      <c r="O259" s="64"/>
      <c r="P259" s="64"/>
      <c r="Q259" s="64"/>
      <c r="R259" s="64"/>
      <c r="S259" s="64"/>
      <c r="T259" s="64"/>
      <c r="U259" s="64"/>
      <c r="V259" s="64"/>
      <c r="W259" s="64"/>
      <c r="X259" s="64"/>
      <c r="Y259" s="64"/>
      <c r="BH259" s="64"/>
      <c r="BI259" s="64"/>
      <c r="BJ259" s="64"/>
      <c r="BK259" s="64"/>
      <c r="BL259" s="64"/>
      <c r="BM259" s="64"/>
      <c r="BN259" s="64"/>
      <c r="BO259" s="64"/>
      <c r="BP259" s="64"/>
      <c r="BQ259" s="64"/>
      <c r="BR259" s="64"/>
    </row>
    <row r="260" ht="18.75" customHeight="1">
      <c r="G260" s="122"/>
      <c r="H260" s="64"/>
      <c r="L260" s="64"/>
      <c r="M260" s="64"/>
      <c r="N260" s="64"/>
      <c r="O260" s="64"/>
      <c r="P260" s="64"/>
      <c r="Q260" s="64"/>
      <c r="R260" s="64"/>
      <c r="S260" s="64"/>
      <c r="T260" s="64"/>
      <c r="U260" s="64"/>
      <c r="V260" s="64"/>
      <c r="W260" s="64"/>
      <c r="X260" s="64"/>
      <c r="Y260" s="64"/>
      <c r="BH260" s="64"/>
      <c r="BI260" s="64"/>
      <c r="BJ260" s="64"/>
      <c r="BK260" s="64"/>
      <c r="BL260" s="64"/>
      <c r="BM260" s="64"/>
      <c r="BN260" s="64"/>
      <c r="BO260" s="64"/>
      <c r="BP260" s="64"/>
      <c r="BQ260" s="64"/>
      <c r="BR260" s="64"/>
    </row>
    <row r="261" ht="18.75" customHeight="1">
      <c r="G261" s="122"/>
      <c r="H261" s="64"/>
      <c r="L261" s="64"/>
      <c r="M261" s="64"/>
      <c r="N261" s="64"/>
      <c r="O261" s="64"/>
      <c r="P261" s="64"/>
      <c r="Q261" s="64"/>
      <c r="R261" s="64"/>
      <c r="S261" s="64"/>
      <c r="T261" s="64"/>
      <c r="U261" s="64"/>
      <c r="V261" s="64"/>
      <c r="W261" s="64"/>
      <c r="X261" s="64"/>
      <c r="Y261" s="64"/>
      <c r="BH261" s="64"/>
      <c r="BI261" s="64"/>
      <c r="BJ261" s="64"/>
      <c r="BK261" s="64"/>
      <c r="BL261" s="64"/>
      <c r="BM261" s="64"/>
      <c r="BN261" s="64"/>
      <c r="BO261" s="64"/>
      <c r="BP261" s="64"/>
      <c r="BQ261" s="64"/>
      <c r="BR261" s="64"/>
    </row>
    <row r="262" ht="18.75" customHeight="1">
      <c r="G262" s="122"/>
      <c r="H262" s="64"/>
      <c r="L262" s="64"/>
      <c r="M262" s="64"/>
      <c r="N262" s="64"/>
      <c r="O262" s="64"/>
      <c r="P262" s="64"/>
      <c r="Q262" s="64"/>
      <c r="R262" s="64"/>
      <c r="S262" s="64"/>
      <c r="T262" s="64"/>
      <c r="U262" s="64"/>
      <c r="V262" s="64"/>
      <c r="W262" s="64"/>
      <c r="X262" s="64"/>
      <c r="Y262" s="64"/>
      <c r="BH262" s="64"/>
      <c r="BI262" s="64"/>
      <c r="BJ262" s="64"/>
      <c r="BK262" s="64"/>
      <c r="BL262" s="64"/>
      <c r="BM262" s="64"/>
      <c r="BN262" s="64"/>
      <c r="BO262" s="64"/>
      <c r="BP262" s="64"/>
      <c r="BQ262" s="64"/>
      <c r="BR262" s="64"/>
    </row>
    <row r="263" ht="18.75" customHeight="1">
      <c r="G263" s="122"/>
      <c r="H263" s="64"/>
      <c r="L263" s="64"/>
      <c r="M263" s="64"/>
      <c r="N263" s="64"/>
      <c r="O263" s="64"/>
      <c r="P263" s="64"/>
      <c r="Q263" s="64"/>
      <c r="R263" s="64"/>
      <c r="S263" s="64"/>
      <c r="T263" s="64"/>
      <c r="U263" s="64"/>
      <c r="V263" s="64"/>
      <c r="W263" s="64"/>
      <c r="X263" s="64"/>
      <c r="Y263" s="64"/>
      <c r="BH263" s="64"/>
      <c r="BI263" s="64"/>
      <c r="BJ263" s="64"/>
      <c r="BK263" s="64"/>
      <c r="BL263" s="64"/>
      <c r="BM263" s="64"/>
      <c r="BN263" s="64"/>
      <c r="BO263" s="64"/>
      <c r="BP263" s="64"/>
      <c r="BQ263" s="64"/>
      <c r="BR263" s="64"/>
    </row>
    <row r="264" ht="18.75" customHeight="1">
      <c r="G264" s="122"/>
      <c r="H264" s="64"/>
      <c r="L264" s="64"/>
      <c r="M264" s="64"/>
      <c r="N264" s="64"/>
      <c r="O264" s="64"/>
      <c r="P264" s="64"/>
      <c r="Q264" s="64"/>
      <c r="R264" s="64"/>
      <c r="S264" s="64"/>
      <c r="T264" s="64"/>
      <c r="U264" s="64"/>
      <c r="V264" s="64"/>
      <c r="W264" s="64"/>
      <c r="X264" s="64"/>
      <c r="Y264" s="64"/>
      <c r="BH264" s="64"/>
      <c r="BI264" s="64"/>
      <c r="BJ264" s="64"/>
      <c r="BK264" s="64"/>
      <c r="BL264" s="64"/>
      <c r="BM264" s="64"/>
      <c r="BN264" s="64"/>
      <c r="BO264" s="64"/>
      <c r="BP264" s="64"/>
      <c r="BQ264" s="64"/>
      <c r="BR264" s="64"/>
    </row>
    <row r="265" ht="18.75" customHeight="1">
      <c r="G265" s="122"/>
      <c r="H265" s="64"/>
      <c r="L265" s="64"/>
      <c r="M265" s="64"/>
      <c r="N265" s="64"/>
      <c r="O265" s="64"/>
      <c r="P265" s="64"/>
      <c r="Q265" s="64"/>
      <c r="R265" s="64"/>
      <c r="S265" s="64"/>
      <c r="T265" s="64"/>
      <c r="U265" s="64"/>
      <c r="V265" s="64"/>
      <c r="W265" s="64"/>
      <c r="X265" s="64"/>
      <c r="Y265" s="64"/>
      <c r="BH265" s="64"/>
      <c r="BI265" s="64"/>
      <c r="BJ265" s="64"/>
      <c r="BK265" s="64"/>
      <c r="BL265" s="64"/>
      <c r="BM265" s="64"/>
      <c r="BN265" s="64"/>
      <c r="BO265" s="64"/>
      <c r="BP265" s="64"/>
      <c r="BQ265" s="64"/>
      <c r="BR265" s="64"/>
    </row>
    <row r="266" ht="18.75" customHeight="1">
      <c r="G266" s="122"/>
      <c r="H266" s="64"/>
      <c r="L266" s="64"/>
      <c r="M266" s="64"/>
      <c r="N266" s="64"/>
      <c r="O266" s="64"/>
      <c r="P266" s="64"/>
      <c r="Q266" s="64"/>
      <c r="R266" s="64"/>
      <c r="S266" s="64"/>
      <c r="T266" s="64"/>
      <c r="U266" s="64"/>
      <c r="V266" s="64"/>
      <c r="W266" s="64"/>
      <c r="X266" s="64"/>
      <c r="Y266" s="64"/>
      <c r="BH266" s="64"/>
      <c r="BI266" s="64"/>
      <c r="BJ266" s="64"/>
      <c r="BK266" s="64"/>
      <c r="BL266" s="64"/>
      <c r="BM266" s="64"/>
      <c r="BN266" s="64"/>
      <c r="BO266" s="64"/>
      <c r="BP266" s="64"/>
      <c r="BQ266" s="64"/>
      <c r="BR266" s="64"/>
    </row>
    <row r="267" ht="18.75" customHeight="1">
      <c r="G267" s="122"/>
      <c r="H267" s="64"/>
      <c r="L267" s="64"/>
      <c r="M267" s="64"/>
      <c r="N267" s="64"/>
      <c r="O267" s="64"/>
      <c r="P267" s="64"/>
      <c r="Q267" s="64"/>
      <c r="R267" s="64"/>
      <c r="S267" s="64"/>
      <c r="T267" s="64"/>
      <c r="U267" s="64"/>
      <c r="V267" s="64"/>
      <c r="W267" s="64"/>
      <c r="X267" s="64"/>
      <c r="Y267" s="64"/>
      <c r="BH267" s="64"/>
      <c r="BI267" s="64"/>
      <c r="BJ267" s="64"/>
      <c r="BK267" s="64"/>
      <c r="BL267" s="64"/>
      <c r="BM267" s="64"/>
      <c r="BN267" s="64"/>
      <c r="BO267" s="64"/>
      <c r="BP267" s="64"/>
      <c r="BQ267" s="64"/>
      <c r="BR267" s="64"/>
    </row>
    <row r="268" ht="18.75" customHeight="1">
      <c r="G268" s="122"/>
      <c r="H268" s="64"/>
      <c r="L268" s="64"/>
      <c r="M268" s="64"/>
      <c r="N268" s="64"/>
      <c r="O268" s="64"/>
      <c r="P268" s="64"/>
      <c r="Q268" s="64"/>
      <c r="R268" s="64"/>
      <c r="S268" s="64"/>
      <c r="T268" s="64"/>
      <c r="U268" s="64"/>
      <c r="V268" s="64"/>
      <c r="W268" s="64"/>
      <c r="X268" s="64"/>
      <c r="Y268" s="64"/>
      <c r="BH268" s="64"/>
      <c r="BI268" s="64"/>
      <c r="BJ268" s="64"/>
      <c r="BK268" s="64"/>
      <c r="BL268" s="64"/>
      <c r="BM268" s="64"/>
      <c r="BN268" s="64"/>
      <c r="BO268" s="64"/>
      <c r="BP268" s="64"/>
      <c r="BQ268" s="64"/>
      <c r="BR268" s="64"/>
    </row>
    <row r="269" ht="18.75" customHeight="1">
      <c r="G269" s="122"/>
      <c r="H269" s="64"/>
      <c r="L269" s="64"/>
      <c r="M269" s="64"/>
      <c r="N269" s="64"/>
      <c r="O269" s="64"/>
      <c r="P269" s="64"/>
      <c r="Q269" s="64"/>
      <c r="R269" s="64"/>
      <c r="S269" s="64"/>
      <c r="T269" s="64"/>
      <c r="U269" s="64"/>
      <c r="V269" s="64"/>
      <c r="W269" s="64"/>
      <c r="X269" s="64"/>
      <c r="Y269" s="64"/>
      <c r="BH269" s="64"/>
      <c r="BI269" s="64"/>
      <c r="BJ269" s="64"/>
      <c r="BK269" s="64"/>
      <c r="BL269" s="64"/>
      <c r="BM269" s="64"/>
      <c r="BN269" s="64"/>
      <c r="BO269" s="64"/>
      <c r="BP269" s="64"/>
      <c r="BQ269" s="64"/>
      <c r="BR269" s="64"/>
    </row>
    <row r="270" ht="18.75" customHeight="1">
      <c r="G270" s="122"/>
      <c r="H270" s="64"/>
      <c r="L270" s="64"/>
      <c r="M270" s="64"/>
      <c r="N270" s="64"/>
      <c r="O270" s="64"/>
      <c r="P270" s="64"/>
      <c r="Q270" s="64"/>
      <c r="R270" s="64"/>
      <c r="S270" s="64"/>
      <c r="T270" s="64"/>
      <c r="U270" s="64"/>
      <c r="V270" s="64"/>
      <c r="W270" s="64"/>
      <c r="X270" s="64"/>
      <c r="Y270" s="64"/>
      <c r="BH270" s="64"/>
      <c r="BI270" s="64"/>
      <c r="BJ270" s="64"/>
      <c r="BK270" s="64"/>
      <c r="BL270" s="64"/>
      <c r="BM270" s="64"/>
      <c r="BN270" s="64"/>
      <c r="BO270" s="64"/>
      <c r="BP270" s="64"/>
      <c r="BQ270" s="64"/>
      <c r="BR270" s="64"/>
    </row>
    <row r="271" ht="18.75" customHeight="1">
      <c r="G271" s="122"/>
      <c r="H271" s="64"/>
      <c r="L271" s="64"/>
      <c r="M271" s="64"/>
      <c r="N271" s="64"/>
      <c r="O271" s="64"/>
      <c r="P271" s="64"/>
      <c r="Q271" s="64"/>
      <c r="R271" s="64"/>
      <c r="S271" s="64"/>
      <c r="T271" s="64"/>
      <c r="U271" s="64"/>
      <c r="V271" s="64"/>
      <c r="W271" s="64"/>
      <c r="X271" s="64"/>
      <c r="Y271" s="64"/>
      <c r="BH271" s="64"/>
      <c r="BI271" s="64"/>
      <c r="BJ271" s="64"/>
      <c r="BK271" s="64"/>
      <c r="BL271" s="64"/>
      <c r="BM271" s="64"/>
      <c r="BN271" s="64"/>
      <c r="BO271" s="64"/>
      <c r="BP271" s="64"/>
      <c r="BQ271" s="64"/>
      <c r="BR271" s="64"/>
    </row>
    <row r="272" ht="18.75" customHeight="1">
      <c r="G272" s="122"/>
      <c r="H272" s="64"/>
      <c r="L272" s="64"/>
      <c r="M272" s="64"/>
      <c r="N272" s="64"/>
      <c r="O272" s="64"/>
      <c r="P272" s="64"/>
      <c r="Q272" s="64"/>
      <c r="R272" s="64"/>
      <c r="S272" s="64"/>
      <c r="T272" s="64"/>
      <c r="U272" s="64"/>
      <c r="V272" s="64"/>
      <c r="W272" s="64"/>
      <c r="X272" s="64"/>
      <c r="Y272" s="64"/>
      <c r="BH272" s="64"/>
      <c r="BI272" s="64"/>
      <c r="BJ272" s="64"/>
      <c r="BK272" s="64"/>
      <c r="BL272" s="64"/>
      <c r="BM272" s="64"/>
      <c r="BN272" s="64"/>
      <c r="BO272" s="64"/>
      <c r="BP272" s="64"/>
      <c r="BQ272" s="64"/>
      <c r="BR272" s="64"/>
    </row>
    <row r="273" ht="18.75" customHeight="1">
      <c r="G273" s="122"/>
      <c r="H273" s="64"/>
      <c r="L273" s="64"/>
      <c r="M273" s="64"/>
      <c r="N273" s="64"/>
      <c r="O273" s="64"/>
      <c r="P273" s="64"/>
      <c r="Q273" s="64"/>
      <c r="R273" s="64"/>
      <c r="S273" s="64"/>
      <c r="T273" s="64"/>
      <c r="U273" s="64"/>
      <c r="V273" s="64"/>
      <c r="W273" s="64"/>
      <c r="X273" s="64"/>
      <c r="Y273" s="64"/>
      <c r="BH273" s="64"/>
      <c r="BI273" s="64"/>
      <c r="BJ273" s="64"/>
      <c r="BK273" s="64"/>
      <c r="BL273" s="64"/>
      <c r="BM273" s="64"/>
      <c r="BN273" s="64"/>
      <c r="BO273" s="64"/>
      <c r="BP273" s="64"/>
      <c r="BQ273" s="64"/>
      <c r="BR273" s="64"/>
    </row>
    <row r="274" ht="18.75" customHeight="1">
      <c r="G274" s="122"/>
      <c r="H274" s="64"/>
      <c r="L274" s="64"/>
      <c r="M274" s="64"/>
      <c r="N274" s="64"/>
      <c r="O274" s="64"/>
      <c r="P274" s="64"/>
      <c r="Q274" s="64"/>
      <c r="R274" s="64"/>
      <c r="S274" s="64"/>
      <c r="T274" s="64"/>
      <c r="U274" s="64"/>
      <c r="V274" s="64"/>
      <c r="W274" s="64"/>
      <c r="X274" s="64"/>
      <c r="Y274" s="64"/>
      <c r="BH274" s="64"/>
      <c r="BI274" s="64"/>
      <c r="BJ274" s="64"/>
      <c r="BK274" s="64"/>
      <c r="BL274" s="64"/>
      <c r="BM274" s="64"/>
      <c r="BN274" s="64"/>
      <c r="BO274" s="64"/>
      <c r="BP274" s="64"/>
      <c r="BQ274" s="64"/>
      <c r="BR274" s="64"/>
    </row>
    <row r="275" ht="18.75" customHeight="1">
      <c r="G275" s="122"/>
      <c r="H275" s="64"/>
      <c r="L275" s="64"/>
      <c r="M275" s="64"/>
      <c r="N275" s="64"/>
      <c r="O275" s="64"/>
      <c r="P275" s="64"/>
      <c r="Q275" s="64"/>
      <c r="R275" s="64"/>
      <c r="S275" s="64"/>
      <c r="T275" s="64"/>
      <c r="U275" s="64"/>
      <c r="V275" s="64"/>
      <c r="W275" s="64"/>
      <c r="X275" s="64"/>
      <c r="Y275" s="64"/>
      <c r="BH275" s="64"/>
      <c r="BI275" s="64"/>
      <c r="BJ275" s="64"/>
      <c r="BK275" s="64"/>
      <c r="BL275" s="64"/>
      <c r="BM275" s="64"/>
      <c r="BN275" s="64"/>
      <c r="BO275" s="64"/>
      <c r="BP275" s="64"/>
      <c r="BQ275" s="64"/>
      <c r="BR275" s="64"/>
    </row>
    <row r="276" ht="18.75" customHeight="1">
      <c r="G276" s="122"/>
      <c r="H276" s="64"/>
      <c r="L276" s="64"/>
      <c r="M276" s="64"/>
      <c r="N276" s="64"/>
      <c r="O276" s="64"/>
      <c r="P276" s="64"/>
      <c r="Q276" s="64"/>
      <c r="R276" s="64"/>
      <c r="S276" s="64"/>
      <c r="T276" s="64"/>
      <c r="U276" s="64"/>
      <c r="V276" s="64"/>
      <c r="W276" s="64"/>
      <c r="X276" s="64"/>
      <c r="Y276" s="64"/>
      <c r="BH276" s="64"/>
      <c r="BI276" s="64"/>
      <c r="BJ276" s="64"/>
      <c r="BK276" s="64"/>
      <c r="BL276" s="64"/>
      <c r="BM276" s="64"/>
      <c r="BN276" s="64"/>
      <c r="BO276" s="64"/>
      <c r="BP276" s="64"/>
      <c r="BQ276" s="64"/>
      <c r="BR276" s="64"/>
    </row>
    <row r="277" ht="18.75" customHeight="1">
      <c r="G277" s="122"/>
      <c r="H277" s="64"/>
      <c r="L277" s="64"/>
      <c r="M277" s="64"/>
      <c r="N277" s="64"/>
      <c r="O277" s="64"/>
      <c r="P277" s="64"/>
      <c r="Q277" s="64"/>
      <c r="R277" s="64"/>
      <c r="S277" s="64"/>
      <c r="T277" s="64"/>
      <c r="U277" s="64"/>
      <c r="V277" s="64"/>
      <c r="W277" s="64"/>
      <c r="X277" s="64"/>
      <c r="Y277" s="64"/>
      <c r="BH277" s="64"/>
      <c r="BI277" s="64"/>
      <c r="BJ277" s="64"/>
      <c r="BK277" s="64"/>
      <c r="BL277" s="64"/>
      <c r="BM277" s="64"/>
      <c r="BN277" s="64"/>
      <c r="BO277" s="64"/>
      <c r="BP277" s="64"/>
      <c r="BQ277" s="64"/>
      <c r="BR277" s="64"/>
    </row>
    <row r="278" ht="18.75" customHeight="1">
      <c r="G278" s="122"/>
      <c r="H278" s="64"/>
      <c r="L278" s="64"/>
      <c r="M278" s="64"/>
      <c r="N278" s="64"/>
      <c r="O278" s="64"/>
      <c r="P278" s="64"/>
      <c r="Q278" s="64"/>
      <c r="R278" s="64"/>
      <c r="S278" s="64"/>
      <c r="T278" s="64"/>
      <c r="U278" s="64"/>
      <c r="V278" s="64"/>
      <c r="W278" s="64"/>
      <c r="X278" s="64"/>
      <c r="Y278" s="64"/>
      <c r="BH278" s="64"/>
      <c r="BI278" s="64"/>
      <c r="BJ278" s="64"/>
      <c r="BK278" s="64"/>
      <c r="BL278" s="64"/>
      <c r="BM278" s="64"/>
      <c r="BN278" s="64"/>
      <c r="BO278" s="64"/>
      <c r="BP278" s="64"/>
      <c r="BQ278" s="64"/>
      <c r="BR278" s="64"/>
    </row>
    <row r="279" ht="18.75" customHeight="1">
      <c r="G279" s="122"/>
      <c r="H279" s="64"/>
      <c r="L279" s="64"/>
      <c r="M279" s="64"/>
      <c r="N279" s="64"/>
      <c r="O279" s="64"/>
      <c r="P279" s="64"/>
      <c r="Q279" s="64"/>
      <c r="R279" s="64"/>
      <c r="S279" s="64"/>
      <c r="T279" s="64"/>
      <c r="U279" s="64"/>
      <c r="V279" s="64"/>
      <c r="W279" s="64"/>
      <c r="X279" s="64"/>
      <c r="Y279" s="64"/>
      <c r="BH279" s="64"/>
      <c r="BI279" s="64"/>
      <c r="BJ279" s="64"/>
      <c r="BK279" s="64"/>
      <c r="BL279" s="64"/>
      <c r="BM279" s="64"/>
      <c r="BN279" s="64"/>
      <c r="BO279" s="64"/>
      <c r="BP279" s="64"/>
      <c r="BQ279" s="64"/>
      <c r="BR279" s="64"/>
    </row>
    <row r="280" ht="18.75" customHeight="1">
      <c r="G280" s="122"/>
      <c r="H280" s="64"/>
      <c r="L280" s="64"/>
      <c r="M280" s="64"/>
      <c r="N280" s="64"/>
      <c r="O280" s="64"/>
      <c r="P280" s="64"/>
      <c r="Q280" s="64"/>
      <c r="R280" s="64"/>
      <c r="S280" s="64"/>
      <c r="T280" s="64"/>
      <c r="U280" s="64"/>
      <c r="V280" s="64"/>
      <c r="W280" s="64"/>
      <c r="X280" s="64"/>
      <c r="Y280" s="64"/>
      <c r="BH280" s="64"/>
      <c r="BI280" s="64"/>
      <c r="BJ280" s="64"/>
      <c r="BK280" s="64"/>
      <c r="BL280" s="64"/>
      <c r="BM280" s="64"/>
      <c r="BN280" s="64"/>
      <c r="BO280" s="64"/>
      <c r="BP280" s="64"/>
      <c r="BQ280" s="64"/>
      <c r="BR280" s="64"/>
    </row>
    <row r="281" ht="18.75" customHeight="1">
      <c r="G281" s="122"/>
      <c r="H281" s="64"/>
      <c r="L281" s="64"/>
      <c r="M281" s="64"/>
      <c r="N281" s="64"/>
      <c r="O281" s="64"/>
      <c r="P281" s="64"/>
      <c r="Q281" s="64"/>
      <c r="R281" s="64"/>
      <c r="S281" s="64"/>
      <c r="T281" s="64"/>
      <c r="U281" s="64"/>
      <c r="V281" s="64"/>
      <c r="W281" s="64"/>
      <c r="X281" s="64"/>
      <c r="Y281" s="64"/>
      <c r="BH281" s="64"/>
      <c r="BI281" s="64"/>
      <c r="BJ281" s="64"/>
      <c r="BK281" s="64"/>
      <c r="BL281" s="64"/>
      <c r="BM281" s="64"/>
      <c r="BN281" s="64"/>
      <c r="BO281" s="64"/>
      <c r="BP281" s="64"/>
      <c r="BQ281" s="64"/>
      <c r="BR281" s="64"/>
    </row>
    <row r="282" ht="18.75" customHeight="1">
      <c r="G282" s="122"/>
      <c r="H282" s="64"/>
      <c r="L282" s="64"/>
      <c r="M282" s="64"/>
      <c r="N282" s="64"/>
      <c r="O282" s="64"/>
      <c r="P282" s="64"/>
      <c r="Q282" s="64"/>
      <c r="R282" s="64"/>
      <c r="S282" s="64"/>
      <c r="T282" s="64"/>
      <c r="U282" s="64"/>
      <c r="V282" s="64"/>
      <c r="W282" s="64"/>
      <c r="X282" s="64"/>
      <c r="Y282" s="64"/>
      <c r="BH282" s="64"/>
      <c r="BI282" s="64"/>
      <c r="BJ282" s="64"/>
      <c r="BK282" s="64"/>
      <c r="BL282" s="64"/>
      <c r="BM282" s="64"/>
      <c r="BN282" s="64"/>
      <c r="BO282" s="64"/>
      <c r="BP282" s="64"/>
      <c r="BQ282" s="64"/>
      <c r="BR282" s="64"/>
    </row>
    <row r="283" ht="18.75" customHeight="1">
      <c r="G283" s="122"/>
      <c r="H283" s="64"/>
      <c r="L283" s="64"/>
      <c r="M283" s="64"/>
      <c r="N283" s="64"/>
      <c r="O283" s="64"/>
      <c r="P283" s="64"/>
      <c r="Q283" s="64"/>
      <c r="R283" s="64"/>
      <c r="S283" s="64"/>
      <c r="T283" s="64"/>
      <c r="U283" s="64"/>
      <c r="V283" s="64"/>
      <c r="W283" s="64"/>
      <c r="X283" s="64"/>
      <c r="Y283" s="64"/>
      <c r="BH283" s="64"/>
      <c r="BI283" s="64"/>
      <c r="BJ283" s="64"/>
      <c r="BK283" s="64"/>
      <c r="BL283" s="64"/>
      <c r="BM283" s="64"/>
      <c r="BN283" s="64"/>
      <c r="BO283" s="64"/>
      <c r="BP283" s="64"/>
      <c r="BQ283" s="64"/>
      <c r="BR283" s="64"/>
    </row>
    <row r="284" ht="18.75" customHeight="1">
      <c r="G284" s="122"/>
      <c r="H284" s="64"/>
      <c r="L284" s="64"/>
      <c r="M284" s="64"/>
      <c r="N284" s="64"/>
      <c r="O284" s="64"/>
      <c r="P284" s="64"/>
      <c r="Q284" s="64"/>
      <c r="R284" s="64"/>
      <c r="S284" s="64"/>
      <c r="T284" s="64"/>
      <c r="U284" s="64"/>
      <c r="V284" s="64"/>
      <c r="W284" s="64"/>
      <c r="X284" s="64"/>
      <c r="Y284" s="64"/>
      <c r="BH284" s="64"/>
      <c r="BI284" s="64"/>
      <c r="BJ284" s="64"/>
      <c r="BK284" s="64"/>
      <c r="BL284" s="64"/>
      <c r="BM284" s="64"/>
      <c r="BN284" s="64"/>
      <c r="BO284" s="64"/>
      <c r="BP284" s="64"/>
      <c r="BQ284" s="64"/>
      <c r="BR284" s="64"/>
    </row>
    <row r="285" ht="18.75" customHeight="1">
      <c r="G285" s="122"/>
      <c r="H285" s="64"/>
      <c r="L285" s="64"/>
      <c r="M285" s="64"/>
      <c r="N285" s="64"/>
      <c r="O285" s="64"/>
      <c r="P285" s="64"/>
      <c r="Q285" s="64"/>
      <c r="R285" s="64"/>
      <c r="S285" s="64"/>
      <c r="T285" s="64"/>
      <c r="U285" s="64"/>
      <c r="V285" s="64"/>
      <c r="W285" s="64"/>
      <c r="X285" s="64"/>
      <c r="Y285" s="64"/>
      <c r="BH285" s="64"/>
      <c r="BI285" s="64"/>
      <c r="BJ285" s="64"/>
      <c r="BK285" s="64"/>
      <c r="BL285" s="64"/>
      <c r="BM285" s="64"/>
      <c r="BN285" s="64"/>
      <c r="BO285" s="64"/>
      <c r="BP285" s="64"/>
      <c r="BQ285" s="64"/>
      <c r="BR285" s="64"/>
    </row>
    <row r="286" ht="18.75" customHeight="1">
      <c r="G286" s="122"/>
      <c r="H286" s="64"/>
      <c r="L286" s="64"/>
      <c r="M286" s="64"/>
      <c r="N286" s="64"/>
      <c r="O286" s="64"/>
      <c r="P286" s="64"/>
      <c r="Q286" s="64"/>
      <c r="R286" s="64"/>
      <c r="S286" s="64"/>
      <c r="T286" s="64"/>
      <c r="U286" s="64"/>
      <c r="V286" s="64"/>
      <c r="W286" s="64"/>
      <c r="X286" s="64"/>
      <c r="Y286" s="64"/>
      <c r="BH286" s="64"/>
      <c r="BI286" s="64"/>
      <c r="BJ286" s="64"/>
      <c r="BK286" s="64"/>
      <c r="BL286" s="64"/>
      <c r="BM286" s="64"/>
      <c r="BN286" s="64"/>
      <c r="BO286" s="64"/>
      <c r="BP286" s="64"/>
      <c r="BQ286" s="64"/>
      <c r="BR286" s="64"/>
    </row>
    <row r="287" ht="18.75" customHeight="1">
      <c r="G287" s="122"/>
      <c r="H287" s="64"/>
      <c r="L287" s="64"/>
      <c r="M287" s="64"/>
      <c r="N287" s="64"/>
      <c r="O287" s="64"/>
      <c r="P287" s="64"/>
      <c r="Q287" s="64"/>
      <c r="R287" s="64"/>
      <c r="S287" s="64"/>
      <c r="T287" s="64"/>
      <c r="U287" s="64"/>
      <c r="V287" s="64"/>
      <c r="W287" s="64"/>
      <c r="X287" s="64"/>
      <c r="Y287" s="64"/>
      <c r="BH287" s="64"/>
      <c r="BI287" s="64"/>
      <c r="BJ287" s="64"/>
      <c r="BK287" s="64"/>
      <c r="BL287" s="64"/>
      <c r="BM287" s="64"/>
      <c r="BN287" s="64"/>
      <c r="BO287" s="64"/>
      <c r="BP287" s="64"/>
      <c r="BQ287" s="64"/>
      <c r="BR287" s="64"/>
    </row>
    <row r="288" ht="18.75" customHeight="1">
      <c r="G288" s="122"/>
      <c r="H288" s="64"/>
      <c r="L288" s="64"/>
      <c r="M288" s="64"/>
      <c r="N288" s="64"/>
      <c r="O288" s="64"/>
      <c r="P288" s="64"/>
      <c r="Q288" s="64"/>
      <c r="R288" s="64"/>
      <c r="S288" s="64"/>
      <c r="T288" s="64"/>
      <c r="U288" s="64"/>
      <c r="V288" s="64"/>
      <c r="W288" s="64"/>
      <c r="X288" s="64"/>
      <c r="Y288" s="64"/>
      <c r="BH288" s="64"/>
      <c r="BI288" s="64"/>
      <c r="BJ288" s="64"/>
      <c r="BK288" s="64"/>
      <c r="BL288" s="64"/>
      <c r="BM288" s="64"/>
      <c r="BN288" s="64"/>
      <c r="BO288" s="64"/>
      <c r="BP288" s="64"/>
      <c r="BQ288" s="64"/>
      <c r="BR288" s="64"/>
    </row>
    <row r="289" ht="18.75" customHeight="1">
      <c r="G289" s="122"/>
      <c r="H289" s="64"/>
      <c r="L289" s="64"/>
      <c r="M289" s="64"/>
      <c r="N289" s="64"/>
      <c r="O289" s="64"/>
      <c r="P289" s="64"/>
      <c r="Q289" s="64"/>
      <c r="R289" s="64"/>
      <c r="S289" s="64"/>
      <c r="T289" s="64"/>
      <c r="U289" s="64"/>
      <c r="V289" s="64"/>
      <c r="W289" s="64"/>
      <c r="X289" s="64"/>
      <c r="Y289" s="64"/>
      <c r="BH289" s="64"/>
      <c r="BI289" s="64"/>
      <c r="BJ289" s="64"/>
      <c r="BK289" s="64"/>
      <c r="BL289" s="64"/>
      <c r="BM289" s="64"/>
      <c r="BN289" s="64"/>
      <c r="BO289" s="64"/>
      <c r="BP289" s="64"/>
      <c r="BQ289" s="64"/>
      <c r="BR289" s="64"/>
    </row>
    <row r="290" ht="18.75" customHeight="1">
      <c r="G290" s="122"/>
      <c r="H290" s="64"/>
      <c r="L290" s="64"/>
      <c r="M290" s="64"/>
      <c r="N290" s="64"/>
      <c r="O290" s="64"/>
      <c r="P290" s="64"/>
      <c r="Q290" s="64"/>
      <c r="R290" s="64"/>
      <c r="S290" s="64"/>
      <c r="T290" s="64"/>
      <c r="U290" s="64"/>
      <c r="V290" s="64"/>
      <c r="W290" s="64"/>
      <c r="X290" s="64"/>
      <c r="Y290" s="64"/>
      <c r="BH290" s="64"/>
      <c r="BI290" s="64"/>
      <c r="BJ290" s="64"/>
      <c r="BK290" s="64"/>
      <c r="BL290" s="64"/>
      <c r="BM290" s="64"/>
      <c r="BN290" s="64"/>
      <c r="BO290" s="64"/>
      <c r="BP290" s="64"/>
      <c r="BQ290" s="64"/>
      <c r="BR290" s="64"/>
    </row>
    <row r="291" ht="18.75" customHeight="1">
      <c r="G291" s="122"/>
      <c r="H291" s="64"/>
      <c r="L291" s="64"/>
      <c r="M291" s="64"/>
      <c r="N291" s="64"/>
      <c r="O291" s="64"/>
      <c r="P291" s="64"/>
      <c r="Q291" s="64"/>
      <c r="R291" s="64"/>
      <c r="S291" s="64"/>
      <c r="T291" s="64"/>
      <c r="U291" s="64"/>
      <c r="V291" s="64"/>
      <c r="W291" s="64"/>
      <c r="X291" s="64"/>
      <c r="Y291" s="64"/>
      <c r="BH291" s="64"/>
      <c r="BI291" s="64"/>
      <c r="BJ291" s="64"/>
      <c r="BK291" s="64"/>
      <c r="BL291" s="64"/>
      <c r="BM291" s="64"/>
      <c r="BN291" s="64"/>
      <c r="BO291" s="64"/>
      <c r="BP291" s="64"/>
      <c r="BQ291" s="64"/>
      <c r="BR291" s="64"/>
    </row>
    <row r="292" ht="18.75" customHeight="1">
      <c r="G292" s="122"/>
      <c r="H292" s="64"/>
      <c r="L292" s="64"/>
      <c r="M292" s="64"/>
      <c r="N292" s="64"/>
      <c r="O292" s="64"/>
      <c r="P292" s="64"/>
      <c r="Q292" s="64"/>
      <c r="R292" s="64"/>
      <c r="S292" s="64"/>
      <c r="T292" s="64"/>
      <c r="U292" s="64"/>
      <c r="V292" s="64"/>
      <c r="W292" s="64"/>
      <c r="X292" s="64"/>
      <c r="Y292" s="64"/>
      <c r="BH292" s="64"/>
      <c r="BI292" s="64"/>
      <c r="BJ292" s="64"/>
      <c r="BK292" s="64"/>
      <c r="BL292" s="64"/>
      <c r="BM292" s="64"/>
      <c r="BN292" s="64"/>
      <c r="BO292" s="64"/>
      <c r="BP292" s="64"/>
      <c r="BQ292" s="64"/>
      <c r="BR292" s="64"/>
    </row>
    <row r="293" ht="18.75" customHeight="1">
      <c r="G293" s="122"/>
      <c r="H293" s="64"/>
      <c r="L293" s="64"/>
      <c r="M293" s="64"/>
      <c r="N293" s="64"/>
      <c r="O293" s="64"/>
      <c r="P293" s="64"/>
      <c r="Q293" s="64"/>
      <c r="R293" s="64"/>
      <c r="S293" s="64"/>
      <c r="T293" s="64"/>
      <c r="U293" s="64"/>
      <c r="V293" s="64"/>
      <c r="W293" s="64"/>
      <c r="X293" s="64"/>
      <c r="Y293" s="64"/>
      <c r="BH293" s="64"/>
      <c r="BI293" s="64"/>
      <c r="BJ293" s="64"/>
      <c r="BK293" s="64"/>
      <c r="BL293" s="64"/>
      <c r="BM293" s="64"/>
      <c r="BN293" s="64"/>
      <c r="BO293" s="64"/>
      <c r="BP293" s="64"/>
      <c r="BQ293" s="64"/>
      <c r="BR293" s="64"/>
    </row>
    <row r="294" ht="18.75" customHeight="1">
      <c r="G294" s="122"/>
      <c r="H294" s="64"/>
      <c r="L294" s="64"/>
      <c r="M294" s="64"/>
      <c r="N294" s="64"/>
      <c r="O294" s="64"/>
      <c r="P294" s="64"/>
      <c r="Q294" s="64"/>
      <c r="R294" s="64"/>
      <c r="S294" s="64"/>
      <c r="T294" s="64"/>
      <c r="U294" s="64"/>
      <c r="V294" s="64"/>
      <c r="W294" s="64"/>
      <c r="X294" s="64"/>
      <c r="Y294" s="64"/>
      <c r="BH294" s="64"/>
      <c r="BI294" s="64"/>
      <c r="BJ294" s="64"/>
      <c r="BK294" s="64"/>
      <c r="BL294" s="64"/>
      <c r="BM294" s="64"/>
      <c r="BN294" s="64"/>
      <c r="BO294" s="64"/>
      <c r="BP294" s="64"/>
      <c r="BQ294" s="64"/>
      <c r="BR294" s="64"/>
    </row>
    <row r="295" ht="18.75" customHeight="1">
      <c r="G295" s="122"/>
      <c r="H295" s="64"/>
      <c r="L295" s="64"/>
      <c r="M295" s="64"/>
      <c r="N295" s="64"/>
      <c r="O295" s="64"/>
      <c r="P295" s="64"/>
      <c r="Q295" s="64"/>
      <c r="R295" s="64"/>
      <c r="S295" s="64"/>
      <c r="T295" s="64"/>
      <c r="U295" s="64"/>
      <c r="V295" s="64"/>
      <c r="W295" s="64"/>
      <c r="X295" s="64"/>
      <c r="Y295" s="64"/>
      <c r="BH295" s="64"/>
      <c r="BI295" s="64"/>
      <c r="BJ295" s="64"/>
      <c r="BK295" s="64"/>
      <c r="BL295" s="64"/>
      <c r="BM295" s="64"/>
      <c r="BN295" s="64"/>
      <c r="BO295" s="64"/>
      <c r="BP295" s="64"/>
      <c r="BQ295" s="64"/>
      <c r="BR295" s="64"/>
    </row>
    <row r="296" ht="18.75" customHeight="1">
      <c r="G296" s="122"/>
      <c r="H296" s="64"/>
      <c r="L296" s="64"/>
      <c r="M296" s="64"/>
      <c r="N296" s="64"/>
      <c r="O296" s="64"/>
      <c r="P296" s="64"/>
      <c r="Q296" s="64"/>
      <c r="R296" s="64"/>
      <c r="S296" s="64"/>
      <c r="T296" s="64"/>
      <c r="U296" s="64"/>
      <c r="V296" s="64"/>
      <c r="W296" s="64"/>
      <c r="X296" s="64"/>
      <c r="Y296" s="64"/>
      <c r="BH296" s="64"/>
      <c r="BI296" s="64"/>
      <c r="BJ296" s="64"/>
      <c r="BK296" s="64"/>
      <c r="BL296" s="64"/>
      <c r="BM296" s="64"/>
      <c r="BN296" s="64"/>
      <c r="BO296" s="64"/>
      <c r="BP296" s="64"/>
      <c r="BQ296" s="64"/>
      <c r="BR296" s="64"/>
    </row>
    <row r="297" ht="18.75" customHeight="1">
      <c r="G297" s="122"/>
      <c r="H297" s="64"/>
      <c r="L297" s="64"/>
      <c r="M297" s="64"/>
      <c r="N297" s="64"/>
      <c r="O297" s="64"/>
      <c r="P297" s="64"/>
      <c r="Q297" s="64"/>
      <c r="R297" s="64"/>
      <c r="S297" s="64"/>
      <c r="T297" s="64"/>
      <c r="U297" s="64"/>
      <c r="V297" s="64"/>
      <c r="W297" s="64"/>
      <c r="X297" s="64"/>
      <c r="Y297" s="64"/>
      <c r="BH297" s="64"/>
      <c r="BI297" s="64"/>
      <c r="BJ297" s="64"/>
      <c r="BK297" s="64"/>
      <c r="BL297" s="64"/>
      <c r="BM297" s="64"/>
      <c r="BN297" s="64"/>
      <c r="BO297" s="64"/>
      <c r="BP297" s="64"/>
      <c r="BQ297" s="64"/>
      <c r="BR297" s="64"/>
    </row>
    <row r="298" ht="18.75" customHeight="1">
      <c r="G298" s="122"/>
      <c r="H298" s="64"/>
      <c r="L298" s="64"/>
      <c r="M298" s="64"/>
      <c r="N298" s="64"/>
      <c r="O298" s="64"/>
      <c r="P298" s="64"/>
      <c r="Q298" s="64"/>
      <c r="R298" s="64"/>
      <c r="S298" s="64"/>
      <c r="T298" s="64"/>
      <c r="U298" s="64"/>
      <c r="V298" s="64"/>
      <c r="W298" s="64"/>
      <c r="X298" s="64"/>
      <c r="Y298" s="64"/>
      <c r="BH298" s="64"/>
      <c r="BI298" s="64"/>
      <c r="BJ298" s="64"/>
      <c r="BK298" s="64"/>
      <c r="BL298" s="64"/>
      <c r="BM298" s="64"/>
      <c r="BN298" s="64"/>
      <c r="BO298" s="64"/>
      <c r="BP298" s="64"/>
      <c r="BQ298" s="64"/>
      <c r="BR298" s="64"/>
    </row>
    <row r="299" ht="18.75" customHeight="1">
      <c r="G299" s="122"/>
      <c r="H299" s="64"/>
      <c r="L299" s="64"/>
      <c r="M299" s="64"/>
      <c r="N299" s="64"/>
      <c r="O299" s="64"/>
      <c r="P299" s="64"/>
      <c r="Q299" s="64"/>
      <c r="R299" s="64"/>
      <c r="S299" s="64"/>
      <c r="T299" s="64"/>
      <c r="U299" s="64"/>
      <c r="V299" s="64"/>
      <c r="W299" s="64"/>
      <c r="X299" s="64"/>
      <c r="Y299" s="64"/>
      <c r="BH299" s="64"/>
      <c r="BI299" s="64"/>
      <c r="BJ299" s="64"/>
      <c r="BK299" s="64"/>
      <c r="BL299" s="64"/>
      <c r="BM299" s="64"/>
      <c r="BN299" s="64"/>
      <c r="BO299" s="64"/>
      <c r="BP299" s="64"/>
      <c r="BQ299" s="64"/>
      <c r="BR299" s="64"/>
    </row>
    <row r="300" ht="18.75" customHeight="1">
      <c r="G300" s="122"/>
      <c r="H300" s="64"/>
      <c r="L300" s="64"/>
      <c r="M300" s="64"/>
      <c r="N300" s="64"/>
      <c r="O300" s="64"/>
      <c r="P300" s="64"/>
      <c r="Q300" s="64"/>
      <c r="R300" s="64"/>
      <c r="S300" s="64"/>
      <c r="T300" s="64"/>
      <c r="U300" s="64"/>
      <c r="V300" s="64"/>
      <c r="W300" s="64"/>
      <c r="X300" s="64"/>
      <c r="Y300" s="64"/>
      <c r="BH300" s="64"/>
      <c r="BI300" s="64"/>
      <c r="BJ300" s="64"/>
      <c r="BK300" s="64"/>
      <c r="BL300" s="64"/>
      <c r="BM300" s="64"/>
      <c r="BN300" s="64"/>
      <c r="BO300" s="64"/>
      <c r="BP300" s="64"/>
      <c r="BQ300" s="64"/>
      <c r="BR300" s="64"/>
    </row>
    <row r="301" ht="18.75" customHeight="1">
      <c r="G301" s="122"/>
      <c r="H301" s="64"/>
      <c r="L301" s="64"/>
      <c r="M301" s="64"/>
      <c r="N301" s="64"/>
      <c r="O301" s="64"/>
      <c r="P301" s="64"/>
      <c r="Q301" s="64"/>
      <c r="R301" s="64"/>
      <c r="S301" s="64"/>
      <c r="T301" s="64"/>
      <c r="U301" s="64"/>
      <c r="V301" s="64"/>
      <c r="W301" s="64"/>
      <c r="X301" s="64"/>
      <c r="Y301" s="64"/>
      <c r="BH301" s="64"/>
      <c r="BI301" s="64"/>
      <c r="BJ301" s="64"/>
      <c r="BK301" s="64"/>
      <c r="BL301" s="64"/>
      <c r="BM301" s="64"/>
      <c r="BN301" s="64"/>
      <c r="BO301" s="64"/>
      <c r="BP301" s="64"/>
      <c r="BQ301" s="64"/>
      <c r="BR301" s="64"/>
    </row>
    <row r="302" ht="18.75" customHeight="1">
      <c r="G302" s="122"/>
      <c r="H302" s="64"/>
      <c r="L302" s="64"/>
      <c r="M302" s="64"/>
      <c r="N302" s="64"/>
      <c r="O302" s="64"/>
      <c r="P302" s="64"/>
      <c r="Q302" s="64"/>
      <c r="R302" s="64"/>
      <c r="S302" s="64"/>
      <c r="T302" s="64"/>
      <c r="U302" s="64"/>
      <c r="V302" s="64"/>
      <c r="W302" s="64"/>
      <c r="X302" s="64"/>
      <c r="Y302" s="64"/>
      <c r="BH302" s="64"/>
      <c r="BI302" s="64"/>
      <c r="BJ302" s="64"/>
      <c r="BK302" s="64"/>
      <c r="BL302" s="64"/>
      <c r="BM302" s="64"/>
      <c r="BN302" s="64"/>
      <c r="BO302" s="64"/>
      <c r="BP302" s="64"/>
      <c r="BQ302" s="64"/>
      <c r="BR302" s="64"/>
    </row>
    <row r="303" ht="18.75" customHeight="1">
      <c r="G303" s="122"/>
      <c r="H303" s="64"/>
      <c r="L303" s="64"/>
      <c r="M303" s="64"/>
      <c r="N303" s="64"/>
      <c r="O303" s="64"/>
      <c r="P303" s="64"/>
      <c r="Q303" s="64"/>
      <c r="R303" s="64"/>
      <c r="S303" s="64"/>
      <c r="T303" s="64"/>
      <c r="U303" s="64"/>
      <c r="V303" s="64"/>
      <c r="W303" s="64"/>
      <c r="X303" s="64"/>
      <c r="Y303" s="64"/>
      <c r="BH303" s="64"/>
      <c r="BI303" s="64"/>
      <c r="BJ303" s="64"/>
      <c r="BK303" s="64"/>
      <c r="BL303" s="64"/>
      <c r="BM303" s="64"/>
      <c r="BN303" s="64"/>
      <c r="BO303" s="64"/>
      <c r="BP303" s="64"/>
      <c r="BQ303" s="64"/>
      <c r="BR303" s="64"/>
    </row>
    <row r="304" ht="18.75" customHeight="1">
      <c r="G304" s="122"/>
      <c r="H304" s="64"/>
      <c r="L304" s="64"/>
      <c r="M304" s="64"/>
      <c r="N304" s="64"/>
      <c r="O304" s="64"/>
      <c r="P304" s="64"/>
      <c r="Q304" s="64"/>
      <c r="R304" s="64"/>
      <c r="S304" s="64"/>
      <c r="T304" s="64"/>
      <c r="U304" s="64"/>
      <c r="V304" s="64"/>
      <c r="W304" s="64"/>
      <c r="X304" s="64"/>
      <c r="Y304" s="64"/>
      <c r="BH304" s="64"/>
      <c r="BI304" s="64"/>
      <c r="BJ304" s="64"/>
      <c r="BK304" s="64"/>
      <c r="BL304" s="64"/>
      <c r="BM304" s="64"/>
      <c r="BN304" s="64"/>
      <c r="BO304" s="64"/>
      <c r="BP304" s="64"/>
      <c r="BQ304" s="64"/>
      <c r="BR304" s="64"/>
    </row>
    <row r="305" ht="18.75" customHeight="1">
      <c r="G305" s="122"/>
      <c r="H305" s="64"/>
      <c r="L305" s="64"/>
      <c r="M305" s="64"/>
      <c r="N305" s="64"/>
      <c r="O305" s="64"/>
      <c r="P305" s="64"/>
      <c r="Q305" s="64"/>
      <c r="R305" s="64"/>
      <c r="S305" s="64"/>
      <c r="T305" s="64"/>
      <c r="U305" s="64"/>
      <c r="V305" s="64"/>
      <c r="W305" s="64"/>
      <c r="X305" s="64"/>
      <c r="Y305" s="64"/>
      <c r="BH305" s="64"/>
      <c r="BI305" s="64"/>
      <c r="BJ305" s="64"/>
      <c r="BK305" s="64"/>
      <c r="BL305" s="64"/>
      <c r="BM305" s="64"/>
      <c r="BN305" s="64"/>
      <c r="BO305" s="64"/>
      <c r="BP305" s="64"/>
      <c r="BQ305" s="64"/>
      <c r="BR305" s="64"/>
    </row>
    <row r="306" ht="18.75" customHeight="1">
      <c r="G306" s="122"/>
      <c r="H306" s="64"/>
      <c r="L306" s="64"/>
      <c r="M306" s="64"/>
      <c r="N306" s="64"/>
      <c r="O306" s="64"/>
      <c r="P306" s="64"/>
      <c r="Q306" s="64"/>
      <c r="R306" s="64"/>
      <c r="S306" s="64"/>
      <c r="T306" s="64"/>
      <c r="U306" s="64"/>
      <c r="V306" s="64"/>
      <c r="W306" s="64"/>
      <c r="X306" s="64"/>
      <c r="Y306" s="64"/>
      <c r="BH306" s="64"/>
      <c r="BI306" s="64"/>
      <c r="BJ306" s="64"/>
      <c r="BK306" s="64"/>
      <c r="BL306" s="64"/>
      <c r="BM306" s="64"/>
      <c r="BN306" s="64"/>
      <c r="BO306" s="64"/>
      <c r="BP306" s="64"/>
      <c r="BQ306" s="64"/>
      <c r="BR306" s="64"/>
    </row>
    <row r="307" ht="18.75" customHeight="1">
      <c r="G307" s="122"/>
      <c r="H307" s="64"/>
      <c r="L307" s="64"/>
      <c r="M307" s="64"/>
      <c r="N307" s="64"/>
      <c r="O307" s="64"/>
      <c r="P307" s="64"/>
      <c r="Q307" s="64"/>
      <c r="R307" s="64"/>
      <c r="S307" s="64"/>
      <c r="T307" s="64"/>
      <c r="U307" s="64"/>
      <c r="V307" s="64"/>
      <c r="W307" s="64"/>
      <c r="X307" s="64"/>
      <c r="Y307" s="64"/>
      <c r="BH307" s="64"/>
      <c r="BI307" s="64"/>
      <c r="BJ307" s="64"/>
      <c r="BK307" s="64"/>
      <c r="BL307" s="64"/>
      <c r="BM307" s="64"/>
      <c r="BN307" s="64"/>
      <c r="BO307" s="64"/>
      <c r="BP307" s="64"/>
      <c r="BQ307" s="64"/>
      <c r="BR307" s="64"/>
    </row>
    <row r="308" ht="18.75" customHeight="1">
      <c r="G308" s="122"/>
      <c r="H308" s="64"/>
      <c r="L308" s="64"/>
      <c r="M308" s="64"/>
      <c r="N308" s="64"/>
      <c r="O308" s="64"/>
      <c r="P308" s="64"/>
      <c r="Q308" s="64"/>
      <c r="R308" s="64"/>
      <c r="S308" s="64"/>
      <c r="T308" s="64"/>
      <c r="U308" s="64"/>
      <c r="V308" s="64"/>
      <c r="W308" s="64"/>
      <c r="X308" s="64"/>
      <c r="Y308" s="64"/>
      <c r="BH308" s="64"/>
      <c r="BI308" s="64"/>
      <c r="BJ308" s="64"/>
      <c r="BK308" s="64"/>
      <c r="BL308" s="64"/>
      <c r="BM308" s="64"/>
      <c r="BN308" s="64"/>
      <c r="BO308" s="64"/>
      <c r="BP308" s="64"/>
      <c r="BQ308" s="64"/>
      <c r="BR308" s="64"/>
    </row>
    <row r="309" ht="18.75" customHeight="1">
      <c r="G309" s="122"/>
      <c r="H309" s="64"/>
      <c r="L309" s="64"/>
      <c r="M309" s="64"/>
      <c r="N309" s="64"/>
      <c r="O309" s="64"/>
      <c r="P309" s="64"/>
      <c r="Q309" s="64"/>
      <c r="R309" s="64"/>
      <c r="S309" s="64"/>
      <c r="T309" s="64"/>
      <c r="U309" s="64"/>
      <c r="V309" s="64"/>
      <c r="W309" s="64"/>
      <c r="X309" s="64"/>
      <c r="Y309" s="64"/>
      <c r="BH309" s="64"/>
      <c r="BI309" s="64"/>
      <c r="BJ309" s="64"/>
      <c r="BK309" s="64"/>
      <c r="BL309" s="64"/>
      <c r="BM309" s="64"/>
      <c r="BN309" s="64"/>
      <c r="BO309" s="64"/>
      <c r="BP309" s="64"/>
      <c r="BQ309" s="64"/>
      <c r="BR309" s="64"/>
    </row>
    <row r="310" ht="18.75" customHeight="1">
      <c r="G310" s="122"/>
      <c r="H310" s="64"/>
      <c r="L310" s="64"/>
      <c r="M310" s="64"/>
      <c r="N310" s="64"/>
      <c r="O310" s="64"/>
      <c r="P310" s="64"/>
      <c r="Q310" s="64"/>
      <c r="R310" s="64"/>
      <c r="S310" s="64"/>
      <c r="T310" s="64"/>
      <c r="U310" s="64"/>
      <c r="V310" s="64"/>
      <c r="W310" s="64"/>
      <c r="X310" s="64"/>
      <c r="Y310" s="64"/>
      <c r="BH310" s="64"/>
      <c r="BI310" s="64"/>
      <c r="BJ310" s="64"/>
      <c r="BK310" s="64"/>
      <c r="BL310" s="64"/>
      <c r="BM310" s="64"/>
      <c r="BN310" s="64"/>
      <c r="BO310" s="64"/>
      <c r="BP310" s="64"/>
      <c r="BQ310" s="64"/>
      <c r="BR310" s="64"/>
    </row>
    <row r="311" ht="18.75" customHeight="1">
      <c r="G311" s="122"/>
      <c r="H311" s="64"/>
      <c r="L311" s="64"/>
      <c r="M311" s="64"/>
      <c r="N311" s="64"/>
      <c r="O311" s="64"/>
      <c r="P311" s="64"/>
      <c r="Q311" s="64"/>
      <c r="R311" s="64"/>
      <c r="S311" s="64"/>
      <c r="T311" s="64"/>
      <c r="U311" s="64"/>
      <c r="V311" s="64"/>
      <c r="W311" s="64"/>
      <c r="X311" s="64"/>
      <c r="Y311" s="64"/>
      <c r="BH311" s="64"/>
      <c r="BI311" s="64"/>
      <c r="BJ311" s="64"/>
      <c r="BK311" s="64"/>
      <c r="BL311" s="64"/>
      <c r="BM311" s="64"/>
      <c r="BN311" s="64"/>
      <c r="BO311" s="64"/>
      <c r="BP311" s="64"/>
      <c r="BQ311" s="64"/>
      <c r="BR311" s="64"/>
    </row>
    <row r="312" ht="18.75" customHeight="1">
      <c r="G312" s="122"/>
      <c r="H312" s="64"/>
      <c r="L312" s="64"/>
      <c r="M312" s="64"/>
      <c r="N312" s="64"/>
      <c r="O312" s="64"/>
      <c r="P312" s="64"/>
      <c r="Q312" s="64"/>
      <c r="R312" s="64"/>
      <c r="S312" s="64"/>
      <c r="T312" s="64"/>
      <c r="U312" s="64"/>
      <c r="V312" s="64"/>
      <c r="W312" s="64"/>
      <c r="X312" s="64"/>
      <c r="Y312" s="64"/>
      <c r="BH312" s="64"/>
      <c r="BI312" s="64"/>
      <c r="BJ312" s="64"/>
      <c r="BK312" s="64"/>
      <c r="BL312" s="64"/>
      <c r="BM312" s="64"/>
      <c r="BN312" s="64"/>
      <c r="BO312" s="64"/>
      <c r="BP312" s="64"/>
      <c r="BQ312" s="64"/>
      <c r="BR312" s="64"/>
    </row>
    <row r="313" ht="18.75" customHeight="1">
      <c r="G313" s="122"/>
      <c r="H313" s="64"/>
      <c r="L313" s="64"/>
      <c r="M313" s="64"/>
      <c r="N313" s="64"/>
      <c r="O313" s="64"/>
      <c r="P313" s="64"/>
      <c r="Q313" s="64"/>
      <c r="R313" s="64"/>
      <c r="S313" s="64"/>
      <c r="T313" s="64"/>
      <c r="U313" s="64"/>
      <c r="V313" s="64"/>
      <c r="W313" s="64"/>
      <c r="X313" s="64"/>
      <c r="Y313" s="64"/>
      <c r="BH313" s="64"/>
      <c r="BI313" s="64"/>
      <c r="BJ313" s="64"/>
      <c r="BK313" s="64"/>
      <c r="BL313" s="64"/>
      <c r="BM313" s="64"/>
      <c r="BN313" s="64"/>
      <c r="BO313" s="64"/>
      <c r="BP313" s="64"/>
      <c r="BQ313" s="64"/>
      <c r="BR313" s="64"/>
    </row>
    <row r="314" ht="18.75" customHeight="1">
      <c r="G314" s="122"/>
      <c r="H314" s="64"/>
      <c r="L314" s="64"/>
      <c r="M314" s="64"/>
      <c r="N314" s="64"/>
      <c r="O314" s="64"/>
      <c r="P314" s="64"/>
      <c r="Q314" s="64"/>
      <c r="R314" s="64"/>
      <c r="S314" s="64"/>
      <c r="T314" s="64"/>
      <c r="U314" s="64"/>
      <c r="V314" s="64"/>
      <c r="W314" s="64"/>
      <c r="X314" s="64"/>
      <c r="Y314" s="64"/>
      <c r="BH314" s="64"/>
      <c r="BI314" s="64"/>
      <c r="BJ314" s="64"/>
      <c r="BK314" s="64"/>
      <c r="BL314" s="64"/>
      <c r="BM314" s="64"/>
      <c r="BN314" s="64"/>
      <c r="BO314" s="64"/>
      <c r="BP314" s="64"/>
      <c r="BQ314" s="64"/>
      <c r="BR314" s="64"/>
    </row>
    <row r="315" ht="18.75" customHeight="1">
      <c r="G315" s="122"/>
      <c r="H315" s="64"/>
      <c r="L315" s="64"/>
      <c r="M315" s="64"/>
      <c r="N315" s="64"/>
      <c r="O315" s="64"/>
      <c r="P315" s="64"/>
      <c r="Q315" s="64"/>
      <c r="R315" s="64"/>
      <c r="S315" s="64"/>
      <c r="T315" s="64"/>
      <c r="U315" s="64"/>
      <c r="V315" s="64"/>
      <c r="W315" s="64"/>
      <c r="X315" s="64"/>
      <c r="Y315" s="64"/>
      <c r="BH315" s="64"/>
      <c r="BI315" s="64"/>
      <c r="BJ315" s="64"/>
      <c r="BK315" s="64"/>
      <c r="BL315" s="64"/>
      <c r="BM315" s="64"/>
      <c r="BN315" s="64"/>
      <c r="BO315" s="64"/>
      <c r="BP315" s="64"/>
      <c r="BQ315" s="64"/>
      <c r="BR315" s="64"/>
    </row>
    <row r="316" ht="18.75" customHeight="1">
      <c r="G316" s="122"/>
      <c r="H316" s="64"/>
      <c r="L316" s="64"/>
      <c r="M316" s="64"/>
      <c r="N316" s="64"/>
      <c r="O316" s="64"/>
      <c r="P316" s="64"/>
      <c r="Q316" s="64"/>
      <c r="R316" s="64"/>
      <c r="S316" s="64"/>
      <c r="T316" s="64"/>
      <c r="U316" s="64"/>
      <c r="V316" s="64"/>
      <c r="W316" s="64"/>
      <c r="X316" s="64"/>
      <c r="Y316" s="64"/>
      <c r="BH316" s="64"/>
      <c r="BI316" s="64"/>
      <c r="BJ316" s="64"/>
      <c r="BK316" s="64"/>
      <c r="BL316" s="64"/>
      <c r="BM316" s="64"/>
      <c r="BN316" s="64"/>
      <c r="BO316" s="64"/>
      <c r="BP316" s="64"/>
      <c r="BQ316" s="64"/>
      <c r="BR316" s="64"/>
    </row>
    <row r="317" ht="18.75" customHeight="1">
      <c r="G317" s="122"/>
      <c r="H317" s="64"/>
      <c r="L317" s="64"/>
      <c r="M317" s="64"/>
      <c r="N317" s="64"/>
      <c r="O317" s="64"/>
      <c r="P317" s="64"/>
      <c r="Q317" s="64"/>
      <c r="R317" s="64"/>
      <c r="S317" s="64"/>
      <c r="T317" s="64"/>
      <c r="U317" s="64"/>
      <c r="V317" s="64"/>
      <c r="W317" s="64"/>
      <c r="X317" s="64"/>
      <c r="Y317" s="64"/>
      <c r="BH317" s="64"/>
      <c r="BI317" s="64"/>
      <c r="BJ317" s="64"/>
      <c r="BK317" s="64"/>
      <c r="BL317" s="64"/>
      <c r="BM317" s="64"/>
      <c r="BN317" s="64"/>
      <c r="BO317" s="64"/>
      <c r="BP317" s="64"/>
      <c r="BQ317" s="64"/>
      <c r="BR317" s="64"/>
    </row>
    <row r="318" ht="18.75" customHeight="1">
      <c r="G318" s="122"/>
      <c r="H318" s="64"/>
      <c r="L318" s="64"/>
      <c r="M318" s="64"/>
      <c r="N318" s="64"/>
      <c r="O318" s="64"/>
      <c r="P318" s="64"/>
      <c r="Q318" s="64"/>
      <c r="R318" s="64"/>
      <c r="S318" s="64"/>
      <c r="T318" s="64"/>
      <c r="U318" s="64"/>
      <c r="V318" s="64"/>
      <c r="W318" s="64"/>
      <c r="X318" s="64"/>
      <c r="Y318" s="64"/>
      <c r="BH318" s="64"/>
      <c r="BI318" s="64"/>
      <c r="BJ318" s="64"/>
      <c r="BK318" s="64"/>
      <c r="BL318" s="64"/>
      <c r="BM318" s="64"/>
      <c r="BN318" s="64"/>
      <c r="BO318" s="64"/>
      <c r="BP318" s="64"/>
      <c r="BQ318" s="64"/>
      <c r="BR318" s="64"/>
    </row>
    <row r="319" ht="18.75" customHeight="1">
      <c r="G319" s="122"/>
      <c r="H319" s="64"/>
      <c r="L319" s="64"/>
      <c r="M319" s="64"/>
      <c r="N319" s="64"/>
      <c r="O319" s="64"/>
      <c r="P319" s="64"/>
      <c r="Q319" s="64"/>
      <c r="R319" s="64"/>
      <c r="S319" s="64"/>
      <c r="T319" s="64"/>
      <c r="U319" s="64"/>
      <c r="V319" s="64"/>
      <c r="W319" s="64"/>
      <c r="X319" s="64"/>
      <c r="Y319" s="64"/>
      <c r="BH319" s="64"/>
      <c r="BI319" s="64"/>
      <c r="BJ319" s="64"/>
      <c r="BK319" s="64"/>
      <c r="BL319" s="64"/>
      <c r="BM319" s="64"/>
      <c r="BN319" s="64"/>
      <c r="BO319" s="64"/>
      <c r="BP319" s="64"/>
      <c r="BQ319" s="64"/>
      <c r="BR319" s="64"/>
    </row>
    <row r="320" ht="18.75" customHeight="1">
      <c r="G320" s="122"/>
      <c r="H320" s="64"/>
      <c r="L320" s="64"/>
      <c r="M320" s="64"/>
      <c r="N320" s="64"/>
      <c r="O320" s="64"/>
      <c r="P320" s="64"/>
      <c r="Q320" s="64"/>
      <c r="R320" s="64"/>
      <c r="S320" s="64"/>
      <c r="T320" s="64"/>
      <c r="U320" s="64"/>
      <c r="V320" s="64"/>
      <c r="W320" s="64"/>
      <c r="X320" s="64"/>
      <c r="Y320" s="64"/>
      <c r="BH320" s="64"/>
      <c r="BI320" s="64"/>
      <c r="BJ320" s="64"/>
      <c r="BK320" s="64"/>
      <c r="BL320" s="64"/>
      <c r="BM320" s="64"/>
      <c r="BN320" s="64"/>
      <c r="BO320" s="64"/>
      <c r="BP320" s="64"/>
      <c r="BQ320" s="64"/>
      <c r="BR320" s="64"/>
    </row>
    <row r="321" ht="18.75" customHeight="1">
      <c r="G321" s="122"/>
      <c r="H321" s="64"/>
      <c r="L321" s="64"/>
      <c r="M321" s="64"/>
      <c r="N321" s="64"/>
      <c r="O321" s="64"/>
      <c r="P321" s="64"/>
      <c r="Q321" s="64"/>
      <c r="R321" s="64"/>
      <c r="S321" s="64"/>
      <c r="T321" s="64"/>
      <c r="U321" s="64"/>
      <c r="V321" s="64"/>
      <c r="W321" s="64"/>
      <c r="X321" s="64"/>
      <c r="Y321" s="64"/>
      <c r="BH321" s="64"/>
      <c r="BI321" s="64"/>
      <c r="BJ321" s="64"/>
      <c r="BK321" s="64"/>
      <c r="BL321" s="64"/>
      <c r="BM321" s="64"/>
      <c r="BN321" s="64"/>
      <c r="BO321" s="64"/>
      <c r="BP321" s="64"/>
      <c r="BQ321" s="64"/>
      <c r="BR321" s="64"/>
    </row>
    <row r="322" ht="18.75" customHeight="1">
      <c r="G322" s="122"/>
      <c r="H322" s="64"/>
      <c r="L322" s="64"/>
      <c r="M322" s="64"/>
      <c r="N322" s="64"/>
      <c r="O322" s="64"/>
      <c r="P322" s="64"/>
      <c r="Q322" s="64"/>
      <c r="R322" s="64"/>
      <c r="S322" s="64"/>
      <c r="T322" s="64"/>
      <c r="U322" s="64"/>
      <c r="V322" s="64"/>
      <c r="W322" s="64"/>
      <c r="X322" s="64"/>
      <c r="Y322" s="64"/>
      <c r="BH322" s="64"/>
      <c r="BI322" s="64"/>
      <c r="BJ322" s="64"/>
      <c r="BK322" s="64"/>
      <c r="BL322" s="64"/>
      <c r="BM322" s="64"/>
      <c r="BN322" s="64"/>
      <c r="BO322" s="64"/>
      <c r="BP322" s="64"/>
      <c r="BQ322" s="64"/>
      <c r="BR322" s="64"/>
    </row>
    <row r="323" ht="18.75" customHeight="1">
      <c r="G323" s="122"/>
      <c r="H323" s="64"/>
      <c r="L323" s="64"/>
      <c r="M323" s="64"/>
      <c r="N323" s="64"/>
      <c r="O323" s="64"/>
      <c r="P323" s="64"/>
      <c r="Q323" s="64"/>
      <c r="R323" s="64"/>
      <c r="S323" s="64"/>
      <c r="T323" s="64"/>
      <c r="U323" s="64"/>
      <c r="V323" s="64"/>
      <c r="W323" s="64"/>
      <c r="X323" s="64"/>
      <c r="Y323" s="64"/>
      <c r="BH323" s="64"/>
      <c r="BI323" s="64"/>
      <c r="BJ323" s="64"/>
      <c r="BK323" s="64"/>
      <c r="BL323" s="64"/>
      <c r="BM323" s="64"/>
      <c r="BN323" s="64"/>
      <c r="BO323" s="64"/>
      <c r="BP323" s="64"/>
      <c r="BQ323" s="64"/>
      <c r="BR323" s="64"/>
    </row>
    <row r="324" ht="18.75" customHeight="1">
      <c r="G324" s="122"/>
      <c r="H324" s="64"/>
      <c r="L324" s="64"/>
      <c r="M324" s="64"/>
      <c r="N324" s="64"/>
      <c r="O324" s="64"/>
      <c r="P324" s="64"/>
      <c r="Q324" s="64"/>
      <c r="R324" s="64"/>
      <c r="S324" s="64"/>
      <c r="T324" s="64"/>
      <c r="U324" s="64"/>
      <c r="V324" s="64"/>
      <c r="W324" s="64"/>
      <c r="X324" s="64"/>
      <c r="Y324" s="64"/>
      <c r="BH324" s="64"/>
      <c r="BI324" s="64"/>
      <c r="BJ324" s="64"/>
      <c r="BK324" s="64"/>
      <c r="BL324" s="64"/>
      <c r="BM324" s="64"/>
      <c r="BN324" s="64"/>
      <c r="BO324" s="64"/>
      <c r="BP324" s="64"/>
      <c r="BQ324" s="64"/>
      <c r="BR324" s="64"/>
    </row>
    <row r="325" ht="18.75" customHeight="1">
      <c r="G325" s="122"/>
      <c r="H325" s="64"/>
      <c r="L325" s="64"/>
      <c r="M325" s="64"/>
      <c r="N325" s="64"/>
      <c r="O325" s="64"/>
      <c r="P325" s="64"/>
      <c r="Q325" s="64"/>
      <c r="R325" s="64"/>
      <c r="S325" s="64"/>
      <c r="T325" s="64"/>
      <c r="U325" s="64"/>
      <c r="V325" s="64"/>
      <c r="W325" s="64"/>
      <c r="X325" s="64"/>
      <c r="Y325" s="64"/>
      <c r="BH325" s="64"/>
      <c r="BI325" s="64"/>
      <c r="BJ325" s="64"/>
      <c r="BK325" s="64"/>
      <c r="BL325" s="64"/>
      <c r="BM325" s="64"/>
      <c r="BN325" s="64"/>
      <c r="BO325" s="64"/>
      <c r="BP325" s="64"/>
      <c r="BQ325" s="64"/>
      <c r="BR325" s="64"/>
    </row>
    <row r="326" ht="18.75" customHeight="1">
      <c r="G326" s="122"/>
      <c r="H326" s="64"/>
      <c r="L326" s="64"/>
      <c r="M326" s="64"/>
      <c r="N326" s="64"/>
      <c r="O326" s="64"/>
      <c r="P326" s="64"/>
      <c r="Q326" s="64"/>
      <c r="R326" s="64"/>
      <c r="S326" s="64"/>
      <c r="T326" s="64"/>
      <c r="U326" s="64"/>
      <c r="V326" s="64"/>
      <c r="W326" s="64"/>
      <c r="X326" s="64"/>
      <c r="Y326" s="64"/>
      <c r="BH326" s="64"/>
      <c r="BI326" s="64"/>
      <c r="BJ326" s="64"/>
      <c r="BK326" s="64"/>
      <c r="BL326" s="64"/>
      <c r="BM326" s="64"/>
      <c r="BN326" s="64"/>
      <c r="BO326" s="64"/>
      <c r="BP326" s="64"/>
      <c r="BQ326" s="64"/>
      <c r="BR326" s="64"/>
    </row>
    <row r="327" ht="18.75" customHeight="1">
      <c r="G327" s="122"/>
      <c r="H327" s="64"/>
      <c r="L327" s="64"/>
      <c r="M327" s="64"/>
      <c r="N327" s="64"/>
      <c r="O327" s="64"/>
      <c r="P327" s="64"/>
      <c r="Q327" s="64"/>
      <c r="R327" s="64"/>
      <c r="S327" s="64"/>
      <c r="T327" s="64"/>
      <c r="U327" s="64"/>
      <c r="V327" s="64"/>
      <c r="W327" s="64"/>
      <c r="X327" s="64"/>
      <c r="Y327" s="64"/>
      <c r="BH327" s="64"/>
      <c r="BI327" s="64"/>
      <c r="BJ327" s="64"/>
      <c r="BK327" s="64"/>
      <c r="BL327" s="64"/>
      <c r="BM327" s="64"/>
      <c r="BN327" s="64"/>
      <c r="BO327" s="64"/>
      <c r="BP327" s="64"/>
      <c r="BQ327" s="64"/>
      <c r="BR327" s="64"/>
    </row>
    <row r="328" ht="18.75" customHeight="1">
      <c r="G328" s="122"/>
      <c r="H328" s="64"/>
      <c r="L328" s="64"/>
      <c r="M328" s="64"/>
      <c r="N328" s="64"/>
      <c r="O328" s="64"/>
      <c r="P328" s="64"/>
      <c r="Q328" s="64"/>
      <c r="R328" s="64"/>
      <c r="S328" s="64"/>
      <c r="T328" s="64"/>
      <c r="U328" s="64"/>
      <c r="V328" s="64"/>
      <c r="W328" s="64"/>
      <c r="X328" s="64"/>
      <c r="Y328" s="64"/>
      <c r="BH328" s="64"/>
      <c r="BI328" s="64"/>
      <c r="BJ328" s="64"/>
      <c r="BK328" s="64"/>
      <c r="BL328" s="64"/>
      <c r="BM328" s="64"/>
      <c r="BN328" s="64"/>
      <c r="BO328" s="64"/>
      <c r="BP328" s="64"/>
      <c r="BQ328" s="64"/>
      <c r="BR328" s="64"/>
    </row>
    <row r="329" ht="18.75" customHeight="1">
      <c r="G329" s="122"/>
      <c r="H329" s="64"/>
      <c r="L329" s="64"/>
      <c r="M329" s="64"/>
      <c r="N329" s="64"/>
      <c r="O329" s="64"/>
      <c r="P329" s="64"/>
      <c r="Q329" s="64"/>
      <c r="R329" s="64"/>
      <c r="S329" s="64"/>
      <c r="T329" s="64"/>
      <c r="U329" s="64"/>
      <c r="V329" s="64"/>
      <c r="W329" s="64"/>
      <c r="X329" s="64"/>
      <c r="Y329" s="64"/>
      <c r="BH329" s="64"/>
      <c r="BI329" s="64"/>
      <c r="BJ329" s="64"/>
      <c r="BK329" s="64"/>
      <c r="BL329" s="64"/>
      <c r="BM329" s="64"/>
      <c r="BN329" s="64"/>
      <c r="BO329" s="64"/>
      <c r="BP329" s="64"/>
      <c r="BQ329" s="64"/>
      <c r="BR329" s="64"/>
    </row>
    <row r="330" ht="18.75" customHeight="1">
      <c r="G330" s="122"/>
      <c r="H330" s="64"/>
      <c r="L330" s="64"/>
      <c r="M330" s="64"/>
      <c r="N330" s="64"/>
      <c r="O330" s="64"/>
      <c r="P330" s="64"/>
      <c r="Q330" s="64"/>
      <c r="R330" s="64"/>
      <c r="S330" s="64"/>
      <c r="T330" s="64"/>
      <c r="U330" s="64"/>
      <c r="V330" s="64"/>
      <c r="W330" s="64"/>
      <c r="X330" s="64"/>
      <c r="Y330" s="64"/>
      <c r="BH330" s="64"/>
      <c r="BI330" s="64"/>
      <c r="BJ330" s="64"/>
      <c r="BK330" s="64"/>
      <c r="BL330" s="64"/>
      <c r="BM330" s="64"/>
      <c r="BN330" s="64"/>
      <c r="BO330" s="64"/>
      <c r="BP330" s="64"/>
      <c r="BQ330" s="64"/>
      <c r="BR330" s="64"/>
    </row>
    <row r="331" ht="18.75" customHeight="1">
      <c r="G331" s="122"/>
      <c r="H331" s="64"/>
      <c r="L331" s="64"/>
      <c r="M331" s="64"/>
      <c r="N331" s="64"/>
      <c r="O331" s="64"/>
      <c r="P331" s="64"/>
      <c r="Q331" s="64"/>
      <c r="R331" s="64"/>
      <c r="S331" s="64"/>
      <c r="T331" s="64"/>
      <c r="U331" s="64"/>
      <c r="V331" s="64"/>
      <c r="W331" s="64"/>
      <c r="X331" s="64"/>
      <c r="Y331" s="64"/>
      <c r="BH331" s="64"/>
      <c r="BI331" s="64"/>
      <c r="BJ331" s="64"/>
      <c r="BK331" s="64"/>
      <c r="BL331" s="64"/>
      <c r="BM331" s="64"/>
      <c r="BN331" s="64"/>
      <c r="BO331" s="64"/>
      <c r="BP331" s="64"/>
      <c r="BQ331" s="64"/>
      <c r="BR331" s="64"/>
    </row>
    <row r="332" ht="18.75" customHeight="1">
      <c r="G332" s="122"/>
      <c r="H332" s="64"/>
      <c r="L332" s="64"/>
      <c r="M332" s="64"/>
      <c r="N332" s="64"/>
      <c r="O332" s="64"/>
      <c r="P332" s="64"/>
      <c r="Q332" s="64"/>
      <c r="R332" s="64"/>
      <c r="S332" s="64"/>
      <c r="T332" s="64"/>
      <c r="U332" s="64"/>
      <c r="V332" s="64"/>
      <c r="W332" s="64"/>
      <c r="X332" s="64"/>
      <c r="Y332" s="64"/>
      <c r="BH332" s="64"/>
      <c r="BI332" s="64"/>
      <c r="BJ332" s="64"/>
      <c r="BK332" s="64"/>
      <c r="BL332" s="64"/>
      <c r="BM332" s="64"/>
      <c r="BN332" s="64"/>
      <c r="BO332" s="64"/>
      <c r="BP332" s="64"/>
      <c r="BQ332" s="64"/>
      <c r="BR332" s="64"/>
    </row>
    <row r="333" ht="18.75" customHeight="1">
      <c r="G333" s="122"/>
      <c r="H333" s="64"/>
      <c r="L333" s="64"/>
      <c r="M333" s="64"/>
      <c r="N333" s="64"/>
      <c r="O333" s="64"/>
      <c r="P333" s="64"/>
      <c r="Q333" s="64"/>
      <c r="R333" s="64"/>
      <c r="S333" s="64"/>
      <c r="T333" s="64"/>
      <c r="U333" s="64"/>
      <c r="V333" s="64"/>
      <c r="W333" s="64"/>
      <c r="X333" s="64"/>
      <c r="Y333" s="64"/>
      <c r="BH333" s="64"/>
      <c r="BI333" s="64"/>
      <c r="BJ333" s="64"/>
      <c r="BK333" s="64"/>
      <c r="BL333" s="64"/>
      <c r="BM333" s="64"/>
      <c r="BN333" s="64"/>
      <c r="BO333" s="64"/>
      <c r="BP333" s="64"/>
      <c r="BQ333" s="64"/>
      <c r="BR333" s="64"/>
    </row>
    <row r="334" ht="18.75" customHeight="1">
      <c r="G334" s="122"/>
      <c r="H334" s="64"/>
      <c r="L334" s="64"/>
      <c r="M334" s="64"/>
      <c r="N334" s="64"/>
      <c r="O334" s="64"/>
      <c r="P334" s="64"/>
      <c r="Q334" s="64"/>
      <c r="R334" s="64"/>
      <c r="S334" s="64"/>
      <c r="T334" s="64"/>
      <c r="U334" s="64"/>
      <c r="V334" s="64"/>
      <c r="W334" s="64"/>
      <c r="X334" s="64"/>
      <c r="Y334" s="64"/>
      <c r="BH334" s="64"/>
      <c r="BI334" s="64"/>
      <c r="BJ334" s="64"/>
      <c r="BK334" s="64"/>
      <c r="BL334" s="64"/>
      <c r="BM334" s="64"/>
      <c r="BN334" s="64"/>
      <c r="BO334" s="64"/>
      <c r="BP334" s="64"/>
      <c r="BQ334" s="64"/>
      <c r="BR334" s="64"/>
    </row>
    <row r="335" ht="18.75" customHeight="1">
      <c r="G335" s="122"/>
      <c r="H335" s="64"/>
      <c r="L335" s="64"/>
      <c r="M335" s="64"/>
      <c r="N335" s="64"/>
      <c r="O335" s="64"/>
      <c r="P335" s="64"/>
      <c r="Q335" s="64"/>
      <c r="R335" s="64"/>
      <c r="S335" s="64"/>
      <c r="T335" s="64"/>
      <c r="U335" s="64"/>
      <c r="V335" s="64"/>
      <c r="W335" s="64"/>
      <c r="X335" s="64"/>
      <c r="Y335" s="64"/>
      <c r="BH335" s="64"/>
      <c r="BI335" s="64"/>
      <c r="BJ335" s="64"/>
      <c r="BK335" s="64"/>
      <c r="BL335" s="64"/>
      <c r="BM335" s="64"/>
      <c r="BN335" s="64"/>
      <c r="BO335" s="64"/>
      <c r="BP335" s="64"/>
      <c r="BQ335" s="64"/>
      <c r="BR335" s="64"/>
    </row>
    <row r="336" ht="18.75" customHeight="1">
      <c r="G336" s="122"/>
      <c r="H336" s="64"/>
      <c r="L336" s="64"/>
      <c r="M336" s="64"/>
      <c r="N336" s="64"/>
      <c r="O336" s="64"/>
      <c r="P336" s="64"/>
      <c r="Q336" s="64"/>
      <c r="R336" s="64"/>
      <c r="S336" s="64"/>
      <c r="T336" s="64"/>
      <c r="U336" s="64"/>
      <c r="V336" s="64"/>
      <c r="W336" s="64"/>
      <c r="X336" s="64"/>
      <c r="Y336" s="64"/>
      <c r="BH336" s="64"/>
      <c r="BI336" s="64"/>
      <c r="BJ336" s="64"/>
      <c r="BK336" s="64"/>
      <c r="BL336" s="64"/>
      <c r="BM336" s="64"/>
      <c r="BN336" s="64"/>
      <c r="BO336" s="64"/>
      <c r="BP336" s="64"/>
      <c r="BQ336" s="64"/>
      <c r="BR336" s="64"/>
    </row>
    <row r="337" ht="18.75" customHeight="1">
      <c r="G337" s="122"/>
      <c r="H337" s="64"/>
      <c r="L337" s="64"/>
      <c r="M337" s="64"/>
      <c r="N337" s="64"/>
      <c r="O337" s="64"/>
      <c r="P337" s="64"/>
      <c r="Q337" s="64"/>
      <c r="R337" s="64"/>
      <c r="S337" s="64"/>
      <c r="T337" s="64"/>
      <c r="U337" s="64"/>
      <c r="V337" s="64"/>
      <c r="W337" s="64"/>
      <c r="X337" s="64"/>
      <c r="Y337" s="64"/>
      <c r="BH337" s="64"/>
      <c r="BI337" s="64"/>
      <c r="BJ337" s="64"/>
      <c r="BK337" s="64"/>
      <c r="BL337" s="64"/>
      <c r="BM337" s="64"/>
      <c r="BN337" s="64"/>
      <c r="BO337" s="64"/>
      <c r="BP337" s="64"/>
      <c r="BQ337" s="64"/>
      <c r="BR337" s="64"/>
    </row>
    <row r="338" ht="18.75" customHeight="1">
      <c r="G338" s="122"/>
      <c r="H338" s="64"/>
      <c r="L338" s="64"/>
      <c r="M338" s="64"/>
      <c r="N338" s="64"/>
      <c r="O338" s="64"/>
      <c r="P338" s="64"/>
      <c r="Q338" s="64"/>
      <c r="R338" s="64"/>
      <c r="S338" s="64"/>
      <c r="T338" s="64"/>
      <c r="U338" s="64"/>
      <c r="V338" s="64"/>
      <c r="W338" s="64"/>
      <c r="X338" s="64"/>
      <c r="Y338" s="64"/>
      <c r="BH338" s="64"/>
      <c r="BI338" s="64"/>
      <c r="BJ338" s="64"/>
      <c r="BK338" s="64"/>
      <c r="BL338" s="64"/>
      <c r="BM338" s="64"/>
      <c r="BN338" s="64"/>
      <c r="BO338" s="64"/>
      <c r="BP338" s="64"/>
      <c r="BQ338" s="64"/>
      <c r="BR338" s="64"/>
    </row>
    <row r="339" ht="18.75" customHeight="1">
      <c r="G339" s="122"/>
      <c r="H339" s="64"/>
      <c r="L339" s="64"/>
      <c r="M339" s="64"/>
      <c r="N339" s="64"/>
      <c r="O339" s="64"/>
      <c r="P339" s="64"/>
      <c r="Q339" s="64"/>
      <c r="R339" s="64"/>
      <c r="S339" s="64"/>
      <c r="T339" s="64"/>
      <c r="U339" s="64"/>
      <c r="V339" s="64"/>
      <c r="W339" s="64"/>
      <c r="X339" s="64"/>
      <c r="Y339" s="64"/>
      <c r="BH339" s="64"/>
      <c r="BI339" s="64"/>
      <c r="BJ339" s="64"/>
      <c r="BK339" s="64"/>
      <c r="BL339" s="64"/>
      <c r="BM339" s="64"/>
      <c r="BN339" s="64"/>
      <c r="BO339" s="64"/>
      <c r="BP339" s="64"/>
      <c r="BQ339" s="64"/>
      <c r="BR339" s="64"/>
    </row>
    <row r="340" ht="18.75" customHeight="1">
      <c r="G340" s="122"/>
      <c r="H340" s="64"/>
      <c r="L340" s="64"/>
      <c r="M340" s="64"/>
      <c r="N340" s="64"/>
      <c r="O340" s="64"/>
      <c r="P340" s="64"/>
      <c r="Q340" s="64"/>
      <c r="R340" s="64"/>
      <c r="S340" s="64"/>
      <c r="T340" s="64"/>
      <c r="U340" s="64"/>
      <c r="V340" s="64"/>
      <c r="W340" s="64"/>
      <c r="X340" s="64"/>
      <c r="Y340" s="64"/>
      <c r="BH340" s="64"/>
      <c r="BI340" s="64"/>
      <c r="BJ340" s="64"/>
      <c r="BK340" s="64"/>
      <c r="BL340" s="64"/>
      <c r="BM340" s="64"/>
      <c r="BN340" s="64"/>
      <c r="BO340" s="64"/>
      <c r="BP340" s="64"/>
      <c r="BQ340" s="64"/>
      <c r="BR340" s="64"/>
    </row>
    <row r="341" ht="18.75" customHeight="1">
      <c r="G341" s="122"/>
      <c r="H341" s="64"/>
      <c r="L341" s="64"/>
      <c r="M341" s="64"/>
      <c r="N341" s="64"/>
      <c r="O341" s="64"/>
      <c r="P341" s="64"/>
      <c r="Q341" s="64"/>
      <c r="R341" s="64"/>
      <c r="S341" s="64"/>
      <c r="T341" s="64"/>
      <c r="U341" s="64"/>
      <c r="V341" s="64"/>
      <c r="W341" s="64"/>
      <c r="X341" s="64"/>
      <c r="Y341" s="64"/>
      <c r="BH341" s="64"/>
      <c r="BI341" s="64"/>
      <c r="BJ341" s="64"/>
      <c r="BK341" s="64"/>
      <c r="BL341" s="64"/>
      <c r="BM341" s="64"/>
      <c r="BN341" s="64"/>
      <c r="BO341" s="64"/>
      <c r="BP341" s="64"/>
      <c r="BQ341" s="64"/>
      <c r="BR341" s="64"/>
    </row>
    <row r="342" ht="18.75" customHeight="1">
      <c r="G342" s="122"/>
      <c r="H342" s="64"/>
      <c r="L342" s="64"/>
      <c r="M342" s="64"/>
      <c r="N342" s="64"/>
      <c r="O342" s="64"/>
      <c r="P342" s="64"/>
      <c r="Q342" s="64"/>
      <c r="R342" s="64"/>
      <c r="S342" s="64"/>
      <c r="T342" s="64"/>
      <c r="U342" s="64"/>
      <c r="V342" s="64"/>
      <c r="W342" s="64"/>
      <c r="X342" s="64"/>
      <c r="Y342" s="64"/>
      <c r="BH342" s="64"/>
      <c r="BI342" s="64"/>
      <c r="BJ342" s="64"/>
      <c r="BK342" s="64"/>
      <c r="BL342" s="64"/>
      <c r="BM342" s="64"/>
      <c r="BN342" s="64"/>
      <c r="BO342" s="64"/>
      <c r="BP342" s="64"/>
      <c r="BQ342" s="64"/>
      <c r="BR342" s="64"/>
    </row>
    <row r="343" ht="18.75" customHeight="1">
      <c r="G343" s="122"/>
      <c r="H343" s="64"/>
      <c r="L343" s="64"/>
      <c r="M343" s="64"/>
      <c r="N343" s="64"/>
      <c r="O343" s="64"/>
      <c r="P343" s="64"/>
      <c r="Q343" s="64"/>
      <c r="R343" s="64"/>
      <c r="S343" s="64"/>
      <c r="T343" s="64"/>
      <c r="U343" s="64"/>
      <c r="V343" s="64"/>
      <c r="W343" s="64"/>
      <c r="X343" s="64"/>
      <c r="Y343" s="64"/>
      <c r="BH343" s="64"/>
      <c r="BI343" s="64"/>
      <c r="BJ343" s="64"/>
      <c r="BK343" s="64"/>
      <c r="BL343" s="64"/>
      <c r="BM343" s="64"/>
      <c r="BN343" s="64"/>
      <c r="BO343" s="64"/>
      <c r="BP343" s="64"/>
      <c r="BQ343" s="64"/>
      <c r="BR343" s="64"/>
    </row>
    <row r="344" ht="18.75" customHeight="1">
      <c r="G344" s="122"/>
      <c r="H344" s="64"/>
      <c r="L344" s="64"/>
      <c r="M344" s="64"/>
      <c r="N344" s="64"/>
      <c r="O344" s="64"/>
      <c r="P344" s="64"/>
      <c r="Q344" s="64"/>
      <c r="R344" s="64"/>
      <c r="S344" s="64"/>
      <c r="T344" s="64"/>
      <c r="U344" s="64"/>
      <c r="V344" s="64"/>
      <c r="W344" s="64"/>
      <c r="X344" s="64"/>
      <c r="Y344" s="64"/>
      <c r="BH344" s="64"/>
      <c r="BI344" s="64"/>
      <c r="BJ344" s="64"/>
      <c r="BK344" s="64"/>
      <c r="BL344" s="64"/>
      <c r="BM344" s="64"/>
      <c r="BN344" s="64"/>
      <c r="BO344" s="64"/>
      <c r="BP344" s="64"/>
      <c r="BQ344" s="64"/>
      <c r="BR344" s="64"/>
    </row>
    <row r="345" ht="18.75" customHeight="1">
      <c r="G345" s="122"/>
      <c r="H345" s="64"/>
      <c r="L345" s="64"/>
      <c r="M345" s="64"/>
      <c r="N345" s="64"/>
      <c r="O345" s="64"/>
      <c r="P345" s="64"/>
      <c r="Q345" s="64"/>
      <c r="R345" s="64"/>
      <c r="S345" s="64"/>
      <c r="T345" s="64"/>
      <c r="U345" s="64"/>
      <c r="V345" s="64"/>
      <c r="W345" s="64"/>
      <c r="X345" s="64"/>
      <c r="Y345" s="64"/>
      <c r="BH345" s="64"/>
      <c r="BI345" s="64"/>
      <c r="BJ345" s="64"/>
      <c r="BK345" s="64"/>
      <c r="BL345" s="64"/>
      <c r="BM345" s="64"/>
      <c r="BN345" s="64"/>
      <c r="BO345" s="64"/>
      <c r="BP345" s="64"/>
      <c r="BQ345" s="64"/>
      <c r="BR345" s="64"/>
    </row>
    <row r="346" ht="18.75" customHeight="1">
      <c r="G346" s="122"/>
      <c r="H346" s="64"/>
      <c r="L346" s="64"/>
      <c r="M346" s="64"/>
      <c r="N346" s="64"/>
      <c r="O346" s="64"/>
      <c r="P346" s="64"/>
      <c r="Q346" s="64"/>
      <c r="R346" s="64"/>
      <c r="S346" s="64"/>
      <c r="T346" s="64"/>
      <c r="U346" s="64"/>
      <c r="V346" s="64"/>
      <c r="W346" s="64"/>
      <c r="X346" s="64"/>
      <c r="Y346" s="64"/>
      <c r="BH346" s="64"/>
      <c r="BI346" s="64"/>
      <c r="BJ346" s="64"/>
      <c r="BK346" s="64"/>
      <c r="BL346" s="64"/>
      <c r="BM346" s="64"/>
      <c r="BN346" s="64"/>
      <c r="BO346" s="64"/>
      <c r="BP346" s="64"/>
      <c r="BQ346" s="64"/>
      <c r="BR346" s="64"/>
    </row>
    <row r="347" ht="18.75" customHeight="1">
      <c r="G347" s="122"/>
      <c r="H347" s="64"/>
      <c r="L347" s="64"/>
      <c r="M347" s="64"/>
      <c r="N347" s="64"/>
      <c r="O347" s="64"/>
      <c r="P347" s="64"/>
      <c r="Q347" s="64"/>
      <c r="R347" s="64"/>
      <c r="S347" s="64"/>
      <c r="T347" s="64"/>
      <c r="U347" s="64"/>
      <c r="V347" s="64"/>
      <c r="W347" s="64"/>
      <c r="X347" s="64"/>
      <c r="Y347" s="64"/>
      <c r="BH347" s="64"/>
      <c r="BI347" s="64"/>
      <c r="BJ347" s="64"/>
      <c r="BK347" s="64"/>
      <c r="BL347" s="64"/>
      <c r="BM347" s="64"/>
      <c r="BN347" s="64"/>
      <c r="BO347" s="64"/>
      <c r="BP347" s="64"/>
      <c r="BQ347" s="64"/>
      <c r="BR347" s="64"/>
    </row>
    <row r="348" ht="18.75" customHeight="1">
      <c r="G348" s="122"/>
      <c r="H348" s="64"/>
      <c r="L348" s="64"/>
      <c r="M348" s="64"/>
      <c r="N348" s="64"/>
      <c r="O348" s="64"/>
      <c r="P348" s="64"/>
      <c r="Q348" s="64"/>
      <c r="R348" s="64"/>
      <c r="S348" s="64"/>
      <c r="T348" s="64"/>
      <c r="U348" s="64"/>
      <c r="V348" s="64"/>
      <c r="W348" s="64"/>
      <c r="X348" s="64"/>
      <c r="Y348" s="64"/>
      <c r="BH348" s="64"/>
      <c r="BI348" s="64"/>
      <c r="BJ348" s="64"/>
      <c r="BK348" s="64"/>
      <c r="BL348" s="64"/>
      <c r="BM348" s="64"/>
      <c r="BN348" s="64"/>
      <c r="BO348" s="64"/>
      <c r="BP348" s="64"/>
      <c r="BQ348" s="64"/>
      <c r="BR348" s="64"/>
    </row>
    <row r="349" ht="18.75" customHeight="1">
      <c r="G349" s="122"/>
      <c r="H349" s="64"/>
      <c r="L349" s="64"/>
      <c r="M349" s="64"/>
      <c r="N349" s="64"/>
      <c r="O349" s="64"/>
      <c r="P349" s="64"/>
      <c r="Q349" s="64"/>
      <c r="R349" s="64"/>
      <c r="S349" s="64"/>
      <c r="T349" s="64"/>
      <c r="U349" s="64"/>
      <c r="V349" s="64"/>
      <c r="W349" s="64"/>
      <c r="X349" s="64"/>
      <c r="Y349" s="64"/>
      <c r="BH349" s="64"/>
      <c r="BI349" s="64"/>
      <c r="BJ349" s="64"/>
      <c r="BK349" s="64"/>
      <c r="BL349" s="64"/>
      <c r="BM349" s="64"/>
      <c r="BN349" s="64"/>
      <c r="BO349" s="64"/>
      <c r="BP349" s="64"/>
      <c r="BQ349" s="64"/>
      <c r="BR349" s="64"/>
    </row>
    <row r="350" ht="18.75" customHeight="1">
      <c r="G350" s="122"/>
      <c r="H350" s="64"/>
      <c r="L350" s="64"/>
      <c r="M350" s="64"/>
      <c r="N350" s="64"/>
      <c r="O350" s="64"/>
      <c r="P350" s="64"/>
      <c r="Q350" s="64"/>
      <c r="R350" s="64"/>
      <c r="S350" s="64"/>
      <c r="T350" s="64"/>
      <c r="U350" s="64"/>
      <c r="V350" s="64"/>
      <c r="W350" s="64"/>
      <c r="X350" s="64"/>
      <c r="Y350" s="64"/>
      <c r="BH350" s="64"/>
      <c r="BI350" s="64"/>
      <c r="BJ350" s="64"/>
      <c r="BK350" s="64"/>
      <c r="BL350" s="64"/>
      <c r="BM350" s="64"/>
      <c r="BN350" s="64"/>
      <c r="BO350" s="64"/>
      <c r="BP350" s="64"/>
      <c r="BQ350" s="64"/>
      <c r="BR350" s="64"/>
    </row>
    <row r="351" ht="18.75" customHeight="1">
      <c r="G351" s="122"/>
      <c r="H351" s="64"/>
      <c r="L351" s="64"/>
      <c r="M351" s="64"/>
      <c r="N351" s="64"/>
      <c r="O351" s="64"/>
      <c r="P351" s="64"/>
      <c r="Q351" s="64"/>
      <c r="R351" s="64"/>
      <c r="S351" s="64"/>
      <c r="T351" s="64"/>
      <c r="U351" s="64"/>
      <c r="V351" s="64"/>
      <c r="W351" s="64"/>
      <c r="X351" s="64"/>
      <c r="Y351" s="64"/>
      <c r="BH351" s="64"/>
      <c r="BI351" s="64"/>
      <c r="BJ351" s="64"/>
      <c r="BK351" s="64"/>
      <c r="BL351" s="64"/>
      <c r="BM351" s="64"/>
      <c r="BN351" s="64"/>
      <c r="BO351" s="64"/>
      <c r="BP351" s="64"/>
      <c r="BQ351" s="64"/>
      <c r="BR351" s="64"/>
    </row>
    <row r="352" ht="18.75" customHeight="1">
      <c r="G352" s="122"/>
      <c r="H352" s="64"/>
      <c r="L352" s="64"/>
      <c r="M352" s="64"/>
      <c r="N352" s="64"/>
      <c r="O352" s="64"/>
      <c r="P352" s="64"/>
      <c r="Q352" s="64"/>
      <c r="R352" s="64"/>
      <c r="S352" s="64"/>
      <c r="T352" s="64"/>
      <c r="U352" s="64"/>
      <c r="V352" s="64"/>
      <c r="W352" s="64"/>
      <c r="X352" s="64"/>
      <c r="Y352" s="64"/>
      <c r="BH352" s="64"/>
      <c r="BI352" s="64"/>
      <c r="BJ352" s="64"/>
      <c r="BK352" s="64"/>
      <c r="BL352" s="64"/>
      <c r="BM352" s="64"/>
      <c r="BN352" s="64"/>
      <c r="BO352" s="64"/>
      <c r="BP352" s="64"/>
      <c r="BQ352" s="64"/>
      <c r="BR352" s="64"/>
    </row>
    <row r="353" ht="18.75" customHeight="1">
      <c r="G353" s="122"/>
      <c r="H353" s="64"/>
      <c r="L353" s="64"/>
      <c r="M353" s="64"/>
      <c r="N353" s="64"/>
      <c r="O353" s="64"/>
      <c r="P353" s="64"/>
      <c r="Q353" s="64"/>
      <c r="R353" s="64"/>
      <c r="S353" s="64"/>
      <c r="T353" s="64"/>
      <c r="U353" s="64"/>
      <c r="V353" s="64"/>
      <c r="W353" s="64"/>
      <c r="X353" s="64"/>
      <c r="Y353" s="64"/>
      <c r="BH353" s="64"/>
      <c r="BI353" s="64"/>
      <c r="BJ353" s="64"/>
      <c r="BK353" s="64"/>
      <c r="BL353" s="64"/>
      <c r="BM353" s="64"/>
      <c r="BN353" s="64"/>
      <c r="BO353" s="64"/>
      <c r="BP353" s="64"/>
      <c r="BQ353" s="64"/>
      <c r="BR353" s="64"/>
    </row>
    <row r="354" ht="18.75" customHeight="1">
      <c r="G354" s="122"/>
      <c r="H354" s="64"/>
      <c r="L354" s="64"/>
      <c r="M354" s="64"/>
      <c r="N354" s="64"/>
      <c r="O354" s="64"/>
      <c r="P354" s="64"/>
      <c r="Q354" s="64"/>
      <c r="R354" s="64"/>
      <c r="S354" s="64"/>
      <c r="T354" s="64"/>
      <c r="U354" s="64"/>
      <c r="V354" s="64"/>
      <c r="W354" s="64"/>
      <c r="X354" s="64"/>
      <c r="Y354" s="64"/>
      <c r="BH354" s="64"/>
      <c r="BI354" s="64"/>
      <c r="BJ354" s="64"/>
      <c r="BK354" s="64"/>
      <c r="BL354" s="64"/>
      <c r="BM354" s="64"/>
      <c r="BN354" s="64"/>
      <c r="BO354" s="64"/>
      <c r="BP354" s="64"/>
      <c r="BQ354" s="64"/>
      <c r="BR354" s="64"/>
    </row>
    <row r="355" ht="18.75" customHeight="1">
      <c r="G355" s="122"/>
      <c r="H355" s="64"/>
      <c r="L355" s="64"/>
      <c r="M355" s="64"/>
      <c r="N355" s="64"/>
      <c r="O355" s="64"/>
      <c r="P355" s="64"/>
      <c r="Q355" s="64"/>
      <c r="R355" s="64"/>
      <c r="S355" s="64"/>
      <c r="T355" s="64"/>
      <c r="U355" s="64"/>
      <c r="V355" s="64"/>
      <c r="W355" s="64"/>
      <c r="X355" s="64"/>
      <c r="Y355" s="64"/>
      <c r="BH355" s="64"/>
      <c r="BI355" s="64"/>
      <c r="BJ355" s="64"/>
      <c r="BK355" s="64"/>
      <c r="BL355" s="64"/>
      <c r="BM355" s="64"/>
      <c r="BN355" s="64"/>
      <c r="BO355" s="64"/>
      <c r="BP355" s="64"/>
      <c r="BQ355" s="64"/>
      <c r="BR355" s="64"/>
    </row>
    <row r="356" ht="18.75" customHeight="1">
      <c r="G356" s="122"/>
      <c r="H356" s="64"/>
      <c r="L356" s="64"/>
      <c r="M356" s="64"/>
      <c r="N356" s="64"/>
      <c r="O356" s="64"/>
      <c r="P356" s="64"/>
      <c r="Q356" s="64"/>
      <c r="R356" s="64"/>
      <c r="S356" s="64"/>
      <c r="T356" s="64"/>
      <c r="U356" s="64"/>
      <c r="V356" s="64"/>
      <c r="W356" s="64"/>
      <c r="X356" s="64"/>
      <c r="Y356" s="64"/>
      <c r="BH356" s="64"/>
      <c r="BI356" s="64"/>
      <c r="BJ356" s="64"/>
      <c r="BK356" s="64"/>
      <c r="BL356" s="64"/>
      <c r="BM356" s="64"/>
      <c r="BN356" s="64"/>
      <c r="BO356" s="64"/>
      <c r="BP356" s="64"/>
      <c r="BQ356" s="64"/>
      <c r="BR356" s="64"/>
    </row>
    <row r="357" ht="18.75" customHeight="1">
      <c r="G357" s="122"/>
      <c r="H357" s="64"/>
      <c r="L357" s="64"/>
      <c r="M357" s="64"/>
      <c r="N357" s="64"/>
      <c r="O357" s="64"/>
      <c r="P357" s="64"/>
      <c r="Q357" s="64"/>
      <c r="R357" s="64"/>
      <c r="S357" s="64"/>
      <c r="T357" s="64"/>
      <c r="U357" s="64"/>
      <c r="V357" s="64"/>
      <c r="W357" s="64"/>
      <c r="X357" s="64"/>
      <c r="Y357" s="64"/>
      <c r="BH357" s="64"/>
      <c r="BI357" s="64"/>
      <c r="BJ357" s="64"/>
      <c r="BK357" s="64"/>
      <c r="BL357" s="64"/>
      <c r="BM357" s="64"/>
      <c r="BN357" s="64"/>
      <c r="BO357" s="64"/>
      <c r="BP357" s="64"/>
      <c r="BQ357" s="64"/>
      <c r="BR357" s="64"/>
    </row>
    <row r="358" ht="18.75" customHeight="1">
      <c r="G358" s="122"/>
      <c r="H358" s="64"/>
      <c r="L358" s="64"/>
      <c r="M358" s="64"/>
      <c r="N358" s="64"/>
      <c r="O358" s="64"/>
      <c r="P358" s="64"/>
      <c r="Q358" s="64"/>
      <c r="R358" s="64"/>
      <c r="S358" s="64"/>
      <c r="T358" s="64"/>
      <c r="U358" s="64"/>
      <c r="V358" s="64"/>
      <c r="W358" s="64"/>
      <c r="X358" s="64"/>
      <c r="Y358" s="64"/>
      <c r="BH358" s="64"/>
      <c r="BI358" s="64"/>
      <c r="BJ358" s="64"/>
      <c r="BK358" s="64"/>
      <c r="BL358" s="64"/>
      <c r="BM358" s="64"/>
      <c r="BN358" s="64"/>
      <c r="BO358" s="64"/>
      <c r="BP358" s="64"/>
      <c r="BQ358" s="64"/>
      <c r="BR358" s="64"/>
    </row>
    <row r="359" ht="18.75" customHeight="1">
      <c r="G359" s="122"/>
      <c r="H359" s="64"/>
      <c r="L359" s="64"/>
      <c r="M359" s="64"/>
      <c r="N359" s="64"/>
      <c r="O359" s="64"/>
      <c r="P359" s="64"/>
      <c r="Q359" s="64"/>
      <c r="R359" s="64"/>
      <c r="S359" s="64"/>
      <c r="T359" s="64"/>
      <c r="U359" s="64"/>
      <c r="V359" s="64"/>
      <c r="W359" s="64"/>
      <c r="X359" s="64"/>
      <c r="Y359" s="64"/>
      <c r="BH359" s="64"/>
      <c r="BI359" s="64"/>
      <c r="BJ359" s="64"/>
      <c r="BK359" s="64"/>
      <c r="BL359" s="64"/>
      <c r="BM359" s="64"/>
      <c r="BN359" s="64"/>
      <c r="BO359" s="64"/>
      <c r="BP359" s="64"/>
      <c r="BQ359" s="64"/>
      <c r="BR359" s="64"/>
    </row>
    <row r="360" ht="18.75" customHeight="1">
      <c r="G360" s="122"/>
      <c r="H360" s="64"/>
      <c r="L360" s="64"/>
      <c r="M360" s="64"/>
      <c r="N360" s="64"/>
      <c r="O360" s="64"/>
      <c r="P360" s="64"/>
      <c r="Q360" s="64"/>
      <c r="R360" s="64"/>
      <c r="S360" s="64"/>
      <c r="T360" s="64"/>
      <c r="U360" s="64"/>
      <c r="V360" s="64"/>
      <c r="W360" s="64"/>
      <c r="X360" s="64"/>
      <c r="Y360" s="64"/>
      <c r="BH360" s="64"/>
      <c r="BI360" s="64"/>
      <c r="BJ360" s="64"/>
      <c r="BK360" s="64"/>
      <c r="BL360" s="64"/>
      <c r="BM360" s="64"/>
      <c r="BN360" s="64"/>
      <c r="BO360" s="64"/>
      <c r="BP360" s="64"/>
      <c r="BQ360" s="64"/>
      <c r="BR360" s="64"/>
    </row>
    <row r="361" ht="18.75" customHeight="1">
      <c r="G361" s="122"/>
      <c r="H361" s="64"/>
      <c r="L361" s="64"/>
      <c r="M361" s="64"/>
      <c r="N361" s="64"/>
      <c r="O361" s="64"/>
      <c r="P361" s="64"/>
      <c r="Q361" s="64"/>
      <c r="R361" s="64"/>
      <c r="S361" s="64"/>
      <c r="T361" s="64"/>
      <c r="U361" s="64"/>
      <c r="V361" s="64"/>
      <c r="W361" s="64"/>
      <c r="X361" s="64"/>
      <c r="Y361" s="64"/>
      <c r="BH361" s="64"/>
      <c r="BI361" s="64"/>
      <c r="BJ361" s="64"/>
      <c r="BK361" s="64"/>
      <c r="BL361" s="64"/>
      <c r="BM361" s="64"/>
      <c r="BN361" s="64"/>
      <c r="BO361" s="64"/>
      <c r="BP361" s="64"/>
      <c r="BQ361" s="64"/>
      <c r="BR361" s="64"/>
    </row>
    <row r="362" ht="18.75" customHeight="1">
      <c r="G362" s="122"/>
      <c r="H362" s="64"/>
      <c r="L362" s="64"/>
      <c r="M362" s="64"/>
      <c r="N362" s="64"/>
      <c r="O362" s="64"/>
      <c r="P362" s="64"/>
      <c r="Q362" s="64"/>
      <c r="R362" s="64"/>
      <c r="S362" s="64"/>
      <c r="T362" s="64"/>
      <c r="U362" s="64"/>
      <c r="V362" s="64"/>
      <c r="W362" s="64"/>
      <c r="X362" s="64"/>
      <c r="Y362" s="64"/>
      <c r="BH362" s="64"/>
      <c r="BI362" s="64"/>
      <c r="BJ362" s="64"/>
      <c r="BK362" s="64"/>
      <c r="BL362" s="64"/>
      <c r="BM362" s="64"/>
      <c r="BN362" s="64"/>
      <c r="BO362" s="64"/>
      <c r="BP362" s="64"/>
      <c r="BQ362" s="64"/>
      <c r="BR362" s="64"/>
    </row>
    <row r="363" ht="18.75" customHeight="1">
      <c r="G363" s="122"/>
      <c r="H363" s="64"/>
      <c r="L363" s="64"/>
      <c r="M363" s="64"/>
      <c r="N363" s="64"/>
      <c r="O363" s="64"/>
      <c r="P363" s="64"/>
      <c r="Q363" s="64"/>
      <c r="R363" s="64"/>
      <c r="S363" s="64"/>
      <c r="T363" s="64"/>
      <c r="U363" s="64"/>
      <c r="V363" s="64"/>
      <c r="W363" s="64"/>
      <c r="X363" s="64"/>
      <c r="Y363" s="64"/>
      <c r="BH363" s="64"/>
      <c r="BI363" s="64"/>
      <c r="BJ363" s="64"/>
      <c r="BK363" s="64"/>
      <c r="BL363" s="64"/>
      <c r="BM363" s="64"/>
      <c r="BN363" s="64"/>
      <c r="BO363" s="64"/>
      <c r="BP363" s="64"/>
      <c r="BQ363" s="64"/>
      <c r="BR363" s="64"/>
    </row>
    <row r="364" ht="18.75" customHeight="1">
      <c r="G364" s="122"/>
      <c r="H364" s="64"/>
      <c r="L364" s="64"/>
      <c r="M364" s="64"/>
      <c r="N364" s="64"/>
      <c r="O364" s="64"/>
      <c r="P364" s="64"/>
      <c r="Q364" s="64"/>
      <c r="R364" s="64"/>
      <c r="S364" s="64"/>
      <c r="T364" s="64"/>
      <c r="U364" s="64"/>
      <c r="V364" s="64"/>
      <c r="W364" s="64"/>
      <c r="X364" s="64"/>
      <c r="Y364" s="64"/>
      <c r="BH364" s="64"/>
      <c r="BI364" s="64"/>
      <c r="BJ364" s="64"/>
      <c r="BK364" s="64"/>
      <c r="BL364" s="64"/>
      <c r="BM364" s="64"/>
      <c r="BN364" s="64"/>
      <c r="BO364" s="64"/>
      <c r="BP364" s="64"/>
      <c r="BQ364" s="64"/>
      <c r="BR364" s="64"/>
    </row>
    <row r="365" ht="18.75" customHeight="1">
      <c r="G365" s="122"/>
      <c r="H365" s="64"/>
      <c r="L365" s="64"/>
      <c r="M365" s="64"/>
      <c r="N365" s="64"/>
      <c r="O365" s="64"/>
      <c r="P365" s="64"/>
      <c r="Q365" s="64"/>
      <c r="R365" s="64"/>
      <c r="S365" s="64"/>
      <c r="T365" s="64"/>
      <c r="U365" s="64"/>
      <c r="V365" s="64"/>
      <c r="W365" s="64"/>
      <c r="X365" s="64"/>
      <c r="Y365" s="64"/>
      <c r="BH365" s="64"/>
      <c r="BI365" s="64"/>
      <c r="BJ365" s="64"/>
      <c r="BK365" s="64"/>
      <c r="BL365" s="64"/>
      <c r="BM365" s="64"/>
      <c r="BN365" s="64"/>
      <c r="BO365" s="64"/>
      <c r="BP365" s="64"/>
      <c r="BQ365" s="64"/>
      <c r="BR365" s="64"/>
    </row>
    <row r="366" ht="18.75" customHeight="1">
      <c r="G366" s="122"/>
      <c r="H366" s="64"/>
      <c r="L366" s="64"/>
      <c r="M366" s="64"/>
      <c r="N366" s="64"/>
      <c r="O366" s="64"/>
      <c r="P366" s="64"/>
      <c r="Q366" s="64"/>
      <c r="R366" s="64"/>
      <c r="S366" s="64"/>
      <c r="T366" s="64"/>
      <c r="U366" s="64"/>
      <c r="V366" s="64"/>
      <c r="W366" s="64"/>
      <c r="X366" s="64"/>
      <c r="Y366" s="64"/>
      <c r="BH366" s="64"/>
      <c r="BI366" s="64"/>
      <c r="BJ366" s="64"/>
      <c r="BK366" s="64"/>
      <c r="BL366" s="64"/>
      <c r="BM366" s="64"/>
      <c r="BN366" s="64"/>
      <c r="BO366" s="64"/>
      <c r="BP366" s="64"/>
      <c r="BQ366" s="64"/>
      <c r="BR366" s="64"/>
    </row>
    <row r="367" ht="18.75" customHeight="1">
      <c r="G367" s="122"/>
      <c r="H367" s="64"/>
      <c r="L367" s="64"/>
      <c r="M367" s="64"/>
      <c r="N367" s="64"/>
      <c r="O367" s="64"/>
      <c r="P367" s="64"/>
      <c r="Q367" s="64"/>
      <c r="R367" s="64"/>
      <c r="S367" s="64"/>
      <c r="T367" s="64"/>
      <c r="U367" s="64"/>
      <c r="V367" s="64"/>
      <c r="W367" s="64"/>
      <c r="X367" s="64"/>
      <c r="Y367" s="64"/>
      <c r="BH367" s="64"/>
      <c r="BI367" s="64"/>
      <c r="BJ367" s="64"/>
      <c r="BK367" s="64"/>
      <c r="BL367" s="64"/>
      <c r="BM367" s="64"/>
      <c r="BN367" s="64"/>
      <c r="BO367" s="64"/>
      <c r="BP367" s="64"/>
      <c r="BQ367" s="64"/>
      <c r="BR367" s="64"/>
    </row>
    <row r="368" ht="18.75" customHeight="1">
      <c r="G368" s="122"/>
      <c r="H368" s="64"/>
      <c r="L368" s="64"/>
      <c r="M368" s="64"/>
      <c r="N368" s="64"/>
      <c r="O368" s="64"/>
      <c r="P368" s="64"/>
      <c r="Q368" s="64"/>
      <c r="R368" s="64"/>
      <c r="S368" s="64"/>
      <c r="T368" s="64"/>
      <c r="U368" s="64"/>
      <c r="V368" s="64"/>
      <c r="W368" s="64"/>
      <c r="X368" s="64"/>
      <c r="Y368" s="64"/>
      <c r="BH368" s="64"/>
      <c r="BI368" s="64"/>
      <c r="BJ368" s="64"/>
      <c r="BK368" s="64"/>
      <c r="BL368" s="64"/>
      <c r="BM368" s="64"/>
      <c r="BN368" s="64"/>
      <c r="BO368" s="64"/>
      <c r="BP368" s="64"/>
      <c r="BQ368" s="64"/>
      <c r="BR368" s="64"/>
    </row>
    <row r="369" ht="18.75" customHeight="1">
      <c r="G369" s="122"/>
      <c r="H369" s="64"/>
      <c r="L369" s="64"/>
      <c r="M369" s="64"/>
      <c r="N369" s="64"/>
      <c r="O369" s="64"/>
      <c r="P369" s="64"/>
      <c r="Q369" s="64"/>
      <c r="R369" s="64"/>
      <c r="S369" s="64"/>
      <c r="T369" s="64"/>
      <c r="U369" s="64"/>
      <c r="V369" s="64"/>
      <c r="W369" s="64"/>
      <c r="X369" s="64"/>
      <c r="Y369" s="64"/>
      <c r="BH369" s="64"/>
      <c r="BI369" s="64"/>
      <c r="BJ369" s="64"/>
      <c r="BK369" s="64"/>
      <c r="BL369" s="64"/>
      <c r="BM369" s="64"/>
      <c r="BN369" s="64"/>
      <c r="BO369" s="64"/>
      <c r="BP369" s="64"/>
      <c r="BQ369" s="64"/>
      <c r="BR369" s="64"/>
    </row>
    <row r="370" ht="18.75" customHeight="1">
      <c r="G370" s="122"/>
      <c r="H370" s="64"/>
      <c r="L370" s="64"/>
      <c r="M370" s="64"/>
      <c r="N370" s="64"/>
      <c r="O370" s="64"/>
      <c r="P370" s="64"/>
      <c r="Q370" s="64"/>
      <c r="R370" s="64"/>
      <c r="S370" s="64"/>
      <c r="T370" s="64"/>
      <c r="U370" s="64"/>
      <c r="V370" s="64"/>
      <c r="W370" s="64"/>
      <c r="X370" s="64"/>
      <c r="Y370" s="64"/>
      <c r="BH370" s="64"/>
      <c r="BI370" s="64"/>
      <c r="BJ370" s="64"/>
      <c r="BK370" s="64"/>
      <c r="BL370" s="64"/>
      <c r="BM370" s="64"/>
      <c r="BN370" s="64"/>
      <c r="BO370" s="64"/>
      <c r="BP370" s="64"/>
      <c r="BQ370" s="64"/>
      <c r="BR370" s="64"/>
    </row>
    <row r="371" ht="18.75" customHeight="1">
      <c r="G371" s="122"/>
      <c r="H371" s="64"/>
      <c r="L371" s="64"/>
      <c r="M371" s="64"/>
      <c r="N371" s="64"/>
      <c r="O371" s="64"/>
      <c r="P371" s="64"/>
      <c r="Q371" s="64"/>
      <c r="R371" s="64"/>
      <c r="S371" s="64"/>
      <c r="T371" s="64"/>
      <c r="U371" s="64"/>
      <c r="V371" s="64"/>
      <c r="W371" s="64"/>
      <c r="X371" s="64"/>
      <c r="Y371" s="64"/>
      <c r="BH371" s="64"/>
      <c r="BI371" s="64"/>
      <c r="BJ371" s="64"/>
      <c r="BK371" s="64"/>
      <c r="BL371" s="64"/>
      <c r="BM371" s="64"/>
      <c r="BN371" s="64"/>
      <c r="BO371" s="64"/>
      <c r="BP371" s="64"/>
      <c r="BQ371" s="64"/>
      <c r="BR371" s="64"/>
    </row>
    <row r="372" ht="18.75" customHeight="1">
      <c r="G372" s="122"/>
      <c r="H372" s="64"/>
      <c r="L372" s="64"/>
      <c r="M372" s="64"/>
      <c r="N372" s="64"/>
      <c r="O372" s="64"/>
      <c r="P372" s="64"/>
      <c r="Q372" s="64"/>
      <c r="R372" s="64"/>
      <c r="S372" s="64"/>
      <c r="T372" s="64"/>
      <c r="U372" s="64"/>
      <c r="V372" s="64"/>
      <c r="W372" s="64"/>
      <c r="X372" s="64"/>
      <c r="Y372" s="64"/>
      <c r="BH372" s="64"/>
      <c r="BI372" s="64"/>
      <c r="BJ372" s="64"/>
      <c r="BK372" s="64"/>
      <c r="BL372" s="64"/>
      <c r="BM372" s="64"/>
      <c r="BN372" s="64"/>
      <c r="BO372" s="64"/>
      <c r="BP372" s="64"/>
      <c r="BQ372" s="64"/>
      <c r="BR372" s="64"/>
    </row>
    <row r="373" ht="18.75" customHeight="1">
      <c r="G373" s="122"/>
      <c r="H373" s="64"/>
      <c r="L373" s="64"/>
      <c r="M373" s="64"/>
      <c r="N373" s="64"/>
      <c r="O373" s="64"/>
      <c r="P373" s="64"/>
      <c r="Q373" s="64"/>
      <c r="R373" s="64"/>
      <c r="S373" s="64"/>
      <c r="T373" s="64"/>
      <c r="U373" s="64"/>
      <c r="V373" s="64"/>
      <c r="W373" s="64"/>
      <c r="X373" s="64"/>
      <c r="Y373" s="64"/>
      <c r="BH373" s="64"/>
      <c r="BI373" s="64"/>
      <c r="BJ373" s="64"/>
      <c r="BK373" s="64"/>
      <c r="BL373" s="64"/>
      <c r="BM373" s="64"/>
      <c r="BN373" s="64"/>
      <c r="BO373" s="64"/>
      <c r="BP373" s="64"/>
      <c r="BQ373" s="64"/>
      <c r="BR373" s="64"/>
    </row>
    <row r="374" ht="18.75" customHeight="1">
      <c r="G374" s="122"/>
      <c r="H374" s="64"/>
      <c r="L374" s="64"/>
      <c r="M374" s="64"/>
      <c r="N374" s="64"/>
      <c r="O374" s="64"/>
      <c r="P374" s="64"/>
      <c r="Q374" s="64"/>
      <c r="R374" s="64"/>
      <c r="S374" s="64"/>
      <c r="T374" s="64"/>
      <c r="U374" s="64"/>
      <c r="V374" s="64"/>
      <c r="W374" s="64"/>
      <c r="X374" s="64"/>
      <c r="Y374" s="64"/>
      <c r="BH374" s="64"/>
      <c r="BI374" s="64"/>
      <c r="BJ374" s="64"/>
      <c r="BK374" s="64"/>
      <c r="BL374" s="64"/>
      <c r="BM374" s="64"/>
      <c r="BN374" s="64"/>
      <c r="BO374" s="64"/>
      <c r="BP374" s="64"/>
      <c r="BQ374" s="64"/>
      <c r="BR374" s="64"/>
    </row>
    <row r="375" ht="18.75" customHeight="1">
      <c r="G375" s="122"/>
      <c r="H375" s="64"/>
      <c r="L375" s="64"/>
      <c r="M375" s="64"/>
      <c r="N375" s="64"/>
      <c r="O375" s="64"/>
      <c r="P375" s="64"/>
      <c r="Q375" s="64"/>
      <c r="R375" s="64"/>
      <c r="S375" s="64"/>
      <c r="T375" s="64"/>
      <c r="U375" s="64"/>
      <c r="V375" s="64"/>
      <c r="W375" s="64"/>
      <c r="X375" s="64"/>
      <c r="Y375" s="64"/>
      <c r="BH375" s="64"/>
      <c r="BI375" s="64"/>
      <c r="BJ375" s="64"/>
      <c r="BK375" s="64"/>
      <c r="BL375" s="64"/>
      <c r="BM375" s="64"/>
      <c r="BN375" s="64"/>
      <c r="BO375" s="64"/>
      <c r="BP375" s="64"/>
      <c r="BQ375" s="64"/>
      <c r="BR375" s="64"/>
    </row>
    <row r="376" ht="18.75" customHeight="1">
      <c r="G376" s="122"/>
      <c r="H376" s="64"/>
      <c r="L376" s="64"/>
      <c r="M376" s="64"/>
      <c r="N376" s="64"/>
      <c r="O376" s="64"/>
      <c r="P376" s="64"/>
      <c r="Q376" s="64"/>
      <c r="R376" s="64"/>
      <c r="S376" s="64"/>
      <c r="T376" s="64"/>
      <c r="U376" s="64"/>
      <c r="V376" s="64"/>
      <c r="W376" s="64"/>
      <c r="X376" s="64"/>
      <c r="Y376" s="64"/>
      <c r="BH376" s="64"/>
      <c r="BI376" s="64"/>
      <c r="BJ376" s="64"/>
      <c r="BK376" s="64"/>
      <c r="BL376" s="64"/>
      <c r="BM376" s="64"/>
      <c r="BN376" s="64"/>
      <c r="BO376" s="64"/>
      <c r="BP376" s="64"/>
      <c r="BQ376" s="64"/>
      <c r="BR376" s="64"/>
    </row>
    <row r="377" ht="18.75" customHeight="1">
      <c r="G377" s="122"/>
      <c r="H377" s="64"/>
      <c r="L377" s="64"/>
      <c r="M377" s="64"/>
      <c r="N377" s="64"/>
      <c r="O377" s="64"/>
      <c r="P377" s="64"/>
      <c r="Q377" s="64"/>
      <c r="R377" s="64"/>
      <c r="S377" s="64"/>
      <c r="T377" s="64"/>
      <c r="U377" s="64"/>
      <c r="V377" s="64"/>
      <c r="W377" s="64"/>
      <c r="X377" s="64"/>
      <c r="Y377" s="64"/>
      <c r="BH377" s="64"/>
      <c r="BI377" s="64"/>
      <c r="BJ377" s="64"/>
      <c r="BK377" s="64"/>
      <c r="BL377" s="64"/>
      <c r="BM377" s="64"/>
      <c r="BN377" s="64"/>
      <c r="BO377" s="64"/>
      <c r="BP377" s="64"/>
      <c r="BQ377" s="64"/>
      <c r="BR377" s="64"/>
    </row>
    <row r="378" ht="18.75" customHeight="1">
      <c r="G378" s="122"/>
      <c r="H378" s="64"/>
      <c r="L378" s="64"/>
      <c r="M378" s="64"/>
      <c r="N378" s="64"/>
      <c r="O378" s="64"/>
      <c r="P378" s="64"/>
      <c r="Q378" s="64"/>
      <c r="R378" s="64"/>
      <c r="S378" s="64"/>
      <c r="T378" s="64"/>
      <c r="U378" s="64"/>
      <c r="V378" s="64"/>
      <c r="W378" s="64"/>
      <c r="X378" s="64"/>
      <c r="Y378" s="64"/>
      <c r="BH378" s="64"/>
      <c r="BI378" s="64"/>
      <c r="BJ378" s="64"/>
      <c r="BK378" s="64"/>
      <c r="BL378" s="64"/>
      <c r="BM378" s="64"/>
      <c r="BN378" s="64"/>
      <c r="BO378" s="64"/>
      <c r="BP378" s="64"/>
      <c r="BQ378" s="64"/>
      <c r="BR378" s="64"/>
    </row>
    <row r="379" ht="18.75" customHeight="1">
      <c r="G379" s="122"/>
      <c r="H379" s="64"/>
      <c r="L379" s="64"/>
      <c r="M379" s="64"/>
      <c r="N379" s="64"/>
      <c r="O379" s="64"/>
      <c r="P379" s="64"/>
      <c r="Q379" s="64"/>
      <c r="R379" s="64"/>
      <c r="S379" s="64"/>
      <c r="T379" s="64"/>
      <c r="U379" s="64"/>
      <c r="V379" s="64"/>
      <c r="W379" s="64"/>
      <c r="X379" s="64"/>
      <c r="Y379" s="64"/>
      <c r="BH379" s="64"/>
      <c r="BI379" s="64"/>
      <c r="BJ379" s="64"/>
      <c r="BK379" s="64"/>
      <c r="BL379" s="64"/>
      <c r="BM379" s="64"/>
      <c r="BN379" s="64"/>
      <c r="BO379" s="64"/>
      <c r="BP379" s="64"/>
      <c r="BQ379" s="64"/>
      <c r="BR379" s="64"/>
    </row>
    <row r="380" ht="18.75" customHeight="1">
      <c r="G380" s="122"/>
      <c r="H380" s="64"/>
      <c r="L380" s="64"/>
      <c r="M380" s="64"/>
      <c r="N380" s="64"/>
      <c r="O380" s="64"/>
      <c r="P380" s="64"/>
      <c r="Q380" s="64"/>
      <c r="R380" s="64"/>
      <c r="S380" s="64"/>
      <c r="T380" s="64"/>
      <c r="U380" s="64"/>
      <c r="V380" s="64"/>
      <c r="W380" s="64"/>
      <c r="X380" s="64"/>
      <c r="Y380" s="64"/>
      <c r="BH380" s="64"/>
      <c r="BI380" s="64"/>
      <c r="BJ380" s="64"/>
      <c r="BK380" s="64"/>
      <c r="BL380" s="64"/>
      <c r="BM380" s="64"/>
      <c r="BN380" s="64"/>
      <c r="BO380" s="64"/>
      <c r="BP380" s="64"/>
      <c r="BQ380" s="64"/>
      <c r="BR380" s="64"/>
    </row>
    <row r="381" ht="18.75" customHeight="1">
      <c r="G381" s="122"/>
      <c r="H381" s="64"/>
      <c r="L381" s="64"/>
      <c r="M381" s="64"/>
      <c r="N381" s="64"/>
      <c r="O381" s="64"/>
      <c r="P381" s="64"/>
      <c r="Q381" s="64"/>
      <c r="R381" s="64"/>
      <c r="S381" s="64"/>
      <c r="T381" s="64"/>
      <c r="U381" s="64"/>
      <c r="V381" s="64"/>
      <c r="W381" s="64"/>
      <c r="X381" s="64"/>
      <c r="Y381" s="64"/>
      <c r="BH381" s="64"/>
      <c r="BI381" s="64"/>
      <c r="BJ381" s="64"/>
      <c r="BK381" s="64"/>
      <c r="BL381" s="64"/>
      <c r="BM381" s="64"/>
      <c r="BN381" s="64"/>
      <c r="BO381" s="64"/>
      <c r="BP381" s="64"/>
      <c r="BQ381" s="64"/>
      <c r="BR381" s="64"/>
    </row>
    <row r="382" ht="18.75" customHeight="1">
      <c r="G382" s="122"/>
      <c r="H382" s="64"/>
      <c r="L382" s="64"/>
      <c r="M382" s="64"/>
      <c r="N382" s="64"/>
      <c r="O382" s="64"/>
      <c r="P382" s="64"/>
      <c r="Q382" s="64"/>
      <c r="R382" s="64"/>
      <c r="S382" s="64"/>
      <c r="T382" s="64"/>
      <c r="U382" s="64"/>
      <c r="V382" s="64"/>
      <c r="W382" s="64"/>
      <c r="X382" s="64"/>
      <c r="Y382" s="64"/>
      <c r="BH382" s="64"/>
      <c r="BI382" s="64"/>
      <c r="BJ382" s="64"/>
      <c r="BK382" s="64"/>
      <c r="BL382" s="64"/>
      <c r="BM382" s="64"/>
      <c r="BN382" s="64"/>
      <c r="BO382" s="64"/>
      <c r="BP382" s="64"/>
      <c r="BQ382" s="64"/>
      <c r="BR382" s="64"/>
    </row>
    <row r="383" ht="18.75" customHeight="1">
      <c r="G383" s="122"/>
      <c r="H383" s="64"/>
      <c r="L383" s="64"/>
      <c r="M383" s="64"/>
      <c r="N383" s="64"/>
      <c r="O383" s="64"/>
      <c r="P383" s="64"/>
      <c r="Q383" s="64"/>
      <c r="R383" s="64"/>
      <c r="S383" s="64"/>
      <c r="T383" s="64"/>
      <c r="U383" s="64"/>
      <c r="V383" s="64"/>
      <c r="W383" s="64"/>
      <c r="X383" s="64"/>
      <c r="Y383" s="64"/>
      <c r="BH383" s="64"/>
      <c r="BI383" s="64"/>
      <c r="BJ383" s="64"/>
      <c r="BK383" s="64"/>
      <c r="BL383" s="64"/>
      <c r="BM383" s="64"/>
      <c r="BN383" s="64"/>
      <c r="BO383" s="64"/>
      <c r="BP383" s="64"/>
      <c r="BQ383" s="64"/>
      <c r="BR383" s="64"/>
    </row>
    <row r="384" ht="18.75" customHeight="1">
      <c r="G384" s="122"/>
      <c r="H384" s="64"/>
      <c r="L384" s="64"/>
      <c r="M384" s="64"/>
      <c r="N384" s="64"/>
      <c r="O384" s="64"/>
      <c r="P384" s="64"/>
      <c r="Q384" s="64"/>
      <c r="R384" s="64"/>
      <c r="S384" s="64"/>
      <c r="T384" s="64"/>
      <c r="U384" s="64"/>
      <c r="V384" s="64"/>
      <c r="W384" s="64"/>
      <c r="X384" s="64"/>
      <c r="Y384" s="64"/>
      <c r="BH384" s="64"/>
      <c r="BI384" s="64"/>
      <c r="BJ384" s="64"/>
      <c r="BK384" s="64"/>
      <c r="BL384" s="64"/>
      <c r="BM384" s="64"/>
      <c r="BN384" s="64"/>
      <c r="BO384" s="64"/>
      <c r="BP384" s="64"/>
      <c r="BQ384" s="64"/>
      <c r="BR384" s="64"/>
    </row>
    <row r="385" ht="18.75" customHeight="1">
      <c r="G385" s="122"/>
      <c r="H385" s="64"/>
      <c r="L385" s="64"/>
      <c r="M385" s="64"/>
      <c r="N385" s="64"/>
      <c r="O385" s="64"/>
      <c r="P385" s="64"/>
      <c r="Q385" s="64"/>
      <c r="R385" s="64"/>
      <c r="S385" s="64"/>
      <c r="T385" s="64"/>
      <c r="U385" s="64"/>
      <c r="V385" s="64"/>
      <c r="W385" s="64"/>
      <c r="X385" s="64"/>
      <c r="Y385" s="64"/>
      <c r="BH385" s="64"/>
      <c r="BI385" s="64"/>
      <c r="BJ385" s="64"/>
      <c r="BK385" s="64"/>
      <c r="BL385" s="64"/>
      <c r="BM385" s="64"/>
      <c r="BN385" s="64"/>
      <c r="BO385" s="64"/>
      <c r="BP385" s="64"/>
      <c r="BQ385" s="64"/>
      <c r="BR385" s="64"/>
    </row>
    <row r="386" ht="18.75" customHeight="1">
      <c r="G386" s="122"/>
      <c r="H386" s="64"/>
      <c r="L386" s="64"/>
      <c r="M386" s="64"/>
      <c r="N386" s="64"/>
      <c r="O386" s="64"/>
      <c r="P386" s="64"/>
      <c r="Q386" s="64"/>
      <c r="R386" s="64"/>
      <c r="S386" s="64"/>
      <c r="T386" s="64"/>
      <c r="U386" s="64"/>
      <c r="V386" s="64"/>
      <c r="W386" s="64"/>
      <c r="X386" s="64"/>
      <c r="Y386" s="64"/>
      <c r="BH386" s="64"/>
      <c r="BI386" s="64"/>
      <c r="BJ386" s="64"/>
      <c r="BK386" s="64"/>
      <c r="BL386" s="64"/>
      <c r="BM386" s="64"/>
      <c r="BN386" s="64"/>
      <c r="BO386" s="64"/>
      <c r="BP386" s="64"/>
      <c r="BQ386" s="64"/>
      <c r="BR386" s="64"/>
    </row>
    <row r="387" ht="18.75" customHeight="1">
      <c r="G387" s="122"/>
      <c r="H387" s="64"/>
      <c r="L387" s="64"/>
      <c r="M387" s="64"/>
      <c r="N387" s="64"/>
      <c r="O387" s="64"/>
      <c r="P387" s="64"/>
      <c r="Q387" s="64"/>
      <c r="R387" s="64"/>
      <c r="S387" s="64"/>
      <c r="T387" s="64"/>
      <c r="U387" s="64"/>
      <c r="V387" s="64"/>
      <c r="W387" s="64"/>
      <c r="X387" s="64"/>
      <c r="Y387" s="64"/>
      <c r="BH387" s="64"/>
      <c r="BI387" s="64"/>
      <c r="BJ387" s="64"/>
      <c r="BK387" s="64"/>
      <c r="BL387" s="64"/>
      <c r="BM387" s="64"/>
      <c r="BN387" s="64"/>
      <c r="BO387" s="64"/>
      <c r="BP387" s="64"/>
      <c r="BQ387" s="64"/>
      <c r="BR387" s="64"/>
    </row>
    <row r="388" ht="18.75" customHeight="1">
      <c r="G388" s="122"/>
      <c r="H388" s="64"/>
      <c r="L388" s="64"/>
      <c r="M388" s="64"/>
      <c r="N388" s="64"/>
      <c r="O388" s="64"/>
      <c r="P388" s="64"/>
      <c r="Q388" s="64"/>
      <c r="R388" s="64"/>
      <c r="S388" s="64"/>
      <c r="T388" s="64"/>
      <c r="U388" s="64"/>
      <c r="V388" s="64"/>
      <c r="W388" s="64"/>
      <c r="X388" s="64"/>
      <c r="Y388" s="64"/>
      <c r="BH388" s="64"/>
      <c r="BI388" s="64"/>
      <c r="BJ388" s="64"/>
      <c r="BK388" s="64"/>
      <c r="BL388" s="64"/>
      <c r="BM388" s="64"/>
      <c r="BN388" s="64"/>
      <c r="BO388" s="64"/>
      <c r="BP388" s="64"/>
      <c r="BQ388" s="64"/>
      <c r="BR388" s="64"/>
    </row>
    <row r="389" ht="18.75" customHeight="1">
      <c r="G389" s="122"/>
      <c r="H389" s="64"/>
      <c r="L389" s="64"/>
      <c r="M389" s="64"/>
      <c r="N389" s="64"/>
      <c r="O389" s="64"/>
      <c r="P389" s="64"/>
      <c r="Q389" s="64"/>
      <c r="R389" s="64"/>
      <c r="S389" s="64"/>
      <c r="T389" s="64"/>
      <c r="U389" s="64"/>
      <c r="V389" s="64"/>
      <c r="W389" s="64"/>
      <c r="X389" s="64"/>
      <c r="Y389" s="64"/>
      <c r="BH389" s="64"/>
      <c r="BI389" s="64"/>
      <c r="BJ389" s="64"/>
      <c r="BK389" s="64"/>
      <c r="BL389" s="64"/>
      <c r="BM389" s="64"/>
      <c r="BN389" s="64"/>
      <c r="BO389" s="64"/>
      <c r="BP389" s="64"/>
      <c r="BQ389" s="64"/>
      <c r="BR389" s="64"/>
    </row>
    <row r="390" ht="18.75" customHeight="1">
      <c r="G390" s="122"/>
      <c r="H390" s="64"/>
      <c r="L390" s="64"/>
      <c r="M390" s="64"/>
      <c r="N390" s="64"/>
      <c r="O390" s="64"/>
      <c r="P390" s="64"/>
      <c r="Q390" s="64"/>
      <c r="R390" s="64"/>
      <c r="S390" s="64"/>
      <c r="T390" s="64"/>
      <c r="U390" s="64"/>
      <c r="V390" s="64"/>
      <c r="W390" s="64"/>
      <c r="X390" s="64"/>
      <c r="Y390" s="64"/>
      <c r="BH390" s="64"/>
      <c r="BI390" s="64"/>
      <c r="BJ390" s="64"/>
      <c r="BK390" s="64"/>
      <c r="BL390" s="64"/>
      <c r="BM390" s="64"/>
      <c r="BN390" s="64"/>
      <c r="BO390" s="64"/>
      <c r="BP390" s="64"/>
      <c r="BQ390" s="64"/>
      <c r="BR390" s="64"/>
    </row>
    <row r="391" ht="18.75" customHeight="1">
      <c r="G391" s="122"/>
      <c r="H391" s="64"/>
      <c r="L391" s="64"/>
      <c r="M391" s="64"/>
      <c r="N391" s="64"/>
      <c r="O391" s="64"/>
      <c r="P391" s="64"/>
      <c r="Q391" s="64"/>
      <c r="R391" s="64"/>
      <c r="S391" s="64"/>
      <c r="T391" s="64"/>
      <c r="U391" s="64"/>
      <c r="V391" s="64"/>
      <c r="W391" s="64"/>
      <c r="X391" s="64"/>
      <c r="Y391" s="64"/>
      <c r="BH391" s="64"/>
      <c r="BI391" s="64"/>
      <c r="BJ391" s="64"/>
      <c r="BK391" s="64"/>
      <c r="BL391" s="64"/>
      <c r="BM391" s="64"/>
      <c r="BN391" s="64"/>
      <c r="BO391" s="64"/>
      <c r="BP391" s="64"/>
      <c r="BQ391" s="64"/>
      <c r="BR391" s="64"/>
    </row>
    <row r="392" ht="18.75" customHeight="1">
      <c r="G392" s="122"/>
      <c r="H392" s="64"/>
      <c r="L392" s="64"/>
      <c r="M392" s="64"/>
      <c r="N392" s="64"/>
      <c r="O392" s="64"/>
      <c r="P392" s="64"/>
      <c r="Q392" s="64"/>
      <c r="R392" s="64"/>
      <c r="S392" s="64"/>
      <c r="T392" s="64"/>
      <c r="U392" s="64"/>
      <c r="V392" s="64"/>
      <c r="W392" s="64"/>
      <c r="X392" s="64"/>
      <c r="Y392" s="64"/>
      <c r="BH392" s="64"/>
      <c r="BI392" s="64"/>
      <c r="BJ392" s="64"/>
      <c r="BK392" s="64"/>
      <c r="BL392" s="64"/>
      <c r="BM392" s="64"/>
      <c r="BN392" s="64"/>
      <c r="BO392" s="64"/>
      <c r="BP392" s="64"/>
      <c r="BQ392" s="64"/>
      <c r="BR392" s="64"/>
    </row>
    <row r="393" ht="18.75" customHeight="1">
      <c r="G393" s="122"/>
      <c r="H393" s="64"/>
      <c r="L393" s="64"/>
      <c r="M393" s="64"/>
      <c r="N393" s="64"/>
      <c r="O393" s="64"/>
      <c r="P393" s="64"/>
      <c r="Q393" s="64"/>
      <c r="R393" s="64"/>
      <c r="S393" s="64"/>
      <c r="T393" s="64"/>
      <c r="U393" s="64"/>
      <c r="V393" s="64"/>
      <c r="W393" s="64"/>
      <c r="X393" s="64"/>
      <c r="Y393" s="64"/>
      <c r="BH393" s="64"/>
      <c r="BI393" s="64"/>
      <c r="BJ393" s="64"/>
      <c r="BK393" s="64"/>
      <c r="BL393" s="64"/>
      <c r="BM393" s="64"/>
      <c r="BN393" s="64"/>
      <c r="BO393" s="64"/>
      <c r="BP393" s="64"/>
      <c r="BQ393" s="64"/>
      <c r="BR393" s="64"/>
    </row>
    <row r="394" ht="18.75" customHeight="1">
      <c r="G394" s="122"/>
      <c r="H394" s="64"/>
      <c r="L394" s="64"/>
      <c r="M394" s="64"/>
      <c r="N394" s="64"/>
      <c r="O394" s="64"/>
      <c r="P394" s="64"/>
      <c r="Q394" s="64"/>
      <c r="R394" s="64"/>
      <c r="S394" s="64"/>
      <c r="T394" s="64"/>
      <c r="U394" s="64"/>
      <c r="V394" s="64"/>
      <c r="W394" s="64"/>
      <c r="X394" s="64"/>
      <c r="Y394" s="64"/>
      <c r="BH394" s="64"/>
      <c r="BI394" s="64"/>
      <c r="BJ394" s="64"/>
      <c r="BK394" s="64"/>
      <c r="BL394" s="64"/>
      <c r="BM394" s="64"/>
      <c r="BN394" s="64"/>
      <c r="BO394" s="64"/>
      <c r="BP394" s="64"/>
      <c r="BQ394" s="64"/>
      <c r="BR394" s="64"/>
    </row>
    <row r="395" ht="18.75" customHeight="1">
      <c r="G395" s="122"/>
      <c r="H395" s="64"/>
      <c r="L395" s="64"/>
      <c r="M395" s="64"/>
      <c r="N395" s="64"/>
      <c r="O395" s="64"/>
      <c r="P395" s="64"/>
      <c r="Q395" s="64"/>
      <c r="R395" s="64"/>
      <c r="S395" s="64"/>
      <c r="T395" s="64"/>
      <c r="U395" s="64"/>
      <c r="V395" s="64"/>
      <c r="W395" s="64"/>
      <c r="X395" s="64"/>
      <c r="Y395" s="64"/>
      <c r="BH395" s="64"/>
      <c r="BI395" s="64"/>
      <c r="BJ395" s="64"/>
      <c r="BK395" s="64"/>
      <c r="BL395" s="64"/>
      <c r="BM395" s="64"/>
      <c r="BN395" s="64"/>
      <c r="BO395" s="64"/>
      <c r="BP395" s="64"/>
      <c r="BQ395" s="64"/>
      <c r="BR395" s="64"/>
    </row>
    <row r="396" ht="18.75" customHeight="1">
      <c r="G396" s="122"/>
      <c r="H396" s="64"/>
      <c r="L396" s="64"/>
      <c r="M396" s="64"/>
      <c r="N396" s="64"/>
      <c r="O396" s="64"/>
      <c r="P396" s="64"/>
      <c r="Q396" s="64"/>
      <c r="R396" s="64"/>
      <c r="S396" s="64"/>
      <c r="T396" s="64"/>
      <c r="U396" s="64"/>
      <c r="V396" s="64"/>
      <c r="W396" s="64"/>
      <c r="X396" s="64"/>
      <c r="Y396" s="64"/>
      <c r="BH396" s="64"/>
      <c r="BI396" s="64"/>
      <c r="BJ396" s="64"/>
      <c r="BK396" s="64"/>
      <c r="BL396" s="64"/>
      <c r="BM396" s="64"/>
      <c r="BN396" s="64"/>
      <c r="BO396" s="64"/>
      <c r="BP396" s="64"/>
      <c r="BQ396" s="64"/>
      <c r="BR396" s="64"/>
    </row>
    <row r="397" ht="18.75" customHeight="1">
      <c r="G397" s="122"/>
      <c r="H397" s="64"/>
      <c r="L397" s="64"/>
      <c r="M397" s="64"/>
      <c r="N397" s="64"/>
      <c r="O397" s="64"/>
      <c r="P397" s="64"/>
      <c r="Q397" s="64"/>
      <c r="R397" s="64"/>
      <c r="S397" s="64"/>
      <c r="T397" s="64"/>
      <c r="U397" s="64"/>
      <c r="V397" s="64"/>
      <c r="W397" s="64"/>
      <c r="X397" s="64"/>
      <c r="Y397" s="64"/>
      <c r="BH397" s="64"/>
      <c r="BI397" s="64"/>
      <c r="BJ397" s="64"/>
      <c r="BK397" s="64"/>
      <c r="BL397" s="64"/>
      <c r="BM397" s="64"/>
      <c r="BN397" s="64"/>
      <c r="BO397" s="64"/>
      <c r="BP397" s="64"/>
      <c r="BQ397" s="64"/>
      <c r="BR397" s="64"/>
    </row>
    <row r="398" ht="18.75" customHeight="1">
      <c r="G398" s="122"/>
      <c r="H398" s="64"/>
      <c r="L398" s="64"/>
      <c r="M398" s="64"/>
      <c r="N398" s="64"/>
      <c r="O398" s="64"/>
      <c r="P398" s="64"/>
      <c r="Q398" s="64"/>
      <c r="R398" s="64"/>
      <c r="S398" s="64"/>
      <c r="T398" s="64"/>
      <c r="U398" s="64"/>
      <c r="V398" s="64"/>
      <c r="W398" s="64"/>
      <c r="X398" s="64"/>
      <c r="Y398" s="64"/>
      <c r="BH398" s="64"/>
      <c r="BI398" s="64"/>
      <c r="BJ398" s="64"/>
      <c r="BK398" s="64"/>
      <c r="BL398" s="64"/>
      <c r="BM398" s="64"/>
      <c r="BN398" s="64"/>
      <c r="BO398" s="64"/>
      <c r="BP398" s="64"/>
      <c r="BQ398" s="64"/>
      <c r="BR398" s="64"/>
    </row>
    <row r="399" ht="18.75" customHeight="1">
      <c r="G399" s="122"/>
      <c r="H399" s="64"/>
      <c r="L399" s="64"/>
      <c r="M399" s="64"/>
      <c r="N399" s="64"/>
      <c r="O399" s="64"/>
      <c r="P399" s="64"/>
      <c r="Q399" s="64"/>
      <c r="R399" s="64"/>
      <c r="S399" s="64"/>
      <c r="T399" s="64"/>
      <c r="U399" s="64"/>
      <c r="V399" s="64"/>
      <c r="W399" s="64"/>
      <c r="X399" s="64"/>
      <c r="Y399" s="64"/>
      <c r="BH399" s="64"/>
      <c r="BI399" s="64"/>
      <c r="BJ399" s="64"/>
      <c r="BK399" s="64"/>
      <c r="BL399" s="64"/>
      <c r="BM399" s="64"/>
      <c r="BN399" s="64"/>
      <c r="BO399" s="64"/>
      <c r="BP399" s="64"/>
      <c r="BQ399" s="64"/>
      <c r="BR399" s="64"/>
    </row>
    <row r="400" ht="18.75" customHeight="1">
      <c r="G400" s="122"/>
      <c r="H400" s="64"/>
      <c r="L400" s="64"/>
      <c r="M400" s="64"/>
      <c r="N400" s="64"/>
      <c r="O400" s="64"/>
      <c r="P400" s="64"/>
      <c r="Q400" s="64"/>
      <c r="R400" s="64"/>
      <c r="S400" s="64"/>
      <c r="T400" s="64"/>
      <c r="U400" s="64"/>
      <c r="V400" s="64"/>
      <c r="W400" s="64"/>
      <c r="X400" s="64"/>
      <c r="Y400" s="64"/>
      <c r="BH400" s="64"/>
      <c r="BI400" s="64"/>
      <c r="BJ400" s="64"/>
      <c r="BK400" s="64"/>
      <c r="BL400" s="64"/>
      <c r="BM400" s="64"/>
      <c r="BN400" s="64"/>
      <c r="BO400" s="64"/>
      <c r="BP400" s="64"/>
      <c r="BQ400" s="64"/>
      <c r="BR400" s="64"/>
    </row>
    <row r="401" ht="18.75" customHeight="1">
      <c r="G401" s="122"/>
      <c r="H401" s="64"/>
      <c r="L401" s="64"/>
      <c r="M401" s="64"/>
      <c r="N401" s="64"/>
      <c r="O401" s="64"/>
      <c r="P401" s="64"/>
      <c r="Q401" s="64"/>
      <c r="R401" s="64"/>
      <c r="S401" s="64"/>
      <c r="T401" s="64"/>
      <c r="U401" s="64"/>
      <c r="V401" s="64"/>
      <c r="W401" s="64"/>
      <c r="X401" s="64"/>
      <c r="Y401" s="64"/>
      <c r="BH401" s="64"/>
      <c r="BI401" s="64"/>
      <c r="BJ401" s="64"/>
      <c r="BK401" s="64"/>
      <c r="BL401" s="64"/>
      <c r="BM401" s="64"/>
      <c r="BN401" s="64"/>
      <c r="BO401" s="64"/>
      <c r="BP401" s="64"/>
      <c r="BQ401" s="64"/>
      <c r="BR401" s="64"/>
    </row>
    <row r="402" ht="18.75" customHeight="1">
      <c r="G402" s="122"/>
      <c r="H402" s="64"/>
      <c r="L402" s="64"/>
      <c r="M402" s="64"/>
      <c r="N402" s="64"/>
      <c r="O402" s="64"/>
      <c r="P402" s="64"/>
      <c r="Q402" s="64"/>
      <c r="R402" s="64"/>
      <c r="S402" s="64"/>
      <c r="T402" s="64"/>
      <c r="U402" s="64"/>
      <c r="V402" s="64"/>
      <c r="W402" s="64"/>
      <c r="X402" s="64"/>
      <c r="Y402" s="64"/>
      <c r="BH402" s="64"/>
      <c r="BI402" s="64"/>
      <c r="BJ402" s="64"/>
      <c r="BK402" s="64"/>
      <c r="BL402" s="64"/>
      <c r="BM402" s="64"/>
      <c r="BN402" s="64"/>
      <c r="BO402" s="64"/>
      <c r="BP402" s="64"/>
      <c r="BQ402" s="64"/>
      <c r="BR402" s="64"/>
    </row>
    <row r="403" ht="18.75" customHeight="1">
      <c r="G403" s="122"/>
      <c r="H403" s="64"/>
      <c r="L403" s="64"/>
      <c r="M403" s="64"/>
      <c r="N403" s="64"/>
      <c r="O403" s="64"/>
      <c r="P403" s="64"/>
      <c r="Q403" s="64"/>
      <c r="R403" s="64"/>
      <c r="S403" s="64"/>
      <c r="T403" s="64"/>
      <c r="U403" s="64"/>
      <c r="V403" s="64"/>
      <c r="W403" s="64"/>
      <c r="X403" s="64"/>
      <c r="Y403" s="64"/>
      <c r="BH403" s="64"/>
      <c r="BI403" s="64"/>
      <c r="BJ403" s="64"/>
      <c r="BK403" s="64"/>
      <c r="BL403" s="64"/>
      <c r="BM403" s="64"/>
      <c r="BN403" s="64"/>
      <c r="BO403" s="64"/>
      <c r="BP403" s="64"/>
      <c r="BQ403" s="64"/>
      <c r="BR403" s="64"/>
    </row>
    <row r="404" ht="18.75" customHeight="1">
      <c r="G404" s="122"/>
      <c r="H404" s="64"/>
      <c r="L404" s="64"/>
      <c r="M404" s="64"/>
      <c r="N404" s="64"/>
      <c r="O404" s="64"/>
      <c r="P404" s="64"/>
      <c r="Q404" s="64"/>
      <c r="R404" s="64"/>
      <c r="S404" s="64"/>
      <c r="T404" s="64"/>
      <c r="U404" s="64"/>
      <c r="V404" s="64"/>
      <c r="W404" s="64"/>
      <c r="X404" s="64"/>
      <c r="Y404" s="64"/>
      <c r="BH404" s="64"/>
      <c r="BI404" s="64"/>
      <c r="BJ404" s="64"/>
      <c r="BK404" s="64"/>
      <c r="BL404" s="64"/>
      <c r="BM404" s="64"/>
      <c r="BN404" s="64"/>
      <c r="BO404" s="64"/>
      <c r="BP404" s="64"/>
      <c r="BQ404" s="64"/>
      <c r="BR404" s="64"/>
    </row>
    <row r="405" ht="18.75" customHeight="1">
      <c r="G405" s="122"/>
      <c r="H405" s="64"/>
      <c r="L405" s="64"/>
      <c r="M405" s="64"/>
      <c r="N405" s="64"/>
      <c r="O405" s="64"/>
      <c r="P405" s="64"/>
      <c r="Q405" s="64"/>
      <c r="R405" s="64"/>
      <c r="S405" s="64"/>
      <c r="T405" s="64"/>
      <c r="U405" s="64"/>
      <c r="V405" s="64"/>
      <c r="W405" s="64"/>
      <c r="X405" s="64"/>
      <c r="Y405" s="64"/>
      <c r="BH405" s="64"/>
      <c r="BI405" s="64"/>
      <c r="BJ405" s="64"/>
      <c r="BK405" s="64"/>
      <c r="BL405" s="64"/>
      <c r="BM405" s="64"/>
      <c r="BN405" s="64"/>
      <c r="BO405" s="64"/>
      <c r="BP405" s="64"/>
      <c r="BQ405" s="64"/>
      <c r="BR405" s="64"/>
    </row>
    <row r="406" ht="18.75" customHeight="1">
      <c r="G406" s="122"/>
      <c r="H406" s="64"/>
      <c r="L406" s="64"/>
      <c r="M406" s="64"/>
      <c r="N406" s="64"/>
      <c r="O406" s="64"/>
      <c r="P406" s="64"/>
      <c r="Q406" s="64"/>
      <c r="R406" s="64"/>
      <c r="S406" s="64"/>
      <c r="T406" s="64"/>
      <c r="U406" s="64"/>
      <c r="V406" s="64"/>
      <c r="W406" s="64"/>
      <c r="X406" s="64"/>
      <c r="Y406" s="64"/>
      <c r="BH406" s="64"/>
      <c r="BI406" s="64"/>
      <c r="BJ406" s="64"/>
      <c r="BK406" s="64"/>
      <c r="BL406" s="64"/>
      <c r="BM406" s="64"/>
      <c r="BN406" s="64"/>
      <c r="BO406" s="64"/>
      <c r="BP406" s="64"/>
      <c r="BQ406" s="64"/>
      <c r="BR406" s="64"/>
    </row>
    <row r="407" ht="18.75" customHeight="1">
      <c r="G407" s="122"/>
      <c r="H407" s="64"/>
      <c r="L407" s="64"/>
      <c r="M407" s="64"/>
      <c r="N407" s="64"/>
      <c r="O407" s="64"/>
      <c r="P407" s="64"/>
      <c r="Q407" s="64"/>
      <c r="R407" s="64"/>
      <c r="S407" s="64"/>
      <c r="T407" s="64"/>
      <c r="U407" s="64"/>
      <c r="V407" s="64"/>
      <c r="W407" s="64"/>
      <c r="X407" s="64"/>
      <c r="Y407" s="64"/>
      <c r="BH407" s="64"/>
      <c r="BI407" s="64"/>
      <c r="BJ407" s="64"/>
      <c r="BK407" s="64"/>
      <c r="BL407" s="64"/>
      <c r="BM407" s="64"/>
      <c r="BN407" s="64"/>
      <c r="BO407" s="64"/>
      <c r="BP407" s="64"/>
      <c r="BQ407" s="64"/>
      <c r="BR407" s="64"/>
    </row>
    <row r="408" ht="18.75" customHeight="1">
      <c r="G408" s="122"/>
      <c r="H408" s="64"/>
      <c r="L408" s="64"/>
      <c r="M408" s="64"/>
      <c r="N408" s="64"/>
      <c r="O408" s="64"/>
      <c r="P408" s="64"/>
      <c r="Q408" s="64"/>
      <c r="R408" s="64"/>
      <c r="S408" s="64"/>
      <c r="T408" s="64"/>
      <c r="U408" s="64"/>
      <c r="V408" s="64"/>
      <c r="W408" s="64"/>
      <c r="X408" s="64"/>
      <c r="Y408" s="64"/>
      <c r="BH408" s="64"/>
      <c r="BI408" s="64"/>
      <c r="BJ408" s="64"/>
      <c r="BK408" s="64"/>
      <c r="BL408" s="64"/>
      <c r="BM408" s="64"/>
      <c r="BN408" s="64"/>
      <c r="BO408" s="64"/>
      <c r="BP408" s="64"/>
      <c r="BQ408" s="64"/>
      <c r="BR408" s="64"/>
    </row>
    <row r="409" ht="18.75" customHeight="1">
      <c r="G409" s="122"/>
      <c r="H409" s="64"/>
      <c r="L409" s="64"/>
      <c r="M409" s="64"/>
      <c r="N409" s="64"/>
      <c r="O409" s="64"/>
      <c r="P409" s="64"/>
      <c r="Q409" s="64"/>
      <c r="R409" s="64"/>
      <c r="S409" s="64"/>
      <c r="T409" s="64"/>
      <c r="U409" s="64"/>
      <c r="V409" s="64"/>
      <c r="W409" s="64"/>
      <c r="X409" s="64"/>
      <c r="Y409" s="64"/>
      <c r="BH409" s="64"/>
      <c r="BI409" s="64"/>
      <c r="BJ409" s="64"/>
      <c r="BK409" s="64"/>
      <c r="BL409" s="64"/>
      <c r="BM409" s="64"/>
      <c r="BN409" s="64"/>
      <c r="BO409" s="64"/>
      <c r="BP409" s="64"/>
      <c r="BQ409" s="64"/>
      <c r="BR409" s="64"/>
    </row>
    <row r="410" ht="18.75" customHeight="1">
      <c r="G410" s="122"/>
      <c r="H410" s="64"/>
      <c r="L410" s="64"/>
      <c r="M410" s="64"/>
      <c r="N410" s="64"/>
      <c r="O410" s="64"/>
      <c r="P410" s="64"/>
      <c r="Q410" s="64"/>
      <c r="R410" s="64"/>
      <c r="S410" s="64"/>
      <c r="T410" s="64"/>
      <c r="U410" s="64"/>
      <c r="V410" s="64"/>
      <c r="W410" s="64"/>
      <c r="X410" s="64"/>
      <c r="Y410" s="64"/>
      <c r="BH410" s="64"/>
      <c r="BI410" s="64"/>
      <c r="BJ410" s="64"/>
      <c r="BK410" s="64"/>
      <c r="BL410" s="64"/>
      <c r="BM410" s="64"/>
      <c r="BN410" s="64"/>
      <c r="BO410" s="64"/>
      <c r="BP410" s="64"/>
      <c r="BQ410" s="64"/>
      <c r="BR410" s="64"/>
    </row>
    <row r="411" ht="18.75" customHeight="1">
      <c r="G411" s="122"/>
      <c r="H411" s="64"/>
      <c r="L411" s="64"/>
      <c r="M411" s="64"/>
      <c r="N411" s="64"/>
      <c r="O411" s="64"/>
      <c r="P411" s="64"/>
      <c r="Q411" s="64"/>
      <c r="R411" s="64"/>
      <c r="S411" s="64"/>
      <c r="T411" s="64"/>
      <c r="U411" s="64"/>
      <c r="V411" s="64"/>
      <c r="W411" s="64"/>
      <c r="X411" s="64"/>
      <c r="Y411" s="64"/>
      <c r="BH411" s="64"/>
      <c r="BI411" s="64"/>
      <c r="BJ411" s="64"/>
      <c r="BK411" s="64"/>
      <c r="BL411" s="64"/>
      <c r="BM411" s="64"/>
      <c r="BN411" s="64"/>
      <c r="BO411" s="64"/>
      <c r="BP411" s="64"/>
      <c r="BQ411" s="64"/>
      <c r="BR411" s="64"/>
    </row>
    <row r="412" ht="18.75" customHeight="1">
      <c r="G412" s="122"/>
      <c r="H412" s="64"/>
      <c r="L412" s="64"/>
      <c r="M412" s="64"/>
      <c r="N412" s="64"/>
      <c r="O412" s="64"/>
      <c r="P412" s="64"/>
      <c r="Q412" s="64"/>
      <c r="R412" s="64"/>
      <c r="S412" s="64"/>
      <c r="T412" s="64"/>
      <c r="U412" s="64"/>
      <c r="V412" s="64"/>
      <c r="W412" s="64"/>
      <c r="X412" s="64"/>
      <c r="Y412" s="64"/>
      <c r="BH412" s="64"/>
      <c r="BI412" s="64"/>
      <c r="BJ412" s="64"/>
      <c r="BK412" s="64"/>
      <c r="BL412" s="64"/>
      <c r="BM412" s="64"/>
      <c r="BN412" s="64"/>
      <c r="BO412" s="64"/>
      <c r="BP412" s="64"/>
      <c r="BQ412" s="64"/>
      <c r="BR412" s="64"/>
    </row>
    <row r="413" ht="18.75" customHeight="1">
      <c r="G413" s="122"/>
      <c r="H413" s="64"/>
      <c r="L413" s="64"/>
      <c r="M413" s="64"/>
      <c r="N413" s="64"/>
      <c r="O413" s="64"/>
      <c r="P413" s="64"/>
      <c r="Q413" s="64"/>
      <c r="R413" s="64"/>
      <c r="S413" s="64"/>
      <c r="T413" s="64"/>
      <c r="U413" s="64"/>
      <c r="V413" s="64"/>
      <c r="W413" s="64"/>
      <c r="X413" s="64"/>
      <c r="Y413" s="64"/>
      <c r="BH413" s="64"/>
      <c r="BI413" s="64"/>
      <c r="BJ413" s="64"/>
      <c r="BK413" s="64"/>
      <c r="BL413" s="64"/>
      <c r="BM413" s="64"/>
      <c r="BN413" s="64"/>
      <c r="BO413" s="64"/>
      <c r="BP413" s="64"/>
      <c r="BQ413" s="64"/>
      <c r="BR413" s="64"/>
    </row>
    <row r="414" ht="18.75" customHeight="1">
      <c r="G414" s="122"/>
      <c r="H414" s="64"/>
      <c r="L414" s="64"/>
      <c r="M414" s="64"/>
      <c r="N414" s="64"/>
      <c r="O414" s="64"/>
      <c r="P414" s="64"/>
      <c r="Q414" s="64"/>
      <c r="R414" s="64"/>
      <c r="S414" s="64"/>
      <c r="T414" s="64"/>
      <c r="U414" s="64"/>
      <c r="V414" s="64"/>
      <c r="W414" s="64"/>
      <c r="X414" s="64"/>
      <c r="Y414" s="64"/>
      <c r="BH414" s="64"/>
      <c r="BI414" s="64"/>
      <c r="BJ414" s="64"/>
      <c r="BK414" s="64"/>
      <c r="BL414" s="64"/>
      <c r="BM414" s="64"/>
      <c r="BN414" s="64"/>
      <c r="BO414" s="64"/>
      <c r="BP414" s="64"/>
      <c r="BQ414" s="64"/>
      <c r="BR414" s="64"/>
    </row>
    <row r="415" ht="18.75" customHeight="1">
      <c r="G415" s="122"/>
      <c r="H415" s="64"/>
      <c r="L415" s="64"/>
      <c r="M415" s="64"/>
      <c r="N415" s="64"/>
      <c r="O415" s="64"/>
      <c r="P415" s="64"/>
      <c r="Q415" s="64"/>
      <c r="R415" s="64"/>
      <c r="S415" s="64"/>
      <c r="T415" s="64"/>
      <c r="U415" s="64"/>
      <c r="V415" s="64"/>
      <c r="W415" s="64"/>
      <c r="X415" s="64"/>
      <c r="Y415" s="64"/>
      <c r="BH415" s="64"/>
      <c r="BI415" s="64"/>
      <c r="BJ415" s="64"/>
      <c r="BK415" s="64"/>
      <c r="BL415" s="64"/>
      <c r="BM415" s="64"/>
      <c r="BN415" s="64"/>
      <c r="BO415" s="64"/>
      <c r="BP415" s="64"/>
      <c r="BQ415" s="64"/>
      <c r="BR415" s="64"/>
    </row>
    <row r="416" ht="18.75" customHeight="1">
      <c r="G416" s="122"/>
      <c r="H416" s="64"/>
      <c r="L416" s="64"/>
      <c r="M416" s="64"/>
      <c r="N416" s="64"/>
      <c r="O416" s="64"/>
      <c r="P416" s="64"/>
      <c r="Q416" s="64"/>
      <c r="R416" s="64"/>
      <c r="S416" s="64"/>
      <c r="T416" s="64"/>
      <c r="U416" s="64"/>
      <c r="V416" s="64"/>
      <c r="W416" s="64"/>
      <c r="X416" s="64"/>
      <c r="Y416" s="64"/>
      <c r="BH416" s="64"/>
      <c r="BI416" s="64"/>
      <c r="BJ416" s="64"/>
      <c r="BK416" s="64"/>
      <c r="BL416" s="64"/>
      <c r="BM416" s="64"/>
      <c r="BN416" s="64"/>
      <c r="BO416" s="64"/>
      <c r="BP416" s="64"/>
      <c r="BQ416" s="64"/>
      <c r="BR416" s="64"/>
    </row>
    <row r="417" ht="18.75" customHeight="1">
      <c r="G417" s="122"/>
      <c r="H417" s="64"/>
      <c r="L417" s="64"/>
      <c r="M417" s="64"/>
      <c r="N417" s="64"/>
      <c r="O417" s="64"/>
      <c r="P417" s="64"/>
      <c r="Q417" s="64"/>
      <c r="R417" s="64"/>
      <c r="S417" s="64"/>
      <c r="T417" s="64"/>
      <c r="U417" s="64"/>
      <c r="V417" s="64"/>
      <c r="W417" s="64"/>
      <c r="X417" s="64"/>
      <c r="Y417" s="64"/>
      <c r="BH417" s="64"/>
      <c r="BI417" s="64"/>
      <c r="BJ417" s="64"/>
      <c r="BK417" s="64"/>
      <c r="BL417" s="64"/>
      <c r="BM417" s="64"/>
      <c r="BN417" s="64"/>
      <c r="BO417" s="64"/>
      <c r="BP417" s="64"/>
      <c r="BQ417" s="64"/>
      <c r="BR417" s="64"/>
    </row>
    <row r="418" ht="18.75" customHeight="1">
      <c r="G418" s="122"/>
      <c r="H418" s="64"/>
      <c r="L418" s="64"/>
      <c r="M418" s="64"/>
      <c r="N418" s="64"/>
      <c r="O418" s="64"/>
      <c r="P418" s="64"/>
      <c r="Q418" s="64"/>
      <c r="R418" s="64"/>
      <c r="S418" s="64"/>
      <c r="T418" s="64"/>
      <c r="U418" s="64"/>
      <c r="V418" s="64"/>
      <c r="W418" s="64"/>
      <c r="X418" s="64"/>
      <c r="Y418" s="64"/>
      <c r="BH418" s="64"/>
      <c r="BI418" s="64"/>
      <c r="BJ418" s="64"/>
      <c r="BK418" s="64"/>
      <c r="BL418" s="64"/>
      <c r="BM418" s="64"/>
      <c r="BN418" s="64"/>
      <c r="BO418" s="64"/>
      <c r="BP418" s="64"/>
      <c r="BQ418" s="64"/>
      <c r="BR418" s="64"/>
    </row>
    <row r="419" ht="18.75" customHeight="1">
      <c r="G419" s="122"/>
      <c r="H419" s="64"/>
      <c r="L419" s="64"/>
      <c r="M419" s="64"/>
      <c r="N419" s="64"/>
      <c r="O419" s="64"/>
      <c r="P419" s="64"/>
      <c r="Q419" s="64"/>
      <c r="R419" s="64"/>
      <c r="S419" s="64"/>
      <c r="T419" s="64"/>
      <c r="U419" s="64"/>
      <c r="V419" s="64"/>
      <c r="W419" s="64"/>
      <c r="X419" s="64"/>
      <c r="Y419" s="64"/>
      <c r="BH419" s="64"/>
      <c r="BI419" s="64"/>
      <c r="BJ419" s="64"/>
      <c r="BK419" s="64"/>
      <c r="BL419" s="64"/>
      <c r="BM419" s="64"/>
      <c r="BN419" s="64"/>
      <c r="BO419" s="64"/>
      <c r="BP419" s="64"/>
      <c r="BQ419" s="64"/>
      <c r="BR419" s="64"/>
    </row>
    <row r="420" ht="18.75" customHeight="1">
      <c r="G420" s="122"/>
      <c r="H420" s="64"/>
      <c r="L420" s="64"/>
      <c r="M420" s="64"/>
      <c r="N420" s="64"/>
      <c r="O420" s="64"/>
      <c r="P420" s="64"/>
      <c r="Q420" s="64"/>
      <c r="R420" s="64"/>
      <c r="S420" s="64"/>
      <c r="T420" s="64"/>
      <c r="U420" s="64"/>
      <c r="V420" s="64"/>
      <c r="W420" s="64"/>
      <c r="X420" s="64"/>
      <c r="Y420" s="64"/>
      <c r="BH420" s="64"/>
      <c r="BI420" s="64"/>
      <c r="BJ420" s="64"/>
      <c r="BK420" s="64"/>
      <c r="BL420" s="64"/>
      <c r="BM420" s="64"/>
      <c r="BN420" s="64"/>
      <c r="BO420" s="64"/>
      <c r="BP420" s="64"/>
      <c r="BQ420" s="64"/>
      <c r="BR420" s="64"/>
    </row>
    <row r="421" ht="18.75" customHeight="1">
      <c r="G421" s="122"/>
      <c r="H421" s="64"/>
      <c r="L421" s="64"/>
      <c r="M421" s="64"/>
      <c r="N421" s="64"/>
      <c r="O421" s="64"/>
      <c r="P421" s="64"/>
      <c r="Q421" s="64"/>
      <c r="R421" s="64"/>
      <c r="S421" s="64"/>
      <c r="T421" s="64"/>
      <c r="U421" s="64"/>
      <c r="V421" s="64"/>
      <c r="W421" s="64"/>
      <c r="X421" s="64"/>
      <c r="Y421" s="64"/>
      <c r="BH421" s="64"/>
      <c r="BI421" s="64"/>
      <c r="BJ421" s="64"/>
      <c r="BK421" s="64"/>
      <c r="BL421" s="64"/>
      <c r="BM421" s="64"/>
      <c r="BN421" s="64"/>
      <c r="BO421" s="64"/>
      <c r="BP421" s="64"/>
      <c r="BQ421" s="64"/>
      <c r="BR421" s="64"/>
    </row>
    <row r="422" ht="18.75" customHeight="1">
      <c r="G422" s="122"/>
      <c r="H422" s="64"/>
      <c r="L422" s="64"/>
      <c r="M422" s="64"/>
      <c r="N422" s="64"/>
      <c r="O422" s="64"/>
      <c r="P422" s="64"/>
      <c r="Q422" s="64"/>
      <c r="R422" s="64"/>
      <c r="S422" s="64"/>
      <c r="T422" s="64"/>
      <c r="U422" s="64"/>
      <c r="V422" s="64"/>
      <c r="W422" s="64"/>
      <c r="X422" s="64"/>
      <c r="Y422" s="64"/>
      <c r="BH422" s="64"/>
      <c r="BI422" s="64"/>
      <c r="BJ422" s="64"/>
      <c r="BK422" s="64"/>
      <c r="BL422" s="64"/>
      <c r="BM422" s="64"/>
      <c r="BN422" s="64"/>
      <c r="BO422" s="64"/>
      <c r="BP422" s="64"/>
      <c r="BQ422" s="64"/>
      <c r="BR422" s="64"/>
    </row>
    <row r="423" ht="18.75" customHeight="1">
      <c r="G423" s="122"/>
      <c r="H423" s="64"/>
      <c r="L423" s="64"/>
      <c r="M423" s="64"/>
      <c r="N423" s="64"/>
      <c r="O423" s="64"/>
      <c r="P423" s="64"/>
      <c r="Q423" s="64"/>
      <c r="R423" s="64"/>
      <c r="S423" s="64"/>
      <c r="T423" s="64"/>
      <c r="U423" s="64"/>
      <c r="V423" s="64"/>
      <c r="W423" s="64"/>
      <c r="X423" s="64"/>
      <c r="Y423" s="64"/>
      <c r="BH423" s="64"/>
      <c r="BI423" s="64"/>
      <c r="BJ423" s="64"/>
      <c r="BK423" s="64"/>
      <c r="BL423" s="64"/>
      <c r="BM423" s="64"/>
      <c r="BN423" s="64"/>
      <c r="BO423" s="64"/>
      <c r="BP423" s="64"/>
      <c r="BQ423" s="64"/>
      <c r="BR423" s="64"/>
    </row>
    <row r="424" ht="18.75" customHeight="1">
      <c r="G424" s="122"/>
      <c r="H424" s="64"/>
      <c r="L424" s="64"/>
      <c r="M424" s="64"/>
      <c r="N424" s="64"/>
      <c r="O424" s="64"/>
      <c r="P424" s="64"/>
      <c r="Q424" s="64"/>
      <c r="R424" s="64"/>
      <c r="S424" s="64"/>
      <c r="T424" s="64"/>
      <c r="U424" s="64"/>
      <c r="V424" s="64"/>
      <c r="W424" s="64"/>
      <c r="X424" s="64"/>
      <c r="Y424" s="64"/>
      <c r="BH424" s="64"/>
      <c r="BI424" s="64"/>
      <c r="BJ424" s="64"/>
      <c r="BK424" s="64"/>
      <c r="BL424" s="64"/>
      <c r="BM424" s="64"/>
      <c r="BN424" s="64"/>
      <c r="BO424" s="64"/>
      <c r="BP424" s="64"/>
      <c r="BQ424" s="64"/>
      <c r="BR424" s="64"/>
    </row>
    <row r="425" ht="18.75" customHeight="1">
      <c r="G425" s="122"/>
      <c r="H425" s="64"/>
      <c r="L425" s="64"/>
      <c r="M425" s="64"/>
      <c r="N425" s="64"/>
      <c r="O425" s="64"/>
      <c r="P425" s="64"/>
      <c r="Q425" s="64"/>
      <c r="R425" s="64"/>
      <c r="S425" s="64"/>
      <c r="T425" s="64"/>
      <c r="U425" s="64"/>
      <c r="V425" s="64"/>
      <c r="W425" s="64"/>
      <c r="X425" s="64"/>
      <c r="Y425" s="64"/>
      <c r="BH425" s="64"/>
      <c r="BI425" s="64"/>
      <c r="BJ425" s="64"/>
      <c r="BK425" s="64"/>
      <c r="BL425" s="64"/>
      <c r="BM425" s="64"/>
      <c r="BN425" s="64"/>
      <c r="BO425" s="64"/>
      <c r="BP425" s="64"/>
      <c r="BQ425" s="64"/>
      <c r="BR425" s="64"/>
    </row>
    <row r="426" ht="18.75" customHeight="1">
      <c r="G426" s="122"/>
      <c r="H426" s="64"/>
      <c r="L426" s="64"/>
      <c r="M426" s="64"/>
      <c r="N426" s="64"/>
      <c r="O426" s="64"/>
      <c r="P426" s="64"/>
      <c r="Q426" s="64"/>
      <c r="R426" s="64"/>
      <c r="S426" s="64"/>
      <c r="T426" s="64"/>
      <c r="U426" s="64"/>
      <c r="V426" s="64"/>
      <c r="W426" s="64"/>
      <c r="X426" s="64"/>
      <c r="Y426" s="64"/>
      <c r="BH426" s="64"/>
      <c r="BI426" s="64"/>
      <c r="BJ426" s="64"/>
      <c r="BK426" s="64"/>
      <c r="BL426" s="64"/>
      <c r="BM426" s="64"/>
      <c r="BN426" s="64"/>
      <c r="BO426" s="64"/>
      <c r="BP426" s="64"/>
      <c r="BQ426" s="64"/>
      <c r="BR426" s="64"/>
    </row>
    <row r="427" ht="18.75" customHeight="1">
      <c r="G427" s="122"/>
      <c r="H427" s="64"/>
      <c r="L427" s="64"/>
      <c r="M427" s="64"/>
      <c r="N427" s="64"/>
      <c r="O427" s="64"/>
      <c r="P427" s="64"/>
      <c r="Q427" s="64"/>
      <c r="R427" s="64"/>
      <c r="S427" s="64"/>
      <c r="T427" s="64"/>
      <c r="U427" s="64"/>
      <c r="V427" s="64"/>
      <c r="W427" s="64"/>
      <c r="X427" s="64"/>
      <c r="Y427" s="64"/>
      <c r="BH427" s="64"/>
      <c r="BI427" s="64"/>
      <c r="BJ427" s="64"/>
      <c r="BK427" s="64"/>
      <c r="BL427" s="64"/>
      <c r="BM427" s="64"/>
      <c r="BN427" s="64"/>
      <c r="BO427" s="64"/>
      <c r="BP427" s="64"/>
      <c r="BQ427" s="64"/>
      <c r="BR427" s="64"/>
    </row>
    <row r="428" ht="18.75" customHeight="1">
      <c r="G428" s="122"/>
      <c r="H428" s="64"/>
      <c r="L428" s="64"/>
      <c r="M428" s="64"/>
      <c r="N428" s="64"/>
      <c r="O428" s="64"/>
      <c r="P428" s="64"/>
      <c r="Q428" s="64"/>
      <c r="R428" s="64"/>
      <c r="S428" s="64"/>
      <c r="T428" s="64"/>
      <c r="U428" s="64"/>
      <c r="V428" s="64"/>
      <c r="W428" s="64"/>
      <c r="X428" s="64"/>
      <c r="Y428" s="64"/>
      <c r="BH428" s="64"/>
      <c r="BI428" s="64"/>
      <c r="BJ428" s="64"/>
      <c r="BK428" s="64"/>
      <c r="BL428" s="64"/>
      <c r="BM428" s="64"/>
      <c r="BN428" s="64"/>
      <c r="BO428" s="64"/>
      <c r="BP428" s="64"/>
      <c r="BQ428" s="64"/>
      <c r="BR428" s="64"/>
    </row>
    <row r="429" ht="18.75" customHeight="1">
      <c r="G429" s="122"/>
      <c r="H429" s="64"/>
      <c r="L429" s="64"/>
      <c r="M429" s="64"/>
      <c r="N429" s="64"/>
      <c r="O429" s="64"/>
      <c r="P429" s="64"/>
      <c r="Q429" s="64"/>
      <c r="R429" s="64"/>
      <c r="S429" s="64"/>
      <c r="T429" s="64"/>
      <c r="U429" s="64"/>
      <c r="V429" s="64"/>
      <c r="W429" s="64"/>
      <c r="X429" s="64"/>
      <c r="Y429" s="64"/>
      <c r="BH429" s="64"/>
      <c r="BI429" s="64"/>
      <c r="BJ429" s="64"/>
      <c r="BK429" s="64"/>
      <c r="BL429" s="64"/>
      <c r="BM429" s="64"/>
      <c r="BN429" s="64"/>
      <c r="BO429" s="64"/>
      <c r="BP429" s="64"/>
      <c r="BQ429" s="64"/>
      <c r="BR429" s="64"/>
    </row>
    <row r="430" ht="18.75" customHeight="1">
      <c r="G430" s="122"/>
      <c r="H430" s="64"/>
      <c r="L430" s="64"/>
      <c r="M430" s="64"/>
      <c r="N430" s="64"/>
      <c r="O430" s="64"/>
      <c r="P430" s="64"/>
      <c r="Q430" s="64"/>
      <c r="R430" s="64"/>
      <c r="S430" s="64"/>
      <c r="T430" s="64"/>
      <c r="U430" s="64"/>
      <c r="V430" s="64"/>
      <c r="W430" s="64"/>
      <c r="X430" s="64"/>
      <c r="Y430" s="64"/>
      <c r="BH430" s="64"/>
      <c r="BI430" s="64"/>
      <c r="BJ430" s="64"/>
      <c r="BK430" s="64"/>
      <c r="BL430" s="64"/>
      <c r="BM430" s="64"/>
      <c r="BN430" s="64"/>
      <c r="BO430" s="64"/>
      <c r="BP430" s="64"/>
      <c r="BQ430" s="64"/>
      <c r="BR430" s="64"/>
    </row>
    <row r="431" ht="18.75" customHeight="1">
      <c r="G431" s="122"/>
      <c r="H431" s="64"/>
      <c r="L431" s="64"/>
      <c r="M431" s="64"/>
      <c r="N431" s="64"/>
      <c r="O431" s="64"/>
      <c r="P431" s="64"/>
      <c r="Q431" s="64"/>
      <c r="R431" s="64"/>
      <c r="S431" s="64"/>
      <c r="T431" s="64"/>
      <c r="U431" s="64"/>
      <c r="V431" s="64"/>
      <c r="W431" s="64"/>
      <c r="X431" s="64"/>
      <c r="Y431" s="64"/>
      <c r="BH431" s="64"/>
      <c r="BI431" s="64"/>
      <c r="BJ431" s="64"/>
      <c r="BK431" s="64"/>
      <c r="BL431" s="64"/>
      <c r="BM431" s="64"/>
      <c r="BN431" s="64"/>
      <c r="BO431" s="64"/>
      <c r="BP431" s="64"/>
      <c r="BQ431" s="64"/>
      <c r="BR431" s="64"/>
    </row>
    <row r="432" ht="18.75" customHeight="1">
      <c r="G432" s="122"/>
      <c r="H432" s="64"/>
      <c r="L432" s="64"/>
      <c r="M432" s="64"/>
      <c r="N432" s="64"/>
      <c r="O432" s="64"/>
      <c r="P432" s="64"/>
      <c r="Q432" s="64"/>
      <c r="R432" s="64"/>
      <c r="S432" s="64"/>
      <c r="T432" s="64"/>
      <c r="U432" s="64"/>
      <c r="V432" s="64"/>
      <c r="W432" s="64"/>
      <c r="X432" s="64"/>
      <c r="Y432" s="64"/>
      <c r="BH432" s="64"/>
      <c r="BI432" s="64"/>
      <c r="BJ432" s="64"/>
      <c r="BK432" s="64"/>
      <c r="BL432" s="64"/>
      <c r="BM432" s="64"/>
      <c r="BN432" s="64"/>
      <c r="BO432" s="64"/>
      <c r="BP432" s="64"/>
      <c r="BQ432" s="64"/>
      <c r="BR432" s="64"/>
    </row>
    <row r="433" ht="18.75" customHeight="1">
      <c r="G433" s="122"/>
      <c r="H433" s="64"/>
      <c r="L433" s="64"/>
      <c r="M433" s="64"/>
      <c r="N433" s="64"/>
      <c r="O433" s="64"/>
      <c r="P433" s="64"/>
      <c r="Q433" s="64"/>
      <c r="R433" s="64"/>
      <c r="S433" s="64"/>
      <c r="T433" s="64"/>
      <c r="U433" s="64"/>
      <c r="V433" s="64"/>
      <c r="W433" s="64"/>
      <c r="X433" s="64"/>
      <c r="Y433" s="64"/>
      <c r="BH433" s="64"/>
      <c r="BI433" s="64"/>
      <c r="BJ433" s="64"/>
      <c r="BK433" s="64"/>
      <c r="BL433" s="64"/>
      <c r="BM433" s="64"/>
      <c r="BN433" s="64"/>
      <c r="BO433" s="64"/>
      <c r="BP433" s="64"/>
      <c r="BQ433" s="64"/>
      <c r="BR433" s="64"/>
    </row>
    <row r="434" ht="18.75" customHeight="1">
      <c r="G434" s="122"/>
      <c r="H434" s="64"/>
      <c r="L434" s="64"/>
      <c r="M434" s="64"/>
      <c r="N434" s="64"/>
      <c r="O434" s="64"/>
      <c r="P434" s="64"/>
      <c r="Q434" s="64"/>
      <c r="R434" s="64"/>
      <c r="S434" s="64"/>
      <c r="T434" s="64"/>
      <c r="U434" s="64"/>
      <c r="V434" s="64"/>
      <c r="W434" s="64"/>
      <c r="X434" s="64"/>
      <c r="Y434" s="64"/>
      <c r="BH434" s="64"/>
      <c r="BI434" s="64"/>
      <c r="BJ434" s="64"/>
      <c r="BK434" s="64"/>
      <c r="BL434" s="64"/>
      <c r="BM434" s="64"/>
      <c r="BN434" s="64"/>
      <c r="BO434" s="64"/>
      <c r="BP434" s="64"/>
      <c r="BQ434" s="64"/>
      <c r="BR434" s="64"/>
    </row>
    <row r="435" ht="18.75" customHeight="1">
      <c r="G435" s="122"/>
      <c r="H435" s="64"/>
      <c r="L435" s="64"/>
      <c r="M435" s="64"/>
      <c r="N435" s="64"/>
      <c r="O435" s="64"/>
      <c r="P435" s="64"/>
      <c r="Q435" s="64"/>
      <c r="R435" s="64"/>
      <c r="S435" s="64"/>
      <c r="T435" s="64"/>
      <c r="U435" s="64"/>
      <c r="V435" s="64"/>
      <c r="W435" s="64"/>
      <c r="X435" s="64"/>
      <c r="Y435" s="64"/>
      <c r="BH435" s="64"/>
      <c r="BI435" s="64"/>
      <c r="BJ435" s="64"/>
      <c r="BK435" s="64"/>
      <c r="BL435" s="64"/>
      <c r="BM435" s="64"/>
      <c r="BN435" s="64"/>
      <c r="BO435" s="64"/>
      <c r="BP435" s="64"/>
      <c r="BQ435" s="64"/>
      <c r="BR435" s="64"/>
    </row>
    <row r="436" ht="18.75" customHeight="1">
      <c r="G436" s="122"/>
      <c r="H436" s="64"/>
      <c r="L436" s="64"/>
      <c r="M436" s="64"/>
      <c r="N436" s="64"/>
      <c r="O436" s="64"/>
      <c r="P436" s="64"/>
      <c r="Q436" s="64"/>
      <c r="R436" s="64"/>
      <c r="S436" s="64"/>
      <c r="T436" s="64"/>
      <c r="U436" s="64"/>
      <c r="V436" s="64"/>
      <c r="W436" s="64"/>
      <c r="X436" s="64"/>
      <c r="Y436" s="64"/>
      <c r="BH436" s="64"/>
      <c r="BI436" s="64"/>
      <c r="BJ436" s="64"/>
      <c r="BK436" s="64"/>
      <c r="BL436" s="64"/>
      <c r="BM436" s="64"/>
      <c r="BN436" s="64"/>
      <c r="BO436" s="64"/>
      <c r="BP436" s="64"/>
      <c r="BQ436" s="64"/>
      <c r="BR436" s="64"/>
    </row>
    <row r="437" ht="18.75" customHeight="1">
      <c r="G437" s="122"/>
      <c r="H437" s="64"/>
      <c r="L437" s="64"/>
      <c r="M437" s="64"/>
      <c r="N437" s="64"/>
      <c r="O437" s="64"/>
      <c r="P437" s="64"/>
      <c r="Q437" s="64"/>
      <c r="R437" s="64"/>
      <c r="S437" s="64"/>
      <c r="T437" s="64"/>
      <c r="U437" s="64"/>
      <c r="V437" s="64"/>
      <c r="W437" s="64"/>
      <c r="X437" s="64"/>
      <c r="Y437" s="64"/>
      <c r="BH437" s="64"/>
      <c r="BI437" s="64"/>
      <c r="BJ437" s="64"/>
      <c r="BK437" s="64"/>
      <c r="BL437" s="64"/>
      <c r="BM437" s="64"/>
      <c r="BN437" s="64"/>
      <c r="BO437" s="64"/>
      <c r="BP437" s="64"/>
      <c r="BQ437" s="64"/>
      <c r="BR437" s="64"/>
    </row>
    <row r="438" ht="18.75" customHeight="1">
      <c r="G438" s="122"/>
      <c r="H438" s="64"/>
      <c r="L438" s="64"/>
      <c r="M438" s="64"/>
      <c r="N438" s="64"/>
      <c r="O438" s="64"/>
      <c r="P438" s="64"/>
      <c r="Q438" s="64"/>
      <c r="R438" s="64"/>
      <c r="S438" s="64"/>
      <c r="T438" s="64"/>
      <c r="U438" s="64"/>
      <c r="V438" s="64"/>
      <c r="W438" s="64"/>
      <c r="X438" s="64"/>
      <c r="Y438" s="64"/>
      <c r="BH438" s="64"/>
      <c r="BI438" s="64"/>
      <c r="BJ438" s="64"/>
      <c r="BK438" s="64"/>
      <c r="BL438" s="64"/>
      <c r="BM438" s="64"/>
      <c r="BN438" s="64"/>
      <c r="BO438" s="64"/>
      <c r="BP438" s="64"/>
      <c r="BQ438" s="64"/>
      <c r="BR438" s="64"/>
    </row>
    <row r="439" ht="18.75" customHeight="1">
      <c r="G439" s="122"/>
      <c r="H439" s="64"/>
      <c r="L439" s="64"/>
      <c r="M439" s="64"/>
      <c r="N439" s="64"/>
      <c r="O439" s="64"/>
      <c r="P439" s="64"/>
      <c r="Q439" s="64"/>
      <c r="R439" s="64"/>
      <c r="S439" s="64"/>
      <c r="T439" s="64"/>
      <c r="U439" s="64"/>
      <c r="V439" s="64"/>
      <c r="W439" s="64"/>
      <c r="X439" s="64"/>
      <c r="Y439" s="64"/>
      <c r="BH439" s="64"/>
      <c r="BI439" s="64"/>
      <c r="BJ439" s="64"/>
      <c r="BK439" s="64"/>
      <c r="BL439" s="64"/>
      <c r="BM439" s="64"/>
      <c r="BN439" s="64"/>
      <c r="BO439" s="64"/>
      <c r="BP439" s="64"/>
      <c r="BQ439" s="64"/>
      <c r="BR439" s="64"/>
    </row>
    <row r="440" ht="18.75" customHeight="1">
      <c r="G440" s="122"/>
      <c r="H440" s="64"/>
      <c r="L440" s="64"/>
      <c r="M440" s="64"/>
      <c r="N440" s="64"/>
      <c r="O440" s="64"/>
      <c r="P440" s="64"/>
      <c r="Q440" s="64"/>
      <c r="R440" s="64"/>
      <c r="S440" s="64"/>
      <c r="T440" s="64"/>
      <c r="U440" s="64"/>
      <c r="V440" s="64"/>
      <c r="W440" s="64"/>
      <c r="X440" s="64"/>
      <c r="Y440" s="64"/>
      <c r="BH440" s="64"/>
      <c r="BI440" s="64"/>
      <c r="BJ440" s="64"/>
      <c r="BK440" s="64"/>
      <c r="BL440" s="64"/>
      <c r="BM440" s="64"/>
      <c r="BN440" s="64"/>
      <c r="BO440" s="64"/>
      <c r="BP440" s="64"/>
      <c r="BQ440" s="64"/>
      <c r="BR440" s="64"/>
    </row>
    <row r="441" ht="18.75" customHeight="1">
      <c r="G441" s="122"/>
      <c r="H441" s="64"/>
      <c r="L441" s="64"/>
      <c r="M441" s="64"/>
      <c r="N441" s="64"/>
      <c r="O441" s="64"/>
      <c r="P441" s="64"/>
      <c r="Q441" s="64"/>
      <c r="R441" s="64"/>
      <c r="S441" s="64"/>
      <c r="T441" s="64"/>
      <c r="U441" s="64"/>
      <c r="V441" s="64"/>
      <c r="W441" s="64"/>
      <c r="X441" s="64"/>
      <c r="Y441" s="64"/>
      <c r="BH441" s="64"/>
      <c r="BI441" s="64"/>
      <c r="BJ441" s="64"/>
      <c r="BK441" s="64"/>
      <c r="BL441" s="64"/>
      <c r="BM441" s="64"/>
      <c r="BN441" s="64"/>
      <c r="BO441" s="64"/>
      <c r="BP441" s="64"/>
      <c r="BQ441" s="64"/>
      <c r="BR441" s="64"/>
    </row>
    <row r="442" ht="18.75" customHeight="1">
      <c r="G442" s="122"/>
      <c r="H442" s="64"/>
      <c r="L442" s="64"/>
      <c r="M442" s="64"/>
      <c r="N442" s="64"/>
      <c r="O442" s="64"/>
      <c r="P442" s="64"/>
      <c r="Q442" s="64"/>
      <c r="R442" s="64"/>
      <c r="S442" s="64"/>
      <c r="T442" s="64"/>
      <c r="U442" s="64"/>
      <c r="V442" s="64"/>
      <c r="W442" s="64"/>
      <c r="X442" s="64"/>
      <c r="Y442" s="64"/>
      <c r="BH442" s="64"/>
      <c r="BI442" s="64"/>
      <c r="BJ442" s="64"/>
      <c r="BK442" s="64"/>
      <c r="BL442" s="64"/>
      <c r="BM442" s="64"/>
      <c r="BN442" s="64"/>
      <c r="BO442" s="64"/>
      <c r="BP442" s="64"/>
      <c r="BQ442" s="64"/>
      <c r="BR442" s="64"/>
    </row>
    <row r="443" ht="18.75" customHeight="1">
      <c r="G443" s="122"/>
      <c r="H443" s="64"/>
      <c r="L443" s="64"/>
      <c r="M443" s="64"/>
      <c r="N443" s="64"/>
      <c r="O443" s="64"/>
      <c r="P443" s="64"/>
      <c r="Q443" s="64"/>
      <c r="R443" s="64"/>
      <c r="S443" s="64"/>
      <c r="T443" s="64"/>
      <c r="U443" s="64"/>
      <c r="V443" s="64"/>
      <c r="W443" s="64"/>
      <c r="X443" s="64"/>
      <c r="Y443" s="64"/>
      <c r="BH443" s="64"/>
      <c r="BI443" s="64"/>
      <c r="BJ443" s="64"/>
      <c r="BK443" s="64"/>
      <c r="BL443" s="64"/>
      <c r="BM443" s="64"/>
      <c r="BN443" s="64"/>
      <c r="BO443" s="64"/>
      <c r="BP443" s="64"/>
      <c r="BQ443" s="64"/>
      <c r="BR443" s="64"/>
    </row>
    <row r="444" ht="18.75" customHeight="1">
      <c r="G444" s="122"/>
      <c r="H444" s="64"/>
      <c r="L444" s="64"/>
      <c r="M444" s="64"/>
      <c r="N444" s="64"/>
      <c r="O444" s="64"/>
      <c r="P444" s="64"/>
      <c r="Q444" s="64"/>
      <c r="R444" s="64"/>
      <c r="S444" s="64"/>
      <c r="T444" s="64"/>
      <c r="U444" s="64"/>
      <c r="V444" s="64"/>
      <c r="W444" s="64"/>
      <c r="X444" s="64"/>
      <c r="Y444" s="64"/>
      <c r="BH444" s="64"/>
      <c r="BI444" s="64"/>
      <c r="BJ444" s="64"/>
      <c r="BK444" s="64"/>
      <c r="BL444" s="64"/>
      <c r="BM444" s="64"/>
      <c r="BN444" s="64"/>
      <c r="BO444" s="64"/>
      <c r="BP444" s="64"/>
      <c r="BQ444" s="64"/>
      <c r="BR444" s="64"/>
    </row>
    <row r="445" ht="18.75" customHeight="1">
      <c r="G445" s="122"/>
      <c r="H445" s="64"/>
      <c r="L445" s="64"/>
      <c r="M445" s="64"/>
      <c r="N445" s="64"/>
      <c r="O445" s="64"/>
      <c r="P445" s="64"/>
      <c r="Q445" s="64"/>
      <c r="R445" s="64"/>
      <c r="S445" s="64"/>
      <c r="T445" s="64"/>
      <c r="U445" s="64"/>
      <c r="V445" s="64"/>
      <c r="W445" s="64"/>
      <c r="X445" s="64"/>
      <c r="Y445" s="64"/>
      <c r="BH445" s="64"/>
      <c r="BI445" s="64"/>
      <c r="BJ445" s="64"/>
      <c r="BK445" s="64"/>
      <c r="BL445" s="64"/>
      <c r="BM445" s="64"/>
      <c r="BN445" s="64"/>
      <c r="BO445" s="64"/>
      <c r="BP445" s="64"/>
      <c r="BQ445" s="64"/>
      <c r="BR445" s="64"/>
    </row>
    <row r="446" ht="18.75" customHeight="1">
      <c r="G446" s="122"/>
      <c r="H446" s="64"/>
      <c r="L446" s="64"/>
      <c r="M446" s="64"/>
      <c r="N446" s="64"/>
      <c r="O446" s="64"/>
      <c r="P446" s="64"/>
      <c r="Q446" s="64"/>
      <c r="R446" s="64"/>
      <c r="S446" s="64"/>
      <c r="T446" s="64"/>
      <c r="U446" s="64"/>
      <c r="V446" s="64"/>
      <c r="W446" s="64"/>
      <c r="X446" s="64"/>
      <c r="Y446" s="64"/>
      <c r="BH446" s="64"/>
      <c r="BI446" s="64"/>
      <c r="BJ446" s="64"/>
      <c r="BK446" s="64"/>
      <c r="BL446" s="64"/>
      <c r="BM446" s="64"/>
      <c r="BN446" s="64"/>
      <c r="BO446" s="64"/>
      <c r="BP446" s="64"/>
      <c r="BQ446" s="64"/>
      <c r="BR446" s="64"/>
    </row>
    <row r="447" ht="18.75" customHeight="1">
      <c r="G447" s="122"/>
      <c r="H447" s="64"/>
      <c r="L447" s="64"/>
      <c r="M447" s="64"/>
      <c r="N447" s="64"/>
      <c r="O447" s="64"/>
      <c r="P447" s="64"/>
      <c r="Q447" s="64"/>
      <c r="R447" s="64"/>
      <c r="S447" s="64"/>
      <c r="T447" s="64"/>
      <c r="U447" s="64"/>
      <c r="V447" s="64"/>
      <c r="W447" s="64"/>
      <c r="X447" s="64"/>
      <c r="Y447" s="64"/>
      <c r="BH447" s="64"/>
      <c r="BI447" s="64"/>
      <c r="BJ447" s="64"/>
      <c r="BK447" s="64"/>
      <c r="BL447" s="64"/>
      <c r="BM447" s="64"/>
      <c r="BN447" s="64"/>
      <c r="BO447" s="64"/>
      <c r="BP447" s="64"/>
      <c r="BQ447" s="64"/>
      <c r="BR447" s="64"/>
    </row>
    <row r="448" ht="18.75" customHeight="1">
      <c r="G448" s="122"/>
      <c r="H448" s="64"/>
      <c r="L448" s="64"/>
      <c r="M448" s="64"/>
      <c r="N448" s="64"/>
      <c r="O448" s="64"/>
      <c r="P448" s="64"/>
      <c r="Q448" s="64"/>
      <c r="R448" s="64"/>
      <c r="S448" s="64"/>
      <c r="T448" s="64"/>
      <c r="U448" s="64"/>
      <c r="V448" s="64"/>
      <c r="W448" s="64"/>
      <c r="X448" s="64"/>
      <c r="Y448" s="64"/>
      <c r="BH448" s="64"/>
      <c r="BI448" s="64"/>
      <c r="BJ448" s="64"/>
      <c r="BK448" s="64"/>
      <c r="BL448" s="64"/>
      <c r="BM448" s="64"/>
      <c r="BN448" s="64"/>
      <c r="BO448" s="64"/>
      <c r="BP448" s="64"/>
      <c r="BQ448" s="64"/>
      <c r="BR448" s="64"/>
    </row>
    <row r="449" ht="18.75" customHeight="1">
      <c r="G449" s="122"/>
      <c r="H449" s="64"/>
      <c r="L449" s="64"/>
      <c r="M449" s="64"/>
      <c r="N449" s="64"/>
      <c r="O449" s="64"/>
      <c r="P449" s="64"/>
      <c r="Q449" s="64"/>
      <c r="R449" s="64"/>
      <c r="S449" s="64"/>
      <c r="T449" s="64"/>
      <c r="U449" s="64"/>
      <c r="V449" s="64"/>
      <c r="W449" s="64"/>
      <c r="X449" s="64"/>
      <c r="Y449" s="64"/>
      <c r="BH449" s="64"/>
      <c r="BI449" s="64"/>
      <c r="BJ449" s="64"/>
      <c r="BK449" s="64"/>
      <c r="BL449" s="64"/>
      <c r="BM449" s="64"/>
      <c r="BN449" s="64"/>
      <c r="BO449" s="64"/>
      <c r="BP449" s="64"/>
      <c r="BQ449" s="64"/>
      <c r="BR449" s="64"/>
    </row>
    <row r="450" ht="18.75" customHeight="1">
      <c r="G450" s="122"/>
      <c r="H450" s="64"/>
      <c r="L450" s="64"/>
      <c r="M450" s="64"/>
      <c r="N450" s="64"/>
      <c r="O450" s="64"/>
      <c r="P450" s="64"/>
      <c r="Q450" s="64"/>
      <c r="R450" s="64"/>
      <c r="S450" s="64"/>
      <c r="T450" s="64"/>
      <c r="U450" s="64"/>
      <c r="V450" s="64"/>
      <c r="W450" s="64"/>
      <c r="X450" s="64"/>
      <c r="Y450" s="64"/>
      <c r="BH450" s="64"/>
      <c r="BI450" s="64"/>
      <c r="BJ450" s="64"/>
      <c r="BK450" s="64"/>
      <c r="BL450" s="64"/>
      <c r="BM450" s="64"/>
      <c r="BN450" s="64"/>
      <c r="BO450" s="64"/>
      <c r="BP450" s="64"/>
      <c r="BQ450" s="64"/>
      <c r="BR450" s="64"/>
    </row>
    <row r="451" ht="18.75" customHeight="1">
      <c r="G451" s="122"/>
      <c r="H451" s="64"/>
      <c r="L451" s="64"/>
      <c r="M451" s="64"/>
      <c r="N451" s="64"/>
      <c r="O451" s="64"/>
      <c r="P451" s="64"/>
      <c r="Q451" s="64"/>
      <c r="R451" s="64"/>
      <c r="S451" s="64"/>
      <c r="T451" s="64"/>
      <c r="U451" s="64"/>
      <c r="V451" s="64"/>
      <c r="W451" s="64"/>
      <c r="X451" s="64"/>
      <c r="Y451" s="64"/>
      <c r="BH451" s="64"/>
      <c r="BI451" s="64"/>
      <c r="BJ451" s="64"/>
      <c r="BK451" s="64"/>
      <c r="BL451" s="64"/>
      <c r="BM451" s="64"/>
      <c r="BN451" s="64"/>
      <c r="BO451" s="64"/>
      <c r="BP451" s="64"/>
      <c r="BQ451" s="64"/>
      <c r="BR451" s="64"/>
    </row>
    <row r="452" ht="18.75" customHeight="1">
      <c r="G452" s="122"/>
      <c r="H452" s="64"/>
      <c r="L452" s="64"/>
      <c r="M452" s="64"/>
      <c r="N452" s="64"/>
      <c r="O452" s="64"/>
      <c r="P452" s="64"/>
      <c r="Q452" s="64"/>
      <c r="R452" s="64"/>
      <c r="S452" s="64"/>
      <c r="T452" s="64"/>
      <c r="U452" s="64"/>
      <c r="V452" s="64"/>
      <c r="W452" s="64"/>
      <c r="X452" s="64"/>
      <c r="Y452" s="64"/>
      <c r="BH452" s="64"/>
      <c r="BI452" s="64"/>
      <c r="BJ452" s="64"/>
      <c r="BK452" s="64"/>
      <c r="BL452" s="64"/>
      <c r="BM452" s="64"/>
      <c r="BN452" s="64"/>
      <c r="BO452" s="64"/>
      <c r="BP452" s="64"/>
      <c r="BQ452" s="64"/>
      <c r="BR452" s="64"/>
    </row>
    <row r="453" ht="18.75" customHeight="1">
      <c r="G453" s="122"/>
      <c r="H453" s="64"/>
      <c r="L453" s="64"/>
      <c r="M453" s="64"/>
      <c r="N453" s="64"/>
      <c r="O453" s="64"/>
      <c r="P453" s="64"/>
      <c r="Q453" s="64"/>
      <c r="R453" s="64"/>
      <c r="S453" s="64"/>
      <c r="T453" s="64"/>
      <c r="U453" s="64"/>
      <c r="V453" s="64"/>
      <c r="W453" s="64"/>
      <c r="X453" s="64"/>
      <c r="Y453" s="64"/>
      <c r="BH453" s="64"/>
      <c r="BI453" s="64"/>
      <c r="BJ453" s="64"/>
      <c r="BK453" s="64"/>
      <c r="BL453" s="64"/>
      <c r="BM453" s="64"/>
      <c r="BN453" s="64"/>
      <c r="BO453" s="64"/>
      <c r="BP453" s="64"/>
      <c r="BQ453" s="64"/>
      <c r="BR453" s="64"/>
    </row>
    <row r="454" ht="18.75" customHeight="1">
      <c r="G454" s="122"/>
      <c r="H454" s="64"/>
      <c r="L454" s="64"/>
      <c r="M454" s="64"/>
      <c r="N454" s="64"/>
      <c r="O454" s="64"/>
      <c r="P454" s="64"/>
      <c r="Q454" s="64"/>
      <c r="R454" s="64"/>
      <c r="S454" s="64"/>
      <c r="T454" s="64"/>
      <c r="U454" s="64"/>
      <c r="V454" s="64"/>
      <c r="W454" s="64"/>
      <c r="X454" s="64"/>
      <c r="Y454" s="64"/>
      <c r="BH454" s="64"/>
      <c r="BI454" s="64"/>
      <c r="BJ454" s="64"/>
      <c r="BK454" s="64"/>
      <c r="BL454" s="64"/>
      <c r="BM454" s="64"/>
      <c r="BN454" s="64"/>
      <c r="BO454" s="64"/>
      <c r="BP454" s="64"/>
      <c r="BQ454" s="64"/>
      <c r="BR454" s="64"/>
    </row>
    <row r="455" ht="18.75" customHeight="1">
      <c r="G455" s="122"/>
      <c r="H455" s="64"/>
      <c r="L455" s="64"/>
      <c r="M455" s="64"/>
      <c r="N455" s="64"/>
      <c r="O455" s="64"/>
      <c r="P455" s="64"/>
      <c r="Q455" s="64"/>
      <c r="R455" s="64"/>
      <c r="S455" s="64"/>
      <c r="T455" s="64"/>
      <c r="U455" s="64"/>
      <c r="V455" s="64"/>
      <c r="W455" s="64"/>
      <c r="X455" s="64"/>
      <c r="Y455" s="64"/>
      <c r="BH455" s="64"/>
      <c r="BI455" s="64"/>
      <c r="BJ455" s="64"/>
      <c r="BK455" s="64"/>
      <c r="BL455" s="64"/>
      <c r="BM455" s="64"/>
      <c r="BN455" s="64"/>
      <c r="BO455" s="64"/>
      <c r="BP455" s="64"/>
      <c r="BQ455" s="64"/>
      <c r="BR455" s="64"/>
    </row>
    <row r="456" ht="18.75" customHeight="1">
      <c r="G456" s="122"/>
      <c r="H456" s="64"/>
      <c r="L456" s="64"/>
      <c r="M456" s="64"/>
      <c r="N456" s="64"/>
      <c r="O456" s="64"/>
      <c r="P456" s="64"/>
      <c r="Q456" s="64"/>
      <c r="R456" s="64"/>
      <c r="S456" s="64"/>
      <c r="T456" s="64"/>
      <c r="U456" s="64"/>
      <c r="V456" s="64"/>
      <c r="W456" s="64"/>
      <c r="X456" s="64"/>
      <c r="Y456" s="64"/>
      <c r="BH456" s="64"/>
      <c r="BI456" s="64"/>
      <c r="BJ456" s="64"/>
      <c r="BK456" s="64"/>
      <c r="BL456" s="64"/>
      <c r="BM456" s="64"/>
      <c r="BN456" s="64"/>
      <c r="BO456" s="64"/>
      <c r="BP456" s="64"/>
      <c r="BQ456" s="64"/>
      <c r="BR456" s="64"/>
    </row>
    <row r="457" ht="18.75" customHeight="1">
      <c r="G457" s="122"/>
      <c r="H457" s="64"/>
      <c r="L457" s="64"/>
      <c r="M457" s="64"/>
      <c r="N457" s="64"/>
      <c r="O457" s="64"/>
      <c r="P457" s="64"/>
      <c r="Q457" s="64"/>
      <c r="R457" s="64"/>
      <c r="S457" s="64"/>
      <c r="T457" s="64"/>
      <c r="U457" s="64"/>
      <c r="V457" s="64"/>
      <c r="W457" s="64"/>
      <c r="X457" s="64"/>
      <c r="Y457" s="64"/>
      <c r="BH457" s="64"/>
      <c r="BI457" s="64"/>
      <c r="BJ457" s="64"/>
      <c r="BK457" s="64"/>
      <c r="BL457" s="64"/>
      <c r="BM457" s="64"/>
      <c r="BN457" s="64"/>
      <c r="BO457" s="64"/>
      <c r="BP457" s="64"/>
      <c r="BQ457" s="64"/>
      <c r="BR457" s="64"/>
    </row>
    <row r="458" ht="18.75" customHeight="1">
      <c r="G458" s="122"/>
      <c r="H458" s="64"/>
      <c r="L458" s="64"/>
      <c r="M458" s="64"/>
      <c r="N458" s="64"/>
      <c r="O458" s="64"/>
      <c r="P458" s="64"/>
      <c r="Q458" s="64"/>
      <c r="R458" s="64"/>
      <c r="S458" s="64"/>
      <c r="T458" s="64"/>
      <c r="U458" s="64"/>
      <c r="V458" s="64"/>
      <c r="W458" s="64"/>
      <c r="X458" s="64"/>
      <c r="Y458" s="64"/>
      <c r="BH458" s="64"/>
      <c r="BI458" s="64"/>
      <c r="BJ458" s="64"/>
      <c r="BK458" s="64"/>
      <c r="BL458" s="64"/>
      <c r="BM458" s="64"/>
      <c r="BN458" s="64"/>
      <c r="BO458" s="64"/>
      <c r="BP458" s="64"/>
      <c r="BQ458" s="64"/>
      <c r="BR458" s="64"/>
    </row>
    <row r="459" ht="18.75" customHeight="1">
      <c r="G459" s="122"/>
      <c r="H459" s="64"/>
      <c r="L459" s="64"/>
      <c r="M459" s="64"/>
      <c r="N459" s="64"/>
      <c r="O459" s="64"/>
      <c r="P459" s="64"/>
      <c r="Q459" s="64"/>
      <c r="R459" s="64"/>
      <c r="S459" s="64"/>
      <c r="T459" s="64"/>
      <c r="U459" s="64"/>
      <c r="V459" s="64"/>
      <c r="W459" s="64"/>
      <c r="X459" s="64"/>
      <c r="Y459" s="64"/>
      <c r="BH459" s="64"/>
      <c r="BI459" s="64"/>
      <c r="BJ459" s="64"/>
      <c r="BK459" s="64"/>
      <c r="BL459" s="64"/>
      <c r="BM459" s="64"/>
      <c r="BN459" s="64"/>
      <c r="BO459" s="64"/>
      <c r="BP459" s="64"/>
      <c r="BQ459" s="64"/>
      <c r="BR459" s="64"/>
    </row>
    <row r="460" ht="18.75" customHeight="1">
      <c r="G460" s="122"/>
      <c r="H460" s="64"/>
      <c r="L460" s="64"/>
      <c r="M460" s="64"/>
      <c r="N460" s="64"/>
      <c r="O460" s="64"/>
      <c r="P460" s="64"/>
      <c r="Q460" s="64"/>
      <c r="R460" s="64"/>
      <c r="S460" s="64"/>
      <c r="T460" s="64"/>
      <c r="U460" s="64"/>
      <c r="V460" s="64"/>
      <c r="W460" s="64"/>
      <c r="X460" s="64"/>
      <c r="Y460" s="64"/>
      <c r="BH460" s="64"/>
      <c r="BI460" s="64"/>
      <c r="BJ460" s="64"/>
      <c r="BK460" s="64"/>
      <c r="BL460" s="64"/>
      <c r="BM460" s="64"/>
      <c r="BN460" s="64"/>
      <c r="BO460" s="64"/>
      <c r="BP460" s="64"/>
      <c r="BQ460" s="64"/>
      <c r="BR460" s="64"/>
    </row>
    <row r="461" ht="18.75" customHeight="1">
      <c r="G461" s="122"/>
      <c r="H461" s="64"/>
      <c r="L461" s="64"/>
      <c r="M461" s="64"/>
      <c r="N461" s="64"/>
      <c r="O461" s="64"/>
      <c r="P461" s="64"/>
      <c r="Q461" s="64"/>
      <c r="R461" s="64"/>
      <c r="S461" s="64"/>
      <c r="T461" s="64"/>
      <c r="U461" s="64"/>
      <c r="V461" s="64"/>
      <c r="W461" s="64"/>
      <c r="X461" s="64"/>
      <c r="Y461" s="64"/>
      <c r="BH461" s="64"/>
      <c r="BI461" s="64"/>
      <c r="BJ461" s="64"/>
      <c r="BK461" s="64"/>
      <c r="BL461" s="64"/>
      <c r="BM461" s="64"/>
      <c r="BN461" s="64"/>
      <c r="BO461" s="64"/>
      <c r="BP461" s="64"/>
      <c r="BQ461" s="64"/>
      <c r="BR461" s="64"/>
    </row>
    <row r="462" ht="18.75" customHeight="1">
      <c r="G462" s="122"/>
      <c r="H462" s="64"/>
      <c r="L462" s="64"/>
      <c r="M462" s="64"/>
      <c r="N462" s="64"/>
      <c r="O462" s="64"/>
      <c r="P462" s="64"/>
      <c r="Q462" s="64"/>
      <c r="R462" s="64"/>
      <c r="S462" s="64"/>
      <c r="T462" s="64"/>
      <c r="U462" s="64"/>
      <c r="V462" s="64"/>
      <c r="W462" s="64"/>
      <c r="X462" s="64"/>
      <c r="Y462" s="64"/>
      <c r="BH462" s="64"/>
      <c r="BI462" s="64"/>
      <c r="BJ462" s="64"/>
      <c r="BK462" s="64"/>
      <c r="BL462" s="64"/>
      <c r="BM462" s="64"/>
      <c r="BN462" s="64"/>
      <c r="BO462" s="64"/>
      <c r="BP462" s="64"/>
      <c r="BQ462" s="64"/>
      <c r="BR462" s="64"/>
    </row>
    <row r="463" ht="18.75" customHeight="1">
      <c r="G463" s="122"/>
      <c r="H463" s="64"/>
      <c r="L463" s="64"/>
      <c r="M463" s="64"/>
      <c r="N463" s="64"/>
      <c r="O463" s="64"/>
      <c r="P463" s="64"/>
      <c r="Q463" s="64"/>
      <c r="R463" s="64"/>
      <c r="S463" s="64"/>
      <c r="T463" s="64"/>
      <c r="U463" s="64"/>
      <c r="V463" s="64"/>
      <c r="W463" s="64"/>
      <c r="X463" s="64"/>
      <c r="Y463" s="64"/>
      <c r="BH463" s="64"/>
      <c r="BI463" s="64"/>
      <c r="BJ463" s="64"/>
      <c r="BK463" s="64"/>
      <c r="BL463" s="64"/>
      <c r="BM463" s="64"/>
      <c r="BN463" s="64"/>
      <c r="BO463" s="64"/>
      <c r="BP463" s="64"/>
      <c r="BQ463" s="64"/>
      <c r="BR463" s="64"/>
    </row>
    <row r="464" ht="18.75" customHeight="1">
      <c r="G464" s="122"/>
      <c r="H464" s="64"/>
      <c r="L464" s="64"/>
      <c r="M464" s="64"/>
      <c r="N464" s="64"/>
      <c r="O464" s="64"/>
      <c r="P464" s="64"/>
      <c r="Q464" s="64"/>
      <c r="R464" s="64"/>
      <c r="S464" s="64"/>
      <c r="T464" s="64"/>
      <c r="U464" s="64"/>
      <c r="V464" s="64"/>
      <c r="W464" s="64"/>
      <c r="X464" s="64"/>
      <c r="Y464" s="64"/>
      <c r="BH464" s="64"/>
      <c r="BI464" s="64"/>
      <c r="BJ464" s="64"/>
      <c r="BK464" s="64"/>
      <c r="BL464" s="64"/>
      <c r="BM464" s="64"/>
      <c r="BN464" s="64"/>
      <c r="BO464" s="64"/>
      <c r="BP464" s="64"/>
      <c r="BQ464" s="64"/>
      <c r="BR464" s="64"/>
    </row>
    <row r="465" ht="18.75" customHeight="1">
      <c r="G465" s="122"/>
      <c r="H465" s="64"/>
      <c r="L465" s="64"/>
      <c r="M465" s="64"/>
      <c r="N465" s="64"/>
      <c r="O465" s="64"/>
      <c r="P465" s="64"/>
      <c r="Q465" s="64"/>
      <c r="R465" s="64"/>
      <c r="S465" s="64"/>
      <c r="T465" s="64"/>
      <c r="U465" s="64"/>
      <c r="V465" s="64"/>
      <c r="W465" s="64"/>
      <c r="X465" s="64"/>
      <c r="Y465" s="64"/>
      <c r="BH465" s="64"/>
      <c r="BI465" s="64"/>
      <c r="BJ465" s="64"/>
      <c r="BK465" s="64"/>
      <c r="BL465" s="64"/>
      <c r="BM465" s="64"/>
      <c r="BN465" s="64"/>
      <c r="BO465" s="64"/>
      <c r="BP465" s="64"/>
      <c r="BQ465" s="64"/>
      <c r="BR465" s="64"/>
    </row>
    <row r="466" ht="18.75" customHeight="1">
      <c r="G466" s="122"/>
      <c r="H466" s="64"/>
      <c r="L466" s="64"/>
      <c r="M466" s="64"/>
      <c r="N466" s="64"/>
      <c r="O466" s="64"/>
      <c r="P466" s="64"/>
      <c r="Q466" s="64"/>
      <c r="R466" s="64"/>
      <c r="S466" s="64"/>
      <c r="T466" s="64"/>
      <c r="U466" s="64"/>
      <c r="V466" s="64"/>
      <c r="W466" s="64"/>
      <c r="X466" s="64"/>
      <c r="Y466" s="64"/>
      <c r="BH466" s="64"/>
      <c r="BI466" s="64"/>
      <c r="BJ466" s="64"/>
      <c r="BK466" s="64"/>
      <c r="BL466" s="64"/>
      <c r="BM466" s="64"/>
      <c r="BN466" s="64"/>
      <c r="BO466" s="64"/>
      <c r="BP466" s="64"/>
      <c r="BQ466" s="64"/>
      <c r="BR466" s="64"/>
    </row>
    <row r="467" ht="18.75" customHeight="1">
      <c r="G467" s="122"/>
      <c r="H467" s="64"/>
      <c r="L467" s="64"/>
      <c r="M467" s="64"/>
      <c r="N467" s="64"/>
      <c r="O467" s="64"/>
      <c r="P467" s="64"/>
      <c r="Q467" s="64"/>
      <c r="R467" s="64"/>
      <c r="S467" s="64"/>
      <c r="T467" s="64"/>
      <c r="U467" s="64"/>
      <c r="V467" s="64"/>
      <c r="W467" s="64"/>
      <c r="X467" s="64"/>
      <c r="Y467" s="64"/>
      <c r="BH467" s="64"/>
      <c r="BI467" s="64"/>
      <c r="BJ467" s="64"/>
      <c r="BK467" s="64"/>
      <c r="BL467" s="64"/>
      <c r="BM467" s="64"/>
      <c r="BN467" s="64"/>
      <c r="BO467" s="64"/>
      <c r="BP467" s="64"/>
      <c r="BQ467" s="64"/>
      <c r="BR467" s="64"/>
    </row>
    <row r="468" ht="18.75" customHeight="1">
      <c r="G468" s="122"/>
      <c r="H468" s="64"/>
      <c r="L468" s="64"/>
      <c r="M468" s="64"/>
      <c r="N468" s="64"/>
      <c r="O468" s="64"/>
      <c r="P468" s="64"/>
      <c r="Q468" s="64"/>
      <c r="R468" s="64"/>
      <c r="S468" s="64"/>
      <c r="T468" s="64"/>
      <c r="U468" s="64"/>
      <c r="V468" s="64"/>
      <c r="W468" s="64"/>
      <c r="X468" s="64"/>
      <c r="Y468" s="64"/>
      <c r="BH468" s="64"/>
      <c r="BI468" s="64"/>
      <c r="BJ468" s="64"/>
      <c r="BK468" s="64"/>
      <c r="BL468" s="64"/>
      <c r="BM468" s="64"/>
      <c r="BN468" s="64"/>
      <c r="BO468" s="64"/>
      <c r="BP468" s="64"/>
      <c r="BQ468" s="64"/>
      <c r="BR468" s="64"/>
    </row>
    <row r="469" ht="18.75" customHeight="1">
      <c r="G469" s="122"/>
      <c r="H469" s="64"/>
      <c r="L469" s="64"/>
      <c r="M469" s="64"/>
      <c r="N469" s="64"/>
      <c r="O469" s="64"/>
      <c r="P469" s="64"/>
      <c r="Q469" s="64"/>
      <c r="R469" s="64"/>
      <c r="S469" s="64"/>
      <c r="T469" s="64"/>
      <c r="U469" s="64"/>
      <c r="V469" s="64"/>
      <c r="W469" s="64"/>
      <c r="X469" s="64"/>
      <c r="Y469" s="64"/>
      <c r="BH469" s="64"/>
      <c r="BI469" s="64"/>
      <c r="BJ469" s="64"/>
      <c r="BK469" s="64"/>
      <c r="BL469" s="64"/>
      <c r="BM469" s="64"/>
      <c r="BN469" s="64"/>
      <c r="BO469" s="64"/>
      <c r="BP469" s="64"/>
      <c r="BQ469" s="64"/>
      <c r="BR469" s="64"/>
    </row>
    <row r="470" ht="18.75" customHeight="1">
      <c r="G470" s="122"/>
      <c r="H470" s="64"/>
      <c r="L470" s="64"/>
      <c r="M470" s="64"/>
      <c r="N470" s="64"/>
      <c r="O470" s="64"/>
      <c r="P470" s="64"/>
      <c r="Q470" s="64"/>
      <c r="R470" s="64"/>
      <c r="S470" s="64"/>
      <c r="T470" s="64"/>
      <c r="U470" s="64"/>
      <c r="V470" s="64"/>
      <c r="W470" s="64"/>
      <c r="X470" s="64"/>
      <c r="Y470" s="64"/>
      <c r="BH470" s="64"/>
      <c r="BI470" s="64"/>
      <c r="BJ470" s="64"/>
      <c r="BK470" s="64"/>
      <c r="BL470" s="64"/>
      <c r="BM470" s="64"/>
      <c r="BN470" s="64"/>
      <c r="BO470" s="64"/>
      <c r="BP470" s="64"/>
      <c r="BQ470" s="64"/>
      <c r="BR470" s="64"/>
    </row>
    <row r="471" ht="18.75" customHeight="1">
      <c r="G471" s="122"/>
      <c r="H471" s="64"/>
      <c r="L471" s="64"/>
      <c r="M471" s="64"/>
      <c r="N471" s="64"/>
      <c r="O471" s="64"/>
      <c r="P471" s="64"/>
      <c r="Q471" s="64"/>
      <c r="R471" s="64"/>
      <c r="S471" s="64"/>
      <c r="T471" s="64"/>
      <c r="U471" s="64"/>
      <c r="V471" s="64"/>
      <c r="W471" s="64"/>
      <c r="X471" s="64"/>
      <c r="Y471" s="64"/>
      <c r="BH471" s="64"/>
      <c r="BI471" s="64"/>
      <c r="BJ471" s="64"/>
      <c r="BK471" s="64"/>
      <c r="BL471" s="64"/>
      <c r="BM471" s="64"/>
      <c r="BN471" s="64"/>
      <c r="BO471" s="64"/>
      <c r="BP471" s="64"/>
      <c r="BQ471" s="64"/>
      <c r="BR471" s="64"/>
    </row>
    <row r="472" ht="18.75" customHeight="1">
      <c r="G472" s="122"/>
      <c r="H472" s="64"/>
      <c r="L472" s="64"/>
      <c r="M472" s="64"/>
      <c r="N472" s="64"/>
      <c r="O472" s="64"/>
      <c r="P472" s="64"/>
      <c r="Q472" s="64"/>
      <c r="R472" s="64"/>
      <c r="S472" s="64"/>
      <c r="T472" s="64"/>
      <c r="U472" s="64"/>
      <c r="V472" s="64"/>
      <c r="W472" s="64"/>
      <c r="X472" s="64"/>
      <c r="Y472" s="64"/>
      <c r="BH472" s="64"/>
      <c r="BI472" s="64"/>
      <c r="BJ472" s="64"/>
      <c r="BK472" s="64"/>
      <c r="BL472" s="64"/>
      <c r="BM472" s="64"/>
      <c r="BN472" s="64"/>
      <c r="BO472" s="64"/>
      <c r="BP472" s="64"/>
      <c r="BQ472" s="64"/>
      <c r="BR472" s="64"/>
    </row>
    <row r="473" ht="18.75" customHeight="1">
      <c r="G473" s="122"/>
      <c r="H473" s="64"/>
      <c r="L473" s="64"/>
      <c r="M473" s="64"/>
      <c r="N473" s="64"/>
      <c r="O473" s="64"/>
      <c r="P473" s="64"/>
      <c r="Q473" s="64"/>
      <c r="R473" s="64"/>
      <c r="S473" s="64"/>
      <c r="T473" s="64"/>
      <c r="U473" s="64"/>
      <c r="V473" s="64"/>
      <c r="W473" s="64"/>
      <c r="X473" s="64"/>
      <c r="Y473" s="64"/>
      <c r="BH473" s="64"/>
      <c r="BI473" s="64"/>
      <c r="BJ473" s="64"/>
      <c r="BK473" s="64"/>
      <c r="BL473" s="64"/>
      <c r="BM473" s="64"/>
      <c r="BN473" s="64"/>
      <c r="BO473" s="64"/>
      <c r="BP473" s="64"/>
      <c r="BQ473" s="64"/>
      <c r="BR473" s="64"/>
    </row>
    <row r="474" ht="18.75" customHeight="1">
      <c r="G474" s="122"/>
      <c r="H474" s="64"/>
      <c r="L474" s="64"/>
      <c r="M474" s="64"/>
      <c r="N474" s="64"/>
      <c r="O474" s="64"/>
      <c r="P474" s="64"/>
      <c r="Q474" s="64"/>
      <c r="R474" s="64"/>
      <c r="S474" s="64"/>
      <c r="T474" s="64"/>
      <c r="U474" s="64"/>
      <c r="V474" s="64"/>
      <c r="W474" s="64"/>
      <c r="X474" s="64"/>
      <c r="Y474" s="64"/>
      <c r="BH474" s="64"/>
      <c r="BI474" s="64"/>
      <c r="BJ474" s="64"/>
      <c r="BK474" s="64"/>
      <c r="BL474" s="64"/>
      <c r="BM474" s="64"/>
      <c r="BN474" s="64"/>
      <c r="BO474" s="64"/>
      <c r="BP474" s="64"/>
      <c r="BQ474" s="64"/>
      <c r="BR474" s="64"/>
    </row>
    <row r="475" ht="18.75" customHeight="1">
      <c r="G475" s="122"/>
      <c r="H475" s="64"/>
      <c r="L475" s="64"/>
      <c r="M475" s="64"/>
      <c r="N475" s="64"/>
      <c r="O475" s="64"/>
      <c r="P475" s="64"/>
      <c r="Q475" s="64"/>
      <c r="R475" s="64"/>
      <c r="S475" s="64"/>
      <c r="T475" s="64"/>
      <c r="U475" s="64"/>
      <c r="V475" s="64"/>
      <c r="W475" s="64"/>
      <c r="X475" s="64"/>
      <c r="Y475" s="64"/>
      <c r="BH475" s="64"/>
      <c r="BI475" s="64"/>
      <c r="BJ475" s="64"/>
      <c r="BK475" s="64"/>
      <c r="BL475" s="64"/>
      <c r="BM475" s="64"/>
      <c r="BN475" s="64"/>
      <c r="BO475" s="64"/>
      <c r="BP475" s="64"/>
      <c r="BQ475" s="64"/>
      <c r="BR475" s="64"/>
    </row>
    <row r="476" ht="18.75" customHeight="1">
      <c r="G476" s="122"/>
      <c r="H476" s="64"/>
      <c r="L476" s="64"/>
      <c r="M476" s="64"/>
      <c r="N476" s="64"/>
      <c r="O476" s="64"/>
      <c r="P476" s="64"/>
      <c r="Q476" s="64"/>
      <c r="R476" s="64"/>
      <c r="S476" s="64"/>
      <c r="T476" s="64"/>
      <c r="U476" s="64"/>
      <c r="V476" s="64"/>
      <c r="W476" s="64"/>
      <c r="X476" s="64"/>
      <c r="Y476" s="64"/>
      <c r="BH476" s="64"/>
      <c r="BI476" s="64"/>
      <c r="BJ476" s="64"/>
      <c r="BK476" s="64"/>
      <c r="BL476" s="64"/>
      <c r="BM476" s="64"/>
      <c r="BN476" s="64"/>
      <c r="BO476" s="64"/>
      <c r="BP476" s="64"/>
      <c r="BQ476" s="64"/>
      <c r="BR476" s="64"/>
    </row>
    <row r="477" ht="18.75" customHeight="1">
      <c r="G477" s="122"/>
      <c r="H477" s="64"/>
      <c r="L477" s="64"/>
      <c r="M477" s="64"/>
      <c r="N477" s="64"/>
      <c r="O477" s="64"/>
      <c r="P477" s="64"/>
      <c r="Q477" s="64"/>
      <c r="R477" s="64"/>
      <c r="S477" s="64"/>
      <c r="T477" s="64"/>
      <c r="U477" s="64"/>
      <c r="V477" s="64"/>
      <c r="W477" s="64"/>
      <c r="X477" s="64"/>
      <c r="Y477" s="64"/>
      <c r="BH477" s="64"/>
      <c r="BI477" s="64"/>
      <c r="BJ477" s="64"/>
      <c r="BK477" s="64"/>
      <c r="BL477" s="64"/>
      <c r="BM477" s="64"/>
      <c r="BN477" s="64"/>
      <c r="BO477" s="64"/>
      <c r="BP477" s="64"/>
      <c r="BQ477" s="64"/>
      <c r="BR477" s="64"/>
    </row>
    <row r="478" ht="18.75" customHeight="1">
      <c r="G478" s="122"/>
      <c r="H478" s="64"/>
      <c r="L478" s="64"/>
      <c r="M478" s="64"/>
      <c r="N478" s="64"/>
      <c r="O478" s="64"/>
      <c r="P478" s="64"/>
      <c r="Q478" s="64"/>
      <c r="R478" s="64"/>
      <c r="S478" s="64"/>
      <c r="T478" s="64"/>
      <c r="U478" s="64"/>
      <c r="V478" s="64"/>
      <c r="W478" s="64"/>
      <c r="X478" s="64"/>
      <c r="Y478" s="64"/>
      <c r="BH478" s="64"/>
      <c r="BI478" s="64"/>
      <c r="BJ478" s="64"/>
      <c r="BK478" s="64"/>
      <c r="BL478" s="64"/>
      <c r="BM478" s="64"/>
      <c r="BN478" s="64"/>
      <c r="BO478" s="64"/>
      <c r="BP478" s="64"/>
      <c r="BQ478" s="64"/>
      <c r="BR478" s="64"/>
    </row>
    <row r="479" ht="18.75" customHeight="1">
      <c r="G479" s="122"/>
      <c r="H479" s="64"/>
      <c r="L479" s="64"/>
      <c r="M479" s="64"/>
      <c r="N479" s="64"/>
      <c r="O479" s="64"/>
      <c r="P479" s="64"/>
      <c r="Q479" s="64"/>
      <c r="R479" s="64"/>
      <c r="S479" s="64"/>
      <c r="T479" s="64"/>
      <c r="U479" s="64"/>
      <c r="V479" s="64"/>
      <c r="W479" s="64"/>
      <c r="X479" s="64"/>
      <c r="Y479" s="64"/>
      <c r="BH479" s="64"/>
      <c r="BI479" s="64"/>
      <c r="BJ479" s="64"/>
      <c r="BK479" s="64"/>
      <c r="BL479" s="64"/>
      <c r="BM479" s="64"/>
      <c r="BN479" s="64"/>
      <c r="BO479" s="64"/>
      <c r="BP479" s="64"/>
      <c r="BQ479" s="64"/>
      <c r="BR479" s="64"/>
    </row>
    <row r="480" ht="18.75" customHeight="1">
      <c r="G480" s="122"/>
      <c r="H480" s="64"/>
      <c r="L480" s="64"/>
      <c r="M480" s="64"/>
      <c r="N480" s="64"/>
      <c r="O480" s="64"/>
      <c r="P480" s="64"/>
      <c r="Q480" s="64"/>
      <c r="R480" s="64"/>
      <c r="S480" s="64"/>
      <c r="T480" s="64"/>
      <c r="U480" s="64"/>
      <c r="V480" s="64"/>
      <c r="W480" s="64"/>
      <c r="X480" s="64"/>
      <c r="Y480" s="64"/>
      <c r="BH480" s="64"/>
      <c r="BI480" s="64"/>
      <c r="BJ480" s="64"/>
      <c r="BK480" s="64"/>
      <c r="BL480" s="64"/>
      <c r="BM480" s="64"/>
      <c r="BN480" s="64"/>
      <c r="BO480" s="64"/>
      <c r="BP480" s="64"/>
      <c r="BQ480" s="64"/>
      <c r="BR480" s="64"/>
    </row>
    <row r="481" ht="18.75" customHeight="1">
      <c r="G481" s="122"/>
      <c r="H481" s="64"/>
      <c r="L481" s="64"/>
      <c r="M481" s="64"/>
      <c r="N481" s="64"/>
      <c r="O481" s="64"/>
      <c r="P481" s="64"/>
      <c r="Q481" s="64"/>
      <c r="R481" s="64"/>
      <c r="S481" s="64"/>
      <c r="T481" s="64"/>
      <c r="U481" s="64"/>
      <c r="V481" s="64"/>
      <c r="W481" s="64"/>
      <c r="X481" s="64"/>
      <c r="Y481" s="64"/>
      <c r="BH481" s="64"/>
      <c r="BI481" s="64"/>
      <c r="BJ481" s="64"/>
      <c r="BK481" s="64"/>
      <c r="BL481" s="64"/>
      <c r="BM481" s="64"/>
      <c r="BN481" s="64"/>
      <c r="BO481" s="64"/>
      <c r="BP481" s="64"/>
      <c r="BQ481" s="64"/>
      <c r="BR481" s="64"/>
    </row>
    <row r="482" ht="18.75" customHeight="1">
      <c r="G482" s="122"/>
      <c r="H482" s="64"/>
      <c r="L482" s="64"/>
      <c r="M482" s="64"/>
      <c r="N482" s="64"/>
      <c r="O482" s="64"/>
      <c r="P482" s="64"/>
      <c r="Q482" s="64"/>
      <c r="R482" s="64"/>
      <c r="S482" s="64"/>
      <c r="T482" s="64"/>
      <c r="U482" s="64"/>
      <c r="V482" s="64"/>
      <c r="W482" s="64"/>
      <c r="X482" s="64"/>
      <c r="Y482" s="64"/>
      <c r="BH482" s="64"/>
      <c r="BI482" s="64"/>
      <c r="BJ482" s="64"/>
      <c r="BK482" s="64"/>
      <c r="BL482" s="64"/>
      <c r="BM482" s="64"/>
      <c r="BN482" s="64"/>
      <c r="BO482" s="64"/>
      <c r="BP482" s="64"/>
      <c r="BQ482" s="64"/>
      <c r="BR482" s="64"/>
    </row>
    <row r="483" ht="18.75" customHeight="1">
      <c r="G483" s="122"/>
      <c r="H483" s="64"/>
      <c r="L483" s="64"/>
      <c r="M483" s="64"/>
      <c r="N483" s="64"/>
      <c r="O483" s="64"/>
      <c r="P483" s="64"/>
      <c r="Q483" s="64"/>
      <c r="R483" s="64"/>
      <c r="S483" s="64"/>
      <c r="T483" s="64"/>
      <c r="U483" s="64"/>
      <c r="V483" s="64"/>
      <c r="W483" s="64"/>
      <c r="X483" s="64"/>
      <c r="Y483" s="64"/>
      <c r="BH483" s="64"/>
      <c r="BI483" s="64"/>
      <c r="BJ483" s="64"/>
      <c r="BK483" s="64"/>
      <c r="BL483" s="64"/>
      <c r="BM483" s="64"/>
      <c r="BN483" s="64"/>
      <c r="BO483" s="64"/>
      <c r="BP483" s="64"/>
      <c r="BQ483" s="64"/>
      <c r="BR483" s="64"/>
    </row>
    <row r="484" ht="18.75" customHeight="1">
      <c r="G484" s="122"/>
      <c r="H484" s="64"/>
      <c r="L484" s="64"/>
      <c r="M484" s="64"/>
      <c r="N484" s="64"/>
      <c r="O484" s="64"/>
      <c r="P484" s="64"/>
      <c r="Q484" s="64"/>
      <c r="R484" s="64"/>
      <c r="S484" s="64"/>
      <c r="T484" s="64"/>
      <c r="U484" s="64"/>
      <c r="V484" s="64"/>
      <c r="W484" s="64"/>
      <c r="X484" s="64"/>
      <c r="Y484" s="64"/>
      <c r="BH484" s="64"/>
      <c r="BI484" s="64"/>
      <c r="BJ484" s="64"/>
      <c r="BK484" s="64"/>
      <c r="BL484" s="64"/>
      <c r="BM484" s="64"/>
      <c r="BN484" s="64"/>
      <c r="BO484" s="64"/>
      <c r="BP484" s="64"/>
      <c r="BQ484" s="64"/>
      <c r="BR484" s="64"/>
    </row>
    <row r="485" ht="18.75" customHeight="1">
      <c r="G485" s="122"/>
      <c r="H485" s="64"/>
      <c r="L485" s="64"/>
      <c r="M485" s="64"/>
      <c r="N485" s="64"/>
      <c r="O485" s="64"/>
      <c r="P485" s="64"/>
      <c r="Q485" s="64"/>
      <c r="R485" s="64"/>
      <c r="S485" s="64"/>
      <c r="T485" s="64"/>
      <c r="U485" s="64"/>
      <c r="V485" s="64"/>
      <c r="W485" s="64"/>
      <c r="X485" s="64"/>
      <c r="Y485" s="64"/>
      <c r="BH485" s="64"/>
      <c r="BI485" s="64"/>
      <c r="BJ485" s="64"/>
      <c r="BK485" s="64"/>
      <c r="BL485" s="64"/>
      <c r="BM485" s="64"/>
      <c r="BN485" s="64"/>
      <c r="BO485" s="64"/>
      <c r="BP485" s="64"/>
      <c r="BQ485" s="64"/>
      <c r="BR485" s="64"/>
    </row>
    <row r="486" ht="18.75" customHeight="1">
      <c r="G486" s="122"/>
      <c r="H486" s="64"/>
      <c r="L486" s="64"/>
      <c r="M486" s="64"/>
      <c r="N486" s="64"/>
      <c r="O486" s="64"/>
      <c r="P486" s="64"/>
      <c r="Q486" s="64"/>
      <c r="R486" s="64"/>
      <c r="S486" s="64"/>
      <c r="T486" s="64"/>
      <c r="U486" s="64"/>
      <c r="V486" s="64"/>
      <c r="W486" s="64"/>
      <c r="X486" s="64"/>
      <c r="Y486" s="64"/>
      <c r="BH486" s="64"/>
      <c r="BI486" s="64"/>
      <c r="BJ486" s="64"/>
      <c r="BK486" s="64"/>
      <c r="BL486" s="64"/>
      <c r="BM486" s="64"/>
      <c r="BN486" s="64"/>
      <c r="BO486" s="64"/>
      <c r="BP486" s="64"/>
      <c r="BQ486" s="64"/>
      <c r="BR486" s="64"/>
    </row>
    <row r="487" ht="18.75" customHeight="1">
      <c r="G487" s="122"/>
      <c r="H487" s="64"/>
      <c r="L487" s="64"/>
      <c r="M487" s="64"/>
      <c r="N487" s="64"/>
      <c r="O487" s="64"/>
      <c r="P487" s="64"/>
      <c r="Q487" s="64"/>
      <c r="R487" s="64"/>
      <c r="S487" s="64"/>
      <c r="T487" s="64"/>
      <c r="U487" s="64"/>
      <c r="V487" s="64"/>
      <c r="W487" s="64"/>
      <c r="X487" s="64"/>
      <c r="Y487" s="64"/>
      <c r="BH487" s="64"/>
      <c r="BI487" s="64"/>
      <c r="BJ487" s="64"/>
      <c r="BK487" s="64"/>
      <c r="BL487" s="64"/>
      <c r="BM487" s="64"/>
      <c r="BN487" s="64"/>
      <c r="BO487" s="64"/>
      <c r="BP487" s="64"/>
      <c r="BQ487" s="64"/>
      <c r="BR487" s="64"/>
    </row>
    <row r="488" ht="18.75" customHeight="1">
      <c r="G488" s="122"/>
      <c r="H488" s="64"/>
      <c r="L488" s="64"/>
      <c r="M488" s="64"/>
      <c r="N488" s="64"/>
      <c r="O488" s="64"/>
      <c r="P488" s="64"/>
      <c r="Q488" s="64"/>
      <c r="R488" s="64"/>
      <c r="S488" s="64"/>
      <c r="T488" s="64"/>
      <c r="U488" s="64"/>
      <c r="V488" s="64"/>
      <c r="W488" s="64"/>
      <c r="X488" s="64"/>
      <c r="Y488" s="64"/>
      <c r="BH488" s="64"/>
      <c r="BI488" s="64"/>
      <c r="BJ488" s="64"/>
      <c r="BK488" s="64"/>
      <c r="BL488" s="64"/>
      <c r="BM488" s="64"/>
      <c r="BN488" s="64"/>
      <c r="BO488" s="64"/>
      <c r="BP488" s="64"/>
      <c r="BQ488" s="64"/>
      <c r="BR488" s="64"/>
    </row>
    <row r="489" ht="18.75" customHeight="1">
      <c r="G489" s="122"/>
      <c r="H489" s="64"/>
      <c r="L489" s="64"/>
      <c r="M489" s="64"/>
      <c r="N489" s="64"/>
      <c r="O489" s="64"/>
      <c r="P489" s="64"/>
      <c r="Q489" s="64"/>
      <c r="R489" s="64"/>
      <c r="S489" s="64"/>
      <c r="T489" s="64"/>
      <c r="U489" s="64"/>
      <c r="V489" s="64"/>
      <c r="W489" s="64"/>
      <c r="X489" s="64"/>
      <c r="Y489" s="64"/>
      <c r="BH489" s="64"/>
      <c r="BI489" s="64"/>
      <c r="BJ489" s="64"/>
      <c r="BK489" s="64"/>
      <c r="BL489" s="64"/>
      <c r="BM489" s="64"/>
      <c r="BN489" s="64"/>
      <c r="BO489" s="64"/>
      <c r="BP489" s="64"/>
      <c r="BQ489" s="64"/>
      <c r="BR489" s="64"/>
    </row>
    <row r="490" ht="18.75" customHeight="1">
      <c r="G490" s="122"/>
      <c r="H490" s="64"/>
      <c r="L490" s="64"/>
      <c r="M490" s="64"/>
      <c r="N490" s="64"/>
      <c r="O490" s="64"/>
      <c r="P490" s="64"/>
      <c r="Q490" s="64"/>
      <c r="R490" s="64"/>
      <c r="S490" s="64"/>
      <c r="T490" s="64"/>
      <c r="U490" s="64"/>
      <c r="V490" s="64"/>
      <c r="W490" s="64"/>
      <c r="X490" s="64"/>
      <c r="Y490" s="64"/>
      <c r="BH490" s="64"/>
      <c r="BI490" s="64"/>
      <c r="BJ490" s="64"/>
      <c r="BK490" s="64"/>
      <c r="BL490" s="64"/>
      <c r="BM490" s="64"/>
      <c r="BN490" s="64"/>
      <c r="BO490" s="64"/>
      <c r="BP490" s="64"/>
      <c r="BQ490" s="64"/>
      <c r="BR490" s="64"/>
    </row>
    <row r="491" ht="18.75" customHeight="1">
      <c r="G491" s="122"/>
      <c r="H491" s="64"/>
      <c r="L491" s="64"/>
      <c r="M491" s="64"/>
      <c r="N491" s="64"/>
      <c r="O491" s="64"/>
      <c r="P491" s="64"/>
      <c r="Q491" s="64"/>
      <c r="R491" s="64"/>
      <c r="S491" s="64"/>
      <c r="T491" s="64"/>
      <c r="U491" s="64"/>
      <c r="V491" s="64"/>
      <c r="W491" s="64"/>
      <c r="X491" s="64"/>
      <c r="Y491" s="64"/>
      <c r="BH491" s="64"/>
      <c r="BI491" s="64"/>
      <c r="BJ491" s="64"/>
      <c r="BK491" s="64"/>
      <c r="BL491" s="64"/>
      <c r="BM491" s="64"/>
      <c r="BN491" s="64"/>
      <c r="BO491" s="64"/>
      <c r="BP491" s="64"/>
      <c r="BQ491" s="64"/>
      <c r="BR491" s="64"/>
    </row>
    <row r="492" ht="18.75" customHeight="1">
      <c r="G492" s="122"/>
      <c r="H492" s="64"/>
      <c r="L492" s="64"/>
      <c r="M492" s="64"/>
      <c r="N492" s="64"/>
      <c r="O492" s="64"/>
      <c r="P492" s="64"/>
      <c r="Q492" s="64"/>
      <c r="R492" s="64"/>
      <c r="S492" s="64"/>
      <c r="T492" s="64"/>
      <c r="U492" s="64"/>
      <c r="V492" s="64"/>
      <c r="W492" s="64"/>
      <c r="X492" s="64"/>
      <c r="Y492" s="64"/>
      <c r="BH492" s="64"/>
      <c r="BI492" s="64"/>
      <c r="BJ492" s="64"/>
      <c r="BK492" s="64"/>
      <c r="BL492" s="64"/>
      <c r="BM492" s="64"/>
      <c r="BN492" s="64"/>
      <c r="BO492" s="64"/>
      <c r="BP492" s="64"/>
      <c r="BQ492" s="64"/>
      <c r="BR492" s="64"/>
    </row>
    <row r="493" ht="18.75" customHeight="1">
      <c r="G493" s="122"/>
      <c r="H493" s="64"/>
      <c r="L493" s="64"/>
      <c r="M493" s="64"/>
      <c r="N493" s="64"/>
      <c r="O493" s="64"/>
      <c r="P493" s="64"/>
      <c r="Q493" s="64"/>
      <c r="R493" s="64"/>
      <c r="S493" s="64"/>
      <c r="T493" s="64"/>
      <c r="U493" s="64"/>
      <c r="V493" s="64"/>
      <c r="W493" s="64"/>
      <c r="X493" s="64"/>
      <c r="Y493" s="64"/>
      <c r="BH493" s="64"/>
      <c r="BI493" s="64"/>
      <c r="BJ493" s="64"/>
      <c r="BK493" s="64"/>
      <c r="BL493" s="64"/>
      <c r="BM493" s="64"/>
      <c r="BN493" s="64"/>
      <c r="BO493" s="64"/>
      <c r="BP493" s="64"/>
      <c r="BQ493" s="64"/>
      <c r="BR493" s="64"/>
    </row>
    <row r="494" ht="18.75" customHeight="1">
      <c r="G494" s="122"/>
      <c r="H494" s="64"/>
      <c r="L494" s="64"/>
      <c r="M494" s="64"/>
      <c r="N494" s="64"/>
      <c r="O494" s="64"/>
      <c r="P494" s="64"/>
      <c r="Q494" s="64"/>
      <c r="R494" s="64"/>
      <c r="S494" s="64"/>
      <c r="T494" s="64"/>
      <c r="U494" s="64"/>
      <c r="V494" s="64"/>
      <c r="W494" s="64"/>
      <c r="X494" s="64"/>
      <c r="Y494" s="64"/>
      <c r="BH494" s="64"/>
      <c r="BI494" s="64"/>
      <c r="BJ494" s="64"/>
      <c r="BK494" s="64"/>
      <c r="BL494" s="64"/>
      <c r="BM494" s="64"/>
      <c r="BN494" s="64"/>
      <c r="BO494" s="64"/>
      <c r="BP494" s="64"/>
      <c r="BQ494" s="64"/>
      <c r="BR494" s="64"/>
    </row>
    <row r="495" ht="18.75" customHeight="1">
      <c r="G495" s="122"/>
      <c r="H495" s="64"/>
      <c r="L495" s="64"/>
      <c r="M495" s="64"/>
      <c r="N495" s="64"/>
      <c r="O495" s="64"/>
      <c r="P495" s="64"/>
      <c r="Q495" s="64"/>
      <c r="R495" s="64"/>
      <c r="S495" s="64"/>
      <c r="T495" s="64"/>
      <c r="U495" s="64"/>
      <c r="V495" s="64"/>
      <c r="W495" s="64"/>
      <c r="X495" s="64"/>
      <c r="Y495" s="64"/>
      <c r="BH495" s="64"/>
      <c r="BI495" s="64"/>
      <c r="BJ495" s="64"/>
      <c r="BK495" s="64"/>
      <c r="BL495" s="64"/>
      <c r="BM495" s="64"/>
      <c r="BN495" s="64"/>
      <c r="BO495" s="64"/>
      <c r="BP495" s="64"/>
      <c r="BQ495" s="64"/>
      <c r="BR495" s="64"/>
    </row>
    <row r="496" ht="18.75" customHeight="1">
      <c r="G496" s="122"/>
      <c r="H496" s="64"/>
      <c r="L496" s="64"/>
      <c r="M496" s="64"/>
      <c r="N496" s="64"/>
      <c r="O496" s="64"/>
      <c r="P496" s="64"/>
      <c r="Q496" s="64"/>
      <c r="R496" s="64"/>
      <c r="S496" s="64"/>
      <c r="T496" s="64"/>
      <c r="U496" s="64"/>
      <c r="V496" s="64"/>
      <c r="W496" s="64"/>
      <c r="X496" s="64"/>
      <c r="Y496" s="64"/>
      <c r="BH496" s="64"/>
      <c r="BI496" s="64"/>
      <c r="BJ496" s="64"/>
      <c r="BK496" s="64"/>
      <c r="BL496" s="64"/>
      <c r="BM496" s="64"/>
      <c r="BN496" s="64"/>
      <c r="BO496" s="64"/>
      <c r="BP496" s="64"/>
      <c r="BQ496" s="64"/>
      <c r="BR496" s="64"/>
    </row>
    <row r="497" ht="18.75" customHeight="1">
      <c r="G497" s="122"/>
      <c r="H497" s="64"/>
      <c r="L497" s="64"/>
      <c r="M497" s="64"/>
      <c r="N497" s="64"/>
      <c r="O497" s="64"/>
      <c r="P497" s="64"/>
      <c r="Q497" s="64"/>
      <c r="R497" s="64"/>
      <c r="S497" s="64"/>
      <c r="T497" s="64"/>
      <c r="U497" s="64"/>
      <c r="V497" s="64"/>
      <c r="W497" s="64"/>
      <c r="X497" s="64"/>
      <c r="Y497" s="64"/>
      <c r="BH497" s="64"/>
      <c r="BI497" s="64"/>
      <c r="BJ497" s="64"/>
      <c r="BK497" s="64"/>
      <c r="BL497" s="64"/>
      <c r="BM497" s="64"/>
      <c r="BN497" s="64"/>
      <c r="BO497" s="64"/>
      <c r="BP497" s="64"/>
      <c r="BQ497" s="64"/>
      <c r="BR497" s="64"/>
    </row>
    <row r="498" ht="18.75" customHeight="1">
      <c r="G498" s="122"/>
      <c r="H498" s="64"/>
      <c r="L498" s="64"/>
      <c r="M498" s="64"/>
      <c r="N498" s="64"/>
      <c r="O498" s="64"/>
      <c r="P498" s="64"/>
      <c r="Q498" s="64"/>
      <c r="R498" s="64"/>
      <c r="S498" s="64"/>
      <c r="T498" s="64"/>
      <c r="U498" s="64"/>
      <c r="V498" s="64"/>
      <c r="W498" s="64"/>
      <c r="X498" s="64"/>
      <c r="Y498" s="64"/>
      <c r="BH498" s="64"/>
      <c r="BI498" s="64"/>
      <c r="BJ498" s="64"/>
      <c r="BK498" s="64"/>
      <c r="BL498" s="64"/>
      <c r="BM498" s="64"/>
      <c r="BN498" s="64"/>
      <c r="BO498" s="64"/>
      <c r="BP498" s="64"/>
      <c r="BQ498" s="64"/>
      <c r="BR498" s="64"/>
    </row>
    <row r="499" ht="18.75" customHeight="1">
      <c r="G499" s="122"/>
      <c r="H499" s="64"/>
      <c r="L499" s="64"/>
      <c r="M499" s="64"/>
      <c r="N499" s="64"/>
      <c r="O499" s="64"/>
      <c r="P499" s="64"/>
      <c r="Q499" s="64"/>
      <c r="R499" s="64"/>
      <c r="S499" s="64"/>
      <c r="T499" s="64"/>
      <c r="U499" s="64"/>
      <c r="V499" s="64"/>
      <c r="W499" s="64"/>
      <c r="X499" s="64"/>
      <c r="Y499" s="64"/>
      <c r="BH499" s="64"/>
      <c r="BI499" s="64"/>
      <c r="BJ499" s="64"/>
      <c r="BK499" s="64"/>
      <c r="BL499" s="64"/>
      <c r="BM499" s="64"/>
      <c r="BN499" s="64"/>
      <c r="BO499" s="64"/>
      <c r="BP499" s="64"/>
      <c r="BQ499" s="64"/>
      <c r="BR499" s="64"/>
    </row>
    <row r="500" ht="18.75" customHeight="1">
      <c r="G500" s="122"/>
      <c r="H500" s="64"/>
      <c r="L500" s="64"/>
      <c r="M500" s="64"/>
      <c r="N500" s="64"/>
      <c r="O500" s="64"/>
      <c r="P500" s="64"/>
      <c r="Q500" s="64"/>
      <c r="R500" s="64"/>
      <c r="S500" s="64"/>
      <c r="T500" s="64"/>
      <c r="U500" s="64"/>
      <c r="V500" s="64"/>
      <c r="W500" s="64"/>
      <c r="X500" s="64"/>
      <c r="Y500" s="64"/>
      <c r="BH500" s="64"/>
      <c r="BI500" s="64"/>
      <c r="BJ500" s="64"/>
      <c r="BK500" s="64"/>
      <c r="BL500" s="64"/>
      <c r="BM500" s="64"/>
      <c r="BN500" s="64"/>
      <c r="BO500" s="64"/>
      <c r="BP500" s="64"/>
      <c r="BQ500" s="64"/>
      <c r="BR500" s="64"/>
    </row>
    <row r="501" ht="18.75" customHeight="1">
      <c r="G501" s="122"/>
      <c r="H501" s="64"/>
      <c r="L501" s="64"/>
      <c r="M501" s="64"/>
      <c r="N501" s="64"/>
      <c r="O501" s="64"/>
      <c r="P501" s="64"/>
      <c r="Q501" s="64"/>
      <c r="R501" s="64"/>
      <c r="S501" s="64"/>
      <c r="T501" s="64"/>
      <c r="U501" s="64"/>
      <c r="V501" s="64"/>
      <c r="W501" s="64"/>
      <c r="X501" s="64"/>
      <c r="Y501" s="64"/>
      <c r="BH501" s="64"/>
      <c r="BI501" s="64"/>
      <c r="BJ501" s="64"/>
      <c r="BK501" s="64"/>
      <c r="BL501" s="64"/>
      <c r="BM501" s="64"/>
      <c r="BN501" s="64"/>
      <c r="BO501" s="64"/>
      <c r="BP501" s="64"/>
      <c r="BQ501" s="64"/>
      <c r="BR501" s="64"/>
    </row>
    <row r="502" ht="18.75" customHeight="1">
      <c r="G502" s="122"/>
      <c r="H502" s="64"/>
      <c r="L502" s="64"/>
      <c r="M502" s="64"/>
      <c r="N502" s="64"/>
      <c r="O502" s="64"/>
      <c r="P502" s="64"/>
      <c r="Q502" s="64"/>
      <c r="R502" s="64"/>
      <c r="S502" s="64"/>
      <c r="T502" s="64"/>
      <c r="U502" s="64"/>
      <c r="V502" s="64"/>
      <c r="W502" s="64"/>
      <c r="X502" s="64"/>
      <c r="Y502" s="64"/>
      <c r="BH502" s="64"/>
      <c r="BI502" s="64"/>
      <c r="BJ502" s="64"/>
      <c r="BK502" s="64"/>
      <c r="BL502" s="64"/>
      <c r="BM502" s="64"/>
      <c r="BN502" s="64"/>
      <c r="BO502" s="64"/>
      <c r="BP502" s="64"/>
      <c r="BQ502" s="64"/>
      <c r="BR502" s="64"/>
    </row>
    <row r="503" ht="18.75" customHeight="1">
      <c r="G503" s="122"/>
      <c r="H503" s="64"/>
      <c r="L503" s="64"/>
      <c r="M503" s="64"/>
      <c r="N503" s="64"/>
      <c r="O503" s="64"/>
      <c r="P503" s="64"/>
      <c r="Q503" s="64"/>
      <c r="R503" s="64"/>
      <c r="S503" s="64"/>
      <c r="T503" s="64"/>
      <c r="U503" s="64"/>
      <c r="V503" s="64"/>
      <c r="W503" s="64"/>
      <c r="X503" s="64"/>
      <c r="Y503" s="64"/>
      <c r="BH503" s="64"/>
      <c r="BI503" s="64"/>
      <c r="BJ503" s="64"/>
      <c r="BK503" s="64"/>
      <c r="BL503" s="64"/>
      <c r="BM503" s="64"/>
      <c r="BN503" s="64"/>
      <c r="BO503" s="64"/>
      <c r="BP503" s="64"/>
      <c r="BQ503" s="64"/>
      <c r="BR503" s="64"/>
    </row>
    <row r="504" ht="18.75" customHeight="1">
      <c r="G504" s="122"/>
      <c r="H504" s="64"/>
      <c r="L504" s="64"/>
      <c r="M504" s="64"/>
      <c r="N504" s="64"/>
      <c r="O504" s="64"/>
      <c r="P504" s="64"/>
      <c r="Q504" s="64"/>
      <c r="R504" s="64"/>
      <c r="S504" s="64"/>
      <c r="T504" s="64"/>
      <c r="U504" s="64"/>
      <c r="V504" s="64"/>
      <c r="W504" s="64"/>
      <c r="X504" s="64"/>
      <c r="Y504" s="64"/>
      <c r="BH504" s="64"/>
      <c r="BI504" s="64"/>
      <c r="BJ504" s="64"/>
      <c r="BK504" s="64"/>
      <c r="BL504" s="64"/>
      <c r="BM504" s="64"/>
      <c r="BN504" s="64"/>
      <c r="BO504" s="64"/>
      <c r="BP504" s="64"/>
      <c r="BQ504" s="64"/>
      <c r="BR504" s="64"/>
    </row>
    <row r="505" ht="18.75" customHeight="1">
      <c r="G505" s="122"/>
      <c r="H505" s="64"/>
      <c r="L505" s="64"/>
      <c r="M505" s="64"/>
      <c r="N505" s="64"/>
      <c r="O505" s="64"/>
      <c r="P505" s="64"/>
      <c r="Q505" s="64"/>
      <c r="R505" s="64"/>
      <c r="S505" s="64"/>
      <c r="T505" s="64"/>
      <c r="U505" s="64"/>
      <c r="V505" s="64"/>
      <c r="W505" s="64"/>
      <c r="X505" s="64"/>
      <c r="Y505" s="64"/>
      <c r="BH505" s="64"/>
      <c r="BI505" s="64"/>
      <c r="BJ505" s="64"/>
      <c r="BK505" s="64"/>
      <c r="BL505" s="64"/>
      <c r="BM505" s="64"/>
      <c r="BN505" s="64"/>
      <c r="BO505" s="64"/>
      <c r="BP505" s="64"/>
      <c r="BQ505" s="64"/>
      <c r="BR505" s="64"/>
    </row>
    <row r="506" ht="18.75" customHeight="1">
      <c r="G506" s="122"/>
      <c r="H506" s="64"/>
      <c r="L506" s="64"/>
      <c r="M506" s="64"/>
      <c r="N506" s="64"/>
      <c r="O506" s="64"/>
      <c r="P506" s="64"/>
      <c r="Q506" s="64"/>
      <c r="R506" s="64"/>
      <c r="S506" s="64"/>
      <c r="T506" s="64"/>
      <c r="U506" s="64"/>
      <c r="V506" s="64"/>
      <c r="W506" s="64"/>
      <c r="X506" s="64"/>
      <c r="Y506" s="64"/>
      <c r="BH506" s="64"/>
      <c r="BI506" s="64"/>
      <c r="BJ506" s="64"/>
      <c r="BK506" s="64"/>
      <c r="BL506" s="64"/>
      <c r="BM506" s="64"/>
      <c r="BN506" s="64"/>
      <c r="BO506" s="64"/>
      <c r="BP506" s="64"/>
      <c r="BQ506" s="64"/>
      <c r="BR506" s="64"/>
    </row>
    <row r="507" ht="18.75" customHeight="1">
      <c r="G507" s="122"/>
      <c r="H507" s="64"/>
      <c r="L507" s="64"/>
      <c r="M507" s="64"/>
      <c r="N507" s="64"/>
      <c r="O507" s="64"/>
      <c r="P507" s="64"/>
      <c r="Q507" s="64"/>
      <c r="R507" s="64"/>
      <c r="S507" s="64"/>
      <c r="T507" s="64"/>
      <c r="U507" s="64"/>
      <c r="V507" s="64"/>
      <c r="W507" s="64"/>
      <c r="X507" s="64"/>
      <c r="Y507" s="64"/>
      <c r="BH507" s="64"/>
      <c r="BI507" s="64"/>
      <c r="BJ507" s="64"/>
      <c r="BK507" s="64"/>
      <c r="BL507" s="64"/>
      <c r="BM507" s="64"/>
      <c r="BN507" s="64"/>
      <c r="BO507" s="64"/>
      <c r="BP507" s="64"/>
      <c r="BQ507" s="64"/>
      <c r="BR507" s="64"/>
    </row>
    <row r="508" ht="18.75" customHeight="1">
      <c r="G508" s="122"/>
      <c r="H508" s="64"/>
      <c r="L508" s="64"/>
      <c r="M508" s="64"/>
      <c r="N508" s="64"/>
      <c r="O508" s="64"/>
      <c r="P508" s="64"/>
      <c r="Q508" s="64"/>
      <c r="R508" s="64"/>
      <c r="S508" s="64"/>
      <c r="T508" s="64"/>
      <c r="U508" s="64"/>
      <c r="V508" s="64"/>
      <c r="W508" s="64"/>
      <c r="X508" s="64"/>
      <c r="Y508" s="64"/>
      <c r="BH508" s="64"/>
      <c r="BI508" s="64"/>
      <c r="BJ508" s="64"/>
      <c r="BK508" s="64"/>
      <c r="BL508" s="64"/>
      <c r="BM508" s="64"/>
      <c r="BN508" s="64"/>
      <c r="BO508" s="64"/>
      <c r="BP508" s="64"/>
      <c r="BQ508" s="64"/>
      <c r="BR508" s="64"/>
    </row>
    <row r="509" ht="18.75" customHeight="1">
      <c r="G509" s="122"/>
      <c r="H509" s="64"/>
      <c r="L509" s="64"/>
      <c r="M509" s="64"/>
      <c r="N509" s="64"/>
      <c r="O509" s="64"/>
      <c r="P509" s="64"/>
      <c r="Q509" s="64"/>
      <c r="R509" s="64"/>
      <c r="S509" s="64"/>
      <c r="T509" s="64"/>
      <c r="U509" s="64"/>
      <c r="V509" s="64"/>
      <c r="W509" s="64"/>
      <c r="X509" s="64"/>
      <c r="Y509" s="64"/>
      <c r="BH509" s="64"/>
      <c r="BI509" s="64"/>
      <c r="BJ509" s="64"/>
      <c r="BK509" s="64"/>
      <c r="BL509" s="64"/>
      <c r="BM509" s="64"/>
      <c r="BN509" s="64"/>
      <c r="BO509" s="64"/>
      <c r="BP509" s="64"/>
      <c r="BQ509" s="64"/>
      <c r="BR509" s="64"/>
    </row>
    <row r="510" ht="18.75" customHeight="1">
      <c r="G510" s="122"/>
      <c r="H510" s="64"/>
      <c r="L510" s="64"/>
      <c r="M510" s="64"/>
      <c r="N510" s="64"/>
      <c r="O510" s="64"/>
      <c r="P510" s="64"/>
      <c r="Q510" s="64"/>
      <c r="R510" s="64"/>
      <c r="S510" s="64"/>
      <c r="T510" s="64"/>
      <c r="U510" s="64"/>
      <c r="V510" s="64"/>
      <c r="W510" s="64"/>
      <c r="X510" s="64"/>
      <c r="Y510" s="64"/>
      <c r="BH510" s="64"/>
      <c r="BI510" s="64"/>
      <c r="BJ510" s="64"/>
      <c r="BK510" s="64"/>
      <c r="BL510" s="64"/>
      <c r="BM510" s="64"/>
      <c r="BN510" s="64"/>
      <c r="BO510" s="64"/>
      <c r="BP510" s="64"/>
      <c r="BQ510" s="64"/>
      <c r="BR510" s="64"/>
    </row>
    <row r="511" ht="18.75" customHeight="1">
      <c r="G511" s="122"/>
      <c r="H511" s="64"/>
      <c r="L511" s="64"/>
      <c r="M511" s="64"/>
      <c r="N511" s="64"/>
      <c r="O511" s="64"/>
      <c r="P511" s="64"/>
      <c r="Q511" s="64"/>
      <c r="R511" s="64"/>
      <c r="S511" s="64"/>
      <c r="T511" s="64"/>
      <c r="U511" s="64"/>
      <c r="V511" s="64"/>
      <c r="W511" s="64"/>
      <c r="X511" s="64"/>
      <c r="Y511" s="64"/>
      <c r="BH511" s="64"/>
      <c r="BI511" s="64"/>
      <c r="BJ511" s="64"/>
      <c r="BK511" s="64"/>
      <c r="BL511" s="64"/>
      <c r="BM511" s="64"/>
      <c r="BN511" s="64"/>
      <c r="BO511" s="64"/>
      <c r="BP511" s="64"/>
      <c r="BQ511" s="64"/>
      <c r="BR511" s="64"/>
    </row>
    <row r="512" ht="18.75" customHeight="1">
      <c r="G512" s="122"/>
      <c r="H512" s="64"/>
      <c r="L512" s="64"/>
      <c r="M512" s="64"/>
      <c r="N512" s="64"/>
      <c r="O512" s="64"/>
      <c r="P512" s="64"/>
      <c r="Q512" s="64"/>
      <c r="R512" s="64"/>
      <c r="S512" s="64"/>
      <c r="T512" s="64"/>
      <c r="U512" s="64"/>
      <c r="V512" s="64"/>
      <c r="W512" s="64"/>
      <c r="X512" s="64"/>
      <c r="Y512" s="64"/>
      <c r="BH512" s="64"/>
      <c r="BI512" s="64"/>
      <c r="BJ512" s="64"/>
      <c r="BK512" s="64"/>
      <c r="BL512" s="64"/>
      <c r="BM512" s="64"/>
      <c r="BN512" s="64"/>
      <c r="BO512" s="64"/>
      <c r="BP512" s="64"/>
      <c r="BQ512" s="64"/>
      <c r="BR512" s="64"/>
    </row>
    <row r="513" ht="18.75" customHeight="1">
      <c r="G513" s="122"/>
      <c r="H513" s="64"/>
      <c r="L513" s="64"/>
      <c r="M513" s="64"/>
      <c r="N513" s="64"/>
      <c r="O513" s="64"/>
      <c r="P513" s="64"/>
      <c r="Q513" s="64"/>
      <c r="R513" s="64"/>
      <c r="S513" s="64"/>
      <c r="T513" s="64"/>
      <c r="U513" s="64"/>
      <c r="V513" s="64"/>
      <c r="W513" s="64"/>
      <c r="X513" s="64"/>
      <c r="Y513" s="64"/>
      <c r="BH513" s="64"/>
      <c r="BI513" s="64"/>
      <c r="BJ513" s="64"/>
      <c r="BK513" s="64"/>
      <c r="BL513" s="64"/>
      <c r="BM513" s="64"/>
      <c r="BN513" s="64"/>
      <c r="BO513" s="64"/>
      <c r="BP513" s="64"/>
      <c r="BQ513" s="64"/>
      <c r="BR513" s="64"/>
    </row>
    <row r="514" ht="18.75" customHeight="1">
      <c r="G514" s="122"/>
      <c r="H514" s="64"/>
      <c r="L514" s="64"/>
      <c r="M514" s="64"/>
      <c r="N514" s="64"/>
      <c r="O514" s="64"/>
      <c r="P514" s="64"/>
      <c r="Q514" s="64"/>
      <c r="R514" s="64"/>
      <c r="S514" s="64"/>
      <c r="T514" s="64"/>
      <c r="U514" s="64"/>
      <c r="V514" s="64"/>
      <c r="W514" s="64"/>
      <c r="X514" s="64"/>
      <c r="Y514" s="64"/>
      <c r="BH514" s="64"/>
      <c r="BI514" s="64"/>
      <c r="BJ514" s="64"/>
      <c r="BK514" s="64"/>
      <c r="BL514" s="64"/>
      <c r="BM514" s="64"/>
      <c r="BN514" s="64"/>
      <c r="BO514" s="64"/>
      <c r="BP514" s="64"/>
      <c r="BQ514" s="64"/>
      <c r="BR514" s="64"/>
    </row>
    <row r="515" ht="18.75" customHeight="1">
      <c r="G515" s="122"/>
      <c r="H515" s="64"/>
      <c r="L515" s="64"/>
      <c r="M515" s="64"/>
      <c r="N515" s="64"/>
      <c r="O515" s="64"/>
      <c r="P515" s="64"/>
      <c r="Q515" s="64"/>
      <c r="R515" s="64"/>
      <c r="S515" s="64"/>
      <c r="T515" s="64"/>
      <c r="U515" s="64"/>
      <c r="V515" s="64"/>
      <c r="W515" s="64"/>
      <c r="X515" s="64"/>
      <c r="Y515" s="64"/>
      <c r="BH515" s="64"/>
      <c r="BI515" s="64"/>
      <c r="BJ515" s="64"/>
      <c r="BK515" s="64"/>
      <c r="BL515" s="64"/>
      <c r="BM515" s="64"/>
      <c r="BN515" s="64"/>
      <c r="BO515" s="64"/>
      <c r="BP515" s="64"/>
      <c r="BQ515" s="64"/>
      <c r="BR515" s="64"/>
    </row>
    <row r="516" ht="18.75" customHeight="1">
      <c r="G516" s="122"/>
      <c r="H516" s="64"/>
      <c r="L516" s="64"/>
      <c r="M516" s="64"/>
      <c r="N516" s="64"/>
      <c r="O516" s="64"/>
      <c r="P516" s="64"/>
      <c r="Q516" s="64"/>
      <c r="R516" s="64"/>
      <c r="S516" s="64"/>
      <c r="T516" s="64"/>
      <c r="U516" s="64"/>
      <c r="V516" s="64"/>
      <c r="W516" s="64"/>
      <c r="X516" s="64"/>
      <c r="Y516" s="64"/>
      <c r="BH516" s="64"/>
      <c r="BI516" s="64"/>
      <c r="BJ516" s="64"/>
      <c r="BK516" s="64"/>
      <c r="BL516" s="64"/>
      <c r="BM516" s="64"/>
      <c r="BN516" s="64"/>
      <c r="BO516" s="64"/>
      <c r="BP516" s="64"/>
      <c r="BQ516" s="64"/>
      <c r="BR516" s="64"/>
    </row>
    <row r="517" ht="18.75" customHeight="1">
      <c r="G517" s="122"/>
      <c r="H517" s="64"/>
      <c r="L517" s="64"/>
      <c r="M517" s="64"/>
      <c r="N517" s="64"/>
      <c r="O517" s="64"/>
      <c r="P517" s="64"/>
      <c r="Q517" s="64"/>
      <c r="R517" s="64"/>
      <c r="S517" s="64"/>
      <c r="T517" s="64"/>
      <c r="U517" s="64"/>
      <c r="V517" s="64"/>
      <c r="W517" s="64"/>
      <c r="X517" s="64"/>
      <c r="Y517" s="64"/>
      <c r="BH517" s="64"/>
      <c r="BI517" s="64"/>
      <c r="BJ517" s="64"/>
      <c r="BK517" s="64"/>
      <c r="BL517" s="64"/>
      <c r="BM517" s="64"/>
      <c r="BN517" s="64"/>
      <c r="BO517" s="64"/>
      <c r="BP517" s="64"/>
      <c r="BQ517" s="64"/>
      <c r="BR517" s="64"/>
    </row>
    <row r="518" ht="18.75" customHeight="1">
      <c r="G518" s="122"/>
      <c r="H518" s="64"/>
      <c r="L518" s="64"/>
      <c r="M518" s="64"/>
      <c r="N518" s="64"/>
      <c r="O518" s="64"/>
      <c r="P518" s="64"/>
      <c r="Q518" s="64"/>
      <c r="R518" s="64"/>
      <c r="S518" s="64"/>
      <c r="T518" s="64"/>
      <c r="U518" s="64"/>
      <c r="V518" s="64"/>
      <c r="W518" s="64"/>
      <c r="X518" s="64"/>
      <c r="Y518" s="64"/>
      <c r="BH518" s="64"/>
      <c r="BI518" s="64"/>
      <c r="BJ518" s="64"/>
      <c r="BK518" s="64"/>
      <c r="BL518" s="64"/>
      <c r="BM518" s="64"/>
      <c r="BN518" s="64"/>
      <c r="BO518" s="64"/>
      <c r="BP518" s="64"/>
      <c r="BQ518" s="64"/>
      <c r="BR518" s="64"/>
    </row>
    <row r="519" ht="18.75" customHeight="1">
      <c r="G519" s="122"/>
      <c r="H519" s="64"/>
      <c r="L519" s="64"/>
      <c r="M519" s="64"/>
      <c r="N519" s="64"/>
      <c r="O519" s="64"/>
      <c r="P519" s="64"/>
      <c r="Q519" s="64"/>
      <c r="R519" s="64"/>
      <c r="S519" s="64"/>
      <c r="T519" s="64"/>
      <c r="U519" s="64"/>
      <c r="V519" s="64"/>
      <c r="W519" s="64"/>
      <c r="X519" s="64"/>
      <c r="Y519" s="64"/>
      <c r="BH519" s="64"/>
      <c r="BI519" s="64"/>
      <c r="BJ519" s="64"/>
      <c r="BK519" s="64"/>
      <c r="BL519" s="64"/>
      <c r="BM519" s="64"/>
      <c r="BN519" s="64"/>
      <c r="BO519" s="64"/>
      <c r="BP519" s="64"/>
      <c r="BQ519" s="64"/>
      <c r="BR519" s="64"/>
    </row>
    <row r="520" ht="18.75" customHeight="1">
      <c r="G520" s="122"/>
      <c r="H520" s="64"/>
      <c r="L520" s="64"/>
      <c r="M520" s="64"/>
      <c r="N520" s="64"/>
      <c r="O520" s="64"/>
      <c r="P520" s="64"/>
      <c r="Q520" s="64"/>
      <c r="R520" s="64"/>
      <c r="S520" s="64"/>
      <c r="T520" s="64"/>
      <c r="U520" s="64"/>
      <c r="V520" s="64"/>
      <c r="W520" s="64"/>
      <c r="X520" s="64"/>
      <c r="Y520" s="64"/>
      <c r="BH520" s="64"/>
      <c r="BI520" s="64"/>
      <c r="BJ520" s="64"/>
      <c r="BK520" s="64"/>
      <c r="BL520" s="64"/>
      <c r="BM520" s="64"/>
      <c r="BN520" s="64"/>
      <c r="BO520" s="64"/>
      <c r="BP520" s="64"/>
      <c r="BQ520" s="64"/>
      <c r="BR520" s="64"/>
    </row>
    <row r="521" ht="18.75" customHeight="1">
      <c r="G521" s="122"/>
      <c r="H521" s="64"/>
      <c r="L521" s="64"/>
      <c r="M521" s="64"/>
      <c r="N521" s="64"/>
      <c r="O521" s="64"/>
      <c r="P521" s="64"/>
      <c r="Q521" s="64"/>
      <c r="R521" s="64"/>
      <c r="S521" s="64"/>
      <c r="T521" s="64"/>
      <c r="U521" s="64"/>
      <c r="V521" s="64"/>
      <c r="W521" s="64"/>
      <c r="X521" s="64"/>
      <c r="Y521" s="64"/>
      <c r="BH521" s="64"/>
      <c r="BI521" s="64"/>
      <c r="BJ521" s="64"/>
      <c r="BK521" s="64"/>
      <c r="BL521" s="64"/>
      <c r="BM521" s="64"/>
      <c r="BN521" s="64"/>
      <c r="BO521" s="64"/>
      <c r="BP521" s="64"/>
      <c r="BQ521" s="64"/>
      <c r="BR521" s="64"/>
    </row>
    <row r="522" ht="18.75" customHeight="1">
      <c r="G522" s="122"/>
      <c r="H522" s="64"/>
      <c r="L522" s="64"/>
      <c r="M522" s="64"/>
      <c r="N522" s="64"/>
      <c r="O522" s="64"/>
      <c r="P522" s="64"/>
      <c r="Q522" s="64"/>
      <c r="R522" s="64"/>
      <c r="S522" s="64"/>
      <c r="T522" s="64"/>
      <c r="U522" s="64"/>
      <c r="V522" s="64"/>
      <c r="W522" s="64"/>
      <c r="X522" s="64"/>
      <c r="Y522" s="64"/>
      <c r="BH522" s="64"/>
      <c r="BI522" s="64"/>
      <c r="BJ522" s="64"/>
      <c r="BK522" s="64"/>
      <c r="BL522" s="64"/>
      <c r="BM522" s="64"/>
      <c r="BN522" s="64"/>
      <c r="BO522" s="64"/>
      <c r="BP522" s="64"/>
      <c r="BQ522" s="64"/>
      <c r="BR522" s="64"/>
    </row>
    <row r="523" ht="18.75" customHeight="1">
      <c r="G523" s="122"/>
      <c r="H523" s="64"/>
      <c r="L523" s="64"/>
      <c r="M523" s="64"/>
      <c r="N523" s="64"/>
      <c r="O523" s="64"/>
      <c r="P523" s="64"/>
      <c r="Q523" s="64"/>
      <c r="R523" s="64"/>
      <c r="S523" s="64"/>
      <c r="T523" s="64"/>
      <c r="U523" s="64"/>
      <c r="V523" s="64"/>
      <c r="W523" s="64"/>
      <c r="X523" s="64"/>
      <c r="Y523" s="64"/>
      <c r="BH523" s="64"/>
      <c r="BI523" s="64"/>
      <c r="BJ523" s="64"/>
      <c r="BK523" s="64"/>
      <c r="BL523" s="64"/>
      <c r="BM523" s="64"/>
      <c r="BN523" s="64"/>
      <c r="BO523" s="64"/>
      <c r="BP523" s="64"/>
      <c r="BQ523" s="64"/>
      <c r="BR523" s="64"/>
    </row>
    <row r="524" ht="18.75" customHeight="1">
      <c r="G524" s="122"/>
      <c r="H524" s="64"/>
      <c r="L524" s="64"/>
      <c r="M524" s="64"/>
      <c r="N524" s="64"/>
      <c r="O524" s="64"/>
      <c r="P524" s="64"/>
      <c r="Q524" s="64"/>
      <c r="R524" s="64"/>
      <c r="S524" s="64"/>
      <c r="T524" s="64"/>
      <c r="U524" s="64"/>
      <c r="V524" s="64"/>
      <c r="W524" s="64"/>
      <c r="X524" s="64"/>
      <c r="Y524" s="64"/>
      <c r="BH524" s="64"/>
      <c r="BI524" s="64"/>
      <c r="BJ524" s="64"/>
      <c r="BK524" s="64"/>
      <c r="BL524" s="64"/>
      <c r="BM524" s="64"/>
      <c r="BN524" s="64"/>
      <c r="BO524" s="64"/>
      <c r="BP524" s="64"/>
      <c r="BQ524" s="64"/>
      <c r="BR524" s="64"/>
    </row>
    <row r="525" ht="18.75" customHeight="1">
      <c r="G525" s="122"/>
      <c r="H525" s="64"/>
      <c r="L525" s="64"/>
      <c r="M525" s="64"/>
      <c r="N525" s="64"/>
      <c r="O525" s="64"/>
      <c r="P525" s="64"/>
      <c r="Q525" s="64"/>
      <c r="R525" s="64"/>
      <c r="S525" s="64"/>
      <c r="T525" s="64"/>
      <c r="U525" s="64"/>
      <c r="V525" s="64"/>
      <c r="W525" s="64"/>
      <c r="X525" s="64"/>
      <c r="Y525" s="64"/>
      <c r="BH525" s="64"/>
      <c r="BI525" s="64"/>
      <c r="BJ525" s="64"/>
      <c r="BK525" s="64"/>
      <c r="BL525" s="64"/>
      <c r="BM525" s="64"/>
      <c r="BN525" s="64"/>
      <c r="BO525" s="64"/>
      <c r="BP525" s="64"/>
      <c r="BQ525" s="64"/>
      <c r="BR525" s="64"/>
    </row>
    <row r="526" ht="18.75" customHeight="1">
      <c r="G526" s="122"/>
      <c r="H526" s="64"/>
      <c r="L526" s="64"/>
      <c r="M526" s="64"/>
      <c r="N526" s="64"/>
      <c r="O526" s="64"/>
      <c r="P526" s="64"/>
      <c r="Q526" s="64"/>
      <c r="R526" s="64"/>
      <c r="S526" s="64"/>
      <c r="T526" s="64"/>
      <c r="U526" s="64"/>
      <c r="V526" s="64"/>
      <c r="W526" s="64"/>
      <c r="X526" s="64"/>
      <c r="Y526" s="64"/>
      <c r="BH526" s="64"/>
      <c r="BI526" s="64"/>
      <c r="BJ526" s="64"/>
      <c r="BK526" s="64"/>
      <c r="BL526" s="64"/>
      <c r="BM526" s="64"/>
      <c r="BN526" s="64"/>
      <c r="BO526" s="64"/>
      <c r="BP526" s="64"/>
      <c r="BQ526" s="64"/>
      <c r="BR526" s="64"/>
    </row>
    <row r="527" ht="18.75" customHeight="1">
      <c r="G527" s="122"/>
      <c r="H527" s="64"/>
      <c r="L527" s="64"/>
      <c r="M527" s="64"/>
      <c r="N527" s="64"/>
      <c r="O527" s="64"/>
      <c r="P527" s="64"/>
      <c r="Q527" s="64"/>
      <c r="R527" s="64"/>
      <c r="S527" s="64"/>
      <c r="T527" s="64"/>
      <c r="U527" s="64"/>
      <c r="V527" s="64"/>
      <c r="W527" s="64"/>
      <c r="X527" s="64"/>
      <c r="Y527" s="64"/>
      <c r="BH527" s="64"/>
      <c r="BI527" s="64"/>
      <c r="BJ527" s="64"/>
      <c r="BK527" s="64"/>
      <c r="BL527" s="64"/>
      <c r="BM527" s="64"/>
      <c r="BN527" s="64"/>
      <c r="BO527" s="64"/>
      <c r="BP527" s="64"/>
      <c r="BQ527" s="64"/>
      <c r="BR527" s="64"/>
    </row>
    <row r="528" ht="18.75" customHeight="1">
      <c r="G528" s="122"/>
      <c r="H528" s="64"/>
      <c r="L528" s="64"/>
      <c r="M528" s="64"/>
      <c r="N528" s="64"/>
      <c r="O528" s="64"/>
      <c r="P528" s="64"/>
      <c r="Q528" s="64"/>
      <c r="R528" s="64"/>
      <c r="S528" s="64"/>
      <c r="T528" s="64"/>
      <c r="U528" s="64"/>
      <c r="V528" s="64"/>
      <c r="W528" s="64"/>
      <c r="X528" s="64"/>
      <c r="Y528" s="64"/>
      <c r="BH528" s="64"/>
      <c r="BI528" s="64"/>
      <c r="BJ528" s="64"/>
      <c r="BK528" s="64"/>
      <c r="BL528" s="64"/>
      <c r="BM528" s="64"/>
      <c r="BN528" s="64"/>
      <c r="BO528" s="64"/>
      <c r="BP528" s="64"/>
      <c r="BQ528" s="64"/>
      <c r="BR528" s="64"/>
    </row>
    <row r="529" ht="18.75" customHeight="1">
      <c r="G529" s="122"/>
      <c r="H529" s="64"/>
      <c r="L529" s="64"/>
      <c r="M529" s="64"/>
      <c r="N529" s="64"/>
      <c r="O529" s="64"/>
      <c r="P529" s="64"/>
      <c r="Q529" s="64"/>
      <c r="R529" s="64"/>
      <c r="S529" s="64"/>
      <c r="T529" s="64"/>
      <c r="U529" s="64"/>
      <c r="V529" s="64"/>
      <c r="W529" s="64"/>
      <c r="X529" s="64"/>
      <c r="Y529" s="64"/>
      <c r="BH529" s="64"/>
      <c r="BI529" s="64"/>
      <c r="BJ529" s="64"/>
      <c r="BK529" s="64"/>
      <c r="BL529" s="64"/>
      <c r="BM529" s="64"/>
      <c r="BN529" s="64"/>
      <c r="BO529" s="64"/>
      <c r="BP529" s="64"/>
      <c r="BQ529" s="64"/>
      <c r="BR529" s="64"/>
    </row>
    <row r="530" ht="18.75" customHeight="1">
      <c r="G530" s="122"/>
      <c r="H530" s="64"/>
      <c r="L530" s="64"/>
      <c r="M530" s="64"/>
      <c r="N530" s="64"/>
      <c r="O530" s="64"/>
      <c r="P530" s="64"/>
      <c r="Q530" s="64"/>
      <c r="R530" s="64"/>
      <c r="S530" s="64"/>
      <c r="T530" s="64"/>
      <c r="U530" s="64"/>
      <c r="V530" s="64"/>
      <c r="W530" s="64"/>
      <c r="X530" s="64"/>
      <c r="Y530" s="64"/>
      <c r="BH530" s="64"/>
      <c r="BI530" s="64"/>
      <c r="BJ530" s="64"/>
      <c r="BK530" s="64"/>
      <c r="BL530" s="64"/>
      <c r="BM530" s="64"/>
      <c r="BN530" s="64"/>
      <c r="BO530" s="64"/>
      <c r="BP530" s="64"/>
      <c r="BQ530" s="64"/>
      <c r="BR530" s="64"/>
    </row>
    <row r="531" ht="18.75" customHeight="1">
      <c r="G531" s="122"/>
      <c r="H531" s="64"/>
      <c r="L531" s="64"/>
      <c r="M531" s="64"/>
      <c r="N531" s="64"/>
      <c r="O531" s="64"/>
      <c r="P531" s="64"/>
      <c r="Q531" s="64"/>
      <c r="R531" s="64"/>
      <c r="S531" s="64"/>
      <c r="T531" s="64"/>
      <c r="U531" s="64"/>
      <c r="V531" s="64"/>
      <c r="W531" s="64"/>
      <c r="X531" s="64"/>
      <c r="Y531" s="64"/>
      <c r="BH531" s="64"/>
      <c r="BI531" s="64"/>
      <c r="BJ531" s="64"/>
      <c r="BK531" s="64"/>
      <c r="BL531" s="64"/>
      <c r="BM531" s="64"/>
      <c r="BN531" s="64"/>
      <c r="BO531" s="64"/>
      <c r="BP531" s="64"/>
      <c r="BQ531" s="64"/>
      <c r="BR531" s="64"/>
    </row>
    <row r="532" ht="18.75" customHeight="1">
      <c r="G532" s="122"/>
      <c r="H532" s="64"/>
      <c r="L532" s="64"/>
      <c r="M532" s="64"/>
      <c r="N532" s="64"/>
      <c r="O532" s="64"/>
      <c r="P532" s="64"/>
      <c r="Q532" s="64"/>
      <c r="R532" s="64"/>
      <c r="S532" s="64"/>
      <c r="T532" s="64"/>
      <c r="U532" s="64"/>
      <c r="V532" s="64"/>
      <c r="W532" s="64"/>
      <c r="X532" s="64"/>
      <c r="Y532" s="64"/>
      <c r="BH532" s="64"/>
      <c r="BI532" s="64"/>
      <c r="BJ532" s="64"/>
      <c r="BK532" s="64"/>
      <c r="BL532" s="64"/>
      <c r="BM532" s="64"/>
      <c r="BN532" s="64"/>
      <c r="BO532" s="64"/>
      <c r="BP532" s="64"/>
      <c r="BQ532" s="64"/>
      <c r="BR532" s="64"/>
    </row>
    <row r="533" ht="18.75" customHeight="1">
      <c r="G533" s="122"/>
      <c r="H533" s="64"/>
      <c r="L533" s="64"/>
      <c r="M533" s="64"/>
      <c r="N533" s="64"/>
      <c r="O533" s="64"/>
      <c r="P533" s="64"/>
      <c r="Q533" s="64"/>
      <c r="R533" s="64"/>
      <c r="S533" s="64"/>
      <c r="T533" s="64"/>
      <c r="U533" s="64"/>
      <c r="V533" s="64"/>
      <c r="W533" s="64"/>
      <c r="X533" s="64"/>
      <c r="Y533" s="64"/>
      <c r="BH533" s="64"/>
      <c r="BI533" s="64"/>
      <c r="BJ533" s="64"/>
      <c r="BK533" s="64"/>
      <c r="BL533" s="64"/>
      <c r="BM533" s="64"/>
      <c r="BN533" s="64"/>
      <c r="BO533" s="64"/>
      <c r="BP533" s="64"/>
      <c r="BQ533" s="64"/>
      <c r="BR533" s="64"/>
    </row>
    <row r="534" ht="18.75" customHeight="1">
      <c r="G534" s="122"/>
      <c r="H534" s="64"/>
      <c r="L534" s="64"/>
      <c r="M534" s="64"/>
      <c r="N534" s="64"/>
      <c r="O534" s="64"/>
      <c r="P534" s="64"/>
      <c r="Q534" s="64"/>
      <c r="R534" s="64"/>
      <c r="S534" s="64"/>
      <c r="T534" s="64"/>
      <c r="U534" s="64"/>
      <c r="V534" s="64"/>
      <c r="W534" s="64"/>
      <c r="X534" s="64"/>
      <c r="Y534" s="64"/>
      <c r="BH534" s="64"/>
      <c r="BI534" s="64"/>
      <c r="BJ534" s="64"/>
      <c r="BK534" s="64"/>
      <c r="BL534" s="64"/>
      <c r="BM534" s="64"/>
      <c r="BN534" s="64"/>
      <c r="BO534" s="64"/>
      <c r="BP534" s="64"/>
      <c r="BQ534" s="64"/>
      <c r="BR534" s="64"/>
    </row>
    <row r="535" ht="18.75" customHeight="1">
      <c r="G535" s="122"/>
      <c r="H535" s="64"/>
      <c r="L535" s="64"/>
      <c r="M535" s="64"/>
      <c r="N535" s="64"/>
      <c r="O535" s="64"/>
      <c r="P535" s="64"/>
      <c r="Q535" s="64"/>
      <c r="R535" s="64"/>
      <c r="S535" s="64"/>
      <c r="T535" s="64"/>
      <c r="U535" s="64"/>
      <c r="V535" s="64"/>
      <c r="W535" s="64"/>
      <c r="X535" s="64"/>
      <c r="Y535" s="64"/>
      <c r="BH535" s="64"/>
      <c r="BI535" s="64"/>
      <c r="BJ535" s="64"/>
      <c r="BK535" s="64"/>
      <c r="BL535" s="64"/>
      <c r="BM535" s="64"/>
      <c r="BN535" s="64"/>
      <c r="BO535" s="64"/>
      <c r="BP535" s="64"/>
      <c r="BQ535" s="64"/>
      <c r="BR535" s="64"/>
    </row>
    <row r="536" ht="18.75" customHeight="1">
      <c r="G536" s="122"/>
      <c r="H536" s="64"/>
      <c r="L536" s="64"/>
      <c r="M536" s="64"/>
      <c r="N536" s="64"/>
      <c r="O536" s="64"/>
      <c r="P536" s="64"/>
      <c r="Q536" s="64"/>
      <c r="R536" s="64"/>
      <c r="S536" s="64"/>
      <c r="T536" s="64"/>
      <c r="U536" s="64"/>
      <c r="V536" s="64"/>
      <c r="W536" s="64"/>
      <c r="X536" s="64"/>
      <c r="Y536" s="64"/>
      <c r="BH536" s="64"/>
      <c r="BI536" s="64"/>
      <c r="BJ536" s="64"/>
      <c r="BK536" s="64"/>
      <c r="BL536" s="64"/>
      <c r="BM536" s="64"/>
      <c r="BN536" s="64"/>
      <c r="BO536" s="64"/>
      <c r="BP536" s="64"/>
      <c r="BQ536" s="64"/>
      <c r="BR536" s="64"/>
    </row>
    <row r="537" ht="18.75" customHeight="1">
      <c r="G537" s="122"/>
      <c r="H537" s="64"/>
      <c r="L537" s="64"/>
      <c r="M537" s="64"/>
      <c r="N537" s="64"/>
      <c r="O537" s="64"/>
      <c r="P537" s="64"/>
      <c r="Q537" s="64"/>
      <c r="R537" s="64"/>
      <c r="S537" s="64"/>
      <c r="T537" s="64"/>
      <c r="U537" s="64"/>
      <c r="V537" s="64"/>
      <c r="W537" s="64"/>
      <c r="X537" s="64"/>
      <c r="Y537" s="64"/>
      <c r="BH537" s="64"/>
      <c r="BI537" s="64"/>
      <c r="BJ537" s="64"/>
      <c r="BK537" s="64"/>
      <c r="BL537" s="64"/>
      <c r="BM537" s="64"/>
      <c r="BN537" s="64"/>
      <c r="BO537" s="64"/>
      <c r="BP537" s="64"/>
      <c r="BQ537" s="64"/>
      <c r="BR537" s="64"/>
    </row>
    <row r="538" ht="18.75" customHeight="1">
      <c r="G538" s="122"/>
      <c r="H538" s="64"/>
      <c r="L538" s="64"/>
      <c r="M538" s="64"/>
      <c r="N538" s="64"/>
      <c r="O538" s="64"/>
      <c r="P538" s="64"/>
      <c r="Q538" s="64"/>
      <c r="R538" s="64"/>
      <c r="S538" s="64"/>
      <c r="T538" s="64"/>
      <c r="U538" s="64"/>
      <c r="V538" s="64"/>
      <c r="W538" s="64"/>
      <c r="X538" s="64"/>
      <c r="Y538" s="64"/>
      <c r="BH538" s="64"/>
      <c r="BI538" s="64"/>
      <c r="BJ538" s="64"/>
      <c r="BK538" s="64"/>
      <c r="BL538" s="64"/>
      <c r="BM538" s="64"/>
      <c r="BN538" s="64"/>
      <c r="BO538" s="64"/>
      <c r="BP538" s="64"/>
      <c r="BQ538" s="64"/>
      <c r="BR538" s="64"/>
    </row>
    <row r="539" ht="18.75" customHeight="1">
      <c r="G539" s="122"/>
      <c r="H539" s="64"/>
      <c r="L539" s="64"/>
      <c r="M539" s="64"/>
      <c r="N539" s="64"/>
      <c r="O539" s="64"/>
      <c r="P539" s="64"/>
      <c r="Q539" s="64"/>
      <c r="R539" s="64"/>
      <c r="S539" s="64"/>
      <c r="T539" s="64"/>
      <c r="U539" s="64"/>
      <c r="V539" s="64"/>
      <c r="W539" s="64"/>
      <c r="X539" s="64"/>
      <c r="Y539" s="64"/>
      <c r="BH539" s="64"/>
      <c r="BI539" s="64"/>
      <c r="BJ539" s="64"/>
      <c r="BK539" s="64"/>
      <c r="BL539" s="64"/>
      <c r="BM539" s="64"/>
      <c r="BN539" s="64"/>
      <c r="BO539" s="64"/>
      <c r="BP539" s="64"/>
      <c r="BQ539" s="64"/>
      <c r="BR539" s="64"/>
    </row>
    <row r="540" ht="18.75" customHeight="1">
      <c r="G540" s="122"/>
      <c r="H540" s="64"/>
      <c r="L540" s="64"/>
      <c r="M540" s="64"/>
      <c r="N540" s="64"/>
      <c r="O540" s="64"/>
      <c r="P540" s="64"/>
      <c r="Q540" s="64"/>
      <c r="R540" s="64"/>
      <c r="S540" s="64"/>
      <c r="T540" s="64"/>
      <c r="U540" s="64"/>
      <c r="V540" s="64"/>
      <c r="W540" s="64"/>
      <c r="X540" s="64"/>
      <c r="Y540" s="64"/>
      <c r="BH540" s="64"/>
      <c r="BI540" s="64"/>
      <c r="BJ540" s="64"/>
      <c r="BK540" s="64"/>
      <c r="BL540" s="64"/>
      <c r="BM540" s="64"/>
      <c r="BN540" s="64"/>
      <c r="BO540" s="64"/>
      <c r="BP540" s="64"/>
      <c r="BQ540" s="64"/>
      <c r="BR540" s="64"/>
    </row>
    <row r="541" ht="18.75" customHeight="1">
      <c r="G541" s="122"/>
      <c r="H541" s="64"/>
      <c r="L541" s="64"/>
      <c r="M541" s="64"/>
      <c r="N541" s="64"/>
      <c r="O541" s="64"/>
      <c r="P541" s="64"/>
      <c r="Q541" s="64"/>
      <c r="R541" s="64"/>
      <c r="S541" s="64"/>
      <c r="T541" s="64"/>
      <c r="U541" s="64"/>
      <c r="V541" s="64"/>
      <c r="W541" s="64"/>
      <c r="X541" s="64"/>
      <c r="Y541" s="64"/>
      <c r="BH541" s="64"/>
      <c r="BI541" s="64"/>
      <c r="BJ541" s="64"/>
      <c r="BK541" s="64"/>
      <c r="BL541" s="64"/>
      <c r="BM541" s="64"/>
      <c r="BN541" s="64"/>
      <c r="BO541" s="64"/>
      <c r="BP541" s="64"/>
      <c r="BQ541" s="64"/>
      <c r="BR541" s="64"/>
    </row>
    <row r="542" ht="18.75" customHeight="1">
      <c r="G542" s="122"/>
      <c r="H542" s="64"/>
      <c r="L542" s="64"/>
      <c r="M542" s="64"/>
      <c r="N542" s="64"/>
      <c r="O542" s="64"/>
      <c r="P542" s="64"/>
      <c r="Q542" s="64"/>
      <c r="R542" s="64"/>
      <c r="S542" s="64"/>
      <c r="T542" s="64"/>
      <c r="U542" s="64"/>
      <c r="V542" s="64"/>
      <c r="W542" s="64"/>
      <c r="X542" s="64"/>
      <c r="Y542" s="64"/>
      <c r="BH542" s="64"/>
      <c r="BI542" s="64"/>
      <c r="BJ542" s="64"/>
      <c r="BK542" s="64"/>
      <c r="BL542" s="64"/>
      <c r="BM542" s="64"/>
      <c r="BN542" s="64"/>
      <c r="BO542" s="64"/>
      <c r="BP542" s="64"/>
      <c r="BQ542" s="64"/>
      <c r="BR542" s="64"/>
    </row>
    <row r="543" ht="18.75" customHeight="1">
      <c r="G543" s="122"/>
      <c r="H543" s="64"/>
      <c r="L543" s="64"/>
      <c r="M543" s="64"/>
      <c r="N543" s="64"/>
      <c r="O543" s="64"/>
      <c r="P543" s="64"/>
      <c r="Q543" s="64"/>
      <c r="R543" s="64"/>
      <c r="S543" s="64"/>
      <c r="T543" s="64"/>
      <c r="U543" s="64"/>
      <c r="V543" s="64"/>
      <c r="W543" s="64"/>
      <c r="X543" s="64"/>
      <c r="Y543" s="64"/>
      <c r="BH543" s="64"/>
      <c r="BI543" s="64"/>
      <c r="BJ543" s="64"/>
      <c r="BK543" s="64"/>
      <c r="BL543" s="64"/>
      <c r="BM543" s="64"/>
      <c r="BN543" s="64"/>
      <c r="BO543" s="64"/>
      <c r="BP543" s="64"/>
      <c r="BQ543" s="64"/>
      <c r="BR543" s="64"/>
    </row>
    <row r="544" ht="18.75" customHeight="1">
      <c r="G544" s="122"/>
      <c r="H544" s="64"/>
      <c r="L544" s="64"/>
      <c r="M544" s="64"/>
      <c r="N544" s="64"/>
      <c r="O544" s="64"/>
      <c r="P544" s="64"/>
      <c r="Q544" s="64"/>
      <c r="R544" s="64"/>
      <c r="S544" s="64"/>
      <c r="T544" s="64"/>
      <c r="U544" s="64"/>
      <c r="V544" s="64"/>
      <c r="W544" s="64"/>
      <c r="X544" s="64"/>
      <c r="Y544" s="64"/>
      <c r="BH544" s="64"/>
      <c r="BI544" s="64"/>
      <c r="BJ544" s="64"/>
      <c r="BK544" s="64"/>
      <c r="BL544" s="64"/>
      <c r="BM544" s="64"/>
      <c r="BN544" s="64"/>
      <c r="BO544" s="64"/>
      <c r="BP544" s="64"/>
      <c r="BQ544" s="64"/>
      <c r="BR544" s="64"/>
    </row>
    <row r="545" ht="18.75" customHeight="1">
      <c r="G545" s="122"/>
      <c r="H545" s="64"/>
      <c r="L545" s="64"/>
      <c r="M545" s="64"/>
      <c r="N545" s="64"/>
      <c r="O545" s="64"/>
      <c r="P545" s="64"/>
      <c r="Q545" s="64"/>
      <c r="R545" s="64"/>
      <c r="S545" s="64"/>
      <c r="T545" s="64"/>
      <c r="U545" s="64"/>
      <c r="V545" s="64"/>
      <c r="W545" s="64"/>
      <c r="X545" s="64"/>
      <c r="Y545" s="64"/>
      <c r="BH545" s="64"/>
      <c r="BI545" s="64"/>
      <c r="BJ545" s="64"/>
      <c r="BK545" s="64"/>
      <c r="BL545" s="64"/>
      <c r="BM545" s="64"/>
      <c r="BN545" s="64"/>
      <c r="BO545" s="64"/>
      <c r="BP545" s="64"/>
      <c r="BQ545" s="64"/>
      <c r="BR545" s="64"/>
    </row>
    <row r="546" ht="18.75" customHeight="1">
      <c r="G546" s="122"/>
      <c r="H546" s="64"/>
      <c r="L546" s="64"/>
      <c r="M546" s="64"/>
      <c r="N546" s="64"/>
      <c r="O546" s="64"/>
      <c r="P546" s="64"/>
      <c r="Q546" s="64"/>
      <c r="R546" s="64"/>
      <c r="S546" s="64"/>
      <c r="T546" s="64"/>
      <c r="U546" s="64"/>
      <c r="V546" s="64"/>
      <c r="W546" s="64"/>
      <c r="X546" s="64"/>
      <c r="Y546" s="64"/>
      <c r="BH546" s="64"/>
      <c r="BI546" s="64"/>
      <c r="BJ546" s="64"/>
      <c r="BK546" s="64"/>
      <c r="BL546" s="64"/>
      <c r="BM546" s="64"/>
      <c r="BN546" s="64"/>
      <c r="BO546" s="64"/>
      <c r="BP546" s="64"/>
      <c r="BQ546" s="64"/>
      <c r="BR546" s="64"/>
    </row>
    <row r="547" ht="18.75" customHeight="1">
      <c r="G547" s="122"/>
      <c r="H547" s="64"/>
      <c r="L547" s="64"/>
      <c r="M547" s="64"/>
      <c r="N547" s="64"/>
      <c r="O547" s="64"/>
      <c r="P547" s="64"/>
      <c r="Q547" s="64"/>
      <c r="R547" s="64"/>
      <c r="S547" s="64"/>
      <c r="T547" s="64"/>
      <c r="U547" s="64"/>
      <c r="V547" s="64"/>
      <c r="W547" s="64"/>
      <c r="X547" s="64"/>
      <c r="Y547" s="64"/>
      <c r="BH547" s="64"/>
      <c r="BI547" s="64"/>
      <c r="BJ547" s="64"/>
      <c r="BK547" s="64"/>
      <c r="BL547" s="64"/>
      <c r="BM547" s="64"/>
      <c r="BN547" s="64"/>
      <c r="BO547" s="64"/>
      <c r="BP547" s="64"/>
      <c r="BQ547" s="64"/>
      <c r="BR547" s="64"/>
    </row>
    <row r="548" ht="18.75" customHeight="1">
      <c r="G548" s="122"/>
      <c r="H548" s="64"/>
      <c r="L548" s="64"/>
      <c r="M548" s="64"/>
      <c r="N548" s="64"/>
      <c r="O548" s="64"/>
      <c r="P548" s="64"/>
      <c r="Q548" s="64"/>
      <c r="R548" s="64"/>
      <c r="S548" s="64"/>
      <c r="T548" s="64"/>
      <c r="U548" s="64"/>
      <c r="V548" s="64"/>
      <c r="W548" s="64"/>
      <c r="X548" s="64"/>
      <c r="Y548" s="64"/>
      <c r="BH548" s="64"/>
      <c r="BI548" s="64"/>
      <c r="BJ548" s="64"/>
      <c r="BK548" s="64"/>
      <c r="BL548" s="64"/>
      <c r="BM548" s="64"/>
      <c r="BN548" s="64"/>
      <c r="BO548" s="64"/>
      <c r="BP548" s="64"/>
      <c r="BQ548" s="64"/>
      <c r="BR548" s="64"/>
    </row>
    <row r="549" ht="18.75" customHeight="1">
      <c r="G549" s="122"/>
      <c r="H549" s="64"/>
      <c r="L549" s="64"/>
      <c r="M549" s="64"/>
      <c r="N549" s="64"/>
      <c r="O549" s="64"/>
      <c r="P549" s="64"/>
      <c r="Q549" s="64"/>
      <c r="R549" s="64"/>
      <c r="S549" s="64"/>
      <c r="T549" s="64"/>
      <c r="U549" s="64"/>
      <c r="V549" s="64"/>
      <c r="W549" s="64"/>
      <c r="X549" s="64"/>
      <c r="Y549" s="64"/>
      <c r="BH549" s="64"/>
      <c r="BI549" s="64"/>
      <c r="BJ549" s="64"/>
      <c r="BK549" s="64"/>
      <c r="BL549" s="64"/>
      <c r="BM549" s="64"/>
      <c r="BN549" s="64"/>
      <c r="BO549" s="64"/>
      <c r="BP549" s="64"/>
      <c r="BQ549" s="64"/>
      <c r="BR549" s="64"/>
    </row>
    <row r="550" ht="18.75" customHeight="1">
      <c r="G550" s="122"/>
      <c r="H550" s="64"/>
      <c r="L550" s="64"/>
      <c r="M550" s="64"/>
      <c r="N550" s="64"/>
      <c r="O550" s="64"/>
      <c r="P550" s="64"/>
      <c r="Q550" s="64"/>
      <c r="R550" s="64"/>
      <c r="S550" s="64"/>
      <c r="T550" s="64"/>
      <c r="U550" s="64"/>
      <c r="V550" s="64"/>
      <c r="W550" s="64"/>
      <c r="X550" s="64"/>
      <c r="Y550" s="64"/>
      <c r="BH550" s="64"/>
      <c r="BI550" s="64"/>
      <c r="BJ550" s="64"/>
      <c r="BK550" s="64"/>
      <c r="BL550" s="64"/>
      <c r="BM550" s="64"/>
      <c r="BN550" s="64"/>
      <c r="BO550" s="64"/>
      <c r="BP550" s="64"/>
      <c r="BQ550" s="64"/>
      <c r="BR550" s="64"/>
    </row>
    <row r="551" ht="18.75" customHeight="1">
      <c r="G551" s="122"/>
      <c r="H551" s="64"/>
      <c r="L551" s="64"/>
      <c r="M551" s="64"/>
      <c r="N551" s="64"/>
      <c r="O551" s="64"/>
      <c r="P551" s="64"/>
      <c r="Q551" s="64"/>
      <c r="R551" s="64"/>
      <c r="S551" s="64"/>
      <c r="T551" s="64"/>
      <c r="U551" s="64"/>
      <c r="V551" s="64"/>
      <c r="W551" s="64"/>
      <c r="X551" s="64"/>
      <c r="Y551" s="64"/>
      <c r="BH551" s="64"/>
      <c r="BI551" s="64"/>
      <c r="BJ551" s="64"/>
      <c r="BK551" s="64"/>
      <c r="BL551" s="64"/>
      <c r="BM551" s="64"/>
      <c r="BN551" s="64"/>
      <c r="BO551" s="64"/>
      <c r="BP551" s="64"/>
      <c r="BQ551" s="64"/>
      <c r="BR551" s="64"/>
    </row>
    <row r="552" ht="18.75" customHeight="1">
      <c r="G552" s="122"/>
      <c r="H552" s="64"/>
      <c r="L552" s="64"/>
      <c r="M552" s="64"/>
      <c r="N552" s="64"/>
      <c r="O552" s="64"/>
      <c r="P552" s="64"/>
      <c r="Q552" s="64"/>
      <c r="R552" s="64"/>
      <c r="S552" s="64"/>
      <c r="T552" s="64"/>
      <c r="U552" s="64"/>
      <c r="V552" s="64"/>
      <c r="W552" s="64"/>
      <c r="X552" s="64"/>
      <c r="Y552" s="64"/>
      <c r="BH552" s="64"/>
      <c r="BI552" s="64"/>
      <c r="BJ552" s="64"/>
      <c r="BK552" s="64"/>
      <c r="BL552" s="64"/>
      <c r="BM552" s="64"/>
      <c r="BN552" s="64"/>
      <c r="BO552" s="64"/>
      <c r="BP552" s="64"/>
      <c r="BQ552" s="64"/>
      <c r="BR552" s="64"/>
    </row>
    <row r="553" ht="18.75" customHeight="1">
      <c r="G553" s="122"/>
      <c r="H553" s="64"/>
      <c r="L553" s="64"/>
      <c r="M553" s="64"/>
      <c r="N553" s="64"/>
      <c r="O553" s="64"/>
      <c r="P553" s="64"/>
      <c r="Q553" s="64"/>
      <c r="R553" s="64"/>
      <c r="S553" s="64"/>
      <c r="T553" s="64"/>
      <c r="U553" s="64"/>
      <c r="V553" s="64"/>
      <c r="W553" s="64"/>
      <c r="X553" s="64"/>
      <c r="Y553" s="64"/>
      <c r="BH553" s="64"/>
      <c r="BI553" s="64"/>
      <c r="BJ553" s="64"/>
      <c r="BK553" s="64"/>
      <c r="BL553" s="64"/>
      <c r="BM553" s="64"/>
      <c r="BN553" s="64"/>
      <c r="BO553" s="64"/>
      <c r="BP553" s="64"/>
      <c r="BQ553" s="64"/>
      <c r="BR553" s="64"/>
    </row>
    <row r="554" ht="18.75" customHeight="1">
      <c r="G554" s="122"/>
      <c r="H554" s="64"/>
      <c r="L554" s="64"/>
      <c r="M554" s="64"/>
      <c r="N554" s="64"/>
      <c r="O554" s="64"/>
      <c r="P554" s="64"/>
      <c r="Q554" s="64"/>
      <c r="R554" s="64"/>
      <c r="S554" s="64"/>
      <c r="T554" s="64"/>
      <c r="U554" s="64"/>
      <c r="V554" s="64"/>
      <c r="W554" s="64"/>
      <c r="X554" s="64"/>
      <c r="Y554" s="64"/>
      <c r="BH554" s="64"/>
      <c r="BI554" s="64"/>
      <c r="BJ554" s="64"/>
      <c r="BK554" s="64"/>
      <c r="BL554" s="64"/>
      <c r="BM554" s="64"/>
      <c r="BN554" s="64"/>
      <c r="BO554" s="64"/>
      <c r="BP554" s="64"/>
      <c r="BQ554" s="64"/>
      <c r="BR554" s="64"/>
    </row>
    <row r="555" ht="18.75" customHeight="1">
      <c r="G555" s="122"/>
      <c r="H555" s="64"/>
      <c r="L555" s="64"/>
      <c r="M555" s="64"/>
      <c r="N555" s="64"/>
      <c r="O555" s="64"/>
      <c r="P555" s="64"/>
      <c r="Q555" s="64"/>
      <c r="R555" s="64"/>
      <c r="S555" s="64"/>
      <c r="T555" s="64"/>
      <c r="U555" s="64"/>
      <c r="V555" s="64"/>
      <c r="W555" s="64"/>
      <c r="X555" s="64"/>
      <c r="Y555" s="64"/>
      <c r="BH555" s="64"/>
      <c r="BI555" s="64"/>
      <c r="BJ555" s="64"/>
      <c r="BK555" s="64"/>
      <c r="BL555" s="64"/>
      <c r="BM555" s="64"/>
      <c r="BN555" s="64"/>
      <c r="BO555" s="64"/>
      <c r="BP555" s="64"/>
      <c r="BQ555" s="64"/>
      <c r="BR555" s="64"/>
    </row>
    <row r="556" ht="18.75" customHeight="1">
      <c r="G556" s="122"/>
      <c r="H556" s="64"/>
      <c r="L556" s="64"/>
      <c r="M556" s="64"/>
      <c r="N556" s="64"/>
      <c r="O556" s="64"/>
      <c r="P556" s="64"/>
      <c r="Q556" s="64"/>
      <c r="R556" s="64"/>
      <c r="S556" s="64"/>
      <c r="T556" s="64"/>
      <c r="U556" s="64"/>
      <c r="V556" s="64"/>
      <c r="W556" s="64"/>
      <c r="X556" s="64"/>
      <c r="Y556" s="64"/>
      <c r="BH556" s="64"/>
      <c r="BI556" s="64"/>
      <c r="BJ556" s="64"/>
      <c r="BK556" s="64"/>
      <c r="BL556" s="64"/>
      <c r="BM556" s="64"/>
      <c r="BN556" s="64"/>
      <c r="BO556" s="64"/>
      <c r="BP556" s="64"/>
      <c r="BQ556" s="64"/>
      <c r="BR556" s="64"/>
    </row>
    <row r="557" ht="18.75" customHeight="1">
      <c r="G557" s="122"/>
      <c r="H557" s="64"/>
      <c r="L557" s="64"/>
      <c r="M557" s="64"/>
      <c r="N557" s="64"/>
      <c r="O557" s="64"/>
      <c r="P557" s="64"/>
      <c r="Q557" s="64"/>
      <c r="R557" s="64"/>
      <c r="S557" s="64"/>
      <c r="T557" s="64"/>
      <c r="U557" s="64"/>
      <c r="V557" s="64"/>
      <c r="W557" s="64"/>
      <c r="X557" s="64"/>
      <c r="Y557" s="64"/>
      <c r="BH557" s="64"/>
      <c r="BI557" s="64"/>
      <c r="BJ557" s="64"/>
      <c r="BK557" s="64"/>
      <c r="BL557" s="64"/>
      <c r="BM557" s="64"/>
      <c r="BN557" s="64"/>
      <c r="BO557" s="64"/>
      <c r="BP557" s="64"/>
      <c r="BQ557" s="64"/>
      <c r="BR557" s="64"/>
    </row>
    <row r="558" ht="18.75" customHeight="1">
      <c r="G558" s="122"/>
      <c r="H558" s="64"/>
      <c r="L558" s="64"/>
      <c r="M558" s="64"/>
      <c r="N558" s="64"/>
      <c r="O558" s="64"/>
      <c r="P558" s="64"/>
      <c r="Q558" s="64"/>
      <c r="R558" s="64"/>
      <c r="S558" s="64"/>
      <c r="T558" s="64"/>
      <c r="U558" s="64"/>
      <c r="V558" s="64"/>
      <c r="W558" s="64"/>
      <c r="X558" s="64"/>
      <c r="Y558" s="64"/>
      <c r="BH558" s="64"/>
      <c r="BI558" s="64"/>
      <c r="BJ558" s="64"/>
      <c r="BK558" s="64"/>
      <c r="BL558" s="64"/>
      <c r="BM558" s="64"/>
      <c r="BN558" s="64"/>
      <c r="BO558" s="64"/>
      <c r="BP558" s="64"/>
      <c r="BQ558" s="64"/>
      <c r="BR558" s="64"/>
    </row>
    <row r="559" ht="18.75" customHeight="1">
      <c r="G559" s="122"/>
      <c r="H559" s="64"/>
      <c r="L559" s="64"/>
      <c r="M559" s="64"/>
      <c r="N559" s="64"/>
      <c r="O559" s="64"/>
      <c r="P559" s="64"/>
      <c r="Q559" s="64"/>
      <c r="R559" s="64"/>
      <c r="S559" s="64"/>
      <c r="T559" s="64"/>
      <c r="U559" s="64"/>
      <c r="V559" s="64"/>
      <c r="W559" s="64"/>
      <c r="X559" s="64"/>
      <c r="Y559" s="64"/>
      <c r="BH559" s="64"/>
      <c r="BI559" s="64"/>
      <c r="BJ559" s="64"/>
      <c r="BK559" s="64"/>
      <c r="BL559" s="64"/>
      <c r="BM559" s="64"/>
      <c r="BN559" s="64"/>
      <c r="BO559" s="64"/>
      <c r="BP559" s="64"/>
      <c r="BQ559" s="64"/>
      <c r="BR559" s="64"/>
    </row>
    <row r="560" ht="18.75" customHeight="1">
      <c r="G560" s="122"/>
      <c r="H560" s="64"/>
      <c r="L560" s="64"/>
      <c r="M560" s="64"/>
      <c r="N560" s="64"/>
      <c r="O560" s="64"/>
      <c r="P560" s="64"/>
      <c r="Q560" s="64"/>
      <c r="R560" s="64"/>
      <c r="S560" s="64"/>
      <c r="T560" s="64"/>
      <c r="U560" s="64"/>
      <c r="V560" s="64"/>
      <c r="W560" s="64"/>
      <c r="X560" s="64"/>
      <c r="Y560" s="64"/>
      <c r="BH560" s="64"/>
      <c r="BI560" s="64"/>
      <c r="BJ560" s="64"/>
      <c r="BK560" s="64"/>
      <c r="BL560" s="64"/>
      <c r="BM560" s="64"/>
      <c r="BN560" s="64"/>
      <c r="BO560" s="64"/>
      <c r="BP560" s="64"/>
      <c r="BQ560" s="64"/>
      <c r="BR560" s="64"/>
    </row>
    <row r="561" ht="18.75" customHeight="1">
      <c r="G561" s="122"/>
      <c r="H561" s="64"/>
      <c r="L561" s="64"/>
      <c r="M561" s="64"/>
      <c r="N561" s="64"/>
      <c r="O561" s="64"/>
      <c r="P561" s="64"/>
      <c r="Q561" s="64"/>
      <c r="R561" s="64"/>
      <c r="S561" s="64"/>
      <c r="T561" s="64"/>
      <c r="U561" s="64"/>
      <c r="V561" s="64"/>
      <c r="W561" s="64"/>
      <c r="X561" s="64"/>
      <c r="Y561" s="64"/>
      <c r="BH561" s="64"/>
      <c r="BI561" s="64"/>
      <c r="BJ561" s="64"/>
      <c r="BK561" s="64"/>
      <c r="BL561" s="64"/>
      <c r="BM561" s="64"/>
      <c r="BN561" s="64"/>
      <c r="BO561" s="64"/>
      <c r="BP561" s="64"/>
      <c r="BQ561" s="64"/>
      <c r="BR561" s="64"/>
    </row>
    <row r="562" ht="18.75" customHeight="1">
      <c r="G562" s="122"/>
      <c r="H562" s="64"/>
      <c r="L562" s="64"/>
      <c r="M562" s="64"/>
      <c r="N562" s="64"/>
      <c r="O562" s="64"/>
      <c r="P562" s="64"/>
      <c r="Q562" s="64"/>
      <c r="R562" s="64"/>
      <c r="S562" s="64"/>
      <c r="T562" s="64"/>
      <c r="U562" s="64"/>
      <c r="V562" s="64"/>
      <c r="W562" s="64"/>
      <c r="X562" s="64"/>
      <c r="Y562" s="64"/>
      <c r="BH562" s="64"/>
      <c r="BI562" s="64"/>
      <c r="BJ562" s="64"/>
      <c r="BK562" s="64"/>
      <c r="BL562" s="64"/>
      <c r="BM562" s="64"/>
      <c r="BN562" s="64"/>
      <c r="BO562" s="64"/>
      <c r="BP562" s="64"/>
      <c r="BQ562" s="64"/>
      <c r="BR562" s="64"/>
    </row>
    <row r="563" ht="18.75" customHeight="1">
      <c r="G563" s="122"/>
      <c r="H563" s="64"/>
      <c r="L563" s="64"/>
      <c r="M563" s="64"/>
      <c r="N563" s="64"/>
      <c r="O563" s="64"/>
      <c r="P563" s="64"/>
      <c r="Q563" s="64"/>
      <c r="R563" s="64"/>
      <c r="S563" s="64"/>
      <c r="T563" s="64"/>
      <c r="U563" s="64"/>
      <c r="V563" s="64"/>
      <c r="W563" s="64"/>
      <c r="X563" s="64"/>
      <c r="Y563" s="64"/>
      <c r="BH563" s="64"/>
      <c r="BI563" s="64"/>
      <c r="BJ563" s="64"/>
      <c r="BK563" s="64"/>
      <c r="BL563" s="64"/>
      <c r="BM563" s="64"/>
      <c r="BN563" s="64"/>
      <c r="BO563" s="64"/>
      <c r="BP563" s="64"/>
      <c r="BQ563" s="64"/>
      <c r="BR563" s="64"/>
    </row>
    <row r="564" ht="18.75" customHeight="1">
      <c r="G564" s="122"/>
      <c r="H564" s="64"/>
      <c r="L564" s="64"/>
      <c r="M564" s="64"/>
      <c r="N564" s="64"/>
      <c r="O564" s="64"/>
      <c r="P564" s="64"/>
      <c r="Q564" s="64"/>
      <c r="R564" s="64"/>
      <c r="S564" s="64"/>
      <c r="T564" s="64"/>
      <c r="U564" s="64"/>
      <c r="V564" s="64"/>
      <c r="W564" s="64"/>
      <c r="X564" s="64"/>
      <c r="Y564" s="64"/>
      <c r="BH564" s="64"/>
      <c r="BI564" s="64"/>
      <c r="BJ564" s="64"/>
      <c r="BK564" s="64"/>
      <c r="BL564" s="64"/>
      <c r="BM564" s="64"/>
      <c r="BN564" s="64"/>
      <c r="BO564" s="64"/>
      <c r="BP564" s="64"/>
      <c r="BQ564" s="64"/>
      <c r="BR564" s="64"/>
    </row>
    <row r="565" ht="18.75" customHeight="1">
      <c r="G565" s="122"/>
      <c r="H565" s="64"/>
      <c r="L565" s="64"/>
      <c r="M565" s="64"/>
      <c r="N565" s="64"/>
      <c r="O565" s="64"/>
      <c r="P565" s="64"/>
      <c r="Q565" s="64"/>
      <c r="R565" s="64"/>
      <c r="S565" s="64"/>
      <c r="T565" s="64"/>
      <c r="U565" s="64"/>
      <c r="V565" s="64"/>
      <c r="W565" s="64"/>
      <c r="X565" s="64"/>
      <c r="Y565" s="64"/>
      <c r="BH565" s="64"/>
      <c r="BI565" s="64"/>
      <c r="BJ565" s="64"/>
      <c r="BK565" s="64"/>
      <c r="BL565" s="64"/>
      <c r="BM565" s="64"/>
      <c r="BN565" s="64"/>
      <c r="BO565" s="64"/>
      <c r="BP565" s="64"/>
      <c r="BQ565" s="64"/>
      <c r="BR565" s="64"/>
    </row>
    <row r="566" ht="18.75" customHeight="1">
      <c r="G566" s="122"/>
      <c r="H566" s="64"/>
      <c r="L566" s="64"/>
      <c r="M566" s="64"/>
      <c r="N566" s="64"/>
      <c r="O566" s="64"/>
      <c r="P566" s="64"/>
      <c r="Q566" s="64"/>
      <c r="R566" s="64"/>
      <c r="S566" s="64"/>
      <c r="T566" s="64"/>
      <c r="U566" s="64"/>
      <c r="V566" s="64"/>
      <c r="W566" s="64"/>
      <c r="X566" s="64"/>
      <c r="Y566" s="64"/>
      <c r="BH566" s="64"/>
      <c r="BI566" s="64"/>
      <c r="BJ566" s="64"/>
      <c r="BK566" s="64"/>
      <c r="BL566" s="64"/>
      <c r="BM566" s="64"/>
      <c r="BN566" s="64"/>
      <c r="BO566" s="64"/>
      <c r="BP566" s="64"/>
      <c r="BQ566" s="64"/>
      <c r="BR566" s="64"/>
    </row>
    <row r="567" ht="18.75" customHeight="1">
      <c r="G567" s="122"/>
      <c r="H567" s="64"/>
      <c r="L567" s="64"/>
      <c r="M567" s="64"/>
      <c r="N567" s="64"/>
      <c r="O567" s="64"/>
      <c r="P567" s="64"/>
      <c r="Q567" s="64"/>
      <c r="R567" s="64"/>
      <c r="S567" s="64"/>
      <c r="T567" s="64"/>
      <c r="U567" s="64"/>
      <c r="V567" s="64"/>
      <c r="W567" s="64"/>
      <c r="X567" s="64"/>
      <c r="Y567" s="64"/>
      <c r="BH567" s="64"/>
      <c r="BI567" s="64"/>
      <c r="BJ567" s="64"/>
      <c r="BK567" s="64"/>
      <c r="BL567" s="64"/>
      <c r="BM567" s="64"/>
      <c r="BN567" s="64"/>
      <c r="BO567" s="64"/>
      <c r="BP567" s="64"/>
      <c r="BQ567" s="64"/>
      <c r="BR567" s="64"/>
    </row>
    <row r="568" ht="18.75" customHeight="1">
      <c r="G568" s="122"/>
      <c r="H568" s="64"/>
      <c r="L568" s="64"/>
      <c r="M568" s="64"/>
      <c r="N568" s="64"/>
      <c r="O568" s="64"/>
      <c r="P568" s="64"/>
      <c r="Q568" s="64"/>
      <c r="R568" s="64"/>
      <c r="S568" s="64"/>
      <c r="T568" s="64"/>
      <c r="U568" s="64"/>
      <c r="V568" s="64"/>
      <c r="W568" s="64"/>
      <c r="X568" s="64"/>
      <c r="Y568" s="64"/>
      <c r="BH568" s="64"/>
      <c r="BI568" s="64"/>
      <c r="BJ568" s="64"/>
      <c r="BK568" s="64"/>
      <c r="BL568" s="64"/>
      <c r="BM568" s="64"/>
      <c r="BN568" s="64"/>
      <c r="BO568" s="64"/>
      <c r="BP568" s="64"/>
      <c r="BQ568" s="64"/>
      <c r="BR568" s="64"/>
    </row>
    <row r="569" ht="18.75" customHeight="1">
      <c r="G569" s="122"/>
      <c r="H569" s="64"/>
      <c r="L569" s="64"/>
      <c r="M569" s="64"/>
      <c r="N569" s="64"/>
      <c r="O569" s="64"/>
      <c r="P569" s="64"/>
      <c r="Q569" s="64"/>
      <c r="R569" s="64"/>
      <c r="S569" s="64"/>
      <c r="T569" s="64"/>
      <c r="U569" s="64"/>
      <c r="V569" s="64"/>
      <c r="W569" s="64"/>
      <c r="X569" s="64"/>
      <c r="Y569" s="64"/>
      <c r="BH569" s="64"/>
      <c r="BI569" s="64"/>
      <c r="BJ569" s="64"/>
      <c r="BK569" s="64"/>
      <c r="BL569" s="64"/>
      <c r="BM569" s="64"/>
      <c r="BN569" s="64"/>
      <c r="BO569" s="64"/>
      <c r="BP569" s="64"/>
      <c r="BQ569" s="64"/>
      <c r="BR569" s="64"/>
    </row>
    <row r="570" ht="18.75" customHeight="1">
      <c r="G570" s="122"/>
      <c r="H570" s="64"/>
      <c r="L570" s="64"/>
      <c r="M570" s="64"/>
      <c r="N570" s="64"/>
      <c r="O570" s="64"/>
      <c r="P570" s="64"/>
      <c r="Q570" s="64"/>
      <c r="R570" s="64"/>
      <c r="S570" s="64"/>
      <c r="T570" s="64"/>
      <c r="U570" s="64"/>
      <c r="V570" s="64"/>
      <c r="W570" s="64"/>
      <c r="X570" s="64"/>
      <c r="Y570" s="64"/>
      <c r="BH570" s="64"/>
      <c r="BI570" s="64"/>
      <c r="BJ570" s="64"/>
      <c r="BK570" s="64"/>
      <c r="BL570" s="64"/>
      <c r="BM570" s="64"/>
      <c r="BN570" s="64"/>
      <c r="BO570" s="64"/>
      <c r="BP570" s="64"/>
      <c r="BQ570" s="64"/>
      <c r="BR570" s="64"/>
    </row>
    <row r="571" ht="18.75" customHeight="1">
      <c r="G571" s="122"/>
      <c r="H571" s="64"/>
      <c r="L571" s="64"/>
      <c r="M571" s="64"/>
      <c r="N571" s="64"/>
      <c r="O571" s="64"/>
      <c r="P571" s="64"/>
      <c r="Q571" s="64"/>
      <c r="R571" s="64"/>
      <c r="S571" s="64"/>
      <c r="T571" s="64"/>
      <c r="U571" s="64"/>
      <c r="V571" s="64"/>
      <c r="W571" s="64"/>
      <c r="X571" s="64"/>
      <c r="Y571" s="64"/>
      <c r="BH571" s="64"/>
      <c r="BI571" s="64"/>
      <c r="BJ571" s="64"/>
      <c r="BK571" s="64"/>
      <c r="BL571" s="64"/>
      <c r="BM571" s="64"/>
      <c r="BN571" s="64"/>
      <c r="BO571" s="64"/>
      <c r="BP571" s="64"/>
      <c r="BQ571" s="64"/>
      <c r="BR571" s="64"/>
    </row>
    <row r="572" ht="18.75" customHeight="1">
      <c r="G572" s="122"/>
      <c r="H572" s="64"/>
      <c r="L572" s="64"/>
      <c r="M572" s="64"/>
      <c r="N572" s="64"/>
      <c r="O572" s="64"/>
      <c r="P572" s="64"/>
      <c r="Q572" s="64"/>
      <c r="R572" s="64"/>
      <c r="S572" s="64"/>
      <c r="T572" s="64"/>
      <c r="U572" s="64"/>
      <c r="V572" s="64"/>
      <c r="W572" s="64"/>
      <c r="X572" s="64"/>
      <c r="Y572" s="64"/>
      <c r="BH572" s="64"/>
      <c r="BI572" s="64"/>
      <c r="BJ572" s="64"/>
      <c r="BK572" s="64"/>
      <c r="BL572" s="64"/>
      <c r="BM572" s="64"/>
      <c r="BN572" s="64"/>
      <c r="BO572" s="64"/>
      <c r="BP572" s="64"/>
      <c r="BQ572" s="64"/>
      <c r="BR572" s="64"/>
    </row>
    <row r="573" ht="18.75" customHeight="1">
      <c r="G573" s="122"/>
      <c r="H573" s="64"/>
      <c r="L573" s="64"/>
      <c r="M573" s="64"/>
      <c r="N573" s="64"/>
      <c r="O573" s="64"/>
      <c r="P573" s="64"/>
      <c r="Q573" s="64"/>
      <c r="R573" s="64"/>
      <c r="S573" s="64"/>
      <c r="T573" s="64"/>
      <c r="U573" s="64"/>
      <c r="V573" s="64"/>
      <c r="W573" s="64"/>
      <c r="X573" s="64"/>
      <c r="Y573" s="64"/>
      <c r="BH573" s="64"/>
      <c r="BI573" s="64"/>
      <c r="BJ573" s="64"/>
      <c r="BK573" s="64"/>
      <c r="BL573" s="64"/>
      <c r="BM573" s="64"/>
      <c r="BN573" s="64"/>
      <c r="BO573" s="64"/>
      <c r="BP573" s="64"/>
      <c r="BQ573" s="64"/>
      <c r="BR573" s="64"/>
    </row>
    <row r="574" ht="18.75" customHeight="1">
      <c r="G574" s="122"/>
      <c r="H574" s="64"/>
      <c r="L574" s="64"/>
      <c r="M574" s="64"/>
      <c r="N574" s="64"/>
      <c r="O574" s="64"/>
      <c r="P574" s="64"/>
      <c r="Q574" s="64"/>
      <c r="R574" s="64"/>
      <c r="S574" s="64"/>
      <c r="T574" s="64"/>
      <c r="U574" s="64"/>
      <c r="V574" s="64"/>
      <c r="W574" s="64"/>
      <c r="X574" s="64"/>
      <c r="Y574" s="64"/>
      <c r="BH574" s="64"/>
      <c r="BI574" s="64"/>
      <c r="BJ574" s="64"/>
      <c r="BK574" s="64"/>
      <c r="BL574" s="64"/>
      <c r="BM574" s="64"/>
      <c r="BN574" s="64"/>
      <c r="BO574" s="64"/>
      <c r="BP574" s="64"/>
      <c r="BQ574" s="64"/>
      <c r="BR574" s="64"/>
    </row>
    <row r="575" ht="18.75" customHeight="1">
      <c r="G575" s="122"/>
      <c r="H575" s="64"/>
      <c r="L575" s="64"/>
      <c r="M575" s="64"/>
      <c r="N575" s="64"/>
      <c r="O575" s="64"/>
      <c r="P575" s="64"/>
      <c r="Q575" s="64"/>
      <c r="R575" s="64"/>
      <c r="S575" s="64"/>
      <c r="T575" s="64"/>
      <c r="U575" s="64"/>
      <c r="V575" s="64"/>
      <c r="W575" s="64"/>
      <c r="X575" s="64"/>
      <c r="Y575" s="64"/>
      <c r="BH575" s="64"/>
      <c r="BI575" s="64"/>
      <c r="BJ575" s="64"/>
      <c r="BK575" s="64"/>
      <c r="BL575" s="64"/>
      <c r="BM575" s="64"/>
      <c r="BN575" s="64"/>
      <c r="BO575" s="64"/>
      <c r="BP575" s="64"/>
      <c r="BQ575" s="64"/>
      <c r="BR575" s="64"/>
    </row>
    <row r="576" ht="18.75" customHeight="1">
      <c r="G576" s="122"/>
      <c r="H576" s="64"/>
      <c r="L576" s="64"/>
      <c r="M576" s="64"/>
      <c r="N576" s="64"/>
      <c r="O576" s="64"/>
      <c r="P576" s="64"/>
      <c r="Q576" s="64"/>
      <c r="R576" s="64"/>
      <c r="S576" s="64"/>
      <c r="T576" s="64"/>
      <c r="U576" s="64"/>
      <c r="V576" s="64"/>
      <c r="W576" s="64"/>
      <c r="X576" s="64"/>
      <c r="Y576" s="64"/>
      <c r="BH576" s="64"/>
      <c r="BI576" s="64"/>
      <c r="BJ576" s="64"/>
      <c r="BK576" s="64"/>
      <c r="BL576" s="64"/>
      <c r="BM576" s="64"/>
      <c r="BN576" s="64"/>
      <c r="BO576" s="64"/>
      <c r="BP576" s="64"/>
      <c r="BQ576" s="64"/>
      <c r="BR576" s="64"/>
    </row>
    <row r="577" ht="18.75" customHeight="1">
      <c r="G577" s="122"/>
      <c r="H577" s="64"/>
      <c r="L577" s="64"/>
      <c r="M577" s="64"/>
      <c r="N577" s="64"/>
      <c r="O577" s="64"/>
      <c r="P577" s="64"/>
      <c r="Q577" s="64"/>
      <c r="R577" s="64"/>
      <c r="S577" s="64"/>
      <c r="T577" s="64"/>
      <c r="U577" s="64"/>
      <c r="V577" s="64"/>
      <c r="W577" s="64"/>
      <c r="X577" s="64"/>
      <c r="Y577" s="64"/>
      <c r="BH577" s="64"/>
      <c r="BI577" s="64"/>
      <c r="BJ577" s="64"/>
      <c r="BK577" s="64"/>
      <c r="BL577" s="64"/>
      <c r="BM577" s="64"/>
      <c r="BN577" s="64"/>
      <c r="BO577" s="64"/>
      <c r="BP577" s="64"/>
      <c r="BQ577" s="64"/>
      <c r="BR577" s="64"/>
    </row>
    <row r="578" ht="18.75" customHeight="1">
      <c r="G578" s="122"/>
      <c r="H578" s="64"/>
      <c r="L578" s="64"/>
      <c r="M578" s="64"/>
      <c r="N578" s="64"/>
      <c r="O578" s="64"/>
      <c r="P578" s="64"/>
      <c r="Q578" s="64"/>
      <c r="R578" s="64"/>
      <c r="S578" s="64"/>
      <c r="T578" s="64"/>
      <c r="U578" s="64"/>
      <c r="V578" s="64"/>
      <c r="W578" s="64"/>
      <c r="X578" s="64"/>
      <c r="Y578" s="64"/>
      <c r="BH578" s="64"/>
      <c r="BI578" s="64"/>
      <c r="BJ578" s="64"/>
      <c r="BK578" s="64"/>
      <c r="BL578" s="64"/>
      <c r="BM578" s="64"/>
      <c r="BN578" s="64"/>
      <c r="BO578" s="64"/>
      <c r="BP578" s="64"/>
      <c r="BQ578" s="64"/>
      <c r="BR578" s="64"/>
    </row>
    <row r="579" ht="18.75" customHeight="1">
      <c r="G579" s="122"/>
      <c r="H579" s="64"/>
      <c r="L579" s="64"/>
      <c r="M579" s="64"/>
      <c r="N579" s="64"/>
      <c r="O579" s="64"/>
      <c r="P579" s="64"/>
      <c r="Q579" s="64"/>
      <c r="R579" s="64"/>
      <c r="S579" s="64"/>
      <c r="T579" s="64"/>
      <c r="U579" s="64"/>
      <c r="V579" s="64"/>
      <c r="W579" s="64"/>
      <c r="X579" s="64"/>
      <c r="Y579" s="64"/>
      <c r="BH579" s="64"/>
      <c r="BI579" s="64"/>
      <c r="BJ579" s="64"/>
      <c r="BK579" s="64"/>
      <c r="BL579" s="64"/>
      <c r="BM579" s="64"/>
      <c r="BN579" s="64"/>
      <c r="BO579" s="64"/>
      <c r="BP579" s="64"/>
      <c r="BQ579" s="64"/>
      <c r="BR579" s="64"/>
    </row>
    <row r="580" ht="18.75" customHeight="1">
      <c r="G580" s="122"/>
      <c r="H580" s="64"/>
      <c r="L580" s="64"/>
      <c r="M580" s="64"/>
      <c r="N580" s="64"/>
      <c r="O580" s="64"/>
      <c r="P580" s="64"/>
      <c r="Q580" s="64"/>
      <c r="R580" s="64"/>
      <c r="S580" s="64"/>
      <c r="T580" s="64"/>
      <c r="U580" s="64"/>
      <c r="V580" s="64"/>
      <c r="W580" s="64"/>
      <c r="X580" s="64"/>
      <c r="Y580" s="64"/>
      <c r="BH580" s="64"/>
      <c r="BI580" s="64"/>
      <c r="BJ580" s="64"/>
      <c r="BK580" s="64"/>
      <c r="BL580" s="64"/>
      <c r="BM580" s="64"/>
      <c r="BN580" s="64"/>
      <c r="BO580" s="64"/>
      <c r="BP580" s="64"/>
      <c r="BQ580" s="64"/>
      <c r="BR580" s="64"/>
    </row>
    <row r="581" ht="18.75" customHeight="1">
      <c r="G581" s="122"/>
      <c r="H581" s="64"/>
      <c r="L581" s="64"/>
      <c r="M581" s="64"/>
      <c r="N581" s="64"/>
      <c r="O581" s="64"/>
      <c r="P581" s="64"/>
      <c r="Q581" s="64"/>
      <c r="R581" s="64"/>
      <c r="S581" s="64"/>
      <c r="T581" s="64"/>
      <c r="U581" s="64"/>
      <c r="V581" s="64"/>
      <c r="W581" s="64"/>
      <c r="X581" s="64"/>
      <c r="Y581" s="64"/>
      <c r="BH581" s="64"/>
      <c r="BI581" s="64"/>
      <c r="BJ581" s="64"/>
      <c r="BK581" s="64"/>
      <c r="BL581" s="64"/>
      <c r="BM581" s="64"/>
      <c r="BN581" s="64"/>
      <c r="BO581" s="64"/>
      <c r="BP581" s="64"/>
      <c r="BQ581" s="64"/>
      <c r="BR581" s="64"/>
    </row>
    <row r="582" ht="18.75" customHeight="1">
      <c r="G582" s="122"/>
      <c r="H582" s="64"/>
      <c r="L582" s="64"/>
      <c r="M582" s="64"/>
      <c r="N582" s="64"/>
      <c r="O582" s="64"/>
      <c r="P582" s="64"/>
      <c r="Q582" s="64"/>
      <c r="R582" s="64"/>
      <c r="S582" s="64"/>
      <c r="T582" s="64"/>
      <c r="U582" s="64"/>
      <c r="V582" s="64"/>
      <c r="W582" s="64"/>
      <c r="X582" s="64"/>
      <c r="Y582" s="64"/>
      <c r="BH582" s="64"/>
      <c r="BI582" s="64"/>
      <c r="BJ582" s="64"/>
      <c r="BK582" s="64"/>
      <c r="BL582" s="64"/>
      <c r="BM582" s="64"/>
      <c r="BN582" s="64"/>
      <c r="BO582" s="64"/>
      <c r="BP582" s="64"/>
      <c r="BQ582" s="64"/>
      <c r="BR582" s="64"/>
    </row>
    <row r="583" ht="18.75" customHeight="1">
      <c r="G583" s="122"/>
      <c r="H583" s="64"/>
      <c r="L583" s="64"/>
      <c r="M583" s="64"/>
      <c r="N583" s="64"/>
      <c r="O583" s="64"/>
      <c r="P583" s="64"/>
      <c r="Q583" s="64"/>
      <c r="R583" s="64"/>
      <c r="S583" s="64"/>
      <c r="T583" s="64"/>
      <c r="U583" s="64"/>
      <c r="V583" s="64"/>
      <c r="W583" s="64"/>
      <c r="X583" s="64"/>
      <c r="Y583" s="64"/>
      <c r="BH583" s="64"/>
      <c r="BI583" s="64"/>
      <c r="BJ583" s="64"/>
      <c r="BK583" s="64"/>
      <c r="BL583" s="64"/>
      <c r="BM583" s="64"/>
      <c r="BN583" s="64"/>
      <c r="BO583" s="64"/>
      <c r="BP583" s="64"/>
      <c r="BQ583" s="64"/>
      <c r="BR583" s="64"/>
    </row>
    <row r="584" ht="18.75" customHeight="1">
      <c r="G584" s="122"/>
      <c r="H584" s="64"/>
      <c r="L584" s="64"/>
      <c r="M584" s="64"/>
      <c r="N584" s="64"/>
      <c r="O584" s="64"/>
      <c r="P584" s="64"/>
      <c r="Q584" s="64"/>
      <c r="R584" s="64"/>
      <c r="S584" s="64"/>
      <c r="T584" s="64"/>
      <c r="U584" s="64"/>
      <c r="V584" s="64"/>
      <c r="W584" s="64"/>
      <c r="X584" s="64"/>
      <c r="Y584" s="64"/>
      <c r="BH584" s="64"/>
      <c r="BI584" s="64"/>
      <c r="BJ584" s="64"/>
      <c r="BK584" s="64"/>
      <c r="BL584" s="64"/>
      <c r="BM584" s="64"/>
      <c r="BN584" s="64"/>
      <c r="BO584" s="64"/>
      <c r="BP584" s="64"/>
      <c r="BQ584" s="64"/>
      <c r="BR584" s="64"/>
    </row>
    <row r="585" ht="18.75" customHeight="1">
      <c r="G585" s="122"/>
      <c r="H585" s="64"/>
      <c r="L585" s="64"/>
      <c r="M585" s="64"/>
      <c r="N585" s="64"/>
      <c r="O585" s="64"/>
      <c r="P585" s="64"/>
      <c r="Q585" s="64"/>
      <c r="R585" s="64"/>
      <c r="S585" s="64"/>
      <c r="T585" s="64"/>
      <c r="U585" s="64"/>
      <c r="V585" s="64"/>
      <c r="W585" s="64"/>
      <c r="X585" s="64"/>
      <c r="Y585" s="64"/>
      <c r="BH585" s="64"/>
      <c r="BI585" s="64"/>
      <c r="BJ585" s="64"/>
      <c r="BK585" s="64"/>
      <c r="BL585" s="64"/>
      <c r="BM585" s="64"/>
      <c r="BN585" s="64"/>
      <c r="BO585" s="64"/>
      <c r="BP585" s="64"/>
      <c r="BQ585" s="64"/>
      <c r="BR585" s="64"/>
    </row>
    <row r="586" ht="18.75" customHeight="1">
      <c r="G586" s="122"/>
      <c r="H586" s="64"/>
      <c r="L586" s="64"/>
      <c r="M586" s="64"/>
      <c r="N586" s="64"/>
      <c r="O586" s="64"/>
      <c r="P586" s="64"/>
      <c r="Q586" s="64"/>
      <c r="R586" s="64"/>
      <c r="S586" s="64"/>
      <c r="T586" s="64"/>
      <c r="U586" s="64"/>
      <c r="V586" s="64"/>
      <c r="W586" s="64"/>
      <c r="X586" s="64"/>
      <c r="Y586" s="64"/>
      <c r="BH586" s="64"/>
      <c r="BI586" s="64"/>
      <c r="BJ586" s="64"/>
      <c r="BK586" s="64"/>
      <c r="BL586" s="64"/>
      <c r="BM586" s="64"/>
      <c r="BN586" s="64"/>
      <c r="BO586" s="64"/>
      <c r="BP586" s="64"/>
      <c r="BQ586" s="64"/>
      <c r="BR586" s="64"/>
    </row>
    <row r="587" ht="18.75" customHeight="1">
      <c r="G587" s="122"/>
      <c r="H587" s="64"/>
      <c r="L587" s="64"/>
      <c r="M587" s="64"/>
      <c r="N587" s="64"/>
      <c r="O587" s="64"/>
      <c r="P587" s="64"/>
      <c r="Q587" s="64"/>
      <c r="R587" s="64"/>
      <c r="S587" s="64"/>
      <c r="T587" s="64"/>
      <c r="U587" s="64"/>
      <c r="V587" s="64"/>
      <c r="W587" s="64"/>
      <c r="X587" s="64"/>
      <c r="Y587" s="64"/>
      <c r="BH587" s="64"/>
      <c r="BI587" s="64"/>
      <c r="BJ587" s="64"/>
      <c r="BK587" s="64"/>
      <c r="BL587" s="64"/>
      <c r="BM587" s="64"/>
      <c r="BN587" s="64"/>
      <c r="BO587" s="64"/>
      <c r="BP587" s="64"/>
      <c r="BQ587" s="64"/>
      <c r="BR587" s="64"/>
    </row>
    <row r="588" ht="18.75" customHeight="1">
      <c r="G588" s="122"/>
      <c r="H588" s="64"/>
      <c r="L588" s="64"/>
      <c r="M588" s="64"/>
      <c r="N588" s="64"/>
      <c r="O588" s="64"/>
      <c r="P588" s="64"/>
      <c r="Q588" s="64"/>
      <c r="R588" s="64"/>
      <c r="S588" s="64"/>
      <c r="T588" s="64"/>
      <c r="U588" s="64"/>
      <c r="V588" s="64"/>
      <c r="W588" s="64"/>
      <c r="X588" s="64"/>
      <c r="Y588" s="64"/>
      <c r="BH588" s="64"/>
      <c r="BI588" s="64"/>
      <c r="BJ588" s="64"/>
      <c r="BK588" s="64"/>
      <c r="BL588" s="64"/>
      <c r="BM588" s="64"/>
      <c r="BN588" s="64"/>
      <c r="BO588" s="64"/>
      <c r="BP588" s="64"/>
      <c r="BQ588" s="64"/>
      <c r="BR588" s="64"/>
    </row>
    <row r="589" ht="18.75" customHeight="1">
      <c r="G589" s="122"/>
      <c r="H589" s="64"/>
      <c r="L589" s="64"/>
      <c r="M589" s="64"/>
      <c r="N589" s="64"/>
      <c r="O589" s="64"/>
      <c r="P589" s="64"/>
      <c r="Q589" s="64"/>
      <c r="R589" s="64"/>
      <c r="S589" s="64"/>
      <c r="T589" s="64"/>
      <c r="U589" s="64"/>
      <c r="V589" s="64"/>
      <c r="W589" s="64"/>
      <c r="X589" s="64"/>
      <c r="Y589" s="64"/>
      <c r="BH589" s="64"/>
      <c r="BI589" s="64"/>
      <c r="BJ589" s="64"/>
      <c r="BK589" s="64"/>
      <c r="BL589" s="64"/>
      <c r="BM589" s="64"/>
      <c r="BN589" s="64"/>
      <c r="BO589" s="64"/>
      <c r="BP589" s="64"/>
      <c r="BQ589" s="64"/>
      <c r="BR589" s="64"/>
    </row>
    <row r="590" ht="18.75" customHeight="1">
      <c r="G590" s="122"/>
      <c r="H590" s="64"/>
      <c r="L590" s="64"/>
      <c r="M590" s="64"/>
      <c r="N590" s="64"/>
      <c r="O590" s="64"/>
      <c r="P590" s="64"/>
      <c r="Q590" s="64"/>
      <c r="R590" s="64"/>
      <c r="S590" s="64"/>
      <c r="T590" s="64"/>
      <c r="U590" s="64"/>
      <c r="V590" s="64"/>
      <c r="W590" s="64"/>
      <c r="X590" s="64"/>
      <c r="Y590" s="64"/>
      <c r="BH590" s="64"/>
      <c r="BI590" s="64"/>
      <c r="BJ590" s="64"/>
      <c r="BK590" s="64"/>
      <c r="BL590" s="64"/>
      <c r="BM590" s="64"/>
      <c r="BN590" s="64"/>
      <c r="BO590" s="64"/>
      <c r="BP590" s="64"/>
      <c r="BQ590" s="64"/>
      <c r="BR590" s="64"/>
    </row>
    <row r="591" ht="18.75" customHeight="1">
      <c r="G591" s="122"/>
      <c r="H591" s="64"/>
      <c r="L591" s="64"/>
      <c r="M591" s="64"/>
      <c r="N591" s="64"/>
      <c r="O591" s="64"/>
      <c r="P591" s="64"/>
      <c r="Q591" s="64"/>
      <c r="R591" s="64"/>
      <c r="S591" s="64"/>
      <c r="T591" s="64"/>
      <c r="U591" s="64"/>
      <c r="V591" s="64"/>
      <c r="W591" s="64"/>
      <c r="X591" s="64"/>
      <c r="Y591" s="64"/>
      <c r="BH591" s="64"/>
      <c r="BI591" s="64"/>
      <c r="BJ591" s="64"/>
      <c r="BK591" s="64"/>
      <c r="BL591" s="64"/>
      <c r="BM591" s="64"/>
      <c r="BN591" s="64"/>
      <c r="BO591" s="64"/>
      <c r="BP591" s="64"/>
      <c r="BQ591" s="64"/>
      <c r="BR591" s="64"/>
    </row>
    <row r="592" ht="18.75" customHeight="1">
      <c r="G592" s="122"/>
      <c r="H592" s="64"/>
      <c r="L592" s="64"/>
      <c r="M592" s="64"/>
      <c r="N592" s="64"/>
      <c r="O592" s="64"/>
      <c r="P592" s="64"/>
      <c r="Q592" s="64"/>
      <c r="R592" s="64"/>
      <c r="S592" s="64"/>
      <c r="T592" s="64"/>
      <c r="U592" s="64"/>
      <c r="V592" s="64"/>
      <c r="W592" s="64"/>
      <c r="X592" s="64"/>
      <c r="Y592" s="64"/>
      <c r="BH592" s="64"/>
      <c r="BI592" s="64"/>
      <c r="BJ592" s="64"/>
      <c r="BK592" s="64"/>
      <c r="BL592" s="64"/>
      <c r="BM592" s="64"/>
      <c r="BN592" s="64"/>
      <c r="BO592" s="64"/>
      <c r="BP592" s="64"/>
      <c r="BQ592" s="64"/>
      <c r="BR592" s="64"/>
    </row>
    <row r="593" ht="18.75" customHeight="1">
      <c r="G593" s="122"/>
      <c r="H593" s="64"/>
      <c r="L593" s="64"/>
      <c r="M593" s="64"/>
      <c r="N593" s="64"/>
      <c r="O593" s="64"/>
      <c r="P593" s="64"/>
      <c r="Q593" s="64"/>
      <c r="R593" s="64"/>
      <c r="S593" s="64"/>
      <c r="T593" s="64"/>
      <c r="U593" s="64"/>
      <c r="V593" s="64"/>
      <c r="W593" s="64"/>
      <c r="X593" s="64"/>
      <c r="Y593" s="64"/>
      <c r="BH593" s="64"/>
      <c r="BI593" s="64"/>
      <c r="BJ593" s="64"/>
      <c r="BK593" s="64"/>
      <c r="BL593" s="64"/>
      <c r="BM593" s="64"/>
      <c r="BN593" s="64"/>
      <c r="BO593" s="64"/>
      <c r="BP593" s="64"/>
      <c r="BQ593" s="64"/>
      <c r="BR593" s="64"/>
    </row>
    <row r="594" ht="18.75" customHeight="1">
      <c r="G594" s="122"/>
      <c r="H594" s="64"/>
      <c r="L594" s="64"/>
      <c r="M594" s="64"/>
      <c r="N594" s="64"/>
      <c r="O594" s="64"/>
      <c r="P594" s="64"/>
      <c r="Q594" s="64"/>
      <c r="R594" s="64"/>
      <c r="S594" s="64"/>
      <c r="T594" s="64"/>
      <c r="U594" s="64"/>
      <c r="V594" s="64"/>
      <c r="W594" s="64"/>
      <c r="X594" s="64"/>
      <c r="Y594" s="64"/>
      <c r="BH594" s="64"/>
      <c r="BI594" s="64"/>
      <c r="BJ594" s="64"/>
      <c r="BK594" s="64"/>
      <c r="BL594" s="64"/>
      <c r="BM594" s="64"/>
      <c r="BN594" s="64"/>
      <c r="BO594" s="64"/>
      <c r="BP594" s="64"/>
      <c r="BQ594" s="64"/>
      <c r="BR594" s="64"/>
    </row>
    <row r="595" ht="18.75" customHeight="1">
      <c r="G595" s="122"/>
      <c r="H595" s="64"/>
      <c r="L595" s="64"/>
      <c r="M595" s="64"/>
      <c r="N595" s="64"/>
      <c r="O595" s="64"/>
      <c r="P595" s="64"/>
      <c r="Q595" s="64"/>
      <c r="R595" s="64"/>
      <c r="S595" s="64"/>
      <c r="T595" s="64"/>
      <c r="U595" s="64"/>
      <c r="V595" s="64"/>
      <c r="W595" s="64"/>
      <c r="X595" s="64"/>
      <c r="Y595" s="64"/>
      <c r="BH595" s="64"/>
      <c r="BI595" s="64"/>
      <c r="BJ595" s="64"/>
      <c r="BK595" s="64"/>
      <c r="BL595" s="64"/>
      <c r="BM595" s="64"/>
      <c r="BN595" s="64"/>
      <c r="BO595" s="64"/>
      <c r="BP595" s="64"/>
      <c r="BQ595" s="64"/>
      <c r="BR595" s="64"/>
    </row>
    <row r="596" ht="18.75" customHeight="1">
      <c r="G596" s="122"/>
      <c r="H596" s="64"/>
      <c r="L596" s="64"/>
      <c r="M596" s="64"/>
      <c r="N596" s="64"/>
      <c r="O596" s="64"/>
      <c r="P596" s="64"/>
      <c r="Q596" s="64"/>
      <c r="R596" s="64"/>
      <c r="S596" s="64"/>
      <c r="T596" s="64"/>
      <c r="U596" s="64"/>
      <c r="V596" s="64"/>
      <c r="W596" s="64"/>
      <c r="X596" s="64"/>
      <c r="Y596" s="64"/>
      <c r="BH596" s="64"/>
      <c r="BI596" s="64"/>
      <c r="BJ596" s="64"/>
      <c r="BK596" s="64"/>
      <c r="BL596" s="64"/>
      <c r="BM596" s="64"/>
      <c r="BN596" s="64"/>
      <c r="BO596" s="64"/>
      <c r="BP596" s="64"/>
      <c r="BQ596" s="64"/>
      <c r="BR596" s="64"/>
    </row>
    <row r="597" ht="18.75" customHeight="1">
      <c r="G597" s="122"/>
      <c r="H597" s="64"/>
      <c r="L597" s="64"/>
      <c r="M597" s="64"/>
      <c r="N597" s="64"/>
      <c r="O597" s="64"/>
      <c r="P597" s="64"/>
      <c r="Q597" s="64"/>
      <c r="R597" s="64"/>
      <c r="S597" s="64"/>
      <c r="T597" s="64"/>
      <c r="U597" s="64"/>
      <c r="V597" s="64"/>
      <c r="W597" s="64"/>
      <c r="X597" s="64"/>
      <c r="Y597" s="64"/>
      <c r="BH597" s="64"/>
      <c r="BI597" s="64"/>
      <c r="BJ597" s="64"/>
      <c r="BK597" s="64"/>
      <c r="BL597" s="64"/>
      <c r="BM597" s="64"/>
      <c r="BN597" s="64"/>
      <c r="BO597" s="64"/>
      <c r="BP597" s="64"/>
      <c r="BQ597" s="64"/>
      <c r="BR597" s="64"/>
    </row>
    <row r="598" ht="18.75" customHeight="1">
      <c r="G598" s="122"/>
      <c r="H598" s="64"/>
      <c r="L598" s="64"/>
      <c r="M598" s="64"/>
      <c r="N598" s="64"/>
      <c r="O598" s="64"/>
      <c r="P598" s="64"/>
      <c r="Q598" s="64"/>
      <c r="R598" s="64"/>
      <c r="S598" s="64"/>
      <c r="T598" s="64"/>
      <c r="U598" s="64"/>
      <c r="V598" s="64"/>
      <c r="W598" s="64"/>
      <c r="X598" s="64"/>
      <c r="Y598" s="64"/>
      <c r="BH598" s="64"/>
      <c r="BI598" s="64"/>
      <c r="BJ598" s="64"/>
      <c r="BK598" s="64"/>
      <c r="BL598" s="64"/>
      <c r="BM598" s="64"/>
      <c r="BN598" s="64"/>
      <c r="BO598" s="64"/>
      <c r="BP598" s="64"/>
      <c r="BQ598" s="64"/>
      <c r="BR598" s="64"/>
    </row>
    <row r="599" ht="18.75" customHeight="1">
      <c r="G599" s="122"/>
      <c r="H599" s="64"/>
      <c r="L599" s="64"/>
      <c r="M599" s="64"/>
      <c r="N599" s="64"/>
      <c r="O599" s="64"/>
      <c r="P599" s="64"/>
      <c r="Q599" s="64"/>
      <c r="R599" s="64"/>
      <c r="S599" s="64"/>
      <c r="T599" s="64"/>
      <c r="U599" s="64"/>
      <c r="V599" s="64"/>
      <c r="W599" s="64"/>
      <c r="X599" s="64"/>
      <c r="Y599" s="64"/>
      <c r="BH599" s="64"/>
      <c r="BI599" s="64"/>
      <c r="BJ599" s="64"/>
      <c r="BK599" s="64"/>
      <c r="BL599" s="64"/>
      <c r="BM599" s="64"/>
      <c r="BN599" s="64"/>
      <c r="BO599" s="64"/>
      <c r="BP599" s="64"/>
      <c r="BQ599" s="64"/>
      <c r="BR599" s="64"/>
    </row>
    <row r="600" ht="18.75" customHeight="1">
      <c r="G600" s="122"/>
      <c r="H600" s="64"/>
      <c r="L600" s="64"/>
      <c r="M600" s="64"/>
      <c r="N600" s="64"/>
      <c r="O600" s="64"/>
      <c r="P600" s="64"/>
      <c r="Q600" s="64"/>
      <c r="R600" s="64"/>
      <c r="S600" s="64"/>
      <c r="T600" s="64"/>
      <c r="U600" s="64"/>
      <c r="V600" s="64"/>
      <c r="W600" s="64"/>
      <c r="X600" s="64"/>
      <c r="Y600" s="64"/>
      <c r="BH600" s="64"/>
      <c r="BI600" s="64"/>
      <c r="BJ600" s="64"/>
      <c r="BK600" s="64"/>
      <c r="BL600" s="64"/>
      <c r="BM600" s="64"/>
      <c r="BN600" s="64"/>
      <c r="BO600" s="64"/>
      <c r="BP600" s="64"/>
      <c r="BQ600" s="64"/>
      <c r="BR600" s="64"/>
    </row>
    <row r="601" ht="18.75" customHeight="1">
      <c r="G601" s="122"/>
      <c r="H601" s="64"/>
      <c r="L601" s="64"/>
      <c r="M601" s="64"/>
      <c r="N601" s="64"/>
      <c r="O601" s="64"/>
      <c r="P601" s="64"/>
      <c r="Q601" s="64"/>
      <c r="R601" s="64"/>
      <c r="S601" s="64"/>
      <c r="T601" s="64"/>
      <c r="U601" s="64"/>
      <c r="V601" s="64"/>
      <c r="W601" s="64"/>
      <c r="X601" s="64"/>
      <c r="Y601" s="64"/>
      <c r="BH601" s="64"/>
      <c r="BI601" s="64"/>
      <c r="BJ601" s="64"/>
      <c r="BK601" s="64"/>
      <c r="BL601" s="64"/>
      <c r="BM601" s="64"/>
      <c r="BN601" s="64"/>
      <c r="BO601" s="64"/>
      <c r="BP601" s="64"/>
      <c r="BQ601" s="64"/>
      <c r="BR601" s="64"/>
    </row>
    <row r="602" ht="18.75" customHeight="1">
      <c r="G602" s="122"/>
      <c r="H602" s="64"/>
      <c r="L602" s="64"/>
      <c r="M602" s="64"/>
      <c r="N602" s="64"/>
      <c r="O602" s="64"/>
      <c r="P602" s="64"/>
      <c r="Q602" s="64"/>
      <c r="R602" s="64"/>
      <c r="S602" s="64"/>
      <c r="T602" s="64"/>
      <c r="U602" s="64"/>
      <c r="V602" s="64"/>
      <c r="W602" s="64"/>
      <c r="X602" s="64"/>
      <c r="Y602" s="64"/>
      <c r="BH602" s="64"/>
      <c r="BI602" s="64"/>
      <c r="BJ602" s="64"/>
      <c r="BK602" s="64"/>
      <c r="BL602" s="64"/>
      <c r="BM602" s="64"/>
      <c r="BN602" s="64"/>
      <c r="BO602" s="64"/>
      <c r="BP602" s="64"/>
      <c r="BQ602" s="64"/>
      <c r="BR602" s="64"/>
    </row>
    <row r="603" ht="18.75" customHeight="1">
      <c r="G603" s="122"/>
      <c r="H603" s="64"/>
      <c r="L603" s="64"/>
      <c r="M603" s="64"/>
      <c r="N603" s="64"/>
      <c r="O603" s="64"/>
      <c r="P603" s="64"/>
      <c r="Q603" s="64"/>
      <c r="R603" s="64"/>
      <c r="S603" s="64"/>
      <c r="T603" s="64"/>
      <c r="U603" s="64"/>
      <c r="V603" s="64"/>
      <c r="W603" s="64"/>
      <c r="X603" s="64"/>
      <c r="Y603" s="64"/>
      <c r="BH603" s="64"/>
      <c r="BI603" s="64"/>
      <c r="BJ603" s="64"/>
      <c r="BK603" s="64"/>
      <c r="BL603" s="64"/>
      <c r="BM603" s="64"/>
      <c r="BN603" s="64"/>
      <c r="BO603" s="64"/>
      <c r="BP603" s="64"/>
      <c r="BQ603" s="64"/>
      <c r="BR603" s="64"/>
    </row>
    <row r="604" ht="18.75" customHeight="1">
      <c r="G604" s="122"/>
      <c r="H604" s="64"/>
      <c r="L604" s="64"/>
      <c r="M604" s="64"/>
      <c r="N604" s="64"/>
      <c r="O604" s="64"/>
      <c r="P604" s="64"/>
      <c r="Q604" s="64"/>
      <c r="R604" s="64"/>
      <c r="S604" s="64"/>
      <c r="T604" s="64"/>
      <c r="U604" s="64"/>
      <c r="V604" s="64"/>
      <c r="W604" s="64"/>
      <c r="X604" s="64"/>
      <c r="Y604" s="64"/>
      <c r="BH604" s="64"/>
      <c r="BI604" s="64"/>
      <c r="BJ604" s="64"/>
      <c r="BK604" s="64"/>
      <c r="BL604" s="64"/>
      <c r="BM604" s="64"/>
      <c r="BN604" s="64"/>
      <c r="BO604" s="64"/>
      <c r="BP604" s="64"/>
      <c r="BQ604" s="64"/>
      <c r="BR604" s="64"/>
    </row>
    <row r="605" ht="18.75" customHeight="1">
      <c r="G605" s="122"/>
      <c r="H605" s="64"/>
      <c r="L605" s="64"/>
      <c r="M605" s="64"/>
      <c r="N605" s="64"/>
      <c r="O605" s="64"/>
      <c r="P605" s="64"/>
      <c r="Q605" s="64"/>
      <c r="R605" s="64"/>
      <c r="S605" s="64"/>
      <c r="T605" s="64"/>
      <c r="U605" s="64"/>
      <c r="V605" s="64"/>
      <c r="W605" s="64"/>
      <c r="X605" s="64"/>
      <c r="Y605" s="64"/>
      <c r="BH605" s="64"/>
      <c r="BI605" s="64"/>
      <c r="BJ605" s="64"/>
      <c r="BK605" s="64"/>
      <c r="BL605" s="64"/>
      <c r="BM605" s="64"/>
      <c r="BN605" s="64"/>
      <c r="BO605" s="64"/>
      <c r="BP605" s="64"/>
      <c r="BQ605" s="64"/>
      <c r="BR605" s="64"/>
    </row>
    <row r="606" ht="18.75" customHeight="1">
      <c r="G606" s="122"/>
      <c r="H606" s="64"/>
      <c r="L606" s="64"/>
      <c r="M606" s="64"/>
      <c r="N606" s="64"/>
      <c r="O606" s="64"/>
      <c r="P606" s="64"/>
      <c r="Q606" s="64"/>
      <c r="R606" s="64"/>
      <c r="S606" s="64"/>
      <c r="T606" s="64"/>
      <c r="U606" s="64"/>
      <c r="V606" s="64"/>
      <c r="W606" s="64"/>
      <c r="X606" s="64"/>
      <c r="Y606" s="64"/>
      <c r="BH606" s="64"/>
      <c r="BI606" s="64"/>
      <c r="BJ606" s="64"/>
      <c r="BK606" s="64"/>
      <c r="BL606" s="64"/>
      <c r="BM606" s="64"/>
      <c r="BN606" s="64"/>
      <c r="BO606" s="64"/>
      <c r="BP606" s="64"/>
      <c r="BQ606" s="64"/>
      <c r="BR606" s="64"/>
    </row>
    <row r="607" ht="18.75" customHeight="1">
      <c r="G607" s="122"/>
      <c r="H607" s="64"/>
      <c r="L607" s="64"/>
      <c r="M607" s="64"/>
      <c r="N607" s="64"/>
      <c r="O607" s="64"/>
      <c r="P607" s="64"/>
      <c r="Q607" s="64"/>
      <c r="R607" s="64"/>
      <c r="S607" s="64"/>
      <c r="T607" s="64"/>
      <c r="U607" s="64"/>
      <c r="V607" s="64"/>
      <c r="W607" s="64"/>
      <c r="X607" s="64"/>
      <c r="Y607" s="64"/>
      <c r="BH607" s="64"/>
      <c r="BI607" s="64"/>
      <c r="BJ607" s="64"/>
      <c r="BK607" s="64"/>
      <c r="BL607" s="64"/>
      <c r="BM607" s="64"/>
      <c r="BN607" s="64"/>
      <c r="BO607" s="64"/>
      <c r="BP607" s="64"/>
      <c r="BQ607" s="64"/>
      <c r="BR607" s="64"/>
    </row>
    <row r="608" ht="18.75" customHeight="1">
      <c r="G608" s="122"/>
      <c r="H608" s="64"/>
      <c r="L608" s="64"/>
      <c r="M608" s="64"/>
      <c r="N608" s="64"/>
      <c r="O608" s="64"/>
      <c r="P608" s="64"/>
      <c r="Q608" s="64"/>
      <c r="R608" s="64"/>
      <c r="S608" s="64"/>
      <c r="T608" s="64"/>
      <c r="U608" s="64"/>
      <c r="V608" s="64"/>
      <c r="W608" s="64"/>
      <c r="X608" s="64"/>
      <c r="Y608" s="64"/>
      <c r="BH608" s="64"/>
      <c r="BI608" s="64"/>
      <c r="BJ608" s="64"/>
      <c r="BK608" s="64"/>
      <c r="BL608" s="64"/>
      <c r="BM608" s="64"/>
      <c r="BN608" s="64"/>
      <c r="BO608" s="64"/>
      <c r="BP608" s="64"/>
      <c r="BQ608" s="64"/>
      <c r="BR608" s="64"/>
    </row>
    <row r="609" ht="18.75" customHeight="1">
      <c r="G609" s="122"/>
      <c r="H609" s="64"/>
      <c r="L609" s="64"/>
      <c r="M609" s="64"/>
      <c r="N609" s="64"/>
      <c r="O609" s="64"/>
      <c r="P609" s="64"/>
      <c r="Q609" s="64"/>
      <c r="R609" s="64"/>
      <c r="S609" s="64"/>
      <c r="T609" s="64"/>
      <c r="U609" s="64"/>
      <c r="V609" s="64"/>
      <c r="W609" s="64"/>
      <c r="X609" s="64"/>
      <c r="Y609" s="64"/>
      <c r="BH609" s="64"/>
      <c r="BI609" s="64"/>
      <c r="BJ609" s="64"/>
      <c r="BK609" s="64"/>
      <c r="BL609" s="64"/>
      <c r="BM609" s="64"/>
      <c r="BN609" s="64"/>
      <c r="BO609" s="64"/>
      <c r="BP609" s="64"/>
      <c r="BQ609" s="64"/>
      <c r="BR609" s="64"/>
    </row>
    <row r="610" ht="18.75" customHeight="1">
      <c r="G610" s="122"/>
      <c r="H610" s="64"/>
      <c r="L610" s="64"/>
      <c r="M610" s="64"/>
      <c r="N610" s="64"/>
      <c r="O610" s="64"/>
      <c r="P610" s="64"/>
      <c r="Q610" s="64"/>
      <c r="R610" s="64"/>
      <c r="S610" s="64"/>
      <c r="T610" s="64"/>
      <c r="U610" s="64"/>
      <c r="V610" s="64"/>
      <c r="W610" s="64"/>
      <c r="X610" s="64"/>
      <c r="Y610" s="64"/>
      <c r="BH610" s="64"/>
      <c r="BI610" s="64"/>
      <c r="BJ610" s="64"/>
      <c r="BK610" s="64"/>
      <c r="BL610" s="64"/>
      <c r="BM610" s="64"/>
      <c r="BN610" s="64"/>
      <c r="BO610" s="64"/>
      <c r="BP610" s="64"/>
      <c r="BQ610" s="64"/>
      <c r="BR610" s="64"/>
    </row>
    <row r="611" ht="18.75" customHeight="1">
      <c r="G611" s="122"/>
      <c r="H611" s="64"/>
      <c r="L611" s="64"/>
      <c r="M611" s="64"/>
      <c r="N611" s="64"/>
      <c r="O611" s="64"/>
      <c r="P611" s="64"/>
      <c r="Q611" s="64"/>
      <c r="R611" s="64"/>
      <c r="S611" s="64"/>
      <c r="T611" s="64"/>
      <c r="U611" s="64"/>
      <c r="V611" s="64"/>
      <c r="W611" s="64"/>
      <c r="X611" s="64"/>
      <c r="Y611" s="64"/>
      <c r="BH611" s="64"/>
      <c r="BI611" s="64"/>
      <c r="BJ611" s="64"/>
      <c r="BK611" s="64"/>
      <c r="BL611" s="64"/>
      <c r="BM611" s="64"/>
      <c r="BN611" s="64"/>
      <c r="BO611" s="64"/>
      <c r="BP611" s="64"/>
      <c r="BQ611" s="64"/>
      <c r="BR611" s="64"/>
    </row>
    <row r="612" ht="18.75" customHeight="1">
      <c r="G612" s="122"/>
      <c r="H612" s="64"/>
      <c r="L612" s="64"/>
      <c r="M612" s="64"/>
      <c r="N612" s="64"/>
      <c r="O612" s="64"/>
      <c r="P612" s="64"/>
      <c r="Q612" s="64"/>
      <c r="R612" s="64"/>
      <c r="S612" s="64"/>
      <c r="T612" s="64"/>
      <c r="U612" s="64"/>
      <c r="V612" s="64"/>
      <c r="W612" s="64"/>
      <c r="X612" s="64"/>
      <c r="Y612" s="64"/>
      <c r="BH612" s="64"/>
      <c r="BI612" s="64"/>
      <c r="BJ612" s="64"/>
      <c r="BK612" s="64"/>
      <c r="BL612" s="64"/>
      <c r="BM612" s="64"/>
      <c r="BN612" s="64"/>
      <c r="BO612" s="64"/>
      <c r="BP612" s="64"/>
      <c r="BQ612" s="64"/>
      <c r="BR612" s="64"/>
    </row>
    <row r="613" ht="18.75" customHeight="1">
      <c r="G613" s="122"/>
      <c r="H613" s="64"/>
      <c r="L613" s="64"/>
      <c r="M613" s="64"/>
      <c r="N613" s="64"/>
      <c r="O613" s="64"/>
      <c r="P613" s="64"/>
      <c r="Q613" s="64"/>
      <c r="R613" s="64"/>
      <c r="S613" s="64"/>
      <c r="T613" s="64"/>
      <c r="U613" s="64"/>
      <c r="V613" s="64"/>
      <c r="W613" s="64"/>
      <c r="X613" s="64"/>
      <c r="Y613" s="64"/>
      <c r="BH613" s="64"/>
      <c r="BI613" s="64"/>
      <c r="BJ613" s="64"/>
      <c r="BK613" s="64"/>
      <c r="BL613" s="64"/>
      <c r="BM613" s="64"/>
      <c r="BN613" s="64"/>
      <c r="BO613" s="64"/>
      <c r="BP613" s="64"/>
      <c r="BQ613" s="64"/>
      <c r="BR613" s="64"/>
    </row>
    <row r="614" ht="18.75" customHeight="1">
      <c r="G614" s="122"/>
      <c r="H614" s="64"/>
      <c r="L614" s="64"/>
      <c r="M614" s="64"/>
      <c r="N614" s="64"/>
      <c r="O614" s="64"/>
      <c r="P614" s="64"/>
      <c r="Q614" s="64"/>
      <c r="R614" s="64"/>
      <c r="S614" s="64"/>
      <c r="T614" s="64"/>
      <c r="U614" s="64"/>
      <c r="V614" s="64"/>
      <c r="W614" s="64"/>
      <c r="X614" s="64"/>
      <c r="Y614" s="64"/>
      <c r="BH614" s="64"/>
      <c r="BI614" s="64"/>
      <c r="BJ614" s="64"/>
      <c r="BK614" s="64"/>
      <c r="BL614" s="64"/>
      <c r="BM614" s="64"/>
      <c r="BN614" s="64"/>
      <c r="BO614" s="64"/>
      <c r="BP614" s="64"/>
      <c r="BQ614" s="64"/>
      <c r="BR614" s="64"/>
    </row>
    <row r="615" ht="18.75" customHeight="1">
      <c r="G615" s="122"/>
      <c r="H615" s="64"/>
      <c r="L615" s="64"/>
      <c r="M615" s="64"/>
      <c r="N615" s="64"/>
      <c r="O615" s="64"/>
      <c r="P615" s="64"/>
      <c r="Q615" s="64"/>
      <c r="R615" s="64"/>
      <c r="S615" s="64"/>
      <c r="T615" s="64"/>
      <c r="U615" s="64"/>
      <c r="V615" s="64"/>
      <c r="W615" s="64"/>
      <c r="X615" s="64"/>
      <c r="Y615" s="64"/>
      <c r="BH615" s="64"/>
      <c r="BI615" s="64"/>
      <c r="BJ615" s="64"/>
      <c r="BK615" s="64"/>
      <c r="BL615" s="64"/>
      <c r="BM615" s="64"/>
      <c r="BN615" s="64"/>
      <c r="BO615" s="64"/>
      <c r="BP615" s="64"/>
      <c r="BQ615" s="64"/>
      <c r="BR615" s="64"/>
    </row>
    <row r="616" ht="18.75" customHeight="1">
      <c r="G616" s="122"/>
      <c r="H616" s="64"/>
      <c r="L616" s="64"/>
      <c r="M616" s="64"/>
      <c r="N616" s="64"/>
      <c r="O616" s="64"/>
      <c r="P616" s="64"/>
      <c r="Q616" s="64"/>
      <c r="R616" s="64"/>
      <c r="S616" s="64"/>
      <c r="T616" s="64"/>
      <c r="U616" s="64"/>
      <c r="V616" s="64"/>
      <c r="W616" s="64"/>
      <c r="X616" s="64"/>
      <c r="Y616" s="64"/>
      <c r="BH616" s="64"/>
      <c r="BI616" s="64"/>
      <c r="BJ616" s="64"/>
      <c r="BK616" s="64"/>
      <c r="BL616" s="64"/>
      <c r="BM616" s="64"/>
      <c r="BN616" s="64"/>
      <c r="BO616" s="64"/>
      <c r="BP616" s="64"/>
      <c r="BQ616" s="64"/>
      <c r="BR616" s="64"/>
    </row>
    <row r="617" ht="18.75" customHeight="1">
      <c r="G617" s="122"/>
      <c r="H617" s="64"/>
      <c r="L617" s="64"/>
      <c r="M617" s="64"/>
      <c r="N617" s="64"/>
      <c r="O617" s="64"/>
      <c r="P617" s="64"/>
      <c r="Q617" s="64"/>
      <c r="R617" s="64"/>
      <c r="S617" s="64"/>
      <c r="T617" s="64"/>
      <c r="U617" s="64"/>
      <c r="V617" s="64"/>
      <c r="W617" s="64"/>
      <c r="X617" s="64"/>
      <c r="Y617" s="64"/>
      <c r="BH617" s="64"/>
      <c r="BI617" s="64"/>
      <c r="BJ617" s="64"/>
      <c r="BK617" s="64"/>
      <c r="BL617" s="64"/>
      <c r="BM617" s="64"/>
      <c r="BN617" s="64"/>
      <c r="BO617" s="64"/>
      <c r="BP617" s="64"/>
      <c r="BQ617" s="64"/>
      <c r="BR617" s="64"/>
    </row>
    <row r="618" ht="18.75" customHeight="1">
      <c r="G618" s="122"/>
      <c r="H618" s="64"/>
      <c r="L618" s="64"/>
      <c r="M618" s="64"/>
      <c r="N618" s="64"/>
      <c r="O618" s="64"/>
      <c r="P618" s="64"/>
      <c r="Q618" s="64"/>
      <c r="R618" s="64"/>
      <c r="S618" s="64"/>
      <c r="T618" s="64"/>
      <c r="U618" s="64"/>
      <c r="V618" s="64"/>
      <c r="W618" s="64"/>
      <c r="X618" s="64"/>
      <c r="Y618" s="64"/>
      <c r="BH618" s="64"/>
      <c r="BI618" s="64"/>
      <c r="BJ618" s="64"/>
      <c r="BK618" s="64"/>
      <c r="BL618" s="64"/>
      <c r="BM618" s="64"/>
      <c r="BN618" s="64"/>
      <c r="BO618" s="64"/>
      <c r="BP618" s="64"/>
      <c r="BQ618" s="64"/>
      <c r="BR618" s="64"/>
    </row>
    <row r="619" ht="18.75" customHeight="1">
      <c r="G619" s="122"/>
      <c r="H619" s="64"/>
      <c r="L619" s="64"/>
      <c r="M619" s="64"/>
      <c r="N619" s="64"/>
      <c r="O619" s="64"/>
      <c r="P619" s="64"/>
      <c r="Q619" s="64"/>
      <c r="R619" s="64"/>
      <c r="S619" s="64"/>
      <c r="T619" s="64"/>
      <c r="U619" s="64"/>
      <c r="V619" s="64"/>
      <c r="W619" s="64"/>
      <c r="X619" s="64"/>
      <c r="Y619" s="64"/>
      <c r="BH619" s="64"/>
      <c r="BI619" s="64"/>
      <c r="BJ619" s="64"/>
      <c r="BK619" s="64"/>
      <c r="BL619" s="64"/>
      <c r="BM619" s="64"/>
      <c r="BN619" s="64"/>
      <c r="BO619" s="64"/>
      <c r="BP619" s="64"/>
      <c r="BQ619" s="64"/>
      <c r="BR619" s="64"/>
    </row>
    <row r="620" ht="18.75" customHeight="1">
      <c r="G620" s="122"/>
      <c r="H620" s="64"/>
      <c r="L620" s="64"/>
      <c r="M620" s="64"/>
      <c r="N620" s="64"/>
      <c r="O620" s="64"/>
      <c r="P620" s="64"/>
      <c r="Q620" s="64"/>
      <c r="R620" s="64"/>
      <c r="S620" s="64"/>
      <c r="T620" s="64"/>
      <c r="U620" s="64"/>
      <c r="V620" s="64"/>
      <c r="W620" s="64"/>
      <c r="X620" s="64"/>
      <c r="Y620" s="64"/>
      <c r="BH620" s="64"/>
      <c r="BI620" s="64"/>
      <c r="BJ620" s="64"/>
      <c r="BK620" s="64"/>
      <c r="BL620" s="64"/>
      <c r="BM620" s="64"/>
      <c r="BN620" s="64"/>
      <c r="BO620" s="64"/>
      <c r="BP620" s="64"/>
      <c r="BQ620" s="64"/>
      <c r="BR620" s="64"/>
    </row>
    <row r="621" ht="18.75" customHeight="1">
      <c r="G621" s="122"/>
      <c r="H621" s="64"/>
      <c r="L621" s="64"/>
      <c r="M621" s="64"/>
      <c r="N621" s="64"/>
      <c r="O621" s="64"/>
      <c r="P621" s="64"/>
      <c r="Q621" s="64"/>
      <c r="R621" s="64"/>
      <c r="S621" s="64"/>
      <c r="T621" s="64"/>
      <c r="U621" s="64"/>
      <c r="V621" s="64"/>
      <c r="W621" s="64"/>
      <c r="X621" s="64"/>
      <c r="Y621" s="64"/>
      <c r="BH621" s="64"/>
      <c r="BI621" s="64"/>
      <c r="BJ621" s="64"/>
      <c r="BK621" s="64"/>
      <c r="BL621" s="64"/>
      <c r="BM621" s="64"/>
      <c r="BN621" s="64"/>
      <c r="BO621" s="64"/>
      <c r="BP621" s="64"/>
      <c r="BQ621" s="64"/>
      <c r="BR621" s="64"/>
    </row>
    <row r="622" ht="18.75" customHeight="1">
      <c r="G622" s="122"/>
      <c r="H622" s="64"/>
      <c r="L622" s="64"/>
      <c r="M622" s="64"/>
      <c r="N622" s="64"/>
      <c r="O622" s="64"/>
      <c r="P622" s="64"/>
      <c r="Q622" s="64"/>
      <c r="R622" s="64"/>
      <c r="S622" s="64"/>
      <c r="T622" s="64"/>
      <c r="U622" s="64"/>
      <c r="V622" s="64"/>
      <c r="W622" s="64"/>
      <c r="X622" s="64"/>
      <c r="Y622" s="64"/>
      <c r="BH622" s="64"/>
      <c r="BI622" s="64"/>
      <c r="BJ622" s="64"/>
      <c r="BK622" s="64"/>
      <c r="BL622" s="64"/>
      <c r="BM622" s="64"/>
      <c r="BN622" s="64"/>
      <c r="BO622" s="64"/>
      <c r="BP622" s="64"/>
      <c r="BQ622" s="64"/>
      <c r="BR622" s="64"/>
    </row>
    <row r="623" ht="18.75" customHeight="1">
      <c r="G623" s="122"/>
      <c r="H623" s="64"/>
      <c r="L623" s="64"/>
      <c r="M623" s="64"/>
      <c r="N623" s="64"/>
      <c r="O623" s="64"/>
      <c r="P623" s="64"/>
      <c r="Q623" s="64"/>
      <c r="R623" s="64"/>
      <c r="S623" s="64"/>
      <c r="T623" s="64"/>
      <c r="U623" s="64"/>
      <c r="V623" s="64"/>
      <c r="W623" s="64"/>
      <c r="X623" s="64"/>
      <c r="Y623" s="64"/>
      <c r="BH623" s="64"/>
      <c r="BI623" s="64"/>
      <c r="BJ623" s="64"/>
      <c r="BK623" s="64"/>
      <c r="BL623" s="64"/>
      <c r="BM623" s="64"/>
      <c r="BN623" s="64"/>
      <c r="BO623" s="64"/>
      <c r="BP623" s="64"/>
      <c r="BQ623" s="64"/>
      <c r="BR623" s="64"/>
    </row>
    <row r="624" ht="18.75" customHeight="1">
      <c r="G624" s="122"/>
      <c r="H624" s="64"/>
      <c r="L624" s="64"/>
      <c r="M624" s="64"/>
      <c r="N624" s="64"/>
      <c r="O624" s="64"/>
      <c r="P624" s="64"/>
      <c r="Q624" s="64"/>
      <c r="R624" s="64"/>
      <c r="S624" s="64"/>
      <c r="T624" s="64"/>
      <c r="U624" s="64"/>
      <c r="V624" s="64"/>
      <c r="W624" s="64"/>
      <c r="X624" s="64"/>
      <c r="Y624" s="64"/>
      <c r="BH624" s="64"/>
      <c r="BI624" s="64"/>
      <c r="BJ624" s="64"/>
      <c r="BK624" s="64"/>
      <c r="BL624" s="64"/>
      <c r="BM624" s="64"/>
      <c r="BN624" s="64"/>
      <c r="BO624" s="64"/>
      <c r="BP624" s="64"/>
      <c r="BQ624" s="64"/>
      <c r="BR624" s="64"/>
    </row>
    <row r="625" ht="18.75" customHeight="1">
      <c r="G625" s="122"/>
      <c r="H625" s="64"/>
      <c r="L625" s="64"/>
      <c r="M625" s="64"/>
      <c r="N625" s="64"/>
      <c r="O625" s="64"/>
      <c r="P625" s="64"/>
      <c r="Q625" s="64"/>
      <c r="R625" s="64"/>
      <c r="S625" s="64"/>
      <c r="T625" s="64"/>
      <c r="U625" s="64"/>
      <c r="V625" s="64"/>
      <c r="W625" s="64"/>
      <c r="X625" s="64"/>
      <c r="Y625" s="64"/>
      <c r="BH625" s="64"/>
      <c r="BI625" s="64"/>
      <c r="BJ625" s="64"/>
      <c r="BK625" s="64"/>
      <c r="BL625" s="64"/>
      <c r="BM625" s="64"/>
      <c r="BN625" s="64"/>
      <c r="BO625" s="64"/>
      <c r="BP625" s="64"/>
      <c r="BQ625" s="64"/>
      <c r="BR625" s="64"/>
    </row>
    <row r="626" ht="18.75" customHeight="1">
      <c r="G626" s="122"/>
      <c r="H626" s="64"/>
      <c r="L626" s="64"/>
      <c r="M626" s="64"/>
      <c r="N626" s="64"/>
      <c r="O626" s="64"/>
      <c r="P626" s="64"/>
      <c r="Q626" s="64"/>
      <c r="R626" s="64"/>
      <c r="S626" s="64"/>
      <c r="T626" s="64"/>
      <c r="U626" s="64"/>
      <c r="V626" s="64"/>
      <c r="W626" s="64"/>
      <c r="X626" s="64"/>
      <c r="Y626" s="64"/>
      <c r="BH626" s="64"/>
      <c r="BI626" s="64"/>
      <c r="BJ626" s="64"/>
      <c r="BK626" s="64"/>
      <c r="BL626" s="64"/>
      <c r="BM626" s="64"/>
      <c r="BN626" s="64"/>
      <c r="BO626" s="64"/>
      <c r="BP626" s="64"/>
      <c r="BQ626" s="64"/>
      <c r="BR626" s="64"/>
    </row>
    <row r="627" ht="18.75" customHeight="1">
      <c r="G627" s="122"/>
      <c r="H627" s="64"/>
      <c r="L627" s="64"/>
      <c r="M627" s="64"/>
      <c r="N627" s="64"/>
      <c r="O627" s="64"/>
      <c r="P627" s="64"/>
      <c r="Q627" s="64"/>
      <c r="R627" s="64"/>
      <c r="S627" s="64"/>
      <c r="T627" s="64"/>
      <c r="U627" s="64"/>
      <c r="V627" s="64"/>
      <c r="W627" s="64"/>
      <c r="X627" s="64"/>
      <c r="Y627" s="64"/>
      <c r="BH627" s="64"/>
      <c r="BI627" s="64"/>
      <c r="BJ627" s="64"/>
      <c r="BK627" s="64"/>
      <c r="BL627" s="64"/>
      <c r="BM627" s="64"/>
      <c r="BN627" s="64"/>
      <c r="BO627" s="64"/>
      <c r="BP627" s="64"/>
      <c r="BQ627" s="64"/>
      <c r="BR627" s="64"/>
    </row>
    <row r="628" ht="18.75" customHeight="1">
      <c r="G628" s="122"/>
      <c r="H628" s="64"/>
      <c r="L628" s="64"/>
      <c r="M628" s="64"/>
      <c r="N628" s="64"/>
      <c r="O628" s="64"/>
      <c r="P628" s="64"/>
      <c r="Q628" s="64"/>
      <c r="R628" s="64"/>
      <c r="S628" s="64"/>
      <c r="T628" s="64"/>
      <c r="U628" s="64"/>
      <c r="V628" s="64"/>
      <c r="W628" s="64"/>
      <c r="X628" s="64"/>
      <c r="Y628" s="64"/>
      <c r="BH628" s="64"/>
      <c r="BI628" s="64"/>
      <c r="BJ628" s="64"/>
      <c r="BK628" s="64"/>
      <c r="BL628" s="64"/>
      <c r="BM628" s="64"/>
      <c r="BN628" s="64"/>
      <c r="BO628" s="64"/>
      <c r="BP628" s="64"/>
      <c r="BQ628" s="64"/>
      <c r="BR628" s="64"/>
    </row>
    <row r="629" ht="18.75" customHeight="1">
      <c r="G629" s="122"/>
      <c r="H629" s="64"/>
      <c r="L629" s="64"/>
      <c r="M629" s="64"/>
      <c r="N629" s="64"/>
      <c r="O629" s="64"/>
      <c r="P629" s="64"/>
      <c r="Q629" s="64"/>
      <c r="R629" s="64"/>
      <c r="S629" s="64"/>
      <c r="T629" s="64"/>
      <c r="U629" s="64"/>
      <c r="V629" s="64"/>
      <c r="W629" s="64"/>
      <c r="X629" s="64"/>
      <c r="Y629" s="64"/>
      <c r="BH629" s="64"/>
      <c r="BI629" s="64"/>
      <c r="BJ629" s="64"/>
      <c r="BK629" s="64"/>
      <c r="BL629" s="64"/>
      <c r="BM629" s="64"/>
      <c r="BN629" s="64"/>
      <c r="BO629" s="64"/>
      <c r="BP629" s="64"/>
      <c r="BQ629" s="64"/>
      <c r="BR629" s="64"/>
    </row>
    <row r="630" ht="18.75" customHeight="1">
      <c r="G630" s="122"/>
      <c r="H630" s="64"/>
      <c r="L630" s="64"/>
      <c r="M630" s="64"/>
      <c r="N630" s="64"/>
      <c r="O630" s="64"/>
      <c r="P630" s="64"/>
      <c r="Q630" s="64"/>
      <c r="R630" s="64"/>
      <c r="S630" s="64"/>
      <c r="T630" s="64"/>
      <c r="U630" s="64"/>
      <c r="V630" s="64"/>
      <c r="W630" s="64"/>
      <c r="X630" s="64"/>
      <c r="Y630" s="64"/>
      <c r="BH630" s="64"/>
      <c r="BI630" s="64"/>
      <c r="BJ630" s="64"/>
      <c r="BK630" s="64"/>
      <c r="BL630" s="64"/>
      <c r="BM630" s="64"/>
      <c r="BN630" s="64"/>
      <c r="BO630" s="64"/>
      <c r="BP630" s="64"/>
      <c r="BQ630" s="64"/>
      <c r="BR630" s="64"/>
    </row>
    <row r="631" ht="18.75" customHeight="1">
      <c r="G631" s="122"/>
      <c r="H631" s="64"/>
      <c r="L631" s="64"/>
      <c r="M631" s="64"/>
      <c r="N631" s="64"/>
      <c r="O631" s="64"/>
      <c r="P631" s="64"/>
      <c r="Q631" s="64"/>
      <c r="R631" s="64"/>
      <c r="S631" s="64"/>
      <c r="T631" s="64"/>
      <c r="U631" s="64"/>
      <c r="V631" s="64"/>
      <c r="W631" s="64"/>
      <c r="X631" s="64"/>
      <c r="Y631" s="64"/>
      <c r="BH631" s="64"/>
      <c r="BI631" s="64"/>
      <c r="BJ631" s="64"/>
      <c r="BK631" s="64"/>
      <c r="BL631" s="64"/>
      <c r="BM631" s="64"/>
      <c r="BN631" s="64"/>
      <c r="BO631" s="64"/>
      <c r="BP631" s="64"/>
      <c r="BQ631" s="64"/>
      <c r="BR631" s="64"/>
    </row>
    <row r="632" ht="18.75" customHeight="1">
      <c r="G632" s="122"/>
      <c r="H632" s="64"/>
      <c r="L632" s="64"/>
      <c r="M632" s="64"/>
      <c r="N632" s="64"/>
      <c r="O632" s="64"/>
      <c r="P632" s="64"/>
      <c r="Q632" s="64"/>
      <c r="R632" s="64"/>
      <c r="S632" s="64"/>
      <c r="T632" s="64"/>
      <c r="U632" s="64"/>
      <c r="V632" s="64"/>
      <c r="W632" s="64"/>
      <c r="X632" s="64"/>
      <c r="Y632" s="64"/>
      <c r="BH632" s="64"/>
      <c r="BI632" s="64"/>
      <c r="BJ632" s="64"/>
      <c r="BK632" s="64"/>
      <c r="BL632" s="64"/>
      <c r="BM632" s="64"/>
      <c r="BN632" s="64"/>
      <c r="BO632" s="64"/>
      <c r="BP632" s="64"/>
      <c r="BQ632" s="64"/>
      <c r="BR632" s="64"/>
    </row>
    <row r="633" ht="18.75" customHeight="1">
      <c r="G633" s="122"/>
      <c r="H633" s="64"/>
      <c r="L633" s="64"/>
      <c r="M633" s="64"/>
      <c r="N633" s="64"/>
      <c r="O633" s="64"/>
      <c r="P633" s="64"/>
      <c r="Q633" s="64"/>
      <c r="R633" s="64"/>
      <c r="S633" s="64"/>
      <c r="T633" s="64"/>
      <c r="U633" s="64"/>
      <c r="V633" s="64"/>
      <c r="W633" s="64"/>
      <c r="X633" s="64"/>
      <c r="Y633" s="64"/>
      <c r="BH633" s="64"/>
      <c r="BI633" s="64"/>
      <c r="BJ633" s="64"/>
      <c r="BK633" s="64"/>
      <c r="BL633" s="64"/>
      <c r="BM633" s="64"/>
      <c r="BN633" s="64"/>
      <c r="BO633" s="64"/>
      <c r="BP633" s="64"/>
      <c r="BQ633" s="64"/>
      <c r="BR633" s="64"/>
    </row>
    <row r="634" ht="18.75" customHeight="1">
      <c r="G634" s="122"/>
      <c r="H634" s="64"/>
      <c r="L634" s="64"/>
      <c r="M634" s="64"/>
      <c r="N634" s="64"/>
      <c r="O634" s="64"/>
      <c r="P634" s="64"/>
      <c r="Q634" s="64"/>
      <c r="R634" s="64"/>
      <c r="S634" s="64"/>
      <c r="T634" s="64"/>
      <c r="U634" s="64"/>
      <c r="V634" s="64"/>
      <c r="W634" s="64"/>
      <c r="X634" s="64"/>
      <c r="Y634" s="64"/>
      <c r="BH634" s="64"/>
      <c r="BI634" s="64"/>
      <c r="BJ634" s="64"/>
      <c r="BK634" s="64"/>
      <c r="BL634" s="64"/>
      <c r="BM634" s="64"/>
      <c r="BN634" s="64"/>
      <c r="BO634" s="64"/>
      <c r="BP634" s="64"/>
      <c r="BQ634" s="64"/>
      <c r="BR634" s="64"/>
    </row>
    <row r="635" ht="18.75" customHeight="1">
      <c r="G635" s="122"/>
      <c r="H635" s="64"/>
      <c r="L635" s="64"/>
      <c r="M635" s="64"/>
      <c r="N635" s="64"/>
      <c r="O635" s="64"/>
      <c r="P635" s="64"/>
      <c r="Q635" s="64"/>
      <c r="R635" s="64"/>
      <c r="S635" s="64"/>
      <c r="T635" s="64"/>
      <c r="U635" s="64"/>
      <c r="V635" s="64"/>
      <c r="W635" s="64"/>
      <c r="X635" s="64"/>
      <c r="Y635" s="64"/>
      <c r="BH635" s="64"/>
      <c r="BI635" s="64"/>
      <c r="BJ635" s="64"/>
      <c r="BK635" s="64"/>
      <c r="BL635" s="64"/>
      <c r="BM635" s="64"/>
      <c r="BN635" s="64"/>
      <c r="BO635" s="64"/>
      <c r="BP635" s="64"/>
      <c r="BQ635" s="64"/>
      <c r="BR635" s="64"/>
    </row>
    <row r="636" ht="18.75" customHeight="1">
      <c r="G636" s="122"/>
      <c r="H636" s="64"/>
      <c r="L636" s="64"/>
      <c r="M636" s="64"/>
      <c r="N636" s="64"/>
      <c r="O636" s="64"/>
      <c r="P636" s="64"/>
      <c r="Q636" s="64"/>
      <c r="R636" s="64"/>
      <c r="S636" s="64"/>
      <c r="T636" s="64"/>
      <c r="U636" s="64"/>
      <c r="V636" s="64"/>
      <c r="W636" s="64"/>
      <c r="X636" s="64"/>
      <c r="Y636" s="64"/>
      <c r="BH636" s="64"/>
      <c r="BI636" s="64"/>
      <c r="BJ636" s="64"/>
      <c r="BK636" s="64"/>
      <c r="BL636" s="64"/>
      <c r="BM636" s="64"/>
      <c r="BN636" s="64"/>
      <c r="BO636" s="64"/>
      <c r="BP636" s="64"/>
      <c r="BQ636" s="64"/>
      <c r="BR636" s="64"/>
    </row>
    <row r="637" ht="18.75" customHeight="1">
      <c r="G637" s="122"/>
      <c r="H637" s="64"/>
      <c r="L637" s="64"/>
      <c r="M637" s="64"/>
      <c r="N637" s="64"/>
      <c r="O637" s="64"/>
      <c r="P637" s="64"/>
      <c r="Q637" s="64"/>
      <c r="R637" s="64"/>
      <c r="S637" s="64"/>
      <c r="T637" s="64"/>
      <c r="U637" s="64"/>
      <c r="V637" s="64"/>
      <c r="W637" s="64"/>
      <c r="X637" s="64"/>
      <c r="Y637" s="64"/>
      <c r="BH637" s="64"/>
      <c r="BI637" s="64"/>
      <c r="BJ637" s="64"/>
      <c r="BK637" s="64"/>
      <c r="BL637" s="64"/>
      <c r="BM637" s="64"/>
      <c r="BN637" s="64"/>
      <c r="BO637" s="64"/>
      <c r="BP637" s="64"/>
      <c r="BQ637" s="64"/>
      <c r="BR637" s="64"/>
    </row>
    <row r="638" ht="18.75" customHeight="1">
      <c r="G638" s="122"/>
      <c r="H638" s="64"/>
      <c r="L638" s="64"/>
      <c r="M638" s="64"/>
      <c r="N638" s="64"/>
      <c r="O638" s="64"/>
      <c r="P638" s="64"/>
      <c r="Q638" s="64"/>
      <c r="R638" s="64"/>
      <c r="S638" s="64"/>
      <c r="T638" s="64"/>
      <c r="U638" s="64"/>
      <c r="V638" s="64"/>
      <c r="W638" s="64"/>
      <c r="X638" s="64"/>
      <c r="Y638" s="64"/>
      <c r="BH638" s="64"/>
      <c r="BI638" s="64"/>
      <c r="BJ638" s="64"/>
      <c r="BK638" s="64"/>
      <c r="BL638" s="64"/>
      <c r="BM638" s="64"/>
      <c r="BN638" s="64"/>
      <c r="BO638" s="64"/>
      <c r="BP638" s="64"/>
      <c r="BQ638" s="64"/>
      <c r="BR638" s="64"/>
    </row>
    <row r="639" ht="18.75" customHeight="1">
      <c r="G639" s="122"/>
      <c r="H639" s="64"/>
      <c r="L639" s="64"/>
      <c r="M639" s="64"/>
      <c r="N639" s="64"/>
      <c r="O639" s="64"/>
      <c r="P639" s="64"/>
      <c r="Q639" s="64"/>
      <c r="R639" s="64"/>
      <c r="S639" s="64"/>
      <c r="T639" s="64"/>
      <c r="U639" s="64"/>
      <c r="V639" s="64"/>
      <c r="W639" s="64"/>
      <c r="X639" s="64"/>
      <c r="Y639" s="64"/>
      <c r="BH639" s="64"/>
      <c r="BI639" s="64"/>
      <c r="BJ639" s="64"/>
      <c r="BK639" s="64"/>
      <c r="BL639" s="64"/>
      <c r="BM639" s="64"/>
      <c r="BN639" s="64"/>
      <c r="BO639" s="64"/>
      <c r="BP639" s="64"/>
      <c r="BQ639" s="64"/>
      <c r="BR639" s="64"/>
    </row>
    <row r="640" ht="18.75" customHeight="1">
      <c r="G640" s="122"/>
      <c r="H640" s="64"/>
      <c r="L640" s="64"/>
      <c r="M640" s="64"/>
      <c r="N640" s="64"/>
      <c r="O640" s="64"/>
      <c r="P640" s="64"/>
      <c r="Q640" s="64"/>
      <c r="R640" s="64"/>
      <c r="S640" s="64"/>
      <c r="T640" s="64"/>
      <c r="U640" s="64"/>
      <c r="V640" s="64"/>
      <c r="W640" s="64"/>
      <c r="X640" s="64"/>
      <c r="Y640" s="64"/>
      <c r="BH640" s="64"/>
      <c r="BI640" s="64"/>
      <c r="BJ640" s="64"/>
      <c r="BK640" s="64"/>
      <c r="BL640" s="64"/>
      <c r="BM640" s="64"/>
      <c r="BN640" s="64"/>
      <c r="BO640" s="64"/>
      <c r="BP640" s="64"/>
      <c r="BQ640" s="64"/>
      <c r="BR640" s="64"/>
    </row>
    <row r="641" ht="18.75" customHeight="1">
      <c r="G641" s="122"/>
      <c r="H641" s="64"/>
      <c r="L641" s="64"/>
      <c r="M641" s="64"/>
      <c r="N641" s="64"/>
      <c r="O641" s="64"/>
      <c r="P641" s="64"/>
      <c r="Q641" s="64"/>
      <c r="R641" s="64"/>
      <c r="S641" s="64"/>
      <c r="T641" s="64"/>
      <c r="U641" s="64"/>
      <c r="V641" s="64"/>
      <c r="W641" s="64"/>
      <c r="X641" s="64"/>
      <c r="Y641" s="64"/>
      <c r="BH641" s="64"/>
      <c r="BI641" s="64"/>
      <c r="BJ641" s="64"/>
      <c r="BK641" s="64"/>
      <c r="BL641" s="64"/>
      <c r="BM641" s="64"/>
      <c r="BN641" s="64"/>
      <c r="BO641" s="64"/>
      <c r="BP641" s="64"/>
      <c r="BQ641" s="64"/>
      <c r="BR641" s="64"/>
    </row>
    <row r="642" ht="18.75" customHeight="1">
      <c r="G642" s="122"/>
      <c r="H642" s="64"/>
      <c r="L642" s="64"/>
      <c r="M642" s="64"/>
      <c r="N642" s="64"/>
      <c r="O642" s="64"/>
      <c r="P642" s="64"/>
      <c r="Q642" s="64"/>
      <c r="R642" s="64"/>
      <c r="S642" s="64"/>
      <c r="T642" s="64"/>
      <c r="U642" s="64"/>
      <c r="V642" s="64"/>
      <c r="W642" s="64"/>
      <c r="X642" s="64"/>
      <c r="Y642" s="64"/>
      <c r="BH642" s="64"/>
      <c r="BI642" s="64"/>
      <c r="BJ642" s="64"/>
      <c r="BK642" s="64"/>
      <c r="BL642" s="64"/>
      <c r="BM642" s="64"/>
      <c r="BN642" s="64"/>
      <c r="BO642" s="64"/>
      <c r="BP642" s="64"/>
      <c r="BQ642" s="64"/>
      <c r="BR642" s="64"/>
    </row>
    <row r="643" ht="18.75" customHeight="1">
      <c r="G643" s="122"/>
      <c r="H643" s="64"/>
      <c r="L643" s="64"/>
      <c r="M643" s="64"/>
      <c r="N643" s="64"/>
      <c r="O643" s="64"/>
      <c r="P643" s="64"/>
      <c r="Q643" s="64"/>
      <c r="R643" s="64"/>
      <c r="S643" s="64"/>
      <c r="T643" s="64"/>
      <c r="U643" s="64"/>
      <c r="V643" s="64"/>
      <c r="W643" s="64"/>
      <c r="X643" s="64"/>
      <c r="Y643" s="64"/>
      <c r="BH643" s="64"/>
      <c r="BI643" s="64"/>
      <c r="BJ643" s="64"/>
      <c r="BK643" s="64"/>
      <c r="BL643" s="64"/>
      <c r="BM643" s="64"/>
      <c r="BN643" s="64"/>
      <c r="BO643" s="64"/>
      <c r="BP643" s="64"/>
      <c r="BQ643" s="64"/>
      <c r="BR643" s="64"/>
    </row>
    <row r="644" ht="18.75" customHeight="1">
      <c r="G644" s="122"/>
      <c r="H644" s="64"/>
      <c r="L644" s="64"/>
      <c r="M644" s="64"/>
      <c r="N644" s="64"/>
      <c r="O644" s="64"/>
      <c r="P644" s="64"/>
      <c r="Q644" s="64"/>
      <c r="R644" s="64"/>
      <c r="S644" s="64"/>
      <c r="T644" s="64"/>
      <c r="U644" s="64"/>
      <c r="V644" s="64"/>
      <c r="W644" s="64"/>
      <c r="X644" s="64"/>
      <c r="Y644" s="64"/>
      <c r="BH644" s="64"/>
      <c r="BI644" s="64"/>
      <c r="BJ644" s="64"/>
      <c r="BK644" s="64"/>
      <c r="BL644" s="64"/>
      <c r="BM644" s="64"/>
      <c r="BN644" s="64"/>
      <c r="BO644" s="64"/>
      <c r="BP644" s="64"/>
      <c r="BQ644" s="64"/>
      <c r="BR644" s="64"/>
    </row>
    <row r="645" ht="18.75" customHeight="1">
      <c r="G645" s="122"/>
      <c r="H645" s="64"/>
      <c r="L645" s="64"/>
      <c r="M645" s="64"/>
      <c r="N645" s="64"/>
      <c r="O645" s="64"/>
      <c r="P645" s="64"/>
      <c r="Q645" s="64"/>
      <c r="R645" s="64"/>
      <c r="S645" s="64"/>
      <c r="T645" s="64"/>
      <c r="U645" s="64"/>
      <c r="V645" s="64"/>
      <c r="W645" s="64"/>
      <c r="X645" s="64"/>
      <c r="Y645" s="64"/>
      <c r="BH645" s="64"/>
      <c r="BI645" s="64"/>
      <c r="BJ645" s="64"/>
      <c r="BK645" s="64"/>
      <c r="BL645" s="64"/>
      <c r="BM645" s="64"/>
      <c r="BN645" s="64"/>
      <c r="BO645" s="64"/>
      <c r="BP645" s="64"/>
      <c r="BQ645" s="64"/>
      <c r="BR645" s="64"/>
    </row>
    <row r="646" ht="18.75" customHeight="1">
      <c r="G646" s="122"/>
      <c r="H646" s="64"/>
      <c r="L646" s="64"/>
      <c r="M646" s="64"/>
      <c r="N646" s="64"/>
      <c r="O646" s="64"/>
      <c r="P646" s="64"/>
      <c r="Q646" s="64"/>
      <c r="R646" s="64"/>
      <c r="S646" s="64"/>
      <c r="T646" s="64"/>
      <c r="U646" s="64"/>
      <c r="V646" s="64"/>
      <c r="W646" s="64"/>
      <c r="X646" s="64"/>
      <c r="Y646" s="64"/>
      <c r="BH646" s="64"/>
      <c r="BI646" s="64"/>
      <c r="BJ646" s="64"/>
      <c r="BK646" s="64"/>
      <c r="BL646" s="64"/>
      <c r="BM646" s="64"/>
      <c r="BN646" s="64"/>
      <c r="BO646" s="64"/>
      <c r="BP646" s="64"/>
      <c r="BQ646" s="64"/>
      <c r="BR646" s="64"/>
    </row>
    <row r="647" ht="18.75" customHeight="1">
      <c r="G647" s="122"/>
      <c r="H647" s="64"/>
      <c r="L647" s="64"/>
      <c r="M647" s="64"/>
      <c r="N647" s="64"/>
      <c r="O647" s="64"/>
      <c r="P647" s="64"/>
      <c r="Q647" s="64"/>
      <c r="R647" s="64"/>
      <c r="S647" s="64"/>
      <c r="T647" s="64"/>
      <c r="U647" s="64"/>
      <c r="V647" s="64"/>
      <c r="W647" s="64"/>
      <c r="X647" s="64"/>
      <c r="Y647" s="64"/>
      <c r="BH647" s="64"/>
      <c r="BI647" s="64"/>
      <c r="BJ647" s="64"/>
      <c r="BK647" s="64"/>
      <c r="BL647" s="64"/>
      <c r="BM647" s="64"/>
      <c r="BN647" s="64"/>
      <c r="BO647" s="64"/>
      <c r="BP647" s="64"/>
      <c r="BQ647" s="64"/>
      <c r="BR647" s="64"/>
    </row>
    <row r="648" ht="18.75" customHeight="1">
      <c r="G648" s="122"/>
      <c r="H648" s="64"/>
      <c r="L648" s="64"/>
      <c r="M648" s="64"/>
      <c r="N648" s="64"/>
      <c r="O648" s="64"/>
      <c r="P648" s="64"/>
      <c r="Q648" s="64"/>
      <c r="R648" s="64"/>
      <c r="S648" s="64"/>
      <c r="T648" s="64"/>
      <c r="U648" s="64"/>
      <c r="V648" s="64"/>
      <c r="W648" s="64"/>
      <c r="X648" s="64"/>
      <c r="Y648" s="64"/>
      <c r="BH648" s="64"/>
      <c r="BI648" s="64"/>
      <c r="BJ648" s="64"/>
      <c r="BK648" s="64"/>
      <c r="BL648" s="64"/>
      <c r="BM648" s="64"/>
      <c r="BN648" s="64"/>
      <c r="BO648" s="64"/>
      <c r="BP648" s="64"/>
      <c r="BQ648" s="64"/>
      <c r="BR648" s="64"/>
    </row>
    <row r="649" ht="18.75" customHeight="1">
      <c r="G649" s="122"/>
      <c r="H649" s="64"/>
      <c r="L649" s="64"/>
      <c r="M649" s="64"/>
      <c r="N649" s="64"/>
      <c r="O649" s="64"/>
      <c r="P649" s="64"/>
      <c r="Q649" s="64"/>
      <c r="R649" s="64"/>
      <c r="S649" s="64"/>
      <c r="T649" s="64"/>
      <c r="U649" s="64"/>
      <c r="V649" s="64"/>
      <c r="W649" s="64"/>
      <c r="X649" s="64"/>
      <c r="Y649" s="64"/>
      <c r="BH649" s="64"/>
      <c r="BI649" s="64"/>
      <c r="BJ649" s="64"/>
      <c r="BK649" s="64"/>
      <c r="BL649" s="64"/>
      <c r="BM649" s="64"/>
      <c r="BN649" s="64"/>
      <c r="BO649" s="64"/>
      <c r="BP649" s="64"/>
      <c r="BQ649" s="64"/>
      <c r="BR649" s="64"/>
    </row>
    <row r="650" ht="18.75" customHeight="1">
      <c r="G650" s="122"/>
      <c r="H650" s="64"/>
      <c r="L650" s="64"/>
      <c r="M650" s="64"/>
      <c r="N650" s="64"/>
      <c r="O650" s="64"/>
      <c r="P650" s="64"/>
      <c r="Q650" s="64"/>
      <c r="R650" s="64"/>
      <c r="S650" s="64"/>
      <c r="T650" s="64"/>
      <c r="U650" s="64"/>
      <c r="V650" s="64"/>
      <c r="W650" s="64"/>
      <c r="X650" s="64"/>
      <c r="Y650" s="64"/>
      <c r="BH650" s="64"/>
      <c r="BI650" s="64"/>
      <c r="BJ650" s="64"/>
      <c r="BK650" s="64"/>
      <c r="BL650" s="64"/>
      <c r="BM650" s="64"/>
      <c r="BN650" s="64"/>
      <c r="BO650" s="64"/>
      <c r="BP650" s="64"/>
      <c r="BQ650" s="64"/>
      <c r="BR650" s="64"/>
    </row>
    <row r="651" ht="18.75" customHeight="1">
      <c r="G651" s="122"/>
      <c r="H651" s="64"/>
      <c r="L651" s="64"/>
      <c r="M651" s="64"/>
      <c r="N651" s="64"/>
      <c r="O651" s="64"/>
      <c r="P651" s="64"/>
      <c r="Q651" s="64"/>
      <c r="R651" s="64"/>
      <c r="S651" s="64"/>
      <c r="T651" s="64"/>
      <c r="U651" s="64"/>
      <c r="V651" s="64"/>
      <c r="W651" s="64"/>
      <c r="X651" s="64"/>
      <c r="Y651" s="64"/>
      <c r="BH651" s="64"/>
      <c r="BI651" s="64"/>
      <c r="BJ651" s="64"/>
      <c r="BK651" s="64"/>
      <c r="BL651" s="64"/>
      <c r="BM651" s="64"/>
      <c r="BN651" s="64"/>
      <c r="BO651" s="64"/>
      <c r="BP651" s="64"/>
      <c r="BQ651" s="64"/>
      <c r="BR651" s="64"/>
    </row>
    <row r="652" ht="18.75" customHeight="1">
      <c r="G652" s="122"/>
      <c r="H652" s="64"/>
      <c r="L652" s="64"/>
      <c r="M652" s="64"/>
      <c r="N652" s="64"/>
      <c r="O652" s="64"/>
      <c r="P652" s="64"/>
      <c r="Q652" s="64"/>
      <c r="R652" s="64"/>
      <c r="S652" s="64"/>
      <c r="T652" s="64"/>
      <c r="U652" s="64"/>
      <c r="V652" s="64"/>
      <c r="W652" s="64"/>
      <c r="X652" s="64"/>
      <c r="Y652" s="64"/>
      <c r="BH652" s="64"/>
      <c r="BI652" s="64"/>
      <c r="BJ652" s="64"/>
      <c r="BK652" s="64"/>
      <c r="BL652" s="64"/>
      <c r="BM652" s="64"/>
      <c r="BN652" s="64"/>
      <c r="BO652" s="64"/>
      <c r="BP652" s="64"/>
      <c r="BQ652" s="64"/>
      <c r="BR652" s="64"/>
    </row>
    <row r="653" ht="18.75" customHeight="1">
      <c r="G653" s="122"/>
      <c r="H653" s="64"/>
      <c r="L653" s="64"/>
      <c r="M653" s="64"/>
      <c r="N653" s="64"/>
      <c r="O653" s="64"/>
      <c r="P653" s="64"/>
      <c r="Q653" s="64"/>
      <c r="R653" s="64"/>
      <c r="S653" s="64"/>
      <c r="T653" s="64"/>
      <c r="U653" s="64"/>
      <c r="V653" s="64"/>
      <c r="W653" s="64"/>
      <c r="X653" s="64"/>
      <c r="Y653" s="64"/>
      <c r="BH653" s="64"/>
      <c r="BI653" s="64"/>
      <c r="BJ653" s="64"/>
      <c r="BK653" s="64"/>
      <c r="BL653" s="64"/>
      <c r="BM653" s="64"/>
      <c r="BN653" s="64"/>
      <c r="BO653" s="64"/>
      <c r="BP653" s="64"/>
      <c r="BQ653" s="64"/>
      <c r="BR653" s="64"/>
    </row>
    <row r="654" ht="18.75" customHeight="1">
      <c r="G654" s="122"/>
      <c r="H654" s="64"/>
      <c r="L654" s="64"/>
      <c r="M654" s="64"/>
      <c r="N654" s="64"/>
      <c r="O654" s="64"/>
      <c r="P654" s="64"/>
      <c r="Q654" s="64"/>
      <c r="R654" s="64"/>
      <c r="S654" s="64"/>
      <c r="T654" s="64"/>
      <c r="U654" s="64"/>
      <c r="V654" s="64"/>
      <c r="W654" s="64"/>
      <c r="X654" s="64"/>
      <c r="Y654" s="64"/>
      <c r="BH654" s="64"/>
      <c r="BI654" s="64"/>
      <c r="BJ654" s="64"/>
      <c r="BK654" s="64"/>
      <c r="BL654" s="64"/>
      <c r="BM654" s="64"/>
      <c r="BN654" s="64"/>
      <c r="BO654" s="64"/>
      <c r="BP654" s="64"/>
      <c r="BQ654" s="64"/>
      <c r="BR654" s="64"/>
    </row>
    <row r="655" ht="18.75" customHeight="1">
      <c r="G655" s="122"/>
      <c r="H655" s="64"/>
      <c r="L655" s="64"/>
      <c r="M655" s="64"/>
      <c r="N655" s="64"/>
      <c r="O655" s="64"/>
      <c r="P655" s="64"/>
      <c r="Q655" s="64"/>
      <c r="R655" s="64"/>
      <c r="S655" s="64"/>
      <c r="T655" s="64"/>
      <c r="U655" s="64"/>
      <c r="V655" s="64"/>
      <c r="W655" s="64"/>
      <c r="X655" s="64"/>
      <c r="Y655" s="64"/>
      <c r="BH655" s="64"/>
      <c r="BI655" s="64"/>
      <c r="BJ655" s="64"/>
      <c r="BK655" s="64"/>
      <c r="BL655" s="64"/>
      <c r="BM655" s="64"/>
      <c r="BN655" s="64"/>
      <c r="BO655" s="64"/>
      <c r="BP655" s="64"/>
      <c r="BQ655" s="64"/>
      <c r="BR655" s="64"/>
    </row>
    <row r="656" ht="18.75" customHeight="1">
      <c r="G656" s="122"/>
      <c r="H656" s="64"/>
      <c r="L656" s="64"/>
      <c r="M656" s="64"/>
      <c r="N656" s="64"/>
      <c r="O656" s="64"/>
      <c r="P656" s="64"/>
      <c r="Q656" s="64"/>
      <c r="R656" s="64"/>
      <c r="S656" s="64"/>
      <c r="T656" s="64"/>
      <c r="U656" s="64"/>
      <c r="V656" s="64"/>
      <c r="W656" s="64"/>
      <c r="X656" s="64"/>
      <c r="Y656" s="64"/>
      <c r="BH656" s="64"/>
      <c r="BI656" s="64"/>
      <c r="BJ656" s="64"/>
      <c r="BK656" s="64"/>
      <c r="BL656" s="64"/>
      <c r="BM656" s="64"/>
      <c r="BN656" s="64"/>
      <c r="BO656" s="64"/>
      <c r="BP656" s="64"/>
      <c r="BQ656" s="64"/>
      <c r="BR656" s="64"/>
    </row>
    <row r="657" ht="18.75" customHeight="1">
      <c r="G657" s="122"/>
      <c r="H657" s="64"/>
      <c r="L657" s="64"/>
      <c r="M657" s="64"/>
      <c r="N657" s="64"/>
      <c r="O657" s="64"/>
      <c r="P657" s="64"/>
      <c r="Q657" s="64"/>
      <c r="R657" s="64"/>
      <c r="S657" s="64"/>
      <c r="T657" s="64"/>
      <c r="U657" s="64"/>
      <c r="V657" s="64"/>
      <c r="W657" s="64"/>
      <c r="X657" s="64"/>
      <c r="Y657" s="64"/>
      <c r="BH657" s="64"/>
      <c r="BI657" s="64"/>
      <c r="BJ657" s="64"/>
      <c r="BK657" s="64"/>
      <c r="BL657" s="64"/>
      <c r="BM657" s="64"/>
      <c r="BN657" s="64"/>
      <c r="BO657" s="64"/>
      <c r="BP657" s="64"/>
      <c r="BQ657" s="64"/>
      <c r="BR657" s="64"/>
    </row>
    <row r="658" ht="18.75" customHeight="1">
      <c r="G658" s="122"/>
      <c r="H658" s="64"/>
      <c r="L658" s="64"/>
      <c r="M658" s="64"/>
      <c r="N658" s="64"/>
      <c r="O658" s="64"/>
      <c r="P658" s="64"/>
      <c r="Q658" s="64"/>
      <c r="R658" s="64"/>
      <c r="S658" s="64"/>
      <c r="T658" s="64"/>
      <c r="U658" s="64"/>
      <c r="V658" s="64"/>
      <c r="W658" s="64"/>
      <c r="X658" s="64"/>
      <c r="Y658" s="64"/>
      <c r="BH658" s="64"/>
      <c r="BI658" s="64"/>
      <c r="BJ658" s="64"/>
      <c r="BK658" s="64"/>
      <c r="BL658" s="64"/>
      <c r="BM658" s="64"/>
      <c r="BN658" s="64"/>
      <c r="BO658" s="64"/>
      <c r="BP658" s="64"/>
      <c r="BQ658" s="64"/>
      <c r="BR658" s="64"/>
    </row>
    <row r="659" ht="18.75" customHeight="1">
      <c r="G659" s="122"/>
      <c r="H659" s="64"/>
      <c r="L659" s="64"/>
      <c r="M659" s="64"/>
      <c r="N659" s="64"/>
      <c r="O659" s="64"/>
      <c r="P659" s="64"/>
      <c r="Q659" s="64"/>
      <c r="R659" s="64"/>
      <c r="S659" s="64"/>
      <c r="T659" s="64"/>
      <c r="U659" s="64"/>
      <c r="V659" s="64"/>
      <c r="W659" s="64"/>
      <c r="X659" s="64"/>
      <c r="Y659" s="64"/>
      <c r="BH659" s="64"/>
      <c r="BI659" s="64"/>
      <c r="BJ659" s="64"/>
      <c r="BK659" s="64"/>
      <c r="BL659" s="64"/>
      <c r="BM659" s="64"/>
      <c r="BN659" s="64"/>
      <c r="BO659" s="64"/>
      <c r="BP659" s="64"/>
      <c r="BQ659" s="64"/>
      <c r="BR659" s="64"/>
    </row>
    <row r="660" ht="18.75" customHeight="1">
      <c r="G660" s="122"/>
      <c r="H660" s="64"/>
      <c r="L660" s="64"/>
      <c r="M660" s="64"/>
      <c r="N660" s="64"/>
      <c r="O660" s="64"/>
      <c r="P660" s="64"/>
      <c r="Q660" s="64"/>
      <c r="R660" s="64"/>
      <c r="S660" s="64"/>
      <c r="T660" s="64"/>
      <c r="U660" s="64"/>
      <c r="V660" s="64"/>
      <c r="W660" s="64"/>
      <c r="X660" s="64"/>
      <c r="Y660" s="64"/>
      <c r="BH660" s="64"/>
      <c r="BI660" s="64"/>
      <c r="BJ660" s="64"/>
      <c r="BK660" s="64"/>
      <c r="BL660" s="64"/>
      <c r="BM660" s="64"/>
      <c r="BN660" s="64"/>
      <c r="BO660" s="64"/>
      <c r="BP660" s="64"/>
      <c r="BQ660" s="64"/>
      <c r="BR660" s="64"/>
    </row>
    <row r="661" ht="18.75" customHeight="1">
      <c r="G661" s="122"/>
      <c r="H661" s="64"/>
      <c r="L661" s="64"/>
      <c r="M661" s="64"/>
      <c r="N661" s="64"/>
      <c r="O661" s="64"/>
      <c r="P661" s="64"/>
      <c r="Q661" s="64"/>
      <c r="R661" s="64"/>
      <c r="S661" s="64"/>
      <c r="T661" s="64"/>
      <c r="U661" s="64"/>
      <c r="V661" s="64"/>
      <c r="W661" s="64"/>
      <c r="X661" s="64"/>
      <c r="Y661" s="64"/>
      <c r="BH661" s="64"/>
      <c r="BI661" s="64"/>
      <c r="BJ661" s="64"/>
      <c r="BK661" s="64"/>
      <c r="BL661" s="64"/>
      <c r="BM661" s="64"/>
      <c r="BN661" s="64"/>
      <c r="BO661" s="64"/>
      <c r="BP661" s="64"/>
      <c r="BQ661" s="64"/>
      <c r="BR661" s="64"/>
    </row>
    <row r="662" ht="18.75" customHeight="1">
      <c r="G662" s="122"/>
      <c r="H662" s="64"/>
      <c r="L662" s="64"/>
      <c r="M662" s="64"/>
      <c r="N662" s="64"/>
      <c r="O662" s="64"/>
      <c r="P662" s="64"/>
      <c r="Q662" s="64"/>
      <c r="R662" s="64"/>
      <c r="S662" s="64"/>
      <c r="T662" s="64"/>
      <c r="U662" s="64"/>
      <c r="V662" s="64"/>
      <c r="W662" s="64"/>
      <c r="X662" s="64"/>
      <c r="Y662" s="64"/>
      <c r="BH662" s="64"/>
      <c r="BI662" s="64"/>
      <c r="BJ662" s="64"/>
      <c r="BK662" s="64"/>
      <c r="BL662" s="64"/>
      <c r="BM662" s="64"/>
      <c r="BN662" s="64"/>
      <c r="BO662" s="64"/>
      <c r="BP662" s="64"/>
      <c r="BQ662" s="64"/>
      <c r="BR662" s="64"/>
    </row>
    <row r="663" ht="18.75" customHeight="1">
      <c r="G663" s="122"/>
      <c r="H663" s="64"/>
      <c r="L663" s="64"/>
      <c r="M663" s="64"/>
      <c r="N663" s="64"/>
      <c r="O663" s="64"/>
      <c r="P663" s="64"/>
      <c r="Q663" s="64"/>
      <c r="R663" s="64"/>
      <c r="S663" s="64"/>
      <c r="T663" s="64"/>
      <c r="U663" s="64"/>
      <c r="V663" s="64"/>
      <c r="W663" s="64"/>
      <c r="X663" s="64"/>
      <c r="Y663" s="64"/>
      <c r="BH663" s="64"/>
      <c r="BI663" s="64"/>
      <c r="BJ663" s="64"/>
      <c r="BK663" s="64"/>
      <c r="BL663" s="64"/>
      <c r="BM663" s="64"/>
      <c r="BN663" s="64"/>
      <c r="BO663" s="64"/>
      <c r="BP663" s="64"/>
      <c r="BQ663" s="64"/>
      <c r="BR663" s="64"/>
    </row>
    <row r="664" ht="18.75" customHeight="1">
      <c r="G664" s="122"/>
      <c r="H664" s="64"/>
      <c r="L664" s="64"/>
      <c r="M664" s="64"/>
      <c r="N664" s="64"/>
      <c r="O664" s="64"/>
      <c r="P664" s="64"/>
      <c r="Q664" s="64"/>
      <c r="R664" s="64"/>
      <c r="S664" s="64"/>
      <c r="T664" s="64"/>
      <c r="U664" s="64"/>
      <c r="V664" s="64"/>
      <c r="W664" s="64"/>
      <c r="X664" s="64"/>
      <c r="Y664" s="64"/>
      <c r="BH664" s="64"/>
      <c r="BI664" s="64"/>
      <c r="BJ664" s="64"/>
      <c r="BK664" s="64"/>
      <c r="BL664" s="64"/>
      <c r="BM664" s="64"/>
      <c r="BN664" s="64"/>
      <c r="BO664" s="64"/>
      <c r="BP664" s="64"/>
      <c r="BQ664" s="64"/>
      <c r="BR664" s="64"/>
    </row>
    <row r="665" ht="18.75" customHeight="1">
      <c r="G665" s="122"/>
      <c r="H665" s="64"/>
      <c r="L665" s="64"/>
      <c r="M665" s="64"/>
      <c r="N665" s="64"/>
      <c r="O665" s="64"/>
      <c r="P665" s="64"/>
      <c r="Q665" s="64"/>
      <c r="R665" s="64"/>
      <c r="S665" s="64"/>
      <c r="T665" s="64"/>
      <c r="U665" s="64"/>
      <c r="V665" s="64"/>
      <c r="W665" s="64"/>
      <c r="X665" s="64"/>
      <c r="Y665" s="64"/>
      <c r="BH665" s="64"/>
      <c r="BI665" s="64"/>
      <c r="BJ665" s="64"/>
      <c r="BK665" s="64"/>
      <c r="BL665" s="64"/>
      <c r="BM665" s="64"/>
      <c r="BN665" s="64"/>
      <c r="BO665" s="64"/>
      <c r="BP665" s="64"/>
      <c r="BQ665" s="64"/>
      <c r="BR665" s="64"/>
    </row>
    <row r="666" ht="18.75" customHeight="1">
      <c r="G666" s="122"/>
      <c r="H666" s="64"/>
      <c r="L666" s="64"/>
      <c r="M666" s="64"/>
      <c r="N666" s="64"/>
      <c r="O666" s="64"/>
      <c r="P666" s="64"/>
      <c r="Q666" s="64"/>
      <c r="R666" s="64"/>
      <c r="S666" s="64"/>
      <c r="T666" s="64"/>
      <c r="U666" s="64"/>
      <c r="V666" s="64"/>
      <c r="W666" s="64"/>
      <c r="X666" s="64"/>
      <c r="Y666" s="64"/>
      <c r="BH666" s="64"/>
      <c r="BI666" s="64"/>
      <c r="BJ666" s="64"/>
      <c r="BK666" s="64"/>
      <c r="BL666" s="64"/>
      <c r="BM666" s="64"/>
      <c r="BN666" s="64"/>
      <c r="BO666" s="64"/>
      <c r="BP666" s="64"/>
      <c r="BQ666" s="64"/>
      <c r="BR666" s="64"/>
    </row>
    <row r="667" ht="18.75" customHeight="1">
      <c r="G667" s="122"/>
      <c r="H667" s="64"/>
      <c r="L667" s="64"/>
      <c r="M667" s="64"/>
      <c r="N667" s="64"/>
      <c r="O667" s="64"/>
      <c r="P667" s="64"/>
      <c r="Q667" s="64"/>
      <c r="R667" s="64"/>
      <c r="S667" s="64"/>
      <c r="T667" s="64"/>
      <c r="U667" s="64"/>
      <c r="V667" s="64"/>
      <c r="W667" s="64"/>
      <c r="X667" s="64"/>
      <c r="Y667" s="64"/>
      <c r="BH667" s="64"/>
      <c r="BI667" s="64"/>
      <c r="BJ667" s="64"/>
      <c r="BK667" s="64"/>
      <c r="BL667" s="64"/>
      <c r="BM667" s="64"/>
      <c r="BN667" s="64"/>
      <c r="BO667" s="64"/>
      <c r="BP667" s="64"/>
      <c r="BQ667" s="64"/>
      <c r="BR667" s="64"/>
    </row>
    <row r="668" ht="18.75" customHeight="1">
      <c r="G668" s="122"/>
      <c r="H668" s="64"/>
      <c r="L668" s="64"/>
      <c r="M668" s="64"/>
      <c r="N668" s="64"/>
      <c r="O668" s="64"/>
      <c r="P668" s="64"/>
      <c r="Q668" s="64"/>
      <c r="R668" s="64"/>
      <c r="S668" s="64"/>
      <c r="T668" s="64"/>
      <c r="U668" s="64"/>
      <c r="V668" s="64"/>
      <c r="W668" s="64"/>
      <c r="X668" s="64"/>
      <c r="Y668" s="64"/>
      <c r="BH668" s="64"/>
      <c r="BI668" s="64"/>
      <c r="BJ668" s="64"/>
      <c r="BK668" s="64"/>
      <c r="BL668" s="64"/>
      <c r="BM668" s="64"/>
      <c r="BN668" s="64"/>
      <c r="BO668" s="64"/>
      <c r="BP668" s="64"/>
      <c r="BQ668" s="64"/>
      <c r="BR668" s="64"/>
    </row>
    <row r="669" ht="18.75" customHeight="1">
      <c r="G669" s="122"/>
      <c r="H669" s="64"/>
      <c r="L669" s="64"/>
      <c r="M669" s="64"/>
      <c r="N669" s="64"/>
      <c r="O669" s="64"/>
      <c r="P669" s="64"/>
      <c r="Q669" s="64"/>
      <c r="R669" s="64"/>
      <c r="S669" s="64"/>
      <c r="T669" s="64"/>
      <c r="U669" s="64"/>
      <c r="V669" s="64"/>
      <c r="W669" s="64"/>
      <c r="X669" s="64"/>
      <c r="Y669" s="64"/>
      <c r="BH669" s="64"/>
      <c r="BI669" s="64"/>
      <c r="BJ669" s="64"/>
      <c r="BK669" s="64"/>
      <c r="BL669" s="64"/>
      <c r="BM669" s="64"/>
      <c r="BN669" s="64"/>
      <c r="BO669" s="64"/>
      <c r="BP669" s="64"/>
      <c r="BQ669" s="64"/>
      <c r="BR669" s="64"/>
    </row>
    <row r="670" ht="18.75" customHeight="1">
      <c r="G670" s="122"/>
      <c r="H670" s="64"/>
      <c r="L670" s="64"/>
      <c r="M670" s="64"/>
      <c r="N670" s="64"/>
      <c r="O670" s="64"/>
      <c r="P670" s="64"/>
      <c r="Q670" s="64"/>
      <c r="R670" s="64"/>
      <c r="S670" s="64"/>
      <c r="T670" s="64"/>
      <c r="U670" s="64"/>
      <c r="V670" s="64"/>
      <c r="W670" s="64"/>
      <c r="X670" s="64"/>
      <c r="Y670" s="64"/>
      <c r="BH670" s="64"/>
      <c r="BI670" s="64"/>
      <c r="BJ670" s="64"/>
      <c r="BK670" s="64"/>
      <c r="BL670" s="64"/>
      <c r="BM670" s="64"/>
      <c r="BN670" s="64"/>
      <c r="BO670" s="64"/>
      <c r="BP670" s="64"/>
      <c r="BQ670" s="64"/>
      <c r="BR670" s="64"/>
    </row>
    <row r="671" ht="18.75" customHeight="1">
      <c r="G671" s="122"/>
      <c r="H671" s="64"/>
      <c r="L671" s="64"/>
      <c r="M671" s="64"/>
      <c r="N671" s="64"/>
      <c r="O671" s="64"/>
      <c r="P671" s="64"/>
      <c r="Q671" s="64"/>
      <c r="R671" s="64"/>
      <c r="S671" s="64"/>
      <c r="T671" s="64"/>
      <c r="U671" s="64"/>
      <c r="V671" s="64"/>
      <c r="W671" s="64"/>
      <c r="X671" s="64"/>
      <c r="Y671" s="64"/>
      <c r="BH671" s="64"/>
      <c r="BI671" s="64"/>
      <c r="BJ671" s="64"/>
      <c r="BK671" s="64"/>
      <c r="BL671" s="64"/>
      <c r="BM671" s="64"/>
      <c r="BN671" s="64"/>
      <c r="BO671" s="64"/>
      <c r="BP671" s="64"/>
      <c r="BQ671" s="64"/>
      <c r="BR671" s="64"/>
    </row>
    <row r="672" ht="18.75" customHeight="1">
      <c r="G672" s="122"/>
      <c r="H672" s="64"/>
      <c r="L672" s="64"/>
      <c r="M672" s="64"/>
      <c r="N672" s="64"/>
      <c r="O672" s="64"/>
      <c r="P672" s="64"/>
      <c r="Q672" s="64"/>
      <c r="R672" s="64"/>
      <c r="S672" s="64"/>
      <c r="T672" s="64"/>
      <c r="U672" s="64"/>
      <c r="V672" s="64"/>
      <c r="W672" s="64"/>
      <c r="X672" s="64"/>
      <c r="Y672" s="64"/>
      <c r="BH672" s="64"/>
      <c r="BI672" s="64"/>
      <c r="BJ672" s="64"/>
      <c r="BK672" s="64"/>
      <c r="BL672" s="64"/>
      <c r="BM672" s="64"/>
      <c r="BN672" s="64"/>
      <c r="BO672" s="64"/>
      <c r="BP672" s="64"/>
      <c r="BQ672" s="64"/>
      <c r="BR672" s="64"/>
    </row>
    <row r="673" ht="18.75" customHeight="1">
      <c r="G673" s="122"/>
      <c r="H673" s="64"/>
      <c r="L673" s="64"/>
      <c r="M673" s="64"/>
      <c r="N673" s="64"/>
      <c r="O673" s="64"/>
      <c r="P673" s="64"/>
      <c r="Q673" s="64"/>
      <c r="R673" s="64"/>
      <c r="S673" s="64"/>
      <c r="T673" s="64"/>
      <c r="U673" s="64"/>
      <c r="V673" s="64"/>
      <c r="W673" s="64"/>
      <c r="X673" s="64"/>
      <c r="Y673" s="64"/>
      <c r="BH673" s="64"/>
      <c r="BI673" s="64"/>
      <c r="BJ673" s="64"/>
      <c r="BK673" s="64"/>
      <c r="BL673" s="64"/>
      <c r="BM673" s="64"/>
      <c r="BN673" s="64"/>
      <c r="BO673" s="64"/>
      <c r="BP673" s="64"/>
      <c r="BQ673" s="64"/>
      <c r="BR673" s="64"/>
    </row>
    <row r="674" ht="18.75" customHeight="1">
      <c r="G674" s="122"/>
      <c r="H674" s="64"/>
      <c r="L674" s="64"/>
      <c r="M674" s="64"/>
      <c r="N674" s="64"/>
      <c r="O674" s="64"/>
      <c r="P674" s="64"/>
      <c r="Q674" s="64"/>
      <c r="R674" s="64"/>
      <c r="S674" s="64"/>
      <c r="T674" s="64"/>
      <c r="U674" s="64"/>
      <c r="V674" s="64"/>
      <c r="W674" s="64"/>
      <c r="X674" s="64"/>
      <c r="Y674" s="64"/>
      <c r="BH674" s="64"/>
      <c r="BI674" s="64"/>
      <c r="BJ674" s="64"/>
      <c r="BK674" s="64"/>
      <c r="BL674" s="64"/>
      <c r="BM674" s="64"/>
      <c r="BN674" s="64"/>
      <c r="BO674" s="64"/>
      <c r="BP674" s="64"/>
      <c r="BQ674" s="64"/>
      <c r="BR674" s="64"/>
    </row>
    <row r="675" ht="18.75" customHeight="1">
      <c r="G675" s="122"/>
      <c r="H675" s="64"/>
      <c r="L675" s="64"/>
      <c r="M675" s="64"/>
      <c r="N675" s="64"/>
      <c r="O675" s="64"/>
      <c r="P675" s="64"/>
      <c r="Q675" s="64"/>
      <c r="R675" s="64"/>
      <c r="S675" s="64"/>
      <c r="T675" s="64"/>
      <c r="U675" s="64"/>
      <c r="V675" s="64"/>
      <c r="W675" s="64"/>
      <c r="X675" s="64"/>
      <c r="Y675" s="64"/>
      <c r="BH675" s="64"/>
      <c r="BI675" s="64"/>
      <c r="BJ675" s="64"/>
      <c r="BK675" s="64"/>
      <c r="BL675" s="64"/>
      <c r="BM675" s="64"/>
      <c r="BN675" s="64"/>
      <c r="BO675" s="64"/>
      <c r="BP675" s="64"/>
      <c r="BQ675" s="64"/>
      <c r="BR675" s="64"/>
    </row>
    <row r="676" ht="18.75" customHeight="1">
      <c r="G676" s="122"/>
      <c r="H676" s="64"/>
      <c r="L676" s="64"/>
      <c r="M676" s="64"/>
      <c r="N676" s="64"/>
      <c r="O676" s="64"/>
      <c r="P676" s="64"/>
      <c r="Q676" s="64"/>
      <c r="R676" s="64"/>
      <c r="S676" s="64"/>
      <c r="T676" s="64"/>
      <c r="U676" s="64"/>
      <c r="V676" s="64"/>
      <c r="W676" s="64"/>
      <c r="X676" s="64"/>
      <c r="Y676" s="64"/>
      <c r="BH676" s="64"/>
      <c r="BI676" s="64"/>
      <c r="BJ676" s="64"/>
      <c r="BK676" s="64"/>
      <c r="BL676" s="64"/>
      <c r="BM676" s="64"/>
      <c r="BN676" s="64"/>
      <c r="BO676" s="64"/>
      <c r="BP676" s="64"/>
      <c r="BQ676" s="64"/>
      <c r="BR676" s="64"/>
    </row>
    <row r="677" ht="18.75" customHeight="1">
      <c r="G677" s="122"/>
      <c r="H677" s="64"/>
      <c r="L677" s="64"/>
      <c r="M677" s="64"/>
      <c r="N677" s="64"/>
      <c r="O677" s="64"/>
      <c r="P677" s="64"/>
      <c r="Q677" s="64"/>
      <c r="R677" s="64"/>
      <c r="S677" s="64"/>
      <c r="T677" s="64"/>
      <c r="U677" s="64"/>
      <c r="V677" s="64"/>
      <c r="W677" s="64"/>
      <c r="X677" s="64"/>
      <c r="Y677" s="64"/>
      <c r="BH677" s="64"/>
      <c r="BI677" s="64"/>
      <c r="BJ677" s="64"/>
      <c r="BK677" s="64"/>
      <c r="BL677" s="64"/>
      <c r="BM677" s="64"/>
      <c r="BN677" s="64"/>
      <c r="BO677" s="64"/>
      <c r="BP677" s="64"/>
      <c r="BQ677" s="64"/>
      <c r="BR677" s="64"/>
    </row>
    <row r="678" ht="18.75" customHeight="1">
      <c r="G678" s="122"/>
      <c r="H678" s="64"/>
      <c r="L678" s="64"/>
      <c r="M678" s="64"/>
      <c r="N678" s="64"/>
      <c r="O678" s="64"/>
      <c r="P678" s="64"/>
      <c r="Q678" s="64"/>
      <c r="R678" s="64"/>
      <c r="S678" s="64"/>
      <c r="T678" s="64"/>
      <c r="U678" s="64"/>
      <c r="V678" s="64"/>
      <c r="W678" s="64"/>
      <c r="X678" s="64"/>
      <c r="Y678" s="64"/>
      <c r="BH678" s="64"/>
      <c r="BI678" s="64"/>
      <c r="BJ678" s="64"/>
      <c r="BK678" s="64"/>
      <c r="BL678" s="64"/>
      <c r="BM678" s="64"/>
      <c r="BN678" s="64"/>
      <c r="BO678" s="64"/>
      <c r="BP678" s="64"/>
      <c r="BQ678" s="64"/>
      <c r="BR678" s="64"/>
    </row>
    <row r="679" ht="18.75" customHeight="1">
      <c r="G679" s="122"/>
      <c r="H679" s="64"/>
      <c r="L679" s="64"/>
      <c r="M679" s="64"/>
      <c r="N679" s="64"/>
      <c r="O679" s="64"/>
      <c r="P679" s="64"/>
      <c r="Q679" s="64"/>
      <c r="R679" s="64"/>
      <c r="S679" s="64"/>
      <c r="T679" s="64"/>
      <c r="U679" s="64"/>
      <c r="V679" s="64"/>
      <c r="W679" s="64"/>
      <c r="X679" s="64"/>
      <c r="Y679" s="64"/>
      <c r="BH679" s="64"/>
      <c r="BI679" s="64"/>
      <c r="BJ679" s="64"/>
      <c r="BK679" s="64"/>
      <c r="BL679" s="64"/>
      <c r="BM679" s="64"/>
      <c r="BN679" s="64"/>
      <c r="BO679" s="64"/>
      <c r="BP679" s="64"/>
      <c r="BQ679" s="64"/>
      <c r="BR679" s="64"/>
    </row>
    <row r="680" ht="18.75" customHeight="1">
      <c r="G680" s="122"/>
      <c r="H680" s="64"/>
      <c r="L680" s="64"/>
      <c r="M680" s="64"/>
      <c r="N680" s="64"/>
      <c r="O680" s="64"/>
      <c r="P680" s="64"/>
      <c r="Q680" s="64"/>
      <c r="R680" s="64"/>
      <c r="S680" s="64"/>
      <c r="T680" s="64"/>
      <c r="U680" s="64"/>
      <c r="V680" s="64"/>
      <c r="W680" s="64"/>
      <c r="X680" s="64"/>
      <c r="Y680" s="64"/>
      <c r="BH680" s="64"/>
      <c r="BI680" s="64"/>
      <c r="BJ680" s="64"/>
      <c r="BK680" s="64"/>
      <c r="BL680" s="64"/>
      <c r="BM680" s="64"/>
      <c r="BN680" s="64"/>
      <c r="BO680" s="64"/>
      <c r="BP680" s="64"/>
      <c r="BQ680" s="64"/>
      <c r="BR680" s="64"/>
    </row>
    <row r="681" ht="18.75" customHeight="1">
      <c r="G681" s="122"/>
      <c r="H681" s="64"/>
      <c r="L681" s="64"/>
      <c r="M681" s="64"/>
      <c r="N681" s="64"/>
      <c r="O681" s="64"/>
      <c r="P681" s="64"/>
      <c r="Q681" s="64"/>
      <c r="R681" s="64"/>
      <c r="S681" s="64"/>
      <c r="T681" s="64"/>
      <c r="U681" s="64"/>
      <c r="V681" s="64"/>
      <c r="W681" s="64"/>
      <c r="X681" s="64"/>
      <c r="Y681" s="64"/>
      <c r="BH681" s="64"/>
      <c r="BI681" s="64"/>
      <c r="BJ681" s="64"/>
      <c r="BK681" s="64"/>
      <c r="BL681" s="64"/>
      <c r="BM681" s="64"/>
      <c r="BN681" s="64"/>
      <c r="BO681" s="64"/>
      <c r="BP681" s="64"/>
      <c r="BQ681" s="64"/>
      <c r="BR681" s="64"/>
    </row>
    <row r="682" ht="18.75" customHeight="1">
      <c r="G682" s="122"/>
      <c r="H682" s="64"/>
      <c r="L682" s="64"/>
      <c r="M682" s="64"/>
      <c r="N682" s="64"/>
      <c r="O682" s="64"/>
      <c r="P682" s="64"/>
      <c r="Q682" s="64"/>
      <c r="R682" s="64"/>
      <c r="S682" s="64"/>
      <c r="T682" s="64"/>
      <c r="U682" s="64"/>
      <c r="V682" s="64"/>
      <c r="W682" s="64"/>
      <c r="X682" s="64"/>
      <c r="Y682" s="64"/>
      <c r="BH682" s="64"/>
      <c r="BI682" s="64"/>
      <c r="BJ682" s="64"/>
      <c r="BK682" s="64"/>
      <c r="BL682" s="64"/>
      <c r="BM682" s="64"/>
      <c r="BN682" s="64"/>
      <c r="BO682" s="64"/>
      <c r="BP682" s="64"/>
      <c r="BQ682" s="64"/>
      <c r="BR682" s="64"/>
    </row>
    <row r="683" ht="18.75" customHeight="1">
      <c r="G683" s="122"/>
      <c r="H683" s="64"/>
      <c r="L683" s="64"/>
      <c r="M683" s="64"/>
      <c r="N683" s="64"/>
      <c r="O683" s="64"/>
      <c r="P683" s="64"/>
      <c r="Q683" s="64"/>
      <c r="R683" s="64"/>
      <c r="S683" s="64"/>
      <c r="T683" s="64"/>
      <c r="U683" s="64"/>
      <c r="V683" s="64"/>
      <c r="W683" s="64"/>
      <c r="X683" s="64"/>
      <c r="Y683" s="64"/>
      <c r="BH683" s="64"/>
      <c r="BI683" s="64"/>
      <c r="BJ683" s="64"/>
      <c r="BK683" s="64"/>
      <c r="BL683" s="64"/>
      <c r="BM683" s="64"/>
      <c r="BN683" s="64"/>
      <c r="BO683" s="64"/>
      <c r="BP683" s="64"/>
      <c r="BQ683" s="64"/>
      <c r="BR683" s="64"/>
    </row>
    <row r="684" ht="18.75" customHeight="1">
      <c r="G684" s="122"/>
      <c r="H684" s="64"/>
      <c r="L684" s="64"/>
      <c r="M684" s="64"/>
      <c r="N684" s="64"/>
      <c r="O684" s="64"/>
      <c r="P684" s="64"/>
      <c r="Q684" s="64"/>
      <c r="R684" s="64"/>
      <c r="S684" s="64"/>
      <c r="T684" s="64"/>
      <c r="U684" s="64"/>
      <c r="V684" s="64"/>
      <c r="W684" s="64"/>
      <c r="X684" s="64"/>
      <c r="Y684" s="64"/>
      <c r="BH684" s="64"/>
      <c r="BI684" s="64"/>
      <c r="BJ684" s="64"/>
      <c r="BK684" s="64"/>
      <c r="BL684" s="64"/>
      <c r="BM684" s="64"/>
      <c r="BN684" s="64"/>
      <c r="BO684" s="64"/>
      <c r="BP684" s="64"/>
      <c r="BQ684" s="64"/>
      <c r="BR684" s="64"/>
    </row>
    <row r="685" ht="18.75" customHeight="1">
      <c r="G685" s="122"/>
      <c r="H685" s="64"/>
      <c r="L685" s="64"/>
      <c r="M685" s="64"/>
      <c r="N685" s="64"/>
      <c r="O685" s="64"/>
      <c r="P685" s="64"/>
      <c r="Q685" s="64"/>
      <c r="R685" s="64"/>
      <c r="S685" s="64"/>
      <c r="T685" s="64"/>
      <c r="U685" s="64"/>
      <c r="V685" s="64"/>
      <c r="W685" s="64"/>
      <c r="X685" s="64"/>
      <c r="Y685" s="64"/>
      <c r="BH685" s="64"/>
      <c r="BI685" s="64"/>
      <c r="BJ685" s="64"/>
      <c r="BK685" s="64"/>
      <c r="BL685" s="64"/>
      <c r="BM685" s="64"/>
      <c r="BN685" s="64"/>
      <c r="BO685" s="64"/>
      <c r="BP685" s="64"/>
      <c r="BQ685" s="64"/>
      <c r="BR685" s="64"/>
    </row>
    <row r="686" ht="18.75" customHeight="1">
      <c r="G686" s="122"/>
      <c r="H686" s="64"/>
      <c r="L686" s="64"/>
      <c r="M686" s="64"/>
      <c r="N686" s="64"/>
      <c r="O686" s="64"/>
      <c r="P686" s="64"/>
      <c r="Q686" s="64"/>
      <c r="R686" s="64"/>
      <c r="S686" s="64"/>
      <c r="T686" s="64"/>
      <c r="U686" s="64"/>
      <c r="V686" s="64"/>
      <c r="W686" s="64"/>
      <c r="X686" s="64"/>
      <c r="Y686" s="64"/>
      <c r="BH686" s="64"/>
      <c r="BI686" s="64"/>
      <c r="BJ686" s="64"/>
      <c r="BK686" s="64"/>
      <c r="BL686" s="64"/>
      <c r="BM686" s="64"/>
      <c r="BN686" s="64"/>
      <c r="BO686" s="64"/>
      <c r="BP686" s="64"/>
      <c r="BQ686" s="64"/>
      <c r="BR686" s="64"/>
    </row>
    <row r="687" ht="18.75" customHeight="1">
      <c r="G687" s="122"/>
      <c r="H687" s="64"/>
      <c r="L687" s="64"/>
      <c r="M687" s="64"/>
      <c r="N687" s="64"/>
      <c r="O687" s="64"/>
      <c r="P687" s="64"/>
      <c r="Q687" s="64"/>
      <c r="R687" s="64"/>
      <c r="S687" s="64"/>
      <c r="T687" s="64"/>
      <c r="U687" s="64"/>
      <c r="V687" s="64"/>
      <c r="W687" s="64"/>
      <c r="X687" s="64"/>
      <c r="Y687" s="64"/>
      <c r="BH687" s="64"/>
      <c r="BI687" s="64"/>
      <c r="BJ687" s="64"/>
      <c r="BK687" s="64"/>
      <c r="BL687" s="64"/>
      <c r="BM687" s="64"/>
      <c r="BN687" s="64"/>
      <c r="BO687" s="64"/>
      <c r="BP687" s="64"/>
      <c r="BQ687" s="64"/>
      <c r="BR687" s="64"/>
    </row>
    <row r="688" ht="18.75" customHeight="1">
      <c r="G688" s="122"/>
      <c r="H688" s="64"/>
      <c r="L688" s="64"/>
      <c r="M688" s="64"/>
      <c r="N688" s="64"/>
      <c r="O688" s="64"/>
      <c r="P688" s="64"/>
      <c r="Q688" s="64"/>
      <c r="R688" s="64"/>
      <c r="S688" s="64"/>
      <c r="T688" s="64"/>
      <c r="U688" s="64"/>
      <c r="V688" s="64"/>
      <c r="W688" s="64"/>
      <c r="X688" s="64"/>
      <c r="Y688" s="64"/>
      <c r="BH688" s="64"/>
      <c r="BI688" s="64"/>
      <c r="BJ688" s="64"/>
      <c r="BK688" s="64"/>
      <c r="BL688" s="64"/>
      <c r="BM688" s="64"/>
      <c r="BN688" s="64"/>
      <c r="BO688" s="64"/>
      <c r="BP688" s="64"/>
      <c r="BQ688" s="64"/>
      <c r="BR688" s="64"/>
    </row>
    <row r="689" ht="18.75" customHeight="1">
      <c r="G689" s="122"/>
      <c r="H689" s="64"/>
      <c r="L689" s="64"/>
      <c r="M689" s="64"/>
      <c r="N689" s="64"/>
      <c r="O689" s="64"/>
      <c r="P689" s="64"/>
      <c r="Q689" s="64"/>
      <c r="R689" s="64"/>
      <c r="S689" s="64"/>
      <c r="T689" s="64"/>
      <c r="U689" s="64"/>
      <c r="V689" s="64"/>
      <c r="W689" s="64"/>
      <c r="X689" s="64"/>
      <c r="Y689" s="64"/>
      <c r="BH689" s="64"/>
      <c r="BI689" s="64"/>
      <c r="BJ689" s="64"/>
      <c r="BK689" s="64"/>
      <c r="BL689" s="64"/>
      <c r="BM689" s="64"/>
      <c r="BN689" s="64"/>
      <c r="BO689" s="64"/>
      <c r="BP689" s="64"/>
      <c r="BQ689" s="64"/>
      <c r="BR689" s="64"/>
    </row>
    <row r="690" ht="18.75" customHeight="1">
      <c r="G690" s="122"/>
      <c r="H690" s="64"/>
      <c r="L690" s="64"/>
      <c r="M690" s="64"/>
      <c r="N690" s="64"/>
      <c r="O690" s="64"/>
      <c r="P690" s="64"/>
      <c r="Q690" s="64"/>
      <c r="R690" s="64"/>
      <c r="S690" s="64"/>
      <c r="T690" s="64"/>
      <c r="U690" s="64"/>
      <c r="V690" s="64"/>
      <c r="W690" s="64"/>
      <c r="X690" s="64"/>
      <c r="Y690" s="64"/>
      <c r="BH690" s="64"/>
      <c r="BI690" s="64"/>
      <c r="BJ690" s="64"/>
      <c r="BK690" s="64"/>
      <c r="BL690" s="64"/>
      <c r="BM690" s="64"/>
      <c r="BN690" s="64"/>
      <c r="BO690" s="64"/>
      <c r="BP690" s="64"/>
      <c r="BQ690" s="64"/>
      <c r="BR690" s="64"/>
    </row>
    <row r="691" ht="18.75" customHeight="1">
      <c r="G691" s="122"/>
      <c r="H691" s="64"/>
      <c r="L691" s="64"/>
      <c r="M691" s="64"/>
      <c r="N691" s="64"/>
      <c r="O691" s="64"/>
      <c r="P691" s="64"/>
      <c r="Q691" s="64"/>
      <c r="R691" s="64"/>
      <c r="S691" s="64"/>
      <c r="T691" s="64"/>
      <c r="U691" s="64"/>
      <c r="V691" s="64"/>
      <c r="W691" s="64"/>
      <c r="X691" s="64"/>
      <c r="Y691" s="64"/>
      <c r="BH691" s="64"/>
      <c r="BI691" s="64"/>
      <c r="BJ691" s="64"/>
      <c r="BK691" s="64"/>
      <c r="BL691" s="64"/>
      <c r="BM691" s="64"/>
      <c r="BN691" s="64"/>
      <c r="BO691" s="64"/>
      <c r="BP691" s="64"/>
      <c r="BQ691" s="64"/>
      <c r="BR691" s="64"/>
    </row>
    <row r="692" ht="18.75" customHeight="1">
      <c r="G692" s="122"/>
      <c r="H692" s="64"/>
      <c r="L692" s="64"/>
      <c r="M692" s="64"/>
      <c r="N692" s="64"/>
      <c r="O692" s="64"/>
      <c r="P692" s="64"/>
      <c r="Q692" s="64"/>
      <c r="R692" s="64"/>
      <c r="S692" s="64"/>
      <c r="T692" s="64"/>
      <c r="U692" s="64"/>
      <c r="V692" s="64"/>
      <c r="W692" s="64"/>
      <c r="X692" s="64"/>
      <c r="Y692" s="64"/>
      <c r="BH692" s="64"/>
      <c r="BI692" s="64"/>
      <c r="BJ692" s="64"/>
      <c r="BK692" s="64"/>
      <c r="BL692" s="64"/>
      <c r="BM692" s="64"/>
      <c r="BN692" s="64"/>
      <c r="BO692" s="64"/>
      <c r="BP692" s="64"/>
      <c r="BQ692" s="64"/>
      <c r="BR692" s="64"/>
    </row>
    <row r="693" ht="18.75" customHeight="1">
      <c r="G693" s="122"/>
      <c r="H693" s="64"/>
      <c r="L693" s="64"/>
      <c r="M693" s="64"/>
      <c r="N693" s="64"/>
      <c r="O693" s="64"/>
      <c r="P693" s="64"/>
      <c r="Q693" s="64"/>
      <c r="R693" s="64"/>
      <c r="S693" s="64"/>
      <c r="T693" s="64"/>
      <c r="U693" s="64"/>
      <c r="V693" s="64"/>
      <c r="W693" s="64"/>
      <c r="X693" s="64"/>
      <c r="Y693" s="64"/>
      <c r="BH693" s="64"/>
      <c r="BI693" s="64"/>
      <c r="BJ693" s="64"/>
      <c r="BK693" s="64"/>
      <c r="BL693" s="64"/>
      <c r="BM693" s="64"/>
      <c r="BN693" s="64"/>
      <c r="BO693" s="64"/>
      <c r="BP693" s="64"/>
      <c r="BQ693" s="64"/>
      <c r="BR693" s="64"/>
    </row>
    <row r="694" ht="18.75" customHeight="1">
      <c r="G694" s="122"/>
      <c r="H694" s="64"/>
      <c r="L694" s="64"/>
      <c r="M694" s="64"/>
      <c r="N694" s="64"/>
      <c r="O694" s="64"/>
      <c r="P694" s="64"/>
      <c r="Q694" s="64"/>
      <c r="R694" s="64"/>
      <c r="S694" s="64"/>
      <c r="T694" s="64"/>
      <c r="U694" s="64"/>
      <c r="V694" s="64"/>
      <c r="W694" s="64"/>
      <c r="X694" s="64"/>
      <c r="Y694" s="64"/>
      <c r="BH694" s="64"/>
      <c r="BI694" s="64"/>
      <c r="BJ694" s="64"/>
      <c r="BK694" s="64"/>
      <c r="BL694" s="64"/>
      <c r="BM694" s="64"/>
      <c r="BN694" s="64"/>
      <c r="BO694" s="64"/>
      <c r="BP694" s="64"/>
      <c r="BQ694" s="64"/>
      <c r="BR694" s="64"/>
    </row>
    <row r="695" ht="18.75" customHeight="1">
      <c r="G695" s="122"/>
      <c r="H695" s="64"/>
      <c r="L695" s="64"/>
      <c r="M695" s="64"/>
      <c r="N695" s="64"/>
      <c r="O695" s="64"/>
      <c r="P695" s="64"/>
      <c r="Q695" s="64"/>
      <c r="R695" s="64"/>
      <c r="S695" s="64"/>
      <c r="T695" s="64"/>
      <c r="U695" s="64"/>
      <c r="V695" s="64"/>
      <c r="W695" s="64"/>
      <c r="X695" s="64"/>
      <c r="Y695" s="64"/>
      <c r="BH695" s="64"/>
      <c r="BI695" s="64"/>
      <c r="BJ695" s="64"/>
      <c r="BK695" s="64"/>
      <c r="BL695" s="64"/>
      <c r="BM695" s="64"/>
      <c r="BN695" s="64"/>
      <c r="BO695" s="64"/>
      <c r="BP695" s="64"/>
      <c r="BQ695" s="64"/>
      <c r="BR695" s="64"/>
    </row>
    <row r="696" ht="18.75" customHeight="1">
      <c r="G696" s="122"/>
      <c r="H696" s="64"/>
      <c r="L696" s="64"/>
      <c r="M696" s="64"/>
      <c r="N696" s="64"/>
      <c r="O696" s="64"/>
      <c r="P696" s="64"/>
      <c r="Q696" s="64"/>
      <c r="R696" s="64"/>
      <c r="S696" s="64"/>
      <c r="T696" s="64"/>
      <c r="U696" s="64"/>
      <c r="V696" s="64"/>
      <c r="W696" s="64"/>
      <c r="X696" s="64"/>
      <c r="Y696" s="64"/>
      <c r="BH696" s="64"/>
      <c r="BI696" s="64"/>
      <c r="BJ696" s="64"/>
      <c r="BK696" s="64"/>
      <c r="BL696" s="64"/>
      <c r="BM696" s="64"/>
      <c r="BN696" s="64"/>
      <c r="BO696" s="64"/>
      <c r="BP696" s="64"/>
      <c r="BQ696" s="64"/>
      <c r="BR696" s="64"/>
    </row>
    <row r="697" ht="18.75" customHeight="1">
      <c r="G697" s="122"/>
      <c r="H697" s="64"/>
      <c r="L697" s="64"/>
      <c r="M697" s="64"/>
      <c r="N697" s="64"/>
      <c r="O697" s="64"/>
      <c r="P697" s="64"/>
      <c r="Q697" s="64"/>
      <c r="R697" s="64"/>
      <c r="S697" s="64"/>
      <c r="T697" s="64"/>
      <c r="U697" s="64"/>
      <c r="V697" s="64"/>
      <c r="W697" s="64"/>
      <c r="X697" s="64"/>
      <c r="Y697" s="64"/>
      <c r="BH697" s="64"/>
      <c r="BI697" s="64"/>
      <c r="BJ697" s="64"/>
      <c r="BK697" s="64"/>
      <c r="BL697" s="64"/>
      <c r="BM697" s="64"/>
      <c r="BN697" s="64"/>
      <c r="BO697" s="64"/>
      <c r="BP697" s="64"/>
      <c r="BQ697" s="64"/>
      <c r="BR697" s="64"/>
    </row>
    <row r="698" ht="18.75" customHeight="1">
      <c r="G698" s="122"/>
      <c r="H698" s="64"/>
      <c r="L698" s="64"/>
      <c r="M698" s="64"/>
      <c r="N698" s="64"/>
      <c r="O698" s="64"/>
      <c r="P698" s="64"/>
      <c r="Q698" s="64"/>
      <c r="R698" s="64"/>
      <c r="S698" s="64"/>
      <c r="T698" s="64"/>
      <c r="U698" s="64"/>
      <c r="V698" s="64"/>
      <c r="W698" s="64"/>
      <c r="X698" s="64"/>
      <c r="Y698" s="64"/>
      <c r="BH698" s="64"/>
      <c r="BI698" s="64"/>
      <c r="BJ698" s="64"/>
      <c r="BK698" s="64"/>
      <c r="BL698" s="64"/>
      <c r="BM698" s="64"/>
      <c r="BN698" s="64"/>
      <c r="BO698" s="64"/>
      <c r="BP698" s="64"/>
      <c r="BQ698" s="64"/>
      <c r="BR698" s="64"/>
    </row>
    <row r="699" ht="18.75" customHeight="1">
      <c r="G699" s="122"/>
      <c r="H699" s="64"/>
      <c r="L699" s="64"/>
      <c r="M699" s="64"/>
      <c r="N699" s="64"/>
      <c r="O699" s="64"/>
      <c r="P699" s="64"/>
      <c r="Q699" s="64"/>
      <c r="R699" s="64"/>
      <c r="S699" s="64"/>
      <c r="T699" s="64"/>
      <c r="U699" s="64"/>
      <c r="V699" s="64"/>
      <c r="W699" s="64"/>
      <c r="X699" s="64"/>
      <c r="Y699" s="64"/>
      <c r="BH699" s="64"/>
      <c r="BI699" s="64"/>
      <c r="BJ699" s="64"/>
      <c r="BK699" s="64"/>
      <c r="BL699" s="64"/>
      <c r="BM699" s="64"/>
      <c r="BN699" s="64"/>
      <c r="BO699" s="64"/>
      <c r="BP699" s="64"/>
      <c r="BQ699" s="64"/>
      <c r="BR699" s="64"/>
    </row>
    <row r="700" ht="18.75" customHeight="1">
      <c r="G700" s="122"/>
      <c r="H700" s="64"/>
      <c r="L700" s="64"/>
      <c r="M700" s="64"/>
      <c r="N700" s="64"/>
      <c r="O700" s="64"/>
      <c r="P700" s="64"/>
      <c r="Q700" s="64"/>
      <c r="R700" s="64"/>
      <c r="S700" s="64"/>
      <c r="T700" s="64"/>
      <c r="U700" s="64"/>
      <c r="V700" s="64"/>
      <c r="W700" s="64"/>
      <c r="X700" s="64"/>
      <c r="Y700" s="64"/>
      <c r="BH700" s="64"/>
      <c r="BI700" s="64"/>
      <c r="BJ700" s="64"/>
      <c r="BK700" s="64"/>
      <c r="BL700" s="64"/>
      <c r="BM700" s="64"/>
      <c r="BN700" s="64"/>
      <c r="BO700" s="64"/>
      <c r="BP700" s="64"/>
      <c r="BQ700" s="64"/>
      <c r="BR700" s="64"/>
    </row>
    <row r="701" ht="18.75" customHeight="1">
      <c r="G701" s="122"/>
      <c r="H701" s="64"/>
      <c r="L701" s="64"/>
      <c r="M701" s="64"/>
      <c r="N701" s="64"/>
      <c r="O701" s="64"/>
      <c r="P701" s="64"/>
      <c r="Q701" s="64"/>
      <c r="R701" s="64"/>
      <c r="S701" s="64"/>
      <c r="T701" s="64"/>
      <c r="U701" s="64"/>
      <c r="V701" s="64"/>
      <c r="W701" s="64"/>
      <c r="X701" s="64"/>
      <c r="Y701" s="64"/>
      <c r="BH701" s="64"/>
      <c r="BI701" s="64"/>
      <c r="BJ701" s="64"/>
      <c r="BK701" s="64"/>
      <c r="BL701" s="64"/>
      <c r="BM701" s="64"/>
      <c r="BN701" s="64"/>
      <c r="BO701" s="64"/>
      <c r="BP701" s="64"/>
      <c r="BQ701" s="64"/>
      <c r="BR701" s="64"/>
    </row>
    <row r="702" ht="18.75" customHeight="1">
      <c r="G702" s="122"/>
      <c r="H702" s="64"/>
      <c r="L702" s="64"/>
      <c r="M702" s="64"/>
      <c r="N702" s="64"/>
      <c r="O702" s="64"/>
      <c r="P702" s="64"/>
      <c r="Q702" s="64"/>
      <c r="R702" s="64"/>
      <c r="S702" s="64"/>
      <c r="T702" s="64"/>
      <c r="U702" s="64"/>
      <c r="V702" s="64"/>
      <c r="W702" s="64"/>
      <c r="X702" s="64"/>
      <c r="Y702" s="64"/>
      <c r="BH702" s="64"/>
      <c r="BI702" s="64"/>
      <c r="BJ702" s="64"/>
      <c r="BK702" s="64"/>
      <c r="BL702" s="64"/>
      <c r="BM702" s="64"/>
      <c r="BN702" s="64"/>
      <c r="BO702" s="64"/>
      <c r="BP702" s="64"/>
      <c r="BQ702" s="64"/>
      <c r="BR702" s="64"/>
    </row>
    <row r="703" ht="18.75" customHeight="1">
      <c r="G703" s="122"/>
      <c r="H703" s="64"/>
      <c r="L703" s="64"/>
      <c r="M703" s="64"/>
      <c r="N703" s="64"/>
      <c r="O703" s="64"/>
      <c r="P703" s="64"/>
      <c r="Q703" s="64"/>
      <c r="R703" s="64"/>
      <c r="S703" s="64"/>
      <c r="T703" s="64"/>
      <c r="U703" s="64"/>
      <c r="V703" s="64"/>
      <c r="W703" s="64"/>
      <c r="X703" s="64"/>
      <c r="Y703" s="64"/>
      <c r="BH703" s="64"/>
      <c r="BI703" s="64"/>
      <c r="BJ703" s="64"/>
      <c r="BK703" s="64"/>
      <c r="BL703" s="64"/>
      <c r="BM703" s="64"/>
      <c r="BN703" s="64"/>
      <c r="BO703" s="64"/>
      <c r="BP703" s="64"/>
      <c r="BQ703" s="64"/>
      <c r="BR703" s="64"/>
    </row>
    <row r="704" ht="18.75" customHeight="1">
      <c r="G704" s="122"/>
      <c r="H704" s="64"/>
      <c r="L704" s="64"/>
      <c r="M704" s="64"/>
      <c r="N704" s="64"/>
      <c r="O704" s="64"/>
      <c r="P704" s="64"/>
      <c r="Q704" s="64"/>
      <c r="R704" s="64"/>
      <c r="S704" s="64"/>
      <c r="T704" s="64"/>
      <c r="U704" s="64"/>
      <c r="V704" s="64"/>
      <c r="W704" s="64"/>
      <c r="X704" s="64"/>
      <c r="Y704" s="64"/>
      <c r="BH704" s="64"/>
      <c r="BI704" s="64"/>
      <c r="BJ704" s="64"/>
      <c r="BK704" s="64"/>
      <c r="BL704" s="64"/>
      <c r="BM704" s="64"/>
      <c r="BN704" s="64"/>
      <c r="BO704" s="64"/>
      <c r="BP704" s="64"/>
      <c r="BQ704" s="64"/>
      <c r="BR704" s="64"/>
    </row>
    <row r="705" ht="18.75" customHeight="1">
      <c r="G705" s="122"/>
      <c r="H705" s="64"/>
      <c r="L705" s="64"/>
      <c r="M705" s="64"/>
      <c r="N705" s="64"/>
      <c r="O705" s="64"/>
      <c r="P705" s="64"/>
      <c r="Q705" s="64"/>
      <c r="R705" s="64"/>
      <c r="S705" s="64"/>
      <c r="T705" s="64"/>
      <c r="U705" s="64"/>
      <c r="V705" s="64"/>
      <c r="W705" s="64"/>
      <c r="X705" s="64"/>
      <c r="Y705" s="64"/>
      <c r="BH705" s="64"/>
      <c r="BI705" s="64"/>
      <c r="BJ705" s="64"/>
      <c r="BK705" s="64"/>
      <c r="BL705" s="64"/>
      <c r="BM705" s="64"/>
      <c r="BN705" s="64"/>
      <c r="BO705" s="64"/>
      <c r="BP705" s="64"/>
      <c r="BQ705" s="64"/>
      <c r="BR705" s="64"/>
    </row>
    <row r="706" ht="18.75" customHeight="1">
      <c r="G706" s="122"/>
      <c r="H706" s="64"/>
      <c r="L706" s="64"/>
      <c r="M706" s="64"/>
      <c r="N706" s="64"/>
      <c r="O706" s="64"/>
      <c r="P706" s="64"/>
      <c r="Q706" s="64"/>
      <c r="R706" s="64"/>
      <c r="S706" s="64"/>
      <c r="T706" s="64"/>
      <c r="U706" s="64"/>
      <c r="V706" s="64"/>
      <c r="W706" s="64"/>
      <c r="X706" s="64"/>
      <c r="Y706" s="64"/>
      <c r="BH706" s="64"/>
      <c r="BI706" s="64"/>
      <c r="BJ706" s="64"/>
      <c r="BK706" s="64"/>
      <c r="BL706" s="64"/>
      <c r="BM706" s="64"/>
      <c r="BN706" s="64"/>
      <c r="BO706" s="64"/>
      <c r="BP706" s="64"/>
      <c r="BQ706" s="64"/>
      <c r="BR706" s="64"/>
    </row>
    <row r="707" ht="18.75" customHeight="1">
      <c r="G707" s="122"/>
      <c r="H707" s="64"/>
      <c r="L707" s="64"/>
      <c r="M707" s="64"/>
      <c r="N707" s="64"/>
      <c r="O707" s="64"/>
      <c r="P707" s="64"/>
      <c r="Q707" s="64"/>
      <c r="R707" s="64"/>
      <c r="S707" s="64"/>
      <c r="T707" s="64"/>
      <c r="U707" s="64"/>
      <c r="V707" s="64"/>
      <c r="W707" s="64"/>
      <c r="X707" s="64"/>
      <c r="Y707" s="64"/>
      <c r="BH707" s="64"/>
      <c r="BI707" s="64"/>
      <c r="BJ707" s="64"/>
      <c r="BK707" s="64"/>
      <c r="BL707" s="64"/>
      <c r="BM707" s="64"/>
      <c r="BN707" s="64"/>
      <c r="BO707" s="64"/>
      <c r="BP707" s="64"/>
      <c r="BQ707" s="64"/>
      <c r="BR707" s="64"/>
    </row>
    <row r="708" ht="18.75" customHeight="1">
      <c r="G708" s="122"/>
      <c r="H708" s="64"/>
      <c r="L708" s="64"/>
      <c r="M708" s="64"/>
      <c r="N708" s="64"/>
      <c r="O708" s="64"/>
      <c r="P708" s="64"/>
      <c r="Q708" s="64"/>
      <c r="R708" s="64"/>
      <c r="S708" s="64"/>
      <c r="T708" s="64"/>
      <c r="U708" s="64"/>
      <c r="V708" s="64"/>
      <c r="W708" s="64"/>
      <c r="X708" s="64"/>
      <c r="Y708" s="64"/>
      <c r="BH708" s="64"/>
      <c r="BI708" s="64"/>
      <c r="BJ708" s="64"/>
      <c r="BK708" s="64"/>
      <c r="BL708" s="64"/>
      <c r="BM708" s="64"/>
      <c r="BN708" s="64"/>
      <c r="BO708" s="64"/>
      <c r="BP708" s="64"/>
      <c r="BQ708" s="64"/>
      <c r="BR708" s="64"/>
    </row>
    <row r="709" ht="18.75" customHeight="1">
      <c r="G709" s="122"/>
      <c r="H709" s="64"/>
      <c r="L709" s="64"/>
      <c r="M709" s="64"/>
      <c r="N709" s="64"/>
      <c r="O709" s="64"/>
      <c r="P709" s="64"/>
      <c r="Q709" s="64"/>
      <c r="R709" s="64"/>
      <c r="S709" s="64"/>
      <c r="T709" s="64"/>
      <c r="U709" s="64"/>
      <c r="V709" s="64"/>
      <c r="W709" s="64"/>
      <c r="X709" s="64"/>
      <c r="Y709" s="64"/>
      <c r="BH709" s="64"/>
      <c r="BI709" s="64"/>
      <c r="BJ709" s="64"/>
      <c r="BK709" s="64"/>
      <c r="BL709" s="64"/>
      <c r="BM709" s="64"/>
      <c r="BN709" s="64"/>
      <c r="BO709" s="64"/>
      <c r="BP709" s="64"/>
      <c r="BQ709" s="64"/>
      <c r="BR709" s="64"/>
    </row>
    <row r="710" ht="18.75" customHeight="1">
      <c r="G710" s="122"/>
      <c r="H710" s="64"/>
      <c r="L710" s="64"/>
      <c r="M710" s="64"/>
      <c r="N710" s="64"/>
      <c r="O710" s="64"/>
      <c r="P710" s="64"/>
      <c r="Q710" s="64"/>
      <c r="R710" s="64"/>
      <c r="S710" s="64"/>
      <c r="T710" s="64"/>
      <c r="U710" s="64"/>
      <c r="V710" s="64"/>
      <c r="W710" s="64"/>
      <c r="X710" s="64"/>
      <c r="Y710" s="64"/>
      <c r="BH710" s="64"/>
      <c r="BI710" s="64"/>
      <c r="BJ710" s="64"/>
      <c r="BK710" s="64"/>
      <c r="BL710" s="64"/>
      <c r="BM710" s="64"/>
      <c r="BN710" s="64"/>
      <c r="BO710" s="64"/>
      <c r="BP710" s="64"/>
      <c r="BQ710" s="64"/>
      <c r="BR710" s="64"/>
    </row>
    <row r="711" ht="18.75" customHeight="1">
      <c r="G711" s="122"/>
      <c r="H711" s="64"/>
      <c r="L711" s="64"/>
      <c r="M711" s="64"/>
      <c r="N711" s="64"/>
      <c r="O711" s="64"/>
      <c r="P711" s="64"/>
      <c r="Q711" s="64"/>
      <c r="R711" s="64"/>
      <c r="S711" s="64"/>
      <c r="T711" s="64"/>
      <c r="U711" s="64"/>
      <c r="V711" s="64"/>
      <c r="W711" s="64"/>
      <c r="X711" s="64"/>
      <c r="Y711" s="64"/>
      <c r="BH711" s="64"/>
      <c r="BI711" s="64"/>
      <c r="BJ711" s="64"/>
      <c r="BK711" s="64"/>
      <c r="BL711" s="64"/>
      <c r="BM711" s="64"/>
      <c r="BN711" s="64"/>
      <c r="BO711" s="64"/>
      <c r="BP711" s="64"/>
      <c r="BQ711" s="64"/>
      <c r="BR711" s="64"/>
    </row>
    <row r="712" ht="18.75" customHeight="1">
      <c r="G712" s="122"/>
      <c r="H712" s="64"/>
      <c r="L712" s="64"/>
      <c r="M712" s="64"/>
      <c r="N712" s="64"/>
      <c r="O712" s="64"/>
      <c r="P712" s="64"/>
      <c r="Q712" s="64"/>
      <c r="R712" s="64"/>
      <c r="S712" s="64"/>
      <c r="T712" s="64"/>
      <c r="U712" s="64"/>
      <c r="V712" s="64"/>
      <c r="W712" s="64"/>
      <c r="X712" s="64"/>
      <c r="Y712" s="64"/>
      <c r="BH712" s="64"/>
      <c r="BI712" s="64"/>
      <c r="BJ712" s="64"/>
      <c r="BK712" s="64"/>
      <c r="BL712" s="64"/>
      <c r="BM712" s="64"/>
      <c r="BN712" s="64"/>
      <c r="BO712" s="64"/>
      <c r="BP712" s="64"/>
      <c r="BQ712" s="64"/>
      <c r="BR712" s="64"/>
    </row>
    <row r="713" ht="18.75" customHeight="1">
      <c r="G713" s="122"/>
      <c r="H713" s="64"/>
      <c r="L713" s="64"/>
      <c r="M713" s="64"/>
      <c r="N713" s="64"/>
      <c r="O713" s="64"/>
      <c r="P713" s="64"/>
      <c r="Q713" s="64"/>
      <c r="R713" s="64"/>
      <c r="S713" s="64"/>
      <c r="T713" s="64"/>
      <c r="U713" s="64"/>
      <c r="V713" s="64"/>
      <c r="W713" s="64"/>
      <c r="X713" s="64"/>
      <c r="Y713" s="64"/>
      <c r="BH713" s="64"/>
      <c r="BI713" s="64"/>
      <c r="BJ713" s="64"/>
      <c r="BK713" s="64"/>
      <c r="BL713" s="64"/>
      <c r="BM713" s="64"/>
      <c r="BN713" s="64"/>
      <c r="BO713" s="64"/>
      <c r="BP713" s="64"/>
      <c r="BQ713" s="64"/>
      <c r="BR713" s="64"/>
    </row>
    <row r="714" ht="18.75" customHeight="1">
      <c r="G714" s="122"/>
      <c r="H714" s="64"/>
      <c r="L714" s="64"/>
      <c r="M714" s="64"/>
      <c r="N714" s="64"/>
      <c r="O714" s="64"/>
      <c r="P714" s="64"/>
      <c r="Q714" s="64"/>
      <c r="R714" s="64"/>
      <c r="S714" s="64"/>
      <c r="T714" s="64"/>
      <c r="U714" s="64"/>
      <c r="V714" s="64"/>
      <c r="W714" s="64"/>
      <c r="X714" s="64"/>
      <c r="Y714" s="64"/>
      <c r="BH714" s="64"/>
      <c r="BI714" s="64"/>
      <c r="BJ714" s="64"/>
      <c r="BK714" s="64"/>
      <c r="BL714" s="64"/>
      <c r="BM714" s="64"/>
      <c r="BN714" s="64"/>
      <c r="BO714" s="64"/>
      <c r="BP714" s="64"/>
      <c r="BQ714" s="64"/>
      <c r="BR714" s="64"/>
    </row>
    <row r="715" ht="18.75" customHeight="1">
      <c r="G715" s="122"/>
      <c r="H715" s="64"/>
      <c r="L715" s="64"/>
      <c r="M715" s="64"/>
      <c r="N715" s="64"/>
      <c r="O715" s="64"/>
      <c r="P715" s="64"/>
      <c r="Q715" s="64"/>
      <c r="R715" s="64"/>
      <c r="S715" s="64"/>
      <c r="T715" s="64"/>
      <c r="U715" s="64"/>
      <c r="V715" s="64"/>
      <c r="W715" s="64"/>
      <c r="X715" s="64"/>
      <c r="Y715" s="64"/>
      <c r="BH715" s="64"/>
      <c r="BI715" s="64"/>
      <c r="BJ715" s="64"/>
      <c r="BK715" s="64"/>
      <c r="BL715" s="64"/>
      <c r="BM715" s="64"/>
      <c r="BN715" s="64"/>
      <c r="BO715" s="64"/>
      <c r="BP715" s="64"/>
      <c r="BQ715" s="64"/>
      <c r="BR715" s="64"/>
    </row>
    <row r="716" ht="18.75" customHeight="1">
      <c r="G716" s="122"/>
      <c r="H716" s="64"/>
      <c r="L716" s="64"/>
      <c r="M716" s="64"/>
      <c r="N716" s="64"/>
      <c r="O716" s="64"/>
      <c r="P716" s="64"/>
      <c r="Q716" s="64"/>
      <c r="R716" s="64"/>
      <c r="S716" s="64"/>
      <c r="T716" s="64"/>
      <c r="U716" s="64"/>
      <c r="V716" s="64"/>
      <c r="W716" s="64"/>
      <c r="X716" s="64"/>
      <c r="Y716" s="64"/>
      <c r="BH716" s="64"/>
      <c r="BI716" s="64"/>
      <c r="BJ716" s="64"/>
      <c r="BK716" s="64"/>
      <c r="BL716" s="64"/>
      <c r="BM716" s="64"/>
      <c r="BN716" s="64"/>
      <c r="BO716" s="64"/>
      <c r="BP716" s="64"/>
      <c r="BQ716" s="64"/>
      <c r="BR716" s="64"/>
    </row>
    <row r="717" ht="18.75" customHeight="1">
      <c r="G717" s="122"/>
      <c r="H717" s="64"/>
      <c r="L717" s="64"/>
      <c r="M717" s="64"/>
      <c r="N717" s="64"/>
      <c r="O717" s="64"/>
      <c r="P717" s="64"/>
      <c r="Q717" s="64"/>
      <c r="R717" s="64"/>
      <c r="S717" s="64"/>
      <c r="T717" s="64"/>
      <c r="U717" s="64"/>
      <c r="V717" s="64"/>
      <c r="W717" s="64"/>
      <c r="X717" s="64"/>
      <c r="Y717" s="64"/>
      <c r="BH717" s="64"/>
      <c r="BI717" s="64"/>
      <c r="BJ717" s="64"/>
      <c r="BK717" s="64"/>
      <c r="BL717" s="64"/>
      <c r="BM717" s="64"/>
      <c r="BN717" s="64"/>
      <c r="BO717" s="64"/>
      <c r="BP717" s="64"/>
      <c r="BQ717" s="64"/>
      <c r="BR717" s="64"/>
    </row>
    <row r="718" ht="18.75" customHeight="1">
      <c r="G718" s="122"/>
      <c r="H718" s="64"/>
      <c r="L718" s="64"/>
      <c r="M718" s="64"/>
      <c r="N718" s="64"/>
      <c r="O718" s="64"/>
      <c r="P718" s="64"/>
      <c r="Q718" s="64"/>
      <c r="R718" s="64"/>
      <c r="S718" s="64"/>
      <c r="T718" s="64"/>
      <c r="U718" s="64"/>
      <c r="V718" s="64"/>
      <c r="W718" s="64"/>
      <c r="X718" s="64"/>
      <c r="Y718" s="64"/>
      <c r="BH718" s="64"/>
      <c r="BI718" s="64"/>
      <c r="BJ718" s="64"/>
      <c r="BK718" s="64"/>
      <c r="BL718" s="64"/>
      <c r="BM718" s="64"/>
      <c r="BN718" s="64"/>
      <c r="BO718" s="64"/>
      <c r="BP718" s="64"/>
      <c r="BQ718" s="64"/>
      <c r="BR718" s="64"/>
    </row>
    <row r="719" ht="18.75" customHeight="1">
      <c r="G719" s="122"/>
      <c r="H719" s="64"/>
      <c r="L719" s="64"/>
      <c r="M719" s="64"/>
      <c r="N719" s="64"/>
      <c r="O719" s="64"/>
      <c r="P719" s="64"/>
      <c r="Q719" s="64"/>
      <c r="R719" s="64"/>
      <c r="S719" s="64"/>
      <c r="T719" s="64"/>
      <c r="U719" s="64"/>
      <c r="V719" s="64"/>
      <c r="W719" s="64"/>
      <c r="X719" s="64"/>
      <c r="Y719" s="64"/>
      <c r="BH719" s="64"/>
      <c r="BI719" s="64"/>
      <c r="BJ719" s="64"/>
      <c r="BK719" s="64"/>
      <c r="BL719" s="64"/>
      <c r="BM719" s="64"/>
      <c r="BN719" s="64"/>
      <c r="BO719" s="64"/>
      <c r="BP719" s="64"/>
      <c r="BQ719" s="64"/>
      <c r="BR719" s="64"/>
    </row>
    <row r="720" ht="18.75" customHeight="1">
      <c r="G720" s="122"/>
      <c r="H720" s="64"/>
      <c r="L720" s="64"/>
      <c r="M720" s="64"/>
      <c r="N720" s="64"/>
      <c r="O720" s="64"/>
      <c r="P720" s="64"/>
      <c r="Q720" s="64"/>
      <c r="R720" s="64"/>
      <c r="S720" s="64"/>
      <c r="T720" s="64"/>
      <c r="U720" s="64"/>
      <c r="V720" s="64"/>
      <c r="W720" s="64"/>
      <c r="X720" s="64"/>
      <c r="Y720" s="64"/>
      <c r="BH720" s="64"/>
      <c r="BI720" s="64"/>
      <c r="BJ720" s="64"/>
      <c r="BK720" s="64"/>
      <c r="BL720" s="64"/>
      <c r="BM720" s="64"/>
      <c r="BN720" s="64"/>
      <c r="BO720" s="64"/>
      <c r="BP720" s="64"/>
      <c r="BQ720" s="64"/>
      <c r="BR720" s="64"/>
    </row>
    <row r="721" ht="18.75" customHeight="1">
      <c r="G721" s="122"/>
      <c r="H721" s="64"/>
      <c r="L721" s="64"/>
      <c r="M721" s="64"/>
      <c r="N721" s="64"/>
      <c r="O721" s="64"/>
      <c r="P721" s="64"/>
      <c r="Q721" s="64"/>
      <c r="R721" s="64"/>
      <c r="S721" s="64"/>
      <c r="T721" s="64"/>
      <c r="U721" s="64"/>
      <c r="V721" s="64"/>
      <c r="W721" s="64"/>
      <c r="X721" s="64"/>
      <c r="Y721" s="64"/>
      <c r="BH721" s="64"/>
      <c r="BI721" s="64"/>
      <c r="BJ721" s="64"/>
      <c r="BK721" s="64"/>
      <c r="BL721" s="64"/>
      <c r="BM721" s="64"/>
      <c r="BN721" s="64"/>
      <c r="BO721" s="64"/>
      <c r="BP721" s="64"/>
      <c r="BQ721" s="64"/>
      <c r="BR721" s="64"/>
    </row>
    <row r="722" ht="18.75" customHeight="1">
      <c r="G722" s="122"/>
      <c r="H722" s="64"/>
      <c r="L722" s="64"/>
      <c r="M722" s="64"/>
      <c r="N722" s="64"/>
      <c r="O722" s="64"/>
      <c r="P722" s="64"/>
      <c r="Q722" s="64"/>
      <c r="R722" s="64"/>
      <c r="S722" s="64"/>
      <c r="T722" s="64"/>
      <c r="U722" s="64"/>
      <c r="V722" s="64"/>
      <c r="W722" s="64"/>
      <c r="X722" s="64"/>
      <c r="Y722" s="64"/>
      <c r="BH722" s="64"/>
      <c r="BI722" s="64"/>
      <c r="BJ722" s="64"/>
      <c r="BK722" s="64"/>
      <c r="BL722" s="64"/>
      <c r="BM722" s="64"/>
      <c r="BN722" s="64"/>
      <c r="BO722" s="64"/>
      <c r="BP722" s="64"/>
      <c r="BQ722" s="64"/>
      <c r="BR722" s="64"/>
    </row>
    <row r="723" ht="18.75" customHeight="1">
      <c r="G723" s="122"/>
      <c r="H723" s="64"/>
      <c r="L723" s="64"/>
      <c r="M723" s="64"/>
      <c r="N723" s="64"/>
      <c r="O723" s="64"/>
      <c r="P723" s="64"/>
      <c r="Q723" s="64"/>
      <c r="R723" s="64"/>
      <c r="S723" s="64"/>
      <c r="T723" s="64"/>
      <c r="U723" s="64"/>
      <c r="V723" s="64"/>
      <c r="W723" s="64"/>
      <c r="X723" s="64"/>
      <c r="Y723" s="64"/>
      <c r="BH723" s="64"/>
      <c r="BI723" s="64"/>
      <c r="BJ723" s="64"/>
      <c r="BK723" s="64"/>
      <c r="BL723" s="64"/>
      <c r="BM723" s="64"/>
      <c r="BN723" s="64"/>
      <c r="BO723" s="64"/>
      <c r="BP723" s="64"/>
      <c r="BQ723" s="64"/>
      <c r="BR723" s="64"/>
    </row>
    <row r="724" ht="18.75" customHeight="1">
      <c r="G724" s="122"/>
      <c r="H724" s="64"/>
      <c r="L724" s="64"/>
      <c r="M724" s="64"/>
      <c r="N724" s="64"/>
      <c r="O724" s="64"/>
      <c r="P724" s="64"/>
      <c r="Q724" s="64"/>
      <c r="R724" s="64"/>
      <c r="S724" s="64"/>
      <c r="T724" s="64"/>
      <c r="U724" s="64"/>
      <c r="V724" s="64"/>
      <c r="W724" s="64"/>
      <c r="X724" s="64"/>
      <c r="Y724" s="64"/>
      <c r="BH724" s="64"/>
      <c r="BI724" s="64"/>
      <c r="BJ724" s="64"/>
      <c r="BK724" s="64"/>
      <c r="BL724" s="64"/>
      <c r="BM724" s="64"/>
      <c r="BN724" s="64"/>
      <c r="BO724" s="64"/>
      <c r="BP724" s="64"/>
      <c r="BQ724" s="64"/>
      <c r="BR724" s="64"/>
    </row>
    <row r="725" ht="18.75" customHeight="1">
      <c r="G725" s="122"/>
      <c r="H725" s="64"/>
      <c r="L725" s="64"/>
      <c r="M725" s="64"/>
      <c r="N725" s="64"/>
      <c r="O725" s="64"/>
      <c r="P725" s="64"/>
      <c r="Q725" s="64"/>
      <c r="R725" s="64"/>
      <c r="S725" s="64"/>
      <c r="T725" s="64"/>
      <c r="U725" s="64"/>
      <c r="V725" s="64"/>
      <c r="W725" s="64"/>
      <c r="X725" s="64"/>
      <c r="Y725" s="64"/>
      <c r="BH725" s="64"/>
      <c r="BI725" s="64"/>
      <c r="BJ725" s="64"/>
      <c r="BK725" s="64"/>
      <c r="BL725" s="64"/>
      <c r="BM725" s="64"/>
      <c r="BN725" s="64"/>
      <c r="BO725" s="64"/>
      <c r="BP725" s="64"/>
      <c r="BQ725" s="64"/>
      <c r="BR725" s="64"/>
    </row>
    <row r="726" ht="18.75" customHeight="1">
      <c r="G726" s="122"/>
      <c r="H726" s="64"/>
      <c r="L726" s="64"/>
      <c r="M726" s="64"/>
      <c r="N726" s="64"/>
      <c r="O726" s="64"/>
      <c r="P726" s="64"/>
      <c r="Q726" s="64"/>
      <c r="R726" s="64"/>
      <c r="S726" s="64"/>
      <c r="T726" s="64"/>
      <c r="U726" s="64"/>
      <c r="V726" s="64"/>
      <c r="W726" s="64"/>
      <c r="X726" s="64"/>
      <c r="Y726" s="64"/>
      <c r="BH726" s="64"/>
      <c r="BI726" s="64"/>
      <c r="BJ726" s="64"/>
      <c r="BK726" s="64"/>
      <c r="BL726" s="64"/>
      <c r="BM726" s="64"/>
      <c r="BN726" s="64"/>
      <c r="BO726" s="64"/>
      <c r="BP726" s="64"/>
      <c r="BQ726" s="64"/>
      <c r="BR726" s="64"/>
    </row>
    <row r="727" ht="18.75" customHeight="1">
      <c r="G727" s="122"/>
      <c r="H727" s="64"/>
      <c r="L727" s="64"/>
      <c r="M727" s="64"/>
      <c r="N727" s="64"/>
      <c r="O727" s="64"/>
      <c r="P727" s="64"/>
      <c r="Q727" s="64"/>
      <c r="R727" s="64"/>
      <c r="S727" s="64"/>
      <c r="T727" s="64"/>
      <c r="U727" s="64"/>
      <c r="V727" s="64"/>
      <c r="W727" s="64"/>
      <c r="X727" s="64"/>
      <c r="Y727" s="64"/>
      <c r="BH727" s="64"/>
      <c r="BI727" s="64"/>
      <c r="BJ727" s="64"/>
      <c r="BK727" s="64"/>
      <c r="BL727" s="64"/>
      <c r="BM727" s="64"/>
      <c r="BN727" s="64"/>
      <c r="BO727" s="64"/>
      <c r="BP727" s="64"/>
      <c r="BQ727" s="64"/>
      <c r="BR727" s="64"/>
    </row>
    <row r="728" ht="18.75" customHeight="1">
      <c r="G728" s="122"/>
      <c r="H728" s="64"/>
      <c r="L728" s="64"/>
      <c r="M728" s="64"/>
      <c r="N728" s="64"/>
      <c r="O728" s="64"/>
      <c r="P728" s="64"/>
      <c r="Q728" s="64"/>
      <c r="R728" s="64"/>
      <c r="S728" s="64"/>
      <c r="T728" s="64"/>
      <c r="U728" s="64"/>
      <c r="V728" s="64"/>
      <c r="W728" s="64"/>
      <c r="X728" s="64"/>
      <c r="Y728" s="64"/>
      <c r="BH728" s="64"/>
      <c r="BI728" s="64"/>
      <c r="BJ728" s="64"/>
      <c r="BK728" s="64"/>
      <c r="BL728" s="64"/>
      <c r="BM728" s="64"/>
      <c r="BN728" s="64"/>
      <c r="BO728" s="64"/>
      <c r="BP728" s="64"/>
      <c r="BQ728" s="64"/>
      <c r="BR728" s="64"/>
    </row>
    <row r="729" ht="18.75" customHeight="1">
      <c r="G729" s="122"/>
      <c r="H729" s="64"/>
      <c r="L729" s="64"/>
      <c r="M729" s="64"/>
      <c r="N729" s="64"/>
      <c r="O729" s="64"/>
      <c r="P729" s="64"/>
      <c r="Q729" s="64"/>
      <c r="R729" s="64"/>
      <c r="S729" s="64"/>
      <c r="T729" s="64"/>
      <c r="U729" s="64"/>
      <c r="V729" s="64"/>
      <c r="W729" s="64"/>
      <c r="X729" s="64"/>
      <c r="Y729" s="64"/>
      <c r="BH729" s="64"/>
      <c r="BI729" s="64"/>
      <c r="BJ729" s="64"/>
      <c r="BK729" s="64"/>
      <c r="BL729" s="64"/>
      <c r="BM729" s="64"/>
      <c r="BN729" s="64"/>
      <c r="BO729" s="64"/>
      <c r="BP729" s="64"/>
      <c r="BQ729" s="64"/>
      <c r="BR729" s="64"/>
    </row>
    <row r="730" ht="18.75" customHeight="1">
      <c r="G730" s="122"/>
      <c r="H730" s="64"/>
      <c r="L730" s="64"/>
      <c r="M730" s="64"/>
      <c r="N730" s="64"/>
      <c r="O730" s="64"/>
      <c r="P730" s="64"/>
      <c r="Q730" s="64"/>
      <c r="R730" s="64"/>
      <c r="S730" s="64"/>
      <c r="T730" s="64"/>
      <c r="U730" s="64"/>
      <c r="V730" s="64"/>
      <c r="W730" s="64"/>
      <c r="X730" s="64"/>
      <c r="Y730" s="64"/>
      <c r="BH730" s="64"/>
      <c r="BI730" s="64"/>
      <c r="BJ730" s="64"/>
      <c r="BK730" s="64"/>
      <c r="BL730" s="64"/>
      <c r="BM730" s="64"/>
      <c r="BN730" s="64"/>
      <c r="BO730" s="64"/>
      <c r="BP730" s="64"/>
      <c r="BQ730" s="64"/>
      <c r="BR730" s="64"/>
    </row>
    <row r="731" ht="18.75" customHeight="1">
      <c r="G731" s="122"/>
      <c r="H731" s="64"/>
      <c r="L731" s="64"/>
      <c r="M731" s="64"/>
      <c r="N731" s="64"/>
      <c r="O731" s="64"/>
      <c r="P731" s="64"/>
      <c r="Q731" s="64"/>
      <c r="R731" s="64"/>
      <c r="S731" s="64"/>
      <c r="T731" s="64"/>
      <c r="U731" s="64"/>
      <c r="V731" s="64"/>
      <c r="W731" s="64"/>
      <c r="X731" s="64"/>
      <c r="Y731" s="64"/>
      <c r="BH731" s="64"/>
      <c r="BI731" s="64"/>
      <c r="BJ731" s="64"/>
      <c r="BK731" s="64"/>
      <c r="BL731" s="64"/>
      <c r="BM731" s="64"/>
      <c r="BN731" s="64"/>
      <c r="BO731" s="64"/>
      <c r="BP731" s="64"/>
      <c r="BQ731" s="64"/>
      <c r="BR731" s="64"/>
    </row>
    <row r="732" ht="18.75" customHeight="1">
      <c r="G732" s="122"/>
      <c r="H732" s="64"/>
      <c r="L732" s="64"/>
      <c r="M732" s="64"/>
      <c r="N732" s="64"/>
      <c r="O732" s="64"/>
      <c r="P732" s="64"/>
      <c r="Q732" s="64"/>
      <c r="R732" s="64"/>
      <c r="S732" s="64"/>
      <c r="T732" s="64"/>
      <c r="U732" s="64"/>
      <c r="V732" s="64"/>
      <c r="W732" s="64"/>
      <c r="X732" s="64"/>
      <c r="Y732" s="64"/>
      <c r="BH732" s="64"/>
      <c r="BI732" s="64"/>
      <c r="BJ732" s="64"/>
      <c r="BK732" s="64"/>
      <c r="BL732" s="64"/>
      <c r="BM732" s="64"/>
      <c r="BN732" s="64"/>
      <c r="BO732" s="64"/>
      <c r="BP732" s="64"/>
      <c r="BQ732" s="64"/>
      <c r="BR732" s="64"/>
    </row>
    <row r="733" ht="18.75" customHeight="1">
      <c r="G733" s="122"/>
      <c r="H733" s="64"/>
      <c r="L733" s="64"/>
      <c r="M733" s="64"/>
      <c r="N733" s="64"/>
      <c r="O733" s="64"/>
      <c r="P733" s="64"/>
      <c r="Q733" s="64"/>
      <c r="R733" s="64"/>
      <c r="S733" s="64"/>
      <c r="T733" s="64"/>
      <c r="U733" s="64"/>
      <c r="V733" s="64"/>
      <c r="W733" s="64"/>
      <c r="X733" s="64"/>
      <c r="Y733" s="64"/>
      <c r="BH733" s="64"/>
      <c r="BI733" s="64"/>
      <c r="BJ733" s="64"/>
      <c r="BK733" s="64"/>
      <c r="BL733" s="64"/>
      <c r="BM733" s="64"/>
      <c r="BN733" s="64"/>
      <c r="BO733" s="64"/>
      <c r="BP733" s="64"/>
      <c r="BQ733" s="64"/>
      <c r="BR733" s="64"/>
    </row>
    <row r="734" ht="18.75" customHeight="1">
      <c r="G734" s="122"/>
      <c r="H734" s="64"/>
      <c r="L734" s="64"/>
      <c r="M734" s="64"/>
      <c r="N734" s="64"/>
      <c r="O734" s="64"/>
      <c r="P734" s="64"/>
      <c r="Q734" s="64"/>
      <c r="R734" s="64"/>
      <c r="S734" s="64"/>
      <c r="T734" s="64"/>
      <c r="U734" s="64"/>
      <c r="V734" s="64"/>
      <c r="W734" s="64"/>
      <c r="X734" s="64"/>
      <c r="Y734" s="64"/>
      <c r="BH734" s="64"/>
      <c r="BI734" s="64"/>
      <c r="BJ734" s="64"/>
      <c r="BK734" s="64"/>
      <c r="BL734" s="64"/>
      <c r="BM734" s="64"/>
      <c r="BN734" s="64"/>
      <c r="BO734" s="64"/>
      <c r="BP734" s="64"/>
      <c r="BQ734" s="64"/>
      <c r="BR734" s="64"/>
    </row>
    <row r="735" ht="18.75" customHeight="1">
      <c r="G735" s="122"/>
      <c r="H735" s="64"/>
      <c r="L735" s="64"/>
      <c r="M735" s="64"/>
      <c r="N735" s="64"/>
      <c r="O735" s="64"/>
      <c r="P735" s="64"/>
      <c r="Q735" s="64"/>
      <c r="R735" s="64"/>
      <c r="S735" s="64"/>
      <c r="T735" s="64"/>
      <c r="U735" s="64"/>
      <c r="V735" s="64"/>
      <c r="W735" s="64"/>
      <c r="X735" s="64"/>
      <c r="Y735" s="64"/>
      <c r="BH735" s="64"/>
      <c r="BI735" s="64"/>
      <c r="BJ735" s="64"/>
      <c r="BK735" s="64"/>
      <c r="BL735" s="64"/>
      <c r="BM735" s="64"/>
      <c r="BN735" s="64"/>
      <c r="BO735" s="64"/>
      <c r="BP735" s="64"/>
      <c r="BQ735" s="64"/>
      <c r="BR735" s="64"/>
    </row>
    <row r="736" ht="18.75" customHeight="1">
      <c r="G736" s="122"/>
      <c r="H736" s="64"/>
      <c r="L736" s="64"/>
      <c r="M736" s="64"/>
      <c r="N736" s="64"/>
      <c r="O736" s="64"/>
      <c r="P736" s="64"/>
      <c r="Q736" s="64"/>
      <c r="R736" s="64"/>
      <c r="S736" s="64"/>
      <c r="T736" s="64"/>
      <c r="U736" s="64"/>
      <c r="V736" s="64"/>
      <c r="W736" s="64"/>
      <c r="X736" s="64"/>
      <c r="Y736" s="64"/>
      <c r="BH736" s="64"/>
      <c r="BI736" s="64"/>
      <c r="BJ736" s="64"/>
      <c r="BK736" s="64"/>
      <c r="BL736" s="64"/>
      <c r="BM736" s="64"/>
      <c r="BN736" s="64"/>
      <c r="BO736" s="64"/>
      <c r="BP736" s="64"/>
      <c r="BQ736" s="64"/>
      <c r="BR736" s="64"/>
    </row>
    <row r="737" ht="18.75" customHeight="1">
      <c r="G737" s="122"/>
      <c r="H737" s="64"/>
      <c r="L737" s="64"/>
      <c r="M737" s="64"/>
      <c r="N737" s="64"/>
      <c r="O737" s="64"/>
      <c r="P737" s="64"/>
      <c r="Q737" s="64"/>
      <c r="R737" s="64"/>
      <c r="S737" s="64"/>
      <c r="T737" s="64"/>
      <c r="U737" s="64"/>
      <c r="V737" s="64"/>
      <c r="W737" s="64"/>
      <c r="X737" s="64"/>
      <c r="Y737" s="64"/>
      <c r="BH737" s="64"/>
      <c r="BI737" s="64"/>
      <c r="BJ737" s="64"/>
      <c r="BK737" s="64"/>
      <c r="BL737" s="64"/>
      <c r="BM737" s="64"/>
      <c r="BN737" s="64"/>
      <c r="BO737" s="64"/>
      <c r="BP737" s="64"/>
      <c r="BQ737" s="64"/>
      <c r="BR737" s="64"/>
    </row>
    <row r="738" ht="18.75" customHeight="1">
      <c r="G738" s="122"/>
      <c r="H738" s="64"/>
      <c r="L738" s="64"/>
      <c r="M738" s="64"/>
      <c r="N738" s="64"/>
      <c r="O738" s="64"/>
      <c r="P738" s="64"/>
      <c r="Q738" s="64"/>
      <c r="R738" s="64"/>
      <c r="S738" s="64"/>
      <c r="T738" s="64"/>
      <c r="U738" s="64"/>
      <c r="V738" s="64"/>
      <c r="W738" s="64"/>
      <c r="X738" s="64"/>
      <c r="Y738" s="64"/>
      <c r="BH738" s="64"/>
      <c r="BI738" s="64"/>
      <c r="BJ738" s="64"/>
      <c r="BK738" s="64"/>
      <c r="BL738" s="64"/>
      <c r="BM738" s="64"/>
      <c r="BN738" s="64"/>
      <c r="BO738" s="64"/>
      <c r="BP738" s="64"/>
      <c r="BQ738" s="64"/>
      <c r="BR738" s="64"/>
    </row>
    <row r="739" ht="18.75" customHeight="1">
      <c r="G739" s="122"/>
      <c r="H739" s="64"/>
      <c r="L739" s="64"/>
      <c r="M739" s="64"/>
      <c r="N739" s="64"/>
      <c r="O739" s="64"/>
      <c r="P739" s="64"/>
      <c r="Q739" s="64"/>
      <c r="R739" s="64"/>
      <c r="S739" s="64"/>
      <c r="T739" s="64"/>
      <c r="U739" s="64"/>
      <c r="V739" s="64"/>
      <c r="W739" s="64"/>
      <c r="X739" s="64"/>
      <c r="Y739" s="64"/>
      <c r="BH739" s="64"/>
      <c r="BI739" s="64"/>
      <c r="BJ739" s="64"/>
      <c r="BK739" s="64"/>
      <c r="BL739" s="64"/>
      <c r="BM739" s="64"/>
      <c r="BN739" s="64"/>
      <c r="BO739" s="64"/>
      <c r="BP739" s="64"/>
      <c r="BQ739" s="64"/>
      <c r="BR739" s="64"/>
    </row>
    <row r="740" ht="18.75" customHeight="1">
      <c r="G740" s="122"/>
      <c r="H740" s="64"/>
      <c r="L740" s="64"/>
      <c r="M740" s="64"/>
      <c r="N740" s="64"/>
      <c r="O740" s="64"/>
      <c r="P740" s="64"/>
      <c r="Q740" s="64"/>
      <c r="R740" s="64"/>
      <c r="S740" s="64"/>
      <c r="T740" s="64"/>
      <c r="U740" s="64"/>
      <c r="V740" s="64"/>
      <c r="W740" s="64"/>
      <c r="X740" s="64"/>
      <c r="Y740" s="64"/>
      <c r="BH740" s="64"/>
      <c r="BI740" s="64"/>
      <c r="BJ740" s="64"/>
      <c r="BK740" s="64"/>
      <c r="BL740" s="64"/>
      <c r="BM740" s="64"/>
      <c r="BN740" s="64"/>
      <c r="BO740" s="64"/>
      <c r="BP740" s="64"/>
      <c r="BQ740" s="64"/>
      <c r="BR740" s="64"/>
    </row>
    <row r="741" ht="18.75" customHeight="1">
      <c r="G741" s="122"/>
      <c r="H741" s="64"/>
      <c r="L741" s="64"/>
      <c r="M741" s="64"/>
      <c r="N741" s="64"/>
      <c r="O741" s="64"/>
      <c r="P741" s="64"/>
      <c r="Q741" s="64"/>
      <c r="R741" s="64"/>
      <c r="S741" s="64"/>
      <c r="T741" s="64"/>
      <c r="U741" s="64"/>
      <c r="V741" s="64"/>
      <c r="W741" s="64"/>
      <c r="X741" s="64"/>
      <c r="Y741" s="64"/>
      <c r="BH741" s="64"/>
      <c r="BI741" s="64"/>
      <c r="BJ741" s="64"/>
      <c r="BK741" s="64"/>
      <c r="BL741" s="64"/>
      <c r="BM741" s="64"/>
      <c r="BN741" s="64"/>
      <c r="BO741" s="64"/>
      <c r="BP741" s="64"/>
      <c r="BQ741" s="64"/>
      <c r="BR741" s="64"/>
    </row>
    <row r="742" ht="18.75" customHeight="1">
      <c r="G742" s="122"/>
      <c r="H742" s="64"/>
      <c r="L742" s="64"/>
      <c r="M742" s="64"/>
      <c r="N742" s="64"/>
      <c r="O742" s="64"/>
      <c r="P742" s="64"/>
      <c r="Q742" s="64"/>
      <c r="R742" s="64"/>
      <c r="S742" s="64"/>
      <c r="T742" s="64"/>
      <c r="U742" s="64"/>
      <c r="V742" s="64"/>
      <c r="W742" s="64"/>
      <c r="X742" s="64"/>
      <c r="Y742" s="64"/>
      <c r="BH742" s="64"/>
      <c r="BI742" s="64"/>
      <c r="BJ742" s="64"/>
      <c r="BK742" s="64"/>
      <c r="BL742" s="64"/>
      <c r="BM742" s="64"/>
      <c r="BN742" s="64"/>
      <c r="BO742" s="64"/>
      <c r="BP742" s="64"/>
      <c r="BQ742" s="64"/>
      <c r="BR742" s="64"/>
    </row>
    <row r="743" ht="18.75" customHeight="1">
      <c r="G743" s="122"/>
      <c r="H743" s="64"/>
      <c r="L743" s="64"/>
      <c r="M743" s="64"/>
      <c r="N743" s="64"/>
      <c r="O743" s="64"/>
      <c r="P743" s="64"/>
      <c r="Q743" s="64"/>
      <c r="R743" s="64"/>
      <c r="S743" s="64"/>
      <c r="T743" s="64"/>
      <c r="U743" s="64"/>
      <c r="V743" s="64"/>
      <c r="W743" s="64"/>
      <c r="X743" s="64"/>
      <c r="Y743" s="64"/>
      <c r="BH743" s="64"/>
      <c r="BI743" s="64"/>
      <c r="BJ743" s="64"/>
      <c r="BK743" s="64"/>
      <c r="BL743" s="64"/>
      <c r="BM743" s="64"/>
      <c r="BN743" s="64"/>
      <c r="BO743" s="64"/>
      <c r="BP743" s="64"/>
      <c r="BQ743" s="64"/>
      <c r="BR743" s="64"/>
    </row>
    <row r="744" ht="18.75" customHeight="1">
      <c r="G744" s="122"/>
      <c r="H744" s="64"/>
      <c r="L744" s="64"/>
      <c r="M744" s="64"/>
      <c r="N744" s="64"/>
      <c r="O744" s="64"/>
      <c r="P744" s="64"/>
      <c r="Q744" s="64"/>
      <c r="R744" s="64"/>
      <c r="S744" s="64"/>
      <c r="T744" s="64"/>
      <c r="U744" s="64"/>
      <c r="V744" s="64"/>
      <c r="W744" s="64"/>
      <c r="X744" s="64"/>
      <c r="Y744" s="64"/>
      <c r="BH744" s="64"/>
      <c r="BI744" s="64"/>
      <c r="BJ744" s="64"/>
      <c r="BK744" s="64"/>
      <c r="BL744" s="64"/>
      <c r="BM744" s="64"/>
      <c r="BN744" s="64"/>
      <c r="BO744" s="64"/>
      <c r="BP744" s="64"/>
      <c r="BQ744" s="64"/>
      <c r="BR744" s="64"/>
    </row>
    <row r="745" ht="18.75" customHeight="1">
      <c r="G745" s="122"/>
      <c r="H745" s="64"/>
      <c r="L745" s="64"/>
      <c r="M745" s="64"/>
      <c r="N745" s="64"/>
      <c r="O745" s="64"/>
      <c r="P745" s="64"/>
      <c r="Q745" s="64"/>
      <c r="R745" s="64"/>
      <c r="S745" s="64"/>
      <c r="T745" s="64"/>
      <c r="U745" s="64"/>
      <c r="V745" s="64"/>
      <c r="W745" s="64"/>
      <c r="X745" s="64"/>
      <c r="Y745" s="64"/>
      <c r="BH745" s="64"/>
      <c r="BI745" s="64"/>
      <c r="BJ745" s="64"/>
      <c r="BK745" s="64"/>
      <c r="BL745" s="64"/>
      <c r="BM745" s="64"/>
      <c r="BN745" s="64"/>
      <c r="BO745" s="64"/>
      <c r="BP745" s="64"/>
      <c r="BQ745" s="64"/>
      <c r="BR745" s="64"/>
    </row>
    <row r="746" ht="18.75" customHeight="1">
      <c r="G746" s="122"/>
      <c r="H746" s="64"/>
      <c r="L746" s="64"/>
      <c r="M746" s="64"/>
      <c r="N746" s="64"/>
      <c r="O746" s="64"/>
      <c r="P746" s="64"/>
      <c r="Q746" s="64"/>
      <c r="R746" s="64"/>
      <c r="S746" s="64"/>
      <c r="T746" s="64"/>
      <c r="U746" s="64"/>
      <c r="V746" s="64"/>
      <c r="W746" s="64"/>
      <c r="X746" s="64"/>
      <c r="Y746" s="64"/>
      <c r="BH746" s="64"/>
      <c r="BI746" s="64"/>
      <c r="BJ746" s="64"/>
      <c r="BK746" s="64"/>
      <c r="BL746" s="64"/>
      <c r="BM746" s="64"/>
      <c r="BN746" s="64"/>
      <c r="BO746" s="64"/>
      <c r="BP746" s="64"/>
      <c r="BQ746" s="64"/>
      <c r="BR746" s="64"/>
    </row>
    <row r="747" ht="18.75" customHeight="1">
      <c r="G747" s="122"/>
      <c r="H747" s="64"/>
      <c r="L747" s="64"/>
      <c r="M747" s="64"/>
      <c r="N747" s="64"/>
      <c r="O747" s="64"/>
      <c r="P747" s="64"/>
      <c r="Q747" s="64"/>
      <c r="R747" s="64"/>
      <c r="S747" s="64"/>
      <c r="T747" s="64"/>
      <c r="U747" s="64"/>
      <c r="V747" s="64"/>
      <c r="W747" s="64"/>
      <c r="X747" s="64"/>
      <c r="Y747" s="64"/>
      <c r="BH747" s="64"/>
      <c r="BI747" s="64"/>
      <c r="BJ747" s="64"/>
      <c r="BK747" s="64"/>
      <c r="BL747" s="64"/>
      <c r="BM747" s="64"/>
      <c r="BN747" s="64"/>
      <c r="BO747" s="64"/>
      <c r="BP747" s="64"/>
      <c r="BQ747" s="64"/>
      <c r="BR747" s="64"/>
    </row>
    <row r="748" ht="18.75" customHeight="1">
      <c r="G748" s="122"/>
      <c r="H748" s="64"/>
      <c r="L748" s="64"/>
      <c r="M748" s="64"/>
      <c r="N748" s="64"/>
      <c r="O748" s="64"/>
      <c r="P748" s="64"/>
      <c r="Q748" s="64"/>
      <c r="R748" s="64"/>
      <c r="S748" s="64"/>
      <c r="T748" s="64"/>
      <c r="U748" s="64"/>
      <c r="V748" s="64"/>
      <c r="W748" s="64"/>
      <c r="X748" s="64"/>
      <c r="Y748" s="64"/>
      <c r="BH748" s="64"/>
      <c r="BI748" s="64"/>
      <c r="BJ748" s="64"/>
      <c r="BK748" s="64"/>
      <c r="BL748" s="64"/>
      <c r="BM748" s="64"/>
      <c r="BN748" s="64"/>
      <c r="BO748" s="64"/>
      <c r="BP748" s="64"/>
      <c r="BQ748" s="64"/>
      <c r="BR748" s="64"/>
    </row>
    <row r="749" ht="18.75" customHeight="1">
      <c r="G749" s="122"/>
      <c r="H749" s="64"/>
      <c r="L749" s="64"/>
      <c r="M749" s="64"/>
      <c r="N749" s="64"/>
      <c r="O749" s="64"/>
      <c r="P749" s="64"/>
      <c r="Q749" s="64"/>
      <c r="R749" s="64"/>
      <c r="S749" s="64"/>
      <c r="T749" s="64"/>
      <c r="U749" s="64"/>
      <c r="V749" s="64"/>
      <c r="W749" s="64"/>
      <c r="X749" s="64"/>
      <c r="Y749" s="64"/>
      <c r="BH749" s="64"/>
      <c r="BI749" s="64"/>
      <c r="BJ749" s="64"/>
      <c r="BK749" s="64"/>
      <c r="BL749" s="64"/>
      <c r="BM749" s="64"/>
      <c r="BN749" s="64"/>
      <c r="BO749" s="64"/>
      <c r="BP749" s="64"/>
      <c r="BQ749" s="64"/>
      <c r="BR749" s="64"/>
    </row>
    <row r="750" ht="18.75" customHeight="1">
      <c r="G750" s="122"/>
      <c r="H750" s="64"/>
      <c r="L750" s="64"/>
      <c r="M750" s="64"/>
      <c r="N750" s="64"/>
      <c r="O750" s="64"/>
      <c r="P750" s="64"/>
      <c r="Q750" s="64"/>
      <c r="R750" s="64"/>
      <c r="S750" s="64"/>
      <c r="T750" s="64"/>
      <c r="U750" s="64"/>
      <c r="V750" s="64"/>
      <c r="W750" s="64"/>
      <c r="X750" s="64"/>
      <c r="Y750" s="64"/>
      <c r="BH750" s="64"/>
      <c r="BI750" s="64"/>
      <c r="BJ750" s="64"/>
      <c r="BK750" s="64"/>
      <c r="BL750" s="64"/>
      <c r="BM750" s="64"/>
      <c r="BN750" s="64"/>
      <c r="BO750" s="64"/>
      <c r="BP750" s="64"/>
      <c r="BQ750" s="64"/>
      <c r="BR750" s="64"/>
    </row>
    <row r="751" ht="18.75" customHeight="1">
      <c r="G751" s="122"/>
      <c r="H751" s="64"/>
      <c r="L751" s="64"/>
      <c r="M751" s="64"/>
      <c r="N751" s="64"/>
      <c r="O751" s="64"/>
      <c r="P751" s="64"/>
      <c r="Q751" s="64"/>
      <c r="R751" s="64"/>
      <c r="S751" s="64"/>
      <c r="T751" s="64"/>
      <c r="U751" s="64"/>
      <c r="V751" s="64"/>
      <c r="W751" s="64"/>
      <c r="X751" s="64"/>
      <c r="Y751" s="64"/>
      <c r="BH751" s="64"/>
      <c r="BI751" s="64"/>
      <c r="BJ751" s="64"/>
      <c r="BK751" s="64"/>
      <c r="BL751" s="64"/>
      <c r="BM751" s="64"/>
      <c r="BN751" s="64"/>
      <c r="BO751" s="64"/>
      <c r="BP751" s="64"/>
      <c r="BQ751" s="64"/>
      <c r="BR751" s="64"/>
    </row>
    <row r="752" ht="18.75" customHeight="1">
      <c r="G752" s="122"/>
      <c r="H752" s="64"/>
      <c r="L752" s="64"/>
      <c r="M752" s="64"/>
      <c r="N752" s="64"/>
      <c r="O752" s="64"/>
      <c r="P752" s="64"/>
      <c r="Q752" s="64"/>
      <c r="R752" s="64"/>
      <c r="S752" s="64"/>
      <c r="T752" s="64"/>
      <c r="U752" s="64"/>
      <c r="V752" s="64"/>
      <c r="W752" s="64"/>
      <c r="X752" s="64"/>
      <c r="Y752" s="64"/>
      <c r="BH752" s="64"/>
      <c r="BI752" s="64"/>
      <c r="BJ752" s="64"/>
      <c r="BK752" s="64"/>
      <c r="BL752" s="64"/>
      <c r="BM752" s="64"/>
      <c r="BN752" s="64"/>
      <c r="BO752" s="64"/>
      <c r="BP752" s="64"/>
      <c r="BQ752" s="64"/>
      <c r="BR752" s="64"/>
    </row>
    <row r="753" ht="18.75" customHeight="1">
      <c r="G753" s="122"/>
      <c r="H753" s="64"/>
      <c r="L753" s="64"/>
      <c r="M753" s="64"/>
      <c r="N753" s="64"/>
      <c r="O753" s="64"/>
      <c r="P753" s="64"/>
      <c r="Q753" s="64"/>
      <c r="R753" s="64"/>
      <c r="S753" s="64"/>
      <c r="T753" s="64"/>
      <c r="U753" s="64"/>
      <c r="V753" s="64"/>
      <c r="W753" s="64"/>
      <c r="X753" s="64"/>
      <c r="Y753" s="64"/>
      <c r="BH753" s="64"/>
      <c r="BI753" s="64"/>
      <c r="BJ753" s="64"/>
      <c r="BK753" s="64"/>
      <c r="BL753" s="64"/>
      <c r="BM753" s="64"/>
      <c r="BN753" s="64"/>
      <c r="BO753" s="64"/>
      <c r="BP753" s="64"/>
      <c r="BQ753" s="64"/>
      <c r="BR753" s="64"/>
    </row>
    <row r="754" ht="18.75" customHeight="1">
      <c r="G754" s="122"/>
      <c r="H754" s="64"/>
      <c r="L754" s="64"/>
      <c r="M754" s="64"/>
      <c r="N754" s="64"/>
      <c r="O754" s="64"/>
      <c r="P754" s="64"/>
      <c r="Q754" s="64"/>
      <c r="R754" s="64"/>
      <c r="S754" s="64"/>
      <c r="T754" s="64"/>
      <c r="U754" s="64"/>
      <c r="V754" s="64"/>
      <c r="W754" s="64"/>
      <c r="X754" s="64"/>
      <c r="Y754" s="64"/>
      <c r="BH754" s="64"/>
      <c r="BI754" s="64"/>
      <c r="BJ754" s="64"/>
      <c r="BK754" s="64"/>
      <c r="BL754" s="64"/>
      <c r="BM754" s="64"/>
      <c r="BN754" s="64"/>
      <c r="BO754" s="64"/>
      <c r="BP754" s="64"/>
      <c r="BQ754" s="64"/>
      <c r="BR754" s="64"/>
    </row>
    <row r="755" ht="18.75" customHeight="1">
      <c r="G755" s="122"/>
      <c r="H755" s="64"/>
      <c r="L755" s="64"/>
      <c r="M755" s="64"/>
      <c r="N755" s="64"/>
      <c r="O755" s="64"/>
      <c r="P755" s="64"/>
      <c r="Q755" s="64"/>
      <c r="R755" s="64"/>
      <c r="S755" s="64"/>
      <c r="T755" s="64"/>
      <c r="U755" s="64"/>
      <c r="V755" s="64"/>
      <c r="W755" s="64"/>
      <c r="X755" s="64"/>
      <c r="Y755" s="64"/>
      <c r="BH755" s="64"/>
      <c r="BI755" s="64"/>
      <c r="BJ755" s="64"/>
      <c r="BK755" s="64"/>
      <c r="BL755" s="64"/>
      <c r="BM755" s="64"/>
      <c r="BN755" s="64"/>
      <c r="BO755" s="64"/>
      <c r="BP755" s="64"/>
      <c r="BQ755" s="64"/>
      <c r="BR755" s="64"/>
    </row>
    <row r="756" ht="18.75" customHeight="1">
      <c r="G756" s="122"/>
      <c r="H756" s="64"/>
      <c r="L756" s="64"/>
      <c r="M756" s="64"/>
      <c r="N756" s="64"/>
      <c r="O756" s="64"/>
      <c r="P756" s="64"/>
      <c r="Q756" s="64"/>
      <c r="R756" s="64"/>
      <c r="S756" s="64"/>
      <c r="T756" s="64"/>
      <c r="U756" s="64"/>
      <c r="V756" s="64"/>
      <c r="W756" s="64"/>
      <c r="X756" s="64"/>
      <c r="Y756" s="64"/>
      <c r="BH756" s="64"/>
      <c r="BI756" s="64"/>
      <c r="BJ756" s="64"/>
      <c r="BK756" s="64"/>
      <c r="BL756" s="64"/>
      <c r="BM756" s="64"/>
      <c r="BN756" s="64"/>
      <c r="BO756" s="64"/>
      <c r="BP756" s="64"/>
      <c r="BQ756" s="64"/>
      <c r="BR756" s="64"/>
    </row>
    <row r="757" ht="18.75" customHeight="1">
      <c r="G757" s="122"/>
      <c r="H757" s="64"/>
      <c r="L757" s="64"/>
      <c r="M757" s="64"/>
      <c r="N757" s="64"/>
      <c r="O757" s="64"/>
      <c r="P757" s="64"/>
      <c r="Q757" s="64"/>
      <c r="R757" s="64"/>
      <c r="S757" s="64"/>
      <c r="T757" s="64"/>
      <c r="U757" s="64"/>
      <c r="V757" s="64"/>
      <c r="W757" s="64"/>
      <c r="X757" s="64"/>
      <c r="Y757" s="64"/>
      <c r="BH757" s="64"/>
      <c r="BI757" s="64"/>
      <c r="BJ757" s="64"/>
      <c r="BK757" s="64"/>
      <c r="BL757" s="64"/>
      <c r="BM757" s="64"/>
      <c r="BN757" s="64"/>
      <c r="BO757" s="64"/>
      <c r="BP757" s="64"/>
      <c r="BQ757" s="64"/>
      <c r="BR757" s="64"/>
    </row>
    <row r="758" ht="18.75" customHeight="1">
      <c r="G758" s="122"/>
      <c r="H758" s="64"/>
      <c r="L758" s="64"/>
      <c r="M758" s="64"/>
      <c r="N758" s="64"/>
      <c r="O758" s="64"/>
      <c r="P758" s="64"/>
      <c r="Q758" s="64"/>
      <c r="R758" s="64"/>
      <c r="S758" s="64"/>
      <c r="T758" s="64"/>
      <c r="U758" s="64"/>
      <c r="V758" s="64"/>
      <c r="W758" s="64"/>
      <c r="X758" s="64"/>
      <c r="Y758" s="64"/>
      <c r="BH758" s="64"/>
      <c r="BI758" s="64"/>
      <c r="BJ758" s="64"/>
      <c r="BK758" s="64"/>
      <c r="BL758" s="64"/>
      <c r="BM758" s="64"/>
      <c r="BN758" s="64"/>
      <c r="BO758" s="64"/>
      <c r="BP758" s="64"/>
      <c r="BQ758" s="64"/>
      <c r="BR758" s="64"/>
    </row>
    <row r="759" ht="18.75" customHeight="1">
      <c r="G759" s="122"/>
      <c r="H759" s="64"/>
      <c r="L759" s="64"/>
      <c r="M759" s="64"/>
      <c r="N759" s="64"/>
      <c r="O759" s="64"/>
      <c r="P759" s="64"/>
      <c r="Q759" s="64"/>
      <c r="R759" s="64"/>
      <c r="S759" s="64"/>
      <c r="T759" s="64"/>
      <c r="U759" s="64"/>
      <c r="V759" s="64"/>
      <c r="W759" s="64"/>
      <c r="X759" s="64"/>
      <c r="Y759" s="64"/>
      <c r="BH759" s="64"/>
      <c r="BI759" s="64"/>
      <c r="BJ759" s="64"/>
      <c r="BK759" s="64"/>
      <c r="BL759" s="64"/>
      <c r="BM759" s="64"/>
      <c r="BN759" s="64"/>
      <c r="BO759" s="64"/>
      <c r="BP759" s="64"/>
      <c r="BQ759" s="64"/>
      <c r="BR759" s="64"/>
    </row>
    <row r="760" ht="18.75" customHeight="1">
      <c r="G760" s="122"/>
      <c r="H760" s="64"/>
      <c r="L760" s="64"/>
      <c r="M760" s="64"/>
      <c r="N760" s="64"/>
      <c r="O760" s="64"/>
      <c r="P760" s="64"/>
      <c r="Q760" s="64"/>
      <c r="R760" s="64"/>
      <c r="S760" s="64"/>
      <c r="T760" s="64"/>
      <c r="U760" s="64"/>
      <c r="V760" s="64"/>
      <c r="W760" s="64"/>
      <c r="X760" s="64"/>
      <c r="Y760" s="64"/>
      <c r="BH760" s="64"/>
      <c r="BI760" s="64"/>
      <c r="BJ760" s="64"/>
      <c r="BK760" s="64"/>
      <c r="BL760" s="64"/>
      <c r="BM760" s="64"/>
      <c r="BN760" s="64"/>
      <c r="BO760" s="64"/>
      <c r="BP760" s="64"/>
      <c r="BQ760" s="64"/>
      <c r="BR760" s="64"/>
    </row>
    <row r="761" ht="18.75" customHeight="1">
      <c r="G761" s="122"/>
      <c r="H761" s="64"/>
      <c r="L761" s="64"/>
      <c r="M761" s="64"/>
      <c r="N761" s="64"/>
      <c r="O761" s="64"/>
      <c r="P761" s="64"/>
      <c r="Q761" s="64"/>
      <c r="R761" s="64"/>
      <c r="S761" s="64"/>
      <c r="T761" s="64"/>
      <c r="U761" s="64"/>
      <c r="V761" s="64"/>
      <c r="W761" s="64"/>
      <c r="X761" s="64"/>
      <c r="Y761" s="64"/>
      <c r="BH761" s="64"/>
      <c r="BI761" s="64"/>
      <c r="BJ761" s="64"/>
      <c r="BK761" s="64"/>
      <c r="BL761" s="64"/>
      <c r="BM761" s="64"/>
      <c r="BN761" s="64"/>
      <c r="BO761" s="64"/>
      <c r="BP761" s="64"/>
      <c r="BQ761" s="64"/>
      <c r="BR761" s="64"/>
    </row>
    <row r="762" ht="18.75" customHeight="1">
      <c r="G762" s="122"/>
      <c r="H762" s="64"/>
      <c r="L762" s="64"/>
      <c r="M762" s="64"/>
      <c r="N762" s="64"/>
      <c r="O762" s="64"/>
      <c r="P762" s="64"/>
      <c r="Q762" s="64"/>
      <c r="R762" s="64"/>
      <c r="S762" s="64"/>
      <c r="T762" s="64"/>
      <c r="U762" s="64"/>
      <c r="V762" s="64"/>
      <c r="W762" s="64"/>
      <c r="X762" s="64"/>
      <c r="Y762" s="64"/>
      <c r="BH762" s="64"/>
      <c r="BI762" s="64"/>
      <c r="BJ762" s="64"/>
      <c r="BK762" s="64"/>
      <c r="BL762" s="64"/>
      <c r="BM762" s="64"/>
      <c r="BN762" s="64"/>
      <c r="BO762" s="64"/>
      <c r="BP762" s="64"/>
      <c r="BQ762" s="64"/>
      <c r="BR762" s="64"/>
    </row>
    <row r="763" ht="18.75" customHeight="1">
      <c r="G763" s="122"/>
      <c r="H763" s="64"/>
      <c r="L763" s="64"/>
      <c r="M763" s="64"/>
      <c r="N763" s="64"/>
      <c r="O763" s="64"/>
      <c r="P763" s="64"/>
      <c r="Q763" s="64"/>
      <c r="R763" s="64"/>
      <c r="S763" s="64"/>
      <c r="T763" s="64"/>
      <c r="U763" s="64"/>
      <c r="V763" s="64"/>
      <c r="W763" s="64"/>
      <c r="X763" s="64"/>
      <c r="Y763" s="64"/>
      <c r="BH763" s="64"/>
      <c r="BI763" s="64"/>
      <c r="BJ763" s="64"/>
      <c r="BK763" s="64"/>
      <c r="BL763" s="64"/>
      <c r="BM763" s="64"/>
      <c r="BN763" s="64"/>
      <c r="BO763" s="64"/>
      <c r="BP763" s="64"/>
      <c r="BQ763" s="64"/>
      <c r="BR763" s="64"/>
    </row>
    <row r="764" ht="18.75" customHeight="1">
      <c r="G764" s="122"/>
      <c r="H764" s="64"/>
      <c r="L764" s="64"/>
      <c r="M764" s="64"/>
      <c r="N764" s="64"/>
      <c r="O764" s="64"/>
      <c r="P764" s="64"/>
      <c r="Q764" s="64"/>
      <c r="R764" s="64"/>
      <c r="S764" s="64"/>
      <c r="T764" s="64"/>
      <c r="U764" s="64"/>
      <c r="V764" s="64"/>
      <c r="W764" s="64"/>
      <c r="X764" s="64"/>
      <c r="Y764" s="64"/>
      <c r="BH764" s="64"/>
      <c r="BI764" s="64"/>
      <c r="BJ764" s="64"/>
      <c r="BK764" s="64"/>
      <c r="BL764" s="64"/>
      <c r="BM764" s="64"/>
      <c r="BN764" s="64"/>
      <c r="BO764" s="64"/>
      <c r="BP764" s="64"/>
      <c r="BQ764" s="64"/>
      <c r="BR764" s="64"/>
    </row>
    <row r="765" ht="18.75" customHeight="1">
      <c r="G765" s="122"/>
      <c r="H765" s="64"/>
      <c r="L765" s="64"/>
      <c r="M765" s="64"/>
      <c r="N765" s="64"/>
      <c r="O765" s="64"/>
      <c r="P765" s="64"/>
      <c r="Q765" s="64"/>
      <c r="R765" s="64"/>
      <c r="S765" s="64"/>
      <c r="T765" s="64"/>
      <c r="U765" s="64"/>
      <c r="V765" s="64"/>
      <c r="W765" s="64"/>
      <c r="X765" s="64"/>
      <c r="Y765" s="64"/>
      <c r="BH765" s="64"/>
      <c r="BI765" s="64"/>
      <c r="BJ765" s="64"/>
      <c r="BK765" s="64"/>
      <c r="BL765" s="64"/>
      <c r="BM765" s="64"/>
      <c r="BN765" s="64"/>
      <c r="BO765" s="64"/>
      <c r="BP765" s="64"/>
      <c r="BQ765" s="64"/>
      <c r="BR765" s="64"/>
    </row>
    <row r="766" ht="18.75" customHeight="1">
      <c r="G766" s="122"/>
      <c r="H766" s="64"/>
      <c r="L766" s="64"/>
      <c r="M766" s="64"/>
      <c r="N766" s="64"/>
      <c r="O766" s="64"/>
      <c r="P766" s="64"/>
      <c r="Q766" s="64"/>
      <c r="R766" s="64"/>
      <c r="S766" s="64"/>
      <c r="T766" s="64"/>
      <c r="U766" s="64"/>
      <c r="V766" s="64"/>
      <c r="W766" s="64"/>
      <c r="X766" s="64"/>
      <c r="Y766" s="64"/>
      <c r="BH766" s="64"/>
      <c r="BI766" s="64"/>
      <c r="BJ766" s="64"/>
      <c r="BK766" s="64"/>
      <c r="BL766" s="64"/>
      <c r="BM766" s="64"/>
      <c r="BN766" s="64"/>
      <c r="BO766" s="64"/>
      <c r="BP766" s="64"/>
      <c r="BQ766" s="64"/>
      <c r="BR766" s="64"/>
    </row>
    <row r="767" ht="18.75" customHeight="1">
      <c r="G767" s="122"/>
      <c r="H767" s="64"/>
      <c r="L767" s="64"/>
      <c r="M767" s="64"/>
      <c r="N767" s="64"/>
      <c r="O767" s="64"/>
      <c r="P767" s="64"/>
      <c r="Q767" s="64"/>
      <c r="R767" s="64"/>
      <c r="S767" s="64"/>
      <c r="T767" s="64"/>
      <c r="U767" s="64"/>
      <c r="V767" s="64"/>
      <c r="W767" s="64"/>
      <c r="X767" s="64"/>
      <c r="Y767" s="64"/>
      <c r="BH767" s="64"/>
      <c r="BI767" s="64"/>
      <c r="BJ767" s="64"/>
      <c r="BK767" s="64"/>
      <c r="BL767" s="64"/>
      <c r="BM767" s="64"/>
      <c r="BN767" s="64"/>
      <c r="BO767" s="64"/>
      <c r="BP767" s="64"/>
      <c r="BQ767" s="64"/>
      <c r="BR767" s="64"/>
    </row>
    <row r="768" ht="18.75" customHeight="1">
      <c r="G768" s="122"/>
      <c r="H768" s="64"/>
      <c r="L768" s="64"/>
      <c r="M768" s="64"/>
      <c r="N768" s="64"/>
      <c r="O768" s="64"/>
      <c r="P768" s="64"/>
      <c r="Q768" s="64"/>
      <c r="R768" s="64"/>
      <c r="S768" s="64"/>
      <c r="T768" s="64"/>
      <c r="U768" s="64"/>
      <c r="V768" s="64"/>
      <c r="W768" s="64"/>
      <c r="X768" s="64"/>
      <c r="Y768" s="64"/>
      <c r="BH768" s="64"/>
      <c r="BI768" s="64"/>
      <c r="BJ768" s="64"/>
      <c r="BK768" s="64"/>
      <c r="BL768" s="64"/>
      <c r="BM768" s="64"/>
      <c r="BN768" s="64"/>
      <c r="BO768" s="64"/>
      <c r="BP768" s="64"/>
      <c r="BQ768" s="64"/>
      <c r="BR768" s="64"/>
    </row>
    <row r="769" ht="18.75" customHeight="1">
      <c r="G769" s="122"/>
      <c r="H769" s="64"/>
      <c r="L769" s="64"/>
      <c r="M769" s="64"/>
      <c r="N769" s="64"/>
      <c r="O769" s="64"/>
      <c r="P769" s="64"/>
      <c r="Q769" s="64"/>
      <c r="R769" s="64"/>
      <c r="S769" s="64"/>
      <c r="T769" s="64"/>
      <c r="U769" s="64"/>
      <c r="V769" s="64"/>
      <c r="W769" s="64"/>
      <c r="X769" s="64"/>
      <c r="Y769" s="64"/>
      <c r="BH769" s="64"/>
      <c r="BI769" s="64"/>
      <c r="BJ769" s="64"/>
      <c r="BK769" s="64"/>
      <c r="BL769" s="64"/>
      <c r="BM769" s="64"/>
      <c r="BN769" s="64"/>
      <c r="BO769" s="64"/>
      <c r="BP769" s="64"/>
      <c r="BQ769" s="64"/>
      <c r="BR769" s="64"/>
    </row>
    <row r="770" ht="18.75" customHeight="1">
      <c r="G770" s="122"/>
      <c r="H770" s="64"/>
      <c r="L770" s="64"/>
      <c r="M770" s="64"/>
      <c r="N770" s="64"/>
      <c r="O770" s="64"/>
      <c r="P770" s="64"/>
      <c r="Q770" s="64"/>
      <c r="R770" s="64"/>
      <c r="S770" s="64"/>
      <c r="T770" s="64"/>
      <c r="U770" s="64"/>
      <c r="V770" s="64"/>
      <c r="W770" s="64"/>
      <c r="X770" s="64"/>
      <c r="Y770" s="64"/>
      <c r="BH770" s="64"/>
      <c r="BI770" s="64"/>
      <c r="BJ770" s="64"/>
      <c r="BK770" s="64"/>
      <c r="BL770" s="64"/>
      <c r="BM770" s="64"/>
      <c r="BN770" s="64"/>
      <c r="BO770" s="64"/>
      <c r="BP770" s="64"/>
      <c r="BQ770" s="64"/>
      <c r="BR770" s="64"/>
    </row>
    <row r="771" ht="18.75" customHeight="1">
      <c r="G771" s="122"/>
      <c r="H771" s="64"/>
      <c r="L771" s="64"/>
      <c r="M771" s="64"/>
      <c r="N771" s="64"/>
      <c r="O771" s="64"/>
      <c r="P771" s="64"/>
      <c r="Q771" s="64"/>
      <c r="R771" s="64"/>
      <c r="S771" s="64"/>
      <c r="T771" s="64"/>
      <c r="U771" s="64"/>
      <c r="V771" s="64"/>
      <c r="W771" s="64"/>
      <c r="X771" s="64"/>
      <c r="Y771" s="64"/>
      <c r="BH771" s="64"/>
      <c r="BI771" s="64"/>
      <c r="BJ771" s="64"/>
      <c r="BK771" s="64"/>
      <c r="BL771" s="64"/>
      <c r="BM771" s="64"/>
      <c r="BN771" s="64"/>
      <c r="BO771" s="64"/>
      <c r="BP771" s="64"/>
      <c r="BQ771" s="64"/>
      <c r="BR771" s="64"/>
    </row>
    <row r="772" ht="18.75" customHeight="1">
      <c r="G772" s="122"/>
      <c r="H772" s="64"/>
      <c r="L772" s="64"/>
      <c r="M772" s="64"/>
      <c r="N772" s="64"/>
      <c r="O772" s="64"/>
      <c r="P772" s="64"/>
      <c r="Q772" s="64"/>
      <c r="R772" s="64"/>
      <c r="S772" s="64"/>
      <c r="T772" s="64"/>
      <c r="U772" s="64"/>
      <c r="V772" s="64"/>
      <c r="W772" s="64"/>
      <c r="X772" s="64"/>
      <c r="Y772" s="64"/>
      <c r="BH772" s="64"/>
      <c r="BI772" s="64"/>
      <c r="BJ772" s="64"/>
      <c r="BK772" s="64"/>
      <c r="BL772" s="64"/>
      <c r="BM772" s="64"/>
      <c r="BN772" s="64"/>
      <c r="BO772" s="64"/>
      <c r="BP772" s="64"/>
      <c r="BQ772" s="64"/>
      <c r="BR772" s="64"/>
    </row>
    <row r="773" ht="18.75" customHeight="1">
      <c r="G773" s="122"/>
      <c r="H773" s="64"/>
      <c r="L773" s="64"/>
      <c r="M773" s="64"/>
      <c r="N773" s="64"/>
      <c r="O773" s="64"/>
      <c r="P773" s="64"/>
      <c r="Q773" s="64"/>
      <c r="R773" s="64"/>
      <c r="S773" s="64"/>
      <c r="T773" s="64"/>
      <c r="U773" s="64"/>
      <c r="V773" s="64"/>
      <c r="W773" s="64"/>
      <c r="X773" s="64"/>
      <c r="Y773" s="64"/>
      <c r="BH773" s="64"/>
      <c r="BI773" s="64"/>
      <c r="BJ773" s="64"/>
      <c r="BK773" s="64"/>
      <c r="BL773" s="64"/>
      <c r="BM773" s="64"/>
      <c r="BN773" s="64"/>
      <c r="BO773" s="64"/>
      <c r="BP773" s="64"/>
      <c r="BQ773" s="64"/>
      <c r="BR773" s="64"/>
    </row>
    <row r="774" ht="18.75" customHeight="1">
      <c r="G774" s="122"/>
      <c r="H774" s="64"/>
      <c r="L774" s="64"/>
      <c r="M774" s="64"/>
      <c r="N774" s="64"/>
      <c r="O774" s="64"/>
      <c r="P774" s="64"/>
      <c r="Q774" s="64"/>
      <c r="R774" s="64"/>
      <c r="S774" s="64"/>
      <c r="T774" s="64"/>
      <c r="U774" s="64"/>
      <c r="V774" s="64"/>
      <c r="W774" s="64"/>
      <c r="X774" s="64"/>
      <c r="Y774" s="64"/>
      <c r="BH774" s="64"/>
      <c r="BI774" s="64"/>
      <c r="BJ774" s="64"/>
      <c r="BK774" s="64"/>
      <c r="BL774" s="64"/>
      <c r="BM774" s="64"/>
      <c r="BN774" s="64"/>
      <c r="BO774" s="64"/>
      <c r="BP774" s="64"/>
      <c r="BQ774" s="64"/>
      <c r="BR774" s="64"/>
    </row>
    <row r="775" ht="18.75" customHeight="1">
      <c r="G775" s="122"/>
      <c r="H775" s="64"/>
      <c r="L775" s="64"/>
      <c r="M775" s="64"/>
      <c r="N775" s="64"/>
      <c r="O775" s="64"/>
      <c r="P775" s="64"/>
      <c r="Q775" s="64"/>
      <c r="R775" s="64"/>
      <c r="S775" s="64"/>
      <c r="T775" s="64"/>
      <c r="U775" s="64"/>
      <c r="V775" s="64"/>
      <c r="W775" s="64"/>
      <c r="X775" s="64"/>
      <c r="Y775" s="64"/>
      <c r="BH775" s="64"/>
      <c r="BI775" s="64"/>
      <c r="BJ775" s="64"/>
      <c r="BK775" s="64"/>
      <c r="BL775" s="64"/>
      <c r="BM775" s="64"/>
      <c r="BN775" s="64"/>
      <c r="BO775" s="64"/>
      <c r="BP775" s="64"/>
      <c r="BQ775" s="64"/>
      <c r="BR775" s="64"/>
    </row>
    <row r="776" ht="18.75" customHeight="1">
      <c r="G776" s="122"/>
      <c r="H776" s="64"/>
      <c r="L776" s="64"/>
      <c r="M776" s="64"/>
      <c r="N776" s="64"/>
      <c r="O776" s="64"/>
      <c r="P776" s="64"/>
      <c r="Q776" s="64"/>
      <c r="R776" s="64"/>
      <c r="S776" s="64"/>
      <c r="T776" s="64"/>
      <c r="U776" s="64"/>
      <c r="V776" s="64"/>
      <c r="W776" s="64"/>
      <c r="X776" s="64"/>
      <c r="Y776" s="64"/>
      <c r="BH776" s="64"/>
      <c r="BI776" s="64"/>
      <c r="BJ776" s="64"/>
      <c r="BK776" s="64"/>
      <c r="BL776" s="64"/>
      <c r="BM776" s="64"/>
      <c r="BN776" s="64"/>
      <c r="BO776" s="64"/>
      <c r="BP776" s="64"/>
      <c r="BQ776" s="64"/>
      <c r="BR776" s="64"/>
    </row>
    <row r="777" ht="18.75" customHeight="1">
      <c r="G777" s="122"/>
      <c r="H777" s="64"/>
      <c r="L777" s="64"/>
      <c r="M777" s="64"/>
      <c r="N777" s="64"/>
      <c r="O777" s="64"/>
      <c r="P777" s="64"/>
      <c r="Q777" s="64"/>
      <c r="R777" s="64"/>
      <c r="S777" s="64"/>
      <c r="T777" s="64"/>
      <c r="U777" s="64"/>
      <c r="V777" s="64"/>
      <c r="W777" s="64"/>
      <c r="X777" s="64"/>
      <c r="Y777" s="64"/>
      <c r="BH777" s="64"/>
      <c r="BI777" s="64"/>
      <c r="BJ777" s="64"/>
      <c r="BK777" s="64"/>
      <c r="BL777" s="64"/>
      <c r="BM777" s="64"/>
      <c r="BN777" s="64"/>
      <c r="BO777" s="64"/>
      <c r="BP777" s="64"/>
      <c r="BQ777" s="64"/>
      <c r="BR777" s="64"/>
    </row>
    <row r="778" ht="18.75" customHeight="1">
      <c r="G778" s="122"/>
      <c r="H778" s="64"/>
      <c r="L778" s="64"/>
      <c r="M778" s="64"/>
      <c r="N778" s="64"/>
      <c r="O778" s="64"/>
      <c r="P778" s="64"/>
      <c r="Q778" s="64"/>
      <c r="R778" s="64"/>
      <c r="S778" s="64"/>
      <c r="T778" s="64"/>
      <c r="U778" s="64"/>
      <c r="V778" s="64"/>
      <c r="W778" s="64"/>
      <c r="X778" s="64"/>
      <c r="Y778" s="64"/>
      <c r="BH778" s="64"/>
      <c r="BI778" s="64"/>
      <c r="BJ778" s="64"/>
      <c r="BK778" s="64"/>
      <c r="BL778" s="64"/>
      <c r="BM778" s="64"/>
      <c r="BN778" s="64"/>
      <c r="BO778" s="64"/>
      <c r="BP778" s="64"/>
      <c r="BQ778" s="64"/>
      <c r="BR778" s="64"/>
    </row>
    <row r="779" ht="18.75" customHeight="1">
      <c r="G779" s="122"/>
      <c r="H779" s="64"/>
      <c r="L779" s="64"/>
      <c r="M779" s="64"/>
      <c r="N779" s="64"/>
      <c r="O779" s="64"/>
      <c r="P779" s="64"/>
      <c r="Q779" s="64"/>
      <c r="R779" s="64"/>
      <c r="S779" s="64"/>
      <c r="T779" s="64"/>
      <c r="U779" s="64"/>
      <c r="V779" s="64"/>
      <c r="W779" s="64"/>
      <c r="X779" s="64"/>
      <c r="Y779" s="64"/>
      <c r="BH779" s="64"/>
      <c r="BI779" s="64"/>
      <c r="BJ779" s="64"/>
      <c r="BK779" s="64"/>
      <c r="BL779" s="64"/>
      <c r="BM779" s="64"/>
      <c r="BN779" s="64"/>
      <c r="BO779" s="64"/>
      <c r="BP779" s="64"/>
      <c r="BQ779" s="64"/>
      <c r="BR779" s="64"/>
    </row>
    <row r="780" ht="18.75" customHeight="1">
      <c r="G780" s="122"/>
      <c r="H780" s="64"/>
      <c r="L780" s="64"/>
      <c r="M780" s="64"/>
      <c r="N780" s="64"/>
      <c r="O780" s="64"/>
      <c r="P780" s="64"/>
      <c r="Q780" s="64"/>
      <c r="R780" s="64"/>
      <c r="S780" s="64"/>
      <c r="T780" s="64"/>
      <c r="U780" s="64"/>
      <c r="V780" s="64"/>
      <c r="W780" s="64"/>
      <c r="X780" s="64"/>
      <c r="Y780" s="64"/>
      <c r="BH780" s="64"/>
      <c r="BI780" s="64"/>
      <c r="BJ780" s="64"/>
      <c r="BK780" s="64"/>
      <c r="BL780" s="64"/>
      <c r="BM780" s="64"/>
      <c r="BN780" s="64"/>
      <c r="BO780" s="64"/>
      <c r="BP780" s="64"/>
      <c r="BQ780" s="64"/>
      <c r="BR780" s="64"/>
    </row>
    <row r="781" ht="18.75" customHeight="1">
      <c r="G781" s="122"/>
      <c r="H781" s="64"/>
      <c r="L781" s="64"/>
      <c r="M781" s="64"/>
      <c r="N781" s="64"/>
      <c r="O781" s="64"/>
      <c r="P781" s="64"/>
      <c r="Q781" s="64"/>
      <c r="R781" s="64"/>
      <c r="S781" s="64"/>
      <c r="T781" s="64"/>
      <c r="U781" s="64"/>
      <c r="V781" s="64"/>
      <c r="W781" s="64"/>
      <c r="X781" s="64"/>
      <c r="Y781" s="64"/>
      <c r="BH781" s="64"/>
      <c r="BI781" s="64"/>
      <c r="BJ781" s="64"/>
      <c r="BK781" s="64"/>
      <c r="BL781" s="64"/>
      <c r="BM781" s="64"/>
      <c r="BN781" s="64"/>
      <c r="BO781" s="64"/>
      <c r="BP781" s="64"/>
      <c r="BQ781" s="64"/>
      <c r="BR781" s="64"/>
    </row>
    <row r="782" ht="18.75" customHeight="1">
      <c r="G782" s="122"/>
      <c r="H782" s="64"/>
      <c r="L782" s="64"/>
      <c r="M782" s="64"/>
      <c r="N782" s="64"/>
      <c r="O782" s="64"/>
      <c r="P782" s="64"/>
      <c r="Q782" s="64"/>
      <c r="R782" s="64"/>
      <c r="S782" s="64"/>
      <c r="T782" s="64"/>
      <c r="U782" s="64"/>
      <c r="V782" s="64"/>
      <c r="W782" s="64"/>
      <c r="X782" s="64"/>
      <c r="Y782" s="64"/>
      <c r="BH782" s="64"/>
      <c r="BI782" s="64"/>
      <c r="BJ782" s="64"/>
      <c r="BK782" s="64"/>
      <c r="BL782" s="64"/>
      <c r="BM782" s="64"/>
      <c r="BN782" s="64"/>
      <c r="BO782" s="64"/>
      <c r="BP782" s="64"/>
      <c r="BQ782" s="64"/>
      <c r="BR782" s="64"/>
    </row>
    <row r="783" ht="18.75" customHeight="1">
      <c r="G783" s="122"/>
      <c r="H783" s="64"/>
      <c r="L783" s="64"/>
      <c r="M783" s="64"/>
      <c r="N783" s="64"/>
      <c r="O783" s="64"/>
      <c r="P783" s="64"/>
      <c r="Q783" s="64"/>
      <c r="R783" s="64"/>
      <c r="S783" s="64"/>
      <c r="T783" s="64"/>
      <c r="U783" s="64"/>
      <c r="V783" s="64"/>
      <c r="W783" s="64"/>
      <c r="X783" s="64"/>
      <c r="Y783" s="64"/>
      <c r="BH783" s="64"/>
      <c r="BI783" s="64"/>
      <c r="BJ783" s="64"/>
      <c r="BK783" s="64"/>
      <c r="BL783" s="64"/>
      <c r="BM783" s="64"/>
      <c r="BN783" s="64"/>
      <c r="BO783" s="64"/>
      <c r="BP783" s="64"/>
      <c r="BQ783" s="64"/>
      <c r="BR783" s="64"/>
    </row>
    <row r="784" ht="18.75" customHeight="1">
      <c r="G784" s="122"/>
      <c r="H784" s="64"/>
      <c r="L784" s="64"/>
      <c r="M784" s="64"/>
      <c r="N784" s="64"/>
      <c r="O784" s="64"/>
      <c r="P784" s="64"/>
      <c r="Q784" s="64"/>
      <c r="R784" s="64"/>
      <c r="S784" s="64"/>
      <c r="T784" s="64"/>
      <c r="U784" s="64"/>
      <c r="V784" s="64"/>
      <c r="W784" s="64"/>
      <c r="X784" s="64"/>
      <c r="Y784" s="64"/>
      <c r="BH784" s="64"/>
      <c r="BI784" s="64"/>
      <c r="BJ784" s="64"/>
      <c r="BK784" s="64"/>
      <c r="BL784" s="64"/>
      <c r="BM784" s="64"/>
      <c r="BN784" s="64"/>
      <c r="BO784" s="64"/>
      <c r="BP784" s="64"/>
      <c r="BQ784" s="64"/>
      <c r="BR784" s="64"/>
    </row>
    <row r="785" ht="18.75" customHeight="1">
      <c r="G785" s="122"/>
      <c r="H785" s="64"/>
      <c r="L785" s="64"/>
      <c r="M785" s="64"/>
      <c r="N785" s="64"/>
      <c r="O785" s="64"/>
      <c r="P785" s="64"/>
      <c r="Q785" s="64"/>
      <c r="R785" s="64"/>
      <c r="S785" s="64"/>
      <c r="T785" s="64"/>
      <c r="U785" s="64"/>
      <c r="V785" s="64"/>
      <c r="W785" s="64"/>
      <c r="X785" s="64"/>
      <c r="Y785" s="64"/>
      <c r="BH785" s="64"/>
      <c r="BI785" s="64"/>
      <c r="BJ785" s="64"/>
      <c r="BK785" s="64"/>
      <c r="BL785" s="64"/>
      <c r="BM785" s="64"/>
      <c r="BN785" s="64"/>
      <c r="BO785" s="64"/>
      <c r="BP785" s="64"/>
      <c r="BQ785" s="64"/>
      <c r="BR785" s="64"/>
    </row>
    <row r="786" ht="18.75" customHeight="1">
      <c r="G786" s="122"/>
      <c r="H786" s="64"/>
      <c r="L786" s="64"/>
      <c r="M786" s="64"/>
      <c r="N786" s="64"/>
      <c r="O786" s="64"/>
      <c r="P786" s="64"/>
      <c r="Q786" s="64"/>
      <c r="R786" s="64"/>
      <c r="S786" s="64"/>
      <c r="T786" s="64"/>
      <c r="U786" s="64"/>
      <c r="V786" s="64"/>
      <c r="W786" s="64"/>
      <c r="X786" s="64"/>
      <c r="Y786" s="64"/>
      <c r="BH786" s="64"/>
      <c r="BI786" s="64"/>
      <c r="BJ786" s="64"/>
      <c r="BK786" s="64"/>
      <c r="BL786" s="64"/>
      <c r="BM786" s="64"/>
      <c r="BN786" s="64"/>
      <c r="BO786" s="64"/>
      <c r="BP786" s="64"/>
      <c r="BQ786" s="64"/>
      <c r="BR786" s="64"/>
    </row>
    <row r="787" ht="18.75" customHeight="1">
      <c r="G787" s="122"/>
      <c r="H787" s="64"/>
      <c r="L787" s="64"/>
      <c r="M787" s="64"/>
      <c r="N787" s="64"/>
      <c r="O787" s="64"/>
      <c r="P787" s="64"/>
      <c r="Q787" s="64"/>
      <c r="R787" s="64"/>
      <c r="S787" s="64"/>
      <c r="T787" s="64"/>
      <c r="U787" s="64"/>
      <c r="V787" s="64"/>
      <c r="W787" s="64"/>
      <c r="X787" s="64"/>
      <c r="Y787" s="64"/>
      <c r="BH787" s="64"/>
      <c r="BI787" s="64"/>
      <c r="BJ787" s="64"/>
      <c r="BK787" s="64"/>
      <c r="BL787" s="64"/>
      <c r="BM787" s="64"/>
      <c r="BN787" s="64"/>
      <c r="BO787" s="64"/>
      <c r="BP787" s="64"/>
      <c r="BQ787" s="64"/>
      <c r="BR787" s="64"/>
    </row>
    <row r="788" ht="18.75" customHeight="1">
      <c r="G788" s="122"/>
      <c r="H788" s="64"/>
      <c r="L788" s="64"/>
      <c r="M788" s="64"/>
      <c r="N788" s="64"/>
      <c r="O788" s="64"/>
      <c r="P788" s="64"/>
      <c r="Q788" s="64"/>
      <c r="R788" s="64"/>
      <c r="S788" s="64"/>
      <c r="T788" s="64"/>
      <c r="U788" s="64"/>
      <c r="V788" s="64"/>
      <c r="W788" s="64"/>
      <c r="X788" s="64"/>
      <c r="Y788" s="64"/>
      <c r="BH788" s="64"/>
      <c r="BI788" s="64"/>
      <c r="BJ788" s="64"/>
      <c r="BK788" s="64"/>
      <c r="BL788" s="64"/>
      <c r="BM788" s="64"/>
      <c r="BN788" s="64"/>
      <c r="BO788" s="64"/>
      <c r="BP788" s="64"/>
      <c r="BQ788" s="64"/>
      <c r="BR788" s="64"/>
    </row>
    <row r="789" ht="18.75" customHeight="1">
      <c r="G789" s="122"/>
      <c r="H789" s="64"/>
      <c r="L789" s="64"/>
      <c r="M789" s="64"/>
      <c r="N789" s="64"/>
      <c r="O789" s="64"/>
      <c r="P789" s="64"/>
      <c r="Q789" s="64"/>
      <c r="R789" s="64"/>
      <c r="S789" s="64"/>
      <c r="T789" s="64"/>
      <c r="U789" s="64"/>
      <c r="V789" s="64"/>
      <c r="W789" s="64"/>
      <c r="X789" s="64"/>
      <c r="Y789" s="64"/>
      <c r="BH789" s="64"/>
      <c r="BI789" s="64"/>
      <c r="BJ789" s="64"/>
      <c r="BK789" s="64"/>
      <c r="BL789" s="64"/>
      <c r="BM789" s="64"/>
      <c r="BN789" s="64"/>
      <c r="BO789" s="64"/>
      <c r="BP789" s="64"/>
      <c r="BQ789" s="64"/>
      <c r="BR789" s="64"/>
    </row>
    <row r="790" ht="18.75" customHeight="1">
      <c r="G790" s="122"/>
      <c r="H790" s="64"/>
      <c r="L790" s="64"/>
      <c r="M790" s="64"/>
      <c r="N790" s="64"/>
      <c r="O790" s="64"/>
      <c r="P790" s="64"/>
      <c r="Q790" s="64"/>
      <c r="R790" s="64"/>
      <c r="S790" s="64"/>
      <c r="T790" s="64"/>
      <c r="U790" s="64"/>
      <c r="V790" s="64"/>
      <c r="W790" s="64"/>
      <c r="X790" s="64"/>
      <c r="Y790" s="64"/>
      <c r="BH790" s="64"/>
      <c r="BI790" s="64"/>
      <c r="BJ790" s="64"/>
      <c r="BK790" s="64"/>
      <c r="BL790" s="64"/>
      <c r="BM790" s="64"/>
      <c r="BN790" s="64"/>
      <c r="BO790" s="64"/>
      <c r="BP790" s="64"/>
      <c r="BQ790" s="64"/>
      <c r="BR790" s="64"/>
    </row>
    <row r="791" ht="18.75" customHeight="1">
      <c r="G791" s="122"/>
      <c r="H791" s="64"/>
      <c r="L791" s="64"/>
      <c r="M791" s="64"/>
      <c r="N791" s="64"/>
      <c r="O791" s="64"/>
      <c r="P791" s="64"/>
      <c r="Q791" s="64"/>
      <c r="R791" s="64"/>
      <c r="S791" s="64"/>
      <c r="T791" s="64"/>
      <c r="U791" s="64"/>
      <c r="V791" s="64"/>
      <c r="W791" s="64"/>
      <c r="X791" s="64"/>
      <c r="Y791" s="64"/>
      <c r="BH791" s="64"/>
      <c r="BI791" s="64"/>
      <c r="BJ791" s="64"/>
      <c r="BK791" s="64"/>
      <c r="BL791" s="64"/>
      <c r="BM791" s="64"/>
      <c r="BN791" s="64"/>
      <c r="BO791" s="64"/>
      <c r="BP791" s="64"/>
      <c r="BQ791" s="64"/>
      <c r="BR791" s="64"/>
    </row>
    <row r="792" ht="18.75" customHeight="1">
      <c r="G792" s="122"/>
      <c r="H792" s="64"/>
      <c r="L792" s="64"/>
      <c r="M792" s="64"/>
      <c r="N792" s="64"/>
      <c r="O792" s="64"/>
      <c r="P792" s="64"/>
      <c r="Q792" s="64"/>
      <c r="R792" s="64"/>
      <c r="S792" s="64"/>
      <c r="T792" s="64"/>
      <c r="U792" s="64"/>
      <c r="V792" s="64"/>
      <c r="W792" s="64"/>
      <c r="X792" s="64"/>
      <c r="Y792" s="64"/>
      <c r="BH792" s="64"/>
      <c r="BI792" s="64"/>
      <c r="BJ792" s="64"/>
      <c r="BK792" s="64"/>
      <c r="BL792" s="64"/>
      <c r="BM792" s="64"/>
      <c r="BN792" s="64"/>
      <c r="BO792" s="64"/>
      <c r="BP792" s="64"/>
      <c r="BQ792" s="64"/>
      <c r="BR792" s="64"/>
    </row>
    <row r="793" ht="18.75" customHeight="1">
      <c r="G793" s="122"/>
      <c r="H793" s="64"/>
      <c r="L793" s="64"/>
      <c r="M793" s="64"/>
      <c r="N793" s="64"/>
      <c r="O793" s="64"/>
      <c r="P793" s="64"/>
      <c r="Q793" s="64"/>
      <c r="R793" s="64"/>
      <c r="S793" s="64"/>
      <c r="T793" s="64"/>
      <c r="U793" s="64"/>
      <c r="V793" s="64"/>
      <c r="W793" s="64"/>
      <c r="X793" s="64"/>
      <c r="Y793" s="64"/>
      <c r="BH793" s="64"/>
      <c r="BI793" s="64"/>
      <c r="BJ793" s="64"/>
      <c r="BK793" s="64"/>
      <c r="BL793" s="64"/>
      <c r="BM793" s="64"/>
      <c r="BN793" s="64"/>
      <c r="BO793" s="64"/>
      <c r="BP793" s="64"/>
      <c r="BQ793" s="64"/>
      <c r="BR793" s="64"/>
    </row>
    <row r="794" ht="18.75" customHeight="1">
      <c r="G794" s="122"/>
      <c r="H794" s="64"/>
      <c r="L794" s="64"/>
      <c r="M794" s="64"/>
      <c r="N794" s="64"/>
      <c r="O794" s="64"/>
      <c r="P794" s="64"/>
      <c r="Q794" s="64"/>
      <c r="R794" s="64"/>
      <c r="S794" s="64"/>
      <c r="T794" s="64"/>
      <c r="U794" s="64"/>
      <c r="V794" s="64"/>
      <c r="W794" s="64"/>
      <c r="X794" s="64"/>
      <c r="Y794" s="64"/>
      <c r="BH794" s="64"/>
      <c r="BI794" s="64"/>
      <c r="BJ794" s="64"/>
      <c r="BK794" s="64"/>
      <c r="BL794" s="64"/>
      <c r="BM794" s="64"/>
      <c r="BN794" s="64"/>
      <c r="BO794" s="64"/>
      <c r="BP794" s="64"/>
      <c r="BQ794" s="64"/>
      <c r="BR794" s="64"/>
    </row>
    <row r="795" ht="18.75" customHeight="1">
      <c r="G795" s="122"/>
      <c r="H795" s="64"/>
      <c r="L795" s="64"/>
      <c r="M795" s="64"/>
      <c r="N795" s="64"/>
      <c r="O795" s="64"/>
      <c r="P795" s="64"/>
      <c r="Q795" s="64"/>
      <c r="R795" s="64"/>
      <c r="S795" s="64"/>
      <c r="T795" s="64"/>
      <c r="U795" s="64"/>
      <c r="V795" s="64"/>
      <c r="W795" s="64"/>
      <c r="X795" s="64"/>
      <c r="Y795" s="64"/>
      <c r="BH795" s="64"/>
      <c r="BI795" s="64"/>
      <c r="BJ795" s="64"/>
      <c r="BK795" s="64"/>
      <c r="BL795" s="64"/>
      <c r="BM795" s="64"/>
      <c r="BN795" s="64"/>
      <c r="BO795" s="64"/>
      <c r="BP795" s="64"/>
      <c r="BQ795" s="64"/>
      <c r="BR795" s="64"/>
    </row>
    <row r="796" ht="18.75" customHeight="1">
      <c r="G796" s="122"/>
      <c r="H796" s="64"/>
      <c r="L796" s="64"/>
      <c r="M796" s="64"/>
      <c r="N796" s="64"/>
      <c r="O796" s="64"/>
      <c r="P796" s="64"/>
      <c r="Q796" s="64"/>
      <c r="R796" s="64"/>
      <c r="S796" s="64"/>
      <c r="T796" s="64"/>
      <c r="U796" s="64"/>
      <c r="V796" s="64"/>
      <c r="W796" s="64"/>
      <c r="X796" s="64"/>
      <c r="Y796" s="64"/>
      <c r="BH796" s="64"/>
      <c r="BI796" s="64"/>
      <c r="BJ796" s="64"/>
      <c r="BK796" s="64"/>
      <c r="BL796" s="64"/>
      <c r="BM796" s="64"/>
      <c r="BN796" s="64"/>
      <c r="BO796" s="64"/>
      <c r="BP796" s="64"/>
      <c r="BQ796" s="64"/>
      <c r="BR796" s="64"/>
    </row>
    <row r="797" ht="18.75" customHeight="1">
      <c r="G797" s="122"/>
      <c r="H797" s="64"/>
      <c r="L797" s="64"/>
      <c r="M797" s="64"/>
      <c r="N797" s="64"/>
      <c r="O797" s="64"/>
      <c r="P797" s="64"/>
      <c r="Q797" s="64"/>
      <c r="R797" s="64"/>
      <c r="S797" s="64"/>
      <c r="T797" s="64"/>
      <c r="U797" s="64"/>
      <c r="V797" s="64"/>
      <c r="W797" s="64"/>
      <c r="X797" s="64"/>
      <c r="Y797" s="64"/>
      <c r="BH797" s="64"/>
      <c r="BI797" s="64"/>
      <c r="BJ797" s="64"/>
      <c r="BK797" s="64"/>
      <c r="BL797" s="64"/>
      <c r="BM797" s="64"/>
      <c r="BN797" s="64"/>
      <c r="BO797" s="64"/>
      <c r="BP797" s="64"/>
      <c r="BQ797" s="64"/>
      <c r="BR797" s="64"/>
    </row>
    <row r="798" ht="18.75" customHeight="1">
      <c r="G798" s="122"/>
      <c r="H798" s="64"/>
      <c r="L798" s="64"/>
      <c r="M798" s="64"/>
      <c r="N798" s="64"/>
      <c r="O798" s="64"/>
      <c r="P798" s="64"/>
      <c r="Q798" s="64"/>
      <c r="R798" s="64"/>
      <c r="S798" s="64"/>
      <c r="T798" s="64"/>
      <c r="U798" s="64"/>
      <c r="V798" s="64"/>
      <c r="W798" s="64"/>
      <c r="X798" s="64"/>
      <c r="Y798" s="64"/>
      <c r="BH798" s="64"/>
      <c r="BI798" s="64"/>
      <c r="BJ798" s="64"/>
      <c r="BK798" s="64"/>
      <c r="BL798" s="64"/>
      <c r="BM798" s="64"/>
      <c r="BN798" s="64"/>
      <c r="BO798" s="64"/>
      <c r="BP798" s="64"/>
      <c r="BQ798" s="64"/>
      <c r="BR798" s="64"/>
    </row>
    <row r="799" ht="18.75" customHeight="1">
      <c r="G799" s="122"/>
      <c r="H799" s="64"/>
      <c r="L799" s="64"/>
      <c r="M799" s="64"/>
      <c r="N799" s="64"/>
      <c r="O799" s="64"/>
      <c r="P799" s="64"/>
      <c r="Q799" s="64"/>
      <c r="R799" s="64"/>
      <c r="S799" s="64"/>
      <c r="T799" s="64"/>
      <c r="U799" s="64"/>
      <c r="V799" s="64"/>
      <c r="W799" s="64"/>
      <c r="X799" s="64"/>
      <c r="Y799" s="64"/>
      <c r="BH799" s="64"/>
      <c r="BI799" s="64"/>
      <c r="BJ799" s="64"/>
      <c r="BK799" s="64"/>
      <c r="BL799" s="64"/>
      <c r="BM799" s="64"/>
      <c r="BN799" s="64"/>
      <c r="BO799" s="64"/>
      <c r="BP799" s="64"/>
      <c r="BQ799" s="64"/>
      <c r="BR799" s="64"/>
    </row>
    <row r="800" ht="18.75" customHeight="1">
      <c r="G800" s="122"/>
      <c r="H800" s="64"/>
      <c r="L800" s="64"/>
      <c r="M800" s="64"/>
      <c r="N800" s="64"/>
      <c r="O800" s="64"/>
      <c r="P800" s="64"/>
      <c r="Q800" s="64"/>
      <c r="R800" s="64"/>
      <c r="S800" s="64"/>
      <c r="T800" s="64"/>
      <c r="U800" s="64"/>
      <c r="V800" s="64"/>
      <c r="W800" s="64"/>
      <c r="X800" s="64"/>
      <c r="Y800" s="64"/>
      <c r="BH800" s="64"/>
      <c r="BI800" s="64"/>
      <c r="BJ800" s="64"/>
      <c r="BK800" s="64"/>
      <c r="BL800" s="64"/>
      <c r="BM800" s="64"/>
      <c r="BN800" s="64"/>
      <c r="BO800" s="64"/>
      <c r="BP800" s="64"/>
      <c r="BQ800" s="64"/>
      <c r="BR800" s="64"/>
    </row>
    <row r="801" ht="18.75" customHeight="1">
      <c r="G801" s="122"/>
      <c r="H801" s="64"/>
      <c r="L801" s="64"/>
      <c r="M801" s="64"/>
      <c r="N801" s="64"/>
      <c r="O801" s="64"/>
      <c r="P801" s="64"/>
      <c r="Q801" s="64"/>
      <c r="R801" s="64"/>
      <c r="S801" s="64"/>
      <c r="T801" s="64"/>
      <c r="U801" s="64"/>
      <c r="V801" s="64"/>
      <c r="W801" s="64"/>
      <c r="X801" s="64"/>
      <c r="Y801" s="64"/>
      <c r="BH801" s="64"/>
      <c r="BI801" s="64"/>
      <c r="BJ801" s="64"/>
      <c r="BK801" s="64"/>
      <c r="BL801" s="64"/>
      <c r="BM801" s="64"/>
      <c r="BN801" s="64"/>
      <c r="BO801" s="64"/>
      <c r="BP801" s="64"/>
      <c r="BQ801" s="64"/>
      <c r="BR801" s="64"/>
    </row>
    <row r="802" ht="18.75" customHeight="1">
      <c r="G802" s="122"/>
      <c r="H802" s="64"/>
      <c r="L802" s="64"/>
      <c r="M802" s="64"/>
      <c r="N802" s="64"/>
      <c r="O802" s="64"/>
      <c r="P802" s="64"/>
      <c r="Q802" s="64"/>
      <c r="R802" s="64"/>
      <c r="S802" s="64"/>
      <c r="T802" s="64"/>
      <c r="U802" s="64"/>
      <c r="V802" s="64"/>
      <c r="W802" s="64"/>
      <c r="X802" s="64"/>
      <c r="Y802" s="64"/>
      <c r="BH802" s="64"/>
      <c r="BI802" s="64"/>
      <c r="BJ802" s="64"/>
      <c r="BK802" s="64"/>
      <c r="BL802" s="64"/>
      <c r="BM802" s="64"/>
      <c r="BN802" s="64"/>
      <c r="BO802" s="64"/>
      <c r="BP802" s="64"/>
      <c r="BQ802" s="64"/>
      <c r="BR802" s="64"/>
    </row>
    <row r="803" ht="18.75" customHeight="1">
      <c r="G803" s="122"/>
      <c r="H803" s="64"/>
      <c r="L803" s="64"/>
      <c r="M803" s="64"/>
      <c r="N803" s="64"/>
      <c r="O803" s="64"/>
      <c r="P803" s="64"/>
      <c r="Q803" s="64"/>
      <c r="R803" s="64"/>
      <c r="S803" s="64"/>
      <c r="T803" s="64"/>
      <c r="U803" s="64"/>
      <c r="V803" s="64"/>
      <c r="W803" s="64"/>
      <c r="X803" s="64"/>
      <c r="Y803" s="64"/>
      <c r="BH803" s="64"/>
      <c r="BI803" s="64"/>
      <c r="BJ803" s="64"/>
      <c r="BK803" s="64"/>
      <c r="BL803" s="64"/>
      <c r="BM803" s="64"/>
      <c r="BN803" s="64"/>
      <c r="BO803" s="64"/>
      <c r="BP803" s="64"/>
      <c r="BQ803" s="64"/>
      <c r="BR803" s="64"/>
    </row>
    <row r="804" ht="18.75" customHeight="1">
      <c r="G804" s="122"/>
      <c r="H804" s="64"/>
      <c r="L804" s="64"/>
      <c r="M804" s="64"/>
      <c r="N804" s="64"/>
      <c r="O804" s="64"/>
      <c r="P804" s="64"/>
      <c r="Q804" s="64"/>
      <c r="R804" s="64"/>
      <c r="S804" s="64"/>
      <c r="T804" s="64"/>
      <c r="U804" s="64"/>
      <c r="V804" s="64"/>
      <c r="W804" s="64"/>
      <c r="X804" s="64"/>
      <c r="Y804" s="64"/>
      <c r="BH804" s="64"/>
      <c r="BI804" s="64"/>
      <c r="BJ804" s="64"/>
      <c r="BK804" s="64"/>
      <c r="BL804" s="64"/>
      <c r="BM804" s="64"/>
      <c r="BN804" s="64"/>
      <c r="BO804" s="64"/>
      <c r="BP804" s="64"/>
      <c r="BQ804" s="64"/>
      <c r="BR804" s="64"/>
    </row>
    <row r="805" ht="18.75" customHeight="1">
      <c r="G805" s="122"/>
      <c r="H805" s="64"/>
      <c r="L805" s="64"/>
      <c r="M805" s="64"/>
      <c r="N805" s="64"/>
      <c r="O805" s="64"/>
      <c r="P805" s="64"/>
      <c r="Q805" s="64"/>
      <c r="R805" s="64"/>
      <c r="S805" s="64"/>
      <c r="T805" s="64"/>
      <c r="U805" s="64"/>
      <c r="V805" s="64"/>
      <c r="W805" s="64"/>
      <c r="X805" s="64"/>
      <c r="Y805" s="64"/>
      <c r="BH805" s="64"/>
      <c r="BI805" s="64"/>
      <c r="BJ805" s="64"/>
      <c r="BK805" s="64"/>
      <c r="BL805" s="64"/>
      <c r="BM805" s="64"/>
      <c r="BN805" s="64"/>
      <c r="BO805" s="64"/>
      <c r="BP805" s="64"/>
      <c r="BQ805" s="64"/>
      <c r="BR805" s="64"/>
    </row>
    <row r="806" ht="18.75" customHeight="1">
      <c r="G806" s="122"/>
      <c r="H806" s="64"/>
      <c r="L806" s="64"/>
      <c r="M806" s="64"/>
      <c r="N806" s="64"/>
      <c r="O806" s="64"/>
      <c r="P806" s="64"/>
      <c r="Q806" s="64"/>
      <c r="R806" s="64"/>
      <c r="S806" s="64"/>
      <c r="T806" s="64"/>
      <c r="U806" s="64"/>
      <c r="V806" s="64"/>
      <c r="W806" s="64"/>
      <c r="X806" s="64"/>
      <c r="Y806" s="64"/>
      <c r="BH806" s="64"/>
      <c r="BI806" s="64"/>
      <c r="BJ806" s="64"/>
      <c r="BK806" s="64"/>
      <c r="BL806" s="64"/>
      <c r="BM806" s="64"/>
      <c r="BN806" s="64"/>
      <c r="BO806" s="64"/>
      <c r="BP806" s="64"/>
      <c r="BQ806" s="64"/>
      <c r="BR806" s="64"/>
    </row>
    <row r="807" ht="18.75" customHeight="1">
      <c r="G807" s="122"/>
      <c r="H807" s="64"/>
      <c r="L807" s="64"/>
      <c r="M807" s="64"/>
      <c r="N807" s="64"/>
      <c r="O807" s="64"/>
      <c r="P807" s="64"/>
      <c r="Q807" s="64"/>
      <c r="R807" s="64"/>
      <c r="S807" s="64"/>
      <c r="T807" s="64"/>
      <c r="U807" s="64"/>
      <c r="V807" s="64"/>
      <c r="W807" s="64"/>
      <c r="X807" s="64"/>
      <c r="Y807" s="64"/>
      <c r="BH807" s="64"/>
      <c r="BI807" s="64"/>
      <c r="BJ807" s="64"/>
      <c r="BK807" s="64"/>
      <c r="BL807" s="64"/>
      <c r="BM807" s="64"/>
      <c r="BN807" s="64"/>
      <c r="BO807" s="64"/>
      <c r="BP807" s="64"/>
      <c r="BQ807" s="64"/>
      <c r="BR807" s="64"/>
    </row>
    <row r="808" ht="18.75" customHeight="1">
      <c r="G808" s="122"/>
      <c r="H808" s="64"/>
      <c r="L808" s="64"/>
      <c r="M808" s="64"/>
      <c r="N808" s="64"/>
      <c r="O808" s="64"/>
      <c r="P808" s="64"/>
      <c r="Q808" s="64"/>
      <c r="R808" s="64"/>
      <c r="S808" s="64"/>
      <c r="T808" s="64"/>
      <c r="U808" s="64"/>
      <c r="V808" s="64"/>
      <c r="W808" s="64"/>
      <c r="X808" s="64"/>
      <c r="Y808" s="64"/>
      <c r="BH808" s="64"/>
      <c r="BI808" s="64"/>
      <c r="BJ808" s="64"/>
      <c r="BK808" s="64"/>
      <c r="BL808" s="64"/>
      <c r="BM808" s="64"/>
      <c r="BN808" s="64"/>
      <c r="BO808" s="64"/>
      <c r="BP808" s="64"/>
      <c r="BQ808" s="64"/>
      <c r="BR808" s="64"/>
    </row>
    <row r="809" ht="18.75" customHeight="1">
      <c r="G809" s="122"/>
      <c r="H809" s="64"/>
      <c r="L809" s="64"/>
      <c r="M809" s="64"/>
      <c r="N809" s="64"/>
      <c r="O809" s="64"/>
      <c r="P809" s="64"/>
      <c r="Q809" s="64"/>
      <c r="R809" s="64"/>
      <c r="S809" s="64"/>
      <c r="T809" s="64"/>
      <c r="U809" s="64"/>
      <c r="V809" s="64"/>
      <c r="W809" s="64"/>
      <c r="X809" s="64"/>
      <c r="Y809" s="64"/>
      <c r="BH809" s="64"/>
      <c r="BI809" s="64"/>
      <c r="BJ809" s="64"/>
      <c r="BK809" s="64"/>
      <c r="BL809" s="64"/>
      <c r="BM809" s="64"/>
      <c r="BN809" s="64"/>
      <c r="BO809" s="64"/>
      <c r="BP809" s="64"/>
      <c r="BQ809" s="64"/>
      <c r="BR809" s="64"/>
    </row>
    <row r="810" ht="18.75" customHeight="1">
      <c r="G810" s="122"/>
      <c r="H810" s="64"/>
      <c r="L810" s="64"/>
      <c r="M810" s="64"/>
      <c r="N810" s="64"/>
      <c r="O810" s="64"/>
      <c r="P810" s="64"/>
      <c r="Q810" s="64"/>
      <c r="R810" s="64"/>
      <c r="S810" s="64"/>
      <c r="T810" s="64"/>
      <c r="U810" s="64"/>
      <c r="V810" s="64"/>
      <c r="W810" s="64"/>
      <c r="X810" s="64"/>
      <c r="Y810" s="64"/>
      <c r="BH810" s="64"/>
      <c r="BI810" s="64"/>
      <c r="BJ810" s="64"/>
      <c r="BK810" s="64"/>
      <c r="BL810" s="64"/>
      <c r="BM810" s="64"/>
      <c r="BN810" s="64"/>
      <c r="BO810" s="64"/>
      <c r="BP810" s="64"/>
      <c r="BQ810" s="64"/>
      <c r="BR810" s="64"/>
    </row>
    <row r="811" ht="18.75" customHeight="1">
      <c r="G811" s="122"/>
      <c r="H811" s="64"/>
      <c r="L811" s="64"/>
      <c r="M811" s="64"/>
      <c r="N811" s="64"/>
      <c r="O811" s="64"/>
      <c r="P811" s="64"/>
      <c r="Q811" s="64"/>
      <c r="R811" s="64"/>
      <c r="S811" s="64"/>
      <c r="T811" s="64"/>
      <c r="U811" s="64"/>
      <c r="V811" s="64"/>
      <c r="W811" s="64"/>
      <c r="X811" s="64"/>
      <c r="Y811" s="64"/>
      <c r="BH811" s="64"/>
      <c r="BI811" s="64"/>
      <c r="BJ811" s="64"/>
      <c r="BK811" s="64"/>
      <c r="BL811" s="64"/>
      <c r="BM811" s="64"/>
      <c r="BN811" s="64"/>
      <c r="BO811" s="64"/>
      <c r="BP811" s="64"/>
      <c r="BQ811" s="64"/>
      <c r="BR811" s="64"/>
    </row>
    <row r="812" ht="18.75" customHeight="1">
      <c r="G812" s="122"/>
      <c r="H812" s="64"/>
      <c r="L812" s="64"/>
      <c r="M812" s="64"/>
      <c r="N812" s="64"/>
      <c r="O812" s="64"/>
      <c r="P812" s="64"/>
      <c r="Q812" s="64"/>
      <c r="R812" s="64"/>
      <c r="S812" s="64"/>
      <c r="T812" s="64"/>
      <c r="U812" s="64"/>
      <c r="V812" s="64"/>
      <c r="W812" s="64"/>
      <c r="X812" s="64"/>
      <c r="Y812" s="64"/>
      <c r="BH812" s="64"/>
      <c r="BI812" s="64"/>
      <c r="BJ812" s="64"/>
      <c r="BK812" s="64"/>
      <c r="BL812" s="64"/>
      <c r="BM812" s="64"/>
      <c r="BN812" s="64"/>
      <c r="BO812" s="64"/>
      <c r="BP812" s="64"/>
      <c r="BQ812" s="64"/>
      <c r="BR812" s="64"/>
    </row>
    <row r="813" ht="18.75" customHeight="1">
      <c r="G813" s="122"/>
      <c r="H813" s="64"/>
      <c r="L813" s="64"/>
      <c r="M813" s="64"/>
      <c r="N813" s="64"/>
      <c r="O813" s="64"/>
      <c r="P813" s="64"/>
      <c r="Q813" s="64"/>
      <c r="R813" s="64"/>
      <c r="S813" s="64"/>
      <c r="T813" s="64"/>
      <c r="U813" s="64"/>
      <c r="V813" s="64"/>
      <c r="W813" s="64"/>
      <c r="X813" s="64"/>
      <c r="Y813" s="64"/>
      <c r="BH813" s="64"/>
      <c r="BI813" s="64"/>
      <c r="BJ813" s="64"/>
      <c r="BK813" s="64"/>
      <c r="BL813" s="64"/>
      <c r="BM813" s="64"/>
      <c r="BN813" s="64"/>
      <c r="BO813" s="64"/>
      <c r="BP813" s="64"/>
      <c r="BQ813" s="64"/>
      <c r="BR813" s="64"/>
    </row>
    <row r="814" ht="18.75" customHeight="1">
      <c r="G814" s="122"/>
      <c r="H814" s="64"/>
      <c r="L814" s="64"/>
      <c r="M814" s="64"/>
      <c r="N814" s="64"/>
      <c r="O814" s="64"/>
      <c r="P814" s="64"/>
      <c r="Q814" s="64"/>
      <c r="R814" s="64"/>
      <c r="S814" s="64"/>
      <c r="T814" s="64"/>
      <c r="U814" s="64"/>
      <c r="V814" s="64"/>
      <c r="W814" s="64"/>
      <c r="X814" s="64"/>
      <c r="Y814" s="64"/>
      <c r="BH814" s="64"/>
      <c r="BI814" s="64"/>
      <c r="BJ814" s="64"/>
      <c r="BK814" s="64"/>
      <c r="BL814" s="64"/>
      <c r="BM814" s="64"/>
      <c r="BN814" s="64"/>
      <c r="BO814" s="64"/>
      <c r="BP814" s="64"/>
      <c r="BQ814" s="64"/>
      <c r="BR814" s="64"/>
    </row>
    <row r="815" ht="18.75" customHeight="1">
      <c r="G815" s="122"/>
      <c r="H815" s="64"/>
      <c r="L815" s="64"/>
      <c r="M815" s="64"/>
      <c r="N815" s="64"/>
      <c r="O815" s="64"/>
      <c r="P815" s="64"/>
      <c r="Q815" s="64"/>
      <c r="R815" s="64"/>
      <c r="S815" s="64"/>
      <c r="T815" s="64"/>
      <c r="U815" s="64"/>
      <c r="V815" s="64"/>
      <c r="W815" s="64"/>
      <c r="X815" s="64"/>
      <c r="Y815" s="64"/>
      <c r="BH815" s="64"/>
      <c r="BI815" s="64"/>
      <c r="BJ815" s="64"/>
      <c r="BK815" s="64"/>
      <c r="BL815" s="64"/>
      <c r="BM815" s="64"/>
      <c r="BN815" s="64"/>
      <c r="BO815" s="64"/>
      <c r="BP815" s="64"/>
      <c r="BQ815" s="64"/>
      <c r="BR815" s="64"/>
    </row>
    <row r="816" ht="18.75" customHeight="1">
      <c r="G816" s="122"/>
      <c r="H816" s="64"/>
      <c r="L816" s="64"/>
      <c r="M816" s="64"/>
      <c r="N816" s="64"/>
      <c r="O816" s="64"/>
      <c r="P816" s="64"/>
      <c r="Q816" s="64"/>
      <c r="R816" s="64"/>
      <c r="S816" s="64"/>
      <c r="T816" s="64"/>
      <c r="U816" s="64"/>
      <c r="V816" s="64"/>
      <c r="W816" s="64"/>
      <c r="X816" s="64"/>
      <c r="Y816" s="64"/>
      <c r="BH816" s="64"/>
      <c r="BI816" s="64"/>
      <c r="BJ816" s="64"/>
      <c r="BK816" s="64"/>
      <c r="BL816" s="64"/>
      <c r="BM816" s="64"/>
      <c r="BN816" s="64"/>
      <c r="BO816" s="64"/>
      <c r="BP816" s="64"/>
      <c r="BQ816" s="64"/>
      <c r="BR816" s="64"/>
    </row>
    <row r="817" ht="18.75" customHeight="1">
      <c r="G817" s="122"/>
      <c r="H817" s="64"/>
      <c r="L817" s="64"/>
      <c r="M817" s="64"/>
      <c r="N817" s="64"/>
      <c r="O817" s="64"/>
      <c r="P817" s="64"/>
      <c r="Q817" s="64"/>
      <c r="R817" s="64"/>
      <c r="S817" s="64"/>
      <c r="T817" s="64"/>
      <c r="U817" s="64"/>
      <c r="V817" s="64"/>
      <c r="W817" s="64"/>
      <c r="X817" s="64"/>
      <c r="Y817" s="64"/>
      <c r="BH817" s="64"/>
      <c r="BI817" s="64"/>
      <c r="BJ817" s="64"/>
      <c r="BK817" s="64"/>
      <c r="BL817" s="64"/>
      <c r="BM817" s="64"/>
      <c r="BN817" s="64"/>
      <c r="BO817" s="64"/>
      <c r="BP817" s="64"/>
      <c r="BQ817" s="64"/>
      <c r="BR817" s="64"/>
    </row>
    <row r="818" ht="18.75" customHeight="1">
      <c r="G818" s="122"/>
      <c r="H818" s="64"/>
      <c r="L818" s="64"/>
      <c r="M818" s="64"/>
      <c r="N818" s="64"/>
      <c r="O818" s="64"/>
      <c r="P818" s="64"/>
      <c r="Q818" s="64"/>
      <c r="R818" s="64"/>
      <c r="S818" s="64"/>
      <c r="T818" s="64"/>
      <c r="U818" s="64"/>
      <c r="V818" s="64"/>
      <c r="W818" s="64"/>
      <c r="X818" s="64"/>
      <c r="Y818" s="64"/>
      <c r="BH818" s="64"/>
      <c r="BI818" s="64"/>
      <c r="BJ818" s="64"/>
      <c r="BK818" s="64"/>
      <c r="BL818" s="64"/>
      <c r="BM818" s="64"/>
      <c r="BN818" s="64"/>
      <c r="BO818" s="64"/>
      <c r="BP818" s="64"/>
      <c r="BQ818" s="64"/>
      <c r="BR818" s="64"/>
    </row>
    <row r="819" ht="18.75" customHeight="1">
      <c r="G819" s="122"/>
      <c r="H819" s="64"/>
      <c r="L819" s="64"/>
      <c r="M819" s="64"/>
      <c r="N819" s="64"/>
      <c r="O819" s="64"/>
      <c r="P819" s="64"/>
      <c r="Q819" s="64"/>
      <c r="R819" s="64"/>
      <c r="S819" s="64"/>
      <c r="T819" s="64"/>
      <c r="U819" s="64"/>
      <c r="V819" s="64"/>
      <c r="W819" s="64"/>
      <c r="X819" s="64"/>
      <c r="Y819" s="64"/>
      <c r="BH819" s="64"/>
      <c r="BI819" s="64"/>
      <c r="BJ819" s="64"/>
      <c r="BK819" s="64"/>
      <c r="BL819" s="64"/>
      <c r="BM819" s="64"/>
      <c r="BN819" s="64"/>
      <c r="BO819" s="64"/>
      <c r="BP819" s="64"/>
      <c r="BQ819" s="64"/>
      <c r="BR819" s="64"/>
    </row>
    <row r="820" ht="18.75" customHeight="1">
      <c r="G820" s="122"/>
      <c r="H820" s="64"/>
      <c r="L820" s="64"/>
      <c r="M820" s="64"/>
      <c r="N820" s="64"/>
      <c r="O820" s="64"/>
      <c r="P820" s="64"/>
      <c r="Q820" s="64"/>
      <c r="R820" s="64"/>
      <c r="S820" s="64"/>
      <c r="T820" s="64"/>
      <c r="U820" s="64"/>
      <c r="V820" s="64"/>
      <c r="W820" s="64"/>
      <c r="X820" s="64"/>
      <c r="Y820" s="64"/>
      <c r="BH820" s="64"/>
      <c r="BI820" s="64"/>
      <c r="BJ820" s="64"/>
      <c r="BK820" s="64"/>
      <c r="BL820" s="64"/>
      <c r="BM820" s="64"/>
      <c r="BN820" s="64"/>
      <c r="BO820" s="64"/>
      <c r="BP820" s="64"/>
      <c r="BQ820" s="64"/>
      <c r="BR820" s="64"/>
    </row>
    <row r="821" ht="18.75" customHeight="1">
      <c r="G821" s="122"/>
      <c r="H821" s="64"/>
      <c r="L821" s="64"/>
      <c r="M821" s="64"/>
      <c r="N821" s="64"/>
      <c r="O821" s="64"/>
      <c r="P821" s="64"/>
      <c r="Q821" s="64"/>
      <c r="R821" s="64"/>
      <c r="S821" s="64"/>
      <c r="T821" s="64"/>
      <c r="U821" s="64"/>
      <c r="V821" s="64"/>
      <c r="W821" s="64"/>
      <c r="X821" s="64"/>
      <c r="Y821" s="64"/>
      <c r="BH821" s="64"/>
      <c r="BI821" s="64"/>
      <c r="BJ821" s="64"/>
      <c r="BK821" s="64"/>
      <c r="BL821" s="64"/>
      <c r="BM821" s="64"/>
      <c r="BN821" s="64"/>
      <c r="BO821" s="64"/>
      <c r="BP821" s="64"/>
      <c r="BQ821" s="64"/>
      <c r="BR821" s="64"/>
    </row>
    <row r="822" ht="18.75" customHeight="1">
      <c r="G822" s="122"/>
      <c r="H822" s="64"/>
      <c r="L822" s="64"/>
      <c r="M822" s="64"/>
      <c r="N822" s="64"/>
      <c r="O822" s="64"/>
      <c r="P822" s="64"/>
      <c r="Q822" s="64"/>
      <c r="R822" s="64"/>
      <c r="S822" s="64"/>
      <c r="T822" s="64"/>
      <c r="U822" s="64"/>
      <c r="V822" s="64"/>
      <c r="W822" s="64"/>
      <c r="X822" s="64"/>
      <c r="Y822" s="64"/>
      <c r="BH822" s="64"/>
      <c r="BI822" s="64"/>
      <c r="BJ822" s="64"/>
      <c r="BK822" s="64"/>
      <c r="BL822" s="64"/>
      <c r="BM822" s="64"/>
      <c r="BN822" s="64"/>
      <c r="BO822" s="64"/>
      <c r="BP822" s="64"/>
      <c r="BQ822" s="64"/>
      <c r="BR822" s="64"/>
    </row>
    <row r="823" ht="18.75" customHeight="1">
      <c r="G823" s="122"/>
      <c r="H823" s="64"/>
      <c r="L823" s="64"/>
      <c r="M823" s="64"/>
      <c r="N823" s="64"/>
      <c r="O823" s="64"/>
      <c r="P823" s="64"/>
      <c r="Q823" s="64"/>
      <c r="R823" s="64"/>
      <c r="S823" s="64"/>
      <c r="T823" s="64"/>
      <c r="U823" s="64"/>
      <c r="V823" s="64"/>
      <c r="W823" s="64"/>
      <c r="X823" s="64"/>
      <c r="Y823" s="64"/>
      <c r="BH823" s="64"/>
      <c r="BI823" s="64"/>
      <c r="BJ823" s="64"/>
      <c r="BK823" s="64"/>
      <c r="BL823" s="64"/>
      <c r="BM823" s="64"/>
      <c r="BN823" s="64"/>
      <c r="BO823" s="64"/>
      <c r="BP823" s="64"/>
      <c r="BQ823" s="64"/>
      <c r="BR823" s="64"/>
    </row>
    <row r="824" ht="18.75" customHeight="1">
      <c r="G824" s="122"/>
      <c r="H824" s="64"/>
      <c r="L824" s="64"/>
      <c r="M824" s="64"/>
      <c r="N824" s="64"/>
      <c r="O824" s="64"/>
      <c r="P824" s="64"/>
      <c r="Q824" s="64"/>
      <c r="R824" s="64"/>
      <c r="S824" s="64"/>
      <c r="T824" s="64"/>
      <c r="U824" s="64"/>
      <c r="V824" s="64"/>
      <c r="W824" s="64"/>
      <c r="X824" s="64"/>
      <c r="Y824" s="64"/>
      <c r="BH824" s="64"/>
      <c r="BI824" s="64"/>
      <c r="BJ824" s="64"/>
      <c r="BK824" s="64"/>
      <c r="BL824" s="64"/>
      <c r="BM824" s="64"/>
      <c r="BN824" s="64"/>
      <c r="BO824" s="64"/>
      <c r="BP824" s="64"/>
      <c r="BQ824" s="64"/>
      <c r="BR824" s="64"/>
    </row>
    <row r="825" ht="18.75" customHeight="1">
      <c r="G825" s="122"/>
      <c r="H825" s="64"/>
      <c r="L825" s="64"/>
      <c r="M825" s="64"/>
      <c r="N825" s="64"/>
      <c r="O825" s="64"/>
      <c r="P825" s="64"/>
      <c r="Q825" s="64"/>
      <c r="R825" s="64"/>
      <c r="S825" s="64"/>
      <c r="T825" s="64"/>
      <c r="U825" s="64"/>
      <c r="V825" s="64"/>
      <c r="W825" s="64"/>
      <c r="X825" s="64"/>
      <c r="Y825" s="64"/>
      <c r="BH825" s="64"/>
      <c r="BI825" s="64"/>
      <c r="BJ825" s="64"/>
      <c r="BK825" s="64"/>
      <c r="BL825" s="64"/>
      <c r="BM825" s="64"/>
      <c r="BN825" s="64"/>
      <c r="BO825" s="64"/>
      <c r="BP825" s="64"/>
      <c r="BQ825" s="64"/>
      <c r="BR825" s="64"/>
    </row>
    <row r="826" ht="18.75" customHeight="1">
      <c r="G826" s="122"/>
      <c r="H826" s="64"/>
      <c r="L826" s="64"/>
      <c r="M826" s="64"/>
      <c r="N826" s="64"/>
      <c r="O826" s="64"/>
      <c r="P826" s="64"/>
      <c r="Q826" s="64"/>
      <c r="R826" s="64"/>
      <c r="S826" s="64"/>
      <c r="T826" s="64"/>
      <c r="U826" s="64"/>
      <c r="V826" s="64"/>
      <c r="W826" s="64"/>
      <c r="X826" s="64"/>
      <c r="Y826" s="64"/>
      <c r="BH826" s="64"/>
      <c r="BI826" s="64"/>
      <c r="BJ826" s="64"/>
      <c r="BK826" s="64"/>
      <c r="BL826" s="64"/>
      <c r="BM826" s="64"/>
      <c r="BN826" s="64"/>
      <c r="BO826" s="64"/>
      <c r="BP826" s="64"/>
      <c r="BQ826" s="64"/>
      <c r="BR826" s="64"/>
    </row>
    <row r="827" ht="18.75" customHeight="1">
      <c r="G827" s="122"/>
      <c r="H827" s="64"/>
      <c r="L827" s="64"/>
      <c r="M827" s="64"/>
      <c r="N827" s="64"/>
      <c r="O827" s="64"/>
      <c r="P827" s="64"/>
      <c r="Q827" s="64"/>
      <c r="R827" s="64"/>
      <c r="S827" s="64"/>
      <c r="T827" s="64"/>
      <c r="U827" s="64"/>
      <c r="V827" s="64"/>
      <c r="W827" s="64"/>
      <c r="X827" s="64"/>
      <c r="Y827" s="64"/>
      <c r="BH827" s="64"/>
      <c r="BI827" s="64"/>
      <c r="BJ827" s="64"/>
      <c r="BK827" s="64"/>
      <c r="BL827" s="64"/>
      <c r="BM827" s="64"/>
      <c r="BN827" s="64"/>
      <c r="BO827" s="64"/>
      <c r="BP827" s="64"/>
      <c r="BQ827" s="64"/>
      <c r="BR827" s="64"/>
    </row>
    <row r="828" ht="18.75" customHeight="1">
      <c r="G828" s="122"/>
      <c r="H828" s="64"/>
      <c r="L828" s="64"/>
      <c r="M828" s="64"/>
      <c r="N828" s="64"/>
      <c r="O828" s="64"/>
      <c r="P828" s="64"/>
      <c r="Q828" s="64"/>
      <c r="R828" s="64"/>
      <c r="S828" s="64"/>
      <c r="T828" s="64"/>
      <c r="U828" s="64"/>
      <c r="V828" s="64"/>
      <c r="W828" s="64"/>
      <c r="X828" s="64"/>
      <c r="Y828" s="64"/>
      <c r="BH828" s="64"/>
      <c r="BI828" s="64"/>
      <c r="BJ828" s="64"/>
      <c r="BK828" s="64"/>
      <c r="BL828" s="64"/>
      <c r="BM828" s="64"/>
      <c r="BN828" s="64"/>
      <c r="BO828" s="64"/>
      <c r="BP828" s="64"/>
      <c r="BQ828" s="64"/>
      <c r="BR828" s="64"/>
    </row>
    <row r="829" ht="18.75" customHeight="1">
      <c r="G829" s="122"/>
      <c r="H829" s="64"/>
      <c r="L829" s="64"/>
      <c r="M829" s="64"/>
      <c r="N829" s="64"/>
      <c r="O829" s="64"/>
      <c r="P829" s="64"/>
      <c r="Q829" s="64"/>
      <c r="R829" s="64"/>
      <c r="S829" s="64"/>
      <c r="T829" s="64"/>
      <c r="U829" s="64"/>
      <c r="V829" s="64"/>
      <c r="W829" s="64"/>
      <c r="X829" s="64"/>
      <c r="Y829" s="64"/>
      <c r="BH829" s="64"/>
      <c r="BI829" s="64"/>
      <c r="BJ829" s="64"/>
      <c r="BK829" s="64"/>
      <c r="BL829" s="64"/>
      <c r="BM829" s="64"/>
      <c r="BN829" s="64"/>
      <c r="BO829" s="64"/>
      <c r="BP829" s="64"/>
      <c r="BQ829" s="64"/>
      <c r="BR829" s="64"/>
    </row>
    <row r="830" ht="18.75" customHeight="1">
      <c r="G830" s="122"/>
      <c r="H830" s="64"/>
      <c r="L830" s="64"/>
      <c r="M830" s="64"/>
      <c r="N830" s="64"/>
      <c r="O830" s="64"/>
      <c r="P830" s="64"/>
      <c r="Q830" s="64"/>
      <c r="R830" s="64"/>
      <c r="S830" s="64"/>
      <c r="T830" s="64"/>
      <c r="U830" s="64"/>
      <c r="V830" s="64"/>
      <c r="W830" s="64"/>
      <c r="X830" s="64"/>
      <c r="Y830" s="64"/>
      <c r="BH830" s="64"/>
      <c r="BI830" s="64"/>
      <c r="BJ830" s="64"/>
      <c r="BK830" s="64"/>
      <c r="BL830" s="64"/>
      <c r="BM830" s="64"/>
      <c r="BN830" s="64"/>
      <c r="BO830" s="64"/>
      <c r="BP830" s="64"/>
      <c r="BQ830" s="64"/>
      <c r="BR830" s="64"/>
    </row>
    <row r="831" ht="18.75" customHeight="1">
      <c r="G831" s="122"/>
      <c r="H831" s="64"/>
      <c r="L831" s="64"/>
      <c r="M831" s="64"/>
      <c r="N831" s="64"/>
      <c r="O831" s="64"/>
      <c r="P831" s="64"/>
      <c r="Q831" s="64"/>
      <c r="R831" s="64"/>
      <c r="S831" s="64"/>
      <c r="T831" s="64"/>
      <c r="U831" s="64"/>
      <c r="V831" s="64"/>
      <c r="W831" s="64"/>
      <c r="X831" s="64"/>
      <c r="Y831" s="64"/>
      <c r="BH831" s="64"/>
      <c r="BI831" s="64"/>
      <c r="BJ831" s="64"/>
      <c r="BK831" s="64"/>
      <c r="BL831" s="64"/>
      <c r="BM831" s="64"/>
      <c r="BN831" s="64"/>
      <c r="BO831" s="64"/>
      <c r="BP831" s="64"/>
      <c r="BQ831" s="64"/>
      <c r="BR831" s="64"/>
    </row>
    <row r="832" ht="18.75" customHeight="1">
      <c r="G832" s="122"/>
      <c r="H832" s="64"/>
      <c r="L832" s="64"/>
      <c r="M832" s="64"/>
      <c r="N832" s="64"/>
      <c r="O832" s="64"/>
      <c r="P832" s="64"/>
      <c r="Q832" s="64"/>
      <c r="R832" s="64"/>
      <c r="S832" s="64"/>
      <c r="T832" s="64"/>
      <c r="U832" s="64"/>
      <c r="V832" s="64"/>
      <c r="W832" s="64"/>
      <c r="X832" s="64"/>
      <c r="Y832" s="64"/>
      <c r="BH832" s="64"/>
      <c r="BI832" s="64"/>
      <c r="BJ832" s="64"/>
      <c r="BK832" s="64"/>
      <c r="BL832" s="64"/>
      <c r="BM832" s="64"/>
      <c r="BN832" s="64"/>
      <c r="BO832" s="64"/>
      <c r="BP832" s="64"/>
      <c r="BQ832" s="64"/>
      <c r="BR832" s="64"/>
    </row>
    <row r="833" ht="18.75" customHeight="1">
      <c r="G833" s="122"/>
      <c r="H833" s="64"/>
      <c r="L833" s="64"/>
      <c r="M833" s="64"/>
      <c r="N833" s="64"/>
      <c r="O833" s="64"/>
      <c r="P833" s="64"/>
      <c r="Q833" s="64"/>
      <c r="R833" s="64"/>
      <c r="S833" s="64"/>
      <c r="T833" s="64"/>
      <c r="U833" s="64"/>
      <c r="V833" s="64"/>
      <c r="W833" s="64"/>
      <c r="X833" s="64"/>
      <c r="Y833" s="64"/>
      <c r="BH833" s="64"/>
      <c r="BI833" s="64"/>
      <c r="BJ833" s="64"/>
      <c r="BK833" s="64"/>
      <c r="BL833" s="64"/>
      <c r="BM833" s="64"/>
      <c r="BN833" s="64"/>
      <c r="BO833" s="64"/>
      <c r="BP833" s="64"/>
      <c r="BQ833" s="64"/>
      <c r="BR833" s="64"/>
    </row>
    <row r="834" ht="18.75" customHeight="1">
      <c r="G834" s="122"/>
      <c r="H834" s="64"/>
      <c r="L834" s="64"/>
      <c r="M834" s="64"/>
      <c r="N834" s="64"/>
      <c r="O834" s="64"/>
      <c r="P834" s="64"/>
      <c r="Q834" s="64"/>
      <c r="R834" s="64"/>
      <c r="S834" s="64"/>
      <c r="T834" s="64"/>
      <c r="U834" s="64"/>
      <c r="V834" s="64"/>
      <c r="W834" s="64"/>
      <c r="X834" s="64"/>
      <c r="Y834" s="64"/>
      <c r="BH834" s="64"/>
      <c r="BI834" s="64"/>
      <c r="BJ834" s="64"/>
      <c r="BK834" s="64"/>
      <c r="BL834" s="64"/>
      <c r="BM834" s="64"/>
      <c r="BN834" s="64"/>
      <c r="BO834" s="64"/>
      <c r="BP834" s="64"/>
      <c r="BQ834" s="64"/>
      <c r="BR834" s="64"/>
    </row>
    <row r="835" ht="18.75" customHeight="1">
      <c r="G835" s="122"/>
      <c r="H835" s="64"/>
      <c r="L835" s="64"/>
      <c r="M835" s="64"/>
      <c r="N835" s="64"/>
      <c r="O835" s="64"/>
      <c r="P835" s="64"/>
      <c r="Q835" s="64"/>
      <c r="R835" s="64"/>
      <c r="S835" s="64"/>
      <c r="T835" s="64"/>
      <c r="U835" s="64"/>
      <c r="V835" s="64"/>
      <c r="W835" s="64"/>
      <c r="X835" s="64"/>
      <c r="Y835" s="64"/>
      <c r="BH835" s="64"/>
      <c r="BI835" s="64"/>
      <c r="BJ835" s="64"/>
      <c r="BK835" s="64"/>
      <c r="BL835" s="64"/>
      <c r="BM835" s="64"/>
      <c r="BN835" s="64"/>
      <c r="BO835" s="64"/>
      <c r="BP835" s="64"/>
      <c r="BQ835" s="64"/>
      <c r="BR835" s="64"/>
    </row>
    <row r="836" ht="18.75" customHeight="1">
      <c r="G836" s="122"/>
      <c r="H836" s="64"/>
      <c r="L836" s="64"/>
      <c r="M836" s="64"/>
      <c r="N836" s="64"/>
      <c r="O836" s="64"/>
      <c r="P836" s="64"/>
      <c r="Q836" s="64"/>
      <c r="R836" s="64"/>
      <c r="S836" s="64"/>
      <c r="T836" s="64"/>
      <c r="U836" s="64"/>
      <c r="V836" s="64"/>
      <c r="W836" s="64"/>
      <c r="X836" s="64"/>
      <c r="Y836" s="64"/>
      <c r="BH836" s="64"/>
      <c r="BI836" s="64"/>
      <c r="BJ836" s="64"/>
      <c r="BK836" s="64"/>
      <c r="BL836" s="64"/>
      <c r="BM836" s="64"/>
      <c r="BN836" s="64"/>
      <c r="BO836" s="64"/>
      <c r="BP836" s="64"/>
      <c r="BQ836" s="64"/>
      <c r="BR836" s="64"/>
    </row>
    <row r="837" ht="18.75" customHeight="1">
      <c r="G837" s="122"/>
      <c r="H837" s="64"/>
      <c r="L837" s="64"/>
      <c r="M837" s="64"/>
      <c r="N837" s="64"/>
      <c r="O837" s="64"/>
      <c r="P837" s="64"/>
      <c r="Q837" s="64"/>
      <c r="R837" s="64"/>
      <c r="S837" s="64"/>
      <c r="T837" s="64"/>
      <c r="U837" s="64"/>
      <c r="V837" s="64"/>
      <c r="W837" s="64"/>
      <c r="X837" s="64"/>
      <c r="Y837" s="64"/>
      <c r="BH837" s="64"/>
      <c r="BI837" s="64"/>
      <c r="BJ837" s="64"/>
      <c r="BK837" s="64"/>
      <c r="BL837" s="64"/>
      <c r="BM837" s="64"/>
      <c r="BN837" s="64"/>
      <c r="BO837" s="64"/>
      <c r="BP837" s="64"/>
      <c r="BQ837" s="64"/>
      <c r="BR837" s="64"/>
    </row>
    <row r="838" ht="18.75" customHeight="1">
      <c r="G838" s="122"/>
      <c r="H838" s="64"/>
      <c r="L838" s="64"/>
      <c r="M838" s="64"/>
      <c r="N838" s="64"/>
      <c r="O838" s="64"/>
      <c r="P838" s="64"/>
      <c r="Q838" s="64"/>
      <c r="R838" s="64"/>
      <c r="S838" s="64"/>
      <c r="T838" s="64"/>
      <c r="U838" s="64"/>
      <c r="V838" s="64"/>
      <c r="W838" s="64"/>
      <c r="X838" s="64"/>
      <c r="Y838" s="64"/>
      <c r="BH838" s="64"/>
      <c r="BI838" s="64"/>
      <c r="BJ838" s="64"/>
      <c r="BK838" s="64"/>
      <c r="BL838" s="64"/>
      <c r="BM838" s="64"/>
      <c r="BN838" s="64"/>
      <c r="BO838" s="64"/>
      <c r="BP838" s="64"/>
      <c r="BQ838" s="64"/>
      <c r="BR838" s="64"/>
    </row>
    <row r="839" ht="18.75" customHeight="1">
      <c r="G839" s="122"/>
      <c r="H839" s="64"/>
      <c r="L839" s="64"/>
      <c r="M839" s="64"/>
      <c r="N839" s="64"/>
      <c r="O839" s="64"/>
      <c r="P839" s="64"/>
      <c r="Q839" s="64"/>
      <c r="R839" s="64"/>
      <c r="S839" s="64"/>
      <c r="T839" s="64"/>
      <c r="U839" s="64"/>
      <c r="V839" s="64"/>
      <c r="W839" s="64"/>
      <c r="X839" s="64"/>
      <c r="Y839" s="64"/>
      <c r="BH839" s="64"/>
      <c r="BI839" s="64"/>
      <c r="BJ839" s="64"/>
      <c r="BK839" s="64"/>
      <c r="BL839" s="64"/>
      <c r="BM839" s="64"/>
      <c r="BN839" s="64"/>
      <c r="BO839" s="64"/>
      <c r="BP839" s="64"/>
      <c r="BQ839" s="64"/>
      <c r="BR839" s="64"/>
    </row>
    <row r="840" ht="18.75" customHeight="1">
      <c r="G840" s="122"/>
      <c r="H840" s="64"/>
      <c r="L840" s="64"/>
      <c r="M840" s="64"/>
      <c r="N840" s="64"/>
      <c r="O840" s="64"/>
      <c r="P840" s="64"/>
      <c r="Q840" s="64"/>
      <c r="R840" s="64"/>
      <c r="S840" s="64"/>
      <c r="T840" s="64"/>
      <c r="U840" s="64"/>
      <c r="V840" s="64"/>
      <c r="W840" s="64"/>
      <c r="X840" s="64"/>
      <c r="Y840" s="64"/>
      <c r="BH840" s="64"/>
      <c r="BI840" s="64"/>
      <c r="BJ840" s="64"/>
      <c r="BK840" s="64"/>
      <c r="BL840" s="64"/>
      <c r="BM840" s="64"/>
      <c r="BN840" s="64"/>
      <c r="BO840" s="64"/>
      <c r="BP840" s="64"/>
      <c r="BQ840" s="64"/>
      <c r="BR840" s="64"/>
    </row>
    <row r="841" ht="18.75" customHeight="1">
      <c r="G841" s="122"/>
      <c r="H841" s="64"/>
      <c r="L841" s="64"/>
      <c r="M841" s="64"/>
      <c r="N841" s="64"/>
      <c r="O841" s="64"/>
      <c r="P841" s="64"/>
      <c r="Q841" s="64"/>
      <c r="R841" s="64"/>
      <c r="S841" s="64"/>
      <c r="T841" s="64"/>
      <c r="U841" s="64"/>
      <c r="V841" s="64"/>
      <c r="W841" s="64"/>
      <c r="X841" s="64"/>
      <c r="Y841" s="64"/>
      <c r="BH841" s="64"/>
      <c r="BI841" s="64"/>
      <c r="BJ841" s="64"/>
      <c r="BK841" s="64"/>
      <c r="BL841" s="64"/>
      <c r="BM841" s="64"/>
      <c r="BN841" s="64"/>
      <c r="BO841" s="64"/>
      <c r="BP841" s="64"/>
      <c r="BQ841" s="64"/>
      <c r="BR841" s="64"/>
    </row>
    <row r="842" ht="18.75" customHeight="1">
      <c r="G842" s="122"/>
      <c r="H842" s="64"/>
      <c r="L842" s="64"/>
      <c r="M842" s="64"/>
      <c r="N842" s="64"/>
      <c r="O842" s="64"/>
      <c r="P842" s="64"/>
      <c r="Q842" s="64"/>
      <c r="R842" s="64"/>
      <c r="S842" s="64"/>
      <c r="T842" s="64"/>
      <c r="U842" s="64"/>
      <c r="V842" s="64"/>
      <c r="W842" s="64"/>
      <c r="X842" s="64"/>
      <c r="Y842" s="64"/>
      <c r="BH842" s="64"/>
      <c r="BI842" s="64"/>
      <c r="BJ842" s="64"/>
      <c r="BK842" s="64"/>
      <c r="BL842" s="64"/>
      <c r="BM842" s="64"/>
      <c r="BN842" s="64"/>
      <c r="BO842" s="64"/>
      <c r="BP842" s="64"/>
      <c r="BQ842" s="64"/>
      <c r="BR842" s="64"/>
    </row>
    <row r="843" ht="18.75" customHeight="1">
      <c r="G843" s="122"/>
      <c r="H843" s="64"/>
      <c r="L843" s="64"/>
      <c r="M843" s="64"/>
      <c r="N843" s="64"/>
      <c r="O843" s="64"/>
      <c r="P843" s="64"/>
      <c r="Q843" s="64"/>
      <c r="R843" s="64"/>
      <c r="S843" s="64"/>
      <c r="T843" s="64"/>
      <c r="U843" s="64"/>
      <c r="V843" s="64"/>
      <c r="W843" s="64"/>
      <c r="X843" s="64"/>
      <c r="Y843" s="64"/>
      <c r="BH843" s="64"/>
      <c r="BI843" s="64"/>
      <c r="BJ843" s="64"/>
      <c r="BK843" s="64"/>
      <c r="BL843" s="64"/>
      <c r="BM843" s="64"/>
      <c r="BN843" s="64"/>
      <c r="BO843" s="64"/>
      <c r="BP843" s="64"/>
      <c r="BQ843" s="64"/>
      <c r="BR843" s="64"/>
    </row>
    <row r="844" ht="18.75" customHeight="1">
      <c r="G844" s="122"/>
      <c r="H844" s="64"/>
      <c r="L844" s="64"/>
      <c r="M844" s="64"/>
      <c r="N844" s="64"/>
      <c r="O844" s="64"/>
      <c r="P844" s="64"/>
      <c r="Q844" s="64"/>
      <c r="R844" s="64"/>
      <c r="S844" s="64"/>
      <c r="T844" s="64"/>
      <c r="U844" s="64"/>
      <c r="V844" s="64"/>
      <c r="W844" s="64"/>
      <c r="X844" s="64"/>
      <c r="Y844" s="64"/>
      <c r="BH844" s="64"/>
      <c r="BI844" s="64"/>
      <c r="BJ844" s="64"/>
      <c r="BK844" s="64"/>
      <c r="BL844" s="64"/>
      <c r="BM844" s="64"/>
      <c r="BN844" s="64"/>
      <c r="BO844" s="64"/>
      <c r="BP844" s="64"/>
      <c r="BQ844" s="64"/>
      <c r="BR844" s="64"/>
    </row>
    <row r="845" ht="18.75" customHeight="1">
      <c r="G845" s="122"/>
      <c r="H845" s="64"/>
      <c r="L845" s="64"/>
      <c r="M845" s="64"/>
      <c r="N845" s="64"/>
      <c r="O845" s="64"/>
      <c r="P845" s="64"/>
      <c r="Q845" s="64"/>
      <c r="R845" s="64"/>
      <c r="S845" s="64"/>
      <c r="T845" s="64"/>
      <c r="U845" s="64"/>
      <c r="V845" s="64"/>
      <c r="W845" s="64"/>
      <c r="X845" s="64"/>
      <c r="Y845" s="64"/>
      <c r="BH845" s="64"/>
      <c r="BI845" s="64"/>
      <c r="BJ845" s="64"/>
      <c r="BK845" s="64"/>
      <c r="BL845" s="64"/>
      <c r="BM845" s="64"/>
      <c r="BN845" s="64"/>
      <c r="BO845" s="64"/>
      <c r="BP845" s="64"/>
      <c r="BQ845" s="64"/>
      <c r="BR845" s="64"/>
    </row>
    <row r="846" ht="18.75" customHeight="1">
      <c r="G846" s="122"/>
      <c r="H846" s="64"/>
      <c r="L846" s="64"/>
      <c r="M846" s="64"/>
      <c r="N846" s="64"/>
      <c r="O846" s="64"/>
      <c r="P846" s="64"/>
      <c r="Q846" s="64"/>
      <c r="R846" s="64"/>
      <c r="S846" s="64"/>
      <c r="T846" s="64"/>
      <c r="U846" s="64"/>
      <c r="V846" s="64"/>
      <c r="W846" s="64"/>
      <c r="X846" s="64"/>
      <c r="Y846" s="64"/>
      <c r="BH846" s="64"/>
      <c r="BI846" s="64"/>
      <c r="BJ846" s="64"/>
      <c r="BK846" s="64"/>
      <c r="BL846" s="64"/>
      <c r="BM846" s="64"/>
      <c r="BN846" s="64"/>
      <c r="BO846" s="64"/>
      <c r="BP846" s="64"/>
      <c r="BQ846" s="64"/>
      <c r="BR846" s="64"/>
    </row>
    <row r="847" ht="18.75" customHeight="1">
      <c r="G847" s="122"/>
      <c r="H847" s="64"/>
      <c r="L847" s="64"/>
      <c r="M847" s="64"/>
      <c r="N847" s="64"/>
      <c r="O847" s="64"/>
      <c r="P847" s="64"/>
      <c r="Q847" s="64"/>
      <c r="R847" s="64"/>
      <c r="S847" s="64"/>
      <c r="T847" s="64"/>
      <c r="U847" s="64"/>
      <c r="V847" s="64"/>
      <c r="W847" s="64"/>
      <c r="X847" s="64"/>
      <c r="Y847" s="64"/>
      <c r="BH847" s="64"/>
      <c r="BI847" s="64"/>
      <c r="BJ847" s="64"/>
      <c r="BK847" s="64"/>
      <c r="BL847" s="64"/>
      <c r="BM847" s="64"/>
      <c r="BN847" s="64"/>
      <c r="BO847" s="64"/>
      <c r="BP847" s="64"/>
      <c r="BQ847" s="64"/>
      <c r="BR847" s="64"/>
    </row>
    <row r="848" ht="18.75" customHeight="1">
      <c r="G848" s="122"/>
      <c r="H848" s="64"/>
      <c r="L848" s="64"/>
      <c r="M848" s="64"/>
      <c r="N848" s="64"/>
      <c r="O848" s="64"/>
      <c r="P848" s="64"/>
      <c r="Q848" s="64"/>
      <c r="R848" s="64"/>
      <c r="S848" s="64"/>
      <c r="T848" s="64"/>
      <c r="U848" s="64"/>
      <c r="V848" s="64"/>
      <c r="W848" s="64"/>
      <c r="X848" s="64"/>
      <c r="Y848" s="64"/>
      <c r="BH848" s="64"/>
      <c r="BI848" s="64"/>
      <c r="BJ848" s="64"/>
      <c r="BK848" s="64"/>
      <c r="BL848" s="64"/>
      <c r="BM848" s="64"/>
      <c r="BN848" s="64"/>
      <c r="BO848" s="64"/>
      <c r="BP848" s="64"/>
      <c r="BQ848" s="64"/>
      <c r="BR848" s="64"/>
    </row>
    <row r="849" ht="18.75" customHeight="1">
      <c r="G849" s="122"/>
      <c r="H849" s="64"/>
      <c r="L849" s="64"/>
      <c r="M849" s="64"/>
      <c r="N849" s="64"/>
      <c r="O849" s="64"/>
      <c r="P849" s="64"/>
      <c r="Q849" s="64"/>
      <c r="R849" s="64"/>
      <c r="S849" s="64"/>
      <c r="T849" s="64"/>
      <c r="U849" s="64"/>
      <c r="V849" s="64"/>
      <c r="W849" s="64"/>
      <c r="X849" s="64"/>
      <c r="Y849" s="64"/>
      <c r="BH849" s="64"/>
      <c r="BI849" s="64"/>
      <c r="BJ849" s="64"/>
      <c r="BK849" s="64"/>
      <c r="BL849" s="64"/>
      <c r="BM849" s="64"/>
      <c r="BN849" s="64"/>
      <c r="BO849" s="64"/>
      <c r="BP849" s="64"/>
      <c r="BQ849" s="64"/>
      <c r="BR849" s="64"/>
    </row>
    <row r="850" ht="18.75" customHeight="1">
      <c r="G850" s="122"/>
      <c r="H850" s="64"/>
      <c r="L850" s="64"/>
      <c r="M850" s="64"/>
      <c r="N850" s="64"/>
      <c r="O850" s="64"/>
      <c r="P850" s="64"/>
      <c r="Q850" s="64"/>
      <c r="R850" s="64"/>
      <c r="S850" s="64"/>
      <c r="T850" s="64"/>
      <c r="U850" s="64"/>
      <c r="V850" s="64"/>
      <c r="W850" s="64"/>
      <c r="X850" s="64"/>
      <c r="Y850" s="64"/>
      <c r="BH850" s="64"/>
      <c r="BI850" s="64"/>
      <c r="BJ850" s="64"/>
      <c r="BK850" s="64"/>
      <c r="BL850" s="64"/>
      <c r="BM850" s="64"/>
      <c r="BN850" s="64"/>
      <c r="BO850" s="64"/>
      <c r="BP850" s="64"/>
      <c r="BQ850" s="64"/>
      <c r="BR850" s="64"/>
    </row>
    <row r="851" ht="18.75" customHeight="1">
      <c r="G851" s="122"/>
      <c r="H851" s="64"/>
      <c r="L851" s="64"/>
      <c r="M851" s="64"/>
      <c r="N851" s="64"/>
      <c r="O851" s="64"/>
      <c r="P851" s="64"/>
      <c r="Q851" s="64"/>
      <c r="R851" s="64"/>
      <c r="S851" s="64"/>
      <c r="T851" s="64"/>
      <c r="U851" s="64"/>
      <c r="V851" s="64"/>
      <c r="W851" s="64"/>
      <c r="X851" s="64"/>
      <c r="Y851" s="64"/>
      <c r="BH851" s="64"/>
      <c r="BI851" s="64"/>
      <c r="BJ851" s="64"/>
      <c r="BK851" s="64"/>
      <c r="BL851" s="64"/>
      <c r="BM851" s="64"/>
      <c r="BN851" s="64"/>
      <c r="BO851" s="64"/>
      <c r="BP851" s="64"/>
      <c r="BQ851" s="64"/>
      <c r="BR851" s="64"/>
    </row>
    <row r="852" ht="18.75" customHeight="1">
      <c r="G852" s="122"/>
      <c r="H852" s="64"/>
      <c r="L852" s="64"/>
      <c r="M852" s="64"/>
      <c r="N852" s="64"/>
      <c r="O852" s="64"/>
      <c r="P852" s="64"/>
      <c r="Q852" s="64"/>
      <c r="R852" s="64"/>
      <c r="S852" s="64"/>
      <c r="T852" s="64"/>
      <c r="U852" s="64"/>
      <c r="V852" s="64"/>
      <c r="W852" s="64"/>
      <c r="X852" s="64"/>
      <c r="Y852" s="64"/>
      <c r="BH852" s="64"/>
      <c r="BI852" s="64"/>
      <c r="BJ852" s="64"/>
      <c r="BK852" s="64"/>
      <c r="BL852" s="64"/>
      <c r="BM852" s="64"/>
      <c r="BN852" s="64"/>
      <c r="BO852" s="64"/>
      <c r="BP852" s="64"/>
      <c r="BQ852" s="64"/>
      <c r="BR852" s="64"/>
    </row>
    <row r="853" ht="18.75" customHeight="1">
      <c r="G853" s="122"/>
      <c r="H853" s="64"/>
      <c r="L853" s="64"/>
      <c r="M853" s="64"/>
      <c r="N853" s="64"/>
      <c r="O853" s="64"/>
      <c r="P853" s="64"/>
      <c r="Q853" s="64"/>
      <c r="R853" s="64"/>
      <c r="S853" s="64"/>
      <c r="T853" s="64"/>
      <c r="U853" s="64"/>
      <c r="V853" s="64"/>
      <c r="W853" s="64"/>
      <c r="X853" s="64"/>
      <c r="Y853" s="64"/>
      <c r="BH853" s="64"/>
      <c r="BI853" s="64"/>
      <c r="BJ853" s="64"/>
      <c r="BK853" s="64"/>
      <c r="BL853" s="64"/>
      <c r="BM853" s="64"/>
      <c r="BN853" s="64"/>
      <c r="BO853" s="64"/>
      <c r="BP853" s="64"/>
      <c r="BQ853" s="64"/>
      <c r="BR853" s="64"/>
    </row>
    <row r="854" ht="18.75" customHeight="1">
      <c r="G854" s="122"/>
      <c r="H854" s="64"/>
      <c r="L854" s="64"/>
      <c r="M854" s="64"/>
      <c r="N854" s="64"/>
      <c r="O854" s="64"/>
      <c r="P854" s="64"/>
      <c r="Q854" s="64"/>
      <c r="R854" s="64"/>
      <c r="S854" s="64"/>
      <c r="T854" s="64"/>
      <c r="U854" s="64"/>
      <c r="V854" s="64"/>
      <c r="W854" s="64"/>
      <c r="X854" s="64"/>
      <c r="Y854" s="64"/>
      <c r="BH854" s="64"/>
      <c r="BI854" s="64"/>
      <c r="BJ854" s="64"/>
      <c r="BK854" s="64"/>
      <c r="BL854" s="64"/>
      <c r="BM854" s="64"/>
      <c r="BN854" s="64"/>
      <c r="BO854" s="64"/>
      <c r="BP854" s="64"/>
      <c r="BQ854" s="64"/>
      <c r="BR854" s="64"/>
    </row>
    <row r="855" ht="18.75" customHeight="1">
      <c r="G855" s="122"/>
      <c r="H855" s="64"/>
      <c r="L855" s="64"/>
      <c r="M855" s="64"/>
      <c r="N855" s="64"/>
      <c r="O855" s="64"/>
      <c r="P855" s="64"/>
      <c r="Q855" s="64"/>
      <c r="R855" s="64"/>
      <c r="S855" s="64"/>
      <c r="T855" s="64"/>
      <c r="U855" s="64"/>
      <c r="V855" s="64"/>
      <c r="W855" s="64"/>
      <c r="X855" s="64"/>
      <c r="Y855" s="64"/>
      <c r="BH855" s="64"/>
      <c r="BI855" s="64"/>
      <c r="BJ855" s="64"/>
      <c r="BK855" s="64"/>
      <c r="BL855" s="64"/>
      <c r="BM855" s="64"/>
      <c r="BN855" s="64"/>
      <c r="BO855" s="64"/>
      <c r="BP855" s="64"/>
      <c r="BQ855" s="64"/>
      <c r="BR855" s="64"/>
    </row>
    <row r="856" ht="18.75" customHeight="1">
      <c r="G856" s="122"/>
      <c r="H856" s="64"/>
      <c r="L856" s="64"/>
      <c r="M856" s="64"/>
      <c r="N856" s="64"/>
      <c r="O856" s="64"/>
      <c r="P856" s="64"/>
      <c r="Q856" s="64"/>
      <c r="R856" s="64"/>
      <c r="S856" s="64"/>
      <c r="T856" s="64"/>
      <c r="U856" s="64"/>
      <c r="V856" s="64"/>
      <c r="W856" s="64"/>
      <c r="X856" s="64"/>
      <c r="Y856" s="64"/>
      <c r="BH856" s="64"/>
      <c r="BI856" s="64"/>
      <c r="BJ856" s="64"/>
      <c r="BK856" s="64"/>
      <c r="BL856" s="64"/>
      <c r="BM856" s="64"/>
      <c r="BN856" s="64"/>
      <c r="BO856" s="64"/>
      <c r="BP856" s="64"/>
      <c r="BQ856" s="64"/>
      <c r="BR856" s="64"/>
    </row>
    <row r="857" ht="18.75" customHeight="1">
      <c r="G857" s="122"/>
      <c r="H857" s="64"/>
      <c r="L857" s="64"/>
      <c r="M857" s="64"/>
      <c r="N857" s="64"/>
      <c r="O857" s="64"/>
      <c r="P857" s="64"/>
      <c r="Q857" s="64"/>
      <c r="R857" s="64"/>
      <c r="S857" s="64"/>
      <c r="T857" s="64"/>
      <c r="U857" s="64"/>
      <c r="V857" s="64"/>
      <c r="W857" s="64"/>
      <c r="X857" s="64"/>
      <c r="Y857" s="64"/>
      <c r="BH857" s="64"/>
      <c r="BI857" s="64"/>
      <c r="BJ857" s="64"/>
      <c r="BK857" s="64"/>
      <c r="BL857" s="64"/>
      <c r="BM857" s="64"/>
      <c r="BN857" s="64"/>
      <c r="BO857" s="64"/>
      <c r="BP857" s="64"/>
      <c r="BQ857" s="64"/>
      <c r="BR857" s="64"/>
    </row>
    <row r="858" ht="18.75" customHeight="1">
      <c r="G858" s="122"/>
      <c r="H858" s="64"/>
      <c r="L858" s="64"/>
      <c r="M858" s="64"/>
      <c r="N858" s="64"/>
      <c r="O858" s="64"/>
      <c r="P858" s="64"/>
      <c r="Q858" s="64"/>
      <c r="R858" s="64"/>
      <c r="S858" s="64"/>
      <c r="T858" s="64"/>
      <c r="U858" s="64"/>
      <c r="V858" s="64"/>
      <c r="W858" s="64"/>
      <c r="X858" s="64"/>
      <c r="Y858" s="64"/>
      <c r="BH858" s="64"/>
      <c r="BI858" s="64"/>
      <c r="BJ858" s="64"/>
      <c r="BK858" s="64"/>
      <c r="BL858" s="64"/>
      <c r="BM858" s="64"/>
      <c r="BN858" s="64"/>
      <c r="BO858" s="64"/>
      <c r="BP858" s="64"/>
      <c r="BQ858" s="64"/>
      <c r="BR858" s="64"/>
    </row>
    <row r="859" ht="18.75" customHeight="1">
      <c r="G859" s="122"/>
      <c r="H859" s="64"/>
      <c r="L859" s="64"/>
      <c r="M859" s="64"/>
      <c r="N859" s="64"/>
      <c r="O859" s="64"/>
      <c r="P859" s="64"/>
      <c r="Q859" s="64"/>
      <c r="R859" s="64"/>
      <c r="S859" s="64"/>
      <c r="T859" s="64"/>
      <c r="U859" s="64"/>
      <c r="V859" s="64"/>
      <c r="W859" s="64"/>
      <c r="X859" s="64"/>
      <c r="Y859" s="64"/>
      <c r="BH859" s="64"/>
      <c r="BI859" s="64"/>
      <c r="BJ859" s="64"/>
      <c r="BK859" s="64"/>
      <c r="BL859" s="64"/>
      <c r="BM859" s="64"/>
      <c r="BN859" s="64"/>
      <c r="BO859" s="64"/>
      <c r="BP859" s="64"/>
      <c r="BQ859" s="64"/>
      <c r="BR859" s="64"/>
    </row>
    <row r="860" ht="18.75" customHeight="1">
      <c r="G860" s="122"/>
      <c r="H860" s="64"/>
      <c r="L860" s="64"/>
      <c r="M860" s="64"/>
      <c r="N860" s="64"/>
      <c r="O860" s="64"/>
      <c r="P860" s="64"/>
      <c r="Q860" s="64"/>
      <c r="R860" s="64"/>
      <c r="S860" s="64"/>
      <c r="T860" s="64"/>
      <c r="U860" s="64"/>
      <c r="V860" s="64"/>
      <c r="W860" s="64"/>
      <c r="X860" s="64"/>
      <c r="Y860" s="64"/>
      <c r="BH860" s="64"/>
      <c r="BI860" s="64"/>
      <c r="BJ860" s="64"/>
      <c r="BK860" s="64"/>
      <c r="BL860" s="64"/>
      <c r="BM860" s="64"/>
      <c r="BN860" s="64"/>
      <c r="BO860" s="64"/>
      <c r="BP860" s="64"/>
      <c r="BQ860" s="64"/>
      <c r="BR860" s="64"/>
    </row>
    <row r="861" ht="18.75" customHeight="1">
      <c r="G861" s="122"/>
      <c r="H861" s="64"/>
      <c r="L861" s="64"/>
      <c r="M861" s="64"/>
      <c r="N861" s="64"/>
      <c r="O861" s="64"/>
      <c r="P861" s="64"/>
      <c r="Q861" s="64"/>
      <c r="R861" s="64"/>
      <c r="S861" s="64"/>
      <c r="T861" s="64"/>
      <c r="U861" s="64"/>
      <c r="V861" s="64"/>
      <c r="W861" s="64"/>
      <c r="X861" s="64"/>
      <c r="Y861" s="64"/>
      <c r="BH861" s="64"/>
      <c r="BI861" s="64"/>
      <c r="BJ861" s="64"/>
      <c r="BK861" s="64"/>
      <c r="BL861" s="64"/>
      <c r="BM861" s="64"/>
      <c r="BN861" s="64"/>
      <c r="BO861" s="64"/>
      <c r="BP861" s="64"/>
      <c r="BQ861" s="64"/>
      <c r="BR861" s="64"/>
    </row>
    <row r="862" ht="18.75" customHeight="1">
      <c r="G862" s="122"/>
      <c r="H862" s="64"/>
      <c r="L862" s="64"/>
      <c r="M862" s="64"/>
      <c r="N862" s="64"/>
      <c r="O862" s="64"/>
      <c r="P862" s="64"/>
      <c r="Q862" s="64"/>
      <c r="R862" s="64"/>
      <c r="S862" s="64"/>
      <c r="T862" s="64"/>
      <c r="U862" s="64"/>
      <c r="V862" s="64"/>
      <c r="W862" s="64"/>
      <c r="X862" s="64"/>
      <c r="Y862" s="64"/>
      <c r="BH862" s="64"/>
      <c r="BI862" s="64"/>
      <c r="BJ862" s="64"/>
      <c r="BK862" s="64"/>
      <c r="BL862" s="64"/>
      <c r="BM862" s="64"/>
      <c r="BN862" s="64"/>
      <c r="BO862" s="64"/>
      <c r="BP862" s="64"/>
      <c r="BQ862" s="64"/>
      <c r="BR862" s="64"/>
    </row>
    <row r="863" ht="18.75" customHeight="1">
      <c r="G863" s="122"/>
      <c r="H863" s="64"/>
      <c r="L863" s="64"/>
      <c r="M863" s="64"/>
      <c r="N863" s="64"/>
      <c r="O863" s="64"/>
      <c r="P863" s="64"/>
      <c r="Q863" s="64"/>
      <c r="R863" s="64"/>
      <c r="S863" s="64"/>
      <c r="T863" s="64"/>
      <c r="U863" s="64"/>
      <c r="V863" s="64"/>
      <c r="W863" s="64"/>
      <c r="X863" s="64"/>
      <c r="Y863" s="64"/>
      <c r="BH863" s="64"/>
      <c r="BI863" s="64"/>
      <c r="BJ863" s="64"/>
      <c r="BK863" s="64"/>
      <c r="BL863" s="64"/>
      <c r="BM863" s="64"/>
      <c r="BN863" s="64"/>
      <c r="BO863" s="64"/>
      <c r="BP863" s="64"/>
      <c r="BQ863" s="64"/>
      <c r="BR863" s="64"/>
    </row>
    <row r="864" ht="18.75" customHeight="1">
      <c r="G864" s="122"/>
      <c r="H864" s="64"/>
      <c r="L864" s="64"/>
      <c r="M864" s="64"/>
      <c r="N864" s="64"/>
      <c r="O864" s="64"/>
      <c r="P864" s="64"/>
      <c r="Q864" s="64"/>
      <c r="R864" s="64"/>
      <c r="S864" s="64"/>
      <c r="T864" s="64"/>
      <c r="U864" s="64"/>
      <c r="V864" s="64"/>
      <c r="W864" s="64"/>
      <c r="X864" s="64"/>
      <c r="Y864" s="64"/>
      <c r="BH864" s="64"/>
      <c r="BI864" s="64"/>
      <c r="BJ864" s="64"/>
      <c r="BK864" s="64"/>
      <c r="BL864" s="64"/>
      <c r="BM864" s="64"/>
      <c r="BN864" s="64"/>
      <c r="BO864" s="64"/>
      <c r="BP864" s="64"/>
      <c r="BQ864" s="64"/>
      <c r="BR864" s="64"/>
    </row>
    <row r="865" ht="18.75" customHeight="1">
      <c r="G865" s="122"/>
      <c r="H865" s="64"/>
      <c r="L865" s="64"/>
      <c r="M865" s="64"/>
      <c r="N865" s="64"/>
      <c r="O865" s="64"/>
      <c r="P865" s="64"/>
      <c r="Q865" s="64"/>
      <c r="R865" s="64"/>
      <c r="S865" s="64"/>
      <c r="T865" s="64"/>
      <c r="U865" s="64"/>
      <c r="V865" s="64"/>
      <c r="W865" s="64"/>
      <c r="X865" s="64"/>
      <c r="Y865" s="64"/>
      <c r="BH865" s="64"/>
      <c r="BI865" s="64"/>
      <c r="BJ865" s="64"/>
      <c r="BK865" s="64"/>
      <c r="BL865" s="64"/>
      <c r="BM865" s="64"/>
      <c r="BN865" s="64"/>
      <c r="BO865" s="64"/>
      <c r="BP865" s="64"/>
      <c r="BQ865" s="64"/>
      <c r="BR865" s="64"/>
    </row>
    <row r="866" ht="18.75" customHeight="1">
      <c r="G866" s="122"/>
      <c r="H866" s="64"/>
      <c r="L866" s="64"/>
      <c r="M866" s="64"/>
      <c r="N866" s="64"/>
      <c r="O866" s="64"/>
      <c r="P866" s="64"/>
      <c r="Q866" s="64"/>
      <c r="R866" s="64"/>
      <c r="S866" s="64"/>
      <c r="T866" s="64"/>
      <c r="U866" s="64"/>
      <c r="V866" s="64"/>
      <c r="W866" s="64"/>
      <c r="X866" s="64"/>
      <c r="Y866" s="64"/>
      <c r="BH866" s="64"/>
      <c r="BI866" s="64"/>
      <c r="BJ866" s="64"/>
      <c r="BK866" s="64"/>
      <c r="BL866" s="64"/>
      <c r="BM866" s="64"/>
      <c r="BN866" s="64"/>
      <c r="BO866" s="64"/>
      <c r="BP866" s="64"/>
      <c r="BQ866" s="64"/>
      <c r="BR866" s="64"/>
    </row>
    <row r="867" ht="18.75" customHeight="1">
      <c r="G867" s="122"/>
      <c r="H867" s="64"/>
      <c r="L867" s="64"/>
      <c r="M867" s="64"/>
      <c r="N867" s="64"/>
      <c r="O867" s="64"/>
      <c r="P867" s="64"/>
      <c r="Q867" s="64"/>
      <c r="R867" s="64"/>
      <c r="S867" s="64"/>
      <c r="T867" s="64"/>
      <c r="U867" s="64"/>
      <c r="V867" s="64"/>
      <c r="W867" s="64"/>
      <c r="X867" s="64"/>
      <c r="Y867" s="64"/>
      <c r="BH867" s="64"/>
      <c r="BI867" s="64"/>
      <c r="BJ867" s="64"/>
      <c r="BK867" s="64"/>
      <c r="BL867" s="64"/>
      <c r="BM867" s="64"/>
      <c r="BN867" s="64"/>
      <c r="BO867" s="64"/>
      <c r="BP867" s="64"/>
      <c r="BQ867" s="64"/>
      <c r="BR867" s="64"/>
    </row>
    <row r="868" ht="18.75" customHeight="1">
      <c r="G868" s="122"/>
      <c r="H868" s="64"/>
      <c r="L868" s="64"/>
      <c r="M868" s="64"/>
      <c r="N868" s="64"/>
      <c r="O868" s="64"/>
      <c r="P868" s="64"/>
      <c r="Q868" s="64"/>
      <c r="R868" s="64"/>
      <c r="S868" s="64"/>
      <c r="T868" s="64"/>
      <c r="U868" s="64"/>
      <c r="V868" s="64"/>
      <c r="W868" s="64"/>
      <c r="X868" s="64"/>
      <c r="Y868" s="64"/>
      <c r="BH868" s="64"/>
      <c r="BI868" s="64"/>
      <c r="BJ868" s="64"/>
      <c r="BK868" s="64"/>
      <c r="BL868" s="64"/>
      <c r="BM868" s="64"/>
      <c r="BN868" s="64"/>
      <c r="BO868" s="64"/>
      <c r="BP868" s="64"/>
      <c r="BQ868" s="64"/>
      <c r="BR868" s="64"/>
    </row>
    <row r="869" ht="18.75" customHeight="1">
      <c r="G869" s="122"/>
      <c r="H869" s="64"/>
      <c r="L869" s="64"/>
      <c r="M869" s="64"/>
      <c r="N869" s="64"/>
      <c r="O869" s="64"/>
      <c r="P869" s="64"/>
      <c r="Q869" s="64"/>
      <c r="R869" s="64"/>
      <c r="S869" s="64"/>
      <c r="T869" s="64"/>
      <c r="U869" s="64"/>
      <c r="V869" s="64"/>
      <c r="W869" s="64"/>
      <c r="X869" s="64"/>
      <c r="Y869" s="64"/>
      <c r="BH869" s="64"/>
      <c r="BI869" s="64"/>
      <c r="BJ869" s="64"/>
      <c r="BK869" s="64"/>
      <c r="BL869" s="64"/>
      <c r="BM869" s="64"/>
      <c r="BN869" s="64"/>
      <c r="BO869" s="64"/>
      <c r="BP869" s="64"/>
      <c r="BQ869" s="64"/>
      <c r="BR869" s="64"/>
    </row>
    <row r="870" ht="18.75" customHeight="1">
      <c r="G870" s="122"/>
      <c r="H870" s="64"/>
      <c r="L870" s="64"/>
      <c r="M870" s="64"/>
      <c r="N870" s="64"/>
      <c r="O870" s="64"/>
      <c r="P870" s="64"/>
      <c r="Q870" s="64"/>
      <c r="R870" s="64"/>
      <c r="S870" s="64"/>
      <c r="T870" s="64"/>
      <c r="U870" s="64"/>
      <c r="V870" s="64"/>
      <c r="W870" s="64"/>
      <c r="X870" s="64"/>
      <c r="Y870" s="64"/>
      <c r="BH870" s="64"/>
      <c r="BI870" s="64"/>
      <c r="BJ870" s="64"/>
      <c r="BK870" s="64"/>
      <c r="BL870" s="64"/>
      <c r="BM870" s="64"/>
      <c r="BN870" s="64"/>
      <c r="BO870" s="64"/>
      <c r="BP870" s="64"/>
      <c r="BQ870" s="64"/>
      <c r="BR870" s="64"/>
    </row>
    <row r="871" ht="18.75" customHeight="1">
      <c r="G871" s="122"/>
      <c r="H871" s="64"/>
      <c r="L871" s="64"/>
      <c r="M871" s="64"/>
      <c r="N871" s="64"/>
      <c r="O871" s="64"/>
      <c r="P871" s="64"/>
      <c r="Q871" s="64"/>
      <c r="R871" s="64"/>
      <c r="S871" s="64"/>
      <c r="T871" s="64"/>
      <c r="U871" s="64"/>
      <c r="V871" s="64"/>
      <c r="W871" s="64"/>
      <c r="X871" s="64"/>
      <c r="Y871" s="64"/>
      <c r="BH871" s="64"/>
      <c r="BI871" s="64"/>
      <c r="BJ871" s="64"/>
      <c r="BK871" s="64"/>
      <c r="BL871" s="64"/>
      <c r="BM871" s="64"/>
      <c r="BN871" s="64"/>
      <c r="BO871" s="64"/>
      <c r="BP871" s="64"/>
      <c r="BQ871" s="64"/>
      <c r="BR871" s="64"/>
    </row>
    <row r="872" ht="18.75" customHeight="1">
      <c r="G872" s="122"/>
      <c r="H872" s="64"/>
      <c r="L872" s="64"/>
      <c r="M872" s="64"/>
      <c r="N872" s="64"/>
      <c r="O872" s="64"/>
      <c r="P872" s="64"/>
      <c r="Q872" s="64"/>
      <c r="R872" s="64"/>
      <c r="S872" s="64"/>
      <c r="T872" s="64"/>
      <c r="U872" s="64"/>
      <c r="V872" s="64"/>
      <c r="W872" s="64"/>
      <c r="X872" s="64"/>
      <c r="Y872" s="64"/>
      <c r="BH872" s="64"/>
      <c r="BI872" s="64"/>
      <c r="BJ872" s="64"/>
      <c r="BK872" s="64"/>
      <c r="BL872" s="64"/>
      <c r="BM872" s="64"/>
      <c r="BN872" s="64"/>
      <c r="BO872" s="64"/>
      <c r="BP872" s="64"/>
      <c r="BQ872" s="64"/>
      <c r="BR872" s="64"/>
    </row>
    <row r="873" ht="18.75" customHeight="1">
      <c r="G873" s="122"/>
      <c r="H873" s="64"/>
      <c r="L873" s="64"/>
      <c r="M873" s="64"/>
      <c r="N873" s="64"/>
      <c r="O873" s="64"/>
      <c r="P873" s="64"/>
      <c r="Q873" s="64"/>
      <c r="R873" s="64"/>
      <c r="S873" s="64"/>
      <c r="T873" s="64"/>
      <c r="U873" s="64"/>
      <c r="V873" s="64"/>
      <c r="W873" s="64"/>
      <c r="X873" s="64"/>
      <c r="Y873" s="64"/>
      <c r="BH873" s="64"/>
      <c r="BI873" s="64"/>
      <c r="BJ873" s="64"/>
      <c r="BK873" s="64"/>
      <c r="BL873" s="64"/>
      <c r="BM873" s="64"/>
      <c r="BN873" s="64"/>
      <c r="BO873" s="64"/>
      <c r="BP873" s="64"/>
      <c r="BQ873" s="64"/>
      <c r="BR873" s="64"/>
    </row>
    <row r="874" ht="18.75" customHeight="1">
      <c r="G874" s="122"/>
      <c r="H874" s="64"/>
      <c r="L874" s="64"/>
      <c r="M874" s="64"/>
      <c r="N874" s="64"/>
      <c r="O874" s="64"/>
      <c r="P874" s="64"/>
      <c r="Q874" s="64"/>
      <c r="R874" s="64"/>
      <c r="S874" s="64"/>
      <c r="T874" s="64"/>
      <c r="U874" s="64"/>
      <c r="V874" s="64"/>
      <c r="W874" s="64"/>
      <c r="X874" s="64"/>
      <c r="Y874" s="64"/>
      <c r="BH874" s="64"/>
      <c r="BI874" s="64"/>
      <c r="BJ874" s="64"/>
      <c r="BK874" s="64"/>
      <c r="BL874" s="64"/>
      <c r="BM874" s="64"/>
      <c r="BN874" s="64"/>
      <c r="BO874" s="64"/>
      <c r="BP874" s="64"/>
      <c r="BQ874" s="64"/>
      <c r="BR874" s="64"/>
    </row>
    <row r="875" ht="18.75" customHeight="1">
      <c r="G875" s="122"/>
      <c r="H875" s="64"/>
      <c r="L875" s="64"/>
      <c r="M875" s="64"/>
      <c r="N875" s="64"/>
      <c r="O875" s="64"/>
      <c r="P875" s="64"/>
      <c r="Q875" s="64"/>
      <c r="R875" s="64"/>
      <c r="S875" s="64"/>
      <c r="T875" s="64"/>
      <c r="U875" s="64"/>
      <c r="V875" s="64"/>
      <c r="W875" s="64"/>
      <c r="X875" s="64"/>
      <c r="Y875" s="64"/>
      <c r="BH875" s="64"/>
      <c r="BI875" s="64"/>
      <c r="BJ875" s="64"/>
      <c r="BK875" s="64"/>
      <c r="BL875" s="64"/>
      <c r="BM875" s="64"/>
      <c r="BN875" s="64"/>
      <c r="BO875" s="64"/>
      <c r="BP875" s="64"/>
      <c r="BQ875" s="64"/>
      <c r="BR875" s="64"/>
    </row>
    <row r="876" ht="18.75" customHeight="1">
      <c r="G876" s="122"/>
      <c r="H876" s="64"/>
      <c r="L876" s="64"/>
      <c r="M876" s="64"/>
      <c r="N876" s="64"/>
      <c r="O876" s="64"/>
      <c r="P876" s="64"/>
      <c r="Q876" s="64"/>
      <c r="R876" s="64"/>
      <c r="S876" s="64"/>
      <c r="T876" s="64"/>
      <c r="U876" s="64"/>
      <c r="V876" s="64"/>
      <c r="W876" s="64"/>
      <c r="X876" s="64"/>
      <c r="Y876" s="64"/>
      <c r="BH876" s="64"/>
      <c r="BI876" s="64"/>
      <c r="BJ876" s="64"/>
      <c r="BK876" s="64"/>
      <c r="BL876" s="64"/>
      <c r="BM876" s="64"/>
      <c r="BN876" s="64"/>
      <c r="BO876" s="64"/>
      <c r="BP876" s="64"/>
      <c r="BQ876" s="64"/>
      <c r="BR876" s="64"/>
    </row>
    <row r="877" ht="18.75" customHeight="1">
      <c r="G877" s="122"/>
      <c r="H877" s="64"/>
      <c r="L877" s="64"/>
      <c r="M877" s="64"/>
      <c r="N877" s="64"/>
      <c r="O877" s="64"/>
      <c r="P877" s="64"/>
      <c r="Q877" s="64"/>
      <c r="R877" s="64"/>
      <c r="S877" s="64"/>
      <c r="T877" s="64"/>
      <c r="U877" s="64"/>
      <c r="V877" s="64"/>
      <c r="W877" s="64"/>
      <c r="X877" s="64"/>
      <c r="Y877" s="64"/>
      <c r="BH877" s="64"/>
      <c r="BI877" s="64"/>
      <c r="BJ877" s="64"/>
      <c r="BK877" s="64"/>
      <c r="BL877" s="64"/>
      <c r="BM877" s="64"/>
      <c r="BN877" s="64"/>
      <c r="BO877" s="64"/>
      <c r="BP877" s="64"/>
      <c r="BQ877" s="64"/>
      <c r="BR877" s="64"/>
    </row>
    <row r="878" ht="18.75" customHeight="1">
      <c r="G878" s="122"/>
      <c r="H878" s="64"/>
      <c r="L878" s="64"/>
      <c r="M878" s="64"/>
      <c r="N878" s="64"/>
      <c r="O878" s="64"/>
      <c r="P878" s="64"/>
      <c r="Q878" s="64"/>
      <c r="R878" s="64"/>
      <c r="S878" s="64"/>
      <c r="T878" s="64"/>
      <c r="U878" s="64"/>
      <c r="V878" s="64"/>
      <c r="W878" s="64"/>
      <c r="X878" s="64"/>
      <c r="Y878" s="64"/>
      <c r="BH878" s="64"/>
      <c r="BI878" s="64"/>
      <c r="BJ878" s="64"/>
      <c r="BK878" s="64"/>
      <c r="BL878" s="64"/>
      <c r="BM878" s="64"/>
      <c r="BN878" s="64"/>
      <c r="BO878" s="64"/>
      <c r="BP878" s="64"/>
      <c r="BQ878" s="64"/>
      <c r="BR878" s="64"/>
    </row>
    <row r="879" ht="18.75" customHeight="1">
      <c r="G879" s="122"/>
      <c r="H879" s="64"/>
      <c r="L879" s="64"/>
      <c r="M879" s="64"/>
      <c r="N879" s="64"/>
      <c r="O879" s="64"/>
      <c r="P879" s="64"/>
      <c r="Q879" s="64"/>
      <c r="R879" s="64"/>
      <c r="S879" s="64"/>
      <c r="T879" s="64"/>
      <c r="U879" s="64"/>
      <c r="V879" s="64"/>
      <c r="W879" s="64"/>
      <c r="X879" s="64"/>
      <c r="Y879" s="64"/>
      <c r="BH879" s="64"/>
      <c r="BI879" s="64"/>
      <c r="BJ879" s="64"/>
      <c r="BK879" s="64"/>
      <c r="BL879" s="64"/>
      <c r="BM879" s="64"/>
      <c r="BN879" s="64"/>
      <c r="BO879" s="64"/>
      <c r="BP879" s="64"/>
      <c r="BQ879" s="64"/>
      <c r="BR879" s="64"/>
    </row>
    <row r="880" ht="18.75" customHeight="1">
      <c r="G880" s="122"/>
      <c r="H880" s="64"/>
      <c r="L880" s="64"/>
      <c r="M880" s="64"/>
      <c r="N880" s="64"/>
      <c r="O880" s="64"/>
      <c r="P880" s="64"/>
      <c r="Q880" s="64"/>
      <c r="R880" s="64"/>
      <c r="S880" s="64"/>
      <c r="T880" s="64"/>
      <c r="U880" s="64"/>
      <c r="V880" s="64"/>
      <c r="W880" s="64"/>
      <c r="X880" s="64"/>
      <c r="Y880" s="64"/>
      <c r="BH880" s="64"/>
      <c r="BI880" s="64"/>
      <c r="BJ880" s="64"/>
      <c r="BK880" s="64"/>
      <c r="BL880" s="64"/>
      <c r="BM880" s="64"/>
      <c r="BN880" s="64"/>
      <c r="BO880" s="64"/>
      <c r="BP880" s="64"/>
      <c r="BQ880" s="64"/>
      <c r="BR880" s="64"/>
    </row>
    <row r="881" ht="18.75" customHeight="1">
      <c r="G881" s="122"/>
      <c r="H881" s="64"/>
      <c r="L881" s="64"/>
      <c r="M881" s="64"/>
      <c r="N881" s="64"/>
      <c r="O881" s="64"/>
      <c r="P881" s="64"/>
      <c r="Q881" s="64"/>
      <c r="R881" s="64"/>
      <c r="S881" s="64"/>
      <c r="T881" s="64"/>
      <c r="U881" s="64"/>
      <c r="V881" s="64"/>
      <c r="W881" s="64"/>
      <c r="X881" s="64"/>
      <c r="Y881" s="64"/>
      <c r="BH881" s="64"/>
      <c r="BI881" s="64"/>
      <c r="BJ881" s="64"/>
      <c r="BK881" s="64"/>
      <c r="BL881" s="64"/>
      <c r="BM881" s="64"/>
      <c r="BN881" s="64"/>
      <c r="BO881" s="64"/>
      <c r="BP881" s="64"/>
      <c r="BQ881" s="64"/>
      <c r="BR881" s="64"/>
    </row>
    <row r="882" ht="18.75" customHeight="1">
      <c r="G882" s="122"/>
      <c r="H882" s="64"/>
      <c r="L882" s="64"/>
      <c r="M882" s="64"/>
      <c r="N882" s="64"/>
      <c r="O882" s="64"/>
      <c r="P882" s="64"/>
      <c r="Q882" s="64"/>
      <c r="R882" s="64"/>
      <c r="S882" s="64"/>
      <c r="T882" s="64"/>
      <c r="U882" s="64"/>
      <c r="V882" s="64"/>
      <c r="W882" s="64"/>
      <c r="X882" s="64"/>
      <c r="Y882" s="64"/>
      <c r="BH882" s="64"/>
      <c r="BI882" s="64"/>
      <c r="BJ882" s="64"/>
      <c r="BK882" s="64"/>
      <c r="BL882" s="64"/>
      <c r="BM882" s="64"/>
      <c r="BN882" s="64"/>
      <c r="BO882" s="64"/>
      <c r="BP882" s="64"/>
      <c r="BQ882" s="64"/>
      <c r="BR882" s="64"/>
    </row>
    <row r="883" ht="18.75" customHeight="1">
      <c r="G883" s="122"/>
      <c r="H883" s="64"/>
      <c r="L883" s="64"/>
      <c r="M883" s="64"/>
      <c r="N883" s="64"/>
      <c r="O883" s="64"/>
      <c r="P883" s="64"/>
      <c r="Q883" s="64"/>
      <c r="R883" s="64"/>
      <c r="S883" s="64"/>
      <c r="T883" s="64"/>
      <c r="U883" s="64"/>
      <c r="V883" s="64"/>
      <c r="W883" s="64"/>
      <c r="X883" s="64"/>
      <c r="Y883" s="64"/>
      <c r="BH883" s="64"/>
      <c r="BI883" s="64"/>
      <c r="BJ883" s="64"/>
      <c r="BK883" s="64"/>
      <c r="BL883" s="64"/>
      <c r="BM883" s="64"/>
      <c r="BN883" s="64"/>
      <c r="BO883" s="64"/>
      <c r="BP883" s="64"/>
      <c r="BQ883" s="64"/>
      <c r="BR883" s="64"/>
    </row>
    <row r="884" ht="18.75" customHeight="1">
      <c r="G884" s="122"/>
      <c r="H884" s="64"/>
      <c r="L884" s="64"/>
      <c r="M884" s="64"/>
      <c r="N884" s="64"/>
      <c r="O884" s="64"/>
      <c r="P884" s="64"/>
      <c r="Q884" s="64"/>
      <c r="R884" s="64"/>
      <c r="S884" s="64"/>
      <c r="T884" s="64"/>
      <c r="U884" s="64"/>
      <c r="V884" s="64"/>
      <c r="W884" s="64"/>
      <c r="X884" s="64"/>
      <c r="Y884" s="64"/>
      <c r="BH884" s="64"/>
      <c r="BI884" s="64"/>
      <c r="BJ884" s="64"/>
      <c r="BK884" s="64"/>
      <c r="BL884" s="64"/>
      <c r="BM884" s="64"/>
      <c r="BN884" s="64"/>
      <c r="BO884" s="64"/>
      <c r="BP884" s="64"/>
      <c r="BQ884" s="64"/>
      <c r="BR884" s="64"/>
    </row>
    <row r="885" ht="18.75" customHeight="1">
      <c r="G885" s="122"/>
      <c r="H885" s="64"/>
      <c r="L885" s="64"/>
      <c r="M885" s="64"/>
      <c r="N885" s="64"/>
      <c r="O885" s="64"/>
      <c r="P885" s="64"/>
      <c r="Q885" s="64"/>
      <c r="R885" s="64"/>
      <c r="S885" s="64"/>
      <c r="T885" s="64"/>
      <c r="U885" s="64"/>
      <c r="V885" s="64"/>
      <c r="W885" s="64"/>
      <c r="X885" s="64"/>
      <c r="Y885" s="64"/>
      <c r="BH885" s="64"/>
      <c r="BI885" s="64"/>
      <c r="BJ885" s="64"/>
      <c r="BK885" s="64"/>
      <c r="BL885" s="64"/>
      <c r="BM885" s="64"/>
      <c r="BN885" s="64"/>
      <c r="BO885" s="64"/>
      <c r="BP885" s="64"/>
      <c r="BQ885" s="64"/>
      <c r="BR885" s="64"/>
    </row>
    <row r="886" ht="18.75" customHeight="1">
      <c r="G886" s="122"/>
      <c r="H886" s="64"/>
      <c r="L886" s="64"/>
      <c r="M886" s="64"/>
      <c r="N886" s="64"/>
      <c r="O886" s="64"/>
      <c r="P886" s="64"/>
      <c r="Q886" s="64"/>
      <c r="R886" s="64"/>
      <c r="S886" s="64"/>
      <c r="T886" s="64"/>
      <c r="U886" s="64"/>
      <c r="V886" s="64"/>
      <c r="W886" s="64"/>
      <c r="X886" s="64"/>
      <c r="Y886" s="64"/>
      <c r="BH886" s="64"/>
      <c r="BI886" s="64"/>
      <c r="BJ886" s="64"/>
      <c r="BK886" s="64"/>
      <c r="BL886" s="64"/>
      <c r="BM886" s="64"/>
      <c r="BN886" s="64"/>
      <c r="BO886" s="64"/>
      <c r="BP886" s="64"/>
      <c r="BQ886" s="64"/>
      <c r="BR886" s="64"/>
    </row>
    <row r="887" ht="18.75" customHeight="1">
      <c r="G887" s="122"/>
      <c r="H887" s="64"/>
      <c r="L887" s="64"/>
      <c r="M887" s="64"/>
      <c r="N887" s="64"/>
      <c r="O887" s="64"/>
      <c r="P887" s="64"/>
      <c r="Q887" s="64"/>
      <c r="R887" s="64"/>
      <c r="S887" s="64"/>
      <c r="T887" s="64"/>
      <c r="U887" s="64"/>
      <c r="V887" s="64"/>
      <c r="W887" s="64"/>
      <c r="X887" s="64"/>
      <c r="Y887" s="64"/>
      <c r="BH887" s="64"/>
      <c r="BI887" s="64"/>
      <c r="BJ887" s="64"/>
      <c r="BK887" s="64"/>
      <c r="BL887" s="64"/>
      <c r="BM887" s="64"/>
      <c r="BN887" s="64"/>
      <c r="BO887" s="64"/>
      <c r="BP887" s="64"/>
      <c r="BQ887" s="64"/>
      <c r="BR887" s="64"/>
    </row>
    <row r="888" ht="18.75" customHeight="1">
      <c r="G888" s="122"/>
      <c r="H888" s="64"/>
      <c r="L888" s="64"/>
      <c r="M888" s="64"/>
      <c r="N888" s="64"/>
      <c r="O888" s="64"/>
      <c r="P888" s="64"/>
      <c r="Q888" s="64"/>
      <c r="R888" s="64"/>
      <c r="S888" s="64"/>
      <c r="T888" s="64"/>
      <c r="U888" s="64"/>
      <c r="V888" s="64"/>
      <c r="W888" s="64"/>
      <c r="X888" s="64"/>
      <c r="Y888" s="64"/>
      <c r="BH888" s="64"/>
      <c r="BI888" s="64"/>
      <c r="BJ888" s="64"/>
      <c r="BK888" s="64"/>
      <c r="BL888" s="64"/>
      <c r="BM888" s="64"/>
      <c r="BN888" s="64"/>
      <c r="BO888" s="64"/>
      <c r="BP888" s="64"/>
      <c r="BQ888" s="64"/>
      <c r="BR888" s="64"/>
    </row>
    <row r="889" ht="18.75" customHeight="1">
      <c r="G889" s="122"/>
      <c r="H889" s="64"/>
      <c r="L889" s="64"/>
      <c r="M889" s="64"/>
      <c r="N889" s="64"/>
      <c r="O889" s="64"/>
      <c r="P889" s="64"/>
      <c r="Q889" s="64"/>
      <c r="R889" s="64"/>
      <c r="S889" s="64"/>
      <c r="T889" s="64"/>
      <c r="U889" s="64"/>
      <c r="V889" s="64"/>
      <c r="W889" s="64"/>
      <c r="X889" s="64"/>
      <c r="Y889" s="64"/>
      <c r="BH889" s="64"/>
      <c r="BI889" s="64"/>
      <c r="BJ889" s="64"/>
      <c r="BK889" s="64"/>
      <c r="BL889" s="64"/>
      <c r="BM889" s="64"/>
      <c r="BN889" s="64"/>
      <c r="BO889" s="64"/>
      <c r="BP889" s="64"/>
      <c r="BQ889" s="64"/>
      <c r="BR889" s="64"/>
    </row>
    <row r="890" ht="18.75" customHeight="1">
      <c r="G890" s="122"/>
      <c r="H890" s="64"/>
      <c r="L890" s="64"/>
      <c r="M890" s="64"/>
      <c r="N890" s="64"/>
      <c r="O890" s="64"/>
      <c r="P890" s="64"/>
      <c r="Q890" s="64"/>
      <c r="R890" s="64"/>
      <c r="S890" s="64"/>
      <c r="T890" s="64"/>
      <c r="U890" s="64"/>
      <c r="V890" s="64"/>
      <c r="W890" s="64"/>
      <c r="X890" s="64"/>
      <c r="Y890" s="64"/>
      <c r="BH890" s="64"/>
      <c r="BI890" s="64"/>
      <c r="BJ890" s="64"/>
      <c r="BK890" s="64"/>
      <c r="BL890" s="64"/>
      <c r="BM890" s="64"/>
      <c r="BN890" s="64"/>
      <c r="BO890" s="64"/>
      <c r="BP890" s="64"/>
      <c r="BQ890" s="64"/>
      <c r="BR890" s="64"/>
    </row>
    <row r="891" ht="18.75" customHeight="1">
      <c r="G891" s="122"/>
      <c r="H891" s="64"/>
      <c r="L891" s="64"/>
      <c r="M891" s="64"/>
      <c r="N891" s="64"/>
      <c r="O891" s="64"/>
      <c r="P891" s="64"/>
      <c r="Q891" s="64"/>
      <c r="R891" s="64"/>
      <c r="S891" s="64"/>
      <c r="T891" s="64"/>
      <c r="U891" s="64"/>
      <c r="V891" s="64"/>
      <c r="W891" s="64"/>
      <c r="X891" s="64"/>
      <c r="Y891" s="64"/>
      <c r="BH891" s="64"/>
      <c r="BI891" s="64"/>
      <c r="BJ891" s="64"/>
      <c r="BK891" s="64"/>
      <c r="BL891" s="64"/>
      <c r="BM891" s="64"/>
      <c r="BN891" s="64"/>
      <c r="BO891" s="64"/>
      <c r="BP891" s="64"/>
      <c r="BQ891" s="64"/>
      <c r="BR891" s="64"/>
    </row>
    <row r="892" ht="18.75" customHeight="1">
      <c r="G892" s="122"/>
      <c r="H892" s="64"/>
      <c r="L892" s="64"/>
      <c r="M892" s="64"/>
      <c r="N892" s="64"/>
      <c r="O892" s="64"/>
      <c r="P892" s="64"/>
      <c r="Q892" s="64"/>
      <c r="R892" s="64"/>
      <c r="S892" s="64"/>
      <c r="T892" s="64"/>
      <c r="U892" s="64"/>
      <c r="V892" s="64"/>
      <c r="W892" s="64"/>
      <c r="X892" s="64"/>
      <c r="Y892" s="64"/>
      <c r="BH892" s="64"/>
      <c r="BI892" s="64"/>
      <c r="BJ892" s="64"/>
      <c r="BK892" s="64"/>
      <c r="BL892" s="64"/>
      <c r="BM892" s="64"/>
      <c r="BN892" s="64"/>
      <c r="BO892" s="64"/>
      <c r="BP892" s="64"/>
      <c r="BQ892" s="64"/>
      <c r="BR892" s="64"/>
    </row>
    <row r="893" ht="18.75" customHeight="1">
      <c r="G893" s="122"/>
      <c r="H893" s="64"/>
      <c r="L893" s="64"/>
      <c r="M893" s="64"/>
      <c r="N893" s="64"/>
      <c r="O893" s="64"/>
      <c r="P893" s="64"/>
      <c r="Q893" s="64"/>
      <c r="R893" s="64"/>
      <c r="S893" s="64"/>
      <c r="T893" s="64"/>
      <c r="U893" s="64"/>
      <c r="V893" s="64"/>
      <c r="W893" s="64"/>
      <c r="X893" s="64"/>
      <c r="Y893" s="64"/>
      <c r="BH893" s="64"/>
      <c r="BI893" s="64"/>
      <c r="BJ893" s="64"/>
      <c r="BK893" s="64"/>
      <c r="BL893" s="64"/>
      <c r="BM893" s="64"/>
      <c r="BN893" s="64"/>
      <c r="BO893" s="64"/>
      <c r="BP893" s="64"/>
      <c r="BQ893" s="64"/>
      <c r="BR893" s="64"/>
    </row>
    <row r="894" ht="18.75" customHeight="1">
      <c r="G894" s="122"/>
      <c r="H894" s="64"/>
      <c r="L894" s="64"/>
      <c r="M894" s="64"/>
      <c r="N894" s="64"/>
      <c r="O894" s="64"/>
      <c r="P894" s="64"/>
      <c r="Q894" s="64"/>
      <c r="R894" s="64"/>
      <c r="S894" s="64"/>
      <c r="T894" s="64"/>
      <c r="U894" s="64"/>
      <c r="V894" s="64"/>
      <c r="W894" s="64"/>
      <c r="X894" s="64"/>
      <c r="Y894" s="64"/>
      <c r="BH894" s="64"/>
      <c r="BI894" s="64"/>
      <c r="BJ894" s="64"/>
      <c r="BK894" s="64"/>
      <c r="BL894" s="64"/>
      <c r="BM894" s="64"/>
      <c r="BN894" s="64"/>
      <c r="BO894" s="64"/>
      <c r="BP894" s="64"/>
      <c r="BQ894" s="64"/>
      <c r="BR894" s="64"/>
    </row>
    <row r="895" ht="18.75" customHeight="1">
      <c r="G895" s="122"/>
      <c r="H895" s="64"/>
      <c r="L895" s="64"/>
      <c r="M895" s="64"/>
      <c r="N895" s="64"/>
      <c r="O895" s="64"/>
      <c r="P895" s="64"/>
      <c r="Q895" s="64"/>
      <c r="R895" s="64"/>
      <c r="S895" s="64"/>
      <c r="T895" s="64"/>
      <c r="U895" s="64"/>
      <c r="V895" s="64"/>
      <c r="W895" s="64"/>
      <c r="X895" s="64"/>
      <c r="Y895" s="64"/>
      <c r="BH895" s="64"/>
      <c r="BI895" s="64"/>
      <c r="BJ895" s="64"/>
      <c r="BK895" s="64"/>
      <c r="BL895" s="64"/>
      <c r="BM895" s="64"/>
      <c r="BN895" s="64"/>
      <c r="BO895" s="64"/>
      <c r="BP895" s="64"/>
      <c r="BQ895" s="64"/>
      <c r="BR895" s="64"/>
    </row>
    <row r="896" ht="18.75" customHeight="1">
      <c r="G896" s="122"/>
      <c r="H896" s="64"/>
      <c r="L896" s="64"/>
      <c r="M896" s="64"/>
      <c r="N896" s="64"/>
      <c r="O896" s="64"/>
      <c r="P896" s="64"/>
      <c r="Q896" s="64"/>
      <c r="R896" s="64"/>
      <c r="S896" s="64"/>
      <c r="T896" s="64"/>
      <c r="U896" s="64"/>
      <c r="V896" s="64"/>
      <c r="W896" s="64"/>
      <c r="X896" s="64"/>
      <c r="Y896" s="64"/>
      <c r="BH896" s="64"/>
      <c r="BI896" s="64"/>
      <c r="BJ896" s="64"/>
      <c r="BK896" s="64"/>
      <c r="BL896" s="64"/>
      <c r="BM896" s="64"/>
      <c r="BN896" s="64"/>
      <c r="BO896" s="64"/>
      <c r="BP896" s="64"/>
      <c r="BQ896" s="64"/>
      <c r="BR896" s="64"/>
    </row>
    <row r="897" ht="18.75" customHeight="1">
      <c r="G897" s="122"/>
      <c r="H897" s="64"/>
      <c r="L897" s="64"/>
      <c r="M897" s="64"/>
      <c r="N897" s="64"/>
      <c r="O897" s="64"/>
      <c r="P897" s="64"/>
      <c r="Q897" s="64"/>
      <c r="R897" s="64"/>
      <c r="S897" s="64"/>
      <c r="T897" s="64"/>
      <c r="U897" s="64"/>
      <c r="V897" s="64"/>
      <c r="W897" s="64"/>
      <c r="X897" s="64"/>
      <c r="Y897" s="64"/>
      <c r="BH897" s="64"/>
      <c r="BI897" s="64"/>
      <c r="BJ897" s="64"/>
      <c r="BK897" s="64"/>
      <c r="BL897" s="64"/>
      <c r="BM897" s="64"/>
      <c r="BN897" s="64"/>
      <c r="BO897" s="64"/>
      <c r="BP897" s="64"/>
      <c r="BQ897" s="64"/>
      <c r="BR897" s="64"/>
    </row>
    <row r="898" ht="18.75" customHeight="1">
      <c r="G898" s="122"/>
      <c r="H898" s="64"/>
      <c r="L898" s="64"/>
      <c r="M898" s="64"/>
      <c r="N898" s="64"/>
      <c r="O898" s="64"/>
      <c r="P898" s="64"/>
      <c r="Q898" s="64"/>
      <c r="R898" s="64"/>
      <c r="S898" s="64"/>
      <c r="T898" s="64"/>
      <c r="U898" s="64"/>
      <c r="V898" s="64"/>
      <c r="W898" s="64"/>
      <c r="X898" s="64"/>
      <c r="Y898" s="64"/>
      <c r="BH898" s="64"/>
      <c r="BI898" s="64"/>
      <c r="BJ898" s="64"/>
      <c r="BK898" s="64"/>
      <c r="BL898" s="64"/>
      <c r="BM898" s="64"/>
      <c r="BN898" s="64"/>
      <c r="BO898" s="64"/>
      <c r="BP898" s="64"/>
      <c r="BQ898" s="64"/>
      <c r="BR898" s="64"/>
    </row>
    <row r="899" ht="18.75" customHeight="1">
      <c r="G899" s="122"/>
      <c r="H899" s="64"/>
      <c r="L899" s="64"/>
      <c r="M899" s="64"/>
      <c r="N899" s="64"/>
      <c r="O899" s="64"/>
      <c r="P899" s="64"/>
      <c r="Q899" s="64"/>
      <c r="R899" s="64"/>
      <c r="S899" s="64"/>
      <c r="T899" s="64"/>
      <c r="U899" s="64"/>
      <c r="V899" s="64"/>
      <c r="W899" s="64"/>
      <c r="X899" s="64"/>
      <c r="Y899" s="64"/>
      <c r="BH899" s="64"/>
      <c r="BI899" s="64"/>
      <c r="BJ899" s="64"/>
      <c r="BK899" s="64"/>
      <c r="BL899" s="64"/>
      <c r="BM899" s="64"/>
      <c r="BN899" s="64"/>
      <c r="BO899" s="64"/>
      <c r="BP899" s="64"/>
      <c r="BQ899" s="64"/>
      <c r="BR899" s="64"/>
    </row>
    <row r="900" ht="18.75" customHeight="1">
      <c r="G900" s="122"/>
      <c r="H900" s="64"/>
      <c r="L900" s="64"/>
      <c r="M900" s="64"/>
      <c r="N900" s="64"/>
      <c r="O900" s="64"/>
      <c r="P900" s="64"/>
      <c r="Q900" s="64"/>
      <c r="R900" s="64"/>
      <c r="S900" s="64"/>
      <c r="T900" s="64"/>
      <c r="U900" s="64"/>
      <c r="V900" s="64"/>
      <c r="W900" s="64"/>
      <c r="X900" s="64"/>
      <c r="Y900" s="64"/>
      <c r="BH900" s="64"/>
      <c r="BI900" s="64"/>
      <c r="BJ900" s="64"/>
      <c r="BK900" s="64"/>
      <c r="BL900" s="64"/>
      <c r="BM900" s="64"/>
      <c r="BN900" s="64"/>
      <c r="BO900" s="64"/>
      <c r="BP900" s="64"/>
      <c r="BQ900" s="64"/>
      <c r="BR900" s="64"/>
    </row>
    <row r="901" ht="18.75" customHeight="1">
      <c r="G901" s="122"/>
      <c r="H901" s="64"/>
      <c r="L901" s="64"/>
      <c r="M901" s="64"/>
      <c r="N901" s="64"/>
      <c r="O901" s="64"/>
      <c r="P901" s="64"/>
      <c r="Q901" s="64"/>
      <c r="R901" s="64"/>
      <c r="S901" s="64"/>
      <c r="T901" s="64"/>
      <c r="U901" s="64"/>
      <c r="V901" s="64"/>
      <c r="W901" s="64"/>
      <c r="X901" s="64"/>
      <c r="Y901" s="64"/>
      <c r="BH901" s="64"/>
      <c r="BI901" s="64"/>
      <c r="BJ901" s="64"/>
      <c r="BK901" s="64"/>
      <c r="BL901" s="64"/>
      <c r="BM901" s="64"/>
      <c r="BN901" s="64"/>
      <c r="BO901" s="64"/>
      <c r="BP901" s="64"/>
      <c r="BQ901" s="64"/>
      <c r="BR901" s="64"/>
    </row>
    <row r="902" ht="18.75" customHeight="1">
      <c r="G902" s="122"/>
      <c r="H902" s="64"/>
      <c r="L902" s="64"/>
      <c r="M902" s="64"/>
      <c r="N902" s="64"/>
      <c r="O902" s="64"/>
      <c r="P902" s="64"/>
      <c r="Q902" s="64"/>
      <c r="R902" s="64"/>
      <c r="S902" s="64"/>
      <c r="T902" s="64"/>
      <c r="U902" s="64"/>
      <c r="V902" s="64"/>
      <c r="W902" s="64"/>
      <c r="X902" s="64"/>
      <c r="Y902" s="64"/>
      <c r="BH902" s="64"/>
      <c r="BI902" s="64"/>
      <c r="BJ902" s="64"/>
      <c r="BK902" s="64"/>
      <c r="BL902" s="64"/>
      <c r="BM902" s="64"/>
      <c r="BN902" s="64"/>
      <c r="BO902" s="64"/>
      <c r="BP902" s="64"/>
      <c r="BQ902" s="64"/>
      <c r="BR902" s="64"/>
    </row>
    <row r="903" ht="18.75" customHeight="1">
      <c r="G903" s="122"/>
      <c r="H903" s="64"/>
      <c r="L903" s="64"/>
      <c r="M903" s="64"/>
      <c r="N903" s="64"/>
      <c r="O903" s="64"/>
      <c r="P903" s="64"/>
      <c r="Q903" s="64"/>
      <c r="R903" s="64"/>
      <c r="S903" s="64"/>
      <c r="T903" s="64"/>
      <c r="U903" s="64"/>
      <c r="V903" s="64"/>
      <c r="W903" s="64"/>
      <c r="X903" s="64"/>
      <c r="Y903" s="64"/>
      <c r="BH903" s="64"/>
      <c r="BI903" s="64"/>
      <c r="BJ903" s="64"/>
      <c r="BK903" s="64"/>
      <c r="BL903" s="64"/>
      <c r="BM903" s="64"/>
      <c r="BN903" s="64"/>
      <c r="BO903" s="64"/>
      <c r="BP903" s="64"/>
      <c r="BQ903" s="64"/>
      <c r="BR903" s="64"/>
    </row>
    <row r="904" ht="18.75" customHeight="1">
      <c r="G904" s="122"/>
      <c r="H904" s="64"/>
      <c r="L904" s="64"/>
      <c r="M904" s="64"/>
      <c r="N904" s="64"/>
      <c r="O904" s="64"/>
      <c r="P904" s="64"/>
      <c r="Q904" s="64"/>
      <c r="R904" s="64"/>
      <c r="S904" s="64"/>
      <c r="T904" s="64"/>
      <c r="U904" s="64"/>
      <c r="V904" s="64"/>
      <c r="W904" s="64"/>
      <c r="X904" s="64"/>
      <c r="Y904" s="64"/>
      <c r="BH904" s="64"/>
      <c r="BI904" s="64"/>
      <c r="BJ904" s="64"/>
      <c r="BK904" s="64"/>
      <c r="BL904" s="64"/>
      <c r="BM904" s="64"/>
      <c r="BN904" s="64"/>
      <c r="BO904" s="64"/>
      <c r="BP904" s="64"/>
      <c r="BQ904" s="64"/>
      <c r="BR904" s="64"/>
    </row>
    <row r="905" ht="18.75" customHeight="1">
      <c r="G905" s="122"/>
      <c r="H905" s="64"/>
      <c r="L905" s="64"/>
      <c r="M905" s="64"/>
      <c r="N905" s="64"/>
      <c r="O905" s="64"/>
      <c r="P905" s="64"/>
      <c r="Q905" s="64"/>
      <c r="R905" s="64"/>
      <c r="S905" s="64"/>
      <c r="T905" s="64"/>
      <c r="U905" s="64"/>
      <c r="V905" s="64"/>
      <c r="W905" s="64"/>
      <c r="X905" s="64"/>
      <c r="Y905" s="64"/>
      <c r="BH905" s="64"/>
      <c r="BI905" s="64"/>
      <c r="BJ905" s="64"/>
      <c r="BK905" s="64"/>
      <c r="BL905" s="64"/>
      <c r="BM905" s="64"/>
      <c r="BN905" s="64"/>
      <c r="BO905" s="64"/>
      <c r="BP905" s="64"/>
      <c r="BQ905" s="64"/>
      <c r="BR905" s="64"/>
    </row>
    <row r="906" ht="18.75" customHeight="1">
      <c r="G906" s="122"/>
      <c r="H906" s="64"/>
      <c r="L906" s="64"/>
      <c r="M906" s="64"/>
      <c r="N906" s="64"/>
      <c r="O906" s="64"/>
      <c r="P906" s="64"/>
      <c r="Q906" s="64"/>
      <c r="R906" s="64"/>
      <c r="S906" s="64"/>
      <c r="T906" s="64"/>
      <c r="U906" s="64"/>
      <c r="V906" s="64"/>
      <c r="W906" s="64"/>
      <c r="X906" s="64"/>
      <c r="Y906" s="64"/>
      <c r="BH906" s="64"/>
      <c r="BI906" s="64"/>
      <c r="BJ906" s="64"/>
      <c r="BK906" s="64"/>
      <c r="BL906" s="64"/>
      <c r="BM906" s="64"/>
      <c r="BN906" s="64"/>
      <c r="BO906" s="64"/>
      <c r="BP906" s="64"/>
      <c r="BQ906" s="64"/>
      <c r="BR906" s="64"/>
    </row>
    <row r="907" ht="18.75" customHeight="1">
      <c r="G907" s="122"/>
      <c r="H907" s="64"/>
      <c r="L907" s="64"/>
      <c r="M907" s="64"/>
      <c r="N907" s="64"/>
      <c r="O907" s="64"/>
      <c r="P907" s="64"/>
      <c r="Q907" s="64"/>
      <c r="R907" s="64"/>
      <c r="S907" s="64"/>
      <c r="T907" s="64"/>
      <c r="U907" s="64"/>
      <c r="V907" s="64"/>
      <c r="W907" s="64"/>
      <c r="X907" s="64"/>
      <c r="Y907" s="64"/>
      <c r="BH907" s="64"/>
      <c r="BI907" s="64"/>
      <c r="BJ907" s="64"/>
      <c r="BK907" s="64"/>
      <c r="BL907" s="64"/>
      <c r="BM907" s="64"/>
      <c r="BN907" s="64"/>
      <c r="BO907" s="64"/>
      <c r="BP907" s="64"/>
      <c r="BQ907" s="64"/>
      <c r="BR907" s="64"/>
    </row>
    <row r="908" ht="18.75" customHeight="1">
      <c r="G908" s="122"/>
      <c r="H908" s="64"/>
      <c r="L908" s="64"/>
      <c r="M908" s="64"/>
      <c r="N908" s="64"/>
      <c r="O908" s="64"/>
      <c r="P908" s="64"/>
      <c r="Q908" s="64"/>
      <c r="R908" s="64"/>
      <c r="S908" s="64"/>
      <c r="T908" s="64"/>
      <c r="U908" s="64"/>
      <c r="V908" s="64"/>
      <c r="W908" s="64"/>
      <c r="X908" s="64"/>
      <c r="Y908" s="64"/>
      <c r="BH908" s="64"/>
      <c r="BI908" s="64"/>
      <c r="BJ908" s="64"/>
      <c r="BK908" s="64"/>
      <c r="BL908" s="64"/>
      <c r="BM908" s="64"/>
      <c r="BN908" s="64"/>
      <c r="BO908" s="64"/>
      <c r="BP908" s="64"/>
      <c r="BQ908" s="64"/>
      <c r="BR908" s="64"/>
    </row>
    <row r="909" ht="18.75" customHeight="1">
      <c r="G909" s="122"/>
      <c r="H909" s="64"/>
      <c r="L909" s="64"/>
      <c r="M909" s="64"/>
      <c r="N909" s="64"/>
      <c r="O909" s="64"/>
      <c r="P909" s="64"/>
      <c r="Q909" s="64"/>
      <c r="R909" s="64"/>
      <c r="S909" s="64"/>
      <c r="T909" s="64"/>
      <c r="U909" s="64"/>
      <c r="V909" s="64"/>
      <c r="W909" s="64"/>
      <c r="X909" s="64"/>
      <c r="Y909" s="64"/>
      <c r="BH909" s="64"/>
      <c r="BI909" s="64"/>
      <c r="BJ909" s="64"/>
      <c r="BK909" s="64"/>
      <c r="BL909" s="64"/>
      <c r="BM909" s="64"/>
      <c r="BN909" s="64"/>
      <c r="BO909" s="64"/>
      <c r="BP909" s="64"/>
      <c r="BQ909" s="64"/>
      <c r="BR909" s="64"/>
    </row>
    <row r="910" ht="18.75" customHeight="1">
      <c r="G910" s="122"/>
      <c r="H910" s="64"/>
      <c r="L910" s="64"/>
      <c r="M910" s="64"/>
      <c r="N910" s="64"/>
      <c r="O910" s="64"/>
      <c r="P910" s="64"/>
      <c r="Q910" s="64"/>
      <c r="R910" s="64"/>
      <c r="S910" s="64"/>
      <c r="T910" s="64"/>
      <c r="U910" s="64"/>
      <c r="V910" s="64"/>
      <c r="W910" s="64"/>
      <c r="X910" s="64"/>
      <c r="Y910" s="64"/>
      <c r="BH910" s="64"/>
      <c r="BI910" s="64"/>
      <c r="BJ910" s="64"/>
      <c r="BK910" s="64"/>
      <c r="BL910" s="64"/>
      <c r="BM910" s="64"/>
      <c r="BN910" s="64"/>
      <c r="BO910" s="64"/>
      <c r="BP910" s="64"/>
      <c r="BQ910" s="64"/>
      <c r="BR910" s="64"/>
    </row>
    <row r="911" ht="18.75" customHeight="1">
      <c r="G911" s="122"/>
      <c r="H911" s="64"/>
      <c r="L911" s="64"/>
      <c r="M911" s="64"/>
      <c r="N911" s="64"/>
      <c r="O911" s="64"/>
      <c r="P911" s="64"/>
      <c r="Q911" s="64"/>
      <c r="R911" s="64"/>
      <c r="S911" s="64"/>
      <c r="T911" s="64"/>
      <c r="U911" s="64"/>
      <c r="V911" s="64"/>
      <c r="W911" s="64"/>
      <c r="X911" s="64"/>
      <c r="Y911" s="64"/>
      <c r="BH911" s="64"/>
      <c r="BI911" s="64"/>
      <c r="BJ911" s="64"/>
      <c r="BK911" s="64"/>
      <c r="BL911" s="64"/>
      <c r="BM911" s="64"/>
      <c r="BN911" s="64"/>
      <c r="BO911" s="64"/>
      <c r="BP911" s="64"/>
      <c r="BQ911" s="64"/>
      <c r="BR911" s="64"/>
    </row>
    <row r="912" ht="18.75" customHeight="1">
      <c r="G912" s="122"/>
      <c r="H912" s="64"/>
      <c r="L912" s="64"/>
      <c r="M912" s="64"/>
      <c r="N912" s="64"/>
      <c r="O912" s="64"/>
      <c r="P912" s="64"/>
      <c r="Q912" s="64"/>
      <c r="R912" s="64"/>
      <c r="S912" s="64"/>
      <c r="T912" s="64"/>
      <c r="U912" s="64"/>
      <c r="V912" s="64"/>
      <c r="W912" s="64"/>
      <c r="X912" s="64"/>
      <c r="Y912" s="64"/>
      <c r="BH912" s="64"/>
      <c r="BI912" s="64"/>
      <c r="BJ912" s="64"/>
      <c r="BK912" s="64"/>
      <c r="BL912" s="64"/>
      <c r="BM912" s="64"/>
      <c r="BN912" s="64"/>
      <c r="BO912" s="64"/>
      <c r="BP912" s="64"/>
      <c r="BQ912" s="64"/>
      <c r="BR912" s="64"/>
    </row>
    <row r="913" ht="18.75" customHeight="1">
      <c r="G913" s="122"/>
      <c r="H913" s="64"/>
      <c r="L913" s="64"/>
      <c r="M913" s="64"/>
      <c r="N913" s="64"/>
      <c r="O913" s="64"/>
      <c r="P913" s="64"/>
      <c r="Q913" s="64"/>
      <c r="R913" s="64"/>
      <c r="S913" s="64"/>
      <c r="T913" s="64"/>
      <c r="U913" s="64"/>
      <c r="V913" s="64"/>
      <c r="W913" s="64"/>
      <c r="X913" s="64"/>
      <c r="Y913" s="64"/>
      <c r="BH913" s="64"/>
      <c r="BI913" s="64"/>
      <c r="BJ913" s="64"/>
      <c r="BK913" s="64"/>
      <c r="BL913" s="64"/>
      <c r="BM913" s="64"/>
      <c r="BN913" s="64"/>
      <c r="BO913" s="64"/>
      <c r="BP913" s="64"/>
      <c r="BQ913" s="64"/>
      <c r="BR913" s="64"/>
    </row>
    <row r="914" ht="18.75" customHeight="1">
      <c r="G914" s="122"/>
      <c r="H914" s="64"/>
      <c r="L914" s="64"/>
      <c r="M914" s="64"/>
      <c r="N914" s="64"/>
      <c r="O914" s="64"/>
      <c r="P914" s="64"/>
      <c r="Q914" s="64"/>
      <c r="R914" s="64"/>
      <c r="S914" s="64"/>
      <c r="T914" s="64"/>
      <c r="U914" s="64"/>
      <c r="V914" s="64"/>
      <c r="W914" s="64"/>
      <c r="X914" s="64"/>
      <c r="Y914" s="64"/>
      <c r="BH914" s="64"/>
      <c r="BI914" s="64"/>
      <c r="BJ914" s="64"/>
      <c r="BK914" s="64"/>
      <c r="BL914" s="64"/>
      <c r="BM914" s="64"/>
      <c r="BN914" s="64"/>
      <c r="BO914" s="64"/>
      <c r="BP914" s="64"/>
      <c r="BQ914" s="64"/>
      <c r="BR914" s="64"/>
    </row>
    <row r="915" ht="18.75" customHeight="1">
      <c r="G915" s="122"/>
      <c r="H915" s="64"/>
      <c r="L915" s="64"/>
      <c r="M915" s="64"/>
      <c r="N915" s="64"/>
      <c r="O915" s="64"/>
      <c r="P915" s="64"/>
      <c r="Q915" s="64"/>
      <c r="R915" s="64"/>
      <c r="S915" s="64"/>
      <c r="T915" s="64"/>
      <c r="U915" s="64"/>
      <c r="V915" s="64"/>
      <c r="W915" s="64"/>
      <c r="X915" s="64"/>
      <c r="Y915" s="64"/>
      <c r="BH915" s="64"/>
      <c r="BI915" s="64"/>
      <c r="BJ915" s="64"/>
      <c r="BK915" s="64"/>
      <c r="BL915" s="64"/>
      <c r="BM915" s="64"/>
      <c r="BN915" s="64"/>
      <c r="BO915" s="64"/>
      <c r="BP915" s="64"/>
      <c r="BQ915" s="64"/>
      <c r="BR915" s="64"/>
    </row>
    <row r="916" ht="18.75" customHeight="1">
      <c r="G916" s="122"/>
      <c r="H916" s="64"/>
      <c r="L916" s="64"/>
      <c r="M916" s="64"/>
      <c r="N916" s="64"/>
      <c r="O916" s="64"/>
      <c r="P916" s="64"/>
      <c r="Q916" s="64"/>
      <c r="R916" s="64"/>
      <c r="S916" s="64"/>
      <c r="T916" s="64"/>
      <c r="U916" s="64"/>
      <c r="V916" s="64"/>
      <c r="W916" s="64"/>
      <c r="X916" s="64"/>
      <c r="Y916" s="64"/>
      <c r="BH916" s="64"/>
      <c r="BI916" s="64"/>
      <c r="BJ916" s="64"/>
      <c r="BK916" s="64"/>
      <c r="BL916" s="64"/>
      <c r="BM916" s="64"/>
      <c r="BN916" s="64"/>
      <c r="BO916" s="64"/>
      <c r="BP916" s="64"/>
      <c r="BQ916" s="64"/>
      <c r="BR916" s="64"/>
    </row>
    <row r="917" ht="18.75" customHeight="1">
      <c r="G917" s="122"/>
      <c r="H917" s="64"/>
      <c r="L917" s="64"/>
      <c r="M917" s="64"/>
      <c r="N917" s="64"/>
      <c r="O917" s="64"/>
      <c r="P917" s="64"/>
      <c r="Q917" s="64"/>
      <c r="R917" s="64"/>
      <c r="S917" s="64"/>
      <c r="T917" s="64"/>
      <c r="U917" s="64"/>
      <c r="V917" s="64"/>
      <c r="W917" s="64"/>
      <c r="X917" s="64"/>
      <c r="Y917" s="64"/>
      <c r="BH917" s="64"/>
      <c r="BI917" s="64"/>
      <c r="BJ917" s="64"/>
      <c r="BK917" s="64"/>
      <c r="BL917" s="64"/>
      <c r="BM917" s="64"/>
      <c r="BN917" s="64"/>
      <c r="BO917" s="64"/>
      <c r="BP917" s="64"/>
      <c r="BQ917" s="64"/>
      <c r="BR917" s="64"/>
    </row>
    <row r="918" ht="18.75" customHeight="1">
      <c r="G918" s="122"/>
      <c r="H918" s="64"/>
      <c r="L918" s="64"/>
      <c r="M918" s="64"/>
      <c r="N918" s="64"/>
      <c r="O918" s="64"/>
      <c r="P918" s="64"/>
      <c r="Q918" s="64"/>
      <c r="R918" s="64"/>
      <c r="S918" s="64"/>
      <c r="T918" s="64"/>
      <c r="U918" s="64"/>
      <c r="V918" s="64"/>
      <c r="W918" s="64"/>
      <c r="X918" s="64"/>
      <c r="Y918" s="64"/>
      <c r="BH918" s="64"/>
      <c r="BI918" s="64"/>
      <c r="BJ918" s="64"/>
      <c r="BK918" s="64"/>
      <c r="BL918" s="64"/>
      <c r="BM918" s="64"/>
      <c r="BN918" s="64"/>
      <c r="BO918" s="64"/>
      <c r="BP918" s="64"/>
      <c r="BQ918" s="64"/>
      <c r="BR918" s="64"/>
    </row>
    <row r="919" ht="18.75" customHeight="1">
      <c r="G919" s="122"/>
      <c r="H919" s="64"/>
      <c r="L919" s="64"/>
      <c r="M919" s="64"/>
      <c r="N919" s="64"/>
      <c r="O919" s="64"/>
      <c r="P919" s="64"/>
      <c r="Q919" s="64"/>
      <c r="R919" s="64"/>
      <c r="S919" s="64"/>
      <c r="T919" s="64"/>
      <c r="U919" s="64"/>
      <c r="V919" s="64"/>
      <c r="W919" s="64"/>
      <c r="X919" s="64"/>
      <c r="Y919" s="64"/>
      <c r="BH919" s="64"/>
      <c r="BI919" s="64"/>
      <c r="BJ919" s="64"/>
      <c r="BK919" s="64"/>
      <c r="BL919" s="64"/>
      <c r="BM919" s="64"/>
      <c r="BN919" s="64"/>
      <c r="BO919" s="64"/>
      <c r="BP919" s="64"/>
      <c r="BQ919" s="64"/>
      <c r="BR919" s="64"/>
    </row>
    <row r="920" ht="18.75" customHeight="1">
      <c r="G920" s="122"/>
      <c r="H920" s="64"/>
      <c r="L920" s="64"/>
      <c r="M920" s="64"/>
      <c r="N920" s="64"/>
      <c r="O920" s="64"/>
      <c r="P920" s="64"/>
      <c r="Q920" s="64"/>
      <c r="R920" s="64"/>
      <c r="S920" s="64"/>
      <c r="T920" s="64"/>
      <c r="U920" s="64"/>
      <c r="V920" s="64"/>
      <c r="W920" s="64"/>
      <c r="X920" s="64"/>
      <c r="Y920" s="64"/>
      <c r="BH920" s="64"/>
      <c r="BI920" s="64"/>
      <c r="BJ920" s="64"/>
      <c r="BK920" s="64"/>
      <c r="BL920" s="64"/>
      <c r="BM920" s="64"/>
      <c r="BN920" s="64"/>
      <c r="BO920" s="64"/>
      <c r="BP920" s="64"/>
      <c r="BQ920" s="64"/>
      <c r="BR920" s="64"/>
    </row>
    <row r="921" ht="18.75" customHeight="1">
      <c r="G921" s="122"/>
      <c r="H921" s="64"/>
      <c r="L921" s="64"/>
      <c r="M921" s="64"/>
      <c r="N921" s="64"/>
      <c r="O921" s="64"/>
      <c r="P921" s="64"/>
      <c r="Q921" s="64"/>
      <c r="R921" s="64"/>
      <c r="S921" s="64"/>
      <c r="T921" s="64"/>
      <c r="U921" s="64"/>
      <c r="V921" s="64"/>
      <c r="W921" s="64"/>
      <c r="X921" s="64"/>
      <c r="Y921" s="64"/>
      <c r="BH921" s="64"/>
      <c r="BI921" s="64"/>
      <c r="BJ921" s="64"/>
      <c r="BK921" s="64"/>
      <c r="BL921" s="64"/>
      <c r="BM921" s="64"/>
      <c r="BN921" s="64"/>
      <c r="BO921" s="64"/>
      <c r="BP921" s="64"/>
      <c r="BQ921" s="64"/>
      <c r="BR921" s="64"/>
    </row>
    <row r="922" ht="18.75" customHeight="1">
      <c r="G922" s="122"/>
      <c r="H922" s="64"/>
      <c r="L922" s="64"/>
      <c r="M922" s="64"/>
      <c r="N922" s="64"/>
      <c r="O922" s="64"/>
      <c r="P922" s="64"/>
      <c r="Q922" s="64"/>
      <c r="R922" s="64"/>
      <c r="S922" s="64"/>
      <c r="T922" s="64"/>
      <c r="U922" s="64"/>
      <c r="V922" s="64"/>
      <c r="W922" s="64"/>
      <c r="X922" s="64"/>
      <c r="Y922" s="64"/>
      <c r="BH922" s="64"/>
      <c r="BI922" s="64"/>
      <c r="BJ922" s="64"/>
      <c r="BK922" s="64"/>
      <c r="BL922" s="64"/>
      <c r="BM922" s="64"/>
      <c r="BN922" s="64"/>
      <c r="BO922" s="64"/>
      <c r="BP922" s="64"/>
      <c r="BQ922" s="64"/>
      <c r="BR922" s="64"/>
    </row>
    <row r="923" ht="18.75" customHeight="1">
      <c r="G923" s="122"/>
      <c r="H923" s="64"/>
      <c r="L923" s="64"/>
      <c r="M923" s="64"/>
      <c r="N923" s="64"/>
      <c r="O923" s="64"/>
      <c r="P923" s="64"/>
      <c r="Q923" s="64"/>
      <c r="R923" s="64"/>
      <c r="S923" s="64"/>
      <c r="T923" s="64"/>
      <c r="U923" s="64"/>
      <c r="V923" s="64"/>
      <c r="W923" s="64"/>
      <c r="X923" s="64"/>
      <c r="Y923" s="64"/>
      <c r="BH923" s="64"/>
      <c r="BI923" s="64"/>
      <c r="BJ923" s="64"/>
      <c r="BK923" s="64"/>
      <c r="BL923" s="64"/>
      <c r="BM923" s="64"/>
      <c r="BN923" s="64"/>
      <c r="BO923" s="64"/>
      <c r="BP923" s="64"/>
      <c r="BQ923" s="64"/>
      <c r="BR923" s="64"/>
    </row>
    <row r="924" ht="18.75" customHeight="1">
      <c r="G924" s="122"/>
      <c r="H924" s="64"/>
      <c r="L924" s="64"/>
      <c r="M924" s="64"/>
      <c r="N924" s="64"/>
      <c r="O924" s="64"/>
      <c r="P924" s="64"/>
      <c r="Q924" s="64"/>
      <c r="R924" s="64"/>
      <c r="S924" s="64"/>
      <c r="T924" s="64"/>
      <c r="U924" s="64"/>
      <c r="V924" s="64"/>
      <c r="W924" s="64"/>
      <c r="X924" s="64"/>
      <c r="Y924" s="64"/>
      <c r="BH924" s="64"/>
      <c r="BI924" s="64"/>
      <c r="BJ924" s="64"/>
      <c r="BK924" s="64"/>
      <c r="BL924" s="64"/>
      <c r="BM924" s="64"/>
      <c r="BN924" s="64"/>
      <c r="BO924" s="64"/>
      <c r="BP924" s="64"/>
      <c r="BQ924" s="64"/>
      <c r="BR924" s="64"/>
    </row>
    <row r="925" ht="18.75" customHeight="1">
      <c r="G925" s="122"/>
      <c r="H925" s="64"/>
      <c r="L925" s="64"/>
      <c r="M925" s="64"/>
      <c r="N925" s="64"/>
      <c r="O925" s="64"/>
      <c r="P925" s="64"/>
      <c r="Q925" s="64"/>
      <c r="R925" s="64"/>
      <c r="S925" s="64"/>
      <c r="T925" s="64"/>
      <c r="U925" s="64"/>
      <c r="V925" s="64"/>
      <c r="W925" s="64"/>
      <c r="X925" s="64"/>
      <c r="Y925" s="64"/>
      <c r="BH925" s="64"/>
      <c r="BI925" s="64"/>
      <c r="BJ925" s="64"/>
      <c r="BK925" s="64"/>
      <c r="BL925" s="64"/>
      <c r="BM925" s="64"/>
      <c r="BN925" s="64"/>
      <c r="BO925" s="64"/>
      <c r="BP925" s="64"/>
      <c r="BQ925" s="64"/>
      <c r="BR925" s="64"/>
    </row>
    <row r="926" ht="18.75" customHeight="1">
      <c r="G926" s="122"/>
      <c r="H926" s="64"/>
      <c r="L926" s="64"/>
      <c r="M926" s="64"/>
      <c r="N926" s="64"/>
      <c r="O926" s="64"/>
      <c r="P926" s="64"/>
      <c r="Q926" s="64"/>
      <c r="R926" s="64"/>
      <c r="S926" s="64"/>
      <c r="T926" s="64"/>
      <c r="U926" s="64"/>
      <c r="V926" s="64"/>
      <c r="W926" s="64"/>
      <c r="X926" s="64"/>
      <c r="Y926" s="64"/>
      <c r="BH926" s="64"/>
      <c r="BI926" s="64"/>
      <c r="BJ926" s="64"/>
      <c r="BK926" s="64"/>
      <c r="BL926" s="64"/>
      <c r="BM926" s="64"/>
      <c r="BN926" s="64"/>
      <c r="BO926" s="64"/>
      <c r="BP926" s="64"/>
      <c r="BQ926" s="64"/>
      <c r="BR926" s="64"/>
    </row>
    <row r="927" ht="18.75" customHeight="1">
      <c r="G927" s="122"/>
      <c r="H927" s="64"/>
      <c r="L927" s="64"/>
      <c r="M927" s="64"/>
      <c r="N927" s="64"/>
      <c r="O927" s="64"/>
      <c r="P927" s="64"/>
      <c r="Q927" s="64"/>
      <c r="R927" s="64"/>
      <c r="S927" s="64"/>
      <c r="T927" s="64"/>
      <c r="U927" s="64"/>
      <c r="V927" s="64"/>
      <c r="W927" s="64"/>
      <c r="X927" s="64"/>
      <c r="Y927" s="64"/>
      <c r="BH927" s="64"/>
      <c r="BI927" s="64"/>
      <c r="BJ927" s="64"/>
      <c r="BK927" s="64"/>
      <c r="BL927" s="64"/>
      <c r="BM927" s="64"/>
      <c r="BN927" s="64"/>
      <c r="BO927" s="64"/>
      <c r="BP927" s="64"/>
      <c r="BQ927" s="64"/>
      <c r="BR927" s="64"/>
    </row>
    <row r="928" ht="18.75" customHeight="1">
      <c r="G928" s="122"/>
      <c r="H928" s="64"/>
      <c r="L928" s="64"/>
      <c r="M928" s="64"/>
      <c r="N928" s="64"/>
      <c r="O928" s="64"/>
      <c r="P928" s="64"/>
      <c r="Q928" s="64"/>
      <c r="R928" s="64"/>
      <c r="S928" s="64"/>
      <c r="T928" s="64"/>
      <c r="U928" s="64"/>
      <c r="V928" s="64"/>
      <c r="W928" s="64"/>
      <c r="X928" s="64"/>
      <c r="Y928" s="64"/>
      <c r="BH928" s="64"/>
      <c r="BI928" s="64"/>
      <c r="BJ928" s="64"/>
      <c r="BK928" s="64"/>
      <c r="BL928" s="64"/>
      <c r="BM928" s="64"/>
      <c r="BN928" s="64"/>
      <c r="BO928" s="64"/>
      <c r="BP928" s="64"/>
      <c r="BQ928" s="64"/>
      <c r="BR928" s="64"/>
    </row>
    <row r="929" ht="18.75" customHeight="1">
      <c r="G929" s="122"/>
      <c r="H929" s="64"/>
      <c r="L929" s="64"/>
      <c r="M929" s="64"/>
      <c r="N929" s="64"/>
      <c r="O929" s="64"/>
      <c r="P929" s="64"/>
      <c r="Q929" s="64"/>
      <c r="R929" s="64"/>
      <c r="S929" s="64"/>
      <c r="T929" s="64"/>
      <c r="U929" s="64"/>
      <c r="V929" s="64"/>
      <c r="W929" s="64"/>
      <c r="X929" s="64"/>
      <c r="Y929" s="64"/>
      <c r="BH929" s="64"/>
      <c r="BI929" s="64"/>
      <c r="BJ929" s="64"/>
      <c r="BK929" s="64"/>
      <c r="BL929" s="64"/>
      <c r="BM929" s="64"/>
      <c r="BN929" s="64"/>
      <c r="BO929" s="64"/>
      <c r="BP929" s="64"/>
      <c r="BQ929" s="64"/>
      <c r="BR929" s="64"/>
    </row>
    <row r="930" ht="18.75" customHeight="1">
      <c r="G930" s="122"/>
      <c r="H930" s="64"/>
      <c r="L930" s="64"/>
      <c r="M930" s="64"/>
      <c r="N930" s="64"/>
      <c r="O930" s="64"/>
      <c r="P930" s="64"/>
      <c r="Q930" s="64"/>
      <c r="R930" s="64"/>
      <c r="S930" s="64"/>
      <c r="T930" s="64"/>
      <c r="U930" s="64"/>
      <c r="V930" s="64"/>
      <c r="W930" s="64"/>
      <c r="X930" s="64"/>
      <c r="Y930" s="64"/>
      <c r="BH930" s="64"/>
      <c r="BI930" s="64"/>
      <c r="BJ930" s="64"/>
      <c r="BK930" s="64"/>
      <c r="BL930" s="64"/>
      <c r="BM930" s="64"/>
      <c r="BN930" s="64"/>
      <c r="BO930" s="64"/>
      <c r="BP930" s="64"/>
      <c r="BQ930" s="64"/>
      <c r="BR930" s="64"/>
    </row>
    <row r="931" ht="18.75" customHeight="1">
      <c r="G931" s="122"/>
      <c r="H931" s="64"/>
      <c r="L931" s="64"/>
      <c r="M931" s="64"/>
      <c r="N931" s="64"/>
      <c r="O931" s="64"/>
      <c r="P931" s="64"/>
      <c r="Q931" s="64"/>
      <c r="R931" s="64"/>
      <c r="S931" s="64"/>
      <c r="T931" s="64"/>
      <c r="U931" s="64"/>
      <c r="V931" s="64"/>
      <c r="W931" s="64"/>
      <c r="X931" s="64"/>
      <c r="Y931" s="64"/>
      <c r="BH931" s="64"/>
      <c r="BI931" s="64"/>
      <c r="BJ931" s="64"/>
      <c r="BK931" s="64"/>
      <c r="BL931" s="64"/>
      <c r="BM931" s="64"/>
      <c r="BN931" s="64"/>
      <c r="BO931" s="64"/>
      <c r="BP931" s="64"/>
      <c r="BQ931" s="64"/>
      <c r="BR931" s="64"/>
    </row>
    <row r="932" ht="18.75" customHeight="1">
      <c r="G932" s="122"/>
      <c r="H932" s="64"/>
      <c r="L932" s="64"/>
      <c r="M932" s="64"/>
      <c r="N932" s="64"/>
      <c r="O932" s="64"/>
      <c r="P932" s="64"/>
      <c r="Q932" s="64"/>
      <c r="R932" s="64"/>
      <c r="S932" s="64"/>
      <c r="T932" s="64"/>
      <c r="U932" s="64"/>
      <c r="V932" s="64"/>
      <c r="W932" s="64"/>
      <c r="X932" s="64"/>
      <c r="Y932" s="64"/>
      <c r="BH932" s="64"/>
      <c r="BI932" s="64"/>
      <c r="BJ932" s="64"/>
      <c r="BK932" s="64"/>
      <c r="BL932" s="64"/>
      <c r="BM932" s="64"/>
      <c r="BN932" s="64"/>
      <c r="BO932" s="64"/>
      <c r="BP932" s="64"/>
      <c r="BQ932" s="64"/>
      <c r="BR932" s="64"/>
    </row>
    <row r="933" ht="18.75" customHeight="1">
      <c r="G933" s="122"/>
      <c r="H933" s="64"/>
      <c r="L933" s="64"/>
      <c r="M933" s="64"/>
      <c r="N933" s="64"/>
      <c r="O933" s="64"/>
      <c r="P933" s="64"/>
      <c r="Q933" s="64"/>
      <c r="R933" s="64"/>
      <c r="S933" s="64"/>
      <c r="T933" s="64"/>
      <c r="U933" s="64"/>
      <c r="V933" s="64"/>
      <c r="W933" s="64"/>
      <c r="X933" s="64"/>
      <c r="Y933" s="64"/>
      <c r="BH933" s="64"/>
      <c r="BI933" s="64"/>
      <c r="BJ933" s="64"/>
      <c r="BK933" s="64"/>
      <c r="BL933" s="64"/>
      <c r="BM933" s="64"/>
      <c r="BN933" s="64"/>
      <c r="BO933" s="64"/>
      <c r="BP933" s="64"/>
      <c r="BQ933" s="64"/>
      <c r="BR933" s="64"/>
    </row>
    <row r="934" ht="18.75" customHeight="1">
      <c r="G934" s="122"/>
      <c r="H934" s="64"/>
      <c r="L934" s="64"/>
      <c r="M934" s="64"/>
      <c r="N934" s="64"/>
      <c r="O934" s="64"/>
      <c r="P934" s="64"/>
      <c r="Q934" s="64"/>
      <c r="R934" s="64"/>
      <c r="S934" s="64"/>
      <c r="T934" s="64"/>
      <c r="U934" s="64"/>
      <c r="V934" s="64"/>
      <c r="W934" s="64"/>
      <c r="X934" s="64"/>
      <c r="Y934" s="64"/>
      <c r="BH934" s="64"/>
      <c r="BI934" s="64"/>
      <c r="BJ934" s="64"/>
      <c r="BK934" s="64"/>
      <c r="BL934" s="64"/>
      <c r="BM934" s="64"/>
      <c r="BN934" s="64"/>
      <c r="BO934" s="64"/>
      <c r="BP934" s="64"/>
      <c r="BQ934" s="64"/>
      <c r="BR934" s="64"/>
    </row>
    <row r="935" ht="18.75" customHeight="1">
      <c r="G935" s="122"/>
      <c r="H935" s="64"/>
      <c r="L935" s="64"/>
      <c r="M935" s="64"/>
      <c r="N935" s="64"/>
      <c r="O935" s="64"/>
      <c r="P935" s="64"/>
      <c r="Q935" s="64"/>
      <c r="R935" s="64"/>
      <c r="S935" s="64"/>
      <c r="T935" s="64"/>
      <c r="U935" s="64"/>
      <c r="V935" s="64"/>
      <c r="W935" s="64"/>
      <c r="X935" s="64"/>
      <c r="Y935" s="64"/>
      <c r="BH935" s="64"/>
      <c r="BI935" s="64"/>
      <c r="BJ935" s="64"/>
      <c r="BK935" s="64"/>
      <c r="BL935" s="64"/>
      <c r="BM935" s="64"/>
      <c r="BN935" s="64"/>
      <c r="BO935" s="64"/>
      <c r="BP935" s="64"/>
      <c r="BQ935" s="64"/>
      <c r="BR935" s="64"/>
    </row>
    <row r="936" ht="18.75" customHeight="1">
      <c r="G936" s="122"/>
      <c r="H936" s="64"/>
      <c r="L936" s="64"/>
      <c r="M936" s="64"/>
      <c r="N936" s="64"/>
      <c r="O936" s="64"/>
      <c r="P936" s="64"/>
      <c r="Q936" s="64"/>
      <c r="R936" s="64"/>
      <c r="S936" s="64"/>
      <c r="T936" s="64"/>
      <c r="U936" s="64"/>
      <c r="V936" s="64"/>
      <c r="W936" s="64"/>
      <c r="X936" s="64"/>
      <c r="Y936" s="64"/>
      <c r="BH936" s="64"/>
      <c r="BI936" s="64"/>
      <c r="BJ936" s="64"/>
      <c r="BK936" s="64"/>
      <c r="BL936" s="64"/>
      <c r="BM936" s="64"/>
      <c r="BN936" s="64"/>
      <c r="BO936" s="64"/>
      <c r="BP936" s="64"/>
      <c r="BQ936" s="64"/>
      <c r="BR936" s="64"/>
    </row>
    <row r="937" ht="18.75" customHeight="1">
      <c r="G937" s="122"/>
      <c r="H937" s="64"/>
      <c r="L937" s="64"/>
      <c r="M937" s="64"/>
      <c r="N937" s="64"/>
      <c r="O937" s="64"/>
      <c r="P937" s="64"/>
      <c r="Q937" s="64"/>
      <c r="R937" s="64"/>
      <c r="S937" s="64"/>
      <c r="T937" s="64"/>
      <c r="U937" s="64"/>
      <c r="V937" s="64"/>
      <c r="W937" s="64"/>
      <c r="X937" s="64"/>
      <c r="Y937" s="64"/>
      <c r="BH937" s="64"/>
      <c r="BI937" s="64"/>
      <c r="BJ937" s="64"/>
      <c r="BK937" s="64"/>
      <c r="BL937" s="64"/>
      <c r="BM937" s="64"/>
      <c r="BN937" s="64"/>
      <c r="BO937" s="64"/>
      <c r="BP937" s="64"/>
      <c r="BQ937" s="64"/>
      <c r="BR937" s="64"/>
    </row>
    <row r="938" ht="18.75" customHeight="1">
      <c r="G938" s="122"/>
      <c r="H938" s="64"/>
      <c r="L938" s="64"/>
      <c r="M938" s="64"/>
      <c r="N938" s="64"/>
      <c r="O938" s="64"/>
      <c r="P938" s="64"/>
      <c r="Q938" s="64"/>
      <c r="R938" s="64"/>
      <c r="S938" s="64"/>
      <c r="T938" s="64"/>
      <c r="U938" s="64"/>
      <c r="V938" s="64"/>
      <c r="W938" s="64"/>
      <c r="X938" s="64"/>
      <c r="Y938" s="64"/>
      <c r="BH938" s="64"/>
      <c r="BI938" s="64"/>
      <c r="BJ938" s="64"/>
      <c r="BK938" s="64"/>
      <c r="BL938" s="64"/>
      <c r="BM938" s="64"/>
      <c r="BN938" s="64"/>
      <c r="BO938" s="64"/>
      <c r="BP938" s="64"/>
      <c r="BQ938" s="64"/>
      <c r="BR938" s="64"/>
    </row>
    <row r="939" ht="18.75" customHeight="1">
      <c r="G939" s="122"/>
      <c r="H939" s="64"/>
      <c r="L939" s="64"/>
      <c r="M939" s="64"/>
      <c r="N939" s="64"/>
      <c r="O939" s="64"/>
      <c r="P939" s="64"/>
      <c r="Q939" s="64"/>
      <c r="R939" s="64"/>
      <c r="S939" s="64"/>
      <c r="T939" s="64"/>
      <c r="U939" s="64"/>
      <c r="V939" s="64"/>
      <c r="W939" s="64"/>
      <c r="X939" s="64"/>
      <c r="Y939" s="64"/>
      <c r="BH939" s="64"/>
      <c r="BI939" s="64"/>
      <c r="BJ939" s="64"/>
      <c r="BK939" s="64"/>
      <c r="BL939" s="64"/>
      <c r="BM939" s="64"/>
      <c r="BN939" s="64"/>
      <c r="BO939" s="64"/>
      <c r="BP939" s="64"/>
      <c r="BQ939" s="64"/>
      <c r="BR939" s="64"/>
    </row>
    <row r="940" ht="18.75" customHeight="1">
      <c r="G940" s="122"/>
      <c r="H940" s="64"/>
      <c r="L940" s="64"/>
      <c r="M940" s="64"/>
      <c r="N940" s="64"/>
      <c r="O940" s="64"/>
      <c r="P940" s="64"/>
      <c r="Q940" s="64"/>
      <c r="R940" s="64"/>
      <c r="S940" s="64"/>
      <c r="T940" s="64"/>
      <c r="U940" s="64"/>
      <c r="V940" s="64"/>
      <c r="W940" s="64"/>
      <c r="X940" s="64"/>
      <c r="Y940" s="64"/>
      <c r="BH940" s="64"/>
      <c r="BI940" s="64"/>
      <c r="BJ940" s="64"/>
      <c r="BK940" s="64"/>
      <c r="BL940" s="64"/>
      <c r="BM940" s="64"/>
      <c r="BN940" s="64"/>
      <c r="BO940" s="64"/>
      <c r="BP940" s="64"/>
      <c r="BQ940" s="64"/>
      <c r="BR940" s="64"/>
    </row>
    <row r="941" ht="18.75" customHeight="1">
      <c r="G941" s="122"/>
      <c r="H941" s="64"/>
      <c r="L941" s="64"/>
      <c r="M941" s="64"/>
      <c r="N941" s="64"/>
      <c r="O941" s="64"/>
      <c r="P941" s="64"/>
      <c r="Q941" s="64"/>
      <c r="R941" s="64"/>
      <c r="S941" s="64"/>
      <c r="T941" s="64"/>
      <c r="U941" s="64"/>
      <c r="V941" s="64"/>
      <c r="W941" s="64"/>
      <c r="X941" s="64"/>
      <c r="Y941" s="64"/>
      <c r="BH941" s="64"/>
      <c r="BI941" s="64"/>
      <c r="BJ941" s="64"/>
      <c r="BK941" s="64"/>
      <c r="BL941" s="64"/>
      <c r="BM941" s="64"/>
      <c r="BN941" s="64"/>
      <c r="BO941" s="64"/>
      <c r="BP941" s="64"/>
      <c r="BQ941" s="64"/>
      <c r="BR941" s="64"/>
    </row>
    <row r="942" ht="18.75" customHeight="1">
      <c r="G942" s="122"/>
      <c r="H942" s="64"/>
      <c r="L942" s="64"/>
      <c r="M942" s="64"/>
      <c r="N942" s="64"/>
      <c r="O942" s="64"/>
      <c r="P942" s="64"/>
      <c r="Q942" s="64"/>
      <c r="R942" s="64"/>
      <c r="S942" s="64"/>
      <c r="T942" s="64"/>
      <c r="U942" s="64"/>
      <c r="V942" s="64"/>
      <c r="W942" s="64"/>
      <c r="X942" s="64"/>
      <c r="Y942" s="64"/>
      <c r="BH942" s="64"/>
      <c r="BI942" s="64"/>
      <c r="BJ942" s="64"/>
      <c r="BK942" s="64"/>
      <c r="BL942" s="64"/>
      <c r="BM942" s="64"/>
      <c r="BN942" s="64"/>
      <c r="BO942" s="64"/>
      <c r="BP942" s="64"/>
      <c r="BQ942" s="64"/>
      <c r="BR942" s="64"/>
    </row>
    <row r="943" ht="18.75" customHeight="1">
      <c r="G943" s="122"/>
      <c r="H943" s="64"/>
      <c r="L943" s="64"/>
      <c r="M943" s="64"/>
      <c r="N943" s="64"/>
      <c r="O943" s="64"/>
      <c r="P943" s="64"/>
      <c r="Q943" s="64"/>
      <c r="R943" s="64"/>
      <c r="S943" s="64"/>
      <c r="T943" s="64"/>
      <c r="U943" s="64"/>
      <c r="V943" s="64"/>
      <c r="W943" s="64"/>
      <c r="X943" s="64"/>
      <c r="Y943" s="64"/>
      <c r="BH943" s="64"/>
      <c r="BI943" s="64"/>
      <c r="BJ943" s="64"/>
      <c r="BK943" s="64"/>
      <c r="BL943" s="64"/>
      <c r="BM943" s="64"/>
      <c r="BN943" s="64"/>
      <c r="BO943" s="64"/>
      <c r="BP943" s="64"/>
      <c r="BQ943" s="64"/>
      <c r="BR943" s="64"/>
    </row>
    <row r="944" ht="18.75" customHeight="1">
      <c r="G944" s="122"/>
      <c r="H944" s="64"/>
      <c r="L944" s="64"/>
      <c r="M944" s="64"/>
      <c r="N944" s="64"/>
      <c r="O944" s="64"/>
      <c r="P944" s="64"/>
      <c r="Q944" s="64"/>
      <c r="R944" s="64"/>
      <c r="S944" s="64"/>
      <c r="T944" s="64"/>
      <c r="U944" s="64"/>
      <c r="V944" s="64"/>
      <c r="W944" s="64"/>
      <c r="X944" s="64"/>
      <c r="Y944" s="64"/>
      <c r="BH944" s="64"/>
      <c r="BI944" s="64"/>
      <c r="BJ944" s="64"/>
      <c r="BK944" s="64"/>
      <c r="BL944" s="64"/>
      <c r="BM944" s="64"/>
      <c r="BN944" s="64"/>
      <c r="BO944" s="64"/>
      <c r="BP944" s="64"/>
      <c r="BQ944" s="64"/>
      <c r="BR944" s="64"/>
    </row>
    <row r="945" ht="18.75" customHeight="1">
      <c r="G945" s="122"/>
      <c r="H945" s="64"/>
      <c r="L945" s="64"/>
      <c r="M945" s="64"/>
      <c r="N945" s="64"/>
      <c r="O945" s="64"/>
      <c r="P945" s="64"/>
      <c r="Q945" s="64"/>
      <c r="R945" s="64"/>
      <c r="S945" s="64"/>
      <c r="T945" s="64"/>
      <c r="U945" s="64"/>
      <c r="V945" s="64"/>
      <c r="W945" s="64"/>
      <c r="X945" s="64"/>
      <c r="Y945" s="64"/>
      <c r="BH945" s="64"/>
      <c r="BI945" s="64"/>
      <c r="BJ945" s="64"/>
      <c r="BK945" s="64"/>
      <c r="BL945" s="64"/>
      <c r="BM945" s="64"/>
      <c r="BN945" s="64"/>
      <c r="BO945" s="64"/>
      <c r="BP945" s="64"/>
      <c r="BQ945" s="64"/>
      <c r="BR945" s="64"/>
    </row>
    <row r="946" ht="18.75" customHeight="1">
      <c r="G946" s="122"/>
      <c r="H946" s="64"/>
      <c r="L946" s="64"/>
      <c r="M946" s="64"/>
      <c r="N946" s="64"/>
      <c r="O946" s="64"/>
      <c r="P946" s="64"/>
      <c r="Q946" s="64"/>
      <c r="R946" s="64"/>
      <c r="S946" s="64"/>
      <c r="T946" s="64"/>
      <c r="U946" s="64"/>
      <c r="V946" s="64"/>
      <c r="W946" s="64"/>
      <c r="X946" s="64"/>
      <c r="Y946" s="64"/>
      <c r="BH946" s="64"/>
      <c r="BI946" s="64"/>
      <c r="BJ946" s="64"/>
      <c r="BK946" s="64"/>
      <c r="BL946" s="64"/>
      <c r="BM946" s="64"/>
      <c r="BN946" s="64"/>
      <c r="BO946" s="64"/>
      <c r="BP946" s="64"/>
      <c r="BQ946" s="64"/>
      <c r="BR946" s="64"/>
    </row>
    <row r="947" ht="18.75" customHeight="1">
      <c r="G947" s="122"/>
      <c r="H947" s="64"/>
      <c r="L947" s="64"/>
      <c r="M947" s="64"/>
      <c r="N947" s="64"/>
      <c r="O947" s="64"/>
      <c r="P947" s="64"/>
      <c r="Q947" s="64"/>
      <c r="R947" s="64"/>
      <c r="S947" s="64"/>
      <c r="T947" s="64"/>
      <c r="U947" s="64"/>
      <c r="V947" s="64"/>
      <c r="W947" s="64"/>
      <c r="X947" s="64"/>
      <c r="Y947" s="64"/>
      <c r="BH947" s="64"/>
      <c r="BI947" s="64"/>
      <c r="BJ947" s="64"/>
      <c r="BK947" s="64"/>
      <c r="BL947" s="64"/>
      <c r="BM947" s="64"/>
      <c r="BN947" s="64"/>
      <c r="BO947" s="64"/>
      <c r="BP947" s="64"/>
      <c r="BQ947" s="64"/>
      <c r="BR947" s="64"/>
    </row>
    <row r="948" ht="18.75" customHeight="1">
      <c r="G948" s="122"/>
      <c r="H948" s="64"/>
      <c r="L948" s="64"/>
      <c r="M948" s="64"/>
      <c r="N948" s="64"/>
      <c r="O948" s="64"/>
      <c r="P948" s="64"/>
      <c r="Q948" s="64"/>
      <c r="R948" s="64"/>
      <c r="S948" s="64"/>
      <c r="T948" s="64"/>
      <c r="U948" s="64"/>
      <c r="V948" s="64"/>
      <c r="W948" s="64"/>
      <c r="X948" s="64"/>
      <c r="Y948" s="64"/>
      <c r="BH948" s="64"/>
      <c r="BI948" s="64"/>
      <c r="BJ948" s="64"/>
      <c r="BK948" s="64"/>
      <c r="BL948" s="64"/>
      <c r="BM948" s="64"/>
      <c r="BN948" s="64"/>
      <c r="BO948" s="64"/>
      <c r="BP948" s="64"/>
      <c r="BQ948" s="64"/>
      <c r="BR948" s="64"/>
    </row>
    <row r="949" ht="18.75" customHeight="1">
      <c r="G949" s="122"/>
      <c r="H949" s="64"/>
      <c r="L949" s="64"/>
      <c r="M949" s="64"/>
      <c r="N949" s="64"/>
      <c r="O949" s="64"/>
      <c r="P949" s="64"/>
      <c r="Q949" s="64"/>
      <c r="R949" s="64"/>
      <c r="S949" s="64"/>
      <c r="T949" s="64"/>
      <c r="U949" s="64"/>
      <c r="V949" s="64"/>
      <c r="W949" s="64"/>
      <c r="X949" s="64"/>
      <c r="Y949" s="64"/>
      <c r="BH949" s="64"/>
      <c r="BI949" s="64"/>
      <c r="BJ949" s="64"/>
      <c r="BK949" s="64"/>
      <c r="BL949" s="64"/>
      <c r="BM949" s="64"/>
      <c r="BN949" s="64"/>
      <c r="BO949" s="64"/>
      <c r="BP949" s="64"/>
      <c r="BQ949" s="64"/>
      <c r="BR949" s="64"/>
    </row>
    <row r="950" ht="18.75" customHeight="1">
      <c r="G950" s="122"/>
      <c r="H950" s="64"/>
      <c r="L950" s="64"/>
      <c r="M950" s="64"/>
      <c r="N950" s="64"/>
      <c r="O950" s="64"/>
      <c r="P950" s="64"/>
      <c r="Q950" s="64"/>
      <c r="R950" s="64"/>
      <c r="S950" s="64"/>
      <c r="T950" s="64"/>
      <c r="U950" s="64"/>
      <c r="V950" s="64"/>
      <c r="W950" s="64"/>
      <c r="X950" s="64"/>
      <c r="Y950" s="64"/>
      <c r="BH950" s="64"/>
      <c r="BI950" s="64"/>
      <c r="BJ950" s="64"/>
      <c r="BK950" s="64"/>
      <c r="BL950" s="64"/>
      <c r="BM950" s="64"/>
      <c r="BN950" s="64"/>
      <c r="BO950" s="64"/>
      <c r="BP950" s="64"/>
      <c r="BQ950" s="64"/>
      <c r="BR950" s="64"/>
    </row>
    <row r="951" ht="18.75" customHeight="1">
      <c r="G951" s="122"/>
      <c r="H951" s="64"/>
      <c r="L951" s="64"/>
      <c r="M951" s="64"/>
      <c r="N951" s="64"/>
      <c r="O951" s="64"/>
      <c r="P951" s="64"/>
      <c r="Q951" s="64"/>
      <c r="R951" s="64"/>
      <c r="S951" s="64"/>
      <c r="T951" s="64"/>
      <c r="U951" s="64"/>
      <c r="V951" s="64"/>
      <c r="W951" s="64"/>
      <c r="X951" s="64"/>
      <c r="Y951" s="64"/>
      <c r="BH951" s="64"/>
      <c r="BI951" s="64"/>
      <c r="BJ951" s="64"/>
      <c r="BK951" s="64"/>
      <c r="BL951" s="64"/>
      <c r="BM951" s="64"/>
      <c r="BN951" s="64"/>
      <c r="BO951" s="64"/>
      <c r="BP951" s="64"/>
      <c r="BQ951" s="64"/>
      <c r="BR951" s="64"/>
    </row>
    <row r="952" ht="18.75" customHeight="1">
      <c r="G952" s="122"/>
      <c r="H952" s="64"/>
      <c r="L952" s="64"/>
      <c r="M952" s="64"/>
      <c r="N952" s="64"/>
      <c r="O952" s="64"/>
      <c r="P952" s="64"/>
      <c r="Q952" s="64"/>
      <c r="R952" s="64"/>
      <c r="S952" s="64"/>
      <c r="T952" s="64"/>
      <c r="U952" s="64"/>
      <c r="V952" s="64"/>
      <c r="W952" s="64"/>
      <c r="X952" s="64"/>
      <c r="Y952" s="64"/>
      <c r="BH952" s="64"/>
      <c r="BI952" s="64"/>
      <c r="BJ952" s="64"/>
      <c r="BK952" s="64"/>
      <c r="BL952" s="64"/>
      <c r="BM952" s="64"/>
      <c r="BN952" s="64"/>
      <c r="BO952" s="64"/>
      <c r="BP952" s="64"/>
      <c r="BQ952" s="64"/>
      <c r="BR952" s="64"/>
    </row>
    <row r="953" ht="18.75" customHeight="1">
      <c r="G953" s="122"/>
      <c r="H953" s="64"/>
      <c r="L953" s="64"/>
      <c r="M953" s="64"/>
      <c r="N953" s="64"/>
      <c r="O953" s="64"/>
      <c r="P953" s="64"/>
      <c r="Q953" s="64"/>
      <c r="R953" s="64"/>
      <c r="S953" s="64"/>
      <c r="T953" s="64"/>
      <c r="U953" s="64"/>
      <c r="V953" s="64"/>
      <c r="W953" s="64"/>
      <c r="X953" s="64"/>
      <c r="Y953" s="64"/>
      <c r="BH953" s="64"/>
      <c r="BI953" s="64"/>
      <c r="BJ953" s="64"/>
      <c r="BK953" s="64"/>
      <c r="BL953" s="64"/>
      <c r="BM953" s="64"/>
      <c r="BN953" s="64"/>
      <c r="BO953" s="64"/>
      <c r="BP953" s="64"/>
      <c r="BQ953" s="64"/>
      <c r="BR953" s="64"/>
    </row>
    <row r="954" ht="18.75" customHeight="1">
      <c r="G954" s="122"/>
      <c r="H954" s="64"/>
      <c r="L954" s="64"/>
      <c r="M954" s="64"/>
      <c r="N954" s="64"/>
      <c r="O954" s="64"/>
      <c r="P954" s="64"/>
      <c r="Q954" s="64"/>
      <c r="R954" s="64"/>
      <c r="S954" s="64"/>
      <c r="T954" s="64"/>
      <c r="U954" s="64"/>
      <c r="V954" s="64"/>
      <c r="W954" s="64"/>
      <c r="X954" s="64"/>
      <c r="Y954" s="64"/>
      <c r="BH954" s="64"/>
      <c r="BI954" s="64"/>
      <c r="BJ954" s="64"/>
      <c r="BK954" s="64"/>
      <c r="BL954" s="64"/>
      <c r="BM954" s="64"/>
      <c r="BN954" s="64"/>
      <c r="BO954" s="64"/>
      <c r="BP954" s="64"/>
      <c r="BQ954" s="64"/>
      <c r="BR954" s="64"/>
    </row>
    <row r="955" ht="18.75" customHeight="1">
      <c r="G955" s="122"/>
      <c r="H955" s="64"/>
      <c r="L955" s="64"/>
      <c r="M955" s="64"/>
      <c r="N955" s="64"/>
      <c r="O955" s="64"/>
      <c r="P955" s="64"/>
      <c r="Q955" s="64"/>
      <c r="R955" s="64"/>
      <c r="S955" s="64"/>
      <c r="T955" s="64"/>
      <c r="U955" s="64"/>
      <c r="V955" s="64"/>
      <c r="W955" s="64"/>
      <c r="X955" s="64"/>
      <c r="Y955" s="64"/>
      <c r="BH955" s="64"/>
      <c r="BI955" s="64"/>
      <c r="BJ955" s="64"/>
      <c r="BK955" s="64"/>
      <c r="BL955" s="64"/>
      <c r="BM955" s="64"/>
      <c r="BN955" s="64"/>
      <c r="BO955" s="64"/>
      <c r="BP955" s="64"/>
      <c r="BQ955" s="64"/>
      <c r="BR955" s="64"/>
    </row>
    <row r="956" ht="18.75" customHeight="1">
      <c r="G956" s="122"/>
      <c r="H956" s="64"/>
      <c r="L956" s="64"/>
      <c r="M956" s="64"/>
      <c r="N956" s="64"/>
      <c r="O956" s="64"/>
      <c r="P956" s="64"/>
      <c r="Q956" s="64"/>
      <c r="R956" s="64"/>
      <c r="S956" s="64"/>
      <c r="T956" s="64"/>
      <c r="U956" s="64"/>
      <c r="V956" s="64"/>
      <c r="W956" s="64"/>
      <c r="X956" s="64"/>
      <c r="Y956" s="64"/>
      <c r="BH956" s="64"/>
      <c r="BI956" s="64"/>
      <c r="BJ956" s="64"/>
      <c r="BK956" s="64"/>
      <c r="BL956" s="64"/>
      <c r="BM956" s="64"/>
      <c r="BN956" s="64"/>
      <c r="BO956" s="64"/>
      <c r="BP956" s="64"/>
      <c r="BQ956" s="64"/>
      <c r="BR956" s="64"/>
    </row>
    <row r="957" ht="18.75" customHeight="1">
      <c r="G957" s="122"/>
      <c r="H957" s="64"/>
      <c r="L957" s="64"/>
      <c r="M957" s="64"/>
      <c r="N957" s="64"/>
      <c r="O957" s="64"/>
      <c r="P957" s="64"/>
      <c r="Q957" s="64"/>
      <c r="R957" s="64"/>
      <c r="S957" s="64"/>
      <c r="T957" s="64"/>
      <c r="U957" s="64"/>
      <c r="V957" s="64"/>
      <c r="W957" s="64"/>
      <c r="X957" s="64"/>
      <c r="Y957" s="64"/>
      <c r="BH957" s="64"/>
      <c r="BI957" s="64"/>
      <c r="BJ957" s="64"/>
      <c r="BK957" s="64"/>
      <c r="BL957" s="64"/>
      <c r="BM957" s="64"/>
      <c r="BN957" s="64"/>
      <c r="BO957" s="64"/>
      <c r="BP957" s="64"/>
      <c r="BQ957" s="64"/>
      <c r="BR957" s="64"/>
    </row>
    <row r="958" ht="18.75" customHeight="1">
      <c r="G958" s="122"/>
      <c r="H958" s="64"/>
      <c r="L958" s="64"/>
      <c r="M958" s="64"/>
      <c r="N958" s="64"/>
      <c r="O958" s="64"/>
      <c r="P958" s="64"/>
      <c r="Q958" s="64"/>
      <c r="R958" s="64"/>
      <c r="S958" s="64"/>
      <c r="T958" s="64"/>
      <c r="U958" s="64"/>
      <c r="V958" s="64"/>
      <c r="W958" s="64"/>
      <c r="X958" s="64"/>
      <c r="Y958" s="64"/>
      <c r="BH958" s="64"/>
      <c r="BI958" s="64"/>
      <c r="BJ958" s="64"/>
      <c r="BK958" s="64"/>
      <c r="BL958" s="64"/>
      <c r="BM958" s="64"/>
      <c r="BN958" s="64"/>
      <c r="BO958" s="64"/>
      <c r="BP958" s="64"/>
      <c r="BQ958" s="64"/>
      <c r="BR958" s="64"/>
    </row>
    <row r="959" ht="18.75" customHeight="1">
      <c r="G959" s="122"/>
      <c r="H959" s="64"/>
      <c r="L959" s="64"/>
      <c r="M959" s="64"/>
      <c r="N959" s="64"/>
      <c r="O959" s="64"/>
      <c r="P959" s="64"/>
      <c r="Q959" s="64"/>
      <c r="R959" s="64"/>
      <c r="S959" s="64"/>
      <c r="T959" s="64"/>
      <c r="U959" s="64"/>
      <c r="V959" s="64"/>
      <c r="W959" s="64"/>
      <c r="X959" s="64"/>
      <c r="Y959" s="64"/>
      <c r="BH959" s="64"/>
      <c r="BI959" s="64"/>
      <c r="BJ959" s="64"/>
      <c r="BK959" s="64"/>
      <c r="BL959" s="64"/>
      <c r="BM959" s="64"/>
      <c r="BN959" s="64"/>
      <c r="BO959" s="64"/>
      <c r="BP959" s="64"/>
      <c r="BQ959" s="64"/>
      <c r="BR959" s="64"/>
    </row>
    <row r="960" ht="18.75" customHeight="1">
      <c r="G960" s="122"/>
      <c r="H960" s="64"/>
      <c r="L960" s="64"/>
      <c r="M960" s="64"/>
      <c r="N960" s="64"/>
      <c r="O960" s="64"/>
      <c r="P960" s="64"/>
      <c r="Q960" s="64"/>
      <c r="R960" s="64"/>
      <c r="S960" s="64"/>
      <c r="T960" s="64"/>
      <c r="U960" s="64"/>
      <c r="V960" s="64"/>
      <c r="W960" s="64"/>
      <c r="X960" s="64"/>
      <c r="Y960" s="64"/>
      <c r="BH960" s="64"/>
      <c r="BI960" s="64"/>
      <c r="BJ960" s="64"/>
      <c r="BK960" s="64"/>
      <c r="BL960" s="64"/>
      <c r="BM960" s="64"/>
      <c r="BN960" s="64"/>
      <c r="BO960" s="64"/>
      <c r="BP960" s="64"/>
      <c r="BQ960" s="64"/>
      <c r="BR960" s="64"/>
    </row>
    <row r="961" ht="18.75" customHeight="1">
      <c r="G961" s="122"/>
      <c r="H961" s="64"/>
      <c r="L961" s="64"/>
      <c r="M961" s="64"/>
      <c r="N961" s="64"/>
      <c r="O961" s="64"/>
      <c r="P961" s="64"/>
      <c r="Q961" s="64"/>
      <c r="R961" s="64"/>
      <c r="S961" s="64"/>
      <c r="T961" s="64"/>
      <c r="U961" s="64"/>
      <c r="V961" s="64"/>
      <c r="W961" s="64"/>
      <c r="X961" s="64"/>
      <c r="Y961" s="64"/>
      <c r="BH961" s="64"/>
      <c r="BI961" s="64"/>
      <c r="BJ961" s="64"/>
      <c r="BK961" s="64"/>
      <c r="BL961" s="64"/>
      <c r="BM961" s="64"/>
      <c r="BN961" s="64"/>
      <c r="BO961" s="64"/>
      <c r="BP961" s="64"/>
      <c r="BQ961" s="64"/>
      <c r="BR961" s="64"/>
    </row>
    <row r="962" ht="18.75" customHeight="1">
      <c r="G962" s="122"/>
      <c r="H962" s="64"/>
      <c r="L962" s="64"/>
      <c r="M962" s="64"/>
      <c r="N962" s="64"/>
      <c r="O962" s="64"/>
      <c r="P962" s="64"/>
      <c r="Q962" s="64"/>
      <c r="R962" s="64"/>
      <c r="S962" s="64"/>
      <c r="T962" s="64"/>
      <c r="U962" s="64"/>
      <c r="V962" s="64"/>
      <c r="W962" s="64"/>
      <c r="X962" s="64"/>
      <c r="Y962" s="64"/>
      <c r="BH962" s="64"/>
      <c r="BI962" s="64"/>
      <c r="BJ962" s="64"/>
      <c r="BK962" s="64"/>
      <c r="BL962" s="64"/>
      <c r="BM962" s="64"/>
      <c r="BN962" s="64"/>
      <c r="BO962" s="64"/>
      <c r="BP962" s="64"/>
      <c r="BQ962" s="64"/>
      <c r="BR962" s="64"/>
    </row>
    <row r="963" ht="18.75" customHeight="1">
      <c r="G963" s="122"/>
      <c r="H963" s="64"/>
      <c r="L963" s="64"/>
      <c r="M963" s="64"/>
      <c r="N963" s="64"/>
      <c r="O963" s="64"/>
      <c r="P963" s="64"/>
      <c r="Q963" s="64"/>
      <c r="R963" s="64"/>
      <c r="S963" s="64"/>
      <c r="T963" s="64"/>
      <c r="U963" s="64"/>
      <c r="V963" s="64"/>
      <c r="W963" s="64"/>
      <c r="X963" s="64"/>
      <c r="Y963" s="64"/>
      <c r="BH963" s="64"/>
      <c r="BI963" s="64"/>
      <c r="BJ963" s="64"/>
      <c r="BK963" s="64"/>
      <c r="BL963" s="64"/>
      <c r="BM963" s="64"/>
      <c r="BN963" s="64"/>
      <c r="BO963" s="64"/>
      <c r="BP963" s="64"/>
      <c r="BQ963" s="64"/>
      <c r="BR963" s="64"/>
    </row>
    <row r="964" ht="18.75" customHeight="1">
      <c r="G964" s="122"/>
      <c r="H964" s="64"/>
      <c r="L964" s="64"/>
      <c r="M964" s="64"/>
      <c r="N964" s="64"/>
      <c r="O964" s="64"/>
      <c r="P964" s="64"/>
      <c r="Q964" s="64"/>
      <c r="R964" s="64"/>
      <c r="S964" s="64"/>
      <c r="T964" s="64"/>
      <c r="U964" s="64"/>
      <c r="V964" s="64"/>
      <c r="W964" s="64"/>
      <c r="X964" s="64"/>
      <c r="Y964" s="64"/>
      <c r="BH964" s="64"/>
      <c r="BI964" s="64"/>
      <c r="BJ964" s="64"/>
      <c r="BK964" s="64"/>
      <c r="BL964" s="64"/>
      <c r="BM964" s="64"/>
      <c r="BN964" s="64"/>
      <c r="BO964" s="64"/>
      <c r="BP964" s="64"/>
      <c r="BQ964" s="64"/>
      <c r="BR964" s="64"/>
    </row>
    <row r="965" ht="18.75" customHeight="1">
      <c r="G965" s="122"/>
      <c r="H965" s="64"/>
      <c r="L965" s="64"/>
      <c r="M965" s="64"/>
      <c r="N965" s="64"/>
      <c r="O965" s="64"/>
      <c r="P965" s="64"/>
      <c r="Q965" s="64"/>
      <c r="R965" s="64"/>
      <c r="S965" s="64"/>
      <c r="T965" s="64"/>
      <c r="U965" s="64"/>
      <c r="V965" s="64"/>
      <c r="W965" s="64"/>
      <c r="X965" s="64"/>
      <c r="Y965" s="64"/>
      <c r="BH965" s="64"/>
      <c r="BI965" s="64"/>
      <c r="BJ965" s="64"/>
      <c r="BK965" s="64"/>
      <c r="BL965" s="64"/>
      <c r="BM965" s="64"/>
      <c r="BN965" s="64"/>
      <c r="BO965" s="64"/>
      <c r="BP965" s="64"/>
      <c r="BQ965" s="64"/>
      <c r="BR965" s="64"/>
    </row>
    <row r="966" ht="18.75" customHeight="1">
      <c r="G966" s="122"/>
      <c r="H966" s="64"/>
      <c r="L966" s="64"/>
      <c r="M966" s="64"/>
      <c r="N966" s="64"/>
      <c r="O966" s="64"/>
      <c r="P966" s="64"/>
      <c r="Q966" s="64"/>
      <c r="R966" s="64"/>
      <c r="S966" s="64"/>
      <c r="T966" s="64"/>
      <c r="U966" s="64"/>
      <c r="V966" s="64"/>
      <c r="W966" s="64"/>
      <c r="X966" s="64"/>
      <c r="Y966" s="64"/>
      <c r="BH966" s="64"/>
      <c r="BI966" s="64"/>
      <c r="BJ966" s="64"/>
      <c r="BK966" s="64"/>
      <c r="BL966" s="64"/>
      <c r="BM966" s="64"/>
      <c r="BN966" s="64"/>
      <c r="BO966" s="64"/>
      <c r="BP966" s="64"/>
      <c r="BQ966" s="64"/>
      <c r="BR966" s="64"/>
    </row>
    <row r="967" ht="18.75" customHeight="1">
      <c r="G967" s="122"/>
      <c r="H967" s="64"/>
      <c r="L967" s="64"/>
      <c r="M967" s="64"/>
      <c r="N967" s="64"/>
      <c r="O967" s="64"/>
      <c r="P967" s="64"/>
      <c r="Q967" s="64"/>
      <c r="R967" s="64"/>
      <c r="S967" s="64"/>
      <c r="T967" s="64"/>
      <c r="U967" s="64"/>
      <c r="V967" s="64"/>
      <c r="W967" s="64"/>
      <c r="X967" s="64"/>
      <c r="Y967" s="64"/>
      <c r="BH967" s="64"/>
      <c r="BI967" s="64"/>
      <c r="BJ967" s="64"/>
      <c r="BK967" s="64"/>
      <c r="BL967" s="64"/>
      <c r="BM967" s="64"/>
      <c r="BN967" s="64"/>
      <c r="BO967" s="64"/>
      <c r="BP967" s="64"/>
      <c r="BQ967" s="64"/>
      <c r="BR967" s="64"/>
    </row>
    <row r="968" ht="18.75" customHeight="1">
      <c r="G968" s="122"/>
      <c r="H968" s="64"/>
      <c r="L968" s="64"/>
      <c r="M968" s="64"/>
      <c r="N968" s="64"/>
      <c r="O968" s="64"/>
      <c r="P968" s="64"/>
      <c r="Q968" s="64"/>
      <c r="R968" s="64"/>
      <c r="S968" s="64"/>
      <c r="T968" s="64"/>
      <c r="U968" s="64"/>
      <c r="V968" s="64"/>
      <c r="W968" s="64"/>
      <c r="X968" s="64"/>
      <c r="Y968" s="64"/>
      <c r="BH968" s="64"/>
      <c r="BI968" s="64"/>
      <c r="BJ968" s="64"/>
      <c r="BK968" s="64"/>
      <c r="BL968" s="64"/>
      <c r="BM968" s="64"/>
      <c r="BN968" s="64"/>
      <c r="BO968" s="64"/>
      <c r="BP968" s="64"/>
      <c r="BQ968" s="64"/>
      <c r="BR968" s="64"/>
    </row>
    <row r="969" ht="18.75" customHeight="1">
      <c r="G969" s="122"/>
      <c r="H969" s="64"/>
      <c r="L969" s="64"/>
      <c r="M969" s="64"/>
      <c r="N969" s="64"/>
      <c r="O969" s="64"/>
      <c r="P969" s="64"/>
      <c r="Q969" s="64"/>
      <c r="R969" s="64"/>
      <c r="S969" s="64"/>
      <c r="T969" s="64"/>
      <c r="U969" s="64"/>
      <c r="V969" s="64"/>
      <c r="W969" s="64"/>
      <c r="X969" s="64"/>
      <c r="Y969" s="64"/>
      <c r="BH969" s="64"/>
      <c r="BI969" s="64"/>
      <c r="BJ969" s="64"/>
      <c r="BK969" s="64"/>
      <c r="BL969" s="64"/>
      <c r="BM969" s="64"/>
      <c r="BN969" s="64"/>
      <c r="BO969" s="64"/>
      <c r="BP969" s="64"/>
      <c r="BQ969" s="64"/>
      <c r="BR969" s="64"/>
    </row>
    <row r="970" ht="18.75" customHeight="1">
      <c r="G970" s="122"/>
      <c r="H970" s="64"/>
      <c r="L970" s="64"/>
      <c r="M970" s="64"/>
      <c r="N970" s="64"/>
      <c r="O970" s="64"/>
      <c r="P970" s="64"/>
      <c r="Q970" s="64"/>
      <c r="R970" s="64"/>
      <c r="S970" s="64"/>
      <c r="T970" s="64"/>
      <c r="U970" s="64"/>
      <c r="V970" s="64"/>
      <c r="W970" s="64"/>
      <c r="X970" s="64"/>
      <c r="Y970" s="64"/>
      <c r="BH970" s="64"/>
      <c r="BI970" s="64"/>
      <c r="BJ970" s="64"/>
      <c r="BK970" s="64"/>
      <c r="BL970" s="64"/>
      <c r="BM970" s="64"/>
      <c r="BN970" s="64"/>
      <c r="BO970" s="64"/>
      <c r="BP970" s="64"/>
      <c r="BQ970" s="64"/>
      <c r="BR970" s="64"/>
    </row>
    <row r="971" ht="18.75" customHeight="1">
      <c r="G971" s="122"/>
      <c r="H971" s="64"/>
      <c r="L971" s="64"/>
      <c r="M971" s="64"/>
      <c r="N971" s="64"/>
      <c r="O971" s="64"/>
      <c r="P971" s="64"/>
      <c r="Q971" s="64"/>
      <c r="R971" s="64"/>
      <c r="S971" s="64"/>
      <c r="T971" s="64"/>
      <c r="U971" s="64"/>
      <c r="V971" s="64"/>
      <c r="W971" s="64"/>
      <c r="X971" s="64"/>
      <c r="Y971" s="64"/>
      <c r="BH971" s="64"/>
      <c r="BI971" s="64"/>
      <c r="BJ971" s="64"/>
      <c r="BK971" s="64"/>
      <c r="BL971" s="64"/>
      <c r="BM971" s="64"/>
      <c r="BN971" s="64"/>
      <c r="BO971" s="64"/>
      <c r="BP971" s="64"/>
      <c r="BQ971" s="64"/>
      <c r="BR971" s="64"/>
    </row>
    <row r="972" ht="18.75" customHeight="1">
      <c r="G972" s="122"/>
      <c r="H972" s="64"/>
      <c r="L972" s="64"/>
      <c r="M972" s="64"/>
      <c r="N972" s="64"/>
      <c r="O972" s="64"/>
      <c r="P972" s="64"/>
      <c r="Q972" s="64"/>
      <c r="R972" s="64"/>
      <c r="S972" s="64"/>
      <c r="T972" s="64"/>
      <c r="U972" s="64"/>
      <c r="V972" s="64"/>
      <c r="W972" s="64"/>
      <c r="X972" s="64"/>
      <c r="Y972" s="64"/>
      <c r="BH972" s="64"/>
      <c r="BI972" s="64"/>
      <c r="BJ972" s="64"/>
      <c r="BK972" s="64"/>
      <c r="BL972" s="64"/>
      <c r="BM972" s="64"/>
      <c r="BN972" s="64"/>
      <c r="BO972" s="64"/>
      <c r="BP972" s="64"/>
      <c r="BQ972" s="64"/>
      <c r="BR972" s="64"/>
    </row>
    <row r="973" ht="18.75" customHeight="1">
      <c r="G973" s="122"/>
      <c r="H973" s="64"/>
      <c r="L973" s="64"/>
      <c r="M973" s="64"/>
      <c r="N973" s="64"/>
      <c r="O973" s="64"/>
      <c r="P973" s="64"/>
      <c r="Q973" s="64"/>
      <c r="R973" s="64"/>
      <c r="S973" s="64"/>
      <c r="T973" s="64"/>
      <c r="U973" s="64"/>
      <c r="V973" s="64"/>
      <c r="W973" s="64"/>
      <c r="X973" s="64"/>
      <c r="Y973" s="64"/>
      <c r="BH973" s="64"/>
      <c r="BI973" s="64"/>
      <c r="BJ973" s="64"/>
      <c r="BK973" s="64"/>
      <c r="BL973" s="64"/>
      <c r="BM973" s="64"/>
      <c r="BN973" s="64"/>
      <c r="BO973" s="64"/>
      <c r="BP973" s="64"/>
      <c r="BQ973" s="64"/>
      <c r="BR973" s="64"/>
    </row>
    <row r="974" ht="18.75" customHeight="1">
      <c r="G974" s="122"/>
      <c r="H974" s="64"/>
      <c r="L974" s="64"/>
      <c r="M974" s="64"/>
      <c r="N974" s="64"/>
      <c r="O974" s="64"/>
      <c r="P974" s="64"/>
      <c r="Q974" s="64"/>
      <c r="R974" s="64"/>
      <c r="S974" s="64"/>
      <c r="T974" s="64"/>
      <c r="U974" s="64"/>
      <c r="V974" s="64"/>
      <c r="W974" s="64"/>
      <c r="X974" s="64"/>
      <c r="Y974" s="64"/>
      <c r="BH974" s="64"/>
      <c r="BI974" s="64"/>
      <c r="BJ974" s="64"/>
      <c r="BK974" s="64"/>
      <c r="BL974" s="64"/>
      <c r="BM974" s="64"/>
      <c r="BN974" s="64"/>
      <c r="BO974" s="64"/>
      <c r="BP974" s="64"/>
      <c r="BQ974" s="64"/>
      <c r="BR974" s="64"/>
    </row>
    <row r="975" ht="18.75" customHeight="1">
      <c r="G975" s="122"/>
      <c r="H975" s="64"/>
      <c r="L975" s="64"/>
      <c r="M975" s="64"/>
      <c r="N975" s="64"/>
      <c r="O975" s="64"/>
      <c r="P975" s="64"/>
      <c r="Q975" s="64"/>
      <c r="R975" s="64"/>
      <c r="S975" s="64"/>
      <c r="T975" s="64"/>
      <c r="U975" s="64"/>
      <c r="V975" s="64"/>
      <c r="W975" s="64"/>
      <c r="X975" s="64"/>
      <c r="Y975" s="64"/>
      <c r="BH975" s="64"/>
      <c r="BI975" s="64"/>
      <c r="BJ975" s="64"/>
      <c r="BK975" s="64"/>
      <c r="BL975" s="64"/>
      <c r="BM975" s="64"/>
      <c r="BN975" s="64"/>
      <c r="BO975" s="64"/>
      <c r="BP975" s="64"/>
      <c r="BQ975" s="64"/>
      <c r="BR975" s="64"/>
    </row>
    <row r="976" ht="18.75" customHeight="1">
      <c r="G976" s="122"/>
      <c r="H976" s="64"/>
      <c r="L976" s="64"/>
      <c r="M976" s="64"/>
      <c r="N976" s="64"/>
      <c r="O976" s="64"/>
      <c r="P976" s="64"/>
      <c r="Q976" s="64"/>
      <c r="R976" s="64"/>
      <c r="S976" s="64"/>
      <c r="T976" s="64"/>
      <c r="U976" s="64"/>
      <c r="V976" s="64"/>
      <c r="W976" s="64"/>
      <c r="X976" s="64"/>
      <c r="Y976" s="64"/>
      <c r="BH976" s="64"/>
      <c r="BI976" s="64"/>
      <c r="BJ976" s="64"/>
      <c r="BK976" s="64"/>
      <c r="BL976" s="64"/>
      <c r="BM976" s="64"/>
      <c r="BN976" s="64"/>
      <c r="BO976" s="64"/>
      <c r="BP976" s="64"/>
      <c r="BQ976" s="64"/>
      <c r="BR976" s="64"/>
    </row>
    <row r="977" ht="18.75" customHeight="1">
      <c r="G977" s="122"/>
      <c r="H977" s="64"/>
      <c r="L977" s="64"/>
      <c r="M977" s="64"/>
      <c r="N977" s="64"/>
      <c r="O977" s="64"/>
      <c r="P977" s="64"/>
      <c r="Q977" s="64"/>
      <c r="R977" s="64"/>
      <c r="S977" s="64"/>
      <c r="T977" s="64"/>
      <c r="U977" s="64"/>
      <c r="V977" s="64"/>
      <c r="W977" s="64"/>
      <c r="X977" s="64"/>
      <c r="Y977" s="64"/>
      <c r="BH977" s="64"/>
      <c r="BI977" s="64"/>
      <c r="BJ977" s="64"/>
      <c r="BK977" s="64"/>
      <c r="BL977" s="64"/>
      <c r="BM977" s="64"/>
      <c r="BN977" s="64"/>
      <c r="BO977" s="64"/>
      <c r="BP977" s="64"/>
      <c r="BQ977" s="64"/>
      <c r="BR977" s="64"/>
    </row>
    <row r="978" ht="18.75" customHeight="1">
      <c r="G978" s="122"/>
      <c r="H978" s="64"/>
      <c r="L978" s="64"/>
      <c r="M978" s="64"/>
      <c r="N978" s="64"/>
      <c r="O978" s="64"/>
      <c r="P978" s="64"/>
      <c r="Q978" s="64"/>
      <c r="R978" s="64"/>
      <c r="S978" s="64"/>
      <c r="T978" s="64"/>
      <c r="U978" s="64"/>
      <c r="V978" s="64"/>
      <c r="W978" s="64"/>
      <c r="X978" s="64"/>
      <c r="Y978" s="64"/>
      <c r="BH978" s="64"/>
      <c r="BI978" s="64"/>
      <c r="BJ978" s="64"/>
      <c r="BK978" s="64"/>
      <c r="BL978" s="64"/>
      <c r="BM978" s="64"/>
      <c r="BN978" s="64"/>
      <c r="BO978" s="64"/>
      <c r="BP978" s="64"/>
      <c r="BQ978" s="64"/>
      <c r="BR978" s="64"/>
    </row>
    <row r="979" ht="18.75" customHeight="1">
      <c r="G979" s="122"/>
      <c r="H979" s="64"/>
      <c r="L979" s="64"/>
      <c r="M979" s="64"/>
      <c r="N979" s="64"/>
      <c r="O979" s="64"/>
      <c r="P979" s="64"/>
      <c r="Q979" s="64"/>
      <c r="R979" s="64"/>
      <c r="S979" s="64"/>
      <c r="T979" s="64"/>
      <c r="U979" s="64"/>
      <c r="V979" s="64"/>
      <c r="W979" s="64"/>
      <c r="X979" s="64"/>
      <c r="Y979" s="64"/>
      <c r="BH979" s="64"/>
      <c r="BI979" s="64"/>
      <c r="BJ979" s="64"/>
      <c r="BK979" s="64"/>
      <c r="BL979" s="64"/>
      <c r="BM979" s="64"/>
      <c r="BN979" s="64"/>
      <c r="BO979" s="64"/>
      <c r="BP979" s="64"/>
      <c r="BQ979" s="64"/>
      <c r="BR979" s="64"/>
    </row>
    <row r="980" ht="18.75" customHeight="1">
      <c r="G980" s="122"/>
      <c r="H980" s="64"/>
      <c r="L980" s="64"/>
      <c r="M980" s="64"/>
      <c r="N980" s="64"/>
      <c r="O980" s="64"/>
      <c r="P980" s="64"/>
      <c r="Q980" s="64"/>
      <c r="R980" s="64"/>
      <c r="S980" s="64"/>
      <c r="T980" s="64"/>
      <c r="U980" s="64"/>
      <c r="V980" s="64"/>
      <c r="W980" s="64"/>
      <c r="X980" s="64"/>
      <c r="Y980" s="64"/>
      <c r="BH980" s="64"/>
      <c r="BI980" s="64"/>
      <c r="BJ980" s="64"/>
      <c r="BK980" s="64"/>
      <c r="BL980" s="64"/>
      <c r="BM980" s="64"/>
      <c r="BN980" s="64"/>
      <c r="BO980" s="64"/>
      <c r="BP980" s="64"/>
      <c r="BQ980" s="64"/>
      <c r="BR980" s="64"/>
    </row>
    <row r="981" ht="18.75" customHeight="1">
      <c r="G981" s="122"/>
      <c r="H981" s="64"/>
      <c r="L981" s="64"/>
      <c r="M981" s="64"/>
      <c r="N981" s="64"/>
      <c r="O981" s="64"/>
      <c r="P981" s="64"/>
      <c r="Q981" s="64"/>
      <c r="R981" s="64"/>
      <c r="S981" s="64"/>
      <c r="T981" s="64"/>
      <c r="U981" s="64"/>
      <c r="V981" s="64"/>
      <c r="W981" s="64"/>
      <c r="X981" s="64"/>
      <c r="Y981" s="64"/>
      <c r="BH981" s="64"/>
      <c r="BI981" s="64"/>
      <c r="BJ981" s="64"/>
      <c r="BK981" s="64"/>
      <c r="BL981" s="64"/>
      <c r="BM981" s="64"/>
      <c r="BN981" s="64"/>
      <c r="BO981" s="64"/>
      <c r="BP981" s="64"/>
      <c r="BQ981" s="64"/>
      <c r="BR981" s="64"/>
    </row>
    <row r="982" ht="18.75" customHeight="1">
      <c r="G982" s="122"/>
      <c r="H982" s="64"/>
      <c r="L982" s="64"/>
      <c r="M982" s="64"/>
      <c r="N982" s="64"/>
      <c r="O982" s="64"/>
      <c r="P982" s="64"/>
      <c r="Q982" s="64"/>
      <c r="R982" s="64"/>
      <c r="S982" s="64"/>
      <c r="T982" s="64"/>
      <c r="U982" s="64"/>
      <c r="V982" s="64"/>
      <c r="W982" s="64"/>
      <c r="X982" s="64"/>
      <c r="Y982" s="64"/>
      <c r="BH982" s="64"/>
      <c r="BI982" s="64"/>
      <c r="BJ982" s="64"/>
      <c r="BK982" s="64"/>
      <c r="BL982" s="64"/>
      <c r="BM982" s="64"/>
      <c r="BN982" s="64"/>
      <c r="BO982" s="64"/>
      <c r="BP982" s="64"/>
      <c r="BQ982" s="64"/>
      <c r="BR982" s="64"/>
    </row>
    <row r="983" ht="18.75" customHeight="1">
      <c r="G983" s="122"/>
      <c r="H983" s="64"/>
      <c r="L983" s="64"/>
      <c r="M983" s="64"/>
      <c r="N983" s="64"/>
      <c r="O983" s="64"/>
      <c r="P983" s="64"/>
      <c r="Q983" s="64"/>
      <c r="R983" s="64"/>
      <c r="S983" s="64"/>
      <c r="T983" s="64"/>
      <c r="U983" s="64"/>
      <c r="V983" s="64"/>
      <c r="W983" s="64"/>
      <c r="X983" s="64"/>
      <c r="Y983" s="64"/>
      <c r="BH983" s="64"/>
      <c r="BI983" s="64"/>
      <c r="BJ983" s="64"/>
      <c r="BK983" s="64"/>
      <c r="BL983" s="64"/>
      <c r="BM983" s="64"/>
      <c r="BN983" s="64"/>
      <c r="BO983" s="64"/>
      <c r="BP983" s="64"/>
      <c r="BQ983" s="64"/>
      <c r="BR983" s="64"/>
    </row>
    <row r="984" ht="18.75" customHeight="1">
      <c r="G984" s="122"/>
      <c r="H984" s="64"/>
      <c r="L984" s="64"/>
      <c r="M984" s="64"/>
      <c r="N984" s="64"/>
      <c r="O984" s="64"/>
      <c r="P984" s="64"/>
      <c r="Q984" s="64"/>
      <c r="R984" s="64"/>
      <c r="S984" s="64"/>
      <c r="T984" s="64"/>
      <c r="U984" s="64"/>
      <c r="V984" s="64"/>
      <c r="W984" s="64"/>
      <c r="X984" s="64"/>
      <c r="Y984" s="64"/>
      <c r="BH984" s="64"/>
      <c r="BI984" s="64"/>
      <c r="BJ984" s="64"/>
      <c r="BK984" s="64"/>
      <c r="BL984" s="64"/>
      <c r="BM984" s="64"/>
      <c r="BN984" s="64"/>
      <c r="BO984" s="64"/>
      <c r="BP984" s="64"/>
      <c r="BQ984" s="64"/>
      <c r="BR984" s="64"/>
    </row>
    <row r="985" ht="18.75" customHeight="1">
      <c r="G985" s="122"/>
      <c r="H985" s="64"/>
      <c r="L985" s="64"/>
      <c r="M985" s="64"/>
      <c r="N985" s="64"/>
      <c r="O985" s="64"/>
      <c r="P985" s="64"/>
      <c r="Q985" s="64"/>
      <c r="R985" s="64"/>
      <c r="S985" s="64"/>
      <c r="T985" s="64"/>
      <c r="U985" s="64"/>
      <c r="V985" s="64"/>
      <c r="W985" s="64"/>
      <c r="X985" s="64"/>
      <c r="Y985" s="64"/>
      <c r="BH985" s="64"/>
      <c r="BI985" s="64"/>
      <c r="BJ985" s="64"/>
      <c r="BK985" s="64"/>
      <c r="BL985" s="64"/>
      <c r="BM985" s="64"/>
      <c r="BN985" s="64"/>
      <c r="BO985" s="64"/>
      <c r="BP985" s="64"/>
      <c r="BQ985" s="64"/>
      <c r="BR985" s="64"/>
    </row>
    <row r="986" ht="18.75" customHeight="1">
      <c r="G986" s="122"/>
      <c r="H986" s="64"/>
      <c r="L986" s="64"/>
      <c r="M986" s="64"/>
      <c r="N986" s="64"/>
      <c r="O986" s="64"/>
      <c r="P986" s="64"/>
      <c r="Q986" s="64"/>
      <c r="R986" s="64"/>
      <c r="S986" s="64"/>
      <c r="T986" s="64"/>
      <c r="U986" s="64"/>
      <c r="V986" s="64"/>
      <c r="W986" s="64"/>
      <c r="X986" s="64"/>
      <c r="Y986" s="64"/>
      <c r="BH986" s="64"/>
      <c r="BI986" s="64"/>
      <c r="BJ986" s="64"/>
      <c r="BK986" s="64"/>
      <c r="BL986" s="64"/>
      <c r="BM986" s="64"/>
      <c r="BN986" s="64"/>
      <c r="BO986" s="64"/>
      <c r="BP986" s="64"/>
      <c r="BQ986" s="64"/>
      <c r="BR986" s="64"/>
    </row>
    <row r="987" ht="18.75" customHeight="1">
      <c r="G987" s="122"/>
      <c r="H987" s="64"/>
      <c r="L987" s="64"/>
      <c r="M987" s="64"/>
      <c r="N987" s="64"/>
      <c r="O987" s="64"/>
      <c r="P987" s="64"/>
      <c r="Q987" s="64"/>
      <c r="R987" s="64"/>
      <c r="S987" s="64"/>
      <c r="T987" s="64"/>
      <c r="U987" s="64"/>
      <c r="V987" s="64"/>
      <c r="W987" s="64"/>
      <c r="X987" s="64"/>
      <c r="Y987" s="64"/>
      <c r="BH987" s="64"/>
      <c r="BI987" s="64"/>
      <c r="BJ987" s="64"/>
      <c r="BK987" s="64"/>
      <c r="BL987" s="64"/>
      <c r="BM987" s="64"/>
      <c r="BN987" s="64"/>
      <c r="BO987" s="64"/>
      <c r="BP987" s="64"/>
      <c r="BQ987" s="64"/>
      <c r="BR987" s="64"/>
    </row>
    <row r="988" ht="18.75" customHeight="1">
      <c r="G988" s="122"/>
      <c r="H988" s="64"/>
      <c r="L988" s="64"/>
      <c r="M988" s="64"/>
      <c r="N988" s="64"/>
      <c r="O988" s="64"/>
      <c r="P988" s="64"/>
      <c r="Q988" s="64"/>
      <c r="R988" s="64"/>
      <c r="S988" s="64"/>
      <c r="T988" s="64"/>
      <c r="U988" s="64"/>
      <c r="V988" s="64"/>
      <c r="W988" s="64"/>
      <c r="X988" s="64"/>
      <c r="Y988" s="64"/>
      <c r="BH988" s="64"/>
      <c r="BI988" s="64"/>
      <c r="BJ988" s="64"/>
      <c r="BK988" s="64"/>
      <c r="BL988" s="64"/>
      <c r="BM988" s="64"/>
      <c r="BN988" s="64"/>
      <c r="BO988" s="64"/>
      <c r="BP988" s="64"/>
      <c r="BQ988" s="64"/>
      <c r="BR988" s="64"/>
    </row>
    <row r="989" ht="18.75" customHeight="1">
      <c r="G989" s="122"/>
      <c r="H989" s="64"/>
      <c r="L989" s="64"/>
      <c r="M989" s="64"/>
      <c r="N989" s="64"/>
      <c r="O989" s="64"/>
      <c r="P989" s="64"/>
      <c r="Q989" s="64"/>
      <c r="R989" s="64"/>
      <c r="S989" s="64"/>
      <c r="T989" s="64"/>
      <c r="U989" s="64"/>
      <c r="V989" s="64"/>
      <c r="W989" s="64"/>
      <c r="X989" s="64"/>
      <c r="Y989" s="64"/>
      <c r="BH989" s="64"/>
      <c r="BI989" s="64"/>
      <c r="BJ989" s="64"/>
      <c r="BK989" s="64"/>
      <c r="BL989" s="64"/>
      <c r="BM989" s="64"/>
      <c r="BN989" s="64"/>
      <c r="BO989" s="64"/>
      <c r="BP989" s="64"/>
      <c r="BQ989" s="64"/>
      <c r="BR989" s="64"/>
    </row>
    <row r="990" ht="18.75" customHeight="1">
      <c r="G990" s="122"/>
      <c r="H990" s="64"/>
      <c r="L990" s="64"/>
      <c r="M990" s="64"/>
      <c r="N990" s="64"/>
      <c r="O990" s="64"/>
      <c r="P990" s="64"/>
      <c r="Q990" s="64"/>
      <c r="R990" s="64"/>
      <c r="S990" s="64"/>
      <c r="T990" s="64"/>
      <c r="U990" s="64"/>
      <c r="V990" s="64"/>
      <c r="W990" s="64"/>
      <c r="X990" s="64"/>
      <c r="Y990" s="64"/>
      <c r="BH990" s="64"/>
      <c r="BI990" s="64"/>
      <c r="BJ990" s="64"/>
      <c r="BK990" s="64"/>
      <c r="BL990" s="64"/>
      <c r="BM990" s="64"/>
      <c r="BN990" s="64"/>
      <c r="BO990" s="64"/>
      <c r="BP990" s="64"/>
      <c r="BQ990" s="64"/>
      <c r="BR990" s="64"/>
    </row>
    <row r="991" ht="18.75" customHeight="1">
      <c r="G991" s="122"/>
      <c r="H991" s="64"/>
      <c r="L991" s="64"/>
      <c r="M991" s="64"/>
      <c r="N991" s="64"/>
      <c r="O991" s="64"/>
      <c r="P991" s="64"/>
      <c r="Q991" s="64"/>
      <c r="R991" s="64"/>
      <c r="S991" s="64"/>
      <c r="T991" s="64"/>
      <c r="U991" s="64"/>
      <c r="V991" s="64"/>
      <c r="W991" s="64"/>
      <c r="X991" s="64"/>
      <c r="Y991" s="64"/>
      <c r="BH991" s="64"/>
      <c r="BI991" s="64"/>
      <c r="BJ991" s="64"/>
      <c r="BK991" s="64"/>
      <c r="BL991" s="64"/>
      <c r="BM991" s="64"/>
      <c r="BN991" s="64"/>
      <c r="BO991" s="64"/>
      <c r="BP991" s="64"/>
      <c r="BQ991" s="64"/>
      <c r="BR991" s="64"/>
    </row>
    <row r="992" ht="18.75" customHeight="1">
      <c r="G992" s="122"/>
      <c r="H992" s="64"/>
      <c r="L992" s="64"/>
      <c r="M992" s="64"/>
      <c r="N992" s="64"/>
      <c r="O992" s="64"/>
      <c r="P992" s="64"/>
      <c r="Q992" s="64"/>
      <c r="R992" s="64"/>
      <c r="S992" s="64"/>
      <c r="T992" s="64"/>
      <c r="U992" s="64"/>
      <c r="V992" s="64"/>
      <c r="W992" s="64"/>
      <c r="X992" s="64"/>
      <c r="Y992" s="64"/>
      <c r="BH992" s="64"/>
      <c r="BI992" s="64"/>
      <c r="BJ992" s="64"/>
      <c r="BK992" s="64"/>
      <c r="BL992" s="64"/>
      <c r="BM992" s="64"/>
      <c r="BN992" s="64"/>
      <c r="BO992" s="64"/>
      <c r="BP992" s="64"/>
      <c r="BQ992" s="64"/>
      <c r="BR992" s="64"/>
    </row>
    <row r="993" ht="18.75" customHeight="1">
      <c r="G993" s="122"/>
      <c r="H993" s="64"/>
      <c r="L993" s="64"/>
      <c r="M993" s="64"/>
      <c r="N993" s="64"/>
      <c r="O993" s="64"/>
      <c r="P993" s="64"/>
      <c r="Q993" s="64"/>
      <c r="R993" s="64"/>
      <c r="S993" s="64"/>
      <c r="T993" s="64"/>
      <c r="U993" s="64"/>
      <c r="V993" s="64"/>
      <c r="W993" s="64"/>
      <c r="X993" s="64"/>
      <c r="Y993" s="64"/>
      <c r="BH993" s="64"/>
      <c r="BI993" s="64"/>
      <c r="BJ993" s="64"/>
      <c r="BK993" s="64"/>
      <c r="BL993" s="64"/>
      <c r="BM993" s="64"/>
      <c r="BN993" s="64"/>
      <c r="BO993" s="64"/>
      <c r="BP993" s="64"/>
      <c r="BQ993" s="64"/>
      <c r="BR993" s="64"/>
    </row>
    <row r="994" ht="18.75" customHeight="1">
      <c r="G994" s="122"/>
      <c r="H994" s="64"/>
      <c r="L994" s="64"/>
      <c r="M994" s="64"/>
      <c r="N994" s="64"/>
      <c r="O994" s="64"/>
      <c r="P994" s="64"/>
      <c r="Q994" s="64"/>
      <c r="R994" s="64"/>
      <c r="S994" s="64"/>
      <c r="T994" s="64"/>
      <c r="U994" s="64"/>
      <c r="V994" s="64"/>
      <c r="W994" s="64"/>
      <c r="X994" s="64"/>
      <c r="Y994" s="64"/>
      <c r="BH994" s="64"/>
      <c r="BI994" s="64"/>
      <c r="BJ994" s="64"/>
      <c r="BK994" s="64"/>
      <c r="BL994" s="64"/>
      <c r="BM994" s="64"/>
      <c r="BN994" s="64"/>
      <c r="BO994" s="64"/>
      <c r="BP994" s="64"/>
      <c r="BQ994" s="64"/>
      <c r="BR994" s="64"/>
    </row>
    <row r="995" ht="18.75" customHeight="1">
      <c r="G995" s="122"/>
      <c r="H995" s="64"/>
      <c r="L995" s="64"/>
      <c r="M995" s="64"/>
      <c r="N995" s="64"/>
      <c r="O995" s="64"/>
      <c r="P995" s="64"/>
      <c r="Q995" s="64"/>
      <c r="R995" s="64"/>
      <c r="S995" s="64"/>
      <c r="T995" s="64"/>
      <c r="U995" s="64"/>
      <c r="V995" s="64"/>
      <c r="W995" s="64"/>
      <c r="X995" s="64"/>
      <c r="Y995" s="64"/>
      <c r="BH995" s="64"/>
      <c r="BI995" s="64"/>
      <c r="BJ995" s="64"/>
      <c r="BK995" s="64"/>
      <c r="BL995" s="64"/>
      <c r="BM995" s="64"/>
      <c r="BN995" s="64"/>
      <c r="BO995" s="64"/>
      <c r="BP995" s="64"/>
      <c r="BQ995" s="64"/>
      <c r="BR995" s="64"/>
    </row>
    <row r="996" ht="18.75" customHeight="1">
      <c r="G996" s="122"/>
      <c r="H996" s="64"/>
      <c r="L996" s="64"/>
      <c r="M996" s="64"/>
      <c r="N996" s="64"/>
      <c r="O996" s="64"/>
      <c r="P996" s="64"/>
      <c r="Q996" s="64"/>
      <c r="R996" s="64"/>
      <c r="S996" s="64"/>
      <c r="T996" s="64"/>
      <c r="U996" s="64"/>
      <c r="V996" s="64"/>
      <c r="W996" s="64"/>
      <c r="X996" s="64"/>
      <c r="Y996" s="64"/>
      <c r="BH996" s="64"/>
      <c r="BI996" s="64"/>
      <c r="BJ996" s="64"/>
      <c r="BK996" s="64"/>
      <c r="BL996" s="64"/>
      <c r="BM996" s="64"/>
      <c r="BN996" s="64"/>
      <c r="BO996" s="64"/>
      <c r="BP996" s="64"/>
      <c r="BQ996" s="64"/>
      <c r="BR996" s="64"/>
    </row>
    <row r="997" ht="18.75" customHeight="1">
      <c r="G997" s="122"/>
      <c r="H997" s="64"/>
      <c r="L997" s="64"/>
      <c r="M997" s="64"/>
      <c r="N997" s="64"/>
      <c r="O997" s="64"/>
      <c r="P997" s="64"/>
      <c r="Q997" s="64"/>
      <c r="R997" s="64"/>
      <c r="S997" s="64"/>
      <c r="T997" s="64"/>
      <c r="U997" s="64"/>
      <c r="V997" s="64"/>
      <c r="W997" s="64"/>
      <c r="X997" s="64"/>
      <c r="Y997" s="64"/>
      <c r="BH997" s="64"/>
      <c r="BI997" s="64"/>
      <c r="BJ997" s="64"/>
      <c r="BK997" s="64"/>
      <c r="BL997" s="64"/>
      <c r="BM997" s="64"/>
      <c r="BN997" s="64"/>
      <c r="BO997" s="64"/>
      <c r="BP997" s="64"/>
      <c r="BQ997" s="64"/>
      <c r="BR997" s="64"/>
    </row>
    <row r="998" ht="18.75" customHeight="1">
      <c r="G998" s="122"/>
      <c r="H998" s="64"/>
      <c r="L998" s="64"/>
      <c r="M998" s="64"/>
      <c r="N998" s="64"/>
      <c r="O998" s="64"/>
      <c r="P998" s="64"/>
      <c r="Q998" s="64"/>
      <c r="R998" s="64"/>
      <c r="S998" s="64"/>
      <c r="T998" s="64"/>
      <c r="U998" s="64"/>
      <c r="V998" s="64"/>
      <c r="W998" s="64"/>
      <c r="X998" s="64"/>
      <c r="Y998" s="64"/>
      <c r="BH998" s="64"/>
      <c r="BI998" s="64"/>
      <c r="BJ998" s="64"/>
      <c r="BK998" s="64"/>
      <c r="BL998" s="64"/>
      <c r="BM998" s="64"/>
      <c r="BN998" s="64"/>
      <c r="BO998" s="64"/>
      <c r="BP998" s="64"/>
      <c r="BQ998" s="64"/>
      <c r="BR998" s="64"/>
    </row>
    <row r="999" ht="18.75" customHeight="1">
      <c r="G999" s="122"/>
      <c r="H999" s="64"/>
      <c r="L999" s="64"/>
      <c r="M999" s="64"/>
      <c r="N999" s="64"/>
      <c r="O999" s="64"/>
      <c r="P999" s="64"/>
      <c r="Q999" s="64"/>
      <c r="R999" s="64"/>
      <c r="S999" s="64"/>
      <c r="T999" s="64"/>
      <c r="U999" s="64"/>
      <c r="V999" s="64"/>
      <c r="W999" s="64"/>
      <c r="X999" s="64"/>
      <c r="Y999" s="64"/>
      <c r="BH999" s="64"/>
      <c r="BI999" s="64"/>
      <c r="BJ999" s="64"/>
      <c r="BK999" s="64"/>
      <c r="BL999" s="64"/>
      <c r="BM999" s="64"/>
      <c r="BN999" s="64"/>
      <c r="BO999" s="64"/>
      <c r="BP999" s="64"/>
      <c r="BQ999" s="64"/>
      <c r="BR999" s="64"/>
    </row>
    <row r="1000" ht="18.75" customHeight="1">
      <c r="G1000" s="122"/>
      <c r="H1000" s="64"/>
      <c r="L1000" s="64"/>
      <c r="M1000" s="64"/>
      <c r="N1000" s="64"/>
      <c r="O1000" s="64"/>
      <c r="P1000" s="64"/>
      <c r="Q1000" s="64"/>
      <c r="R1000" s="64"/>
      <c r="S1000" s="64"/>
      <c r="T1000" s="64"/>
      <c r="U1000" s="64"/>
      <c r="V1000" s="64"/>
      <c r="W1000" s="64"/>
      <c r="X1000" s="64"/>
      <c r="Y1000" s="64"/>
      <c r="BH1000" s="64"/>
      <c r="BI1000" s="64"/>
      <c r="BJ1000" s="64"/>
      <c r="BK1000" s="64"/>
      <c r="BL1000" s="64"/>
      <c r="BM1000" s="64"/>
      <c r="BN1000" s="64"/>
      <c r="BO1000" s="64"/>
      <c r="BP1000" s="64"/>
      <c r="BQ1000" s="64"/>
      <c r="BR1000" s="64"/>
    </row>
  </sheetData>
  <autoFilter ref="$A$3:$CN$100"/>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0"/>
  <cols>
    <col customWidth="1" min="1" max="1" width="12.63"/>
    <col customWidth="1" min="2" max="3" width="11.38"/>
    <col customWidth="1" min="4" max="19" width="27.63"/>
  </cols>
  <sheetData>
    <row r="1">
      <c r="A1" s="191" t="s">
        <v>5473</v>
      </c>
      <c r="B1" s="191" t="s">
        <v>5474</v>
      </c>
      <c r="C1" s="191" t="s">
        <v>5475</v>
      </c>
      <c r="D1" s="191" t="s">
        <v>5476</v>
      </c>
      <c r="E1" s="191" t="s">
        <v>5477</v>
      </c>
      <c r="F1" s="191" t="s">
        <v>5478</v>
      </c>
      <c r="G1" s="191" t="s">
        <v>5479</v>
      </c>
      <c r="H1" s="191" t="s">
        <v>5480</v>
      </c>
      <c r="I1" s="191" t="s">
        <v>5481</v>
      </c>
      <c r="J1" s="191" t="s">
        <v>5482</v>
      </c>
      <c r="K1" s="191" t="s">
        <v>5483</v>
      </c>
      <c r="L1" s="191" t="s">
        <v>5484</v>
      </c>
      <c r="M1" s="191" t="s">
        <v>5485</v>
      </c>
      <c r="N1" s="191" t="s">
        <v>1921</v>
      </c>
      <c r="O1" s="191" t="s">
        <v>5486</v>
      </c>
      <c r="P1" s="191" t="s">
        <v>5487</v>
      </c>
      <c r="Q1" s="191" t="s">
        <v>5488</v>
      </c>
      <c r="R1" s="191" t="s">
        <v>5489</v>
      </c>
      <c r="S1" s="191" t="s">
        <v>5490</v>
      </c>
    </row>
    <row r="2">
      <c r="A2" s="106" t="s">
        <v>5491</v>
      </c>
      <c r="B2" s="106" t="s">
        <v>5492</v>
      </c>
      <c r="C2" s="106" t="s">
        <v>5493</v>
      </c>
      <c r="D2" s="106" t="s">
        <v>5494</v>
      </c>
      <c r="E2" s="106" t="s">
        <v>5495</v>
      </c>
      <c r="F2" s="106" t="s">
        <v>5496</v>
      </c>
      <c r="G2" s="106" t="s">
        <v>5497</v>
      </c>
      <c r="H2" s="106" t="s">
        <v>5498</v>
      </c>
      <c r="I2" s="106" t="s">
        <v>5499</v>
      </c>
      <c r="J2" s="106" t="s">
        <v>5500</v>
      </c>
      <c r="K2" s="106" t="s">
        <v>5501</v>
      </c>
      <c r="L2" s="106" t="s">
        <v>5502</v>
      </c>
      <c r="M2" s="106" t="s">
        <v>5503</v>
      </c>
      <c r="N2" s="106" t="s">
        <v>5504</v>
      </c>
      <c r="O2" s="106" t="s">
        <v>5505</v>
      </c>
      <c r="P2" s="106" t="s">
        <v>5506</v>
      </c>
      <c r="Q2" s="106" t="s">
        <v>5507</v>
      </c>
      <c r="R2" s="106" t="s">
        <v>5508</v>
      </c>
      <c r="S2" s="106" t="s">
        <v>5509</v>
      </c>
    </row>
    <row r="3">
      <c r="A3" s="106" t="s">
        <v>5510</v>
      </c>
      <c r="B3" s="106" t="s">
        <v>5492</v>
      </c>
      <c r="C3" s="106" t="s">
        <v>5511</v>
      </c>
      <c r="D3" s="106" t="s">
        <v>5512</v>
      </c>
      <c r="E3" s="106" t="s">
        <v>5513</v>
      </c>
      <c r="F3" s="106" t="s">
        <v>5514</v>
      </c>
      <c r="G3" s="106" t="s">
        <v>5515</v>
      </c>
      <c r="H3" s="106" t="s">
        <v>5516</v>
      </c>
      <c r="I3" s="106" t="s">
        <v>5517</v>
      </c>
      <c r="J3" s="106" t="s">
        <v>5518</v>
      </c>
      <c r="K3" s="106" t="s">
        <v>5519</v>
      </c>
      <c r="L3" s="106" t="s">
        <v>5520</v>
      </c>
      <c r="M3" s="106" t="s">
        <v>5521</v>
      </c>
      <c r="N3" s="106" t="s">
        <v>5522</v>
      </c>
      <c r="O3" s="106" t="s">
        <v>5523</v>
      </c>
      <c r="P3" s="106" t="s">
        <v>5524</v>
      </c>
      <c r="Q3" s="106" t="s">
        <v>5525</v>
      </c>
      <c r="R3" s="106" t="s">
        <v>5526</v>
      </c>
      <c r="S3" s="106" t="s">
        <v>5527</v>
      </c>
    </row>
    <row r="4">
      <c r="A4" s="106" t="s">
        <v>5528</v>
      </c>
      <c r="B4" s="106" t="s">
        <v>5492</v>
      </c>
      <c r="C4" s="106" t="s">
        <v>5493</v>
      </c>
      <c r="D4" s="106" t="s">
        <v>5529</v>
      </c>
      <c r="E4" s="106" t="s">
        <v>5530</v>
      </c>
      <c r="F4" s="106" t="s">
        <v>5531</v>
      </c>
      <c r="G4" s="106" t="s">
        <v>5532</v>
      </c>
      <c r="H4" s="106" t="s">
        <v>5533</v>
      </c>
      <c r="I4" s="106" t="s">
        <v>5534</v>
      </c>
      <c r="J4" s="106" t="s">
        <v>5535</v>
      </c>
      <c r="K4" s="106" t="s">
        <v>5536</v>
      </c>
      <c r="L4" s="106" t="s">
        <v>5537</v>
      </c>
      <c r="M4" s="106" t="s">
        <v>5538</v>
      </c>
      <c r="N4" s="106" t="s">
        <v>5539</v>
      </c>
      <c r="O4" s="106" t="s">
        <v>5540</v>
      </c>
      <c r="P4" s="106" t="s">
        <v>5541</v>
      </c>
      <c r="Q4" s="106" t="s">
        <v>5542</v>
      </c>
      <c r="R4" s="106" t="s">
        <v>5543</v>
      </c>
      <c r="S4" s="106" t="s">
        <v>5544</v>
      </c>
    </row>
    <row r="5">
      <c r="A5" s="106" t="s">
        <v>5545</v>
      </c>
      <c r="B5" s="106" t="s">
        <v>5546</v>
      </c>
      <c r="C5" s="106" t="s">
        <v>5547</v>
      </c>
      <c r="D5" s="106" t="s">
        <v>5548</v>
      </c>
      <c r="E5" s="106" t="s">
        <v>5549</v>
      </c>
      <c r="F5" s="106" t="s">
        <v>5550</v>
      </c>
      <c r="G5" s="106" t="s">
        <v>5551</v>
      </c>
      <c r="H5" s="106" t="s">
        <v>5552</v>
      </c>
      <c r="I5" s="106" t="s">
        <v>5553</v>
      </c>
      <c r="J5" s="106" t="s">
        <v>5554</v>
      </c>
      <c r="K5" s="106" t="s">
        <v>5555</v>
      </c>
      <c r="L5" s="106" t="s">
        <v>5556</v>
      </c>
      <c r="M5" s="106" t="s">
        <v>5557</v>
      </c>
      <c r="N5" s="106" t="s">
        <v>5558</v>
      </c>
      <c r="O5" s="106" t="s">
        <v>5559</v>
      </c>
      <c r="P5" s="106" t="s">
        <v>5560</v>
      </c>
      <c r="Q5" s="106" t="s">
        <v>5561</v>
      </c>
      <c r="R5" s="106" t="s">
        <v>5562</v>
      </c>
      <c r="S5" s="106" t="s">
        <v>5563</v>
      </c>
    </row>
    <row r="6">
      <c r="A6" s="106" t="s">
        <v>5564</v>
      </c>
      <c r="B6" s="106" t="s">
        <v>5492</v>
      </c>
      <c r="C6" s="106" t="s">
        <v>5493</v>
      </c>
      <c r="D6" s="106" t="s">
        <v>5565</v>
      </c>
      <c r="E6" s="106" t="s">
        <v>5566</v>
      </c>
      <c r="F6" s="106" t="s">
        <v>5567</v>
      </c>
      <c r="G6" s="106" t="s">
        <v>5568</v>
      </c>
      <c r="H6" s="106" t="s">
        <v>5569</v>
      </c>
      <c r="I6" s="106" t="s">
        <v>5570</v>
      </c>
      <c r="J6" s="106" t="s">
        <v>5571</v>
      </c>
      <c r="K6" s="106" t="s">
        <v>5572</v>
      </c>
      <c r="L6" s="106" t="s">
        <v>5573</v>
      </c>
      <c r="M6" s="106" t="s">
        <v>5574</v>
      </c>
      <c r="N6" s="106" t="s">
        <v>5575</v>
      </c>
      <c r="O6" s="106" t="s">
        <v>5576</v>
      </c>
      <c r="P6" s="106" t="s">
        <v>5577</v>
      </c>
      <c r="Q6" s="106" t="s">
        <v>5578</v>
      </c>
      <c r="R6" s="106" t="s">
        <v>5579</v>
      </c>
      <c r="S6" s="106" t="s">
        <v>5580</v>
      </c>
    </row>
    <row r="7">
      <c r="A7" s="106" t="s">
        <v>5581</v>
      </c>
      <c r="B7" s="106" t="s">
        <v>5582</v>
      </c>
      <c r="C7" s="106" t="s">
        <v>5493</v>
      </c>
      <c r="D7" s="106" t="s">
        <v>5583</v>
      </c>
      <c r="E7" s="106" t="s">
        <v>5584</v>
      </c>
      <c r="F7" s="106" t="s">
        <v>5585</v>
      </c>
      <c r="G7" s="106" t="s">
        <v>5586</v>
      </c>
      <c r="H7" s="106" t="s">
        <v>5587</v>
      </c>
      <c r="I7" s="106" t="s">
        <v>5588</v>
      </c>
      <c r="J7" s="106" t="s">
        <v>5589</v>
      </c>
      <c r="K7" s="106" t="s">
        <v>5590</v>
      </c>
      <c r="L7" s="106" t="s">
        <v>5591</v>
      </c>
      <c r="M7" s="106" t="s">
        <v>5592</v>
      </c>
      <c r="N7" s="106" t="s">
        <v>5593</v>
      </c>
      <c r="O7" s="106" t="s">
        <v>5594</v>
      </c>
      <c r="P7" s="106" t="s">
        <v>5595</v>
      </c>
      <c r="Q7" s="106" t="s">
        <v>5596</v>
      </c>
      <c r="R7" s="106" t="s">
        <v>5597</v>
      </c>
      <c r="S7" s="106" t="s">
        <v>5598</v>
      </c>
    </row>
    <row r="8">
      <c r="A8" s="106" t="s">
        <v>5599</v>
      </c>
      <c r="B8" s="106" t="s">
        <v>5546</v>
      </c>
      <c r="C8" s="106" t="s">
        <v>5511</v>
      </c>
      <c r="D8" s="106" t="s">
        <v>5600</v>
      </c>
      <c r="E8" s="106" t="s">
        <v>5601</v>
      </c>
      <c r="F8" s="106" t="s">
        <v>5602</v>
      </c>
      <c r="G8" s="106" t="s">
        <v>5603</v>
      </c>
      <c r="H8" s="106" t="s">
        <v>5604</v>
      </c>
      <c r="I8" s="106" t="s">
        <v>5605</v>
      </c>
      <c r="J8" s="106" t="s">
        <v>5606</v>
      </c>
      <c r="K8" s="106" t="s">
        <v>5607</v>
      </c>
      <c r="L8" s="106" t="s">
        <v>5608</v>
      </c>
      <c r="M8" s="106" t="s">
        <v>5609</v>
      </c>
      <c r="N8" s="106" t="s">
        <v>5610</v>
      </c>
      <c r="O8" s="106" t="s">
        <v>5611</v>
      </c>
      <c r="P8" s="106" t="s">
        <v>5612</v>
      </c>
      <c r="Q8" s="106" t="s">
        <v>5613</v>
      </c>
      <c r="R8" s="106" t="s">
        <v>5614</v>
      </c>
      <c r="S8" s="106" t="s">
        <v>5615</v>
      </c>
    </row>
    <row r="9">
      <c r="A9" s="106" t="s">
        <v>1263</v>
      </c>
      <c r="B9" s="106" t="s">
        <v>5492</v>
      </c>
      <c r="C9" s="106" t="s">
        <v>5493</v>
      </c>
      <c r="D9" s="106" t="s">
        <v>5616</v>
      </c>
      <c r="E9" s="106" t="s">
        <v>5617</v>
      </c>
      <c r="F9" s="106" t="s">
        <v>5618</v>
      </c>
      <c r="G9" s="106" t="s">
        <v>5619</v>
      </c>
      <c r="H9" s="106" t="s">
        <v>5620</v>
      </c>
      <c r="I9" s="106" t="s">
        <v>5621</v>
      </c>
      <c r="J9" s="106" t="s">
        <v>5622</v>
      </c>
      <c r="K9" s="106" t="s">
        <v>5623</v>
      </c>
      <c r="L9" s="106" t="s">
        <v>5624</v>
      </c>
      <c r="M9" s="106" t="s">
        <v>5625</v>
      </c>
      <c r="N9" s="106" t="s">
        <v>5626</v>
      </c>
      <c r="O9" s="106" t="s">
        <v>5627</v>
      </c>
      <c r="P9" s="106" t="s">
        <v>5628</v>
      </c>
      <c r="Q9" s="106" t="s">
        <v>5629</v>
      </c>
      <c r="R9" s="106" t="s">
        <v>5630</v>
      </c>
      <c r="S9" s="106" t="s">
        <v>5631</v>
      </c>
    </row>
    <row r="10">
      <c r="A10" s="106" t="s">
        <v>5632</v>
      </c>
      <c r="B10" s="106" t="s">
        <v>5546</v>
      </c>
      <c r="C10" s="106" t="s">
        <v>5547</v>
      </c>
      <c r="D10" s="106" t="s">
        <v>5633</v>
      </c>
      <c r="E10" s="106" t="s">
        <v>5634</v>
      </c>
      <c r="F10" s="106" t="s">
        <v>5635</v>
      </c>
      <c r="G10" s="106" t="s">
        <v>5636</v>
      </c>
      <c r="H10" s="106" t="s">
        <v>5637</v>
      </c>
      <c r="I10" s="106" t="s">
        <v>5638</v>
      </c>
      <c r="J10" s="106" t="s">
        <v>5639</v>
      </c>
      <c r="K10" s="106" t="s">
        <v>5640</v>
      </c>
      <c r="L10" s="106" t="s">
        <v>5641</v>
      </c>
      <c r="M10" s="106" t="s">
        <v>5642</v>
      </c>
      <c r="N10" s="106" t="s">
        <v>5643</v>
      </c>
      <c r="O10" s="106" t="s">
        <v>5644</v>
      </c>
      <c r="P10" s="106" t="s">
        <v>5645</v>
      </c>
      <c r="Q10" s="106" t="s">
        <v>5646</v>
      </c>
      <c r="R10" s="106" t="s">
        <v>5647</v>
      </c>
      <c r="S10" s="106" t="s">
        <v>5648</v>
      </c>
    </row>
    <row r="11">
      <c r="A11" s="106" t="s">
        <v>3321</v>
      </c>
      <c r="B11" s="106" t="s">
        <v>5546</v>
      </c>
      <c r="C11" s="106" t="s">
        <v>5547</v>
      </c>
      <c r="D11" s="106" t="s">
        <v>5649</v>
      </c>
      <c r="E11" s="106" t="s">
        <v>5650</v>
      </c>
      <c r="F11" s="106" t="s">
        <v>5651</v>
      </c>
      <c r="G11" s="106" t="s">
        <v>5652</v>
      </c>
      <c r="H11" s="106" t="s">
        <v>5653</v>
      </c>
      <c r="I11" s="106" t="s">
        <v>5654</v>
      </c>
      <c r="J11" s="106" t="s">
        <v>5655</v>
      </c>
      <c r="K11" s="106" t="s">
        <v>5656</v>
      </c>
      <c r="L11" s="106" t="s">
        <v>5657</v>
      </c>
      <c r="M11" s="106" t="s">
        <v>5658</v>
      </c>
      <c r="N11" s="106" t="s">
        <v>5659</v>
      </c>
      <c r="O11" s="106" t="s">
        <v>5660</v>
      </c>
      <c r="P11" s="106" t="s">
        <v>5661</v>
      </c>
      <c r="Q11" s="106" t="s">
        <v>5662</v>
      </c>
      <c r="R11" s="106" t="s">
        <v>5663</v>
      </c>
      <c r="S11" s="106" t="s">
        <v>5664</v>
      </c>
    </row>
    <row r="12">
      <c r="A12" s="109" t="s">
        <v>5665</v>
      </c>
      <c r="B12" s="109" t="s">
        <v>5666</v>
      </c>
      <c r="C12" s="109" t="s">
        <v>5667</v>
      </c>
      <c r="D12" s="109" t="s">
        <v>5668</v>
      </c>
      <c r="E12" s="106" t="s">
        <v>5669</v>
      </c>
      <c r="F12" s="106" t="s">
        <v>5670</v>
      </c>
      <c r="G12" s="109" t="s">
        <v>5671</v>
      </c>
      <c r="H12" s="106" t="s">
        <v>5672</v>
      </c>
      <c r="I12" s="109" t="s">
        <v>5673</v>
      </c>
      <c r="J12" s="106" t="s">
        <v>5674</v>
      </c>
      <c r="K12" s="109" t="s">
        <v>5675</v>
      </c>
      <c r="L12" s="109" t="s">
        <v>5676</v>
      </c>
      <c r="M12" s="106" t="s">
        <v>5677</v>
      </c>
      <c r="N12" s="106" t="s">
        <v>5678</v>
      </c>
      <c r="O12" s="109" t="s">
        <v>5679</v>
      </c>
      <c r="P12" s="106" t="s">
        <v>5680</v>
      </c>
      <c r="Q12" s="106" t="s">
        <v>5681</v>
      </c>
      <c r="R12" s="106" t="s">
        <v>5682</v>
      </c>
      <c r="S12" s="109" t="s">
        <v>5683</v>
      </c>
    </row>
    <row r="13">
      <c r="A13" s="109" t="s">
        <v>5684</v>
      </c>
      <c r="B13" s="109" t="s">
        <v>5685</v>
      </c>
      <c r="C13" s="109" t="s">
        <v>5667</v>
      </c>
      <c r="D13" s="106" t="s">
        <v>5686</v>
      </c>
      <c r="E13" s="109" t="s">
        <v>5687</v>
      </c>
      <c r="F13" s="106" t="s">
        <v>5688</v>
      </c>
      <c r="G13" s="106" t="s">
        <v>5689</v>
      </c>
      <c r="H13" s="106" t="s">
        <v>5690</v>
      </c>
      <c r="I13" s="106" t="s">
        <v>5691</v>
      </c>
      <c r="J13" s="109" t="s">
        <v>5692</v>
      </c>
      <c r="K13" s="106" t="s">
        <v>5693</v>
      </c>
      <c r="L13" s="109" t="s">
        <v>5694</v>
      </c>
      <c r="M13" s="106" t="s">
        <v>5695</v>
      </c>
      <c r="N13" s="106" t="s">
        <v>5696</v>
      </c>
      <c r="O13" s="106" t="s">
        <v>5697</v>
      </c>
      <c r="P13" s="106" t="s">
        <v>5698</v>
      </c>
      <c r="Q13" s="106" t="s">
        <v>5699</v>
      </c>
      <c r="R13" s="106" t="s">
        <v>5700</v>
      </c>
      <c r="S13" s="106" t="s">
        <v>5701</v>
      </c>
    </row>
    <row r="14">
      <c r="A14" s="109" t="s">
        <v>5702</v>
      </c>
      <c r="B14" s="109" t="s">
        <v>5492</v>
      </c>
      <c r="C14" s="109" t="s">
        <v>5547</v>
      </c>
      <c r="D14" s="109" t="s">
        <v>5703</v>
      </c>
      <c r="E14" s="109" t="s">
        <v>5704</v>
      </c>
      <c r="F14" s="109" t="s">
        <v>5705</v>
      </c>
      <c r="G14" s="109" t="s">
        <v>5706</v>
      </c>
      <c r="H14" s="109" t="s">
        <v>5707</v>
      </c>
      <c r="I14" s="109" t="s">
        <v>5708</v>
      </c>
      <c r="J14" s="109" t="s">
        <v>5709</v>
      </c>
      <c r="K14" s="109" t="s">
        <v>5710</v>
      </c>
      <c r="L14" s="109" t="s">
        <v>5711</v>
      </c>
      <c r="M14" s="109" t="s">
        <v>5712</v>
      </c>
      <c r="N14" s="109" t="s">
        <v>5713</v>
      </c>
      <c r="O14" s="109" t="s">
        <v>5714</v>
      </c>
      <c r="P14" s="109" t="s">
        <v>5715</v>
      </c>
      <c r="Q14" s="109" t="s">
        <v>5716</v>
      </c>
      <c r="R14" s="109" t="s">
        <v>5717</v>
      </c>
      <c r="S14" s="109" t="s">
        <v>5718</v>
      </c>
    </row>
    <row r="15">
      <c r="A15" s="109" t="s">
        <v>5719</v>
      </c>
      <c r="B15" s="109" t="s">
        <v>5666</v>
      </c>
      <c r="C15" s="109" t="s">
        <v>5720</v>
      </c>
      <c r="D15" s="109" t="s">
        <v>5721</v>
      </c>
      <c r="E15" s="109" t="s">
        <v>5722</v>
      </c>
      <c r="F15" s="109" t="s">
        <v>5723</v>
      </c>
      <c r="G15" s="109" t="s">
        <v>5724</v>
      </c>
      <c r="H15" s="109" t="s">
        <v>5725</v>
      </c>
      <c r="I15" s="109" t="s">
        <v>5726</v>
      </c>
      <c r="J15" s="109" t="s">
        <v>5727</v>
      </c>
      <c r="K15" s="109" t="s">
        <v>5728</v>
      </c>
      <c r="L15" s="109" t="s">
        <v>5729</v>
      </c>
      <c r="M15" s="109" t="s">
        <v>5730</v>
      </c>
      <c r="N15" s="106" t="s">
        <v>5731</v>
      </c>
      <c r="O15" s="106" t="s">
        <v>5732</v>
      </c>
      <c r="P15" s="109" t="s">
        <v>5733</v>
      </c>
      <c r="Q15" s="109" t="s">
        <v>5734</v>
      </c>
      <c r="R15" s="109" t="s">
        <v>5735</v>
      </c>
      <c r="S15" s="109" t="s">
        <v>5736</v>
      </c>
    </row>
    <row r="16">
      <c r="A16" s="109" t="s">
        <v>5737</v>
      </c>
      <c r="B16" s="109" t="s">
        <v>5738</v>
      </c>
      <c r="C16" s="109" t="s">
        <v>5739</v>
      </c>
      <c r="D16" s="109" t="s">
        <v>5740</v>
      </c>
      <c r="E16" s="109" t="s">
        <v>5741</v>
      </c>
      <c r="F16" s="109" t="s">
        <v>5742</v>
      </c>
      <c r="G16" s="109" t="s">
        <v>5743</v>
      </c>
      <c r="H16" s="106" t="s">
        <v>5744</v>
      </c>
      <c r="I16" s="109" t="s">
        <v>5745</v>
      </c>
      <c r="J16" s="109" t="s">
        <v>5746</v>
      </c>
      <c r="K16" s="109" t="s">
        <v>5747</v>
      </c>
      <c r="L16" s="109" t="s">
        <v>5748</v>
      </c>
      <c r="M16" s="109" t="s">
        <v>5749</v>
      </c>
      <c r="N16" s="106" t="s">
        <v>5750</v>
      </c>
      <c r="O16" s="106" t="s">
        <v>5751</v>
      </c>
      <c r="P16" s="109" t="s">
        <v>5752</v>
      </c>
      <c r="Q16" s="109" t="s">
        <v>5753</v>
      </c>
      <c r="R16" s="109" t="s">
        <v>5754</v>
      </c>
      <c r="S16" s="109" t="s">
        <v>5755</v>
      </c>
    </row>
    <row r="17">
      <c r="A17" s="109" t="s">
        <v>5756</v>
      </c>
      <c r="B17" s="109" t="s">
        <v>5546</v>
      </c>
      <c r="C17" s="109" t="s">
        <v>5667</v>
      </c>
      <c r="D17" s="106" t="s">
        <v>5757</v>
      </c>
      <c r="E17" s="109" t="s">
        <v>5758</v>
      </c>
      <c r="F17" s="106" t="s">
        <v>5759</v>
      </c>
      <c r="G17" s="106" t="s">
        <v>5760</v>
      </c>
      <c r="H17" s="106" t="s">
        <v>5761</v>
      </c>
      <c r="I17" s="109" t="s">
        <v>5762</v>
      </c>
      <c r="J17" s="106" t="s">
        <v>5763</v>
      </c>
      <c r="K17" s="106" t="s">
        <v>5764</v>
      </c>
      <c r="L17" s="106" t="s">
        <v>5765</v>
      </c>
      <c r="M17" s="106" t="s">
        <v>5766</v>
      </c>
      <c r="N17" s="106" t="s">
        <v>5767</v>
      </c>
      <c r="O17" s="109" t="s">
        <v>5768</v>
      </c>
      <c r="P17" s="109" t="s">
        <v>5769</v>
      </c>
      <c r="Q17" s="106" t="s">
        <v>5770</v>
      </c>
      <c r="R17" s="106" t="s">
        <v>5771</v>
      </c>
      <c r="S17" s="106" t="s">
        <v>5772</v>
      </c>
    </row>
    <row r="18">
      <c r="A18" s="109" t="s">
        <v>5773</v>
      </c>
      <c r="B18" s="109" t="s">
        <v>5582</v>
      </c>
      <c r="C18" s="109" t="s">
        <v>5511</v>
      </c>
      <c r="D18" s="109" t="s">
        <v>5774</v>
      </c>
      <c r="E18" s="109" t="s">
        <v>5775</v>
      </c>
      <c r="F18" s="109" t="s">
        <v>5776</v>
      </c>
      <c r="G18" s="109" t="s">
        <v>5777</v>
      </c>
      <c r="H18" s="109" t="s">
        <v>5778</v>
      </c>
      <c r="I18" s="109" t="s">
        <v>5779</v>
      </c>
      <c r="J18" s="109" t="s">
        <v>5780</v>
      </c>
      <c r="K18" s="109" t="s">
        <v>5781</v>
      </c>
      <c r="L18" s="109" t="s">
        <v>5782</v>
      </c>
      <c r="M18" s="109" t="s">
        <v>5783</v>
      </c>
      <c r="N18" s="109" t="s">
        <v>5784</v>
      </c>
      <c r="O18" s="106" t="s">
        <v>5785</v>
      </c>
      <c r="P18" s="109" t="s">
        <v>5786</v>
      </c>
      <c r="Q18" s="109" t="s">
        <v>5787</v>
      </c>
      <c r="R18" s="106" t="s">
        <v>5788</v>
      </c>
      <c r="S18" s="109" t="s">
        <v>5789</v>
      </c>
    </row>
    <row r="19">
      <c r="A19" s="109" t="s">
        <v>5790</v>
      </c>
      <c r="B19" s="109" t="s">
        <v>5492</v>
      </c>
      <c r="C19" s="109" t="s">
        <v>5005</v>
      </c>
      <c r="D19" s="109" t="s">
        <v>5791</v>
      </c>
      <c r="E19" s="109" t="s">
        <v>5792</v>
      </c>
      <c r="F19" s="109" t="s">
        <v>5793</v>
      </c>
      <c r="G19" s="109" t="s">
        <v>5794</v>
      </c>
      <c r="H19" s="109" t="s">
        <v>5795</v>
      </c>
      <c r="I19" s="109" t="s">
        <v>5796</v>
      </c>
      <c r="J19" s="109" t="s">
        <v>5797</v>
      </c>
      <c r="K19" s="109" t="s">
        <v>5798</v>
      </c>
      <c r="L19" s="109" t="s">
        <v>5799</v>
      </c>
      <c r="M19" s="109" t="s">
        <v>5800</v>
      </c>
      <c r="N19" s="106" t="s">
        <v>5801</v>
      </c>
      <c r="O19" s="109" t="s">
        <v>5802</v>
      </c>
      <c r="P19" s="109" t="s">
        <v>5803</v>
      </c>
      <c r="Q19" s="109" t="s">
        <v>5804</v>
      </c>
      <c r="R19" s="109" t="s">
        <v>5805</v>
      </c>
      <c r="S19" s="109" t="s">
        <v>5806</v>
      </c>
    </row>
  </sheetData>
  <drawing r:id="rId1"/>
</worksheet>
</file>